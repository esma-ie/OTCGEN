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E7BA53D7-6E5B-471F-85EC-78739BC36D0D}" xr6:coauthVersionLast="47" xr6:coauthVersionMax="47" xr10:uidLastSave="{00000000-0000-0000-0000-000000000000}"/>
  <bookViews>
    <workbookView xWindow="-120" yWindow="-120" windowWidth="25440" windowHeight="15270" firstSheet="5" activeTab="8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ELC TECH" sheetId="5" r:id="rId5"/>
    <sheet name="&gt;&gt; TIMES" sheetId="6" r:id="rId6"/>
    <sheet name="Def_Tech" sheetId="7" r:id="rId7"/>
    <sheet name="Def_Comm" sheetId="8" r:id="rId8"/>
    <sheet name="ResidELC" sheetId="9" r:id="rId9"/>
    <sheet name="&gt;&gt; Parameters" sheetId="10" r:id="rId10"/>
    <sheet name="List" sheetId="11" r:id="rId11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90" i="9" l="1"/>
  <c r="BZ190" i="9"/>
  <c r="BT190" i="9"/>
  <c r="BN190" i="9"/>
  <c r="BG190" i="9"/>
  <c r="BB190" i="9"/>
  <c r="AV190" i="9"/>
  <c r="AP190" i="9"/>
  <c r="AI190" i="9"/>
  <c r="AD190" i="9"/>
  <c r="X190" i="9"/>
  <c r="R190" i="9"/>
  <c r="K190" i="9"/>
  <c r="G190" i="9"/>
  <c r="B190" i="9"/>
  <c r="CH189" i="9"/>
  <c r="Z189" i="9"/>
  <c r="G189" i="9"/>
  <c r="B189" i="9"/>
  <c r="BV189" i="9" s="1"/>
  <c r="CK188" i="9"/>
  <c r="CF188" i="9"/>
  <c r="CC188" i="9"/>
  <c r="CB188" i="9"/>
  <c r="CA188" i="9"/>
  <c r="BZ188" i="9"/>
  <c r="BY188" i="9"/>
  <c r="BT188" i="9"/>
  <c r="BQ188" i="9"/>
  <c r="BP188" i="9"/>
  <c r="BO188" i="9"/>
  <c r="BN188" i="9"/>
  <c r="BM188" i="9"/>
  <c r="BH188" i="9"/>
  <c r="BE188" i="9"/>
  <c r="BD188" i="9"/>
  <c r="BC188" i="9"/>
  <c r="BB188" i="9"/>
  <c r="BA188" i="9"/>
  <c r="AV188" i="9"/>
  <c r="AS188" i="9"/>
  <c r="AR188" i="9"/>
  <c r="AQ188" i="9"/>
  <c r="AP188" i="9"/>
  <c r="AO188" i="9"/>
  <c r="AJ188" i="9"/>
  <c r="AG188" i="9"/>
  <c r="AF188" i="9"/>
  <c r="AE188" i="9"/>
  <c r="AD188" i="9"/>
  <c r="AC188" i="9"/>
  <c r="X188" i="9"/>
  <c r="U188" i="9"/>
  <c r="T188" i="9"/>
  <c r="S188" i="9"/>
  <c r="R188" i="9"/>
  <c r="Q188" i="9"/>
  <c r="L188" i="9"/>
  <c r="I188" i="9"/>
  <c r="H188" i="9"/>
  <c r="G188" i="9"/>
  <c r="F188" i="9"/>
  <c r="E188" i="9"/>
  <c r="B188" i="9"/>
  <c r="CJ187" i="9"/>
  <c r="CD187" i="9"/>
  <c r="BZ187" i="9"/>
  <c r="BX187" i="9"/>
  <c r="BT187" i="9"/>
  <c r="BS187" i="9"/>
  <c r="BR187" i="9"/>
  <c r="BQ187" i="9"/>
  <c r="BN187" i="9"/>
  <c r="BI187" i="9"/>
  <c r="BE187" i="9"/>
  <c r="BD187" i="9"/>
  <c r="BB187" i="9"/>
  <c r="AZ187" i="9"/>
  <c r="AW187" i="9"/>
  <c r="AV187" i="9"/>
  <c r="AU187" i="9"/>
  <c r="AR187" i="9"/>
  <c r="AK187" i="9"/>
  <c r="AJ187" i="9"/>
  <c r="AH187" i="9"/>
  <c r="AG187" i="9"/>
  <c r="AF187" i="9"/>
  <c r="AD187" i="9"/>
  <c r="AB187" i="9"/>
  <c r="W187" i="9"/>
  <c r="R187" i="9"/>
  <c r="P187" i="9"/>
  <c r="O187" i="9"/>
  <c r="M187" i="9"/>
  <c r="L187" i="9"/>
  <c r="K187" i="9"/>
  <c r="I187" i="9"/>
  <c r="G187" i="9"/>
  <c r="F187" i="9"/>
  <c r="B187" i="9"/>
  <c r="CJ186" i="9"/>
  <c r="CI186" i="9"/>
  <c r="CH186" i="9"/>
  <c r="CG186" i="9"/>
  <c r="CE186" i="9"/>
  <c r="CC186" i="9"/>
  <c r="CA186" i="9"/>
  <c r="BZ186" i="9"/>
  <c r="BX186" i="9"/>
  <c r="BW186" i="9"/>
  <c r="BU186" i="9"/>
  <c r="BT186" i="9"/>
  <c r="BS186" i="9"/>
  <c r="BQ186" i="9"/>
  <c r="BN186" i="9"/>
  <c r="BL186" i="9"/>
  <c r="BK186" i="9"/>
  <c r="BJ186" i="9"/>
  <c r="BI186" i="9"/>
  <c r="BH186" i="9"/>
  <c r="BE186" i="9"/>
  <c r="BC186" i="9"/>
  <c r="BB186" i="9"/>
  <c r="AZ186" i="9"/>
  <c r="AX186" i="9"/>
  <c r="AW186" i="9"/>
  <c r="AV186" i="9"/>
  <c r="AU186" i="9"/>
  <c r="AS186" i="9"/>
  <c r="AQ186" i="9"/>
  <c r="AN186" i="9"/>
  <c r="AM186" i="9"/>
  <c r="AL186" i="9"/>
  <c r="AK186" i="9"/>
  <c r="AI186" i="9"/>
  <c r="AG186" i="9"/>
  <c r="AE186" i="9"/>
  <c r="AD186" i="9"/>
  <c r="AB186" i="9"/>
  <c r="AA186" i="9"/>
  <c r="Y186" i="9"/>
  <c r="X186" i="9"/>
  <c r="W186" i="9"/>
  <c r="U186" i="9"/>
  <c r="R186" i="9"/>
  <c r="P186" i="9"/>
  <c r="O186" i="9"/>
  <c r="N186" i="9"/>
  <c r="M186" i="9"/>
  <c r="L186" i="9"/>
  <c r="I186" i="9"/>
  <c r="G186" i="9"/>
  <c r="F186" i="9"/>
  <c r="C186" i="9"/>
  <c r="B186" i="9"/>
  <c r="CJ185" i="9"/>
  <c r="CI185" i="9"/>
  <c r="CH185" i="9"/>
  <c r="CF185" i="9"/>
  <c r="CC185" i="9"/>
  <c r="CA185" i="9"/>
  <c r="BZ185" i="9"/>
  <c r="BY185" i="9"/>
  <c r="BX185" i="9"/>
  <c r="BW185" i="9"/>
  <c r="BT185" i="9"/>
  <c r="BR185" i="9"/>
  <c r="BQ185" i="9"/>
  <c r="BO185" i="9"/>
  <c r="BM185" i="9"/>
  <c r="BL185" i="9"/>
  <c r="BK185" i="9"/>
  <c r="BJ185" i="9"/>
  <c r="BH185" i="9"/>
  <c r="BF185" i="9"/>
  <c r="CV185" i="9" s="1"/>
  <c r="BC185" i="9"/>
  <c r="BB185" i="9"/>
  <c r="BA185" i="9"/>
  <c r="AZ185" i="9"/>
  <c r="AX185" i="9"/>
  <c r="AV185" i="9"/>
  <c r="AT185" i="9"/>
  <c r="AS185" i="9"/>
  <c r="AQ185" i="9"/>
  <c r="AP185" i="9"/>
  <c r="AN185" i="9"/>
  <c r="AM185" i="9"/>
  <c r="AL185" i="9"/>
  <c r="AJ185" i="9"/>
  <c r="AG185" i="9"/>
  <c r="AE185" i="9"/>
  <c r="AD185" i="9"/>
  <c r="AC185" i="9"/>
  <c r="AB185" i="9"/>
  <c r="AA185" i="9"/>
  <c r="X185" i="9"/>
  <c r="V185" i="9"/>
  <c r="U185" i="9"/>
  <c r="S185" i="9"/>
  <c r="Q185" i="9"/>
  <c r="P185" i="9"/>
  <c r="O185" i="9"/>
  <c r="N185" i="9"/>
  <c r="L185" i="9"/>
  <c r="J185" i="9"/>
  <c r="G185" i="9"/>
  <c r="F185" i="9"/>
  <c r="E185" i="9"/>
  <c r="C185" i="9"/>
  <c r="B185" i="9"/>
  <c r="BW184" i="9"/>
  <c r="BB184" i="9"/>
  <c r="AK184" i="9"/>
  <c r="T184" i="9"/>
  <c r="G184" i="9"/>
  <c r="C184" i="9"/>
  <c r="B184" i="9"/>
  <c r="DH183" i="9"/>
  <c r="DG183" i="9"/>
  <c r="DD183" i="9"/>
  <c r="DC183" i="9"/>
  <c r="CX183" i="9"/>
  <c r="CU183" i="9"/>
  <c r="CS183" i="9"/>
  <c r="CR183" i="9"/>
  <c r="CP183" i="9"/>
  <c r="CO183" i="9"/>
  <c r="CN183" i="9"/>
  <c r="CM183" i="9"/>
  <c r="BL183" i="9"/>
  <c r="BK183" i="9"/>
  <c r="BI183" i="9"/>
  <c r="BH183" i="9"/>
  <c r="BG183" i="9"/>
  <c r="BF183" i="9"/>
  <c r="BD183" i="9"/>
  <c r="AW183" i="9"/>
  <c r="AU183" i="9"/>
  <c r="AT183" i="9"/>
  <c r="AS183" i="9"/>
  <c r="AR183" i="9"/>
  <c r="AQ183" i="9"/>
  <c r="AN183" i="9"/>
  <c r="AM183" i="9"/>
  <c r="AG183" i="9"/>
  <c r="AE183" i="9"/>
  <c r="AD183" i="9"/>
  <c r="AB183" i="9"/>
  <c r="AA183" i="9"/>
  <c r="X183" i="9"/>
  <c r="V183" i="9"/>
  <c r="U183" i="9"/>
  <c r="P183" i="9"/>
  <c r="M183" i="9"/>
  <c r="L183" i="9"/>
  <c r="K183" i="9"/>
  <c r="H183" i="9"/>
  <c r="G183" i="9"/>
  <c r="F183" i="9"/>
  <c r="C183" i="9"/>
  <c r="B183" i="9"/>
  <c r="DA183" i="9" s="1"/>
  <c r="DC182" i="9"/>
  <c r="CY182" i="9"/>
  <c r="CX182" i="9"/>
  <c r="CV182" i="9"/>
  <c r="CU182" i="9"/>
  <c r="CT182" i="9"/>
  <c r="BL182" i="9"/>
  <c r="BB182" i="9"/>
  <c r="AZ182" i="9"/>
  <c r="AY182" i="9"/>
  <c r="AX182" i="9"/>
  <c r="AW182" i="9"/>
  <c r="AU182" i="9"/>
  <c r="AK182" i="9"/>
  <c r="AJ182" i="9"/>
  <c r="AI182" i="9"/>
  <c r="AG182" i="9"/>
  <c r="AE182" i="9"/>
  <c r="AD182" i="9"/>
  <c r="U182" i="9"/>
  <c r="R182" i="9"/>
  <c r="P182" i="9"/>
  <c r="O182" i="9"/>
  <c r="N182" i="9"/>
  <c r="M182" i="9"/>
  <c r="G182" i="9"/>
  <c r="B182" i="9"/>
  <c r="CS182" i="9" s="1"/>
  <c r="DI181" i="9"/>
  <c r="DH181" i="9"/>
  <c r="DG181" i="9"/>
  <c r="DF181" i="9"/>
  <c r="DE181" i="9"/>
  <c r="DD181" i="9"/>
  <c r="CV181" i="9"/>
  <c r="CT181" i="9"/>
  <c r="CS181" i="9"/>
  <c r="CR181" i="9"/>
  <c r="CP181" i="9"/>
  <c r="CO181" i="9"/>
  <c r="CN181" i="9"/>
  <c r="CL181" i="9"/>
  <c r="BK181" i="9"/>
  <c r="BJ181" i="9"/>
  <c r="BI181" i="9"/>
  <c r="BE181" i="9"/>
  <c r="BC181" i="9"/>
  <c r="BB181" i="9"/>
  <c r="BA181" i="9"/>
  <c r="AX181" i="9"/>
  <c r="AW181" i="9"/>
  <c r="AV181" i="9"/>
  <c r="AU181" i="9"/>
  <c r="AQ181" i="9"/>
  <c r="AO181" i="9"/>
  <c r="AM181" i="9"/>
  <c r="AK181" i="9"/>
  <c r="AJ181" i="9"/>
  <c r="AI181" i="9"/>
  <c r="AH181" i="9"/>
  <c r="AG181" i="9"/>
  <c r="AC181" i="9"/>
  <c r="Z181" i="9"/>
  <c r="X181" i="9"/>
  <c r="W181" i="9"/>
  <c r="V181" i="9"/>
  <c r="U181" i="9"/>
  <c r="T181" i="9"/>
  <c r="S181" i="9"/>
  <c r="N181" i="9"/>
  <c r="K181" i="9"/>
  <c r="J181" i="9"/>
  <c r="I181" i="9"/>
  <c r="H181" i="9"/>
  <c r="G181" i="9"/>
  <c r="F181" i="9"/>
  <c r="E181" i="9"/>
  <c r="B181" i="9"/>
  <c r="CY181" i="9" s="1"/>
  <c r="DG180" i="9"/>
  <c r="DB180" i="9"/>
  <c r="DA180" i="9"/>
  <c r="CZ180" i="9"/>
  <c r="CX180" i="9"/>
  <c r="CW180" i="9"/>
  <c r="CR180" i="9"/>
  <c r="CL180" i="9"/>
  <c r="BK180" i="9"/>
  <c r="BJ180" i="9"/>
  <c r="BI180" i="9"/>
  <c r="BH180" i="9"/>
  <c r="BG180" i="9"/>
  <c r="BA180" i="9"/>
  <c r="AV180" i="9"/>
  <c r="AR180" i="9"/>
  <c r="AM180" i="9"/>
  <c r="AK180" i="9"/>
  <c r="AJ180" i="9"/>
  <c r="AI180" i="9"/>
  <c r="AH180" i="9"/>
  <c r="Y180" i="9"/>
  <c r="U180" i="9"/>
  <c r="T180" i="9"/>
  <c r="Q180" i="9"/>
  <c r="P180" i="9"/>
  <c r="O180" i="9"/>
  <c r="K180" i="9"/>
  <c r="G180" i="9"/>
  <c r="E180" i="9"/>
  <c r="B180" i="9"/>
  <c r="CP180" i="9" s="1"/>
  <c r="CY179" i="9"/>
  <c r="CQ179" i="9"/>
  <c r="BI179" i="9"/>
  <c r="AY179" i="9"/>
  <c r="AP179" i="9"/>
  <c r="AE179" i="9"/>
  <c r="R179" i="9"/>
  <c r="H179" i="9"/>
  <c r="G179" i="9"/>
  <c r="B179" i="9"/>
  <c r="DA179" i="9" s="1"/>
  <c r="CW178" i="9"/>
  <c r="BE178" i="9"/>
  <c r="AM178" i="9"/>
  <c r="O178" i="9"/>
  <c r="G178" i="9"/>
  <c r="B178" i="9"/>
  <c r="DF178" i="9" s="1"/>
  <c r="DI177" i="9"/>
  <c r="DG177" i="9"/>
  <c r="DF177" i="9"/>
  <c r="DE177" i="9"/>
  <c r="DD177" i="9"/>
  <c r="DC177" i="9"/>
  <c r="CX177" i="9"/>
  <c r="CU177" i="9"/>
  <c r="CT177" i="9"/>
  <c r="CS177" i="9"/>
  <c r="CR177" i="9"/>
  <c r="CQ177" i="9"/>
  <c r="CP177" i="9"/>
  <c r="CO177" i="9"/>
  <c r="BK177" i="9"/>
  <c r="BG177" i="9"/>
  <c r="BE177" i="9"/>
  <c r="BD177" i="9"/>
  <c r="BC177" i="9"/>
  <c r="BB177" i="9"/>
  <c r="BA177" i="9"/>
  <c r="AX177" i="9"/>
  <c r="AW177" i="9"/>
  <c r="AS177" i="9"/>
  <c r="AQ177" i="9"/>
  <c r="AP177" i="9"/>
  <c r="AO177" i="9"/>
  <c r="AM177" i="9"/>
  <c r="AK177" i="9"/>
  <c r="AJ177" i="9"/>
  <c r="AI177" i="9"/>
  <c r="AE177" i="9"/>
  <c r="AC177" i="9"/>
  <c r="AA177" i="9"/>
  <c r="Z177" i="9"/>
  <c r="X177" i="9"/>
  <c r="W177" i="9"/>
  <c r="V177" i="9"/>
  <c r="U177" i="9"/>
  <c r="Q177" i="9"/>
  <c r="N177" i="9"/>
  <c r="M177" i="9"/>
  <c r="K177" i="9"/>
  <c r="J177" i="9"/>
  <c r="I177" i="9"/>
  <c r="H177" i="9"/>
  <c r="G177" i="9"/>
  <c r="B177" i="9"/>
  <c r="DI176" i="9"/>
  <c r="DG176" i="9"/>
  <c r="DE176" i="9"/>
  <c r="DD176" i="9"/>
  <c r="DC176" i="9"/>
  <c r="DB176" i="9"/>
  <c r="DA176" i="9"/>
  <c r="CZ176" i="9"/>
  <c r="CV176" i="9"/>
  <c r="CU176" i="9"/>
  <c r="CR176" i="9"/>
  <c r="CQ176" i="9"/>
  <c r="CP176" i="9"/>
  <c r="CO176" i="9"/>
  <c r="CN176" i="9"/>
  <c r="CL176" i="9"/>
  <c r="BM176" i="9"/>
  <c r="BL176" i="9"/>
  <c r="BK176" i="9"/>
  <c r="BJ176" i="9"/>
  <c r="BI176" i="9"/>
  <c r="BE176" i="9"/>
  <c r="BD176" i="9"/>
  <c r="BA176" i="9"/>
  <c r="AZ176" i="9"/>
  <c r="AY176" i="9"/>
  <c r="AX176" i="9"/>
  <c r="AW176" i="9"/>
  <c r="AV176" i="9"/>
  <c r="AU176" i="9"/>
  <c r="AP176" i="9"/>
  <c r="AO176" i="9"/>
  <c r="AM176" i="9"/>
  <c r="AL176" i="9"/>
  <c r="AK176" i="9"/>
  <c r="AJ176" i="9"/>
  <c r="AI176" i="9"/>
  <c r="AH176" i="9"/>
  <c r="AG176" i="9"/>
  <c r="AB176" i="9"/>
  <c r="AA176" i="9"/>
  <c r="Y176" i="9"/>
  <c r="X176" i="9"/>
  <c r="W176" i="9"/>
  <c r="V176" i="9"/>
  <c r="U176" i="9"/>
  <c r="T176" i="9"/>
  <c r="Q176" i="9"/>
  <c r="N176" i="9"/>
  <c r="M176" i="9"/>
  <c r="K176" i="9"/>
  <c r="J176" i="9"/>
  <c r="I176" i="9"/>
  <c r="H176" i="9"/>
  <c r="G176" i="9"/>
  <c r="E176" i="9"/>
  <c r="C176" i="9"/>
  <c r="B176" i="9"/>
  <c r="CW176" i="9" s="1"/>
  <c r="DG175" i="9"/>
  <c r="DC175" i="9"/>
  <c r="CY175" i="9"/>
  <c r="CX175" i="9"/>
  <c r="CW175" i="9"/>
  <c r="CS175" i="9"/>
  <c r="CQ175" i="9"/>
  <c r="CO175" i="9"/>
  <c r="CN175" i="9"/>
  <c r="CL175" i="9"/>
  <c r="BK175" i="9"/>
  <c r="BI175" i="9"/>
  <c r="BH175" i="9"/>
  <c r="BG175" i="9"/>
  <c r="BB175" i="9"/>
  <c r="AY175" i="9"/>
  <c r="AX175" i="9"/>
  <c r="AW175" i="9"/>
  <c r="AV175" i="9"/>
  <c r="AR175" i="9"/>
  <c r="AK175" i="9"/>
  <c r="AJ175" i="9"/>
  <c r="AI175" i="9"/>
  <c r="AG175" i="9"/>
  <c r="AF175" i="9"/>
  <c r="AE175" i="9"/>
  <c r="AD175" i="9"/>
  <c r="Y175" i="9"/>
  <c r="T175" i="9"/>
  <c r="R175" i="9"/>
  <c r="Q175" i="9"/>
  <c r="P175" i="9"/>
  <c r="K175" i="9"/>
  <c r="H175" i="9"/>
  <c r="G175" i="9"/>
  <c r="F175" i="9"/>
  <c r="E175" i="9"/>
  <c r="B175" i="9"/>
  <c r="DI174" i="9"/>
  <c r="DA174" i="9"/>
  <c r="CZ174" i="9"/>
  <c r="CY174" i="9"/>
  <c r="CX174" i="9"/>
  <c r="CW174" i="9"/>
  <c r="CV174" i="9"/>
  <c r="CU174" i="9"/>
  <c r="CO174" i="9"/>
  <c r="CM174" i="9"/>
  <c r="CL174" i="9"/>
  <c r="BK174" i="9"/>
  <c r="BJ174" i="9"/>
  <c r="BH174" i="9"/>
  <c r="BG174" i="9"/>
  <c r="BE174" i="9"/>
  <c r="BD174" i="9"/>
  <c r="BC174" i="9"/>
  <c r="AY174" i="9"/>
  <c r="AV174" i="9"/>
  <c r="AU174" i="9"/>
  <c r="AT174" i="9"/>
  <c r="AQ174" i="9"/>
  <c r="AP174" i="9"/>
  <c r="AO174" i="9"/>
  <c r="AJ174" i="9"/>
  <c r="AH174" i="9"/>
  <c r="AG174" i="9"/>
  <c r="AE174" i="9"/>
  <c r="AD174" i="9"/>
  <c r="AC174" i="9"/>
  <c r="AB174" i="9"/>
  <c r="AA174" i="9"/>
  <c r="T174" i="9"/>
  <c r="R174" i="9"/>
  <c r="Q174" i="9"/>
  <c r="P174" i="9"/>
  <c r="O174" i="9"/>
  <c r="N174" i="9"/>
  <c r="L174" i="9"/>
  <c r="H174" i="9"/>
  <c r="G174" i="9"/>
  <c r="E174" i="9"/>
  <c r="C174" i="9"/>
  <c r="B174" i="9"/>
  <c r="DI173" i="9"/>
  <c r="DG173" i="9"/>
  <c r="DF173" i="9"/>
  <c r="DE173" i="9"/>
  <c r="DD173" i="9"/>
  <c r="DB173" i="9"/>
  <c r="DA173" i="9"/>
  <c r="CX173" i="9"/>
  <c r="CW173" i="9"/>
  <c r="CU173" i="9"/>
  <c r="CT173" i="9"/>
  <c r="CS173" i="9"/>
  <c r="CR173" i="9"/>
  <c r="CQ173" i="9"/>
  <c r="CP173" i="9"/>
  <c r="CN173" i="9"/>
  <c r="CL173" i="9"/>
  <c r="BJ173" i="9"/>
  <c r="BI173" i="9"/>
  <c r="BG173" i="9"/>
  <c r="BF173" i="9"/>
  <c r="BE173" i="9"/>
  <c r="BD173" i="9"/>
  <c r="BC173" i="9"/>
  <c r="BB173" i="9"/>
  <c r="BA173" i="9"/>
  <c r="AX173" i="9"/>
  <c r="AV173" i="9"/>
  <c r="AU173" i="9"/>
  <c r="AS173" i="9"/>
  <c r="AR173" i="9"/>
  <c r="AQ173" i="9"/>
  <c r="AP173" i="9"/>
  <c r="AO173" i="9"/>
  <c r="AM173" i="9"/>
  <c r="AK173" i="9"/>
  <c r="AJ173" i="9"/>
  <c r="AH173" i="9"/>
  <c r="AG173" i="9"/>
  <c r="AE173" i="9"/>
  <c r="AD173" i="9"/>
  <c r="AC173" i="9"/>
  <c r="AA173" i="9"/>
  <c r="Z173" i="9"/>
  <c r="X173" i="9"/>
  <c r="W173" i="9"/>
  <c r="V173" i="9"/>
  <c r="T173" i="9"/>
  <c r="S173" i="9"/>
  <c r="Q173" i="9"/>
  <c r="O173" i="9"/>
  <c r="N173" i="9"/>
  <c r="M173" i="9"/>
  <c r="K173" i="9"/>
  <c r="J173" i="9"/>
  <c r="I173" i="9"/>
  <c r="H173" i="9"/>
  <c r="G173" i="9"/>
  <c r="F173" i="9"/>
  <c r="E173" i="9"/>
  <c r="B173" i="9"/>
  <c r="DC173" i="9" s="1"/>
  <c r="DI172" i="9"/>
  <c r="DH172" i="9"/>
  <c r="DG172" i="9"/>
  <c r="DC172" i="9"/>
  <c r="CX172" i="9"/>
  <c r="CW172" i="9"/>
  <c r="CU172" i="9"/>
  <c r="CT172" i="9"/>
  <c r="CR172" i="9"/>
  <c r="CQ172" i="9"/>
  <c r="CP172" i="9"/>
  <c r="CO172" i="9"/>
  <c r="BM172" i="9"/>
  <c r="BL172" i="9"/>
  <c r="BK172" i="9"/>
  <c r="BJ172" i="9"/>
  <c r="BH172" i="9"/>
  <c r="BG172" i="9"/>
  <c r="BD172" i="9"/>
  <c r="AZ172" i="9"/>
  <c r="AX172" i="9"/>
  <c r="AW172" i="9"/>
  <c r="AV172" i="9"/>
  <c r="AT172" i="9"/>
  <c r="AR172" i="9"/>
  <c r="AO172" i="9"/>
  <c r="AN172" i="9"/>
  <c r="AM172" i="9"/>
  <c r="AJ172" i="9"/>
  <c r="AH172" i="9"/>
  <c r="AD172" i="9"/>
  <c r="AC172" i="9"/>
  <c r="AA172" i="9"/>
  <c r="Z172" i="9"/>
  <c r="Y172" i="9"/>
  <c r="X172" i="9"/>
  <c r="W172" i="9"/>
  <c r="T172" i="9"/>
  <c r="O172" i="9"/>
  <c r="M172" i="9"/>
  <c r="L172" i="9"/>
  <c r="K172" i="9"/>
  <c r="J172" i="9"/>
  <c r="I172" i="9"/>
  <c r="H172" i="9"/>
  <c r="G172" i="9"/>
  <c r="B172" i="9"/>
  <c r="DD171" i="9"/>
  <c r="CY171" i="9"/>
  <c r="CX171" i="9"/>
  <c r="CR171" i="9"/>
  <c r="BJ171" i="9"/>
  <c r="BD171" i="9"/>
  <c r="BB171" i="9"/>
  <c r="AY171" i="9"/>
  <c r="AL171" i="9"/>
  <c r="AI171" i="9"/>
  <c r="AG171" i="9"/>
  <c r="AB171" i="9"/>
  <c r="R171" i="9"/>
  <c r="I171" i="9"/>
  <c r="G171" i="9"/>
  <c r="E171" i="9"/>
  <c r="B171" i="9"/>
  <c r="DI171" i="9" s="1"/>
  <c r="DH170" i="9"/>
  <c r="DF170" i="9"/>
  <c r="DC170" i="9"/>
  <c r="CZ170" i="9"/>
  <c r="CX170" i="9"/>
  <c r="CW170" i="9"/>
  <c r="CV170" i="9"/>
  <c r="CR170" i="9"/>
  <c r="CQ170" i="9"/>
  <c r="CO170" i="9"/>
  <c r="CN170" i="9"/>
  <c r="CM170" i="9"/>
  <c r="BM170" i="9"/>
  <c r="BL170" i="9"/>
  <c r="BK170" i="9"/>
  <c r="BJ170" i="9"/>
  <c r="BH170" i="9"/>
  <c r="BG170" i="9"/>
  <c r="BE170" i="9"/>
  <c r="BA170" i="9"/>
  <c r="AX170" i="9"/>
  <c r="AV170" i="9"/>
  <c r="AU170" i="9"/>
  <c r="AT170" i="9"/>
  <c r="AR170" i="9"/>
  <c r="AQ170" i="9"/>
  <c r="AP170" i="9"/>
  <c r="AN170" i="9"/>
  <c r="AI170" i="9"/>
  <c r="AG170" i="9"/>
  <c r="AE170" i="9"/>
  <c r="AD170" i="9"/>
  <c r="AC170" i="9"/>
  <c r="AB170" i="9"/>
  <c r="Z170" i="9"/>
  <c r="X170" i="9"/>
  <c r="V170" i="9"/>
  <c r="R170" i="9"/>
  <c r="P170" i="9"/>
  <c r="O170" i="9"/>
  <c r="N170" i="9"/>
  <c r="K170" i="9"/>
  <c r="J170" i="9"/>
  <c r="H170" i="9"/>
  <c r="G170" i="9"/>
  <c r="E170" i="9"/>
  <c r="B170" i="9"/>
  <c r="DI169" i="9"/>
  <c r="DF169" i="9"/>
  <c r="DD169" i="9"/>
  <c r="DA169" i="9"/>
  <c r="CY169" i="9"/>
  <c r="CX169" i="9"/>
  <c r="CW169" i="9"/>
  <c r="CU169" i="9"/>
  <c r="CR169" i="9"/>
  <c r="CL169" i="9"/>
  <c r="BF169" i="9"/>
  <c r="BE169" i="9"/>
  <c r="BD169" i="9"/>
  <c r="BC169" i="9"/>
  <c r="BB169" i="9"/>
  <c r="AX169" i="9"/>
  <c r="AU169" i="9"/>
  <c r="AR169" i="9"/>
  <c r="AP169" i="9"/>
  <c r="AO169" i="9"/>
  <c r="AJ169" i="9"/>
  <c r="AI169" i="9"/>
  <c r="AG169" i="9"/>
  <c r="AF169" i="9"/>
  <c r="AE169" i="9"/>
  <c r="AA169" i="9"/>
  <c r="V169" i="9"/>
  <c r="U169" i="9"/>
  <c r="S169" i="9"/>
  <c r="R169" i="9"/>
  <c r="O169" i="9"/>
  <c r="N169" i="9"/>
  <c r="J169" i="9"/>
  <c r="G169" i="9"/>
  <c r="E169" i="9"/>
  <c r="C169" i="9"/>
  <c r="B169" i="9"/>
  <c r="DC169" i="9" s="1"/>
  <c r="DI168" i="9"/>
  <c r="DH168" i="9"/>
  <c r="DF168" i="9"/>
  <c r="DE168" i="9"/>
  <c r="DD168" i="9"/>
  <c r="DC168" i="9"/>
  <c r="DB168" i="9"/>
  <c r="DA168" i="9"/>
  <c r="CZ168" i="9"/>
  <c r="CY168" i="9"/>
  <c r="CX168" i="9"/>
  <c r="CW168" i="9"/>
  <c r="CV168" i="9"/>
  <c r="CT168" i="9"/>
  <c r="CS168" i="9"/>
  <c r="CR168" i="9"/>
  <c r="CQ168" i="9"/>
  <c r="CP168" i="9"/>
  <c r="CO168" i="9"/>
  <c r="CN168" i="9"/>
  <c r="CM168" i="9"/>
  <c r="CL168" i="9"/>
  <c r="BM168" i="9"/>
  <c r="BL168" i="9"/>
  <c r="BJ168" i="9"/>
  <c r="BI168" i="9"/>
  <c r="BH168" i="9"/>
  <c r="BG168" i="9"/>
  <c r="BF168" i="9"/>
  <c r="BE168" i="9"/>
  <c r="BD168" i="9"/>
  <c r="BC168" i="9"/>
  <c r="BB168" i="9"/>
  <c r="BA168" i="9"/>
  <c r="AZ168" i="9"/>
  <c r="AX168" i="9"/>
  <c r="AW168" i="9"/>
  <c r="AV168" i="9"/>
  <c r="AU168" i="9"/>
  <c r="AT168" i="9"/>
  <c r="AS168" i="9"/>
  <c r="AR168" i="9"/>
  <c r="AQ168" i="9"/>
  <c r="AP168" i="9"/>
  <c r="AO168" i="9"/>
  <c r="AN168" i="9"/>
  <c r="AL168" i="9"/>
  <c r="AK168" i="9"/>
  <c r="AJ168" i="9"/>
  <c r="AI168" i="9"/>
  <c r="AH168" i="9"/>
  <c r="AG168" i="9"/>
  <c r="AF168" i="9"/>
  <c r="AE168" i="9"/>
  <c r="AD168" i="9"/>
  <c r="AC168" i="9"/>
  <c r="AB168" i="9"/>
  <c r="Z168" i="9"/>
  <c r="Y168" i="9"/>
  <c r="X168" i="9"/>
  <c r="W168" i="9"/>
  <c r="V168" i="9"/>
  <c r="U168" i="9"/>
  <c r="T168" i="9"/>
  <c r="S168" i="9"/>
  <c r="R168" i="9"/>
  <c r="Q168" i="9"/>
  <c r="P168" i="9"/>
  <c r="N168" i="9"/>
  <c r="M168" i="9"/>
  <c r="L168" i="9"/>
  <c r="K168" i="9"/>
  <c r="J168" i="9"/>
  <c r="I168" i="9"/>
  <c r="H168" i="9"/>
  <c r="G168" i="9"/>
  <c r="F168" i="9"/>
  <c r="E168" i="9"/>
  <c r="C168" i="9"/>
  <c r="B168" i="9"/>
  <c r="DG168" i="9" s="1"/>
  <c r="DI167" i="9"/>
  <c r="DE167" i="9"/>
  <c r="DC167" i="9"/>
  <c r="DB167" i="9"/>
  <c r="DA167" i="9"/>
  <c r="CZ167" i="9"/>
  <c r="CY167" i="9"/>
  <c r="CV167" i="9"/>
  <c r="CU167" i="9"/>
  <c r="CS167" i="9"/>
  <c r="CP167" i="9"/>
  <c r="CN167" i="9"/>
  <c r="CM167" i="9"/>
  <c r="BK167" i="9"/>
  <c r="BH167" i="9"/>
  <c r="BF167" i="9"/>
  <c r="BE167" i="9"/>
  <c r="BD167" i="9"/>
  <c r="BC167" i="9"/>
  <c r="BA167" i="9"/>
  <c r="AZ167" i="9"/>
  <c r="AY167" i="9"/>
  <c r="AU167" i="9"/>
  <c r="AR167" i="9"/>
  <c r="AQ167" i="9"/>
  <c r="AO167" i="9"/>
  <c r="AN167" i="9"/>
  <c r="AM167" i="9"/>
  <c r="AL167" i="9"/>
  <c r="AK167" i="9"/>
  <c r="AI167" i="9"/>
  <c r="AE167" i="9"/>
  <c r="AB167" i="9"/>
  <c r="AA167" i="9"/>
  <c r="Z167" i="9"/>
  <c r="Y167" i="9"/>
  <c r="X167" i="9"/>
  <c r="V167" i="9"/>
  <c r="U167" i="9"/>
  <c r="S167" i="9"/>
  <c r="O167" i="9"/>
  <c r="M167" i="9"/>
  <c r="L167" i="9"/>
  <c r="K167" i="9"/>
  <c r="I167" i="9"/>
  <c r="H167" i="9"/>
  <c r="G167" i="9"/>
  <c r="E167" i="9"/>
  <c r="C167" i="9"/>
  <c r="B167" i="9"/>
  <c r="DF167" i="9" s="1"/>
  <c r="DI166" i="9"/>
  <c r="DH166" i="9"/>
  <c r="DG166" i="9"/>
  <c r="DF166" i="9"/>
  <c r="DE166" i="9"/>
  <c r="DC166" i="9"/>
  <c r="DB166" i="9"/>
  <c r="CZ166" i="9"/>
  <c r="CY166" i="9"/>
  <c r="CX166" i="9"/>
  <c r="CW166" i="9"/>
  <c r="CV166" i="9"/>
  <c r="CU166" i="9"/>
  <c r="CT166" i="9"/>
  <c r="CS166" i="9"/>
  <c r="CR166" i="9"/>
  <c r="CP166" i="9"/>
  <c r="CN166" i="9"/>
  <c r="CM166" i="9"/>
  <c r="CL166" i="9"/>
  <c r="BM166" i="9"/>
  <c r="BL166" i="9"/>
  <c r="BK166" i="9"/>
  <c r="BJ166" i="9"/>
  <c r="BI166" i="9"/>
  <c r="BH166" i="9"/>
  <c r="BG166" i="9"/>
  <c r="BF166" i="9"/>
  <c r="BD166" i="9"/>
  <c r="BB166" i="9"/>
  <c r="BA166" i="9"/>
  <c r="AZ166" i="9"/>
  <c r="AY166" i="9"/>
  <c r="AX166" i="9"/>
  <c r="AW166" i="9"/>
  <c r="AV166" i="9"/>
  <c r="AU166" i="9"/>
  <c r="AT166" i="9"/>
  <c r="AR166" i="9"/>
  <c r="AQ166" i="9"/>
  <c r="AO166" i="9"/>
  <c r="AN166" i="9"/>
  <c r="AM166" i="9"/>
  <c r="AL166" i="9"/>
  <c r="AK166" i="9"/>
  <c r="AJ166" i="9"/>
  <c r="AI166" i="9"/>
  <c r="AH166" i="9"/>
  <c r="AF166" i="9"/>
  <c r="AE166" i="9"/>
  <c r="AD166" i="9"/>
  <c r="AB166" i="9"/>
  <c r="AA166" i="9"/>
  <c r="Z166" i="9"/>
  <c r="Y166" i="9"/>
  <c r="X166" i="9"/>
  <c r="W166" i="9"/>
  <c r="V166" i="9"/>
  <c r="T166" i="9"/>
  <c r="S166" i="9"/>
  <c r="R166" i="9"/>
  <c r="Q166" i="9"/>
  <c r="O166" i="9"/>
  <c r="N166" i="9"/>
  <c r="M166" i="9"/>
  <c r="L166" i="9"/>
  <c r="K166" i="9"/>
  <c r="J166" i="9"/>
  <c r="H166" i="9"/>
  <c r="G166" i="9"/>
  <c r="F166" i="9"/>
  <c r="E166" i="9"/>
  <c r="C166" i="9"/>
  <c r="B166" i="9"/>
  <c r="DI165" i="9"/>
  <c r="DH165" i="9"/>
  <c r="DG165" i="9"/>
  <c r="DE165" i="9"/>
  <c r="DB165" i="9"/>
  <c r="DA165" i="9"/>
  <c r="CZ165" i="9"/>
  <c r="CY165" i="9"/>
  <c r="CX165" i="9"/>
  <c r="CV165" i="9"/>
  <c r="CU165" i="9"/>
  <c r="CT165" i="9"/>
  <c r="CS165" i="9"/>
  <c r="CP165" i="9"/>
  <c r="CN165" i="9"/>
  <c r="CM165" i="9"/>
  <c r="CL165" i="9"/>
  <c r="BM165" i="9"/>
  <c r="BK165" i="9"/>
  <c r="BJ165" i="9"/>
  <c r="BI165" i="9"/>
  <c r="BH165" i="9"/>
  <c r="BG165" i="9"/>
  <c r="BF165" i="9"/>
  <c r="BE165" i="9"/>
  <c r="BC165" i="9"/>
  <c r="BA165" i="9"/>
  <c r="AY165" i="9"/>
  <c r="AX165" i="9"/>
  <c r="AW165" i="9"/>
  <c r="AV165" i="9"/>
  <c r="AU165" i="9"/>
  <c r="AT165" i="9"/>
  <c r="AS165" i="9"/>
  <c r="AR165" i="9"/>
  <c r="AP165" i="9"/>
  <c r="AM165" i="9"/>
  <c r="AL165" i="9"/>
  <c r="AK165" i="9"/>
  <c r="AJ165" i="9"/>
  <c r="AI165" i="9"/>
  <c r="AH165" i="9"/>
  <c r="AG165" i="9"/>
  <c r="AF165" i="9"/>
  <c r="AE165" i="9"/>
  <c r="AC165" i="9"/>
  <c r="Z165" i="9"/>
  <c r="Y165" i="9"/>
  <c r="X165" i="9"/>
  <c r="W165" i="9"/>
  <c r="V165" i="9"/>
  <c r="U165" i="9"/>
  <c r="T165" i="9"/>
  <c r="S165" i="9"/>
  <c r="R165" i="9"/>
  <c r="O165" i="9"/>
  <c r="M165" i="9"/>
  <c r="L165" i="9"/>
  <c r="K165" i="9"/>
  <c r="J165" i="9"/>
  <c r="I165" i="9"/>
  <c r="H165" i="9"/>
  <c r="G165" i="9"/>
  <c r="F165" i="9"/>
  <c r="E165" i="9"/>
  <c r="B165" i="9"/>
  <c r="CT164" i="9"/>
  <c r="BK164" i="9"/>
  <c r="AR164" i="9"/>
  <c r="Z164" i="9"/>
  <c r="G164" i="9"/>
  <c r="F164" i="9"/>
  <c r="B164" i="9"/>
  <c r="DG164" i="9" s="1"/>
  <c r="CV163" i="9"/>
  <c r="BK163" i="9"/>
  <c r="AS163" i="9"/>
  <c r="X163" i="9"/>
  <c r="G163" i="9"/>
  <c r="F163" i="9"/>
  <c r="B163" i="9"/>
  <c r="DI163" i="9" s="1"/>
  <c r="DH162" i="9"/>
  <c r="DG162" i="9"/>
  <c r="DF162" i="9"/>
  <c r="DD162" i="9"/>
  <c r="DA162" i="9"/>
  <c r="CY162" i="9"/>
  <c r="CX162" i="9"/>
  <c r="CW162" i="9"/>
  <c r="CT162" i="9"/>
  <c r="CR162" i="9"/>
  <c r="CQ162" i="9"/>
  <c r="CP162" i="9"/>
  <c r="CM162" i="9"/>
  <c r="CL162" i="9"/>
  <c r="BK162" i="9"/>
  <c r="BJ162" i="9"/>
  <c r="BG162" i="9"/>
  <c r="BF162" i="9"/>
  <c r="BE162" i="9"/>
  <c r="BD162" i="9"/>
  <c r="BC162" i="9"/>
  <c r="BA162" i="9"/>
  <c r="AZ162" i="9"/>
  <c r="AV162" i="9"/>
  <c r="AS162" i="9"/>
  <c r="AR162" i="9"/>
  <c r="AQ162" i="9"/>
  <c r="AP162" i="9"/>
  <c r="AO162" i="9"/>
  <c r="AN162" i="9"/>
  <c r="AM162" i="9"/>
  <c r="AG162" i="9"/>
  <c r="AF162" i="9"/>
  <c r="AE162" i="9"/>
  <c r="AC162" i="9"/>
  <c r="AB162" i="9"/>
  <c r="AA162" i="9"/>
  <c r="Z162" i="9"/>
  <c r="X162" i="9"/>
  <c r="W162" i="9"/>
  <c r="S162" i="9"/>
  <c r="Q162" i="9"/>
  <c r="P162" i="9"/>
  <c r="O162" i="9"/>
  <c r="L162" i="9"/>
  <c r="K162" i="9"/>
  <c r="J162" i="9"/>
  <c r="I162" i="9"/>
  <c r="G162" i="9"/>
  <c r="E162" i="9"/>
  <c r="C162" i="9"/>
  <c r="B162" i="9"/>
  <c r="DI161" i="9"/>
  <c r="DG161" i="9"/>
  <c r="DF161" i="9"/>
  <c r="DE161" i="9"/>
  <c r="DD161" i="9"/>
  <c r="DC161" i="9"/>
  <c r="DA161" i="9"/>
  <c r="CZ161" i="9"/>
  <c r="CX161" i="9"/>
  <c r="CW161" i="9"/>
  <c r="CU161" i="9"/>
  <c r="CT161" i="9"/>
  <c r="CS161" i="9"/>
  <c r="CR161" i="9"/>
  <c r="CQ161" i="9"/>
  <c r="CP161" i="9"/>
  <c r="CN161" i="9"/>
  <c r="CM161" i="9"/>
  <c r="CL161" i="9"/>
  <c r="BM161" i="9"/>
  <c r="BK161" i="9"/>
  <c r="BJ161" i="9"/>
  <c r="BI161" i="9"/>
  <c r="BG161" i="9"/>
  <c r="BF161" i="9"/>
  <c r="BE161" i="9"/>
  <c r="BD161" i="9"/>
  <c r="BC161" i="9"/>
  <c r="BA161" i="9"/>
  <c r="AY161" i="9"/>
  <c r="AX161" i="9"/>
  <c r="AW161" i="9"/>
  <c r="AV161" i="9"/>
  <c r="AU161" i="9"/>
  <c r="AS161" i="9"/>
  <c r="AR161" i="9"/>
  <c r="AQ161" i="9"/>
  <c r="AP161" i="9"/>
  <c r="AM161" i="9"/>
  <c r="AL161" i="9"/>
  <c r="AK161" i="9"/>
  <c r="AJ161" i="9"/>
  <c r="AI161" i="9"/>
  <c r="AH161" i="9"/>
  <c r="AG161" i="9"/>
  <c r="AE161" i="9"/>
  <c r="AD161" i="9"/>
  <c r="AC161" i="9"/>
  <c r="Z161" i="9"/>
  <c r="Y161" i="9"/>
  <c r="X161" i="9"/>
  <c r="W161" i="9"/>
  <c r="V161" i="9"/>
  <c r="U161" i="9"/>
  <c r="T161" i="9"/>
  <c r="S161" i="9"/>
  <c r="Q161" i="9"/>
  <c r="O161" i="9"/>
  <c r="M161" i="9"/>
  <c r="L161" i="9"/>
  <c r="K161" i="9"/>
  <c r="J161" i="9"/>
  <c r="I161" i="9"/>
  <c r="H161" i="9"/>
  <c r="G161" i="9"/>
  <c r="F161" i="9"/>
  <c r="E161" i="9"/>
  <c r="B161" i="9"/>
  <c r="DI160" i="9"/>
  <c r="DG160" i="9"/>
  <c r="DE160" i="9"/>
  <c r="DD160" i="9"/>
  <c r="DC160" i="9"/>
  <c r="DB160" i="9"/>
  <c r="DA160" i="9"/>
  <c r="CZ160" i="9"/>
  <c r="CX160" i="9"/>
  <c r="CW160" i="9"/>
  <c r="CT160" i="9"/>
  <c r="CS160" i="9"/>
  <c r="CR160" i="9"/>
  <c r="CP160" i="9"/>
  <c r="CO160" i="9"/>
  <c r="CN160" i="9"/>
  <c r="CL160" i="9"/>
  <c r="BM160" i="9"/>
  <c r="BK160" i="9"/>
  <c r="BJ160" i="9"/>
  <c r="BI160" i="9"/>
  <c r="BG160" i="9"/>
  <c r="BF160" i="9"/>
  <c r="BD160" i="9"/>
  <c r="BB160" i="9"/>
  <c r="BA160" i="9"/>
  <c r="AZ160" i="9"/>
  <c r="AY160" i="9"/>
  <c r="AX160" i="9"/>
  <c r="AV160" i="9"/>
  <c r="AT160" i="9"/>
  <c r="AS160" i="9"/>
  <c r="AR160" i="9"/>
  <c r="AO160" i="9"/>
  <c r="AN160" i="9"/>
  <c r="AM160" i="9"/>
  <c r="AL160" i="9"/>
  <c r="AK160" i="9"/>
  <c r="AJ160" i="9"/>
  <c r="AI160" i="9"/>
  <c r="AF160" i="9"/>
  <c r="AD160" i="9"/>
  <c r="AC160" i="9"/>
  <c r="AA160" i="9"/>
  <c r="Z160" i="9"/>
  <c r="Y160" i="9"/>
  <c r="X160" i="9"/>
  <c r="W160" i="9"/>
  <c r="V160" i="9"/>
  <c r="T160" i="9"/>
  <c r="R160" i="9"/>
  <c r="P160" i="9"/>
  <c r="O160" i="9"/>
  <c r="M160" i="9"/>
  <c r="L160" i="9"/>
  <c r="K160" i="9"/>
  <c r="J160" i="9"/>
  <c r="I160" i="9"/>
  <c r="G160" i="9"/>
  <c r="F160" i="9"/>
  <c r="E160" i="9"/>
  <c r="C160" i="9"/>
  <c r="B160" i="9"/>
  <c r="CV159" i="9"/>
  <c r="AZ159" i="9"/>
  <c r="AK159" i="9"/>
  <c r="U159" i="9"/>
  <c r="G159" i="9"/>
  <c r="F159" i="9"/>
  <c r="B159" i="9"/>
  <c r="DF159" i="9" s="1"/>
  <c r="DF158" i="9"/>
  <c r="DB158" i="9"/>
  <c r="CX158" i="9"/>
  <c r="CU158" i="9"/>
  <c r="CT158" i="9"/>
  <c r="CO158" i="9"/>
  <c r="CM158" i="9"/>
  <c r="BK158" i="9"/>
  <c r="BG158" i="9"/>
  <c r="BC158" i="9"/>
  <c r="BA158" i="9"/>
  <c r="AY158" i="9"/>
  <c r="AT158" i="9"/>
  <c r="AR158" i="9"/>
  <c r="AN158" i="9"/>
  <c r="AJ158" i="9"/>
  <c r="AI158" i="9"/>
  <c r="AE158" i="9"/>
  <c r="AC158" i="9"/>
  <c r="X158" i="9"/>
  <c r="T158" i="9"/>
  <c r="S158" i="9"/>
  <c r="P158" i="9"/>
  <c r="N158" i="9"/>
  <c r="G158" i="9"/>
  <c r="E158" i="9"/>
  <c r="C158" i="9"/>
  <c r="B158" i="9"/>
  <c r="DG158" i="9" s="1"/>
  <c r="DG157" i="9"/>
  <c r="DE157" i="9"/>
  <c r="CY157" i="9"/>
  <c r="CW157" i="9"/>
  <c r="CU157" i="9"/>
  <c r="CT157" i="9"/>
  <c r="CR157" i="9"/>
  <c r="CP157" i="9"/>
  <c r="BM157" i="9"/>
  <c r="BI157" i="9"/>
  <c r="BE157" i="9"/>
  <c r="BC157" i="9"/>
  <c r="BA157" i="9"/>
  <c r="AY157" i="9"/>
  <c r="AW157" i="9"/>
  <c r="AT157" i="9"/>
  <c r="AP157" i="9"/>
  <c r="AL157" i="9"/>
  <c r="AK157" i="9"/>
  <c r="AJ157" i="9"/>
  <c r="AG157" i="9"/>
  <c r="AE157" i="9"/>
  <c r="Y157" i="9"/>
  <c r="W157" i="9"/>
  <c r="V157" i="9"/>
  <c r="U157" i="9"/>
  <c r="R157" i="9"/>
  <c r="O157" i="9"/>
  <c r="J157" i="9"/>
  <c r="H157" i="9"/>
  <c r="G157" i="9"/>
  <c r="E157" i="9"/>
  <c r="B157" i="9"/>
  <c r="DF157" i="9" s="1"/>
  <c r="DI156" i="9"/>
  <c r="DG156" i="9"/>
  <c r="DF156" i="9"/>
  <c r="DE156" i="9"/>
  <c r="DD156" i="9"/>
  <c r="DC156" i="9"/>
  <c r="DB156" i="9"/>
  <c r="DA156" i="9"/>
  <c r="CZ156" i="9"/>
  <c r="CW156" i="9"/>
  <c r="CV156" i="9"/>
  <c r="CT156" i="9"/>
  <c r="CS156" i="9"/>
  <c r="CR156" i="9"/>
  <c r="CQ156" i="9"/>
  <c r="CP156" i="9"/>
  <c r="CO156" i="9"/>
  <c r="CN156" i="9"/>
  <c r="CL156" i="9"/>
  <c r="BM156" i="9"/>
  <c r="BL156" i="9"/>
  <c r="BK156" i="9"/>
  <c r="BJ156" i="9"/>
  <c r="BI156" i="9"/>
  <c r="BF156" i="9"/>
  <c r="BE156" i="9"/>
  <c r="BD156" i="9"/>
  <c r="BB156" i="9"/>
  <c r="BA156" i="9"/>
  <c r="AZ156" i="9"/>
  <c r="AY156" i="9"/>
  <c r="AX156" i="9"/>
  <c r="AW156" i="9"/>
  <c r="AV156" i="9"/>
  <c r="AT156" i="9"/>
  <c r="AR156" i="9"/>
  <c r="AP156" i="9"/>
  <c r="AO156" i="9"/>
  <c r="AN156" i="9"/>
  <c r="AM156" i="9"/>
  <c r="AL156" i="9"/>
  <c r="AK156" i="9"/>
  <c r="AJ156" i="9"/>
  <c r="AI156" i="9"/>
  <c r="AG156" i="9"/>
  <c r="AF156" i="9"/>
  <c r="AC156" i="9"/>
  <c r="AB156" i="9"/>
  <c r="AA156" i="9"/>
  <c r="Z156" i="9"/>
  <c r="Y156" i="9"/>
  <c r="X156" i="9"/>
  <c r="W156" i="9"/>
  <c r="V156" i="9"/>
  <c r="T156" i="9"/>
  <c r="R156" i="9"/>
  <c r="Q156" i="9"/>
  <c r="O156" i="9"/>
  <c r="N156" i="9"/>
  <c r="M156" i="9"/>
  <c r="L156" i="9"/>
  <c r="K156" i="9"/>
  <c r="J156" i="9"/>
  <c r="I156" i="9"/>
  <c r="G156" i="9"/>
  <c r="F156" i="9"/>
  <c r="E156" i="9"/>
  <c r="C156" i="9"/>
  <c r="B156" i="9"/>
  <c r="DF155" i="9"/>
  <c r="DD155" i="9"/>
  <c r="DA155" i="9"/>
  <c r="CZ155" i="9"/>
  <c r="CY155" i="9"/>
  <c r="CX155" i="9"/>
  <c r="CW155" i="9"/>
  <c r="CU155" i="9"/>
  <c r="CQ155" i="9"/>
  <c r="CM155" i="9"/>
  <c r="CL155" i="9"/>
  <c r="BK155" i="9"/>
  <c r="BI155" i="9"/>
  <c r="BH155" i="9"/>
  <c r="BG155" i="9"/>
  <c r="BD155" i="9"/>
  <c r="BC155" i="9"/>
  <c r="BA155" i="9"/>
  <c r="AZ155" i="9"/>
  <c r="AV155" i="9"/>
  <c r="AS155" i="9"/>
  <c r="AR155" i="9"/>
  <c r="AP155" i="9"/>
  <c r="AN155" i="9"/>
  <c r="AM155" i="9"/>
  <c r="AL155" i="9"/>
  <c r="AK155" i="9"/>
  <c r="AF155" i="9"/>
  <c r="AD155" i="9"/>
  <c r="AA155" i="9"/>
  <c r="Z155" i="9"/>
  <c r="Y155" i="9"/>
  <c r="X155" i="9"/>
  <c r="W155" i="9"/>
  <c r="U155" i="9"/>
  <c r="Q155" i="9"/>
  <c r="M155" i="9"/>
  <c r="L155" i="9"/>
  <c r="K155" i="9"/>
  <c r="I155" i="9"/>
  <c r="H155" i="9"/>
  <c r="G155" i="9"/>
  <c r="F155" i="9"/>
  <c r="B155" i="9"/>
  <c r="DH154" i="9"/>
  <c r="DD154" i="9"/>
  <c r="DC154" i="9"/>
  <c r="DB154" i="9"/>
  <c r="CZ154" i="9"/>
  <c r="CX154" i="9"/>
  <c r="CO154" i="9"/>
  <c r="CN154" i="9"/>
  <c r="BK154" i="9"/>
  <c r="BJ154" i="9"/>
  <c r="BE154" i="9"/>
  <c r="BC154" i="9"/>
  <c r="AX154" i="9"/>
  <c r="AT154" i="9"/>
  <c r="AS154" i="9"/>
  <c r="AR154" i="9"/>
  <c r="AP154" i="9"/>
  <c r="AM154" i="9"/>
  <c r="AE154" i="9"/>
  <c r="AD154" i="9"/>
  <c r="AA154" i="9"/>
  <c r="W154" i="9"/>
  <c r="R154" i="9"/>
  <c r="P154" i="9"/>
  <c r="O154" i="9"/>
  <c r="N154" i="9"/>
  <c r="J154" i="9"/>
  <c r="G154" i="9"/>
  <c r="B154" i="9"/>
  <c r="CM154" i="9" s="1"/>
  <c r="DG153" i="9"/>
  <c r="DF153" i="9"/>
  <c r="DE153" i="9"/>
  <c r="DC153" i="9"/>
  <c r="DA153" i="9"/>
  <c r="CZ153" i="9"/>
  <c r="CY153" i="9"/>
  <c r="CX153" i="9"/>
  <c r="CW153" i="9"/>
  <c r="CU153" i="9"/>
  <c r="CT153" i="9"/>
  <c r="CR153" i="9"/>
  <c r="CQ153" i="9"/>
  <c r="CN153" i="9"/>
  <c r="CM153" i="9"/>
  <c r="CL153" i="9"/>
  <c r="BK153" i="9"/>
  <c r="BJ153" i="9"/>
  <c r="BI153" i="9"/>
  <c r="BH153" i="9"/>
  <c r="BG153" i="9"/>
  <c r="BF153" i="9"/>
  <c r="BE153" i="9"/>
  <c r="BD153" i="9"/>
  <c r="BC153" i="9"/>
  <c r="BA153" i="9"/>
  <c r="AY153" i="9"/>
  <c r="AV153" i="9"/>
  <c r="AU153" i="9"/>
  <c r="AT153" i="9"/>
  <c r="AS153" i="9"/>
  <c r="AR153" i="9"/>
  <c r="AQ153" i="9"/>
  <c r="AP153" i="9"/>
  <c r="AM153" i="9"/>
  <c r="AL153" i="9"/>
  <c r="AK153" i="9"/>
  <c r="AI153" i="9"/>
  <c r="AG153" i="9"/>
  <c r="AF153" i="9"/>
  <c r="AE153" i="9"/>
  <c r="AD153" i="9"/>
  <c r="AC153" i="9"/>
  <c r="Z153" i="9"/>
  <c r="Y153" i="9"/>
  <c r="X153" i="9"/>
  <c r="W153" i="9"/>
  <c r="U153" i="9"/>
  <c r="T153" i="9"/>
  <c r="R153" i="9"/>
  <c r="Q153" i="9"/>
  <c r="O153" i="9"/>
  <c r="M153" i="9"/>
  <c r="L153" i="9"/>
  <c r="K153" i="9"/>
  <c r="J153" i="9"/>
  <c r="I153" i="9"/>
  <c r="G153" i="9"/>
  <c r="F153" i="9"/>
  <c r="E153" i="9"/>
  <c r="B153" i="9"/>
  <c r="DI152" i="9"/>
  <c r="DG152" i="9"/>
  <c r="DF152" i="9"/>
  <c r="DE152" i="9"/>
  <c r="DD152" i="9"/>
  <c r="DC152" i="9"/>
  <c r="DB152" i="9"/>
  <c r="CW152" i="9"/>
  <c r="CV152" i="9"/>
  <c r="CS152" i="9"/>
  <c r="CR152" i="9"/>
  <c r="CQ152" i="9"/>
  <c r="CP152" i="9"/>
  <c r="CO152" i="9"/>
  <c r="CN152" i="9"/>
  <c r="BM152" i="9"/>
  <c r="BK152" i="9"/>
  <c r="BJ152" i="9"/>
  <c r="BI152" i="9"/>
  <c r="BF152" i="9"/>
  <c r="BE152" i="9"/>
  <c r="BB152" i="9"/>
  <c r="BA152" i="9"/>
  <c r="AZ152" i="9"/>
  <c r="AX152" i="9"/>
  <c r="AW152" i="9"/>
  <c r="AV152" i="9"/>
  <c r="AU152" i="9"/>
  <c r="AR152" i="9"/>
  <c r="AP152" i="9"/>
  <c r="AN152" i="9"/>
  <c r="AM152" i="9"/>
  <c r="AK152" i="9"/>
  <c r="AJ152" i="9"/>
  <c r="AI152" i="9"/>
  <c r="AH152" i="9"/>
  <c r="AG152" i="9"/>
  <c r="AC152" i="9"/>
  <c r="AB152" i="9"/>
  <c r="Z152" i="9"/>
  <c r="X152" i="9"/>
  <c r="W152" i="9"/>
  <c r="V152" i="9"/>
  <c r="U152" i="9"/>
  <c r="T152" i="9"/>
  <c r="R152" i="9"/>
  <c r="O152" i="9"/>
  <c r="N152" i="9"/>
  <c r="K152" i="9"/>
  <c r="J152" i="9"/>
  <c r="I152" i="9"/>
  <c r="H152" i="9"/>
  <c r="G152" i="9"/>
  <c r="F152" i="9"/>
  <c r="E152" i="9"/>
  <c r="B152" i="9"/>
  <c r="DH151" i="9"/>
  <c r="DE151" i="9"/>
  <c r="DC151" i="9"/>
  <c r="DA151" i="9"/>
  <c r="CY151" i="9"/>
  <c r="CX151" i="9"/>
  <c r="CQ151" i="9"/>
  <c r="CO151" i="9"/>
  <c r="CN151" i="9"/>
  <c r="CM151" i="9"/>
  <c r="CL151" i="9"/>
  <c r="BL151" i="9"/>
  <c r="BK151" i="9"/>
  <c r="BI151" i="9"/>
  <c r="BH151" i="9"/>
  <c r="AZ151" i="9"/>
  <c r="AY151" i="9"/>
  <c r="AX151" i="9"/>
  <c r="AW151" i="9"/>
  <c r="AV151" i="9"/>
  <c r="AR151" i="9"/>
  <c r="AN151" i="9"/>
  <c r="AK151" i="9"/>
  <c r="AJ151" i="9"/>
  <c r="AG151" i="9"/>
  <c r="AE151" i="9"/>
  <c r="AD151" i="9"/>
  <c r="Z151" i="9"/>
  <c r="X151" i="9"/>
  <c r="U151" i="9"/>
  <c r="T151" i="9"/>
  <c r="Q151" i="9"/>
  <c r="P151" i="9"/>
  <c r="I151" i="9"/>
  <c r="H151" i="9"/>
  <c r="G151" i="9"/>
  <c r="E151" i="9"/>
  <c r="C151" i="9"/>
  <c r="B151" i="9"/>
  <c r="DI150" i="9"/>
  <c r="DF150" i="9"/>
  <c r="DD150" i="9"/>
  <c r="DB150" i="9"/>
  <c r="DA150" i="9"/>
  <c r="CY150" i="9"/>
  <c r="CX150" i="9"/>
  <c r="CW150" i="9"/>
  <c r="CV150" i="9"/>
  <c r="CU150" i="9"/>
  <c r="CQ150" i="9"/>
  <c r="CP150" i="9"/>
  <c r="CN150" i="9"/>
  <c r="CL150" i="9"/>
  <c r="BL150" i="9"/>
  <c r="BK150" i="9"/>
  <c r="BJ150" i="9"/>
  <c r="BI150" i="9"/>
  <c r="BH150" i="9"/>
  <c r="BG150" i="9"/>
  <c r="BF150" i="9"/>
  <c r="BC150" i="9"/>
  <c r="BA150" i="9"/>
  <c r="AY150" i="9"/>
  <c r="AX150" i="9"/>
  <c r="AW150" i="9"/>
  <c r="AV150" i="9"/>
  <c r="AU150" i="9"/>
  <c r="AT150" i="9"/>
  <c r="AS150" i="9"/>
  <c r="AO150" i="9"/>
  <c r="AN150" i="9"/>
  <c r="AL150" i="9"/>
  <c r="AK150" i="9"/>
  <c r="AJ150" i="9"/>
  <c r="AI150" i="9"/>
  <c r="AH150" i="9"/>
  <c r="AG150" i="9"/>
  <c r="AF150" i="9"/>
  <c r="AB150" i="9"/>
  <c r="AA150" i="9"/>
  <c r="Y150" i="9"/>
  <c r="X150" i="9"/>
  <c r="W150" i="9"/>
  <c r="V150" i="9"/>
  <c r="U150" i="9"/>
  <c r="T150" i="9"/>
  <c r="S150" i="9"/>
  <c r="O150" i="9"/>
  <c r="N150" i="9"/>
  <c r="L150" i="9"/>
  <c r="K150" i="9"/>
  <c r="J150" i="9"/>
  <c r="I150" i="9"/>
  <c r="H150" i="9"/>
  <c r="G150" i="9"/>
  <c r="E150" i="9"/>
  <c r="B150" i="9"/>
  <c r="DF149" i="9"/>
  <c r="DC149" i="9"/>
  <c r="CN149" i="9"/>
  <c r="BA149" i="9"/>
  <c r="AU149" i="9"/>
  <c r="AE149" i="9"/>
  <c r="AB149" i="9"/>
  <c r="N149" i="9"/>
  <c r="H149" i="9"/>
  <c r="G149" i="9"/>
  <c r="B149" i="9"/>
  <c r="CS149" i="9" s="1"/>
  <c r="DI148" i="9"/>
  <c r="DH148" i="9"/>
  <c r="DG148" i="9"/>
  <c r="DF148" i="9"/>
  <c r="DB148" i="9"/>
  <c r="DA148" i="9"/>
  <c r="CY148" i="9"/>
  <c r="CX148" i="9"/>
  <c r="CW148" i="9"/>
  <c r="CV148" i="9"/>
  <c r="CU148" i="9"/>
  <c r="CT148" i="9"/>
  <c r="CS148" i="9"/>
  <c r="CO148" i="9"/>
  <c r="CN148" i="9"/>
  <c r="CL148" i="9"/>
  <c r="BL148" i="9"/>
  <c r="BK148" i="9"/>
  <c r="BJ148" i="9"/>
  <c r="BI148" i="9"/>
  <c r="BG148" i="9"/>
  <c r="BF148" i="9"/>
  <c r="BE148" i="9"/>
  <c r="BB148" i="9"/>
  <c r="BA148" i="9"/>
  <c r="AY148" i="9"/>
  <c r="AX148" i="9"/>
  <c r="AW148" i="9"/>
  <c r="AU148" i="9"/>
  <c r="AT148" i="9"/>
  <c r="AS148" i="9"/>
  <c r="AR148" i="9"/>
  <c r="AO148" i="9"/>
  <c r="AN148" i="9"/>
  <c r="AL148" i="9"/>
  <c r="AK148" i="9"/>
  <c r="AI148" i="9"/>
  <c r="AH148" i="9"/>
  <c r="AG148" i="9"/>
  <c r="AF148" i="9"/>
  <c r="AE148" i="9"/>
  <c r="AB148" i="9"/>
  <c r="AA148" i="9"/>
  <c r="Y148" i="9"/>
  <c r="W148" i="9"/>
  <c r="V148" i="9"/>
  <c r="U148" i="9"/>
  <c r="T148" i="9"/>
  <c r="S148" i="9"/>
  <c r="R148" i="9"/>
  <c r="O148" i="9"/>
  <c r="N148" i="9"/>
  <c r="K148" i="9"/>
  <c r="J148" i="9"/>
  <c r="I148" i="9"/>
  <c r="H148" i="9"/>
  <c r="G148" i="9"/>
  <c r="F148" i="9"/>
  <c r="E148" i="9"/>
  <c r="B148" i="9"/>
  <c r="DI147" i="9"/>
  <c r="DH147" i="9"/>
  <c r="DF147" i="9"/>
  <c r="DE147" i="9"/>
  <c r="DD147" i="9"/>
  <c r="DC147" i="9"/>
  <c r="DB147" i="9"/>
  <c r="DA147" i="9"/>
  <c r="CZ147" i="9"/>
  <c r="CY147" i="9"/>
  <c r="CX147" i="9"/>
  <c r="CW147" i="9"/>
  <c r="CV147" i="9"/>
  <c r="CT147" i="9"/>
  <c r="CS147" i="9"/>
  <c r="CR147" i="9"/>
  <c r="CQ147" i="9"/>
  <c r="CP147" i="9"/>
  <c r="CO147" i="9"/>
  <c r="CN147" i="9"/>
  <c r="CM147" i="9"/>
  <c r="CL147" i="9"/>
  <c r="BM147" i="9"/>
  <c r="BL147" i="9"/>
  <c r="BJ147" i="9"/>
  <c r="BI147" i="9"/>
  <c r="BH147" i="9"/>
  <c r="BG147" i="9"/>
  <c r="BF147" i="9"/>
  <c r="BE147" i="9"/>
  <c r="BD147" i="9"/>
  <c r="BC147" i="9"/>
  <c r="BB147" i="9"/>
  <c r="BA147" i="9"/>
  <c r="AZ147" i="9"/>
  <c r="AX147" i="9"/>
  <c r="AW147" i="9"/>
  <c r="AV147" i="9"/>
  <c r="AU147" i="9"/>
  <c r="AT147" i="9"/>
  <c r="AS147" i="9"/>
  <c r="AR147" i="9"/>
  <c r="AQ147" i="9"/>
  <c r="AP147" i="9"/>
  <c r="AO147" i="9"/>
  <c r="AN147" i="9"/>
  <c r="AL147" i="9"/>
  <c r="AK147" i="9"/>
  <c r="AJ147" i="9"/>
  <c r="AI147" i="9"/>
  <c r="AH147" i="9"/>
  <c r="AG147" i="9"/>
  <c r="AF147" i="9"/>
  <c r="AE147" i="9"/>
  <c r="AD147" i="9"/>
  <c r="AC147" i="9"/>
  <c r="AB147" i="9"/>
  <c r="Z147" i="9"/>
  <c r="Y147" i="9"/>
  <c r="X147" i="9"/>
  <c r="W147" i="9"/>
  <c r="V147" i="9"/>
  <c r="U147" i="9"/>
  <c r="T147" i="9"/>
  <c r="S147" i="9"/>
  <c r="R147" i="9"/>
  <c r="Q147" i="9"/>
  <c r="P147" i="9"/>
  <c r="N147" i="9"/>
  <c r="M147" i="9"/>
  <c r="L147" i="9"/>
  <c r="K147" i="9"/>
  <c r="J147" i="9"/>
  <c r="I147" i="9"/>
  <c r="H147" i="9"/>
  <c r="G147" i="9"/>
  <c r="F147" i="9"/>
  <c r="E147" i="9"/>
  <c r="C147" i="9"/>
  <c r="B147" i="9"/>
  <c r="DG147" i="9" s="1"/>
  <c r="DI146" i="9"/>
  <c r="DH146" i="9"/>
  <c r="DG146" i="9"/>
  <c r="DF146" i="9"/>
  <c r="DC146" i="9"/>
  <c r="DB146" i="9"/>
  <c r="CZ146" i="9"/>
  <c r="CY146" i="9"/>
  <c r="CW146" i="9"/>
  <c r="CV146" i="9"/>
  <c r="CU146" i="9"/>
  <c r="CT146" i="9"/>
  <c r="CS146" i="9"/>
  <c r="CP146" i="9"/>
  <c r="CO146" i="9"/>
  <c r="CM146" i="9"/>
  <c r="BL146" i="9"/>
  <c r="BK146" i="9"/>
  <c r="BJ146" i="9"/>
  <c r="BI146" i="9"/>
  <c r="BH146" i="9"/>
  <c r="BG146" i="9"/>
  <c r="BF146" i="9"/>
  <c r="BC146" i="9"/>
  <c r="BA146" i="9"/>
  <c r="AY146" i="9"/>
  <c r="AX146" i="9"/>
  <c r="AW146" i="9"/>
  <c r="AV146" i="9"/>
  <c r="AU146" i="9"/>
  <c r="AT146" i="9"/>
  <c r="AS146" i="9"/>
  <c r="AO146" i="9"/>
  <c r="AN146" i="9"/>
  <c r="AL146" i="9"/>
  <c r="AK146" i="9"/>
  <c r="AJ146" i="9"/>
  <c r="AI146" i="9"/>
  <c r="AH146" i="9"/>
  <c r="AG146" i="9"/>
  <c r="AF146" i="9"/>
  <c r="AB146" i="9"/>
  <c r="AA146" i="9"/>
  <c r="Y146" i="9"/>
  <c r="X146" i="9"/>
  <c r="W146" i="9"/>
  <c r="V146" i="9"/>
  <c r="U146" i="9"/>
  <c r="T146" i="9"/>
  <c r="S146" i="9"/>
  <c r="O146" i="9"/>
  <c r="N146" i="9"/>
  <c r="L146" i="9"/>
  <c r="K146" i="9"/>
  <c r="J146" i="9"/>
  <c r="I146" i="9"/>
  <c r="H146" i="9"/>
  <c r="G146" i="9"/>
  <c r="E146" i="9"/>
  <c r="B146" i="9"/>
  <c r="DI145" i="9"/>
  <c r="DH145" i="9"/>
  <c r="DF145" i="9"/>
  <c r="DE145" i="9"/>
  <c r="DC145" i="9"/>
  <c r="DB145" i="9"/>
  <c r="CZ145" i="9"/>
  <c r="CY145" i="9"/>
  <c r="CV145" i="9"/>
  <c r="CS145" i="9"/>
  <c r="CR145" i="9"/>
  <c r="CQ145" i="9"/>
  <c r="CP145" i="9"/>
  <c r="CN145" i="9"/>
  <c r="CL145" i="9"/>
  <c r="BL145" i="9"/>
  <c r="BI145" i="9"/>
  <c r="BH145" i="9"/>
  <c r="BF145" i="9"/>
  <c r="BD145" i="9"/>
  <c r="BB145" i="9"/>
  <c r="BA145" i="9"/>
  <c r="AZ145" i="9"/>
  <c r="AY145" i="9"/>
  <c r="AV145" i="9"/>
  <c r="AR145" i="9"/>
  <c r="AQ145" i="9"/>
  <c r="AP145" i="9"/>
  <c r="AO145" i="9"/>
  <c r="AN145" i="9"/>
  <c r="AL145" i="9"/>
  <c r="AI145" i="9"/>
  <c r="AH145" i="9"/>
  <c r="AE145" i="9"/>
  <c r="AD145" i="9"/>
  <c r="AB145" i="9"/>
  <c r="AA145" i="9"/>
  <c r="Z145" i="9"/>
  <c r="Y145" i="9"/>
  <c r="V145" i="9"/>
  <c r="R145" i="9"/>
  <c r="Q145" i="9"/>
  <c r="P145" i="9"/>
  <c r="O145" i="9"/>
  <c r="N145" i="9"/>
  <c r="L145" i="9"/>
  <c r="H145" i="9"/>
  <c r="G145" i="9"/>
  <c r="E145" i="9"/>
  <c r="C145" i="9"/>
  <c r="B145" i="9"/>
  <c r="DI144" i="9"/>
  <c r="DH144" i="9"/>
  <c r="DG144" i="9"/>
  <c r="DF144" i="9"/>
  <c r="DB144" i="9"/>
  <c r="DA144" i="9"/>
  <c r="CY144" i="9"/>
  <c r="CX144" i="9"/>
  <c r="CW144" i="9"/>
  <c r="CV144" i="9"/>
  <c r="CU144" i="9"/>
  <c r="CT144" i="9"/>
  <c r="CS144" i="9"/>
  <c r="CO144" i="9"/>
  <c r="CN144" i="9"/>
  <c r="CL144" i="9"/>
  <c r="BL144" i="9"/>
  <c r="BK144" i="9"/>
  <c r="BJ144" i="9"/>
  <c r="BI144" i="9"/>
  <c r="BG144" i="9"/>
  <c r="BF144" i="9"/>
  <c r="BE144" i="9"/>
  <c r="BB144" i="9"/>
  <c r="BA144" i="9"/>
  <c r="AY144" i="9"/>
  <c r="AX144" i="9"/>
  <c r="AW144" i="9"/>
  <c r="AU144" i="9"/>
  <c r="AT144" i="9"/>
  <c r="AS144" i="9"/>
  <c r="AR144" i="9"/>
  <c r="AO144" i="9"/>
  <c r="AN144" i="9"/>
  <c r="AL144" i="9"/>
  <c r="AK144" i="9"/>
  <c r="AI144" i="9"/>
  <c r="AH144" i="9"/>
  <c r="AG144" i="9"/>
  <c r="AF144" i="9"/>
  <c r="AE144" i="9"/>
  <c r="AB144" i="9"/>
  <c r="AA144" i="9"/>
  <c r="Y144" i="9"/>
  <c r="W144" i="9"/>
  <c r="V144" i="9"/>
  <c r="U144" i="9"/>
  <c r="T144" i="9"/>
  <c r="S144" i="9"/>
  <c r="R144" i="9"/>
  <c r="O144" i="9"/>
  <c r="N144" i="9"/>
  <c r="K144" i="9"/>
  <c r="J144" i="9"/>
  <c r="I144" i="9"/>
  <c r="H144" i="9"/>
  <c r="G144" i="9"/>
  <c r="F144" i="9"/>
  <c r="E144" i="9"/>
  <c r="B144" i="9"/>
  <c r="DI143" i="9"/>
  <c r="DH143" i="9"/>
  <c r="DF143" i="9"/>
  <c r="DE143" i="9"/>
  <c r="DD143" i="9"/>
  <c r="DC143" i="9"/>
  <c r="DB143" i="9"/>
  <c r="DA143" i="9"/>
  <c r="CZ143" i="9"/>
  <c r="CY143" i="9"/>
  <c r="CX143" i="9"/>
  <c r="CW143" i="9"/>
  <c r="CV143" i="9"/>
  <c r="CT143" i="9"/>
  <c r="CS143" i="9"/>
  <c r="CR143" i="9"/>
  <c r="CQ143" i="9"/>
  <c r="CP143" i="9"/>
  <c r="CO143" i="9"/>
  <c r="CN143" i="9"/>
  <c r="CM143" i="9"/>
  <c r="CL143" i="9"/>
  <c r="CK143" i="9"/>
  <c r="CJ143" i="9"/>
  <c r="CH143" i="9"/>
  <c r="CG143" i="9"/>
  <c r="CF143" i="9"/>
  <c r="CE143" i="9"/>
  <c r="CD143" i="9"/>
  <c r="CC143" i="9"/>
  <c r="CB143" i="9"/>
  <c r="CA143" i="9"/>
  <c r="BZ143" i="9"/>
  <c r="BY143" i="9"/>
  <c r="BX143" i="9"/>
  <c r="BV143" i="9"/>
  <c r="BU143" i="9"/>
  <c r="BT143" i="9"/>
  <c r="BS143" i="9"/>
  <c r="BR143" i="9"/>
  <c r="BQ143" i="9"/>
  <c r="BP143" i="9"/>
  <c r="BO143" i="9"/>
  <c r="BN143" i="9"/>
  <c r="BM143" i="9"/>
  <c r="BL143" i="9"/>
  <c r="BJ143" i="9"/>
  <c r="BI143" i="9"/>
  <c r="BH143" i="9"/>
  <c r="BG143" i="9"/>
  <c r="BF143" i="9"/>
  <c r="BE143" i="9"/>
  <c r="BD143" i="9"/>
  <c r="BC143" i="9"/>
  <c r="BB143" i="9"/>
  <c r="BA143" i="9"/>
  <c r="AZ143" i="9"/>
  <c r="AX143" i="9"/>
  <c r="AW143" i="9"/>
  <c r="AV143" i="9"/>
  <c r="AU143" i="9"/>
  <c r="AT143" i="9"/>
  <c r="AS143" i="9"/>
  <c r="AR143" i="9"/>
  <c r="AQ143" i="9"/>
  <c r="AP143" i="9"/>
  <c r="AO143" i="9"/>
  <c r="AN143" i="9"/>
  <c r="AL143" i="9"/>
  <c r="AK143" i="9"/>
  <c r="AJ143" i="9"/>
  <c r="AI143" i="9"/>
  <c r="AH143" i="9"/>
  <c r="AG143" i="9"/>
  <c r="AF143" i="9"/>
  <c r="AE143" i="9"/>
  <c r="AD143" i="9"/>
  <c r="AC143" i="9"/>
  <c r="AB143" i="9"/>
  <c r="Z143" i="9"/>
  <c r="Y143" i="9"/>
  <c r="X143" i="9"/>
  <c r="W143" i="9"/>
  <c r="V143" i="9"/>
  <c r="U143" i="9"/>
  <c r="T143" i="9"/>
  <c r="S143" i="9"/>
  <c r="R143" i="9"/>
  <c r="Q143" i="9"/>
  <c r="P143" i="9"/>
  <c r="N143" i="9"/>
  <c r="M143" i="9"/>
  <c r="L143" i="9"/>
  <c r="K143" i="9"/>
  <c r="J143" i="9"/>
  <c r="I143" i="9"/>
  <c r="H143" i="9"/>
  <c r="G143" i="9"/>
  <c r="F143" i="9"/>
  <c r="E143" i="9"/>
  <c r="C143" i="9"/>
  <c r="B143" i="9"/>
  <c r="DG143" i="9" s="1"/>
  <c r="DH142" i="9"/>
  <c r="DG142" i="9"/>
  <c r="DF142" i="9"/>
  <c r="DD142" i="9"/>
  <c r="DC142" i="9"/>
  <c r="DB142" i="9"/>
  <c r="CZ142" i="9"/>
  <c r="CY142" i="9"/>
  <c r="CW142" i="9"/>
  <c r="CV142" i="9"/>
  <c r="CU142" i="9"/>
  <c r="CS142" i="9"/>
  <c r="CQ142" i="9"/>
  <c r="CP142" i="9"/>
  <c r="CO142" i="9"/>
  <c r="CM142" i="9"/>
  <c r="CK142" i="9"/>
  <c r="CJ142" i="9"/>
  <c r="CI142" i="9"/>
  <c r="CH142" i="9"/>
  <c r="CG142" i="9"/>
  <c r="CF142" i="9"/>
  <c r="CC142" i="9"/>
  <c r="CB142" i="9"/>
  <c r="BY142" i="9"/>
  <c r="BX142" i="9"/>
  <c r="BW142" i="9"/>
  <c r="BV142" i="9"/>
  <c r="BU142" i="9"/>
  <c r="BT142" i="9"/>
  <c r="BS142" i="9"/>
  <c r="BQ142" i="9"/>
  <c r="BP142" i="9"/>
  <c r="BL142" i="9"/>
  <c r="BK142" i="9"/>
  <c r="BJ142" i="9"/>
  <c r="BI142" i="9"/>
  <c r="BH142" i="9"/>
  <c r="BG142" i="9"/>
  <c r="BF142" i="9"/>
  <c r="BD142" i="9"/>
  <c r="BC142" i="9"/>
  <c r="BA142" i="9"/>
  <c r="AY142" i="9"/>
  <c r="AW142" i="9"/>
  <c r="AV142" i="9"/>
  <c r="AU142" i="9"/>
  <c r="AT142" i="9"/>
  <c r="AS142" i="9"/>
  <c r="AQ142" i="9"/>
  <c r="AO142" i="9"/>
  <c r="AN142" i="9"/>
  <c r="AL142" i="9"/>
  <c r="AK142" i="9"/>
  <c r="AJ142" i="9"/>
  <c r="AH142" i="9"/>
  <c r="AG142" i="9"/>
  <c r="AF142" i="9"/>
  <c r="AC142" i="9"/>
  <c r="AB142" i="9"/>
  <c r="AA142" i="9"/>
  <c r="Y142" i="9"/>
  <c r="X142" i="9"/>
  <c r="W142" i="9"/>
  <c r="V142" i="9"/>
  <c r="U142" i="9"/>
  <c r="S142" i="9"/>
  <c r="P142" i="9"/>
  <c r="O142" i="9"/>
  <c r="N142" i="9"/>
  <c r="L142" i="9"/>
  <c r="K142" i="9"/>
  <c r="J142" i="9"/>
  <c r="I142" i="9"/>
  <c r="H142" i="9"/>
  <c r="G142" i="9"/>
  <c r="E142" i="9"/>
  <c r="B142" i="9"/>
  <c r="DH141" i="9"/>
  <c r="DD141" i="9"/>
  <c r="CY141" i="9"/>
  <c r="CW141" i="9"/>
  <c r="CR141" i="9"/>
  <c r="CN141" i="9"/>
  <c r="CI141" i="9"/>
  <c r="CH141" i="9"/>
  <c r="CB141" i="9"/>
  <c r="BY141" i="9"/>
  <c r="BS141" i="9"/>
  <c r="BR141" i="9"/>
  <c r="BM141" i="9"/>
  <c r="BI141" i="9"/>
  <c r="BC141" i="9"/>
  <c r="BB141" i="9"/>
  <c r="AW141" i="9"/>
  <c r="AR141" i="9"/>
  <c r="AN141" i="9"/>
  <c r="AM141" i="9"/>
  <c r="AH141" i="9"/>
  <c r="AC141" i="9"/>
  <c r="Y141" i="9"/>
  <c r="W141" i="9"/>
  <c r="Q141" i="9"/>
  <c r="N141" i="9"/>
  <c r="H141" i="9"/>
  <c r="G141" i="9"/>
  <c r="B141" i="9"/>
  <c r="DI140" i="9"/>
  <c r="DF140" i="9"/>
  <c r="CY140" i="9"/>
  <c r="CX140" i="9"/>
  <c r="CJ140" i="9"/>
  <c r="CI140" i="9"/>
  <c r="BY140" i="9"/>
  <c r="BU140" i="9"/>
  <c r="BS140" i="9"/>
  <c r="BN140" i="9"/>
  <c r="BJ140" i="9"/>
  <c r="BE140" i="9"/>
  <c r="BC140" i="9"/>
  <c r="AO140" i="9"/>
  <c r="AN140" i="9"/>
  <c r="AE140" i="9"/>
  <c r="Y140" i="9"/>
  <c r="W140" i="9"/>
  <c r="S140" i="9"/>
  <c r="O140" i="9"/>
  <c r="I140" i="9"/>
  <c r="H140" i="9"/>
  <c r="G140" i="9"/>
  <c r="B140" i="9"/>
  <c r="DI139" i="9"/>
  <c r="DH139" i="9"/>
  <c r="DF139" i="9"/>
  <c r="DE139" i="9"/>
  <c r="DD139" i="9"/>
  <c r="DC139" i="9"/>
  <c r="DB139" i="9"/>
  <c r="DA139" i="9"/>
  <c r="CZ139" i="9"/>
  <c r="CY139" i="9"/>
  <c r="CX139" i="9"/>
  <c r="CW139" i="9"/>
  <c r="CV139" i="9"/>
  <c r="CT139" i="9"/>
  <c r="CS139" i="9"/>
  <c r="CR139" i="9"/>
  <c r="CQ139" i="9"/>
  <c r="CP139" i="9"/>
  <c r="CO139" i="9"/>
  <c r="CN139" i="9"/>
  <c r="CM139" i="9"/>
  <c r="CL139" i="9"/>
  <c r="CK139" i="9"/>
  <c r="CJ139" i="9"/>
  <c r="CH139" i="9"/>
  <c r="CG139" i="9"/>
  <c r="CF139" i="9"/>
  <c r="CE139" i="9"/>
  <c r="CD139" i="9"/>
  <c r="CC139" i="9"/>
  <c r="CB139" i="9"/>
  <c r="CA139" i="9"/>
  <c r="BZ139" i="9"/>
  <c r="BY139" i="9"/>
  <c r="BX139" i="9"/>
  <c r="BV139" i="9"/>
  <c r="BU139" i="9"/>
  <c r="BT139" i="9"/>
  <c r="BS139" i="9"/>
  <c r="BR139" i="9"/>
  <c r="BQ139" i="9"/>
  <c r="BP139" i="9"/>
  <c r="BO139" i="9"/>
  <c r="BN139" i="9"/>
  <c r="BM139" i="9"/>
  <c r="BL139" i="9"/>
  <c r="BJ139" i="9"/>
  <c r="BI139" i="9"/>
  <c r="BH139" i="9"/>
  <c r="BG139" i="9"/>
  <c r="BF139" i="9"/>
  <c r="BE139" i="9"/>
  <c r="BD139" i="9"/>
  <c r="BC139" i="9"/>
  <c r="BB139" i="9"/>
  <c r="BA139" i="9"/>
  <c r="AZ139" i="9"/>
  <c r="AX139" i="9"/>
  <c r="AW139" i="9"/>
  <c r="AV139" i="9"/>
  <c r="AU139" i="9"/>
  <c r="AT139" i="9"/>
  <c r="AS139" i="9"/>
  <c r="AR139" i="9"/>
  <c r="AQ139" i="9"/>
  <c r="AP139" i="9"/>
  <c r="AO139" i="9"/>
  <c r="AN139" i="9"/>
  <c r="AL139" i="9"/>
  <c r="AK139" i="9"/>
  <c r="AJ139" i="9"/>
  <c r="AI139" i="9"/>
  <c r="AH139" i="9"/>
  <c r="AG139" i="9"/>
  <c r="AF139" i="9"/>
  <c r="AE139" i="9"/>
  <c r="AD139" i="9"/>
  <c r="AC139" i="9"/>
  <c r="AB139" i="9"/>
  <c r="Z139" i="9"/>
  <c r="Y139" i="9"/>
  <c r="X139" i="9"/>
  <c r="W139" i="9"/>
  <c r="V139" i="9"/>
  <c r="U139" i="9"/>
  <c r="T139" i="9"/>
  <c r="S139" i="9"/>
  <c r="R139" i="9"/>
  <c r="Q139" i="9"/>
  <c r="P139" i="9"/>
  <c r="N139" i="9"/>
  <c r="M139" i="9"/>
  <c r="L139" i="9"/>
  <c r="K139" i="9"/>
  <c r="J139" i="9"/>
  <c r="I139" i="9"/>
  <c r="H139" i="9"/>
  <c r="G139" i="9"/>
  <c r="F139" i="9"/>
  <c r="E139" i="9"/>
  <c r="C139" i="9"/>
  <c r="B139" i="9"/>
  <c r="DG139" i="9" s="1"/>
  <c r="CZ138" i="9"/>
  <c r="CT138" i="9"/>
  <c r="CI138" i="9"/>
  <c r="CC138" i="9"/>
  <c r="BQ138" i="9"/>
  <c r="BH138" i="9"/>
  <c r="AY138" i="9"/>
  <c r="AO138" i="9"/>
  <c r="AI138" i="9"/>
  <c r="X138" i="9"/>
  <c r="S138" i="9"/>
  <c r="G138" i="9"/>
  <c r="B138" i="9"/>
  <c r="DC138" i="9" s="1"/>
  <c r="DI137" i="9"/>
  <c r="DD137" i="9"/>
  <c r="CZ137" i="9"/>
  <c r="CV137" i="9"/>
  <c r="CS137" i="9"/>
  <c r="CN137" i="9"/>
  <c r="CL137" i="9"/>
  <c r="CJ137" i="9"/>
  <c r="CH137" i="9"/>
  <c r="CF137" i="9"/>
  <c r="CE137" i="9"/>
  <c r="BY137" i="9"/>
  <c r="BV137" i="9"/>
  <c r="BR137" i="9"/>
  <c r="BP137" i="9"/>
  <c r="BO137" i="9"/>
  <c r="BK137" i="9"/>
  <c r="BI137" i="9"/>
  <c r="BH137" i="9"/>
  <c r="BD137" i="9"/>
  <c r="BB137" i="9"/>
  <c r="AW137" i="9"/>
  <c r="AR137" i="9"/>
  <c r="AP137" i="9"/>
  <c r="AO137" i="9"/>
  <c r="AN137" i="9"/>
  <c r="AM137" i="9"/>
  <c r="AI137" i="9"/>
  <c r="AE137" i="9"/>
  <c r="AB137" i="9"/>
  <c r="Z137" i="9"/>
  <c r="T137" i="9"/>
  <c r="Q137" i="9"/>
  <c r="P137" i="9"/>
  <c r="N137" i="9"/>
  <c r="M137" i="9"/>
  <c r="L137" i="9"/>
  <c r="K137" i="9"/>
  <c r="G137" i="9"/>
  <c r="E137" i="9"/>
  <c r="B137" i="9"/>
  <c r="CV136" i="9"/>
  <c r="AB136" i="9"/>
  <c r="G136" i="9"/>
  <c r="B136" i="9"/>
  <c r="BN136" i="9" s="1"/>
  <c r="DI135" i="9"/>
  <c r="DH135" i="9"/>
  <c r="DF135" i="9"/>
  <c r="DE135" i="9"/>
  <c r="DD135" i="9"/>
  <c r="DC135" i="9"/>
  <c r="DB135" i="9"/>
  <c r="DA135" i="9"/>
  <c r="CZ135" i="9"/>
  <c r="CY135" i="9"/>
  <c r="CX135" i="9"/>
  <c r="CW135" i="9"/>
  <c r="CV135" i="9"/>
  <c r="CT135" i="9"/>
  <c r="CS135" i="9"/>
  <c r="CR135" i="9"/>
  <c r="CQ135" i="9"/>
  <c r="CP135" i="9"/>
  <c r="CO135" i="9"/>
  <c r="CN135" i="9"/>
  <c r="CM135" i="9"/>
  <c r="CL135" i="9"/>
  <c r="CK135" i="9"/>
  <c r="CJ135" i="9"/>
  <c r="CH135" i="9"/>
  <c r="CG135" i="9"/>
  <c r="CF135" i="9"/>
  <c r="CE135" i="9"/>
  <c r="CD135" i="9"/>
  <c r="CC135" i="9"/>
  <c r="CB135" i="9"/>
  <c r="CA135" i="9"/>
  <c r="BZ135" i="9"/>
  <c r="BY135" i="9"/>
  <c r="BX135" i="9"/>
  <c r="BV135" i="9"/>
  <c r="BU135" i="9"/>
  <c r="BT135" i="9"/>
  <c r="BS135" i="9"/>
  <c r="BR135" i="9"/>
  <c r="BQ135" i="9"/>
  <c r="BP135" i="9"/>
  <c r="BO135" i="9"/>
  <c r="BN135" i="9"/>
  <c r="BM135" i="9"/>
  <c r="BL135" i="9"/>
  <c r="BJ135" i="9"/>
  <c r="BI135" i="9"/>
  <c r="BH135" i="9"/>
  <c r="BG135" i="9"/>
  <c r="BF135" i="9"/>
  <c r="BE135" i="9"/>
  <c r="BD135" i="9"/>
  <c r="BC135" i="9"/>
  <c r="BB135" i="9"/>
  <c r="BA135" i="9"/>
  <c r="AZ135" i="9"/>
  <c r="AX135" i="9"/>
  <c r="AW135" i="9"/>
  <c r="AV135" i="9"/>
  <c r="AU135" i="9"/>
  <c r="AT135" i="9"/>
  <c r="AS135" i="9"/>
  <c r="AR135" i="9"/>
  <c r="AQ135" i="9"/>
  <c r="AP135" i="9"/>
  <c r="AO135" i="9"/>
  <c r="AN135" i="9"/>
  <c r="AL135" i="9"/>
  <c r="AK135" i="9"/>
  <c r="AJ135" i="9"/>
  <c r="AI135" i="9"/>
  <c r="AH135" i="9"/>
  <c r="AG135" i="9"/>
  <c r="AF135" i="9"/>
  <c r="AE135" i="9"/>
  <c r="AD135" i="9"/>
  <c r="AC135" i="9"/>
  <c r="AB135" i="9"/>
  <c r="Z135" i="9"/>
  <c r="Y135" i="9"/>
  <c r="X135" i="9"/>
  <c r="W135" i="9"/>
  <c r="V135" i="9"/>
  <c r="U135" i="9"/>
  <c r="T135" i="9"/>
  <c r="S135" i="9"/>
  <c r="R135" i="9"/>
  <c r="Q135" i="9"/>
  <c r="P135" i="9"/>
  <c r="N135" i="9"/>
  <c r="M135" i="9"/>
  <c r="L135" i="9"/>
  <c r="K135" i="9"/>
  <c r="J135" i="9"/>
  <c r="I135" i="9"/>
  <c r="H135" i="9"/>
  <c r="G135" i="9"/>
  <c r="F135" i="9"/>
  <c r="E135" i="9"/>
  <c r="C135" i="9"/>
  <c r="B135" i="9"/>
  <c r="DG135" i="9" s="1"/>
  <c r="DI134" i="9"/>
  <c r="DH134" i="9"/>
  <c r="DG134" i="9"/>
  <c r="DE134" i="9"/>
  <c r="DD134" i="9"/>
  <c r="DC134" i="9"/>
  <c r="DB134" i="9"/>
  <c r="CZ134" i="9"/>
  <c r="CW134" i="9"/>
  <c r="CV134" i="9"/>
  <c r="CU134" i="9"/>
  <c r="CT134" i="9"/>
  <c r="CS134" i="9"/>
  <c r="CQ134" i="9"/>
  <c r="CP134" i="9"/>
  <c r="CO134" i="9"/>
  <c r="CM134" i="9"/>
  <c r="CK134" i="9"/>
  <c r="CI134" i="9"/>
  <c r="CH134" i="9"/>
  <c r="CG134" i="9"/>
  <c r="CF134" i="9"/>
  <c r="CE134" i="9"/>
  <c r="CC134" i="9"/>
  <c r="CB134" i="9"/>
  <c r="BY134" i="9"/>
  <c r="BX134" i="9"/>
  <c r="BW134" i="9"/>
  <c r="BU134" i="9"/>
  <c r="BT134" i="9"/>
  <c r="BS134" i="9"/>
  <c r="BR134" i="9"/>
  <c r="BQ134" i="9"/>
  <c r="BO134" i="9"/>
  <c r="BL134" i="9"/>
  <c r="BK134" i="9"/>
  <c r="BJ134" i="9"/>
  <c r="BI134" i="9"/>
  <c r="BG134" i="9"/>
  <c r="BF134" i="9"/>
  <c r="BE134" i="9"/>
  <c r="BD134" i="9"/>
  <c r="BC134" i="9"/>
  <c r="AY134" i="9"/>
  <c r="AX134" i="9"/>
  <c r="AW134" i="9"/>
  <c r="AV134" i="9"/>
  <c r="AU134" i="9"/>
  <c r="AS134" i="9"/>
  <c r="AR134" i="9"/>
  <c r="AQ134" i="9"/>
  <c r="AO134" i="9"/>
  <c r="AN134" i="9"/>
  <c r="AK134" i="9"/>
  <c r="AJ134" i="9"/>
  <c r="AI134" i="9"/>
  <c r="AH134" i="9"/>
  <c r="AG134" i="9"/>
  <c r="AE134" i="9"/>
  <c r="AC134" i="9"/>
  <c r="AB134" i="9"/>
  <c r="AA134" i="9"/>
  <c r="Y134" i="9"/>
  <c r="W134" i="9"/>
  <c r="V134" i="9"/>
  <c r="U134" i="9"/>
  <c r="T134" i="9"/>
  <c r="S134" i="9"/>
  <c r="P134" i="9"/>
  <c r="O134" i="9"/>
  <c r="N134" i="9"/>
  <c r="L134" i="9"/>
  <c r="K134" i="9"/>
  <c r="I134" i="9"/>
  <c r="H134" i="9"/>
  <c r="G134" i="9"/>
  <c r="E134" i="9"/>
  <c r="C134" i="9"/>
  <c r="B134" i="9"/>
  <c r="DF134" i="9" s="1"/>
  <c r="DI133" i="9"/>
  <c r="DD133" i="9"/>
  <c r="CZ133" i="9"/>
  <c r="CX133" i="9"/>
  <c r="CW133" i="9"/>
  <c r="CU133" i="9"/>
  <c r="CS133" i="9"/>
  <c r="CR133" i="9"/>
  <c r="CL133" i="9"/>
  <c r="CJ133" i="9"/>
  <c r="CI133" i="9"/>
  <c r="CF133" i="9"/>
  <c r="CE133" i="9"/>
  <c r="CD133" i="9"/>
  <c r="CA133" i="9"/>
  <c r="BV133" i="9"/>
  <c r="BR133" i="9"/>
  <c r="BP133" i="9"/>
  <c r="BO133" i="9"/>
  <c r="BN133" i="9"/>
  <c r="BM133" i="9"/>
  <c r="BK133" i="9"/>
  <c r="BJ133" i="9"/>
  <c r="BC133" i="9"/>
  <c r="BA133" i="9"/>
  <c r="AY133" i="9"/>
  <c r="AW133" i="9"/>
  <c r="AV133" i="9"/>
  <c r="AU133" i="9"/>
  <c r="AR133" i="9"/>
  <c r="AM133" i="9"/>
  <c r="AK133" i="9"/>
  <c r="AI133" i="9"/>
  <c r="AH133" i="9"/>
  <c r="AE133" i="9"/>
  <c r="AD133" i="9"/>
  <c r="AA133" i="9"/>
  <c r="W133" i="9"/>
  <c r="R133" i="9"/>
  <c r="Q133" i="9"/>
  <c r="P133" i="9"/>
  <c r="O133" i="9"/>
  <c r="M133" i="9"/>
  <c r="L133" i="9"/>
  <c r="K133" i="9"/>
  <c r="G133" i="9"/>
  <c r="E133" i="9"/>
  <c r="B133" i="9"/>
  <c r="DI132" i="9"/>
  <c r="DH132" i="9"/>
  <c r="DF132" i="9"/>
  <c r="DE132" i="9"/>
  <c r="DC132" i="9"/>
  <c r="DB132" i="9"/>
  <c r="CV132" i="9"/>
  <c r="CT132" i="9"/>
  <c r="CQ132" i="9"/>
  <c r="CP132" i="9"/>
  <c r="CO132" i="9"/>
  <c r="CN132" i="9"/>
  <c r="CL132" i="9"/>
  <c r="CJ132" i="9"/>
  <c r="CE132" i="9"/>
  <c r="CB132" i="9"/>
  <c r="CA132" i="9"/>
  <c r="BY132" i="9"/>
  <c r="BX132" i="9"/>
  <c r="BV132" i="9"/>
  <c r="BU132" i="9"/>
  <c r="BS132" i="9"/>
  <c r="BN132" i="9"/>
  <c r="BK132" i="9"/>
  <c r="BJ132" i="9"/>
  <c r="BG132" i="9"/>
  <c r="BF132" i="9"/>
  <c r="BE132" i="9"/>
  <c r="BD132" i="9"/>
  <c r="BC132" i="9"/>
  <c r="AW132" i="9"/>
  <c r="AS132" i="9"/>
  <c r="AR132" i="9"/>
  <c r="AQ132" i="9"/>
  <c r="AP132" i="9"/>
  <c r="AO132" i="9"/>
  <c r="AN132" i="9"/>
  <c r="AL132" i="9"/>
  <c r="AG132" i="9"/>
  <c r="AD132" i="9"/>
  <c r="AC132" i="9"/>
  <c r="AB132" i="9"/>
  <c r="AA132" i="9"/>
  <c r="Y132" i="9"/>
  <c r="W132" i="9"/>
  <c r="V132" i="9"/>
  <c r="Q132" i="9"/>
  <c r="O132" i="9"/>
  <c r="N132" i="9"/>
  <c r="K132" i="9"/>
  <c r="J132" i="9"/>
  <c r="I132" i="9"/>
  <c r="H132" i="9"/>
  <c r="G132" i="9"/>
  <c r="B132" i="9"/>
  <c r="DI131" i="9"/>
  <c r="DH131" i="9"/>
  <c r="DF131" i="9"/>
  <c r="DE131" i="9"/>
  <c r="DD131" i="9"/>
  <c r="DC131" i="9"/>
  <c r="DB131" i="9"/>
  <c r="DA131" i="9"/>
  <c r="CZ131" i="9"/>
  <c r="CY131" i="9"/>
  <c r="CX131" i="9"/>
  <c r="CW131" i="9"/>
  <c r="CV131" i="9"/>
  <c r="CT131" i="9"/>
  <c r="CS131" i="9"/>
  <c r="CR131" i="9"/>
  <c r="CQ131" i="9"/>
  <c r="CP131" i="9"/>
  <c r="CO131" i="9"/>
  <c r="CN131" i="9"/>
  <c r="CM131" i="9"/>
  <c r="CL131" i="9"/>
  <c r="CK131" i="9"/>
  <c r="CJ131" i="9"/>
  <c r="CH131" i="9"/>
  <c r="CG131" i="9"/>
  <c r="CF131" i="9"/>
  <c r="CE131" i="9"/>
  <c r="CD131" i="9"/>
  <c r="CC131" i="9"/>
  <c r="CB131" i="9"/>
  <c r="CA131" i="9"/>
  <c r="BZ131" i="9"/>
  <c r="BY131" i="9"/>
  <c r="BX131" i="9"/>
  <c r="BV131" i="9"/>
  <c r="BU131" i="9"/>
  <c r="BT131" i="9"/>
  <c r="BS131" i="9"/>
  <c r="BR131" i="9"/>
  <c r="BQ131" i="9"/>
  <c r="BP131" i="9"/>
  <c r="BO131" i="9"/>
  <c r="BN131" i="9"/>
  <c r="BM131" i="9"/>
  <c r="BL131" i="9"/>
  <c r="BJ131" i="9"/>
  <c r="BI131" i="9"/>
  <c r="BH131" i="9"/>
  <c r="BG131" i="9"/>
  <c r="BF131" i="9"/>
  <c r="BE131" i="9"/>
  <c r="BD131" i="9"/>
  <c r="BC131" i="9"/>
  <c r="BB131" i="9"/>
  <c r="BA131" i="9"/>
  <c r="AZ131" i="9"/>
  <c r="AX131" i="9"/>
  <c r="AW131" i="9"/>
  <c r="AV131" i="9"/>
  <c r="AU131" i="9"/>
  <c r="AT131" i="9"/>
  <c r="AS131" i="9"/>
  <c r="AR131" i="9"/>
  <c r="AQ131" i="9"/>
  <c r="AP131" i="9"/>
  <c r="AO131" i="9"/>
  <c r="AN131" i="9"/>
  <c r="AL131" i="9"/>
  <c r="AK131" i="9"/>
  <c r="AJ131" i="9"/>
  <c r="AI131" i="9"/>
  <c r="AH131" i="9"/>
  <c r="AG131" i="9"/>
  <c r="AF131" i="9"/>
  <c r="AE131" i="9"/>
  <c r="AD131" i="9"/>
  <c r="AC131" i="9"/>
  <c r="AB131" i="9"/>
  <c r="Z131" i="9"/>
  <c r="Y131" i="9"/>
  <c r="X131" i="9"/>
  <c r="W131" i="9"/>
  <c r="V131" i="9"/>
  <c r="U131" i="9"/>
  <c r="T131" i="9"/>
  <c r="S131" i="9"/>
  <c r="R131" i="9"/>
  <c r="Q131" i="9"/>
  <c r="P131" i="9"/>
  <c r="N131" i="9"/>
  <c r="M131" i="9"/>
  <c r="L131" i="9"/>
  <c r="K131" i="9"/>
  <c r="J131" i="9"/>
  <c r="I131" i="9"/>
  <c r="H131" i="9"/>
  <c r="G131" i="9"/>
  <c r="F131" i="9"/>
  <c r="E131" i="9"/>
  <c r="C131" i="9"/>
  <c r="B131" i="9"/>
  <c r="DG131" i="9" s="1"/>
  <c r="DI130" i="9"/>
  <c r="DG130" i="9"/>
  <c r="CY130" i="9"/>
  <c r="CW130" i="9"/>
  <c r="CV130" i="9"/>
  <c r="CR130" i="9"/>
  <c r="CM130" i="9"/>
  <c r="CI130" i="9"/>
  <c r="CF130" i="9"/>
  <c r="CE130" i="9"/>
  <c r="CD130" i="9"/>
  <c r="BT130" i="9"/>
  <c r="BS130" i="9"/>
  <c r="BQ130" i="9"/>
  <c r="BK130" i="9"/>
  <c r="BH130" i="9"/>
  <c r="BG130" i="9"/>
  <c r="BA130" i="9"/>
  <c r="AX130" i="9"/>
  <c r="AV130" i="9"/>
  <c r="AO130" i="9"/>
  <c r="AN130" i="9"/>
  <c r="AL130" i="9"/>
  <c r="AG130" i="9"/>
  <c r="AC130" i="9"/>
  <c r="Y130" i="9"/>
  <c r="U130" i="9"/>
  <c r="T130" i="9"/>
  <c r="S130" i="9"/>
  <c r="J130" i="9"/>
  <c r="H130" i="9"/>
  <c r="G130" i="9"/>
  <c r="E130" i="9"/>
  <c r="B130" i="9"/>
  <c r="CU130" i="9" s="1"/>
  <c r="DI129" i="9"/>
  <c r="DE129" i="9"/>
  <c r="DD129" i="9"/>
  <c r="CY129" i="9"/>
  <c r="CW129" i="9"/>
  <c r="CV129" i="9"/>
  <c r="CU129" i="9"/>
  <c r="CS129" i="9"/>
  <c r="CP129" i="9"/>
  <c r="CN129" i="9"/>
  <c r="CK129" i="9"/>
  <c r="CJ129" i="9"/>
  <c r="CI129" i="9"/>
  <c r="CF129" i="9"/>
  <c r="CD129" i="9"/>
  <c r="BZ129" i="9"/>
  <c r="BX129" i="9"/>
  <c r="BV129" i="9"/>
  <c r="BU129" i="9"/>
  <c r="BS129" i="9"/>
  <c r="BR129" i="9"/>
  <c r="BP129" i="9"/>
  <c r="BO129" i="9"/>
  <c r="BJ129" i="9"/>
  <c r="BF129" i="9"/>
  <c r="BD129" i="9"/>
  <c r="BC129" i="9"/>
  <c r="BB129" i="9"/>
  <c r="BA129" i="9"/>
  <c r="AZ129" i="9"/>
  <c r="AY129" i="9"/>
  <c r="AU129" i="9"/>
  <c r="AR129" i="9"/>
  <c r="AO129" i="9"/>
  <c r="AM129" i="9"/>
  <c r="AL129" i="9"/>
  <c r="AK129" i="9"/>
  <c r="AJ129" i="9"/>
  <c r="AD129" i="9"/>
  <c r="AC129" i="9"/>
  <c r="AA129" i="9"/>
  <c r="Z129" i="9"/>
  <c r="Y129" i="9"/>
  <c r="W129" i="9"/>
  <c r="R129" i="9"/>
  <c r="O129" i="9"/>
  <c r="N129" i="9"/>
  <c r="L129" i="9"/>
  <c r="K129" i="9"/>
  <c r="J129" i="9"/>
  <c r="H129" i="9"/>
  <c r="G129" i="9"/>
  <c r="C129" i="9"/>
  <c r="B129" i="9"/>
  <c r="CX129" i="9" s="1"/>
  <c r="DI128" i="9"/>
  <c r="DH128" i="9"/>
  <c r="DG128" i="9"/>
  <c r="DF128" i="9"/>
  <c r="DE128" i="9"/>
  <c r="DC128" i="9"/>
  <c r="DB128" i="9"/>
  <c r="DA128" i="9"/>
  <c r="CY128" i="9"/>
  <c r="CW128" i="9"/>
  <c r="CV128" i="9"/>
  <c r="CU128" i="9"/>
  <c r="CT128" i="9"/>
  <c r="CS128" i="9"/>
  <c r="CQ128" i="9"/>
  <c r="CP128" i="9"/>
  <c r="CO128" i="9"/>
  <c r="CN128" i="9"/>
  <c r="CL128" i="9"/>
  <c r="CK128" i="9"/>
  <c r="CI128" i="9"/>
  <c r="CH128" i="9"/>
  <c r="CG128" i="9"/>
  <c r="CE128" i="9"/>
  <c r="CD128" i="9"/>
  <c r="CC128" i="9"/>
  <c r="CB128" i="9"/>
  <c r="CA128" i="9"/>
  <c r="BY128" i="9"/>
  <c r="BX128" i="9"/>
  <c r="BW128" i="9"/>
  <c r="BU128" i="9"/>
  <c r="BS128" i="9"/>
  <c r="BR128" i="9"/>
  <c r="BQ128" i="9"/>
  <c r="BP128" i="9"/>
  <c r="BO128" i="9"/>
  <c r="BN128" i="9"/>
  <c r="BL128" i="9"/>
  <c r="BK128" i="9"/>
  <c r="BJ128" i="9"/>
  <c r="BI128" i="9"/>
  <c r="BF128" i="9"/>
  <c r="BE128" i="9"/>
  <c r="BD128" i="9"/>
  <c r="BC128" i="9"/>
  <c r="BB128" i="9"/>
  <c r="BA128" i="9"/>
  <c r="AY128" i="9"/>
  <c r="AX128" i="9"/>
  <c r="AW128" i="9"/>
  <c r="AU128" i="9"/>
  <c r="AT128" i="9"/>
  <c r="AR128" i="9"/>
  <c r="AQ128" i="9"/>
  <c r="AP128" i="9"/>
  <c r="AO128" i="9"/>
  <c r="AN128" i="9"/>
  <c r="AL128" i="9"/>
  <c r="AK128" i="9"/>
  <c r="AI128" i="9"/>
  <c r="AH128" i="9"/>
  <c r="AG128" i="9"/>
  <c r="AF128" i="9"/>
  <c r="AD128" i="9"/>
  <c r="AC128" i="9"/>
  <c r="AB128" i="9"/>
  <c r="AA128" i="9"/>
  <c r="Y128" i="9"/>
  <c r="W128" i="9"/>
  <c r="V128" i="9"/>
  <c r="U128" i="9"/>
  <c r="T128" i="9"/>
  <c r="S128" i="9"/>
  <c r="R128" i="9"/>
  <c r="P128" i="9"/>
  <c r="O128" i="9"/>
  <c r="N128" i="9"/>
  <c r="K128" i="9"/>
  <c r="J128" i="9"/>
  <c r="I128" i="9"/>
  <c r="H128" i="9"/>
  <c r="G128" i="9"/>
  <c r="F128" i="9"/>
  <c r="E128" i="9"/>
  <c r="C128" i="9"/>
  <c r="B128" i="9"/>
  <c r="DI127" i="9"/>
  <c r="DH127" i="9"/>
  <c r="DE127" i="9"/>
  <c r="DD127" i="9"/>
  <c r="DC127" i="9"/>
  <c r="DB127" i="9"/>
  <c r="DA127" i="9"/>
  <c r="CZ127" i="9"/>
  <c r="CR127" i="9"/>
  <c r="CQ127" i="9"/>
  <c r="CP127" i="9"/>
  <c r="CO127" i="9"/>
  <c r="CN127" i="9"/>
  <c r="CM127" i="9"/>
  <c r="CL127" i="9"/>
  <c r="CK127" i="9"/>
  <c r="CJ127" i="9"/>
  <c r="CB127" i="9"/>
  <c r="CA127" i="9"/>
  <c r="BZ127" i="9"/>
  <c r="BY127" i="9"/>
  <c r="BX127" i="9"/>
  <c r="BV127" i="9"/>
  <c r="BU127" i="9"/>
  <c r="BT127" i="9"/>
  <c r="BP127" i="9"/>
  <c r="BL127" i="9"/>
  <c r="BJ127" i="9"/>
  <c r="BI127" i="9"/>
  <c r="BH127" i="9"/>
  <c r="BG127" i="9"/>
  <c r="BE127" i="9"/>
  <c r="BC127" i="9"/>
  <c r="BA127" i="9"/>
  <c r="AZ127" i="9"/>
  <c r="AU127" i="9"/>
  <c r="AT127" i="9"/>
  <c r="AR127" i="9"/>
  <c r="AQ127" i="9"/>
  <c r="AO127" i="9"/>
  <c r="AN127" i="9"/>
  <c r="AK127" i="9"/>
  <c r="AJ127" i="9"/>
  <c r="AI127" i="9"/>
  <c r="AD127" i="9"/>
  <c r="AC127" i="9"/>
  <c r="Z127" i="9"/>
  <c r="Y127" i="9"/>
  <c r="X127" i="9"/>
  <c r="V127" i="9"/>
  <c r="U127" i="9"/>
  <c r="T127" i="9"/>
  <c r="R127" i="9"/>
  <c r="M127" i="9"/>
  <c r="L127" i="9"/>
  <c r="K127" i="9"/>
  <c r="J127" i="9"/>
  <c r="H127" i="9"/>
  <c r="G127" i="9"/>
  <c r="F127" i="9"/>
  <c r="E127" i="9"/>
  <c r="C127" i="9"/>
  <c r="B127" i="9"/>
  <c r="CW127" i="9" s="1"/>
  <c r="CK126" i="9"/>
  <c r="CJ126" i="9"/>
  <c r="CH126" i="9"/>
  <c r="CG126" i="9"/>
  <c r="CF126" i="9"/>
  <c r="CE126" i="9"/>
  <c r="CA126" i="9"/>
  <c r="BY126" i="9"/>
  <c r="BX126" i="9"/>
  <c r="BW126" i="9"/>
  <c r="BU126" i="9"/>
  <c r="BT126" i="9"/>
  <c r="BS126" i="9"/>
  <c r="BQ126" i="9"/>
  <c r="BP126" i="9"/>
  <c r="BO126" i="9"/>
  <c r="BK126" i="9"/>
  <c r="BJ126" i="9"/>
  <c r="BH126" i="9"/>
  <c r="BG126" i="9"/>
  <c r="BE126" i="9"/>
  <c r="BD126" i="9"/>
  <c r="BC126" i="9"/>
  <c r="BB126" i="9"/>
  <c r="BA126" i="9"/>
  <c r="AZ126" i="9"/>
  <c r="AU126" i="9"/>
  <c r="AS126" i="9"/>
  <c r="AR126" i="9"/>
  <c r="AQ126" i="9"/>
  <c r="AP126" i="9"/>
  <c r="AO126" i="9"/>
  <c r="AN126" i="9"/>
  <c r="AM126" i="9"/>
  <c r="AL126" i="9"/>
  <c r="AK126" i="9"/>
  <c r="AE126" i="9"/>
  <c r="AD126" i="9"/>
  <c r="AC126" i="9"/>
  <c r="AB126" i="9"/>
  <c r="AA126" i="9"/>
  <c r="Z126" i="9"/>
  <c r="Y126" i="9"/>
  <c r="X126" i="9"/>
  <c r="W126" i="9"/>
  <c r="S126" i="9"/>
  <c r="P126" i="9"/>
  <c r="O126" i="9"/>
  <c r="N126" i="9"/>
  <c r="M126" i="9"/>
  <c r="L126" i="9"/>
  <c r="K126" i="9"/>
  <c r="I126" i="9"/>
  <c r="G126" i="9"/>
  <c r="E126" i="9"/>
  <c r="C126" i="9"/>
  <c r="B126" i="9"/>
  <c r="DF125" i="9"/>
  <c r="CZ125" i="9"/>
  <c r="CX125" i="9"/>
  <c r="CL125" i="9"/>
  <c r="CH125" i="9"/>
  <c r="CC125" i="9"/>
  <c r="CA125" i="9"/>
  <c r="BZ125" i="9"/>
  <c r="BY125" i="9"/>
  <c r="BX125" i="9"/>
  <c r="BT125" i="9"/>
  <c r="BS125" i="9"/>
  <c r="BR125" i="9"/>
  <c r="BK125" i="9"/>
  <c r="BJ125" i="9"/>
  <c r="BG125" i="9"/>
  <c r="BF125" i="9"/>
  <c r="DA125" i="9" s="1"/>
  <c r="BE125" i="9"/>
  <c r="BD125" i="9"/>
  <c r="AX125" i="9"/>
  <c r="AV125" i="9"/>
  <c r="AU125" i="9"/>
  <c r="AQ125" i="9"/>
  <c r="AP125" i="9"/>
  <c r="AN125" i="9"/>
  <c r="AM125" i="9"/>
  <c r="AH125" i="9"/>
  <c r="AG125" i="9"/>
  <c r="AD125" i="9"/>
  <c r="AC125" i="9"/>
  <c r="AA125" i="9"/>
  <c r="W125" i="9"/>
  <c r="S125" i="9"/>
  <c r="Q125" i="9"/>
  <c r="P125" i="9"/>
  <c r="N125" i="9"/>
  <c r="L125" i="9"/>
  <c r="J125" i="9"/>
  <c r="I125" i="9"/>
  <c r="H125" i="9"/>
  <c r="G125" i="9"/>
  <c r="B125" i="9"/>
  <c r="CP125" i="9" s="1"/>
  <c r="BZ124" i="9"/>
  <c r="BV124" i="9"/>
  <c r="BT124" i="9"/>
  <c r="BO124" i="9"/>
  <c r="BN124" i="9"/>
  <c r="BF124" i="9"/>
  <c r="DF124" i="9" s="1"/>
  <c r="AX124" i="9"/>
  <c r="AW124" i="9"/>
  <c r="AV124" i="9"/>
  <c r="AT124" i="9"/>
  <c r="AI124" i="9"/>
  <c r="AE124" i="9"/>
  <c r="AD124" i="9"/>
  <c r="AA124" i="9"/>
  <c r="Z124" i="9"/>
  <c r="O124" i="9"/>
  <c r="K124" i="9"/>
  <c r="J124" i="9"/>
  <c r="G124" i="9"/>
  <c r="E124" i="9"/>
  <c r="B124" i="9"/>
  <c r="CK123" i="9"/>
  <c r="CG123" i="9"/>
  <c r="CD123" i="9"/>
  <c r="CC123" i="9"/>
  <c r="BZ123" i="9"/>
  <c r="BY123" i="9"/>
  <c r="BX123" i="9"/>
  <c r="BW123" i="9"/>
  <c r="BV123" i="9"/>
  <c r="BP123" i="9"/>
  <c r="BM123" i="9"/>
  <c r="BL123" i="9"/>
  <c r="BJ123" i="9"/>
  <c r="BI123" i="9"/>
  <c r="BH123" i="9"/>
  <c r="BG123" i="9"/>
  <c r="AZ123" i="9"/>
  <c r="AY123" i="9"/>
  <c r="AX123" i="9"/>
  <c r="AV123" i="9"/>
  <c r="AU123" i="9"/>
  <c r="AT123" i="9"/>
  <c r="AR123" i="9"/>
  <c r="AK123" i="9"/>
  <c r="AJ123" i="9"/>
  <c r="AI123" i="9"/>
  <c r="AH123" i="9"/>
  <c r="AG123" i="9"/>
  <c r="AF123" i="9"/>
  <c r="AC123" i="9"/>
  <c r="AB123" i="9"/>
  <c r="V123" i="9"/>
  <c r="T123" i="9"/>
  <c r="R123" i="9"/>
  <c r="Q123" i="9"/>
  <c r="P123" i="9"/>
  <c r="O123" i="9"/>
  <c r="M123" i="9"/>
  <c r="L123" i="9"/>
  <c r="G123" i="9"/>
  <c r="F123" i="9"/>
  <c r="E123" i="9"/>
  <c r="C123" i="9"/>
  <c r="B123" i="9"/>
  <c r="CH122" i="9"/>
  <c r="CF122" i="9"/>
  <c r="BT122" i="9"/>
  <c r="BP122" i="9"/>
  <c r="BO122" i="9"/>
  <c r="BM122" i="9"/>
  <c r="BL122" i="9"/>
  <c r="BA122" i="9"/>
  <c r="AW122" i="9"/>
  <c r="AO122" i="9"/>
  <c r="Z122" i="9"/>
  <c r="Y122" i="9"/>
  <c r="W122" i="9"/>
  <c r="T122" i="9"/>
  <c r="K122" i="9"/>
  <c r="G122" i="9"/>
  <c r="E122" i="9"/>
  <c r="C122" i="9"/>
  <c r="B122" i="9"/>
  <c r="CJ122" i="9" s="1"/>
  <c r="DI121" i="9"/>
  <c r="DH121" i="9"/>
  <c r="DG121" i="9"/>
  <c r="CX121" i="9"/>
  <c r="CW121" i="9"/>
  <c r="CT121" i="9"/>
  <c r="CR121" i="9"/>
  <c r="CQ121" i="9"/>
  <c r="CK121" i="9"/>
  <c r="CJ121" i="9"/>
  <c r="CI121" i="9"/>
  <c r="CE121" i="9"/>
  <c r="CD121" i="9"/>
  <c r="BV121" i="9"/>
  <c r="BT121" i="9"/>
  <c r="BS121" i="9"/>
  <c r="BR121" i="9"/>
  <c r="BQ121" i="9"/>
  <c r="BP121" i="9"/>
  <c r="BL121" i="9"/>
  <c r="BF121" i="9"/>
  <c r="BC121" i="9"/>
  <c r="BA121" i="9"/>
  <c r="AZ121" i="9"/>
  <c r="AY121" i="9"/>
  <c r="AX121" i="9"/>
  <c r="AU121" i="9"/>
  <c r="AN121" i="9"/>
  <c r="AM121" i="9"/>
  <c r="AI121" i="9"/>
  <c r="AG121" i="9"/>
  <c r="AF121" i="9"/>
  <c r="AA121" i="9"/>
  <c r="Z121" i="9"/>
  <c r="X121" i="9"/>
  <c r="U121" i="9"/>
  <c r="S121" i="9"/>
  <c r="K121" i="9"/>
  <c r="J121" i="9"/>
  <c r="I121" i="9"/>
  <c r="H121" i="9"/>
  <c r="G121" i="9"/>
  <c r="E121" i="9"/>
  <c r="B121" i="9"/>
  <c r="DG120" i="9"/>
  <c r="DC120" i="9"/>
  <c r="CZ120" i="9"/>
  <c r="CX120" i="9"/>
  <c r="CW120" i="9"/>
  <c r="CT120" i="9"/>
  <c r="CS120" i="9"/>
  <c r="CR120" i="9"/>
  <c r="CM120" i="9"/>
  <c r="CL120" i="9"/>
  <c r="CI120" i="9"/>
  <c r="CE120" i="9"/>
  <c r="CD120" i="9"/>
  <c r="CC120" i="9"/>
  <c r="BY120" i="9"/>
  <c r="BW120" i="9"/>
  <c r="BT120" i="9"/>
  <c r="BR120" i="9"/>
  <c r="BQ120" i="9"/>
  <c r="BP120" i="9"/>
  <c r="BI120" i="9"/>
  <c r="BF120" i="9"/>
  <c r="BE120" i="9"/>
  <c r="BD120" i="9"/>
  <c r="BC120" i="9"/>
  <c r="BB120" i="9"/>
  <c r="AY120" i="9"/>
  <c r="AX120" i="9"/>
  <c r="AR120" i="9"/>
  <c r="AO120" i="9"/>
  <c r="AM120" i="9"/>
  <c r="AL120" i="9"/>
  <c r="AK120" i="9"/>
  <c r="AJ120" i="9"/>
  <c r="AI120" i="9"/>
  <c r="AA120" i="9"/>
  <c r="Z120" i="9"/>
  <c r="Y120" i="9"/>
  <c r="V120" i="9"/>
  <c r="T120" i="9"/>
  <c r="S120" i="9"/>
  <c r="M120" i="9"/>
  <c r="L120" i="9"/>
  <c r="K120" i="9"/>
  <c r="I120" i="9"/>
  <c r="G120" i="9"/>
  <c r="F120" i="9"/>
  <c r="B120" i="9"/>
  <c r="CN120" i="9" s="1"/>
  <c r="DH119" i="9"/>
  <c r="DG119" i="9"/>
  <c r="DE119" i="9"/>
  <c r="DD119" i="9"/>
  <c r="DC119" i="9"/>
  <c r="DA119" i="9"/>
  <c r="CZ119" i="9"/>
  <c r="CX119" i="9"/>
  <c r="CW119" i="9"/>
  <c r="CV119" i="9"/>
  <c r="CT119" i="9"/>
  <c r="CS119" i="9"/>
  <c r="CR119" i="9"/>
  <c r="CP119" i="9"/>
  <c r="CN119" i="9"/>
  <c r="CL119" i="9"/>
  <c r="CK119" i="9"/>
  <c r="CJ119" i="9"/>
  <c r="CI119" i="9"/>
  <c r="CH119" i="9"/>
  <c r="CF119" i="9"/>
  <c r="CE119" i="9"/>
  <c r="CD119" i="9"/>
  <c r="CC119" i="9"/>
  <c r="BY119" i="9"/>
  <c r="BX119" i="9"/>
  <c r="BW119" i="9"/>
  <c r="BV119" i="9"/>
  <c r="BU119" i="9"/>
  <c r="BT119" i="9"/>
  <c r="BR119" i="9"/>
  <c r="BQ119" i="9"/>
  <c r="BP119" i="9"/>
  <c r="BM119" i="9"/>
  <c r="BL119" i="9"/>
  <c r="BJ119" i="9"/>
  <c r="BI119" i="9"/>
  <c r="BH119" i="9"/>
  <c r="BG119" i="9"/>
  <c r="BF119" i="9"/>
  <c r="BD119" i="9"/>
  <c r="BB119" i="9"/>
  <c r="AZ119" i="9"/>
  <c r="AY119" i="9"/>
  <c r="AX119" i="9"/>
  <c r="AW119" i="9"/>
  <c r="AU119" i="9"/>
  <c r="AT119" i="9"/>
  <c r="AS119" i="9"/>
  <c r="AR119" i="9"/>
  <c r="AO119" i="9"/>
  <c r="AM119" i="9"/>
  <c r="AL119" i="9"/>
  <c r="AK119" i="9"/>
  <c r="AJ119" i="9"/>
  <c r="AI119" i="9"/>
  <c r="AH119" i="9"/>
  <c r="AF119" i="9"/>
  <c r="AD119" i="9"/>
  <c r="AC119" i="9"/>
  <c r="Z119" i="9"/>
  <c r="Y119" i="9"/>
  <c r="X119" i="9"/>
  <c r="W119" i="9"/>
  <c r="V119" i="9"/>
  <c r="U119" i="9"/>
  <c r="T119" i="9"/>
  <c r="R119" i="9"/>
  <c r="P119" i="9"/>
  <c r="O119" i="9"/>
  <c r="L119" i="9"/>
  <c r="K119" i="9"/>
  <c r="J119" i="9"/>
  <c r="I119" i="9"/>
  <c r="H119" i="9"/>
  <c r="G119" i="9"/>
  <c r="F119" i="9"/>
  <c r="E119" i="9"/>
  <c r="C119" i="9"/>
  <c r="B119" i="9"/>
  <c r="DH118" i="9"/>
  <c r="DA118" i="9"/>
  <c r="CP118" i="9"/>
  <c r="CJ118" i="9"/>
  <c r="CA118" i="9"/>
  <c r="BP118" i="9"/>
  <c r="BJ118" i="9"/>
  <c r="AZ118" i="9"/>
  <c r="AR118" i="9"/>
  <c r="AJ118" i="9"/>
  <c r="Z118" i="9"/>
  <c r="R118" i="9"/>
  <c r="J118" i="9"/>
  <c r="G118" i="9"/>
  <c r="C118" i="9"/>
  <c r="B118" i="9"/>
  <c r="CY118" i="9" s="1"/>
  <c r="DI117" i="9"/>
  <c r="DF117" i="9"/>
  <c r="DE117" i="9"/>
  <c r="DC117" i="9"/>
  <c r="DB117" i="9"/>
  <c r="CY117" i="9"/>
  <c r="CW117" i="9"/>
  <c r="CV117" i="9"/>
  <c r="CU117" i="9"/>
  <c r="CR117" i="9"/>
  <c r="CQ117" i="9"/>
  <c r="CP117" i="9"/>
  <c r="CO117" i="9"/>
  <c r="CK117" i="9"/>
  <c r="CJ117" i="9"/>
  <c r="CI117" i="9"/>
  <c r="CG117" i="9"/>
  <c r="CD117" i="9"/>
  <c r="CC117" i="9"/>
  <c r="CA117" i="9"/>
  <c r="BY117" i="9"/>
  <c r="BX117" i="9"/>
  <c r="BW117" i="9"/>
  <c r="BU117" i="9"/>
  <c r="BT117" i="9"/>
  <c r="BS117" i="9"/>
  <c r="BN117" i="9"/>
  <c r="BL117" i="9"/>
  <c r="BK117" i="9"/>
  <c r="BJ117" i="9"/>
  <c r="BI117" i="9"/>
  <c r="BH117" i="9"/>
  <c r="BG117" i="9"/>
  <c r="BE117" i="9"/>
  <c r="BA117" i="9"/>
  <c r="AY117" i="9"/>
  <c r="AW117" i="9"/>
  <c r="AV117" i="9"/>
  <c r="AU117" i="9"/>
  <c r="AT117" i="9"/>
  <c r="AS117" i="9"/>
  <c r="AQ117" i="9"/>
  <c r="AP117" i="9"/>
  <c r="AK117" i="9"/>
  <c r="AJ117" i="9"/>
  <c r="AI117" i="9"/>
  <c r="AG117" i="9"/>
  <c r="AE117" i="9"/>
  <c r="AD117" i="9"/>
  <c r="AC117" i="9"/>
  <c r="AB117" i="9"/>
  <c r="X117" i="9"/>
  <c r="W117" i="9"/>
  <c r="U117" i="9"/>
  <c r="T117" i="9"/>
  <c r="S117" i="9"/>
  <c r="Q117" i="9"/>
  <c r="P117" i="9"/>
  <c r="O117" i="9"/>
  <c r="K117" i="9"/>
  <c r="J117" i="9"/>
  <c r="I117" i="9"/>
  <c r="H117" i="9"/>
  <c r="G117" i="9"/>
  <c r="F117" i="9"/>
  <c r="E117" i="9"/>
  <c r="C117" i="9"/>
  <c r="B117" i="9"/>
  <c r="DD117" i="9" s="1"/>
  <c r="DH116" i="9"/>
  <c r="DE116" i="9"/>
  <c r="DD116" i="9"/>
  <c r="DC116" i="9"/>
  <c r="DB116" i="9"/>
  <c r="DA116" i="9"/>
  <c r="CZ116" i="9"/>
  <c r="CX116" i="9"/>
  <c r="CV116" i="9"/>
  <c r="CU116" i="9"/>
  <c r="CQ116" i="9"/>
  <c r="CP116" i="9"/>
  <c r="CO116" i="9"/>
  <c r="CN116" i="9"/>
  <c r="CM116" i="9"/>
  <c r="CL116" i="9"/>
  <c r="CJ116" i="9"/>
  <c r="CH116" i="9"/>
  <c r="CE116" i="9"/>
  <c r="CD116" i="9"/>
  <c r="CB116" i="9"/>
  <c r="CA116" i="9"/>
  <c r="BZ116" i="9"/>
  <c r="BX116" i="9"/>
  <c r="BW116" i="9"/>
  <c r="BV116" i="9"/>
  <c r="BU116" i="9"/>
  <c r="BQ116" i="9"/>
  <c r="BP116" i="9"/>
  <c r="BO116" i="9"/>
  <c r="BL116" i="9"/>
  <c r="BK116" i="9"/>
  <c r="BJ116" i="9"/>
  <c r="BI116" i="9"/>
  <c r="BH116" i="9"/>
  <c r="BE116" i="9"/>
  <c r="BD116" i="9"/>
  <c r="BB116" i="9"/>
  <c r="AZ116" i="9"/>
  <c r="AY116" i="9"/>
  <c r="AW116" i="9"/>
  <c r="AV116" i="9"/>
  <c r="AU116" i="9"/>
  <c r="AR116" i="9"/>
  <c r="AQ116" i="9"/>
  <c r="AP116" i="9"/>
  <c r="AN116" i="9"/>
  <c r="AL116" i="9"/>
  <c r="AK116" i="9"/>
  <c r="AJ116" i="9"/>
  <c r="AH116" i="9"/>
  <c r="AE116" i="9"/>
  <c r="AD116" i="9"/>
  <c r="AB116" i="9"/>
  <c r="AA116" i="9"/>
  <c r="Z116" i="9"/>
  <c r="Y116" i="9"/>
  <c r="W116" i="9"/>
  <c r="V116" i="9"/>
  <c r="U116" i="9"/>
  <c r="P116" i="9"/>
  <c r="O116" i="9"/>
  <c r="N116" i="9"/>
  <c r="M116" i="9"/>
  <c r="L116" i="9"/>
  <c r="K116" i="9"/>
  <c r="J116" i="9"/>
  <c r="H116" i="9"/>
  <c r="G116" i="9"/>
  <c r="C116" i="9"/>
  <c r="B116" i="9"/>
  <c r="CY116" i="9" s="1"/>
  <c r="DF115" i="9"/>
  <c r="CW115" i="9"/>
  <c r="CO115" i="9"/>
  <c r="CE115" i="9"/>
  <c r="BT115" i="9"/>
  <c r="BK115" i="9"/>
  <c r="BB115" i="9"/>
  <c r="AT115" i="9"/>
  <c r="AH115" i="9"/>
  <c r="AB115" i="9"/>
  <c r="P115" i="9"/>
  <c r="G115" i="9"/>
  <c r="B115" i="9"/>
  <c r="DI115" i="9" s="1"/>
  <c r="DI114" i="9"/>
  <c r="DH114" i="9"/>
  <c r="DE114" i="9"/>
  <c r="DD114" i="9"/>
  <c r="DB114" i="9"/>
  <c r="CV114" i="9"/>
  <c r="CP114" i="9"/>
  <c r="CO114" i="9"/>
  <c r="CN114" i="9"/>
  <c r="CM114" i="9"/>
  <c r="CK114" i="9"/>
  <c r="CJ114" i="9"/>
  <c r="CB114" i="9"/>
  <c r="BY114" i="9"/>
  <c r="BX114" i="9"/>
  <c r="BV114" i="9"/>
  <c r="BU114" i="9"/>
  <c r="BQ114" i="9"/>
  <c r="BO114" i="9"/>
  <c r="BK114" i="9"/>
  <c r="BD114" i="9"/>
  <c r="BC114" i="9"/>
  <c r="BB114" i="9"/>
  <c r="AZ114" i="9"/>
  <c r="AY114" i="9"/>
  <c r="AX114" i="9"/>
  <c r="AQ114" i="9"/>
  <c r="AM114" i="9"/>
  <c r="AK114" i="9"/>
  <c r="AJ114" i="9"/>
  <c r="AH114" i="9"/>
  <c r="AG114" i="9"/>
  <c r="AD114" i="9"/>
  <c r="Y114" i="9"/>
  <c r="T114" i="9"/>
  <c r="Q114" i="9"/>
  <c r="P114" i="9"/>
  <c r="O114" i="9"/>
  <c r="N114" i="9"/>
  <c r="M114" i="9"/>
  <c r="G114" i="9"/>
  <c r="B114" i="9"/>
  <c r="CZ114" i="9" s="1"/>
  <c r="DD113" i="9"/>
  <c r="CU113" i="9"/>
  <c r="CJ113" i="9"/>
  <c r="CC113" i="9"/>
  <c r="BQ113" i="9"/>
  <c r="BI113" i="9"/>
  <c r="AW113" i="9"/>
  <c r="AQ113" i="9"/>
  <c r="AF113" i="9"/>
  <c r="W113" i="9"/>
  <c r="O113" i="9"/>
  <c r="G113" i="9"/>
  <c r="F113" i="9"/>
  <c r="B113" i="9"/>
  <c r="DH113" i="9" s="1"/>
  <c r="CU112" i="9"/>
  <c r="AP112" i="9"/>
  <c r="G112" i="9"/>
  <c r="B112" i="9"/>
  <c r="AV111" i="9"/>
  <c r="G111" i="9"/>
  <c r="B111" i="9"/>
  <c r="CS111" i="9" s="1"/>
  <c r="DH110" i="9"/>
  <c r="DD110" i="9"/>
  <c r="DB110" i="9"/>
  <c r="DA110" i="9"/>
  <c r="CY110" i="9"/>
  <c r="CX110" i="9"/>
  <c r="CW110" i="9"/>
  <c r="CV110" i="9"/>
  <c r="CT110" i="9"/>
  <c r="CP110" i="9"/>
  <c r="CM110" i="9"/>
  <c r="CL110" i="9"/>
  <c r="BM110" i="9"/>
  <c r="BL110" i="9"/>
  <c r="BJ110" i="9"/>
  <c r="BH110" i="9"/>
  <c r="BC110" i="9"/>
  <c r="BA110" i="9"/>
  <c r="AZ110" i="9"/>
  <c r="AY110" i="9"/>
  <c r="AX110" i="9"/>
  <c r="AW110" i="9"/>
  <c r="AT110" i="9"/>
  <c r="AS110" i="9"/>
  <c r="AP110" i="9"/>
  <c r="AM110" i="9"/>
  <c r="AL110" i="9"/>
  <c r="AJ110" i="9"/>
  <c r="AH110" i="9"/>
  <c r="AG110" i="9"/>
  <c r="AC110" i="9"/>
  <c r="AB110" i="9"/>
  <c r="AA110" i="9"/>
  <c r="Y110" i="9"/>
  <c r="X110" i="9"/>
  <c r="U110" i="9"/>
  <c r="T110" i="9"/>
  <c r="P110" i="9"/>
  <c r="N110" i="9"/>
  <c r="M110" i="9"/>
  <c r="L110" i="9"/>
  <c r="I110" i="9"/>
  <c r="H110" i="9"/>
  <c r="G110" i="9"/>
  <c r="F110" i="9"/>
  <c r="B110" i="9"/>
  <c r="DI109" i="9"/>
  <c r="DH109" i="9"/>
  <c r="DD109" i="9"/>
  <c r="DC109" i="9"/>
  <c r="DA109" i="9"/>
  <c r="CZ109" i="9"/>
  <c r="CW109" i="9"/>
  <c r="CV109" i="9"/>
  <c r="CU109" i="9"/>
  <c r="CS109" i="9"/>
  <c r="CP109" i="9"/>
  <c r="CO109" i="9"/>
  <c r="BI109" i="9"/>
  <c r="BH109" i="9"/>
  <c r="BG109" i="9"/>
  <c r="BD109" i="9"/>
  <c r="BC109" i="9"/>
  <c r="BA109" i="9"/>
  <c r="AZ109" i="9"/>
  <c r="AV109" i="9"/>
  <c r="AT109" i="9"/>
  <c r="AS109" i="9"/>
  <c r="AR109" i="9"/>
  <c r="AP109" i="9"/>
  <c r="AO109" i="9"/>
  <c r="AM109" i="9"/>
  <c r="AI109" i="9"/>
  <c r="AG109" i="9"/>
  <c r="AE109" i="9"/>
  <c r="AD109" i="9"/>
  <c r="AC109" i="9"/>
  <c r="AA109" i="9"/>
  <c r="Y109" i="9"/>
  <c r="V109" i="9"/>
  <c r="U109" i="9"/>
  <c r="S109" i="9"/>
  <c r="R109" i="9"/>
  <c r="O109" i="9"/>
  <c r="M109" i="9"/>
  <c r="I109" i="9"/>
  <c r="H109" i="9"/>
  <c r="G109" i="9"/>
  <c r="F109" i="9"/>
  <c r="E109" i="9"/>
  <c r="C109" i="9"/>
  <c r="B109" i="9"/>
  <c r="DH108" i="9"/>
  <c r="DG108" i="9"/>
  <c r="DF108" i="9"/>
  <c r="DE108" i="9"/>
  <c r="DC108" i="9"/>
  <c r="DB108" i="9"/>
  <c r="DA108" i="9"/>
  <c r="CZ108" i="9"/>
  <c r="CY108" i="9"/>
  <c r="CX108" i="9"/>
  <c r="CV108" i="9"/>
  <c r="CU108" i="9"/>
  <c r="CT108" i="9"/>
  <c r="CS108" i="9"/>
  <c r="CR108" i="9"/>
  <c r="CP108" i="9"/>
  <c r="CO108" i="9"/>
  <c r="CN108" i="9"/>
  <c r="CM108" i="9"/>
  <c r="CL108" i="9"/>
  <c r="BL108" i="9"/>
  <c r="BK108" i="9"/>
  <c r="BJ108" i="9"/>
  <c r="BI108" i="9"/>
  <c r="BH108" i="9"/>
  <c r="BG108" i="9"/>
  <c r="BF108" i="9"/>
  <c r="BE108" i="9"/>
  <c r="BC108" i="9"/>
  <c r="BB108" i="9"/>
  <c r="AZ108" i="9"/>
  <c r="AY108" i="9"/>
  <c r="AX108" i="9"/>
  <c r="AW108" i="9"/>
  <c r="AV108" i="9"/>
  <c r="AU108" i="9"/>
  <c r="AT108" i="9"/>
  <c r="AS108" i="9"/>
  <c r="AR108" i="9"/>
  <c r="AP108" i="9"/>
  <c r="AN108" i="9"/>
  <c r="AM108" i="9"/>
  <c r="AL108" i="9"/>
  <c r="AK108" i="9"/>
  <c r="AJ108" i="9"/>
  <c r="AI108" i="9"/>
  <c r="AH108" i="9"/>
  <c r="AG108" i="9"/>
  <c r="AF108" i="9"/>
  <c r="AE108" i="9"/>
  <c r="AB108" i="9"/>
  <c r="AA108" i="9"/>
  <c r="Z108" i="9"/>
  <c r="Y108" i="9"/>
  <c r="X108" i="9"/>
  <c r="W108" i="9"/>
  <c r="V108" i="9"/>
  <c r="U108" i="9"/>
  <c r="T108" i="9"/>
  <c r="S108" i="9"/>
  <c r="R108" i="9"/>
  <c r="O108" i="9"/>
  <c r="N108" i="9"/>
  <c r="M108" i="9"/>
  <c r="L108" i="9"/>
  <c r="K108" i="9"/>
  <c r="J108" i="9"/>
  <c r="I108" i="9"/>
  <c r="H108" i="9"/>
  <c r="G108" i="9"/>
  <c r="F108" i="9"/>
  <c r="C108" i="9"/>
  <c r="B108" i="9"/>
  <c r="DI107" i="9"/>
  <c r="DH107" i="9"/>
  <c r="DG107" i="9"/>
  <c r="DF107" i="9"/>
  <c r="DD107" i="9"/>
  <c r="CX107" i="9"/>
  <c r="CU107" i="9"/>
  <c r="CT107" i="9"/>
  <c r="CS107" i="9"/>
  <c r="CR107" i="9"/>
  <c r="CP107" i="9"/>
  <c r="CO107" i="9"/>
  <c r="CM107" i="9"/>
  <c r="BM107" i="9"/>
  <c r="BL107" i="9"/>
  <c r="BK107" i="9"/>
  <c r="BH107" i="9"/>
  <c r="BG107" i="9"/>
  <c r="BF107" i="9"/>
  <c r="BE107" i="9"/>
  <c r="AY107" i="9"/>
  <c r="AV107" i="9"/>
  <c r="AT107" i="9"/>
  <c r="AS107" i="9"/>
  <c r="AQ107" i="9"/>
  <c r="AP107" i="9"/>
  <c r="AO107" i="9"/>
  <c r="AN107" i="9"/>
  <c r="AH107" i="9"/>
  <c r="AD107" i="9"/>
  <c r="AC107" i="9"/>
  <c r="AB107" i="9"/>
  <c r="AA107" i="9"/>
  <c r="Z107" i="9"/>
  <c r="Y107" i="9"/>
  <c r="V107" i="9"/>
  <c r="P107" i="9"/>
  <c r="N107" i="9"/>
  <c r="M107" i="9"/>
  <c r="L107" i="9"/>
  <c r="K107" i="9"/>
  <c r="G107" i="9"/>
  <c r="F107" i="9"/>
  <c r="E107" i="9"/>
  <c r="B107" i="9"/>
  <c r="DB107" i="9" s="1"/>
  <c r="DI106" i="9"/>
  <c r="DH106" i="9"/>
  <c r="DG106" i="9"/>
  <c r="DF106" i="9"/>
  <c r="DE106" i="9"/>
  <c r="DB106" i="9"/>
  <c r="DA106" i="9"/>
  <c r="CZ106" i="9"/>
  <c r="CY106" i="9"/>
  <c r="CX106" i="9"/>
  <c r="CW106" i="9"/>
  <c r="CV106" i="9"/>
  <c r="CU106" i="9"/>
  <c r="CT106" i="9"/>
  <c r="CS106" i="9"/>
  <c r="CR106" i="9"/>
  <c r="CO106" i="9"/>
  <c r="CN106" i="9"/>
  <c r="CM106" i="9"/>
  <c r="CL106" i="9"/>
  <c r="BM106" i="9"/>
  <c r="BL106" i="9"/>
  <c r="BK106" i="9"/>
  <c r="BJ106" i="9"/>
  <c r="BI106" i="9"/>
  <c r="BH106" i="9"/>
  <c r="BF106" i="9"/>
  <c r="BE106" i="9"/>
  <c r="BD106" i="9"/>
  <c r="BB106" i="9"/>
  <c r="BA106" i="9"/>
  <c r="AZ106" i="9"/>
  <c r="AY106" i="9"/>
  <c r="AX106" i="9"/>
  <c r="AW106" i="9"/>
  <c r="AV106" i="9"/>
  <c r="AT106" i="9"/>
  <c r="AS106" i="9"/>
  <c r="AR106" i="9"/>
  <c r="AQ106" i="9"/>
  <c r="AO106" i="9"/>
  <c r="AN106" i="9"/>
  <c r="AM106" i="9"/>
  <c r="AL106" i="9"/>
  <c r="AK106" i="9"/>
  <c r="AJ106" i="9"/>
  <c r="AH106" i="9"/>
  <c r="AG106" i="9"/>
  <c r="AF106" i="9"/>
  <c r="AE106" i="9"/>
  <c r="AD106" i="9"/>
  <c r="AB106" i="9"/>
  <c r="AA106" i="9"/>
  <c r="Z106" i="9"/>
  <c r="Y106" i="9"/>
  <c r="X106" i="9"/>
  <c r="V106" i="9"/>
  <c r="U106" i="9"/>
  <c r="T106" i="9"/>
  <c r="S106" i="9"/>
  <c r="R106" i="9"/>
  <c r="Q106" i="9"/>
  <c r="O106" i="9"/>
  <c r="N106" i="9"/>
  <c r="M106" i="9"/>
  <c r="L106" i="9"/>
  <c r="J106" i="9"/>
  <c r="I106" i="9"/>
  <c r="H106" i="9"/>
  <c r="G106" i="9"/>
  <c r="F106" i="9"/>
  <c r="E106" i="9"/>
  <c r="C106" i="9"/>
  <c r="B106" i="9"/>
  <c r="DH105" i="9"/>
  <c r="DG105" i="9"/>
  <c r="DE105" i="9"/>
  <c r="DD105" i="9"/>
  <c r="DC105" i="9"/>
  <c r="DA105" i="9"/>
  <c r="CY105" i="9"/>
  <c r="CV105" i="9"/>
  <c r="CS105" i="9"/>
  <c r="CR105" i="9"/>
  <c r="CQ105" i="9"/>
  <c r="CP105" i="9"/>
  <c r="CO105" i="9"/>
  <c r="CN105" i="9"/>
  <c r="CM105" i="9"/>
  <c r="BM105" i="9"/>
  <c r="BL105" i="9"/>
  <c r="BK105" i="9"/>
  <c r="BG105" i="9"/>
  <c r="BF105" i="9"/>
  <c r="BE105" i="9"/>
  <c r="BC105" i="9"/>
  <c r="BA105" i="9"/>
  <c r="AZ105" i="9"/>
  <c r="AW105" i="9"/>
  <c r="AU105" i="9"/>
  <c r="AS105" i="9"/>
  <c r="AR105" i="9"/>
  <c r="AQ105" i="9"/>
  <c r="AO105" i="9"/>
  <c r="AN105" i="9"/>
  <c r="AM105" i="9"/>
  <c r="AJ105" i="9"/>
  <c r="AH105" i="9"/>
  <c r="AE105" i="9"/>
  <c r="AD105" i="9"/>
  <c r="AC105" i="9"/>
  <c r="AA105" i="9"/>
  <c r="Y105" i="9"/>
  <c r="X105" i="9"/>
  <c r="W105" i="9"/>
  <c r="U105" i="9"/>
  <c r="S105" i="9"/>
  <c r="Q105" i="9"/>
  <c r="O105" i="9"/>
  <c r="L105" i="9"/>
  <c r="K105" i="9"/>
  <c r="J105" i="9"/>
  <c r="H105" i="9"/>
  <c r="G105" i="9"/>
  <c r="F105" i="9"/>
  <c r="E105" i="9"/>
  <c r="B105" i="9"/>
  <c r="CZ104" i="9"/>
  <c r="AY104" i="9"/>
  <c r="Y104" i="9"/>
  <c r="G104" i="9"/>
  <c r="B104" i="9"/>
  <c r="DH103" i="9"/>
  <c r="DF103" i="9"/>
  <c r="DE103" i="9"/>
  <c r="DD103" i="9"/>
  <c r="CX103" i="9"/>
  <c r="CU103" i="9"/>
  <c r="CT103" i="9"/>
  <c r="CR103" i="9"/>
  <c r="CQ103" i="9"/>
  <c r="CP103" i="9"/>
  <c r="CM103" i="9"/>
  <c r="CL103" i="9"/>
  <c r="BM103" i="9"/>
  <c r="BK103" i="9"/>
  <c r="BJ103" i="9"/>
  <c r="BH103" i="9"/>
  <c r="BG103" i="9"/>
  <c r="BF103" i="9"/>
  <c r="BE103" i="9"/>
  <c r="AY103" i="9"/>
  <c r="AU103" i="9"/>
  <c r="AT103" i="9"/>
  <c r="AS103" i="9"/>
  <c r="AQ103" i="9"/>
  <c r="AP103" i="9"/>
  <c r="AO103" i="9"/>
  <c r="AM103" i="9"/>
  <c r="AG103" i="9"/>
  <c r="AD103" i="9"/>
  <c r="AC103" i="9"/>
  <c r="AB103" i="9"/>
  <c r="AA103" i="9"/>
  <c r="Y103" i="9"/>
  <c r="X103" i="9"/>
  <c r="W103" i="9"/>
  <c r="P103" i="9"/>
  <c r="N103" i="9"/>
  <c r="M103" i="9"/>
  <c r="K103" i="9"/>
  <c r="J103" i="9"/>
  <c r="G103" i="9"/>
  <c r="E103" i="9"/>
  <c r="C103" i="9"/>
  <c r="B103" i="9"/>
  <c r="DA103" i="9" s="1"/>
  <c r="DG102" i="9"/>
  <c r="CV102" i="9"/>
  <c r="CN102" i="9"/>
  <c r="CL102" i="9"/>
  <c r="BL102" i="9"/>
  <c r="BF102" i="9"/>
  <c r="AW102" i="9"/>
  <c r="AP102" i="9"/>
  <c r="AM102" i="9"/>
  <c r="AL102" i="9"/>
  <c r="AJ102" i="9"/>
  <c r="AH102" i="9"/>
  <c r="T102" i="9"/>
  <c r="Q102" i="9"/>
  <c r="P102" i="9"/>
  <c r="N102" i="9"/>
  <c r="M102" i="9"/>
  <c r="G102" i="9"/>
  <c r="B102" i="9"/>
  <c r="CZ102" i="9" s="1"/>
  <c r="DH101" i="9"/>
  <c r="DG101" i="9"/>
  <c r="DE101" i="9"/>
  <c r="DD101" i="9"/>
  <c r="DC101" i="9"/>
  <c r="CX101" i="9"/>
  <c r="CS101" i="9"/>
  <c r="CR101" i="9"/>
  <c r="CQ101" i="9"/>
  <c r="CP101" i="9"/>
  <c r="CO101" i="9"/>
  <c r="CN101" i="9"/>
  <c r="CL101" i="9"/>
  <c r="BM101" i="9"/>
  <c r="BL101" i="9"/>
  <c r="BI101" i="9"/>
  <c r="BG101" i="9"/>
  <c r="BF101" i="9"/>
  <c r="BD101" i="9"/>
  <c r="BC101" i="9"/>
  <c r="AY101" i="9"/>
  <c r="AT101" i="9"/>
  <c r="AS101" i="9"/>
  <c r="AR101" i="9"/>
  <c r="AP101" i="9"/>
  <c r="AO101" i="9"/>
  <c r="AN101" i="9"/>
  <c r="AM101" i="9"/>
  <c r="AF101" i="9"/>
  <c r="AD101" i="9"/>
  <c r="AB101" i="9"/>
  <c r="AA101" i="9"/>
  <c r="Y101" i="9"/>
  <c r="X101" i="9"/>
  <c r="W101" i="9"/>
  <c r="V101" i="9"/>
  <c r="P101" i="9"/>
  <c r="L101" i="9"/>
  <c r="K101" i="9"/>
  <c r="J101" i="9"/>
  <c r="I101" i="9"/>
  <c r="G101" i="9"/>
  <c r="F101" i="9"/>
  <c r="C101" i="9"/>
  <c r="B101" i="9"/>
  <c r="CZ101" i="9" s="1"/>
  <c r="CZ100" i="9"/>
  <c r="CL100" i="9"/>
  <c r="AY100" i="9"/>
  <c r="AK100" i="9"/>
  <c r="AD100" i="9"/>
  <c r="O100" i="9"/>
  <c r="G100" i="9"/>
  <c r="B100" i="9"/>
  <c r="CY100" i="9" s="1"/>
  <c r="DG99" i="9"/>
  <c r="DF99" i="9"/>
  <c r="DE99" i="9"/>
  <c r="DC99" i="9"/>
  <c r="DB99" i="9"/>
  <c r="CW99" i="9"/>
  <c r="CS99" i="9"/>
  <c r="CR99" i="9"/>
  <c r="CQ99" i="9"/>
  <c r="CO99" i="9"/>
  <c r="CM99" i="9"/>
  <c r="CL99" i="9"/>
  <c r="BK99" i="9"/>
  <c r="BJ99" i="9"/>
  <c r="BI99" i="9"/>
  <c r="BG99" i="9"/>
  <c r="BF99" i="9"/>
  <c r="BE99" i="9"/>
  <c r="BB99" i="9"/>
  <c r="AW99" i="9"/>
  <c r="AT99" i="9"/>
  <c r="AS99" i="9"/>
  <c r="AQ99" i="9"/>
  <c r="AP99" i="9"/>
  <c r="AN99" i="9"/>
  <c r="AM99" i="9"/>
  <c r="AL99" i="9"/>
  <c r="AE99" i="9"/>
  <c r="AC99" i="9"/>
  <c r="AB99" i="9"/>
  <c r="Z99" i="9"/>
  <c r="Y99" i="9"/>
  <c r="X99" i="9"/>
  <c r="V99" i="9"/>
  <c r="S99" i="9"/>
  <c r="O99" i="9"/>
  <c r="L99" i="9"/>
  <c r="K99" i="9"/>
  <c r="J99" i="9"/>
  <c r="G99" i="9"/>
  <c r="F99" i="9"/>
  <c r="E99" i="9"/>
  <c r="C99" i="9"/>
  <c r="B99" i="9"/>
  <c r="CY99" i="9" s="1"/>
  <c r="DF98" i="9"/>
  <c r="CX98" i="9"/>
  <c r="CW98" i="9"/>
  <c r="CV98" i="9"/>
  <c r="BF98" i="9"/>
  <c r="AY98" i="9"/>
  <c r="AX98" i="9"/>
  <c r="AV98" i="9"/>
  <c r="AG98" i="9"/>
  <c r="X98" i="9"/>
  <c r="U98" i="9"/>
  <c r="S98" i="9"/>
  <c r="G98" i="9"/>
  <c r="B98" i="9"/>
  <c r="CY98" i="9" s="1"/>
  <c r="DI97" i="9"/>
  <c r="DG97" i="9"/>
  <c r="DE97" i="9"/>
  <c r="DD97" i="9"/>
  <c r="DB97" i="9"/>
  <c r="CW97" i="9"/>
  <c r="CS97" i="9"/>
  <c r="CR97" i="9"/>
  <c r="CQ97" i="9"/>
  <c r="CP97" i="9"/>
  <c r="CN97" i="9"/>
  <c r="CM97" i="9"/>
  <c r="CL97" i="9"/>
  <c r="BL97" i="9"/>
  <c r="BK97" i="9"/>
  <c r="BI97" i="9"/>
  <c r="BF97" i="9"/>
  <c r="BE97" i="9"/>
  <c r="BD97" i="9"/>
  <c r="BC97" i="9"/>
  <c r="AW97" i="9"/>
  <c r="AU97" i="9"/>
  <c r="AR97" i="9"/>
  <c r="AQ97" i="9"/>
  <c r="AP97" i="9"/>
  <c r="AO97" i="9"/>
  <c r="AN97" i="9"/>
  <c r="AM97" i="9"/>
  <c r="AF97" i="9"/>
  <c r="AC97" i="9"/>
  <c r="AB97" i="9"/>
  <c r="AA97" i="9"/>
  <c r="Y97" i="9"/>
  <c r="X97" i="9"/>
  <c r="W97" i="9"/>
  <c r="U97" i="9"/>
  <c r="O97" i="9"/>
  <c r="L97" i="9"/>
  <c r="K97" i="9"/>
  <c r="J97" i="9"/>
  <c r="I97" i="9"/>
  <c r="G97" i="9"/>
  <c r="F97" i="9"/>
  <c r="E97" i="9"/>
  <c r="B97" i="9"/>
  <c r="CZ97" i="9" s="1"/>
  <c r="G96" i="9"/>
  <c r="B96" i="9"/>
  <c r="DI95" i="9"/>
  <c r="DF95" i="9"/>
  <c r="DE95" i="9"/>
  <c r="DD95" i="9"/>
  <c r="DC95" i="9"/>
  <c r="CW95" i="9"/>
  <c r="CU95" i="9"/>
  <c r="CR95" i="9"/>
  <c r="CQ95" i="9"/>
  <c r="CP95" i="9"/>
  <c r="CO95" i="9"/>
  <c r="CM95" i="9"/>
  <c r="CL95" i="9"/>
  <c r="BL95" i="9"/>
  <c r="BK95" i="9"/>
  <c r="BJ95" i="9"/>
  <c r="BI95" i="9"/>
  <c r="BF95" i="9"/>
  <c r="BE95" i="9"/>
  <c r="BC95" i="9"/>
  <c r="AX95" i="9"/>
  <c r="AV95" i="9"/>
  <c r="AU95" i="9"/>
  <c r="AQ95" i="9"/>
  <c r="AP95" i="9"/>
  <c r="AO95" i="9"/>
  <c r="AM95" i="9"/>
  <c r="AL95" i="9"/>
  <c r="AH95" i="9"/>
  <c r="AC95" i="9"/>
  <c r="AB95" i="9"/>
  <c r="AA95" i="9"/>
  <c r="Y95" i="9"/>
  <c r="X95" i="9"/>
  <c r="W95" i="9"/>
  <c r="V95" i="9"/>
  <c r="O95" i="9"/>
  <c r="M95" i="9"/>
  <c r="K95" i="9"/>
  <c r="J95" i="9"/>
  <c r="I95" i="9"/>
  <c r="G95" i="9"/>
  <c r="E95" i="9"/>
  <c r="C95" i="9"/>
  <c r="B95" i="9"/>
  <c r="DA95" i="9" s="1"/>
  <c r="DF94" i="9"/>
  <c r="DB94" i="9"/>
  <c r="CW94" i="9"/>
  <c r="CT94" i="9"/>
  <c r="CN94" i="9"/>
  <c r="BL94" i="9"/>
  <c r="BK94" i="9"/>
  <c r="BF94" i="9"/>
  <c r="BC94" i="9"/>
  <c r="AW94" i="9"/>
  <c r="AT94" i="9"/>
  <c r="AO94" i="9"/>
  <c r="AL94" i="9"/>
  <c r="AJ94" i="9"/>
  <c r="AH94" i="9"/>
  <c r="AG94" i="9"/>
  <c r="AF94" i="9"/>
  <c r="T94" i="9"/>
  <c r="R94" i="9"/>
  <c r="Q94" i="9"/>
  <c r="P94" i="9"/>
  <c r="O94" i="9"/>
  <c r="L94" i="9"/>
  <c r="G94" i="9"/>
  <c r="F94" i="9"/>
  <c r="B94" i="9"/>
  <c r="CX94" i="9" s="1"/>
  <c r="CS93" i="9"/>
  <c r="BK93" i="9"/>
  <c r="AW93" i="9"/>
  <c r="AK93" i="9"/>
  <c r="AC93" i="9"/>
  <c r="P93" i="9"/>
  <c r="G93" i="9"/>
  <c r="B93" i="9"/>
  <c r="CX92" i="9"/>
  <c r="CO92" i="9"/>
  <c r="BC92" i="9"/>
  <c r="AS92" i="9"/>
  <c r="AF92" i="9"/>
  <c r="S92" i="9"/>
  <c r="H92" i="9"/>
  <c r="G92" i="9"/>
  <c r="B92" i="9"/>
  <c r="CP92" i="9" s="1"/>
  <c r="DI91" i="9"/>
  <c r="DH91" i="9"/>
  <c r="DG91" i="9"/>
  <c r="DF91" i="9"/>
  <c r="CY91" i="9"/>
  <c r="CW91" i="9"/>
  <c r="CU91" i="9"/>
  <c r="CS91" i="9"/>
  <c r="CQ91" i="9"/>
  <c r="CP91" i="9"/>
  <c r="BL91" i="9"/>
  <c r="BK91" i="9"/>
  <c r="BJ91" i="9"/>
  <c r="BF91" i="9"/>
  <c r="BB91" i="9"/>
  <c r="AY91" i="9"/>
  <c r="AW91" i="9"/>
  <c r="AV91" i="9"/>
  <c r="AU91" i="9"/>
  <c r="AO91" i="9"/>
  <c r="AL91" i="9"/>
  <c r="AK91" i="9"/>
  <c r="AJ91" i="9"/>
  <c r="AI91" i="9"/>
  <c r="AH91" i="9"/>
  <c r="AE91" i="9"/>
  <c r="W91" i="9"/>
  <c r="V91" i="9"/>
  <c r="U91" i="9"/>
  <c r="S91" i="9"/>
  <c r="R91" i="9"/>
  <c r="P91" i="9"/>
  <c r="O91" i="9"/>
  <c r="J91" i="9"/>
  <c r="G91" i="9"/>
  <c r="E91" i="9"/>
  <c r="B91" i="9"/>
  <c r="CV91" i="9" s="1"/>
  <c r="DI90" i="9"/>
  <c r="DH90" i="9"/>
  <c r="DF90" i="9"/>
  <c r="DA90" i="9"/>
  <c r="CY90" i="9"/>
  <c r="CW90" i="9"/>
  <c r="CV90" i="9"/>
  <c r="CP90" i="9"/>
  <c r="BM90" i="9"/>
  <c r="BL90" i="9"/>
  <c r="BE90" i="9"/>
  <c r="BC90" i="9"/>
  <c r="BB90" i="9"/>
  <c r="BA90" i="9"/>
  <c r="AZ90" i="9"/>
  <c r="AV90" i="9"/>
  <c r="AN90" i="9"/>
  <c r="AM90" i="9"/>
  <c r="AL90" i="9"/>
  <c r="AJ90" i="9"/>
  <c r="AH90" i="9"/>
  <c r="AG90" i="9"/>
  <c r="AE90" i="9"/>
  <c r="AA90" i="9"/>
  <c r="U90" i="9"/>
  <c r="R90" i="9"/>
  <c r="Q90" i="9"/>
  <c r="P90" i="9"/>
  <c r="L90" i="9"/>
  <c r="H90" i="9"/>
  <c r="G90" i="9"/>
  <c r="E90" i="9"/>
  <c r="C90" i="9"/>
  <c r="B90" i="9"/>
  <c r="CR90" i="9" s="1"/>
  <c r="DH89" i="9"/>
  <c r="CY89" i="9"/>
  <c r="CX89" i="9"/>
  <c r="CW89" i="9"/>
  <c r="CV89" i="9"/>
  <c r="CU89" i="9"/>
  <c r="CR89" i="9"/>
  <c r="BL89" i="9"/>
  <c r="BE89" i="9"/>
  <c r="BC89" i="9"/>
  <c r="BB89" i="9"/>
  <c r="BA89" i="9"/>
  <c r="AY89" i="9"/>
  <c r="AV89" i="9"/>
  <c r="AK89" i="9"/>
  <c r="AI89" i="9"/>
  <c r="AH89" i="9"/>
  <c r="AG89" i="9"/>
  <c r="AB89" i="9"/>
  <c r="X89" i="9"/>
  <c r="V89" i="9"/>
  <c r="R89" i="9"/>
  <c r="I89" i="9"/>
  <c r="H89" i="9"/>
  <c r="G89" i="9"/>
  <c r="F89" i="9"/>
  <c r="E89" i="9"/>
  <c r="B89" i="9"/>
  <c r="CL89" i="9" s="1"/>
  <c r="CY88" i="9"/>
  <c r="CU88" i="9"/>
  <c r="CR88" i="9"/>
  <c r="CN88" i="9"/>
  <c r="CL88" i="9"/>
  <c r="BC88" i="9"/>
  <c r="AZ88" i="9"/>
  <c r="AX88" i="9"/>
  <c r="AR88" i="9"/>
  <c r="AP88" i="9"/>
  <c r="AH88" i="9"/>
  <c r="Z88" i="9"/>
  <c r="X88" i="9"/>
  <c r="V88" i="9"/>
  <c r="U88" i="9"/>
  <c r="H88" i="9"/>
  <c r="G88" i="9"/>
  <c r="C88" i="9"/>
  <c r="B88" i="9"/>
  <c r="DI87" i="9"/>
  <c r="DH87" i="9"/>
  <c r="DG87" i="9"/>
  <c r="DF87" i="9"/>
  <c r="DE87" i="9"/>
  <c r="DC87" i="9"/>
  <c r="DB87" i="9"/>
  <c r="DA87" i="9"/>
  <c r="CX87" i="9"/>
  <c r="CW87" i="9"/>
  <c r="CV87" i="9"/>
  <c r="CU87" i="9"/>
  <c r="CT87" i="9"/>
  <c r="CS87" i="9"/>
  <c r="CR87" i="9"/>
  <c r="CP87" i="9"/>
  <c r="CO87" i="9"/>
  <c r="CM87" i="9"/>
  <c r="BM87" i="9"/>
  <c r="BK87" i="9"/>
  <c r="BJ87" i="9"/>
  <c r="BI87" i="9"/>
  <c r="BH87" i="9"/>
  <c r="BG87" i="9"/>
  <c r="BF87" i="9"/>
  <c r="BE87" i="9"/>
  <c r="BB87" i="9"/>
  <c r="BA87" i="9"/>
  <c r="AZ87" i="9"/>
  <c r="AX87" i="9"/>
  <c r="AW87" i="9"/>
  <c r="AV87" i="9"/>
  <c r="AU87" i="9"/>
  <c r="AT87" i="9"/>
  <c r="AS87" i="9"/>
  <c r="AQ87" i="9"/>
  <c r="AO87" i="9"/>
  <c r="AN87" i="9"/>
  <c r="AM87" i="9"/>
  <c r="AK87" i="9"/>
  <c r="AJ87" i="9"/>
  <c r="AI87" i="9"/>
  <c r="AH87" i="9"/>
  <c r="AG87" i="9"/>
  <c r="AE87" i="9"/>
  <c r="AD87" i="9"/>
  <c r="AB87" i="9"/>
  <c r="AA87" i="9"/>
  <c r="Z87" i="9"/>
  <c r="X87" i="9"/>
  <c r="W87" i="9"/>
  <c r="V87" i="9"/>
  <c r="U87" i="9"/>
  <c r="S87" i="9"/>
  <c r="R87" i="9"/>
  <c r="Q87" i="9"/>
  <c r="O87" i="9"/>
  <c r="N87" i="9"/>
  <c r="M87" i="9"/>
  <c r="K87" i="9"/>
  <c r="J87" i="9"/>
  <c r="I87" i="9"/>
  <c r="G87" i="9"/>
  <c r="F87" i="9"/>
  <c r="E87" i="9"/>
  <c r="C87" i="9"/>
  <c r="B87" i="9"/>
  <c r="DH86" i="9"/>
  <c r="DG86" i="9"/>
  <c r="DD86" i="9"/>
  <c r="DB86" i="9"/>
  <c r="DA86" i="9"/>
  <c r="CZ86" i="9"/>
  <c r="CY86" i="9"/>
  <c r="CX86" i="9"/>
  <c r="CV86" i="9"/>
  <c r="CU86" i="9"/>
  <c r="CR86" i="9"/>
  <c r="CP86" i="9"/>
  <c r="CN86" i="9"/>
  <c r="CM86" i="9"/>
  <c r="CL86" i="9"/>
  <c r="BM86" i="9"/>
  <c r="BL86" i="9"/>
  <c r="BI86" i="9"/>
  <c r="BH86" i="9"/>
  <c r="BF86" i="9"/>
  <c r="BD86" i="9"/>
  <c r="BC86" i="9"/>
  <c r="BB86" i="9"/>
  <c r="BA86" i="9"/>
  <c r="AZ86" i="9"/>
  <c r="AX86" i="9"/>
  <c r="AV86" i="9"/>
  <c r="AS86" i="9"/>
  <c r="AQ86" i="9"/>
  <c r="AP86" i="9"/>
  <c r="AO86" i="9"/>
  <c r="AN86" i="9"/>
  <c r="AM86" i="9"/>
  <c r="AL86" i="9"/>
  <c r="AK86" i="9"/>
  <c r="AG86" i="9"/>
  <c r="AF86" i="9"/>
  <c r="AC86" i="9"/>
  <c r="AB86" i="9"/>
  <c r="AA86" i="9"/>
  <c r="Z86" i="9"/>
  <c r="Y86" i="9"/>
  <c r="X86" i="9"/>
  <c r="U86" i="9"/>
  <c r="T86" i="9"/>
  <c r="Q86" i="9"/>
  <c r="P86" i="9"/>
  <c r="N86" i="9"/>
  <c r="M86" i="9"/>
  <c r="L86" i="9"/>
  <c r="J86" i="9"/>
  <c r="H86" i="9"/>
  <c r="G86" i="9"/>
  <c r="F86" i="9"/>
  <c r="C86" i="9"/>
  <c r="B86" i="9"/>
  <c r="DI85" i="9"/>
  <c r="DH85" i="9"/>
  <c r="DG85" i="9"/>
  <c r="DE85" i="9"/>
  <c r="DD85" i="9"/>
  <c r="DB85" i="9"/>
  <c r="DA85" i="9"/>
  <c r="CZ85" i="9"/>
  <c r="CX85" i="9"/>
  <c r="CW85" i="9"/>
  <c r="CV85" i="9"/>
  <c r="CU85" i="9"/>
  <c r="CS85" i="9"/>
  <c r="CR85" i="9"/>
  <c r="CQ85" i="9"/>
  <c r="CO85" i="9"/>
  <c r="CN85" i="9"/>
  <c r="CM85" i="9"/>
  <c r="BM85" i="9"/>
  <c r="BK85" i="9"/>
  <c r="BI85" i="9"/>
  <c r="BH85" i="9"/>
  <c r="BG85" i="9"/>
  <c r="BF85" i="9"/>
  <c r="BE85" i="9"/>
  <c r="BD85" i="9"/>
  <c r="BB85" i="9"/>
  <c r="BA85" i="9"/>
  <c r="AZ85" i="9"/>
  <c r="AW85" i="9"/>
  <c r="AV85" i="9"/>
  <c r="AU85" i="9"/>
  <c r="AT85" i="9"/>
  <c r="AS85" i="9"/>
  <c r="AR85" i="9"/>
  <c r="AQ85" i="9"/>
  <c r="AO85" i="9"/>
  <c r="AN85" i="9"/>
  <c r="AM85" i="9"/>
  <c r="AJ85" i="9"/>
  <c r="AI85" i="9"/>
  <c r="AH85" i="9"/>
  <c r="AG85" i="9"/>
  <c r="AF85" i="9"/>
  <c r="AE85" i="9"/>
  <c r="AD85" i="9"/>
  <c r="AB85" i="9"/>
  <c r="AA85" i="9"/>
  <c r="Y85" i="9"/>
  <c r="W85" i="9"/>
  <c r="V85" i="9"/>
  <c r="U85" i="9"/>
  <c r="T85" i="9"/>
  <c r="S85" i="9"/>
  <c r="R85" i="9"/>
  <c r="Q85" i="9"/>
  <c r="O85" i="9"/>
  <c r="M85" i="9"/>
  <c r="L85" i="9"/>
  <c r="J85" i="9"/>
  <c r="I85" i="9"/>
  <c r="H85" i="9"/>
  <c r="G85" i="9"/>
  <c r="F85" i="9"/>
  <c r="E85" i="9"/>
  <c r="C85" i="9"/>
  <c r="B85" i="9"/>
  <c r="DC84" i="9"/>
  <c r="DA84" i="9"/>
  <c r="CZ84" i="9"/>
  <c r="CY84" i="9"/>
  <c r="CU84" i="9"/>
  <c r="CT84" i="9"/>
  <c r="CP84" i="9"/>
  <c r="CL84" i="9"/>
  <c r="BL84" i="9"/>
  <c r="BK84" i="9"/>
  <c r="BJ84" i="9"/>
  <c r="BH84" i="9"/>
  <c r="BF84" i="9"/>
  <c r="AY84" i="9"/>
  <c r="AU84" i="9"/>
  <c r="AT84" i="9"/>
  <c r="AS84" i="9"/>
  <c r="AQ84" i="9"/>
  <c r="AP84" i="9"/>
  <c r="AM84" i="9"/>
  <c r="AF84" i="9"/>
  <c r="AB84" i="9"/>
  <c r="AA84" i="9"/>
  <c r="Z84" i="9"/>
  <c r="Y84" i="9"/>
  <c r="X84" i="9"/>
  <c r="T84" i="9"/>
  <c r="M84" i="9"/>
  <c r="K84" i="9"/>
  <c r="J84" i="9"/>
  <c r="H84" i="9"/>
  <c r="G84" i="9"/>
  <c r="F84" i="9"/>
  <c r="B84" i="9"/>
  <c r="DG84" i="9" s="1"/>
  <c r="DH83" i="9"/>
  <c r="DD83" i="9"/>
  <c r="DA83" i="9"/>
  <c r="CY83" i="9"/>
  <c r="CV83" i="9"/>
  <c r="CU83" i="9"/>
  <c r="CS83" i="9"/>
  <c r="CQ83" i="9"/>
  <c r="CJ83" i="9"/>
  <c r="CG83" i="9"/>
  <c r="CF83" i="9"/>
  <c r="CD83" i="9"/>
  <c r="CA83" i="9"/>
  <c r="BZ83" i="9"/>
  <c r="BW83" i="9"/>
  <c r="BR83" i="9"/>
  <c r="BM83" i="9"/>
  <c r="BL83" i="9"/>
  <c r="BJ83" i="9"/>
  <c r="BI83" i="9"/>
  <c r="BH83" i="9"/>
  <c r="BF83" i="9"/>
  <c r="AW83" i="9"/>
  <c r="AU83" i="9"/>
  <c r="AT83" i="9"/>
  <c r="AS83" i="9"/>
  <c r="AQ83" i="9"/>
  <c r="AP83" i="9"/>
  <c r="AL83" i="9"/>
  <c r="AE83" i="9"/>
  <c r="AC83" i="9"/>
  <c r="AA83" i="9"/>
  <c r="Z83" i="9"/>
  <c r="Y83" i="9"/>
  <c r="V83" i="9"/>
  <c r="R83" i="9"/>
  <c r="M83" i="9"/>
  <c r="J83" i="9"/>
  <c r="I83" i="9"/>
  <c r="G83" i="9"/>
  <c r="F83" i="9"/>
  <c r="E83" i="9"/>
  <c r="B83" i="9"/>
  <c r="DG83" i="9" s="1"/>
  <c r="CZ82" i="9"/>
  <c r="CK82" i="9"/>
  <c r="BX82" i="9"/>
  <c r="BH82" i="9"/>
  <c r="AP82" i="9"/>
  <c r="Z82" i="9"/>
  <c r="G82" i="9"/>
  <c r="B82" i="9"/>
  <c r="CT82" i="9" s="1"/>
  <c r="CW81" i="9"/>
  <c r="CR81" i="9"/>
  <c r="CN81" i="9"/>
  <c r="CG81" i="9"/>
  <c r="CD81" i="9"/>
  <c r="CC81" i="9"/>
  <c r="BU81" i="9"/>
  <c r="BI81" i="9"/>
  <c r="BG81" i="9"/>
  <c r="BF81" i="9"/>
  <c r="BC81" i="9"/>
  <c r="AU81" i="9"/>
  <c r="AN81" i="9"/>
  <c r="AD81" i="9"/>
  <c r="X81" i="9"/>
  <c r="V81" i="9"/>
  <c r="T81" i="9"/>
  <c r="S81" i="9"/>
  <c r="G81" i="9"/>
  <c r="E81" i="9"/>
  <c r="B81" i="9"/>
  <c r="CQ81" i="9" s="1"/>
  <c r="DG80" i="9"/>
  <c r="CY80" i="9"/>
  <c r="CU80" i="9"/>
  <c r="CT80" i="9"/>
  <c r="CS80" i="9"/>
  <c r="CJ80" i="9"/>
  <c r="CI80" i="9"/>
  <c r="CH80" i="9"/>
  <c r="CG80" i="9"/>
  <c r="CF80" i="9"/>
  <c r="CE80" i="9"/>
  <c r="CC80" i="9"/>
  <c r="CB80" i="9"/>
  <c r="CA80" i="9"/>
  <c r="BZ80" i="9"/>
  <c r="BX80" i="9"/>
  <c r="BW80" i="9"/>
  <c r="BV80" i="9"/>
  <c r="BU80" i="9"/>
  <c r="BT80" i="9"/>
  <c r="BS80" i="9"/>
  <c r="BR80" i="9"/>
  <c r="BP80" i="9"/>
  <c r="BO80" i="9"/>
  <c r="BN80" i="9"/>
  <c r="BL80" i="9"/>
  <c r="BK80" i="9"/>
  <c r="BJ80" i="9"/>
  <c r="BI80" i="9"/>
  <c r="BH80" i="9"/>
  <c r="BG80" i="9"/>
  <c r="BF80" i="9"/>
  <c r="DE80" i="9" s="1"/>
  <c r="BE80" i="9"/>
  <c r="BC80" i="9"/>
  <c r="BB80" i="9"/>
  <c r="AZ80" i="9"/>
  <c r="AY80" i="9"/>
  <c r="AX80" i="9"/>
  <c r="AW80" i="9"/>
  <c r="AV80" i="9"/>
  <c r="AU80" i="9"/>
  <c r="AT80" i="9"/>
  <c r="AS80" i="9"/>
  <c r="AR80" i="9"/>
  <c r="AP80" i="9"/>
  <c r="AN80" i="9"/>
  <c r="AM80" i="9"/>
  <c r="AL80" i="9"/>
  <c r="AK80" i="9"/>
  <c r="AJ80" i="9"/>
  <c r="AI80" i="9"/>
  <c r="AH80" i="9"/>
  <c r="AG80" i="9"/>
  <c r="AF80" i="9"/>
  <c r="AE80" i="9"/>
  <c r="AB80" i="9"/>
  <c r="AA80" i="9"/>
  <c r="Z80" i="9"/>
  <c r="Y80" i="9"/>
  <c r="X80" i="9"/>
  <c r="W80" i="9"/>
  <c r="V80" i="9"/>
  <c r="U80" i="9"/>
  <c r="T80" i="9"/>
  <c r="S80" i="9"/>
  <c r="R80" i="9"/>
  <c r="O80" i="9"/>
  <c r="N80" i="9"/>
  <c r="M80" i="9"/>
  <c r="L80" i="9"/>
  <c r="K80" i="9"/>
  <c r="J80" i="9"/>
  <c r="I80" i="9"/>
  <c r="H80" i="9"/>
  <c r="G80" i="9"/>
  <c r="F80" i="9"/>
  <c r="C80" i="9"/>
  <c r="B80" i="9"/>
  <c r="DE79" i="9"/>
  <c r="DD79" i="9"/>
  <c r="DC79" i="9"/>
  <c r="DB79" i="9"/>
  <c r="DA79" i="9"/>
  <c r="CX79" i="9"/>
  <c r="CV79" i="9"/>
  <c r="CQ79" i="9"/>
  <c r="CL79" i="9"/>
  <c r="CI79" i="9"/>
  <c r="CH79" i="9"/>
  <c r="CF79" i="9"/>
  <c r="CE79" i="9"/>
  <c r="CD79" i="9"/>
  <c r="CC79" i="9"/>
  <c r="CA79" i="9"/>
  <c r="BZ79" i="9"/>
  <c r="BY79" i="9"/>
  <c r="BX79" i="9"/>
  <c r="BU79" i="9"/>
  <c r="BT79" i="9"/>
  <c r="BR79" i="9"/>
  <c r="BQ79" i="9"/>
  <c r="BO79" i="9"/>
  <c r="BN79" i="9"/>
  <c r="BM79" i="9"/>
  <c r="BL79" i="9"/>
  <c r="BK79" i="9"/>
  <c r="BI79" i="9"/>
  <c r="BG79" i="9"/>
  <c r="BF79" i="9"/>
  <c r="CM79" i="9" s="1"/>
  <c r="BC79" i="9"/>
  <c r="BB79" i="9"/>
  <c r="BA79" i="9"/>
  <c r="AZ79" i="9"/>
  <c r="AY79" i="9"/>
  <c r="AX79" i="9"/>
  <c r="AV79" i="9"/>
  <c r="AU79" i="9"/>
  <c r="AS79" i="9"/>
  <c r="AQ79" i="9"/>
  <c r="AO79" i="9"/>
  <c r="AN79" i="9"/>
  <c r="AM79" i="9"/>
  <c r="AL79" i="9"/>
  <c r="AK79" i="9"/>
  <c r="AI79" i="9"/>
  <c r="AH79" i="9"/>
  <c r="AG79" i="9"/>
  <c r="AD79" i="9"/>
  <c r="AC79" i="9"/>
  <c r="AA79" i="9"/>
  <c r="Z79" i="9"/>
  <c r="Y79" i="9"/>
  <c r="X79" i="9"/>
  <c r="V79" i="9"/>
  <c r="U79" i="9"/>
  <c r="S79" i="9"/>
  <c r="R79" i="9"/>
  <c r="P79" i="9"/>
  <c r="O79" i="9"/>
  <c r="M79" i="9"/>
  <c r="L79" i="9"/>
  <c r="K79" i="9"/>
  <c r="I79" i="9"/>
  <c r="G79" i="9"/>
  <c r="F79" i="9"/>
  <c r="E79" i="9"/>
  <c r="C79" i="9"/>
  <c r="B79" i="9"/>
  <c r="DI78" i="9"/>
  <c r="DH78" i="9"/>
  <c r="DF78" i="9"/>
  <c r="DE78" i="9"/>
  <c r="DB78" i="9"/>
  <c r="CZ78" i="9"/>
  <c r="CX78" i="9"/>
  <c r="CW78" i="9"/>
  <c r="CU78" i="9"/>
  <c r="CT78" i="9"/>
  <c r="CR78" i="9"/>
  <c r="CO78" i="9"/>
  <c r="CN78" i="9"/>
  <c r="CM78" i="9"/>
  <c r="CL78" i="9"/>
  <c r="CK78" i="9"/>
  <c r="CJ78" i="9"/>
  <c r="CI78" i="9"/>
  <c r="CH78" i="9"/>
  <c r="CG78" i="9"/>
  <c r="CF78" i="9"/>
  <c r="CD78" i="9"/>
  <c r="CB78" i="9"/>
  <c r="CA78" i="9"/>
  <c r="BZ78" i="9"/>
  <c r="BY78" i="9"/>
  <c r="BX78" i="9"/>
  <c r="BW78" i="9"/>
  <c r="BV78" i="9"/>
  <c r="BU78" i="9"/>
  <c r="BT78" i="9"/>
  <c r="BR78" i="9"/>
  <c r="BQ78" i="9"/>
  <c r="BO78" i="9"/>
  <c r="BN78" i="9"/>
  <c r="BM78" i="9"/>
  <c r="BL78" i="9"/>
  <c r="BK78" i="9"/>
  <c r="BJ78" i="9"/>
  <c r="BI78" i="9"/>
  <c r="BH78" i="9"/>
  <c r="BF78" i="9"/>
  <c r="DA78" i="9" s="1"/>
  <c r="BE78" i="9"/>
  <c r="BD78" i="9"/>
  <c r="BB78" i="9"/>
  <c r="BA78" i="9"/>
  <c r="AZ78" i="9"/>
  <c r="AY78" i="9"/>
  <c r="AX78" i="9"/>
  <c r="AW78" i="9"/>
  <c r="AV78" i="9"/>
  <c r="AT78" i="9"/>
  <c r="AS78" i="9"/>
  <c r="AR78" i="9"/>
  <c r="AQ78" i="9"/>
  <c r="AO78" i="9"/>
  <c r="AN78" i="9"/>
  <c r="AM78" i="9"/>
  <c r="AL78" i="9"/>
  <c r="AK78" i="9"/>
  <c r="AJ78" i="9"/>
  <c r="AH78" i="9"/>
  <c r="AG78" i="9"/>
  <c r="AF78" i="9"/>
  <c r="AE78" i="9"/>
  <c r="AD78" i="9"/>
  <c r="AB78" i="9"/>
  <c r="AA78" i="9"/>
  <c r="Z78" i="9"/>
  <c r="Y78" i="9"/>
  <c r="X78" i="9"/>
  <c r="V78" i="9"/>
  <c r="U78" i="9"/>
  <c r="T78" i="9"/>
  <c r="S78" i="9"/>
  <c r="R78" i="9"/>
  <c r="Q78" i="9"/>
  <c r="O78" i="9"/>
  <c r="N78" i="9"/>
  <c r="M78" i="9"/>
  <c r="L78" i="9"/>
  <c r="J78" i="9"/>
  <c r="I78" i="9"/>
  <c r="H78" i="9"/>
  <c r="G78" i="9"/>
  <c r="F78" i="9"/>
  <c r="E78" i="9"/>
  <c r="C78" i="9"/>
  <c r="B78" i="9"/>
  <c r="DG77" i="9"/>
  <c r="DE77" i="9"/>
  <c r="DC77" i="9"/>
  <c r="CZ77" i="9"/>
  <c r="CR77" i="9"/>
  <c r="CO77" i="9"/>
  <c r="CN77" i="9"/>
  <c r="CM77" i="9"/>
  <c r="CL77" i="9"/>
  <c r="CK77" i="9"/>
  <c r="CI77" i="9"/>
  <c r="CG77" i="9"/>
  <c r="CD77" i="9"/>
  <c r="CA77" i="9"/>
  <c r="BY77" i="9"/>
  <c r="BX77" i="9"/>
  <c r="BU77" i="9"/>
  <c r="BT77" i="9"/>
  <c r="BS77" i="9"/>
  <c r="BR77" i="9"/>
  <c r="BP77" i="9"/>
  <c r="BM77" i="9"/>
  <c r="BK77" i="9"/>
  <c r="BG77" i="9"/>
  <c r="BF77" i="9"/>
  <c r="CV77" i="9" s="1"/>
  <c r="BE77" i="9"/>
  <c r="BD77" i="9"/>
  <c r="BB77" i="9"/>
  <c r="BA77" i="9"/>
  <c r="AY77" i="9"/>
  <c r="AU77" i="9"/>
  <c r="AS77" i="9"/>
  <c r="AQ77" i="9"/>
  <c r="AP77" i="9"/>
  <c r="AN77" i="9"/>
  <c r="AM77" i="9"/>
  <c r="AJ77" i="9"/>
  <c r="AI77" i="9"/>
  <c r="AH77" i="9"/>
  <c r="AF77" i="9"/>
  <c r="AD77" i="9"/>
  <c r="AA77" i="9"/>
  <c r="Y77" i="9"/>
  <c r="W77" i="9"/>
  <c r="V77" i="9"/>
  <c r="U77" i="9"/>
  <c r="T77" i="9"/>
  <c r="S77" i="9"/>
  <c r="Q77" i="9"/>
  <c r="M77" i="9"/>
  <c r="J77" i="9"/>
  <c r="I77" i="9"/>
  <c r="H77" i="9"/>
  <c r="G77" i="9"/>
  <c r="F77" i="9"/>
  <c r="E77" i="9"/>
  <c r="C77" i="9"/>
  <c r="B77" i="9"/>
  <c r="CU77" i="9" s="1"/>
  <c r="DG76" i="9"/>
  <c r="CZ76" i="9"/>
  <c r="CO76" i="9"/>
  <c r="CL76" i="9"/>
  <c r="CJ76" i="9"/>
  <c r="CF76" i="9"/>
  <c r="CB76" i="9"/>
  <c r="BZ76" i="9"/>
  <c r="BW76" i="9"/>
  <c r="BV76" i="9"/>
  <c r="BT76" i="9"/>
  <c r="BS76" i="9"/>
  <c r="BQ76" i="9"/>
  <c r="BP76" i="9"/>
  <c r="BJ76" i="9"/>
  <c r="BF76" i="9"/>
  <c r="CX76" i="9" s="1"/>
  <c r="BD76" i="9"/>
  <c r="BC76" i="9"/>
  <c r="BB76" i="9"/>
  <c r="AZ76" i="9"/>
  <c r="AY76" i="9"/>
  <c r="AW76" i="9"/>
  <c r="AT76" i="9"/>
  <c r="AN76" i="9"/>
  <c r="AL76" i="9"/>
  <c r="AK76" i="9"/>
  <c r="AJ76" i="9"/>
  <c r="AG76" i="9"/>
  <c r="AD76" i="9"/>
  <c r="AA76" i="9"/>
  <c r="Z76" i="9"/>
  <c r="Y76" i="9"/>
  <c r="V76" i="9"/>
  <c r="P76" i="9"/>
  <c r="N76" i="9"/>
  <c r="L76" i="9"/>
  <c r="K76" i="9"/>
  <c r="J76" i="9"/>
  <c r="I76" i="9"/>
  <c r="G76" i="9"/>
  <c r="F76" i="9"/>
  <c r="B76" i="9"/>
  <c r="DA76" i="9" s="1"/>
  <c r="CV75" i="9"/>
  <c r="CU75" i="9"/>
  <c r="CS75" i="9"/>
  <c r="CJ75" i="9"/>
  <c r="BZ75" i="9"/>
  <c r="BW75" i="9"/>
  <c r="BV75" i="9"/>
  <c r="BR75" i="9"/>
  <c r="BF75" i="9"/>
  <c r="BE75" i="9"/>
  <c r="BC75" i="9"/>
  <c r="AQ75" i="9"/>
  <c r="AL75" i="9"/>
  <c r="AJ75" i="9"/>
  <c r="AH75" i="9"/>
  <c r="Z75" i="9"/>
  <c r="W75" i="9"/>
  <c r="P75" i="9"/>
  <c r="M75" i="9"/>
  <c r="L75" i="9"/>
  <c r="G75" i="9"/>
  <c r="F75" i="9"/>
  <c r="B75" i="9"/>
  <c r="DG74" i="9"/>
  <c r="DD74" i="9"/>
  <c r="DB74" i="9"/>
  <c r="DA74" i="9"/>
  <c r="CZ74" i="9"/>
  <c r="CY74" i="9"/>
  <c r="CX74" i="9"/>
  <c r="CW74" i="9"/>
  <c r="CP74" i="9"/>
  <c r="CN74" i="9"/>
  <c r="CM74" i="9"/>
  <c r="CL74" i="9"/>
  <c r="CK74" i="9"/>
  <c r="CJ74" i="9"/>
  <c r="CI74" i="9"/>
  <c r="CG74" i="9"/>
  <c r="CF74" i="9"/>
  <c r="CC74" i="9"/>
  <c r="CA74" i="9"/>
  <c r="BY74" i="9"/>
  <c r="BX74" i="9"/>
  <c r="BW74" i="9"/>
  <c r="BV74" i="9"/>
  <c r="BT74" i="9"/>
  <c r="BR74" i="9"/>
  <c r="BP74" i="9"/>
  <c r="BO74" i="9"/>
  <c r="BN74" i="9"/>
  <c r="BL74" i="9"/>
  <c r="BJ74" i="9"/>
  <c r="BI74" i="9"/>
  <c r="BF74" i="9"/>
  <c r="CV74" i="9" s="1"/>
  <c r="BE74" i="9"/>
  <c r="BC74" i="9"/>
  <c r="BB74" i="9"/>
  <c r="BA74" i="9"/>
  <c r="AZ74" i="9"/>
  <c r="AY74" i="9"/>
  <c r="AW74" i="9"/>
  <c r="AS74" i="9"/>
  <c r="AR74" i="9"/>
  <c r="AP74" i="9"/>
  <c r="AO74" i="9"/>
  <c r="AN74" i="9"/>
  <c r="AM74" i="9"/>
  <c r="AL74" i="9"/>
  <c r="AK74" i="9"/>
  <c r="AJ74" i="9"/>
  <c r="AF74" i="9"/>
  <c r="AC74" i="9"/>
  <c r="AB74" i="9"/>
  <c r="AA74" i="9"/>
  <c r="Z74" i="9"/>
  <c r="Y74" i="9"/>
  <c r="X74" i="9"/>
  <c r="V74" i="9"/>
  <c r="U74" i="9"/>
  <c r="S74" i="9"/>
  <c r="P74" i="9"/>
  <c r="N74" i="9"/>
  <c r="M74" i="9"/>
  <c r="L74" i="9"/>
  <c r="J74" i="9"/>
  <c r="I74" i="9"/>
  <c r="H74" i="9"/>
  <c r="G74" i="9"/>
  <c r="F74" i="9"/>
  <c r="E74" i="9"/>
  <c r="B74" i="9"/>
  <c r="DG73" i="9"/>
  <c r="DC73" i="9"/>
  <c r="CZ73" i="9"/>
  <c r="CY73" i="9"/>
  <c r="CQ73" i="9"/>
  <c r="CO73" i="9"/>
  <c r="CJ73" i="9"/>
  <c r="CI73" i="9"/>
  <c r="CG73" i="9"/>
  <c r="CF73" i="9"/>
  <c r="CD73" i="9"/>
  <c r="CB73" i="9"/>
  <c r="BZ73" i="9"/>
  <c r="BY73" i="9"/>
  <c r="BW73" i="9"/>
  <c r="BU73" i="9"/>
  <c r="BT73" i="9"/>
  <c r="BS73" i="9"/>
  <c r="BR73" i="9"/>
  <c r="BQ73" i="9"/>
  <c r="BO73" i="9"/>
  <c r="BL73" i="9"/>
  <c r="BI73" i="9"/>
  <c r="BH73" i="9"/>
  <c r="BG73" i="9"/>
  <c r="BF73" i="9"/>
  <c r="BE73" i="9"/>
  <c r="BD73" i="9"/>
  <c r="BC73" i="9"/>
  <c r="BB73" i="9"/>
  <c r="AY73" i="9"/>
  <c r="AU73" i="9"/>
  <c r="AT73" i="9"/>
  <c r="AS73" i="9"/>
  <c r="AR73" i="9"/>
  <c r="AQ73" i="9"/>
  <c r="AP73" i="9"/>
  <c r="AO73" i="9"/>
  <c r="AM73" i="9"/>
  <c r="AK73" i="9"/>
  <c r="AH73" i="9"/>
  <c r="AF73" i="9"/>
  <c r="AE73" i="9"/>
  <c r="AD73" i="9"/>
  <c r="AC73" i="9"/>
  <c r="AB73" i="9"/>
  <c r="Y73" i="9"/>
  <c r="X73" i="9"/>
  <c r="V73" i="9"/>
  <c r="U73" i="9"/>
  <c r="S73" i="9"/>
  <c r="Q73" i="9"/>
  <c r="P73" i="9"/>
  <c r="O73" i="9"/>
  <c r="L73" i="9"/>
  <c r="K73" i="9"/>
  <c r="I73" i="9"/>
  <c r="H73" i="9"/>
  <c r="G73" i="9"/>
  <c r="F73" i="9"/>
  <c r="E73" i="9"/>
  <c r="C73" i="9"/>
  <c r="B73" i="9"/>
  <c r="CN72" i="9"/>
  <c r="CJ72" i="9"/>
  <c r="CI72" i="9"/>
  <c r="CH72" i="9"/>
  <c r="CG72" i="9"/>
  <c r="CF72" i="9"/>
  <c r="CE72" i="9"/>
  <c r="CC72" i="9"/>
  <c r="CB72" i="9"/>
  <c r="CA72" i="9"/>
  <c r="BZ72" i="9"/>
  <c r="BX72" i="9"/>
  <c r="BW72" i="9"/>
  <c r="BV72" i="9"/>
  <c r="BU72" i="9"/>
  <c r="BT72" i="9"/>
  <c r="BS72" i="9"/>
  <c r="BR72" i="9"/>
  <c r="BP72" i="9"/>
  <c r="BO72" i="9"/>
  <c r="BN72" i="9"/>
  <c r="BL72" i="9"/>
  <c r="BK72" i="9"/>
  <c r="BJ72" i="9"/>
  <c r="BI72" i="9"/>
  <c r="BH72" i="9"/>
  <c r="BG72" i="9"/>
  <c r="BF72" i="9"/>
  <c r="DC72" i="9" s="1"/>
  <c r="BE72" i="9"/>
  <c r="BC72" i="9"/>
  <c r="BB72" i="9"/>
  <c r="AZ72" i="9"/>
  <c r="AY72" i="9"/>
  <c r="AX72" i="9"/>
  <c r="AW72" i="9"/>
  <c r="AV72" i="9"/>
  <c r="AU72" i="9"/>
  <c r="AT72" i="9"/>
  <c r="AS72" i="9"/>
  <c r="AR72" i="9"/>
  <c r="AP72" i="9"/>
  <c r="AN72" i="9"/>
  <c r="AM72" i="9"/>
  <c r="AL72" i="9"/>
  <c r="AK72" i="9"/>
  <c r="AJ72" i="9"/>
  <c r="AI72" i="9"/>
  <c r="AH72" i="9"/>
  <c r="AG72" i="9"/>
  <c r="AF72" i="9"/>
  <c r="AE72" i="9"/>
  <c r="AB72" i="9"/>
  <c r="AA72" i="9"/>
  <c r="Z72" i="9"/>
  <c r="Y72" i="9"/>
  <c r="X72" i="9"/>
  <c r="W72" i="9"/>
  <c r="V72" i="9"/>
  <c r="U72" i="9"/>
  <c r="T72" i="9"/>
  <c r="S72" i="9"/>
  <c r="R72" i="9"/>
  <c r="O72" i="9"/>
  <c r="N72" i="9"/>
  <c r="M72" i="9"/>
  <c r="L72" i="9"/>
  <c r="K72" i="9"/>
  <c r="J72" i="9"/>
  <c r="I72" i="9"/>
  <c r="H72" i="9"/>
  <c r="G72" i="9"/>
  <c r="F72" i="9"/>
  <c r="C72" i="9"/>
  <c r="B72" i="9"/>
  <c r="CK71" i="9"/>
  <c r="CH71" i="9"/>
  <c r="CG71" i="9"/>
  <c r="CF71" i="9"/>
  <c r="CA71" i="9"/>
  <c r="BO71" i="9"/>
  <c r="BL71" i="9"/>
  <c r="BK71" i="9"/>
  <c r="BI71" i="9"/>
  <c r="BH71" i="9"/>
  <c r="AY71" i="9"/>
  <c r="AS71" i="9"/>
  <c r="AK71" i="9"/>
  <c r="AH71" i="9"/>
  <c r="AG71" i="9"/>
  <c r="AE71" i="9"/>
  <c r="AC71" i="9"/>
  <c r="P71" i="9"/>
  <c r="N71" i="9"/>
  <c r="M71" i="9"/>
  <c r="K71" i="9"/>
  <c r="G71" i="9"/>
  <c r="B71" i="9"/>
  <c r="DH70" i="9"/>
  <c r="CY70" i="9"/>
  <c r="CT70" i="9"/>
  <c r="CR70" i="9"/>
  <c r="CN70" i="9"/>
  <c r="CL70" i="9"/>
  <c r="CK70" i="9"/>
  <c r="CJ70" i="9"/>
  <c r="CI70" i="9"/>
  <c r="CH70" i="9"/>
  <c r="CG70" i="9"/>
  <c r="CF70" i="9"/>
  <c r="CD70" i="9"/>
  <c r="CB70" i="9"/>
  <c r="CA70" i="9"/>
  <c r="BZ70" i="9"/>
  <c r="BY70" i="9"/>
  <c r="BX70" i="9"/>
  <c r="BW70" i="9"/>
  <c r="BV70" i="9"/>
  <c r="BU70" i="9"/>
  <c r="BT70" i="9"/>
  <c r="BR70" i="9"/>
  <c r="BQ70" i="9"/>
  <c r="BO70" i="9"/>
  <c r="BN70" i="9"/>
  <c r="BM70" i="9"/>
  <c r="BL70" i="9"/>
  <c r="BK70" i="9"/>
  <c r="BJ70" i="9"/>
  <c r="BI70" i="9"/>
  <c r="BH70" i="9"/>
  <c r="BF70" i="9"/>
  <c r="DF70" i="9" s="1"/>
  <c r="BE70" i="9"/>
  <c r="BD70" i="9"/>
  <c r="BB70" i="9"/>
  <c r="BA70" i="9"/>
  <c r="AZ70" i="9"/>
  <c r="AY70" i="9"/>
  <c r="AX70" i="9"/>
  <c r="AW70" i="9"/>
  <c r="AV70" i="9"/>
  <c r="AT70" i="9"/>
  <c r="AS70" i="9"/>
  <c r="AR70" i="9"/>
  <c r="AQ70" i="9"/>
  <c r="AO70" i="9"/>
  <c r="AN70" i="9"/>
  <c r="AM70" i="9"/>
  <c r="AL70" i="9"/>
  <c r="AK70" i="9"/>
  <c r="AJ70" i="9"/>
  <c r="AH70" i="9"/>
  <c r="AG70" i="9"/>
  <c r="AF70" i="9"/>
  <c r="AE70" i="9"/>
  <c r="AD70" i="9"/>
  <c r="AB70" i="9"/>
  <c r="AA70" i="9"/>
  <c r="Z70" i="9"/>
  <c r="Y70" i="9"/>
  <c r="X70" i="9"/>
  <c r="V70" i="9"/>
  <c r="U70" i="9"/>
  <c r="T70" i="9"/>
  <c r="S70" i="9"/>
  <c r="R70" i="9"/>
  <c r="Q70" i="9"/>
  <c r="O70" i="9"/>
  <c r="N70" i="9"/>
  <c r="M70" i="9"/>
  <c r="L70" i="9"/>
  <c r="J70" i="9"/>
  <c r="I70" i="9"/>
  <c r="H70" i="9"/>
  <c r="G70" i="9"/>
  <c r="F70" i="9"/>
  <c r="E70" i="9"/>
  <c r="C70" i="9"/>
  <c r="B70" i="9"/>
  <c r="CD69" i="9"/>
  <c r="CB69" i="9"/>
  <c r="CA69" i="9"/>
  <c r="BS69" i="9"/>
  <c r="BP69" i="9"/>
  <c r="BG69" i="9"/>
  <c r="BC69" i="9"/>
  <c r="BA69" i="9"/>
  <c r="AY69" i="9"/>
  <c r="AS69" i="9"/>
  <c r="AJ69" i="9"/>
  <c r="AE69" i="9"/>
  <c r="AD69" i="9"/>
  <c r="AB69" i="9"/>
  <c r="Y69" i="9"/>
  <c r="M69" i="9"/>
  <c r="K69" i="9"/>
  <c r="J69" i="9"/>
  <c r="G69" i="9"/>
  <c r="B69" i="9"/>
  <c r="CI68" i="9"/>
  <c r="CG68" i="9"/>
  <c r="CF68" i="9"/>
  <c r="CE68" i="9"/>
  <c r="CD68" i="9"/>
  <c r="CB68" i="9"/>
  <c r="CA68" i="9"/>
  <c r="BZ68" i="9"/>
  <c r="BX68" i="9"/>
  <c r="BW68" i="9"/>
  <c r="BU68" i="9"/>
  <c r="BS68" i="9"/>
  <c r="BR68" i="9"/>
  <c r="BQ68" i="9"/>
  <c r="BO68" i="9"/>
  <c r="BN68" i="9"/>
  <c r="BL68" i="9"/>
  <c r="BK68" i="9"/>
  <c r="BJ68" i="9"/>
  <c r="BI68" i="9"/>
  <c r="BG68" i="9"/>
  <c r="BE68" i="9"/>
  <c r="BD68" i="9"/>
  <c r="BB68" i="9"/>
  <c r="AZ68" i="9"/>
  <c r="AY68" i="9"/>
  <c r="AX68" i="9"/>
  <c r="AW68" i="9"/>
  <c r="AV68" i="9"/>
  <c r="AU68" i="9"/>
  <c r="AS68" i="9"/>
  <c r="AQ68" i="9"/>
  <c r="AN68" i="9"/>
  <c r="AM68" i="9"/>
  <c r="AL68" i="9"/>
  <c r="AK68" i="9"/>
  <c r="AJ68" i="9"/>
  <c r="AI68" i="9"/>
  <c r="AH68" i="9"/>
  <c r="AG68" i="9"/>
  <c r="AE68" i="9"/>
  <c r="AA68" i="9"/>
  <c r="Z68" i="9"/>
  <c r="Y68" i="9"/>
  <c r="X68" i="9"/>
  <c r="W68" i="9"/>
  <c r="V68" i="9"/>
  <c r="U68" i="9"/>
  <c r="T68" i="9"/>
  <c r="S68" i="9"/>
  <c r="P68" i="9"/>
  <c r="M68" i="9"/>
  <c r="L68" i="9"/>
  <c r="K68" i="9"/>
  <c r="J68" i="9"/>
  <c r="I68" i="9"/>
  <c r="H68" i="9"/>
  <c r="G68" i="9"/>
  <c r="F68" i="9"/>
  <c r="C68" i="9"/>
  <c r="B68" i="9"/>
  <c r="CJ67" i="9"/>
  <c r="CH67" i="9"/>
  <c r="CF67" i="9"/>
  <c r="CD67" i="9"/>
  <c r="CC67" i="9"/>
  <c r="CA67" i="9"/>
  <c r="BZ67" i="9"/>
  <c r="BY67" i="9"/>
  <c r="BX67" i="9"/>
  <c r="BU67" i="9"/>
  <c r="BR67" i="9"/>
  <c r="BO67" i="9"/>
  <c r="BN67" i="9"/>
  <c r="BM67" i="9"/>
  <c r="BL67" i="9"/>
  <c r="BK67" i="9"/>
  <c r="BJ67" i="9"/>
  <c r="BH67" i="9"/>
  <c r="BG67" i="9"/>
  <c r="BC67" i="9"/>
  <c r="AZ67" i="9"/>
  <c r="AY67" i="9"/>
  <c r="AX67" i="9"/>
  <c r="AW67" i="9"/>
  <c r="AU67" i="9"/>
  <c r="AT67" i="9"/>
  <c r="AS67" i="9"/>
  <c r="AQ67" i="9"/>
  <c r="AO67" i="9"/>
  <c r="AL67" i="9"/>
  <c r="AJ67" i="9"/>
  <c r="AH67" i="9"/>
  <c r="AG67" i="9"/>
  <c r="AE67" i="9"/>
  <c r="AD67" i="9"/>
  <c r="AC67" i="9"/>
  <c r="AA67" i="9"/>
  <c r="Y67" i="9"/>
  <c r="X67" i="9"/>
  <c r="U67" i="9"/>
  <c r="R67" i="9"/>
  <c r="Q67" i="9"/>
  <c r="P67" i="9"/>
  <c r="O67" i="9"/>
  <c r="M67" i="9"/>
  <c r="K67" i="9"/>
  <c r="J67" i="9"/>
  <c r="G67" i="9"/>
  <c r="F67" i="9"/>
  <c r="C67" i="9"/>
  <c r="B67" i="9"/>
  <c r="CK66" i="9"/>
  <c r="CJ66" i="9"/>
  <c r="CI66" i="9"/>
  <c r="BX66" i="9"/>
  <c r="BV66" i="9"/>
  <c r="BU66" i="9"/>
  <c r="BT66" i="9"/>
  <c r="BR66" i="9"/>
  <c r="BQ66" i="9"/>
  <c r="BN66" i="9"/>
  <c r="BE66" i="9"/>
  <c r="BC66" i="9"/>
  <c r="AZ66" i="9"/>
  <c r="AX66" i="9"/>
  <c r="AW66" i="9"/>
  <c r="AT66" i="9"/>
  <c r="AR66" i="9"/>
  <c r="AJ66" i="9"/>
  <c r="AG66" i="9"/>
  <c r="AF66" i="9"/>
  <c r="AD66" i="9"/>
  <c r="AA66" i="9"/>
  <c r="Z66" i="9"/>
  <c r="X66" i="9"/>
  <c r="Q66" i="9"/>
  <c r="M66" i="9"/>
  <c r="I66" i="9"/>
  <c r="G66" i="9"/>
  <c r="F66" i="9"/>
  <c r="E66" i="9"/>
  <c r="C66" i="9"/>
  <c r="B66" i="9"/>
  <c r="CF65" i="9"/>
  <c r="CD65" i="9"/>
  <c r="CC65" i="9"/>
  <c r="CB65" i="9"/>
  <c r="CA65" i="9"/>
  <c r="BX65" i="9"/>
  <c r="BO65" i="9"/>
  <c r="BM65" i="9"/>
  <c r="BL65" i="9"/>
  <c r="BI65" i="9"/>
  <c r="BG65" i="9"/>
  <c r="BC65" i="9"/>
  <c r="AW65" i="9"/>
  <c r="AS65" i="9"/>
  <c r="AR65" i="9"/>
  <c r="AP65" i="9"/>
  <c r="AN65" i="9"/>
  <c r="AK65" i="9"/>
  <c r="AD65" i="9"/>
  <c r="AA65" i="9"/>
  <c r="X65" i="9"/>
  <c r="W65" i="9"/>
  <c r="V65" i="9"/>
  <c r="R65" i="9"/>
  <c r="K65" i="9"/>
  <c r="G65" i="9"/>
  <c r="F65" i="9"/>
  <c r="E65" i="9"/>
  <c r="C65" i="9"/>
  <c r="B65" i="9"/>
  <c r="CI64" i="9"/>
  <c r="BS64" i="9"/>
  <c r="BC64" i="9"/>
  <c r="AJ64" i="9"/>
  <c r="S64" i="9"/>
  <c r="G64" i="9"/>
  <c r="B64" i="9"/>
  <c r="DD63" i="9"/>
  <c r="CS63" i="9"/>
  <c r="CL63" i="9"/>
  <c r="CI63" i="9"/>
  <c r="CC63" i="9"/>
  <c r="BZ63" i="9"/>
  <c r="BX63" i="9"/>
  <c r="BV63" i="9"/>
  <c r="BT63" i="9"/>
  <c r="BR63" i="9"/>
  <c r="BL63" i="9"/>
  <c r="BG63" i="9"/>
  <c r="BF63" i="9"/>
  <c r="DG63" i="9" s="1"/>
  <c r="BE63" i="9"/>
  <c r="BC63" i="9"/>
  <c r="BA63" i="9"/>
  <c r="AS63" i="9"/>
  <c r="AP63" i="9"/>
  <c r="AO63" i="9"/>
  <c r="AN63" i="9"/>
  <c r="AM63" i="9"/>
  <c r="AK63" i="9"/>
  <c r="AB63" i="9"/>
  <c r="Z63" i="9"/>
  <c r="Y63" i="9"/>
  <c r="X63" i="9"/>
  <c r="W63" i="9"/>
  <c r="R63" i="9"/>
  <c r="L63" i="9"/>
  <c r="J63" i="9"/>
  <c r="I63" i="9"/>
  <c r="G63" i="9"/>
  <c r="E63" i="9"/>
  <c r="B63" i="9"/>
  <c r="CX63" i="9" s="1"/>
  <c r="CH62" i="9"/>
  <c r="CG62" i="9"/>
  <c r="CF62" i="9"/>
  <c r="CD62" i="9"/>
  <c r="CC62" i="9"/>
  <c r="CB62" i="9"/>
  <c r="BZ62" i="9"/>
  <c r="BY62" i="9"/>
  <c r="BX62" i="9"/>
  <c r="BV62" i="9"/>
  <c r="BT62" i="9"/>
  <c r="BQ62" i="9"/>
  <c r="BP62" i="9"/>
  <c r="BO62" i="9"/>
  <c r="BM62" i="9"/>
  <c r="BL62" i="9"/>
  <c r="BK62" i="9"/>
  <c r="BJ62" i="9"/>
  <c r="BH62" i="9"/>
  <c r="BE62" i="9"/>
  <c r="BD62" i="9"/>
  <c r="BC62" i="9"/>
  <c r="AZ62" i="9"/>
  <c r="AY62" i="9"/>
  <c r="AX62" i="9"/>
  <c r="AW62" i="9"/>
  <c r="AV62" i="9"/>
  <c r="AS62" i="9"/>
  <c r="AQ62" i="9"/>
  <c r="AP62" i="9"/>
  <c r="AO62" i="9"/>
  <c r="AM62" i="9"/>
  <c r="AL62" i="9"/>
  <c r="AJ62" i="9"/>
  <c r="AH62" i="9"/>
  <c r="AG62" i="9"/>
  <c r="AE62" i="9"/>
  <c r="AC62" i="9"/>
  <c r="AB62" i="9"/>
  <c r="Z62" i="9"/>
  <c r="Y62" i="9"/>
  <c r="X62" i="9"/>
  <c r="V62" i="9"/>
  <c r="U62" i="9"/>
  <c r="S62" i="9"/>
  <c r="Q62" i="9"/>
  <c r="O62" i="9"/>
  <c r="M62" i="9"/>
  <c r="L62" i="9"/>
  <c r="J62" i="9"/>
  <c r="I62" i="9"/>
  <c r="H62" i="9"/>
  <c r="G62" i="9"/>
  <c r="F62" i="9"/>
  <c r="E62" i="9"/>
  <c r="B62" i="9"/>
  <c r="DE61" i="9"/>
  <c r="DC61" i="9"/>
  <c r="DA61" i="9"/>
  <c r="CR61" i="9"/>
  <c r="CO61" i="9"/>
  <c r="CM61" i="9"/>
  <c r="CK61" i="9"/>
  <c r="CJ61" i="9"/>
  <c r="CB61" i="9"/>
  <c r="BZ61" i="9"/>
  <c r="BY61" i="9"/>
  <c r="BX61" i="9"/>
  <c r="BW61" i="9"/>
  <c r="BU61" i="9"/>
  <c r="BR61" i="9"/>
  <c r="BP61" i="9"/>
  <c r="BL61" i="9"/>
  <c r="BI61" i="9"/>
  <c r="BH61" i="9"/>
  <c r="BF61" i="9"/>
  <c r="DG61" i="9" s="1"/>
  <c r="BD61" i="9"/>
  <c r="BB61" i="9"/>
  <c r="BA61" i="9"/>
  <c r="AZ61" i="9"/>
  <c r="AU61" i="9"/>
  <c r="AR61" i="9"/>
  <c r="AP61" i="9"/>
  <c r="AN61" i="9"/>
  <c r="AM61" i="9"/>
  <c r="AK61" i="9"/>
  <c r="AJ61" i="9"/>
  <c r="AI61" i="9"/>
  <c r="AD61" i="9"/>
  <c r="Y61" i="9"/>
  <c r="X61" i="9"/>
  <c r="W61" i="9"/>
  <c r="V61" i="9"/>
  <c r="U61" i="9"/>
  <c r="S61" i="9"/>
  <c r="R61" i="9"/>
  <c r="L61" i="9"/>
  <c r="J61" i="9"/>
  <c r="I61" i="9"/>
  <c r="H61" i="9"/>
  <c r="G61" i="9"/>
  <c r="F61" i="9"/>
  <c r="E61" i="9"/>
  <c r="C61" i="9"/>
  <c r="B61" i="9"/>
  <c r="CX61" i="9" s="1"/>
  <c r="DE60" i="9"/>
  <c r="DB60" i="9"/>
  <c r="CY60" i="9"/>
  <c r="CV60" i="9"/>
  <c r="CP60" i="9"/>
  <c r="CL60" i="9"/>
  <c r="CJ60" i="9"/>
  <c r="CI60" i="9"/>
  <c r="CH60" i="9"/>
  <c r="CG60" i="9"/>
  <c r="CE60" i="9"/>
  <c r="CD60" i="9"/>
  <c r="CB60" i="9"/>
  <c r="BZ60" i="9"/>
  <c r="BW60" i="9"/>
  <c r="BV60" i="9"/>
  <c r="BU60" i="9"/>
  <c r="BT60" i="9"/>
  <c r="BS60" i="9"/>
  <c r="BQ60" i="9"/>
  <c r="BP60" i="9"/>
  <c r="BO60" i="9"/>
  <c r="BK60" i="9"/>
  <c r="BJ60" i="9"/>
  <c r="BH60" i="9"/>
  <c r="BG60" i="9"/>
  <c r="BF60" i="9"/>
  <c r="CM60" i="9" s="1"/>
  <c r="BE60" i="9"/>
  <c r="BC60" i="9"/>
  <c r="BB60" i="9"/>
  <c r="AY60" i="9"/>
  <c r="AX60" i="9"/>
  <c r="AV60" i="9"/>
  <c r="AU60" i="9"/>
  <c r="AS60" i="9"/>
  <c r="AR60" i="9"/>
  <c r="AQ60" i="9"/>
  <c r="AN60" i="9"/>
  <c r="AL60" i="9"/>
  <c r="AK60" i="9"/>
  <c r="AJ60" i="9"/>
  <c r="AI60" i="9"/>
  <c r="AG60" i="9"/>
  <c r="AF60" i="9"/>
  <c r="AD60" i="9"/>
  <c r="AB60" i="9"/>
  <c r="Y60" i="9"/>
  <c r="X60" i="9"/>
  <c r="W60" i="9"/>
  <c r="V60" i="9"/>
  <c r="U60" i="9"/>
  <c r="T60" i="9"/>
  <c r="R60" i="9"/>
  <c r="P60" i="9"/>
  <c r="N60" i="9"/>
  <c r="K60" i="9"/>
  <c r="J60" i="9"/>
  <c r="I60" i="9"/>
  <c r="H60" i="9"/>
  <c r="G60" i="9"/>
  <c r="F60" i="9"/>
  <c r="C60" i="9"/>
  <c r="B60" i="9"/>
  <c r="DH59" i="9"/>
  <c r="CR59" i="9"/>
  <c r="CK59" i="9"/>
  <c r="CJ59" i="9"/>
  <c r="CI59" i="9"/>
  <c r="CH59" i="9"/>
  <c r="CF59" i="9"/>
  <c r="CA59" i="9"/>
  <c r="BY59" i="9"/>
  <c r="BX59" i="9"/>
  <c r="BW59" i="9"/>
  <c r="BV59" i="9"/>
  <c r="BU59" i="9"/>
  <c r="BS59" i="9"/>
  <c r="BR59" i="9"/>
  <c r="BQ59" i="9"/>
  <c r="BL59" i="9"/>
  <c r="BJ59" i="9"/>
  <c r="BI59" i="9"/>
  <c r="BH59" i="9"/>
  <c r="BF59" i="9"/>
  <c r="DD59" i="9" s="1"/>
  <c r="BE59" i="9"/>
  <c r="BC59" i="9"/>
  <c r="BB59" i="9"/>
  <c r="BA59" i="9"/>
  <c r="AW59" i="9"/>
  <c r="AU59" i="9"/>
  <c r="AS59" i="9"/>
  <c r="AQ59" i="9"/>
  <c r="AP59" i="9"/>
  <c r="AO59" i="9"/>
  <c r="AN59" i="9"/>
  <c r="AM59" i="9"/>
  <c r="AK59" i="9"/>
  <c r="AH59" i="9"/>
  <c r="AD59" i="9"/>
  <c r="AC59" i="9"/>
  <c r="AB59" i="9"/>
  <c r="AA59" i="9"/>
  <c r="Z59" i="9"/>
  <c r="Y59" i="9"/>
  <c r="W59" i="9"/>
  <c r="V59" i="9"/>
  <c r="Q59" i="9"/>
  <c r="O59" i="9"/>
  <c r="N59" i="9"/>
  <c r="M59" i="9"/>
  <c r="L59" i="9"/>
  <c r="K59" i="9"/>
  <c r="I59" i="9"/>
  <c r="G59" i="9"/>
  <c r="E59" i="9"/>
  <c r="B59" i="9"/>
  <c r="DI58" i="9"/>
  <c r="DG58" i="9"/>
  <c r="DF58" i="9"/>
  <c r="DE58" i="9"/>
  <c r="DD58" i="9"/>
  <c r="CY58" i="9"/>
  <c r="CT58" i="9"/>
  <c r="CR58" i="9"/>
  <c r="CP58" i="9"/>
  <c r="CO58" i="9"/>
  <c r="CL58" i="9"/>
  <c r="CK58" i="9"/>
  <c r="CJ58" i="9"/>
  <c r="CI58" i="9"/>
  <c r="CH58" i="9"/>
  <c r="CG58" i="9"/>
  <c r="CF58" i="9"/>
  <c r="CD58" i="9"/>
  <c r="CB58" i="9"/>
  <c r="CA58" i="9"/>
  <c r="BX58" i="9"/>
  <c r="BW58" i="9"/>
  <c r="BV58" i="9"/>
  <c r="BU58" i="9"/>
  <c r="BT58" i="9"/>
  <c r="BR58" i="9"/>
  <c r="BQ58" i="9"/>
  <c r="BP58" i="9"/>
  <c r="BO58" i="9"/>
  <c r="BL58" i="9"/>
  <c r="BJ58" i="9"/>
  <c r="BI58" i="9"/>
  <c r="BH58" i="9"/>
  <c r="BF58" i="9"/>
  <c r="DA58" i="9" s="1"/>
  <c r="BE58" i="9"/>
  <c r="BD58" i="9"/>
  <c r="BC58" i="9"/>
  <c r="BB58" i="9"/>
  <c r="BA58" i="9"/>
  <c r="AY58" i="9"/>
  <c r="AV58" i="9"/>
  <c r="AT58" i="9"/>
  <c r="AS58" i="9"/>
  <c r="AR58" i="9"/>
  <c r="AQ58" i="9"/>
  <c r="AP58" i="9"/>
  <c r="AO58" i="9"/>
  <c r="AN58" i="9"/>
  <c r="AL58" i="9"/>
  <c r="AK58" i="9"/>
  <c r="AJ58" i="9"/>
  <c r="AF58" i="9"/>
  <c r="AE58" i="9"/>
  <c r="AD58" i="9"/>
  <c r="AC58" i="9"/>
  <c r="AB58" i="9"/>
  <c r="AA58" i="9"/>
  <c r="Y58" i="9"/>
  <c r="X58" i="9"/>
  <c r="V58" i="9"/>
  <c r="U58" i="9"/>
  <c r="S58" i="9"/>
  <c r="Q58" i="9"/>
  <c r="P58" i="9"/>
  <c r="O58" i="9"/>
  <c r="N58" i="9"/>
  <c r="L58" i="9"/>
  <c r="J58" i="9"/>
  <c r="I58" i="9"/>
  <c r="H58" i="9"/>
  <c r="G58" i="9"/>
  <c r="E58" i="9"/>
  <c r="C58" i="9"/>
  <c r="B58" i="9"/>
  <c r="CJ57" i="9"/>
  <c r="CI57" i="9"/>
  <c r="CG57" i="9"/>
  <c r="CE57" i="9"/>
  <c r="CD57" i="9"/>
  <c r="CC57" i="9"/>
  <c r="CB57" i="9"/>
  <c r="CA57" i="9"/>
  <c r="BZ57" i="9"/>
  <c r="BY57" i="9"/>
  <c r="BX57" i="9"/>
  <c r="BU57" i="9"/>
  <c r="BT57" i="9"/>
  <c r="BR57" i="9"/>
  <c r="BQ57" i="9"/>
  <c r="BP57" i="9"/>
  <c r="BO57" i="9"/>
  <c r="BN57" i="9"/>
  <c r="BM57" i="9"/>
  <c r="BL57" i="9"/>
  <c r="BK57" i="9"/>
  <c r="BI57" i="9"/>
  <c r="BG57" i="9"/>
  <c r="BE57" i="9"/>
  <c r="BD57" i="9"/>
  <c r="BC57" i="9"/>
  <c r="BB57" i="9"/>
  <c r="BA57" i="9"/>
  <c r="AZ57" i="9"/>
  <c r="AY57" i="9"/>
  <c r="AW57" i="9"/>
  <c r="AV57" i="9"/>
  <c r="AU57" i="9"/>
  <c r="AR57" i="9"/>
  <c r="AQ57" i="9"/>
  <c r="AP57" i="9"/>
  <c r="AO57" i="9"/>
  <c r="AN57" i="9"/>
  <c r="AM57" i="9"/>
  <c r="AK57" i="9"/>
  <c r="AJ57" i="9"/>
  <c r="AI57" i="9"/>
  <c r="AH57" i="9"/>
  <c r="AG57" i="9"/>
  <c r="AD57" i="9"/>
  <c r="AC57" i="9"/>
  <c r="AB57" i="9"/>
  <c r="AA57" i="9"/>
  <c r="Y57" i="9"/>
  <c r="X57" i="9"/>
  <c r="W57" i="9"/>
  <c r="V57" i="9"/>
  <c r="U57" i="9"/>
  <c r="T57" i="9"/>
  <c r="R57" i="9"/>
  <c r="P57" i="9"/>
  <c r="O57" i="9"/>
  <c r="M57" i="9"/>
  <c r="L57" i="9"/>
  <c r="K57" i="9"/>
  <c r="J57" i="9"/>
  <c r="I57" i="9"/>
  <c r="H57" i="9"/>
  <c r="G57" i="9"/>
  <c r="E57" i="9"/>
  <c r="C57" i="9"/>
  <c r="B57" i="9"/>
  <c r="CI56" i="9"/>
  <c r="CE56" i="9"/>
  <c r="CA56" i="9"/>
  <c r="BT56" i="9"/>
  <c r="BP56" i="9"/>
  <c r="BN56" i="9"/>
  <c r="BJ56" i="9"/>
  <c r="BD56" i="9"/>
  <c r="AZ56" i="9"/>
  <c r="AW56" i="9"/>
  <c r="AN56" i="9"/>
  <c r="AJ56" i="9"/>
  <c r="AF56" i="9"/>
  <c r="X56" i="9"/>
  <c r="U56" i="9"/>
  <c r="S56" i="9"/>
  <c r="P56" i="9"/>
  <c r="I56" i="9"/>
  <c r="G56" i="9"/>
  <c r="F56" i="9"/>
  <c r="B56" i="9"/>
  <c r="CK55" i="9"/>
  <c r="CI55" i="9"/>
  <c r="CH55" i="9"/>
  <c r="CG55" i="9"/>
  <c r="CE55" i="9"/>
  <c r="CA55" i="9"/>
  <c r="BV55" i="9"/>
  <c r="BT55" i="9"/>
  <c r="BR55" i="9"/>
  <c r="BQ55" i="9"/>
  <c r="BN55" i="9"/>
  <c r="BL55" i="9"/>
  <c r="BG55" i="9"/>
  <c r="BC55" i="9"/>
  <c r="BB55" i="9"/>
  <c r="AZ55" i="9"/>
  <c r="AY55" i="9"/>
  <c r="AW55" i="9"/>
  <c r="AP55" i="9"/>
  <c r="AN55" i="9"/>
  <c r="AL55" i="9"/>
  <c r="AK55" i="9"/>
  <c r="AJ55" i="9"/>
  <c r="AH55" i="9"/>
  <c r="AA55" i="9"/>
  <c r="X55" i="9"/>
  <c r="W55" i="9"/>
  <c r="V55" i="9"/>
  <c r="U55" i="9"/>
  <c r="Q55" i="9"/>
  <c r="L55" i="9"/>
  <c r="I55" i="9"/>
  <c r="G55" i="9"/>
  <c r="F55" i="9"/>
  <c r="C55" i="9"/>
  <c r="B55" i="9"/>
  <c r="CJ54" i="9"/>
  <c r="CI54" i="9"/>
  <c r="CH54" i="9"/>
  <c r="CG54" i="9"/>
  <c r="CF54" i="9"/>
  <c r="CD54" i="9"/>
  <c r="CC54" i="9"/>
  <c r="BW54" i="9"/>
  <c r="BU54" i="9"/>
  <c r="BT54" i="9"/>
  <c r="BR54" i="9"/>
  <c r="BQ54" i="9"/>
  <c r="BP54" i="9"/>
  <c r="BO54" i="9"/>
  <c r="BN54" i="9"/>
  <c r="BH54" i="9"/>
  <c r="BE54" i="9"/>
  <c r="BD54" i="9"/>
  <c r="BC54" i="9"/>
  <c r="BB54" i="9"/>
  <c r="BA54" i="9"/>
  <c r="AZ54" i="9"/>
  <c r="AW54" i="9"/>
  <c r="AR54" i="9"/>
  <c r="AP54" i="9"/>
  <c r="AO54" i="9"/>
  <c r="AN54" i="9"/>
  <c r="AM54" i="9"/>
  <c r="AK54" i="9"/>
  <c r="AH54" i="9"/>
  <c r="AG54" i="9"/>
  <c r="AC54" i="9"/>
  <c r="AA54" i="9"/>
  <c r="Z54" i="9"/>
  <c r="X54" i="9"/>
  <c r="V54" i="9"/>
  <c r="T54" i="9"/>
  <c r="S54" i="9"/>
  <c r="R54" i="9"/>
  <c r="N54" i="9"/>
  <c r="J54" i="9"/>
  <c r="I54" i="9"/>
  <c r="H54" i="9"/>
  <c r="G54" i="9"/>
  <c r="F54" i="9"/>
  <c r="E54" i="9"/>
  <c r="C54" i="9"/>
  <c r="B54" i="9"/>
  <c r="DB53" i="9"/>
  <c r="CP53" i="9"/>
  <c r="CM53" i="9"/>
  <c r="CK53" i="9"/>
  <c r="CJ53" i="9"/>
  <c r="CI53" i="9"/>
  <c r="CG53" i="9"/>
  <c r="CF53" i="9"/>
  <c r="CD53" i="9"/>
  <c r="CB53" i="9"/>
  <c r="CA53" i="9"/>
  <c r="BY53" i="9"/>
  <c r="BW53" i="9"/>
  <c r="BU53" i="9"/>
  <c r="BT53" i="9"/>
  <c r="BS53" i="9"/>
  <c r="BQ53" i="9"/>
  <c r="BP53" i="9"/>
  <c r="BO53" i="9"/>
  <c r="BM53" i="9"/>
  <c r="BL53" i="9"/>
  <c r="BH53" i="9"/>
  <c r="BG53" i="9"/>
  <c r="BF53" i="9"/>
  <c r="CW53" i="9" s="1"/>
  <c r="BD53" i="9"/>
  <c r="BC53" i="9"/>
  <c r="BB53" i="9"/>
  <c r="BA53" i="9"/>
  <c r="AZ53" i="9"/>
  <c r="AW53" i="9"/>
  <c r="AV53" i="9"/>
  <c r="AS53" i="9"/>
  <c r="AQ53" i="9"/>
  <c r="AP53" i="9"/>
  <c r="AO53" i="9"/>
  <c r="AN53" i="9"/>
  <c r="AM53" i="9"/>
  <c r="AK53" i="9"/>
  <c r="AJ53" i="9"/>
  <c r="AH53" i="9"/>
  <c r="AF53" i="9"/>
  <c r="AC53" i="9"/>
  <c r="AB53" i="9"/>
  <c r="AA53" i="9"/>
  <c r="Y53" i="9"/>
  <c r="X53" i="9"/>
  <c r="W53" i="9"/>
  <c r="V53" i="9"/>
  <c r="U53" i="9"/>
  <c r="Q53" i="9"/>
  <c r="P53" i="9"/>
  <c r="M53" i="9"/>
  <c r="L53" i="9"/>
  <c r="K53" i="9"/>
  <c r="J53" i="9"/>
  <c r="I53" i="9"/>
  <c r="H53" i="9"/>
  <c r="G53" i="9"/>
  <c r="F53" i="9"/>
  <c r="B53" i="9"/>
  <c r="CI52" i="9"/>
  <c r="BZ52" i="9"/>
  <c r="BV52" i="9"/>
  <c r="BS52" i="9"/>
  <c r="BN52" i="9"/>
  <c r="BI52" i="9"/>
  <c r="BH52" i="9"/>
  <c r="AT52" i="9"/>
  <c r="AQ52" i="9"/>
  <c r="AH52" i="9"/>
  <c r="AE52" i="9"/>
  <c r="AB52" i="9"/>
  <c r="AA52" i="9"/>
  <c r="Y52" i="9"/>
  <c r="L52" i="9"/>
  <c r="G52" i="9"/>
  <c r="B52" i="9"/>
  <c r="CK51" i="9"/>
  <c r="BK51" i="9"/>
  <c r="AV51" i="9"/>
  <c r="AD51" i="9"/>
  <c r="P51" i="9"/>
  <c r="G51" i="9"/>
  <c r="B51" i="9"/>
  <c r="CJ50" i="9"/>
  <c r="CH50" i="9"/>
  <c r="CG50" i="9"/>
  <c r="CF50" i="9"/>
  <c r="CE50" i="9"/>
  <c r="CC50" i="9"/>
  <c r="BY50" i="9"/>
  <c r="BU50" i="9"/>
  <c r="BT50" i="9"/>
  <c r="BS50" i="9"/>
  <c r="BQ50" i="9"/>
  <c r="BP50" i="9"/>
  <c r="BO50" i="9"/>
  <c r="BK50" i="9"/>
  <c r="BG50" i="9"/>
  <c r="BE50" i="9"/>
  <c r="BD50" i="9"/>
  <c r="BC50" i="9"/>
  <c r="BB50" i="9"/>
  <c r="BA50" i="9"/>
  <c r="AW50" i="9"/>
  <c r="AR50" i="9"/>
  <c r="AQ50" i="9"/>
  <c r="AP50" i="9"/>
  <c r="AO50" i="9"/>
  <c r="AN50" i="9"/>
  <c r="AM50" i="9"/>
  <c r="AG50" i="9"/>
  <c r="AD50" i="9"/>
  <c r="AC50" i="9"/>
  <c r="AB50" i="9"/>
  <c r="AA50" i="9"/>
  <c r="Z50" i="9"/>
  <c r="Y50" i="9"/>
  <c r="S50" i="9"/>
  <c r="P50" i="9"/>
  <c r="O50" i="9"/>
  <c r="N50" i="9"/>
  <c r="M50" i="9"/>
  <c r="L50" i="9"/>
  <c r="K50" i="9"/>
  <c r="G50" i="9"/>
  <c r="E50" i="9"/>
  <c r="B50" i="9"/>
  <c r="BH50" i="9" s="1"/>
  <c r="CJ49" i="9"/>
  <c r="BV49" i="9"/>
  <c r="BD49" i="9"/>
  <c r="AS49" i="9"/>
  <c r="AA49" i="9"/>
  <c r="Q49" i="9"/>
  <c r="G49" i="9"/>
  <c r="B49" i="9"/>
  <c r="CF49" i="9" s="1"/>
  <c r="BR48" i="9"/>
  <c r="AP48" i="9"/>
  <c r="R48" i="9"/>
  <c r="G48" i="9"/>
  <c r="B48" i="9"/>
  <c r="CK47" i="9"/>
  <c r="CJ47" i="9"/>
  <c r="CI47" i="9"/>
  <c r="BX47" i="9"/>
  <c r="BT47" i="9"/>
  <c r="BP47" i="9"/>
  <c r="BK47" i="9"/>
  <c r="BJ47" i="9"/>
  <c r="BI47" i="9"/>
  <c r="AZ47" i="9"/>
  <c r="AT47" i="9"/>
  <c r="AS47" i="9"/>
  <c r="AR47" i="9"/>
  <c r="AL47" i="9"/>
  <c r="AI47" i="9"/>
  <c r="AD47" i="9"/>
  <c r="T47" i="9"/>
  <c r="R47" i="9"/>
  <c r="Q47" i="9"/>
  <c r="P47" i="9"/>
  <c r="O47" i="9"/>
  <c r="G47" i="9"/>
  <c r="E47" i="9"/>
  <c r="B47" i="9"/>
  <c r="BQ46" i="9"/>
  <c r="AQ46" i="9"/>
  <c r="Q46" i="9"/>
  <c r="G46" i="9"/>
  <c r="B46" i="9"/>
  <c r="DI45" i="9"/>
  <c r="DH45" i="9"/>
  <c r="DF45" i="9"/>
  <c r="CZ45" i="9"/>
  <c r="CV45" i="9"/>
  <c r="CU45" i="9"/>
  <c r="CT45" i="9"/>
  <c r="CR45" i="9"/>
  <c r="CQ45" i="9"/>
  <c r="CL45" i="9"/>
  <c r="CI45" i="9"/>
  <c r="CH45" i="9"/>
  <c r="CF45" i="9"/>
  <c r="CE45" i="9"/>
  <c r="CD45" i="9"/>
  <c r="CC45" i="9"/>
  <c r="BX45" i="9"/>
  <c r="BT45" i="9"/>
  <c r="BS45" i="9"/>
  <c r="BR45" i="9"/>
  <c r="BQ45" i="9"/>
  <c r="BP45" i="9"/>
  <c r="BN45" i="9"/>
  <c r="BJ45" i="9"/>
  <c r="BF45" i="9"/>
  <c r="CW45" i="9" s="1"/>
  <c r="BE45" i="9"/>
  <c r="BD45" i="9"/>
  <c r="BC45" i="9"/>
  <c r="BA45" i="9"/>
  <c r="AZ45" i="9"/>
  <c r="AU45" i="9"/>
  <c r="AR45" i="9"/>
  <c r="AQ45" i="9"/>
  <c r="AP45" i="9"/>
  <c r="AN45" i="9"/>
  <c r="AM45" i="9"/>
  <c r="AL45" i="9"/>
  <c r="AG45" i="9"/>
  <c r="AD45" i="9"/>
  <c r="AC45" i="9"/>
  <c r="AA45" i="9"/>
  <c r="Z45" i="9"/>
  <c r="X45" i="9"/>
  <c r="W45" i="9"/>
  <c r="S45" i="9"/>
  <c r="P45" i="9"/>
  <c r="N45" i="9"/>
  <c r="L45" i="9"/>
  <c r="K45" i="9"/>
  <c r="J45" i="9"/>
  <c r="I45" i="9"/>
  <c r="G45" i="9"/>
  <c r="E45" i="9"/>
  <c r="B45" i="9"/>
  <c r="BV45" i="9" s="1"/>
  <c r="DG44" i="9"/>
  <c r="DF44" i="9"/>
  <c r="DE44" i="9"/>
  <c r="DD44" i="9"/>
  <c r="DC44" i="9"/>
  <c r="CR44" i="9"/>
  <c r="CN44" i="9"/>
  <c r="CK44" i="9"/>
  <c r="CI44" i="9"/>
  <c r="CF44" i="9"/>
  <c r="CE44" i="9"/>
  <c r="CD44" i="9"/>
  <c r="CC44" i="9"/>
  <c r="CB44" i="9"/>
  <c r="CA44" i="9"/>
  <c r="BZ44" i="9"/>
  <c r="BY44" i="9"/>
  <c r="BV44" i="9"/>
  <c r="BT44" i="9"/>
  <c r="BR44" i="9"/>
  <c r="BQ44" i="9"/>
  <c r="BP44" i="9"/>
  <c r="BO44" i="9"/>
  <c r="BN44" i="9"/>
  <c r="BM44" i="9"/>
  <c r="BK44" i="9"/>
  <c r="BJ44" i="9"/>
  <c r="BG44" i="9"/>
  <c r="BF44" i="9"/>
  <c r="CO44" i="9" s="1"/>
  <c r="BD44" i="9"/>
  <c r="BC44" i="9"/>
  <c r="BB44" i="9"/>
  <c r="BA44" i="9"/>
  <c r="AY44" i="9"/>
  <c r="AX44" i="9"/>
  <c r="AW44" i="9"/>
  <c r="AV44" i="9"/>
  <c r="AS44" i="9"/>
  <c r="AR44" i="9"/>
  <c r="AP44" i="9"/>
  <c r="AO44" i="9"/>
  <c r="AM44" i="9"/>
  <c r="AL44" i="9"/>
  <c r="AK44" i="9"/>
  <c r="AJ44" i="9"/>
  <c r="AI44" i="9"/>
  <c r="AG44" i="9"/>
  <c r="AE44" i="9"/>
  <c r="AD44" i="9"/>
  <c r="AA44" i="9"/>
  <c r="Z44" i="9"/>
  <c r="Y44" i="9"/>
  <c r="X44" i="9"/>
  <c r="W44" i="9"/>
  <c r="V44" i="9"/>
  <c r="T44" i="9"/>
  <c r="S44" i="9"/>
  <c r="Q44" i="9"/>
  <c r="O44" i="9"/>
  <c r="M44" i="9"/>
  <c r="L44" i="9"/>
  <c r="K44" i="9"/>
  <c r="J44" i="9"/>
  <c r="I44" i="9"/>
  <c r="G44" i="9"/>
  <c r="F44" i="9"/>
  <c r="E44" i="9"/>
  <c r="B44" i="9"/>
  <c r="CK43" i="9"/>
  <c r="CJ43" i="9"/>
  <c r="CF43" i="9"/>
  <c r="CD43" i="9"/>
  <c r="CC43" i="9"/>
  <c r="BZ43" i="9"/>
  <c r="BY43" i="9"/>
  <c r="BX43" i="9"/>
  <c r="BW43" i="9"/>
  <c r="BV43" i="9"/>
  <c r="BR43" i="9"/>
  <c r="BP43" i="9"/>
  <c r="BM43" i="9"/>
  <c r="BL43" i="9"/>
  <c r="BK43" i="9"/>
  <c r="BJ43" i="9"/>
  <c r="BI43" i="9"/>
  <c r="BH43" i="9"/>
  <c r="BD43" i="9"/>
  <c r="AZ43" i="9"/>
  <c r="AY43" i="9"/>
  <c r="AX43" i="9"/>
  <c r="AW43" i="9"/>
  <c r="AV43" i="9"/>
  <c r="AU43" i="9"/>
  <c r="AT43" i="9"/>
  <c r="AO43" i="9"/>
  <c r="AL43" i="9"/>
  <c r="AK43" i="9"/>
  <c r="AJ43" i="9"/>
  <c r="AI43" i="9"/>
  <c r="AH43" i="9"/>
  <c r="AG43" i="9"/>
  <c r="AF43" i="9"/>
  <c r="Z43" i="9"/>
  <c r="X43" i="9"/>
  <c r="W43" i="9"/>
  <c r="V43" i="9"/>
  <c r="U43" i="9"/>
  <c r="T43" i="9"/>
  <c r="R43" i="9"/>
  <c r="Q43" i="9"/>
  <c r="L43" i="9"/>
  <c r="J43" i="9"/>
  <c r="I43" i="9"/>
  <c r="H43" i="9"/>
  <c r="G43" i="9"/>
  <c r="F43" i="9"/>
  <c r="E43" i="9"/>
  <c r="C43" i="9"/>
  <c r="B43" i="9"/>
  <c r="CK42" i="9"/>
  <c r="BZ42" i="9"/>
  <c r="BX42" i="9"/>
  <c r="BU42" i="9"/>
  <c r="BT42" i="9"/>
  <c r="BO42" i="9"/>
  <c r="BL42" i="9"/>
  <c r="BK42" i="9"/>
  <c r="BE42" i="9"/>
  <c r="AX42" i="9"/>
  <c r="AU42" i="9"/>
  <c r="AS42" i="9"/>
  <c r="AR42" i="9"/>
  <c r="AQ42" i="9"/>
  <c r="AM42" i="9"/>
  <c r="AE42" i="9"/>
  <c r="AC42" i="9"/>
  <c r="T42" i="9"/>
  <c r="S42" i="9"/>
  <c r="R42" i="9"/>
  <c r="Q42" i="9"/>
  <c r="P42" i="9"/>
  <c r="G42" i="9"/>
  <c r="F42" i="9"/>
  <c r="C42" i="9"/>
  <c r="B42" i="9"/>
  <c r="CY41" i="9"/>
  <c r="CT41" i="9"/>
  <c r="CK41" i="9"/>
  <c r="CJ41" i="9"/>
  <c r="CI41" i="9"/>
  <c r="CH41" i="9"/>
  <c r="CF41" i="9"/>
  <c r="CE41" i="9"/>
  <c r="BZ41" i="9"/>
  <c r="BS41" i="9"/>
  <c r="BQ41" i="9"/>
  <c r="BL41" i="9"/>
  <c r="BH41" i="9"/>
  <c r="BG41" i="9"/>
  <c r="BF41" i="9"/>
  <c r="DI41" i="9" s="1"/>
  <c r="BE41" i="9"/>
  <c r="BD41" i="9"/>
  <c r="AS41" i="9"/>
  <c r="AQ41" i="9"/>
  <c r="AP41" i="9"/>
  <c r="AN41" i="9"/>
  <c r="AI41" i="9"/>
  <c r="AF41" i="9"/>
  <c r="AE41" i="9"/>
  <c r="AD41" i="9"/>
  <c r="U41" i="9"/>
  <c r="Q41" i="9"/>
  <c r="P41" i="9"/>
  <c r="N41" i="9"/>
  <c r="L41" i="9"/>
  <c r="K41" i="9"/>
  <c r="G41" i="9"/>
  <c r="C41" i="9"/>
  <c r="B41" i="9"/>
  <c r="CV41" i="9" s="1"/>
  <c r="CE40" i="9"/>
  <c r="BR40" i="9"/>
  <c r="BQ40" i="9"/>
  <c r="BP40" i="9"/>
  <c r="BE40" i="9"/>
  <c r="AT40" i="9"/>
  <c r="AQ40" i="9"/>
  <c r="AP40" i="9"/>
  <c r="AK40" i="9"/>
  <c r="X40" i="9"/>
  <c r="W40" i="9"/>
  <c r="R40" i="9"/>
  <c r="K40" i="9"/>
  <c r="G40" i="9"/>
  <c r="B40" i="9"/>
  <c r="DG39" i="9"/>
  <c r="DF39" i="9"/>
  <c r="DE39" i="9"/>
  <c r="DD39" i="9"/>
  <c r="DC39" i="9"/>
  <c r="DA39" i="9"/>
  <c r="CV39" i="9"/>
  <c r="CS39" i="9"/>
  <c r="CQ39" i="9"/>
  <c r="CP39" i="9"/>
  <c r="CN39" i="9"/>
  <c r="CL39" i="9"/>
  <c r="CK39" i="9"/>
  <c r="CH39" i="9"/>
  <c r="CF39" i="9"/>
  <c r="CE39" i="9"/>
  <c r="CD39" i="9"/>
  <c r="CC39" i="9"/>
  <c r="BZ39" i="9"/>
  <c r="BY39" i="9"/>
  <c r="BX39" i="9"/>
  <c r="BW39" i="9"/>
  <c r="BT39" i="9"/>
  <c r="BR39" i="9"/>
  <c r="BQ39" i="9"/>
  <c r="BP39" i="9"/>
  <c r="BM39" i="9"/>
  <c r="BL39" i="9"/>
  <c r="BK39" i="9"/>
  <c r="BJ39" i="9"/>
  <c r="BI39" i="9"/>
  <c r="BF39" i="9"/>
  <c r="BD39" i="9"/>
  <c r="BB39" i="9"/>
  <c r="AZ39" i="9"/>
  <c r="AY39" i="9"/>
  <c r="AX39" i="9"/>
  <c r="AW39" i="9"/>
  <c r="AV39" i="9"/>
  <c r="AU39" i="9"/>
  <c r="AR39" i="9"/>
  <c r="AO39" i="9"/>
  <c r="AM39" i="9"/>
  <c r="AL39" i="9"/>
  <c r="AK39" i="9"/>
  <c r="AJ39" i="9"/>
  <c r="AI39" i="9"/>
  <c r="AH39" i="9"/>
  <c r="AG39" i="9"/>
  <c r="AC39" i="9"/>
  <c r="Z39" i="9"/>
  <c r="Y39" i="9"/>
  <c r="X39" i="9"/>
  <c r="W39" i="9"/>
  <c r="V39" i="9"/>
  <c r="U39" i="9"/>
  <c r="T39" i="9"/>
  <c r="R39" i="9"/>
  <c r="O39" i="9"/>
  <c r="L39" i="9"/>
  <c r="K39" i="9"/>
  <c r="J39" i="9"/>
  <c r="I39" i="9"/>
  <c r="H39" i="9"/>
  <c r="G39" i="9"/>
  <c r="F39" i="9"/>
  <c r="E39" i="9"/>
  <c r="B39" i="9"/>
  <c r="CF38" i="9"/>
  <c r="CC38" i="9"/>
  <c r="CB38" i="9"/>
  <c r="BX38" i="9"/>
  <c r="BN38" i="9"/>
  <c r="BL38" i="9"/>
  <c r="BK38" i="9"/>
  <c r="BJ38" i="9"/>
  <c r="AZ38" i="9"/>
  <c r="AU38" i="9"/>
  <c r="AO38" i="9"/>
  <c r="AM38" i="9"/>
  <c r="AL38" i="9"/>
  <c r="AF38" i="9"/>
  <c r="X38" i="9"/>
  <c r="T38" i="9"/>
  <c r="S38" i="9"/>
  <c r="R38" i="9"/>
  <c r="I38" i="9"/>
  <c r="G38" i="9"/>
  <c r="C38" i="9"/>
  <c r="B38" i="9"/>
  <c r="AT37" i="9"/>
  <c r="G37" i="9"/>
  <c r="B37" i="9"/>
  <c r="CK36" i="9"/>
  <c r="CE36" i="9"/>
  <c r="BG36" i="9"/>
  <c r="AS36" i="9"/>
  <c r="AO36" i="9"/>
  <c r="AE36" i="9"/>
  <c r="AC36" i="9"/>
  <c r="G36" i="9"/>
  <c r="B36" i="9"/>
  <c r="DI35" i="9"/>
  <c r="DH35" i="9"/>
  <c r="DG35" i="9"/>
  <c r="DF35" i="9"/>
  <c r="DE35" i="9"/>
  <c r="DD35" i="9"/>
  <c r="DC35" i="9"/>
  <c r="DA35" i="9"/>
  <c r="CZ35" i="9"/>
  <c r="CX35" i="9"/>
  <c r="CV35" i="9"/>
  <c r="CU35" i="9"/>
  <c r="CT35" i="9"/>
  <c r="CS35" i="9"/>
  <c r="CR35" i="9"/>
  <c r="CQ35" i="9"/>
  <c r="CP35" i="9"/>
  <c r="CN35" i="9"/>
  <c r="CL35" i="9"/>
  <c r="CF35" i="9"/>
  <c r="BM35" i="9"/>
  <c r="BL35" i="9"/>
  <c r="BK35" i="9"/>
  <c r="BJ35" i="9"/>
  <c r="BI35" i="9"/>
  <c r="BH35" i="9"/>
  <c r="BF35" i="9"/>
  <c r="BE35" i="9"/>
  <c r="BD35" i="9"/>
  <c r="BB35" i="9"/>
  <c r="AZ35" i="9"/>
  <c r="AY35" i="9"/>
  <c r="AX35" i="9"/>
  <c r="CJ35" i="9" s="1"/>
  <c r="AW35" i="9"/>
  <c r="AV35" i="9"/>
  <c r="AU35" i="9"/>
  <c r="AT35" i="9"/>
  <c r="AR35" i="9"/>
  <c r="AP35" i="9"/>
  <c r="AO35" i="9"/>
  <c r="AM35" i="9"/>
  <c r="AL35" i="9"/>
  <c r="AK35" i="9"/>
  <c r="AJ35" i="9"/>
  <c r="AI35" i="9"/>
  <c r="AH35" i="9"/>
  <c r="AG35" i="9"/>
  <c r="AF35" i="9"/>
  <c r="AC35" i="9"/>
  <c r="AB35" i="9"/>
  <c r="Z35" i="9"/>
  <c r="Y35" i="9"/>
  <c r="X35" i="9"/>
  <c r="W35" i="9"/>
  <c r="V35" i="9"/>
  <c r="U35" i="9"/>
  <c r="T35" i="9"/>
  <c r="R35" i="9"/>
  <c r="Q35" i="9"/>
  <c r="O35" i="9"/>
  <c r="M35" i="9"/>
  <c r="L35" i="9"/>
  <c r="K35" i="9"/>
  <c r="J35" i="9"/>
  <c r="I35" i="9"/>
  <c r="H35" i="9"/>
  <c r="G35" i="9"/>
  <c r="F35" i="9"/>
  <c r="E35" i="9"/>
  <c r="C35" i="9"/>
  <c r="B35" i="9"/>
  <c r="DH34" i="9"/>
  <c r="DG34" i="9"/>
  <c r="DF34" i="9"/>
  <c r="DE34" i="9"/>
  <c r="DD34" i="9"/>
  <c r="DC34" i="9"/>
  <c r="DA34" i="9"/>
  <c r="CZ34" i="9"/>
  <c r="CX34" i="9"/>
  <c r="CW34" i="9"/>
  <c r="CT34" i="9"/>
  <c r="CS34" i="9"/>
  <c r="CR34" i="9"/>
  <c r="CQ34" i="9"/>
  <c r="CO34" i="9"/>
  <c r="CN34" i="9"/>
  <c r="CM34" i="9"/>
  <c r="CL34" i="9"/>
  <c r="CF34" i="9"/>
  <c r="CE34" i="9"/>
  <c r="CC34" i="9"/>
  <c r="CB34" i="9"/>
  <c r="CA34" i="9"/>
  <c r="BQ34" i="9"/>
  <c r="BO34" i="9"/>
  <c r="BM34" i="9"/>
  <c r="BL34" i="9"/>
  <c r="BK34" i="9"/>
  <c r="BJ34" i="9"/>
  <c r="BG34" i="9"/>
  <c r="BE34" i="9"/>
  <c r="BC34" i="9"/>
  <c r="BB34" i="9"/>
  <c r="BA34" i="9"/>
  <c r="AZ34" i="9"/>
  <c r="AY34" i="9"/>
  <c r="AX34" i="9"/>
  <c r="BZ34" i="9" s="1"/>
  <c r="AW34" i="9"/>
  <c r="AU34" i="9"/>
  <c r="AR34" i="9"/>
  <c r="AQ34" i="9"/>
  <c r="AO34" i="9"/>
  <c r="AN34" i="9"/>
  <c r="AM34" i="9"/>
  <c r="AL34" i="9"/>
  <c r="AK34" i="9"/>
  <c r="AJ34" i="9"/>
  <c r="AG34" i="9"/>
  <c r="AF34" i="9"/>
  <c r="AD34" i="9"/>
  <c r="AC34" i="9"/>
  <c r="AA34" i="9"/>
  <c r="Z34" i="9"/>
  <c r="Y34" i="9"/>
  <c r="X34" i="9"/>
  <c r="W34" i="9"/>
  <c r="T34" i="9"/>
  <c r="S34" i="9"/>
  <c r="R34" i="9"/>
  <c r="P34" i="9"/>
  <c r="O34" i="9"/>
  <c r="M34" i="9"/>
  <c r="L34" i="9"/>
  <c r="K34" i="9"/>
  <c r="I34" i="9"/>
  <c r="G34" i="9"/>
  <c r="F34" i="9"/>
  <c r="E34" i="9"/>
  <c r="C34" i="9"/>
  <c r="B34" i="9"/>
  <c r="DC33" i="9"/>
  <c r="DA33" i="9"/>
  <c r="CZ33" i="9"/>
  <c r="CY33" i="9"/>
  <c r="CN33" i="9"/>
  <c r="BL33" i="9"/>
  <c r="BK33" i="9"/>
  <c r="BJ33" i="9"/>
  <c r="BH33" i="9"/>
  <c r="AX33" i="9"/>
  <c r="AN33" i="9"/>
  <c r="AJ33" i="9"/>
  <c r="AI33" i="9"/>
  <c r="AE33" i="9"/>
  <c r="U33" i="9"/>
  <c r="T33" i="9"/>
  <c r="S33" i="9"/>
  <c r="R33" i="9"/>
  <c r="G33" i="9"/>
  <c r="B33" i="9"/>
  <c r="DD32" i="9"/>
  <c r="CT32" i="9"/>
  <c r="CL32" i="9"/>
  <c r="BD32" i="9"/>
  <c r="AT32" i="9"/>
  <c r="AS32" i="9"/>
  <c r="W32" i="9"/>
  <c r="M32" i="9"/>
  <c r="G32" i="9"/>
  <c r="E32" i="9"/>
  <c r="B32" i="9"/>
  <c r="DI31" i="9"/>
  <c r="DH31" i="9"/>
  <c r="DG31" i="9"/>
  <c r="CW31" i="9"/>
  <c r="CU31" i="9"/>
  <c r="CT31" i="9"/>
  <c r="CS31" i="9"/>
  <c r="CR31" i="9"/>
  <c r="CL31" i="9"/>
  <c r="BG31" i="9"/>
  <c r="BE31" i="9"/>
  <c r="BD31" i="9"/>
  <c r="BB31" i="9"/>
  <c r="AZ31" i="9"/>
  <c r="AV31" i="9"/>
  <c r="AT31" i="9"/>
  <c r="AS31" i="9"/>
  <c r="AM31" i="9"/>
  <c r="AH31" i="9"/>
  <c r="AF31" i="9"/>
  <c r="AD31" i="9"/>
  <c r="AC31" i="9"/>
  <c r="AB31" i="9"/>
  <c r="Z31" i="9"/>
  <c r="Y31" i="9"/>
  <c r="P31" i="9"/>
  <c r="M31" i="9"/>
  <c r="L31" i="9"/>
  <c r="K31" i="9"/>
  <c r="J31" i="9"/>
  <c r="G31" i="9"/>
  <c r="F31" i="9"/>
  <c r="C31" i="9"/>
  <c r="B31" i="9"/>
  <c r="DA31" i="9" s="1"/>
  <c r="G30" i="9"/>
  <c r="B30" i="9"/>
  <c r="DF29" i="9"/>
  <c r="DC29" i="9"/>
  <c r="DB29" i="9"/>
  <c r="DA29" i="9"/>
  <c r="CZ29" i="9"/>
  <c r="CY29" i="9"/>
  <c r="CW29" i="9"/>
  <c r="CR29" i="9"/>
  <c r="CP29" i="9"/>
  <c r="CO29" i="9"/>
  <c r="CN29" i="9"/>
  <c r="CM29" i="9"/>
  <c r="CL29" i="9"/>
  <c r="CK29" i="9"/>
  <c r="CJ29" i="9"/>
  <c r="CE29" i="9"/>
  <c r="CC29" i="9"/>
  <c r="CA29" i="9"/>
  <c r="BZ29" i="9"/>
  <c r="BY29" i="9"/>
  <c r="BX29" i="9"/>
  <c r="BW29" i="9"/>
  <c r="BR29" i="9"/>
  <c r="BP29" i="9"/>
  <c r="BO29" i="9"/>
  <c r="BN29" i="9"/>
  <c r="BM29" i="9"/>
  <c r="BL29" i="9"/>
  <c r="BJ29" i="9"/>
  <c r="BE29" i="9"/>
  <c r="BC29" i="9"/>
  <c r="BB29" i="9"/>
  <c r="BA29" i="9"/>
  <c r="AZ29" i="9"/>
  <c r="AY29" i="9"/>
  <c r="AX29" i="9"/>
  <c r="AV29" i="9"/>
  <c r="AR29" i="9"/>
  <c r="AP29" i="9"/>
  <c r="AN29" i="9"/>
  <c r="AM29" i="9"/>
  <c r="AL29" i="9"/>
  <c r="AJ29" i="9"/>
  <c r="AI29" i="9"/>
  <c r="AE29" i="9"/>
  <c r="AC29" i="9"/>
  <c r="AB29" i="9"/>
  <c r="AA29" i="9"/>
  <c r="Z29" i="9"/>
  <c r="X29" i="9"/>
  <c r="V29" i="9"/>
  <c r="R29" i="9"/>
  <c r="P29" i="9"/>
  <c r="O29" i="9"/>
  <c r="N29" i="9"/>
  <c r="L29" i="9"/>
  <c r="K29" i="9"/>
  <c r="J29" i="9"/>
  <c r="I29" i="9"/>
  <c r="G29" i="9"/>
  <c r="E29" i="9"/>
  <c r="B29" i="9"/>
  <c r="DI28" i="9"/>
  <c r="DG28" i="9"/>
  <c r="DF28" i="9"/>
  <c r="DE28" i="9"/>
  <c r="DD28" i="9"/>
  <c r="DC28" i="9"/>
  <c r="CY28" i="9"/>
  <c r="CW28" i="9"/>
  <c r="CT28" i="9"/>
  <c r="CS28" i="9"/>
  <c r="CQ28" i="9"/>
  <c r="CP28" i="9"/>
  <c r="CL28" i="9"/>
  <c r="CI28" i="9"/>
  <c r="CH28" i="9"/>
  <c r="CG28" i="9"/>
  <c r="CF28" i="9"/>
  <c r="CE28" i="9"/>
  <c r="CC28" i="9"/>
  <c r="BY28" i="9"/>
  <c r="BU28" i="9"/>
  <c r="BT28" i="9"/>
  <c r="BS28" i="9"/>
  <c r="BR28" i="9"/>
  <c r="BQ28" i="9"/>
  <c r="BP28" i="9"/>
  <c r="BK28" i="9"/>
  <c r="BI28" i="9"/>
  <c r="BG28" i="9"/>
  <c r="BF28" i="9"/>
  <c r="BD28" i="9"/>
  <c r="BC28" i="9"/>
  <c r="AX28" i="9"/>
  <c r="AV28" i="9"/>
  <c r="AU28" i="9"/>
  <c r="AT28" i="9"/>
  <c r="AS28" i="9"/>
  <c r="AR28" i="9"/>
  <c r="AP28" i="9"/>
  <c r="AK28" i="9"/>
  <c r="AH28" i="9"/>
  <c r="AG28" i="9"/>
  <c r="AF28" i="9"/>
  <c r="AE28" i="9"/>
  <c r="AD28" i="9"/>
  <c r="AC28" i="9"/>
  <c r="X28" i="9"/>
  <c r="V28" i="9"/>
  <c r="T28" i="9"/>
  <c r="S28" i="9"/>
  <c r="Q28" i="9"/>
  <c r="O28" i="9"/>
  <c r="K28" i="9"/>
  <c r="I28" i="9"/>
  <c r="H28" i="9"/>
  <c r="G28" i="9"/>
  <c r="F28" i="9"/>
  <c r="E28" i="9"/>
  <c r="B28" i="9"/>
  <c r="DE27" i="9"/>
  <c r="CZ27" i="9"/>
  <c r="CX27" i="9"/>
  <c r="CW27" i="9"/>
  <c r="CV27" i="9"/>
  <c r="CR27" i="9"/>
  <c r="CL27" i="9"/>
  <c r="CC27" i="9"/>
  <c r="BZ27" i="9"/>
  <c r="BR27" i="9"/>
  <c r="BL27" i="9"/>
  <c r="BK27" i="9"/>
  <c r="BJ27" i="9"/>
  <c r="BI27" i="9"/>
  <c r="BE27" i="9"/>
  <c r="AY27" i="9"/>
  <c r="AO27" i="9"/>
  <c r="AM27" i="9"/>
  <c r="AD27" i="9"/>
  <c r="Y27" i="9"/>
  <c r="X27" i="9"/>
  <c r="W27" i="9"/>
  <c r="V27" i="9"/>
  <c r="Q27" i="9"/>
  <c r="L27" i="9"/>
  <c r="G27" i="9"/>
  <c r="E27" i="9"/>
  <c r="B27" i="9"/>
  <c r="DI26" i="9"/>
  <c r="DH26" i="9"/>
  <c r="DD26" i="9"/>
  <c r="CU26" i="9"/>
  <c r="CT26" i="9"/>
  <c r="CS26" i="9"/>
  <c r="CR26" i="9"/>
  <c r="CQ26" i="9"/>
  <c r="CH26" i="9"/>
  <c r="BY26" i="9"/>
  <c r="BW26" i="9"/>
  <c r="BV26" i="9"/>
  <c r="BU26" i="9"/>
  <c r="BP26" i="9"/>
  <c r="BH26" i="9"/>
  <c r="BG26" i="9"/>
  <c r="BE26" i="9"/>
  <c r="BD26" i="9"/>
  <c r="BC26" i="9"/>
  <c r="AU26" i="9"/>
  <c r="AL26" i="9"/>
  <c r="AJ26" i="9"/>
  <c r="AI26" i="9"/>
  <c r="AG26" i="9"/>
  <c r="AC26" i="9"/>
  <c r="T26" i="9"/>
  <c r="S26" i="9"/>
  <c r="R26" i="9"/>
  <c r="Q26" i="9"/>
  <c r="P26" i="9"/>
  <c r="G26" i="9"/>
  <c r="B26" i="9"/>
  <c r="DF25" i="9"/>
  <c r="DC25" i="9"/>
  <c r="DB25" i="9"/>
  <c r="DA25" i="9"/>
  <c r="CZ25" i="9"/>
  <c r="CW25" i="9"/>
  <c r="CP25" i="9"/>
  <c r="CO25" i="9"/>
  <c r="CN25" i="9"/>
  <c r="CM25" i="9"/>
  <c r="CL25" i="9"/>
  <c r="BM25" i="9"/>
  <c r="BJ25" i="9"/>
  <c r="BC25" i="9"/>
  <c r="BB25" i="9"/>
  <c r="BA25" i="9"/>
  <c r="AZ25" i="9"/>
  <c r="AY25" i="9"/>
  <c r="AX25" i="9"/>
  <c r="AV25" i="9"/>
  <c r="AR25" i="9"/>
  <c r="AN25" i="9"/>
  <c r="AL25" i="9"/>
  <c r="AJ25" i="9"/>
  <c r="AI25" i="9"/>
  <c r="AE25" i="9"/>
  <c r="AC25" i="9"/>
  <c r="AB25" i="9"/>
  <c r="AA25" i="9"/>
  <c r="Z25" i="9"/>
  <c r="V25" i="9"/>
  <c r="P25" i="9"/>
  <c r="O25" i="9"/>
  <c r="N25" i="9"/>
  <c r="L25" i="9"/>
  <c r="K25" i="9"/>
  <c r="J25" i="9"/>
  <c r="I25" i="9"/>
  <c r="G25" i="9"/>
  <c r="B25" i="9"/>
  <c r="DE24" i="9"/>
  <c r="AV24" i="9"/>
  <c r="N24" i="9"/>
  <c r="G24" i="9"/>
  <c r="B24" i="9"/>
  <c r="DG23" i="9"/>
  <c r="DF23" i="9"/>
  <c r="CX23" i="9"/>
  <c r="BD23" i="9"/>
  <c r="BB23" i="9"/>
  <c r="BA23" i="9"/>
  <c r="AZ23" i="9"/>
  <c r="AY23" i="9"/>
  <c r="AL23" i="9"/>
  <c r="AD23" i="9"/>
  <c r="Z23" i="9"/>
  <c r="T23" i="9"/>
  <c r="R23" i="9"/>
  <c r="Q23" i="9"/>
  <c r="G23" i="9"/>
  <c r="B23" i="9"/>
  <c r="CL23" i="9" s="1"/>
  <c r="DI22" i="9"/>
  <c r="DH22" i="9"/>
  <c r="DG22" i="9"/>
  <c r="DC22" i="9"/>
  <c r="CX22" i="9"/>
  <c r="CU22" i="9"/>
  <c r="CO22" i="9"/>
  <c r="CM22" i="9"/>
  <c r="BK22" i="9"/>
  <c r="BE22" i="9"/>
  <c r="BC22" i="9"/>
  <c r="BB22" i="9"/>
  <c r="AU22" i="9"/>
  <c r="AQ22" i="9"/>
  <c r="AP22" i="9"/>
  <c r="AO22" i="9"/>
  <c r="AN22" i="9"/>
  <c r="AI22" i="9"/>
  <c r="AA22" i="9"/>
  <c r="U22" i="9"/>
  <c r="T22" i="9"/>
  <c r="S22" i="9"/>
  <c r="R22" i="9"/>
  <c r="K22" i="9"/>
  <c r="G22" i="9"/>
  <c r="F22" i="9"/>
  <c r="C22" i="9"/>
  <c r="B22" i="9"/>
  <c r="DI21" i="9"/>
  <c r="DF21" i="9"/>
  <c r="DD21" i="9"/>
  <c r="DC21" i="9"/>
  <c r="DB21" i="9"/>
  <c r="DA21" i="9"/>
  <c r="CZ21" i="9"/>
  <c r="CY21" i="9"/>
  <c r="CX21" i="9"/>
  <c r="CW21" i="9"/>
  <c r="CT21" i="9"/>
  <c r="CR21" i="9"/>
  <c r="CQ21" i="9"/>
  <c r="CP21" i="9"/>
  <c r="CO21" i="9"/>
  <c r="CN21" i="9"/>
  <c r="CM21" i="9"/>
  <c r="CL21" i="9"/>
  <c r="BM21" i="9"/>
  <c r="BJ21" i="9"/>
  <c r="BH21" i="9"/>
  <c r="BG21" i="9"/>
  <c r="BF21" i="9"/>
  <c r="BE21" i="9"/>
  <c r="BD21" i="9"/>
  <c r="BC21" i="9"/>
  <c r="BB21" i="9"/>
  <c r="BA21" i="9"/>
  <c r="AX21" i="9"/>
  <c r="AV21" i="9"/>
  <c r="AU21" i="9"/>
  <c r="AT21" i="9"/>
  <c r="AS21" i="9"/>
  <c r="AR21" i="9"/>
  <c r="AQ21" i="9"/>
  <c r="AP21" i="9"/>
  <c r="AO21" i="9"/>
  <c r="AL21" i="9"/>
  <c r="AJ21" i="9"/>
  <c r="AI21" i="9"/>
  <c r="AH21" i="9"/>
  <c r="AG21" i="9"/>
  <c r="AF21" i="9"/>
  <c r="AE21" i="9"/>
  <c r="AD21" i="9"/>
  <c r="AC21" i="9"/>
  <c r="Z21" i="9"/>
  <c r="X21" i="9"/>
  <c r="W21" i="9"/>
  <c r="V21" i="9"/>
  <c r="U21" i="9"/>
  <c r="T21" i="9"/>
  <c r="S21" i="9"/>
  <c r="R21" i="9"/>
  <c r="Q21" i="9"/>
  <c r="N21" i="9"/>
  <c r="L21" i="9"/>
  <c r="K21" i="9"/>
  <c r="J21" i="9"/>
  <c r="I21" i="9"/>
  <c r="H21" i="9"/>
  <c r="G21" i="9"/>
  <c r="F21" i="9"/>
  <c r="E21" i="9"/>
  <c r="B21" i="9"/>
  <c r="DE21" i="9" s="1"/>
  <c r="DE20" i="9"/>
  <c r="CQ20" i="9"/>
  <c r="BK20" i="9"/>
  <c r="BE20" i="9"/>
  <c r="AM20" i="9"/>
  <c r="Y20" i="9"/>
  <c r="K20" i="9"/>
  <c r="G20" i="9"/>
  <c r="B20" i="9"/>
  <c r="DA20" i="9" s="1"/>
  <c r="DI19" i="9"/>
  <c r="DH19" i="9"/>
  <c r="DE19" i="9"/>
  <c r="CZ19" i="9"/>
  <c r="CX19" i="9"/>
  <c r="CW19" i="9"/>
  <c r="CV19" i="9"/>
  <c r="CU19" i="9"/>
  <c r="CT19" i="9"/>
  <c r="CS19" i="9"/>
  <c r="CR19" i="9"/>
  <c r="BM19" i="9"/>
  <c r="BL19" i="9"/>
  <c r="BK19" i="9"/>
  <c r="BJ19" i="9"/>
  <c r="BI19" i="9"/>
  <c r="BH19" i="9"/>
  <c r="BA19" i="9"/>
  <c r="AY19" i="9"/>
  <c r="AX19" i="9"/>
  <c r="AW19" i="9"/>
  <c r="AV19" i="9"/>
  <c r="AR19" i="9"/>
  <c r="AP19" i="9"/>
  <c r="AO19" i="9"/>
  <c r="AN19" i="9"/>
  <c r="AK19" i="9"/>
  <c r="AF19" i="9"/>
  <c r="AD19" i="9"/>
  <c r="AC19" i="9"/>
  <c r="AB19" i="9"/>
  <c r="AA19" i="9"/>
  <c r="Z19" i="9"/>
  <c r="Y19" i="9"/>
  <c r="X19" i="9"/>
  <c r="Q19" i="9"/>
  <c r="O19" i="9"/>
  <c r="N19" i="9"/>
  <c r="M19" i="9"/>
  <c r="L19" i="9"/>
  <c r="H19" i="9"/>
  <c r="G19" i="9"/>
  <c r="F19" i="9"/>
  <c r="E19" i="9"/>
  <c r="B19" i="9"/>
  <c r="DA18" i="9"/>
  <c r="CZ18" i="9"/>
  <c r="CL18" i="9"/>
  <c r="BA18" i="9"/>
  <c r="AZ18" i="9"/>
  <c r="AI18" i="9"/>
  <c r="AC18" i="9"/>
  <c r="U18" i="9"/>
  <c r="K18" i="9"/>
  <c r="G18" i="9"/>
  <c r="B18" i="9"/>
  <c r="CY18" i="9" s="1"/>
  <c r="DI17" i="9"/>
  <c r="DF17" i="9"/>
  <c r="DD17" i="9"/>
  <c r="DC17" i="9"/>
  <c r="DB17" i="9"/>
  <c r="DA17" i="9"/>
  <c r="CZ17" i="9"/>
  <c r="CY17" i="9"/>
  <c r="CX17" i="9"/>
  <c r="CW17" i="9"/>
  <c r="CT17" i="9"/>
  <c r="CR17" i="9"/>
  <c r="CQ17" i="9"/>
  <c r="CP17" i="9"/>
  <c r="CO17" i="9"/>
  <c r="CN17" i="9"/>
  <c r="CM17" i="9"/>
  <c r="CL17" i="9"/>
  <c r="BM17" i="9"/>
  <c r="BJ17" i="9"/>
  <c r="BH17" i="9"/>
  <c r="BG17" i="9"/>
  <c r="BF17" i="9"/>
  <c r="BE17" i="9"/>
  <c r="BD17" i="9"/>
  <c r="BC17" i="9"/>
  <c r="BB17" i="9"/>
  <c r="BA17" i="9"/>
  <c r="AX17" i="9"/>
  <c r="AV17" i="9"/>
  <c r="AU17" i="9"/>
  <c r="AT17" i="9"/>
  <c r="AS17" i="9"/>
  <c r="AR17" i="9"/>
  <c r="AQ17" i="9"/>
  <c r="AP17" i="9"/>
  <c r="AO17" i="9"/>
  <c r="AL17" i="9"/>
  <c r="AJ17" i="9"/>
  <c r="AI17" i="9"/>
  <c r="AH17" i="9"/>
  <c r="AG17" i="9"/>
  <c r="AF17" i="9"/>
  <c r="AE17" i="9"/>
  <c r="AD17" i="9"/>
  <c r="AC17" i="9"/>
  <c r="Z17" i="9"/>
  <c r="X17" i="9"/>
  <c r="W17" i="9"/>
  <c r="V17" i="9"/>
  <c r="U17" i="9"/>
  <c r="T17" i="9"/>
  <c r="S17" i="9"/>
  <c r="R17" i="9"/>
  <c r="Q17" i="9"/>
  <c r="N17" i="9"/>
  <c r="L17" i="9"/>
  <c r="K17" i="9"/>
  <c r="J17" i="9"/>
  <c r="I17" i="9"/>
  <c r="H17" i="9"/>
  <c r="G17" i="9"/>
  <c r="F17" i="9"/>
  <c r="E17" i="9"/>
  <c r="B17" i="9"/>
  <c r="DE17" i="9" s="1"/>
  <c r="DI16" i="9"/>
  <c r="DB16" i="9"/>
  <c r="CP16" i="9"/>
  <c r="CO16" i="9"/>
  <c r="BM16" i="9"/>
  <c r="BH16" i="9"/>
  <c r="AX16" i="9"/>
  <c r="AL16" i="9"/>
  <c r="AK16" i="9"/>
  <c r="AJ16" i="9"/>
  <c r="AI16" i="9"/>
  <c r="V16" i="9"/>
  <c r="N16" i="9"/>
  <c r="M16" i="9"/>
  <c r="L16" i="9"/>
  <c r="G16" i="9"/>
  <c r="B16" i="9"/>
  <c r="DE16" i="9" s="1"/>
  <c r="DF15" i="9"/>
  <c r="G15" i="9"/>
  <c r="B15" i="9"/>
  <c r="DG15" i="9" s="1"/>
  <c r="DI14" i="9"/>
  <c r="DH14" i="9"/>
  <c r="CZ14" i="9"/>
  <c r="CX14" i="9"/>
  <c r="CW14" i="9"/>
  <c r="CV14" i="9"/>
  <c r="CU14" i="9"/>
  <c r="CQ14" i="9"/>
  <c r="CO14" i="9"/>
  <c r="CN14" i="9"/>
  <c r="CJ14" i="9"/>
  <c r="CE14" i="9"/>
  <c r="CC14" i="9"/>
  <c r="CB14" i="9"/>
  <c r="CA14" i="9"/>
  <c r="BZ14" i="9"/>
  <c r="BY14" i="9"/>
  <c r="BX14" i="9"/>
  <c r="BP14" i="9"/>
  <c r="BN14" i="9"/>
  <c r="BM14" i="9"/>
  <c r="BL14" i="9"/>
  <c r="BK14" i="9"/>
  <c r="BG14" i="9"/>
  <c r="BE14" i="9"/>
  <c r="BD14" i="9"/>
  <c r="AZ14" i="9"/>
  <c r="AU14" i="9"/>
  <c r="AS14" i="9"/>
  <c r="AR14" i="9"/>
  <c r="AQ14" i="9"/>
  <c r="AP14" i="9"/>
  <c r="AO14" i="9"/>
  <c r="AN14" i="9"/>
  <c r="AF14" i="9"/>
  <c r="AD14" i="9"/>
  <c r="AC14" i="9"/>
  <c r="AB14" i="9"/>
  <c r="AA14" i="9"/>
  <c r="W14" i="9"/>
  <c r="U14" i="9"/>
  <c r="T14" i="9"/>
  <c r="P14" i="9"/>
  <c r="K14" i="9"/>
  <c r="I14" i="9"/>
  <c r="H14" i="9"/>
  <c r="G14" i="9"/>
  <c r="F14" i="9"/>
  <c r="E14" i="9"/>
  <c r="C14" i="9"/>
  <c r="B14" i="9"/>
  <c r="DC14" i="9" s="1"/>
  <c r="DI13" i="9"/>
  <c r="DF13" i="9"/>
  <c r="DD13" i="9"/>
  <c r="DC13" i="9"/>
  <c r="DB13" i="9"/>
  <c r="DA13" i="9"/>
  <c r="CZ13" i="9"/>
  <c r="CY13" i="9"/>
  <c r="CX13" i="9"/>
  <c r="CW13" i="9"/>
  <c r="CT13" i="9"/>
  <c r="CR13" i="9"/>
  <c r="CQ13" i="9"/>
  <c r="CP13" i="9"/>
  <c r="CO13" i="9"/>
  <c r="CN13" i="9"/>
  <c r="CM13" i="9"/>
  <c r="CL13" i="9"/>
  <c r="CK13" i="9"/>
  <c r="CH13" i="9"/>
  <c r="CF13" i="9"/>
  <c r="CE13" i="9"/>
  <c r="CD13" i="9"/>
  <c r="CC13" i="9"/>
  <c r="CB13" i="9"/>
  <c r="CA13" i="9"/>
  <c r="BZ13" i="9"/>
  <c r="BY13" i="9"/>
  <c r="BV13" i="9"/>
  <c r="BT13" i="9"/>
  <c r="BS13" i="9"/>
  <c r="BR13" i="9"/>
  <c r="BQ13" i="9"/>
  <c r="BP13" i="9"/>
  <c r="BO13" i="9"/>
  <c r="BN13" i="9"/>
  <c r="BM13" i="9"/>
  <c r="BJ13" i="9"/>
  <c r="BH13" i="9"/>
  <c r="BG13" i="9"/>
  <c r="BF13" i="9"/>
  <c r="BE13" i="9"/>
  <c r="BD13" i="9"/>
  <c r="BC13" i="9"/>
  <c r="BB13" i="9"/>
  <c r="BA13" i="9"/>
  <c r="AX13" i="9"/>
  <c r="AV13" i="9"/>
  <c r="AU13" i="9"/>
  <c r="AT13" i="9"/>
  <c r="AS13" i="9"/>
  <c r="AR13" i="9"/>
  <c r="AQ13" i="9"/>
  <c r="AP13" i="9"/>
  <c r="AO13" i="9"/>
  <c r="AL13" i="9"/>
  <c r="AJ13" i="9"/>
  <c r="AI13" i="9"/>
  <c r="AH13" i="9"/>
  <c r="AG13" i="9"/>
  <c r="AF13" i="9"/>
  <c r="AE13" i="9"/>
  <c r="AD13" i="9"/>
  <c r="AC13" i="9"/>
  <c r="Z13" i="9"/>
  <c r="X13" i="9"/>
  <c r="W13" i="9"/>
  <c r="V13" i="9"/>
  <c r="U13" i="9"/>
  <c r="T13" i="9"/>
  <c r="S13" i="9"/>
  <c r="R13" i="9"/>
  <c r="Q13" i="9"/>
  <c r="N13" i="9"/>
  <c r="L13" i="9"/>
  <c r="K13" i="9"/>
  <c r="J13" i="9"/>
  <c r="I13" i="9"/>
  <c r="H13" i="9"/>
  <c r="G13" i="9"/>
  <c r="F13" i="9"/>
  <c r="E13" i="9"/>
  <c r="B13" i="9"/>
  <c r="DE13" i="9" s="1"/>
  <c r="DE12" i="9"/>
  <c r="DC12" i="9"/>
  <c r="DB12" i="9"/>
  <c r="DA12" i="9"/>
  <c r="CZ12" i="9"/>
  <c r="CW12" i="9"/>
  <c r="CN12" i="9"/>
  <c r="CI12" i="9"/>
  <c r="CH12" i="9"/>
  <c r="CG12" i="9"/>
  <c r="CF12" i="9"/>
  <c r="CE12" i="9"/>
  <c r="BY12" i="9"/>
  <c r="BV12" i="9"/>
  <c r="BR12" i="9"/>
  <c r="BP12" i="9"/>
  <c r="BI12" i="9"/>
  <c r="BG12" i="9"/>
  <c r="BF12" i="9"/>
  <c r="BE12" i="9"/>
  <c r="BD12" i="9"/>
  <c r="BA12" i="9"/>
  <c r="AR12" i="9"/>
  <c r="AM12" i="9"/>
  <c r="AL12" i="9"/>
  <c r="AK12" i="9"/>
  <c r="AJ12" i="9"/>
  <c r="AI12" i="9"/>
  <c r="AC12" i="9"/>
  <c r="Z12" i="9"/>
  <c r="V12" i="9"/>
  <c r="T12" i="9"/>
  <c r="M12" i="9"/>
  <c r="K12" i="9"/>
  <c r="J12" i="9"/>
  <c r="I12" i="9"/>
  <c r="H12" i="9"/>
  <c r="G12" i="9"/>
  <c r="B12" i="9"/>
  <c r="CP12" i="9" s="1"/>
  <c r="DF11" i="9"/>
  <c r="DD11" i="9"/>
  <c r="DC11" i="9"/>
  <c r="CZ11" i="9"/>
  <c r="CX11" i="9"/>
  <c r="CW11" i="9"/>
  <c r="CV11" i="9"/>
  <c r="CU11" i="9"/>
  <c r="CQ11" i="9"/>
  <c r="CL11" i="9"/>
  <c r="CK11" i="9"/>
  <c r="CJ11" i="9"/>
  <c r="CI11" i="9"/>
  <c r="CH11" i="9"/>
  <c r="CG11" i="9"/>
  <c r="CF11" i="9"/>
  <c r="BY11" i="9"/>
  <c r="BW11" i="9"/>
  <c r="BV11" i="9"/>
  <c r="BU11" i="9"/>
  <c r="BT11" i="9"/>
  <c r="BS11" i="9"/>
  <c r="BP11" i="9"/>
  <c r="BN11" i="9"/>
  <c r="BJ11" i="9"/>
  <c r="BH11" i="9"/>
  <c r="BG11" i="9"/>
  <c r="BD11" i="9"/>
  <c r="BB11" i="9"/>
  <c r="BA11" i="9"/>
  <c r="AZ11" i="9"/>
  <c r="AY11" i="9"/>
  <c r="AU11" i="9"/>
  <c r="AP11" i="9"/>
  <c r="AO11" i="9"/>
  <c r="AN11" i="9"/>
  <c r="AM11" i="9"/>
  <c r="AL11" i="9"/>
  <c r="AK11" i="9"/>
  <c r="AJ11" i="9"/>
  <c r="AC11" i="9"/>
  <c r="AA11" i="9"/>
  <c r="Z11" i="9"/>
  <c r="Y11" i="9"/>
  <c r="X11" i="9"/>
  <c r="W11" i="9"/>
  <c r="T11" i="9"/>
  <c r="R11" i="9"/>
  <c r="N11" i="9"/>
  <c r="L11" i="9"/>
  <c r="K11" i="9"/>
  <c r="H11" i="9"/>
  <c r="G11" i="9"/>
  <c r="F11" i="9"/>
  <c r="E11" i="9"/>
  <c r="C11" i="9"/>
  <c r="B11" i="9"/>
  <c r="DH11" i="9" s="1"/>
  <c r="DI9" i="9"/>
  <c r="DH9" i="9"/>
  <c r="DG9" i="9"/>
  <c r="DF9" i="9"/>
  <c r="DE9" i="9"/>
  <c r="DD9" i="9"/>
  <c r="DC9" i="9"/>
  <c r="DB9" i="9"/>
  <c r="DA9" i="9"/>
  <c r="CZ9" i="9"/>
  <c r="CY9" i="9"/>
  <c r="CX9" i="9"/>
  <c r="CV9" i="9"/>
  <c r="CU9" i="9"/>
  <c r="CQ9" i="9"/>
  <c r="CO9" i="9"/>
  <c r="CN9" i="9"/>
  <c r="CM9" i="9"/>
  <c r="CL9" i="9"/>
  <c r="CK9" i="9"/>
  <c r="CJ9" i="9"/>
  <c r="CI9" i="9"/>
  <c r="CH9" i="9"/>
  <c r="CG9" i="9"/>
  <c r="CF9" i="9"/>
  <c r="CE9" i="9"/>
  <c r="CD9" i="9"/>
  <c r="CC9" i="9"/>
  <c r="CB9" i="9"/>
  <c r="CA9" i="9"/>
  <c r="BZ9" i="9"/>
  <c r="BY9" i="9"/>
  <c r="BX9" i="9"/>
  <c r="BW9" i="9"/>
  <c r="BS9" i="9"/>
  <c r="BQ9" i="9"/>
  <c r="BO9" i="9"/>
  <c r="BN9" i="9"/>
  <c r="BM9" i="9"/>
  <c r="BL9" i="9"/>
  <c r="BK9" i="9"/>
  <c r="BJ9" i="9"/>
  <c r="BI9" i="9"/>
  <c r="BH9" i="9"/>
  <c r="BG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Q9" i="9"/>
  <c r="P9" i="9"/>
  <c r="O9" i="9"/>
  <c r="N9" i="9"/>
  <c r="M9" i="9"/>
  <c r="L9" i="9"/>
  <c r="K9" i="9"/>
  <c r="BF5" i="9"/>
  <c r="BF9" i="9" s="1"/>
  <c r="AX5" i="9"/>
  <c r="AP5" i="9"/>
  <c r="AH5" i="9"/>
  <c r="AH9" i="9" s="1"/>
  <c r="Z5" i="9"/>
  <c r="R5" i="9"/>
  <c r="R9" i="9" s="1"/>
  <c r="J5" i="9"/>
  <c r="J9" i="9" s="1"/>
  <c r="DH2" i="9"/>
  <c r="DD2" i="9"/>
  <c r="CZ2" i="9"/>
  <c r="CV2" i="9"/>
  <c r="CR2" i="9"/>
  <c r="CN2" i="9"/>
  <c r="CJ2" i="9"/>
  <c r="CF2" i="9"/>
  <c r="CB2" i="9"/>
  <c r="CB156" i="9" s="1"/>
  <c r="BX2" i="9"/>
  <c r="BT2" i="9"/>
  <c r="BT86" i="9" s="1"/>
  <c r="BP2" i="9"/>
  <c r="DH1" i="9"/>
  <c r="DD1" i="9"/>
  <c r="CZ1" i="9"/>
  <c r="CV1" i="9"/>
  <c r="CR1" i="9"/>
  <c r="CN1" i="9"/>
  <c r="CJ1" i="9"/>
  <c r="CF1" i="9"/>
  <c r="CB1" i="9"/>
  <c r="CB108" i="9" s="1"/>
  <c r="BX1" i="9"/>
  <c r="BT1" i="9"/>
  <c r="BT108" i="9" s="1"/>
  <c r="BP1" i="9"/>
  <c r="D184" i="7"/>
  <c r="C184" i="7"/>
  <c r="B184" i="7"/>
  <c r="D183" i="7"/>
  <c r="C183" i="7"/>
  <c r="B183" i="7"/>
  <c r="C182" i="7"/>
  <c r="D182" i="7" s="1"/>
  <c r="B182" i="7"/>
  <c r="C181" i="7"/>
  <c r="D181" i="7" s="1"/>
  <c r="B181" i="7"/>
  <c r="D180" i="7"/>
  <c r="C180" i="7"/>
  <c r="B180" i="7"/>
  <c r="D179" i="7"/>
  <c r="C179" i="7"/>
  <c r="B179" i="7"/>
  <c r="C178" i="7"/>
  <c r="D178" i="7" s="1"/>
  <c r="B178" i="7"/>
  <c r="C177" i="7"/>
  <c r="D177" i="7" s="1"/>
  <c r="B177" i="7"/>
  <c r="D176" i="7"/>
  <c r="C176" i="7"/>
  <c r="B176" i="7"/>
  <c r="D175" i="7"/>
  <c r="C175" i="7"/>
  <c r="B175" i="7"/>
  <c r="C174" i="7"/>
  <c r="D174" i="7" s="1"/>
  <c r="B174" i="7"/>
  <c r="C173" i="7"/>
  <c r="D173" i="7" s="1"/>
  <c r="B173" i="7"/>
  <c r="D172" i="7"/>
  <c r="C172" i="7"/>
  <c r="B172" i="7"/>
  <c r="D171" i="7"/>
  <c r="C171" i="7"/>
  <c r="B171" i="7"/>
  <c r="C170" i="7"/>
  <c r="D170" i="7" s="1"/>
  <c r="B170" i="7"/>
  <c r="C169" i="7"/>
  <c r="D169" i="7" s="1"/>
  <c r="B169" i="7"/>
  <c r="D168" i="7"/>
  <c r="C168" i="7"/>
  <c r="B168" i="7"/>
  <c r="D167" i="7"/>
  <c r="C167" i="7"/>
  <c r="B167" i="7"/>
  <c r="C166" i="7"/>
  <c r="D166" i="7" s="1"/>
  <c r="B166" i="7"/>
  <c r="C165" i="7"/>
  <c r="D165" i="7" s="1"/>
  <c r="B165" i="7"/>
  <c r="D164" i="7"/>
  <c r="C164" i="7"/>
  <c r="B164" i="7"/>
  <c r="D163" i="7"/>
  <c r="C163" i="7"/>
  <c r="B163" i="7"/>
  <c r="C162" i="7"/>
  <c r="D162" i="7" s="1"/>
  <c r="B162" i="7"/>
  <c r="C161" i="7"/>
  <c r="D161" i="7" s="1"/>
  <c r="D160" i="7"/>
  <c r="C160" i="7"/>
  <c r="B160" i="7"/>
  <c r="D159" i="7"/>
  <c r="C159" i="7"/>
  <c r="B159" i="7"/>
  <c r="C158" i="7"/>
  <c r="D158" i="7" s="1"/>
  <c r="B158" i="7"/>
  <c r="C157" i="7"/>
  <c r="D157" i="7" s="1"/>
  <c r="D156" i="7"/>
  <c r="C156" i="7"/>
  <c r="B156" i="7"/>
  <c r="D155" i="7"/>
  <c r="C155" i="7"/>
  <c r="B155" i="7"/>
  <c r="C154" i="7"/>
  <c r="D154" i="7" s="1"/>
  <c r="B154" i="7"/>
  <c r="C153" i="7"/>
  <c r="D153" i="7" s="1"/>
  <c r="B153" i="7"/>
  <c r="D152" i="7"/>
  <c r="C152" i="7"/>
  <c r="B152" i="7"/>
  <c r="D151" i="7"/>
  <c r="C151" i="7"/>
  <c r="B151" i="7"/>
  <c r="C150" i="7"/>
  <c r="D150" i="7" s="1"/>
  <c r="B150" i="7"/>
  <c r="C149" i="7"/>
  <c r="D149" i="7" s="1"/>
  <c r="B149" i="7"/>
  <c r="D148" i="7"/>
  <c r="C148" i="7"/>
  <c r="B148" i="7"/>
  <c r="D147" i="7"/>
  <c r="C147" i="7"/>
  <c r="B147" i="7"/>
  <c r="C146" i="7"/>
  <c r="D146" i="7" s="1"/>
  <c r="B146" i="7"/>
  <c r="C145" i="7"/>
  <c r="D145" i="7" s="1"/>
  <c r="B145" i="7"/>
  <c r="D144" i="7"/>
  <c r="C144" i="7"/>
  <c r="B144" i="7"/>
  <c r="D143" i="7"/>
  <c r="C143" i="7"/>
  <c r="B143" i="7"/>
  <c r="C142" i="7"/>
  <c r="D142" i="7" s="1"/>
  <c r="B142" i="7"/>
  <c r="C141" i="7"/>
  <c r="D141" i="7" s="1"/>
  <c r="B141" i="7"/>
  <c r="D140" i="7"/>
  <c r="C140" i="7"/>
  <c r="B140" i="7"/>
  <c r="D139" i="7"/>
  <c r="C139" i="7"/>
  <c r="B139" i="7"/>
  <c r="C138" i="7"/>
  <c r="D138" i="7" s="1"/>
  <c r="B138" i="7"/>
  <c r="C137" i="7"/>
  <c r="D137" i="7" s="1"/>
  <c r="D136" i="7"/>
  <c r="C136" i="7"/>
  <c r="B136" i="7"/>
  <c r="D135" i="7"/>
  <c r="C135" i="7"/>
  <c r="B135" i="7"/>
  <c r="C134" i="7"/>
  <c r="D134" i="7" s="1"/>
  <c r="B134" i="7"/>
  <c r="C133" i="7"/>
  <c r="D133" i="7" s="1"/>
  <c r="D132" i="7"/>
  <c r="C132" i="7"/>
  <c r="B132" i="7"/>
  <c r="D131" i="7"/>
  <c r="C131" i="7"/>
  <c r="B131" i="7"/>
  <c r="C130" i="7"/>
  <c r="D130" i="7" s="1"/>
  <c r="B130" i="7"/>
  <c r="C129" i="7"/>
  <c r="D129" i="7" s="1"/>
  <c r="B129" i="7"/>
  <c r="D128" i="7"/>
  <c r="C128" i="7"/>
  <c r="B128" i="7"/>
  <c r="D127" i="7"/>
  <c r="C127" i="7"/>
  <c r="B127" i="7"/>
  <c r="C126" i="7"/>
  <c r="D126" i="7" s="1"/>
  <c r="B126" i="7"/>
  <c r="C125" i="7"/>
  <c r="D125" i="7" s="1"/>
  <c r="B125" i="7"/>
  <c r="D124" i="7"/>
  <c r="C124" i="7"/>
  <c r="B124" i="7"/>
  <c r="D123" i="7"/>
  <c r="C123" i="7"/>
  <c r="B123" i="7"/>
  <c r="C122" i="7"/>
  <c r="D122" i="7" s="1"/>
  <c r="B122" i="7"/>
  <c r="C121" i="7"/>
  <c r="D121" i="7" s="1"/>
  <c r="B121" i="7"/>
  <c r="D120" i="7"/>
  <c r="C120" i="7"/>
  <c r="B120" i="7"/>
  <c r="D119" i="7"/>
  <c r="C119" i="7"/>
  <c r="B119" i="7"/>
  <c r="C118" i="7"/>
  <c r="D118" i="7" s="1"/>
  <c r="B118" i="7"/>
  <c r="C117" i="7"/>
  <c r="D117" i="7" s="1"/>
  <c r="B117" i="7"/>
  <c r="D116" i="7"/>
  <c r="C116" i="7"/>
  <c r="B116" i="7"/>
  <c r="D115" i="7"/>
  <c r="C115" i="7"/>
  <c r="B115" i="7"/>
  <c r="C114" i="7"/>
  <c r="D114" i="7" s="1"/>
  <c r="B114" i="7"/>
  <c r="C113" i="7"/>
  <c r="D113" i="7" s="1"/>
  <c r="D112" i="7"/>
  <c r="C112" i="7"/>
  <c r="B112" i="7"/>
  <c r="D111" i="7"/>
  <c r="C111" i="7"/>
  <c r="B111" i="7"/>
  <c r="C110" i="7"/>
  <c r="D110" i="7" s="1"/>
  <c r="B110" i="7"/>
  <c r="C109" i="7"/>
  <c r="D109" i="7" s="1"/>
  <c r="D108" i="7"/>
  <c r="C108" i="7"/>
  <c r="B108" i="7"/>
  <c r="D107" i="7"/>
  <c r="C107" i="7"/>
  <c r="B107" i="7"/>
  <c r="C106" i="7"/>
  <c r="D106" i="7" s="1"/>
  <c r="B106" i="7"/>
  <c r="C105" i="7"/>
  <c r="D105" i="7" s="1"/>
  <c r="B105" i="7"/>
  <c r="D104" i="7"/>
  <c r="C104" i="7"/>
  <c r="B104" i="7"/>
  <c r="D103" i="7"/>
  <c r="C103" i="7"/>
  <c r="B103" i="7"/>
  <c r="C102" i="7"/>
  <c r="D102" i="7" s="1"/>
  <c r="B102" i="7"/>
  <c r="C101" i="7"/>
  <c r="D101" i="7" s="1"/>
  <c r="B101" i="7"/>
  <c r="D100" i="7"/>
  <c r="C100" i="7"/>
  <c r="B100" i="7"/>
  <c r="D99" i="7"/>
  <c r="C99" i="7"/>
  <c r="B99" i="7"/>
  <c r="C98" i="7"/>
  <c r="D98" i="7" s="1"/>
  <c r="B98" i="7"/>
  <c r="C97" i="7"/>
  <c r="D97" i="7" s="1"/>
  <c r="B97" i="7"/>
  <c r="D96" i="7"/>
  <c r="C96" i="7"/>
  <c r="B96" i="7"/>
  <c r="D95" i="7"/>
  <c r="C95" i="7"/>
  <c r="B95" i="7"/>
  <c r="C94" i="7"/>
  <c r="D94" i="7" s="1"/>
  <c r="B94" i="7"/>
  <c r="C93" i="7"/>
  <c r="D93" i="7" s="1"/>
  <c r="B93" i="7"/>
  <c r="D92" i="7"/>
  <c r="C92" i="7"/>
  <c r="B92" i="7"/>
  <c r="D91" i="7"/>
  <c r="C91" i="7"/>
  <c r="B91" i="7"/>
  <c r="C90" i="7"/>
  <c r="D90" i="7" s="1"/>
  <c r="B90" i="7"/>
  <c r="C89" i="7"/>
  <c r="D89" i="7" s="1"/>
  <c r="D88" i="7"/>
  <c r="C88" i="7"/>
  <c r="B88" i="7"/>
  <c r="D87" i="7"/>
  <c r="C87" i="7"/>
  <c r="B87" i="7"/>
  <c r="C86" i="7"/>
  <c r="D86" i="7" s="1"/>
  <c r="B86" i="7"/>
  <c r="C85" i="7"/>
  <c r="D85" i="7" s="1"/>
  <c r="D84" i="7"/>
  <c r="C84" i="7"/>
  <c r="B84" i="7"/>
  <c r="D83" i="7"/>
  <c r="C83" i="7"/>
  <c r="B83" i="7"/>
  <c r="C82" i="7"/>
  <c r="D82" i="7" s="1"/>
  <c r="B82" i="7"/>
  <c r="C81" i="7"/>
  <c r="D81" i="7" s="1"/>
  <c r="D80" i="7"/>
  <c r="C80" i="7"/>
  <c r="B80" i="7"/>
  <c r="D79" i="7"/>
  <c r="C79" i="7"/>
  <c r="B79" i="7"/>
  <c r="C78" i="7"/>
  <c r="D78" i="7" s="1"/>
  <c r="B78" i="7"/>
  <c r="C77" i="7"/>
  <c r="D77" i="7" s="1"/>
  <c r="B77" i="7"/>
  <c r="D76" i="7"/>
  <c r="C76" i="7"/>
  <c r="B76" i="7"/>
  <c r="D75" i="7"/>
  <c r="C75" i="7"/>
  <c r="B75" i="7"/>
  <c r="C74" i="7"/>
  <c r="D74" i="7" s="1"/>
  <c r="B74" i="7"/>
  <c r="C73" i="7"/>
  <c r="D73" i="7" s="1"/>
  <c r="B73" i="7"/>
  <c r="D72" i="7"/>
  <c r="C72" i="7"/>
  <c r="B72" i="7"/>
  <c r="D71" i="7"/>
  <c r="C71" i="7"/>
  <c r="B71" i="7"/>
  <c r="C70" i="7"/>
  <c r="D70" i="7" s="1"/>
  <c r="B70" i="7"/>
  <c r="C69" i="7"/>
  <c r="D69" i="7" s="1"/>
  <c r="D68" i="7"/>
  <c r="C68" i="7"/>
  <c r="B68" i="7"/>
  <c r="D67" i="7"/>
  <c r="C67" i="7"/>
  <c r="B67" i="7"/>
  <c r="C66" i="7"/>
  <c r="D66" i="7" s="1"/>
  <c r="B66" i="7"/>
  <c r="C65" i="7"/>
  <c r="D65" i="7" s="1"/>
  <c r="D64" i="7"/>
  <c r="C64" i="7"/>
  <c r="B64" i="7"/>
  <c r="D63" i="7"/>
  <c r="C63" i="7"/>
  <c r="B63" i="7"/>
  <c r="C62" i="7"/>
  <c r="D62" i="7" s="1"/>
  <c r="B62" i="7"/>
  <c r="C61" i="7"/>
  <c r="D61" i="7" s="1"/>
  <c r="D60" i="7"/>
  <c r="C60" i="7"/>
  <c r="B60" i="7"/>
  <c r="D59" i="7"/>
  <c r="C59" i="7"/>
  <c r="B59" i="7"/>
  <c r="C58" i="7"/>
  <c r="D58" i="7" s="1"/>
  <c r="B58" i="7"/>
  <c r="C57" i="7"/>
  <c r="D57" i="7" s="1"/>
  <c r="B57" i="7"/>
  <c r="D56" i="7"/>
  <c r="C56" i="7"/>
  <c r="B56" i="7"/>
  <c r="D55" i="7"/>
  <c r="C55" i="7"/>
  <c r="B55" i="7"/>
  <c r="C54" i="7"/>
  <c r="D54" i="7" s="1"/>
  <c r="B54" i="7"/>
  <c r="C53" i="7"/>
  <c r="D53" i="7" s="1"/>
  <c r="B53" i="7"/>
  <c r="D52" i="7"/>
  <c r="C52" i="7"/>
  <c r="B52" i="7"/>
  <c r="D51" i="7"/>
  <c r="C51" i="7"/>
  <c r="B51" i="7"/>
  <c r="C50" i="7"/>
  <c r="D50" i="7" s="1"/>
  <c r="B50" i="7"/>
  <c r="C49" i="7"/>
  <c r="D49" i="7" s="1"/>
  <c r="B49" i="7"/>
  <c r="D48" i="7"/>
  <c r="C48" i="7"/>
  <c r="B48" i="7"/>
  <c r="D47" i="7"/>
  <c r="C47" i="7"/>
  <c r="B47" i="7"/>
  <c r="C46" i="7"/>
  <c r="D46" i="7" s="1"/>
  <c r="B46" i="7"/>
  <c r="C45" i="7"/>
  <c r="D45" i="7" s="1"/>
  <c r="D44" i="7"/>
  <c r="C44" i="7"/>
  <c r="B44" i="7"/>
  <c r="D43" i="7"/>
  <c r="C43" i="7"/>
  <c r="B43" i="7"/>
  <c r="C42" i="7"/>
  <c r="D42" i="7" s="1"/>
  <c r="B42" i="7"/>
  <c r="C41" i="7"/>
  <c r="D41" i="7" s="1"/>
  <c r="D40" i="7"/>
  <c r="C40" i="7"/>
  <c r="B40" i="7"/>
  <c r="D39" i="7"/>
  <c r="C39" i="7"/>
  <c r="B39" i="7"/>
  <c r="C38" i="7"/>
  <c r="D38" i="7" s="1"/>
  <c r="B38" i="7"/>
  <c r="C37" i="7"/>
  <c r="D37" i="7" s="1"/>
  <c r="D36" i="7"/>
  <c r="C36" i="7"/>
  <c r="B36" i="7"/>
  <c r="D35" i="7"/>
  <c r="C35" i="7"/>
  <c r="B35" i="7"/>
  <c r="C34" i="7"/>
  <c r="D34" i="7" s="1"/>
  <c r="B34" i="7"/>
  <c r="C33" i="7"/>
  <c r="D33" i="7" s="1"/>
  <c r="B33" i="7"/>
  <c r="D32" i="7"/>
  <c r="C32" i="7"/>
  <c r="B32" i="7"/>
  <c r="D31" i="7"/>
  <c r="C31" i="7"/>
  <c r="B31" i="7"/>
  <c r="C30" i="7"/>
  <c r="D30" i="7" s="1"/>
  <c r="B30" i="7"/>
  <c r="C29" i="7"/>
  <c r="D29" i="7" s="1"/>
  <c r="B29" i="7"/>
  <c r="D28" i="7"/>
  <c r="C28" i="7"/>
  <c r="B28" i="7"/>
  <c r="D27" i="7"/>
  <c r="C27" i="7"/>
  <c r="B27" i="7"/>
  <c r="C26" i="7"/>
  <c r="D26" i="7" s="1"/>
  <c r="B26" i="7"/>
  <c r="C25" i="7"/>
  <c r="D25" i="7" s="1"/>
  <c r="B25" i="7"/>
  <c r="D24" i="7"/>
  <c r="C24" i="7"/>
  <c r="B24" i="7"/>
  <c r="D23" i="7"/>
  <c r="C23" i="7"/>
  <c r="B23" i="7"/>
  <c r="C22" i="7"/>
  <c r="D22" i="7" s="1"/>
  <c r="B22" i="7"/>
  <c r="C21" i="7"/>
  <c r="D21" i="7" s="1"/>
  <c r="D20" i="7"/>
  <c r="C20" i="7"/>
  <c r="B20" i="7"/>
  <c r="D19" i="7"/>
  <c r="C19" i="7"/>
  <c r="B19" i="7"/>
  <c r="C18" i="7"/>
  <c r="D18" i="7" s="1"/>
  <c r="B18" i="7"/>
  <c r="C17" i="7"/>
  <c r="D17" i="7" s="1"/>
  <c r="D16" i="7"/>
  <c r="C16" i="7"/>
  <c r="B16" i="7"/>
  <c r="D15" i="7"/>
  <c r="C15" i="7"/>
  <c r="B15" i="7"/>
  <c r="C14" i="7"/>
  <c r="D14" i="7" s="1"/>
  <c r="B14" i="7"/>
  <c r="C13" i="7"/>
  <c r="D13" i="7" s="1"/>
  <c r="D12" i="7"/>
  <c r="C12" i="7"/>
  <c r="B12" i="7"/>
  <c r="D11" i="7"/>
  <c r="C11" i="7"/>
  <c r="B11" i="7"/>
  <c r="C10" i="7"/>
  <c r="D10" i="7" s="1"/>
  <c r="B10" i="7"/>
  <c r="C9" i="7"/>
  <c r="D9" i="7" s="1"/>
  <c r="B9" i="7"/>
  <c r="D8" i="7"/>
  <c r="C8" i="7"/>
  <c r="B8" i="7"/>
  <c r="D7" i="7"/>
  <c r="C7" i="7"/>
  <c r="B7" i="7"/>
  <c r="C6" i="7"/>
  <c r="D6" i="7" s="1"/>
  <c r="B6" i="7"/>
  <c r="C5" i="7"/>
  <c r="D5" i="7" s="1"/>
  <c r="B5" i="7"/>
  <c r="Z15" i="9" l="1"/>
  <c r="BZ15" i="9"/>
  <c r="DB30" i="9"/>
  <c r="CP30" i="9"/>
  <c r="CD30" i="9"/>
  <c r="BR30" i="9"/>
  <c r="BF30" i="9"/>
  <c r="AT30" i="9"/>
  <c r="AH30" i="9"/>
  <c r="V30" i="9"/>
  <c r="J30" i="9"/>
  <c r="DI30" i="9"/>
  <c r="CX30" i="9"/>
  <c r="CK30" i="9"/>
  <c r="BX30" i="9"/>
  <c r="BK30" i="9"/>
  <c r="AX30" i="9"/>
  <c r="AK30" i="9"/>
  <c r="X30" i="9"/>
  <c r="K30" i="9"/>
  <c r="DC30" i="9"/>
  <c r="CO30" i="9"/>
  <c r="CB30" i="9"/>
  <c r="BO30" i="9"/>
  <c r="BB30" i="9"/>
  <c r="AO30" i="9"/>
  <c r="AB30" i="9"/>
  <c r="O30" i="9"/>
  <c r="DA30" i="9"/>
  <c r="CN30" i="9"/>
  <c r="CA30" i="9"/>
  <c r="BN30" i="9"/>
  <c r="BA30" i="9"/>
  <c r="AN30" i="9"/>
  <c r="AA30" i="9"/>
  <c r="N30" i="9"/>
  <c r="CZ30" i="9"/>
  <c r="CM30" i="9"/>
  <c r="BZ30" i="9"/>
  <c r="BM30" i="9"/>
  <c r="AZ30" i="9"/>
  <c r="AM30" i="9"/>
  <c r="Z30" i="9"/>
  <c r="M30" i="9"/>
  <c r="DE30" i="9"/>
  <c r="CI30" i="9"/>
  <c r="BQ30" i="9"/>
  <c r="AV30" i="9"/>
  <c r="AD30" i="9"/>
  <c r="H30" i="9"/>
  <c r="DD30" i="9"/>
  <c r="CH30" i="9"/>
  <c r="BP30" i="9"/>
  <c r="AU30" i="9"/>
  <c r="AC30" i="9"/>
  <c r="CY30" i="9"/>
  <c r="CG30" i="9"/>
  <c r="BL30" i="9"/>
  <c r="AS30" i="9"/>
  <c r="Y30" i="9"/>
  <c r="F30" i="9"/>
  <c r="CR30" i="9"/>
  <c r="BV30" i="9"/>
  <c r="BD30" i="9"/>
  <c r="AI30" i="9"/>
  <c r="Q30" i="9"/>
  <c r="DH30" i="9"/>
  <c r="CQ30" i="9"/>
  <c r="BU30" i="9"/>
  <c r="BC30" i="9"/>
  <c r="AG30" i="9"/>
  <c r="P30" i="9"/>
  <c r="DG30" i="9"/>
  <c r="CL30" i="9"/>
  <c r="BT30" i="9"/>
  <c r="AY30" i="9"/>
  <c r="AF30" i="9"/>
  <c r="L30" i="9"/>
  <c r="BY30" i="9"/>
  <c r="W12" i="9"/>
  <c r="AT12" i="9"/>
  <c r="BS12" i="9"/>
  <c r="C15" i="9"/>
  <c r="AB15" i="9"/>
  <c r="BD15" i="9"/>
  <c r="CF15" i="9"/>
  <c r="X16" i="9"/>
  <c r="AY16" i="9"/>
  <c r="DC16" i="9"/>
  <c r="O18" i="9"/>
  <c r="AM18" i="9"/>
  <c r="CM18" i="9"/>
  <c r="M20" i="9"/>
  <c r="AO20" i="9"/>
  <c r="BQ20" i="9"/>
  <c r="CR20" i="9"/>
  <c r="DB22" i="9"/>
  <c r="CP22" i="9"/>
  <c r="BF22" i="9"/>
  <c r="AT22" i="9"/>
  <c r="AH22" i="9"/>
  <c r="V22" i="9"/>
  <c r="J22" i="9"/>
  <c r="DF22" i="9"/>
  <c r="CT22" i="9"/>
  <c r="BJ22" i="9"/>
  <c r="AX22" i="9"/>
  <c r="BR22" i="9" s="1"/>
  <c r="AL22" i="9"/>
  <c r="Z22" i="9"/>
  <c r="N22" i="9"/>
  <c r="DE22" i="9"/>
  <c r="CS22" i="9"/>
  <c r="BU22" i="9"/>
  <c r="BI22" i="9"/>
  <c r="AW22" i="9"/>
  <c r="AK22" i="9"/>
  <c r="Y22" i="9"/>
  <c r="M22" i="9"/>
  <c r="CR22" i="9"/>
  <c r="AV22" i="9"/>
  <c r="X22" i="9"/>
  <c r="DD22" i="9"/>
  <c r="BH22" i="9"/>
  <c r="AJ22" i="9"/>
  <c r="L22" i="9"/>
  <c r="CW22" i="9"/>
  <c r="BM22" i="9"/>
  <c r="AS22" i="9"/>
  <c r="AC22" i="9"/>
  <c r="I22" i="9"/>
  <c r="BL22" i="9"/>
  <c r="H22" i="9"/>
  <c r="CV22" i="9"/>
  <c r="CB22" i="9"/>
  <c r="AR22" i="9"/>
  <c r="AB22" i="9"/>
  <c r="DA22" i="9"/>
  <c r="BQ22" i="9"/>
  <c r="BA22" i="9"/>
  <c r="AG22" i="9"/>
  <c r="Q22" i="9"/>
  <c r="CZ22" i="9"/>
  <c r="AZ22" i="9"/>
  <c r="AF22" i="9"/>
  <c r="P22" i="9"/>
  <c r="CY22" i="9"/>
  <c r="BO22" i="9"/>
  <c r="AY22" i="9"/>
  <c r="AE22" i="9"/>
  <c r="O22" i="9"/>
  <c r="AD22" i="9"/>
  <c r="BG22" i="9"/>
  <c r="CN22" i="9"/>
  <c r="N23" i="9"/>
  <c r="AM23" i="9"/>
  <c r="CZ23" i="9"/>
  <c r="O24" i="9"/>
  <c r="AW24" i="9"/>
  <c r="DI24" i="9"/>
  <c r="CY27" i="9"/>
  <c r="CM27" i="9"/>
  <c r="CA27" i="9"/>
  <c r="BO27" i="9"/>
  <c r="BC27" i="9"/>
  <c r="AQ27" i="9"/>
  <c r="AE27" i="9"/>
  <c r="S27" i="9"/>
  <c r="DD27" i="9"/>
  <c r="CQ27" i="9"/>
  <c r="CD27" i="9"/>
  <c r="BQ27" i="9"/>
  <c r="BD27" i="9"/>
  <c r="AP27" i="9"/>
  <c r="AC27" i="9"/>
  <c r="P27" i="9"/>
  <c r="C27" i="9"/>
  <c r="DH27" i="9"/>
  <c r="CU27" i="9"/>
  <c r="CH27" i="9"/>
  <c r="BU27" i="9"/>
  <c r="BH27" i="9"/>
  <c r="AU27" i="9"/>
  <c r="AH27" i="9"/>
  <c r="U27" i="9"/>
  <c r="H27" i="9"/>
  <c r="DG27" i="9"/>
  <c r="CT27" i="9"/>
  <c r="CG27" i="9"/>
  <c r="BT27" i="9"/>
  <c r="BG27" i="9"/>
  <c r="AT27" i="9"/>
  <c r="AG27" i="9"/>
  <c r="T27" i="9"/>
  <c r="CS27" i="9"/>
  <c r="BS27" i="9"/>
  <c r="AS27" i="9"/>
  <c r="AF27" i="9"/>
  <c r="F27" i="9"/>
  <c r="DF27" i="9"/>
  <c r="CF27" i="9"/>
  <c r="BF27" i="9"/>
  <c r="R27" i="9"/>
  <c r="DC27" i="9"/>
  <c r="CK27" i="9"/>
  <c r="BP27" i="9"/>
  <c r="AX27" i="9"/>
  <c r="AB27" i="9"/>
  <c r="K27" i="9"/>
  <c r="DB27" i="9"/>
  <c r="CJ27" i="9"/>
  <c r="BN27" i="9"/>
  <c r="AW27" i="9"/>
  <c r="AA27" i="9"/>
  <c r="J27" i="9"/>
  <c r="DA27" i="9"/>
  <c r="CI27" i="9"/>
  <c r="BM27" i="9"/>
  <c r="AV27" i="9"/>
  <c r="Z27" i="9"/>
  <c r="I27" i="9"/>
  <c r="CP27" i="9"/>
  <c r="BX27" i="9"/>
  <c r="BB27" i="9"/>
  <c r="AK27" i="9"/>
  <c r="O27" i="9"/>
  <c r="CO27" i="9"/>
  <c r="BW27" i="9"/>
  <c r="BA27" i="9"/>
  <c r="AJ27" i="9"/>
  <c r="N27" i="9"/>
  <c r="DI27" i="9"/>
  <c r="CN27" i="9"/>
  <c r="BV27" i="9"/>
  <c r="AZ27" i="9"/>
  <c r="AI27" i="9"/>
  <c r="M27" i="9"/>
  <c r="AN27" i="9"/>
  <c r="CB27" i="9"/>
  <c r="C30" i="9"/>
  <c r="AP30" i="9"/>
  <c r="CC30" i="9"/>
  <c r="AA32" i="9"/>
  <c r="DE33" i="9"/>
  <c r="CS33" i="9"/>
  <c r="BI33" i="9"/>
  <c r="AW33" i="9"/>
  <c r="AK33" i="9"/>
  <c r="Y33" i="9"/>
  <c r="M33" i="9"/>
  <c r="DB33" i="9"/>
  <c r="CO33" i="9"/>
  <c r="BB33" i="9"/>
  <c r="AO33" i="9"/>
  <c r="AB33" i="9"/>
  <c r="O33" i="9"/>
  <c r="DG33" i="9"/>
  <c r="CR33" i="9"/>
  <c r="BA33" i="9"/>
  <c r="AM33" i="9"/>
  <c r="X33" i="9"/>
  <c r="J33" i="9"/>
  <c r="CW33" i="9"/>
  <c r="BF33" i="9"/>
  <c r="AR33" i="9"/>
  <c r="AD33" i="9"/>
  <c r="P33" i="9"/>
  <c r="CV33" i="9"/>
  <c r="BE33" i="9"/>
  <c r="AQ33" i="9"/>
  <c r="AC33" i="9"/>
  <c r="N33" i="9"/>
  <c r="BD33" i="9"/>
  <c r="DI33" i="9"/>
  <c r="CU33" i="9"/>
  <c r="AP33" i="9"/>
  <c r="AA33" i="9"/>
  <c r="L33" i="9"/>
  <c r="DH33" i="9"/>
  <c r="CM33" i="9"/>
  <c r="AV33" i="9"/>
  <c r="Z33" i="9"/>
  <c r="F33" i="9"/>
  <c r="W33" i="9"/>
  <c r="DF33" i="9"/>
  <c r="CL33" i="9"/>
  <c r="AU33" i="9"/>
  <c r="E33" i="9"/>
  <c r="DD33" i="9"/>
  <c r="BM33" i="9"/>
  <c r="AT33" i="9"/>
  <c r="V33" i="9"/>
  <c r="C33" i="9"/>
  <c r="CT33" i="9"/>
  <c r="BC33" i="9"/>
  <c r="AH33" i="9"/>
  <c r="K33" i="9"/>
  <c r="CQ33" i="9"/>
  <c r="AZ33" i="9"/>
  <c r="AG33" i="9"/>
  <c r="I33" i="9"/>
  <c r="CP33" i="9"/>
  <c r="AY33" i="9"/>
  <c r="AF33" i="9"/>
  <c r="H33" i="9"/>
  <c r="AS33" i="9"/>
  <c r="CG35" i="9"/>
  <c r="L36" i="9"/>
  <c r="BQ36" i="9"/>
  <c r="C37" i="9"/>
  <c r="AV37" i="9"/>
  <c r="CY15" i="9"/>
  <c r="CM15" i="9"/>
  <c r="CA15" i="9"/>
  <c r="BO15" i="9"/>
  <c r="BC15" i="9"/>
  <c r="AQ15" i="9"/>
  <c r="AE15" i="9"/>
  <c r="S15" i="9"/>
  <c r="DC15" i="9"/>
  <c r="CQ15" i="9"/>
  <c r="CE15" i="9"/>
  <c r="BS15" i="9"/>
  <c r="BG15" i="9"/>
  <c r="AU15" i="9"/>
  <c r="AI15" i="9"/>
  <c r="W15" i="9"/>
  <c r="K15" i="9"/>
  <c r="DB15" i="9"/>
  <c r="CP15" i="9"/>
  <c r="CD15" i="9"/>
  <c r="BR15" i="9"/>
  <c r="BF15" i="9"/>
  <c r="AT15" i="9"/>
  <c r="AH15" i="9"/>
  <c r="V15" i="9"/>
  <c r="J15" i="9"/>
  <c r="DA15" i="9"/>
  <c r="CC15" i="9"/>
  <c r="BE15" i="9"/>
  <c r="AG15" i="9"/>
  <c r="I15" i="9"/>
  <c r="CO15" i="9"/>
  <c r="BQ15" i="9"/>
  <c r="AS15" i="9"/>
  <c r="U15" i="9"/>
  <c r="CU15" i="9"/>
  <c r="CB15" i="9"/>
  <c r="BK15" i="9"/>
  <c r="AR15" i="9"/>
  <c r="AA15" i="9"/>
  <c r="H15" i="9"/>
  <c r="CZ15" i="9"/>
  <c r="CI15" i="9"/>
  <c r="BP15" i="9"/>
  <c r="AY15" i="9"/>
  <c r="AF15" i="9"/>
  <c r="O15" i="9"/>
  <c r="CX15" i="9"/>
  <c r="CH15" i="9"/>
  <c r="BN15" i="9"/>
  <c r="AX15" i="9"/>
  <c r="AD15" i="9"/>
  <c r="N15" i="9"/>
  <c r="AC15" i="9"/>
  <c r="CW15" i="9"/>
  <c r="CG15" i="9"/>
  <c r="BM15" i="9"/>
  <c r="AW15" i="9"/>
  <c r="M15" i="9"/>
  <c r="CG37" i="9"/>
  <c r="BU37" i="9"/>
  <c r="BI37" i="9"/>
  <c r="AW37" i="9"/>
  <c r="AK37" i="9"/>
  <c r="Y37" i="9"/>
  <c r="M37" i="9"/>
  <c r="DB37" i="9"/>
  <c r="CO37" i="9"/>
  <c r="CB37" i="9"/>
  <c r="BO37" i="9"/>
  <c r="BB37" i="9"/>
  <c r="AO37" i="9"/>
  <c r="AB37" i="9"/>
  <c r="O37" i="9"/>
  <c r="DD37" i="9"/>
  <c r="CP37" i="9"/>
  <c r="CA37" i="9"/>
  <c r="BM37" i="9"/>
  <c r="AY37" i="9"/>
  <c r="AJ37" i="9"/>
  <c r="V37" i="9"/>
  <c r="H37" i="9"/>
  <c r="CU37" i="9"/>
  <c r="CF37" i="9"/>
  <c r="BR37" i="9"/>
  <c r="BD37" i="9"/>
  <c r="AP37" i="9"/>
  <c r="AA37" i="9"/>
  <c r="L37" i="9"/>
  <c r="DH37" i="9"/>
  <c r="CT37" i="9"/>
  <c r="CE37" i="9"/>
  <c r="BQ37" i="9"/>
  <c r="BC37" i="9"/>
  <c r="AN37" i="9"/>
  <c r="Z37" i="9"/>
  <c r="K37" i="9"/>
  <c r="DG37" i="9"/>
  <c r="CR37" i="9"/>
  <c r="CD37" i="9"/>
  <c r="BP37" i="9"/>
  <c r="BA37" i="9"/>
  <c r="AM37" i="9"/>
  <c r="X37" i="9"/>
  <c r="J37" i="9"/>
  <c r="BX37" i="9"/>
  <c r="BE37" i="9"/>
  <c r="AG37" i="9"/>
  <c r="N37" i="9"/>
  <c r="CQ37" i="9"/>
  <c r="BW37" i="9"/>
  <c r="AZ37" i="9"/>
  <c r="AF37" i="9"/>
  <c r="I37" i="9"/>
  <c r="BV37" i="9"/>
  <c r="AX37" i="9"/>
  <c r="AE37" i="9"/>
  <c r="BS37" i="9"/>
  <c r="AU37" i="9"/>
  <c r="AC37" i="9"/>
  <c r="E37" i="9"/>
  <c r="CZ37" i="9"/>
  <c r="CH37" i="9"/>
  <c r="BJ37" i="9"/>
  <c r="AQ37" i="9"/>
  <c r="S37" i="9"/>
  <c r="CC37" i="9"/>
  <c r="BH37" i="9"/>
  <c r="AL37" i="9"/>
  <c r="R37" i="9"/>
  <c r="CX37" i="9"/>
  <c r="BZ37" i="9"/>
  <c r="BG37" i="9"/>
  <c r="AI37" i="9"/>
  <c r="Q37" i="9"/>
  <c r="B21" i="7"/>
  <c r="B45" i="7"/>
  <c r="B69" i="7"/>
  <c r="DH12" i="9"/>
  <c r="CV12" i="9"/>
  <c r="CJ12" i="9"/>
  <c r="BX12" i="9"/>
  <c r="BL12" i="9"/>
  <c r="AZ12" i="9"/>
  <c r="AN12" i="9"/>
  <c r="AB12" i="9"/>
  <c r="P12" i="9"/>
  <c r="C12" i="9"/>
  <c r="CY12" i="9"/>
  <c r="CM12" i="9"/>
  <c r="CA12" i="9"/>
  <c r="BO12" i="9"/>
  <c r="BC12" i="9"/>
  <c r="AQ12" i="9"/>
  <c r="AE12" i="9"/>
  <c r="S12" i="9"/>
  <c r="BN12" i="9"/>
  <c r="AP12" i="9"/>
  <c r="AD12" i="9"/>
  <c r="R12" i="9"/>
  <c r="CX12" i="9"/>
  <c r="CL12" i="9"/>
  <c r="BZ12" i="9"/>
  <c r="BB12" i="9"/>
  <c r="F12" i="9"/>
  <c r="DD12" i="9"/>
  <c r="CO12" i="9"/>
  <c r="BW12" i="9"/>
  <c r="BH12" i="9"/>
  <c r="AS12" i="9"/>
  <c r="AA12" i="9"/>
  <c r="L12" i="9"/>
  <c r="DI12" i="9"/>
  <c r="CS12" i="9"/>
  <c r="CD12" i="9"/>
  <c r="BM12" i="9"/>
  <c r="AW12" i="9"/>
  <c r="AH12" i="9"/>
  <c r="Q12" i="9"/>
  <c r="DG12" i="9"/>
  <c r="CR12" i="9"/>
  <c r="CC12" i="9"/>
  <c r="BK12" i="9"/>
  <c r="AV12" i="9"/>
  <c r="AG12" i="9"/>
  <c r="O12" i="9"/>
  <c r="DF12" i="9"/>
  <c r="CQ12" i="9"/>
  <c r="CB12" i="9"/>
  <c r="BJ12" i="9"/>
  <c r="AU12" i="9"/>
  <c r="AF12" i="9"/>
  <c r="N12" i="9"/>
  <c r="X12" i="9"/>
  <c r="AX12" i="9"/>
  <c r="BT12" i="9"/>
  <c r="CT12" i="9"/>
  <c r="E15" i="9"/>
  <c r="AJ15" i="9"/>
  <c r="BH15" i="9"/>
  <c r="CJ15" i="9"/>
  <c r="DH15" i="9"/>
  <c r="AC16" i="9"/>
  <c r="BA16" i="9"/>
  <c r="CF16" i="9"/>
  <c r="DD16" i="9"/>
  <c r="P18" i="9"/>
  <c r="AO18" i="9"/>
  <c r="CO18" i="9"/>
  <c r="CB19" i="9"/>
  <c r="U20" i="9"/>
  <c r="AS20" i="9"/>
  <c r="CS20" i="9"/>
  <c r="O23" i="9"/>
  <c r="AP23" i="9"/>
  <c r="DD23" i="9"/>
  <c r="V24" i="9"/>
  <c r="AX24" i="9"/>
  <c r="CF24" i="9"/>
  <c r="E30" i="9"/>
  <c r="AQ30" i="9"/>
  <c r="CE30" i="9"/>
  <c r="AF32" i="9"/>
  <c r="Q36" i="9"/>
  <c r="BR36" i="9"/>
  <c r="F37" i="9"/>
  <c r="BF37" i="9"/>
  <c r="CL37" i="9" s="1"/>
  <c r="DC37" i="9"/>
  <c r="AL30" i="9"/>
  <c r="E12" i="9"/>
  <c r="Y12" i="9"/>
  <c r="AY12" i="9"/>
  <c r="BU12" i="9"/>
  <c r="CU12" i="9"/>
  <c r="F15" i="9"/>
  <c r="AK15" i="9"/>
  <c r="BI15" i="9"/>
  <c r="CK15" i="9"/>
  <c r="DI15" i="9"/>
  <c r="AG16" i="9"/>
  <c r="BE16" i="9"/>
  <c r="CG16" i="9"/>
  <c r="Q18" i="9"/>
  <c r="AS18" i="9"/>
  <c r="CW18" i="9"/>
  <c r="V20" i="9"/>
  <c r="AT20" i="9"/>
  <c r="CT20" i="9"/>
  <c r="E22" i="9"/>
  <c r="AM22" i="9"/>
  <c r="BN22" i="9"/>
  <c r="CQ22" i="9"/>
  <c r="P23" i="9"/>
  <c r="AX23" i="9"/>
  <c r="DE23" i="9"/>
  <c r="Z24" i="9"/>
  <c r="AY24" i="9"/>
  <c r="CG24" i="9"/>
  <c r="DB26" i="9"/>
  <c r="CP26" i="9"/>
  <c r="CD26" i="9"/>
  <c r="BR26" i="9"/>
  <c r="BF26" i="9"/>
  <c r="AT26" i="9"/>
  <c r="AH26" i="9"/>
  <c r="V26" i="9"/>
  <c r="J26" i="9"/>
  <c r="CX26" i="9"/>
  <c r="CK26" i="9"/>
  <c r="BX26" i="9"/>
  <c r="BK26" i="9"/>
  <c r="AX26" i="9"/>
  <c r="AK26" i="9"/>
  <c r="X26" i="9"/>
  <c r="K26" i="9"/>
  <c r="DC26" i="9"/>
  <c r="CO26" i="9"/>
  <c r="CB26" i="9"/>
  <c r="BO26" i="9"/>
  <c r="BB26" i="9"/>
  <c r="AO26" i="9"/>
  <c r="AB26" i="9"/>
  <c r="O26" i="9"/>
  <c r="DA26" i="9"/>
  <c r="CN26" i="9"/>
  <c r="CA26" i="9"/>
  <c r="BN26" i="9"/>
  <c r="BA26" i="9"/>
  <c r="AN26" i="9"/>
  <c r="AA26" i="9"/>
  <c r="N26" i="9"/>
  <c r="CM26" i="9"/>
  <c r="BM26" i="9"/>
  <c r="AM26" i="9"/>
  <c r="M26" i="9"/>
  <c r="CZ26" i="9"/>
  <c r="BZ26" i="9"/>
  <c r="AZ26" i="9"/>
  <c r="Z26" i="9"/>
  <c r="CY26" i="9"/>
  <c r="CG26" i="9"/>
  <c r="BL26" i="9"/>
  <c r="AS26" i="9"/>
  <c r="Y26" i="9"/>
  <c r="F26" i="9"/>
  <c r="CW26" i="9"/>
  <c r="CF26" i="9"/>
  <c r="BJ26" i="9"/>
  <c r="AR26" i="9"/>
  <c r="W26" i="9"/>
  <c r="E26" i="9"/>
  <c r="CV26" i="9"/>
  <c r="CE26" i="9"/>
  <c r="BI26" i="9"/>
  <c r="AQ26" i="9"/>
  <c r="U26" i="9"/>
  <c r="C26" i="9"/>
  <c r="DG26" i="9"/>
  <c r="CL26" i="9"/>
  <c r="BT26" i="9"/>
  <c r="AY26" i="9"/>
  <c r="AF26" i="9"/>
  <c r="L26" i="9"/>
  <c r="DF26" i="9"/>
  <c r="CJ26" i="9"/>
  <c r="BS26" i="9"/>
  <c r="AW26" i="9"/>
  <c r="AE26" i="9"/>
  <c r="I26" i="9"/>
  <c r="DE26" i="9"/>
  <c r="CI26" i="9"/>
  <c r="BQ26" i="9"/>
  <c r="AV26" i="9"/>
  <c r="AD26" i="9"/>
  <c r="H26" i="9"/>
  <c r="AP26" i="9"/>
  <c r="CC26" i="9"/>
  <c r="AR27" i="9"/>
  <c r="CE27" i="9"/>
  <c r="AR30" i="9"/>
  <c r="CF30" i="9"/>
  <c r="AP32" i="9"/>
  <c r="Q33" i="9"/>
  <c r="BG33" i="9"/>
  <c r="CX33" i="9"/>
  <c r="Z36" i="9"/>
  <c r="BS36" i="9"/>
  <c r="BK37" i="9"/>
  <c r="DF37" i="9"/>
  <c r="B17" i="7"/>
  <c r="B41" i="7"/>
  <c r="B65" i="7"/>
  <c r="B89" i="7"/>
  <c r="B113" i="7"/>
  <c r="B137" i="7"/>
  <c r="B161" i="7"/>
  <c r="BU169" i="9"/>
  <c r="BR176" i="9"/>
  <c r="CE169" i="9"/>
  <c r="BY166" i="9"/>
  <c r="BV166" i="9"/>
  <c r="BW108" i="9"/>
  <c r="BV108" i="9"/>
  <c r="BU108" i="9"/>
  <c r="CI108" i="9"/>
  <c r="BR108" i="9"/>
  <c r="BS108" i="9"/>
  <c r="BQ156" i="9"/>
  <c r="CD156" i="9"/>
  <c r="BN156" i="9"/>
  <c r="BZ151" i="9"/>
  <c r="CC147" i="9"/>
  <c r="CI156" i="9"/>
  <c r="BY147" i="9"/>
  <c r="CG156" i="9"/>
  <c r="BW156" i="9"/>
  <c r="BS156" i="9"/>
  <c r="CG147" i="9"/>
  <c r="BP147" i="9"/>
  <c r="BR156" i="9"/>
  <c r="CE151" i="9"/>
  <c r="CK86" i="9"/>
  <c r="CI86" i="9"/>
  <c r="BR106" i="9"/>
  <c r="BV86" i="9"/>
  <c r="BP86" i="9"/>
  <c r="AL15" i="9"/>
  <c r="BJ15" i="9"/>
  <c r="CL15" i="9"/>
  <c r="DH16" i="9"/>
  <c r="CV16" i="9"/>
  <c r="CJ16" i="9"/>
  <c r="BX16" i="9"/>
  <c r="BL16" i="9"/>
  <c r="AZ16" i="9"/>
  <c r="AN16" i="9"/>
  <c r="AB16" i="9"/>
  <c r="P16" i="9"/>
  <c r="C16" i="9"/>
  <c r="BV16" i="9" s="1"/>
  <c r="CZ16" i="9"/>
  <c r="CN16" i="9"/>
  <c r="CB16" i="9"/>
  <c r="BP16" i="9"/>
  <c r="BD16" i="9"/>
  <c r="AR16" i="9"/>
  <c r="AF16" i="9"/>
  <c r="T16" i="9"/>
  <c r="H16" i="9"/>
  <c r="CY16" i="9"/>
  <c r="CM16" i="9"/>
  <c r="CA16" i="9"/>
  <c r="BO16" i="9"/>
  <c r="BC16" i="9"/>
  <c r="AQ16" i="9"/>
  <c r="AE16" i="9"/>
  <c r="S16" i="9"/>
  <c r="BB16" i="9"/>
  <c r="AP16" i="9"/>
  <c r="R16" i="9"/>
  <c r="CX16" i="9"/>
  <c r="CL16" i="9"/>
  <c r="BZ16" i="9"/>
  <c r="BN16" i="9"/>
  <c r="AD16" i="9"/>
  <c r="F16" i="9"/>
  <c r="DG16" i="9"/>
  <c r="CQ16" i="9"/>
  <c r="BW16" i="9"/>
  <c r="BG16" i="9"/>
  <c r="AM16" i="9"/>
  <c r="W16" i="9"/>
  <c r="E16" i="9"/>
  <c r="CU16" i="9"/>
  <c r="CE16" i="9"/>
  <c r="BK16" i="9"/>
  <c r="AU16" i="9"/>
  <c r="AA16" i="9"/>
  <c r="K16" i="9"/>
  <c r="CT16" i="9"/>
  <c r="CD16" i="9"/>
  <c r="BJ16" i="9"/>
  <c r="AT16" i="9"/>
  <c r="Z16" i="9"/>
  <c r="J16" i="9"/>
  <c r="CS16" i="9"/>
  <c r="CC16" i="9"/>
  <c r="BI16" i="9"/>
  <c r="AS16" i="9"/>
  <c r="Y16" i="9"/>
  <c r="I16" i="9"/>
  <c r="AH16" i="9"/>
  <c r="BF16" i="9"/>
  <c r="CH16" i="9"/>
  <c r="DF16" i="9"/>
  <c r="R18" i="9"/>
  <c r="AU18" i="9"/>
  <c r="CX18" i="9"/>
  <c r="W20" i="9"/>
  <c r="AU20" i="9"/>
  <c r="CU20" i="9"/>
  <c r="AA24" i="9"/>
  <c r="BF24" i="9"/>
  <c r="CH24" i="9"/>
  <c r="I30" i="9"/>
  <c r="AW30" i="9"/>
  <c r="CJ30" i="9"/>
  <c r="AQ32" i="9"/>
  <c r="AA36" i="9"/>
  <c r="BV36" i="9"/>
  <c r="P37" i="9"/>
  <c r="BL37" i="9"/>
  <c r="L15" i="9"/>
  <c r="AM15" i="9"/>
  <c r="BL15" i="9"/>
  <c r="CN15" i="9"/>
  <c r="CI16" i="9"/>
  <c r="S18" i="9"/>
  <c r="AY18" i="9"/>
  <c r="CH19" i="9"/>
  <c r="X20" i="9"/>
  <c r="AW20" i="9"/>
  <c r="AC24" i="9"/>
  <c r="BJ24" i="9"/>
  <c r="R30" i="9"/>
  <c r="BE30" i="9"/>
  <c r="CS30" i="9"/>
  <c r="DH32" i="9"/>
  <c r="CV32" i="9"/>
  <c r="BX32" i="9"/>
  <c r="BL32" i="9"/>
  <c r="AZ32" i="9"/>
  <c r="AN32" i="9"/>
  <c r="AB32" i="9"/>
  <c r="P32" i="9"/>
  <c r="C32" i="9"/>
  <c r="DI32" i="9"/>
  <c r="CU32" i="9"/>
  <c r="BH32" i="9"/>
  <c r="AU32" i="9"/>
  <c r="AH32" i="9"/>
  <c r="U32" i="9"/>
  <c r="H32" i="9"/>
  <c r="DC32" i="9"/>
  <c r="CO32" i="9"/>
  <c r="BM32" i="9"/>
  <c r="AX32" i="9"/>
  <c r="CH32" i="9" s="1"/>
  <c r="AJ32" i="9"/>
  <c r="V32" i="9"/>
  <c r="DG32" i="9"/>
  <c r="CS32" i="9"/>
  <c r="BC32" i="9"/>
  <c r="AO32" i="9"/>
  <c r="Z32" i="9"/>
  <c r="L32" i="9"/>
  <c r="DF32" i="9"/>
  <c r="CR32" i="9"/>
  <c r="BB32" i="9"/>
  <c r="AM32" i="9"/>
  <c r="Y32" i="9"/>
  <c r="K32" i="9"/>
  <c r="DE32" i="9"/>
  <c r="CQ32" i="9"/>
  <c r="CC32" i="9"/>
  <c r="BA32" i="9"/>
  <c r="AL32" i="9"/>
  <c r="X32" i="9"/>
  <c r="J32" i="9"/>
  <c r="CP32" i="9"/>
  <c r="BV32" i="9"/>
  <c r="AY32" i="9"/>
  <c r="AE32" i="9"/>
  <c r="I32" i="9"/>
  <c r="BT32" i="9"/>
  <c r="AD32" i="9"/>
  <c r="CN32" i="9"/>
  <c r="AW32" i="9"/>
  <c r="CM32" i="9"/>
  <c r="AV32" i="9"/>
  <c r="AC32" i="9"/>
  <c r="F32" i="9"/>
  <c r="CY32" i="9"/>
  <c r="BG32" i="9"/>
  <c r="AK32" i="9"/>
  <c r="Q32" i="9"/>
  <c r="CX32" i="9"/>
  <c r="BF32" i="9"/>
  <c r="AI32" i="9"/>
  <c r="O32" i="9"/>
  <c r="CW32" i="9"/>
  <c r="BY32" i="9"/>
  <c r="BE32" i="9"/>
  <c r="AG32" i="9"/>
  <c r="N32" i="9"/>
  <c r="AR32" i="9"/>
  <c r="CI32" i="9"/>
  <c r="T37" i="9"/>
  <c r="BN37" i="9"/>
  <c r="BB15" i="9"/>
  <c r="B13" i="7"/>
  <c r="B37" i="7"/>
  <c r="B61" i="7"/>
  <c r="B85" i="7"/>
  <c r="B109" i="7"/>
  <c r="B133" i="7"/>
  <c r="B157" i="7"/>
  <c r="P15" i="9"/>
  <c r="AN15" i="9"/>
  <c r="BT15" i="9"/>
  <c r="CR15" i="9"/>
  <c r="CK16" i="9"/>
  <c r="DH24" i="9"/>
  <c r="CV24" i="9"/>
  <c r="CX24" i="9"/>
  <c r="CK24" i="9"/>
  <c r="BX24" i="9"/>
  <c r="BL24" i="9"/>
  <c r="AZ24" i="9"/>
  <c r="AN24" i="9"/>
  <c r="AB24" i="9"/>
  <c r="P24" i="9"/>
  <c r="C24" i="9"/>
  <c r="CJ24" i="9" s="1"/>
  <c r="DB24" i="9"/>
  <c r="CO24" i="9"/>
  <c r="BP24" i="9"/>
  <c r="BD24" i="9"/>
  <c r="AR24" i="9"/>
  <c r="AF24" i="9"/>
  <c r="T24" i="9"/>
  <c r="H24" i="9"/>
  <c r="DA24" i="9"/>
  <c r="CN24" i="9"/>
  <c r="CA24" i="9"/>
  <c r="BC24" i="9"/>
  <c r="AQ24" i="9"/>
  <c r="AE24" i="9"/>
  <c r="S24" i="9"/>
  <c r="CM24" i="9"/>
  <c r="BN24" i="9"/>
  <c r="BB24" i="9"/>
  <c r="AD24" i="9"/>
  <c r="CZ24" i="9"/>
  <c r="AP24" i="9"/>
  <c r="R24" i="9"/>
  <c r="F24" i="9"/>
  <c r="DG24" i="9"/>
  <c r="CP24" i="9"/>
  <c r="BU24" i="9"/>
  <c r="BE24" i="9"/>
  <c r="AK24" i="9"/>
  <c r="U24" i="9"/>
  <c r="DF24" i="9"/>
  <c r="CL24" i="9"/>
  <c r="BA24" i="9"/>
  <c r="AJ24" i="9"/>
  <c r="Q24" i="9"/>
  <c r="CT24" i="9"/>
  <c r="CC24" i="9"/>
  <c r="BI24" i="9"/>
  <c r="AS24" i="9"/>
  <c r="Y24" i="9"/>
  <c r="I24" i="9"/>
  <c r="CS24" i="9"/>
  <c r="BY24" i="9"/>
  <c r="BH24" i="9"/>
  <c r="AO24" i="9"/>
  <c r="X24" i="9"/>
  <c r="CR24" i="9"/>
  <c r="BG24" i="9"/>
  <c r="AM24" i="9"/>
  <c r="W24" i="9"/>
  <c r="E24" i="9"/>
  <c r="AG24" i="9"/>
  <c r="BK24" i="9"/>
  <c r="CQ24" i="9"/>
  <c r="S30" i="9"/>
  <c r="BG30" i="9"/>
  <c r="CT30" i="9"/>
  <c r="U37" i="9"/>
  <c r="BT37" i="9"/>
  <c r="Q15" i="9"/>
  <c r="AO15" i="9"/>
  <c r="BU15" i="9"/>
  <c r="CS15" i="9"/>
  <c r="BQ16" i="9"/>
  <c r="DH20" i="9"/>
  <c r="CV20" i="9"/>
  <c r="BX20" i="9"/>
  <c r="BL20" i="9"/>
  <c r="AZ20" i="9"/>
  <c r="AN20" i="9"/>
  <c r="AB20" i="9"/>
  <c r="P20" i="9"/>
  <c r="C20" i="9"/>
  <c r="CZ20" i="9"/>
  <c r="CN20" i="9"/>
  <c r="BD20" i="9"/>
  <c r="AR20" i="9"/>
  <c r="AF20" i="9"/>
  <c r="T20" i="9"/>
  <c r="H20" i="9"/>
  <c r="CY20" i="9"/>
  <c r="CM20" i="9"/>
  <c r="BC20" i="9"/>
  <c r="AQ20" i="9"/>
  <c r="AE20" i="9"/>
  <c r="S20" i="9"/>
  <c r="CX20" i="9"/>
  <c r="CL20" i="9"/>
  <c r="BB20" i="9"/>
  <c r="AP20" i="9"/>
  <c r="R20" i="9"/>
  <c r="AD20" i="9"/>
  <c r="F20" i="9"/>
  <c r="CW20" i="9"/>
  <c r="BM20" i="9"/>
  <c r="AV20" i="9"/>
  <c r="AC20" i="9"/>
  <c r="L20" i="9"/>
  <c r="DD20" i="9"/>
  <c r="CK20" i="9"/>
  <c r="BT20" i="9"/>
  <c r="BA20" i="9"/>
  <c r="AJ20" i="9"/>
  <c r="Q20" i="9"/>
  <c r="DC20" i="9"/>
  <c r="AY20" i="9"/>
  <c r="AI20" i="9"/>
  <c r="O20" i="9"/>
  <c r="DB20" i="9"/>
  <c r="CH20" i="9"/>
  <c r="BR20" i="9"/>
  <c r="AX20" i="9"/>
  <c r="CC20" i="9" s="1"/>
  <c r="AH20" i="9"/>
  <c r="N20" i="9"/>
  <c r="Z20" i="9"/>
  <c r="BF20" i="9"/>
  <c r="DF20" i="9"/>
  <c r="AH24" i="9"/>
  <c r="BM24" i="9"/>
  <c r="CU24" i="9"/>
  <c r="T30" i="9"/>
  <c r="BH30" i="9"/>
  <c r="CU30" i="9"/>
  <c r="W37" i="9"/>
  <c r="BY37" i="9"/>
  <c r="B81" i="7"/>
  <c r="R15" i="9"/>
  <c r="AP15" i="9"/>
  <c r="BV15" i="9"/>
  <c r="CT15" i="9"/>
  <c r="BR16" i="9"/>
  <c r="DB18" i="9"/>
  <c r="CP18" i="9"/>
  <c r="BF18" i="9"/>
  <c r="AT18" i="9"/>
  <c r="AH18" i="9"/>
  <c r="V18" i="9"/>
  <c r="J18" i="9"/>
  <c r="DF18" i="9"/>
  <c r="CT18" i="9"/>
  <c r="CH18" i="9"/>
  <c r="BV18" i="9"/>
  <c r="BJ18" i="9"/>
  <c r="AX18" i="9"/>
  <c r="BO18" i="9" s="1"/>
  <c r="AL18" i="9"/>
  <c r="Z18" i="9"/>
  <c r="N18" i="9"/>
  <c r="DE18" i="9"/>
  <c r="CS18" i="9"/>
  <c r="CG18" i="9"/>
  <c r="BI18" i="9"/>
  <c r="AW18" i="9"/>
  <c r="AK18" i="9"/>
  <c r="Y18" i="9"/>
  <c r="M18" i="9"/>
  <c r="CR18" i="9"/>
  <c r="AV18" i="9"/>
  <c r="X18" i="9"/>
  <c r="L18" i="9"/>
  <c r="DD18" i="9"/>
  <c r="BH18" i="9"/>
  <c r="AJ18" i="9"/>
  <c r="DH18" i="9"/>
  <c r="CN18" i="9"/>
  <c r="BX18" i="9"/>
  <c r="BD18" i="9"/>
  <c r="AN18" i="9"/>
  <c r="T18" i="9"/>
  <c r="C18" i="9"/>
  <c r="CV18" i="9"/>
  <c r="CB18" i="9"/>
  <c r="BL18" i="9"/>
  <c r="AR18" i="9"/>
  <c r="AB18" i="9"/>
  <c r="H18" i="9"/>
  <c r="CU18" i="9"/>
  <c r="CA18" i="9"/>
  <c r="BK18" i="9"/>
  <c r="AQ18" i="9"/>
  <c r="AA18" i="9"/>
  <c r="CQ18" i="9"/>
  <c r="BG18" i="9"/>
  <c r="AP18" i="9"/>
  <c r="W18" i="9"/>
  <c r="F18" i="9"/>
  <c r="AD18" i="9"/>
  <c r="BB18" i="9"/>
  <c r="CE18" i="9"/>
  <c r="DC18" i="9"/>
  <c r="E20" i="9"/>
  <c r="AA20" i="9"/>
  <c r="BG20" i="9"/>
  <c r="DG20" i="9"/>
  <c r="J24" i="9"/>
  <c r="AI24" i="9"/>
  <c r="BQ24" i="9"/>
  <c r="CW24" i="9"/>
  <c r="U30" i="9"/>
  <c r="BI30" i="9"/>
  <c r="CV30" i="9"/>
  <c r="BY35" i="9"/>
  <c r="BX35" i="9"/>
  <c r="CK35" i="9"/>
  <c r="BW35" i="9"/>
  <c r="BT35" i="9"/>
  <c r="BS35" i="9"/>
  <c r="BR35" i="9"/>
  <c r="CH35" i="9"/>
  <c r="BP35" i="9"/>
  <c r="CD35" i="9"/>
  <c r="CC35" i="9"/>
  <c r="BZ35" i="9"/>
  <c r="AD37" i="9"/>
  <c r="CI37" i="9"/>
  <c r="T15" i="9"/>
  <c r="AV15" i="9"/>
  <c r="BW15" i="9"/>
  <c r="CV15" i="9"/>
  <c r="O16" i="9"/>
  <c r="AO16" i="9"/>
  <c r="BS16" i="9"/>
  <c r="CR16" i="9"/>
  <c r="E18" i="9"/>
  <c r="AE18" i="9"/>
  <c r="BC18" i="9"/>
  <c r="DG18" i="9"/>
  <c r="AG20" i="9"/>
  <c r="BH20" i="9"/>
  <c r="CG20" i="9"/>
  <c r="DI20" i="9"/>
  <c r="AF23" i="9"/>
  <c r="BJ23" i="9"/>
  <c r="K24" i="9"/>
  <c r="AL24" i="9"/>
  <c r="BR24" i="9"/>
  <c r="CY24" i="9"/>
  <c r="W30" i="9"/>
  <c r="BJ30" i="9"/>
  <c r="CW30" i="9"/>
  <c r="R32" i="9"/>
  <c r="BI32" i="9"/>
  <c r="CZ32" i="9"/>
  <c r="BQ35" i="9"/>
  <c r="AT36" i="9"/>
  <c r="AH37" i="9"/>
  <c r="CJ37" i="9"/>
  <c r="X15" i="9"/>
  <c r="AZ15" i="9"/>
  <c r="BX15" i="9"/>
  <c r="DD15" i="9"/>
  <c r="Q16" i="9"/>
  <c r="AV16" i="9"/>
  <c r="BT16" i="9"/>
  <c r="CW16" i="9"/>
  <c r="AF18" i="9"/>
  <c r="BE18" i="9"/>
  <c r="CJ18" i="9"/>
  <c r="DI18" i="9"/>
  <c r="I20" i="9"/>
  <c r="AK20" i="9"/>
  <c r="BI20" i="9"/>
  <c r="CO20" i="9"/>
  <c r="CY23" i="9"/>
  <c r="CM23" i="9"/>
  <c r="CA23" i="9"/>
  <c r="BC23" i="9"/>
  <c r="AQ23" i="9"/>
  <c r="AE23" i="9"/>
  <c r="S23" i="9"/>
  <c r="DC23" i="9"/>
  <c r="CQ23" i="9"/>
  <c r="CE23" i="9"/>
  <c r="BS23" i="9"/>
  <c r="BG23" i="9"/>
  <c r="AU23" i="9"/>
  <c r="AI23" i="9"/>
  <c r="W23" i="9"/>
  <c r="K23" i="9"/>
  <c r="DB23" i="9"/>
  <c r="CP23" i="9"/>
  <c r="CD23" i="9"/>
  <c r="BR23" i="9"/>
  <c r="BF23" i="9"/>
  <c r="AT23" i="9"/>
  <c r="AH23" i="9"/>
  <c r="V23" i="9"/>
  <c r="J23" i="9"/>
  <c r="DA23" i="9"/>
  <c r="CO23" i="9"/>
  <c r="BQ23" i="9"/>
  <c r="AS23" i="9"/>
  <c r="U23" i="9"/>
  <c r="I23" i="9"/>
  <c r="CC23" i="9"/>
  <c r="BE23" i="9"/>
  <c r="AG23" i="9"/>
  <c r="DI23" i="9"/>
  <c r="CS23" i="9"/>
  <c r="BY23" i="9"/>
  <c r="BI23" i="9"/>
  <c r="AO23" i="9"/>
  <c r="Y23" i="9"/>
  <c r="F23" i="9"/>
  <c r="X23" i="9"/>
  <c r="DH23" i="9"/>
  <c r="CR23" i="9"/>
  <c r="BX23" i="9"/>
  <c r="BH23" i="9"/>
  <c r="AN23" i="9"/>
  <c r="E23" i="9"/>
  <c r="CW23" i="9"/>
  <c r="CG23" i="9"/>
  <c r="BM23" i="9"/>
  <c r="AW23" i="9"/>
  <c r="AC23" i="9"/>
  <c r="M23" i="9"/>
  <c r="CV23" i="9"/>
  <c r="CF23" i="9"/>
  <c r="BL23" i="9"/>
  <c r="AV23" i="9"/>
  <c r="AB23" i="9"/>
  <c r="L23" i="9"/>
  <c r="CU23" i="9"/>
  <c r="CB23" i="9"/>
  <c r="BK23" i="9"/>
  <c r="AR23" i="9"/>
  <c r="AA23" i="9"/>
  <c r="H23" i="9"/>
  <c r="AJ23" i="9"/>
  <c r="BN23" i="9"/>
  <c r="CN23" i="9"/>
  <c r="L24" i="9"/>
  <c r="AT24" i="9"/>
  <c r="BS24" i="9"/>
  <c r="DC24" i="9"/>
  <c r="AE30" i="9"/>
  <c r="BS30" i="9"/>
  <c r="DF30" i="9"/>
  <c r="S32" i="9"/>
  <c r="BJ32" i="9"/>
  <c r="DA32" i="9"/>
  <c r="BV35" i="9"/>
  <c r="DH36" i="9"/>
  <c r="CV36" i="9"/>
  <c r="CJ36" i="9"/>
  <c r="BX36" i="9"/>
  <c r="BL36" i="9"/>
  <c r="AZ36" i="9"/>
  <c r="AN36" i="9"/>
  <c r="AB36" i="9"/>
  <c r="P36" i="9"/>
  <c r="C36" i="9"/>
  <c r="DI36" i="9"/>
  <c r="CU36" i="9"/>
  <c r="CH36" i="9"/>
  <c r="BU36" i="9"/>
  <c r="BH36" i="9"/>
  <c r="AU36" i="9"/>
  <c r="AH36" i="9"/>
  <c r="U36" i="9"/>
  <c r="H36" i="9"/>
  <c r="DA36" i="9"/>
  <c r="CM36" i="9"/>
  <c r="BY36" i="9"/>
  <c r="BJ36" i="9"/>
  <c r="AV36" i="9"/>
  <c r="AG36" i="9"/>
  <c r="S36" i="9"/>
  <c r="E36" i="9"/>
  <c r="DE36" i="9"/>
  <c r="CC36" i="9"/>
  <c r="BO36" i="9"/>
  <c r="BA36" i="9"/>
  <c r="AL36" i="9"/>
  <c r="X36" i="9"/>
  <c r="J36" i="9"/>
  <c r="DD36" i="9"/>
  <c r="CP36" i="9"/>
  <c r="CB36" i="9"/>
  <c r="BN36" i="9"/>
  <c r="AY36" i="9"/>
  <c r="AK36" i="9"/>
  <c r="W36" i="9"/>
  <c r="I36" i="9"/>
  <c r="DC36" i="9"/>
  <c r="CO36" i="9"/>
  <c r="CA36" i="9"/>
  <c r="BM36" i="9"/>
  <c r="AX36" i="9"/>
  <c r="AJ36" i="9"/>
  <c r="V36" i="9"/>
  <c r="CD36" i="9"/>
  <c r="BF36" i="9"/>
  <c r="AM36" i="9"/>
  <c r="O36" i="9"/>
  <c r="CW36" i="9"/>
  <c r="BZ36" i="9"/>
  <c r="BE36" i="9"/>
  <c r="AI36" i="9"/>
  <c r="N36" i="9"/>
  <c r="CT36" i="9"/>
  <c r="BW36" i="9"/>
  <c r="BD36" i="9"/>
  <c r="AF36" i="9"/>
  <c r="M36" i="9"/>
  <c r="CR36" i="9"/>
  <c r="BT36" i="9"/>
  <c r="BB36" i="9"/>
  <c r="AD36" i="9"/>
  <c r="K36" i="9"/>
  <c r="DF36" i="9"/>
  <c r="CI36" i="9"/>
  <c r="BP36" i="9"/>
  <c r="AR36" i="9"/>
  <c r="Y36" i="9"/>
  <c r="DB36" i="9"/>
  <c r="CG36" i="9"/>
  <c r="BK36" i="9"/>
  <c r="AQ36" i="9"/>
  <c r="T36" i="9"/>
  <c r="CZ36" i="9"/>
  <c r="CF36" i="9"/>
  <c r="BI36" i="9"/>
  <c r="AP36" i="9"/>
  <c r="R36" i="9"/>
  <c r="AW36" i="9"/>
  <c r="AR37" i="9"/>
  <c r="CK37" i="9"/>
  <c r="U12" i="9"/>
  <c r="AO12" i="9"/>
  <c r="BQ12" i="9"/>
  <c r="CK12" i="9"/>
  <c r="Y15" i="9"/>
  <c r="BA15" i="9"/>
  <c r="BY15" i="9"/>
  <c r="DE15" i="9"/>
  <c r="U16" i="9"/>
  <c r="AW16" i="9"/>
  <c r="BU16" i="9"/>
  <c r="DA16" i="9"/>
  <c r="I18" i="9"/>
  <c r="AG18" i="9"/>
  <c r="BM18" i="9"/>
  <c r="CK18" i="9"/>
  <c r="J20" i="9"/>
  <c r="AL20" i="9"/>
  <c r="BJ20" i="9"/>
  <c r="CP20" i="9"/>
  <c r="W22" i="9"/>
  <c r="BD22" i="9"/>
  <c r="CL22" i="9"/>
  <c r="C23" i="9"/>
  <c r="BO23" i="9" s="1"/>
  <c r="AK23" i="9"/>
  <c r="BP23" i="9"/>
  <c r="CT23" i="9"/>
  <c r="M24" i="9"/>
  <c r="AU24" i="9"/>
  <c r="BV24" i="9"/>
  <c r="DD24" i="9"/>
  <c r="AL27" i="9"/>
  <c r="BY27" i="9"/>
  <c r="AJ30" i="9"/>
  <c r="BW30" i="9"/>
  <c r="T32" i="9"/>
  <c r="BK32" i="9"/>
  <c r="DB32" i="9"/>
  <c r="AL33" i="9"/>
  <c r="CE35" i="9"/>
  <c r="F36" i="9"/>
  <c r="BC36" i="9"/>
  <c r="DG36" i="9"/>
  <c r="AS37" i="9"/>
  <c r="CM37" i="9"/>
  <c r="AD11" i="9"/>
  <c r="Q14" i="9"/>
  <c r="BA14" i="9"/>
  <c r="CK14" i="9"/>
  <c r="DA14" i="9"/>
  <c r="CE17" i="9"/>
  <c r="CY19" i="9"/>
  <c r="CM19" i="9"/>
  <c r="BC19" i="9"/>
  <c r="AQ19" i="9"/>
  <c r="AE19" i="9"/>
  <c r="S19" i="9"/>
  <c r="DC19" i="9"/>
  <c r="CQ19" i="9"/>
  <c r="BS19" i="9"/>
  <c r="BG19" i="9"/>
  <c r="AU19" i="9"/>
  <c r="AI19" i="9"/>
  <c r="W19" i="9"/>
  <c r="K19" i="9"/>
  <c r="DB19" i="9"/>
  <c r="CP19" i="9"/>
  <c r="BF19" i="9"/>
  <c r="AT19" i="9"/>
  <c r="AH19" i="9"/>
  <c r="V19" i="9"/>
  <c r="J19" i="9"/>
  <c r="DA19" i="9"/>
  <c r="BE19" i="9"/>
  <c r="AG19" i="9"/>
  <c r="I19" i="9"/>
  <c r="CO19" i="9"/>
  <c r="AS19" i="9"/>
  <c r="U19" i="9"/>
  <c r="R19" i="9"/>
  <c r="AL19" i="9"/>
  <c r="BB19" i="9"/>
  <c r="CL19" i="9"/>
  <c r="DF19" i="9"/>
  <c r="DE25" i="9"/>
  <c r="CS25" i="9"/>
  <c r="CG25" i="9"/>
  <c r="BI25" i="9"/>
  <c r="AW25" i="9"/>
  <c r="AK25" i="9"/>
  <c r="Y25" i="9"/>
  <c r="M25" i="9"/>
  <c r="DD25" i="9"/>
  <c r="CQ25" i="9"/>
  <c r="CD25" i="9"/>
  <c r="BQ25" i="9"/>
  <c r="BD25" i="9"/>
  <c r="AQ25" i="9"/>
  <c r="AD25" i="9"/>
  <c r="Q25" i="9"/>
  <c r="C25" i="9"/>
  <c r="DI25" i="9"/>
  <c r="CV25" i="9"/>
  <c r="CI25" i="9"/>
  <c r="BV25" i="9"/>
  <c r="BH25" i="9"/>
  <c r="AU25" i="9"/>
  <c r="AH25" i="9"/>
  <c r="U25" i="9"/>
  <c r="H25" i="9"/>
  <c r="DH25" i="9"/>
  <c r="CU25" i="9"/>
  <c r="CH25" i="9"/>
  <c r="BT25" i="9"/>
  <c r="BG25" i="9"/>
  <c r="AT25" i="9"/>
  <c r="AG25" i="9"/>
  <c r="T25" i="9"/>
  <c r="CT25" i="9"/>
  <c r="BS25" i="9"/>
  <c r="AS25" i="9"/>
  <c r="F25" i="9"/>
  <c r="DG25" i="9"/>
  <c r="CF25" i="9"/>
  <c r="BF25" i="9"/>
  <c r="AF25" i="9"/>
  <c r="S25" i="9"/>
  <c r="W25" i="9"/>
  <c r="AO25" i="9"/>
  <c r="BK25" i="9"/>
  <c r="CB25" i="9"/>
  <c r="CX25" i="9"/>
  <c r="Q31" i="9"/>
  <c r="AO31" i="9"/>
  <c r="BH31" i="9"/>
  <c r="CX31" i="9"/>
  <c r="BT34" i="9"/>
  <c r="K38" i="9"/>
  <c r="AG38" i="9"/>
  <c r="BA38" i="9"/>
  <c r="BY38" i="9"/>
  <c r="L40" i="9"/>
  <c r="AL40" i="9"/>
  <c r="BI40" i="9"/>
  <c r="CF40" i="9"/>
  <c r="Z41" i="9"/>
  <c r="AT41" i="9"/>
  <c r="BT41" i="9"/>
  <c r="CU41" i="9"/>
  <c r="AF42" i="9"/>
  <c r="BG42" i="9"/>
  <c r="CC42" i="9"/>
  <c r="CS44" i="9"/>
  <c r="R46" i="9"/>
  <c r="AR46" i="9"/>
  <c r="BS46" i="9"/>
  <c r="F47" i="9"/>
  <c r="AF47" i="9"/>
  <c r="BF47" i="9"/>
  <c r="CR47" i="9" s="1"/>
  <c r="BY47" i="9"/>
  <c r="CZ47" i="9"/>
  <c r="S48" i="9"/>
  <c r="AT48" i="9"/>
  <c r="BW48" i="9"/>
  <c r="U49" i="9"/>
  <c r="AX49" i="9"/>
  <c r="CA49" i="9"/>
  <c r="DH49" i="9"/>
  <c r="Q51" i="9"/>
  <c r="AY51" i="9"/>
  <c r="M52" i="9"/>
  <c r="AW52" i="9"/>
  <c r="DG53" i="9"/>
  <c r="CC88" i="9"/>
  <c r="CF156" i="9"/>
  <c r="O11" i="9"/>
  <c r="AV11" i="9"/>
  <c r="BK11" i="9"/>
  <c r="BZ11" i="9"/>
  <c r="CR11" i="9"/>
  <c r="DG11" i="9"/>
  <c r="AG14" i="9"/>
  <c r="BQ14" i="9"/>
  <c r="CJ108" i="9"/>
  <c r="CP9" i="9"/>
  <c r="BR9" i="9"/>
  <c r="CS9" i="9"/>
  <c r="BU9" i="9"/>
  <c r="CR9" i="9"/>
  <c r="BT9" i="9"/>
  <c r="BV9" i="9"/>
  <c r="CW9" i="9"/>
  <c r="P11" i="9"/>
  <c r="AF11" i="9"/>
  <c r="AW11" i="9"/>
  <c r="BL11" i="9"/>
  <c r="CB11" i="9"/>
  <c r="CS11" i="9"/>
  <c r="R14" i="9"/>
  <c r="AI14" i="9"/>
  <c r="BB14" i="9"/>
  <c r="BS14" i="9"/>
  <c r="CL14" i="9"/>
  <c r="C19" i="9"/>
  <c r="CG19" i="9" s="1"/>
  <c r="T19" i="9"/>
  <c r="AM19" i="9"/>
  <c r="BD19" i="9"/>
  <c r="CN19" i="9"/>
  <c r="DG19" i="9"/>
  <c r="E25" i="9"/>
  <c r="X25" i="9"/>
  <c r="AP25" i="9"/>
  <c r="BL25" i="9"/>
  <c r="CC25" i="9"/>
  <c r="CY25" i="9"/>
  <c r="DH28" i="9"/>
  <c r="CV28" i="9"/>
  <c r="CJ28" i="9"/>
  <c r="BX28" i="9"/>
  <c r="BL28" i="9"/>
  <c r="AZ28" i="9"/>
  <c r="AN28" i="9"/>
  <c r="AB28" i="9"/>
  <c r="P28" i="9"/>
  <c r="C28" i="9"/>
  <c r="CX28" i="9"/>
  <c r="CK28" i="9"/>
  <c r="BW28" i="9"/>
  <c r="BJ28" i="9"/>
  <c r="AW28" i="9"/>
  <c r="AJ28" i="9"/>
  <c r="W28" i="9"/>
  <c r="J28" i="9"/>
  <c r="DB28" i="9"/>
  <c r="CO28" i="9"/>
  <c r="CB28" i="9"/>
  <c r="BO28" i="9"/>
  <c r="BB28" i="9"/>
  <c r="AO28" i="9"/>
  <c r="AA28" i="9"/>
  <c r="N28" i="9"/>
  <c r="DA28" i="9"/>
  <c r="CN28" i="9"/>
  <c r="CA28" i="9"/>
  <c r="BN28" i="9"/>
  <c r="BA28" i="9"/>
  <c r="AM28" i="9"/>
  <c r="Z28" i="9"/>
  <c r="M28" i="9"/>
  <c r="BZ28" i="9"/>
  <c r="BM28" i="9"/>
  <c r="L28" i="9"/>
  <c r="CZ28" i="9"/>
  <c r="CM28" i="9"/>
  <c r="AY28" i="9"/>
  <c r="AL28" i="9"/>
  <c r="Y28" i="9"/>
  <c r="U28" i="9"/>
  <c r="AQ28" i="9"/>
  <c r="BH28" i="9"/>
  <c r="CD28" i="9"/>
  <c r="CU28" i="9"/>
  <c r="T31" i="9"/>
  <c r="AP31" i="9"/>
  <c r="BJ31" i="9"/>
  <c r="BY34" i="9"/>
  <c r="M38" i="9"/>
  <c r="AJ38" i="9"/>
  <c r="BC38" i="9"/>
  <c r="BZ38" i="9"/>
  <c r="M40" i="9"/>
  <c r="AM40" i="9"/>
  <c r="BN40" i="9"/>
  <c r="CG40" i="9"/>
  <c r="AA41" i="9"/>
  <c r="AX41" i="9"/>
  <c r="BV41" i="9"/>
  <c r="K42" i="9"/>
  <c r="AG42" i="9"/>
  <c r="BH42" i="9"/>
  <c r="CH42" i="9"/>
  <c r="CX44" i="9"/>
  <c r="DG45" i="9"/>
  <c r="W46" i="9"/>
  <c r="AS46" i="9"/>
  <c r="BT46" i="9"/>
  <c r="CT46" i="9"/>
  <c r="AG47" i="9"/>
  <c r="BG47" i="9"/>
  <c r="CD47" i="9"/>
  <c r="DA47" i="9"/>
  <c r="T48" i="9"/>
  <c r="AV48" i="9"/>
  <c r="BY48" i="9"/>
  <c r="V49" i="9"/>
  <c r="AY49" i="9"/>
  <c r="CD49" i="9"/>
  <c r="R51" i="9"/>
  <c r="BG51" i="9"/>
  <c r="N52" i="9"/>
  <c r="BD52" i="9"/>
  <c r="DI56" i="9"/>
  <c r="CW56" i="9"/>
  <c r="CK56" i="9"/>
  <c r="BY56" i="9"/>
  <c r="BM56" i="9"/>
  <c r="BA56" i="9"/>
  <c r="AO56" i="9"/>
  <c r="AC56" i="9"/>
  <c r="Q56" i="9"/>
  <c r="E56" i="9"/>
  <c r="CZ56" i="9"/>
  <c r="CM56" i="9"/>
  <c r="BZ56" i="9"/>
  <c r="BL56" i="9"/>
  <c r="AY56" i="9"/>
  <c r="AL56" i="9"/>
  <c r="Y56" i="9"/>
  <c r="L56" i="9"/>
  <c r="CU56" i="9"/>
  <c r="CG56" i="9"/>
  <c r="BS56" i="9"/>
  <c r="BE56" i="9"/>
  <c r="AQ56" i="9"/>
  <c r="AB56" i="9"/>
  <c r="N56" i="9"/>
  <c r="CX56" i="9"/>
  <c r="CH56" i="9"/>
  <c r="BR56" i="9"/>
  <c r="BC56" i="9"/>
  <c r="AM56" i="9"/>
  <c r="W56" i="9"/>
  <c r="H56" i="9"/>
  <c r="CV56" i="9"/>
  <c r="BQ56" i="9"/>
  <c r="AK56" i="9"/>
  <c r="CF56" i="9"/>
  <c r="BB56" i="9"/>
  <c r="V56" i="9"/>
  <c r="DH56" i="9"/>
  <c r="CS56" i="9"/>
  <c r="CD56" i="9"/>
  <c r="BO56" i="9"/>
  <c r="AX56" i="9"/>
  <c r="AI56" i="9"/>
  <c r="T56" i="9"/>
  <c r="C56" i="9"/>
  <c r="DF56" i="9"/>
  <c r="CQ56" i="9"/>
  <c r="CB56" i="9"/>
  <c r="BK56" i="9"/>
  <c r="AV56" i="9"/>
  <c r="AG56" i="9"/>
  <c r="R56" i="9"/>
  <c r="CO56" i="9"/>
  <c r="BX56" i="9"/>
  <c r="BI56" i="9"/>
  <c r="AT56" i="9"/>
  <c r="AE56" i="9"/>
  <c r="O56" i="9"/>
  <c r="DC56" i="9"/>
  <c r="CN56" i="9"/>
  <c r="BW56" i="9"/>
  <c r="BH56" i="9"/>
  <c r="AS56" i="9"/>
  <c r="AD56" i="9"/>
  <c r="M56" i="9"/>
  <c r="CL56" i="9"/>
  <c r="BV56" i="9"/>
  <c r="BG56" i="9"/>
  <c r="AR56" i="9"/>
  <c r="AA56" i="9"/>
  <c r="K56" i="9"/>
  <c r="DA56" i="9"/>
  <c r="CJ56" i="9"/>
  <c r="BU56" i="9"/>
  <c r="BF56" i="9"/>
  <c r="DB56" i="9" s="1"/>
  <c r="AP56" i="9"/>
  <c r="Z56" i="9"/>
  <c r="J56" i="9"/>
  <c r="AU56" i="9"/>
  <c r="CP56" i="9"/>
  <c r="CY11" i="9"/>
  <c r="CM11" i="9"/>
  <c r="CA11" i="9"/>
  <c r="BO11" i="9"/>
  <c r="BC11" i="9"/>
  <c r="AQ11" i="9"/>
  <c r="AE11" i="9"/>
  <c r="S11" i="9"/>
  <c r="DB11" i="9"/>
  <c r="CP11" i="9"/>
  <c r="CD11" i="9"/>
  <c r="BR11" i="9"/>
  <c r="BF11" i="9"/>
  <c r="AT11" i="9"/>
  <c r="AH11" i="9"/>
  <c r="V11" i="9"/>
  <c r="J11" i="9"/>
  <c r="DA11" i="9"/>
  <c r="CC11" i="9"/>
  <c r="BE11" i="9"/>
  <c r="AG11" i="9"/>
  <c r="I11" i="9"/>
  <c r="CO11" i="9"/>
  <c r="BQ11" i="9"/>
  <c r="AS11" i="9"/>
  <c r="U11" i="9"/>
  <c r="Q11" i="9"/>
  <c r="AI11" i="9"/>
  <c r="AX11" i="9"/>
  <c r="BM11" i="9"/>
  <c r="CE11" i="9"/>
  <c r="CT11" i="9"/>
  <c r="DI11" i="9"/>
  <c r="DB14" i="9"/>
  <c r="CP14" i="9"/>
  <c r="CD14" i="9"/>
  <c r="BR14" i="9"/>
  <c r="BF14" i="9"/>
  <c r="AT14" i="9"/>
  <c r="AH14" i="9"/>
  <c r="V14" i="9"/>
  <c r="J14" i="9"/>
  <c r="DF14" i="9"/>
  <c r="CT14" i="9"/>
  <c r="CH14" i="9"/>
  <c r="BV14" i="9"/>
  <c r="BJ14" i="9"/>
  <c r="AX14" i="9"/>
  <c r="AL14" i="9"/>
  <c r="Z14" i="9"/>
  <c r="N14" i="9"/>
  <c r="DE14" i="9"/>
  <c r="CS14" i="9"/>
  <c r="CG14" i="9"/>
  <c r="BU14" i="9"/>
  <c r="BI14" i="9"/>
  <c r="AW14" i="9"/>
  <c r="AK14" i="9"/>
  <c r="Y14" i="9"/>
  <c r="M14" i="9"/>
  <c r="DD14" i="9"/>
  <c r="CF14" i="9"/>
  <c r="BH14" i="9"/>
  <c r="AJ14" i="9"/>
  <c r="L14" i="9"/>
  <c r="CR14" i="9"/>
  <c r="BT14" i="9"/>
  <c r="AV14" i="9"/>
  <c r="X14" i="9"/>
  <c r="S14" i="9"/>
  <c r="AM14" i="9"/>
  <c r="BC14" i="9"/>
  <c r="BW14" i="9"/>
  <c r="CM14" i="9"/>
  <c r="DG14" i="9"/>
  <c r="CY31" i="9"/>
  <c r="CM31" i="9"/>
  <c r="BC31" i="9"/>
  <c r="AQ31" i="9"/>
  <c r="AE31" i="9"/>
  <c r="S31" i="9"/>
  <c r="DB31" i="9"/>
  <c r="CO31" i="9"/>
  <c r="CB31" i="9"/>
  <c r="BN31" i="9"/>
  <c r="BA31" i="9"/>
  <c r="AN31" i="9"/>
  <c r="AA31" i="9"/>
  <c r="N31" i="9"/>
  <c r="CZ31" i="9"/>
  <c r="CK31" i="9"/>
  <c r="BI31" i="9"/>
  <c r="AU31" i="9"/>
  <c r="AG31" i="9"/>
  <c r="R31" i="9"/>
  <c r="E31" i="9"/>
  <c r="DE31" i="9"/>
  <c r="CQ31" i="9"/>
  <c r="BM31" i="9"/>
  <c r="AY31" i="9"/>
  <c r="AK31" i="9"/>
  <c r="W31" i="9"/>
  <c r="I31" i="9"/>
  <c r="DD31" i="9"/>
  <c r="CP31" i="9"/>
  <c r="BZ31" i="9"/>
  <c r="BL31" i="9"/>
  <c r="AX31" i="9"/>
  <c r="CA31" i="9" s="1"/>
  <c r="AJ31" i="9"/>
  <c r="V31" i="9"/>
  <c r="H31" i="9"/>
  <c r="DC31" i="9"/>
  <c r="CN31" i="9"/>
  <c r="BK31" i="9"/>
  <c r="AW31" i="9"/>
  <c r="AI31" i="9"/>
  <c r="U31" i="9"/>
  <c r="X31" i="9"/>
  <c r="AR31" i="9"/>
  <c r="BP31" i="9"/>
  <c r="DF31" i="9"/>
  <c r="Q38" i="9"/>
  <c r="AK38" i="9"/>
  <c r="BH38" i="9"/>
  <c r="CA38" i="9"/>
  <c r="N40" i="9"/>
  <c r="AO40" i="9"/>
  <c r="BO40" i="9"/>
  <c r="DE41" i="9"/>
  <c r="CS41" i="9"/>
  <c r="CG41" i="9"/>
  <c r="BU41" i="9"/>
  <c r="BI41" i="9"/>
  <c r="AW41" i="9"/>
  <c r="AK41" i="9"/>
  <c r="Y41" i="9"/>
  <c r="M41" i="9"/>
  <c r="DB41" i="9"/>
  <c r="CO41" i="9"/>
  <c r="CB41" i="9"/>
  <c r="BO41" i="9"/>
  <c r="BB41" i="9"/>
  <c r="AO41" i="9"/>
  <c r="AB41" i="9"/>
  <c r="O41" i="9"/>
  <c r="DA41" i="9"/>
  <c r="CM41" i="9"/>
  <c r="BY41" i="9"/>
  <c r="BK41" i="9"/>
  <c r="AV41" i="9"/>
  <c r="AH41" i="9"/>
  <c r="T41" i="9"/>
  <c r="F41" i="9"/>
  <c r="CZ41" i="9"/>
  <c r="CL41" i="9"/>
  <c r="BX41" i="9"/>
  <c r="BJ41" i="9"/>
  <c r="AG41" i="9"/>
  <c r="S41" i="9"/>
  <c r="E41" i="9"/>
  <c r="AU41" i="9"/>
  <c r="DG41" i="9"/>
  <c r="CR41" i="9"/>
  <c r="CD41" i="9"/>
  <c r="BP41" i="9"/>
  <c r="BA41" i="9"/>
  <c r="AM41" i="9"/>
  <c r="X41" i="9"/>
  <c r="J41" i="9"/>
  <c r="DF41" i="9"/>
  <c r="CQ41" i="9"/>
  <c r="CC41" i="9"/>
  <c r="BN41" i="9"/>
  <c r="AZ41" i="9"/>
  <c r="AL41" i="9"/>
  <c r="W41" i="9"/>
  <c r="I41" i="9"/>
  <c r="DD41" i="9"/>
  <c r="CP41" i="9"/>
  <c r="CA41" i="9"/>
  <c r="BM41" i="9"/>
  <c r="AY41" i="9"/>
  <c r="AJ41" i="9"/>
  <c r="V41" i="9"/>
  <c r="H41" i="9"/>
  <c r="AC41" i="9"/>
  <c r="BC41" i="9"/>
  <c r="BW41" i="9"/>
  <c r="CW41" i="9"/>
  <c r="O42" i="9"/>
  <c r="AJ42" i="9"/>
  <c r="BJ42" i="9"/>
  <c r="CJ42" i="9"/>
  <c r="DB44" i="9"/>
  <c r="AA46" i="9"/>
  <c r="AU46" i="9"/>
  <c r="BU46" i="9"/>
  <c r="CU46" i="9"/>
  <c r="J47" i="9"/>
  <c r="AH47" i="9"/>
  <c r="BH47" i="9"/>
  <c r="CH47" i="9"/>
  <c r="V48" i="9"/>
  <c r="AX48" i="9"/>
  <c r="CA48" i="9"/>
  <c r="X49" i="9"/>
  <c r="BA49" i="9"/>
  <c r="CE49" i="9"/>
  <c r="V51" i="9"/>
  <c r="BI51" i="9"/>
  <c r="S52" i="9"/>
  <c r="BG52" i="9"/>
  <c r="CK64" i="9"/>
  <c r="BY64" i="9"/>
  <c r="BM64" i="9"/>
  <c r="BA64" i="9"/>
  <c r="AO64" i="9"/>
  <c r="AC64" i="9"/>
  <c r="Q64" i="9"/>
  <c r="E64" i="9"/>
  <c r="CB64" i="9"/>
  <c r="BO64" i="9"/>
  <c r="BB64" i="9"/>
  <c r="AN64" i="9"/>
  <c r="AA64" i="9"/>
  <c r="N64" i="9"/>
  <c r="BZ64" i="9"/>
  <c r="BK64" i="9"/>
  <c r="AW64" i="9"/>
  <c r="AI64" i="9"/>
  <c r="U64" i="9"/>
  <c r="CC64" i="9"/>
  <c r="BN64" i="9"/>
  <c r="AY64" i="9"/>
  <c r="AK64" i="9"/>
  <c r="W64" i="9"/>
  <c r="I64" i="9"/>
  <c r="CH64" i="9"/>
  <c r="BR64" i="9"/>
  <c r="AZ64" i="9"/>
  <c r="AH64" i="9"/>
  <c r="R64" i="9"/>
  <c r="CG64" i="9"/>
  <c r="BQ64" i="9"/>
  <c r="AX64" i="9"/>
  <c r="AG64" i="9"/>
  <c r="P64" i="9"/>
  <c r="CF64" i="9"/>
  <c r="BP64" i="9"/>
  <c r="AV64" i="9"/>
  <c r="AF64" i="9"/>
  <c r="O64" i="9"/>
  <c r="CE64" i="9"/>
  <c r="BL64" i="9"/>
  <c r="AU64" i="9"/>
  <c r="AE64" i="9"/>
  <c r="M64" i="9"/>
  <c r="CD64" i="9"/>
  <c r="BJ64" i="9"/>
  <c r="AT64" i="9"/>
  <c r="AD64" i="9"/>
  <c r="L64" i="9"/>
  <c r="CA64" i="9"/>
  <c r="BI64" i="9"/>
  <c r="AS64" i="9"/>
  <c r="AB64" i="9"/>
  <c r="K64" i="9"/>
  <c r="BX64" i="9"/>
  <c r="BH64" i="9"/>
  <c r="AR64" i="9"/>
  <c r="Z64" i="9"/>
  <c r="J64" i="9"/>
  <c r="BW64" i="9"/>
  <c r="BG64" i="9"/>
  <c r="AQ64" i="9"/>
  <c r="Y64" i="9"/>
  <c r="H64" i="9"/>
  <c r="BV64" i="9"/>
  <c r="BF64" i="9"/>
  <c r="AP64" i="9"/>
  <c r="X64" i="9"/>
  <c r="BU64" i="9"/>
  <c r="BE64" i="9"/>
  <c r="AM64" i="9"/>
  <c r="V64" i="9"/>
  <c r="F64" i="9"/>
  <c r="CJ64" i="9"/>
  <c r="BT64" i="9"/>
  <c r="BD64" i="9"/>
  <c r="AL64" i="9"/>
  <c r="T64" i="9"/>
  <c r="C64" i="9"/>
  <c r="CX41" i="9"/>
  <c r="AB46" i="9"/>
  <c r="AY46" i="9"/>
  <c r="BW46" i="9"/>
  <c r="W48" i="9"/>
  <c r="AY48" i="9"/>
  <c r="CB48" i="9"/>
  <c r="Z49" i="9"/>
  <c r="BC49" i="9"/>
  <c r="AB51" i="9"/>
  <c r="BJ51" i="9"/>
  <c r="DB46" i="9"/>
  <c r="CP46" i="9"/>
  <c r="CD46" i="9"/>
  <c r="BR46" i="9"/>
  <c r="BF46" i="9"/>
  <c r="CL46" i="9" s="1"/>
  <c r="AT46" i="9"/>
  <c r="AH46" i="9"/>
  <c r="V46" i="9"/>
  <c r="J46" i="9"/>
  <c r="DI46" i="9"/>
  <c r="CV46" i="9"/>
  <c r="CI46" i="9"/>
  <c r="BV46" i="9"/>
  <c r="BI46" i="9"/>
  <c r="AV46" i="9"/>
  <c r="AI46" i="9"/>
  <c r="U46" i="9"/>
  <c r="H46" i="9"/>
  <c r="DC46" i="9"/>
  <c r="CN46" i="9"/>
  <c r="BZ46" i="9"/>
  <c r="BL46" i="9"/>
  <c r="AX46" i="9"/>
  <c r="AJ46" i="9"/>
  <c r="T46" i="9"/>
  <c r="F46" i="9"/>
  <c r="CM46" i="9"/>
  <c r="BY46" i="9"/>
  <c r="AW46" i="9"/>
  <c r="S46" i="9"/>
  <c r="DA46" i="9"/>
  <c r="BK46" i="9"/>
  <c r="AG46" i="9"/>
  <c r="E46" i="9"/>
  <c r="DG46" i="9"/>
  <c r="CS46" i="9"/>
  <c r="CE46" i="9"/>
  <c r="BP46" i="9"/>
  <c r="BB46" i="9"/>
  <c r="AN46" i="9"/>
  <c r="Z46" i="9"/>
  <c r="L46" i="9"/>
  <c r="DF46" i="9"/>
  <c r="CR46" i="9"/>
  <c r="CC46" i="9"/>
  <c r="BO46" i="9"/>
  <c r="BA46" i="9"/>
  <c r="AM46" i="9"/>
  <c r="Y46" i="9"/>
  <c r="K46" i="9"/>
  <c r="DE46" i="9"/>
  <c r="CQ46" i="9"/>
  <c r="CB46" i="9"/>
  <c r="BN46" i="9"/>
  <c r="AZ46" i="9"/>
  <c r="AL46" i="9"/>
  <c r="X46" i="9"/>
  <c r="I46" i="9"/>
  <c r="AC46" i="9"/>
  <c r="BC46" i="9"/>
  <c r="BX46" i="9"/>
  <c r="CX46" i="9"/>
  <c r="DH48" i="9"/>
  <c r="CV48" i="9"/>
  <c r="CJ48" i="9"/>
  <c r="BX48" i="9"/>
  <c r="BL48" i="9"/>
  <c r="AZ48" i="9"/>
  <c r="AN48" i="9"/>
  <c r="AB48" i="9"/>
  <c r="P48" i="9"/>
  <c r="C48" i="9"/>
  <c r="DI48" i="9"/>
  <c r="CU48" i="9"/>
  <c r="CH48" i="9"/>
  <c r="BU48" i="9"/>
  <c r="BH48" i="9"/>
  <c r="AU48" i="9"/>
  <c r="AH48" i="9"/>
  <c r="U48" i="9"/>
  <c r="H48" i="9"/>
  <c r="DG48" i="9"/>
  <c r="CS48" i="9"/>
  <c r="CE48" i="9"/>
  <c r="BQ48" i="9"/>
  <c r="BC48" i="9"/>
  <c r="AO48" i="9"/>
  <c r="Z48" i="9"/>
  <c r="L48" i="9"/>
  <c r="CD48" i="9"/>
  <c r="BP48" i="9"/>
  <c r="AM48" i="9"/>
  <c r="Y48" i="9"/>
  <c r="CR48" i="9"/>
  <c r="BB48" i="9"/>
  <c r="K48" i="9"/>
  <c r="DB48" i="9"/>
  <c r="CN48" i="9"/>
  <c r="BZ48" i="9"/>
  <c r="BK48" i="9"/>
  <c r="AW48" i="9"/>
  <c r="AI48" i="9"/>
  <c r="CY48" i="9"/>
  <c r="CK48" i="9"/>
  <c r="BV48" i="9"/>
  <c r="BG48" i="9"/>
  <c r="AS48" i="9"/>
  <c r="AE48" i="9"/>
  <c r="Q48" i="9"/>
  <c r="CX48" i="9"/>
  <c r="CI48" i="9"/>
  <c r="BT48" i="9"/>
  <c r="BF48" i="9"/>
  <c r="CT48" i="9" s="1"/>
  <c r="AR48" i="9"/>
  <c r="AD48" i="9"/>
  <c r="O48" i="9"/>
  <c r="CW48" i="9"/>
  <c r="CG48" i="9"/>
  <c r="BS48" i="9"/>
  <c r="BE48" i="9"/>
  <c r="AQ48" i="9"/>
  <c r="AC48" i="9"/>
  <c r="N48" i="9"/>
  <c r="X48" i="9"/>
  <c r="BA48" i="9"/>
  <c r="CC48" i="9"/>
  <c r="DE48" i="9"/>
  <c r="DC41" i="9"/>
  <c r="C46" i="9"/>
  <c r="AD46" i="9"/>
  <c r="BD46" i="9"/>
  <c r="CA46" i="9"/>
  <c r="CY46" i="9"/>
  <c r="E48" i="9"/>
  <c r="AA48" i="9"/>
  <c r="BD48" i="9"/>
  <c r="CF48" i="9"/>
  <c r="CS49" i="9"/>
  <c r="CG49" i="9"/>
  <c r="BU49" i="9"/>
  <c r="BI49" i="9"/>
  <c r="AW49" i="9"/>
  <c r="AK49" i="9"/>
  <c r="Y49" i="9"/>
  <c r="M49" i="9"/>
  <c r="DB49" i="9"/>
  <c r="CB49" i="9"/>
  <c r="BO49" i="9"/>
  <c r="BB49" i="9"/>
  <c r="AO49" i="9"/>
  <c r="AB49" i="9"/>
  <c r="O49" i="9"/>
  <c r="CW49" i="9"/>
  <c r="CI49" i="9"/>
  <c r="BT49" i="9"/>
  <c r="BF49" i="9"/>
  <c r="DG49" i="9" s="1"/>
  <c r="AR49" i="9"/>
  <c r="AD49" i="9"/>
  <c r="P49" i="9"/>
  <c r="CH49" i="9"/>
  <c r="BS49" i="9"/>
  <c r="AQ49" i="9"/>
  <c r="N49" i="9"/>
  <c r="CV49" i="9"/>
  <c r="BE49" i="9"/>
  <c r="AC49" i="9"/>
  <c r="DF49" i="9"/>
  <c r="CQ49" i="9"/>
  <c r="CC49" i="9"/>
  <c r="BN49" i="9"/>
  <c r="AZ49" i="9"/>
  <c r="AL49" i="9"/>
  <c r="W49" i="9"/>
  <c r="I49" i="9"/>
  <c r="DC49" i="9"/>
  <c r="CN49" i="9"/>
  <c r="BZ49" i="9"/>
  <c r="DA49" i="9"/>
  <c r="CM49" i="9"/>
  <c r="BY49" i="9"/>
  <c r="BK49" i="9"/>
  <c r="AV49" i="9"/>
  <c r="AH49" i="9"/>
  <c r="T49" i="9"/>
  <c r="F49" i="9"/>
  <c r="CL49" i="9"/>
  <c r="BX49" i="9"/>
  <c r="BJ49" i="9"/>
  <c r="AU49" i="9"/>
  <c r="AG49" i="9"/>
  <c r="S49" i="9"/>
  <c r="E49" i="9"/>
  <c r="CK49" i="9"/>
  <c r="BW49" i="9"/>
  <c r="BH49" i="9"/>
  <c r="AT49" i="9"/>
  <c r="AF49" i="9"/>
  <c r="R49" i="9"/>
  <c r="C49" i="9"/>
  <c r="AE49" i="9"/>
  <c r="BG49" i="9"/>
  <c r="CP49" i="9"/>
  <c r="CZ51" i="9"/>
  <c r="CB51" i="9"/>
  <c r="BP51" i="9"/>
  <c r="BD51" i="9"/>
  <c r="AR51" i="9"/>
  <c r="DE51" i="9"/>
  <c r="CR51" i="9"/>
  <c r="CE51" i="9"/>
  <c r="BR51" i="9"/>
  <c r="BE51" i="9"/>
  <c r="AQ51" i="9"/>
  <c r="AE51" i="9"/>
  <c r="S51" i="9"/>
  <c r="CF51" i="9"/>
  <c r="BQ51" i="9"/>
  <c r="BB51" i="9"/>
  <c r="AN51" i="9"/>
  <c r="AA51" i="9"/>
  <c r="N51" i="9"/>
  <c r="DI51" i="9"/>
  <c r="CC51" i="9"/>
  <c r="BM51" i="9"/>
  <c r="AX51" i="9"/>
  <c r="AI51" i="9"/>
  <c r="U51" i="9"/>
  <c r="CQ51" i="9"/>
  <c r="CA51" i="9"/>
  <c r="AW51" i="9"/>
  <c r="AH51" i="9"/>
  <c r="T51" i="9"/>
  <c r="F51" i="9"/>
  <c r="BL51" i="9"/>
  <c r="BW51" i="9"/>
  <c r="BH51" i="9"/>
  <c r="AS51" i="9"/>
  <c r="AC51" i="9"/>
  <c r="O51" i="9"/>
  <c r="CY51" i="9"/>
  <c r="CJ51" i="9"/>
  <c r="BU51" i="9"/>
  <c r="BF51" i="9"/>
  <c r="DA51" i="9" s="1"/>
  <c r="AO51" i="9"/>
  <c r="Z51" i="9"/>
  <c r="L51" i="9"/>
  <c r="CI51" i="9"/>
  <c r="BT51" i="9"/>
  <c r="BC51" i="9"/>
  <c r="AM51" i="9"/>
  <c r="Y51" i="9"/>
  <c r="K51" i="9"/>
  <c r="CW51" i="9"/>
  <c r="CH51" i="9"/>
  <c r="BS51" i="9"/>
  <c r="BA51" i="9"/>
  <c r="AL51" i="9"/>
  <c r="X51" i="9"/>
  <c r="J51" i="9"/>
  <c r="CG51" i="9"/>
  <c r="BO51" i="9"/>
  <c r="AZ51" i="9"/>
  <c r="AK51" i="9"/>
  <c r="W51" i="9"/>
  <c r="I51" i="9"/>
  <c r="AF51" i="9"/>
  <c r="BN51" i="9"/>
  <c r="DB38" i="9"/>
  <c r="CD38" i="9"/>
  <c r="BR38" i="9"/>
  <c r="BF38" i="9"/>
  <c r="CR38" i="9" s="1"/>
  <c r="AT38" i="9"/>
  <c r="AH38" i="9"/>
  <c r="V38" i="9"/>
  <c r="J38" i="9"/>
  <c r="CI38" i="9"/>
  <c r="BV38" i="9"/>
  <c r="BI38" i="9"/>
  <c r="AV38" i="9"/>
  <c r="AI38" i="9"/>
  <c r="U38" i="9"/>
  <c r="H38" i="9"/>
  <c r="CE38" i="9"/>
  <c r="BP38" i="9"/>
  <c r="BB38" i="9"/>
  <c r="AN38" i="9"/>
  <c r="Z38" i="9"/>
  <c r="L38" i="9"/>
  <c r="CJ38" i="9"/>
  <c r="BU38" i="9"/>
  <c r="BG38" i="9"/>
  <c r="AR38" i="9"/>
  <c r="AD38" i="9"/>
  <c r="P38" i="9"/>
  <c r="CH38" i="9"/>
  <c r="BT38" i="9"/>
  <c r="BE38" i="9"/>
  <c r="AQ38" i="9"/>
  <c r="AC38" i="9"/>
  <c r="O38" i="9"/>
  <c r="CU38" i="9"/>
  <c r="CG38" i="9"/>
  <c r="BS38" i="9"/>
  <c r="BD38" i="9"/>
  <c r="AP38" i="9"/>
  <c r="AB38" i="9"/>
  <c r="N38" i="9"/>
  <c r="W38" i="9"/>
  <c r="AS38" i="9"/>
  <c r="BM38" i="9"/>
  <c r="CK38" i="9"/>
  <c r="Y40" i="9"/>
  <c r="AY40" i="9"/>
  <c r="BS40" i="9"/>
  <c r="DH41" i="9"/>
  <c r="AE46" i="9"/>
  <c r="BE46" i="9"/>
  <c r="CF46" i="9"/>
  <c r="CZ46" i="9"/>
  <c r="F48" i="9"/>
  <c r="AF48" i="9"/>
  <c r="BI48" i="9"/>
  <c r="CL48" i="9"/>
  <c r="AI49" i="9"/>
  <c r="BL49" i="9"/>
  <c r="CR49" i="9"/>
  <c r="C51" i="9"/>
  <c r="AG51" i="9"/>
  <c r="BV51" i="9"/>
  <c r="CV40" i="9"/>
  <c r="CJ40" i="9"/>
  <c r="BX40" i="9"/>
  <c r="BL40" i="9"/>
  <c r="AZ40" i="9"/>
  <c r="AN40" i="9"/>
  <c r="AB40" i="9"/>
  <c r="P40" i="9"/>
  <c r="C40" i="9"/>
  <c r="CH40" i="9"/>
  <c r="BU40" i="9"/>
  <c r="BH40" i="9"/>
  <c r="AU40" i="9"/>
  <c r="AH40" i="9"/>
  <c r="U40" i="9"/>
  <c r="H40" i="9"/>
  <c r="CK40" i="9"/>
  <c r="BV40" i="9"/>
  <c r="BG40" i="9"/>
  <c r="AS40" i="9"/>
  <c r="AE40" i="9"/>
  <c r="Q40" i="9"/>
  <c r="CI40" i="9"/>
  <c r="BT40" i="9"/>
  <c r="BF40" i="9"/>
  <c r="DG40" i="9" s="1"/>
  <c r="AR40" i="9"/>
  <c r="AD40" i="9"/>
  <c r="O40" i="9"/>
  <c r="DC40" i="9"/>
  <c r="CA40" i="9"/>
  <c r="BM40" i="9"/>
  <c r="AX40" i="9"/>
  <c r="AJ40" i="9"/>
  <c r="V40" i="9"/>
  <c r="CN40" i="9"/>
  <c r="BZ40" i="9"/>
  <c r="BK40" i="9"/>
  <c r="AW40" i="9"/>
  <c r="AI40" i="9"/>
  <c r="T40" i="9"/>
  <c r="F40" i="9"/>
  <c r="CM40" i="9"/>
  <c r="BY40" i="9"/>
  <c r="BJ40" i="9"/>
  <c r="AV40" i="9"/>
  <c r="AG40" i="9"/>
  <c r="S40" i="9"/>
  <c r="E40" i="9"/>
  <c r="Z40" i="9"/>
  <c r="BA40" i="9"/>
  <c r="BW40" i="9"/>
  <c r="M46" i="9"/>
  <c r="AF46" i="9"/>
  <c r="BG46" i="9"/>
  <c r="CG46" i="9"/>
  <c r="DD46" i="9"/>
  <c r="AG48" i="9"/>
  <c r="BJ48" i="9"/>
  <c r="CM48" i="9"/>
  <c r="H49" i="9"/>
  <c r="AJ49" i="9"/>
  <c r="BM49" i="9"/>
  <c r="E51" i="9"/>
  <c r="AJ51" i="9"/>
  <c r="BX51" i="9"/>
  <c r="DF51" i="9"/>
  <c r="BX34" i="9"/>
  <c r="CJ34" i="9"/>
  <c r="BU34" i="9"/>
  <c r="BN34" i="9"/>
  <c r="CH34" i="9"/>
  <c r="E38" i="9"/>
  <c r="Y38" i="9"/>
  <c r="AW38" i="9"/>
  <c r="BO38" i="9"/>
  <c r="CM38" i="9"/>
  <c r="AA40" i="9"/>
  <c r="BB40" i="9"/>
  <c r="CB40" i="9"/>
  <c r="CW40" i="9"/>
  <c r="DB42" i="9"/>
  <c r="CP42" i="9"/>
  <c r="CD42" i="9"/>
  <c r="BR42" i="9"/>
  <c r="BF42" i="9"/>
  <c r="CT42" i="9" s="1"/>
  <c r="AT42" i="9"/>
  <c r="AH42" i="9"/>
  <c r="V42" i="9"/>
  <c r="J42" i="9"/>
  <c r="DI42" i="9"/>
  <c r="CV42" i="9"/>
  <c r="CI42" i="9"/>
  <c r="BV42" i="9"/>
  <c r="BI42" i="9"/>
  <c r="AV42" i="9"/>
  <c r="AI42" i="9"/>
  <c r="U42" i="9"/>
  <c r="H42" i="9"/>
  <c r="DE42" i="9"/>
  <c r="CB42" i="9"/>
  <c r="BN42" i="9"/>
  <c r="AZ42" i="9"/>
  <c r="AL42" i="9"/>
  <c r="X42" i="9"/>
  <c r="I42" i="9"/>
  <c r="DD42" i="9"/>
  <c r="CA42" i="9"/>
  <c r="BM42" i="9"/>
  <c r="AY42" i="9"/>
  <c r="AK42" i="9"/>
  <c r="W42" i="9"/>
  <c r="CU42" i="9"/>
  <c r="CG42" i="9"/>
  <c r="BS42" i="9"/>
  <c r="BD42" i="9"/>
  <c r="AP42" i="9"/>
  <c r="AB42" i="9"/>
  <c r="N42" i="9"/>
  <c r="DH42" i="9"/>
  <c r="CF42" i="9"/>
  <c r="BQ42" i="9"/>
  <c r="BC42" i="9"/>
  <c r="AO42" i="9"/>
  <c r="AA42" i="9"/>
  <c r="M42" i="9"/>
  <c r="DG42" i="9"/>
  <c r="CS42" i="9"/>
  <c r="CE42" i="9"/>
  <c r="BP42" i="9"/>
  <c r="BB42" i="9"/>
  <c r="AN42" i="9"/>
  <c r="Z42" i="9"/>
  <c r="L42" i="9"/>
  <c r="Y42" i="9"/>
  <c r="AW42" i="9"/>
  <c r="BW42" i="9"/>
  <c r="CW42" i="9"/>
  <c r="N46" i="9"/>
  <c r="AK46" i="9"/>
  <c r="BH46" i="9"/>
  <c r="CH46" i="9"/>
  <c r="DH46" i="9"/>
  <c r="U47" i="9"/>
  <c r="AU47" i="9"/>
  <c r="BU47" i="9"/>
  <c r="I48" i="9"/>
  <c r="AJ48" i="9"/>
  <c r="BM48" i="9"/>
  <c r="CO48" i="9"/>
  <c r="J49" i="9"/>
  <c r="AM49" i="9"/>
  <c r="BP49" i="9"/>
  <c r="AP51" i="9"/>
  <c r="BY51" i="9"/>
  <c r="DI52" i="9"/>
  <c r="CK52" i="9"/>
  <c r="BY52" i="9"/>
  <c r="BM52" i="9"/>
  <c r="BA52" i="9"/>
  <c r="AO52" i="9"/>
  <c r="AC52" i="9"/>
  <c r="Q52" i="9"/>
  <c r="E52" i="9"/>
  <c r="CY52" i="9"/>
  <c r="BX52" i="9"/>
  <c r="BK52" i="9"/>
  <c r="AX52" i="9"/>
  <c r="AK52" i="9"/>
  <c r="X52" i="9"/>
  <c r="K52" i="9"/>
  <c r="CV52" i="9"/>
  <c r="CH52" i="9"/>
  <c r="BT52" i="9"/>
  <c r="BF52" i="9"/>
  <c r="CL52" i="9" s="1"/>
  <c r="AR52" i="9"/>
  <c r="AD52" i="9"/>
  <c r="O52" i="9"/>
  <c r="CQ52" i="9"/>
  <c r="CB52" i="9"/>
  <c r="BL52" i="9"/>
  <c r="AV52" i="9"/>
  <c r="AG52" i="9"/>
  <c r="R52" i="9"/>
  <c r="DE52" i="9"/>
  <c r="CP52" i="9"/>
  <c r="CA52" i="9"/>
  <c r="BJ52" i="9"/>
  <c r="AU52" i="9"/>
  <c r="AF52" i="9"/>
  <c r="P52" i="9"/>
  <c r="DA52" i="9"/>
  <c r="CJ52" i="9"/>
  <c r="BU52" i="9"/>
  <c r="BE52" i="9"/>
  <c r="AP52" i="9"/>
  <c r="Z52" i="9"/>
  <c r="J52" i="9"/>
  <c r="CX52" i="9"/>
  <c r="CG52" i="9"/>
  <c r="BR52" i="9"/>
  <c r="BC52" i="9"/>
  <c r="AM52" i="9"/>
  <c r="W52" i="9"/>
  <c r="H52" i="9"/>
  <c r="CU52" i="9"/>
  <c r="CF52" i="9"/>
  <c r="BQ52" i="9"/>
  <c r="BB52" i="9"/>
  <c r="AL52" i="9"/>
  <c r="V52" i="9"/>
  <c r="CT52" i="9"/>
  <c r="CE52" i="9"/>
  <c r="BP52" i="9"/>
  <c r="AZ52" i="9"/>
  <c r="AJ52" i="9"/>
  <c r="U52" i="9"/>
  <c r="F52" i="9"/>
  <c r="DH52" i="9"/>
  <c r="CS52" i="9"/>
  <c r="CD52" i="9"/>
  <c r="BO52" i="9"/>
  <c r="AY52" i="9"/>
  <c r="AI52" i="9"/>
  <c r="T52" i="9"/>
  <c r="C52" i="9"/>
  <c r="AN52" i="9"/>
  <c r="BW52" i="9"/>
  <c r="DG52" i="9"/>
  <c r="I40" i="9"/>
  <c r="AC40" i="9"/>
  <c r="BC40" i="9"/>
  <c r="CC40" i="9"/>
  <c r="CT44" i="9"/>
  <c r="DA44" i="9"/>
  <c r="CM44" i="9"/>
  <c r="CY44" i="9"/>
  <c r="CP44" i="9"/>
  <c r="O46" i="9"/>
  <c r="AO46" i="9"/>
  <c r="BJ46" i="9"/>
  <c r="CJ46" i="9"/>
  <c r="CY47" i="9"/>
  <c r="CM47" i="9"/>
  <c r="CA47" i="9"/>
  <c r="BO47" i="9"/>
  <c r="BC47" i="9"/>
  <c r="AQ47" i="9"/>
  <c r="AE47" i="9"/>
  <c r="S47" i="9"/>
  <c r="DB47" i="9"/>
  <c r="CO47" i="9"/>
  <c r="CB47" i="9"/>
  <c r="BN47" i="9"/>
  <c r="BA47" i="9"/>
  <c r="AN47" i="9"/>
  <c r="AA47" i="9"/>
  <c r="N47" i="9"/>
  <c r="DE47" i="9"/>
  <c r="CQ47" i="9"/>
  <c r="CC47" i="9"/>
  <c r="BM47" i="9"/>
  <c r="AY47" i="9"/>
  <c r="AK47" i="9"/>
  <c r="W47" i="9"/>
  <c r="I47" i="9"/>
  <c r="DD47" i="9"/>
  <c r="BZ47" i="9"/>
  <c r="BL47" i="9"/>
  <c r="AJ47" i="9"/>
  <c r="H47" i="9"/>
  <c r="CP47" i="9"/>
  <c r="AX47" i="9"/>
  <c r="V47" i="9"/>
  <c r="DI47" i="9"/>
  <c r="CU47" i="9"/>
  <c r="CG47" i="9"/>
  <c r="BS47" i="9"/>
  <c r="BE47" i="9"/>
  <c r="AP47" i="9"/>
  <c r="AB47" i="9"/>
  <c r="M47" i="9"/>
  <c r="DH47" i="9"/>
  <c r="CT47" i="9"/>
  <c r="CF47" i="9"/>
  <c r="BR47" i="9"/>
  <c r="BD47" i="9"/>
  <c r="AO47" i="9"/>
  <c r="Z47" i="9"/>
  <c r="L47" i="9"/>
  <c r="DG47" i="9"/>
  <c r="CS47" i="9"/>
  <c r="CE47" i="9"/>
  <c r="BQ47" i="9"/>
  <c r="BB47" i="9"/>
  <c r="AM47" i="9"/>
  <c r="Y47" i="9"/>
  <c r="K47" i="9"/>
  <c r="X47" i="9"/>
  <c r="AV47" i="9"/>
  <c r="BV47" i="9"/>
  <c r="CV47" i="9"/>
  <c r="J48" i="9"/>
  <c r="AK48" i="9"/>
  <c r="BN48" i="9"/>
  <c r="CP48" i="9"/>
  <c r="K49" i="9"/>
  <c r="AN49" i="9"/>
  <c r="BQ49" i="9"/>
  <c r="CX49" i="9"/>
  <c r="H51" i="9"/>
  <c r="AT51" i="9"/>
  <c r="BZ51" i="9"/>
  <c r="CN53" i="9"/>
  <c r="DC53" i="9"/>
  <c r="CX53" i="9"/>
  <c r="CV53" i="9"/>
  <c r="CU53" i="9"/>
  <c r="DH53" i="9"/>
  <c r="CQ53" i="9"/>
  <c r="CY53" i="9"/>
  <c r="F38" i="9"/>
  <c r="AA38" i="9"/>
  <c r="AX38" i="9"/>
  <c r="BQ38" i="9"/>
  <c r="CN38" i="9"/>
  <c r="BP9" i="9"/>
  <c r="CT9" i="9"/>
  <c r="M11" i="9"/>
  <c r="AB11" i="9"/>
  <c r="AR11" i="9"/>
  <c r="BI11" i="9"/>
  <c r="BX11" i="9"/>
  <c r="CN11" i="9"/>
  <c r="DE11" i="9"/>
  <c r="O14" i="9"/>
  <c r="AE14" i="9"/>
  <c r="AY14" i="9"/>
  <c r="BO14" i="9"/>
  <c r="CI14" i="9"/>
  <c r="CY14" i="9"/>
  <c r="P19" i="9"/>
  <c r="AJ19" i="9"/>
  <c r="AZ19" i="9"/>
  <c r="BT19" i="9"/>
  <c r="CJ19" i="9"/>
  <c r="DD19" i="9"/>
  <c r="R25" i="9"/>
  <c r="AM25" i="9"/>
  <c r="BE25" i="9"/>
  <c r="BZ25" i="9"/>
  <c r="CR25" i="9"/>
  <c r="R28" i="9"/>
  <c r="AI28" i="9"/>
  <c r="BE28" i="9"/>
  <c r="BV28" i="9"/>
  <c r="CR28" i="9"/>
  <c r="DE29" i="9"/>
  <c r="CS29" i="9"/>
  <c r="CG29" i="9"/>
  <c r="BU29" i="9"/>
  <c r="BI29" i="9"/>
  <c r="AW29" i="9"/>
  <c r="AK29" i="9"/>
  <c r="Y29" i="9"/>
  <c r="M29" i="9"/>
  <c r="DD29" i="9"/>
  <c r="CQ29" i="9"/>
  <c r="CD29" i="9"/>
  <c r="BQ29" i="9"/>
  <c r="BD29" i="9"/>
  <c r="AQ29" i="9"/>
  <c r="AD29" i="9"/>
  <c r="Q29" i="9"/>
  <c r="C29" i="9"/>
  <c r="DI29" i="9"/>
  <c r="CV29" i="9"/>
  <c r="CI29" i="9"/>
  <c r="BV29" i="9"/>
  <c r="BH29" i="9"/>
  <c r="AU29" i="9"/>
  <c r="AH29" i="9"/>
  <c r="U29" i="9"/>
  <c r="H29" i="9"/>
  <c r="DH29" i="9"/>
  <c r="CU29" i="9"/>
  <c r="CH29" i="9"/>
  <c r="BT29" i="9"/>
  <c r="BG29" i="9"/>
  <c r="AT29" i="9"/>
  <c r="AG29" i="9"/>
  <c r="T29" i="9"/>
  <c r="DG29" i="9"/>
  <c r="BF29" i="9"/>
  <c r="AF29" i="9"/>
  <c r="F29" i="9"/>
  <c r="CT29" i="9"/>
  <c r="CF29" i="9"/>
  <c r="BS29" i="9"/>
  <c r="AS29" i="9"/>
  <c r="S29" i="9"/>
  <c r="W29" i="9"/>
  <c r="AO29" i="9"/>
  <c r="BK29" i="9"/>
  <c r="CB29" i="9"/>
  <c r="CX29" i="9"/>
  <c r="O31" i="9"/>
  <c r="AL31" i="9"/>
  <c r="BF31" i="9"/>
  <c r="CD31" i="9"/>
  <c r="CV31" i="9"/>
  <c r="BP34" i="9"/>
  <c r="AE38" i="9"/>
  <c r="AY38" i="9"/>
  <c r="BW38" i="9"/>
  <c r="CO38" i="9"/>
  <c r="CT39" i="9"/>
  <c r="DH39" i="9"/>
  <c r="CZ39" i="9"/>
  <c r="CR39" i="9"/>
  <c r="J40" i="9"/>
  <c r="AF40" i="9"/>
  <c r="BD40" i="9"/>
  <c r="CD40" i="9"/>
  <c r="R41" i="9"/>
  <c r="AR41" i="9"/>
  <c r="BR41" i="9"/>
  <c r="CN41" i="9"/>
  <c r="E42" i="9"/>
  <c r="AD42" i="9"/>
  <c r="BA42" i="9"/>
  <c r="BY42" i="9"/>
  <c r="CY42" i="9"/>
  <c r="CQ44" i="9"/>
  <c r="P46" i="9"/>
  <c r="AP46" i="9"/>
  <c r="BM46" i="9"/>
  <c r="CK46" i="9"/>
  <c r="C47" i="9"/>
  <c r="AC47" i="9"/>
  <c r="AW47" i="9"/>
  <c r="BW47" i="9"/>
  <c r="CW47" i="9"/>
  <c r="M48" i="9"/>
  <c r="AL48" i="9"/>
  <c r="BO48" i="9"/>
  <c r="CQ48" i="9"/>
  <c r="L49" i="9"/>
  <c r="AP49" i="9"/>
  <c r="BR49" i="9"/>
  <c r="DD49" i="9"/>
  <c r="M51" i="9"/>
  <c r="AU51" i="9"/>
  <c r="CD51" i="9"/>
  <c r="I52" i="9"/>
  <c r="AS52" i="9"/>
  <c r="CC52" i="9"/>
  <c r="DA53" i="9"/>
  <c r="AH56" i="9"/>
  <c r="CC56" i="9"/>
  <c r="O13" i="9"/>
  <c r="AM13" i="9"/>
  <c r="BK13" i="9"/>
  <c r="CI13" i="9"/>
  <c r="DG13" i="9"/>
  <c r="O17" i="9"/>
  <c r="AM17" i="9"/>
  <c r="BK17" i="9"/>
  <c r="DG17" i="9"/>
  <c r="AA21" i="9"/>
  <c r="AY21" i="9"/>
  <c r="BW21" i="9"/>
  <c r="CU21" i="9"/>
  <c r="CY39" i="9"/>
  <c r="CM39" i="9"/>
  <c r="CA39" i="9"/>
  <c r="BO39" i="9"/>
  <c r="BC39" i="9"/>
  <c r="AQ39" i="9"/>
  <c r="AE39" i="9"/>
  <c r="S39" i="9"/>
  <c r="DB39" i="9"/>
  <c r="CO39" i="9"/>
  <c r="CB39" i="9"/>
  <c r="BN39" i="9"/>
  <c r="BA39" i="9"/>
  <c r="AN39" i="9"/>
  <c r="AA39" i="9"/>
  <c r="N39" i="9"/>
  <c r="P39" i="9"/>
  <c r="AD39" i="9"/>
  <c r="AS39" i="9"/>
  <c r="BG39" i="9"/>
  <c r="BU39" i="9"/>
  <c r="CI39" i="9"/>
  <c r="CW39" i="9"/>
  <c r="M43" i="9"/>
  <c r="AB43" i="9"/>
  <c r="AP43" i="9"/>
  <c r="BE43" i="9"/>
  <c r="BS43" i="9"/>
  <c r="CG43" i="9"/>
  <c r="F45" i="9"/>
  <c r="T45" i="9"/>
  <c r="AH45" i="9"/>
  <c r="AV45" i="9"/>
  <c r="BK45" i="9"/>
  <c r="BY45" i="9"/>
  <c r="CM45" i="9"/>
  <c r="DA45" i="9"/>
  <c r="F50" i="9"/>
  <c r="T50" i="9"/>
  <c r="AJ50" i="9"/>
  <c r="AX50" i="9"/>
  <c r="BL50" i="9"/>
  <c r="BZ50" i="9"/>
  <c r="O54" i="9"/>
  <c r="AD54" i="9"/>
  <c r="AS54" i="9"/>
  <c r="BI54" i="9"/>
  <c r="BX54" i="9"/>
  <c r="M55" i="9"/>
  <c r="AB55" i="9"/>
  <c r="AQ55" i="9"/>
  <c r="BH55" i="9"/>
  <c r="BW55" i="9"/>
  <c r="CU58" i="9"/>
  <c r="CZ59" i="9"/>
  <c r="CN59" i="9"/>
  <c r="CB59" i="9"/>
  <c r="BP59" i="9"/>
  <c r="BD59" i="9"/>
  <c r="AR59" i="9"/>
  <c r="AF59" i="9"/>
  <c r="T59" i="9"/>
  <c r="H59" i="9"/>
  <c r="DG59" i="9"/>
  <c r="CT59" i="9"/>
  <c r="CG59" i="9"/>
  <c r="BT59" i="9"/>
  <c r="BG59" i="9"/>
  <c r="AT59" i="9"/>
  <c r="AG59" i="9"/>
  <c r="S59" i="9"/>
  <c r="F59" i="9"/>
  <c r="DE59" i="9"/>
  <c r="CQ59" i="9"/>
  <c r="CC59" i="9"/>
  <c r="BN59" i="9"/>
  <c r="AZ59" i="9"/>
  <c r="AL59" i="9"/>
  <c r="X59" i="9"/>
  <c r="J59" i="9"/>
  <c r="R59" i="9"/>
  <c r="AI59" i="9"/>
  <c r="AX59" i="9"/>
  <c r="BM59" i="9"/>
  <c r="CD59" i="9"/>
  <c r="CS59" i="9"/>
  <c r="DI59" i="9"/>
  <c r="CQ60" i="9"/>
  <c r="DF60" i="9"/>
  <c r="M61" i="9"/>
  <c r="AE61" i="9"/>
  <c r="AV61" i="9"/>
  <c r="BM61" i="9"/>
  <c r="CC61" i="9"/>
  <c r="CV61" i="9"/>
  <c r="M63" i="9"/>
  <c r="AC63" i="9"/>
  <c r="AV63" i="9"/>
  <c r="BM63" i="9"/>
  <c r="CD63" i="9"/>
  <c r="CT63" i="9"/>
  <c r="M65" i="9"/>
  <c r="AE65" i="9"/>
  <c r="AY65" i="9"/>
  <c r="BP65" i="9"/>
  <c r="CG65" i="9"/>
  <c r="R66" i="9"/>
  <c r="AL66" i="9"/>
  <c r="BF66" i="9"/>
  <c r="DB66" i="9" s="1"/>
  <c r="BY66" i="9"/>
  <c r="CW66" i="9"/>
  <c r="O69" i="9"/>
  <c r="AM69" i="9"/>
  <c r="BK69" i="9"/>
  <c r="CE69" i="9"/>
  <c r="CZ70" i="9"/>
  <c r="Q71" i="9"/>
  <c r="AT71" i="9"/>
  <c r="BR71" i="9"/>
  <c r="CO72" i="9"/>
  <c r="AA13" i="9"/>
  <c r="AY13" i="9"/>
  <c r="BW13" i="9"/>
  <c r="CU13" i="9"/>
  <c r="AA17" i="9"/>
  <c r="AY17" i="9"/>
  <c r="CU17" i="9"/>
  <c r="O21" i="9"/>
  <c r="AM21" i="9"/>
  <c r="BK21" i="9"/>
  <c r="CI21" i="9"/>
  <c r="DG21" i="9"/>
  <c r="C13" i="9"/>
  <c r="P13" i="9"/>
  <c r="AB13" i="9"/>
  <c r="AN13" i="9"/>
  <c r="AZ13" i="9"/>
  <c r="BL13" i="9"/>
  <c r="BX13" i="9"/>
  <c r="CJ13" i="9"/>
  <c r="CV13" i="9"/>
  <c r="DH13" i="9"/>
  <c r="C17" i="9"/>
  <c r="CK17" i="9" s="1"/>
  <c r="P17" i="9"/>
  <c r="AB17" i="9"/>
  <c r="AN17" i="9"/>
  <c r="AZ17" i="9"/>
  <c r="BL17" i="9"/>
  <c r="CV17" i="9"/>
  <c r="DH17" i="9"/>
  <c r="C21" i="9"/>
  <c r="CA21" i="9" s="1"/>
  <c r="P21" i="9"/>
  <c r="AB21" i="9"/>
  <c r="AN21" i="9"/>
  <c r="AZ21" i="9"/>
  <c r="BL21" i="9"/>
  <c r="BX21" i="9"/>
  <c r="CJ21" i="9"/>
  <c r="CV21" i="9"/>
  <c r="DH21" i="9"/>
  <c r="DB34" i="9"/>
  <c r="CP34" i="9"/>
  <c r="CD34" i="9"/>
  <c r="BR34" i="9"/>
  <c r="BF34" i="9"/>
  <c r="AT34" i="9"/>
  <c r="AH34" i="9"/>
  <c r="V34" i="9"/>
  <c r="J34" i="9"/>
  <c r="DI34" i="9"/>
  <c r="CV34" i="9"/>
  <c r="CI34" i="9"/>
  <c r="BV34" i="9"/>
  <c r="BI34" i="9"/>
  <c r="AV34" i="9"/>
  <c r="AI34" i="9"/>
  <c r="U34" i="9"/>
  <c r="H34" i="9"/>
  <c r="Q34" i="9"/>
  <c r="AE34" i="9"/>
  <c r="AS34" i="9"/>
  <c r="BH34" i="9"/>
  <c r="BW34" i="9"/>
  <c r="CK34" i="9"/>
  <c r="CY34" i="9"/>
  <c r="C39" i="9"/>
  <c r="Q39" i="9"/>
  <c r="AF39" i="9"/>
  <c r="AT39" i="9"/>
  <c r="BH39" i="9"/>
  <c r="BV39" i="9"/>
  <c r="CJ39" i="9"/>
  <c r="CX39" i="9"/>
  <c r="O43" i="9"/>
  <c r="AC43" i="9"/>
  <c r="AR43" i="9"/>
  <c r="BF43" i="9"/>
  <c r="BT43" i="9"/>
  <c r="CH43" i="9"/>
  <c r="DH44" i="9"/>
  <c r="CV44" i="9"/>
  <c r="CJ44" i="9"/>
  <c r="BX44" i="9"/>
  <c r="BL44" i="9"/>
  <c r="AZ44" i="9"/>
  <c r="AN44" i="9"/>
  <c r="AB44" i="9"/>
  <c r="P44" i="9"/>
  <c r="C44" i="9"/>
  <c r="DI44" i="9"/>
  <c r="CU44" i="9"/>
  <c r="CH44" i="9"/>
  <c r="BU44" i="9"/>
  <c r="BH44" i="9"/>
  <c r="AU44" i="9"/>
  <c r="AH44" i="9"/>
  <c r="U44" i="9"/>
  <c r="H44" i="9"/>
  <c r="R44" i="9"/>
  <c r="AF44" i="9"/>
  <c r="AT44" i="9"/>
  <c r="BI44" i="9"/>
  <c r="BW44" i="9"/>
  <c r="CL44" i="9"/>
  <c r="CZ44" i="9"/>
  <c r="U45" i="9"/>
  <c r="AI45" i="9"/>
  <c r="AX45" i="9"/>
  <c r="BL45" i="9"/>
  <c r="BZ45" i="9"/>
  <c r="CN45" i="9"/>
  <c r="DC45" i="9"/>
  <c r="W50" i="9"/>
  <c r="AK50" i="9"/>
  <c r="AY50" i="9"/>
  <c r="BM50" i="9"/>
  <c r="CA50" i="9"/>
  <c r="DF53" i="9"/>
  <c r="CT53" i="9"/>
  <c r="CH53" i="9"/>
  <c r="BV53" i="9"/>
  <c r="BJ53" i="9"/>
  <c r="AX53" i="9"/>
  <c r="AL53" i="9"/>
  <c r="Z53" i="9"/>
  <c r="N53" i="9"/>
  <c r="DE53" i="9"/>
  <c r="CR53" i="9"/>
  <c r="CE53" i="9"/>
  <c r="BR53" i="9"/>
  <c r="BE53" i="9"/>
  <c r="AR53" i="9"/>
  <c r="AE53" i="9"/>
  <c r="R53" i="9"/>
  <c r="E53" i="9"/>
  <c r="CZ53" i="9"/>
  <c r="CL53" i="9"/>
  <c r="BX53" i="9"/>
  <c r="BI53" i="9"/>
  <c r="AU53" i="9"/>
  <c r="AG53" i="9"/>
  <c r="S53" i="9"/>
  <c r="C53" i="9"/>
  <c r="T53" i="9"/>
  <c r="AI53" i="9"/>
  <c r="AY53" i="9"/>
  <c r="BN53" i="9"/>
  <c r="CC53" i="9"/>
  <c r="CS53" i="9"/>
  <c r="DI53" i="9"/>
  <c r="P54" i="9"/>
  <c r="AE54" i="9"/>
  <c r="AT54" i="9"/>
  <c r="BJ54" i="9"/>
  <c r="BZ54" i="9"/>
  <c r="N55" i="9"/>
  <c r="AC55" i="9"/>
  <c r="AT55" i="9"/>
  <c r="BI55" i="9"/>
  <c r="BX55" i="9"/>
  <c r="CV58" i="9"/>
  <c r="C59" i="9"/>
  <c r="U59" i="9"/>
  <c r="AJ59" i="9"/>
  <c r="AY59" i="9"/>
  <c r="BO59" i="9"/>
  <c r="CE59" i="9"/>
  <c r="CU59" i="9"/>
  <c r="DI60" i="9"/>
  <c r="CW60" i="9"/>
  <c r="CK60" i="9"/>
  <c r="BY60" i="9"/>
  <c r="BM60" i="9"/>
  <c r="BA60" i="9"/>
  <c r="AO60" i="9"/>
  <c r="AC60" i="9"/>
  <c r="Q60" i="9"/>
  <c r="E60" i="9"/>
  <c r="DA60" i="9"/>
  <c r="CN60" i="9"/>
  <c r="CA60" i="9"/>
  <c r="BN60" i="9"/>
  <c r="AZ60" i="9"/>
  <c r="AM60" i="9"/>
  <c r="Z60" i="9"/>
  <c r="M60" i="9"/>
  <c r="DH60" i="9"/>
  <c r="CT60" i="9"/>
  <c r="CF60" i="9"/>
  <c r="BR60" i="9"/>
  <c r="BD60" i="9"/>
  <c r="AP60" i="9"/>
  <c r="AA60" i="9"/>
  <c r="L60" i="9"/>
  <c r="S60" i="9"/>
  <c r="AH60" i="9"/>
  <c r="AW60" i="9"/>
  <c r="BL60" i="9"/>
  <c r="CC60" i="9"/>
  <c r="CR60" i="9"/>
  <c r="DG60" i="9"/>
  <c r="P61" i="9"/>
  <c r="AF61" i="9"/>
  <c r="AW61" i="9"/>
  <c r="BN61" i="9"/>
  <c r="CD61" i="9"/>
  <c r="N63" i="9"/>
  <c r="AD63" i="9"/>
  <c r="AX63" i="9"/>
  <c r="BN63" i="9"/>
  <c r="CE63" i="9"/>
  <c r="CV63" i="9"/>
  <c r="O65" i="9"/>
  <c r="AF65" i="9"/>
  <c r="AZ65" i="9"/>
  <c r="BQ65" i="9"/>
  <c r="CK65" i="9"/>
  <c r="S66" i="9"/>
  <c r="AN66" i="9"/>
  <c r="BH66" i="9"/>
  <c r="CC66" i="9"/>
  <c r="CX66" i="9"/>
  <c r="P69" i="9"/>
  <c r="AP69" i="9"/>
  <c r="BM69" i="9"/>
  <c r="CF69" i="9"/>
  <c r="DB70" i="9"/>
  <c r="S71" i="9"/>
  <c r="AU71" i="9"/>
  <c r="BT71" i="9"/>
  <c r="CR72" i="9"/>
  <c r="DI96" i="9"/>
  <c r="CW96" i="9"/>
  <c r="BM96" i="9"/>
  <c r="BA96" i="9"/>
  <c r="AO96" i="9"/>
  <c r="AC96" i="9"/>
  <c r="Q96" i="9"/>
  <c r="E96" i="9"/>
  <c r="DA96" i="9"/>
  <c r="CN96" i="9"/>
  <c r="AZ96" i="9"/>
  <c r="AM96" i="9"/>
  <c r="Z96" i="9"/>
  <c r="M96" i="9"/>
  <c r="CV96" i="9"/>
  <c r="BF96" i="9"/>
  <c r="AR96" i="9"/>
  <c r="AD96" i="9"/>
  <c r="O96" i="9"/>
  <c r="DB96" i="9"/>
  <c r="CM96" i="9"/>
  <c r="BJ96" i="9"/>
  <c r="AV96" i="9"/>
  <c r="AH96" i="9"/>
  <c r="T96" i="9"/>
  <c r="F96" i="9"/>
  <c r="DE96" i="9"/>
  <c r="CO96" i="9"/>
  <c r="BE96" i="9"/>
  <c r="AN96" i="9"/>
  <c r="W96" i="9"/>
  <c r="CS96" i="9"/>
  <c r="BK96" i="9"/>
  <c r="AT96" i="9"/>
  <c r="AB96" i="9"/>
  <c r="K96" i="9"/>
  <c r="DH96" i="9"/>
  <c r="CR96" i="9"/>
  <c r="BI96" i="9"/>
  <c r="AS96" i="9"/>
  <c r="AA96" i="9"/>
  <c r="J96" i="9"/>
  <c r="DG96" i="9"/>
  <c r="CQ96" i="9"/>
  <c r="BZ96" i="9"/>
  <c r="BH96" i="9"/>
  <c r="AQ96" i="9"/>
  <c r="Y96" i="9"/>
  <c r="I96" i="9"/>
  <c r="CY96" i="9"/>
  <c r="AY96" i="9"/>
  <c r="X96" i="9"/>
  <c r="CX96" i="9"/>
  <c r="AX96" i="9"/>
  <c r="CH96" i="9" s="1"/>
  <c r="V96" i="9"/>
  <c r="CU96" i="9"/>
  <c r="AW96" i="9"/>
  <c r="U96" i="9"/>
  <c r="CT96" i="9"/>
  <c r="AU96" i="9"/>
  <c r="S96" i="9"/>
  <c r="CP96" i="9"/>
  <c r="AP96" i="9"/>
  <c r="R96" i="9"/>
  <c r="CL96" i="9"/>
  <c r="AL96" i="9"/>
  <c r="P96" i="9"/>
  <c r="AK96" i="9"/>
  <c r="N96" i="9"/>
  <c r="BL96" i="9"/>
  <c r="AJ96" i="9"/>
  <c r="L96" i="9"/>
  <c r="DF96" i="9"/>
  <c r="BG96" i="9"/>
  <c r="AI96" i="9"/>
  <c r="H96" i="9"/>
  <c r="DD96" i="9"/>
  <c r="BD96" i="9"/>
  <c r="AG96" i="9"/>
  <c r="DC96" i="9"/>
  <c r="BC96" i="9"/>
  <c r="AF96" i="9"/>
  <c r="C96" i="9"/>
  <c r="BT96" i="9" s="1"/>
  <c r="CZ96" i="9"/>
  <c r="CD96" i="9"/>
  <c r="BB96" i="9"/>
  <c r="AE96" i="9"/>
  <c r="CY43" i="9"/>
  <c r="CM43" i="9"/>
  <c r="CA43" i="9"/>
  <c r="BO43" i="9"/>
  <c r="BC43" i="9"/>
  <c r="AQ43" i="9"/>
  <c r="AE43" i="9"/>
  <c r="S43" i="9"/>
  <c r="DB43" i="9"/>
  <c r="CO43" i="9"/>
  <c r="CB43" i="9"/>
  <c r="BN43" i="9"/>
  <c r="BA43" i="9"/>
  <c r="AN43" i="9"/>
  <c r="AA43" i="9"/>
  <c r="N43" i="9"/>
  <c r="P43" i="9"/>
  <c r="AD43" i="9"/>
  <c r="AS43" i="9"/>
  <c r="BG43" i="9"/>
  <c r="BU43" i="9"/>
  <c r="CI43" i="9"/>
  <c r="CW43" i="9"/>
  <c r="H45" i="9"/>
  <c r="V45" i="9"/>
  <c r="AJ45" i="9"/>
  <c r="AY45" i="9"/>
  <c r="BM45" i="9"/>
  <c r="CA45" i="9"/>
  <c r="CP45" i="9"/>
  <c r="DD45" i="9"/>
  <c r="I50" i="9"/>
  <c r="X50" i="9"/>
  <c r="AL50" i="9"/>
  <c r="AZ50" i="9"/>
  <c r="BN50" i="9"/>
  <c r="CB50" i="9"/>
  <c r="CE54" i="9"/>
  <c r="BS54" i="9"/>
  <c r="BG54" i="9"/>
  <c r="AU54" i="9"/>
  <c r="AI54" i="9"/>
  <c r="W54" i="9"/>
  <c r="K54" i="9"/>
  <c r="BY54" i="9"/>
  <c r="BL54" i="9"/>
  <c r="AY54" i="9"/>
  <c r="AL54" i="9"/>
  <c r="Y54" i="9"/>
  <c r="L54" i="9"/>
  <c r="CA54" i="9"/>
  <c r="BM54" i="9"/>
  <c r="AX54" i="9"/>
  <c r="AJ54" i="9"/>
  <c r="U54" i="9"/>
  <c r="Q54" i="9"/>
  <c r="AF54" i="9"/>
  <c r="AV54" i="9"/>
  <c r="BK54" i="9"/>
  <c r="CB54" i="9"/>
  <c r="O55" i="9"/>
  <c r="AD55" i="9"/>
  <c r="AU55" i="9"/>
  <c r="BJ55" i="9"/>
  <c r="BY55" i="9"/>
  <c r="CW58" i="9"/>
  <c r="CV59" i="9"/>
  <c r="CS60" i="9"/>
  <c r="DF61" i="9"/>
  <c r="CT61" i="9"/>
  <c r="CH61" i="9"/>
  <c r="BV61" i="9"/>
  <c r="BJ61" i="9"/>
  <c r="AX61" i="9"/>
  <c r="AL61" i="9"/>
  <c r="Z61" i="9"/>
  <c r="N61" i="9"/>
  <c r="DH61" i="9"/>
  <c r="CU61" i="9"/>
  <c r="CG61" i="9"/>
  <c r="BT61" i="9"/>
  <c r="BG61" i="9"/>
  <c r="AT61" i="9"/>
  <c r="AG61" i="9"/>
  <c r="T61" i="9"/>
  <c r="DI61" i="9"/>
  <c r="CS61" i="9"/>
  <c r="CE61" i="9"/>
  <c r="BQ61" i="9"/>
  <c r="BC61" i="9"/>
  <c r="AO61" i="9"/>
  <c r="AA61" i="9"/>
  <c r="CW61" i="9"/>
  <c r="CI61" i="9"/>
  <c r="BS61" i="9"/>
  <c r="BE61" i="9"/>
  <c r="AQ61" i="9"/>
  <c r="AC61" i="9"/>
  <c r="O61" i="9"/>
  <c r="Q61" i="9"/>
  <c r="AH61" i="9"/>
  <c r="AY61" i="9"/>
  <c r="BO61" i="9"/>
  <c r="CF61" i="9"/>
  <c r="CY61" i="9"/>
  <c r="O63" i="9"/>
  <c r="AG63" i="9"/>
  <c r="AY63" i="9"/>
  <c r="BO63" i="9"/>
  <c r="CF63" i="9"/>
  <c r="CW63" i="9"/>
  <c r="P65" i="9"/>
  <c r="AI65" i="9"/>
  <c r="BA65" i="9"/>
  <c r="BR65" i="9"/>
  <c r="T66" i="9"/>
  <c r="AP66" i="9"/>
  <c r="BI66" i="9"/>
  <c r="CG66" i="9"/>
  <c r="Q69" i="9"/>
  <c r="AQ69" i="9"/>
  <c r="BN69" i="9"/>
  <c r="CG69" i="9"/>
  <c r="DH69" i="9"/>
  <c r="AA71" i="9"/>
  <c r="AV71" i="9"/>
  <c r="BY71" i="9"/>
  <c r="CZ72" i="9"/>
  <c r="P55" i="9"/>
  <c r="AG55" i="9"/>
  <c r="AV55" i="9"/>
  <c r="BK55" i="9"/>
  <c r="BZ55" i="9"/>
  <c r="CX58" i="9"/>
  <c r="CW59" i="9"/>
  <c r="CU60" i="9"/>
  <c r="CZ61" i="9"/>
  <c r="P63" i="9"/>
  <c r="AJ63" i="9"/>
  <c r="AZ63" i="9"/>
  <c r="BQ63" i="9"/>
  <c r="CG63" i="9"/>
  <c r="Q65" i="9"/>
  <c r="AJ65" i="9"/>
  <c r="BB65" i="9"/>
  <c r="BT65" i="9"/>
  <c r="CQ66" i="9"/>
  <c r="CE66" i="9"/>
  <c r="BS66" i="9"/>
  <c r="BG66" i="9"/>
  <c r="AU66" i="9"/>
  <c r="AI66" i="9"/>
  <c r="W66" i="9"/>
  <c r="K66" i="9"/>
  <c r="CB66" i="9"/>
  <c r="BO66" i="9"/>
  <c r="BB66" i="9"/>
  <c r="AO66" i="9"/>
  <c r="AB66" i="9"/>
  <c r="O66" i="9"/>
  <c r="DE66" i="9"/>
  <c r="CP66" i="9"/>
  <c r="CA66" i="9"/>
  <c r="BM66" i="9"/>
  <c r="AY66" i="9"/>
  <c r="AK66" i="9"/>
  <c r="V66" i="9"/>
  <c r="H66" i="9"/>
  <c r="DG66" i="9"/>
  <c r="CS66" i="9"/>
  <c r="CD66" i="9"/>
  <c r="BP66" i="9"/>
  <c r="BA66" i="9"/>
  <c r="AM66" i="9"/>
  <c r="Y66" i="9"/>
  <c r="J66" i="9"/>
  <c r="CT66" i="9"/>
  <c r="BZ66" i="9"/>
  <c r="BJ66" i="9"/>
  <c r="AS66" i="9"/>
  <c r="AC66" i="9"/>
  <c r="L66" i="9"/>
  <c r="CV66" i="9"/>
  <c r="CF66" i="9"/>
  <c r="BL66" i="9"/>
  <c r="AV66" i="9"/>
  <c r="AE66" i="9"/>
  <c r="N66" i="9"/>
  <c r="U66" i="9"/>
  <c r="AQ66" i="9"/>
  <c r="BK66" i="9"/>
  <c r="CH66" i="9"/>
  <c r="CZ66" i="9"/>
  <c r="U69" i="9"/>
  <c r="AR69" i="9"/>
  <c r="BO69" i="9"/>
  <c r="CK69" i="9"/>
  <c r="DA70" i="9"/>
  <c r="CM70" i="9"/>
  <c r="DE70" i="9"/>
  <c r="CO70" i="9"/>
  <c r="DI70" i="9"/>
  <c r="CS70" i="9"/>
  <c r="CW70" i="9"/>
  <c r="CV70" i="9"/>
  <c r="CU70" i="9"/>
  <c r="DG70" i="9"/>
  <c r="AB71" i="9"/>
  <c r="AX71" i="9"/>
  <c r="BZ71" i="9"/>
  <c r="DA72" i="9"/>
  <c r="CX59" i="9"/>
  <c r="DA63" i="9"/>
  <c r="DB72" i="9"/>
  <c r="CE87" i="9"/>
  <c r="CB55" i="9"/>
  <c r="BP55" i="9"/>
  <c r="BD55" i="9"/>
  <c r="AR55" i="9"/>
  <c r="AF55" i="9"/>
  <c r="T55" i="9"/>
  <c r="H55" i="9"/>
  <c r="CF55" i="9"/>
  <c r="BS55" i="9"/>
  <c r="BF55" i="9"/>
  <c r="DC55" i="9" s="1"/>
  <c r="AS55" i="9"/>
  <c r="AE55" i="9"/>
  <c r="R55" i="9"/>
  <c r="E55" i="9"/>
  <c r="CR55" i="9"/>
  <c r="CD55" i="9"/>
  <c r="BO55" i="9"/>
  <c r="BA55" i="9"/>
  <c r="AM55" i="9"/>
  <c r="Y55" i="9"/>
  <c r="K55" i="9"/>
  <c r="S55" i="9"/>
  <c r="AI55" i="9"/>
  <c r="AX55" i="9"/>
  <c r="BM55" i="9"/>
  <c r="CC55" i="9"/>
  <c r="CT55" i="9"/>
  <c r="CY59" i="9"/>
  <c r="CX60" i="9"/>
  <c r="CL61" i="9"/>
  <c r="DB61" i="9"/>
  <c r="CZ63" i="9"/>
  <c r="CN63" i="9"/>
  <c r="CB63" i="9"/>
  <c r="BP63" i="9"/>
  <c r="BD63" i="9"/>
  <c r="AR63" i="9"/>
  <c r="AF63" i="9"/>
  <c r="T63" i="9"/>
  <c r="H63" i="9"/>
  <c r="DH63" i="9"/>
  <c r="CU63" i="9"/>
  <c r="CH63" i="9"/>
  <c r="BU63" i="9"/>
  <c r="BH63" i="9"/>
  <c r="AU63" i="9"/>
  <c r="AH63" i="9"/>
  <c r="U63" i="9"/>
  <c r="CY63" i="9"/>
  <c r="CK63" i="9"/>
  <c r="BW63" i="9"/>
  <c r="BI63" i="9"/>
  <c r="AT63" i="9"/>
  <c r="AE63" i="9"/>
  <c r="Q63" i="9"/>
  <c r="C63" i="9"/>
  <c r="DB63" i="9"/>
  <c r="CM63" i="9"/>
  <c r="BY63" i="9"/>
  <c r="BK63" i="9"/>
  <c r="AW63" i="9"/>
  <c r="AI63" i="9"/>
  <c r="S63" i="9"/>
  <c r="F63" i="9"/>
  <c r="V63" i="9"/>
  <c r="AL63" i="9"/>
  <c r="BB63" i="9"/>
  <c r="BS63" i="9"/>
  <c r="CJ63" i="9"/>
  <c r="DC63" i="9"/>
  <c r="DF65" i="9"/>
  <c r="CH65" i="9"/>
  <c r="BV65" i="9"/>
  <c r="BJ65" i="9"/>
  <c r="AX65" i="9"/>
  <c r="AL65" i="9"/>
  <c r="Z65" i="9"/>
  <c r="N65" i="9"/>
  <c r="DI65" i="9"/>
  <c r="CV65" i="9"/>
  <c r="CI65" i="9"/>
  <c r="BU65" i="9"/>
  <c r="BH65" i="9"/>
  <c r="AU65" i="9"/>
  <c r="AH65" i="9"/>
  <c r="U65" i="9"/>
  <c r="H65" i="9"/>
  <c r="CM65" i="9"/>
  <c r="BY65" i="9"/>
  <c r="BK65" i="9"/>
  <c r="AV65" i="9"/>
  <c r="AG65" i="9"/>
  <c r="S65" i="9"/>
  <c r="CZ65" i="9"/>
  <c r="CJ65" i="9"/>
  <c r="BS65" i="9"/>
  <c r="BD65" i="9"/>
  <c r="AO65" i="9"/>
  <c r="Y65" i="9"/>
  <c r="J65" i="9"/>
  <c r="DD65" i="9"/>
  <c r="CL65" i="9"/>
  <c r="BW65" i="9"/>
  <c r="BF65" i="9"/>
  <c r="CO65" i="9" s="1"/>
  <c r="AQ65" i="9"/>
  <c r="AB65" i="9"/>
  <c r="L65" i="9"/>
  <c r="T65" i="9"/>
  <c r="AM65" i="9"/>
  <c r="BE65" i="9"/>
  <c r="BZ65" i="9"/>
  <c r="CR65" i="9"/>
  <c r="CH69" i="9"/>
  <c r="BV69" i="9"/>
  <c r="BJ69" i="9"/>
  <c r="AX69" i="9"/>
  <c r="AL69" i="9"/>
  <c r="Z69" i="9"/>
  <c r="N69" i="9"/>
  <c r="CW69" i="9"/>
  <c r="CJ69" i="9"/>
  <c r="BW69" i="9"/>
  <c r="BI69" i="9"/>
  <c r="AV69" i="9"/>
  <c r="AI69" i="9"/>
  <c r="V69" i="9"/>
  <c r="I69" i="9"/>
  <c r="BX69" i="9"/>
  <c r="BH69" i="9"/>
  <c r="AT69" i="9"/>
  <c r="AF69" i="9"/>
  <c r="R69" i="9"/>
  <c r="C69" i="9"/>
  <c r="BZ69" i="9"/>
  <c r="BL69" i="9"/>
  <c r="AW69" i="9"/>
  <c r="AH69" i="9"/>
  <c r="T69" i="9"/>
  <c r="F69" i="9"/>
  <c r="DA69" i="9"/>
  <c r="CI69" i="9"/>
  <c r="BR69" i="9"/>
  <c r="BB69" i="9"/>
  <c r="AK69" i="9"/>
  <c r="S69" i="9"/>
  <c r="BU69" i="9"/>
  <c r="BE69" i="9"/>
  <c r="AO69" i="9"/>
  <c r="X69" i="9"/>
  <c r="DD69" i="9"/>
  <c r="BT69" i="9"/>
  <c r="BD69" i="9"/>
  <c r="AN69" i="9"/>
  <c r="W69" i="9"/>
  <c r="E69" i="9"/>
  <c r="AA69" i="9"/>
  <c r="AU69" i="9"/>
  <c r="BQ69" i="9"/>
  <c r="CN71" i="9"/>
  <c r="CB71" i="9"/>
  <c r="BP71" i="9"/>
  <c r="BD71" i="9"/>
  <c r="AR71" i="9"/>
  <c r="AF71" i="9"/>
  <c r="T71" i="9"/>
  <c r="H71" i="9"/>
  <c r="CJ71" i="9"/>
  <c r="BW71" i="9"/>
  <c r="BJ71" i="9"/>
  <c r="AW71" i="9"/>
  <c r="AJ71" i="9"/>
  <c r="W71" i="9"/>
  <c r="J71" i="9"/>
  <c r="CC71" i="9"/>
  <c r="BN71" i="9"/>
  <c r="AZ71" i="9"/>
  <c r="AL71" i="9"/>
  <c r="X71" i="9"/>
  <c r="I71" i="9"/>
  <c r="DG71" i="9"/>
  <c r="CE71" i="9"/>
  <c r="BQ71" i="9"/>
  <c r="BB71" i="9"/>
  <c r="AN71" i="9"/>
  <c r="Z71" i="9"/>
  <c r="L71" i="9"/>
  <c r="CI71" i="9"/>
  <c r="BS71" i="9"/>
  <c r="BA71" i="9"/>
  <c r="AI71" i="9"/>
  <c r="R71" i="9"/>
  <c r="BX71" i="9"/>
  <c r="BG71" i="9"/>
  <c r="AP71" i="9"/>
  <c r="Y71" i="9"/>
  <c r="F71" i="9"/>
  <c r="BV71" i="9"/>
  <c r="BF71" i="9"/>
  <c r="AO71" i="9"/>
  <c r="V71" i="9"/>
  <c r="E71" i="9"/>
  <c r="BU71" i="9"/>
  <c r="BE71" i="9"/>
  <c r="AM71" i="9"/>
  <c r="U71" i="9"/>
  <c r="C71" i="9"/>
  <c r="AD71" i="9"/>
  <c r="BC71" i="9"/>
  <c r="CD71" i="9"/>
  <c r="DA59" i="9"/>
  <c r="DG72" i="9"/>
  <c r="CT72" i="9"/>
  <c r="CS72" i="9"/>
  <c r="CV72" i="9"/>
  <c r="CP72" i="9"/>
  <c r="CY72" i="9"/>
  <c r="CX72" i="9"/>
  <c r="CU72" i="9"/>
  <c r="DE72" i="9"/>
  <c r="CL59" i="9"/>
  <c r="DB59" i="9"/>
  <c r="CZ60" i="9"/>
  <c r="CN61" i="9"/>
  <c r="DD61" i="9"/>
  <c r="CO63" i="9"/>
  <c r="DE63" i="9"/>
  <c r="H69" i="9"/>
  <c r="AC69" i="9"/>
  <c r="AZ69" i="9"/>
  <c r="BY69" i="9"/>
  <c r="CS69" i="9"/>
  <c r="DF72" i="9"/>
  <c r="CM59" i="9"/>
  <c r="DC59" i="9"/>
  <c r="CP63" i="9"/>
  <c r="DF63" i="9"/>
  <c r="DH72" i="9"/>
  <c r="Q45" i="9"/>
  <c r="AS45" i="9"/>
  <c r="CO59" i="9"/>
  <c r="DC60" i="9"/>
  <c r="CP61" i="9"/>
  <c r="CQ63" i="9"/>
  <c r="CL72" i="9"/>
  <c r="DE45" i="9"/>
  <c r="CS45" i="9"/>
  <c r="CG45" i="9"/>
  <c r="BU45" i="9"/>
  <c r="BI45" i="9"/>
  <c r="AW45" i="9"/>
  <c r="AK45" i="9"/>
  <c r="Y45" i="9"/>
  <c r="M45" i="9"/>
  <c r="DB45" i="9"/>
  <c r="CO45" i="9"/>
  <c r="CB45" i="9"/>
  <c r="BO45" i="9"/>
  <c r="BB45" i="9"/>
  <c r="AO45" i="9"/>
  <c r="AB45" i="9"/>
  <c r="O45" i="9"/>
  <c r="AE45" i="9"/>
  <c r="BG45" i="9"/>
  <c r="CJ45" i="9"/>
  <c r="CX45" i="9"/>
  <c r="DB50" i="9"/>
  <c r="CD50" i="9"/>
  <c r="BR50" i="9"/>
  <c r="BF50" i="9"/>
  <c r="DD50" i="9" s="1"/>
  <c r="AT50" i="9"/>
  <c r="AH50" i="9"/>
  <c r="V50" i="9"/>
  <c r="J50" i="9"/>
  <c r="CI50" i="9"/>
  <c r="BV50" i="9"/>
  <c r="BI50" i="9"/>
  <c r="AV50" i="9"/>
  <c r="AI50" i="9"/>
  <c r="U50" i="9"/>
  <c r="H50" i="9"/>
  <c r="Q50" i="9"/>
  <c r="AE50" i="9"/>
  <c r="AS50" i="9"/>
  <c r="BW50" i="9"/>
  <c r="CK50" i="9"/>
  <c r="M13" i="9"/>
  <c r="Y13" i="9"/>
  <c r="AK13" i="9"/>
  <c r="AW13" i="9"/>
  <c r="BI13" i="9"/>
  <c r="BU13" i="9"/>
  <c r="CG13" i="9"/>
  <c r="CS13" i="9"/>
  <c r="M17" i="9"/>
  <c r="Y17" i="9"/>
  <c r="AK17" i="9"/>
  <c r="AW17" i="9"/>
  <c r="BI17" i="9"/>
  <c r="BU17" i="9"/>
  <c r="CG17" i="9"/>
  <c r="CS17" i="9"/>
  <c r="M21" i="9"/>
  <c r="Y21" i="9"/>
  <c r="AK21" i="9"/>
  <c r="AW21" i="9"/>
  <c r="BI21" i="9"/>
  <c r="BU21" i="9"/>
  <c r="CG21" i="9"/>
  <c r="CS21" i="9"/>
  <c r="N34" i="9"/>
  <c r="AB34" i="9"/>
  <c r="AP34" i="9"/>
  <c r="BD34" i="9"/>
  <c r="BS34" i="9"/>
  <c r="CG34" i="9"/>
  <c r="CU34" i="9"/>
  <c r="CY35" i="9"/>
  <c r="CM35" i="9"/>
  <c r="CA35" i="9"/>
  <c r="BO35" i="9"/>
  <c r="BC35" i="9"/>
  <c r="AQ35" i="9"/>
  <c r="AE35" i="9"/>
  <c r="S35" i="9"/>
  <c r="DB35" i="9"/>
  <c r="CO35" i="9"/>
  <c r="CB35" i="9"/>
  <c r="BN35" i="9"/>
  <c r="BA35" i="9"/>
  <c r="AN35" i="9"/>
  <c r="AA35" i="9"/>
  <c r="N35" i="9"/>
  <c r="P35" i="9"/>
  <c r="AD35" i="9"/>
  <c r="AS35" i="9"/>
  <c r="BG35" i="9"/>
  <c r="BU35" i="9"/>
  <c r="CI35" i="9"/>
  <c r="CW35" i="9"/>
  <c r="M39" i="9"/>
  <c r="AB39" i="9"/>
  <c r="AP39" i="9"/>
  <c r="BE39" i="9"/>
  <c r="BS39" i="9"/>
  <c r="CG39" i="9"/>
  <c r="CU39" i="9"/>
  <c r="DI39" i="9"/>
  <c r="K43" i="9"/>
  <c r="Y43" i="9"/>
  <c r="AM43" i="9"/>
  <c r="BB43" i="9"/>
  <c r="BQ43" i="9"/>
  <c r="CE43" i="9"/>
  <c r="CS43" i="9"/>
  <c r="DG43" i="9"/>
  <c r="N44" i="9"/>
  <c r="AC44" i="9"/>
  <c r="AQ44" i="9"/>
  <c r="BE44" i="9"/>
  <c r="BS44" i="9"/>
  <c r="CG44" i="9"/>
  <c r="CW44" i="9"/>
  <c r="C45" i="9"/>
  <c r="R45" i="9"/>
  <c r="AF45" i="9"/>
  <c r="AT45" i="9"/>
  <c r="BH45" i="9"/>
  <c r="BW45" i="9"/>
  <c r="CK45" i="9"/>
  <c r="CY45" i="9"/>
  <c r="C50" i="9"/>
  <c r="R50" i="9"/>
  <c r="AF50" i="9"/>
  <c r="AU50" i="9"/>
  <c r="BJ50" i="9"/>
  <c r="BX50" i="9"/>
  <c r="CZ50" i="9"/>
  <c r="O53" i="9"/>
  <c r="AD53" i="9"/>
  <c r="AT53" i="9"/>
  <c r="BK53" i="9"/>
  <c r="BZ53" i="9"/>
  <c r="CO53" i="9"/>
  <c r="DD53" i="9"/>
  <c r="M54" i="9"/>
  <c r="AB54" i="9"/>
  <c r="AQ54" i="9"/>
  <c r="BF54" i="9"/>
  <c r="CP54" i="9" s="1"/>
  <c r="BV54" i="9"/>
  <c r="CK54" i="9"/>
  <c r="J55" i="9"/>
  <c r="Z55" i="9"/>
  <c r="AO55" i="9"/>
  <c r="BE55" i="9"/>
  <c r="BU55" i="9"/>
  <c r="CJ55" i="9"/>
  <c r="CY55" i="9"/>
  <c r="DC58" i="9"/>
  <c r="CQ58" i="9"/>
  <c r="CE58" i="9"/>
  <c r="BS58" i="9"/>
  <c r="BG58" i="9"/>
  <c r="AU58" i="9"/>
  <c r="AI58" i="9"/>
  <c r="W58" i="9"/>
  <c r="K58" i="9"/>
  <c r="CZ58" i="9"/>
  <c r="CM58" i="9"/>
  <c r="BZ58" i="9"/>
  <c r="BM58" i="9"/>
  <c r="AZ58" i="9"/>
  <c r="AM58" i="9"/>
  <c r="Z58" i="9"/>
  <c r="M58" i="9"/>
  <c r="DB58" i="9"/>
  <c r="CN58" i="9"/>
  <c r="BY58" i="9"/>
  <c r="BK58" i="9"/>
  <c r="AW58" i="9"/>
  <c r="AH58" i="9"/>
  <c r="T58" i="9"/>
  <c r="F58" i="9"/>
  <c r="R58" i="9"/>
  <c r="AG58" i="9"/>
  <c r="AX58" i="9"/>
  <c r="BN58" i="9"/>
  <c r="CC58" i="9"/>
  <c r="CS58" i="9"/>
  <c r="DH58" i="9"/>
  <c r="P59" i="9"/>
  <c r="AE59" i="9"/>
  <c r="AV59" i="9"/>
  <c r="BK59" i="9"/>
  <c r="BZ59" i="9"/>
  <c r="CP59" i="9"/>
  <c r="DF59" i="9"/>
  <c r="O60" i="9"/>
  <c r="AE60" i="9"/>
  <c r="AT60" i="9"/>
  <c r="BI60" i="9"/>
  <c r="BX60" i="9"/>
  <c r="CO60" i="9"/>
  <c r="DD60" i="9"/>
  <c r="K61" i="9"/>
  <c r="AB61" i="9"/>
  <c r="AS61" i="9"/>
  <c r="BK61" i="9"/>
  <c r="CA61" i="9"/>
  <c r="CQ61" i="9"/>
  <c r="CE62" i="9"/>
  <c r="BS62" i="9"/>
  <c r="BG62" i="9"/>
  <c r="AU62" i="9"/>
  <c r="AI62" i="9"/>
  <c r="W62" i="9"/>
  <c r="K62" i="9"/>
  <c r="CN62" i="9"/>
  <c r="CA62" i="9"/>
  <c r="BN62" i="9"/>
  <c r="BA62" i="9"/>
  <c r="AN62" i="9"/>
  <c r="AA62" i="9"/>
  <c r="N62" i="9"/>
  <c r="CW62" i="9"/>
  <c r="CI62" i="9"/>
  <c r="BU62" i="9"/>
  <c r="BF62" i="9"/>
  <c r="DA62" i="9" s="1"/>
  <c r="AR62" i="9"/>
  <c r="AD62" i="9"/>
  <c r="P62" i="9"/>
  <c r="CK62" i="9"/>
  <c r="BW62" i="9"/>
  <c r="BI62" i="9"/>
  <c r="AT62" i="9"/>
  <c r="AF62" i="9"/>
  <c r="R62" i="9"/>
  <c r="C62" i="9"/>
  <c r="T62" i="9"/>
  <c r="AK62" i="9"/>
  <c r="BB62" i="9"/>
  <c r="BR62" i="9"/>
  <c r="CJ62" i="9"/>
  <c r="K63" i="9"/>
  <c r="AA63" i="9"/>
  <c r="AQ63" i="9"/>
  <c r="BJ63" i="9"/>
  <c r="CA63" i="9"/>
  <c r="CR63" i="9"/>
  <c r="DI63" i="9"/>
  <c r="I65" i="9"/>
  <c r="AC65" i="9"/>
  <c r="AT65" i="9"/>
  <c r="BN65" i="9"/>
  <c r="CE65" i="9"/>
  <c r="CY65" i="9"/>
  <c r="P66" i="9"/>
  <c r="AH66" i="9"/>
  <c r="BD66" i="9"/>
  <c r="BW66" i="9"/>
  <c r="CR66" i="9"/>
  <c r="L69" i="9"/>
  <c r="AG69" i="9"/>
  <c r="BF69" i="9"/>
  <c r="DC69" i="9" s="1"/>
  <c r="CC69" i="9"/>
  <c r="CX70" i="9"/>
  <c r="O71" i="9"/>
  <c r="AQ71" i="9"/>
  <c r="BM71" i="9"/>
  <c r="CM72" i="9"/>
  <c r="DI73" i="9"/>
  <c r="CP73" i="9"/>
  <c r="DE73" i="9"/>
  <c r="CM73" i="9"/>
  <c r="DD73" i="9"/>
  <c r="CL73" i="9"/>
  <c r="CW73" i="9"/>
  <c r="CV73" i="9"/>
  <c r="CS73" i="9"/>
  <c r="DB73" i="9"/>
  <c r="CZ75" i="9"/>
  <c r="CN75" i="9"/>
  <c r="CB75" i="9"/>
  <c r="BP75" i="9"/>
  <c r="BD75" i="9"/>
  <c r="AR75" i="9"/>
  <c r="AF75" i="9"/>
  <c r="T75" i="9"/>
  <c r="H75" i="9"/>
  <c r="CX75" i="9"/>
  <c r="CK75" i="9"/>
  <c r="BX75" i="9"/>
  <c r="BK75" i="9"/>
  <c r="AX75" i="9"/>
  <c r="AK75" i="9"/>
  <c r="X75" i="9"/>
  <c r="K75" i="9"/>
  <c r="DB75" i="9"/>
  <c r="CO75" i="9"/>
  <c r="CA75" i="9"/>
  <c r="BN75" i="9"/>
  <c r="BA75" i="9"/>
  <c r="AN75" i="9"/>
  <c r="AA75" i="9"/>
  <c r="N75" i="9"/>
  <c r="DE75" i="9"/>
  <c r="CP75" i="9"/>
  <c r="BY75" i="9"/>
  <c r="BI75" i="9"/>
  <c r="AT75" i="9"/>
  <c r="AD75" i="9"/>
  <c r="O75" i="9"/>
  <c r="DI75" i="9"/>
  <c r="CT75" i="9"/>
  <c r="CE75" i="9"/>
  <c r="BO75" i="9"/>
  <c r="AY75" i="9"/>
  <c r="AI75" i="9"/>
  <c r="S75" i="9"/>
  <c r="C75" i="9"/>
  <c r="DG75" i="9"/>
  <c r="CR75" i="9"/>
  <c r="CC75" i="9"/>
  <c r="BL75" i="9"/>
  <c r="AV75" i="9"/>
  <c r="AG75" i="9"/>
  <c r="Q75" i="9"/>
  <c r="DD75" i="9"/>
  <c r="CI75" i="9"/>
  <c r="BQ75" i="9"/>
  <c r="AS75" i="9"/>
  <c r="Y75" i="9"/>
  <c r="E75" i="9"/>
  <c r="DC75" i="9"/>
  <c r="CH75" i="9"/>
  <c r="BM75" i="9"/>
  <c r="DA75" i="9"/>
  <c r="CG75" i="9"/>
  <c r="BJ75" i="9"/>
  <c r="AP75" i="9"/>
  <c r="V75" i="9"/>
  <c r="CY75" i="9"/>
  <c r="CF75" i="9"/>
  <c r="BH75" i="9"/>
  <c r="AO75" i="9"/>
  <c r="U75" i="9"/>
  <c r="CW75" i="9"/>
  <c r="CD75" i="9"/>
  <c r="BG75" i="9"/>
  <c r="AM75" i="9"/>
  <c r="R75" i="9"/>
  <c r="CQ75" i="9"/>
  <c r="BU75" i="9"/>
  <c r="BB75" i="9"/>
  <c r="AE75" i="9"/>
  <c r="J75" i="9"/>
  <c r="CM75" i="9"/>
  <c r="BT75" i="9"/>
  <c r="AZ75" i="9"/>
  <c r="AC75" i="9"/>
  <c r="I75" i="9"/>
  <c r="DH75" i="9"/>
  <c r="CL75" i="9"/>
  <c r="BS75" i="9"/>
  <c r="AW75" i="9"/>
  <c r="AB75" i="9"/>
  <c r="AU75" i="9"/>
  <c r="DF75" i="9"/>
  <c r="CH57" i="9"/>
  <c r="BV57" i="9"/>
  <c r="BJ57" i="9"/>
  <c r="AX57" i="9"/>
  <c r="AL57" i="9"/>
  <c r="Z57" i="9"/>
  <c r="N57" i="9"/>
  <c r="DG57" i="9"/>
  <c r="CF57" i="9"/>
  <c r="BS57" i="9"/>
  <c r="BF57" i="9"/>
  <c r="AS57" i="9"/>
  <c r="AF57" i="9"/>
  <c r="S57" i="9"/>
  <c r="F57" i="9"/>
  <c r="Q57" i="9"/>
  <c r="AE57" i="9"/>
  <c r="AT57" i="9"/>
  <c r="BH57" i="9"/>
  <c r="BW57" i="9"/>
  <c r="CK57" i="9"/>
  <c r="E67" i="9"/>
  <c r="W67" i="9"/>
  <c r="AM67" i="9"/>
  <c r="BF67" i="9"/>
  <c r="BW67" i="9"/>
  <c r="CT74" i="9"/>
  <c r="W76" i="9"/>
  <c r="AP76" i="9"/>
  <c r="BL76" i="9"/>
  <c r="CG76" i="9"/>
  <c r="DA77" i="9"/>
  <c r="CN80" i="9"/>
  <c r="AQ81" i="9"/>
  <c r="BY81" i="9"/>
  <c r="DA81" i="9"/>
  <c r="AA82" i="9"/>
  <c r="BJ82" i="9"/>
  <c r="CO82" i="9"/>
  <c r="DF93" i="9"/>
  <c r="DG93" i="9"/>
  <c r="CT93" i="9"/>
  <c r="CH93" i="9"/>
  <c r="BV93" i="9"/>
  <c r="BJ93" i="9"/>
  <c r="AX93" i="9"/>
  <c r="AL93" i="9"/>
  <c r="Z93" i="9"/>
  <c r="N93" i="9"/>
  <c r="DA93" i="9"/>
  <c r="CN93" i="9"/>
  <c r="CA93" i="9"/>
  <c r="BN93" i="9"/>
  <c r="BA93" i="9"/>
  <c r="AN93" i="9"/>
  <c r="AA93" i="9"/>
  <c r="M93" i="9"/>
  <c r="DE93" i="9"/>
  <c r="CR93" i="9"/>
  <c r="BR93" i="9"/>
  <c r="BE93" i="9"/>
  <c r="AR93" i="9"/>
  <c r="AE93" i="9"/>
  <c r="R93" i="9"/>
  <c r="E93" i="9"/>
  <c r="CV93" i="9"/>
  <c r="CF93" i="9"/>
  <c r="BP93" i="9"/>
  <c r="AZ93" i="9"/>
  <c r="AJ93" i="9"/>
  <c r="U93" i="9"/>
  <c r="F93" i="9"/>
  <c r="CZ93" i="9"/>
  <c r="CK93" i="9"/>
  <c r="BU93" i="9"/>
  <c r="BF93" i="9"/>
  <c r="AP93" i="9"/>
  <c r="Y93" i="9"/>
  <c r="J93" i="9"/>
  <c r="CY93" i="9"/>
  <c r="BD93" i="9"/>
  <c r="AO93" i="9"/>
  <c r="X93" i="9"/>
  <c r="I93" i="9"/>
  <c r="CX93" i="9"/>
  <c r="CI93" i="9"/>
  <c r="BS93" i="9"/>
  <c r="BC93" i="9"/>
  <c r="AM93" i="9"/>
  <c r="W93" i="9"/>
  <c r="H93" i="9"/>
  <c r="DD93" i="9"/>
  <c r="BI93" i="9"/>
  <c r="AI93" i="9"/>
  <c r="O93" i="9"/>
  <c r="DC93" i="9"/>
  <c r="CC93" i="9"/>
  <c r="BH93" i="9"/>
  <c r="AH93" i="9"/>
  <c r="L93" i="9"/>
  <c r="DB93" i="9"/>
  <c r="BG93" i="9"/>
  <c r="AG93" i="9"/>
  <c r="K93" i="9"/>
  <c r="CW93" i="9"/>
  <c r="BZ93" i="9"/>
  <c r="BB93" i="9"/>
  <c r="AF93" i="9"/>
  <c r="CU93" i="9"/>
  <c r="BY93" i="9"/>
  <c r="AY93" i="9"/>
  <c r="AD93" i="9"/>
  <c r="C93" i="9"/>
  <c r="CJ93" i="9" s="1"/>
  <c r="CQ93" i="9"/>
  <c r="AV93" i="9"/>
  <c r="AB93" i="9"/>
  <c r="CP93" i="9"/>
  <c r="BQ93" i="9"/>
  <c r="AU93" i="9"/>
  <c r="V93" i="9"/>
  <c r="CO93" i="9"/>
  <c r="BO93" i="9"/>
  <c r="AT93" i="9"/>
  <c r="T93" i="9"/>
  <c r="CM93" i="9"/>
  <c r="BM93" i="9"/>
  <c r="AS93" i="9"/>
  <c r="S93" i="9"/>
  <c r="DI93" i="9"/>
  <c r="CL93" i="9"/>
  <c r="BL93" i="9"/>
  <c r="AQ93" i="9"/>
  <c r="Q93" i="9"/>
  <c r="DI76" i="9"/>
  <c r="CW76" i="9"/>
  <c r="CK76" i="9"/>
  <c r="BY76" i="9"/>
  <c r="BM76" i="9"/>
  <c r="BA76" i="9"/>
  <c r="AO76" i="9"/>
  <c r="AC76" i="9"/>
  <c r="Q76" i="9"/>
  <c r="E76" i="9"/>
  <c r="DE76" i="9"/>
  <c r="CR76" i="9"/>
  <c r="CE76" i="9"/>
  <c r="BR76" i="9"/>
  <c r="BE76" i="9"/>
  <c r="AR76" i="9"/>
  <c r="AE76" i="9"/>
  <c r="R76" i="9"/>
  <c r="C76" i="9"/>
  <c r="DH76" i="9"/>
  <c r="CU76" i="9"/>
  <c r="CH76" i="9"/>
  <c r="BU76" i="9"/>
  <c r="BH76" i="9"/>
  <c r="AU76" i="9"/>
  <c r="AH76" i="9"/>
  <c r="U76" i="9"/>
  <c r="H76" i="9"/>
  <c r="DC76" i="9"/>
  <c r="CN76" i="9"/>
  <c r="BX76" i="9"/>
  <c r="BI76" i="9"/>
  <c r="AS76" i="9"/>
  <c r="AB76" i="9"/>
  <c r="M76" i="9"/>
  <c r="CS76" i="9"/>
  <c r="CC76" i="9"/>
  <c r="BN76" i="9"/>
  <c r="AX76" i="9"/>
  <c r="AI76" i="9"/>
  <c r="S76" i="9"/>
  <c r="DF76" i="9"/>
  <c r="CP76" i="9"/>
  <c r="CA76" i="9"/>
  <c r="BK76" i="9"/>
  <c r="AV76" i="9"/>
  <c r="AF76" i="9"/>
  <c r="O76" i="9"/>
  <c r="X76" i="9"/>
  <c r="AQ76" i="9"/>
  <c r="BO76" i="9"/>
  <c r="CI76" i="9"/>
  <c r="DB76" i="9"/>
  <c r="DB77" i="9"/>
  <c r="DF79" i="9"/>
  <c r="CP79" i="9"/>
  <c r="CT79" i="9"/>
  <c r="CS79" i="9"/>
  <c r="DH79" i="9"/>
  <c r="CR79" i="9"/>
  <c r="CO79" i="9"/>
  <c r="CP80" i="9"/>
  <c r="K81" i="9"/>
  <c r="AR81" i="9"/>
  <c r="BZ81" i="9"/>
  <c r="DG81" i="9"/>
  <c r="AB82" i="9"/>
  <c r="BK82" i="9"/>
  <c r="CS82" i="9"/>
  <c r="DD76" i="9"/>
  <c r="CR80" i="9"/>
  <c r="Q81" i="9"/>
  <c r="AS81" i="9"/>
  <c r="CA81" i="9"/>
  <c r="DI81" i="9"/>
  <c r="AE82" i="9"/>
  <c r="BL82" i="9"/>
  <c r="BU86" i="9"/>
  <c r="BU88" i="9"/>
  <c r="CF95" i="9"/>
  <c r="DI104" i="9"/>
  <c r="CW104" i="9"/>
  <c r="BM104" i="9"/>
  <c r="BA104" i="9"/>
  <c r="AO104" i="9"/>
  <c r="AC104" i="9"/>
  <c r="Q104" i="9"/>
  <c r="E104" i="9"/>
  <c r="DC104" i="9"/>
  <c r="CP104" i="9"/>
  <c r="BP104" i="9"/>
  <c r="BC104" i="9"/>
  <c r="AP104" i="9"/>
  <c r="AB104" i="9"/>
  <c r="O104" i="9"/>
  <c r="DF104" i="9"/>
  <c r="CR104" i="9"/>
  <c r="BO104" i="9"/>
  <c r="AZ104" i="9"/>
  <c r="AL104" i="9"/>
  <c r="X104" i="9"/>
  <c r="J104" i="9"/>
  <c r="CV104" i="9"/>
  <c r="BF104" i="9"/>
  <c r="AR104" i="9"/>
  <c r="AD104" i="9"/>
  <c r="N104" i="9"/>
  <c r="DE104" i="9"/>
  <c r="CN104" i="9"/>
  <c r="BW104" i="9"/>
  <c r="BG104" i="9"/>
  <c r="AN104" i="9"/>
  <c r="W104" i="9"/>
  <c r="CT104" i="9"/>
  <c r="BK104" i="9"/>
  <c r="AU104" i="9"/>
  <c r="AE104" i="9"/>
  <c r="L104" i="9"/>
  <c r="CS104" i="9"/>
  <c r="BJ104" i="9"/>
  <c r="AT104" i="9"/>
  <c r="AA104" i="9"/>
  <c r="K104" i="9"/>
  <c r="DH104" i="9"/>
  <c r="CQ104" i="9"/>
  <c r="BZ104" i="9"/>
  <c r="BI104" i="9"/>
  <c r="AS104" i="9"/>
  <c r="Z104" i="9"/>
  <c r="I104" i="9"/>
  <c r="CY104" i="9"/>
  <c r="BV104" i="9"/>
  <c r="AX104" i="9"/>
  <c r="BX104" i="9" s="1"/>
  <c r="V104" i="9"/>
  <c r="CX104" i="9"/>
  <c r="AW104" i="9"/>
  <c r="U104" i="9"/>
  <c r="CU104" i="9"/>
  <c r="AV104" i="9"/>
  <c r="T104" i="9"/>
  <c r="CO104" i="9"/>
  <c r="BR104" i="9"/>
  <c r="AQ104" i="9"/>
  <c r="S104" i="9"/>
  <c r="CM104" i="9"/>
  <c r="AM104" i="9"/>
  <c r="R104" i="9"/>
  <c r="CL104" i="9"/>
  <c r="AK104" i="9"/>
  <c r="P104" i="9"/>
  <c r="BL104" i="9"/>
  <c r="AJ104" i="9"/>
  <c r="M104" i="9"/>
  <c r="DG104" i="9"/>
  <c r="BH104" i="9"/>
  <c r="AI104" i="9"/>
  <c r="H104" i="9"/>
  <c r="DD104" i="9"/>
  <c r="BE104" i="9"/>
  <c r="AH104" i="9"/>
  <c r="DB104" i="9"/>
  <c r="CF104" i="9"/>
  <c r="BD104" i="9"/>
  <c r="AG104" i="9"/>
  <c r="F104" i="9"/>
  <c r="DA104" i="9"/>
  <c r="CE104" i="9"/>
  <c r="BB104" i="9"/>
  <c r="AF104" i="9"/>
  <c r="C104" i="9"/>
  <c r="DC82" i="9"/>
  <c r="CQ82" i="9"/>
  <c r="CE82" i="9"/>
  <c r="BS82" i="9"/>
  <c r="BG82" i="9"/>
  <c r="AU82" i="9"/>
  <c r="AI82" i="9"/>
  <c r="W82" i="9"/>
  <c r="K82" i="9"/>
  <c r="DE82" i="9"/>
  <c r="CR82" i="9"/>
  <c r="CD82" i="9"/>
  <c r="BQ82" i="9"/>
  <c r="BD82" i="9"/>
  <c r="AQ82" i="9"/>
  <c r="AD82" i="9"/>
  <c r="Q82" i="9"/>
  <c r="C82" i="9"/>
  <c r="DI82" i="9"/>
  <c r="CV82" i="9"/>
  <c r="CI82" i="9"/>
  <c r="BV82" i="9"/>
  <c r="BI82" i="9"/>
  <c r="AV82" i="9"/>
  <c r="AH82" i="9"/>
  <c r="U82" i="9"/>
  <c r="H82" i="9"/>
  <c r="CU82" i="9"/>
  <c r="CF82" i="9"/>
  <c r="BO82" i="9"/>
  <c r="AZ82" i="9"/>
  <c r="AK82" i="9"/>
  <c r="T82" i="9"/>
  <c r="E82" i="9"/>
  <c r="CY82" i="9"/>
  <c r="CJ82" i="9"/>
  <c r="BT82" i="9"/>
  <c r="BC82" i="9"/>
  <c r="AN82" i="9"/>
  <c r="Y82" i="9"/>
  <c r="I82" i="9"/>
  <c r="DA82" i="9"/>
  <c r="CH82" i="9"/>
  <c r="BN82" i="9"/>
  <c r="AW82" i="9"/>
  <c r="AC82" i="9"/>
  <c r="L82" i="9"/>
  <c r="CP82" i="9"/>
  <c r="BY82" i="9"/>
  <c r="BF82" i="9"/>
  <c r="AM82" i="9"/>
  <c r="S82" i="9"/>
  <c r="DG82" i="9"/>
  <c r="CN82" i="9"/>
  <c r="BW82" i="9"/>
  <c r="BB82" i="9"/>
  <c r="AJ82" i="9"/>
  <c r="P82" i="9"/>
  <c r="DF82" i="9"/>
  <c r="CM82" i="9"/>
  <c r="BU82" i="9"/>
  <c r="BA82" i="9"/>
  <c r="AG82" i="9"/>
  <c r="O82" i="9"/>
  <c r="DD82" i="9"/>
  <c r="CL82" i="9"/>
  <c r="BR82" i="9"/>
  <c r="AY82" i="9"/>
  <c r="AF82" i="9"/>
  <c r="N82" i="9"/>
  <c r="AL82" i="9"/>
  <c r="BM82" i="9"/>
  <c r="CW82" i="9"/>
  <c r="BW87" i="9"/>
  <c r="CC87" i="9"/>
  <c r="CA87" i="9"/>
  <c r="BZ87" i="9"/>
  <c r="CH87" i="9"/>
  <c r="CF87" i="9"/>
  <c r="BU87" i="9"/>
  <c r="BT87" i="9"/>
  <c r="BS87" i="9"/>
  <c r="CK87" i="9"/>
  <c r="BR87" i="9"/>
  <c r="CJ87" i="9"/>
  <c r="BO87" i="9"/>
  <c r="BN87" i="9"/>
  <c r="CI88" i="9"/>
  <c r="CM76" i="9"/>
  <c r="F82" i="9"/>
  <c r="AO82" i="9"/>
  <c r="BP82" i="9"/>
  <c r="CX82" i="9"/>
  <c r="BV87" i="9"/>
  <c r="BX87" i="9"/>
  <c r="BP88" i="9"/>
  <c r="CQ76" i="9"/>
  <c r="J82" i="9"/>
  <c r="AR82" i="9"/>
  <c r="BZ82" i="9"/>
  <c r="DB82" i="9"/>
  <c r="BQ88" i="9"/>
  <c r="CJ106" i="9"/>
  <c r="CT76" i="9"/>
  <c r="AA81" i="9"/>
  <c r="BH81" i="9"/>
  <c r="M82" i="9"/>
  <c r="AS82" i="9"/>
  <c r="CA82" i="9"/>
  <c r="DH82" i="9"/>
  <c r="CG87" i="9"/>
  <c r="BR88" i="9"/>
  <c r="CV76" i="9"/>
  <c r="R82" i="9"/>
  <c r="AT82" i="9"/>
  <c r="CB82" i="9"/>
  <c r="CI87" i="9"/>
  <c r="DH80" i="9"/>
  <c r="CX80" i="9"/>
  <c r="DA80" i="9"/>
  <c r="CM80" i="9"/>
  <c r="CV80" i="9"/>
  <c r="DF80" i="9"/>
  <c r="CO80" i="9"/>
  <c r="DC80" i="9"/>
  <c r="CL80" i="9"/>
  <c r="DB80" i="9"/>
  <c r="CZ80" i="9"/>
  <c r="DF81" i="9"/>
  <c r="CT81" i="9"/>
  <c r="CH81" i="9"/>
  <c r="BV81" i="9"/>
  <c r="BJ81" i="9"/>
  <c r="AX81" i="9"/>
  <c r="AL81" i="9"/>
  <c r="Z81" i="9"/>
  <c r="N81" i="9"/>
  <c r="CX81" i="9"/>
  <c r="CK81" i="9"/>
  <c r="BX81" i="9"/>
  <c r="BK81" i="9"/>
  <c r="AW81" i="9"/>
  <c r="AJ81" i="9"/>
  <c r="W81" i="9"/>
  <c r="J81" i="9"/>
  <c r="DB81" i="9"/>
  <c r="CO81" i="9"/>
  <c r="CB81" i="9"/>
  <c r="BO81" i="9"/>
  <c r="BB81" i="9"/>
  <c r="AO81" i="9"/>
  <c r="AB81" i="9"/>
  <c r="O81" i="9"/>
  <c r="CV81" i="9"/>
  <c r="CF81" i="9"/>
  <c r="BQ81" i="9"/>
  <c r="BA81" i="9"/>
  <c r="AK81" i="9"/>
  <c r="U81" i="9"/>
  <c r="F81" i="9"/>
  <c r="CZ81" i="9"/>
  <c r="CJ81" i="9"/>
  <c r="BT81" i="9"/>
  <c r="BE81" i="9"/>
  <c r="AP81" i="9"/>
  <c r="Y81" i="9"/>
  <c r="I81" i="9"/>
  <c r="CY81" i="9"/>
  <c r="CE81" i="9"/>
  <c r="BM81" i="9"/>
  <c r="AT81" i="9"/>
  <c r="AC81" i="9"/>
  <c r="H81" i="9"/>
  <c r="DH81" i="9"/>
  <c r="CP81" i="9"/>
  <c r="BW81" i="9"/>
  <c r="BD81" i="9"/>
  <c r="AI81" i="9"/>
  <c r="R81" i="9"/>
  <c r="DE81" i="9"/>
  <c r="CM81" i="9"/>
  <c r="BS81" i="9"/>
  <c r="AZ81" i="9"/>
  <c r="AG81" i="9"/>
  <c r="P81" i="9"/>
  <c r="DD81" i="9"/>
  <c r="CL81" i="9"/>
  <c r="BR81" i="9"/>
  <c r="AY81" i="9"/>
  <c r="AF81" i="9"/>
  <c r="M81" i="9"/>
  <c r="DC81" i="9"/>
  <c r="CI81" i="9"/>
  <c r="BP81" i="9"/>
  <c r="AV81" i="9"/>
  <c r="AE81" i="9"/>
  <c r="L81" i="9"/>
  <c r="AH81" i="9"/>
  <c r="BL81" i="9"/>
  <c r="CS81" i="9"/>
  <c r="V82" i="9"/>
  <c r="AX82" i="9"/>
  <c r="CC82" i="9"/>
  <c r="CZ67" i="9"/>
  <c r="CN67" i="9"/>
  <c r="CB67" i="9"/>
  <c r="BP67" i="9"/>
  <c r="BD67" i="9"/>
  <c r="AR67" i="9"/>
  <c r="AF67" i="9"/>
  <c r="T67" i="9"/>
  <c r="H67" i="9"/>
  <c r="DI67" i="9"/>
  <c r="CV67" i="9"/>
  <c r="CI67" i="9"/>
  <c r="BV67" i="9"/>
  <c r="BI67" i="9"/>
  <c r="AV67" i="9"/>
  <c r="AI67" i="9"/>
  <c r="V67" i="9"/>
  <c r="I67" i="9"/>
  <c r="DG67" i="9"/>
  <c r="CS67" i="9"/>
  <c r="CE67" i="9"/>
  <c r="BQ67" i="9"/>
  <c r="BB67" i="9"/>
  <c r="AN67" i="9"/>
  <c r="Z67" i="9"/>
  <c r="L67" i="9"/>
  <c r="CU67" i="9"/>
  <c r="CG67" i="9"/>
  <c r="BS67" i="9"/>
  <c r="BE67" i="9"/>
  <c r="AP67" i="9"/>
  <c r="AB67" i="9"/>
  <c r="N67" i="9"/>
  <c r="S67" i="9"/>
  <c r="AK67" i="9"/>
  <c r="BA67" i="9"/>
  <c r="BT67" i="9"/>
  <c r="CK67" i="9"/>
  <c r="DB67" i="9"/>
  <c r="CU73" i="9"/>
  <c r="T76" i="9"/>
  <c r="AM76" i="9"/>
  <c r="BG76" i="9"/>
  <c r="CD76" i="9"/>
  <c r="CY76" i="9"/>
  <c r="CY77" i="9"/>
  <c r="DG79" i="9"/>
  <c r="C81" i="9"/>
  <c r="AM81" i="9"/>
  <c r="BN81" i="9"/>
  <c r="CU81" i="9"/>
  <c r="X82" i="9"/>
  <c r="BE82" i="9"/>
  <c r="CG82" i="9"/>
  <c r="DH93" i="9"/>
  <c r="CK68" i="9"/>
  <c r="BY68" i="9"/>
  <c r="BM68" i="9"/>
  <c r="BA68" i="9"/>
  <c r="AO68" i="9"/>
  <c r="AC68" i="9"/>
  <c r="Q68" i="9"/>
  <c r="E68" i="9"/>
  <c r="CC68" i="9"/>
  <c r="BP68" i="9"/>
  <c r="BC68" i="9"/>
  <c r="AP68" i="9"/>
  <c r="AB68" i="9"/>
  <c r="O68" i="9"/>
  <c r="R68" i="9"/>
  <c r="AF68" i="9"/>
  <c r="AT68" i="9"/>
  <c r="BH68" i="9"/>
  <c r="BV68" i="9"/>
  <c r="CJ68" i="9"/>
  <c r="T73" i="9"/>
  <c r="AI73" i="9"/>
  <c r="AZ73" i="9"/>
  <c r="BP73" i="9"/>
  <c r="CE73" i="9"/>
  <c r="DC74" i="9"/>
  <c r="CQ74" i="9"/>
  <c r="CE74" i="9"/>
  <c r="BS74" i="9"/>
  <c r="BG74" i="9"/>
  <c r="AU74" i="9"/>
  <c r="AI74" i="9"/>
  <c r="W74" i="9"/>
  <c r="K74" i="9"/>
  <c r="DE74" i="9"/>
  <c r="CR74" i="9"/>
  <c r="CD74" i="9"/>
  <c r="BQ74" i="9"/>
  <c r="BD74" i="9"/>
  <c r="AQ74" i="9"/>
  <c r="AD74" i="9"/>
  <c r="Q74" i="9"/>
  <c r="C74" i="9"/>
  <c r="DH74" i="9"/>
  <c r="CU74" i="9"/>
  <c r="CH74" i="9"/>
  <c r="BU74" i="9"/>
  <c r="BH74" i="9"/>
  <c r="AT74" i="9"/>
  <c r="AG74" i="9"/>
  <c r="T74" i="9"/>
  <c r="R74" i="9"/>
  <c r="AH74" i="9"/>
  <c r="AX74" i="9"/>
  <c r="BM74" i="9"/>
  <c r="CB74" i="9"/>
  <c r="CS74" i="9"/>
  <c r="DI74" i="9"/>
  <c r="P77" i="9"/>
  <c r="AE77" i="9"/>
  <c r="AT77" i="9"/>
  <c r="BL77" i="9"/>
  <c r="CC77" i="9"/>
  <c r="N83" i="9"/>
  <c r="AG83" i="9"/>
  <c r="AZ83" i="9"/>
  <c r="BT83" i="9"/>
  <c r="CL83" i="9"/>
  <c r="DE83" i="9"/>
  <c r="N84" i="9"/>
  <c r="AG84" i="9"/>
  <c r="AZ84" i="9"/>
  <c r="CM84" i="9"/>
  <c r="DD84" i="9"/>
  <c r="BX86" i="9"/>
  <c r="I88" i="9"/>
  <c r="AI88" i="9"/>
  <c r="BD88" i="9"/>
  <c r="CD88" i="9"/>
  <c r="CZ88" i="9"/>
  <c r="S89" i="9"/>
  <c r="AN89" i="9"/>
  <c r="BN89" i="9"/>
  <c r="DI89" i="9"/>
  <c r="V90" i="9"/>
  <c r="AW90" i="9"/>
  <c r="F91" i="9"/>
  <c r="AG91" i="9"/>
  <c r="BA91" i="9"/>
  <c r="M92" i="9"/>
  <c r="AH92" i="9"/>
  <c r="BH92" i="9"/>
  <c r="DC92" i="9"/>
  <c r="X94" i="9"/>
  <c r="AX94" i="9"/>
  <c r="BW94" i="9" s="1"/>
  <c r="M98" i="9"/>
  <c r="AJ98" i="9"/>
  <c r="BL98" i="9"/>
  <c r="R100" i="9"/>
  <c r="AP100" i="9"/>
  <c r="BP100" i="9"/>
  <c r="CN100" i="9"/>
  <c r="U102" i="9"/>
  <c r="AX102" i="9"/>
  <c r="CD102" i="9" s="1"/>
  <c r="BU102" i="9"/>
  <c r="CW102" i="9"/>
  <c r="BW106" i="9"/>
  <c r="BG111" i="9"/>
  <c r="AX112" i="9"/>
  <c r="CI112" i="9" s="1"/>
  <c r="P83" i="9"/>
  <c r="AH83" i="9"/>
  <c r="BA83" i="9"/>
  <c r="BU83" i="9"/>
  <c r="CM83" i="9"/>
  <c r="DF83" i="9"/>
  <c r="O84" i="9"/>
  <c r="AJ84" i="9"/>
  <c r="BC84" i="9"/>
  <c r="CN84" i="9"/>
  <c r="DF84" i="9"/>
  <c r="BY86" i="9"/>
  <c r="K88" i="9"/>
  <c r="AK88" i="9"/>
  <c r="BE88" i="9"/>
  <c r="CE88" i="9"/>
  <c r="DA88" i="9"/>
  <c r="T89" i="9"/>
  <c r="AO89" i="9"/>
  <c r="DC90" i="9"/>
  <c r="CQ90" i="9"/>
  <c r="BG90" i="9"/>
  <c r="AU90" i="9"/>
  <c r="AI90" i="9"/>
  <c r="W90" i="9"/>
  <c r="K90" i="9"/>
  <c r="DG90" i="9"/>
  <c r="CT90" i="9"/>
  <c r="BF90" i="9"/>
  <c r="AS90" i="9"/>
  <c r="AF90" i="9"/>
  <c r="S90" i="9"/>
  <c r="F90" i="9"/>
  <c r="CX90" i="9"/>
  <c r="CK90" i="9"/>
  <c r="BX90" i="9"/>
  <c r="BK90" i="9"/>
  <c r="AX90" i="9"/>
  <c r="CG90" i="9" s="1"/>
  <c r="AK90" i="9"/>
  <c r="X90" i="9"/>
  <c r="J90" i="9"/>
  <c r="CZ90" i="9"/>
  <c r="BD90" i="9"/>
  <c r="AO90" i="9"/>
  <c r="Z90" i="9"/>
  <c r="I90" i="9"/>
  <c r="DE90" i="9"/>
  <c r="CO90" i="9"/>
  <c r="BJ90" i="9"/>
  <c r="AT90" i="9"/>
  <c r="AD90" i="9"/>
  <c r="O90" i="9"/>
  <c r="DD90" i="9"/>
  <c r="CN90" i="9"/>
  <c r="BI90" i="9"/>
  <c r="AR90" i="9"/>
  <c r="AC90" i="9"/>
  <c r="N90" i="9"/>
  <c r="DB90" i="9"/>
  <c r="CM90" i="9"/>
  <c r="BW90" i="9"/>
  <c r="BH90" i="9"/>
  <c r="AQ90" i="9"/>
  <c r="AB90" i="9"/>
  <c r="M90" i="9"/>
  <c r="Y90" i="9"/>
  <c r="AY90" i="9"/>
  <c r="BR90" i="9"/>
  <c r="CS90" i="9"/>
  <c r="N92" i="9"/>
  <c r="AI92" i="9"/>
  <c r="BI92" i="9"/>
  <c r="DD92" i="9"/>
  <c r="DC94" i="9"/>
  <c r="CQ94" i="9"/>
  <c r="CE94" i="9"/>
  <c r="BG94" i="9"/>
  <c r="AU94" i="9"/>
  <c r="AI94" i="9"/>
  <c r="W94" i="9"/>
  <c r="K94" i="9"/>
  <c r="CZ94" i="9"/>
  <c r="CM94" i="9"/>
  <c r="BM94" i="9"/>
  <c r="AZ94" i="9"/>
  <c r="AM94" i="9"/>
  <c r="Z94" i="9"/>
  <c r="M94" i="9"/>
  <c r="DE94" i="9"/>
  <c r="CP94" i="9"/>
  <c r="AY94" i="9"/>
  <c r="AK94" i="9"/>
  <c r="V94" i="9"/>
  <c r="H94" i="9"/>
  <c r="DI94" i="9"/>
  <c r="CU94" i="9"/>
  <c r="BR94" i="9"/>
  <c r="BD94" i="9"/>
  <c r="AP94" i="9"/>
  <c r="AB94" i="9"/>
  <c r="N94" i="9"/>
  <c r="DD94" i="9"/>
  <c r="CL94" i="9"/>
  <c r="BE94" i="9"/>
  <c r="AN94" i="9"/>
  <c r="U94" i="9"/>
  <c r="E94" i="9"/>
  <c r="CS94" i="9"/>
  <c r="CA94" i="9"/>
  <c r="BJ94" i="9"/>
  <c r="AS94" i="9"/>
  <c r="AC94" i="9"/>
  <c r="J94" i="9"/>
  <c r="DH94" i="9"/>
  <c r="CR94" i="9"/>
  <c r="BI94" i="9"/>
  <c r="AR94" i="9"/>
  <c r="AA94" i="9"/>
  <c r="I94" i="9"/>
  <c r="DG94" i="9"/>
  <c r="CO94" i="9"/>
  <c r="BX94" i="9"/>
  <c r="BH94" i="9"/>
  <c r="AQ94" i="9"/>
  <c r="Y94" i="9"/>
  <c r="AD94" i="9"/>
  <c r="BA94" i="9"/>
  <c r="CY94" i="9"/>
  <c r="BN95" i="9"/>
  <c r="O98" i="9"/>
  <c r="AK98" i="9"/>
  <c r="BM98" i="9"/>
  <c r="S100" i="9"/>
  <c r="AU100" i="9"/>
  <c r="CT100" i="9"/>
  <c r="Y102" i="9"/>
  <c r="AZ102" i="9"/>
  <c r="BX102" i="9"/>
  <c r="CX102" i="9"/>
  <c r="BX106" i="9"/>
  <c r="BJ112" i="9"/>
  <c r="DF77" i="9"/>
  <c r="CT77" i="9"/>
  <c r="CH77" i="9"/>
  <c r="BV77" i="9"/>
  <c r="BJ77" i="9"/>
  <c r="AX77" i="9"/>
  <c r="AL77" i="9"/>
  <c r="Z77" i="9"/>
  <c r="N77" i="9"/>
  <c r="CW77" i="9"/>
  <c r="CJ77" i="9"/>
  <c r="BW77" i="9"/>
  <c r="BI77" i="9"/>
  <c r="AV77" i="9"/>
  <c r="DD77" i="9"/>
  <c r="CP77" i="9"/>
  <c r="CB77" i="9"/>
  <c r="BN77" i="9"/>
  <c r="AZ77" i="9"/>
  <c r="AK77" i="9"/>
  <c r="X77" i="9"/>
  <c r="K77" i="9"/>
  <c r="DH77" i="9"/>
  <c r="CS77" i="9"/>
  <c r="CE77" i="9"/>
  <c r="BQ77" i="9"/>
  <c r="BC77" i="9"/>
  <c r="AO77" i="9"/>
  <c r="AB77" i="9"/>
  <c r="O77" i="9"/>
  <c r="R77" i="9"/>
  <c r="AG77" i="9"/>
  <c r="AW77" i="9"/>
  <c r="BO77" i="9"/>
  <c r="CF77" i="9"/>
  <c r="CX77" i="9"/>
  <c r="Q83" i="9"/>
  <c r="AJ83" i="9"/>
  <c r="BE83" i="9"/>
  <c r="BV83" i="9"/>
  <c r="CO83" i="9"/>
  <c r="P84" i="9"/>
  <c r="AK84" i="9"/>
  <c r="BD84" i="9"/>
  <c r="CO84" i="9"/>
  <c r="CA86" i="9"/>
  <c r="M88" i="9"/>
  <c r="AL88" i="9"/>
  <c r="BH88" i="9"/>
  <c r="CG88" i="9"/>
  <c r="DC88" i="9"/>
  <c r="U89" i="9"/>
  <c r="AR89" i="9"/>
  <c r="CU90" i="9"/>
  <c r="O92" i="9"/>
  <c r="AJ92" i="9"/>
  <c r="BJ92" i="9"/>
  <c r="DE92" i="9"/>
  <c r="C94" i="9"/>
  <c r="AE94" i="9"/>
  <c r="BB94" i="9"/>
  <c r="DA94" i="9"/>
  <c r="BU95" i="9"/>
  <c r="P98" i="9"/>
  <c r="AL98" i="9"/>
  <c r="T100" i="9"/>
  <c r="AV100" i="9"/>
  <c r="CU100" i="9"/>
  <c r="AD102" i="9"/>
  <c r="BA102" i="9"/>
  <c r="CB106" i="9"/>
  <c r="BX108" i="9"/>
  <c r="BP112" i="9"/>
  <c r="CG86" i="9"/>
  <c r="R88" i="9"/>
  <c r="AM88" i="9"/>
  <c r="BN88" i="9"/>
  <c r="CH88" i="9"/>
  <c r="DH88" i="9"/>
  <c r="P92" i="9"/>
  <c r="AM92" i="9"/>
  <c r="BL92" i="9"/>
  <c r="CH92" i="9"/>
  <c r="DF92" i="9"/>
  <c r="BW95" i="9"/>
  <c r="Q98" i="9"/>
  <c r="AP98" i="9"/>
  <c r="CO98" i="9"/>
  <c r="U100" i="9"/>
  <c r="AW100" i="9"/>
  <c r="CV100" i="9"/>
  <c r="DC102" i="9"/>
  <c r="CQ102" i="9"/>
  <c r="BS102" i="9"/>
  <c r="BG102" i="9"/>
  <c r="AU102" i="9"/>
  <c r="AI102" i="9"/>
  <c r="W102" i="9"/>
  <c r="K102" i="9"/>
  <c r="DB102" i="9"/>
  <c r="CO102" i="9"/>
  <c r="BB102" i="9"/>
  <c r="AO102" i="9"/>
  <c r="AB102" i="9"/>
  <c r="O102" i="9"/>
  <c r="CY102" i="9"/>
  <c r="CK102" i="9"/>
  <c r="BW102" i="9"/>
  <c r="BI102" i="9"/>
  <c r="AT102" i="9"/>
  <c r="AF102" i="9"/>
  <c r="R102" i="9"/>
  <c r="C102" i="9"/>
  <c r="DE102" i="9"/>
  <c r="CP102" i="9"/>
  <c r="CA102" i="9"/>
  <c r="BM102" i="9"/>
  <c r="AY102" i="9"/>
  <c r="AK102" i="9"/>
  <c r="V102" i="9"/>
  <c r="H102" i="9"/>
  <c r="DF102" i="9"/>
  <c r="CM102" i="9"/>
  <c r="BE102" i="9"/>
  <c r="AN102" i="9"/>
  <c r="X102" i="9"/>
  <c r="F102" i="9"/>
  <c r="CT102" i="9"/>
  <c r="CC102" i="9"/>
  <c r="BK102" i="9"/>
  <c r="AS102" i="9"/>
  <c r="AC102" i="9"/>
  <c r="L102" i="9"/>
  <c r="DI102" i="9"/>
  <c r="CS102" i="9"/>
  <c r="BJ102" i="9"/>
  <c r="AR102" i="9"/>
  <c r="AA102" i="9"/>
  <c r="J102" i="9"/>
  <c r="DH102" i="9"/>
  <c r="CR102" i="9"/>
  <c r="BY102" i="9"/>
  <c r="BH102" i="9"/>
  <c r="AQ102" i="9"/>
  <c r="Z102" i="9"/>
  <c r="I102" i="9"/>
  <c r="AE102" i="9"/>
  <c r="BC102" i="9"/>
  <c r="DA102" i="9"/>
  <c r="CB112" i="9"/>
  <c r="CZ83" i="9"/>
  <c r="CN83" i="9"/>
  <c r="CB83" i="9"/>
  <c r="BP83" i="9"/>
  <c r="BD83" i="9"/>
  <c r="AR83" i="9"/>
  <c r="AF83" i="9"/>
  <c r="T83" i="9"/>
  <c r="H83" i="9"/>
  <c r="CX83" i="9"/>
  <c r="CK83" i="9"/>
  <c r="BX83" i="9"/>
  <c r="BK83" i="9"/>
  <c r="AX83" i="9"/>
  <c r="AK83" i="9"/>
  <c r="X83" i="9"/>
  <c r="K83" i="9"/>
  <c r="DC83" i="9"/>
  <c r="CP83" i="9"/>
  <c r="CC83" i="9"/>
  <c r="BO83" i="9"/>
  <c r="BB83" i="9"/>
  <c r="AO83" i="9"/>
  <c r="AB83" i="9"/>
  <c r="O83" i="9"/>
  <c r="DI83" i="9"/>
  <c r="CT83" i="9"/>
  <c r="CE83" i="9"/>
  <c r="BN83" i="9"/>
  <c r="AY83" i="9"/>
  <c r="AI83" i="9"/>
  <c r="S83" i="9"/>
  <c r="C83" i="9"/>
  <c r="CW83" i="9"/>
  <c r="CH83" i="9"/>
  <c r="BS83" i="9"/>
  <c r="BC83" i="9"/>
  <c r="AM83" i="9"/>
  <c r="W83" i="9"/>
  <c r="U83" i="9"/>
  <c r="AN83" i="9"/>
  <c r="BG83" i="9"/>
  <c r="BY83" i="9"/>
  <c r="CR83" i="9"/>
  <c r="DI84" i="9"/>
  <c r="CW84" i="9"/>
  <c r="CK84" i="9"/>
  <c r="BY84" i="9"/>
  <c r="BM84" i="9"/>
  <c r="BA84" i="9"/>
  <c r="AO84" i="9"/>
  <c r="AC84" i="9"/>
  <c r="Q84" i="9"/>
  <c r="E84" i="9"/>
  <c r="DE84" i="9"/>
  <c r="CR84" i="9"/>
  <c r="BR84" i="9"/>
  <c r="BE84" i="9"/>
  <c r="AR84" i="9"/>
  <c r="AE84" i="9"/>
  <c r="R84" i="9"/>
  <c r="C84" i="9"/>
  <c r="CV84" i="9"/>
  <c r="BI84" i="9"/>
  <c r="AV84" i="9"/>
  <c r="AI84" i="9"/>
  <c r="V84" i="9"/>
  <c r="I84" i="9"/>
  <c r="DH84" i="9"/>
  <c r="CS84" i="9"/>
  <c r="AX84" i="9"/>
  <c r="CI84" i="9" s="1"/>
  <c r="AH84" i="9"/>
  <c r="S84" i="9"/>
  <c r="CX84" i="9"/>
  <c r="CG84" i="9"/>
  <c r="BB84" i="9"/>
  <c r="AL84" i="9"/>
  <c r="W84" i="9"/>
  <c r="U84" i="9"/>
  <c r="AN84" i="9"/>
  <c r="BG84" i="9"/>
  <c r="BZ84" i="9"/>
  <c r="CQ84" i="9"/>
  <c r="CH86" i="9"/>
  <c r="T88" i="9"/>
  <c r="AN88" i="9"/>
  <c r="BO88" i="9"/>
  <c r="DF89" i="9"/>
  <c r="CT89" i="9"/>
  <c r="CH89" i="9"/>
  <c r="BJ89" i="9"/>
  <c r="AX89" i="9"/>
  <c r="CD89" i="9" s="1"/>
  <c r="AL89" i="9"/>
  <c r="Z89" i="9"/>
  <c r="N89" i="9"/>
  <c r="CZ89" i="9"/>
  <c r="CM89" i="9"/>
  <c r="BM89" i="9"/>
  <c r="AZ89" i="9"/>
  <c r="AM89" i="9"/>
  <c r="Y89" i="9"/>
  <c r="L89" i="9"/>
  <c r="DD89" i="9"/>
  <c r="CQ89" i="9"/>
  <c r="BD89" i="9"/>
  <c r="AQ89" i="9"/>
  <c r="AD89" i="9"/>
  <c r="Q89" i="9"/>
  <c r="C89" i="9"/>
  <c r="BV89" i="9" s="1"/>
  <c r="DA89" i="9"/>
  <c r="BF89" i="9"/>
  <c r="AP89" i="9"/>
  <c r="AA89" i="9"/>
  <c r="J89" i="9"/>
  <c r="DG89" i="9"/>
  <c r="CP89" i="9"/>
  <c r="BK89" i="9"/>
  <c r="AU89" i="9"/>
  <c r="AF89" i="9"/>
  <c r="P89" i="9"/>
  <c r="DE89" i="9"/>
  <c r="CO89" i="9"/>
  <c r="BI89" i="9"/>
  <c r="AT89" i="9"/>
  <c r="AE89" i="9"/>
  <c r="O89" i="9"/>
  <c r="DC89" i="9"/>
  <c r="CN89" i="9"/>
  <c r="BX89" i="9"/>
  <c r="BH89" i="9"/>
  <c r="AS89" i="9"/>
  <c r="AC89" i="9"/>
  <c r="M89" i="9"/>
  <c r="W89" i="9"/>
  <c r="AW89" i="9"/>
  <c r="CS89" i="9"/>
  <c r="R92" i="9"/>
  <c r="AR92" i="9"/>
  <c r="CN92" i="9"/>
  <c r="DH92" i="9"/>
  <c r="BX95" i="9"/>
  <c r="R98" i="9"/>
  <c r="AT98" i="9"/>
  <c r="CU98" i="9"/>
  <c r="W100" i="9"/>
  <c r="AX100" i="9"/>
  <c r="BW100" i="9"/>
  <c r="E102" i="9"/>
  <c r="AG102" i="9"/>
  <c r="BD102" i="9"/>
  <c r="CG102" i="9"/>
  <c r="DD102" i="9"/>
  <c r="BY95" i="9"/>
  <c r="CZ111" i="9"/>
  <c r="CN111" i="9"/>
  <c r="BD111" i="9"/>
  <c r="AR111" i="9"/>
  <c r="AF111" i="9"/>
  <c r="T111" i="9"/>
  <c r="H111" i="9"/>
  <c r="CY111" i="9"/>
  <c r="CL111" i="9"/>
  <c r="BL111" i="9"/>
  <c r="AY111" i="9"/>
  <c r="AL111" i="9"/>
  <c r="Y111" i="9"/>
  <c r="L111" i="9"/>
  <c r="CX111" i="9"/>
  <c r="BK111" i="9"/>
  <c r="AX111" i="9"/>
  <c r="CA111" i="9" s="1"/>
  <c r="AK111" i="9"/>
  <c r="X111" i="9"/>
  <c r="K111" i="9"/>
  <c r="DA111" i="9"/>
  <c r="BE111" i="9"/>
  <c r="AO111" i="9"/>
  <c r="Z111" i="9"/>
  <c r="I111" i="9"/>
  <c r="DE111" i="9"/>
  <c r="CP111" i="9"/>
  <c r="BI111" i="9"/>
  <c r="AT111" i="9"/>
  <c r="AD111" i="9"/>
  <c r="O111" i="9"/>
  <c r="DI111" i="9"/>
  <c r="CR111" i="9"/>
  <c r="BW111" i="9"/>
  <c r="BF111" i="9"/>
  <c r="AM111" i="9"/>
  <c r="S111" i="9"/>
  <c r="DH111" i="9"/>
  <c r="CQ111" i="9"/>
  <c r="BC111" i="9"/>
  <c r="AJ111" i="9"/>
  <c r="R111" i="9"/>
  <c r="DG111" i="9"/>
  <c r="CO111" i="9"/>
  <c r="BU111" i="9"/>
  <c r="BB111" i="9"/>
  <c r="AI111" i="9"/>
  <c r="Q111" i="9"/>
  <c r="DF111" i="9"/>
  <c r="CM111" i="9"/>
  <c r="BA111" i="9"/>
  <c r="AH111" i="9"/>
  <c r="P111" i="9"/>
  <c r="DD111" i="9"/>
  <c r="BR111" i="9"/>
  <c r="AZ111" i="9"/>
  <c r="AG111" i="9"/>
  <c r="N111" i="9"/>
  <c r="DC111" i="9"/>
  <c r="AW111" i="9"/>
  <c r="AE111" i="9"/>
  <c r="M111" i="9"/>
  <c r="CW111" i="9"/>
  <c r="BN111" i="9"/>
  <c r="AU111" i="9"/>
  <c r="AB111" i="9"/>
  <c r="CV111" i="9"/>
  <c r="CE111" i="9"/>
  <c r="BM111" i="9"/>
  <c r="AS111" i="9"/>
  <c r="AA111" i="9"/>
  <c r="F111" i="9"/>
  <c r="CU111" i="9"/>
  <c r="BJ111" i="9"/>
  <c r="AQ111" i="9"/>
  <c r="W111" i="9"/>
  <c r="E111" i="9"/>
  <c r="CT111" i="9"/>
  <c r="CC111" i="9"/>
  <c r="BH111" i="9"/>
  <c r="AP111" i="9"/>
  <c r="V111" i="9"/>
  <c r="C111" i="9"/>
  <c r="DB111" i="9"/>
  <c r="U92" i="9"/>
  <c r="AU92" i="9"/>
  <c r="BP92" i="9"/>
  <c r="BZ95" i="9"/>
  <c r="DI100" i="9"/>
  <c r="CW100" i="9"/>
  <c r="CK100" i="9"/>
  <c r="BY100" i="9"/>
  <c r="BM100" i="9"/>
  <c r="BA100" i="9"/>
  <c r="AO100" i="9"/>
  <c r="AC100" i="9"/>
  <c r="Q100" i="9"/>
  <c r="E100" i="9"/>
  <c r="DB100" i="9"/>
  <c r="CO100" i="9"/>
  <c r="CB100" i="9"/>
  <c r="BO100" i="9"/>
  <c r="BB100" i="9"/>
  <c r="AN100" i="9"/>
  <c r="AA100" i="9"/>
  <c r="N100" i="9"/>
  <c r="DG100" i="9"/>
  <c r="CS100" i="9"/>
  <c r="BQ100" i="9"/>
  <c r="BC100" i="9"/>
  <c r="AM100" i="9"/>
  <c r="Y100" i="9"/>
  <c r="K100" i="9"/>
  <c r="CX100" i="9"/>
  <c r="CI100" i="9"/>
  <c r="BU100" i="9"/>
  <c r="BG100" i="9"/>
  <c r="AS100" i="9"/>
  <c r="AE100" i="9"/>
  <c r="P100" i="9"/>
  <c r="DD100" i="9"/>
  <c r="CM100" i="9"/>
  <c r="BV100" i="9"/>
  <c r="BE100" i="9"/>
  <c r="AL100" i="9"/>
  <c r="V100" i="9"/>
  <c r="F100" i="9"/>
  <c r="CR100" i="9"/>
  <c r="CA100" i="9"/>
  <c r="BJ100" i="9"/>
  <c r="AT100" i="9"/>
  <c r="AB100" i="9"/>
  <c r="J100" i="9"/>
  <c r="DH100" i="9"/>
  <c r="CQ100" i="9"/>
  <c r="BZ100" i="9"/>
  <c r="BI100" i="9"/>
  <c r="AR100" i="9"/>
  <c r="Z100" i="9"/>
  <c r="I100" i="9"/>
  <c r="DF100" i="9"/>
  <c r="CP100" i="9"/>
  <c r="BH100" i="9"/>
  <c r="AQ100" i="9"/>
  <c r="X100" i="9"/>
  <c r="H100" i="9"/>
  <c r="AF100" i="9"/>
  <c r="AZ100" i="9"/>
  <c r="CD100" i="9"/>
  <c r="DA100" i="9"/>
  <c r="DI112" i="9"/>
  <c r="CW112" i="9"/>
  <c r="BM112" i="9"/>
  <c r="BA112" i="9"/>
  <c r="AO112" i="9"/>
  <c r="AC112" i="9"/>
  <c r="Q112" i="9"/>
  <c r="E112" i="9"/>
  <c r="DF112" i="9"/>
  <c r="CS112" i="9"/>
  <c r="CF112" i="9"/>
  <c r="BF112" i="9"/>
  <c r="AS112" i="9"/>
  <c r="AF112" i="9"/>
  <c r="S112" i="9"/>
  <c r="F112" i="9"/>
  <c r="DE112" i="9"/>
  <c r="CR112" i="9"/>
  <c r="CE112" i="9"/>
  <c r="BR112" i="9"/>
  <c r="BE112" i="9"/>
  <c r="AR112" i="9"/>
  <c r="AE112" i="9"/>
  <c r="R112" i="9"/>
  <c r="C112" i="9"/>
  <c r="BS112" i="9" s="1"/>
  <c r="CY112" i="9"/>
  <c r="BT112" i="9"/>
  <c r="BC112" i="9"/>
  <c r="AM112" i="9"/>
  <c r="X112" i="9"/>
  <c r="I112" i="9"/>
  <c r="DC112" i="9"/>
  <c r="CN112" i="9"/>
  <c r="BI112" i="9"/>
  <c r="AT112" i="9"/>
  <c r="AB112" i="9"/>
  <c r="M112" i="9"/>
  <c r="CT112" i="9"/>
  <c r="CA112" i="9"/>
  <c r="BH112" i="9"/>
  <c r="AN112" i="9"/>
  <c r="V112" i="9"/>
  <c r="CQ112" i="9"/>
  <c r="BZ112" i="9"/>
  <c r="BG112" i="9"/>
  <c r="AL112" i="9"/>
  <c r="U112" i="9"/>
  <c r="CP112" i="9"/>
  <c r="BD112" i="9"/>
  <c r="AK112" i="9"/>
  <c r="T112" i="9"/>
  <c r="DH112" i="9"/>
  <c r="CO112" i="9"/>
  <c r="BV112" i="9"/>
  <c r="BB112" i="9"/>
  <c r="AJ112" i="9"/>
  <c r="P112" i="9"/>
  <c r="DG112" i="9"/>
  <c r="CM112" i="9"/>
  <c r="AZ112" i="9"/>
  <c r="AI112" i="9"/>
  <c r="O112" i="9"/>
  <c r="DD112" i="9"/>
  <c r="CL112" i="9"/>
  <c r="BQ112" i="9"/>
  <c r="AY112" i="9"/>
  <c r="AH112" i="9"/>
  <c r="N112" i="9"/>
  <c r="DA112" i="9"/>
  <c r="CH112" i="9"/>
  <c r="AW112" i="9"/>
  <c r="AD112" i="9"/>
  <c r="K112" i="9"/>
  <c r="CZ112" i="9"/>
  <c r="CG112" i="9"/>
  <c r="BN112" i="9"/>
  <c r="AV112" i="9"/>
  <c r="AA112" i="9"/>
  <c r="J112" i="9"/>
  <c r="CX112" i="9"/>
  <c r="CD112" i="9"/>
  <c r="BL112" i="9"/>
  <c r="AU112" i="9"/>
  <c r="Z112" i="9"/>
  <c r="H112" i="9"/>
  <c r="CV112" i="9"/>
  <c r="CC112" i="9"/>
  <c r="BK112" i="9"/>
  <c r="AQ112" i="9"/>
  <c r="Y112" i="9"/>
  <c r="DB112" i="9"/>
  <c r="DI92" i="9"/>
  <c r="CW92" i="9"/>
  <c r="BM92" i="9"/>
  <c r="BA92" i="9"/>
  <c r="AO92" i="9"/>
  <c r="AC92" i="9"/>
  <c r="Q92" i="9"/>
  <c r="E92" i="9"/>
  <c r="DG92" i="9"/>
  <c r="CT92" i="9"/>
  <c r="BT92" i="9"/>
  <c r="BG92" i="9"/>
  <c r="AT92" i="9"/>
  <c r="AG92" i="9"/>
  <c r="T92" i="9"/>
  <c r="CY92" i="9"/>
  <c r="CL92" i="9"/>
  <c r="BK92" i="9"/>
  <c r="AX92" i="9"/>
  <c r="CI92" i="9" s="1"/>
  <c r="AK92" i="9"/>
  <c r="X92" i="9"/>
  <c r="K92" i="9"/>
  <c r="CV92" i="9"/>
  <c r="BB92" i="9"/>
  <c r="AL92" i="9"/>
  <c r="V92" i="9"/>
  <c r="DB92" i="9"/>
  <c r="CM92" i="9"/>
  <c r="BF92" i="9"/>
  <c r="AQ92" i="9"/>
  <c r="AA92" i="9"/>
  <c r="L92" i="9"/>
  <c r="DA92" i="9"/>
  <c r="BE92" i="9"/>
  <c r="AP92" i="9"/>
  <c r="Z92" i="9"/>
  <c r="J92" i="9"/>
  <c r="CZ92" i="9"/>
  <c r="BD92" i="9"/>
  <c r="AN92" i="9"/>
  <c r="Y92" i="9"/>
  <c r="I92" i="9"/>
  <c r="W92" i="9"/>
  <c r="AV92" i="9"/>
  <c r="CQ92" i="9"/>
  <c r="CA95" i="9"/>
  <c r="C100" i="9"/>
  <c r="BS100" i="9" s="1"/>
  <c r="AG100" i="9"/>
  <c r="BD100" i="9"/>
  <c r="CF100" i="9"/>
  <c r="DC100" i="9"/>
  <c r="J111" i="9"/>
  <c r="CD86" i="9"/>
  <c r="BQ86" i="9"/>
  <c r="DI88" i="9"/>
  <c r="CW88" i="9"/>
  <c r="CK88" i="9"/>
  <c r="BY88" i="9"/>
  <c r="BM88" i="9"/>
  <c r="BA88" i="9"/>
  <c r="AO88" i="9"/>
  <c r="AC88" i="9"/>
  <c r="Q88" i="9"/>
  <c r="E88" i="9"/>
  <c r="DF88" i="9"/>
  <c r="CS88" i="9"/>
  <c r="CF88" i="9"/>
  <c r="BS88" i="9"/>
  <c r="BF88" i="9"/>
  <c r="AS88" i="9"/>
  <c r="AF88" i="9"/>
  <c r="S88" i="9"/>
  <c r="F88" i="9"/>
  <c r="CX88" i="9"/>
  <c r="CJ88" i="9"/>
  <c r="BW88" i="9"/>
  <c r="BJ88" i="9"/>
  <c r="AW88" i="9"/>
  <c r="AJ88" i="9"/>
  <c r="W88" i="9"/>
  <c r="J88" i="9"/>
  <c r="DB88" i="9"/>
  <c r="CM88" i="9"/>
  <c r="BV88" i="9"/>
  <c r="BG88" i="9"/>
  <c r="AQ88" i="9"/>
  <c r="AA88" i="9"/>
  <c r="L88" i="9"/>
  <c r="DG88" i="9"/>
  <c r="CQ88" i="9"/>
  <c r="CB88" i="9"/>
  <c r="BL88" i="9"/>
  <c r="AV88" i="9"/>
  <c r="AG88" i="9"/>
  <c r="P88" i="9"/>
  <c r="DE88" i="9"/>
  <c r="CP88" i="9"/>
  <c r="CA88" i="9"/>
  <c r="BK88" i="9"/>
  <c r="AU88" i="9"/>
  <c r="AE88" i="9"/>
  <c r="O88" i="9"/>
  <c r="DD88" i="9"/>
  <c r="CO88" i="9"/>
  <c r="BZ88" i="9"/>
  <c r="BI88" i="9"/>
  <c r="AT88" i="9"/>
  <c r="AD88" i="9"/>
  <c r="N88" i="9"/>
  <c r="Y88" i="9"/>
  <c r="AY88" i="9"/>
  <c r="BT88" i="9"/>
  <c r="CT88" i="9"/>
  <c r="C92" i="9"/>
  <c r="BN92" i="9" s="1"/>
  <c r="AB92" i="9"/>
  <c r="AW92" i="9"/>
  <c r="CR92" i="9"/>
  <c r="CC95" i="9"/>
  <c r="AD98" i="9"/>
  <c r="AZ98" i="9"/>
  <c r="CC98" i="9"/>
  <c r="AH100" i="9"/>
  <c r="BF100" i="9"/>
  <c r="CG100" i="9"/>
  <c r="DE100" i="9"/>
  <c r="U111" i="9"/>
  <c r="L112" i="9"/>
  <c r="F92" i="9"/>
  <c r="AD92" i="9"/>
  <c r="AY92" i="9"/>
  <c r="CS92" i="9"/>
  <c r="DC98" i="9"/>
  <c r="CQ98" i="9"/>
  <c r="BG98" i="9"/>
  <c r="AU98" i="9"/>
  <c r="AI98" i="9"/>
  <c r="W98" i="9"/>
  <c r="K98" i="9"/>
  <c r="DA98" i="9"/>
  <c r="CN98" i="9"/>
  <c r="BN98" i="9"/>
  <c r="BA98" i="9"/>
  <c r="AN98" i="9"/>
  <c r="AA98" i="9"/>
  <c r="N98" i="9"/>
  <c r="DB98" i="9"/>
  <c r="CM98" i="9"/>
  <c r="BK98" i="9"/>
  <c r="AW98" i="9"/>
  <c r="AH98" i="9"/>
  <c r="T98" i="9"/>
  <c r="F98" i="9"/>
  <c r="DG98" i="9"/>
  <c r="CS98" i="9"/>
  <c r="BP98" i="9"/>
  <c r="BB98" i="9"/>
  <c r="AM98" i="9"/>
  <c r="Y98" i="9"/>
  <c r="J98" i="9"/>
  <c r="DE98" i="9"/>
  <c r="CL98" i="9"/>
  <c r="BE98" i="9"/>
  <c r="AO98" i="9"/>
  <c r="V98" i="9"/>
  <c r="E98" i="9"/>
  <c r="CT98" i="9"/>
  <c r="BJ98" i="9"/>
  <c r="AS98" i="9"/>
  <c r="AC98" i="9"/>
  <c r="L98" i="9"/>
  <c r="DI98" i="9"/>
  <c r="CR98" i="9"/>
  <c r="BZ98" i="9"/>
  <c r="BI98" i="9"/>
  <c r="AR98" i="9"/>
  <c r="AB98" i="9"/>
  <c r="I98" i="9"/>
  <c r="DH98" i="9"/>
  <c r="CP98" i="9"/>
  <c r="BH98" i="9"/>
  <c r="AQ98" i="9"/>
  <c r="Z98" i="9"/>
  <c r="H98" i="9"/>
  <c r="AE98" i="9"/>
  <c r="BC98" i="9"/>
  <c r="CZ98" i="9"/>
  <c r="L100" i="9"/>
  <c r="AI100" i="9"/>
  <c r="BK100" i="9"/>
  <c r="CH100" i="9"/>
  <c r="CI106" i="9"/>
  <c r="BU106" i="9"/>
  <c r="BY106" i="9"/>
  <c r="CA106" i="9"/>
  <c r="BZ106" i="9"/>
  <c r="BV106" i="9"/>
  <c r="CK106" i="9"/>
  <c r="BT106" i="9"/>
  <c r="CH106" i="9"/>
  <c r="BQ106" i="9"/>
  <c r="CG106" i="9"/>
  <c r="BO106" i="9"/>
  <c r="CF106" i="9"/>
  <c r="BN106" i="9"/>
  <c r="CD106" i="9"/>
  <c r="AC111" i="9"/>
  <c r="W112" i="9"/>
  <c r="N68" i="9"/>
  <c r="AD68" i="9"/>
  <c r="AR68" i="9"/>
  <c r="BF68" i="9"/>
  <c r="DC68" i="9" s="1"/>
  <c r="BT68" i="9"/>
  <c r="CH68" i="9"/>
  <c r="DF73" i="9"/>
  <c r="CT73" i="9"/>
  <c r="CH73" i="9"/>
  <c r="BV73" i="9"/>
  <c r="BJ73" i="9"/>
  <c r="AX73" i="9"/>
  <c r="AL73" i="9"/>
  <c r="Z73" i="9"/>
  <c r="N73" i="9"/>
  <c r="CX73" i="9"/>
  <c r="CK73" i="9"/>
  <c r="BX73" i="9"/>
  <c r="BK73" i="9"/>
  <c r="AW73" i="9"/>
  <c r="AJ73" i="9"/>
  <c r="W73" i="9"/>
  <c r="J73" i="9"/>
  <c r="DA73" i="9"/>
  <c r="CN73" i="9"/>
  <c r="CA73" i="9"/>
  <c r="BN73" i="9"/>
  <c r="BA73" i="9"/>
  <c r="AN73" i="9"/>
  <c r="AA73" i="9"/>
  <c r="M73" i="9"/>
  <c r="R73" i="9"/>
  <c r="AG73" i="9"/>
  <c r="AV73" i="9"/>
  <c r="BM73" i="9"/>
  <c r="CC73" i="9"/>
  <c r="CR73" i="9"/>
  <c r="DH73" i="9"/>
  <c r="O74" i="9"/>
  <c r="AE74" i="9"/>
  <c r="AV74" i="9"/>
  <c r="BK74" i="9"/>
  <c r="BZ74" i="9"/>
  <c r="CO74" i="9"/>
  <c r="DF74" i="9"/>
  <c r="L77" i="9"/>
  <c r="AC77" i="9"/>
  <c r="AR77" i="9"/>
  <c r="BH77" i="9"/>
  <c r="BZ77" i="9"/>
  <c r="CQ77" i="9"/>
  <c r="DI77" i="9"/>
  <c r="DG78" i="9"/>
  <c r="CS78" i="9"/>
  <c r="CV78" i="9"/>
  <c r="CY78" i="9"/>
  <c r="L83" i="9"/>
  <c r="AD83" i="9"/>
  <c r="AV83" i="9"/>
  <c r="BQ83" i="9"/>
  <c r="CI83" i="9"/>
  <c r="DB83" i="9"/>
  <c r="L84" i="9"/>
  <c r="AD84" i="9"/>
  <c r="AW84" i="9"/>
  <c r="BP84" i="9"/>
  <c r="CJ84" i="9"/>
  <c r="DB84" i="9"/>
  <c r="AB88" i="9"/>
  <c r="BB88" i="9"/>
  <c r="BX88" i="9"/>
  <c r="CV88" i="9"/>
  <c r="K89" i="9"/>
  <c r="AJ89" i="9"/>
  <c r="BG89" i="9"/>
  <c r="CF89" i="9"/>
  <c r="DB89" i="9"/>
  <c r="T90" i="9"/>
  <c r="AP90" i="9"/>
  <c r="BO90" i="9"/>
  <c r="CL90" i="9"/>
  <c r="CZ91" i="9"/>
  <c r="CN91" i="9"/>
  <c r="BD91" i="9"/>
  <c r="AR91" i="9"/>
  <c r="AF91" i="9"/>
  <c r="T91" i="9"/>
  <c r="H91" i="9"/>
  <c r="DA91" i="9"/>
  <c r="CM91" i="9"/>
  <c r="BM91" i="9"/>
  <c r="AZ91" i="9"/>
  <c r="AM91" i="9"/>
  <c r="Z91" i="9"/>
  <c r="M91" i="9"/>
  <c r="DE91" i="9"/>
  <c r="CR91" i="9"/>
  <c r="BE91" i="9"/>
  <c r="AQ91" i="9"/>
  <c r="AD91" i="9"/>
  <c r="Q91" i="9"/>
  <c r="C91" i="9"/>
  <c r="CX91" i="9"/>
  <c r="BC91" i="9"/>
  <c r="AN91" i="9"/>
  <c r="X91" i="9"/>
  <c r="I91" i="9"/>
  <c r="DD91" i="9"/>
  <c r="CO91" i="9"/>
  <c r="BI91" i="9"/>
  <c r="AT91" i="9"/>
  <c r="AC91" i="9"/>
  <c r="N91" i="9"/>
  <c r="DC91" i="9"/>
  <c r="CL91" i="9"/>
  <c r="BH91" i="9"/>
  <c r="AS91" i="9"/>
  <c r="AB91" i="9"/>
  <c r="L91" i="9"/>
  <c r="DB91" i="9"/>
  <c r="BG91" i="9"/>
  <c r="AP91" i="9"/>
  <c r="AA91" i="9"/>
  <c r="K91" i="9"/>
  <c r="Y91" i="9"/>
  <c r="AX91" i="9"/>
  <c r="CT91" i="9"/>
  <c r="AE92" i="9"/>
  <c r="AZ92" i="9"/>
  <c r="CU92" i="9"/>
  <c r="S94" i="9"/>
  <c r="AV94" i="9"/>
  <c r="BT94" i="9"/>
  <c r="CV94" i="9"/>
  <c r="C98" i="9"/>
  <c r="BW98" i="9" s="1"/>
  <c r="AF98" i="9"/>
  <c r="BD98" i="9"/>
  <c r="CG98" i="9"/>
  <c r="DD98" i="9"/>
  <c r="M100" i="9"/>
  <c r="AJ100" i="9"/>
  <c r="BL100" i="9"/>
  <c r="CJ100" i="9"/>
  <c r="S102" i="9"/>
  <c r="AV102" i="9"/>
  <c r="BR102" i="9"/>
  <c r="CU102" i="9"/>
  <c r="AN111" i="9"/>
  <c r="AG112" i="9"/>
  <c r="CB86" i="9"/>
  <c r="Q95" i="9"/>
  <c r="AI95" i="9"/>
  <c r="AY95" i="9"/>
  <c r="BO95" i="9"/>
  <c r="CH95" i="9"/>
  <c r="CY95" i="9"/>
  <c r="P97" i="9"/>
  <c r="AH97" i="9"/>
  <c r="AZ97" i="9"/>
  <c r="CX97" i="9"/>
  <c r="P99" i="9"/>
  <c r="AG99" i="9"/>
  <c r="AX99" i="9"/>
  <c r="BO99" i="9"/>
  <c r="CX99" i="9"/>
  <c r="Q101" i="9"/>
  <c r="AI101" i="9"/>
  <c r="AZ101" i="9"/>
  <c r="CY101" i="9"/>
  <c r="Q103" i="9"/>
  <c r="AH103" i="9"/>
  <c r="AZ103" i="9"/>
  <c r="BR103" i="9"/>
  <c r="CY103" i="9"/>
  <c r="Q107" i="9"/>
  <c r="AI107" i="9"/>
  <c r="BA107" i="9"/>
  <c r="CY107" i="9"/>
  <c r="CE108" i="9"/>
  <c r="BZ108" i="9"/>
  <c r="CF108" i="9"/>
  <c r="BP108" i="9"/>
  <c r="CC108" i="9"/>
  <c r="AA113" i="9"/>
  <c r="AS113" i="9"/>
  <c r="BK113" i="9"/>
  <c r="CD113" i="9"/>
  <c r="CV113" i="9"/>
  <c r="H114" i="9"/>
  <c r="Z114" i="9"/>
  <c r="AT114" i="9"/>
  <c r="BL114" i="9"/>
  <c r="CC114" i="9"/>
  <c r="CX114" i="9"/>
  <c r="I115" i="9"/>
  <c r="AC115" i="9"/>
  <c r="AU115" i="9"/>
  <c r="BN115" i="9"/>
  <c r="CG115" i="9"/>
  <c r="CX115" i="9"/>
  <c r="S118" i="9"/>
  <c r="AS118" i="9"/>
  <c r="BQ118" i="9"/>
  <c r="CQ118" i="9"/>
  <c r="AS122" i="9"/>
  <c r="CZ79" i="9"/>
  <c r="CN79" i="9"/>
  <c r="CB79" i="9"/>
  <c r="BP79" i="9"/>
  <c r="BD79" i="9"/>
  <c r="AR79" i="9"/>
  <c r="AF79" i="9"/>
  <c r="T79" i="9"/>
  <c r="H79" i="9"/>
  <c r="CW79" i="9"/>
  <c r="CJ79" i="9"/>
  <c r="BW79" i="9"/>
  <c r="BJ79" i="9"/>
  <c r="AW79" i="9"/>
  <c r="AJ79" i="9"/>
  <c r="W79" i="9"/>
  <c r="J79" i="9"/>
  <c r="Q79" i="9"/>
  <c r="AE79" i="9"/>
  <c r="AT79" i="9"/>
  <c r="BH79" i="9"/>
  <c r="BV79" i="9"/>
  <c r="CK79" i="9"/>
  <c r="CY79" i="9"/>
  <c r="DC86" i="9"/>
  <c r="CQ86" i="9"/>
  <c r="CE86" i="9"/>
  <c r="BS86" i="9"/>
  <c r="BG86" i="9"/>
  <c r="AU86" i="9"/>
  <c r="AI86" i="9"/>
  <c r="W86" i="9"/>
  <c r="K86" i="9"/>
  <c r="DF86" i="9"/>
  <c r="CS86" i="9"/>
  <c r="CF86" i="9"/>
  <c r="BR86" i="9"/>
  <c r="BE86" i="9"/>
  <c r="AR86" i="9"/>
  <c r="AE86" i="9"/>
  <c r="R86" i="9"/>
  <c r="E86" i="9"/>
  <c r="CW86" i="9"/>
  <c r="CJ86" i="9"/>
  <c r="BW86" i="9"/>
  <c r="BJ86" i="9"/>
  <c r="AW86" i="9"/>
  <c r="AJ86" i="9"/>
  <c r="V86" i="9"/>
  <c r="I86" i="9"/>
  <c r="S86" i="9"/>
  <c r="AH86" i="9"/>
  <c r="AY86" i="9"/>
  <c r="BN86" i="9"/>
  <c r="CC86" i="9"/>
  <c r="CT86" i="9"/>
  <c r="DI86" i="9"/>
  <c r="R95" i="9"/>
  <c r="AJ95" i="9"/>
  <c r="AZ95" i="9"/>
  <c r="BR95" i="9"/>
  <c r="CI95" i="9"/>
  <c r="R97" i="9"/>
  <c r="AI97" i="9"/>
  <c r="BA97" i="9"/>
  <c r="Q99" i="9"/>
  <c r="AI99" i="9"/>
  <c r="AZ99" i="9"/>
  <c r="BQ99" i="9"/>
  <c r="CI99" i="9"/>
  <c r="R101" i="9"/>
  <c r="AJ101" i="9"/>
  <c r="BA101" i="9"/>
  <c r="R103" i="9"/>
  <c r="AK103" i="9"/>
  <c r="BA103" i="9"/>
  <c r="DF105" i="9"/>
  <c r="CT105" i="9"/>
  <c r="BJ105" i="9"/>
  <c r="AX105" i="9"/>
  <c r="CF105" i="9" s="1"/>
  <c r="AL105" i="9"/>
  <c r="Z105" i="9"/>
  <c r="N105" i="9"/>
  <c r="CW105" i="9"/>
  <c r="BI105" i="9"/>
  <c r="AV105" i="9"/>
  <c r="AI105" i="9"/>
  <c r="V105" i="9"/>
  <c r="I105" i="9"/>
  <c r="DI105" i="9"/>
  <c r="CU105" i="9"/>
  <c r="BD105" i="9"/>
  <c r="AP105" i="9"/>
  <c r="AB105" i="9"/>
  <c r="M105" i="9"/>
  <c r="CZ105" i="9"/>
  <c r="CL105" i="9"/>
  <c r="BH105" i="9"/>
  <c r="AT105" i="9"/>
  <c r="AF105" i="9"/>
  <c r="R105" i="9"/>
  <c r="C105" i="9"/>
  <c r="T105" i="9"/>
  <c r="AK105" i="9"/>
  <c r="BB105" i="9"/>
  <c r="CK105" i="9"/>
  <c r="DB105" i="9"/>
  <c r="S107" i="9"/>
  <c r="AK107" i="9"/>
  <c r="BB107" i="9"/>
  <c r="BN108" i="9"/>
  <c r="CG108" i="9"/>
  <c r="DF109" i="9"/>
  <c r="CT109" i="9"/>
  <c r="BV109" i="9"/>
  <c r="BJ109" i="9"/>
  <c r="AX109" i="9"/>
  <c r="CB109" i="9" s="1"/>
  <c r="AL109" i="9"/>
  <c r="Z109" i="9"/>
  <c r="N109" i="9"/>
  <c r="CY109" i="9"/>
  <c r="CL109" i="9"/>
  <c r="BL109" i="9"/>
  <c r="AY109" i="9"/>
  <c r="AK109" i="9"/>
  <c r="X109" i="9"/>
  <c r="K109" i="9"/>
  <c r="CX109" i="9"/>
  <c r="CK109" i="9"/>
  <c r="BX109" i="9"/>
  <c r="BK109" i="9"/>
  <c r="AW109" i="9"/>
  <c r="AJ109" i="9"/>
  <c r="W109" i="9"/>
  <c r="J109" i="9"/>
  <c r="DB109" i="9"/>
  <c r="CM109" i="9"/>
  <c r="BU109" i="9"/>
  <c r="BF109" i="9"/>
  <c r="AQ109" i="9"/>
  <c r="AB109" i="9"/>
  <c r="L109" i="9"/>
  <c r="DG109" i="9"/>
  <c r="CQ109" i="9"/>
  <c r="BM109" i="9"/>
  <c r="AU109" i="9"/>
  <c r="AF109" i="9"/>
  <c r="Q109" i="9"/>
  <c r="T109" i="9"/>
  <c r="AN109" i="9"/>
  <c r="BE109" i="9"/>
  <c r="BZ109" i="9"/>
  <c r="CR109" i="9"/>
  <c r="DC110" i="9"/>
  <c r="CQ110" i="9"/>
  <c r="BS110" i="9"/>
  <c r="BG110" i="9"/>
  <c r="AU110" i="9"/>
  <c r="AI110" i="9"/>
  <c r="W110" i="9"/>
  <c r="K110" i="9"/>
  <c r="DF110" i="9"/>
  <c r="CS110" i="9"/>
  <c r="CF110" i="9"/>
  <c r="BR110" i="9"/>
  <c r="BE110" i="9"/>
  <c r="AR110" i="9"/>
  <c r="AE110" i="9"/>
  <c r="R110" i="9"/>
  <c r="E110" i="9"/>
  <c r="DE110" i="9"/>
  <c r="CR110" i="9"/>
  <c r="BQ110" i="9"/>
  <c r="BD110" i="9"/>
  <c r="AQ110" i="9"/>
  <c r="AD110" i="9"/>
  <c r="Q110" i="9"/>
  <c r="C110" i="9"/>
  <c r="CK110" i="9" s="1"/>
  <c r="CZ110" i="9"/>
  <c r="BF110" i="9"/>
  <c r="AO110" i="9"/>
  <c r="Z110" i="9"/>
  <c r="J110" i="9"/>
  <c r="DG110" i="9"/>
  <c r="CO110" i="9"/>
  <c r="BZ110" i="9"/>
  <c r="BK110" i="9"/>
  <c r="AV110" i="9"/>
  <c r="AF110" i="9"/>
  <c r="O110" i="9"/>
  <c r="V110" i="9"/>
  <c r="AN110" i="9"/>
  <c r="BI110" i="9"/>
  <c r="CU110" i="9"/>
  <c r="H113" i="9"/>
  <c r="AB113" i="9"/>
  <c r="AT113" i="9"/>
  <c r="BN113" i="9"/>
  <c r="CE113" i="9"/>
  <c r="CX113" i="9"/>
  <c r="I114" i="9"/>
  <c r="AB114" i="9"/>
  <c r="AV114" i="9"/>
  <c r="BM114" i="9"/>
  <c r="CD114" i="9"/>
  <c r="CY114" i="9"/>
  <c r="K115" i="9"/>
  <c r="AD115" i="9"/>
  <c r="AV115" i="9"/>
  <c r="BO115" i="9"/>
  <c r="CH115" i="9"/>
  <c r="DC115" i="9"/>
  <c r="U118" i="9"/>
  <c r="AW118" i="9"/>
  <c r="BU118" i="9"/>
  <c r="CX118" i="9"/>
  <c r="CP122" i="9"/>
  <c r="CD122" i="9"/>
  <c r="BR122" i="9"/>
  <c r="BF122" i="9"/>
  <c r="CS122" i="9" s="1"/>
  <c r="AT122" i="9"/>
  <c r="AH122" i="9"/>
  <c r="V122" i="9"/>
  <c r="J122" i="9"/>
  <c r="CI122" i="9"/>
  <c r="BV122" i="9"/>
  <c r="BI122" i="9"/>
  <c r="AV122" i="9"/>
  <c r="AI122" i="9"/>
  <c r="U122" i="9"/>
  <c r="H122" i="9"/>
  <c r="CQ122" i="9"/>
  <c r="CB122" i="9"/>
  <c r="BN122" i="9"/>
  <c r="AZ122" i="9"/>
  <c r="AL122" i="9"/>
  <c r="X122" i="9"/>
  <c r="I122" i="9"/>
  <c r="DC122" i="9"/>
  <c r="CM122" i="9"/>
  <c r="BX122" i="9"/>
  <c r="BH122" i="9"/>
  <c r="AR122" i="9"/>
  <c r="AC122" i="9"/>
  <c r="N122" i="9"/>
  <c r="BW122" i="9"/>
  <c r="BG122" i="9"/>
  <c r="AQ122" i="9"/>
  <c r="AB122" i="9"/>
  <c r="M122" i="9"/>
  <c r="CZ122" i="9"/>
  <c r="CK122" i="9"/>
  <c r="BU122" i="9"/>
  <c r="BE122" i="9"/>
  <c r="AP122" i="9"/>
  <c r="AA122" i="9"/>
  <c r="L122" i="9"/>
  <c r="CO122" i="9"/>
  <c r="BS122" i="9"/>
  <c r="AY122" i="9"/>
  <c r="AE122" i="9"/>
  <c r="DH122" i="9"/>
  <c r="CN122" i="9"/>
  <c r="BQ122" i="9"/>
  <c r="AX122" i="9"/>
  <c r="AD122" i="9"/>
  <c r="F122" i="9"/>
  <c r="CE122" i="9"/>
  <c r="BK122" i="9"/>
  <c r="AN122" i="9"/>
  <c r="S122" i="9"/>
  <c r="CW122" i="9"/>
  <c r="CC122" i="9"/>
  <c r="BJ122" i="9"/>
  <c r="AM122" i="9"/>
  <c r="R122" i="9"/>
  <c r="CU122" i="9"/>
  <c r="CA122" i="9"/>
  <c r="BD122" i="9"/>
  <c r="AK122" i="9"/>
  <c r="Q122" i="9"/>
  <c r="BZ122" i="9"/>
  <c r="BC122" i="9"/>
  <c r="AJ122" i="9"/>
  <c r="P122" i="9"/>
  <c r="BY122" i="9"/>
  <c r="BB122" i="9"/>
  <c r="AG122" i="9"/>
  <c r="O122" i="9"/>
  <c r="AU122" i="9"/>
  <c r="CR122" i="9"/>
  <c r="BO86" i="9"/>
  <c r="CZ95" i="9"/>
  <c r="CN95" i="9"/>
  <c r="CB95" i="9"/>
  <c r="BP95" i="9"/>
  <c r="BD95" i="9"/>
  <c r="AR95" i="9"/>
  <c r="AF95" i="9"/>
  <c r="T95" i="9"/>
  <c r="H95" i="9"/>
  <c r="DG95" i="9"/>
  <c r="CT95" i="9"/>
  <c r="CG95" i="9"/>
  <c r="BT95" i="9"/>
  <c r="BG95" i="9"/>
  <c r="AT95" i="9"/>
  <c r="AG95" i="9"/>
  <c r="S95" i="9"/>
  <c r="F95" i="9"/>
  <c r="DH95" i="9"/>
  <c r="CS95" i="9"/>
  <c r="CE95" i="9"/>
  <c r="BQ95" i="9"/>
  <c r="BB95" i="9"/>
  <c r="AN95" i="9"/>
  <c r="Z95" i="9"/>
  <c r="L95" i="9"/>
  <c r="CX95" i="9"/>
  <c r="CJ95" i="9"/>
  <c r="BV95" i="9"/>
  <c r="BH95" i="9"/>
  <c r="AS95" i="9"/>
  <c r="AD95" i="9"/>
  <c r="P95" i="9"/>
  <c r="U95" i="9"/>
  <c r="AK95" i="9"/>
  <c r="BA95" i="9"/>
  <c r="BS95" i="9"/>
  <c r="CK95" i="9"/>
  <c r="DB95" i="9"/>
  <c r="DF97" i="9"/>
  <c r="CT97" i="9"/>
  <c r="BV97" i="9"/>
  <c r="BJ97" i="9"/>
  <c r="AX97" i="9"/>
  <c r="AL97" i="9"/>
  <c r="Z97" i="9"/>
  <c r="N97" i="9"/>
  <c r="DH97" i="9"/>
  <c r="CU97" i="9"/>
  <c r="CG97" i="9"/>
  <c r="BG97" i="9"/>
  <c r="AT97" i="9"/>
  <c r="AG97" i="9"/>
  <c r="T97" i="9"/>
  <c r="CY97" i="9"/>
  <c r="BW97" i="9"/>
  <c r="BH97" i="9"/>
  <c r="AS97" i="9"/>
  <c r="AE97" i="9"/>
  <c r="Q97" i="9"/>
  <c r="C97" i="9"/>
  <c r="BT97" i="9" s="1"/>
  <c r="DC97" i="9"/>
  <c r="CO97" i="9"/>
  <c r="CA97" i="9"/>
  <c r="BM97" i="9"/>
  <c r="AY97" i="9"/>
  <c r="AJ97" i="9"/>
  <c r="V97" i="9"/>
  <c r="H97" i="9"/>
  <c r="S97" i="9"/>
  <c r="AK97" i="9"/>
  <c r="BB97" i="9"/>
  <c r="BR97" i="9"/>
  <c r="DA97" i="9"/>
  <c r="CZ99" i="9"/>
  <c r="CN99" i="9"/>
  <c r="CB99" i="9"/>
  <c r="BP99" i="9"/>
  <c r="BD99" i="9"/>
  <c r="AR99" i="9"/>
  <c r="AF99" i="9"/>
  <c r="T99" i="9"/>
  <c r="H99" i="9"/>
  <c r="DH99" i="9"/>
  <c r="CU99" i="9"/>
  <c r="CH99" i="9"/>
  <c r="BU99" i="9"/>
  <c r="BH99" i="9"/>
  <c r="AU99" i="9"/>
  <c r="AH99" i="9"/>
  <c r="U99" i="9"/>
  <c r="DD99" i="9"/>
  <c r="CP99" i="9"/>
  <c r="CA99" i="9"/>
  <c r="BM99" i="9"/>
  <c r="AY99" i="9"/>
  <c r="AK99" i="9"/>
  <c r="W99" i="9"/>
  <c r="I99" i="9"/>
  <c r="DI99" i="9"/>
  <c r="CT99" i="9"/>
  <c r="CF99" i="9"/>
  <c r="BR99" i="9"/>
  <c r="BC99" i="9"/>
  <c r="AO99" i="9"/>
  <c r="AA99" i="9"/>
  <c r="M99" i="9"/>
  <c r="R99" i="9"/>
  <c r="AJ99" i="9"/>
  <c r="BA99" i="9"/>
  <c r="BS99" i="9"/>
  <c r="CJ99" i="9"/>
  <c r="DA99" i="9"/>
  <c r="DF101" i="9"/>
  <c r="CT101" i="9"/>
  <c r="BJ101" i="9"/>
  <c r="AX101" i="9"/>
  <c r="CJ101" i="9" s="1"/>
  <c r="AL101" i="9"/>
  <c r="Z101" i="9"/>
  <c r="N101" i="9"/>
  <c r="DI101" i="9"/>
  <c r="CV101" i="9"/>
  <c r="BH101" i="9"/>
  <c r="AU101" i="9"/>
  <c r="AH101" i="9"/>
  <c r="U101" i="9"/>
  <c r="H101" i="9"/>
  <c r="CW101" i="9"/>
  <c r="BE101" i="9"/>
  <c r="AQ101" i="9"/>
  <c r="AC101" i="9"/>
  <c r="O101" i="9"/>
  <c r="DA101" i="9"/>
  <c r="CM101" i="9"/>
  <c r="BK101" i="9"/>
  <c r="AV101" i="9"/>
  <c r="AG101" i="9"/>
  <c r="S101" i="9"/>
  <c r="E101" i="9"/>
  <c r="T101" i="9"/>
  <c r="AK101" i="9"/>
  <c r="BB101" i="9"/>
  <c r="CK101" i="9"/>
  <c r="DB101" i="9"/>
  <c r="CZ103" i="9"/>
  <c r="CN103" i="9"/>
  <c r="BD103" i="9"/>
  <c r="AR103" i="9"/>
  <c r="AF103" i="9"/>
  <c r="T103" i="9"/>
  <c r="H103" i="9"/>
  <c r="DI103" i="9"/>
  <c r="CV103" i="9"/>
  <c r="BI103" i="9"/>
  <c r="AV103" i="9"/>
  <c r="AI103" i="9"/>
  <c r="V103" i="9"/>
  <c r="I103" i="9"/>
  <c r="DC103" i="9"/>
  <c r="CO103" i="9"/>
  <c r="BL103" i="9"/>
  <c r="AX103" i="9"/>
  <c r="AJ103" i="9"/>
  <c r="U103" i="9"/>
  <c r="F103" i="9"/>
  <c r="DG103" i="9"/>
  <c r="CS103" i="9"/>
  <c r="BB103" i="9"/>
  <c r="AN103" i="9"/>
  <c r="Z103" i="9"/>
  <c r="L103" i="9"/>
  <c r="S103" i="9"/>
  <c r="AL103" i="9"/>
  <c r="BC103" i="9"/>
  <c r="DB103" i="9"/>
  <c r="CZ107" i="9"/>
  <c r="CN107" i="9"/>
  <c r="BD107" i="9"/>
  <c r="AR107" i="9"/>
  <c r="AF107" i="9"/>
  <c r="T107" i="9"/>
  <c r="H107" i="9"/>
  <c r="CW107" i="9"/>
  <c r="BJ107" i="9"/>
  <c r="AW107" i="9"/>
  <c r="AJ107" i="9"/>
  <c r="W107" i="9"/>
  <c r="J107" i="9"/>
  <c r="DA107" i="9"/>
  <c r="CL107" i="9"/>
  <c r="BI107" i="9"/>
  <c r="AU107" i="9"/>
  <c r="AG107" i="9"/>
  <c r="R107" i="9"/>
  <c r="C107" i="9"/>
  <c r="DE107" i="9"/>
  <c r="CQ107" i="9"/>
  <c r="AZ107" i="9"/>
  <c r="AL107" i="9"/>
  <c r="X107" i="9"/>
  <c r="I107" i="9"/>
  <c r="U107" i="9"/>
  <c r="AM107" i="9"/>
  <c r="BC107" i="9"/>
  <c r="DC107" i="9"/>
  <c r="BO108" i="9"/>
  <c r="CH108" i="9"/>
  <c r="I113" i="9"/>
  <c r="AD113" i="9"/>
  <c r="AU113" i="9"/>
  <c r="BO113" i="9"/>
  <c r="CF113" i="9"/>
  <c r="DA113" i="9"/>
  <c r="J114" i="9"/>
  <c r="AC114" i="9"/>
  <c r="AW114" i="9"/>
  <c r="BN114" i="9"/>
  <c r="CI114" i="9"/>
  <c r="N115" i="9"/>
  <c r="AE115" i="9"/>
  <c r="AW115" i="9"/>
  <c r="BR115" i="9"/>
  <c r="CI115" i="9"/>
  <c r="DD115" i="9"/>
  <c r="V118" i="9"/>
  <c r="AX118" i="9"/>
  <c r="BV118" i="9"/>
  <c r="CN124" i="9"/>
  <c r="J113" i="9"/>
  <c r="AE113" i="9"/>
  <c r="AV113" i="9"/>
  <c r="BP113" i="9"/>
  <c r="CI113" i="9"/>
  <c r="DB113" i="9"/>
  <c r="O115" i="9"/>
  <c r="AG115" i="9"/>
  <c r="AX115" i="9"/>
  <c r="BS115" i="9"/>
  <c r="CK115" i="9"/>
  <c r="DE115" i="9"/>
  <c r="DI118" i="9"/>
  <c r="CW118" i="9"/>
  <c r="CK118" i="9"/>
  <c r="BY118" i="9"/>
  <c r="BM118" i="9"/>
  <c r="BA118" i="9"/>
  <c r="AO118" i="9"/>
  <c r="AC118" i="9"/>
  <c r="Q118" i="9"/>
  <c r="E118" i="9"/>
  <c r="DG118" i="9"/>
  <c r="CT118" i="9"/>
  <c r="CG118" i="9"/>
  <c r="BT118" i="9"/>
  <c r="BG118" i="9"/>
  <c r="AT118" i="9"/>
  <c r="AG118" i="9"/>
  <c r="T118" i="9"/>
  <c r="CV118" i="9"/>
  <c r="CH118" i="9"/>
  <c r="BS118" i="9"/>
  <c r="BE118" i="9"/>
  <c r="AQ118" i="9"/>
  <c r="AB118" i="9"/>
  <c r="N118" i="9"/>
  <c r="CU118" i="9"/>
  <c r="CF118" i="9"/>
  <c r="BR118" i="9"/>
  <c r="BD118" i="9"/>
  <c r="AP118" i="9"/>
  <c r="AA118" i="9"/>
  <c r="M118" i="9"/>
  <c r="DE118" i="9"/>
  <c r="CO118" i="9"/>
  <c r="BX118" i="9"/>
  <c r="BH118" i="9"/>
  <c r="AN118" i="9"/>
  <c r="X118" i="9"/>
  <c r="H118" i="9"/>
  <c r="DD118" i="9"/>
  <c r="CN118" i="9"/>
  <c r="BW118" i="9"/>
  <c r="BF118" i="9"/>
  <c r="AM118" i="9"/>
  <c r="W118" i="9"/>
  <c r="CS118" i="9"/>
  <c r="CC118" i="9"/>
  <c r="BL118" i="9"/>
  <c r="AV118" i="9"/>
  <c r="AE118" i="9"/>
  <c r="L118" i="9"/>
  <c r="CR118" i="9"/>
  <c r="CB118" i="9"/>
  <c r="BK118" i="9"/>
  <c r="AU118" i="9"/>
  <c r="AD118" i="9"/>
  <c r="K118" i="9"/>
  <c r="Y118" i="9"/>
  <c r="AY118" i="9"/>
  <c r="BZ118" i="9"/>
  <c r="CZ118" i="9"/>
  <c r="CR124" i="9"/>
  <c r="CH110" i="9"/>
  <c r="P113" i="9"/>
  <c r="AG113" i="9"/>
  <c r="BA113" i="9"/>
  <c r="BS113" i="9"/>
  <c r="CK113" i="9"/>
  <c r="DE113" i="9"/>
  <c r="Q115" i="9"/>
  <c r="AI115" i="9"/>
  <c r="BC115" i="9"/>
  <c r="BV115" i="9"/>
  <c r="CP115" i="9"/>
  <c r="DG115" i="9"/>
  <c r="F118" i="9"/>
  <c r="AF118" i="9"/>
  <c r="BB118" i="9"/>
  <c r="CD118" i="9"/>
  <c r="DB118" i="9"/>
  <c r="DB124" i="9"/>
  <c r="BO110" i="9"/>
  <c r="CI110" i="9"/>
  <c r="Q113" i="9"/>
  <c r="AH113" i="9"/>
  <c r="BB113" i="9"/>
  <c r="BT113" i="9"/>
  <c r="CO113" i="9"/>
  <c r="DG113" i="9"/>
  <c r="R115" i="9"/>
  <c r="AK115" i="9"/>
  <c r="BE115" i="9"/>
  <c r="BW115" i="9"/>
  <c r="CQ115" i="9"/>
  <c r="DH115" i="9"/>
  <c r="AH118" i="9"/>
  <c r="BC118" i="9"/>
  <c r="CE118" i="9"/>
  <c r="DC118" i="9"/>
  <c r="R113" i="9"/>
  <c r="AI113" i="9"/>
  <c r="BD113" i="9"/>
  <c r="BU113" i="9"/>
  <c r="CP113" i="9"/>
  <c r="S115" i="9"/>
  <c r="AN115" i="9"/>
  <c r="BG115" i="9"/>
  <c r="BX115" i="9"/>
  <c r="CR115" i="9"/>
  <c r="I118" i="9"/>
  <c r="AI118" i="9"/>
  <c r="BI118" i="9"/>
  <c r="CI118" i="9"/>
  <c r="DF118" i="9"/>
  <c r="DF113" i="9"/>
  <c r="CT113" i="9"/>
  <c r="CH113" i="9"/>
  <c r="BV113" i="9"/>
  <c r="BJ113" i="9"/>
  <c r="AX113" i="9"/>
  <c r="AL113" i="9"/>
  <c r="Z113" i="9"/>
  <c r="N113" i="9"/>
  <c r="CZ113" i="9"/>
  <c r="CM113" i="9"/>
  <c r="BZ113" i="9"/>
  <c r="BM113" i="9"/>
  <c r="AZ113" i="9"/>
  <c r="AM113" i="9"/>
  <c r="Y113" i="9"/>
  <c r="L113" i="9"/>
  <c r="CY113" i="9"/>
  <c r="CL113" i="9"/>
  <c r="BY113" i="9"/>
  <c r="BL113" i="9"/>
  <c r="AY113" i="9"/>
  <c r="AK113" i="9"/>
  <c r="X113" i="9"/>
  <c r="K113" i="9"/>
  <c r="CW113" i="9"/>
  <c r="CG113" i="9"/>
  <c r="BR113" i="9"/>
  <c r="BC113" i="9"/>
  <c r="AN113" i="9"/>
  <c r="V113" i="9"/>
  <c r="DC113" i="9"/>
  <c r="CN113" i="9"/>
  <c r="BW113" i="9"/>
  <c r="BG113" i="9"/>
  <c r="AR113" i="9"/>
  <c r="AC113" i="9"/>
  <c r="M113" i="9"/>
  <c r="S113" i="9"/>
  <c r="AJ113" i="9"/>
  <c r="BE113" i="9"/>
  <c r="BX113" i="9"/>
  <c r="CQ113" i="9"/>
  <c r="DI113" i="9"/>
  <c r="CZ115" i="9"/>
  <c r="CN115" i="9"/>
  <c r="CB115" i="9"/>
  <c r="BP115" i="9"/>
  <c r="BD115" i="9"/>
  <c r="AR115" i="9"/>
  <c r="AF115" i="9"/>
  <c r="T115" i="9"/>
  <c r="H115" i="9"/>
  <c r="DA115" i="9"/>
  <c r="CM115" i="9"/>
  <c r="BZ115" i="9"/>
  <c r="BM115" i="9"/>
  <c r="AZ115" i="9"/>
  <c r="AM115" i="9"/>
  <c r="Z115" i="9"/>
  <c r="M115" i="9"/>
  <c r="CY115" i="9"/>
  <c r="CL115" i="9"/>
  <c r="BY115" i="9"/>
  <c r="BL115" i="9"/>
  <c r="AY115" i="9"/>
  <c r="AL115" i="9"/>
  <c r="Y115" i="9"/>
  <c r="L115" i="9"/>
  <c r="CU115" i="9"/>
  <c r="CF115" i="9"/>
  <c r="BQ115" i="9"/>
  <c r="BA115" i="9"/>
  <c r="AJ115" i="9"/>
  <c r="U115" i="9"/>
  <c r="E115" i="9"/>
  <c r="DB115" i="9"/>
  <c r="CJ115" i="9"/>
  <c r="BU115" i="9"/>
  <c r="BF115" i="9"/>
  <c r="AP115" i="9"/>
  <c r="AA115" i="9"/>
  <c r="J115" i="9"/>
  <c r="V115" i="9"/>
  <c r="AO115" i="9"/>
  <c r="BH115" i="9"/>
  <c r="CA115" i="9"/>
  <c r="CS115" i="9"/>
  <c r="DG124" i="9"/>
  <c r="CO124" i="9"/>
  <c r="DE124" i="9"/>
  <c r="CM124" i="9"/>
  <c r="DD124" i="9"/>
  <c r="CL124" i="9"/>
  <c r="C113" i="9"/>
  <c r="T113" i="9"/>
  <c r="AO113" i="9"/>
  <c r="BF113" i="9"/>
  <c r="CA113" i="9"/>
  <c r="CR113" i="9"/>
  <c r="DC114" i="9"/>
  <c r="CQ114" i="9"/>
  <c r="CE114" i="9"/>
  <c r="BS114" i="9"/>
  <c r="BG114" i="9"/>
  <c r="AU114" i="9"/>
  <c r="AI114" i="9"/>
  <c r="W114" i="9"/>
  <c r="K114" i="9"/>
  <c r="DG114" i="9"/>
  <c r="CT114" i="9"/>
  <c r="CG114" i="9"/>
  <c r="BT114" i="9"/>
  <c r="BF114" i="9"/>
  <c r="AS114" i="9"/>
  <c r="AF114" i="9"/>
  <c r="S114" i="9"/>
  <c r="F114" i="9"/>
  <c r="DF114" i="9"/>
  <c r="CS114" i="9"/>
  <c r="CF114" i="9"/>
  <c r="BR114" i="9"/>
  <c r="BE114" i="9"/>
  <c r="AR114" i="9"/>
  <c r="AE114" i="9"/>
  <c r="R114" i="9"/>
  <c r="E114" i="9"/>
  <c r="CW114" i="9"/>
  <c r="CH114" i="9"/>
  <c r="BP114" i="9"/>
  <c r="BA114" i="9"/>
  <c r="AL114" i="9"/>
  <c r="V114" i="9"/>
  <c r="DA114" i="9"/>
  <c r="CL114" i="9"/>
  <c r="BW114" i="9"/>
  <c r="BH114" i="9"/>
  <c r="AP114" i="9"/>
  <c r="AA114" i="9"/>
  <c r="L114" i="9"/>
  <c r="U114" i="9"/>
  <c r="AN114" i="9"/>
  <c r="BI114" i="9"/>
  <c r="BZ114" i="9"/>
  <c r="CR114" i="9"/>
  <c r="C115" i="9"/>
  <c r="W115" i="9"/>
  <c r="AQ115" i="9"/>
  <c r="BI115" i="9"/>
  <c r="CC115" i="9"/>
  <c r="CT115" i="9"/>
  <c r="O118" i="9"/>
  <c r="AK118" i="9"/>
  <c r="BN118" i="9"/>
  <c r="CL118" i="9"/>
  <c r="DC70" i="9"/>
  <c r="CQ70" i="9"/>
  <c r="CE70" i="9"/>
  <c r="BS70" i="9"/>
  <c r="BG70" i="9"/>
  <c r="AU70" i="9"/>
  <c r="AI70" i="9"/>
  <c r="W70" i="9"/>
  <c r="K70" i="9"/>
  <c r="P70" i="9"/>
  <c r="AC70" i="9"/>
  <c r="AP70" i="9"/>
  <c r="BC70" i="9"/>
  <c r="BP70" i="9"/>
  <c r="CC70" i="9"/>
  <c r="CP70" i="9"/>
  <c r="DD70" i="9"/>
  <c r="DI72" i="9"/>
  <c r="CW72" i="9"/>
  <c r="CK72" i="9"/>
  <c r="BY72" i="9"/>
  <c r="BM72" i="9"/>
  <c r="BA72" i="9"/>
  <c r="AO72" i="9"/>
  <c r="AC72" i="9"/>
  <c r="Q72" i="9"/>
  <c r="E72" i="9"/>
  <c r="P72" i="9"/>
  <c r="AD72" i="9"/>
  <c r="AQ72" i="9"/>
  <c r="BD72" i="9"/>
  <c r="BQ72" i="9"/>
  <c r="CD72" i="9"/>
  <c r="CQ72" i="9"/>
  <c r="DD72" i="9"/>
  <c r="N79" i="9"/>
  <c r="AB79" i="9"/>
  <c r="AP79" i="9"/>
  <c r="BE79" i="9"/>
  <c r="BS79" i="9"/>
  <c r="CG79" i="9"/>
  <c r="CU79" i="9"/>
  <c r="DI79" i="9"/>
  <c r="O86" i="9"/>
  <c r="AD86" i="9"/>
  <c r="AT86" i="9"/>
  <c r="BK86" i="9"/>
  <c r="BZ86" i="9"/>
  <c r="CO86" i="9"/>
  <c r="DE86" i="9"/>
  <c r="N95" i="9"/>
  <c r="AE95" i="9"/>
  <c r="AW95" i="9"/>
  <c r="BM95" i="9"/>
  <c r="CD95" i="9"/>
  <c r="CV95" i="9"/>
  <c r="M97" i="9"/>
  <c r="AD97" i="9"/>
  <c r="AV97" i="9"/>
  <c r="BN97" i="9"/>
  <c r="CD97" i="9"/>
  <c r="CV97" i="9"/>
  <c r="N99" i="9"/>
  <c r="AD99" i="9"/>
  <c r="AV99" i="9"/>
  <c r="BL99" i="9"/>
  <c r="CD99" i="9"/>
  <c r="CV99" i="9"/>
  <c r="M101" i="9"/>
  <c r="AE101" i="9"/>
  <c r="AW101" i="9"/>
  <c r="BN101" i="9"/>
  <c r="CD101" i="9"/>
  <c r="CU101" i="9"/>
  <c r="O103" i="9"/>
  <c r="AE103" i="9"/>
  <c r="AW103" i="9"/>
  <c r="CW103" i="9"/>
  <c r="P105" i="9"/>
  <c r="AG105" i="9"/>
  <c r="AY105" i="9"/>
  <c r="BO105" i="9"/>
  <c r="CE105" i="9"/>
  <c r="CX105" i="9"/>
  <c r="O107" i="9"/>
  <c r="AE107" i="9"/>
  <c r="AX107" i="9"/>
  <c r="BP107" i="9" s="1"/>
  <c r="CV107" i="9"/>
  <c r="CA108" i="9"/>
  <c r="P109" i="9"/>
  <c r="AH109" i="9"/>
  <c r="BB109" i="9"/>
  <c r="BS109" i="9"/>
  <c r="CN109" i="9"/>
  <c r="DE109" i="9"/>
  <c r="S110" i="9"/>
  <c r="AK110" i="9"/>
  <c r="BB110" i="9"/>
  <c r="BW110" i="9"/>
  <c r="CN110" i="9"/>
  <c r="DI110" i="9"/>
  <c r="E113" i="9"/>
  <c r="U113" i="9"/>
  <c r="AP113" i="9"/>
  <c r="BH113" i="9"/>
  <c r="CB113" i="9"/>
  <c r="CS113" i="9"/>
  <c r="C114" i="9"/>
  <c r="X114" i="9"/>
  <c r="AO114" i="9"/>
  <c r="BJ114" i="9"/>
  <c r="CA114" i="9"/>
  <c r="CU114" i="9"/>
  <c r="F115" i="9"/>
  <c r="X115" i="9"/>
  <c r="AS115" i="9"/>
  <c r="BJ115" i="9"/>
  <c r="CD115" i="9"/>
  <c r="CV115" i="9"/>
  <c r="P118" i="9"/>
  <c r="AL118" i="9"/>
  <c r="BO118" i="9"/>
  <c r="CM118" i="9"/>
  <c r="AF122" i="9"/>
  <c r="CG122" i="9"/>
  <c r="Q124" i="9"/>
  <c r="AJ124" i="9"/>
  <c r="BG124" i="9"/>
  <c r="CA124" i="9"/>
  <c r="CS124" i="9"/>
  <c r="CM125" i="9"/>
  <c r="DG125" i="9"/>
  <c r="DE121" i="9"/>
  <c r="CS121" i="9"/>
  <c r="CG121" i="9"/>
  <c r="BU121" i="9"/>
  <c r="BI121" i="9"/>
  <c r="AW121" i="9"/>
  <c r="AK121" i="9"/>
  <c r="Y121" i="9"/>
  <c r="M121" i="9"/>
  <c r="DB121" i="9"/>
  <c r="CO121" i="9"/>
  <c r="CB121" i="9"/>
  <c r="BO121" i="9"/>
  <c r="BB121" i="9"/>
  <c r="AO121" i="9"/>
  <c r="AB121" i="9"/>
  <c r="O121" i="9"/>
  <c r="DA121" i="9"/>
  <c r="CM121" i="9"/>
  <c r="BY121" i="9"/>
  <c r="BK121" i="9"/>
  <c r="AV121" i="9"/>
  <c r="AH121" i="9"/>
  <c r="T121" i="9"/>
  <c r="F121" i="9"/>
  <c r="DF121" i="9"/>
  <c r="CP121" i="9"/>
  <c r="BZ121" i="9"/>
  <c r="BJ121" i="9"/>
  <c r="AT121" i="9"/>
  <c r="AE121" i="9"/>
  <c r="P121" i="9"/>
  <c r="DD121" i="9"/>
  <c r="CN121" i="9"/>
  <c r="BX121" i="9"/>
  <c r="BH121" i="9"/>
  <c r="AS121" i="9"/>
  <c r="AD121" i="9"/>
  <c r="N121" i="9"/>
  <c r="DC121" i="9"/>
  <c r="CL121" i="9"/>
  <c r="BW121" i="9"/>
  <c r="BG121" i="9"/>
  <c r="AR121" i="9"/>
  <c r="AC121" i="9"/>
  <c r="L121" i="9"/>
  <c r="V121" i="9"/>
  <c r="AP121" i="9"/>
  <c r="BM121" i="9"/>
  <c r="CF121" i="9"/>
  <c r="CY121" i="9"/>
  <c r="R124" i="9"/>
  <c r="AO124" i="9"/>
  <c r="BI124" i="9"/>
  <c r="CB124" i="9"/>
  <c r="CZ124" i="9"/>
  <c r="CN125" i="9"/>
  <c r="DH125" i="9"/>
  <c r="DF85" i="9"/>
  <c r="CT85" i="9"/>
  <c r="CH85" i="9"/>
  <c r="BJ85" i="9"/>
  <c r="AX85" i="9"/>
  <c r="AL85" i="9"/>
  <c r="Z85" i="9"/>
  <c r="N85" i="9"/>
  <c r="P85" i="9"/>
  <c r="AC85" i="9"/>
  <c r="AP85" i="9"/>
  <c r="BC85" i="9"/>
  <c r="BP85" i="9"/>
  <c r="CC85" i="9"/>
  <c r="CP85" i="9"/>
  <c r="DC85" i="9"/>
  <c r="CZ87" i="9"/>
  <c r="CN87" i="9"/>
  <c r="CB87" i="9"/>
  <c r="BP87" i="9"/>
  <c r="BD87" i="9"/>
  <c r="AR87" i="9"/>
  <c r="AF87" i="9"/>
  <c r="T87" i="9"/>
  <c r="H87" i="9"/>
  <c r="P87" i="9"/>
  <c r="AC87" i="9"/>
  <c r="AP87" i="9"/>
  <c r="BC87" i="9"/>
  <c r="BQ87" i="9"/>
  <c r="CD87" i="9"/>
  <c r="CQ87" i="9"/>
  <c r="DD87" i="9"/>
  <c r="I116" i="9"/>
  <c r="X116" i="9"/>
  <c r="AM116" i="9"/>
  <c r="BC116" i="9"/>
  <c r="BR116" i="9"/>
  <c r="CI116" i="9"/>
  <c r="V117" i="9"/>
  <c r="AL117" i="9"/>
  <c r="BF117" i="9"/>
  <c r="BV117" i="9"/>
  <c r="CL117" i="9"/>
  <c r="J120" i="9"/>
  <c r="AC120" i="9"/>
  <c r="BA120" i="9"/>
  <c r="BS120" i="9"/>
  <c r="C121" i="9"/>
  <c r="W121" i="9"/>
  <c r="AQ121" i="9"/>
  <c r="BN121" i="9"/>
  <c r="CH121" i="9"/>
  <c r="CZ121" i="9"/>
  <c r="AD123" i="9"/>
  <c r="AW123" i="9"/>
  <c r="BR123" i="9"/>
  <c r="CN123" i="9"/>
  <c r="S124" i="9"/>
  <c r="AP124" i="9"/>
  <c r="BJ124" i="9"/>
  <c r="CC124" i="9"/>
  <c r="DA124" i="9"/>
  <c r="K125" i="9"/>
  <c r="AE125" i="9"/>
  <c r="BC125" i="9"/>
  <c r="BV125" i="9"/>
  <c r="DG126" i="9"/>
  <c r="T124" i="9"/>
  <c r="AR124" i="9"/>
  <c r="BK124" i="9"/>
  <c r="CD124" i="9"/>
  <c r="CQ125" i="9"/>
  <c r="DH124" i="9"/>
  <c r="CV124" i="9"/>
  <c r="CJ124" i="9"/>
  <c r="BX124" i="9"/>
  <c r="BL124" i="9"/>
  <c r="AZ124" i="9"/>
  <c r="AN124" i="9"/>
  <c r="AB124" i="9"/>
  <c r="P124" i="9"/>
  <c r="C124" i="9"/>
  <c r="DI124" i="9"/>
  <c r="CU124" i="9"/>
  <c r="CH124" i="9"/>
  <c r="BU124" i="9"/>
  <c r="BH124" i="9"/>
  <c r="AU124" i="9"/>
  <c r="AH124" i="9"/>
  <c r="U124" i="9"/>
  <c r="H124" i="9"/>
  <c r="CW124" i="9"/>
  <c r="CG124" i="9"/>
  <c r="BS124" i="9"/>
  <c r="BE124" i="9"/>
  <c r="AQ124" i="9"/>
  <c r="AC124" i="9"/>
  <c r="N124" i="9"/>
  <c r="CY124" i="9"/>
  <c r="CI124" i="9"/>
  <c r="BR124" i="9"/>
  <c r="BC124" i="9"/>
  <c r="AM124" i="9"/>
  <c r="X124" i="9"/>
  <c r="I124" i="9"/>
  <c r="CX124" i="9"/>
  <c r="CF124" i="9"/>
  <c r="BQ124" i="9"/>
  <c r="BB124" i="9"/>
  <c r="AL124" i="9"/>
  <c r="W124" i="9"/>
  <c r="CT124" i="9"/>
  <c r="CE124" i="9"/>
  <c r="BP124" i="9"/>
  <c r="BA124" i="9"/>
  <c r="AK124" i="9"/>
  <c r="V124" i="9"/>
  <c r="F124" i="9"/>
  <c r="Y124" i="9"/>
  <c r="AS124" i="9"/>
  <c r="BM124" i="9"/>
  <c r="CK124" i="9"/>
  <c r="DC124" i="9"/>
  <c r="CR125" i="9"/>
  <c r="CW125" i="9"/>
  <c r="DH120" i="9"/>
  <c r="CV120" i="9"/>
  <c r="CJ120" i="9"/>
  <c r="BX120" i="9"/>
  <c r="BL120" i="9"/>
  <c r="AZ120" i="9"/>
  <c r="AN120" i="9"/>
  <c r="AB120" i="9"/>
  <c r="P120" i="9"/>
  <c r="C120" i="9"/>
  <c r="DI120" i="9"/>
  <c r="CU120" i="9"/>
  <c r="CH120" i="9"/>
  <c r="BU120" i="9"/>
  <c r="BH120" i="9"/>
  <c r="AU120" i="9"/>
  <c r="AH120" i="9"/>
  <c r="U120" i="9"/>
  <c r="H120" i="9"/>
  <c r="CY120" i="9"/>
  <c r="CK120" i="9"/>
  <c r="BV120" i="9"/>
  <c r="BG120" i="9"/>
  <c r="AS120" i="9"/>
  <c r="AE120" i="9"/>
  <c r="Q120" i="9"/>
  <c r="DF120" i="9"/>
  <c r="CQ120" i="9"/>
  <c r="CB120" i="9"/>
  <c r="BM120" i="9"/>
  <c r="AW120" i="9"/>
  <c r="AG120" i="9"/>
  <c r="R120" i="9"/>
  <c r="DE120" i="9"/>
  <c r="CP120" i="9"/>
  <c r="CA120" i="9"/>
  <c r="BK120" i="9"/>
  <c r="AV120" i="9"/>
  <c r="AF120" i="9"/>
  <c r="O120" i="9"/>
  <c r="DD120" i="9"/>
  <c r="CO120" i="9"/>
  <c r="BZ120" i="9"/>
  <c r="BJ120" i="9"/>
  <c r="AT120" i="9"/>
  <c r="AD120" i="9"/>
  <c r="N120" i="9"/>
  <c r="W120" i="9"/>
  <c r="AP120" i="9"/>
  <c r="BN120" i="9"/>
  <c r="CF120" i="9"/>
  <c r="DA120" i="9"/>
  <c r="Q121" i="9"/>
  <c r="AJ121" i="9"/>
  <c r="BD121" i="9"/>
  <c r="CA121" i="9"/>
  <c r="CU121" i="9"/>
  <c r="L124" i="9"/>
  <c r="AF124" i="9"/>
  <c r="AY124" i="9"/>
  <c r="BW124" i="9"/>
  <c r="CP124" i="9"/>
  <c r="DE125" i="9"/>
  <c r="CS125" i="9"/>
  <c r="CG125" i="9"/>
  <c r="BU125" i="9"/>
  <c r="BI125" i="9"/>
  <c r="AW125" i="9"/>
  <c r="AK125" i="9"/>
  <c r="Y125" i="9"/>
  <c r="M125" i="9"/>
  <c r="DB125" i="9"/>
  <c r="CO125" i="9"/>
  <c r="CB125" i="9"/>
  <c r="BO125" i="9"/>
  <c r="BB125" i="9"/>
  <c r="AO125" i="9"/>
  <c r="AB125" i="9"/>
  <c r="O125" i="9"/>
  <c r="CY125" i="9"/>
  <c r="CK125" i="9"/>
  <c r="BW125" i="9"/>
  <c r="BH125" i="9"/>
  <c r="AT125" i="9"/>
  <c r="AF125" i="9"/>
  <c r="R125" i="9"/>
  <c r="C125" i="9"/>
  <c r="CV125" i="9"/>
  <c r="CF125" i="9"/>
  <c r="BQ125" i="9"/>
  <c r="BA125" i="9"/>
  <c r="AL125" i="9"/>
  <c r="V125" i="9"/>
  <c r="CU125" i="9"/>
  <c r="CE125" i="9"/>
  <c r="BP125" i="9"/>
  <c r="AZ125" i="9"/>
  <c r="AJ125" i="9"/>
  <c r="U125" i="9"/>
  <c r="F125" i="9"/>
  <c r="DI125" i="9"/>
  <c r="CT125" i="9"/>
  <c r="CD125" i="9"/>
  <c r="BN125" i="9"/>
  <c r="AY125" i="9"/>
  <c r="AI125" i="9"/>
  <c r="T125" i="9"/>
  <c r="E125" i="9"/>
  <c r="X125" i="9"/>
  <c r="AR125" i="9"/>
  <c r="BL125" i="9"/>
  <c r="CI125" i="9"/>
  <c r="DC125" i="9"/>
  <c r="DC78" i="9"/>
  <c r="CQ78" i="9"/>
  <c r="CE78" i="9"/>
  <c r="BS78" i="9"/>
  <c r="BG78" i="9"/>
  <c r="AU78" i="9"/>
  <c r="AI78" i="9"/>
  <c r="W78" i="9"/>
  <c r="K78" i="9"/>
  <c r="P78" i="9"/>
  <c r="AC78" i="9"/>
  <c r="AP78" i="9"/>
  <c r="BC78" i="9"/>
  <c r="BP78" i="9"/>
  <c r="CC78" i="9"/>
  <c r="CP78" i="9"/>
  <c r="DD78" i="9"/>
  <c r="DI80" i="9"/>
  <c r="CW80" i="9"/>
  <c r="CK80" i="9"/>
  <c r="BY80" i="9"/>
  <c r="BM80" i="9"/>
  <c r="BA80" i="9"/>
  <c r="AO80" i="9"/>
  <c r="AC80" i="9"/>
  <c r="Q80" i="9"/>
  <c r="E80" i="9"/>
  <c r="P80" i="9"/>
  <c r="AD80" i="9"/>
  <c r="AQ80" i="9"/>
  <c r="BD80" i="9"/>
  <c r="BQ80" i="9"/>
  <c r="CD80" i="9"/>
  <c r="CQ80" i="9"/>
  <c r="DD80" i="9"/>
  <c r="K85" i="9"/>
  <c r="X85" i="9"/>
  <c r="AK85" i="9"/>
  <c r="AY85" i="9"/>
  <c r="BL85" i="9"/>
  <c r="BY85" i="9"/>
  <c r="CL85" i="9"/>
  <c r="CY85" i="9"/>
  <c r="L87" i="9"/>
  <c r="Y87" i="9"/>
  <c r="AL87" i="9"/>
  <c r="AY87" i="9"/>
  <c r="BL87" i="9"/>
  <c r="BY87" i="9"/>
  <c r="CL87" i="9"/>
  <c r="CY87" i="9"/>
  <c r="DI116" i="9"/>
  <c r="CW116" i="9"/>
  <c r="CK116" i="9"/>
  <c r="BY116" i="9"/>
  <c r="BM116" i="9"/>
  <c r="BA116" i="9"/>
  <c r="AO116" i="9"/>
  <c r="AC116" i="9"/>
  <c r="Q116" i="9"/>
  <c r="E116" i="9"/>
  <c r="DG116" i="9"/>
  <c r="CT116" i="9"/>
  <c r="CG116" i="9"/>
  <c r="BT116" i="9"/>
  <c r="BG116" i="9"/>
  <c r="AT116" i="9"/>
  <c r="AG116" i="9"/>
  <c r="T116" i="9"/>
  <c r="DF116" i="9"/>
  <c r="CS116" i="9"/>
  <c r="CF116" i="9"/>
  <c r="BS116" i="9"/>
  <c r="BF116" i="9"/>
  <c r="AS116" i="9"/>
  <c r="AF116" i="9"/>
  <c r="S116" i="9"/>
  <c r="F116" i="9"/>
  <c r="R116" i="9"/>
  <c r="AI116" i="9"/>
  <c r="AX116" i="9"/>
  <c r="BN116" i="9"/>
  <c r="CC116" i="9"/>
  <c r="CR116" i="9"/>
  <c r="CZ117" i="9"/>
  <c r="CN117" i="9"/>
  <c r="CB117" i="9"/>
  <c r="BP117" i="9"/>
  <c r="BD117" i="9"/>
  <c r="AR117" i="9"/>
  <c r="AF117" i="9"/>
  <c r="DA117" i="9"/>
  <c r="CM117" i="9"/>
  <c r="BZ117" i="9"/>
  <c r="BM117" i="9"/>
  <c r="AZ117" i="9"/>
  <c r="AM117" i="9"/>
  <c r="Z117" i="9"/>
  <c r="N117" i="9"/>
  <c r="DH117" i="9"/>
  <c r="CT117" i="9"/>
  <c r="CF117" i="9"/>
  <c r="BR117" i="9"/>
  <c r="BC117" i="9"/>
  <c r="AO117" i="9"/>
  <c r="AA117" i="9"/>
  <c r="M117" i="9"/>
  <c r="DG117" i="9"/>
  <c r="CS117" i="9"/>
  <c r="CE117" i="9"/>
  <c r="BQ117" i="9"/>
  <c r="BB117" i="9"/>
  <c r="AN117" i="9"/>
  <c r="Y117" i="9"/>
  <c r="L117" i="9"/>
  <c r="R117" i="9"/>
  <c r="AH117" i="9"/>
  <c r="AX117" i="9"/>
  <c r="BO117" i="9"/>
  <c r="CH117" i="9"/>
  <c r="CX117" i="9"/>
  <c r="E120" i="9"/>
  <c r="X120" i="9"/>
  <c r="AQ120" i="9"/>
  <c r="BO120" i="9"/>
  <c r="CG120" i="9"/>
  <c r="DB120" i="9"/>
  <c r="R121" i="9"/>
  <c r="AL121" i="9"/>
  <c r="BE121" i="9"/>
  <c r="CC121" i="9"/>
  <c r="CV121" i="9"/>
  <c r="CY123" i="9"/>
  <c r="CM123" i="9"/>
  <c r="CA123" i="9"/>
  <c r="BO123" i="9"/>
  <c r="BC123" i="9"/>
  <c r="AQ123" i="9"/>
  <c r="AE123" i="9"/>
  <c r="S123" i="9"/>
  <c r="DB123" i="9"/>
  <c r="CO123" i="9"/>
  <c r="CB123" i="9"/>
  <c r="BN123" i="9"/>
  <c r="BA123" i="9"/>
  <c r="AN123" i="9"/>
  <c r="AA123" i="9"/>
  <c r="N123" i="9"/>
  <c r="CE123" i="9"/>
  <c r="BQ123" i="9"/>
  <c r="BB123" i="9"/>
  <c r="AM123" i="9"/>
  <c r="Y123" i="9"/>
  <c r="K123" i="9"/>
  <c r="CZ123" i="9"/>
  <c r="CJ123" i="9"/>
  <c r="BU123" i="9"/>
  <c r="BF123" i="9"/>
  <c r="DG123" i="9" s="1"/>
  <c r="AP123" i="9"/>
  <c r="Z123" i="9"/>
  <c r="J123" i="9"/>
  <c r="CI123" i="9"/>
  <c r="BT123" i="9"/>
  <c r="BE123" i="9"/>
  <c r="AO123" i="9"/>
  <c r="X123" i="9"/>
  <c r="I123" i="9"/>
  <c r="CW123" i="9"/>
  <c r="CH123" i="9"/>
  <c r="BS123" i="9"/>
  <c r="BD123" i="9"/>
  <c r="AL123" i="9"/>
  <c r="W123" i="9"/>
  <c r="H123" i="9"/>
  <c r="U123" i="9"/>
  <c r="AS123" i="9"/>
  <c r="BK123" i="9"/>
  <c r="CF123" i="9"/>
  <c r="DC123" i="9"/>
  <c r="M124" i="9"/>
  <c r="AG124" i="9"/>
  <c r="BD124" i="9"/>
  <c r="BY124" i="9"/>
  <c r="CQ124" i="9"/>
  <c r="Z125" i="9"/>
  <c r="AS125" i="9"/>
  <c r="BM125" i="9"/>
  <c r="CJ125" i="9"/>
  <c r="DD125" i="9"/>
  <c r="AE136" i="9"/>
  <c r="DC136" i="9"/>
  <c r="DC106" i="9"/>
  <c r="CQ106" i="9"/>
  <c r="CE106" i="9"/>
  <c r="BS106" i="9"/>
  <c r="BG106" i="9"/>
  <c r="AU106" i="9"/>
  <c r="AI106" i="9"/>
  <c r="W106" i="9"/>
  <c r="K106" i="9"/>
  <c r="P106" i="9"/>
  <c r="AC106" i="9"/>
  <c r="AP106" i="9"/>
  <c r="BC106" i="9"/>
  <c r="BP106" i="9"/>
  <c r="CC106" i="9"/>
  <c r="CP106" i="9"/>
  <c r="DD106" i="9"/>
  <c r="DI108" i="9"/>
  <c r="CW108" i="9"/>
  <c r="CK108" i="9"/>
  <c r="BY108" i="9"/>
  <c r="BM108" i="9"/>
  <c r="BA108" i="9"/>
  <c r="AO108" i="9"/>
  <c r="AC108" i="9"/>
  <c r="Q108" i="9"/>
  <c r="E108" i="9"/>
  <c r="P108" i="9"/>
  <c r="AD108" i="9"/>
  <c r="AQ108" i="9"/>
  <c r="BD108" i="9"/>
  <c r="BQ108" i="9"/>
  <c r="CD108" i="9"/>
  <c r="CQ108" i="9"/>
  <c r="DD108" i="9"/>
  <c r="CY119" i="9"/>
  <c r="CM119" i="9"/>
  <c r="CA119" i="9"/>
  <c r="BO119" i="9"/>
  <c r="BC119" i="9"/>
  <c r="AQ119" i="9"/>
  <c r="AE119" i="9"/>
  <c r="S119" i="9"/>
  <c r="DB119" i="9"/>
  <c r="CO119" i="9"/>
  <c r="CB119" i="9"/>
  <c r="BN119" i="9"/>
  <c r="BA119" i="9"/>
  <c r="AN119" i="9"/>
  <c r="AA119" i="9"/>
  <c r="N119" i="9"/>
  <c r="DI119" i="9"/>
  <c r="CU119" i="9"/>
  <c r="CG119" i="9"/>
  <c r="BS119" i="9"/>
  <c r="BE119" i="9"/>
  <c r="AP119" i="9"/>
  <c r="AB119" i="9"/>
  <c r="M119" i="9"/>
  <c r="Q119" i="9"/>
  <c r="AG119" i="9"/>
  <c r="AV119" i="9"/>
  <c r="BK119" i="9"/>
  <c r="BZ119" i="9"/>
  <c r="CQ119" i="9"/>
  <c r="DF119" i="9"/>
  <c r="Q126" i="9"/>
  <c r="AF126" i="9"/>
  <c r="AW126" i="9"/>
  <c r="BM126" i="9"/>
  <c r="CB126" i="9"/>
  <c r="CR126" i="9"/>
  <c r="O127" i="9"/>
  <c r="AE127" i="9"/>
  <c r="AV127" i="9"/>
  <c r="BM127" i="9"/>
  <c r="CC127" i="9"/>
  <c r="CT127" i="9"/>
  <c r="V129" i="9"/>
  <c r="AN129" i="9"/>
  <c r="BI129" i="9"/>
  <c r="CE129" i="9"/>
  <c r="L130" i="9"/>
  <c r="AH130" i="9"/>
  <c r="BC130" i="9"/>
  <c r="BV130" i="9"/>
  <c r="CS130" i="9"/>
  <c r="DA133" i="9"/>
  <c r="CO133" i="9"/>
  <c r="CC133" i="9"/>
  <c r="BQ133" i="9"/>
  <c r="BE133" i="9"/>
  <c r="AS133" i="9"/>
  <c r="AG133" i="9"/>
  <c r="U133" i="9"/>
  <c r="I133" i="9"/>
  <c r="DG133" i="9"/>
  <c r="CT133" i="9"/>
  <c r="CG133" i="9"/>
  <c r="BT133" i="9"/>
  <c r="BG133" i="9"/>
  <c r="AT133" i="9"/>
  <c r="AF133" i="9"/>
  <c r="S133" i="9"/>
  <c r="F133" i="9"/>
  <c r="CV133" i="9"/>
  <c r="CH133" i="9"/>
  <c r="BS133" i="9"/>
  <c r="BD133" i="9"/>
  <c r="AP133" i="9"/>
  <c r="AB133" i="9"/>
  <c r="N133" i="9"/>
  <c r="DC133" i="9"/>
  <c r="CN133" i="9"/>
  <c r="BZ133" i="9"/>
  <c r="BL133" i="9"/>
  <c r="AX133" i="9"/>
  <c r="AJ133" i="9"/>
  <c r="V133" i="9"/>
  <c r="DB133" i="9"/>
  <c r="CK133" i="9"/>
  <c r="BU133" i="9"/>
  <c r="BB133" i="9"/>
  <c r="AL133" i="9"/>
  <c r="T133" i="9"/>
  <c r="C133" i="9"/>
  <c r="DH133" i="9"/>
  <c r="CQ133" i="9"/>
  <c r="BY133" i="9"/>
  <c r="BI133" i="9"/>
  <c r="AQ133" i="9"/>
  <c r="Z133" i="9"/>
  <c r="J133" i="9"/>
  <c r="DF133" i="9"/>
  <c r="CP133" i="9"/>
  <c r="BX133" i="9"/>
  <c r="BH133" i="9"/>
  <c r="AO133" i="9"/>
  <c r="Y133" i="9"/>
  <c r="H133" i="9"/>
  <c r="DE133" i="9"/>
  <c r="CM133" i="9"/>
  <c r="BW133" i="9"/>
  <c r="BF133" i="9"/>
  <c r="AN133" i="9"/>
  <c r="X133" i="9"/>
  <c r="AC133" i="9"/>
  <c r="AZ133" i="9"/>
  <c r="CB133" i="9"/>
  <c r="CY133" i="9"/>
  <c r="AN136" i="9"/>
  <c r="DI136" i="9"/>
  <c r="DB126" i="9"/>
  <c r="CP126" i="9"/>
  <c r="CD126" i="9"/>
  <c r="BR126" i="9"/>
  <c r="BF126" i="9"/>
  <c r="AT126" i="9"/>
  <c r="AH126" i="9"/>
  <c r="V126" i="9"/>
  <c r="J126" i="9"/>
  <c r="DI126" i="9"/>
  <c r="CV126" i="9"/>
  <c r="CI126" i="9"/>
  <c r="BV126" i="9"/>
  <c r="BI126" i="9"/>
  <c r="AV126" i="9"/>
  <c r="AI126" i="9"/>
  <c r="U126" i="9"/>
  <c r="H126" i="9"/>
  <c r="DC126" i="9"/>
  <c r="CN126" i="9"/>
  <c r="BZ126" i="9"/>
  <c r="BL126" i="9"/>
  <c r="AX126" i="9"/>
  <c r="AJ126" i="9"/>
  <c r="T126" i="9"/>
  <c r="F126" i="9"/>
  <c r="R126" i="9"/>
  <c r="AG126" i="9"/>
  <c r="AY126" i="9"/>
  <c r="BN126" i="9"/>
  <c r="CC126" i="9"/>
  <c r="CS126" i="9"/>
  <c r="P127" i="9"/>
  <c r="AG127" i="9"/>
  <c r="AW127" i="9"/>
  <c r="BN127" i="9"/>
  <c r="CD127" i="9"/>
  <c r="N130" i="9"/>
  <c r="AI130" i="9"/>
  <c r="BD130" i="9"/>
  <c r="BW130" i="9"/>
  <c r="CT130" i="9"/>
  <c r="AX136" i="9"/>
  <c r="DG127" i="9"/>
  <c r="CU127" i="9"/>
  <c r="CI127" i="9"/>
  <c r="BW127" i="9"/>
  <c r="BK127" i="9"/>
  <c r="AY127" i="9"/>
  <c r="AM127" i="9"/>
  <c r="AA127" i="9"/>
  <c r="DF127" i="9"/>
  <c r="CS127" i="9"/>
  <c r="CF127" i="9"/>
  <c r="BS127" i="9"/>
  <c r="BF127" i="9"/>
  <c r="AS127" i="9"/>
  <c r="AF127" i="9"/>
  <c r="S127" i="9"/>
  <c r="CV127" i="9"/>
  <c r="CG127" i="9"/>
  <c r="BR127" i="9"/>
  <c r="BD127" i="9"/>
  <c r="AP127" i="9"/>
  <c r="AB127" i="9"/>
  <c r="N127" i="9"/>
  <c r="CX127" i="9"/>
  <c r="CH127" i="9"/>
  <c r="BQ127" i="9"/>
  <c r="BB127" i="9"/>
  <c r="AL127" i="9"/>
  <c r="W127" i="9"/>
  <c r="I127" i="9"/>
  <c r="Q127" i="9"/>
  <c r="AH127" i="9"/>
  <c r="AX127" i="9"/>
  <c r="BO127" i="9"/>
  <c r="CE127" i="9"/>
  <c r="CY127" i="9"/>
  <c r="DA129" i="9"/>
  <c r="CO129" i="9"/>
  <c r="CC129" i="9"/>
  <c r="BQ129" i="9"/>
  <c r="BE129" i="9"/>
  <c r="AS129" i="9"/>
  <c r="AG129" i="9"/>
  <c r="U129" i="9"/>
  <c r="I129" i="9"/>
  <c r="DG129" i="9"/>
  <c r="CT129" i="9"/>
  <c r="CG129" i="9"/>
  <c r="BT129" i="9"/>
  <c r="BG129" i="9"/>
  <c r="AT129" i="9"/>
  <c r="AF129" i="9"/>
  <c r="S129" i="9"/>
  <c r="F129" i="9"/>
  <c r="DB129" i="9"/>
  <c r="CM129" i="9"/>
  <c r="BY129" i="9"/>
  <c r="BK129" i="9"/>
  <c r="AW129" i="9"/>
  <c r="AI129" i="9"/>
  <c r="T129" i="9"/>
  <c r="E129" i="9"/>
  <c r="DC129" i="9"/>
  <c r="CL129" i="9"/>
  <c r="BW129" i="9"/>
  <c r="BH129" i="9"/>
  <c r="AQ129" i="9"/>
  <c r="AB129" i="9"/>
  <c r="M129" i="9"/>
  <c r="DH129" i="9"/>
  <c r="CR129" i="9"/>
  <c r="CB129" i="9"/>
  <c r="BM129" i="9"/>
  <c r="AX129" i="9"/>
  <c r="AH129" i="9"/>
  <c r="Q129" i="9"/>
  <c r="DF129" i="9"/>
  <c r="CQ129" i="9"/>
  <c r="CA129" i="9"/>
  <c r="BL129" i="9"/>
  <c r="AV129" i="9"/>
  <c r="AE129" i="9"/>
  <c r="P129" i="9"/>
  <c r="X129" i="9"/>
  <c r="AP129" i="9"/>
  <c r="BN129" i="9"/>
  <c r="CH129" i="9"/>
  <c r="CZ129" i="9"/>
  <c r="Q130" i="9"/>
  <c r="AJ130" i="9"/>
  <c r="BE130" i="9"/>
  <c r="CB130" i="9"/>
  <c r="BA136" i="9"/>
  <c r="BD136" i="9"/>
  <c r="DD136" i="9"/>
  <c r="CR136" i="9"/>
  <c r="CF136" i="9"/>
  <c r="BT136" i="9"/>
  <c r="BH136" i="9"/>
  <c r="AV136" i="9"/>
  <c r="AJ136" i="9"/>
  <c r="X136" i="9"/>
  <c r="L136" i="9"/>
  <c r="CZ136" i="9"/>
  <c r="CM136" i="9"/>
  <c r="BZ136" i="9"/>
  <c r="BM136" i="9"/>
  <c r="AZ136" i="9"/>
  <c r="AM136" i="9"/>
  <c r="Z136" i="9"/>
  <c r="M136" i="9"/>
  <c r="CW136" i="9"/>
  <c r="CI136" i="9"/>
  <c r="BU136" i="9"/>
  <c r="BF136" i="9"/>
  <c r="AR136" i="9"/>
  <c r="AD136" i="9"/>
  <c r="P136" i="9"/>
  <c r="DH136" i="9"/>
  <c r="CT136" i="9"/>
  <c r="CE136" i="9"/>
  <c r="BQ136" i="9"/>
  <c r="BC136" i="9"/>
  <c r="AO136" i="9"/>
  <c r="AA136" i="9"/>
  <c r="K136" i="9"/>
  <c r="DB136" i="9"/>
  <c r="CN136" i="9"/>
  <c r="BY136" i="9"/>
  <c r="BK136" i="9"/>
  <c r="AW136" i="9"/>
  <c r="AH136" i="9"/>
  <c r="T136" i="9"/>
  <c r="F136" i="9"/>
  <c r="DA136" i="9"/>
  <c r="CL136" i="9"/>
  <c r="BX136" i="9"/>
  <c r="BJ136" i="9"/>
  <c r="AU136" i="9"/>
  <c r="AG136" i="9"/>
  <c r="S136" i="9"/>
  <c r="E136" i="9"/>
  <c r="CY136" i="9"/>
  <c r="CK136" i="9"/>
  <c r="BW136" i="9"/>
  <c r="BI136" i="9"/>
  <c r="AT136" i="9"/>
  <c r="AF136" i="9"/>
  <c r="R136" i="9"/>
  <c r="C136" i="9"/>
  <c r="DG136" i="9"/>
  <c r="CH136" i="9"/>
  <c r="BL136" i="9"/>
  <c r="AL136" i="9"/>
  <c r="N136" i="9"/>
  <c r="DF136" i="9"/>
  <c r="CG136" i="9"/>
  <c r="BG136" i="9"/>
  <c r="AK136" i="9"/>
  <c r="J136" i="9"/>
  <c r="DE136" i="9"/>
  <c r="CD136" i="9"/>
  <c r="BE136" i="9"/>
  <c r="AI136" i="9"/>
  <c r="I136" i="9"/>
  <c r="CX136" i="9"/>
  <c r="CB136" i="9"/>
  <c r="BB136" i="9"/>
  <c r="AC136" i="9"/>
  <c r="CU136" i="9"/>
  <c r="BV136" i="9"/>
  <c r="AY136" i="9"/>
  <c r="Y136" i="9"/>
  <c r="CQ136" i="9"/>
  <c r="BR136" i="9"/>
  <c r="AS136" i="9"/>
  <c r="V136" i="9"/>
  <c r="CP136" i="9"/>
  <c r="BP136" i="9"/>
  <c r="AQ136" i="9"/>
  <c r="U136" i="9"/>
  <c r="CO136" i="9"/>
  <c r="BO136" i="9"/>
  <c r="AP136" i="9"/>
  <c r="Q136" i="9"/>
  <c r="BS136" i="9"/>
  <c r="CX130" i="9"/>
  <c r="CL130" i="9"/>
  <c r="BZ130" i="9"/>
  <c r="BN130" i="9"/>
  <c r="BB130" i="9"/>
  <c r="AP130" i="9"/>
  <c r="AD130" i="9"/>
  <c r="R130" i="9"/>
  <c r="F130" i="9"/>
  <c r="DA130" i="9"/>
  <c r="CN130" i="9"/>
  <c r="CA130" i="9"/>
  <c r="BM130" i="9"/>
  <c r="AZ130" i="9"/>
  <c r="AM130" i="9"/>
  <c r="Z130" i="9"/>
  <c r="M130" i="9"/>
  <c r="DE130" i="9"/>
  <c r="CQ130" i="9"/>
  <c r="CC130" i="9"/>
  <c r="BO130" i="9"/>
  <c r="AY130" i="9"/>
  <c r="AK130" i="9"/>
  <c r="W130" i="9"/>
  <c r="I130" i="9"/>
  <c r="CZ130" i="9"/>
  <c r="CJ130" i="9"/>
  <c r="BU130" i="9"/>
  <c r="BF130" i="9"/>
  <c r="AQ130" i="9"/>
  <c r="AA130" i="9"/>
  <c r="K130" i="9"/>
  <c r="DF130" i="9"/>
  <c r="CP130" i="9"/>
  <c r="BY130" i="9"/>
  <c r="BJ130" i="9"/>
  <c r="AU130" i="9"/>
  <c r="AF130" i="9"/>
  <c r="P130" i="9"/>
  <c r="DD130" i="9"/>
  <c r="CO130" i="9"/>
  <c r="BX130" i="9"/>
  <c r="BI130" i="9"/>
  <c r="AT130" i="9"/>
  <c r="AE130" i="9"/>
  <c r="O130" i="9"/>
  <c r="V130" i="9"/>
  <c r="AR130" i="9"/>
  <c r="BL130" i="9"/>
  <c r="CG130" i="9"/>
  <c r="DB130" i="9"/>
  <c r="CA136" i="9"/>
  <c r="C130" i="9"/>
  <c r="X130" i="9"/>
  <c r="AS130" i="9"/>
  <c r="BP130" i="9"/>
  <c r="CH130" i="9"/>
  <c r="DC130" i="9"/>
  <c r="H136" i="9"/>
  <c r="CC136" i="9"/>
  <c r="O136" i="9"/>
  <c r="CJ136" i="9"/>
  <c r="AB130" i="9"/>
  <c r="AW130" i="9"/>
  <c r="BR130" i="9"/>
  <c r="CK130" i="9"/>
  <c r="DH130" i="9"/>
  <c r="W136" i="9"/>
  <c r="CS136" i="9"/>
  <c r="DD132" i="9"/>
  <c r="CR132" i="9"/>
  <c r="CF132" i="9"/>
  <c r="BT132" i="9"/>
  <c r="BH132" i="9"/>
  <c r="AV132" i="9"/>
  <c r="AJ132" i="9"/>
  <c r="X132" i="9"/>
  <c r="L132" i="9"/>
  <c r="CZ132" i="9"/>
  <c r="CM132" i="9"/>
  <c r="BZ132" i="9"/>
  <c r="BM132" i="9"/>
  <c r="AZ132" i="9"/>
  <c r="AM132" i="9"/>
  <c r="Z132" i="9"/>
  <c r="M132" i="9"/>
  <c r="DG132" i="9"/>
  <c r="CS132" i="9"/>
  <c r="CD132" i="9"/>
  <c r="BP132" i="9"/>
  <c r="BB132" i="9"/>
  <c r="CY132" i="9"/>
  <c r="CK132" i="9"/>
  <c r="BW132" i="9"/>
  <c r="BI132" i="9"/>
  <c r="AT132" i="9"/>
  <c r="AF132" i="9"/>
  <c r="R132" i="9"/>
  <c r="C132" i="9"/>
  <c r="S132" i="9"/>
  <c r="AH132" i="9"/>
  <c r="AX132" i="9"/>
  <c r="BO132" i="9"/>
  <c r="CG132" i="9"/>
  <c r="CW132" i="9"/>
  <c r="DA137" i="9"/>
  <c r="CO137" i="9"/>
  <c r="CC137" i="9"/>
  <c r="BQ137" i="9"/>
  <c r="BE137" i="9"/>
  <c r="AS137" i="9"/>
  <c r="AG137" i="9"/>
  <c r="U137" i="9"/>
  <c r="I137" i="9"/>
  <c r="DG137" i="9"/>
  <c r="CT137" i="9"/>
  <c r="CG137" i="9"/>
  <c r="BT137" i="9"/>
  <c r="BG137" i="9"/>
  <c r="AT137" i="9"/>
  <c r="AF137" i="9"/>
  <c r="S137" i="9"/>
  <c r="F137" i="9"/>
  <c r="CX137" i="9"/>
  <c r="CK137" i="9"/>
  <c r="DC137" i="9"/>
  <c r="CM137" i="9"/>
  <c r="BX137" i="9"/>
  <c r="BJ137" i="9"/>
  <c r="AV137" i="9"/>
  <c r="AH137" i="9"/>
  <c r="R137" i="9"/>
  <c r="C137" i="9"/>
  <c r="CY137" i="9"/>
  <c r="CI137" i="9"/>
  <c r="BU137" i="9"/>
  <c r="BF137" i="9"/>
  <c r="AQ137" i="9"/>
  <c r="AC137" i="9"/>
  <c r="O137" i="9"/>
  <c r="DH137" i="9"/>
  <c r="CR137" i="9"/>
  <c r="CB137" i="9"/>
  <c r="BN137" i="9"/>
  <c r="AZ137" i="9"/>
  <c r="AL137" i="9"/>
  <c r="X137" i="9"/>
  <c r="J137" i="9"/>
  <c r="DF137" i="9"/>
  <c r="CQ137" i="9"/>
  <c r="CA137" i="9"/>
  <c r="BM137" i="9"/>
  <c r="AY137" i="9"/>
  <c r="AK137" i="9"/>
  <c r="W137" i="9"/>
  <c r="H137" i="9"/>
  <c r="DE137" i="9"/>
  <c r="CP137" i="9"/>
  <c r="BZ137" i="9"/>
  <c r="BL137" i="9"/>
  <c r="AX137" i="9"/>
  <c r="AJ137" i="9"/>
  <c r="V137" i="9"/>
  <c r="AA137" i="9"/>
  <c r="BA137" i="9"/>
  <c r="BW137" i="9"/>
  <c r="CW137" i="9"/>
  <c r="T138" i="9"/>
  <c r="AS138" i="9"/>
  <c r="BT138" i="9"/>
  <c r="CU138" i="9"/>
  <c r="E132" i="9"/>
  <c r="T132" i="9"/>
  <c r="AI132" i="9"/>
  <c r="AY132" i="9"/>
  <c r="BQ132" i="9"/>
  <c r="CH132" i="9"/>
  <c r="CX132" i="9"/>
  <c r="U138" i="9"/>
  <c r="AW138" i="9"/>
  <c r="BU138" i="9"/>
  <c r="CV138" i="9"/>
  <c r="DD140" i="9"/>
  <c r="CR140" i="9"/>
  <c r="CF140" i="9"/>
  <c r="BT140" i="9"/>
  <c r="BH140" i="9"/>
  <c r="AV140" i="9"/>
  <c r="AJ140" i="9"/>
  <c r="X140" i="9"/>
  <c r="L140" i="9"/>
  <c r="CZ140" i="9"/>
  <c r="CM140" i="9"/>
  <c r="BZ140" i="9"/>
  <c r="BM140" i="9"/>
  <c r="AZ140" i="9"/>
  <c r="AM140" i="9"/>
  <c r="Z140" i="9"/>
  <c r="M140" i="9"/>
  <c r="DE140" i="9"/>
  <c r="CQ140" i="9"/>
  <c r="CD140" i="9"/>
  <c r="BQ140" i="9"/>
  <c r="BD140" i="9"/>
  <c r="AQ140" i="9"/>
  <c r="AD140" i="9"/>
  <c r="Q140" i="9"/>
  <c r="C140" i="9"/>
  <c r="DH140" i="9"/>
  <c r="CS140" i="9"/>
  <c r="CB140" i="9"/>
  <c r="BL140" i="9"/>
  <c r="AW140" i="9"/>
  <c r="AG140" i="9"/>
  <c r="R140" i="9"/>
  <c r="DG140" i="9"/>
  <c r="CP140" i="9"/>
  <c r="CA140" i="9"/>
  <c r="BK140" i="9"/>
  <c r="AU140" i="9"/>
  <c r="AF140" i="9"/>
  <c r="P140" i="9"/>
  <c r="DC140" i="9"/>
  <c r="CN140" i="9"/>
  <c r="BX140" i="9"/>
  <c r="BI140" i="9"/>
  <c r="AS140" i="9"/>
  <c r="AC140" i="9"/>
  <c r="N140" i="9"/>
  <c r="DB140" i="9"/>
  <c r="CL140" i="9"/>
  <c r="BW140" i="9"/>
  <c r="BG140" i="9"/>
  <c r="AR140" i="9"/>
  <c r="AB140" i="9"/>
  <c r="K140" i="9"/>
  <c r="DA140" i="9"/>
  <c r="CK140" i="9"/>
  <c r="BV140" i="9"/>
  <c r="BF140" i="9"/>
  <c r="AP140" i="9"/>
  <c r="AA140" i="9"/>
  <c r="J140" i="9"/>
  <c r="CW140" i="9"/>
  <c r="CH140" i="9"/>
  <c r="BR140" i="9"/>
  <c r="BB140" i="9"/>
  <c r="AL140" i="9"/>
  <c r="V140" i="9"/>
  <c r="CV140" i="9"/>
  <c r="CG140" i="9"/>
  <c r="BP140" i="9"/>
  <c r="BA140" i="9"/>
  <c r="AK140" i="9"/>
  <c r="U140" i="9"/>
  <c r="F140" i="9"/>
  <c r="CU140" i="9"/>
  <c r="CE140" i="9"/>
  <c r="BO140" i="9"/>
  <c r="AY140" i="9"/>
  <c r="AI140" i="9"/>
  <c r="T140" i="9"/>
  <c r="E140" i="9"/>
  <c r="AT140" i="9"/>
  <c r="CO140" i="9"/>
  <c r="F132" i="9"/>
  <c r="U132" i="9"/>
  <c r="AK132" i="9"/>
  <c r="BA132" i="9"/>
  <c r="BR132" i="9"/>
  <c r="CI132" i="9"/>
  <c r="DA132" i="9"/>
  <c r="AD137" i="9"/>
  <c r="BC137" i="9"/>
  <c r="CD137" i="9"/>
  <c r="DB137" i="9"/>
  <c r="V138" i="9"/>
  <c r="AX138" i="9"/>
  <c r="BW138" i="9"/>
  <c r="CY138" i="9"/>
  <c r="AX140" i="9"/>
  <c r="CT140" i="9"/>
  <c r="Y138" i="9"/>
  <c r="BA138" i="9"/>
  <c r="CD138" i="9"/>
  <c r="CX138" i="9"/>
  <c r="CL138" i="9"/>
  <c r="BZ138" i="9"/>
  <c r="BN138" i="9"/>
  <c r="BB138" i="9"/>
  <c r="AP138" i="9"/>
  <c r="AD138" i="9"/>
  <c r="R138" i="9"/>
  <c r="F138" i="9"/>
  <c r="DA138" i="9"/>
  <c r="CN138" i="9"/>
  <c r="CA138" i="9"/>
  <c r="BM138" i="9"/>
  <c r="AZ138" i="9"/>
  <c r="AM138" i="9"/>
  <c r="Z138" i="9"/>
  <c r="M138" i="9"/>
  <c r="DE138" i="9"/>
  <c r="CR138" i="9"/>
  <c r="CE138" i="9"/>
  <c r="BR138" i="9"/>
  <c r="BE138" i="9"/>
  <c r="AR138" i="9"/>
  <c r="AE138" i="9"/>
  <c r="Q138" i="9"/>
  <c r="C138" i="9"/>
  <c r="DB138" i="9"/>
  <c r="CK138" i="9"/>
  <c r="BV138" i="9"/>
  <c r="BG138" i="9"/>
  <c r="AQ138" i="9"/>
  <c r="AA138" i="9"/>
  <c r="K138" i="9"/>
  <c r="CW138" i="9"/>
  <c r="CH138" i="9"/>
  <c r="BS138" i="9"/>
  <c r="BC138" i="9"/>
  <c r="AL138" i="9"/>
  <c r="W138" i="9"/>
  <c r="H138" i="9"/>
  <c r="DG138" i="9"/>
  <c r="CQ138" i="9"/>
  <c r="CB138" i="9"/>
  <c r="BK138" i="9"/>
  <c r="AV138" i="9"/>
  <c r="AG138" i="9"/>
  <c r="P138" i="9"/>
  <c r="DF138" i="9"/>
  <c r="CP138" i="9"/>
  <c r="BY138" i="9"/>
  <c r="BJ138" i="9"/>
  <c r="AU138" i="9"/>
  <c r="AF138" i="9"/>
  <c r="O138" i="9"/>
  <c r="DD138" i="9"/>
  <c r="CO138" i="9"/>
  <c r="BX138" i="9"/>
  <c r="BI138" i="9"/>
  <c r="AT138" i="9"/>
  <c r="AC138" i="9"/>
  <c r="N138" i="9"/>
  <c r="AB138" i="9"/>
  <c r="BD138" i="9"/>
  <c r="CF138" i="9"/>
  <c r="DH138" i="9"/>
  <c r="CA151" i="9"/>
  <c r="E138" i="9"/>
  <c r="AH138" i="9"/>
  <c r="BF138" i="9"/>
  <c r="CG138" i="9"/>
  <c r="DI138" i="9"/>
  <c r="CG152" i="9"/>
  <c r="I138" i="9"/>
  <c r="AJ138" i="9"/>
  <c r="BL138" i="9"/>
  <c r="CJ138" i="9"/>
  <c r="J138" i="9"/>
  <c r="AK138" i="9"/>
  <c r="BO138" i="9"/>
  <c r="CM138" i="9"/>
  <c r="P132" i="9"/>
  <c r="AE132" i="9"/>
  <c r="AU132" i="9"/>
  <c r="BL132" i="9"/>
  <c r="CC132" i="9"/>
  <c r="CU132" i="9"/>
  <c r="Y137" i="9"/>
  <c r="AU137" i="9"/>
  <c r="BS137" i="9"/>
  <c r="CU137" i="9"/>
  <c r="L138" i="9"/>
  <c r="AN138" i="9"/>
  <c r="BP138" i="9"/>
  <c r="CS138" i="9"/>
  <c r="AH140" i="9"/>
  <c r="CC140" i="9"/>
  <c r="CE147" i="9"/>
  <c r="DA141" i="9"/>
  <c r="CO141" i="9"/>
  <c r="CC141" i="9"/>
  <c r="BQ141" i="9"/>
  <c r="BE141" i="9"/>
  <c r="AS141" i="9"/>
  <c r="AG141" i="9"/>
  <c r="U141" i="9"/>
  <c r="I141" i="9"/>
  <c r="DG141" i="9"/>
  <c r="CT141" i="9"/>
  <c r="CG141" i="9"/>
  <c r="BT141" i="9"/>
  <c r="BG141" i="9"/>
  <c r="AT141" i="9"/>
  <c r="AF141" i="9"/>
  <c r="S141" i="9"/>
  <c r="F141" i="9"/>
  <c r="CX141" i="9"/>
  <c r="CK141" i="9"/>
  <c r="BX141" i="9"/>
  <c r="BK141" i="9"/>
  <c r="AX141" i="9"/>
  <c r="AK141" i="9"/>
  <c r="X141" i="9"/>
  <c r="K141" i="9"/>
  <c r="R141" i="9"/>
  <c r="AI141" i="9"/>
  <c r="AY141" i="9"/>
  <c r="BN141" i="9"/>
  <c r="CD141" i="9"/>
  <c r="CS141" i="9"/>
  <c r="DI141" i="9"/>
  <c r="BQ147" i="9"/>
  <c r="CH147" i="9"/>
  <c r="BV148" i="9"/>
  <c r="O149" i="9"/>
  <c r="AH149" i="9"/>
  <c r="BB149" i="9"/>
  <c r="BU149" i="9"/>
  <c r="CP149" i="9"/>
  <c r="DH149" i="9"/>
  <c r="CJ151" i="9"/>
  <c r="BZ160" i="9"/>
  <c r="BY160" i="9"/>
  <c r="BX160" i="9"/>
  <c r="BW160" i="9"/>
  <c r="CK160" i="9"/>
  <c r="BV160" i="9"/>
  <c r="CJ160" i="9"/>
  <c r="BT160" i="9"/>
  <c r="CI160" i="9"/>
  <c r="BR160" i="9"/>
  <c r="CF160" i="9"/>
  <c r="BQ160" i="9"/>
  <c r="CE160" i="9"/>
  <c r="BP160" i="9"/>
  <c r="CD160" i="9"/>
  <c r="BN160" i="9"/>
  <c r="CC160" i="9"/>
  <c r="DD128" i="9"/>
  <c r="CR128" i="9"/>
  <c r="CF128" i="9"/>
  <c r="BT128" i="9"/>
  <c r="BH128" i="9"/>
  <c r="AV128" i="9"/>
  <c r="AJ128" i="9"/>
  <c r="X128" i="9"/>
  <c r="L128" i="9"/>
  <c r="CZ128" i="9"/>
  <c r="CM128" i="9"/>
  <c r="BZ128" i="9"/>
  <c r="BM128" i="9"/>
  <c r="AZ128" i="9"/>
  <c r="AM128" i="9"/>
  <c r="Z128" i="9"/>
  <c r="M128" i="9"/>
  <c r="Q128" i="9"/>
  <c r="AE128" i="9"/>
  <c r="AS128" i="9"/>
  <c r="BG128" i="9"/>
  <c r="BV128" i="9"/>
  <c r="CJ128" i="9"/>
  <c r="CX128" i="9"/>
  <c r="J134" i="9"/>
  <c r="X134" i="9"/>
  <c r="AL134" i="9"/>
  <c r="BA134" i="9"/>
  <c r="BP134" i="9"/>
  <c r="CD134" i="9"/>
  <c r="CR134" i="9"/>
  <c r="C141" i="9"/>
  <c r="T141" i="9"/>
  <c r="AJ141" i="9"/>
  <c r="AZ141" i="9"/>
  <c r="BO141" i="9"/>
  <c r="CE141" i="9"/>
  <c r="CU141" i="9"/>
  <c r="CX142" i="9"/>
  <c r="CL142" i="9"/>
  <c r="BZ142" i="9"/>
  <c r="BN142" i="9"/>
  <c r="BB142" i="9"/>
  <c r="AP142" i="9"/>
  <c r="AD142" i="9"/>
  <c r="R142" i="9"/>
  <c r="F142" i="9"/>
  <c r="DA142" i="9"/>
  <c r="CN142" i="9"/>
  <c r="CA142" i="9"/>
  <c r="BM142" i="9"/>
  <c r="AZ142" i="9"/>
  <c r="AM142" i="9"/>
  <c r="Z142" i="9"/>
  <c r="M142" i="9"/>
  <c r="DE142" i="9"/>
  <c r="CR142" i="9"/>
  <c r="CE142" i="9"/>
  <c r="BR142" i="9"/>
  <c r="BE142" i="9"/>
  <c r="AR142" i="9"/>
  <c r="AE142" i="9"/>
  <c r="Q142" i="9"/>
  <c r="C142" i="9"/>
  <c r="T142" i="9"/>
  <c r="AI142" i="9"/>
  <c r="AX142" i="9"/>
  <c r="BO142" i="9"/>
  <c r="CD142" i="9"/>
  <c r="CT142" i="9"/>
  <c r="DI142" i="9"/>
  <c r="DA145" i="9"/>
  <c r="CO145" i="9"/>
  <c r="BE145" i="9"/>
  <c r="AS145" i="9"/>
  <c r="AG145" i="9"/>
  <c r="U145" i="9"/>
  <c r="I145" i="9"/>
  <c r="DG145" i="9"/>
  <c r="CT145" i="9"/>
  <c r="BG145" i="9"/>
  <c r="AT145" i="9"/>
  <c r="AF145" i="9"/>
  <c r="S145" i="9"/>
  <c r="F145" i="9"/>
  <c r="CX145" i="9"/>
  <c r="BK145" i="9"/>
  <c r="AX145" i="9"/>
  <c r="AK145" i="9"/>
  <c r="X145" i="9"/>
  <c r="K145" i="9"/>
  <c r="CW145" i="9"/>
  <c r="BJ145" i="9"/>
  <c r="AW145" i="9"/>
  <c r="AJ145" i="9"/>
  <c r="W145" i="9"/>
  <c r="J145" i="9"/>
  <c r="T145" i="9"/>
  <c r="AM145" i="9"/>
  <c r="BC145" i="9"/>
  <c r="CM145" i="9"/>
  <c r="DD145" i="9"/>
  <c r="BR147" i="9"/>
  <c r="BW148" i="9"/>
  <c r="P149" i="9"/>
  <c r="AL149" i="9"/>
  <c r="BC149" i="9"/>
  <c r="BY149" i="9"/>
  <c r="CQ149" i="9"/>
  <c r="DB151" i="9"/>
  <c r="CP151" i="9"/>
  <c r="CD151" i="9"/>
  <c r="BR151" i="9"/>
  <c r="BF151" i="9"/>
  <c r="AT151" i="9"/>
  <c r="AH151" i="9"/>
  <c r="V151" i="9"/>
  <c r="J151" i="9"/>
  <c r="DG151" i="9"/>
  <c r="CT151" i="9"/>
  <c r="CG151" i="9"/>
  <c r="BT151" i="9"/>
  <c r="BG151" i="9"/>
  <c r="AS151" i="9"/>
  <c r="AF151" i="9"/>
  <c r="S151" i="9"/>
  <c r="F151" i="9"/>
  <c r="DF151" i="9"/>
  <c r="CR151" i="9"/>
  <c r="CC151" i="9"/>
  <c r="BO151" i="9"/>
  <c r="BA151" i="9"/>
  <c r="AM151" i="9"/>
  <c r="Y151" i="9"/>
  <c r="K151" i="9"/>
  <c r="CW151" i="9"/>
  <c r="CI151" i="9"/>
  <c r="BU151" i="9"/>
  <c r="BE151" i="9"/>
  <c r="AQ151" i="9"/>
  <c r="AC151" i="9"/>
  <c r="O151" i="9"/>
  <c r="CV151" i="9"/>
  <c r="CH151" i="9"/>
  <c r="BS151" i="9"/>
  <c r="BD151" i="9"/>
  <c r="AP151" i="9"/>
  <c r="AB151" i="9"/>
  <c r="N151" i="9"/>
  <c r="DI151" i="9"/>
  <c r="CU151" i="9"/>
  <c r="CF151" i="9"/>
  <c r="BQ151" i="9"/>
  <c r="BC151" i="9"/>
  <c r="AO151" i="9"/>
  <c r="AA151" i="9"/>
  <c r="M151" i="9"/>
  <c r="W151" i="9"/>
  <c r="AU151" i="9"/>
  <c r="BM151" i="9"/>
  <c r="CK151" i="9"/>
  <c r="DD151" i="9"/>
  <c r="BV168" i="9"/>
  <c r="E141" i="9"/>
  <c r="V141" i="9"/>
  <c r="AL141" i="9"/>
  <c r="BA141" i="9"/>
  <c r="BP141" i="9"/>
  <c r="CF141" i="9"/>
  <c r="CV141" i="9"/>
  <c r="BT147" i="9"/>
  <c r="Q149" i="9"/>
  <c r="AM149" i="9"/>
  <c r="BD149" i="9"/>
  <c r="CR149" i="9"/>
  <c r="BN151" i="9"/>
  <c r="BU147" i="9"/>
  <c r="BY148" i="9"/>
  <c r="R149" i="9"/>
  <c r="AN149" i="9"/>
  <c r="BF149" i="9"/>
  <c r="CA149" i="9"/>
  <c r="BP151" i="9"/>
  <c r="CA148" i="9"/>
  <c r="DA149" i="9"/>
  <c r="CO149" i="9"/>
  <c r="BE149" i="9"/>
  <c r="AS149" i="9"/>
  <c r="AG149" i="9"/>
  <c r="U149" i="9"/>
  <c r="I149" i="9"/>
  <c r="DG149" i="9"/>
  <c r="CT149" i="9"/>
  <c r="CG149" i="9"/>
  <c r="BT149" i="9"/>
  <c r="BG149" i="9"/>
  <c r="AT149" i="9"/>
  <c r="AF149" i="9"/>
  <c r="S149" i="9"/>
  <c r="F149" i="9"/>
  <c r="CX149" i="9"/>
  <c r="BX149" i="9"/>
  <c r="BK149" i="9"/>
  <c r="AX149" i="9"/>
  <c r="BV149" i="9" s="1"/>
  <c r="AK149" i="9"/>
  <c r="X149" i="9"/>
  <c r="K149" i="9"/>
  <c r="CW149" i="9"/>
  <c r="BJ149" i="9"/>
  <c r="AW149" i="9"/>
  <c r="AJ149" i="9"/>
  <c r="W149" i="9"/>
  <c r="J149" i="9"/>
  <c r="DI149" i="9"/>
  <c r="CV149" i="9"/>
  <c r="CI149" i="9"/>
  <c r="BI149" i="9"/>
  <c r="AV149" i="9"/>
  <c r="AI149" i="9"/>
  <c r="V149" i="9"/>
  <c r="T149" i="9"/>
  <c r="AO149" i="9"/>
  <c r="BH149" i="9"/>
  <c r="CU149" i="9"/>
  <c r="BV151" i="9"/>
  <c r="J141" i="9"/>
  <c r="Z141" i="9"/>
  <c r="AO141" i="9"/>
  <c r="BD141" i="9"/>
  <c r="BU141" i="9"/>
  <c r="CJ141" i="9"/>
  <c r="CZ141" i="9"/>
  <c r="BO144" i="9"/>
  <c r="BZ147" i="9"/>
  <c r="CB148" i="9"/>
  <c r="C149" i="9"/>
  <c r="Y149" i="9"/>
  <c r="AP149" i="9"/>
  <c r="BL149" i="9"/>
  <c r="CY149" i="9"/>
  <c r="BW151" i="9"/>
  <c r="L141" i="9"/>
  <c r="AA141" i="9"/>
  <c r="AP141" i="9"/>
  <c r="BF141" i="9"/>
  <c r="BV141" i="9"/>
  <c r="CL141" i="9"/>
  <c r="DB141" i="9"/>
  <c r="CK146" i="9"/>
  <c r="CA147" i="9"/>
  <c r="CE148" i="9"/>
  <c r="E149" i="9"/>
  <c r="Z149" i="9"/>
  <c r="AQ149" i="9"/>
  <c r="BM149" i="9"/>
  <c r="CZ149" i="9"/>
  <c r="BX151" i="9"/>
  <c r="CX134" i="9"/>
  <c r="CL134" i="9"/>
  <c r="BZ134" i="9"/>
  <c r="BN134" i="9"/>
  <c r="BB134" i="9"/>
  <c r="AP134" i="9"/>
  <c r="AD134" i="9"/>
  <c r="R134" i="9"/>
  <c r="F134" i="9"/>
  <c r="DA134" i="9"/>
  <c r="CN134" i="9"/>
  <c r="CA134" i="9"/>
  <c r="BM134" i="9"/>
  <c r="AZ134" i="9"/>
  <c r="AM134" i="9"/>
  <c r="Z134" i="9"/>
  <c r="M134" i="9"/>
  <c r="Q134" i="9"/>
  <c r="AF134" i="9"/>
  <c r="AT134" i="9"/>
  <c r="BH134" i="9"/>
  <c r="BV134" i="9"/>
  <c r="CJ134" i="9"/>
  <c r="CY134" i="9"/>
  <c r="M141" i="9"/>
  <c r="AB141" i="9"/>
  <c r="AQ141" i="9"/>
  <c r="BH141" i="9"/>
  <c r="BW141" i="9"/>
  <c r="CM141" i="9"/>
  <c r="DC141" i="9"/>
  <c r="M145" i="9"/>
  <c r="AC145" i="9"/>
  <c r="AU145" i="9"/>
  <c r="BM145" i="9"/>
  <c r="CU145" i="9"/>
  <c r="CF147" i="9"/>
  <c r="BS147" i="9"/>
  <c r="CK147" i="9"/>
  <c r="BX147" i="9"/>
  <c r="CJ147" i="9"/>
  <c r="BV147" i="9"/>
  <c r="CB147" i="9"/>
  <c r="AA149" i="9"/>
  <c r="AR149" i="9"/>
  <c r="CF149" i="9"/>
  <c r="DB149" i="9"/>
  <c r="L151" i="9"/>
  <c r="AI151" i="9"/>
  <c r="BB151" i="9"/>
  <c r="BY151" i="9"/>
  <c r="CS151" i="9"/>
  <c r="AC154" i="9"/>
  <c r="BG154" i="9"/>
  <c r="CH148" i="9"/>
  <c r="O141" i="9"/>
  <c r="AD141" i="9"/>
  <c r="AU141" i="9"/>
  <c r="BJ141" i="9"/>
  <c r="BZ141" i="9"/>
  <c r="CP141" i="9"/>
  <c r="DE141" i="9"/>
  <c r="BN147" i="9"/>
  <c r="CD147" i="9"/>
  <c r="CI148" i="9"/>
  <c r="L149" i="9"/>
  <c r="AC149" i="9"/>
  <c r="AY149" i="9"/>
  <c r="BP149" i="9"/>
  <c r="CL149" i="9"/>
  <c r="DD149" i="9"/>
  <c r="BP156" i="9"/>
  <c r="CK156" i="9"/>
  <c r="P141" i="9"/>
  <c r="AE141" i="9"/>
  <c r="AV141" i="9"/>
  <c r="BL141" i="9"/>
  <c r="CA141" i="9"/>
  <c r="CQ141" i="9"/>
  <c r="DF141" i="9"/>
  <c r="BO147" i="9"/>
  <c r="BS148" i="9"/>
  <c r="M149" i="9"/>
  <c r="AD149" i="9"/>
  <c r="AZ149" i="9"/>
  <c r="CM149" i="9"/>
  <c r="DE149" i="9"/>
  <c r="CC150" i="9"/>
  <c r="R151" i="9"/>
  <c r="AL151" i="9"/>
  <c r="BJ151" i="9"/>
  <c r="CB151" i="9"/>
  <c r="CZ151" i="9"/>
  <c r="DE154" i="9"/>
  <c r="CS154" i="9"/>
  <c r="BU154" i="9"/>
  <c r="BI154" i="9"/>
  <c r="AW154" i="9"/>
  <c r="AK154" i="9"/>
  <c r="Y154" i="9"/>
  <c r="M154" i="9"/>
  <c r="DI154" i="9"/>
  <c r="CV154" i="9"/>
  <c r="BH154" i="9"/>
  <c r="AU154" i="9"/>
  <c r="AH154" i="9"/>
  <c r="U154" i="9"/>
  <c r="H154" i="9"/>
  <c r="DG154" i="9"/>
  <c r="CR154" i="9"/>
  <c r="BB154" i="9"/>
  <c r="AN154" i="9"/>
  <c r="Z154" i="9"/>
  <c r="K154" i="9"/>
  <c r="DF154" i="9"/>
  <c r="CP154" i="9"/>
  <c r="BL154" i="9"/>
  <c r="AV154" i="9"/>
  <c r="AF154" i="9"/>
  <c r="Q154" i="9"/>
  <c r="DA154" i="9"/>
  <c r="CL154" i="9"/>
  <c r="BF154" i="9"/>
  <c r="AQ154" i="9"/>
  <c r="AB154" i="9"/>
  <c r="L154" i="9"/>
  <c r="CY154" i="9"/>
  <c r="BD154" i="9"/>
  <c r="AO154" i="9"/>
  <c r="X154" i="9"/>
  <c r="I154" i="9"/>
  <c r="CW154" i="9"/>
  <c r="BA154" i="9"/>
  <c r="AL154" i="9"/>
  <c r="V154" i="9"/>
  <c r="F154" i="9"/>
  <c r="CU154" i="9"/>
  <c r="AZ154" i="9"/>
  <c r="AJ154" i="9"/>
  <c r="T154" i="9"/>
  <c r="E154" i="9"/>
  <c r="CT154" i="9"/>
  <c r="BN154" i="9"/>
  <c r="AY154" i="9"/>
  <c r="AI154" i="9"/>
  <c r="S154" i="9"/>
  <c r="C154" i="9"/>
  <c r="BR154" i="9" s="1"/>
  <c r="AG154" i="9"/>
  <c r="BM154" i="9"/>
  <c r="CQ154" i="9"/>
  <c r="DB155" i="9"/>
  <c r="CP155" i="9"/>
  <c r="BF155" i="9"/>
  <c r="AT155" i="9"/>
  <c r="AH155" i="9"/>
  <c r="V155" i="9"/>
  <c r="J155" i="9"/>
  <c r="DC155" i="9"/>
  <c r="CO155" i="9"/>
  <c r="CB155" i="9"/>
  <c r="BO155" i="9"/>
  <c r="BB155" i="9"/>
  <c r="AO155" i="9"/>
  <c r="AB155" i="9"/>
  <c r="O155" i="9"/>
  <c r="CV155" i="9"/>
  <c r="CH155" i="9"/>
  <c r="BT155" i="9"/>
  <c r="BE155" i="9"/>
  <c r="AQ155" i="9"/>
  <c r="AC155" i="9"/>
  <c r="N155" i="9"/>
  <c r="R155" i="9"/>
  <c r="AG155" i="9"/>
  <c r="AW155" i="9"/>
  <c r="BL155" i="9"/>
  <c r="CA155" i="9"/>
  <c r="CR155" i="9"/>
  <c r="DG155" i="9"/>
  <c r="BX156" i="9"/>
  <c r="K157" i="9"/>
  <c r="Z157" i="9"/>
  <c r="AQ157" i="9"/>
  <c r="BF157" i="9"/>
  <c r="CZ157" i="9"/>
  <c r="J158" i="9"/>
  <c r="Z158" i="9"/>
  <c r="AO158" i="9"/>
  <c r="BD158" i="9"/>
  <c r="CJ158" i="9"/>
  <c r="CY158" i="9"/>
  <c r="W159" i="9"/>
  <c r="AL159" i="9"/>
  <c r="BA159" i="9"/>
  <c r="CW159" i="9"/>
  <c r="AA163" i="9"/>
  <c r="AU163" i="9"/>
  <c r="BL163" i="9"/>
  <c r="CW163" i="9"/>
  <c r="AA164" i="9"/>
  <c r="AS164" i="9"/>
  <c r="BL164" i="9"/>
  <c r="CV164" i="9"/>
  <c r="DD144" i="9"/>
  <c r="CR144" i="9"/>
  <c r="CF144" i="9"/>
  <c r="BH144" i="9"/>
  <c r="AV144" i="9"/>
  <c r="AJ144" i="9"/>
  <c r="X144" i="9"/>
  <c r="L144" i="9"/>
  <c r="P144" i="9"/>
  <c r="AC144" i="9"/>
  <c r="AP144" i="9"/>
  <c r="BC144" i="9"/>
  <c r="CC144" i="9"/>
  <c r="CP144" i="9"/>
  <c r="DC144" i="9"/>
  <c r="CX146" i="9"/>
  <c r="CL146" i="9"/>
  <c r="BB146" i="9"/>
  <c r="AP146" i="9"/>
  <c r="AD146" i="9"/>
  <c r="R146" i="9"/>
  <c r="F146" i="9"/>
  <c r="P146" i="9"/>
  <c r="AC146" i="9"/>
  <c r="AQ146" i="9"/>
  <c r="BD146" i="9"/>
  <c r="BQ146" i="9"/>
  <c r="CQ146" i="9"/>
  <c r="DD146" i="9"/>
  <c r="DD148" i="9"/>
  <c r="CR148" i="9"/>
  <c r="BH148" i="9"/>
  <c r="AV148" i="9"/>
  <c r="AJ148" i="9"/>
  <c r="X148" i="9"/>
  <c r="L148" i="9"/>
  <c r="P148" i="9"/>
  <c r="AC148" i="9"/>
  <c r="AP148" i="9"/>
  <c r="BC148" i="9"/>
  <c r="CP148" i="9"/>
  <c r="DC148" i="9"/>
  <c r="DE150" i="9"/>
  <c r="CS150" i="9"/>
  <c r="CZ150" i="9"/>
  <c r="CM150" i="9"/>
  <c r="BB150" i="9"/>
  <c r="AP150" i="9"/>
  <c r="AD150" i="9"/>
  <c r="R150" i="9"/>
  <c r="F150" i="9"/>
  <c r="P150" i="9"/>
  <c r="AC150" i="9"/>
  <c r="AQ150" i="9"/>
  <c r="BD150" i="9"/>
  <c r="CR150" i="9"/>
  <c r="DG150" i="9"/>
  <c r="CY152" i="9"/>
  <c r="CM152" i="9"/>
  <c r="BO152" i="9"/>
  <c r="BC152" i="9"/>
  <c r="AQ152" i="9"/>
  <c r="AE152" i="9"/>
  <c r="S152" i="9"/>
  <c r="DH152" i="9"/>
  <c r="CU152" i="9"/>
  <c r="DA152" i="9"/>
  <c r="CL152" i="9"/>
  <c r="BL152" i="9"/>
  <c r="AY152" i="9"/>
  <c r="AL152" i="9"/>
  <c r="Y152" i="9"/>
  <c r="L152" i="9"/>
  <c r="P152" i="9"/>
  <c r="AD152" i="9"/>
  <c r="AS152" i="9"/>
  <c r="BG152" i="9"/>
  <c r="CX152" i="9"/>
  <c r="C155" i="9"/>
  <c r="BR155" i="9" s="1"/>
  <c r="S155" i="9"/>
  <c r="AI155" i="9"/>
  <c r="AX155" i="9"/>
  <c r="CD155" i="9" s="1"/>
  <c r="BM155" i="9"/>
  <c r="CC155" i="9"/>
  <c r="CS155" i="9"/>
  <c r="DH155" i="9"/>
  <c r="BY156" i="9"/>
  <c r="L157" i="9"/>
  <c r="AC157" i="9"/>
  <c r="AR157" i="9"/>
  <c r="BG157" i="9"/>
  <c r="CL157" i="9"/>
  <c r="DC157" i="9"/>
  <c r="K158" i="9"/>
  <c r="AA158" i="9"/>
  <c r="AP158" i="9"/>
  <c r="BE158" i="9"/>
  <c r="CZ158" i="9"/>
  <c r="H159" i="9"/>
  <c r="X159" i="9"/>
  <c r="AM159" i="9"/>
  <c r="BD159" i="9"/>
  <c r="CX159" i="9"/>
  <c r="H163" i="9"/>
  <c r="AC163" i="9"/>
  <c r="AV163" i="9"/>
  <c r="BM163" i="9"/>
  <c r="CX163" i="9"/>
  <c r="K164" i="9"/>
  <c r="AB164" i="9"/>
  <c r="AT164" i="9"/>
  <c r="BM164" i="9"/>
  <c r="DA164" i="9"/>
  <c r="CA169" i="9"/>
  <c r="C144" i="9"/>
  <c r="CJ144" i="9" s="1"/>
  <c r="Q144" i="9"/>
  <c r="AD144" i="9"/>
  <c r="AQ144" i="9"/>
  <c r="BD144" i="9"/>
  <c r="CQ144" i="9"/>
  <c r="DE144" i="9"/>
  <c r="C146" i="9"/>
  <c r="CJ146" i="9" s="1"/>
  <c r="Q146" i="9"/>
  <c r="AE146" i="9"/>
  <c r="AR146" i="9"/>
  <c r="BE146" i="9"/>
  <c r="CR146" i="9"/>
  <c r="DE146" i="9"/>
  <c r="C148" i="9"/>
  <c r="Q148" i="9"/>
  <c r="AD148" i="9"/>
  <c r="AQ148" i="9"/>
  <c r="BD148" i="9"/>
  <c r="BQ148" i="9"/>
  <c r="CD148" i="9"/>
  <c r="CQ148" i="9"/>
  <c r="DE148" i="9"/>
  <c r="C150" i="9"/>
  <c r="Q150" i="9"/>
  <c r="AE150" i="9"/>
  <c r="AR150" i="9"/>
  <c r="BE150" i="9"/>
  <c r="CE150" i="9"/>
  <c r="CT150" i="9"/>
  <c r="DH150" i="9"/>
  <c r="C152" i="9"/>
  <c r="CE152" i="9" s="1"/>
  <c r="Q152" i="9"/>
  <c r="AF152" i="9"/>
  <c r="AT152" i="9"/>
  <c r="BH152" i="9"/>
  <c r="CZ152" i="9"/>
  <c r="E155" i="9"/>
  <c r="T155" i="9"/>
  <c r="AJ155" i="9"/>
  <c r="AY155" i="9"/>
  <c r="BN155" i="9"/>
  <c r="CE155" i="9"/>
  <c r="CT155" i="9"/>
  <c r="DI155" i="9"/>
  <c r="BZ156" i="9"/>
  <c r="M157" i="9"/>
  <c r="AD157" i="9"/>
  <c r="AS157" i="9"/>
  <c r="BH157" i="9"/>
  <c r="CN157" i="9"/>
  <c r="DD157" i="9"/>
  <c r="L158" i="9"/>
  <c r="AB158" i="9"/>
  <c r="AQ158" i="9"/>
  <c r="BF158" i="9"/>
  <c r="CL158" i="9"/>
  <c r="DA158" i="9"/>
  <c r="I159" i="9"/>
  <c r="Y159" i="9"/>
  <c r="AP159" i="9"/>
  <c r="BE159" i="9"/>
  <c r="BU159" i="9"/>
  <c r="CY159" i="9"/>
  <c r="DE162" i="9"/>
  <c r="CS162" i="9"/>
  <c r="CG162" i="9"/>
  <c r="BI162" i="9"/>
  <c r="AW162" i="9"/>
  <c r="AK162" i="9"/>
  <c r="Y162" i="9"/>
  <c r="M162" i="9"/>
  <c r="DI162" i="9"/>
  <c r="CV162" i="9"/>
  <c r="BH162" i="9"/>
  <c r="AU162" i="9"/>
  <c r="AH162" i="9"/>
  <c r="U162" i="9"/>
  <c r="H162" i="9"/>
  <c r="DC162" i="9"/>
  <c r="CO162" i="9"/>
  <c r="BM162" i="9"/>
  <c r="AY162" i="9"/>
  <c r="AJ162" i="9"/>
  <c r="V162" i="9"/>
  <c r="DB162" i="9"/>
  <c r="CN162" i="9"/>
  <c r="BL162" i="9"/>
  <c r="AX162" i="9"/>
  <c r="CA162" i="9" s="1"/>
  <c r="AI162" i="9"/>
  <c r="T162" i="9"/>
  <c r="F162" i="9"/>
  <c r="R162" i="9"/>
  <c r="AL162" i="9"/>
  <c r="BB162" i="9"/>
  <c r="CZ162" i="9"/>
  <c r="L163" i="9"/>
  <c r="AE163" i="9"/>
  <c r="AW163" i="9"/>
  <c r="DA163" i="9"/>
  <c r="L164" i="9"/>
  <c r="AC164" i="9"/>
  <c r="AV164" i="9"/>
  <c r="DB164" i="9"/>
  <c r="K159" i="9"/>
  <c r="AA159" i="9"/>
  <c r="AQ159" i="9"/>
  <c r="BG159" i="9"/>
  <c r="CZ159" i="9"/>
  <c r="M163" i="9"/>
  <c r="AF163" i="9"/>
  <c r="AX163" i="9"/>
  <c r="BP163" i="9"/>
  <c r="DD163" i="9"/>
  <c r="M164" i="9"/>
  <c r="AD164" i="9"/>
  <c r="AX164" i="9"/>
  <c r="CC164" i="9" s="1"/>
  <c r="DC164" i="9"/>
  <c r="CF166" i="9"/>
  <c r="CE168" i="9"/>
  <c r="CC156" i="9"/>
  <c r="Q157" i="9"/>
  <c r="AF157" i="9"/>
  <c r="AU157" i="9"/>
  <c r="BK157" i="9"/>
  <c r="CA157" i="9"/>
  <c r="CQ157" i="9"/>
  <c r="O158" i="9"/>
  <c r="AD158" i="9"/>
  <c r="AS158" i="9"/>
  <c r="BJ158" i="9"/>
  <c r="CN158" i="9"/>
  <c r="DC158" i="9"/>
  <c r="M159" i="9"/>
  <c r="AC159" i="9"/>
  <c r="AR159" i="9"/>
  <c r="BH159" i="9"/>
  <c r="CL159" i="9"/>
  <c r="DA159" i="9"/>
  <c r="N163" i="9"/>
  <c r="AG163" i="9"/>
  <c r="AY163" i="9"/>
  <c r="CL163" i="9"/>
  <c r="DF163" i="9"/>
  <c r="N164" i="9"/>
  <c r="AF164" i="9"/>
  <c r="AY164" i="9"/>
  <c r="BQ164" i="9"/>
  <c r="CL164" i="9"/>
  <c r="DD164" i="9"/>
  <c r="N159" i="9"/>
  <c r="AD159" i="9"/>
  <c r="AS159" i="9"/>
  <c r="BI159" i="9"/>
  <c r="BX159" i="9"/>
  <c r="CM159" i="9"/>
  <c r="DD159" i="9"/>
  <c r="P163" i="9"/>
  <c r="AI163" i="9"/>
  <c r="AZ163" i="9"/>
  <c r="CM163" i="9"/>
  <c r="DG163" i="9"/>
  <c r="O164" i="9"/>
  <c r="AG164" i="9"/>
  <c r="AZ164" i="9"/>
  <c r="BT164" i="9"/>
  <c r="CN164" i="9"/>
  <c r="DE164" i="9"/>
  <c r="BR169" i="9"/>
  <c r="CE156" i="9"/>
  <c r="DH157" i="9"/>
  <c r="CV157" i="9"/>
  <c r="BL157" i="9"/>
  <c r="AZ157" i="9"/>
  <c r="AN157" i="9"/>
  <c r="AB157" i="9"/>
  <c r="P157" i="9"/>
  <c r="C157" i="9"/>
  <c r="BW157" i="9" s="1"/>
  <c r="DB157" i="9"/>
  <c r="CO157" i="9"/>
  <c r="BB157" i="9"/>
  <c r="AO157" i="9"/>
  <c r="AA157" i="9"/>
  <c r="N157" i="9"/>
  <c r="DA157" i="9"/>
  <c r="CM157" i="9"/>
  <c r="BJ157" i="9"/>
  <c r="AV157" i="9"/>
  <c r="AH157" i="9"/>
  <c r="T157" i="9"/>
  <c r="F157" i="9"/>
  <c r="S157" i="9"/>
  <c r="AI157" i="9"/>
  <c r="AX157" i="9"/>
  <c r="BN157" i="9" s="1"/>
  <c r="CS157" i="9"/>
  <c r="DI157" i="9"/>
  <c r="Q158" i="9"/>
  <c r="AF158" i="9"/>
  <c r="AV158" i="9"/>
  <c r="BL158" i="9"/>
  <c r="CQ158" i="9"/>
  <c r="P159" i="9"/>
  <c r="AE159" i="9"/>
  <c r="AU159" i="9"/>
  <c r="BJ159" i="9"/>
  <c r="BY159" i="9"/>
  <c r="CN159" i="9"/>
  <c r="DE159" i="9"/>
  <c r="R163" i="9"/>
  <c r="AJ163" i="9"/>
  <c r="BA163" i="9"/>
  <c r="CN163" i="9"/>
  <c r="DH163" i="9"/>
  <c r="P164" i="9"/>
  <c r="AI164" i="9"/>
  <c r="BA164" i="9"/>
  <c r="BV164" i="9"/>
  <c r="CO164" i="9"/>
  <c r="DF164" i="9"/>
  <c r="DE158" i="9"/>
  <c r="CS158" i="9"/>
  <c r="CG158" i="9"/>
  <c r="BI158" i="9"/>
  <c r="AW158" i="9"/>
  <c r="AK158" i="9"/>
  <c r="Y158" i="9"/>
  <c r="M158" i="9"/>
  <c r="DI158" i="9"/>
  <c r="CV158" i="9"/>
  <c r="CI158" i="9"/>
  <c r="BV158" i="9"/>
  <c r="BH158" i="9"/>
  <c r="AU158" i="9"/>
  <c r="AH158" i="9"/>
  <c r="U158" i="9"/>
  <c r="H158" i="9"/>
  <c r="DD158" i="9"/>
  <c r="CP158" i="9"/>
  <c r="BN158" i="9"/>
  <c r="AZ158" i="9"/>
  <c r="AL158" i="9"/>
  <c r="W158" i="9"/>
  <c r="I158" i="9"/>
  <c r="R158" i="9"/>
  <c r="AG158" i="9"/>
  <c r="AX158" i="9"/>
  <c r="BW158" i="9" s="1"/>
  <c r="BM158" i="9"/>
  <c r="CR158" i="9"/>
  <c r="DH158" i="9"/>
  <c r="Q159" i="9"/>
  <c r="AF159" i="9"/>
  <c r="AV159" i="9"/>
  <c r="BK159" i="9"/>
  <c r="BZ159" i="9"/>
  <c r="CQ159" i="9"/>
  <c r="S163" i="9"/>
  <c r="AK163" i="9"/>
  <c r="BC163" i="9"/>
  <c r="CQ163" i="9"/>
  <c r="Q164" i="9"/>
  <c r="AK164" i="9"/>
  <c r="BE164" i="9"/>
  <c r="BX164" i="9"/>
  <c r="CP164" i="9"/>
  <c r="DB159" i="9"/>
  <c r="CP159" i="9"/>
  <c r="BF159" i="9"/>
  <c r="AT159" i="9"/>
  <c r="AH159" i="9"/>
  <c r="V159" i="9"/>
  <c r="J159" i="9"/>
  <c r="DC159" i="9"/>
  <c r="CO159" i="9"/>
  <c r="CB159" i="9"/>
  <c r="BO159" i="9"/>
  <c r="BB159" i="9"/>
  <c r="AO159" i="9"/>
  <c r="AB159" i="9"/>
  <c r="O159" i="9"/>
  <c r="DH159" i="9"/>
  <c r="CT159" i="9"/>
  <c r="BQ159" i="9"/>
  <c r="BC159" i="9"/>
  <c r="AN159" i="9"/>
  <c r="Z159" i="9"/>
  <c r="L159" i="9"/>
  <c r="R159" i="9"/>
  <c r="AG159" i="9"/>
  <c r="AW159" i="9"/>
  <c r="BL159" i="9"/>
  <c r="CR159" i="9"/>
  <c r="DG159" i="9"/>
  <c r="DB163" i="9"/>
  <c r="CP163" i="9"/>
  <c r="BF163" i="9"/>
  <c r="AT163" i="9"/>
  <c r="AH163" i="9"/>
  <c r="V163" i="9"/>
  <c r="J163" i="9"/>
  <c r="DC163" i="9"/>
  <c r="CO163" i="9"/>
  <c r="BO163" i="9"/>
  <c r="BB163" i="9"/>
  <c r="AO163" i="9"/>
  <c r="AB163" i="9"/>
  <c r="O163" i="9"/>
  <c r="DE163" i="9"/>
  <c r="CR163" i="9"/>
  <c r="BD163" i="9"/>
  <c r="AQ163" i="9"/>
  <c r="AD163" i="9"/>
  <c r="Q163" i="9"/>
  <c r="CZ163" i="9"/>
  <c r="BG163" i="9"/>
  <c r="AP163" i="9"/>
  <c r="Z163" i="9"/>
  <c r="K163" i="9"/>
  <c r="CY163" i="9"/>
  <c r="BE163" i="9"/>
  <c r="AN163" i="9"/>
  <c r="Y163" i="9"/>
  <c r="I163" i="9"/>
  <c r="T163" i="9"/>
  <c r="AL163" i="9"/>
  <c r="BH163" i="9"/>
  <c r="CS163" i="9"/>
  <c r="CY164" i="9"/>
  <c r="CM164" i="9"/>
  <c r="BC164" i="9"/>
  <c r="AQ164" i="9"/>
  <c r="AE164" i="9"/>
  <c r="S164" i="9"/>
  <c r="DH164" i="9"/>
  <c r="CU164" i="9"/>
  <c r="CH164" i="9"/>
  <c r="BU164" i="9"/>
  <c r="BH164" i="9"/>
  <c r="AU164" i="9"/>
  <c r="AH164" i="9"/>
  <c r="U164" i="9"/>
  <c r="H164" i="9"/>
  <c r="CW164" i="9"/>
  <c r="CJ164" i="9"/>
  <c r="BW164" i="9"/>
  <c r="BJ164" i="9"/>
  <c r="AW164" i="9"/>
  <c r="AJ164" i="9"/>
  <c r="W164" i="9"/>
  <c r="J164" i="9"/>
  <c r="CZ164" i="9"/>
  <c r="BD164" i="9"/>
  <c r="AN164" i="9"/>
  <c r="Y164" i="9"/>
  <c r="I164" i="9"/>
  <c r="CX164" i="9"/>
  <c r="CG164" i="9"/>
  <c r="BR164" i="9"/>
  <c r="BB164" i="9"/>
  <c r="AM164" i="9"/>
  <c r="X164" i="9"/>
  <c r="R164" i="9"/>
  <c r="AL164" i="9"/>
  <c r="BF164" i="9"/>
  <c r="CQ164" i="9"/>
  <c r="DI164" i="9"/>
  <c r="BS168" i="9"/>
  <c r="CK168" i="9"/>
  <c r="BR168" i="9"/>
  <c r="CH168" i="9"/>
  <c r="BO168" i="9"/>
  <c r="BY175" i="9"/>
  <c r="C159" i="9"/>
  <c r="CI159" i="9" s="1"/>
  <c r="S159" i="9"/>
  <c r="AI159" i="9"/>
  <c r="AX159" i="9"/>
  <c r="CF159" i="9" s="1"/>
  <c r="BM159" i="9"/>
  <c r="CC159" i="9"/>
  <c r="CS159" i="9"/>
  <c r="DI159" i="9"/>
  <c r="C163" i="9"/>
  <c r="CD163" i="9" s="1"/>
  <c r="U163" i="9"/>
  <c r="AM163" i="9"/>
  <c r="BI163" i="9"/>
  <c r="CT163" i="9"/>
  <c r="C164" i="9"/>
  <c r="T164" i="9"/>
  <c r="AO164" i="9"/>
  <c r="BG164" i="9"/>
  <c r="CR164" i="9"/>
  <c r="M144" i="9"/>
  <c r="Z144" i="9"/>
  <c r="AM144" i="9"/>
  <c r="AZ144" i="9"/>
  <c r="BM144" i="9"/>
  <c r="BZ144" i="9"/>
  <c r="CM144" i="9"/>
  <c r="CZ144" i="9"/>
  <c r="M146" i="9"/>
  <c r="Z146" i="9"/>
  <c r="AM146" i="9"/>
  <c r="AZ146" i="9"/>
  <c r="BM146" i="9"/>
  <c r="CA146" i="9"/>
  <c r="CN146" i="9"/>
  <c r="DA146" i="9"/>
  <c r="M148" i="9"/>
  <c r="Z148" i="9"/>
  <c r="AM148" i="9"/>
  <c r="AZ148" i="9"/>
  <c r="BM148" i="9"/>
  <c r="BZ148" i="9"/>
  <c r="CM148" i="9"/>
  <c r="CZ148" i="9"/>
  <c r="M150" i="9"/>
  <c r="Z150" i="9"/>
  <c r="AM150" i="9"/>
  <c r="AZ150" i="9"/>
  <c r="BM150" i="9"/>
  <c r="CA150" i="9"/>
  <c r="CO150" i="9"/>
  <c r="DC150" i="9"/>
  <c r="M152" i="9"/>
  <c r="AA152" i="9"/>
  <c r="AO152" i="9"/>
  <c r="BD152" i="9"/>
  <c r="BR152" i="9"/>
  <c r="CF152" i="9"/>
  <c r="CT152" i="9"/>
  <c r="DH153" i="9"/>
  <c r="CV153" i="9"/>
  <c r="BL153" i="9"/>
  <c r="AZ153" i="9"/>
  <c r="AN153" i="9"/>
  <c r="AB153" i="9"/>
  <c r="P153" i="9"/>
  <c r="C153" i="9"/>
  <c r="DB153" i="9"/>
  <c r="CO153" i="9"/>
  <c r="BB153" i="9"/>
  <c r="AO153" i="9"/>
  <c r="AA153" i="9"/>
  <c r="N153" i="9"/>
  <c r="DD153" i="9"/>
  <c r="CP153" i="9"/>
  <c r="BM153" i="9"/>
  <c r="AX153" i="9"/>
  <c r="CB153" i="9" s="1"/>
  <c r="AJ153" i="9"/>
  <c r="V153" i="9"/>
  <c r="H153" i="9"/>
  <c r="S153" i="9"/>
  <c r="AH153" i="9"/>
  <c r="AW153" i="9"/>
  <c r="CD153" i="9"/>
  <c r="CS153" i="9"/>
  <c r="DI153" i="9"/>
  <c r="P155" i="9"/>
  <c r="AE155" i="9"/>
  <c r="AU155" i="9"/>
  <c r="BJ155" i="9"/>
  <c r="BY155" i="9"/>
  <c r="CN155" i="9"/>
  <c r="DE155" i="9"/>
  <c r="BT156" i="9"/>
  <c r="I157" i="9"/>
  <c r="X157" i="9"/>
  <c r="AM157" i="9"/>
  <c r="BD157" i="9"/>
  <c r="BS157" i="9"/>
  <c r="CH157" i="9"/>
  <c r="CX157" i="9"/>
  <c r="F158" i="9"/>
  <c r="V158" i="9"/>
  <c r="AM158" i="9"/>
  <c r="BB158" i="9"/>
  <c r="CW158" i="9"/>
  <c r="E159" i="9"/>
  <c r="T159" i="9"/>
  <c r="AJ159" i="9"/>
  <c r="AY159" i="9"/>
  <c r="BN159" i="9"/>
  <c r="CE159" i="9"/>
  <c r="CU159" i="9"/>
  <c r="CY160" i="9"/>
  <c r="CM160" i="9"/>
  <c r="CA160" i="9"/>
  <c r="BO160" i="9"/>
  <c r="BC160" i="9"/>
  <c r="AQ160" i="9"/>
  <c r="AE160" i="9"/>
  <c r="S160" i="9"/>
  <c r="DH160" i="9"/>
  <c r="CU160" i="9"/>
  <c r="CH160" i="9"/>
  <c r="BU160" i="9"/>
  <c r="BH160" i="9"/>
  <c r="AU160" i="9"/>
  <c r="AH160" i="9"/>
  <c r="U160" i="9"/>
  <c r="H160" i="9"/>
  <c r="CV160" i="9"/>
  <c r="CG160" i="9"/>
  <c r="BS160" i="9"/>
  <c r="BE160" i="9"/>
  <c r="AP160" i="9"/>
  <c r="AB160" i="9"/>
  <c r="N160" i="9"/>
  <c r="Q160" i="9"/>
  <c r="AG160" i="9"/>
  <c r="AW160" i="9"/>
  <c r="BL160" i="9"/>
  <c r="CB160" i="9"/>
  <c r="CQ160" i="9"/>
  <c r="DF160" i="9"/>
  <c r="BZ161" i="9"/>
  <c r="N162" i="9"/>
  <c r="AD162" i="9"/>
  <c r="AT162" i="9"/>
  <c r="BN162" i="9"/>
  <c r="CD162" i="9"/>
  <c r="CU162" i="9"/>
  <c r="E163" i="9"/>
  <c r="W163" i="9"/>
  <c r="AR163" i="9"/>
  <c r="BJ163" i="9"/>
  <c r="CA163" i="9"/>
  <c r="CU163" i="9"/>
  <c r="E164" i="9"/>
  <c r="V164" i="9"/>
  <c r="AP164" i="9"/>
  <c r="BI164" i="9"/>
  <c r="CB164" i="9"/>
  <c r="CS164" i="9"/>
  <c r="CE165" i="9"/>
  <c r="CA166" i="9"/>
  <c r="BX168" i="9"/>
  <c r="CF169" i="9"/>
  <c r="S171" i="9"/>
  <c r="AN171" i="9"/>
  <c r="DE171" i="9"/>
  <c r="O131" i="9"/>
  <c r="AA131" i="9"/>
  <c r="AM131" i="9"/>
  <c r="AY131" i="9"/>
  <c r="BK131" i="9"/>
  <c r="BW131" i="9"/>
  <c r="CI131" i="9"/>
  <c r="CU131" i="9"/>
  <c r="O135" i="9"/>
  <c r="AA135" i="9"/>
  <c r="AM135" i="9"/>
  <c r="AY135" i="9"/>
  <c r="BK135" i="9"/>
  <c r="BW135" i="9"/>
  <c r="CI135" i="9"/>
  <c r="CU135" i="9"/>
  <c r="O139" i="9"/>
  <c r="AA139" i="9"/>
  <c r="AM139" i="9"/>
  <c r="AY139" i="9"/>
  <c r="BK139" i="9"/>
  <c r="BW139" i="9"/>
  <c r="CI139" i="9"/>
  <c r="CU139" i="9"/>
  <c r="O143" i="9"/>
  <c r="AA143" i="9"/>
  <c r="AM143" i="9"/>
  <c r="AY143" i="9"/>
  <c r="BK143" i="9"/>
  <c r="BW143" i="9"/>
  <c r="CI143" i="9"/>
  <c r="CU143" i="9"/>
  <c r="O147" i="9"/>
  <c r="AA147" i="9"/>
  <c r="AM147" i="9"/>
  <c r="AY147" i="9"/>
  <c r="BK147" i="9"/>
  <c r="BW147" i="9"/>
  <c r="CI147" i="9"/>
  <c r="CU147" i="9"/>
  <c r="CY156" i="9"/>
  <c r="CM156" i="9"/>
  <c r="CA156" i="9"/>
  <c r="BO156" i="9"/>
  <c r="BC156" i="9"/>
  <c r="AQ156" i="9"/>
  <c r="AE156" i="9"/>
  <c r="S156" i="9"/>
  <c r="DH156" i="9"/>
  <c r="CU156" i="9"/>
  <c r="CH156" i="9"/>
  <c r="BU156" i="9"/>
  <c r="BH156" i="9"/>
  <c r="AU156" i="9"/>
  <c r="AH156" i="9"/>
  <c r="U156" i="9"/>
  <c r="H156" i="9"/>
  <c r="P156" i="9"/>
  <c r="AD156" i="9"/>
  <c r="AS156" i="9"/>
  <c r="BG156" i="9"/>
  <c r="BV156" i="9"/>
  <c r="CJ156" i="9"/>
  <c r="CX156" i="9"/>
  <c r="DH161" i="9"/>
  <c r="CV161" i="9"/>
  <c r="CJ161" i="9"/>
  <c r="BX161" i="9"/>
  <c r="BL161" i="9"/>
  <c r="AZ161" i="9"/>
  <c r="AN161" i="9"/>
  <c r="AB161" i="9"/>
  <c r="P161" i="9"/>
  <c r="C161" i="9"/>
  <c r="DB161" i="9"/>
  <c r="CO161" i="9"/>
  <c r="CB161" i="9"/>
  <c r="BO161" i="9"/>
  <c r="BB161" i="9"/>
  <c r="AO161" i="9"/>
  <c r="AA161" i="9"/>
  <c r="N161" i="9"/>
  <c r="R161" i="9"/>
  <c r="AF161" i="9"/>
  <c r="AT161" i="9"/>
  <c r="BH161" i="9"/>
  <c r="BV161" i="9"/>
  <c r="CY161" i="9"/>
  <c r="CF165" i="9"/>
  <c r="CB166" i="9"/>
  <c r="CA168" i="9"/>
  <c r="Q169" i="9"/>
  <c r="AM169" i="9"/>
  <c r="BH169" i="9"/>
  <c r="CG169" i="9"/>
  <c r="T171" i="9"/>
  <c r="AP171" i="9"/>
  <c r="DF171" i="9"/>
  <c r="BN169" i="9"/>
  <c r="CH169" i="9"/>
  <c r="U171" i="9"/>
  <c r="AS171" i="9"/>
  <c r="CL171" i="9"/>
  <c r="BN172" i="9"/>
  <c r="BZ166" i="9"/>
  <c r="CE166" i="9"/>
  <c r="BN166" i="9"/>
  <c r="CH166" i="9"/>
  <c r="BS166" i="9"/>
  <c r="CG166" i="9"/>
  <c r="BR166" i="9"/>
  <c r="CI166" i="9"/>
  <c r="BZ168" i="9"/>
  <c r="CC168" i="9"/>
  <c r="BP168" i="9"/>
  <c r="BY168" i="9"/>
  <c r="CD168" i="9"/>
  <c r="BN168" i="9"/>
  <c r="CB168" i="9"/>
  <c r="CF168" i="9"/>
  <c r="BP169" i="9"/>
  <c r="CI169" i="9"/>
  <c r="DB171" i="9"/>
  <c r="CP171" i="9"/>
  <c r="CD171" i="9"/>
  <c r="BF171" i="9"/>
  <c r="AT171" i="9"/>
  <c r="AH171" i="9"/>
  <c r="V171" i="9"/>
  <c r="J171" i="9"/>
  <c r="CZ171" i="9"/>
  <c r="CM171" i="9"/>
  <c r="BM171" i="9"/>
  <c r="AZ171" i="9"/>
  <c r="AM171" i="9"/>
  <c r="Z171" i="9"/>
  <c r="M171" i="9"/>
  <c r="DH171" i="9"/>
  <c r="CT171" i="9"/>
  <c r="BC171" i="9"/>
  <c r="AO171" i="9"/>
  <c r="AA171" i="9"/>
  <c r="L171" i="9"/>
  <c r="CW171" i="9"/>
  <c r="CI171" i="9"/>
  <c r="BG171" i="9"/>
  <c r="AR171" i="9"/>
  <c r="AD171" i="9"/>
  <c r="P171" i="9"/>
  <c r="DG171" i="9"/>
  <c r="CQ171" i="9"/>
  <c r="BI171" i="9"/>
  <c r="AQ171" i="9"/>
  <c r="Y171" i="9"/>
  <c r="H171" i="9"/>
  <c r="CU171" i="9"/>
  <c r="BL171" i="9"/>
  <c r="AV171" i="9"/>
  <c r="AE171" i="9"/>
  <c r="N171" i="9"/>
  <c r="CS171" i="9"/>
  <c r="BK171" i="9"/>
  <c r="AU171" i="9"/>
  <c r="AC171" i="9"/>
  <c r="K171" i="9"/>
  <c r="W171" i="9"/>
  <c r="AW171" i="9"/>
  <c r="CN171" i="9"/>
  <c r="BQ172" i="9"/>
  <c r="CJ166" i="9"/>
  <c r="CG168" i="9"/>
  <c r="BQ169" i="9"/>
  <c r="CK169" i="9"/>
  <c r="C171" i="9"/>
  <c r="X171" i="9"/>
  <c r="AX171" i="9"/>
  <c r="CF171" i="9" s="1"/>
  <c r="CO171" i="9"/>
  <c r="BO166" i="9"/>
  <c r="CK166" i="9"/>
  <c r="BV165" i="9"/>
  <c r="BT166" i="9"/>
  <c r="BQ168" i="9"/>
  <c r="CJ168" i="9"/>
  <c r="DH169" i="9"/>
  <c r="CV169" i="9"/>
  <c r="CJ169" i="9"/>
  <c r="BX169" i="9"/>
  <c r="BL169" i="9"/>
  <c r="AZ169" i="9"/>
  <c r="AN169" i="9"/>
  <c r="AB169" i="9"/>
  <c r="P169" i="9"/>
  <c r="CZ169" i="9"/>
  <c r="CM169" i="9"/>
  <c r="BZ169" i="9"/>
  <c r="BM169" i="9"/>
  <c r="AY169" i="9"/>
  <c r="AL169" i="9"/>
  <c r="Y169" i="9"/>
  <c r="L169" i="9"/>
  <c r="DB169" i="9"/>
  <c r="CN169" i="9"/>
  <c r="BY169" i="9"/>
  <c r="BJ169" i="9"/>
  <c r="AV169" i="9"/>
  <c r="AH169" i="9"/>
  <c r="T169" i="9"/>
  <c r="F169" i="9"/>
  <c r="DE169" i="9"/>
  <c r="CQ169" i="9"/>
  <c r="CC169" i="9"/>
  <c r="BO169" i="9"/>
  <c r="BA169" i="9"/>
  <c r="AK169" i="9"/>
  <c r="W169" i="9"/>
  <c r="I169" i="9"/>
  <c r="DG169" i="9"/>
  <c r="CP169" i="9"/>
  <c r="BW169" i="9"/>
  <c r="BG169" i="9"/>
  <c r="AQ169" i="9"/>
  <c r="Z169" i="9"/>
  <c r="H169" i="9"/>
  <c r="CT169" i="9"/>
  <c r="CD169" i="9"/>
  <c r="BK169" i="9"/>
  <c r="AT169" i="9"/>
  <c r="AD169" i="9"/>
  <c r="M169" i="9"/>
  <c r="CS169" i="9"/>
  <c r="CB169" i="9"/>
  <c r="BI169" i="9"/>
  <c r="AS169" i="9"/>
  <c r="AC169" i="9"/>
  <c r="K169" i="9"/>
  <c r="X169" i="9"/>
  <c r="AW169" i="9"/>
  <c r="BS169" i="9"/>
  <c r="CO169" i="9"/>
  <c r="BW170" i="9"/>
  <c r="F171" i="9"/>
  <c r="AF171" i="9"/>
  <c r="BA171" i="9"/>
  <c r="BW171" i="9"/>
  <c r="CV171" i="9"/>
  <c r="BZ172" i="9"/>
  <c r="BU166" i="9"/>
  <c r="BT169" i="9"/>
  <c r="BN176" i="9"/>
  <c r="CE177" i="9"/>
  <c r="BW166" i="9"/>
  <c r="BT168" i="9"/>
  <c r="BV169" i="9"/>
  <c r="O171" i="9"/>
  <c r="AJ171" i="9"/>
  <c r="BE171" i="9"/>
  <c r="DA171" i="9"/>
  <c r="BX166" i="9"/>
  <c r="BU168" i="9"/>
  <c r="Q171" i="9"/>
  <c r="AK171" i="9"/>
  <c r="BH171" i="9"/>
  <c r="DC171" i="9"/>
  <c r="CI172" i="9"/>
  <c r="DD165" i="9"/>
  <c r="CR165" i="9"/>
  <c r="CW165" i="9"/>
  <c r="CJ165" i="9"/>
  <c r="BL165" i="9"/>
  <c r="AZ165" i="9"/>
  <c r="AN165" i="9"/>
  <c r="AB165" i="9"/>
  <c r="P165" i="9"/>
  <c r="C165" i="9"/>
  <c r="CI165" i="9" s="1"/>
  <c r="Q165" i="9"/>
  <c r="AD165" i="9"/>
  <c r="AQ165" i="9"/>
  <c r="BD165" i="9"/>
  <c r="BQ165" i="9"/>
  <c r="CQ165" i="9"/>
  <c r="DF165" i="9"/>
  <c r="P167" i="9"/>
  <c r="AF167" i="9"/>
  <c r="AV167" i="9"/>
  <c r="BL167" i="9"/>
  <c r="CB167" i="9"/>
  <c r="CQ167" i="9"/>
  <c r="DE170" i="9"/>
  <c r="CS170" i="9"/>
  <c r="CG170" i="9"/>
  <c r="BI170" i="9"/>
  <c r="AW170" i="9"/>
  <c r="AK170" i="9"/>
  <c r="Y170" i="9"/>
  <c r="M170" i="9"/>
  <c r="DG170" i="9"/>
  <c r="CT170" i="9"/>
  <c r="BF170" i="9"/>
  <c r="AS170" i="9"/>
  <c r="AF170" i="9"/>
  <c r="S170" i="9"/>
  <c r="F170" i="9"/>
  <c r="DD170" i="9"/>
  <c r="CP170" i="9"/>
  <c r="AZ170" i="9"/>
  <c r="AL170" i="9"/>
  <c r="W170" i="9"/>
  <c r="I170" i="9"/>
  <c r="DI170" i="9"/>
  <c r="CU170" i="9"/>
  <c r="BC170" i="9"/>
  <c r="AO170" i="9"/>
  <c r="AA170" i="9"/>
  <c r="L170" i="9"/>
  <c r="T170" i="9"/>
  <c r="AJ170" i="9"/>
  <c r="BB170" i="9"/>
  <c r="CK170" i="9"/>
  <c r="DA170" i="9"/>
  <c r="CY172" i="9"/>
  <c r="CM172" i="9"/>
  <c r="CA172" i="9"/>
  <c r="BO172" i="9"/>
  <c r="BC172" i="9"/>
  <c r="AQ172" i="9"/>
  <c r="AE172" i="9"/>
  <c r="S172" i="9"/>
  <c r="DF172" i="9"/>
  <c r="CS172" i="9"/>
  <c r="CF172" i="9"/>
  <c r="BF172" i="9"/>
  <c r="AS172" i="9"/>
  <c r="AF172" i="9"/>
  <c r="R172" i="9"/>
  <c r="F172" i="9"/>
  <c r="CV172" i="9"/>
  <c r="CH172" i="9"/>
  <c r="BE172" i="9"/>
  <c r="AP172" i="9"/>
  <c r="AB172" i="9"/>
  <c r="N172" i="9"/>
  <c r="DA172" i="9"/>
  <c r="CL172" i="9"/>
  <c r="CZ172" i="9"/>
  <c r="CK172" i="9"/>
  <c r="BW172" i="9"/>
  <c r="BI172" i="9"/>
  <c r="AU172" i="9"/>
  <c r="AG172" i="9"/>
  <c r="Q172" i="9"/>
  <c r="C172" i="9"/>
  <c r="BX172" i="9" s="1"/>
  <c r="U172" i="9"/>
  <c r="AK172" i="9"/>
  <c r="BA172" i="9"/>
  <c r="BR172" i="9"/>
  <c r="CJ172" i="9"/>
  <c r="DD172" i="9"/>
  <c r="DB175" i="9"/>
  <c r="CP175" i="9"/>
  <c r="BF175" i="9"/>
  <c r="AT175" i="9"/>
  <c r="AH175" i="9"/>
  <c r="V175" i="9"/>
  <c r="J175" i="9"/>
  <c r="CZ175" i="9"/>
  <c r="CM175" i="9"/>
  <c r="BM175" i="9"/>
  <c r="AZ175" i="9"/>
  <c r="AM175" i="9"/>
  <c r="Z175" i="9"/>
  <c r="M175" i="9"/>
  <c r="DF175" i="9"/>
  <c r="CR175" i="9"/>
  <c r="BA175" i="9"/>
  <c r="AL175" i="9"/>
  <c r="X175" i="9"/>
  <c r="I175" i="9"/>
  <c r="CV175" i="9"/>
  <c r="BE175" i="9"/>
  <c r="AQ175" i="9"/>
  <c r="AC175" i="9"/>
  <c r="O175" i="9"/>
  <c r="DI175" i="9"/>
  <c r="CU175" i="9"/>
  <c r="BD175" i="9"/>
  <c r="AP175" i="9"/>
  <c r="AB175" i="9"/>
  <c r="N175" i="9"/>
  <c r="DH175" i="9"/>
  <c r="CT175" i="9"/>
  <c r="CF175" i="9"/>
  <c r="BC175" i="9"/>
  <c r="AO175" i="9"/>
  <c r="AA175" i="9"/>
  <c r="L175" i="9"/>
  <c r="U175" i="9"/>
  <c r="AS175" i="9"/>
  <c r="BL175" i="9"/>
  <c r="DD175" i="9"/>
  <c r="BW176" i="9"/>
  <c r="BO177" i="9"/>
  <c r="P178" i="9"/>
  <c r="AN178" i="9"/>
  <c r="BG178" i="9"/>
  <c r="CX178" i="9"/>
  <c r="N179" i="9"/>
  <c r="AF179" i="9"/>
  <c r="BD179" i="9"/>
  <c r="CU179" i="9"/>
  <c r="AC180" i="9"/>
  <c r="AW180" i="9"/>
  <c r="CN180" i="9"/>
  <c r="BR182" i="9"/>
  <c r="CX167" i="9"/>
  <c r="CL167" i="9"/>
  <c r="BZ167" i="9"/>
  <c r="BB167" i="9"/>
  <c r="AP167" i="9"/>
  <c r="AD167" i="9"/>
  <c r="R167" i="9"/>
  <c r="F167" i="9"/>
  <c r="DG167" i="9"/>
  <c r="CT167" i="9"/>
  <c r="CG167" i="9"/>
  <c r="BT167" i="9"/>
  <c r="BG167" i="9"/>
  <c r="AT167" i="9"/>
  <c r="AG167" i="9"/>
  <c r="T167" i="9"/>
  <c r="CW167" i="9"/>
  <c r="CJ167" i="9"/>
  <c r="BJ167" i="9"/>
  <c r="AW167" i="9"/>
  <c r="AJ167" i="9"/>
  <c r="W167" i="9"/>
  <c r="J167" i="9"/>
  <c r="Q167" i="9"/>
  <c r="AH167" i="9"/>
  <c r="AX167" i="9"/>
  <c r="BM167" i="9"/>
  <c r="CC167" i="9"/>
  <c r="CR167" i="9"/>
  <c r="DH167" i="9"/>
  <c r="C170" i="9"/>
  <c r="BQ170" i="9" s="1"/>
  <c r="U170" i="9"/>
  <c r="AM170" i="9"/>
  <c r="BD170" i="9"/>
  <c r="CL170" i="9"/>
  <c r="DB170" i="9"/>
  <c r="E172" i="9"/>
  <c r="V172" i="9"/>
  <c r="AL172" i="9"/>
  <c r="BB172" i="9"/>
  <c r="CN172" i="9"/>
  <c r="DE172" i="9"/>
  <c r="C175" i="9"/>
  <c r="BX175" i="9" s="1"/>
  <c r="W175" i="9"/>
  <c r="AU175" i="9"/>
  <c r="DE175" i="9"/>
  <c r="BX176" i="9"/>
  <c r="CI177" i="9"/>
  <c r="Q178" i="9"/>
  <c r="AO178" i="9"/>
  <c r="BH178" i="9"/>
  <c r="CE178" i="9"/>
  <c r="CY178" i="9"/>
  <c r="O179" i="9"/>
  <c r="AG179" i="9"/>
  <c r="BE179" i="9"/>
  <c r="CV179" i="9"/>
  <c r="H180" i="9"/>
  <c r="AD180" i="9"/>
  <c r="AX180" i="9"/>
  <c r="CO180" i="9"/>
  <c r="BS182" i="9"/>
  <c r="BY176" i="9"/>
  <c r="T178" i="9"/>
  <c r="AP178" i="9"/>
  <c r="BK178" i="9"/>
  <c r="DA178" i="9"/>
  <c r="P179" i="9"/>
  <c r="AI179" i="9"/>
  <c r="BG179" i="9"/>
  <c r="BY179" i="9"/>
  <c r="CW179" i="9"/>
  <c r="I180" i="9"/>
  <c r="AG180" i="9"/>
  <c r="AY180" i="9"/>
  <c r="BZ176" i="9"/>
  <c r="X178" i="9"/>
  <c r="AQ178" i="9"/>
  <c r="BO178" i="9"/>
  <c r="Q179" i="9"/>
  <c r="AK179" i="9"/>
  <c r="BH179" i="9"/>
  <c r="CX179" i="9"/>
  <c r="CB176" i="9"/>
  <c r="DE178" i="9"/>
  <c r="CS178" i="9"/>
  <c r="BU178" i="9"/>
  <c r="BI178" i="9"/>
  <c r="AW178" i="9"/>
  <c r="AK178" i="9"/>
  <c r="Y178" i="9"/>
  <c r="M178" i="9"/>
  <c r="DG178" i="9"/>
  <c r="CT178" i="9"/>
  <c r="CF178" i="9"/>
  <c r="BF178" i="9"/>
  <c r="AS178" i="9"/>
  <c r="AF178" i="9"/>
  <c r="S178" i="9"/>
  <c r="F178" i="9"/>
  <c r="CZ178" i="9"/>
  <c r="CL178" i="9"/>
  <c r="BJ178" i="9"/>
  <c r="AU178" i="9"/>
  <c r="AG178" i="9"/>
  <c r="R178" i="9"/>
  <c r="C178" i="9"/>
  <c r="CG178" i="9" s="1"/>
  <c r="DD178" i="9"/>
  <c r="CP178" i="9"/>
  <c r="AZ178" i="9"/>
  <c r="AL178" i="9"/>
  <c r="W178" i="9"/>
  <c r="I178" i="9"/>
  <c r="DC178" i="9"/>
  <c r="CO178" i="9"/>
  <c r="BM178" i="9"/>
  <c r="AY178" i="9"/>
  <c r="AJ178" i="9"/>
  <c r="V178" i="9"/>
  <c r="H178" i="9"/>
  <c r="DB178" i="9"/>
  <c r="CN178" i="9"/>
  <c r="BL178" i="9"/>
  <c r="AX178" i="9"/>
  <c r="AI178" i="9"/>
  <c r="U178" i="9"/>
  <c r="Z178" i="9"/>
  <c r="AR178" i="9"/>
  <c r="BP178" i="9"/>
  <c r="DH178" i="9"/>
  <c r="CC176" i="9"/>
  <c r="E178" i="9"/>
  <c r="AA178" i="9"/>
  <c r="AT178" i="9"/>
  <c r="DI178" i="9"/>
  <c r="S179" i="9"/>
  <c r="AQ179" i="9"/>
  <c r="BJ179" i="9"/>
  <c r="CD176" i="9"/>
  <c r="AB178" i="9"/>
  <c r="AV178" i="9"/>
  <c r="CM178" i="9"/>
  <c r="DB179" i="9"/>
  <c r="CP179" i="9"/>
  <c r="BF179" i="9"/>
  <c r="AT179" i="9"/>
  <c r="AH179" i="9"/>
  <c r="V179" i="9"/>
  <c r="J179" i="9"/>
  <c r="CZ179" i="9"/>
  <c r="CM179" i="9"/>
  <c r="BZ179" i="9"/>
  <c r="BM179" i="9"/>
  <c r="AZ179" i="9"/>
  <c r="AM179" i="9"/>
  <c r="Z179" i="9"/>
  <c r="M179" i="9"/>
  <c r="DD179" i="9"/>
  <c r="CO179" i="9"/>
  <c r="CA179" i="9"/>
  <c r="BL179" i="9"/>
  <c r="AX179" i="9"/>
  <c r="BX179" i="9" s="1"/>
  <c r="AJ179" i="9"/>
  <c r="U179" i="9"/>
  <c r="DH179" i="9"/>
  <c r="CT179" i="9"/>
  <c r="BC179" i="9"/>
  <c r="AO179" i="9"/>
  <c r="AA179" i="9"/>
  <c r="L179" i="9"/>
  <c r="DG179" i="9"/>
  <c r="CS179" i="9"/>
  <c r="CE179" i="9"/>
  <c r="BP179" i="9"/>
  <c r="BB179" i="9"/>
  <c r="AN179" i="9"/>
  <c r="Y179" i="9"/>
  <c r="K179" i="9"/>
  <c r="DF179" i="9"/>
  <c r="CR179" i="9"/>
  <c r="CC179" i="9"/>
  <c r="BO179" i="9"/>
  <c r="BA179" i="9"/>
  <c r="AL179" i="9"/>
  <c r="X179" i="9"/>
  <c r="I179" i="9"/>
  <c r="T179" i="9"/>
  <c r="AR179" i="9"/>
  <c r="BK179" i="9"/>
  <c r="DC179" i="9"/>
  <c r="CH182" i="9"/>
  <c r="CG176" i="9"/>
  <c r="CB177" i="9"/>
  <c r="J178" i="9"/>
  <c r="AC178" i="9"/>
  <c r="BA178" i="9"/>
  <c r="BT178" i="9"/>
  <c r="CQ178" i="9"/>
  <c r="C179" i="9"/>
  <c r="W179" i="9"/>
  <c r="AS179" i="9"/>
  <c r="CJ179" i="9"/>
  <c r="DE179" i="9"/>
  <c r="CI182" i="9"/>
  <c r="CK176" i="9"/>
  <c r="K178" i="9"/>
  <c r="AD178" i="9"/>
  <c r="BB178" i="9"/>
  <c r="CR178" i="9"/>
  <c r="E179" i="9"/>
  <c r="AB179" i="9"/>
  <c r="AU179" i="9"/>
  <c r="BS179" i="9"/>
  <c r="CK179" i="9"/>
  <c r="DI179" i="9"/>
  <c r="L178" i="9"/>
  <c r="AE178" i="9"/>
  <c r="BC178" i="9"/>
  <c r="BW178" i="9"/>
  <c r="CU178" i="9"/>
  <c r="F179" i="9"/>
  <c r="AC179" i="9"/>
  <c r="AV179" i="9"/>
  <c r="BT179" i="9"/>
  <c r="CL179" i="9"/>
  <c r="CY180" i="9"/>
  <c r="CM180" i="9"/>
  <c r="BC180" i="9"/>
  <c r="AQ180" i="9"/>
  <c r="AE180" i="9"/>
  <c r="S180" i="9"/>
  <c r="DF180" i="9"/>
  <c r="CS180" i="9"/>
  <c r="BF180" i="9"/>
  <c r="AS180" i="9"/>
  <c r="AF180" i="9"/>
  <c r="R180" i="9"/>
  <c r="F180" i="9"/>
  <c r="DE180" i="9"/>
  <c r="CQ180" i="9"/>
  <c r="AZ180" i="9"/>
  <c r="AL180" i="9"/>
  <c r="X180" i="9"/>
  <c r="J180" i="9"/>
  <c r="CV180" i="9"/>
  <c r="BE180" i="9"/>
  <c r="AP180" i="9"/>
  <c r="AB180" i="9"/>
  <c r="N180" i="9"/>
  <c r="DI180" i="9"/>
  <c r="CU180" i="9"/>
  <c r="BD180" i="9"/>
  <c r="AO180" i="9"/>
  <c r="AA180" i="9"/>
  <c r="M180" i="9"/>
  <c r="DH180" i="9"/>
  <c r="CT180" i="9"/>
  <c r="BB180" i="9"/>
  <c r="AN180" i="9"/>
  <c r="Z180" i="9"/>
  <c r="L180" i="9"/>
  <c r="V180" i="9"/>
  <c r="AT180" i="9"/>
  <c r="BL180" i="9"/>
  <c r="DC180" i="9"/>
  <c r="N165" i="9"/>
  <c r="AA165" i="9"/>
  <c r="AO165" i="9"/>
  <c r="BB165" i="9"/>
  <c r="BO165" i="9"/>
  <c r="CB165" i="9"/>
  <c r="CO165" i="9"/>
  <c r="DC165" i="9"/>
  <c r="N167" i="9"/>
  <c r="AC167" i="9"/>
  <c r="AS167" i="9"/>
  <c r="BI167" i="9"/>
  <c r="BY167" i="9"/>
  <c r="CO167" i="9"/>
  <c r="DD167" i="9"/>
  <c r="Q170" i="9"/>
  <c r="AH170" i="9"/>
  <c r="AY170" i="9"/>
  <c r="BP170" i="9"/>
  <c r="CY170" i="9"/>
  <c r="P172" i="9"/>
  <c r="AI172" i="9"/>
  <c r="AY172" i="9"/>
  <c r="BP172" i="9"/>
  <c r="CG172" i="9"/>
  <c r="DB172" i="9"/>
  <c r="DE174" i="9"/>
  <c r="CS174" i="9"/>
  <c r="BI174" i="9"/>
  <c r="AW174" i="9"/>
  <c r="AK174" i="9"/>
  <c r="Y174" i="9"/>
  <c r="M174" i="9"/>
  <c r="DG174" i="9"/>
  <c r="CT174" i="9"/>
  <c r="CF174" i="9"/>
  <c r="BF174" i="9"/>
  <c r="AS174" i="9"/>
  <c r="AF174" i="9"/>
  <c r="S174" i="9"/>
  <c r="F174" i="9"/>
  <c r="DB174" i="9"/>
  <c r="CN174" i="9"/>
  <c r="BL174" i="9"/>
  <c r="AX174" i="9"/>
  <c r="BS174" i="9" s="1"/>
  <c r="AI174" i="9"/>
  <c r="U174" i="9"/>
  <c r="DH174" i="9"/>
  <c r="CR174" i="9"/>
  <c r="BB174" i="9"/>
  <c r="AN174" i="9"/>
  <c r="Z174" i="9"/>
  <c r="K174" i="9"/>
  <c r="DF174" i="9"/>
  <c r="CQ174" i="9"/>
  <c r="CC174" i="9"/>
  <c r="BA174" i="9"/>
  <c r="AM174" i="9"/>
  <c r="X174" i="9"/>
  <c r="J174" i="9"/>
  <c r="DD174" i="9"/>
  <c r="CP174" i="9"/>
  <c r="CB174" i="9"/>
  <c r="AZ174" i="9"/>
  <c r="AL174" i="9"/>
  <c r="W174" i="9"/>
  <c r="I174" i="9"/>
  <c r="V174" i="9"/>
  <c r="AR174" i="9"/>
  <c r="BM174" i="9"/>
  <c r="DC174" i="9"/>
  <c r="S175" i="9"/>
  <c r="AN175" i="9"/>
  <c r="BJ175" i="9"/>
  <c r="DA175" i="9"/>
  <c r="CH176" i="9"/>
  <c r="BT176" i="9"/>
  <c r="BP176" i="9"/>
  <c r="N178" i="9"/>
  <c r="AH178" i="9"/>
  <c r="BD178" i="9"/>
  <c r="CV178" i="9"/>
  <c r="AD179" i="9"/>
  <c r="AW179" i="9"/>
  <c r="BU179" i="9"/>
  <c r="CN179" i="9"/>
  <c r="C180" i="9"/>
  <c r="W180" i="9"/>
  <c r="AU180" i="9"/>
  <c r="BM180" i="9"/>
  <c r="DD180" i="9"/>
  <c r="X182" i="9"/>
  <c r="AN182" i="9"/>
  <c r="BG182" i="9"/>
  <c r="CP182" i="9"/>
  <c r="DF182" i="9"/>
  <c r="Y184" i="9"/>
  <c r="AQ184" i="9"/>
  <c r="BH184" i="9"/>
  <c r="CA184" i="9"/>
  <c r="DB185" i="9"/>
  <c r="DH177" i="9"/>
  <c r="CV177" i="9"/>
  <c r="CJ177" i="9"/>
  <c r="BL177" i="9"/>
  <c r="AZ177" i="9"/>
  <c r="AN177" i="9"/>
  <c r="AB177" i="9"/>
  <c r="P177" i="9"/>
  <c r="C177" i="9"/>
  <c r="CD177" i="9" s="1"/>
  <c r="CZ177" i="9"/>
  <c r="CM177" i="9"/>
  <c r="BM177" i="9"/>
  <c r="AY177" i="9"/>
  <c r="AL177" i="9"/>
  <c r="Y177" i="9"/>
  <c r="L177" i="9"/>
  <c r="R177" i="9"/>
  <c r="AF177" i="9"/>
  <c r="AT177" i="9"/>
  <c r="BH177" i="9"/>
  <c r="CY177" i="9"/>
  <c r="O181" i="9"/>
  <c r="AD181" i="9"/>
  <c r="AR181" i="9"/>
  <c r="BF181" i="9"/>
  <c r="BT181" i="9"/>
  <c r="CX181" i="9"/>
  <c r="I182" i="9"/>
  <c r="Y182" i="9"/>
  <c r="AQ182" i="9"/>
  <c r="BH182" i="9"/>
  <c r="CQ182" i="9"/>
  <c r="DG182" i="9"/>
  <c r="R183" i="9"/>
  <c r="AH183" i="9"/>
  <c r="AY183" i="9"/>
  <c r="BQ183" i="9"/>
  <c r="CY183" i="9"/>
  <c r="I184" i="9"/>
  <c r="AA184" i="9"/>
  <c r="AR184" i="9"/>
  <c r="BI184" i="9"/>
  <c r="CB184" i="9"/>
  <c r="DD185" i="9"/>
  <c r="DA166" i="9"/>
  <c r="CO166" i="9"/>
  <c r="CC166" i="9"/>
  <c r="BQ166" i="9"/>
  <c r="BE166" i="9"/>
  <c r="AS166" i="9"/>
  <c r="AG166" i="9"/>
  <c r="U166" i="9"/>
  <c r="I166" i="9"/>
  <c r="P166" i="9"/>
  <c r="AC166" i="9"/>
  <c r="AP166" i="9"/>
  <c r="BC166" i="9"/>
  <c r="BP166" i="9"/>
  <c r="CD166" i="9"/>
  <c r="CQ166" i="9"/>
  <c r="DD166" i="9"/>
  <c r="U173" i="9"/>
  <c r="AI173" i="9"/>
  <c r="AW173" i="9"/>
  <c r="BK173" i="9"/>
  <c r="CO173" i="9"/>
  <c r="O176" i="9"/>
  <c r="AC176" i="9"/>
  <c r="AR176" i="9"/>
  <c r="BG176" i="9"/>
  <c r="BU176" i="9"/>
  <c r="CI176" i="9"/>
  <c r="E177" i="9"/>
  <c r="S177" i="9"/>
  <c r="AG177" i="9"/>
  <c r="AU177" i="9"/>
  <c r="BI177" i="9"/>
  <c r="BW177" i="9"/>
  <c r="CL177" i="9"/>
  <c r="DA177" i="9"/>
  <c r="Q181" i="9"/>
  <c r="AE181" i="9"/>
  <c r="AS181" i="9"/>
  <c r="BG181" i="9"/>
  <c r="J182" i="9"/>
  <c r="AA182" i="9"/>
  <c r="AS182" i="9"/>
  <c r="BI182" i="9"/>
  <c r="CR182" i="9"/>
  <c r="DH182" i="9"/>
  <c r="S183" i="9"/>
  <c r="AI183" i="9"/>
  <c r="BB183" i="9"/>
  <c r="BR183" i="9"/>
  <c r="CI183" i="9"/>
  <c r="J184" i="9"/>
  <c r="AC184" i="9"/>
  <c r="AS184" i="9"/>
  <c r="BK184" i="9"/>
  <c r="CC184" i="9"/>
  <c r="DF185" i="9"/>
  <c r="CY176" i="9"/>
  <c r="CM176" i="9"/>
  <c r="CA176" i="9"/>
  <c r="BO176" i="9"/>
  <c r="BC176" i="9"/>
  <c r="AQ176" i="9"/>
  <c r="AE176" i="9"/>
  <c r="S176" i="9"/>
  <c r="DF176" i="9"/>
  <c r="CS176" i="9"/>
  <c r="CF176" i="9"/>
  <c r="BS176" i="9"/>
  <c r="BF176" i="9"/>
  <c r="AS176" i="9"/>
  <c r="AF176" i="9"/>
  <c r="R176" i="9"/>
  <c r="F176" i="9"/>
  <c r="P176" i="9"/>
  <c r="AD176" i="9"/>
  <c r="AT176" i="9"/>
  <c r="BH176" i="9"/>
  <c r="BV176" i="9"/>
  <c r="CJ176" i="9"/>
  <c r="CX176" i="9"/>
  <c r="F177" i="9"/>
  <c r="T177" i="9"/>
  <c r="AH177" i="9"/>
  <c r="AV177" i="9"/>
  <c r="BJ177" i="9"/>
  <c r="CN177" i="9"/>
  <c r="DB177" i="9"/>
  <c r="CZ181" i="9"/>
  <c r="DC181" i="9"/>
  <c r="CQ181" i="9"/>
  <c r="CW181" i="9"/>
  <c r="BL181" i="9"/>
  <c r="AZ181" i="9"/>
  <c r="AN181" i="9"/>
  <c r="AB181" i="9"/>
  <c r="P181" i="9"/>
  <c r="C181" i="9"/>
  <c r="CD181" i="9" s="1"/>
  <c r="DB181" i="9"/>
  <c r="CM181" i="9"/>
  <c r="BZ181" i="9"/>
  <c r="BM181" i="9"/>
  <c r="AY181" i="9"/>
  <c r="AL181" i="9"/>
  <c r="Y181" i="9"/>
  <c r="L181" i="9"/>
  <c r="R181" i="9"/>
  <c r="AF181" i="9"/>
  <c r="AT181" i="9"/>
  <c r="BH181" i="9"/>
  <c r="DA181" i="9"/>
  <c r="L182" i="9"/>
  <c r="AB182" i="9"/>
  <c r="AT182" i="9"/>
  <c r="BK182" i="9"/>
  <c r="CC182" i="9"/>
  <c r="DF183" i="9"/>
  <c r="CT183" i="9"/>
  <c r="BV183" i="9"/>
  <c r="BJ183" i="9"/>
  <c r="AX183" i="9"/>
  <c r="CG183" i="9" s="1"/>
  <c r="AL183" i="9"/>
  <c r="Z183" i="9"/>
  <c r="N183" i="9"/>
  <c r="DI183" i="9"/>
  <c r="CW183" i="9"/>
  <c r="CK183" i="9"/>
  <c r="BM183" i="9"/>
  <c r="BA183" i="9"/>
  <c r="AO183" i="9"/>
  <c r="AC183" i="9"/>
  <c r="Q183" i="9"/>
  <c r="E183" i="9"/>
  <c r="DE183" i="9"/>
  <c r="CQ183" i="9"/>
  <c r="CC183" i="9"/>
  <c r="BO183" i="9"/>
  <c r="AZ183" i="9"/>
  <c r="AK183" i="9"/>
  <c r="W183" i="9"/>
  <c r="I183" i="9"/>
  <c r="CZ183" i="9"/>
  <c r="BT183" i="9"/>
  <c r="BE183" i="9"/>
  <c r="AP183" i="9"/>
  <c r="Y183" i="9"/>
  <c r="J183" i="9"/>
  <c r="T183" i="9"/>
  <c r="AJ183" i="9"/>
  <c r="BC183" i="9"/>
  <c r="CL183" i="9"/>
  <c r="DB183" i="9"/>
  <c r="L184" i="9"/>
  <c r="AD184" i="9"/>
  <c r="AT184" i="9"/>
  <c r="BM184" i="9"/>
  <c r="CD184" i="9"/>
  <c r="DI185" i="9"/>
  <c r="O184" i="9"/>
  <c r="AE184" i="9"/>
  <c r="AV184" i="9"/>
  <c r="BN184" i="9"/>
  <c r="CF184" i="9"/>
  <c r="P184" i="9"/>
  <c r="AF184" i="9"/>
  <c r="AW184" i="9"/>
  <c r="BO184" i="9"/>
  <c r="CG184" i="9"/>
  <c r="CL185" i="9"/>
  <c r="Q184" i="9"/>
  <c r="AG184" i="9"/>
  <c r="AY184" i="9"/>
  <c r="BP184" i="9"/>
  <c r="CI184" i="9"/>
  <c r="CO185" i="9"/>
  <c r="R184" i="9"/>
  <c r="AH184" i="9"/>
  <c r="AZ184" i="9"/>
  <c r="BQ184" i="9"/>
  <c r="CP185" i="9"/>
  <c r="CE184" i="9"/>
  <c r="BS184" i="9"/>
  <c r="BG184" i="9"/>
  <c r="AU184" i="9"/>
  <c r="AI184" i="9"/>
  <c r="W184" i="9"/>
  <c r="K184" i="9"/>
  <c r="CJ184" i="9"/>
  <c r="BX184" i="9"/>
  <c r="BL184" i="9"/>
  <c r="CH184" i="9"/>
  <c r="BV184" i="9"/>
  <c r="BJ184" i="9"/>
  <c r="AX184" i="9"/>
  <c r="AL184" i="9"/>
  <c r="Z184" i="9"/>
  <c r="N184" i="9"/>
  <c r="CK184" i="9"/>
  <c r="BT184" i="9"/>
  <c r="BD184" i="9"/>
  <c r="AP184" i="9"/>
  <c r="AB184" i="9"/>
  <c r="M184" i="9"/>
  <c r="BU184" i="9"/>
  <c r="BC184" i="9"/>
  <c r="AN184" i="9"/>
  <c r="X184" i="9"/>
  <c r="H184" i="9"/>
  <c r="S184" i="9"/>
  <c r="AJ184" i="9"/>
  <c r="BA184" i="9"/>
  <c r="BR184" i="9"/>
  <c r="DG185" i="9"/>
  <c r="CM185" i="9"/>
  <c r="CT185" i="9"/>
  <c r="CR185" i="9"/>
  <c r="DH185" i="9"/>
  <c r="CW185" i="9"/>
  <c r="DI182" i="9"/>
  <c r="CW182" i="9"/>
  <c r="BY182" i="9"/>
  <c r="BM182" i="9"/>
  <c r="BA182" i="9"/>
  <c r="AO182" i="9"/>
  <c r="AC182" i="9"/>
  <c r="Q182" i="9"/>
  <c r="E182" i="9"/>
  <c r="CZ182" i="9"/>
  <c r="CN182" i="9"/>
  <c r="CB182" i="9"/>
  <c r="BP182" i="9"/>
  <c r="BD182" i="9"/>
  <c r="AR182" i="9"/>
  <c r="AF182" i="9"/>
  <c r="T182" i="9"/>
  <c r="H182" i="9"/>
  <c r="DB182" i="9"/>
  <c r="CM182" i="9"/>
  <c r="BX182" i="9"/>
  <c r="BJ182" i="9"/>
  <c r="AV182" i="9"/>
  <c r="AH182" i="9"/>
  <c r="S182" i="9"/>
  <c r="C182" i="9"/>
  <c r="BQ182" i="9" s="1"/>
  <c r="DA182" i="9"/>
  <c r="CJ182" i="9"/>
  <c r="BU182" i="9"/>
  <c r="BF182" i="9"/>
  <c r="AP182" i="9"/>
  <c r="Z182" i="9"/>
  <c r="K182" i="9"/>
  <c r="V182" i="9"/>
  <c r="AL182" i="9"/>
  <c r="BC182" i="9"/>
  <c r="BT182" i="9"/>
  <c r="CL182" i="9"/>
  <c r="DD182" i="9"/>
  <c r="E184" i="9"/>
  <c r="U184" i="9"/>
  <c r="AM184" i="9"/>
  <c r="BE184" i="9"/>
  <c r="BY184" i="9"/>
  <c r="DA185" i="9"/>
  <c r="CX185" i="9"/>
  <c r="DH173" i="9"/>
  <c r="CV173" i="9"/>
  <c r="BL173" i="9"/>
  <c r="AZ173" i="9"/>
  <c r="AN173" i="9"/>
  <c r="AB173" i="9"/>
  <c r="P173" i="9"/>
  <c r="C173" i="9"/>
  <c r="CB173" i="9" s="1"/>
  <c r="CZ173" i="9"/>
  <c r="CM173" i="9"/>
  <c r="BM173" i="9"/>
  <c r="AY173" i="9"/>
  <c r="AL173" i="9"/>
  <c r="Y173" i="9"/>
  <c r="L173" i="9"/>
  <c r="R173" i="9"/>
  <c r="AF173" i="9"/>
  <c r="AT173" i="9"/>
  <c r="BH173" i="9"/>
  <c r="CY173" i="9"/>
  <c r="L176" i="9"/>
  <c r="Z176" i="9"/>
  <c r="AN176" i="9"/>
  <c r="BB176" i="9"/>
  <c r="BQ176" i="9"/>
  <c r="CE176" i="9"/>
  <c r="CT176" i="9"/>
  <c r="DH176" i="9"/>
  <c r="O177" i="9"/>
  <c r="AD177" i="9"/>
  <c r="AR177" i="9"/>
  <c r="BF177" i="9"/>
  <c r="BT177" i="9"/>
  <c r="CW177" i="9"/>
  <c r="M181" i="9"/>
  <c r="AA181" i="9"/>
  <c r="AP181" i="9"/>
  <c r="BD181" i="9"/>
  <c r="BR181" i="9"/>
  <c r="CF181" i="9"/>
  <c r="CU181" i="9"/>
  <c r="F182" i="9"/>
  <c r="W182" i="9"/>
  <c r="AM182" i="9"/>
  <c r="BE182" i="9"/>
  <c r="BV182" i="9"/>
  <c r="CO182" i="9"/>
  <c r="DE182" i="9"/>
  <c r="O183" i="9"/>
  <c r="AF183" i="9"/>
  <c r="AV183" i="9"/>
  <c r="BN183" i="9"/>
  <c r="CV183" i="9"/>
  <c r="F184" i="9"/>
  <c r="V184" i="9"/>
  <c r="AO184" i="9"/>
  <c r="BF184" i="9"/>
  <c r="DH184" i="9" s="1"/>
  <c r="BZ184" i="9"/>
  <c r="CY185" i="9"/>
  <c r="DF187" i="9"/>
  <c r="CT187" i="9"/>
  <c r="CH187" i="9"/>
  <c r="BV187" i="9"/>
  <c r="BJ187" i="9"/>
  <c r="AX187" i="9"/>
  <c r="AL187" i="9"/>
  <c r="Z187" i="9"/>
  <c r="N187" i="9"/>
  <c r="DE187" i="9"/>
  <c r="CS187" i="9"/>
  <c r="CG187" i="9"/>
  <c r="BU187" i="9"/>
  <c r="CY187" i="9"/>
  <c r="CM187" i="9"/>
  <c r="CA187" i="9"/>
  <c r="BO187" i="9"/>
  <c r="BC187" i="9"/>
  <c r="AQ187" i="9"/>
  <c r="AE187" i="9"/>
  <c r="S187" i="9"/>
  <c r="DI187" i="9"/>
  <c r="CW187" i="9"/>
  <c r="CK187" i="9"/>
  <c r="BY187" i="9"/>
  <c r="BM187" i="9"/>
  <c r="BA187" i="9"/>
  <c r="AO187" i="9"/>
  <c r="AC187" i="9"/>
  <c r="Q187" i="9"/>
  <c r="E187" i="9"/>
  <c r="CF187" i="9"/>
  <c r="BP187" i="9"/>
  <c r="AY187" i="9"/>
  <c r="AI187" i="9"/>
  <c r="T187" i="9"/>
  <c r="C187" i="9"/>
  <c r="DG187" i="9"/>
  <c r="BW187" i="9"/>
  <c r="BF187" i="9"/>
  <c r="AP187" i="9"/>
  <c r="Y187" i="9"/>
  <c r="J187" i="9"/>
  <c r="V187" i="9"/>
  <c r="AN187" i="9"/>
  <c r="BH187" i="9"/>
  <c r="CC187" i="9"/>
  <c r="CX187" i="9"/>
  <c r="AX189" i="9"/>
  <c r="BJ189" i="9"/>
  <c r="X187" i="9"/>
  <c r="AS187" i="9"/>
  <c r="BK187" i="9"/>
  <c r="CE187" i="9"/>
  <c r="DB187" i="9"/>
  <c r="BL189" i="9"/>
  <c r="H187" i="9"/>
  <c r="AA187" i="9"/>
  <c r="AT187" i="9"/>
  <c r="BL187" i="9"/>
  <c r="CI187" i="9"/>
  <c r="CN189" i="9"/>
  <c r="CB189" i="9"/>
  <c r="BP189" i="9"/>
  <c r="BD189" i="9"/>
  <c r="AR189" i="9"/>
  <c r="AF189" i="9"/>
  <c r="T189" i="9"/>
  <c r="H189" i="9"/>
  <c r="CY189" i="9"/>
  <c r="CA189" i="9"/>
  <c r="BO189" i="9"/>
  <c r="BC189" i="9"/>
  <c r="AQ189" i="9"/>
  <c r="AE189" i="9"/>
  <c r="S189" i="9"/>
  <c r="DE189" i="9"/>
  <c r="CS189" i="9"/>
  <c r="CG189" i="9"/>
  <c r="BU189" i="9"/>
  <c r="BI189" i="9"/>
  <c r="AW189" i="9"/>
  <c r="AK189" i="9"/>
  <c r="Y189" i="9"/>
  <c r="M189" i="9"/>
  <c r="CR189" i="9"/>
  <c r="CF189" i="9"/>
  <c r="BT189" i="9"/>
  <c r="BH189" i="9"/>
  <c r="AV189" i="9"/>
  <c r="AJ189" i="9"/>
  <c r="X189" i="9"/>
  <c r="L189" i="9"/>
  <c r="CE189" i="9"/>
  <c r="BS189" i="9"/>
  <c r="BG189" i="9"/>
  <c r="AU189" i="9"/>
  <c r="AI189" i="9"/>
  <c r="W189" i="9"/>
  <c r="K189" i="9"/>
  <c r="DB189" i="9"/>
  <c r="CP189" i="9"/>
  <c r="CD189" i="9"/>
  <c r="BR189" i="9"/>
  <c r="BF189" i="9"/>
  <c r="DD189" i="9" s="1"/>
  <c r="AT189" i="9"/>
  <c r="AH189" i="9"/>
  <c r="V189" i="9"/>
  <c r="J189" i="9"/>
  <c r="CO189" i="9"/>
  <c r="BQ189" i="9"/>
  <c r="AS189" i="9"/>
  <c r="U189" i="9"/>
  <c r="CL189" i="9"/>
  <c r="BN189" i="9"/>
  <c r="AP189" i="9"/>
  <c r="R189" i="9"/>
  <c r="DI189" i="9"/>
  <c r="CK189" i="9"/>
  <c r="BM189" i="9"/>
  <c r="AO189" i="9"/>
  <c r="Q189" i="9"/>
  <c r="DG189" i="9"/>
  <c r="CI189" i="9"/>
  <c r="BK189" i="9"/>
  <c r="AM189" i="9"/>
  <c r="O189" i="9"/>
  <c r="CC189" i="9"/>
  <c r="BE189" i="9"/>
  <c r="AG189" i="9"/>
  <c r="I189" i="9"/>
  <c r="CX189" i="9"/>
  <c r="BZ189" i="9"/>
  <c r="BB189" i="9"/>
  <c r="AD189" i="9"/>
  <c r="CW189" i="9"/>
  <c r="BY189" i="9"/>
  <c r="BA189" i="9"/>
  <c r="AC189" i="9"/>
  <c r="F189" i="9"/>
  <c r="CV189" i="9"/>
  <c r="BX189" i="9"/>
  <c r="AZ189" i="9"/>
  <c r="AB189" i="9"/>
  <c r="E189" i="9"/>
  <c r="CU189" i="9"/>
  <c r="BW189" i="9"/>
  <c r="AY189" i="9"/>
  <c r="AA189" i="9"/>
  <c r="C189" i="9"/>
  <c r="CJ189" i="9"/>
  <c r="CT189" i="9"/>
  <c r="N189" i="9"/>
  <c r="DF189" i="9"/>
  <c r="P189" i="9"/>
  <c r="DH189" i="9"/>
  <c r="AL189" i="9"/>
  <c r="O168" i="9"/>
  <c r="AA168" i="9"/>
  <c r="AM168" i="9"/>
  <c r="AY168" i="9"/>
  <c r="BK168" i="9"/>
  <c r="BW168" i="9"/>
  <c r="CI168" i="9"/>
  <c r="CU168" i="9"/>
  <c r="U187" i="9"/>
  <c r="AM187" i="9"/>
  <c r="BG187" i="9"/>
  <c r="CB187" i="9"/>
  <c r="CV187" i="9"/>
  <c r="AN189" i="9"/>
  <c r="I185" i="9"/>
  <c r="Z185" i="9"/>
  <c r="AO185" i="9"/>
  <c r="BE185" i="9"/>
  <c r="BV185" i="9"/>
  <c r="CK185" i="9"/>
  <c r="K186" i="9"/>
  <c r="Z186" i="9"/>
  <c r="AP186" i="9"/>
  <c r="BG186" i="9"/>
  <c r="BV186" i="9"/>
  <c r="CL186" i="9"/>
  <c r="L190" i="9"/>
  <c r="AJ190" i="9"/>
  <c r="BH190" i="9"/>
  <c r="CF190" i="9"/>
  <c r="M190" i="9"/>
  <c r="AK190" i="9"/>
  <c r="BI190" i="9"/>
  <c r="CG190" i="9"/>
  <c r="N190" i="9"/>
  <c r="AL190" i="9"/>
  <c r="BJ190" i="9"/>
  <c r="CH190" i="9"/>
  <c r="O190" i="9"/>
  <c r="AM190" i="9"/>
  <c r="BK190" i="9"/>
  <c r="CI190" i="9"/>
  <c r="W190" i="9"/>
  <c r="AU190" i="9"/>
  <c r="BS190" i="9"/>
  <c r="CZ185" i="9"/>
  <c r="CN185" i="9"/>
  <c r="CB185" i="9"/>
  <c r="BP185" i="9"/>
  <c r="BD185" i="9"/>
  <c r="AR185" i="9"/>
  <c r="AF185" i="9"/>
  <c r="T185" i="9"/>
  <c r="H185" i="9"/>
  <c r="DE185" i="9"/>
  <c r="CS185" i="9"/>
  <c r="CG185" i="9"/>
  <c r="BU185" i="9"/>
  <c r="BI185" i="9"/>
  <c r="AW185" i="9"/>
  <c r="AK185" i="9"/>
  <c r="Y185" i="9"/>
  <c r="M185" i="9"/>
  <c r="DC185" i="9"/>
  <c r="CQ185" i="9"/>
  <c r="CE185" i="9"/>
  <c r="BS185" i="9"/>
  <c r="BG185" i="9"/>
  <c r="AU185" i="9"/>
  <c r="AI185" i="9"/>
  <c r="W185" i="9"/>
  <c r="K185" i="9"/>
  <c r="R185" i="9"/>
  <c r="AH185" i="9"/>
  <c r="AY185" i="9"/>
  <c r="BN185" i="9"/>
  <c r="CD185" i="9"/>
  <c r="CU185" i="9"/>
  <c r="DI186" i="9"/>
  <c r="CK186" i="9"/>
  <c r="BY186" i="9"/>
  <c r="BM186" i="9"/>
  <c r="BA186" i="9"/>
  <c r="AO186" i="9"/>
  <c r="AC186" i="9"/>
  <c r="Q186" i="9"/>
  <c r="E186" i="9"/>
  <c r="DB186" i="9"/>
  <c r="CD186" i="9"/>
  <c r="BR186" i="9"/>
  <c r="BF186" i="9"/>
  <c r="AT186" i="9"/>
  <c r="AH186" i="9"/>
  <c r="V186" i="9"/>
  <c r="J186" i="9"/>
  <c r="CB186" i="9"/>
  <c r="BP186" i="9"/>
  <c r="BD186" i="9"/>
  <c r="AR186" i="9"/>
  <c r="AF186" i="9"/>
  <c r="T186" i="9"/>
  <c r="H186" i="9"/>
  <c r="S186" i="9"/>
  <c r="AJ186" i="9"/>
  <c r="AY186" i="9"/>
  <c r="BO186" i="9"/>
  <c r="CF186" i="9"/>
  <c r="Y190" i="9"/>
  <c r="AW190" i="9"/>
  <c r="BU190" i="9"/>
  <c r="CK190" i="9"/>
  <c r="BY190" i="9"/>
  <c r="BM190" i="9"/>
  <c r="BA190" i="9"/>
  <c r="AO190" i="9"/>
  <c r="AC190" i="9"/>
  <c r="Q190" i="9"/>
  <c r="E190" i="9"/>
  <c r="CJ190" i="9"/>
  <c r="BX190" i="9"/>
  <c r="BL190" i="9"/>
  <c r="AZ190" i="9"/>
  <c r="AN190" i="9"/>
  <c r="AB190" i="9"/>
  <c r="P190" i="9"/>
  <c r="C190" i="9"/>
  <c r="CD190" i="9"/>
  <c r="BR190" i="9"/>
  <c r="BF190" i="9"/>
  <c r="CN190" i="9" s="1"/>
  <c r="AT190" i="9"/>
  <c r="AH190" i="9"/>
  <c r="V190" i="9"/>
  <c r="J190" i="9"/>
  <c r="CC190" i="9"/>
  <c r="BQ190" i="9"/>
  <c r="BE190" i="9"/>
  <c r="AS190" i="9"/>
  <c r="AG190" i="9"/>
  <c r="U190" i="9"/>
  <c r="I190" i="9"/>
  <c r="CB190" i="9"/>
  <c r="BP190" i="9"/>
  <c r="BD190" i="9"/>
  <c r="AR190" i="9"/>
  <c r="AF190" i="9"/>
  <c r="T190" i="9"/>
  <c r="H190" i="9"/>
  <c r="CA190" i="9"/>
  <c r="BO190" i="9"/>
  <c r="BC190" i="9"/>
  <c r="AQ190" i="9"/>
  <c r="AE190" i="9"/>
  <c r="S190" i="9"/>
  <c r="Z190" i="9"/>
  <c r="AX190" i="9"/>
  <c r="BV190" i="9"/>
  <c r="F190" i="9"/>
  <c r="AA190" i="9"/>
  <c r="AY190" i="9"/>
  <c r="BW190" i="9"/>
  <c r="M188" i="9"/>
  <c r="Y188" i="9"/>
  <c r="AK188" i="9"/>
  <c r="AW188" i="9"/>
  <c r="BI188" i="9"/>
  <c r="BU188" i="9"/>
  <c r="CG188" i="9"/>
  <c r="N188" i="9"/>
  <c r="Z188" i="9"/>
  <c r="AL188" i="9"/>
  <c r="AX188" i="9"/>
  <c r="BJ188" i="9"/>
  <c r="BV188" i="9"/>
  <c r="CH188" i="9"/>
  <c r="O188" i="9"/>
  <c r="AA188" i="9"/>
  <c r="AM188" i="9"/>
  <c r="AY188" i="9"/>
  <c r="BK188" i="9"/>
  <c r="BW188" i="9"/>
  <c r="CI188" i="9"/>
  <c r="C188" i="9"/>
  <c r="P188" i="9"/>
  <c r="AB188" i="9"/>
  <c r="AN188" i="9"/>
  <c r="AZ188" i="9"/>
  <c r="BL188" i="9"/>
  <c r="BX188" i="9"/>
  <c r="CJ188" i="9"/>
  <c r="J188" i="9"/>
  <c r="V188" i="9"/>
  <c r="AH188" i="9"/>
  <c r="AT188" i="9"/>
  <c r="BF188" i="9"/>
  <c r="CU188" i="9" s="1"/>
  <c r="BR188" i="9"/>
  <c r="CD188" i="9"/>
  <c r="K188" i="9"/>
  <c r="W188" i="9"/>
  <c r="AI188" i="9"/>
  <c r="AU188" i="9"/>
  <c r="BG188" i="9"/>
  <c r="BS188" i="9"/>
  <c r="CE188" i="9"/>
  <c r="CM190" i="9" l="1"/>
  <c r="DB190" i="9"/>
  <c r="DG184" i="9"/>
  <c r="DD184" i="9"/>
  <c r="CJ181" i="9"/>
  <c r="BN173" i="9"/>
  <c r="CE180" i="9"/>
  <c r="BU180" i="9"/>
  <c r="BV180" i="9"/>
  <c r="CC180" i="9"/>
  <c r="BQ180" i="9"/>
  <c r="BN180" i="9"/>
  <c r="CF180" i="9"/>
  <c r="CG180" i="9"/>
  <c r="BS180" i="9"/>
  <c r="BR180" i="9"/>
  <c r="CK180" i="9"/>
  <c r="BW180" i="9"/>
  <c r="CA180" i="9"/>
  <c r="CH180" i="9"/>
  <c r="BO180" i="9"/>
  <c r="BT180" i="9"/>
  <c r="CJ180" i="9"/>
  <c r="BY181" i="9"/>
  <c r="CG103" i="9"/>
  <c r="CD103" i="9"/>
  <c r="CC103" i="9"/>
  <c r="CA103" i="9"/>
  <c r="BY103" i="9"/>
  <c r="BX103" i="9"/>
  <c r="BW103" i="9"/>
  <c r="BU103" i="9"/>
  <c r="BO103" i="9"/>
  <c r="CH103" i="9"/>
  <c r="CI103" i="9"/>
  <c r="BV103" i="9"/>
  <c r="BT103" i="9"/>
  <c r="CB103" i="9"/>
  <c r="CK103" i="9"/>
  <c r="BP103" i="9"/>
  <c r="CE103" i="9"/>
  <c r="BQ103" i="9"/>
  <c r="BS103" i="9"/>
  <c r="BN103" i="9"/>
  <c r="CJ103" i="9"/>
  <c r="BZ103" i="9"/>
  <c r="CF103" i="9"/>
  <c r="DC190" i="9"/>
  <c r="CV190" i="9"/>
  <c r="CN184" i="9"/>
  <c r="CU184" i="9"/>
  <c r="DF184" i="9"/>
  <c r="CX190" i="9"/>
  <c r="CO190" i="9"/>
  <c r="DF190" i="9"/>
  <c r="DI71" i="9"/>
  <c r="DH71" i="9"/>
  <c r="CY71" i="9"/>
  <c r="CR71" i="9"/>
  <c r="CS71" i="9"/>
  <c r="CT71" i="9"/>
  <c r="DF71" i="9"/>
  <c r="DB71" i="9"/>
  <c r="CX71" i="9"/>
  <c r="CO71" i="9"/>
  <c r="CP71" i="9"/>
  <c r="CU71" i="9"/>
  <c r="CV71" i="9"/>
  <c r="DE71" i="9"/>
  <c r="DC71" i="9"/>
  <c r="CQ71" i="9"/>
  <c r="CL71" i="9"/>
  <c r="CW71" i="9"/>
  <c r="DA71" i="9"/>
  <c r="DD71" i="9"/>
  <c r="CM71" i="9"/>
  <c r="CZ71" i="9"/>
  <c r="DF188" i="9"/>
  <c r="CT188" i="9"/>
  <c r="DG188" i="9"/>
  <c r="DG190" i="9"/>
  <c r="BX173" i="9"/>
  <c r="CL184" i="9"/>
  <c r="DD190" i="9"/>
  <c r="CQ188" i="9"/>
  <c r="CS190" i="9"/>
  <c r="DA184" i="9"/>
  <c r="CX184" i="9"/>
  <c r="CA181" i="9"/>
  <c r="BV181" i="9"/>
  <c r="CK181" i="9"/>
  <c r="BN181" i="9"/>
  <c r="BO181" i="9"/>
  <c r="BQ181" i="9"/>
  <c r="CE181" i="9"/>
  <c r="CC181" i="9"/>
  <c r="CG181" i="9"/>
  <c r="BS181" i="9"/>
  <c r="BP181" i="9"/>
  <c r="BW181" i="9"/>
  <c r="CA91" i="9"/>
  <c r="CU190" i="9"/>
  <c r="CQ190" i="9"/>
  <c r="CV184" i="9"/>
  <c r="CI181" i="9"/>
  <c r="CB181" i="9"/>
  <c r="CH145" i="9"/>
  <c r="BP145" i="9"/>
  <c r="CF145" i="9"/>
  <c r="BO145" i="9"/>
  <c r="CE145" i="9"/>
  <c r="BN145" i="9"/>
  <c r="CB145" i="9"/>
  <c r="CA145" i="9"/>
  <c r="BZ145" i="9"/>
  <c r="BY145" i="9"/>
  <c r="BV145" i="9"/>
  <c r="BS145" i="9"/>
  <c r="CI145" i="9"/>
  <c r="BR145" i="9"/>
  <c r="CG145" i="9"/>
  <c r="BT145" i="9"/>
  <c r="BU145" i="9"/>
  <c r="CC145" i="9"/>
  <c r="BQ145" i="9"/>
  <c r="CJ145" i="9"/>
  <c r="BW145" i="9"/>
  <c r="CK145" i="9"/>
  <c r="BX145" i="9"/>
  <c r="CD145" i="9"/>
  <c r="BP91" i="9"/>
  <c r="CI91" i="9"/>
  <c r="BT91" i="9"/>
  <c r="BW91" i="9"/>
  <c r="BR91" i="9"/>
  <c r="BU91" i="9"/>
  <c r="DI188" i="9"/>
  <c r="DD188" i="9"/>
  <c r="DA188" i="9"/>
  <c r="CY188" i="9"/>
  <c r="CW188" i="9"/>
  <c r="CR188" i="9"/>
  <c r="CO188" i="9"/>
  <c r="CN188" i="9"/>
  <c r="CM188" i="9"/>
  <c r="CZ188" i="9"/>
  <c r="CX188" i="9"/>
  <c r="CL188" i="9"/>
  <c r="DH188" i="9"/>
  <c r="DE188" i="9"/>
  <c r="CP188" i="9"/>
  <c r="DB188" i="9"/>
  <c r="DC188" i="9"/>
  <c r="CV188" i="9"/>
  <c r="DH186" i="9"/>
  <c r="CQ186" i="9"/>
  <c r="CV186" i="9"/>
  <c r="CT186" i="9"/>
  <c r="CR186" i="9"/>
  <c r="CM186" i="9"/>
  <c r="DG186" i="9"/>
  <c r="DF186" i="9"/>
  <c r="DE186" i="9"/>
  <c r="DD186" i="9"/>
  <c r="DA186" i="9"/>
  <c r="CY186" i="9"/>
  <c r="CX186" i="9"/>
  <c r="CS186" i="9"/>
  <c r="CO186" i="9"/>
  <c r="CP186" i="9"/>
  <c r="CZ186" i="9"/>
  <c r="DC186" i="9"/>
  <c r="CN186" i="9"/>
  <c r="CU186" i="9"/>
  <c r="CW186" i="9"/>
  <c r="CR184" i="9"/>
  <c r="BU181" i="9"/>
  <c r="CH181" i="9"/>
  <c r="CA33" i="9"/>
  <c r="BZ33" i="9"/>
  <c r="BV33" i="9"/>
  <c r="CE33" i="9"/>
  <c r="CF33" i="9"/>
  <c r="BY33" i="9"/>
  <c r="CD33" i="9"/>
  <c r="BR33" i="9"/>
  <c r="BP33" i="9"/>
  <c r="BN33" i="9"/>
  <c r="CH33" i="9"/>
  <c r="CJ33" i="9"/>
  <c r="BS33" i="9"/>
  <c r="CB33" i="9"/>
  <c r="BX33" i="9"/>
  <c r="BO33" i="9"/>
  <c r="CK33" i="9"/>
  <c r="CC33" i="9"/>
  <c r="BQ33" i="9"/>
  <c r="CG33" i="9"/>
  <c r="CI33" i="9"/>
  <c r="BU33" i="9"/>
  <c r="BT33" i="9"/>
  <c r="DI184" i="9"/>
  <c r="CO184" i="9"/>
  <c r="CY184" i="9"/>
  <c r="CT184" i="9"/>
  <c r="CW184" i="9"/>
  <c r="DE184" i="9"/>
  <c r="CS184" i="9"/>
  <c r="CZ184" i="9"/>
  <c r="DC184" i="9"/>
  <c r="CQ184" i="9"/>
  <c r="CP184" i="9"/>
  <c r="CR190" i="9"/>
  <c r="CL190" i="9"/>
  <c r="DH190" i="9"/>
  <c r="DE190" i="9"/>
  <c r="DA190" i="9"/>
  <c r="CZ190" i="9"/>
  <c r="CS188" i="9"/>
  <c r="CW190" i="9"/>
  <c r="CC173" i="9"/>
  <c r="BY173" i="9"/>
  <c r="CG173" i="9"/>
  <c r="BP173" i="9"/>
  <c r="CF173" i="9"/>
  <c r="BO173" i="9"/>
  <c r="CE173" i="9"/>
  <c r="BT173" i="9"/>
  <c r="BS173" i="9"/>
  <c r="BR173" i="9"/>
  <c r="BQ173" i="9"/>
  <c r="CI173" i="9"/>
  <c r="CH173" i="9"/>
  <c r="CD173" i="9"/>
  <c r="BW173" i="9"/>
  <c r="BU173" i="9"/>
  <c r="CJ173" i="9"/>
  <c r="BV173" i="9"/>
  <c r="CK173" i="9"/>
  <c r="CA173" i="9"/>
  <c r="BZ173" i="9"/>
  <c r="DB184" i="9"/>
  <c r="BW33" i="9"/>
  <c r="CT190" i="9"/>
  <c r="CY190" i="9"/>
  <c r="CP190" i="9"/>
  <c r="DI190" i="9"/>
  <c r="CM184" i="9"/>
  <c r="BX181" i="9"/>
  <c r="BV91" i="9"/>
  <c r="CZ64" i="9"/>
  <c r="CU64" i="9"/>
  <c r="CS64" i="9"/>
  <c r="DG64" i="9"/>
  <c r="CP64" i="9"/>
  <c r="DD64" i="9"/>
  <c r="DC64" i="9"/>
  <c r="CL64" i="9"/>
  <c r="CN64" i="9"/>
  <c r="CX64" i="9"/>
  <c r="CY64" i="9"/>
  <c r="CV64" i="9"/>
  <c r="CT64" i="9"/>
  <c r="DH64" i="9"/>
  <c r="DB64" i="9"/>
  <c r="CR64" i="9"/>
  <c r="CO64" i="9"/>
  <c r="DF64" i="9"/>
  <c r="DI64" i="9"/>
  <c r="CM64" i="9"/>
  <c r="DA64" i="9"/>
  <c r="CW64" i="9"/>
  <c r="DE64" i="9"/>
  <c r="CQ64" i="9"/>
  <c r="CQ189" i="9"/>
  <c r="CZ189" i="9"/>
  <c r="CU187" i="9"/>
  <c r="CR187" i="9"/>
  <c r="CQ187" i="9"/>
  <c r="CP187" i="9"/>
  <c r="CN187" i="9"/>
  <c r="DH187" i="9"/>
  <c r="CL187" i="9"/>
  <c r="DD187" i="9"/>
  <c r="DA187" i="9"/>
  <c r="CH183" i="9"/>
  <c r="BV178" i="9"/>
  <c r="CI179" i="9"/>
  <c r="BQ179" i="9"/>
  <c r="BR179" i="9"/>
  <c r="CH179" i="9"/>
  <c r="CF182" i="9"/>
  <c r="CC178" i="9"/>
  <c r="CE182" i="9"/>
  <c r="CD182" i="9"/>
  <c r="CH178" i="9"/>
  <c r="BP177" i="9"/>
  <c r="BT170" i="9"/>
  <c r="CD172" i="9"/>
  <c r="BY172" i="9"/>
  <c r="CH170" i="9"/>
  <c r="BY161" i="9"/>
  <c r="BU161" i="9"/>
  <c r="BT161" i="9"/>
  <c r="CI161" i="9"/>
  <c r="BS161" i="9"/>
  <c r="CH161" i="9"/>
  <c r="BR161" i="9"/>
  <c r="CG161" i="9"/>
  <c r="BQ161" i="9"/>
  <c r="CF161" i="9"/>
  <c r="BP161" i="9"/>
  <c r="CD161" i="9"/>
  <c r="CC161" i="9"/>
  <c r="CA161" i="9"/>
  <c r="BN165" i="9"/>
  <c r="CF158" i="9"/>
  <c r="BN153" i="9"/>
  <c r="CA175" i="9"/>
  <c r="BS164" i="9"/>
  <c r="BO164" i="9"/>
  <c r="CB163" i="9"/>
  <c r="CB158" i="9"/>
  <c r="CD157" i="9"/>
  <c r="BS163" i="9"/>
  <c r="CC163" i="9"/>
  <c r="CF164" i="9"/>
  <c r="CJ162" i="9"/>
  <c r="CJ152" i="9"/>
  <c r="CK148" i="9"/>
  <c r="BU148" i="9"/>
  <c r="CD144" i="9"/>
  <c r="BV157" i="9"/>
  <c r="CA152" i="9"/>
  <c r="BT148" i="9"/>
  <c r="BP144" i="9"/>
  <c r="CC154" i="9"/>
  <c r="CG154" i="9"/>
  <c r="BR148" i="9"/>
  <c r="BO148" i="9"/>
  <c r="BU146" i="9"/>
  <c r="CK149" i="9"/>
  <c r="BN152" i="9"/>
  <c r="BY146" i="9"/>
  <c r="CS123" i="9"/>
  <c r="CA85" i="9"/>
  <c r="CE85" i="9"/>
  <c r="BO85" i="9"/>
  <c r="BW85" i="9"/>
  <c r="BT85" i="9"/>
  <c r="CG85" i="9"/>
  <c r="BN85" i="9"/>
  <c r="CD85" i="9"/>
  <c r="CB85" i="9"/>
  <c r="BZ85" i="9"/>
  <c r="BQ85" i="9"/>
  <c r="CK85" i="9"/>
  <c r="CJ85" i="9"/>
  <c r="CI85" i="9"/>
  <c r="CF85" i="9"/>
  <c r="BX85" i="9"/>
  <c r="BU85" i="9"/>
  <c r="BS85" i="9"/>
  <c r="BR85" i="9"/>
  <c r="BN110" i="9"/>
  <c r="CB110" i="9"/>
  <c r="BR101" i="9"/>
  <c r="BU101" i="9"/>
  <c r="CK97" i="9"/>
  <c r="CL122" i="9"/>
  <c r="CV122" i="9"/>
  <c r="CH109" i="9"/>
  <c r="BS105" i="9"/>
  <c r="BV99" i="9"/>
  <c r="BT99" i="9"/>
  <c r="BN99" i="9"/>
  <c r="CK99" i="9"/>
  <c r="CE99" i="9"/>
  <c r="CC99" i="9"/>
  <c r="BZ99" i="9"/>
  <c r="BY99" i="9"/>
  <c r="BX99" i="9"/>
  <c r="BW99" i="9"/>
  <c r="CA92" i="9"/>
  <c r="CK91" i="9"/>
  <c r="BV98" i="9"/>
  <c r="CA98" i="9"/>
  <c r="BS92" i="9"/>
  <c r="CG92" i="9"/>
  <c r="BY112" i="9"/>
  <c r="CE100" i="9"/>
  <c r="CF111" i="9"/>
  <c r="CJ111" i="9"/>
  <c r="CC100" i="9"/>
  <c r="BN100" i="9"/>
  <c r="BZ102" i="9"/>
  <c r="BO102" i="9"/>
  <c r="BP89" i="9"/>
  <c r="CC94" i="9"/>
  <c r="BU90" i="9"/>
  <c r="CG104" i="9"/>
  <c r="CD104" i="9"/>
  <c r="BW93" i="9"/>
  <c r="CD93" i="9"/>
  <c r="CE93" i="9"/>
  <c r="DC67" i="9"/>
  <c r="DA67" i="9"/>
  <c r="CY67" i="9"/>
  <c r="CX67" i="9"/>
  <c r="CW67" i="9"/>
  <c r="CT67" i="9"/>
  <c r="CR67" i="9"/>
  <c r="CQ67" i="9"/>
  <c r="CP67" i="9"/>
  <c r="DH67" i="9"/>
  <c r="CO67" i="9"/>
  <c r="DF67" i="9"/>
  <c r="CL67" i="9"/>
  <c r="DE67" i="9"/>
  <c r="DB62" i="9"/>
  <c r="CQ62" i="9"/>
  <c r="CY50" i="9"/>
  <c r="DA65" i="9"/>
  <c r="CS55" i="9"/>
  <c r="CO66" i="9"/>
  <c r="CP55" i="9"/>
  <c r="DD55" i="9"/>
  <c r="CQ54" i="9"/>
  <c r="CE96" i="9"/>
  <c r="DG69" i="9"/>
  <c r="CR43" i="9"/>
  <c r="DF43" i="9"/>
  <c r="CT43" i="9"/>
  <c r="CQ43" i="9"/>
  <c r="CP43" i="9"/>
  <c r="CN43" i="9"/>
  <c r="CL43" i="9"/>
  <c r="DH43" i="9"/>
  <c r="DD43" i="9"/>
  <c r="DC43" i="9"/>
  <c r="DA43" i="9"/>
  <c r="CZ43" i="9"/>
  <c r="DE43" i="9"/>
  <c r="CX43" i="9"/>
  <c r="DE65" i="9"/>
  <c r="DI43" i="9"/>
  <c r="CI17" i="9"/>
  <c r="CZ40" i="9"/>
  <c r="DA40" i="9"/>
  <c r="DH40" i="9"/>
  <c r="CY66" i="9"/>
  <c r="CX51" i="9"/>
  <c r="CT51" i="9"/>
  <c r="DE49" i="9"/>
  <c r="CO51" i="9"/>
  <c r="CO46" i="9"/>
  <c r="BX25" i="9"/>
  <c r="BR25" i="9"/>
  <c r="BP25" i="9"/>
  <c r="BO25" i="9"/>
  <c r="BN25" i="9"/>
  <c r="CJ25" i="9"/>
  <c r="CA25" i="9"/>
  <c r="CE19" i="9"/>
  <c r="BO17" i="9"/>
  <c r="BW25" i="9"/>
  <c r="CN36" i="9"/>
  <c r="CL36" i="9"/>
  <c r="CQ36" i="9"/>
  <c r="BN19" i="9"/>
  <c r="CE20" i="9"/>
  <c r="BZ18" i="9"/>
  <c r="CD20" i="9"/>
  <c r="BS20" i="9"/>
  <c r="CJ20" i="9"/>
  <c r="BO24" i="9"/>
  <c r="CJ32" i="9"/>
  <c r="BW18" i="9"/>
  <c r="BV20" i="9"/>
  <c r="CS40" i="9"/>
  <c r="CD24" i="9"/>
  <c r="CY37" i="9"/>
  <c r="CV37" i="9"/>
  <c r="DI37" i="9"/>
  <c r="CS37" i="9"/>
  <c r="BP22" i="9"/>
  <c r="CF22" i="9"/>
  <c r="CG22" i="9"/>
  <c r="DA189" i="9"/>
  <c r="DC189" i="9"/>
  <c r="DC187" i="9"/>
  <c r="BS183" i="9"/>
  <c r="BY177" i="9"/>
  <c r="BZ182" i="9"/>
  <c r="BZ177" i="9"/>
  <c r="BY178" i="9"/>
  <c r="CF179" i="9"/>
  <c r="CD179" i="9"/>
  <c r="BW179" i="9"/>
  <c r="BS170" i="9"/>
  <c r="CB172" i="9"/>
  <c r="BV172" i="9"/>
  <c r="CJ170" i="9"/>
  <c r="CA165" i="9"/>
  <c r="BQ158" i="9"/>
  <c r="CG159" i="9"/>
  <c r="BP159" i="9"/>
  <c r="CB175" i="9"/>
  <c r="CI164" i="9"/>
  <c r="CA164" i="9"/>
  <c r="BU163" i="9"/>
  <c r="BY158" i="9"/>
  <c r="BN164" i="9"/>
  <c r="BR162" i="9"/>
  <c r="BV162" i="9"/>
  <c r="BV152" i="9"/>
  <c r="BQ144" i="9"/>
  <c r="CC148" i="9"/>
  <c r="CF148" i="9"/>
  <c r="CH159" i="9"/>
  <c r="BQ154" i="9"/>
  <c r="CG148" i="9"/>
  <c r="CI144" i="9"/>
  <c r="CD149" i="9"/>
  <c r="CK152" i="9"/>
  <c r="CF107" i="9"/>
  <c r="BN107" i="9"/>
  <c r="CI101" i="9"/>
  <c r="CE97" i="9"/>
  <c r="CC97" i="9"/>
  <c r="CB97" i="9"/>
  <c r="BZ97" i="9"/>
  <c r="BY97" i="9"/>
  <c r="BX97" i="9"/>
  <c r="BU97" i="9"/>
  <c r="BS97" i="9"/>
  <c r="BO97" i="9"/>
  <c r="CX122" i="9"/>
  <c r="DA122" i="9"/>
  <c r="DI122" i="9"/>
  <c r="BV110" i="9"/>
  <c r="BW105" i="9"/>
  <c r="BX91" i="9"/>
  <c r="BZ91" i="9"/>
  <c r="BZ92" i="9"/>
  <c r="CK112" i="9"/>
  <c r="BX100" i="9"/>
  <c r="CD111" i="9"/>
  <c r="BT111" i="9"/>
  <c r="BP111" i="9"/>
  <c r="BS89" i="9"/>
  <c r="BQ89" i="9"/>
  <c r="BV84" i="9"/>
  <c r="BV102" i="9"/>
  <c r="CB102" i="9"/>
  <c r="BY94" i="9"/>
  <c r="CJ90" i="9"/>
  <c r="BS90" i="9"/>
  <c r="BN104" i="9"/>
  <c r="BS104" i="9"/>
  <c r="BT93" i="9"/>
  <c r="CX69" i="9"/>
  <c r="CY62" i="9"/>
  <c r="DC62" i="9"/>
  <c r="DA54" i="9"/>
  <c r="CV50" i="9"/>
  <c r="CQ69" i="9"/>
  <c r="DF55" i="9"/>
  <c r="CO55" i="9"/>
  <c r="DC54" i="9"/>
  <c r="BQ96" i="9"/>
  <c r="BU96" i="9"/>
  <c r="CC96" i="9"/>
  <c r="CJ17" i="9"/>
  <c r="BW17" i="9"/>
  <c r="DE54" i="9"/>
  <c r="CU43" i="9"/>
  <c r="CX42" i="9"/>
  <c r="CR42" i="9"/>
  <c r="CN42" i="9"/>
  <c r="CM42" i="9"/>
  <c r="CZ42" i="9"/>
  <c r="CL42" i="9"/>
  <c r="CT49" i="9"/>
  <c r="CT40" i="9"/>
  <c r="CU40" i="9"/>
  <c r="DD51" i="9"/>
  <c r="CV38" i="9"/>
  <c r="DC51" i="9"/>
  <c r="CL51" i="9"/>
  <c r="DH51" i="9"/>
  <c r="DF48" i="9"/>
  <c r="BO31" i="9"/>
  <c r="DF40" i="9"/>
  <c r="CF31" i="9"/>
  <c r="BY17" i="9"/>
  <c r="CE25" i="9"/>
  <c r="CI20" i="9"/>
  <c r="CF20" i="9"/>
  <c r="BP20" i="9"/>
  <c r="CI19" i="9"/>
  <c r="BP32" i="9"/>
  <c r="BU32" i="9"/>
  <c r="BP18" i="9"/>
  <c r="DE37" i="9"/>
  <c r="CJ22" i="9"/>
  <c r="CM189" i="9"/>
  <c r="CO187" i="9"/>
  <c r="CE183" i="9"/>
  <c r="BY183" i="9"/>
  <c r="CK177" i="9"/>
  <c r="CJ174" i="9"/>
  <c r="BP174" i="9"/>
  <c r="CI170" i="9"/>
  <c r="BZ178" i="9"/>
  <c r="BX178" i="9"/>
  <c r="CB179" i="9"/>
  <c r="BX167" i="9"/>
  <c r="BV167" i="9"/>
  <c r="BS167" i="9"/>
  <c r="BR167" i="9"/>
  <c r="CK167" i="9"/>
  <c r="BQ167" i="9"/>
  <c r="CI167" i="9"/>
  <c r="BP167" i="9"/>
  <c r="CH167" i="9"/>
  <c r="BO167" i="9"/>
  <c r="CF167" i="9"/>
  <c r="CE167" i="9"/>
  <c r="CD167" i="9"/>
  <c r="CA167" i="9"/>
  <c r="BU167" i="9"/>
  <c r="BN167" i="9"/>
  <c r="CJ175" i="9"/>
  <c r="BT175" i="9"/>
  <c r="BR175" i="9"/>
  <c r="BT172" i="9"/>
  <c r="CF170" i="9"/>
  <c r="CE171" i="9"/>
  <c r="BX170" i="9"/>
  <c r="CE172" i="9"/>
  <c r="BZ171" i="9"/>
  <c r="BX153" i="9"/>
  <c r="CA170" i="9"/>
  <c r="CJ163" i="9"/>
  <c r="CA159" i="9"/>
  <c r="BX163" i="9"/>
  <c r="CC158" i="9"/>
  <c r="CG157" i="9"/>
  <c r="BR157" i="9"/>
  <c r="CF157" i="9"/>
  <c r="BQ157" i="9"/>
  <c r="CE157" i="9"/>
  <c r="BP157" i="9"/>
  <c r="CC157" i="9"/>
  <c r="BZ157" i="9"/>
  <c r="CI157" i="9"/>
  <c r="BT157" i="9"/>
  <c r="CI162" i="9"/>
  <c r="CE161" i="9"/>
  <c r="BY152" i="9"/>
  <c r="BP148" i="9"/>
  <c r="BS159" i="9"/>
  <c r="CK157" i="9"/>
  <c r="CF154" i="9"/>
  <c r="BV154" i="9"/>
  <c r="BR149" i="9"/>
  <c r="BN148" i="9"/>
  <c r="BR144" i="9"/>
  <c r="BX148" i="9"/>
  <c r="CC146" i="9"/>
  <c r="BP152" i="9"/>
  <c r="DD126" i="9"/>
  <c r="CM126" i="9"/>
  <c r="CT126" i="9"/>
  <c r="DF126" i="9"/>
  <c r="DE126" i="9"/>
  <c r="CZ126" i="9"/>
  <c r="CY126" i="9"/>
  <c r="CX126" i="9"/>
  <c r="CW126" i="9"/>
  <c r="CU126" i="9"/>
  <c r="CQ126" i="9"/>
  <c r="CO126" i="9"/>
  <c r="DA126" i="9"/>
  <c r="CL126" i="9"/>
  <c r="DA123" i="9"/>
  <c r="CV123" i="9"/>
  <c r="CR123" i="9"/>
  <c r="CQ123" i="9"/>
  <c r="DI123" i="9"/>
  <c r="CP123" i="9"/>
  <c r="DF123" i="9"/>
  <c r="CL123" i="9"/>
  <c r="DE123" i="9"/>
  <c r="DD123" i="9"/>
  <c r="CU123" i="9"/>
  <c r="CT123" i="9"/>
  <c r="BV85" i="9"/>
  <c r="BO107" i="9"/>
  <c r="CC107" i="9"/>
  <c r="CJ105" i="9"/>
  <c r="BV92" i="9"/>
  <c r="CB92" i="9"/>
  <c r="BO92" i="9"/>
  <c r="BX112" i="9"/>
  <c r="CI111" i="9"/>
  <c r="CB111" i="9"/>
  <c r="BT100" i="9"/>
  <c r="CD94" i="9"/>
  <c r="BV94" i="9"/>
  <c r="BZ94" i="9"/>
  <c r="CE90" i="9"/>
  <c r="CI98" i="9"/>
  <c r="CW68" i="9"/>
  <c r="CB93" i="9"/>
  <c r="CG93" i="9"/>
  <c r="BX93" i="9"/>
  <c r="DI50" i="9"/>
  <c r="CL69" i="9"/>
  <c r="DI55" i="9"/>
  <c r="DE50" i="9"/>
  <c r="CI96" i="9"/>
  <c r="BX96" i="9"/>
  <c r="BY96" i="9"/>
  <c r="BX17" i="9"/>
  <c r="CN54" i="9"/>
  <c r="DH38" i="9"/>
  <c r="DD52" i="9"/>
  <c r="DC52" i="9"/>
  <c r="DB52" i="9"/>
  <c r="CZ52" i="9"/>
  <c r="CR52" i="9"/>
  <c r="CU49" i="9"/>
  <c r="CO42" i="9"/>
  <c r="CO40" i="9"/>
  <c r="DI40" i="9"/>
  <c r="CW38" i="9"/>
  <c r="DI38" i="9"/>
  <c r="DB51" i="9"/>
  <c r="CN51" i="9"/>
  <c r="CY49" i="9"/>
  <c r="CO49" i="9"/>
  <c r="DC47" i="9"/>
  <c r="CH31" i="9"/>
  <c r="CC31" i="9"/>
  <c r="DG56" i="9"/>
  <c r="DE56" i="9"/>
  <c r="CY56" i="9"/>
  <c r="CT56" i="9"/>
  <c r="CR56" i="9"/>
  <c r="DD56" i="9"/>
  <c r="BU25" i="9"/>
  <c r="BQ19" i="9"/>
  <c r="BR19" i="9"/>
  <c r="BY25" i="9"/>
  <c r="BP21" i="9"/>
  <c r="CY36" i="9"/>
  <c r="CX36" i="9"/>
  <c r="BO21" i="9"/>
  <c r="CI18" i="9"/>
  <c r="CO52" i="9"/>
  <c r="CB20" i="9"/>
  <c r="BT24" i="9"/>
  <c r="BZ24" i="9"/>
  <c r="BS32" i="9"/>
  <c r="CD32" i="9"/>
  <c r="BS18" i="9"/>
  <c r="BY19" i="9"/>
  <c r="CN37" i="9"/>
  <c r="BZ19" i="9"/>
  <c r="BV177" i="9"/>
  <c r="CD174" i="9"/>
  <c r="BU174" i="9"/>
  <c r="CK175" i="9"/>
  <c r="CH175" i="9"/>
  <c r="CD175" i="9"/>
  <c r="CB171" i="9"/>
  <c r="BY171" i="9"/>
  <c r="CJ171" i="9"/>
  <c r="CJ153" i="9"/>
  <c r="BQ163" i="9"/>
  <c r="BX157" i="9"/>
  <c r="BN161" i="9"/>
  <c r="CJ150" i="9"/>
  <c r="BO150" i="9"/>
  <c r="CI150" i="9"/>
  <c r="CF150" i="9"/>
  <c r="CB150" i="9"/>
  <c r="BY150" i="9"/>
  <c r="BX150" i="9"/>
  <c r="BW150" i="9"/>
  <c r="BU150" i="9"/>
  <c r="BT150" i="9"/>
  <c r="CE146" i="9"/>
  <c r="CG163" i="9"/>
  <c r="CI152" i="9"/>
  <c r="CD164" i="9"/>
  <c r="BU157" i="9"/>
  <c r="BW154" i="9"/>
  <c r="CI154" i="9"/>
  <c r="BX146" i="9"/>
  <c r="BW149" i="9"/>
  <c r="BX154" i="9"/>
  <c r="BT154" i="9"/>
  <c r="BY144" i="9"/>
  <c r="BS152" i="9"/>
  <c r="BT152" i="9"/>
  <c r="CE107" i="9"/>
  <c r="CA107" i="9"/>
  <c r="BZ107" i="9"/>
  <c r="BY107" i="9"/>
  <c r="BU107" i="9"/>
  <c r="CD107" i="9"/>
  <c r="BV107" i="9"/>
  <c r="BQ107" i="9"/>
  <c r="CG107" i="9"/>
  <c r="CB107" i="9"/>
  <c r="BY109" i="9"/>
  <c r="BR98" i="9"/>
  <c r="BY89" i="9"/>
  <c r="CD84" i="9"/>
  <c r="CB84" i="9"/>
  <c r="CA84" i="9"/>
  <c r="BX84" i="9"/>
  <c r="BS84" i="9"/>
  <c r="BO84" i="9"/>
  <c r="CH84" i="9"/>
  <c r="CF84" i="9"/>
  <c r="BR100" i="9"/>
  <c r="CD92" i="9"/>
  <c r="CY68" i="9"/>
  <c r="DI68" i="9"/>
  <c r="CU57" i="9"/>
  <c r="CR57" i="9"/>
  <c r="DI57" i="9"/>
  <c r="DE57" i="9"/>
  <c r="CP57" i="9"/>
  <c r="DC57" i="9"/>
  <c r="CN57" i="9"/>
  <c r="DB57" i="9"/>
  <c r="CM57" i="9"/>
  <c r="DA57" i="9"/>
  <c r="CL57" i="9"/>
  <c r="CZ57" i="9"/>
  <c r="CX57" i="9"/>
  <c r="CW57" i="9"/>
  <c r="DH57" i="9"/>
  <c r="DD57" i="9"/>
  <c r="CV57" i="9"/>
  <c r="CQ57" i="9"/>
  <c r="CO57" i="9"/>
  <c r="CT57" i="9"/>
  <c r="CV69" i="9"/>
  <c r="CU69" i="9"/>
  <c r="CR69" i="9"/>
  <c r="CP69" i="9"/>
  <c r="CY69" i="9"/>
  <c r="CZ69" i="9"/>
  <c r="CL54" i="9"/>
  <c r="CQ50" i="9"/>
  <c r="CK96" i="9"/>
  <c r="DI49" i="9"/>
  <c r="BW19" i="9"/>
  <c r="CZ48" i="9"/>
  <c r="CD19" i="9"/>
  <c r="BT21" i="9"/>
  <c r="BP19" i="9"/>
  <c r="BT18" i="9"/>
  <c r="CK19" i="9"/>
  <c r="CW46" i="9"/>
  <c r="CK32" i="9"/>
  <c r="BN32" i="9"/>
  <c r="BW23" i="9"/>
  <c r="CF19" i="9"/>
  <c r="BV23" i="9"/>
  <c r="CK25" i="9"/>
  <c r="BS177" i="9"/>
  <c r="CF177" i="9"/>
  <c r="BN177" i="9"/>
  <c r="CG174" i="9"/>
  <c r="CC177" i="9"/>
  <c r="BQ177" i="9"/>
  <c r="BN175" i="9"/>
  <c r="BN170" i="9"/>
  <c r="BS165" i="9"/>
  <c r="CK165" i="9"/>
  <c r="CH165" i="9"/>
  <c r="CC165" i="9"/>
  <c r="BZ165" i="9"/>
  <c r="BY165" i="9"/>
  <c r="BW165" i="9"/>
  <c r="BU165" i="9"/>
  <c r="BT165" i="9"/>
  <c r="CG165" i="9"/>
  <c r="BN171" i="9"/>
  <c r="BO153" i="9"/>
  <c r="BZ163" i="9"/>
  <c r="CE163" i="9"/>
  <c r="BR159" i="9"/>
  <c r="CE158" i="9"/>
  <c r="BP158" i="9"/>
  <c r="CD158" i="9"/>
  <c r="BO158" i="9"/>
  <c r="BZ158" i="9"/>
  <c r="BX158" i="9"/>
  <c r="CH158" i="9"/>
  <c r="BR158" i="9"/>
  <c r="CJ157" i="9"/>
  <c r="CK164" i="9"/>
  <c r="CK159" i="9"/>
  <c r="BW161" i="9"/>
  <c r="BR146" i="9"/>
  <c r="CK158" i="9"/>
  <c r="BU152" i="9"/>
  <c r="BN150" i="9"/>
  <c r="CE149" i="9"/>
  <c r="CJ149" i="9"/>
  <c r="BQ149" i="9"/>
  <c r="CG146" i="9"/>
  <c r="BW152" i="9"/>
  <c r="CH152" i="9"/>
  <c r="CK107" i="9"/>
  <c r="BS101" i="9"/>
  <c r="CH97" i="9"/>
  <c r="DE122" i="9"/>
  <c r="BT110" i="9"/>
  <c r="CJ110" i="9"/>
  <c r="BP110" i="9"/>
  <c r="CC110" i="9"/>
  <c r="CG110" i="9"/>
  <c r="BX110" i="9"/>
  <c r="CE110" i="9"/>
  <c r="BR105" i="9"/>
  <c r="CI97" i="9"/>
  <c r="CH107" i="9"/>
  <c r="CF101" i="9"/>
  <c r="CF97" i="9"/>
  <c r="CV68" i="9"/>
  <c r="BX98" i="9"/>
  <c r="BY98" i="9"/>
  <c r="BW92" i="9"/>
  <c r="BX92" i="9"/>
  <c r="BU110" i="9"/>
  <c r="CE89" i="9"/>
  <c r="CC89" i="9"/>
  <c r="BR89" i="9"/>
  <c r="CG89" i="9"/>
  <c r="CB89" i="9"/>
  <c r="BW89" i="9"/>
  <c r="BT89" i="9"/>
  <c r="BN84" i="9"/>
  <c r="BT90" i="9"/>
  <c r="CP68" i="9"/>
  <c r="CB104" i="9"/>
  <c r="BT104" i="9"/>
  <c r="CY57" i="9"/>
  <c r="DF57" i="9"/>
  <c r="CZ54" i="9"/>
  <c r="CU54" i="9"/>
  <c r="DH54" i="9"/>
  <c r="CS54" i="9"/>
  <c r="DI54" i="9"/>
  <c r="DB54" i="9"/>
  <c r="CX54" i="9"/>
  <c r="CW54" i="9"/>
  <c r="CV54" i="9"/>
  <c r="CT54" i="9"/>
  <c r="CM54" i="9"/>
  <c r="CL50" i="9"/>
  <c r="CO69" i="9"/>
  <c r="DG55" i="9"/>
  <c r="CY54" i="9"/>
  <c r="CF96" i="9"/>
  <c r="BN96" i="9"/>
  <c r="CS38" i="9"/>
  <c r="CS51" i="9"/>
  <c r="CP51" i="9"/>
  <c r="BX31" i="9"/>
  <c r="BV31" i="9"/>
  <c r="BQ31" i="9"/>
  <c r="CJ31" i="9"/>
  <c r="CI31" i="9"/>
  <c r="CE31" i="9"/>
  <c r="BU31" i="9"/>
  <c r="BT31" i="9"/>
  <c r="BS31" i="9"/>
  <c r="BR31" i="9"/>
  <c r="CG31" i="9"/>
  <c r="BV21" i="9"/>
  <c r="BR18" i="9"/>
  <c r="BO20" i="9"/>
  <c r="BZ32" i="9"/>
  <c r="BT23" i="9"/>
  <c r="CK23" i="9"/>
  <c r="CJ23" i="9"/>
  <c r="CI23" i="9"/>
  <c r="CH23" i="9"/>
  <c r="BZ23" i="9"/>
  <c r="BR32" i="9"/>
  <c r="BT22" i="9"/>
  <c r="DA37" i="9"/>
  <c r="BR178" i="9"/>
  <c r="CK178" i="9"/>
  <c r="BN178" i="9"/>
  <c r="BV170" i="9"/>
  <c r="CB170" i="9"/>
  <c r="CG171" i="9"/>
  <c r="BO182" i="9"/>
  <c r="BQ171" i="9"/>
  <c r="BR165" i="9"/>
  <c r="BV175" i="9"/>
  <c r="BY163" i="9"/>
  <c r="CD159" i="9"/>
  <c r="BU158" i="9"/>
  <c r="BW163" i="9"/>
  <c r="CA158" i="9"/>
  <c r="BO157" i="9"/>
  <c r="BT163" i="9"/>
  <c r="BP164" i="9"/>
  <c r="BV159" i="9"/>
  <c r="BT158" i="9"/>
  <c r="CD150" i="9"/>
  <c r="BZ150" i="9"/>
  <c r="BN146" i="9"/>
  <c r="BP154" i="9"/>
  <c r="CC149" i="9"/>
  <c r="CH146" i="9"/>
  <c r="BO146" i="9"/>
  <c r="CF146" i="9"/>
  <c r="BX152" i="9"/>
  <c r="CH150" i="9"/>
  <c r="BT107" i="9"/>
  <c r="CG101" i="9"/>
  <c r="CJ97" i="9"/>
  <c r="CI107" i="9"/>
  <c r="BQ97" i="9"/>
  <c r="BR107" i="9"/>
  <c r="BP101" i="9"/>
  <c r="BP97" i="9"/>
  <c r="BS91" i="9"/>
  <c r="BQ91" i="9"/>
  <c r="BO91" i="9"/>
  <c r="CJ91" i="9"/>
  <c r="BN91" i="9"/>
  <c r="CG91" i="9"/>
  <c r="CF91" i="9"/>
  <c r="CD91" i="9"/>
  <c r="CC91" i="9"/>
  <c r="CH91" i="9"/>
  <c r="BY91" i="9"/>
  <c r="CE91" i="9"/>
  <c r="BR92" i="9"/>
  <c r="BQ111" i="9"/>
  <c r="BS111" i="9"/>
  <c r="BV111" i="9"/>
  <c r="BY111" i="9"/>
  <c r="BU89" i="9"/>
  <c r="CC84" i="9"/>
  <c r="BN94" i="9"/>
  <c r="BZ90" i="9"/>
  <c r="CJ89" i="9"/>
  <c r="BU84" i="9"/>
  <c r="CI104" i="9"/>
  <c r="BQ104" i="9"/>
  <c r="BU104" i="9"/>
  <c r="CH104" i="9"/>
  <c r="BY104" i="9"/>
  <c r="CZ62" i="9"/>
  <c r="CX62" i="9"/>
  <c r="CV62" i="9"/>
  <c r="CU62" i="9"/>
  <c r="CT62" i="9"/>
  <c r="DI62" i="9"/>
  <c r="CS62" i="9"/>
  <c r="DH62" i="9"/>
  <c r="CR62" i="9"/>
  <c r="DG62" i="9"/>
  <c r="CP62" i="9"/>
  <c r="DF62" i="9"/>
  <c r="CO62" i="9"/>
  <c r="DE62" i="9"/>
  <c r="CM62" i="9"/>
  <c r="DD62" i="9"/>
  <c r="CL62" i="9"/>
  <c r="DE69" i="9"/>
  <c r="CX65" i="9"/>
  <c r="CW65" i="9"/>
  <c r="CU65" i="9"/>
  <c r="CS65" i="9"/>
  <c r="CQ65" i="9"/>
  <c r="DB65" i="9"/>
  <c r="DC65" i="9"/>
  <c r="CT65" i="9"/>
  <c r="BO96" i="9"/>
  <c r="BR96" i="9"/>
  <c r="BW96" i="9"/>
  <c r="CA96" i="9"/>
  <c r="DI69" i="9"/>
  <c r="CY40" i="9"/>
  <c r="DG38" i="9"/>
  <c r="CV43" i="9"/>
  <c r="CL40" i="9"/>
  <c r="CM52" i="9"/>
  <c r="DA42" i="9"/>
  <c r="BZ21" i="9"/>
  <c r="BN18" i="9"/>
  <c r="CC18" i="9"/>
  <c r="BY18" i="9"/>
  <c r="CD18" i="9"/>
  <c r="BN20" i="9"/>
  <c r="CA20" i="9"/>
  <c r="BO32" i="9"/>
  <c r="CA32" i="9"/>
  <c r="BQ18" i="9"/>
  <c r="CE24" i="9"/>
  <c r="BN21" i="9"/>
  <c r="BO174" i="9"/>
  <c r="CG179" i="9"/>
  <c r="BV179" i="9"/>
  <c r="BQ178" i="9"/>
  <c r="CJ178" i="9"/>
  <c r="CB178" i="9"/>
  <c r="CI178" i="9"/>
  <c r="CD178" i="9"/>
  <c r="BS175" i="9"/>
  <c r="BZ175" i="9"/>
  <c r="BZ170" i="9"/>
  <c r="BT171" i="9"/>
  <c r="CI175" i="9"/>
  <c r="CB157" i="9"/>
  <c r="BW159" i="9"/>
  <c r="CH163" i="9"/>
  <c r="CJ159" i="9"/>
  <c r="BV144" i="9"/>
  <c r="CG144" i="9"/>
  <c r="BN144" i="9"/>
  <c r="CE144" i="9"/>
  <c r="CK144" i="9"/>
  <c r="BX144" i="9"/>
  <c r="BU144" i="9"/>
  <c r="BQ150" i="9"/>
  <c r="CD146" i="9"/>
  <c r="BZ146" i="9"/>
  <c r="BO154" i="9"/>
  <c r="CD154" i="9"/>
  <c r="BS144" i="9"/>
  <c r="BP146" i="9"/>
  <c r="CB144" i="9"/>
  <c r="BW144" i="9"/>
  <c r="BZ152" i="9"/>
  <c r="CJ148" i="9"/>
  <c r="BW107" i="9"/>
  <c r="DG122" i="9"/>
  <c r="DF122" i="9"/>
  <c r="DD122" i="9"/>
  <c r="CY122" i="9"/>
  <c r="BS107" i="9"/>
  <c r="BT98" i="9"/>
  <c r="CH98" i="9"/>
  <c r="CB98" i="9"/>
  <c r="CH111" i="9"/>
  <c r="BZ111" i="9"/>
  <c r="CK89" i="9"/>
  <c r="BQ98" i="9"/>
  <c r="CJ98" i="9"/>
  <c r="CB94" i="9"/>
  <c r="CI90" i="9"/>
  <c r="BN90" i="9"/>
  <c r="CH90" i="9"/>
  <c r="CF90" i="9"/>
  <c r="CD90" i="9"/>
  <c r="CB90" i="9"/>
  <c r="CA90" i="9"/>
  <c r="BV90" i="9"/>
  <c r="CC90" i="9"/>
  <c r="BP90" i="9"/>
  <c r="BO89" i="9"/>
  <c r="BQ90" i="9"/>
  <c r="CK104" i="9"/>
  <c r="CS57" i="9"/>
  <c r="CN69" i="9"/>
  <c r="CJ96" i="9"/>
  <c r="CB96" i="9"/>
  <c r="BV96" i="9"/>
  <c r="DB55" i="9"/>
  <c r="DE55" i="9"/>
  <c r="BQ21" i="9"/>
  <c r="BW32" i="9"/>
  <c r="CB21" i="9"/>
  <c r="CE22" i="9"/>
  <c r="CA22" i="9"/>
  <c r="BZ22" i="9"/>
  <c r="BY22" i="9"/>
  <c r="BX22" i="9"/>
  <c r="BW22" i="9"/>
  <c r="BS22" i="9"/>
  <c r="CD22" i="9"/>
  <c r="CU51" i="9"/>
  <c r="CS36" i="9"/>
  <c r="CG175" i="9"/>
  <c r="CA171" i="9"/>
  <c r="BX171" i="9"/>
  <c r="BV171" i="9"/>
  <c r="CH171" i="9"/>
  <c r="CD170" i="9"/>
  <c r="BW153" i="9"/>
  <c r="CK153" i="9"/>
  <c r="BU153" i="9"/>
  <c r="CH153" i="9"/>
  <c r="BS153" i="9"/>
  <c r="CG153" i="9"/>
  <c r="BR153" i="9"/>
  <c r="CF153" i="9"/>
  <c r="BQ153" i="9"/>
  <c r="BP153" i="9"/>
  <c r="CI153" i="9"/>
  <c r="CE153" i="9"/>
  <c r="CC153" i="9"/>
  <c r="BZ153" i="9"/>
  <c r="BY153" i="9"/>
  <c r="BV153" i="9"/>
  <c r="BT153" i="9"/>
  <c r="BP175" i="9"/>
  <c r="BN163" i="9"/>
  <c r="CE154" i="9"/>
  <c r="CB154" i="9"/>
  <c r="BY154" i="9"/>
  <c r="CB152" i="9"/>
  <c r="BQ152" i="9"/>
  <c r="CJ107" i="9"/>
  <c r="CA101" i="9"/>
  <c r="BZ101" i="9"/>
  <c r="BX101" i="9"/>
  <c r="BW101" i="9"/>
  <c r="BT101" i="9"/>
  <c r="BO101" i="9"/>
  <c r="CE101" i="9"/>
  <c r="CC101" i="9"/>
  <c r="CB101" i="9"/>
  <c r="CD105" i="9"/>
  <c r="BN105" i="9"/>
  <c r="BT105" i="9"/>
  <c r="CI105" i="9"/>
  <c r="BQ105" i="9"/>
  <c r="CA105" i="9"/>
  <c r="BZ105" i="9"/>
  <c r="BY105" i="9"/>
  <c r="BU105" i="9"/>
  <c r="BP105" i="9"/>
  <c r="CG105" i="9"/>
  <c r="CC105" i="9"/>
  <c r="CB105" i="9"/>
  <c r="BQ101" i="9"/>
  <c r="DH68" i="9"/>
  <c r="CR68" i="9"/>
  <c r="CU68" i="9"/>
  <c r="CT68" i="9"/>
  <c r="CZ68" i="9"/>
  <c r="CX68" i="9"/>
  <c r="CS68" i="9"/>
  <c r="CQ68" i="9"/>
  <c r="CO68" i="9"/>
  <c r="CN68" i="9"/>
  <c r="DG68" i="9"/>
  <c r="CM68" i="9"/>
  <c r="DF68" i="9"/>
  <c r="CL68" i="9"/>
  <c r="DE68" i="9"/>
  <c r="DD68" i="9"/>
  <c r="DB68" i="9"/>
  <c r="DA68" i="9"/>
  <c r="BU92" i="9"/>
  <c r="CE92" i="9"/>
  <c r="BQ94" i="9"/>
  <c r="BP94" i="9"/>
  <c r="CK94" i="9"/>
  <c r="BO94" i="9"/>
  <c r="CJ94" i="9"/>
  <c r="CI94" i="9"/>
  <c r="CH94" i="9"/>
  <c r="CF94" i="9"/>
  <c r="BU94" i="9"/>
  <c r="CJ112" i="9"/>
  <c r="DH50" i="9"/>
  <c r="CT50" i="9"/>
  <c r="DF50" i="9"/>
  <c r="CR50" i="9"/>
  <c r="CM50" i="9"/>
  <c r="DG50" i="9"/>
  <c r="DA50" i="9"/>
  <c r="CX50" i="9"/>
  <c r="CW50" i="9"/>
  <c r="CU50" i="9"/>
  <c r="CS50" i="9"/>
  <c r="DB69" i="9"/>
  <c r="CT69" i="9"/>
  <c r="DG54" i="9"/>
  <c r="CO54" i="9"/>
  <c r="CO50" i="9"/>
  <c r="CL55" i="9"/>
  <c r="CR40" i="9"/>
  <c r="DE40" i="9"/>
  <c r="CQ40" i="9"/>
  <c r="CP40" i="9"/>
  <c r="DE38" i="9"/>
  <c r="CL38" i="9"/>
  <c r="DC38" i="9"/>
  <c r="DA38" i="9"/>
  <c r="CZ38" i="9"/>
  <c r="CQ38" i="9"/>
  <c r="DA48" i="9"/>
  <c r="CC19" i="9"/>
  <c r="BO19" i="9"/>
  <c r="BU19" i="9"/>
  <c r="CH21" i="9"/>
  <c r="CI22" i="9"/>
  <c r="CK22" i="9"/>
  <c r="CC22" i="9"/>
  <c r="DD48" i="9"/>
  <c r="CI24" i="9"/>
  <c r="CI174" i="9"/>
  <c r="BV174" i="9"/>
  <c r="BT174" i="9"/>
  <c r="BR174" i="9"/>
  <c r="BY174" i="9"/>
  <c r="BX174" i="9"/>
  <c r="BW174" i="9"/>
  <c r="BQ174" i="9"/>
  <c r="CK174" i="9"/>
  <c r="CH174" i="9"/>
  <c r="CE174" i="9"/>
  <c r="CA174" i="9"/>
  <c r="CA177" i="9"/>
  <c r="BS171" i="9"/>
  <c r="CK171" i="9"/>
  <c r="BP165" i="9"/>
  <c r="BU175" i="9"/>
  <c r="BV163" i="9"/>
  <c r="BR163" i="9"/>
  <c r="CC162" i="9"/>
  <c r="CB162" i="9"/>
  <c r="BY162" i="9"/>
  <c r="BX162" i="9"/>
  <c r="BW162" i="9"/>
  <c r="BT162" i="9"/>
  <c r="CK162" i="9"/>
  <c r="BS162" i="9"/>
  <c r="CH162" i="9"/>
  <c r="BQ162" i="9"/>
  <c r="CF162" i="9"/>
  <c r="BP162" i="9"/>
  <c r="CE162" i="9"/>
  <c r="BO162" i="9"/>
  <c r="CG150" i="9"/>
  <c r="CF163" i="9"/>
  <c r="BS158" i="9"/>
  <c r="BS154" i="9"/>
  <c r="CK150" i="9"/>
  <c r="CC152" i="9"/>
  <c r="CD98" i="9"/>
  <c r="BS98" i="9"/>
  <c r="CJ92" i="9"/>
  <c r="BQ92" i="9"/>
  <c r="CG111" i="9"/>
  <c r="CK98" i="9"/>
  <c r="BO111" i="9"/>
  <c r="BQ102" i="9"/>
  <c r="BP102" i="9"/>
  <c r="CJ102" i="9"/>
  <c r="BN102" i="9"/>
  <c r="CI102" i="9"/>
  <c r="CH102" i="9"/>
  <c r="BT102" i="9"/>
  <c r="CC104" i="9"/>
  <c r="DF69" i="9"/>
  <c r="DH65" i="9"/>
  <c r="CR54" i="9"/>
  <c r="DD54" i="9"/>
  <c r="CH17" i="9"/>
  <c r="BQ17" i="9"/>
  <c r="CA17" i="9"/>
  <c r="BZ17" i="9"/>
  <c r="BV17" i="9"/>
  <c r="BT17" i="9"/>
  <c r="BS17" i="9"/>
  <c r="CB17" i="9"/>
  <c r="BR17" i="9"/>
  <c r="BN17" i="9"/>
  <c r="CD17" i="9"/>
  <c r="DC50" i="9"/>
  <c r="DB40" i="9"/>
  <c r="DD38" i="9"/>
  <c r="DF54" i="9"/>
  <c r="CF17" i="9"/>
  <c r="CM51" i="9"/>
  <c r="BV19" i="9"/>
  <c r="CA19" i="9"/>
  <c r="BR21" i="9"/>
  <c r="BY20" i="9"/>
  <c r="BX19" i="9"/>
  <c r="BU20" i="9"/>
  <c r="BV22" i="9"/>
  <c r="BY16" i="9"/>
  <c r="CG32" i="9"/>
  <c r="CE175" i="9"/>
  <c r="BY170" i="9"/>
  <c r="BR170" i="9"/>
  <c r="CC170" i="9"/>
  <c r="BO175" i="9"/>
  <c r="CE170" i="9"/>
  <c r="CC171" i="9"/>
  <c r="BO171" i="9"/>
  <c r="CA153" i="9"/>
  <c r="BW175" i="9"/>
  <c r="CK163" i="9"/>
  <c r="BW146" i="9"/>
  <c r="CI146" i="9"/>
  <c r="BS146" i="9"/>
  <c r="CB146" i="9"/>
  <c r="CE164" i="9"/>
  <c r="CJ154" i="9"/>
  <c r="BS150" i="9"/>
  <c r="BT146" i="9"/>
  <c r="CH149" i="9"/>
  <c r="BO149" i="9"/>
  <c r="BS149" i="9"/>
  <c r="BZ154" i="9"/>
  <c r="BV150" i="9"/>
  <c r="CD152" i="9"/>
  <c r="BY101" i="9"/>
  <c r="BV101" i="9"/>
  <c r="CJ109" i="9"/>
  <c r="BR109" i="9"/>
  <c r="CI109" i="9"/>
  <c r="BQ109" i="9"/>
  <c r="CG109" i="9"/>
  <c r="BP109" i="9"/>
  <c r="CF109" i="9"/>
  <c r="BO109" i="9"/>
  <c r="CE109" i="9"/>
  <c r="BN109" i="9"/>
  <c r="CC109" i="9"/>
  <c r="CA109" i="9"/>
  <c r="BW109" i="9"/>
  <c r="CD109" i="9"/>
  <c r="BT109" i="9"/>
  <c r="BX105" i="9"/>
  <c r="BV105" i="9"/>
  <c r="BY110" i="9"/>
  <c r="CF98" i="9"/>
  <c r="CE98" i="9"/>
  <c r="CF92" i="9"/>
  <c r="BY92" i="9"/>
  <c r="BU98" i="9"/>
  <c r="BX111" i="9"/>
  <c r="BO98" i="9"/>
  <c r="CX55" i="9"/>
  <c r="CV55" i="9"/>
  <c r="CW55" i="9"/>
  <c r="CU55" i="9"/>
  <c r="CQ55" i="9"/>
  <c r="DH55" i="9"/>
  <c r="DA55" i="9"/>
  <c r="CN55" i="9"/>
  <c r="CN65" i="9"/>
  <c r="CG96" i="9"/>
  <c r="BP96" i="9"/>
  <c r="BS96" i="9"/>
  <c r="CM55" i="9"/>
  <c r="CN66" i="9"/>
  <c r="DI66" i="9"/>
  <c r="CM66" i="9"/>
  <c r="DH66" i="9"/>
  <c r="CL66" i="9"/>
  <c r="DF66" i="9"/>
  <c r="DD66" i="9"/>
  <c r="DA66" i="9"/>
  <c r="CU66" i="9"/>
  <c r="CN50" i="9"/>
  <c r="CP65" i="9"/>
  <c r="CX38" i="9"/>
  <c r="CN52" i="9"/>
  <c r="DC42" i="9"/>
  <c r="BP17" i="9"/>
  <c r="CN47" i="9"/>
  <c r="CL47" i="9"/>
  <c r="DF47" i="9"/>
  <c r="CX47" i="9"/>
  <c r="BY21" i="9"/>
  <c r="BZ20" i="9"/>
  <c r="DF42" i="9"/>
  <c r="CB32" i="9"/>
  <c r="BQ32" i="9"/>
  <c r="CY38" i="9"/>
  <c r="BU23" i="9"/>
  <c r="CH22" i="9"/>
  <c r="CD183" i="9"/>
  <c r="CA183" i="9"/>
  <c r="BZ183" i="9"/>
  <c r="BX183" i="9"/>
  <c r="BW183" i="9"/>
  <c r="BU183" i="9"/>
  <c r="CF183" i="9"/>
  <c r="BP183" i="9"/>
  <c r="CB183" i="9"/>
  <c r="CZ187" i="9"/>
  <c r="CH177" i="9"/>
  <c r="CK182" i="9"/>
  <c r="CJ183" i="9"/>
  <c r="CA182" i="9"/>
  <c r="BX177" i="9"/>
  <c r="BW182" i="9"/>
  <c r="BN174" i="9"/>
  <c r="BZ174" i="9"/>
  <c r="BN182" i="9"/>
  <c r="BN179" i="9"/>
  <c r="CG182" i="9"/>
  <c r="BU177" i="9"/>
  <c r="CA178" i="9"/>
  <c r="BS178" i="9"/>
  <c r="BR177" i="9"/>
  <c r="CI180" i="9"/>
  <c r="CD180" i="9"/>
  <c r="CB180" i="9"/>
  <c r="BZ180" i="9"/>
  <c r="BY180" i="9"/>
  <c r="BX180" i="9"/>
  <c r="BP180" i="9"/>
  <c r="BU172" i="9"/>
  <c r="BW167" i="9"/>
  <c r="CG177" i="9"/>
  <c r="BQ175" i="9"/>
  <c r="CC175" i="9"/>
  <c r="BS172" i="9"/>
  <c r="BU170" i="9"/>
  <c r="CD165" i="9"/>
  <c r="BX165" i="9"/>
  <c r="CC172" i="9"/>
  <c r="BO170" i="9"/>
  <c r="BU171" i="9"/>
  <c r="BR171" i="9"/>
  <c r="BP171" i="9"/>
  <c r="CK161" i="9"/>
  <c r="BZ164" i="9"/>
  <c r="BY164" i="9"/>
  <c r="BY157" i="9"/>
  <c r="CI163" i="9"/>
  <c r="BZ162" i="9"/>
  <c r="BU162" i="9"/>
  <c r="BR150" i="9"/>
  <c r="BT159" i="9"/>
  <c r="CK155" i="9"/>
  <c r="BV155" i="9"/>
  <c r="CJ155" i="9"/>
  <c r="BU155" i="9"/>
  <c r="CG155" i="9"/>
  <c r="BQ155" i="9"/>
  <c r="CI155" i="9"/>
  <c r="CF155" i="9"/>
  <c r="BZ155" i="9"/>
  <c r="BX155" i="9"/>
  <c r="BW155" i="9"/>
  <c r="BS155" i="9"/>
  <c r="BP155" i="9"/>
  <c r="BT144" i="9"/>
  <c r="CA154" i="9"/>
  <c r="BP150" i="9"/>
  <c r="BN149" i="9"/>
  <c r="BV146" i="9"/>
  <c r="CH154" i="9"/>
  <c r="CH144" i="9"/>
  <c r="CB149" i="9"/>
  <c r="BZ149" i="9"/>
  <c r="CA144" i="9"/>
  <c r="CK154" i="9"/>
  <c r="DH126" i="9"/>
  <c r="CX123" i="9"/>
  <c r="DH123" i="9"/>
  <c r="BX107" i="9"/>
  <c r="CH101" i="9"/>
  <c r="CT122" i="9"/>
  <c r="DB122" i="9"/>
  <c r="CA110" i="9"/>
  <c r="CD110" i="9"/>
  <c r="CH105" i="9"/>
  <c r="CG99" i="9"/>
  <c r="CB91" i="9"/>
  <c r="CK92" i="9"/>
  <c r="BO112" i="9"/>
  <c r="BU112" i="9"/>
  <c r="BW112" i="9"/>
  <c r="CK111" i="9"/>
  <c r="CA89" i="9"/>
  <c r="BZ89" i="9"/>
  <c r="BQ84" i="9"/>
  <c r="CE84" i="9"/>
  <c r="CF102" i="9"/>
  <c r="CE102" i="9"/>
  <c r="BW84" i="9"/>
  <c r="CG94" i="9"/>
  <c r="BS94" i="9"/>
  <c r="BY90" i="9"/>
  <c r="CC92" i="9"/>
  <c r="CI89" i="9"/>
  <c r="BT84" i="9"/>
  <c r="CJ104" i="9"/>
  <c r="CA104" i="9"/>
  <c r="CM67" i="9"/>
  <c r="CP50" i="9"/>
  <c r="DD67" i="9"/>
  <c r="CM69" i="9"/>
  <c r="CZ55" i="9"/>
  <c r="DC66" i="9"/>
  <c r="DG65" i="9"/>
  <c r="CF21" i="9"/>
  <c r="CE21" i="9"/>
  <c r="CD21" i="9"/>
  <c r="BS21" i="9"/>
  <c r="DD40" i="9"/>
  <c r="CC17" i="9"/>
  <c r="DF52" i="9"/>
  <c r="CW52" i="9"/>
  <c r="CQ42" i="9"/>
  <c r="DF38" i="9"/>
  <c r="CX40" i="9"/>
  <c r="CP38" i="9"/>
  <c r="CV51" i="9"/>
  <c r="DG51" i="9"/>
  <c r="CZ49" i="9"/>
  <c r="DC48" i="9"/>
  <c r="BY31" i="9"/>
  <c r="BW31" i="9"/>
  <c r="CT38" i="9"/>
  <c r="CK21" i="9"/>
  <c r="CF18" i="9"/>
  <c r="BU18" i="9"/>
  <c r="BW24" i="9"/>
  <c r="CB24" i="9"/>
  <c r="CE32" i="9"/>
  <c r="BW20" i="9"/>
  <c r="CF32" i="9"/>
  <c r="CC21" i="9"/>
  <c r="CW37" i="9"/>
</calcChain>
</file>

<file path=xl/sharedStrings.xml><?xml version="1.0" encoding="utf-8"?>
<sst xmlns="http://schemas.openxmlformats.org/spreadsheetml/2006/main" count="2318" uniqueCount="597">
  <si>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</si>
  <si>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</si>
  <si>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</si>
  <si>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</si>
  <si>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</si>
  <si>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</si>
  <si>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</si>
  <si>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</si>
  <si>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</si>
  <si>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</si>
  <si>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</si>
  <si>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</si>
  <si>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</si>
  <si>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</si>
  <si>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</si>
  <si>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</si>
  <si>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</si>
  <si>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</si>
  <si>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</si>
  <si>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</si>
  <si>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</si>
  <si>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</si>
  <si>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</si>
  <si>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</si>
  <si>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</si>
  <si>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</si>
  <si>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</si>
  <si>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</si>
  <si>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</si>
  <si>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</si>
  <si>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</si>
  <si>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</si>
  <si>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</si>
  <si>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</si>
  <si>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</si>
  <si>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</si>
  <si>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</si>
  <si>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</si>
  <si>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</si>
  <si>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</si>
  <si>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</si>
  <si>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</si>
  <si>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</si>
  <si>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</si>
  <si>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</si>
  <si>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</si>
  <si>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</si>
  <si>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</si>
  <si>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</si>
  <si>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</si>
  <si>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</si>
  <si>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</si>
  <si>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</si>
  <si>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</si>
  <si>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</si>
  <si>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</si>
  <si>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</si>
  <si>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</si>
  <si>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</si>
  <si>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</si>
  <si>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</si>
  <si>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</si>
  <si>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</si>
  <si>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</si>
  <si>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</si>
  <si>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</si>
  <si>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</si>
  <si>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</si>
  <si>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</si>
  <si>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</si>
  <si>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</si>
  <si>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OCC</t>
  </si>
  <si>
    <t>Fixed O&amp;M</t>
  </si>
  <si>
    <t>Variable O&amp;M</t>
  </si>
  <si>
    <t>Heat Rate</t>
  </si>
  <si>
    <t>CF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</si>
  <si>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</si>
  <si>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</si>
  <si>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</si>
  <si>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</si>
  <si>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</si>
  <si>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</si>
  <si>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</si>
  <si>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Technology Label</t>
  </si>
  <si>
    <t>To include</t>
  </si>
  <si>
    <t>Capacity Potential (MW)</t>
  </si>
  <si>
    <t>Lifetime (yr)</t>
  </si>
  <si>
    <t>Capacity2Activity</t>
  </si>
  <si>
    <t>ATB CAPEX 2023 US$ / kW</t>
  </si>
  <si>
    <t>ATB Fixed OM 2023 US$ / kW . Yr</t>
  </si>
  <si>
    <t>ATB Variable OM 2023 US$ / GJ</t>
  </si>
  <si>
    <t>ATB Efficiency (Mwh e /Mwh th)</t>
  </si>
  <si>
    <t>ATB ANNUAL CF %</t>
  </si>
  <si>
    <t>Electricity</t>
  </si>
  <si>
    <t>Grid</t>
  </si>
  <si>
    <t>Dispatchable</t>
  </si>
  <si>
    <t>Hydro New-Stream Dispatchable Class 1</t>
  </si>
  <si>
    <t>Hydro</t>
  </si>
  <si>
    <t>ELCHYDGRDHNSDC120</t>
  </si>
  <si>
    <t>Hydro New-Stream Dispatchable Class 2</t>
  </si>
  <si>
    <t>ELCHYDGRDHNSDC220</t>
  </si>
  <si>
    <t>Hydro New-Stream Dispatchable Class 3</t>
  </si>
  <si>
    <t>ELCHYDGRDHNSDC320</t>
  </si>
  <si>
    <t>Hydro New-Stream Dispatchable Class 4</t>
  </si>
  <si>
    <t>ELCHYDGRDHNSDC420</t>
  </si>
  <si>
    <t>Hydro New-Stream Dispatchable Class 5</t>
  </si>
  <si>
    <t>ELCHYDGRDHNSDC520</t>
  </si>
  <si>
    <t>Non Dispatchable</t>
  </si>
  <si>
    <t>Hydro New-Stream Non Dispatchable Class 1</t>
  </si>
  <si>
    <t>ELCHYDGRDHNSNDC120</t>
  </si>
  <si>
    <t>Hydro New-Stream Non Dispatchable Class 2</t>
  </si>
  <si>
    <t>ELCHYDGRDHNSNDC220</t>
  </si>
  <si>
    <t>Hydro New-Stream Non Dispatchable Class 3</t>
  </si>
  <si>
    <t>ELCHYDGRDHNSNDC320</t>
  </si>
  <si>
    <t>Hydro New-Stream Non Dispatchable Class 4</t>
  </si>
  <si>
    <t>ELCHYDGRDHNSNDC420</t>
  </si>
  <si>
    <t>Hydro New-Stream Non Dispatchable Class 5</t>
  </si>
  <si>
    <t>ELCHYDGRDHNSNDC520</t>
  </si>
  <si>
    <t>Hydro Non-Powered Non Dispatchable Class 1</t>
  </si>
  <si>
    <t>ELCHYDGRDHNPNDC120</t>
  </si>
  <si>
    <t>Hydro Non-Powered Non Dispatchable Class 2</t>
  </si>
  <si>
    <t>ELCHYDGRDHNPNDC220</t>
  </si>
  <si>
    <t>Hydro Non-Powered Non Dispatchable Class 3</t>
  </si>
  <si>
    <t>ELCHYDGRDHNPNDC320</t>
  </si>
  <si>
    <t>Hydro Non-Powered Non Dispatchable Class 4</t>
  </si>
  <si>
    <t>ELCHYDGRDHNPNDC420</t>
  </si>
  <si>
    <t>Hydro Non-Powered Non Dispatchable Class 5</t>
  </si>
  <si>
    <t>ELCHYDGRDHNPNDC520</t>
  </si>
  <si>
    <t>Hydro Upgrade Dispatchable Class 1</t>
  </si>
  <si>
    <t>ELCHYDGRDHUPDC120</t>
  </si>
  <si>
    <t>Hydro Upgrade Dispatchable Class 2</t>
  </si>
  <si>
    <t>ELCHYDGRDHUPDC220</t>
  </si>
  <si>
    <t>Hydro Upgrade Dispatchable Class 3</t>
  </si>
  <si>
    <t>ELCHYDGRDHUPDC320</t>
  </si>
  <si>
    <t>Hydro Upgrade Dispatchable Class 4</t>
  </si>
  <si>
    <t>ELCHYDGRDHUPDC420</t>
  </si>
  <si>
    <t>Hydro Upgrade Dispatchable Class 5</t>
  </si>
  <si>
    <t>ELCHYDGRDHUPDC520</t>
  </si>
  <si>
    <t>Hydro Upgrade Non Dispatchable Class 1</t>
  </si>
  <si>
    <t>ELCHYDGRDHUPNDC120</t>
  </si>
  <si>
    <t>Hydro Upgrade Non Dispatchable Class 2</t>
  </si>
  <si>
    <t>ELCHYDGRDHUPNDC220</t>
  </si>
  <si>
    <t>Hydro Upgrade Non Dispatchable Class 3</t>
  </si>
  <si>
    <t>ELCHYDGRDHUPNDC320</t>
  </si>
  <si>
    <t>Hydro Upgrade Non Dispatchable Class 4</t>
  </si>
  <si>
    <t>ELCHYDGRDHUPNDC420</t>
  </si>
  <si>
    <t>Hydro Upgrade Non Dispatchable Class 5</t>
  </si>
  <si>
    <t>ELCHYDGRDHUPNDC520</t>
  </si>
  <si>
    <t>Storage</t>
  </si>
  <si>
    <t>Pumped Hydro 12h Class 1</t>
  </si>
  <si>
    <t>ELCSTGGRDPSH12HC120</t>
  </si>
  <si>
    <t>Pumped Hydro 12h Class 2</t>
  </si>
  <si>
    <t>ELCSTGGRDPSH12HC220</t>
  </si>
  <si>
    <t>Pumped Hydro 12h Class 3</t>
  </si>
  <si>
    <t>ELCSTGGRDPSH12HC320</t>
  </si>
  <si>
    <t>Pumped Hydro 12h Class 4</t>
  </si>
  <si>
    <t>ELCSTGGRDPSH12HC420</t>
  </si>
  <si>
    <t>Pumped Hydro 12h Class 5</t>
  </si>
  <si>
    <t>ELCSTGGRDPSH12HC520</t>
  </si>
  <si>
    <t>Pumped Hydro 12h Class 6</t>
  </si>
  <si>
    <t>ELCSTGGRDPSH12HC620</t>
  </si>
  <si>
    <t>Pumped Hydro 12h Class 7</t>
  </si>
  <si>
    <t>ELCSTGGRDPSH12HC720</t>
  </si>
  <si>
    <t>Pumped Hydro 12h Class 8</t>
  </si>
  <si>
    <t>ELCSTGGRDPSH12HC820</t>
  </si>
  <si>
    <t>Pumped Hydro 12h Class 9</t>
  </si>
  <si>
    <t>ELCSTGGRDPSH12HC920</t>
  </si>
  <si>
    <t>Pumped Hydro 12h Class 10</t>
  </si>
  <si>
    <t>ELCSTGGRDPSH12HC1020</t>
  </si>
  <si>
    <t>Pumped Hydro 12h Class 11</t>
  </si>
  <si>
    <t>ELCSTGGRDPSH12HC1120</t>
  </si>
  <si>
    <t>Pumped Hydro 12h Class 12</t>
  </si>
  <si>
    <t>ELCSTGGRDPSH12HC1220</t>
  </si>
  <si>
    <t>Pumped Hydro 12h Class 13</t>
  </si>
  <si>
    <t>ELCSTGGRDPSH12HC1320</t>
  </si>
  <si>
    <t>Pumped Hydro 12h Class 14</t>
  </si>
  <si>
    <t>ELCSTGGRDPSH12HC1420</t>
  </si>
  <si>
    <t>Pumped Hydro 12h Class 15</t>
  </si>
  <si>
    <t>ELCSTGGRDPSH12HC1520</t>
  </si>
  <si>
    <t>Pumped Hydro 10h Class 1</t>
  </si>
  <si>
    <t>ELCSTGGRDPSH10HC120</t>
  </si>
  <si>
    <t>Pumped Hydro 10h Class 2</t>
  </si>
  <si>
    <t>ELCSTGGRDPSH10HC220</t>
  </si>
  <si>
    <t>Pumped Hydro 10h Class 3</t>
  </si>
  <si>
    <t>ELCSTGGRDPSH10HC320</t>
  </si>
  <si>
    <t>Pumped Hydro 10h Class 4</t>
  </si>
  <si>
    <t>ELCSTGGRDPSH10HC420</t>
  </si>
  <si>
    <t>Pumped Hydro 10h Class 5</t>
  </si>
  <si>
    <t>ELCSTGGRDPSH10HC520</t>
  </si>
  <si>
    <t>Pumped Hydro 10h Class 6</t>
  </si>
  <si>
    <t>ELCSTGGRDPSH10HC620</t>
  </si>
  <si>
    <t>Pumped Hydro 10h Class 7</t>
  </si>
  <si>
    <t>ELCSTGGRDPSH10HC720</t>
  </si>
  <si>
    <t>Pumped Hydro 10h Class 8</t>
  </si>
  <si>
    <t>ELCSTGGRDPSH10HC820</t>
  </si>
  <si>
    <t>Pumped Hydro 10h Class 9</t>
  </si>
  <si>
    <t>ELCSTGGRDPSH10HC920</t>
  </si>
  <si>
    <t>Pumped Hydro 10h Class 10</t>
  </si>
  <si>
    <t>ELCSTGGRDPSH10HC1020</t>
  </si>
  <si>
    <t>Pumped Hydro 10h Class 11</t>
  </si>
  <si>
    <t>ELCSTGGRDPSH10HC1120</t>
  </si>
  <si>
    <t>Pumped Hydro 10h Class 12</t>
  </si>
  <si>
    <t>ELCSTGGRDPSH10HC1220</t>
  </si>
  <si>
    <t>Pumped Hydro 10h Class 13</t>
  </si>
  <si>
    <t>ELCSTGGRDPSH10HC1320</t>
  </si>
  <si>
    <t>Pumped Hydro 10h Class 14</t>
  </si>
  <si>
    <t>ELCSTGGRDPSH10HC1420</t>
  </si>
  <si>
    <t>Pumped Hydro 10h Class 15</t>
  </si>
  <si>
    <t>ELCSTGGRDPSH10HC1520</t>
  </si>
  <si>
    <t>Pumped Hydro 8h Class 1</t>
  </si>
  <si>
    <t>ELCSTGGRDPSH8HC120</t>
  </si>
  <si>
    <t>Pumped Hydro 8h Class 2</t>
  </si>
  <si>
    <t>ELCSTGGRDPSH8HC220</t>
  </si>
  <si>
    <t>Pumped Hydro 8h Class 3</t>
  </si>
  <si>
    <t>ELCSTGGRDPSH8HC320</t>
  </si>
  <si>
    <t>Pumped Hydro 8h Class 4</t>
  </si>
  <si>
    <t>ELCSTGGRDPSH8HC420</t>
  </si>
  <si>
    <t>Pumped Hydro 8h Class 5</t>
  </si>
  <si>
    <t>ELCSTGGRDPSH8HC520</t>
  </si>
  <si>
    <t>Pumped Hydro 8h Class 6</t>
  </si>
  <si>
    <t>ELCSTGGRDPSH8HC620</t>
  </si>
  <si>
    <t>Pumped Hydro 8h Class 7</t>
  </si>
  <si>
    <t>ELCSTGGRDPSH8HC720</t>
  </si>
  <si>
    <t>Pumped Hydro 8h Class 8</t>
  </si>
  <si>
    <t>ELCSTGGRDPSH8HC820</t>
  </si>
  <si>
    <t>Pumped Hydro 8h Class 9</t>
  </si>
  <si>
    <t>ELCSTGGRDPSH8HC920</t>
  </si>
  <si>
    <t>Pumped Hydro 8h Class 10</t>
  </si>
  <si>
    <t>ELCSTGGRDPSH8HC1020</t>
  </si>
  <si>
    <t>Pumped Hydro 8h Class 11</t>
  </si>
  <si>
    <t>ELCSTGGRDPSH8HC1120</t>
  </si>
  <si>
    <t>Pumped Hydro 8h Class 12</t>
  </si>
  <si>
    <t>ELCSTGGRDPSH8HC1220</t>
  </si>
  <si>
    <t>Pumped Hydro 8h Class 13</t>
  </si>
  <si>
    <t>ELCSTGGRDPSH8HC1320</t>
  </si>
  <si>
    <t>Pumped Hydro 8h Class 14</t>
  </si>
  <si>
    <t>ELCSTGGRDPSH8HC1420</t>
  </si>
  <si>
    <t>Pumped Hydro 8h Class 15</t>
  </si>
  <si>
    <t>ELCSTGGRDPSH8HC1520</t>
  </si>
  <si>
    <t>Partly Dispatchable</t>
  </si>
  <si>
    <t>Concentrated Solar Class 1</t>
  </si>
  <si>
    <t>Solar</t>
  </si>
  <si>
    <t>ELCSOLGRDCSPC120</t>
  </si>
  <si>
    <t>Concentrated Solar Class 2</t>
  </si>
  <si>
    <t>ELCSOLGRDCSPC220</t>
  </si>
  <si>
    <t>Concentrated Solar Class 3</t>
  </si>
  <si>
    <t>ELCSOLGRDCSPC320</t>
  </si>
  <si>
    <t>Onshore Wind Turbine Class 1</t>
  </si>
  <si>
    <t>Wind</t>
  </si>
  <si>
    <t>ELCWNDGRDWONC120</t>
  </si>
  <si>
    <t>Onshore Wind Turbine Class 2</t>
  </si>
  <si>
    <t>ELCWNDGRDWONC220</t>
  </si>
  <si>
    <t>Onshore Wind Turbine Class 3</t>
  </si>
  <si>
    <t>ELCWNDGRDWONC320</t>
  </si>
  <si>
    <t>Onshore Wind Turbine Class 4</t>
  </si>
  <si>
    <t>ELCWNDGRDWONC420</t>
  </si>
  <si>
    <t>Onshore Wind Turbine Class 5</t>
  </si>
  <si>
    <t>ELCWNDGRDWONC520</t>
  </si>
  <si>
    <t>Onshore Wind Turbine Class 6</t>
  </si>
  <si>
    <t>ELCWNDGRDWONC620</t>
  </si>
  <si>
    <t>Onshore Wind Turbine Class 7</t>
  </si>
  <si>
    <t>ELCWNDGRDWONC720</t>
  </si>
  <si>
    <t>Onshore Wind Turbine Class 8</t>
  </si>
  <si>
    <t>ELCWNDGRDWONC820</t>
  </si>
  <si>
    <t>Onshore Wind Turbine Class 9</t>
  </si>
  <si>
    <t>ELCWNDGRDWONC920</t>
  </si>
  <si>
    <t>Onshore Wind Turbine Class 10</t>
  </si>
  <si>
    <t>ELCWNDGRDWONC1020</t>
  </si>
  <si>
    <t>Offshore Wind Turbine Class 1</t>
  </si>
  <si>
    <t>ELCWNDGRDWOFC120</t>
  </si>
  <si>
    <t>Offshore Wind Turbine Class 2</t>
  </si>
  <si>
    <t>ELCWNDGRDWOFC220</t>
  </si>
  <si>
    <t>Offshore Wind Turbine Class 3</t>
  </si>
  <si>
    <t>ELCWNDGRDWOFC320</t>
  </si>
  <si>
    <t>Offshore Wind Turbine Class 4</t>
  </si>
  <si>
    <t>ELCWNDGRDWOFC420</t>
  </si>
  <si>
    <t>Offshore Wind Turbine Class 5</t>
  </si>
  <si>
    <t>ELCWNDGRDWOFC520</t>
  </si>
  <si>
    <t>Offshore Wind Turbine Class 6</t>
  </si>
  <si>
    <t>ELCWNDGRDWOFC620</t>
  </si>
  <si>
    <t>Offshore Wind Turbine Class 7</t>
  </si>
  <si>
    <t>ELCWNDGRDWOFC720</t>
  </si>
  <si>
    <t>Offshore Wind Turbine Class 8</t>
  </si>
  <si>
    <t>ELCWNDGRDWOFC820</t>
  </si>
  <si>
    <t>Offshore Wind Turbine Class 9</t>
  </si>
  <si>
    <t>ELCWNDGRDWOFC920</t>
  </si>
  <si>
    <t>Offshore Wind Turbine Class 10</t>
  </si>
  <si>
    <t>ELCWNDGRDWOFC1020</t>
  </si>
  <si>
    <t>Offshore Wind Turbine Class 11</t>
  </si>
  <si>
    <t>ELCWNDGRDWOFC1120</t>
  </si>
  <si>
    <t>Offshore Wind Turbine Class 12</t>
  </si>
  <si>
    <t>ELCWNDGRDWOFC1220</t>
  </si>
  <si>
    <t>Offshore Wind Turbine Class 13</t>
  </si>
  <si>
    <t>ELCWNDGRDWOFC1320</t>
  </si>
  <si>
    <t>Offshore Wind Turbine Class 14</t>
  </si>
  <si>
    <t>ELCWNDGRDWOFC1420</t>
  </si>
  <si>
    <t>Utility PV Class 1</t>
  </si>
  <si>
    <t>ELCSOLGRDUPVC120</t>
  </si>
  <si>
    <t>Utility PV Class 2</t>
  </si>
  <si>
    <t>ELCSOLGRDUPVC220</t>
  </si>
  <si>
    <t>Utility PV Class 3</t>
  </si>
  <si>
    <t>ELCSOLGRDUPVC320</t>
  </si>
  <si>
    <t>Utility PV Class 4</t>
  </si>
  <si>
    <t>ELCSOLGRDUPVC420</t>
  </si>
  <si>
    <t>Utility PV Class 5</t>
  </si>
  <si>
    <t>ELCSOLGRDUPVC520</t>
  </si>
  <si>
    <t>Baseload</t>
  </si>
  <si>
    <t>Deep EGS Binary</t>
  </si>
  <si>
    <t>Geothermal</t>
  </si>
  <si>
    <t>ELCGEOGRDDEGSB20</t>
  </si>
  <si>
    <t>Deep EGS Flash</t>
  </si>
  <si>
    <t>ELCGEOGRDDEGSF20</t>
  </si>
  <si>
    <t>Hydrothermal Binary</t>
  </si>
  <si>
    <t>ELCGEOGRDHYDB20</t>
  </si>
  <si>
    <t>Hydrothermal Flash</t>
  </si>
  <si>
    <t>ELCGEOGRDHYDF20</t>
  </si>
  <si>
    <t>Near Field EGS Binary</t>
  </si>
  <si>
    <t>ELCGEOGRDNEGSB20</t>
  </si>
  <si>
    <t>Near Field EGS Flash</t>
  </si>
  <si>
    <t>ELCGEOGRDNEGSF20</t>
  </si>
  <si>
    <t>Nuclear Power Plant</t>
  </si>
  <si>
    <t>Uranium</t>
  </si>
  <si>
    <t>ELCURNGRDNUCPP20</t>
  </si>
  <si>
    <t>Small Modular Reactor</t>
  </si>
  <si>
    <t>ELCURNGRDSMRPP20</t>
  </si>
  <si>
    <t>Dedicated Biopower Plant</t>
  </si>
  <si>
    <t>Biomass</t>
  </si>
  <si>
    <t>ELCBIOGRDBIODPP20</t>
  </si>
  <si>
    <t>Utility-Scale Battery Storage 10H</t>
  </si>
  <si>
    <t>ELCSTGGRDUBES10H20</t>
  </si>
  <si>
    <t>Utility-Scale Battery Storage 2H</t>
  </si>
  <si>
    <t>ELCSTGGRDUBES2H20</t>
  </si>
  <si>
    <t>Utility-Scale Battery Storage 4H</t>
  </si>
  <si>
    <t>ELCSTGGRDUBES4H20</t>
  </si>
  <si>
    <t>Utility-Scale Battery Storage 6H</t>
  </si>
  <si>
    <t>ELCSTGGRDUBES6H20</t>
  </si>
  <si>
    <t>Utility-Scale Battery Storage 8H</t>
  </si>
  <si>
    <t>ELCSTGGRDUBES8H20</t>
  </si>
  <si>
    <t>Coal Power Plant w/ 95% CCS</t>
  </si>
  <si>
    <t>Coal</t>
  </si>
  <si>
    <t>ELCCOAGRD95CCS20</t>
  </si>
  <si>
    <t>Coal Power Plant w/ 99% CCS</t>
  </si>
  <si>
    <t>ELCCOAGRD99CCS20</t>
  </si>
  <si>
    <t>Coal Power Plant Conventional</t>
  </si>
  <si>
    <t>ELCCOAGRDCONV20</t>
  </si>
  <si>
    <t>Coal Power Plant IGCC</t>
  </si>
  <si>
    <t>ELCCOAGRDIGCC20</t>
  </si>
  <si>
    <t>Retrofit Coal Power Plant w/ 90% CCS</t>
  </si>
  <si>
    <t>ELCCOAGRD90RCCS20</t>
  </si>
  <si>
    <t>Retrofit Coal Power Plant w/ 95% CCS</t>
  </si>
  <si>
    <t>ELCCOAGRD95RCCS20</t>
  </si>
  <si>
    <t>F-Frame Combustion Turbine</t>
  </si>
  <si>
    <t>Natural gas</t>
  </si>
  <si>
    <t>ELCNGAGRDFFCT20</t>
  </si>
  <si>
    <t>F-Frame Combined Cycle</t>
  </si>
  <si>
    <t>ELCNGAGRDFFCC20</t>
  </si>
  <si>
    <t>F-Frame Combined Cycle w/ 95% CCS</t>
  </si>
  <si>
    <t>ELCNGAGRDFFCC95CCS20</t>
  </si>
  <si>
    <t>F-Frame Combined Cycle w/ 97% CCS</t>
  </si>
  <si>
    <t>ELCNGAGRDFFCC97CCS20</t>
  </si>
  <si>
    <t>Retrofit F-Frame Combined Cycle w/ 90% CCS</t>
  </si>
  <si>
    <t>ELCNGAGRDFFCC90RCCS20</t>
  </si>
  <si>
    <t>Retrofit F-Frame Combined Cycle w/ 95% CCS</t>
  </si>
  <si>
    <t>ELCNGAGRDFFCC95RCCS20</t>
  </si>
  <si>
    <t>H-Frame Combined Cycle</t>
  </si>
  <si>
    <t>ELCNGAGRDHFCC20</t>
  </si>
  <si>
    <t>H-Frame Combined Cycle w/ 95% CCS</t>
  </si>
  <si>
    <t>ELCNGAGRDHFCC95CCS20</t>
  </si>
  <si>
    <t>H-Frame Combined Cycle w/ 97% CCS</t>
  </si>
  <si>
    <t>ELCNGAGRDHFCC97CCS20</t>
  </si>
  <si>
    <t>Retrofit H-Frame Combined Cycle w/ 90% CCS</t>
  </si>
  <si>
    <t>ELCNGAGRDHFCC90RCCS20</t>
  </si>
  <si>
    <t>Retrofit H-Frame Combined Cycle w/ 95% CCS</t>
  </si>
  <si>
    <t>ELCNGAGRDHFCC95RCCS20</t>
  </si>
  <si>
    <t>Decentralized</t>
  </si>
  <si>
    <t>Commercial DW - Class 10</t>
  </si>
  <si>
    <t>ELCWNDDCECDWC1020</t>
  </si>
  <si>
    <t>Commercial DW - Class 1</t>
  </si>
  <si>
    <t>ELCWNDDCECDWC120</t>
  </si>
  <si>
    <t>Commercial DW - Class 2</t>
  </si>
  <si>
    <t>ELCWNDDCECDWC220</t>
  </si>
  <si>
    <t>Commercial DW - Class 3</t>
  </si>
  <si>
    <t>ELCWNDDCECDWC320</t>
  </si>
  <si>
    <t>Commercial DW - Class 4</t>
  </si>
  <si>
    <t>ELCWNDDCECDWC420</t>
  </si>
  <si>
    <t>Commercial DW - Class 5</t>
  </si>
  <si>
    <t>ELCWNDDCECDWC520</t>
  </si>
  <si>
    <t>Commercial DW - Class 6</t>
  </si>
  <si>
    <t>ELCWNDDCECDWC620</t>
  </si>
  <si>
    <t>Commercial DW - Class 7</t>
  </si>
  <si>
    <t>ELCWNDDCECDWC720</t>
  </si>
  <si>
    <t>Commercial DW - Class 8</t>
  </si>
  <si>
    <t>ELCWNDDCECDWC820</t>
  </si>
  <si>
    <t>Commercial DW - Class 9</t>
  </si>
  <si>
    <t>ELCWNDDCECDWC920</t>
  </si>
  <si>
    <t>Residential DW - Class 10</t>
  </si>
  <si>
    <t>ELCWNDDCERDWC1020</t>
  </si>
  <si>
    <t>Residential DW - Class 1</t>
  </si>
  <si>
    <t>ELCWNDDCERDWC120</t>
  </si>
  <si>
    <t>Residential DW - Class 2</t>
  </si>
  <si>
    <t>ELCWNDDCERDWC220</t>
  </si>
  <si>
    <t>Residential DW - Class 3</t>
  </si>
  <si>
    <t>ELCWNDDCERDWC320</t>
  </si>
  <si>
    <t>Residential DW - Class 4</t>
  </si>
  <si>
    <t>ELCWNDDCERDWC420</t>
  </si>
  <si>
    <t>Residential DW - Class 5</t>
  </si>
  <si>
    <t>ELCWNDDCERDWC520</t>
  </si>
  <si>
    <t>Residential DW - Class 6</t>
  </si>
  <si>
    <t>ELCWNDDCERDWC620</t>
  </si>
  <si>
    <t>Residential DW - Class 7</t>
  </si>
  <si>
    <t>ELCWNDDCERDWC720</t>
  </si>
  <si>
    <t>Residential DW - Class 8</t>
  </si>
  <si>
    <t>ELCWNDDCERDWC820</t>
  </si>
  <si>
    <t>Residential DW - Class 9</t>
  </si>
  <si>
    <t>ELCWNDDCERDWC920</t>
  </si>
  <si>
    <t>Residential PV - Class 10</t>
  </si>
  <si>
    <t>ELCSOLDCERDPV1020</t>
  </si>
  <si>
    <t>Residential PV - Class 1</t>
  </si>
  <si>
    <t>ELCSOLDCERDPV120</t>
  </si>
  <si>
    <t>Residential PV - Class 2</t>
  </si>
  <si>
    <t>ELCSOLDCERDPV220</t>
  </si>
  <si>
    <t>Residential PV - Class 3</t>
  </si>
  <si>
    <t>ELCSOLDCERDPV320</t>
  </si>
  <si>
    <t>Residential PV - Class 4</t>
  </si>
  <si>
    <t>ELCSOLDCERDPV420</t>
  </si>
  <si>
    <t>Residential PV - Class 5</t>
  </si>
  <si>
    <t>ELCSOLDCERDPV520</t>
  </si>
  <si>
    <t>Residential PV - Class 6</t>
  </si>
  <si>
    <t>ELCSOLDCERDPV620</t>
  </si>
  <si>
    <t>Residential PV - Class 7</t>
  </si>
  <si>
    <t>ELCSOLDCERDPV720</t>
  </si>
  <si>
    <t>Residential PV - Class 8</t>
  </si>
  <si>
    <t>ELCSOLDCERDPV820</t>
  </si>
  <si>
    <t>Residential PV - Class 9</t>
  </si>
  <si>
    <t>ELCSOLDCERDPV920</t>
  </si>
  <si>
    <t>Commercial PV - Class 10</t>
  </si>
  <si>
    <t>ELCSOLDCECPV1020</t>
  </si>
  <si>
    <t>Commercial PV - Class 1</t>
  </si>
  <si>
    <t>ELCSOLDCECDPV120</t>
  </si>
  <si>
    <t>Commercial PV - Class 2</t>
  </si>
  <si>
    <t>ELCSOLDCECDPV220</t>
  </si>
  <si>
    <t>Commercial PV - Class 3</t>
  </si>
  <si>
    <t>ELCSOLDCECDPV320</t>
  </si>
  <si>
    <t>Commercial PV - Class 4</t>
  </si>
  <si>
    <t>ELCSOLDCECDPV420</t>
  </si>
  <si>
    <t>Commercial PV - Class 5</t>
  </si>
  <si>
    <t>ELCSOLDCECDPV520</t>
  </si>
  <si>
    <t>Commercial PV - Class 6</t>
  </si>
  <si>
    <t>ELCSOLDCECDPV620</t>
  </si>
  <si>
    <t>Commercial PV - Class 7</t>
  </si>
  <si>
    <t>ELCSOLDCECDPV720</t>
  </si>
  <si>
    <t>Commercial PV - Class 8</t>
  </si>
  <si>
    <t>ELCSOLDCECDPV820</t>
  </si>
  <si>
    <t>Commercial PV - Class 9</t>
  </si>
  <si>
    <t>ELCSOLDCECDPV920</t>
  </si>
  <si>
    <t>Residential Battery Storage - 5 kW - 12.5 kWh</t>
  </si>
  <si>
    <t>ELCSTGDCERBES2.5H20</t>
  </si>
  <si>
    <t>Residential Battery Storage - 5 kW - 20 kWh</t>
  </si>
  <si>
    <t>ELCSTGDCERBES4H20</t>
  </si>
  <si>
    <t>Commercial Battery Storage 1Hr</t>
  </si>
  <si>
    <t>ELCSTGDCECBES1H20</t>
  </si>
  <si>
    <t>Commercial Battery Storage 2Hr</t>
  </si>
  <si>
    <t>ELCSTGDCECBES2H20</t>
  </si>
  <si>
    <t>Commercial Battery Storage 4Hr</t>
  </si>
  <si>
    <t>ELCSTGDCECBES4H20</t>
  </si>
  <si>
    <t>Commercial Battery Storage 6Hr</t>
  </si>
  <si>
    <t>ELCSTGDCECBES6H20</t>
  </si>
  <si>
    <t>Commercial Battery Storage 8Hr</t>
  </si>
  <si>
    <t>ELCSTGDCECBES8H20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</si>
  <si>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</si>
  <si>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</si>
  <si>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</si>
  <si>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</si>
  <si>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</si>
  <si>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</si>
  <si>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</si>
  <si>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</si>
  <si>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</si>
  <si>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</si>
  <si>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</si>
  <si>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</si>
  <si>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</si>
  <si>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</si>
  <si>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</si>
  <si>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</si>
  <si>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</si>
  <si>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TJ</t>
  </si>
  <si>
    <t>MW</t>
  </si>
  <si>
    <t>DAYNITE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</si>
  <si>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</si>
  <si>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</si>
  <si>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</si>
  <si>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</si>
  <si>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</si>
  <si>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</si>
  <si>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</si>
  <si>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</si>
  <si>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</si>
  <si>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</si>
  <si>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</si>
  <si>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</si>
  <si>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</si>
  <si>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</si>
  <si>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</si>
  <si>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</si>
  <si>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ELCSOL</t>
  </si>
  <si>
    <t>ELCWND</t>
  </si>
  <si>
    <t>ELCHYD</t>
  </si>
  <si>
    <t>IDAM</t>
  </si>
  <si>
    <t>IDPM</t>
  </si>
  <si>
    <t>IP</t>
  </si>
  <si>
    <t>IN</t>
  </si>
  <si>
    <t>WDAM</t>
  </si>
  <si>
    <t>WDPM</t>
  </si>
  <si>
    <t>WP</t>
  </si>
  <si>
    <t>WN</t>
  </si>
  <si>
    <t>SDAM</t>
  </si>
  <si>
    <t>SDPM</t>
  </si>
  <si>
    <t>SP</t>
  </si>
  <si>
    <t>SN</t>
  </si>
  <si>
    <t>EFF</t>
  </si>
  <si>
    <t>STG_EFF</t>
  </si>
  <si>
    <t>NCAP_COST</t>
  </si>
  <si>
    <t>NCAP_FOM</t>
  </si>
  <si>
    <t>ACT_COST</t>
  </si>
  <si>
    <t>NCAP_AFA</t>
  </si>
  <si>
    <t>NCAP_AFC</t>
  </si>
  <si>
    <t>NCAP_AF</t>
  </si>
  <si>
    <t>~FI_T</t>
  </si>
  <si>
    <t>Comm-IN</t>
  </si>
  <si>
    <t>Comm-OUT</t>
  </si>
  <si>
    <t>NCAP_START</t>
  </si>
  <si>
    <t>NCAP_TLIFE</t>
  </si>
  <si>
    <t>PRC_CAPACT</t>
  </si>
  <si>
    <t>NCAP_PKCNT</t>
  </si>
  <si>
    <t>CAP_BND~UP</t>
  </si>
  <si>
    <t>*</t>
  </si>
  <si>
    <t>Yr</t>
  </si>
  <si>
    <t>TJ/MW</t>
  </si>
  <si>
    <t>%</t>
  </si>
  <si>
    <t>Out/In</t>
  </si>
  <si>
    <t>$/kW</t>
  </si>
  <si>
    <t>$/kW/yr</t>
  </si>
  <si>
    <t>$/GJ</t>
  </si>
  <si>
    <t>CELC</t>
  </si>
  <si>
    <t>RESELC</t>
  </si>
  <si>
    <t>COMELC</t>
  </si>
  <si>
    <t>Fuel</t>
  </si>
  <si>
    <t>Description</t>
  </si>
  <si>
    <t>LPG</t>
  </si>
  <si>
    <t>FOI</t>
  </si>
  <si>
    <t>Fuel oil</t>
  </si>
  <si>
    <t>KER</t>
  </si>
  <si>
    <t>Kerosene</t>
  </si>
  <si>
    <t>NGA</t>
  </si>
  <si>
    <t>RNG</t>
  </si>
  <si>
    <t>ELC</t>
  </si>
  <si>
    <t>H2G</t>
  </si>
  <si>
    <t>Hydrogen</t>
  </si>
  <si>
    <t>DSL</t>
  </si>
  <si>
    <t>Diesel</t>
  </si>
  <si>
    <t>GSL</t>
  </si>
  <si>
    <t>Gasoline</t>
  </si>
  <si>
    <t>PCK</t>
  </si>
  <si>
    <t>Petcoke</t>
  </si>
  <si>
    <t>COA</t>
  </si>
  <si>
    <t>ETH</t>
  </si>
  <si>
    <t>Ethanol</t>
  </si>
  <si>
    <t>AGA</t>
  </si>
  <si>
    <t>Aviation gasoline</t>
  </si>
  <si>
    <t>ATF</t>
  </si>
  <si>
    <t>Aviation turbo-fuel</t>
  </si>
  <si>
    <t>SAF</t>
  </si>
  <si>
    <t>Sustainable aviation fuel</t>
  </si>
  <si>
    <t>RDS</t>
  </si>
  <si>
    <t>Renewable diesel</t>
  </si>
  <si>
    <t>BDS</t>
  </si>
  <si>
    <t>Bio diesel</t>
  </si>
  <si>
    <t>CNG</t>
  </si>
  <si>
    <t>URN</t>
  </si>
  <si>
    <t>SOL</t>
  </si>
  <si>
    <t>WND</t>
  </si>
  <si>
    <t>BIO</t>
  </si>
  <si>
    <t>OTB</t>
  </si>
  <si>
    <t>Other bioenergy</t>
  </si>
  <si>
    <t>WAS</t>
  </si>
  <si>
    <t>Waste</t>
  </si>
  <si>
    <t>HET</t>
  </si>
  <si>
    <t>Waste heat</t>
  </si>
  <si>
    <t>STM</t>
  </si>
  <si>
    <t>Steam</t>
  </si>
  <si>
    <t>GEO</t>
  </si>
  <si>
    <t>HYD</t>
  </si>
  <si>
    <t>Centralized Electricity</t>
  </si>
  <si>
    <t>CH2G</t>
  </si>
  <si>
    <t>Centralized Hydrogen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</si>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</sst>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/>
    <xf numFmtId="0" fontId="6" fillId="0" borderId="0"/>
    <xf numFmtId="43" fontId="1" fillId="0" borderId="0"/>
  </cellStyleXfs>
  <cellXfs count="16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9" fontId="0" fillId="0" borderId="0" xfId="1" applyFont="1"/>
    <xf numFmtId="0" fontId="4" fillId="0" borderId="0" xfId="0" applyFont="1"/>
    <xf numFmtId="0" fontId="5" fillId="7" borderId="1" xfId="0" applyFont="1" applyFill="1" applyBorder="1"/>
    <xf numFmtId="0" fontId="6" fillId="8" borderId="2" xfId="2" applyFill="1" applyBorder="1" applyAlignment="1">
      <alignment horizontal="left" wrapText="1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43" fontId="0" fillId="0" borderId="0" xfId="3" applyFont="1"/>
  </cellXfs>
  <cellStyles count="4">
    <cellStyle name="Comma" xfId="3" builtinId="3"/>
    <cellStyle name="Normal" xfId="0" builtinId="0"/>
    <cellStyle name="Normal 10" xfId="2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G21" sqref="G21"/>
    </sheetView>
  </sheetViews>
  <sheetFormatPr defaultColWidth="8.85546875" defaultRowHeight="15" x14ac:dyDescent="0.25"/>
  <cols>
    <col min="1" max="27" width="8.85546875" style="2" customWidth="1"/>
    <col min="28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G21" sqref="G21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0" width="8.85546875" style="2" customWidth="1"/>
    <col min="41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83"/>
  <sheetViews>
    <sheetView workbookViewId="0">
      <selection activeCell="J10" sqref="J10"/>
    </sheetView>
  </sheetViews>
  <sheetFormatPr defaultRowHeight="15" x14ac:dyDescent="0.25"/>
  <cols>
    <col min="1" max="1" width="9.7109375" bestFit="1" customWidth="1"/>
    <col min="5" max="5" width="18.28515625" bestFit="1" customWidth="1"/>
    <col min="6" max="6" width="41.28515625" bestFit="1" customWidth="1"/>
    <col min="8" max="8" width="25.140625" bestFit="1" customWidth="1"/>
    <col min="9" max="9" width="25.140625" customWidth="1"/>
    <col min="10" max="10" width="22.85546875" bestFit="1" customWidth="1"/>
    <col min="11" max="11" width="17.28515625" bestFit="1" customWidth="1"/>
    <col min="12" max="12" width="20.28515625" bestFit="1" customWidth="1"/>
    <col min="13" max="13" width="10.7109375" style="13" customWidth="1"/>
    <col min="14" max="14" width="9.7109375" customWidth="1"/>
    <col min="15" max="22" width="8.28515625" customWidth="1"/>
    <col min="23" max="23" width="9.7109375" customWidth="1"/>
    <col min="24" max="30" width="6.7109375" customWidth="1"/>
    <col min="31" max="38" width="7.85546875" customWidth="1"/>
    <col min="39" max="39" width="10.28515625" customWidth="1"/>
    <col min="40" max="46" width="7.140625" customWidth="1"/>
    <col min="47" max="54" width="9.85546875" customWidth="1"/>
  </cols>
  <sheetData>
    <row r="1" spans="1:52" x14ac:dyDescent="0.25">
      <c r="M1">
        <v>2021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  <c r="T1">
        <v>2100</v>
      </c>
      <c r="U1">
        <v>2021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2100</v>
      </c>
      <c r="AC1">
        <v>2021</v>
      </c>
      <c r="AD1">
        <v>2025</v>
      </c>
      <c r="AE1">
        <v>2030</v>
      </c>
      <c r="AF1">
        <v>2035</v>
      </c>
      <c r="AG1">
        <v>2040</v>
      </c>
      <c r="AH1">
        <v>2045</v>
      </c>
      <c r="AI1">
        <v>2050</v>
      </c>
      <c r="AJ1">
        <v>2100</v>
      </c>
      <c r="AK1">
        <v>2021</v>
      </c>
      <c r="AL1">
        <v>2025</v>
      </c>
      <c r="AM1">
        <v>2030</v>
      </c>
      <c r="AN1">
        <v>2035</v>
      </c>
      <c r="AO1">
        <v>2040</v>
      </c>
      <c r="AP1">
        <v>2045</v>
      </c>
      <c r="AQ1">
        <v>2050</v>
      </c>
      <c r="AR1">
        <v>2100</v>
      </c>
      <c r="AS1">
        <v>2021</v>
      </c>
      <c r="AT1">
        <v>2025</v>
      </c>
      <c r="AU1">
        <v>2030</v>
      </c>
      <c r="AV1">
        <v>2035</v>
      </c>
      <c r="AW1">
        <v>2040</v>
      </c>
      <c r="AX1">
        <v>2045</v>
      </c>
      <c r="AY1">
        <v>2050</v>
      </c>
      <c r="AZ1">
        <v>2100</v>
      </c>
    </row>
    <row r="2" spans="1:52" x14ac:dyDescent="0.25">
      <c r="M2" t="s">
        <v>71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71</v>
      </c>
      <c r="T2" t="s">
        <v>71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</row>
    <row r="3" spans="1:5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U3" t="s">
        <v>89</v>
      </c>
      <c r="AC3" t="s">
        <v>90</v>
      </c>
      <c r="AK3" t="s">
        <v>91</v>
      </c>
      <c r="AS3" t="s">
        <v>92</v>
      </c>
    </row>
    <row r="4" spans="1:52" x14ac:dyDescent="0.25">
      <c r="A4" t="s">
        <v>93</v>
      </c>
      <c r="B4" t="s">
        <v>94</v>
      </c>
      <c r="D4">
        <v>2020</v>
      </c>
      <c r="E4" t="s">
        <v>95</v>
      </c>
      <c r="F4" t="s">
        <v>96</v>
      </c>
      <c r="G4" t="s">
        <v>97</v>
      </c>
      <c r="H4" t="s">
        <v>98</v>
      </c>
      <c r="I4">
        <v>1</v>
      </c>
      <c r="J4">
        <v>0</v>
      </c>
      <c r="K4">
        <v>100</v>
      </c>
      <c r="L4">
        <v>31.536000000000001</v>
      </c>
      <c r="M4">
        <v>8970.368179309633</v>
      </c>
      <c r="N4">
        <v>8970.368179309633</v>
      </c>
      <c r="O4">
        <v>8970.368179309633</v>
      </c>
      <c r="P4">
        <v>8970.368179309633</v>
      </c>
      <c r="Q4">
        <v>8970.368179309633</v>
      </c>
      <c r="R4">
        <v>8970.368179309633</v>
      </c>
      <c r="S4">
        <v>8970.368179309633</v>
      </c>
      <c r="T4">
        <v>8970.368179309633</v>
      </c>
      <c r="U4">
        <v>161.69956506255861</v>
      </c>
      <c r="V4">
        <v>161.69956506255861</v>
      </c>
      <c r="W4">
        <v>161.69956506255861</v>
      </c>
      <c r="X4">
        <v>161.69956506255861</v>
      </c>
      <c r="Y4">
        <v>161.69956506255861</v>
      </c>
      <c r="Z4">
        <v>161.69956506255861</v>
      </c>
      <c r="AA4">
        <v>161.69956506255861</v>
      </c>
      <c r="AB4">
        <v>161.69956506255861</v>
      </c>
      <c r="AS4">
        <v>0.66</v>
      </c>
      <c r="AT4">
        <v>0.66</v>
      </c>
      <c r="AU4">
        <v>0.66</v>
      </c>
      <c r="AV4">
        <v>0.66</v>
      </c>
      <c r="AW4">
        <v>0.66</v>
      </c>
      <c r="AX4">
        <v>0.66</v>
      </c>
      <c r="AY4">
        <v>0.66</v>
      </c>
      <c r="AZ4">
        <v>0.66</v>
      </c>
    </row>
    <row r="5" spans="1:52" x14ac:dyDescent="0.25">
      <c r="A5" t="s">
        <v>93</v>
      </c>
      <c r="B5" t="s">
        <v>94</v>
      </c>
      <c r="D5">
        <v>2020</v>
      </c>
      <c r="E5" t="s">
        <v>95</v>
      </c>
      <c r="F5" t="s">
        <v>99</v>
      </c>
      <c r="G5" t="s">
        <v>97</v>
      </c>
      <c r="H5" t="s">
        <v>100</v>
      </c>
      <c r="I5">
        <v>1</v>
      </c>
      <c r="J5">
        <v>0</v>
      </c>
      <c r="K5">
        <v>100</v>
      </c>
      <c r="L5">
        <v>31.536000000000001</v>
      </c>
      <c r="M5">
        <v>8008.0861522590212</v>
      </c>
      <c r="N5">
        <v>8008.0861522590212</v>
      </c>
      <c r="O5">
        <v>8008.0861522590212</v>
      </c>
      <c r="P5">
        <v>8008.0861522590212</v>
      </c>
      <c r="Q5">
        <v>8008.0861522590212</v>
      </c>
      <c r="R5">
        <v>8008.0861522590212</v>
      </c>
      <c r="S5">
        <v>8008.0861522590212</v>
      </c>
      <c r="T5">
        <v>8008.0861522590212</v>
      </c>
      <c r="U5">
        <v>53.146010894687088</v>
      </c>
      <c r="V5">
        <v>53.146010894687088</v>
      </c>
      <c r="W5">
        <v>53.146010894687088</v>
      </c>
      <c r="X5">
        <v>53.146010894687088</v>
      </c>
      <c r="Y5">
        <v>53.146010894687088</v>
      </c>
      <c r="Z5">
        <v>53.146010894687088</v>
      </c>
      <c r="AA5">
        <v>53.146010894687088</v>
      </c>
      <c r="AB5">
        <v>53.146010894687088</v>
      </c>
      <c r="AS5">
        <v>0.66</v>
      </c>
      <c r="AT5">
        <v>0.66</v>
      </c>
      <c r="AU5">
        <v>0.66</v>
      </c>
      <c r="AV5">
        <v>0.66</v>
      </c>
      <c r="AW5">
        <v>0.66</v>
      </c>
      <c r="AX5">
        <v>0.66</v>
      </c>
      <c r="AY5">
        <v>0.66</v>
      </c>
      <c r="AZ5">
        <v>0.66</v>
      </c>
    </row>
    <row r="6" spans="1:52" x14ac:dyDescent="0.25">
      <c r="A6" t="s">
        <v>93</v>
      </c>
      <c r="B6" t="s">
        <v>94</v>
      </c>
      <c r="D6">
        <v>2020</v>
      </c>
      <c r="E6" t="s">
        <v>95</v>
      </c>
      <c r="F6" t="s">
        <v>101</v>
      </c>
      <c r="G6" t="s">
        <v>97</v>
      </c>
      <c r="H6" t="s">
        <v>102</v>
      </c>
      <c r="I6">
        <v>1</v>
      </c>
      <c r="J6">
        <v>0</v>
      </c>
      <c r="K6">
        <v>100</v>
      </c>
      <c r="L6">
        <v>31.536000000000001</v>
      </c>
      <c r="M6">
        <v>7842.9942886287163</v>
      </c>
      <c r="N6">
        <v>7842.9942886287163</v>
      </c>
      <c r="O6">
        <v>7842.9942886287163</v>
      </c>
      <c r="P6">
        <v>7842.9942886287163</v>
      </c>
      <c r="Q6">
        <v>7842.9942886287163</v>
      </c>
      <c r="R6">
        <v>7842.9942886287163</v>
      </c>
      <c r="S6">
        <v>7842.9942886287163</v>
      </c>
      <c r="T6">
        <v>7842.9942886287163</v>
      </c>
      <c r="U6">
        <v>152.65343554856929</v>
      </c>
      <c r="V6">
        <v>152.65343554856929</v>
      </c>
      <c r="W6">
        <v>152.65343554856929</v>
      </c>
      <c r="X6">
        <v>152.65343554856929</v>
      </c>
      <c r="Y6">
        <v>152.65343554856929</v>
      </c>
      <c r="Z6">
        <v>152.65343554856929</v>
      </c>
      <c r="AA6">
        <v>152.65343554856929</v>
      </c>
      <c r="AB6">
        <v>152.65343554856929</v>
      </c>
      <c r="AS6">
        <v>0.62</v>
      </c>
      <c r="AT6">
        <v>0.62</v>
      </c>
      <c r="AU6">
        <v>0.62</v>
      </c>
      <c r="AV6">
        <v>0.62</v>
      </c>
      <c r="AW6">
        <v>0.62</v>
      </c>
      <c r="AX6">
        <v>0.62</v>
      </c>
      <c r="AY6">
        <v>0.62</v>
      </c>
      <c r="AZ6">
        <v>0.62</v>
      </c>
    </row>
    <row r="7" spans="1:52" x14ac:dyDescent="0.25">
      <c r="A7" t="s">
        <v>93</v>
      </c>
      <c r="B7" t="s">
        <v>94</v>
      </c>
      <c r="D7">
        <v>2020</v>
      </c>
      <c r="E7" t="s">
        <v>95</v>
      </c>
      <c r="F7" t="s">
        <v>103</v>
      </c>
      <c r="G7" t="s">
        <v>97</v>
      </c>
      <c r="H7" t="s">
        <v>104</v>
      </c>
      <c r="I7">
        <v>1</v>
      </c>
      <c r="J7">
        <v>0</v>
      </c>
      <c r="K7">
        <v>100</v>
      </c>
      <c r="L7">
        <v>31.536000000000001</v>
      </c>
      <c r="M7">
        <v>7060.5040856686428</v>
      </c>
      <c r="N7">
        <v>7060.5040856686428</v>
      </c>
      <c r="O7">
        <v>7060.5040856686428</v>
      </c>
      <c r="P7">
        <v>7060.5040856686428</v>
      </c>
      <c r="Q7">
        <v>7060.5040856686428</v>
      </c>
      <c r="R7">
        <v>7060.5040856686428</v>
      </c>
      <c r="S7">
        <v>7060.5040856686428</v>
      </c>
      <c r="T7">
        <v>7060.5040856686428</v>
      </c>
      <c r="U7">
        <v>37.315284245205831</v>
      </c>
      <c r="V7">
        <v>37.315284245205831</v>
      </c>
      <c r="W7">
        <v>37.315284245205831</v>
      </c>
      <c r="X7">
        <v>37.315284245205831</v>
      </c>
      <c r="Y7">
        <v>37.315284245205831</v>
      </c>
      <c r="Z7">
        <v>37.315284245205831</v>
      </c>
      <c r="AA7">
        <v>37.315284245205831</v>
      </c>
      <c r="AB7">
        <v>37.315284245205831</v>
      </c>
      <c r="AS7">
        <v>0.66</v>
      </c>
      <c r="AT7">
        <v>0.66</v>
      </c>
      <c r="AU7">
        <v>0.66</v>
      </c>
      <c r="AV7">
        <v>0.66</v>
      </c>
      <c r="AW7">
        <v>0.66</v>
      </c>
      <c r="AX7">
        <v>0.66</v>
      </c>
      <c r="AY7">
        <v>0.66</v>
      </c>
      <c r="AZ7">
        <v>0.66</v>
      </c>
    </row>
    <row r="8" spans="1:52" x14ac:dyDescent="0.25">
      <c r="A8" t="s">
        <v>93</v>
      </c>
      <c r="B8" t="s">
        <v>94</v>
      </c>
      <c r="D8">
        <v>2020</v>
      </c>
      <c r="E8" t="s">
        <v>95</v>
      </c>
      <c r="F8" t="s">
        <v>105</v>
      </c>
      <c r="G8" t="s">
        <v>97</v>
      </c>
      <c r="H8" t="s">
        <v>106</v>
      </c>
      <c r="I8">
        <v>1</v>
      </c>
      <c r="J8">
        <v>0</v>
      </c>
      <c r="K8">
        <v>100</v>
      </c>
      <c r="L8">
        <v>31.536000000000001</v>
      </c>
      <c r="M8">
        <v>7060.5040856686428</v>
      </c>
      <c r="N8">
        <v>7060.5040856686428</v>
      </c>
      <c r="O8">
        <v>7060.5040856686428</v>
      </c>
      <c r="P8">
        <v>7060.5040856686428</v>
      </c>
      <c r="Q8">
        <v>7060.5040856686428</v>
      </c>
      <c r="R8">
        <v>7060.5040856686428</v>
      </c>
      <c r="S8">
        <v>7060.5040856686428</v>
      </c>
      <c r="T8">
        <v>7060.5040856686428</v>
      </c>
      <c r="U8">
        <v>37.315284245205831</v>
      </c>
      <c r="V8">
        <v>37.315284245205831</v>
      </c>
      <c r="W8">
        <v>37.315284245205831</v>
      </c>
      <c r="X8">
        <v>37.315284245205831</v>
      </c>
      <c r="Y8">
        <v>37.315284245205831</v>
      </c>
      <c r="Z8">
        <v>37.315284245205831</v>
      </c>
      <c r="AA8">
        <v>37.315284245205831</v>
      </c>
      <c r="AB8">
        <v>37.315284245205831</v>
      </c>
      <c r="AS8">
        <v>0.66</v>
      </c>
      <c r="AT8">
        <v>0.66</v>
      </c>
      <c r="AU8">
        <v>0.66</v>
      </c>
      <c r="AV8">
        <v>0.66</v>
      </c>
      <c r="AW8">
        <v>0.66</v>
      </c>
      <c r="AX8">
        <v>0.66</v>
      </c>
      <c r="AY8">
        <v>0.66</v>
      </c>
      <c r="AZ8">
        <v>0.66</v>
      </c>
    </row>
    <row r="9" spans="1:52" x14ac:dyDescent="0.25">
      <c r="A9" t="s">
        <v>93</v>
      </c>
      <c r="B9" t="s">
        <v>94</v>
      </c>
      <c r="D9">
        <v>2020</v>
      </c>
      <c r="E9" t="s">
        <v>107</v>
      </c>
      <c r="F9" t="s">
        <v>108</v>
      </c>
      <c r="G9" t="s">
        <v>97</v>
      </c>
      <c r="H9" t="s">
        <v>109</v>
      </c>
      <c r="I9">
        <v>1</v>
      </c>
      <c r="J9">
        <v>0</v>
      </c>
      <c r="K9">
        <v>100</v>
      </c>
      <c r="L9">
        <v>31.536000000000001</v>
      </c>
      <c r="M9">
        <v>8970.368179309633</v>
      </c>
      <c r="N9">
        <v>8970.368179309633</v>
      </c>
      <c r="O9">
        <v>8970.368179309633</v>
      </c>
      <c r="P9">
        <v>8970.368179309633</v>
      </c>
      <c r="Q9">
        <v>8970.368179309633</v>
      </c>
      <c r="R9">
        <v>8970.368179309633</v>
      </c>
      <c r="S9">
        <v>8970.368179309633</v>
      </c>
      <c r="T9">
        <v>8970.368179309633</v>
      </c>
      <c r="U9">
        <v>161.69956506255861</v>
      </c>
      <c r="V9">
        <v>161.69956506255861</v>
      </c>
      <c r="W9">
        <v>161.69956506255861</v>
      </c>
      <c r="X9">
        <v>161.69956506255861</v>
      </c>
      <c r="Y9">
        <v>161.69956506255861</v>
      </c>
      <c r="Z9">
        <v>161.69956506255861</v>
      </c>
      <c r="AA9">
        <v>161.69956506255861</v>
      </c>
      <c r="AB9">
        <v>161.69956506255861</v>
      </c>
      <c r="AS9">
        <v>0.66</v>
      </c>
      <c r="AT9">
        <v>0.66</v>
      </c>
      <c r="AU9">
        <v>0.66</v>
      </c>
      <c r="AV9">
        <v>0.66</v>
      </c>
      <c r="AW9">
        <v>0.66</v>
      </c>
      <c r="AX9">
        <v>0.66</v>
      </c>
      <c r="AY9">
        <v>0.66</v>
      </c>
      <c r="AZ9">
        <v>0.66</v>
      </c>
    </row>
    <row r="10" spans="1:52" x14ac:dyDescent="0.25">
      <c r="A10" t="s">
        <v>93</v>
      </c>
      <c r="B10" t="s">
        <v>94</v>
      </c>
      <c r="D10">
        <v>2020</v>
      </c>
      <c r="E10" t="s">
        <v>107</v>
      </c>
      <c r="F10" t="s">
        <v>110</v>
      </c>
      <c r="G10" t="s">
        <v>97</v>
      </c>
      <c r="H10" t="s">
        <v>111</v>
      </c>
      <c r="I10">
        <v>1</v>
      </c>
      <c r="J10">
        <v>0</v>
      </c>
      <c r="K10">
        <v>100</v>
      </c>
      <c r="L10">
        <v>31.536000000000001</v>
      </c>
      <c r="M10">
        <v>8008.0861522590212</v>
      </c>
      <c r="N10">
        <v>8008.0861522590212</v>
      </c>
      <c r="O10">
        <v>8008.0861522590212</v>
      </c>
      <c r="P10">
        <v>8008.0861522590212</v>
      </c>
      <c r="Q10">
        <v>8008.0861522590212</v>
      </c>
      <c r="R10">
        <v>8008.0861522590212</v>
      </c>
      <c r="S10">
        <v>8008.0861522590212</v>
      </c>
      <c r="T10">
        <v>8008.0861522590212</v>
      </c>
      <c r="U10">
        <v>53.146010894687088</v>
      </c>
      <c r="V10">
        <v>53.146010894687088</v>
      </c>
      <c r="W10">
        <v>53.146010894687088</v>
      </c>
      <c r="X10">
        <v>53.146010894687088</v>
      </c>
      <c r="Y10">
        <v>53.146010894687088</v>
      </c>
      <c r="Z10">
        <v>53.146010894687088</v>
      </c>
      <c r="AA10">
        <v>53.146010894687088</v>
      </c>
      <c r="AB10">
        <v>53.146010894687088</v>
      </c>
      <c r="AS10">
        <v>0.66</v>
      </c>
      <c r="AT10">
        <v>0.66</v>
      </c>
      <c r="AU10">
        <v>0.66</v>
      </c>
      <c r="AV10">
        <v>0.66</v>
      </c>
      <c r="AW10">
        <v>0.66</v>
      </c>
      <c r="AX10">
        <v>0.66</v>
      </c>
      <c r="AY10">
        <v>0.66</v>
      </c>
      <c r="AZ10">
        <v>0.66</v>
      </c>
    </row>
    <row r="11" spans="1:52" x14ac:dyDescent="0.25">
      <c r="A11" t="s">
        <v>93</v>
      </c>
      <c r="B11" t="s">
        <v>94</v>
      </c>
      <c r="D11">
        <v>2020</v>
      </c>
      <c r="E11" t="s">
        <v>107</v>
      </c>
      <c r="F11" t="s">
        <v>112</v>
      </c>
      <c r="G11" t="s">
        <v>97</v>
      </c>
      <c r="H11" t="s">
        <v>113</v>
      </c>
      <c r="I11">
        <v>1</v>
      </c>
      <c r="J11">
        <v>0</v>
      </c>
      <c r="K11">
        <v>100</v>
      </c>
      <c r="L11">
        <v>31.536000000000001</v>
      </c>
      <c r="M11">
        <v>7842.9942886287163</v>
      </c>
      <c r="N11">
        <v>7842.9942886287163</v>
      </c>
      <c r="O11">
        <v>7842.9942886287163</v>
      </c>
      <c r="P11">
        <v>7842.9942886287163</v>
      </c>
      <c r="Q11">
        <v>7842.9942886287163</v>
      </c>
      <c r="R11">
        <v>7842.9942886287163</v>
      </c>
      <c r="S11">
        <v>7842.9942886287163</v>
      </c>
      <c r="T11">
        <v>7842.9942886287163</v>
      </c>
      <c r="U11">
        <v>152.65343554856929</v>
      </c>
      <c r="V11">
        <v>152.65343554856929</v>
      </c>
      <c r="W11">
        <v>152.65343554856929</v>
      </c>
      <c r="X11">
        <v>152.65343554856929</v>
      </c>
      <c r="Y11">
        <v>152.65343554856929</v>
      </c>
      <c r="Z11">
        <v>152.65343554856929</v>
      </c>
      <c r="AA11">
        <v>152.65343554856929</v>
      </c>
      <c r="AB11">
        <v>152.65343554856929</v>
      </c>
      <c r="AS11">
        <v>0.62</v>
      </c>
      <c r="AT11">
        <v>0.62</v>
      </c>
      <c r="AU11">
        <v>0.62</v>
      </c>
      <c r="AV11">
        <v>0.62</v>
      </c>
      <c r="AW11">
        <v>0.62</v>
      </c>
      <c r="AX11">
        <v>0.62</v>
      </c>
      <c r="AY11">
        <v>0.62</v>
      </c>
      <c r="AZ11">
        <v>0.62</v>
      </c>
    </row>
    <row r="12" spans="1:52" x14ac:dyDescent="0.25">
      <c r="A12" t="s">
        <v>93</v>
      </c>
      <c r="B12" t="s">
        <v>94</v>
      </c>
      <c r="D12">
        <v>2020</v>
      </c>
      <c r="E12" t="s">
        <v>107</v>
      </c>
      <c r="F12" t="s">
        <v>114</v>
      </c>
      <c r="G12" t="s">
        <v>97</v>
      </c>
      <c r="H12" t="s">
        <v>115</v>
      </c>
      <c r="I12">
        <v>1</v>
      </c>
      <c r="J12">
        <v>0</v>
      </c>
      <c r="K12">
        <v>100</v>
      </c>
      <c r="L12">
        <v>31.536000000000001</v>
      </c>
      <c r="M12">
        <v>7060.5040856686428</v>
      </c>
      <c r="N12">
        <v>7060.5040856686428</v>
      </c>
      <c r="O12">
        <v>7060.5040856686428</v>
      </c>
      <c r="P12">
        <v>7060.5040856686428</v>
      </c>
      <c r="Q12">
        <v>7060.5040856686428</v>
      </c>
      <c r="R12">
        <v>7060.5040856686428</v>
      </c>
      <c r="S12">
        <v>7060.5040856686428</v>
      </c>
      <c r="T12">
        <v>7060.5040856686428</v>
      </c>
      <c r="U12">
        <v>37.315284245205831</v>
      </c>
      <c r="V12">
        <v>37.315284245205831</v>
      </c>
      <c r="W12">
        <v>37.315284245205831</v>
      </c>
      <c r="X12">
        <v>37.315284245205831</v>
      </c>
      <c r="Y12">
        <v>37.315284245205831</v>
      </c>
      <c r="Z12">
        <v>37.315284245205831</v>
      </c>
      <c r="AA12">
        <v>37.315284245205831</v>
      </c>
      <c r="AB12">
        <v>37.315284245205831</v>
      </c>
      <c r="AS12">
        <v>0.66</v>
      </c>
      <c r="AT12">
        <v>0.66</v>
      </c>
      <c r="AU12">
        <v>0.66</v>
      </c>
      <c r="AV12">
        <v>0.66</v>
      </c>
      <c r="AW12">
        <v>0.66</v>
      </c>
      <c r="AX12">
        <v>0.66</v>
      </c>
      <c r="AY12">
        <v>0.66</v>
      </c>
      <c r="AZ12">
        <v>0.66</v>
      </c>
    </row>
    <row r="13" spans="1:52" x14ac:dyDescent="0.25">
      <c r="A13" t="s">
        <v>93</v>
      </c>
      <c r="B13" t="s">
        <v>94</v>
      </c>
      <c r="D13">
        <v>2020</v>
      </c>
      <c r="E13" t="s">
        <v>107</v>
      </c>
      <c r="F13" t="s">
        <v>116</v>
      </c>
      <c r="G13" t="s">
        <v>97</v>
      </c>
      <c r="H13" t="s">
        <v>117</v>
      </c>
      <c r="I13">
        <v>1</v>
      </c>
      <c r="J13">
        <v>0</v>
      </c>
      <c r="K13">
        <v>100</v>
      </c>
      <c r="L13">
        <v>31.536000000000001</v>
      </c>
      <c r="M13">
        <v>7060.5040856686428</v>
      </c>
      <c r="N13">
        <v>7060.5040856686428</v>
      </c>
      <c r="O13">
        <v>7060.5040856686428</v>
      </c>
      <c r="P13">
        <v>7060.5040856686428</v>
      </c>
      <c r="Q13">
        <v>7060.5040856686428</v>
      </c>
      <c r="R13">
        <v>7060.5040856686428</v>
      </c>
      <c r="S13">
        <v>7060.5040856686428</v>
      </c>
      <c r="T13">
        <v>7060.5040856686428</v>
      </c>
      <c r="U13">
        <v>37.315284245205831</v>
      </c>
      <c r="V13">
        <v>37.315284245205831</v>
      </c>
      <c r="W13">
        <v>37.315284245205831</v>
      </c>
      <c r="X13">
        <v>37.315284245205831</v>
      </c>
      <c r="Y13">
        <v>37.315284245205831</v>
      </c>
      <c r="Z13">
        <v>37.315284245205831</v>
      </c>
      <c r="AA13">
        <v>37.315284245205831</v>
      </c>
      <c r="AB13">
        <v>37.315284245205831</v>
      </c>
      <c r="AS13">
        <v>0.66</v>
      </c>
      <c r="AT13">
        <v>0.66</v>
      </c>
      <c r="AU13">
        <v>0.66</v>
      </c>
      <c r="AV13">
        <v>0.66</v>
      </c>
      <c r="AW13">
        <v>0.66</v>
      </c>
      <c r="AX13">
        <v>0.66</v>
      </c>
      <c r="AY13">
        <v>0.66</v>
      </c>
      <c r="AZ13">
        <v>0.66</v>
      </c>
    </row>
    <row r="14" spans="1:52" x14ac:dyDescent="0.25">
      <c r="A14" t="s">
        <v>93</v>
      </c>
      <c r="B14" t="s">
        <v>94</v>
      </c>
      <c r="D14">
        <v>2020</v>
      </c>
      <c r="E14" t="s">
        <v>107</v>
      </c>
      <c r="F14" t="s">
        <v>118</v>
      </c>
      <c r="G14" t="s">
        <v>97</v>
      </c>
      <c r="H14" t="s">
        <v>119</v>
      </c>
      <c r="I14">
        <v>1</v>
      </c>
      <c r="J14">
        <v>0</v>
      </c>
      <c r="K14">
        <v>100</v>
      </c>
      <c r="L14">
        <v>31.536000000000001</v>
      </c>
      <c r="M14">
        <v>3188.760653681225</v>
      </c>
      <c r="N14">
        <v>3188.760653681225</v>
      </c>
      <c r="O14">
        <v>3188.760653681225</v>
      </c>
      <c r="P14">
        <v>3188.760653681225</v>
      </c>
      <c r="Q14">
        <v>3060.9840742961269</v>
      </c>
      <c r="R14">
        <v>3060.9840742961269</v>
      </c>
      <c r="S14">
        <v>3060.9840742961269</v>
      </c>
      <c r="T14">
        <v>3060.9840742961269</v>
      </c>
      <c r="U14">
        <v>96.115126086136229</v>
      </c>
      <c r="V14">
        <v>96.115126086136229</v>
      </c>
      <c r="W14">
        <v>96.115126086136229</v>
      </c>
      <c r="X14">
        <v>96.115126086136229</v>
      </c>
      <c r="Y14">
        <v>92.722827518390247</v>
      </c>
      <c r="Z14">
        <v>92.722827518390247</v>
      </c>
      <c r="AA14">
        <v>92.722827518390247</v>
      </c>
      <c r="AB14">
        <v>92.722827518390247</v>
      </c>
      <c r="AS14">
        <v>0.33</v>
      </c>
      <c r="AT14">
        <v>0.33</v>
      </c>
      <c r="AU14">
        <v>0.33</v>
      </c>
      <c r="AV14">
        <v>0.33</v>
      </c>
      <c r="AW14">
        <v>0.33</v>
      </c>
      <c r="AX14">
        <v>0.33</v>
      </c>
      <c r="AY14">
        <v>0.33</v>
      </c>
      <c r="AZ14">
        <v>0.33</v>
      </c>
    </row>
    <row r="15" spans="1:52" x14ac:dyDescent="0.25">
      <c r="A15" t="s">
        <v>93</v>
      </c>
      <c r="B15" t="s">
        <v>94</v>
      </c>
      <c r="D15">
        <v>2020</v>
      </c>
      <c r="E15" t="s">
        <v>107</v>
      </c>
      <c r="F15" t="s">
        <v>120</v>
      </c>
      <c r="G15" t="s">
        <v>97</v>
      </c>
      <c r="H15" t="s">
        <v>121</v>
      </c>
      <c r="I15">
        <v>1</v>
      </c>
      <c r="J15">
        <v>0</v>
      </c>
      <c r="K15">
        <v>100</v>
      </c>
      <c r="L15">
        <v>31.536000000000001</v>
      </c>
      <c r="M15">
        <v>6253.1370265450987</v>
      </c>
      <c r="N15">
        <v>6253.1370265450987</v>
      </c>
      <c r="O15">
        <v>4777.4871495755951</v>
      </c>
      <c r="P15">
        <v>3300.7065064168428</v>
      </c>
      <c r="Q15">
        <v>3168.40686227475</v>
      </c>
      <c r="R15">
        <v>3168.40686227475</v>
      </c>
      <c r="S15">
        <v>3168.40686227475</v>
      </c>
      <c r="T15">
        <v>3168.40686227475</v>
      </c>
      <c r="U15">
        <v>98.37665846463355</v>
      </c>
      <c r="V15">
        <v>98.37665846463355</v>
      </c>
      <c r="W15">
        <v>98.37665846463355</v>
      </c>
      <c r="X15">
        <v>98.37665846463355</v>
      </c>
      <c r="Y15">
        <v>93.853593707638908</v>
      </c>
      <c r="Z15">
        <v>93.853593707638908</v>
      </c>
      <c r="AA15">
        <v>93.853593707638908</v>
      </c>
      <c r="AB15">
        <v>93.853593707638908</v>
      </c>
      <c r="AS15">
        <v>0.41</v>
      </c>
      <c r="AT15">
        <v>0.41</v>
      </c>
      <c r="AU15">
        <v>0.37999999999999989</v>
      </c>
      <c r="AV15">
        <v>0.37999999999999989</v>
      </c>
      <c r="AW15">
        <v>0.37999999999999989</v>
      </c>
      <c r="AX15">
        <v>0.37999999999999989</v>
      </c>
      <c r="AY15">
        <v>0.37999999999999989</v>
      </c>
      <c r="AZ15">
        <v>0.37999999999999989</v>
      </c>
    </row>
    <row r="16" spans="1:52" x14ac:dyDescent="0.25">
      <c r="A16" t="s">
        <v>93</v>
      </c>
      <c r="B16" t="s">
        <v>94</v>
      </c>
      <c r="D16">
        <v>2020</v>
      </c>
      <c r="E16" t="s">
        <v>107</v>
      </c>
      <c r="F16" t="s">
        <v>122</v>
      </c>
      <c r="G16" t="s">
        <v>97</v>
      </c>
      <c r="H16" t="s">
        <v>123</v>
      </c>
      <c r="I16">
        <v>1</v>
      </c>
      <c r="J16">
        <v>0</v>
      </c>
      <c r="K16">
        <v>100</v>
      </c>
      <c r="L16">
        <v>31.536000000000001</v>
      </c>
      <c r="M16">
        <v>6382.0443721194461</v>
      </c>
      <c r="N16">
        <v>6382.0443721194461</v>
      </c>
      <c r="O16">
        <v>5010.4249845608192</v>
      </c>
      <c r="P16">
        <v>3638.8055970021928</v>
      </c>
      <c r="Q16">
        <v>3492.936758589115</v>
      </c>
      <c r="R16">
        <v>3492.936758589115</v>
      </c>
      <c r="S16">
        <v>3492.936758589115</v>
      </c>
      <c r="T16">
        <v>3492.936758589115</v>
      </c>
      <c r="U16">
        <v>117.5996836818608</v>
      </c>
      <c r="V16">
        <v>117.5996836818608</v>
      </c>
      <c r="W16">
        <v>117.5996836818608</v>
      </c>
      <c r="X16">
        <v>117.5996836818608</v>
      </c>
      <c r="Y16">
        <v>113.0766189248662</v>
      </c>
      <c r="Z16">
        <v>113.0766189248662</v>
      </c>
      <c r="AA16">
        <v>113.0766189248662</v>
      </c>
      <c r="AB16">
        <v>113.0766189248662</v>
      </c>
      <c r="AS16">
        <v>0.33</v>
      </c>
      <c r="AT16">
        <v>0.33</v>
      </c>
      <c r="AU16">
        <v>0.32</v>
      </c>
      <c r="AV16">
        <v>0.32</v>
      </c>
      <c r="AW16">
        <v>0.32</v>
      </c>
      <c r="AX16">
        <v>0.32</v>
      </c>
      <c r="AY16">
        <v>0.32</v>
      </c>
      <c r="AZ16">
        <v>0.32</v>
      </c>
    </row>
    <row r="17" spans="1:52" x14ac:dyDescent="0.25">
      <c r="A17" t="s">
        <v>93</v>
      </c>
      <c r="B17" t="s">
        <v>94</v>
      </c>
      <c r="D17">
        <v>2020</v>
      </c>
      <c r="E17" t="s">
        <v>107</v>
      </c>
      <c r="F17" t="s">
        <v>124</v>
      </c>
      <c r="G17" t="s">
        <v>97</v>
      </c>
      <c r="H17" t="s">
        <v>125</v>
      </c>
      <c r="I17">
        <v>1</v>
      </c>
      <c r="J17">
        <v>0</v>
      </c>
      <c r="K17">
        <v>100</v>
      </c>
      <c r="L17">
        <v>31.536000000000001</v>
      </c>
      <c r="M17">
        <v>14006.80078622317</v>
      </c>
      <c r="N17">
        <v>14006.80078622317</v>
      </c>
      <c r="O17">
        <v>11382.292460977031</v>
      </c>
      <c r="P17">
        <v>8758.9149019201323</v>
      </c>
      <c r="Q17">
        <v>8408.3773832530478</v>
      </c>
      <c r="R17">
        <v>8408.3773832530478</v>
      </c>
      <c r="S17">
        <v>8408.3773832530478</v>
      </c>
      <c r="T17">
        <v>8408.3773832530478</v>
      </c>
      <c r="U17">
        <v>196.7533169292671</v>
      </c>
      <c r="V17">
        <v>196.7533169292671</v>
      </c>
      <c r="W17">
        <v>196.7533169292671</v>
      </c>
      <c r="X17">
        <v>196.7533169292671</v>
      </c>
      <c r="Y17">
        <v>188.83795360452649</v>
      </c>
      <c r="Z17">
        <v>188.83795360452649</v>
      </c>
      <c r="AA17">
        <v>188.83795360452649</v>
      </c>
      <c r="AB17">
        <v>188.83795360452649</v>
      </c>
      <c r="AS17">
        <v>0.37999999999999989</v>
      </c>
      <c r="AT17">
        <v>0.37999999999999989</v>
      </c>
      <c r="AU17">
        <v>0.37999999999999989</v>
      </c>
      <c r="AV17">
        <v>0.37999999999999989</v>
      </c>
      <c r="AW17">
        <v>0.37999999999999989</v>
      </c>
      <c r="AX17">
        <v>0.37999999999999989</v>
      </c>
      <c r="AY17">
        <v>0.37999999999999989</v>
      </c>
      <c r="AZ17">
        <v>0.37999999999999989</v>
      </c>
    </row>
    <row r="18" spans="1:52" x14ac:dyDescent="0.25">
      <c r="A18" t="s">
        <v>93</v>
      </c>
      <c r="B18" t="s">
        <v>94</v>
      </c>
      <c r="D18">
        <v>2020</v>
      </c>
      <c r="E18" t="s">
        <v>107</v>
      </c>
      <c r="F18" t="s">
        <v>126</v>
      </c>
      <c r="G18" t="s">
        <v>97</v>
      </c>
      <c r="H18" t="s">
        <v>127</v>
      </c>
      <c r="I18">
        <v>1</v>
      </c>
      <c r="J18">
        <v>0</v>
      </c>
      <c r="K18">
        <v>100</v>
      </c>
      <c r="L18">
        <v>31.536000000000001</v>
      </c>
      <c r="M18">
        <v>14006.80078622317</v>
      </c>
      <c r="N18">
        <v>14006.80078622317</v>
      </c>
      <c r="O18">
        <v>11382.292460977031</v>
      </c>
      <c r="P18">
        <v>8758.9149019201323</v>
      </c>
      <c r="Q18">
        <v>8408.3773832530478</v>
      </c>
      <c r="R18">
        <v>8408.3773832530478</v>
      </c>
      <c r="S18">
        <v>8408.3773832530478</v>
      </c>
      <c r="T18">
        <v>8408.3773832530478</v>
      </c>
      <c r="U18">
        <v>196.7533169292671</v>
      </c>
      <c r="V18">
        <v>196.7533169292671</v>
      </c>
      <c r="W18">
        <v>196.7533169292671</v>
      </c>
      <c r="X18">
        <v>196.7533169292671</v>
      </c>
      <c r="Y18">
        <v>188.83795360452649</v>
      </c>
      <c r="Z18">
        <v>188.83795360452649</v>
      </c>
      <c r="AA18">
        <v>188.83795360452649</v>
      </c>
      <c r="AB18">
        <v>188.83795360452649</v>
      </c>
      <c r="AS18">
        <v>0.37999999999999989</v>
      </c>
      <c r="AT18">
        <v>0.37999999999999989</v>
      </c>
      <c r="AU18">
        <v>0.37999999999999989</v>
      </c>
      <c r="AV18">
        <v>0.37999999999999989</v>
      </c>
      <c r="AW18">
        <v>0.37999999999999989</v>
      </c>
      <c r="AX18">
        <v>0.37999999999999989</v>
      </c>
      <c r="AY18">
        <v>0.37999999999999989</v>
      </c>
      <c r="AZ18">
        <v>0.37999999999999989</v>
      </c>
    </row>
    <row r="19" spans="1:52" x14ac:dyDescent="0.25">
      <c r="A19" t="s">
        <v>93</v>
      </c>
      <c r="B19" t="s">
        <v>94</v>
      </c>
      <c r="D19">
        <v>2020</v>
      </c>
      <c r="E19" t="s">
        <v>95</v>
      </c>
      <c r="F19" t="s">
        <v>128</v>
      </c>
      <c r="G19" t="s">
        <v>97</v>
      </c>
      <c r="H19" t="s">
        <v>129</v>
      </c>
      <c r="I19">
        <v>1</v>
      </c>
      <c r="J19">
        <v>0</v>
      </c>
      <c r="K19">
        <v>100</v>
      </c>
      <c r="L19">
        <v>31.536000000000001</v>
      </c>
      <c r="M19">
        <v>3188.760653681225</v>
      </c>
      <c r="N19">
        <v>3188.760653681225</v>
      </c>
      <c r="O19">
        <v>3188.760653681225</v>
      </c>
      <c r="P19">
        <v>3188.760653681225</v>
      </c>
      <c r="Q19">
        <v>3060.9840742961269</v>
      </c>
      <c r="R19">
        <v>3060.9840742961269</v>
      </c>
      <c r="S19">
        <v>3060.9840742961269</v>
      </c>
      <c r="T19">
        <v>3060.9840742961269</v>
      </c>
      <c r="U19">
        <v>96.115126086136229</v>
      </c>
      <c r="V19">
        <v>96.115126086136229</v>
      </c>
      <c r="W19">
        <v>96.115126086136229</v>
      </c>
      <c r="X19">
        <v>96.115126086136229</v>
      </c>
      <c r="Y19">
        <v>92.722827518390247</v>
      </c>
      <c r="Z19">
        <v>92.722827518390247</v>
      </c>
      <c r="AA19">
        <v>92.722827518390247</v>
      </c>
      <c r="AB19">
        <v>92.722827518390247</v>
      </c>
      <c r="AS19">
        <v>0.33</v>
      </c>
      <c r="AT19">
        <v>0.33</v>
      </c>
      <c r="AU19">
        <v>0.33</v>
      </c>
      <c r="AV19">
        <v>0.33</v>
      </c>
      <c r="AW19">
        <v>0.33</v>
      </c>
      <c r="AX19">
        <v>0.33</v>
      </c>
      <c r="AY19">
        <v>0.33</v>
      </c>
      <c r="AZ19">
        <v>0.33</v>
      </c>
    </row>
    <row r="20" spans="1:52" x14ac:dyDescent="0.25">
      <c r="A20" t="s">
        <v>93</v>
      </c>
      <c r="B20" t="s">
        <v>94</v>
      </c>
      <c r="D20">
        <v>2020</v>
      </c>
      <c r="E20" t="s">
        <v>95</v>
      </c>
      <c r="F20" t="s">
        <v>130</v>
      </c>
      <c r="G20" t="s">
        <v>97</v>
      </c>
      <c r="H20" t="s">
        <v>131</v>
      </c>
      <c r="I20">
        <v>1</v>
      </c>
      <c r="J20">
        <v>0</v>
      </c>
      <c r="K20">
        <v>100</v>
      </c>
      <c r="L20">
        <v>31.536000000000001</v>
      </c>
      <c r="M20">
        <v>6253.1370265450987</v>
      </c>
      <c r="N20">
        <v>6253.1370265450987</v>
      </c>
      <c r="O20">
        <v>4777.4871495755951</v>
      </c>
      <c r="P20">
        <v>3300.7065064168428</v>
      </c>
      <c r="Q20">
        <v>3168.40686227475</v>
      </c>
      <c r="R20">
        <v>3168.40686227475</v>
      </c>
      <c r="S20">
        <v>3168.40686227475</v>
      </c>
      <c r="T20">
        <v>3168.40686227475</v>
      </c>
      <c r="U20">
        <v>98.37665846463355</v>
      </c>
      <c r="V20">
        <v>98.37665846463355</v>
      </c>
      <c r="W20">
        <v>98.37665846463355</v>
      </c>
      <c r="X20">
        <v>98.37665846463355</v>
      </c>
      <c r="Y20">
        <v>93.853593707638908</v>
      </c>
      <c r="Z20">
        <v>93.853593707638908</v>
      </c>
      <c r="AA20">
        <v>93.853593707638908</v>
      </c>
      <c r="AB20">
        <v>93.853593707638908</v>
      </c>
      <c r="AS20">
        <v>0.41</v>
      </c>
      <c r="AT20">
        <v>0.41</v>
      </c>
      <c r="AU20">
        <v>0.37999999999999989</v>
      </c>
      <c r="AV20">
        <v>0.37999999999999989</v>
      </c>
      <c r="AW20">
        <v>0.37999999999999989</v>
      </c>
      <c r="AX20">
        <v>0.37999999999999989</v>
      </c>
      <c r="AY20">
        <v>0.37999999999999989</v>
      </c>
      <c r="AZ20">
        <v>0.37999999999999989</v>
      </c>
    </row>
    <row r="21" spans="1:52" x14ac:dyDescent="0.25">
      <c r="A21" t="s">
        <v>93</v>
      </c>
      <c r="B21" t="s">
        <v>94</v>
      </c>
      <c r="D21">
        <v>2020</v>
      </c>
      <c r="E21" t="s">
        <v>95</v>
      </c>
      <c r="F21" t="s">
        <v>132</v>
      </c>
      <c r="G21" t="s">
        <v>97</v>
      </c>
      <c r="H21" t="s">
        <v>133</v>
      </c>
      <c r="I21">
        <v>1</v>
      </c>
      <c r="J21">
        <v>0</v>
      </c>
      <c r="K21">
        <v>100</v>
      </c>
      <c r="L21">
        <v>31.536000000000001</v>
      </c>
      <c r="M21">
        <v>6382.0443721194461</v>
      </c>
      <c r="N21">
        <v>6382.0443721194461</v>
      </c>
      <c r="O21">
        <v>5010.4249845608192</v>
      </c>
      <c r="P21">
        <v>3638.8055970021928</v>
      </c>
      <c r="Q21">
        <v>3492.936758589115</v>
      </c>
      <c r="R21">
        <v>3492.936758589115</v>
      </c>
      <c r="S21">
        <v>3492.936758589115</v>
      </c>
      <c r="T21">
        <v>3492.936758589115</v>
      </c>
      <c r="U21">
        <v>117.5996836818608</v>
      </c>
      <c r="V21">
        <v>117.5996836818608</v>
      </c>
      <c r="W21">
        <v>117.5996836818608</v>
      </c>
      <c r="X21">
        <v>117.5996836818608</v>
      </c>
      <c r="Y21">
        <v>113.0766189248662</v>
      </c>
      <c r="Z21">
        <v>113.0766189248662</v>
      </c>
      <c r="AA21">
        <v>113.0766189248662</v>
      </c>
      <c r="AB21">
        <v>113.0766189248662</v>
      </c>
      <c r="AS21">
        <v>0.33</v>
      </c>
      <c r="AT21">
        <v>0.33</v>
      </c>
      <c r="AU21">
        <v>0.32</v>
      </c>
      <c r="AV21">
        <v>0.32</v>
      </c>
      <c r="AW21">
        <v>0.32</v>
      </c>
      <c r="AX21">
        <v>0.32</v>
      </c>
      <c r="AY21">
        <v>0.32</v>
      </c>
      <c r="AZ21">
        <v>0.32</v>
      </c>
    </row>
    <row r="22" spans="1:52" x14ac:dyDescent="0.25">
      <c r="A22" t="s">
        <v>93</v>
      </c>
      <c r="B22" t="s">
        <v>94</v>
      </c>
      <c r="D22">
        <v>2020</v>
      </c>
      <c r="E22" t="s">
        <v>95</v>
      </c>
      <c r="F22" t="s">
        <v>134</v>
      </c>
      <c r="G22" t="s">
        <v>97</v>
      </c>
      <c r="H22" t="s">
        <v>135</v>
      </c>
      <c r="I22">
        <v>1</v>
      </c>
      <c r="J22">
        <v>0</v>
      </c>
      <c r="K22">
        <v>100</v>
      </c>
      <c r="L22">
        <v>31.536000000000001</v>
      </c>
      <c r="M22">
        <v>14006.80078622317</v>
      </c>
      <c r="N22">
        <v>14006.80078622317</v>
      </c>
      <c r="O22">
        <v>11382.292460977031</v>
      </c>
      <c r="P22">
        <v>8758.9149019201323</v>
      </c>
      <c r="Q22">
        <v>8408.3773832530478</v>
      </c>
      <c r="R22">
        <v>8408.3773832530478</v>
      </c>
      <c r="S22">
        <v>8408.3773832530478</v>
      </c>
      <c r="T22">
        <v>8408.3773832530478</v>
      </c>
      <c r="U22">
        <v>196.7533169292671</v>
      </c>
      <c r="V22">
        <v>196.7533169292671</v>
      </c>
      <c r="W22">
        <v>196.7533169292671</v>
      </c>
      <c r="X22">
        <v>196.7533169292671</v>
      </c>
      <c r="Y22">
        <v>188.83795360452649</v>
      </c>
      <c r="Z22">
        <v>188.83795360452649</v>
      </c>
      <c r="AA22">
        <v>188.83795360452649</v>
      </c>
      <c r="AB22">
        <v>188.83795360452649</v>
      </c>
      <c r="AS22">
        <v>0.37999999999999989</v>
      </c>
      <c r="AT22">
        <v>0.37999999999999989</v>
      </c>
      <c r="AU22">
        <v>0.37999999999999989</v>
      </c>
      <c r="AV22">
        <v>0.37999999999999989</v>
      </c>
      <c r="AW22">
        <v>0.37999999999999989</v>
      </c>
      <c r="AX22">
        <v>0.37999999999999989</v>
      </c>
      <c r="AY22">
        <v>0.37999999999999989</v>
      </c>
      <c r="AZ22">
        <v>0.37999999999999989</v>
      </c>
    </row>
    <row r="23" spans="1:52" x14ac:dyDescent="0.25">
      <c r="A23" t="s">
        <v>93</v>
      </c>
      <c r="B23" t="s">
        <v>94</v>
      </c>
      <c r="D23">
        <v>2020</v>
      </c>
      <c r="E23" t="s">
        <v>95</v>
      </c>
      <c r="F23" t="s">
        <v>136</v>
      </c>
      <c r="G23" t="s">
        <v>97</v>
      </c>
      <c r="H23" t="s">
        <v>137</v>
      </c>
      <c r="I23">
        <v>1</v>
      </c>
      <c r="J23">
        <v>0</v>
      </c>
      <c r="K23">
        <v>100</v>
      </c>
      <c r="L23">
        <v>31.536000000000001</v>
      </c>
      <c r="M23">
        <v>14006.80078622317</v>
      </c>
      <c r="N23">
        <v>14006.80078622317</v>
      </c>
      <c r="O23">
        <v>11382.292460977031</v>
      </c>
      <c r="P23">
        <v>8758.9149019201323</v>
      </c>
      <c r="Q23">
        <v>8408.3773832530478</v>
      </c>
      <c r="R23">
        <v>8408.3773832530478</v>
      </c>
      <c r="S23">
        <v>8408.3773832530478</v>
      </c>
      <c r="T23">
        <v>8408.3773832530478</v>
      </c>
      <c r="U23">
        <v>196.7533169292671</v>
      </c>
      <c r="V23">
        <v>196.7533169292671</v>
      </c>
      <c r="W23">
        <v>196.7533169292671</v>
      </c>
      <c r="X23">
        <v>196.7533169292671</v>
      </c>
      <c r="Y23">
        <v>188.83795360452649</v>
      </c>
      <c r="Z23">
        <v>188.83795360452649</v>
      </c>
      <c r="AA23">
        <v>188.83795360452649</v>
      </c>
      <c r="AB23">
        <v>188.83795360452649</v>
      </c>
      <c r="AS23">
        <v>0.37999999999999989</v>
      </c>
      <c r="AT23">
        <v>0.37999999999999989</v>
      </c>
      <c r="AU23">
        <v>0.37999999999999989</v>
      </c>
      <c r="AV23">
        <v>0.37999999999999989</v>
      </c>
      <c r="AW23">
        <v>0.37999999999999989</v>
      </c>
      <c r="AX23">
        <v>0.37999999999999989</v>
      </c>
      <c r="AY23">
        <v>0.37999999999999989</v>
      </c>
      <c r="AZ23">
        <v>0.37999999999999989</v>
      </c>
    </row>
    <row r="24" spans="1:52" x14ac:dyDescent="0.25">
      <c r="A24" t="s">
        <v>93</v>
      </c>
      <c r="B24" t="s">
        <v>94</v>
      </c>
      <c r="D24">
        <v>2020</v>
      </c>
      <c r="E24" t="s">
        <v>107</v>
      </c>
      <c r="F24" t="s">
        <v>138</v>
      </c>
      <c r="G24" t="s">
        <v>97</v>
      </c>
      <c r="H24" t="s">
        <v>139</v>
      </c>
      <c r="I24">
        <v>1</v>
      </c>
      <c r="J24">
        <v>0</v>
      </c>
      <c r="K24">
        <v>100</v>
      </c>
      <c r="L24">
        <v>31.536000000000001</v>
      </c>
      <c r="M24">
        <v>3188.760653681225</v>
      </c>
      <c r="N24">
        <v>3188.760653681225</v>
      </c>
      <c r="O24">
        <v>3188.760653681225</v>
      </c>
      <c r="P24">
        <v>3188.760653681225</v>
      </c>
      <c r="Q24">
        <v>3060.9840742961269</v>
      </c>
      <c r="R24">
        <v>3060.9840742961269</v>
      </c>
      <c r="S24">
        <v>3060.9840742961269</v>
      </c>
      <c r="T24">
        <v>3060.9840742961269</v>
      </c>
      <c r="U24">
        <v>96.115126086136229</v>
      </c>
      <c r="V24">
        <v>96.115126086136229</v>
      </c>
      <c r="W24">
        <v>96.115126086136229</v>
      </c>
      <c r="X24">
        <v>96.115126086136229</v>
      </c>
      <c r="Y24">
        <v>92.722827518390247</v>
      </c>
      <c r="Z24">
        <v>92.722827518390247</v>
      </c>
      <c r="AA24">
        <v>92.722827518390247</v>
      </c>
      <c r="AB24">
        <v>92.722827518390247</v>
      </c>
      <c r="AS24">
        <v>0.33</v>
      </c>
      <c r="AT24">
        <v>0.33</v>
      </c>
      <c r="AU24">
        <v>0.33</v>
      </c>
      <c r="AV24">
        <v>0.33</v>
      </c>
      <c r="AW24">
        <v>0.33</v>
      </c>
      <c r="AX24">
        <v>0.33</v>
      </c>
      <c r="AY24">
        <v>0.33</v>
      </c>
      <c r="AZ24">
        <v>0.33</v>
      </c>
    </row>
    <row r="25" spans="1:52" x14ac:dyDescent="0.25">
      <c r="A25" t="s">
        <v>93</v>
      </c>
      <c r="B25" t="s">
        <v>94</v>
      </c>
      <c r="D25">
        <v>2020</v>
      </c>
      <c r="E25" t="s">
        <v>107</v>
      </c>
      <c r="F25" t="s">
        <v>140</v>
      </c>
      <c r="G25" t="s">
        <v>97</v>
      </c>
      <c r="H25" t="s">
        <v>141</v>
      </c>
      <c r="I25">
        <v>1</v>
      </c>
      <c r="J25">
        <v>0</v>
      </c>
      <c r="K25">
        <v>100</v>
      </c>
      <c r="L25">
        <v>31.536000000000001</v>
      </c>
      <c r="M25">
        <v>6253.1370265450987</v>
      </c>
      <c r="N25">
        <v>6253.1370265450987</v>
      </c>
      <c r="O25">
        <v>4777.4871495755951</v>
      </c>
      <c r="P25">
        <v>3300.7065064168428</v>
      </c>
      <c r="Q25">
        <v>3168.40686227475</v>
      </c>
      <c r="R25">
        <v>3168.40686227475</v>
      </c>
      <c r="S25">
        <v>3168.40686227475</v>
      </c>
      <c r="T25">
        <v>3168.40686227475</v>
      </c>
      <c r="U25">
        <v>98.37665846463355</v>
      </c>
      <c r="V25">
        <v>98.37665846463355</v>
      </c>
      <c r="W25">
        <v>98.37665846463355</v>
      </c>
      <c r="X25">
        <v>98.37665846463355</v>
      </c>
      <c r="Y25">
        <v>93.853593707638908</v>
      </c>
      <c r="Z25">
        <v>93.853593707638908</v>
      </c>
      <c r="AA25">
        <v>93.853593707638908</v>
      </c>
      <c r="AB25">
        <v>93.853593707638908</v>
      </c>
      <c r="AS25">
        <v>0.41</v>
      </c>
      <c r="AT25">
        <v>0.41</v>
      </c>
      <c r="AU25">
        <v>0.37999999999999989</v>
      </c>
      <c r="AV25">
        <v>0.37999999999999989</v>
      </c>
      <c r="AW25">
        <v>0.37999999999999989</v>
      </c>
      <c r="AX25">
        <v>0.37999999999999989</v>
      </c>
      <c r="AY25">
        <v>0.37999999999999989</v>
      </c>
      <c r="AZ25">
        <v>0.37999999999999989</v>
      </c>
    </row>
    <row r="26" spans="1:52" x14ac:dyDescent="0.25">
      <c r="A26" t="s">
        <v>93</v>
      </c>
      <c r="B26" t="s">
        <v>94</v>
      </c>
      <c r="D26">
        <v>2020</v>
      </c>
      <c r="E26" t="s">
        <v>107</v>
      </c>
      <c r="F26" t="s">
        <v>142</v>
      </c>
      <c r="G26" t="s">
        <v>97</v>
      </c>
      <c r="H26" t="s">
        <v>143</v>
      </c>
      <c r="I26">
        <v>1</v>
      </c>
      <c r="J26">
        <v>0</v>
      </c>
      <c r="K26">
        <v>100</v>
      </c>
      <c r="L26">
        <v>31.536000000000001</v>
      </c>
      <c r="M26">
        <v>6382.0443721194461</v>
      </c>
      <c r="N26">
        <v>6382.0443721194461</v>
      </c>
      <c r="O26">
        <v>5010.4249845608192</v>
      </c>
      <c r="P26">
        <v>3638.8055970021928</v>
      </c>
      <c r="Q26">
        <v>3492.936758589115</v>
      </c>
      <c r="R26">
        <v>3492.936758589115</v>
      </c>
      <c r="S26">
        <v>3492.936758589115</v>
      </c>
      <c r="T26">
        <v>3492.936758589115</v>
      </c>
      <c r="U26">
        <v>117.5996836818608</v>
      </c>
      <c r="V26">
        <v>117.5996836818608</v>
      </c>
      <c r="W26">
        <v>117.5996836818608</v>
      </c>
      <c r="X26">
        <v>117.5996836818608</v>
      </c>
      <c r="Y26">
        <v>113.0766189248662</v>
      </c>
      <c r="Z26">
        <v>113.0766189248662</v>
      </c>
      <c r="AA26">
        <v>113.0766189248662</v>
      </c>
      <c r="AB26">
        <v>113.0766189248662</v>
      </c>
      <c r="AS26">
        <v>0.33</v>
      </c>
      <c r="AT26">
        <v>0.33</v>
      </c>
      <c r="AU26">
        <v>0.32</v>
      </c>
      <c r="AV26">
        <v>0.32</v>
      </c>
      <c r="AW26">
        <v>0.32</v>
      </c>
      <c r="AX26">
        <v>0.32</v>
      </c>
      <c r="AY26">
        <v>0.32</v>
      </c>
      <c r="AZ26">
        <v>0.32</v>
      </c>
    </row>
    <row r="27" spans="1:52" x14ac:dyDescent="0.25">
      <c r="A27" t="s">
        <v>93</v>
      </c>
      <c r="B27" t="s">
        <v>94</v>
      </c>
      <c r="D27">
        <v>2020</v>
      </c>
      <c r="E27" t="s">
        <v>107</v>
      </c>
      <c r="F27" t="s">
        <v>144</v>
      </c>
      <c r="G27" t="s">
        <v>97</v>
      </c>
      <c r="H27" t="s">
        <v>145</v>
      </c>
      <c r="I27">
        <v>1</v>
      </c>
      <c r="J27">
        <v>0</v>
      </c>
      <c r="K27">
        <v>100</v>
      </c>
      <c r="L27">
        <v>31.536000000000001</v>
      </c>
      <c r="M27">
        <v>14006.80078622317</v>
      </c>
      <c r="N27">
        <v>14006.80078622317</v>
      </c>
      <c r="O27">
        <v>11382.292460977031</v>
      </c>
      <c r="P27">
        <v>8758.9149019201323</v>
      </c>
      <c r="Q27">
        <v>8408.3773832530478</v>
      </c>
      <c r="R27">
        <v>8408.3773832530478</v>
      </c>
      <c r="S27">
        <v>8408.3773832530478</v>
      </c>
      <c r="T27">
        <v>8408.3773832530478</v>
      </c>
      <c r="U27">
        <v>196.7533169292671</v>
      </c>
      <c r="V27">
        <v>196.7533169292671</v>
      </c>
      <c r="W27">
        <v>196.7533169292671</v>
      </c>
      <c r="X27">
        <v>196.7533169292671</v>
      </c>
      <c r="Y27">
        <v>188.83795360452649</v>
      </c>
      <c r="Z27">
        <v>188.83795360452649</v>
      </c>
      <c r="AA27">
        <v>188.83795360452649</v>
      </c>
      <c r="AB27">
        <v>188.83795360452649</v>
      </c>
      <c r="AS27">
        <v>0.37999999999999989</v>
      </c>
      <c r="AT27">
        <v>0.37999999999999989</v>
      </c>
      <c r="AU27">
        <v>0.37999999999999989</v>
      </c>
      <c r="AV27">
        <v>0.37999999999999989</v>
      </c>
      <c r="AW27">
        <v>0.37999999999999989</v>
      </c>
      <c r="AX27">
        <v>0.37999999999999989</v>
      </c>
      <c r="AY27">
        <v>0.37999999999999989</v>
      </c>
      <c r="AZ27">
        <v>0.37999999999999989</v>
      </c>
    </row>
    <row r="28" spans="1:52" x14ac:dyDescent="0.25">
      <c r="A28" t="s">
        <v>93</v>
      </c>
      <c r="B28" t="s">
        <v>94</v>
      </c>
      <c r="D28">
        <v>2020</v>
      </c>
      <c r="E28" t="s">
        <v>107</v>
      </c>
      <c r="F28" t="s">
        <v>146</v>
      </c>
      <c r="G28" t="s">
        <v>97</v>
      </c>
      <c r="H28" t="s">
        <v>147</v>
      </c>
      <c r="I28">
        <v>1</v>
      </c>
      <c r="J28">
        <v>0</v>
      </c>
      <c r="K28">
        <v>100</v>
      </c>
      <c r="L28">
        <v>31.536000000000001</v>
      </c>
      <c r="M28">
        <v>14006.80078622317</v>
      </c>
      <c r="N28">
        <v>14006.80078622317</v>
      </c>
      <c r="O28">
        <v>11382.292460977031</v>
      </c>
      <c r="P28">
        <v>8758.9149019201323</v>
      </c>
      <c r="Q28">
        <v>8408.3773832530478</v>
      </c>
      <c r="R28">
        <v>8408.3773832530478</v>
      </c>
      <c r="S28">
        <v>8408.3773832530478</v>
      </c>
      <c r="T28">
        <v>8408.3773832530478</v>
      </c>
      <c r="U28">
        <v>196.7533169292671</v>
      </c>
      <c r="V28">
        <v>196.7533169292671</v>
      </c>
      <c r="W28">
        <v>196.7533169292671</v>
      </c>
      <c r="X28">
        <v>196.7533169292671</v>
      </c>
      <c r="Y28">
        <v>188.83795360452649</v>
      </c>
      <c r="Z28">
        <v>188.83795360452649</v>
      </c>
      <c r="AA28">
        <v>188.83795360452649</v>
      </c>
      <c r="AB28">
        <v>188.83795360452649</v>
      </c>
      <c r="AS28">
        <v>0.37999999999999989</v>
      </c>
      <c r="AT28">
        <v>0.37999999999999989</v>
      </c>
      <c r="AU28">
        <v>0.37999999999999989</v>
      </c>
      <c r="AV28">
        <v>0.37999999999999989</v>
      </c>
      <c r="AW28">
        <v>0.37999999999999989</v>
      </c>
      <c r="AX28">
        <v>0.37999999999999989</v>
      </c>
      <c r="AY28">
        <v>0.37999999999999989</v>
      </c>
      <c r="AZ28">
        <v>0.37999999999999989</v>
      </c>
    </row>
    <row r="29" spans="1:52" x14ac:dyDescent="0.25">
      <c r="A29" t="s">
        <v>93</v>
      </c>
      <c r="B29" t="s">
        <v>94</v>
      </c>
      <c r="D29">
        <v>2020</v>
      </c>
      <c r="E29" t="s">
        <v>148</v>
      </c>
      <c r="F29" t="s">
        <v>149</v>
      </c>
      <c r="G29" t="s">
        <v>148</v>
      </c>
      <c r="H29" t="s">
        <v>150</v>
      </c>
      <c r="I29">
        <v>1</v>
      </c>
      <c r="J29">
        <v>0</v>
      </c>
      <c r="K29">
        <v>100</v>
      </c>
      <c r="L29">
        <v>31.536000000000001</v>
      </c>
      <c r="M29">
        <v>2385.0937819360602</v>
      </c>
      <c r="N29">
        <v>2385.0937819360602</v>
      </c>
      <c r="O29">
        <v>2385.0937819360602</v>
      </c>
      <c r="P29">
        <v>2385.0937819360602</v>
      </c>
      <c r="Q29">
        <v>2385.0937819360602</v>
      </c>
      <c r="R29">
        <v>2385.0937819360602</v>
      </c>
      <c r="S29">
        <v>2385.0937819360602</v>
      </c>
      <c r="T29">
        <v>2385.0937819360602</v>
      </c>
      <c r="U29">
        <v>21.100097091380029</v>
      </c>
      <c r="V29">
        <v>21.100097091380029</v>
      </c>
      <c r="W29">
        <v>21.100097091380029</v>
      </c>
      <c r="X29">
        <v>21.100097091380029</v>
      </c>
      <c r="Y29">
        <v>21.100097091380029</v>
      </c>
      <c r="Z29">
        <v>21.100097091380029</v>
      </c>
      <c r="AA29">
        <v>21.100097091380029</v>
      </c>
      <c r="AB29">
        <v>21.100097091380029</v>
      </c>
      <c r="AC29">
        <v>0.1696149283872993</v>
      </c>
      <c r="AD29">
        <v>0.1696149283872993</v>
      </c>
      <c r="AE29">
        <v>0.1696149283872993</v>
      </c>
      <c r="AF29">
        <v>0.1696149283872993</v>
      </c>
      <c r="AG29">
        <v>0.1696149283872993</v>
      </c>
      <c r="AH29">
        <v>0.1696149283872993</v>
      </c>
      <c r="AI29">
        <v>0.1696149283872993</v>
      </c>
      <c r="AJ29">
        <v>0.1696149283872993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</row>
    <row r="30" spans="1:52" x14ac:dyDescent="0.25">
      <c r="A30" t="s">
        <v>93</v>
      </c>
      <c r="B30" t="s">
        <v>94</v>
      </c>
      <c r="D30">
        <v>2020</v>
      </c>
      <c r="E30" t="s">
        <v>148</v>
      </c>
      <c r="F30" t="s">
        <v>151</v>
      </c>
      <c r="G30" t="s">
        <v>148</v>
      </c>
      <c r="H30" t="s">
        <v>152</v>
      </c>
      <c r="I30">
        <v>1</v>
      </c>
      <c r="J30">
        <v>0</v>
      </c>
      <c r="K30">
        <v>100</v>
      </c>
      <c r="L30">
        <v>31.536000000000001</v>
      </c>
      <c r="M30">
        <v>2703.9530678386359</v>
      </c>
      <c r="N30">
        <v>2703.9530678386359</v>
      </c>
      <c r="O30">
        <v>2703.9530678386359</v>
      </c>
      <c r="P30">
        <v>2703.9530678386359</v>
      </c>
      <c r="Q30">
        <v>2703.9530678386359</v>
      </c>
      <c r="R30">
        <v>2703.9530678386359</v>
      </c>
      <c r="S30">
        <v>2703.9530678386359</v>
      </c>
      <c r="T30">
        <v>2703.9530678386359</v>
      </c>
      <c r="U30">
        <v>21.100097091380029</v>
      </c>
      <c r="V30">
        <v>21.100097091380029</v>
      </c>
      <c r="W30">
        <v>21.100097091380029</v>
      </c>
      <c r="X30">
        <v>21.100097091380029</v>
      </c>
      <c r="Y30">
        <v>21.100097091380029</v>
      </c>
      <c r="Z30">
        <v>21.100097091380029</v>
      </c>
      <c r="AA30">
        <v>21.100097091380029</v>
      </c>
      <c r="AB30">
        <v>21.100097091380029</v>
      </c>
      <c r="AC30">
        <v>0.1696149283872993</v>
      </c>
      <c r="AD30">
        <v>0.1696149283872993</v>
      </c>
      <c r="AE30">
        <v>0.1696149283872993</v>
      </c>
      <c r="AF30">
        <v>0.1696149283872993</v>
      </c>
      <c r="AG30">
        <v>0.1696149283872993</v>
      </c>
      <c r="AH30">
        <v>0.1696149283872993</v>
      </c>
      <c r="AI30">
        <v>0.1696149283872993</v>
      </c>
      <c r="AJ30">
        <v>0.1696149283872993</v>
      </c>
      <c r="AS30">
        <v>0.5</v>
      </c>
      <c r="AT30">
        <v>0.5</v>
      </c>
      <c r="AU30">
        <v>0.5</v>
      </c>
      <c r="AV30">
        <v>0.5</v>
      </c>
      <c r="AW30">
        <v>0.5</v>
      </c>
      <c r="AX30">
        <v>0.5</v>
      </c>
      <c r="AY30">
        <v>0.5</v>
      </c>
      <c r="AZ30">
        <v>0.5</v>
      </c>
    </row>
    <row r="31" spans="1:52" x14ac:dyDescent="0.25">
      <c r="A31" t="s">
        <v>93</v>
      </c>
      <c r="B31" t="s">
        <v>94</v>
      </c>
      <c r="D31">
        <v>2020</v>
      </c>
      <c r="E31" t="s">
        <v>148</v>
      </c>
      <c r="F31" t="s">
        <v>153</v>
      </c>
      <c r="G31" t="s">
        <v>148</v>
      </c>
      <c r="H31" t="s">
        <v>154</v>
      </c>
      <c r="I31">
        <v>1</v>
      </c>
      <c r="J31">
        <v>0</v>
      </c>
      <c r="K31">
        <v>100</v>
      </c>
      <c r="L31">
        <v>31.536000000000001</v>
      </c>
      <c r="M31">
        <v>2902.3052152757159</v>
      </c>
      <c r="N31">
        <v>2902.3052152757159</v>
      </c>
      <c r="O31">
        <v>2902.3052152757159</v>
      </c>
      <c r="P31">
        <v>2902.3052152757159</v>
      </c>
      <c r="Q31">
        <v>2902.3052152757159</v>
      </c>
      <c r="R31">
        <v>2902.3052152757159</v>
      </c>
      <c r="S31">
        <v>2902.3052152757159</v>
      </c>
      <c r="T31">
        <v>2902.3052152757159</v>
      </c>
      <c r="U31">
        <v>21.100097091380029</v>
      </c>
      <c r="V31">
        <v>21.100097091380029</v>
      </c>
      <c r="W31">
        <v>21.100097091380029</v>
      </c>
      <c r="X31">
        <v>21.100097091380029</v>
      </c>
      <c r="Y31">
        <v>21.100097091380029</v>
      </c>
      <c r="Z31">
        <v>21.100097091380029</v>
      </c>
      <c r="AA31">
        <v>21.100097091380029</v>
      </c>
      <c r="AB31">
        <v>21.100097091380029</v>
      </c>
      <c r="AC31">
        <v>0.1696149283872993</v>
      </c>
      <c r="AD31">
        <v>0.1696149283872993</v>
      </c>
      <c r="AE31">
        <v>0.1696149283872993</v>
      </c>
      <c r="AF31">
        <v>0.1696149283872993</v>
      </c>
      <c r="AG31">
        <v>0.1696149283872993</v>
      </c>
      <c r="AH31">
        <v>0.1696149283872993</v>
      </c>
      <c r="AI31">
        <v>0.1696149283872993</v>
      </c>
      <c r="AJ31">
        <v>0.1696149283872993</v>
      </c>
      <c r="AS31">
        <v>0.5</v>
      </c>
      <c r="AT31">
        <v>0.5</v>
      </c>
      <c r="AU31">
        <v>0.5</v>
      </c>
      <c r="AV31">
        <v>0.5</v>
      </c>
      <c r="AW31">
        <v>0.5</v>
      </c>
      <c r="AX31">
        <v>0.5</v>
      </c>
      <c r="AY31">
        <v>0.5</v>
      </c>
      <c r="AZ31">
        <v>0.5</v>
      </c>
    </row>
    <row r="32" spans="1:52" x14ac:dyDescent="0.25">
      <c r="A32" t="s">
        <v>93</v>
      </c>
      <c r="B32" t="s">
        <v>94</v>
      </c>
      <c r="D32">
        <v>2020</v>
      </c>
      <c r="E32" t="s">
        <v>148</v>
      </c>
      <c r="F32" t="s">
        <v>155</v>
      </c>
      <c r="G32" t="s">
        <v>148</v>
      </c>
      <c r="H32" t="s">
        <v>156</v>
      </c>
      <c r="I32">
        <v>1</v>
      </c>
      <c r="J32">
        <v>0</v>
      </c>
      <c r="K32">
        <v>100</v>
      </c>
      <c r="L32">
        <v>31.536000000000001</v>
      </c>
      <c r="M32">
        <v>3059.5593302806092</v>
      </c>
      <c r="N32">
        <v>3059.5593302806092</v>
      </c>
      <c r="O32">
        <v>3059.5593302806092</v>
      </c>
      <c r="P32">
        <v>3059.5593302806092</v>
      </c>
      <c r="Q32">
        <v>3059.5593302806092</v>
      </c>
      <c r="R32">
        <v>3059.5593302806092</v>
      </c>
      <c r="S32">
        <v>3059.5593302806092</v>
      </c>
      <c r="T32">
        <v>3059.5593302806092</v>
      </c>
      <c r="U32">
        <v>21.100097091380029</v>
      </c>
      <c r="V32">
        <v>21.100097091380029</v>
      </c>
      <c r="W32">
        <v>21.100097091380029</v>
      </c>
      <c r="X32">
        <v>21.100097091380029</v>
      </c>
      <c r="Y32">
        <v>21.100097091380029</v>
      </c>
      <c r="Z32">
        <v>21.100097091380029</v>
      </c>
      <c r="AA32">
        <v>21.100097091380029</v>
      </c>
      <c r="AB32">
        <v>21.100097091380029</v>
      </c>
      <c r="AC32">
        <v>0.1696149283872993</v>
      </c>
      <c r="AD32">
        <v>0.1696149283872993</v>
      </c>
      <c r="AE32">
        <v>0.1696149283872993</v>
      </c>
      <c r="AF32">
        <v>0.1696149283872993</v>
      </c>
      <c r="AG32">
        <v>0.1696149283872993</v>
      </c>
      <c r="AH32">
        <v>0.1696149283872993</v>
      </c>
      <c r="AI32">
        <v>0.1696149283872993</v>
      </c>
      <c r="AJ32">
        <v>0.1696149283872993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</row>
    <row r="33" spans="1:52" x14ac:dyDescent="0.25">
      <c r="A33" t="s">
        <v>93</v>
      </c>
      <c r="B33" t="s">
        <v>94</v>
      </c>
      <c r="D33">
        <v>2020</v>
      </c>
      <c r="E33" t="s">
        <v>148</v>
      </c>
      <c r="F33" t="s">
        <v>157</v>
      </c>
      <c r="G33" t="s">
        <v>148</v>
      </c>
      <c r="H33" t="s">
        <v>158</v>
      </c>
      <c r="I33">
        <v>1</v>
      </c>
      <c r="J33">
        <v>0</v>
      </c>
      <c r="K33">
        <v>100</v>
      </c>
      <c r="L33">
        <v>31.536000000000001</v>
      </c>
      <c r="M33">
        <v>3198.7823529365151</v>
      </c>
      <c r="N33">
        <v>3198.7823529365151</v>
      </c>
      <c r="O33">
        <v>3198.7823529365151</v>
      </c>
      <c r="P33">
        <v>3198.7823529365151</v>
      </c>
      <c r="Q33">
        <v>3198.7823529365151</v>
      </c>
      <c r="R33">
        <v>3198.7823529365151</v>
      </c>
      <c r="S33">
        <v>3198.7823529365151</v>
      </c>
      <c r="T33">
        <v>3198.7823529365151</v>
      </c>
      <c r="U33">
        <v>21.100097091380029</v>
      </c>
      <c r="V33">
        <v>21.100097091380029</v>
      </c>
      <c r="W33">
        <v>21.100097091380029</v>
      </c>
      <c r="X33">
        <v>21.100097091380029</v>
      </c>
      <c r="Y33">
        <v>21.100097091380029</v>
      </c>
      <c r="Z33">
        <v>21.100097091380029</v>
      </c>
      <c r="AA33">
        <v>21.100097091380029</v>
      </c>
      <c r="AB33">
        <v>21.100097091380029</v>
      </c>
      <c r="AC33">
        <v>0.1696149283872993</v>
      </c>
      <c r="AD33">
        <v>0.1696149283872993</v>
      </c>
      <c r="AE33">
        <v>0.1696149283872993</v>
      </c>
      <c r="AF33">
        <v>0.1696149283872993</v>
      </c>
      <c r="AG33">
        <v>0.1696149283872993</v>
      </c>
      <c r="AH33">
        <v>0.1696149283872993</v>
      </c>
      <c r="AI33">
        <v>0.1696149283872993</v>
      </c>
      <c r="AJ33">
        <v>0.1696149283872993</v>
      </c>
      <c r="AS33">
        <v>0.5</v>
      </c>
      <c r="AT33">
        <v>0.5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0.5</v>
      </c>
    </row>
    <row r="34" spans="1:52" x14ac:dyDescent="0.25">
      <c r="A34" t="s">
        <v>93</v>
      </c>
      <c r="B34" t="s">
        <v>94</v>
      </c>
      <c r="D34">
        <v>2020</v>
      </c>
      <c r="E34" t="s">
        <v>148</v>
      </c>
      <c r="F34" t="s">
        <v>159</v>
      </c>
      <c r="G34" t="s">
        <v>148</v>
      </c>
      <c r="H34" t="s">
        <v>160</v>
      </c>
      <c r="I34">
        <v>1</v>
      </c>
      <c r="J34">
        <v>0</v>
      </c>
      <c r="K34">
        <v>100</v>
      </c>
      <c r="L34">
        <v>31.536000000000001</v>
      </c>
      <c r="M34">
        <v>3332.512077047089</v>
      </c>
      <c r="N34">
        <v>3332.512077047089</v>
      </c>
      <c r="O34">
        <v>3332.512077047089</v>
      </c>
      <c r="P34">
        <v>3332.512077047089</v>
      </c>
      <c r="Q34">
        <v>3332.512077047089</v>
      </c>
      <c r="R34">
        <v>3332.512077047089</v>
      </c>
      <c r="S34">
        <v>3332.512077047089</v>
      </c>
      <c r="T34">
        <v>3332.512077047089</v>
      </c>
      <c r="U34">
        <v>21.100097091380029</v>
      </c>
      <c r="V34">
        <v>21.100097091380029</v>
      </c>
      <c r="W34">
        <v>21.100097091380029</v>
      </c>
      <c r="X34">
        <v>21.100097091380029</v>
      </c>
      <c r="Y34">
        <v>21.100097091380029</v>
      </c>
      <c r="Z34">
        <v>21.100097091380029</v>
      </c>
      <c r="AA34">
        <v>21.100097091380029</v>
      </c>
      <c r="AB34">
        <v>21.100097091380029</v>
      </c>
      <c r="AC34">
        <v>0.1696149283872993</v>
      </c>
      <c r="AD34">
        <v>0.1696149283872993</v>
      </c>
      <c r="AE34">
        <v>0.1696149283872993</v>
      </c>
      <c r="AF34">
        <v>0.1696149283872993</v>
      </c>
      <c r="AG34">
        <v>0.1696149283872993</v>
      </c>
      <c r="AH34">
        <v>0.1696149283872993</v>
      </c>
      <c r="AI34">
        <v>0.1696149283872993</v>
      </c>
      <c r="AJ34">
        <v>0.1696149283872993</v>
      </c>
      <c r="AS34">
        <v>0.5</v>
      </c>
      <c r="AT34">
        <v>0.5</v>
      </c>
      <c r="AU34">
        <v>0.5</v>
      </c>
      <c r="AV34">
        <v>0.5</v>
      </c>
      <c r="AW34">
        <v>0.5</v>
      </c>
      <c r="AX34">
        <v>0.5</v>
      </c>
      <c r="AY34">
        <v>0.5</v>
      </c>
      <c r="AZ34">
        <v>0.5</v>
      </c>
    </row>
    <row r="35" spans="1:52" x14ac:dyDescent="0.25">
      <c r="A35" t="s">
        <v>93</v>
      </c>
      <c r="B35" t="s">
        <v>94</v>
      </c>
      <c r="D35">
        <v>2020</v>
      </c>
      <c r="E35" t="s">
        <v>148</v>
      </c>
      <c r="F35" t="s">
        <v>161</v>
      </c>
      <c r="G35" t="s">
        <v>148</v>
      </c>
      <c r="H35" t="s">
        <v>162</v>
      </c>
      <c r="I35">
        <v>1</v>
      </c>
      <c r="J35">
        <v>0</v>
      </c>
      <c r="K35">
        <v>100</v>
      </c>
      <c r="L35">
        <v>31.536000000000001</v>
      </c>
      <c r="M35">
        <v>3454.6144209714198</v>
      </c>
      <c r="N35">
        <v>3454.6144209714198</v>
      </c>
      <c r="O35">
        <v>3454.6144209714198</v>
      </c>
      <c r="P35">
        <v>3454.6144209714198</v>
      </c>
      <c r="Q35">
        <v>3454.6144209714198</v>
      </c>
      <c r="R35">
        <v>3454.6144209714198</v>
      </c>
      <c r="S35">
        <v>3454.6144209714198</v>
      </c>
      <c r="T35">
        <v>3454.6144209714198</v>
      </c>
      <c r="U35">
        <v>21.100097091380029</v>
      </c>
      <c r="V35">
        <v>21.100097091380029</v>
      </c>
      <c r="W35">
        <v>21.100097091380029</v>
      </c>
      <c r="X35">
        <v>21.100097091380029</v>
      </c>
      <c r="Y35">
        <v>21.100097091380029</v>
      </c>
      <c r="Z35">
        <v>21.100097091380029</v>
      </c>
      <c r="AA35">
        <v>21.100097091380029</v>
      </c>
      <c r="AB35">
        <v>21.100097091380029</v>
      </c>
      <c r="AC35">
        <v>0.1696149283872993</v>
      </c>
      <c r="AD35">
        <v>0.1696149283872993</v>
      </c>
      <c r="AE35">
        <v>0.1696149283872993</v>
      </c>
      <c r="AF35">
        <v>0.1696149283872993</v>
      </c>
      <c r="AG35">
        <v>0.1696149283872993</v>
      </c>
      <c r="AH35">
        <v>0.1696149283872993</v>
      </c>
      <c r="AI35">
        <v>0.1696149283872993</v>
      </c>
      <c r="AJ35">
        <v>0.1696149283872993</v>
      </c>
      <c r="AS35">
        <v>0.5</v>
      </c>
      <c r="AT35">
        <v>0.5</v>
      </c>
      <c r="AU35">
        <v>0.5</v>
      </c>
      <c r="AV35">
        <v>0.5</v>
      </c>
      <c r="AW35">
        <v>0.5</v>
      </c>
      <c r="AX35">
        <v>0.5</v>
      </c>
      <c r="AY35">
        <v>0.5</v>
      </c>
      <c r="AZ35">
        <v>0.5</v>
      </c>
    </row>
    <row r="36" spans="1:52" x14ac:dyDescent="0.25">
      <c r="A36" t="s">
        <v>93</v>
      </c>
      <c r="B36" t="s">
        <v>94</v>
      </c>
      <c r="D36">
        <v>2020</v>
      </c>
      <c r="E36" t="s">
        <v>148</v>
      </c>
      <c r="F36" t="s">
        <v>163</v>
      </c>
      <c r="G36" t="s">
        <v>148</v>
      </c>
      <c r="H36" t="s">
        <v>164</v>
      </c>
      <c r="I36">
        <v>1</v>
      </c>
      <c r="J36">
        <v>0</v>
      </c>
      <c r="K36">
        <v>100</v>
      </c>
      <c r="L36">
        <v>31.536000000000001</v>
      </c>
      <c r="M36">
        <v>3580.1995949713692</v>
      </c>
      <c r="N36">
        <v>3580.1995949713692</v>
      </c>
      <c r="O36">
        <v>3580.1995949713692</v>
      </c>
      <c r="P36">
        <v>3580.1995949713692</v>
      </c>
      <c r="Q36">
        <v>3580.1995949713692</v>
      </c>
      <c r="R36">
        <v>3580.1995949713692</v>
      </c>
      <c r="S36">
        <v>3580.1995949713692</v>
      </c>
      <c r="T36">
        <v>3580.1995949713692</v>
      </c>
      <c r="U36">
        <v>21.100097091380029</v>
      </c>
      <c r="V36">
        <v>21.100097091380029</v>
      </c>
      <c r="W36">
        <v>21.100097091380029</v>
      </c>
      <c r="X36">
        <v>21.100097091380029</v>
      </c>
      <c r="Y36">
        <v>21.100097091380029</v>
      </c>
      <c r="Z36">
        <v>21.100097091380029</v>
      </c>
      <c r="AA36">
        <v>21.100097091380029</v>
      </c>
      <c r="AB36">
        <v>21.100097091380029</v>
      </c>
      <c r="AC36">
        <v>0.1696149283872993</v>
      </c>
      <c r="AD36">
        <v>0.1696149283872993</v>
      </c>
      <c r="AE36">
        <v>0.1696149283872993</v>
      </c>
      <c r="AF36">
        <v>0.1696149283872993</v>
      </c>
      <c r="AG36">
        <v>0.1696149283872993</v>
      </c>
      <c r="AH36">
        <v>0.1696149283872993</v>
      </c>
      <c r="AI36">
        <v>0.1696149283872993</v>
      </c>
      <c r="AJ36">
        <v>0.1696149283872993</v>
      </c>
      <c r="AS36">
        <v>0.5</v>
      </c>
      <c r="AT36">
        <v>0.5</v>
      </c>
      <c r="AU36">
        <v>0.5</v>
      </c>
      <c r="AV36">
        <v>0.5</v>
      </c>
      <c r="AW36">
        <v>0.5</v>
      </c>
      <c r="AX36">
        <v>0.5</v>
      </c>
      <c r="AY36">
        <v>0.5</v>
      </c>
      <c r="AZ36">
        <v>0.5</v>
      </c>
    </row>
    <row r="37" spans="1:52" x14ac:dyDescent="0.25">
      <c r="A37" t="s">
        <v>93</v>
      </c>
      <c r="B37" t="s">
        <v>94</v>
      </c>
      <c r="D37">
        <v>2020</v>
      </c>
      <c r="E37" t="s">
        <v>148</v>
      </c>
      <c r="F37" t="s">
        <v>165</v>
      </c>
      <c r="G37" t="s">
        <v>148</v>
      </c>
      <c r="H37" t="s">
        <v>166</v>
      </c>
      <c r="I37">
        <v>1</v>
      </c>
      <c r="J37">
        <v>0</v>
      </c>
      <c r="K37">
        <v>100</v>
      </c>
      <c r="L37">
        <v>31.536000000000001</v>
      </c>
      <c r="M37">
        <v>3708.5881563782859</v>
      </c>
      <c r="N37">
        <v>3708.5881563782859</v>
      </c>
      <c r="O37">
        <v>3708.5881563782859</v>
      </c>
      <c r="P37">
        <v>3708.5881563782859</v>
      </c>
      <c r="Q37">
        <v>3708.5881563782859</v>
      </c>
      <c r="R37">
        <v>3708.5881563782859</v>
      </c>
      <c r="S37">
        <v>3708.5881563782859</v>
      </c>
      <c r="T37">
        <v>3708.5881563782859</v>
      </c>
      <c r="U37">
        <v>21.100097091380029</v>
      </c>
      <c r="V37">
        <v>21.100097091380029</v>
      </c>
      <c r="W37">
        <v>21.100097091380029</v>
      </c>
      <c r="X37">
        <v>21.100097091380029</v>
      </c>
      <c r="Y37">
        <v>21.100097091380029</v>
      </c>
      <c r="Z37">
        <v>21.100097091380029</v>
      </c>
      <c r="AA37">
        <v>21.100097091380029</v>
      </c>
      <c r="AB37">
        <v>21.100097091380029</v>
      </c>
      <c r="AC37">
        <v>0.1696149283872993</v>
      </c>
      <c r="AD37">
        <v>0.1696149283872993</v>
      </c>
      <c r="AE37">
        <v>0.1696149283872993</v>
      </c>
      <c r="AF37">
        <v>0.1696149283872993</v>
      </c>
      <c r="AG37">
        <v>0.1696149283872993</v>
      </c>
      <c r="AH37">
        <v>0.1696149283872993</v>
      </c>
      <c r="AI37">
        <v>0.1696149283872993</v>
      </c>
      <c r="AJ37">
        <v>0.1696149283872993</v>
      </c>
      <c r="AS37">
        <v>0.5</v>
      </c>
      <c r="AT37">
        <v>0.5</v>
      </c>
      <c r="AU37">
        <v>0.5</v>
      </c>
      <c r="AV37">
        <v>0.5</v>
      </c>
      <c r="AW37">
        <v>0.5</v>
      </c>
      <c r="AX37">
        <v>0.5</v>
      </c>
      <c r="AY37">
        <v>0.5</v>
      </c>
      <c r="AZ37">
        <v>0.5</v>
      </c>
    </row>
    <row r="38" spans="1:52" x14ac:dyDescent="0.25">
      <c r="A38" t="s">
        <v>93</v>
      </c>
      <c r="B38" t="s">
        <v>94</v>
      </c>
      <c r="D38">
        <v>2020</v>
      </c>
      <c r="E38" t="s">
        <v>148</v>
      </c>
      <c r="F38" t="s">
        <v>167</v>
      </c>
      <c r="G38" t="s">
        <v>148</v>
      </c>
      <c r="H38" t="s">
        <v>168</v>
      </c>
      <c r="I38">
        <v>1</v>
      </c>
      <c r="J38">
        <v>0</v>
      </c>
      <c r="K38">
        <v>100</v>
      </c>
      <c r="L38">
        <v>31.536000000000001</v>
      </c>
      <c r="M38">
        <v>3847.158971512988</v>
      </c>
      <c r="N38">
        <v>3847.158971512988</v>
      </c>
      <c r="O38">
        <v>3847.158971512988</v>
      </c>
      <c r="P38">
        <v>3847.158971512988</v>
      </c>
      <c r="Q38">
        <v>3847.158971512988</v>
      </c>
      <c r="R38">
        <v>3847.158971512988</v>
      </c>
      <c r="S38">
        <v>3847.158971512988</v>
      </c>
      <c r="T38">
        <v>3847.158971512988</v>
      </c>
      <c r="U38">
        <v>21.100097091380029</v>
      </c>
      <c r="V38">
        <v>21.100097091380029</v>
      </c>
      <c r="W38">
        <v>21.100097091380029</v>
      </c>
      <c r="X38">
        <v>21.100097091380029</v>
      </c>
      <c r="Y38">
        <v>21.100097091380029</v>
      </c>
      <c r="Z38">
        <v>21.100097091380029</v>
      </c>
      <c r="AA38">
        <v>21.100097091380029</v>
      </c>
      <c r="AB38">
        <v>21.100097091380029</v>
      </c>
      <c r="AC38">
        <v>0.1696149283872993</v>
      </c>
      <c r="AD38">
        <v>0.1696149283872993</v>
      </c>
      <c r="AE38">
        <v>0.1696149283872993</v>
      </c>
      <c r="AF38">
        <v>0.1696149283872993</v>
      </c>
      <c r="AG38">
        <v>0.1696149283872993</v>
      </c>
      <c r="AH38">
        <v>0.1696149283872993</v>
      </c>
      <c r="AI38">
        <v>0.1696149283872993</v>
      </c>
      <c r="AJ38">
        <v>0.1696149283872993</v>
      </c>
      <c r="AS38">
        <v>0.5</v>
      </c>
      <c r="AT38">
        <v>0.5</v>
      </c>
      <c r="AU38">
        <v>0.5</v>
      </c>
      <c r="AV38">
        <v>0.5</v>
      </c>
      <c r="AW38">
        <v>0.5</v>
      </c>
      <c r="AX38">
        <v>0.5</v>
      </c>
      <c r="AY38">
        <v>0.5</v>
      </c>
      <c r="AZ38">
        <v>0.5</v>
      </c>
    </row>
    <row r="39" spans="1:52" x14ac:dyDescent="0.25">
      <c r="A39" t="s">
        <v>93</v>
      </c>
      <c r="B39" t="s">
        <v>94</v>
      </c>
      <c r="D39">
        <v>2020</v>
      </c>
      <c r="E39" t="s">
        <v>148</v>
      </c>
      <c r="F39" t="s">
        <v>169</v>
      </c>
      <c r="G39" t="s">
        <v>148</v>
      </c>
      <c r="H39" t="s">
        <v>170</v>
      </c>
      <c r="I39">
        <v>1</v>
      </c>
      <c r="J39">
        <v>0</v>
      </c>
      <c r="K39">
        <v>100</v>
      </c>
      <c r="L39">
        <v>31.536000000000001</v>
      </c>
      <c r="M39">
        <v>3989.3387907441688</v>
      </c>
      <c r="N39">
        <v>3989.3387907441688</v>
      </c>
      <c r="O39">
        <v>3989.3387907441688</v>
      </c>
      <c r="P39">
        <v>3989.3387907441688</v>
      </c>
      <c r="Q39">
        <v>3989.3387907441688</v>
      </c>
      <c r="R39">
        <v>3989.3387907441688</v>
      </c>
      <c r="S39">
        <v>3989.3387907441688</v>
      </c>
      <c r="T39">
        <v>3989.3387907441688</v>
      </c>
      <c r="U39">
        <v>21.100097091380029</v>
      </c>
      <c r="V39">
        <v>21.100097091380029</v>
      </c>
      <c r="W39">
        <v>21.100097091380029</v>
      </c>
      <c r="X39">
        <v>21.100097091380029</v>
      </c>
      <c r="Y39">
        <v>21.100097091380029</v>
      </c>
      <c r="Z39">
        <v>21.100097091380029</v>
      </c>
      <c r="AA39">
        <v>21.100097091380029</v>
      </c>
      <c r="AB39">
        <v>21.100097091380029</v>
      </c>
      <c r="AC39">
        <v>0.1696149283872993</v>
      </c>
      <c r="AD39">
        <v>0.1696149283872993</v>
      </c>
      <c r="AE39">
        <v>0.1696149283872993</v>
      </c>
      <c r="AF39">
        <v>0.1696149283872993</v>
      </c>
      <c r="AG39">
        <v>0.1696149283872993</v>
      </c>
      <c r="AH39">
        <v>0.1696149283872993</v>
      </c>
      <c r="AI39">
        <v>0.1696149283872993</v>
      </c>
      <c r="AJ39">
        <v>0.1696149283872993</v>
      </c>
      <c r="AS39">
        <v>0.5</v>
      </c>
      <c r="AT39">
        <v>0.5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</row>
    <row r="40" spans="1:52" x14ac:dyDescent="0.25">
      <c r="A40" t="s">
        <v>93</v>
      </c>
      <c r="B40" t="s">
        <v>94</v>
      </c>
      <c r="D40">
        <v>2020</v>
      </c>
      <c r="E40" t="s">
        <v>148</v>
      </c>
      <c r="F40" t="s">
        <v>171</v>
      </c>
      <c r="G40" t="s">
        <v>148</v>
      </c>
      <c r="H40" t="s">
        <v>172</v>
      </c>
      <c r="I40">
        <v>1</v>
      </c>
      <c r="J40">
        <v>0</v>
      </c>
      <c r="K40">
        <v>100</v>
      </c>
      <c r="L40">
        <v>31.536000000000001</v>
      </c>
      <c r="M40">
        <v>4141.3324292504731</v>
      </c>
      <c r="N40">
        <v>4141.3324292504731</v>
      </c>
      <c r="O40">
        <v>4141.3324292504731</v>
      </c>
      <c r="P40">
        <v>4141.3324292504731</v>
      </c>
      <c r="Q40">
        <v>4141.3324292504731</v>
      </c>
      <c r="R40">
        <v>4141.3324292504731</v>
      </c>
      <c r="S40">
        <v>4141.3324292504731</v>
      </c>
      <c r="T40">
        <v>4141.3324292504731</v>
      </c>
      <c r="U40">
        <v>21.100097091380029</v>
      </c>
      <c r="V40">
        <v>21.100097091380029</v>
      </c>
      <c r="W40">
        <v>21.100097091380029</v>
      </c>
      <c r="X40">
        <v>21.100097091380029</v>
      </c>
      <c r="Y40">
        <v>21.100097091380029</v>
      </c>
      <c r="Z40">
        <v>21.100097091380029</v>
      </c>
      <c r="AA40">
        <v>21.100097091380029</v>
      </c>
      <c r="AB40">
        <v>21.100097091380029</v>
      </c>
      <c r="AC40">
        <v>0.1696149283872993</v>
      </c>
      <c r="AD40">
        <v>0.1696149283872993</v>
      </c>
      <c r="AE40">
        <v>0.1696149283872993</v>
      </c>
      <c r="AF40">
        <v>0.1696149283872993</v>
      </c>
      <c r="AG40">
        <v>0.1696149283872993</v>
      </c>
      <c r="AH40">
        <v>0.1696149283872993</v>
      </c>
      <c r="AI40">
        <v>0.1696149283872993</v>
      </c>
      <c r="AJ40">
        <v>0.1696149283872993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</row>
    <row r="41" spans="1:52" x14ac:dyDescent="0.25">
      <c r="A41" t="s">
        <v>93</v>
      </c>
      <c r="B41" t="s">
        <v>94</v>
      </c>
      <c r="D41">
        <v>2020</v>
      </c>
      <c r="E41" t="s">
        <v>148</v>
      </c>
      <c r="F41" t="s">
        <v>173</v>
      </c>
      <c r="G41" t="s">
        <v>148</v>
      </c>
      <c r="H41" t="s">
        <v>174</v>
      </c>
      <c r="I41">
        <v>1</v>
      </c>
      <c r="J41">
        <v>0</v>
      </c>
      <c r="K41">
        <v>100</v>
      </c>
      <c r="L41">
        <v>31.536000000000001</v>
      </c>
      <c r="M41">
        <v>4311.6896102347882</v>
      </c>
      <c r="N41">
        <v>4311.6896102347882</v>
      </c>
      <c r="O41">
        <v>4311.6896102347882</v>
      </c>
      <c r="P41">
        <v>4311.6896102347882</v>
      </c>
      <c r="Q41">
        <v>4311.6896102347882</v>
      </c>
      <c r="R41">
        <v>4311.6896102347882</v>
      </c>
      <c r="S41">
        <v>4311.6896102347882</v>
      </c>
      <c r="T41">
        <v>4311.6896102347882</v>
      </c>
      <c r="U41">
        <v>21.100097091380029</v>
      </c>
      <c r="V41">
        <v>21.100097091380029</v>
      </c>
      <c r="W41">
        <v>21.100097091380029</v>
      </c>
      <c r="X41">
        <v>21.100097091380029</v>
      </c>
      <c r="Y41">
        <v>21.100097091380029</v>
      </c>
      <c r="Z41">
        <v>21.100097091380029</v>
      </c>
      <c r="AA41">
        <v>21.100097091380029</v>
      </c>
      <c r="AB41">
        <v>21.100097091380029</v>
      </c>
      <c r="AC41">
        <v>0.1696149283872993</v>
      </c>
      <c r="AD41">
        <v>0.1696149283872993</v>
      </c>
      <c r="AE41">
        <v>0.1696149283872993</v>
      </c>
      <c r="AF41">
        <v>0.1696149283872993</v>
      </c>
      <c r="AG41">
        <v>0.1696149283872993</v>
      </c>
      <c r="AH41">
        <v>0.1696149283872993</v>
      </c>
      <c r="AI41">
        <v>0.1696149283872993</v>
      </c>
      <c r="AJ41">
        <v>0.1696149283872993</v>
      </c>
      <c r="AS41">
        <v>0.5</v>
      </c>
      <c r="AT41">
        <v>0.5</v>
      </c>
      <c r="AU41">
        <v>0.5</v>
      </c>
      <c r="AV41">
        <v>0.5</v>
      </c>
      <c r="AW41">
        <v>0.5</v>
      </c>
      <c r="AX41">
        <v>0.5</v>
      </c>
      <c r="AY41">
        <v>0.5</v>
      </c>
      <c r="AZ41">
        <v>0.5</v>
      </c>
    </row>
    <row r="42" spans="1:52" x14ac:dyDescent="0.25">
      <c r="A42" t="s">
        <v>93</v>
      </c>
      <c r="B42" t="s">
        <v>94</v>
      </c>
      <c r="D42">
        <v>2020</v>
      </c>
      <c r="E42" t="s">
        <v>148</v>
      </c>
      <c r="F42" t="s">
        <v>175</v>
      </c>
      <c r="G42" t="s">
        <v>148</v>
      </c>
      <c r="H42" t="s">
        <v>176</v>
      </c>
      <c r="I42">
        <v>1</v>
      </c>
      <c r="J42">
        <v>0</v>
      </c>
      <c r="K42">
        <v>100</v>
      </c>
      <c r="L42">
        <v>31.536000000000001</v>
      </c>
      <c r="M42">
        <v>4496.5863120087033</v>
      </c>
      <c r="N42">
        <v>4496.5863120087033</v>
      </c>
      <c r="O42">
        <v>4496.5863120087033</v>
      </c>
      <c r="P42">
        <v>4496.5863120087033</v>
      </c>
      <c r="Q42">
        <v>4496.5863120087033</v>
      </c>
      <c r="R42">
        <v>4496.5863120087033</v>
      </c>
      <c r="S42">
        <v>4496.5863120087033</v>
      </c>
      <c r="T42">
        <v>4496.5863120087033</v>
      </c>
      <c r="U42">
        <v>21.100097091380029</v>
      </c>
      <c r="V42">
        <v>21.100097091380029</v>
      </c>
      <c r="W42">
        <v>21.100097091380029</v>
      </c>
      <c r="X42">
        <v>21.100097091380029</v>
      </c>
      <c r="Y42">
        <v>21.100097091380029</v>
      </c>
      <c r="Z42">
        <v>21.100097091380029</v>
      </c>
      <c r="AA42">
        <v>21.100097091380029</v>
      </c>
      <c r="AB42">
        <v>21.100097091380029</v>
      </c>
      <c r="AC42">
        <v>0.1696149283872993</v>
      </c>
      <c r="AD42">
        <v>0.1696149283872993</v>
      </c>
      <c r="AE42">
        <v>0.1696149283872993</v>
      </c>
      <c r="AF42">
        <v>0.1696149283872993</v>
      </c>
      <c r="AG42">
        <v>0.1696149283872993</v>
      </c>
      <c r="AH42">
        <v>0.1696149283872993</v>
      </c>
      <c r="AI42">
        <v>0.1696149283872993</v>
      </c>
      <c r="AJ42">
        <v>0.1696149283872993</v>
      </c>
      <c r="AS42">
        <v>0.5</v>
      </c>
      <c r="AT42">
        <v>0.5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</row>
    <row r="43" spans="1:52" x14ac:dyDescent="0.25">
      <c r="A43" t="s">
        <v>93</v>
      </c>
      <c r="B43" t="s">
        <v>94</v>
      </c>
      <c r="D43">
        <v>2020</v>
      </c>
      <c r="E43" t="s">
        <v>148</v>
      </c>
      <c r="F43" t="s">
        <v>177</v>
      </c>
      <c r="G43" t="s">
        <v>148</v>
      </c>
      <c r="H43" t="s">
        <v>178</v>
      </c>
      <c r="I43">
        <v>1</v>
      </c>
      <c r="J43">
        <v>0</v>
      </c>
      <c r="K43">
        <v>100</v>
      </c>
      <c r="L43">
        <v>31.536000000000001</v>
      </c>
      <c r="M43">
        <v>4700.5288106819444</v>
      </c>
      <c r="N43">
        <v>4700.5288106819444</v>
      </c>
      <c r="O43">
        <v>4700.5288106819444</v>
      </c>
      <c r="P43">
        <v>4700.5288106819444</v>
      </c>
      <c r="Q43">
        <v>4700.5288106819444</v>
      </c>
      <c r="R43">
        <v>4700.5288106819444</v>
      </c>
      <c r="S43">
        <v>4700.5288106819444</v>
      </c>
      <c r="T43">
        <v>4700.5288106819444</v>
      </c>
      <c r="U43">
        <v>21.100097091380029</v>
      </c>
      <c r="V43">
        <v>21.100097091380029</v>
      </c>
      <c r="W43">
        <v>21.100097091380029</v>
      </c>
      <c r="X43">
        <v>21.100097091380029</v>
      </c>
      <c r="Y43">
        <v>21.100097091380029</v>
      </c>
      <c r="Z43">
        <v>21.100097091380029</v>
      </c>
      <c r="AA43">
        <v>21.100097091380029</v>
      </c>
      <c r="AB43">
        <v>21.100097091380029</v>
      </c>
      <c r="AC43">
        <v>0.1696149283872993</v>
      </c>
      <c r="AD43">
        <v>0.1696149283872993</v>
      </c>
      <c r="AE43">
        <v>0.1696149283872993</v>
      </c>
      <c r="AF43">
        <v>0.1696149283872993</v>
      </c>
      <c r="AG43">
        <v>0.1696149283872993</v>
      </c>
      <c r="AH43">
        <v>0.1696149283872993</v>
      </c>
      <c r="AI43">
        <v>0.1696149283872993</v>
      </c>
      <c r="AJ43">
        <v>0.1696149283872993</v>
      </c>
      <c r="AS43">
        <v>0.5</v>
      </c>
      <c r="AT43">
        <v>0.5</v>
      </c>
      <c r="AU43">
        <v>0.5</v>
      </c>
      <c r="AV43">
        <v>0.5</v>
      </c>
      <c r="AW43">
        <v>0.5</v>
      </c>
      <c r="AX43">
        <v>0.5</v>
      </c>
      <c r="AY43">
        <v>0.5</v>
      </c>
      <c r="AZ43">
        <v>0.5</v>
      </c>
    </row>
    <row r="44" spans="1:52" x14ac:dyDescent="0.25">
      <c r="A44" t="s">
        <v>93</v>
      </c>
      <c r="B44" t="s">
        <v>94</v>
      </c>
      <c r="D44">
        <v>2020</v>
      </c>
      <c r="E44" t="s">
        <v>148</v>
      </c>
      <c r="F44" t="s">
        <v>179</v>
      </c>
      <c r="G44" t="s">
        <v>148</v>
      </c>
      <c r="H44" t="s">
        <v>180</v>
      </c>
      <c r="I44">
        <v>1</v>
      </c>
      <c r="J44">
        <v>0</v>
      </c>
      <c r="K44">
        <v>100</v>
      </c>
      <c r="L44">
        <v>31.536000000000001</v>
      </c>
      <c r="M44">
        <v>2385.0937819360602</v>
      </c>
      <c r="N44">
        <v>2385.0937819360602</v>
      </c>
      <c r="O44">
        <v>2385.0937819360602</v>
      </c>
      <c r="P44">
        <v>2385.0937819360602</v>
      </c>
      <c r="Q44">
        <v>2385.0937819360602</v>
      </c>
      <c r="R44">
        <v>2385.0937819360602</v>
      </c>
      <c r="S44">
        <v>2385.0937819360602</v>
      </c>
      <c r="T44">
        <v>2385.0937819360602</v>
      </c>
      <c r="U44">
        <v>21.100097091380029</v>
      </c>
      <c r="V44">
        <v>21.100097091380029</v>
      </c>
      <c r="W44">
        <v>21.100097091380029</v>
      </c>
      <c r="X44">
        <v>21.100097091380029</v>
      </c>
      <c r="Y44">
        <v>21.100097091380029</v>
      </c>
      <c r="Z44">
        <v>21.100097091380029</v>
      </c>
      <c r="AA44">
        <v>21.100097091380029</v>
      </c>
      <c r="AB44">
        <v>21.100097091380029</v>
      </c>
      <c r="AC44">
        <v>0.1696149283872993</v>
      </c>
      <c r="AD44">
        <v>0.1696149283872993</v>
      </c>
      <c r="AE44">
        <v>0.1696149283872993</v>
      </c>
      <c r="AF44">
        <v>0.1696149283872993</v>
      </c>
      <c r="AG44">
        <v>0.1696149283872993</v>
      </c>
      <c r="AH44">
        <v>0.1696149283872993</v>
      </c>
      <c r="AI44">
        <v>0.1696149283872993</v>
      </c>
      <c r="AJ44">
        <v>0.1696149283872993</v>
      </c>
      <c r="AS44">
        <v>0.41666666666666669</v>
      </c>
      <c r="AT44">
        <v>0.41666666666666669</v>
      </c>
      <c r="AU44">
        <v>0.41666666666666669</v>
      </c>
      <c r="AV44">
        <v>0.41666666666666669</v>
      </c>
      <c r="AW44">
        <v>0.41666666666666669</v>
      </c>
      <c r="AX44">
        <v>0.41666666666666669</v>
      </c>
      <c r="AY44">
        <v>0.41666666666666669</v>
      </c>
      <c r="AZ44">
        <v>0.41666666666666669</v>
      </c>
    </row>
    <row r="45" spans="1:52" x14ac:dyDescent="0.25">
      <c r="A45" t="s">
        <v>93</v>
      </c>
      <c r="B45" t="s">
        <v>94</v>
      </c>
      <c r="D45">
        <v>2020</v>
      </c>
      <c r="E45" t="s">
        <v>148</v>
      </c>
      <c r="F45" t="s">
        <v>181</v>
      </c>
      <c r="G45" t="s">
        <v>148</v>
      </c>
      <c r="H45" t="s">
        <v>182</v>
      </c>
      <c r="I45">
        <v>1</v>
      </c>
      <c r="J45">
        <v>0</v>
      </c>
      <c r="K45">
        <v>100</v>
      </c>
      <c r="L45">
        <v>31.536000000000001</v>
      </c>
      <c r="M45">
        <v>2703.9530678386359</v>
      </c>
      <c r="N45">
        <v>2703.9530678386359</v>
      </c>
      <c r="O45">
        <v>2703.9530678386359</v>
      </c>
      <c r="P45">
        <v>2703.9530678386359</v>
      </c>
      <c r="Q45">
        <v>2703.9530678386359</v>
      </c>
      <c r="R45">
        <v>2703.9530678386359</v>
      </c>
      <c r="S45">
        <v>2703.9530678386359</v>
      </c>
      <c r="T45">
        <v>2703.9530678386359</v>
      </c>
      <c r="U45">
        <v>21.100097091380029</v>
      </c>
      <c r="V45">
        <v>21.100097091380029</v>
      </c>
      <c r="W45">
        <v>21.100097091380029</v>
      </c>
      <c r="X45">
        <v>21.100097091380029</v>
      </c>
      <c r="Y45">
        <v>21.100097091380029</v>
      </c>
      <c r="Z45">
        <v>21.100097091380029</v>
      </c>
      <c r="AA45">
        <v>21.100097091380029</v>
      </c>
      <c r="AB45">
        <v>21.100097091380029</v>
      </c>
      <c r="AC45">
        <v>0.1696149283872993</v>
      </c>
      <c r="AD45">
        <v>0.1696149283872993</v>
      </c>
      <c r="AE45">
        <v>0.1696149283872993</v>
      </c>
      <c r="AF45">
        <v>0.1696149283872993</v>
      </c>
      <c r="AG45">
        <v>0.1696149283872993</v>
      </c>
      <c r="AH45">
        <v>0.1696149283872993</v>
      </c>
      <c r="AI45">
        <v>0.1696149283872993</v>
      </c>
      <c r="AJ45">
        <v>0.1696149283872993</v>
      </c>
      <c r="AS45">
        <v>0.41666666666666669</v>
      </c>
      <c r="AT45">
        <v>0.41666666666666669</v>
      </c>
      <c r="AU45">
        <v>0.41666666666666669</v>
      </c>
      <c r="AV45">
        <v>0.41666666666666669</v>
      </c>
      <c r="AW45">
        <v>0.41666666666666669</v>
      </c>
      <c r="AX45">
        <v>0.41666666666666669</v>
      </c>
      <c r="AY45">
        <v>0.41666666666666669</v>
      </c>
      <c r="AZ45">
        <v>0.41666666666666669</v>
      </c>
    </row>
    <row r="46" spans="1:52" x14ac:dyDescent="0.25">
      <c r="A46" t="s">
        <v>93</v>
      </c>
      <c r="B46" t="s">
        <v>94</v>
      </c>
      <c r="D46">
        <v>2020</v>
      </c>
      <c r="E46" t="s">
        <v>148</v>
      </c>
      <c r="F46" t="s">
        <v>183</v>
      </c>
      <c r="G46" t="s">
        <v>148</v>
      </c>
      <c r="H46" t="s">
        <v>184</v>
      </c>
      <c r="I46">
        <v>1</v>
      </c>
      <c r="J46">
        <v>0</v>
      </c>
      <c r="K46">
        <v>100</v>
      </c>
      <c r="L46">
        <v>31.536000000000001</v>
      </c>
      <c r="M46">
        <v>2902.3052152757159</v>
      </c>
      <c r="N46">
        <v>2902.3052152757159</v>
      </c>
      <c r="O46">
        <v>2902.3052152757159</v>
      </c>
      <c r="P46">
        <v>2902.3052152757159</v>
      </c>
      <c r="Q46">
        <v>2902.3052152757159</v>
      </c>
      <c r="R46">
        <v>2902.3052152757159</v>
      </c>
      <c r="S46">
        <v>2902.3052152757159</v>
      </c>
      <c r="T46">
        <v>2902.3052152757159</v>
      </c>
      <c r="U46">
        <v>21.100097091380029</v>
      </c>
      <c r="V46">
        <v>21.100097091380029</v>
      </c>
      <c r="W46">
        <v>21.100097091380029</v>
      </c>
      <c r="X46">
        <v>21.100097091380029</v>
      </c>
      <c r="Y46">
        <v>21.100097091380029</v>
      </c>
      <c r="Z46">
        <v>21.100097091380029</v>
      </c>
      <c r="AA46">
        <v>21.100097091380029</v>
      </c>
      <c r="AB46">
        <v>21.100097091380029</v>
      </c>
      <c r="AC46">
        <v>0.1696149283872993</v>
      </c>
      <c r="AD46">
        <v>0.1696149283872993</v>
      </c>
      <c r="AE46">
        <v>0.1696149283872993</v>
      </c>
      <c r="AF46">
        <v>0.1696149283872993</v>
      </c>
      <c r="AG46">
        <v>0.1696149283872993</v>
      </c>
      <c r="AH46">
        <v>0.1696149283872993</v>
      </c>
      <c r="AI46">
        <v>0.1696149283872993</v>
      </c>
      <c r="AJ46">
        <v>0.1696149283872993</v>
      </c>
      <c r="AS46">
        <v>0.41666666666666669</v>
      </c>
      <c r="AT46">
        <v>0.41666666666666669</v>
      </c>
      <c r="AU46">
        <v>0.41666666666666669</v>
      </c>
      <c r="AV46">
        <v>0.41666666666666669</v>
      </c>
      <c r="AW46">
        <v>0.41666666666666669</v>
      </c>
      <c r="AX46">
        <v>0.41666666666666669</v>
      </c>
      <c r="AY46">
        <v>0.41666666666666669</v>
      </c>
      <c r="AZ46">
        <v>0.41666666666666669</v>
      </c>
    </row>
    <row r="47" spans="1:52" x14ac:dyDescent="0.25">
      <c r="A47" t="s">
        <v>93</v>
      </c>
      <c r="B47" t="s">
        <v>94</v>
      </c>
      <c r="D47">
        <v>2020</v>
      </c>
      <c r="E47" t="s">
        <v>148</v>
      </c>
      <c r="F47" t="s">
        <v>185</v>
      </c>
      <c r="G47" t="s">
        <v>148</v>
      </c>
      <c r="H47" t="s">
        <v>186</v>
      </c>
      <c r="I47">
        <v>1</v>
      </c>
      <c r="J47">
        <v>0</v>
      </c>
      <c r="K47">
        <v>100</v>
      </c>
      <c r="L47">
        <v>31.536000000000001</v>
      </c>
      <c r="M47">
        <v>3059.5593302806092</v>
      </c>
      <c r="N47">
        <v>3059.5593302806092</v>
      </c>
      <c r="O47">
        <v>3059.5593302806092</v>
      </c>
      <c r="P47">
        <v>3059.5593302806092</v>
      </c>
      <c r="Q47">
        <v>3059.5593302806092</v>
      </c>
      <c r="R47">
        <v>3059.5593302806092</v>
      </c>
      <c r="S47">
        <v>3059.5593302806092</v>
      </c>
      <c r="T47">
        <v>3059.5593302806092</v>
      </c>
      <c r="U47">
        <v>21.100097091380029</v>
      </c>
      <c r="V47">
        <v>21.100097091380029</v>
      </c>
      <c r="W47">
        <v>21.100097091380029</v>
      </c>
      <c r="X47">
        <v>21.100097091380029</v>
      </c>
      <c r="Y47">
        <v>21.100097091380029</v>
      </c>
      <c r="Z47">
        <v>21.100097091380029</v>
      </c>
      <c r="AA47">
        <v>21.100097091380029</v>
      </c>
      <c r="AB47">
        <v>21.100097091380029</v>
      </c>
      <c r="AC47">
        <v>0.1696149283872993</v>
      </c>
      <c r="AD47">
        <v>0.1696149283872993</v>
      </c>
      <c r="AE47">
        <v>0.1696149283872993</v>
      </c>
      <c r="AF47">
        <v>0.1696149283872993</v>
      </c>
      <c r="AG47">
        <v>0.1696149283872993</v>
      </c>
      <c r="AH47">
        <v>0.1696149283872993</v>
      </c>
      <c r="AI47">
        <v>0.1696149283872993</v>
      </c>
      <c r="AJ47">
        <v>0.1696149283872993</v>
      </c>
      <c r="AS47">
        <v>0.41666666666666669</v>
      </c>
      <c r="AT47">
        <v>0.41666666666666669</v>
      </c>
      <c r="AU47">
        <v>0.41666666666666669</v>
      </c>
      <c r="AV47">
        <v>0.41666666666666669</v>
      </c>
      <c r="AW47">
        <v>0.41666666666666669</v>
      </c>
      <c r="AX47">
        <v>0.41666666666666669</v>
      </c>
      <c r="AY47">
        <v>0.41666666666666669</v>
      </c>
      <c r="AZ47">
        <v>0.41666666666666669</v>
      </c>
    </row>
    <row r="48" spans="1:52" x14ac:dyDescent="0.25">
      <c r="A48" t="s">
        <v>93</v>
      </c>
      <c r="B48" t="s">
        <v>94</v>
      </c>
      <c r="D48">
        <v>2020</v>
      </c>
      <c r="E48" t="s">
        <v>148</v>
      </c>
      <c r="F48" t="s">
        <v>187</v>
      </c>
      <c r="G48" t="s">
        <v>148</v>
      </c>
      <c r="H48" t="s">
        <v>188</v>
      </c>
      <c r="I48">
        <v>1</v>
      </c>
      <c r="J48">
        <v>0</v>
      </c>
      <c r="K48">
        <v>100</v>
      </c>
      <c r="L48">
        <v>31.536000000000001</v>
      </c>
      <c r="M48">
        <v>3198.7823529365151</v>
      </c>
      <c r="N48">
        <v>3198.7823529365151</v>
      </c>
      <c r="O48">
        <v>3198.7823529365151</v>
      </c>
      <c r="P48">
        <v>3198.7823529365151</v>
      </c>
      <c r="Q48">
        <v>3198.7823529365151</v>
      </c>
      <c r="R48">
        <v>3198.7823529365151</v>
      </c>
      <c r="S48">
        <v>3198.7823529365151</v>
      </c>
      <c r="T48">
        <v>3198.7823529365151</v>
      </c>
      <c r="U48">
        <v>21.100097091380029</v>
      </c>
      <c r="V48">
        <v>21.100097091380029</v>
      </c>
      <c r="W48">
        <v>21.100097091380029</v>
      </c>
      <c r="X48">
        <v>21.100097091380029</v>
      </c>
      <c r="Y48">
        <v>21.100097091380029</v>
      </c>
      <c r="Z48">
        <v>21.100097091380029</v>
      </c>
      <c r="AA48">
        <v>21.100097091380029</v>
      </c>
      <c r="AB48">
        <v>21.100097091380029</v>
      </c>
      <c r="AC48">
        <v>0.1696149283872993</v>
      </c>
      <c r="AD48">
        <v>0.1696149283872993</v>
      </c>
      <c r="AE48">
        <v>0.1696149283872993</v>
      </c>
      <c r="AF48">
        <v>0.1696149283872993</v>
      </c>
      <c r="AG48">
        <v>0.1696149283872993</v>
      </c>
      <c r="AH48">
        <v>0.1696149283872993</v>
      </c>
      <c r="AI48">
        <v>0.1696149283872993</v>
      </c>
      <c r="AJ48">
        <v>0.1696149283872993</v>
      </c>
      <c r="AS48">
        <v>0.41666666666666669</v>
      </c>
      <c r="AT48">
        <v>0.41666666666666669</v>
      </c>
      <c r="AU48">
        <v>0.41666666666666669</v>
      </c>
      <c r="AV48">
        <v>0.41666666666666669</v>
      </c>
      <c r="AW48">
        <v>0.41666666666666669</v>
      </c>
      <c r="AX48">
        <v>0.41666666666666669</v>
      </c>
      <c r="AY48">
        <v>0.41666666666666669</v>
      </c>
      <c r="AZ48">
        <v>0.41666666666666669</v>
      </c>
    </row>
    <row r="49" spans="1:52" x14ac:dyDescent="0.25">
      <c r="A49" t="s">
        <v>93</v>
      </c>
      <c r="B49" t="s">
        <v>94</v>
      </c>
      <c r="D49">
        <v>2020</v>
      </c>
      <c r="E49" t="s">
        <v>148</v>
      </c>
      <c r="F49" t="s">
        <v>189</v>
      </c>
      <c r="G49" t="s">
        <v>148</v>
      </c>
      <c r="H49" t="s">
        <v>190</v>
      </c>
      <c r="I49">
        <v>1</v>
      </c>
      <c r="J49">
        <v>0</v>
      </c>
      <c r="K49">
        <v>100</v>
      </c>
      <c r="L49">
        <v>31.536000000000001</v>
      </c>
      <c r="M49">
        <v>3332.512077047089</v>
      </c>
      <c r="N49">
        <v>3332.512077047089</v>
      </c>
      <c r="O49">
        <v>3332.512077047089</v>
      </c>
      <c r="P49">
        <v>3332.512077047089</v>
      </c>
      <c r="Q49">
        <v>3332.512077047089</v>
      </c>
      <c r="R49">
        <v>3332.512077047089</v>
      </c>
      <c r="S49">
        <v>3332.512077047089</v>
      </c>
      <c r="T49">
        <v>3332.512077047089</v>
      </c>
      <c r="U49">
        <v>21.100097091380029</v>
      </c>
      <c r="V49">
        <v>21.100097091380029</v>
      </c>
      <c r="W49">
        <v>21.100097091380029</v>
      </c>
      <c r="X49">
        <v>21.100097091380029</v>
      </c>
      <c r="Y49">
        <v>21.100097091380029</v>
      </c>
      <c r="Z49">
        <v>21.100097091380029</v>
      </c>
      <c r="AA49">
        <v>21.100097091380029</v>
      </c>
      <c r="AB49">
        <v>21.100097091380029</v>
      </c>
      <c r="AC49">
        <v>0.1696149283872993</v>
      </c>
      <c r="AD49">
        <v>0.1696149283872993</v>
      </c>
      <c r="AE49">
        <v>0.1696149283872993</v>
      </c>
      <c r="AF49">
        <v>0.1696149283872993</v>
      </c>
      <c r="AG49">
        <v>0.1696149283872993</v>
      </c>
      <c r="AH49">
        <v>0.1696149283872993</v>
      </c>
      <c r="AI49">
        <v>0.1696149283872993</v>
      </c>
      <c r="AJ49">
        <v>0.1696149283872993</v>
      </c>
      <c r="AS49">
        <v>0.41666666666666669</v>
      </c>
      <c r="AT49">
        <v>0.41666666666666669</v>
      </c>
      <c r="AU49">
        <v>0.41666666666666669</v>
      </c>
      <c r="AV49">
        <v>0.41666666666666669</v>
      </c>
      <c r="AW49">
        <v>0.41666666666666669</v>
      </c>
      <c r="AX49">
        <v>0.41666666666666669</v>
      </c>
      <c r="AY49">
        <v>0.41666666666666669</v>
      </c>
      <c r="AZ49">
        <v>0.41666666666666669</v>
      </c>
    </row>
    <row r="50" spans="1:52" x14ac:dyDescent="0.25">
      <c r="A50" t="s">
        <v>93</v>
      </c>
      <c r="B50" t="s">
        <v>94</v>
      </c>
      <c r="D50">
        <v>2020</v>
      </c>
      <c r="E50" t="s">
        <v>148</v>
      </c>
      <c r="F50" t="s">
        <v>191</v>
      </c>
      <c r="G50" t="s">
        <v>148</v>
      </c>
      <c r="H50" t="s">
        <v>192</v>
      </c>
      <c r="I50">
        <v>1</v>
      </c>
      <c r="J50">
        <v>0</v>
      </c>
      <c r="K50">
        <v>100</v>
      </c>
      <c r="L50">
        <v>31.536000000000001</v>
      </c>
      <c r="M50">
        <v>3454.6144209714198</v>
      </c>
      <c r="N50">
        <v>3454.6144209714198</v>
      </c>
      <c r="O50">
        <v>3454.6144209714198</v>
      </c>
      <c r="P50">
        <v>3454.6144209714198</v>
      </c>
      <c r="Q50">
        <v>3454.6144209714198</v>
      </c>
      <c r="R50">
        <v>3454.6144209714198</v>
      </c>
      <c r="S50">
        <v>3454.6144209714198</v>
      </c>
      <c r="T50">
        <v>3454.6144209714198</v>
      </c>
      <c r="U50">
        <v>21.100097091380029</v>
      </c>
      <c r="V50">
        <v>21.100097091380029</v>
      </c>
      <c r="W50">
        <v>21.100097091380029</v>
      </c>
      <c r="X50">
        <v>21.100097091380029</v>
      </c>
      <c r="Y50">
        <v>21.100097091380029</v>
      </c>
      <c r="Z50">
        <v>21.100097091380029</v>
      </c>
      <c r="AA50">
        <v>21.100097091380029</v>
      </c>
      <c r="AB50">
        <v>21.100097091380029</v>
      </c>
      <c r="AC50">
        <v>0.1696149283872993</v>
      </c>
      <c r="AD50">
        <v>0.1696149283872993</v>
      </c>
      <c r="AE50">
        <v>0.1696149283872993</v>
      </c>
      <c r="AF50">
        <v>0.1696149283872993</v>
      </c>
      <c r="AG50">
        <v>0.1696149283872993</v>
      </c>
      <c r="AH50">
        <v>0.1696149283872993</v>
      </c>
      <c r="AI50">
        <v>0.1696149283872993</v>
      </c>
      <c r="AJ50">
        <v>0.1696149283872993</v>
      </c>
      <c r="AS50">
        <v>0.41666666666666669</v>
      </c>
      <c r="AT50">
        <v>0.41666666666666669</v>
      </c>
      <c r="AU50">
        <v>0.41666666666666669</v>
      </c>
      <c r="AV50">
        <v>0.41666666666666669</v>
      </c>
      <c r="AW50">
        <v>0.41666666666666669</v>
      </c>
      <c r="AX50">
        <v>0.41666666666666669</v>
      </c>
      <c r="AY50">
        <v>0.41666666666666669</v>
      </c>
      <c r="AZ50">
        <v>0.41666666666666669</v>
      </c>
    </row>
    <row r="51" spans="1:52" x14ac:dyDescent="0.25">
      <c r="A51" t="s">
        <v>93</v>
      </c>
      <c r="B51" t="s">
        <v>94</v>
      </c>
      <c r="D51">
        <v>2020</v>
      </c>
      <c r="E51" t="s">
        <v>148</v>
      </c>
      <c r="F51" t="s">
        <v>193</v>
      </c>
      <c r="G51" t="s">
        <v>148</v>
      </c>
      <c r="H51" t="s">
        <v>194</v>
      </c>
      <c r="I51">
        <v>1</v>
      </c>
      <c r="J51">
        <v>0</v>
      </c>
      <c r="K51">
        <v>100</v>
      </c>
      <c r="L51">
        <v>31.536000000000001</v>
      </c>
      <c r="M51">
        <v>3580.1995949713692</v>
      </c>
      <c r="N51">
        <v>3580.1995949713692</v>
      </c>
      <c r="O51">
        <v>3580.1995949713692</v>
      </c>
      <c r="P51">
        <v>3580.1995949713692</v>
      </c>
      <c r="Q51">
        <v>3580.1995949713692</v>
      </c>
      <c r="R51">
        <v>3580.1995949713692</v>
      </c>
      <c r="S51">
        <v>3580.1995949713692</v>
      </c>
      <c r="T51">
        <v>3580.1995949713692</v>
      </c>
      <c r="U51">
        <v>21.100097091380029</v>
      </c>
      <c r="V51">
        <v>21.100097091380029</v>
      </c>
      <c r="W51">
        <v>21.100097091380029</v>
      </c>
      <c r="X51">
        <v>21.100097091380029</v>
      </c>
      <c r="Y51">
        <v>21.100097091380029</v>
      </c>
      <c r="Z51">
        <v>21.100097091380029</v>
      </c>
      <c r="AA51">
        <v>21.100097091380029</v>
      </c>
      <c r="AB51">
        <v>21.100097091380029</v>
      </c>
      <c r="AC51">
        <v>0.1696149283872993</v>
      </c>
      <c r="AD51">
        <v>0.1696149283872993</v>
      </c>
      <c r="AE51">
        <v>0.1696149283872993</v>
      </c>
      <c r="AF51">
        <v>0.1696149283872993</v>
      </c>
      <c r="AG51">
        <v>0.1696149283872993</v>
      </c>
      <c r="AH51">
        <v>0.1696149283872993</v>
      </c>
      <c r="AI51">
        <v>0.1696149283872993</v>
      </c>
      <c r="AJ51">
        <v>0.1696149283872993</v>
      </c>
      <c r="AS51">
        <v>0.41666666666666669</v>
      </c>
      <c r="AT51">
        <v>0.41666666666666669</v>
      </c>
      <c r="AU51">
        <v>0.41666666666666669</v>
      </c>
      <c r="AV51">
        <v>0.41666666666666669</v>
      </c>
      <c r="AW51">
        <v>0.41666666666666669</v>
      </c>
      <c r="AX51">
        <v>0.41666666666666669</v>
      </c>
      <c r="AY51">
        <v>0.41666666666666669</v>
      </c>
      <c r="AZ51">
        <v>0.41666666666666669</v>
      </c>
    </row>
    <row r="52" spans="1:52" x14ac:dyDescent="0.25">
      <c r="A52" t="s">
        <v>93</v>
      </c>
      <c r="B52" t="s">
        <v>94</v>
      </c>
      <c r="D52">
        <v>2020</v>
      </c>
      <c r="E52" t="s">
        <v>148</v>
      </c>
      <c r="F52" t="s">
        <v>195</v>
      </c>
      <c r="G52" t="s">
        <v>148</v>
      </c>
      <c r="H52" t="s">
        <v>196</v>
      </c>
      <c r="I52">
        <v>1</v>
      </c>
      <c r="J52">
        <v>0</v>
      </c>
      <c r="K52">
        <v>100</v>
      </c>
      <c r="L52">
        <v>31.536000000000001</v>
      </c>
      <c r="M52">
        <v>3708.5881563782859</v>
      </c>
      <c r="N52">
        <v>3708.5881563782859</v>
      </c>
      <c r="O52">
        <v>3708.5881563782859</v>
      </c>
      <c r="P52">
        <v>3708.5881563782859</v>
      </c>
      <c r="Q52">
        <v>3708.5881563782859</v>
      </c>
      <c r="R52">
        <v>3708.5881563782859</v>
      </c>
      <c r="S52">
        <v>3708.5881563782859</v>
      </c>
      <c r="T52">
        <v>3708.5881563782859</v>
      </c>
      <c r="U52">
        <v>21.100097091380029</v>
      </c>
      <c r="V52">
        <v>21.100097091380029</v>
      </c>
      <c r="W52">
        <v>21.100097091380029</v>
      </c>
      <c r="X52">
        <v>21.100097091380029</v>
      </c>
      <c r="Y52">
        <v>21.100097091380029</v>
      </c>
      <c r="Z52">
        <v>21.100097091380029</v>
      </c>
      <c r="AA52">
        <v>21.100097091380029</v>
      </c>
      <c r="AB52">
        <v>21.100097091380029</v>
      </c>
      <c r="AC52">
        <v>0.1696149283872993</v>
      </c>
      <c r="AD52">
        <v>0.1696149283872993</v>
      </c>
      <c r="AE52">
        <v>0.1696149283872993</v>
      </c>
      <c r="AF52">
        <v>0.1696149283872993</v>
      </c>
      <c r="AG52">
        <v>0.1696149283872993</v>
      </c>
      <c r="AH52">
        <v>0.1696149283872993</v>
      </c>
      <c r="AI52">
        <v>0.1696149283872993</v>
      </c>
      <c r="AJ52">
        <v>0.1696149283872993</v>
      </c>
      <c r="AS52">
        <v>0.41666666666666669</v>
      </c>
      <c r="AT52">
        <v>0.41666666666666669</v>
      </c>
      <c r="AU52">
        <v>0.41666666666666669</v>
      </c>
      <c r="AV52">
        <v>0.41666666666666669</v>
      </c>
      <c r="AW52">
        <v>0.41666666666666669</v>
      </c>
      <c r="AX52">
        <v>0.41666666666666669</v>
      </c>
      <c r="AY52">
        <v>0.41666666666666669</v>
      </c>
      <c r="AZ52">
        <v>0.41666666666666669</v>
      </c>
    </row>
    <row r="53" spans="1:52" x14ac:dyDescent="0.25">
      <c r="A53" t="s">
        <v>93</v>
      </c>
      <c r="B53" t="s">
        <v>94</v>
      </c>
      <c r="D53">
        <v>2020</v>
      </c>
      <c r="E53" t="s">
        <v>148</v>
      </c>
      <c r="F53" t="s">
        <v>197</v>
      </c>
      <c r="G53" t="s">
        <v>148</v>
      </c>
      <c r="H53" t="s">
        <v>198</v>
      </c>
      <c r="I53">
        <v>1</v>
      </c>
      <c r="J53">
        <v>0</v>
      </c>
      <c r="K53">
        <v>100</v>
      </c>
      <c r="L53">
        <v>31.536000000000001</v>
      </c>
      <c r="M53">
        <v>3847.158971512988</v>
      </c>
      <c r="N53">
        <v>3847.158971512988</v>
      </c>
      <c r="O53">
        <v>3847.158971512988</v>
      </c>
      <c r="P53">
        <v>3847.158971512988</v>
      </c>
      <c r="Q53">
        <v>3847.158971512988</v>
      </c>
      <c r="R53">
        <v>3847.158971512988</v>
      </c>
      <c r="S53">
        <v>3847.158971512988</v>
      </c>
      <c r="T53">
        <v>3847.158971512988</v>
      </c>
      <c r="U53">
        <v>21.100097091380029</v>
      </c>
      <c r="V53">
        <v>21.100097091380029</v>
      </c>
      <c r="W53">
        <v>21.100097091380029</v>
      </c>
      <c r="X53">
        <v>21.100097091380029</v>
      </c>
      <c r="Y53">
        <v>21.100097091380029</v>
      </c>
      <c r="Z53">
        <v>21.100097091380029</v>
      </c>
      <c r="AA53">
        <v>21.100097091380029</v>
      </c>
      <c r="AB53">
        <v>21.100097091380029</v>
      </c>
      <c r="AC53">
        <v>0.1696149283872993</v>
      </c>
      <c r="AD53">
        <v>0.1696149283872993</v>
      </c>
      <c r="AE53">
        <v>0.1696149283872993</v>
      </c>
      <c r="AF53">
        <v>0.1696149283872993</v>
      </c>
      <c r="AG53">
        <v>0.1696149283872993</v>
      </c>
      <c r="AH53">
        <v>0.1696149283872993</v>
      </c>
      <c r="AI53">
        <v>0.1696149283872993</v>
      </c>
      <c r="AJ53">
        <v>0.1696149283872993</v>
      </c>
      <c r="AS53">
        <v>0.41666666666666669</v>
      </c>
      <c r="AT53">
        <v>0.41666666666666669</v>
      </c>
      <c r="AU53">
        <v>0.41666666666666669</v>
      </c>
      <c r="AV53">
        <v>0.41666666666666669</v>
      </c>
      <c r="AW53">
        <v>0.41666666666666669</v>
      </c>
      <c r="AX53">
        <v>0.41666666666666669</v>
      </c>
      <c r="AY53">
        <v>0.41666666666666669</v>
      </c>
      <c r="AZ53">
        <v>0.41666666666666669</v>
      </c>
    </row>
    <row r="54" spans="1:52" x14ac:dyDescent="0.25">
      <c r="A54" t="s">
        <v>93</v>
      </c>
      <c r="B54" t="s">
        <v>94</v>
      </c>
      <c r="D54">
        <v>2020</v>
      </c>
      <c r="E54" t="s">
        <v>148</v>
      </c>
      <c r="F54" t="s">
        <v>199</v>
      </c>
      <c r="G54" t="s">
        <v>148</v>
      </c>
      <c r="H54" t="s">
        <v>200</v>
      </c>
      <c r="I54">
        <v>1</v>
      </c>
      <c r="J54">
        <v>0</v>
      </c>
      <c r="K54">
        <v>100</v>
      </c>
      <c r="L54">
        <v>31.536000000000001</v>
      </c>
      <c r="M54">
        <v>3989.3387907441688</v>
      </c>
      <c r="N54">
        <v>3989.3387907441688</v>
      </c>
      <c r="O54">
        <v>3989.3387907441688</v>
      </c>
      <c r="P54">
        <v>3989.3387907441688</v>
      </c>
      <c r="Q54">
        <v>3989.3387907441688</v>
      </c>
      <c r="R54">
        <v>3989.3387907441688</v>
      </c>
      <c r="S54">
        <v>3989.3387907441688</v>
      </c>
      <c r="T54">
        <v>3989.3387907441688</v>
      </c>
      <c r="U54">
        <v>21.100097091380029</v>
      </c>
      <c r="V54">
        <v>21.100097091380029</v>
      </c>
      <c r="W54">
        <v>21.100097091380029</v>
      </c>
      <c r="X54">
        <v>21.100097091380029</v>
      </c>
      <c r="Y54">
        <v>21.100097091380029</v>
      </c>
      <c r="Z54">
        <v>21.100097091380029</v>
      </c>
      <c r="AA54">
        <v>21.100097091380029</v>
      </c>
      <c r="AB54">
        <v>21.100097091380029</v>
      </c>
      <c r="AC54">
        <v>0.1696149283872993</v>
      </c>
      <c r="AD54">
        <v>0.1696149283872993</v>
      </c>
      <c r="AE54">
        <v>0.1696149283872993</v>
      </c>
      <c r="AF54">
        <v>0.1696149283872993</v>
      </c>
      <c r="AG54">
        <v>0.1696149283872993</v>
      </c>
      <c r="AH54">
        <v>0.1696149283872993</v>
      </c>
      <c r="AI54">
        <v>0.1696149283872993</v>
      </c>
      <c r="AJ54">
        <v>0.1696149283872993</v>
      </c>
      <c r="AS54">
        <v>0.41666666666666669</v>
      </c>
      <c r="AT54">
        <v>0.41666666666666669</v>
      </c>
      <c r="AU54">
        <v>0.41666666666666669</v>
      </c>
      <c r="AV54">
        <v>0.41666666666666669</v>
      </c>
      <c r="AW54">
        <v>0.41666666666666669</v>
      </c>
      <c r="AX54">
        <v>0.41666666666666669</v>
      </c>
      <c r="AY54">
        <v>0.41666666666666669</v>
      </c>
      <c r="AZ54">
        <v>0.41666666666666669</v>
      </c>
    </row>
    <row r="55" spans="1:52" x14ac:dyDescent="0.25">
      <c r="A55" t="s">
        <v>93</v>
      </c>
      <c r="B55" t="s">
        <v>94</v>
      </c>
      <c r="D55">
        <v>2020</v>
      </c>
      <c r="E55" t="s">
        <v>148</v>
      </c>
      <c r="F55" t="s">
        <v>201</v>
      </c>
      <c r="G55" t="s">
        <v>148</v>
      </c>
      <c r="H55" t="s">
        <v>202</v>
      </c>
      <c r="I55">
        <v>1</v>
      </c>
      <c r="J55">
        <v>0</v>
      </c>
      <c r="K55">
        <v>100</v>
      </c>
      <c r="L55">
        <v>31.536000000000001</v>
      </c>
      <c r="M55">
        <v>4141.3324292504731</v>
      </c>
      <c r="N55">
        <v>4141.3324292504731</v>
      </c>
      <c r="O55">
        <v>4141.3324292504731</v>
      </c>
      <c r="P55">
        <v>4141.3324292504731</v>
      </c>
      <c r="Q55">
        <v>4141.3324292504731</v>
      </c>
      <c r="R55">
        <v>4141.3324292504731</v>
      </c>
      <c r="S55">
        <v>4141.3324292504731</v>
      </c>
      <c r="T55">
        <v>4141.3324292504731</v>
      </c>
      <c r="U55">
        <v>21.100097091380029</v>
      </c>
      <c r="V55">
        <v>21.100097091380029</v>
      </c>
      <c r="W55">
        <v>21.100097091380029</v>
      </c>
      <c r="X55">
        <v>21.100097091380029</v>
      </c>
      <c r="Y55">
        <v>21.100097091380029</v>
      </c>
      <c r="Z55">
        <v>21.100097091380029</v>
      </c>
      <c r="AA55">
        <v>21.100097091380029</v>
      </c>
      <c r="AB55">
        <v>21.100097091380029</v>
      </c>
      <c r="AC55">
        <v>0.1696149283872993</v>
      </c>
      <c r="AD55">
        <v>0.1696149283872993</v>
      </c>
      <c r="AE55">
        <v>0.1696149283872993</v>
      </c>
      <c r="AF55">
        <v>0.1696149283872993</v>
      </c>
      <c r="AG55">
        <v>0.1696149283872993</v>
      </c>
      <c r="AH55">
        <v>0.1696149283872993</v>
      </c>
      <c r="AI55">
        <v>0.1696149283872993</v>
      </c>
      <c r="AJ55">
        <v>0.1696149283872993</v>
      </c>
      <c r="AS55">
        <v>0.41666666666666669</v>
      </c>
      <c r="AT55">
        <v>0.41666666666666669</v>
      </c>
      <c r="AU55">
        <v>0.41666666666666669</v>
      </c>
      <c r="AV55">
        <v>0.41666666666666669</v>
      </c>
      <c r="AW55">
        <v>0.41666666666666669</v>
      </c>
      <c r="AX55">
        <v>0.41666666666666669</v>
      </c>
      <c r="AY55">
        <v>0.41666666666666669</v>
      </c>
      <c r="AZ55">
        <v>0.41666666666666669</v>
      </c>
    </row>
    <row r="56" spans="1:52" x14ac:dyDescent="0.25">
      <c r="A56" t="s">
        <v>93</v>
      </c>
      <c r="B56" t="s">
        <v>94</v>
      </c>
      <c r="D56">
        <v>2020</v>
      </c>
      <c r="E56" t="s">
        <v>148</v>
      </c>
      <c r="F56" t="s">
        <v>203</v>
      </c>
      <c r="G56" t="s">
        <v>148</v>
      </c>
      <c r="H56" t="s">
        <v>204</v>
      </c>
      <c r="I56">
        <v>1</v>
      </c>
      <c r="J56">
        <v>0</v>
      </c>
      <c r="K56">
        <v>100</v>
      </c>
      <c r="L56">
        <v>31.536000000000001</v>
      </c>
      <c r="M56">
        <v>4311.6896102347882</v>
      </c>
      <c r="N56">
        <v>4311.6896102347882</v>
      </c>
      <c r="O56">
        <v>4311.6896102347882</v>
      </c>
      <c r="P56">
        <v>4311.6896102347882</v>
      </c>
      <c r="Q56">
        <v>4311.6896102347882</v>
      </c>
      <c r="R56">
        <v>4311.6896102347882</v>
      </c>
      <c r="S56">
        <v>4311.6896102347882</v>
      </c>
      <c r="T56">
        <v>4311.6896102347882</v>
      </c>
      <c r="U56">
        <v>21.100097091380029</v>
      </c>
      <c r="V56">
        <v>21.100097091380029</v>
      </c>
      <c r="W56">
        <v>21.100097091380029</v>
      </c>
      <c r="X56">
        <v>21.100097091380029</v>
      </c>
      <c r="Y56">
        <v>21.100097091380029</v>
      </c>
      <c r="Z56">
        <v>21.100097091380029</v>
      </c>
      <c r="AA56">
        <v>21.100097091380029</v>
      </c>
      <c r="AB56">
        <v>21.100097091380029</v>
      </c>
      <c r="AC56">
        <v>0.1696149283872993</v>
      </c>
      <c r="AD56">
        <v>0.1696149283872993</v>
      </c>
      <c r="AE56">
        <v>0.1696149283872993</v>
      </c>
      <c r="AF56">
        <v>0.1696149283872993</v>
      </c>
      <c r="AG56">
        <v>0.1696149283872993</v>
      </c>
      <c r="AH56">
        <v>0.1696149283872993</v>
      </c>
      <c r="AI56">
        <v>0.1696149283872993</v>
      </c>
      <c r="AJ56">
        <v>0.1696149283872993</v>
      </c>
      <c r="AS56">
        <v>0.41666666666666669</v>
      </c>
      <c r="AT56">
        <v>0.41666666666666669</v>
      </c>
      <c r="AU56">
        <v>0.41666666666666669</v>
      </c>
      <c r="AV56">
        <v>0.41666666666666669</v>
      </c>
      <c r="AW56">
        <v>0.41666666666666669</v>
      </c>
      <c r="AX56">
        <v>0.41666666666666669</v>
      </c>
      <c r="AY56">
        <v>0.41666666666666669</v>
      </c>
      <c r="AZ56">
        <v>0.41666666666666669</v>
      </c>
    </row>
    <row r="57" spans="1:52" x14ac:dyDescent="0.25">
      <c r="A57" t="s">
        <v>93</v>
      </c>
      <c r="B57" t="s">
        <v>94</v>
      </c>
      <c r="D57">
        <v>2020</v>
      </c>
      <c r="E57" t="s">
        <v>148</v>
      </c>
      <c r="F57" t="s">
        <v>205</v>
      </c>
      <c r="G57" t="s">
        <v>148</v>
      </c>
      <c r="H57" t="s">
        <v>206</v>
      </c>
      <c r="I57">
        <v>1</v>
      </c>
      <c r="J57">
        <v>0</v>
      </c>
      <c r="K57">
        <v>100</v>
      </c>
      <c r="L57">
        <v>31.536000000000001</v>
      </c>
      <c r="M57">
        <v>4496.5863120087033</v>
      </c>
      <c r="N57">
        <v>4496.5863120087033</v>
      </c>
      <c r="O57">
        <v>4496.5863120087033</v>
      </c>
      <c r="P57">
        <v>4496.5863120087033</v>
      </c>
      <c r="Q57">
        <v>4496.5863120087033</v>
      </c>
      <c r="R57">
        <v>4496.5863120087033</v>
      </c>
      <c r="S57">
        <v>4496.5863120087033</v>
      </c>
      <c r="T57">
        <v>4496.5863120087033</v>
      </c>
      <c r="U57">
        <v>21.100097091380029</v>
      </c>
      <c r="V57">
        <v>21.100097091380029</v>
      </c>
      <c r="W57">
        <v>21.100097091380029</v>
      </c>
      <c r="X57">
        <v>21.100097091380029</v>
      </c>
      <c r="Y57">
        <v>21.100097091380029</v>
      </c>
      <c r="Z57">
        <v>21.100097091380029</v>
      </c>
      <c r="AA57">
        <v>21.100097091380029</v>
      </c>
      <c r="AB57">
        <v>21.100097091380029</v>
      </c>
      <c r="AC57">
        <v>0.1696149283872993</v>
      </c>
      <c r="AD57">
        <v>0.1696149283872993</v>
      </c>
      <c r="AE57">
        <v>0.1696149283872993</v>
      </c>
      <c r="AF57">
        <v>0.1696149283872993</v>
      </c>
      <c r="AG57">
        <v>0.1696149283872993</v>
      </c>
      <c r="AH57">
        <v>0.1696149283872993</v>
      </c>
      <c r="AI57">
        <v>0.1696149283872993</v>
      </c>
      <c r="AJ57">
        <v>0.1696149283872993</v>
      </c>
      <c r="AS57">
        <v>0.41666666666666669</v>
      </c>
      <c r="AT57">
        <v>0.41666666666666669</v>
      </c>
      <c r="AU57">
        <v>0.41666666666666669</v>
      </c>
      <c r="AV57">
        <v>0.41666666666666669</v>
      </c>
      <c r="AW57">
        <v>0.41666666666666669</v>
      </c>
      <c r="AX57">
        <v>0.41666666666666669</v>
      </c>
      <c r="AY57">
        <v>0.41666666666666669</v>
      </c>
      <c r="AZ57">
        <v>0.41666666666666669</v>
      </c>
    </row>
    <row r="58" spans="1:52" x14ac:dyDescent="0.25">
      <c r="A58" t="s">
        <v>93</v>
      </c>
      <c r="B58" t="s">
        <v>94</v>
      </c>
      <c r="D58">
        <v>2020</v>
      </c>
      <c r="E58" t="s">
        <v>148</v>
      </c>
      <c r="F58" t="s">
        <v>207</v>
      </c>
      <c r="G58" t="s">
        <v>148</v>
      </c>
      <c r="H58" t="s">
        <v>208</v>
      </c>
      <c r="I58">
        <v>1</v>
      </c>
      <c r="J58">
        <v>0</v>
      </c>
      <c r="K58">
        <v>100</v>
      </c>
      <c r="L58">
        <v>31.536000000000001</v>
      </c>
      <c r="M58">
        <v>4700.5288106819444</v>
      </c>
      <c r="N58">
        <v>4700.5288106819444</v>
      </c>
      <c r="O58">
        <v>4700.5288106819444</v>
      </c>
      <c r="P58">
        <v>4700.5288106819444</v>
      </c>
      <c r="Q58">
        <v>4700.5288106819444</v>
      </c>
      <c r="R58">
        <v>4700.5288106819444</v>
      </c>
      <c r="S58">
        <v>4700.5288106819444</v>
      </c>
      <c r="T58">
        <v>4700.5288106819444</v>
      </c>
      <c r="U58">
        <v>21.100097091380029</v>
      </c>
      <c r="V58">
        <v>21.100097091380029</v>
      </c>
      <c r="W58">
        <v>21.100097091380029</v>
      </c>
      <c r="X58">
        <v>21.100097091380029</v>
      </c>
      <c r="Y58">
        <v>21.100097091380029</v>
      </c>
      <c r="Z58">
        <v>21.100097091380029</v>
      </c>
      <c r="AA58">
        <v>21.100097091380029</v>
      </c>
      <c r="AB58">
        <v>21.100097091380029</v>
      </c>
      <c r="AC58">
        <v>0.1696149283872993</v>
      </c>
      <c r="AD58">
        <v>0.1696149283872993</v>
      </c>
      <c r="AE58">
        <v>0.1696149283872993</v>
      </c>
      <c r="AF58">
        <v>0.1696149283872993</v>
      </c>
      <c r="AG58">
        <v>0.1696149283872993</v>
      </c>
      <c r="AH58">
        <v>0.1696149283872993</v>
      </c>
      <c r="AI58">
        <v>0.1696149283872993</v>
      </c>
      <c r="AJ58">
        <v>0.1696149283872993</v>
      </c>
      <c r="AS58">
        <v>0.41666666666666669</v>
      </c>
      <c r="AT58">
        <v>0.41666666666666669</v>
      </c>
      <c r="AU58">
        <v>0.41666666666666669</v>
      </c>
      <c r="AV58">
        <v>0.41666666666666669</v>
      </c>
      <c r="AW58">
        <v>0.41666666666666669</v>
      </c>
      <c r="AX58">
        <v>0.41666666666666669</v>
      </c>
      <c r="AY58">
        <v>0.41666666666666669</v>
      </c>
      <c r="AZ58">
        <v>0.41666666666666669</v>
      </c>
    </row>
    <row r="59" spans="1:52" x14ac:dyDescent="0.25">
      <c r="A59" t="s">
        <v>93</v>
      </c>
      <c r="B59" t="s">
        <v>94</v>
      </c>
      <c r="D59">
        <v>2020</v>
      </c>
      <c r="E59" t="s">
        <v>148</v>
      </c>
      <c r="F59" t="s">
        <v>209</v>
      </c>
      <c r="G59" t="s">
        <v>148</v>
      </c>
      <c r="H59" t="s">
        <v>210</v>
      </c>
      <c r="I59">
        <v>1</v>
      </c>
      <c r="J59">
        <v>0</v>
      </c>
      <c r="K59">
        <v>100</v>
      </c>
      <c r="L59">
        <v>31.536000000000001</v>
      </c>
      <c r="M59">
        <v>2385.0937819360602</v>
      </c>
      <c r="N59">
        <v>2385.0937819360602</v>
      </c>
      <c r="O59">
        <v>2385.0937819360602</v>
      </c>
      <c r="P59">
        <v>2385.0937819360602</v>
      </c>
      <c r="Q59">
        <v>2385.0937819360602</v>
      </c>
      <c r="R59">
        <v>2385.0937819360602</v>
      </c>
      <c r="S59">
        <v>2385.0937819360602</v>
      </c>
      <c r="T59">
        <v>2385.0937819360602</v>
      </c>
      <c r="U59">
        <v>21.100097091380029</v>
      </c>
      <c r="V59">
        <v>21.100097091380029</v>
      </c>
      <c r="W59">
        <v>21.100097091380029</v>
      </c>
      <c r="X59">
        <v>21.100097091380029</v>
      </c>
      <c r="Y59">
        <v>21.100097091380029</v>
      </c>
      <c r="Z59">
        <v>21.100097091380029</v>
      </c>
      <c r="AA59">
        <v>21.100097091380029</v>
      </c>
      <c r="AB59">
        <v>21.100097091380029</v>
      </c>
      <c r="AC59">
        <v>0.1696149283872993</v>
      </c>
      <c r="AD59">
        <v>0.1696149283872993</v>
      </c>
      <c r="AE59">
        <v>0.1696149283872993</v>
      </c>
      <c r="AF59">
        <v>0.1696149283872993</v>
      </c>
      <c r="AG59">
        <v>0.1696149283872993</v>
      </c>
      <c r="AH59">
        <v>0.1696149283872993</v>
      </c>
      <c r="AI59">
        <v>0.1696149283872993</v>
      </c>
      <c r="AJ59">
        <v>0.1696149283872993</v>
      </c>
      <c r="AS59">
        <v>0.33333333333333331</v>
      </c>
      <c r="AT59">
        <v>0.33333333333333331</v>
      </c>
      <c r="AU59">
        <v>0.33333333333333331</v>
      </c>
      <c r="AV59">
        <v>0.33333333333333331</v>
      </c>
      <c r="AW59">
        <v>0.33333333333333331</v>
      </c>
      <c r="AX59">
        <v>0.33333333333333331</v>
      </c>
      <c r="AY59">
        <v>0.33333333333333331</v>
      </c>
      <c r="AZ59">
        <v>0.33333333333333331</v>
      </c>
    </row>
    <row r="60" spans="1:52" x14ac:dyDescent="0.25">
      <c r="A60" t="s">
        <v>93</v>
      </c>
      <c r="B60" t="s">
        <v>94</v>
      </c>
      <c r="D60">
        <v>2020</v>
      </c>
      <c r="E60" t="s">
        <v>148</v>
      </c>
      <c r="F60" t="s">
        <v>211</v>
      </c>
      <c r="G60" t="s">
        <v>148</v>
      </c>
      <c r="H60" t="s">
        <v>212</v>
      </c>
      <c r="I60">
        <v>1</v>
      </c>
      <c r="J60">
        <v>0</v>
      </c>
      <c r="K60">
        <v>100</v>
      </c>
      <c r="L60">
        <v>31.536000000000001</v>
      </c>
      <c r="M60">
        <v>2703.9530678386359</v>
      </c>
      <c r="N60">
        <v>2703.9530678386359</v>
      </c>
      <c r="O60">
        <v>2703.9530678386359</v>
      </c>
      <c r="P60">
        <v>2703.9530678386359</v>
      </c>
      <c r="Q60">
        <v>2703.9530678386359</v>
      </c>
      <c r="R60">
        <v>2703.9530678386359</v>
      </c>
      <c r="S60">
        <v>2703.9530678386359</v>
      </c>
      <c r="T60">
        <v>2703.9530678386359</v>
      </c>
      <c r="U60">
        <v>21.100097091380029</v>
      </c>
      <c r="V60">
        <v>21.100097091380029</v>
      </c>
      <c r="W60">
        <v>21.100097091380029</v>
      </c>
      <c r="X60">
        <v>21.100097091380029</v>
      </c>
      <c r="Y60">
        <v>21.100097091380029</v>
      </c>
      <c r="Z60">
        <v>21.100097091380029</v>
      </c>
      <c r="AA60">
        <v>21.100097091380029</v>
      </c>
      <c r="AB60">
        <v>21.100097091380029</v>
      </c>
      <c r="AC60">
        <v>0.1696149283872993</v>
      </c>
      <c r="AD60">
        <v>0.1696149283872993</v>
      </c>
      <c r="AE60">
        <v>0.1696149283872993</v>
      </c>
      <c r="AF60">
        <v>0.1696149283872993</v>
      </c>
      <c r="AG60">
        <v>0.1696149283872993</v>
      </c>
      <c r="AH60">
        <v>0.1696149283872993</v>
      </c>
      <c r="AI60">
        <v>0.1696149283872993</v>
      </c>
      <c r="AJ60">
        <v>0.1696149283872993</v>
      </c>
      <c r="AS60">
        <v>0.33333333333333331</v>
      </c>
      <c r="AT60">
        <v>0.33333333333333331</v>
      </c>
      <c r="AU60">
        <v>0.33333333333333331</v>
      </c>
      <c r="AV60">
        <v>0.33333333333333331</v>
      </c>
      <c r="AW60">
        <v>0.33333333333333331</v>
      </c>
      <c r="AX60">
        <v>0.33333333333333331</v>
      </c>
      <c r="AY60">
        <v>0.33333333333333331</v>
      </c>
      <c r="AZ60">
        <v>0.33333333333333331</v>
      </c>
    </row>
    <row r="61" spans="1:52" x14ac:dyDescent="0.25">
      <c r="A61" t="s">
        <v>93</v>
      </c>
      <c r="B61" t="s">
        <v>94</v>
      </c>
      <c r="D61">
        <v>2020</v>
      </c>
      <c r="E61" t="s">
        <v>148</v>
      </c>
      <c r="F61" t="s">
        <v>213</v>
      </c>
      <c r="G61" t="s">
        <v>148</v>
      </c>
      <c r="H61" t="s">
        <v>214</v>
      </c>
      <c r="I61">
        <v>1</v>
      </c>
      <c r="J61">
        <v>0</v>
      </c>
      <c r="K61">
        <v>100</v>
      </c>
      <c r="L61">
        <v>31.536000000000001</v>
      </c>
      <c r="M61">
        <v>2902.3052152757159</v>
      </c>
      <c r="N61">
        <v>2902.3052152757159</v>
      </c>
      <c r="O61">
        <v>2902.3052152757159</v>
      </c>
      <c r="P61">
        <v>2902.3052152757159</v>
      </c>
      <c r="Q61">
        <v>2902.3052152757159</v>
      </c>
      <c r="R61">
        <v>2902.3052152757159</v>
      </c>
      <c r="S61">
        <v>2902.3052152757159</v>
      </c>
      <c r="T61">
        <v>2902.3052152757159</v>
      </c>
      <c r="U61">
        <v>21.100097091380029</v>
      </c>
      <c r="V61">
        <v>21.100097091380029</v>
      </c>
      <c r="W61">
        <v>21.100097091380029</v>
      </c>
      <c r="X61">
        <v>21.100097091380029</v>
      </c>
      <c r="Y61">
        <v>21.100097091380029</v>
      </c>
      <c r="Z61">
        <v>21.100097091380029</v>
      </c>
      <c r="AA61">
        <v>21.100097091380029</v>
      </c>
      <c r="AB61">
        <v>21.100097091380029</v>
      </c>
      <c r="AC61">
        <v>0.1696149283872993</v>
      </c>
      <c r="AD61">
        <v>0.1696149283872993</v>
      </c>
      <c r="AE61">
        <v>0.1696149283872993</v>
      </c>
      <c r="AF61">
        <v>0.1696149283872993</v>
      </c>
      <c r="AG61">
        <v>0.1696149283872993</v>
      </c>
      <c r="AH61">
        <v>0.1696149283872993</v>
      </c>
      <c r="AI61">
        <v>0.1696149283872993</v>
      </c>
      <c r="AJ61">
        <v>0.1696149283872993</v>
      </c>
      <c r="AS61">
        <v>0.33333333333333331</v>
      </c>
      <c r="AT61">
        <v>0.33333333333333331</v>
      </c>
      <c r="AU61">
        <v>0.33333333333333331</v>
      </c>
      <c r="AV61">
        <v>0.33333333333333331</v>
      </c>
      <c r="AW61">
        <v>0.33333333333333331</v>
      </c>
      <c r="AX61">
        <v>0.33333333333333331</v>
      </c>
      <c r="AY61">
        <v>0.33333333333333331</v>
      </c>
      <c r="AZ61">
        <v>0.33333333333333331</v>
      </c>
    </row>
    <row r="62" spans="1:52" x14ac:dyDescent="0.25">
      <c r="A62" t="s">
        <v>93</v>
      </c>
      <c r="B62" t="s">
        <v>94</v>
      </c>
      <c r="D62">
        <v>2020</v>
      </c>
      <c r="E62" t="s">
        <v>148</v>
      </c>
      <c r="F62" t="s">
        <v>215</v>
      </c>
      <c r="G62" t="s">
        <v>148</v>
      </c>
      <c r="H62" t="s">
        <v>216</v>
      </c>
      <c r="I62">
        <v>1</v>
      </c>
      <c r="J62">
        <v>0</v>
      </c>
      <c r="K62">
        <v>100</v>
      </c>
      <c r="L62">
        <v>31.536000000000001</v>
      </c>
      <c r="M62">
        <v>3059.5593302806092</v>
      </c>
      <c r="N62">
        <v>3059.5593302806092</v>
      </c>
      <c r="O62">
        <v>3059.5593302806092</v>
      </c>
      <c r="P62">
        <v>3059.5593302806092</v>
      </c>
      <c r="Q62">
        <v>3059.5593302806092</v>
      </c>
      <c r="R62">
        <v>3059.5593302806092</v>
      </c>
      <c r="S62">
        <v>3059.5593302806092</v>
      </c>
      <c r="T62">
        <v>3059.5593302806092</v>
      </c>
      <c r="U62">
        <v>21.100097091380029</v>
      </c>
      <c r="V62">
        <v>21.100097091380029</v>
      </c>
      <c r="W62">
        <v>21.100097091380029</v>
      </c>
      <c r="X62">
        <v>21.100097091380029</v>
      </c>
      <c r="Y62">
        <v>21.100097091380029</v>
      </c>
      <c r="Z62">
        <v>21.100097091380029</v>
      </c>
      <c r="AA62">
        <v>21.100097091380029</v>
      </c>
      <c r="AB62">
        <v>21.100097091380029</v>
      </c>
      <c r="AC62">
        <v>0.1696149283872993</v>
      </c>
      <c r="AD62">
        <v>0.1696149283872993</v>
      </c>
      <c r="AE62">
        <v>0.1696149283872993</v>
      </c>
      <c r="AF62">
        <v>0.1696149283872993</v>
      </c>
      <c r="AG62">
        <v>0.1696149283872993</v>
      </c>
      <c r="AH62">
        <v>0.1696149283872993</v>
      </c>
      <c r="AI62">
        <v>0.1696149283872993</v>
      </c>
      <c r="AJ62">
        <v>0.1696149283872993</v>
      </c>
      <c r="AS62">
        <v>0.33333333333333331</v>
      </c>
      <c r="AT62">
        <v>0.33333333333333331</v>
      </c>
      <c r="AU62">
        <v>0.33333333333333331</v>
      </c>
      <c r="AV62">
        <v>0.33333333333333331</v>
      </c>
      <c r="AW62">
        <v>0.33333333333333331</v>
      </c>
      <c r="AX62">
        <v>0.33333333333333331</v>
      </c>
      <c r="AY62">
        <v>0.33333333333333331</v>
      </c>
      <c r="AZ62">
        <v>0.33333333333333331</v>
      </c>
    </row>
    <row r="63" spans="1:52" x14ac:dyDescent="0.25">
      <c r="A63" t="s">
        <v>93</v>
      </c>
      <c r="B63" t="s">
        <v>94</v>
      </c>
      <c r="D63">
        <v>2020</v>
      </c>
      <c r="E63" t="s">
        <v>148</v>
      </c>
      <c r="F63" t="s">
        <v>217</v>
      </c>
      <c r="G63" t="s">
        <v>148</v>
      </c>
      <c r="H63" t="s">
        <v>218</v>
      </c>
      <c r="I63">
        <v>1</v>
      </c>
      <c r="J63">
        <v>0</v>
      </c>
      <c r="K63">
        <v>100</v>
      </c>
      <c r="L63">
        <v>31.536000000000001</v>
      </c>
      <c r="M63">
        <v>3198.7823529365151</v>
      </c>
      <c r="N63">
        <v>3198.7823529365151</v>
      </c>
      <c r="O63">
        <v>3198.7823529365151</v>
      </c>
      <c r="P63">
        <v>3198.7823529365151</v>
      </c>
      <c r="Q63">
        <v>3198.7823529365151</v>
      </c>
      <c r="R63">
        <v>3198.7823529365151</v>
      </c>
      <c r="S63">
        <v>3198.7823529365151</v>
      </c>
      <c r="T63">
        <v>3198.7823529365151</v>
      </c>
      <c r="U63">
        <v>21.100097091380029</v>
      </c>
      <c r="V63">
        <v>21.100097091380029</v>
      </c>
      <c r="W63">
        <v>21.100097091380029</v>
      </c>
      <c r="X63">
        <v>21.100097091380029</v>
      </c>
      <c r="Y63">
        <v>21.100097091380029</v>
      </c>
      <c r="Z63">
        <v>21.100097091380029</v>
      </c>
      <c r="AA63">
        <v>21.100097091380029</v>
      </c>
      <c r="AB63">
        <v>21.100097091380029</v>
      </c>
      <c r="AC63">
        <v>0.1696149283872993</v>
      </c>
      <c r="AD63">
        <v>0.1696149283872993</v>
      </c>
      <c r="AE63">
        <v>0.1696149283872993</v>
      </c>
      <c r="AF63">
        <v>0.1696149283872993</v>
      </c>
      <c r="AG63">
        <v>0.1696149283872993</v>
      </c>
      <c r="AH63">
        <v>0.1696149283872993</v>
      </c>
      <c r="AI63">
        <v>0.1696149283872993</v>
      </c>
      <c r="AJ63">
        <v>0.1696149283872993</v>
      </c>
      <c r="AS63">
        <v>0.33333333333333331</v>
      </c>
      <c r="AT63">
        <v>0.33333333333333331</v>
      </c>
      <c r="AU63">
        <v>0.33333333333333331</v>
      </c>
      <c r="AV63">
        <v>0.33333333333333331</v>
      </c>
      <c r="AW63">
        <v>0.33333333333333331</v>
      </c>
      <c r="AX63">
        <v>0.33333333333333331</v>
      </c>
      <c r="AY63">
        <v>0.33333333333333331</v>
      </c>
      <c r="AZ63">
        <v>0.33333333333333331</v>
      </c>
    </row>
    <row r="64" spans="1:52" x14ac:dyDescent="0.25">
      <c r="A64" t="s">
        <v>93</v>
      </c>
      <c r="B64" t="s">
        <v>94</v>
      </c>
      <c r="D64">
        <v>2020</v>
      </c>
      <c r="E64" t="s">
        <v>148</v>
      </c>
      <c r="F64" t="s">
        <v>219</v>
      </c>
      <c r="G64" t="s">
        <v>148</v>
      </c>
      <c r="H64" t="s">
        <v>220</v>
      </c>
      <c r="I64">
        <v>1</v>
      </c>
      <c r="J64">
        <v>0</v>
      </c>
      <c r="K64">
        <v>100</v>
      </c>
      <c r="L64">
        <v>31.536000000000001</v>
      </c>
      <c r="M64">
        <v>3332.512077047089</v>
      </c>
      <c r="N64">
        <v>3332.512077047089</v>
      </c>
      <c r="O64">
        <v>3332.512077047089</v>
      </c>
      <c r="P64">
        <v>3332.512077047089</v>
      </c>
      <c r="Q64">
        <v>3332.512077047089</v>
      </c>
      <c r="R64">
        <v>3332.512077047089</v>
      </c>
      <c r="S64">
        <v>3332.512077047089</v>
      </c>
      <c r="T64">
        <v>3332.512077047089</v>
      </c>
      <c r="U64">
        <v>21.100097091380029</v>
      </c>
      <c r="V64">
        <v>21.100097091380029</v>
      </c>
      <c r="W64">
        <v>21.100097091380029</v>
      </c>
      <c r="X64">
        <v>21.100097091380029</v>
      </c>
      <c r="Y64">
        <v>21.100097091380029</v>
      </c>
      <c r="Z64">
        <v>21.100097091380029</v>
      </c>
      <c r="AA64">
        <v>21.100097091380029</v>
      </c>
      <c r="AB64">
        <v>21.100097091380029</v>
      </c>
      <c r="AC64">
        <v>0.1696149283872993</v>
      </c>
      <c r="AD64">
        <v>0.1696149283872993</v>
      </c>
      <c r="AE64">
        <v>0.1696149283872993</v>
      </c>
      <c r="AF64">
        <v>0.1696149283872993</v>
      </c>
      <c r="AG64">
        <v>0.1696149283872993</v>
      </c>
      <c r="AH64">
        <v>0.1696149283872993</v>
      </c>
      <c r="AI64">
        <v>0.1696149283872993</v>
      </c>
      <c r="AJ64">
        <v>0.1696149283872993</v>
      </c>
      <c r="AS64">
        <v>0.33333333333333331</v>
      </c>
      <c r="AT64">
        <v>0.33333333333333331</v>
      </c>
      <c r="AU64">
        <v>0.33333333333333331</v>
      </c>
      <c r="AV64">
        <v>0.33333333333333331</v>
      </c>
      <c r="AW64">
        <v>0.33333333333333331</v>
      </c>
      <c r="AX64">
        <v>0.33333333333333331</v>
      </c>
      <c r="AY64">
        <v>0.33333333333333331</v>
      </c>
      <c r="AZ64">
        <v>0.33333333333333331</v>
      </c>
    </row>
    <row r="65" spans="1:52" x14ac:dyDescent="0.25">
      <c r="A65" t="s">
        <v>93</v>
      </c>
      <c r="B65" t="s">
        <v>94</v>
      </c>
      <c r="D65">
        <v>2020</v>
      </c>
      <c r="E65" t="s">
        <v>148</v>
      </c>
      <c r="F65" t="s">
        <v>221</v>
      </c>
      <c r="G65" t="s">
        <v>148</v>
      </c>
      <c r="H65" t="s">
        <v>222</v>
      </c>
      <c r="I65">
        <v>1</v>
      </c>
      <c r="J65">
        <v>0</v>
      </c>
      <c r="K65">
        <v>100</v>
      </c>
      <c r="L65">
        <v>31.536000000000001</v>
      </c>
      <c r="M65">
        <v>3454.6144209714198</v>
      </c>
      <c r="N65">
        <v>3454.6144209714198</v>
      </c>
      <c r="O65">
        <v>3454.6144209714198</v>
      </c>
      <c r="P65">
        <v>3454.6144209714198</v>
      </c>
      <c r="Q65">
        <v>3454.6144209714198</v>
      </c>
      <c r="R65">
        <v>3454.6144209714198</v>
      </c>
      <c r="S65">
        <v>3454.6144209714198</v>
      </c>
      <c r="T65">
        <v>3454.6144209714198</v>
      </c>
      <c r="U65">
        <v>21.100097091380029</v>
      </c>
      <c r="V65">
        <v>21.100097091380029</v>
      </c>
      <c r="W65">
        <v>21.100097091380029</v>
      </c>
      <c r="X65">
        <v>21.100097091380029</v>
      </c>
      <c r="Y65">
        <v>21.100097091380029</v>
      </c>
      <c r="Z65">
        <v>21.100097091380029</v>
      </c>
      <c r="AA65">
        <v>21.100097091380029</v>
      </c>
      <c r="AB65">
        <v>21.100097091380029</v>
      </c>
      <c r="AC65">
        <v>0.1696149283872993</v>
      </c>
      <c r="AD65">
        <v>0.1696149283872993</v>
      </c>
      <c r="AE65">
        <v>0.1696149283872993</v>
      </c>
      <c r="AF65">
        <v>0.1696149283872993</v>
      </c>
      <c r="AG65">
        <v>0.1696149283872993</v>
      </c>
      <c r="AH65">
        <v>0.1696149283872993</v>
      </c>
      <c r="AI65">
        <v>0.1696149283872993</v>
      </c>
      <c r="AJ65">
        <v>0.1696149283872993</v>
      </c>
      <c r="AS65">
        <v>0.33333333333333331</v>
      </c>
      <c r="AT65">
        <v>0.33333333333333331</v>
      </c>
      <c r="AU65">
        <v>0.33333333333333331</v>
      </c>
      <c r="AV65">
        <v>0.33333333333333331</v>
      </c>
      <c r="AW65">
        <v>0.33333333333333331</v>
      </c>
      <c r="AX65">
        <v>0.33333333333333331</v>
      </c>
      <c r="AY65">
        <v>0.33333333333333331</v>
      </c>
      <c r="AZ65">
        <v>0.33333333333333331</v>
      </c>
    </row>
    <row r="66" spans="1:52" x14ac:dyDescent="0.25">
      <c r="A66" t="s">
        <v>93</v>
      </c>
      <c r="B66" t="s">
        <v>94</v>
      </c>
      <c r="D66">
        <v>2020</v>
      </c>
      <c r="E66" t="s">
        <v>148</v>
      </c>
      <c r="F66" t="s">
        <v>223</v>
      </c>
      <c r="G66" t="s">
        <v>148</v>
      </c>
      <c r="H66" t="s">
        <v>224</v>
      </c>
      <c r="I66">
        <v>1</v>
      </c>
      <c r="J66">
        <v>0</v>
      </c>
      <c r="K66">
        <v>100</v>
      </c>
      <c r="L66">
        <v>31.536000000000001</v>
      </c>
      <c r="M66">
        <v>3580.1995949713692</v>
      </c>
      <c r="N66">
        <v>3580.1995949713692</v>
      </c>
      <c r="O66">
        <v>3580.1995949713692</v>
      </c>
      <c r="P66">
        <v>3580.1995949713692</v>
      </c>
      <c r="Q66">
        <v>3580.1995949713692</v>
      </c>
      <c r="R66">
        <v>3580.1995949713692</v>
      </c>
      <c r="S66">
        <v>3580.1995949713692</v>
      </c>
      <c r="T66">
        <v>3580.1995949713692</v>
      </c>
      <c r="U66">
        <v>21.100097091380029</v>
      </c>
      <c r="V66">
        <v>21.100097091380029</v>
      </c>
      <c r="W66">
        <v>21.100097091380029</v>
      </c>
      <c r="X66">
        <v>21.100097091380029</v>
      </c>
      <c r="Y66">
        <v>21.100097091380029</v>
      </c>
      <c r="Z66">
        <v>21.100097091380029</v>
      </c>
      <c r="AA66">
        <v>21.100097091380029</v>
      </c>
      <c r="AB66">
        <v>21.100097091380029</v>
      </c>
      <c r="AC66">
        <v>0.1696149283872993</v>
      </c>
      <c r="AD66">
        <v>0.1696149283872993</v>
      </c>
      <c r="AE66">
        <v>0.1696149283872993</v>
      </c>
      <c r="AF66">
        <v>0.1696149283872993</v>
      </c>
      <c r="AG66">
        <v>0.1696149283872993</v>
      </c>
      <c r="AH66">
        <v>0.1696149283872993</v>
      </c>
      <c r="AI66">
        <v>0.1696149283872993</v>
      </c>
      <c r="AJ66">
        <v>0.1696149283872993</v>
      </c>
      <c r="AS66">
        <v>0.33333333333333331</v>
      </c>
      <c r="AT66">
        <v>0.33333333333333331</v>
      </c>
      <c r="AU66">
        <v>0.33333333333333331</v>
      </c>
      <c r="AV66">
        <v>0.33333333333333331</v>
      </c>
      <c r="AW66">
        <v>0.33333333333333331</v>
      </c>
      <c r="AX66">
        <v>0.33333333333333331</v>
      </c>
      <c r="AY66">
        <v>0.33333333333333331</v>
      </c>
      <c r="AZ66">
        <v>0.33333333333333331</v>
      </c>
    </row>
    <row r="67" spans="1:52" x14ac:dyDescent="0.25">
      <c r="A67" t="s">
        <v>93</v>
      </c>
      <c r="B67" t="s">
        <v>94</v>
      </c>
      <c r="D67">
        <v>2020</v>
      </c>
      <c r="E67" t="s">
        <v>148</v>
      </c>
      <c r="F67" t="s">
        <v>225</v>
      </c>
      <c r="G67" t="s">
        <v>148</v>
      </c>
      <c r="H67" t="s">
        <v>226</v>
      </c>
      <c r="I67">
        <v>1</v>
      </c>
      <c r="J67">
        <v>0</v>
      </c>
      <c r="K67">
        <v>100</v>
      </c>
      <c r="L67">
        <v>31.536000000000001</v>
      </c>
      <c r="M67">
        <v>3708.5881563782859</v>
      </c>
      <c r="N67">
        <v>3708.5881563782859</v>
      </c>
      <c r="O67">
        <v>3708.5881563782859</v>
      </c>
      <c r="P67">
        <v>3708.5881563782859</v>
      </c>
      <c r="Q67">
        <v>3708.5881563782859</v>
      </c>
      <c r="R67">
        <v>3708.5881563782859</v>
      </c>
      <c r="S67">
        <v>3708.5881563782859</v>
      </c>
      <c r="T67">
        <v>3708.5881563782859</v>
      </c>
      <c r="U67">
        <v>21.100097091380029</v>
      </c>
      <c r="V67">
        <v>21.100097091380029</v>
      </c>
      <c r="W67">
        <v>21.100097091380029</v>
      </c>
      <c r="X67">
        <v>21.100097091380029</v>
      </c>
      <c r="Y67">
        <v>21.100097091380029</v>
      </c>
      <c r="Z67">
        <v>21.100097091380029</v>
      </c>
      <c r="AA67">
        <v>21.100097091380029</v>
      </c>
      <c r="AB67">
        <v>21.100097091380029</v>
      </c>
      <c r="AC67">
        <v>0.1696149283872993</v>
      </c>
      <c r="AD67">
        <v>0.1696149283872993</v>
      </c>
      <c r="AE67">
        <v>0.1696149283872993</v>
      </c>
      <c r="AF67">
        <v>0.1696149283872993</v>
      </c>
      <c r="AG67">
        <v>0.1696149283872993</v>
      </c>
      <c r="AH67">
        <v>0.1696149283872993</v>
      </c>
      <c r="AI67">
        <v>0.1696149283872993</v>
      </c>
      <c r="AJ67">
        <v>0.1696149283872993</v>
      </c>
      <c r="AS67">
        <v>0.33333333333333331</v>
      </c>
      <c r="AT67">
        <v>0.33333333333333331</v>
      </c>
      <c r="AU67">
        <v>0.33333333333333331</v>
      </c>
      <c r="AV67">
        <v>0.33333333333333331</v>
      </c>
      <c r="AW67">
        <v>0.33333333333333331</v>
      </c>
      <c r="AX67">
        <v>0.33333333333333331</v>
      </c>
      <c r="AY67">
        <v>0.33333333333333331</v>
      </c>
      <c r="AZ67">
        <v>0.33333333333333331</v>
      </c>
    </row>
    <row r="68" spans="1:52" x14ac:dyDescent="0.25">
      <c r="A68" t="s">
        <v>93</v>
      </c>
      <c r="B68" t="s">
        <v>94</v>
      </c>
      <c r="D68">
        <v>2020</v>
      </c>
      <c r="E68" t="s">
        <v>148</v>
      </c>
      <c r="F68" t="s">
        <v>227</v>
      </c>
      <c r="G68" t="s">
        <v>148</v>
      </c>
      <c r="H68" t="s">
        <v>228</v>
      </c>
      <c r="I68">
        <v>1</v>
      </c>
      <c r="J68">
        <v>0</v>
      </c>
      <c r="K68">
        <v>100</v>
      </c>
      <c r="L68">
        <v>31.536000000000001</v>
      </c>
      <c r="M68">
        <v>3847.158971512988</v>
      </c>
      <c r="N68">
        <v>3847.158971512988</v>
      </c>
      <c r="O68">
        <v>3847.158971512988</v>
      </c>
      <c r="P68">
        <v>3847.158971512988</v>
      </c>
      <c r="Q68">
        <v>3847.158971512988</v>
      </c>
      <c r="R68">
        <v>3847.158971512988</v>
      </c>
      <c r="S68">
        <v>3847.158971512988</v>
      </c>
      <c r="T68">
        <v>3847.158971512988</v>
      </c>
      <c r="U68">
        <v>21.100097091380029</v>
      </c>
      <c r="V68">
        <v>21.100097091380029</v>
      </c>
      <c r="W68">
        <v>21.100097091380029</v>
      </c>
      <c r="X68">
        <v>21.100097091380029</v>
      </c>
      <c r="Y68">
        <v>21.100097091380029</v>
      </c>
      <c r="Z68">
        <v>21.100097091380029</v>
      </c>
      <c r="AA68">
        <v>21.100097091380029</v>
      </c>
      <c r="AB68">
        <v>21.100097091380029</v>
      </c>
      <c r="AC68">
        <v>0.1696149283872993</v>
      </c>
      <c r="AD68">
        <v>0.1696149283872993</v>
      </c>
      <c r="AE68">
        <v>0.1696149283872993</v>
      </c>
      <c r="AF68">
        <v>0.1696149283872993</v>
      </c>
      <c r="AG68">
        <v>0.1696149283872993</v>
      </c>
      <c r="AH68">
        <v>0.1696149283872993</v>
      </c>
      <c r="AI68">
        <v>0.1696149283872993</v>
      </c>
      <c r="AJ68">
        <v>0.1696149283872993</v>
      </c>
      <c r="AS68">
        <v>0.33333333333333331</v>
      </c>
      <c r="AT68">
        <v>0.33333333333333331</v>
      </c>
      <c r="AU68">
        <v>0.33333333333333331</v>
      </c>
      <c r="AV68">
        <v>0.33333333333333331</v>
      </c>
      <c r="AW68">
        <v>0.33333333333333331</v>
      </c>
      <c r="AX68">
        <v>0.33333333333333331</v>
      </c>
      <c r="AY68">
        <v>0.33333333333333331</v>
      </c>
      <c r="AZ68">
        <v>0.33333333333333331</v>
      </c>
    </row>
    <row r="69" spans="1:52" x14ac:dyDescent="0.25">
      <c r="A69" t="s">
        <v>93</v>
      </c>
      <c r="B69" t="s">
        <v>94</v>
      </c>
      <c r="D69">
        <v>2020</v>
      </c>
      <c r="E69" t="s">
        <v>148</v>
      </c>
      <c r="F69" t="s">
        <v>229</v>
      </c>
      <c r="G69" t="s">
        <v>148</v>
      </c>
      <c r="H69" t="s">
        <v>230</v>
      </c>
      <c r="I69">
        <v>1</v>
      </c>
      <c r="J69">
        <v>0</v>
      </c>
      <c r="K69">
        <v>100</v>
      </c>
      <c r="L69">
        <v>31.536000000000001</v>
      </c>
      <c r="M69">
        <v>3989.3387907441688</v>
      </c>
      <c r="N69">
        <v>3989.3387907441688</v>
      </c>
      <c r="O69">
        <v>3989.3387907441688</v>
      </c>
      <c r="P69">
        <v>3989.3387907441688</v>
      </c>
      <c r="Q69">
        <v>3989.3387907441688</v>
      </c>
      <c r="R69">
        <v>3989.3387907441688</v>
      </c>
      <c r="S69">
        <v>3989.3387907441688</v>
      </c>
      <c r="T69">
        <v>3989.3387907441688</v>
      </c>
      <c r="U69">
        <v>21.100097091380029</v>
      </c>
      <c r="V69">
        <v>21.100097091380029</v>
      </c>
      <c r="W69">
        <v>21.100097091380029</v>
      </c>
      <c r="X69">
        <v>21.100097091380029</v>
      </c>
      <c r="Y69">
        <v>21.100097091380029</v>
      </c>
      <c r="Z69">
        <v>21.100097091380029</v>
      </c>
      <c r="AA69">
        <v>21.100097091380029</v>
      </c>
      <c r="AB69">
        <v>21.100097091380029</v>
      </c>
      <c r="AC69">
        <v>0.1696149283872993</v>
      </c>
      <c r="AD69">
        <v>0.1696149283872993</v>
      </c>
      <c r="AE69">
        <v>0.1696149283872993</v>
      </c>
      <c r="AF69">
        <v>0.1696149283872993</v>
      </c>
      <c r="AG69">
        <v>0.1696149283872993</v>
      </c>
      <c r="AH69">
        <v>0.1696149283872993</v>
      </c>
      <c r="AI69">
        <v>0.1696149283872993</v>
      </c>
      <c r="AJ69">
        <v>0.1696149283872993</v>
      </c>
      <c r="AS69">
        <v>0.33333333333333331</v>
      </c>
      <c r="AT69">
        <v>0.33333333333333331</v>
      </c>
      <c r="AU69">
        <v>0.33333333333333331</v>
      </c>
      <c r="AV69">
        <v>0.33333333333333331</v>
      </c>
      <c r="AW69">
        <v>0.33333333333333331</v>
      </c>
      <c r="AX69">
        <v>0.33333333333333331</v>
      </c>
      <c r="AY69">
        <v>0.33333333333333331</v>
      </c>
      <c r="AZ69">
        <v>0.33333333333333331</v>
      </c>
    </row>
    <row r="70" spans="1:52" x14ac:dyDescent="0.25">
      <c r="A70" t="s">
        <v>93</v>
      </c>
      <c r="B70" t="s">
        <v>94</v>
      </c>
      <c r="D70">
        <v>2020</v>
      </c>
      <c r="E70" t="s">
        <v>148</v>
      </c>
      <c r="F70" t="s">
        <v>231</v>
      </c>
      <c r="G70" t="s">
        <v>148</v>
      </c>
      <c r="H70" t="s">
        <v>232</v>
      </c>
      <c r="I70">
        <v>1</v>
      </c>
      <c r="J70">
        <v>0</v>
      </c>
      <c r="K70">
        <v>100</v>
      </c>
      <c r="L70">
        <v>31.536000000000001</v>
      </c>
      <c r="M70">
        <v>4141.3324292504731</v>
      </c>
      <c r="N70">
        <v>4141.3324292504731</v>
      </c>
      <c r="O70">
        <v>4141.3324292504731</v>
      </c>
      <c r="P70">
        <v>4141.3324292504731</v>
      </c>
      <c r="Q70">
        <v>4141.3324292504731</v>
      </c>
      <c r="R70">
        <v>4141.3324292504731</v>
      </c>
      <c r="S70">
        <v>4141.3324292504731</v>
      </c>
      <c r="T70">
        <v>4141.3324292504731</v>
      </c>
      <c r="U70">
        <v>21.100097091380029</v>
      </c>
      <c r="V70">
        <v>21.100097091380029</v>
      </c>
      <c r="W70">
        <v>21.100097091380029</v>
      </c>
      <c r="X70">
        <v>21.100097091380029</v>
      </c>
      <c r="Y70">
        <v>21.100097091380029</v>
      </c>
      <c r="Z70">
        <v>21.100097091380029</v>
      </c>
      <c r="AA70">
        <v>21.100097091380029</v>
      </c>
      <c r="AB70">
        <v>21.100097091380029</v>
      </c>
      <c r="AC70">
        <v>0.1696149283872993</v>
      </c>
      <c r="AD70">
        <v>0.1696149283872993</v>
      </c>
      <c r="AE70">
        <v>0.1696149283872993</v>
      </c>
      <c r="AF70">
        <v>0.1696149283872993</v>
      </c>
      <c r="AG70">
        <v>0.1696149283872993</v>
      </c>
      <c r="AH70">
        <v>0.1696149283872993</v>
      </c>
      <c r="AI70">
        <v>0.1696149283872993</v>
      </c>
      <c r="AJ70">
        <v>0.1696149283872993</v>
      </c>
      <c r="AS70">
        <v>0.33333333333333331</v>
      </c>
      <c r="AT70">
        <v>0.33333333333333331</v>
      </c>
      <c r="AU70">
        <v>0.33333333333333331</v>
      </c>
      <c r="AV70">
        <v>0.33333333333333331</v>
      </c>
      <c r="AW70">
        <v>0.33333333333333331</v>
      </c>
      <c r="AX70">
        <v>0.33333333333333331</v>
      </c>
      <c r="AY70">
        <v>0.33333333333333331</v>
      </c>
      <c r="AZ70">
        <v>0.33333333333333331</v>
      </c>
    </row>
    <row r="71" spans="1:52" x14ac:dyDescent="0.25">
      <c r="A71" t="s">
        <v>93</v>
      </c>
      <c r="B71" t="s">
        <v>94</v>
      </c>
      <c r="D71">
        <v>2020</v>
      </c>
      <c r="E71" t="s">
        <v>148</v>
      </c>
      <c r="F71" t="s">
        <v>233</v>
      </c>
      <c r="G71" t="s">
        <v>148</v>
      </c>
      <c r="H71" t="s">
        <v>234</v>
      </c>
      <c r="I71">
        <v>1</v>
      </c>
      <c r="J71">
        <v>0</v>
      </c>
      <c r="K71">
        <v>100</v>
      </c>
      <c r="L71">
        <v>31.536000000000001</v>
      </c>
      <c r="M71">
        <v>4311.6896102347882</v>
      </c>
      <c r="N71">
        <v>4311.6896102347882</v>
      </c>
      <c r="O71">
        <v>4311.6896102347882</v>
      </c>
      <c r="P71">
        <v>4311.6896102347882</v>
      </c>
      <c r="Q71">
        <v>4311.6896102347882</v>
      </c>
      <c r="R71">
        <v>4311.6896102347882</v>
      </c>
      <c r="S71">
        <v>4311.6896102347882</v>
      </c>
      <c r="T71">
        <v>4311.6896102347882</v>
      </c>
      <c r="U71">
        <v>21.100097091380029</v>
      </c>
      <c r="V71">
        <v>21.100097091380029</v>
      </c>
      <c r="W71">
        <v>21.100097091380029</v>
      </c>
      <c r="X71">
        <v>21.100097091380029</v>
      </c>
      <c r="Y71">
        <v>21.100097091380029</v>
      </c>
      <c r="Z71">
        <v>21.100097091380029</v>
      </c>
      <c r="AA71">
        <v>21.100097091380029</v>
      </c>
      <c r="AB71">
        <v>21.100097091380029</v>
      </c>
      <c r="AC71">
        <v>0.1696149283872993</v>
      </c>
      <c r="AD71">
        <v>0.1696149283872993</v>
      </c>
      <c r="AE71">
        <v>0.1696149283872993</v>
      </c>
      <c r="AF71">
        <v>0.1696149283872993</v>
      </c>
      <c r="AG71">
        <v>0.1696149283872993</v>
      </c>
      <c r="AH71">
        <v>0.1696149283872993</v>
      </c>
      <c r="AI71">
        <v>0.1696149283872993</v>
      </c>
      <c r="AJ71">
        <v>0.1696149283872993</v>
      </c>
      <c r="AS71">
        <v>0.33333333333333331</v>
      </c>
      <c r="AT71">
        <v>0.33333333333333331</v>
      </c>
      <c r="AU71">
        <v>0.33333333333333331</v>
      </c>
      <c r="AV71">
        <v>0.33333333333333331</v>
      </c>
      <c r="AW71">
        <v>0.33333333333333331</v>
      </c>
      <c r="AX71">
        <v>0.33333333333333331</v>
      </c>
      <c r="AY71">
        <v>0.33333333333333331</v>
      </c>
      <c r="AZ71">
        <v>0.33333333333333331</v>
      </c>
    </row>
    <row r="72" spans="1:52" x14ac:dyDescent="0.25">
      <c r="A72" t="s">
        <v>93</v>
      </c>
      <c r="B72" t="s">
        <v>94</v>
      </c>
      <c r="D72">
        <v>2020</v>
      </c>
      <c r="E72" t="s">
        <v>148</v>
      </c>
      <c r="F72" t="s">
        <v>235</v>
      </c>
      <c r="G72" t="s">
        <v>148</v>
      </c>
      <c r="H72" t="s">
        <v>236</v>
      </c>
      <c r="I72">
        <v>1</v>
      </c>
      <c r="J72">
        <v>0</v>
      </c>
      <c r="K72">
        <v>100</v>
      </c>
      <c r="L72">
        <v>31.536000000000001</v>
      </c>
      <c r="M72">
        <v>4496.5863120087033</v>
      </c>
      <c r="N72">
        <v>4496.5863120087033</v>
      </c>
      <c r="O72">
        <v>4496.5863120087033</v>
      </c>
      <c r="P72">
        <v>4496.5863120087033</v>
      </c>
      <c r="Q72">
        <v>4496.5863120087033</v>
      </c>
      <c r="R72">
        <v>4496.5863120087033</v>
      </c>
      <c r="S72">
        <v>4496.5863120087033</v>
      </c>
      <c r="T72">
        <v>4496.5863120087033</v>
      </c>
      <c r="U72">
        <v>21.100097091380029</v>
      </c>
      <c r="V72">
        <v>21.100097091380029</v>
      </c>
      <c r="W72">
        <v>21.100097091380029</v>
      </c>
      <c r="X72">
        <v>21.100097091380029</v>
      </c>
      <c r="Y72">
        <v>21.100097091380029</v>
      </c>
      <c r="Z72">
        <v>21.100097091380029</v>
      </c>
      <c r="AA72">
        <v>21.100097091380029</v>
      </c>
      <c r="AB72">
        <v>21.100097091380029</v>
      </c>
      <c r="AC72">
        <v>0.1696149283872993</v>
      </c>
      <c r="AD72">
        <v>0.1696149283872993</v>
      </c>
      <c r="AE72">
        <v>0.1696149283872993</v>
      </c>
      <c r="AF72">
        <v>0.1696149283872993</v>
      </c>
      <c r="AG72">
        <v>0.1696149283872993</v>
      </c>
      <c r="AH72">
        <v>0.1696149283872993</v>
      </c>
      <c r="AI72">
        <v>0.1696149283872993</v>
      </c>
      <c r="AJ72">
        <v>0.1696149283872993</v>
      </c>
      <c r="AS72">
        <v>0.33333333333333331</v>
      </c>
      <c r="AT72">
        <v>0.33333333333333331</v>
      </c>
      <c r="AU72">
        <v>0.33333333333333331</v>
      </c>
      <c r="AV72">
        <v>0.33333333333333331</v>
      </c>
      <c r="AW72">
        <v>0.33333333333333331</v>
      </c>
      <c r="AX72">
        <v>0.33333333333333331</v>
      </c>
      <c r="AY72">
        <v>0.33333333333333331</v>
      </c>
      <c r="AZ72">
        <v>0.33333333333333331</v>
      </c>
    </row>
    <row r="73" spans="1:52" x14ac:dyDescent="0.25">
      <c r="A73" t="s">
        <v>93</v>
      </c>
      <c r="B73" t="s">
        <v>94</v>
      </c>
      <c r="D73">
        <v>2020</v>
      </c>
      <c r="E73" t="s">
        <v>148</v>
      </c>
      <c r="F73" t="s">
        <v>237</v>
      </c>
      <c r="G73" t="s">
        <v>148</v>
      </c>
      <c r="H73" t="s">
        <v>238</v>
      </c>
      <c r="I73">
        <v>1</v>
      </c>
      <c r="J73">
        <v>0</v>
      </c>
      <c r="K73">
        <v>100</v>
      </c>
      <c r="L73">
        <v>31.536000000000001</v>
      </c>
      <c r="M73">
        <v>4700.5288106819444</v>
      </c>
      <c r="N73">
        <v>4700.5288106819444</v>
      </c>
      <c r="O73">
        <v>4700.5288106819444</v>
      </c>
      <c r="P73">
        <v>4700.5288106819444</v>
      </c>
      <c r="Q73">
        <v>4700.5288106819444</v>
      </c>
      <c r="R73">
        <v>4700.5288106819444</v>
      </c>
      <c r="S73">
        <v>4700.5288106819444</v>
      </c>
      <c r="T73">
        <v>4700.5288106819444</v>
      </c>
      <c r="U73">
        <v>21.100097091380029</v>
      </c>
      <c r="V73">
        <v>21.100097091380029</v>
      </c>
      <c r="W73">
        <v>21.100097091380029</v>
      </c>
      <c r="X73">
        <v>21.100097091380029</v>
      </c>
      <c r="Y73">
        <v>21.100097091380029</v>
      </c>
      <c r="Z73">
        <v>21.100097091380029</v>
      </c>
      <c r="AA73">
        <v>21.100097091380029</v>
      </c>
      <c r="AB73">
        <v>21.100097091380029</v>
      </c>
      <c r="AC73">
        <v>0.1696149283872993</v>
      </c>
      <c r="AD73">
        <v>0.1696149283872993</v>
      </c>
      <c r="AE73">
        <v>0.1696149283872993</v>
      </c>
      <c r="AF73">
        <v>0.1696149283872993</v>
      </c>
      <c r="AG73">
        <v>0.1696149283872993</v>
      </c>
      <c r="AH73">
        <v>0.1696149283872993</v>
      </c>
      <c r="AI73">
        <v>0.1696149283872993</v>
      </c>
      <c r="AJ73">
        <v>0.1696149283872993</v>
      </c>
      <c r="AS73">
        <v>0.33333333333333331</v>
      </c>
      <c r="AT73">
        <v>0.33333333333333331</v>
      </c>
      <c r="AU73">
        <v>0.33333333333333331</v>
      </c>
      <c r="AV73">
        <v>0.33333333333333331</v>
      </c>
      <c r="AW73">
        <v>0.33333333333333331</v>
      </c>
      <c r="AX73">
        <v>0.33333333333333331</v>
      </c>
      <c r="AY73">
        <v>0.33333333333333331</v>
      </c>
      <c r="AZ73">
        <v>0.33333333333333331</v>
      </c>
    </row>
    <row r="74" spans="1:52" x14ac:dyDescent="0.25">
      <c r="A74" t="s">
        <v>93</v>
      </c>
      <c r="B74" t="s">
        <v>94</v>
      </c>
      <c r="D74">
        <v>2020</v>
      </c>
      <c r="E74" t="s">
        <v>239</v>
      </c>
      <c r="F74" t="s">
        <v>240</v>
      </c>
      <c r="G74" t="s">
        <v>241</v>
      </c>
      <c r="H74" t="s">
        <v>242</v>
      </c>
      <c r="I74">
        <v>1</v>
      </c>
      <c r="J74">
        <v>0</v>
      </c>
      <c r="K74">
        <v>30</v>
      </c>
      <c r="L74">
        <v>31.536000000000001</v>
      </c>
      <c r="M74">
        <v>7714.0905381440816</v>
      </c>
      <c r="N74">
        <v>6685.54513305821</v>
      </c>
      <c r="O74">
        <v>5399.8633767008541</v>
      </c>
      <c r="P74">
        <v>5207.0111132472512</v>
      </c>
      <c r="Q74">
        <v>5014.1588497936491</v>
      </c>
      <c r="R74">
        <v>4821.306586340047</v>
      </c>
      <c r="S74">
        <v>4628.4543228864441</v>
      </c>
      <c r="T74">
        <v>4628.4543228864441</v>
      </c>
      <c r="U74">
        <v>78.13820520946102</v>
      </c>
      <c r="V74">
        <v>69.456182408409788</v>
      </c>
      <c r="W74">
        <v>58.603653907095762</v>
      </c>
      <c r="X74">
        <v>58.603653907095762</v>
      </c>
      <c r="Y74">
        <v>58.603653907095762</v>
      </c>
      <c r="Z74">
        <v>58.603653907095762</v>
      </c>
      <c r="AA74">
        <v>58.603653907095762</v>
      </c>
      <c r="AB74">
        <v>58.603653907095762</v>
      </c>
      <c r="AC74">
        <v>1.151025750139367</v>
      </c>
      <c r="AD74">
        <v>1.0582610423917429</v>
      </c>
      <c r="AE74">
        <v>0.94230515770721801</v>
      </c>
      <c r="AF74">
        <v>0.94230515770721801</v>
      </c>
      <c r="AG74">
        <v>0.94230515770721801</v>
      </c>
      <c r="AH74">
        <v>0.94230515770721801</v>
      </c>
      <c r="AI74">
        <v>0.94230515770721801</v>
      </c>
      <c r="AJ74">
        <v>0.94230515770721801</v>
      </c>
      <c r="AS74">
        <v>0.66600000000000004</v>
      </c>
      <c r="AT74">
        <v>0.66600000000000004</v>
      </c>
      <c r="AU74">
        <v>0.66600000000000004</v>
      </c>
      <c r="AV74">
        <v>0.66600000000000004</v>
      </c>
      <c r="AW74">
        <v>0.66600000000000004</v>
      </c>
      <c r="AX74">
        <v>0.66600000000000004</v>
      </c>
      <c r="AY74">
        <v>0.66600000000000004</v>
      </c>
      <c r="AZ74">
        <v>0.66600000000000004</v>
      </c>
    </row>
    <row r="75" spans="1:52" x14ac:dyDescent="0.25">
      <c r="A75" t="s">
        <v>93</v>
      </c>
      <c r="B75" t="s">
        <v>94</v>
      </c>
      <c r="D75">
        <v>2020</v>
      </c>
      <c r="E75" t="s">
        <v>239</v>
      </c>
      <c r="F75" t="s">
        <v>243</v>
      </c>
      <c r="G75" t="s">
        <v>241</v>
      </c>
      <c r="H75" t="s">
        <v>244</v>
      </c>
      <c r="I75">
        <v>1</v>
      </c>
      <c r="J75">
        <v>0</v>
      </c>
      <c r="K75">
        <v>30</v>
      </c>
      <c r="L75">
        <v>31.536000000000001</v>
      </c>
      <c r="M75">
        <v>7714.0905381440816</v>
      </c>
      <c r="N75">
        <v>6685.54513305821</v>
      </c>
      <c r="O75">
        <v>5399.8633767008541</v>
      </c>
      <c r="P75">
        <v>5207.0111132472512</v>
      </c>
      <c r="Q75">
        <v>5014.1588497936491</v>
      </c>
      <c r="R75">
        <v>4821.306586340047</v>
      </c>
      <c r="S75">
        <v>4628.4543228864441</v>
      </c>
      <c r="T75">
        <v>4628.4543228864441</v>
      </c>
      <c r="U75">
        <v>78.13820520946102</v>
      </c>
      <c r="V75">
        <v>69.456182408409788</v>
      </c>
      <c r="W75">
        <v>58.603653907095762</v>
      </c>
      <c r="X75">
        <v>58.603653907095762</v>
      </c>
      <c r="Y75">
        <v>58.603653907095762</v>
      </c>
      <c r="Z75">
        <v>58.603653907095762</v>
      </c>
      <c r="AA75">
        <v>58.603653907095762</v>
      </c>
      <c r="AB75">
        <v>58.603653907095762</v>
      </c>
      <c r="AC75">
        <v>1.151025750139367</v>
      </c>
      <c r="AD75">
        <v>1.0582610423917429</v>
      </c>
      <c r="AE75">
        <v>0.94230515770721801</v>
      </c>
      <c r="AF75">
        <v>0.94230515770721801</v>
      </c>
      <c r="AG75">
        <v>0.94230515770721801</v>
      </c>
      <c r="AH75">
        <v>0.94230515770721801</v>
      </c>
      <c r="AI75">
        <v>0.94230515770721801</v>
      </c>
      <c r="AJ75">
        <v>0.94230515770721801</v>
      </c>
      <c r="AS75">
        <v>0.64700000000000002</v>
      </c>
      <c r="AT75">
        <v>0.64700000000000002</v>
      </c>
      <c r="AU75">
        <v>0.64700000000000002</v>
      </c>
      <c r="AV75">
        <v>0.64700000000000002</v>
      </c>
      <c r="AW75">
        <v>0.64700000000000002</v>
      </c>
      <c r="AX75">
        <v>0.64700000000000002</v>
      </c>
      <c r="AY75">
        <v>0.64700000000000002</v>
      </c>
      <c r="AZ75">
        <v>0.64700000000000002</v>
      </c>
    </row>
    <row r="76" spans="1:52" x14ac:dyDescent="0.25">
      <c r="A76" t="s">
        <v>93</v>
      </c>
      <c r="B76" t="s">
        <v>94</v>
      </c>
      <c r="D76">
        <v>2020</v>
      </c>
      <c r="E76" t="s">
        <v>239</v>
      </c>
      <c r="F76" t="s">
        <v>245</v>
      </c>
      <c r="G76" t="s">
        <v>241</v>
      </c>
      <c r="H76" t="s">
        <v>246</v>
      </c>
      <c r="I76">
        <v>1</v>
      </c>
      <c r="J76">
        <v>0</v>
      </c>
      <c r="K76">
        <v>30</v>
      </c>
      <c r="L76">
        <v>31.536000000000001</v>
      </c>
      <c r="M76">
        <v>7714.0905381440816</v>
      </c>
      <c r="N76">
        <v>6685.54513305821</v>
      </c>
      <c r="O76">
        <v>5399.8633767008541</v>
      </c>
      <c r="P76">
        <v>5207.0111132472512</v>
      </c>
      <c r="Q76">
        <v>5014.1588497936491</v>
      </c>
      <c r="R76">
        <v>4821.306586340047</v>
      </c>
      <c r="S76">
        <v>4628.4543228864441</v>
      </c>
      <c r="T76">
        <v>4628.4543228864441</v>
      </c>
      <c r="U76">
        <v>78.13820520946102</v>
      </c>
      <c r="V76">
        <v>69.456182408409788</v>
      </c>
      <c r="W76">
        <v>58.603653907095762</v>
      </c>
      <c r="X76">
        <v>58.603653907095762</v>
      </c>
      <c r="Y76">
        <v>58.603653907095762</v>
      </c>
      <c r="Z76">
        <v>58.603653907095762</v>
      </c>
      <c r="AA76">
        <v>58.603653907095762</v>
      </c>
      <c r="AB76">
        <v>58.603653907095762</v>
      </c>
      <c r="AC76">
        <v>1.151025750139367</v>
      </c>
      <c r="AD76">
        <v>1.0582610423917429</v>
      </c>
      <c r="AE76">
        <v>0.94230515770721801</v>
      </c>
      <c r="AF76">
        <v>0.94230515770721801</v>
      </c>
      <c r="AG76">
        <v>0.94230515770721801</v>
      </c>
      <c r="AH76">
        <v>0.94230515770721801</v>
      </c>
      <c r="AI76">
        <v>0.94230515770721801</v>
      </c>
      <c r="AJ76">
        <v>0.94230515770721801</v>
      </c>
      <c r="AS76">
        <v>0.51400000000000001</v>
      </c>
      <c r="AT76">
        <v>0.51400000000000001</v>
      </c>
      <c r="AU76">
        <v>0.51400000000000001</v>
      </c>
      <c r="AV76">
        <v>0.51400000000000001</v>
      </c>
      <c r="AW76">
        <v>0.51400000000000001</v>
      </c>
      <c r="AX76">
        <v>0.51400000000000001</v>
      </c>
      <c r="AY76">
        <v>0.51400000000000001</v>
      </c>
      <c r="AZ76">
        <v>0.51400000000000001</v>
      </c>
    </row>
    <row r="77" spans="1:52" x14ac:dyDescent="0.25">
      <c r="A77" t="s">
        <v>93</v>
      </c>
      <c r="B77" t="s">
        <v>94</v>
      </c>
      <c r="D77">
        <v>2020</v>
      </c>
      <c r="E77" t="s">
        <v>107</v>
      </c>
      <c r="F77" t="s">
        <v>247</v>
      </c>
      <c r="G77" t="s">
        <v>248</v>
      </c>
      <c r="H77" t="s">
        <v>249</v>
      </c>
      <c r="I77">
        <v>1</v>
      </c>
      <c r="J77">
        <v>0</v>
      </c>
      <c r="K77">
        <v>30</v>
      </c>
      <c r="L77">
        <v>31.536000000000001</v>
      </c>
      <c r="M77">
        <v>1451.7715269242919</v>
      </c>
      <c r="N77">
        <v>1350.939266311296</v>
      </c>
      <c r="O77">
        <v>1224.898940545065</v>
      </c>
      <c r="P77">
        <v>1164.5945372747431</v>
      </c>
      <c r="Q77">
        <v>1104.290134004433</v>
      </c>
      <c r="R77">
        <v>1043.985730734111</v>
      </c>
      <c r="S77">
        <v>983.68132746379092</v>
      </c>
      <c r="T77">
        <v>983.68132746379092</v>
      </c>
      <c r="U77">
        <v>34.26221553423445</v>
      </c>
      <c r="V77">
        <v>32.603758456669702</v>
      </c>
      <c r="W77">
        <v>30.53068710971386</v>
      </c>
      <c r="X77">
        <v>29.484728384658851</v>
      </c>
      <c r="Y77">
        <v>28.438769659603839</v>
      </c>
      <c r="Z77">
        <v>27.39281093454883</v>
      </c>
      <c r="AA77">
        <v>26.346852209493811</v>
      </c>
      <c r="AB77">
        <v>26.346852209493811</v>
      </c>
      <c r="AS77">
        <v>0.49814999999999998</v>
      </c>
      <c r="AT77">
        <v>0.51345666666666601</v>
      </c>
      <c r="AU77">
        <v>0.53259000000000001</v>
      </c>
      <c r="AV77">
        <v>0.53474250000000001</v>
      </c>
      <c r="AW77">
        <v>0.53689500000000001</v>
      </c>
      <c r="AX77">
        <v>0.53904750000000001</v>
      </c>
      <c r="AY77">
        <v>0.54120000000000001</v>
      </c>
      <c r="AZ77">
        <v>0.54120000000000001</v>
      </c>
    </row>
    <row r="78" spans="1:52" x14ac:dyDescent="0.25">
      <c r="A78" t="s">
        <v>93</v>
      </c>
      <c r="B78" t="s">
        <v>94</v>
      </c>
      <c r="D78">
        <v>2020</v>
      </c>
      <c r="E78" t="s">
        <v>107</v>
      </c>
      <c r="F78" t="s">
        <v>250</v>
      </c>
      <c r="G78" t="s">
        <v>248</v>
      </c>
      <c r="H78" t="s">
        <v>251</v>
      </c>
      <c r="I78">
        <v>1</v>
      </c>
      <c r="J78">
        <v>0</v>
      </c>
      <c r="K78">
        <v>30</v>
      </c>
      <c r="L78">
        <v>31.536000000000001</v>
      </c>
      <c r="M78">
        <v>1451.7715269242919</v>
      </c>
      <c r="N78">
        <v>1350.939266311296</v>
      </c>
      <c r="O78">
        <v>1224.898940545065</v>
      </c>
      <c r="P78">
        <v>1164.5945372747431</v>
      </c>
      <c r="Q78">
        <v>1104.290134004433</v>
      </c>
      <c r="R78">
        <v>1043.985730734111</v>
      </c>
      <c r="S78">
        <v>983.68132746379092</v>
      </c>
      <c r="T78">
        <v>983.68132746379092</v>
      </c>
      <c r="U78">
        <v>34.26221553423445</v>
      </c>
      <c r="V78">
        <v>32.603758456669702</v>
      </c>
      <c r="W78">
        <v>30.53068710971386</v>
      </c>
      <c r="X78">
        <v>29.484728384658851</v>
      </c>
      <c r="Y78">
        <v>28.438769659603839</v>
      </c>
      <c r="Z78">
        <v>27.39281093454883</v>
      </c>
      <c r="AA78">
        <v>26.346852209493811</v>
      </c>
      <c r="AB78">
        <v>26.346852209493811</v>
      </c>
      <c r="AS78">
        <v>0.46737000000000001</v>
      </c>
      <c r="AT78">
        <v>0.48173088888888799</v>
      </c>
      <c r="AU78">
        <v>0.49968199999999902</v>
      </c>
      <c r="AV78">
        <v>0.50170149999999902</v>
      </c>
      <c r="AW78">
        <v>0.50372099999999997</v>
      </c>
      <c r="AX78">
        <v>0.50574050000000004</v>
      </c>
      <c r="AY78">
        <v>0.50775999999999999</v>
      </c>
      <c r="AZ78">
        <v>0.50775999999999999</v>
      </c>
    </row>
    <row r="79" spans="1:52" x14ac:dyDescent="0.25">
      <c r="A79" t="s">
        <v>93</v>
      </c>
      <c r="B79" t="s">
        <v>94</v>
      </c>
      <c r="D79">
        <v>2020</v>
      </c>
      <c r="E79" t="s">
        <v>107</v>
      </c>
      <c r="F79" t="s">
        <v>252</v>
      </c>
      <c r="G79" t="s">
        <v>248</v>
      </c>
      <c r="H79" t="s">
        <v>253</v>
      </c>
      <c r="I79">
        <v>1</v>
      </c>
      <c r="J79">
        <v>0</v>
      </c>
      <c r="K79">
        <v>30</v>
      </c>
      <c r="L79">
        <v>31.536000000000001</v>
      </c>
      <c r="M79">
        <v>1451.7715269242919</v>
      </c>
      <c r="N79">
        <v>1350.939266311296</v>
      </c>
      <c r="O79">
        <v>1224.898940545065</v>
      </c>
      <c r="P79">
        <v>1164.5945372747431</v>
      </c>
      <c r="Q79">
        <v>1104.290134004433</v>
      </c>
      <c r="R79">
        <v>1043.985730734111</v>
      </c>
      <c r="S79">
        <v>983.68132746379092</v>
      </c>
      <c r="T79">
        <v>983.68132746379092</v>
      </c>
      <c r="U79">
        <v>34.26221553423445</v>
      </c>
      <c r="V79">
        <v>32.603758456669702</v>
      </c>
      <c r="W79">
        <v>30.53068710971386</v>
      </c>
      <c r="X79">
        <v>29.484728384658851</v>
      </c>
      <c r="Y79">
        <v>28.438769659603839</v>
      </c>
      <c r="Z79">
        <v>27.39281093454883</v>
      </c>
      <c r="AA79">
        <v>26.346852209493811</v>
      </c>
      <c r="AB79">
        <v>26.346852209493811</v>
      </c>
      <c r="AS79">
        <v>0.45683999999999902</v>
      </c>
      <c r="AT79">
        <v>0.47087733333333298</v>
      </c>
      <c r="AU79">
        <v>0.48842399999999903</v>
      </c>
      <c r="AV79">
        <v>0.490397999999999</v>
      </c>
      <c r="AW79">
        <v>0.49237199999999998</v>
      </c>
      <c r="AX79">
        <v>0.49434600000000001</v>
      </c>
      <c r="AY79">
        <v>0.49631999999999898</v>
      </c>
      <c r="AZ79">
        <v>0.49631999999999898</v>
      </c>
    </row>
    <row r="80" spans="1:52" x14ac:dyDescent="0.25">
      <c r="A80" t="s">
        <v>93</v>
      </c>
      <c r="B80" t="s">
        <v>94</v>
      </c>
      <c r="D80">
        <v>2020</v>
      </c>
      <c r="E80" t="s">
        <v>107</v>
      </c>
      <c r="F80" t="s">
        <v>254</v>
      </c>
      <c r="G80" t="s">
        <v>248</v>
      </c>
      <c r="H80" t="s">
        <v>255</v>
      </c>
      <c r="I80">
        <v>1</v>
      </c>
      <c r="J80">
        <v>0</v>
      </c>
      <c r="K80">
        <v>30</v>
      </c>
      <c r="L80">
        <v>31.536000000000001</v>
      </c>
      <c r="M80">
        <v>1451.7715269242919</v>
      </c>
      <c r="N80">
        <v>1350.939266311296</v>
      </c>
      <c r="O80">
        <v>1224.898940545065</v>
      </c>
      <c r="P80">
        <v>1164.5945372747431</v>
      </c>
      <c r="Q80">
        <v>1104.290134004433</v>
      </c>
      <c r="R80">
        <v>1043.985730734111</v>
      </c>
      <c r="S80">
        <v>983.68132746379092</v>
      </c>
      <c r="T80">
        <v>983.68132746379092</v>
      </c>
      <c r="U80">
        <v>34.26221553423445</v>
      </c>
      <c r="V80">
        <v>32.603758456669702</v>
      </c>
      <c r="W80">
        <v>30.53068710971386</v>
      </c>
      <c r="X80">
        <v>29.484728384658851</v>
      </c>
      <c r="Y80">
        <v>28.438769659603839</v>
      </c>
      <c r="Z80">
        <v>27.39281093454883</v>
      </c>
      <c r="AA80">
        <v>26.346852209493811</v>
      </c>
      <c r="AB80">
        <v>26.346852209493811</v>
      </c>
      <c r="AS80">
        <v>0.44468999999999997</v>
      </c>
      <c r="AT80">
        <v>0.45835399999999998</v>
      </c>
      <c r="AU80">
        <v>0.47543400000000002</v>
      </c>
      <c r="AV80">
        <v>0.47735549999999999</v>
      </c>
      <c r="AW80">
        <v>0.47927700000000001</v>
      </c>
      <c r="AX80">
        <v>0.48119849999999997</v>
      </c>
      <c r="AY80">
        <v>0.48311999999999999</v>
      </c>
      <c r="AZ80">
        <v>0.48311999999999999</v>
      </c>
    </row>
    <row r="81" spans="1:52" x14ac:dyDescent="0.25">
      <c r="A81" t="s">
        <v>93</v>
      </c>
      <c r="B81" t="s">
        <v>94</v>
      </c>
      <c r="D81">
        <v>2020</v>
      </c>
      <c r="E81" t="s">
        <v>107</v>
      </c>
      <c r="F81" t="s">
        <v>256</v>
      </c>
      <c r="G81" t="s">
        <v>248</v>
      </c>
      <c r="H81" t="s">
        <v>257</v>
      </c>
      <c r="I81">
        <v>1</v>
      </c>
      <c r="J81">
        <v>0</v>
      </c>
      <c r="K81">
        <v>30</v>
      </c>
      <c r="L81">
        <v>31.536000000000001</v>
      </c>
      <c r="M81">
        <v>1451.7715269242919</v>
      </c>
      <c r="N81">
        <v>1350.939266311296</v>
      </c>
      <c r="O81">
        <v>1224.898940545065</v>
      </c>
      <c r="P81">
        <v>1164.5945372747431</v>
      </c>
      <c r="Q81">
        <v>1104.290134004433</v>
      </c>
      <c r="R81">
        <v>1043.985730734111</v>
      </c>
      <c r="S81">
        <v>983.68132746379092</v>
      </c>
      <c r="T81">
        <v>983.68132746379092</v>
      </c>
      <c r="U81">
        <v>34.26221553423445</v>
      </c>
      <c r="V81">
        <v>32.603758456669702</v>
      </c>
      <c r="W81">
        <v>30.53068710971386</v>
      </c>
      <c r="X81">
        <v>29.484728384658851</v>
      </c>
      <c r="Y81">
        <v>28.438769659603839</v>
      </c>
      <c r="Z81">
        <v>27.39281093454883</v>
      </c>
      <c r="AA81">
        <v>26.346852209493811</v>
      </c>
      <c r="AB81">
        <v>26.346852209493811</v>
      </c>
      <c r="AS81">
        <v>0.43010999999999999</v>
      </c>
      <c r="AT81">
        <v>0.443326</v>
      </c>
      <c r="AU81">
        <v>0.45984599999999998</v>
      </c>
      <c r="AV81">
        <v>0.46170450000000002</v>
      </c>
      <c r="AW81">
        <v>0.463563</v>
      </c>
      <c r="AX81">
        <v>0.46542149999999999</v>
      </c>
      <c r="AY81">
        <v>0.46727999999999997</v>
      </c>
      <c r="AZ81">
        <v>0.46727999999999997</v>
      </c>
    </row>
    <row r="82" spans="1:52" x14ac:dyDescent="0.25">
      <c r="A82" t="s">
        <v>93</v>
      </c>
      <c r="B82" t="s">
        <v>94</v>
      </c>
      <c r="D82">
        <v>2020</v>
      </c>
      <c r="E82" t="s">
        <v>107</v>
      </c>
      <c r="F82" t="s">
        <v>258</v>
      </c>
      <c r="G82" t="s">
        <v>248</v>
      </c>
      <c r="H82" t="s">
        <v>259</v>
      </c>
      <c r="I82">
        <v>1</v>
      </c>
      <c r="J82">
        <v>0</v>
      </c>
      <c r="K82">
        <v>30</v>
      </c>
      <c r="L82">
        <v>31.536000000000001</v>
      </c>
      <c r="M82">
        <v>1451.7715269242919</v>
      </c>
      <c r="N82">
        <v>1350.939266311296</v>
      </c>
      <c r="O82">
        <v>1224.898940545065</v>
      </c>
      <c r="P82">
        <v>1164.5945372747431</v>
      </c>
      <c r="Q82">
        <v>1104.290134004433</v>
      </c>
      <c r="R82">
        <v>1043.985730734111</v>
      </c>
      <c r="S82">
        <v>983.68132746379092</v>
      </c>
      <c r="T82">
        <v>983.68132746379092</v>
      </c>
      <c r="U82">
        <v>34.26221553423445</v>
      </c>
      <c r="V82">
        <v>32.603758456669702</v>
      </c>
      <c r="W82">
        <v>30.53068710971386</v>
      </c>
      <c r="X82">
        <v>29.484728384658851</v>
      </c>
      <c r="Y82">
        <v>28.438769659603839</v>
      </c>
      <c r="Z82">
        <v>27.39281093454883</v>
      </c>
      <c r="AA82">
        <v>26.346852209493811</v>
      </c>
      <c r="AB82">
        <v>26.346852209493811</v>
      </c>
      <c r="AS82">
        <v>0.40743000000000001</v>
      </c>
      <c r="AT82">
        <v>0.419949111111111</v>
      </c>
      <c r="AU82">
        <v>0.43559799999999999</v>
      </c>
      <c r="AV82">
        <v>0.43735849999999998</v>
      </c>
      <c r="AW82">
        <v>0.43911899999999998</v>
      </c>
      <c r="AX82">
        <v>0.44087949999999998</v>
      </c>
      <c r="AY82">
        <v>0.44263999999999998</v>
      </c>
      <c r="AZ82">
        <v>0.44263999999999998</v>
      </c>
    </row>
    <row r="83" spans="1:52" x14ac:dyDescent="0.25">
      <c r="A83" t="s">
        <v>93</v>
      </c>
      <c r="B83" t="s">
        <v>94</v>
      </c>
      <c r="D83">
        <v>2020</v>
      </c>
      <c r="E83" t="s">
        <v>107</v>
      </c>
      <c r="F83" t="s">
        <v>260</v>
      </c>
      <c r="G83" t="s">
        <v>248</v>
      </c>
      <c r="H83" t="s">
        <v>261</v>
      </c>
      <c r="I83">
        <v>1</v>
      </c>
      <c r="J83">
        <v>0</v>
      </c>
      <c r="K83">
        <v>30</v>
      </c>
      <c r="L83">
        <v>31.536000000000001</v>
      </c>
      <c r="M83">
        <v>1451.7715269242919</v>
      </c>
      <c r="N83">
        <v>1350.939266311296</v>
      </c>
      <c r="O83">
        <v>1224.898940545065</v>
      </c>
      <c r="P83">
        <v>1164.5945372747431</v>
      </c>
      <c r="Q83">
        <v>1104.290134004433</v>
      </c>
      <c r="R83">
        <v>1043.985730734111</v>
      </c>
      <c r="S83">
        <v>983.68132746379092</v>
      </c>
      <c r="T83">
        <v>983.68132746379092</v>
      </c>
      <c r="U83">
        <v>34.26221553423445</v>
      </c>
      <c r="V83">
        <v>32.603758456669702</v>
      </c>
      <c r="W83">
        <v>30.53068710971386</v>
      </c>
      <c r="X83">
        <v>29.484728384658851</v>
      </c>
      <c r="Y83">
        <v>28.438769659603839</v>
      </c>
      <c r="Z83">
        <v>27.39281093454883</v>
      </c>
      <c r="AA83">
        <v>26.346852209493811</v>
      </c>
      <c r="AB83">
        <v>26.346852209493811</v>
      </c>
      <c r="AS83">
        <v>0.37584000000000001</v>
      </c>
      <c r="AT83">
        <v>0.38738844444444398</v>
      </c>
      <c r="AU83">
        <v>0.40182400000000001</v>
      </c>
      <c r="AV83">
        <v>0.40344799999999997</v>
      </c>
      <c r="AW83">
        <v>0.40507199999999999</v>
      </c>
      <c r="AX83">
        <v>0.406696</v>
      </c>
      <c r="AY83">
        <v>0.40832000000000002</v>
      </c>
      <c r="AZ83">
        <v>0.40832000000000002</v>
      </c>
    </row>
    <row r="84" spans="1:52" x14ac:dyDescent="0.25">
      <c r="A84" t="s">
        <v>93</v>
      </c>
      <c r="B84" t="s">
        <v>94</v>
      </c>
      <c r="D84">
        <v>2020</v>
      </c>
      <c r="E84" t="s">
        <v>107</v>
      </c>
      <c r="F84" t="s">
        <v>262</v>
      </c>
      <c r="G84" t="s">
        <v>248</v>
      </c>
      <c r="H84" t="s">
        <v>263</v>
      </c>
      <c r="I84">
        <v>1</v>
      </c>
      <c r="J84">
        <v>0</v>
      </c>
      <c r="K84">
        <v>30</v>
      </c>
      <c r="L84">
        <v>31.536000000000001</v>
      </c>
      <c r="M84">
        <v>1585.9778456274889</v>
      </c>
      <c r="N84">
        <v>1451.061440581944</v>
      </c>
      <c r="O84">
        <v>1282.4159342750129</v>
      </c>
      <c r="P84">
        <v>1219.700470198158</v>
      </c>
      <c r="Q84">
        <v>1156.985006121314</v>
      </c>
      <c r="R84">
        <v>1094.269542044465</v>
      </c>
      <c r="S84">
        <v>1031.5540779676139</v>
      </c>
      <c r="T84">
        <v>1031.5540779676139</v>
      </c>
      <c r="U84">
        <v>32.226836393586858</v>
      </c>
      <c r="V84">
        <v>30.26684166555577</v>
      </c>
      <c r="W84">
        <v>27.81684825551708</v>
      </c>
      <c r="X84">
        <v>26.883966149386929</v>
      </c>
      <c r="Y84">
        <v>25.951084043256781</v>
      </c>
      <c r="Z84">
        <v>25.018201937126641</v>
      </c>
      <c r="AA84">
        <v>24.08531983099649</v>
      </c>
      <c r="AB84">
        <v>24.08531983099649</v>
      </c>
      <c r="AS84">
        <v>0.33939000000000002</v>
      </c>
      <c r="AT84">
        <v>0.34981844444444399</v>
      </c>
      <c r="AU84">
        <v>0.36285400000000001</v>
      </c>
      <c r="AV84">
        <v>0.36432049999999899</v>
      </c>
      <c r="AW84">
        <v>0.36578699999999997</v>
      </c>
      <c r="AX84">
        <v>0.36725350000000001</v>
      </c>
      <c r="AY84">
        <v>0.36871999999999999</v>
      </c>
      <c r="AZ84">
        <v>0.36871999999999999</v>
      </c>
    </row>
    <row r="85" spans="1:52" x14ac:dyDescent="0.25">
      <c r="A85" t="s">
        <v>93</v>
      </c>
      <c r="B85" t="s">
        <v>94</v>
      </c>
      <c r="D85">
        <v>2020</v>
      </c>
      <c r="E85" t="s">
        <v>107</v>
      </c>
      <c r="F85" t="s">
        <v>264</v>
      </c>
      <c r="G85" t="s">
        <v>248</v>
      </c>
      <c r="H85" t="s">
        <v>265</v>
      </c>
      <c r="I85">
        <v>1</v>
      </c>
      <c r="J85">
        <v>0</v>
      </c>
      <c r="K85">
        <v>30</v>
      </c>
      <c r="L85">
        <v>31.536000000000001</v>
      </c>
      <c r="M85">
        <v>1508.223391140707</v>
      </c>
      <c r="N85">
        <v>1435.7945842215231</v>
      </c>
      <c r="O85">
        <v>1345.2585755725361</v>
      </c>
      <c r="P85">
        <v>1281.5797555124741</v>
      </c>
      <c r="Q85">
        <v>1217.9009354524001</v>
      </c>
      <c r="R85">
        <v>1154.222115392326</v>
      </c>
      <c r="S85">
        <v>1090.543295332257</v>
      </c>
      <c r="T85">
        <v>1090.543295332257</v>
      </c>
      <c r="U85">
        <v>43.4214216671486</v>
      </c>
      <c r="V85">
        <v>41.762964589583873</v>
      </c>
      <c r="W85">
        <v>39.689893242628017</v>
      </c>
      <c r="X85">
        <v>38.13508973241111</v>
      </c>
      <c r="Y85">
        <v>36.580286222194196</v>
      </c>
      <c r="Z85">
        <v>35.025482711977297</v>
      </c>
      <c r="AA85">
        <v>33.470679201760383</v>
      </c>
      <c r="AB85">
        <v>33.470679201760383</v>
      </c>
      <c r="AS85">
        <v>0.32805000000000001</v>
      </c>
      <c r="AT85">
        <v>0.33812999999999999</v>
      </c>
      <c r="AU85">
        <v>0.35072999999999999</v>
      </c>
      <c r="AV85">
        <v>0.3521475</v>
      </c>
      <c r="AW85">
        <v>0.35356500000000002</v>
      </c>
      <c r="AX85">
        <v>0.35498249999999998</v>
      </c>
      <c r="AY85">
        <v>0.35639999999999999</v>
      </c>
      <c r="AZ85">
        <v>0.35639999999999999</v>
      </c>
    </row>
    <row r="86" spans="1:52" x14ac:dyDescent="0.25">
      <c r="A86" t="s">
        <v>93</v>
      </c>
      <c r="B86" t="s">
        <v>94</v>
      </c>
      <c r="D86">
        <v>2020</v>
      </c>
      <c r="E86" t="s">
        <v>107</v>
      </c>
      <c r="F86" t="s">
        <v>266</v>
      </c>
      <c r="G86" t="s">
        <v>248</v>
      </c>
      <c r="H86" t="s">
        <v>267</v>
      </c>
      <c r="I86">
        <v>1</v>
      </c>
      <c r="J86">
        <v>0</v>
      </c>
      <c r="K86">
        <v>30</v>
      </c>
      <c r="L86">
        <v>31.536000000000001</v>
      </c>
      <c r="M86">
        <v>2088.718976007729</v>
      </c>
      <c r="N86">
        <v>1887.5278456766471</v>
      </c>
      <c r="O86">
        <v>1636.0389327628079</v>
      </c>
      <c r="P86">
        <v>1557.487355212271</v>
      </c>
      <c r="Q86">
        <v>1478.935777661723</v>
      </c>
      <c r="R86">
        <v>1400.3842001111859</v>
      </c>
      <c r="S86">
        <v>1321.83262256065</v>
      </c>
      <c r="T86">
        <v>1321.83262256065</v>
      </c>
      <c r="U86">
        <v>34.26221553423445</v>
      </c>
      <c r="V86">
        <v>32.603758456669702</v>
      </c>
      <c r="W86">
        <v>30.53068710971386</v>
      </c>
      <c r="X86">
        <v>29.484728384658851</v>
      </c>
      <c r="Y86">
        <v>28.438769659603839</v>
      </c>
      <c r="Z86">
        <v>27.39281093454883</v>
      </c>
      <c r="AA86">
        <v>26.346852209493811</v>
      </c>
      <c r="AB86">
        <v>26.346852209493811</v>
      </c>
      <c r="AS86">
        <v>0.25839000000000001</v>
      </c>
      <c r="AT86">
        <v>0.26632955555555499</v>
      </c>
      <c r="AU86">
        <v>0.276254</v>
      </c>
      <c r="AV86">
        <v>0.27737050000000002</v>
      </c>
      <c r="AW86">
        <v>0.27848699999999998</v>
      </c>
      <c r="AX86">
        <v>0.2796035</v>
      </c>
      <c r="AY86">
        <v>0.28072000000000003</v>
      </c>
      <c r="AZ86">
        <v>0.28072000000000003</v>
      </c>
    </row>
    <row r="87" spans="1:52" x14ac:dyDescent="0.25">
      <c r="A87" t="s">
        <v>93</v>
      </c>
      <c r="B87" t="s">
        <v>94</v>
      </c>
      <c r="D87">
        <v>2020</v>
      </c>
      <c r="E87" t="s">
        <v>107</v>
      </c>
      <c r="F87" t="s">
        <v>268</v>
      </c>
      <c r="G87" t="s">
        <v>248</v>
      </c>
      <c r="H87" t="s">
        <v>269</v>
      </c>
      <c r="I87">
        <v>1</v>
      </c>
      <c r="J87">
        <v>0</v>
      </c>
      <c r="K87">
        <v>30</v>
      </c>
      <c r="L87">
        <v>31.536000000000001</v>
      </c>
      <c r="M87">
        <v>2535.3822739430389</v>
      </c>
      <c r="N87">
        <v>2211.5100009760808</v>
      </c>
      <c r="O87">
        <v>2032.820410067746</v>
      </c>
      <c r="P87">
        <v>1922.360313828033</v>
      </c>
      <c r="Q87">
        <v>1842.193915328324</v>
      </c>
      <c r="R87">
        <v>1779.2320041756061</v>
      </c>
      <c r="S87">
        <v>1727.379216318732</v>
      </c>
      <c r="T87">
        <v>1727.379216318732</v>
      </c>
      <c r="U87">
        <v>121.32756141100521</v>
      </c>
      <c r="V87">
        <v>107.77056065445031</v>
      </c>
      <c r="W87">
        <v>98.274698865690254</v>
      </c>
      <c r="X87">
        <v>91.909886524784099</v>
      </c>
      <c r="Y87">
        <v>87.115630063526794</v>
      </c>
      <c r="Z87">
        <v>83.268248608751719</v>
      </c>
      <c r="AA87">
        <v>80.054708031610872</v>
      </c>
      <c r="AB87">
        <v>80.054708031610872</v>
      </c>
      <c r="AS87">
        <v>0.46351979389887199</v>
      </c>
      <c r="AT87">
        <v>0.48634191413783001</v>
      </c>
      <c r="AU87">
        <v>0.50892215698769505</v>
      </c>
      <c r="AV87">
        <v>0.51900298317400195</v>
      </c>
      <c r="AW87">
        <v>0.52783008481778104</v>
      </c>
      <c r="AX87">
        <v>0.53590132641881005</v>
      </c>
      <c r="AY87">
        <v>0.543466593113346</v>
      </c>
      <c r="AZ87">
        <v>0.543466593113346</v>
      </c>
    </row>
    <row r="88" spans="1:52" x14ac:dyDescent="0.25">
      <c r="A88" t="s">
        <v>93</v>
      </c>
      <c r="B88" t="s">
        <v>94</v>
      </c>
      <c r="D88">
        <v>2020</v>
      </c>
      <c r="E88" t="s">
        <v>107</v>
      </c>
      <c r="F88" t="s">
        <v>270</v>
      </c>
      <c r="G88" t="s">
        <v>248</v>
      </c>
      <c r="H88" t="s">
        <v>271</v>
      </c>
      <c r="I88">
        <v>1</v>
      </c>
      <c r="J88">
        <v>0</v>
      </c>
      <c r="K88">
        <v>30</v>
      </c>
      <c r="L88">
        <v>31.536000000000001</v>
      </c>
      <c r="M88">
        <v>2543.1481490892311</v>
      </c>
      <c r="N88">
        <v>2218.2838554471159</v>
      </c>
      <c r="O88">
        <v>2039.0469383753241</v>
      </c>
      <c r="P88">
        <v>1928.2485028938861</v>
      </c>
      <c r="Q88">
        <v>1847.8365547395699</v>
      </c>
      <c r="R88">
        <v>1784.6817912718391</v>
      </c>
      <c r="S88">
        <v>1732.670178341278</v>
      </c>
      <c r="T88">
        <v>1732.670178341278</v>
      </c>
      <c r="U88">
        <v>123.9359597794667</v>
      </c>
      <c r="V88">
        <v>110.0874996195957</v>
      </c>
      <c r="W88">
        <v>100.3874880885275</v>
      </c>
      <c r="X88">
        <v>93.885839847084853</v>
      </c>
      <c r="Y88">
        <v>88.988512570044975</v>
      </c>
      <c r="Z88">
        <v>85.05841698673423</v>
      </c>
      <c r="AA88">
        <v>81.775789106585648</v>
      </c>
      <c r="AB88">
        <v>81.775789106585648</v>
      </c>
      <c r="AS88">
        <v>0.45177936049670497</v>
      </c>
      <c r="AT88">
        <v>0.47432558297053101</v>
      </c>
      <c r="AU88">
        <v>0.49671257606755098</v>
      </c>
      <c r="AV88">
        <v>0.50666387231343302</v>
      </c>
      <c r="AW88">
        <v>0.515393406311766</v>
      </c>
      <c r="AX88">
        <v>0.52338635006771494</v>
      </c>
      <c r="AY88">
        <v>0.53088621817746695</v>
      </c>
      <c r="AZ88">
        <v>0.53088621817746695</v>
      </c>
    </row>
    <row r="89" spans="1:52" x14ac:dyDescent="0.25">
      <c r="A89" t="s">
        <v>93</v>
      </c>
      <c r="B89" t="s">
        <v>94</v>
      </c>
      <c r="D89">
        <v>2020</v>
      </c>
      <c r="E89" t="s">
        <v>107</v>
      </c>
      <c r="F89" t="s">
        <v>272</v>
      </c>
      <c r="G89" t="s">
        <v>248</v>
      </c>
      <c r="H89" t="s">
        <v>273</v>
      </c>
      <c r="I89">
        <v>1</v>
      </c>
      <c r="J89">
        <v>0</v>
      </c>
      <c r="K89">
        <v>30</v>
      </c>
      <c r="L89">
        <v>31.536000000000001</v>
      </c>
      <c r="M89">
        <v>2675.426906594575</v>
      </c>
      <c r="N89">
        <v>2333.6651918815678</v>
      </c>
      <c r="O89">
        <v>2145.1054845909448</v>
      </c>
      <c r="P89">
        <v>2028.5440032624549</v>
      </c>
      <c r="Q89">
        <v>1943.9495254374899</v>
      </c>
      <c r="R89">
        <v>1877.509843769049</v>
      </c>
      <c r="S89">
        <v>1822.7929100585129</v>
      </c>
      <c r="T89">
        <v>1822.7929100585129</v>
      </c>
      <c r="U89">
        <v>126.1511840690102</v>
      </c>
      <c r="V89">
        <v>112.0551973206214</v>
      </c>
      <c r="W89">
        <v>102.1818083356591</v>
      </c>
      <c r="X89">
        <v>95.56395000368147</v>
      </c>
      <c r="Y89">
        <v>90.579088177691972</v>
      </c>
      <c r="Z89">
        <v>86.578746289661524</v>
      </c>
      <c r="AA89">
        <v>83.237444905659999</v>
      </c>
      <c r="AB89">
        <v>83.237444905659999</v>
      </c>
      <c r="AS89">
        <v>0.45513391538357001</v>
      </c>
      <c r="AT89">
        <v>0.477758969205831</v>
      </c>
      <c r="AU89">
        <v>0.500201178910329</v>
      </c>
      <c r="AV89">
        <v>0.51018948531416397</v>
      </c>
      <c r="AW89">
        <v>0.51894689699048502</v>
      </c>
      <c r="AX89">
        <v>0.52696221252861997</v>
      </c>
      <c r="AY89">
        <v>0.53448076675792699</v>
      </c>
      <c r="AZ89">
        <v>0.53448076675792699</v>
      </c>
    </row>
    <row r="90" spans="1:52" x14ac:dyDescent="0.25">
      <c r="A90" t="s">
        <v>93</v>
      </c>
      <c r="B90" t="s">
        <v>94</v>
      </c>
      <c r="D90">
        <v>2020</v>
      </c>
      <c r="E90" t="s">
        <v>107</v>
      </c>
      <c r="F90" t="s">
        <v>274</v>
      </c>
      <c r="G90" t="s">
        <v>248</v>
      </c>
      <c r="H90" t="s">
        <v>275</v>
      </c>
      <c r="I90">
        <v>1</v>
      </c>
      <c r="J90">
        <v>0</v>
      </c>
      <c r="K90">
        <v>30</v>
      </c>
      <c r="L90">
        <v>31.536000000000001</v>
      </c>
      <c r="M90">
        <v>2793.6544412439639</v>
      </c>
      <c r="N90">
        <v>2436.7902227516579</v>
      </c>
      <c r="O90">
        <v>2239.898032419831</v>
      </c>
      <c r="P90">
        <v>2118.1856809484989</v>
      </c>
      <c r="Q90">
        <v>2029.8529598796169</v>
      </c>
      <c r="R90">
        <v>1960.4772982570221</v>
      </c>
      <c r="S90">
        <v>1903.342414663334</v>
      </c>
      <c r="T90">
        <v>1903.342414663334</v>
      </c>
      <c r="U90">
        <v>127.3262166235758</v>
      </c>
      <c r="V90">
        <v>113.0989331026649</v>
      </c>
      <c r="W90">
        <v>103.1335786433652</v>
      </c>
      <c r="X90">
        <v>96.454078408943488</v>
      </c>
      <c r="Y90">
        <v>91.422785192168575</v>
      </c>
      <c r="Z90">
        <v>87.38518220363791</v>
      </c>
      <c r="AA90">
        <v>84.012758338069517</v>
      </c>
      <c r="AB90">
        <v>84.012758338069517</v>
      </c>
      <c r="AS90">
        <v>0.45307714324914899</v>
      </c>
      <c r="AT90">
        <v>0.47565386335017201</v>
      </c>
      <c r="AU90">
        <v>0.49806221819658902</v>
      </c>
      <c r="AV90">
        <v>0.50802783262961604</v>
      </c>
      <c r="AW90">
        <v>0.51676815171595303</v>
      </c>
      <c r="AX90">
        <v>0.52476975048398</v>
      </c>
      <c r="AY90">
        <v>0.53227684772680195</v>
      </c>
      <c r="AZ90">
        <v>0.53227684772680195</v>
      </c>
    </row>
    <row r="91" spans="1:52" x14ac:dyDescent="0.25">
      <c r="A91" t="s">
        <v>93</v>
      </c>
      <c r="B91" t="s">
        <v>94</v>
      </c>
      <c r="D91">
        <v>2020</v>
      </c>
      <c r="E91" t="s">
        <v>107</v>
      </c>
      <c r="F91" t="s">
        <v>276</v>
      </c>
      <c r="G91" t="s">
        <v>248</v>
      </c>
      <c r="H91" t="s">
        <v>277</v>
      </c>
      <c r="I91">
        <v>1</v>
      </c>
      <c r="J91">
        <v>0</v>
      </c>
      <c r="K91">
        <v>30</v>
      </c>
      <c r="L91">
        <v>31.536000000000001</v>
      </c>
      <c r="M91">
        <v>2842.9528636346408</v>
      </c>
      <c r="N91">
        <v>2479.791215252797</v>
      </c>
      <c r="O91">
        <v>2279.4245528384158</v>
      </c>
      <c r="P91">
        <v>2155.564395674151</v>
      </c>
      <c r="Q91">
        <v>2065.6729049414512</v>
      </c>
      <c r="R91">
        <v>1995.0730007569221</v>
      </c>
      <c r="S91">
        <v>1936.929882364024</v>
      </c>
      <c r="T91">
        <v>1936.929882364024</v>
      </c>
      <c r="U91">
        <v>130.83802239727379</v>
      </c>
      <c r="V91">
        <v>116.218333779144</v>
      </c>
      <c r="W91">
        <v>105.97812320414999</v>
      </c>
      <c r="X91">
        <v>99.114394551491344</v>
      </c>
      <c r="Y91">
        <v>93.944332391160458</v>
      </c>
      <c r="Z91">
        <v>89.795367596216025</v>
      </c>
      <c r="AA91">
        <v>86.329928341385965</v>
      </c>
      <c r="AB91">
        <v>86.329928341385965</v>
      </c>
      <c r="AS91">
        <v>0.44582431597709798</v>
      </c>
      <c r="AT91">
        <v>0.46823059613210599</v>
      </c>
      <c r="AU91">
        <v>0.49051956807077801</v>
      </c>
      <c r="AV91">
        <v>0.500405163457464</v>
      </c>
      <c r="AW91">
        <v>0.50908520868034801</v>
      </c>
      <c r="AX91">
        <v>0.51703843779057101</v>
      </c>
      <c r="AY91">
        <v>0.524505134085402</v>
      </c>
      <c r="AZ91">
        <v>0.524505134085402</v>
      </c>
    </row>
    <row r="92" spans="1:52" x14ac:dyDescent="0.25">
      <c r="A92" t="s">
        <v>93</v>
      </c>
      <c r="B92" t="s">
        <v>94</v>
      </c>
      <c r="D92">
        <v>2020</v>
      </c>
      <c r="E92" t="s">
        <v>107</v>
      </c>
      <c r="F92" t="s">
        <v>278</v>
      </c>
      <c r="G92" t="s">
        <v>248</v>
      </c>
      <c r="H92" t="s">
        <v>279</v>
      </c>
      <c r="I92">
        <v>1</v>
      </c>
      <c r="J92">
        <v>0</v>
      </c>
      <c r="K92">
        <v>30</v>
      </c>
      <c r="L92">
        <v>31.536000000000001</v>
      </c>
      <c r="M92">
        <v>2869.2718499305552</v>
      </c>
      <c r="N92">
        <v>2502.7481878589092</v>
      </c>
      <c r="O92">
        <v>2300.5266063884669</v>
      </c>
      <c r="P92">
        <v>2175.5197985636541</v>
      </c>
      <c r="Q92">
        <v>2084.7961262837439</v>
      </c>
      <c r="R92">
        <v>2013.5426347905791</v>
      </c>
      <c r="S92">
        <v>1954.861249317785</v>
      </c>
      <c r="T92">
        <v>1954.861249317785</v>
      </c>
      <c r="U92">
        <v>128.99069604663069</v>
      </c>
      <c r="V92">
        <v>114.5774255287416</v>
      </c>
      <c r="W92">
        <v>104.48179838969919</v>
      </c>
      <c r="X92">
        <v>97.714979997310493</v>
      </c>
      <c r="Y92">
        <v>92.617914905325947</v>
      </c>
      <c r="Z92">
        <v>88.527530115284975</v>
      </c>
      <c r="AA92">
        <v>85.111020041244245</v>
      </c>
      <c r="AB92">
        <v>85.111020041244245</v>
      </c>
      <c r="AS92">
        <v>0.38318582438075</v>
      </c>
      <c r="AT92">
        <v>0.40412011289365501</v>
      </c>
      <c r="AU92">
        <v>0.42537804342142499</v>
      </c>
      <c r="AV92">
        <v>0.43457256039500097</v>
      </c>
      <c r="AW92">
        <v>0.44273205497635298</v>
      </c>
      <c r="AX92">
        <v>0.45026754321253498</v>
      </c>
      <c r="AY92">
        <v>0.45738531979008801</v>
      </c>
      <c r="AZ92">
        <v>0.45738531979008801</v>
      </c>
    </row>
    <row r="93" spans="1:52" x14ac:dyDescent="0.25">
      <c r="A93" t="s">
        <v>93</v>
      </c>
      <c r="B93" t="s">
        <v>94</v>
      </c>
      <c r="D93">
        <v>2020</v>
      </c>
      <c r="E93" t="s">
        <v>107</v>
      </c>
      <c r="F93" t="s">
        <v>280</v>
      </c>
      <c r="G93" t="s">
        <v>248</v>
      </c>
      <c r="H93" t="s">
        <v>281</v>
      </c>
      <c r="I93">
        <v>1</v>
      </c>
      <c r="J93">
        <v>0</v>
      </c>
      <c r="K93">
        <v>30</v>
      </c>
      <c r="L93">
        <v>31.536000000000001</v>
      </c>
      <c r="M93">
        <v>3131.368890968633</v>
      </c>
      <c r="N93">
        <v>2731.3646901666721</v>
      </c>
      <c r="O93">
        <v>2510.670938435087</v>
      </c>
      <c r="P93">
        <v>2374.245235450056</v>
      </c>
      <c r="Q93">
        <v>2275.2343016974191</v>
      </c>
      <c r="R93">
        <v>2197.4720754935838</v>
      </c>
      <c r="S93">
        <v>2133.4303692492322</v>
      </c>
      <c r="T93">
        <v>2133.4303692492322</v>
      </c>
      <c r="U93">
        <v>123.2685267323124</v>
      </c>
      <c r="V93">
        <v>109.49464476572329</v>
      </c>
      <c r="W93">
        <v>99.84687076333617</v>
      </c>
      <c r="X93">
        <v>93.380235886093999</v>
      </c>
      <c r="Y93">
        <v>88.509282214206735</v>
      </c>
      <c r="Z93">
        <v>84.600351397566044</v>
      </c>
      <c r="AA93">
        <v>81.335401472488883</v>
      </c>
      <c r="AB93">
        <v>81.335401472488883</v>
      </c>
      <c r="AS93">
        <v>0.29670484989304502</v>
      </c>
      <c r="AT93">
        <v>0.31560685333006999</v>
      </c>
      <c r="AU93">
        <v>0.33544129067210798</v>
      </c>
      <c r="AV93">
        <v>0.34368167971108499</v>
      </c>
      <c r="AW93">
        <v>0.351122483187294</v>
      </c>
      <c r="AX93">
        <v>0.35808122321403302</v>
      </c>
      <c r="AY93">
        <v>0.364717268568513</v>
      </c>
      <c r="AZ93">
        <v>0.364717268568513</v>
      </c>
    </row>
    <row r="94" spans="1:52" x14ac:dyDescent="0.25">
      <c r="A94" t="s">
        <v>93</v>
      </c>
      <c r="B94" t="s">
        <v>94</v>
      </c>
      <c r="D94">
        <v>2020</v>
      </c>
      <c r="E94" t="s">
        <v>107</v>
      </c>
      <c r="F94" t="s">
        <v>282</v>
      </c>
      <c r="G94" t="s">
        <v>248</v>
      </c>
      <c r="H94" t="s">
        <v>283</v>
      </c>
      <c r="I94">
        <v>1</v>
      </c>
      <c r="J94">
        <v>0</v>
      </c>
      <c r="K94">
        <v>30</v>
      </c>
      <c r="L94">
        <v>31.536000000000001</v>
      </c>
      <c r="M94">
        <v>3855.148851590011</v>
      </c>
      <c r="N94">
        <v>3380.1370445216148</v>
      </c>
      <c r="O94">
        <v>3118.0594523149598</v>
      </c>
      <c r="P94">
        <v>2956.051604458426</v>
      </c>
      <c r="Q94">
        <v>2838.474432851051</v>
      </c>
      <c r="R94">
        <v>2746.1304636710038</v>
      </c>
      <c r="S94">
        <v>2670.0798458277732</v>
      </c>
      <c r="T94">
        <v>2670.0798458277732</v>
      </c>
      <c r="U94">
        <v>89.24836968951027</v>
      </c>
      <c r="V94">
        <v>79.93891775971484</v>
      </c>
      <c r="W94">
        <v>73.41820787396081</v>
      </c>
      <c r="X94">
        <v>69.04755719732178</v>
      </c>
      <c r="Y94">
        <v>65.755390967736886</v>
      </c>
      <c r="Z94">
        <v>63.11343399274039</v>
      </c>
      <c r="AA94">
        <v>60.906728979990739</v>
      </c>
      <c r="AB94">
        <v>60.906728979990739</v>
      </c>
      <c r="AS94">
        <v>0.52375843552641699</v>
      </c>
      <c r="AT94">
        <v>0.54102083974009596</v>
      </c>
      <c r="AU94">
        <v>0.55970683666427001</v>
      </c>
      <c r="AV94">
        <v>0.56717745799737396</v>
      </c>
      <c r="AW94">
        <v>0.57403843859745096</v>
      </c>
      <c r="AX94">
        <v>0.58053187189754496</v>
      </c>
      <c r="AY94">
        <v>0.58677926796822799</v>
      </c>
      <c r="AZ94">
        <v>0.58677926796822799</v>
      </c>
    </row>
    <row r="95" spans="1:52" x14ac:dyDescent="0.25">
      <c r="A95" t="s">
        <v>93</v>
      </c>
      <c r="B95" t="s">
        <v>94</v>
      </c>
      <c r="D95">
        <v>2020</v>
      </c>
      <c r="E95" t="s">
        <v>107</v>
      </c>
      <c r="F95" t="s">
        <v>284</v>
      </c>
      <c r="G95" t="s">
        <v>248</v>
      </c>
      <c r="H95" t="s">
        <v>285</v>
      </c>
      <c r="I95">
        <v>1</v>
      </c>
      <c r="J95">
        <v>0</v>
      </c>
      <c r="K95">
        <v>30</v>
      </c>
      <c r="L95">
        <v>31.536000000000001</v>
      </c>
      <c r="M95">
        <v>3869.7724737279368</v>
      </c>
      <c r="N95">
        <v>3392.958818418389</v>
      </c>
      <c r="O95">
        <v>3129.887095031117</v>
      </c>
      <c r="P95">
        <v>2967.2647075960649</v>
      </c>
      <c r="Q95">
        <v>2849.2415339805038</v>
      </c>
      <c r="R95">
        <v>2756.5472791528791</v>
      </c>
      <c r="S95">
        <v>2680.2081807498871</v>
      </c>
      <c r="T95">
        <v>2680.2081807498871</v>
      </c>
      <c r="U95">
        <v>90.257207441065233</v>
      </c>
      <c r="V95">
        <v>80.842524159865405</v>
      </c>
      <c r="W95">
        <v>74.248106055994157</v>
      </c>
      <c r="X95">
        <v>69.828050808528801</v>
      </c>
      <c r="Y95">
        <v>66.498670884303309</v>
      </c>
      <c r="Z95">
        <v>63.826849991975493</v>
      </c>
      <c r="AA95">
        <v>61.595201024158172</v>
      </c>
      <c r="AB95">
        <v>61.595201024158172</v>
      </c>
      <c r="AS95">
        <v>0.51102921488188202</v>
      </c>
      <c r="AT95">
        <v>0.52816298689339902</v>
      </c>
      <c r="AU95">
        <v>0.54675888471414602</v>
      </c>
      <c r="AV95">
        <v>0.55416911512137601</v>
      </c>
      <c r="AW95">
        <v>0.56098460662121497</v>
      </c>
      <c r="AX95">
        <v>0.56744153500713301</v>
      </c>
      <c r="AY95">
        <v>0.57365844020386902</v>
      </c>
      <c r="AZ95">
        <v>0.57365844020386902</v>
      </c>
    </row>
    <row r="96" spans="1:52" x14ac:dyDescent="0.25">
      <c r="A96" t="s">
        <v>93</v>
      </c>
      <c r="B96" t="s">
        <v>94</v>
      </c>
      <c r="D96">
        <v>2020</v>
      </c>
      <c r="E96" t="s">
        <v>107</v>
      </c>
      <c r="F96" t="s">
        <v>286</v>
      </c>
      <c r="G96" t="s">
        <v>248</v>
      </c>
      <c r="H96" t="s">
        <v>287</v>
      </c>
      <c r="I96">
        <v>1</v>
      </c>
      <c r="J96">
        <v>0</v>
      </c>
      <c r="K96">
        <v>30</v>
      </c>
      <c r="L96">
        <v>31.536000000000001</v>
      </c>
      <c r="M96">
        <v>3976.233107784542</v>
      </c>
      <c r="N96">
        <v>3486.3019153547302</v>
      </c>
      <c r="O96">
        <v>3215.9928717724579</v>
      </c>
      <c r="P96">
        <v>3048.896608264411</v>
      </c>
      <c r="Q96">
        <v>2927.626519750941</v>
      </c>
      <c r="R96">
        <v>2832.3821694824669</v>
      </c>
      <c r="S96">
        <v>2753.9429194880122</v>
      </c>
      <c r="T96">
        <v>2753.9429194880122</v>
      </c>
      <c r="U96">
        <v>93.913881809949814</v>
      </c>
      <c r="V96">
        <v>84.117772690065522</v>
      </c>
      <c r="W96">
        <v>77.256188779254387</v>
      </c>
      <c r="X96">
        <v>72.65705971385573</v>
      </c>
      <c r="Y96">
        <v>69.192793517626598</v>
      </c>
      <c r="Z96">
        <v>66.412726655229193</v>
      </c>
      <c r="AA96">
        <v>64.090664812780204</v>
      </c>
      <c r="AB96">
        <v>64.090664812780204</v>
      </c>
      <c r="AS96">
        <v>0.50202627320535997</v>
      </c>
      <c r="AT96">
        <v>0.519069068067046</v>
      </c>
      <c r="AU96">
        <v>0.53760124187860903</v>
      </c>
      <c r="AV96">
        <v>0.54496875985287696</v>
      </c>
      <c r="AW96">
        <v>0.55175207847051</v>
      </c>
      <c r="AX96">
        <v>0.55818318818124102</v>
      </c>
      <c r="AY96">
        <v>0.56437852822740797</v>
      </c>
      <c r="AZ96">
        <v>0.56437852822740797</v>
      </c>
    </row>
    <row r="97" spans="1:52" x14ac:dyDescent="0.25">
      <c r="A97" t="s">
        <v>93</v>
      </c>
      <c r="B97" t="s">
        <v>94</v>
      </c>
      <c r="D97">
        <v>2020</v>
      </c>
      <c r="E97" t="s">
        <v>107</v>
      </c>
      <c r="F97" t="s">
        <v>288</v>
      </c>
      <c r="G97" t="s">
        <v>248</v>
      </c>
      <c r="H97" t="s">
        <v>289</v>
      </c>
      <c r="I97">
        <v>1</v>
      </c>
      <c r="J97">
        <v>0</v>
      </c>
      <c r="K97">
        <v>30</v>
      </c>
      <c r="L97">
        <v>31.536000000000001</v>
      </c>
      <c r="M97">
        <v>4121.5189688418432</v>
      </c>
      <c r="N97">
        <v>3613.6863925591442</v>
      </c>
      <c r="O97">
        <v>3333.5006437928841</v>
      </c>
      <c r="P97">
        <v>3160.29892221304</v>
      </c>
      <c r="Q97">
        <v>3034.5977984074798</v>
      </c>
      <c r="R97">
        <v>2935.8733560356318</v>
      </c>
      <c r="S97">
        <v>2854.5680482253401</v>
      </c>
      <c r="T97">
        <v>2854.5680482253401</v>
      </c>
      <c r="U97">
        <v>101.6215792272114</v>
      </c>
      <c r="V97">
        <v>91.021484120299604</v>
      </c>
      <c r="W97">
        <v>83.596756491345658</v>
      </c>
      <c r="X97">
        <v>78.62016783705738</v>
      </c>
      <c r="Y97">
        <v>74.871582484822937</v>
      </c>
      <c r="Z97">
        <v>71.863350054544028</v>
      </c>
      <c r="AA97">
        <v>69.35071201908903</v>
      </c>
      <c r="AB97">
        <v>69.35071201908903</v>
      </c>
      <c r="AS97">
        <v>0.495273387645846</v>
      </c>
      <c r="AT97">
        <v>0.51224794278062902</v>
      </c>
      <c r="AU97">
        <v>0.53073231877711402</v>
      </c>
      <c r="AV97">
        <v>0.53806779920386505</v>
      </c>
      <c r="AW97">
        <v>0.54482698573229205</v>
      </c>
      <c r="AX97">
        <v>0.55123872948852604</v>
      </c>
      <c r="AY97">
        <v>0.55741789404460396</v>
      </c>
      <c r="AZ97">
        <v>0.55741789404460396</v>
      </c>
    </row>
    <row r="98" spans="1:52" x14ac:dyDescent="0.25">
      <c r="A98" t="s">
        <v>93</v>
      </c>
      <c r="B98" t="s">
        <v>94</v>
      </c>
      <c r="D98">
        <v>2020</v>
      </c>
      <c r="E98" t="s">
        <v>107</v>
      </c>
      <c r="F98" t="s">
        <v>290</v>
      </c>
      <c r="G98" t="s">
        <v>248</v>
      </c>
      <c r="H98" t="s">
        <v>291</v>
      </c>
      <c r="I98">
        <v>1</v>
      </c>
      <c r="J98">
        <v>0</v>
      </c>
      <c r="K98">
        <v>30</v>
      </c>
      <c r="L98">
        <v>31.536000000000001</v>
      </c>
      <c r="M98">
        <v>4165.6333147542473</v>
      </c>
      <c r="N98">
        <v>3652.365193444321</v>
      </c>
      <c r="O98">
        <v>3369.1804991110762</v>
      </c>
      <c r="P98">
        <v>3194.1249268717702</v>
      </c>
      <c r="Q98">
        <v>3067.078371224437</v>
      </c>
      <c r="R98">
        <v>2967.297239745074</v>
      </c>
      <c r="S98">
        <v>2885.12168712932</v>
      </c>
      <c r="T98">
        <v>2885.12168712932</v>
      </c>
      <c r="U98">
        <v>108.104392834809</v>
      </c>
      <c r="V98">
        <v>96.828078746422221</v>
      </c>
      <c r="W98">
        <v>88.929700484682172</v>
      </c>
      <c r="X98">
        <v>83.635636970302315</v>
      </c>
      <c r="Y98">
        <v>79.647915596806357</v>
      </c>
      <c r="Z98">
        <v>76.447776976108869</v>
      </c>
      <c r="AA98">
        <v>73.774848536085372</v>
      </c>
      <c r="AB98">
        <v>73.774848536085372</v>
      </c>
      <c r="AS98">
        <v>0.46681789413292002</v>
      </c>
      <c r="AT98">
        <v>0.48350489884365</v>
      </c>
      <c r="AU98">
        <v>0.50178786310215995</v>
      </c>
      <c r="AV98">
        <v>0.50898834283661099</v>
      </c>
      <c r="AW98">
        <v>0.51564584090877896</v>
      </c>
      <c r="AX98">
        <v>0.52197597987729505</v>
      </c>
      <c r="AY98">
        <v>0.52808698371167195</v>
      </c>
      <c r="AZ98">
        <v>0.52808698371167195</v>
      </c>
    </row>
    <row r="99" spans="1:52" x14ac:dyDescent="0.25">
      <c r="A99" t="s">
        <v>93</v>
      </c>
      <c r="B99" t="s">
        <v>94</v>
      </c>
      <c r="D99">
        <v>2020</v>
      </c>
      <c r="E99" t="s">
        <v>107</v>
      </c>
      <c r="F99" t="s">
        <v>292</v>
      </c>
      <c r="G99" t="s">
        <v>248</v>
      </c>
      <c r="H99" t="s">
        <v>293</v>
      </c>
      <c r="I99">
        <v>1</v>
      </c>
      <c r="J99">
        <v>0</v>
      </c>
      <c r="K99">
        <v>30</v>
      </c>
      <c r="L99">
        <v>31.536000000000001</v>
      </c>
      <c r="M99">
        <v>4170.1455241953454</v>
      </c>
      <c r="N99">
        <v>3656.321431418949</v>
      </c>
      <c r="O99">
        <v>3372.8299917351751</v>
      </c>
      <c r="P99">
        <v>3197.5847994918731</v>
      </c>
      <c r="Q99">
        <v>3070.400627154705</v>
      </c>
      <c r="R99">
        <v>2970.5114128630739</v>
      </c>
      <c r="S99">
        <v>2888.2468477787911</v>
      </c>
      <c r="T99">
        <v>2888.2468477787911</v>
      </c>
      <c r="U99">
        <v>110.80881770668149</v>
      </c>
      <c r="V99">
        <v>99.250406439040503</v>
      </c>
      <c r="W99">
        <v>91.154436108575254</v>
      </c>
      <c r="X99">
        <v>85.727932120074911</v>
      </c>
      <c r="Y99">
        <v>81.64045075920211</v>
      </c>
      <c r="Z99">
        <v>78.360254943303673</v>
      </c>
      <c r="AA99">
        <v>75.620458414348917</v>
      </c>
      <c r="AB99">
        <v>75.620458414348917</v>
      </c>
      <c r="AS99">
        <v>0.37287146322759102</v>
      </c>
      <c r="AT99">
        <v>0.38860911395741699</v>
      </c>
      <c r="AU99">
        <v>0.40622711298112701</v>
      </c>
      <c r="AV99">
        <v>0.41298188499290001</v>
      </c>
      <c r="AW99">
        <v>0.41930365641440898</v>
      </c>
      <c r="AX99">
        <v>0.425364375400901</v>
      </c>
      <c r="AY99">
        <v>0.43125034512968902</v>
      </c>
      <c r="AZ99">
        <v>0.43125034512968902</v>
      </c>
    </row>
    <row r="100" spans="1:52" x14ac:dyDescent="0.25">
      <c r="A100" t="s">
        <v>93</v>
      </c>
      <c r="B100" t="s">
        <v>94</v>
      </c>
      <c r="D100">
        <v>2020</v>
      </c>
      <c r="E100" t="s">
        <v>107</v>
      </c>
      <c r="F100" t="s">
        <v>294</v>
      </c>
      <c r="G100" t="s">
        <v>248</v>
      </c>
      <c r="H100" t="s">
        <v>295</v>
      </c>
      <c r="I100">
        <v>1</v>
      </c>
      <c r="J100">
        <v>0</v>
      </c>
      <c r="K100">
        <v>30</v>
      </c>
      <c r="L100">
        <v>31.536000000000001</v>
      </c>
      <c r="M100">
        <v>4581.0667408393256</v>
      </c>
      <c r="N100">
        <v>4016.6110285859531</v>
      </c>
      <c r="O100">
        <v>3705.1846771282071</v>
      </c>
      <c r="P100">
        <v>3512.6710305372608</v>
      </c>
      <c r="Q100">
        <v>3372.9542800127319</v>
      </c>
      <c r="R100">
        <v>3263.2221004748908</v>
      </c>
      <c r="S100">
        <v>3172.8512822694711</v>
      </c>
      <c r="T100">
        <v>3172.8512822694711</v>
      </c>
      <c r="U100">
        <v>100.0330098879363</v>
      </c>
      <c r="V100">
        <v>89.598617638707836</v>
      </c>
      <c r="W100">
        <v>82.289954872684632</v>
      </c>
      <c r="X100">
        <v>77.391161271479575</v>
      </c>
      <c r="Y100">
        <v>73.701174573207297</v>
      </c>
      <c r="Z100">
        <v>70.739967448385144</v>
      </c>
      <c r="AA100">
        <v>68.266607485305855</v>
      </c>
      <c r="AB100">
        <v>68.266607485305855</v>
      </c>
      <c r="AS100">
        <v>0.30700891729030999</v>
      </c>
      <c r="AT100">
        <v>0.322081009258878</v>
      </c>
      <c r="AU100">
        <v>0.33923282449144498</v>
      </c>
      <c r="AV100">
        <v>0.345675126459635</v>
      </c>
      <c r="AW100">
        <v>0.35176153170769597</v>
      </c>
      <c r="AX100">
        <v>0.35763336979928201</v>
      </c>
      <c r="AY100">
        <v>0.36336157601354502</v>
      </c>
      <c r="AZ100">
        <v>0.36336157601354502</v>
      </c>
    </row>
    <row r="101" spans="1:52" x14ac:dyDescent="0.25">
      <c r="A101" t="s">
        <v>93</v>
      </c>
      <c r="B101" t="s">
        <v>94</v>
      </c>
      <c r="D101">
        <v>2020</v>
      </c>
      <c r="E101" t="s">
        <v>107</v>
      </c>
      <c r="F101" t="s">
        <v>296</v>
      </c>
      <c r="G101" t="s">
        <v>241</v>
      </c>
      <c r="H101" t="s">
        <v>297</v>
      </c>
      <c r="I101">
        <v>1</v>
      </c>
      <c r="J101">
        <v>0</v>
      </c>
      <c r="K101">
        <v>30</v>
      </c>
      <c r="L101">
        <v>31.536000000000001</v>
      </c>
      <c r="M101">
        <v>1408.7255732468459</v>
      </c>
      <c r="N101">
        <v>1361.639988003599</v>
      </c>
      <c r="O101">
        <v>1133.299589912358</v>
      </c>
      <c r="P101">
        <v>904.95919182111663</v>
      </c>
      <c r="Q101">
        <v>833.38868486743809</v>
      </c>
      <c r="R101">
        <v>761.81817791375954</v>
      </c>
      <c r="S101">
        <v>690.24767096007986</v>
      </c>
      <c r="T101">
        <v>690.24767096007986</v>
      </c>
      <c r="U101">
        <v>25.474928501147339</v>
      </c>
      <c r="V101">
        <v>23.161525476034619</v>
      </c>
      <c r="W101">
        <v>20.33362233495237</v>
      </c>
      <c r="X101">
        <v>17.547705083846161</v>
      </c>
      <c r="Y101">
        <v>16.785562476399669</v>
      </c>
      <c r="Z101">
        <v>16.023491074974441</v>
      </c>
      <c r="AA101">
        <v>15.26149145474046</v>
      </c>
      <c r="AB101">
        <v>15.26149145474046</v>
      </c>
      <c r="AS101">
        <v>0.19687382126665801</v>
      </c>
      <c r="AT101">
        <v>0.202379328144388</v>
      </c>
      <c r="AU101">
        <v>0.20926121174154999</v>
      </c>
      <c r="AV101">
        <v>0.21614309533871201</v>
      </c>
      <c r="AW101">
        <v>0.22074375476576899</v>
      </c>
      <c r="AX101">
        <v>0.225344414192826</v>
      </c>
      <c r="AY101">
        <v>0.22994507361988201</v>
      </c>
      <c r="AZ101">
        <v>0.22994507361988201</v>
      </c>
    </row>
    <row r="102" spans="1:52" x14ac:dyDescent="0.25">
      <c r="A102" t="s">
        <v>93</v>
      </c>
      <c r="B102" t="s">
        <v>94</v>
      </c>
      <c r="D102">
        <v>2020</v>
      </c>
      <c r="E102" t="s">
        <v>107</v>
      </c>
      <c r="F102" t="s">
        <v>298</v>
      </c>
      <c r="G102" t="s">
        <v>241</v>
      </c>
      <c r="H102" t="s">
        <v>299</v>
      </c>
      <c r="I102">
        <v>1</v>
      </c>
      <c r="J102">
        <v>0</v>
      </c>
      <c r="K102">
        <v>30</v>
      </c>
      <c r="L102">
        <v>31.536000000000001</v>
      </c>
      <c r="M102">
        <v>1408.7255732468459</v>
      </c>
      <c r="N102">
        <v>1361.639988003599</v>
      </c>
      <c r="O102">
        <v>1133.299589912358</v>
      </c>
      <c r="P102">
        <v>904.95919182111663</v>
      </c>
      <c r="Q102">
        <v>833.38868486743809</v>
      </c>
      <c r="R102">
        <v>761.81817791375954</v>
      </c>
      <c r="S102">
        <v>690.24767096007986</v>
      </c>
      <c r="T102">
        <v>690.24767096007986</v>
      </c>
      <c r="U102">
        <v>25.474928501147339</v>
      </c>
      <c r="V102">
        <v>23.161525476034619</v>
      </c>
      <c r="W102">
        <v>20.33362233495237</v>
      </c>
      <c r="X102">
        <v>17.547705083846161</v>
      </c>
      <c r="Y102">
        <v>16.785562476399669</v>
      </c>
      <c r="Z102">
        <v>16.023491074974441</v>
      </c>
      <c r="AA102">
        <v>15.26149145474046</v>
      </c>
      <c r="AB102">
        <v>15.26149145474046</v>
      </c>
      <c r="AS102">
        <v>0.22558039910458599</v>
      </c>
      <c r="AT102">
        <v>0.23163275150342599</v>
      </c>
      <c r="AU102">
        <v>0.23919819200197601</v>
      </c>
      <c r="AV102">
        <v>0.24676363250052599</v>
      </c>
      <c r="AW102">
        <v>0.25184406144515098</v>
      </c>
      <c r="AX102">
        <v>0.256924490389775</v>
      </c>
      <c r="AY102">
        <v>0.26200491933440001</v>
      </c>
      <c r="AZ102">
        <v>0.26200491933440001</v>
      </c>
    </row>
    <row r="103" spans="1:52" x14ac:dyDescent="0.25">
      <c r="A103" t="s">
        <v>93</v>
      </c>
      <c r="B103" t="s">
        <v>94</v>
      </c>
      <c r="D103">
        <v>2020</v>
      </c>
      <c r="E103" t="s">
        <v>107</v>
      </c>
      <c r="F103" t="s">
        <v>300</v>
      </c>
      <c r="G103" t="s">
        <v>241</v>
      </c>
      <c r="H103" t="s">
        <v>301</v>
      </c>
      <c r="I103">
        <v>1</v>
      </c>
      <c r="J103">
        <v>0</v>
      </c>
      <c r="K103">
        <v>30</v>
      </c>
      <c r="L103">
        <v>31.536000000000001</v>
      </c>
      <c r="M103">
        <v>1408.7255732468459</v>
      </c>
      <c r="N103">
        <v>1361.639988003599</v>
      </c>
      <c r="O103">
        <v>1133.299589912358</v>
      </c>
      <c r="P103">
        <v>904.95919182111663</v>
      </c>
      <c r="Q103">
        <v>833.38868486743809</v>
      </c>
      <c r="R103">
        <v>761.81817791375954</v>
      </c>
      <c r="S103">
        <v>690.24767096007986</v>
      </c>
      <c r="T103">
        <v>690.24767096007986</v>
      </c>
      <c r="U103">
        <v>25.474928501147339</v>
      </c>
      <c r="V103">
        <v>23.161525476034619</v>
      </c>
      <c r="W103">
        <v>20.33362233495237</v>
      </c>
      <c r="X103">
        <v>17.547705083846161</v>
      </c>
      <c r="Y103">
        <v>16.785562476399669</v>
      </c>
      <c r="Z103">
        <v>16.023491074974441</v>
      </c>
      <c r="AA103">
        <v>15.26149145474046</v>
      </c>
      <c r="AB103">
        <v>15.26149145474046</v>
      </c>
      <c r="AS103">
        <v>0.24738093626150501</v>
      </c>
      <c r="AT103">
        <v>0.25379757245607198</v>
      </c>
      <c r="AU103">
        <v>0.26181836769928102</v>
      </c>
      <c r="AV103">
        <v>0.26983916294249</v>
      </c>
      <c r="AW103">
        <v>0.27535921867551399</v>
      </c>
      <c r="AX103">
        <v>0.28087927440853899</v>
      </c>
      <c r="AY103">
        <v>0.28639933014156299</v>
      </c>
      <c r="AZ103">
        <v>0.28639933014156299</v>
      </c>
    </row>
    <row r="104" spans="1:52" x14ac:dyDescent="0.25">
      <c r="A104" t="s">
        <v>93</v>
      </c>
      <c r="B104" t="s">
        <v>94</v>
      </c>
      <c r="D104">
        <v>2020</v>
      </c>
      <c r="E104" t="s">
        <v>107</v>
      </c>
      <c r="F104" t="s">
        <v>302</v>
      </c>
      <c r="G104" t="s">
        <v>241</v>
      </c>
      <c r="H104" t="s">
        <v>303</v>
      </c>
      <c r="I104">
        <v>1</v>
      </c>
      <c r="J104">
        <v>0</v>
      </c>
      <c r="K104">
        <v>30</v>
      </c>
      <c r="L104">
        <v>31.536000000000001</v>
      </c>
      <c r="M104">
        <v>1408.7255732468459</v>
      </c>
      <c r="N104">
        <v>1361.639988003599</v>
      </c>
      <c r="O104">
        <v>1133.299589912358</v>
      </c>
      <c r="P104">
        <v>904.95919182111663</v>
      </c>
      <c r="Q104">
        <v>833.38868486743809</v>
      </c>
      <c r="R104">
        <v>761.81817791375954</v>
      </c>
      <c r="S104">
        <v>690.24767096007986</v>
      </c>
      <c r="T104">
        <v>690.24767096007986</v>
      </c>
      <c r="U104">
        <v>25.474928501147339</v>
      </c>
      <c r="V104">
        <v>23.161525476034619</v>
      </c>
      <c r="W104">
        <v>20.33362233495237</v>
      </c>
      <c r="X104">
        <v>17.547705083846161</v>
      </c>
      <c r="Y104">
        <v>16.785562476399669</v>
      </c>
      <c r="Z104">
        <v>16.023491074974441</v>
      </c>
      <c r="AA104">
        <v>15.26149145474046</v>
      </c>
      <c r="AB104">
        <v>15.26149145474046</v>
      </c>
      <c r="AS104">
        <v>0.27470743745837201</v>
      </c>
      <c r="AT104">
        <v>0.28148929329880301</v>
      </c>
      <c r="AU104">
        <v>0.28996661309934102</v>
      </c>
      <c r="AV104">
        <v>0.29844393289987903</v>
      </c>
      <c r="AW104">
        <v>0.30429277986023501</v>
      </c>
      <c r="AX104">
        <v>0.31014162682059099</v>
      </c>
      <c r="AY104">
        <v>0.31599047378094702</v>
      </c>
      <c r="AZ104">
        <v>0.31599047378094702</v>
      </c>
    </row>
    <row r="105" spans="1:52" x14ac:dyDescent="0.25">
      <c r="A105" t="s">
        <v>93</v>
      </c>
      <c r="B105" t="s">
        <v>94</v>
      </c>
      <c r="D105">
        <v>2020</v>
      </c>
      <c r="E105" t="s">
        <v>107</v>
      </c>
      <c r="F105" t="s">
        <v>304</v>
      </c>
      <c r="G105" t="s">
        <v>241</v>
      </c>
      <c r="H105" t="s">
        <v>305</v>
      </c>
      <c r="I105">
        <v>1</v>
      </c>
      <c r="J105">
        <v>0</v>
      </c>
      <c r="K105">
        <v>30</v>
      </c>
      <c r="L105">
        <v>31.536000000000001</v>
      </c>
      <c r="M105">
        <v>1408.7255732468459</v>
      </c>
      <c r="N105">
        <v>1361.639988003599</v>
      </c>
      <c r="O105">
        <v>1133.299589912358</v>
      </c>
      <c r="P105">
        <v>904.95919182111663</v>
      </c>
      <c r="Q105">
        <v>833.38868486743809</v>
      </c>
      <c r="R105">
        <v>761.81817791375954</v>
      </c>
      <c r="S105">
        <v>690.24767096007986</v>
      </c>
      <c r="T105">
        <v>690.24767096007986</v>
      </c>
      <c r="U105">
        <v>25.474928501147339</v>
      </c>
      <c r="V105">
        <v>23.161525476034619</v>
      </c>
      <c r="W105">
        <v>20.33362233495237</v>
      </c>
      <c r="X105">
        <v>17.547705083846161</v>
      </c>
      <c r="Y105">
        <v>16.785562476399669</v>
      </c>
      <c r="Z105">
        <v>16.023491074974441</v>
      </c>
      <c r="AA105">
        <v>15.26149145474046</v>
      </c>
      <c r="AB105">
        <v>15.26149145474046</v>
      </c>
      <c r="AS105">
        <v>0.30297949893350101</v>
      </c>
      <c r="AT105">
        <v>0.30974988165310702</v>
      </c>
      <c r="AU105">
        <v>0.31821286005261501</v>
      </c>
      <c r="AV105">
        <v>0.326675838452123</v>
      </c>
      <c r="AW105">
        <v>0.33273033738785301</v>
      </c>
      <c r="AX105">
        <v>0.33878483632358303</v>
      </c>
      <c r="AY105">
        <v>0.34483933525931398</v>
      </c>
      <c r="AZ105">
        <v>0.34483933525931398</v>
      </c>
    </row>
    <row r="106" spans="1:52" x14ac:dyDescent="0.25">
      <c r="A106" t="s">
        <v>93</v>
      </c>
      <c r="B106" t="s">
        <v>94</v>
      </c>
      <c r="D106">
        <v>2020</v>
      </c>
      <c r="E106" t="s">
        <v>306</v>
      </c>
      <c r="F106" t="s">
        <v>307</v>
      </c>
      <c r="G106" t="s">
        <v>308</v>
      </c>
      <c r="H106" t="s">
        <v>309</v>
      </c>
      <c r="I106">
        <v>1</v>
      </c>
      <c r="J106">
        <v>0</v>
      </c>
      <c r="K106">
        <v>30</v>
      </c>
      <c r="L106">
        <v>31.536000000000001</v>
      </c>
      <c r="M106">
        <v>31460.697595854352</v>
      </c>
      <c r="N106">
        <v>14377.273679133061</v>
      </c>
      <c r="O106">
        <v>11831.270197437971</v>
      </c>
      <c r="P106">
        <v>10737.0754783266</v>
      </c>
      <c r="Q106">
        <v>10471.319472413479</v>
      </c>
      <c r="R106">
        <v>10212.14125901206</v>
      </c>
      <c r="S106">
        <v>9959.3780295559682</v>
      </c>
      <c r="T106">
        <v>9959.3780295559682</v>
      </c>
      <c r="U106">
        <v>577.6944934023926</v>
      </c>
      <c r="V106">
        <v>475.06906559667732</v>
      </c>
      <c r="W106">
        <v>346.78728083953479</v>
      </c>
      <c r="X106">
        <v>218.50549608239001</v>
      </c>
      <c r="Y106">
        <v>218.50549608239001</v>
      </c>
      <c r="Z106">
        <v>218.50549608239001</v>
      </c>
      <c r="AA106">
        <v>218.50549608239001</v>
      </c>
      <c r="AB106">
        <v>218.50549608239001</v>
      </c>
      <c r="AS106">
        <v>0.8</v>
      </c>
      <c r="AT106">
        <v>0.8</v>
      </c>
      <c r="AU106">
        <v>0.8</v>
      </c>
      <c r="AV106">
        <v>0.8</v>
      </c>
      <c r="AW106">
        <v>0.8</v>
      </c>
      <c r="AX106">
        <v>0.8</v>
      </c>
      <c r="AY106">
        <v>0.8</v>
      </c>
      <c r="AZ106">
        <v>0.8</v>
      </c>
    </row>
    <row r="107" spans="1:52" x14ac:dyDescent="0.25">
      <c r="A107" t="s">
        <v>93</v>
      </c>
      <c r="B107" t="s">
        <v>94</v>
      </c>
      <c r="D107">
        <v>2020</v>
      </c>
      <c r="E107" t="s">
        <v>306</v>
      </c>
      <c r="F107" t="s">
        <v>310</v>
      </c>
      <c r="G107" t="s">
        <v>308</v>
      </c>
      <c r="H107" t="s">
        <v>311</v>
      </c>
      <c r="I107">
        <v>1</v>
      </c>
      <c r="J107">
        <v>0</v>
      </c>
      <c r="K107">
        <v>30</v>
      </c>
      <c r="L107">
        <v>31.536000000000001</v>
      </c>
      <c r="M107">
        <v>13283.75798017331</v>
      </c>
      <c r="N107">
        <v>9637.6059771330474</v>
      </c>
      <c r="O107">
        <v>8095.172880334916</v>
      </c>
      <c r="P107">
        <v>7384.1475554604731</v>
      </c>
      <c r="Q107">
        <v>7201.3806963307652</v>
      </c>
      <c r="R107">
        <v>7023.1375448525223</v>
      </c>
      <c r="S107">
        <v>6849.306133620843</v>
      </c>
      <c r="T107">
        <v>6849.306133620843</v>
      </c>
      <c r="U107">
        <v>226.85138225857901</v>
      </c>
      <c r="V107">
        <v>206.9459378176189</v>
      </c>
      <c r="W107">
        <v>182.06413226641871</v>
      </c>
      <c r="X107">
        <v>157.18232671521861</v>
      </c>
      <c r="Y107">
        <v>157.18232671521861</v>
      </c>
      <c r="Z107">
        <v>157.18232671521861</v>
      </c>
      <c r="AA107">
        <v>157.18232671521861</v>
      </c>
      <c r="AB107">
        <v>157.18232671521861</v>
      </c>
      <c r="AS107">
        <v>0.9</v>
      </c>
      <c r="AT107">
        <v>0.9</v>
      </c>
      <c r="AU107">
        <v>0.9</v>
      </c>
      <c r="AV107">
        <v>0.9</v>
      </c>
      <c r="AW107">
        <v>0.9</v>
      </c>
      <c r="AX107">
        <v>0.9</v>
      </c>
      <c r="AY107">
        <v>0.9</v>
      </c>
      <c r="AZ107">
        <v>0.9</v>
      </c>
    </row>
    <row r="108" spans="1:52" x14ac:dyDescent="0.25">
      <c r="A108" t="s">
        <v>93</v>
      </c>
      <c r="B108" t="s">
        <v>94</v>
      </c>
      <c r="D108">
        <v>2020</v>
      </c>
      <c r="E108" t="s">
        <v>306</v>
      </c>
      <c r="F108" t="s">
        <v>312</v>
      </c>
      <c r="G108" t="s">
        <v>308</v>
      </c>
      <c r="H108" t="s">
        <v>313</v>
      </c>
      <c r="I108">
        <v>1</v>
      </c>
      <c r="J108">
        <v>0</v>
      </c>
      <c r="K108">
        <v>30</v>
      </c>
      <c r="L108">
        <v>31.536000000000001</v>
      </c>
      <c r="M108">
        <v>6833.3612776205246</v>
      </c>
      <c r="N108">
        <v>6494.2398550813741</v>
      </c>
      <c r="O108">
        <v>5926.5816393206178</v>
      </c>
      <c r="P108">
        <v>5566.8367612057764</v>
      </c>
      <c r="Q108">
        <v>5429.0506101989558</v>
      </c>
      <c r="R108">
        <v>5294.6748382320866</v>
      </c>
      <c r="S108">
        <v>5163.6250341716059</v>
      </c>
      <c r="T108">
        <v>5163.6250341716059</v>
      </c>
      <c r="U108">
        <v>170.8099129312339</v>
      </c>
      <c r="V108">
        <v>162.09987547196229</v>
      </c>
      <c r="W108">
        <v>151.21232864787319</v>
      </c>
      <c r="X108">
        <v>140.32478182378409</v>
      </c>
      <c r="Y108">
        <v>140.32478182378409</v>
      </c>
      <c r="Z108">
        <v>140.32478182378409</v>
      </c>
      <c r="AA108">
        <v>140.32478182378409</v>
      </c>
      <c r="AB108">
        <v>140.32478182378409</v>
      </c>
      <c r="AS108">
        <v>0.8</v>
      </c>
      <c r="AT108">
        <v>0.8</v>
      </c>
      <c r="AU108">
        <v>0.8</v>
      </c>
      <c r="AV108">
        <v>0.8</v>
      </c>
      <c r="AW108">
        <v>0.8</v>
      </c>
      <c r="AX108">
        <v>0.8</v>
      </c>
      <c r="AY108">
        <v>0.8</v>
      </c>
      <c r="AZ108">
        <v>0.8</v>
      </c>
    </row>
    <row r="109" spans="1:52" x14ac:dyDescent="0.25">
      <c r="A109" t="s">
        <v>93</v>
      </c>
      <c r="B109" t="s">
        <v>94</v>
      </c>
      <c r="D109">
        <v>2020</v>
      </c>
      <c r="E109" t="s">
        <v>306</v>
      </c>
      <c r="F109" t="s">
        <v>314</v>
      </c>
      <c r="G109" t="s">
        <v>308</v>
      </c>
      <c r="H109" t="s">
        <v>315</v>
      </c>
      <c r="I109">
        <v>1</v>
      </c>
      <c r="J109">
        <v>0</v>
      </c>
      <c r="K109">
        <v>30</v>
      </c>
      <c r="L109">
        <v>31.536000000000001</v>
      </c>
      <c r="M109">
        <v>5141.5939435054142</v>
      </c>
      <c r="N109">
        <v>4951.1172552179423</v>
      </c>
      <c r="O109">
        <v>4562.0372121705796</v>
      </c>
      <c r="P109">
        <v>4305.0128616851307</v>
      </c>
      <c r="Q109">
        <v>4198.4584255320578</v>
      </c>
      <c r="R109">
        <v>4094.5413445341692</v>
      </c>
      <c r="S109">
        <v>3993.1963408629158</v>
      </c>
      <c r="T109">
        <v>3993.1963408629158</v>
      </c>
      <c r="U109">
        <v>128.4796870790527</v>
      </c>
      <c r="V109">
        <v>125.2302476581271</v>
      </c>
      <c r="W109">
        <v>121.1684483819723</v>
      </c>
      <c r="X109">
        <v>117.1066491058164</v>
      </c>
      <c r="Y109">
        <v>117.1066491058164</v>
      </c>
      <c r="Z109">
        <v>117.1066491058164</v>
      </c>
      <c r="AA109">
        <v>117.1066491058164</v>
      </c>
      <c r="AB109">
        <v>117.1066491058164</v>
      </c>
      <c r="AS109">
        <v>0.9</v>
      </c>
      <c r="AT109">
        <v>0.9</v>
      </c>
      <c r="AU109">
        <v>0.9</v>
      </c>
      <c r="AV109">
        <v>0.9</v>
      </c>
      <c r="AW109">
        <v>0.9</v>
      </c>
      <c r="AX109">
        <v>0.9</v>
      </c>
      <c r="AY109">
        <v>0.9</v>
      </c>
      <c r="AZ109">
        <v>0.9</v>
      </c>
    </row>
    <row r="110" spans="1:52" x14ac:dyDescent="0.25">
      <c r="A110" t="s">
        <v>93</v>
      </c>
      <c r="B110" t="s">
        <v>94</v>
      </c>
      <c r="D110">
        <v>2020</v>
      </c>
      <c r="E110" t="s">
        <v>306</v>
      </c>
      <c r="F110" t="s">
        <v>316</v>
      </c>
      <c r="G110" t="s">
        <v>308</v>
      </c>
      <c r="H110" t="s">
        <v>317</v>
      </c>
      <c r="I110">
        <v>1</v>
      </c>
      <c r="J110">
        <v>0</v>
      </c>
      <c r="K110">
        <v>30</v>
      </c>
      <c r="L110">
        <v>31.536000000000001</v>
      </c>
      <c r="M110">
        <v>21992.323802462361</v>
      </c>
      <c r="N110">
        <v>12255.16090351395</v>
      </c>
      <c r="O110">
        <v>9454.5181275553841</v>
      </c>
      <c r="P110">
        <v>8270.162478708824</v>
      </c>
      <c r="Q110">
        <v>8065.4656454760998</v>
      </c>
      <c r="R110">
        <v>7865.8353140978816</v>
      </c>
      <c r="S110">
        <v>7671.1460823359639</v>
      </c>
      <c r="T110">
        <v>7671.1460823359639</v>
      </c>
      <c r="U110">
        <v>511.69245686870539</v>
      </c>
      <c r="V110">
        <v>423.21671746731522</v>
      </c>
      <c r="W110">
        <v>312.62204321557658</v>
      </c>
      <c r="X110">
        <v>202.02736896383919</v>
      </c>
      <c r="Y110">
        <v>202.02736896383919</v>
      </c>
      <c r="Z110">
        <v>202.02736896383919</v>
      </c>
      <c r="AA110">
        <v>202.02736896383919</v>
      </c>
      <c r="AB110">
        <v>202.02736896383919</v>
      </c>
      <c r="AS110">
        <v>0.8</v>
      </c>
      <c r="AT110">
        <v>0.8</v>
      </c>
      <c r="AU110">
        <v>0.8</v>
      </c>
      <c r="AV110">
        <v>0.8</v>
      </c>
      <c r="AW110">
        <v>0.8</v>
      </c>
      <c r="AX110">
        <v>0.8</v>
      </c>
      <c r="AY110">
        <v>0.8</v>
      </c>
      <c r="AZ110">
        <v>0.8</v>
      </c>
    </row>
    <row r="111" spans="1:52" x14ac:dyDescent="0.25">
      <c r="A111" t="s">
        <v>93</v>
      </c>
      <c r="B111" t="s">
        <v>94</v>
      </c>
      <c r="D111">
        <v>2020</v>
      </c>
      <c r="E111" t="s">
        <v>306</v>
      </c>
      <c r="F111" t="s">
        <v>318</v>
      </c>
      <c r="G111" t="s">
        <v>308</v>
      </c>
      <c r="H111" t="s">
        <v>319</v>
      </c>
      <c r="I111">
        <v>1</v>
      </c>
      <c r="J111">
        <v>0</v>
      </c>
      <c r="K111">
        <v>30</v>
      </c>
      <c r="L111">
        <v>31.536000000000001</v>
      </c>
      <c r="M111">
        <v>10912.238665283079</v>
      </c>
      <c r="N111">
        <v>8830.3734012651621</v>
      </c>
      <c r="O111">
        <v>7281.7718478756387</v>
      </c>
      <c r="P111">
        <v>6496.013413542506</v>
      </c>
      <c r="Q111">
        <v>6335.2289818203126</v>
      </c>
      <c r="R111">
        <v>6178.4241652618221</v>
      </c>
      <c r="S111">
        <v>6025.5004634296538</v>
      </c>
      <c r="T111">
        <v>6025.5004634296538</v>
      </c>
      <c r="U111">
        <v>229.03184523140851</v>
      </c>
      <c r="V111">
        <v>208.8187313876694</v>
      </c>
      <c r="W111">
        <v>183.55233908299559</v>
      </c>
      <c r="X111">
        <v>158.2859467783218</v>
      </c>
      <c r="Y111">
        <v>158.2859467783218</v>
      </c>
      <c r="Z111">
        <v>158.2859467783218</v>
      </c>
      <c r="AA111">
        <v>158.2859467783218</v>
      </c>
      <c r="AB111">
        <v>158.2859467783218</v>
      </c>
      <c r="AS111">
        <v>0.9</v>
      </c>
      <c r="AT111">
        <v>0.9</v>
      </c>
      <c r="AU111">
        <v>0.9</v>
      </c>
      <c r="AV111">
        <v>0.9</v>
      </c>
      <c r="AW111">
        <v>0.9</v>
      </c>
      <c r="AX111">
        <v>0.9</v>
      </c>
      <c r="AY111">
        <v>0.9</v>
      </c>
      <c r="AZ111">
        <v>0.9</v>
      </c>
    </row>
    <row r="112" spans="1:52" x14ac:dyDescent="0.25">
      <c r="A112" t="s">
        <v>93</v>
      </c>
      <c r="B112" t="s">
        <v>94</v>
      </c>
      <c r="D112">
        <v>2020</v>
      </c>
      <c r="E112" t="s">
        <v>306</v>
      </c>
      <c r="F112" t="s">
        <v>320</v>
      </c>
      <c r="G112" t="s">
        <v>321</v>
      </c>
      <c r="H112" t="s">
        <v>322</v>
      </c>
      <c r="I112">
        <v>1</v>
      </c>
      <c r="K112">
        <v>60</v>
      </c>
      <c r="L112">
        <v>31.536000000000001</v>
      </c>
      <c r="M112">
        <v>8444.1992650031334</v>
      </c>
      <c r="N112">
        <v>7250.832397359708</v>
      </c>
      <c r="O112">
        <v>6914.1113115917906</v>
      </c>
      <c r="P112">
        <v>6684.4877455526803</v>
      </c>
      <c r="Q112">
        <v>6448.5118235884092</v>
      </c>
      <c r="R112">
        <v>6226.991405897541</v>
      </c>
      <c r="S112">
        <v>5964.6351733857236</v>
      </c>
      <c r="T112">
        <v>5964.6351733857236</v>
      </c>
      <c r="U112">
        <v>172.01215270850639</v>
      </c>
      <c r="V112">
        <v>172.01215270850639</v>
      </c>
      <c r="W112">
        <v>172.01215270850639</v>
      </c>
      <c r="X112">
        <v>172.01215270850639</v>
      </c>
      <c r="Y112">
        <v>172.01215270850639</v>
      </c>
      <c r="Z112">
        <v>172.01215270850639</v>
      </c>
      <c r="AA112">
        <v>172.01215270850639</v>
      </c>
      <c r="AB112">
        <v>172.01215270850639</v>
      </c>
      <c r="AC112">
        <v>0.7758312465122762</v>
      </c>
      <c r="AD112">
        <v>0.7758312465122762</v>
      </c>
      <c r="AE112">
        <v>0.7758312465122762</v>
      </c>
      <c r="AF112">
        <v>0.7758312465122762</v>
      </c>
      <c r="AG112">
        <v>0.7758312465122762</v>
      </c>
      <c r="AH112">
        <v>0.7758312465122762</v>
      </c>
      <c r="AI112">
        <v>0.7758312465122762</v>
      </c>
      <c r="AJ112">
        <v>0.7758312465122762</v>
      </c>
      <c r="AK112">
        <v>0.32661449618084121</v>
      </c>
      <c r="AL112">
        <v>0.32661449618084121</v>
      </c>
      <c r="AM112">
        <v>0.32661449618084121</v>
      </c>
      <c r="AN112">
        <v>0.32661449618084121</v>
      </c>
      <c r="AO112">
        <v>0.32661449618084121</v>
      </c>
      <c r="AP112">
        <v>0.32661449618084121</v>
      </c>
      <c r="AQ112">
        <v>0.32661449618084121</v>
      </c>
      <c r="AR112">
        <v>0.32661449618084121</v>
      </c>
      <c r="AS112">
        <v>0.92699999999999994</v>
      </c>
      <c r="AT112">
        <v>0.92699999999999994</v>
      </c>
      <c r="AU112">
        <v>0.92699999999999994</v>
      </c>
      <c r="AV112">
        <v>0.92699999999999994</v>
      </c>
      <c r="AW112">
        <v>0.92699999999999994</v>
      </c>
      <c r="AX112">
        <v>0.92699999999999994</v>
      </c>
      <c r="AY112">
        <v>0.92699999999999994</v>
      </c>
      <c r="AZ112">
        <v>0.92699999999999994</v>
      </c>
    </row>
    <row r="113" spans="1:52" x14ac:dyDescent="0.25">
      <c r="A113" t="s">
        <v>93</v>
      </c>
      <c r="B113" t="s">
        <v>94</v>
      </c>
      <c r="D113">
        <v>2020</v>
      </c>
      <c r="E113" t="s">
        <v>306</v>
      </c>
      <c r="F113" t="s">
        <v>323</v>
      </c>
      <c r="G113" t="s">
        <v>321</v>
      </c>
      <c r="H113" t="s">
        <v>324</v>
      </c>
      <c r="I113">
        <v>1</v>
      </c>
      <c r="K113">
        <v>45</v>
      </c>
      <c r="L113">
        <v>31.536000000000001</v>
      </c>
      <c r="M113">
        <v>9065.3830319337758</v>
      </c>
      <c r="N113">
        <v>7918.8504407839764</v>
      </c>
      <c r="O113">
        <v>7552.3337746519737</v>
      </c>
      <c r="P113">
        <v>7302.7832260803443</v>
      </c>
      <c r="Q113">
        <v>7046.2922342573784</v>
      </c>
      <c r="R113">
        <v>6805.5983868030689</v>
      </c>
      <c r="S113">
        <v>6520.2689090899366</v>
      </c>
      <c r="T113">
        <v>6520.2689090899366</v>
      </c>
      <c r="U113">
        <v>134.33502328274099</v>
      </c>
      <c r="V113">
        <v>134.33502328274099</v>
      </c>
      <c r="W113">
        <v>134.33502328274099</v>
      </c>
      <c r="X113">
        <v>134.33502328274099</v>
      </c>
      <c r="Y113">
        <v>134.33502328274099</v>
      </c>
      <c r="Z113">
        <v>134.33502328274099</v>
      </c>
      <c r="AA113">
        <v>134.33502328274099</v>
      </c>
      <c r="AB113">
        <v>134.33502328274099</v>
      </c>
      <c r="AC113">
        <v>0.9831383812078639</v>
      </c>
      <c r="AD113">
        <v>0.9831383812078639</v>
      </c>
      <c r="AE113">
        <v>0.9831383812078639</v>
      </c>
      <c r="AF113">
        <v>0.9831383812078639</v>
      </c>
      <c r="AG113">
        <v>0.9831383812078639</v>
      </c>
      <c r="AH113">
        <v>0.9831383812078639</v>
      </c>
      <c r="AI113">
        <v>0.9831383812078639</v>
      </c>
      <c r="AJ113">
        <v>0.9831383812078639</v>
      </c>
      <c r="AK113">
        <v>0.32661449618084121</v>
      </c>
      <c r="AL113">
        <v>0.32661449618084121</v>
      </c>
      <c r="AM113">
        <v>0.32661449618084121</v>
      </c>
      <c r="AN113">
        <v>0.32661449618084121</v>
      </c>
      <c r="AO113">
        <v>0.32661449618084121</v>
      </c>
      <c r="AP113">
        <v>0.32661449618084121</v>
      </c>
      <c r="AQ113">
        <v>0.32661449618084121</v>
      </c>
      <c r="AR113">
        <v>0.32661449618084121</v>
      </c>
      <c r="AS113">
        <v>0.92699999999999994</v>
      </c>
      <c r="AT113">
        <v>0.92699999999999994</v>
      </c>
      <c r="AU113">
        <v>0.92699999999999994</v>
      </c>
      <c r="AV113">
        <v>0.92699999999999994</v>
      </c>
      <c r="AW113">
        <v>0.92699999999999994</v>
      </c>
      <c r="AX113">
        <v>0.92699999999999994</v>
      </c>
      <c r="AY113">
        <v>0.92699999999999994</v>
      </c>
      <c r="AZ113">
        <v>0.92699999999999994</v>
      </c>
    </row>
    <row r="114" spans="1:52" x14ac:dyDescent="0.25">
      <c r="A114" t="s">
        <v>93</v>
      </c>
      <c r="B114" t="s">
        <v>94</v>
      </c>
      <c r="D114">
        <v>2020</v>
      </c>
      <c r="E114" t="s">
        <v>95</v>
      </c>
      <c r="F114" t="s">
        <v>325</v>
      </c>
      <c r="G114" t="s">
        <v>326</v>
      </c>
      <c r="H114" t="s">
        <v>327</v>
      </c>
      <c r="I114">
        <v>1</v>
      </c>
      <c r="K114">
        <v>15</v>
      </c>
      <c r="L114">
        <v>31.536000000000001</v>
      </c>
      <c r="M114">
        <v>5427.3482633967596</v>
      </c>
      <c r="N114">
        <v>4740.3000529735318</v>
      </c>
      <c r="O114">
        <v>4519.7512335657912</v>
      </c>
      <c r="P114">
        <v>4369.1119571391573</v>
      </c>
      <c r="Q114">
        <v>4214.7719944325481</v>
      </c>
      <c r="R114">
        <v>4069.880088046621</v>
      </c>
      <c r="S114">
        <v>3897.2529782515348</v>
      </c>
      <c r="T114">
        <v>3897.2529782515348</v>
      </c>
      <c r="U114">
        <v>177.77906027367459</v>
      </c>
      <c r="V114">
        <v>177.77906027367459</v>
      </c>
      <c r="W114">
        <v>177.77906027367459</v>
      </c>
      <c r="X114">
        <v>177.77906027367459</v>
      </c>
      <c r="Y114">
        <v>177.77906027367459</v>
      </c>
      <c r="Z114">
        <v>177.77906027367459</v>
      </c>
      <c r="AA114">
        <v>177.77906027367459</v>
      </c>
      <c r="AB114">
        <v>177.77906027367459</v>
      </c>
      <c r="AC114">
        <v>1.5830726649481259</v>
      </c>
      <c r="AD114">
        <v>1.5830726649481259</v>
      </c>
      <c r="AE114">
        <v>1.5830726649481259</v>
      </c>
      <c r="AF114">
        <v>1.5830726649481259</v>
      </c>
      <c r="AG114">
        <v>1.5830726649481259</v>
      </c>
      <c r="AH114">
        <v>1.5830726649481259</v>
      </c>
      <c r="AI114">
        <v>1.5830726649481259</v>
      </c>
      <c r="AJ114">
        <v>1.5830726649481259</v>
      </c>
      <c r="AK114">
        <v>0.25275123271120348</v>
      </c>
      <c r="AL114">
        <v>0.25275123271120348</v>
      </c>
      <c r="AM114">
        <v>0.25275123271120348</v>
      </c>
      <c r="AN114">
        <v>0.25275123271120348</v>
      </c>
      <c r="AO114">
        <v>0.25275123271120348</v>
      </c>
      <c r="AP114">
        <v>0.25275123271120348</v>
      </c>
      <c r="AQ114">
        <v>0.25275123271120348</v>
      </c>
      <c r="AR114">
        <v>0.25275123271120348</v>
      </c>
      <c r="AS114">
        <v>0.6349999999999999</v>
      </c>
      <c r="AT114">
        <v>0.6349999999999999</v>
      </c>
      <c r="AU114">
        <v>0.6349999999999999</v>
      </c>
      <c r="AV114">
        <v>0.6349999999999999</v>
      </c>
      <c r="AW114">
        <v>0.6349999999999999</v>
      </c>
      <c r="AX114">
        <v>0.6349999999999999</v>
      </c>
      <c r="AY114">
        <v>0.6349999999999999</v>
      </c>
      <c r="AZ114">
        <v>0.6349999999999999</v>
      </c>
    </row>
    <row r="115" spans="1:52" x14ac:dyDescent="0.25">
      <c r="A115" t="s">
        <v>93</v>
      </c>
      <c r="B115" t="s">
        <v>94</v>
      </c>
      <c r="D115">
        <v>2020</v>
      </c>
      <c r="E115" t="s">
        <v>148</v>
      </c>
      <c r="F115" t="s">
        <v>328</v>
      </c>
      <c r="G115" t="s">
        <v>148</v>
      </c>
      <c r="H115" t="s">
        <v>329</v>
      </c>
      <c r="I115">
        <v>1</v>
      </c>
      <c r="K115">
        <v>15</v>
      </c>
      <c r="L115">
        <v>31.536000000000001</v>
      </c>
      <c r="M115">
        <v>3979.7975262002992</v>
      </c>
      <c r="N115">
        <v>3570.95885713092</v>
      </c>
      <c r="O115">
        <v>2904.7141442618358</v>
      </c>
      <c r="P115">
        <v>2659.4796578177579</v>
      </c>
      <c r="Q115">
        <v>2415.0338331035132</v>
      </c>
      <c r="R115">
        <v>2171.5586569045131</v>
      </c>
      <c r="S115">
        <v>1929.2967739077051</v>
      </c>
      <c r="T115">
        <v>1929.2967739077051</v>
      </c>
      <c r="U115">
        <v>99.494938155007475</v>
      </c>
      <c r="V115">
        <v>89.273971428273015</v>
      </c>
      <c r="W115">
        <v>72.617853606545964</v>
      </c>
      <c r="X115">
        <v>66.486991445444076</v>
      </c>
      <c r="Y115">
        <v>60.375845827587987</v>
      </c>
      <c r="Z115">
        <v>54.288966422612823</v>
      </c>
      <c r="AA115">
        <v>48.232419347692897</v>
      </c>
      <c r="AB115">
        <v>48.232419347692897</v>
      </c>
      <c r="AS115">
        <v>0.41666666666666669</v>
      </c>
      <c r="AT115">
        <v>0.41666666666666669</v>
      </c>
      <c r="AU115">
        <v>0.41666666666666669</v>
      </c>
      <c r="AV115">
        <v>0.41666666666666669</v>
      </c>
      <c r="AW115">
        <v>0.41666666666666669</v>
      </c>
      <c r="AX115">
        <v>0.41666666666666669</v>
      </c>
      <c r="AY115">
        <v>0.41666666666666669</v>
      </c>
      <c r="AZ115">
        <v>0.41666666666666669</v>
      </c>
    </row>
    <row r="116" spans="1:52" x14ac:dyDescent="0.25">
      <c r="A116" t="s">
        <v>93</v>
      </c>
      <c r="B116" t="s">
        <v>94</v>
      </c>
      <c r="D116">
        <v>2020</v>
      </c>
      <c r="E116" t="s">
        <v>148</v>
      </c>
      <c r="F116" t="s">
        <v>330</v>
      </c>
      <c r="G116" t="s">
        <v>148</v>
      </c>
      <c r="H116" t="s">
        <v>331</v>
      </c>
      <c r="I116">
        <v>1</v>
      </c>
      <c r="K116">
        <v>15</v>
      </c>
      <c r="L116">
        <v>31.536000000000001</v>
      </c>
      <c r="M116">
        <v>1066.482018489656</v>
      </c>
      <c r="N116">
        <v>974.98776505193177</v>
      </c>
      <c r="O116">
        <v>846.78511114459968</v>
      </c>
      <c r="P116">
        <v>788.57210787219162</v>
      </c>
      <c r="Q116">
        <v>730.12180374793365</v>
      </c>
      <c r="R116">
        <v>671.37944067013586</v>
      </c>
      <c r="S116">
        <v>612.27200914849584</v>
      </c>
      <c r="T116">
        <v>612.27200914849584</v>
      </c>
      <c r="U116">
        <v>26.6620504622414</v>
      </c>
      <c r="V116">
        <v>24.374694126298269</v>
      </c>
      <c r="W116">
        <v>21.169627778614931</v>
      </c>
      <c r="X116">
        <v>19.71430269680479</v>
      </c>
      <c r="Y116">
        <v>18.253045093698258</v>
      </c>
      <c r="Z116">
        <v>16.784486016753341</v>
      </c>
      <c r="AA116">
        <v>15.306800228712341</v>
      </c>
      <c r="AB116">
        <v>15.306800228712341</v>
      </c>
      <c r="AS116">
        <v>8.3333333333333329E-2</v>
      </c>
      <c r="AT116">
        <v>8.3333333333333329E-2</v>
      </c>
      <c r="AU116">
        <v>8.3333333333333329E-2</v>
      </c>
      <c r="AV116">
        <v>8.3333333333333329E-2</v>
      </c>
      <c r="AW116">
        <v>8.3333333333333329E-2</v>
      </c>
      <c r="AX116">
        <v>8.3333333333333329E-2</v>
      </c>
      <c r="AY116">
        <v>8.3333333333333329E-2</v>
      </c>
      <c r="AZ116">
        <v>8.3333333333333329E-2</v>
      </c>
    </row>
    <row r="117" spans="1:52" x14ac:dyDescent="0.25">
      <c r="A117" t="s">
        <v>93</v>
      </c>
      <c r="B117" t="s">
        <v>94</v>
      </c>
      <c r="D117">
        <v>2020</v>
      </c>
      <c r="E117" t="s">
        <v>148</v>
      </c>
      <c r="F117" t="s">
        <v>332</v>
      </c>
      <c r="G117" t="s">
        <v>148</v>
      </c>
      <c r="H117" t="s">
        <v>333</v>
      </c>
      <c r="I117">
        <v>1</v>
      </c>
      <c r="K117">
        <v>15</v>
      </c>
      <c r="L117">
        <v>31.536000000000001</v>
      </c>
      <c r="M117">
        <v>1794.810895417316</v>
      </c>
      <c r="N117">
        <v>1623.980538071678</v>
      </c>
      <c r="O117">
        <v>1361.2673694239049</v>
      </c>
      <c r="P117">
        <v>1256.298995358582</v>
      </c>
      <c r="Q117">
        <v>1151.34981108683</v>
      </c>
      <c r="R117">
        <v>1046.4242447287311</v>
      </c>
      <c r="S117">
        <v>941.52820033830039</v>
      </c>
      <c r="T117">
        <v>941.52820033830039</v>
      </c>
      <c r="U117">
        <v>44.870272385432912</v>
      </c>
      <c r="V117">
        <v>40.599513451791957</v>
      </c>
      <c r="W117">
        <v>34.031684235597687</v>
      </c>
      <c r="X117">
        <v>31.407474883964611</v>
      </c>
      <c r="Y117">
        <v>28.783745277170748</v>
      </c>
      <c r="Z117">
        <v>26.160606118218261</v>
      </c>
      <c r="AA117">
        <v>23.538205008457481</v>
      </c>
      <c r="AB117">
        <v>23.538205008457481</v>
      </c>
      <c r="AS117">
        <v>0.16666666666666671</v>
      </c>
      <c r="AT117">
        <v>0.16666666666666671</v>
      </c>
      <c r="AU117">
        <v>0.16666666666666671</v>
      </c>
      <c r="AV117">
        <v>0.16666666666666671</v>
      </c>
      <c r="AW117">
        <v>0.16666666666666671</v>
      </c>
      <c r="AX117">
        <v>0.16666666666666671</v>
      </c>
      <c r="AY117">
        <v>0.16666666666666671</v>
      </c>
      <c r="AZ117">
        <v>0.16666666666666671</v>
      </c>
    </row>
    <row r="118" spans="1:52" x14ac:dyDescent="0.25">
      <c r="A118" t="s">
        <v>93</v>
      </c>
      <c r="B118" t="s">
        <v>94</v>
      </c>
      <c r="D118">
        <v>2020</v>
      </c>
      <c r="E118" t="s">
        <v>148</v>
      </c>
      <c r="F118" t="s">
        <v>334</v>
      </c>
      <c r="G118" t="s">
        <v>148</v>
      </c>
      <c r="H118" t="s">
        <v>335</v>
      </c>
      <c r="I118">
        <v>1</v>
      </c>
      <c r="K118">
        <v>15</v>
      </c>
      <c r="L118">
        <v>31.536000000000001</v>
      </c>
      <c r="M118">
        <v>2523.1397723449768</v>
      </c>
      <c r="N118">
        <v>2272.9733110914258</v>
      </c>
      <c r="O118">
        <v>1875.749627703216</v>
      </c>
      <c r="P118">
        <v>1724.025882844971</v>
      </c>
      <c r="Q118">
        <v>1572.577818425721</v>
      </c>
      <c r="R118">
        <v>1421.469048787317</v>
      </c>
      <c r="S118">
        <v>1270.7843915281051</v>
      </c>
      <c r="T118">
        <v>1270.7843915281051</v>
      </c>
      <c r="U118">
        <v>63.078494308624443</v>
      </c>
      <c r="V118">
        <v>56.82433277728564</v>
      </c>
      <c r="W118">
        <v>46.893740692580437</v>
      </c>
      <c r="X118">
        <v>43.100647071124428</v>
      </c>
      <c r="Y118">
        <v>39.314445460643128</v>
      </c>
      <c r="Z118">
        <v>35.536726219683082</v>
      </c>
      <c r="AA118">
        <v>31.769609788202619</v>
      </c>
      <c r="AB118">
        <v>31.769609788202619</v>
      </c>
      <c r="AS118">
        <v>0.25</v>
      </c>
      <c r="AT118">
        <v>0.25</v>
      </c>
      <c r="AU118">
        <v>0.25</v>
      </c>
      <c r="AV118">
        <v>0.25</v>
      </c>
      <c r="AW118">
        <v>0.25</v>
      </c>
      <c r="AX118">
        <v>0.25</v>
      </c>
      <c r="AY118">
        <v>0.25</v>
      </c>
      <c r="AZ118">
        <v>0.25</v>
      </c>
    </row>
    <row r="119" spans="1:52" x14ac:dyDescent="0.25">
      <c r="A119" t="s">
        <v>93</v>
      </c>
      <c r="B119" t="s">
        <v>94</v>
      </c>
      <c r="D119">
        <v>2020</v>
      </c>
      <c r="E119" t="s">
        <v>148</v>
      </c>
      <c r="F119" t="s">
        <v>336</v>
      </c>
      <c r="G119" t="s">
        <v>148</v>
      </c>
      <c r="H119" t="s">
        <v>337</v>
      </c>
      <c r="I119">
        <v>1</v>
      </c>
      <c r="K119">
        <v>15</v>
      </c>
      <c r="L119">
        <v>31.536000000000001</v>
      </c>
      <c r="M119">
        <v>3251.4686492726378</v>
      </c>
      <c r="N119">
        <v>2921.9660841111731</v>
      </c>
      <c r="O119">
        <v>2390.2318859825259</v>
      </c>
      <c r="P119">
        <v>2191.7527703313699</v>
      </c>
      <c r="Q119">
        <v>1993.8058257646221</v>
      </c>
      <c r="R119">
        <v>1796.513852845909</v>
      </c>
      <c r="S119">
        <v>1600.0405827179111</v>
      </c>
      <c r="T119">
        <v>1600.0405827179111</v>
      </c>
      <c r="U119">
        <v>81.286716231815959</v>
      </c>
      <c r="V119">
        <v>73.049152102779317</v>
      </c>
      <c r="W119">
        <v>59.755797149563207</v>
      </c>
      <c r="X119">
        <v>54.793819258284259</v>
      </c>
      <c r="Y119">
        <v>49.845145644115611</v>
      </c>
      <c r="Z119">
        <v>44.912846321147903</v>
      </c>
      <c r="AA119">
        <v>40.001014567947763</v>
      </c>
      <c r="AB119">
        <v>40.001014567947763</v>
      </c>
      <c r="AS119">
        <v>0.33333333333333331</v>
      </c>
      <c r="AT119">
        <v>0.33333333333333331</v>
      </c>
      <c r="AU119">
        <v>0.33333333333333331</v>
      </c>
      <c r="AV119">
        <v>0.33333333333333331</v>
      </c>
      <c r="AW119">
        <v>0.33333333333333331</v>
      </c>
      <c r="AX119">
        <v>0.33333333333333331</v>
      </c>
      <c r="AY119">
        <v>0.33333333333333331</v>
      </c>
      <c r="AZ119">
        <v>0.33333333333333331</v>
      </c>
    </row>
    <row r="120" spans="1:52" x14ac:dyDescent="0.25">
      <c r="A120" t="s">
        <v>93</v>
      </c>
      <c r="B120" t="s">
        <v>94</v>
      </c>
      <c r="D120">
        <v>2020</v>
      </c>
      <c r="E120" t="s">
        <v>95</v>
      </c>
      <c r="F120" t="s">
        <v>338</v>
      </c>
      <c r="G120" t="s">
        <v>339</v>
      </c>
      <c r="H120" t="s">
        <v>340</v>
      </c>
      <c r="I120">
        <v>1</v>
      </c>
      <c r="K120">
        <v>30</v>
      </c>
      <c r="L120">
        <v>31.536000000000001</v>
      </c>
      <c r="M120">
        <v>5365.9378744605992</v>
      </c>
      <c r="N120">
        <v>5176.1953079046734</v>
      </c>
      <c r="O120">
        <v>4859.8069281528979</v>
      </c>
      <c r="P120">
        <v>4543.5316250200467</v>
      </c>
      <c r="Q120">
        <v>4295.7807529556649</v>
      </c>
      <c r="R120">
        <v>4048.029880891283</v>
      </c>
      <c r="S120">
        <v>3800.2790088269021</v>
      </c>
      <c r="T120">
        <v>3800.2790088269021</v>
      </c>
      <c r="U120">
        <v>138.0665517072616</v>
      </c>
      <c r="V120">
        <v>135.23963623413991</v>
      </c>
      <c r="W120">
        <v>127.88965600402361</v>
      </c>
      <c r="X120">
        <v>120.6527523928322</v>
      </c>
      <c r="Y120">
        <v>114.885844827664</v>
      </c>
      <c r="Z120">
        <v>109.11893726249581</v>
      </c>
      <c r="AA120">
        <v>103.35202969732769</v>
      </c>
      <c r="AB120">
        <v>103.35202969732769</v>
      </c>
      <c r="AC120">
        <v>4.6141542555730108</v>
      </c>
      <c r="AD120">
        <v>4.488513567878714</v>
      </c>
      <c r="AE120">
        <v>4.2780654159907696</v>
      </c>
      <c r="AF120">
        <v>4.0707582812951824</v>
      </c>
      <c r="AG120">
        <v>3.998514885870962</v>
      </c>
      <c r="AH120">
        <v>3.923130473254385</v>
      </c>
      <c r="AI120">
        <v>3.8508870778301638</v>
      </c>
      <c r="AJ120">
        <v>3.8508870778301638</v>
      </c>
      <c r="AK120">
        <v>0.3119529750961097</v>
      </c>
      <c r="AL120">
        <v>0.31684851347397602</v>
      </c>
      <c r="AM120">
        <v>0.32533768512597722</v>
      </c>
      <c r="AN120">
        <v>0.33429427271492579</v>
      </c>
      <c r="AO120">
        <v>0.33429427271492579</v>
      </c>
      <c r="AP120">
        <v>0.33429427271492579</v>
      </c>
      <c r="AQ120">
        <v>0.33429427271492579</v>
      </c>
      <c r="AR120">
        <v>0.33429427271492579</v>
      </c>
      <c r="AS120">
        <v>0.9</v>
      </c>
      <c r="AT120">
        <v>0.9</v>
      </c>
      <c r="AU120">
        <v>0.9</v>
      </c>
      <c r="AV120">
        <v>0.9</v>
      </c>
      <c r="AW120">
        <v>0.9</v>
      </c>
      <c r="AX120">
        <v>0.9</v>
      </c>
      <c r="AY120">
        <v>0.9</v>
      </c>
      <c r="AZ120">
        <v>0.9</v>
      </c>
    </row>
    <row r="121" spans="1:52" x14ac:dyDescent="0.25">
      <c r="A121" t="s">
        <v>93</v>
      </c>
      <c r="B121" t="s">
        <v>94</v>
      </c>
      <c r="D121">
        <v>2020</v>
      </c>
      <c r="E121" t="s">
        <v>95</v>
      </c>
      <c r="F121" t="s">
        <v>341</v>
      </c>
      <c r="G121" t="s">
        <v>339</v>
      </c>
      <c r="H121" t="s">
        <v>342</v>
      </c>
      <c r="I121">
        <v>1</v>
      </c>
      <c r="K121">
        <v>30</v>
      </c>
      <c r="L121">
        <v>31.536000000000001</v>
      </c>
      <c r="M121">
        <v>5490.0960020401017</v>
      </c>
      <c r="N121">
        <v>5291.7596124458869</v>
      </c>
      <c r="O121">
        <v>4961.1235787095784</v>
      </c>
      <c r="P121">
        <v>4630.487544973269</v>
      </c>
      <c r="Q121">
        <v>4377.9874549140432</v>
      </c>
      <c r="R121">
        <v>4125.6004414737417</v>
      </c>
      <c r="S121">
        <v>3873.1003514145159</v>
      </c>
      <c r="T121">
        <v>3873.1003514145159</v>
      </c>
      <c r="U121">
        <v>140.89346718038331</v>
      </c>
      <c r="V121">
        <v>137.84039846941181</v>
      </c>
      <c r="W121">
        <v>130.26426500144581</v>
      </c>
      <c r="X121">
        <v>122.5750549145549</v>
      </c>
      <c r="Y121">
        <v>116.69507073046189</v>
      </c>
      <c r="Z121">
        <v>110.9281631652937</v>
      </c>
      <c r="AA121">
        <v>105.04817898120061</v>
      </c>
      <c r="AB121">
        <v>105.04817898120061</v>
      </c>
      <c r="AC121">
        <v>4.7272308744978773</v>
      </c>
      <c r="AD121">
        <v>4.5953081524188661</v>
      </c>
      <c r="AE121">
        <v>4.3754369489538494</v>
      </c>
      <c r="AF121">
        <v>4.1587067626811889</v>
      </c>
      <c r="AG121">
        <v>4.083322350064611</v>
      </c>
      <c r="AH121">
        <v>4.0079379374480339</v>
      </c>
      <c r="AI121">
        <v>3.932553524831456</v>
      </c>
      <c r="AJ121">
        <v>3.932553524831456</v>
      </c>
      <c r="AK121">
        <v>0.30695768636211301</v>
      </c>
      <c r="AL121">
        <v>0.3119529750961097</v>
      </c>
      <c r="AM121">
        <v>0.32059960928321413</v>
      </c>
      <c r="AN121">
        <v>0.3297392386549331</v>
      </c>
      <c r="AO121">
        <v>0.3297392386549331</v>
      </c>
      <c r="AP121">
        <v>0.3297392386549331</v>
      </c>
      <c r="AQ121">
        <v>0.3297392386549331</v>
      </c>
      <c r="AR121">
        <v>0.3297392386549331</v>
      </c>
      <c r="AS121">
        <v>0.9</v>
      </c>
      <c r="AT121">
        <v>0.9</v>
      </c>
      <c r="AU121">
        <v>0.9</v>
      </c>
      <c r="AV121">
        <v>0.9</v>
      </c>
      <c r="AW121">
        <v>0.9</v>
      </c>
      <c r="AX121">
        <v>0.9</v>
      </c>
      <c r="AY121">
        <v>0.9</v>
      </c>
      <c r="AZ121">
        <v>0.9</v>
      </c>
    </row>
    <row r="122" spans="1:52" x14ac:dyDescent="0.25">
      <c r="A122" t="s">
        <v>93</v>
      </c>
      <c r="B122" t="s">
        <v>94</v>
      </c>
      <c r="D122">
        <v>2020</v>
      </c>
      <c r="E122" t="s">
        <v>95</v>
      </c>
      <c r="F122" t="s">
        <v>343</v>
      </c>
      <c r="G122" t="s">
        <v>339</v>
      </c>
      <c r="H122" t="s">
        <v>344</v>
      </c>
      <c r="I122">
        <v>1</v>
      </c>
      <c r="K122">
        <v>30</v>
      </c>
      <c r="L122">
        <v>31.536000000000001</v>
      </c>
      <c r="M122">
        <v>3230.2597728266519</v>
      </c>
      <c r="N122">
        <v>3177.4529917887389</v>
      </c>
      <c r="O122">
        <v>3089.5924588841181</v>
      </c>
      <c r="P122">
        <v>3001.6188493605719</v>
      </c>
      <c r="Q122">
        <v>2857.6723134692179</v>
      </c>
      <c r="R122">
        <v>2713.8388541967879</v>
      </c>
      <c r="S122">
        <v>2569.892318305433</v>
      </c>
      <c r="T122">
        <v>2569.892318305433</v>
      </c>
      <c r="U122">
        <v>87.747456285696146</v>
      </c>
      <c r="V122">
        <v>86.8428433342972</v>
      </c>
      <c r="W122">
        <v>84.920540812574487</v>
      </c>
      <c r="X122">
        <v>82.885161671926895</v>
      </c>
      <c r="Y122">
        <v>79.492863104180898</v>
      </c>
      <c r="Z122">
        <v>76.213641155359781</v>
      </c>
      <c r="AA122">
        <v>72.821342587613799</v>
      </c>
      <c r="AB122">
        <v>72.821342587613799</v>
      </c>
      <c r="AC122">
        <v>2.6573005447343552</v>
      </c>
      <c r="AD122">
        <v>2.625890372810781</v>
      </c>
      <c r="AE122">
        <v>2.5693520633483482</v>
      </c>
      <c r="AF122">
        <v>2.5159547710782721</v>
      </c>
      <c r="AG122">
        <v>2.471980530385268</v>
      </c>
      <c r="AH122">
        <v>2.4311473068846232</v>
      </c>
      <c r="AI122">
        <v>2.3871730661916191</v>
      </c>
      <c r="AJ122">
        <v>2.3871730661916191</v>
      </c>
      <c r="AK122">
        <v>0.40190125342770883</v>
      </c>
      <c r="AL122">
        <v>0.40529060952622031</v>
      </c>
      <c r="AM122">
        <v>0.41110140260256012</v>
      </c>
      <c r="AN122">
        <v>0.41703026663422721</v>
      </c>
      <c r="AO122">
        <v>0.41703026663422721</v>
      </c>
      <c r="AP122">
        <v>0.41703026663422721</v>
      </c>
      <c r="AQ122">
        <v>0.41703026663422721</v>
      </c>
      <c r="AR122">
        <v>0.41703026663422721</v>
      </c>
      <c r="AS122">
        <v>0.9</v>
      </c>
      <c r="AT122">
        <v>0.9</v>
      </c>
      <c r="AU122">
        <v>0.9</v>
      </c>
      <c r="AV122">
        <v>0.9</v>
      </c>
      <c r="AW122">
        <v>0.9</v>
      </c>
      <c r="AX122">
        <v>0.9</v>
      </c>
      <c r="AY122">
        <v>0.9</v>
      </c>
      <c r="AZ122">
        <v>0.9</v>
      </c>
    </row>
    <row r="123" spans="1:52" x14ac:dyDescent="0.25">
      <c r="A123" t="s">
        <v>93</v>
      </c>
      <c r="B123" t="s">
        <v>94</v>
      </c>
      <c r="D123">
        <v>2020</v>
      </c>
      <c r="E123" t="s">
        <v>95</v>
      </c>
      <c r="F123" t="s">
        <v>345</v>
      </c>
      <c r="G123" t="s">
        <v>339</v>
      </c>
      <c r="H123" t="s">
        <v>346</v>
      </c>
      <c r="I123">
        <v>1</v>
      </c>
      <c r="K123">
        <v>30</v>
      </c>
      <c r="L123">
        <v>31.536000000000001</v>
      </c>
      <c r="M123">
        <v>5656.5447850975052</v>
      </c>
      <c r="N123">
        <v>5623.0741058957447</v>
      </c>
      <c r="O123">
        <v>5567.3273327657853</v>
      </c>
      <c r="P123">
        <v>5511.6936362547513</v>
      </c>
      <c r="Q123">
        <v>5455.9468631247919</v>
      </c>
      <c r="R123">
        <v>5400.3131666137579</v>
      </c>
      <c r="S123">
        <v>5344.5663934837976</v>
      </c>
      <c r="T123">
        <v>5344.5663934837976</v>
      </c>
      <c r="U123">
        <v>169.72800500622409</v>
      </c>
      <c r="V123">
        <v>169.16262191159981</v>
      </c>
      <c r="W123">
        <v>167.6926258655765</v>
      </c>
      <c r="X123">
        <v>166.1095532006284</v>
      </c>
      <c r="Y123">
        <v>164.63955715460509</v>
      </c>
      <c r="Z123">
        <v>163.05648448965701</v>
      </c>
      <c r="AA123">
        <v>161.58648844363381</v>
      </c>
      <c r="AB123">
        <v>161.58648844363381</v>
      </c>
      <c r="AC123">
        <v>4.639282393111869</v>
      </c>
      <c r="AD123">
        <v>4.6172952727653689</v>
      </c>
      <c r="AE123">
        <v>4.5827440836494384</v>
      </c>
      <c r="AF123">
        <v>4.5481928945335062</v>
      </c>
      <c r="AG123">
        <v>4.5105006882252159</v>
      </c>
      <c r="AH123">
        <v>4.4759494991092863</v>
      </c>
      <c r="AI123">
        <v>4.4413983099933541</v>
      </c>
      <c r="AJ123">
        <v>4.4413983099933541</v>
      </c>
      <c r="AK123">
        <v>0.41070554183934138</v>
      </c>
      <c r="AL123">
        <v>0.41070554183934138</v>
      </c>
      <c r="AM123">
        <v>0.41070554183934138</v>
      </c>
      <c r="AN123">
        <v>0.41070554183934138</v>
      </c>
      <c r="AO123">
        <v>0.41070554183934138</v>
      </c>
      <c r="AP123">
        <v>0.41070554183934138</v>
      </c>
      <c r="AQ123">
        <v>0.41070554183934138</v>
      </c>
      <c r="AR123">
        <v>0.41070554183934138</v>
      </c>
      <c r="AS123">
        <v>0.9</v>
      </c>
      <c r="AT123">
        <v>0.9</v>
      </c>
      <c r="AU123">
        <v>0.9</v>
      </c>
      <c r="AV123">
        <v>0.9</v>
      </c>
      <c r="AW123">
        <v>0.9</v>
      </c>
      <c r="AX123">
        <v>0.9</v>
      </c>
      <c r="AY123">
        <v>0.9</v>
      </c>
      <c r="AZ123">
        <v>0.9</v>
      </c>
    </row>
    <row r="124" spans="1:52" x14ac:dyDescent="0.25">
      <c r="A124" t="s">
        <v>93</v>
      </c>
      <c r="B124" t="s">
        <v>94</v>
      </c>
      <c r="D124">
        <v>2020</v>
      </c>
      <c r="E124" t="s">
        <v>95</v>
      </c>
      <c r="F124" t="s">
        <v>347</v>
      </c>
      <c r="G124" t="s">
        <v>339</v>
      </c>
      <c r="H124" t="s">
        <v>348</v>
      </c>
      <c r="I124">
        <v>1</v>
      </c>
      <c r="K124">
        <v>30</v>
      </c>
      <c r="L124">
        <v>31.536000000000001</v>
      </c>
      <c r="M124">
        <v>2270.1262015356128</v>
      </c>
      <c r="N124">
        <v>2135.451948396098</v>
      </c>
      <c r="O124">
        <v>1910.7687065923881</v>
      </c>
      <c r="P124">
        <v>1686.1985414076039</v>
      </c>
      <c r="Q124">
        <v>1593.701867127063</v>
      </c>
      <c r="R124">
        <v>1501.0921162275979</v>
      </c>
      <c r="S124">
        <v>1408.5954419470579</v>
      </c>
      <c r="T124">
        <v>1408.5954419470579</v>
      </c>
      <c r="U124">
        <v>162.37802477610779</v>
      </c>
      <c r="V124">
        <v>158.7595729705121</v>
      </c>
      <c r="W124">
        <v>152.65343554856929</v>
      </c>
      <c r="X124">
        <v>146.43422150770169</v>
      </c>
      <c r="Y124">
        <v>141.23269703715781</v>
      </c>
      <c r="Z124">
        <v>135.9180959476891</v>
      </c>
      <c r="AA124">
        <v>130.71657147714529</v>
      </c>
      <c r="AB124">
        <v>130.71657147714529</v>
      </c>
      <c r="AC124">
        <v>5.0287685249641871</v>
      </c>
      <c r="AD124">
        <v>4.9376790263858226</v>
      </c>
      <c r="AE124">
        <v>4.7837691839603096</v>
      </c>
      <c r="AF124">
        <v>4.6330003587271564</v>
      </c>
      <c r="AG124">
        <v>4.5670389976876491</v>
      </c>
      <c r="AH124">
        <v>4.4979366194557873</v>
      </c>
      <c r="AI124">
        <v>4.4319752584162817</v>
      </c>
      <c r="AJ124">
        <v>4.4319752584162817</v>
      </c>
      <c r="AK124">
        <v>0.29384616272831959</v>
      </c>
      <c r="AL124">
        <v>0.29603866402925982</v>
      </c>
      <c r="AM124">
        <v>0.29973134588907657</v>
      </c>
      <c r="AN124">
        <v>0.30354431470520837</v>
      </c>
      <c r="AO124">
        <v>0.30354431470520837</v>
      </c>
      <c r="AP124">
        <v>0.30354431470520837</v>
      </c>
      <c r="AQ124">
        <v>0.30354431470520837</v>
      </c>
      <c r="AR124">
        <v>0.30354431470520837</v>
      </c>
      <c r="AS124">
        <v>0.9</v>
      </c>
      <c r="AT124">
        <v>0.9</v>
      </c>
      <c r="AU124">
        <v>0.9</v>
      </c>
      <c r="AV124">
        <v>0.9</v>
      </c>
      <c r="AW124">
        <v>0.9</v>
      </c>
      <c r="AX124">
        <v>0.9</v>
      </c>
      <c r="AY124">
        <v>0.9</v>
      </c>
      <c r="AZ124">
        <v>0.9</v>
      </c>
    </row>
    <row r="125" spans="1:52" x14ac:dyDescent="0.25">
      <c r="A125" t="s">
        <v>93</v>
      </c>
      <c r="B125" t="s">
        <v>94</v>
      </c>
      <c r="D125">
        <v>2020</v>
      </c>
      <c r="E125" t="s">
        <v>95</v>
      </c>
      <c r="F125" t="s">
        <v>349</v>
      </c>
      <c r="G125" t="s">
        <v>339</v>
      </c>
      <c r="H125" t="s">
        <v>350</v>
      </c>
      <c r="I125">
        <v>1</v>
      </c>
      <c r="K125">
        <v>30</v>
      </c>
      <c r="L125">
        <v>31.536000000000001</v>
      </c>
      <c r="M125">
        <v>2372.347465043692</v>
      </c>
      <c r="N125">
        <v>2230.77553814976</v>
      </c>
      <c r="O125">
        <v>1994.6715578346391</v>
      </c>
      <c r="P125">
        <v>1758.6806541384431</v>
      </c>
      <c r="Q125">
        <v>1662.113221576607</v>
      </c>
      <c r="R125">
        <v>1565.6588656336969</v>
      </c>
      <c r="S125">
        <v>1469.2045096907859</v>
      </c>
      <c r="T125">
        <v>1469.2045096907859</v>
      </c>
      <c r="U125">
        <v>166.3357064384781</v>
      </c>
      <c r="V125">
        <v>162.4911013950327</v>
      </c>
      <c r="W125">
        <v>155.93265749739041</v>
      </c>
      <c r="X125">
        <v>149.48729021867311</v>
      </c>
      <c r="Y125">
        <v>144.05961251027949</v>
      </c>
      <c r="Z125">
        <v>138.74501142081081</v>
      </c>
      <c r="AA125">
        <v>133.3173337124172</v>
      </c>
      <c r="AB125">
        <v>133.3173337124172</v>
      </c>
      <c r="AC125">
        <v>5.1449861610814098</v>
      </c>
      <c r="AD125">
        <v>5.0507556453106881</v>
      </c>
      <c r="AE125">
        <v>4.8905637685004608</v>
      </c>
      <c r="AF125">
        <v>4.7303718916902344</v>
      </c>
      <c r="AG125">
        <v>4.6612695134583726</v>
      </c>
      <c r="AH125">
        <v>4.592167135226509</v>
      </c>
      <c r="AI125">
        <v>4.5230647569946463</v>
      </c>
      <c r="AJ125">
        <v>4.5230647569946463</v>
      </c>
      <c r="AK125">
        <v>0.28933618600875499</v>
      </c>
      <c r="AL125">
        <v>0.2916360377436964</v>
      </c>
      <c r="AM125">
        <v>0.29552586537339759</v>
      </c>
      <c r="AN125">
        <v>0.29952086039336812</v>
      </c>
      <c r="AO125">
        <v>0.29952086039336812</v>
      </c>
      <c r="AP125">
        <v>0.29952086039336812</v>
      </c>
      <c r="AQ125">
        <v>0.29952086039336812</v>
      </c>
      <c r="AR125">
        <v>0.29952086039336812</v>
      </c>
      <c r="AS125">
        <v>0.9</v>
      </c>
      <c r="AT125">
        <v>0.9</v>
      </c>
      <c r="AU125">
        <v>0.9</v>
      </c>
      <c r="AV125">
        <v>0.9</v>
      </c>
      <c r="AW125">
        <v>0.9</v>
      </c>
      <c r="AX125">
        <v>0.9</v>
      </c>
      <c r="AY125">
        <v>0.9</v>
      </c>
      <c r="AZ125">
        <v>0.9</v>
      </c>
    </row>
    <row r="126" spans="1:52" x14ac:dyDescent="0.25">
      <c r="A126" t="s">
        <v>93</v>
      </c>
      <c r="B126" t="s">
        <v>94</v>
      </c>
      <c r="D126">
        <v>2020</v>
      </c>
      <c r="E126" t="s">
        <v>95</v>
      </c>
      <c r="F126" t="s">
        <v>351</v>
      </c>
      <c r="G126" t="s">
        <v>352</v>
      </c>
      <c r="H126" t="s">
        <v>353</v>
      </c>
      <c r="I126">
        <v>1</v>
      </c>
      <c r="K126">
        <v>30</v>
      </c>
      <c r="L126">
        <v>31.536000000000001</v>
      </c>
      <c r="M126">
        <v>1133.7061813407081</v>
      </c>
      <c r="N126">
        <v>1106.7939460365899</v>
      </c>
      <c r="O126">
        <v>1062.0156049423431</v>
      </c>
      <c r="P126">
        <v>1017.2372638480959</v>
      </c>
      <c r="Q126">
        <v>972.34584613492405</v>
      </c>
      <c r="R126">
        <v>927.56750504067713</v>
      </c>
      <c r="S126">
        <v>882.78916394642999</v>
      </c>
      <c r="T126">
        <v>882.78916394642999</v>
      </c>
      <c r="U126">
        <v>27.138388541967881</v>
      </c>
      <c r="V126">
        <v>26.686082066268408</v>
      </c>
      <c r="W126">
        <v>25.894545733794349</v>
      </c>
      <c r="X126">
        <v>25.21608602024515</v>
      </c>
      <c r="Y126">
        <v>24.424549687771091</v>
      </c>
      <c r="Z126">
        <v>23.633013355297031</v>
      </c>
      <c r="AA126">
        <v>22.954553641747829</v>
      </c>
      <c r="AB126">
        <v>22.954553641747829</v>
      </c>
      <c r="AC126">
        <v>2.0228150718781621</v>
      </c>
      <c r="AD126">
        <v>2.0228150718781621</v>
      </c>
      <c r="AE126">
        <v>2.0228150718781621</v>
      </c>
      <c r="AF126">
        <v>2.0228150718781621</v>
      </c>
      <c r="AG126">
        <v>2.0228150718781621</v>
      </c>
      <c r="AH126">
        <v>2.0228150718781621</v>
      </c>
      <c r="AI126">
        <v>2.0228150718781621</v>
      </c>
      <c r="AJ126">
        <v>2.0228150718781621</v>
      </c>
      <c r="AK126">
        <v>0.35115175893807221</v>
      </c>
      <c r="AL126">
        <v>0.35115175893807221</v>
      </c>
      <c r="AM126">
        <v>0.35115175893807221</v>
      </c>
      <c r="AN126">
        <v>0.35115175893807221</v>
      </c>
      <c r="AO126">
        <v>0.35115175893807221</v>
      </c>
      <c r="AP126">
        <v>0.35115175893807221</v>
      </c>
      <c r="AQ126">
        <v>0.35115175893807221</v>
      </c>
      <c r="AR126">
        <v>0.35115175893807221</v>
      </c>
      <c r="AS126">
        <v>0.9</v>
      </c>
      <c r="AT126">
        <v>0.9</v>
      </c>
      <c r="AU126">
        <v>0.9</v>
      </c>
      <c r="AV126">
        <v>0.9</v>
      </c>
      <c r="AW126">
        <v>0.9</v>
      </c>
      <c r="AX126">
        <v>0.9</v>
      </c>
      <c r="AY126">
        <v>0.9</v>
      </c>
      <c r="AZ126">
        <v>0.9</v>
      </c>
    </row>
    <row r="127" spans="1:52" x14ac:dyDescent="0.25">
      <c r="A127" t="s">
        <v>93</v>
      </c>
      <c r="B127" t="s">
        <v>94</v>
      </c>
      <c r="D127">
        <v>2020</v>
      </c>
      <c r="E127" t="s">
        <v>95</v>
      </c>
      <c r="F127" t="s">
        <v>354</v>
      </c>
      <c r="G127" t="s">
        <v>352</v>
      </c>
      <c r="H127" t="s">
        <v>355</v>
      </c>
      <c r="I127">
        <v>1</v>
      </c>
      <c r="K127">
        <v>30</v>
      </c>
      <c r="L127">
        <v>31.536000000000001</v>
      </c>
      <c r="M127">
        <v>1262.3873736772059</v>
      </c>
      <c r="N127">
        <v>1229.70823080792</v>
      </c>
      <c r="O127">
        <v>1175.2053004861341</v>
      </c>
      <c r="P127">
        <v>1120.7023701643479</v>
      </c>
      <c r="Q127">
        <v>1074.5671096430031</v>
      </c>
      <c r="R127">
        <v>1028.4318491216579</v>
      </c>
      <c r="S127">
        <v>982.40966521923724</v>
      </c>
      <c r="T127">
        <v>982.40966521923724</v>
      </c>
      <c r="U127">
        <v>35.166828485633367</v>
      </c>
      <c r="V127">
        <v>34.149138915309578</v>
      </c>
      <c r="W127">
        <v>32.452989631436587</v>
      </c>
      <c r="X127">
        <v>30.643763728638721</v>
      </c>
      <c r="Y127">
        <v>29.51299753939006</v>
      </c>
      <c r="Z127">
        <v>28.382231350141399</v>
      </c>
      <c r="AA127">
        <v>27.251465160892739</v>
      </c>
      <c r="AB127">
        <v>27.251465160892739</v>
      </c>
      <c r="AC127">
        <v>0.61563936970204913</v>
      </c>
      <c r="AD127">
        <v>0.59993428374026214</v>
      </c>
      <c r="AE127">
        <v>0.5779471633937604</v>
      </c>
      <c r="AF127">
        <v>0.55596004304725855</v>
      </c>
      <c r="AG127">
        <v>0.54025495708547167</v>
      </c>
      <c r="AH127">
        <v>0.52454987112368467</v>
      </c>
      <c r="AI127">
        <v>0.50884478516189779</v>
      </c>
      <c r="AJ127">
        <v>0.50884478516189779</v>
      </c>
      <c r="AK127">
        <v>0.5362473112684657</v>
      </c>
      <c r="AL127">
        <v>0.54023775199513113</v>
      </c>
      <c r="AM127">
        <v>0.54699288900308551</v>
      </c>
      <c r="AN127">
        <v>0.55400903419406522</v>
      </c>
      <c r="AO127">
        <v>0.55400903419406522</v>
      </c>
      <c r="AP127">
        <v>0.55400903419406522</v>
      </c>
      <c r="AQ127">
        <v>0.55400903419406522</v>
      </c>
      <c r="AR127">
        <v>0.55400903419406522</v>
      </c>
      <c r="AS127">
        <v>0.9</v>
      </c>
      <c r="AT127">
        <v>0.9</v>
      </c>
      <c r="AU127">
        <v>0.9</v>
      </c>
      <c r="AV127">
        <v>0.9</v>
      </c>
      <c r="AW127">
        <v>0.9</v>
      </c>
      <c r="AX127">
        <v>0.9</v>
      </c>
      <c r="AY127">
        <v>0.9</v>
      </c>
      <c r="AZ127">
        <v>0.9</v>
      </c>
    </row>
    <row r="128" spans="1:52" x14ac:dyDescent="0.25">
      <c r="A128" t="s">
        <v>93</v>
      </c>
      <c r="B128" t="s">
        <v>94</v>
      </c>
      <c r="D128">
        <v>2020</v>
      </c>
      <c r="E128" t="s">
        <v>95</v>
      </c>
      <c r="F128" t="s">
        <v>356</v>
      </c>
      <c r="G128" t="s">
        <v>352</v>
      </c>
      <c r="H128" t="s">
        <v>357</v>
      </c>
      <c r="I128">
        <v>1</v>
      </c>
      <c r="K128">
        <v>30</v>
      </c>
      <c r="L128">
        <v>31.536000000000001</v>
      </c>
      <c r="M128">
        <v>2692.919679695688</v>
      </c>
      <c r="N128">
        <v>2538.796248101095</v>
      </c>
      <c r="O128">
        <v>2281.8861699037989</v>
      </c>
      <c r="P128">
        <v>2024.976091706503</v>
      </c>
      <c r="Q128">
        <v>1909.2987105463651</v>
      </c>
      <c r="R128">
        <v>1793.7344060051521</v>
      </c>
      <c r="S128">
        <v>1678.1701014639391</v>
      </c>
      <c r="T128">
        <v>1678.1701014639391</v>
      </c>
      <c r="U128">
        <v>72.029806255139732</v>
      </c>
      <c r="V128">
        <v>67.959047973844562</v>
      </c>
      <c r="W128">
        <v>61.061374219427726</v>
      </c>
      <c r="X128">
        <v>54.163700465010891</v>
      </c>
      <c r="Y128">
        <v>51.336784991889232</v>
      </c>
      <c r="Z128">
        <v>48.50986951876758</v>
      </c>
      <c r="AA128">
        <v>45.682954045645928</v>
      </c>
      <c r="AB128">
        <v>45.682954045645928</v>
      </c>
      <c r="AC128">
        <v>1.4542909600614731</v>
      </c>
      <c r="AD128">
        <v>1.388329599021968</v>
      </c>
      <c r="AE128">
        <v>1.275252980097102</v>
      </c>
      <c r="AF128">
        <v>1.1653173783645929</v>
      </c>
      <c r="AG128">
        <v>1.124484154863947</v>
      </c>
      <c r="AH128">
        <v>1.0836509313633009</v>
      </c>
      <c r="AI128">
        <v>1.042817707862655</v>
      </c>
      <c r="AJ128">
        <v>1.042817707862655</v>
      </c>
      <c r="AK128">
        <v>0.47259579523562989</v>
      </c>
      <c r="AL128">
        <v>0.47829291303633981</v>
      </c>
      <c r="AM128">
        <v>0.48814615759674501</v>
      </c>
      <c r="AN128">
        <v>0.49834111897199468</v>
      </c>
      <c r="AO128">
        <v>0.49834111897199468</v>
      </c>
      <c r="AP128">
        <v>0.49834111897199468</v>
      </c>
      <c r="AQ128">
        <v>0.49834111897199468</v>
      </c>
      <c r="AR128">
        <v>0.49834111897199468</v>
      </c>
      <c r="AS128">
        <v>0.9</v>
      </c>
      <c r="AT128">
        <v>0.9</v>
      </c>
      <c r="AU128">
        <v>0.9</v>
      </c>
      <c r="AV128">
        <v>0.9</v>
      </c>
      <c r="AW128">
        <v>0.9</v>
      </c>
      <c r="AX128">
        <v>0.9</v>
      </c>
      <c r="AY128">
        <v>0.9</v>
      </c>
      <c r="AZ128">
        <v>0.9</v>
      </c>
    </row>
    <row r="129" spans="1:52" x14ac:dyDescent="0.25">
      <c r="A129" t="s">
        <v>93</v>
      </c>
      <c r="B129" t="s">
        <v>94</v>
      </c>
      <c r="D129">
        <v>2020</v>
      </c>
      <c r="E129" t="s">
        <v>95</v>
      </c>
      <c r="F129" t="s">
        <v>358</v>
      </c>
      <c r="G129" t="s">
        <v>352</v>
      </c>
      <c r="H129" t="s">
        <v>359</v>
      </c>
      <c r="I129">
        <v>1</v>
      </c>
      <c r="K129">
        <v>30</v>
      </c>
      <c r="L129">
        <v>31.536000000000001</v>
      </c>
      <c r="M129">
        <v>2734.0795689843389</v>
      </c>
      <c r="N129">
        <v>2576.3376855841511</v>
      </c>
      <c r="O129">
        <v>2313.434546583836</v>
      </c>
      <c r="P129">
        <v>2050.5314075835231</v>
      </c>
      <c r="Q129">
        <v>1933.497106996286</v>
      </c>
      <c r="R129">
        <v>1816.46280640905</v>
      </c>
      <c r="S129">
        <v>1699.315429202888</v>
      </c>
      <c r="T129">
        <v>1699.315429202888</v>
      </c>
      <c r="U129">
        <v>73.047495825463542</v>
      </c>
      <c r="V129">
        <v>68.863660925243494</v>
      </c>
      <c r="W129">
        <v>61.852910551901793</v>
      </c>
      <c r="X129">
        <v>54.842160178560093</v>
      </c>
      <c r="Y129">
        <v>52.015244705438427</v>
      </c>
      <c r="Z129">
        <v>49.07525261339191</v>
      </c>
      <c r="AA129">
        <v>46.248337140270259</v>
      </c>
      <c r="AB129">
        <v>46.248337140270259</v>
      </c>
      <c r="AC129">
        <v>1.4794190976003321</v>
      </c>
      <c r="AD129">
        <v>1.41031671936847</v>
      </c>
      <c r="AE129">
        <v>1.2972401004436029</v>
      </c>
      <c r="AF129">
        <v>1.184163481518737</v>
      </c>
      <c r="AG129">
        <v>1.1433302580180911</v>
      </c>
      <c r="AH129">
        <v>1.102497034517445</v>
      </c>
      <c r="AI129">
        <v>1.0616638110167991</v>
      </c>
      <c r="AJ129">
        <v>1.0616638110167991</v>
      </c>
      <c r="AK129">
        <v>0.46999196165306462</v>
      </c>
      <c r="AL129">
        <v>0.47582507901286403</v>
      </c>
      <c r="AM129">
        <v>0.48571411268345172</v>
      </c>
      <c r="AN129">
        <v>0.4960950336727607</v>
      </c>
      <c r="AO129">
        <v>0.4960950336727607</v>
      </c>
      <c r="AP129">
        <v>0.4960950336727607</v>
      </c>
      <c r="AQ129">
        <v>0.4960950336727607</v>
      </c>
      <c r="AR129">
        <v>0.4960950336727607</v>
      </c>
      <c r="AS129">
        <v>0.9</v>
      </c>
      <c r="AT129">
        <v>0.9</v>
      </c>
      <c r="AU129">
        <v>0.9</v>
      </c>
      <c r="AV129">
        <v>0.9</v>
      </c>
      <c r="AW129">
        <v>0.9</v>
      </c>
      <c r="AX129">
        <v>0.9</v>
      </c>
      <c r="AY129">
        <v>0.9</v>
      </c>
      <c r="AZ129">
        <v>0.9</v>
      </c>
    </row>
    <row r="130" spans="1:52" x14ac:dyDescent="0.25">
      <c r="A130" t="s">
        <v>93</v>
      </c>
      <c r="B130" t="s">
        <v>94</v>
      </c>
      <c r="D130">
        <v>2020</v>
      </c>
      <c r="E130" t="s">
        <v>95</v>
      </c>
      <c r="F130" t="s">
        <v>360</v>
      </c>
      <c r="G130" t="s">
        <v>352</v>
      </c>
      <c r="H130" t="s">
        <v>361</v>
      </c>
      <c r="I130">
        <v>1</v>
      </c>
      <c r="K130">
        <v>30</v>
      </c>
      <c r="L130">
        <v>31.536000000000001</v>
      </c>
      <c r="M130">
        <v>1410.630821087705</v>
      </c>
      <c r="N130">
        <v>1322.9964414209339</v>
      </c>
      <c r="O130">
        <v>1176.901449770007</v>
      </c>
      <c r="P130">
        <v>1030.8064581190799</v>
      </c>
      <c r="Q130">
        <v>971.78046304029976</v>
      </c>
      <c r="R130">
        <v>912.86754458044459</v>
      </c>
      <c r="S130">
        <v>853.84154950166442</v>
      </c>
      <c r="T130">
        <v>853.84154950166442</v>
      </c>
      <c r="U130">
        <v>72.934419206538678</v>
      </c>
      <c r="V130">
        <v>70.446733590191627</v>
      </c>
      <c r="W130">
        <v>66.262898689971564</v>
      </c>
      <c r="X130">
        <v>62.192140408676387</v>
      </c>
      <c r="Y130">
        <v>59.252148316629857</v>
      </c>
      <c r="Z130">
        <v>56.312156224583347</v>
      </c>
      <c r="AA130">
        <v>53.372164132536817</v>
      </c>
      <c r="AB130">
        <v>53.372164132536817</v>
      </c>
      <c r="AC130">
        <v>1.4542909600614731</v>
      </c>
      <c r="AD130">
        <v>1.41031671936847</v>
      </c>
      <c r="AE130">
        <v>1.338073323944249</v>
      </c>
      <c r="AF130">
        <v>1.268970945712387</v>
      </c>
      <c r="AG130">
        <v>1.2249967050193831</v>
      </c>
      <c r="AH130">
        <v>1.184163481518737</v>
      </c>
      <c r="AI130">
        <v>1.140189240825733</v>
      </c>
      <c r="AJ130">
        <v>1.140189240825733</v>
      </c>
      <c r="AK130">
        <v>0.47272674447232571</v>
      </c>
      <c r="AL130">
        <v>0.47456768311561159</v>
      </c>
      <c r="AM130">
        <v>0.47769027601865438</v>
      </c>
      <c r="AN130">
        <v>0.48078647901947968</v>
      </c>
      <c r="AO130">
        <v>0.48078647901947968</v>
      </c>
      <c r="AP130">
        <v>0.48078647901947968</v>
      </c>
      <c r="AQ130">
        <v>0.48078647901947968</v>
      </c>
      <c r="AR130">
        <v>0.48078647901947968</v>
      </c>
      <c r="AS130">
        <v>0.9</v>
      </c>
      <c r="AT130">
        <v>0.9</v>
      </c>
      <c r="AU130">
        <v>0.9</v>
      </c>
      <c r="AV130">
        <v>0.9</v>
      </c>
      <c r="AW130">
        <v>0.9</v>
      </c>
      <c r="AX130">
        <v>0.9</v>
      </c>
      <c r="AY130">
        <v>0.9</v>
      </c>
      <c r="AZ130">
        <v>0.9</v>
      </c>
    </row>
    <row r="131" spans="1:52" x14ac:dyDescent="0.25">
      <c r="A131" t="s">
        <v>93</v>
      </c>
      <c r="B131" t="s">
        <v>94</v>
      </c>
      <c r="D131">
        <v>2020</v>
      </c>
      <c r="E131" t="s">
        <v>95</v>
      </c>
      <c r="F131" t="s">
        <v>362</v>
      </c>
      <c r="G131" t="s">
        <v>352</v>
      </c>
      <c r="H131" t="s">
        <v>363</v>
      </c>
      <c r="I131">
        <v>1</v>
      </c>
      <c r="K131">
        <v>30</v>
      </c>
      <c r="L131">
        <v>31.536000000000001</v>
      </c>
      <c r="M131">
        <v>1473.2752679720811</v>
      </c>
      <c r="N131">
        <v>1381.23090016724</v>
      </c>
      <c r="O131">
        <v>1227.899004905122</v>
      </c>
      <c r="P131">
        <v>1074.4540330240779</v>
      </c>
      <c r="Q131">
        <v>1012.940352328951</v>
      </c>
      <c r="R131">
        <v>951.53974825274872</v>
      </c>
      <c r="S131">
        <v>890.02606755762156</v>
      </c>
      <c r="T131">
        <v>890.02606755762156</v>
      </c>
      <c r="U131">
        <v>74.630568490411662</v>
      </c>
      <c r="V131">
        <v>72.029806255139732</v>
      </c>
      <c r="W131">
        <v>67.732894735994833</v>
      </c>
      <c r="X131">
        <v>63.435983216849912</v>
      </c>
      <c r="Y131">
        <v>60.382914505878517</v>
      </c>
      <c r="Z131">
        <v>57.329845794907143</v>
      </c>
      <c r="AA131">
        <v>54.38985370286062</v>
      </c>
      <c r="AB131">
        <v>54.38985370286062</v>
      </c>
      <c r="AC131">
        <v>1.491983166369762</v>
      </c>
      <c r="AD131">
        <v>1.4480089256767581</v>
      </c>
      <c r="AE131">
        <v>1.3726245130601811</v>
      </c>
      <c r="AF131">
        <v>1.2972401004436029</v>
      </c>
      <c r="AG131">
        <v>1.2564068769429571</v>
      </c>
      <c r="AH131">
        <v>1.212432636249954</v>
      </c>
      <c r="AI131">
        <v>1.1684583955569501</v>
      </c>
      <c r="AJ131">
        <v>1.1684583955569501</v>
      </c>
      <c r="AK131">
        <v>0.46934548027527501</v>
      </c>
      <c r="AL131">
        <v>0.47122519563613419</v>
      </c>
      <c r="AM131">
        <v>0.47450168844406182</v>
      </c>
      <c r="AN131">
        <v>0.47782406408083578</v>
      </c>
      <c r="AO131">
        <v>0.47782406408083578</v>
      </c>
      <c r="AP131">
        <v>0.47782406408083578</v>
      </c>
      <c r="AQ131">
        <v>0.47782406408083578</v>
      </c>
      <c r="AR131">
        <v>0.47782406408083578</v>
      </c>
      <c r="AS131">
        <v>0.9</v>
      </c>
      <c r="AT131">
        <v>0.9</v>
      </c>
      <c r="AU131">
        <v>0.9</v>
      </c>
      <c r="AV131">
        <v>0.9</v>
      </c>
      <c r="AW131">
        <v>0.9</v>
      </c>
      <c r="AX131">
        <v>0.9</v>
      </c>
      <c r="AY131">
        <v>0.9</v>
      </c>
      <c r="AZ131">
        <v>0.9</v>
      </c>
    </row>
    <row r="132" spans="1:52" x14ac:dyDescent="0.25">
      <c r="A132" t="s">
        <v>93</v>
      </c>
      <c r="B132" t="s">
        <v>94</v>
      </c>
      <c r="D132">
        <v>2020</v>
      </c>
      <c r="E132" t="s">
        <v>95</v>
      </c>
      <c r="F132" t="s">
        <v>364</v>
      </c>
      <c r="G132" t="s">
        <v>352</v>
      </c>
      <c r="H132" t="s">
        <v>365</v>
      </c>
      <c r="I132">
        <v>1</v>
      </c>
      <c r="K132">
        <v>30</v>
      </c>
      <c r="L132">
        <v>31.536000000000001</v>
      </c>
      <c r="M132">
        <v>1298.3457384953131</v>
      </c>
      <c r="N132">
        <v>1261.143530869032</v>
      </c>
      <c r="O132">
        <v>1199.064467079281</v>
      </c>
      <c r="P132">
        <v>1137.098479908454</v>
      </c>
      <c r="Q132">
        <v>1090.397836292484</v>
      </c>
      <c r="R132">
        <v>1043.5841160575901</v>
      </c>
      <c r="S132">
        <v>996.88347244162003</v>
      </c>
      <c r="T132">
        <v>996.88347244162003</v>
      </c>
      <c r="U132">
        <v>34.82759862885878</v>
      </c>
      <c r="V132">
        <v>33.809909058534977</v>
      </c>
      <c r="W132">
        <v>32.113759774661993</v>
      </c>
      <c r="X132">
        <v>30.417610490788999</v>
      </c>
      <c r="Y132">
        <v>29.286844301540341</v>
      </c>
      <c r="Z132">
        <v>28.156078112291681</v>
      </c>
      <c r="AA132">
        <v>27.025311923043009</v>
      </c>
      <c r="AB132">
        <v>27.025311923043009</v>
      </c>
      <c r="AC132">
        <v>0.61563936970204913</v>
      </c>
      <c r="AD132">
        <v>0.59993428374026214</v>
      </c>
      <c r="AE132">
        <v>0.5779471633937604</v>
      </c>
      <c r="AF132">
        <v>0.55596004304725855</v>
      </c>
      <c r="AG132">
        <v>0.54025495708547167</v>
      </c>
      <c r="AH132">
        <v>0.5214088539313273</v>
      </c>
      <c r="AI132">
        <v>0.50570376796954042</v>
      </c>
      <c r="AJ132">
        <v>0.50570376796954042</v>
      </c>
      <c r="AK132">
        <v>0.55070071684978195</v>
      </c>
      <c r="AL132">
        <v>0.55320065525312057</v>
      </c>
      <c r="AM132">
        <v>0.5573573409998771</v>
      </c>
      <c r="AN132">
        <v>0.56166940602489668</v>
      </c>
      <c r="AO132">
        <v>0.56166940602489668</v>
      </c>
      <c r="AP132">
        <v>0.56166940602489668</v>
      </c>
      <c r="AQ132">
        <v>0.56166940602489668</v>
      </c>
      <c r="AR132">
        <v>0.56166940602489668</v>
      </c>
      <c r="AS132">
        <v>0.9</v>
      </c>
      <c r="AT132">
        <v>0.9</v>
      </c>
      <c r="AU132">
        <v>0.9</v>
      </c>
      <c r="AV132">
        <v>0.9</v>
      </c>
      <c r="AW132">
        <v>0.9</v>
      </c>
      <c r="AX132">
        <v>0.9</v>
      </c>
      <c r="AY132">
        <v>0.9</v>
      </c>
      <c r="AZ132">
        <v>0.9</v>
      </c>
    </row>
    <row r="133" spans="1:52" x14ac:dyDescent="0.25">
      <c r="A133" t="s">
        <v>93</v>
      </c>
      <c r="B133" t="s">
        <v>94</v>
      </c>
      <c r="D133">
        <v>2020</v>
      </c>
      <c r="E133" t="s">
        <v>95</v>
      </c>
      <c r="F133" t="s">
        <v>366</v>
      </c>
      <c r="G133" t="s">
        <v>352</v>
      </c>
      <c r="H133" t="s">
        <v>367</v>
      </c>
      <c r="I133">
        <v>1</v>
      </c>
      <c r="K133">
        <v>30</v>
      </c>
      <c r="L133">
        <v>31.536000000000001</v>
      </c>
      <c r="M133">
        <v>2561.5246485049929</v>
      </c>
      <c r="N133">
        <v>2424.3627097491299</v>
      </c>
      <c r="O133">
        <v>2195.8348629019761</v>
      </c>
      <c r="P133">
        <v>1967.420092673746</v>
      </c>
      <c r="Q133">
        <v>1854.9088568435041</v>
      </c>
      <c r="R133">
        <v>1742.397621013263</v>
      </c>
      <c r="S133">
        <v>1629.886385183021</v>
      </c>
      <c r="T133">
        <v>1629.886385183021</v>
      </c>
      <c r="U133">
        <v>67.054435022445631</v>
      </c>
      <c r="V133">
        <v>63.549059835774777</v>
      </c>
      <c r="W133">
        <v>57.782152270606609</v>
      </c>
      <c r="X133">
        <v>51.902168086513562</v>
      </c>
      <c r="Y133">
        <v>49.188329232316782</v>
      </c>
      <c r="Z133">
        <v>46.361413759195123</v>
      </c>
      <c r="AA133">
        <v>43.647574904998343</v>
      </c>
      <c r="AB133">
        <v>43.647574904998343</v>
      </c>
      <c r="AC133">
        <v>1.382047564637253</v>
      </c>
      <c r="AD133">
        <v>1.32550925517482</v>
      </c>
      <c r="AE133">
        <v>1.2281377222117409</v>
      </c>
      <c r="AF133">
        <v>1.1339072064410189</v>
      </c>
      <c r="AG133">
        <v>1.0930739829403731</v>
      </c>
      <c r="AH133">
        <v>1.0522407594397269</v>
      </c>
      <c r="AI133">
        <v>1.014548553131438</v>
      </c>
      <c r="AJ133">
        <v>1.014548553131438</v>
      </c>
      <c r="AK133">
        <v>0.4869618440989365</v>
      </c>
      <c r="AL133">
        <v>0.49130909166324671</v>
      </c>
      <c r="AM133">
        <v>0.49863241876388242</v>
      </c>
      <c r="AN133">
        <v>0.50625246908030386</v>
      </c>
      <c r="AO133">
        <v>0.50625246908030386</v>
      </c>
      <c r="AP133">
        <v>0.50625246908030386</v>
      </c>
      <c r="AQ133">
        <v>0.50625246908030386</v>
      </c>
      <c r="AR133">
        <v>0.50625246908030386</v>
      </c>
      <c r="AS133">
        <v>0.9</v>
      </c>
      <c r="AT133">
        <v>0.9</v>
      </c>
      <c r="AU133">
        <v>0.9</v>
      </c>
      <c r="AV133">
        <v>0.9</v>
      </c>
      <c r="AW133">
        <v>0.9</v>
      </c>
      <c r="AX133">
        <v>0.9</v>
      </c>
      <c r="AY133">
        <v>0.9</v>
      </c>
      <c r="AZ133">
        <v>0.9</v>
      </c>
    </row>
    <row r="134" spans="1:52" x14ac:dyDescent="0.25">
      <c r="A134" t="s">
        <v>93</v>
      </c>
      <c r="B134" t="s">
        <v>94</v>
      </c>
      <c r="D134">
        <v>2020</v>
      </c>
      <c r="E134" t="s">
        <v>95</v>
      </c>
      <c r="F134" t="s">
        <v>368</v>
      </c>
      <c r="G134" t="s">
        <v>352</v>
      </c>
      <c r="H134" t="s">
        <v>369</v>
      </c>
      <c r="I134">
        <v>1</v>
      </c>
      <c r="K134">
        <v>30</v>
      </c>
      <c r="L134">
        <v>31.536000000000001</v>
      </c>
      <c r="M134">
        <v>2598.16147303665</v>
      </c>
      <c r="N134">
        <v>2458.0595421887401</v>
      </c>
      <c r="O134">
        <v>2224.5563241088921</v>
      </c>
      <c r="P134">
        <v>1991.053106029043</v>
      </c>
      <c r="Q134">
        <v>1877.1849507717029</v>
      </c>
      <c r="R134">
        <v>1763.3167955143631</v>
      </c>
      <c r="S134">
        <v>1649.561716875947</v>
      </c>
      <c r="T134">
        <v>1649.561716875947</v>
      </c>
      <c r="U134">
        <v>67.959047973844562</v>
      </c>
      <c r="V134">
        <v>64.453672787173716</v>
      </c>
      <c r="W134">
        <v>58.460611984155797</v>
      </c>
      <c r="X134">
        <v>52.467551181137893</v>
      </c>
      <c r="Y134">
        <v>49.753712326941113</v>
      </c>
      <c r="Z134">
        <v>46.926796853819447</v>
      </c>
      <c r="AA134">
        <v>44.099881380697802</v>
      </c>
      <c r="AB134">
        <v>44.099881380697802</v>
      </c>
      <c r="AC134">
        <v>1.407175702176112</v>
      </c>
      <c r="AD134">
        <v>1.3474963755213221</v>
      </c>
      <c r="AE134">
        <v>1.250124842558243</v>
      </c>
      <c r="AF134">
        <v>1.149612292402806</v>
      </c>
      <c r="AG134">
        <v>1.1119200860945171</v>
      </c>
      <c r="AH134">
        <v>1.071086862593871</v>
      </c>
      <c r="AI134">
        <v>1.0302536390932251</v>
      </c>
      <c r="AJ134">
        <v>1.0302536390932251</v>
      </c>
      <c r="AK134">
        <v>0.48433522237065257</v>
      </c>
      <c r="AL134">
        <v>0.48870547717004409</v>
      </c>
      <c r="AM134">
        <v>0.496239331239274</v>
      </c>
      <c r="AN134">
        <v>0.50393466867541692</v>
      </c>
      <c r="AO134">
        <v>0.50393466867541692</v>
      </c>
      <c r="AP134">
        <v>0.50393466867541692</v>
      </c>
      <c r="AQ134">
        <v>0.50393466867541692</v>
      </c>
      <c r="AR134">
        <v>0.50393466867541692</v>
      </c>
      <c r="AS134">
        <v>0.9</v>
      </c>
      <c r="AT134">
        <v>0.9</v>
      </c>
      <c r="AU134">
        <v>0.9</v>
      </c>
      <c r="AV134">
        <v>0.9</v>
      </c>
      <c r="AW134">
        <v>0.9</v>
      </c>
      <c r="AX134">
        <v>0.9</v>
      </c>
      <c r="AY134">
        <v>0.9</v>
      </c>
      <c r="AZ134">
        <v>0.9</v>
      </c>
    </row>
    <row r="135" spans="1:52" x14ac:dyDescent="0.25">
      <c r="A135" t="s">
        <v>93</v>
      </c>
      <c r="B135" t="s">
        <v>94</v>
      </c>
      <c r="D135">
        <v>2020</v>
      </c>
      <c r="E135" t="s">
        <v>95</v>
      </c>
      <c r="F135" t="s">
        <v>370</v>
      </c>
      <c r="G135" t="s">
        <v>352</v>
      </c>
      <c r="H135" t="s">
        <v>371</v>
      </c>
      <c r="I135">
        <v>1</v>
      </c>
      <c r="K135">
        <v>30</v>
      </c>
      <c r="L135">
        <v>31.536000000000001</v>
      </c>
      <c r="M135">
        <v>1226.0897790023239</v>
      </c>
      <c r="N135">
        <v>1149.9892144658891</v>
      </c>
      <c r="O135">
        <v>1023.230324651114</v>
      </c>
      <c r="P135">
        <v>896.47143483633897</v>
      </c>
      <c r="Q135">
        <v>845.13464984444965</v>
      </c>
      <c r="R135">
        <v>793.79786485256045</v>
      </c>
      <c r="S135">
        <v>742.46107986067125</v>
      </c>
      <c r="T135">
        <v>742.46107986067125</v>
      </c>
      <c r="U135">
        <v>67.845971354919698</v>
      </c>
      <c r="V135">
        <v>65.584438976422376</v>
      </c>
      <c r="W135">
        <v>61.965987170826658</v>
      </c>
      <c r="X135">
        <v>58.234458746306068</v>
      </c>
      <c r="Y135">
        <v>55.407543273184423</v>
      </c>
      <c r="Z135">
        <v>52.580627800062757</v>
      </c>
      <c r="AA135">
        <v>49.753712326941113</v>
      </c>
      <c r="AB135">
        <v>49.753712326941113</v>
      </c>
      <c r="AC135">
        <v>1.382047564637253</v>
      </c>
      <c r="AD135">
        <v>1.344355358328964</v>
      </c>
      <c r="AE135">
        <v>1.2783939972894589</v>
      </c>
      <c r="AF135">
        <v>1.212432636249954</v>
      </c>
      <c r="AG135">
        <v>1.1715994127493079</v>
      </c>
      <c r="AH135">
        <v>1.130766189248662</v>
      </c>
      <c r="AI135">
        <v>1.089932965748015</v>
      </c>
      <c r="AJ135">
        <v>1.089932965748015</v>
      </c>
      <c r="AK135">
        <v>0.48737918034584321</v>
      </c>
      <c r="AL135">
        <v>0.48926607995429411</v>
      </c>
      <c r="AM135">
        <v>0.49244359093682322</v>
      </c>
      <c r="AN135">
        <v>0.49566264404434163</v>
      </c>
      <c r="AO135">
        <v>0.49566264404434163</v>
      </c>
      <c r="AP135">
        <v>0.49566264404434163</v>
      </c>
      <c r="AQ135">
        <v>0.49566264404434163</v>
      </c>
      <c r="AR135">
        <v>0.49566264404434163</v>
      </c>
      <c r="AS135">
        <v>0.9</v>
      </c>
      <c r="AT135">
        <v>0.9</v>
      </c>
      <c r="AU135">
        <v>0.9</v>
      </c>
      <c r="AV135">
        <v>0.9</v>
      </c>
      <c r="AW135">
        <v>0.9</v>
      </c>
      <c r="AX135">
        <v>0.9</v>
      </c>
      <c r="AY135">
        <v>0.9</v>
      </c>
      <c r="AZ135">
        <v>0.9</v>
      </c>
    </row>
    <row r="136" spans="1:52" x14ac:dyDescent="0.25">
      <c r="A136" t="s">
        <v>93</v>
      </c>
      <c r="B136" t="s">
        <v>94</v>
      </c>
      <c r="D136">
        <v>2020</v>
      </c>
      <c r="E136" t="s">
        <v>95</v>
      </c>
      <c r="F136" t="s">
        <v>372</v>
      </c>
      <c r="G136" t="s">
        <v>352</v>
      </c>
      <c r="H136" t="s">
        <v>373</v>
      </c>
      <c r="I136">
        <v>1</v>
      </c>
      <c r="K136">
        <v>30</v>
      </c>
      <c r="L136">
        <v>31.536000000000001</v>
      </c>
      <c r="M136">
        <v>1280.8188625619589</v>
      </c>
      <c r="N136">
        <v>1200.8736929820791</v>
      </c>
      <c r="O136">
        <v>1067.6694358885859</v>
      </c>
      <c r="P136">
        <v>934.46517879509395</v>
      </c>
      <c r="Q136">
        <v>880.97993804363227</v>
      </c>
      <c r="R136">
        <v>827.4946972921706</v>
      </c>
      <c r="S136">
        <v>774.00945654070881</v>
      </c>
      <c r="T136">
        <v>774.00945654070881</v>
      </c>
      <c r="U136">
        <v>69.315967400942952</v>
      </c>
      <c r="V136">
        <v>67.054435022445631</v>
      </c>
      <c r="W136">
        <v>63.209829979000183</v>
      </c>
      <c r="X136">
        <v>59.365224935554743</v>
      </c>
      <c r="Y136">
        <v>56.425232843508212</v>
      </c>
      <c r="Z136">
        <v>53.598317370386553</v>
      </c>
      <c r="AA136">
        <v>50.658325278340037</v>
      </c>
      <c r="AB136">
        <v>50.658325278340037</v>
      </c>
      <c r="AC136">
        <v>1.4165987537531839</v>
      </c>
      <c r="AD136">
        <v>1.375765530252538</v>
      </c>
      <c r="AE136">
        <v>1.3098041692130331</v>
      </c>
      <c r="AF136">
        <v>1.2407017909811699</v>
      </c>
      <c r="AG136">
        <v>1.1998685674805241</v>
      </c>
      <c r="AH136">
        <v>1.159035343979878</v>
      </c>
      <c r="AI136">
        <v>1.1182021204792321</v>
      </c>
      <c r="AJ136">
        <v>1.1182021204792321</v>
      </c>
      <c r="AK136">
        <v>0.48392308064122069</v>
      </c>
      <c r="AL136">
        <v>0.48592162369713021</v>
      </c>
      <c r="AM136">
        <v>0.48926607995429411</v>
      </c>
      <c r="AN136">
        <v>0.49272803488826677</v>
      </c>
      <c r="AO136">
        <v>0.49272803488826677</v>
      </c>
      <c r="AP136">
        <v>0.49272803488826677</v>
      </c>
      <c r="AQ136">
        <v>0.49272803488826677</v>
      </c>
      <c r="AR136">
        <v>0.49272803488826677</v>
      </c>
      <c r="AS136">
        <v>0.9</v>
      </c>
      <c r="AT136">
        <v>0.9</v>
      </c>
      <c r="AU136">
        <v>0.9</v>
      </c>
      <c r="AV136">
        <v>0.9</v>
      </c>
      <c r="AW136">
        <v>0.9</v>
      </c>
      <c r="AX136">
        <v>0.9</v>
      </c>
      <c r="AY136">
        <v>0.9</v>
      </c>
      <c r="AZ136">
        <v>0.9</v>
      </c>
    </row>
    <row r="137" spans="1:52" x14ac:dyDescent="0.25">
      <c r="A137" t="s">
        <v>93</v>
      </c>
      <c r="B137" t="s">
        <v>374</v>
      </c>
      <c r="D137">
        <v>2020</v>
      </c>
      <c r="E137" t="s">
        <v>107</v>
      </c>
      <c r="F137" t="s">
        <v>375</v>
      </c>
      <c r="G137" t="s">
        <v>248</v>
      </c>
      <c r="H137" t="s">
        <v>376</v>
      </c>
      <c r="I137">
        <v>1</v>
      </c>
      <c r="J137">
        <v>233.39318333333341</v>
      </c>
      <c r="K137">
        <v>30</v>
      </c>
      <c r="L137">
        <v>31.536000000000001</v>
      </c>
      <c r="M137">
        <v>4917.4184525969313</v>
      </c>
      <c r="N137">
        <v>4821.6848284228936</v>
      </c>
      <c r="O137">
        <v>2984.1897708938181</v>
      </c>
      <c r="P137">
        <v>2539.1896953994678</v>
      </c>
      <c r="Q137">
        <v>2093.9800186842722</v>
      </c>
      <c r="R137">
        <v>1896.095935565756</v>
      </c>
      <c r="S137">
        <v>1698.211852447241</v>
      </c>
      <c r="T137">
        <v>1698.211852447241</v>
      </c>
      <c r="U137">
        <v>41.27117929699714</v>
      </c>
      <c r="V137">
        <v>40.608188464916751</v>
      </c>
      <c r="W137">
        <v>39.779449924816397</v>
      </c>
      <c r="X137">
        <v>39.157896019741258</v>
      </c>
      <c r="Y137">
        <v>38.536342114665999</v>
      </c>
      <c r="Z137">
        <v>37.914788209590739</v>
      </c>
      <c r="AA137">
        <v>37.293234304515479</v>
      </c>
      <c r="AB137">
        <v>37.293234304515479</v>
      </c>
      <c r="AS137">
        <v>0.1269585</v>
      </c>
      <c r="AT137">
        <v>0.1691445</v>
      </c>
      <c r="AU137">
        <v>0.22187699999999999</v>
      </c>
      <c r="AV137">
        <v>0.22187699999999999</v>
      </c>
      <c r="AW137">
        <v>0.22187699999999999</v>
      </c>
      <c r="AX137">
        <v>0.22187699999999999</v>
      </c>
      <c r="AY137">
        <v>0.22187699999999999</v>
      </c>
      <c r="AZ137">
        <v>0.22187699999999999</v>
      </c>
    </row>
    <row r="138" spans="1:52" x14ac:dyDescent="0.25">
      <c r="A138" t="s">
        <v>93</v>
      </c>
      <c r="B138" t="s">
        <v>374</v>
      </c>
      <c r="D138">
        <v>2020</v>
      </c>
      <c r="E138" t="s">
        <v>107</v>
      </c>
      <c r="F138" t="s">
        <v>377</v>
      </c>
      <c r="G138" t="s">
        <v>248</v>
      </c>
      <c r="H138" t="s">
        <v>378</v>
      </c>
      <c r="I138">
        <v>1</v>
      </c>
      <c r="J138">
        <v>233.39318333333341</v>
      </c>
      <c r="K138">
        <v>30</v>
      </c>
      <c r="L138">
        <v>31.536000000000001</v>
      </c>
      <c r="M138">
        <v>4917.4184525969313</v>
      </c>
      <c r="N138">
        <v>4821.6848284228936</v>
      </c>
      <c r="O138">
        <v>2984.1897708938181</v>
      </c>
      <c r="P138">
        <v>2539.1896953994678</v>
      </c>
      <c r="Q138">
        <v>2093.9800186842722</v>
      </c>
      <c r="R138">
        <v>1896.095935565756</v>
      </c>
      <c r="S138">
        <v>1698.211852447241</v>
      </c>
      <c r="T138">
        <v>1698.211852447241</v>
      </c>
      <c r="U138">
        <v>41.27117929699714</v>
      </c>
      <c r="V138">
        <v>40.608188464916751</v>
      </c>
      <c r="W138">
        <v>39.779449924816397</v>
      </c>
      <c r="X138">
        <v>39.157896019741258</v>
      </c>
      <c r="Y138">
        <v>38.536342114665999</v>
      </c>
      <c r="Z138">
        <v>37.914788209590739</v>
      </c>
      <c r="AA138">
        <v>37.293234304515479</v>
      </c>
      <c r="AB138">
        <v>37.293234304515479</v>
      </c>
      <c r="AS138">
        <v>0.45205770000000001</v>
      </c>
      <c r="AT138">
        <v>0.50556449999999997</v>
      </c>
      <c r="AU138">
        <v>0.57244799999999996</v>
      </c>
      <c r="AV138">
        <v>0.57244799999999996</v>
      </c>
      <c r="AW138">
        <v>0.57244799999999996</v>
      </c>
      <c r="AX138">
        <v>0.57244799999999996</v>
      </c>
      <c r="AY138">
        <v>0.57244799999999996</v>
      </c>
      <c r="AZ138">
        <v>0.57244799999999996</v>
      </c>
    </row>
    <row r="139" spans="1:52" x14ac:dyDescent="0.25">
      <c r="A139" t="s">
        <v>93</v>
      </c>
      <c r="B139" t="s">
        <v>374</v>
      </c>
      <c r="D139">
        <v>2020</v>
      </c>
      <c r="E139" t="s">
        <v>107</v>
      </c>
      <c r="F139" t="s">
        <v>379</v>
      </c>
      <c r="G139" t="s">
        <v>248</v>
      </c>
      <c r="H139" t="s">
        <v>380</v>
      </c>
      <c r="I139">
        <v>1</v>
      </c>
      <c r="J139">
        <v>233.39318333333341</v>
      </c>
      <c r="K139">
        <v>30</v>
      </c>
      <c r="L139">
        <v>31.536000000000001</v>
      </c>
      <c r="M139">
        <v>4917.4184525969313</v>
      </c>
      <c r="N139">
        <v>4821.6848284228936</v>
      </c>
      <c r="O139">
        <v>2984.1897708938181</v>
      </c>
      <c r="P139">
        <v>2539.1896953994678</v>
      </c>
      <c r="Q139">
        <v>2093.9800186842722</v>
      </c>
      <c r="R139">
        <v>1896.095935565756</v>
      </c>
      <c r="S139">
        <v>1698.211852447241</v>
      </c>
      <c r="T139">
        <v>1698.211852447241</v>
      </c>
      <c r="U139">
        <v>41.27117929699714</v>
      </c>
      <c r="V139">
        <v>40.608188464916751</v>
      </c>
      <c r="W139">
        <v>39.779449924816397</v>
      </c>
      <c r="X139">
        <v>39.157896019741258</v>
      </c>
      <c r="Y139">
        <v>38.536342114665999</v>
      </c>
      <c r="Z139">
        <v>37.914788209590739</v>
      </c>
      <c r="AA139">
        <v>37.293234304515479</v>
      </c>
      <c r="AB139">
        <v>37.293234304515479</v>
      </c>
      <c r="AS139">
        <v>0.41202549999999999</v>
      </c>
      <c r="AT139">
        <v>0.46773949999999997</v>
      </c>
      <c r="AU139">
        <v>0.53738200000000003</v>
      </c>
      <c r="AV139">
        <v>0.53738200000000003</v>
      </c>
      <c r="AW139">
        <v>0.53738200000000003</v>
      </c>
      <c r="AX139">
        <v>0.53738200000000003</v>
      </c>
      <c r="AY139">
        <v>0.53738200000000003</v>
      </c>
      <c r="AZ139">
        <v>0.53738200000000003</v>
      </c>
    </row>
    <row r="140" spans="1:52" x14ac:dyDescent="0.25">
      <c r="A140" t="s">
        <v>93</v>
      </c>
      <c r="B140" t="s">
        <v>374</v>
      </c>
      <c r="D140">
        <v>2020</v>
      </c>
      <c r="E140" t="s">
        <v>107</v>
      </c>
      <c r="F140" t="s">
        <v>381</v>
      </c>
      <c r="G140" t="s">
        <v>248</v>
      </c>
      <c r="H140" t="s">
        <v>382</v>
      </c>
      <c r="I140">
        <v>1</v>
      </c>
      <c r="J140">
        <v>233.39318333333341</v>
      </c>
      <c r="K140">
        <v>30</v>
      </c>
      <c r="L140">
        <v>31.536000000000001</v>
      </c>
      <c r="M140">
        <v>4917.4184525969313</v>
      </c>
      <c r="N140">
        <v>4821.6848284228936</v>
      </c>
      <c r="O140">
        <v>2984.1897708938181</v>
      </c>
      <c r="P140">
        <v>2539.1896953994678</v>
      </c>
      <c r="Q140">
        <v>2093.9800186842722</v>
      </c>
      <c r="R140">
        <v>1896.095935565756</v>
      </c>
      <c r="S140">
        <v>1698.211852447241</v>
      </c>
      <c r="T140">
        <v>1698.211852447241</v>
      </c>
      <c r="U140">
        <v>41.27117929699714</v>
      </c>
      <c r="V140">
        <v>40.608188464916751</v>
      </c>
      <c r="W140">
        <v>39.779449924816397</v>
      </c>
      <c r="X140">
        <v>39.157896019741258</v>
      </c>
      <c r="Y140">
        <v>38.536342114665999</v>
      </c>
      <c r="Z140">
        <v>37.914788209590739</v>
      </c>
      <c r="AA140">
        <v>37.293234304515479</v>
      </c>
      <c r="AB140">
        <v>37.293234304515479</v>
      </c>
      <c r="AS140">
        <v>0.3982038</v>
      </c>
      <c r="AT140">
        <v>0.45452299999999901</v>
      </c>
      <c r="AU140">
        <v>0.524922</v>
      </c>
      <c r="AV140">
        <v>0.524922</v>
      </c>
      <c r="AW140">
        <v>0.524922</v>
      </c>
      <c r="AX140">
        <v>0.524922</v>
      </c>
      <c r="AY140">
        <v>0.524922</v>
      </c>
      <c r="AZ140">
        <v>0.524922</v>
      </c>
    </row>
    <row r="141" spans="1:52" x14ac:dyDescent="0.25">
      <c r="A141" t="s">
        <v>93</v>
      </c>
      <c r="B141" t="s">
        <v>374</v>
      </c>
      <c r="D141">
        <v>2020</v>
      </c>
      <c r="E141" t="s">
        <v>107</v>
      </c>
      <c r="F141" t="s">
        <v>383</v>
      </c>
      <c r="G141" t="s">
        <v>248</v>
      </c>
      <c r="H141" t="s">
        <v>384</v>
      </c>
      <c r="I141">
        <v>1</v>
      </c>
      <c r="J141">
        <v>233.39318333333341</v>
      </c>
      <c r="K141">
        <v>30</v>
      </c>
      <c r="L141">
        <v>31.536000000000001</v>
      </c>
      <c r="M141">
        <v>4917.4184525969313</v>
      </c>
      <c r="N141">
        <v>4878.2231378853267</v>
      </c>
      <c r="O141">
        <v>3372.023929972745</v>
      </c>
      <c r="P141">
        <v>2767.0640187247109</v>
      </c>
      <c r="Q141">
        <v>2154.1095905186999</v>
      </c>
      <c r="R141">
        <v>1956.2255074001851</v>
      </c>
      <c r="S141">
        <v>1758.3414242816691</v>
      </c>
      <c r="T141">
        <v>1758.3414242816691</v>
      </c>
      <c r="U141">
        <v>41.27117929699714</v>
      </c>
      <c r="V141">
        <v>40.608188464916751</v>
      </c>
      <c r="W141">
        <v>39.779449924816397</v>
      </c>
      <c r="X141">
        <v>39.157896019741258</v>
      </c>
      <c r="Y141">
        <v>38.536342114665999</v>
      </c>
      <c r="Z141">
        <v>37.914788209590739</v>
      </c>
      <c r="AA141">
        <v>37.293234304515479</v>
      </c>
      <c r="AB141">
        <v>37.293234304515479</v>
      </c>
      <c r="AS141">
        <v>0.38391930000000002</v>
      </c>
      <c r="AT141">
        <v>0.44077250000000001</v>
      </c>
      <c r="AU141">
        <v>0.51183899999999904</v>
      </c>
      <c r="AV141">
        <v>0.51183899999999904</v>
      </c>
      <c r="AW141">
        <v>0.51183899999999904</v>
      </c>
      <c r="AX141">
        <v>0.51183899999999904</v>
      </c>
      <c r="AY141">
        <v>0.51183899999999904</v>
      </c>
      <c r="AZ141">
        <v>0.51183899999999904</v>
      </c>
    </row>
    <row r="142" spans="1:52" x14ac:dyDescent="0.25">
      <c r="A142" t="s">
        <v>93</v>
      </c>
      <c r="B142" t="s">
        <v>374</v>
      </c>
      <c r="D142">
        <v>2020</v>
      </c>
      <c r="E142" t="s">
        <v>107</v>
      </c>
      <c r="F142" t="s">
        <v>385</v>
      </c>
      <c r="G142" t="s">
        <v>248</v>
      </c>
      <c r="H142" t="s">
        <v>386</v>
      </c>
      <c r="I142">
        <v>1</v>
      </c>
      <c r="J142">
        <v>233.39318333333341</v>
      </c>
      <c r="K142">
        <v>30</v>
      </c>
      <c r="L142">
        <v>31.536000000000001</v>
      </c>
      <c r="M142">
        <v>4917.4184525969313</v>
      </c>
      <c r="N142">
        <v>4821.6848284228936</v>
      </c>
      <c r="O142">
        <v>2984.1897708938181</v>
      </c>
      <c r="P142">
        <v>2539.1896953994678</v>
      </c>
      <c r="Q142">
        <v>2093.9800186842722</v>
      </c>
      <c r="R142">
        <v>1896.095935565756</v>
      </c>
      <c r="S142">
        <v>1698.211852447241</v>
      </c>
      <c r="T142">
        <v>1698.211852447241</v>
      </c>
      <c r="U142">
        <v>41.27117929699714</v>
      </c>
      <c r="V142">
        <v>40.608188464916751</v>
      </c>
      <c r="W142">
        <v>39.779449924816397</v>
      </c>
      <c r="X142">
        <v>39.157896019741258</v>
      </c>
      <c r="Y142">
        <v>38.536342114665999</v>
      </c>
      <c r="Z142">
        <v>37.914788209590739</v>
      </c>
      <c r="AA142">
        <v>37.293234304515479</v>
      </c>
      <c r="AB142">
        <v>37.293234304515479</v>
      </c>
      <c r="AS142">
        <v>0.3663418</v>
      </c>
      <c r="AT142">
        <v>0.42372900000000002</v>
      </c>
      <c r="AU142">
        <v>0.49546299999999999</v>
      </c>
      <c r="AV142">
        <v>0.49546299999999999</v>
      </c>
      <c r="AW142">
        <v>0.49546299999999999</v>
      </c>
      <c r="AX142">
        <v>0.49546299999999999</v>
      </c>
      <c r="AY142">
        <v>0.49546299999999999</v>
      </c>
      <c r="AZ142">
        <v>0.49546299999999999</v>
      </c>
    </row>
    <row r="143" spans="1:52" x14ac:dyDescent="0.25">
      <c r="A143" t="s">
        <v>93</v>
      </c>
      <c r="B143" t="s">
        <v>374</v>
      </c>
      <c r="D143">
        <v>2020</v>
      </c>
      <c r="E143" t="s">
        <v>107</v>
      </c>
      <c r="F143" t="s">
        <v>387</v>
      </c>
      <c r="G143" t="s">
        <v>248</v>
      </c>
      <c r="H143" t="s">
        <v>388</v>
      </c>
      <c r="I143">
        <v>1</v>
      </c>
      <c r="J143">
        <v>233.39318333333341</v>
      </c>
      <c r="K143">
        <v>30</v>
      </c>
      <c r="L143">
        <v>31.536000000000001</v>
      </c>
      <c r="M143">
        <v>4917.4184525969313</v>
      </c>
      <c r="N143">
        <v>4821.6848284228936</v>
      </c>
      <c r="O143">
        <v>2984.1897708938181</v>
      </c>
      <c r="P143">
        <v>2539.1896953994678</v>
      </c>
      <c r="Q143">
        <v>2093.9800186842722</v>
      </c>
      <c r="R143">
        <v>1896.095935565756</v>
      </c>
      <c r="S143">
        <v>1698.211852447241</v>
      </c>
      <c r="T143">
        <v>1698.211852447241</v>
      </c>
      <c r="U143">
        <v>41.27117929699714</v>
      </c>
      <c r="V143">
        <v>40.608188464916751</v>
      </c>
      <c r="W143">
        <v>39.779449924816397</v>
      </c>
      <c r="X143">
        <v>39.157896019741258</v>
      </c>
      <c r="Y143">
        <v>38.536342114665999</v>
      </c>
      <c r="Z143">
        <v>37.914788209590739</v>
      </c>
      <c r="AA143">
        <v>37.293234304515479</v>
      </c>
      <c r="AB143">
        <v>37.293234304515479</v>
      </c>
      <c r="AS143">
        <v>0.34020249999999902</v>
      </c>
      <c r="AT143">
        <v>0.39805249999999898</v>
      </c>
      <c r="AU143">
        <v>0.47036499999999998</v>
      </c>
      <c r="AV143">
        <v>0.47036499999999998</v>
      </c>
      <c r="AW143">
        <v>0.47036499999999998</v>
      </c>
      <c r="AX143">
        <v>0.47036499999999998</v>
      </c>
      <c r="AY143">
        <v>0.47036499999999998</v>
      </c>
      <c r="AZ143">
        <v>0.47036499999999998</v>
      </c>
    </row>
    <row r="144" spans="1:52" x14ac:dyDescent="0.25">
      <c r="A144" t="s">
        <v>93</v>
      </c>
      <c r="B144" t="s">
        <v>374</v>
      </c>
      <c r="D144">
        <v>2020</v>
      </c>
      <c r="E144" t="s">
        <v>107</v>
      </c>
      <c r="F144" t="s">
        <v>389</v>
      </c>
      <c r="G144" t="s">
        <v>248</v>
      </c>
      <c r="H144" t="s">
        <v>390</v>
      </c>
      <c r="I144">
        <v>1</v>
      </c>
      <c r="J144">
        <v>233.39318333333341</v>
      </c>
      <c r="K144">
        <v>30</v>
      </c>
      <c r="L144">
        <v>31.536000000000001</v>
      </c>
      <c r="M144">
        <v>4917.4184525969313</v>
      </c>
      <c r="N144">
        <v>4821.6848284228936</v>
      </c>
      <c r="O144">
        <v>2984.1897708938181</v>
      </c>
      <c r="P144">
        <v>2539.1896953994678</v>
      </c>
      <c r="Q144">
        <v>2093.9800186842722</v>
      </c>
      <c r="R144">
        <v>1896.095935565756</v>
      </c>
      <c r="S144">
        <v>1698.211852447241</v>
      </c>
      <c r="T144">
        <v>1698.211852447241</v>
      </c>
      <c r="U144">
        <v>41.27117929699714</v>
      </c>
      <c r="V144">
        <v>40.608188464916751</v>
      </c>
      <c r="W144">
        <v>39.779449924816397</v>
      </c>
      <c r="X144">
        <v>39.157896019741258</v>
      </c>
      <c r="Y144">
        <v>38.536342114665999</v>
      </c>
      <c r="Z144">
        <v>37.914788209590739</v>
      </c>
      <c r="AA144">
        <v>37.293234304515479</v>
      </c>
      <c r="AB144">
        <v>37.293234304515479</v>
      </c>
      <c r="AS144">
        <v>0.30370360000000002</v>
      </c>
      <c r="AT144">
        <v>0.36151799999999901</v>
      </c>
      <c r="AU144">
        <v>0.433786</v>
      </c>
      <c r="AV144">
        <v>0.433786</v>
      </c>
      <c r="AW144">
        <v>0.433786</v>
      </c>
      <c r="AX144">
        <v>0.433786</v>
      </c>
      <c r="AY144">
        <v>0.433786</v>
      </c>
      <c r="AZ144">
        <v>0.433786</v>
      </c>
    </row>
    <row r="145" spans="1:52" x14ac:dyDescent="0.25">
      <c r="A145" t="s">
        <v>93</v>
      </c>
      <c r="B145" t="s">
        <v>374</v>
      </c>
      <c r="D145">
        <v>2020</v>
      </c>
      <c r="E145" t="s">
        <v>107</v>
      </c>
      <c r="F145" t="s">
        <v>391</v>
      </c>
      <c r="G145" t="s">
        <v>248</v>
      </c>
      <c r="H145" t="s">
        <v>392</v>
      </c>
      <c r="I145">
        <v>1</v>
      </c>
      <c r="J145">
        <v>233.39318333333341</v>
      </c>
      <c r="K145">
        <v>30</v>
      </c>
      <c r="L145">
        <v>31.536000000000001</v>
      </c>
      <c r="M145">
        <v>4917.4184525969313</v>
      </c>
      <c r="N145">
        <v>4821.6848284228936</v>
      </c>
      <c r="O145">
        <v>2984.1897708938181</v>
      </c>
      <c r="P145">
        <v>2539.1896953994678</v>
      </c>
      <c r="Q145">
        <v>2093.9800186842722</v>
      </c>
      <c r="R145">
        <v>1896.095935565756</v>
      </c>
      <c r="S145">
        <v>1698.211852447241</v>
      </c>
      <c r="T145">
        <v>1698.211852447241</v>
      </c>
      <c r="U145">
        <v>41.27117929699714</v>
      </c>
      <c r="V145">
        <v>40.608188464916751</v>
      </c>
      <c r="W145">
        <v>39.779449924816397</v>
      </c>
      <c r="X145">
        <v>39.157896019741258</v>
      </c>
      <c r="Y145">
        <v>38.536342114665999</v>
      </c>
      <c r="Z145">
        <v>37.914788209590739</v>
      </c>
      <c r="AA145">
        <v>37.293234304515479</v>
      </c>
      <c r="AB145">
        <v>37.293234304515479</v>
      </c>
      <c r="AS145">
        <v>0.25940829999999998</v>
      </c>
      <c r="AT145">
        <v>0.3166175</v>
      </c>
      <c r="AU145">
        <v>0.388129</v>
      </c>
      <c r="AV145">
        <v>0.388129</v>
      </c>
      <c r="AW145">
        <v>0.388129</v>
      </c>
      <c r="AX145">
        <v>0.388129</v>
      </c>
      <c r="AY145">
        <v>0.388129</v>
      </c>
      <c r="AZ145">
        <v>0.388129</v>
      </c>
    </row>
    <row r="146" spans="1:52" x14ac:dyDescent="0.25">
      <c r="A146" t="s">
        <v>93</v>
      </c>
      <c r="B146" t="s">
        <v>374</v>
      </c>
      <c r="D146">
        <v>2020</v>
      </c>
      <c r="E146" t="s">
        <v>107</v>
      </c>
      <c r="F146" t="s">
        <v>393</v>
      </c>
      <c r="G146" t="s">
        <v>248</v>
      </c>
      <c r="H146" t="s">
        <v>394</v>
      </c>
      <c r="I146">
        <v>1</v>
      </c>
      <c r="J146">
        <v>233.39318333333341</v>
      </c>
      <c r="K146">
        <v>30</v>
      </c>
      <c r="L146">
        <v>31.536000000000001</v>
      </c>
      <c r="M146">
        <v>4917.4184525969313</v>
      </c>
      <c r="N146">
        <v>4821.6848284228936</v>
      </c>
      <c r="O146">
        <v>2984.1897708938181</v>
      </c>
      <c r="P146">
        <v>2539.1896953994678</v>
      </c>
      <c r="Q146">
        <v>2093.9800186842722</v>
      </c>
      <c r="R146">
        <v>1896.095935565756</v>
      </c>
      <c r="S146">
        <v>1698.211852447241</v>
      </c>
      <c r="T146">
        <v>1698.211852447241</v>
      </c>
      <c r="U146">
        <v>41.27117929699714</v>
      </c>
      <c r="V146">
        <v>40.608188464916751</v>
      </c>
      <c r="W146">
        <v>39.779449924816397</v>
      </c>
      <c r="X146">
        <v>39.157896019741258</v>
      </c>
      <c r="Y146">
        <v>38.536342114665999</v>
      </c>
      <c r="Z146">
        <v>37.914788209590739</v>
      </c>
      <c r="AA146">
        <v>37.293234304515479</v>
      </c>
      <c r="AB146">
        <v>37.293234304515479</v>
      </c>
      <c r="AS146">
        <v>0.2115263</v>
      </c>
      <c r="AT146">
        <v>0.26517550000000001</v>
      </c>
      <c r="AU146">
        <v>0.332237</v>
      </c>
      <c r="AV146">
        <v>0.332237</v>
      </c>
      <c r="AW146">
        <v>0.332237</v>
      </c>
      <c r="AX146">
        <v>0.332237</v>
      </c>
      <c r="AY146">
        <v>0.332237</v>
      </c>
      <c r="AZ146">
        <v>0.332237</v>
      </c>
    </row>
    <row r="147" spans="1:52" x14ac:dyDescent="0.25">
      <c r="A147" t="s">
        <v>93</v>
      </c>
      <c r="B147" t="s">
        <v>374</v>
      </c>
      <c r="D147">
        <v>2020</v>
      </c>
      <c r="E147" t="s">
        <v>107</v>
      </c>
      <c r="F147" t="s">
        <v>395</v>
      </c>
      <c r="G147" t="s">
        <v>248</v>
      </c>
      <c r="H147" t="s">
        <v>396</v>
      </c>
      <c r="I147">
        <v>1</v>
      </c>
      <c r="J147">
        <v>233.39318333333341</v>
      </c>
      <c r="K147">
        <v>30</v>
      </c>
      <c r="L147">
        <v>31.536000000000001</v>
      </c>
      <c r="M147">
        <v>6549.0142310829506</v>
      </c>
      <c r="N147">
        <v>6421.1425612343974</v>
      </c>
      <c r="O147">
        <v>3968.077175989039</v>
      </c>
      <c r="P147">
        <v>3222.0031734476329</v>
      </c>
      <c r="Q147">
        <v>2629.692312978324</v>
      </c>
      <c r="R147">
        <v>2226.8699153391431</v>
      </c>
      <c r="S147">
        <v>1953.258376919596</v>
      </c>
      <c r="T147">
        <v>1953.258376919596</v>
      </c>
      <c r="U147">
        <v>41.27117929699714</v>
      </c>
      <c r="V147">
        <v>40.608188464916751</v>
      </c>
      <c r="W147">
        <v>39.779449924816397</v>
      </c>
      <c r="X147">
        <v>39.157896019741258</v>
      </c>
      <c r="Y147">
        <v>38.536342114665999</v>
      </c>
      <c r="Z147">
        <v>37.914788209590739</v>
      </c>
      <c r="AA147">
        <v>37.293234304515479</v>
      </c>
      <c r="AB147">
        <v>37.293234304515479</v>
      </c>
      <c r="AS147">
        <v>0.18580307500000001</v>
      </c>
      <c r="AT147">
        <v>0.19076037500000001</v>
      </c>
      <c r="AU147">
        <v>0.19695699999999999</v>
      </c>
      <c r="AV147">
        <v>0.19695699999999999</v>
      </c>
      <c r="AW147">
        <v>0.19695699999999999</v>
      </c>
      <c r="AX147">
        <v>0.19695699999999999</v>
      </c>
      <c r="AY147">
        <v>0.19695699999999999</v>
      </c>
      <c r="AZ147">
        <v>0.19695699999999999</v>
      </c>
    </row>
    <row r="148" spans="1:52" x14ac:dyDescent="0.25">
      <c r="A148" t="s">
        <v>93</v>
      </c>
      <c r="B148" t="s">
        <v>374</v>
      </c>
      <c r="D148">
        <v>2020</v>
      </c>
      <c r="E148" t="s">
        <v>107</v>
      </c>
      <c r="F148" t="s">
        <v>397</v>
      </c>
      <c r="G148" t="s">
        <v>248</v>
      </c>
      <c r="H148" t="s">
        <v>398</v>
      </c>
      <c r="I148">
        <v>1</v>
      </c>
      <c r="J148">
        <v>233.39318333333341</v>
      </c>
      <c r="K148">
        <v>30</v>
      </c>
      <c r="L148">
        <v>31.536000000000001</v>
      </c>
      <c r="M148">
        <v>6549.0142310829506</v>
      </c>
      <c r="N148">
        <v>6421.1425612343974</v>
      </c>
      <c r="O148">
        <v>3968.077175989039</v>
      </c>
      <c r="P148">
        <v>3222.0031734476329</v>
      </c>
      <c r="Q148">
        <v>2629.692312978324</v>
      </c>
      <c r="R148">
        <v>2226.8699153391431</v>
      </c>
      <c r="S148">
        <v>1953.258376919596</v>
      </c>
      <c r="T148">
        <v>1953.258376919596</v>
      </c>
      <c r="U148">
        <v>41.27117929699714</v>
      </c>
      <c r="V148">
        <v>40.608188464916751</v>
      </c>
      <c r="W148">
        <v>39.779449924816397</v>
      </c>
      <c r="X148">
        <v>39.157896019741258</v>
      </c>
      <c r="Y148">
        <v>38.536342114665999</v>
      </c>
      <c r="Z148">
        <v>37.914788209590739</v>
      </c>
      <c r="AA148">
        <v>37.293234304515479</v>
      </c>
      <c r="AB148">
        <v>37.293234304515479</v>
      </c>
      <c r="AS148">
        <v>0.39758969999999999</v>
      </c>
      <c r="AT148">
        <v>0.44041649999999999</v>
      </c>
      <c r="AU148">
        <v>0.49395</v>
      </c>
      <c r="AV148">
        <v>0.49395</v>
      </c>
      <c r="AW148">
        <v>0.49395</v>
      </c>
      <c r="AX148">
        <v>0.49395</v>
      </c>
      <c r="AY148">
        <v>0.49395</v>
      </c>
      <c r="AZ148">
        <v>0.49395</v>
      </c>
    </row>
    <row r="149" spans="1:52" x14ac:dyDescent="0.25">
      <c r="A149" t="s">
        <v>93</v>
      </c>
      <c r="B149" t="s">
        <v>374</v>
      </c>
      <c r="D149">
        <v>2020</v>
      </c>
      <c r="E149" t="s">
        <v>107</v>
      </c>
      <c r="F149" t="s">
        <v>399</v>
      </c>
      <c r="G149" t="s">
        <v>248</v>
      </c>
      <c r="H149" t="s">
        <v>400</v>
      </c>
      <c r="I149">
        <v>1</v>
      </c>
      <c r="J149">
        <v>233.39318333333341</v>
      </c>
      <c r="K149">
        <v>30</v>
      </c>
      <c r="L149">
        <v>31.536000000000001</v>
      </c>
      <c r="M149">
        <v>6549.0142310829506</v>
      </c>
      <c r="N149">
        <v>6421.1425612343974</v>
      </c>
      <c r="O149">
        <v>3968.077175989039</v>
      </c>
      <c r="P149">
        <v>3222.0031734476329</v>
      </c>
      <c r="Q149">
        <v>2629.692312978324</v>
      </c>
      <c r="R149">
        <v>2226.8699153391431</v>
      </c>
      <c r="S149">
        <v>1953.258376919596</v>
      </c>
      <c r="T149">
        <v>1953.258376919596</v>
      </c>
      <c r="U149">
        <v>41.27117929699714</v>
      </c>
      <c r="V149">
        <v>40.608188464916751</v>
      </c>
      <c r="W149">
        <v>39.779449924816397</v>
      </c>
      <c r="X149">
        <v>39.157896019741258</v>
      </c>
      <c r="Y149">
        <v>38.536342114665999</v>
      </c>
      <c r="Z149">
        <v>37.914788209590739</v>
      </c>
      <c r="AA149">
        <v>37.293234304515479</v>
      </c>
      <c r="AB149">
        <v>37.293234304515479</v>
      </c>
      <c r="AS149">
        <v>0.3663151</v>
      </c>
      <c r="AT149">
        <v>0.40899950000000002</v>
      </c>
      <c r="AU149">
        <v>0.46235500000000002</v>
      </c>
      <c r="AV149">
        <v>0.46235500000000002</v>
      </c>
      <c r="AW149">
        <v>0.46235500000000002</v>
      </c>
      <c r="AX149">
        <v>0.46235500000000002</v>
      </c>
      <c r="AY149">
        <v>0.46235500000000002</v>
      </c>
      <c r="AZ149">
        <v>0.46235500000000002</v>
      </c>
    </row>
    <row r="150" spans="1:52" x14ac:dyDescent="0.25">
      <c r="A150" t="s">
        <v>93</v>
      </c>
      <c r="B150" t="s">
        <v>374</v>
      </c>
      <c r="D150">
        <v>2020</v>
      </c>
      <c r="E150" t="s">
        <v>107</v>
      </c>
      <c r="F150" t="s">
        <v>401</v>
      </c>
      <c r="G150" t="s">
        <v>248</v>
      </c>
      <c r="H150" t="s">
        <v>402</v>
      </c>
      <c r="I150">
        <v>1</v>
      </c>
      <c r="J150">
        <v>233.39318333333341</v>
      </c>
      <c r="K150">
        <v>30</v>
      </c>
      <c r="L150">
        <v>31.536000000000001</v>
      </c>
      <c r="M150">
        <v>6549.0142310829506</v>
      </c>
      <c r="N150">
        <v>6421.1425612343974</v>
      </c>
      <c r="O150">
        <v>3968.077175989039</v>
      </c>
      <c r="P150">
        <v>3222.0031734476329</v>
      </c>
      <c r="Q150">
        <v>2629.692312978324</v>
      </c>
      <c r="R150">
        <v>2226.8699153391431</v>
      </c>
      <c r="S150">
        <v>1953.258376919596</v>
      </c>
      <c r="T150">
        <v>1953.258376919596</v>
      </c>
      <c r="U150">
        <v>41.27117929699714</v>
      </c>
      <c r="V150">
        <v>40.608188464916751</v>
      </c>
      <c r="W150">
        <v>39.779449924816397</v>
      </c>
      <c r="X150">
        <v>39.157896019741258</v>
      </c>
      <c r="Y150">
        <v>38.536342114665999</v>
      </c>
      <c r="Z150">
        <v>37.914788209590739</v>
      </c>
      <c r="AA150">
        <v>37.293234304515479</v>
      </c>
      <c r="AB150">
        <v>37.293234304515479</v>
      </c>
      <c r="AS150">
        <v>0.35520233750000002</v>
      </c>
      <c r="AT150">
        <v>0.39815818749999998</v>
      </c>
      <c r="AU150">
        <v>0.451853</v>
      </c>
      <c r="AV150">
        <v>0.451853</v>
      </c>
      <c r="AW150">
        <v>0.451853</v>
      </c>
      <c r="AX150">
        <v>0.451853</v>
      </c>
      <c r="AY150">
        <v>0.451853</v>
      </c>
      <c r="AZ150">
        <v>0.451853</v>
      </c>
    </row>
    <row r="151" spans="1:52" x14ac:dyDescent="0.25">
      <c r="A151" t="s">
        <v>93</v>
      </c>
      <c r="B151" t="s">
        <v>374</v>
      </c>
      <c r="D151">
        <v>2020</v>
      </c>
      <c r="E151" t="s">
        <v>107</v>
      </c>
      <c r="F151" t="s">
        <v>403</v>
      </c>
      <c r="G151" t="s">
        <v>248</v>
      </c>
      <c r="H151" t="s">
        <v>404</v>
      </c>
      <c r="I151">
        <v>1</v>
      </c>
      <c r="J151">
        <v>233.39318333333341</v>
      </c>
      <c r="K151">
        <v>30</v>
      </c>
      <c r="L151">
        <v>31.536000000000001</v>
      </c>
      <c r="M151">
        <v>6549.0142310829506</v>
      </c>
      <c r="N151">
        <v>6421.1425612343974</v>
      </c>
      <c r="O151">
        <v>3968.077175989039</v>
      </c>
      <c r="P151">
        <v>3222.0031734476329</v>
      </c>
      <c r="Q151">
        <v>2629.692312978324</v>
      </c>
      <c r="R151">
        <v>2226.8699153391431</v>
      </c>
      <c r="S151">
        <v>1953.258376919596</v>
      </c>
      <c r="T151">
        <v>1953.258376919596</v>
      </c>
      <c r="U151">
        <v>41.27117929699714</v>
      </c>
      <c r="V151">
        <v>40.608188464916751</v>
      </c>
      <c r="W151">
        <v>39.779449924816397</v>
      </c>
      <c r="X151">
        <v>39.157896019741258</v>
      </c>
      <c r="Y151">
        <v>38.536342114665999</v>
      </c>
      <c r="Z151">
        <v>37.914788209590739</v>
      </c>
      <c r="AA151">
        <v>37.293234304515479</v>
      </c>
      <c r="AB151">
        <v>37.293234304515479</v>
      </c>
      <c r="AS151">
        <v>0.34360675000000002</v>
      </c>
      <c r="AT151">
        <v>0.38677175000000003</v>
      </c>
      <c r="AU151">
        <v>0.44072800000000001</v>
      </c>
      <c r="AV151">
        <v>0.44072800000000001</v>
      </c>
      <c r="AW151">
        <v>0.44072800000000001</v>
      </c>
      <c r="AX151">
        <v>0.44072800000000001</v>
      </c>
      <c r="AY151">
        <v>0.44072800000000001</v>
      </c>
      <c r="AZ151">
        <v>0.44072800000000001</v>
      </c>
    </row>
    <row r="152" spans="1:52" x14ac:dyDescent="0.25">
      <c r="A152" t="s">
        <v>93</v>
      </c>
      <c r="B152" t="s">
        <v>374</v>
      </c>
      <c r="D152">
        <v>2020</v>
      </c>
      <c r="E152" t="s">
        <v>107</v>
      </c>
      <c r="F152" t="s">
        <v>405</v>
      </c>
      <c r="G152" t="s">
        <v>248</v>
      </c>
      <c r="H152" t="s">
        <v>406</v>
      </c>
      <c r="I152">
        <v>1</v>
      </c>
      <c r="J152">
        <v>233.39318333333341</v>
      </c>
      <c r="K152">
        <v>30</v>
      </c>
      <c r="L152">
        <v>31.536000000000001</v>
      </c>
      <c r="M152">
        <v>6549.0142310829506</v>
      </c>
      <c r="N152">
        <v>6421.1425612343974</v>
      </c>
      <c r="O152">
        <v>3968.077175989039</v>
      </c>
      <c r="P152">
        <v>3222.0031734476329</v>
      </c>
      <c r="Q152">
        <v>2629.692312978324</v>
      </c>
      <c r="R152">
        <v>2226.8699153391431</v>
      </c>
      <c r="S152">
        <v>1953.258376919596</v>
      </c>
      <c r="T152">
        <v>1953.258376919596</v>
      </c>
      <c r="U152">
        <v>41.27117929699714</v>
      </c>
      <c r="V152">
        <v>40.608188464916751</v>
      </c>
      <c r="W152">
        <v>39.779449924816397</v>
      </c>
      <c r="X152">
        <v>39.157896019741258</v>
      </c>
      <c r="Y152">
        <v>38.536342114665999</v>
      </c>
      <c r="Z152">
        <v>37.914788209590739</v>
      </c>
      <c r="AA152">
        <v>37.293234304515479</v>
      </c>
      <c r="AB152">
        <v>37.293234304515479</v>
      </c>
      <c r="AS152">
        <v>0.32920654999999999</v>
      </c>
      <c r="AT152">
        <v>0.37244274999999999</v>
      </c>
      <c r="AU152">
        <v>0.42648799999999998</v>
      </c>
      <c r="AV152">
        <v>0.42648799999999998</v>
      </c>
      <c r="AW152">
        <v>0.42648799999999998</v>
      </c>
      <c r="AX152">
        <v>0.42648799999999998</v>
      </c>
      <c r="AY152">
        <v>0.42648799999999998</v>
      </c>
      <c r="AZ152">
        <v>0.42648799999999998</v>
      </c>
    </row>
    <row r="153" spans="1:52" x14ac:dyDescent="0.25">
      <c r="A153" t="s">
        <v>93</v>
      </c>
      <c r="B153" t="s">
        <v>374</v>
      </c>
      <c r="D153">
        <v>2020</v>
      </c>
      <c r="E153" t="s">
        <v>107</v>
      </c>
      <c r="F153" t="s">
        <v>407</v>
      </c>
      <c r="G153" t="s">
        <v>248</v>
      </c>
      <c r="H153" t="s">
        <v>408</v>
      </c>
      <c r="I153">
        <v>1</v>
      </c>
      <c r="J153">
        <v>233.39318333333341</v>
      </c>
      <c r="K153">
        <v>30</v>
      </c>
      <c r="L153">
        <v>31.536000000000001</v>
      </c>
      <c r="M153">
        <v>6549.0142310829506</v>
      </c>
      <c r="N153">
        <v>6421.1425612343974</v>
      </c>
      <c r="O153">
        <v>3968.077175989039</v>
      </c>
      <c r="P153">
        <v>3222.0031734476329</v>
      </c>
      <c r="Q153">
        <v>2629.692312978324</v>
      </c>
      <c r="R153">
        <v>2226.8699153391431</v>
      </c>
      <c r="S153">
        <v>1953.258376919596</v>
      </c>
      <c r="T153">
        <v>1953.258376919596</v>
      </c>
      <c r="U153">
        <v>41.27117929699714</v>
      </c>
      <c r="V153">
        <v>40.608188464916751</v>
      </c>
      <c r="W153">
        <v>39.779449924816397</v>
      </c>
      <c r="X153">
        <v>39.157896019741258</v>
      </c>
      <c r="Y153">
        <v>38.536342114665999</v>
      </c>
      <c r="Z153">
        <v>37.914788209590739</v>
      </c>
      <c r="AA153">
        <v>37.293234304515479</v>
      </c>
      <c r="AB153">
        <v>37.293234304515479</v>
      </c>
      <c r="AS153">
        <v>0.30730364999999998</v>
      </c>
      <c r="AT153">
        <v>0.35050425000000002</v>
      </c>
      <c r="AU153">
        <v>0.404505</v>
      </c>
      <c r="AV153">
        <v>0.404505</v>
      </c>
      <c r="AW153">
        <v>0.404505</v>
      </c>
      <c r="AX153">
        <v>0.404505</v>
      </c>
      <c r="AY153">
        <v>0.404505</v>
      </c>
      <c r="AZ153">
        <v>0.404505</v>
      </c>
    </row>
    <row r="154" spans="1:52" x14ac:dyDescent="0.25">
      <c r="A154" t="s">
        <v>93</v>
      </c>
      <c r="B154" t="s">
        <v>374</v>
      </c>
      <c r="D154">
        <v>2020</v>
      </c>
      <c r="E154" t="s">
        <v>107</v>
      </c>
      <c r="F154" t="s">
        <v>409</v>
      </c>
      <c r="G154" t="s">
        <v>248</v>
      </c>
      <c r="H154" t="s">
        <v>410</v>
      </c>
      <c r="I154">
        <v>1</v>
      </c>
      <c r="J154">
        <v>233.39318333333341</v>
      </c>
      <c r="K154">
        <v>30</v>
      </c>
      <c r="L154">
        <v>31.536000000000001</v>
      </c>
      <c r="M154">
        <v>6549.0142310829506</v>
      </c>
      <c r="N154">
        <v>6421.1425612343974</v>
      </c>
      <c r="O154">
        <v>3968.077175989039</v>
      </c>
      <c r="P154">
        <v>3222.0031734476329</v>
      </c>
      <c r="Q154">
        <v>2629.692312978324</v>
      </c>
      <c r="R154">
        <v>2226.8699153391431</v>
      </c>
      <c r="S154">
        <v>1953.258376919596</v>
      </c>
      <c r="T154">
        <v>1953.258376919596</v>
      </c>
      <c r="U154">
        <v>41.27117929699714</v>
      </c>
      <c r="V154">
        <v>40.608188464916751</v>
      </c>
      <c r="W154">
        <v>39.779449924816397</v>
      </c>
      <c r="X154">
        <v>39.157896019741258</v>
      </c>
      <c r="Y154">
        <v>38.536342114665999</v>
      </c>
      <c r="Z154">
        <v>37.914788209590739</v>
      </c>
      <c r="AA154">
        <v>37.293234304515479</v>
      </c>
      <c r="AB154">
        <v>37.293234304515479</v>
      </c>
      <c r="AS154">
        <v>0.27663647499999999</v>
      </c>
      <c r="AT154">
        <v>0.319187374999999</v>
      </c>
      <c r="AU154">
        <v>0.37237599999999998</v>
      </c>
      <c r="AV154">
        <v>0.37237599999999998</v>
      </c>
      <c r="AW154">
        <v>0.37237599999999998</v>
      </c>
      <c r="AX154">
        <v>0.37237599999999998</v>
      </c>
      <c r="AY154">
        <v>0.37237599999999998</v>
      </c>
      <c r="AZ154">
        <v>0.37237599999999998</v>
      </c>
    </row>
    <row r="155" spans="1:52" x14ac:dyDescent="0.25">
      <c r="A155" t="s">
        <v>93</v>
      </c>
      <c r="B155" t="s">
        <v>374</v>
      </c>
      <c r="D155">
        <v>2020</v>
      </c>
      <c r="E155" t="s">
        <v>107</v>
      </c>
      <c r="F155" t="s">
        <v>411</v>
      </c>
      <c r="G155" t="s">
        <v>248</v>
      </c>
      <c r="H155" t="s">
        <v>412</v>
      </c>
      <c r="I155">
        <v>1</v>
      </c>
      <c r="J155">
        <v>233.39318333333341</v>
      </c>
      <c r="K155">
        <v>30</v>
      </c>
      <c r="L155">
        <v>31.536000000000001</v>
      </c>
      <c r="M155">
        <v>6549.0142310829506</v>
      </c>
      <c r="N155">
        <v>6421.1425612343974</v>
      </c>
      <c r="O155">
        <v>3968.077175989039</v>
      </c>
      <c r="P155">
        <v>3222.0031734476329</v>
      </c>
      <c r="Q155">
        <v>2629.692312978324</v>
      </c>
      <c r="R155">
        <v>2226.8699153391431</v>
      </c>
      <c r="S155">
        <v>1953.258376919596</v>
      </c>
      <c r="T155">
        <v>1953.258376919596</v>
      </c>
      <c r="U155">
        <v>41.27117929699714</v>
      </c>
      <c r="V155">
        <v>40.608188464916751</v>
      </c>
      <c r="W155">
        <v>39.779449924816397</v>
      </c>
      <c r="X155">
        <v>39.157896019741258</v>
      </c>
      <c r="Y155">
        <v>38.536342114665999</v>
      </c>
      <c r="Z155">
        <v>37.914788209590739</v>
      </c>
      <c r="AA155">
        <v>37.293234304515479</v>
      </c>
      <c r="AB155">
        <v>37.293234304515479</v>
      </c>
      <c r="AS155">
        <v>0.23932990000000001</v>
      </c>
      <c r="AT155">
        <v>0.28030549999999999</v>
      </c>
      <c r="AU155">
        <v>0.33152500000000001</v>
      </c>
      <c r="AV155">
        <v>0.33152500000000001</v>
      </c>
      <c r="AW155">
        <v>0.33152500000000001</v>
      </c>
      <c r="AX155">
        <v>0.33152500000000001</v>
      </c>
      <c r="AY155">
        <v>0.33152500000000001</v>
      </c>
      <c r="AZ155">
        <v>0.33152500000000001</v>
      </c>
    </row>
    <row r="156" spans="1:52" x14ac:dyDescent="0.25">
      <c r="A156" t="s">
        <v>93</v>
      </c>
      <c r="B156" t="s">
        <v>374</v>
      </c>
      <c r="D156">
        <v>2020</v>
      </c>
      <c r="E156" t="s">
        <v>107</v>
      </c>
      <c r="F156" t="s">
        <v>413</v>
      </c>
      <c r="G156" t="s">
        <v>248</v>
      </c>
      <c r="H156" t="s">
        <v>414</v>
      </c>
      <c r="I156">
        <v>1</v>
      </c>
      <c r="J156">
        <v>233.39318333333341</v>
      </c>
      <c r="K156">
        <v>30</v>
      </c>
      <c r="L156">
        <v>31.536000000000001</v>
      </c>
      <c r="M156">
        <v>6549.0142310829506</v>
      </c>
      <c r="N156">
        <v>6421.1425612343974</v>
      </c>
      <c r="O156">
        <v>3968.077175989039</v>
      </c>
      <c r="P156">
        <v>3222.0031734476329</v>
      </c>
      <c r="Q156">
        <v>2629.692312978324</v>
      </c>
      <c r="R156">
        <v>2226.8699153391431</v>
      </c>
      <c r="S156">
        <v>1953.258376919596</v>
      </c>
      <c r="T156">
        <v>1953.258376919596</v>
      </c>
      <c r="U156">
        <v>41.27117929699714</v>
      </c>
      <c r="V156">
        <v>40.608188464916751</v>
      </c>
      <c r="W156">
        <v>39.779449924816397</v>
      </c>
      <c r="X156">
        <v>39.157896019741258</v>
      </c>
      <c r="Y156">
        <v>38.536342114665999</v>
      </c>
      <c r="Z156">
        <v>37.914788209590739</v>
      </c>
      <c r="AA156">
        <v>37.293234304515479</v>
      </c>
      <c r="AB156">
        <v>37.293234304515479</v>
      </c>
      <c r="AS156">
        <v>0.199386699999999</v>
      </c>
      <c r="AT156">
        <v>0.23758550000000001</v>
      </c>
      <c r="AU156">
        <v>0.28533399999999998</v>
      </c>
      <c r="AV156">
        <v>0.28533399999999998</v>
      </c>
      <c r="AW156">
        <v>0.28533399999999998</v>
      </c>
      <c r="AX156">
        <v>0.28533399999999998</v>
      </c>
      <c r="AY156">
        <v>0.28533399999999998</v>
      </c>
      <c r="AZ156">
        <v>0.28533399999999998</v>
      </c>
    </row>
    <row r="157" spans="1:52" x14ac:dyDescent="0.25">
      <c r="A157" t="s">
        <v>93</v>
      </c>
      <c r="B157" t="s">
        <v>374</v>
      </c>
      <c r="D157">
        <v>2020</v>
      </c>
      <c r="E157" t="s">
        <v>107</v>
      </c>
      <c r="F157" t="s">
        <v>415</v>
      </c>
      <c r="G157" t="s">
        <v>241</v>
      </c>
      <c r="H157" t="s">
        <v>416</v>
      </c>
      <c r="I157">
        <v>1</v>
      </c>
      <c r="J157">
        <v>700.17955000000006</v>
      </c>
      <c r="K157">
        <v>30</v>
      </c>
      <c r="L157">
        <v>31.536000000000001</v>
      </c>
      <c r="M157">
        <v>3232.554589138178</v>
      </c>
      <c r="N157">
        <v>2974.9201081634578</v>
      </c>
      <c r="O157">
        <v>2378.9027813256071</v>
      </c>
      <c r="P157">
        <v>1782.885454487767</v>
      </c>
      <c r="Q157">
        <v>1610.1995746889211</v>
      </c>
      <c r="R157">
        <v>1437.5136948900749</v>
      </c>
      <c r="S157">
        <v>1264.827815091229</v>
      </c>
      <c r="T157">
        <v>1264.827815091229</v>
      </c>
      <c r="U157">
        <v>34.293446157052799</v>
      </c>
      <c r="V157">
        <v>31.784509373254991</v>
      </c>
      <c r="W157">
        <v>26.108139740981851</v>
      </c>
      <c r="X157">
        <v>20.431770108708822</v>
      </c>
      <c r="Y157">
        <v>18.787138585640339</v>
      </c>
      <c r="Z157">
        <v>17.142507062571742</v>
      </c>
      <c r="AA157">
        <v>15.49787553950326</v>
      </c>
      <c r="AB157">
        <v>15.49787553950326</v>
      </c>
      <c r="AS157">
        <v>0.11991511872812199</v>
      </c>
      <c r="AT157">
        <v>0.120424240971688</v>
      </c>
      <c r="AU157">
        <v>0.121060643776146</v>
      </c>
      <c r="AV157">
        <v>0.121697046580603</v>
      </c>
      <c r="AW157">
        <v>0.12274461548711101</v>
      </c>
      <c r="AX157">
        <v>0.123792184393619</v>
      </c>
      <c r="AY157">
        <v>0.12483975330012601</v>
      </c>
      <c r="AZ157">
        <v>0.12483975330012601</v>
      </c>
    </row>
    <row r="158" spans="1:52" x14ac:dyDescent="0.25">
      <c r="A158" t="s">
        <v>93</v>
      </c>
      <c r="B158" t="s">
        <v>374</v>
      </c>
      <c r="D158">
        <v>2020</v>
      </c>
      <c r="E158" t="s">
        <v>107</v>
      </c>
      <c r="F158" t="s">
        <v>417</v>
      </c>
      <c r="G158" t="s">
        <v>241</v>
      </c>
      <c r="H158" t="s">
        <v>418</v>
      </c>
      <c r="I158">
        <v>1</v>
      </c>
      <c r="J158">
        <v>700.17955000000006</v>
      </c>
      <c r="K158">
        <v>30</v>
      </c>
      <c r="L158">
        <v>31.536000000000001</v>
      </c>
      <c r="M158">
        <v>3232.554589138178</v>
      </c>
      <c r="N158">
        <v>2974.9201081634578</v>
      </c>
      <c r="O158">
        <v>2378.9027813256071</v>
      </c>
      <c r="P158">
        <v>1782.885454487767</v>
      </c>
      <c r="Q158">
        <v>1610.1995746889211</v>
      </c>
      <c r="R158">
        <v>1437.5136948900749</v>
      </c>
      <c r="S158">
        <v>1264.827815091229</v>
      </c>
      <c r="T158">
        <v>1264.827815091229</v>
      </c>
      <c r="U158">
        <v>34.293446157052799</v>
      </c>
      <c r="V158">
        <v>31.784509373254991</v>
      </c>
      <c r="W158">
        <v>26.108139740981851</v>
      </c>
      <c r="X158">
        <v>20.431770108708822</v>
      </c>
      <c r="Y158">
        <v>18.787138585640339</v>
      </c>
      <c r="Z158">
        <v>17.142507062571742</v>
      </c>
      <c r="AA158">
        <v>15.49787553950326</v>
      </c>
      <c r="AB158">
        <v>15.49787553950326</v>
      </c>
      <c r="AS158">
        <v>0.18503063549930401</v>
      </c>
      <c r="AT158">
        <v>0.18581621794522901</v>
      </c>
      <c r="AU158">
        <v>0.186798196002635</v>
      </c>
      <c r="AV158">
        <v>0.18778017406004199</v>
      </c>
      <c r="AW158">
        <v>0.18939658692404299</v>
      </c>
      <c r="AX158">
        <v>0.19101299978804501</v>
      </c>
      <c r="AY158">
        <v>0.192629412652047</v>
      </c>
      <c r="AZ158">
        <v>0.192629412652047</v>
      </c>
    </row>
    <row r="159" spans="1:52" x14ac:dyDescent="0.25">
      <c r="A159" t="s">
        <v>93</v>
      </c>
      <c r="B159" t="s">
        <v>374</v>
      </c>
      <c r="D159">
        <v>2020</v>
      </c>
      <c r="E159" t="s">
        <v>107</v>
      </c>
      <c r="F159" t="s">
        <v>419</v>
      </c>
      <c r="G159" t="s">
        <v>241</v>
      </c>
      <c r="H159" t="s">
        <v>420</v>
      </c>
      <c r="I159">
        <v>1</v>
      </c>
      <c r="J159">
        <v>700.17955000000006</v>
      </c>
      <c r="K159">
        <v>30</v>
      </c>
      <c r="L159">
        <v>31.536000000000001</v>
      </c>
      <c r="M159">
        <v>3232.554589138178</v>
      </c>
      <c r="N159">
        <v>2974.9201081634578</v>
      </c>
      <c r="O159">
        <v>2378.9027813256071</v>
      </c>
      <c r="P159">
        <v>1782.885454487767</v>
      </c>
      <c r="Q159">
        <v>1610.1995746889211</v>
      </c>
      <c r="R159">
        <v>1437.5136948900749</v>
      </c>
      <c r="S159">
        <v>1264.827815091229</v>
      </c>
      <c r="T159">
        <v>1264.827815091229</v>
      </c>
      <c r="U159">
        <v>34.293446157052799</v>
      </c>
      <c r="V159">
        <v>31.784509373254991</v>
      </c>
      <c r="W159">
        <v>26.108139740981851</v>
      </c>
      <c r="X159">
        <v>20.431770108708822</v>
      </c>
      <c r="Y159">
        <v>18.787138585640339</v>
      </c>
      <c r="Z159">
        <v>17.142507062571742</v>
      </c>
      <c r="AA159">
        <v>15.49787553950326</v>
      </c>
      <c r="AB159">
        <v>15.49787553950326</v>
      </c>
      <c r="AS159">
        <v>0.18216811758946999</v>
      </c>
      <c r="AT159">
        <v>0.182941546675952</v>
      </c>
      <c r="AU159">
        <v>0.18390833303405599</v>
      </c>
      <c r="AV159">
        <v>0.184875119392159</v>
      </c>
      <c r="AW159">
        <v>0.18646652552816401</v>
      </c>
      <c r="AX159">
        <v>0.18805793166417001</v>
      </c>
      <c r="AY159">
        <v>0.18964933780017501</v>
      </c>
      <c r="AZ159">
        <v>0.18964933780017501</v>
      </c>
    </row>
    <row r="160" spans="1:52" x14ac:dyDescent="0.25">
      <c r="A160" t="s">
        <v>93</v>
      </c>
      <c r="B160" t="s">
        <v>374</v>
      </c>
      <c r="D160">
        <v>2020</v>
      </c>
      <c r="E160" t="s">
        <v>107</v>
      </c>
      <c r="F160" t="s">
        <v>421</v>
      </c>
      <c r="G160" t="s">
        <v>241</v>
      </c>
      <c r="H160" t="s">
        <v>422</v>
      </c>
      <c r="I160">
        <v>1</v>
      </c>
      <c r="J160">
        <v>700.17955000000006</v>
      </c>
      <c r="K160">
        <v>30</v>
      </c>
      <c r="L160">
        <v>31.536000000000001</v>
      </c>
      <c r="M160">
        <v>3232.554589138178</v>
      </c>
      <c r="N160">
        <v>2974.9201081634578</v>
      </c>
      <c r="O160">
        <v>2378.9027813256071</v>
      </c>
      <c r="P160">
        <v>1782.885454487767</v>
      </c>
      <c r="Q160">
        <v>1610.1995746889211</v>
      </c>
      <c r="R160">
        <v>1437.5136948900749</v>
      </c>
      <c r="S160">
        <v>1264.827815091229</v>
      </c>
      <c r="T160">
        <v>1264.827815091229</v>
      </c>
      <c r="U160">
        <v>34.293446157052799</v>
      </c>
      <c r="V160">
        <v>31.784509373254991</v>
      </c>
      <c r="W160">
        <v>26.108139740981851</v>
      </c>
      <c r="X160">
        <v>20.431770108708822</v>
      </c>
      <c r="Y160">
        <v>18.787138585640339</v>
      </c>
      <c r="Z160">
        <v>17.142507062571742</v>
      </c>
      <c r="AA160">
        <v>15.49787553950326</v>
      </c>
      <c r="AB160">
        <v>15.49787553950326</v>
      </c>
      <c r="AS160">
        <v>0.16994680900089701</v>
      </c>
      <c r="AT160">
        <v>0.17066835021774401</v>
      </c>
      <c r="AU160">
        <v>0.17157027673880201</v>
      </c>
      <c r="AV160">
        <v>0.17247220325986101</v>
      </c>
      <c r="AW160">
        <v>0.173956845019447</v>
      </c>
      <c r="AX160">
        <v>0.17544148677903401</v>
      </c>
      <c r="AY160">
        <v>0.17692612853862</v>
      </c>
      <c r="AZ160">
        <v>0.17692612853862</v>
      </c>
    </row>
    <row r="161" spans="1:52" x14ac:dyDescent="0.25">
      <c r="A161" t="s">
        <v>93</v>
      </c>
      <c r="B161" t="s">
        <v>374</v>
      </c>
      <c r="D161">
        <v>2020</v>
      </c>
      <c r="E161" t="s">
        <v>107</v>
      </c>
      <c r="F161" t="s">
        <v>423</v>
      </c>
      <c r="G161" t="s">
        <v>241</v>
      </c>
      <c r="H161" t="s">
        <v>424</v>
      </c>
      <c r="I161">
        <v>1</v>
      </c>
      <c r="J161">
        <v>700.17955000000006</v>
      </c>
      <c r="K161">
        <v>30</v>
      </c>
      <c r="L161">
        <v>31.536000000000001</v>
      </c>
      <c r="M161">
        <v>3232.554589138178</v>
      </c>
      <c r="N161">
        <v>2974.9201081634578</v>
      </c>
      <c r="O161">
        <v>2378.9027813256071</v>
      </c>
      <c r="P161">
        <v>1782.885454487767</v>
      </c>
      <c r="Q161">
        <v>1610.1995746889211</v>
      </c>
      <c r="R161">
        <v>1437.5136948900749</v>
      </c>
      <c r="S161">
        <v>1264.827815091229</v>
      </c>
      <c r="T161">
        <v>1264.827815091229</v>
      </c>
      <c r="U161">
        <v>34.293446157052799</v>
      </c>
      <c r="V161">
        <v>31.784509373254991</v>
      </c>
      <c r="W161">
        <v>26.108139740981851</v>
      </c>
      <c r="X161">
        <v>20.431770108708822</v>
      </c>
      <c r="Y161">
        <v>18.787138585640339</v>
      </c>
      <c r="Z161">
        <v>17.142507062571742</v>
      </c>
      <c r="AA161">
        <v>15.49787553950326</v>
      </c>
      <c r="AB161">
        <v>15.49787553950326</v>
      </c>
      <c r="AS161">
        <v>0.16059540108645801</v>
      </c>
      <c r="AT161">
        <v>0.16127723913802999</v>
      </c>
      <c r="AU161">
        <v>0.162129536702494</v>
      </c>
      <c r="AV161">
        <v>0.162981834266958</v>
      </c>
      <c r="AW161">
        <v>0.164384782873361</v>
      </c>
      <c r="AX161">
        <v>0.165787731479764</v>
      </c>
      <c r="AY161">
        <v>0.167190680086168</v>
      </c>
      <c r="AZ161">
        <v>0.167190680086168</v>
      </c>
    </row>
    <row r="162" spans="1:52" x14ac:dyDescent="0.25">
      <c r="A162" t="s">
        <v>93</v>
      </c>
      <c r="B162" t="s">
        <v>374</v>
      </c>
      <c r="D162">
        <v>2020</v>
      </c>
      <c r="E162" t="s">
        <v>107</v>
      </c>
      <c r="F162" t="s">
        <v>425</v>
      </c>
      <c r="G162" t="s">
        <v>241</v>
      </c>
      <c r="H162" t="s">
        <v>426</v>
      </c>
      <c r="I162">
        <v>1</v>
      </c>
      <c r="J162">
        <v>700.17955000000006</v>
      </c>
      <c r="K162">
        <v>30</v>
      </c>
      <c r="L162">
        <v>31.536000000000001</v>
      </c>
      <c r="M162">
        <v>3232.554589138178</v>
      </c>
      <c r="N162">
        <v>2974.9201081634578</v>
      </c>
      <c r="O162">
        <v>2378.9027813256071</v>
      </c>
      <c r="P162">
        <v>1782.885454487767</v>
      </c>
      <c r="Q162">
        <v>1610.1995746889211</v>
      </c>
      <c r="R162">
        <v>1437.5136948900749</v>
      </c>
      <c r="S162">
        <v>1264.827815091229</v>
      </c>
      <c r="T162">
        <v>1264.827815091229</v>
      </c>
      <c r="U162">
        <v>34.293446157052799</v>
      </c>
      <c r="V162">
        <v>31.784509373254991</v>
      </c>
      <c r="W162">
        <v>26.108139740981851</v>
      </c>
      <c r="X162">
        <v>20.431770108708822</v>
      </c>
      <c r="Y162">
        <v>18.787138585640339</v>
      </c>
      <c r="Z162">
        <v>17.142507062571742</v>
      </c>
      <c r="AA162">
        <v>15.49787553950326</v>
      </c>
      <c r="AB162">
        <v>15.49787553950326</v>
      </c>
      <c r="AS162">
        <v>0.152109734046392</v>
      </c>
      <c r="AT162">
        <v>0.15275554459878399</v>
      </c>
      <c r="AU162">
        <v>0.153562807789274</v>
      </c>
      <c r="AV162">
        <v>0.15437007097976299</v>
      </c>
      <c r="AW162">
        <v>0.155698889476165</v>
      </c>
      <c r="AX162">
        <v>0.15702770797256699</v>
      </c>
      <c r="AY162">
        <v>0.158356526468969</v>
      </c>
      <c r="AZ162">
        <v>0.158356526468969</v>
      </c>
    </row>
    <row r="163" spans="1:52" x14ac:dyDescent="0.25">
      <c r="A163" t="s">
        <v>93</v>
      </c>
      <c r="B163" t="s">
        <v>374</v>
      </c>
      <c r="D163">
        <v>2020</v>
      </c>
      <c r="E163" t="s">
        <v>107</v>
      </c>
      <c r="F163" t="s">
        <v>427</v>
      </c>
      <c r="G163" t="s">
        <v>241</v>
      </c>
      <c r="H163" t="s">
        <v>428</v>
      </c>
      <c r="I163">
        <v>1</v>
      </c>
      <c r="J163">
        <v>700.17955000000006</v>
      </c>
      <c r="K163">
        <v>30</v>
      </c>
      <c r="L163">
        <v>31.536000000000001</v>
      </c>
      <c r="M163">
        <v>3232.554589138178</v>
      </c>
      <c r="N163">
        <v>2974.9201081634578</v>
      </c>
      <c r="O163">
        <v>2378.9027813256071</v>
      </c>
      <c r="P163">
        <v>1782.885454487767</v>
      </c>
      <c r="Q163">
        <v>1610.1995746889211</v>
      </c>
      <c r="R163">
        <v>1437.5136948900749</v>
      </c>
      <c r="S163">
        <v>1264.827815091229</v>
      </c>
      <c r="T163">
        <v>1264.827815091229</v>
      </c>
      <c r="U163">
        <v>34.293446157052799</v>
      </c>
      <c r="V163">
        <v>31.784509373254991</v>
      </c>
      <c r="W163">
        <v>26.108139740981851</v>
      </c>
      <c r="X163">
        <v>20.431770108708822</v>
      </c>
      <c r="Y163">
        <v>18.787138585640339</v>
      </c>
      <c r="Z163">
        <v>17.142507062571742</v>
      </c>
      <c r="AA163">
        <v>15.49787553950326</v>
      </c>
      <c r="AB163">
        <v>15.49787553950326</v>
      </c>
      <c r="AS163">
        <v>0.15022218240747401</v>
      </c>
      <c r="AT163">
        <v>0.15085997900353201</v>
      </c>
      <c r="AU163">
        <v>0.15165722474860399</v>
      </c>
      <c r="AV163">
        <v>0.152454470493676</v>
      </c>
      <c r="AW163">
        <v>0.15376679948961</v>
      </c>
      <c r="AX163">
        <v>0.155079128485545</v>
      </c>
      <c r="AY163">
        <v>0.15639145748147901</v>
      </c>
      <c r="AZ163">
        <v>0.15639145748147901</v>
      </c>
    </row>
    <row r="164" spans="1:52" x14ac:dyDescent="0.25">
      <c r="A164" t="s">
        <v>93</v>
      </c>
      <c r="B164" t="s">
        <v>374</v>
      </c>
      <c r="D164">
        <v>2020</v>
      </c>
      <c r="E164" t="s">
        <v>107</v>
      </c>
      <c r="F164" t="s">
        <v>429</v>
      </c>
      <c r="G164" t="s">
        <v>241</v>
      </c>
      <c r="H164" t="s">
        <v>430</v>
      </c>
      <c r="I164">
        <v>1</v>
      </c>
      <c r="J164">
        <v>700.17955000000006</v>
      </c>
      <c r="K164">
        <v>30</v>
      </c>
      <c r="L164">
        <v>31.536000000000001</v>
      </c>
      <c r="M164">
        <v>3232.554589138178</v>
      </c>
      <c r="N164">
        <v>2974.9201081634578</v>
      </c>
      <c r="O164">
        <v>2378.9027813256071</v>
      </c>
      <c r="P164">
        <v>1782.885454487767</v>
      </c>
      <c r="Q164">
        <v>1610.1995746889211</v>
      </c>
      <c r="R164">
        <v>1437.5136948900749</v>
      </c>
      <c r="S164">
        <v>1264.827815091229</v>
      </c>
      <c r="T164">
        <v>1264.827815091229</v>
      </c>
      <c r="U164">
        <v>34.293446157052799</v>
      </c>
      <c r="V164">
        <v>31.784509373254991</v>
      </c>
      <c r="W164">
        <v>26.108139740981851</v>
      </c>
      <c r="X164">
        <v>20.431770108708822</v>
      </c>
      <c r="Y164">
        <v>18.787138585640339</v>
      </c>
      <c r="Z164">
        <v>17.142507062571742</v>
      </c>
      <c r="AA164">
        <v>15.49787553950326</v>
      </c>
      <c r="AB164">
        <v>15.49787553950326</v>
      </c>
      <c r="AS164">
        <v>0.14359938576070599</v>
      </c>
      <c r="AT164">
        <v>0.144209064025037</v>
      </c>
      <c r="AU164">
        <v>0.14497116185545</v>
      </c>
      <c r="AV164">
        <v>0.14573325968586401</v>
      </c>
      <c r="AW164">
        <v>0.14698773245887201</v>
      </c>
      <c r="AX164">
        <v>0.148242205231881</v>
      </c>
      <c r="AY164">
        <v>0.149496678004889</v>
      </c>
      <c r="AZ164">
        <v>0.149496678004889</v>
      </c>
    </row>
    <row r="165" spans="1:52" x14ac:dyDescent="0.25">
      <c r="A165" t="s">
        <v>93</v>
      </c>
      <c r="B165" t="s">
        <v>374</v>
      </c>
      <c r="D165">
        <v>2020</v>
      </c>
      <c r="E165" t="s">
        <v>107</v>
      </c>
      <c r="F165" t="s">
        <v>431</v>
      </c>
      <c r="G165" t="s">
        <v>241</v>
      </c>
      <c r="H165" t="s">
        <v>432</v>
      </c>
      <c r="I165">
        <v>1</v>
      </c>
      <c r="J165">
        <v>700.17955000000006</v>
      </c>
      <c r="K165">
        <v>30</v>
      </c>
      <c r="L165">
        <v>31.536000000000001</v>
      </c>
      <c r="M165">
        <v>3232.554589138178</v>
      </c>
      <c r="N165">
        <v>2974.9201081634578</v>
      </c>
      <c r="O165">
        <v>2378.9027813256071</v>
      </c>
      <c r="P165">
        <v>1782.885454487767</v>
      </c>
      <c r="Q165">
        <v>1610.1995746889211</v>
      </c>
      <c r="R165">
        <v>1437.5136948900749</v>
      </c>
      <c r="S165">
        <v>1264.827815091229</v>
      </c>
      <c r="T165">
        <v>1264.827815091229</v>
      </c>
      <c r="U165">
        <v>34.293446157052799</v>
      </c>
      <c r="V165">
        <v>31.784509373254991</v>
      </c>
      <c r="W165">
        <v>26.108139740981851</v>
      </c>
      <c r="X165">
        <v>20.431770108708822</v>
      </c>
      <c r="Y165">
        <v>18.787138585640339</v>
      </c>
      <c r="Z165">
        <v>17.142507062571742</v>
      </c>
      <c r="AA165">
        <v>15.49787553950326</v>
      </c>
      <c r="AB165">
        <v>15.49787553950326</v>
      </c>
      <c r="AS165">
        <v>0.136792993704728</v>
      </c>
      <c r="AT165">
        <v>0.13737377414841001</v>
      </c>
      <c r="AU165">
        <v>0.138099749703012</v>
      </c>
      <c r="AV165">
        <v>0.138825725257614</v>
      </c>
      <c r="AW165">
        <v>0.14002073793285499</v>
      </c>
      <c r="AX165">
        <v>0.14121575060809699</v>
      </c>
      <c r="AY165">
        <v>0.14241076328333799</v>
      </c>
      <c r="AZ165">
        <v>0.14241076328333799</v>
      </c>
    </row>
    <row r="166" spans="1:52" x14ac:dyDescent="0.25">
      <c r="A166" t="s">
        <v>93</v>
      </c>
      <c r="B166" t="s">
        <v>374</v>
      </c>
      <c r="D166">
        <v>2020</v>
      </c>
      <c r="E166" t="s">
        <v>107</v>
      </c>
      <c r="F166" t="s">
        <v>433</v>
      </c>
      <c r="G166" t="s">
        <v>241</v>
      </c>
      <c r="H166" t="s">
        <v>434</v>
      </c>
      <c r="I166">
        <v>1</v>
      </c>
      <c r="J166">
        <v>700.17955000000006</v>
      </c>
      <c r="K166">
        <v>30</v>
      </c>
      <c r="L166">
        <v>31.536000000000001</v>
      </c>
      <c r="M166">
        <v>3232.554589138178</v>
      </c>
      <c r="N166">
        <v>2974.9201081634578</v>
      </c>
      <c r="O166">
        <v>2378.9027813256071</v>
      </c>
      <c r="P166">
        <v>1782.885454487767</v>
      </c>
      <c r="Q166">
        <v>1610.1995746889211</v>
      </c>
      <c r="R166">
        <v>1437.5136948900749</v>
      </c>
      <c r="S166">
        <v>1264.827815091229</v>
      </c>
      <c r="T166">
        <v>1264.827815091229</v>
      </c>
      <c r="U166">
        <v>34.293446157052799</v>
      </c>
      <c r="V166">
        <v>31.784509373254991</v>
      </c>
      <c r="W166">
        <v>26.108139740981851</v>
      </c>
      <c r="X166">
        <v>20.431770108708822</v>
      </c>
      <c r="Y166">
        <v>18.787138585640339</v>
      </c>
      <c r="Z166">
        <v>17.142507062571742</v>
      </c>
      <c r="AA166">
        <v>15.49787553950326</v>
      </c>
      <c r="AB166">
        <v>15.49787553950326</v>
      </c>
      <c r="AS166">
        <v>0.13134788521027199</v>
      </c>
      <c r="AT166">
        <v>0.13190554741930099</v>
      </c>
      <c r="AU166">
        <v>0.13260262518058699</v>
      </c>
      <c r="AV166">
        <v>0.13329970294187399</v>
      </c>
      <c r="AW166">
        <v>0.13444714758389401</v>
      </c>
      <c r="AX166">
        <v>0.135594592225914</v>
      </c>
      <c r="AY166">
        <v>0.13674203686793501</v>
      </c>
      <c r="AZ166">
        <v>0.13674203686793501</v>
      </c>
    </row>
    <row r="167" spans="1:52" x14ac:dyDescent="0.25">
      <c r="A167" t="s">
        <v>93</v>
      </c>
      <c r="B167" t="s">
        <v>374</v>
      </c>
      <c r="D167">
        <v>2020</v>
      </c>
      <c r="E167" t="s">
        <v>107</v>
      </c>
      <c r="F167" t="s">
        <v>435</v>
      </c>
      <c r="G167" t="s">
        <v>241</v>
      </c>
      <c r="H167" t="s">
        <v>436</v>
      </c>
      <c r="I167">
        <v>1</v>
      </c>
      <c r="J167">
        <v>700.17955000000006</v>
      </c>
      <c r="K167">
        <v>30</v>
      </c>
      <c r="L167">
        <v>31.536000000000001</v>
      </c>
      <c r="M167">
        <v>1912.264310519447</v>
      </c>
      <c r="N167">
        <v>1887.703407882211</v>
      </c>
      <c r="O167">
        <v>1569.6288150057401</v>
      </c>
      <c r="P167">
        <v>1251.5542221292801</v>
      </c>
      <c r="Q167">
        <v>1147.154572863142</v>
      </c>
      <c r="R167">
        <v>1042.7549235970189</v>
      </c>
      <c r="S167">
        <v>938.35527433088987</v>
      </c>
      <c r="T167">
        <v>938.35527433088987</v>
      </c>
      <c r="U167">
        <v>20.242248163120561</v>
      </c>
      <c r="V167">
        <v>19.891925366567069</v>
      </c>
      <c r="W167">
        <v>17.127058056750311</v>
      </c>
      <c r="X167">
        <v>14.36219074693344</v>
      </c>
      <c r="Y167">
        <v>13.45469551192622</v>
      </c>
      <c r="Z167">
        <v>12.547200276919</v>
      </c>
      <c r="AA167">
        <v>11.63970504191178</v>
      </c>
      <c r="AB167">
        <v>11.63970504191178</v>
      </c>
      <c r="AS167">
        <v>0.12096965050148401</v>
      </c>
      <c r="AT167">
        <v>0.123418852376513</v>
      </c>
      <c r="AU167">
        <v>0.1264803547203</v>
      </c>
      <c r="AV167">
        <v>0.129541857064086</v>
      </c>
      <c r="AW167">
        <v>0.13168729284127201</v>
      </c>
      <c r="AX167">
        <v>0.13383272861845799</v>
      </c>
      <c r="AY167">
        <v>0.135978164395645</v>
      </c>
      <c r="AZ167">
        <v>0.135978164395645</v>
      </c>
    </row>
    <row r="168" spans="1:52" x14ac:dyDescent="0.25">
      <c r="A168" t="s">
        <v>93</v>
      </c>
      <c r="B168" t="s">
        <v>374</v>
      </c>
      <c r="D168">
        <v>2020</v>
      </c>
      <c r="E168" t="s">
        <v>107</v>
      </c>
      <c r="F168" t="s">
        <v>437</v>
      </c>
      <c r="G168" t="s">
        <v>241</v>
      </c>
      <c r="H168" t="s">
        <v>438</v>
      </c>
      <c r="I168">
        <v>1</v>
      </c>
      <c r="J168">
        <v>700.17955000000006</v>
      </c>
      <c r="K168">
        <v>30</v>
      </c>
      <c r="L168">
        <v>31.536000000000001</v>
      </c>
      <c r="M168">
        <v>1912.264310519447</v>
      </c>
      <c r="N168">
        <v>1887.703407882211</v>
      </c>
      <c r="O168">
        <v>1569.6288150057401</v>
      </c>
      <c r="P168">
        <v>1251.5542221292801</v>
      </c>
      <c r="Q168">
        <v>1147.154572863142</v>
      </c>
      <c r="R168">
        <v>1042.7549235970189</v>
      </c>
      <c r="S168">
        <v>938.35527433088987</v>
      </c>
      <c r="T168">
        <v>938.35527433088987</v>
      </c>
      <c r="U168">
        <v>20.242248163120561</v>
      </c>
      <c r="V168">
        <v>19.891925366567069</v>
      </c>
      <c r="W168">
        <v>17.127058056750311</v>
      </c>
      <c r="X168">
        <v>14.36219074693344</v>
      </c>
      <c r="Y168">
        <v>13.45469551192622</v>
      </c>
      <c r="Z168">
        <v>12.547200276919</v>
      </c>
      <c r="AA168">
        <v>11.63970504191178</v>
      </c>
      <c r="AB168">
        <v>11.63970504191178</v>
      </c>
      <c r="AS168">
        <v>0.18816672532975201</v>
      </c>
      <c r="AT168">
        <v>0.19197642713995999</v>
      </c>
      <c r="AU168">
        <v>0.19673855440272101</v>
      </c>
      <c r="AV168">
        <v>0.20150068166548099</v>
      </c>
      <c r="AW168">
        <v>0.20483787924293001</v>
      </c>
      <c r="AX168">
        <v>0.208175076820379</v>
      </c>
      <c r="AY168">
        <v>0.21151227439782799</v>
      </c>
      <c r="AZ168">
        <v>0.21151227439782799</v>
      </c>
    </row>
    <row r="169" spans="1:52" x14ac:dyDescent="0.25">
      <c r="A169" t="s">
        <v>93</v>
      </c>
      <c r="B169" t="s">
        <v>374</v>
      </c>
      <c r="D169">
        <v>2020</v>
      </c>
      <c r="E169" t="s">
        <v>107</v>
      </c>
      <c r="F169" t="s">
        <v>439</v>
      </c>
      <c r="G169" t="s">
        <v>241</v>
      </c>
      <c r="H169" t="s">
        <v>440</v>
      </c>
      <c r="I169">
        <v>1</v>
      </c>
      <c r="J169">
        <v>700.17955000000006</v>
      </c>
      <c r="K169">
        <v>30</v>
      </c>
      <c r="L169">
        <v>31.536000000000001</v>
      </c>
      <c r="M169">
        <v>1912.264310519447</v>
      </c>
      <c r="N169">
        <v>1887.703407882211</v>
      </c>
      <c r="O169">
        <v>1569.6288150057401</v>
      </c>
      <c r="P169">
        <v>1251.5542221292801</v>
      </c>
      <c r="Q169">
        <v>1147.154572863142</v>
      </c>
      <c r="R169">
        <v>1042.7549235970189</v>
      </c>
      <c r="S169">
        <v>938.35527433088987</v>
      </c>
      <c r="T169">
        <v>938.35527433088987</v>
      </c>
      <c r="U169">
        <v>20.242248163120561</v>
      </c>
      <c r="V169">
        <v>19.891925366567069</v>
      </c>
      <c r="W169">
        <v>17.127058056750311</v>
      </c>
      <c r="X169">
        <v>14.36219074693344</v>
      </c>
      <c r="Y169">
        <v>13.45469551192622</v>
      </c>
      <c r="Z169">
        <v>12.547200276919</v>
      </c>
      <c r="AA169">
        <v>11.63970504191178</v>
      </c>
      <c r="AB169">
        <v>11.63970504191178</v>
      </c>
      <c r="AS169">
        <v>0.18134325755257399</v>
      </c>
      <c r="AT169">
        <v>0.185014808595174</v>
      </c>
      <c r="AU169">
        <v>0.18960424739842399</v>
      </c>
      <c r="AV169">
        <v>0.19419368620167399</v>
      </c>
      <c r="AW169">
        <v>0.197409867376802</v>
      </c>
      <c r="AX169">
        <v>0.200626048551931</v>
      </c>
      <c r="AY169">
        <v>0.20384222972706001</v>
      </c>
      <c r="AZ169">
        <v>0.20384222972706001</v>
      </c>
    </row>
    <row r="170" spans="1:52" x14ac:dyDescent="0.25">
      <c r="A170" t="s">
        <v>93</v>
      </c>
      <c r="B170" t="s">
        <v>374</v>
      </c>
      <c r="D170">
        <v>2020</v>
      </c>
      <c r="E170" t="s">
        <v>107</v>
      </c>
      <c r="F170" t="s">
        <v>441</v>
      </c>
      <c r="G170" t="s">
        <v>241</v>
      </c>
      <c r="H170" t="s">
        <v>442</v>
      </c>
      <c r="I170">
        <v>1</v>
      </c>
      <c r="J170">
        <v>700.17955000000006</v>
      </c>
      <c r="K170">
        <v>30</v>
      </c>
      <c r="L170">
        <v>31.536000000000001</v>
      </c>
      <c r="M170">
        <v>1912.264310519447</v>
      </c>
      <c r="N170">
        <v>1887.703407882211</v>
      </c>
      <c r="O170">
        <v>1569.6288150057401</v>
      </c>
      <c r="P170">
        <v>1251.5542221292801</v>
      </c>
      <c r="Q170">
        <v>1147.154572863142</v>
      </c>
      <c r="R170">
        <v>1042.7549235970189</v>
      </c>
      <c r="S170">
        <v>938.35527433088987</v>
      </c>
      <c r="T170">
        <v>938.35527433088987</v>
      </c>
      <c r="U170">
        <v>20.242248163120561</v>
      </c>
      <c r="V170">
        <v>19.891925366567069</v>
      </c>
      <c r="W170">
        <v>17.127058056750311</v>
      </c>
      <c r="X170">
        <v>14.36219074693344</v>
      </c>
      <c r="Y170">
        <v>13.45469551192622</v>
      </c>
      <c r="Z170">
        <v>12.547200276919</v>
      </c>
      <c r="AA170">
        <v>11.63970504191178</v>
      </c>
      <c r="AB170">
        <v>11.63970504191178</v>
      </c>
      <c r="AS170">
        <v>0.17166269953272201</v>
      </c>
      <c r="AT170">
        <v>0.17513825396993199</v>
      </c>
      <c r="AU170">
        <v>0.17948269701644401</v>
      </c>
      <c r="AV170">
        <v>0.183827140062956</v>
      </c>
      <c r="AW170">
        <v>0.186871633418596</v>
      </c>
      <c r="AX170">
        <v>0.189916126774236</v>
      </c>
      <c r="AY170">
        <v>0.192960620129876</v>
      </c>
      <c r="AZ170">
        <v>0.192960620129876</v>
      </c>
    </row>
    <row r="171" spans="1:52" x14ac:dyDescent="0.25">
      <c r="A171" t="s">
        <v>93</v>
      </c>
      <c r="B171" t="s">
        <v>374</v>
      </c>
      <c r="D171">
        <v>2020</v>
      </c>
      <c r="E171" t="s">
        <v>107</v>
      </c>
      <c r="F171" t="s">
        <v>443</v>
      </c>
      <c r="G171" t="s">
        <v>241</v>
      </c>
      <c r="H171" t="s">
        <v>444</v>
      </c>
      <c r="I171">
        <v>1</v>
      </c>
      <c r="J171">
        <v>700.17955000000006</v>
      </c>
      <c r="K171">
        <v>30</v>
      </c>
      <c r="L171">
        <v>31.536000000000001</v>
      </c>
      <c r="M171">
        <v>1912.264310519447</v>
      </c>
      <c r="N171">
        <v>1887.703407882211</v>
      </c>
      <c r="O171">
        <v>1569.6288150057401</v>
      </c>
      <c r="P171">
        <v>1251.5542221292801</v>
      </c>
      <c r="Q171">
        <v>1147.154572863142</v>
      </c>
      <c r="R171">
        <v>1042.7549235970189</v>
      </c>
      <c r="S171">
        <v>938.35527433088987</v>
      </c>
      <c r="T171">
        <v>938.35527433088987</v>
      </c>
      <c r="U171">
        <v>20.242248163120561</v>
      </c>
      <c r="V171">
        <v>19.891925366567069</v>
      </c>
      <c r="W171">
        <v>17.127058056750311</v>
      </c>
      <c r="X171">
        <v>14.36219074693344</v>
      </c>
      <c r="Y171">
        <v>13.45469551192622</v>
      </c>
      <c r="Z171">
        <v>12.547200276919</v>
      </c>
      <c r="AA171">
        <v>11.63970504191178</v>
      </c>
      <c r="AB171">
        <v>11.63970504191178</v>
      </c>
      <c r="AS171">
        <v>0.162592000968006</v>
      </c>
      <c r="AT171">
        <v>0.16588390626809399</v>
      </c>
      <c r="AU171">
        <v>0.169998787893204</v>
      </c>
      <c r="AV171">
        <v>0.174113669518314</v>
      </c>
      <c r="AW171">
        <v>0.17699729110864601</v>
      </c>
      <c r="AX171">
        <v>0.17988091269897899</v>
      </c>
      <c r="AY171">
        <v>0.182764534289311</v>
      </c>
      <c r="AZ171">
        <v>0.182764534289311</v>
      </c>
    </row>
    <row r="172" spans="1:52" x14ac:dyDescent="0.25">
      <c r="A172" t="s">
        <v>93</v>
      </c>
      <c r="B172" t="s">
        <v>374</v>
      </c>
      <c r="D172">
        <v>2020</v>
      </c>
      <c r="E172" t="s">
        <v>107</v>
      </c>
      <c r="F172" t="s">
        <v>445</v>
      </c>
      <c r="G172" t="s">
        <v>241</v>
      </c>
      <c r="H172" t="s">
        <v>446</v>
      </c>
      <c r="I172">
        <v>1</v>
      </c>
      <c r="J172">
        <v>700.17955000000006</v>
      </c>
      <c r="K172">
        <v>30</v>
      </c>
      <c r="L172">
        <v>31.536000000000001</v>
      </c>
      <c r="M172">
        <v>1912.264310519447</v>
      </c>
      <c r="N172">
        <v>1887.703407882211</v>
      </c>
      <c r="O172">
        <v>1569.6288150057401</v>
      </c>
      <c r="P172">
        <v>1251.5542221292801</v>
      </c>
      <c r="Q172">
        <v>1147.154572863142</v>
      </c>
      <c r="R172">
        <v>1042.7549235970189</v>
      </c>
      <c r="S172">
        <v>938.35527433088987</v>
      </c>
      <c r="T172">
        <v>938.35527433088987</v>
      </c>
      <c r="U172">
        <v>20.242248163120561</v>
      </c>
      <c r="V172">
        <v>19.891925366567069</v>
      </c>
      <c r="W172">
        <v>17.127058056750311</v>
      </c>
      <c r="X172">
        <v>14.36219074693344</v>
      </c>
      <c r="Y172">
        <v>13.45469551192622</v>
      </c>
      <c r="Z172">
        <v>12.547200276919</v>
      </c>
      <c r="AA172">
        <v>11.63970504191178</v>
      </c>
      <c r="AB172">
        <v>11.63970504191178</v>
      </c>
      <c r="AS172">
        <v>0.15515839795587699</v>
      </c>
      <c r="AT172">
        <v>0.15829979943653499</v>
      </c>
      <c r="AU172">
        <v>0.162226551287358</v>
      </c>
      <c r="AV172">
        <v>0.166153303138181</v>
      </c>
      <c r="AW172">
        <v>0.16890508738096799</v>
      </c>
      <c r="AX172">
        <v>0.17165687162375501</v>
      </c>
      <c r="AY172">
        <v>0.174408655866542</v>
      </c>
      <c r="AZ172">
        <v>0.174408655866542</v>
      </c>
    </row>
    <row r="173" spans="1:52" x14ac:dyDescent="0.25">
      <c r="A173" t="s">
        <v>93</v>
      </c>
      <c r="B173" t="s">
        <v>374</v>
      </c>
      <c r="D173">
        <v>2020</v>
      </c>
      <c r="E173" t="s">
        <v>107</v>
      </c>
      <c r="F173" t="s">
        <v>447</v>
      </c>
      <c r="G173" t="s">
        <v>241</v>
      </c>
      <c r="H173" t="s">
        <v>448</v>
      </c>
      <c r="I173">
        <v>1</v>
      </c>
      <c r="J173">
        <v>700.17955000000006</v>
      </c>
      <c r="K173">
        <v>30</v>
      </c>
      <c r="L173">
        <v>31.536000000000001</v>
      </c>
      <c r="M173">
        <v>1912.264310519447</v>
      </c>
      <c r="N173">
        <v>1887.703407882211</v>
      </c>
      <c r="O173">
        <v>1569.6288150057401</v>
      </c>
      <c r="P173">
        <v>1251.5542221292801</v>
      </c>
      <c r="Q173">
        <v>1147.154572863142</v>
      </c>
      <c r="R173">
        <v>1042.7549235970189</v>
      </c>
      <c r="S173">
        <v>938.35527433088987</v>
      </c>
      <c r="T173">
        <v>938.35527433088987</v>
      </c>
      <c r="U173">
        <v>20.242248163120561</v>
      </c>
      <c r="V173">
        <v>19.891925366567069</v>
      </c>
      <c r="W173">
        <v>17.127058056750311</v>
      </c>
      <c r="X173">
        <v>14.36219074693344</v>
      </c>
      <c r="Y173">
        <v>13.45469551192622</v>
      </c>
      <c r="Z173">
        <v>12.547200276919</v>
      </c>
      <c r="AA173">
        <v>11.63970504191178</v>
      </c>
      <c r="AB173">
        <v>11.63970504191178</v>
      </c>
      <c r="AS173">
        <v>0.15310089877420299</v>
      </c>
      <c r="AT173">
        <v>0.156200643270381</v>
      </c>
      <c r="AU173">
        <v>0.160075323890602</v>
      </c>
      <c r="AV173">
        <v>0.16395000451082301</v>
      </c>
      <c r="AW173">
        <v>0.166665298341862</v>
      </c>
      <c r="AX173">
        <v>0.1693805921729</v>
      </c>
      <c r="AY173">
        <v>0.17209588600393799</v>
      </c>
      <c r="AZ173">
        <v>0.17209588600393799</v>
      </c>
    </row>
    <row r="174" spans="1:52" x14ac:dyDescent="0.25">
      <c r="A174" t="s">
        <v>93</v>
      </c>
      <c r="B174" t="s">
        <v>374</v>
      </c>
      <c r="D174">
        <v>2020</v>
      </c>
      <c r="E174" t="s">
        <v>107</v>
      </c>
      <c r="F174" t="s">
        <v>449</v>
      </c>
      <c r="G174" t="s">
        <v>241</v>
      </c>
      <c r="H174" t="s">
        <v>450</v>
      </c>
      <c r="I174">
        <v>1</v>
      </c>
      <c r="J174">
        <v>700.17955000000006</v>
      </c>
      <c r="K174">
        <v>30</v>
      </c>
      <c r="L174">
        <v>31.536000000000001</v>
      </c>
      <c r="M174">
        <v>1912.264310519447</v>
      </c>
      <c r="N174">
        <v>1887.703407882211</v>
      </c>
      <c r="O174">
        <v>1569.6288150057401</v>
      </c>
      <c r="P174">
        <v>1251.5542221292801</v>
      </c>
      <c r="Q174">
        <v>1147.154572863142</v>
      </c>
      <c r="R174">
        <v>1042.7549235970189</v>
      </c>
      <c r="S174">
        <v>938.35527433088987</v>
      </c>
      <c r="T174">
        <v>938.35527433088987</v>
      </c>
      <c r="U174">
        <v>20.242248163120561</v>
      </c>
      <c r="V174">
        <v>19.891925366567069</v>
      </c>
      <c r="W174">
        <v>17.127058056750311</v>
      </c>
      <c r="X174">
        <v>14.36219074693344</v>
      </c>
      <c r="Y174">
        <v>13.45469551192622</v>
      </c>
      <c r="Z174">
        <v>12.547200276919</v>
      </c>
      <c r="AA174">
        <v>11.63970504191178</v>
      </c>
      <c r="AB174">
        <v>11.63970504191178</v>
      </c>
      <c r="AS174">
        <v>0.145874546451563</v>
      </c>
      <c r="AT174">
        <v>0.148827983211999</v>
      </c>
      <c r="AU174">
        <v>0.152519779162545</v>
      </c>
      <c r="AV174">
        <v>0.15621157511309</v>
      </c>
      <c r="AW174">
        <v>0.158798707254421</v>
      </c>
      <c r="AX174">
        <v>0.16138583939575199</v>
      </c>
      <c r="AY174">
        <v>0.16397297153708301</v>
      </c>
      <c r="AZ174">
        <v>0.16397297153708301</v>
      </c>
    </row>
    <row r="175" spans="1:52" x14ac:dyDescent="0.25">
      <c r="A175" t="s">
        <v>93</v>
      </c>
      <c r="B175" t="s">
        <v>374</v>
      </c>
      <c r="D175">
        <v>2020</v>
      </c>
      <c r="E175" t="s">
        <v>107</v>
      </c>
      <c r="F175" t="s">
        <v>451</v>
      </c>
      <c r="G175" t="s">
        <v>241</v>
      </c>
      <c r="H175" t="s">
        <v>452</v>
      </c>
      <c r="I175">
        <v>1</v>
      </c>
      <c r="J175">
        <v>700.17955000000006</v>
      </c>
      <c r="K175">
        <v>30</v>
      </c>
      <c r="L175">
        <v>31.536000000000001</v>
      </c>
      <c r="M175">
        <v>1912.264310519447</v>
      </c>
      <c r="N175">
        <v>1887.703407882211</v>
      </c>
      <c r="O175">
        <v>1569.6288150057401</v>
      </c>
      <c r="P175">
        <v>1251.5542221292801</v>
      </c>
      <c r="Q175">
        <v>1147.154572863142</v>
      </c>
      <c r="R175">
        <v>1042.7549235970189</v>
      </c>
      <c r="S175">
        <v>938.35527433088987</v>
      </c>
      <c r="T175">
        <v>938.35527433088987</v>
      </c>
      <c r="U175">
        <v>20.242248163120561</v>
      </c>
      <c r="V175">
        <v>19.891925366567069</v>
      </c>
      <c r="W175">
        <v>17.127058056750311</v>
      </c>
      <c r="X175">
        <v>14.36219074693344</v>
      </c>
      <c r="Y175">
        <v>13.45469551192622</v>
      </c>
      <c r="Z175">
        <v>12.547200276919</v>
      </c>
      <c r="AA175">
        <v>11.63970504191178</v>
      </c>
      <c r="AB175">
        <v>11.63970504191178</v>
      </c>
      <c r="AS175">
        <v>0.13854170923496401</v>
      </c>
      <c r="AT175">
        <v>0.141346682322192</v>
      </c>
      <c r="AU175">
        <v>0.144852898681227</v>
      </c>
      <c r="AV175">
        <v>0.148359115040262</v>
      </c>
      <c r="AW175">
        <v>0.15081619694793899</v>
      </c>
      <c r="AX175">
        <v>0.15327327885561601</v>
      </c>
      <c r="AY175">
        <v>0.155730360763293</v>
      </c>
      <c r="AZ175">
        <v>0.155730360763293</v>
      </c>
    </row>
    <row r="176" spans="1:52" x14ac:dyDescent="0.25">
      <c r="A176" t="s">
        <v>93</v>
      </c>
      <c r="B176" t="s">
        <v>374</v>
      </c>
      <c r="D176">
        <v>2020</v>
      </c>
      <c r="E176" t="s">
        <v>107</v>
      </c>
      <c r="F176" t="s">
        <v>453</v>
      </c>
      <c r="G176" t="s">
        <v>241</v>
      </c>
      <c r="H176" t="s">
        <v>454</v>
      </c>
      <c r="I176">
        <v>1</v>
      </c>
      <c r="J176">
        <v>700.17955000000006</v>
      </c>
      <c r="K176">
        <v>30</v>
      </c>
      <c r="L176">
        <v>31.536000000000001</v>
      </c>
      <c r="M176">
        <v>1912.264310519447</v>
      </c>
      <c r="N176">
        <v>1887.703407882211</v>
      </c>
      <c r="O176">
        <v>1569.6288150057401</v>
      </c>
      <c r="P176">
        <v>1251.5542221292801</v>
      </c>
      <c r="Q176">
        <v>1147.154572863142</v>
      </c>
      <c r="R176">
        <v>1042.7549235970189</v>
      </c>
      <c r="S176">
        <v>938.35527433088987</v>
      </c>
      <c r="T176">
        <v>938.35527433088987</v>
      </c>
      <c r="U176">
        <v>20.242248163120561</v>
      </c>
      <c r="V176">
        <v>19.891925366567069</v>
      </c>
      <c r="W176">
        <v>17.127058056750311</v>
      </c>
      <c r="X176">
        <v>14.36219074693344</v>
      </c>
      <c r="Y176">
        <v>13.45469551192622</v>
      </c>
      <c r="Z176">
        <v>12.547200276919</v>
      </c>
      <c r="AA176">
        <v>11.63970504191178</v>
      </c>
      <c r="AB176">
        <v>11.63970504191178</v>
      </c>
      <c r="AS176">
        <v>0.132984854395686</v>
      </c>
      <c r="AT176">
        <v>0.13567732108783701</v>
      </c>
      <c r="AU176">
        <v>0.139042904453026</v>
      </c>
      <c r="AV176">
        <v>0.142408487818215</v>
      </c>
      <c r="AW176">
        <v>0.144767017112642</v>
      </c>
      <c r="AX176">
        <v>0.14712554640707001</v>
      </c>
      <c r="AY176">
        <v>0.14948407570149699</v>
      </c>
      <c r="AZ176">
        <v>0.14948407570149699</v>
      </c>
    </row>
    <row r="177" spans="1:52" x14ac:dyDescent="0.25">
      <c r="A177" t="s">
        <v>93</v>
      </c>
      <c r="B177" t="s">
        <v>374</v>
      </c>
      <c r="D177">
        <v>2020</v>
      </c>
      <c r="E177" t="s">
        <v>148</v>
      </c>
      <c r="F177" t="s">
        <v>455</v>
      </c>
      <c r="G177" t="s">
        <v>148</v>
      </c>
      <c r="H177" t="s">
        <v>456</v>
      </c>
      <c r="I177">
        <v>1</v>
      </c>
      <c r="K177">
        <v>15</v>
      </c>
      <c r="L177">
        <v>31.536000000000001</v>
      </c>
      <c r="M177">
        <v>4162.5408273692674</v>
      </c>
      <c r="N177">
        <v>3570.678737809591</v>
      </c>
      <c r="O177">
        <v>3116.0248697709699</v>
      </c>
      <c r="P177">
        <v>2921.2733154102821</v>
      </c>
      <c r="Q177">
        <v>2726.5217610496052</v>
      </c>
      <c r="R177">
        <v>2531.770206688916</v>
      </c>
      <c r="S177">
        <v>2337.0186523282282</v>
      </c>
      <c r="T177">
        <v>2337.0186523282282</v>
      </c>
      <c r="U177">
        <v>104.0635206842318</v>
      </c>
      <c r="V177">
        <v>89.266968445239712</v>
      </c>
      <c r="W177">
        <v>77.90062174427436</v>
      </c>
      <c r="X177">
        <v>73.031832885257231</v>
      </c>
      <c r="Y177">
        <v>68.163044026240058</v>
      </c>
      <c r="Z177">
        <v>63.294255167222907</v>
      </c>
      <c r="AA177">
        <v>58.425466308205749</v>
      </c>
      <c r="AB177">
        <v>58.425466308205749</v>
      </c>
      <c r="AS177">
        <v>0.1041666666666667</v>
      </c>
      <c r="AT177">
        <v>0.1041666666666667</v>
      </c>
      <c r="AU177">
        <v>0.1041666666666667</v>
      </c>
      <c r="AV177">
        <v>0.1041666666666667</v>
      </c>
      <c r="AW177">
        <v>0.1041666666666667</v>
      </c>
      <c r="AX177">
        <v>0.1041666666666667</v>
      </c>
      <c r="AY177">
        <v>0.1041666666666667</v>
      </c>
      <c r="AZ177">
        <v>0.1041666666666667</v>
      </c>
    </row>
    <row r="178" spans="1:52" x14ac:dyDescent="0.25">
      <c r="A178" t="s">
        <v>93</v>
      </c>
      <c r="B178" t="s">
        <v>374</v>
      </c>
      <c r="D178">
        <v>2020</v>
      </c>
      <c r="E178" t="s">
        <v>148</v>
      </c>
      <c r="F178" t="s">
        <v>457</v>
      </c>
      <c r="G178" t="s">
        <v>148</v>
      </c>
      <c r="H178" t="s">
        <v>458</v>
      </c>
      <c r="I178">
        <v>1</v>
      </c>
      <c r="K178">
        <v>15</v>
      </c>
      <c r="L178">
        <v>31.536000000000001</v>
      </c>
      <c r="M178">
        <v>5380.2809655973724</v>
      </c>
      <c r="N178">
        <v>4339.0574976486123</v>
      </c>
      <c r="O178">
        <v>3736.1579963465811</v>
      </c>
      <c r="P178">
        <v>3502.6481215749259</v>
      </c>
      <c r="Q178">
        <v>3269.1382468032589</v>
      </c>
      <c r="R178">
        <v>3035.6283720316028</v>
      </c>
      <c r="S178">
        <v>2802.1184972599358</v>
      </c>
      <c r="T178">
        <v>2802.1184972599358</v>
      </c>
      <c r="U178">
        <v>134.50702413993429</v>
      </c>
      <c r="V178">
        <v>108.4764374412153</v>
      </c>
      <c r="W178">
        <v>93.403949908664657</v>
      </c>
      <c r="X178">
        <v>87.566203039373136</v>
      </c>
      <c r="Y178">
        <v>81.728456170081628</v>
      </c>
      <c r="Z178">
        <v>75.890709300790022</v>
      </c>
      <c r="AA178">
        <v>70.052962431498514</v>
      </c>
      <c r="AB178">
        <v>70.052962431498514</v>
      </c>
      <c r="AS178">
        <v>0.16666666666666671</v>
      </c>
      <c r="AT178">
        <v>0.16666666666666671</v>
      </c>
      <c r="AU178">
        <v>0.16666666666666671</v>
      </c>
      <c r="AV178">
        <v>0.16666666666666671</v>
      </c>
      <c r="AW178">
        <v>0.16666666666666671</v>
      </c>
      <c r="AX178">
        <v>0.16666666666666671</v>
      </c>
      <c r="AY178">
        <v>0.16666666666666671</v>
      </c>
      <c r="AZ178">
        <v>0.16666666666666671</v>
      </c>
    </row>
    <row r="179" spans="1:52" x14ac:dyDescent="0.25">
      <c r="A179" t="s">
        <v>93</v>
      </c>
      <c r="B179" t="s">
        <v>374</v>
      </c>
      <c r="D179">
        <v>2020</v>
      </c>
      <c r="E179" t="s">
        <v>148</v>
      </c>
      <c r="F179" t="s">
        <v>459</v>
      </c>
      <c r="G179" t="s">
        <v>148</v>
      </c>
      <c r="H179" t="s">
        <v>460</v>
      </c>
      <c r="I179">
        <v>1</v>
      </c>
      <c r="K179">
        <v>15</v>
      </c>
      <c r="L179">
        <v>31.536000000000001</v>
      </c>
      <c r="M179">
        <v>1385.437068205433</v>
      </c>
      <c r="N179">
        <v>1492.137706669683</v>
      </c>
      <c r="O179">
        <v>1275.561845040213</v>
      </c>
      <c r="P179">
        <v>1195.839229725193</v>
      </c>
      <c r="Q179">
        <v>1116.116614410189</v>
      </c>
      <c r="R179">
        <v>1036.393999095176</v>
      </c>
      <c r="S179">
        <v>956.67138378016114</v>
      </c>
      <c r="T179">
        <v>956.67138378016114</v>
      </c>
      <c r="U179">
        <v>34.63592670513588</v>
      </c>
      <c r="V179">
        <v>37.303442666742171</v>
      </c>
      <c r="W179">
        <v>31.889046126005329</v>
      </c>
      <c r="X179">
        <v>29.895980743129989</v>
      </c>
      <c r="Y179">
        <v>27.902915360254649</v>
      </c>
      <c r="Z179">
        <v>25.909849977379309</v>
      </c>
      <c r="AA179">
        <v>23.916784594503969</v>
      </c>
      <c r="AB179">
        <v>23.916784594503969</v>
      </c>
      <c r="AS179">
        <v>4.1666666666666657E-2</v>
      </c>
      <c r="AT179">
        <v>4.1666666666666657E-2</v>
      </c>
      <c r="AU179">
        <v>4.1666666666666657E-2</v>
      </c>
      <c r="AV179">
        <v>4.1666666666666657E-2</v>
      </c>
      <c r="AW179">
        <v>4.1666666666666657E-2</v>
      </c>
      <c r="AX179">
        <v>4.1666666666666657E-2</v>
      </c>
      <c r="AY179">
        <v>4.1666666666666657E-2</v>
      </c>
      <c r="AZ179">
        <v>4.1666666666666657E-2</v>
      </c>
    </row>
    <row r="180" spans="1:52" x14ac:dyDescent="0.25">
      <c r="A180" t="s">
        <v>93</v>
      </c>
      <c r="B180" t="s">
        <v>374</v>
      </c>
      <c r="D180">
        <v>2020</v>
      </c>
      <c r="E180" t="s">
        <v>148</v>
      </c>
      <c r="F180" t="s">
        <v>461</v>
      </c>
      <c r="G180" t="s">
        <v>148</v>
      </c>
      <c r="H180" t="s">
        <v>462</v>
      </c>
      <c r="I180">
        <v>1</v>
      </c>
      <c r="K180">
        <v>15</v>
      </c>
      <c r="L180">
        <v>31.536000000000001</v>
      </c>
      <c r="M180">
        <v>1650.7407533790711</v>
      </c>
      <c r="N180">
        <v>1728.1483448538529</v>
      </c>
      <c r="O180">
        <v>1457.1875963427051</v>
      </c>
      <c r="P180">
        <v>1366.113371571279</v>
      </c>
      <c r="Q180">
        <v>1275.039146799865</v>
      </c>
      <c r="R180">
        <v>1183.9649220284509</v>
      </c>
      <c r="S180">
        <v>1092.890697257033</v>
      </c>
      <c r="T180">
        <v>1092.890697257033</v>
      </c>
      <c r="U180">
        <v>41.268518834477</v>
      </c>
      <c r="V180">
        <v>43.20370862134655</v>
      </c>
      <c r="W180">
        <v>36.429689908567681</v>
      </c>
      <c r="X180">
        <v>34.152834289282211</v>
      </c>
      <c r="Y180">
        <v>31.875978669996751</v>
      </c>
      <c r="Z180">
        <v>29.599123050711281</v>
      </c>
      <c r="AA180">
        <v>27.322267431425811</v>
      </c>
      <c r="AB180">
        <v>27.322267431425811</v>
      </c>
      <c r="AS180">
        <v>8.3333333333333329E-2</v>
      </c>
      <c r="AT180">
        <v>8.3333333333333329E-2</v>
      </c>
      <c r="AU180">
        <v>8.3333333333333329E-2</v>
      </c>
      <c r="AV180">
        <v>8.3333333333333329E-2</v>
      </c>
      <c r="AW180">
        <v>8.3333333333333329E-2</v>
      </c>
      <c r="AX180">
        <v>8.3333333333333329E-2</v>
      </c>
      <c r="AY180">
        <v>8.3333333333333329E-2</v>
      </c>
      <c r="AZ180">
        <v>8.3333333333333329E-2</v>
      </c>
    </row>
    <row r="181" spans="1:52" x14ac:dyDescent="0.25">
      <c r="A181" t="s">
        <v>93</v>
      </c>
      <c r="B181" t="s">
        <v>374</v>
      </c>
      <c r="D181">
        <v>2020</v>
      </c>
      <c r="E181" t="s">
        <v>148</v>
      </c>
      <c r="F181" t="s">
        <v>463</v>
      </c>
      <c r="G181" t="s">
        <v>148</v>
      </c>
      <c r="H181" t="s">
        <v>464</v>
      </c>
      <c r="I181">
        <v>1</v>
      </c>
      <c r="K181">
        <v>15</v>
      </c>
      <c r="L181">
        <v>31.536000000000001</v>
      </c>
      <c r="M181">
        <v>2181.3481237263582</v>
      </c>
      <c r="N181">
        <v>2200.169621222205</v>
      </c>
      <c r="O181">
        <v>1820.4390989476881</v>
      </c>
      <c r="P181">
        <v>1706.6616552634639</v>
      </c>
      <c r="Q181">
        <v>1592.8842115792279</v>
      </c>
      <c r="R181">
        <v>1479.1067678950039</v>
      </c>
      <c r="S181">
        <v>1365.3293242107691</v>
      </c>
      <c r="T181">
        <v>1365.3293242107691</v>
      </c>
      <c r="U181">
        <v>54.533703093159112</v>
      </c>
      <c r="V181">
        <v>55.004240530555201</v>
      </c>
      <c r="W181">
        <v>45.510977473692357</v>
      </c>
      <c r="X181">
        <v>42.666541381586647</v>
      </c>
      <c r="Y181">
        <v>39.822105289480938</v>
      </c>
      <c r="Z181">
        <v>36.9776691973751</v>
      </c>
      <c r="AA181">
        <v>34.133233105269277</v>
      </c>
      <c r="AB181">
        <v>34.133233105269277</v>
      </c>
      <c r="AS181">
        <v>0.16666666666666671</v>
      </c>
      <c r="AT181">
        <v>0.16666666666666671</v>
      </c>
      <c r="AU181">
        <v>0.16666666666666671</v>
      </c>
      <c r="AV181">
        <v>0.16666666666666671</v>
      </c>
      <c r="AW181">
        <v>0.16666666666666671</v>
      </c>
      <c r="AX181">
        <v>0.16666666666666671</v>
      </c>
      <c r="AY181">
        <v>0.16666666666666671</v>
      </c>
      <c r="AZ181">
        <v>0.16666666666666671</v>
      </c>
    </row>
    <row r="182" spans="1:52" x14ac:dyDescent="0.25">
      <c r="A182" t="s">
        <v>93</v>
      </c>
      <c r="B182" t="s">
        <v>374</v>
      </c>
      <c r="D182">
        <v>2020</v>
      </c>
      <c r="E182" t="s">
        <v>148</v>
      </c>
      <c r="F182" t="s">
        <v>465</v>
      </c>
      <c r="G182" t="s">
        <v>148</v>
      </c>
      <c r="H182" t="s">
        <v>466</v>
      </c>
      <c r="I182">
        <v>1</v>
      </c>
      <c r="K182">
        <v>15</v>
      </c>
      <c r="L182">
        <v>31.536000000000001</v>
      </c>
      <c r="M182">
        <v>2711.9554940736562</v>
      </c>
      <c r="N182">
        <v>2672.1908975905581</v>
      </c>
      <c r="O182">
        <v>2183.690601552682</v>
      </c>
      <c r="P182">
        <v>2047.209938955637</v>
      </c>
      <c r="Q182">
        <v>1910.729276358592</v>
      </c>
      <c r="R182">
        <v>1774.248613761557</v>
      </c>
      <c r="S182">
        <v>1637.7679511645119</v>
      </c>
      <c r="T182">
        <v>1637.7679511645119</v>
      </c>
      <c r="U182">
        <v>67.798887351841344</v>
      </c>
      <c r="V182">
        <v>66.804772439763951</v>
      </c>
      <c r="W182">
        <v>54.592265038817061</v>
      </c>
      <c r="X182">
        <v>51.180248473891091</v>
      </c>
      <c r="Y182">
        <v>47.768231908965006</v>
      </c>
      <c r="Z182">
        <v>44.35621534403893</v>
      </c>
      <c r="AA182">
        <v>40.944198779112853</v>
      </c>
      <c r="AB182">
        <v>40.944198779112853</v>
      </c>
      <c r="AS182">
        <v>0.25</v>
      </c>
      <c r="AT182">
        <v>0.25</v>
      </c>
      <c r="AU182">
        <v>0.25</v>
      </c>
      <c r="AV182">
        <v>0.25</v>
      </c>
      <c r="AW182">
        <v>0.25</v>
      </c>
      <c r="AX182">
        <v>0.25</v>
      </c>
      <c r="AY182">
        <v>0.25</v>
      </c>
      <c r="AZ182">
        <v>0.25</v>
      </c>
    </row>
    <row r="183" spans="1:52" x14ac:dyDescent="0.25">
      <c r="A183" t="s">
        <v>93</v>
      </c>
      <c r="B183" t="s">
        <v>374</v>
      </c>
      <c r="D183">
        <v>2020</v>
      </c>
      <c r="E183" t="s">
        <v>148</v>
      </c>
      <c r="F183" t="s">
        <v>467</v>
      </c>
      <c r="G183" t="s">
        <v>148</v>
      </c>
      <c r="H183" t="s">
        <v>468</v>
      </c>
      <c r="I183">
        <v>1</v>
      </c>
      <c r="K183">
        <v>15</v>
      </c>
      <c r="L183">
        <v>31.536000000000001</v>
      </c>
      <c r="M183">
        <v>3242.5628644209428</v>
      </c>
      <c r="N183">
        <v>3144.2121739589102</v>
      </c>
      <c r="O183">
        <v>2546.9421041576661</v>
      </c>
      <c r="P183">
        <v>2387.7582226478098</v>
      </c>
      <c r="Q183">
        <v>2228.5743411379658</v>
      </c>
      <c r="R183">
        <v>2069.39045962811</v>
      </c>
      <c r="S183">
        <v>1910.206578118255</v>
      </c>
      <c r="T183">
        <v>1910.206578118255</v>
      </c>
      <c r="U183">
        <v>81.064071610523584</v>
      </c>
      <c r="V183">
        <v>78.605304348972709</v>
      </c>
      <c r="W183">
        <v>63.673552603941857</v>
      </c>
      <c r="X183">
        <v>59.69395556619542</v>
      </c>
      <c r="Y183">
        <v>55.714358528449083</v>
      </c>
      <c r="Z183">
        <v>51.734761490702752</v>
      </c>
      <c r="AA183">
        <v>47.755164452956421</v>
      </c>
      <c r="AB183">
        <v>47.755164452956421</v>
      </c>
      <c r="AS183">
        <v>0.33333333333333331</v>
      </c>
      <c r="AT183">
        <v>0.33333333333333331</v>
      </c>
      <c r="AU183">
        <v>0.33333333333333331</v>
      </c>
      <c r="AV183">
        <v>0.33333333333333331</v>
      </c>
      <c r="AW183">
        <v>0.33333333333333331</v>
      </c>
      <c r="AX183">
        <v>0.33333333333333331</v>
      </c>
      <c r="AY183">
        <v>0.33333333333333331</v>
      </c>
      <c r="AZ183">
        <v>0.33333333333333331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84"/>
  <sheetViews>
    <sheetView topLeftCell="A150" zoomScale="85" zoomScaleNormal="85" workbookViewId="0">
      <selection activeCell="B5" sqref="B5:B184"/>
    </sheetView>
  </sheetViews>
  <sheetFormatPr defaultRowHeight="15" x14ac:dyDescent="0.25"/>
  <cols>
    <col min="2" max="2" width="22.42578125" bestFit="1" customWidth="1"/>
    <col min="3" max="3" width="25.28515625" bestFit="1" customWidth="1"/>
    <col min="4" max="4" width="69.42578125" customWidth="1"/>
    <col min="5" max="5" width="10.42578125" bestFit="1" customWidth="1"/>
    <col min="6" max="6" width="11.85546875" bestFit="1" customWidth="1"/>
    <col min="7" max="7" width="22.5703125" bestFit="1" customWidth="1"/>
    <col min="8" max="8" width="17.28515625" bestFit="1" customWidth="1"/>
    <col min="9" max="9" width="15" bestFit="1" customWidth="1"/>
  </cols>
  <sheetData>
    <row r="2" spans="2:9" x14ac:dyDescent="0.25">
      <c r="B2" s="9" t="s">
        <v>469</v>
      </c>
    </row>
    <row r="3" spans="2:9" x14ac:dyDescent="0.25">
      <c r="B3" s="10" t="s">
        <v>470</v>
      </c>
      <c r="C3" s="10" t="s">
        <v>471</v>
      </c>
      <c r="D3" s="10" t="s">
        <v>472</v>
      </c>
      <c r="E3" s="10" t="s">
        <v>473</v>
      </c>
      <c r="F3" s="10" t="s">
        <v>474</v>
      </c>
      <c r="G3" s="10" t="s">
        <v>475</v>
      </c>
      <c r="H3" s="10" t="s">
        <v>476</v>
      </c>
      <c r="I3" s="10" t="s">
        <v>477</v>
      </c>
    </row>
    <row r="4" spans="2:9" ht="27.6" customHeight="1" thickBot="1" x14ac:dyDescent="0.3">
      <c r="B4" s="11" t="s">
        <v>478</v>
      </c>
      <c r="C4" s="11" t="s">
        <v>479</v>
      </c>
      <c r="D4" s="11" t="s">
        <v>480</v>
      </c>
      <c r="E4" s="11" t="s">
        <v>481</v>
      </c>
      <c r="F4" s="11" t="s">
        <v>482</v>
      </c>
      <c r="G4" s="11" t="s">
        <v>483</v>
      </c>
      <c r="H4" s="11" t="s">
        <v>484</v>
      </c>
      <c r="I4" s="11" t="s">
        <v>485</v>
      </c>
    </row>
    <row r="5" spans="2:9" x14ac:dyDescent="0.25">
      <c r="B5" t="str">
        <f>IF('ELC TECH'!I4=0,"*",IF(_xlfn.XLOOKUP(C5,'ELC TECH'!H:H,'ELC TECH'!E:E)="Storage","STG","ELE"))</f>
        <v>ELE</v>
      </c>
      <c r="C5" t="str">
        <f>'ELC TECH'!H4</f>
        <v>ELCHYDGRDHNSDC120</v>
      </c>
      <c r="D5" t="str">
        <f>_xlfn.XLOOKUP(C5,'ELC TECH'!$H:$H,'ELC TECH'!$A:$A)&amp;" "&amp;_xlfn.XLOOKUP(C5,'ELC TECH'!$H:$H,'ELC TECH'!$B:$B)&amp;" "&amp;_xlfn.XLOOKUP(C5,'ELC TECH'!$H:$H,'ELC TECH'!$F:$F)</f>
        <v>Electricity Grid Hydro New-Stream Dispatchable Class 1</v>
      </c>
      <c r="E5" t="s">
        <v>486</v>
      </c>
      <c r="F5" t="s">
        <v>487</v>
      </c>
      <c r="G5" t="s">
        <v>488</v>
      </c>
    </row>
    <row r="6" spans="2:9" x14ac:dyDescent="0.25">
      <c r="B6" t="str">
        <f>IF('ELC TECH'!I5=0,"*",IF(_xlfn.XLOOKUP(C6,'ELC TECH'!H:H,'ELC TECH'!E:E)="Storage","STG","ELE"))</f>
        <v>ELE</v>
      </c>
      <c r="C6" t="str">
        <f>'ELC TECH'!H5</f>
        <v>ELCHYDGRDHNSDC220</v>
      </c>
      <c r="D6" t="str">
        <f>_xlfn.XLOOKUP(C6,'ELC TECH'!$H:$H,'ELC TECH'!$A:$A)&amp;" "&amp;_xlfn.XLOOKUP(C6,'ELC TECH'!$H:$H,'ELC TECH'!$B:$B)&amp;" "&amp;_xlfn.XLOOKUP(C6,'ELC TECH'!$H:$H,'ELC TECH'!$F:$F)</f>
        <v>Electricity Grid Hydro New-Stream Dispatchable Class 2</v>
      </c>
      <c r="E6" t="s">
        <v>486</v>
      </c>
      <c r="F6" t="s">
        <v>487</v>
      </c>
      <c r="G6" t="s">
        <v>488</v>
      </c>
    </row>
    <row r="7" spans="2:9" x14ac:dyDescent="0.25">
      <c r="B7" t="str">
        <f>IF('ELC TECH'!I6=0,"*",IF(_xlfn.XLOOKUP(C7,'ELC TECH'!H:H,'ELC TECH'!E:E)="Storage","STG","ELE"))</f>
        <v>ELE</v>
      </c>
      <c r="C7" t="str">
        <f>'ELC TECH'!H6</f>
        <v>ELCHYDGRDHNSDC320</v>
      </c>
      <c r="D7" t="str">
        <f>_xlfn.XLOOKUP(C7,'ELC TECH'!$H:$H,'ELC TECH'!$A:$A)&amp;" "&amp;_xlfn.XLOOKUP(C7,'ELC TECH'!$H:$H,'ELC TECH'!$B:$B)&amp;" "&amp;_xlfn.XLOOKUP(C7,'ELC TECH'!$H:$H,'ELC TECH'!$F:$F)</f>
        <v>Electricity Grid Hydro New-Stream Dispatchable Class 3</v>
      </c>
      <c r="E7" t="s">
        <v>486</v>
      </c>
      <c r="F7" t="s">
        <v>487</v>
      </c>
      <c r="G7" t="s">
        <v>488</v>
      </c>
    </row>
    <row r="8" spans="2:9" x14ac:dyDescent="0.25">
      <c r="B8" t="str">
        <f>IF('ELC TECH'!I7=0,"*",IF(_xlfn.XLOOKUP(C8,'ELC TECH'!H:H,'ELC TECH'!E:E)="Storage","STG","ELE"))</f>
        <v>ELE</v>
      </c>
      <c r="C8" t="str">
        <f>'ELC TECH'!H7</f>
        <v>ELCHYDGRDHNSDC420</v>
      </c>
      <c r="D8" t="str">
        <f>_xlfn.XLOOKUP(C8,'ELC TECH'!$H:$H,'ELC TECH'!$A:$A)&amp;" "&amp;_xlfn.XLOOKUP(C8,'ELC TECH'!$H:$H,'ELC TECH'!$B:$B)&amp;" "&amp;_xlfn.XLOOKUP(C8,'ELC TECH'!$H:$H,'ELC TECH'!$F:$F)</f>
        <v>Electricity Grid Hydro New-Stream Dispatchable Class 4</v>
      </c>
      <c r="E8" t="s">
        <v>486</v>
      </c>
      <c r="F8" t="s">
        <v>487</v>
      </c>
      <c r="G8" t="s">
        <v>488</v>
      </c>
    </row>
    <row r="9" spans="2:9" x14ac:dyDescent="0.25">
      <c r="B9" t="str">
        <f>IF('ELC TECH'!I8=0,"*",IF(_xlfn.XLOOKUP(C9,'ELC TECH'!H:H,'ELC TECH'!E:E)="Storage","STG","ELE"))</f>
        <v>ELE</v>
      </c>
      <c r="C9" t="str">
        <f>'ELC TECH'!H8</f>
        <v>ELCHYDGRDHNSDC520</v>
      </c>
      <c r="D9" t="str">
        <f>_xlfn.XLOOKUP(C9,'ELC TECH'!$H:$H,'ELC TECH'!$A:$A)&amp;" "&amp;_xlfn.XLOOKUP(C9,'ELC TECH'!$H:$H,'ELC TECH'!$B:$B)&amp;" "&amp;_xlfn.XLOOKUP(C9,'ELC TECH'!$H:$H,'ELC TECH'!$F:$F)</f>
        <v>Electricity Grid Hydro New-Stream Dispatchable Class 5</v>
      </c>
      <c r="E9" t="s">
        <v>486</v>
      </c>
      <c r="F9" t="s">
        <v>487</v>
      </c>
      <c r="G9" t="s">
        <v>488</v>
      </c>
    </row>
    <row r="10" spans="2:9" x14ac:dyDescent="0.25">
      <c r="B10" t="str">
        <f>IF('ELC TECH'!I9=0,"*",IF(_xlfn.XLOOKUP(C10,'ELC TECH'!H:H,'ELC TECH'!E:E)="Storage","STG","ELE"))</f>
        <v>ELE</v>
      </c>
      <c r="C10" t="str">
        <f>'ELC TECH'!H9</f>
        <v>ELCHYDGRDHNSNDC120</v>
      </c>
      <c r="D10" t="str">
        <f>_xlfn.XLOOKUP(C10,'ELC TECH'!$H:$H,'ELC TECH'!$A:$A)&amp;" "&amp;_xlfn.XLOOKUP(C10,'ELC TECH'!$H:$H,'ELC TECH'!$B:$B)&amp;" "&amp;_xlfn.XLOOKUP(C10,'ELC TECH'!$H:$H,'ELC TECH'!$F:$F)</f>
        <v>Electricity Grid Hydro New-Stream Non Dispatchable Class 1</v>
      </c>
      <c r="E10" t="s">
        <v>486</v>
      </c>
      <c r="F10" t="s">
        <v>487</v>
      </c>
      <c r="G10" t="s">
        <v>488</v>
      </c>
    </row>
    <row r="11" spans="2:9" x14ac:dyDescent="0.25">
      <c r="B11" t="str">
        <f>IF('ELC TECH'!I10=0,"*",IF(_xlfn.XLOOKUP(C11,'ELC TECH'!H:H,'ELC TECH'!E:E)="Storage","STG","ELE"))</f>
        <v>ELE</v>
      </c>
      <c r="C11" t="str">
        <f>'ELC TECH'!H10</f>
        <v>ELCHYDGRDHNSNDC220</v>
      </c>
      <c r="D11" t="str">
        <f>_xlfn.XLOOKUP(C11,'ELC TECH'!$H:$H,'ELC TECH'!$A:$A)&amp;" "&amp;_xlfn.XLOOKUP(C11,'ELC TECH'!$H:$H,'ELC TECH'!$B:$B)&amp;" "&amp;_xlfn.XLOOKUP(C11,'ELC TECH'!$H:$H,'ELC TECH'!$F:$F)</f>
        <v>Electricity Grid Hydro New-Stream Non Dispatchable Class 2</v>
      </c>
      <c r="E11" t="s">
        <v>486</v>
      </c>
      <c r="F11" t="s">
        <v>487</v>
      </c>
      <c r="G11" t="s">
        <v>488</v>
      </c>
    </row>
    <row r="12" spans="2:9" x14ac:dyDescent="0.25">
      <c r="B12" t="str">
        <f>IF('ELC TECH'!I11=0,"*",IF(_xlfn.XLOOKUP(C12,'ELC TECH'!H:H,'ELC TECH'!E:E)="Storage","STG","ELE"))</f>
        <v>ELE</v>
      </c>
      <c r="C12" t="str">
        <f>'ELC TECH'!H11</f>
        <v>ELCHYDGRDHNSNDC320</v>
      </c>
      <c r="D12" t="str">
        <f>_xlfn.XLOOKUP(C12,'ELC TECH'!$H:$H,'ELC TECH'!$A:$A)&amp;" "&amp;_xlfn.XLOOKUP(C12,'ELC TECH'!$H:$H,'ELC TECH'!$B:$B)&amp;" "&amp;_xlfn.XLOOKUP(C12,'ELC TECH'!$H:$H,'ELC TECH'!$F:$F)</f>
        <v>Electricity Grid Hydro New-Stream Non Dispatchable Class 3</v>
      </c>
      <c r="E12" t="s">
        <v>486</v>
      </c>
      <c r="F12" t="s">
        <v>487</v>
      </c>
      <c r="G12" t="s">
        <v>488</v>
      </c>
    </row>
    <row r="13" spans="2:9" x14ac:dyDescent="0.25">
      <c r="B13" t="str">
        <f>IF('ELC TECH'!I12=0,"*",IF(_xlfn.XLOOKUP(C13,'ELC TECH'!H:H,'ELC TECH'!E:E)="Storage","STG","ELE"))</f>
        <v>ELE</v>
      </c>
      <c r="C13" t="str">
        <f>'ELC TECH'!H12</f>
        <v>ELCHYDGRDHNSNDC420</v>
      </c>
      <c r="D13" t="str">
        <f>_xlfn.XLOOKUP(C13,'ELC TECH'!$H:$H,'ELC TECH'!$A:$A)&amp;" "&amp;_xlfn.XLOOKUP(C13,'ELC TECH'!$H:$H,'ELC TECH'!$B:$B)&amp;" "&amp;_xlfn.XLOOKUP(C13,'ELC TECH'!$H:$H,'ELC TECH'!$F:$F)</f>
        <v>Electricity Grid Hydro New-Stream Non Dispatchable Class 4</v>
      </c>
      <c r="E13" t="s">
        <v>486</v>
      </c>
      <c r="F13" t="s">
        <v>487</v>
      </c>
      <c r="G13" t="s">
        <v>488</v>
      </c>
    </row>
    <row r="14" spans="2:9" x14ac:dyDescent="0.25">
      <c r="B14" t="str">
        <f>IF('ELC TECH'!I13=0,"*",IF(_xlfn.XLOOKUP(C14,'ELC TECH'!H:H,'ELC TECH'!E:E)="Storage","STG","ELE"))</f>
        <v>ELE</v>
      </c>
      <c r="C14" t="str">
        <f>'ELC TECH'!H13</f>
        <v>ELCHYDGRDHNSNDC520</v>
      </c>
      <c r="D14" t="str">
        <f>_xlfn.XLOOKUP(C14,'ELC TECH'!$H:$H,'ELC TECH'!$A:$A)&amp;" "&amp;_xlfn.XLOOKUP(C14,'ELC TECH'!$H:$H,'ELC TECH'!$B:$B)&amp;" "&amp;_xlfn.XLOOKUP(C14,'ELC TECH'!$H:$H,'ELC TECH'!$F:$F)</f>
        <v>Electricity Grid Hydro New-Stream Non Dispatchable Class 5</v>
      </c>
      <c r="E14" t="s">
        <v>486</v>
      </c>
      <c r="F14" t="s">
        <v>487</v>
      </c>
      <c r="G14" t="s">
        <v>488</v>
      </c>
    </row>
    <row r="15" spans="2:9" x14ac:dyDescent="0.25">
      <c r="B15" t="str">
        <f>IF('ELC TECH'!I14=0,"*",IF(_xlfn.XLOOKUP(C15,'ELC TECH'!H:H,'ELC TECH'!E:E)="Storage","STG","ELE"))</f>
        <v>ELE</v>
      </c>
      <c r="C15" t="str">
        <f>'ELC TECH'!H14</f>
        <v>ELCHYDGRDHNPNDC120</v>
      </c>
      <c r="D15" t="str">
        <f>_xlfn.XLOOKUP(C15,'ELC TECH'!$H:$H,'ELC TECH'!$A:$A)&amp;" "&amp;_xlfn.XLOOKUP(C15,'ELC TECH'!$H:$H,'ELC TECH'!$B:$B)&amp;" "&amp;_xlfn.XLOOKUP(C15,'ELC TECH'!$H:$H,'ELC TECH'!$F:$F)</f>
        <v>Electricity Grid Hydro Non-Powered Non Dispatchable Class 1</v>
      </c>
      <c r="E15" t="s">
        <v>486</v>
      </c>
      <c r="F15" t="s">
        <v>487</v>
      </c>
      <c r="G15" t="s">
        <v>488</v>
      </c>
    </row>
    <row r="16" spans="2:9" x14ac:dyDescent="0.25">
      <c r="B16" t="str">
        <f>IF('ELC TECH'!I15=0,"*",IF(_xlfn.XLOOKUP(C16,'ELC TECH'!H:H,'ELC TECH'!E:E)="Storage","STG","ELE"))</f>
        <v>ELE</v>
      </c>
      <c r="C16" t="str">
        <f>'ELC TECH'!H15</f>
        <v>ELCHYDGRDHNPNDC220</v>
      </c>
      <c r="D16" t="str">
        <f>_xlfn.XLOOKUP(C16,'ELC TECH'!$H:$H,'ELC TECH'!$A:$A)&amp;" "&amp;_xlfn.XLOOKUP(C16,'ELC TECH'!$H:$H,'ELC TECH'!$B:$B)&amp;" "&amp;_xlfn.XLOOKUP(C16,'ELC TECH'!$H:$H,'ELC TECH'!$F:$F)</f>
        <v>Electricity Grid Hydro Non-Powered Non Dispatchable Class 2</v>
      </c>
      <c r="E16" t="s">
        <v>486</v>
      </c>
      <c r="F16" t="s">
        <v>487</v>
      </c>
      <c r="G16" t="s">
        <v>488</v>
      </c>
    </row>
    <row r="17" spans="2:7" x14ac:dyDescent="0.25">
      <c r="B17" t="str">
        <f>IF('ELC TECH'!I16=0,"*",IF(_xlfn.XLOOKUP(C17,'ELC TECH'!H:H,'ELC TECH'!E:E)="Storage","STG","ELE"))</f>
        <v>ELE</v>
      </c>
      <c r="C17" t="str">
        <f>'ELC TECH'!H16</f>
        <v>ELCHYDGRDHNPNDC320</v>
      </c>
      <c r="D17" t="str">
        <f>_xlfn.XLOOKUP(C17,'ELC TECH'!$H:$H,'ELC TECH'!$A:$A)&amp;" "&amp;_xlfn.XLOOKUP(C17,'ELC TECH'!$H:$H,'ELC TECH'!$B:$B)&amp;" "&amp;_xlfn.XLOOKUP(C17,'ELC TECH'!$H:$H,'ELC TECH'!$F:$F)</f>
        <v>Electricity Grid Hydro Non-Powered Non Dispatchable Class 3</v>
      </c>
      <c r="E17" t="s">
        <v>486</v>
      </c>
      <c r="F17" t="s">
        <v>487</v>
      </c>
      <c r="G17" t="s">
        <v>488</v>
      </c>
    </row>
    <row r="18" spans="2:7" x14ac:dyDescent="0.25">
      <c r="B18" t="str">
        <f>IF('ELC TECH'!I17=0,"*",IF(_xlfn.XLOOKUP(C18,'ELC TECH'!H:H,'ELC TECH'!E:E)="Storage","STG","ELE"))</f>
        <v>ELE</v>
      </c>
      <c r="C18" t="str">
        <f>'ELC TECH'!H17</f>
        <v>ELCHYDGRDHNPNDC420</v>
      </c>
      <c r="D18" t="str">
        <f>_xlfn.XLOOKUP(C18,'ELC TECH'!$H:$H,'ELC TECH'!$A:$A)&amp;" "&amp;_xlfn.XLOOKUP(C18,'ELC TECH'!$H:$H,'ELC TECH'!$B:$B)&amp;" "&amp;_xlfn.XLOOKUP(C18,'ELC TECH'!$H:$H,'ELC TECH'!$F:$F)</f>
        <v>Electricity Grid Hydro Non-Powered Non Dispatchable Class 4</v>
      </c>
      <c r="E18" t="s">
        <v>486</v>
      </c>
      <c r="F18" t="s">
        <v>487</v>
      </c>
      <c r="G18" t="s">
        <v>488</v>
      </c>
    </row>
    <row r="19" spans="2:7" x14ac:dyDescent="0.25">
      <c r="B19" t="str">
        <f>IF('ELC TECH'!I18=0,"*",IF(_xlfn.XLOOKUP(C19,'ELC TECH'!H:H,'ELC TECH'!E:E)="Storage","STG","ELE"))</f>
        <v>ELE</v>
      </c>
      <c r="C19" t="str">
        <f>'ELC TECH'!H18</f>
        <v>ELCHYDGRDHNPNDC520</v>
      </c>
      <c r="D19" t="str">
        <f>_xlfn.XLOOKUP(C19,'ELC TECH'!$H:$H,'ELC TECH'!$A:$A)&amp;" "&amp;_xlfn.XLOOKUP(C19,'ELC TECH'!$H:$H,'ELC TECH'!$B:$B)&amp;" "&amp;_xlfn.XLOOKUP(C19,'ELC TECH'!$H:$H,'ELC TECH'!$F:$F)</f>
        <v>Electricity Grid Hydro Non-Powered Non Dispatchable Class 5</v>
      </c>
      <c r="E19" t="s">
        <v>486</v>
      </c>
      <c r="F19" t="s">
        <v>487</v>
      </c>
      <c r="G19" t="s">
        <v>488</v>
      </c>
    </row>
    <row r="20" spans="2:7" x14ac:dyDescent="0.25">
      <c r="B20" t="str">
        <f>IF('ELC TECH'!I19=0,"*",IF(_xlfn.XLOOKUP(C20,'ELC TECH'!H:H,'ELC TECH'!E:E)="Storage","STG","ELE"))</f>
        <v>ELE</v>
      </c>
      <c r="C20" t="str">
        <f>'ELC TECH'!H19</f>
        <v>ELCHYDGRDHUPDC120</v>
      </c>
      <c r="D20" t="str">
        <f>_xlfn.XLOOKUP(C20,'ELC TECH'!$H:$H,'ELC TECH'!$A:$A)&amp;" "&amp;_xlfn.XLOOKUP(C20,'ELC TECH'!$H:$H,'ELC TECH'!$B:$B)&amp;" "&amp;_xlfn.XLOOKUP(C20,'ELC TECH'!$H:$H,'ELC TECH'!$F:$F)</f>
        <v>Electricity Grid Hydro Upgrade Dispatchable Class 1</v>
      </c>
      <c r="E20" t="s">
        <v>486</v>
      </c>
      <c r="F20" t="s">
        <v>487</v>
      </c>
      <c r="G20" t="s">
        <v>488</v>
      </c>
    </row>
    <row r="21" spans="2:7" x14ac:dyDescent="0.25">
      <c r="B21" t="str">
        <f>IF('ELC TECH'!I20=0,"*",IF(_xlfn.XLOOKUP(C21,'ELC TECH'!H:H,'ELC TECH'!E:E)="Storage","STG","ELE"))</f>
        <v>ELE</v>
      </c>
      <c r="C21" t="str">
        <f>'ELC TECH'!H20</f>
        <v>ELCHYDGRDHUPDC220</v>
      </c>
      <c r="D21" t="str">
        <f>_xlfn.XLOOKUP(C21,'ELC TECH'!$H:$H,'ELC TECH'!$A:$A)&amp;" "&amp;_xlfn.XLOOKUP(C21,'ELC TECH'!$H:$H,'ELC TECH'!$B:$B)&amp;" "&amp;_xlfn.XLOOKUP(C21,'ELC TECH'!$H:$H,'ELC TECH'!$F:$F)</f>
        <v>Electricity Grid Hydro Upgrade Dispatchable Class 2</v>
      </c>
      <c r="E21" t="s">
        <v>486</v>
      </c>
      <c r="F21" t="s">
        <v>487</v>
      </c>
      <c r="G21" t="s">
        <v>488</v>
      </c>
    </row>
    <row r="22" spans="2:7" x14ac:dyDescent="0.25">
      <c r="B22" t="str">
        <f>IF('ELC TECH'!I21=0,"*",IF(_xlfn.XLOOKUP(C22,'ELC TECH'!H:H,'ELC TECH'!E:E)="Storage","STG","ELE"))</f>
        <v>ELE</v>
      </c>
      <c r="C22" t="str">
        <f>'ELC TECH'!H21</f>
        <v>ELCHYDGRDHUPDC320</v>
      </c>
      <c r="D22" t="str">
        <f>_xlfn.XLOOKUP(C22,'ELC TECH'!$H:$H,'ELC TECH'!$A:$A)&amp;" "&amp;_xlfn.XLOOKUP(C22,'ELC TECH'!$H:$H,'ELC TECH'!$B:$B)&amp;" "&amp;_xlfn.XLOOKUP(C22,'ELC TECH'!$H:$H,'ELC TECH'!$F:$F)</f>
        <v>Electricity Grid Hydro Upgrade Dispatchable Class 3</v>
      </c>
      <c r="E22" t="s">
        <v>486</v>
      </c>
      <c r="F22" t="s">
        <v>487</v>
      </c>
      <c r="G22" t="s">
        <v>488</v>
      </c>
    </row>
    <row r="23" spans="2:7" x14ac:dyDescent="0.25">
      <c r="B23" t="str">
        <f>IF('ELC TECH'!I22=0,"*",IF(_xlfn.XLOOKUP(C23,'ELC TECH'!H:H,'ELC TECH'!E:E)="Storage","STG","ELE"))</f>
        <v>ELE</v>
      </c>
      <c r="C23" t="str">
        <f>'ELC TECH'!H22</f>
        <v>ELCHYDGRDHUPDC420</v>
      </c>
      <c r="D23" t="str">
        <f>_xlfn.XLOOKUP(C23,'ELC TECH'!$H:$H,'ELC TECH'!$A:$A)&amp;" "&amp;_xlfn.XLOOKUP(C23,'ELC TECH'!$H:$H,'ELC TECH'!$B:$B)&amp;" "&amp;_xlfn.XLOOKUP(C23,'ELC TECH'!$H:$H,'ELC TECH'!$F:$F)</f>
        <v>Electricity Grid Hydro Upgrade Dispatchable Class 4</v>
      </c>
      <c r="E23" t="s">
        <v>486</v>
      </c>
      <c r="F23" t="s">
        <v>487</v>
      </c>
      <c r="G23" t="s">
        <v>488</v>
      </c>
    </row>
    <row r="24" spans="2:7" x14ac:dyDescent="0.25">
      <c r="B24" t="str">
        <f>IF('ELC TECH'!I23=0,"*",IF(_xlfn.XLOOKUP(C24,'ELC TECH'!H:H,'ELC TECH'!E:E)="Storage","STG","ELE"))</f>
        <v>ELE</v>
      </c>
      <c r="C24" t="str">
        <f>'ELC TECH'!H23</f>
        <v>ELCHYDGRDHUPDC520</v>
      </c>
      <c r="D24" t="str">
        <f>_xlfn.XLOOKUP(C24,'ELC TECH'!$H:$H,'ELC TECH'!$A:$A)&amp;" "&amp;_xlfn.XLOOKUP(C24,'ELC TECH'!$H:$H,'ELC TECH'!$B:$B)&amp;" "&amp;_xlfn.XLOOKUP(C24,'ELC TECH'!$H:$H,'ELC TECH'!$F:$F)</f>
        <v>Electricity Grid Hydro Upgrade Dispatchable Class 5</v>
      </c>
      <c r="E24" t="s">
        <v>486</v>
      </c>
      <c r="F24" t="s">
        <v>487</v>
      </c>
      <c r="G24" t="s">
        <v>488</v>
      </c>
    </row>
    <row r="25" spans="2:7" x14ac:dyDescent="0.25">
      <c r="B25" t="str">
        <f>IF('ELC TECH'!I24=0,"*",IF(_xlfn.XLOOKUP(C25,'ELC TECH'!H:H,'ELC TECH'!E:E)="Storage","STG","ELE"))</f>
        <v>ELE</v>
      </c>
      <c r="C25" t="str">
        <f>'ELC TECH'!H24</f>
        <v>ELCHYDGRDHUPNDC120</v>
      </c>
      <c r="D25" t="str">
        <f>_xlfn.XLOOKUP(C25,'ELC TECH'!$H:$H,'ELC TECH'!$A:$A)&amp;" "&amp;_xlfn.XLOOKUP(C25,'ELC TECH'!$H:$H,'ELC TECH'!$B:$B)&amp;" "&amp;_xlfn.XLOOKUP(C25,'ELC TECH'!$H:$H,'ELC TECH'!$F:$F)</f>
        <v>Electricity Grid Hydro Upgrade Non Dispatchable Class 1</v>
      </c>
      <c r="E25" t="s">
        <v>486</v>
      </c>
      <c r="F25" t="s">
        <v>487</v>
      </c>
      <c r="G25" t="s">
        <v>488</v>
      </c>
    </row>
    <row r="26" spans="2:7" x14ac:dyDescent="0.25">
      <c r="B26" t="str">
        <f>IF('ELC TECH'!I25=0,"*",IF(_xlfn.XLOOKUP(C26,'ELC TECH'!H:H,'ELC TECH'!E:E)="Storage","STG","ELE"))</f>
        <v>ELE</v>
      </c>
      <c r="C26" t="str">
        <f>'ELC TECH'!H25</f>
        <v>ELCHYDGRDHUPNDC220</v>
      </c>
      <c r="D26" t="str">
        <f>_xlfn.XLOOKUP(C26,'ELC TECH'!$H:$H,'ELC TECH'!$A:$A)&amp;" "&amp;_xlfn.XLOOKUP(C26,'ELC TECH'!$H:$H,'ELC TECH'!$B:$B)&amp;" "&amp;_xlfn.XLOOKUP(C26,'ELC TECH'!$H:$H,'ELC TECH'!$F:$F)</f>
        <v>Electricity Grid Hydro Upgrade Non Dispatchable Class 2</v>
      </c>
      <c r="E26" t="s">
        <v>486</v>
      </c>
      <c r="F26" t="s">
        <v>487</v>
      </c>
      <c r="G26" t="s">
        <v>488</v>
      </c>
    </row>
    <row r="27" spans="2:7" x14ac:dyDescent="0.25">
      <c r="B27" t="str">
        <f>IF('ELC TECH'!I26=0,"*",IF(_xlfn.XLOOKUP(C27,'ELC TECH'!H:H,'ELC TECH'!E:E)="Storage","STG","ELE"))</f>
        <v>ELE</v>
      </c>
      <c r="C27" t="str">
        <f>'ELC TECH'!H26</f>
        <v>ELCHYDGRDHUPNDC320</v>
      </c>
      <c r="D27" t="str">
        <f>_xlfn.XLOOKUP(C27,'ELC TECH'!$H:$H,'ELC TECH'!$A:$A)&amp;" "&amp;_xlfn.XLOOKUP(C27,'ELC TECH'!$H:$H,'ELC TECH'!$B:$B)&amp;" "&amp;_xlfn.XLOOKUP(C27,'ELC TECH'!$H:$H,'ELC TECH'!$F:$F)</f>
        <v>Electricity Grid Hydro Upgrade Non Dispatchable Class 3</v>
      </c>
      <c r="E27" t="s">
        <v>486</v>
      </c>
      <c r="F27" t="s">
        <v>487</v>
      </c>
      <c r="G27" t="s">
        <v>488</v>
      </c>
    </row>
    <row r="28" spans="2:7" x14ac:dyDescent="0.25">
      <c r="B28" t="str">
        <f>IF('ELC TECH'!I27=0,"*",IF(_xlfn.XLOOKUP(C28,'ELC TECH'!H:H,'ELC TECH'!E:E)="Storage","STG","ELE"))</f>
        <v>ELE</v>
      </c>
      <c r="C28" t="str">
        <f>'ELC TECH'!H27</f>
        <v>ELCHYDGRDHUPNDC420</v>
      </c>
      <c r="D28" t="str">
        <f>_xlfn.XLOOKUP(C28,'ELC TECH'!$H:$H,'ELC TECH'!$A:$A)&amp;" "&amp;_xlfn.XLOOKUP(C28,'ELC TECH'!$H:$H,'ELC TECH'!$B:$B)&amp;" "&amp;_xlfn.XLOOKUP(C28,'ELC TECH'!$H:$H,'ELC TECH'!$F:$F)</f>
        <v>Electricity Grid Hydro Upgrade Non Dispatchable Class 4</v>
      </c>
      <c r="E28" t="s">
        <v>486</v>
      </c>
      <c r="F28" t="s">
        <v>487</v>
      </c>
      <c r="G28" t="s">
        <v>488</v>
      </c>
    </row>
    <row r="29" spans="2:7" x14ac:dyDescent="0.25">
      <c r="B29" t="str">
        <f>IF('ELC TECH'!I28=0,"*",IF(_xlfn.XLOOKUP(C29,'ELC TECH'!H:H,'ELC TECH'!E:E)="Storage","STG","ELE"))</f>
        <v>ELE</v>
      </c>
      <c r="C29" t="str">
        <f>'ELC TECH'!H28</f>
        <v>ELCHYDGRDHUPNDC520</v>
      </c>
      <c r="D29" t="str">
        <f>_xlfn.XLOOKUP(C29,'ELC TECH'!$H:$H,'ELC TECH'!$A:$A)&amp;" "&amp;_xlfn.XLOOKUP(C29,'ELC TECH'!$H:$H,'ELC TECH'!$B:$B)&amp;" "&amp;_xlfn.XLOOKUP(C29,'ELC TECH'!$H:$H,'ELC TECH'!$F:$F)</f>
        <v>Electricity Grid Hydro Upgrade Non Dispatchable Class 5</v>
      </c>
      <c r="E29" t="s">
        <v>486</v>
      </c>
      <c r="F29" t="s">
        <v>487</v>
      </c>
      <c r="G29" t="s">
        <v>488</v>
      </c>
    </row>
    <row r="30" spans="2:7" x14ac:dyDescent="0.25">
      <c r="B30" t="str">
        <f>IF('ELC TECH'!I29=0,"*",IF(_xlfn.XLOOKUP(C30,'ELC TECH'!H:H,'ELC TECH'!E:E)="Storage","STG","ELE"))</f>
        <v>STG</v>
      </c>
      <c r="C30" t="str">
        <f>'ELC TECH'!H29</f>
        <v>ELCSTGGRDPSH12HC120</v>
      </c>
      <c r="D30" t="str">
        <f>_xlfn.XLOOKUP(C30,'ELC TECH'!$H:$H,'ELC TECH'!$A:$A)&amp;" "&amp;_xlfn.XLOOKUP(C30,'ELC TECH'!$H:$H,'ELC TECH'!$B:$B)&amp;" "&amp;_xlfn.XLOOKUP(C30,'ELC TECH'!$H:$H,'ELC TECH'!$F:$F)</f>
        <v>Electricity Grid Pumped Hydro 12h Class 1</v>
      </c>
      <c r="E30" t="s">
        <v>486</v>
      </c>
      <c r="F30" t="s">
        <v>487</v>
      </c>
      <c r="G30" t="s">
        <v>488</v>
      </c>
    </row>
    <row r="31" spans="2:7" x14ac:dyDescent="0.25">
      <c r="B31" t="str">
        <f>IF('ELC TECH'!I30=0,"*",IF(_xlfn.XLOOKUP(C31,'ELC TECH'!H:H,'ELC TECH'!E:E)="Storage","STG","ELE"))</f>
        <v>STG</v>
      </c>
      <c r="C31" t="str">
        <f>'ELC TECH'!H30</f>
        <v>ELCSTGGRDPSH12HC220</v>
      </c>
      <c r="D31" t="str">
        <f>_xlfn.XLOOKUP(C31,'ELC TECH'!$H:$H,'ELC TECH'!$A:$A)&amp;" "&amp;_xlfn.XLOOKUP(C31,'ELC TECH'!$H:$H,'ELC TECH'!$B:$B)&amp;" "&amp;_xlfn.XLOOKUP(C31,'ELC TECH'!$H:$H,'ELC TECH'!$F:$F)</f>
        <v>Electricity Grid Pumped Hydro 12h Class 2</v>
      </c>
      <c r="E31" t="s">
        <v>486</v>
      </c>
      <c r="F31" t="s">
        <v>487</v>
      </c>
      <c r="G31" t="s">
        <v>488</v>
      </c>
    </row>
    <row r="32" spans="2:7" x14ac:dyDescent="0.25">
      <c r="B32" t="str">
        <f>IF('ELC TECH'!I31=0,"*",IF(_xlfn.XLOOKUP(C32,'ELC TECH'!H:H,'ELC TECH'!E:E)="Storage","STG","ELE"))</f>
        <v>STG</v>
      </c>
      <c r="C32" t="str">
        <f>'ELC TECH'!H31</f>
        <v>ELCSTGGRDPSH12HC320</v>
      </c>
      <c r="D32" t="str">
        <f>_xlfn.XLOOKUP(C32,'ELC TECH'!$H:$H,'ELC TECH'!$A:$A)&amp;" "&amp;_xlfn.XLOOKUP(C32,'ELC TECH'!$H:$H,'ELC TECH'!$B:$B)&amp;" "&amp;_xlfn.XLOOKUP(C32,'ELC TECH'!$H:$H,'ELC TECH'!$F:$F)</f>
        <v>Electricity Grid Pumped Hydro 12h Class 3</v>
      </c>
      <c r="E32" t="s">
        <v>486</v>
      </c>
      <c r="F32" t="s">
        <v>487</v>
      </c>
      <c r="G32" t="s">
        <v>488</v>
      </c>
    </row>
    <row r="33" spans="2:7" x14ac:dyDescent="0.25">
      <c r="B33" t="str">
        <f>IF('ELC TECH'!I32=0,"*",IF(_xlfn.XLOOKUP(C33,'ELC TECH'!H:H,'ELC TECH'!E:E)="Storage","STG","ELE"))</f>
        <v>STG</v>
      </c>
      <c r="C33" t="str">
        <f>'ELC TECH'!H32</f>
        <v>ELCSTGGRDPSH12HC420</v>
      </c>
      <c r="D33" t="str">
        <f>_xlfn.XLOOKUP(C33,'ELC TECH'!$H:$H,'ELC TECH'!$A:$A)&amp;" "&amp;_xlfn.XLOOKUP(C33,'ELC TECH'!$H:$H,'ELC TECH'!$B:$B)&amp;" "&amp;_xlfn.XLOOKUP(C33,'ELC TECH'!$H:$H,'ELC TECH'!$F:$F)</f>
        <v>Electricity Grid Pumped Hydro 12h Class 4</v>
      </c>
      <c r="E33" t="s">
        <v>486</v>
      </c>
      <c r="F33" t="s">
        <v>487</v>
      </c>
      <c r="G33" t="s">
        <v>488</v>
      </c>
    </row>
    <row r="34" spans="2:7" x14ac:dyDescent="0.25">
      <c r="B34" t="str">
        <f>IF('ELC TECH'!I33=0,"*",IF(_xlfn.XLOOKUP(C34,'ELC TECH'!H:H,'ELC TECH'!E:E)="Storage","STG","ELE"))</f>
        <v>STG</v>
      </c>
      <c r="C34" t="str">
        <f>'ELC TECH'!H33</f>
        <v>ELCSTGGRDPSH12HC520</v>
      </c>
      <c r="D34" t="str">
        <f>_xlfn.XLOOKUP(C34,'ELC TECH'!$H:$H,'ELC TECH'!$A:$A)&amp;" "&amp;_xlfn.XLOOKUP(C34,'ELC TECH'!$H:$H,'ELC TECH'!$B:$B)&amp;" "&amp;_xlfn.XLOOKUP(C34,'ELC TECH'!$H:$H,'ELC TECH'!$F:$F)</f>
        <v>Electricity Grid Pumped Hydro 12h Class 5</v>
      </c>
      <c r="E34" t="s">
        <v>486</v>
      </c>
      <c r="F34" t="s">
        <v>487</v>
      </c>
      <c r="G34" t="s">
        <v>488</v>
      </c>
    </row>
    <row r="35" spans="2:7" x14ac:dyDescent="0.25">
      <c r="B35" t="str">
        <f>IF('ELC TECH'!I34=0,"*",IF(_xlfn.XLOOKUP(C35,'ELC TECH'!H:H,'ELC TECH'!E:E)="Storage","STG","ELE"))</f>
        <v>STG</v>
      </c>
      <c r="C35" t="str">
        <f>'ELC TECH'!H34</f>
        <v>ELCSTGGRDPSH12HC620</v>
      </c>
      <c r="D35" t="str">
        <f>_xlfn.XLOOKUP(C35,'ELC TECH'!$H:$H,'ELC TECH'!$A:$A)&amp;" "&amp;_xlfn.XLOOKUP(C35,'ELC TECH'!$H:$H,'ELC TECH'!$B:$B)&amp;" "&amp;_xlfn.XLOOKUP(C35,'ELC TECH'!$H:$H,'ELC TECH'!$F:$F)</f>
        <v>Electricity Grid Pumped Hydro 12h Class 6</v>
      </c>
      <c r="E35" t="s">
        <v>486</v>
      </c>
      <c r="F35" t="s">
        <v>487</v>
      </c>
      <c r="G35" t="s">
        <v>488</v>
      </c>
    </row>
    <row r="36" spans="2:7" x14ac:dyDescent="0.25">
      <c r="B36" t="str">
        <f>IF('ELC TECH'!I35=0,"*",IF(_xlfn.XLOOKUP(C36,'ELC TECH'!H:H,'ELC TECH'!E:E)="Storage","STG","ELE"))</f>
        <v>STG</v>
      </c>
      <c r="C36" t="str">
        <f>'ELC TECH'!H35</f>
        <v>ELCSTGGRDPSH12HC720</v>
      </c>
      <c r="D36" t="str">
        <f>_xlfn.XLOOKUP(C36,'ELC TECH'!$H:$H,'ELC TECH'!$A:$A)&amp;" "&amp;_xlfn.XLOOKUP(C36,'ELC TECH'!$H:$H,'ELC TECH'!$B:$B)&amp;" "&amp;_xlfn.XLOOKUP(C36,'ELC TECH'!$H:$H,'ELC TECH'!$F:$F)</f>
        <v>Electricity Grid Pumped Hydro 12h Class 7</v>
      </c>
      <c r="E36" t="s">
        <v>486</v>
      </c>
      <c r="F36" t="s">
        <v>487</v>
      </c>
      <c r="G36" t="s">
        <v>488</v>
      </c>
    </row>
    <row r="37" spans="2:7" x14ac:dyDescent="0.25">
      <c r="B37" t="str">
        <f>IF('ELC TECH'!I36=0,"*",IF(_xlfn.XLOOKUP(C37,'ELC TECH'!H:H,'ELC TECH'!E:E)="Storage","STG","ELE"))</f>
        <v>STG</v>
      </c>
      <c r="C37" t="str">
        <f>'ELC TECH'!H36</f>
        <v>ELCSTGGRDPSH12HC820</v>
      </c>
      <c r="D37" t="str">
        <f>_xlfn.XLOOKUP(C37,'ELC TECH'!$H:$H,'ELC TECH'!$A:$A)&amp;" "&amp;_xlfn.XLOOKUP(C37,'ELC TECH'!$H:$H,'ELC TECH'!$B:$B)&amp;" "&amp;_xlfn.XLOOKUP(C37,'ELC TECH'!$H:$H,'ELC TECH'!$F:$F)</f>
        <v>Electricity Grid Pumped Hydro 12h Class 8</v>
      </c>
      <c r="E37" t="s">
        <v>486</v>
      </c>
      <c r="F37" t="s">
        <v>487</v>
      </c>
      <c r="G37" t="s">
        <v>488</v>
      </c>
    </row>
    <row r="38" spans="2:7" x14ac:dyDescent="0.25">
      <c r="B38" t="str">
        <f>IF('ELC TECH'!I37=0,"*",IF(_xlfn.XLOOKUP(C38,'ELC TECH'!H:H,'ELC TECH'!E:E)="Storage","STG","ELE"))</f>
        <v>STG</v>
      </c>
      <c r="C38" t="str">
        <f>'ELC TECH'!H37</f>
        <v>ELCSTGGRDPSH12HC920</v>
      </c>
      <c r="D38" t="str">
        <f>_xlfn.XLOOKUP(C38,'ELC TECH'!$H:$H,'ELC TECH'!$A:$A)&amp;" "&amp;_xlfn.XLOOKUP(C38,'ELC TECH'!$H:$H,'ELC TECH'!$B:$B)&amp;" "&amp;_xlfn.XLOOKUP(C38,'ELC TECH'!$H:$H,'ELC TECH'!$F:$F)</f>
        <v>Electricity Grid Pumped Hydro 12h Class 9</v>
      </c>
      <c r="E38" t="s">
        <v>486</v>
      </c>
      <c r="F38" t="s">
        <v>487</v>
      </c>
      <c r="G38" t="s">
        <v>488</v>
      </c>
    </row>
    <row r="39" spans="2:7" x14ac:dyDescent="0.25">
      <c r="B39" t="str">
        <f>IF('ELC TECH'!I38=0,"*",IF(_xlfn.XLOOKUP(C39,'ELC TECH'!H:H,'ELC TECH'!E:E)="Storage","STG","ELE"))</f>
        <v>STG</v>
      </c>
      <c r="C39" t="str">
        <f>'ELC TECH'!H38</f>
        <v>ELCSTGGRDPSH12HC1020</v>
      </c>
      <c r="D39" t="str">
        <f>_xlfn.XLOOKUP(C39,'ELC TECH'!$H:$H,'ELC TECH'!$A:$A)&amp;" "&amp;_xlfn.XLOOKUP(C39,'ELC TECH'!$H:$H,'ELC TECH'!$B:$B)&amp;" "&amp;_xlfn.XLOOKUP(C39,'ELC TECH'!$H:$H,'ELC TECH'!$F:$F)</f>
        <v>Electricity Grid Pumped Hydro 12h Class 10</v>
      </c>
      <c r="E39" t="s">
        <v>486</v>
      </c>
      <c r="F39" t="s">
        <v>487</v>
      </c>
      <c r="G39" t="s">
        <v>488</v>
      </c>
    </row>
    <row r="40" spans="2:7" x14ac:dyDescent="0.25">
      <c r="B40" t="str">
        <f>IF('ELC TECH'!I39=0,"*",IF(_xlfn.XLOOKUP(C40,'ELC TECH'!H:H,'ELC TECH'!E:E)="Storage","STG","ELE"))</f>
        <v>STG</v>
      </c>
      <c r="C40" t="str">
        <f>'ELC TECH'!H39</f>
        <v>ELCSTGGRDPSH12HC1120</v>
      </c>
      <c r="D40" t="str">
        <f>_xlfn.XLOOKUP(C40,'ELC TECH'!$H:$H,'ELC TECH'!$A:$A)&amp;" "&amp;_xlfn.XLOOKUP(C40,'ELC TECH'!$H:$H,'ELC TECH'!$B:$B)&amp;" "&amp;_xlfn.XLOOKUP(C40,'ELC TECH'!$H:$H,'ELC TECH'!$F:$F)</f>
        <v>Electricity Grid Pumped Hydro 12h Class 11</v>
      </c>
      <c r="E40" t="s">
        <v>486</v>
      </c>
      <c r="F40" t="s">
        <v>487</v>
      </c>
      <c r="G40" t="s">
        <v>488</v>
      </c>
    </row>
    <row r="41" spans="2:7" x14ac:dyDescent="0.25">
      <c r="B41" t="str">
        <f>IF('ELC TECH'!I40=0,"*",IF(_xlfn.XLOOKUP(C41,'ELC TECH'!H:H,'ELC TECH'!E:E)="Storage","STG","ELE"))</f>
        <v>STG</v>
      </c>
      <c r="C41" t="str">
        <f>'ELC TECH'!H40</f>
        <v>ELCSTGGRDPSH12HC1220</v>
      </c>
      <c r="D41" t="str">
        <f>_xlfn.XLOOKUP(C41,'ELC TECH'!$H:$H,'ELC TECH'!$A:$A)&amp;" "&amp;_xlfn.XLOOKUP(C41,'ELC TECH'!$H:$H,'ELC TECH'!$B:$B)&amp;" "&amp;_xlfn.XLOOKUP(C41,'ELC TECH'!$H:$H,'ELC TECH'!$F:$F)</f>
        <v>Electricity Grid Pumped Hydro 12h Class 12</v>
      </c>
      <c r="E41" t="s">
        <v>486</v>
      </c>
      <c r="F41" t="s">
        <v>487</v>
      </c>
      <c r="G41" t="s">
        <v>488</v>
      </c>
    </row>
    <row r="42" spans="2:7" x14ac:dyDescent="0.25">
      <c r="B42" t="str">
        <f>IF('ELC TECH'!I41=0,"*",IF(_xlfn.XLOOKUP(C42,'ELC TECH'!H:H,'ELC TECH'!E:E)="Storage","STG","ELE"))</f>
        <v>STG</v>
      </c>
      <c r="C42" t="str">
        <f>'ELC TECH'!H41</f>
        <v>ELCSTGGRDPSH12HC1320</v>
      </c>
      <c r="D42" t="str">
        <f>_xlfn.XLOOKUP(C42,'ELC TECH'!$H:$H,'ELC TECH'!$A:$A)&amp;" "&amp;_xlfn.XLOOKUP(C42,'ELC TECH'!$H:$H,'ELC TECH'!$B:$B)&amp;" "&amp;_xlfn.XLOOKUP(C42,'ELC TECH'!$H:$H,'ELC TECH'!$F:$F)</f>
        <v>Electricity Grid Pumped Hydro 12h Class 13</v>
      </c>
      <c r="E42" t="s">
        <v>486</v>
      </c>
      <c r="F42" t="s">
        <v>487</v>
      </c>
      <c r="G42" t="s">
        <v>488</v>
      </c>
    </row>
    <row r="43" spans="2:7" x14ac:dyDescent="0.25">
      <c r="B43" t="str">
        <f>IF('ELC TECH'!I42=0,"*",IF(_xlfn.XLOOKUP(C43,'ELC TECH'!H:H,'ELC TECH'!E:E)="Storage","STG","ELE"))</f>
        <v>STG</v>
      </c>
      <c r="C43" t="str">
        <f>'ELC TECH'!H42</f>
        <v>ELCSTGGRDPSH12HC1420</v>
      </c>
      <c r="D43" t="str">
        <f>_xlfn.XLOOKUP(C43,'ELC TECH'!$H:$H,'ELC TECH'!$A:$A)&amp;" "&amp;_xlfn.XLOOKUP(C43,'ELC TECH'!$H:$H,'ELC TECH'!$B:$B)&amp;" "&amp;_xlfn.XLOOKUP(C43,'ELC TECH'!$H:$H,'ELC TECH'!$F:$F)</f>
        <v>Electricity Grid Pumped Hydro 12h Class 14</v>
      </c>
      <c r="E43" t="s">
        <v>486</v>
      </c>
      <c r="F43" t="s">
        <v>487</v>
      </c>
      <c r="G43" t="s">
        <v>488</v>
      </c>
    </row>
    <row r="44" spans="2:7" x14ac:dyDescent="0.25">
      <c r="B44" t="str">
        <f>IF('ELC TECH'!I43=0,"*",IF(_xlfn.XLOOKUP(C44,'ELC TECH'!H:H,'ELC TECH'!E:E)="Storage","STG","ELE"))</f>
        <v>STG</v>
      </c>
      <c r="C44" t="str">
        <f>'ELC TECH'!H43</f>
        <v>ELCSTGGRDPSH12HC1520</v>
      </c>
      <c r="D44" t="str">
        <f>_xlfn.XLOOKUP(C44,'ELC TECH'!$H:$H,'ELC TECH'!$A:$A)&amp;" "&amp;_xlfn.XLOOKUP(C44,'ELC TECH'!$H:$H,'ELC TECH'!$B:$B)&amp;" "&amp;_xlfn.XLOOKUP(C44,'ELC TECH'!$H:$H,'ELC TECH'!$F:$F)</f>
        <v>Electricity Grid Pumped Hydro 12h Class 15</v>
      </c>
      <c r="E44" t="s">
        <v>486</v>
      </c>
      <c r="F44" t="s">
        <v>487</v>
      </c>
      <c r="G44" t="s">
        <v>488</v>
      </c>
    </row>
    <row r="45" spans="2:7" x14ac:dyDescent="0.25">
      <c r="B45" t="str">
        <f>IF('ELC TECH'!I44=0,"*",IF(_xlfn.XLOOKUP(C45,'ELC TECH'!H:H,'ELC TECH'!E:E)="Storage","STG","ELE"))</f>
        <v>STG</v>
      </c>
      <c r="C45" t="str">
        <f>'ELC TECH'!H44</f>
        <v>ELCSTGGRDPSH10HC120</v>
      </c>
      <c r="D45" t="str">
        <f>_xlfn.XLOOKUP(C45,'ELC TECH'!$H:$H,'ELC TECH'!$A:$A)&amp;" "&amp;_xlfn.XLOOKUP(C45,'ELC TECH'!$H:$H,'ELC TECH'!$B:$B)&amp;" "&amp;_xlfn.XLOOKUP(C45,'ELC TECH'!$H:$H,'ELC TECH'!$F:$F)</f>
        <v>Electricity Grid Pumped Hydro 10h Class 1</v>
      </c>
      <c r="E45" t="s">
        <v>486</v>
      </c>
      <c r="F45" t="s">
        <v>487</v>
      </c>
      <c r="G45" t="s">
        <v>488</v>
      </c>
    </row>
    <row r="46" spans="2:7" x14ac:dyDescent="0.25">
      <c r="B46" t="str">
        <f>IF('ELC TECH'!I45=0,"*",IF(_xlfn.XLOOKUP(C46,'ELC TECH'!H:H,'ELC TECH'!E:E)="Storage","STG","ELE"))</f>
        <v>STG</v>
      </c>
      <c r="C46" t="str">
        <f>'ELC TECH'!H45</f>
        <v>ELCSTGGRDPSH10HC220</v>
      </c>
      <c r="D46" t="str">
        <f>_xlfn.XLOOKUP(C46,'ELC TECH'!$H:$H,'ELC TECH'!$A:$A)&amp;" "&amp;_xlfn.XLOOKUP(C46,'ELC TECH'!$H:$H,'ELC TECH'!$B:$B)&amp;" "&amp;_xlfn.XLOOKUP(C46,'ELC TECH'!$H:$H,'ELC TECH'!$F:$F)</f>
        <v>Electricity Grid Pumped Hydro 10h Class 2</v>
      </c>
      <c r="E46" t="s">
        <v>486</v>
      </c>
      <c r="F46" t="s">
        <v>487</v>
      </c>
      <c r="G46" t="s">
        <v>488</v>
      </c>
    </row>
    <row r="47" spans="2:7" x14ac:dyDescent="0.25">
      <c r="B47" t="str">
        <f>IF('ELC TECH'!I46=0,"*",IF(_xlfn.XLOOKUP(C47,'ELC TECH'!H:H,'ELC TECH'!E:E)="Storage","STG","ELE"))</f>
        <v>STG</v>
      </c>
      <c r="C47" t="str">
        <f>'ELC TECH'!H46</f>
        <v>ELCSTGGRDPSH10HC320</v>
      </c>
      <c r="D47" t="str">
        <f>_xlfn.XLOOKUP(C47,'ELC TECH'!$H:$H,'ELC TECH'!$A:$A)&amp;" "&amp;_xlfn.XLOOKUP(C47,'ELC TECH'!$H:$H,'ELC TECH'!$B:$B)&amp;" "&amp;_xlfn.XLOOKUP(C47,'ELC TECH'!$H:$H,'ELC TECH'!$F:$F)</f>
        <v>Electricity Grid Pumped Hydro 10h Class 3</v>
      </c>
      <c r="E47" t="s">
        <v>486</v>
      </c>
      <c r="F47" t="s">
        <v>487</v>
      </c>
      <c r="G47" t="s">
        <v>488</v>
      </c>
    </row>
    <row r="48" spans="2:7" x14ac:dyDescent="0.25">
      <c r="B48" t="str">
        <f>IF('ELC TECH'!I47=0,"*",IF(_xlfn.XLOOKUP(C48,'ELC TECH'!H:H,'ELC TECH'!E:E)="Storage","STG","ELE"))</f>
        <v>STG</v>
      </c>
      <c r="C48" t="str">
        <f>'ELC TECH'!H47</f>
        <v>ELCSTGGRDPSH10HC420</v>
      </c>
      <c r="D48" t="str">
        <f>_xlfn.XLOOKUP(C48,'ELC TECH'!$H:$H,'ELC TECH'!$A:$A)&amp;" "&amp;_xlfn.XLOOKUP(C48,'ELC TECH'!$H:$H,'ELC TECH'!$B:$B)&amp;" "&amp;_xlfn.XLOOKUP(C48,'ELC TECH'!$H:$H,'ELC TECH'!$F:$F)</f>
        <v>Electricity Grid Pumped Hydro 10h Class 4</v>
      </c>
      <c r="E48" t="s">
        <v>486</v>
      </c>
      <c r="F48" t="s">
        <v>487</v>
      </c>
      <c r="G48" t="s">
        <v>488</v>
      </c>
    </row>
    <row r="49" spans="2:7" x14ac:dyDescent="0.25">
      <c r="B49" t="str">
        <f>IF('ELC TECH'!I48=0,"*",IF(_xlfn.XLOOKUP(C49,'ELC TECH'!H:H,'ELC TECH'!E:E)="Storage","STG","ELE"))</f>
        <v>STG</v>
      </c>
      <c r="C49" t="str">
        <f>'ELC TECH'!H48</f>
        <v>ELCSTGGRDPSH10HC520</v>
      </c>
      <c r="D49" t="str">
        <f>_xlfn.XLOOKUP(C49,'ELC TECH'!$H:$H,'ELC TECH'!$A:$A)&amp;" "&amp;_xlfn.XLOOKUP(C49,'ELC TECH'!$H:$H,'ELC TECH'!$B:$B)&amp;" "&amp;_xlfn.XLOOKUP(C49,'ELC TECH'!$H:$H,'ELC TECH'!$F:$F)</f>
        <v>Electricity Grid Pumped Hydro 10h Class 5</v>
      </c>
      <c r="E49" t="s">
        <v>486</v>
      </c>
      <c r="F49" t="s">
        <v>487</v>
      </c>
      <c r="G49" t="s">
        <v>488</v>
      </c>
    </row>
    <row r="50" spans="2:7" x14ac:dyDescent="0.25">
      <c r="B50" t="str">
        <f>IF('ELC TECH'!I49=0,"*",IF(_xlfn.XLOOKUP(C50,'ELC TECH'!H:H,'ELC TECH'!E:E)="Storage","STG","ELE"))</f>
        <v>STG</v>
      </c>
      <c r="C50" t="str">
        <f>'ELC TECH'!H49</f>
        <v>ELCSTGGRDPSH10HC620</v>
      </c>
      <c r="D50" t="str">
        <f>_xlfn.XLOOKUP(C50,'ELC TECH'!$H:$H,'ELC TECH'!$A:$A)&amp;" "&amp;_xlfn.XLOOKUP(C50,'ELC TECH'!$H:$H,'ELC TECH'!$B:$B)&amp;" "&amp;_xlfn.XLOOKUP(C50,'ELC TECH'!$H:$H,'ELC TECH'!$F:$F)</f>
        <v>Electricity Grid Pumped Hydro 10h Class 6</v>
      </c>
      <c r="E50" t="s">
        <v>486</v>
      </c>
      <c r="F50" t="s">
        <v>487</v>
      </c>
      <c r="G50" t="s">
        <v>488</v>
      </c>
    </row>
    <row r="51" spans="2:7" x14ac:dyDescent="0.25">
      <c r="B51" t="str">
        <f>IF('ELC TECH'!I50=0,"*",IF(_xlfn.XLOOKUP(C51,'ELC TECH'!H:H,'ELC TECH'!E:E)="Storage","STG","ELE"))</f>
        <v>STG</v>
      </c>
      <c r="C51" t="str">
        <f>'ELC TECH'!H50</f>
        <v>ELCSTGGRDPSH10HC720</v>
      </c>
      <c r="D51" t="str">
        <f>_xlfn.XLOOKUP(C51,'ELC TECH'!$H:$H,'ELC TECH'!$A:$A)&amp;" "&amp;_xlfn.XLOOKUP(C51,'ELC TECH'!$H:$H,'ELC TECH'!$B:$B)&amp;" "&amp;_xlfn.XLOOKUP(C51,'ELC TECH'!$H:$H,'ELC TECH'!$F:$F)</f>
        <v>Electricity Grid Pumped Hydro 10h Class 7</v>
      </c>
      <c r="E51" t="s">
        <v>486</v>
      </c>
      <c r="F51" t="s">
        <v>487</v>
      </c>
      <c r="G51" t="s">
        <v>488</v>
      </c>
    </row>
    <row r="52" spans="2:7" x14ac:dyDescent="0.25">
      <c r="B52" t="str">
        <f>IF('ELC TECH'!I51=0,"*",IF(_xlfn.XLOOKUP(C52,'ELC TECH'!H:H,'ELC TECH'!E:E)="Storage","STG","ELE"))</f>
        <v>STG</v>
      </c>
      <c r="C52" t="str">
        <f>'ELC TECH'!H51</f>
        <v>ELCSTGGRDPSH10HC820</v>
      </c>
      <c r="D52" t="str">
        <f>_xlfn.XLOOKUP(C52,'ELC TECH'!$H:$H,'ELC TECH'!$A:$A)&amp;" "&amp;_xlfn.XLOOKUP(C52,'ELC TECH'!$H:$H,'ELC TECH'!$B:$B)&amp;" "&amp;_xlfn.XLOOKUP(C52,'ELC TECH'!$H:$H,'ELC TECH'!$F:$F)</f>
        <v>Electricity Grid Pumped Hydro 10h Class 8</v>
      </c>
      <c r="E52" t="s">
        <v>486</v>
      </c>
      <c r="F52" t="s">
        <v>487</v>
      </c>
      <c r="G52" t="s">
        <v>488</v>
      </c>
    </row>
    <row r="53" spans="2:7" x14ac:dyDescent="0.25">
      <c r="B53" t="str">
        <f>IF('ELC TECH'!I52=0,"*",IF(_xlfn.XLOOKUP(C53,'ELC TECH'!H:H,'ELC TECH'!E:E)="Storage","STG","ELE"))</f>
        <v>STG</v>
      </c>
      <c r="C53" t="str">
        <f>'ELC TECH'!H52</f>
        <v>ELCSTGGRDPSH10HC920</v>
      </c>
      <c r="D53" t="str">
        <f>_xlfn.XLOOKUP(C53,'ELC TECH'!$H:$H,'ELC TECH'!$A:$A)&amp;" "&amp;_xlfn.XLOOKUP(C53,'ELC TECH'!$H:$H,'ELC TECH'!$B:$B)&amp;" "&amp;_xlfn.XLOOKUP(C53,'ELC TECH'!$H:$H,'ELC TECH'!$F:$F)</f>
        <v>Electricity Grid Pumped Hydro 10h Class 9</v>
      </c>
      <c r="E53" t="s">
        <v>486</v>
      </c>
      <c r="F53" t="s">
        <v>487</v>
      </c>
      <c r="G53" t="s">
        <v>488</v>
      </c>
    </row>
    <row r="54" spans="2:7" x14ac:dyDescent="0.25">
      <c r="B54" t="str">
        <f>IF('ELC TECH'!I53=0,"*",IF(_xlfn.XLOOKUP(C54,'ELC TECH'!H:H,'ELC TECH'!E:E)="Storage","STG","ELE"))</f>
        <v>STG</v>
      </c>
      <c r="C54" t="str">
        <f>'ELC TECH'!H53</f>
        <v>ELCSTGGRDPSH10HC1020</v>
      </c>
      <c r="D54" t="str">
        <f>_xlfn.XLOOKUP(C54,'ELC TECH'!$H:$H,'ELC TECH'!$A:$A)&amp;" "&amp;_xlfn.XLOOKUP(C54,'ELC TECH'!$H:$H,'ELC TECH'!$B:$B)&amp;" "&amp;_xlfn.XLOOKUP(C54,'ELC TECH'!$H:$H,'ELC TECH'!$F:$F)</f>
        <v>Electricity Grid Pumped Hydro 10h Class 10</v>
      </c>
      <c r="E54" t="s">
        <v>486</v>
      </c>
      <c r="F54" t="s">
        <v>487</v>
      </c>
      <c r="G54" t="s">
        <v>488</v>
      </c>
    </row>
    <row r="55" spans="2:7" x14ac:dyDescent="0.25">
      <c r="B55" t="str">
        <f>IF('ELC TECH'!I54=0,"*",IF(_xlfn.XLOOKUP(C55,'ELC TECH'!H:H,'ELC TECH'!E:E)="Storage","STG","ELE"))</f>
        <v>STG</v>
      </c>
      <c r="C55" t="str">
        <f>'ELC TECH'!H54</f>
        <v>ELCSTGGRDPSH10HC1120</v>
      </c>
      <c r="D55" t="str">
        <f>_xlfn.XLOOKUP(C55,'ELC TECH'!$H:$H,'ELC TECH'!$A:$A)&amp;" "&amp;_xlfn.XLOOKUP(C55,'ELC TECH'!$H:$H,'ELC TECH'!$B:$B)&amp;" "&amp;_xlfn.XLOOKUP(C55,'ELC TECH'!$H:$H,'ELC TECH'!$F:$F)</f>
        <v>Electricity Grid Pumped Hydro 10h Class 11</v>
      </c>
      <c r="E55" t="s">
        <v>486</v>
      </c>
      <c r="F55" t="s">
        <v>487</v>
      </c>
      <c r="G55" t="s">
        <v>488</v>
      </c>
    </row>
    <row r="56" spans="2:7" x14ac:dyDescent="0.25">
      <c r="B56" t="str">
        <f>IF('ELC TECH'!I55=0,"*",IF(_xlfn.XLOOKUP(C56,'ELC TECH'!H:H,'ELC TECH'!E:E)="Storage","STG","ELE"))</f>
        <v>STG</v>
      </c>
      <c r="C56" t="str">
        <f>'ELC TECH'!H55</f>
        <v>ELCSTGGRDPSH10HC1220</v>
      </c>
      <c r="D56" t="str">
        <f>_xlfn.XLOOKUP(C56,'ELC TECH'!$H:$H,'ELC TECH'!$A:$A)&amp;" "&amp;_xlfn.XLOOKUP(C56,'ELC TECH'!$H:$H,'ELC TECH'!$B:$B)&amp;" "&amp;_xlfn.XLOOKUP(C56,'ELC TECH'!$H:$H,'ELC TECH'!$F:$F)</f>
        <v>Electricity Grid Pumped Hydro 10h Class 12</v>
      </c>
      <c r="E56" t="s">
        <v>486</v>
      </c>
      <c r="F56" t="s">
        <v>487</v>
      </c>
      <c r="G56" t="s">
        <v>488</v>
      </c>
    </row>
    <row r="57" spans="2:7" x14ac:dyDescent="0.25">
      <c r="B57" t="str">
        <f>IF('ELC TECH'!I56=0,"*",IF(_xlfn.XLOOKUP(C57,'ELC TECH'!H:H,'ELC TECH'!E:E)="Storage","STG","ELE"))</f>
        <v>STG</v>
      </c>
      <c r="C57" t="str">
        <f>'ELC TECH'!H56</f>
        <v>ELCSTGGRDPSH10HC1320</v>
      </c>
      <c r="D57" t="str">
        <f>_xlfn.XLOOKUP(C57,'ELC TECH'!$H:$H,'ELC TECH'!$A:$A)&amp;" "&amp;_xlfn.XLOOKUP(C57,'ELC TECH'!$H:$H,'ELC TECH'!$B:$B)&amp;" "&amp;_xlfn.XLOOKUP(C57,'ELC TECH'!$H:$H,'ELC TECH'!$F:$F)</f>
        <v>Electricity Grid Pumped Hydro 10h Class 13</v>
      </c>
      <c r="E57" t="s">
        <v>486</v>
      </c>
      <c r="F57" t="s">
        <v>487</v>
      </c>
      <c r="G57" t="s">
        <v>488</v>
      </c>
    </row>
    <row r="58" spans="2:7" x14ac:dyDescent="0.25">
      <c r="B58" t="str">
        <f>IF('ELC TECH'!I57=0,"*",IF(_xlfn.XLOOKUP(C58,'ELC TECH'!H:H,'ELC TECH'!E:E)="Storage","STG","ELE"))</f>
        <v>STG</v>
      </c>
      <c r="C58" t="str">
        <f>'ELC TECH'!H57</f>
        <v>ELCSTGGRDPSH10HC1420</v>
      </c>
      <c r="D58" t="str">
        <f>_xlfn.XLOOKUP(C58,'ELC TECH'!$H:$H,'ELC TECH'!$A:$A)&amp;" "&amp;_xlfn.XLOOKUP(C58,'ELC TECH'!$H:$H,'ELC TECH'!$B:$B)&amp;" "&amp;_xlfn.XLOOKUP(C58,'ELC TECH'!$H:$H,'ELC TECH'!$F:$F)</f>
        <v>Electricity Grid Pumped Hydro 10h Class 14</v>
      </c>
      <c r="E58" t="s">
        <v>486</v>
      </c>
      <c r="F58" t="s">
        <v>487</v>
      </c>
      <c r="G58" t="s">
        <v>488</v>
      </c>
    </row>
    <row r="59" spans="2:7" x14ac:dyDescent="0.25">
      <c r="B59" t="str">
        <f>IF('ELC TECH'!I58=0,"*",IF(_xlfn.XLOOKUP(C59,'ELC TECH'!H:H,'ELC TECH'!E:E)="Storage","STG","ELE"))</f>
        <v>STG</v>
      </c>
      <c r="C59" t="str">
        <f>'ELC TECH'!H58</f>
        <v>ELCSTGGRDPSH10HC1520</v>
      </c>
      <c r="D59" t="str">
        <f>_xlfn.XLOOKUP(C59,'ELC TECH'!$H:$H,'ELC TECH'!$A:$A)&amp;" "&amp;_xlfn.XLOOKUP(C59,'ELC TECH'!$H:$H,'ELC TECH'!$B:$B)&amp;" "&amp;_xlfn.XLOOKUP(C59,'ELC TECH'!$H:$H,'ELC TECH'!$F:$F)</f>
        <v>Electricity Grid Pumped Hydro 10h Class 15</v>
      </c>
      <c r="E59" t="s">
        <v>486</v>
      </c>
      <c r="F59" t="s">
        <v>487</v>
      </c>
      <c r="G59" t="s">
        <v>488</v>
      </c>
    </row>
    <row r="60" spans="2:7" x14ac:dyDescent="0.25">
      <c r="B60" t="str">
        <f>IF('ELC TECH'!I59=0,"*",IF(_xlfn.XLOOKUP(C60,'ELC TECH'!H:H,'ELC TECH'!E:E)="Storage","STG","ELE"))</f>
        <v>STG</v>
      </c>
      <c r="C60" t="str">
        <f>'ELC TECH'!H59</f>
        <v>ELCSTGGRDPSH8HC120</v>
      </c>
      <c r="D60" t="str">
        <f>_xlfn.XLOOKUP(C60,'ELC TECH'!$H:$H,'ELC TECH'!$A:$A)&amp;" "&amp;_xlfn.XLOOKUP(C60,'ELC TECH'!$H:$H,'ELC TECH'!$B:$B)&amp;" "&amp;_xlfn.XLOOKUP(C60,'ELC TECH'!$H:$H,'ELC TECH'!$F:$F)</f>
        <v>Electricity Grid Pumped Hydro 8h Class 1</v>
      </c>
      <c r="E60" t="s">
        <v>486</v>
      </c>
      <c r="F60" t="s">
        <v>487</v>
      </c>
      <c r="G60" t="s">
        <v>488</v>
      </c>
    </row>
    <row r="61" spans="2:7" x14ac:dyDescent="0.25">
      <c r="B61" t="str">
        <f>IF('ELC TECH'!I60=0,"*",IF(_xlfn.XLOOKUP(C61,'ELC TECH'!H:H,'ELC TECH'!E:E)="Storage","STG","ELE"))</f>
        <v>STG</v>
      </c>
      <c r="C61" t="str">
        <f>'ELC TECH'!H60</f>
        <v>ELCSTGGRDPSH8HC220</v>
      </c>
      <c r="D61" t="str">
        <f>_xlfn.XLOOKUP(C61,'ELC TECH'!$H:$H,'ELC TECH'!$A:$A)&amp;" "&amp;_xlfn.XLOOKUP(C61,'ELC TECH'!$H:$H,'ELC TECH'!$B:$B)&amp;" "&amp;_xlfn.XLOOKUP(C61,'ELC TECH'!$H:$H,'ELC TECH'!$F:$F)</f>
        <v>Electricity Grid Pumped Hydro 8h Class 2</v>
      </c>
      <c r="E61" t="s">
        <v>486</v>
      </c>
      <c r="F61" t="s">
        <v>487</v>
      </c>
      <c r="G61" t="s">
        <v>488</v>
      </c>
    </row>
    <row r="62" spans="2:7" x14ac:dyDescent="0.25">
      <c r="B62" t="str">
        <f>IF('ELC TECH'!I61=0,"*",IF(_xlfn.XLOOKUP(C62,'ELC TECH'!H:H,'ELC TECH'!E:E)="Storage","STG","ELE"))</f>
        <v>STG</v>
      </c>
      <c r="C62" t="str">
        <f>'ELC TECH'!H61</f>
        <v>ELCSTGGRDPSH8HC320</v>
      </c>
      <c r="D62" t="str">
        <f>_xlfn.XLOOKUP(C62,'ELC TECH'!$H:$H,'ELC TECH'!$A:$A)&amp;" "&amp;_xlfn.XLOOKUP(C62,'ELC TECH'!$H:$H,'ELC TECH'!$B:$B)&amp;" "&amp;_xlfn.XLOOKUP(C62,'ELC TECH'!$H:$H,'ELC TECH'!$F:$F)</f>
        <v>Electricity Grid Pumped Hydro 8h Class 3</v>
      </c>
      <c r="E62" t="s">
        <v>486</v>
      </c>
      <c r="F62" t="s">
        <v>487</v>
      </c>
      <c r="G62" t="s">
        <v>488</v>
      </c>
    </row>
    <row r="63" spans="2:7" x14ac:dyDescent="0.25">
      <c r="B63" t="str">
        <f>IF('ELC TECH'!I62=0,"*",IF(_xlfn.XLOOKUP(C63,'ELC TECH'!H:H,'ELC TECH'!E:E)="Storage","STG","ELE"))</f>
        <v>STG</v>
      </c>
      <c r="C63" t="str">
        <f>'ELC TECH'!H62</f>
        <v>ELCSTGGRDPSH8HC420</v>
      </c>
      <c r="D63" t="str">
        <f>_xlfn.XLOOKUP(C63,'ELC TECH'!$H:$H,'ELC TECH'!$A:$A)&amp;" "&amp;_xlfn.XLOOKUP(C63,'ELC TECH'!$H:$H,'ELC TECH'!$B:$B)&amp;" "&amp;_xlfn.XLOOKUP(C63,'ELC TECH'!$H:$H,'ELC TECH'!$F:$F)</f>
        <v>Electricity Grid Pumped Hydro 8h Class 4</v>
      </c>
      <c r="E63" t="s">
        <v>486</v>
      </c>
      <c r="F63" t="s">
        <v>487</v>
      </c>
      <c r="G63" t="s">
        <v>488</v>
      </c>
    </row>
    <row r="64" spans="2:7" x14ac:dyDescent="0.25">
      <c r="B64" t="str">
        <f>IF('ELC TECH'!I63=0,"*",IF(_xlfn.XLOOKUP(C64,'ELC TECH'!H:H,'ELC TECH'!E:E)="Storage","STG","ELE"))</f>
        <v>STG</v>
      </c>
      <c r="C64" t="str">
        <f>'ELC TECH'!H63</f>
        <v>ELCSTGGRDPSH8HC520</v>
      </c>
      <c r="D64" t="str">
        <f>_xlfn.XLOOKUP(C64,'ELC TECH'!$H:$H,'ELC TECH'!$A:$A)&amp;" "&amp;_xlfn.XLOOKUP(C64,'ELC TECH'!$H:$H,'ELC TECH'!$B:$B)&amp;" "&amp;_xlfn.XLOOKUP(C64,'ELC TECH'!$H:$H,'ELC TECH'!$F:$F)</f>
        <v>Electricity Grid Pumped Hydro 8h Class 5</v>
      </c>
      <c r="E64" t="s">
        <v>486</v>
      </c>
      <c r="F64" t="s">
        <v>487</v>
      </c>
      <c r="G64" t="s">
        <v>488</v>
      </c>
    </row>
    <row r="65" spans="2:7" x14ac:dyDescent="0.25">
      <c r="B65" t="str">
        <f>IF('ELC TECH'!I64=0,"*",IF(_xlfn.XLOOKUP(C65,'ELC TECH'!H:H,'ELC TECH'!E:E)="Storage","STG","ELE"))</f>
        <v>STG</v>
      </c>
      <c r="C65" t="str">
        <f>'ELC TECH'!H64</f>
        <v>ELCSTGGRDPSH8HC620</v>
      </c>
      <c r="D65" t="str">
        <f>_xlfn.XLOOKUP(C65,'ELC TECH'!$H:$H,'ELC TECH'!$A:$A)&amp;" "&amp;_xlfn.XLOOKUP(C65,'ELC TECH'!$H:$H,'ELC TECH'!$B:$B)&amp;" "&amp;_xlfn.XLOOKUP(C65,'ELC TECH'!$H:$H,'ELC TECH'!$F:$F)</f>
        <v>Electricity Grid Pumped Hydro 8h Class 6</v>
      </c>
      <c r="E65" t="s">
        <v>486</v>
      </c>
      <c r="F65" t="s">
        <v>487</v>
      </c>
      <c r="G65" t="s">
        <v>488</v>
      </c>
    </row>
    <row r="66" spans="2:7" x14ac:dyDescent="0.25">
      <c r="B66" t="str">
        <f>IF('ELC TECH'!I65=0,"*",IF(_xlfn.XLOOKUP(C66,'ELC TECH'!H:H,'ELC TECH'!E:E)="Storage","STG","ELE"))</f>
        <v>STG</v>
      </c>
      <c r="C66" t="str">
        <f>'ELC TECH'!H65</f>
        <v>ELCSTGGRDPSH8HC720</v>
      </c>
      <c r="D66" t="str">
        <f>_xlfn.XLOOKUP(C66,'ELC TECH'!$H:$H,'ELC TECH'!$A:$A)&amp;" "&amp;_xlfn.XLOOKUP(C66,'ELC TECH'!$H:$H,'ELC TECH'!$B:$B)&amp;" "&amp;_xlfn.XLOOKUP(C66,'ELC TECH'!$H:$H,'ELC TECH'!$F:$F)</f>
        <v>Electricity Grid Pumped Hydro 8h Class 7</v>
      </c>
      <c r="E66" t="s">
        <v>486</v>
      </c>
      <c r="F66" t="s">
        <v>487</v>
      </c>
      <c r="G66" t="s">
        <v>488</v>
      </c>
    </row>
    <row r="67" spans="2:7" x14ac:dyDescent="0.25">
      <c r="B67" t="str">
        <f>IF('ELC TECH'!I66=0,"*",IF(_xlfn.XLOOKUP(C67,'ELC TECH'!H:H,'ELC TECH'!E:E)="Storage","STG","ELE"))</f>
        <v>STG</v>
      </c>
      <c r="C67" t="str">
        <f>'ELC TECH'!H66</f>
        <v>ELCSTGGRDPSH8HC820</v>
      </c>
      <c r="D67" t="str">
        <f>_xlfn.XLOOKUP(C67,'ELC TECH'!$H:$H,'ELC TECH'!$A:$A)&amp;" "&amp;_xlfn.XLOOKUP(C67,'ELC TECH'!$H:$H,'ELC TECH'!$B:$B)&amp;" "&amp;_xlfn.XLOOKUP(C67,'ELC TECH'!$H:$H,'ELC TECH'!$F:$F)</f>
        <v>Electricity Grid Pumped Hydro 8h Class 8</v>
      </c>
      <c r="E67" t="s">
        <v>486</v>
      </c>
      <c r="F67" t="s">
        <v>487</v>
      </c>
      <c r="G67" t="s">
        <v>488</v>
      </c>
    </row>
    <row r="68" spans="2:7" x14ac:dyDescent="0.25">
      <c r="B68" t="str">
        <f>IF('ELC TECH'!I67=0,"*",IF(_xlfn.XLOOKUP(C68,'ELC TECH'!H:H,'ELC TECH'!E:E)="Storage","STG","ELE"))</f>
        <v>STG</v>
      </c>
      <c r="C68" t="str">
        <f>'ELC TECH'!H67</f>
        <v>ELCSTGGRDPSH8HC920</v>
      </c>
      <c r="D68" t="str">
        <f>_xlfn.XLOOKUP(C68,'ELC TECH'!$H:$H,'ELC TECH'!$A:$A)&amp;" "&amp;_xlfn.XLOOKUP(C68,'ELC TECH'!$H:$H,'ELC TECH'!$B:$B)&amp;" "&amp;_xlfn.XLOOKUP(C68,'ELC TECH'!$H:$H,'ELC TECH'!$F:$F)</f>
        <v>Electricity Grid Pumped Hydro 8h Class 9</v>
      </c>
      <c r="E68" t="s">
        <v>486</v>
      </c>
      <c r="F68" t="s">
        <v>487</v>
      </c>
      <c r="G68" t="s">
        <v>488</v>
      </c>
    </row>
    <row r="69" spans="2:7" x14ac:dyDescent="0.25">
      <c r="B69" t="str">
        <f>IF('ELC TECH'!I68=0,"*",IF(_xlfn.XLOOKUP(C69,'ELC TECH'!H:H,'ELC TECH'!E:E)="Storage","STG","ELE"))</f>
        <v>STG</v>
      </c>
      <c r="C69" t="str">
        <f>'ELC TECH'!H68</f>
        <v>ELCSTGGRDPSH8HC1020</v>
      </c>
      <c r="D69" t="str">
        <f>_xlfn.XLOOKUP(C69,'ELC TECH'!$H:$H,'ELC TECH'!$A:$A)&amp;" "&amp;_xlfn.XLOOKUP(C69,'ELC TECH'!$H:$H,'ELC TECH'!$B:$B)&amp;" "&amp;_xlfn.XLOOKUP(C69,'ELC TECH'!$H:$H,'ELC TECH'!$F:$F)</f>
        <v>Electricity Grid Pumped Hydro 8h Class 10</v>
      </c>
      <c r="E69" t="s">
        <v>486</v>
      </c>
      <c r="F69" t="s">
        <v>487</v>
      </c>
      <c r="G69" t="s">
        <v>488</v>
      </c>
    </row>
    <row r="70" spans="2:7" x14ac:dyDescent="0.25">
      <c r="B70" t="str">
        <f>IF('ELC TECH'!I69=0,"*",IF(_xlfn.XLOOKUP(C70,'ELC TECH'!H:H,'ELC TECH'!E:E)="Storage","STG","ELE"))</f>
        <v>STG</v>
      </c>
      <c r="C70" t="str">
        <f>'ELC TECH'!H69</f>
        <v>ELCSTGGRDPSH8HC1120</v>
      </c>
      <c r="D70" t="str">
        <f>_xlfn.XLOOKUP(C70,'ELC TECH'!$H:$H,'ELC TECH'!$A:$A)&amp;" "&amp;_xlfn.XLOOKUP(C70,'ELC TECH'!$H:$H,'ELC TECH'!$B:$B)&amp;" "&amp;_xlfn.XLOOKUP(C70,'ELC TECH'!$H:$H,'ELC TECH'!$F:$F)</f>
        <v>Electricity Grid Pumped Hydro 8h Class 11</v>
      </c>
      <c r="E70" t="s">
        <v>486</v>
      </c>
      <c r="F70" t="s">
        <v>487</v>
      </c>
      <c r="G70" t="s">
        <v>488</v>
      </c>
    </row>
    <row r="71" spans="2:7" x14ac:dyDescent="0.25">
      <c r="B71" t="str">
        <f>IF('ELC TECH'!I70=0,"*",IF(_xlfn.XLOOKUP(C71,'ELC TECH'!H:H,'ELC TECH'!E:E)="Storage","STG","ELE"))</f>
        <v>STG</v>
      </c>
      <c r="C71" t="str">
        <f>'ELC TECH'!H70</f>
        <v>ELCSTGGRDPSH8HC1220</v>
      </c>
      <c r="D71" t="str">
        <f>_xlfn.XLOOKUP(C71,'ELC TECH'!$H:$H,'ELC TECH'!$A:$A)&amp;" "&amp;_xlfn.XLOOKUP(C71,'ELC TECH'!$H:$H,'ELC TECH'!$B:$B)&amp;" "&amp;_xlfn.XLOOKUP(C71,'ELC TECH'!$H:$H,'ELC TECH'!$F:$F)</f>
        <v>Electricity Grid Pumped Hydro 8h Class 12</v>
      </c>
      <c r="E71" t="s">
        <v>486</v>
      </c>
      <c r="F71" t="s">
        <v>487</v>
      </c>
      <c r="G71" t="s">
        <v>488</v>
      </c>
    </row>
    <row r="72" spans="2:7" x14ac:dyDescent="0.25">
      <c r="B72" t="str">
        <f>IF('ELC TECH'!I71=0,"*",IF(_xlfn.XLOOKUP(C72,'ELC TECH'!H:H,'ELC TECH'!E:E)="Storage","STG","ELE"))</f>
        <v>STG</v>
      </c>
      <c r="C72" t="str">
        <f>'ELC TECH'!H71</f>
        <v>ELCSTGGRDPSH8HC1320</v>
      </c>
      <c r="D72" t="str">
        <f>_xlfn.XLOOKUP(C72,'ELC TECH'!$H:$H,'ELC TECH'!$A:$A)&amp;" "&amp;_xlfn.XLOOKUP(C72,'ELC TECH'!$H:$H,'ELC TECH'!$B:$B)&amp;" "&amp;_xlfn.XLOOKUP(C72,'ELC TECH'!$H:$H,'ELC TECH'!$F:$F)</f>
        <v>Electricity Grid Pumped Hydro 8h Class 13</v>
      </c>
      <c r="E72" t="s">
        <v>486</v>
      </c>
      <c r="F72" t="s">
        <v>487</v>
      </c>
      <c r="G72" t="s">
        <v>488</v>
      </c>
    </row>
    <row r="73" spans="2:7" x14ac:dyDescent="0.25">
      <c r="B73" t="str">
        <f>IF('ELC TECH'!I72=0,"*",IF(_xlfn.XLOOKUP(C73,'ELC TECH'!H:H,'ELC TECH'!E:E)="Storage","STG","ELE"))</f>
        <v>STG</v>
      </c>
      <c r="C73" t="str">
        <f>'ELC TECH'!H72</f>
        <v>ELCSTGGRDPSH8HC1420</v>
      </c>
      <c r="D73" t="str">
        <f>_xlfn.XLOOKUP(C73,'ELC TECH'!$H:$H,'ELC TECH'!$A:$A)&amp;" "&amp;_xlfn.XLOOKUP(C73,'ELC TECH'!$H:$H,'ELC TECH'!$B:$B)&amp;" "&amp;_xlfn.XLOOKUP(C73,'ELC TECH'!$H:$H,'ELC TECH'!$F:$F)</f>
        <v>Electricity Grid Pumped Hydro 8h Class 14</v>
      </c>
      <c r="E73" t="s">
        <v>486</v>
      </c>
      <c r="F73" t="s">
        <v>487</v>
      </c>
      <c r="G73" t="s">
        <v>488</v>
      </c>
    </row>
    <row r="74" spans="2:7" x14ac:dyDescent="0.25">
      <c r="B74" t="str">
        <f>IF('ELC TECH'!I73=0,"*",IF(_xlfn.XLOOKUP(C74,'ELC TECH'!H:H,'ELC TECH'!E:E)="Storage","STG","ELE"))</f>
        <v>STG</v>
      </c>
      <c r="C74" t="str">
        <f>'ELC TECH'!H73</f>
        <v>ELCSTGGRDPSH8HC1520</v>
      </c>
      <c r="D74" t="str">
        <f>_xlfn.XLOOKUP(C74,'ELC TECH'!$H:$H,'ELC TECH'!$A:$A)&amp;" "&amp;_xlfn.XLOOKUP(C74,'ELC TECH'!$H:$H,'ELC TECH'!$B:$B)&amp;" "&amp;_xlfn.XLOOKUP(C74,'ELC TECH'!$H:$H,'ELC TECH'!$F:$F)</f>
        <v>Electricity Grid Pumped Hydro 8h Class 15</v>
      </c>
      <c r="E74" t="s">
        <v>486</v>
      </c>
      <c r="F74" t="s">
        <v>487</v>
      </c>
      <c r="G74" t="s">
        <v>488</v>
      </c>
    </row>
    <row r="75" spans="2:7" x14ac:dyDescent="0.25">
      <c r="B75" t="str">
        <f>IF('ELC TECH'!I74=0,"*",IF(_xlfn.XLOOKUP(C75,'ELC TECH'!H:H,'ELC TECH'!E:E)="Storage","STG","ELE"))</f>
        <v>ELE</v>
      </c>
      <c r="C75" t="str">
        <f>'ELC TECH'!H74</f>
        <v>ELCSOLGRDCSPC120</v>
      </c>
      <c r="D75" t="str">
        <f>_xlfn.XLOOKUP(C75,'ELC TECH'!$H:$H,'ELC TECH'!$A:$A)&amp;" "&amp;_xlfn.XLOOKUP(C75,'ELC TECH'!$H:$H,'ELC TECH'!$B:$B)&amp;" "&amp;_xlfn.XLOOKUP(C75,'ELC TECH'!$H:$H,'ELC TECH'!$F:$F)</f>
        <v>Electricity Grid Concentrated Solar Class 1</v>
      </c>
      <c r="E75" t="s">
        <v>486</v>
      </c>
      <c r="F75" t="s">
        <v>487</v>
      </c>
      <c r="G75" t="s">
        <v>488</v>
      </c>
    </row>
    <row r="76" spans="2:7" x14ac:dyDescent="0.25">
      <c r="B76" t="str">
        <f>IF('ELC TECH'!I75=0,"*",IF(_xlfn.XLOOKUP(C76,'ELC TECH'!H:H,'ELC TECH'!E:E)="Storage","STG","ELE"))</f>
        <v>ELE</v>
      </c>
      <c r="C76" t="str">
        <f>'ELC TECH'!H75</f>
        <v>ELCSOLGRDCSPC220</v>
      </c>
      <c r="D76" t="str">
        <f>_xlfn.XLOOKUP(C76,'ELC TECH'!$H:$H,'ELC TECH'!$A:$A)&amp;" "&amp;_xlfn.XLOOKUP(C76,'ELC TECH'!$H:$H,'ELC TECH'!$B:$B)&amp;" "&amp;_xlfn.XLOOKUP(C76,'ELC TECH'!$H:$H,'ELC TECH'!$F:$F)</f>
        <v>Electricity Grid Concentrated Solar Class 2</v>
      </c>
      <c r="E76" t="s">
        <v>486</v>
      </c>
      <c r="F76" t="s">
        <v>487</v>
      </c>
      <c r="G76" t="s">
        <v>488</v>
      </c>
    </row>
    <row r="77" spans="2:7" x14ac:dyDescent="0.25">
      <c r="B77" t="str">
        <f>IF('ELC TECH'!I76=0,"*",IF(_xlfn.XLOOKUP(C77,'ELC TECH'!H:H,'ELC TECH'!E:E)="Storage","STG","ELE"))</f>
        <v>ELE</v>
      </c>
      <c r="C77" t="str">
        <f>'ELC TECH'!H76</f>
        <v>ELCSOLGRDCSPC320</v>
      </c>
      <c r="D77" t="str">
        <f>_xlfn.XLOOKUP(C77,'ELC TECH'!$H:$H,'ELC TECH'!$A:$A)&amp;" "&amp;_xlfn.XLOOKUP(C77,'ELC TECH'!$H:$H,'ELC TECH'!$B:$B)&amp;" "&amp;_xlfn.XLOOKUP(C77,'ELC TECH'!$H:$H,'ELC TECH'!$F:$F)</f>
        <v>Electricity Grid Concentrated Solar Class 3</v>
      </c>
      <c r="E77" t="s">
        <v>486</v>
      </c>
      <c r="F77" t="s">
        <v>487</v>
      </c>
      <c r="G77" t="s">
        <v>488</v>
      </c>
    </row>
    <row r="78" spans="2:7" x14ac:dyDescent="0.25">
      <c r="B78" t="str">
        <f>IF('ELC TECH'!I77=0,"*",IF(_xlfn.XLOOKUP(C78,'ELC TECH'!H:H,'ELC TECH'!E:E)="Storage","STG","ELE"))</f>
        <v>ELE</v>
      </c>
      <c r="C78" t="str">
        <f>'ELC TECH'!H77</f>
        <v>ELCWNDGRDWONC120</v>
      </c>
      <c r="D78" t="str">
        <f>_xlfn.XLOOKUP(C78,'ELC TECH'!$H:$H,'ELC TECH'!$A:$A)&amp;" "&amp;_xlfn.XLOOKUP(C78,'ELC TECH'!$H:$H,'ELC TECH'!$B:$B)&amp;" "&amp;_xlfn.XLOOKUP(C78,'ELC TECH'!$H:$H,'ELC TECH'!$F:$F)</f>
        <v>Electricity Grid Onshore Wind Turbine Class 1</v>
      </c>
      <c r="E78" t="s">
        <v>486</v>
      </c>
      <c r="F78" t="s">
        <v>487</v>
      </c>
      <c r="G78" t="s">
        <v>488</v>
      </c>
    </row>
    <row r="79" spans="2:7" x14ac:dyDescent="0.25">
      <c r="B79" t="str">
        <f>IF('ELC TECH'!I78=0,"*",IF(_xlfn.XLOOKUP(C79,'ELC TECH'!H:H,'ELC TECH'!E:E)="Storage","STG","ELE"))</f>
        <v>ELE</v>
      </c>
      <c r="C79" t="str">
        <f>'ELC TECH'!H78</f>
        <v>ELCWNDGRDWONC220</v>
      </c>
      <c r="D79" t="str">
        <f>_xlfn.XLOOKUP(C79,'ELC TECH'!$H:$H,'ELC TECH'!$A:$A)&amp;" "&amp;_xlfn.XLOOKUP(C79,'ELC TECH'!$H:$H,'ELC TECH'!$B:$B)&amp;" "&amp;_xlfn.XLOOKUP(C79,'ELC TECH'!$H:$H,'ELC TECH'!$F:$F)</f>
        <v>Electricity Grid Onshore Wind Turbine Class 2</v>
      </c>
      <c r="E79" t="s">
        <v>486</v>
      </c>
      <c r="F79" t="s">
        <v>487</v>
      </c>
      <c r="G79" t="s">
        <v>488</v>
      </c>
    </row>
    <row r="80" spans="2:7" x14ac:dyDescent="0.25">
      <c r="B80" t="str">
        <f>IF('ELC TECH'!I79=0,"*",IF(_xlfn.XLOOKUP(C80,'ELC TECH'!H:H,'ELC TECH'!E:E)="Storage","STG","ELE"))</f>
        <v>ELE</v>
      </c>
      <c r="C80" t="str">
        <f>'ELC TECH'!H79</f>
        <v>ELCWNDGRDWONC320</v>
      </c>
      <c r="D80" t="str">
        <f>_xlfn.XLOOKUP(C80,'ELC TECH'!$H:$H,'ELC TECH'!$A:$A)&amp;" "&amp;_xlfn.XLOOKUP(C80,'ELC TECH'!$H:$H,'ELC TECH'!$B:$B)&amp;" "&amp;_xlfn.XLOOKUP(C80,'ELC TECH'!$H:$H,'ELC TECH'!$F:$F)</f>
        <v>Electricity Grid Onshore Wind Turbine Class 3</v>
      </c>
      <c r="E80" t="s">
        <v>486</v>
      </c>
      <c r="F80" t="s">
        <v>487</v>
      </c>
      <c r="G80" t="s">
        <v>488</v>
      </c>
    </row>
    <row r="81" spans="2:7" x14ac:dyDescent="0.25">
      <c r="B81" t="str">
        <f>IF('ELC TECH'!I80=0,"*",IF(_xlfn.XLOOKUP(C81,'ELC TECH'!H:H,'ELC TECH'!E:E)="Storage","STG","ELE"))</f>
        <v>ELE</v>
      </c>
      <c r="C81" t="str">
        <f>'ELC TECH'!H80</f>
        <v>ELCWNDGRDWONC420</v>
      </c>
      <c r="D81" t="str">
        <f>_xlfn.XLOOKUP(C81,'ELC TECH'!$H:$H,'ELC TECH'!$A:$A)&amp;" "&amp;_xlfn.XLOOKUP(C81,'ELC TECH'!$H:$H,'ELC TECH'!$B:$B)&amp;" "&amp;_xlfn.XLOOKUP(C81,'ELC TECH'!$H:$H,'ELC TECH'!$F:$F)</f>
        <v>Electricity Grid Onshore Wind Turbine Class 4</v>
      </c>
      <c r="E81" t="s">
        <v>486</v>
      </c>
      <c r="F81" t="s">
        <v>487</v>
      </c>
      <c r="G81" t="s">
        <v>488</v>
      </c>
    </row>
    <row r="82" spans="2:7" x14ac:dyDescent="0.25">
      <c r="B82" t="str">
        <f>IF('ELC TECH'!I81=0,"*",IF(_xlfn.XLOOKUP(C82,'ELC TECH'!H:H,'ELC TECH'!E:E)="Storage","STG","ELE"))</f>
        <v>ELE</v>
      </c>
      <c r="C82" t="str">
        <f>'ELC TECH'!H81</f>
        <v>ELCWNDGRDWONC520</v>
      </c>
      <c r="D82" t="str">
        <f>_xlfn.XLOOKUP(C82,'ELC TECH'!$H:$H,'ELC TECH'!$A:$A)&amp;" "&amp;_xlfn.XLOOKUP(C82,'ELC TECH'!$H:$H,'ELC TECH'!$B:$B)&amp;" "&amp;_xlfn.XLOOKUP(C82,'ELC TECH'!$H:$H,'ELC TECH'!$F:$F)</f>
        <v>Electricity Grid Onshore Wind Turbine Class 5</v>
      </c>
      <c r="E82" t="s">
        <v>486</v>
      </c>
      <c r="F82" t="s">
        <v>487</v>
      </c>
      <c r="G82" t="s">
        <v>488</v>
      </c>
    </row>
    <row r="83" spans="2:7" x14ac:dyDescent="0.25">
      <c r="B83" t="str">
        <f>IF('ELC TECH'!I82=0,"*",IF(_xlfn.XLOOKUP(C83,'ELC TECH'!H:H,'ELC TECH'!E:E)="Storage","STG","ELE"))</f>
        <v>ELE</v>
      </c>
      <c r="C83" t="str">
        <f>'ELC TECH'!H82</f>
        <v>ELCWNDGRDWONC620</v>
      </c>
      <c r="D83" t="str">
        <f>_xlfn.XLOOKUP(C83,'ELC TECH'!$H:$H,'ELC TECH'!$A:$A)&amp;" "&amp;_xlfn.XLOOKUP(C83,'ELC TECH'!$H:$H,'ELC TECH'!$B:$B)&amp;" "&amp;_xlfn.XLOOKUP(C83,'ELC TECH'!$H:$H,'ELC TECH'!$F:$F)</f>
        <v>Electricity Grid Onshore Wind Turbine Class 6</v>
      </c>
      <c r="E83" t="s">
        <v>486</v>
      </c>
      <c r="F83" t="s">
        <v>487</v>
      </c>
      <c r="G83" t="s">
        <v>488</v>
      </c>
    </row>
    <row r="84" spans="2:7" x14ac:dyDescent="0.25">
      <c r="B84" t="str">
        <f>IF('ELC TECH'!I83=0,"*",IF(_xlfn.XLOOKUP(C84,'ELC TECH'!H:H,'ELC TECH'!E:E)="Storage","STG","ELE"))</f>
        <v>ELE</v>
      </c>
      <c r="C84" t="str">
        <f>'ELC TECH'!H83</f>
        <v>ELCWNDGRDWONC720</v>
      </c>
      <c r="D84" t="str">
        <f>_xlfn.XLOOKUP(C84,'ELC TECH'!$H:$H,'ELC TECH'!$A:$A)&amp;" "&amp;_xlfn.XLOOKUP(C84,'ELC TECH'!$H:$H,'ELC TECH'!$B:$B)&amp;" "&amp;_xlfn.XLOOKUP(C84,'ELC TECH'!$H:$H,'ELC TECH'!$F:$F)</f>
        <v>Electricity Grid Onshore Wind Turbine Class 7</v>
      </c>
      <c r="E84" t="s">
        <v>486</v>
      </c>
      <c r="F84" t="s">
        <v>487</v>
      </c>
      <c r="G84" t="s">
        <v>488</v>
      </c>
    </row>
    <row r="85" spans="2:7" x14ac:dyDescent="0.25">
      <c r="B85" t="str">
        <f>IF('ELC TECH'!I84=0,"*",IF(_xlfn.XLOOKUP(C85,'ELC TECH'!H:H,'ELC TECH'!E:E)="Storage","STG","ELE"))</f>
        <v>ELE</v>
      </c>
      <c r="C85" t="str">
        <f>'ELC TECH'!H84</f>
        <v>ELCWNDGRDWONC820</v>
      </c>
      <c r="D85" t="str">
        <f>_xlfn.XLOOKUP(C85,'ELC TECH'!$H:$H,'ELC TECH'!$A:$A)&amp;" "&amp;_xlfn.XLOOKUP(C85,'ELC TECH'!$H:$H,'ELC TECH'!$B:$B)&amp;" "&amp;_xlfn.XLOOKUP(C85,'ELC TECH'!$H:$H,'ELC TECH'!$F:$F)</f>
        <v>Electricity Grid Onshore Wind Turbine Class 8</v>
      </c>
      <c r="E85" t="s">
        <v>486</v>
      </c>
      <c r="F85" t="s">
        <v>487</v>
      </c>
      <c r="G85" t="s">
        <v>488</v>
      </c>
    </row>
    <row r="86" spans="2:7" x14ac:dyDescent="0.25">
      <c r="B86" t="str">
        <f>IF('ELC TECH'!I85=0,"*",IF(_xlfn.XLOOKUP(C86,'ELC TECH'!H:H,'ELC TECH'!E:E)="Storage","STG","ELE"))</f>
        <v>ELE</v>
      </c>
      <c r="C86" t="str">
        <f>'ELC TECH'!H85</f>
        <v>ELCWNDGRDWONC920</v>
      </c>
      <c r="D86" t="str">
        <f>_xlfn.XLOOKUP(C86,'ELC TECH'!$H:$H,'ELC TECH'!$A:$A)&amp;" "&amp;_xlfn.XLOOKUP(C86,'ELC TECH'!$H:$H,'ELC TECH'!$B:$B)&amp;" "&amp;_xlfn.XLOOKUP(C86,'ELC TECH'!$H:$H,'ELC TECH'!$F:$F)</f>
        <v>Electricity Grid Onshore Wind Turbine Class 9</v>
      </c>
      <c r="E86" t="s">
        <v>486</v>
      </c>
      <c r="F86" t="s">
        <v>487</v>
      </c>
      <c r="G86" t="s">
        <v>488</v>
      </c>
    </row>
    <row r="87" spans="2:7" x14ac:dyDescent="0.25">
      <c r="B87" t="str">
        <f>IF('ELC TECH'!I86=0,"*",IF(_xlfn.XLOOKUP(C87,'ELC TECH'!H:H,'ELC TECH'!E:E)="Storage","STG","ELE"))</f>
        <v>ELE</v>
      </c>
      <c r="C87" t="str">
        <f>'ELC TECH'!H86</f>
        <v>ELCWNDGRDWONC1020</v>
      </c>
      <c r="D87" t="str">
        <f>_xlfn.XLOOKUP(C87,'ELC TECH'!$H:$H,'ELC TECH'!$A:$A)&amp;" "&amp;_xlfn.XLOOKUP(C87,'ELC TECH'!$H:$H,'ELC TECH'!$B:$B)&amp;" "&amp;_xlfn.XLOOKUP(C87,'ELC TECH'!$H:$H,'ELC TECH'!$F:$F)</f>
        <v>Electricity Grid Onshore Wind Turbine Class 10</v>
      </c>
      <c r="E87" t="s">
        <v>486</v>
      </c>
      <c r="F87" t="s">
        <v>487</v>
      </c>
      <c r="G87" t="s">
        <v>488</v>
      </c>
    </row>
    <row r="88" spans="2:7" x14ac:dyDescent="0.25">
      <c r="B88" t="str">
        <f>IF('ELC TECH'!I87=0,"*",IF(_xlfn.XLOOKUP(C88,'ELC TECH'!H:H,'ELC TECH'!E:E)="Storage","STG","ELE"))</f>
        <v>ELE</v>
      </c>
      <c r="C88" t="str">
        <f>'ELC TECH'!H87</f>
        <v>ELCWNDGRDWOFC120</v>
      </c>
      <c r="D88" t="str">
        <f>_xlfn.XLOOKUP(C88,'ELC TECH'!$H:$H,'ELC TECH'!$A:$A)&amp;" "&amp;_xlfn.XLOOKUP(C88,'ELC TECH'!$H:$H,'ELC TECH'!$B:$B)&amp;" "&amp;_xlfn.XLOOKUP(C88,'ELC TECH'!$H:$H,'ELC TECH'!$F:$F)</f>
        <v>Electricity Grid Offshore Wind Turbine Class 1</v>
      </c>
      <c r="E88" t="s">
        <v>486</v>
      </c>
      <c r="F88" t="s">
        <v>487</v>
      </c>
      <c r="G88" t="s">
        <v>488</v>
      </c>
    </row>
    <row r="89" spans="2:7" x14ac:dyDescent="0.25">
      <c r="B89" t="str">
        <f>IF('ELC TECH'!I88=0,"*",IF(_xlfn.XLOOKUP(C89,'ELC TECH'!H:H,'ELC TECH'!E:E)="Storage","STG","ELE"))</f>
        <v>ELE</v>
      </c>
      <c r="C89" t="str">
        <f>'ELC TECH'!H88</f>
        <v>ELCWNDGRDWOFC220</v>
      </c>
      <c r="D89" t="str">
        <f>_xlfn.XLOOKUP(C89,'ELC TECH'!$H:$H,'ELC TECH'!$A:$A)&amp;" "&amp;_xlfn.XLOOKUP(C89,'ELC TECH'!$H:$H,'ELC TECH'!$B:$B)&amp;" "&amp;_xlfn.XLOOKUP(C89,'ELC TECH'!$H:$H,'ELC TECH'!$F:$F)</f>
        <v>Electricity Grid Offshore Wind Turbine Class 2</v>
      </c>
      <c r="E89" t="s">
        <v>486</v>
      </c>
      <c r="F89" t="s">
        <v>487</v>
      </c>
      <c r="G89" t="s">
        <v>488</v>
      </c>
    </row>
    <row r="90" spans="2:7" x14ac:dyDescent="0.25">
      <c r="B90" t="str">
        <f>IF('ELC TECH'!I89=0,"*",IF(_xlfn.XLOOKUP(C90,'ELC TECH'!H:H,'ELC TECH'!E:E)="Storage","STG","ELE"))</f>
        <v>ELE</v>
      </c>
      <c r="C90" t="str">
        <f>'ELC TECH'!H89</f>
        <v>ELCWNDGRDWOFC320</v>
      </c>
      <c r="D90" t="str">
        <f>_xlfn.XLOOKUP(C90,'ELC TECH'!$H:$H,'ELC TECH'!$A:$A)&amp;" "&amp;_xlfn.XLOOKUP(C90,'ELC TECH'!$H:$H,'ELC TECH'!$B:$B)&amp;" "&amp;_xlfn.XLOOKUP(C90,'ELC TECH'!$H:$H,'ELC TECH'!$F:$F)</f>
        <v>Electricity Grid Offshore Wind Turbine Class 3</v>
      </c>
      <c r="E90" t="s">
        <v>486</v>
      </c>
      <c r="F90" t="s">
        <v>487</v>
      </c>
      <c r="G90" t="s">
        <v>488</v>
      </c>
    </row>
    <row r="91" spans="2:7" x14ac:dyDescent="0.25">
      <c r="B91" t="str">
        <f>IF('ELC TECH'!I90=0,"*",IF(_xlfn.XLOOKUP(C91,'ELC TECH'!H:H,'ELC TECH'!E:E)="Storage","STG","ELE"))</f>
        <v>ELE</v>
      </c>
      <c r="C91" t="str">
        <f>'ELC TECH'!H90</f>
        <v>ELCWNDGRDWOFC420</v>
      </c>
      <c r="D91" t="str">
        <f>_xlfn.XLOOKUP(C91,'ELC TECH'!$H:$H,'ELC TECH'!$A:$A)&amp;" "&amp;_xlfn.XLOOKUP(C91,'ELC TECH'!$H:$H,'ELC TECH'!$B:$B)&amp;" "&amp;_xlfn.XLOOKUP(C91,'ELC TECH'!$H:$H,'ELC TECH'!$F:$F)</f>
        <v>Electricity Grid Offshore Wind Turbine Class 4</v>
      </c>
      <c r="E91" t="s">
        <v>486</v>
      </c>
      <c r="F91" t="s">
        <v>487</v>
      </c>
      <c r="G91" t="s">
        <v>488</v>
      </c>
    </row>
    <row r="92" spans="2:7" x14ac:dyDescent="0.25">
      <c r="B92" t="str">
        <f>IF('ELC TECH'!I91=0,"*",IF(_xlfn.XLOOKUP(C92,'ELC TECH'!H:H,'ELC TECH'!E:E)="Storage","STG","ELE"))</f>
        <v>ELE</v>
      </c>
      <c r="C92" t="str">
        <f>'ELC TECH'!H91</f>
        <v>ELCWNDGRDWOFC520</v>
      </c>
      <c r="D92" t="str">
        <f>_xlfn.XLOOKUP(C92,'ELC TECH'!$H:$H,'ELC TECH'!$A:$A)&amp;" "&amp;_xlfn.XLOOKUP(C92,'ELC TECH'!$H:$H,'ELC TECH'!$B:$B)&amp;" "&amp;_xlfn.XLOOKUP(C92,'ELC TECH'!$H:$H,'ELC TECH'!$F:$F)</f>
        <v>Electricity Grid Offshore Wind Turbine Class 5</v>
      </c>
      <c r="E92" t="s">
        <v>486</v>
      </c>
      <c r="F92" t="s">
        <v>487</v>
      </c>
      <c r="G92" t="s">
        <v>488</v>
      </c>
    </row>
    <row r="93" spans="2:7" x14ac:dyDescent="0.25">
      <c r="B93" t="str">
        <f>IF('ELC TECH'!I92=0,"*",IF(_xlfn.XLOOKUP(C93,'ELC TECH'!H:H,'ELC TECH'!E:E)="Storage","STG","ELE"))</f>
        <v>ELE</v>
      </c>
      <c r="C93" t="str">
        <f>'ELC TECH'!H92</f>
        <v>ELCWNDGRDWOFC620</v>
      </c>
      <c r="D93" t="str">
        <f>_xlfn.XLOOKUP(C93,'ELC TECH'!$H:$H,'ELC TECH'!$A:$A)&amp;" "&amp;_xlfn.XLOOKUP(C93,'ELC TECH'!$H:$H,'ELC TECH'!$B:$B)&amp;" "&amp;_xlfn.XLOOKUP(C93,'ELC TECH'!$H:$H,'ELC TECH'!$F:$F)</f>
        <v>Electricity Grid Offshore Wind Turbine Class 6</v>
      </c>
      <c r="E93" t="s">
        <v>486</v>
      </c>
      <c r="F93" t="s">
        <v>487</v>
      </c>
      <c r="G93" t="s">
        <v>488</v>
      </c>
    </row>
    <row r="94" spans="2:7" x14ac:dyDescent="0.25">
      <c r="B94" t="str">
        <f>IF('ELC TECH'!I93=0,"*",IF(_xlfn.XLOOKUP(C94,'ELC TECH'!H:H,'ELC TECH'!E:E)="Storage","STG","ELE"))</f>
        <v>ELE</v>
      </c>
      <c r="C94" t="str">
        <f>'ELC TECH'!H93</f>
        <v>ELCWNDGRDWOFC720</v>
      </c>
      <c r="D94" t="str">
        <f>_xlfn.XLOOKUP(C94,'ELC TECH'!$H:$H,'ELC TECH'!$A:$A)&amp;" "&amp;_xlfn.XLOOKUP(C94,'ELC TECH'!$H:$H,'ELC TECH'!$B:$B)&amp;" "&amp;_xlfn.XLOOKUP(C94,'ELC TECH'!$H:$H,'ELC TECH'!$F:$F)</f>
        <v>Electricity Grid Offshore Wind Turbine Class 7</v>
      </c>
      <c r="E94" t="s">
        <v>486</v>
      </c>
      <c r="F94" t="s">
        <v>487</v>
      </c>
      <c r="G94" t="s">
        <v>488</v>
      </c>
    </row>
    <row r="95" spans="2:7" x14ac:dyDescent="0.25">
      <c r="B95" t="str">
        <f>IF('ELC TECH'!I94=0,"*",IF(_xlfn.XLOOKUP(C95,'ELC TECH'!H:H,'ELC TECH'!E:E)="Storage","STG","ELE"))</f>
        <v>ELE</v>
      </c>
      <c r="C95" t="str">
        <f>'ELC TECH'!H94</f>
        <v>ELCWNDGRDWOFC820</v>
      </c>
      <c r="D95" t="str">
        <f>_xlfn.XLOOKUP(C95,'ELC TECH'!$H:$H,'ELC TECH'!$A:$A)&amp;" "&amp;_xlfn.XLOOKUP(C95,'ELC TECH'!$H:$H,'ELC TECH'!$B:$B)&amp;" "&amp;_xlfn.XLOOKUP(C95,'ELC TECH'!$H:$H,'ELC TECH'!$F:$F)</f>
        <v>Electricity Grid Offshore Wind Turbine Class 8</v>
      </c>
      <c r="E95" t="s">
        <v>486</v>
      </c>
      <c r="F95" t="s">
        <v>487</v>
      </c>
      <c r="G95" t="s">
        <v>488</v>
      </c>
    </row>
    <row r="96" spans="2:7" x14ac:dyDescent="0.25">
      <c r="B96" t="str">
        <f>IF('ELC TECH'!I95=0,"*",IF(_xlfn.XLOOKUP(C96,'ELC TECH'!H:H,'ELC TECH'!E:E)="Storage","STG","ELE"))</f>
        <v>ELE</v>
      </c>
      <c r="C96" t="str">
        <f>'ELC TECH'!H95</f>
        <v>ELCWNDGRDWOFC920</v>
      </c>
      <c r="D96" t="str">
        <f>_xlfn.XLOOKUP(C96,'ELC TECH'!$H:$H,'ELC TECH'!$A:$A)&amp;" "&amp;_xlfn.XLOOKUP(C96,'ELC TECH'!$H:$H,'ELC TECH'!$B:$B)&amp;" "&amp;_xlfn.XLOOKUP(C96,'ELC TECH'!$H:$H,'ELC TECH'!$F:$F)</f>
        <v>Electricity Grid Offshore Wind Turbine Class 9</v>
      </c>
      <c r="E96" t="s">
        <v>486</v>
      </c>
      <c r="F96" t="s">
        <v>487</v>
      </c>
      <c r="G96" t="s">
        <v>488</v>
      </c>
    </row>
    <row r="97" spans="2:7" x14ac:dyDescent="0.25">
      <c r="B97" t="str">
        <f>IF('ELC TECH'!I96=0,"*",IF(_xlfn.XLOOKUP(C97,'ELC TECH'!H:H,'ELC TECH'!E:E)="Storage","STG","ELE"))</f>
        <v>ELE</v>
      </c>
      <c r="C97" t="str">
        <f>'ELC TECH'!H96</f>
        <v>ELCWNDGRDWOFC1020</v>
      </c>
      <c r="D97" t="str">
        <f>_xlfn.XLOOKUP(C97,'ELC TECH'!$H:$H,'ELC TECH'!$A:$A)&amp;" "&amp;_xlfn.XLOOKUP(C97,'ELC TECH'!$H:$H,'ELC TECH'!$B:$B)&amp;" "&amp;_xlfn.XLOOKUP(C97,'ELC TECH'!$H:$H,'ELC TECH'!$F:$F)</f>
        <v>Electricity Grid Offshore Wind Turbine Class 10</v>
      </c>
      <c r="E97" t="s">
        <v>486</v>
      </c>
      <c r="F97" t="s">
        <v>487</v>
      </c>
      <c r="G97" t="s">
        <v>488</v>
      </c>
    </row>
    <row r="98" spans="2:7" x14ac:dyDescent="0.25">
      <c r="B98" t="str">
        <f>IF('ELC TECH'!I97=0,"*",IF(_xlfn.XLOOKUP(C98,'ELC TECH'!H:H,'ELC TECH'!E:E)="Storage","STG","ELE"))</f>
        <v>ELE</v>
      </c>
      <c r="C98" t="str">
        <f>'ELC TECH'!H97</f>
        <v>ELCWNDGRDWOFC1120</v>
      </c>
      <c r="D98" t="str">
        <f>_xlfn.XLOOKUP(C98,'ELC TECH'!$H:$H,'ELC TECH'!$A:$A)&amp;" "&amp;_xlfn.XLOOKUP(C98,'ELC TECH'!$H:$H,'ELC TECH'!$B:$B)&amp;" "&amp;_xlfn.XLOOKUP(C98,'ELC TECH'!$H:$H,'ELC TECH'!$F:$F)</f>
        <v>Electricity Grid Offshore Wind Turbine Class 11</v>
      </c>
      <c r="E98" t="s">
        <v>486</v>
      </c>
      <c r="F98" t="s">
        <v>487</v>
      </c>
      <c r="G98" t="s">
        <v>488</v>
      </c>
    </row>
    <row r="99" spans="2:7" x14ac:dyDescent="0.25">
      <c r="B99" t="str">
        <f>IF('ELC TECH'!I98=0,"*",IF(_xlfn.XLOOKUP(C99,'ELC TECH'!H:H,'ELC TECH'!E:E)="Storage","STG","ELE"))</f>
        <v>ELE</v>
      </c>
      <c r="C99" t="str">
        <f>'ELC TECH'!H98</f>
        <v>ELCWNDGRDWOFC1220</v>
      </c>
      <c r="D99" t="str">
        <f>_xlfn.XLOOKUP(C99,'ELC TECH'!$H:$H,'ELC TECH'!$A:$A)&amp;" "&amp;_xlfn.XLOOKUP(C99,'ELC TECH'!$H:$H,'ELC TECH'!$B:$B)&amp;" "&amp;_xlfn.XLOOKUP(C99,'ELC TECH'!$H:$H,'ELC TECH'!$F:$F)</f>
        <v>Electricity Grid Offshore Wind Turbine Class 12</v>
      </c>
      <c r="E99" t="s">
        <v>486</v>
      </c>
      <c r="F99" t="s">
        <v>487</v>
      </c>
      <c r="G99" t="s">
        <v>488</v>
      </c>
    </row>
    <row r="100" spans="2:7" x14ac:dyDescent="0.25">
      <c r="B100" t="str">
        <f>IF('ELC TECH'!I99=0,"*",IF(_xlfn.XLOOKUP(C100,'ELC TECH'!H:H,'ELC TECH'!E:E)="Storage","STG","ELE"))</f>
        <v>ELE</v>
      </c>
      <c r="C100" t="str">
        <f>'ELC TECH'!H99</f>
        <v>ELCWNDGRDWOFC1320</v>
      </c>
      <c r="D100" t="str">
        <f>_xlfn.XLOOKUP(C100,'ELC TECH'!$H:$H,'ELC TECH'!$A:$A)&amp;" "&amp;_xlfn.XLOOKUP(C100,'ELC TECH'!$H:$H,'ELC TECH'!$B:$B)&amp;" "&amp;_xlfn.XLOOKUP(C100,'ELC TECH'!$H:$H,'ELC TECH'!$F:$F)</f>
        <v>Electricity Grid Offshore Wind Turbine Class 13</v>
      </c>
      <c r="E100" t="s">
        <v>486</v>
      </c>
      <c r="F100" t="s">
        <v>487</v>
      </c>
      <c r="G100" t="s">
        <v>488</v>
      </c>
    </row>
    <row r="101" spans="2:7" x14ac:dyDescent="0.25">
      <c r="B101" t="str">
        <f>IF('ELC TECH'!I100=0,"*",IF(_xlfn.XLOOKUP(C101,'ELC TECH'!H:H,'ELC TECH'!E:E)="Storage","STG","ELE"))</f>
        <v>ELE</v>
      </c>
      <c r="C101" t="str">
        <f>'ELC TECH'!H100</f>
        <v>ELCWNDGRDWOFC1420</v>
      </c>
      <c r="D101" t="str">
        <f>_xlfn.XLOOKUP(C101,'ELC TECH'!$H:$H,'ELC TECH'!$A:$A)&amp;" "&amp;_xlfn.XLOOKUP(C101,'ELC TECH'!$H:$H,'ELC TECH'!$B:$B)&amp;" "&amp;_xlfn.XLOOKUP(C101,'ELC TECH'!$H:$H,'ELC TECH'!$F:$F)</f>
        <v>Electricity Grid Offshore Wind Turbine Class 14</v>
      </c>
      <c r="E101" t="s">
        <v>486</v>
      </c>
      <c r="F101" t="s">
        <v>487</v>
      </c>
      <c r="G101" t="s">
        <v>488</v>
      </c>
    </row>
    <row r="102" spans="2:7" x14ac:dyDescent="0.25">
      <c r="B102" t="str">
        <f>IF('ELC TECH'!I101=0,"*",IF(_xlfn.XLOOKUP(C102,'ELC TECH'!H:H,'ELC TECH'!E:E)="Storage","STG","ELE"))</f>
        <v>ELE</v>
      </c>
      <c r="C102" t="str">
        <f>'ELC TECH'!H101</f>
        <v>ELCSOLGRDUPVC120</v>
      </c>
      <c r="D102" t="str">
        <f>_xlfn.XLOOKUP(C102,'ELC TECH'!$H:$H,'ELC TECH'!$A:$A)&amp;" "&amp;_xlfn.XLOOKUP(C102,'ELC TECH'!$H:$H,'ELC TECH'!$B:$B)&amp;" "&amp;_xlfn.XLOOKUP(C102,'ELC TECH'!$H:$H,'ELC TECH'!$F:$F)</f>
        <v>Electricity Grid Utility PV Class 1</v>
      </c>
      <c r="E102" t="s">
        <v>486</v>
      </c>
      <c r="F102" t="s">
        <v>487</v>
      </c>
      <c r="G102" t="s">
        <v>488</v>
      </c>
    </row>
    <row r="103" spans="2:7" x14ac:dyDescent="0.25">
      <c r="B103" t="str">
        <f>IF('ELC TECH'!I102=0,"*",IF(_xlfn.XLOOKUP(C103,'ELC TECH'!H:H,'ELC TECH'!E:E)="Storage","STG","ELE"))</f>
        <v>ELE</v>
      </c>
      <c r="C103" t="str">
        <f>'ELC TECH'!H102</f>
        <v>ELCSOLGRDUPVC220</v>
      </c>
      <c r="D103" t="str">
        <f>_xlfn.XLOOKUP(C103,'ELC TECH'!$H:$H,'ELC TECH'!$A:$A)&amp;" "&amp;_xlfn.XLOOKUP(C103,'ELC TECH'!$H:$H,'ELC TECH'!$B:$B)&amp;" "&amp;_xlfn.XLOOKUP(C103,'ELC TECH'!$H:$H,'ELC TECH'!$F:$F)</f>
        <v>Electricity Grid Utility PV Class 2</v>
      </c>
      <c r="E103" t="s">
        <v>486</v>
      </c>
      <c r="F103" t="s">
        <v>487</v>
      </c>
      <c r="G103" t="s">
        <v>488</v>
      </c>
    </row>
    <row r="104" spans="2:7" x14ac:dyDescent="0.25">
      <c r="B104" t="str">
        <f>IF('ELC TECH'!I103=0,"*",IF(_xlfn.XLOOKUP(C104,'ELC TECH'!H:H,'ELC TECH'!E:E)="Storage","STG","ELE"))</f>
        <v>ELE</v>
      </c>
      <c r="C104" t="str">
        <f>'ELC TECH'!H103</f>
        <v>ELCSOLGRDUPVC320</v>
      </c>
      <c r="D104" t="str">
        <f>_xlfn.XLOOKUP(C104,'ELC TECH'!$H:$H,'ELC TECH'!$A:$A)&amp;" "&amp;_xlfn.XLOOKUP(C104,'ELC TECH'!$H:$H,'ELC TECH'!$B:$B)&amp;" "&amp;_xlfn.XLOOKUP(C104,'ELC TECH'!$H:$H,'ELC TECH'!$F:$F)</f>
        <v>Electricity Grid Utility PV Class 3</v>
      </c>
      <c r="E104" t="s">
        <v>486</v>
      </c>
      <c r="F104" t="s">
        <v>487</v>
      </c>
      <c r="G104" t="s">
        <v>488</v>
      </c>
    </row>
    <row r="105" spans="2:7" x14ac:dyDescent="0.25">
      <c r="B105" t="str">
        <f>IF('ELC TECH'!I104=0,"*",IF(_xlfn.XLOOKUP(C105,'ELC TECH'!H:H,'ELC TECH'!E:E)="Storage","STG","ELE"))</f>
        <v>ELE</v>
      </c>
      <c r="C105" t="str">
        <f>'ELC TECH'!H104</f>
        <v>ELCSOLGRDUPVC420</v>
      </c>
      <c r="D105" t="str">
        <f>_xlfn.XLOOKUP(C105,'ELC TECH'!$H:$H,'ELC TECH'!$A:$A)&amp;" "&amp;_xlfn.XLOOKUP(C105,'ELC TECH'!$H:$H,'ELC TECH'!$B:$B)&amp;" "&amp;_xlfn.XLOOKUP(C105,'ELC TECH'!$H:$H,'ELC TECH'!$F:$F)</f>
        <v>Electricity Grid Utility PV Class 4</v>
      </c>
      <c r="E105" t="s">
        <v>486</v>
      </c>
      <c r="F105" t="s">
        <v>487</v>
      </c>
      <c r="G105" t="s">
        <v>488</v>
      </c>
    </row>
    <row r="106" spans="2:7" x14ac:dyDescent="0.25">
      <c r="B106" t="str">
        <f>IF('ELC TECH'!I105=0,"*",IF(_xlfn.XLOOKUP(C106,'ELC TECH'!H:H,'ELC TECH'!E:E)="Storage","STG","ELE"))</f>
        <v>ELE</v>
      </c>
      <c r="C106" t="str">
        <f>'ELC TECH'!H105</f>
        <v>ELCSOLGRDUPVC520</v>
      </c>
      <c r="D106" t="str">
        <f>_xlfn.XLOOKUP(C106,'ELC TECH'!$H:$H,'ELC TECH'!$A:$A)&amp;" "&amp;_xlfn.XLOOKUP(C106,'ELC TECH'!$H:$H,'ELC TECH'!$B:$B)&amp;" "&amp;_xlfn.XLOOKUP(C106,'ELC TECH'!$H:$H,'ELC TECH'!$F:$F)</f>
        <v>Electricity Grid Utility PV Class 5</v>
      </c>
      <c r="E106" t="s">
        <v>486</v>
      </c>
      <c r="F106" t="s">
        <v>487</v>
      </c>
      <c r="G106" t="s">
        <v>488</v>
      </c>
    </row>
    <row r="107" spans="2:7" x14ac:dyDescent="0.25">
      <c r="B107" t="str">
        <f>IF('ELC TECH'!I106=0,"*",IF(_xlfn.XLOOKUP(C107,'ELC TECH'!H:H,'ELC TECH'!E:E)="Storage","STG","ELE"))</f>
        <v>ELE</v>
      </c>
      <c r="C107" t="str">
        <f>'ELC TECH'!H106</f>
        <v>ELCGEOGRDDEGSB20</v>
      </c>
      <c r="D107" t="str">
        <f>_xlfn.XLOOKUP(C107,'ELC TECH'!$H:$H,'ELC TECH'!$A:$A)&amp;" "&amp;_xlfn.XLOOKUP(C107,'ELC TECH'!$H:$H,'ELC TECH'!$B:$B)&amp;" "&amp;_xlfn.XLOOKUP(C107,'ELC TECH'!$H:$H,'ELC TECH'!$F:$F)</f>
        <v>Electricity Grid Deep EGS Binary</v>
      </c>
      <c r="E107" t="s">
        <v>486</v>
      </c>
      <c r="F107" t="s">
        <v>487</v>
      </c>
      <c r="G107" t="s">
        <v>488</v>
      </c>
    </row>
    <row r="108" spans="2:7" x14ac:dyDescent="0.25">
      <c r="B108" t="str">
        <f>IF('ELC TECH'!I107=0,"*",IF(_xlfn.XLOOKUP(C108,'ELC TECH'!H:H,'ELC TECH'!E:E)="Storage","STG","ELE"))</f>
        <v>ELE</v>
      </c>
      <c r="C108" t="str">
        <f>'ELC TECH'!H107</f>
        <v>ELCGEOGRDDEGSF20</v>
      </c>
      <c r="D108" t="str">
        <f>_xlfn.XLOOKUP(C108,'ELC TECH'!$H:$H,'ELC TECH'!$A:$A)&amp;" "&amp;_xlfn.XLOOKUP(C108,'ELC TECH'!$H:$H,'ELC TECH'!$B:$B)&amp;" "&amp;_xlfn.XLOOKUP(C108,'ELC TECH'!$H:$H,'ELC TECH'!$F:$F)</f>
        <v>Electricity Grid Deep EGS Flash</v>
      </c>
      <c r="E108" t="s">
        <v>486</v>
      </c>
      <c r="F108" t="s">
        <v>487</v>
      </c>
      <c r="G108" t="s">
        <v>488</v>
      </c>
    </row>
    <row r="109" spans="2:7" x14ac:dyDescent="0.25">
      <c r="B109" t="str">
        <f>IF('ELC TECH'!I108=0,"*",IF(_xlfn.XLOOKUP(C109,'ELC TECH'!H:H,'ELC TECH'!E:E)="Storage","STG","ELE"))</f>
        <v>ELE</v>
      </c>
      <c r="C109" t="str">
        <f>'ELC TECH'!H108</f>
        <v>ELCGEOGRDHYDB20</v>
      </c>
      <c r="D109" t="str">
        <f>_xlfn.XLOOKUP(C109,'ELC TECH'!$H:$H,'ELC TECH'!$A:$A)&amp;" "&amp;_xlfn.XLOOKUP(C109,'ELC TECH'!$H:$H,'ELC TECH'!$B:$B)&amp;" "&amp;_xlfn.XLOOKUP(C109,'ELC TECH'!$H:$H,'ELC TECH'!$F:$F)</f>
        <v>Electricity Grid Hydrothermal Binary</v>
      </c>
      <c r="E109" t="s">
        <v>486</v>
      </c>
      <c r="F109" t="s">
        <v>487</v>
      </c>
      <c r="G109" t="s">
        <v>488</v>
      </c>
    </row>
    <row r="110" spans="2:7" x14ac:dyDescent="0.25">
      <c r="B110" t="str">
        <f>IF('ELC TECH'!I109=0,"*",IF(_xlfn.XLOOKUP(C110,'ELC TECH'!H:H,'ELC TECH'!E:E)="Storage","STG","ELE"))</f>
        <v>ELE</v>
      </c>
      <c r="C110" t="str">
        <f>'ELC TECH'!H109</f>
        <v>ELCGEOGRDHYDF20</v>
      </c>
      <c r="D110" t="str">
        <f>_xlfn.XLOOKUP(C110,'ELC TECH'!$H:$H,'ELC TECH'!$A:$A)&amp;" "&amp;_xlfn.XLOOKUP(C110,'ELC TECH'!$H:$H,'ELC TECH'!$B:$B)&amp;" "&amp;_xlfn.XLOOKUP(C110,'ELC TECH'!$H:$H,'ELC TECH'!$F:$F)</f>
        <v>Electricity Grid Hydrothermal Flash</v>
      </c>
      <c r="E110" t="s">
        <v>486</v>
      </c>
      <c r="F110" t="s">
        <v>487</v>
      </c>
      <c r="G110" t="s">
        <v>488</v>
      </c>
    </row>
    <row r="111" spans="2:7" x14ac:dyDescent="0.25">
      <c r="B111" t="str">
        <f>IF('ELC TECH'!I110=0,"*",IF(_xlfn.XLOOKUP(C111,'ELC TECH'!H:H,'ELC TECH'!E:E)="Storage","STG","ELE"))</f>
        <v>ELE</v>
      </c>
      <c r="C111" t="str">
        <f>'ELC TECH'!H110</f>
        <v>ELCGEOGRDNEGSB20</v>
      </c>
      <c r="D111" t="str">
        <f>_xlfn.XLOOKUP(C111,'ELC TECH'!$H:$H,'ELC TECH'!$A:$A)&amp;" "&amp;_xlfn.XLOOKUP(C111,'ELC TECH'!$H:$H,'ELC TECH'!$B:$B)&amp;" "&amp;_xlfn.XLOOKUP(C111,'ELC TECH'!$H:$H,'ELC TECH'!$F:$F)</f>
        <v>Electricity Grid Near Field EGS Binary</v>
      </c>
      <c r="E111" t="s">
        <v>486</v>
      </c>
      <c r="F111" t="s">
        <v>487</v>
      </c>
      <c r="G111" t="s">
        <v>488</v>
      </c>
    </row>
    <row r="112" spans="2:7" x14ac:dyDescent="0.25">
      <c r="B112" t="str">
        <f>IF('ELC TECH'!I111=0,"*",IF(_xlfn.XLOOKUP(C112,'ELC TECH'!H:H,'ELC TECH'!E:E)="Storage","STG","ELE"))</f>
        <v>ELE</v>
      </c>
      <c r="C112" t="str">
        <f>'ELC TECH'!H111</f>
        <v>ELCGEOGRDNEGSF20</v>
      </c>
      <c r="D112" t="str">
        <f>_xlfn.XLOOKUP(C112,'ELC TECH'!$H:$H,'ELC TECH'!$A:$A)&amp;" "&amp;_xlfn.XLOOKUP(C112,'ELC TECH'!$H:$H,'ELC TECH'!$B:$B)&amp;" "&amp;_xlfn.XLOOKUP(C112,'ELC TECH'!$H:$H,'ELC TECH'!$F:$F)</f>
        <v>Electricity Grid Near Field EGS Flash</v>
      </c>
      <c r="E112" t="s">
        <v>486</v>
      </c>
      <c r="F112" t="s">
        <v>487</v>
      </c>
      <c r="G112" t="s">
        <v>488</v>
      </c>
    </row>
    <row r="113" spans="2:7" x14ac:dyDescent="0.25">
      <c r="B113" t="str">
        <f>IF('ELC TECH'!I112=0,"*",IF(_xlfn.XLOOKUP(C113,'ELC TECH'!H:H,'ELC TECH'!E:E)="Storage","STG","ELE"))</f>
        <v>ELE</v>
      </c>
      <c r="C113" t="str">
        <f>'ELC TECH'!H112</f>
        <v>ELCURNGRDNUCPP20</v>
      </c>
      <c r="D113" t="str">
        <f>_xlfn.XLOOKUP(C113,'ELC TECH'!$H:$H,'ELC TECH'!$A:$A)&amp;" "&amp;_xlfn.XLOOKUP(C113,'ELC TECH'!$H:$H,'ELC TECH'!$B:$B)&amp;" "&amp;_xlfn.XLOOKUP(C113,'ELC TECH'!$H:$H,'ELC TECH'!$F:$F)</f>
        <v>Electricity Grid Nuclear Power Plant</v>
      </c>
      <c r="E113" t="s">
        <v>486</v>
      </c>
      <c r="F113" t="s">
        <v>487</v>
      </c>
      <c r="G113" t="s">
        <v>488</v>
      </c>
    </row>
    <row r="114" spans="2:7" x14ac:dyDescent="0.25">
      <c r="B114" t="str">
        <f>IF('ELC TECH'!I113=0,"*",IF(_xlfn.XLOOKUP(C114,'ELC TECH'!H:H,'ELC TECH'!E:E)="Storage","STG","ELE"))</f>
        <v>ELE</v>
      </c>
      <c r="C114" t="str">
        <f>'ELC TECH'!H113</f>
        <v>ELCURNGRDSMRPP20</v>
      </c>
      <c r="D114" t="str">
        <f>_xlfn.XLOOKUP(C114,'ELC TECH'!$H:$H,'ELC TECH'!$A:$A)&amp;" "&amp;_xlfn.XLOOKUP(C114,'ELC TECH'!$H:$H,'ELC TECH'!$B:$B)&amp;" "&amp;_xlfn.XLOOKUP(C114,'ELC TECH'!$H:$H,'ELC TECH'!$F:$F)</f>
        <v>Electricity Grid Small Modular Reactor</v>
      </c>
      <c r="E114" t="s">
        <v>486</v>
      </c>
      <c r="F114" t="s">
        <v>487</v>
      </c>
      <c r="G114" t="s">
        <v>488</v>
      </c>
    </row>
    <row r="115" spans="2:7" x14ac:dyDescent="0.25">
      <c r="B115" t="str">
        <f>IF('ELC TECH'!I114=0,"*",IF(_xlfn.XLOOKUP(C115,'ELC TECH'!H:H,'ELC TECH'!E:E)="Storage","STG","ELE"))</f>
        <v>ELE</v>
      </c>
      <c r="C115" t="str">
        <f>'ELC TECH'!H114</f>
        <v>ELCBIOGRDBIODPP20</v>
      </c>
      <c r="D115" t="str">
        <f>_xlfn.XLOOKUP(C115,'ELC TECH'!$H:$H,'ELC TECH'!$A:$A)&amp;" "&amp;_xlfn.XLOOKUP(C115,'ELC TECH'!$H:$H,'ELC TECH'!$B:$B)&amp;" "&amp;_xlfn.XLOOKUP(C115,'ELC TECH'!$H:$H,'ELC TECH'!$F:$F)</f>
        <v>Electricity Grid Dedicated Biopower Plant</v>
      </c>
      <c r="E115" t="s">
        <v>486</v>
      </c>
      <c r="F115" t="s">
        <v>487</v>
      </c>
      <c r="G115" t="s">
        <v>488</v>
      </c>
    </row>
    <row r="116" spans="2:7" x14ac:dyDescent="0.25">
      <c r="B116" t="str">
        <f>IF('ELC TECH'!I115=0,"*",IF(_xlfn.XLOOKUP(C116,'ELC TECH'!H:H,'ELC TECH'!E:E)="Storage","STG","ELE"))</f>
        <v>STG</v>
      </c>
      <c r="C116" t="str">
        <f>'ELC TECH'!H115</f>
        <v>ELCSTGGRDUBES10H20</v>
      </c>
      <c r="D116" t="str">
        <f>_xlfn.XLOOKUP(C116,'ELC TECH'!$H:$H,'ELC TECH'!$A:$A)&amp;" "&amp;_xlfn.XLOOKUP(C116,'ELC TECH'!$H:$H,'ELC TECH'!$B:$B)&amp;" "&amp;_xlfn.XLOOKUP(C116,'ELC TECH'!$H:$H,'ELC TECH'!$F:$F)</f>
        <v>Electricity Grid Utility-Scale Battery Storage 10H</v>
      </c>
      <c r="E116" t="s">
        <v>486</v>
      </c>
      <c r="F116" t="s">
        <v>487</v>
      </c>
      <c r="G116" t="s">
        <v>488</v>
      </c>
    </row>
    <row r="117" spans="2:7" x14ac:dyDescent="0.25">
      <c r="B117" t="str">
        <f>IF('ELC TECH'!I116=0,"*",IF(_xlfn.XLOOKUP(C117,'ELC TECH'!H:H,'ELC TECH'!E:E)="Storage","STG","ELE"))</f>
        <v>STG</v>
      </c>
      <c r="C117" t="str">
        <f>'ELC TECH'!H116</f>
        <v>ELCSTGGRDUBES2H20</v>
      </c>
      <c r="D117" t="str">
        <f>_xlfn.XLOOKUP(C117,'ELC TECH'!$H:$H,'ELC TECH'!$A:$A)&amp;" "&amp;_xlfn.XLOOKUP(C117,'ELC TECH'!$H:$H,'ELC TECH'!$B:$B)&amp;" "&amp;_xlfn.XLOOKUP(C117,'ELC TECH'!$H:$H,'ELC TECH'!$F:$F)</f>
        <v>Electricity Grid Utility-Scale Battery Storage 2H</v>
      </c>
      <c r="E117" t="s">
        <v>486</v>
      </c>
      <c r="F117" t="s">
        <v>487</v>
      </c>
      <c r="G117" t="s">
        <v>488</v>
      </c>
    </row>
    <row r="118" spans="2:7" x14ac:dyDescent="0.25">
      <c r="B118" t="str">
        <f>IF('ELC TECH'!I117=0,"*",IF(_xlfn.XLOOKUP(C118,'ELC TECH'!H:H,'ELC TECH'!E:E)="Storage","STG","ELE"))</f>
        <v>STG</v>
      </c>
      <c r="C118" t="str">
        <f>'ELC TECH'!H117</f>
        <v>ELCSTGGRDUBES4H20</v>
      </c>
      <c r="D118" t="str">
        <f>_xlfn.XLOOKUP(C118,'ELC TECH'!$H:$H,'ELC TECH'!$A:$A)&amp;" "&amp;_xlfn.XLOOKUP(C118,'ELC TECH'!$H:$H,'ELC TECH'!$B:$B)&amp;" "&amp;_xlfn.XLOOKUP(C118,'ELC TECH'!$H:$H,'ELC TECH'!$F:$F)</f>
        <v>Electricity Grid Utility-Scale Battery Storage 4H</v>
      </c>
      <c r="E118" t="s">
        <v>486</v>
      </c>
      <c r="F118" t="s">
        <v>487</v>
      </c>
      <c r="G118" t="s">
        <v>488</v>
      </c>
    </row>
    <row r="119" spans="2:7" x14ac:dyDescent="0.25">
      <c r="B119" t="str">
        <f>IF('ELC TECH'!I118=0,"*",IF(_xlfn.XLOOKUP(C119,'ELC TECH'!H:H,'ELC TECH'!E:E)="Storage","STG","ELE"))</f>
        <v>STG</v>
      </c>
      <c r="C119" t="str">
        <f>'ELC TECH'!H118</f>
        <v>ELCSTGGRDUBES6H20</v>
      </c>
      <c r="D119" t="str">
        <f>_xlfn.XLOOKUP(C119,'ELC TECH'!$H:$H,'ELC TECH'!$A:$A)&amp;" "&amp;_xlfn.XLOOKUP(C119,'ELC TECH'!$H:$H,'ELC TECH'!$B:$B)&amp;" "&amp;_xlfn.XLOOKUP(C119,'ELC TECH'!$H:$H,'ELC TECH'!$F:$F)</f>
        <v>Electricity Grid Utility-Scale Battery Storage 6H</v>
      </c>
      <c r="E119" t="s">
        <v>486</v>
      </c>
      <c r="F119" t="s">
        <v>487</v>
      </c>
      <c r="G119" t="s">
        <v>488</v>
      </c>
    </row>
    <row r="120" spans="2:7" x14ac:dyDescent="0.25">
      <c r="B120" t="str">
        <f>IF('ELC TECH'!I119=0,"*",IF(_xlfn.XLOOKUP(C120,'ELC TECH'!H:H,'ELC TECH'!E:E)="Storage","STG","ELE"))</f>
        <v>STG</v>
      </c>
      <c r="C120" t="str">
        <f>'ELC TECH'!H119</f>
        <v>ELCSTGGRDUBES8H20</v>
      </c>
      <c r="D120" t="str">
        <f>_xlfn.XLOOKUP(C120,'ELC TECH'!$H:$H,'ELC TECH'!$A:$A)&amp;" "&amp;_xlfn.XLOOKUP(C120,'ELC TECH'!$H:$H,'ELC TECH'!$B:$B)&amp;" "&amp;_xlfn.XLOOKUP(C120,'ELC TECH'!$H:$H,'ELC TECH'!$F:$F)</f>
        <v>Electricity Grid Utility-Scale Battery Storage 8H</v>
      </c>
      <c r="E120" t="s">
        <v>486</v>
      </c>
      <c r="F120" t="s">
        <v>487</v>
      </c>
      <c r="G120" t="s">
        <v>488</v>
      </c>
    </row>
    <row r="121" spans="2:7" x14ac:dyDescent="0.25">
      <c r="B121" t="str">
        <f>IF('ELC TECH'!I120=0,"*",IF(_xlfn.XLOOKUP(C121,'ELC TECH'!H:H,'ELC TECH'!E:E)="Storage","STG","ELE"))</f>
        <v>ELE</v>
      </c>
      <c r="C121" t="str">
        <f>'ELC TECH'!H120</f>
        <v>ELCCOAGRD95CCS20</v>
      </c>
      <c r="D121" t="str">
        <f>_xlfn.XLOOKUP(C121,'ELC TECH'!$H:$H,'ELC TECH'!$A:$A)&amp;" "&amp;_xlfn.XLOOKUP(C121,'ELC TECH'!$H:$H,'ELC TECH'!$B:$B)&amp;" "&amp;_xlfn.XLOOKUP(C121,'ELC TECH'!$H:$H,'ELC TECH'!$F:$F)</f>
        <v>Electricity Grid Coal Power Plant w/ 95% CCS</v>
      </c>
      <c r="E121" t="s">
        <v>486</v>
      </c>
      <c r="F121" t="s">
        <v>487</v>
      </c>
      <c r="G121" t="s">
        <v>488</v>
      </c>
    </row>
    <row r="122" spans="2:7" x14ac:dyDescent="0.25">
      <c r="B122" t="str">
        <f>IF('ELC TECH'!I121=0,"*",IF(_xlfn.XLOOKUP(C122,'ELC TECH'!H:H,'ELC TECH'!E:E)="Storage","STG","ELE"))</f>
        <v>ELE</v>
      </c>
      <c r="C122" t="str">
        <f>'ELC TECH'!H121</f>
        <v>ELCCOAGRD99CCS20</v>
      </c>
      <c r="D122" t="str">
        <f>_xlfn.XLOOKUP(C122,'ELC TECH'!$H:$H,'ELC TECH'!$A:$A)&amp;" "&amp;_xlfn.XLOOKUP(C122,'ELC TECH'!$H:$H,'ELC TECH'!$B:$B)&amp;" "&amp;_xlfn.XLOOKUP(C122,'ELC TECH'!$H:$H,'ELC TECH'!$F:$F)</f>
        <v>Electricity Grid Coal Power Plant w/ 99% CCS</v>
      </c>
      <c r="E122" t="s">
        <v>486</v>
      </c>
      <c r="F122" t="s">
        <v>487</v>
      </c>
      <c r="G122" t="s">
        <v>488</v>
      </c>
    </row>
    <row r="123" spans="2:7" x14ac:dyDescent="0.25">
      <c r="B123" t="str">
        <f>IF('ELC TECH'!I122=0,"*",IF(_xlfn.XLOOKUP(C123,'ELC TECH'!H:H,'ELC TECH'!E:E)="Storage","STG","ELE"))</f>
        <v>ELE</v>
      </c>
      <c r="C123" t="str">
        <f>'ELC TECH'!H122</f>
        <v>ELCCOAGRDCONV20</v>
      </c>
      <c r="D123" t="str">
        <f>_xlfn.XLOOKUP(C123,'ELC TECH'!$H:$H,'ELC TECH'!$A:$A)&amp;" "&amp;_xlfn.XLOOKUP(C123,'ELC TECH'!$H:$H,'ELC TECH'!$B:$B)&amp;" "&amp;_xlfn.XLOOKUP(C123,'ELC TECH'!$H:$H,'ELC TECH'!$F:$F)</f>
        <v>Electricity Grid Coal Power Plant Conventional</v>
      </c>
      <c r="E123" t="s">
        <v>486</v>
      </c>
      <c r="F123" t="s">
        <v>487</v>
      </c>
      <c r="G123" t="s">
        <v>488</v>
      </c>
    </row>
    <row r="124" spans="2:7" x14ac:dyDescent="0.25">
      <c r="B124" t="str">
        <f>IF('ELC TECH'!I123=0,"*",IF(_xlfn.XLOOKUP(C124,'ELC TECH'!H:H,'ELC TECH'!E:E)="Storage","STG","ELE"))</f>
        <v>ELE</v>
      </c>
      <c r="C124" t="str">
        <f>'ELC TECH'!H123</f>
        <v>ELCCOAGRDIGCC20</v>
      </c>
      <c r="D124" t="str">
        <f>_xlfn.XLOOKUP(C124,'ELC TECH'!$H:$H,'ELC TECH'!$A:$A)&amp;" "&amp;_xlfn.XLOOKUP(C124,'ELC TECH'!$H:$H,'ELC TECH'!$B:$B)&amp;" "&amp;_xlfn.XLOOKUP(C124,'ELC TECH'!$H:$H,'ELC TECH'!$F:$F)</f>
        <v>Electricity Grid Coal Power Plant IGCC</v>
      </c>
      <c r="E124" t="s">
        <v>486</v>
      </c>
      <c r="F124" t="s">
        <v>487</v>
      </c>
      <c r="G124" t="s">
        <v>488</v>
      </c>
    </row>
    <row r="125" spans="2:7" x14ac:dyDescent="0.25">
      <c r="B125" t="str">
        <f>IF('ELC TECH'!I124=0,"*",IF(_xlfn.XLOOKUP(C125,'ELC TECH'!H:H,'ELC TECH'!E:E)="Storage","STG","ELE"))</f>
        <v>ELE</v>
      </c>
      <c r="C125" t="str">
        <f>'ELC TECH'!H124</f>
        <v>ELCCOAGRD90RCCS20</v>
      </c>
      <c r="D125" t="str">
        <f>_xlfn.XLOOKUP(C125,'ELC TECH'!$H:$H,'ELC TECH'!$A:$A)&amp;" "&amp;_xlfn.XLOOKUP(C125,'ELC TECH'!$H:$H,'ELC TECH'!$B:$B)&amp;" "&amp;_xlfn.XLOOKUP(C125,'ELC TECH'!$H:$H,'ELC TECH'!$F:$F)</f>
        <v>Electricity Grid Retrofit Coal Power Plant w/ 90% CCS</v>
      </c>
      <c r="E125" t="s">
        <v>486</v>
      </c>
      <c r="F125" t="s">
        <v>487</v>
      </c>
      <c r="G125" t="s">
        <v>488</v>
      </c>
    </row>
    <row r="126" spans="2:7" x14ac:dyDescent="0.25">
      <c r="B126" t="str">
        <f>IF('ELC TECH'!I125=0,"*",IF(_xlfn.XLOOKUP(C126,'ELC TECH'!H:H,'ELC TECH'!E:E)="Storage","STG","ELE"))</f>
        <v>ELE</v>
      </c>
      <c r="C126" t="str">
        <f>'ELC TECH'!H125</f>
        <v>ELCCOAGRD95RCCS20</v>
      </c>
      <c r="D126" t="str">
        <f>_xlfn.XLOOKUP(C126,'ELC TECH'!$H:$H,'ELC TECH'!$A:$A)&amp;" "&amp;_xlfn.XLOOKUP(C126,'ELC TECH'!$H:$H,'ELC TECH'!$B:$B)&amp;" "&amp;_xlfn.XLOOKUP(C126,'ELC TECH'!$H:$H,'ELC TECH'!$F:$F)</f>
        <v>Electricity Grid Retrofit Coal Power Plant w/ 95% CCS</v>
      </c>
      <c r="E126" t="s">
        <v>486</v>
      </c>
      <c r="F126" t="s">
        <v>487</v>
      </c>
      <c r="G126" t="s">
        <v>488</v>
      </c>
    </row>
    <row r="127" spans="2:7" x14ac:dyDescent="0.25">
      <c r="B127" t="str">
        <f>IF('ELC TECH'!I126=0,"*",IF(_xlfn.XLOOKUP(C127,'ELC TECH'!H:H,'ELC TECH'!E:E)="Storage","STG","ELE"))</f>
        <v>ELE</v>
      </c>
      <c r="C127" t="str">
        <f>'ELC TECH'!H126</f>
        <v>ELCNGAGRDFFCT20</v>
      </c>
      <c r="D127" t="str">
        <f>_xlfn.XLOOKUP(C127,'ELC TECH'!$H:$H,'ELC TECH'!$A:$A)&amp;" "&amp;_xlfn.XLOOKUP(C127,'ELC TECH'!$H:$H,'ELC TECH'!$B:$B)&amp;" "&amp;_xlfn.XLOOKUP(C127,'ELC TECH'!$H:$H,'ELC TECH'!$F:$F)</f>
        <v>Electricity Grid F-Frame Combustion Turbine</v>
      </c>
      <c r="E127" t="s">
        <v>486</v>
      </c>
      <c r="F127" t="s">
        <v>487</v>
      </c>
      <c r="G127" t="s">
        <v>488</v>
      </c>
    </row>
    <row r="128" spans="2:7" x14ac:dyDescent="0.25">
      <c r="B128" t="str">
        <f>IF('ELC TECH'!I127=0,"*",IF(_xlfn.XLOOKUP(C128,'ELC TECH'!H:H,'ELC TECH'!E:E)="Storage","STG","ELE"))</f>
        <v>ELE</v>
      </c>
      <c r="C128" t="str">
        <f>'ELC TECH'!H127</f>
        <v>ELCNGAGRDFFCC20</v>
      </c>
      <c r="D128" t="str">
        <f>_xlfn.XLOOKUP(C128,'ELC TECH'!$H:$H,'ELC TECH'!$A:$A)&amp;" "&amp;_xlfn.XLOOKUP(C128,'ELC TECH'!$H:$H,'ELC TECH'!$B:$B)&amp;" "&amp;_xlfn.XLOOKUP(C128,'ELC TECH'!$H:$H,'ELC TECH'!$F:$F)</f>
        <v>Electricity Grid F-Frame Combined Cycle</v>
      </c>
      <c r="E128" t="s">
        <v>486</v>
      </c>
      <c r="F128" t="s">
        <v>487</v>
      </c>
      <c r="G128" t="s">
        <v>488</v>
      </c>
    </row>
    <row r="129" spans="2:7" x14ac:dyDescent="0.25">
      <c r="B129" t="str">
        <f>IF('ELC TECH'!I128=0,"*",IF(_xlfn.XLOOKUP(C129,'ELC TECH'!H:H,'ELC TECH'!E:E)="Storage","STG","ELE"))</f>
        <v>ELE</v>
      </c>
      <c r="C129" t="str">
        <f>'ELC TECH'!H128</f>
        <v>ELCNGAGRDFFCC95CCS20</v>
      </c>
      <c r="D129" t="str">
        <f>_xlfn.XLOOKUP(C129,'ELC TECH'!$H:$H,'ELC TECH'!$A:$A)&amp;" "&amp;_xlfn.XLOOKUP(C129,'ELC TECH'!$H:$H,'ELC TECH'!$B:$B)&amp;" "&amp;_xlfn.XLOOKUP(C129,'ELC TECH'!$H:$H,'ELC TECH'!$F:$F)</f>
        <v>Electricity Grid F-Frame Combined Cycle w/ 95% CCS</v>
      </c>
      <c r="E129" t="s">
        <v>486</v>
      </c>
      <c r="F129" t="s">
        <v>487</v>
      </c>
      <c r="G129" t="s">
        <v>488</v>
      </c>
    </row>
    <row r="130" spans="2:7" x14ac:dyDescent="0.25">
      <c r="B130" t="str">
        <f>IF('ELC TECH'!I129=0,"*",IF(_xlfn.XLOOKUP(C130,'ELC TECH'!H:H,'ELC TECH'!E:E)="Storage","STG","ELE"))</f>
        <v>ELE</v>
      </c>
      <c r="C130" t="str">
        <f>'ELC TECH'!H129</f>
        <v>ELCNGAGRDFFCC97CCS20</v>
      </c>
      <c r="D130" t="str">
        <f>_xlfn.XLOOKUP(C130,'ELC TECH'!$H:$H,'ELC TECH'!$A:$A)&amp;" "&amp;_xlfn.XLOOKUP(C130,'ELC TECH'!$H:$H,'ELC TECH'!$B:$B)&amp;" "&amp;_xlfn.XLOOKUP(C130,'ELC TECH'!$H:$H,'ELC TECH'!$F:$F)</f>
        <v>Electricity Grid F-Frame Combined Cycle w/ 97% CCS</v>
      </c>
      <c r="E130" t="s">
        <v>486</v>
      </c>
      <c r="F130" t="s">
        <v>487</v>
      </c>
      <c r="G130" t="s">
        <v>488</v>
      </c>
    </row>
    <row r="131" spans="2:7" x14ac:dyDescent="0.25">
      <c r="B131" t="str">
        <f>IF('ELC TECH'!I130=0,"*",IF(_xlfn.XLOOKUP(C131,'ELC TECH'!H:H,'ELC TECH'!E:E)="Storage","STG","ELE"))</f>
        <v>ELE</v>
      </c>
      <c r="C131" t="str">
        <f>'ELC TECH'!H130</f>
        <v>ELCNGAGRDFFCC90RCCS20</v>
      </c>
      <c r="D131" t="str">
        <f>_xlfn.XLOOKUP(C131,'ELC TECH'!$H:$H,'ELC TECH'!$A:$A)&amp;" "&amp;_xlfn.XLOOKUP(C131,'ELC TECH'!$H:$H,'ELC TECH'!$B:$B)&amp;" "&amp;_xlfn.XLOOKUP(C131,'ELC TECH'!$H:$H,'ELC TECH'!$F:$F)</f>
        <v>Electricity Grid Retrofit F-Frame Combined Cycle w/ 90% CCS</v>
      </c>
      <c r="E131" t="s">
        <v>486</v>
      </c>
      <c r="F131" t="s">
        <v>487</v>
      </c>
      <c r="G131" t="s">
        <v>488</v>
      </c>
    </row>
    <row r="132" spans="2:7" x14ac:dyDescent="0.25">
      <c r="B132" t="str">
        <f>IF('ELC TECH'!I131=0,"*",IF(_xlfn.XLOOKUP(C132,'ELC TECH'!H:H,'ELC TECH'!E:E)="Storage","STG","ELE"))</f>
        <v>ELE</v>
      </c>
      <c r="C132" t="str">
        <f>'ELC TECH'!H131</f>
        <v>ELCNGAGRDFFCC95RCCS20</v>
      </c>
      <c r="D132" t="str">
        <f>_xlfn.XLOOKUP(C132,'ELC TECH'!$H:$H,'ELC TECH'!$A:$A)&amp;" "&amp;_xlfn.XLOOKUP(C132,'ELC TECH'!$H:$H,'ELC TECH'!$B:$B)&amp;" "&amp;_xlfn.XLOOKUP(C132,'ELC TECH'!$H:$H,'ELC TECH'!$F:$F)</f>
        <v>Electricity Grid Retrofit F-Frame Combined Cycle w/ 95% CCS</v>
      </c>
      <c r="E132" t="s">
        <v>486</v>
      </c>
      <c r="F132" t="s">
        <v>487</v>
      </c>
      <c r="G132" t="s">
        <v>488</v>
      </c>
    </row>
    <row r="133" spans="2:7" x14ac:dyDescent="0.25">
      <c r="B133" t="str">
        <f>IF('ELC TECH'!I132=0,"*",IF(_xlfn.XLOOKUP(C133,'ELC TECH'!H:H,'ELC TECH'!E:E)="Storage","STG","ELE"))</f>
        <v>ELE</v>
      </c>
      <c r="C133" t="str">
        <f>'ELC TECH'!H132</f>
        <v>ELCNGAGRDHFCC20</v>
      </c>
      <c r="D133" t="str">
        <f>_xlfn.XLOOKUP(C133,'ELC TECH'!$H:$H,'ELC TECH'!$A:$A)&amp;" "&amp;_xlfn.XLOOKUP(C133,'ELC TECH'!$H:$H,'ELC TECH'!$B:$B)&amp;" "&amp;_xlfn.XLOOKUP(C133,'ELC TECH'!$H:$H,'ELC TECH'!$F:$F)</f>
        <v>Electricity Grid H-Frame Combined Cycle</v>
      </c>
      <c r="E133" t="s">
        <v>486</v>
      </c>
      <c r="F133" t="s">
        <v>487</v>
      </c>
      <c r="G133" t="s">
        <v>488</v>
      </c>
    </row>
    <row r="134" spans="2:7" x14ac:dyDescent="0.25">
      <c r="B134" t="str">
        <f>IF('ELC TECH'!I133=0,"*",IF(_xlfn.XLOOKUP(C134,'ELC TECH'!H:H,'ELC TECH'!E:E)="Storage","STG","ELE"))</f>
        <v>ELE</v>
      </c>
      <c r="C134" t="str">
        <f>'ELC TECH'!H133</f>
        <v>ELCNGAGRDHFCC95CCS20</v>
      </c>
      <c r="D134" t="str">
        <f>_xlfn.XLOOKUP(C134,'ELC TECH'!$H:$H,'ELC TECH'!$A:$A)&amp;" "&amp;_xlfn.XLOOKUP(C134,'ELC TECH'!$H:$H,'ELC TECH'!$B:$B)&amp;" "&amp;_xlfn.XLOOKUP(C134,'ELC TECH'!$H:$H,'ELC TECH'!$F:$F)</f>
        <v>Electricity Grid H-Frame Combined Cycle w/ 95% CCS</v>
      </c>
      <c r="E134" t="s">
        <v>486</v>
      </c>
      <c r="F134" t="s">
        <v>487</v>
      </c>
      <c r="G134" t="s">
        <v>488</v>
      </c>
    </row>
    <row r="135" spans="2:7" x14ac:dyDescent="0.25">
      <c r="B135" t="str">
        <f>IF('ELC TECH'!I134=0,"*",IF(_xlfn.XLOOKUP(C135,'ELC TECH'!H:H,'ELC TECH'!E:E)="Storage","STG","ELE"))</f>
        <v>ELE</v>
      </c>
      <c r="C135" t="str">
        <f>'ELC TECH'!H134</f>
        <v>ELCNGAGRDHFCC97CCS20</v>
      </c>
      <c r="D135" t="str">
        <f>_xlfn.XLOOKUP(C135,'ELC TECH'!$H:$H,'ELC TECH'!$A:$A)&amp;" "&amp;_xlfn.XLOOKUP(C135,'ELC TECH'!$H:$H,'ELC TECH'!$B:$B)&amp;" "&amp;_xlfn.XLOOKUP(C135,'ELC TECH'!$H:$H,'ELC TECH'!$F:$F)</f>
        <v>Electricity Grid H-Frame Combined Cycle w/ 97% CCS</v>
      </c>
      <c r="E135" t="s">
        <v>486</v>
      </c>
      <c r="F135" t="s">
        <v>487</v>
      </c>
      <c r="G135" t="s">
        <v>488</v>
      </c>
    </row>
    <row r="136" spans="2:7" x14ac:dyDescent="0.25">
      <c r="B136" t="str">
        <f>IF('ELC TECH'!I135=0,"*",IF(_xlfn.XLOOKUP(C136,'ELC TECH'!H:H,'ELC TECH'!E:E)="Storage","STG","ELE"))</f>
        <v>ELE</v>
      </c>
      <c r="C136" t="str">
        <f>'ELC TECH'!H135</f>
        <v>ELCNGAGRDHFCC90RCCS20</v>
      </c>
      <c r="D136" t="str">
        <f>_xlfn.XLOOKUP(C136,'ELC TECH'!$H:$H,'ELC TECH'!$A:$A)&amp;" "&amp;_xlfn.XLOOKUP(C136,'ELC TECH'!$H:$H,'ELC TECH'!$B:$B)&amp;" "&amp;_xlfn.XLOOKUP(C136,'ELC TECH'!$H:$H,'ELC TECH'!$F:$F)</f>
        <v>Electricity Grid Retrofit H-Frame Combined Cycle w/ 90% CCS</v>
      </c>
      <c r="E136" t="s">
        <v>486</v>
      </c>
      <c r="F136" t="s">
        <v>487</v>
      </c>
      <c r="G136" t="s">
        <v>488</v>
      </c>
    </row>
    <row r="137" spans="2:7" x14ac:dyDescent="0.25">
      <c r="B137" t="str">
        <f>IF('ELC TECH'!I136=0,"*",IF(_xlfn.XLOOKUP(C137,'ELC TECH'!H:H,'ELC TECH'!E:E)="Storage","STG","ELE"))</f>
        <v>ELE</v>
      </c>
      <c r="C137" t="str">
        <f>'ELC TECH'!H136</f>
        <v>ELCNGAGRDHFCC95RCCS20</v>
      </c>
      <c r="D137" t="str">
        <f>_xlfn.XLOOKUP(C137,'ELC TECH'!$H:$H,'ELC TECH'!$A:$A)&amp;" "&amp;_xlfn.XLOOKUP(C137,'ELC TECH'!$H:$H,'ELC TECH'!$B:$B)&amp;" "&amp;_xlfn.XLOOKUP(C137,'ELC TECH'!$H:$H,'ELC TECH'!$F:$F)</f>
        <v>Electricity Grid Retrofit H-Frame Combined Cycle w/ 95% CCS</v>
      </c>
      <c r="E137" t="s">
        <v>486</v>
      </c>
      <c r="F137" t="s">
        <v>487</v>
      </c>
      <c r="G137" t="s">
        <v>488</v>
      </c>
    </row>
    <row r="138" spans="2:7" x14ac:dyDescent="0.25">
      <c r="B138" t="str">
        <f>IF('ELC TECH'!I137=0,"*",IF(_xlfn.XLOOKUP(C138,'ELC TECH'!H:H,'ELC TECH'!E:E)="Storage","STG","ELE"))</f>
        <v>ELE</v>
      </c>
      <c r="C138" t="str">
        <f>'ELC TECH'!H137</f>
        <v>ELCWNDDCECDWC1020</v>
      </c>
      <c r="D138" t="str">
        <f>_xlfn.XLOOKUP(C138,'ELC TECH'!$H:$H,'ELC TECH'!$A:$A)&amp;" "&amp;_xlfn.XLOOKUP(C138,'ELC TECH'!$H:$H,'ELC TECH'!$B:$B)&amp;" "&amp;_xlfn.XLOOKUP(C138,'ELC TECH'!$H:$H,'ELC TECH'!$F:$F)</f>
        <v>Electricity Decentralized Commercial DW - Class 10</v>
      </c>
      <c r="E138" t="s">
        <v>486</v>
      </c>
      <c r="F138" t="s">
        <v>487</v>
      </c>
      <c r="G138" t="s">
        <v>488</v>
      </c>
    </row>
    <row r="139" spans="2:7" x14ac:dyDescent="0.25">
      <c r="B139" t="str">
        <f>IF('ELC TECH'!I138=0,"*",IF(_xlfn.XLOOKUP(C139,'ELC TECH'!H:H,'ELC TECH'!E:E)="Storage","STG","ELE"))</f>
        <v>ELE</v>
      </c>
      <c r="C139" t="str">
        <f>'ELC TECH'!H138</f>
        <v>ELCWNDDCECDWC120</v>
      </c>
      <c r="D139" t="str">
        <f>_xlfn.XLOOKUP(C139,'ELC TECH'!$H:$H,'ELC TECH'!$A:$A)&amp;" "&amp;_xlfn.XLOOKUP(C139,'ELC TECH'!$H:$H,'ELC TECH'!$B:$B)&amp;" "&amp;_xlfn.XLOOKUP(C139,'ELC TECH'!$H:$H,'ELC TECH'!$F:$F)</f>
        <v>Electricity Decentralized Commercial DW - Class 1</v>
      </c>
      <c r="E139" t="s">
        <v>486</v>
      </c>
      <c r="F139" t="s">
        <v>487</v>
      </c>
      <c r="G139" t="s">
        <v>488</v>
      </c>
    </row>
    <row r="140" spans="2:7" x14ac:dyDescent="0.25">
      <c r="B140" t="str">
        <f>IF('ELC TECH'!I139=0,"*",IF(_xlfn.XLOOKUP(C140,'ELC TECH'!H:H,'ELC TECH'!E:E)="Storage","STG","ELE"))</f>
        <v>ELE</v>
      </c>
      <c r="C140" t="str">
        <f>'ELC TECH'!H139</f>
        <v>ELCWNDDCECDWC220</v>
      </c>
      <c r="D140" t="str">
        <f>_xlfn.XLOOKUP(C140,'ELC TECH'!$H:$H,'ELC TECH'!$A:$A)&amp;" "&amp;_xlfn.XLOOKUP(C140,'ELC TECH'!$H:$H,'ELC TECH'!$B:$B)&amp;" "&amp;_xlfn.XLOOKUP(C140,'ELC TECH'!$H:$H,'ELC TECH'!$F:$F)</f>
        <v>Electricity Decentralized Commercial DW - Class 2</v>
      </c>
      <c r="E140" t="s">
        <v>486</v>
      </c>
      <c r="F140" t="s">
        <v>487</v>
      </c>
      <c r="G140" t="s">
        <v>488</v>
      </c>
    </row>
    <row r="141" spans="2:7" x14ac:dyDescent="0.25">
      <c r="B141" t="str">
        <f>IF('ELC TECH'!I140=0,"*",IF(_xlfn.XLOOKUP(C141,'ELC TECH'!H:H,'ELC TECH'!E:E)="Storage","STG","ELE"))</f>
        <v>ELE</v>
      </c>
      <c r="C141" t="str">
        <f>'ELC TECH'!H140</f>
        <v>ELCWNDDCECDWC320</v>
      </c>
      <c r="D141" t="str">
        <f>_xlfn.XLOOKUP(C141,'ELC TECH'!$H:$H,'ELC TECH'!$A:$A)&amp;" "&amp;_xlfn.XLOOKUP(C141,'ELC TECH'!$H:$H,'ELC TECH'!$B:$B)&amp;" "&amp;_xlfn.XLOOKUP(C141,'ELC TECH'!$H:$H,'ELC TECH'!$F:$F)</f>
        <v>Electricity Decentralized Commercial DW - Class 3</v>
      </c>
      <c r="E141" t="s">
        <v>486</v>
      </c>
      <c r="F141" t="s">
        <v>487</v>
      </c>
      <c r="G141" t="s">
        <v>488</v>
      </c>
    </row>
    <row r="142" spans="2:7" x14ac:dyDescent="0.25">
      <c r="B142" t="str">
        <f>IF('ELC TECH'!I141=0,"*",IF(_xlfn.XLOOKUP(C142,'ELC TECH'!H:H,'ELC TECH'!E:E)="Storage","STG","ELE"))</f>
        <v>ELE</v>
      </c>
      <c r="C142" t="str">
        <f>'ELC TECH'!H141</f>
        <v>ELCWNDDCECDWC420</v>
      </c>
      <c r="D142" t="str">
        <f>_xlfn.XLOOKUP(C142,'ELC TECH'!$H:$H,'ELC TECH'!$A:$A)&amp;" "&amp;_xlfn.XLOOKUP(C142,'ELC TECH'!$H:$H,'ELC TECH'!$B:$B)&amp;" "&amp;_xlfn.XLOOKUP(C142,'ELC TECH'!$H:$H,'ELC TECH'!$F:$F)</f>
        <v>Electricity Decentralized Commercial DW - Class 4</v>
      </c>
      <c r="E142" t="s">
        <v>486</v>
      </c>
      <c r="F142" t="s">
        <v>487</v>
      </c>
      <c r="G142" t="s">
        <v>488</v>
      </c>
    </row>
    <row r="143" spans="2:7" x14ac:dyDescent="0.25">
      <c r="B143" t="str">
        <f>IF('ELC TECH'!I142=0,"*",IF(_xlfn.XLOOKUP(C143,'ELC TECH'!H:H,'ELC TECH'!E:E)="Storage","STG","ELE"))</f>
        <v>ELE</v>
      </c>
      <c r="C143" t="str">
        <f>'ELC TECH'!H142</f>
        <v>ELCWNDDCECDWC520</v>
      </c>
      <c r="D143" t="str">
        <f>_xlfn.XLOOKUP(C143,'ELC TECH'!$H:$H,'ELC TECH'!$A:$A)&amp;" "&amp;_xlfn.XLOOKUP(C143,'ELC TECH'!$H:$H,'ELC TECH'!$B:$B)&amp;" "&amp;_xlfn.XLOOKUP(C143,'ELC TECH'!$H:$H,'ELC TECH'!$F:$F)</f>
        <v>Electricity Decentralized Commercial DW - Class 5</v>
      </c>
      <c r="E143" t="s">
        <v>486</v>
      </c>
      <c r="F143" t="s">
        <v>487</v>
      </c>
      <c r="G143" t="s">
        <v>488</v>
      </c>
    </row>
    <row r="144" spans="2:7" x14ac:dyDescent="0.25">
      <c r="B144" t="str">
        <f>IF('ELC TECH'!I143=0,"*",IF(_xlfn.XLOOKUP(C144,'ELC TECH'!H:H,'ELC TECH'!E:E)="Storage","STG","ELE"))</f>
        <v>ELE</v>
      </c>
      <c r="C144" t="str">
        <f>'ELC TECH'!H143</f>
        <v>ELCWNDDCECDWC620</v>
      </c>
      <c r="D144" t="str">
        <f>_xlfn.XLOOKUP(C144,'ELC TECH'!$H:$H,'ELC TECH'!$A:$A)&amp;" "&amp;_xlfn.XLOOKUP(C144,'ELC TECH'!$H:$H,'ELC TECH'!$B:$B)&amp;" "&amp;_xlfn.XLOOKUP(C144,'ELC TECH'!$H:$H,'ELC TECH'!$F:$F)</f>
        <v>Electricity Decentralized Commercial DW - Class 6</v>
      </c>
      <c r="E144" t="s">
        <v>486</v>
      </c>
      <c r="F144" t="s">
        <v>487</v>
      </c>
      <c r="G144" t="s">
        <v>488</v>
      </c>
    </row>
    <row r="145" spans="2:7" x14ac:dyDescent="0.25">
      <c r="B145" t="str">
        <f>IF('ELC TECH'!I144=0,"*",IF(_xlfn.XLOOKUP(C145,'ELC TECH'!H:H,'ELC TECH'!E:E)="Storage","STG","ELE"))</f>
        <v>ELE</v>
      </c>
      <c r="C145" t="str">
        <f>'ELC TECH'!H144</f>
        <v>ELCWNDDCECDWC720</v>
      </c>
      <c r="D145" t="str">
        <f>_xlfn.XLOOKUP(C145,'ELC TECH'!$H:$H,'ELC TECH'!$A:$A)&amp;" "&amp;_xlfn.XLOOKUP(C145,'ELC TECH'!$H:$H,'ELC TECH'!$B:$B)&amp;" "&amp;_xlfn.XLOOKUP(C145,'ELC TECH'!$H:$H,'ELC TECH'!$F:$F)</f>
        <v>Electricity Decentralized Commercial DW - Class 7</v>
      </c>
      <c r="E145" t="s">
        <v>486</v>
      </c>
      <c r="F145" t="s">
        <v>487</v>
      </c>
      <c r="G145" t="s">
        <v>488</v>
      </c>
    </row>
    <row r="146" spans="2:7" x14ac:dyDescent="0.25">
      <c r="B146" t="str">
        <f>IF('ELC TECH'!I145=0,"*",IF(_xlfn.XLOOKUP(C146,'ELC TECH'!H:H,'ELC TECH'!E:E)="Storage","STG","ELE"))</f>
        <v>ELE</v>
      </c>
      <c r="C146" t="str">
        <f>'ELC TECH'!H145</f>
        <v>ELCWNDDCECDWC820</v>
      </c>
      <c r="D146" t="str">
        <f>_xlfn.XLOOKUP(C146,'ELC TECH'!$H:$H,'ELC TECH'!$A:$A)&amp;" "&amp;_xlfn.XLOOKUP(C146,'ELC TECH'!$H:$H,'ELC TECH'!$B:$B)&amp;" "&amp;_xlfn.XLOOKUP(C146,'ELC TECH'!$H:$H,'ELC TECH'!$F:$F)</f>
        <v>Electricity Decentralized Commercial DW - Class 8</v>
      </c>
      <c r="E146" t="s">
        <v>486</v>
      </c>
      <c r="F146" t="s">
        <v>487</v>
      </c>
      <c r="G146" t="s">
        <v>488</v>
      </c>
    </row>
    <row r="147" spans="2:7" x14ac:dyDescent="0.25">
      <c r="B147" t="str">
        <f>IF('ELC TECH'!I146=0,"*",IF(_xlfn.XLOOKUP(C147,'ELC TECH'!H:H,'ELC TECH'!E:E)="Storage","STG","ELE"))</f>
        <v>ELE</v>
      </c>
      <c r="C147" t="str">
        <f>'ELC TECH'!H146</f>
        <v>ELCWNDDCECDWC920</v>
      </c>
      <c r="D147" t="str">
        <f>_xlfn.XLOOKUP(C147,'ELC TECH'!$H:$H,'ELC TECH'!$A:$A)&amp;" "&amp;_xlfn.XLOOKUP(C147,'ELC TECH'!$H:$H,'ELC TECH'!$B:$B)&amp;" "&amp;_xlfn.XLOOKUP(C147,'ELC TECH'!$H:$H,'ELC TECH'!$F:$F)</f>
        <v>Electricity Decentralized Commercial DW - Class 9</v>
      </c>
      <c r="E147" t="s">
        <v>486</v>
      </c>
      <c r="F147" t="s">
        <v>487</v>
      </c>
      <c r="G147" t="s">
        <v>488</v>
      </c>
    </row>
    <row r="148" spans="2:7" x14ac:dyDescent="0.25">
      <c r="B148" t="str">
        <f>IF('ELC TECH'!I147=0,"*",IF(_xlfn.XLOOKUP(C148,'ELC TECH'!H:H,'ELC TECH'!E:E)="Storage","STG","ELE"))</f>
        <v>ELE</v>
      </c>
      <c r="C148" t="str">
        <f>'ELC TECH'!H147</f>
        <v>ELCWNDDCERDWC1020</v>
      </c>
      <c r="D148" t="str">
        <f>_xlfn.XLOOKUP(C148,'ELC TECH'!$H:$H,'ELC TECH'!$A:$A)&amp;" "&amp;_xlfn.XLOOKUP(C148,'ELC TECH'!$H:$H,'ELC TECH'!$B:$B)&amp;" "&amp;_xlfn.XLOOKUP(C148,'ELC TECH'!$H:$H,'ELC TECH'!$F:$F)</f>
        <v>Electricity Decentralized Residential DW - Class 10</v>
      </c>
      <c r="E148" t="s">
        <v>486</v>
      </c>
      <c r="F148" t="s">
        <v>487</v>
      </c>
      <c r="G148" t="s">
        <v>488</v>
      </c>
    </row>
    <row r="149" spans="2:7" x14ac:dyDescent="0.25">
      <c r="B149" t="str">
        <f>IF('ELC TECH'!I148=0,"*",IF(_xlfn.XLOOKUP(C149,'ELC TECH'!H:H,'ELC TECH'!E:E)="Storage","STG","ELE"))</f>
        <v>ELE</v>
      </c>
      <c r="C149" t="str">
        <f>'ELC TECH'!H148</f>
        <v>ELCWNDDCERDWC120</v>
      </c>
      <c r="D149" t="str">
        <f>_xlfn.XLOOKUP(C149,'ELC TECH'!$H:$H,'ELC TECH'!$A:$A)&amp;" "&amp;_xlfn.XLOOKUP(C149,'ELC TECH'!$H:$H,'ELC TECH'!$B:$B)&amp;" "&amp;_xlfn.XLOOKUP(C149,'ELC TECH'!$H:$H,'ELC TECH'!$F:$F)</f>
        <v>Electricity Decentralized Residential DW - Class 1</v>
      </c>
      <c r="E149" t="s">
        <v>486</v>
      </c>
      <c r="F149" t="s">
        <v>487</v>
      </c>
      <c r="G149" t="s">
        <v>488</v>
      </c>
    </row>
    <row r="150" spans="2:7" x14ac:dyDescent="0.25">
      <c r="B150" t="str">
        <f>IF('ELC TECH'!I149=0,"*",IF(_xlfn.XLOOKUP(C150,'ELC TECH'!H:H,'ELC TECH'!E:E)="Storage","STG","ELE"))</f>
        <v>ELE</v>
      </c>
      <c r="C150" t="str">
        <f>'ELC TECH'!H149</f>
        <v>ELCWNDDCERDWC220</v>
      </c>
      <c r="D150" t="str">
        <f>_xlfn.XLOOKUP(C150,'ELC TECH'!$H:$H,'ELC TECH'!$A:$A)&amp;" "&amp;_xlfn.XLOOKUP(C150,'ELC TECH'!$H:$H,'ELC TECH'!$B:$B)&amp;" "&amp;_xlfn.XLOOKUP(C150,'ELC TECH'!$H:$H,'ELC TECH'!$F:$F)</f>
        <v>Electricity Decentralized Residential DW - Class 2</v>
      </c>
      <c r="E150" t="s">
        <v>486</v>
      </c>
      <c r="F150" t="s">
        <v>487</v>
      </c>
      <c r="G150" t="s">
        <v>488</v>
      </c>
    </row>
    <row r="151" spans="2:7" x14ac:dyDescent="0.25">
      <c r="B151" t="str">
        <f>IF('ELC TECH'!I150=0,"*",IF(_xlfn.XLOOKUP(C151,'ELC TECH'!H:H,'ELC TECH'!E:E)="Storage","STG","ELE"))</f>
        <v>ELE</v>
      </c>
      <c r="C151" t="str">
        <f>'ELC TECH'!H150</f>
        <v>ELCWNDDCERDWC320</v>
      </c>
      <c r="D151" t="str">
        <f>_xlfn.XLOOKUP(C151,'ELC TECH'!$H:$H,'ELC TECH'!$A:$A)&amp;" "&amp;_xlfn.XLOOKUP(C151,'ELC TECH'!$H:$H,'ELC TECH'!$B:$B)&amp;" "&amp;_xlfn.XLOOKUP(C151,'ELC TECH'!$H:$H,'ELC TECH'!$F:$F)</f>
        <v>Electricity Decentralized Residential DW - Class 3</v>
      </c>
      <c r="E151" t="s">
        <v>486</v>
      </c>
      <c r="F151" t="s">
        <v>487</v>
      </c>
      <c r="G151" t="s">
        <v>488</v>
      </c>
    </row>
    <row r="152" spans="2:7" x14ac:dyDescent="0.25">
      <c r="B152" t="str">
        <f>IF('ELC TECH'!I151=0,"*",IF(_xlfn.XLOOKUP(C152,'ELC TECH'!H:H,'ELC TECH'!E:E)="Storage","STG","ELE"))</f>
        <v>ELE</v>
      </c>
      <c r="C152" t="str">
        <f>'ELC TECH'!H151</f>
        <v>ELCWNDDCERDWC420</v>
      </c>
      <c r="D152" t="str">
        <f>_xlfn.XLOOKUP(C152,'ELC TECH'!$H:$H,'ELC TECH'!$A:$A)&amp;" "&amp;_xlfn.XLOOKUP(C152,'ELC TECH'!$H:$H,'ELC TECH'!$B:$B)&amp;" "&amp;_xlfn.XLOOKUP(C152,'ELC TECH'!$H:$H,'ELC TECH'!$F:$F)</f>
        <v>Electricity Decentralized Residential DW - Class 4</v>
      </c>
      <c r="E152" t="s">
        <v>486</v>
      </c>
      <c r="F152" t="s">
        <v>487</v>
      </c>
      <c r="G152" t="s">
        <v>488</v>
      </c>
    </row>
    <row r="153" spans="2:7" x14ac:dyDescent="0.25">
      <c r="B153" t="str">
        <f>IF('ELC TECH'!I152=0,"*",IF(_xlfn.XLOOKUP(C153,'ELC TECH'!H:H,'ELC TECH'!E:E)="Storage","STG","ELE"))</f>
        <v>ELE</v>
      </c>
      <c r="C153" t="str">
        <f>'ELC TECH'!H152</f>
        <v>ELCWNDDCERDWC520</v>
      </c>
      <c r="D153" t="str">
        <f>_xlfn.XLOOKUP(C153,'ELC TECH'!$H:$H,'ELC TECH'!$A:$A)&amp;" "&amp;_xlfn.XLOOKUP(C153,'ELC TECH'!$H:$H,'ELC TECH'!$B:$B)&amp;" "&amp;_xlfn.XLOOKUP(C153,'ELC TECH'!$H:$H,'ELC TECH'!$F:$F)</f>
        <v>Electricity Decentralized Residential DW - Class 5</v>
      </c>
      <c r="E153" t="s">
        <v>486</v>
      </c>
      <c r="F153" t="s">
        <v>487</v>
      </c>
      <c r="G153" t="s">
        <v>488</v>
      </c>
    </row>
    <row r="154" spans="2:7" x14ac:dyDescent="0.25">
      <c r="B154" t="str">
        <f>IF('ELC TECH'!I153=0,"*",IF(_xlfn.XLOOKUP(C154,'ELC TECH'!H:H,'ELC TECH'!E:E)="Storage","STG","ELE"))</f>
        <v>ELE</v>
      </c>
      <c r="C154" t="str">
        <f>'ELC TECH'!H153</f>
        <v>ELCWNDDCERDWC620</v>
      </c>
      <c r="D154" t="str">
        <f>_xlfn.XLOOKUP(C154,'ELC TECH'!$H:$H,'ELC TECH'!$A:$A)&amp;" "&amp;_xlfn.XLOOKUP(C154,'ELC TECH'!$H:$H,'ELC TECH'!$B:$B)&amp;" "&amp;_xlfn.XLOOKUP(C154,'ELC TECH'!$H:$H,'ELC TECH'!$F:$F)</f>
        <v>Electricity Decentralized Residential DW - Class 6</v>
      </c>
      <c r="E154" t="s">
        <v>486</v>
      </c>
      <c r="F154" t="s">
        <v>487</v>
      </c>
      <c r="G154" t="s">
        <v>488</v>
      </c>
    </row>
    <row r="155" spans="2:7" x14ac:dyDescent="0.25">
      <c r="B155" t="str">
        <f>IF('ELC TECH'!I154=0,"*",IF(_xlfn.XLOOKUP(C155,'ELC TECH'!H:H,'ELC TECH'!E:E)="Storage","STG","ELE"))</f>
        <v>ELE</v>
      </c>
      <c r="C155" t="str">
        <f>'ELC TECH'!H154</f>
        <v>ELCWNDDCERDWC720</v>
      </c>
      <c r="D155" t="str">
        <f>_xlfn.XLOOKUP(C155,'ELC TECH'!$H:$H,'ELC TECH'!$A:$A)&amp;" "&amp;_xlfn.XLOOKUP(C155,'ELC TECH'!$H:$H,'ELC TECH'!$B:$B)&amp;" "&amp;_xlfn.XLOOKUP(C155,'ELC TECH'!$H:$H,'ELC TECH'!$F:$F)</f>
        <v>Electricity Decentralized Residential DW - Class 7</v>
      </c>
      <c r="E155" t="s">
        <v>486</v>
      </c>
      <c r="F155" t="s">
        <v>487</v>
      </c>
      <c r="G155" t="s">
        <v>488</v>
      </c>
    </row>
    <row r="156" spans="2:7" x14ac:dyDescent="0.25">
      <c r="B156" t="str">
        <f>IF('ELC TECH'!I155=0,"*",IF(_xlfn.XLOOKUP(C156,'ELC TECH'!H:H,'ELC TECH'!E:E)="Storage","STG","ELE"))</f>
        <v>ELE</v>
      </c>
      <c r="C156" t="str">
        <f>'ELC TECH'!H155</f>
        <v>ELCWNDDCERDWC820</v>
      </c>
      <c r="D156" t="str">
        <f>_xlfn.XLOOKUP(C156,'ELC TECH'!$H:$H,'ELC TECH'!$A:$A)&amp;" "&amp;_xlfn.XLOOKUP(C156,'ELC TECH'!$H:$H,'ELC TECH'!$B:$B)&amp;" "&amp;_xlfn.XLOOKUP(C156,'ELC TECH'!$H:$H,'ELC TECH'!$F:$F)</f>
        <v>Electricity Decentralized Residential DW - Class 8</v>
      </c>
      <c r="E156" t="s">
        <v>486</v>
      </c>
      <c r="F156" t="s">
        <v>487</v>
      </c>
      <c r="G156" t="s">
        <v>488</v>
      </c>
    </row>
    <row r="157" spans="2:7" x14ac:dyDescent="0.25">
      <c r="B157" t="str">
        <f>IF('ELC TECH'!I156=0,"*",IF(_xlfn.XLOOKUP(C157,'ELC TECH'!H:H,'ELC TECH'!E:E)="Storage","STG","ELE"))</f>
        <v>ELE</v>
      </c>
      <c r="C157" t="str">
        <f>'ELC TECH'!H156</f>
        <v>ELCWNDDCERDWC920</v>
      </c>
      <c r="D157" t="str">
        <f>_xlfn.XLOOKUP(C157,'ELC TECH'!$H:$H,'ELC TECH'!$A:$A)&amp;" "&amp;_xlfn.XLOOKUP(C157,'ELC TECH'!$H:$H,'ELC TECH'!$B:$B)&amp;" "&amp;_xlfn.XLOOKUP(C157,'ELC TECH'!$H:$H,'ELC TECH'!$F:$F)</f>
        <v>Electricity Decentralized Residential DW - Class 9</v>
      </c>
      <c r="E157" t="s">
        <v>486</v>
      </c>
      <c r="F157" t="s">
        <v>487</v>
      </c>
      <c r="G157" t="s">
        <v>488</v>
      </c>
    </row>
    <row r="158" spans="2:7" x14ac:dyDescent="0.25">
      <c r="B158" t="str">
        <f>IF('ELC TECH'!I157=0,"*",IF(_xlfn.XLOOKUP(C158,'ELC TECH'!H:H,'ELC TECH'!E:E)="Storage","STG","ELE"))</f>
        <v>ELE</v>
      </c>
      <c r="C158" t="str">
        <f>'ELC TECH'!H157</f>
        <v>ELCSOLDCERDPV1020</v>
      </c>
      <c r="D158" t="str">
        <f>_xlfn.XLOOKUP(C158,'ELC TECH'!$H:$H,'ELC TECH'!$A:$A)&amp;" "&amp;_xlfn.XLOOKUP(C158,'ELC TECH'!$H:$H,'ELC TECH'!$B:$B)&amp;" "&amp;_xlfn.XLOOKUP(C158,'ELC TECH'!$H:$H,'ELC TECH'!$F:$F)</f>
        <v>Electricity Decentralized Residential PV - Class 10</v>
      </c>
      <c r="E158" t="s">
        <v>486</v>
      </c>
      <c r="F158" t="s">
        <v>487</v>
      </c>
      <c r="G158" t="s">
        <v>488</v>
      </c>
    </row>
    <row r="159" spans="2:7" x14ac:dyDescent="0.25">
      <c r="B159" t="str">
        <f>IF('ELC TECH'!I158=0,"*",IF(_xlfn.XLOOKUP(C159,'ELC TECH'!H:H,'ELC TECH'!E:E)="Storage","STG","ELE"))</f>
        <v>ELE</v>
      </c>
      <c r="C159" t="str">
        <f>'ELC TECH'!H158</f>
        <v>ELCSOLDCERDPV120</v>
      </c>
      <c r="D159" t="str">
        <f>_xlfn.XLOOKUP(C159,'ELC TECH'!$H:$H,'ELC TECH'!$A:$A)&amp;" "&amp;_xlfn.XLOOKUP(C159,'ELC TECH'!$H:$H,'ELC TECH'!$B:$B)&amp;" "&amp;_xlfn.XLOOKUP(C159,'ELC TECH'!$H:$H,'ELC TECH'!$F:$F)</f>
        <v>Electricity Decentralized Residential PV - Class 1</v>
      </c>
      <c r="E159" t="s">
        <v>486</v>
      </c>
      <c r="F159" t="s">
        <v>487</v>
      </c>
      <c r="G159" t="s">
        <v>488</v>
      </c>
    </row>
    <row r="160" spans="2:7" x14ac:dyDescent="0.25">
      <c r="B160" t="str">
        <f>IF('ELC TECH'!I159=0,"*",IF(_xlfn.XLOOKUP(C160,'ELC TECH'!H:H,'ELC TECH'!E:E)="Storage","STG","ELE"))</f>
        <v>ELE</v>
      </c>
      <c r="C160" t="str">
        <f>'ELC TECH'!H159</f>
        <v>ELCSOLDCERDPV220</v>
      </c>
      <c r="D160" t="str">
        <f>_xlfn.XLOOKUP(C160,'ELC TECH'!$H:$H,'ELC TECH'!$A:$A)&amp;" "&amp;_xlfn.XLOOKUP(C160,'ELC TECH'!$H:$H,'ELC TECH'!$B:$B)&amp;" "&amp;_xlfn.XLOOKUP(C160,'ELC TECH'!$H:$H,'ELC TECH'!$F:$F)</f>
        <v>Electricity Decentralized Residential PV - Class 2</v>
      </c>
      <c r="E160" t="s">
        <v>486</v>
      </c>
      <c r="F160" t="s">
        <v>487</v>
      </c>
      <c r="G160" t="s">
        <v>488</v>
      </c>
    </row>
    <row r="161" spans="2:7" x14ac:dyDescent="0.25">
      <c r="B161" t="str">
        <f>IF('ELC TECH'!I160=0,"*",IF(_xlfn.XLOOKUP(C161,'ELC TECH'!H:H,'ELC TECH'!E:E)="Storage","STG","ELE"))</f>
        <v>ELE</v>
      </c>
      <c r="C161" t="str">
        <f>'ELC TECH'!H160</f>
        <v>ELCSOLDCERDPV320</v>
      </c>
      <c r="D161" t="str">
        <f>_xlfn.XLOOKUP(C161,'ELC TECH'!$H:$H,'ELC TECH'!$A:$A)&amp;" "&amp;_xlfn.XLOOKUP(C161,'ELC TECH'!$H:$H,'ELC TECH'!$B:$B)&amp;" "&amp;_xlfn.XLOOKUP(C161,'ELC TECH'!$H:$H,'ELC TECH'!$F:$F)</f>
        <v>Electricity Decentralized Residential PV - Class 3</v>
      </c>
      <c r="E161" t="s">
        <v>486</v>
      </c>
      <c r="F161" t="s">
        <v>487</v>
      </c>
      <c r="G161" t="s">
        <v>488</v>
      </c>
    </row>
    <row r="162" spans="2:7" x14ac:dyDescent="0.25">
      <c r="B162" t="str">
        <f>IF('ELC TECH'!I161=0,"*",IF(_xlfn.XLOOKUP(C162,'ELC TECH'!H:H,'ELC TECH'!E:E)="Storage","STG","ELE"))</f>
        <v>ELE</v>
      </c>
      <c r="C162" t="str">
        <f>'ELC TECH'!H161</f>
        <v>ELCSOLDCERDPV420</v>
      </c>
      <c r="D162" t="str">
        <f>_xlfn.XLOOKUP(C162,'ELC TECH'!$H:$H,'ELC TECH'!$A:$A)&amp;" "&amp;_xlfn.XLOOKUP(C162,'ELC TECH'!$H:$H,'ELC TECH'!$B:$B)&amp;" "&amp;_xlfn.XLOOKUP(C162,'ELC TECH'!$H:$H,'ELC TECH'!$F:$F)</f>
        <v>Electricity Decentralized Residential PV - Class 4</v>
      </c>
      <c r="E162" t="s">
        <v>486</v>
      </c>
      <c r="F162" t="s">
        <v>487</v>
      </c>
      <c r="G162" t="s">
        <v>488</v>
      </c>
    </row>
    <row r="163" spans="2:7" x14ac:dyDescent="0.25">
      <c r="B163" t="str">
        <f>IF('ELC TECH'!I162=0,"*",IF(_xlfn.XLOOKUP(C163,'ELC TECH'!H:H,'ELC TECH'!E:E)="Storage","STG","ELE"))</f>
        <v>ELE</v>
      </c>
      <c r="C163" t="str">
        <f>'ELC TECH'!H162</f>
        <v>ELCSOLDCERDPV520</v>
      </c>
      <c r="D163" t="str">
        <f>_xlfn.XLOOKUP(C163,'ELC TECH'!$H:$H,'ELC TECH'!$A:$A)&amp;" "&amp;_xlfn.XLOOKUP(C163,'ELC TECH'!$H:$H,'ELC TECH'!$B:$B)&amp;" "&amp;_xlfn.XLOOKUP(C163,'ELC TECH'!$H:$H,'ELC TECH'!$F:$F)</f>
        <v>Electricity Decentralized Residential PV - Class 5</v>
      </c>
      <c r="E163" t="s">
        <v>486</v>
      </c>
      <c r="F163" t="s">
        <v>487</v>
      </c>
      <c r="G163" t="s">
        <v>488</v>
      </c>
    </row>
    <row r="164" spans="2:7" x14ac:dyDescent="0.25">
      <c r="B164" t="str">
        <f>IF('ELC TECH'!I163=0,"*",IF(_xlfn.XLOOKUP(C164,'ELC TECH'!H:H,'ELC TECH'!E:E)="Storage","STG","ELE"))</f>
        <v>ELE</v>
      </c>
      <c r="C164" t="str">
        <f>'ELC TECH'!H163</f>
        <v>ELCSOLDCERDPV620</v>
      </c>
      <c r="D164" t="str">
        <f>_xlfn.XLOOKUP(C164,'ELC TECH'!$H:$H,'ELC TECH'!$A:$A)&amp;" "&amp;_xlfn.XLOOKUP(C164,'ELC TECH'!$H:$H,'ELC TECH'!$B:$B)&amp;" "&amp;_xlfn.XLOOKUP(C164,'ELC TECH'!$H:$H,'ELC TECH'!$F:$F)</f>
        <v>Electricity Decentralized Residential PV - Class 6</v>
      </c>
      <c r="E164" t="s">
        <v>486</v>
      </c>
      <c r="F164" t="s">
        <v>487</v>
      </c>
      <c r="G164" t="s">
        <v>488</v>
      </c>
    </row>
    <row r="165" spans="2:7" x14ac:dyDescent="0.25">
      <c r="B165" t="str">
        <f>IF('ELC TECH'!I164=0,"*",IF(_xlfn.XLOOKUP(C165,'ELC TECH'!H:H,'ELC TECH'!E:E)="Storage","STG","ELE"))</f>
        <v>ELE</v>
      </c>
      <c r="C165" t="str">
        <f>'ELC TECH'!H164</f>
        <v>ELCSOLDCERDPV720</v>
      </c>
      <c r="D165" t="str">
        <f>_xlfn.XLOOKUP(C165,'ELC TECH'!$H:$H,'ELC TECH'!$A:$A)&amp;" "&amp;_xlfn.XLOOKUP(C165,'ELC TECH'!$H:$H,'ELC TECH'!$B:$B)&amp;" "&amp;_xlfn.XLOOKUP(C165,'ELC TECH'!$H:$H,'ELC TECH'!$F:$F)</f>
        <v>Electricity Decentralized Residential PV - Class 7</v>
      </c>
      <c r="E165" t="s">
        <v>486</v>
      </c>
      <c r="F165" t="s">
        <v>487</v>
      </c>
      <c r="G165" t="s">
        <v>488</v>
      </c>
    </row>
    <row r="166" spans="2:7" x14ac:dyDescent="0.25">
      <c r="B166" t="str">
        <f>IF('ELC TECH'!I165=0,"*",IF(_xlfn.XLOOKUP(C166,'ELC TECH'!H:H,'ELC TECH'!E:E)="Storage","STG","ELE"))</f>
        <v>ELE</v>
      </c>
      <c r="C166" t="str">
        <f>'ELC TECH'!H165</f>
        <v>ELCSOLDCERDPV820</v>
      </c>
      <c r="D166" t="str">
        <f>_xlfn.XLOOKUP(C166,'ELC TECH'!$H:$H,'ELC TECH'!$A:$A)&amp;" "&amp;_xlfn.XLOOKUP(C166,'ELC TECH'!$H:$H,'ELC TECH'!$B:$B)&amp;" "&amp;_xlfn.XLOOKUP(C166,'ELC TECH'!$H:$H,'ELC TECH'!$F:$F)</f>
        <v>Electricity Decentralized Residential PV - Class 8</v>
      </c>
      <c r="E166" t="s">
        <v>486</v>
      </c>
      <c r="F166" t="s">
        <v>487</v>
      </c>
      <c r="G166" t="s">
        <v>488</v>
      </c>
    </row>
    <row r="167" spans="2:7" x14ac:dyDescent="0.25">
      <c r="B167" t="str">
        <f>IF('ELC TECH'!I166=0,"*",IF(_xlfn.XLOOKUP(C167,'ELC TECH'!H:H,'ELC TECH'!E:E)="Storage","STG","ELE"))</f>
        <v>ELE</v>
      </c>
      <c r="C167" t="str">
        <f>'ELC TECH'!H166</f>
        <v>ELCSOLDCERDPV920</v>
      </c>
      <c r="D167" t="str">
        <f>_xlfn.XLOOKUP(C167,'ELC TECH'!$H:$H,'ELC TECH'!$A:$A)&amp;" "&amp;_xlfn.XLOOKUP(C167,'ELC TECH'!$H:$H,'ELC TECH'!$B:$B)&amp;" "&amp;_xlfn.XLOOKUP(C167,'ELC TECH'!$H:$H,'ELC TECH'!$F:$F)</f>
        <v>Electricity Decentralized Residential PV - Class 9</v>
      </c>
      <c r="E167" t="s">
        <v>486</v>
      </c>
      <c r="F167" t="s">
        <v>487</v>
      </c>
      <c r="G167" t="s">
        <v>488</v>
      </c>
    </row>
    <row r="168" spans="2:7" x14ac:dyDescent="0.25">
      <c r="B168" t="str">
        <f>IF('ELC TECH'!I167=0,"*",IF(_xlfn.XLOOKUP(C168,'ELC TECH'!H:H,'ELC TECH'!E:E)="Storage","STG","ELE"))</f>
        <v>ELE</v>
      </c>
      <c r="C168" t="str">
        <f>'ELC TECH'!H167</f>
        <v>ELCSOLDCECPV1020</v>
      </c>
      <c r="D168" t="str">
        <f>_xlfn.XLOOKUP(C168,'ELC TECH'!$H:$H,'ELC TECH'!$A:$A)&amp;" "&amp;_xlfn.XLOOKUP(C168,'ELC TECH'!$H:$H,'ELC TECH'!$B:$B)&amp;" "&amp;_xlfn.XLOOKUP(C168,'ELC TECH'!$H:$H,'ELC TECH'!$F:$F)</f>
        <v>Electricity Decentralized Commercial PV - Class 10</v>
      </c>
      <c r="E168" t="s">
        <v>486</v>
      </c>
      <c r="F168" t="s">
        <v>487</v>
      </c>
      <c r="G168" t="s">
        <v>488</v>
      </c>
    </row>
    <row r="169" spans="2:7" x14ac:dyDescent="0.25">
      <c r="B169" t="str">
        <f>IF('ELC TECH'!I168=0,"*",IF(_xlfn.XLOOKUP(C169,'ELC TECH'!H:H,'ELC TECH'!E:E)="Storage","STG","ELE"))</f>
        <v>ELE</v>
      </c>
      <c r="C169" t="str">
        <f>'ELC TECH'!H168</f>
        <v>ELCSOLDCECDPV120</v>
      </c>
      <c r="D169" t="str">
        <f>_xlfn.XLOOKUP(C169,'ELC TECH'!$H:$H,'ELC TECH'!$A:$A)&amp;" "&amp;_xlfn.XLOOKUP(C169,'ELC TECH'!$H:$H,'ELC TECH'!$B:$B)&amp;" "&amp;_xlfn.XLOOKUP(C169,'ELC TECH'!$H:$H,'ELC TECH'!$F:$F)</f>
        <v>Electricity Decentralized Commercial PV - Class 1</v>
      </c>
      <c r="E169" t="s">
        <v>486</v>
      </c>
      <c r="F169" t="s">
        <v>487</v>
      </c>
      <c r="G169" t="s">
        <v>488</v>
      </c>
    </row>
    <row r="170" spans="2:7" x14ac:dyDescent="0.25">
      <c r="B170" t="str">
        <f>IF('ELC TECH'!I169=0,"*",IF(_xlfn.XLOOKUP(C170,'ELC TECH'!H:H,'ELC TECH'!E:E)="Storage","STG","ELE"))</f>
        <v>ELE</v>
      </c>
      <c r="C170" t="str">
        <f>'ELC TECH'!H169</f>
        <v>ELCSOLDCECDPV220</v>
      </c>
      <c r="D170" t="str">
        <f>_xlfn.XLOOKUP(C170,'ELC TECH'!$H:$H,'ELC TECH'!$A:$A)&amp;" "&amp;_xlfn.XLOOKUP(C170,'ELC TECH'!$H:$H,'ELC TECH'!$B:$B)&amp;" "&amp;_xlfn.XLOOKUP(C170,'ELC TECH'!$H:$H,'ELC TECH'!$F:$F)</f>
        <v>Electricity Decentralized Commercial PV - Class 2</v>
      </c>
      <c r="E170" t="s">
        <v>486</v>
      </c>
      <c r="F170" t="s">
        <v>487</v>
      </c>
      <c r="G170" t="s">
        <v>488</v>
      </c>
    </row>
    <row r="171" spans="2:7" x14ac:dyDescent="0.25">
      <c r="B171" t="str">
        <f>IF('ELC TECH'!I170=0,"*",IF(_xlfn.XLOOKUP(C171,'ELC TECH'!H:H,'ELC TECH'!E:E)="Storage","STG","ELE"))</f>
        <v>ELE</v>
      </c>
      <c r="C171" t="str">
        <f>'ELC TECH'!H170</f>
        <v>ELCSOLDCECDPV320</v>
      </c>
      <c r="D171" t="str">
        <f>_xlfn.XLOOKUP(C171,'ELC TECH'!$H:$H,'ELC TECH'!$A:$A)&amp;" "&amp;_xlfn.XLOOKUP(C171,'ELC TECH'!$H:$H,'ELC TECH'!$B:$B)&amp;" "&amp;_xlfn.XLOOKUP(C171,'ELC TECH'!$H:$H,'ELC TECH'!$F:$F)</f>
        <v>Electricity Decentralized Commercial PV - Class 3</v>
      </c>
      <c r="E171" t="s">
        <v>486</v>
      </c>
      <c r="F171" t="s">
        <v>487</v>
      </c>
      <c r="G171" t="s">
        <v>488</v>
      </c>
    </row>
    <row r="172" spans="2:7" x14ac:dyDescent="0.25">
      <c r="B172" t="str">
        <f>IF('ELC TECH'!I171=0,"*",IF(_xlfn.XLOOKUP(C172,'ELC TECH'!H:H,'ELC TECH'!E:E)="Storage","STG","ELE"))</f>
        <v>ELE</v>
      </c>
      <c r="C172" t="str">
        <f>'ELC TECH'!H171</f>
        <v>ELCSOLDCECDPV420</v>
      </c>
      <c r="D172" t="str">
        <f>_xlfn.XLOOKUP(C172,'ELC TECH'!$H:$H,'ELC TECH'!$A:$A)&amp;" "&amp;_xlfn.XLOOKUP(C172,'ELC TECH'!$H:$H,'ELC TECH'!$B:$B)&amp;" "&amp;_xlfn.XLOOKUP(C172,'ELC TECH'!$H:$H,'ELC TECH'!$F:$F)</f>
        <v>Electricity Decentralized Commercial PV - Class 4</v>
      </c>
      <c r="E172" t="s">
        <v>486</v>
      </c>
      <c r="F172" t="s">
        <v>487</v>
      </c>
      <c r="G172" t="s">
        <v>488</v>
      </c>
    </row>
    <row r="173" spans="2:7" x14ac:dyDescent="0.25">
      <c r="B173" t="str">
        <f>IF('ELC TECH'!I172=0,"*",IF(_xlfn.XLOOKUP(C173,'ELC TECH'!H:H,'ELC TECH'!E:E)="Storage","STG","ELE"))</f>
        <v>ELE</v>
      </c>
      <c r="C173" t="str">
        <f>'ELC TECH'!H172</f>
        <v>ELCSOLDCECDPV520</v>
      </c>
      <c r="D173" t="str">
        <f>_xlfn.XLOOKUP(C173,'ELC TECH'!$H:$H,'ELC TECH'!$A:$A)&amp;" "&amp;_xlfn.XLOOKUP(C173,'ELC TECH'!$H:$H,'ELC TECH'!$B:$B)&amp;" "&amp;_xlfn.XLOOKUP(C173,'ELC TECH'!$H:$H,'ELC TECH'!$F:$F)</f>
        <v>Electricity Decentralized Commercial PV - Class 5</v>
      </c>
      <c r="E173" t="s">
        <v>486</v>
      </c>
      <c r="F173" t="s">
        <v>487</v>
      </c>
      <c r="G173" t="s">
        <v>488</v>
      </c>
    </row>
    <row r="174" spans="2:7" x14ac:dyDescent="0.25">
      <c r="B174" t="str">
        <f>IF('ELC TECH'!I173=0,"*",IF(_xlfn.XLOOKUP(C174,'ELC TECH'!H:H,'ELC TECH'!E:E)="Storage","STG","ELE"))</f>
        <v>ELE</v>
      </c>
      <c r="C174" t="str">
        <f>'ELC TECH'!H173</f>
        <v>ELCSOLDCECDPV620</v>
      </c>
      <c r="D174" t="str">
        <f>_xlfn.XLOOKUP(C174,'ELC TECH'!$H:$H,'ELC TECH'!$A:$A)&amp;" "&amp;_xlfn.XLOOKUP(C174,'ELC TECH'!$H:$H,'ELC TECH'!$B:$B)&amp;" "&amp;_xlfn.XLOOKUP(C174,'ELC TECH'!$H:$H,'ELC TECH'!$F:$F)</f>
        <v>Electricity Decentralized Commercial PV - Class 6</v>
      </c>
      <c r="E174" t="s">
        <v>486</v>
      </c>
      <c r="F174" t="s">
        <v>487</v>
      </c>
      <c r="G174" t="s">
        <v>488</v>
      </c>
    </row>
    <row r="175" spans="2:7" x14ac:dyDescent="0.25">
      <c r="B175" t="str">
        <f>IF('ELC TECH'!I174=0,"*",IF(_xlfn.XLOOKUP(C175,'ELC TECH'!H:H,'ELC TECH'!E:E)="Storage","STG","ELE"))</f>
        <v>ELE</v>
      </c>
      <c r="C175" t="str">
        <f>'ELC TECH'!H174</f>
        <v>ELCSOLDCECDPV720</v>
      </c>
      <c r="D175" t="str">
        <f>_xlfn.XLOOKUP(C175,'ELC TECH'!$H:$H,'ELC TECH'!$A:$A)&amp;" "&amp;_xlfn.XLOOKUP(C175,'ELC TECH'!$H:$H,'ELC TECH'!$B:$B)&amp;" "&amp;_xlfn.XLOOKUP(C175,'ELC TECH'!$H:$H,'ELC TECH'!$F:$F)</f>
        <v>Electricity Decentralized Commercial PV - Class 7</v>
      </c>
      <c r="E175" t="s">
        <v>486</v>
      </c>
      <c r="F175" t="s">
        <v>487</v>
      </c>
      <c r="G175" t="s">
        <v>488</v>
      </c>
    </row>
    <row r="176" spans="2:7" x14ac:dyDescent="0.25">
      <c r="B176" t="str">
        <f>IF('ELC TECH'!I175=0,"*",IF(_xlfn.XLOOKUP(C176,'ELC TECH'!H:H,'ELC TECH'!E:E)="Storage","STG","ELE"))</f>
        <v>ELE</v>
      </c>
      <c r="C176" t="str">
        <f>'ELC TECH'!H175</f>
        <v>ELCSOLDCECDPV820</v>
      </c>
      <c r="D176" t="str">
        <f>_xlfn.XLOOKUP(C176,'ELC TECH'!$H:$H,'ELC TECH'!$A:$A)&amp;" "&amp;_xlfn.XLOOKUP(C176,'ELC TECH'!$H:$H,'ELC TECH'!$B:$B)&amp;" "&amp;_xlfn.XLOOKUP(C176,'ELC TECH'!$H:$H,'ELC TECH'!$F:$F)</f>
        <v>Electricity Decentralized Commercial PV - Class 8</v>
      </c>
      <c r="E176" t="s">
        <v>486</v>
      </c>
      <c r="F176" t="s">
        <v>487</v>
      </c>
      <c r="G176" t="s">
        <v>488</v>
      </c>
    </row>
    <row r="177" spans="2:7" x14ac:dyDescent="0.25">
      <c r="B177" t="str">
        <f>IF('ELC TECH'!I176=0,"*",IF(_xlfn.XLOOKUP(C177,'ELC TECH'!H:H,'ELC TECH'!E:E)="Storage","STG","ELE"))</f>
        <v>ELE</v>
      </c>
      <c r="C177" t="str">
        <f>'ELC TECH'!H176</f>
        <v>ELCSOLDCECDPV920</v>
      </c>
      <c r="D177" t="str">
        <f>_xlfn.XLOOKUP(C177,'ELC TECH'!$H:$H,'ELC TECH'!$A:$A)&amp;" "&amp;_xlfn.XLOOKUP(C177,'ELC TECH'!$H:$H,'ELC TECH'!$B:$B)&amp;" "&amp;_xlfn.XLOOKUP(C177,'ELC TECH'!$H:$H,'ELC TECH'!$F:$F)</f>
        <v>Electricity Decentralized Commercial PV - Class 9</v>
      </c>
      <c r="E177" t="s">
        <v>486</v>
      </c>
      <c r="F177" t="s">
        <v>487</v>
      </c>
      <c r="G177" t="s">
        <v>488</v>
      </c>
    </row>
    <row r="178" spans="2:7" x14ac:dyDescent="0.25">
      <c r="B178" t="str">
        <f>IF('ELC TECH'!I177=0,"*",IF(_xlfn.XLOOKUP(C178,'ELC TECH'!H:H,'ELC TECH'!E:E)="Storage","STG","ELE"))</f>
        <v>STG</v>
      </c>
      <c r="C178" t="str">
        <f>'ELC TECH'!H177</f>
        <v>ELCSTGDCERBES2.5H20</v>
      </c>
      <c r="D178" t="str">
        <f>_xlfn.XLOOKUP(C178,'ELC TECH'!$H:$H,'ELC TECH'!$A:$A)&amp;" "&amp;_xlfn.XLOOKUP(C178,'ELC TECH'!$H:$H,'ELC TECH'!$B:$B)&amp;" "&amp;_xlfn.XLOOKUP(C178,'ELC TECH'!$H:$H,'ELC TECH'!$F:$F)</f>
        <v>Electricity Decentralized Residential Battery Storage - 5 kW - 12.5 kWh</v>
      </c>
      <c r="E178" t="s">
        <v>486</v>
      </c>
      <c r="F178" t="s">
        <v>487</v>
      </c>
      <c r="G178" t="s">
        <v>488</v>
      </c>
    </row>
    <row r="179" spans="2:7" x14ac:dyDescent="0.25">
      <c r="B179" t="str">
        <f>IF('ELC TECH'!I178=0,"*",IF(_xlfn.XLOOKUP(C179,'ELC TECH'!H:H,'ELC TECH'!E:E)="Storage","STG","ELE"))</f>
        <v>STG</v>
      </c>
      <c r="C179" t="str">
        <f>'ELC TECH'!H178</f>
        <v>ELCSTGDCERBES4H20</v>
      </c>
      <c r="D179" t="str">
        <f>_xlfn.XLOOKUP(C179,'ELC TECH'!$H:$H,'ELC TECH'!$A:$A)&amp;" "&amp;_xlfn.XLOOKUP(C179,'ELC TECH'!$H:$H,'ELC TECH'!$B:$B)&amp;" "&amp;_xlfn.XLOOKUP(C179,'ELC TECH'!$H:$H,'ELC TECH'!$F:$F)</f>
        <v>Electricity Decentralized Residential Battery Storage - 5 kW - 20 kWh</v>
      </c>
      <c r="E179" t="s">
        <v>486</v>
      </c>
      <c r="F179" t="s">
        <v>487</v>
      </c>
      <c r="G179" t="s">
        <v>488</v>
      </c>
    </row>
    <row r="180" spans="2:7" x14ac:dyDescent="0.25">
      <c r="B180" t="str">
        <f>IF('ELC TECH'!I179=0,"*",IF(_xlfn.XLOOKUP(C180,'ELC TECH'!H:H,'ELC TECH'!E:E)="Storage","STG","ELE"))</f>
        <v>STG</v>
      </c>
      <c r="C180" t="str">
        <f>'ELC TECH'!H179</f>
        <v>ELCSTGDCECBES1H20</v>
      </c>
      <c r="D180" t="str">
        <f>_xlfn.XLOOKUP(C180,'ELC TECH'!$H:$H,'ELC TECH'!$A:$A)&amp;" "&amp;_xlfn.XLOOKUP(C180,'ELC TECH'!$H:$H,'ELC TECH'!$B:$B)&amp;" "&amp;_xlfn.XLOOKUP(C180,'ELC TECH'!$H:$H,'ELC TECH'!$F:$F)</f>
        <v>Electricity Decentralized Commercial Battery Storage 1Hr</v>
      </c>
      <c r="E180" t="s">
        <v>486</v>
      </c>
      <c r="F180" t="s">
        <v>487</v>
      </c>
      <c r="G180" t="s">
        <v>488</v>
      </c>
    </row>
    <row r="181" spans="2:7" x14ac:dyDescent="0.25">
      <c r="B181" t="str">
        <f>IF('ELC TECH'!I180=0,"*",IF(_xlfn.XLOOKUP(C181,'ELC TECH'!H:H,'ELC TECH'!E:E)="Storage","STG","ELE"))</f>
        <v>STG</v>
      </c>
      <c r="C181" t="str">
        <f>'ELC TECH'!H180</f>
        <v>ELCSTGDCECBES2H20</v>
      </c>
      <c r="D181" t="str">
        <f>_xlfn.XLOOKUP(C181,'ELC TECH'!$H:$H,'ELC TECH'!$A:$A)&amp;" "&amp;_xlfn.XLOOKUP(C181,'ELC TECH'!$H:$H,'ELC TECH'!$B:$B)&amp;" "&amp;_xlfn.XLOOKUP(C181,'ELC TECH'!$H:$H,'ELC TECH'!$F:$F)</f>
        <v>Electricity Decentralized Commercial Battery Storage 2Hr</v>
      </c>
      <c r="E181" t="s">
        <v>486</v>
      </c>
      <c r="F181" t="s">
        <v>487</v>
      </c>
      <c r="G181" t="s">
        <v>488</v>
      </c>
    </row>
    <row r="182" spans="2:7" x14ac:dyDescent="0.25">
      <c r="B182" t="str">
        <f>IF('ELC TECH'!I181=0,"*",IF(_xlfn.XLOOKUP(C182,'ELC TECH'!H:H,'ELC TECH'!E:E)="Storage","STG","ELE"))</f>
        <v>STG</v>
      </c>
      <c r="C182" t="str">
        <f>'ELC TECH'!H181</f>
        <v>ELCSTGDCECBES4H20</v>
      </c>
      <c r="D182" t="str">
        <f>_xlfn.XLOOKUP(C182,'ELC TECH'!$H:$H,'ELC TECH'!$A:$A)&amp;" "&amp;_xlfn.XLOOKUP(C182,'ELC TECH'!$H:$H,'ELC TECH'!$B:$B)&amp;" "&amp;_xlfn.XLOOKUP(C182,'ELC TECH'!$H:$H,'ELC TECH'!$F:$F)</f>
        <v>Electricity Decentralized Commercial Battery Storage 4Hr</v>
      </c>
      <c r="E182" t="s">
        <v>486</v>
      </c>
      <c r="F182" t="s">
        <v>487</v>
      </c>
      <c r="G182" t="s">
        <v>488</v>
      </c>
    </row>
    <row r="183" spans="2:7" x14ac:dyDescent="0.25">
      <c r="B183" t="str">
        <f>IF('ELC TECH'!I182=0,"*",IF(_xlfn.XLOOKUP(C183,'ELC TECH'!H:H,'ELC TECH'!E:E)="Storage","STG","ELE"))</f>
        <v>STG</v>
      </c>
      <c r="C183" t="str">
        <f>'ELC TECH'!H182</f>
        <v>ELCSTGDCECBES6H20</v>
      </c>
      <c r="D183" t="str">
        <f>_xlfn.XLOOKUP(C183,'ELC TECH'!$H:$H,'ELC TECH'!$A:$A)&amp;" "&amp;_xlfn.XLOOKUP(C183,'ELC TECH'!$H:$H,'ELC TECH'!$B:$B)&amp;" "&amp;_xlfn.XLOOKUP(C183,'ELC TECH'!$H:$H,'ELC TECH'!$F:$F)</f>
        <v>Electricity Decentralized Commercial Battery Storage 6Hr</v>
      </c>
      <c r="E183" t="s">
        <v>486</v>
      </c>
      <c r="F183" t="s">
        <v>487</v>
      </c>
      <c r="G183" t="s">
        <v>488</v>
      </c>
    </row>
    <row r="184" spans="2:7" x14ac:dyDescent="0.25">
      <c r="B184" t="str">
        <f>IF('ELC TECH'!I183=0,"*",IF(_xlfn.XLOOKUP(C184,'ELC TECH'!H:H,'ELC TECH'!E:E)="Storage","STG","ELE"))</f>
        <v>STG</v>
      </c>
      <c r="C184" t="str">
        <f>'ELC TECH'!H183</f>
        <v>ELCSTGDCECBES8H20</v>
      </c>
      <c r="D184" t="str">
        <f>_xlfn.XLOOKUP(C184,'ELC TECH'!$H:$H,'ELC TECH'!$A:$A)&amp;" "&amp;_xlfn.XLOOKUP(C184,'ELC TECH'!$H:$H,'ELC TECH'!$B:$B)&amp;" "&amp;_xlfn.XLOOKUP(C184,'ELC TECH'!$H:$H,'ELC TECH'!$F:$F)</f>
        <v>Electricity Decentralized Commercial Battery Storage 8Hr</v>
      </c>
      <c r="E184" t="s">
        <v>486</v>
      </c>
      <c r="F184" t="s">
        <v>487</v>
      </c>
      <c r="G184" t="s">
        <v>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"/>
  <sheetViews>
    <sheetView workbookViewId="0">
      <selection activeCell="E35" sqref="E35"/>
    </sheetView>
  </sheetViews>
  <sheetFormatPr defaultRowHeight="15" x14ac:dyDescent="0.25"/>
  <cols>
    <col min="2" max="2" width="12.5703125" customWidth="1"/>
    <col min="3" max="3" width="12.28515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9" t="s">
        <v>489</v>
      </c>
    </row>
    <row r="3" spans="2:9" x14ac:dyDescent="0.25">
      <c r="B3" s="10" t="s">
        <v>490</v>
      </c>
      <c r="C3" s="10" t="s">
        <v>491</v>
      </c>
      <c r="D3" s="10" t="s">
        <v>492</v>
      </c>
      <c r="E3" s="10" t="s">
        <v>493</v>
      </c>
      <c r="F3" s="10" t="s">
        <v>494</v>
      </c>
      <c r="G3" s="10" t="s">
        <v>495</v>
      </c>
      <c r="H3" s="10" t="s">
        <v>496</v>
      </c>
      <c r="I3" s="10" t="s">
        <v>497</v>
      </c>
    </row>
    <row r="4" spans="2:9" ht="40.9" customHeight="1" thickBot="1" x14ac:dyDescent="0.3">
      <c r="B4" s="11" t="s">
        <v>498</v>
      </c>
      <c r="C4" s="11" t="s">
        <v>499</v>
      </c>
      <c r="D4" s="11" t="s">
        <v>500</v>
      </c>
      <c r="E4" s="11" t="s">
        <v>493</v>
      </c>
      <c r="F4" s="11" t="s">
        <v>501</v>
      </c>
      <c r="G4" s="11" t="s">
        <v>502</v>
      </c>
      <c r="H4" s="11" t="s">
        <v>503</v>
      </c>
      <c r="I4" s="11" t="s">
        <v>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I435"/>
  <sheetViews>
    <sheetView tabSelected="1" zoomScale="85" zoomScaleNormal="85" workbookViewId="0">
      <selection activeCell="B11" sqref="B11"/>
    </sheetView>
  </sheetViews>
  <sheetFormatPr defaultRowHeight="15" x14ac:dyDescent="0.25"/>
  <cols>
    <col min="2" max="2" width="24.140625" bestFit="1" customWidth="1"/>
    <col min="5" max="5" width="13.28515625" bestFit="1" customWidth="1"/>
    <col min="6" max="7" width="13.42578125" customWidth="1"/>
    <col min="8" max="9" width="13.5703125" bestFit="1" customWidth="1"/>
    <col min="10" max="10" width="9.5703125" bestFit="1" customWidth="1"/>
    <col min="11" max="11" width="9.28515625" bestFit="1" customWidth="1"/>
    <col min="12" max="12" width="13.42578125" bestFit="1" customWidth="1"/>
    <col min="13" max="17" width="13.42578125" customWidth="1"/>
    <col min="18" max="18" width="9.5703125" bestFit="1" customWidth="1"/>
    <col min="19" max="19" width="9.28515625" bestFit="1" customWidth="1"/>
    <col min="20" max="20" width="13.42578125" bestFit="1" customWidth="1"/>
    <col min="21" max="25" width="13.42578125" customWidth="1"/>
    <col min="26" max="27" width="10.5703125" bestFit="1" customWidth="1"/>
    <col min="28" max="28" width="13.5703125" bestFit="1" customWidth="1"/>
    <col min="29" max="33" width="13.42578125" customWidth="1"/>
    <col min="34" max="34" width="9.7109375" bestFit="1" customWidth="1"/>
    <col min="35" max="35" width="9.42578125" bestFit="1" customWidth="1"/>
    <col min="36" max="36" width="13.5703125" bestFit="1" customWidth="1"/>
    <col min="37" max="41" width="13.42578125" customWidth="1"/>
    <col min="42" max="42" width="9.7109375" bestFit="1" customWidth="1"/>
    <col min="43" max="43" width="9.42578125" bestFit="1" customWidth="1"/>
    <col min="44" max="44" width="13.5703125" bestFit="1" customWidth="1"/>
    <col min="45" max="49" width="13.42578125" customWidth="1"/>
    <col min="50" max="51" width="11.28515625" customWidth="1"/>
    <col min="52" max="52" width="13.42578125" bestFit="1" customWidth="1"/>
    <col min="53" max="57" width="13.42578125" customWidth="1"/>
    <col min="58" max="59" width="11.28515625" customWidth="1"/>
    <col min="60" max="60" width="13.42578125" bestFit="1" customWidth="1"/>
    <col min="61" max="65" width="13.42578125" customWidth="1"/>
    <col min="66" max="66" width="20.28515625" bestFit="1" customWidth="1"/>
    <col min="67" max="67" width="15.140625" bestFit="1" customWidth="1"/>
    <col min="68" max="77" width="13.5703125" customWidth="1"/>
    <col min="78" max="78" width="20.28515625" bestFit="1" customWidth="1"/>
    <col min="79" max="79" width="15.140625" bestFit="1" customWidth="1"/>
    <col min="80" max="89" width="13.5703125" customWidth="1"/>
    <col min="90" max="90" width="20.28515625" bestFit="1" customWidth="1"/>
    <col min="91" max="91" width="15.140625" bestFit="1" customWidth="1"/>
    <col min="92" max="101" width="13.5703125" customWidth="1"/>
    <col min="102" max="102" width="20.28515625" bestFit="1" customWidth="1"/>
    <col min="103" max="103" width="15.140625" bestFit="1" customWidth="1"/>
    <col min="104" max="113" width="13.5703125" customWidth="1"/>
  </cols>
  <sheetData>
    <row r="1" spans="2:113" x14ac:dyDescent="0.25">
      <c r="BM1" t="s">
        <v>505</v>
      </c>
      <c r="BN1" s="12">
        <v>0.47550938557993738</v>
      </c>
      <c r="BO1" s="12">
        <v>0.47550938557993738</v>
      </c>
      <c r="BP1" s="12">
        <f>BN1*0.1</f>
        <v>4.7550938557993742E-2</v>
      </c>
      <c r="BQ1" s="12">
        <v>0</v>
      </c>
      <c r="BR1" s="12">
        <v>0.54765869558890368</v>
      </c>
      <c r="BS1" s="12">
        <v>0.54765869558890368</v>
      </c>
      <c r="BT1" s="12">
        <f>BR1*0.1</f>
        <v>5.4765869558890373E-2</v>
      </c>
      <c r="BU1" s="12">
        <v>0</v>
      </c>
      <c r="BV1" s="12">
        <v>0.45816401755485903</v>
      </c>
      <c r="BW1" s="12">
        <v>0.45816401755485903</v>
      </c>
      <c r="BX1" s="12">
        <f>BV1*0.1</f>
        <v>4.5816401755485903E-2</v>
      </c>
      <c r="BY1" s="12">
        <v>0</v>
      </c>
      <c r="BZ1" s="12">
        <v>0.47550938557993738</v>
      </c>
      <c r="CA1" s="12">
        <v>0.47550938557993738</v>
      </c>
      <c r="CB1" s="12">
        <f>BZ1*0.1</f>
        <v>4.7550938557993742E-2</v>
      </c>
      <c r="CC1" s="12">
        <v>0</v>
      </c>
      <c r="CD1" s="12">
        <v>0.54765869558890368</v>
      </c>
      <c r="CE1" s="12">
        <v>0.54765869558890368</v>
      </c>
      <c r="CF1" s="12">
        <f>CD1*0.1</f>
        <v>5.4765869558890373E-2</v>
      </c>
      <c r="CG1" s="12">
        <v>0</v>
      </c>
      <c r="CH1" s="12">
        <v>0.45816401755485903</v>
      </c>
      <c r="CI1" s="12">
        <v>0.45816401755485903</v>
      </c>
      <c r="CJ1" s="12">
        <f>CH1*0.1</f>
        <v>4.5816401755485903E-2</v>
      </c>
      <c r="CK1" s="12">
        <v>0</v>
      </c>
      <c r="CL1" s="12">
        <v>0.47550938557993738</v>
      </c>
      <c r="CM1" s="12">
        <v>0.47550938557993738</v>
      </c>
      <c r="CN1" s="12">
        <f>CL1*0.1</f>
        <v>4.7550938557993742E-2</v>
      </c>
      <c r="CO1" s="12">
        <v>0</v>
      </c>
      <c r="CP1" s="12">
        <v>0.54765869558890368</v>
      </c>
      <c r="CQ1" s="12">
        <v>0.54765869558890368</v>
      </c>
      <c r="CR1" s="12">
        <f>CP1*0.1</f>
        <v>5.4765869558890373E-2</v>
      </c>
      <c r="CS1" s="12">
        <v>0</v>
      </c>
      <c r="CT1" s="12">
        <v>0.45816401755485903</v>
      </c>
      <c r="CU1" s="12">
        <v>0.45816401755485903</v>
      </c>
      <c r="CV1" s="12">
        <f>CT1*0.1</f>
        <v>4.5816401755485903E-2</v>
      </c>
      <c r="CW1" s="12">
        <v>0</v>
      </c>
      <c r="CX1" s="12">
        <v>0.47550938557993738</v>
      </c>
      <c r="CY1" s="12">
        <v>0.47550938557993738</v>
      </c>
      <c r="CZ1" s="12">
        <f>CX1*0.1</f>
        <v>4.7550938557993742E-2</v>
      </c>
      <c r="DA1" s="12">
        <v>0</v>
      </c>
      <c r="DB1" s="12">
        <v>0.54765869558890368</v>
      </c>
      <c r="DC1" s="12">
        <v>0.54765869558890368</v>
      </c>
      <c r="DD1" s="12">
        <f>DB1*0.1</f>
        <v>5.4765869558890373E-2</v>
      </c>
      <c r="DE1" s="12">
        <v>0</v>
      </c>
      <c r="DF1" s="12">
        <v>0.45816401755485903</v>
      </c>
      <c r="DG1" s="12">
        <v>0.45816401755485903</v>
      </c>
      <c r="DH1" s="12">
        <f>DF1*0.1</f>
        <v>4.5816401755485903E-2</v>
      </c>
      <c r="DI1" s="12">
        <v>0</v>
      </c>
    </row>
    <row r="2" spans="2:113" x14ac:dyDescent="0.25">
      <c r="BM2" t="s">
        <v>506</v>
      </c>
      <c r="BN2" s="12">
        <v>0.49405274999999998</v>
      </c>
      <c r="BO2" s="12">
        <v>0.49405274999999998</v>
      </c>
      <c r="BP2" s="12">
        <f>BN2*0.1</f>
        <v>4.9405274999999998E-2</v>
      </c>
      <c r="BQ2" s="12">
        <v>0.39586365000000012</v>
      </c>
      <c r="BR2" s="12">
        <v>0.57489774545454553</v>
      </c>
      <c r="BS2" s="12">
        <v>0.57489774545454553</v>
      </c>
      <c r="BT2" s="12">
        <f>BR2*0.1</f>
        <v>5.7489774545454557E-2</v>
      </c>
      <c r="BU2" s="12">
        <v>0.50939778461538465</v>
      </c>
      <c r="BV2" s="12">
        <v>0.29772235384615392</v>
      </c>
      <c r="BW2" s="12">
        <v>0.29772235384615392</v>
      </c>
      <c r="BX2" s="12">
        <f>BV2*0.1</f>
        <v>2.9772235384615393E-2</v>
      </c>
      <c r="BY2" s="12">
        <v>0.21762049090909091</v>
      </c>
      <c r="BZ2" s="12">
        <v>0.49405274999999998</v>
      </c>
      <c r="CA2" s="12">
        <v>0.49405274999999998</v>
      </c>
      <c r="CB2" s="12">
        <f>BZ2*0.1</f>
        <v>4.9405274999999998E-2</v>
      </c>
      <c r="CC2" s="12">
        <v>0.39586365000000012</v>
      </c>
      <c r="CD2" s="12">
        <v>0.57489774545454553</v>
      </c>
      <c r="CE2" s="12">
        <v>0.57489774545454553</v>
      </c>
      <c r="CF2" s="12">
        <f>CD2*0.1</f>
        <v>5.7489774545454557E-2</v>
      </c>
      <c r="CG2" s="12">
        <v>0.50939778461538465</v>
      </c>
      <c r="CH2" s="12">
        <v>0.29772235384615392</v>
      </c>
      <c r="CI2" s="12">
        <v>0.29772235384615392</v>
      </c>
      <c r="CJ2" s="12">
        <f>CH2*0.1</f>
        <v>2.9772235384615393E-2</v>
      </c>
      <c r="CK2" s="12">
        <v>0.21762049090909091</v>
      </c>
      <c r="CL2" s="12">
        <v>0.49405274999999998</v>
      </c>
      <c r="CM2" s="12">
        <v>0.49405274999999998</v>
      </c>
      <c r="CN2" s="12">
        <f>CL2*0.1</f>
        <v>4.9405274999999998E-2</v>
      </c>
      <c r="CO2" s="12">
        <v>0.39586365000000012</v>
      </c>
      <c r="CP2" s="12">
        <v>0.57489774545454553</v>
      </c>
      <c r="CQ2" s="12">
        <v>0.57489774545454553</v>
      </c>
      <c r="CR2" s="12">
        <f>CP2*0.1</f>
        <v>5.7489774545454557E-2</v>
      </c>
      <c r="CS2" s="12">
        <v>0.50939778461538465</v>
      </c>
      <c r="CT2" s="12">
        <v>0.29772235384615392</v>
      </c>
      <c r="CU2" s="12">
        <v>0.29772235384615392</v>
      </c>
      <c r="CV2" s="12">
        <f>CT2*0.1</f>
        <v>2.9772235384615393E-2</v>
      </c>
      <c r="CW2" s="12">
        <v>0.21762049090909091</v>
      </c>
      <c r="CX2" s="12">
        <v>0.49405274999999998</v>
      </c>
      <c r="CY2" s="12">
        <v>0.49405274999999998</v>
      </c>
      <c r="CZ2" s="12">
        <f>CX2*0.1</f>
        <v>4.9405274999999998E-2</v>
      </c>
      <c r="DA2" s="12">
        <v>0.39586365000000012</v>
      </c>
      <c r="DB2" s="12">
        <v>0.57489774545454553</v>
      </c>
      <c r="DC2" s="12">
        <v>0.57489774545454553</v>
      </c>
      <c r="DD2" s="12">
        <f>DB2*0.1</f>
        <v>5.7489774545454557E-2</v>
      </c>
      <c r="DE2" s="12">
        <v>0.50939778461538465</v>
      </c>
      <c r="DF2" s="12">
        <v>0.29772235384615392</v>
      </c>
      <c r="DG2" s="12">
        <v>0.29772235384615392</v>
      </c>
      <c r="DH2" s="12">
        <f>DF2*0.1</f>
        <v>2.9772235384615393E-2</v>
      </c>
      <c r="DI2" s="12">
        <v>0.21762049090909091</v>
      </c>
    </row>
    <row r="3" spans="2:113" x14ac:dyDescent="0.25">
      <c r="BM3" t="s">
        <v>507</v>
      </c>
      <c r="BN3" s="12">
        <v>8.2199999999999995E-2</v>
      </c>
      <c r="BO3" s="12">
        <v>9.5699999999999993E-2</v>
      </c>
      <c r="BP3" s="12">
        <v>0.1532</v>
      </c>
      <c r="BQ3" s="12">
        <v>3.2000000000000002E-3</v>
      </c>
      <c r="BR3" s="12">
        <v>8.1500000000000003E-2</v>
      </c>
      <c r="BS3" s="12">
        <v>0.1087</v>
      </c>
      <c r="BT3" s="12">
        <v>0.1381</v>
      </c>
      <c r="BU3" s="12">
        <v>3.2000000000000002E-3</v>
      </c>
      <c r="BV3" s="12">
        <v>9.7500000000000003E-2</v>
      </c>
      <c r="BW3" s="12">
        <v>0.1087</v>
      </c>
      <c r="BX3" s="12">
        <v>0.12529999999999999</v>
      </c>
      <c r="BY3" s="12">
        <v>2.7000000000000001E-3</v>
      </c>
      <c r="BZ3" s="12">
        <v>8.2199999999999995E-2</v>
      </c>
      <c r="CA3" s="12">
        <v>9.5699999999999993E-2</v>
      </c>
      <c r="CB3" s="12">
        <v>0.1532</v>
      </c>
      <c r="CC3" s="12">
        <v>3.2000000000000002E-3</v>
      </c>
      <c r="CD3" s="12">
        <v>8.1500000000000003E-2</v>
      </c>
      <c r="CE3" s="12">
        <v>0.1087</v>
      </c>
      <c r="CF3" s="12">
        <v>0.1381</v>
      </c>
      <c r="CG3" s="12">
        <v>3.2000000000000002E-3</v>
      </c>
      <c r="CH3" s="12">
        <v>9.7500000000000003E-2</v>
      </c>
      <c r="CI3" s="12">
        <v>0.1087</v>
      </c>
      <c r="CJ3" s="12">
        <v>0.12529999999999999</v>
      </c>
      <c r="CK3" s="12">
        <v>2.7000000000000001E-3</v>
      </c>
      <c r="CL3" s="12">
        <v>8.2199999999999995E-2</v>
      </c>
      <c r="CM3" s="12">
        <v>9.5699999999999993E-2</v>
      </c>
      <c r="CN3" s="12">
        <v>0.1532</v>
      </c>
      <c r="CO3" s="12">
        <v>3.2000000000000002E-3</v>
      </c>
      <c r="CP3" s="12">
        <v>8.1500000000000003E-2</v>
      </c>
      <c r="CQ3" s="12">
        <v>0.1087</v>
      </c>
      <c r="CR3" s="12">
        <v>0.1381</v>
      </c>
      <c r="CS3" s="12">
        <v>3.2000000000000002E-3</v>
      </c>
      <c r="CT3" s="12">
        <v>9.7500000000000003E-2</v>
      </c>
      <c r="CU3" s="12">
        <v>0.1087</v>
      </c>
      <c r="CV3" s="12">
        <v>0.12529999999999999</v>
      </c>
      <c r="CW3" s="12">
        <v>2.7000000000000001E-3</v>
      </c>
      <c r="CX3" s="12">
        <v>8.2199999999999995E-2</v>
      </c>
      <c r="CY3" s="12">
        <v>9.5699999999999993E-2</v>
      </c>
      <c r="CZ3" s="12">
        <v>0.1532</v>
      </c>
      <c r="DA3" s="12">
        <v>3.2000000000000002E-3</v>
      </c>
      <c r="DB3" s="12">
        <v>8.1500000000000003E-2</v>
      </c>
      <c r="DC3" s="12">
        <v>0.1087</v>
      </c>
      <c r="DD3" s="12">
        <v>0.1381</v>
      </c>
      <c r="DE3" s="12">
        <v>3.2000000000000002E-3</v>
      </c>
      <c r="DF3" s="12">
        <v>9.7500000000000003E-2</v>
      </c>
      <c r="DG3" s="12">
        <v>0.1087</v>
      </c>
      <c r="DH3" s="12">
        <v>0.12529999999999999</v>
      </c>
      <c r="DI3" s="12">
        <v>2.7000000000000001E-3</v>
      </c>
    </row>
    <row r="4" spans="2:113" x14ac:dyDescent="0.25">
      <c r="BN4">
        <v>8.2199999999999995E-2</v>
      </c>
      <c r="BO4">
        <v>9.5699999999999993E-2</v>
      </c>
      <c r="BP4">
        <v>0.1532</v>
      </c>
      <c r="BQ4">
        <v>3.2000000000000002E-3</v>
      </c>
      <c r="BR4">
        <v>8.1500000000000003E-2</v>
      </c>
      <c r="BS4">
        <v>0.1087</v>
      </c>
      <c r="BT4">
        <v>0.1381</v>
      </c>
      <c r="BU4">
        <v>3.2000000000000002E-3</v>
      </c>
      <c r="BV4">
        <v>9.7500000000000003E-2</v>
      </c>
      <c r="BW4">
        <v>0.1087</v>
      </c>
      <c r="BX4">
        <v>0.12529999999999999</v>
      </c>
      <c r="BY4">
        <v>2.7000000000000001E-3</v>
      </c>
      <c r="BZ4">
        <v>8.2199999999999995E-2</v>
      </c>
      <c r="CA4">
        <v>9.5699999999999993E-2</v>
      </c>
      <c r="CB4">
        <v>0.1532</v>
      </c>
      <c r="CC4">
        <v>3.2000000000000002E-3</v>
      </c>
      <c r="CD4">
        <v>8.1500000000000003E-2</v>
      </c>
      <c r="CE4">
        <v>0.1087</v>
      </c>
      <c r="CF4">
        <v>0.1381</v>
      </c>
      <c r="CG4">
        <v>3.2000000000000002E-3</v>
      </c>
      <c r="CH4">
        <v>9.7500000000000003E-2</v>
      </c>
      <c r="CI4">
        <v>0.1087</v>
      </c>
      <c r="CJ4">
        <v>0.12529999999999999</v>
      </c>
      <c r="CK4">
        <v>2.7000000000000001E-3</v>
      </c>
      <c r="CL4">
        <v>8.2199999999999995E-2</v>
      </c>
      <c r="CM4">
        <v>9.5699999999999993E-2</v>
      </c>
      <c r="CN4">
        <v>0.1532</v>
      </c>
      <c r="CO4">
        <v>3.2000000000000002E-3</v>
      </c>
      <c r="CP4">
        <v>8.1500000000000003E-2</v>
      </c>
      <c r="CQ4">
        <v>0.1087</v>
      </c>
      <c r="CR4">
        <v>0.1381</v>
      </c>
      <c r="CS4">
        <v>3.2000000000000002E-3</v>
      </c>
      <c r="CT4">
        <v>9.7500000000000003E-2</v>
      </c>
      <c r="CU4">
        <v>0.1087</v>
      </c>
      <c r="CV4">
        <v>0.12529999999999999</v>
      </c>
      <c r="CW4">
        <v>2.7000000000000001E-3</v>
      </c>
      <c r="CX4">
        <v>8.2199999999999995E-2</v>
      </c>
      <c r="CY4">
        <v>9.5699999999999993E-2</v>
      </c>
      <c r="CZ4">
        <v>0.1532</v>
      </c>
      <c r="DA4">
        <v>3.2000000000000002E-3</v>
      </c>
      <c r="DB4">
        <v>8.1500000000000003E-2</v>
      </c>
      <c r="DC4">
        <v>0.1087</v>
      </c>
      <c r="DD4">
        <v>0.1381</v>
      </c>
      <c r="DE4">
        <v>3.2000000000000002E-3</v>
      </c>
      <c r="DF4">
        <v>9.7500000000000003E-2</v>
      </c>
      <c r="DG4">
        <v>0.1087</v>
      </c>
      <c r="DH4">
        <v>0.12529999999999999</v>
      </c>
      <c r="DI4">
        <v>2.7000000000000001E-3</v>
      </c>
    </row>
    <row r="5" spans="2:113" x14ac:dyDescent="0.25">
      <c r="J5">
        <f>'City characteristics'!$C$20+1</f>
        <v>2020</v>
      </c>
      <c r="K5">
        <v>2025</v>
      </c>
      <c r="L5">
        <v>2030</v>
      </c>
      <c r="M5">
        <v>2035</v>
      </c>
      <c r="N5">
        <v>2040</v>
      </c>
      <c r="O5">
        <v>2045</v>
      </c>
      <c r="P5">
        <v>2050</v>
      </c>
      <c r="Q5">
        <v>2100</v>
      </c>
      <c r="R5">
        <f>'City characteristics'!$C$20+1</f>
        <v>2020</v>
      </c>
      <c r="S5">
        <v>2025</v>
      </c>
      <c r="T5">
        <v>2030</v>
      </c>
      <c r="U5">
        <v>2035</v>
      </c>
      <c r="V5">
        <v>2040</v>
      </c>
      <c r="W5">
        <v>2045</v>
      </c>
      <c r="X5">
        <v>2050</v>
      </c>
      <c r="Y5">
        <v>2100</v>
      </c>
      <c r="Z5">
        <f>'City characteristics'!$C$20+1</f>
        <v>2020</v>
      </c>
      <c r="AA5">
        <v>2025</v>
      </c>
      <c r="AB5">
        <v>2030</v>
      </c>
      <c r="AC5">
        <v>2035</v>
      </c>
      <c r="AD5">
        <v>2040</v>
      </c>
      <c r="AE5">
        <v>2045</v>
      </c>
      <c r="AF5">
        <v>2050</v>
      </c>
      <c r="AG5">
        <v>2100</v>
      </c>
      <c r="AH5">
        <f>'City characteristics'!$C$20+1</f>
        <v>2020</v>
      </c>
      <c r="AI5">
        <v>2025</v>
      </c>
      <c r="AJ5">
        <v>2030</v>
      </c>
      <c r="AK5">
        <v>2035</v>
      </c>
      <c r="AL5">
        <v>2040</v>
      </c>
      <c r="AM5">
        <v>2045</v>
      </c>
      <c r="AN5">
        <v>2050</v>
      </c>
      <c r="AO5">
        <v>2100</v>
      </c>
      <c r="AP5">
        <f>'City characteristics'!$C$20+1</f>
        <v>2020</v>
      </c>
      <c r="AQ5">
        <v>2025</v>
      </c>
      <c r="AR5">
        <v>2030</v>
      </c>
      <c r="AS5">
        <v>2035</v>
      </c>
      <c r="AT5">
        <v>2040</v>
      </c>
      <c r="AU5">
        <v>2045</v>
      </c>
      <c r="AV5">
        <v>2050</v>
      </c>
      <c r="AW5">
        <v>2100</v>
      </c>
      <c r="AX5">
        <f>'City characteristics'!$C$20+1</f>
        <v>2020</v>
      </c>
      <c r="AY5">
        <v>2025</v>
      </c>
      <c r="AZ5">
        <v>2030</v>
      </c>
      <c r="BA5">
        <v>2035</v>
      </c>
      <c r="BB5">
        <v>2040</v>
      </c>
      <c r="BC5">
        <v>2045</v>
      </c>
      <c r="BD5">
        <v>2050</v>
      </c>
      <c r="BE5">
        <v>2100</v>
      </c>
      <c r="BF5">
        <f>'City characteristics'!$C$20+1</f>
        <v>2020</v>
      </c>
      <c r="BG5">
        <v>2025</v>
      </c>
      <c r="BH5">
        <v>2030</v>
      </c>
      <c r="BI5">
        <v>2035</v>
      </c>
      <c r="BJ5">
        <v>2040</v>
      </c>
      <c r="BK5">
        <v>2045</v>
      </c>
      <c r="BL5">
        <v>2050</v>
      </c>
      <c r="BM5">
        <v>2100</v>
      </c>
      <c r="BN5" t="s">
        <v>508</v>
      </c>
      <c r="BO5" t="s">
        <v>509</v>
      </c>
      <c r="BP5" t="s">
        <v>510</v>
      </c>
      <c r="BQ5" t="s">
        <v>511</v>
      </c>
      <c r="BR5" t="s">
        <v>512</v>
      </c>
      <c r="BS5" t="s">
        <v>513</v>
      </c>
      <c r="BT5" t="s">
        <v>514</v>
      </c>
      <c r="BU5" t="s">
        <v>515</v>
      </c>
      <c r="BV5" t="s">
        <v>516</v>
      </c>
      <c r="BW5" t="s">
        <v>517</v>
      </c>
      <c r="BX5" t="s">
        <v>518</v>
      </c>
      <c r="BY5" t="s">
        <v>519</v>
      </c>
      <c r="BZ5" t="s">
        <v>508</v>
      </c>
      <c r="CA5" t="s">
        <v>509</v>
      </c>
      <c r="CB5" t="s">
        <v>510</v>
      </c>
      <c r="CC5" t="s">
        <v>511</v>
      </c>
      <c r="CD5" t="s">
        <v>512</v>
      </c>
      <c r="CE5" t="s">
        <v>513</v>
      </c>
      <c r="CF5" t="s">
        <v>514</v>
      </c>
      <c r="CG5" t="s">
        <v>515</v>
      </c>
      <c r="CH5" t="s">
        <v>516</v>
      </c>
      <c r="CI5" t="s">
        <v>517</v>
      </c>
      <c r="CJ5" t="s">
        <v>518</v>
      </c>
      <c r="CK5" t="s">
        <v>519</v>
      </c>
      <c r="CL5" t="s">
        <v>508</v>
      </c>
      <c r="CM5" t="s">
        <v>509</v>
      </c>
      <c r="CN5" t="s">
        <v>510</v>
      </c>
      <c r="CO5" t="s">
        <v>511</v>
      </c>
      <c r="CP5" t="s">
        <v>512</v>
      </c>
      <c r="CQ5" t="s">
        <v>513</v>
      </c>
      <c r="CR5" t="s">
        <v>514</v>
      </c>
      <c r="CS5" t="s">
        <v>515</v>
      </c>
      <c r="CT5" t="s">
        <v>516</v>
      </c>
      <c r="CU5" t="s">
        <v>517</v>
      </c>
      <c r="CV5" t="s">
        <v>518</v>
      </c>
      <c r="CW5" t="s">
        <v>519</v>
      </c>
      <c r="CX5" t="s">
        <v>508</v>
      </c>
      <c r="CY5" t="s">
        <v>509</v>
      </c>
      <c r="CZ5" t="s">
        <v>510</v>
      </c>
      <c r="DA5" t="s">
        <v>511</v>
      </c>
      <c r="DB5" t="s">
        <v>512</v>
      </c>
      <c r="DC5" t="s">
        <v>513</v>
      </c>
      <c r="DD5" t="s">
        <v>514</v>
      </c>
      <c r="DE5" t="s">
        <v>515</v>
      </c>
      <c r="DF5" t="s">
        <v>516</v>
      </c>
      <c r="DG5" t="s">
        <v>517</v>
      </c>
      <c r="DH5" t="s">
        <v>518</v>
      </c>
      <c r="DI5" t="s">
        <v>519</v>
      </c>
    </row>
    <row r="6" spans="2:113" x14ac:dyDescent="0.25">
      <c r="J6" t="s">
        <v>520</v>
      </c>
      <c r="K6" t="s">
        <v>520</v>
      </c>
      <c r="L6" t="s">
        <v>520</v>
      </c>
      <c r="M6" t="s">
        <v>520</v>
      </c>
      <c r="N6" t="s">
        <v>520</v>
      </c>
      <c r="O6" t="s">
        <v>520</v>
      </c>
      <c r="P6" t="s">
        <v>520</v>
      </c>
      <c r="Q6" t="s">
        <v>520</v>
      </c>
      <c r="R6" t="s">
        <v>521</v>
      </c>
      <c r="S6" t="s">
        <v>521</v>
      </c>
      <c r="T6" t="s">
        <v>521</v>
      </c>
      <c r="U6" t="s">
        <v>521</v>
      </c>
      <c r="V6" t="s">
        <v>521</v>
      </c>
      <c r="W6" t="s">
        <v>521</v>
      </c>
      <c r="X6" t="s">
        <v>521</v>
      </c>
      <c r="Y6" t="s">
        <v>521</v>
      </c>
      <c r="Z6" t="s">
        <v>522</v>
      </c>
      <c r="AA6" t="s">
        <v>522</v>
      </c>
      <c r="AB6" t="s">
        <v>522</v>
      </c>
      <c r="AC6" t="s">
        <v>522</v>
      </c>
      <c r="AD6" t="s">
        <v>522</v>
      </c>
      <c r="AE6" t="s">
        <v>522</v>
      </c>
      <c r="AF6" t="s">
        <v>522</v>
      </c>
      <c r="AG6" t="s">
        <v>522</v>
      </c>
      <c r="AH6" t="s">
        <v>523</v>
      </c>
      <c r="AI6" t="s">
        <v>523</v>
      </c>
      <c r="AJ6" t="s">
        <v>523</v>
      </c>
      <c r="AK6" t="s">
        <v>523</v>
      </c>
      <c r="AL6" t="s">
        <v>523</v>
      </c>
      <c r="AM6" t="s">
        <v>523</v>
      </c>
      <c r="AN6" t="s">
        <v>523</v>
      </c>
      <c r="AO6" t="s">
        <v>523</v>
      </c>
      <c r="AP6" t="s">
        <v>524</v>
      </c>
      <c r="AQ6" t="s">
        <v>524</v>
      </c>
      <c r="AR6" t="s">
        <v>524</v>
      </c>
      <c r="AS6" t="s">
        <v>524</v>
      </c>
      <c r="AT6" t="s">
        <v>524</v>
      </c>
      <c r="AU6" t="s">
        <v>524</v>
      </c>
      <c r="AV6" t="s">
        <v>524</v>
      </c>
      <c r="AW6" t="s">
        <v>524</v>
      </c>
      <c r="AX6" t="s">
        <v>525</v>
      </c>
      <c r="AY6" t="s">
        <v>525</v>
      </c>
      <c r="AZ6" t="s">
        <v>525</v>
      </c>
      <c r="BA6" t="s">
        <v>525</v>
      </c>
      <c r="BB6" t="s">
        <v>525</v>
      </c>
      <c r="BC6" t="s">
        <v>525</v>
      </c>
      <c r="BD6" t="s">
        <v>525</v>
      </c>
      <c r="BE6" t="s">
        <v>525</v>
      </c>
      <c r="BF6" t="s">
        <v>526</v>
      </c>
      <c r="BG6" t="s">
        <v>526</v>
      </c>
      <c r="BH6" t="s">
        <v>526</v>
      </c>
      <c r="BI6" t="s">
        <v>526</v>
      </c>
      <c r="BJ6" t="s">
        <v>526</v>
      </c>
      <c r="BK6" t="s">
        <v>526</v>
      </c>
      <c r="BL6" t="s">
        <v>526</v>
      </c>
      <c r="BM6" t="s">
        <v>526</v>
      </c>
      <c r="BN6" t="s">
        <v>527</v>
      </c>
      <c r="BO6" t="s">
        <v>527</v>
      </c>
      <c r="BP6" t="s">
        <v>527</v>
      </c>
      <c r="BQ6" t="s">
        <v>527</v>
      </c>
      <c r="BR6" t="s">
        <v>527</v>
      </c>
      <c r="BS6" t="s">
        <v>527</v>
      </c>
      <c r="BT6" t="s">
        <v>527</v>
      </c>
      <c r="BU6" t="s">
        <v>527</v>
      </c>
      <c r="BV6" t="s">
        <v>527</v>
      </c>
      <c r="BW6" t="s">
        <v>527</v>
      </c>
      <c r="BX6" t="s">
        <v>527</v>
      </c>
      <c r="BY6" t="s">
        <v>527</v>
      </c>
      <c r="BZ6" t="s">
        <v>527</v>
      </c>
      <c r="CA6" t="s">
        <v>527</v>
      </c>
      <c r="CB6" t="s">
        <v>527</v>
      </c>
      <c r="CC6" t="s">
        <v>527</v>
      </c>
      <c r="CD6" t="s">
        <v>527</v>
      </c>
      <c r="CE6" t="s">
        <v>527</v>
      </c>
      <c r="CF6" t="s">
        <v>527</v>
      </c>
      <c r="CG6" t="s">
        <v>527</v>
      </c>
      <c r="CH6" t="s">
        <v>527</v>
      </c>
      <c r="CI6" t="s">
        <v>527</v>
      </c>
      <c r="CJ6" t="s">
        <v>527</v>
      </c>
      <c r="CK6" t="s">
        <v>527</v>
      </c>
      <c r="CL6" t="s">
        <v>526</v>
      </c>
      <c r="CM6" t="s">
        <v>526</v>
      </c>
      <c r="CN6" t="s">
        <v>526</v>
      </c>
      <c r="CO6" t="s">
        <v>526</v>
      </c>
      <c r="CP6" t="s">
        <v>526</v>
      </c>
      <c r="CQ6" t="s">
        <v>526</v>
      </c>
      <c r="CR6" t="s">
        <v>526</v>
      </c>
      <c r="CS6" t="s">
        <v>526</v>
      </c>
      <c r="CT6" t="s">
        <v>526</v>
      </c>
      <c r="CU6" t="s">
        <v>526</v>
      </c>
      <c r="CV6" t="s">
        <v>526</v>
      </c>
      <c r="CW6" t="s">
        <v>526</v>
      </c>
      <c r="CX6" t="s">
        <v>526</v>
      </c>
      <c r="CY6" t="s">
        <v>526</v>
      </c>
      <c r="CZ6" t="s">
        <v>526</v>
      </c>
      <c r="DA6" t="s">
        <v>526</v>
      </c>
      <c r="DB6" t="s">
        <v>526</v>
      </c>
      <c r="DC6" t="s">
        <v>526</v>
      </c>
      <c r="DD6" t="s">
        <v>526</v>
      </c>
      <c r="DE6" t="s">
        <v>526</v>
      </c>
      <c r="DF6" t="s">
        <v>526</v>
      </c>
      <c r="DG6" t="s">
        <v>526</v>
      </c>
      <c r="DH6" t="s">
        <v>526</v>
      </c>
      <c r="DI6" t="s">
        <v>526</v>
      </c>
    </row>
    <row r="8" spans="2:113" x14ac:dyDescent="0.25">
      <c r="D8" s="9" t="s">
        <v>528</v>
      </c>
      <c r="E8" s="9"/>
    </row>
    <row r="9" spans="2:113" x14ac:dyDescent="0.25">
      <c r="B9" s="10" t="s">
        <v>471</v>
      </c>
      <c r="C9" s="10" t="s">
        <v>529</v>
      </c>
      <c r="D9" s="10" t="s">
        <v>530</v>
      </c>
      <c r="E9" s="10" t="s">
        <v>531</v>
      </c>
      <c r="F9" s="10" t="s">
        <v>532</v>
      </c>
      <c r="G9" s="10" t="s">
        <v>533</v>
      </c>
      <c r="H9" s="10" t="s">
        <v>534</v>
      </c>
      <c r="I9" s="10" t="s">
        <v>535</v>
      </c>
      <c r="J9" s="10" t="str">
        <f t="shared" ref="J9:AO9" si="0">J6&amp;"~"&amp;J5</f>
        <v>EFF~2020</v>
      </c>
      <c r="K9" s="10" t="str">
        <f t="shared" si="0"/>
        <v>EFF~2025</v>
      </c>
      <c r="L9" s="10" t="str">
        <f t="shared" si="0"/>
        <v>EFF~2030</v>
      </c>
      <c r="M9" s="10" t="str">
        <f t="shared" si="0"/>
        <v>EFF~2035</v>
      </c>
      <c r="N9" s="10" t="str">
        <f t="shared" si="0"/>
        <v>EFF~2040</v>
      </c>
      <c r="O9" s="10" t="str">
        <f t="shared" si="0"/>
        <v>EFF~2045</v>
      </c>
      <c r="P9" s="10" t="str">
        <f t="shared" si="0"/>
        <v>EFF~2050</v>
      </c>
      <c r="Q9" s="10" t="str">
        <f t="shared" si="0"/>
        <v>EFF~2100</v>
      </c>
      <c r="R9" s="10" t="str">
        <f t="shared" si="0"/>
        <v>STG_EFF~2020</v>
      </c>
      <c r="S9" s="10" t="str">
        <f t="shared" si="0"/>
        <v>STG_EFF~2025</v>
      </c>
      <c r="T9" s="10" t="str">
        <f t="shared" si="0"/>
        <v>STG_EFF~2030</v>
      </c>
      <c r="U9" s="10" t="str">
        <f t="shared" si="0"/>
        <v>STG_EFF~2035</v>
      </c>
      <c r="V9" s="10" t="str">
        <f t="shared" si="0"/>
        <v>STG_EFF~2040</v>
      </c>
      <c r="W9" s="10" t="str">
        <f t="shared" si="0"/>
        <v>STG_EFF~2045</v>
      </c>
      <c r="X9" s="10" t="str">
        <f t="shared" si="0"/>
        <v>STG_EFF~2050</v>
      </c>
      <c r="Y9" s="10" t="str">
        <f t="shared" si="0"/>
        <v>STG_EFF~2100</v>
      </c>
      <c r="Z9" s="10" t="str">
        <f t="shared" si="0"/>
        <v>NCAP_COST~2020</v>
      </c>
      <c r="AA9" s="10" t="str">
        <f t="shared" si="0"/>
        <v>NCAP_COST~2025</v>
      </c>
      <c r="AB9" s="10" t="str">
        <f t="shared" si="0"/>
        <v>NCAP_COST~2030</v>
      </c>
      <c r="AC9" s="10" t="str">
        <f t="shared" si="0"/>
        <v>NCAP_COST~2035</v>
      </c>
      <c r="AD9" s="10" t="str">
        <f t="shared" si="0"/>
        <v>NCAP_COST~2040</v>
      </c>
      <c r="AE9" s="10" t="str">
        <f t="shared" si="0"/>
        <v>NCAP_COST~2045</v>
      </c>
      <c r="AF9" s="10" t="str">
        <f t="shared" si="0"/>
        <v>NCAP_COST~2050</v>
      </c>
      <c r="AG9" s="10" t="str">
        <f t="shared" si="0"/>
        <v>NCAP_COST~2100</v>
      </c>
      <c r="AH9" s="10" t="str">
        <f t="shared" si="0"/>
        <v>NCAP_FOM~2020</v>
      </c>
      <c r="AI9" s="10" t="str">
        <f t="shared" si="0"/>
        <v>NCAP_FOM~2025</v>
      </c>
      <c r="AJ9" s="10" t="str">
        <f t="shared" si="0"/>
        <v>NCAP_FOM~2030</v>
      </c>
      <c r="AK9" s="10" t="str">
        <f t="shared" si="0"/>
        <v>NCAP_FOM~2035</v>
      </c>
      <c r="AL9" s="10" t="str">
        <f t="shared" si="0"/>
        <v>NCAP_FOM~2040</v>
      </c>
      <c r="AM9" s="10" t="str">
        <f t="shared" si="0"/>
        <v>NCAP_FOM~2045</v>
      </c>
      <c r="AN9" s="10" t="str">
        <f t="shared" si="0"/>
        <v>NCAP_FOM~2050</v>
      </c>
      <c r="AO9" s="10" t="str">
        <f t="shared" si="0"/>
        <v>NCAP_FOM~2100</v>
      </c>
      <c r="AP9" s="10" t="str">
        <f t="shared" ref="AP9:BM9" si="1">AP6&amp;"~"&amp;AP5</f>
        <v>ACT_COST~2020</v>
      </c>
      <c r="AQ9" s="10" t="str">
        <f t="shared" si="1"/>
        <v>ACT_COST~2025</v>
      </c>
      <c r="AR9" s="10" t="str">
        <f t="shared" si="1"/>
        <v>ACT_COST~2030</v>
      </c>
      <c r="AS9" s="10" t="str">
        <f t="shared" si="1"/>
        <v>ACT_COST~2035</v>
      </c>
      <c r="AT9" s="10" t="str">
        <f t="shared" si="1"/>
        <v>ACT_COST~2040</v>
      </c>
      <c r="AU9" s="10" t="str">
        <f t="shared" si="1"/>
        <v>ACT_COST~2045</v>
      </c>
      <c r="AV9" s="10" t="str">
        <f t="shared" si="1"/>
        <v>ACT_COST~2050</v>
      </c>
      <c r="AW9" s="10" t="str">
        <f t="shared" si="1"/>
        <v>ACT_COST~2100</v>
      </c>
      <c r="AX9" s="10" t="str">
        <f t="shared" si="1"/>
        <v>NCAP_AFA~2020</v>
      </c>
      <c r="AY9" s="10" t="str">
        <f t="shared" si="1"/>
        <v>NCAP_AFA~2025</v>
      </c>
      <c r="AZ9" s="10" t="str">
        <f t="shared" si="1"/>
        <v>NCAP_AFA~2030</v>
      </c>
      <c r="BA9" s="10" t="str">
        <f t="shared" si="1"/>
        <v>NCAP_AFA~2035</v>
      </c>
      <c r="BB9" s="10" t="str">
        <f t="shared" si="1"/>
        <v>NCAP_AFA~2040</v>
      </c>
      <c r="BC9" s="10" t="str">
        <f t="shared" si="1"/>
        <v>NCAP_AFA~2045</v>
      </c>
      <c r="BD9" s="10" t="str">
        <f t="shared" si="1"/>
        <v>NCAP_AFA~2050</v>
      </c>
      <c r="BE9" s="10" t="str">
        <f t="shared" si="1"/>
        <v>NCAP_AFA~2100</v>
      </c>
      <c r="BF9" s="10" t="str">
        <f t="shared" si="1"/>
        <v>NCAP_AFC~2020</v>
      </c>
      <c r="BG9" s="10" t="str">
        <f t="shared" si="1"/>
        <v>NCAP_AFC~2025</v>
      </c>
      <c r="BH9" s="10" t="str">
        <f t="shared" si="1"/>
        <v>NCAP_AFC~2030</v>
      </c>
      <c r="BI9" s="10" t="str">
        <f t="shared" si="1"/>
        <v>NCAP_AFC~2035</v>
      </c>
      <c r="BJ9" s="10" t="str">
        <f t="shared" si="1"/>
        <v>NCAP_AFC~2040</v>
      </c>
      <c r="BK9" s="10" t="str">
        <f t="shared" si="1"/>
        <v>NCAP_AFC~2045</v>
      </c>
      <c r="BL9" s="10" t="str">
        <f t="shared" si="1"/>
        <v>NCAP_AFC~2050</v>
      </c>
      <c r="BM9" s="10" t="str">
        <f t="shared" si="1"/>
        <v>NCAP_AFC~2100</v>
      </c>
      <c r="BN9" s="10" t="str">
        <f>BN6&amp;"~"&amp;BN5&amp;"~"&amp;ResidELC!$AX$5</f>
        <v>NCAP_AF~IDAM~2020</v>
      </c>
      <c r="BO9" s="10" t="str">
        <f>BO6&amp;"~"&amp;BO5&amp;"~"&amp;ResidELC!$AX$5</f>
        <v>NCAP_AF~IDPM~2020</v>
      </c>
      <c r="BP9" s="10" t="str">
        <f>BP6&amp;"~"&amp;BP5&amp;"~"&amp;ResidELC!$AX$5</f>
        <v>NCAP_AF~IP~2020</v>
      </c>
      <c r="BQ9" s="10" t="str">
        <f>BQ6&amp;"~"&amp;BQ5&amp;"~"&amp;ResidELC!$AX$5</f>
        <v>NCAP_AF~IN~2020</v>
      </c>
      <c r="BR9" s="10" t="str">
        <f>BR6&amp;"~"&amp;BR5&amp;"~"&amp;ResidELC!$AX$5</f>
        <v>NCAP_AF~WDAM~2020</v>
      </c>
      <c r="BS9" s="10" t="str">
        <f>BS6&amp;"~"&amp;BS5&amp;"~"&amp;ResidELC!$AX$5</f>
        <v>NCAP_AF~WDPM~2020</v>
      </c>
      <c r="BT9" s="10" t="str">
        <f>BT6&amp;"~"&amp;BT5&amp;"~"&amp;ResidELC!$AX$5</f>
        <v>NCAP_AF~WP~2020</v>
      </c>
      <c r="BU9" s="10" t="str">
        <f>BU6&amp;"~"&amp;BU5&amp;"~"&amp;ResidELC!$AX$5</f>
        <v>NCAP_AF~WN~2020</v>
      </c>
      <c r="BV9" s="10" t="str">
        <f>BV6&amp;"~"&amp;BV5&amp;"~"&amp;ResidELC!$AX$5</f>
        <v>NCAP_AF~SDAM~2020</v>
      </c>
      <c r="BW9" s="10" t="str">
        <f>BW6&amp;"~"&amp;BW5&amp;"~"&amp;ResidELC!$AX$5</f>
        <v>NCAP_AF~SDPM~2020</v>
      </c>
      <c r="BX9" s="10" t="str">
        <f>BX6&amp;"~"&amp;BX5&amp;"~"&amp;ResidELC!$AX$5</f>
        <v>NCAP_AF~SP~2020</v>
      </c>
      <c r="BY9" s="10" t="str">
        <f>BY6&amp;"~"&amp;BY5&amp;"~"&amp;ResidELC!$AX$5</f>
        <v>NCAP_AF~SN~2020</v>
      </c>
      <c r="BZ9" s="10" t="str">
        <f t="shared" ref="BZ9:CK9" si="2">BZ6&amp;"~"&amp;BZ5&amp;"~"&amp;$BD$5</f>
        <v>NCAP_AF~IDAM~2050</v>
      </c>
      <c r="CA9" s="10" t="str">
        <f t="shared" si="2"/>
        <v>NCAP_AF~IDPM~2050</v>
      </c>
      <c r="CB9" s="10" t="str">
        <f t="shared" si="2"/>
        <v>NCAP_AF~IP~2050</v>
      </c>
      <c r="CC9" s="10" t="str">
        <f t="shared" si="2"/>
        <v>NCAP_AF~IN~2050</v>
      </c>
      <c r="CD9" s="10" t="str">
        <f t="shared" si="2"/>
        <v>NCAP_AF~WDAM~2050</v>
      </c>
      <c r="CE9" s="10" t="str">
        <f t="shared" si="2"/>
        <v>NCAP_AF~WDPM~2050</v>
      </c>
      <c r="CF9" s="10" t="str">
        <f t="shared" si="2"/>
        <v>NCAP_AF~WP~2050</v>
      </c>
      <c r="CG9" s="10" t="str">
        <f t="shared" si="2"/>
        <v>NCAP_AF~WN~2050</v>
      </c>
      <c r="CH9" s="10" t="str">
        <f t="shared" si="2"/>
        <v>NCAP_AF~SDAM~2050</v>
      </c>
      <c r="CI9" s="10" t="str">
        <f t="shared" si="2"/>
        <v>NCAP_AF~SDPM~2050</v>
      </c>
      <c r="CJ9" s="10" t="str">
        <f t="shared" si="2"/>
        <v>NCAP_AF~SP~2050</v>
      </c>
      <c r="CK9" s="10" t="str">
        <f t="shared" si="2"/>
        <v>NCAP_AF~SN~2050</v>
      </c>
      <c r="CL9" s="10" t="str">
        <f>CL6&amp;"~"&amp;CL5&amp;"~"&amp;ResidELC!$AX$5</f>
        <v>NCAP_AFC~IDAM~2020</v>
      </c>
      <c r="CM9" s="10" t="str">
        <f>CM6&amp;"~"&amp;CM5&amp;"~"&amp;ResidELC!$AX$5</f>
        <v>NCAP_AFC~IDPM~2020</v>
      </c>
      <c r="CN9" s="10" t="str">
        <f>CN6&amp;"~"&amp;CN5&amp;"~"&amp;ResidELC!$AX$5</f>
        <v>NCAP_AFC~IP~2020</v>
      </c>
      <c r="CO9" s="10" t="str">
        <f>CO6&amp;"~"&amp;CO5&amp;"~"&amp;ResidELC!$AX$5</f>
        <v>NCAP_AFC~IN~2020</v>
      </c>
      <c r="CP9" s="10" t="str">
        <f>CP6&amp;"~"&amp;CP5&amp;"~"&amp;ResidELC!$AX$5</f>
        <v>NCAP_AFC~WDAM~2020</v>
      </c>
      <c r="CQ9" s="10" t="str">
        <f>CQ6&amp;"~"&amp;CQ5&amp;"~"&amp;ResidELC!$AX$5</f>
        <v>NCAP_AFC~WDPM~2020</v>
      </c>
      <c r="CR9" s="10" t="str">
        <f>CR6&amp;"~"&amp;CR5&amp;"~"&amp;ResidELC!$AX$5</f>
        <v>NCAP_AFC~WP~2020</v>
      </c>
      <c r="CS9" s="10" t="str">
        <f>CS6&amp;"~"&amp;CS5&amp;"~"&amp;ResidELC!$AX$5</f>
        <v>NCAP_AFC~WN~2020</v>
      </c>
      <c r="CT9" s="10" t="str">
        <f>CT6&amp;"~"&amp;CT5&amp;"~"&amp;ResidELC!$AX$5</f>
        <v>NCAP_AFC~SDAM~2020</v>
      </c>
      <c r="CU9" s="10" t="str">
        <f>CU6&amp;"~"&amp;CU5&amp;"~"&amp;ResidELC!$AX$5</f>
        <v>NCAP_AFC~SDPM~2020</v>
      </c>
      <c r="CV9" s="10" t="str">
        <f>CV6&amp;"~"&amp;CV5&amp;"~"&amp;ResidELC!$AX$5</f>
        <v>NCAP_AFC~SP~2020</v>
      </c>
      <c r="CW9" s="10" t="str">
        <f>CW6&amp;"~"&amp;CW5&amp;"~"&amp;ResidELC!$AX$5</f>
        <v>NCAP_AFC~SN~2020</v>
      </c>
      <c r="CX9" s="10" t="str">
        <f t="shared" ref="CX9:DI9" si="3">CX6&amp;"~"&amp;CX5&amp;"~"&amp;$BD$5</f>
        <v>NCAP_AFC~IDAM~2050</v>
      </c>
      <c r="CY9" s="10" t="str">
        <f t="shared" si="3"/>
        <v>NCAP_AFC~IDPM~2050</v>
      </c>
      <c r="CZ9" s="10" t="str">
        <f t="shared" si="3"/>
        <v>NCAP_AFC~IP~2050</v>
      </c>
      <c r="DA9" s="10" t="str">
        <f t="shared" si="3"/>
        <v>NCAP_AFC~IN~2050</v>
      </c>
      <c r="DB9" s="10" t="str">
        <f t="shared" si="3"/>
        <v>NCAP_AFC~WDAM~2050</v>
      </c>
      <c r="DC9" s="10" t="str">
        <f t="shared" si="3"/>
        <v>NCAP_AFC~WDPM~2050</v>
      </c>
      <c r="DD9" s="10" t="str">
        <f t="shared" si="3"/>
        <v>NCAP_AFC~WP~2050</v>
      </c>
      <c r="DE9" s="10" t="str">
        <f t="shared" si="3"/>
        <v>NCAP_AFC~WN~2050</v>
      </c>
      <c r="DF9" s="10" t="str">
        <f t="shared" si="3"/>
        <v>NCAP_AFC~SDAM~2050</v>
      </c>
      <c r="DG9" s="10" t="str">
        <f t="shared" si="3"/>
        <v>NCAP_AFC~SDPM~2050</v>
      </c>
      <c r="DH9" s="10" t="str">
        <f t="shared" si="3"/>
        <v>NCAP_AFC~SP~2050</v>
      </c>
      <c r="DI9" s="10" t="str">
        <f t="shared" si="3"/>
        <v>NCAP_AFC~SN~2050</v>
      </c>
    </row>
    <row r="10" spans="2:113" ht="15" customHeight="1" thickBot="1" x14ac:dyDescent="0.3">
      <c r="B10" s="11" t="s">
        <v>536</v>
      </c>
      <c r="C10" s="11"/>
      <c r="D10" s="11"/>
      <c r="E10" s="11"/>
      <c r="F10" s="11" t="s">
        <v>537</v>
      </c>
      <c r="G10" s="11" t="s">
        <v>538</v>
      </c>
      <c r="H10" s="11" t="s">
        <v>539</v>
      </c>
      <c r="I10" s="11" t="s">
        <v>487</v>
      </c>
      <c r="J10" s="11" t="s">
        <v>540</v>
      </c>
      <c r="K10" s="11" t="s">
        <v>540</v>
      </c>
      <c r="L10" s="11" t="s">
        <v>540</v>
      </c>
      <c r="M10" s="11" t="s">
        <v>540</v>
      </c>
      <c r="N10" s="11" t="s">
        <v>540</v>
      </c>
      <c r="O10" s="11" t="s">
        <v>540</v>
      </c>
      <c r="P10" s="11" t="s">
        <v>540</v>
      </c>
      <c r="Q10" s="11" t="s">
        <v>540</v>
      </c>
      <c r="R10" s="11" t="s">
        <v>540</v>
      </c>
      <c r="S10" s="11" t="s">
        <v>540</v>
      </c>
      <c r="T10" s="11" t="s">
        <v>540</v>
      </c>
      <c r="U10" s="11" t="s">
        <v>540</v>
      </c>
      <c r="V10" s="11" t="s">
        <v>540</v>
      </c>
      <c r="W10" s="11" t="s">
        <v>540</v>
      </c>
      <c r="X10" s="11" t="s">
        <v>540</v>
      </c>
      <c r="Y10" s="11" t="s">
        <v>540</v>
      </c>
      <c r="Z10" s="11" t="s">
        <v>541</v>
      </c>
      <c r="AA10" s="11" t="s">
        <v>541</v>
      </c>
      <c r="AB10" s="11" t="s">
        <v>541</v>
      </c>
      <c r="AC10" s="11" t="s">
        <v>541</v>
      </c>
      <c r="AD10" s="11" t="s">
        <v>541</v>
      </c>
      <c r="AE10" s="11" t="s">
        <v>541</v>
      </c>
      <c r="AF10" s="11" t="s">
        <v>541</v>
      </c>
      <c r="AG10" s="11" t="s">
        <v>541</v>
      </c>
      <c r="AH10" s="11" t="s">
        <v>542</v>
      </c>
      <c r="AI10" s="11" t="s">
        <v>542</v>
      </c>
      <c r="AJ10" s="11" t="s">
        <v>542</v>
      </c>
      <c r="AK10" s="11" t="s">
        <v>542</v>
      </c>
      <c r="AL10" s="11" t="s">
        <v>542</v>
      </c>
      <c r="AM10" s="11" t="s">
        <v>542</v>
      </c>
      <c r="AN10" s="11" t="s">
        <v>542</v>
      </c>
      <c r="AO10" s="11" t="s">
        <v>542</v>
      </c>
      <c r="AP10" s="11" t="s">
        <v>543</v>
      </c>
      <c r="AQ10" s="11" t="s">
        <v>543</v>
      </c>
      <c r="AR10" s="11" t="s">
        <v>543</v>
      </c>
      <c r="AS10" s="11" t="s">
        <v>543</v>
      </c>
      <c r="AT10" s="11" t="s">
        <v>543</v>
      </c>
      <c r="AU10" s="11" t="s">
        <v>543</v>
      </c>
      <c r="AV10" s="11" t="s">
        <v>543</v>
      </c>
      <c r="AW10" s="11" t="s">
        <v>543</v>
      </c>
      <c r="AX10" s="11" t="s">
        <v>539</v>
      </c>
      <c r="AY10" s="11" t="s">
        <v>539</v>
      </c>
      <c r="AZ10" s="11" t="s">
        <v>539</v>
      </c>
      <c r="BA10" s="11" t="s">
        <v>539</v>
      </c>
      <c r="BB10" s="11" t="s">
        <v>539</v>
      </c>
      <c r="BC10" s="11" t="s">
        <v>539</v>
      </c>
      <c r="BD10" s="11" t="s">
        <v>539</v>
      </c>
      <c r="BE10" s="11" t="s">
        <v>539</v>
      </c>
      <c r="BF10" s="11" t="s">
        <v>539</v>
      </c>
      <c r="BG10" s="11" t="s">
        <v>539</v>
      </c>
      <c r="BH10" s="11" t="s">
        <v>539</v>
      </c>
      <c r="BI10" s="11" t="s">
        <v>539</v>
      </c>
      <c r="BJ10" s="11" t="s">
        <v>539</v>
      </c>
      <c r="BK10" s="11" t="s">
        <v>539</v>
      </c>
      <c r="BL10" s="11" t="s">
        <v>539</v>
      </c>
      <c r="BM10" s="11" t="s">
        <v>539</v>
      </c>
      <c r="BN10" s="11" t="s">
        <v>539</v>
      </c>
      <c r="BO10" s="11" t="s">
        <v>539</v>
      </c>
      <c r="BP10" s="11" t="s">
        <v>539</v>
      </c>
      <c r="BQ10" s="11" t="s">
        <v>539</v>
      </c>
      <c r="BR10" s="11" t="s">
        <v>539</v>
      </c>
      <c r="BS10" s="11" t="s">
        <v>539</v>
      </c>
      <c r="BT10" s="11" t="s">
        <v>539</v>
      </c>
      <c r="BU10" s="11" t="s">
        <v>539</v>
      </c>
      <c r="BV10" s="11" t="s">
        <v>539</v>
      </c>
      <c r="BW10" s="11" t="s">
        <v>539</v>
      </c>
      <c r="BX10" s="11" t="s">
        <v>539</v>
      </c>
      <c r="BY10" s="11" t="s">
        <v>539</v>
      </c>
      <c r="BZ10" s="11" t="s">
        <v>539</v>
      </c>
      <c r="CA10" s="11" t="s">
        <v>539</v>
      </c>
      <c r="CB10" s="11" t="s">
        <v>539</v>
      </c>
      <c r="CC10" s="11" t="s">
        <v>539</v>
      </c>
      <c r="CD10" s="11" t="s">
        <v>539</v>
      </c>
      <c r="CE10" s="11" t="s">
        <v>539</v>
      </c>
      <c r="CF10" s="11" t="s">
        <v>539</v>
      </c>
      <c r="CG10" s="11" t="s">
        <v>539</v>
      </c>
      <c r="CH10" s="11" t="s">
        <v>539</v>
      </c>
      <c r="CI10" s="11" t="s">
        <v>539</v>
      </c>
      <c r="CJ10" s="11" t="s">
        <v>539</v>
      </c>
      <c r="CK10" s="11" t="s">
        <v>539</v>
      </c>
      <c r="CL10" s="11" t="s">
        <v>539</v>
      </c>
      <c r="CM10" s="11" t="s">
        <v>539</v>
      </c>
      <c r="CN10" s="11" t="s">
        <v>539</v>
      </c>
      <c r="CO10" s="11" t="s">
        <v>539</v>
      </c>
      <c r="CP10" s="11" t="s">
        <v>539</v>
      </c>
      <c r="CQ10" s="11" t="s">
        <v>539</v>
      </c>
      <c r="CR10" s="11" t="s">
        <v>539</v>
      </c>
      <c r="CS10" s="11" t="s">
        <v>539</v>
      </c>
      <c r="CT10" s="11" t="s">
        <v>539</v>
      </c>
      <c r="CU10" s="11" t="s">
        <v>539</v>
      </c>
      <c r="CV10" s="11" t="s">
        <v>539</v>
      </c>
      <c r="CW10" s="11" t="s">
        <v>539</v>
      </c>
      <c r="CX10" s="11" t="s">
        <v>539</v>
      </c>
      <c r="CY10" s="11" t="s">
        <v>539</v>
      </c>
      <c r="CZ10" s="11" t="s">
        <v>539</v>
      </c>
      <c r="DA10" s="11" t="s">
        <v>539</v>
      </c>
      <c r="DB10" s="11" t="s">
        <v>539</v>
      </c>
      <c r="DC10" s="11" t="s">
        <v>539</v>
      </c>
      <c r="DD10" s="11" t="s">
        <v>539</v>
      </c>
      <c r="DE10" s="11" t="s">
        <v>539</v>
      </c>
      <c r="DF10" s="11" t="s">
        <v>539</v>
      </c>
      <c r="DG10" s="11" t="s">
        <v>539</v>
      </c>
      <c r="DH10" s="11" t="s">
        <v>539</v>
      </c>
      <c r="DI10" s="11" t="s">
        <v>539</v>
      </c>
    </row>
    <row r="11" spans="2:113" x14ac:dyDescent="0.25">
      <c r="B11" t="str">
        <f>IF('ELC TECH'!I4=0,"*",'ELC TECH'!H4)</f>
        <v>ELCHYDGRDHNSDC120</v>
      </c>
      <c r="C11" t="str">
        <f>IF(_xlfn.XLOOKUP(_xlfn.XLOOKUP(B11,'ELC TECH'!$H:$H,'ELC TECH'!$G:$G),List!C:C,List!B:B)="STG",D11,"ELC"&amp;_xlfn.XLOOKUP(_xlfn.XLOOKUP(B11,'ELC TECH'!H:H,'ELC TECH'!G:G),List!C:C,List!B:B))</f>
        <v>ELCHYD</v>
      </c>
      <c r="D11" t="s">
        <v>544</v>
      </c>
      <c r="E11">
        <f>_xlfn.XLOOKUP(B11,'ELC TECH'!H:H,'ELC TECH'!D:D)</f>
        <v>2020</v>
      </c>
      <c r="F11">
        <f>_xlfn.XLOOKUP(B11,'ELC TECH'!H:H,'ELC TECH'!K:K)</f>
        <v>100</v>
      </c>
      <c r="G11">
        <f t="shared" ref="G11:G42" si="4">8760*0.0036</f>
        <v>31.535999999999998</v>
      </c>
      <c r="H11">
        <f>IF(_xlfn.XLOOKUP(B11,'ELC TECH'!$H:$H,'ELC TECH'!$E:$E)="Storage",0.3,IF(_xlfn.XLOOKUP(B11,'ELC TECH'!$H:$H,'ELC TECH'!$E:$E)="Baseload",0.9,IF(_xlfn.XLOOKUP(B11,'ELC TECH'!$H:$H,'ELC TECH'!$E:$E)="Non Dispatchable",0.05,IF(_xlfn.XLOOKUP(B11,'ELC TECH'!$H:$H,'ELC TECH'!$E:$E)="Dispatchable",0.9,1))))</f>
        <v>0.9</v>
      </c>
      <c r="I11" s="13">
        <f>IF(_xlfn.XLOOKUP(B11,'ELC TECH'!H:H,'ELC TECH'!J:J)="","",_xlfn.XLOOKUP(B11,'ELC TECH'!H:H,'ELC TECH'!J:J))</f>
        <v>0</v>
      </c>
      <c r="J11" s="12">
        <f>IF(_xlfn.XLOOKUP($B11,'ELC TECH'!$H:$H,'ELC TECH'!$E:$E)="Storage","",IF(_xlfn.XLOOKUP($B11,'ELC TECH'!$H:$H,'ELC TECH'!AK:AK)="",1,_xlfn.XLOOKUP($B11,'ELC TECH'!$H:$H,'ELC TECH'!AK:AK)))</f>
        <v>1</v>
      </c>
      <c r="K11" s="12">
        <f>IF(_xlfn.XLOOKUP($B11,'ELC TECH'!$H:$H,'ELC TECH'!$E:$E)="Storage","",IF(_xlfn.XLOOKUP($B11,'ELC TECH'!$H:$H,'ELC TECH'!AL:AL)="",1,_xlfn.XLOOKUP($B11,'ELC TECH'!$H:$H,'ELC TECH'!AL:AL)))</f>
        <v>1</v>
      </c>
      <c r="L11" s="12">
        <f>IF(_xlfn.XLOOKUP($B11,'ELC TECH'!$H:$H,'ELC TECH'!$E:$E)="Storage","",IF(_xlfn.XLOOKUP($B11,'ELC TECH'!$H:$H,'ELC TECH'!AM:AM)="",1,_xlfn.XLOOKUP($B11,'ELC TECH'!$H:$H,'ELC TECH'!AM:AM)))</f>
        <v>1</v>
      </c>
      <c r="M11" s="12">
        <f>IF(_xlfn.XLOOKUP($B11,'ELC TECH'!$H:$H,'ELC TECH'!$E:$E)="Storage","",IF(_xlfn.XLOOKUP($B11,'ELC TECH'!$H:$H,'ELC TECH'!AN:AN)="",1,_xlfn.XLOOKUP($B11,'ELC TECH'!$H:$H,'ELC TECH'!AN:AN)))</f>
        <v>1</v>
      </c>
      <c r="N11" s="12">
        <f>IF(_xlfn.XLOOKUP($B11,'ELC TECH'!$H:$H,'ELC TECH'!$E:$E)="Storage","",IF(_xlfn.XLOOKUP($B11,'ELC TECH'!$H:$H,'ELC TECH'!AO:AO)="",1,_xlfn.XLOOKUP($B11,'ELC TECH'!$H:$H,'ELC TECH'!AO:AO)))</f>
        <v>1</v>
      </c>
      <c r="O11" s="12">
        <f>IF(_xlfn.XLOOKUP($B11,'ELC TECH'!$H:$H,'ELC TECH'!$E:$E)="Storage","",IF(_xlfn.XLOOKUP($B11,'ELC TECH'!$H:$H,'ELC TECH'!AP:AP)="",1,_xlfn.XLOOKUP($B11,'ELC TECH'!$H:$H,'ELC TECH'!AP:AP)))</f>
        <v>1</v>
      </c>
      <c r="P11" s="12">
        <f>IF(_xlfn.XLOOKUP($B11,'ELC TECH'!$H:$H,'ELC TECH'!$E:$E)="Storage","",IF(_xlfn.XLOOKUP($B11,'ELC TECH'!$H:$H,'ELC TECH'!AQ:AQ)="",1,_xlfn.XLOOKUP($B11,'ELC TECH'!$H:$H,'ELC TECH'!AQ:AQ)))</f>
        <v>1</v>
      </c>
      <c r="Q11" s="12">
        <f>IF(_xlfn.XLOOKUP($B11,'ELC TECH'!$H:$H,'ELC TECH'!$E:$E)="Storage","",IF(_xlfn.XLOOKUP($B11,'ELC TECH'!$H:$H,'ELC TECH'!AR:AR)="",1,_xlfn.XLOOKUP($B11,'ELC TECH'!$H:$H,'ELC TECH'!AR:AR)))</f>
        <v>1</v>
      </c>
      <c r="R11" s="12" t="str">
        <f>IF(_xlfn.XLOOKUP($B11,'ELC TECH'!$H:$H,'ELC TECH'!$E:$E)&lt;&gt;"Storage","",IF(_xlfn.XLOOKUP($B11,'ELC TECH'!$H:$H,'ELC TECH'!AK:AK)="",0.8,_xlfn.XLOOKUP($B11,'ELC TECH'!$H:$H,'ELC TECH'!AK:AK)))</f>
        <v/>
      </c>
      <c r="S11" s="12" t="str">
        <f>IF(_xlfn.XLOOKUP($B11,'ELC TECH'!$H:$H,'ELC TECH'!$E:$E)&lt;&gt;"Storage","",IF(_xlfn.XLOOKUP($B11,'ELC TECH'!$H:$H,'ELC TECH'!AL:AL)="",0.8,_xlfn.XLOOKUP($B11,'ELC TECH'!$H:$H,'ELC TECH'!AL:AL)))</f>
        <v/>
      </c>
      <c r="T11" s="12" t="str">
        <f>IF(_xlfn.XLOOKUP($B11,'ELC TECH'!$H:$H,'ELC TECH'!$E:$E)&lt;&gt;"Storage","",IF(_xlfn.XLOOKUP($B11,'ELC TECH'!$H:$H,'ELC TECH'!AM:AM)="",0.8,_xlfn.XLOOKUP($B11,'ELC TECH'!$H:$H,'ELC TECH'!AM:AM)))</f>
        <v/>
      </c>
      <c r="U11" s="12" t="str">
        <f>IF(_xlfn.XLOOKUP($B11,'ELC TECH'!$H:$H,'ELC TECH'!$E:$E)&lt;&gt;"Storage","",IF(_xlfn.XLOOKUP($B11,'ELC TECH'!$H:$H,'ELC TECH'!AN:AN)="",0.8,_xlfn.XLOOKUP($B11,'ELC TECH'!$H:$H,'ELC TECH'!AN:AN)))</f>
        <v/>
      </c>
      <c r="V11" s="12" t="str">
        <f>IF(_xlfn.XLOOKUP($B11,'ELC TECH'!$H:$H,'ELC TECH'!$E:$E)&lt;&gt;"Storage","",IF(_xlfn.XLOOKUP($B11,'ELC TECH'!$H:$H,'ELC TECH'!AO:AO)="",0.8,_xlfn.XLOOKUP($B11,'ELC TECH'!$H:$H,'ELC TECH'!AO:AO)))</f>
        <v/>
      </c>
      <c r="W11" s="12" t="str">
        <f>IF(_xlfn.XLOOKUP($B11,'ELC TECH'!$H:$H,'ELC TECH'!$E:$E)&lt;&gt;"Storage","",IF(_xlfn.XLOOKUP($B11,'ELC TECH'!$H:$H,'ELC TECH'!AP:AP)="",0.8,_xlfn.XLOOKUP($B11,'ELC TECH'!$H:$H,'ELC TECH'!AP:AP)))</f>
        <v/>
      </c>
      <c r="X11" s="12" t="str">
        <f>IF(_xlfn.XLOOKUP($B11,'ELC TECH'!$H:$H,'ELC TECH'!$E:$E)&lt;&gt;"Storage","",IF(_xlfn.XLOOKUP($B11,'ELC TECH'!$H:$H,'ELC TECH'!AQ:AQ)="",0.8,_xlfn.XLOOKUP($B11,'ELC TECH'!$H:$H,'ELC TECH'!AQ:AQ)))</f>
        <v/>
      </c>
      <c r="Y11" s="12" t="str">
        <f>IF(_xlfn.XLOOKUP($B11,'ELC TECH'!$H:$H,'ELC TECH'!$E:$E)&lt;&gt;"Storage","",IF(_xlfn.XLOOKUP($B11,'ELC TECH'!$H:$H,'ELC TECH'!AR:AR)="",0.8,_xlfn.XLOOKUP($B11,'ELC TECH'!$H:$H,'ELC TECH'!AR:AR)))</f>
        <v/>
      </c>
      <c r="Z11" s="15">
        <f>_xlfn.XLOOKUP($B11,'ELC TECH'!$H:$H,'ELC TECH'!M:M)</f>
        <v>8970.368179309633</v>
      </c>
      <c r="AA11" s="15">
        <f>_xlfn.XLOOKUP($B11,'ELC TECH'!$H:$H,'ELC TECH'!N:N)</f>
        <v>8970.368179309633</v>
      </c>
      <c r="AB11" s="15">
        <f>_xlfn.XLOOKUP($B11,'ELC TECH'!$H:$H,'ELC TECH'!O:O)</f>
        <v>8970.368179309633</v>
      </c>
      <c r="AC11" s="15">
        <f>_xlfn.XLOOKUP($B11,'ELC TECH'!$H:$H,'ELC TECH'!P:P)</f>
        <v>8970.368179309633</v>
      </c>
      <c r="AD11" s="15">
        <f>_xlfn.XLOOKUP($B11,'ELC TECH'!$H:$H,'ELC TECH'!Q:Q)</f>
        <v>8970.368179309633</v>
      </c>
      <c r="AE11" s="15">
        <f>_xlfn.XLOOKUP($B11,'ELC TECH'!$H:$H,'ELC TECH'!R:R)</f>
        <v>8970.368179309633</v>
      </c>
      <c r="AF11" s="15">
        <f>_xlfn.XLOOKUP($B11,'ELC TECH'!$H:$H,'ELC TECH'!S:S)</f>
        <v>8970.368179309633</v>
      </c>
      <c r="AG11" s="15">
        <f>_xlfn.XLOOKUP($B11,'ELC TECH'!$H:$H,'ELC TECH'!T:T)</f>
        <v>8970.368179309633</v>
      </c>
      <c r="AH11" s="15">
        <f>_xlfn.XLOOKUP($B11,'ELC TECH'!$H:$H,'ELC TECH'!U:U)</f>
        <v>161.69956506255861</v>
      </c>
      <c r="AI11" s="15">
        <f>_xlfn.XLOOKUP($B11,'ELC TECH'!$H:$H,'ELC TECH'!V:V)</f>
        <v>161.69956506255861</v>
      </c>
      <c r="AJ11" s="15">
        <f>_xlfn.XLOOKUP($B11,'ELC TECH'!$H:$H,'ELC TECH'!W:W)</f>
        <v>161.69956506255861</v>
      </c>
      <c r="AK11" s="15">
        <f>_xlfn.XLOOKUP($B11,'ELC TECH'!$H:$H,'ELC TECH'!X:X)</f>
        <v>161.69956506255861</v>
      </c>
      <c r="AL11" s="15">
        <f>_xlfn.XLOOKUP($B11,'ELC TECH'!$H:$H,'ELC TECH'!Y:Y)</f>
        <v>161.69956506255861</v>
      </c>
      <c r="AM11" s="15">
        <f>_xlfn.XLOOKUP($B11,'ELC TECH'!$H:$H,'ELC TECH'!Z:Z)</f>
        <v>161.69956506255861</v>
      </c>
      <c r="AN11" s="15">
        <f>_xlfn.XLOOKUP($B11,'ELC TECH'!$H:$H,'ELC TECH'!AA:AA)</f>
        <v>161.69956506255861</v>
      </c>
      <c r="AO11" s="15">
        <f>_xlfn.XLOOKUP($B11,'ELC TECH'!$H:$H,'ELC TECH'!AB:AB)</f>
        <v>161.69956506255861</v>
      </c>
      <c r="AP11" s="15">
        <f>_xlfn.XLOOKUP($B11,'ELC TECH'!$H:$H,'ELC TECH'!AC:AC)</f>
        <v>0</v>
      </c>
      <c r="AQ11" s="15">
        <f>_xlfn.XLOOKUP($B11,'ELC TECH'!$H:$H,'ELC TECH'!AD:AD)</f>
        <v>0</v>
      </c>
      <c r="AR11" s="15">
        <f>_xlfn.XLOOKUP($B11,'ELC TECH'!$H:$H,'ELC TECH'!AE:AE)</f>
        <v>0</v>
      </c>
      <c r="AS11" s="15">
        <f>_xlfn.XLOOKUP($B11,'ELC TECH'!$H:$H,'ELC TECH'!AF:AF)</f>
        <v>0</v>
      </c>
      <c r="AT11" s="15">
        <f>_xlfn.XLOOKUP($B11,'ELC TECH'!$H:$H,'ELC TECH'!AG:AG)</f>
        <v>0</v>
      </c>
      <c r="AU11" s="15">
        <f>_xlfn.XLOOKUP($B11,'ELC TECH'!$H:$H,'ELC TECH'!AH:AH)</f>
        <v>0</v>
      </c>
      <c r="AV11" s="15">
        <f>_xlfn.XLOOKUP($B11,'ELC TECH'!$H:$H,'ELC TECH'!AI:AI)</f>
        <v>0</v>
      </c>
      <c r="AW11" s="15">
        <f>_xlfn.XLOOKUP($B11,'ELC TECH'!$H:$H,'ELC TECH'!AJ:AJ)</f>
        <v>0</v>
      </c>
      <c r="AX11" s="12">
        <f>IF(_xlfn.XLOOKUP($B11,'ELC TECH'!$H:$H,'ELC TECH'!$E:$E)="Storage","",_xlfn.XLOOKUP($B11,'ELC TECH'!$H:$H,'ELC TECH'!AS:AS))</f>
        <v>0.66</v>
      </c>
      <c r="AY11" s="12">
        <f>IF(_xlfn.XLOOKUP($B11,'ELC TECH'!$H:$H,'ELC TECH'!$E:$E)="Storage","",_xlfn.XLOOKUP($B11,'ELC TECH'!$H:$H,'ELC TECH'!AT:AT))</f>
        <v>0.66</v>
      </c>
      <c r="AZ11" s="12">
        <f>IF(_xlfn.XLOOKUP($B11,'ELC TECH'!$H:$H,'ELC TECH'!$E:$E)="Storage","",_xlfn.XLOOKUP($B11,'ELC TECH'!$H:$H,'ELC TECH'!AU:AU))</f>
        <v>0.66</v>
      </c>
      <c r="BA11" s="12">
        <f>IF(_xlfn.XLOOKUP($B11,'ELC TECH'!$H:$H,'ELC TECH'!$E:$E)="Storage","",_xlfn.XLOOKUP($B11,'ELC TECH'!$H:$H,'ELC TECH'!AV:AV))</f>
        <v>0.66</v>
      </c>
      <c r="BB11" s="12">
        <f>IF(_xlfn.XLOOKUP($B11,'ELC TECH'!$H:$H,'ELC TECH'!$E:$E)="Storage","",_xlfn.XLOOKUP($B11,'ELC TECH'!$H:$H,'ELC TECH'!AW:AW))</f>
        <v>0.66</v>
      </c>
      <c r="BC11" s="12">
        <f>IF(_xlfn.XLOOKUP($B11,'ELC TECH'!$H:$H,'ELC TECH'!$E:$E)="Storage","",_xlfn.XLOOKUP($B11,'ELC TECH'!$H:$H,'ELC TECH'!AX:AX))</f>
        <v>0.66</v>
      </c>
      <c r="BD11" s="12">
        <f>IF(_xlfn.XLOOKUP($B11,'ELC TECH'!$H:$H,'ELC TECH'!$E:$E)="Storage","",_xlfn.XLOOKUP($B11,'ELC TECH'!$H:$H,'ELC TECH'!AY:AY))</f>
        <v>0.66</v>
      </c>
      <c r="BE11" s="12">
        <f>IF(_xlfn.XLOOKUP($B11,'ELC TECH'!$H:$H,'ELC TECH'!$E:$E)="Storage","",_xlfn.XLOOKUP($B11,'ELC TECH'!$H:$H,'ELC TECH'!AZ:AZ))</f>
        <v>0.66</v>
      </c>
      <c r="BF11" s="12" t="str">
        <f>IF(_xlfn.XLOOKUP($B11,'ELC TECH'!$H:$H,'ELC TECH'!$E:$E)="Storage",_xlfn.XLOOKUP($B11,'ELC TECH'!$H:$H,'ELC TECH'!AS:AS),"")</f>
        <v/>
      </c>
      <c r="BG11" s="12" t="str">
        <f>IF(_xlfn.XLOOKUP($B11,'ELC TECH'!$H:$H,'ELC TECH'!$E:$E)="Storage",_xlfn.XLOOKUP($B11,'ELC TECH'!$H:$H,'ELC TECH'!AT:AT),"")</f>
        <v/>
      </c>
      <c r="BH11" s="12" t="str">
        <f>IF(_xlfn.XLOOKUP($B11,'ELC TECH'!$H:$H,'ELC TECH'!$E:$E)="Storage",_xlfn.XLOOKUP($B11,'ELC TECH'!$H:$H,'ELC TECH'!AU:AU),"")</f>
        <v/>
      </c>
      <c r="BI11" s="12" t="str">
        <f>IF(_xlfn.XLOOKUP($B11,'ELC TECH'!$H:$H,'ELC TECH'!$E:$E)="Storage",_xlfn.XLOOKUP($B11,'ELC TECH'!$H:$H,'ELC TECH'!AV:AV),"")</f>
        <v/>
      </c>
      <c r="BJ11" s="12" t="str">
        <f>IF(_xlfn.XLOOKUP($B11,'ELC TECH'!$H:$H,'ELC TECH'!$E:$E)="Storage",_xlfn.XLOOKUP($B11,'ELC TECH'!$H:$H,'ELC TECH'!AW:AW),"")</f>
        <v/>
      </c>
      <c r="BK11" s="12" t="str">
        <f>IF(_xlfn.XLOOKUP($B11,'ELC TECH'!$H:$H,'ELC TECH'!$E:$E)="Storage",_xlfn.XLOOKUP($B11,'ELC TECH'!$H:$H,'ELC TECH'!AX:AX),"")</f>
        <v/>
      </c>
      <c r="BL11" s="12" t="str">
        <f>IF(_xlfn.XLOOKUP($B11,'ELC TECH'!$H:$H,'ELC TECH'!$E:$E)="Storage",_xlfn.XLOOKUP($B11,'ELC TECH'!$H:$H,'ELC TECH'!AY:AY),"")</f>
        <v/>
      </c>
      <c r="BM11" s="12" t="str">
        <f>IF(_xlfn.XLOOKUP($B11,'ELC TECH'!$H:$H,'ELC TECH'!$E:$E)="Storage",_xlfn.XLOOKUP($B11,'ELC TECH'!$H:$H,'ELC TECH'!AZ:AZ),"")</f>
        <v/>
      </c>
      <c r="BN11" s="8" t="str">
        <f>IF(_xlfn.XLOOKUP($B11,'ELC TECH'!$H:$H,'ELC TECH'!$E:$E)="Non Dispatchable",IFERROR($AX11*_xlfn.XLOOKUP($C11,$BM$1:$BM$3,BN$1:BN$3)/SUMPRODUCT(_xlfn.XLOOKUP($C11,$BM$1:$BM$3,$BN$1:$BY$3),$BN$4:$BY$4),""),
"")</f>
        <v/>
      </c>
      <c r="BO11" s="8" t="str">
        <f>IF(_xlfn.XLOOKUP($B11,'ELC TECH'!$H:$H,'ELC TECH'!$E:$E)="Non Dispatchable",IFERROR($AX11*_xlfn.XLOOKUP($C11,$BM$1:$BM$3,BO$1:BO$3)/SUMPRODUCT(_xlfn.XLOOKUP($C11,$BM$1:$BM$3,$BN$1:$BY$3),$BN$4:$BY$4),""),
"")</f>
        <v/>
      </c>
      <c r="BP11" s="8" t="str">
        <f>IF(_xlfn.XLOOKUP($B11,'ELC TECH'!$H:$H,'ELC TECH'!$E:$E)="Non Dispatchable",IFERROR($AX11*_xlfn.XLOOKUP($C11,$BM$1:$BM$3,BP$1:BP$3)/SUMPRODUCT(_xlfn.XLOOKUP($C11,$BM$1:$BM$3,$BN$1:$BY$3),$BN$4:$BY$4),""),
"")</f>
        <v/>
      </c>
      <c r="BQ11" s="8" t="str">
        <f>IF(_xlfn.XLOOKUP($B11,'ELC TECH'!$H:$H,'ELC TECH'!$E:$E)="Non Dispatchable",IFERROR($AX11*_xlfn.XLOOKUP($C11,$BM$1:$BM$3,BQ$1:BQ$3)/SUMPRODUCT(_xlfn.XLOOKUP($C11,$BM$1:$BM$3,$BN$1:$BY$3),$BN$4:$BY$4),""),
"")</f>
        <v/>
      </c>
      <c r="BR11" s="8" t="str">
        <f>IF(_xlfn.XLOOKUP($B11,'ELC TECH'!$H:$H,'ELC TECH'!$E:$E)="Non Dispatchable",IFERROR($AX11*_xlfn.XLOOKUP($C11,$BM$1:$BM$3,BR$1:BR$3)/SUMPRODUCT(_xlfn.XLOOKUP($C11,$BM$1:$BM$3,$BN$1:$BY$3),$BN$4:$BY$4),""),
"")</f>
        <v/>
      </c>
      <c r="BS11" s="8" t="str">
        <f>IF(_xlfn.XLOOKUP($B11,'ELC TECH'!$H:$H,'ELC TECH'!$E:$E)="Non Dispatchable",IFERROR($AX11*_xlfn.XLOOKUP($C11,$BM$1:$BM$3,BS$1:BS$3)/SUMPRODUCT(_xlfn.XLOOKUP($C11,$BM$1:$BM$3,$BN$1:$BY$3),$BN$4:$BY$4),""),
"")</f>
        <v/>
      </c>
      <c r="BT11" s="8" t="str">
        <f>IF(_xlfn.XLOOKUP($B11,'ELC TECH'!$H:$H,'ELC TECH'!$E:$E)="Non Dispatchable",IFERROR($AX11*_xlfn.XLOOKUP($C11,$BM$1:$BM$3,BT$1:BT$3)/SUMPRODUCT(_xlfn.XLOOKUP($C11,$BM$1:$BM$3,$BN$1:$BY$3),$BN$4:$BY$4),""),
"")</f>
        <v/>
      </c>
      <c r="BU11" s="8" t="str">
        <f>IF(_xlfn.XLOOKUP($B11,'ELC TECH'!$H:$H,'ELC TECH'!$E:$E)="Non Dispatchable",IFERROR($AX11*_xlfn.XLOOKUP($C11,$BM$1:$BM$3,BU$1:BU$3)/SUMPRODUCT(_xlfn.XLOOKUP($C11,$BM$1:$BM$3,$BN$1:$BY$3),$BN$4:$BY$4),""),
"")</f>
        <v/>
      </c>
      <c r="BV11" s="8" t="str">
        <f>IF(_xlfn.XLOOKUP($B11,'ELC TECH'!$H:$H,'ELC TECH'!$E:$E)="Non Dispatchable",IFERROR($AX11*_xlfn.XLOOKUP($C11,$BM$1:$BM$3,BV$1:BV$3)/SUMPRODUCT(_xlfn.XLOOKUP($C11,$BM$1:$BM$3,$BN$1:$BY$3),$BN$4:$BY$4),""),
"")</f>
        <v/>
      </c>
      <c r="BW11" s="8" t="str">
        <f>IF(_xlfn.XLOOKUP($B11,'ELC TECH'!$H:$H,'ELC TECH'!$E:$E)="Non Dispatchable",IFERROR($AX11*_xlfn.XLOOKUP($C11,$BM$1:$BM$3,BW$1:BW$3)/SUMPRODUCT(_xlfn.XLOOKUP($C11,$BM$1:$BM$3,$BN$1:$BY$3),$BN$4:$BY$4),""),
"")</f>
        <v/>
      </c>
      <c r="BX11" s="8" t="str">
        <f>IF(_xlfn.XLOOKUP($B11,'ELC TECH'!$H:$H,'ELC TECH'!$E:$E)="Non Dispatchable",IFERROR($AX11*_xlfn.XLOOKUP($C11,$BM$1:$BM$3,BX$1:BX$3)/SUMPRODUCT(_xlfn.XLOOKUP($C11,$BM$1:$BM$3,$BN$1:$BY$3),$BN$4:$BY$4),""),
"")</f>
        <v/>
      </c>
      <c r="BY11" s="8" t="str">
        <f>IF(_xlfn.XLOOKUP($B11,'ELC TECH'!$H:$H,'ELC TECH'!$E:$E)="Non Dispatchable",IFERROR($AX11*_xlfn.XLOOKUP($C11,$BM$1:$BM$3,BY$1:BY$3)/SUMPRODUCT(_xlfn.XLOOKUP($C11,$BM$1:$BM$3,$BN$1:$BY$3),$BN$4:$BY$4),""),
"")</f>
        <v/>
      </c>
      <c r="BZ11" s="8" t="str">
        <f>IF(_xlfn.XLOOKUP($B11,'ELC TECH'!$H:$H,'ELC TECH'!$E:$E)="Non Dispatchable",IFERROR($AX11*_xlfn.XLOOKUP($C11,$BM$1:$BM$3,BZ$1:BZ$3)/SUMPRODUCT(_xlfn.XLOOKUP($C11,$BM$1:$BM$3,$BN$1:$BY$3),$BN$4:$BY$4),""),
"")</f>
        <v/>
      </c>
      <c r="CA11" s="8" t="str">
        <f>IF(_xlfn.XLOOKUP($B11,'ELC TECH'!$H:$H,'ELC TECH'!$E:$E)="Non Dispatchable",IFERROR($AX11*_xlfn.XLOOKUP($C11,$BM$1:$BM$3,CA$1:CA$3)/SUMPRODUCT(_xlfn.XLOOKUP($C11,$BM$1:$BM$3,$BN$1:$BY$3),$BN$4:$BY$4),""),
"")</f>
        <v/>
      </c>
      <c r="CB11" s="8" t="str">
        <f>IF(_xlfn.XLOOKUP($B11,'ELC TECH'!$H:$H,'ELC TECH'!$E:$E)="Non Dispatchable",IFERROR($AX11*_xlfn.XLOOKUP($C11,$BM$1:$BM$3,CB$1:CB$3)/SUMPRODUCT(_xlfn.XLOOKUP($C11,$BM$1:$BM$3,$BN$1:$BY$3),$BN$4:$BY$4),""),
"")</f>
        <v/>
      </c>
      <c r="CC11" s="8" t="str">
        <f>IF(_xlfn.XLOOKUP($B11,'ELC TECH'!$H:$H,'ELC TECH'!$E:$E)="Non Dispatchable",IFERROR($AX11*_xlfn.XLOOKUP($C11,$BM$1:$BM$3,CC$1:CC$3)/SUMPRODUCT(_xlfn.XLOOKUP($C11,$BM$1:$BM$3,$BN$1:$BY$3),$BN$4:$BY$4),""),
"")</f>
        <v/>
      </c>
      <c r="CD11" s="8" t="str">
        <f>IF(_xlfn.XLOOKUP($B11,'ELC TECH'!$H:$H,'ELC TECH'!$E:$E)="Non Dispatchable",IFERROR($AX11*_xlfn.XLOOKUP($C11,$BM$1:$BM$3,CD$1:CD$3)/SUMPRODUCT(_xlfn.XLOOKUP($C11,$BM$1:$BM$3,$BN$1:$BY$3),$BN$4:$BY$4),""),
"")</f>
        <v/>
      </c>
      <c r="CE11" s="8" t="str">
        <f>IF(_xlfn.XLOOKUP($B11,'ELC TECH'!$H:$H,'ELC TECH'!$E:$E)="Non Dispatchable",IFERROR($AX11*_xlfn.XLOOKUP($C11,$BM$1:$BM$3,CE$1:CE$3)/SUMPRODUCT(_xlfn.XLOOKUP($C11,$BM$1:$BM$3,$BN$1:$BY$3),$BN$4:$BY$4),""),
"")</f>
        <v/>
      </c>
      <c r="CF11" s="8" t="str">
        <f>IF(_xlfn.XLOOKUP($B11,'ELC TECH'!$H:$H,'ELC TECH'!$E:$E)="Non Dispatchable",IFERROR($AX11*_xlfn.XLOOKUP($C11,$BM$1:$BM$3,CF$1:CF$3)/SUMPRODUCT(_xlfn.XLOOKUP($C11,$BM$1:$BM$3,$BN$1:$BY$3),$BN$4:$BY$4),""),
"")</f>
        <v/>
      </c>
      <c r="CG11" s="8" t="str">
        <f>IF(_xlfn.XLOOKUP($B11,'ELC TECH'!$H:$H,'ELC TECH'!$E:$E)="Non Dispatchable",IFERROR($AX11*_xlfn.XLOOKUP($C11,$BM$1:$BM$3,CG$1:CG$3)/SUMPRODUCT(_xlfn.XLOOKUP($C11,$BM$1:$BM$3,$BN$1:$BY$3),$BN$4:$BY$4),""),
"")</f>
        <v/>
      </c>
      <c r="CH11" s="8" t="str">
        <f>IF(_xlfn.XLOOKUP($B11,'ELC TECH'!$H:$H,'ELC TECH'!$E:$E)="Non Dispatchable",IFERROR($AX11*_xlfn.XLOOKUP($C11,$BM$1:$BM$3,CH$1:CH$3)/SUMPRODUCT(_xlfn.XLOOKUP($C11,$BM$1:$BM$3,$BN$1:$BY$3),$BN$4:$BY$4),""),
"")</f>
        <v/>
      </c>
      <c r="CI11" s="8" t="str">
        <f>IF(_xlfn.XLOOKUP($B11,'ELC TECH'!$H:$H,'ELC TECH'!$E:$E)="Non Dispatchable",IFERROR($AX11*_xlfn.XLOOKUP($C11,$BM$1:$BM$3,CI$1:CI$3)/SUMPRODUCT(_xlfn.XLOOKUP($C11,$BM$1:$BM$3,$BN$1:$BY$3),$BN$4:$BY$4),""),
"")</f>
        <v/>
      </c>
      <c r="CJ11" s="8" t="str">
        <f>IF(_xlfn.XLOOKUP($B11,'ELC TECH'!$H:$H,'ELC TECH'!$E:$E)="Non Dispatchable",IFERROR($AX11*_xlfn.XLOOKUP($C11,$BM$1:$BM$3,CJ$1:CJ$3)/SUMPRODUCT(_xlfn.XLOOKUP($C11,$BM$1:$BM$3,$BN$1:$BY$3),$BN$4:$BY$4),""),
"")</f>
        <v/>
      </c>
      <c r="CK11" s="8" t="str">
        <f>IF(_xlfn.XLOOKUP($B11,'ELC TECH'!$H:$H,'ELC TECH'!$E:$E)="Non Dispatchable",IFERROR($AX11*_xlfn.XLOOKUP($C11,$BM$1:$BM$3,CK$1:CK$3)/SUMPRODUCT(_xlfn.XLOOKUP($C11,$BM$1:$BM$3,$BN$1:$BY$3),$BN$4:$BY$4),""),
"")</f>
        <v/>
      </c>
      <c r="CL11" s="8" t="str">
        <f>IF(_xlfn.XLOOKUP($B11,'ELC TECH'!$H:$H,'ELC TECH'!$E:$E)="Storage",CL$4*$BF11,"")</f>
        <v/>
      </c>
      <c r="CM11" s="8" t="str">
        <f>IF(_xlfn.XLOOKUP($B11,'ELC TECH'!$H:$H,'ELC TECH'!$E:$E)="Storage",CM$4*$BF11,"")</f>
        <v/>
      </c>
      <c r="CN11" s="8" t="str">
        <f>IF(_xlfn.XLOOKUP($B11,'ELC TECH'!$H:$H,'ELC TECH'!$E:$E)="Storage",CN$4*$BF11,"")</f>
        <v/>
      </c>
      <c r="CO11" s="8" t="str">
        <f>IF(_xlfn.XLOOKUP($B11,'ELC TECH'!$H:$H,'ELC TECH'!$E:$E)="Storage",CO$4*$BF11,"")</f>
        <v/>
      </c>
      <c r="CP11" s="8" t="str">
        <f>IF(_xlfn.XLOOKUP($B11,'ELC TECH'!$H:$H,'ELC TECH'!$E:$E)="Storage",CP$4*$BF11,"")</f>
        <v/>
      </c>
      <c r="CQ11" s="8" t="str">
        <f>IF(_xlfn.XLOOKUP($B11,'ELC TECH'!$H:$H,'ELC TECH'!$E:$E)="Storage",CQ$4*$BF11,"")</f>
        <v/>
      </c>
      <c r="CR11" s="8" t="str">
        <f>IF(_xlfn.XLOOKUP($B11,'ELC TECH'!$H:$H,'ELC TECH'!$E:$E)="Storage",CR$4*$BF11,"")</f>
        <v/>
      </c>
      <c r="CS11" s="8" t="str">
        <f>IF(_xlfn.XLOOKUP($B11,'ELC TECH'!$H:$H,'ELC TECH'!$E:$E)="Storage",CS$4*$BF11,"")</f>
        <v/>
      </c>
      <c r="CT11" s="8" t="str">
        <f>IF(_xlfn.XLOOKUP($B11,'ELC TECH'!$H:$H,'ELC TECH'!$E:$E)="Storage",CT$4*$BF11,"")</f>
        <v/>
      </c>
      <c r="CU11" s="8" t="str">
        <f>IF(_xlfn.XLOOKUP($B11,'ELC TECH'!$H:$H,'ELC TECH'!$E:$E)="Storage",CU$4*$BF11,"")</f>
        <v/>
      </c>
      <c r="CV11" s="8" t="str">
        <f>IF(_xlfn.XLOOKUP($B11,'ELC TECH'!$H:$H,'ELC TECH'!$E:$E)="Storage",CV$4*$BF11,"")</f>
        <v/>
      </c>
      <c r="CW11" s="8" t="str">
        <f>IF(_xlfn.XLOOKUP($B11,'ELC TECH'!$H:$H,'ELC TECH'!$E:$E)="Storage",CW$4*$BF11,"")</f>
        <v/>
      </c>
      <c r="CX11" s="8" t="str">
        <f>IF(_xlfn.XLOOKUP($B11,'ELC TECH'!$H:$H,'ELC TECH'!$E:$E)="Storage",CX$4*$BF11,"")</f>
        <v/>
      </c>
      <c r="CY11" s="8" t="str">
        <f>IF(_xlfn.XLOOKUP($B11,'ELC TECH'!$H:$H,'ELC TECH'!$E:$E)="Storage",CY$4*$BF11,"")</f>
        <v/>
      </c>
      <c r="CZ11" s="8" t="str">
        <f>IF(_xlfn.XLOOKUP($B11,'ELC TECH'!$H:$H,'ELC TECH'!$E:$E)="Storage",CZ$4*$BF11,"")</f>
        <v/>
      </c>
      <c r="DA11" s="8" t="str">
        <f>IF(_xlfn.XLOOKUP($B11,'ELC TECH'!$H:$H,'ELC TECH'!$E:$E)="Storage",DA$4*$BF11,"")</f>
        <v/>
      </c>
      <c r="DB11" s="8" t="str">
        <f>IF(_xlfn.XLOOKUP($B11,'ELC TECH'!$H:$H,'ELC TECH'!$E:$E)="Storage",DB$4*$BF11,"")</f>
        <v/>
      </c>
      <c r="DC11" s="8" t="str">
        <f>IF(_xlfn.XLOOKUP($B11,'ELC TECH'!$H:$H,'ELC TECH'!$E:$E)="Storage",DC$4*$BF11,"")</f>
        <v/>
      </c>
      <c r="DD11" s="8" t="str">
        <f>IF(_xlfn.XLOOKUP($B11,'ELC TECH'!$H:$H,'ELC TECH'!$E:$E)="Storage",DD$4*$BF11,"")</f>
        <v/>
      </c>
      <c r="DE11" s="8" t="str">
        <f>IF(_xlfn.XLOOKUP($B11,'ELC TECH'!$H:$H,'ELC TECH'!$E:$E)="Storage",DE$4*$BF11,"")</f>
        <v/>
      </c>
      <c r="DF11" s="8" t="str">
        <f>IF(_xlfn.XLOOKUP($B11,'ELC TECH'!$H:$H,'ELC TECH'!$E:$E)="Storage",DF$4*$BF11,"")</f>
        <v/>
      </c>
      <c r="DG11" s="8" t="str">
        <f>IF(_xlfn.XLOOKUP($B11,'ELC TECH'!$H:$H,'ELC TECH'!$E:$E)="Storage",DG$4*$BF11,"")</f>
        <v/>
      </c>
      <c r="DH11" s="8" t="str">
        <f>IF(_xlfn.XLOOKUP($B11,'ELC TECH'!$H:$H,'ELC TECH'!$E:$E)="Storage",DH$4*$BF11,"")</f>
        <v/>
      </c>
      <c r="DI11" s="8" t="str">
        <f>IF(_xlfn.XLOOKUP($B11,'ELC TECH'!$H:$H,'ELC TECH'!$E:$E)="Storage",DI$4*$BF11,"")</f>
        <v/>
      </c>
    </row>
    <row r="12" spans="2:113" x14ac:dyDescent="0.25">
      <c r="B12" t="str">
        <f>IF('ELC TECH'!I5=0,"*",'ELC TECH'!H5)</f>
        <v>ELCHYDGRDHNSDC220</v>
      </c>
      <c r="C12" t="str">
        <f>IF(_xlfn.XLOOKUP(_xlfn.XLOOKUP(B12,'ELC TECH'!$H:$H,'ELC TECH'!$G:$G),List!C:C,List!B:B)="STG",D12,"ELC"&amp;_xlfn.XLOOKUP(_xlfn.XLOOKUP(B12,'ELC TECH'!H:H,'ELC TECH'!G:G),List!C:C,List!B:B))</f>
        <v>ELCHYD</v>
      </c>
      <c r="D12" t="s">
        <v>544</v>
      </c>
      <c r="E12">
        <f>_xlfn.XLOOKUP(B12,'ELC TECH'!H:H,'ELC TECH'!D:D)</f>
        <v>2020</v>
      </c>
      <c r="F12">
        <f>_xlfn.XLOOKUP(B12,'ELC TECH'!H:H,'ELC TECH'!K:K)</f>
        <v>100</v>
      </c>
      <c r="G12">
        <f t="shared" si="4"/>
        <v>31.535999999999998</v>
      </c>
      <c r="H12">
        <f>IF(_xlfn.XLOOKUP(B12,'ELC TECH'!$H:$H,'ELC TECH'!$E:$E)="Storage",0.3,IF(_xlfn.XLOOKUP(B12,'ELC TECH'!$H:$H,'ELC TECH'!$E:$E)="Baseload",0.9,IF(_xlfn.XLOOKUP(B12,'ELC TECH'!$H:$H,'ELC TECH'!$E:$E)="Non Dispatchable",0.05,IF(_xlfn.XLOOKUP(B12,'ELC TECH'!$H:$H,'ELC TECH'!$E:$E)="Dispatchable",0.9,1))))</f>
        <v>0.9</v>
      </c>
      <c r="I12" s="13">
        <f>IF(_xlfn.XLOOKUP(B12,'ELC TECH'!H:H,'ELC TECH'!J:J)="","",_xlfn.XLOOKUP(B12,'ELC TECH'!H:H,'ELC TECH'!J:J))</f>
        <v>0</v>
      </c>
      <c r="J12" s="12">
        <f>IF(_xlfn.XLOOKUP($B12,'ELC TECH'!$H:$H,'ELC TECH'!$E:$E)="Storage","",IF(_xlfn.XLOOKUP($B12,'ELC TECH'!$H:$H,'ELC TECH'!AK:AK)="",1,_xlfn.XLOOKUP($B12,'ELC TECH'!$H:$H,'ELC TECH'!AK:AK)))</f>
        <v>1</v>
      </c>
      <c r="K12" s="12">
        <f>IF(_xlfn.XLOOKUP($B12,'ELC TECH'!$H:$H,'ELC TECH'!$E:$E)="Storage","",IF(_xlfn.XLOOKUP($B12,'ELC TECH'!$H:$H,'ELC TECH'!AL:AL)="",1,_xlfn.XLOOKUP($B12,'ELC TECH'!$H:$H,'ELC TECH'!AL:AL)))</f>
        <v>1</v>
      </c>
      <c r="L12" s="12">
        <f>IF(_xlfn.XLOOKUP($B12,'ELC TECH'!$H:$H,'ELC TECH'!$E:$E)="Storage","",IF(_xlfn.XLOOKUP($B12,'ELC TECH'!$H:$H,'ELC TECH'!AM:AM)="",1,_xlfn.XLOOKUP($B12,'ELC TECH'!$H:$H,'ELC TECH'!AM:AM)))</f>
        <v>1</v>
      </c>
      <c r="M12" s="12">
        <f>IF(_xlfn.XLOOKUP($B12,'ELC TECH'!$H:$H,'ELC TECH'!$E:$E)="Storage","",IF(_xlfn.XLOOKUP($B12,'ELC TECH'!$H:$H,'ELC TECH'!AN:AN)="",1,_xlfn.XLOOKUP($B12,'ELC TECH'!$H:$H,'ELC TECH'!AN:AN)))</f>
        <v>1</v>
      </c>
      <c r="N12" s="12">
        <f>IF(_xlfn.XLOOKUP($B12,'ELC TECH'!$H:$H,'ELC TECH'!$E:$E)="Storage","",IF(_xlfn.XLOOKUP($B12,'ELC TECH'!$H:$H,'ELC TECH'!AO:AO)="",1,_xlfn.XLOOKUP($B12,'ELC TECH'!$H:$H,'ELC TECH'!AO:AO)))</f>
        <v>1</v>
      </c>
      <c r="O12" s="12">
        <f>IF(_xlfn.XLOOKUP($B12,'ELC TECH'!$H:$H,'ELC TECH'!$E:$E)="Storage","",IF(_xlfn.XLOOKUP($B12,'ELC TECH'!$H:$H,'ELC TECH'!AP:AP)="",1,_xlfn.XLOOKUP($B12,'ELC TECH'!$H:$H,'ELC TECH'!AP:AP)))</f>
        <v>1</v>
      </c>
      <c r="P12" s="12">
        <f>IF(_xlfn.XLOOKUP($B12,'ELC TECH'!$H:$H,'ELC TECH'!$E:$E)="Storage","",IF(_xlfn.XLOOKUP($B12,'ELC TECH'!$H:$H,'ELC TECH'!AQ:AQ)="",1,_xlfn.XLOOKUP($B12,'ELC TECH'!$H:$H,'ELC TECH'!AQ:AQ)))</f>
        <v>1</v>
      </c>
      <c r="Q12" s="12">
        <f>IF(_xlfn.XLOOKUP($B12,'ELC TECH'!$H:$H,'ELC TECH'!$E:$E)="Storage","",IF(_xlfn.XLOOKUP($B12,'ELC TECH'!$H:$H,'ELC TECH'!AR:AR)="",1,_xlfn.XLOOKUP($B12,'ELC TECH'!$H:$H,'ELC TECH'!AR:AR)))</f>
        <v>1</v>
      </c>
      <c r="R12" s="12" t="str">
        <f>IF(_xlfn.XLOOKUP($B12,'ELC TECH'!$H:$H,'ELC TECH'!$E:$E)&lt;&gt;"Storage","",IF(_xlfn.XLOOKUP($B12,'ELC TECH'!$H:$H,'ELC TECH'!AK:AK)="",0.8,_xlfn.XLOOKUP($B12,'ELC TECH'!$H:$H,'ELC TECH'!AK:AK)))</f>
        <v/>
      </c>
      <c r="S12" s="12" t="str">
        <f>IF(_xlfn.XLOOKUP($B12,'ELC TECH'!$H:$H,'ELC TECH'!$E:$E)&lt;&gt;"Storage","",IF(_xlfn.XLOOKUP($B12,'ELC TECH'!$H:$H,'ELC TECH'!AL:AL)="",0.8,_xlfn.XLOOKUP($B12,'ELC TECH'!$H:$H,'ELC TECH'!AL:AL)))</f>
        <v/>
      </c>
      <c r="T12" s="12" t="str">
        <f>IF(_xlfn.XLOOKUP($B12,'ELC TECH'!$H:$H,'ELC TECH'!$E:$E)&lt;&gt;"Storage","",IF(_xlfn.XLOOKUP($B12,'ELC TECH'!$H:$H,'ELC TECH'!AM:AM)="",0.8,_xlfn.XLOOKUP($B12,'ELC TECH'!$H:$H,'ELC TECH'!AM:AM)))</f>
        <v/>
      </c>
      <c r="U12" s="12" t="str">
        <f>IF(_xlfn.XLOOKUP($B12,'ELC TECH'!$H:$H,'ELC TECH'!$E:$E)&lt;&gt;"Storage","",IF(_xlfn.XLOOKUP($B12,'ELC TECH'!$H:$H,'ELC TECH'!AN:AN)="",0.8,_xlfn.XLOOKUP($B12,'ELC TECH'!$H:$H,'ELC TECH'!AN:AN)))</f>
        <v/>
      </c>
      <c r="V12" s="12" t="str">
        <f>IF(_xlfn.XLOOKUP($B12,'ELC TECH'!$H:$H,'ELC TECH'!$E:$E)&lt;&gt;"Storage","",IF(_xlfn.XLOOKUP($B12,'ELC TECH'!$H:$H,'ELC TECH'!AO:AO)="",0.8,_xlfn.XLOOKUP($B12,'ELC TECH'!$H:$H,'ELC TECH'!AO:AO)))</f>
        <v/>
      </c>
      <c r="W12" s="12" t="str">
        <f>IF(_xlfn.XLOOKUP($B12,'ELC TECH'!$H:$H,'ELC TECH'!$E:$E)&lt;&gt;"Storage","",IF(_xlfn.XLOOKUP($B12,'ELC TECH'!$H:$H,'ELC TECH'!AP:AP)="",0.8,_xlfn.XLOOKUP($B12,'ELC TECH'!$H:$H,'ELC TECH'!AP:AP)))</f>
        <v/>
      </c>
      <c r="X12" s="12" t="str">
        <f>IF(_xlfn.XLOOKUP($B12,'ELC TECH'!$H:$H,'ELC TECH'!$E:$E)&lt;&gt;"Storage","",IF(_xlfn.XLOOKUP($B12,'ELC TECH'!$H:$H,'ELC TECH'!AQ:AQ)="",0.8,_xlfn.XLOOKUP($B12,'ELC TECH'!$H:$H,'ELC TECH'!AQ:AQ)))</f>
        <v/>
      </c>
      <c r="Y12" s="12" t="str">
        <f>IF(_xlfn.XLOOKUP($B12,'ELC TECH'!$H:$H,'ELC TECH'!$E:$E)&lt;&gt;"Storage","",IF(_xlfn.XLOOKUP($B12,'ELC TECH'!$H:$H,'ELC TECH'!AR:AR)="",0.8,_xlfn.XLOOKUP($B12,'ELC TECH'!$H:$H,'ELC TECH'!AR:AR)))</f>
        <v/>
      </c>
      <c r="Z12" s="15">
        <f>_xlfn.XLOOKUP($B12,'ELC TECH'!$H:$H,'ELC TECH'!M:M)</f>
        <v>8008.0861522590212</v>
      </c>
      <c r="AA12" s="15">
        <f>_xlfn.XLOOKUP($B12,'ELC TECH'!$H:$H,'ELC TECH'!N:N)</f>
        <v>8008.0861522590212</v>
      </c>
      <c r="AB12" s="15">
        <f>_xlfn.XLOOKUP($B12,'ELC TECH'!$H:$H,'ELC TECH'!O:O)</f>
        <v>8008.0861522590212</v>
      </c>
      <c r="AC12" s="15">
        <f>_xlfn.XLOOKUP($B12,'ELC TECH'!$H:$H,'ELC TECH'!P:P)</f>
        <v>8008.0861522590212</v>
      </c>
      <c r="AD12" s="15">
        <f>_xlfn.XLOOKUP($B12,'ELC TECH'!$H:$H,'ELC TECH'!Q:Q)</f>
        <v>8008.0861522590212</v>
      </c>
      <c r="AE12" s="15">
        <f>_xlfn.XLOOKUP($B12,'ELC TECH'!$H:$H,'ELC TECH'!R:R)</f>
        <v>8008.0861522590212</v>
      </c>
      <c r="AF12" s="15">
        <f>_xlfn.XLOOKUP($B12,'ELC TECH'!$H:$H,'ELC TECH'!S:S)</f>
        <v>8008.0861522590212</v>
      </c>
      <c r="AG12" s="15">
        <f>_xlfn.XLOOKUP($B12,'ELC TECH'!$H:$H,'ELC TECH'!T:T)</f>
        <v>8008.0861522590212</v>
      </c>
      <c r="AH12" s="15">
        <f>_xlfn.XLOOKUP($B12,'ELC TECH'!$H:$H,'ELC TECH'!U:U)</f>
        <v>53.146010894687088</v>
      </c>
      <c r="AI12" s="15">
        <f>_xlfn.XLOOKUP($B12,'ELC TECH'!$H:$H,'ELC TECH'!V:V)</f>
        <v>53.146010894687088</v>
      </c>
      <c r="AJ12" s="15">
        <f>_xlfn.XLOOKUP($B12,'ELC TECH'!$H:$H,'ELC TECH'!W:W)</f>
        <v>53.146010894687088</v>
      </c>
      <c r="AK12" s="15">
        <f>_xlfn.XLOOKUP($B12,'ELC TECH'!$H:$H,'ELC TECH'!X:X)</f>
        <v>53.146010894687088</v>
      </c>
      <c r="AL12" s="15">
        <f>_xlfn.XLOOKUP($B12,'ELC TECH'!$H:$H,'ELC TECH'!Y:Y)</f>
        <v>53.146010894687088</v>
      </c>
      <c r="AM12" s="15">
        <f>_xlfn.XLOOKUP($B12,'ELC TECH'!$H:$H,'ELC TECH'!Z:Z)</f>
        <v>53.146010894687088</v>
      </c>
      <c r="AN12" s="15">
        <f>_xlfn.XLOOKUP($B12,'ELC TECH'!$H:$H,'ELC TECH'!AA:AA)</f>
        <v>53.146010894687088</v>
      </c>
      <c r="AO12" s="15">
        <f>_xlfn.XLOOKUP($B12,'ELC TECH'!$H:$H,'ELC TECH'!AB:AB)</f>
        <v>53.146010894687088</v>
      </c>
      <c r="AP12" s="15">
        <f>_xlfn.XLOOKUP($B12,'ELC TECH'!$H:$H,'ELC TECH'!AC:AC)</f>
        <v>0</v>
      </c>
      <c r="AQ12" s="15">
        <f>_xlfn.XLOOKUP($B12,'ELC TECH'!$H:$H,'ELC TECH'!AD:AD)</f>
        <v>0</v>
      </c>
      <c r="AR12" s="15">
        <f>_xlfn.XLOOKUP($B12,'ELC TECH'!$H:$H,'ELC TECH'!AE:AE)</f>
        <v>0</v>
      </c>
      <c r="AS12" s="15">
        <f>_xlfn.XLOOKUP($B12,'ELC TECH'!$H:$H,'ELC TECH'!AF:AF)</f>
        <v>0</v>
      </c>
      <c r="AT12" s="15">
        <f>_xlfn.XLOOKUP($B12,'ELC TECH'!$H:$H,'ELC TECH'!AG:AG)</f>
        <v>0</v>
      </c>
      <c r="AU12" s="15">
        <f>_xlfn.XLOOKUP($B12,'ELC TECH'!$H:$H,'ELC TECH'!AH:AH)</f>
        <v>0</v>
      </c>
      <c r="AV12" s="15">
        <f>_xlfn.XLOOKUP($B12,'ELC TECH'!$H:$H,'ELC TECH'!AI:AI)</f>
        <v>0</v>
      </c>
      <c r="AW12" s="15">
        <f>_xlfn.XLOOKUP($B12,'ELC TECH'!$H:$H,'ELC TECH'!AJ:AJ)</f>
        <v>0</v>
      </c>
      <c r="AX12" s="12">
        <f>IF(_xlfn.XLOOKUP($B12,'ELC TECH'!$H:$H,'ELC TECH'!$E:$E)="Storage","",_xlfn.XLOOKUP($B12,'ELC TECH'!$H:$H,'ELC TECH'!AS:AS))</f>
        <v>0.66</v>
      </c>
      <c r="AY12" s="12">
        <f>IF(_xlfn.XLOOKUP($B12,'ELC TECH'!$H:$H,'ELC TECH'!$E:$E)="Storage","",_xlfn.XLOOKUP($B12,'ELC TECH'!$H:$H,'ELC TECH'!AT:AT))</f>
        <v>0.66</v>
      </c>
      <c r="AZ12" s="12">
        <f>IF(_xlfn.XLOOKUP($B12,'ELC TECH'!$H:$H,'ELC TECH'!$E:$E)="Storage","",_xlfn.XLOOKUP($B12,'ELC TECH'!$H:$H,'ELC TECH'!AU:AU))</f>
        <v>0.66</v>
      </c>
      <c r="BA12" s="12">
        <f>IF(_xlfn.XLOOKUP($B12,'ELC TECH'!$H:$H,'ELC TECH'!$E:$E)="Storage","",_xlfn.XLOOKUP($B12,'ELC TECH'!$H:$H,'ELC TECH'!AV:AV))</f>
        <v>0.66</v>
      </c>
      <c r="BB12" s="12">
        <f>IF(_xlfn.XLOOKUP($B12,'ELC TECH'!$H:$H,'ELC TECH'!$E:$E)="Storage","",_xlfn.XLOOKUP($B12,'ELC TECH'!$H:$H,'ELC TECH'!AW:AW))</f>
        <v>0.66</v>
      </c>
      <c r="BC12" s="12">
        <f>IF(_xlfn.XLOOKUP($B12,'ELC TECH'!$H:$H,'ELC TECH'!$E:$E)="Storage","",_xlfn.XLOOKUP($B12,'ELC TECH'!$H:$H,'ELC TECH'!AX:AX))</f>
        <v>0.66</v>
      </c>
      <c r="BD12" s="12">
        <f>IF(_xlfn.XLOOKUP($B12,'ELC TECH'!$H:$H,'ELC TECH'!$E:$E)="Storage","",_xlfn.XLOOKUP($B12,'ELC TECH'!$H:$H,'ELC TECH'!AY:AY))</f>
        <v>0.66</v>
      </c>
      <c r="BE12" s="12">
        <f>IF(_xlfn.XLOOKUP($B12,'ELC TECH'!$H:$H,'ELC TECH'!$E:$E)="Storage","",_xlfn.XLOOKUP($B12,'ELC TECH'!$H:$H,'ELC TECH'!AZ:AZ))</f>
        <v>0.66</v>
      </c>
      <c r="BF12" s="12" t="str">
        <f>IF(_xlfn.XLOOKUP($B12,'ELC TECH'!$H:$H,'ELC TECH'!$E:$E)="Storage",_xlfn.XLOOKUP($B12,'ELC TECH'!$H:$H,'ELC TECH'!AS:AS),"")</f>
        <v/>
      </c>
      <c r="BG12" s="12" t="str">
        <f>IF(_xlfn.XLOOKUP($B12,'ELC TECH'!$H:$H,'ELC TECH'!$E:$E)="Storage",_xlfn.XLOOKUP($B12,'ELC TECH'!$H:$H,'ELC TECH'!AT:AT),"")</f>
        <v/>
      </c>
      <c r="BH12" s="12" t="str">
        <f>IF(_xlfn.XLOOKUP($B12,'ELC TECH'!$H:$H,'ELC TECH'!$E:$E)="Storage",_xlfn.XLOOKUP($B12,'ELC TECH'!$H:$H,'ELC TECH'!AU:AU),"")</f>
        <v/>
      </c>
      <c r="BI12" s="12" t="str">
        <f>IF(_xlfn.XLOOKUP($B12,'ELC TECH'!$H:$H,'ELC TECH'!$E:$E)="Storage",_xlfn.XLOOKUP($B12,'ELC TECH'!$H:$H,'ELC TECH'!AV:AV),"")</f>
        <v/>
      </c>
      <c r="BJ12" s="12" t="str">
        <f>IF(_xlfn.XLOOKUP($B12,'ELC TECH'!$H:$H,'ELC TECH'!$E:$E)="Storage",_xlfn.XLOOKUP($B12,'ELC TECH'!$H:$H,'ELC TECH'!AW:AW),"")</f>
        <v/>
      </c>
      <c r="BK12" s="12" t="str">
        <f>IF(_xlfn.XLOOKUP($B12,'ELC TECH'!$H:$H,'ELC TECH'!$E:$E)="Storage",_xlfn.XLOOKUP($B12,'ELC TECH'!$H:$H,'ELC TECH'!AX:AX),"")</f>
        <v/>
      </c>
      <c r="BL12" s="12" t="str">
        <f>IF(_xlfn.XLOOKUP($B12,'ELC TECH'!$H:$H,'ELC TECH'!$E:$E)="Storage",_xlfn.XLOOKUP($B12,'ELC TECH'!$H:$H,'ELC TECH'!AY:AY),"")</f>
        <v/>
      </c>
      <c r="BM12" s="12" t="str">
        <f>IF(_xlfn.XLOOKUP($B12,'ELC TECH'!$H:$H,'ELC TECH'!$E:$E)="Storage",_xlfn.XLOOKUP($B12,'ELC TECH'!$H:$H,'ELC TECH'!AZ:AZ),"")</f>
        <v/>
      </c>
      <c r="BN12" s="8" t="str">
        <f>IF(_xlfn.XLOOKUP($B12,'ELC TECH'!$H:$H,'ELC TECH'!$E:$E)="Non Dispatchable",IFERROR($AX12*_xlfn.XLOOKUP($C12,$BM$1:$BM$3,BN$1:BN$3)/SUMPRODUCT(_xlfn.XLOOKUP($C12,$BM$1:$BM$3,$BN$1:$BY$3),$BN$4:$BY$4),""),
"")</f>
        <v/>
      </c>
      <c r="BO12" s="8" t="str">
        <f>IF(_xlfn.XLOOKUP($B12,'ELC TECH'!$H:$H,'ELC TECH'!$E:$E)="Non Dispatchable",IFERROR($AX12*_xlfn.XLOOKUP($C12,$BM$1:$BM$3,BO$1:BO$3)/SUMPRODUCT(_xlfn.XLOOKUP($C12,$BM$1:$BM$3,$BN$1:$BY$3),$BN$4:$BY$4),""),
"")</f>
        <v/>
      </c>
      <c r="BP12" s="8" t="str">
        <f>IF(_xlfn.XLOOKUP($B12,'ELC TECH'!$H:$H,'ELC TECH'!$E:$E)="Non Dispatchable",IFERROR($AX12*_xlfn.XLOOKUP($C12,$BM$1:$BM$3,BP$1:BP$3)/SUMPRODUCT(_xlfn.XLOOKUP($C12,$BM$1:$BM$3,$BN$1:$BY$3),$BN$4:$BY$4),""),
"")</f>
        <v/>
      </c>
      <c r="BQ12" s="8" t="str">
        <f>IF(_xlfn.XLOOKUP($B12,'ELC TECH'!$H:$H,'ELC TECH'!$E:$E)="Non Dispatchable",IFERROR($AX12*_xlfn.XLOOKUP($C12,$BM$1:$BM$3,BQ$1:BQ$3)/SUMPRODUCT(_xlfn.XLOOKUP($C12,$BM$1:$BM$3,$BN$1:$BY$3),$BN$4:$BY$4),""),
"")</f>
        <v/>
      </c>
      <c r="BR12" s="8" t="str">
        <f>IF(_xlfn.XLOOKUP($B12,'ELC TECH'!$H:$H,'ELC TECH'!$E:$E)="Non Dispatchable",IFERROR($AX12*_xlfn.XLOOKUP($C12,$BM$1:$BM$3,BR$1:BR$3)/SUMPRODUCT(_xlfn.XLOOKUP($C12,$BM$1:$BM$3,$BN$1:$BY$3),$BN$4:$BY$4),""),
"")</f>
        <v/>
      </c>
      <c r="BS12" s="8" t="str">
        <f>IF(_xlfn.XLOOKUP($B12,'ELC TECH'!$H:$H,'ELC TECH'!$E:$E)="Non Dispatchable",IFERROR($AX12*_xlfn.XLOOKUP($C12,$BM$1:$BM$3,BS$1:BS$3)/SUMPRODUCT(_xlfn.XLOOKUP($C12,$BM$1:$BM$3,$BN$1:$BY$3),$BN$4:$BY$4),""),
"")</f>
        <v/>
      </c>
      <c r="BT12" s="8" t="str">
        <f>IF(_xlfn.XLOOKUP($B12,'ELC TECH'!$H:$H,'ELC TECH'!$E:$E)="Non Dispatchable",IFERROR($AX12*_xlfn.XLOOKUP($C12,$BM$1:$BM$3,BT$1:BT$3)/SUMPRODUCT(_xlfn.XLOOKUP($C12,$BM$1:$BM$3,$BN$1:$BY$3),$BN$4:$BY$4),""),
"")</f>
        <v/>
      </c>
      <c r="BU12" s="8" t="str">
        <f>IF(_xlfn.XLOOKUP($B12,'ELC TECH'!$H:$H,'ELC TECH'!$E:$E)="Non Dispatchable",IFERROR($AX12*_xlfn.XLOOKUP($C12,$BM$1:$BM$3,BU$1:BU$3)/SUMPRODUCT(_xlfn.XLOOKUP($C12,$BM$1:$BM$3,$BN$1:$BY$3),$BN$4:$BY$4),""),
"")</f>
        <v/>
      </c>
      <c r="BV12" s="8" t="str">
        <f>IF(_xlfn.XLOOKUP($B12,'ELC TECH'!$H:$H,'ELC TECH'!$E:$E)="Non Dispatchable",IFERROR($AX12*_xlfn.XLOOKUP($C12,$BM$1:$BM$3,BV$1:BV$3)/SUMPRODUCT(_xlfn.XLOOKUP($C12,$BM$1:$BM$3,$BN$1:$BY$3),$BN$4:$BY$4),""),
"")</f>
        <v/>
      </c>
      <c r="BW12" s="8" t="str">
        <f>IF(_xlfn.XLOOKUP($B12,'ELC TECH'!$H:$H,'ELC TECH'!$E:$E)="Non Dispatchable",IFERROR($AX12*_xlfn.XLOOKUP($C12,$BM$1:$BM$3,BW$1:BW$3)/SUMPRODUCT(_xlfn.XLOOKUP($C12,$BM$1:$BM$3,$BN$1:$BY$3),$BN$4:$BY$4),""),
"")</f>
        <v/>
      </c>
      <c r="BX12" s="8" t="str">
        <f>IF(_xlfn.XLOOKUP($B12,'ELC TECH'!$H:$H,'ELC TECH'!$E:$E)="Non Dispatchable",IFERROR($AX12*_xlfn.XLOOKUP($C12,$BM$1:$BM$3,BX$1:BX$3)/SUMPRODUCT(_xlfn.XLOOKUP($C12,$BM$1:$BM$3,$BN$1:$BY$3),$BN$4:$BY$4),""),
"")</f>
        <v/>
      </c>
      <c r="BY12" s="8" t="str">
        <f>IF(_xlfn.XLOOKUP($B12,'ELC TECH'!$H:$H,'ELC TECH'!$E:$E)="Non Dispatchable",IFERROR($AX12*_xlfn.XLOOKUP($C12,$BM$1:$BM$3,BY$1:BY$3)/SUMPRODUCT(_xlfn.XLOOKUP($C12,$BM$1:$BM$3,$BN$1:$BY$3),$BN$4:$BY$4),""),
"")</f>
        <v/>
      </c>
      <c r="BZ12" s="8" t="str">
        <f>IF(_xlfn.XLOOKUP($B12,'ELC TECH'!$H:$H,'ELC TECH'!$E:$E)="Non Dispatchable",IFERROR($AX12*_xlfn.XLOOKUP($C12,$BM$1:$BM$3,BZ$1:BZ$3)/SUMPRODUCT(_xlfn.XLOOKUP($C12,$BM$1:$BM$3,$BN$1:$BY$3),$BN$4:$BY$4),""),
"")</f>
        <v/>
      </c>
      <c r="CA12" s="8" t="str">
        <f>IF(_xlfn.XLOOKUP($B12,'ELC TECH'!$H:$H,'ELC TECH'!$E:$E)="Non Dispatchable",IFERROR($AX12*_xlfn.XLOOKUP($C12,$BM$1:$BM$3,CA$1:CA$3)/SUMPRODUCT(_xlfn.XLOOKUP($C12,$BM$1:$BM$3,$BN$1:$BY$3),$BN$4:$BY$4),""),
"")</f>
        <v/>
      </c>
      <c r="CB12" s="8" t="str">
        <f>IF(_xlfn.XLOOKUP($B12,'ELC TECH'!$H:$H,'ELC TECH'!$E:$E)="Non Dispatchable",IFERROR($AX12*_xlfn.XLOOKUP($C12,$BM$1:$BM$3,CB$1:CB$3)/SUMPRODUCT(_xlfn.XLOOKUP($C12,$BM$1:$BM$3,$BN$1:$BY$3),$BN$4:$BY$4),""),
"")</f>
        <v/>
      </c>
      <c r="CC12" s="8" t="str">
        <f>IF(_xlfn.XLOOKUP($B12,'ELC TECH'!$H:$H,'ELC TECH'!$E:$E)="Non Dispatchable",IFERROR($AX12*_xlfn.XLOOKUP($C12,$BM$1:$BM$3,CC$1:CC$3)/SUMPRODUCT(_xlfn.XLOOKUP($C12,$BM$1:$BM$3,$BN$1:$BY$3),$BN$4:$BY$4),""),
"")</f>
        <v/>
      </c>
      <c r="CD12" s="8" t="str">
        <f>IF(_xlfn.XLOOKUP($B12,'ELC TECH'!$H:$H,'ELC TECH'!$E:$E)="Non Dispatchable",IFERROR($AX12*_xlfn.XLOOKUP($C12,$BM$1:$BM$3,CD$1:CD$3)/SUMPRODUCT(_xlfn.XLOOKUP($C12,$BM$1:$BM$3,$BN$1:$BY$3),$BN$4:$BY$4),""),
"")</f>
        <v/>
      </c>
      <c r="CE12" s="8" t="str">
        <f>IF(_xlfn.XLOOKUP($B12,'ELC TECH'!$H:$H,'ELC TECH'!$E:$E)="Non Dispatchable",IFERROR($AX12*_xlfn.XLOOKUP($C12,$BM$1:$BM$3,CE$1:CE$3)/SUMPRODUCT(_xlfn.XLOOKUP($C12,$BM$1:$BM$3,$BN$1:$BY$3),$BN$4:$BY$4),""),
"")</f>
        <v/>
      </c>
      <c r="CF12" s="8" t="str">
        <f>IF(_xlfn.XLOOKUP($B12,'ELC TECH'!$H:$H,'ELC TECH'!$E:$E)="Non Dispatchable",IFERROR($AX12*_xlfn.XLOOKUP($C12,$BM$1:$BM$3,CF$1:CF$3)/SUMPRODUCT(_xlfn.XLOOKUP($C12,$BM$1:$BM$3,$BN$1:$BY$3),$BN$4:$BY$4),""),
"")</f>
        <v/>
      </c>
      <c r="CG12" s="8" t="str">
        <f>IF(_xlfn.XLOOKUP($B12,'ELC TECH'!$H:$H,'ELC TECH'!$E:$E)="Non Dispatchable",IFERROR($AX12*_xlfn.XLOOKUP($C12,$BM$1:$BM$3,CG$1:CG$3)/SUMPRODUCT(_xlfn.XLOOKUP($C12,$BM$1:$BM$3,$BN$1:$BY$3),$BN$4:$BY$4),""),
"")</f>
        <v/>
      </c>
      <c r="CH12" s="8" t="str">
        <f>IF(_xlfn.XLOOKUP($B12,'ELC TECH'!$H:$H,'ELC TECH'!$E:$E)="Non Dispatchable",IFERROR($AX12*_xlfn.XLOOKUP($C12,$BM$1:$BM$3,CH$1:CH$3)/SUMPRODUCT(_xlfn.XLOOKUP($C12,$BM$1:$BM$3,$BN$1:$BY$3),$BN$4:$BY$4),""),
"")</f>
        <v/>
      </c>
      <c r="CI12" s="8" t="str">
        <f>IF(_xlfn.XLOOKUP($B12,'ELC TECH'!$H:$H,'ELC TECH'!$E:$E)="Non Dispatchable",IFERROR($AX12*_xlfn.XLOOKUP($C12,$BM$1:$BM$3,CI$1:CI$3)/SUMPRODUCT(_xlfn.XLOOKUP($C12,$BM$1:$BM$3,$BN$1:$BY$3),$BN$4:$BY$4),""),
"")</f>
        <v/>
      </c>
      <c r="CJ12" s="8" t="str">
        <f>IF(_xlfn.XLOOKUP($B12,'ELC TECH'!$H:$H,'ELC TECH'!$E:$E)="Non Dispatchable",IFERROR($AX12*_xlfn.XLOOKUP($C12,$BM$1:$BM$3,CJ$1:CJ$3)/SUMPRODUCT(_xlfn.XLOOKUP($C12,$BM$1:$BM$3,$BN$1:$BY$3),$BN$4:$BY$4),""),
"")</f>
        <v/>
      </c>
      <c r="CK12" s="8" t="str">
        <f>IF(_xlfn.XLOOKUP($B12,'ELC TECH'!$H:$H,'ELC TECH'!$E:$E)="Non Dispatchable",IFERROR($AX12*_xlfn.XLOOKUP($C12,$BM$1:$BM$3,CK$1:CK$3)/SUMPRODUCT(_xlfn.XLOOKUP($C12,$BM$1:$BM$3,$BN$1:$BY$3),$BN$4:$BY$4),""),
"")</f>
        <v/>
      </c>
      <c r="CL12" s="8" t="str">
        <f>IF(_xlfn.XLOOKUP($B12,'ELC TECH'!$H:$H,'ELC TECH'!$E:$E)="Storage",CL$4*$BF12,"")</f>
        <v/>
      </c>
      <c r="CM12" s="8" t="str">
        <f>IF(_xlfn.XLOOKUP($B12,'ELC TECH'!$H:$H,'ELC TECH'!$E:$E)="Storage",CM$4*$BF12,"")</f>
        <v/>
      </c>
      <c r="CN12" s="8" t="str">
        <f>IF(_xlfn.XLOOKUP($B12,'ELC TECH'!$H:$H,'ELC TECH'!$E:$E)="Storage",CN$4*$BF12,"")</f>
        <v/>
      </c>
      <c r="CO12" s="8" t="str">
        <f>IF(_xlfn.XLOOKUP($B12,'ELC TECH'!$H:$H,'ELC TECH'!$E:$E)="Storage",CO$4*$BF12,"")</f>
        <v/>
      </c>
      <c r="CP12" s="8" t="str">
        <f>IF(_xlfn.XLOOKUP($B12,'ELC TECH'!$H:$H,'ELC TECH'!$E:$E)="Storage",CP$4*$BF12,"")</f>
        <v/>
      </c>
      <c r="CQ12" s="8" t="str">
        <f>IF(_xlfn.XLOOKUP($B12,'ELC TECH'!$H:$H,'ELC TECH'!$E:$E)="Storage",CQ$4*$BF12,"")</f>
        <v/>
      </c>
      <c r="CR12" s="8" t="str">
        <f>IF(_xlfn.XLOOKUP($B12,'ELC TECH'!$H:$H,'ELC TECH'!$E:$E)="Storage",CR$4*$BF12,"")</f>
        <v/>
      </c>
      <c r="CS12" s="8" t="str">
        <f>IF(_xlfn.XLOOKUP($B12,'ELC TECH'!$H:$H,'ELC TECH'!$E:$E)="Storage",CS$4*$BF12,"")</f>
        <v/>
      </c>
      <c r="CT12" s="8" t="str">
        <f>IF(_xlfn.XLOOKUP($B12,'ELC TECH'!$H:$H,'ELC TECH'!$E:$E)="Storage",CT$4*$BF12,"")</f>
        <v/>
      </c>
      <c r="CU12" s="8" t="str">
        <f>IF(_xlfn.XLOOKUP($B12,'ELC TECH'!$H:$H,'ELC TECH'!$E:$E)="Storage",CU$4*$BF12,"")</f>
        <v/>
      </c>
      <c r="CV12" s="8" t="str">
        <f>IF(_xlfn.XLOOKUP($B12,'ELC TECH'!$H:$H,'ELC TECH'!$E:$E)="Storage",CV$4*$BF12,"")</f>
        <v/>
      </c>
      <c r="CW12" s="8" t="str">
        <f>IF(_xlfn.XLOOKUP($B12,'ELC TECH'!$H:$H,'ELC TECH'!$E:$E)="Storage",CW$4*$BF12,"")</f>
        <v/>
      </c>
      <c r="CX12" s="8" t="str">
        <f>IF(_xlfn.XLOOKUP($B12,'ELC TECH'!$H:$H,'ELC TECH'!$E:$E)="Storage",CX$4*$BF12,"")</f>
        <v/>
      </c>
      <c r="CY12" s="8" t="str">
        <f>IF(_xlfn.XLOOKUP($B12,'ELC TECH'!$H:$H,'ELC TECH'!$E:$E)="Storage",CY$4*$BF12,"")</f>
        <v/>
      </c>
      <c r="CZ12" s="8" t="str">
        <f>IF(_xlfn.XLOOKUP($B12,'ELC TECH'!$H:$H,'ELC TECH'!$E:$E)="Storage",CZ$4*$BF12,"")</f>
        <v/>
      </c>
      <c r="DA12" s="8" t="str">
        <f>IF(_xlfn.XLOOKUP($B12,'ELC TECH'!$H:$H,'ELC TECH'!$E:$E)="Storage",DA$4*$BF12,"")</f>
        <v/>
      </c>
      <c r="DB12" s="8" t="str">
        <f>IF(_xlfn.XLOOKUP($B12,'ELC TECH'!$H:$H,'ELC TECH'!$E:$E)="Storage",DB$4*$BF12,"")</f>
        <v/>
      </c>
      <c r="DC12" s="8" t="str">
        <f>IF(_xlfn.XLOOKUP($B12,'ELC TECH'!$H:$H,'ELC TECH'!$E:$E)="Storage",DC$4*$BF12,"")</f>
        <v/>
      </c>
      <c r="DD12" s="8" t="str">
        <f>IF(_xlfn.XLOOKUP($B12,'ELC TECH'!$H:$H,'ELC TECH'!$E:$E)="Storage",DD$4*$BF12,"")</f>
        <v/>
      </c>
      <c r="DE12" s="8" t="str">
        <f>IF(_xlfn.XLOOKUP($B12,'ELC TECH'!$H:$H,'ELC TECH'!$E:$E)="Storage",DE$4*$BF12,"")</f>
        <v/>
      </c>
      <c r="DF12" s="8" t="str">
        <f>IF(_xlfn.XLOOKUP($B12,'ELC TECH'!$H:$H,'ELC TECH'!$E:$E)="Storage",DF$4*$BF12,"")</f>
        <v/>
      </c>
      <c r="DG12" s="8" t="str">
        <f>IF(_xlfn.XLOOKUP($B12,'ELC TECH'!$H:$H,'ELC TECH'!$E:$E)="Storage",DG$4*$BF12,"")</f>
        <v/>
      </c>
      <c r="DH12" s="8" t="str">
        <f>IF(_xlfn.XLOOKUP($B12,'ELC TECH'!$H:$H,'ELC TECH'!$E:$E)="Storage",DH$4*$BF12,"")</f>
        <v/>
      </c>
      <c r="DI12" s="8" t="str">
        <f>IF(_xlfn.XLOOKUP($B12,'ELC TECH'!$H:$H,'ELC TECH'!$E:$E)="Storage",DI$4*$BF12,"")</f>
        <v/>
      </c>
    </row>
    <row r="13" spans="2:113" x14ac:dyDescent="0.25">
      <c r="B13" t="str">
        <f>IF('ELC TECH'!I6=0,"*",'ELC TECH'!H6)</f>
        <v>ELCHYDGRDHNSDC320</v>
      </c>
      <c r="C13" t="str">
        <f>IF(_xlfn.XLOOKUP(_xlfn.XLOOKUP(B13,'ELC TECH'!$H:$H,'ELC TECH'!$G:$G),List!C:C,List!B:B)="STG",D13,"ELC"&amp;_xlfn.XLOOKUP(_xlfn.XLOOKUP(B13,'ELC TECH'!H:H,'ELC TECH'!G:G),List!C:C,List!B:B))</f>
        <v>ELCHYD</v>
      </c>
      <c r="D13" t="s">
        <v>544</v>
      </c>
      <c r="E13">
        <f>_xlfn.XLOOKUP(B13,'ELC TECH'!H:H,'ELC TECH'!D:D)</f>
        <v>2020</v>
      </c>
      <c r="F13">
        <f>_xlfn.XLOOKUP(B13,'ELC TECH'!H:H,'ELC TECH'!K:K)</f>
        <v>100</v>
      </c>
      <c r="G13">
        <f t="shared" si="4"/>
        <v>31.535999999999998</v>
      </c>
      <c r="H13">
        <f>IF(_xlfn.XLOOKUP(B13,'ELC TECH'!$H:$H,'ELC TECH'!$E:$E)="Storage",0.3,IF(_xlfn.XLOOKUP(B13,'ELC TECH'!$H:$H,'ELC TECH'!$E:$E)="Baseload",0.9,IF(_xlfn.XLOOKUP(B13,'ELC TECH'!$H:$H,'ELC TECH'!$E:$E)="Non Dispatchable",0.05,IF(_xlfn.XLOOKUP(B13,'ELC TECH'!$H:$H,'ELC TECH'!$E:$E)="Dispatchable",0.9,1))))</f>
        <v>0.9</v>
      </c>
      <c r="I13" s="13">
        <f>IF(_xlfn.XLOOKUP(B13,'ELC TECH'!H:H,'ELC TECH'!J:J)="","",_xlfn.XLOOKUP(B13,'ELC TECH'!H:H,'ELC TECH'!J:J))</f>
        <v>0</v>
      </c>
      <c r="J13" s="12">
        <f>IF(_xlfn.XLOOKUP($B13,'ELC TECH'!$H:$H,'ELC TECH'!$E:$E)="Storage","",IF(_xlfn.XLOOKUP($B13,'ELC TECH'!$H:$H,'ELC TECH'!AK:AK)="",1,_xlfn.XLOOKUP($B13,'ELC TECH'!$H:$H,'ELC TECH'!AK:AK)))</f>
        <v>1</v>
      </c>
      <c r="K13" s="12">
        <f>IF(_xlfn.XLOOKUP($B13,'ELC TECH'!$H:$H,'ELC TECH'!$E:$E)="Storage","",IF(_xlfn.XLOOKUP($B13,'ELC TECH'!$H:$H,'ELC TECH'!AL:AL)="",1,_xlfn.XLOOKUP($B13,'ELC TECH'!$H:$H,'ELC TECH'!AL:AL)))</f>
        <v>1</v>
      </c>
      <c r="L13" s="12">
        <f>IF(_xlfn.XLOOKUP($B13,'ELC TECH'!$H:$H,'ELC TECH'!$E:$E)="Storage","",IF(_xlfn.XLOOKUP($B13,'ELC TECH'!$H:$H,'ELC TECH'!AM:AM)="",1,_xlfn.XLOOKUP($B13,'ELC TECH'!$H:$H,'ELC TECH'!AM:AM)))</f>
        <v>1</v>
      </c>
      <c r="M13" s="12">
        <f>IF(_xlfn.XLOOKUP($B13,'ELC TECH'!$H:$H,'ELC TECH'!$E:$E)="Storage","",IF(_xlfn.XLOOKUP($B13,'ELC TECH'!$H:$H,'ELC TECH'!AN:AN)="",1,_xlfn.XLOOKUP($B13,'ELC TECH'!$H:$H,'ELC TECH'!AN:AN)))</f>
        <v>1</v>
      </c>
      <c r="N13" s="12">
        <f>IF(_xlfn.XLOOKUP($B13,'ELC TECH'!$H:$H,'ELC TECH'!$E:$E)="Storage","",IF(_xlfn.XLOOKUP($B13,'ELC TECH'!$H:$H,'ELC TECH'!AO:AO)="",1,_xlfn.XLOOKUP($B13,'ELC TECH'!$H:$H,'ELC TECH'!AO:AO)))</f>
        <v>1</v>
      </c>
      <c r="O13" s="12">
        <f>IF(_xlfn.XLOOKUP($B13,'ELC TECH'!$H:$H,'ELC TECH'!$E:$E)="Storage","",IF(_xlfn.XLOOKUP($B13,'ELC TECH'!$H:$H,'ELC TECH'!AP:AP)="",1,_xlfn.XLOOKUP($B13,'ELC TECH'!$H:$H,'ELC TECH'!AP:AP)))</f>
        <v>1</v>
      </c>
      <c r="P13" s="12">
        <f>IF(_xlfn.XLOOKUP($B13,'ELC TECH'!$H:$H,'ELC TECH'!$E:$E)="Storage","",IF(_xlfn.XLOOKUP($B13,'ELC TECH'!$H:$H,'ELC TECH'!AQ:AQ)="",1,_xlfn.XLOOKUP($B13,'ELC TECH'!$H:$H,'ELC TECH'!AQ:AQ)))</f>
        <v>1</v>
      </c>
      <c r="Q13" s="12">
        <f>IF(_xlfn.XLOOKUP($B13,'ELC TECH'!$H:$H,'ELC TECH'!$E:$E)="Storage","",IF(_xlfn.XLOOKUP($B13,'ELC TECH'!$H:$H,'ELC TECH'!AR:AR)="",1,_xlfn.XLOOKUP($B13,'ELC TECH'!$H:$H,'ELC TECH'!AR:AR)))</f>
        <v>1</v>
      </c>
      <c r="R13" s="12" t="str">
        <f>IF(_xlfn.XLOOKUP($B13,'ELC TECH'!$H:$H,'ELC TECH'!$E:$E)&lt;&gt;"Storage","",IF(_xlfn.XLOOKUP($B13,'ELC TECH'!$H:$H,'ELC TECH'!AK:AK)="",0.8,_xlfn.XLOOKUP($B13,'ELC TECH'!$H:$H,'ELC TECH'!AK:AK)))</f>
        <v/>
      </c>
      <c r="S13" s="12" t="str">
        <f>IF(_xlfn.XLOOKUP($B13,'ELC TECH'!$H:$H,'ELC TECH'!$E:$E)&lt;&gt;"Storage","",IF(_xlfn.XLOOKUP($B13,'ELC TECH'!$H:$H,'ELC TECH'!AL:AL)="",0.8,_xlfn.XLOOKUP($B13,'ELC TECH'!$H:$H,'ELC TECH'!AL:AL)))</f>
        <v/>
      </c>
      <c r="T13" s="12" t="str">
        <f>IF(_xlfn.XLOOKUP($B13,'ELC TECH'!$H:$H,'ELC TECH'!$E:$E)&lt;&gt;"Storage","",IF(_xlfn.XLOOKUP($B13,'ELC TECH'!$H:$H,'ELC TECH'!AM:AM)="",0.8,_xlfn.XLOOKUP($B13,'ELC TECH'!$H:$H,'ELC TECH'!AM:AM)))</f>
        <v/>
      </c>
      <c r="U13" s="12" t="str">
        <f>IF(_xlfn.XLOOKUP($B13,'ELC TECH'!$H:$H,'ELC TECH'!$E:$E)&lt;&gt;"Storage","",IF(_xlfn.XLOOKUP($B13,'ELC TECH'!$H:$H,'ELC TECH'!AN:AN)="",0.8,_xlfn.XLOOKUP($B13,'ELC TECH'!$H:$H,'ELC TECH'!AN:AN)))</f>
        <v/>
      </c>
      <c r="V13" s="12" t="str">
        <f>IF(_xlfn.XLOOKUP($B13,'ELC TECH'!$H:$H,'ELC TECH'!$E:$E)&lt;&gt;"Storage","",IF(_xlfn.XLOOKUP($B13,'ELC TECH'!$H:$H,'ELC TECH'!AO:AO)="",0.8,_xlfn.XLOOKUP($B13,'ELC TECH'!$H:$H,'ELC TECH'!AO:AO)))</f>
        <v/>
      </c>
      <c r="W13" s="12" t="str">
        <f>IF(_xlfn.XLOOKUP($B13,'ELC TECH'!$H:$H,'ELC TECH'!$E:$E)&lt;&gt;"Storage","",IF(_xlfn.XLOOKUP($B13,'ELC TECH'!$H:$H,'ELC TECH'!AP:AP)="",0.8,_xlfn.XLOOKUP($B13,'ELC TECH'!$H:$H,'ELC TECH'!AP:AP)))</f>
        <v/>
      </c>
      <c r="X13" s="12" t="str">
        <f>IF(_xlfn.XLOOKUP($B13,'ELC TECH'!$H:$H,'ELC TECH'!$E:$E)&lt;&gt;"Storage","",IF(_xlfn.XLOOKUP($B13,'ELC TECH'!$H:$H,'ELC TECH'!AQ:AQ)="",0.8,_xlfn.XLOOKUP($B13,'ELC TECH'!$H:$H,'ELC TECH'!AQ:AQ)))</f>
        <v/>
      </c>
      <c r="Y13" s="12" t="str">
        <f>IF(_xlfn.XLOOKUP($B13,'ELC TECH'!$H:$H,'ELC TECH'!$E:$E)&lt;&gt;"Storage","",IF(_xlfn.XLOOKUP($B13,'ELC TECH'!$H:$H,'ELC TECH'!AR:AR)="",0.8,_xlfn.XLOOKUP($B13,'ELC TECH'!$H:$H,'ELC TECH'!AR:AR)))</f>
        <v/>
      </c>
      <c r="Z13" s="15">
        <f>_xlfn.XLOOKUP($B13,'ELC TECH'!$H:$H,'ELC TECH'!M:M)</f>
        <v>7842.9942886287163</v>
      </c>
      <c r="AA13" s="15">
        <f>_xlfn.XLOOKUP($B13,'ELC TECH'!$H:$H,'ELC TECH'!N:N)</f>
        <v>7842.9942886287163</v>
      </c>
      <c r="AB13" s="15">
        <f>_xlfn.XLOOKUP($B13,'ELC TECH'!$H:$H,'ELC TECH'!O:O)</f>
        <v>7842.9942886287163</v>
      </c>
      <c r="AC13" s="15">
        <f>_xlfn.XLOOKUP($B13,'ELC TECH'!$H:$H,'ELC TECH'!P:P)</f>
        <v>7842.9942886287163</v>
      </c>
      <c r="AD13" s="15">
        <f>_xlfn.XLOOKUP($B13,'ELC TECH'!$H:$H,'ELC TECH'!Q:Q)</f>
        <v>7842.9942886287163</v>
      </c>
      <c r="AE13" s="15">
        <f>_xlfn.XLOOKUP($B13,'ELC TECH'!$H:$H,'ELC TECH'!R:R)</f>
        <v>7842.9942886287163</v>
      </c>
      <c r="AF13" s="15">
        <f>_xlfn.XLOOKUP($B13,'ELC TECH'!$H:$H,'ELC TECH'!S:S)</f>
        <v>7842.9942886287163</v>
      </c>
      <c r="AG13" s="15">
        <f>_xlfn.XLOOKUP($B13,'ELC TECH'!$H:$H,'ELC TECH'!T:T)</f>
        <v>7842.9942886287163</v>
      </c>
      <c r="AH13" s="15">
        <f>_xlfn.XLOOKUP($B13,'ELC TECH'!$H:$H,'ELC TECH'!U:U)</f>
        <v>152.65343554856929</v>
      </c>
      <c r="AI13" s="15">
        <f>_xlfn.XLOOKUP($B13,'ELC TECH'!$H:$H,'ELC TECH'!V:V)</f>
        <v>152.65343554856929</v>
      </c>
      <c r="AJ13" s="15">
        <f>_xlfn.XLOOKUP($B13,'ELC TECH'!$H:$H,'ELC TECH'!W:W)</f>
        <v>152.65343554856929</v>
      </c>
      <c r="AK13" s="15">
        <f>_xlfn.XLOOKUP($B13,'ELC TECH'!$H:$H,'ELC TECH'!X:X)</f>
        <v>152.65343554856929</v>
      </c>
      <c r="AL13" s="15">
        <f>_xlfn.XLOOKUP($B13,'ELC TECH'!$H:$H,'ELC TECH'!Y:Y)</f>
        <v>152.65343554856929</v>
      </c>
      <c r="AM13" s="15">
        <f>_xlfn.XLOOKUP($B13,'ELC TECH'!$H:$H,'ELC TECH'!Z:Z)</f>
        <v>152.65343554856929</v>
      </c>
      <c r="AN13" s="15">
        <f>_xlfn.XLOOKUP($B13,'ELC TECH'!$H:$H,'ELC TECH'!AA:AA)</f>
        <v>152.65343554856929</v>
      </c>
      <c r="AO13" s="15">
        <f>_xlfn.XLOOKUP($B13,'ELC TECH'!$H:$H,'ELC TECH'!AB:AB)</f>
        <v>152.65343554856929</v>
      </c>
      <c r="AP13" s="15">
        <f>_xlfn.XLOOKUP($B13,'ELC TECH'!$H:$H,'ELC TECH'!AC:AC)</f>
        <v>0</v>
      </c>
      <c r="AQ13" s="15">
        <f>_xlfn.XLOOKUP($B13,'ELC TECH'!$H:$H,'ELC TECH'!AD:AD)</f>
        <v>0</v>
      </c>
      <c r="AR13" s="15">
        <f>_xlfn.XLOOKUP($B13,'ELC TECH'!$H:$H,'ELC TECH'!AE:AE)</f>
        <v>0</v>
      </c>
      <c r="AS13" s="15">
        <f>_xlfn.XLOOKUP($B13,'ELC TECH'!$H:$H,'ELC TECH'!AF:AF)</f>
        <v>0</v>
      </c>
      <c r="AT13" s="15">
        <f>_xlfn.XLOOKUP($B13,'ELC TECH'!$H:$H,'ELC TECH'!AG:AG)</f>
        <v>0</v>
      </c>
      <c r="AU13" s="15">
        <f>_xlfn.XLOOKUP($B13,'ELC TECH'!$H:$H,'ELC TECH'!AH:AH)</f>
        <v>0</v>
      </c>
      <c r="AV13" s="15">
        <f>_xlfn.XLOOKUP($B13,'ELC TECH'!$H:$H,'ELC TECH'!AI:AI)</f>
        <v>0</v>
      </c>
      <c r="AW13" s="15">
        <f>_xlfn.XLOOKUP($B13,'ELC TECH'!$H:$H,'ELC TECH'!AJ:AJ)</f>
        <v>0</v>
      </c>
      <c r="AX13" s="12">
        <f>IF(_xlfn.XLOOKUP($B13,'ELC TECH'!$H:$H,'ELC TECH'!$E:$E)="Storage","",_xlfn.XLOOKUP($B13,'ELC TECH'!$H:$H,'ELC TECH'!AS:AS))</f>
        <v>0.62</v>
      </c>
      <c r="AY13" s="12">
        <f>IF(_xlfn.XLOOKUP($B13,'ELC TECH'!$H:$H,'ELC TECH'!$E:$E)="Storage","",_xlfn.XLOOKUP($B13,'ELC TECH'!$H:$H,'ELC TECH'!AT:AT))</f>
        <v>0.62</v>
      </c>
      <c r="AZ13" s="12">
        <f>IF(_xlfn.XLOOKUP($B13,'ELC TECH'!$H:$H,'ELC TECH'!$E:$E)="Storage","",_xlfn.XLOOKUP($B13,'ELC TECH'!$H:$H,'ELC TECH'!AU:AU))</f>
        <v>0.62</v>
      </c>
      <c r="BA13" s="12">
        <f>IF(_xlfn.XLOOKUP($B13,'ELC TECH'!$H:$H,'ELC TECH'!$E:$E)="Storage","",_xlfn.XLOOKUP($B13,'ELC TECH'!$H:$H,'ELC TECH'!AV:AV))</f>
        <v>0.62</v>
      </c>
      <c r="BB13" s="12">
        <f>IF(_xlfn.XLOOKUP($B13,'ELC TECH'!$H:$H,'ELC TECH'!$E:$E)="Storage","",_xlfn.XLOOKUP($B13,'ELC TECH'!$H:$H,'ELC TECH'!AW:AW))</f>
        <v>0.62</v>
      </c>
      <c r="BC13" s="12">
        <f>IF(_xlfn.XLOOKUP($B13,'ELC TECH'!$H:$H,'ELC TECH'!$E:$E)="Storage","",_xlfn.XLOOKUP($B13,'ELC TECH'!$H:$H,'ELC TECH'!AX:AX))</f>
        <v>0.62</v>
      </c>
      <c r="BD13" s="12">
        <f>IF(_xlfn.XLOOKUP($B13,'ELC TECH'!$H:$H,'ELC TECH'!$E:$E)="Storage","",_xlfn.XLOOKUP($B13,'ELC TECH'!$H:$H,'ELC TECH'!AY:AY))</f>
        <v>0.62</v>
      </c>
      <c r="BE13" s="12">
        <f>IF(_xlfn.XLOOKUP($B13,'ELC TECH'!$H:$H,'ELC TECH'!$E:$E)="Storage","",_xlfn.XLOOKUP($B13,'ELC TECH'!$H:$H,'ELC TECH'!AZ:AZ))</f>
        <v>0.62</v>
      </c>
      <c r="BF13" s="12" t="str">
        <f>IF(_xlfn.XLOOKUP($B13,'ELC TECH'!$H:$H,'ELC TECH'!$E:$E)="Storage",_xlfn.XLOOKUP($B13,'ELC TECH'!$H:$H,'ELC TECH'!AS:AS),"")</f>
        <v/>
      </c>
      <c r="BG13" s="12" t="str">
        <f>IF(_xlfn.XLOOKUP($B13,'ELC TECH'!$H:$H,'ELC TECH'!$E:$E)="Storage",_xlfn.XLOOKUP($B13,'ELC TECH'!$H:$H,'ELC TECH'!AT:AT),"")</f>
        <v/>
      </c>
      <c r="BH13" s="12" t="str">
        <f>IF(_xlfn.XLOOKUP($B13,'ELC TECH'!$H:$H,'ELC TECH'!$E:$E)="Storage",_xlfn.XLOOKUP($B13,'ELC TECH'!$H:$H,'ELC TECH'!AU:AU),"")</f>
        <v/>
      </c>
      <c r="BI13" s="12" t="str">
        <f>IF(_xlfn.XLOOKUP($B13,'ELC TECH'!$H:$H,'ELC TECH'!$E:$E)="Storage",_xlfn.XLOOKUP($B13,'ELC TECH'!$H:$H,'ELC TECH'!AV:AV),"")</f>
        <v/>
      </c>
      <c r="BJ13" s="12" t="str">
        <f>IF(_xlfn.XLOOKUP($B13,'ELC TECH'!$H:$H,'ELC TECH'!$E:$E)="Storage",_xlfn.XLOOKUP($B13,'ELC TECH'!$H:$H,'ELC TECH'!AW:AW),"")</f>
        <v/>
      </c>
      <c r="BK13" s="12" t="str">
        <f>IF(_xlfn.XLOOKUP($B13,'ELC TECH'!$H:$H,'ELC TECH'!$E:$E)="Storage",_xlfn.XLOOKUP($B13,'ELC TECH'!$H:$H,'ELC TECH'!AX:AX),"")</f>
        <v/>
      </c>
      <c r="BL13" s="12" t="str">
        <f>IF(_xlfn.XLOOKUP($B13,'ELC TECH'!$H:$H,'ELC TECH'!$E:$E)="Storage",_xlfn.XLOOKUP($B13,'ELC TECH'!$H:$H,'ELC TECH'!AY:AY),"")</f>
        <v/>
      </c>
      <c r="BM13" s="12" t="str">
        <f>IF(_xlfn.XLOOKUP($B13,'ELC TECH'!$H:$H,'ELC TECH'!$E:$E)="Storage",_xlfn.XLOOKUP($B13,'ELC TECH'!$H:$H,'ELC TECH'!AZ:AZ),"")</f>
        <v/>
      </c>
      <c r="BN13" s="8" t="str">
        <f>IF(_xlfn.XLOOKUP($B13,'ELC TECH'!$H:$H,'ELC TECH'!$E:$E)="Non Dispatchable",IFERROR($AX13*_xlfn.XLOOKUP($C13,$BM$1:$BM$3,BN$1:BN$3)/SUMPRODUCT(_xlfn.XLOOKUP($C13,$BM$1:$BM$3,$BN$1:$BY$3),$BN$4:$BY$4),""),
"")</f>
        <v/>
      </c>
      <c r="BO13" s="8" t="str">
        <f>IF(_xlfn.XLOOKUP($B13,'ELC TECH'!$H:$H,'ELC TECH'!$E:$E)="Non Dispatchable",IFERROR($AX13*_xlfn.XLOOKUP($C13,$BM$1:$BM$3,BO$1:BO$3)/SUMPRODUCT(_xlfn.XLOOKUP($C13,$BM$1:$BM$3,$BN$1:$BY$3),$BN$4:$BY$4),""),
"")</f>
        <v/>
      </c>
      <c r="BP13" s="8" t="str">
        <f>IF(_xlfn.XLOOKUP($B13,'ELC TECH'!$H:$H,'ELC TECH'!$E:$E)="Non Dispatchable",IFERROR($AX13*_xlfn.XLOOKUP($C13,$BM$1:$BM$3,BP$1:BP$3)/SUMPRODUCT(_xlfn.XLOOKUP($C13,$BM$1:$BM$3,$BN$1:$BY$3),$BN$4:$BY$4),""),
"")</f>
        <v/>
      </c>
      <c r="BQ13" s="8" t="str">
        <f>IF(_xlfn.XLOOKUP($B13,'ELC TECH'!$H:$H,'ELC TECH'!$E:$E)="Non Dispatchable",IFERROR($AX13*_xlfn.XLOOKUP($C13,$BM$1:$BM$3,BQ$1:BQ$3)/SUMPRODUCT(_xlfn.XLOOKUP($C13,$BM$1:$BM$3,$BN$1:$BY$3),$BN$4:$BY$4),""),
"")</f>
        <v/>
      </c>
      <c r="BR13" s="8" t="str">
        <f>IF(_xlfn.XLOOKUP($B13,'ELC TECH'!$H:$H,'ELC TECH'!$E:$E)="Non Dispatchable",IFERROR($AX13*_xlfn.XLOOKUP($C13,$BM$1:$BM$3,BR$1:BR$3)/SUMPRODUCT(_xlfn.XLOOKUP($C13,$BM$1:$BM$3,$BN$1:$BY$3),$BN$4:$BY$4),""),
"")</f>
        <v/>
      </c>
      <c r="BS13" s="8" t="str">
        <f>IF(_xlfn.XLOOKUP($B13,'ELC TECH'!$H:$H,'ELC TECH'!$E:$E)="Non Dispatchable",IFERROR($AX13*_xlfn.XLOOKUP($C13,$BM$1:$BM$3,BS$1:BS$3)/SUMPRODUCT(_xlfn.XLOOKUP($C13,$BM$1:$BM$3,$BN$1:$BY$3),$BN$4:$BY$4),""),
"")</f>
        <v/>
      </c>
      <c r="BT13" s="8" t="str">
        <f>IF(_xlfn.XLOOKUP($B13,'ELC TECH'!$H:$H,'ELC TECH'!$E:$E)="Non Dispatchable",IFERROR($AX13*_xlfn.XLOOKUP($C13,$BM$1:$BM$3,BT$1:BT$3)/SUMPRODUCT(_xlfn.XLOOKUP($C13,$BM$1:$BM$3,$BN$1:$BY$3),$BN$4:$BY$4),""),
"")</f>
        <v/>
      </c>
      <c r="BU13" s="8" t="str">
        <f>IF(_xlfn.XLOOKUP($B13,'ELC TECH'!$H:$H,'ELC TECH'!$E:$E)="Non Dispatchable",IFERROR($AX13*_xlfn.XLOOKUP($C13,$BM$1:$BM$3,BU$1:BU$3)/SUMPRODUCT(_xlfn.XLOOKUP($C13,$BM$1:$BM$3,$BN$1:$BY$3),$BN$4:$BY$4),""),
"")</f>
        <v/>
      </c>
      <c r="BV13" s="8" t="str">
        <f>IF(_xlfn.XLOOKUP($B13,'ELC TECH'!$H:$H,'ELC TECH'!$E:$E)="Non Dispatchable",IFERROR($AX13*_xlfn.XLOOKUP($C13,$BM$1:$BM$3,BV$1:BV$3)/SUMPRODUCT(_xlfn.XLOOKUP($C13,$BM$1:$BM$3,$BN$1:$BY$3),$BN$4:$BY$4),""),
"")</f>
        <v/>
      </c>
      <c r="BW13" s="8" t="str">
        <f>IF(_xlfn.XLOOKUP($B13,'ELC TECH'!$H:$H,'ELC TECH'!$E:$E)="Non Dispatchable",IFERROR($AX13*_xlfn.XLOOKUP($C13,$BM$1:$BM$3,BW$1:BW$3)/SUMPRODUCT(_xlfn.XLOOKUP($C13,$BM$1:$BM$3,$BN$1:$BY$3),$BN$4:$BY$4),""),
"")</f>
        <v/>
      </c>
      <c r="BX13" s="8" t="str">
        <f>IF(_xlfn.XLOOKUP($B13,'ELC TECH'!$H:$H,'ELC TECH'!$E:$E)="Non Dispatchable",IFERROR($AX13*_xlfn.XLOOKUP($C13,$BM$1:$BM$3,BX$1:BX$3)/SUMPRODUCT(_xlfn.XLOOKUP($C13,$BM$1:$BM$3,$BN$1:$BY$3),$BN$4:$BY$4),""),
"")</f>
        <v/>
      </c>
      <c r="BY13" s="8" t="str">
        <f>IF(_xlfn.XLOOKUP($B13,'ELC TECH'!$H:$H,'ELC TECH'!$E:$E)="Non Dispatchable",IFERROR($AX13*_xlfn.XLOOKUP($C13,$BM$1:$BM$3,BY$1:BY$3)/SUMPRODUCT(_xlfn.XLOOKUP($C13,$BM$1:$BM$3,$BN$1:$BY$3),$BN$4:$BY$4),""),
"")</f>
        <v/>
      </c>
      <c r="BZ13" s="8" t="str">
        <f>IF(_xlfn.XLOOKUP($B13,'ELC TECH'!$H:$H,'ELC TECH'!$E:$E)="Non Dispatchable",IFERROR($AX13*_xlfn.XLOOKUP($C13,$BM$1:$BM$3,BZ$1:BZ$3)/SUMPRODUCT(_xlfn.XLOOKUP($C13,$BM$1:$BM$3,$BN$1:$BY$3),$BN$4:$BY$4),""),
"")</f>
        <v/>
      </c>
      <c r="CA13" s="8" t="str">
        <f>IF(_xlfn.XLOOKUP($B13,'ELC TECH'!$H:$H,'ELC TECH'!$E:$E)="Non Dispatchable",IFERROR($AX13*_xlfn.XLOOKUP($C13,$BM$1:$BM$3,CA$1:CA$3)/SUMPRODUCT(_xlfn.XLOOKUP($C13,$BM$1:$BM$3,$BN$1:$BY$3),$BN$4:$BY$4),""),
"")</f>
        <v/>
      </c>
      <c r="CB13" s="8" t="str">
        <f>IF(_xlfn.XLOOKUP($B13,'ELC TECH'!$H:$H,'ELC TECH'!$E:$E)="Non Dispatchable",IFERROR($AX13*_xlfn.XLOOKUP($C13,$BM$1:$BM$3,CB$1:CB$3)/SUMPRODUCT(_xlfn.XLOOKUP($C13,$BM$1:$BM$3,$BN$1:$BY$3),$BN$4:$BY$4),""),
"")</f>
        <v/>
      </c>
      <c r="CC13" s="8" t="str">
        <f>IF(_xlfn.XLOOKUP($B13,'ELC TECH'!$H:$H,'ELC TECH'!$E:$E)="Non Dispatchable",IFERROR($AX13*_xlfn.XLOOKUP($C13,$BM$1:$BM$3,CC$1:CC$3)/SUMPRODUCT(_xlfn.XLOOKUP($C13,$BM$1:$BM$3,$BN$1:$BY$3),$BN$4:$BY$4),""),
"")</f>
        <v/>
      </c>
      <c r="CD13" s="8" t="str">
        <f>IF(_xlfn.XLOOKUP($B13,'ELC TECH'!$H:$H,'ELC TECH'!$E:$E)="Non Dispatchable",IFERROR($AX13*_xlfn.XLOOKUP($C13,$BM$1:$BM$3,CD$1:CD$3)/SUMPRODUCT(_xlfn.XLOOKUP($C13,$BM$1:$BM$3,$BN$1:$BY$3),$BN$4:$BY$4),""),
"")</f>
        <v/>
      </c>
      <c r="CE13" s="8" t="str">
        <f>IF(_xlfn.XLOOKUP($B13,'ELC TECH'!$H:$H,'ELC TECH'!$E:$E)="Non Dispatchable",IFERROR($AX13*_xlfn.XLOOKUP($C13,$BM$1:$BM$3,CE$1:CE$3)/SUMPRODUCT(_xlfn.XLOOKUP($C13,$BM$1:$BM$3,$BN$1:$BY$3),$BN$4:$BY$4),""),
"")</f>
        <v/>
      </c>
      <c r="CF13" s="8" t="str">
        <f>IF(_xlfn.XLOOKUP($B13,'ELC TECH'!$H:$H,'ELC TECH'!$E:$E)="Non Dispatchable",IFERROR($AX13*_xlfn.XLOOKUP($C13,$BM$1:$BM$3,CF$1:CF$3)/SUMPRODUCT(_xlfn.XLOOKUP($C13,$BM$1:$BM$3,$BN$1:$BY$3),$BN$4:$BY$4),""),
"")</f>
        <v/>
      </c>
      <c r="CG13" s="8" t="str">
        <f>IF(_xlfn.XLOOKUP($B13,'ELC TECH'!$H:$H,'ELC TECH'!$E:$E)="Non Dispatchable",IFERROR($AX13*_xlfn.XLOOKUP($C13,$BM$1:$BM$3,CG$1:CG$3)/SUMPRODUCT(_xlfn.XLOOKUP($C13,$BM$1:$BM$3,$BN$1:$BY$3),$BN$4:$BY$4),""),
"")</f>
        <v/>
      </c>
      <c r="CH13" s="8" t="str">
        <f>IF(_xlfn.XLOOKUP($B13,'ELC TECH'!$H:$H,'ELC TECH'!$E:$E)="Non Dispatchable",IFERROR($AX13*_xlfn.XLOOKUP($C13,$BM$1:$BM$3,CH$1:CH$3)/SUMPRODUCT(_xlfn.XLOOKUP($C13,$BM$1:$BM$3,$BN$1:$BY$3),$BN$4:$BY$4),""),
"")</f>
        <v/>
      </c>
      <c r="CI13" s="8" t="str">
        <f>IF(_xlfn.XLOOKUP($B13,'ELC TECH'!$H:$H,'ELC TECH'!$E:$E)="Non Dispatchable",IFERROR($AX13*_xlfn.XLOOKUP($C13,$BM$1:$BM$3,CI$1:CI$3)/SUMPRODUCT(_xlfn.XLOOKUP($C13,$BM$1:$BM$3,$BN$1:$BY$3),$BN$4:$BY$4),""),
"")</f>
        <v/>
      </c>
      <c r="CJ13" s="8" t="str">
        <f>IF(_xlfn.XLOOKUP($B13,'ELC TECH'!$H:$H,'ELC TECH'!$E:$E)="Non Dispatchable",IFERROR($AX13*_xlfn.XLOOKUP($C13,$BM$1:$BM$3,CJ$1:CJ$3)/SUMPRODUCT(_xlfn.XLOOKUP($C13,$BM$1:$BM$3,$BN$1:$BY$3),$BN$4:$BY$4),""),
"")</f>
        <v/>
      </c>
      <c r="CK13" s="8" t="str">
        <f>IF(_xlfn.XLOOKUP($B13,'ELC TECH'!$H:$H,'ELC TECH'!$E:$E)="Non Dispatchable",IFERROR($AX13*_xlfn.XLOOKUP($C13,$BM$1:$BM$3,CK$1:CK$3)/SUMPRODUCT(_xlfn.XLOOKUP($C13,$BM$1:$BM$3,$BN$1:$BY$3),$BN$4:$BY$4),""),
"")</f>
        <v/>
      </c>
      <c r="CL13" s="8" t="str">
        <f>IF(_xlfn.XLOOKUP($B13,'ELC TECH'!$H:$H,'ELC TECH'!$E:$E)="Storage",CL$4*$BF13,"")</f>
        <v/>
      </c>
      <c r="CM13" s="8" t="str">
        <f>IF(_xlfn.XLOOKUP($B13,'ELC TECH'!$H:$H,'ELC TECH'!$E:$E)="Storage",CM$4*$BF13,"")</f>
        <v/>
      </c>
      <c r="CN13" s="8" t="str">
        <f>IF(_xlfn.XLOOKUP($B13,'ELC TECH'!$H:$H,'ELC TECH'!$E:$E)="Storage",CN$4*$BF13,"")</f>
        <v/>
      </c>
      <c r="CO13" s="8" t="str">
        <f>IF(_xlfn.XLOOKUP($B13,'ELC TECH'!$H:$H,'ELC TECH'!$E:$E)="Storage",CO$4*$BF13,"")</f>
        <v/>
      </c>
      <c r="CP13" s="8" t="str">
        <f>IF(_xlfn.XLOOKUP($B13,'ELC TECH'!$H:$H,'ELC TECH'!$E:$E)="Storage",CP$4*$BF13,"")</f>
        <v/>
      </c>
      <c r="CQ13" s="8" t="str">
        <f>IF(_xlfn.XLOOKUP($B13,'ELC TECH'!$H:$H,'ELC TECH'!$E:$E)="Storage",CQ$4*$BF13,"")</f>
        <v/>
      </c>
      <c r="CR13" s="8" t="str">
        <f>IF(_xlfn.XLOOKUP($B13,'ELC TECH'!$H:$H,'ELC TECH'!$E:$E)="Storage",CR$4*$BF13,"")</f>
        <v/>
      </c>
      <c r="CS13" s="8" t="str">
        <f>IF(_xlfn.XLOOKUP($B13,'ELC TECH'!$H:$H,'ELC TECH'!$E:$E)="Storage",CS$4*$BF13,"")</f>
        <v/>
      </c>
      <c r="CT13" s="8" t="str">
        <f>IF(_xlfn.XLOOKUP($B13,'ELC TECH'!$H:$H,'ELC TECH'!$E:$E)="Storage",CT$4*$BF13,"")</f>
        <v/>
      </c>
      <c r="CU13" s="8" t="str">
        <f>IF(_xlfn.XLOOKUP($B13,'ELC TECH'!$H:$H,'ELC TECH'!$E:$E)="Storage",CU$4*$BF13,"")</f>
        <v/>
      </c>
      <c r="CV13" s="8" t="str">
        <f>IF(_xlfn.XLOOKUP($B13,'ELC TECH'!$H:$H,'ELC TECH'!$E:$E)="Storage",CV$4*$BF13,"")</f>
        <v/>
      </c>
      <c r="CW13" s="8" t="str">
        <f>IF(_xlfn.XLOOKUP($B13,'ELC TECH'!$H:$H,'ELC TECH'!$E:$E)="Storage",CW$4*$BF13,"")</f>
        <v/>
      </c>
      <c r="CX13" s="8" t="str">
        <f>IF(_xlfn.XLOOKUP($B13,'ELC TECH'!$H:$H,'ELC TECH'!$E:$E)="Storage",CX$4*$BF13,"")</f>
        <v/>
      </c>
      <c r="CY13" s="8" t="str">
        <f>IF(_xlfn.XLOOKUP($B13,'ELC TECH'!$H:$H,'ELC TECH'!$E:$E)="Storage",CY$4*$BF13,"")</f>
        <v/>
      </c>
      <c r="CZ13" s="8" t="str">
        <f>IF(_xlfn.XLOOKUP($B13,'ELC TECH'!$H:$H,'ELC TECH'!$E:$E)="Storage",CZ$4*$BF13,"")</f>
        <v/>
      </c>
      <c r="DA13" s="8" t="str">
        <f>IF(_xlfn.XLOOKUP($B13,'ELC TECH'!$H:$H,'ELC TECH'!$E:$E)="Storage",DA$4*$BF13,"")</f>
        <v/>
      </c>
      <c r="DB13" s="8" t="str">
        <f>IF(_xlfn.XLOOKUP($B13,'ELC TECH'!$H:$H,'ELC TECH'!$E:$E)="Storage",DB$4*$BF13,"")</f>
        <v/>
      </c>
      <c r="DC13" s="8" t="str">
        <f>IF(_xlfn.XLOOKUP($B13,'ELC TECH'!$H:$H,'ELC TECH'!$E:$E)="Storage",DC$4*$BF13,"")</f>
        <v/>
      </c>
      <c r="DD13" s="8" t="str">
        <f>IF(_xlfn.XLOOKUP($B13,'ELC TECH'!$H:$H,'ELC TECH'!$E:$E)="Storage",DD$4*$BF13,"")</f>
        <v/>
      </c>
      <c r="DE13" s="8" t="str">
        <f>IF(_xlfn.XLOOKUP($B13,'ELC TECH'!$H:$H,'ELC TECH'!$E:$E)="Storage",DE$4*$BF13,"")</f>
        <v/>
      </c>
      <c r="DF13" s="8" t="str">
        <f>IF(_xlfn.XLOOKUP($B13,'ELC TECH'!$H:$H,'ELC TECH'!$E:$E)="Storage",DF$4*$BF13,"")</f>
        <v/>
      </c>
      <c r="DG13" s="8" t="str">
        <f>IF(_xlfn.XLOOKUP($B13,'ELC TECH'!$H:$H,'ELC TECH'!$E:$E)="Storage",DG$4*$BF13,"")</f>
        <v/>
      </c>
      <c r="DH13" s="8" t="str">
        <f>IF(_xlfn.XLOOKUP($B13,'ELC TECH'!$H:$H,'ELC TECH'!$E:$E)="Storage",DH$4*$BF13,"")</f>
        <v/>
      </c>
      <c r="DI13" s="8" t="str">
        <f>IF(_xlfn.XLOOKUP($B13,'ELC TECH'!$H:$H,'ELC TECH'!$E:$E)="Storage",DI$4*$BF13,"")</f>
        <v/>
      </c>
    </row>
    <row r="14" spans="2:113" x14ac:dyDescent="0.25">
      <c r="B14" t="str">
        <f>IF('ELC TECH'!I7=0,"*",'ELC TECH'!H7)</f>
        <v>ELCHYDGRDHNSDC420</v>
      </c>
      <c r="C14" t="str">
        <f>IF(_xlfn.XLOOKUP(_xlfn.XLOOKUP(B14,'ELC TECH'!$H:$H,'ELC TECH'!$G:$G),List!C:C,List!B:B)="STG",D14,"ELC"&amp;_xlfn.XLOOKUP(_xlfn.XLOOKUP(B14,'ELC TECH'!H:H,'ELC TECH'!G:G),List!C:C,List!B:B))</f>
        <v>ELCHYD</v>
      </c>
      <c r="D14" t="s">
        <v>544</v>
      </c>
      <c r="E14">
        <f>_xlfn.XLOOKUP(B14,'ELC TECH'!H:H,'ELC TECH'!D:D)</f>
        <v>2020</v>
      </c>
      <c r="F14">
        <f>_xlfn.XLOOKUP(B14,'ELC TECH'!H:H,'ELC TECH'!K:K)</f>
        <v>100</v>
      </c>
      <c r="G14">
        <f t="shared" si="4"/>
        <v>31.535999999999998</v>
      </c>
      <c r="H14">
        <f>IF(_xlfn.XLOOKUP(B14,'ELC TECH'!$H:$H,'ELC TECH'!$E:$E)="Storage",0.3,IF(_xlfn.XLOOKUP(B14,'ELC TECH'!$H:$H,'ELC TECH'!$E:$E)="Baseload",0.9,IF(_xlfn.XLOOKUP(B14,'ELC TECH'!$H:$H,'ELC TECH'!$E:$E)="Non Dispatchable",0.05,IF(_xlfn.XLOOKUP(B14,'ELC TECH'!$H:$H,'ELC TECH'!$E:$E)="Dispatchable",0.9,1))))</f>
        <v>0.9</v>
      </c>
      <c r="I14" s="13">
        <f>IF(_xlfn.XLOOKUP(B14,'ELC TECH'!H:H,'ELC TECH'!J:J)="","",_xlfn.XLOOKUP(B14,'ELC TECH'!H:H,'ELC TECH'!J:J))</f>
        <v>0</v>
      </c>
      <c r="J14" s="12">
        <f>IF(_xlfn.XLOOKUP($B14,'ELC TECH'!$H:$H,'ELC TECH'!$E:$E)="Storage","",IF(_xlfn.XLOOKUP($B14,'ELC TECH'!$H:$H,'ELC TECH'!AK:AK)="",1,_xlfn.XLOOKUP($B14,'ELC TECH'!$H:$H,'ELC TECH'!AK:AK)))</f>
        <v>1</v>
      </c>
      <c r="K14" s="12">
        <f>IF(_xlfn.XLOOKUP($B14,'ELC TECH'!$H:$H,'ELC TECH'!$E:$E)="Storage","",IF(_xlfn.XLOOKUP($B14,'ELC TECH'!$H:$H,'ELC TECH'!AL:AL)="",1,_xlfn.XLOOKUP($B14,'ELC TECH'!$H:$H,'ELC TECH'!AL:AL)))</f>
        <v>1</v>
      </c>
      <c r="L14" s="12">
        <f>IF(_xlfn.XLOOKUP($B14,'ELC TECH'!$H:$H,'ELC TECH'!$E:$E)="Storage","",IF(_xlfn.XLOOKUP($B14,'ELC TECH'!$H:$H,'ELC TECH'!AM:AM)="",1,_xlfn.XLOOKUP($B14,'ELC TECH'!$H:$H,'ELC TECH'!AM:AM)))</f>
        <v>1</v>
      </c>
      <c r="M14" s="12">
        <f>IF(_xlfn.XLOOKUP($B14,'ELC TECH'!$H:$H,'ELC TECH'!$E:$E)="Storage","",IF(_xlfn.XLOOKUP($B14,'ELC TECH'!$H:$H,'ELC TECH'!AN:AN)="",1,_xlfn.XLOOKUP($B14,'ELC TECH'!$H:$H,'ELC TECH'!AN:AN)))</f>
        <v>1</v>
      </c>
      <c r="N14" s="12">
        <f>IF(_xlfn.XLOOKUP($B14,'ELC TECH'!$H:$H,'ELC TECH'!$E:$E)="Storage","",IF(_xlfn.XLOOKUP($B14,'ELC TECH'!$H:$H,'ELC TECH'!AO:AO)="",1,_xlfn.XLOOKUP($B14,'ELC TECH'!$H:$H,'ELC TECH'!AO:AO)))</f>
        <v>1</v>
      </c>
      <c r="O14" s="12">
        <f>IF(_xlfn.XLOOKUP($B14,'ELC TECH'!$H:$H,'ELC TECH'!$E:$E)="Storage","",IF(_xlfn.XLOOKUP($B14,'ELC TECH'!$H:$H,'ELC TECH'!AP:AP)="",1,_xlfn.XLOOKUP($B14,'ELC TECH'!$H:$H,'ELC TECH'!AP:AP)))</f>
        <v>1</v>
      </c>
      <c r="P14" s="12">
        <f>IF(_xlfn.XLOOKUP($B14,'ELC TECH'!$H:$H,'ELC TECH'!$E:$E)="Storage","",IF(_xlfn.XLOOKUP($B14,'ELC TECH'!$H:$H,'ELC TECH'!AQ:AQ)="",1,_xlfn.XLOOKUP($B14,'ELC TECH'!$H:$H,'ELC TECH'!AQ:AQ)))</f>
        <v>1</v>
      </c>
      <c r="Q14" s="12">
        <f>IF(_xlfn.XLOOKUP($B14,'ELC TECH'!$H:$H,'ELC TECH'!$E:$E)="Storage","",IF(_xlfn.XLOOKUP($B14,'ELC TECH'!$H:$H,'ELC TECH'!AR:AR)="",1,_xlfn.XLOOKUP($B14,'ELC TECH'!$H:$H,'ELC TECH'!AR:AR)))</f>
        <v>1</v>
      </c>
      <c r="R14" s="12" t="str">
        <f>IF(_xlfn.XLOOKUP($B14,'ELC TECH'!$H:$H,'ELC TECH'!$E:$E)&lt;&gt;"Storage","",IF(_xlfn.XLOOKUP($B14,'ELC TECH'!$H:$H,'ELC TECH'!AK:AK)="",0.8,_xlfn.XLOOKUP($B14,'ELC TECH'!$H:$H,'ELC TECH'!AK:AK)))</f>
        <v/>
      </c>
      <c r="S14" s="12" t="str">
        <f>IF(_xlfn.XLOOKUP($B14,'ELC TECH'!$H:$H,'ELC TECH'!$E:$E)&lt;&gt;"Storage","",IF(_xlfn.XLOOKUP($B14,'ELC TECH'!$H:$H,'ELC TECH'!AL:AL)="",0.8,_xlfn.XLOOKUP($B14,'ELC TECH'!$H:$H,'ELC TECH'!AL:AL)))</f>
        <v/>
      </c>
      <c r="T14" s="12" t="str">
        <f>IF(_xlfn.XLOOKUP($B14,'ELC TECH'!$H:$H,'ELC TECH'!$E:$E)&lt;&gt;"Storage","",IF(_xlfn.XLOOKUP($B14,'ELC TECH'!$H:$H,'ELC TECH'!AM:AM)="",0.8,_xlfn.XLOOKUP($B14,'ELC TECH'!$H:$H,'ELC TECH'!AM:AM)))</f>
        <v/>
      </c>
      <c r="U14" s="12" t="str">
        <f>IF(_xlfn.XLOOKUP($B14,'ELC TECH'!$H:$H,'ELC TECH'!$E:$E)&lt;&gt;"Storage","",IF(_xlfn.XLOOKUP($B14,'ELC TECH'!$H:$H,'ELC TECH'!AN:AN)="",0.8,_xlfn.XLOOKUP($B14,'ELC TECH'!$H:$H,'ELC TECH'!AN:AN)))</f>
        <v/>
      </c>
      <c r="V14" s="12" t="str">
        <f>IF(_xlfn.XLOOKUP($B14,'ELC TECH'!$H:$H,'ELC TECH'!$E:$E)&lt;&gt;"Storage","",IF(_xlfn.XLOOKUP($B14,'ELC TECH'!$H:$H,'ELC TECH'!AO:AO)="",0.8,_xlfn.XLOOKUP($B14,'ELC TECH'!$H:$H,'ELC TECH'!AO:AO)))</f>
        <v/>
      </c>
      <c r="W14" s="12" t="str">
        <f>IF(_xlfn.XLOOKUP($B14,'ELC TECH'!$H:$H,'ELC TECH'!$E:$E)&lt;&gt;"Storage","",IF(_xlfn.XLOOKUP($B14,'ELC TECH'!$H:$H,'ELC TECH'!AP:AP)="",0.8,_xlfn.XLOOKUP($B14,'ELC TECH'!$H:$H,'ELC TECH'!AP:AP)))</f>
        <v/>
      </c>
      <c r="X14" s="12" t="str">
        <f>IF(_xlfn.XLOOKUP($B14,'ELC TECH'!$H:$H,'ELC TECH'!$E:$E)&lt;&gt;"Storage","",IF(_xlfn.XLOOKUP($B14,'ELC TECH'!$H:$H,'ELC TECH'!AQ:AQ)="",0.8,_xlfn.XLOOKUP($B14,'ELC TECH'!$H:$H,'ELC TECH'!AQ:AQ)))</f>
        <v/>
      </c>
      <c r="Y14" s="12" t="str">
        <f>IF(_xlfn.XLOOKUP($B14,'ELC TECH'!$H:$H,'ELC TECH'!$E:$E)&lt;&gt;"Storage","",IF(_xlfn.XLOOKUP($B14,'ELC TECH'!$H:$H,'ELC TECH'!AR:AR)="",0.8,_xlfn.XLOOKUP($B14,'ELC TECH'!$H:$H,'ELC TECH'!AR:AR)))</f>
        <v/>
      </c>
      <c r="Z14" s="15">
        <f>_xlfn.XLOOKUP($B14,'ELC TECH'!$H:$H,'ELC TECH'!M:M)</f>
        <v>7060.5040856686428</v>
      </c>
      <c r="AA14" s="15">
        <f>_xlfn.XLOOKUP($B14,'ELC TECH'!$H:$H,'ELC TECH'!N:N)</f>
        <v>7060.5040856686428</v>
      </c>
      <c r="AB14" s="15">
        <f>_xlfn.XLOOKUP($B14,'ELC TECH'!$H:$H,'ELC TECH'!O:O)</f>
        <v>7060.5040856686428</v>
      </c>
      <c r="AC14" s="15">
        <f>_xlfn.XLOOKUP($B14,'ELC TECH'!$H:$H,'ELC TECH'!P:P)</f>
        <v>7060.5040856686428</v>
      </c>
      <c r="AD14" s="15">
        <f>_xlfn.XLOOKUP($B14,'ELC TECH'!$H:$H,'ELC TECH'!Q:Q)</f>
        <v>7060.5040856686428</v>
      </c>
      <c r="AE14" s="15">
        <f>_xlfn.XLOOKUP($B14,'ELC TECH'!$H:$H,'ELC TECH'!R:R)</f>
        <v>7060.5040856686428</v>
      </c>
      <c r="AF14" s="15">
        <f>_xlfn.XLOOKUP($B14,'ELC TECH'!$H:$H,'ELC TECH'!S:S)</f>
        <v>7060.5040856686428</v>
      </c>
      <c r="AG14" s="15">
        <f>_xlfn.XLOOKUP($B14,'ELC TECH'!$H:$H,'ELC TECH'!T:T)</f>
        <v>7060.5040856686428</v>
      </c>
      <c r="AH14" s="15">
        <f>_xlfn.XLOOKUP($B14,'ELC TECH'!$H:$H,'ELC TECH'!U:U)</f>
        <v>37.315284245205831</v>
      </c>
      <c r="AI14" s="15">
        <f>_xlfn.XLOOKUP($B14,'ELC TECH'!$H:$H,'ELC TECH'!V:V)</f>
        <v>37.315284245205831</v>
      </c>
      <c r="AJ14" s="15">
        <f>_xlfn.XLOOKUP($B14,'ELC TECH'!$H:$H,'ELC TECH'!W:W)</f>
        <v>37.315284245205831</v>
      </c>
      <c r="AK14" s="15">
        <f>_xlfn.XLOOKUP($B14,'ELC TECH'!$H:$H,'ELC TECH'!X:X)</f>
        <v>37.315284245205831</v>
      </c>
      <c r="AL14" s="15">
        <f>_xlfn.XLOOKUP($B14,'ELC TECH'!$H:$H,'ELC TECH'!Y:Y)</f>
        <v>37.315284245205831</v>
      </c>
      <c r="AM14" s="15">
        <f>_xlfn.XLOOKUP($B14,'ELC TECH'!$H:$H,'ELC TECH'!Z:Z)</f>
        <v>37.315284245205831</v>
      </c>
      <c r="AN14" s="15">
        <f>_xlfn.XLOOKUP($B14,'ELC TECH'!$H:$H,'ELC TECH'!AA:AA)</f>
        <v>37.315284245205831</v>
      </c>
      <c r="AO14" s="15">
        <f>_xlfn.XLOOKUP($B14,'ELC TECH'!$H:$H,'ELC TECH'!AB:AB)</f>
        <v>37.315284245205831</v>
      </c>
      <c r="AP14" s="15">
        <f>_xlfn.XLOOKUP($B14,'ELC TECH'!$H:$H,'ELC TECH'!AC:AC)</f>
        <v>0</v>
      </c>
      <c r="AQ14" s="15">
        <f>_xlfn.XLOOKUP($B14,'ELC TECH'!$H:$H,'ELC TECH'!AD:AD)</f>
        <v>0</v>
      </c>
      <c r="AR14" s="15">
        <f>_xlfn.XLOOKUP($B14,'ELC TECH'!$H:$H,'ELC TECH'!AE:AE)</f>
        <v>0</v>
      </c>
      <c r="AS14" s="15">
        <f>_xlfn.XLOOKUP($B14,'ELC TECH'!$H:$H,'ELC TECH'!AF:AF)</f>
        <v>0</v>
      </c>
      <c r="AT14" s="15">
        <f>_xlfn.XLOOKUP($B14,'ELC TECH'!$H:$H,'ELC TECH'!AG:AG)</f>
        <v>0</v>
      </c>
      <c r="AU14" s="15">
        <f>_xlfn.XLOOKUP($B14,'ELC TECH'!$H:$H,'ELC TECH'!AH:AH)</f>
        <v>0</v>
      </c>
      <c r="AV14" s="15">
        <f>_xlfn.XLOOKUP($B14,'ELC TECH'!$H:$H,'ELC TECH'!AI:AI)</f>
        <v>0</v>
      </c>
      <c r="AW14" s="15">
        <f>_xlfn.XLOOKUP($B14,'ELC TECH'!$H:$H,'ELC TECH'!AJ:AJ)</f>
        <v>0</v>
      </c>
      <c r="AX14" s="12">
        <f>IF(_xlfn.XLOOKUP($B14,'ELC TECH'!$H:$H,'ELC TECH'!$E:$E)="Storage","",_xlfn.XLOOKUP($B14,'ELC TECH'!$H:$H,'ELC TECH'!AS:AS))</f>
        <v>0.66</v>
      </c>
      <c r="AY14" s="12">
        <f>IF(_xlfn.XLOOKUP($B14,'ELC TECH'!$H:$H,'ELC TECH'!$E:$E)="Storage","",_xlfn.XLOOKUP($B14,'ELC TECH'!$H:$H,'ELC TECH'!AT:AT))</f>
        <v>0.66</v>
      </c>
      <c r="AZ14" s="12">
        <f>IF(_xlfn.XLOOKUP($B14,'ELC TECH'!$H:$H,'ELC TECH'!$E:$E)="Storage","",_xlfn.XLOOKUP($B14,'ELC TECH'!$H:$H,'ELC TECH'!AU:AU))</f>
        <v>0.66</v>
      </c>
      <c r="BA14" s="12">
        <f>IF(_xlfn.XLOOKUP($B14,'ELC TECH'!$H:$H,'ELC TECH'!$E:$E)="Storage","",_xlfn.XLOOKUP($B14,'ELC TECH'!$H:$H,'ELC TECH'!AV:AV))</f>
        <v>0.66</v>
      </c>
      <c r="BB14" s="12">
        <f>IF(_xlfn.XLOOKUP($B14,'ELC TECH'!$H:$H,'ELC TECH'!$E:$E)="Storage","",_xlfn.XLOOKUP($B14,'ELC TECH'!$H:$H,'ELC TECH'!AW:AW))</f>
        <v>0.66</v>
      </c>
      <c r="BC14" s="12">
        <f>IF(_xlfn.XLOOKUP($B14,'ELC TECH'!$H:$H,'ELC TECH'!$E:$E)="Storage","",_xlfn.XLOOKUP($B14,'ELC TECH'!$H:$H,'ELC TECH'!AX:AX))</f>
        <v>0.66</v>
      </c>
      <c r="BD14" s="12">
        <f>IF(_xlfn.XLOOKUP($B14,'ELC TECH'!$H:$H,'ELC TECH'!$E:$E)="Storage","",_xlfn.XLOOKUP($B14,'ELC TECH'!$H:$H,'ELC TECH'!AY:AY))</f>
        <v>0.66</v>
      </c>
      <c r="BE14" s="12">
        <f>IF(_xlfn.XLOOKUP($B14,'ELC TECH'!$H:$H,'ELC TECH'!$E:$E)="Storage","",_xlfn.XLOOKUP($B14,'ELC TECH'!$H:$H,'ELC TECH'!AZ:AZ))</f>
        <v>0.66</v>
      </c>
      <c r="BF14" s="12" t="str">
        <f>IF(_xlfn.XLOOKUP($B14,'ELC TECH'!$H:$H,'ELC TECH'!$E:$E)="Storage",_xlfn.XLOOKUP($B14,'ELC TECH'!$H:$H,'ELC TECH'!AS:AS),"")</f>
        <v/>
      </c>
      <c r="BG14" s="12" t="str">
        <f>IF(_xlfn.XLOOKUP($B14,'ELC TECH'!$H:$H,'ELC TECH'!$E:$E)="Storage",_xlfn.XLOOKUP($B14,'ELC TECH'!$H:$H,'ELC TECH'!AT:AT),"")</f>
        <v/>
      </c>
      <c r="BH14" s="12" t="str">
        <f>IF(_xlfn.XLOOKUP($B14,'ELC TECH'!$H:$H,'ELC TECH'!$E:$E)="Storage",_xlfn.XLOOKUP($B14,'ELC TECH'!$H:$H,'ELC TECH'!AU:AU),"")</f>
        <v/>
      </c>
      <c r="BI14" s="12" t="str">
        <f>IF(_xlfn.XLOOKUP($B14,'ELC TECH'!$H:$H,'ELC TECH'!$E:$E)="Storage",_xlfn.XLOOKUP($B14,'ELC TECH'!$H:$H,'ELC TECH'!AV:AV),"")</f>
        <v/>
      </c>
      <c r="BJ14" s="12" t="str">
        <f>IF(_xlfn.XLOOKUP($B14,'ELC TECH'!$H:$H,'ELC TECH'!$E:$E)="Storage",_xlfn.XLOOKUP($B14,'ELC TECH'!$H:$H,'ELC TECH'!AW:AW),"")</f>
        <v/>
      </c>
      <c r="BK14" s="12" t="str">
        <f>IF(_xlfn.XLOOKUP($B14,'ELC TECH'!$H:$H,'ELC TECH'!$E:$E)="Storage",_xlfn.XLOOKUP($B14,'ELC TECH'!$H:$H,'ELC TECH'!AX:AX),"")</f>
        <v/>
      </c>
      <c r="BL14" s="12" t="str">
        <f>IF(_xlfn.XLOOKUP($B14,'ELC TECH'!$H:$H,'ELC TECH'!$E:$E)="Storage",_xlfn.XLOOKUP($B14,'ELC TECH'!$H:$H,'ELC TECH'!AY:AY),"")</f>
        <v/>
      </c>
      <c r="BM14" s="12" t="str">
        <f>IF(_xlfn.XLOOKUP($B14,'ELC TECH'!$H:$H,'ELC TECH'!$E:$E)="Storage",_xlfn.XLOOKUP($B14,'ELC TECH'!$H:$H,'ELC TECH'!AZ:AZ),"")</f>
        <v/>
      </c>
      <c r="BN14" s="8" t="str">
        <f>IF(_xlfn.XLOOKUP($B14,'ELC TECH'!$H:$H,'ELC TECH'!$E:$E)="Non Dispatchable",IFERROR($AX14*_xlfn.XLOOKUP($C14,$BM$1:$BM$3,BN$1:BN$3)/SUMPRODUCT(_xlfn.XLOOKUP($C14,$BM$1:$BM$3,$BN$1:$BY$3),$BN$4:$BY$4),""),
"")</f>
        <v/>
      </c>
      <c r="BO14" s="8" t="str">
        <f>IF(_xlfn.XLOOKUP($B14,'ELC TECH'!$H:$H,'ELC TECH'!$E:$E)="Non Dispatchable",IFERROR($AX14*_xlfn.XLOOKUP($C14,$BM$1:$BM$3,BO$1:BO$3)/SUMPRODUCT(_xlfn.XLOOKUP($C14,$BM$1:$BM$3,$BN$1:$BY$3),$BN$4:$BY$4),""),
"")</f>
        <v/>
      </c>
      <c r="BP14" s="8" t="str">
        <f>IF(_xlfn.XLOOKUP($B14,'ELC TECH'!$H:$H,'ELC TECH'!$E:$E)="Non Dispatchable",IFERROR($AX14*_xlfn.XLOOKUP($C14,$BM$1:$BM$3,BP$1:BP$3)/SUMPRODUCT(_xlfn.XLOOKUP($C14,$BM$1:$BM$3,$BN$1:$BY$3),$BN$4:$BY$4),""),
"")</f>
        <v/>
      </c>
      <c r="BQ14" s="8" t="str">
        <f>IF(_xlfn.XLOOKUP($B14,'ELC TECH'!$H:$H,'ELC TECH'!$E:$E)="Non Dispatchable",IFERROR($AX14*_xlfn.XLOOKUP($C14,$BM$1:$BM$3,BQ$1:BQ$3)/SUMPRODUCT(_xlfn.XLOOKUP($C14,$BM$1:$BM$3,$BN$1:$BY$3),$BN$4:$BY$4),""),
"")</f>
        <v/>
      </c>
      <c r="BR14" s="8" t="str">
        <f>IF(_xlfn.XLOOKUP($B14,'ELC TECH'!$H:$H,'ELC TECH'!$E:$E)="Non Dispatchable",IFERROR($AX14*_xlfn.XLOOKUP($C14,$BM$1:$BM$3,BR$1:BR$3)/SUMPRODUCT(_xlfn.XLOOKUP($C14,$BM$1:$BM$3,$BN$1:$BY$3),$BN$4:$BY$4),""),
"")</f>
        <v/>
      </c>
      <c r="BS14" s="8" t="str">
        <f>IF(_xlfn.XLOOKUP($B14,'ELC TECH'!$H:$H,'ELC TECH'!$E:$E)="Non Dispatchable",IFERROR($AX14*_xlfn.XLOOKUP($C14,$BM$1:$BM$3,BS$1:BS$3)/SUMPRODUCT(_xlfn.XLOOKUP($C14,$BM$1:$BM$3,$BN$1:$BY$3),$BN$4:$BY$4),""),
"")</f>
        <v/>
      </c>
      <c r="BT14" s="8" t="str">
        <f>IF(_xlfn.XLOOKUP($B14,'ELC TECH'!$H:$H,'ELC TECH'!$E:$E)="Non Dispatchable",IFERROR($AX14*_xlfn.XLOOKUP($C14,$BM$1:$BM$3,BT$1:BT$3)/SUMPRODUCT(_xlfn.XLOOKUP($C14,$BM$1:$BM$3,$BN$1:$BY$3),$BN$4:$BY$4),""),
"")</f>
        <v/>
      </c>
      <c r="BU14" s="8" t="str">
        <f>IF(_xlfn.XLOOKUP($B14,'ELC TECH'!$H:$H,'ELC TECH'!$E:$E)="Non Dispatchable",IFERROR($AX14*_xlfn.XLOOKUP($C14,$BM$1:$BM$3,BU$1:BU$3)/SUMPRODUCT(_xlfn.XLOOKUP($C14,$BM$1:$BM$3,$BN$1:$BY$3),$BN$4:$BY$4),""),
"")</f>
        <v/>
      </c>
      <c r="BV14" s="8" t="str">
        <f>IF(_xlfn.XLOOKUP($B14,'ELC TECH'!$H:$H,'ELC TECH'!$E:$E)="Non Dispatchable",IFERROR($AX14*_xlfn.XLOOKUP($C14,$BM$1:$BM$3,BV$1:BV$3)/SUMPRODUCT(_xlfn.XLOOKUP($C14,$BM$1:$BM$3,$BN$1:$BY$3),$BN$4:$BY$4),""),
"")</f>
        <v/>
      </c>
      <c r="BW14" s="8" t="str">
        <f>IF(_xlfn.XLOOKUP($B14,'ELC TECH'!$H:$H,'ELC TECH'!$E:$E)="Non Dispatchable",IFERROR($AX14*_xlfn.XLOOKUP($C14,$BM$1:$BM$3,BW$1:BW$3)/SUMPRODUCT(_xlfn.XLOOKUP($C14,$BM$1:$BM$3,$BN$1:$BY$3),$BN$4:$BY$4),""),
"")</f>
        <v/>
      </c>
      <c r="BX14" s="8" t="str">
        <f>IF(_xlfn.XLOOKUP($B14,'ELC TECH'!$H:$H,'ELC TECH'!$E:$E)="Non Dispatchable",IFERROR($AX14*_xlfn.XLOOKUP($C14,$BM$1:$BM$3,BX$1:BX$3)/SUMPRODUCT(_xlfn.XLOOKUP($C14,$BM$1:$BM$3,$BN$1:$BY$3),$BN$4:$BY$4),""),
"")</f>
        <v/>
      </c>
      <c r="BY14" s="8" t="str">
        <f>IF(_xlfn.XLOOKUP($B14,'ELC TECH'!$H:$H,'ELC TECH'!$E:$E)="Non Dispatchable",IFERROR($AX14*_xlfn.XLOOKUP($C14,$BM$1:$BM$3,BY$1:BY$3)/SUMPRODUCT(_xlfn.XLOOKUP($C14,$BM$1:$BM$3,$BN$1:$BY$3),$BN$4:$BY$4),""),
"")</f>
        <v/>
      </c>
      <c r="BZ14" s="8" t="str">
        <f>IF(_xlfn.XLOOKUP($B14,'ELC TECH'!$H:$H,'ELC TECH'!$E:$E)="Non Dispatchable",IFERROR($AX14*_xlfn.XLOOKUP($C14,$BM$1:$BM$3,BZ$1:BZ$3)/SUMPRODUCT(_xlfn.XLOOKUP($C14,$BM$1:$BM$3,$BN$1:$BY$3),$BN$4:$BY$4),""),
"")</f>
        <v/>
      </c>
      <c r="CA14" s="8" t="str">
        <f>IF(_xlfn.XLOOKUP($B14,'ELC TECH'!$H:$H,'ELC TECH'!$E:$E)="Non Dispatchable",IFERROR($AX14*_xlfn.XLOOKUP($C14,$BM$1:$BM$3,CA$1:CA$3)/SUMPRODUCT(_xlfn.XLOOKUP($C14,$BM$1:$BM$3,$BN$1:$BY$3),$BN$4:$BY$4),""),
"")</f>
        <v/>
      </c>
      <c r="CB14" s="8" t="str">
        <f>IF(_xlfn.XLOOKUP($B14,'ELC TECH'!$H:$H,'ELC TECH'!$E:$E)="Non Dispatchable",IFERROR($AX14*_xlfn.XLOOKUP($C14,$BM$1:$BM$3,CB$1:CB$3)/SUMPRODUCT(_xlfn.XLOOKUP($C14,$BM$1:$BM$3,$BN$1:$BY$3),$BN$4:$BY$4),""),
"")</f>
        <v/>
      </c>
      <c r="CC14" s="8" t="str">
        <f>IF(_xlfn.XLOOKUP($B14,'ELC TECH'!$H:$H,'ELC TECH'!$E:$E)="Non Dispatchable",IFERROR($AX14*_xlfn.XLOOKUP($C14,$BM$1:$BM$3,CC$1:CC$3)/SUMPRODUCT(_xlfn.XLOOKUP($C14,$BM$1:$BM$3,$BN$1:$BY$3),$BN$4:$BY$4),""),
"")</f>
        <v/>
      </c>
      <c r="CD14" s="8" t="str">
        <f>IF(_xlfn.XLOOKUP($B14,'ELC TECH'!$H:$H,'ELC TECH'!$E:$E)="Non Dispatchable",IFERROR($AX14*_xlfn.XLOOKUP($C14,$BM$1:$BM$3,CD$1:CD$3)/SUMPRODUCT(_xlfn.XLOOKUP($C14,$BM$1:$BM$3,$BN$1:$BY$3),$BN$4:$BY$4),""),
"")</f>
        <v/>
      </c>
      <c r="CE14" s="8" t="str">
        <f>IF(_xlfn.XLOOKUP($B14,'ELC TECH'!$H:$H,'ELC TECH'!$E:$E)="Non Dispatchable",IFERROR($AX14*_xlfn.XLOOKUP($C14,$BM$1:$BM$3,CE$1:CE$3)/SUMPRODUCT(_xlfn.XLOOKUP($C14,$BM$1:$BM$3,$BN$1:$BY$3),$BN$4:$BY$4),""),
"")</f>
        <v/>
      </c>
      <c r="CF14" s="8" t="str">
        <f>IF(_xlfn.XLOOKUP($B14,'ELC TECH'!$H:$H,'ELC TECH'!$E:$E)="Non Dispatchable",IFERROR($AX14*_xlfn.XLOOKUP($C14,$BM$1:$BM$3,CF$1:CF$3)/SUMPRODUCT(_xlfn.XLOOKUP($C14,$BM$1:$BM$3,$BN$1:$BY$3),$BN$4:$BY$4),""),
"")</f>
        <v/>
      </c>
      <c r="CG14" s="8" t="str">
        <f>IF(_xlfn.XLOOKUP($B14,'ELC TECH'!$H:$H,'ELC TECH'!$E:$E)="Non Dispatchable",IFERROR($AX14*_xlfn.XLOOKUP($C14,$BM$1:$BM$3,CG$1:CG$3)/SUMPRODUCT(_xlfn.XLOOKUP($C14,$BM$1:$BM$3,$BN$1:$BY$3),$BN$4:$BY$4),""),
"")</f>
        <v/>
      </c>
      <c r="CH14" s="8" t="str">
        <f>IF(_xlfn.XLOOKUP($B14,'ELC TECH'!$H:$H,'ELC TECH'!$E:$E)="Non Dispatchable",IFERROR($AX14*_xlfn.XLOOKUP($C14,$BM$1:$BM$3,CH$1:CH$3)/SUMPRODUCT(_xlfn.XLOOKUP($C14,$BM$1:$BM$3,$BN$1:$BY$3),$BN$4:$BY$4),""),
"")</f>
        <v/>
      </c>
      <c r="CI14" s="8" t="str">
        <f>IF(_xlfn.XLOOKUP($B14,'ELC TECH'!$H:$H,'ELC TECH'!$E:$E)="Non Dispatchable",IFERROR($AX14*_xlfn.XLOOKUP($C14,$BM$1:$BM$3,CI$1:CI$3)/SUMPRODUCT(_xlfn.XLOOKUP($C14,$BM$1:$BM$3,$BN$1:$BY$3),$BN$4:$BY$4),""),
"")</f>
        <v/>
      </c>
      <c r="CJ14" s="8" t="str">
        <f>IF(_xlfn.XLOOKUP($B14,'ELC TECH'!$H:$H,'ELC TECH'!$E:$E)="Non Dispatchable",IFERROR($AX14*_xlfn.XLOOKUP($C14,$BM$1:$BM$3,CJ$1:CJ$3)/SUMPRODUCT(_xlfn.XLOOKUP($C14,$BM$1:$BM$3,$BN$1:$BY$3),$BN$4:$BY$4),""),
"")</f>
        <v/>
      </c>
      <c r="CK14" s="8" t="str">
        <f>IF(_xlfn.XLOOKUP($B14,'ELC TECH'!$H:$H,'ELC TECH'!$E:$E)="Non Dispatchable",IFERROR($AX14*_xlfn.XLOOKUP($C14,$BM$1:$BM$3,CK$1:CK$3)/SUMPRODUCT(_xlfn.XLOOKUP($C14,$BM$1:$BM$3,$BN$1:$BY$3),$BN$4:$BY$4),""),
"")</f>
        <v/>
      </c>
      <c r="CL14" s="8" t="str">
        <f>IF(_xlfn.XLOOKUP($B14,'ELC TECH'!$H:$H,'ELC TECH'!$E:$E)="Storage",CL$4*$BF14,"")</f>
        <v/>
      </c>
      <c r="CM14" s="8" t="str">
        <f>IF(_xlfn.XLOOKUP($B14,'ELC TECH'!$H:$H,'ELC TECH'!$E:$E)="Storage",CM$4*$BF14,"")</f>
        <v/>
      </c>
      <c r="CN14" s="8" t="str">
        <f>IF(_xlfn.XLOOKUP($B14,'ELC TECH'!$H:$H,'ELC TECH'!$E:$E)="Storage",CN$4*$BF14,"")</f>
        <v/>
      </c>
      <c r="CO14" s="8" t="str">
        <f>IF(_xlfn.XLOOKUP($B14,'ELC TECH'!$H:$H,'ELC TECH'!$E:$E)="Storage",CO$4*$BF14,"")</f>
        <v/>
      </c>
      <c r="CP14" s="8" t="str">
        <f>IF(_xlfn.XLOOKUP($B14,'ELC TECH'!$H:$H,'ELC TECH'!$E:$E)="Storage",CP$4*$BF14,"")</f>
        <v/>
      </c>
      <c r="CQ14" s="8" t="str">
        <f>IF(_xlfn.XLOOKUP($B14,'ELC TECH'!$H:$H,'ELC TECH'!$E:$E)="Storage",CQ$4*$BF14,"")</f>
        <v/>
      </c>
      <c r="CR14" s="8" t="str">
        <f>IF(_xlfn.XLOOKUP($B14,'ELC TECH'!$H:$H,'ELC TECH'!$E:$E)="Storage",CR$4*$BF14,"")</f>
        <v/>
      </c>
      <c r="CS14" s="8" t="str">
        <f>IF(_xlfn.XLOOKUP($B14,'ELC TECH'!$H:$H,'ELC TECH'!$E:$E)="Storage",CS$4*$BF14,"")</f>
        <v/>
      </c>
      <c r="CT14" s="8" t="str">
        <f>IF(_xlfn.XLOOKUP($B14,'ELC TECH'!$H:$H,'ELC TECH'!$E:$E)="Storage",CT$4*$BF14,"")</f>
        <v/>
      </c>
      <c r="CU14" s="8" t="str">
        <f>IF(_xlfn.XLOOKUP($B14,'ELC TECH'!$H:$H,'ELC TECH'!$E:$E)="Storage",CU$4*$BF14,"")</f>
        <v/>
      </c>
      <c r="CV14" s="8" t="str">
        <f>IF(_xlfn.XLOOKUP($B14,'ELC TECH'!$H:$H,'ELC TECH'!$E:$E)="Storage",CV$4*$BF14,"")</f>
        <v/>
      </c>
      <c r="CW14" s="8" t="str">
        <f>IF(_xlfn.XLOOKUP($B14,'ELC TECH'!$H:$H,'ELC TECH'!$E:$E)="Storage",CW$4*$BF14,"")</f>
        <v/>
      </c>
      <c r="CX14" s="8" t="str">
        <f>IF(_xlfn.XLOOKUP($B14,'ELC TECH'!$H:$H,'ELC TECH'!$E:$E)="Storage",CX$4*$BF14,"")</f>
        <v/>
      </c>
      <c r="CY14" s="8" t="str">
        <f>IF(_xlfn.XLOOKUP($B14,'ELC TECH'!$H:$H,'ELC TECH'!$E:$E)="Storage",CY$4*$BF14,"")</f>
        <v/>
      </c>
      <c r="CZ14" s="8" t="str">
        <f>IF(_xlfn.XLOOKUP($B14,'ELC TECH'!$H:$H,'ELC TECH'!$E:$E)="Storage",CZ$4*$BF14,"")</f>
        <v/>
      </c>
      <c r="DA14" s="8" t="str">
        <f>IF(_xlfn.XLOOKUP($B14,'ELC TECH'!$H:$H,'ELC TECH'!$E:$E)="Storage",DA$4*$BF14,"")</f>
        <v/>
      </c>
      <c r="DB14" s="8" t="str">
        <f>IF(_xlfn.XLOOKUP($B14,'ELC TECH'!$H:$H,'ELC TECH'!$E:$E)="Storage",DB$4*$BF14,"")</f>
        <v/>
      </c>
      <c r="DC14" s="8" t="str">
        <f>IF(_xlfn.XLOOKUP($B14,'ELC TECH'!$H:$H,'ELC TECH'!$E:$E)="Storage",DC$4*$BF14,"")</f>
        <v/>
      </c>
      <c r="DD14" s="8" t="str">
        <f>IF(_xlfn.XLOOKUP($B14,'ELC TECH'!$H:$H,'ELC TECH'!$E:$E)="Storage",DD$4*$BF14,"")</f>
        <v/>
      </c>
      <c r="DE14" s="8" t="str">
        <f>IF(_xlfn.XLOOKUP($B14,'ELC TECH'!$H:$H,'ELC TECH'!$E:$E)="Storage",DE$4*$BF14,"")</f>
        <v/>
      </c>
      <c r="DF14" s="8" t="str">
        <f>IF(_xlfn.XLOOKUP($B14,'ELC TECH'!$H:$H,'ELC TECH'!$E:$E)="Storage",DF$4*$BF14,"")</f>
        <v/>
      </c>
      <c r="DG14" s="8" t="str">
        <f>IF(_xlfn.XLOOKUP($B14,'ELC TECH'!$H:$H,'ELC TECH'!$E:$E)="Storage",DG$4*$BF14,"")</f>
        <v/>
      </c>
      <c r="DH14" s="8" t="str">
        <f>IF(_xlfn.XLOOKUP($B14,'ELC TECH'!$H:$H,'ELC TECH'!$E:$E)="Storage",DH$4*$BF14,"")</f>
        <v/>
      </c>
      <c r="DI14" s="8" t="str">
        <f>IF(_xlfn.XLOOKUP($B14,'ELC TECH'!$H:$H,'ELC TECH'!$E:$E)="Storage",DI$4*$BF14,"")</f>
        <v/>
      </c>
    </row>
    <row r="15" spans="2:113" x14ac:dyDescent="0.25">
      <c r="B15" t="str">
        <f>IF('ELC TECH'!I8=0,"*",'ELC TECH'!H8)</f>
        <v>ELCHYDGRDHNSDC520</v>
      </c>
      <c r="C15" t="str">
        <f>IF(_xlfn.XLOOKUP(_xlfn.XLOOKUP(B15,'ELC TECH'!$H:$H,'ELC TECH'!$G:$G),List!C:C,List!B:B)="STG",D15,"ELC"&amp;_xlfn.XLOOKUP(_xlfn.XLOOKUP(B15,'ELC TECH'!H:H,'ELC TECH'!G:G),List!C:C,List!B:B))</f>
        <v>ELCHYD</v>
      </c>
      <c r="D15" t="s">
        <v>544</v>
      </c>
      <c r="E15">
        <f>_xlfn.XLOOKUP(B15,'ELC TECH'!H:H,'ELC TECH'!D:D)</f>
        <v>2020</v>
      </c>
      <c r="F15">
        <f>_xlfn.XLOOKUP(B15,'ELC TECH'!H:H,'ELC TECH'!K:K)</f>
        <v>100</v>
      </c>
      <c r="G15">
        <f t="shared" si="4"/>
        <v>31.535999999999998</v>
      </c>
      <c r="H15">
        <f>IF(_xlfn.XLOOKUP(B15,'ELC TECH'!$H:$H,'ELC TECH'!$E:$E)="Storage",0.3,IF(_xlfn.XLOOKUP(B15,'ELC TECH'!$H:$H,'ELC TECH'!$E:$E)="Baseload",0.9,IF(_xlfn.XLOOKUP(B15,'ELC TECH'!$H:$H,'ELC TECH'!$E:$E)="Non Dispatchable",0.05,IF(_xlfn.XLOOKUP(B15,'ELC TECH'!$H:$H,'ELC TECH'!$E:$E)="Dispatchable",0.9,1))))</f>
        <v>0.9</v>
      </c>
      <c r="I15" s="13">
        <f>IF(_xlfn.XLOOKUP(B15,'ELC TECH'!H:H,'ELC TECH'!J:J)="","",_xlfn.XLOOKUP(B15,'ELC TECH'!H:H,'ELC TECH'!J:J))</f>
        <v>0</v>
      </c>
      <c r="J15" s="12">
        <f>IF(_xlfn.XLOOKUP($B15,'ELC TECH'!$H:$H,'ELC TECH'!$E:$E)="Storage","",IF(_xlfn.XLOOKUP($B15,'ELC TECH'!$H:$H,'ELC TECH'!AK:AK)="",1,_xlfn.XLOOKUP($B15,'ELC TECH'!$H:$H,'ELC TECH'!AK:AK)))</f>
        <v>1</v>
      </c>
      <c r="K15" s="12">
        <f>IF(_xlfn.XLOOKUP($B15,'ELC TECH'!$H:$H,'ELC TECH'!$E:$E)="Storage","",IF(_xlfn.XLOOKUP($B15,'ELC TECH'!$H:$H,'ELC TECH'!AL:AL)="",1,_xlfn.XLOOKUP($B15,'ELC TECH'!$H:$H,'ELC TECH'!AL:AL)))</f>
        <v>1</v>
      </c>
      <c r="L15" s="12">
        <f>IF(_xlfn.XLOOKUP($B15,'ELC TECH'!$H:$H,'ELC TECH'!$E:$E)="Storage","",IF(_xlfn.XLOOKUP($B15,'ELC TECH'!$H:$H,'ELC TECH'!AM:AM)="",1,_xlfn.XLOOKUP($B15,'ELC TECH'!$H:$H,'ELC TECH'!AM:AM)))</f>
        <v>1</v>
      </c>
      <c r="M15" s="12">
        <f>IF(_xlfn.XLOOKUP($B15,'ELC TECH'!$H:$H,'ELC TECH'!$E:$E)="Storage","",IF(_xlfn.XLOOKUP($B15,'ELC TECH'!$H:$H,'ELC TECH'!AN:AN)="",1,_xlfn.XLOOKUP($B15,'ELC TECH'!$H:$H,'ELC TECH'!AN:AN)))</f>
        <v>1</v>
      </c>
      <c r="N15" s="12">
        <f>IF(_xlfn.XLOOKUP($B15,'ELC TECH'!$H:$H,'ELC TECH'!$E:$E)="Storage","",IF(_xlfn.XLOOKUP($B15,'ELC TECH'!$H:$H,'ELC TECH'!AO:AO)="",1,_xlfn.XLOOKUP($B15,'ELC TECH'!$H:$H,'ELC TECH'!AO:AO)))</f>
        <v>1</v>
      </c>
      <c r="O15" s="12">
        <f>IF(_xlfn.XLOOKUP($B15,'ELC TECH'!$H:$H,'ELC TECH'!$E:$E)="Storage","",IF(_xlfn.XLOOKUP($B15,'ELC TECH'!$H:$H,'ELC TECH'!AP:AP)="",1,_xlfn.XLOOKUP($B15,'ELC TECH'!$H:$H,'ELC TECH'!AP:AP)))</f>
        <v>1</v>
      </c>
      <c r="P15" s="12">
        <f>IF(_xlfn.XLOOKUP($B15,'ELC TECH'!$H:$H,'ELC TECH'!$E:$E)="Storage","",IF(_xlfn.XLOOKUP($B15,'ELC TECH'!$H:$H,'ELC TECH'!AQ:AQ)="",1,_xlfn.XLOOKUP($B15,'ELC TECH'!$H:$H,'ELC TECH'!AQ:AQ)))</f>
        <v>1</v>
      </c>
      <c r="Q15" s="12">
        <f>IF(_xlfn.XLOOKUP($B15,'ELC TECH'!$H:$H,'ELC TECH'!$E:$E)="Storage","",IF(_xlfn.XLOOKUP($B15,'ELC TECH'!$H:$H,'ELC TECH'!AR:AR)="",1,_xlfn.XLOOKUP($B15,'ELC TECH'!$H:$H,'ELC TECH'!AR:AR)))</f>
        <v>1</v>
      </c>
      <c r="R15" s="12" t="str">
        <f>IF(_xlfn.XLOOKUP($B15,'ELC TECH'!$H:$H,'ELC TECH'!$E:$E)&lt;&gt;"Storage","",IF(_xlfn.XLOOKUP($B15,'ELC TECH'!$H:$H,'ELC TECH'!AK:AK)="",0.8,_xlfn.XLOOKUP($B15,'ELC TECH'!$H:$H,'ELC TECH'!AK:AK)))</f>
        <v/>
      </c>
      <c r="S15" s="12" t="str">
        <f>IF(_xlfn.XLOOKUP($B15,'ELC TECH'!$H:$H,'ELC TECH'!$E:$E)&lt;&gt;"Storage","",IF(_xlfn.XLOOKUP($B15,'ELC TECH'!$H:$H,'ELC TECH'!AL:AL)="",0.8,_xlfn.XLOOKUP($B15,'ELC TECH'!$H:$H,'ELC TECH'!AL:AL)))</f>
        <v/>
      </c>
      <c r="T15" s="12" t="str">
        <f>IF(_xlfn.XLOOKUP($B15,'ELC TECH'!$H:$H,'ELC TECH'!$E:$E)&lt;&gt;"Storage","",IF(_xlfn.XLOOKUP($B15,'ELC TECH'!$H:$H,'ELC TECH'!AM:AM)="",0.8,_xlfn.XLOOKUP($B15,'ELC TECH'!$H:$H,'ELC TECH'!AM:AM)))</f>
        <v/>
      </c>
      <c r="U15" s="12" t="str">
        <f>IF(_xlfn.XLOOKUP($B15,'ELC TECH'!$H:$H,'ELC TECH'!$E:$E)&lt;&gt;"Storage","",IF(_xlfn.XLOOKUP($B15,'ELC TECH'!$H:$H,'ELC TECH'!AN:AN)="",0.8,_xlfn.XLOOKUP($B15,'ELC TECH'!$H:$H,'ELC TECH'!AN:AN)))</f>
        <v/>
      </c>
      <c r="V15" s="12" t="str">
        <f>IF(_xlfn.XLOOKUP($B15,'ELC TECH'!$H:$H,'ELC TECH'!$E:$E)&lt;&gt;"Storage","",IF(_xlfn.XLOOKUP($B15,'ELC TECH'!$H:$H,'ELC TECH'!AO:AO)="",0.8,_xlfn.XLOOKUP($B15,'ELC TECH'!$H:$H,'ELC TECH'!AO:AO)))</f>
        <v/>
      </c>
      <c r="W15" s="12" t="str">
        <f>IF(_xlfn.XLOOKUP($B15,'ELC TECH'!$H:$H,'ELC TECH'!$E:$E)&lt;&gt;"Storage","",IF(_xlfn.XLOOKUP($B15,'ELC TECH'!$H:$H,'ELC TECH'!AP:AP)="",0.8,_xlfn.XLOOKUP($B15,'ELC TECH'!$H:$H,'ELC TECH'!AP:AP)))</f>
        <v/>
      </c>
      <c r="X15" s="12" t="str">
        <f>IF(_xlfn.XLOOKUP($B15,'ELC TECH'!$H:$H,'ELC TECH'!$E:$E)&lt;&gt;"Storage","",IF(_xlfn.XLOOKUP($B15,'ELC TECH'!$H:$H,'ELC TECH'!AQ:AQ)="",0.8,_xlfn.XLOOKUP($B15,'ELC TECH'!$H:$H,'ELC TECH'!AQ:AQ)))</f>
        <v/>
      </c>
      <c r="Y15" s="12" t="str">
        <f>IF(_xlfn.XLOOKUP($B15,'ELC TECH'!$H:$H,'ELC TECH'!$E:$E)&lt;&gt;"Storage","",IF(_xlfn.XLOOKUP($B15,'ELC TECH'!$H:$H,'ELC TECH'!AR:AR)="",0.8,_xlfn.XLOOKUP($B15,'ELC TECH'!$H:$H,'ELC TECH'!AR:AR)))</f>
        <v/>
      </c>
      <c r="Z15" s="15">
        <f>_xlfn.XLOOKUP($B15,'ELC TECH'!$H:$H,'ELC TECH'!M:M)</f>
        <v>7060.5040856686428</v>
      </c>
      <c r="AA15" s="15">
        <f>_xlfn.XLOOKUP($B15,'ELC TECH'!$H:$H,'ELC TECH'!N:N)</f>
        <v>7060.5040856686428</v>
      </c>
      <c r="AB15" s="15">
        <f>_xlfn.XLOOKUP($B15,'ELC TECH'!$H:$H,'ELC TECH'!O:O)</f>
        <v>7060.5040856686428</v>
      </c>
      <c r="AC15" s="15">
        <f>_xlfn.XLOOKUP($B15,'ELC TECH'!$H:$H,'ELC TECH'!P:P)</f>
        <v>7060.5040856686428</v>
      </c>
      <c r="AD15" s="15">
        <f>_xlfn.XLOOKUP($B15,'ELC TECH'!$H:$H,'ELC TECH'!Q:Q)</f>
        <v>7060.5040856686428</v>
      </c>
      <c r="AE15" s="15">
        <f>_xlfn.XLOOKUP($B15,'ELC TECH'!$H:$H,'ELC TECH'!R:R)</f>
        <v>7060.5040856686428</v>
      </c>
      <c r="AF15" s="15">
        <f>_xlfn.XLOOKUP($B15,'ELC TECH'!$H:$H,'ELC TECH'!S:S)</f>
        <v>7060.5040856686428</v>
      </c>
      <c r="AG15" s="15">
        <f>_xlfn.XLOOKUP($B15,'ELC TECH'!$H:$H,'ELC TECH'!T:T)</f>
        <v>7060.5040856686428</v>
      </c>
      <c r="AH15" s="15">
        <f>_xlfn.XLOOKUP($B15,'ELC TECH'!$H:$H,'ELC TECH'!U:U)</f>
        <v>37.315284245205831</v>
      </c>
      <c r="AI15" s="15">
        <f>_xlfn.XLOOKUP($B15,'ELC TECH'!$H:$H,'ELC TECH'!V:V)</f>
        <v>37.315284245205831</v>
      </c>
      <c r="AJ15" s="15">
        <f>_xlfn.XLOOKUP($B15,'ELC TECH'!$H:$H,'ELC TECH'!W:W)</f>
        <v>37.315284245205831</v>
      </c>
      <c r="AK15" s="15">
        <f>_xlfn.XLOOKUP($B15,'ELC TECH'!$H:$H,'ELC TECH'!X:X)</f>
        <v>37.315284245205831</v>
      </c>
      <c r="AL15" s="15">
        <f>_xlfn.XLOOKUP($B15,'ELC TECH'!$H:$H,'ELC TECH'!Y:Y)</f>
        <v>37.315284245205831</v>
      </c>
      <c r="AM15" s="15">
        <f>_xlfn.XLOOKUP($B15,'ELC TECH'!$H:$H,'ELC TECH'!Z:Z)</f>
        <v>37.315284245205831</v>
      </c>
      <c r="AN15" s="15">
        <f>_xlfn.XLOOKUP($B15,'ELC TECH'!$H:$H,'ELC TECH'!AA:AA)</f>
        <v>37.315284245205831</v>
      </c>
      <c r="AO15" s="15">
        <f>_xlfn.XLOOKUP($B15,'ELC TECH'!$H:$H,'ELC TECH'!AB:AB)</f>
        <v>37.315284245205831</v>
      </c>
      <c r="AP15" s="15">
        <f>_xlfn.XLOOKUP($B15,'ELC TECH'!$H:$H,'ELC TECH'!AC:AC)</f>
        <v>0</v>
      </c>
      <c r="AQ15" s="15">
        <f>_xlfn.XLOOKUP($B15,'ELC TECH'!$H:$H,'ELC TECH'!AD:AD)</f>
        <v>0</v>
      </c>
      <c r="AR15" s="15">
        <f>_xlfn.XLOOKUP($B15,'ELC TECH'!$H:$H,'ELC TECH'!AE:AE)</f>
        <v>0</v>
      </c>
      <c r="AS15" s="15">
        <f>_xlfn.XLOOKUP($B15,'ELC TECH'!$H:$H,'ELC TECH'!AF:AF)</f>
        <v>0</v>
      </c>
      <c r="AT15" s="15">
        <f>_xlfn.XLOOKUP($B15,'ELC TECH'!$H:$H,'ELC TECH'!AG:AG)</f>
        <v>0</v>
      </c>
      <c r="AU15" s="15">
        <f>_xlfn.XLOOKUP($B15,'ELC TECH'!$H:$H,'ELC TECH'!AH:AH)</f>
        <v>0</v>
      </c>
      <c r="AV15" s="15">
        <f>_xlfn.XLOOKUP($B15,'ELC TECH'!$H:$H,'ELC TECH'!AI:AI)</f>
        <v>0</v>
      </c>
      <c r="AW15" s="15">
        <f>_xlfn.XLOOKUP($B15,'ELC TECH'!$H:$H,'ELC TECH'!AJ:AJ)</f>
        <v>0</v>
      </c>
      <c r="AX15" s="12">
        <f>IF(_xlfn.XLOOKUP($B15,'ELC TECH'!$H:$H,'ELC TECH'!$E:$E)="Storage","",_xlfn.XLOOKUP($B15,'ELC TECH'!$H:$H,'ELC TECH'!AS:AS))</f>
        <v>0.66</v>
      </c>
      <c r="AY15" s="12">
        <f>IF(_xlfn.XLOOKUP($B15,'ELC TECH'!$H:$H,'ELC TECH'!$E:$E)="Storage","",_xlfn.XLOOKUP($B15,'ELC TECH'!$H:$H,'ELC TECH'!AT:AT))</f>
        <v>0.66</v>
      </c>
      <c r="AZ15" s="12">
        <f>IF(_xlfn.XLOOKUP($B15,'ELC TECH'!$H:$H,'ELC TECH'!$E:$E)="Storage","",_xlfn.XLOOKUP($B15,'ELC TECH'!$H:$H,'ELC TECH'!AU:AU))</f>
        <v>0.66</v>
      </c>
      <c r="BA15" s="12">
        <f>IF(_xlfn.XLOOKUP($B15,'ELC TECH'!$H:$H,'ELC TECH'!$E:$E)="Storage","",_xlfn.XLOOKUP($B15,'ELC TECH'!$H:$H,'ELC TECH'!AV:AV))</f>
        <v>0.66</v>
      </c>
      <c r="BB15" s="12">
        <f>IF(_xlfn.XLOOKUP($B15,'ELC TECH'!$H:$H,'ELC TECH'!$E:$E)="Storage","",_xlfn.XLOOKUP($B15,'ELC TECH'!$H:$H,'ELC TECH'!AW:AW))</f>
        <v>0.66</v>
      </c>
      <c r="BC15" s="12">
        <f>IF(_xlfn.XLOOKUP($B15,'ELC TECH'!$H:$H,'ELC TECH'!$E:$E)="Storage","",_xlfn.XLOOKUP($B15,'ELC TECH'!$H:$H,'ELC TECH'!AX:AX))</f>
        <v>0.66</v>
      </c>
      <c r="BD15" s="12">
        <f>IF(_xlfn.XLOOKUP($B15,'ELC TECH'!$H:$H,'ELC TECH'!$E:$E)="Storage","",_xlfn.XLOOKUP($B15,'ELC TECH'!$H:$H,'ELC TECH'!AY:AY))</f>
        <v>0.66</v>
      </c>
      <c r="BE15" s="12">
        <f>IF(_xlfn.XLOOKUP($B15,'ELC TECH'!$H:$H,'ELC TECH'!$E:$E)="Storage","",_xlfn.XLOOKUP($B15,'ELC TECH'!$H:$H,'ELC TECH'!AZ:AZ))</f>
        <v>0.66</v>
      </c>
      <c r="BF15" s="12" t="str">
        <f>IF(_xlfn.XLOOKUP($B15,'ELC TECH'!$H:$H,'ELC TECH'!$E:$E)="Storage",_xlfn.XLOOKUP($B15,'ELC TECH'!$H:$H,'ELC TECH'!AS:AS),"")</f>
        <v/>
      </c>
      <c r="BG15" s="12" t="str">
        <f>IF(_xlfn.XLOOKUP($B15,'ELC TECH'!$H:$H,'ELC TECH'!$E:$E)="Storage",_xlfn.XLOOKUP($B15,'ELC TECH'!$H:$H,'ELC TECH'!AT:AT),"")</f>
        <v/>
      </c>
      <c r="BH15" s="12" t="str">
        <f>IF(_xlfn.XLOOKUP($B15,'ELC TECH'!$H:$H,'ELC TECH'!$E:$E)="Storage",_xlfn.XLOOKUP($B15,'ELC TECH'!$H:$H,'ELC TECH'!AU:AU),"")</f>
        <v/>
      </c>
      <c r="BI15" s="12" t="str">
        <f>IF(_xlfn.XLOOKUP($B15,'ELC TECH'!$H:$H,'ELC TECH'!$E:$E)="Storage",_xlfn.XLOOKUP($B15,'ELC TECH'!$H:$H,'ELC TECH'!AV:AV),"")</f>
        <v/>
      </c>
      <c r="BJ15" s="12" t="str">
        <f>IF(_xlfn.XLOOKUP($B15,'ELC TECH'!$H:$H,'ELC TECH'!$E:$E)="Storage",_xlfn.XLOOKUP($B15,'ELC TECH'!$H:$H,'ELC TECH'!AW:AW),"")</f>
        <v/>
      </c>
      <c r="BK15" s="12" t="str">
        <f>IF(_xlfn.XLOOKUP($B15,'ELC TECH'!$H:$H,'ELC TECH'!$E:$E)="Storage",_xlfn.XLOOKUP($B15,'ELC TECH'!$H:$H,'ELC TECH'!AX:AX),"")</f>
        <v/>
      </c>
      <c r="BL15" s="12" t="str">
        <f>IF(_xlfn.XLOOKUP($B15,'ELC TECH'!$H:$H,'ELC TECH'!$E:$E)="Storage",_xlfn.XLOOKUP($B15,'ELC TECH'!$H:$H,'ELC TECH'!AY:AY),"")</f>
        <v/>
      </c>
      <c r="BM15" s="12" t="str">
        <f>IF(_xlfn.XLOOKUP($B15,'ELC TECH'!$H:$H,'ELC TECH'!$E:$E)="Storage",_xlfn.XLOOKUP($B15,'ELC TECH'!$H:$H,'ELC TECH'!AZ:AZ),"")</f>
        <v/>
      </c>
      <c r="BN15" s="8" t="str">
        <f>IF(_xlfn.XLOOKUP($B15,'ELC TECH'!$H:$H,'ELC TECH'!$E:$E)="Non Dispatchable",IFERROR($AX15*_xlfn.XLOOKUP($C15,$BM$1:$BM$3,BN$1:BN$3)/SUMPRODUCT(_xlfn.XLOOKUP($C15,$BM$1:$BM$3,$BN$1:$BY$3),$BN$4:$BY$4),""),
"")</f>
        <v/>
      </c>
      <c r="BO15" s="8" t="str">
        <f>IF(_xlfn.XLOOKUP($B15,'ELC TECH'!$H:$H,'ELC TECH'!$E:$E)="Non Dispatchable",IFERROR($AX15*_xlfn.XLOOKUP($C15,$BM$1:$BM$3,BO$1:BO$3)/SUMPRODUCT(_xlfn.XLOOKUP($C15,$BM$1:$BM$3,$BN$1:$BY$3),$BN$4:$BY$4),""),
"")</f>
        <v/>
      </c>
      <c r="BP15" s="8" t="str">
        <f>IF(_xlfn.XLOOKUP($B15,'ELC TECH'!$H:$H,'ELC TECH'!$E:$E)="Non Dispatchable",IFERROR($AX15*_xlfn.XLOOKUP($C15,$BM$1:$BM$3,BP$1:BP$3)/SUMPRODUCT(_xlfn.XLOOKUP($C15,$BM$1:$BM$3,$BN$1:$BY$3),$BN$4:$BY$4),""),
"")</f>
        <v/>
      </c>
      <c r="BQ15" s="8" t="str">
        <f>IF(_xlfn.XLOOKUP($B15,'ELC TECH'!$H:$H,'ELC TECH'!$E:$E)="Non Dispatchable",IFERROR($AX15*_xlfn.XLOOKUP($C15,$BM$1:$BM$3,BQ$1:BQ$3)/SUMPRODUCT(_xlfn.XLOOKUP($C15,$BM$1:$BM$3,$BN$1:$BY$3),$BN$4:$BY$4),""),
"")</f>
        <v/>
      </c>
      <c r="BR15" s="8" t="str">
        <f>IF(_xlfn.XLOOKUP($B15,'ELC TECH'!$H:$H,'ELC TECH'!$E:$E)="Non Dispatchable",IFERROR($AX15*_xlfn.XLOOKUP($C15,$BM$1:$BM$3,BR$1:BR$3)/SUMPRODUCT(_xlfn.XLOOKUP($C15,$BM$1:$BM$3,$BN$1:$BY$3),$BN$4:$BY$4),""),
"")</f>
        <v/>
      </c>
      <c r="BS15" s="8" t="str">
        <f>IF(_xlfn.XLOOKUP($B15,'ELC TECH'!$H:$H,'ELC TECH'!$E:$E)="Non Dispatchable",IFERROR($AX15*_xlfn.XLOOKUP($C15,$BM$1:$BM$3,BS$1:BS$3)/SUMPRODUCT(_xlfn.XLOOKUP($C15,$BM$1:$BM$3,$BN$1:$BY$3),$BN$4:$BY$4),""),
"")</f>
        <v/>
      </c>
      <c r="BT15" s="8" t="str">
        <f>IF(_xlfn.XLOOKUP($B15,'ELC TECH'!$H:$H,'ELC TECH'!$E:$E)="Non Dispatchable",IFERROR($AX15*_xlfn.XLOOKUP($C15,$BM$1:$BM$3,BT$1:BT$3)/SUMPRODUCT(_xlfn.XLOOKUP($C15,$BM$1:$BM$3,$BN$1:$BY$3),$BN$4:$BY$4),""),
"")</f>
        <v/>
      </c>
      <c r="BU15" s="8" t="str">
        <f>IF(_xlfn.XLOOKUP($B15,'ELC TECH'!$H:$H,'ELC TECH'!$E:$E)="Non Dispatchable",IFERROR($AX15*_xlfn.XLOOKUP($C15,$BM$1:$BM$3,BU$1:BU$3)/SUMPRODUCT(_xlfn.XLOOKUP($C15,$BM$1:$BM$3,$BN$1:$BY$3),$BN$4:$BY$4),""),
"")</f>
        <v/>
      </c>
      <c r="BV15" s="8" t="str">
        <f>IF(_xlfn.XLOOKUP($B15,'ELC TECH'!$H:$H,'ELC TECH'!$E:$E)="Non Dispatchable",IFERROR($AX15*_xlfn.XLOOKUP($C15,$BM$1:$BM$3,BV$1:BV$3)/SUMPRODUCT(_xlfn.XLOOKUP($C15,$BM$1:$BM$3,$BN$1:$BY$3),$BN$4:$BY$4),""),
"")</f>
        <v/>
      </c>
      <c r="BW15" s="8" t="str">
        <f>IF(_xlfn.XLOOKUP($B15,'ELC TECH'!$H:$H,'ELC TECH'!$E:$E)="Non Dispatchable",IFERROR($AX15*_xlfn.XLOOKUP($C15,$BM$1:$BM$3,BW$1:BW$3)/SUMPRODUCT(_xlfn.XLOOKUP($C15,$BM$1:$BM$3,$BN$1:$BY$3),$BN$4:$BY$4),""),
"")</f>
        <v/>
      </c>
      <c r="BX15" s="8" t="str">
        <f>IF(_xlfn.XLOOKUP($B15,'ELC TECH'!$H:$H,'ELC TECH'!$E:$E)="Non Dispatchable",IFERROR($AX15*_xlfn.XLOOKUP($C15,$BM$1:$BM$3,BX$1:BX$3)/SUMPRODUCT(_xlfn.XLOOKUP($C15,$BM$1:$BM$3,$BN$1:$BY$3),$BN$4:$BY$4),""),
"")</f>
        <v/>
      </c>
      <c r="BY15" s="8" t="str">
        <f>IF(_xlfn.XLOOKUP($B15,'ELC TECH'!$H:$H,'ELC TECH'!$E:$E)="Non Dispatchable",IFERROR($AX15*_xlfn.XLOOKUP($C15,$BM$1:$BM$3,BY$1:BY$3)/SUMPRODUCT(_xlfn.XLOOKUP($C15,$BM$1:$BM$3,$BN$1:$BY$3),$BN$4:$BY$4),""),
"")</f>
        <v/>
      </c>
      <c r="BZ15" s="8" t="str">
        <f>IF(_xlfn.XLOOKUP($B15,'ELC TECH'!$H:$H,'ELC TECH'!$E:$E)="Non Dispatchable",IFERROR($AX15*_xlfn.XLOOKUP($C15,$BM$1:$BM$3,BZ$1:BZ$3)/SUMPRODUCT(_xlfn.XLOOKUP($C15,$BM$1:$BM$3,$BN$1:$BY$3),$BN$4:$BY$4),""),
"")</f>
        <v/>
      </c>
      <c r="CA15" s="8" t="str">
        <f>IF(_xlfn.XLOOKUP($B15,'ELC TECH'!$H:$H,'ELC TECH'!$E:$E)="Non Dispatchable",IFERROR($AX15*_xlfn.XLOOKUP($C15,$BM$1:$BM$3,CA$1:CA$3)/SUMPRODUCT(_xlfn.XLOOKUP($C15,$BM$1:$BM$3,$BN$1:$BY$3),$BN$4:$BY$4),""),
"")</f>
        <v/>
      </c>
      <c r="CB15" s="8" t="str">
        <f>IF(_xlfn.XLOOKUP($B15,'ELC TECH'!$H:$H,'ELC TECH'!$E:$E)="Non Dispatchable",IFERROR($AX15*_xlfn.XLOOKUP($C15,$BM$1:$BM$3,CB$1:CB$3)/SUMPRODUCT(_xlfn.XLOOKUP($C15,$BM$1:$BM$3,$BN$1:$BY$3),$BN$4:$BY$4),""),
"")</f>
        <v/>
      </c>
      <c r="CC15" s="8" t="str">
        <f>IF(_xlfn.XLOOKUP($B15,'ELC TECH'!$H:$H,'ELC TECH'!$E:$E)="Non Dispatchable",IFERROR($AX15*_xlfn.XLOOKUP($C15,$BM$1:$BM$3,CC$1:CC$3)/SUMPRODUCT(_xlfn.XLOOKUP($C15,$BM$1:$BM$3,$BN$1:$BY$3),$BN$4:$BY$4),""),
"")</f>
        <v/>
      </c>
      <c r="CD15" s="8" t="str">
        <f>IF(_xlfn.XLOOKUP($B15,'ELC TECH'!$H:$H,'ELC TECH'!$E:$E)="Non Dispatchable",IFERROR($AX15*_xlfn.XLOOKUP($C15,$BM$1:$BM$3,CD$1:CD$3)/SUMPRODUCT(_xlfn.XLOOKUP($C15,$BM$1:$BM$3,$BN$1:$BY$3),$BN$4:$BY$4),""),
"")</f>
        <v/>
      </c>
      <c r="CE15" s="8" t="str">
        <f>IF(_xlfn.XLOOKUP($B15,'ELC TECH'!$H:$H,'ELC TECH'!$E:$E)="Non Dispatchable",IFERROR($AX15*_xlfn.XLOOKUP($C15,$BM$1:$BM$3,CE$1:CE$3)/SUMPRODUCT(_xlfn.XLOOKUP($C15,$BM$1:$BM$3,$BN$1:$BY$3),$BN$4:$BY$4),""),
"")</f>
        <v/>
      </c>
      <c r="CF15" s="8" t="str">
        <f>IF(_xlfn.XLOOKUP($B15,'ELC TECH'!$H:$H,'ELC TECH'!$E:$E)="Non Dispatchable",IFERROR($AX15*_xlfn.XLOOKUP($C15,$BM$1:$BM$3,CF$1:CF$3)/SUMPRODUCT(_xlfn.XLOOKUP($C15,$BM$1:$BM$3,$BN$1:$BY$3),$BN$4:$BY$4),""),
"")</f>
        <v/>
      </c>
      <c r="CG15" s="8" t="str">
        <f>IF(_xlfn.XLOOKUP($B15,'ELC TECH'!$H:$H,'ELC TECH'!$E:$E)="Non Dispatchable",IFERROR($AX15*_xlfn.XLOOKUP($C15,$BM$1:$BM$3,CG$1:CG$3)/SUMPRODUCT(_xlfn.XLOOKUP($C15,$BM$1:$BM$3,$BN$1:$BY$3),$BN$4:$BY$4),""),
"")</f>
        <v/>
      </c>
      <c r="CH15" s="8" t="str">
        <f>IF(_xlfn.XLOOKUP($B15,'ELC TECH'!$H:$H,'ELC TECH'!$E:$E)="Non Dispatchable",IFERROR($AX15*_xlfn.XLOOKUP($C15,$BM$1:$BM$3,CH$1:CH$3)/SUMPRODUCT(_xlfn.XLOOKUP($C15,$BM$1:$BM$3,$BN$1:$BY$3),$BN$4:$BY$4),""),
"")</f>
        <v/>
      </c>
      <c r="CI15" s="8" t="str">
        <f>IF(_xlfn.XLOOKUP($B15,'ELC TECH'!$H:$H,'ELC TECH'!$E:$E)="Non Dispatchable",IFERROR($AX15*_xlfn.XLOOKUP($C15,$BM$1:$BM$3,CI$1:CI$3)/SUMPRODUCT(_xlfn.XLOOKUP($C15,$BM$1:$BM$3,$BN$1:$BY$3),$BN$4:$BY$4),""),
"")</f>
        <v/>
      </c>
      <c r="CJ15" s="8" t="str">
        <f>IF(_xlfn.XLOOKUP($B15,'ELC TECH'!$H:$H,'ELC TECH'!$E:$E)="Non Dispatchable",IFERROR($AX15*_xlfn.XLOOKUP($C15,$BM$1:$BM$3,CJ$1:CJ$3)/SUMPRODUCT(_xlfn.XLOOKUP($C15,$BM$1:$BM$3,$BN$1:$BY$3),$BN$4:$BY$4),""),
"")</f>
        <v/>
      </c>
      <c r="CK15" s="8" t="str">
        <f>IF(_xlfn.XLOOKUP($B15,'ELC TECH'!$H:$H,'ELC TECH'!$E:$E)="Non Dispatchable",IFERROR($AX15*_xlfn.XLOOKUP($C15,$BM$1:$BM$3,CK$1:CK$3)/SUMPRODUCT(_xlfn.XLOOKUP($C15,$BM$1:$BM$3,$BN$1:$BY$3),$BN$4:$BY$4),""),
"")</f>
        <v/>
      </c>
      <c r="CL15" s="8" t="str">
        <f>IF(_xlfn.XLOOKUP($B15,'ELC TECH'!$H:$H,'ELC TECH'!$E:$E)="Storage",CL$4*$BF15,"")</f>
        <v/>
      </c>
      <c r="CM15" s="8" t="str">
        <f>IF(_xlfn.XLOOKUP($B15,'ELC TECH'!$H:$H,'ELC TECH'!$E:$E)="Storage",CM$4*$BF15,"")</f>
        <v/>
      </c>
      <c r="CN15" s="8" t="str">
        <f>IF(_xlfn.XLOOKUP($B15,'ELC TECH'!$H:$H,'ELC TECH'!$E:$E)="Storage",CN$4*$BF15,"")</f>
        <v/>
      </c>
      <c r="CO15" s="8" t="str">
        <f>IF(_xlfn.XLOOKUP($B15,'ELC TECH'!$H:$H,'ELC TECH'!$E:$E)="Storage",CO$4*$BF15,"")</f>
        <v/>
      </c>
      <c r="CP15" s="8" t="str">
        <f>IF(_xlfn.XLOOKUP($B15,'ELC TECH'!$H:$H,'ELC TECH'!$E:$E)="Storage",CP$4*$BF15,"")</f>
        <v/>
      </c>
      <c r="CQ15" s="8" t="str">
        <f>IF(_xlfn.XLOOKUP($B15,'ELC TECH'!$H:$H,'ELC TECH'!$E:$E)="Storage",CQ$4*$BF15,"")</f>
        <v/>
      </c>
      <c r="CR15" s="8" t="str">
        <f>IF(_xlfn.XLOOKUP($B15,'ELC TECH'!$H:$H,'ELC TECH'!$E:$E)="Storage",CR$4*$BF15,"")</f>
        <v/>
      </c>
      <c r="CS15" s="8" t="str">
        <f>IF(_xlfn.XLOOKUP($B15,'ELC TECH'!$H:$H,'ELC TECH'!$E:$E)="Storage",CS$4*$BF15,"")</f>
        <v/>
      </c>
      <c r="CT15" s="8" t="str">
        <f>IF(_xlfn.XLOOKUP($B15,'ELC TECH'!$H:$H,'ELC TECH'!$E:$E)="Storage",CT$4*$BF15,"")</f>
        <v/>
      </c>
      <c r="CU15" s="8" t="str">
        <f>IF(_xlfn.XLOOKUP($B15,'ELC TECH'!$H:$H,'ELC TECH'!$E:$E)="Storage",CU$4*$BF15,"")</f>
        <v/>
      </c>
      <c r="CV15" s="8" t="str">
        <f>IF(_xlfn.XLOOKUP($B15,'ELC TECH'!$H:$H,'ELC TECH'!$E:$E)="Storage",CV$4*$BF15,"")</f>
        <v/>
      </c>
      <c r="CW15" s="8" t="str">
        <f>IF(_xlfn.XLOOKUP($B15,'ELC TECH'!$H:$H,'ELC TECH'!$E:$E)="Storage",CW$4*$BF15,"")</f>
        <v/>
      </c>
      <c r="CX15" s="8" t="str">
        <f>IF(_xlfn.XLOOKUP($B15,'ELC TECH'!$H:$H,'ELC TECH'!$E:$E)="Storage",CX$4*$BF15,"")</f>
        <v/>
      </c>
      <c r="CY15" s="8" t="str">
        <f>IF(_xlfn.XLOOKUP($B15,'ELC TECH'!$H:$H,'ELC TECH'!$E:$E)="Storage",CY$4*$BF15,"")</f>
        <v/>
      </c>
      <c r="CZ15" s="8" t="str">
        <f>IF(_xlfn.XLOOKUP($B15,'ELC TECH'!$H:$H,'ELC TECH'!$E:$E)="Storage",CZ$4*$BF15,"")</f>
        <v/>
      </c>
      <c r="DA15" s="8" t="str">
        <f>IF(_xlfn.XLOOKUP($B15,'ELC TECH'!$H:$H,'ELC TECH'!$E:$E)="Storage",DA$4*$BF15,"")</f>
        <v/>
      </c>
      <c r="DB15" s="8" t="str">
        <f>IF(_xlfn.XLOOKUP($B15,'ELC TECH'!$H:$H,'ELC TECH'!$E:$E)="Storage",DB$4*$BF15,"")</f>
        <v/>
      </c>
      <c r="DC15" s="8" t="str">
        <f>IF(_xlfn.XLOOKUP($B15,'ELC TECH'!$H:$H,'ELC TECH'!$E:$E)="Storage",DC$4*$BF15,"")</f>
        <v/>
      </c>
      <c r="DD15" s="8" t="str">
        <f>IF(_xlfn.XLOOKUP($B15,'ELC TECH'!$H:$H,'ELC TECH'!$E:$E)="Storage",DD$4*$BF15,"")</f>
        <v/>
      </c>
      <c r="DE15" s="8" t="str">
        <f>IF(_xlfn.XLOOKUP($B15,'ELC TECH'!$H:$H,'ELC TECH'!$E:$E)="Storage",DE$4*$BF15,"")</f>
        <v/>
      </c>
      <c r="DF15" s="8" t="str">
        <f>IF(_xlfn.XLOOKUP($B15,'ELC TECH'!$H:$H,'ELC TECH'!$E:$E)="Storage",DF$4*$BF15,"")</f>
        <v/>
      </c>
      <c r="DG15" s="8" t="str">
        <f>IF(_xlfn.XLOOKUP($B15,'ELC TECH'!$H:$H,'ELC TECH'!$E:$E)="Storage",DG$4*$BF15,"")</f>
        <v/>
      </c>
      <c r="DH15" s="8" t="str">
        <f>IF(_xlfn.XLOOKUP($B15,'ELC TECH'!$H:$H,'ELC TECH'!$E:$E)="Storage",DH$4*$BF15,"")</f>
        <v/>
      </c>
      <c r="DI15" s="8" t="str">
        <f>IF(_xlfn.XLOOKUP($B15,'ELC TECH'!$H:$H,'ELC TECH'!$E:$E)="Storage",DI$4*$BF15,"")</f>
        <v/>
      </c>
    </row>
    <row r="16" spans="2:113" x14ac:dyDescent="0.25">
      <c r="B16" t="str">
        <f>IF('ELC TECH'!I9=0,"*",'ELC TECH'!H9)</f>
        <v>ELCHYDGRDHNSNDC120</v>
      </c>
      <c r="C16" t="str">
        <f>IF(_xlfn.XLOOKUP(_xlfn.XLOOKUP(B16,'ELC TECH'!$H:$H,'ELC TECH'!$G:$G),List!C:C,List!B:B)="STG",D16,"ELC"&amp;_xlfn.XLOOKUP(_xlfn.XLOOKUP(B16,'ELC TECH'!H:H,'ELC TECH'!G:G),List!C:C,List!B:B))</f>
        <v>ELCHYD</v>
      </c>
      <c r="D16" t="s">
        <v>544</v>
      </c>
      <c r="E16">
        <f>_xlfn.XLOOKUP(B16,'ELC TECH'!H:H,'ELC TECH'!D:D)</f>
        <v>2020</v>
      </c>
      <c r="F16">
        <f>_xlfn.XLOOKUP(B16,'ELC TECH'!H:H,'ELC TECH'!K:K)</f>
        <v>100</v>
      </c>
      <c r="G16">
        <f t="shared" si="4"/>
        <v>31.535999999999998</v>
      </c>
      <c r="H16">
        <f>IF(_xlfn.XLOOKUP(B16,'ELC TECH'!$H:$H,'ELC TECH'!$E:$E)="Storage",0.3,IF(_xlfn.XLOOKUP(B16,'ELC TECH'!$H:$H,'ELC TECH'!$E:$E)="Baseload",0.9,IF(_xlfn.XLOOKUP(B16,'ELC TECH'!$H:$H,'ELC TECH'!$E:$E)="Non Dispatchable",0.05,IF(_xlfn.XLOOKUP(B16,'ELC TECH'!$H:$H,'ELC TECH'!$E:$E)="Dispatchable",0.9,1))))</f>
        <v>0.05</v>
      </c>
      <c r="I16" s="13">
        <f>IF(_xlfn.XLOOKUP(B16,'ELC TECH'!H:H,'ELC TECH'!J:J)="","",_xlfn.XLOOKUP(B16,'ELC TECH'!H:H,'ELC TECH'!J:J))</f>
        <v>0</v>
      </c>
      <c r="J16" s="12">
        <f>IF(_xlfn.XLOOKUP($B16,'ELC TECH'!$H:$H,'ELC TECH'!$E:$E)="Storage","",IF(_xlfn.XLOOKUP($B16,'ELC TECH'!$H:$H,'ELC TECH'!AK:AK)="",1,_xlfn.XLOOKUP($B16,'ELC TECH'!$H:$H,'ELC TECH'!AK:AK)))</f>
        <v>1</v>
      </c>
      <c r="K16" s="12">
        <f>IF(_xlfn.XLOOKUP($B16,'ELC TECH'!$H:$H,'ELC TECH'!$E:$E)="Storage","",IF(_xlfn.XLOOKUP($B16,'ELC TECH'!$H:$H,'ELC TECH'!AL:AL)="",1,_xlfn.XLOOKUP($B16,'ELC TECH'!$H:$H,'ELC TECH'!AL:AL)))</f>
        <v>1</v>
      </c>
      <c r="L16" s="12">
        <f>IF(_xlfn.XLOOKUP($B16,'ELC TECH'!$H:$H,'ELC TECH'!$E:$E)="Storage","",IF(_xlfn.XLOOKUP($B16,'ELC TECH'!$H:$H,'ELC TECH'!AM:AM)="",1,_xlfn.XLOOKUP($B16,'ELC TECH'!$H:$H,'ELC TECH'!AM:AM)))</f>
        <v>1</v>
      </c>
      <c r="M16" s="12">
        <f>IF(_xlfn.XLOOKUP($B16,'ELC TECH'!$H:$H,'ELC TECH'!$E:$E)="Storage","",IF(_xlfn.XLOOKUP($B16,'ELC TECH'!$H:$H,'ELC TECH'!AN:AN)="",1,_xlfn.XLOOKUP($B16,'ELC TECH'!$H:$H,'ELC TECH'!AN:AN)))</f>
        <v>1</v>
      </c>
      <c r="N16" s="12">
        <f>IF(_xlfn.XLOOKUP($B16,'ELC TECH'!$H:$H,'ELC TECH'!$E:$E)="Storage","",IF(_xlfn.XLOOKUP($B16,'ELC TECH'!$H:$H,'ELC TECH'!AO:AO)="",1,_xlfn.XLOOKUP($B16,'ELC TECH'!$H:$H,'ELC TECH'!AO:AO)))</f>
        <v>1</v>
      </c>
      <c r="O16" s="12">
        <f>IF(_xlfn.XLOOKUP($B16,'ELC TECH'!$H:$H,'ELC TECH'!$E:$E)="Storage","",IF(_xlfn.XLOOKUP($B16,'ELC TECH'!$H:$H,'ELC TECH'!AP:AP)="",1,_xlfn.XLOOKUP($B16,'ELC TECH'!$H:$H,'ELC TECH'!AP:AP)))</f>
        <v>1</v>
      </c>
      <c r="P16" s="12">
        <f>IF(_xlfn.XLOOKUP($B16,'ELC TECH'!$H:$H,'ELC TECH'!$E:$E)="Storage","",IF(_xlfn.XLOOKUP($B16,'ELC TECH'!$H:$H,'ELC TECH'!AQ:AQ)="",1,_xlfn.XLOOKUP($B16,'ELC TECH'!$H:$H,'ELC TECH'!AQ:AQ)))</f>
        <v>1</v>
      </c>
      <c r="Q16" s="12">
        <f>IF(_xlfn.XLOOKUP($B16,'ELC TECH'!$H:$H,'ELC TECH'!$E:$E)="Storage","",IF(_xlfn.XLOOKUP($B16,'ELC TECH'!$H:$H,'ELC TECH'!AR:AR)="",1,_xlfn.XLOOKUP($B16,'ELC TECH'!$H:$H,'ELC TECH'!AR:AR)))</f>
        <v>1</v>
      </c>
      <c r="R16" s="12" t="str">
        <f>IF(_xlfn.XLOOKUP($B16,'ELC TECH'!$H:$H,'ELC TECH'!$E:$E)&lt;&gt;"Storage","",IF(_xlfn.XLOOKUP($B16,'ELC TECH'!$H:$H,'ELC TECH'!AK:AK)="",0.8,_xlfn.XLOOKUP($B16,'ELC TECH'!$H:$H,'ELC TECH'!AK:AK)))</f>
        <v/>
      </c>
      <c r="S16" s="12" t="str">
        <f>IF(_xlfn.XLOOKUP($B16,'ELC TECH'!$H:$H,'ELC TECH'!$E:$E)&lt;&gt;"Storage","",IF(_xlfn.XLOOKUP($B16,'ELC TECH'!$H:$H,'ELC TECH'!AL:AL)="",0.8,_xlfn.XLOOKUP($B16,'ELC TECH'!$H:$H,'ELC TECH'!AL:AL)))</f>
        <v/>
      </c>
      <c r="T16" s="12" t="str">
        <f>IF(_xlfn.XLOOKUP($B16,'ELC TECH'!$H:$H,'ELC TECH'!$E:$E)&lt;&gt;"Storage","",IF(_xlfn.XLOOKUP($B16,'ELC TECH'!$H:$H,'ELC TECH'!AM:AM)="",0.8,_xlfn.XLOOKUP($B16,'ELC TECH'!$H:$H,'ELC TECH'!AM:AM)))</f>
        <v/>
      </c>
      <c r="U16" s="12" t="str">
        <f>IF(_xlfn.XLOOKUP($B16,'ELC TECH'!$H:$H,'ELC TECH'!$E:$E)&lt;&gt;"Storage","",IF(_xlfn.XLOOKUP($B16,'ELC TECH'!$H:$H,'ELC TECH'!AN:AN)="",0.8,_xlfn.XLOOKUP($B16,'ELC TECH'!$H:$H,'ELC TECH'!AN:AN)))</f>
        <v/>
      </c>
      <c r="V16" s="12" t="str">
        <f>IF(_xlfn.XLOOKUP($B16,'ELC TECH'!$H:$H,'ELC TECH'!$E:$E)&lt;&gt;"Storage","",IF(_xlfn.XLOOKUP($B16,'ELC TECH'!$H:$H,'ELC TECH'!AO:AO)="",0.8,_xlfn.XLOOKUP($B16,'ELC TECH'!$H:$H,'ELC TECH'!AO:AO)))</f>
        <v/>
      </c>
      <c r="W16" s="12" t="str">
        <f>IF(_xlfn.XLOOKUP($B16,'ELC TECH'!$H:$H,'ELC TECH'!$E:$E)&lt;&gt;"Storage","",IF(_xlfn.XLOOKUP($B16,'ELC TECH'!$H:$H,'ELC TECH'!AP:AP)="",0.8,_xlfn.XLOOKUP($B16,'ELC TECH'!$H:$H,'ELC TECH'!AP:AP)))</f>
        <v/>
      </c>
      <c r="X16" s="12" t="str">
        <f>IF(_xlfn.XLOOKUP($B16,'ELC TECH'!$H:$H,'ELC TECH'!$E:$E)&lt;&gt;"Storage","",IF(_xlfn.XLOOKUP($B16,'ELC TECH'!$H:$H,'ELC TECH'!AQ:AQ)="",0.8,_xlfn.XLOOKUP($B16,'ELC TECH'!$H:$H,'ELC TECH'!AQ:AQ)))</f>
        <v/>
      </c>
      <c r="Y16" s="12" t="str">
        <f>IF(_xlfn.XLOOKUP($B16,'ELC TECH'!$H:$H,'ELC TECH'!$E:$E)&lt;&gt;"Storage","",IF(_xlfn.XLOOKUP($B16,'ELC TECH'!$H:$H,'ELC TECH'!AR:AR)="",0.8,_xlfn.XLOOKUP($B16,'ELC TECH'!$H:$H,'ELC TECH'!AR:AR)))</f>
        <v/>
      </c>
      <c r="Z16" s="15">
        <f>_xlfn.XLOOKUP($B16,'ELC TECH'!$H:$H,'ELC TECH'!M:M)</f>
        <v>8970.368179309633</v>
      </c>
      <c r="AA16" s="15">
        <f>_xlfn.XLOOKUP($B16,'ELC TECH'!$H:$H,'ELC TECH'!N:N)</f>
        <v>8970.368179309633</v>
      </c>
      <c r="AB16" s="15">
        <f>_xlfn.XLOOKUP($B16,'ELC TECH'!$H:$H,'ELC TECH'!O:O)</f>
        <v>8970.368179309633</v>
      </c>
      <c r="AC16" s="15">
        <f>_xlfn.XLOOKUP($B16,'ELC TECH'!$H:$H,'ELC TECH'!P:P)</f>
        <v>8970.368179309633</v>
      </c>
      <c r="AD16" s="15">
        <f>_xlfn.XLOOKUP($B16,'ELC TECH'!$H:$H,'ELC TECH'!Q:Q)</f>
        <v>8970.368179309633</v>
      </c>
      <c r="AE16" s="15">
        <f>_xlfn.XLOOKUP($B16,'ELC TECH'!$H:$H,'ELC TECH'!R:R)</f>
        <v>8970.368179309633</v>
      </c>
      <c r="AF16" s="15">
        <f>_xlfn.XLOOKUP($B16,'ELC TECH'!$H:$H,'ELC TECH'!S:S)</f>
        <v>8970.368179309633</v>
      </c>
      <c r="AG16" s="15">
        <f>_xlfn.XLOOKUP($B16,'ELC TECH'!$H:$H,'ELC TECH'!T:T)</f>
        <v>8970.368179309633</v>
      </c>
      <c r="AH16" s="15">
        <f>_xlfn.XLOOKUP($B16,'ELC TECH'!$H:$H,'ELC TECH'!U:U)</f>
        <v>161.69956506255861</v>
      </c>
      <c r="AI16" s="15">
        <f>_xlfn.XLOOKUP($B16,'ELC TECH'!$H:$H,'ELC TECH'!V:V)</f>
        <v>161.69956506255861</v>
      </c>
      <c r="AJ16" s="15">
        <f>_xlfn.XLOOKUP($B16,'ELC TECH'!$H:$H,'ELC TECH'!W:W)</f>
        <v>161.69956506255861</v>
      </c>
      <c r="AK16" s="15">
        <f>_xlfn.XLOOKUP($B16,'ELC TECH'!$H:$H,'ELC TECH'!X:X)</f>
        <v>161.69956506255861</v>
      </c>
      <c r="AL16" s="15">
        <f>_xlfn.XLOOKUP($B16,'ELC TECH'!$H:$H,'ELC TECH'!Y:Y)</f>
        <v>161.69956506255861</v>
      </c>
      <c r="AM16" s="15">
        <f>_xlfn.XLOOKUP($B16,'ELC TECH'!$H:$H,'ELC TECH'!Z:Z)</f>
        <v>161.69956506255861</v>
      </c>
      <c r="AN16" s="15">
        <f>_xlfn.XLOOKUP($B16,'ELC TECH'!$H:$H,'ELC TECH'!AA:AA)</f>
        <v>161.69956506255861</v>
      </c>
      <c r="AO16" s="15">
        <f>_xlfn.XLOOKUP($B16,'ELC TECH'!$H:$H,'ELC TECH'!AB:AB)</f>
        <v>161.69956506255861</v>
      </c>
      <c r="AP16" s="15">
        <f>_xlfn.XLOOKUP($B16,'ELC TECH'!$H:$H,'ELC TECH'!AC:AC)</f>
        <v>0</v>
      </c>
      <c r="AQ16" s="15">
        <f>_xlfn.XLOOKUP($B16,'ELC TECH'!$H:$H,'ELC TECH'!AD:AD)</f>
        <v>0</v>
      </c>
      <c r="AR16" s="15">
        <f>_xlfn.XLOOKUP($B16,'ELC TECH'!$H:$H,'ELC TECH'!AE:AE)</f>
        <v>0</v>
      </c>
      <c r="AS16" s="15">
        <f>_xlfn.XLOOKUP($B16,'ELC TECH'!$H:$H,'ELC TECH'!AF:AF)</f>
        <v>0</v>
      </c>
      <c r="AT16" s="15">
        <f>_xlfn.XLOOKUP($B16,'ELC TECH'!$H:$H,'ELC TECH'!AG:AG)</f>
        <v>0</v>
      </c>
      <c r="AU16" s="15">
        <f>_xlfn.XLOOKUP($B16,'ELC TECH'!$H:$H,'ELC TECH'!AH:AH)</f>
        <v>0</v>
      </c>
      <c r="AV16" s="15">
        <f>_xlfn.XLOOKUP($B16,'ELC TECH'!$H:$H,'ELC TECH'!AI:AI)</f>
        <v>0</v>
      </c>
      <c r="AW16" s="15">
        <f>_xlfn.XLOOKUP($B16,'ELC TECH'!$H:$H,'ELC TECH'!AJ:AJ)</f>
        <v>0</v>
      </c>
      <c r="AX16" s="12">
        <f>IF(_xlfn.XLOOKUP($B16,'ELC TECH'!$H:$H,'ELC TECH'!$E:$E)="Storage","",_xlfn.XLOOKUP($B16,'ELC TECH'!$H:$H,'ELC TECH'!AS:AS))</f>
        <v>0.66</v>
      </c>
      <c r="AY16" s="12">
        <f>IF(_xlfn.XLOOKUP($B16,'ELC TECH'!$H:$H,'ELC TECH'!$E:$E)="Storage","",_xlfn.XLOOKUP($B16,'ELC TECH'!$H:$H,'ELC TECH'!AT:AT))</f>
        <v>0.66</v>
      </c>
      <c r="AZ16" s="12">
        <f>IF(_xlfn.XLOOKUP($B16,'ELC TECH'!$H:$H,'ELC TECH'!$E:$E)="Storage","",_xlfn.XLOOKUP($B16,'ELC TECH'!$H:$H,'ELC TECH'!AU:AU))</f>
        <v>0.66</v>
      </c>
      <c r="BA16" s="12">
        <f>IF(_xlfn.XLOOKUP($B16,'ELC TECH'!$H:$H,'ELC TECH'!$E:$E)="Storage","",_xlfn.XLOOKUP($B16,'ELC TECH'!$H:$H,'ELC TECH'!AV:AV))</f>
        <v>0.66</v>
      </c>
      <c r="BB16" s="12">
        <f>IF(_xlfn.XLOOKUP($B16,'ELC TECH'!$H:$H,'ELC TECH'!$E:$E)="Storage","",_xlfn.XLOOKUP($B16,'ELC TECH'!$H:$H,'ELC TECH'!AW:AW))</f>
        <v>0.66</v>
      </c>
      <c r="BC16" s="12">
        <f>IF(_xlfn.XLOOKUP($B16,'ELC TECH'!$H:$H,'ELC TECH'!$E:$E)="Storage","",_xlfn.XLOOKUP($B16,'ELC TECH'!$H:$H,'ELC TECH'!AX:AX))</f>
        <v>0.66</v>
      </c>
      <c r="BD16" s="12">
        <f>IF(_xlfn.XLOOKUP($B16,'ELC TECH'!$H:$H,'ELC TECH'!$E:$E)="Storage","",_xlfn.XLOOKUP($B16,'ELC TECH'!$H:$H,'ELC TECH'!AY:AY))</f>
        <v>0.66</v>
      </c>
      <c r="BE16" s="12">
        <f>IF(_xlfn.XLOOKUP($B16,'ELC TECH'!$H:$H,'ELC TECH'!$E:$E)="Storage","",_xlfn.XLOOKUP($B16,'ELC TECH'!$H:$H,'ELC TECH'!AZ:AZ))</f>
        <v>0.66</v>
      </c>
      <c r="BF16" s="12" t="str">
        <f>IF(_xlfn.XLOOKUP($B16,'ELC TECH'!$H:$H,'ELC TECH'!$E:$E)="Storage",_xlfn.XLOOKUP($B16,'ELC TECH'!$H:$H,'ELC TECH'!AS:AS),"")</f>
        <v/>
      </c>
      <c r="BG16" s="12" t="str">
        <f>IF(_xlfn.XLOOKUP($B16,'ELC TECH'!$H:$H,'ELC TECH'!$E:$E)="Storage",_xlfn.XLOOKUP($B16,'ELC TECH'!$H:$H,'ELC TECH'!AT:AT),"")</f>
        <v/>
      </c>
      <c r="BH16" s="12" t="str">
        <f>IF(_xlfn.XLOOKUP($B16,'ELC TECH'!$H:$H,'ELC TECH'!$E:$E)="Storage",_xlfn.XLOOKUP($B16,'ELC TECH'!$H:$H,'ELC TECH'!AU:AU),"")</f>
        <v/>
      </c>
      <c r="BI16" s="12" t="str">
        <f>IF(_xlfn.XLOOKUP($B16,'ELC TECH'!$H:$H,'ELC TECH'!$E:$E)="Storage",_xlfn.XLOOKUP($B16,'ELC TECH'!$H:$H,'ELC TECH'!AV:AV),"")</f>
        <v/>
      </c>
      <c r="BJ16" s="12" t="str">
        <f>IF(_xlfn.XLOOKUP($B16,'ELC TECH'!$H:$H,'ELC TECH'!$E:$E)="Storage",_xlfn.XLOOKUP($B16,'ELC TECH'!$H:$H,'ELC TECH'!AW:AW),"")</f>
        <v/>
      </c>
      <c r="BK16" s="12" t="str">
        <f>IF(_xlfn.XLOOKUP($B16,'ELC TECH'!$H:$H,'ELC TECH'!$E:$E)="Storage",_xlfn.XLOOKUP($B16,'ELC TECH'!$H:$H,'ELC TECH'!AX:AX),"")</f>
        <v/>
      </c>
      <c r="BL16" s="12" t="str">
        <f>IF(_xlfn.XLOOKUP($B16,'ELC TECH'!$H:$H,'ELC TECH'!$E:$E)="Storage",_xlfn.XLOOKUP($B16,'ELC TECH'!$H:$H,'ELC TECH'!AY:AY),"")</f>
        <v/>
      </c>
      <c r="BM16" s="12" t="str">
        <f>IF(_xlfn.XLOOKUP($B16,'ELC TECH'!$H:$H,'ELC TECH'!$E:$E)="Storage",_xlfn.XLOOKUP($B16,'ELC TECH'!$H:$H,'ELC TECH'!AZ:AZ),"")</f>
        <v/>
      </c>
      <c r="BN16" s="8">
        <f>IF(_xlfn.XLOOKUP($B16,'ELC TECH'!$H:$H,'ELC TECH'!$E:$E)="Non Dispatchable",IFERROR($AX16*_xlfn.XLOOKUP($C16,$BM$1:$BM$3,BN$1:BN$3)/SUMPRODUCT(_xlfn.XLOOKUP($C16,$BM$1:$BM$3,$BN$1:$BY$3),$BN$4:$BY$4),""),
"")</f>
        <v>0.47604122391346398</v>
      </c>
      <c r="BO16" s="8">
        <f>IF(_xlfn.XLOOKUP($B16,'ELC TECH'!$H:$H,'ELC TECH'!$E:$E)="Non Dispatchable",IFERROR($AX16*_xlfn.XLOOKUP($C16,$BM$1:$BM$3,BO$1:BO$3)/SUMPRODUCT(_xlfn.XLOOKUP($C16,$BM$1:$BM$3,$BN$1:$BY$3),$BN$4:$BY$4),""),
"")</f>
        <v>0.55422317674596711</v>
      </c>
      <c r="BP16" s="8">
        <f>IF(_xlfn.XLOOKUP($B16,'ELC TECH'!$H:$H,'ELC TECH'!$E:$E)="Non Dispatchable",IFERROR($AX16*_xlfn.XLOOKUP($C16,$BM$1:$BM$3,BP$1:BP$3)/SUMPRODUCT(_xlfn.XLOOKUP($C16,$BM$1:$BM$3,$BN$1:$BY$3),$BN$4:$BY$4),""),
"")</f>
        <v>0.88722038325477715</v>
      </c>
      <c r="BQ16" s="8">
        <f>IF(_xlfn.XLOOKUP($B16,'ELC TECH'!$H:$H,'ELC TECH'!$E:$E)="Non Dispatchable",IFERROR($AX16*_xlfn.XLOOKUP($C16,$BM$1:$BM$3,BQ$1:BQ$3)/SUMPRODUCT(_xlfn.XLOOKUP($C16,$BM$1:$BM$3,$BN$1:$BY$3),$BN$4:$BY$4),""),
"")</f>
        <v>1.8532018449185946E-2</v>
      </c>
      <c r="BR16" s="8">
        <f>IF(_xlfn.XLOOKUP($B16,'ELC TECH'!$H:$H,'ELC TECH'!$E:$E)="Non Dispatchable",IFERROR($AX16*_xlfn.XLOOKUP($C16,$BM$1:$BM$3,BR$1:BR$3)/SUMPRODUCT(_xlfn.XLOOKUP($C16,$BM$1:$BM$3,$BN$1:$BY$3),$BN$4:$BY$4),""),
"")</f>
        <v>0.47198734487770461</v>
      </c>
      <c r="BS16" s="8">
        <f>IF(_xlfn.XLOOKUP($B16,'ELC TECH'!$H:$H,'ELC TECH'!$E:$E)="Non Dispatchable",IFERROR($AX16*_xlfn.XLOOKUP($C16,$BM$1:$BM$3,BS$1:BS$3)/SUMPRODUCT(_xlfn.XLOOKUP($C16,$BM$1:$BM$3,$BN$1:$BY$3),$BN$4:$BY$4),""),
"")</f>
        <v>0.62950950169578512</v>
      </c>
      <c r="BT16" s="8">
        <f>IF(_xlfn.XLOOKUP($B16,'ELC TECH'!$H:$H,'ELC TECH'!$E:$E)="Non Dispatchable",IFERROR($AX16*_xlfn.XLOOKUP($C16,$BM$1:$BM$3,BT$1:BT$3)/SUMPRODUCT(_xlfn.XLOOKUP($C16,$BM$1:$BM$3,$BN$1:$BY$3),$BN$4:$BY$4),""),
"")</f>
        <v>0.79977242119768099</v>
      </c>
      <c r="BU16" s="8">
        <f>IF(_xlfn.XLOOKUP($B16,'ELC TECH'!$H:$H,'ELC TECH'!$E:$E)="Non Dispatchable",IFERROR($AX16*_xlfn.XLOOKUP($C16,$BM$1:$BM$3,BU$1:BU$3)/SUMPRODUCT(_xlfn.XLOOKUP($C16,$BM$1:$BM$3,$BN$1:$BY$3),$BN$4:$BY$4),""),
"")</f>
        <v>1.8532018449185946E-2</v>
      </c>
      <c r="BV16" s="8">
        <f>IF(_xlfn.XLOOKUP($B16,'ELC TECH'!$H:$H,'ELC TECH'!$E:$E)="Non Dispatchable",IFERROR($AX16*_xlfn.XLOOKUP($C16,$BM$1:$BM$3,BV$1:BV$3)/SUMPRODUCT(_xlfn.XLOOKUP($C16,$BM$1:$BM$3,$BN$1:$BY$3),$BN$4:$BY$4),""),
"")</f>
        <v>0.5646474371236343</v>
      </c>
      <c r="BW16" s="8">
        <f>IF(_xlfn.XLOOKUP($B16,'ELC TECH'!$H:$H,'ELC TECH'!$E:$E)="Non Dispatchable",IFERROR($AX16*_xlfn.XLOOKUP($C16,$BM$1:$BM$3,BW$1:BW$3)/SUMPRODUCT(_xlfn.XLOOKUP($C16,$BM$1:$BM$3,$BN$1:$BY$3),$BN$4:$BY$4),""),
"")</f>
        <v>0.62950950169578512</v>
      </c>
      <c r="BX16" s="8">
        <f>IF(_xlfn.XLOOKUP($B16,'ELC TECH'!$H:$H,'ELC TECH'!$E:$E)="Non Dispatchable",IFERROR($AX16*_xlfn.XLOOKUP($C16,$BM$1:$BM$3,BX$1:BX$3)/SUMPRODUCT(_xlfn.XLOOKUP($C16,$BM$1:$BM$3,$BN$1:$BY$3),$BN$4:$BY$4),""),
"")</f>
        <v>0.72564434740093708</v>
      </c>
      <c r="BY16" s="8">
        <f>IF(_xlfn.XLOOKUP($B16,'ELC TECH'!$H:$H,'ELC TECH'!$E:$E)="Non Dispatchable",IFERROR($AX16*_xlfn.XLOOKUP($C16,$BM$1:$BM$3,BY$1:BY$3)/SUMPRODUCT(_xlfn.XLOOKUP($C16,$BM$1:$BM$3,$BN$1:$BY$3),$BN$4:$BY$4),""),
"")</f>
        <v>1.5636390566500642E-2</v>
      </c>
      <c r="BZ16" s="8">
        <f>IF(_xlfn.XLOOKUP($B16,'ELC TECH'!$H:$H,'ELC TECH'!$E:$E)="Non Dispatchable",IFERROR($AX16*_xlfn.XLOOKUP($C16,$BM$1:$BM$3,BZ$1:BZ$3)/SUMPRODUCT(_xlfn.XLOOKUP($C16,$BM$1:$BM$3,$BN$1:$BY$3),$BN$4:$BY$4),""),
"")</f>
        <v>0.47604122391346398</v>
      </c>
      <c r="CA16" s="8">
        <f>IF(_xlfn.XLOOKUP($B16,'ELC TECH'!$H:$H,'ELC TECH'!$E:$E)="Non Dispatchable",IFERROR($AX16*_xlfn.XLOOKUP($C16,$BM$1:$BM$3,CA$1:CA$3)/SUMPRODUCT(_xlfn.XLOOKUP($C16,$BM$1:$BM$3,$BN$1:$BY$3),$BN$4:$BY$4),""),
"")</f>
        <v>0.55422317674596711</v>
      </c>
      <c r="CB16" s="8">
        <f>IF(_xlfn.XLOOKUP($B16,'ELC TECH'!$H:$H,'ELC TECH'!$E:$E)="Non Dispatchable",IFERROR($AX16*_xlfn.XLOOKUP($C16,$BM$1:$BM$3,CB$1:CB$3)/SUMPRODUCT(_xlfn.XLOOKUP($C16,$BM$1:$BM$3,$BN$1:$BY$3),$BN$4:$BY$4),""),
"")</f>
        <v>0.88722038325477715</v>
      </c>
      <c r="CC16" s="8">
        <f>IF(_xlfn.XLOOKUP($B16,'ELC TECH'!$H:$H,'ELC TECH'!$E:$E)="Non Dispatchable",IFERROR($AX16*_xlfn.XLOOKUP($C16,$BM$1:$BM$3,CC$1:CC$3)/SUMPRODUCT(_xlfn.XLOOKUP($C16,$BM$1:$BM$3,$BN$1:$BY$3),$BN$4:$BY$4),""),
"")</f>
        <v>1.8532018449185946E-2</v>
      </c>
      <c r="CD16" s="8">
        <f>IF(_xlfn.XLOOKUP($B16,'ELC TECH'!$H:$H,'ELC TECH'!$E:$E)="Non Dispatchable",IFERROR($AX16*_xlfn.XLOOKUP($C16,$BM$1:$BM$3,CD$1:CD$3)/SUMPRODUCT(_xlfn.XLOOKUP($C16,$BM$1:$BM$3,$BN$1:$BY$3),$BN$4:$BY$4),""),
"")</f>
        <v>0.47198734487770461</v>
      </c>
      <c r="CE16" s="8">
        <f>IF(_xlfn.XLOOKUP($B16,'ELC TECH'!$H:$H,'ELC TECH'!$E:$E)="Non Dispatchable",IFERROR($AX16*_xlfn.XLOOKUP($C16,$BM$1:$BM$3,CE$1:CE$3)/SUMPRODUCT(_xlfn.XLOOKUP($C16,$BM$1:$BM$3,$BN$1:$BY$3),$BN$4:$BY$4),""),
"")</f>
        <v>0.62950950169578512</v>
      </c>
      <c r="CF16" s="8">
        <f>IF(_xlfn.XLOOKUP($B16,'ELC TECH'!$H:$H,'ELC TECH'!$E:$E)="Non Dispatchable",IFERROR($AX16*_xlfn.XLOOKUP($C16,$BM$1:$BM$3,CF$1:CF$3)/SUMPRODUCT(_xlfn.XLOOKUP($C16,$BM$1:$BM$3,$BN$1:$BY$3),$BN$4:$BY$4),""),
"")</f>
        <v>0.79977242119768099</v>
      </c>
      <c r="CG16" s="8">
        <f>IF(_xlfn.XLOOKUP($B16,'ELC TECH'!$H:$H,'ELC TECH'!$E:$E)="Non Dispatchable",IFERROR($AX16*_xlfn.XLOOKUP($C16,$BM$1:$BM$3,CG$1:CG$3)/SUMPRODUCT(_xlfn.XLOOKUP($C16,$BM$1:$BM$3,$BN$1:$BY$3),$BN$4:$BY$4),""),
"")</f>
        <v>1.8532018449185946E-2</v>
      </c>
      <c r="CH16" s="8">
        <f>IF(_xlfn.XLOOKUP($B16,'ELC TECH'!$H:$H,'ELC TECH'!$E:$E)="Non Dispatchable",IFERROR($AX16*_xlfn.XLOOKUP($C16,$BM$1:$BM$3,CH$1:CH$3)/SUMPRODUCT(_xlfn.XLOOKUP($C16,$BM$1:$BM$3,$BN$1:$BY$3),$BN$4:$BY$4),""),
"")</f>
        <v>0.5646474371236343</v>
      </c>
      <c r="CI16" s="8">
        <f>IF(_xlfn.XLOOKUP($B16,'ELC TECH'!$H:$H,'ELC TECH'!$E:$E)="Non Dispatchable",IFERROR($AX16*_xlfn.XLOOKUP($C16,$BM$1:$BM$3,CI$1:CI$3)/SUMPRODUCT(_xlfn.XLOOKUP($C16,$BM$1:$BM$3,$BN$1:$BY$3),$BN$4:$BY$4),""),
"")</f>
        <v>0.62950950169578512</v>
      </c>
      <c r="CJ16" s="8">
        <f>IF(_xlfn.XLOOKUP($B16,'ELC TECH'!$H:$H,'ELC TECH'!$E:$E)="Non Dispatchable",IFERROR($AX16*_xlfn.XLOOKUP($C16,$BM$1:$BM$3,CJ$1:CJ$3)/SUMPRODUCT(_xlfn.XLOOKUP($C16,$BM$1:$BM$3,$BN$1:$BY$3),$BN$4:$BY$4),""),
"")</f>
        <v>0.72564434740093708</v>
      </c>
      <c r="CK16" s="8">
        <f>IF(_xlfn.XLOOKUP($B16,'ELC TECH'!$H:$H,'ELC TECH'!$E:$E)="Non Dispatchable",IFERROR($AX16*_xlfn.XLOOKUP($C16,$BM$1:$BM$3,CK$1:CK$3)/SUMPRODUCT(_xlfn.XLOOKUP($C16,$BM$1:$BM$3,$BN$1:$BY$3),$BN$4:$BY$4),""),
"")</f>
        <v>1.5636390566500642E-2</v>
      </c>
      <c r="CL16" s="8" t="str">
        <f>IF(_xlfn.XLOOKUP($B16,'ELC TECH'!$H:$H,'ELC TECH'!$E:$E)="Storage",CL$4*$BF16,"")</f>
        <v/>
      </c>
      <c r="CM16" s="8" t="str">
        <f>IF(_xlfn.XLOOKUP($B16,'ELC TECH'!$H:$H,'ELC TECH'!$E:$E)="Storage",CM$4*$BF16,"")</f>
        <v/>
      </c>
      <c r="CN16" s="8" t="str">
        <f>IF(_xlfn.XLOOKUP($B16,'ELC TECH'!$H:$H,'ELC TECH'!$E:$E)="Storage",CN$4*$BF16,"")</f>
        <v/>
      </c>
      <c r="CO16" s="8" t="str">
        <f>IF(_xlfn.XLOOKUP($B16,'ELC TECH'!$H:$H,'ELC TECH'!$E:$E)="Storage",CO$4*$BF16,"")</f>
        <v/>
      </c>
      <c r="CP16" s="8" t="str">
        <f>IF(_xlfn.XLOOKUP($B16,'ELC TECH'!$H:$H,'ELC TECH'!$E:$E)="Storage",CP$4*$BF16,"")</f>
        <v/>
      </c>
      <c r="CQ16" s="8" t="str">
        <f>IF(_xlfn.XLOOKUP($B16,'ELC TECH'!$H:$H,'ELC TECH'!$E:$E)="Storage",CQ$4*$BF16,"")</f>
        <v/>
      </c>
      <c r="CR16" s="8" t="str">
        <f>IF(_xlfn.XLOOKUP($B16,'ELC TECH'!$H:$H,'ELC TECH'!$E:$E)="Storage",CR$4*$BF16,"")</f>
        <v/>
      </c>
      <c r="CS16" s="8" t="str">
        <f>IF(_xlfn.XLOOKUP($B16,'ELC TECH'!$H:$H,'ELC TECH'!$E:$E)="Storage",CS$4*$BF16,"")</f>
        <v/>
      </c>
      <c r="CT16" s="8" t="str">
        <f>IF(_xlfn.XLOOKUP($B16,'ELC TECH'!$H:$H,'ELC TECH'!$E:$E)="Storage",CT$4*$BF16,"")</f>
        <v/>
      </c>
      <c r="CU16" s="8" t="str">
        <f>IF(_xlfn.XLOOKUP($B16,'ELC TECH'!$H:$H,'ELC TECH'!$E:$E)="Storage",CU$4*$BF16,"")</f>
        <v/>
      </c>
      <c r="CV16" s="8" t="str">
        <f>IF(_xlfn.XLOOKUP($B16,'ELC TECH'!$H:$H,'ELC TECH'!$E:$E)="Storage",CV$4*$BF16,"")</f>
        <v/>
      </c>
      <c r="CW16" s="8" t="str">
        <f>IF(_xlfn.XLOOKUP($B16,'ELC TECH'!$H:$H,'ELC TECH'!$E:$E)="Storage",CW$4*$BF16,"")</f>
        <v/>
      </c>
      <c r="CX16" s="8" t="str">
        <f>IF(_xlfn.XLOOKUP($B16,'ELC TECH'!$H:$H,'ELC TECH'!$E:$E)="Storage",CX$4*$BF16,"")</f>
        <v/>
      </c>
      <c r="CY16" s="8" t="str">
        <f>IF(_xlfn.XLOOKUP($B16,'ELC TECH'!$H:$H,'ELC TECH'!$E:$E)="Storage",CY$4*$BF16,"")</f>
        <v/>
      </c>
      <c r="CZ16" s="8" t="str">
        <f>IF(_xlfn.XLOOKUP($B16,'ELC TECH'!$H:$H,'ELC TECH'!$E:$E)="Storage",CZ$4*$BF16,"")</f>
        <v/>
      </c>
      <c r="DA16" s="8" t="str">
        <f>IF(_xlfn.XLOOKUP($B16,'ELC TECH'!$H:$H,'ELC TECH'!$E:$E)="Storage",DA$4*$BF16,"")</f>
        <v/>
      </c>
      <c r="DB16" s="8" t="str">
        <f>IF(_xlfn.XLOOKUP($B16,'ELC TECH'!$H:$H,'ELC TECH'!$E:$E)="Storage",DB$4*$BF16,"")</f>
        <v/>
      </c>
      <c r="DC16" s="8" t="str">
        <f>IF(_xlfn.XLOOKUP($B16,'ELC TECH'!$H:$H,'ELC TECH'!$E:$E)="Storage",DC$4*$BF16,"")</f>
        <v/>
      </c>
      <c r="DD16" s="8" t="str">
        <f>IF(_xlfn.XLOOKUP($B16,'ELC TECH'!$H:$H,'ELC TECH'!$E:$E)="Storage",DD$4*$BF16,"")</f>
        <v/>
      </c>
      <c r="DE16" s="8" t="str">
        <f>IF(_xlfn.XLOOKUP($B16,'ELC TECH'!$H:$H,'ELC TECH'!$E:$E)="Storage",DE$4*$BF16,"")</f>
        <v/>
      </c>
      <c r="DF16" s="8" t="str">
        <f>IF(_xlfn.XLOOKUP($B16,'ELC TECH'!$H:$H,'ELC TECH'!$E:$E)="Storage",DF$4*$BF16,"")</f>
        <v/>
      </c>
      <c r="DG16" s="8" t="str">
        <f>IF(_xlfn.XLOOKUP($B16,'ELC TECH'!$H:$H,'ELC TECH'!$E:$E)="Storage",DG$4*$BF16,"")</f>
        <v/>
      </c>
      <c r="DH16" s="8" t="str">
        <f>IF(_xlfn.XLOOKUP($B16,'ELC TECH'!$H:$H,'ELC TECH'!$E:$E)="Storage",DH$4*$BF16,"")</f>
        <v/>
      </c>
      <c r="DI16" s="8" t="str">
        <f>IF(_xlfn.XLOOKUP($B16,'ELC TECH'!$H:$H,'ELC TECH'!$E:$E)="Storage",DI$4*$BF16,"")</f>
        <v/>
      </c>
    </row>
    <row r="17" spans="2:113" x14ac:dyDescent="0.25">
      <c r="B17" t="str">
        <f>IF('ELC TECH'!I10=0,"*",'ELC TECH'!H10)</f>
        <v>ELCHYDGRDHNSNDC220</v>
      </c>
      <c r="C17" t="str">
        <f>IF(_xlfn.XLOOKUP(_xlfn.XLOOKUP(B17,'ELC TECH'!$H:$H,'ELC TECH'!$G:$G),List!C:C,List!B:B)="STG",D17,"ELC"&amp;_xlfn.XLOOKUP(_xlfn.XLOOKUP(B17,'ELC TECH'!H:H,'ELC TECH'!G:G),List!C:C,List!B:B))</f>
        <v>ELCHYD</v>
      </c>
      <c r="D17" t="s">
        <v>544</v>
      </c>
      <c r="E17">
        <f>_xlfn.XLOOKUP(B17,'ELC TECH'!H:H,'ELC TECH'!D:D)</f>
        <v>2020</v>
      </c>
      <c r="F17">
        <f>_xlfn.XLOOKUP(B17,'ELC TECH'!H:H,'ELC TECH'!K:K)</f>
        <v>100</v>
      </c>
      <c r="G17">
        <f t="shared" si="4"/>
        <v>31.535999999999998</v>
      </c>
      <c r="H17">
        <f>IF(_xlfn.XLOOKUP(B17,'ELC TECH'!$H:$H,'ELC TECH'!$E:$E)="Storage",0.3,IF(_xlfn.XLOOKUP(B17,'ELC TECH'!$H:$H,'ELC TECH'!$E:$E)="Baseload",0.9,IF(_xlfn.XLOOKUP(B17,'ELC TECH'!$H:$H,'ELC TECH'!$E:$E)="Non Dispatchable",0.05,IF(_xlfn.XLOOKUP(B17,'ELC TECH'!$H:$H,'ELC TECH'!$E:$E)="Dispatchable",0.9,1))))</f>
        <v>0.05</v>
      </c>
      <c r="I17" s="13">
        <f>IF(_xlfn.XLOOKUP(B17,'ELC TECH'!H:H,'ELC TECH'!J:J)="","",_xlfn.XLOOKUP(B17,'ELC TECH'!H:H,'ELC TECH'!J:J))</f>
        <v>0</v>
      </c>
      <c r="J17" s="12">
        <f>IF(_xlfn.XLOOKUP($B17,'ELC TECH'!$H:$H,'ELC TECH'!$E:$E)="Storage","",IF(_xlfn.XLOOKUP($B17,'ELC TECH'!$H:$H,'ELC TECH'!AK:AK)="",1,_xlfn.XLOOKUP($B17,'ELC TECH'!$H:$H,'ELC TECH'!AK:AK)))</f>
        <v>1</v>
      </c>
      <c r="K17" s="12">
        <f>IF(_xlfn.XLOOKUP($B17,'ELC TECH'!$H:$H,'ELC TECH'!$E:$E)="Storage","",IF(_xlfn.XLOOKUP($B17,'ELC TECH'!$H:$H,'ELC TECH'!AL:AL)="",1,_xlfn.XLOOKUP($B17,'ELC TECH'!$H:$H,'ELC TECH'!AL:AL)))</f>
        <v>1</v>
      </c>
      <c r="L17" s="12">
        <f>IF(_xlfn.XLOOKUP($B17,'ELC TECH'!$H:$H,'ELC TECH'!$E:$E)="Storage","",IF(_xlfn.XLOOKUP($B17,'ELC TECH'!$H:$H,'ELC TECH'!AM:AM)="",1,_xlfn.XLOOKUP($B17,'ELC TECH'!$H:$H,'ELC TECH'!AM:AM)))</f>
        <v>1</v>
      </c>
      <c r="M17" s="12">
        <f>IF(_xlfn.XLOOKUP($B17,'ELC TECH'!$H:$H,'ELC TECH'!$E:$E)="Storage","",IF(_xlfn.XLOOKUP($B17,'ELC TECH'!$H:$H,'ELC TECH'!AN:AN)="",1,_xlfn.XLOOKUP($B17,'ELC TECH'!$H:$H,'ELC TECH'!AN:AN)))</f>
        <v>1</v>
      </c>
      <c r="N17" s="12">
        <f>IF(_xlfn.XLOOKUP($B17,'ELC TECH'!$H:$H,'ELC TECH'!$E:$E)="Storage","",IF(_xlfn.XLOOKUP($B17,'ELC TECH'!$H:$H,'ELC TECH'!AO:AO)="",1,_xlfn.XLOOKUP($B17,'ELC TECH'!$H:$H,'ELC TECH'!AO:AO)))</f>
        <v>1</v>
      </c>
      <c r="O17" s="12">
        <f>IF(_xlfn.XLOOKUP($B17,'ELC TECH'!$H:$H,'ELC TECH'!$E:$E)="Storage","",IF(_xlfn.XLOOKUP($B17,'ELC TECH'!$H:$H,'ELC TECH'!AP:AP)="",1,_xlfn.XLOOKUP($B17,'ELC TECH'!$H:$H,'ELC TECH'!AP:AP)))</f>
        <v>1</v>
      </c>
      <c r="P17" s="12">
        <f>IF(_xlfn.XLOOKUP($B17,'ELC TECH'!$H:$H,'ELC TECH'!$E:$E)="Storage","",IF(_xlfn.XLOOKUP($B17,'ELC TECH'!$H:$H,'ELC TECH'!AQ:AQ)="",1,_xlfn.XLOOKUP($B17,'ELC TECH'!$H:$H,'ELC TECH'!AQ:AQ)))</f>
        <v>1</v>
      </c>
      <c r="Q17" s="12">
        <f>IF(_xlfn.XLOOKUP($B17,'ELC TECH'!$H:$H,'ELC TECH'!$E:$E)="Storage","",IF(_xlfn.XLOOKUP($B17,'ELC TECH'!$H:$H,'ELC TECH'!AR:AR)="",1,_xlfn.XLOOKUP($B17,'ELC TECH'!$H:$H,'ELC TECH'!AR:AR)))</f>
        <v>1</v>
      </c>
      <c r="R17" s="12" t="str">
        <f>IF(_xlfn.XLOOKUP($B17,'ELC TECH'!$H:$H,'ELC TECH'!$E:$E)&lt;&gt;"Storage","",IF(_xlfn.XLOOKUP($B17,'ELC TECH'!$H:$H,'ELC TECH'!AK:AK)="",0.8,_xlfn.XLOOKUP($B17,'ELC TECH'!$H:$H,'ELC TECH'!AK:AK)))</f>
        <v/>
      </c>
      <c r="S17" s="12" t="str">
        <f>IF(_xlfn.XLOOKUP($B17,'ELC TECH'!$H:$H,'ELC TECH'!$E:$E)&lt;&gt;"Storage","",IF(_xlfn.XLOOKUP($B17,'ELC TECH'!$H:$H,'ELC TECH'!AL:AL)="",0.8,_xlfn.XLOOKUP($B17,'ELC TECH'!$H:$H,'ELC TECH'!AL:AL)))</f>
        <v/>
      </c>
      <c r="T17" s="12" t="str">
        <f>IF(_xlfn.XLOOKUP($B17,'ELC TECH'!$H:$H,'ELC TECH'!$E:$E)&lt;&gt;"Storage","",IF(_xlfn.XLOOKUP($B17,'ELC TECH'!$H:$H,'ELC TECH'!AM:AM)="",0.8,_xlfn.XLOOKUP($B17,'ELC TECH'!$H:$H,'ELC TECH'!AM:AM)))</f>
        <v/>
      </c>
      <c r="U17" s="12" t="str">
        <f>IF(_xlfn.XLOOKUP($B17,'ELC TECH'!$H:$H,'ELC TECH'!$E:$E)&lt;&gt;"Storage","",IF(_xlfn.XLOOKUP($B17,'ELC TECH'!$H:$H,'ELC TECH'!AN:AN)="",0.8,_xlfn.XLOOKUP($B17,'ELC TECH'!$H:$H,'ELC TECH'!AN:AN)))</f>
        <v/>
      </c>
      <c r="V17" s="12" t="str">
        <f>IF(_xlfn.XLOOKUP($B17,'ELC TECH'!$H:$H,'ELC TECH'!$E:$E)&lt;&gt;"Storage","",IF(_xlfn.XLOOKUP($B17,'ELC TECH'!$H:$H,'ELC TECH'!AO:AO)="",0.8,_xlfn.XLOOKUP($B17,'ELC TECH'!$H:$H,'ELC TECH'!AO:AO)))</f>
        <v/>
      </c>
      <c r="W17" s="12" t="str">
        <f>IF(_xlfn.XLOOKUP($B17,'ELC TECH'!$H:$H,'ELC TECH'!$E:$E)&lt;&gt;"Storage","",IF(_xlfn.XLOOKUP($B17,'ELC TECH'!$H:$H,'ELC TECH'!AP:AP)="",0.8,_xlfn.XLOOKUP($B17,'ELC TECH'!$H:$H,'ELC TECH'!AP:AP)))</f>
        <v/>
      </c>
      <c r="X17" s="12" t="str">
        <f>IF(_xlfn.XLOOKUP($B17,'ELC TECH'!$H:$H,'ELC TECH'!$E:$E)&lt;&gt;"Storage","",IF(_xlfn.XLOOKUP($B17,'ELC TECH'!$H:$H,'ELC TECH'!AQ:AQ)="",0.8,_xlfn.XLOOKUP($B17,'ELC TECH'!$H:$H,'ELC TECH'!AQ:AQ)))</f>
        <v/>
      </c>
      <c r="Y17" s="12" t="str">
        <f>IF(_xlfn.XLOOKUP($B17,'ELC TECH'!$H:$H,'ELC TECH'!$E:$E)&lt;&gt;"Storage","",IF(_xlfn.XLOOKUP($B17,'ELC TECH'!$H:$H,'ELC TECH'!AR:AR)="",0.8,_xlfn.XLOOKUP($B17,'ELC TECH'!$H:$H,'ELC TECH'!AR:AR)))</f>
        <v/>
      </c>
      <c r="Z17" s="15">
        <f>_xlfn.XLOOKUP($B17,'ELC TECH'!$H:$H,'ELC TECH'!M:M)</f>
        <v>8008.0861522590212</v>
      </c>
      <c r="AA17" s="15">
        <f>_xlfn.XLOOKUP($B17,'ELC TECH'!$H:$H,'ELC TECH'!N:N)</f>
        <v>8008.0861522590212</v>
      </c>
      <c r="AB17" s="15">
        <f>_xlfn.XLOOKUP($B17,'ELC TECH'!$H:$H,'ELC TECH'!O:O)</f>
        <v>8008.0861522590212</v>
      </c>
      <c r="AC17" s="15">
        <f>_xlfn.XLOOKUP($B17,'ELC TECH'!$H:$H,'ELC TECH'!P:P)</f>
        <v>8008.0861522590212</v>
      </c>
      <c r="AD17" s="15">
        <f>_xlfn.XLOOKUP($B17,'ELC TECH'!$H:$H,'ELC TECH'!Q:Q)</f>
        <v>8008.0861522590212</v>
      </c>
      <c r="AE17" s="15">
        <f>_xlfn.XLOOKUP($B17,'ELC TECH'!$H:$H,'ELC TECH'!R:R)</f>
        <v>8008.0861522590212</v>
      </c>
      <c r="AF17" s="15">
        <f>_xlfn.XLOOKUP($B17,'ELC TECH'!$H:$H,'ELC TECH'!S:S)</f>
        <v>8008.0861522590212</v>
      </c>
      <c r="AG17" s="15">
        <f>_xlfn.XLOOKUP($B17,'ELC TECH'!$H:$H,'ELC TECH'!T:T)</f>
        <v>8008.0861522590212</v>
      </c>
      <c r="AH17" s="15">
        <f>_xlfn.XLOOKUP($B17,'ELC TECH'!$H:$H,'ELC TECH'!U:U)</f>
        <v>53.146010894687088</v>
      </c>
      <c r="AI17" s="15">
        <f>_xlfn.XLOOKUP($B17,'ELC TECH'!$H:$H,'ELC TECH'!V:V)</f>
        <v>53.146010894687088</v>
      </c>
      <c r="AJ17" s="15">
        <f>_xlfn.XLOOKUP($B17,'ELC TECH'!$H:$H,'ELC TECH'!W:W)</f>
        <v>53.146010894687088</v>
      </c>
      <c r="AK17" s="15">
        <f>_xlfn.XLOOKUP($B17,'ELC TECH'!$H:$H,'ELC TECH'!X:X)</f>
        <v>53.146010894687088</v>
      </c>
      <c r="AL17" s="15">
        <f>_xlfn.XLOOKUP($B17,'ELC TECH'!$H:$H,'ELC TECH'!Y:Y)</f>
        <v>53.146010894687088</v>
      </c>
      <c r="AM17" s="15">
        <f>_xlfn.XLOOKUP($B17,'ELC TECH'!$H:$H,'ELC TECH'!Z:Z)</f>
        <v>53.146010894687088</v>
      </c>
      <c r="AN17" s="15">
        <f>_xlfn.XLOOKUP($B17,'ELC TECH'!$H:$H,'ELC TECH'!AA:AA)</f>
        <v>53.146010894687088</v>
      </c>
      <c r="AO17" s="15">
        <f>_xlfn.XLOOKUP($B17,'ELC TECH'!$H:$H,'ELC TECH'!AB:AB)</f>
        <v>53.146010894687088</v>
      </c>
      <c r="AP17" s="15">
        <f>_xlfn.XLOOKUP($B17,'ELC TECH'!$H:$H,'ELC TECH'!AC:AC)</f>
        <v>0</v>
      </c>
      <c r="AQ17" s="15">
        <f>_xlfn.XLOOKUP($B17,'ELC TECH'!$H:$H,'ELC TECH'!AD:AD)</f>
        <v>0</v>
      </c>
      <c r="AR17" s="15">
        <f>_xlfn.XLOOKUP($B17,'ELC TECH'!$H:$H,'ELC TECH'!AE:AE)</f>
        <v>0</v>
      </c>
      <c r="AS17" s="15">
        <f>_xlfn.XLOOKUP($B17,'ELC TECH'!$H:$H,'ELC TECH'!AF:AF)</f>
        <v>0</v>
      </c>
      <c r="AT17" s="15">
        <f>_xlfn.XLOOKUP($B17,'ELC TECH'!$H:$H,'ELC TECH'!AG:AG)</f>
        <v>0</v>
      </c>
      <c r="AU17" s="15">
        <f>_xlfn.XLOOKUP($B17,'ELC TECH'!$H:$H,'ELC TECH'!AH:AH)</f>
        <v>0</v>
      </c>
      <c r="AV17" s="15">
        <f>_xlfn.XLOOKUP($B17,'ELC TECH'!$H:$H,'ELC TECH'!AI:AI)</f>
        <v>0</v>
      </c>
      <c r="AW17" s="15">
        <f>_xlfn.XLOOKUP($B17,'ELC TECH'!$H:$H,'ELC TECH'!AJ:AJ)</f>
        <v>0</v>
      </c>
      <c r="AX17" s="12">
        <f>IF(_xlfn.XLOOKUP($B17,'ELC TECH'!$H:$H,'ELC TECH'!$E:$E)="Storage","",_xlfn.XLOOKUP($B17,'ELC TECH'!$H:$H,'ELC TECH'!AS:AS))</f>
        <v>0.66</v>
      </c>
      <c r="AY17" s="12">
        <f>IF(_xlfn.XLOOKUP($B17,'ELC TECH'!$H:$H,'ELC TECH'!$E:$E)="Storage","",_xlfn.XLOOKUP($B17,'ELC TECH'!$H:$H,'ELC TECH'!AT:AT))</f>
        <v>0.66</v>
      </c>
      <c r="AZ17" s="12">
        <f>IF(_xlfn.XLOOKUP($B17,'ELC TECH'!$H:$H,'ELC TECH'!$E:$E)="Storage","",_xlfn.XLOOKUP($B17,'ELC TECH'!$H:$H,'ELC TECH'!AU:AU))</f>
        <v>0.66</v>
      </c>
      <c r="BA17" s="12">
        <f>IF(_xlfn.XLOOKUP($B17,'ELC TECH'!$H:$H,'ELC TECH'!$E:$E)="Storage","",_xlfn.XLOOKUP($B17,'ELC TECH'!$H:$H,'ELC TECH'!AV:AV))</f>
        <v>0.66</v>
      </c>
      <c r="BB17" s="12">
        <f>IF(_xlfn.XLOOKUP($B17,'ELC TECH'!$H:$H,'ELC TECH'!$E:$E)="Storage","",_xlfn.XLOOKUP($B17,'ELC TECH'!$H:$H,'ELC TECH'!AW:AW))</f>
        <v>0.66</v>
      </c>
      <c r="BC17" s="12">
        <f>IF(_xlfn.XLOOKUP($B17,'ELC TECH'!$H:$H,'ELC TECH'!$E:$E)="Storage","",_xlfn.XLOOKUP($B17,'ELC TECH'!$H:$H,'ELC TECH'!AX:AX))</f>
        <v>0.66</v>
      </c>
      <c r="BD17" s="12">
        <f>IF(_xlfn.XLOOKUP($B17,'ELC TECH'!$H:$H,'ELC TECH'!$E:$E)="Storage","",_xlfn.XLOOKUP($B17,'ELC TECH'!$H:$H,'ELC TECH'!AY:AY))</f>
        <v>0.66</v>
      </c>
      <c r="BE17" s="12">
        <f>IF(_xlfn.XLOOKUP($B17,'ELC TECH'!$H:$H,'ELC TECH'!$E:$E)="Storage","",_xlfn.XLOOKUP($B17,'ELC TECH'!$H:$H,'ELC TECH'!AZ:AZ))</f>
        <v>0.66</v>
      </c>
      <c r="BF17" s="12" t="str">
        <f>IF(_xlfn.XLOOKUP($B17,'ELC TECH'!$H:$H,'ELC TECH'!$E:$E)="Storage",_xlfn.XLOOKUP($B17,'ELC TECH'!$H:$H,'ELC TECH'!AS:AS),"")</f>
        <v/>
      </c>
      <c r="BG17" s="12" t="str">
        <f>IF(_xlfn.XLOOKUP($B17,'ELC TECH'!$H:$H,'ELC TECH'!$E:$E)="Storage",_xlfn.XLOOKUP($B17,'ELC TECH'!$H:$H,'ELC TECH'!AT:AT),"")</f>
        <v/>
      </c>
      <c r="BH17" s="12" t="str">
        <f>IF(_xlfn.XLOOKUP($B17,'ELC TECH'!$H:$H,'ELC TECH'!$E:$E)="Storage",_xlfn.XLOOKUP($B17,'ELC TECH'!$H:$H,'ELC TECH'!AU:AU),"")</f>
        <v/>
      </c>
      <c r="BI17" s="12" t="str">
        <f>IF(_xlfn.XLOOKUP($B17,'ELC TECH'!$H:$H,'ELC TECH'!$E:$E)="Storage",_xlfn.XLOOKUP($B17,'ELC TECH'!$H:$H,'ELC TECH'!AV:AV),"")</f>
        <v/>
      </c>
      <c r="BJ17" s="12" t="str">
        <f>IF(_xlfn.XLOOKUP($B17,'ELC TECH'!$H:$H,'ELC TECH'!$E:$E)="Storage",_xlfn.XLOOKUP($B17,'ELC TECH'!$H:$H,'ELC TECH'!AW:AW),"")</f>
        <v/>
      </c>
      <c r="BK17" s="12" t="str">
        <f>IF(_xlfn.XLOOKUP($B17,'ELC TECH'!$H:$H,'ELC TECH'!$E:$E)="Storage",_xlfn.XLOOKUP($B17,'ELC TECH'!$H:$H,'ELC TECH'!AX:AX),"")</f>
        <v/>
      </c>
      <c r="BL17" s="12" t="str">
        <f>IF(_xlfn.XLOOKUP($B17,'ELC TECH'!$H:$H,'ELC TECH'!$E:$E)="Storage",_xlfn.XLOOKUP($B17,'ELC TECH'!$H:$H,'ELC TECH'!AY:AY),"")</f>
        <v/>
      </c>
      <c r="BM17" s="12" t="str">
        <f>IF(_xlfn.XLOOKUP($B17,'ELC TECH'!$H:$H,'ELC TECH'!$E:$E)="Storage",_xlfn.XLOOKUP($B17,'ELC TECH'!$H:$H,'ELC TECH'!AZ:AZ),"")</f>
        <v/>
      </c>
      <c r="BN17" s="8">
        <f>IF(_xlfn.XLOOKUP($B17,'ELC TECH'!$H:$H,'ELC TECH'!$E:$E)="Non Dispatchable",IFERROR($AX17*_xlfn.XLOOKUP($C17,$BM$1:$BM$3,BN$1:BN$3)/SUMPRODUCT(_xlfn.XLOOKUP($C17,$BM$1:$BM$3,$BN$1:$BY$3),$BN$4:$BY$4),""),
"")</f>
        <v>0.47604122391346398</v>
      </c>
      <c r="BO17" s="8">
        <f>IF(_xlfn.XLOOKUP($B17,'ELC TECH'!$H:$H,'ELC TECH'!$E:$E)="Non Dispatchable",IFERROR($AX17*_xlfn.XLOOKUP($C17,$BM$1:$BM$3,BO$1:BO$3)/SUMPRODUCT(_xlfn.XLOOKUP($C17,$BM$1:$BM$3,$BN$1:$BY$3),$BN$4:$BY$4),""),
"")</f>
        <v>0.55422317674596711</v>
      </c>
      <c r="BP17" s="8">
        <f>IF(_xlfn.XLOOKUP($B17,'ELC TECH'!$H:$H,'ELC TECH'!$E:$E)="Non Dispatchable",IFERROR($AX17*_xlfn.XLOOKUP($C17,$BM$1:$BM$3,BP$1:BP$3)/SUMPRODUCT(_xlfn.XLOOKUP($C17,$BM$1:$BM$3,$BN$1:$BY$3),$BN$4:$BY$4),""),
"")</f>
        <v>0.88722038325477715</v>
      </c>
      <c r="BQ17" s="8">
        <f>IF(_xlfn.XLOOKUP($B17,'ELC TECH'!$H:$H,'ELC TECH'!$E:$E)="Non Dispatchable",IFERROR($AX17*_xlfn.XLOOKUP($C17,$BM$1:$BM$3,BQ$1:BQ$3)/SUMPRODUCT(_xlfn.XLOOKUP($C17,$BM$1:$BM$3,$BN$1:$BY$3),$BN$4:$BY$4),""),
"")</f>
        <v>1.8532018449185946E-2</v>
      </c>
      <c r="BR17" s="8">
        <f>IF(_xlfn.XLOOKUP($B17,'ELC TECH'!$H:$H,'ELC TECH'!$E:$E)="Non Dispatchable",IFERROR($AX17*_xlfn.XLOOKUP($C17,$BM$1:$BM$3,BR$1:BR$3)/SUMPRODUCT(_xlfn.XLOOKUP($C17,$BM$1:$BM$3,$BN$1:$BY$3),$BN$4:$BY$4),""),
"")</f>
        <v>0.47198734487770461</v>
      </c>
      <c r="BS17" s="8">
        <f>IF(_xlfn.XLOOKUP($B17,'ELC TECH'!$H:$H,'ELC TECH'!$E:$E)="Non Dispatchable",IFERROR($AX17*_xlfn.XLOOKUP($C17,$BM$1:$BM$3,BS$1:BS$3)/SUMPRODUCT(_xlfn.XLOOKUP($C17,$BM$1:$BM$3,$BN$1:$BY$3),$BN$4:$BY$4),""),
"")</f>
        <v>0.62950950169578512</v>
      </c>
      <c r="BT17" s="8">
        <f>IF(_xlfn.XLOOKUP($B17,'ELC TECH'!$H:$H,'ELC TECH'!$E:$E)="Non Dispatchable",IFERROR($AX17*_xlfn.XLOOKUP($C17,$BM$1:$BM$3,BT$1:BT$3)/SUMPRODUCT(_xlfn.XLOOKUP($C17,$BM$1:$BM$3,$BN$1:$BY$3),$BN$4:$BY$4),""),
"")</f>
        <v>0.79977242119768099</v>
      </c>
      <c r="BU17" s="8">
        <f>IF(_xlfn.XLOOKUP($B17,'ELC TECH'!$H:$H,'ELC TECH'!$E:$E)="Non Dispatchable",IFERROR($AX17*_xlfn.XLOOKUP($C17,$BM$1:$BM$3,BU$1:BU$3)/SUMPRODUCT(_xlfn.XLOOKUP($C17,$BM$1:$BM$3,$BN$1:$BY$3),$BN$4:$BY$4),""),
"")</f>
        <v>1.8532018449185946E-2</v>
      </c>
      <c r="BV17" s="8">
        <f>IF(_xlfn.XLOOKUP($B17,'ELC TECH'!$H:$H,'ELC TECH'!$E:$E)="Non Dispatchable",IFERROR($AX17*_xlfn.XLOOKUP($C17,$BM$1:$BM$3,BV$1:BV$3)/SUMPRODUCT(_xlfn.XLOOKUP($C17,$BM$1:$BM$3,$BN$1:$BY$3),$BN$4:$BY$4),""),
"")</f>
        <v>0.5646474371236343</v>
      </c>
      <c r="BW17" s="8">
        <f>IF(_xlfn.XLOOKUP($B17,'ELC TECH'!$H:$H,'ELC TECH'!$E:$E)="Non Dispatchable",IFERROR($AX17*_xlfn.XLOOKUP($C17,$BM$1:$BM$3,BW$1:BW$3)/SUMPRODUCT(_xlfn.XLOOKUP($C17,$BM$1:$BM$3,$BN$1:$BY$3),$BN$4:$BY$4),""),
"")</f>
        <v>0.62950950169578512</v>
      </c>
      <c r="BX17" s="8">
        <f>IF(_xlfn.XLOOKUP($B17,'ELC TECH'!$H:$H,'ELC TECH'!$E:$E)="Non Dispatchable",IFERROR($AX17*_xlfn.XLOOKUP($C17,$BM$1:$BM$3,BX$1:BX$3)/SUMPRODUCT(_xlfn.XLOOKUP($C17,$BM$1:$BM$3,$BN$1:$BY$3),$BN$4:$BY$4),""),
"")</f>
        <v>0.72564434740093708</v>
      </c>
      <c r="BY17" s="8">
        <f>IF(_xlfn.XLOOKUP($B17,'ELC TECH'!$H:$H,'ELC TECH'!$E:$E)="Non Dispatchable",IFERROR($AX17*_xlfn.XLOOKUP($C17,$BM$1:$BM$3,BY$1:BY$3)/SUMPRODUCT(_xlfn.XLOOKUP($C17,$BM$1:$BM$3,$BN$1:$BY$3),$BN$4:$BY$4),""),
"")</f>
        <v>1.5636390566500642E-2</v>
      </c>
      <c r="BZ17" s="8">
        <f>IF(_xlfn.XLOOKUP($B17,'ELC TECH'!$H:$H,'ELC TECH'!$E:$E)="Non Dispatchable",IFERROR($AX17*_xlfn.XLOOKUP($C17,$BM$1:$BM$3,BZ$1:BZ$3)/SUMPRODUCT(_xlfn.XLOOKUP($C17,$BM$1:$BM$3,$BN$1:$BY$3),$BN$4:$BY$4),""),
"")</f>
        <v>0.47604122391346398</v>
      </c>
      <c r="CA17" s="8">
        <f>IF(_xlfn.XLOOKUP($B17,'ELC TECH'!$H:$H,'ELC TECH'!$E:$E)="Non Dispatchable",IFERROR($AX17*_xlfn.XLOOKUP($C17,$BM$1:$BM$3,CA$1:CA$3)/SUMPRODUCT(_xlfn.XLOOKUP($C17,$BM$1:$BM$3,$BN$1:$BY$3),$BN$4:$BY$4),""),
"")</f>
        <v>0.55422317674596711</v>
      </c>
      <c r="CB17" s="8">
        <f>IF(_xlfn.XLOOKUP($B17,'ELC TECH'!$H:$H,'ELC TECH'!$E:$E)="Non Dispatchable",IFERROR($AX17*_xlfn.XLOOKUP($C17,$BM$1:$BM$3,CB$1:CB$3)/SUMPRODUCT(_xlfn.XLOOKUP($C17,$BM$1:$BM$3,$BN$1:$BY$3),$BN$4:$BY$4),""),
"")</f>
        <v>0.88722038325477715</v>
      </c>
      <c r="CC17" s="8">
        <f>IF(_xlfn.XLOOKUP($B17,'ELC TECH'!$H:$H,'ELC TECH'!$E:$E)="Non Dispatchable",IFERROR($AX17*_xlfn.XLOOKUP($C17,$BM$1:$BM$3,CC$1:CC$3)/SUMPRODUCT(_xlfn.XLOOKUP($C17,$BM$1:$BM$3,$BN$1:$BY$3),$BN$4:$BY$4),""),
"")</f>
        <v>1.8532018449185946E-2</v>
      </c>
      <c r="CD17" s="8">
        <f>IF(_xlfn.XLOOKUP($B17,'ELC TECH'!$H:$H,'ELC TECH'!$E:$E)="Non Dispatchable",IFERROR($AX17*_xlfn.XLOOKUP($C17,$BM$1:$BM$3,CD$1:CD$3)/SUMPRODUCT(_xlfn.XLOOKUP($C17,$BM$1:$BM$3,$BN$1:$BY$3),$BN$4:$BY$4),""),
"")</f>
        <v>0.47198734487770461</v>
      </c>
      <c r="CE17" s="8">
        <f>IF(_xlfn.XLOOKUP($B17,'ELC TECH'!$H:$H,'ELC TECH'!$E:$E)="Non Dispatchable",IFERROR($AX17*_xlfn.XLOOKUP($C17,$BM$1:$BM$3,CE$1:CE$3)/SUMPRODUCT(_xlfn.XLOOKUP($C17,$BM$1:$BM$3,$BN$1:$BY$3),$BN$4:$BY$4),""),
"")</f>
        <v>0.62950950169578512</v>
      </c>
      <c r="CF17" s="8">
        <f>IF(_xlfn.XLOOKUP($B17,'ELC TECH'!$H:$H,'ELC TECH'!$E:$E)="Non Dispatchable",IFERROR($AX17*_xlfn.XLOOKUP($C17,$BM$1:$BM$3,CF$1:CF$3)/SUMPRODUCT(_xlfn.XLOOKUP($C17,$BM$1:$BM$3,$BN$1:$BY$3),$BN$4:$BY$4),""),
"")</f>
        <v>0.79977242119768099</v>
      </c>
      <c r="CG17" s="8">
        <f>IF(_xlfn.XLOOKUP($B17,'ELC TECH'!$H:$H,'ELC TECH'!$E:$E)="Non Dispatchable",IFERROR($AX17*_xlfn.XLOOKUP($C17,$BM$1:$BM$3,CG$1:CG$3)/SUMPRODUCT(_xlfn.XLOOKUP($C17,$BM$1:$BM$3,$BN$1:$BY$3),$BN$4:$BY$4),""),
"")</f>
        <v>1.8532018449185946E-2</v>
      </c>
      <c r="CH17" s="8">
        <f>IF(_xlfn.XLOOKUP($B17,'ELC TECH'!$H:$H,'ELC TECH'!$E:$E)="Non Dispatchable",IFERROR($AX17*_xlfn.XLOOKUP($C17,$BM$1:$BM$3,CH$1:CH$3)/SUMPRODUCT(_xlfn.XLOOKUP($C17,$BM$1:$BM$3,$BN$1:$BY$3),$BN$4:$BY$4),""),
"")</f>
        <v>0.5646474371236343</v>
      </c>
      <c r="CI17" s="8">
        <f>IF(_xlfn.XLOOKUP($B17,'ELC TECH'!$H:$H,'ELC TECH'!$E:$E)="Non Dispatchable",IFERROR($AX17*_xlfn.XLOOKUP($C17,$BM$1:$BM$3,CI$1:CI$3)/SUMPRODUCT(_xlfn.XLOOKUP($C17,$BM$1:$BM$3,$BN$1:$BY$3),$BN$4:$BY$4),""),
"")</f>
        <v>0.62950950169578512</v>
      </c>
      <c r="CJ17" s="8">
        <f>IF(_xlfn.XLOOKUP($B17,'ELC TECH'!$H:$H,'ELC TECH'!$E:$E)="Non Dispatchable",IFERROR($AX17*_xlfn.XLOOKUP($C17,$BM$1:$BM$3,CJ$1:CJ$3)/SUMPRODUCT(_xlfn.XLOOKUP($C17,$BM$1:$BM$3,$BN$1:$BY$3),$BN$4:$BY$4),""),
"")</f>
        <v>0.72564434740093708</v>
      </c>
      <c r="CK17" s="8">
        <f>IF(_xlfn.XLOOKUP($B17,'ELC TECH'!$H:$H,'ELC TECH'!$E:$E)="Non Dispatchable",IFERROR($AX17*_xlfn.XLOOKUP($C17,$BM$1:$BM$3,CK$1:CK$3)/SUMPRODUCT(_xlfn.XLOOKUP($C17,$BM$1:$BM$3,$BN$1:$BY$3),$BN$4:$BY$4),""),
"")</f>
        <v>1.5636390566500642E-2</v>
      </c>
      <c r="CL17" s="8" t="str">
        <f>IF(_xlfn.XLOOKUP($B17,'ELC TECH'!$H:$H,'ELC TECH'!$E:$E)="Storage",CL$4*$BF17,"")</f>
        <v/>
      </c>
      <c r="CM17" s="8" t="str">
        <f>IF(_xlfn.XLOOKUP($B17,'ELC TECH'!$H:$H,'ELC TECH'!$E:$E)="Storage",CM$4*$BF17,"")</f>
        <v/>
      </c>
      <c r="CN17" s="8" t="str">
        <f>IF(_xlfn.XLOOKUP($B17,'ELC TECH'!$H:$H,'ELC TECH'!$E:$E)="Storage",CN$4*$BF17,"")</f>
        <v/>
      </c>
      <c r="CO17" s="8" t="str">
        <f>IF(_xlfn.XLOOKUP($B17,'ELC TECH'!$H:$H,'ELC TECH'!$E:$E)="Storage",CO$4*$BF17,"")</f>
        <v/>
      </c>
      <c r="CP17" s="8" t="str">
        <f>IF(_xlfn.XLOOKUP($B17,'ELC TECH'!$H:$H,'ELC TECH'!$E:$E)="Storage",CP$4*$BF17,"")</f>
        <v/>
      </c>
      <c r="CQ17" s="8" t="str">
        <f>IF(_xlfn.XLOOKUP($B17,'ELC TECH'!$H:$H,'ELC TECH'!$E:$E)="Storage",CQ$4*$BF17,"")</f>
        <v/>
      </c>
      <c r="CR17" s="8" t="str">
        <f>IF(_xlfn.XLOOKUP($B17,'ELC TECH'!$H:$H,'ELC TECH'!$E:$E)="Storage",CR$4*$BF17,"")</f>
        <v/>
      </c>
      <c r="CS17" s="8" t="str">
        <f>IF(_xlfn.XLOOKUP($B17,'ELC TECH'!$H:$H,'ELC TECH'!$E:$E)="Storage",CS$4*$BF17,"")</f>
        <v/>
      </c>
      <c r="CT17" s="8" t="str">
        <f>IF(_xlfn.XLOOKUP($B17,'ELC TECH'!$H:$H,'ELC TECH'!$E:$E)="Storage",CT$4*$BF17,"")</f>
        <v/>
      </c>
      <c r="CU17" s="8" t="str">
        <f>IF(_xlfn.XLOOKUP($B17,'ELC TECH'!$H:$H,'ELC TECH'!$E:$E)="Storage",CU$4*$BF17,"")</f>
        <v/>
      </c>
      <c r="CV17" s="8" t="str">
        <f>IF(_xlfn.XLOOKUP($B17,'ELC TECH'!$H:$H,'ELC TECH'!$E:$E)="Storage",CV$4*$BF17,"")</f>
        <v/>
      </c>
      <c r="CW17" s="8" t="str">
        <f>IF(_xlfn.XLOOKUP($B17,'ELC TECH'!$H:$H,'ELC TECH'!$E:$E)="Storage",CW$4*$BF17,"")</f>
        <v/>
      </c>
      <c r="CX17" s="8" t="str">
        <f>IF(_xlfn.XLOOKUP($B17,'ELC TECH'!$H:$H,'ELC TECH'!$E:$E)="Storage",CX$4*$BF17,"")</f>
        <v/>
      </c>
      <c r="CY17" s="8" t="str">
        <f>IF(_xlfn.XLOOKUP($B17,'ELC TECH'!$H:$H,'ELC TECH'!$E:$E)="Storage",CY$4*$BF17,"")</f>
        <v/>
      </c>
      <c r="CZ17" s="8" t="str">
        <f>IF(_xlfn.XLOOKUP($B17,'ELC TECH'!$H:$H,'ELC TECH'!$E:$E)="Storage",CZ$4*$BF17,"")</f>
        <v/>
      </c>
      <c r="DA17" s="8" t="str">
        <f>IF(_xlfn.XLOOKUP($B17,'ELC TECH'!$H:$H,'ELC TECH'!$E:$E)="Storage",DA$4*$BF17,"")</f>
        <v/>
      </c>
      <c r="DB17" s="8" t="str">
        <f>IF(_xlfn.XLOOKUP($B17,'ELC TECH'!$H:$H,'ELC TECH'!$E:$E)="Storage",DB$4*$BF17,"")</f>
        <v/>
      </c>
      <c r="DC17" s="8" t="str">
        <f>IF(_xlfn.XLOOKUP($B17,'ELC TECH'!$H:$H,'ELC TECH'!$E:$E)="Storage",DC$4*$BF17,"")</f>
        <v/>
      </c>
      <c r="DD17" s="8" t="str">
        <f>IF(_xlfn.XLOOKUP($B17,'ELC TECH'!$H:$H,'ELC TECH'!$E:$E)="Storage",DD$4*$BF17,"")</f>
        <v/>
      </c>
      <c r="DE17" s="8" t="str">
        <f>IF(_xlfn.XLOOKUP($B17,'ELC TECH'!$H:$H,'ELC TECH'!$E:$E)="Storage",DE$4*$BF17,"")</f>
        <v/>
      </c>
      <c r="DF17" s="8" t="str">
        <f>IF(_xlfn.XLOOKUP($B17,'ELC TECH'!$H:$H,'ELC TECH'!$E:$E)="Storage",DF$4*$BF17,"")</f>
        <v/>
      </c>
      <c r="DG17" s="8" t="str">
        <f>IF(_xlfn.XLOOKUP($B17,'ELC TECH'!$H:$H,'ELC TECH'!$E:$E)="Storage",DG$4*$BF17,"")</f>
        <v/>
      </c>
      <c r="DH17" s="8" t="str">
        <f>IF(_xlfn.XLOOKUP($B17,'ELC TECH'!$H:$H,'ELC TECH'!$E:$E)="Storage",DH$4*$BF17,"")</f>
        <v/>
      </c>
      <c r="DI17" s="8" t="str">
        <f>IF(_xlfn.XLOOKUP($B17,'ELC TECH'!$H:$H,'ELC TECH'!$E:$E)="Storage",DI$4*$BF17,"")</f>
        <v/>
      </c>
    </row>
    <row r="18" spans="2:113" x14ac:dyDescent="0.25">
      <c r="B18" t="str">
        <f>IF('ELC TECH'!I11=0,"*",'ELC TECH'!H11)</f>
        <v>ELCHYDGRDHNSNDC320</v>
      </c>
      <c r="C18" t="str">
        <f>IF(_xlfn.XLOOKUP(_xlfn.XLOOKUP(B18,'ELC TECH'!$H:$H,'ELC TECH'!$G:$G),List!C:C,List!B:B)="STG",D18,"ELC"&amp;_xlfn.XLOOKUP(_xlfn.XLOOKUP(B18,'ELC TECH'!H:H,'ELC TECH'!G:G),List!C:C,List!B:B))</f>
        <v>ELCHYD</v>
      </c>
      <c r="D18" t="s">
        <v>544</v>
      </c>
      <c r="E18">
        <f>_xlfn.XLOOKUP(B18,'ELC TECH'!H:H,'ELC TECH'!D:D)</f>
        <v>2020</v>
      </c>
      <c r="F18">
        <f>_xlfn.XLOOKUP(B18,'ELC TECH'!H:H,'ELC TECH'!K:K)</f>
        <v>100</v>
      </c>
      <c r="G18">
        <f t="shared" si="4"/>
        <v>31.535999999999998</v>
      </c>
      <c r="H18">
        <f>IF(_xlfn.XLOOKUP(B18,'ELC TECH'!$H:$H,'ELC TECH'!$E:$E)="Storage",0.3,IF(_xlfn.XLOOKUP(B18,'ELC TECH'!$H:$H,'ELC TECH'!$E:$E)="Baseload",0.9,IF(_xlfn.XLOOKUP(B18,'ELC TECH'!$H:$H,'ELC TECH'!$E:$E)="Non Dispatchable",0.05,IF(_xlfn.XLOOKUP(B18,'ELC TECH'!$H:$H,'ELC TECH'!$E:$E)="Dispatchable",0.9,1))))</f>
        <v>0.05</v>
      </c>
      <c r="I18" s="13">
        <f>IF(_xlfn.XLOOKUP(B18,'ELC TECH'!H:H,'ELC TECH'!J:J)="","",_xlfn.XLOOKUP(B18,'ELC TECH'!H:H,'ELC TECH'!J:J))</f>
        <v>0</v>
      </c>
      <c r="J18" s="12">
        <f>IF(_xlfn.XLOOKUP($B18,'ELC TECH'!$H:$H,'ELC TECH'!$E:$E)="Storage","",IF(_xlfn.XLOOKUP($B18,'ELC TECH'!$H:$H,'ELC TECH'!AK:AK)="",1,_xlfn.XLOOKUP($B18,'ELC TECH'!$H:$H,'ELC TECH'!AK:AK)))</f>
        <v>1</v>
      </c>
      <c r="K18" s="12">
        <f>IF(_xlfn.XLOOKUP($B18,'ELC TECH'!$H:$H,'ELC TECH'!$E:$E)="Storage","",IF(_xlfn.XLOOKUP($B18,'ELC TECH'!$H:$H,'ELC TECH'!AL:AL)="",1,_xlfn.XLOOKUP($B18,'ELC TECH'!$H:$H,'ELC TECH'!AL:AL)))</f>
        <v>1</v>
      </c>
      <c r="L18" s="12">
        <f>IF(_xlfn.XLOOKUP($B18,'ELC TECH'!$H:$H,'ELC TECH'!$E:$E)="Storage","",IF(_xlfn.XLOOKUP($B18,'ELC TECH'!$H:$H,'ELC TECH'!AM:AM)="",1,_xlfn.XLOOKUP($B18,'ELC TECH'!$H:$H,'ELC TECH'!AM:AM)))</f>
        <v>1</v>
      </c>
      <c r="M18" s="12">
        <f>IF(_xlfn.XLOOKUP($B18,'ELC TECH'!$H:$H,'ELC TECH'!$E:$E)="Storage","",IF(_xlfn.XLOOKUP($B18,'ELC TECH'!$H:$H,'ELC TECH'!AN:AN)="",1,_xlfn.XLOOKUP($B18,'ELC TECH'!$H:$H,'ELC TECH'!AN:AN)))</f>
        <v>1</v>
      </c>
      <c r="N18" s="12">
        <f>IF(_xlfn.XLOOKUP($B18,'ELC TECH'!$H:$H,'ELC TECH'!$E:$E)="Storage","",IF(_xlfn.XLOOKUP($B18,'ELC TECH'!$H:$H,'ELC TECH'!AO:AO)="",1,_xlfn.XLOOKUP($B18,'ELC TECH'!$H:$H,'ELC TECH'!AO:AO)))</f>
        <v>1</v>
      </c>
      <c r="O18" s="12">
        <f>IF(_xlfn.XLOOKUP($B18,'ELC TECH'!$H:$H,'ELC TECH'!$E:$E)="Storage","",IF(_xlfn.XLOOKUP($B18,'ELC TECH'!$H:$H,'ELC TECH'!AP:AP)="",1,_xlfn.XLOOKUP($B18,'ELC TECH'!$H:$H,'ELC TECH'!AP:AP)))</f>
        <v>1</v>
      </c>
      <c r="P18" s="12">
        <f>IF(_xlfn.XLOOKUP($B18,'ELC TECH'!$H:$H,'ELC TECH'!$E:$E)="Storage","",IF(_xlfn.XLOOKUP($B18,'ELC TECH'!$H:$H,'ELC TECH'!AQ:AQ)="",1,_xlfn.XLOOKUP($B18,'ELC TECH'!$H:$H,'ELC TECH'!AQ:AQ)))</f>
        <v>1</v>
      </c>
      <c r="Q18" s="12">
        <f>IF(_xlfn.XLOOKUP($B18,'ELC TECH'!$H:$H,'ELC TECH'!$E:$E)="Storage","",IF(_xlfn.XLOOKUP($B18,'ELC TECH'!$H:$H,'ELC TECH'!AR:AR)="",1,_xlfn.XLOOKUP($B18,'ELC TECH'!$H:$H,'ELC TECH'!AR:AR)))</f>
        <v>1</v>
      </c>
      <c r="R18" s="12" t="str">
        <f>IF(_xlfn.XLOOKUP($B18,'ELC TECH'!$H:$H,'ELC TECH'!$E:$E)&lt;&gt;"Storage","",IF(_xlfn.XLOOKUP($B18,'ELC TECH'!$H:$H,'ELC TECH'!AK:AK)="",0.8,_xlfn.XLOOKUP($B18,'ELC TECH'!$H:$H,'ELC TECH'!AK:AK)))</f>
        <v/>
      </c>
      <c r="S18" s="12" t="str">
        <f>IF(_xlfn.XLOOKUP($B18,'ELC TECH'!$H:$H,'ELC TECH'!$E:$E)&lt;&gt;"Storage","",IF(_xlfn.XLOOKUP($B18,'ELC TECH'!$H:$H,'ELC TECH'!AL:AL)="",0.8,_xlfn.XLOOKUP($B18,'ELC TECH'!$H:$H,'ELC TECH'!AL:AL)))</f>
        <v/>
      </c>
      <c r="T18" s="12" t="str">
        <f>IF(_xlfn.XLOOKUP($B18,'ELC TECH'!$H:$H,'ELC TECH'!$E:$E)&lt;&gt;"Storage","",IF(_xlfn.XLOOKUP($B18,'ELC TECH'!$H:$H,'ELC TECH'!AM:AM)="",0.8,_xlfn.XLOOKUP($B18,'ELC TECH'!$H:$H,'ELC TECH'!AM:AM)))</f>
        <v/>
      </c>
      <c r="U18" s="12" t="str">
        <f>IF(_xlfn.XLOOKUP($B18,'ELC TECH'!$H:$H,'ELC TECH'!$E:$E)&lt;&gt;"Storage","",IF(_xlfn.XLOOKUP($B18,'ELC TECH'!$H:$H,'ELC TECH'!AN:AN)="",0.8,_xlfn.XLOOKUP($B18,'ELC TECH'!$H:$H,'ELC TECH'!AN:AN)))</f>
        <v/>
      </c>
      <c r="V18" s="12" t="str">
        <f>IF(_xlfn.XLOOKUP($B18,'ELC TECH'!$H:$H,'ELC TECH'!$E:$E)&lt;&gt;"Storage","",IF(_xlfn.XLOOKUP($B18,'ELC TECH'!$H:$H,'ELC TECH'!AO:AO)="",0.8,_xlfn.XLOOKUP($B18,'ELC TECH'!$H:$H,'ELC TECH'!AO:AO)))</f>
        <v/>
      </c>
      <c r="W18" s="12" t="str">
        <f>IF(_xlfn.XLOOKUP($B18,'ELC TECH'!$H:$H,'ELC TECH'!$E:$E)&lt;&gt;"Storage","",IF(_xlfn.XLOOKUP($B18,'ELC TECH'!$H:$H,'ELC TECH'!AP:AP)="",0.8,_xlfn.XLOOKUP($B18,'ELC TECH'!$H:$H,'ELC TECH'!AP:AP)))</f>
        <v/>
      </c>
      <c r="X18" s="12" t="str">
        <f>IF(_xlfn.XLOOKUP($B18,'ELC TECH'!$H:$H,'ELC TECH'!$E:$E)&lt;&gt;"Storage","",IF(_xlfn.XLOOKUP($B18,'ELC TECH'!$H:$H,'ELC TECH'!AQ:AQ)="",0.8,_xlfn.XLOOKUP($B18,'ELC TECH'!$H:$H,'ELC TECH'!AQ:AQ)))</f>
        <v/>
      </c>
      <c r="Y18" s="12" t="str">
        <f>IF(_xlfn.XLOOKUP($B18,'ELC TECH'!$H:$H,'ELC TECH'!$E:$E)&lt;&gt;"Storage","",IF(_xlfn.XLOOKUP($B18,'ELC TECH'!$H:$H,'ELC TECH'!AR:AR)="",0.8,_xlfn.XLOOKUP($B18,'ELC TECH'!$H:$H,'ELC TECH'!AR:AR)))</f>
        <v/>
      </c>
      <c r="Z18" s="15">
        <f>_xlfn.XLOOKUP($B18,'ELC TECH'!$H:$H,'ELC TECH'!M:M)</f>
        <v>7842.9942886287163</v>
      </c>
      <c r="AA18" s="15">
        <f>_xlfn.XLOOKUP($B18,'ELC TECH'!$H:$H,'ELC TECH'!N:N)</f>
        <v>7842.9942886287163</v>
      </c>
      <c r="AB18" s="15">
        <f>_xlfn.XLOOKUP($B18,'ELC TECH'!$H:$H,'ELC TECH'!O:O)</f>
        <v>7842.9942886287163</v>
      </c>
      <c r="AC18" s="15">
        <f>_xlfn.XLOOKUP($B18,'ELC TECH'!$H:$H,'ELC TECH'!P:P)</f>
        <v>7842.9942886287163</v>
      </c>
      <c r="AD18" s="15">
        <f>_xlfn.XLOOKUP($B18,'ELC TECH'!$H:$H,'ELC TECH'!Q:Q)</f>
        <v>7842.9942886287163</v>
      </c>
      <c r="AE18" s="15">
        <f>_xlfn.XLOOKUP($B18,'ELC TECH'!$H:$H,'ELC TECH'!R:R)</f>
        <v>7842.9942886287163</v>
      </c>
      <c r="AF18" s="15">
        <f>_xlfn.XLOOKUP($B18,'ELC TECH'!$H:$H,'ELC TECH'!S:S)</f>
        <v>7842.9942886287163</v>
      </c>
      <c r="AG18" s="15">
        <f>_xlfn.XLOOKUP($B18,'ELC TECH'!$H:$H,'ELC TECH'!T:T)</f>
        <v>7842.9942886287163</v>
      </c>
      <c r="AH18" s="15">
        <f>_xlfn.XLOOKUP($B18,'ELC TECH'!$H:$H,'ELC TECH'!U:U)</f>
        <v>152.65343554856929</v>
      </c>
      <c r="AI18" s="15">
        <f>_xlfn.XLOOKUP($B18,'ELC TECH'!$H:$H,'ELC TECH'!V:V)</f>
        <v>152.65343554856929</v>
      </c>
      <c r="AJ18" s="15">
        <f>_xlfn.XLOOKUP($B18,'ELC TECH'!$H:$H,'ELC TECH'!W:W)</f>
        <v>152.65343554856929</v>
      </c>
      <c r="AK18" s="15">
        <f>_xlfn.XLOOKUP($B18,'ELC TECH'!$H:$H,'ELC TECH'!X:X)</f>
        <v>152.65343554856929</v>
      </c>
      <c r="AL18" s="15">
        <f>_xlfn.XLOOKUP($B18,'ELC TECH'!$H:$H,'ELC TECH'!Y:Y)</f>
        <v>152.65343554856929</v>
      </c>
      <c r="AM18" s="15">
        <f>_xlfn.XLOOKUP($B18,'ELC TECH'!$H:$H,'ELC TECH'!Z:Z)</f>
        <v>152.65343554856929</v>
      </c>
      <c r="AN18" s="15">
        <f>_xlfn.XLOOKUP($B18,'ELC TECH'!$H:$H,'ELC TECH'!AA:AA)</f>
        <v>152.65343554856929</v>
      </c>
      <c r="AO18" s="15">
        <f>_xlfn.XLOOKUP($B18,'ELC TECH'!$H:$H,'ELC TECH'!AB:AB)</f>
        <v>152.65343554856929</v>
      </c>
      <c r="AP18" s="15">
        <f>_xlfn.XLOOKUP($B18,'ELC TECH'!$H:$H,'ELC TECH'!AC:AC)</f>
        <v>0</v>
      </c>
      <c r="AQ18" s="15">
        <f>_xlfn.XLOOKUP($B18,'ELC TECH'!$H:$H,'ELC TECH'!AD:AD)</f>
        <v>0</v>
      </c>
      <c r="AR18" s="15">
        <f>_xlfn.XLOOKUP($B18,'ELC TECH'!$H:$H,'ELC TECH'!AE:AE)</f>
        <v>0</v>
      </c>
      <c r="AS18" s="15">
        <f>_xlfn.XLOOKUP($B18,'ELC TECH'!$H:$H,'ELC TECH'!AF:AF)</f>
        <v>0</v>
      </c>
      <c r="AT18" s="15">
        <f>_xlfn.XLOOKUP($B18,'ELC TECH'!$H:$H,'ELC TECH'!AG:AG)</f>
        <v>0</v>
      </c>
      <c r="AU18" s="15">
        <f>_xlfn.XLOOKUP($B18,'ELC TECH'!$H:$H,'ELC TECH'!AH:AH)</f>
        <v>0</v>
      </c>
      <c r="AV18" s="15">
        <f>_xlfn.XLOOKUP($B18,'ELC TECH'!$H:$H,'ELC TECH'!AI:AI)</f>
        <v>0</v>
      </c>
      <c r="AW18" s="15">
        <f>_xlfn.XLOOKUP($B18,'ELC TECH'!$H:$H,'ELC TECH'!AJ:AJ)</f>
        <v>0</v>
      </c>
      <c r="AX18" s="12">
        <f>IF(_xlfn.XLOOKUP($B18,'ELC TECH'!$H:$H,'ELC TECH'!$E:$E)="Storage","",_xlfn.XLOOKUP($B18,'ELC TECH'!$H:$H,'ELC TECH'!AS:AS))</f>
        <v>0.62</v>
      </c>
      <c r="AY18" s="12">
        <f>IF(_xlfn.XLOOKUP($B18,'ELC TECH'!$H:$H,'ELC TECH'!$E:$E)="Storage","",_xlfn.XLOOKUP($B18,'ELC TECH'!$H:$H,'ELC TECH'!AT:AT))</f>
        <v>0.62</v>
      </c>
      <c r="AZ18" s="12">
        <f>IF(_xlfn.XLOOKUP($B18,'ELC TECH'!$H:$H,'ELC TECH'!$E:$E)="Storage","",_xlfn.XLOOKUP($B18,'ELC TECH'!$H:$H,'ELC TECH'!AU:AU))</f>
        <v>0.62</v>
      </c>
      <c r="BA18" s="12">
        <f>IF(_xlfn.XLOOKUP($B18,'ELC TECH'!$H:$H,'ELC TECH'!$E:$E)="Storage","",_xlfn.XLOOKUP($B18,'ELC TECH'!$H:$H,'ELC TECH'!AV:AV))</f>
        <v>0.62</v>
      </c>
      <c r="BB18" s="12">
        <f>IF(_xlfn.XLOOKUP($B18,'ELC TECH'!$H:$H,'ELC TECH'!$E:$E)="Storage","",_xlfn.XLOOKUP($B18,'ELC TECH'!$H:$H,'ELC TECH'!AW:AW))</f>
        <v>0.62</v>
      </c>
      <c r="BC18" s="12">
        <f>IF(_xlfn.XLOOKUP($B18,'ELC TECH'!$H:$H,'ELC TECH'!$E:$E)="Storage","",_xlfn.XLOOKUP($B18,'ELC TECH'!$H:$H,'ELC TECH'!AX:AX))</f>
        <v>0.62</v>
      </c>
      <c r="BD18" s="12">
        <f>IF(_xlfn.XLOOKUP($B18,'ELC TECH'!$H:$H,'ELC TECH'!$E:$E)="Storage","",_xlfn.XLOOKUP($B18,'ELC TECH'!$H:$H,'ELC TECH'!AY:AY))</f>
        <v>0.62</v>
      </c>
      <c r="BE18" s="12">
        <f>IF(_xlfn.XLOOKUP($B18,'ELC TECH'!$H:$H,'ELC TECH'!$E:$E)="Storage","",_xlfn.XLOOKUP($B18,'ELC TECH'!$H:$H,'ELC TECH'!AZ:AZ))</f>
        <v>0.62</v>
      </c>
      <c r="BF18" s="12" t="str">
        <f>IF(_xlfn.XLOOKUP($B18,'ELC TECH'!$H:$H,'ELC TECH'!$E:$E)="Storage",_xlfn.XLOOKUP($B18,'ELC TECH'!$H:$H,'ELC TECH'!AS:AS),"")</f>
        <v/>
      </c>
      <c r="BG18" s="12" t="str">
        <f>IF(_xlfn.XLOOKUP($B18,'ELC TECH'!$H:$H,'ELC TECH'!$E:$E)="Storage",_xlfn.XLOOKUP($B18,'ELC TECH'!$H:$H,'ELC TECH'!AT:AT),"")</f>
        <v/>
      </c>
      <c r="BH18" s="12" t="str">
        <f>IF(_xlfn.XLOOKUP($B18,'ELC TECH'!$H:$H,'ELC TECH'!$E:$E)="Storage",_xlfn.XLOOKUP($B18,'ELC TECH'!$H:$H,'ELC TECH'!AU:AU),"")</f>
        <v/>
      </c>
      <c r="BI18" s="12" t="str">
        <f>IF(_xlfn.XLOOKUP($B18,'ELC TECH'!$H:$H,'ELC TECH'!$E:$E)="Storage",_xlfn.XLOOKUP($B18,'ELC TECH'!$H:$H,'ELC TECH'!AV:AV),"")</f>
        <v/>
      </c>
      <c r="BJ18" s="12" t="str">
        <f>IF(_xlfn.XLOOKUP($B18,'ELC TECH'!$H:$H,'ELC TECH'!$E:$E)="Storage",_xlfn.XLOOKUP($B18,'ELC TECH'!$H:$H,'ELC TECH'!AW:AW),"")</f>
        <v/>
      </c>
      <c r="BK18" s="12" t="str">
        <f>IF(_xlfn.XLOOKUP($B18,'ELC TECH'!$H:$H,'ELC TECH'!$E:$E)="Storage",_xlfn.XLOOKUP($B18,'ELC TECH'!$H:$H,'ELC TECH'!AX:AX),"")</f>
        <v/>
      </c>
      <c r="BL18" s="12" t="str">
        <f>IF(_xlfn.XLOOKUP($B18,'ELC TECH'!$H:$H,'ELC TECH'!$E:$E)="Storage",_xlfn.XLOOKUP($B18,'ELC TECH'!$H:$H,'ELC TECH'!AY:AY),"")</f>
        <v/>
      </c>
      <c r="BM18" s="12" t="str">
        <f>IF(_xlfn.XLOOKUP($B18,'ELC TECH'!$H:$H,'ELC TECH'!$E:$E)="Storage",_xlfn.XLOOKUP($B18,'ELC TECH'!$H:$H,'ELC TECH'!AZ:AZ),"")</f>
        <v/>
      </c>
      <c r="BN18" s="8">
        <f>IF(_xlfn.XLOOKUP($B18,'ELC TECH'!$H:$H,'ELC TECH'!$E:$E)="Non Dispatchable",IFERROR($AX18*_xlfn.XLOOKUP($C18,$BM$1:$BM$3,BN$1:BN$3)/SUMPRODUCT(_xlfn.XLOOKUP($C18,$BM$1:$BM$3,$BN$1:$BY$3),$BN$4:$BY$4),""),
"")</f>
        <v>0.44719024064598129</v>
      </c>
      <c r="BO18" s="8">
        <f>IF(_xlfn.XLOOKUP($B18,'ELC TECH'!$H:$H,'ELC TECH'!$E:$E)="Non Dispatchable",IFERROR($AX18*_xlfn.XLOOKUP($C18,$BM$1:$BM$3,BO$1:BO$3)/SUMPRODUCT(_xlfn.XLOOKUP($C18,$BM$1:$BM$3,$BN$1:$BY$3),$BN$4:$BY$4),""),
"")</f>
        <v>0.52063389330681764</v>
      </c>
      <c r="BP18" s="8">
        <f>IF(_xlfn.XLOOKUP($B18,'ELC TECH'!$H:$H,'ELC TECH'!$E:$E)="Non Dispatchable",IFERROR($AX18*_xlfn.XLOOKUP($C18,$BM$1:$BM$3,BP$1:BP$3)/SUMPRODUCT(_xlfn.XLOOKUP($C18,$BM$1:$BM$3,$BN$1:$BY$3),$BN$4:$BY$4),""),
"")</f>
        <v>0.83344945093630574</v>
      </c>
      <c r="BQ18" s="8">
        <f>IF(_xlfn.XLOOKUP($B18,'ELC TECH'!$H:$H,'ELC TECH'!$E:$E)="Non Dispatchable",IFERROR($AX18*_xlfn.XLOOKUP($C18,$BM$1:$BM$3,BQ$1:BQ$3)/SUMPRODUCT(_xlfn.XLOOKUP($C18,$BM$1:$BM$3,$BN$1:$BY$3),$BN$4:$BY$4),""),
"")</f>
        <v>1.7408865815901949E-2</v>
      </c>
      <c r="BR18" s="8">
        <f>IF(_xlfn.XLOOKUP($B18,'ELC TECH'!$H:$H,'ELC TECH'!$E:$E)="Non Dispatchable",IFERROR($AX18*_xlfn.XLOOKUP($C18,$BM$1:$BM$3,BR$1:BR$3)/SUMPRODUCT(_xlfn.XLOOKUP($C18,$BM$1:$BM$3,$BN$1:$BY$3),$BN$4:$BY$4),""),
"")</f>
        <v>0.44338205124875274</v>
      </c>
      <c r="BS18" s="8">
        <f>IF(_xlfn.XLOOKUP($B18,'ELC TECH'!$H:$H,'ELC TECH'!$E:$E)="Non Dispatchable",IFERROR($AX18*_xlfn.XLOOKUP($C18,$BM$1:$BM$3,BS$1:BS$3)/SUMPRODUCT(_xlfn.XLOOKUP($C18,$BM$1:$BM$3,$BN$1:$BY$3),$BN$4:$BY$4),""),
"")</f>
        <v>0.59135741068391945</v>
      </c>
      <c r="BT18" s="8">
        <f>IF(_xlfn.XLOOKUP($B18,'ELC TECH'!$H:$H,'ELC TECH'!$E:$E)="Non Dispatchable",IFERROR($AX18*_xlfn.XLOOKUP($C18,$BM$1:$BM$3,BT$1:BT$3)/SUMPRODUCT(_xlfn.XLOOKUP($C18,$BM$1:$BM$3,$BN$1:$BY$3),$BN$4:$BY$4),""),
"")</f>
        <v>0.75130136536751846</v>
      </c>
      <c r="BU18" s="8">
        <f>IF(_xlfn.XLOOKUP($B18,'ELC TECH'!$H:$H,'ELC TECH'!$E:$E)="Non Dispatchable",IFERROR($AX18*_xlfn.XLOOKUP($C18,$BM$1:$BM$3,BU$1:BU$3)/SUMPRODUCT(_xlfn.XLOOKUP($C18,$BM$1:$BM$3,$BN$1:$BY$3),$BN$4:$BY$4),""),
"")</f>
        <v>1.7408865815901949E-2</v>
      </c>
      <c r="BV18" s="8">
        <f>IF(_xlfn.XLOOKUP($B18,'ELC TECH'!$H:$H,'ELC TECH'!$E:$E)="Non Dispatchable",IFERROR($AX18*_xlfn.XLOOKUP($C18,$BM$1:$BM$3,BV$1:BV$3)/SUMPRODUCT(_xlfn.XLOOKUP($C18,$BM$1:$BM$3,$BN$1:$BY$3),$BN$4:$BY$4),""),
"")</f>
        <v>0.5304263803282625</v>
      </c>
      <c r="BW18" s="8">
        <f>IF(_xlfn.XLOOKUP($B18,'ELC TECH'!$H:$H,'ELC TECH'!$E:$E)="Non Dispatchable",IFERROR($AX18*_xlfn.XLOOKUP($C18,$BM$1:$BM$3,BW$1:BW$3)/SUMPRODUCT(_xlfn.XLOOKUP($C18,$BM$1:$BM$3,$BN$1:$BY$3),$BN$4:$BY$4),""),
"")</f>
        <v>0.59135741068391945</v>
      </c>
      <c r="BX18" s="8">
        <f>IF(_xlfn.XLOOKUP($B18,'ELC TECH'!$H:$H,'ELC TECH'!$E:$E)="Non Dispatchable",IFERROR($AX18*_xlfn.XLOOKUP($C18,$BM$1:$BM$3,BX$1:BX$3)/SUMPRODUCT(_xlfn.XLOOKUP($C18,$BM$1:$BM$3,$BN$1:$BY$3),$BN$4:$BY$4),""),
"")</f>
        <v>0.68166590210391065</v>
      </c>
      <c r="BY18" s="8">
        <f>IF(_xlfn.XLOOKUP($B18,'ELC TECH'!$H:$H,'ELC TECH'!$E:$E)="Non Dispatchable",IFERROR($AX18*_xlfn.XLOOKUP($C18,$BM$1:$BM$3,BY$1:BY$3)/SUMPRODUCT(_xlfn.XLOOKUP($C18,$BM$1:$BM$3,$BN$1:$BY$3),$BN$4:$BY$4),""),
"")</f>
        <v>1.4688730532167271E-2</v>
      </c>
      <c r="BZ18" s="8">
        <f>IF(_xlfn.XLOOKUP($B18,'ELC TECH'!$H:$H,'ELC TECH'!$E:$E)="Non Dispatchable",IFERROR($AX18*_xlfn.XLOOKUP($C18,$BM$1:$BM$3,BZ$1:BZ$3)/SUMPRODUCT(_xlfn.XLOOKUP($C18,$BM$1:$BM$3,$BN$1:$BY$3),$BN$4:$BY$4),""),
"")</f>
        <v>0.44719024064598129</v>
      </c>
      <c r="CA18" s="8">
        <f>IF(_xlfn.XLOOKUP($B18,'ELC TECH'!$H:$H,'ELC TECH'!$E:$E)="Non Dispatchable",IFERROR($AX18*_xlfn.XLOOKUP($C18,$BM$1:$BM$3,CA$1:CA$3)/SUMPRODUCT(_xlfn.XLOOKUP($C18,$BM$1:$BM$3,$BN$1:$BY$3),$BN$4:$BY$4),""),
"")</f>
        <v>0.52063389330681764</v>
      </c>
      <c r="CB18" s="8">
        <f>IF(_xlfn.XLOOKUP($B18,'ELC TECH'!$H:$H,'ELC TECH'!$E:$E)="Non Dispatchable",IFERROR($AX18*_xlfn.XLOOKUP($C18,$BM$1:$BM$3,CB$1:CB$3)/SUMPRODUCT(_xlfn.XLOOKUP($C18,$BM$1:$BM$3,$BN$1:$BY$3),$BN$4:$BY$4),""),
"")</f>
        <v>0.83344945093630574</v>
      </c>
      <c r="CC18" s="8">
        <f>IF(_xlfn.XLOOKUP($B18,'ELC TECH'!$H:$H,'ELC TECH'!$E:$E)="Non Dispatchable",IFERROR($AX18*_xlfn.XLOOKUP($C18,$BM$1:$BM$3,CC$1:CC$3)/SUMPRODUCT(_xlfn.XLOOKUP($C18,$BM$1:$BM$3,$BN$1:$BY$3),$BN$4:$BY$4),""),
"")</f>
        <v>1.7408865815901949E-2</v>
      </c>
      <c r="CD18" s="8">
        <f>IF(_xlfn.XLOOKUP($B18,'ELC TECH'!$H:$H,'ELC TECH'!$E:$E)="Non Dispatchable",IFERROR($AX18*_xlfn.XLOOKUP($C18,$BM$1:$BM$3,CD$1:CD$3)/SUMPRODUCT(_xlfn.XLOOKUP($C18,$BM$1:$BM$3,$BN$1:$BY$3),$BN$4:$BY$4),""),
"")</f>
        <v>0.44338205124875274</v>
      </c>
      <c r="CE18" s="8">
        <f>IF(_xlfn.XLOOKUP($B18,'ELC TECH'!$H:$H,'ELC TECH'!$E:$E)="Non Dispatchable",IFERROR($AX18*_xlfn.XLOOKUP($C18,$BM$1:$BM$3,CE$1:CE$3)/SUMPRODUCT(_xlfn.XLOOKUP($C18,$BM$1:$BM$3,$BN$1:$BY$3),$BN$4:$BY$4),""),
"")</f>
        <v>0.59135741068391945</v>
      </c>
      <c r="CF18" s="8">
        <f>IF(_xlfn.XLOOKUP($B18,'ELC TECH'!$H:$H,'ELC TECH'!$E:$E)="Non Dispatchable",IFERROR($AX18*_xlfn.XLOOKUP($C18,$BM$1:$BM$3,CF$1:CF$3)/SUMPRODUCT(_xlfn.XLOOKUP($C18,$BM$1:$BM$3,$BN$1:$BY$3),$BN$4:$BY$4),""),
"")</f>
        <v>0.75130136536751846</v>
      </c>
      <c r="CG18" s="8">
        <f>IF(_xlfn.XLOOKUP($B18,'ELC TECH'!$H:$H,'ELC TECH'!$E:$E)="Non Dispatchable",IFERROR($AX18*_xlfn.XLOOKUP($C18,$BM$1:$BM$3,CG$1:CG$3)/SUMPRODUCT(_xlfn.XLOOKUP($C18,$BM$1:$BM$3,$BN$1:$BY$3),$BN$4:$BY$4),""),
"")</f>
        <v>1.7408865815901949E-2</v>
      </c>
      <c r="CH18" s="8">
        <f>IF(_xlfn.XLOOKUP($B18,'ELC TECH'!$H:$H,'ELC TECH'!$E:$E)="Non Dispatchable",IFERROR($AX18*_xlfn.XLOOKUP($C18,$BM$1:$BM$3,CH$1:CH$3)/SUMPRODUCT(_xlfn.XLOOKUP($C18,$BM$1:$BM$3,$BN$1:$BY$3),$BN$4:$BY$4),""),
"")</f>
        <v>0.5304263803282625</v>
      </c>
      <c r="CI18" s="8">
        <f>IF(_xlfn.XLOOKUP($B18,'ELC TECH'!$H:$H,'ELC TECH'!$E:$E)="Non Dispatchable",IFERROR($AX18*_xlfn.XLOOKUP($C18,$BM$1:$BM$3,CI$1:CI$3)/SUMPRODUCT(_xlfn.XLOOKUP($C18,$BM$1:$BM$3,$BN$1:$BY$3),$BN$4:$BY$4),""),
"")</f>
        <v>0.59135741068391945</v>
      </c>
      <c r="CJ18" s="8">
        <f>IF(_xlfn.XLOOKUP($B18,'ELC TECH'!$H:$H,'ELC TECH'!$E:$E)="Non Dispatchable",IFERROR($AX18*_xlfn.XLOOKUP($C18,$BM$1:$BM$3,CJ$1:CJ$3)/SUMPRODUCT(_xlfn.XLOOKUP($C18,$BM$1:$BM$3,$BN$1:$BY$3),$BN$4:$BY$4),""),
"")</f>
        <v>0.68166590210391065</v>
      </c>
      <c r="CK18" s="8">
        <f>IF(_xlfn.XLOOKUP($B18,'ELC TECH'!$H:$H,'ELC TECH'!$E:$E)="Non Dispatchable",IFERROR($AX18*_xlfn.XLOOKUP($C18,$BM$1:$BM$3,CK$1:CK$3)/SUMPRODUCT(_xlfn.XLOOKUP($C18,$BM$1:$BM$3,$BN$1:$BY$3),$BN$4:$BY$4),""),
"")</f>
        <v>1.4688730532167271E-2</v>
      </c>
      <c r="CL18" s="8" t="str">
        <f>IF(_xlfn.XLOOKUP($B18,'ELC TECH'!$H:$H,'ELC TECH'!$E:$E)="Storage",CL$4*$BF18,"")</f>
        <v/>
      </c>
      <c r="CM18" s="8" t="str">
        <f>IF(_xlfn.XLOOKUP($B18,'ELC TECH'!$H:$H,'ELC TECH'!$E:$E)="Storage",CM$4*$BF18,"")</f>
        <v/>
      </c>
      <c r="CN18" s="8" t="str">
        <f>IF(_xlfn.XLOOKUP($B18,'ELC TECH'!$H:$H,'ELC TECH'!$E:$E)="Storage",CN$4*$BF18,"")</f>
        <v/>
      </c>
      <c r="CO18" s="8" t="str">
        <f>IF(_xlfn.XLOOKUP($B18,'ELC TECH'!$H:$H,'ELC TECH'!$E:$E)="Storage",CO$4*$BF18,"")</f>
        <v/>
      </c>
      <c r="CP18" s="8" t="str">
        <f>IF(_xlfn.XLOOKUP($B18,'ELC TECH'!$H:$H,'ELC TECH'!$E:$E)="Storage",CP$4*$BF18,"")</f>
        <v/>
      </c>
      <c r="CQ18" s="8" t="str">
        <f>IF(_xlfn.XLOOKUP($B18,'ELC TECH'!$H:$H,'ELC TECH'!$E:$E)="Storage",CQ$4*$BF18,"")</f>
        <v/>
      </c>
      <c r="CR18" s="8" t="str">
        <f>IF(_xlfn.XLOOKUP($B18,'ELC TECH'!$H:$H,'ELC TECH'!$E:$E)="Storage",CR$4*$BF18,"")</f>
        <v/>
      </c>
      <c r="CS18" s="8" t="str">
        <f>IF(_xlfn.XLOOKUP($B18,'ELC TECH'!$H:$H,'ELC TECH'!$E:$E)="Storage",CS$4*$BF18,"")</f>
        <v/>
      </c>
      <c r="CT18" s="8" t="str">
        <f>IF(_xlfn.XLOOKUP($B18,'ELC TECH'!$H:$H,'ELC TECH'!$E:$E)="Storage",CT$4*$BF18,"")</f>
        <v/>
      </c>
      <c r="CU18" s="8" t="str">
        <f>IF(_xlfn.XLOOKUP($B18,'ELC TECH'!$H:$H,'ELC TECH'!$E:$E)="Storage",CU$4*$BF18,"")</f>
        <v/>
      </c>
      <c r="CV18" s="8" t="str">
        <f>IF(_xlfn.XLOOKUP($B18,'ELC TECH'!$H:$H,'ELC TECH'!$E:$E)="Storage",CV$4*$BF18,"")</f>
        <v/>
      </c>
      <c r="CW18" s="8" t="str">
        <f>IF(_xlfn.XLOOKUP($B18,'ELC TECH'!$H:$H,'ELC TECH'!$E:$E)="Storage",CW$4*$BF18,"")</f>
        <v/>
      </c>
      <c r="CX18" s="8" t="str">
        <f>IF(_xlfn.XLOOKUP($B18,'ELC TECH'!$H:$H,'ELC TECH'!$E:$E)="Storage",CX$4*$BF18,"")</f>
        <v/>
      </c>
      <c r="CY18" s="8" t="str">
        <f>IF(_xlfn.XLOOKUP($B18,'ELC TECH'!$H:$H,'ELC TECH'!$E:$E)="Storage",CY$4*$BF18,"")</f>
        <v/>
      </c>
      <c r="CZ18" s="8" t="str">
        <f>IF(_xlfn.XLOOKUP($B18,'ELC TECH'!$H:$H,'ELC TECH'!$E:$E)="Storage",CZ$4*$BF18,"")</f>
        <v/>
      </c>
      <c r="DA18" s="8" t="str">
        <f>IF(_xlfn.XLOOKUP($B18,'ELC TECH'!$H:$H,'ELC TECH'!$E:$E)="Storage",DA$4*$BF18,"")</f>
        <v/>
      </c>
      <c r="DB18" s="8" t="str">
        <f>IF(_xlfn.XLOOKUP($B18,'ELC TECH'!$H:$H,'ELC TECH'!$E:$E)="Storage",DB$4*$BF18,"")</f>
        <v/>
      </c>
      <c r="DC18" s="8" t="str">
        <f>IF(_xlfn.XLOOKUP($B18,'ELC TECH'!$H:$H,'ELC TECH'!$E:$E)="Storage",DC$4*$BF18,"")</f>
        <v/>
      </c>
      <c r="DD18" s="8" t="str">
        <f>IF(_xlfn.XLOOKUP($B18,'ELC TECH'!$H:$H,'ELC TECH'!$E:$E)="Storage",DD$4*$BF18,"")</f>
        <v/>
      </c>
      <c r="DE18" s="8" t="str">
        <f>IF(_xlfn.XLOOKUP($B18,'ELC TECH'!$H:$H,'ELC TECH'!$E:$E)="Storage",DE$4*$BF18,"")</f>
        <v/>
      </c>
      <c r="DF18" s="8" t="str">
        <f>IF(_xlfn.XLOOKUP($B18,'ELC TECH'!$H:$H,'ELC TECH'!$E:$E)="Storage",DF$4*$BF18,"")</f>
        <v/>
      </c>
      <c r="DG18" s="8" t="str">
        <f>IF(_xlfn.XLOOKUP($B18,'ELC TECH'!$H:$H,'ELC TECH'!$E:$E)="Storage",DG$4*$BF18,"")</f>
        <v/>
      </c>
      <c r="DH18" s="8" t="str">
        <f>IF(_xlfn.XLOOKUP($B18,'ELC TECH'!$H:$H,'ELC TECH'!$E:$E)="Storage",DH$4*$BF18,"")</f>
        <v/>
      </c>
      <c r="DI18" s="8" t="str">
        <f>IF(_xlfn.XLOOKUP($B18,'ELC TECH'!$H:$H,'ELC TECH'!$E:$E)="Storage",DI$4*$BF18,"")</f>
        <v/>
      </c>
    </row>
    <row r="19" spans="2:113" x14ac:dyDescent="0.25">
      <c r="B19" t="str">
        <f>IF('ELC TECH'!I12=0,"*",'ELC TECH'!H12)</f>
        <v>ELCHYDGRDHNSNDC420</v>
      </c>
      <c r="C19" t="str">
        <f>IF(_xlfn.XLOOKUP(_xlfn.XLOOKUP(B19,'ELC TECH'!$H:$H,'ELC TECH'!$G:$G),List!C:C,List!B:B)="STG",D19,"ELC"&amp;_xlfn.XLOOKUP(_xlfn.XLOOKUP(B19,'ELC TECH'!H:H,'ELC TECH'!G:G),List!C:C,List!B:B))</f>
        <v>ELCHYD</v>
      </c>
      <c r="D19" t="s">
        <v>544</v>
      </c>
      <c r="E19">
        <f>_xlfn.XLOOKUP(B19,'ELC TECH'!H:H,'ELC TECH'!D:D)</f>
        <v>2020</v>
      </c>
      <c r="F19">
        <f>_xlfn.XLOOKUP(B19,'ELC TECH'!H:H,'ELC TECH'!K:K)</f>
        <v>100</v>
      </c>
      <c r="G19">
        <f t="shared" si="4"/>
        <v>31.535999999999998</v>
      </c>
      <c r="H19">
        <f>IF(_xlfn.XLOOKUP(B19,'ELC TECH'!$H:$H,'ELC TECH'!$E:$E)="Storage",0.3,IF(_xlfn.XLOOKUP(B19,'ELC TECH'!$H:$H,'ELC TECH'!$E:$E)="Baseload",0.9,IF(_xlfn.XLOOKUP(B19,'ELC TECH'!$H:$H,'ELC TECH'!$E:$E)="Non Dispatchable",0.05,IF(_xlfn.XLOOKUP(B19,'ELC TECH'!$H:$H,'ELC TECH'!$E:$E)="Dispatchable",0.9,1))))</f>
        <v>0.05</v>
      </c>
      <c r="I19" s="13">
        <f>IF(_xlfn.XLOOKUP(B19,'ELC TECH'!H:H,'ELC TECH'!J:J)="","",_xlfn.XLOOKUP(B19,'ELC TECH'!H:H,'ELC TECH'!J:J))</f>
        <v>0</v>
      </c>
      <c r="J19" s="12">
        <f>IF(_xlfn.XLOOKUP($B19,'ELC TECH'!$H:$H,'ELC TECH'!$E:$E)="Storage","",IF(_xlfn.XLOOKUP($B19,'ELC TECH'!$H:$H,'ELC TECH'!AK:AK)="",1,_xlfn.XLOOKUP($B19,'ELC TECH'!$H:$H,'ELC TECH'!AK:AK)))</f>
        <v>1</v>
      </c>
      <c r="K19" s="12">
        <f>IF(_xlfn.XLOOKUP($B19,'ELC TECH'!$H:$H,'ELC TECH'!$E:$E)="Storage","",IF(_xlfn.XLOOKUP($B19,'ELC TECH'!$H:$H,'ELC TECH'!AL:AL)="",1,_xlfn.XLOOKUP($B19,'ELC TECH'!$H:$H,'ELC TECH'!AL:AL)))</f>
        <v>1</v>
      </c>
      <c r="L19" s="12">
        <f>IF(_xlfn.XLOOKUP($B19,'ELC TECH'!$H:$H,'ELC TECH'!$E:$E)="Storage","",IF(_xlfn.XLOOKUP($B19,'ELC TECH'!$H:$H,'ELC TECH'!AM:AM)="",1,_xlfn.XLOOKUP($B19,'ELC TECH'!$H:$H,'ELC TECH'!AM:AM)))</f>
        <v>1</v>
      </c>
      <c r="M19" s="12">
        <f>IF(_xlfn.XLOOKUP($B19,'ELC TECH'!$H:$H,'ELC TECH'!$E:$E)="Storage","",IF(_xlfn.XLOOKUP($B19,'ELC TECH'!$H:$H,'ELC TECH'!AN:AN)="",1,_xlfn.XLOOKUP($B19,'ELC TECH'!$H:$H,'ELC TECH'!AN:AN)))</f>
        <v>1</v>
      </c>
      <c r="N19" s="12">
        <f>IF(_xlfn.XLOOKUP($B19,'ELC TECH'!$H:$H,'ELC TECH'!$E:$E)="Storage","",IF(_xlfn.XLOOKUP($B19,'ELC TECH'!$H:$H,'ELC TECH'!AO:AO)="",1,_xlfn.XLOOKUP($B19,'ELC TECH'!$H:$H,'ELC TECH'!AO:AO)))</f>
        <v>1</v>
      </c>
      <c r="O19" s="12">
        <f>IF(_xlfn.XLOOKUP($B19,'ELC TECH'!$H:$H,'ELC TECH'!$E:$E)="Storage","",IF(_xlfn.XLOOKUP($B19,'ELC TECH'!$H:$H,'ELC TECH'!AP:AP)="",1,_xlfn.XLOOKUP($B19,'ELC TECH'!$H:$H,'ELC TECH'!AP:AP)))</f>
        <v>1</v>
      </c>
      <c r="P19" s="12">
        <f>IF(_xlfn.XLOOKUP($B19,'ELC TECH'!$H:$H,'ELC TECH'!$E:$E)="Storage","",IF(_xlfn.XLOOKUP($B19,'ELC TECH'!$H:$H,'ELC TECH'!AQ:AQ)="",1,_xlfn.XLOOKUP($B19,'ELC TECH'!$H:$H,'ELC TECH'!AQ:AQ)))</f>
        <v>1</v>
      </c>
      <c r="Q19" s="12">
        <f>IF(_xlfn.XLOOKUP($B19,'ELC TECH'!$H:$H,'ELC TECH'!$E:$E)="Storage","",IF(_xlfn.XLOOKUP($B19,'ELC TECH'!$H:$H,'ELC TECH'!AR:AR)="",1,_xlfn.XLOOKUP($B19,'ELC TECH'!$H:$H,'ELC TECH'!AR:AR)))</f>
        <v>1</v>
      </c>
      <c r="R19" s="12" t="str">
        <f>IF(_xlfn.XLOOKUP($B19,'ELC TECH'!$H:$H,'ELC TECH'!$E:$E)&lt;&gt;"Storage","",IF(_xlfn.XLOOKUP($B19,'ELC TECH'!$H:$H,'ELC TECH'!AK:AK)="",0.8,_xlfn.XLOOKUP($B19,'ELC TECH'!$H:$H,'ELC TECH'!AK:AK)))</f>
        <v/>
      </c>
      <c r="S19" s="12" t="str">
        <f>IF(_xlfn.XLOOKUP($B19,'ELC TECH'!$H:$H,'ELC TECH'!$E:$E)&lt;&gt;"Storage","",IF(_xlfn.XLOOKUP($B19,'ELC TECH'!$H:$H,'ELC TECH'!AL:AL)="",0.8,_xlfn.XLOOKUP($B19,'ELC TECH'!$H:$H,'ELC TECH'!AL:AL)))</f>
        <v/>
      </c>
      <c r="T19" s="12" t="str">
        <f>IF(_xlfn.XLOOKUP($B19,'ELC TECH'!$H:$H,'ELC TECH'!$E:$E)&lt;&gt;"Storage","",IF(_xlfn.XLOOKUP($B19,'ELC TECH'!$H:$H,'ELC TECH'!AM:AM)="",0.8,_xlfn.XLOOKUP($B19,'ELC TECH'!$H:$H,'ELC TECH'!AM:AM)))</f>
        <v/>
      </c>
      <c r="U19" s="12" t="str">
        <f>IF(_xlfn.XLOOKUP($B19,'ELC TECH'!$H:$H,'ELC TECH'!$E:$E)&lt;&gt;"Storage","",IF(_xlfn.XLOOKUP($B19,'ELC TECH'!$H:$H,'ELC TECH'!AN:AN)="",0.8,_xlfn.XLOOKUP($B19,'ELC TECH'!$H:$H,'ELC TECH'!AN:AN)))</f>
        <v/>
      </c>
      <c r="V19" s="12" t="str">
        <f>IF(_xlfn.XLOOKUP($B19,'ELC TECH'!$H:$H,'ELC TECH'!$E:$E)&lt;&gt;"Storage","",IF(_xlfn.XLOOKUP($B19,'ELC TECH'!$H:$H,'ELC TECH'!AO:AO)="",0.8,_xlfn.XLOOKUP($B19,'ELC TECH'!$H:$H,'ELC TECH'!AO:AO)))</f>
        <v/>
      </c>
      <c r="W19" s="12" t="str">
        <f>IF(_xlfn.XLOOKUP($B19,'ELC TECH'!$H:$H,'ELC TECH'!$E:$E)&lt;&gt;"Storage","",IF(_xlfn.XLOOKUP($B19,'ELC TECH'!$H:$H,'ELC TECH'!AP:AP)="",0.8,_xlfn.XLOOKUP($B19,'ELC TECH'!$H:$H,'ELC TECH'!AP:AP)))</f>
        <v/>
      </c>
      <c r="X19" s="12" t="str">
        <f>IF(_xlfn.XLOOKUP($B19,'ELC TECH'!$H:$H,'ELC TECH'!$E:$E)&lt;&gt;"Storage","",IF(_xlfn.XLOOKUP($B19,'ELC TECH'!$H:$H,'ELC TECH'!AQ:AQ)="",0.8,_xlfn.XLOOKUP($B19,'ELC TECH'!$H:$H,'ELC TECH'!AQ:AQ)))</f>
        <v/>
      </c>
      <c r="Y19" s="12" t="str">
        <f>IF(_xlfn.XLOOKUP($B19,'ELC TECH'!$H:$H,'ELC TECH'!$E:$E)&lt;&gt;"Storage","",IF(_xlfn.XLOOKUP($B19,'ELC TECH'!$H:$H,'ELC TECH'!AR:AR)="",0.8,_xlfn.XLOOKUP($B19,'ELC TECH'!$H:$H,'ELC TECH'!AR:AR)))</f>
        <v/>
      </c>
      <c r="Z19" s="15">
        <f>_xlfn.XLOOKUP($B19,'ELC TECH'!$H:$H,'ELC TECH'!M:M)</f>
        <v>7060.5040856686428</v>
      </c>
      <c r="AA19" s="15">
        <f>_xlfn.XLOOKUP($B19,'ELC TECH'!$H:$H,'ELC TECH'!N:N)</f>
        <v>7060.5040856686428</v>
      </c>
      <c r="AB19" s="15">
        <f>_xlfn.XLOOKUP($B19,'ELC TECH'!$H:$H,'ELC TECH'!O:O)</f>
        <v>7060.5040856686428</v>
      </c>
      <c r="AC19" s="15">
        <f>_xlfn.XLOOKUP($B19,'ELC TECH'!$H:$H,'ELC TECH'!P:P)</f>
        <v>7060.5040856686428</v>
      </c>
      <c r="AD19" s="15">
        <f>_xlfn.XLOOKUP($B19,'ELC TECH'!$H:$H,'ELC TECH'!Q:Q)</f>
        <v>7060.5040856686428</v>
      </c>
      <c r="AE19" s="15">
        <f>_xlfn.XLOOKUP($B19,'ELC TECH'!$H:$H,'ELC TECH'!R:R)</f>
        <v>7060.5040856686428</v>
      </c>
      <c r="AF19" s="15">
        <f>_xlfn.XLOOKUP($B19,'ELC TECH'!$H:$H,'ELC TECH'!S:S)</f>
        <v>7060.5040856686428</v>
      </c>
      <c r="AG19" s="15">
        <f>_xlfn.XLOOKUP($B19,'ELC TECH'!$H:$H,'ELC TECH'!T:T)</f>
        <v>7060.5040856686428</v>
      </c>
      <c r="AH19" s="15">
        <f>_xlfn.XLOOKUP($B19,'ELC TECH'!$H:$H,'ELC TECH'!U:U)</f>
        <v>37.315284245205831</v>
      </c>
      <c r="AI19" s="15">
        <f>_xlfn.XLOOKUP($B19,'ELC TECH'!$H:$H,'ELC TECH'!V:V)</f>
        <v>37.315284245205831</v>
      </c>
      <c r="AJ19" s="15">
        <f>_xlfn.XLOOKUP($B19,'ELC TECH'!$H:$H,'ELC TECH'!W:W)</f>
        <v>37.315284245205831</v>
      </c>
      <c r="AK19" s="15">
        <f>_xlfn.XLOOKUP($B19,'ELC TECH'!$H:$H,'ELC TECH'!X:X)</f>
        <v>37.315284245205831</v>
      </c>
      <c r="AL19" s="15">
        <f>_xlfn.XLOOKUP($B19,'ELC TECH'!$H:$H,'ELC TECH'!Y:Y)</f>
        <v>37.315284245205831</v>
      </c>
      <c r="AM19" s="15">
        <f>_xlfn.XLOOKUP($B19,'ELC TECH'!$H:$H,'ELC TECH'!Z:Z)</f>
        <v>37.315284245205831</v>
      </c>
      <c r="AN19" s="15">
        <f>_xlfn.XLOOKUP($B19,'ELC TECH'!$H:$H,'ELC TECH'!AA:AA)</f>
        <v>37.315284245205831</v>
      </c>
      <c r="AO19" s="15">
        <f>_xlfn.XLOOKUP($B19,'ELC TECH'!$H:$H,'ELC TECH'!AB:AB)</f>
        <v>37.315284245205831</v>
      </c>
      <c r="AP19" s="15">
        <f>_xlfn.XLOOKUP($B19,'ELC TECH'!$H:$H,'ELC TECH'!AC:AC)</f>
        <v>0</v>
      </c>
      <c r="AQ19" s="15">
        <f>_xlfn.XLOOKUP($B19,'ELC TECH'!$H:$H,'ELC TECH'!AD:AD)</f>
        <v>0</v>
      </c>
      <c r="AR19" s="15">
        <f>_xlfn.XLOOKUP($B19,'ELC TECH'!$H:$H,'ELC TECH'!AE:AE)</f>
        <v>0</v>
      </c>
      <c r="AS19" s="15">
        <f>_xlfn.XLOOKUP($B19,'ELC TECH'!$H:$H,'ELC TECH'!AF:AF)</f>
        <v>0</v>
      </c>
      <c r="AT19" s="15">
        <f>_xlfn.XLOOKUP($B19,'ELC TECH'!$H:$H,'ELC TECH'!AG:AG)</f>
        <v>0</v>
      </c>
      <c r="AU19" s="15">
        <f>_xlfn.XLOOKUP($B19,'ELC TECH'!$H:$H,'ELC TECH'!AH:AH)</f>
        <v>0</v>
      </c>
      <c r="AV19" s="15">
        <f>_xlfn.XLOOKUP($B19,'ELC TECH'!$H:$H,'ELC TECH'!AI:AI)</f>
        <v>0</v>
      </c>
      <c r="AW19" s="15">
        <f>_xlfn.XLOOKUP($B19,'ELC TECH'!$H:$H,'ELC TECH'!AJ:AJ)</f>
        <v>0</v>
      </c>
      <c r="AX19" s="12">
        <f>IF(_xlfn.XLOOKUP($B19,'ELC TECH'!$H:$H,'ELC TECH'!$E:$E)="Storage","",_xlfn.XLOOKUP($B19,'ELC TECH'!$H:$H,'ELC TECH'!AS:AS))</f>
        <v>0.66</v>
      </c>
      <c r="AY19" s="12">
        <f>IF(_xlfn.XLOOKUP($B19,'ELC TECH'!$H:$H,'ELC TECH'!$E:$E)="Storage","",_xlfn.XLOOKUP($B19,'ELC TECH'!$H:$H,'ELC TECH'!AT:AT))</f>
        <v>0.66</v>
      </c>
      <c r="AZ19" s="12">
        <f>IF(_xlfn.XLOOKUP($B19,'ELC TECH'!$H:$H,'ELC TECH'!$E:$E)="Storage","",_xlfn.XLOOKUP($B19,'ELC TECH'!$H:$H,'ELC TECH'!AU:AU))</f>
        <v>0.66</v>
      </c>
      <c r="BA19" s="12">
        <f>IF(_xlfn.XLOOKUP($B19,'ELC TECH'!$H:$H,'ELC TECH'!$E:$E)="Storage","",_xlfn.XLOOKUP($B19,'ELC TECH'!$H:$H,'ELC TECH'!AV:AV))</f>
        <v>0.66</v>
      </c>
      <c r="BB19" s="12">
        <f>IF(_xlfn.XLOOKUP($B19,'ELC TECH'!$H:$H,'ELC TECH'!$E:$E)="Storage","",_xlfn.XLOOKUP($B19,'ELC TECH'!$H:$H,'ELC TECH'!AW:AW))</f>
        <v>0.66</v>
      </c>
      <c r="BC19" s="12">
        <f>IF(_xlfn.XLOOKUP($B19,'ELC TECH'!$H:$H,'ELC TECH'!$E:$E)="Storage","",_xlfn.XLOOKUP($B19,'ELC TECH'!$H:$H,'ELC TECH'!AX:AX))</f>
        <v>0.66</v>
      </c>
      <c r="BD19" s="12">
        <f>IF(_xlfn.XLOOKUP($B19,'ELC TECH'!$H:$H,'ELC TECH'!$E:$E)="Storage","",_xlfn.XLOOKUP($B19,'ELC TECH'!$H:$H,'ELC TECH'!AY:AY))</f>
        <v>0.66</v>
      </c>
      <c r="BE19" s="12">
        <f>IF(_xlfn.XLOOKUP($B19,'ELC TECH'!$H:$H,'ELC TECH'!$E:$E)="Storage","",_xlfn.XLOOKUP($B19,'ELC TECH'!$H:$H,'ELC TECH'!AZ:AZ))</f>
        <v>0.66</v>
      </c>
      <c r="BF19" s="12" t="str">
        <f>IF(_xlfn.XLOOKUP($B19,'ELC TECH'!$H:$H,'ELC TECH'!$E:$E)="Storage",_xlfn.XLOOKUP($B19,'ELC TECH'!$H:$H,'ELC TECH'!AS:AS),"")</f>
        <v/>
      </c>
      <c r="BG19" s="12" t="str">
        <f>IF(_xlfn.XLOOKUP($B19,'ELC TECH'!$H:$H,'ELC TECH'!$E:$E)="Storage",_xlfn.XLOOKUP($B19,'ELC TECH'!$H:$H,'ELC TECH'!AT:AT),"")</f>
        <v/>
      </c>
      <c r="BH19" s="12" t="str">
        <f>IF(_xlfn.XLOOKUP($B19,'ELC TECH'!$H:$H,'ELC TECH'!$E:$E)="Storage",_xlfn.XLOOKUP($B19,'ELC TECH'!$H:$H,'ELC TECH'!AU:AU),"")</f>
        <v/>
      </c>
      <c r="BI19" s="12" t="str">
        <f>IF(_xlfn.XLOOKUP($B19,'ELC TECH'!$H:$H,'ELC TECH'!$E:$E)="Storage",_xlfn.XLOOKUP($B19,'ELC TECH'!$H:$H,'ELC TECH'!AV:AV),"")</f>
        <v/>
      </c>
      <c r="BJ19" s="12" t="str">
        <f>IF(_xlfn.XLOOKUP($B19,'ELC TECH'!$H:$H,'ELC TECH'!$E:$E)="Storage",_xlfn.XLOOKUP($B19,'ELC TECH'!$H:$H,'ELC TECH'!AW:AW),"")</f>
        <v/>
      </c>
      <c r="BK19" s="12" t="str">
        <f>IF(_xlfn.XLOOKUP($B19,'ELC TECH'!$H:$H,'ELC TECH'!$E:$E)="Storage",_xlfn.XLOOKUP($B19,'ELC TECH'!$H:$H,'ELC TECH'!AX:AX),"")</f>
        <v/>
      </c>
      <c r="BL19" s="12" t="str">
        <f>IF(_xlfn.XLOOKUP($B19,'ELC TECH'!$H:$H,'ELC TECH'!$E:$E)="Storage",_xlfn.XLOOKUP($B19,'ELC TECH'!$H:$H,'ELC TECH'!AY:AY),"")</f>
        <v/>
      </c>
      <c r="BM19" s="12" t="str">
        <f>IF(_xlfn.XLOOKUP($B19,'ELC TECH'!$H:$H,'ELC TECH'!$E:$E)="Storage",_xlfn.XLOOKUP($B19,'ELC TECH'!$H:$H,'ELC TECH'!AZ:AZ),"")</f>
        <v/>
      </c>
      <c r="BN19" s="8">
        <f>IF(_xlfn.XLOOKUP($B19,'ELC TECH'!$H:$H,'ELC TECH'!$E:$E)="Non Dispatchable",IFERROR($AX19*_xlfn.XLOOKUP($C19,$BM$1:$BM$3,BN$1:BN$3)/SUMPRODUCT(_xlfn.XLOOKUP($C19,$BM$1:$BM$3,$BN$1:$BY$3),$BN$4:$BY$4),""),
"")</f>
        <v>0.47604122391346398</v>
      </c>
      <c r="BO19" s="8">
        <f>IF(_xlfn.XLOOKUP($B19,'ELC TECH'!$H:$H,'ELC TECH'!$E:$E)="Non Dispatchable",IFERROR($AX19*_xlfn.XLOOKUP($C19,$BM$1:$BM$3,BO$1:BO$3)/SUMPRODUCT(_xlfn.XLOOKUP($C19,$BM$1:$BM$3,$BN$1:$BY$3),$BN$4:$BY$4),""),
"")</f>
        <v>0.55422317674596711</v>
      </c>
      <c r="BP19" s="8">
        <f>IF(_xlfn.XLOOKUP($B19,'ELC TECH'!$H:$H,'ELC TECH'!$E:$E)="Non Dispatchable",IFERROR($AX19*_xlfn.XLOOKUP($C19,$BM$1:$BM$3,BP$1:BP$3)/SUMPRODUCT(_xlfn.XLOOKUP($C19,$BM$1:$BM$3,$BN$1:$BY$3),$BN$4:$BY$4),""),
"")</f>
        <v>0.88722038325477715</v>
      </c>
      <c r="BQ19" s="8">
        <f>IF(_xlfn.XLOOKUP($B19,'ELC TECH'!$H:$H,'ELC TECH'!$E:$E)="Non Dispatchable",IFERROR($AX19*_xlfn.XLOOKUP($C19,$BM$1:$BM$3,BQ$1:BQ$3)/SUMPRODUCT(_xlfn.XLOOKUP($C19,$BM$1:$BM$3,$BN$1:$BY$3),$BN$4:$BY$4),""),
"")</f>
        <v>1.8532018449185946E-2</v>
      </c>
      <c r="BR19" s="8">
        <f>IF(_xlfn.XLOOKUP($B19,'ELC TECH'!$H:$H,'ELC TECH'!$E:$E)="Non Dispatchable",IFERROR($AX19*_xlfn.XLOOKUP($C19,$BM$1:$BM$3,BR$1:BR$3)/SUMPRODUCT(_xlfn.XLOOKUP($C19,$BM$1:$BM$3,$BN$1:$BY$3),$BN$4:$BY$4),""),
"")</f>
        <v>0.47198734487770461</v>
      </c>
      <c r="BS19" s="8">
        <f>IF(_xlfn.XLOOKUP($B19,'ELC TECH'!$H:$H,'ELC TECH'!$E:$E)="Non Dispatchable",IFERROR($AX19*_xlfn.XLOOKUP($C19,$BM$1:$BM$3,BS$1:BS$3)/SUMPRODUCT(_xlfn.XLOOKUP($C19,$BM$1:$BM$3,$BN$1:$BY$3),$BN$4:$BY$4),""),
"")</f>
        <v>0.62950950169578512</v>
      </c>
      <c r="BT19" s="8">
        <f>IF(_xlfn.XLOOKUP($B19,'ELC TECH'!$H:$H,'ELC TECH'!$E:$E)="Non Dispatchable",IFERROR($AX19*_xlfn.XLOOKUP($C19,$BM$1:$BM$3,BT$1:BT$3)/SUMPRODUCT(_xlfn.XLOOKUP($C19,$BM$1:$BM$3,$BN$1:$BY$3),$BN$4:$BY$4),""),
"")</f>
        <v>0.79977242119768099</v>
      </c>
      <c r="BU19" s="8">
        <f>IF(_xlfn.XLOOKUP($B19,'ELC TECH'!$H:$H,'ELC TECH'!$E:$E)="Non Dispatchable",IFERROR($AX19*_xlfn.XLOOKUP($C19,$BM$1:$BM$3,BU$1:BU$3)/SUMPRODUCT(_xlfn.XLOOKUP($C19,$BM$1:$BM$3,$BN$1:$BY$3),$BN$4:$BY$4),""),
"")</f>
        <v>1.8532018449185946E-2</v>
      </c>
      <c r="BV19" s="8">
        <f>IF(_xlfn.XLOOKUP($B19,'ELC TECH'!$H:$H,'ELC TECH'!$E:$E)="Non Dispatchable",IFERROR($AX19*_xlfn.XLOOKUP($C19,$BM$1:$BM$3,BV$1:BV$3)/SUMPRODUCT(_xlfn.XLOOKUP($C19,$BM$1:$BM$3,$BN$1:$BY$3),$BN$4:$BY$4),""),
"")</f>
        <v>0.5646474371236343</v>
      </c>
      <c r="BW19" s="8">
        <f>IF(_xlfn.XLOOKUP($B19,'ELC TECH'!$H:$H,'ELC TECH'!$E:$E)="Non Dispatchable",IFERROR($AX19*_xlfn.XLOOKUP($C19,$BM$1:$BM$3,BW$1:BW$3)/SUMPRODUCT(_xlfn.XLOOKUP($C19,$BM$1:$BM$3,$BN$1:$BY$3),$BN$4:$BY$4),""),
"")</f>
        <v>0.62950950169578512</v>
      </c>
      <c r="BX19" s="8">
        <f>IF(_xlfn.XLOOKUP($B19,'ELC TECH'!$H:$H,'ELC TECH'!$E:$E)="Non Dispatchable",IFERROR($AX19*_xlfn.XLOOKUP($C19,$BM$1:$BM$3,BX$1:BX$3)/SUMPRODUCT(_xlfn.XLOOKUP($C19,$BM$1:$BM$3,$BN$1:$BY$3),$BN$4:$BY$4),""),
"")</f>
        <v>0.72564434740093708</v>
      </c>
      <c r="BY19" s="8">
        <f>IF(_xlfn.XLOOKUP($B19,'ELC TECH'!$H:$H,'ELC TECH'!$E:$E)="Non Dispatchable",IFERROR($AX19*_xlfn.XLOOKUP($C19,$BM$1:$BM$3,BY$1:BY$3)/SUMPRODUCT(_xlfn.XLOOKUP($C19,$BM$1:$BM$3,$BN$1:$BY$3),$BN$4:$BY$4),""),
"")</f>
        <v>1.5636390566500642E-2</v>
      </c>
      <c r="BZ19" s="8">
        <f>IF(_xlfn.XLOOKUP($B19,'ELC TECH'!$H:$H,'ELC TECH'!$E:$E)="Non Dispatchable",IFERROR($AX19*_xlfn.XLOOKUP($C19,$BM$1:$BM$3,BZ$1:BZ$3)/SUMPRODUCT(_xlfn.XLOOKUP($C19,$BM$1:$BM$3,$BN$1:$BY$3),$BN$4:$BY$4),""),
"")</f>
        <v>0.47604122391346398</v>
      </c>
      <c r="CA19" s="8">
        <f>IF(_xlfn.XLOOKUP($B19,'ELC TECH'!$H:$H,'ELC TECH'!$E:$E)="Non Dispatchable",IFERROR($AX19*_xlfn.XLOOKUP($C19,$BM$1:$BM$3,CA$1:CA$3)/SUMPRODUCT(_xlfn.XLOOKUP($C19,$BM$1:$BM$3,$BN$1:$BY$3),$BN$4:$BY$4),""),
"")</f>
        <v>0.55422317674596711</v>
      </c>
      <c r="CB19" s="8">
        <f>IF(_xlfn.XLOOKUP($B19,'ELC TECH'!$H:$H,'ELC TECH'!$E:$E)="Non Dispatchable",IFERROR($AX19*_xlfn.XLOOKUP($C19,$BM$1:$BM$3,CB$1:CB$3)/SUMPRODUCT(_xlfn.XLOOKUP($C19,$BM$1:$BM$3,$BN$1:$BY$3),$BN$4:$BY$4),""),
"")</f>
        <v>0.88722038325477715</v>
      </c>
      <c r="CC19" s="8">
        <f>IF(_xlfn.XLOOKUP($B19,'ELC TECH'!$H:$H,'ELC TECH'!$E:$E)="Non Dispatchable",IFERROR($AX19*_xlfn.XLOOKUP($C19,$BM$1:$BM$3,CC$1:CC$3)/SUMPRODUCT(_xlfn.XLOOKUP($C19,$BM$1:$BM$3,$BN$1:$BY$3),$BN$4:$BY$4),""),
"")</f>
        <v>1.8532018449185946E-2</v>
      </c>
      <c r="CD19" s="8">
        <f>IF(_xlfn.XLOOKUP($B19,'ELC TECH'!$H:$H,'ELC TECH'!$E:$E)="Non Dispatchable",IFERROR($AX19*_xlfn.XLOOKUP($C19,$BM$1:$BM$3,CD$1:CD$3)/SUMPRODUCT(_xlfn.XLOOKUP($C19,$BM$1:$BM$3,$BN$1:$BY$3),$BN$4:$BY$4),""),
"")</f>
        <v>0.47198734487770461</v>
      </c>
      <c r="CE19" s="8">
        <f>IF(_xlfn.XLOOKUP($B19,'ELC TECH'!$H:$H,'ELC TECH'!$E:$E)="Non Dispatchable",IFERROR($AX19*_xlfn.XLOOKUP($C19,$BM$1:$BM$3,CE$1:CE$3)/SUMPRODUCT(_xlfn.XLOOKUP($C19,$BM$1:$BM$3,$BN$1:$BY$3),$BN$4:$BY$4),""),
"")</f>
        <v>0.62950950169578512</v>
      </c>
      <c r="CF19" s="8">
        <f>IF(_xlfn.XLOOKUP($B19,'ELC TECH'!$H:$H,'ELC TECH'!$E:$E)="Non Dispatchable",IFERROR($AX19*_xlfn.XLOOKUP($C19,$BM$1:$BM$3,CF$1:CF$3)/SUMPRODUCT(_xlfn.XLOOKUP($C19,$BM$1:$BM$3,$BN$1:$BY$3),$BN$4:$BY$4),""),
"")</f>
        <v>0.79977242119768099</v>
      </c>
      <c r="CG19" s="8">
        <f>IF(_xlfn.XLOOKUP($B19,'ELC TECH'!$H:$H,'ELC TECH'!$E:$E)="Non Dispatchable",IFERROR($AX19*_xlfn.XLOOKUP($C19,$BM$1:$BM$3,CG$1:CG$3)/SUMPRODUCT(_xlfn.XLOOKUP($C19,$BM$1:$BM$3,$BN$1:$BY$3),$BN$4:$BY$4),""),
"")</f>
        <v>1.8532018449185946E-2</v>
      </c>
      <c r="CH19" s="8">
        <f>IF(_xlfn.XLOOKUP($B19,'ELC TECH'!$H:$H,'ELC TECH'!$E:$E)="Non Dispatchable",IFERROR($AX19*_xlfn.XLOOKUP($C19,$BM$1:$BM$3,CH$1:CH$3)/SUMPRODUCT(_xlfn.XLOOKUP($C19,$BM$1:$BM$3,$BN$1:$BY$3),$BN$4:$BY$4),""),
"")</f>
        <v>0.5646474371236343</v>
      </c>
      <c r="CI19" s="8">
        <f>IF(_xlfn.XLOOKUP($B19,'ELC TECH'!$H:$H,'ELC TECH'!$E:$E)="Non Dispatchable",IFERROR($AX19*_xlfn.XLOOKUP($C19,$BM$1:$BM$3,CI$1:CI$3)/SUMPRODUCT(_xlfn.XLOOKUP($C19,$BM$1:$BM$3,$BN$1:$BY$3),$BN$4:$BY$4),""),
"")</f>
        <v>0.62950950169578512</v>
      </c>
      <c r="CJ19" s="8">
        <f>IF(_xlfn.XLOOKUP($B19,'ELC TECH'!$H:$H,'ELC TECH'!$E:$E)="Non Dispatchable",IFERROR($AX19*_xlfn.XLOOKUP($C19,$BM$1:$BM$3,CJ$1:CJ$3)/SUMPRODUCT(_xlfn.XLOOKUP($C19,$BM$1:$BM$3,$BN$1:$BY$3),$BN$4:$BY$4),""),
"")</f>
        <v>0.72564434740093708</v>
      </c>
      <c r="CK19" s="8">
        <f>IF(_xlfn.XLOOKUP($B19,'ELC TECH'!$H:$H,'ELC TECH'!$E:$E)="Non Dispatchable",IFERROR($AX19*_xlfn.XLOOKUP($C19,$BM$1:$BM$3,CK$1:CK$3)/SUMPRODUCT(_xlfn.XLOOKUP($C19,$BM$1:$BM$3,$BN$1:$BY$3),$BN$4:$BY$4),""),
"")</f>
        <v>1.5636390566500642E-2</v>
      </c>
      <c r="CL19" s="8" t="str">
        <f>IF(_xlfn.XLOOKUP($B19,'ELC TECH'!$H:$H,'ELC TECH'!$E:$E)="Storage",CL$4*$BF19,"")</f>
        <v/>
      </c>
      <c r="CM19" s="8" t="str">
        <f>IF(_xlfn.XLOOKUP($B19,'ELC TECH'!$H:$H,'ELC TECH'!$E:$E)="Storage",CM$4*$BF19,"")</f>
        <v/>
      </c>
      <c r="CN19" s="8" t="str">
        <f>IF(_xlfn.XLOOKUP($B19,'ELC TECH'!$H:$H,'ELC TECH'!$E:$E)="Storage",CN$4*$BF19,"")</f>
        <v/>
      </c>
      <c r="CO19" s="8" t="str">
        <f>IF(_xlfn.XLOOKUP($B19,'ELC TECH'!$H:$H,'ELC TECH'!$E:$E)="Storage",CO$4*$BF19,"")</f>
        <v/>
      </c>
      <c r="CP19" s="8" t="str">
        <f>IF(_xlfn.XLOOKUP($B19,'ELC TECH'!$H:$H,'ELC TECH'!$E:$E)="Storage",CP$4*$BF19,"")</f>
        <v/>
      </c>
      <c r="CQ19" s="8" t="str">
        <f>IF(_xlfn.XLOOKUP($B19,'ELC TECH'!$H:$H,'ELC TECH'!$E:$E)="Storage",CQ$4*$BF19,"")</f>
        <v/>
      </c>
      <c r="CR19" s="8" t="str">
        <f>IF(_xlfn.XLOOKUP($B19,'ELC TECH'!$H:$H,'ELC TECH'!$E:$E)="Storage",CR$4*$BF19,"")</f>
        <v/>
      </c>
      <c r="CS19" s="8" t="str">
        <f>IF(_xlfn.XLOOKUP($B19,'ELC TECH'!$H:$H,'ELC TECH'!$E:$E)="Storage",CS$4*$BF19,"")</f>
        <v/>
      </c>
      <c r="CT19" s="8" t="str">
        <f>IF(_xlfn.XLOOKUP($B19,'ELC TECH'!$H:$H,'ELC TECH'!$E:$E)="Storage",CT$4*$BF19,"")</f>
        <v/>
      </c>
      <c r="CU19" s="8" t="str">
        <f>IF(_xlfn.XLOOKUP($B19,'ELC TECH'!$H:$H,'ELC TECH'!$E:$E)="Storage",CU$4*$BF19,"")</f>
        <v/>
      </c>
      <c r="CV19" s="8" t="str">
        <f>IF(_xlfn.XLOOKUP($B19,'ELC TECH'!$H:$H,'ELC TECH'!$E:$E)="Storage",CV$4*$BF19,"")</f>
        <v/>
      </c>
      <c r="CW19" s="8" t="str">
        <f>IF(_xlfn.XLOOKUP($B19,'ELC TECH'!$H:$H,'ELC TECH'!$E:$E)="Storage",CW$4*$BF19,"")</f>
        <v/>
      </c>
      <c r="CX19" s="8" t="str">
        <f>IF(_xlfn.XLOOKUP($B19,'ELC TECH'!$H:$H,'ELC TECH'!$E:$E)="Storage",CX$4*$BF19,"")</f>
        <v/>
      </c>
      <c r="CY19" s="8" t="str">
        <f>IF(_xlfn.XLOOKUP($B19,'ELC TECH'!$H:$H,'ELC TECH'!$E:$E)="Storage",CY$4*$BF19,"")</f>
        <v/>
      </c>
      <c r="CZ19" s="8" t="str">
        <f>IF(_xlfn.XLOOKUP($B19,'ELC TECH'!$H:$H,'ELC TECH'!$E:$E)="Storage",CZ$4*$BF19,"")</f>
        <v/>
      </c>
      <c r="DA19" s="8" t="str">
        <f>IF(_xlfn.XLOOKUP($B19,'ELC TECH'!$H:$H,'ELC TECH'!$E:$E)="Storage",DA$4*$BF19,"")</f>
        <v/>
      </c>
      <c r="DB19" s="8" t="str">
        <f>IF(_xlfn.XLOOKUP($B19,'ELC TECH'!$H:$H,'ELC TECH'!$E:$E)="Storage",DB$4*$BF19,"")</f>
        <v/>
      </c>
      <c r="DC19" s="8" t="str">
        <f>IF(_xlfn.XLOOKUP($B19,'ELC TECH'!$H:$H,'ELC TECH'!$E:$E)="Storage",DC$4*$BF19,"")</f>
        <v/>
      </c>
      <c r="DD19" s="8" t="str">
        <f>IF(_xlfn.XLOOKUP($B19,'ELC TECH'!$H:$H,'ELC TECH'!$E:$E)="Storage",DD$4*$BF19,"")</f>
        <v/>
      </c>
      <c r="DE19" s="8" t="str">
        <f>IF(_xlfn.XLOOKUP($B19,'ELC TECH'!$H:$H,'ELC TECH'!$E:$E)="Storage",DE$4*$BF19,"")</f>
        <v/>
      </c>
      <c r="DF19" s="8" t="str">
        <f>IF(_xlfn.XLOOKUP($B19,'ELC TECH'!$H:$H,'ELC TECH'!$E:$E)="Storage",DF$4*$BF19,"")</f>
        <v/>
      </c>
      <c r="DG19" s="8" t="str">
        <f>IF(_xlfn.XLOOKUP($B19,'ELC TECH'!$H:$H,'ELC TECH'!$E:$E)="Storage",DG$4*$BF19,"")</f>
        <v/>
      </c>
      <c r="DH19" s="8" t="str">
        <f>IF(_xlfn.XLOOKUP($B19,'ELC TECH'!$H:$H,'ELC TECH'!$E:$E)="Storage",DH$4*$BF19,"")</f>
        <v/>
      </c>
      <c r="DI19" s="8" t="str">
        <f>IF(_xlfn.XLOOKUP($B19,'ELC TECH'!$H:$H,'ELC TECH'!$E:$E)="Storage",DI$4*$BF19,"")</f>
        <v/>
      </c>
    </row>
    <row r="20" spans="2:113" x14ac:dyDescent="0.25">
      <c r="B20" t="str">
        <f>IF('ELC TECH'!I13=0,"*",'ELC TECH'!H13)</f>
        <v>ELCHYDGRDHNSNDC520</v>
      </c>
      <c r="C20" t="str">
        <f>IF(_xlfn.XLOOKUP(_xlfn.XLOOKUP(B20,'ELC TECH'!$H:$H,'ELC TECH'!$G:$G),List!C:C,List!B:B)="STG",D20,"ELC"&amp;_xlfn.XLOOKUP(_xlfn.XLOOKUP(B20,'ELC TECH'!H:H,'ELC TECH'!G:G),List!C:C,List!B:B))</f>
        <v>ELCHYD</v>
      </c>
      <c r="D20" t="s">
        <v>544</v>
      </c>
      <c r="E20">
        <f>_xlfn.XLOOKUP(B20,'ELC TECH'!H:H,'ELC TECH'!D:D)</f>
        <v>2020</v>
      </c>
      <c r="F20">
        <f>_xlfn.XLOOKUP(B20,'ELC TECH'!H:H,'ELC TECH'!K:K)</f>
        <v>100</v>
      </c>
      <c r="G20">
        <f t="shared" si="4"/>
        <v>31.535999999999998</v>
      </c>
      <c r="H20">
        <f>IF(_xlfn.XLOOKUP(B20,'ELC TECH'!$H:$H,'ELC TECH'!$E:$E)="Storage",0.3,IF(_xlfn.XLOOKUP(B20,'ELC TECH'!$H:$H,'ELC TECH'!$E:$E)="Baseload",0.9,IF(_xlfn.XLOOKUP(B20,'ELC TECH'!$H:$H,'ELC TECH'!$E:$E)="Non Dispatchable",0.05,IF(_xlfn.XLOOKUP(B20,'ELC TECH'!$H:$H,'ELC TECH'!$E:$E)="Dispatchable",0.9,1))))</f>
        <v>0.05</v>
      </c>
      <c r="I20" s="13">
        <f>IF(_xlfn.XLOOKUP(B20,'ELC TECH'!H:H,'ELC TECH'!J:J)="","",_xlfn.XLOOKUP(B20,'ELC TECH'!H:H,'ELC TECH'!J:J))</f>
        <v>0</v>
      </c>
      <c r="J20" s="12">
        <f>IF(_xlfn.XLOOKUP($B20,'ELC TECH'!$H:$H,'ELC TECH'!$E:$E)="Storage","",IF(_xlfn.XLOOKUP($B20,'ELC TECH'!$H:$H,'ELC TECH'!AK:AK)="",1,_xlfn.XLOOKUP($B20,'ELC TECH'!$H:$H,'ELC TECH'!AK:AK)))</f>
        <v>1</v>
      </c>
      <c r="K20" s="12">
        <f>IF(_xlfn.XLOOKUP($B20,'ELC TECH'!$H:$H,'ELC TECH'!$E:$E)="Storage","",IF(_xlfn.XLOOKUP($B20,'ELC TECH'!$H:$H,'ELC TECH'!AL:AL)="",1,_xlfn.XLOOKUP($B20,'ELC TECH'!$H:$H,'ELC TECH'!AL:AL)))</f>
        <v>1</v>
      </c>
      <c r="L20" s="12">
        <f>IF(_xlfn.XLOOKUP($B20,'ELC TECH'!$H:$H,'ELC TECH'!$E:$E)="Storage","",IF(_xlfn.XLOOKUP($B20,'ELC TECH'!$H:$H,'ELC TECH'!AM:AM)="",1,_xlfn.XLOOKUP($B20,'ELC TECH'!$H:$H,'ELC TECH'!AM:AM)))</f>
        <v>1</v>
      </c>
      <c r="M20" s="12">
        <f>IF(_xlfn.XLOOKUP($B20,'ELC TECH'!$H:$H,'ELC TECH'!$E:$E)="Storage","",IF(_xlfn.XLOOKUP($B20,'ELC TECH'!$H:$H,'ELC TECH'!AN:AN)="",1,_xlfn.XLOOKUP($B20,'ELC TECH'!$H:$H,'ELC TECH'!AN:AN)))</f>
        <v>1</v>
      </c>
      <c r="N20" s="12">
        <f>IF(_xlfn.XLOOKUP($B20,'ELC TECH'!$H:$H,'ELC TECH'!$E:$E)="Storage","",IF(_xlfn.XLOOKUP($B20,'ELC TECH'!$H:$H,'ELC TECH'!AO:AO)="",1,_xlfn.XLOOKUP($B20,'ELC TECH'!$H:$H,'ELC TECH'!AO:AO)))</f>
        <v>1</v>
      </c>
      <c r="O20" s="12">
        <f>IF(_xlfn.XLOOKUP($B20,'ELC TECH'!$H:$H,'ELC TECH'!$E:$E)="Storage","",IF(_xlfn.XLOOKUP($B20,'ELC TECH'!$H:$H,'ELC TECH'!AP:AP)="",1,_xlfn.XLOOKUP($B20,'ELC TECH'!$H:$H,'ELC TECH'!AP:AP)))</f>
        <v>1</v>
      </c>
      <c r="P20" s="12">
        <f>IF(_xlfn.XLOOKUP($B20,'ELC TECH'!$H:$H,'ELC TECH'!$E:$E)="Storage","",IF(_xlfn.XLOOKUP($B20,'ELC TECH'!$H:$H,'ELC TECH'!AQ:AQ)="",1,_xlfn.XLOOKUP($B20,'ELC TECH'!$H:$H,'ELC TECH'!AQ:AQ)))</f>
        <v>1</v>
      </c>
      <c r="Q20" s="12">
        <f>IF(_xlfn.XLOOKUP($B20,'ELC TECH'!$H:$H,'ELC TECH'!$E:$E)="Storage","",IF(_xlfn.XLOOKUP($B20,'ELC TECH'!$H:$H,'ELC TECH'!AR:AR)="",1,_xlfn.XLOOKUP($B20,'ELC TECH'!$H:$H,'ELC TECH'!AR:AR)))</f>
        <v>1</v>
      </c>
      <c r="R20" s="12" t="str">
        <f>IF(_xlfn.XLOOKUP($B20,'ELC TECH'!$H:$H,'ELC TECH'!$E:$E)&lt;&gt;"Storage","",IF(_xlfn.XLOOKUP($B20,'ELC TECH'!$H:$H,'ELC TECH'!AK:AK)="",0.8,_xlfn.XLOOKUP($B20,'ELC TECH'!$H:$H,'ELC TECH'!AK:AK)))</f>
        <v/>
      </c>
      <c r="S20" s="12" t="str">
        <f>IF(_xlfn.XLOOKUP($B20,'ELC TECH'!$H:$H,'ELC TECH'!$E:$E)&lt;&gt;"Storage","",IF(_xlfn.XLOOKUP($B20,'ELC TECH'!$H:$H,'ELC TECH'!AL:AL)="",0.8,_xlfn.XLOOKUP($B20,'ELC TECH'!$H:$H,'ELC TECH'!AL:AL)))</f>
        <v/>
      </c>
      <c r="T20" s="12" t="str">
        <f>IF(_xlfn.XLOOKUP($B20,'ELC TECH'!$H:$H,'ELC TECH'!$E:$E)&lt;&gt;"Storage","",IF(_xlfn.XLOOKUP($B20,'ELC TECH'!$H:$H,'ELC TECH'!AM:AM)="",0.8,_xlfn.XLOOKUP($B20,'ELC TECH'!$H:$H,'ELC TECH'!AM:AM)))</f>
        <v/>
      </c>
      <c r="U20" s="12" t="str">
        <f>IF(_xlfn.XLOOKUP($B20,'ELC TECH'!$H:$H,'ELC TECH'!$E:$E)&lt;&gt;"Storage","",IF(_xlfn.XLOOKUP($B20,'ELC TECH'!$H:$H,'ELC TECH'!AN:AN)="",0.8,_xlfn.XLOOKUP($B20,'ELC TECH'!$H:$H,'ELC TECH'!AN:AN)))</f>
        <v/>
      </c>
      <c r="V20" s="12" t="str">
        <f>IF(_xlfn.XLOOKUP($B20,'ELC TECH'!$H:$H,'ELC TECH'!$E:$E)&lt;&gt;"Storage","",IF(_xlfn.XLOOKUP($B20,'ELC TECH'!$H:$H,'ELC TECH'!AO:AO)="",0.8,_xlfn.XLOOKUP($B20,'ELC TECH'!$H:$H,'ELC TECH'!AO:AO)))</f>
        <v/>
      </c>
      <c r="W20" s="12" t="str">
        <f>IF(_xlfn.XLOOKUP($B20,'ELC TECH'!$H:$H,'ELC TECH'!$E:$E)&lt;&gt;"Storage","",IF(_xlfn.XLOOKUP($B20,'ELC TECH'!$H:$H,'ELC TECH'!AP:AP)="",0.8,_xlfn.XLOOKUP($B20,'ELC TECH'!$H:$H,'ELC TECH'!AP:AP)))</f>
        <v/>
      </c>
      <c r="X20" s="12" t="str">
        <f>IF(_xlfn.XLOOKUP($B20,'ELC TECH'!$H:$H,'ELC TECH'!$E:$E)&lt;&gt;"Storage","",IF(_xlfn.XLOOKUP($B20,'ELC TECH'!$H:$H,'ELC TECH'!AQ:AQ)="",0.8,_xlfn.XLOOKUP($B20,'ELC TECH'!$H:$H,'ELC TECH'!AQ:AQ)))</f>
        <v/>
      </c>
      <c r="Y20" s="12" t="str">
        <f>IF(_xlfn.XLOOKUP($B20,'ELC TECH'!$H:$H,'ELC TECH'!$E:$E)&lt;&gt;"Storage","",IF(_xlfn.XLOOKUP($B20,'ELC TECH'!$H:$H,'ELC TECH'!AR:AR)="",0.8,_xlfn.XLOOKUP($B20,'ELC TECH'!$H:$H,'ELC TECH'!AR:AR)))</f>
        <v/>
      </c>
      <c r="Z20" s="15">
        <f>_xlfn.XLOOKUP($B20,'ELC TECH'!$H:$H,'ELC TECH'!M:M)</f>
        <v>7060.5040856686428</v>
      </c>
      <c r="AA20" s="15">
        <f>_xlfn.XLOOKUP($B20,'ELC TECH'!$H:$H,'ELC TECH'!N:N)</f>
        <v>7060.5040856686428</v>
      </c>
      <c r="AB20" s="15">
        <f>_xlfn.XLOOKUP($B20,'ELC TECH'!$H:$H,'ELC TECH'!O:O)</f>
        <v>7060.5040856686428</v>
      </c>
      <c r="AC20" s="15">
        <f>_xlfn.XLOOKUP($B20,'ELC TECH'!$H:$H,'ELC TECH'!P:P)</f>
        <v>7060.5040856686428</v>
      </c>
      <c r="AD20" s="15">
        <f>_xlfn.XLOOKUP($B20,'ELC TECH'!$H:$H,'ELC TECH'!Q:Q)</f>
        <v>7060.5040856686428</v>
      </c>
      <c r="AE20" s="15">
        <f>_xlfn.XLOOKUP($B20,'ELC TECH'!$H:$H,'ELC TECH'!R:R)</f>
        <v>7060.5040856686428</v>
      </c>
      <c r="AF20" s="15">
        <f>_xlfn.XLOOKUP($B20,'ELC TECH'!$H:$H,'ELC TECH'!S:S)</f>
        <v>7060.5040856686428</v>
      </c>
      <c r="AG20" s="15">
        <f>_xlfn.XLOOKUP($B20,'ELC TECH'!$H:$H,'ELC TECH'!T:T)</f>
        <v>7060.5040856686428</v>
      </c>
      <c r="AH20" s="15">
        <f>_xlfn.XLOOKUP($B20,'ELC TECH'!$H:$H,'ELC TECH'!U:U)</f>
        <v>37.315284245205831</v>
      </c>
      <c r="AI20" s="15">
        <f>_xlfn.XLOOKUP($B20,'ELC TECH'!$H:$H,'ELC TECH'!V:V)</f>
        <v>37.315284245205831</v>
      </c>
      <c r="AJ20" s="15">
        <f>_xlfn.XLOOKUP($B20,'ELC TECH'!$H:$H,'ELC TECH'!W:W)</f>
        <v>37.315284245205831</v>
      </c>
      <c r="AK20" s="15">
        <f>_xlfn.XLOOKUP($B20,'ELC TECH'!$H:$H,'ELC TECH'!X:X)</f>
        <v>37.315284245205831</v>
      </c>
      <c r="AL20" s="15">
        <f>_xlfn.XLOOKUP($B20,'ELC TECH'!$H:$H,'ELC TECH'!Y:Y)</f>
        <v>37.315284245205831</v>
      </c>
      <c r="AM20" s="15">
        <f>_xlfn.XLOOKUP($B20,'ELC TECH'!$H:$H,'ELC TECH'!Z:Z)</f>
        <v>37.315284245205831</v>
      </c>
      <c r="AN20" s="15">
        <f>_xlfn.XLOOKUP($B20,'ELC TECH'!$H:$H,'ELC TECH'!AA:AA)</f>
        <v>37.315284245205831</v>
      </c>
      <c r="AO20" s="15">
        <f>_xlfn.XLOOKUP($B20,'ELC TECH'!$H:$H,'ELC TECH'!AB:AB)</f>
        <v>37.315284245205831</v>
      </c>
      <c r="AP20" s="15">
        <f>_xlfn.XLOOKUP($B20,'ELC TECH'!$H:$H,'ELC TECH'!AC:AC)</f>
        <v>0</v>
      </c>
      <c r="AQ20" s="15">
        <f>_xlfn.XLOOKUP($B20,'ELC TECH'!$H:$H,'ELC TECH'!AD:AD)</f>
        <v>0</v>
      </c>
      <c r="AR20" s="15">
        <f>_xlfn.XLOOKUP($B20,'ELC TECH'!$H:$H,'ELC TECH'!AE:AE)</f>
        <v>0</v>
      </c>
      <c r="AS20" s="15">
        <f>_xlfn.XLOOKUP($B20,'ELC TECH'!$H:$H,'ELC TECH'!AF:AF)</f>
        <v>0</v>
      </c>
      <c r="AT20" s="15">
        <f>_xlfn.XLOOKUP($B20,'ELC TECH'!$H:$H,'ELC TECH'!AG:AG)</f>
        <v>0</v>
      </c>
      <c r="AU20" s="15">
        <f>_xlfn.XLOOKUP($B20,'ELC TECH'!$H:$H,'ELC TECH'!AH:AH)</f>
        <v>0</v>
      </c>
      <c r="AV20" s="15">
        <f>_xlfn.XLOOKUP($B20,'ELC TECH'!$H:$H,'ELC TECH'!AI:AI)</f>
        <v>0</v>
      </c>
      <c r="AW20" s="15">
        <f>_xlfn.XLOOKUP($B20,'ELC TECH'!$H:$H,'ELC TECH'!AJ:AJ)</f>
        <v>0</v>
      </c>
      <c r="AX20" s="12">
        <f>IF(_xlfn.XLOOKUP($B20,'ELC TECH'!$H:$H,'ELC TECH'!$E:$E)="Storage","",_xlfn.XLOOKUP($B20,'ELC TECH'!$H:$H,'ELC TECH'!AS:AS))</f>
        <v>0.66</v>
      </c>
      <c r="AY20" s="12">
        <f>IF(_xlfn.XLOOKUP($B20,'ELC TECH'!$H:$H,'ELC TECH'!$E:$E)="Storage","",_xlfn.XLOOKUP($B20,'ELC TECH'!$H:$H,'ELC TECH'!AT:AT))</f>
        <v>0.66</v>
      </c>
      <c r="AZ20" s="12">
        <f>IF(_xlfn.XLOOKUP($B20,'ELC TECH'!$H:$H,'ELC TECH'!$E:$E)="Storage","",_xlfn.XLOOKUP($B20,'ELC TECH'!$H:$H,'ELC TECH'!AU:AU))</f>
        <v>0.66</v>
      </c>
      <c r="BA20" s="12">
        <f>IF(_xlfn.XLOOKUP($B20,'ELC TECH'!$H:$H,'ELC TECH'!$E:$E)="Storage","",_xlfn.XLOOKUP($B20,'ELC TECH'!$H:$H,'ELC TECH'!AV:AV))</f>
        <v>0.66</v>
      </c>
      <c r="BB20" s="12">
        <f>IF(_xlfn.XLOOKUP($B20,'ELC TECH'!$H:$H,'ELC TECH'!$E:$E)="Storage","",_xlfn.XLOOKUP($B20,'ELC TECH'!$H:$H,'ELC TECH'!AW:AW))</f>
        <v>0.66</v>
      </c>
      <c r="BC20" s="12">
        <f>IF(_xlfn.XLOOKUP($B20,'ELC TECH'!$H:$H,'ELC TECH'!$E:$E)="Storage","",_xlfn.XLOOKUP($B20,'ELC TECH'!$H:$H,'ELC TECH'!AX:AX))</f>
        <v>0.66</v>
      </c>
      <c r="BD20" s="12">
        <f>IF(_xlfn.XLOOKUP($B20,'ELC TECH'!$H:$H,'ELC TECH'!$E:$E)="Storage","",_xlfn.XLOOKUP($B20,'ELC TECH'!$H:$H,'ELC TECH'!AY:AY))</f>
        <v>0.66</v>
      </c>
      <c r="BE20" s="12">
        <f>IF(_xlfn.XLOOKUP($B20,'ELC TECH'!$H:$H,'ELC TECH'!$E:$E)="Storage","",_xlfn.XLOOKUP($B20,'ELC TECH'!$H:$H,'ELC TECH'!AZ:AZ))</f>
        <v>0.66</v>
      </c>
      <c r="BF20" s="12" t="str">
        <f>IF(_xlfn.XLOOKUP($B20,'ELC TECH'!$H:$H,'ELC TECH'!$E:$E)="Storage",_xlfn.XLOOKUP($B20,'ELC TECH'!$H:$H,'ELC TECH'!AS:AS),"")</f>
        <v/>
      </c>
      <c r="BG20" s="12" t="str">
        <f>IF(_xlfn.XLOOKUP($B20,'ELC TECH'!$H:$H,'ELC TECH'!$E:$E)="Storage",_xlfn.XLOOKUP($B20,'ELC TECH'!$H:$H,'ELC TECH'!AT:AT),"")</f>
        <v/>
      </c>
      <c r="BH20" s="12" t="str">
        <f>IF(_xlfn.XLOOKUP($B20,'ELC TECH'!$H:$H,'ELC TECH'!$E:$E)="Storage",_xlfn.XLOOKUP($B20,'ELC TECH'!$H:$H,'ELC TECH'!AU:AU),"")</f>
        <v/>
      </c>
      <c r="BI20" s="12" t="str">
        <f>IF(_xlfn.XLOOKUP($B20,'ELC TECH'!$H:$H,'ELC TECH'!$E:$E)="Storage",_xlfn.XLOOKUP($B20,'ELC TECH'!$H:$H,'ELC TECH'!AV:AV),"")</f>
        <v/>
      </c>
      <c r="BJ20" s="12" t="str">
        <f>IF(_xlfn.XLOOKUP($B20,'ELC TECH'!$H:$H,'ELC TECH'!$E:$E)="Storage",_xlfn.XLOOKUP($B20,'ELC TECH'!$H:$H,'ELC TECH'!AW:AW),"")</f>
        <v/>
      </c>
      <c r="BK20" s="12" t="str">
        <f>IF(_xlfn.XLOOKUP($B20,'ELC TECH'!$H:$H,'ELC TECH'!$E:$E)="Storage",_xlfn.XLOOKUP($B20,'ELC TECH'!$H:$H,'ELC TECH'!AX:AX),"")</f>
        <v/>
      </c>
      <c r="BL20" s="12" t="str">
        <f>IF(_xlfn.XLOOKUP($B20,'ELC TECH'!$H:$H,'ELC TECH'!$E:$E)="Storage",_xlfn.XLOOKUP($B20,'ELC TECH'!$H:$H,'ELC TECH'!AY:AY),"")</f>
        <v/>
      </c>
      <c r="BM20" s="12" t="str">
        <f>IF(_xlfn.XLOOKUP($B20,'ELC TECH'!$H:$H,'ELC TECH'!$E:$E)="Storage",_xlfn.XLOOKUP($B20,'ELC TECH'!$H:$H,'ELC TECH'!AZ:AZ),"")</f>
        <v/>
      </c>
      <c r="BN20" s="8">
        <f>IF(_xlfn.XLOOKUP($B20,'ELC TECH'!$H:$H,'ELC TECH'!$E:$E)="Non Dispatchable",IFERROR($AX20*_xlfn.XLOOKUP($C20,$BM$1:$BM$3,BN$1:BN$3)/SUMPRODUCT(_xlfn.XLOOKUP($C20,$BM$1:$BM$3,$BN$1:$BY$3),$BN$4:$BY$4),""),
"")</f>
        <v>0.47604122391346398</v>
      </c>
      <c r="BO20" s="8">
        <f>IF(_xlfn.XLOOKUP($B20,'ELC TECH'!$H:$H,'ELC TECH'!$E:$E)="Non Dispatchable",IFERROR($AX20*_xlfn.XLOOKUP($C20,$BM$1:$BM$3,BO$1:BO$3)/SUMPRODUCT(_xlfn.XLOOKUP($C20,$BM$1:$BM$3,$BN$1:$BY$3),$BN$4:$BY$4),""),
"")</f>
        <v>0.55422317674596711</v>
      </c>
      <c r="BP20" s="8">
        <f>IF(_xlfn.XLOOKUP($B20,'ELC TECH'!$H:$H,'ELC TECH'!$E:$E)="Non Dispatchable",IFERROR($AX20*_xlfn.XLOOKUP($C20,$BM$1:$BM$3,BP$1:BP$3)/SUMPRODUCT(_xlfn.XLOOKUP($C20,$BM$1:$BM$3,$BN$1:$BY$3),$BN$4:$BY$4),""),
"")</f>
        <v>0.88722038325477715</v>
      </c>
      <c r="BQ20" s="8">
        <f>IF(_xlfn.XLOOKUP($B20,'ELC TECH'!$H:$H,'ELC TECH'!$E:$E)="Non Dispatchable",IFERROR($AX20*_xlfn.XLOOKUP($C20,$BM$1:$BM$3,BQ$1:BQ$3)/SUMPRODUCT(_xlfn.XLOOKUP($C20,$BM$1:$BM$3,$BN$1:$BY$3),$BN$4:$BY$4),""),
"")</f>
        <v>1.8532018449185946E-2</v>
      </c>
      <c r="BR20" s="8">
        <f>IF(_xlfn.XLOOKUP($B20,'ELC TECH'!$H:$H,'ELC TECH'!$E:$E)="Non Dispatchable",IFERROR($AX20*_xlfn.XLOOKUP($C20,$BM$1:$BM$3,BR$1:BR$3)/SUMPRODUCT(_xlfn.XLOOKUP($C20,$BM$1:$BM$3,$BN$1:$BY$3),$BN$4:$BY$4),""),
"")</f>
        <v>0.47198734487770461</v>
      </c>
      <c r="BS20" s="8">
        <f>IF(_xlfn.XLOOKUP($B20,'ELC TECH'!$H:$H,'ELC TECH'!$E:$E)="Non Dispatchable",IFERROR($AX20*_xlfn.XLOOKUP($C20,$BM$1:$BM$3,BS$1:BS$3)/SUMPRODUCT(_xlfn.XLOOKUP($C20,$BM$1:$BM$3,$BN$1:$BY$3),$BN$4:$BY$4),""),
"")</f>
        <v>0.62950950169578512</v>
      </c>
      <c r="BT20" s="8">
        <f>IF(_xlfn.XLOOKUP($B20,'ELC TECH'!$H:$H,'ELC TECH'!$E:$E)="Non Dispatchable",IFERROR($AX20*_xlfn.XLOOKUP($C20,$BM$1:$BM$3,BT$1:BT$3)/SUMPRODUCT(_xlfn.XLOOKUP($C20,$BM$1:$BM$3,$BN$1:$BY$3),$BN$4:$BY$4),""),
"")</f>
        <v>0.79977242119768099</v>
      </c>
      <c r="BU20" s="8">
        <f>IF(_xlfn.XLOOKUP($B20,'ELC TECH'!$H:$H,'ELC TECH'!$E:$E)="Non Dispatchable",IFERROR($AX20*_xlfn.XLOOKUP($C20,$BM$1:$BM$3,BU$1:BU$3)/SUMPRODUCT(_xlfn.XLOOKUP($C20,$BM$1:$BM$3,$BN$1:$BY$3),$BN$4:$BY$4),""),
"")</f>
        <v>1.8532018449185946E-2</v>
      </c>
      <c r="BV20" s="8">
        <f>IF(_xlfn.XLOOKUP($B20,'ELC TECH'!$H:$H,'ELC TECH'!$E:$E)="Non Dispatchable",IFERROR($AX20*_xlfn.XLOOKUP($C20,$BM$1:$BM$3,BV$1:BV$3)/SUMPRODUCT(_xlfn.XLOOKUP($C20,$BM$1:$BM$3,$BN$1:$BY$3),$BN$4:$BY$4),""),
"")</f>
        <v>0.5646474371236343</v>
      </c>
      <c r="BW20" s="8">
        <f>IF(_xlfn.XLOOKUP($B20,'ELC TECH'!$H:$H,'ELC TECH'!$E:$E)="Non Dispatchable",IFERROR($AX20*_xlfn.XLOOKUP($C20,$BM$1:$BM$3,BW$1:BW$3)/SUMPRODUCT(_xlfn.XLOOKUP($C20,$BM$1:$BM$3,$BN$1:$BY$3),$BN$4:$BY$4),""),
"")</f>
        <v>0.62950950169578512</v>
      </c>
      <c r="BX20" s="8">
        <f>IF(_xlfn.XLOOKUP($B20,'ELC TECH'!$H:$H,'ELC TECH'!$E:$E)="Non Dispatchable",IFERROR($AX20*_xlfn.XLOOKUP($C20,$BM$1:$BM$3,BX$1:BX$3)/SUMPRODUCT(_xlfn.XLOOKUP($C20,$BM$1:$BM$3,$BN$1:$BY$3),$BN$4:$BY$4),""),
"")</f>
        <v>0.72564434740093708</v>
      </c>
      <c r="BY20" s="8">
        <f>IF(_xlfn.XLOOKUP($B20,'ELC TECH'!$H:$H,'ELC TECH'!$E:$E)="Non Dispatchable",IFERROR($AX20*_xlfn.XLOOKUP($C20,$BM$1:$BM$3,BY$1:BY$3)/SUMPRODUCT(_xlfn.XLOOKUP($C20,$BM$1:$BM$3,$BN$1:$BY$3),$BN$4:$BY$4),""),
"")</f>
        <v>1.5636390566500642E-2</v>
      </c>
      <c r="BZ20" s="8">
        <f>IF(_xlfn.XLOOKUP($B20,'ELC TECH'!$H:$H,'ELC TECH'!$E:$E)="Non Dispatchable",IFERROR($AX20*_xlfn.XLOOKUP($C20,$BM$1:$BM$3,BZ$1:BZ$3)/SUMPRODUCT(_xlfn.XLOOKUP($C20,$BM$1:$BM$3,$BN$1:$BY$3),$BN$4:$BY$4),""),
"")</f>
        <v>0.47604122391346398</v>
      </c>
      <c r="CA20" s="8">
        <f>IF(_xlfn.XLOOKUP($B20,'ELC TECH'!$H:$H,'ELC TECH'!$E:$E)="Non Dispatchable",IFERROR($AX20*_xlfn.XLOOKUP($C20,$BM$1:$BM$3,CA$1:CA$3)/SUMPRODUCT(_xlfn.XLOOKUP($C20,$BM$1:$BM$3,$BN$1:$BY$3),$BN$4:$BY$4),""),
"")</f>
        <v>0.55422317674596711</v>
      </c>
      <c r="CB20" s="8">
        <f>IF(_xlfn.XLOOKUP($B20,'ELC TECH'!$H:$H,'ELC TECH'!$E:$E)="Non Dispatchable",IFERROR($AX20*_xlfn.XLOOKUP($C20,$BM$1:$BM$3,CB$1:CB$3)/SUMPRODUCT(_xlfn.XLOOKUP($C20,$BM$1:$BM$3,$BN$1:$BY$3),$BN$4:$BY$4),""),
"")</f>
        <v>0.88722038325477715</v>
      </c>
      <c r="CC20" s="8">
        <f>IF(_xlfn.XLOOKUP($B20,'ELC TECH'!$H:$H,'ELC TECH'!$E:$E)="Non Dispatchable",IFERROR($AX20*_xlfn.XLOOKUP($C20,$BM$1:$BM$3,CC$1:CC$3)/SUMPRODUCT(_xlfn.XLOOKUP($C20,$BM$1:$BM$3,$BN$1:$BY$3),$BN$4:$BY$4),""),
"")</f>
        <v>1.8532018449185946E-2</v>
      </c>
      <c r="CD20" s="8">
        <f>IF(_xlfn.XLOOKUP($B20,'ELC TECH'!$H:$H,'ELC TECH'!$E:$E)="Non Dispatchable",IFERROR($AX20*_xlfn.XLOOKUP($C20,$BM$1:$BM$3,CD$1:CD$3)/SUMPRODUCT(_xlfn.XLOOKUP($C20,$BM$1:$BM$3,$BN$1:$BY$3),$BN$4:$BY$4),""),
"")</f>
        <v>0.47198734487770461</v>
      </c>
      <c r="CE20" s="8">
        <f>IF(_xlfn.XLOOKUP($B20,'ELC TECH'!$H:$H,'ELC TECH'!$E:$E)="Non Dispatchable",IFERROR($AX20*_xlfn.XLOOKUP($C20,$BM$1:$BM$3,CE$1:CE$3)/SUMPRODUCT(_xlfn.XLOOKUP($C20,$BM$1:$BM$3,$BN$1:$BY$3),$BN$4:$BY$4),""),
"")</f>
        <v>0.62950950169578512</v>
      </c>
      <c r="CF20" s="8">
        <f>IF(_xlfn.XLOOKUP($B20,'ELC TECH'!$H:$H,'ELC TECH'!$E:$E)="Non Dispatchable",IFERROR($AX20*_xlfn.XLOOKUP($C20,$BM$1:$BM$3,CF$1:CF$3)/SUMPRODUCT(_xlfn.XLOOKUP($C20,$BM$1:$BM$3,$BN$1:$BY$3),$BN$4:$BY$4),""),
"")</f>
        <v>0.79977242119768099</v>
      </c>
      <c r="CG20" s="8">
        <f>IF(_xlfn.XLOOKUP($B20,'ELC TECH'!$H:$H,'ELC TECH'!$E:$E)="Non Dispatchable",IFERROR($AX20*_xlfn.XLOOKUP($C20,$BM$1:$BM$3,CG$1:CG$3)/SUMPRODUCT(_xlfn.XLOOKUP($C20,$BM$1:$BM$3,$BN$1:$BY$3),$BN$4:$BY$4),""),
"")</f>
        <v>1.8532018449185946E-2</v>
      </c>
      <c r="CH20" s="8">
        <f>IF(_xlfn.XLOOKUP($B20,'ELC TECH'!$H:$H,'ELC TECH'!$E:$E)="Non Dispatchable",IFERROR($AX20*_xlfn.XLOOKUP($C20,$BM$1:$BM$3,CH$1:CH$3)/SUMPRODUCT(_xlfn.XLOOKUP($C20,$BM$1:$BM$3,$BN$1:$BY$3),$BN$4:$BY$4),""),
"")</f>
        <v>0.5646474371236343</v>
      </c>
      <c r="CI20" s="8">
        <f>IF(_xlfn.XLOOKUP($B20,'ELC TECH'!$H:$H,'ELC TECH'!$E:$E)="Non Dispatchable",IFERROR($AX20*_xlfn.XLOOKUP($C20,$BM$1:$BM$3,CI$1:CI$3)/SUMPRODUCT(_xlfn.XLOOKUP($C20,$BM$1:$BM$3,$BN$1:$BY$3),$BN$4:$BY$4),""),
"")</f>
        <v>0.62950950169578512</v>
      </c>
      <c r="CJ20" s="8">
        <f>IF(_xlfn.XLOOKUP($B20,'ELC TECH'!$H:$H,'ELC TECH'!$E:$E)="Non Dispatchable",IFERROR($AX20*_xlfn.XLOOKUP($C20,$BM$1:$BM$3,CJ$1:CJ$3)/SUMPRODUCT(_xlfn.XLOOKUP($C20,$BM$1:$BM$3,$BN$1:$BY$3),$BN$4:$BY$4),""),
"")</f>
        <v>0.72564434740093708</v>
      </c>
      <c r="CK20" s="8">
        <f>IF(_xlfn.XLOOKUP($B20,'ELC TECH'!$H:$H,'ELC TECH'!$E:$E)="Non Dispatchable",IFERROR($AX20*_xlfn.XLOOKUP($C20,$BM$1:$BM$3,CK$1:CK$3)/SUMPRODUCT(_xlfn.XLOOKUP($C20,$BM$1:$BM$3,$BN$1:$BY$3),$BN$4:$BY$4),""),
"")</f>
        <v>1.5636390566500642E-2</v>
      </c>
      <c r="CL20" s="8" t="str">
        <f>IF(_xlfn.XLOOKUP($B20,'ELC TECH'!$H:$H,'ELC TECH'!$E:$E)="Storage",CL$4*$BF20,"")</f>
        <v/>
      </c>
      <c r="CM20" s="8" t="str">
        <f>IF(_xlfn.XLOOKUP($B20,'ELC TECH'!$H:$H,'ELC TECH'!$E:$E)="Storage",CM$4*$BF20,"")</f>
        <v/>
      </c>
      <c r="CN20" s="8" t="str">
        <f>IF(_xlfn.XLOOKUP($B20,'ELC TECH'!$H:$H,'ELC TECH'!$E:$E)="Storage",CN$4*$BF20,"")</f>
        <v/>
      </c>
      <c r="CO20" s="8" t="str">
        <f>IF(_xlfn.XLOOKUP($B20,'ELC TECH'!$H:$H,'ELC TECH'!$E:$E)="Storage",CO$4*$BF20,"")</f>
        <v/>
      </c>
      <c r="CP20" s="8" t="str">
        <f>IF(_xlfn.XLOOKUP($B20,'ELC TECH'!$H:$H,'ELC TECH'!$E:$E)="Storage",CP$4*$BF20,"")</f>
        <v/>
      </c>
      <c r="CQ20" s="8" t="str">
        <f>IF(_xlfn.XLOOKUP($B20,'ELC TECH'!$H:$H,'ELC TECH'!$E:$E)="Storage",CQ$4*$BF20,"")</f>
        <v/>
      </c>
      <c r="CR20" s="8" t="str">
        <f>IF(_xlfn.XLOOKUP($B20,'ELC TECH'!$H:$H,'ELC TECH'!$E:$E)="Storage",CR$4*$BF20,"")</f>
        <v/>
      </c>
      <c r="CS20" s="8" t="str">
        <f>IF(_xlfn.XLOOKUP($B20,'ELC TECH'!$H:$H,'ELC TECH'!$E:$E)="Storage",CS$4*$BF20,"")</f>
        <v/>
      </c>
      <c r="CT20" s="8" t="str">
        <f>IF(_xlfn.XLOOKUP($B20,'ELC TECH'!$H:$H,'ELC TECH'!$E:$E)="Storage",CT$4*$BF20,"")</f>
        <v/>
      </c>
      <c r="CU20" s="8" t="str">
        <f>IF(_xlfn.XLOOKUP($B20,'ELC TECH'!$H:$H,'ELC TECH'!$E:$E)="Storage",CU$4*$BF20,"")</f>
        <v/>
      </c>
      <c r="CV20" s="8" t="str">
        <f>IF(_xlfn.XLOOKUP($B20,'ELC TECH'!$H:$H,'ELC TECH'!$E:$E)="Storage",CV$4*$BF20,"")</f>
        <v/>
      </c>
      <c r="CW20" s="8" t="str">
        <f>IF(_xlfn.XLOOKUP($B20,'ELC TECH'!$H:$H,'ELC TECH'!$E:$E)="Storage",CW$4*$BF20,"")</f>
        <v/>
      </c>
      <c r="CX20" s="8" t="str">
        <f>IF(_xlfn.XLOOKUP($B20,'ELC TECH'!$H:$H,'ELC TECH'!$E:$E)="Storage",CX$4*$BF20,"")</f>
        <v/>
      </c>
      <c r="CY20" s="8" t="str">
        <f>IF(_xlfn.XLOOKUP($B20,'ELC TECH'!$H:$H,'ELC TECH'!$E:$E)="Storage",CY$4*$BF20,"")</f>
        <v/>
      </c>
      <c r="CZ20" s="8" t="str">
        <f>IF(_xlfn.XLOOKUP($B20,'ELC TECH'!$H:$H,'ELC TECH'!$E:$E)="Storage",CZ$4*$BF20,"")</f>
        <v/>
      </c>
      <c r="DA20" s="8" t="str">
        <f>IF(_xlfn.XLOOKUP($B20,'ELC TECH'!$H:$H,'ELC TECH'!$E:$E)="Storage",DA$4*$BF20,"")</f>
        <v/>
      </c>
      <c r="DB20" s="8" t="str">
        <f>IF(_xlfn.XLOOKUP($B20,'ELC TECH'!$H:$H,'ELC TECH'!$E:$E)="Storage",DB$4*$BF20,"")</f>
        <v/>
      </c>
      <c r="DC20" s="8" t="str">
        <f>IF(_xlfn.XLOOKUP($B20,'ELC TECH'!$H:$H,'ELC TECH'!$E:$E)="Storage",DC$4*$BF20,"")</f>
        <v/>
      </c>
      <c r="DD20" s="8" t="str">
        <f>IF(_xlfn.XLOOKUP($B20,'ELC TECH'!$H:$H,'ELC TECH'!$E:$E)="Storage",DD$4*$BF20,"")</f>
        <v/>
      </c>
      <c r="DE20" s="8" t="str">
        <f>IF(_xlfn.XLOOKUP($B20,'ELC TECH'!$H:$H,'ELC TECH'!$E:$E)="Storage",DE$4*$BF20,"")</f>
        <v/>
      </c>
      <c r="DF20" s="8" t="str">
        <f>IF(_xlfn.XLOOKUP($B20,'ELC TECH'!$H:$H,'ELC TECH'!$E:$E)="Storage",DF$4*$BF20,"")</f>
        <v/>
      </c>
      <c r="DG20" s="8" t="str">
        <f>IF(_xlfn.XLOOKUP($B20,'ELC TECH'!$H:$H,'ELC TECH'!$E:$E)="Storage",DG$4*$BF20,"")</f>
        <v/>
      </c>
      <c r="DH20" s="8" t="str">
        <f>IF(_xlfn.XLOOKUP($B20,'ELC TECH'!$H:$H,'ELC TECH'!$E:$E)="Storage",DH$4*$BF20,"")</f>
        <v/>
      </c>
      <c r="DI20" s="8" t="str">
        <f>IF(_xlfn.XLOOKUP($B20,'ELC TECH'!$H:$H,'ELC TECH'!$E:$E)="Storage",DI$4*$BF20,"")</f>
        <v/>
      </c>
    </row>
    <row r="21" spans="2:113" x14ac:dyDescent="0.25">
      <c r="B21" t="str">
        <f>IF('ELC TECH'!I14=0,"*",'ELC TECH'!H14)</f>
        <v>ELCHYDGRDHNPNDC120</v>
      </c>
      <c r="C21" t="str">
        <f>IF(_xlfn.XLOOKUP(_xlfn.XLOOKUP(B21,'ELC TECH'!$H:$H,'ELC TECH'!$G:$G),List!C:C,List!B:B)="STG",D21,"ELC"&amp;_xlfn.XLOOKUP(_xlfn.XLOOKUP(B21,'ELC TECH'!H:H,'ELC TECH'!G:G),List!C:C,List!B:B))</f>
        <v>ELCHYD</v>
      </c>
      <c r="D21" t="s">
        <v>544</v>
      </c>
      <c r="E21">
        <f>_xlfn.XLOOKUP(B21,'ELC TECH'!H:H,'ELC TECH'!D:D)</f>
        <v>2020</v>
      </c>
      <c r="F21">
        <f>_xlfn.XLOOKUP(B21,'ELC TECH'!H:H,'ELC TECH'!K:K)</f>
        <v>100</v>
      </c>
      <c r="G21">
        <f t="shared" si="4"/>
        <v>31.535999999999998</v>
      </c>
      <c r="H21">
        <f>IF(_xlfn.XLOOKUP(B21,'ELC TECH'!$H:$H,'ELC TECH'!$E:$E)="Storage",0.3,IF(_xlfn.XLOOKUP(B21,'ELC TECH'!$H:$H,'ELC TECH'!$E:$E)="Baseload",0.9,IF(_xlfn.XLOOKUP(B21,'ELC TECH'!$H:$H,'ELC TECH'!$E:$E)="Non Dispatchable",0.05,IF(_xlfn.XLOOKUP(B21,'ELC TECH'!$H:$H,'ELC TECH'!$E:$E)="Dispatchable",0.9,1))))</f>
        <v>0.05</v>
      </c>
      <c r="I21" s="13">
        <f>IF(_xlfn.XLOOKUP(B21,'ELC TECH'!H:H,'ELC TECH'!J:J)="","",_xlfn.XLOOKUP(B21,'ELC TECH'!H:H,'ELC TECH'!J:J))</f>
        <v>0</v>
      </c>
      <c r="J21" s="12">
        <f>IF(_xlfn.XLOOKUP($B21,'ELC TECH'!$H:$H,'ELC TECH'!$E:$E)="Storage","",IF(_xlfn.XLOOKUP($B21,'ELC TECH'!$H:$H,'ELC TECH'!AK:AK)="",1,_xlfn.XLOOKUP($B21,'ELC TECH'!$H:$H,'ELC TECH'!AK:AK)))</f>
        <v>1</v>
      </c>
      <c r="K21" s="12">
        <f>IF(_xlfn.XLOOKUP($B21,'ELC TECH'!$H:$H,'ELC TECH'!$E:$E)="Storage","",IF(_xlfn.XLOOKUP($B21,'ELC TECH'!$H:$H,'ELC TECH'!AL:AL)="",1,_xlfn.XLOOKUP($B21,'ELC TECH'!$H:$H,'ELC TECH'!AL:AL)))</f>
        <v>1</v>
      </c>
      <c r="L21" s="12">
        <f>IF(_xlfn.XLOOKUP($B21,'ELC TECH'!$H:$H,'ELC TECH'!$E:$E)="Storage","",IF(_xlfn.XLOOKUP($B21,'ELC TECH'!$H:$H,'ELC TECH'!AM:AM)="",1,_xlfn.XLOOKUP($B21,'ELC TECH'!$H:$H,'ELC TECH'!AM:AM)))</f>
        <v>1</v>
      </c>
      <c r="M21" s="12">
        <f>IF(_xlfn.XLOOKUP($B21,'ELC TECH'!$H:$H,'ELC TECH'!$E:$E)="Storage","",IF(_xlfn.XLOOKUP($B21,'ELC TECH'!$H:$H,'ELC TECH'!AN:AN)="",1,_xlfn.XLOOKUP($B21,'ELC TECH'!$H:$H,'ELC TECH'!AN:AN)))</f>
        <v>1</v>
      </c>
      <c r="N21" s="12">
        <f>IF(_xlfn.XLOOKUP($B21,'ELC TECH'!$H:$H,'ELC TECH'!$E:$E)="Storage","",IF(_xlfn.XLOOKUP($B21,'ELC TECH'!$H:$H,'ELC TECH'!AO:AO)="",1,_xlfn.XLOOKUP($B21,'ELC TECH'!$H:$H,'ELC TECH'!AO:AO)))</f>
        <v>1</v>
      </c>
      <c r="O21" s="12">
        <f>IF(_xlfn.XLOOKUP($B21,'ELC TECH'!$H:$H,'ELC TECH'!$E:$E)="Storage","",IF(_xlfn.XLOOKUP($B21,'ELC TECH'!$H:$H,'ELC TECH'!AP:AP)="",1,_xlfn.XLOOKUP($B21,'ELC TECH'!$H:$H,'ELC TECH'!AP:AP)))</f>
        <v>1</v>
      </c>
      <c r="P21" s="12">
        <f>IF(_xlfn.XLOOKUP($B21,'ELC TECH'!$H:$H,'ELC TECH'!$E:$E)="Storage","",IF(_xlfn.XLOOKUP($B21,'ELC TECH'!$H:$H,'ELC TECH'!AQ:AQ)="",1,_xlfn.XLOOKUP($B21,'ELC TECH'!$H:$H,'ELC TECH'!AQ:AQ)))</f>
        <v>1</v>
      </c>
      <c r="Q21" s="12">
        <f>IF(_xlfn.XLOOKUP($B21,'ELC TECH'!$H:$H,'ELC TECH'!$E:$E)="Storage","",IF(_xlfn.XLOOKUP($B21,'ELC TECH'!$H:$H,'ELC TECH'!AR:AR)="",1,_xlfn.XLOOKUP($B21,'ELC TECH'!$H:$H,'ELC TECH'!AR:AR)))</f>
        <v>1</v>
      </c>
      <c r="R21" s="12" t="str">
        <f>IF(_xlfn.XLOOKUP($B21,'ELC TECH'!$H:$H,'ELC TECH'!$E:$E)&lt;&gt;"Storage","",IF(_xlfn.XLOOKUP($B21,'ELC TECH'!$H:$H,'ELC TECH'!AK:AK)="",0.8,_xlfn.XLOOKUP($B21,'ELC TECH'!$H:$H,'ELC TECH'!AK:AK)))</f>
        <v/>
      </c>
      <c r="S21" s="12" t="str">
        <f>IF(_xlfn.XLOOKUP($B21,'ELC TECH'!$H:$H,'ELC TECH'!$E:$E)&lt;&gt;"Storage","",IF(_xlfn.XLOOKUP($B21,'ELC TECH'!$H:$H,'ELC TECH'!AL:AL)="",0.8,_xlfn.XLOOKUP($B21,'ELC TECH'!$H:$H,'ELC TECH'!AL:AL)))</f>
        <v/>
      </c>
      <c r="T21" s="12" t="str">
        <f>IF(_xlfn.XLOOKUP($B21,'ELC TECH'!$H:$H,'ELC TECH'!$E:$E)&lt;&gt;"Storage","",IF(_xlfn.XLOOKUP($B21,'ELC TECH'!$H:$H,'ELC TECH'!AM:AM)="",0.8,_xlfn.XLOOKUP($B21,'ELC TECH'!$H:$H,'ELC TECH'!AM:AM)))</f>
        <v/>
      </c>
      <c r="U21" s="12" t="str">
        <f>IF(_xlfn.XLOOKUP($B21,'ELC TECH'!$H:$H,'ELC TECH'!$E:$E)&lt;&gt;"Storage","",IF(_xlfn.XLOOKUP($B21,'ELC TECH'!$H:$H,'ELC TECH'!AN:AN)="",0.8,_xlfn.XLOOKUP($B21,'ELC TECH'!$H:$H,'ELC TECH'!AN:AN)))</f>
        <v/>
      </c>
      <c r="V21" s="12" t="str">
        <f>IF(_xlfn.XLOOKUP($B21,'ELC TECH'!$H:$H,'ELC TECH'!$E:$E)&lt;&gt;"Storage","",IF(_xlfn.XLOOKUP($B21,'ELC TECH'!$H:$H,'ELC TECH'!AO:AO)="",0.8,_xlfn.XLOOKUP($B21,'ELC TECH'!$H:$H,'ELC TECH'!AO:AO)))</f>
        <v/>
      </c>
      <c r="W21" s="12" t="str">
        <f>IF(_xlfn.XLOOKUP($B21,'ELC TECH'!$H:$H,'ELC TECH'!$E:$E)&lt;&gt;"Storage","",IF(_xlfn.XLOOKUP($B21,'ELC TECH'!$H:$H,'ELC TECH'!AP:AP)="",0.8,_xlfn.XLOOKUP($B21,'ELC TECH'!$H:$H,'ELC TECH'!AP:AP)))</f>
        <v/>
      </c>
      <c r="X21" s="12" t="str">
        <f>IF(_xlfn.XLOOKUP($B21,'ELC TECH'!$H:$H,'ELC TECH'!$E:$E)&lt;&gt;"Storage","",IF(_xlfn.XLOOKUP($B21,'ELC TECH'!$H:$H,'ELC TECH'!AQ:AQ)="",0.8,_xlfn.XLOOKUP($B21,'ELC TECH'!$H:$H,'ELC TECH'!AQ:AQ)))</f>
        <v/>
      </c>
      <c r="Y21" s="12" t="str">
        <f>IF(_xlfn.XLOOKUP($B21,'ELC TECH'!$H:$H,'ELC TECH'!$E:$E)&lt;&gt;"Storage","",IF(_xlfn.XLOOKUP($B21,'ELC TECH'!$H:$H,'ELC TECH'!AR:AR)="",0.8,_xlfn.XLOOKUP($B21,'ELC TECH'!$H:$H,'ELC TECH'!AR:AR)))</f>
        <v/>
      </c>
      <c r="Z21" s="15">
        <f>_xlfn.XLOOKUP($B21,'ELC TECH'!$H:$H,'ELC TECH'!M:M)</f>
        <v>3188.760653681225</v>
      </c>
      <c r="AA21" s="15">
        <f>_xlfn.XLOOKUP($B21,'ELC TECH'!$H:$H,'ELC TECH'!N:N)</f>
        <v>3188.760653681225</v>
      </c>
      <c r="AB21" s="15">
        <f>_xlfn.XLOOKUP($B21,'ELC TECH'!$H:$H,'ELC TECH'!O:O)</f>
        <v>3188.760653681225</v>
      </c>
      <c r="AC21" s="15">
        <f>_xlfn.XLOOKUP($B21,'ELC TECH'!$H:$H,'ELC TECH'!P:P)</f>
        <v>3188.760653681225</v>
      </c>
      <c r="AD21" s="15">
        <f>_xlfn.XLOOKUP($B21,'ELC TECH'!$H:$H,'ELC TECH'!Q:Q)</f>
        <v>3060.9840742961269</v>
      </c>
      <c r="AE21" s="15">
        <f>_xlfn.XLOOKUP($B21,'ELC TECH'!$H:$H,'ELC TECH'!R:R)</f>
        <v>3060.9840742961269</v>
      </c>
      <c r="AF21" s="15">
        <f>_xlfn.XLOOKUP($B21,'ELC TECH'!$H:$H,'ELC TECH'!S:S)</f>
        <v>3060.9840742961269</v>
      </c>
      <c r="AG21" s="15">
        <f>_xlfn.XLOOKUP($B21,'ELC TECH'!$H:$H,'ELC TECH'!T:T)</f>
        <v>3060.9840742961269</v>
      </c>
      <c r="AH21" s="15">
        <f>_xlfn.XLOOKUP($B21,'ELC TECH'!$H:$H,'ELC TECH'!U:U)</f>
        <v>96.115126086136229</v>
      </c>
      <c r="AI21" s="15">
        <f>_xlfn.XLOOKUP($B21,'ELC TECH'!$H:$H,'ELC TECH'!V:V)</f>
        <v>96.115126086136229</v>
      </c>
      <c r="AJ21" s="15">
        <f>_xlfn.XLOOKUP($B21,'ELC TECH'!$H:$H,'ELC TECH'!W:W)</f>
        <v>96.115126086136229</v>
      </c>
      <c r="AK21" s="15">
        <f>_xlfn.XLOOKUP($B21,'ELC TECH'!$H:$H,'ELC TECH'!X:X)</f>
        <v>96.115126086136229</v>
      </c>
      <c r="AL21" s="15">
        <f>_xlfn.XLOOKUP($B21,'ELC TECH'!$H:$H,'ELC TECH'!Y:Y)</f>
        <v>92.722827518390247</v>
      </c>
      <c r="AM21" s="15">
        <f>_xlfn.XLOOKUP($B21,'ELC TECH'!$H:$H,'ELC TECH'!Z:Z)</f>
        <v>92.722827518390247</v>
      </c>
      <c r="AN21" s="15">
        <f>_xlfn.XLOOKUP($B21,'ELC TECH'!$H:$H,'ELC TECH'!AA:AA)</f>
        <v>92.722827518390247</v>
      </c>
      <c r="AO21" s="15">
        <f>_xlfn.XLOOKUP($B21,'ELC TECH'!$H:$H,'ELC TECH'!AB:AB)</f>
        <v>92.722827518390247</v>
      </c>
      <c r="AP21" s="15">
        <f>_xlfn.XLOOKUP($B21,'ELC TECH'!$H:$H,'ELC TECH'!AC:AC)</f>
        <v>0</v>
      </c>
      <c r="AQ21" s="15">
        <f>_xlfn.XLOOKUP($B21,'ELC TECH'!$H:$H,'ELC TECH'!AD:AD)</f>
        <v>0</v>
      </c>
      <c r="AR21" s="15">
        <f>_xlfn.XLOOKUP($B21,'ELC TECH'!$H:$H,'ELC TECH'!AE:AE)</f>
        <v>0</v>
      </c>
      <c r="AS21" s="15">
        <f>_xlfn.XLOOKUP($B21,'ELC TECH'!$H:$H,'ELC TECH'!AF:AF)</f>
        <v>0</v>
      </c>
      <c r="AT21" s="15">
        <f>_xlfn.XLOOKUP($B21,'ELC TECH'!$H:$H,'ELC TECH'!AG:AG)</f>
        <v>0</v>
      </c>
      <c r="AU21" s="15">
        <f>_xlfn.XLOOKUP($B21,'ELC TECH'!$H:$H,'ELC TECH'!AH:AH)</f>
        <v>0</v>
      </c>
      <c r="AV21" s="15">
        <f>_xlfn.XLOOKUP($B21,'ELC TECH'!$H:$H,'ELC TECH'!AI:AI)</f>
        <v>0</v>
      </c>
      <c r="AW21" s="15">
        <f>_xlfn.XLOOKUP($B21,'ELC TECH'!$H:$H,'ELC TECH'!AJ:AJ)</f>
        <v>0</v>
      </c>
      <c r="AX21" s="12">
        <f>IF(_xlfn.XLOOKUP($B21,'ELC TECH'!$H:$H,'ELC TECH'!$E:$E)="Storage","",_xlfn.XLOOKUP($B21,'ELC TECH'!$H:$H,'ELC TECH'!AS:AS))</f>
        <v>0.33</v>
      </c>
      <c r="AY21" s="12">
        <f>IF(_xlfn.XLOOKUP($B21,'ELC TECH'!$H:$H,'ELC TECH'!$E:$E)="Storage","",_xlfn.XLOOKUP($B21,'ELC TECH'!$H:$H,'ELC TECH'!AT:AT))</f>
        <v>0.33</v>
      </c>
      <c r="AZ21" s="12">
        <f>IF(_xlfn.XLOOKUP($B21,'ELC TECH'!$H:$H,'ELC TECH'!$E:$E)="Storage","",_xlfn.XLOOKUP($B21,'ELC TECH'!$H:$H,'ELC TECH'!AU:AU))</f>
        <v>0.33</v>
      </c>
      <c r="BA21" s="12">
        <f>IF(_xlfn.XLOOKUP($B21,'ELC TECH'!$H:$H,'ELC TECH'!$E:$E)="Storage","",_xlfn.XLOOKUP($B21,'ELC TECH'!$H:$H,'ELC TECH'!AV:AV))</f>
        <v>0.33</v>
      </c>
      <c r="BB21" s="12">
        <f>IF(_xlfn.XLOOKUP($B21,'ELC TECH'!$H:$H,'ELC TECH'!$E:$E)="Storage","",_xlfn.XLOOKUP($B21,'ELC TECH'!$H:$H,'ELC TECH'!AW:AW))</f>
        <v>0.33</v>
      </c>
      <c r="BC21" s="12">
        <f>IF(_xlfn.XLOOKUP($B21,'ELC TECH'!$H:$H,'ELC TECH'!$E:$E)="Storage","",_xlfn.XLOOKUP($B21,'ELC TECH'!$H:$H,'ELC TECH'!AX:AX))</f>
        <v>0.33</v>
      </c>
      <c r="BD21" s="12">
        <f>IF(_xlfn.XLOOKUP($B21,'ELC TECH'!$H:$H,'ELC TECH'!$E:$E)="Storage","",_xlfn.XLOOKUP($B21,'ELC TECH'!$H:$H,'ELC TECH'!AY:AY))</f>
        <v>0.33</v>
      </c>
      <c r="BE21" s="12">
        <f>IF(_xlfn.XLOOKUP($B21,'ELC TECH'!$H:$H,'ELC TECH'!$E:$E)="Storage","",_xlfn.XLOOKUP($B21,'ELC TECH'!$H:$H,'ELC TECH'!AZ:AZ))</f>
        <v>0.33</v>
      </c>
      <c r="BF21" s="12" t="str">
        <f>IF(_xlfn.XLOOKUP($B21,'ELC TECH'!$H:$H,'ELC TECH'!$E:$E)="Storage",_xlfn.XLOOKUP($B21,'ELC TECH'!$H:$H,'ELC TECH'!AS:AS),"")</f>
        <v/>
      </c>
      <c r="BG21" s="12" t="str">
        <f>IF(_xlfn.XLOOKUP($B21,'ELC TECH'!$H:$H,'ELC TECH'!$E:$E)="Storage",_xlfn.XLOOKUP($B21,'ELC TECH'!$H:$H,'ELC TECH'!AT:AT),"")</f>
        <v/>
      </c>
      <c r="BH21" s="12" t="str">
        <f>IF(_xlfn.XLOOKUP($B21,'ELC TECH'!$H:$H,'ELC TECH'!$E:$E)="Storage",_xlfn.XLOOKUP($B21,'ELC TECH'!$H:$H,'ELC TECH'!AU:AU),"")</f>
        <v/>
      </c>
      <c r="BI21" s="12" t="str">
        <f>IF(_xlfn.XLOOKUP($B21,'ELC TECH'!$H:$H,'ELC TECH'!$E:$E)="Storage",_xlfn.XLOOKUP($B21,'ELC TECH'!$H:$H,'ELC TECH'!AV:AV),"")</f>
        <v/>
      </c>
      <c r="BJ21" s="12" t="str">
        <f>IF(_xlfn.XLOOKUP($B21,'ELC TECH'!$H:$H,'ELC TECH'!$E:$E)="Storage",_xlfn.XLOOKUP($B21,'ELC TECH'!$H:$H,'ELC TECH'!AW:AW),"")</f>
        <v/>
      </c>
      <c r="BK21" s="12" t="str">
        <f>IF(_xlfn.XLOOKUP($B21,'ELC TECH'!$H:$H,'ELC TECH'!$E:$E)="Storage",_xlfn.XLOOKUP($B21,'ELC TECH'!$H:$H,'ELC TECH'!AX:AX),"")</f>
        <v/>
      </c>
      <c r="BL21" s="12" t="str">
        <f>IF(_xlfn.XLOOKUP($B21,'ELC TECH'!$H:$H,'ELC TECH'!$E:$E)="Storage",_xlfn.XLOOKUP($B21,'ELC TECH'!$H:$H,'ELC TECH'!AY:AY),"")</f>
        <v/>
      </c>
      <c r="BM21" s="12" t="str">
        <f>IF(_xlfn.XLOOKUP($B21,'ELC TECH'!$H:$H,'ELC TECH'!$E:$E)="Storage",_xlfn.XLOOKUP($B21,'ELC TECH'!$H:$H,'ELC TECH'!AZ:AZ),"")</f>
        <v/>
      </c>
      <c r="BN21" s="8">
        <f>IF(_xlfn.XLOOKUP($B21,'ELC TECH'!$H:$H,'ELC TECH'!$E:$E)="Non Dispatchable",IFERROR($AX21*_xlfn.XLOOKUP($C21,$BM$1:$BM$3,BN$1:BN$3)/SUMPRODUCT(_xlfn.XLOOKUP($C21,$BM$1:$BM$3,$BN$1:$BY$3),$BN$4:$BY$4),""),
"")</f>
        <v>0.23802061195673199</v>
      </c>
      <c r="BO21" s="8">
        <f>IF(_xlfn.XLOOKUP($B21,'ELC TECH'!$H:$H,'ELC TECH'!$E:$E)="Non Dispatchable",IFERROR($AX21*_xlfn.XLOOKUP($C21,$BM$1:$BM$3,BO$1:BO$3)/SUMPRODUCT(_xlfn.XLOOKUP($C21,$BM$1:$BM$3,$BN$1:$BY$3),$BN$4:$BY$4),""),
"")</f>
        <v>0.27711158837298355</v>
      </c>
      <c r="BP21" s="8">
        <f>IF(_xlfn.XLOOKUP($B21,'ELC TECH'!$H:$H,'ELC TECH'!$E:$E)="Non Dispatchable",IFERROR($AX21*_xlfn.XLOOKUP($C21,$BM$1:$BM$3,BP$1:BP$3)/SUMPRODUCT(_xlfn.XLOOKUP($C21,$BM$1:$BM$3,$BN$1:$BY$3),$BN$4:$BY$4),""),
"")</f>
        <v>0.44361019162738857</v>
      </c>
      <c r="BQ21" s="8">
        <f>IF(_xlfn.XLOOKUP($B21,'ELC TECH'!$H:$H,'ELC TECH'!$E:$E)="Non Dispatchable",IFERROR($AX21*_xlfn.XLOOKUP($C21,$BM$1:$BM$3,BQ$1:BQ$3)/SUMPRODUCT(_xlfn.XLOOKUP($C21,$BM$1:$BM$3,$BN$1:$BY$3),$BN$4:$BY$4),""),
"")</f>
        <v>9.2660092245929731E-3</v>
      </c>
      <c r="BR21" s="8">
        <f>IF(_xlfn.XLOOKUP($B21,'ELC TECH'!$H:$H,'ELC TECH'!$E:$E)="Non Dispatchable",IFERROR($AX21*_xlfn.XLOOKUP($C21,$BM$1:$BM$3,BR$1:BR$3)/SUMPRODUCT(_xlfn.XLOOKUP($C21,$BM$1:$BM$3,$BN$1:$BY$3),$BN$4:$BY$4),""),
"")</f>
        <v>0.2359936724388523</v>
      </c>
      <c r="BS21" s="8">
        <f>IF(_xlfn.XLOOKUP($B21,'ELC TECH'!$H:$H,'ELC TECH'!$E:$E)="Non Dispatchable",IFERROR($AX21*_xlfn.XLOOKUP($C21,$BM$1:$BM$3,BS$1:BS$3)/SUMPRODUCT(_xlfn.XLOOKUP($C21,$BM$1:$BM$3,$BN$1:$BY$3),$BN$4:$BY$4),""),
"")</f>
        <v>0.31475475084789256</v>
      </c>
      <c r="BT21" s="8">
        <f>IF(_xlfn.XLOOKUP($B21,'ELC TECH'!$H:$H,'ELC TECH'!$E:$E)="Non Dispatchable",IFERROR($AX21*_xlfn.XLOOKUP($C21,$BM$1:$BM$3,BT$1:BT$3)/SUMPRODUCT(_xlfn.XLOOKUP($C21,$BM$1:$BM$3,$BN$1:$BY$3),$BN$4:$BY$4),""),
"")</f>
        <v>0.3998862105988405</v>
      </c>
      <c r="BU21" s="8">
        <f>IF(_xlfn.XLOOKUP($B21,'ELC TECH'!$H:$H,'ELC TECH'!$E:$E)="Non Dispatchable",IFERROR($AX21*_xlfn.XLOOKUP($C21,$BM$1:$BM$3,BU$1:BU$3)/SUMPRODUCT(_xlfn.XLOOKUP($C21,$BM$1:$BM$3,$BN$1:$BY$3),$BN$4:$BY$4),""),
"")</f>
        <v>9.2660092245929731E-3</v>
      </c>
      <c r="BV21" s="8">
        <f>IF(_xlfn.XLOOKUP($B21,'ELC TECH'!$H:$H,'ELC TECH'!$E:$E)="Non Dispatchable",IFERROR($AX21*_xlfn.XLOOKUP($C21,$BM$1:$BM$3,BV$1:BV$3)/SUMPRODUCT(_xlfn.XLOOKUP($C21,$BM$1:$BM$3,$BN$1:$BY$3),$BN$4:$BY$4),""),
"")</f>
        <v>0.28232371856181715</v>
      </c>
      <c r="BW21" s="8">
        <f>IF(_xlfn.XLOOKUP($B21,'ELC TECH'!$H:$H,'ELC TECH'!$E:$E)="Non Dispatchable",IFERROR($AX21*_xlfn.XLOOKUP($C21,$BM$1:$BM$3,BW$1:BW$3)/SUMPRODUCT(_xlfn.XLOOKUP($C21,$BM$1:$BM$3,$BN$1:$BY$3),$BN$4:$BY$4),""),
"")</f>
        <v>0.31475475084789256</v>
      </c>
      <c r="BX21" s="8">
        <f>IF(_xlfn.XLOOKUP($B21,'ELC TECH'!$H:$H,'ELC TECH'!$E:$E)="Non Dispatchable",IFERROR($AX21*_xlfn.XLOOKUP($C21,$BM$1:$BM$3,BX$1:BX$3)/SUMPRODUCT(_xlfn.XLOOKUP($C21,$BM$1:$BM$3,$BN$1:$BY$3),$BN$4:$BY$4),""),
"")</f>
        <v>0.36282217370046854</v>
      </c>
      <c r="BY21" s="8">
        <f>IF(_xlfn.XLOOKUP($B21,'ELC TECH'!$H:$H,'ELC TECH'!$E:$E)="Non Dispatchable",IFERROR($AX21*_xlfn.XLOOKUP($C21,$BM$1:$BM$3,BY$1:BY$3)/SUMPRODUCT(_xlfn.XLOOKUP($C21,$BM$1:$BM$3,$BN$1:$BY$3),$BN$4:$BY$4),""),
"")</f>
        <v>7.8181952832503208E-3</v>
      </c>
      <c r="BZ21" s="8">
        <f>IF(_xlfn.XLOOKUP($B21,'ELC TECH'!$H:$H,'ELC TECH'!$E:$E)="Non Dispatchable",IFERROR($AX21*_xlfn.XLOOKUP($C21,$BM$1:$BM$3,BZ$1:BZ$3)/SUMPRODUCT(_xlfn.XLOOKUP($C21,$BM$1:$BM$3,$BN$1:$BY$3),$BN$4:$BY$4),""),
"")</f>
        <v>0.23802061195673199</v>
      </c>
      <c r="CA21" s="8">
        <f>IF(_xlfn.XLOOKUP($B21,'ELC TECH'!$H:$H,'ELC TECH'!$E:$E)="Non Dispatchable",IFERROR($AX21*_xlfn.XLOOKUP($C21,$BM$1:$BM$3,CA$1:CA$3)/SUMPRODUCT(_xlfn.XLOOKUP($C21,$BM$1:$BM$3,$BN$1:$BY$3),$BN$4:$BY$4),""),
"")</f>
        <v>0.27711158837298355</v>
      </c>
      <c r="CB21" s="8">
        <f>IF(_xlfn.XLOOKUP($B21,'ELC TECH'!$H:$H,'ELC TECH'!$E:$E)="Non Dispatchable",IFERROR($AX21*_xlfn.XLOOKUP($C21,$BM$1:$BM$3,CB$1:CB$3)/SUMPRODUCT(_xlfn.XLOOKUP($C21,$BM$1:$BM$3,$BN$1:$BY$3),$BN$4:$BY$4),""),
"")</f>
        <v>0.44361019162738857</v>
      </c>
      <c r="CC21" s="8">
        <f>IF(_xlfn.XLOOKUP($B21,'ELC TECH'!$H:$H,'ELC TECH'!$E:$E)="Non Dispatchable",IFERROR($AX21*_xlfn.XLOOKUP($C21,$BM$1:$BM$3,CC$1:CC$3)/SUMPRODUCT(_xlfn.XLOOKUP($C21,$BM$1:$BM$3,$BN$1:$BY$3),$BN$4:$BY$4),""),
"")</f>
        <v>9.2660092245929731E-3</v>
      </c>
      <c r="CD21" s="8">
        <f>IF(_xlfn.XLOOKUP($B21,'ELC TECH'!$H:$H,'ELC TECH'!$E:$E)="Non Dispatchable",IFERROR($AX21*_xlfn.XLOOKUP($C21,$BM$1:$BM$3,CD$1:CD$3)/SUMPRODUCT(_xlfn.XLOOKUP($C21,$BM$1:$BM$3,$BN$1:$BY$3),$BN$4:$BY$4),""),
"")</f>
        <v>0.2359936724388523</v>
      </c>
      <c r="CE21" s="8">
        <f>IF(_xlfn.XLOOKUP($B21,'ELC TECH'!$H:$H,'ELC TECH'!$E:$E)="Non Dispatchable",IFERROR($AX21*_xlfn.XLOOKUP($C21,$BM$1:$BM$3,CE$1:CE$3)/SUMPRODUCT(_xlfn.XLOOKUP($C21,$BM$1:$BM$3,$BN$1:$BY$3),$BN$4:$BY$4),""),
"")</f>
        <v>0.31475475084789256</v>
      </c>
      <c r="CF21" s="8">
        <f>IF(_xlfn.XLOOKUP($B21,'ELC TECH'!$H:$H,'ELC TECH'!$E:$E)="Non Dispatchable",IFERROR($AX21*_xlfn.XLOOKUP($C21,$BM$1:$BM$3,CF$1:CF$3)/SUMPRODUCT(_xlfn.XLOOKUP($C21,$BM$1:$BM$3,$BN$1:$BY$3),$BN$4:$BY$4),""),
"")</f>
        <v>0.3998862105988405</v>
      </c>
      <c r="CG21" s="8">
        <f>IF(_xlfn.XLOOKUP($B21,'ELC TECH'!$H:$H,'ELC TECH'!$E:$E)="Non Dispatchable",IFERROR($AX21*_xlfn.XLOOKUP($C21,$BM$1:$BM$3,CG$1:CG$3)/SUMPRODUCT(_xlfn.XLOOKUP($C21,$BM$1:$BM$3,$BN$1:$BY$3),$BN$4:$BY$4),""),
"")</f>
        <v>9.2660092245929731E-3</v>
      </c>
      <c r="CH21" s="8">
        <f>IF(_xlfn.XLOOKUP($B21,'ELC TECH'!$H:$H,'ELC TECH'!$E:$E)="Non Dispatchable",IFERROR($AX21*_xlfn.XLOOKUP($C21,$BM$1:$BM$3,CH$1:CH$3)/SUMPRODUCT(_xlfn.XLOOKUP($C21,$BM$1:$BM$3,$BN$1:$BY$3),$BN$4:$BY$4),""),
"")</f>
        <v>0.28232371856181715</v>
      </c>
      <c r="CI21" s="8">
        <f>IF(_xlfn.XLOOKUP($B21,'ELC TECH'!$H:$H,'ELC TECH'!$E:$E)="Non Dispatchable",IFERROR($AX21*_xlfn.XLOOKUP($C21,$BM$1:$BM$3,CI$1:CI$3)/SUMPRODUCT(_xlfn.XLOOKUP($C21,$BM$1:$BM$3,$BN$1:$BY$3),$BN$4:$BY$4),""),
"")</f>
        <v>0.31475475084789256</v>
      </c>
      <c r="CJ21" s="8">
        <f>IF(_xlfn.XLOOKUP($B21,'ELC TECH'!$H:$H,'ELC TECH'!$E:$E)="Non Dispatchable",IFERROR($AX21*_xlfn.XLOOKUP($C21,$BM$1:$BM$3,CJ$1:CJ$3)/SUMPRODUCT(_xlfn.XLOOKUP($C21,$BM$1:$BM$3,$BN$1:$BY$3),$BN$4:$BY$4),""),
"")</f>
        <v>0.36282217370046854</v>
      </c>
      <c r="CK21" s="8">
        <f>IF(_xlfn.XLOOKUP($B21,'ELC TECH'!$H:$H,'ELC TECH'!$E:$E)="Non Dispatchable",IFERROR($AX21*_xlfn.XLOOKUP($C21,$BM$1:$BM$3,CK$1:CK$3)/SUMPRODUCT(_xlfn.XLOOKUP($C21,$BM$1:$BM$3,$BN$1:$BY$3),$BN$4:$BY$4),""),
"")</f>
        <v>7.8181952832503208E-3</v>
      </c>
      <c r="CL21" s="8" t="str">
        <f>IF(_xlfn.XLOOKUP($B21,'ELC TECH'!$H:$H,'ELC TECH'!$E:$E)="Storage",CL$4*$BF21,"")</f>
        <v/>
      </c>
      <c r="CM21" s="8" t="str">
        <f>IF(_xlfn.XLOOKUP($B21,'ELC TECH'!$H:$H,'ELC TECH'!$E:$E)="Storage",CM$4*$BF21,"")</f>
        <v/>
      </c>
      <c r="CN21" s="8" t="str">
        <f>IF(_xlfn.XLOOKUP($B21,'ELC TECH'!$H:$H,'ELC TECH'!$E:$E)="Storage",CN$4*$BF21,"")</f>
        <v/>
      </c>
      <c r="CO21" s="8" t="str">
        <f>IF(_xlfn.XLOOKUP($B21,'ELC TECH'!$H:$H,'ELC TECH'!$E:$E)="Storage",CO$4*$BF21,"")</f>
        <v/>
      </c>
      <c r="CP21" s="8" t="str">
        <f>IF(_xlfn.XLOOKUP($B21,'ELC TECH'!$H:$H,'ELC TECH'!$E:$E)="Storage",CP$4*$BF21,"")</f>
        <v/>
      </c>
      <c r="CQ21" s="8" t="str">
        <f>IF(_xlfn.XLOOKUP($B21,'ELC TECH'!$H:$H,'ELC TECH'!$E:$E)="Storage",CQ$4*$BF21,"")</f>
        <v/>
      </c>
      <c r="CR21" s="8" t="str">
        <f>IF(_xlfn.XLOOKUP($B21,'ELC TECH'!$H:$H,'ELC TECH'!$E:$E)="Storage",CR$4*$BF21,"")</f>
        <v/>
      </c>
      <c r="CS21" s="8" t="str">
        <f>IF(_xlfn.XLOOKUP($B21,'ELC TECH'!$H:$H,'ELC TECH'!$E:$E)="Storage",CS$4*$BF21,"")</f>
        <v/>
      </c>
      <c r="CT21" s="8" t="str">
        <f>IF(_xlfn.XLOOKUP($B21,'ELC TECH'!$H:$H,'ELC TECH'!$E:$E)="Storage",CT$4*$BF21,"")</f>
        <v/>
      </c>
      <c r="CU21" s="8" t="str">
        <f>IF(_xlfn.XLOOKUP($B21,'ELC TECH'!$H:$H,'ELC TECH'!$E:$E)="Storage",CU$4*$BF21,"")</f>
        <v/>
      </c>
      <c r="CV21" s="8" t="str">
        <f>IF(_xlfn.XLOOKUP($B21,'ELC TECH'!$H:$H,'ELC TECH'!$E:$E)="Storage",CV$4*$BF21,"")</f>
        <v/>
      </c>
      <c r="CW21" s="8" t="str">
        <f>IF(_xlfn.XLOOKUP($B21,'ELC TECH'!$H:$H,'ELC TECH'!$E:$E)="Storage",CW$4*$BF21,"")</f>
        <v/>
      </c>
      <c r="CX21" s="8" t="str">
        <f>IF(_xlfn.XLOOKUP($B21,'ELC TECH'!$H:$H,'ELC TECH'!$E:$E)="Storage",CX$4*$BF21,"")</f>
        <v/>
      </c>
      <c r="CY21" s="8" t="str">
        <f>IF(_xlfn.XLOOKUP($B21,'ELC TECH'!$H:$H,'ELC TECH'!$E:$E)="Storage",CY$4*$BF21,"")</f>
        <v/>
      </c>
      <c r="CZ21" s="8" t="str">
        <f>IF(_xlfn.XLOOKUP($B21,'ELC TECH'!$H:$H,'ELC TECH'!$E:$E)="Storage",CZ$4*$BF21,"")</f>
        <v/>
      </c>
      <c r="DA21" s="8" t="str">
        <f>IF(_xlfn.XLOOKUP($B21,'ELC TECH'!$H:$H,'ELC TECH'!$E:$E)="Storage",DA$4*$BF21,"")</f>
        <v/>
      </c>
      <c r="DB21" s="8" t="str">
        <f>IF(_xlfn.XLOOKUP($B21,'ELC TECH'!$H:$H,'ELC TECH'!$E:$E)="Storage",DB$4*$BF21,"")</f>
        <v/>
      </c>
      <c r="DC21" s="8" t="str">
        <f>IF(_xlfn.XLOOKUP($B21,'ELC TECH'!$H:$H,'ELC TECH'!$E:$E)="Storage",DC$4*$BF21,"")</f>
        <v/>
      </c>
      <c r="DD21" s="8" t="str">
        <f>IF(_xlfn.XLOOKUP($B21,'ELC TECH'!$H:$H,'ELC TECH'!$E:$E)="Storage",DD$4*$BF21,"")</f>
        <v/>
      </c>
      <c r="DE21" s="8" t="str">
        <f>IF(_xlfn.XLOOKUP($B21,'ELC TECH'!$H:$H,'ELC TECH'!$E:$E)="Storage",DE$4*$BF21,"")</f>
        <v/>
      </c>
      <c r="DF21" s="8" t="str">
        <f>IF(_xlfn.XLOOKUP($B21,'ELC TECH'!$H:$H,'ELC TECH'!$E:$E)="Storage",DF$4*$BF21,"")</f>
        <v/>
      </c>
      <c r="DG21" s="8" t="str">
        <f>IF(_xlfn.XLOOKUP($B21,'ELC TECH'!$H:$H,'ELC TECH'!$E:$E)="Storage",DG$4*$BF21,"")</f>
        <v/>
      </c>
      <c r="DH21" s="8" t="str">
        <f>IF(_xlfn.XLOOKUP($B21,'ELC TECH'!$H:$H,'ELC TECH'!$E:$E)="Storage",DH$4*$BF21,"")</f>
        <v/>
      </c>
      <c r="DI21" s="8" t="str">
        <f>IF(_xlfn.XLOOKUP($B21,'ELC TECH'!$H:$H,'ELC TECH'!$E:$E)="Storage",DI$4*$BF21,"")</f>
        <v/>
      </c>
    </row>
    <row r="22" spans="2:113" x14ac:dyDescent="0.25">
      <c r="B22" t="str">
        <f>IF('ELC TECH'!I15=0,"*",'ELC TECH'!H15)</f>
        <v>ELCHYDGRDHNPNDC220</v>
      </c>
      <c r="C22" t="str">
        <f>IF(_xlfn.XLOOKUP(_xlfn.XLOOKUP(B22,'ELC TECH'!$H:$H,'ELC TECH'!$G:$G),List!C:C,List!B:B)="STG",D22,"ELC"&amp;_xlfn.XLOOKUP(_xlfn.XLOOKUP(B22,'ELC TECH'!H:H,'ELC TECH'!G:G),List!C:C,List!B:B))</f>
        <v>ELCHYD</v>
      </c>
      <c r="D22" t="s">
        <v>544</v>
      </c>
      <c r="E22">
        <f>_xlfn.XLOOKUP(B22,'ELC TECH'!H:H,'ELC TECH'!D:D)</f>
        <v>2020</v>
      </c>
      <c r="F22">
        <f>_xlfn.XLOOKUP(B22,'ELC TECH'!H:H,'ELC TECH'!K:K)</f>
        <v>100</v>
      </c>
      <c r="G22">
        <f t="shared" si="4"/>
        <v>31.535999999999998</v>
      </c>
      <c r="H22">
        <f>IF(_xlfn.XLOOKUP(B22,'ELC TECH'!$H:$H,'ELC TECH'!$E:$E)="Storage",0.3,IF(_xlfn.XLOOKUP(B22,'ELC TECH'!$H:$H,'ELC TECH'!$E:$E)="Baseload",0.9,IF(_xlfn.XLOOKUP(B22,'ELC TECH'!$H:$H,'ELC TECH'!$E:$E)="Non Dispatchable",0.05,IF(_xlfn.XLOOKUP(B22,'ELC TECH'!$H:$H,'ELC TECH'!$E:$E)="Dispatchable",0.9,1))))</f>
        <v>0.05</v>
      </c>
      <c r="I22" s="13">
        <f>IF(_xlfn.XLOOKUP(B22,'ELC TECH'!H:H,'ELC TECH'!J:J)="","",_xlfn.XLOOKUP(B22,'ELC TECH'!H:H,'ELC TECH'!J:J))</f>
        <v>0</v>
      </c>
      <c r="J22" s="12">
        <f>IF(_xlfn.XLOOKUP($B22,'ELC TECH'!$H:$H,'ELC TECH'!$E:$E)="Storage","",IF(_xlfn.XLOOKUP($B22,'ELC TECH'!$H:$H,'ELC TECH'!AK:AK)="",1,_xlfn.XLOOKUP($B22,'ELC TECH'!$H:$H,'ELC TECH'!AK:AK)))</f>
        <v>1</v>
      </c>
      <c r="K22" s="12">
        <f>IF(_xlfn.XLOOKUP($B22,'ELC TECH'!$H:$H,'ELC TECH'!$E:$E)="Storage","",IF(_xlfn.XLOOKUP($B22,'ELC TECH'!$H:$H,'ELC TECH'!AL:AL)="",1,_xlfn.XLOOKUP($B22,'ELC TECH'!$H:$H,'ELC TECH'!AL:AL)))</f>
        <v>1</v>
      </c>
      <c r="L22" s="12">
        <f>IF(_xlfn.XLOOKUP($B22,'ELC TECH'!$H:$H,'ELC TECH'!$E:$E)="Storage","",IF(_xlfn.XLOOKUP($B22,'ELC TECH'!$H:$H,'ELC TECH'!AM:AM)="",1,_xlfn.XLOOKUP($B22,'ELC TECH'!$H:$H,'ELC TECH'!AM:AM)))</f>
        <v>1</v>
      </c>
      <c r="M22" s="12">
        <f>IF(_xlfn.XLOOKUP($B22,'ELC TECH'!$H:$H,'ELC TECH'!$E:$E)="Storage","",IF(_xlfn.XLOOKUP($B22,'ELC TECH'!$H:$H,'ELC TECH'!AN:AN)="",1,_xlfn.XLOOKUP($B22,'ELC TECH'!$H:$H,'ELC TECH'!AN:AN)))</f>
        <v>1</v>
      </c>
      <c r="N22" s="12">
        <f>IF(_xlfn.XLOOKUP($B22,'ELC TECH'!$H:$H,'ELC TECH'!$E:$E)="Storage","",IF(_xlfn.XLOOKUP($B22,'ELC TECH'!$H:$H,'ELC TECH'!AO:AO)="",1,_xlfn.XLOOKUP($B22,'ELC TECH'!$H:$H,'ELC TECH'!AO:AO)))</f>
        <v>1</v>
      </c>
      <c r="O22" s="12">
        <f>IF(_xlfn.XLOOKUP($B22,'ELC TECH'!$H:$H,'ELC TECH'!$E:$E)="Storage","",IF(_xlfn.XLOOKUP($B22,'ELC TECH'!$H:$H,'ELC TECH'!AP:AP)="",1,_xlfn.XLOOKUP($B22,'ELC TECH'!$H:$H,'ELC TECH'!AP:AP)))</f>
        <v>1</v>
      </c>
      <c r="P22" s="12">
        <f>IF(_xlfn.XLOOKUP($B22,'ELC TECH'!$H:$H,'ELC TECH'!$E:$E)="Storage","",IF(_xlfn.XLOOKUP($B22,'ELC TECH'!$H:$H,'ELC TECH'!AQ:AQ)="",1,_xlfn.XLOOKUP($B22,'ELC TECH'!$H:$H,'ELC TECH'!AQ:AQ)))</f>
        <v>1</v>
      </c>
      <c r="Q22" s="12">
        <f>IF(_xlfn.XLOOKUP($B22,'ELC TECH'!$H:$H,'ELC TECH'!$E:$E)="Storage","",IF(_xlfn.XLOOKUP($B22,'ELC TECH'!$H:$H,'ELC TECH'!AR:AR)="",1,_xlfn.XLOOKUP($B22,'ELC TECH'!$H:$H,'ELC TECH'!AR:AR)))</f>
        <v>1</v>
      </c>
      <c r="R22" s="12" t="str">
        <f>IF(_xlfn.XLOOKUP($B22,'ELC TECH'!$H:$H,'ELC TECH'!$E:$E)&lt;&gt;"Storage","",IF(_xlfn.XLOOKUP($B22,'ELC TECH'!$H:$H,'ELC TECH'!AK:AK)="",0.8,_xlfn.XLOOKUP($B22,'ELC TECH'!$H:$H,'ELC TECH'!AK:AK)))</f>
        <v/>
      </c>
      <c r="S22" s="12" t="str">
        <f>IF(_xlfn.XLOOKUP($B22,'ELC TECH'!$H:$H,'ELC TECH'!$E:$E)&lt;&gt;"Storage","",IF(_xlfn.XLOOKUP($B22,'ELC TECH'!$H:$H,'ELC TECH'!AL:AL)="",0.8,_xlfn.XLOOKUP($B22,'ELC TECH'!$H:$H,'ELC TECH'!AL:AL)))</f>
        <v/>
      </c>
      <c r="T22" s="12" t="str">
        <f>IF(_xlfn.XLOOKUP($B22,'ELC TECH'!$H:$H,'ELC TECH'!$E:$E)&lt;&gt;"Storage","",IF(_xlfn.XLOOKUP($B22,'ELC TECH'!$H:$H,'ELC TECH'!AM:AM)="",0.8,_xlfn.XLOOKUP($B22,'ELC TECH'!$H:$H,'ELC TECH'!AM:AM)))</f>
        <v/>
      </c>
      <c r="U22" s="12" t="str">
        <f>IF(_xlfn.XLOOKUP($B22,'ELC TECH'!$H:$H,'ELC TECH'!$E:$E)&lt;&gt;"Storage","",IF(_xlfn.XLOOKUP($B22,'ELC TECH'!$H:$H,'ELC TECH'!AN:AN)="",0.8,_xlfn.XLOOKUP($B22,'ELC TECH'!$H:$H,'ELC TECH'!AN:AN)))</f>
        <v/>
      </c>
      <c r="V22" s="12" t="str">
        <f>IF(_xlfn.XLOOKUP($B22,'ELC TECH'!$H:$H,'ELC TECH'!$E:$E)&lt;&gt;"Storage","",IF(_xlfn.XLOOKUP($B22,'ELC TECH'!$H:$H,'ELC TECH'!AO:AO)="",0.8,_xlfn.XLOOKUP($B22,'ELC TECH'!$H:$H,'ELC TECH'!AO:AO)))</f>
        <v/>
      </c>
      <c r="W22" s="12" t="str">
        <f>IF(_xlfn.XLOOKUP($B22,'ELC TECH'!$H:$H,'ELC TECH'!$E:$E)&lt;&gt;"Storage","",IF(_xlfn.XLOOKUP($B22,'ELC TECH'!$H:$H,'ELC TECH'!AP:AP)="",0.8,_xlfn.XLOOKUP($B22,'ELC TECH'!$H:$H,'ELC TECH'!AP:AP)))</f>
        <v/>
      </c>
      <c r="X22" s="12" t="str">
        <f>IF(_xlfn.XLOOKUP($B22,'ELC TECH'!$H:$H,'ELC TECH'!$E:$E)&lt;&gt;"Storage","",IF(_xlfn.XLOOKUP($B22,'ELC TECH'!$H:$H,'ELC TECH'!AQ:AQ)="",0.8,_xlfn.XLOOKUP($B22,'ELC TECH'!$H:$H,'ELC TECH'!AQ:AQ)))</f>
        <v/>
      </c>
      <c r="Y22" s="12" t="str">
        <f>IF(_xlfn.XLOOKUP($B22,'ELC TECH'!$H:$H,'ELC TECH'!$E:$E)&lt;&gt;"Storage","",IF(_xlfn.XLOOKUP($B22,'ELC TECH'!$H:$H,'ELC TECH'!AR:AR)="",0.8,_xlfn.XLOOKUP($B22,'ELC TECH'!$H:$H,'ELC TECH'!AR:AR)))</f>
        <v/>
      </c>
      <c r="Z22" s="15">
        <f>_xlfn.XLOOKUP($B22,'ELC TECH'!$H:$H,'ELC TECH'!M:M)</f>
        <v>6253.1370265450987</v>
      </c>
      <c r="AA22" s="15">
        <f>_xlfn.XLOOKUP($B22,'ELC TECH'!$H:$H,'ELC TECH'!N:N)</f>
        <v>6253.1370265450987</v>
      </c>
      <c r="AB22" s="15">
        <f>_xlfn.XLOOKUP($B22,'ELC TECH'!$H:$H,'ELC TECH'!O:O)</f>
        <v>4777.4871495755951</v>
      </c>
      <c r="AC22" s="15">
        <f>_xlfn.XLOOKUP($B22,'ELC TECH'!$H:$H,'ELC TECH'!P:P)</f>
        <v>3300.7065064168428</v>
      </c>
      <c r="AD22" s="15">
        <f>_xlfn.XLOOKUP($B22,'ELC TECH'!$H:$H,'ELC TECH'!Q:Q)</f>
        <v>3168.40686227475</v>
      </c>
      <c r="AE22" s="15">
        <f>_xlfn.XLOOKUP($B22,'ELC TECH'!$H:$H,'ELC TECH'!R:R)</f>
        <v>3168.40686227475</v>
      </c>
      <c r="AF22" s="15">
        <f>_xlfn.XLOOKUP($B22,'ELC TECH'!$H:$H,'ELC TECH'!S:S)</f>
        <v>3168.40686227475</v>
      </c>
      <c r="AG22" s="15">
        <f>_xlfn.XLOOKUP($B22,'ELC TECH'!$H:$H,'ELC TECH'!T:T)</f>
        <v>3168.40686227475</v>
      </c>
      <c r="AH22" s="15">
        <f>_xlfn.XLOOKUP($B22,'ELC TECH'!$H:$H,'ELC TECH'!U:U)</f>
        <v>98.37665846463355</v>
      </c>
      <c r="AI22" s="15">
        <f>_xlfn.XLOOKUP($B22,'ELC TECH'!$H:$H,'ELC TECH'!V:V)</f>
        <v>98.37665846463355</v>
      </c>
      <c r="AJ22" s="15">
        <f>_xlfn.XLOOKUP($B22,'ELC TECH'!$H:$H,'ELC TECH'!W:W)</f>
        <v>98.37665846463355</v>
      </c>
      <c r="AK22" s="15">
        <f>_xlfn.XLOOKUP($B22,'ELC TECH'!$H:$H,'ELC TECH'!X:X)</f>
        <v>98.37665846463355</v>
      </c>
      <c r="AL22" s="15">
        <f>_xlfn.XLOOKUP($B22,'ELC TECH'!$H:$H,'ELC TECH'!Y:Y)</f>
        <v>93.853593707638908</v>
      </c>
      <c r="AM22" s="15">
        <f>_xlfn.XLOOKUP($B22,'ELC TECH'!$H:$H,'ELC TECH'!Z:Z)</f>
        <v>93.853593707638908</v>
      </c>
      <c r="AN22" s="15">
        <f>_xlfn.XLOOKUP($B22,'ELC TECH'!$H:$H,'ELC TECH'!AA:AA)</f>
        <v>93.853593707638908</v>
      </c>
      <c r="AO22" s="15">
        <f>_xlfn.XLOOKUP($B22,'ELC TECH'!$H:$H,'ELC TECH'!AB:AB)</f>
        <v>93.853593707638908</v>
      </c>
      <c r="AP22" s="15">
        <f>_xlfn.XLOOKUP($B22,'ELC TECH'!$H:$H,'ELC TECH'!AC:AC)</f>
        <v>0</v>
      </c>
      <c r="AQ22" s="15">
        <f>_xlfn.XLOOKUP($B22,'ELC TECH'!$H:$H,'ELC TECH'!AD:AD)</f>
        <v>0</v>
      </c>
      <c r="AR22" s="15">
        <f>_xlfn.XLOOKUP($B22,'ELC TECH'!$H:$H,'ELC TECH'!AE:AE)</f>
        <v>0</v>
      </c>
      <c r="AS22" s="15">
        <f>_xlfn.XLOOKUP($B22,'ELC TECH'!$H:$H,'ELC TECH'!AF:AF)</f>
        <v>0</v>
      </c>
      <c r="AT22" s="15">
        <f>_xlfn.XLOOKUP($B22,'ELC TECH'!$H:$H,'ELC TECH'!AG:AG)</f>
        <v>0</v>
      </c>
      <c r="AU22" s="15">
        <f>_xlfn.XLOOKUP($B22,'ELC TECH'!$H:$H,'ELC TECH'!AH:AH)</f>
        <v>0</v>
      </c>
      <c r="AV22" s="15">
        <f>_xlfn.XLOOKUP($B22,'ELC TECH'!$H:$H,'ELC TECH'!AI:AI)</f>
        <v>0</v>
      </c>
      <c r="AW22" s="15">
        <f>_xlfn.XLOOKUP($B22,'ELC TECH'!$H:$H,'ELC TECH'!AJ:AJ)</f>
        <v>0</v>
      </c>
      <c r="AX22" s="12">
        <f>IF(_xlfn.XLOOKUP($B22,'ELC TECH'!$H:$H,'ELC TECH'!$E:$E)="Storage","",_xlfn.XLOOKUP($B22,'ELC TECH'!$H:$H,'ELC TECH'!AS:AS))</f>
        <v>0.41</v>
      </c>
      <c r="AY22" s="12">
        <f>IF(_xlfn.XLOOKUP($B22,'ELC TECH'!$H:$H,'ELC TECH'!$E:$E)="Storage","",_xlfn.XLOOKUP($B22,'ELC TECH'!$H:$H,'ELC TECH'!AT:AT))</f>
        <v>0.41</v>
      </c>
      <c r="AZ22" s="12">
        <f>IF(_xlfn.XLOOKUP($B22,'ELC TECH'!$H:$H,'ELC TECH'!$E:$E)="Storage","",_xlfn.XLOOKUP($B22,'ELC TECH'!$H:$H,'ELC TECH'!AU:AU))</f>
        <v>0.37999999999999989</v>
      </c>
      <c r="BA22" s="12">
        <f>IF(_xlfn.XLOOKUP($B22,'ELC TECH'!$H:$H,'ELC TECH'!$E:$E)="Storage","",_xlfn.XLOOKUP($B22,'ELC TECH'!$H:$H,'ELC TECH'!AV:AV))</f>
        <v>0.37999999999999989</v>
      </c>
      <c r="BB22" s="12">
        <f>IF(_xlfn.XLOOKUP($B22,'ELC TECH'!$H:$H,'ELC TECH'!$E:$E)="Storage","",_xlfn.XLOOKUP($B22,'ELC TECH'!$H:$H,'ELC TECH'!AW:AW))</f>
        <v>0.37999999999999989</v>
      </c>
      <c r="BC22" s="12">
        <f>IF(_xlfn.XLOOKUP($B22,'ELC TECH'!$H:$H,'ELC TECH'!$E:$E)="Storage","",_xlfn.XLOOKUP($B22,'ELC TECH'!$H:$H,'ELC TECH'!AX:AX))</f>
        <v>0.37999999999999989</v>
      </c>
      <c r="BD22" s="12">
        <f>IF(_xlfn.XLOOKUP($B22,'ELC TECH'!$H:$H,'ELC TECH'!$E:$E)="Storage","",_xlfn.XLOOKUP($B22,'ELC TECH'!$H:$H,'ELC TECH'!AY:AY))</f>
        <v>0.37999999999999989</v>
      </c>
      <c r="BE22" s="12">
        <f>IF(_xlfn.XLOOKUP($B22,'ELC TECH'!$H:$H,'ELC TECH'!$E:$E)="Storage","",_xlfn.XLOOKUP($B22,'ELC TECH'!$H:$H,'ELC TECH'!AZ:AZ))</f>
        <v>0.37999999999999989</v>
      </c>
      <c r="BF22" s="12" t="str">
        <f>IF(_xlfn.XLOOKUP($B22,'ELC TECH'!$H:$H,'ELC TECH'!$E:$E)="Storage",_xlfn.XLOOKUP($B22,'ELC TECH'!$H:$H,'ELC TECH'!AS:AS),"")</f>
        <v/>
      </c>
      <c r="BG22" s="12" t="str">
        <f>IF(_xlfn.XLOOKUP($B22,'ELC TECH'!$H:$H,'ELC TECH'!$E:$E)="Storage",_xlfn.XLOOKUP($B22,'ELC TECH'!$H:$H,'ELC TECH'!AT:AT),"")</f>
        <v/>
      </c>
      <c r="BH22" s="12" t="str">
        <f>IF(_xlfn.XLOOKUP($B22,'ELC TECH'!$H:$H,'ELC TECH'!$E:$E)="Storage",_xlfn.XLOOKUP($B22,'ELC TECH'!$H:$H,'ELC TECH'!AU:AU),"")</f>
        <v/>
      </c>
      <c r="BI22" s="12" t="str">
        <f>IF(_xlfn.XLOOKUP($B22,'ELC TECH'!$H:$H,'ELC TECH'!$E:$E)="Storage",_xlfn.XLOOKUP($B22,'ELC TECH'!$H:$H,'ELC TECH'!AV:AV),"")</f>
        <v/>
      </c>
      <c r="BJ22" s="12" t="str">
        <f>IF(_xlfn.XLOOKUP($B22,'ELC TECH'!$H:$H,'ELC TECH'!$E:$E)="Storage",_xlfn.XLOOKUP($B22,'ELC TECH'!$H:$H,'ELC TECH'!AW:AW),"")</f>
        <v/>
      </c>
      <c r="BK22" s="12" t="str">
        <f>IF(_xlfn.XLOOKUP($B22,'ELC TECH'!$H:$H,'ELC TECH'!$E:$E)="Storage",_xlfn.XLOOKUP($B22,'ELC TECH'!$H:$H,'ELC TECH'!AX:AX),"")</f>
        <v/>
      </c>
      <c r="BL22" s="12" t="str">
        <f>IF(_xlfn.XLOOKUP($B22,'ELC TECH'!$H:$H,'ELC TECH'!$E:$E)="Storage",_xlfn.XLOOKUP($B22,'ELC TECH'!$H:$H,'ELC TECH'!AY:AY),"")</f>
        <v/>
      </c>
      <c r="BM22" s="12" t="str">
        <f>IF(_xlfn.XLOOKUP($B22,'ELC TECH'!$H:$H,'ELC TECH'!$E:$E)="Storage",_xlfn.XLOOKUP($B22,'ELC TECH'!$H:$H,'ELC TECH'!AZ:AZ),"")</f>
        <v/>
      </c>
      <c r="BN22" s="8">
        <f>IF(_xlfn.XLOOKUP($B22,'ELC TECH'!$H:$H,'ELC TECH'!$E:$E)="Non Dispatchable",IFERROR($AX22*_xlfn.XLOOKUP($C22,$BM$1:$BM$3,BN$1:BN$3)/SUMPRODUCT(_xlfn.XLOOKUP($C22,$BM$1:$BM$3,$BN$1:$BY$3),$BN$4:$BY$4),""),
"")</f>
        <v>0.29572257849169725</v>
      </c>
      <c r="BO22" s="8">
        <f>IF(_xlfn.XLOOKUP($B22,'ELC TECH'!$H:$H,'ELC TECH'!$E:$E)="Non Dispatchable",IFERROR($AX22*_xlfn.XLOOKUP($C22,$BM$1:$BM$3,BO$1:BO$3)/SUMPRODUCT(_xlfn.XLOOKUP($C22,$BM$1:$BM$3,$BN$1:$BY$3),$BN$4:$BY$4),""),
"")</f>
        <v>0.34429015525128259</v>
      </c>
      <c r="BP22" s="8">
        <f>IF(_xlfn.XLOOKUP($B22,'ELC TECH'!$H:$H,'ELC TECH'!$E:$E)="Non Dispatchable",IFERROR($AX22*_xlfn.XLOOKUP($C22,$BM$1:$BM$3,BP$1:BP$3)/SUMPRODUCT(_xlfn.XLOOKUP($C22,$BM$1:$BM$3,$BN$1:$BY$3),$BN$4:$BY$4),""),
"")</f>
        <v>0.55115205626433117</v>
      </c>
      <c r="BQ22" s="8">
        <f>IF(_xlfn.XLOOKUP($B22,'ELC TECH'!$H:$H,'ELC TECH'!$E:$E)="Non Dispatchable",IFERROR($AX22*_xlfn.XLOOKUP($C22,$BM$1:$BM$3,BQ$1:BQ$3)/SUMPRODUCT(_xlfn.XLOOKUP($C22,$BM$1:$BM$3,$BN$1:$BY$3),$BN$4:$BY$4),""),
"")</f>
        <v>1.1512314491160965E-2</v>
      </c>
      <c r="BR22" s="8">
        <f>IF(_xlfn.XLOOKUP($B22,'ELC TECH'!$H:$H,'ELC TECH'!$E:$E)="Non Dispatchable",IFERROR($AX22*_xlfn.XLOOKUP($C22,$BM$1:$BM$3,BR$1:BR$3)/SUMPRODUCT(_xlfn.XLOOKUP($C22,$BM$1:$BM$3,$BN$1:$BY$3),$BN$4:$BY$4),""),
"")</f>
        <v>0.29320425969675584</v>
      </c>
      <c r="BS22" s="8">
        <f>IF(_xlfn.XLOOKUP($B22,'ELC TECH'!$H:$H,'ELC TECH'!$E:$E)="Non Dispatchable",IFERROR($AX22*_xlfn.XLOOKUP($C22,$BM$1:$BM$3,BS$1:BS$3)/SUMPRODUCT(_xlfn.XLOOKUP($C22,$BM$1:$BM$3,$BN$1:$BY$3),$BN$4:$BY$4),""),
"")</f>
        <v>0.39105893287162408</v>
      </c>
      <c r="BT22" s="8">
        <f>IF(_xlfn.XLOOKUP($B22,'ELC TECH'!$H:$H,'ELC TECH'!$E:$E)="Non Dispatchable",IFERROR($AX22*_xlfn.XLOOKUP($C22,$BM$1:$BM$3,BT$1:BT$3)/SUMPRODUCT(_xlfn.XLOOKUP($C22,$BM$1:$BM$3,$BN$1:$BY$3),$BN$4:$BY$4),""),
"")</f>
        <v>0.4968283222591654</v>
      </c>
      <c r="BU22" s="8">
        <f>IF(_xlfn.XLOOKUP($B22,'ELC TECH'!$H:$H,'ELC TECH'!$E:$E)="Non Dispatchable",IFERROR($AX22*_xlfn.XLOOKUP($C22,$BM$1:$BM$3,BU$1:BU$3)/SUMPRODUCT(_xlfn.XLOOKUP($C22,$BM$1:$BM$3,$BN$1:$BY$3),$BN$4:$BY$4),""),
"")</f>
        <v>1.1512314491160965E-2</v>
      </c>
      <c r="BV22" s="8">
        <f>IF(_xlfn.XLOOKUP($B22,'ELC TECH'!$H:$H,'ELC TECH'!$E:$E)="Non Dispatchable",IFERROR($AX22*_xlfn.XLOOKUP($C22,$BM$1:$BM$3,BV$1:BV$3)/SUMPRODUCT(_xlfn.XLOOKUP($C22,$BM$1:$BM$3,$BN$1:$BY$3),$BN$4:$BY$4),""),
"")</f>
        <v>0.35076583215256063</v>
      </c>
      <c r="BW22" s="8">
        <f>IF(_xlfn.XLOOKUP($B22,'ELC TECH'!$H:$H,'ELC TECH'!$E:$E)="Non Dispatchable",IFERROR($AX22*_xlfn.XLOOKUP($C22,$BM$1:$BM$3,BW$1:BW$3)/SUMPRODUCT(_xlfn.XLOOKUP($C22,$BM$1:$BM$3,$BN$1:$BY$3),$BN$4:$BY$4),""),
"")</f>
        <v>0.39105893287162408</v>
      </c>
      <c r="BX22" s="8">
        <f>IF(_xlfn.XLOOKUP($B22,'ELC TECH'!$H:$H,'ELC TECH'!$E:$E)="Non Dispatchable",IFERROR($AX22*_xlfn.XLOOKUP($C22,$BM$1:$BM$3,BX$1:BX$3)/SUMPRODUCT(_xlfn.XLOOKUP($C22,$BM$1:$BM$3,$BN$1:$BY$3),$BN$4:$BY$4),""),
"")</f>
        <v>0.45077906429452153</v>
      </c>
      <c r="BY22" s="8">
        <f>IF(_xlfn.XLOOKUP($B22,'ELC TECH'!$H:$H,'ELC TECH'!$E:$E)="Non Dispatchable",IFERROR($AX22*_xlfn.XLOOKUP($C22,$BM$1:$BM$3,BY$1:BY$3)/SUMPRODUCT(_xlfn.XLOOKUP($C22,$BM$1:$BM$3,$BN$1:$BY$3),$BN$4:$BY$4),""),
"")</f>
        <v>9.7135153519170639E-3</v>
      </c>
      <c r="BZ22" s="8">
        <f>IF(_xlfn.XLOOKUP($B22,'ELC TECH'!$H:$H,'ELC TECH'!$E:$E)="Non Dispatchable",IFERROR($AX22*_xlfn.XLOOKUP($C22,$BM$1:$BM$3,BZ$1:BZ$3)/SUMPRODUCT(_xlfn.XLOOKUP($C22,$BM$1:$BM$3,$BN$1:$BY$3),$BN$4:$BY$4),""),
"")</f>
        <v>0.29572257849169725</v>
      </c>
      <c r="CA22" s="8">
        <f>IF(_xlfn.XLOOKUP($B22,'ELC TECH'!$H:$H,'ELC TECH'!$E:$E)="Non Dispatchable",IFERROR($AX22*_xlfn.XLOOKUP($C22,$BM$1:$BM$3,CA$1:CA$3)/SUMPRODUCT(_xlfn.XLOOKUP($C22,$BM$1:$BM$3,$BN$1:$BY$3),$BN$4:$BY$4),""),
"")</f>
        <v>0.34429015525128259</v>
      </c>
      <c r="CB22" s="8">
        <f>IF(_xlfn.XLOOKUP($B22,'ELC TECH'!$H:$H,'ELC TECH'!$E:$E)="Non Dispatchable",IFERROR($AX22*_xlfn.XLOOKUP($C22,$BM$1:$BM$3,CB$1:CB$3)/SUMPRODUCT(_xlfn.XLOOKUP($C22,$BM$1:$BM$3,$BN$1:$BY$3),$BN$4:$BY$4),""),
"")</f>
        <v>0.55115205626433117</v>
      </c>
      <c r="CC22" s="8">
        <f>IF(_xlfn.XLOOKUP($B22,'ELC TECH'!$H:$H,'ELC TECH'!$E:$E)="Non Dispatchable",IFERROR($AX22*_xlfn.XLOOKUP($C22,$BM$1:$BM$3,CC$1:CC$3)/SUMPRODUCT(_xlfn.XLOOKUP($C22,$BM$1:$BM$3,$BN$1:$BY$3),$BN$4:$BY$4),""),
"")</f>
        <v>1.1512314491160965E-2</v>
      </c>
      <c r="CD22" s="8">
        <f>IF(_xlfn.XLOOKUP($B22,'ELC TECH'!$H:$H,'ELC TECH'!$E:$E)="Non Dispatchable",IFERROR($AX22*_xlfn.XLOOKUP($C22,$BM$1:$BM$3,CD$1:CD$3)/SUMPRODUCT(_xlfn.XLOOKUP($C22,$BM$1:$BM$3,$BN$1:$BY$3),$BN$4:$BY$4),""),
"")</f>
        <v>0.29320425969675584</v>
      </c>
      <c r="CE22" s="8">
        <f>IF(_xlfn.XLOOKUP($B22,'ELC TECH'!$H:$H,'ELC TECH'!$E:$E)="Non Dispatchable",IFERROR($AX22*_xlfn.XLOOKUP($C22,$BM$1:$BM$3,CE$1:CE$3)/SUMPRODUCT(_xlfn.XLOOKUP($C22,$BM$1:$BM$3,$BN$1:$BY$3),$BN$4:$BY$4),""),
"")</f>
        <v>0.39105893287162408</v>
      </c>
      <c r="CF22" s="8">
        <f>IF(_xlfn.XLOOKUP($B22,'ELC TECH'!$H:$H,'ELC TECH'!$E:$E)="Non Dispatchable",IFERROR($AX22*_xlfn.XLOOKUP($C22,$BM$1:$BM$3,CF$1:CF$3)/SUMPRODUCT(_xlfn.XLOOKUP($C22,$BM$1:$BM$3,$BN$1:$BY$3),$BN$4:$BY$4),""),
"")</f>
        <v>0.4968283222591654</v>
      </c>
      <c r="CG22" s="8">
        <f>IF(_xlfn.XLOOKUP($B22,'ELC TECH'!$H:$H,'ELC TECH'!$E:$E)="Non Dispatchable",IFERROR($AX22*_xlfn.XLOOKUP($C22,$BM$1:$BM$3,CG$1:CG$3)/SUMPRODUCT(_xlfn.XLOOKUP($C22,$BM$1:$BM$3,$BN$1:$BY$3),$BN$4:$BY$4),""),
"")</f>
        <v>1.1512314491160965E-2</v>
      </c>
      <c r="CH22" s="8">
        <f>IF(_xlfn.XLOOKUP($B22,'ELC TECH'!$H:$H,'ELC TECH'!$E:$E)="Non Dispatchable",IFERROR($AX22*_xlfn.XLOOKUP($C22,$BM$1:$BM$3,CH$1:CH$3)/SUMPRODUCT(_xlfn.XLOOKUP($C22,$BM$1:$BM$3,$BN$1:$BY$3),$BN$4:$BY$4),""),
"")</f>
        <v>0.35076583215256063</v>
      </c>
      <c r="CI22" s="8">
        <f>IF(_xlfn.XLOOKUP($B22,'ELC TECH'!$H:$H,'ELC TECH'!$E:$E)="Non Dispatchable",IFERROR($AX22*_xlfn.XLOOKUP($C22,$BM$1:$BM$3,CI$1:CI$3)/SUMPRODUCT(_xlfn.XLOOKUP($C22,$BM$1:$BM$3,$BN$1:$BY$3),$BN$4:$BY$4),""),
"")</f>
        <v>0.39105893287162408</v>
      </c>
      <c r="CJ22" s="8">
        <f>IF(_xlfn.XLOOKUP($B22,'ELC TECH'!$H:$H,'ELC TECH'!$E:$E)="Non Dispatchable",IFERROR($AX22*_xlfn.XLOOKUP($C22,$BM$1:$BM$3,CJ$1:CJ$3)/SUMPRODUCT(_xlfn.XLOOKUP($C22,$BM$1:$BM$3,$BN$1:$BY$3),$BN$4:$BY$4),""),
"")</f>
        <v>0.45077906429452153</v>
      </c>
      <c r="CK22" s="8">
        <f>IF(_xlfn.XLOOKUP($B22,'ELC TECH'!$H:$H,'ELC TECH'!$E:$E)="Non Dispatchable",IFERROR($AX22*_xlfn.XLOOKUP($C22,$BM$1:$BM$3,CK$1:CK$3)/SUMPRODUCT(_xlfn.XLOOKUP($C22,$BM$1:$BM$3,$BN$1:$BY$3),$BN$4:$BY$4),""),
"")</f>
        <v>9.7135153519170639E-3</v>
      </c>
      <c r="CL22" s="8" t="str">
        <f>IF(_xlfn.XLOOKUP($B22,'ELC TECH'!$H:$H,'ELC TECH'!$E:$E)="Storage",CL$4*$BF22,"")</f>
        <v/>
      </c>
      <c r="CM22" s="8" t="str">
        <f>IF(_xlfn.XLOOKUP($B22,'ELC TECH'!$H:$H,'ELC TECH'!$E:$E)="Storage",CM$4*$BF22,"")</f>
        <v/>
      </c>
      <c r="CN22" s="8" t="str">
        <f>IF(_xlfn.XLOOKUP($B22,'ELC TECH'!$H:$H,'ELC TECH'!$E:$E)="Storage",CN$4*$BF22,"")</f>
        <v/>
      </c>
      <c r="CO22" s="8" t="str">
        <f>IF(_xlfn.XLOOKUP($B22,'ELC TECH'!$H:$H,'ELC TECH'!$E:$E)="Storage",CO$4*$BF22,"")</f>
        <v/>
      </c>
      <c r="CP22" s="8" t="str">
        <f>IF(_xlfn.XLOOKUP($B22,'ELC TECH'!$H:$H,'ELC TECH'!$E:$E)="Storage",CP$4*$BF22,"")</f>
        <v/>
      </c>
      <c r="CQ22" s="8" t="str">
        <f>IF(_xlfn.XLOOKUP($B22,'ELC TECH'!$H:$H,'ELC TECH'!$E:$E)="Storage",CQ$4*$BF22,"")</f>
        <v/>
      </c>
      <c r="CR22" s="8" t="str">
        <f>IF(_xlfn.XLOOKUP($B22,'ELC TECH'!$H:$H,'ELC TECH'!$E:$E)="Storage",CR$4*$BF22,"")</f>
        <v/>
      </c>
      <c r="CS22" s="8" t="str">
        <f>IF(_xlfn.XLOOKUP($B22,'ELC TECH'!$H:$H,'ELC TECH'!$E:$E)="Storage",CS$4*$BF22,"")</f>
        <v/>
      </c>
      <c r="CT22" s="8" t="str">
        <f>IF(_xlfn.XLOOKUP($B22,'ELC TECH'!$H:$H,'ELC TECH'!$E:$E)="Storage",CT$4*$BF22,"")</f>
        <v/>
      </c>
      <c r="CU22" s="8" t="str">
        <f>IF(_xlfn.XLOOKUP($B22,'ELC TECH'!$H:$H,'ELC TECH'!$E:$E)="Storage",CU$4*$BF22,"")</f>
        <v/>
      </c>
      <c r="CV22" s="8" t="str">
        <f>IF(_xlfn.XLOOKUP($B22,'ELC TECH'!$H:$H,'ELC TECH'!$E:$E)="Storage",CV$4*$BF22,"")</f>
        <v/>
      </c>
      <c r="CW22" s="8" t="str">
        <f>IF(_xlfn.XLOOKUP($B22,'ELC TECH'!$H:$H,'ELC TECH'!$E:$E)="Storage",CW$4*$BF22,"")</f>
        <v/>
      </c>
      <c r="CX22" s="8" t="str">
        <f>IF(_xlfn.XLOOKUP($B22,'ELC TECH'!$H:$H,'ELC TECH'!$E:$E)="Storage",CX$4*$BF22,"")</f>
        <v/>
      </c>
      <c r="CY22" s="8" t="str">
        <f>IF(_xlfn.XLOOKUP($B22,'ELC TECH'!$H:$H,'ELC TECH'!$E:$E)="Storage",CY$4*$BF22,"")</f>
        <v/>
      </c>
      <c r="CZ22" s="8" t="str">
        <f>IF(_xlfn.XLOOKUP($B22,'ELC TECH'!$H:$H,'ELC TECH'!$E:$E)="Storage",CZ$4*$BF22,"")</f>
        <v/>
      </c>
      <c r="DA22" s="8" t="str">
        <f>IF(_xlfn.XLOOKUP($B22,'ELC TECH'!$H:$H,'ELC TECH'!$E:$E)="Storage",DA$4*$BF22,"")</f>
        <v/>
      </c>
      <c r="DB22" s="8" t="str">
        <f>IF(_xlfn.XLOOKUP($B22,'ELC TECH'!$H:$H,'ELC TECH'!$E:$E)="Storage",DB$4*$BF22,"")</f>
        <v/>
      </c>
      <c r="DC22" s="8" t="str">
        <f>IF(_xlfn.XLOOKUP($B22,'ELC TECH'!$H:$H,'ELC TECH'!$E:$E)="Storage",DC$4*$BF22,"")</f>
        <v/>
      </c>
      <c r="DD22" s="8" t="str">
        <f>IF(_xlfn.XLOOKUP($B22,'ELC TECH'!$H:$H,'ELC TECH'!$E:$E)="Storage",DD$4*$BF22,"")</f>
        <v/>
      </c>
      <c r="DE22" s="8" t="str">
        <f>IF(_xlfn.XLOOKUP($B22,'ELC TECH'!$H:$H,'ELC TECH'!$E:$E)="Storage",DE$4*$BF22,"")</f>
        <v/>
      </c>
      <c r="DF22" s="8" t="str">
        <f>IF(_xlfn.XLOOKUP($B22,'ELC TECH'!$H:$H,'ELC TECH'!$E:$E)="Storage",DF$4*$BF22,"")</f>
        <v/>
      </c>
      <c r="DG22" s="8" t="str">
        <f>IF(_xlfn.XLOOKUP($B22,'ELC TECH'!$H:$H,'ELC TECH'!$E:$E)="Storage",DG$4*$BF22,"")</f>
        <v/>
      </c>
      <c r="DH22" s="8" t="str">
        <f>IF(_xlfn.XLOOKUP($B22,'ELC TECH'!$H:$H,'ELC TECH'!$E:$E)="Storage",DH$4*$BF22,"")</f>
        <v/>
      </c>
      <c r="DI22" s="8" t="str">
        <f>IF(_xlfn.XLOOKUP($B22,'ELC TECH'!$H:$H,'ELC TECH'!$E:$E)="Storage",DI$4*$BF22,"")</f>
        <v/>
      </c>
    </row>
    <row r="23" spans="2:113" x14ac:dyDescent="0.25">
      <c r="B23" t="str">
        <f>IF('ELC TECH'!I16=0,"*",'ELC TECH'!H16)</f>
        <v>ELCHYDGRDHNPNDC320</v>
      </c>
      <c r="C23" t="str">
        <f>IF(_xlfn.XLOOKUP(_xlfn.XLOOKUP(B23,'ELC TECH'!$H:$H,'ELC TECH'!$G:$G),List!C:C,List!B:B)="STG",D23,"ELC"&amp;_xlfn.XLOOKUP(_xlfn.XLOOKUP(B23,'ELC TECH'!H:H,'ELC TECH'!G:G),List!C:C,List!B:B))</f>
        <v>ELCHYD</v>
      </c>
      <c r="D23" t="s">
        <v>544</v>
      </c>
      <c r="E23">
        <f>_xlfn.XLOOKUP(B23,'ELC TECH'!H:H,'ELC TECH'!D:D)</f>
        <v>2020</v>
      </c>
      <c r="F23">
        <f>_xlfn.XLOOKUP(B23,'ELC TECH'!H:H,'ELC TECH'!K:K)</f>
        <v>100</v>
      </c>
      <c r="G23">
        <f t="shared" si="4"/>
        <v>31.535999999999998</v>
      </c>
      <c r="H23">
        <f>IF(_xlfn.XLOOKUP(B23,'ELC TECH'!$H:$H,'ELC TECH'!$E:$E)="Storage",0.3,IF(_xlfn.XLOOKUP(B23,'ELC TECH'!$H:$H,'ELC TECH'!$E:$E)="Baseload",0.9,IF(_xlfn.XLOOKUP(B23,'ELC TECH'!$H:$H,'ELC TECH'!$E:$E)="Non Dispatchable",0.05,IF(_xlfn.XLOOKUP(B23,'ELC TECH'!$H:$H,'ELC TECH'!$E:$E)="Dispatchable",0.9,1))))</f>
        <v>0.05</v>
      </c>
      <c r="I23" s="13">
        <f>IF(_xlfn.XLOOKUP(B23,'ELC TECH'!H:H,'ELC TECH'!J:J)="","",_xlfn.XLOOKUP(B23,'ELC TECH'!H:H,'ELC TECH'!J:J))</f>
        <v>0</v>
      </c>
      <c r="J23" s="12">
        <f>IF(_xlfn.XLOOKUP($B23,'ELC TECH'!$H:$H,'ELC TECH'!$E:$E)="Storage","",IF(_xlfn.XLOOKUP($B23,'ELC TECH'!$H:$H,'ELC TECH'!AK:AK)="",1,_xlfn.XLOOKUP($B23,'ELC TECH'!$H:$H,'ELC TECH'!AK:AK)))</f>
        <v>1</v>
      </c>
      <c r="K23" s="12">
        <f>IF(_xlfn.XLOOKUP($B23,'ELC TECH'!$H:$H,'ELC TECH'!$E:$E)="Storage","",IF(_xlfn.XLOOKUP($B23,'ELC TECH'!$H:$H,'ELC TECH'!AL:AL)="",1,_xlfn.XLOOKUP($B23,'ELC TECH'!$H:$H,'ELC TECH'!AL:AL)))</f>
        <v>1</v>
      </c>
      <c r="L23" s="12">
        <f>IF(_xlfn.XLOOKUP($B23,'ELC TECH'!$H:$H,'ELC TECH'!$E:$E)="Storage","",IF(_xlfn.XLOOKUP($B23,'ELC TECH'!$H:$H,'ELC TECH'!AM:AM)="",1,_xlfn.XLOOKUP($B23,'ELC TECH'!$H:$H,'ELC TECH'!AM:AM)))</f>
        <v>1</v>
      </c>
      <c r="M23" s="12">
        <f>IF(_xlfn.XLOOKUP($B23,'ELC TECH'!$H:$H,'ELC TECH'!$E:$E)="Storage","",IF(_xlfn.XLOOKUP($B23,'ELC TECH'!$H:$H,'ELC TECH'!AN:AN)="",1,_xlfn.XLOOKUP($B23,'ELC TECH'!$H:$H,'ELC TECH'!AN:AN)))</f>
        <v>1</v>
      </c>
      <c r="N23" s="12">
        <f>IF(_xlfn.XLOOKUP($B23,'ELC TECH'!$H:$H,'ELC TECH'!$E:$E)="Storage","",IF(_xlfn.XLOOKUP($B23,'ELC TECH'!$H:$H,'ELC TECH'!AO:AO)="",1,_xlfn.XLOOKUP($B23,'ELC TECH'!$H:$H,'ELC TECH'!AO:AO)))</f>
        <v>1</v>
      </c>
      <c r="O23" s="12">
        <f>IF(_xlfn.XLOOKUP($B23,'ELC TECH'!$H:$H,'ELC TECH'!$E:$E)="Storage","",IF(_xlfn.XLOOKUP($B23,'ELC TECH'!$H:$H,'ELC TECH'!AP:AP)="",1,_xlfn.XLOOKUP($B23,'ELC TECH'!$H:$H,'ELC TECH'!AP:AP)))</f>
        <v>1</v>
      </c>
      <c r="P23" s="12">
        <f>IF(_xlfn.XLOOKUP($B23,'ELC TECH'!$H:$H,'ELC TECH'!$E:$E)="Storage","",IF(_xlfn.XLOOKUP($B23,'ELC TECH'!$H:$H,'ELC TECH'!AQ:AQ)="",1,_xlfn.XLOOKUP($B23,'ELC TECH'!$H:$H,'ELC TECH'!AQ:AQ)))</f>
        <v>1</v>
      </c>
      <c r="Q23" s="12">
        <f>IF(_xlfn.XLOOKUP($B23,'ELC TECH'!$H:$H,'ELC TECH'!$E:$E)="Storage","",IF(_xlfn.XLOOKUP($B23,'ELC TECH'!$H:$H,'ELC TECH'!AR:AR)="",1,_xlfn.XLOOKUP($B23,'ELC TECH'!$H:$H,'ELC TECH'!AR:AR)))</f>
        <v>1</v>
      </c>
      <c r="R23" s="12" t="str">
        <f>IF(_xlfn.XLOOKUP($B23,'ELC TECH'!$H:$H,'ELC TECH'!$E:$E)&lt;&gt;"Storage","",IF(_xlfn.XLOOKUP($B23,'ELC TECH'!$H:$H,'ELC TECH'!AK:AK)="",0.8,_xlfn.XLOOKUP($B23,'ELC TECH'!$H:$H,'ELC TECH'!AK:AK)))</f>
        <v/>
      </c>
      <c r="S23" s="12" t="str">
        <f>IF(_xlfn.XLOOKUP($B23,'ELC TECH'!$H:$H,'ELC TECH'!$E:$E)&lt;&gt;"Storage","",IF(_xlfn.XLOOKUP($B23,'ELC TECH'!$H:$H,'ELC TECH'!AL:AL)="",0.8,_xlfn.XLOOKUP($B23,'ELC TECH'!$H:$H,'ELC TECH'!AL:AL)))</f>
        <v/>
      </c>
      <c r="T23" s="12" t="str">
        <f>IF(_xlfn.XLOOKUP($B23,'ELC TECH'!$H:$H,'ELC TECH'!$E:$E)&lt;&gt;"Storage","",IF(_xlfn.XLOOKUP($B23,'ELC TECH'!$H:$H,'ELC TECH'!AM:AM)="",0.8,_xlfn.XLOOKUP($B23,'ELC TECH'!$H:$H,'ELC TECH'!AM:AM)))</f>
        <v/>
      </c>
      <c r="U23" s="12" t="str">
        <f>IF(_xlfn.XLOOKUP($B23,'ELC TECH'!$H:$H,'ELC TECH'!$E:$E)&lt;&gt;"Storage","",IF(_xlfn.XLOOKUP($B23,'ELC TECH'!$H:$H,'ELC TECH'!AN:AN)="",0.8,_xlfn.XLOOKUP($B23,'ELC TECH'!$H:$H,'ELC TECH'!AN:AN)))</f>
        <v/>
      </c>
      <c r="V23" s="12" t="str">
        <f>IF(_xlfn.XLOOKUP($B23,'ELC TECH'!$H:$H,'ELC TECH'!$E:$E)&lt;&gt;"Storage","",IF(_xlfn.XLOOKUP($B23,'ELC TECH'!$H:$H,'ELC TECH'!AO:AO)="",0.8,_xlfn.XLOOKUP($B23,'ELC TECH'!$H:$H,'ELC TECH'!AO:AO)))</f>
        <v/>
      </c>
      <c r="W23" s="12" t="str">
        <f>IF(_xlfn.XLOOKUP($B23,'ELC TECH'!$H:$H,'ELC TECH'!$E:$E)&lt;&gt;"Storage","",IF(_xlfn.XLOOKUP($B23,'ELC TECH'!$H:$H,'ELC TECH'!AP:AP)="",0.8,_xlfn.XLOOKUP($B23,'ELC TECH'!$H:$H,'ELC TECH'!AP:AP)))</f>
        <v/>
      </c>
      <c r="X23" s="12" t="str">
        <f>IF(_xlfn.XLOOKUP($B23,'ELC TECH'!$H:$H,'ELC TECH'!$E:$E)&lt;&gt;"Storage","",IF(_xlfn.XLOOKUP($B23,'ELC TECH'!$H:$H,'ELC TECH'!AQ:AQ)="",0.8,_xlfn.XLOOKUP($B23,'ELC TECH'!$H:$H,'ELC TECH'!AQ:AQ)))</f>
        <v/>
      </c>
      <c r="Y23" s="12" t="str">
        <f>IF(_xlfn.XLOOKUP($B23,'ELC TECH'!$H:$H,'ELC TECH'!$E:$E)&lt;&gt;"Storage","",IF(_xlfn.XLOOKUP($B23,'ELC TECH'!$H:$H,'ELC TECH'!AR:AR)="",0.8,_xlfn.XLOOKUP($B23,'ELC TECH'!$H:$H,'ELC TECH'!AR:AR)))</f>
        <v/>
      </c>
      <c r="Z23" s="15">
        <f>_xlfn.XLOOKUP($B23,'ELC TECH'!$H:$H,'ELC TECH'!M:M)</f>
        <v>6382.0443721194461</v>
      </c>
      <c r="AA23" s="15">
        <f>_xlfn.XLOOKUP($B23,'ELC TECH'!$H:$H,'ELC TECH'!N:N)</f>
        <v>6382.0443721194461</v>
      </c>
      <c r="AB23" s="15">
        <f>_xlfn.XLOOKUP($B23,'ELC TECH'!$H:$H,'ELC TECH'!O:O)</f>
        <v>5010.4249845608192</v>
      </c>
      <c r="AC23" s="15">
        <f>_xlfn.XLOOKUP($B23,'ELC TECH'!$H:$H,'ELC TECH'!P:P)</f>
        <v>3638.8055970021928</v>
      </c>
      <c r="AD23" s="15">
        <f>_xlfn.XLOOKUP($B23,'ELC TECH'!$H:$H,'ELC TECH'!Q:Q)</f>
        <v>3492.936758589115</v>
      </c>
      <c r="AE23" s="15">
        <f>_xlfn.XLOOKUP($B23,'ELC TECH'!$H:$H,'ELC TECH'!R:R)</f>
        <v>3492.936758589115</v>
      </c>
      <c r="AF23" s="15">
        <f>_xlfn.XLOOKUP($B23,'ELC TECH'!$H:$H,'ELC TECH'!S:S)</f>
        <v>3492.936758589115</v>
      </c>
      <c r="AG23" s="15">
        <f>_xlfn.XLOOKUP($B23,'ELC TECH'!$H:$H,'ELC TECH'!T:T)</f>
        <v>3492.936758589115</v>
      </c>
      <c r="AH23" s="15">
        <f>_xlfn.XLOOKUP($B23,'ELC TECH'!$H:$H,'ELC TECH'!U:U)</f>
        <v>117.5996836818608</v>
      </c>
      <c r="AI23" s="15">
        <f>_xlfn.XLOOKUP($B23,'ELC TECH'!$H:$H,'ELC TECH'!V:V)</f>
        <v>117.5996836818608</v>
      </c>
      <c r="AJ23" s="15">
        <f>_xlfn.XLOOKUP($B23,'ELC TECH'!$H:$H,'ELC TECH'!W:W)</f>
        <v>117.5996836818608</v>
      </c>
      <c r="AK23" s="15">
        <f>_xlfn.XLOOKUP($B23,'ELC TECH'!$H:$H,'ELC TECH'!X:X)</f>
        <v>117.5996836818608</v>
      </c>
      <c r="AL23" s="15">
        <f>_xlfn.XLOOKUP($B23,'ELC TECH'!$H:$H,'ELC TECH'!Y:Y)</f>
        <v>113.0766189248662</v>
      </c>
      <c r="AM23" s="15">
        <f>_xlfn.XLOOKUP($B23,'ELC TECH'!$H:$H,'ELC TECH'!Z:Z)</f>
        <v>113.0766189248662</v>
      </c>
      <c r="AN23" s="15">
        <f>_xlfn.XLOOKUP($B23,'ELC TECH'!$H:$H,'ELC TECH'!AA:AA)</f>
        <v>113.0766189248662</v>
      </c>
      <c r="AO23" s="15">
        <f>_xlfn.XLOOKUP($B23,'ELC TECH'!$H:$H,'ELC TECH'!AB:AB)</f>
        <v>113.0766189248662</v>
      </c>
      <c r="AP23" s="15">
        <f>_xlfn.XLOOKUP($B23,'ELC TECH'!$H:$H,'ELC TECH'!AC:AC)</f>
        <v>0</v>
      </c>
      <c r="AQ23" s="15">
        <f>_xlfn.XLOOKUP($B23,'ELC TECH'!$H:$H,'ELC TECH'!AD:AD)</f>
        <v>0</v>
      </c>
      <c r="AR23" s="15">
        <f>_xlfn.XLOOKUP($B23,'ELC TECH'!$H:$H,'ELC TECH'!AE:AE)</f>
        <v>0</v>
      </c>
      <c r="AS23" s="15">
        <f>_xlfn.XLOOKUP($B23,'ELC TECH'!$H:$H,'ELC TECH'!AF:AF)</f>
        <v>0</v>
      </c>
      <c r="AT23" s="15">
        <f>_xlfn.XLOOKUP($B23,'ELC TECH'!$H:$H,'ELC TECH'!AG:AG)</f>
        <v>0</v>
      </c>
      <c r="AU23" s="15">
        <f>_xlfn.XLOOKUP($B23,'ELC TECH'!$H:$H,'ELC TECH'!AH:AH)</f>
        <v>0</v>
      </c>
      <c r="AV23" s="15">
        <f>_xlfn.XLOOKUP($B23,'ELC TECH'!$H:$H,'ELC TECH'!AI:AI)</f>
        <v>0</v>
      </c>
      <c r="AW23" s="15">
        <f>_xlfn.XLOOKUP($B23,'ELC TECH'!$H:$H,'ELC TECH'!AJ:AJ)</f>
        <v>0</v>
      </c>
      <c r="AX23" s="12">
        <f>IF(_xlfn.XLOOKUP($B23,'ELC TECH'!$H:$H,'ELC TECH'!$E:$E)="Storage","",_xlfn.XLOOKUP($B23,'ELC TECH'!$H:$H,'ELC TECH'!AS:AS))</f>
        <v>0.33</v>
      </c>
      <c r="AY23" s="12">
        <f>IF(_xlfn.XLOOKUP($B23,'ELC TECH'!$H:$H,'ELC TECH'!$E:$E)="Storage","",_xlfn.XLOOKUP($B23,'ELC TECH'!$H:$H,'ELC TECH'!AT:AT))</f>
        <v>0.33</v>
      </c>
      <c r="AZ23" s="12">
        <f>IF(_xlfn.XLOOKUP($B23,'ELC TECH'!$H:$H,'ELC TECH'!$E:$E)="Storage","",_xlfn.XLOOKUP($B23,'ELC TECH'!$H:$H,'ELC TECH'!AU:AU))</f>
        <v>0.32</v>
      </c>
      <c r="BA23" s="12">
        <f>IF(_xlfn.XLOOKUP($B23,'ELC TECH'!$H:$H,'ELC TECH'!$E:$E)="Storage","",_xlfn.XLOOKUP($B23,'ELC TECH'!$H:$H,'ELC TECH'!AV:AV))</f>
        <v>0.32</v>
      </c>
      <c r="BB23" s="12">
        <f>IF(_xlfn.XLOOKUP($B23,'ELC TECH'!$H:$H,'ELC TECH'!$E:$E)="Storage","",_xlfn.XLOOKUP($B23,'ELC TECH'!$H:$H,'ELC TECH'!AW:AW))</f>
        <v>0.32</v>
      </c>
      <c r="BC23" s="12">
        <f>IF(_xlfn.XLOOKUP($B23,'ELC TECH'!$H:$H,'ELC TECH'!$E:$E)="Storage","",_xlfn.XLOOKUP($B23,'ELC TECH'!$H:$H,'ELC TECH'!AX:AX))</f>
        <v>0.32</v>
      </c>
      <c r="BD23" s="12">
        <f>IF(_xlfn.XLOOKUP($B23,'ELC TECH'!$H:$H,'ELC TECH'!$E:$E)="Storage","",_xlfn.XLOOKUP($B23,'ELC TECH'!$H:$H,'ELC TECH'!AY:AY))</f>
        <v>0.32</v>
      </c>
      <c r="BE23" s="12">
        <f>IF(_xlfn.XLOOKUP($B23,'ELC TECH'!$H:$H,'ELC TECH'!$E:$E)="Storage","",_xlfn.XLOOKUP($B23,'ELC TECH'!$H:$H,'ELC TECH'!AZ:AZ))</f>
        <v>0.32</v>
      </c>
      <c r="BF23" s="12" t="str">
        <f>IF(_xlfn.XLOOKUP($B23,'ELC TECH'!$H:$H,'ELC TECH'!$E:$E)="Storage",_xlfn.XLOOKUP($B23,'ELC TECH'!$H:$H,'ELC TECH'!AS:AS),"")</f>
        <v/>
      </c>
      <c r="BG23" s="12" t="str">
        <f>IF(_xlfn.XLOOKUP($B23,'ELC TECH'!$H:$H,'ELC TECH'!$E:$E)="Storage",_xlfn.XLOOKUP($B23,'ELC TECH'!$H:$H,'ELC TECH'!AT:AT),"")</f>
        <v/>
      </c>
      <c r="BH23" s="12" t="str">
        <f>IF(_xlfn.XLOOKUP($B23,'ELC TECH'!$H:$H,'ELC TECH'!$E:$E)="Storage",_xlfn.XLOOKUP($B23,'ELC TECH'!$H:$H,'ELC TECH'!AU:AU),"")</f>
        <v/>
      </c>
      <c r="BI23" s="12" t="str">
        <f>IF(_xlfn.XLOOKUP($B23,'ELC TECH'!$H:$H,'ELC TECH'!$E:$E)="Storage",_xlfn.XLOOKUP($B23,'ELC TECH'!$H:$H,'ELC TECH'!AV:AV),"")</f>
        <v/>
      </c>
      <c r="BJ23" s="12" t="str">
        <f>IF(_xlfn.XLOOKUP($B23,'ELC TECH'!$H:$H,'ELC TECH'!$E:$E)="Storage",_xlfn.XLOOKUP($B23,'ELC TECH'!$H:$H,'ELC TECH'!AW:AW),"")</f>
        <v/>
      </c>
      <c r="BK23" s="12" t="str">
        <f>IF(_xlfn.XLOOKUP($B23,'ELC TECH'!$H:$H,'ELC TECH'!$E:$E)="Storage",_xlfn.XLOOKUP($B23,'ELC TECH'!$H:$H,'ELC TECH'!AX:AX),"")</f>
        <v/>
      </c>
      <c r="BL23" s="12" t="str">
        <f>IF(_xlfn.XLOOKUP($B23,'ELC TECH'!$H:$H,'ELC TECH'!$E:$E)="Storage",_xlfn.XLOOKUP($B23,'ELC TECH'!$H:$H,'ELC TECH'!AY:AY),"")</f>
        <v/>
      </c>
      <c r="BM23" s="12" t="str">
        <f>IF(_xlfn.XLOOKUP($B23,'ELC TECH'!$H:$H,'ELC TECH'!$E:$E)="Storage",_xlfn.XLOOKUP($B23,'ELC TECH'!$H:$H,'ELC TECH'!AZ:AZ),"")</f>
        <v/>
      </c>
      <c r="BN23" s="8">
        <f>IF(_xlfn.XLOOKUP($B23,'ELC TECH'!$H:$H,'ELC TECH'!$E:$E)="Non Dispatchable",IFERROR($AX23*_xlfn.XLOOKUP($C23,$BM$1:$BM$3,BN$1:BN$3)/SUMPRODUCT(_xlfn.XLOOKUP($C23,$BM$1:$BM$3,$BN$1:$BY$3),$BN$4:$BY$4),""),
"")</f>
        <v>0.23802061195673199</v>
      </c>
      <c r="BO23" s="8">
        <f>IF(_xlfn.XLOOKUP($B23,'ELC TECH'!$H:$H,'ELC TECH'!$E:$E)="Non Dispatchable",IFERROR($AX23*_xlfn.XLOOKUP($C23,$BM$1:$BM$3,BO$1:BO$3)/SUMPRODUCT(_xlfn.XLOOKUP($C23,$BM$1:$BM$3,$BN$1:$BY$3),$BN$4:$BY$4),""),
"")</f>
        <v>0.27711158837298355</v>
      </c>
      <c r="BP23" s="8">
        <f>IF(_xlfn.XLOOKUP($B23,'ELC TECH'!$H:$H,'ELC TECH'!$E:$E)="Non Dispatchable",IFERROR($AX23*_xlfn.XLOOKUP($C23,$BM$1:$BM$3,BP$1:BP$3)/SUMPRODUCT(_xlfn.XLOOKUP($C23,$BM$1:$BM$3,$BN$1:$BY$3),$BN$4:$BY$4),""),
"")</f>
        <v>0.44361019162738857</v>
      </c>
      <c r="BQ23" s="8">
        <f>IF(_xlfn.XLOOKUP($B23,'ELC TECH'!$H:$H,'ELC TECH'!$E:$E)="Non Dispatchable",IFERROR($AX23*_xlfn.XLOOKUP($C23,$BM$1:$BM$3,BQ$1:BQ$3)/SUMPRODUCT(_xlfn.XLOOKUP($C23,$BM$1:$BM$3,$BN$1:$BY$3),$BN$4:$BY$4),""),
"")</f>
        <v>9.2660092245929731E-3</v>
      </c>
      <c r="BR23" s="8">
        <f>IF(_xlfn.XLOOKUP($B23,'ELC TECH'!$H:$H,'ELC TECH'!$E:$E)="Non Dispatchable",IFERROR($AX23*_xlfn.XLOOKUP($C23,$BM$1:$BM$3,BR$1:BR$3)/SUMPRODUCT(_xlfn.XLOOKUP($C23,$BM$1:$BM$3,$BN$1:$BY$3),$BN$4:$BY$4),""),
"")</f>
        <v>0.2359936724388523</v>
      </c>
      <c r="BS23" s="8">
        <f>IF(_xlfn.XLOOKUP($B23,'ELC TECH'!$H:$H,'ELC TECH'!$E:$E)="Non Dispatchable",IFERROR($AX23*_xlfn.XLOOKUP($C23,$BM$1:$BM$3,BS$1:BS$3)/SUMPRODUCT(_xlfn.XLOOKUP($C23,$BM$1:$BM$3,$BN$1:$BY$3),$BN$4:$BY$4),""),
"")</f>
        <v>0.31475475084789256</v>
      </c>
      <c r="BT23" s="8">
        <f>IF(_xlfn.XLOOKUP($B23,'ELC TECH'!$H:$H,'ELC TECH'!$E:$E)="Non Dispatchable",IFERROR($AX23*_xlfn.XLOOKUP($C23,$BM$1:$BM$3,BT$1:BT$3)/SUMPRODUCT(_xlfn.XLOOKUP($C23,$BM$1:$BM$3,$BN$1:$BY$3),$BN$4:$BY$4),""),
"")</f>
        <v>0.3998862105988405</v>
      </c>
      <c r="BU23" s="8">
        <f>IF(_xlfn.XLOOKUP($B23,'ELC TECH'!$H:$H,'ELC TECH'!$E:$E)="Non Dispatchable",IFERROR($AX23*_xlfn.XLOOKUP($C23,$BM$1:$BM$3,BU$1:BU$3)/SUMPRODUCT(_xlfn.XLOOKUP($C23,$BM$1:$BM$3,$BN$1:$BY$3),$BN$4:$BY$4),""),
"")</f>
        <v>9.2660092245929731E-3</v>
      </c>
      <c r="BV23" s="8">
        <f>IF(_xlfn.XLOOKUP($B23,'ELC TECH'!$H:$H,'ELC TECH'!$E:$E)="Non Dispatchable",IFERROR($AX23*_xlfn.XLOOKUP($C23,$BM$1:$BM$3,BV$1:BV$3)/SUMPRODUCT(_xlfn.XLOOKUP($C23,$BM$1:$BM$3,$BN$1:$BY$3),$BN$4:$BY$4),""),
"")</f>
        <v>0.28232371856181715</v>
      </c>
      <c r="BW23" s="8">
        <f>IF(_xlfn.XLOOKUP($B23,'ELC TECH'!$H:$H,'ELC TECH'!$E:$E)="Non Dispatchable",IFERROR($AX23*_xlfn.XLOOKUP($C23,$BM$1:$BM$3,BW$1:BW$3)/SUMPRODUCT(_xlfn.XLOOKUP($C23,$BM$1:$BM$3,$BN$1:$BY$3),$BN$4:$BY$4),""),
"")</f>
        <v>0.31475475084789256</v>
      </c>
      <c r="BX23" s="8">
        <f>IF(_xlfn.XLOOKUP($B23,'ELC TECH'!$H:$H,'ELC TECH'!$E:$E)="Non Dispatchable",IFERROR($AX23*_xlfn.XLOOKUP($C23,$BM$1:$BM$3,BX$1:BX$3)/SUMPRODUCT(_xlfn.XLOOKUP($C23,$BM$1:$BM$3,$BN$1:$BY$3),$BN$4:$BY$4),""),
"")</f>
        <v>0.36282217370046854</v>
      </c>
      <c r="BY23" s="8">
        <f>IF(_xlfn.XLOOKUP($B23,'ELC TECH'!$H:$H,'ELC TECH'!$E:$E)="Non Dispatchable",IFERROR($AX23*_xlfn.XLOOKUP($C23,$BM$1:$BM$3,BY$1:BY$3)/SUMPRODUCT(_xlfn.XLOOKUP($C23,$BM$1:$BM$3,$BN$1:$BY$3),$BN$4:$BY$4),""),
"")</f>
        <v>7.8181952832503208E-3</v>
      </c>
      <c r="BZ23" s="8">
        <f>IF(_xlfn.XLOOKUP($B23,'ELC TECH'!$H:$H,'ELC TECH'!$E:$E)="Non Dispatchable",IFERROR($AX23*_xlfn.XLOOKUP($C23,$BM$1:$BM$3,BZ$1:BZ$3)/SUMPRODUCT(_xlfn.XLOOKUP($C23,$BM$1:$BM$3,$BN$1:$BY$3),$BN$4:$BY$4),""),
"")</f>
        <v>0.23802061195673199</v>
      </c>
      <c r="CA23" s="8">
        <f>IF(_xlfn.XLOOKUP($B23,'ELC TECH'!$H:$H,'ELC TECH'!$E:$E)="Non Dispatchable",IFERROR($AX23*_xlfn.XLOOKUP($C23,$BM$1:$BM$3,CA$1:CA$3)/SUMPRODUCT(_xlfn.XLOOKUP($C23,$BM$1:$BM$3,$BN$1:$BY$3),$BN$4:$BY$4),""),
"")</f>
        <v>0.27711158837298355</v>
      </c>
      <c r="CB23" s="8">
        <f>IF(_xlfn.XLOOKUP($B23,'ELC TECH'!$H:$H,'ELC TECH'!$E:$E)="Non Dispatchable",IFERROR($AX23*_xlfn.XLOOKUP($C23,$BM$1:$BM$3,CB$1:CB$3)/SUMPRODUCT(_xlfn.XLOOKUP($C23,$BM$1:$BM$3,$BN$1:$BY$3),$BN$4:$BY$4),""),
"")</f>
        <v>0.44361019162738857</v>
      </c>
      <c r="CC23" s="8">
        <f>IF(_xlfn.XLOOKUP($B23,'ELC TECH'!$H:$H,'ELC TECH'!$E:$E)="Non Dispatchable",IFERROR($AX23*_xlfn.XLOOKUP($C23,$BM$1:$BM$3,CC$1:CC$3)/SUMPRODUCT(_xlfn.XLOOKUP($C23,$BM$1:$BM$3,$BN$1:$BY$3),$BN$4:$BY$4),""),
"")</f>
        <v>9.2660092245929731E-3</v>
      </c>
      <c r="CD23" s="8">
        <f>IF(_xlfn.XLOOKUP($B23,'ELC TECH'!$H:$H,'ELC TECH'!$E:$E)="Non Dispatchable",IFERROR($AX23*_xlfn.XLOOKUP($C23,$BM$1:$BM$3,CD$1:CD$3)/SUMPRODUCT(_xlfn.XLOOKUP($C23,$BM$1:$BM$3,$BN$1:$BY$3),$BN$4:$BY$4),""),
"")</f>
        <v>0.2359936724388523</v>
      </c>
      <c r="CE23" s="8">
        <f>IF(_xlfn.XLOOKUP($B23,'ELC TECH'!$H:$H,'ELC TECH'!$E:$E)="Non Dispatchable",IFERROR($AX23*_xlfn.XLOOKUP($C23,$BM$1:$BM$3,CE$1:CE$3)/SUMPRODUCT(_xlfn.XLOOKUP($C23,$BM$1:$BM$3,$BN$1:$BY$3),$BN$4:$BY$4),""),
"")</f>
        <v>0.31475475084789256</v>
      </c>
      <c r="CF23" s="8">
        <f>IF(_xlfn.XLOOKUP($B23,'ELC TECH'!$H:$H,'ELC TECH'!$E:$E)="Non Dispatchable",IFERROR($AX23*_xlfn.XLOOKUP($C23,$BM$1:$BM$3,CF$1:CF$3)/SUMPRODUCT(_xlfn.XLOOKUP($C23,$BM$1:$BM$3,$BN$1:$BY$3),$BN$4:$BY$4),""),
"")</f>
        <v>0.3998862105988405</v>
      </c>
      <c r="CG23" s="8">
        <f>IF(_xlfn.XLOOKUP($B23,'ELC TECH'!$H:$H,'ELC TECH'!$E:$E)="Non Dispatchable",IFERROR($AX23*_xlfn.XLOOKUP($C23,$BM$1:$BM$3,CG$1:CG$3)/SUMPRODUCT(_xlfn.XLOOKUP($C23,$BM$1:$BM$3,$BN$1:$BY$3),$BN$4:$BY$4),""),
"")</f>
        <v>9.2660092245929731E-3</v>
      </c>
      <c r="CH23" s="8">
        <f>IF(_xlfn.XLOOKUP($B23,'ELC TECH'!$H:$H,'ELC TECH'!$E:$E)="Non Dispatchable",IFERROR($AX23*_xlfn.XLOOKUP($C23,$BM$1:$BM$3,CH$1:CH$3)/SUMPRODUCT(_xlfn.XLOOKUP($C23,$BM$1:$BM$3,$BN$1:$BY$3),$BN$4:$BY$4),""),
"")</f>
        <v>0.28232371856181715</v>
      </c>
      <c r="CI23" s="8">
        <f>IF(_xlfn.XLOOKUP($B23,'ELC TECH'!$H:$H,'ELC TECH'!$E:$E)="Non Dispatchable",IFERROR($AX23*_xlfn.XLOOKUP($C23,$BM$1:$BM$3,CI$1:CI$3)/SUMPRODUCT(_xlfn.XLOOKUP($C23,$BM$1:$BM$3,$BN$1:$BY$3),$BN$4:$BY$4),""),
"")</f>
        <v>0.31475475084789256</v>
      </c>
      <c r="CJ23" s="8">
        <f>IF(_xlfn.XLOOKUP($B23,'ELC TECH'!$H:$H,'ELC TECH'!$E:$E)="Non Dispatchable",IFERROR($AX23*_xlfn.XLOOKUP($C23,$BM$1:$BM$3,CJ$1:CJ$3)/SUMPRODUCT(_xlfn.XLOOKUP($C23,$BM$1:$BM$3,$BN$1:$BY$3),$BN$4:$BY$4),""),
"")</f>
        <v>0.36282217370046854</v>
      </c>
      <c r="CK23" s="8">
        <f>IF(_xlfn.XLOOKUP($B23,'ELC TECH'!$H:$H,'ELC TECH'!$E:$E)="Non Dispatchable",IFERROR($AX23*_xlfn.XLOOKUP($C23,$BM$1:$BM$3,CK$1:CK$3)/SUMPRODUCT(_xlfn.XLOOKUP($C23,$BM$1:$BM$3,$BN$1:$BY$3),$BN$4:$BY$4),""),
"")</f>
        <v>7.8181952832503208E-3</v>
      </c>
      <c r="CL23" s="8" t="str">
        <f>IF(_xlfn.XLOOKUP($B23,'ELC TECH'!$H:$H,'ELC TECH'!$E:$E)="Storage",CL$4*$BF23,"")</f>
        <v/>
      </c>
      <c r="CM23" s="8" t="str">
        <f>IF(_xlfn.XLOOKUP($B23,'ELC TECH'!$H:$H,'ELC TECH'!$E:$E)="Storage",CM$4*$BF23,"")</f>
        <v/>
      </c>
      <c r="CN23" s="8" t="str">
        <f>IF(_xlfn.XLOOKUP($B23,'ELC TECH'!$H:$H,'ELC TECH'!$E:$E)="Storage",CN$4*$BF23,"")</f>
        <v/>
      </c>
      <c r="CO23" s="8" t="str">
        <f>IF(_xlfn.XLOOKUP($B23,'ELC TECH'!$H:$H,'ELC TECH'!$E:$E)="Storage",CO$4*$BF23,"")</f>
        <v/>
      </c>
      <c r="CP23" s="8" t="str">
        <f>IF(_xlfn.XLOOKUP($B23,'ELC TECH'!$H:$H,'ELC TECH'!$E:$E)="Storage",CP$4*$BF23,"")</f>
        <v/>
      </c>
      <c r="CQ23" s="8" t="str">
        <f>IF(_xlfn.XLOOKUP($B23,'ELC TECH'!$H:$H,'ELC TECH'!$E:$E)="Storage",CQ$4*$BF23,"")</f>
        <v/>
      </c>
      <c r="CR23" s="8" t="str">
        <f>IF(_xlfn.XLOOKUP($B23,'ELC TECH'!$H:$H,'ELC TECH'!$E:$E)="Storage",CR$4*$BF23,"")</f>
        <v/>
      </c>
      <c r="CS23" s="8" t="str">
        <f>IF(_xlfn.XLOOKUP($B23,'ELC TECH'!$H:$H,'ELC TECH'!$E:$E)="Storage",CS$4*$BF23,"")</f>
        <v/>
      </c>
      <c r="CT23" s="8" t="str">
        <f>IF(_xlfn.XLOOKUP($B23,'ELC TECH'!$H:$H,'ELC TECH'!$E:$E)="Storage",CT$4*$BF23,"")</f>
        <v/>
      </c>
      <c r="CU23" s="8" t="str">
        <f>IF(_xlfn.XLOOKUP($B23,'ELC TECH'!$H:$H,'ELC TECH'!$E:$E)="Storage",CU$4*$BF23,"")</f>
        <v/>
      </c>
      <c r="CV23" s="8" t="str">
        <f>IF(_xlfn.XLOOKUP($B23,'ELC TECH'!$H:$H,'ELC TECH'!$E:$E)="Storage",CV$4*$BF23,"")</f>
        <v/>
      </c>
      <c r="CW23" s="8" t="str">
        <f>IF(_xlfn.XLOOKUP($B23,'ELC TECH'!$H:$H,'ELC TECH'!$E:$E)="Storage",CW$4*$BF23,"")</f>
        <v/>
      </c>
      <c r="CX23" s="8" t="str">
        <f>IF(_xlfn.XLOOKUP($B23,'ELC TECH'!$H:$H,'ELC TECH'!$E:$E)="Storage",CX$4*$BF23,"")</f>
        <v/>
      </c>
      <c r="CY23" s="8" t="str">
        <f>IF(_xlfn.XLOOKUP($B23,'ELC TECH'!$H:$H,'ELC TECH'!$E:$E)="Storage",CY$4*$BF23,"")</f>
        <v/>
      </c>
      <c r="CZ23" s="8" t="str">
        <f>IF(_xlfn.XLOOKUP($B23,'ELC TECH'!$H:$H,'ELC TECH'!$E:$E)="Storage",CZ$4*$BF23,"")</f>
        <v/>
      </c>
      <c r="DA23" s="8" t="str">
        <f>IF(_xlfn.XLOOKUP($B23,'ELC TECH'!$H:$H,'ELC TECH'!$E:$E)="Storage",DA$4*$BF23,"")</f>
        <v/>
      </c>
      <c r="DB23" s="8" t="str">
        <f>IF(_xlfn.XLOOKUP($B23,'ELC TECH'!$H:$H,'ELC TECH'!$E:$E)="Storage",DB$4*$BF23,"")</f>
        <v/>
      </c>
      <c r="DC23" s="8" t="str">
        <f>IF(_xlfn.XLOOKUP($B23,'ELC TECH'!$H:$H,'ELC TECH'!$E:$E)="Storage",DC$4*$BF23,"")</f>
        <v/>
      </c>
      <c r="DD23" s="8" t="str">
        <f>IF(_xlfn.XLOOKUP($B23,'ELC TECH'!$H:$H,'ELC TECH'!$E:$E)="Storage",DD$4*$BF23,"")</f>
        <v/>
      </c>
      <c r="DE23" s="8" t="str">
        <f>IF(_xlfn.XLOOKUP($B23,'ELC TECH'!$H:$H,'ELC TECH'!$E:$E)="Storage",DE$4*$BF23,"")</f>
        <v/>
      </c>
      <c r="DF23" s="8" t="str">
        <f>IF(_xlfn.XLOOKUP($B23,'ELC TECH'!$H:$H,'ELC TECH'!$E:$E)="Storage",DF$4*$BF23,"")</f>
        <v/>
      </c>
      <c r="DG23" s="8" t="str">
        <f>IF(_xlfn.XLOOKUP($B23,'ELC TECH'!$H:$H,'ELC TECH'!$E:$E)="Storage",DG$4*$BF23,"")</f>
        <v/>
      </c>
      <c r="DH23" s="8" t="str">
        <f>IF(_xlfn.XLOOKUP($B23,'ELC TECH'!$H:$H,'ELC TECH'!$E:$E)="Storage",DH$4*$BF23,"")</f>
        <v/>
      </c>
      <c r="DI23" s="8" t="str">
        <f>IF(_xlfn.XLOOKUP($B23,'ELC TECH'!$H:$H,'ELC TECH'!$E:$E)="Storage",DI$4*$BF23,"")</f>
        <v/>
      </c>
    </row>
    <row r="24" spans="2:113" x14ac:dyDescent="0.25">
      <c r="B24" t="str">
        <f>IF('ELC TECH'!I17=0,"*",'ELC TECH'!H17)</f>
        <v>ELCHYDGRDHNPNDC420</v>
      </c>
      <c r="C24" t="str">
        <f>IF(_xlfn.XLOOKUP(_xlfn.XLOOKUP(B24,'ELC TECH'!$H:$H,'ELC TECH'!$G:$G),List!C:C,List!B:B)="STG",D24,"ELC"&amp;_xlfn.XLOOKUP(_xlfn.XLOOKUP(B24,'ELC TECH'!H:H,'ELC TECH'!G:G),List!C:C,List!B:B))</f>
        <v>ELCHYD</v>
      </c>
      <c r="D24" t="s">
        <v>544</v>
      </c>
      <c r="E24">
        <f>_xlfn.XLOOKUP(B24,'ELC TECH'!H:H,'ELC TECH'!D:D)</f>
        <v>2020</v>
      </c>
      <c r="F24">
        <f>_xlfn.XLOOKUP(B24,'ELC TECH'!H:H,'ELC TECH'!K:K)</f>
        <v>100</v>
      </c>
      <c r="G24">
        <f t="shared" si="4"/>
        <v>31.535999999999998</v>
      </c>
      <c r="H24">
        <f>IF(_xlfn.XLOOKUP(B24,'ELC TECH'!$H:$H,'ELC TECH'!$E:$E)="Storage",0.3,IF(_xlfn.XLOOKUP(B24,'ELC TECH'!$H:$H,'ELC TECH'!$E:$E)="Baseload",0.9,IF(_xlfn.XLOOKUP(B24,'ELC TECH'!$H:$H,'ELC TECH'!$E:$E)="Non Dispatchable",0.05,IF(_xlfn.XLOOKUP(B24,'ELC TECH'!$H:$H,'ELC TECH'!$E:$E)="Dispatchable",0.9,1))))</f>
        <v>0.05</v>
      </c>
      <c r="I24" s="13">
        <f>IF(_xlfn.XLOOKUP(B24,'ELC TECH'!H:H,'ELC TECH'!J:J)="","",_xlfn.XLOOKUP(B24,'ELC TECH'!H:H,'ELC TECH'!J:J))</f>
        <v>0</v>
      </c>
      <c r="J24" s="12">
        <f>IF(_xlfn.XLOOKUP($B24,'ELC TECH'!$H:$H,'ELC TECH'!$E:$E)="Storage","",IF(_xlfn.XLOOKUP($B24,'ELC TECH'!$H:$H,'ELC TECH'!AK:AK)="",1,_xlfn.XLOOKUP($B24,'ELC TECH'!$H:$H,'ELC TECH'!AK:AK)))</f>
        <v>1</v>
      </c>
      <c r="K24" s="12">
        <f>IF(_xlfn.XLOOKUP($B24,'ELC TECH'!$H:$H,'ELC TECH'!$E:$E)="Storage","",IF(_xlfn.XLOOKUP($B24,'ELC TECH'!$H:$H,'ELC TECH'!AL:AL)="",1,_xlfn.XLOOKUP($B24,'ELC TECH'!$H:$H,'ELC TECH'!AL:AL)))</f>
        <v>1</v>
      </c>
      <c r="L24" s="12">
        <f>IF(_xlfn.XLOOKUP($B24,'ELC TECH'!$H:$H,'ELC TECH'!$E:$E)="Storage","",IF(_xlfn.XLOOKUP($B24,'ELC TECH'!$H:$H,'ELC TECH'!AM:AM)="",1,_xlfn.XLOOKUP($B24,'ELC TECH'!$H:$H,'ELC TECH'!AM:AM)))</f>
        <v>1</v>
      </c>
      <c r="M24" s="12">
        <f>IF(_xlfn.XLOOKUP($B24,'ELC TECH'!$H:$H,'ELC TECH'!$E:$E)="Storage","",IF(_xlfn.XLOOKUP($B24,'ELC TECH'!$H:$H,'ELC TECH'!AN:AN)="",1,_xlfn.XLOOKUP($B24,'ELC TECH'!$H:$H,'ELC TECH'!AN:AN)))</f>
        <v>1</v>
      </c>
      <c r="N24" s="12">
        <f>IF(_xlfn.XLOOKUP($B24,'ELC TECH'!$H:$H,'ELC TECH'!$E:$E)="Storage","",IF(_xlfn.XLOOKUP($B24,'ELC TECH'!$H:$H,'ELC TECH'!AO:AO)="",1,_xlfn.XLOOKUP($B24,'ELC TECH'!$H:$H,'ELC TECH'!AO:AO)))</f>
        <v>1</v>
      </c>
      <c r="O24" s="12">
        <f>IF(_xlfn.XLOOKUP($B24,'ELC TECH'!$H:$H,'ELC TECH'!$E:$E)="Storage","",IF(_xlfn.XLOOKUP($B24,'ELC TECH'!$H:$H,'ELC TECH'!AP:AP)="",1,_xlfn.XLOOKUP($B24,'ELC TECH'!$H:$H,'ELC TECH'!AP:AP)))</f>
        <v>1</v>
      </c>
      <c r="P24" s="12">
        <f>IF(_xlfn.XLOOKUP($B24,'ELC TECH'!$H:$H,'ELC TECH'!$E:$E)="Storage","",IF(_xlfn.XLOOKUP($B24,'ELC TECH'!$H:$H,'ELC TECH'!AQ:AQ)="",1,_xlfn.XLOOKUP($B24,'ELC TECH'!$H:$H,'ELC TECH'!AQ:AQ)))</f>
        <v>1</v>
      </c>
      <c r="Q24" s="12">
        <f>IF(_xlfn.XLOOKUP($B24,'ELC TECH'!$H:$H,'ELC TECH'!$E:$E)="Storage","",IF(_xlfn.XLOOKUP($B24,'ELC TECH'!$H:$H,'ELC TECH'!AR:AR)="",1,_xlfn.XLOOKUP($B24,'ELC TECH'!$H:$H,'ELC TECH'!AR:AR)))</f>
        <v>1</v>
      </c>
      <c r="R24" s="12" t="str">
        <f>IF(_xlfn.XLOOKUP($B24,'ELC TECH'!$H:$H,'ELC TECH'!$E:$E)&lt;&gt;"Storage","",IF(_xlfn.XLOOKUP($B24,'ELC TECH'!$H:$H,'ELC TECH'!AK:AK)="",0.8,_xlfn.XLOOKUP($B24,'ELC TECH'!$H:$H,'ELC TECH'!AK:AK)))</f>
        <v/>
      </c>
      <c r="S24" s="12" t="str">
        <f>IF(_xlfn.XLOOKUP($B24,'ELC TECH'!$H:$H,'ELC TECH'!$E:$E)&lt;&gt;"Storage","",IF(_xlfn.XLOOKUP($B24,'ELC TECH'!$H:$H,'ELC TECH'!AL:AL)="",0.8,_xlfn.XLOOKUP($B24,'ELC TECH'!$H:$H,'ELC TECH'!AL:AL)))</f>
        <v/>
      </c>
      <c r="T24" s="12" t="str">
        <f>IF(_xlfn.XLOOKUP($B24,'ELC TECH'!$H:$H,'ELC TECH'!$E:$E)&lt;&gt;"Storage","",IF(_xlfn.XLOOKUP($B24,'ELC TECH'!$H:$H,'ELC TECH'!AM:AM)="",0.8,_xlfn.XLOOKUP($B24,'ELC TECH'!$H:$H,'ELC TECH'!AM:AM)))</f>
        <v/>
      </c>
      <c r="U24" s="12" t="str">
        <f>IF(_xlfn.XLOOKUP($B24,'ELC TECH'!$H:$H,'ELC TECH'!$E:$E)&lt;&gt;"Storage","",IF(_xlfn.XLOOKUP($B24,'ELC TECH'!$H:$H,'ELC TECH'!AN:AN)="",0.8,_xlfn.XLOOKUP($B24,'ELC TECH'!$H:$H,'ELC TECH'!AN:AN)))</f>
        <v/>
      </c>
      <c r="V24" s="12" t="str">
        <f>IF(_xlfn.XLOOKUP($B24,'ELC TECH'!$H:$H,'ELC TECH'!$E:$E)&lt;&gt;"Storage","",IF(_xlfn.XLOOKUP($B24,'ELC TECH'!$H:$H,'ELC TECH'!AO:AO)="",0.8,_xlfn.XLOOKUP($B24,'ELC TECH'!$H:$H,'ELC TECH'!AO:AO)))</f>
        <v/>
      </c>
      <c r="W24" s="12" t="str">
        <f>IF(_xlfn.XLOOKUP($B24,'ELC TECH'!$H:$H,'ELC TECH'!$E:$E)&lt;&gt;"Storage","",IF(_xlfn.XLOOKUP($B24,'ELC TECH'!$H:$H,'ELC TECH'!AP:AP)="",0.8,_xlfn.XLOOKUP($B24,'ELC TECH'!$H:$H,'ELC TECH'!AP:AP)))</f>
        <v/>
      </c>
      <c r="X24" s="12" t="str">
        <f>IF(_xlfn.XLOOKUP($B24,'ELC TECH'!$H:$H,'ELC TECH'!$E:$E)&lt;&gt;"Storage","",IF(_xlfn.XLOOKUP($B24,'ELC TECH'!$H:$H,'ELC TECH'!AQ:AQ)="",0.8,_xlfn.XLOOKUP($B24,'ELC TECH'!$H:$H,'ELC TECH'!AQ:AQ)))</f>
        <v/>
      </c>
      <c r="Y24" s="12" t="str">
        <f>IF(_xlfn.XLOOKUP($B24,'ELC TECH'!$H:$H,'ELC TECH'!$E:$E)&lt;&gt;"Storage","",IF(_xlfn.XLOOKUP($B24,'ELC TECH'!$H:$H,'ELC TECH'!AR:AR)="",0.8,_xlfn.XLOOKUP($B24,'ELC TECH'!$H:$H,'ELC TECH'!AR:AR)))</f>
        <v/>
      </c>
      <c r="Z24" s="15">
        <f>_xlfn.XLOOKUP($B24,'ELC TECH'!$H:$H,'ELC TECH'!M:M)</f>
        <v>14006.80078622317</v>
      </c>
      <c r="AA24" s="15">
        <f>_xlfn.XLOOKUP($B24,'ELC TECH'!$H:$H,'ELC TECH'!N:N)</f>
        <v>14006.80078622317</v>
      </c>
      <c r="AB24" s="15">
        <f>_xlfn.XLOOKUP($B24,'ELC TECH'!$H:$H,'ELC TECH'!O:O)</f>
        <v>11382.292460977031</v>
      </c>
      <c r="AC24" s="15">
        <f>_xlfn.XLOOKUP($B24,'ELC TECH'!$H:$H,'ELC TECH'!P:P)</f>
        <v>8758.9149019201323</v>
      </c>
      <c r="AD24" s="15">
        <f>_xlfn.XLOOKUP($B24,'ELC TECH'!$H:$H,'ELC TECH'!Q:Q)</f>
        <v>8408.3773832530478</v>
      </c>
      <c r="AE24" s="15">
        <f>_xlfn.XLOOKUP($B24,'ELC TECH'!$H:$H,'ELC TECH'!R:R)</f>
        <v>8408.3773832530478</v>
      </c>
      <c r="AF24" s="15">
        <f>_xlfn.XLOOKUP($B24,'ELC TECH'!$H:$H,'ELC TECH'!S:S)</f>
        <v>8408.3773832530478</v>
      </c>
      <c r="AG24" s="15">
        <f>_xlfn.XLOOKUP($B24,'ELC TECH'!$H:$H,'ELC TECH'!T:T)</f>
        <v>8408.3773832530478</v>
      </c>
      <c r="AH24" s="15">
        <f>_xlfn.XLOOKUP($B24,'ELC TECH'!$H:$H,'ELC TECH'!U:U)</f>
        <v>196.7533169292671</v>
      </c>
      <c r="AI24" s="15">
        <f>_xlfn.XLOOKUP($B24,'ELC TECH'!$H:$H,'ELC TECH'!V:V)</f>
        <v>196.7533169292671</v>
      </c>
      <c r="AJ24" s="15">
        <f>_xlfn.XLOOKUP($B24,'ELC TECH'!$H:$H,'ELC TECH'!W:W)</f>
        <v>196.7533169292671</v>
      </c>
      <c r="AK24" s="15">
        <f>_xlfn.XLOOKUP($B24,'ELC TECH'!$H:$H,'ELC TECH'!X:X)</f>
        <v>196.7533169292671</v>
      </c>
      <c r="AL24" s="15">
        <f>_xlfn.XLOOKUP($B24,'ELC TECH'!$H:$H,'ELC TECH'!Y:Y)</f>
        <v>188.83795360452649</v>
      </c>
      <c r="AM24" s="15">
        <f>_xlfn.XLOOKUP($B24,'ELC TECH'!$H:$H,'ELC TECH'!Z:Z)</f>
        <v>188.83795360452649</v>
      </c>
      <c r="AN24" s="15">
        <f>_xlfn.XLOOKUP($B24,'ELC TECH'!$H:$H,'ELC TECH'!AA:AA)</f>
        <v>188.83795360452649</v>
      </c>
      <c r="AO24" s="15">
        <f>_xlfn.XLOOKUP($B24,'ELC TECH'!$H:$H,'ELC TECH'!AB:AB)</f>
        <v>188.83795360452649</v>
      </c>
      <c r="AP24" s="15">
        <f>_xlfn.XLOOKUP($B24,'ELC TECH'!$H:$H,'ELC TECH'!AC:AC)</f>
        <v>0</v>
      </c>
      <c r="AQ24" s="15">
        <f>_xlfn.XLOOKUP($B24,'ELC TECH'!$H:$H,'ELC TECH'!AD:AD)</f>
        <v>0</v>
      </c>
      <c r="AR24" s="15">
        <f>_xlfn.XLOOKUP($B24,'ELC TECH'!$H:$H,'ELC TECH'!AE:AE)</f>
        <v>0</v>
      </c>
      <c r="AS24" s="15">
        <f>_xlfn.XLOOKUP($B24,'ELC TECH'!$H:$H,'ELC TECH'!AF:AF)</f>
        <v>0</v>
      </c>
      <c r="AT24" s="15">
        <f>_xlfn.XLOOKUP($B24,'ELC TECH'!$H:$H,'ELC TECH'!AG:AG)</f>
        <v>0</v>
      </c>
      <c r="AU24" s="15">
        <f>_xlfn.XLOOKUP($B24,'ELC TECH'!$H:$H,'ELC TECH'!AH:AH)</f>
        <v>0</v>
      </c>
      <c r="AV24" s="15">
        <f>_xlfn.XLOOKUP($B24,'ELC TECH'!$H:$H,'ELC TECH'!AI:AI)</f>
        <v>0</v>
      </c>
      <c r="AW24" s="15">
        <f>_xlfn.XLOOKUP($B24,'ELC TECH'!$H:$H,'ELC TECH'!AJ:AJ)</f>
        <v>0</v>
      </c>
      <c r="AX24" s="12">
        <f>IF(_xlfn.XLOOKUP($B24,'ELC TECH'!$H:$H,'ELC TECH'!$E:$E)="Storage","",_xlfn.XLOOKUP($B24,'ELC TECH'!$H:$H,'ELC TECH'!AS:AS))</f>
        <v>0.37999999999999989</v>
      </c>
      <c r="AY24" s="12">
        <f>IF(_xlfn.XLOOKUP($B24,'ELC TECH'!$H:$H,'ELC TECH'!$E:$E)="Storage","",_xlfn.XLOOKUP($B24,'ELC TECH'!$H:$H,'ELC TECH'!AT:AT))</f>
        <v>0.37999999999999989</v>
      </c>
      <c r="AZ24" s="12">
        <f>IF(_xlfn.XLOOKUP($B24,'ELC TECH'!$H:$H,'ELC TECH'!$E:$E)="Storage","",_xlfn.XLOOKUP($B24,'ELC TECH'!$H:$H,'ELC TECH'!AU:AU))</f>
        <v>0.37999999999999989</v>
      </c>
      <c r="BA24" s="12">
        <f>IF(_xlfn.XLOOKUP($B24,'ELC TECH'!$H:$H,'ELC TECH'!$E:$E)="Storage","",_xlfn.XLOOKUP($B24,'ELC TECH'!$H:$H,'ELC TECH'!AV:AV))</f>
        <v>0.37999999999999989</v>
      </c>
      <c r="BB24" s="12">
        <f>IF(_xlfn.XLOOKUP($B24,'ELC TECH'!$H:$H,'ELC TECH'!$E:$E)="Storage","",_xlfn.XLOOKUP($B24,'ELC TECH'!$H:$H,'ELC TECH'!AW:AW))</f>
        <v>0.37999999999999989</v>
      </c>
      <c r="BC24" s="12">
        <f>IF(_xlfn.XLOOKUP($B24,'ELC TECH'!$H:$H,'ELC TECH'!$E:$E)="Storage","",_xlfn.XLOOKUP($B24,'ELC TECH'!$H:$H,'ELC TECH'!AX:AX))</f>
        <v>0.37999999999999989</v>
      </c>
      <c r="BD24" s="12">
        <f>IF(_xlfn.XLOOKUP($B24,'ELC TECH'!$H:$H,'ELC TECH'!$E:$E)="Storage","",_xlfn.XLOOKUP($B24,'ELC TECH'!$H:$H,'ELC TECH'!AY:AY))</f>
        <v>0.37999999999999989</v>
      </c>
      <c r="BE24" s="12">
        <f>IF(_xlfn.XLOOKUP($B24,'ELC TECH'!$H:$H,'ELC TECH'!$E:$E)="Storage","",_xlfn.XLOOKUP($B24,'ELC TECH'!$H:$H,'ELC TECH'!AZ:AZ))</f>
        <v>0.37999999999999989</v>
      </c>
      <c r="BF24" s="12" t="str">
        <f>IF(_xlfn.XLOOKUP($B24,'ELC TECH'!$H:$H,'ELC TECH'!$E:$E)="Storage",_xlfn.XLOOKUP($B24,'ELC TECH'!$H:$H,'ELC TECH'!AS:AS),"")</f>
        <v/>
      </c>
      <c r="BG24" s="12" t="str">
        <f>IF(_xlfn.XLOOKUP($B24,'ELC TECH'!$H:$H,'ELC TECH'!$E:$E)="Storage",_xlfn.XLOOKUP($B24,'ELC TECH'!$H:$H,'ELC TECH'!AT:AT),"")</f>
        <v/>
      </c>
      <c r="BH24" s="12" t="str">
        <f>IF(_xlfn.XLOOKUP($B24,'ELC TECH'!$H:$H,'ELC TECH'!$E:$E)="Storage",_xlfn.XLOOKUP($B24,'ELC TECH'!$H:$H,'ELC TECH'!AU:AU),"")</f>
        <v/>
      </c>
      <c r="BI24" s="12" t="str">
        <f>IF(_xlfn.XLOOKUP($B24,'ELC TECH'!$H:$H,'ELC TECH'!$E:$E)="Storage",_xlfn.XLOOKUP($B24,'ELC TECH'!$H:$H,'ELC TECH'!AV:AV),"")</f>
        <v/>
      </c>
      <c r="BJ24" s="12" t="str">
        <f>IF(_xlfn.XLOOKUP($B24,'ELC TECH'!$H:$H,'ELC TECH'!$E:$E)="Storage",_xlfn.XLOOKUP($B24,'ELC TECH'!$H:$H,'ELC TECH'!AW:AW),"")</f>
        <v/>
      </c>
      <c r="BK24" s="12" t="str">
        <f>IF(_xlfn.XLOOKUP($B24,'ELC TECH'!$H:$H,'ELC TECH'!$E:$E)="Storage",_xlfn.XLOOKUP($B24,'ELC TECH'!$H:$H,'ELC TECH'!AX:AX),"")</f>
        <v/>
      </c>
      <c r="BL24" s="12" t="str">
        <f>IF(_xlfn.XLOOKUP($B24,'ELC TECH'!$H:$H,'ELC TECH'!$E:$E)="Storage",_xlfn.XLOOKUP($B24,'ELC TECH'!$H:$H,'ELC TECH'!AY:AY),"")</f>
        <v/>
      </c>
      <c r="BM24" s="12" t="str">
        <f>IF(_xlfn.XLOOKUP($B24,'ELC TECH'!$H:$H,'ELC TECH'!$E:$E)="Storage",_xlfn.XLOOKUP($B24,'ELC TECH'!$H:$H,'ELC TECH'!AZ:AZ),"")</f>
        <v/>
      </c>
      <c r="BN24" s="8">
        <f>IF(_xlfn.XLOOKUP($B24,'ELC TECH'!$H:$H,'ELC TECH'!$E:$E)="Non Dispatchable",IFERROR($AX24*_xlfn.XLOOKUP($C24,$BM$1:$BM$3,BN$1:BN$3)/SUMPRODUCT(_xlfn.XLOOKUP($C24,$BM$1:$BM$3,$BN$1:$BY$3),$BN$4:$BY$4),""),
"")</f>
        <v>0.2740843410410852</v>
      </c>
      <c r="BO24" s="8">
        <f>IF(_xlfn.XLOOKUP($B24,'ELC TECH'!$H:$H,'ELC TECH'!$E:$E)="Non Dispatchable",IFERROR($AX24*_xlfn.XLOOKUP($C24,$BM$1:$BM$3,BO$1:BO$3)/SUMPRODUCT(_xlfn.XLOOKUP($C24,$BM$1:$BM$3,$BN$1:$BY$3),$BN$4:$BY$4),""),
"")</f>
        <v>0.31909819267192041</v>
      </c>
      <c r="BP24" s="8">
        <f>IF(_xlfn.XLOOKUP($B24,'ELC TECH'!$H:$H,'ELC TECH'!$E:$E)="Non Dispatchable",IFERROR($AX24*_xlfn.XLOOKUP($C24,$BM$1:$BM$3,BP$1:BP$3)/SUMPRODUCT(_xlfn.XLOOKUP($C24,$BM$1:$BM$3,$BN$1:$BY$3),$BN$4:$BY$4),""),
"")</f>
        <v>0.51082385702547761</v>
      </c>
      <c r="BQ24" s="8">
        <f>IF(_xlfn.XLOOKUP($B24,'ELC TECH'!$H:$H,'ELC TECH'!$E:$E)="Non Dispatchable",IFERROR($AX24*_xlfn.XLOOKUP($C24,$BM$1:$BM$3,BQ$1:BQ$3)/SUMPRODUCT(_xlfn.XLOOKUP($C24,$BM$1:$BM$3,$BN$1:$BY$3),$BN$4:$BY$4),""),
"")</f>
        <v>1.0669950016197966E-2</v>
      </c>
      <c r="BR24" s="8">
        <f>IF(_xlfn.XLOOKUP($B24,'ELC TECH'!$H:$H,'ELC TECH'!$E:$E)="Non Dispatchable",IFERROR($AX24*_xlfn.XLOOKUP($C24,$BM$1:$BM$3,BR$1:BR$3)/SUMPRODUCT(_xlfn.XLOOKUP($C24,$BM$1:$BM$3,$BN$1:$BY$3),$BN$4:$BY$4),""),
"")</f>
        <v>0.27175028947504198</v>
      </c>
      <c r="BS24" s="8">
        <f>IF(_xlfn.XLOOKUP($B24,'ELC TECH'!$H:$H,'ELC TECH'!$E:$E)="Non Dispatchable",IFERROR($AX24*_xlfn.XLOOKUP($C24,$BM$1:$BM$3,BS$1:BS$3)/SUMPRODUCT(_xlfn.XLOOKUP($C24,$BM$1:$BM$3,$BN$1:$BY$3),$BN$4:$BY$4),""),
"")</f>
        <v>0.36244486461272463</v>
      </c>
      <c r="BT24" s="8">
        <f>IF(_xlfn.XLOOKUP($B24,'ELC TECH'!$H:$H,'ELC TECH'!$E:$E)="Non Dispatchable",IFERROR($AX24*_xlfn.XLOOKUP($C24,$BM$1:$BM$3,BT$1:BT$3)/SUMPRODUCT(_xlfn.XLOOKUP($C24,$BM$1:$BM$3,$BN$1:$BY$3),$BN$4:$BY$4),""),
"")</f>
        <v>0.46047503038654342</v>
      </c>
      <c r="BU24" s="8">
        <f>IF(_xlfn.XLOOKUP($B24,'ELC TECH'!$H:$H,'ELC TECH'!$E:$E)="Non Dispatchable",IFERROR($AX24*_xlfn.XLOOKUP($C24,$BM$1:$BM$3,BU$1:BU$3)/SUMPRODUCT(_xlfn.XLOOKUP($C24,$BM$1:$BM$3,$BN$1:$BY$3),$BN$4:$BY$4),""),
"")</f>
        <v>1.0669950016197966E-2</v>
      </c>
      <c r="BV24" s="8">
        <f>IF(_xlfn.XLOOKUP($B24,'ELC TECH'!$H:$H,'ELC TECH'!$E:$E)="Non Dispatchable",IFERROR($AX24*_xlfn.XLOOKUP($C24,$BM$1:$BM$3,BV$1:BV$3)/SUMPRODUCT(_xlfn.XLOOKUP($C24,$BM$1:$BM$3,$BN$1:$BY$3),$BN$4:$BY$4),""),
"")</f>
        <v>0.32510003955603178</v>
      </c>
      <c r="BW24" s="8">
        <f>IF(_xlfn.XLOOKUP($B24,'ELC TECH'!$H:$H,'ELC TECH'!$E:$E)="Non Dispatchable",IFERROR($AX24*_xlfn.XLOOKUP($C24,$BM$1:$BM$3,BW$1:BW$3)/SUMPRODUCT(_xlfn.XLOOKUP($C24,$BM$1:$BM$3,$BN$1:$BY$3),$BN$4:$BY$4),""),
"")</f>
        <v>0.36244486461272463</v>
      </c>
      <c r="BX24" s="8">
        <f>IF(_xlfn.XLOOKUP($B24,'ELC TECH'!$H:$H,'ELC TECH'!$E:$E)="Non Dispatchable",IFERROR($AX24*_xlfn.XLOOKUP($C24,$BM$1:$BM$3,BX$1:BX$3)/SUMPRODUCT(_xlfn.XLOOKUP($C24,$BM$1:$BM$3,$BN$1:$BY$3),$BN$4:$BY$4),""),
"")</f>
        <v>0.41779523032175153</v>
      </c>
      <c r="BY24" s="8">
        <f>IF(_xlfn.XLOOKUP($B24,'ELC TECH'!$H:$H,'ELC TECH'!$E:$E)="Non Dispatchable",IFERROR($AX24*_xlfn.XLOOKUP($C24,$BM$1:$BM$3,BY$1:BY$3)/SUMPRODUCT(_xlfn.XLOOKUP($C24,$BM$1:$BM$3,$BN$1:$BY$3),$BN$4:$BY$4),""),
"")</f>
        <v>9.0027703261670346E-3</v>
      </c>
      <c r="BZ24" s="8">
        <f>IF(_xlfn.XLOOKUP($B24,'ELC TECH'!$H:$H,'ELC TECH'!$E:$E)="Non Dispatchable",IFERROR($AX24*_xlfn.XLOOKUP($C24,$BM$1:$BM$3,BZ$1:BZ$3)/SUMPRODUCT(_xlfn.XLOOKUP($C24,$BM$1:$BM$3,$BN$1:$BY$3),$BN$4:$BY$4),""),
"")</f>
        <v>0.2740843410410852</v>
      </c>
      <c r="CA24" s="8">
        <f>IF(_xlfn.XLOOKUP($B24,'ELC TECH'!$H:$H,'ELC TECH'!$E:$E)="Non Dispatchable",IFERROR($AX24*_xlfn.XLOOKUP($C24,$BM$1:$BM$3,CA$1:CA$3)/SUMPRODUCT(_xlfn.XLOOKUP($C24,$BM$1:$BM$3,$BN$1:$BY$3),$BN$4:$BY$4),""),
"")</f>
        <v>0.31909819267192041</v>
      </c>
      <c r="CB24" s="8">
        <f>IF(_xlfn.XLOOKUP($B24,'ELC TECH'!$H:$H,'ELC TECH'!$E:$E)="Non Dispatchable",IFERROR($AX24*_xlfn.XLOOKUP($C24,$BM$1:$BM$3,CB$1:CB$3)/SUMPRODUCT(_xlfn.XLOOKUP($C24,$BM$1:$BM$3,$BN$1:$BY$3),$BN$4:$BY$4),""),
"")</f>
        <v>0.51082385702547761</v>
      </c>
      <c r="CC24" s="8">
        <f>IF(_xlfn.XLOOKUP($B24,'ELC TECH'!$H:$H,'ELC TECH'!$E:$E)="Non Dispatchable",IFERROR($AX24*_xlfn.XLOOKUP($C24,$BM$1:$BM$3,CC$1:CC$3)/SUMPRODUCT(_xlfn.XLOOKUP($C24,$BM$1:$BM$3,$BN$1:$BY$3),$BN$4:$BY$4),""),
"")</f>
        <v>1.0669950016197966E-2</v>
      </c>
      <c r="CD24" s="8">
        <f>IF(_xlfn.XLOOKUP($B24,'ELC TECH'!$H:$H,'ELC TECH'!$E:$E)="Non Dispatchable",IFERROR($AX24*_xlfn.XLOOKUP($C24,$BM$1:$BM$3,CD$1:CD$3)/SUMPRODUCT(_xlfn.XLOOKUP($C24,$BM$1:$BM$3,$BN$1:$BY$3),$BN$4:$BY$4),""),
"")</f>
        <v>0.27175028947504198</v>
      </c>
      <c r="CE24" s="8">
        <f>IF(_xlfn.XLOOKUP($B24,'ELC TECH'!$H:$H,'ELC TECH'!$E:$E)="Non Dispatchable",IFERROR($AX24*_xlfn.XLOOKUP($C24,$BM$1:$BM$3,CE$1:CE$3)/SUMPRODUCT(_xlfn.XLOOKUP($C24,$BM$1:$BM$3,$BN$1:$BY$3),$BN$4:$BY$4),""),
"")</f>
        <v>0.36244486461272463</v>
      </c>
      <c r="CF24" s="8">
        <f>IF(_xlfn.XLOOKUP($B24,'ELC TECH'!$H:$H,'ELC TECH'!$E:$E)="Non Dispatchable",IFERROR($AX24*_xlfn.XLOOKUP($C24,$BM$1:$BM$3,CF$1:CF$3)/SUMPRODUCT(_xlfn.XLOOKUP($C24,$BM$1:$BM$3,$BN$1:$BY$3),$BN$4:$BY$4),""),
"")</f>
        <v>0.46047503038654342</v>
      </c>
      <c r="CG24" s="8">
        <f>IF(_xlfn.XLOOKUP($B24,'ELC TECH'!$H:$H,'ELC TECH'!$E:$E)="Non Dispatchable",IFERROR($AX24*_xlfn.XLOOKUP($C24,$BM$1:$BM$3,CG$1:CG$3)/SUMPRODUCT(_xlfn.XLOOKUP($C24,$BM$1:$BM$3,$BN$1:$BY$3),$BN$4:$BY$4),""),
"")</f>
        <v>1.0669950016197966E-2</v>
      </c>
      <c r="CH24" s="8">
        <f>IF(_xlfn.XLOOKUP($B24,'ELC TECH'!$H:$H,'ELC TECH'!$E:$E)="Non Dispatchable",IFERROR($AX24*_xlfn.XLOOKUP($C24,$BM$1:$BM$3,CH$1:CH$3)/SUMPRODUCT(_xlfn.XLOOKUP($C24,$BM$1:$BM$3,$BN$1:$BY$3),$BN$4:$BY$4),""),
"")</f>
        <v>0.32510003955603178</v>
      </c>
      <c r="CI24" s="8">
        <f>IF(_xlfn.XLOOKUP($B24,'ELC TECH'!$H:$H,'ELC TECH'!$E:$E)="Non Dispatchable",IFERROR($AX24*_xlfn.XLOOKUP($C24,$BM$1:$BM$3,CI$1:CI$3)/SUMPRODUCT(_xlfn.XLOOKUP($C24,$BM$1:$BM$3,$BN$1:$BY$3),$BN$4:$BY$4),""),
"")</f>
        <v>0.36244486461272463</v>
      </c>
      <c r="CJ24" s="8">
        <f>IF(_xlfn.XLOOKUP($B24,'ELC TECH'!$H:$H,'ELC TECH'!$E:$E)="Non Dispatchable",IFERROR($AX24*_xlfn.XLOOKUP($C24,$BM$1:$BM$3,CJ$1:CJ$3)/SUMPRODUCT(_xlfn.XLOOKUP($C24,$BM$1:$BM$3,$BN$1:$BY$3),$BN$4:$BY$4),""),
"")</f>
        <v>0.41779523032175153</v>
      </c>
      <c r="CK24" s="8">
        <f>IF(_xlfn.XLOOKUP($B24,'ELC TECH'!$H:$H,'ELC TECH'!$E:$E)="Non Dispatchable",IFERROR($AX24*_xlfn.XLOOKUP($C24,$BM$1:$BM$3,CK$1:CK$3)/SUMPRODUCT(_xlfn.XLOOKUP($C24,$BM$1:$BM$3,$BN$1:$BY$3),$BN$4:$BY$4),""),
"")</f>
        <v>9.0027703261670346E-3</v>
      </c>
      <c r="CL24" s="8" t="str">
        <f>IF(_xlfn.XLOOKUP($B24,'ELC TECH'!$H:$H,'ELC TECH'!$E:$E)="Storage",CL$4*$BF24,"")</f>
        <v/>
      </c>
      <c r="CM24" s="8" t="str">
        <f>IF(_xlfn.XLOOKUP($B24,'ELC TECH'!$H:$H,'ELC TECH'!$E:$E)="Storage",CM$4*$BF24,"")</f>
        <v/>
      </c>
      <c r="CN24" s="8" t="str">
        <f>IF(_xlfn.XLOOKUP($B24,'ELC TECH'!$H:$H,'ELC TECH'!$E:$E)="Storage",CN$4*$BF24,"")</f>
        <v/>
      </c>
      <c r="CO24" s="8" t="str">
        <f>IF(_xlfn.XLOOKUP($B24,'ELC TECH'!$H:$H,'ELC TECH'!$E:$E)="Storage",CO$4*$BF24,"")</f>
        <v/>
      </c>
      <c r="CP24" s="8" t="str">
        <f>IF(_xlfn.XLOOKUP($B24,'ELC TECH'!$H:$H,'ELC TECH'!$E:$E)="Storage",CP$4*$BF24,"")</f>
        <v/>
      </c>
      <c r="CQ24" s="8" t="str">
        <f>IF(_xlfn.XLOOKUP($B24,'ELC TECH'!$H:$H,'ELC TECH'!$E:$E)="Storage",CQ$4*$BF24,"")</f>
        <v/>
      </c>
      <c r="CR24" s="8" t="str">
        <f>IF(_xlfn.XLOOKUP($B24,'ELC TECH'!$H:$H,'ELC TECH'!$E:$E)="Storage",CR$4*$BF24,"")</f>
        <v/>
      </c>
      <c r="CS24" s="8" t="str">
        <f>IF(_xlfn.XLOOKUP($B24,'ELC TECH'!$H:$H,'ELC TECH'!$E:$E)="Storage",CS$4*$BF24,"")</f>
        <v/>
      </c>
      <c r="CT24" s="8" t="str">
        <f>IF(_xlfn.XLOOKUP($B24,'ELC TECH'!$H:$H,'ELC TECH'!$E:$E)="Storage",CT$4*$BF24,"")</f>
        <v/>
      </c>
      <c r="CU24" s="8" t="str">
        <f>IF(_xlfn.XLOOKUP($B24,'ELC TECH'!$H:$H,'ELC TECH'!$E:$E)="Storage",CU$4*$BF24,"")</f>
        <v/>
      </c>
      <c r="CV24" s="8" t="str">
        <f>IF(_xlfn.XLOOKUP($B24,'ELC TECH'!$H:$H,'ELC TECH'!$E:$E)="Storage",CV$4*$BF24,"")</f>
        <v/>
      </c>
      <c r="CW24" s="8" t="str">
        <f>IF(_xlfn.XLOOKUP($B24,'ELC TECH'!$H:$H,'ELC TECH'!$E:$E)="Storage",CW$4*$BF24,"")</f>
        <v/>
      </c>
      <c r="CX24" s="8" t="str">
        <f>IF(_xlfn.XLOOKUP($B24,'ELC TECH'!$H:$H,'ELC TECH'!$E:$E)="Storage",CX$4*$BF24,"")</f>
        <v/>
      </c>
      <c r="CY24" s="8" t="str">
        <f>IF(_xlfn.XLOOKUP($B24,'ELC TECH'!$H:$H,'ELC TECH'!$E:$E)="Storage",CY$4*$BF24,"")</f>
        <v/>
      </c>
      <c r="CZ24" s="8" t="str">
        <f>IF(_xlfn.XLOOKUP($B24,'ELC TECH'!$H:$H,'ELC TECH'!$E:$E)="Storage",CZ$4*$BF24,"")</f>
        <v/>
      </c>
      <c r="DA24" s="8" t="str">
        <f>IF(_xlfn.XLOOKUP($B24,'ELC TECH'!$H:$H,'ELC TECH'!$E:$E)="Storage",DA$4*$BF24,"")</f>
        <v/>
      </c>
      <c r="DB24" s="8" t="str">
        <f>IF(_xlfn.XLOOKUP($B24,'ELC TECH'!$H:$H,'ELC TECH'!$E:$E)="Storage",DB$4*$BF24,"")</f>
        <v/>
      </c>
      <c r="DC24" s="8" t="str">
        <f>IF(_xlfn.XLOOKUP($B24,'ELC TECH'!$H:$H,'ELC TECH'!$E:$E)="Storage",DC$4*$BF24,"")</f>
        <v/>
      </c>
      <c r="DD24" s="8" t="str">
        <f>IF(_xlfn.XLOOKUP($B24,'ELC TECH'!$H:$H,'ELC TECH'!$E:$E)="Storage",DD$4*$BF24,"")</f>
        <v/>
      </c>
      <c r="DE24" s="8" t="str">
        <f>IF(_xlfn.XLOOKUP($B24,'ELC TECH'!$H:$H,'ELC TECH'!$E:$E)="Storage",DE$4*$BF24,"")</f>
        <v/>
      </c>
      <c r="DF24" s="8" t="str">
        <f>IF(_xlfn.XLOOKUP($B24,'ELC TECH'!$H:$H,'ELC TECH'!$E:$E)="Storage",DF$4*$BF24,"")</f>
        <v/>
      </c>
      <c r="DG24" s="8" t="str">
        <f>IF(_xlfn.XLOOKUP($B24,'ELC TECH'!$H:$H,'ELC TECH'!$E:$E)="Storage",DG$4*$BF24,"")</f>
        <v/>
      </c>
      <c r="DH24" s="8" t="str">
        <f>IF(_xlfn.XLOOKUP($B24,'ELC TECH'!$H:$H,'ELC TECH'!$E:$E)="Storage",DH$4*$BF24,"")</f>
        <v/>
      </c>
      <c r="DI24" s="8" t="str">
        <f>IF(_xlfn.XLOOKUP($B24,'ELC TECH'!$H:$H,'ELC TECH'!$E:$E)="Storage",DI$4*$BF24,"")</f>
        <v/>
      </c>
    </row>
    <row r="25" spans="2:113" x14ac:dyDescent="0.25">
      <c r="B25" t="str">
        <f>IF('ELC TECH'!I18=0,"*",'ELC TECH'!H18)</f>
        <v>ELCHYDGRDHNPNDC520</v>
      </c>
      <c r="C25" t="str">
        <f>IF(_xlfn.XLOOKUP(_xlfn.XLOOKUP(B25,'ELC TECH'!$H:$H,'ELC TECH'!$G:$G),List!C:C,List!B:B)="STG",D25,"ELC"&amp;_xlfn.XLOOKUP(_xlfn.XLOOKUP(B25,'ELC TECH'!H:H,'ELC TECH'!G:G),List!C:C,List!B:B))</f>
        <v>ELCHYD</v>
      </c>
      <c r="D25" t="s">
        <v>544</v>
      </c>
      <c r="E25">
        <f>_xlfn.XLOOKUP(B25,'ELC TECH'!H:H,'ELC TECH'!D:D)</f>
        <v>2020</v>
      </c>
      <c r="F25">
        <f>_xlfn.XLOOKUP(B25,'ELC TECH'!H:H,'ELC TECH'!K:K)</f>
        <v>100</v>
      </c>
      <c r="G25">
        <f t="shared" si="4"/>
        <v>31.535999999999998</v>
      </c>
      <c r="H25">
        <f>IF(_xlfn.XLOOKUP(B25,'ELC TECH'!$H:$H,'ELC TECH'!$E:$E)="Storage",0.3,IF(_xlfn.XLOOKUP(B25,'ELC TECH'!$H:$H,'ELC TECH'!$E:$E)="Baseload",0.9,IF(_xlfn.XLOOKUP(B25,'ELC TECH'!$H:$H,'ELC TECH'!$E:$E)="Non Dispatchable",0.05,IF(_xlfn.XLOOKUP(B25,'ELC TECH'!$H:$H,'ELC TECH'!$E:$E)="Dispatchable",0.9,1))))</f>
        <v>0.05</v>
      </c>
      <c r="I25" s="13">
        <f>IF(_xlfn.XLOOKUP(B25,'ELC TECH'!H:H,'ELC TECH'!J:J)="","",_xlfn.XLOOKUP(B25,'ELC TECH'!H:H,'ELC TECH'!J:J))</f>
        <v>0</v>
      </c>
      <c r="J25" s="12">
        <f>IF(_xlfn.XLOOKUP($B25,'ELC TECH'!$H:$H,'ELC TECH'!$E:$E)="Storage","",IF(_xlfn.XLOOKUP($B25,'ELC TECH'!$H:$H,'ELC TECH'!AK:AK)="",1,_xlfn.XLOOKUP($B25,'ELC TECH'!$H:$H,'ELC TECH'!AK:AK)))</f>
        <v>1</v>
      </c>
      <c r="K25" s="12">
        <f>IF(_xlfn.XLOOKUP($B25,'ELC TECH'!$H:$H,'ELC TECH'!$E:$E)="Storage","",IF(_xlfn.XLOOKUP($B25,'ELC TECH'!$H:$H,'ELC TECH'!AL:AL)="",1,_xlfn.XLOOKUP($B25,'ELC TECH'!$H:$H,'ELC TECH'!AL:AL)))</f>
        <v>1</v>
      </c>
      <c r="L25" s="12">
        <f>IF(_xlfn.XLOOKUP($B25,'ELC TECH'!$H:$H,'ELC TECH'!$E:$E)="Storage","",IF(_xlfn.XLOOKUP($B25,'ELC TECH'!$H:$H,'ELC TECH'!AM:AM)="",1,_xlfn.XLOOKUP($B25,'ELC TECH'!$H:$H,'ELC TECH'!AM:AM)))</f>
        <v>1</v>
      </c>
      <c r="M25" s="12">
        <f>IF(_xlfn.XLOOKUP($B25,'ELC TECH'!$H:$H,'ELC TECH'!$E:$E)="Storage","",IF(_xlfn.XLOOKUP($B25,'ELC TECH'!$H:$H,'ELC TECH'!AN:AN)="",1,_xlfn.XLOOKUP($B25,'ELC TECH'!$H:$H,'ELC TECH'!AN:AN)))</f>
        <v>1</v>
      </c>
      <c r="N25" s="12">
        <f>IF(_xlfn.XLOOKUP($B25,'ELC TECH'!$H:$H,'ELC TECH'!$E:$E)="Storage","",IF(_xlfn.XLOOKUP($B25,'ELC TECH'!$H:$H,'ELC TECH'!AO:AO)="",1,_xlfn.XLOOKUP($B25,'ELC TECH'!$H:$H,'ELC TECH'!AO:AO)))</f>
        <v>1</v>
      </c>
      <c r="O25" s="12">
        <f>IF(_xlfn.XLOOKUP($B25,'ELC TECH'!$H:$H,'ELC TECH'!$E:$E)="Storage","",IF(_xlfn.XLOOKUP($B25,'ELC TECH'!$H:$H,'ELC TECH'!AP:AP)="",1,_xlfn.XLOOKUP($B25,'ELC TECH'!$H:$H,'ELC TECH'!AP:AP)))</f>
        <v>1</v>
      </c>
      <c r="P25" s="12">
        <f>IF(_xlfn.XLOOKUP($B25,'ELC TECH'!$H:$H,'ELC TECH'!$E:$E)="Storage","",IF(_xlfn.XLOOKUP($B25,'ELC TECH'!$H:$H,'ELC TECH'!AQ:AQ)="",1,_xlfn.XLOOKUP($B25,'ELC TECH'!$H:$H,'ELC TECH'!AQ:AQ)))</f>
        <v>1</v>
      </c>
      <c r="Q25" s="12">
        <f>IF(_xlfn.XLOOKUP($B25,'ELC TECH'!$H:$H,'ELC TECH'!$E:$E)="Storage","",IF(_xlfn.XLOOKUP($B25,'ELC TECH'!$H:$H,'ELC TECH'!AR:AR)="",1,_xlfn.XLOOKUP($B25,'ELC TECH'!$H:$H,'ELC TECH'!AR:AR)))</f>
        <v>1</v>
      </c>
      <c r="R25" s="12" t="str">
        <f>IF(_xlfn.XLOOKUP($B25,'ELC TECH'!$H:$H,'ELC TECH'!$E:$E)&lt;&gt;"Storage","",IF(_xlfn.XLOOKUP($B25,'ELC TECH'!$H:$H,'ELC TECH'!AK:AK)="",0.8,_xlfn.XLOOKUP($B25,'ELC TECH'!$H:$H,'ELC TECH'!AK:AK)))</f>
        <v/>
      </c>
      <c r="S25" s="12" t="str">
        <f>IF(_xlfn.XLOOKUP($B25,'ELC TECH'!$H:$H,'ELC TECH'!$E:$E)&lt;&gt;"Storage","",IF(_xlfn.XLOOKUP($B25,'ELC TECH'!$H:$H,'ELC TECH'!AL:AL)="",0.8,_xlfn.XLOOKUP($B25,'ELC TECH'!$H:$H,'ELC TECH'!AL:AL)))</f>
        <v/>
      </c>
      <c r="T25" s="12" t="str">
        <f>IF(_xlfn.XLOOKUP($B25,'ELC TECH'!$H:$H,'ELC TECH'!$E:$E)&lt;&gt;"Storage","",IF(_xlfn.XLOOKUP($B25,'ELC TECH'!$H:$H,'ELC TECH'!AM:AM)="",0.8,_xlfn.XLOOKUP($B25,'ELC TECH'!$H:$H,'ELC TECH'!AM:AM)))</f>
        <v/>
      </c>
      <c r="U25" s="12" t="str">
        <f>IF(_xlfn.XLOOKUP($B25,'ELC TECH'!$H:$H,'ELC TECH'!$E:$E)&lt;&gt;"Storage","",IF(_xlfn.XLOOKUP($B25,'ELC TECH'!$H:$H,'ELC TECH'!AN:AN)="",0.8,_xlfn.XLOOKUP($B25,'ELC TECH'!$H:$H,'ELC TECH'!AN:AN)))</f>
        <v/>
      </c>
      <c r="V25" s="12" t="str">
        <f>IF(_xlfn.XLOOKUP($B25,'ELC TECH'!$H:$H,'ELC TECH'!$E:$E)&lt;&gt;"Storage","",IF(_xlfn.XLOOKUP($B25,'ELC TECH'!$H:$H,'ELC TECH'!AO:AO)="",0.8,_xlfn.XLOOKUP($B25,'ELC TECH'!$H:$H,'ELC TECH'!AO:AO)))</f>
        <v/>
      </c>
      <c r="W25" s="12" t="str">
        <f>IF(_xlfn.XLOOKUP($B25,'ELC TECH'!$H:$H,'ELC TECH'!$E:$E)&lt;&gt;"Storage","",IF(_xlfn.XLOOKUP($B25,'ELC TECH'!$H:$H,'ELC TECH'!AP:AP)="",0.8,_xlfn.XLOOKUP($B25,'ELC TECH'!$H:$H,'ELC TECH'!AP:AP)))</f>
        <v/>
      </c>
      <c r="X25" s="12" t="str">
        <f>IF(_xlfn.XLOOKUP($B25,'ELC TECH'!$H:$H,'ELC TECH'!$E:$E)&lt;&gt;"Storage","",IF(_xlfn.XLOOKUP($B25,'ELC TECH'!$H:$H,'ELC TECH'!AQ:AQ)="",0.8,_xlfn.XLOOKUP($B25,'ELC TECH'!$H:$H,'ELC TECH'!AQ:AQ)))</f>
        <v/>
      </c>
      <c r="Y25" s="12" t="str">
        <f>IF(_xlfn.XLOOKUP($B25,'ELC TECH'!$H:$H,'ELC TECH'!$E:$E)&lt;&gt;"Storage","",IF(_xlfn.XLOOKUP($B25,'ELC TECH'!$H:$H,'ELC TECH'!AR:AR)="",0.8,_xlfn.XLOOKUP($B25,'ELC TECH'!$H:$H,'ELC TECH'!AR:AR)))</f>
        <v/>
      </c>
      <c r="Z25" s="15">
        <f>_xlfn.XLOOKUP($B25,'ELC TECH'!$H:$H,'ELC TECH'!M:M)</f>
        <v>14006.80078622317</v>
      </c>
      <c r="AA25" s="15">
        <f>_xlfn.XLOOKUP($B25,'ELC TECH'!$H:$H,'ELC TECH'!N:N)</f>
        <v>14006.80078622317</v>
      </c>
      <c r="AB25" s="15">
        <f>_xlfn.XLOOKUP($B25,'ELC TECH'!$H:$H,'ELC TECH'!O:O)</f>
        <v>11382.292460977031</v>
      </c>
      <c r="AC25" s="15">
        <f>_xlfn.XLOOKUP($B25,'ELC TECH'!$H:$H,'ELC TECH'!P:P)</f>
        <v>8758.9149019201323</v>
      </c>
      <c r="AD25" s="15">
        <f>_xlfn.XLOOKUP($B25,'ELC TECH'!$H:$H,'ELC TECH'!Q:Q)</f>
        <v>8408.3773832530478</v>
      </c>
      <c r="AE25" s="15">
        <f>_xlfn.XLOOKUP($B25,'ELC TECH'!$H:$H,'ELC TECH'!R:R)</f>
        <v>8408.3773832530478</v>
      </c>
      <c r="AF25" s="15">
        <f>_xlfn.XLOOKUP($B25,'ELC TECH'!$H:$H,'ELC TECH'!S:S)</f>
        <v>8408.3773832530478</v>
      </c>
      <c r="AG25" s="15">
        <f>_xlfn.XLOOKUP($B25,'ELC TECH'!$H:$H,'ELC TECH'!T:T)</f>
        <v>8408.3773832530478</v>
      </c>
      <c r="AH25" s="15">
        <f>_xlfn.XLOOKUP($B25,'ELC TECH'!$H:$H,'ELC TECH'!U:U)</f>
        <v>196.7533169292671</v>
      </c>
      <c r="AI25" s="15">
        <f>_xlfn.XLOOKUP($B25,'ELC TECH'!$H:$H,'ELC TECH'!V:V)</f>
        <v>196.7533169292671</v>
      </c>
      <c r="AJ25" s="15">
        <f>_xlfn.XLOOKUP($B25,'ELC TECH'!$H:$H,'ELC TECH'!W:W)</f>
        <v>196.7533169292671</v>
      </c>
      <c r="AK25" s="15">
        <f>_xlfn.XLOOKUP($B25,'ELC TECH'!$H:$H,'ELC TECH'!X:X)</f>
        <v>196.7533169292671</v>
      </c>
      <c r="AL25" s="15">
        <f>_xlfn.XLOOKUP($B25,'ELC TECH'!$H:$H,'ELC TECH'!Y:Y)</f>
        <v>188.83795360452649</v>
      </c>
      <c r="AM25" s="15">
        <f>_xlfn.XLOOKUP($B25,'ELC TECH'!$H:$H,'ELC TECH'!Z:Z)</f>
        <v>188.83795360452649</v>
      </c>
      <c r="AN25" s="15">
        <f>_xlfn.XLOOKUP($B25,'ELC TECH'!$H:$H,'ELC TECH'!AA:AA)</f>
        <v>188.83795360452649</v>
      </c>
      <c r="AO25" s="15">
        <f>_xlfn.XLOOKUP($B25,'ELC TECH'!$H:$H,'ELC TECH'!AB:AB)</f>
        <v>188.83795360452649</v>
      </c>
      <c r="AP25" s="15">
        <f>_xlfn.XLOOKUP($B25,'ELC TECH'!$H:$H,'ELC TECH'!AC:AC)</f>
        <v>0</v>
      </c>
      <c r="AQ25" s="15">
        <f>_xlfn.XLOOKUP($B25,'ELC TECH'!$H:$H,'ELC TECH'!AD:AD)</f>
        <v>0</v>
      </c>
      <c r="AR25" s="15">
        <f>_xlfn.XLOOKUP($B25,'ELC TECH'!$H:$H,'ELC TECH'!AE:AE)</f>
        <v>0</v>
      </c>
      <c r="AS25" s="15">
        <f>_xlfn.XLOOKUP($B25,'ELC TECH'!$H:$H,'ELC TECH'!AF:AF)</f>
        <v>0</v>
      </c>
      <c r="AT25" s="15">
        <f>_xlfn.XLOOKUP($B25,'ELC TECH'!$H:$H,'ELC TECH'!AG:AG)</f>
        <v>0</v>
      </c>
      <c r="AU25" s="15">
        <f>_xlfn.XLOOKUP($B25,'ELC TECH'!$H:$H,'ELC TECH'!AH:AH)</f>
        <v>0</v>
      </c>
      <c r="AV25" s="15">
        <f>_xlfn.XLOOKUP($B25,'ELC TECH'!$H:$H,'ELC TECH'!AI:AI)</f>
        <v>0</v>
      </c>
      <c r="AW25" s="15">
        <f>_xlfn.XLOOKUP($B25,'ELC TECH'!$H:$H,'ELC TECH'!AJ:AJ)</f>
        <v>0</v>
      </c>
      <c r="AX25" s="12">
        <f>IF(_xlfn.XLOOKUP($B25,'ELC TECH'!$H:$H,'ELC TECH'!$E:$E)="Storage","",_xlfn.XLOOKUP($B25,'ELC TECH'!$H:$H,'ELC TECH'!AS:AS))</f>
        <v>0.37999999999999989</v>
      </c>
      <c r="AY25" s="12">
        <f>IF(_xlfn.XLOOKUP($B25,'ELC TECH'!$H:$H,'ELC TECH'!$E:$E)="Storage","",_xlfn.XLOOKUP($B25,'ELC TECH'!$H:$H,'ELC TECH'!AT:AT))</f>
        <v>0.37999999999999989</v>
      </c>
      <c r="AZ25" s="12">
        <f>IF(_xlfn.XLOOKUP($B25,'ELC TECH'!$H:$H,'ELC TECH'!$E:$E)="Storage","",_xlfn.XLOOKUP($B25,'ELC TECH'!$H:$H,'ELC TECH'!AU:AU))</f>
        <v>0.37999999999999989</v>
      </c>
      <c r="BA25" s="12">
        <f>IF(_xlfn.XLOOKUP($B25,'ELC TECH'!$H:$H,'ELC TECH'!$E:$E)="Storage","",_xlfn.XLOOKUP($B25,'ELC TECH'!$H:$H,'ELC TECH'!AV:AV))</f>
        <v>0.37999999999999989</v>
      </c>
      <c r="BB25" s="12">
        <f>IF(_xlfn.XLOOKUP($B25,'ELC TECH'!$H:$H,'ELC TECH'!$E:$E)="Storage","",_xlfn.XLOOKUP($B25,'ELC TECH'!$H:$H,'ELC TECH'!AW:AW))</f>
        <v>0.37999999999999989</v>
      </c>
      <c r="BC25" s="12">
        <f>IF(_xlfn.XLOOKUP($B25,'ELC TECH'!$H:$H,'ELC TECH'!$E:$E)="Storage","",_xlfn.XLOOKUP($B25,'ELC TECH'!$H:$H,'ELC TECH'!AX:AX))</f>
        <v>0.37999999999999989</v>
      </c>
      <c r="BD25" s="12">
        <f>IF(_xlfn.XLOOKUP($B25,'ELC TECH'!$H:$H,'ELC TECH'!$E:$E)="Storage","",_xlfn.XLOOKUP($B25,'ELC TECH'!$H:$H,'ELC TECH'!AY:AY))</f>
        <v>0.37999999999999989</v>
      </c>
      <c r="BE25" s="12">
        <f>IF(_xlfn.XLOOKUP($B25,'ELC TECH'!$H:$H,'ELC TECH'!$E:$E)="Storage","",_xlfn.XLOOKUP($B25,'ELC TECH'!$H:$H,'ELC TECH'!AZ:AZ))</f>
        <v>0.37999999999999989</v>
      </c>
      <c r="BF25" s="12" t="str">
        <f>IF(_xlfn.XLOOKUP($B25,'ELC TECH'!$H:$H,'ELC TECH'!$E:$E)="Storage",_xlfn.XLOOKUP($B25,'ELC TECH'!$H:$H,'ELC TECH'!AS:AS),"")</f>
        <v/>
      </c>
      <c r="BG25" s="12" t="str">
        <f>IF(_xlfn.XLOOKUP($B25,'ELC TECH'!$H:$H,'ELC TECH'!$E:$E)="Storage",_xlfn.XLOOKUP($B25,'ELC TECH'!$H:$H,'ELC TECH'!AT:AT),"")</f>
        <v/>
      </c>
      <c r="BH25" s="12" t="str">
        <f>IF(_xlfn.XLOOKUP($B25,'ELC TECH'!$H:$H,'ELC TECH'!$E:$E)="Storage",_xlfn.XLOOKUP($B25,'ELC TECH'!$H:$H,'ELC TECH'!AU:AU),"")</f>
        <v/>
      </c>
      <c r="BI25" s="12" t="str">
        <f>IF(_xlfn.XLOOKUP($B25,'ELC TECH'!$H:$H,'ELC TECH'!$E:$E)="Storage",_xlfn.XLOOKUP($B25,'ELC TECH'!$H:$H,'ELC TECH'!AV:AV),"")</f>
        <v/>
      </c>
      <c r="BJ25" s="12" t="str">
        <f>IF(_xlfn.XLOOKUP($B25,'ELC TECH'!$H:$H,'ELC TECH'!$E:$E)="Storage",_xlfn.XLOOKUP($B25,'ELC TECH'!$H:$H,'ELC TECH'!AW:AW),"")</f>
        <v/>
      </c>
      <c r="BK25" s="12" t="str">
        <f>IF(_xlfn.XLOOKUP($B25,'ELC TECH'!$H:$H,'ELC TECH'!$E:$E)="Storage",_xlfn.XLOOKUP($B25,'ELC TECH'!$H:$H,'ELC TECH'!AX:AX),"")</f>
        <v/>
      </c>
      <c r="BL25" s="12" t="str">
        <f>IF(_xlfn.XLOOKUP($B25,'ELC TECH'!$H:$H,'ELC TECH'!$E:$E)="Storage",_xlfn.XLOOKUP($B25,'ELC TECH'!$H:$H,'ELC TECH'!AY:AY),"")</f>
        <v/>
      </c>
      <c r="BM25" s="12" t="str">
        <f>IF(_xlfn.XLOOKUP($B25,'ELC TECH'!$H:$H,'ELC TECH'!$E:$E)="Storage",_xlfn.XLOOKUP($B25,'ELC TECH'!$H:$H,'ELC TECH'!AZ:AZ),"")</f>
        <v/>
      </c>
      <c r="BN25" s="8">
        <f>IF(_xlfn.XLOOKUP($B25,'ELC TECH'!$H:$H,'ELC TECH'!$E:$E)="Non Dispatchable",IFERROR($AX25*_xlfn.XLOOKUP($C25,$BM$1:$BM$3,BN$1:BN$3)/SUMPRODUCT(_xlfn.XLOOKUP($C25,$BM$1:$BM$3,$BN$1:$BY$3),$BN$4:$BY$4),""),
"")</f>
        <v>0.2740843410410852</v>
      </c>
      <c r="BO25" s="8">
        <f>IF(_xlfn.XLOOKUP($B25,'ELC TECH'!$H:$H,'ELC TECH'!$E:$E)="Non Dispatchable",IFERROR($AX25*_xlfn.XLOOKUP($C25,$BM$1:$BM$3,BO$1:BO$3)/SUMPRODUCT(_xlfn.XLOOKUP($C25,$BM$1:$BM$3,$BN$1:$BY$3),$BN$4:$BY$4),""),
"")</f>
        <v>0.31909819267192041</v>
      </c>
      <c r="BP25" s="8">
        <f>IF(_xlfn.XLOOKUP($B25,'ELC TECH'!$H:$H,'ELC TECH'!$E:$E)="Non Dispatchable",IFERROR($AX25*_xlfn.XLOOKUP($C25,$BM$1:$BM$3,BP$1:BP$3)/SUMPRODUCT(_xlfn.XLOOKUP($C25,$BM$1:$BM$3,$BN$1:$BY$3),$BN$4:$BY$4),""),
"")</f>
        <v>0.51082385702547761</v>
      </c>
      <c r="BQ25" s="8">
        <f>IF(_xlfn.XLOOKUP($B25,'ELC TECH'!$H:$H,'ELC TECH'!$E:$E)="Non Dispatchable",IFERROR($AX25*_xlfn.XLOOKUP($C25,$BM$1:$BM$3,BQ$1:BQ$3)/SUMPRODUCT(_xlfn.XLOOKUP($C25,$BM$1:$BM$3,$BN$1:$BY$3),$BN$4:$BY$4),""),
"")</f>
        <v>1.0669950016197966E-2</v>
      </c>
      <c r="BR25" s="8">
        <f>IF(_xlfn.XLOOKUP($B25,'ELC TECH'!$H:$H,'ELC TECH'!$E:$E)="Non Dispatchable",IFERROR($AX25*_xlfn.XLOOKUP($C25,$BM$1:$BM$3,BR$1:BR$3)/SUMPRODUCT(_xlfn.XLOOKUP($C25,$BM$1:$BM$3,$BN$1:$BY$3),$BN$4:$BY$4),""),
"")</f>
        <v>0.27175028947504198</v>
      </c>
      <c r="BS25" s="8">
        <f>IF(_xlfn.XLOOKUP($B25,'ELC TECH'!$H:$H,'ELC TECH'!$E:$E)="Non Dispatchable",IFERROR($AX25*_xlfn.XLOOKUP($C25,$BM$1:$BM$3,BS$1:BS$3)/SUMPRODUCT(_xlfn.XLOOKUP($C25,$BM$1:$BM$3,$BN$1:$BY$3),$BN$4:$BY$4),""),
"")</f>
        <v>0.36244486461272463</v>
      </c>
      <c r="BT25" s="8">
        <f>IF(_xlfn.XLOOKUP($B25,'ELC TECH'!$H:$H,'ELC TECH'!$E:$E)="Non Dispatchable",IFERROR($AX25*_xlfn.XLOOKUP($C25,$BM$1:$BM$3,BT$1:BT$3)/SUMPRODUCT(_xlfn.XLOOKUP($C25,$BM$1:$BM$3,$BN$1:$BY$3),$BN$4:$BY$4),""),
"")</f>
        <v>0.46047503038654342</v>
      </c>
      <c r="BU25" s="8">
        <f>IF(_xlfn.XLOOKUP($B25,'ELC TECH'!$H:$H,'ELC TECH'!$E:$E)="Non Dispatchable",IFERROR($AX25*_xlfn.XLOOKUP($C25,$BM$1:$BM$3,BU$1:BU$3)/SUMPRODUCT(_xlfn.XLOOKUP($C25,$BM$1:$BM$3,$BN$1:$BY$3),$BN$4:$BY$4),""),
"")</f>
        <v>1.0669950016197966E-2</v>
      </c>
      <c r="BV25" s="8">
        <f>IF(_xlfn.XLOOKUP($B25,'ELC TECH'!$H:$H,'ELC TECH'!$E:$E)="Non Dispatchable",IFERROR($AX25*_xlfn.XLOOKUP($C25,$BM$1:$BM$3,BV$1:BV$3)/SUMPRODUCT(_xlfn.XLOOKUP($C25,$BM$1:$BM$3,$BN$1:$BY$3),$BN$4:$BY$4),""),
"")</f>
        <v>0.32510003955603178</v>
      </c>
      <c r="BW25" s="8">
        <f>IF(_xlfn.XLOOKUP($B25,'ELC TECH'!$H:$H,'ELC TECH'!$E:$E)="Non Dispatchable",IFERROR($AX25*_xlfn.XLOOKUP($C25,$BM$1:$BM$3,BW$1:BW$3)/SUMPRODUCT(_xlfn.XLOOKUP($C25,$BM$1:$BM$3,$BN$1:$BY$3),$BN$4:$BY$4),""),
"")</f>
        <v>0.36244486461272463</v>
      </c>
      <c r="BX25" s="8">
        <f>IF(_xlfn.XLOOKUP($B25,'ELC TECH'!$H:$H,'ELC TECH'!$E:$E)="Non Dispatchable",IFERROR($AX25*_xlfn.XLOOKUP($C25,$BM$1:$BM$3,BX$1:BX$3)/SUMPRODUCT(_xlfn.XLOOKUP($C25,$BM$1:$BM$3,$BN$1:$BY$3),$BN$4:$BY$4),""),
"")</f>
        <v>0.41779523032175153</v>
      </c>
      <c r="BY25" s="8">
        <f>IF(_xlfn.XLOOKUP($B25,'ELC TECH'!$H:$H,'ELC TECH'!$E:$E)="Non Dispatchable",IFERROR($AX25*_xlfn.XLOOKUP($C25,$BM$1:$BM$3,BY$1:BY$3)/SUMPRODUCT(_xlfn.XLOOKUP($C25,$BM$1:$BM$3,$BN$1:$BY$3),$BN$4:$BY$4),""),
"")</f>
        <v>9.0027703261670346E-3</v>
      </c>
      <c r="BZ25" s="8">
        <f>IF(_xlfn.XLOOKUP($B25,'ELC TECH'!$H:$H,'ELC TECH'!$E:$E)="Non Dispatchable",IFERROR($AX25*_xlfn.XLOOKUP($C25,$BM$1:$BM$3,BZ$1:BZ$3)/SUMPRODUCT(_xlfn.XLOOKUP($C25,$BM$1:$BM$3,$BN$1:$BY$3),$BN$4:$BY$4),""),
"")</f>
        <v>0.2740843410410852</v>
      </c>
      <c r="CA25" s="8">
        <f>IF(_xlfn.XLOOKUP($B25,'ELC TECH'!$H:$H,'ELC TECH'!$E:$E)="Non Dispatchable",IFERROR($AX25*_xlfn.XLOOKUP($C25,$BM$1:$BM$3,CA$1:CA$3)/SUMPRODUCT(_xlfn.XLOOKUP($C25,$BM$1:$BM$3,$BN$1:$BY$3),$BN$4:$BY$4),""),
"")</f>
        <v>0.31909819267192041</v>
      </c>
      <c r="CB25" s="8">
        <f>IF(_xlfn.XLOOKUP($B25,'ELC TECH'!$H:$H,'ELC TECH'!$E:$E)="Non Dispatchable",IFERROR($AX25*_xlfn.XLOOKUP($C25,$BM$1:$BM$3,CB$1:CB$3)/SUMPRODUCT(_xlfn.XLOOKUP($C25,$BM$1:$BM$3,$BN$1:$BY$3),$BN$4:$BY$4),""),
"")</f>
        <v>0.51082385702547761</v>
      </c>
      <c r="CC25" s="8">
        <f>IF(_xlfn.XLOOKUP($B25,'ELC TECH'!$H:$H,'ELC TECH'!$E:$E)="Non Dispatchable",IFERROR($AX25*_xlfn.XLOOKUP($C25,$BM$1:$BM$3,CC$1:CC$3)/SUMPRODUCT(_xlfn.XLOOKUP($C25,$BM$1:$BM$3,$BN$1:$BY$3),$BN$4:$BY$4),""),
"")</f>
        <v>1.0669950016197966E-2</v>
      </c>
      <c r="CD25" s="8">
        <f>IF(_xlfn.XLOOKUP($B25,'ELC TECH'!$H:$H,'ELC TECH'!$E:$E)="Non Dispatchable",IFERROR($AX25*_xlfn.XLOOKUP($C25,$BM$1:$BM$3,CD$1:CD$3)/SUMPRODUCT(_xlfn.XLOOKUP($C25,$BM$1:$BM$3,$BN$1:$BY$3),$BN$4:$BY$4),""),
"")</f>
        <v>0.27175028947504198</v>
      </c>
      <c r="CE25" s="8">
        <f>IF(_xlfn.XLOOKUP($B25,'ELC TECH'!$H:$H,'ELC TECH'!$E:$E)="Non Dispatchable",IFERROR($AX25*_xlfn.XLOOKUP($C25,$BM$1:$BM$3,CE$1:CE$3)/SUMPRODUCT(_xlfn.XLOOKUP($C25,$BM$1:$BM$3,$BN$1:$BY$3),$BN$4:$BY$4),""),
"")</f>
        <v>0.36244486461272463</v>
      </c>
      <c r="CF25" s="8">
        <f>IF(_xlfn.XLOOKUP($B25,'ELC TECH'!$H:$H,'ELC TECH'!$E:$E)="Non Dispatchable",IFERROR($AX25*_xlfn.XLOOKUP($C25,$BM$1:$BM$3,CF$1:CF$3)/SUMPRODUCT(_xlfn.XLOOKUP($C25,$BM$1:$BM$3,$BN$1:$BY$3),$BN$4:$BY$4),""),
"")</f>
        <v>0.46047503038654342</v>
      </c>
      <c r="CG25" s="8">
        <f>IF(_xlfn.XLOOKUP($B25,'ELC TECH'!$H:$H,'ELC TECH'!$E:$E)="Non Dispatchable",IFERROR($AX25*_xlfn.XLOOKUP($C25,$BM$1:$BM$3,CG$1:CG$3)/SUMPRODUCT(_xlfn.XLOOKUP($C25,$BM$1:$BM$3,$BN$1:$BY$3),$BN$4:$BY$4),""),
"")</f>
        <v>1.0669950016197966E-2</v>
      </c>
      <c r="CH25" s="8">
        <f>IF(_xlfn.XLOOKUP($B25,'ELC TECH'!$H:$H,'ELC TECH'!$E:$E)="Non Dispatchable",IFERROR($AX25*_xlfn.XLOOKUP($C25,$BM$1:$BM$3,CH$1:CH$3)/SUMPRODUCT(_xlfn.XLOOKUP($C25,$BM$1:$BM$3,$BN$1:$BY$3),$BN$4:$BY$4),""),
"")</f>
        <v>0.32510003955603178</v>
      </c>
      <c r="CI25" s="8">
        <f>IF(_xlfn.XLOOKUP($B25,'ELC TECH'!$H:$H,'ELC TECH'!$E:$E)="Non Dispatchable",IFERROR($AX25*_xlfn.XLOOKUP($C25,$BM$1:$BM$3,CI$1:CI$3)/SUMPRODUCT(_xlfn.XLOOKUP($C25,$BM$1:$BM$3,$BN$1:$BY$3),$BN$4:$BY$4),""),
"")</f>
        <v>0.36244486461272463</v>
      </c>
      <c r="CJ25" s="8">
        <f>IF(_xlfn.XLOOKUP($B25,'ELC TECH'!$H:$H,'ELC TECH'!$E:$E)="Non Dispatchable",IFERROR($AX25*_xlfn.XLOOKUP($C25,$BM$1:$BM$3,CJ$1:CJ$3)/SUMPRODUCT(_xlfn.XLOOKUP($C25,$BM$1:$BM$3,$BN$1:$BY$3),$BN$4:$BY$4),""),
"")</f>
        <v>0.41779523032175153</v>
      </c>
      <c r="CK25" s="8">
        <f>IF(_xlfn.XLOOKUP($B25,'ELC TECH'!$H:$H,'ELC TECH'!$E:$E)="Non Dispatchable",IFERROR($AX25*_xlfn.XLOOKUP($C25,$BM$1:$BM$3,CK$1:CK$3)/SUMPRODUCT(_xlfn.XLOOKUP($C25,$BM$1:$BM$3,$BN$1:$BY$3),$BN$4:$BY$4),""),
"")</f>
        <v>9.0027703261670346E-3</v>
      </c>
      <c r="CL25" s="8" t="str">
        <f>IF(_xlfn.XLOOKUP($B25,'ELC TECH'!$H:$H,'ELC TECH'!$E:$E)="Storage",CL$4*$BF25,"")</f>
        <v/>
      </c>
      <c r="CM25" s="8" t="str">
        <f>IF(_xlfn.XLOOKUP($B25,'ELC TECH'!$H:$H,'ELC TECH'!$E:$E)="Storage",CM$4*$BF25,"")</f>
        <v/>
      </c>
      <c r="CN25" s="8" t="str">
        <f>IF(_xlfn.XLOOKUP($B25,'ELC TECH'!$H:$H,'ELC TECH'!$E:$E)="Storage",CN$4*$BF25,"")</f>
        <v/>
      </c>
      <c r="CO25" s="8" t="str">
        <f>IF(_xlfn.XLOOKUP($B25,'ELC TECH'!$H:$H,'ELC TECH'!$E:$E)="Storage",CO$4*$BF25,"")</f>
        <v/>
      </c>
      <c r="CP25" s="8" t="str">
        <f>IF(_xlfn.XLOOKUP($B25,'ELC TECH'!$H:$H,'ELC TECH'!$E:$E)="Storage",CP$4*$BF25,"")</f>
        <v/>
      </c>
      <c r="CQ25" s="8" t="str">
        <f>IF(_xlfn.XLOOKUP($B25,'ELC TECH'!$H:$H,'ELC TECH'!$E:$E)="Storage",CQ$4*$BF25,"")</f>
        <v/>
      </c>
      <c r="CR25" s="8" t="str">
        <f>IF(_xlfn.XLOOKUP($B25,'ELC TECH'!$H:$H,'ELC TECH'!$E:$E)="Storage",CR$4*$BF25,"")</f>
        <v/>
      </c>
      <c r="CS25" s="8" t="str">
        <f>IF(_xlfn.XLOOKUP($B25,'ELC TECH'!$H:$H,'ELC TECH'!$E:$E)="Storage",CS$4*$BF25,"")</f>
        <v/>
      </c>
      <c r="CT25" s="8" t="str">
        <f>IF(_xlfn.XLOOKUP($B25,'ELC TECH'!$H:$H,'ELC TECH'!$E:$E)="Storage",CT$4*$BF25,"")</f>
        <v/>
      </c>
      <c r="CU25" s="8" t="str">
        <f>IF(_xlfn.XLOOKUP($B25,'ELC TECH'!$H:$H,'ELC TECH'!$E:$E)="Storage",CU$4*$BF25,"")</f>
        <v/>
      </c>
      <c r="CV25" s="8" t="str">
        <f>IF(_xlfn.XLOOKUP($B25,'ELC TECH'!$H:$H,'ELC TECH'!$E:$E)="Storage",CV$4*$BF25,"")</f>
        <v/>
      </c>
      <c r="CW25" s="8" t="str">
        <f>IF(_xlfn.XLOOKUP($B25,'ELC TECH'!$H:$H,'ELC TECH'!$E:$E)="Storage",CW$4*$BF25,"")</f>
        <v/>
      </c>
      <c r="CX25" s="8" t="str">
        <f>IF(_xlfn.XLOOKUP($B25,'ELC TECH'!$H:$H,'ELC TECH'!$E:$E)="Storage",CX$4*$BF25,"")</f>
        <v/>
      </c>
      <c r="CY25" s="8" t="str">
        <f>IF(_xlfn.XLOOKUP($B25,'ELC TECH'!$H:$H,'ELC TECH'!$E:$E)="Storage",CY$4*$BF25,"")</f>
        <v/>
      </c>
      <c r="CZ25" s="8" t="str">
        <f>IF(_xlfn.XLOOKUP($B25,'ELC TECH'!$H:$H,'ELC TECH'!$E:$E)="Storage",CZ$4*$BF25,"")</f>
        <v/>
      </c>
      <c r="DA25" s="8" t="str">
        <f>IF(_xlfn.XLOOKUP($B25,'ELC TECH'!$H:$H,'ELC TECH'!$E:$E)="Storage",DA$4*$BF25,"")</f>
        <v/>
      </c>
      <c r="DB25" s="8" t="str">
        <f>IF(_xlfn.XLOOKUP($B25,'ELC TECH'!$H:$H,'ELC TECH'!$E:$E)="Storage",DB$4*$BF25,"")</f>
        <v/>
      </c>
      <c r="DC25" s="8" t="str">
        <f>IF(_xlfn.XLOOKUP($B25,'ELC TECH'!$H:$H,'ELC TECH'!$E:$E)="Storage",DC$4*$BF25,"")</f>
        <v/>
      </c>
      <c r="DD25" s="8" t="str">
        <f>IF(_xlfn.XLOOKUP($B25,'ELC TECH'!$H:$H,'ELC TECH'!$E:$E)="Storage",DD$4*$BF25,"")</f>
        <v/>
      </c>
      <c r="DE25" s="8" t="str">
        <f>IF(_xlfn.XLOOKUP($B25,'ELC TECH'!$H:$H,'ELC TECH'!$E:$E)="Storage",DE$4*$BF25,"")</f>
        <v/>
      </c>
      <c r="DF25" s="8" t="str">
        <f>IF(_xlfn.XLOOKUP($B25,'ELC TECH'!$H:$H,'ELC TECH'!$E:$E)="Storage",DF$4*$BF25,"")</f>
        <v/>
      </c>
      <c r="DG25" s="8" t="str">
        <f>IF(_xlfn.XLOOKUP($B25,'ELC TECH'!$H:$H,'ELC TECH'!$E:$E)="Storage",DG$4*$BF25,"")</f>
        <v/>
      </c>
      <c r="DH25" s="8" t="str">
        <f>IF(_xlfn.XLOOKUP($B25,'ELC TECH'!$H:$H,'ELC TECH'!$E:$E)="Storage",DH$4*$BF25,"")</f>
        <v/>
      </c>
      <c r="DI25" s="8" t="str">
        <f>IF(_xlfn.XLOOKUP($B25,'ELC TECH'!$H:$H,'ELC TECH'!$E:$E)="Storage",DI$4*$BF25,"")</f>
        <v/>
      </c>
    </row>
    <row r="26" spans="2:113" x14ac:dyDescent="0.25">
      <c r="B26" t="str">
        <f>IF('ELC TECH'!I19=0,"*",'ELC TECH'!H19)</f>
        <v>ELCHYDGRDHUPDC120</v>
      </c>
      <c r="C26" t="str">
        <f>IF(_xlfn.XLOOKUP(_xlfn.XLOOKUP(B26,'ELC TECH'!$H:$H,'ELC TECH'!$G:$G),List!C:C,List!B:B)="STG",D26,"ELC"&amp;_xlfn.XLOOKUP(_xlfn.XLOOKUP(B26,'ELC TECH'!H:H,'ELC TECH'!G:G),List!C:C,List!B:B))</f>
        <v>ELCHYD</v>
      </c>
      <c r="D26" t="s">
        <v>544</v>
      </c>
      <c r="E26">
        <f>_xlfn.XLOOKUP(B26,'ELC TECH'!H:H,'ELC TECH'!D:D)</f>
        <v>2020</v>
      </c>
      <c r="F26">
        <f>_xlfn.XLOOKUP(B26,'ELC TECH'!H:H,'ELC TECH'!K:K)</f>
        <v>100</v>
      </c>
      <c r="G26">
        <f t="shared" si="4"/>
        <v>31.535999999999998</v>
      </c>
      <c r="H26">
        <f>IF(_xlfn.XLOOKUP(B26,'ELC TECH'!$H:$H,'ELC TECH'!$E:$E)="Storage",0.3,IF(_xlfn.XLOOKUP(B26,'ELC TECH'!$H:$H,'ELC TECH'!$E:$E)="Baseload",0.9,IF(_xlfn.XLOOKUP(B26,'ELC TECH'!$H:$H,'ELC TECH'!$E:$E)="Non Dispatchable",0.05,IF(_xlfn.XLOOKUP(B26,'ELC TECH'!$H:$H,'ELC TECH'!$E:$E)="Dispatchable",0.9,1))))</f>
        <v>0.9</v>
      </c>
      <c r="I26" s="13">
        <f>IF(_xlfn.XLOOKUP(B26,'ELC TECH'!H:H,'ELC TECH'!J:J)="","",_xlfn.XLOOKUP(B26,'ELC TECH'!H:H,'ELC TECH'!J:J))</f>
        <v>0</v>
      </c>
      <c r="J26" s="12">
        <f>IF(_xlfn.XLOOKUP($B26,'ELC TECH'!$H:$H,'ELC TECH'!$E:$E)="Storage","",IF(_xlfn.XLOOKUP($B26,'ELC TECH'!$H:$H,'ELC TECH'!AK:AK)="",1,_xlfn.XLOOKUP($B26,'ELC TECH'!$H:$H,'ELC TECH'!AK:AK)))</f>
        <v>1</v>
      </c>
      <c r="K26" s="12">
        <f>IF(_xlfn.XLOOKUP($B26,'ELC TECH'!$H:$H,'ELC TECH'!$E:$E)="Storage","",IF(_xlfn.XLOOKUP($B26,'ELC TECH'!$H:$H,'ELC TECH'!AL:AL)="",1,_xlfn.XLOOKUP($B26,'ELC TECH'!$H:$H,'ELC TECH'!AL:AL)))</f>
        <v>1</v>
      </c>
      <c r="L26" s="12">
        <f>IF(_xlfn.XLOOKUP($B26,'ELC TECH'!$H:$H,'ELC TECH'!$E:$E)="Storage","",IF(_xlfn.XLOOKUP($B26,'ELC TECH'!$H:$H,'ELC TECH'!AM:AM)="",1,_xlfn.XLOOKUP($B26,'ELC TECH'!$H:$H,'ELC TECH'!AM:AM)))</f>
        <v>1</v>
      </c>
      <c r="M26" s="12">
        <f>IF(_xlfn.XLOOKUP($B26,'ELC TECH'!$H:$H,'ELC TECH'!$E:$E)="Storage","",IF(_xlfn.XLOOKUP($B26,'ELC TECH'!$H:$H,'ELC TECH'!AN:AN)="",1,_xlfn.XLOOKUP($B26,'ELC TECH'!$H:$H,'ELC TECH'!AN:AN)))</f>
        <v>1</v>
      </c>
      <c r="N26" s="12">
        <f>IF(_xlfn.XLOOKUP($B26,'ELC TECH'!$H:$H,'ELC TECH'!$E:$E)="Storage","",IF(_xlfn.XLOOKUP($B26,'ELC TECH'!$H:$H,'ELC TECH'!AO:AO)="",1,_xlfn.XLOOKUP($B26,'ELC TECH'!$H:$H,'ELC TECH'!AO:AO)))</f>
        <v>1</v>
      </c>
      <c r="O26" s="12">
        <f>IF(_xlfn.XLOOKUP($B26,'ELC TECH'!$H:$H,'ELC TECH'!$E:$E)="Storage","",IF(_xlfn.XLOOKUP($B26,'ELC TECH'!$H:$H,'ELC TECH'!AP:AP)="",1,_xlfn.XLOOKUP($B26,'ELC TECH'!$H:$H,'ELC TECH'!AP:AP)))</f>
        <v>1</v>
      </c>
      <c r="P26" s="12">
        <f>IF(_xlfn.XLOOKUP($B26,'ELC TECH'!$H:$H,'ELC TECH'!$E:$E)="Storage","",IF(_xlfn.XLOOKUP($B26,'ELC TECH'!$H:$H,'ELC TECH'!AQ:AQ)="",1,_xlfn.XLOOKUP($B26,'ELC TECH'!$H:$H,'ELC TECH'!AQ:AQ)))</f>
        <v>1</v>
      </c>
      <c r="Q26" s="12">
        <f>IF(_xlfn.XLOOKUP($B26,'ELC TECH'!$H:$H,'ELC TECH'!$E:$E)="Storage","",IF(_xlfn.XLOOKUP($B26,'ELC TECH'!$H:$H,'ELC TECH'!AR:AR)="",1,_xlfn.XLOOKUP($B26,'ELC TECH'!$H:$H,'ELC TECH'!AR:AR)))</f>
        <v>1</v>
      </c>
      <c r="R26" s="12" t="str">
        <f>IF(_xlfn.XLOOKUP($B26,'ELC TECH'!$H:$H,'ELC TECH'!$E:$E)&lt;&gt;"Storage","",IF(_xlfn.XLOOKUP($B26,'ELC TECH'!$H:$H,'ELC TECH'!AK:AK)="",0.8,_xlfn.XLOOKUP($B26,'ELC TECH'!$H:$H,'ELC TECH'!AK:AK)))</f>
        <v/>
      </c>
      <c r="S26" s="12" t="str">
        <f>IF(_xlfn.XLOOKUP($B26,'ELC TECH'!$H:$H,'ELC TECH'!$E:$E)&lt;&gt;"Storage","",IF(_xlfn.XLOOKUP($B26,'ELC TECH'!$H:$H,'ELC TECH'!AL:AL)="",0.8,_xlfn.XLOOKUP($B26,'ELC TECH'!$H:$H,'ELC TECH'!AL:AL)))</f>
        <v/>
      </c>
      <c r="T26" s="12" t="str">
        <f>IF(_xlfn.XLOOKUP($B26,'ELC TECH'!$H:$H,'ELC TECH'!$E:$E)&lt;&gt;"Storage","",IF(_xlfn.XLOOKUP($B26,'ELC TECH'!$H:$H,'ELC TECH'!AM:AM)="",0.8,_xlfn.XLOOKUP($B26,'ELC TECH'!$H:$H,'ELC TECH'!AM:AM)))</f>
        <v/>
      </c>
      <c r="U26" s="12" t="str">
        <f>IF(_xlfn.XLOOKUP($B26,'ELC TECH'!$H:$H,'ELC TECH'!$E:$E)&lt;&gt;"Storage","",IF(_xlfn.XLOOKUP($B26,'ELC TECH'!$H:$H,'ELC TECH'!AN:AN)="",0.8,_xlfn.XLOOKUP($B26,'ELC TECH'!$H:$H,'ELC TECH'!AN:AN)))</f>
        <v/>
      </c>
      <c r="V26" s="12" t="str">
        <f>IF(_xlfn.XLOOKUP($B26,'ELC TECH'!$H:$H,'ELC TECH'!$E:$E)&lt;&gt;"Storage","",IF(_xlfn.XLOOKUP($B26,'ELC TECH'!$H:$H,'ELC TECH'!AO:AO)="",0.8,_xlfn.XLOOKUP($B26,'ELC TECH'!$H:$H,'ELC TECH'!AO:AO)))</f>
        <v/>
      </c>
      <c r="W26" s="12" t="str">
        <f>IF(_xlfn.XLOOKUP($B26,'ELC TECH'!$H:$H,'ELC TECH'!$E:$E)&lt;&gt;"Storage","",IF(_xlfn.XLOOKUP($B26,'ELC TECH'!$H:$H,'ELC TECH'!AP:AP)="",0.8,_xlfn.XLOOKUP($B26,'ELC TECH'!$H:$H,'ELC TECH'!AP:AP)))</f>
        <v/>
      </c>
      <c r="X26" s="12" t="str">
        <f>IF(_xlfn.XLOOKUP($B26,'ELC TECH'!$H:$H,'ELC TECH'!$E:$E)&lt;&gt;"Storage","",IF(_xlfn.XLOOKUP($B26,'ELC TECH'!$H:$H,'ELC TECH'!AQ:AQ)="",0.8,_xlfn.XLOOKUP($B26,'ELC TECH'!$H:$H,'ELC TECH'!AQ:AQ)))</f>
        <v/>
      </c>
      <c r="Y26" s="12" t="str">
        <f>IF(_xlfn.XLOOKUP($B26,'ELC TECH'!$H:$H,'ELC TECH'!$E:$E)&lt;&gt;"Storage","",IF(_xlfn.XLOOKUP($B26,'ELC TECH'!$H:$H,'ELC TECH'!AR:AR)="",0.8,_xlfn.XLOOKUP($B26,'ELC TECH'!$H:$H,'ELC TECH'!AR:AR)))</f>
        <v/>
      </c>
      <c r="Z26" s="15">
        <f>_xlfn.XLOOKUP($B26,'ELC TECH'!$H:$H,'ELC TECH'!M:M)</f>
        <v>3188.760653681225</v>
      </c>
      <c r="AA26" s="15">
        <f>_xlfn.XLOOKUP($B26,'ELC TECH'!$H:$H,'ELC TECH'!N:N)</f>
        <v>3188.760653681225</v>
      </c>
      <c r="AB26" s="15">
        <f>_xlfn.XLOOKUP($B26,'ELC TECH'!$H:$H,'ELC TECH'!O:O)</f>
        <v>3188.760653681225</v>
      </c>
      <c r="AC26" s="15">
        <f>_xlfn.XLOOKUP($B26,'ELC TECH'!$H:$H,'ELC TECH'!P:P)</f>
        <v>3188.760653681225</v>
      </c>
      <c r="AD26" s="15">
        <f>_xlfn.XLOOKUP($B26,'ELC TECH'!$H:$H,'ELC TECH'!Q:Q)</f>
        <v>3060.9840742961269</v>
      </c>
      <c r="AE26" s="15">
        <f>_xlfn.XLOOKUP($B26,'ELC TECH'!$H:$H,'ELC TECH'!R:R)</f>
        <v>3060.9840742961269</v>
      </c>
      <c r="AF26" s="15">
        <f>_xlfn.XLOOKUP($B26,'ELC TECH'!$H:$H,'ELC TECH'!S:S)</f>
        <v>3060.9840742961269</v>
      </c>
      <c r="AG26" s="15">
        <f>_xlfn.XLOOKUP($B26,'ELC TECH'!$H:$H,'ELC TECH'!T:T)</f>
        <v>3060.9840742961269</v>
      </c>
      <c r="AH26" s="15">
        <f>_xlfn.XLOOKUP($B26,'ELC TECH'!$H:$H,'ELC TECH'!U:U)</f>
        <v>96.115126086136229</v>
      </c>
      <c r="AI26" s="15">
        <f>_xlfn.XLOOKUP($B26,'ELC TECH'!$H:$H,'ELC TECH'!V:V)</f>
        <v>96.115126086136229</v>
      </c>
      <c r="AJ26" s="15">
        <f>_xlfn.XLOOKUP($B26,'ELC TECH'!$H:$H,'ELC TECH'!W:W)</f>
        <v>96.115126086136229</v>
      </c>
      <c r="AK26" s="15">
        <f>_xlfn.XLOOKUP($B26,'ELC TECH'!$H:$H,'ELC TECH'!X:X)</f>
        <v>96.115126086136229</v>
      </c>
      <c r="AL26" s="15">
        <f>_xlfn.XLOOKUP($B26,'ELC TECH'!$H:$H,'ELC TECH'!Y:Y)</f>
        <v>92.722827518390247</v>
      </c>
      <c r="AM26" s="15">
        <f>_xlfn.XLOOKUP($B26,'ELC TECH'!$H:$H,'ELC TECH'!Z:Z)</f>
        <v>92.722827518390247</v>
      </c>
      <c r="AN26" s="15">
        <f>_xlfn.XLOOKUP($B26,'ELC TECH'!$H:$H,'ELC TECH'!AA:AA)</f>
        <v>92.722827518390247</v>
      </c>
      <c r="AO26" s="15">
        <f>_xlfn.XLOOKUP($B26,'ELC TECH'!$H:$H,'ELC TECH'!AB:AB)</f>
        <v>92.722827518390247</v>
      </c>
      <c r="AP26" s="15">
        <f>_xlfn.XLOOKUP($B26,'ELC TECH'!$H:$H,'ELC TECH'!AC:AC)</f>
        <v>0</v>
      </c>
      <c r="AQ26" s="15">
        <f>_xlfn.XLOOKUP($B26,'ELC TECH'!$H:$H,'ELC TECH'!AD:AD)</f>
        <v>0</v>
      </c>
      <c r="AR26" s="15">
        <f>_xlfn.XLOOKUP($B26,'ELC TECH'!$H:$H,'ELC TECH'!AE:AE)</f>
        <v>0</v>
      </c>
      <c r="AS26" s="15">
        <f>_xlfn.XLOOKUP($B26,'ELC TECH'!$H:$H,'ELC TECH'!AF:AF)</f>
        <v>0</v>
      </c>
      <c r="AT26" s="15">
        <f>_xlfn.XLOOKUP($B26,'ELC TECH'!$H:$H,'ELC TECH'!AG:AG)</f>
        <v>0</v>
      </c>
      <c r="AU26" s="15">
        <f>_xlfn.XLOOKUP($B26,'ELC TECH'!$H:$H,'ELC TECH'!AH:AH)</f>
        <v>0</v>
      </c>
      <c r="AV26" s="15">
        <f>_xlfn.XLOOKUP($B26,'ELC TECH'!$H:$H,'ELC TECH'!AI:AI)</f>
        <v>0</v>
      </c>
      <c r="AW26" s="15">
        <f>_xlfn.XLOOKUP($B26,'ELC TECH'!$H:$H,'ELC TECH'!AJ:AJ)</f>
        <v>0</v>
      </c>
      <c r="AX26" s="12">
        <f>IF(_xlfn.XLOOKUP($B26,'ELC TECH'!$H:$H,'ELC TECH'!$E:$E)="Storage","",_xlfn.XLOOKUP($B26,'ELC TECH'!$H:$H,'ELC TECH'!AS:AS))</f>
        <v>0.33</v>
      </c>
      <c r="AY26" s="12">
        <f>IF(_xlfn.XLOOKUP($B26,'ELC TECH'!$H:$H,'ELC TECH'!$E:$E)="Storage","",_xlfn.XLOOKUP($B26,'ELC TECH'!$H:$H,'ELC TECH'!AT:AT))</f>
        <v>0.33</v>
      </c>
      <c r="AZ26" s="12">
        <f>IF(_xlfn.XLOOKUP($B26,'ELC TECH'!$H:$H,'ELC TECH'!$E:$E)="Storage","",_xlfn.XLOOKUP($B26,'ELC TECH'!$H:$H,'ELC TECH'!AU:AU))</f>
        <v>0.33</v>
      </c>
      <c r="BA26" s="12">
        <f>IF(_xlfn.XLOOKUP($B26,'ELC TECH'!$H:$H,'ELC TECH'!$E:$E)="Storage","",_xlfn.XLOOKUP($B26,'ELC TECH'!$H:$H,'ELC TECH'!AV:AV))</f>
        <v>0.33</v>
      </c>
      <c r="BB26" s="12">
        <f>IF(_xlfn.XLOOKUP($B26,'ELC TECH'!$H:$H,'ELC TECH'!$E:$E)="Storage","",_xlfn.XLOOKUP($B26,'ELC TECH'!$H:$H,'ELC TECH'!AW:AW))</f>
        <v>0.33</v>
      </c>
      <c r="BC26" s="12">
        <f>IF(_xlfn.XLOOKUP($B26,'ELC TECH'!$H:$H,'ELC TECH'!$E:$E)="Storage","",_xlfn.XLOOKUP($B26,'ELC TECH'!$H:$H,'ELC TECH'!AX:AX))</f>
        <v>0.33</v>
      </c>
      <c r="BD26" s="12">
        <f>IF(_xlfn.XLOOKUP($B26,'ELC TECH'!$H:$H,'ELC TECH'!$E:$E)="Storage","",_xlfn.XLOOKUP($B26,'ELC TECH'!$H:$H,'ELC TECH'!AY:AY))</f>
        <v>0.33</v>
      </c>
      <c r="BE26" s="12">
        <f>IF(_xlfn.XLOOKUP($B26,'ELC TECH'!$H:$H,'ELC TECH'!$E:$E)="Storage","",_xlfn.XLOOKUP($B26,'ELC TECH'!$H:$H,'ELC TECH'!AZ:AZ))</f>
        <v>0.33</v>
      </c>
      <c r="BF26" s="12" t="str">
        <f>IF(_xlfn.XLOOKUP($B26,'ELC TECH'!$H:$H,'ELC TECH'!$E:$E)="Storage",_xlfn.XLOOKUP($B26,'ELC TECH'!$H:$H,'ELC TECH'!AS:AS),"")</f>
        <v/>
      </c>
      <c r="BG26" s="12" t="str">
        <f>IF(_xlfn.XLOOKUP($B26,'ELC TECH'!$H:$H,'ELC TECH'!$E:$E)="Storage",_xlfn.XLOOKUP($B26,'ELC TECH'!$H:$H,'ELC TECH'!AT:AT),"")</f>
        <v/>
      </c>
      <c r="BH26" s="12" t="str">
        <f>IF(_xlfn.XLOOKUP($B26,'ELC TECH'!$H:$H,'ELC TECH'!$E:$E)="Storage",_xlfn.XLOOKUP($B26,'ELC TECH'!$H:$H,'ELC TECH'!AU:AU),"")</f>
        <v/>
      </c>
      <c r="BI26" s="12" t="str">
        <f>IF(_xlfn.XLOOKUP($B26,'ELC TECH'!$H:$H,'ELC TECH'!$E:$E)="Storage",_xlfn.XLOOKUP($B26,'ELC TECH'!$H:$H,'ELC TECH'!AV:AV),"")</f>
        <v/>
      </c>
      <c r="BJ26" s="12" t="str">
        <f>IF(_xlfn.XLOOKUP($B26,'ELC TECH'!$H:$H,'ELC TECH'!$E:$E)="Storage",_xlfn.XLOOKUP($B26,'ELC TECH'!$H:$H,'ELC TECH'!AW:AW),"")</f>
        <v/>
      </c>
      <c r="BK26" s="12" t="str">
        <f>IF(_xlfn.XLOOKUP($B26,'ELC TECH'!$H:$H,'ELC TECH'!$E:$E)="Storage",_xlfn.XLOOKUP($B26,'ELC TECH'!$H:$H,'ELC TECH'!AX:AX),"")</f>
        <v/>
      </c>
      <c r="BL26" s="12" t="str">
        <f>IF(_xlfn.XLOOKUP($B26,'ELC TECH'!$H:$H,'ELC TECH'!$E:$E)="Storage",_xlfn.XLOOKUP($B26,'ELC TECH'!$H:$H,'ELC TECH'!AY:AY),"")</f>
        <v/>
      </c>
      <c r="BM26" s="12" t="str">
        <f>IF(_xlfn.XLOOKUP($B26,'ELC TECH'!$H:$H,'ELC TECH'!$E:$E)="Storage",_xlfn.XLOOKUP($B26,'ELC TECH'!$H:$H,'ELC TECH'!AZ:AZ),"")</f>
        <v/>
      </c>
      <c r="BN26" s="8" t="str">
        <f>IF(_xlfn.XLOOKUP($B26,'ELC TECH'!$H:$H,'ELC TECH'!$E:$E)="Non Dispatchable",IFERROR($AX26*_xlfn.XLOOKUP($C26,$BM$1:$BM$3,BN$1:BN$3)/SUMPRODUCT(_xlfn.XLOOKUP($C26,$BM$1:$BM$3,$BN$1:$BY$3),$BN$4:$BY$4),""),
"")</f>
        <v/>
      </c>
      <c r="BO26" s="8" t="str">
        <f>IF(_xlfn.XLOOKUP($B26,'ELC TECH'!$H:$H,'ELC TECH'!$E:$E)="Non Dispatchable",IFERROR($AX26*_xlfn.XLOOKUP($C26,$BM$1:$BM$3,BO$1:BO$3)/SUMPRODUCT(_xlfn.XLOOKUP($C26,$BM$1:$BM$3,$BN$1:$BY$3),$BN$4:$BY$4),""),
"")</f>
        <v/>
      </c>
      <c r="BP26" s="8" t="str">
        <f>IF(_xlfn.XLOOKUP($B26,'ELC TECH'!$H:$H,'ELC TECH'!$E:$E)="Non Dispatchable",IFERROR($AX26*_xlfn.XLOOKUP($C26,$BM$1:$BM$3,BP$1:BP$3)/SUMPRODUCT(_xlfn.XLOOKUP($C26,$BM$1:$BM$3,$BN$1:$BY$3),$BN$4:$BY$4),""),
"")</f>
        <v/>
      </c>
      <c r="BQ26" s="8" t="str">
        <f>IF(_xlfn.XLOOKUP($B26,'ELC TECH'!$H:$H,'ELC TECH'!$E:$E)="Non Dispatchable",IFERROR($AX26*_xlfn.XLOOKUP($C26,$BM$1:$BM$3,BQ$1:BQ$3)/SUMPRODUCT(_xlfn.XLOOKUP($C26,$BM$1:$BM$3,$BN$1:$BY$3),$BN$4:$BY$4),""),
"")</f>
        <v/>
      </c>
      <c r="BR26" s="8" t="str">
        <f>IF(_xlfn.XLOOKUP($B26,'ELC TECH'!$H:$H,'ELC TECH'!$E:$E)="Non Dispatchable",IFERROR($AX26*_xlfn.XLOOKUP($C26,$BM$1:$BM$3,BR$1:BR$3)/SUMPRODUCT(_xlfn.XLOOKUP($C26,$BM$1:$BM$3,$BN$1:$BY$3),$BN$4:$BY$4),""),
"")</f>
        <v/>
      </c>
      <c r="BS26" s="8" t="str">
        <f>IF(_xlfn.XLOOKUP($B26,'ELC TECH'!$H:$H,'ELC TECH'!$E:$E)="Non Dispatchable",IFERROR($AX26*_xlfn.XLOOKUP($C26,$BM$1:$BM$3,BS$1:BS$3)/SUMPRODUCT(_xlfn.XLOOKUP($C26,$BM$1:$BM$3,$BN$1:$BY$3),$BN$4:$BY$4),""),
"")</f>
        <v/>
      </c>
      <c r="BT26" s="8" t="str">
        <f>IF(_xlfn.XLOOKUP($B26,'ELC TECH'!$H:$H,'ELC TECH'!$E:$E)="Non Dispatchable",IFERROR($AX26*_xlfn.XLOOKUP($C26,$BM$1:$BM$3,BT$1:BT$3)/SUMPRODUCT(_xlfn.XLOOKUP($C26,$BM$1:$BM$3,$BN$1:$BY$3),$BN$4:$BY$4),""),
"")</f>
        <v/>
      </c>
      <c r="BU26" s="8" t="str">
        <f>IF(_xlfn.XLOOKUP($B26,'ELC TECH'!$H:$H,'ELC TECH'!$E:$E)="Non Dispatchable",IFERROR($AX26*_xlfn.XLOOKUP($C26,$BM$1:$BM$3,BU$1:BU$3)/SUMPRODUCT(_xlfn.XLOOKUP($C26,$BM$1:$BM$3,$BN$1:$BY$3),$BN$4:$BY$4),""),
"")</f>
        <v/>
      </c>
      <c r="BV26" s="8" t="str">
        <f>IF(_xlfn.XLOOKUP($B26,'ELC TECH'!$H:$H,'ELC TECH'!$E:$E)="Non Dispatchable",IFERROR($AX26*_xlfn.XLOOKUP($C26,$BM$1:$BM$3,BV$1:BV$3)/SUMPRODUCT(_xlfn.XLOOKUP($C26,$BM$1:$BM$3,$BN$1:$BY$3),$BN$4:$BY$4),""),
"")</f>
        <v/>
      </c>
      <c r="BW26" s="8" t="str">
        <f>IF(_xlfn.XLOOKUP($B26,'ELC TECH'!$H:$H,'ELC TECH'!$E:$E)="Non Dispatchable",IFERROR($AX26*_xlfn.XLOOKUP($C26,$BM$1:$BM$3,BW$1:BW$3)/SUMPRODUCT(_xlfn.XLOOKUP($C26,$BM$1:$BM$3,$BN$1:$BY$3),$BN$4:$BY$4),""),
"")</f>
        <v/>
      </c>
      <c r="BX26" s="8" t="str">
        <f>IF(_xlfn.XLOOKUP($B26,'ELC TECH'!$H:$H,'ELC TECH'!$E:$E)="Non Dispatchable",IFERROR($AX26*_xlfn.XLOOKUP($C26,$BM$1:$BM$3,BX$1:BX$3)/SUMPRODUCT(_xlfn.XLOOKUP($C26,$BM$1:$BM$3,$BN$1:$BY$3),$BN$4:$BY$4),""),
"")</f>
        <v/>
      </c>
      <c r="BY26" s="8" t="str">
        <f>IF(_xlfn.XLOOKUP($B26,'ELC TECH'!$H:$H,'ELC TECH'!$E:$E)="Non Dispatchable",IFERROR($AX26*_xlfn.XLOOKUP($C26,$BM$1:$BM$3,BY$1:BY$3)/SUMPRODUCT(_xlfn.XLOOKUP($C26,$BM$1:$BM$3,$BN$1:$BY$3),$BN$4:$BY$4),""),
"")</f>
        <v/>
      </c>
      <c r="BZ26" s="8" t="str">
        <f>IF(_xlfn.XLOOKUP($B26,'ELC TECH'!$H:$H,'ELC TECH'!$E:$E)="Non Dispatchable",IFERROR($AX26*_xlfn.XLOOKUP($C26,$BM$1:$BM$3,BZ$1:BZ$3)/SUMPRODUCT(_xlfn.XLOOKUP($C26,$BM$1:$BM$3,$BN$1:$BY$3),$BN$4:$BY$4),""),
"")</f>
        <v/>
      </c>
      <c r="CA26" s="8" t="str">
        <f>IF(_xlfn.XLOOKUP($B26,'ELC TECH'!$H:$H,'ELC TECH'!$E:$E)="Non Dispatchable",IFERROR($AX26*_xlfn.XLOOKUP($C26,$BM$1:$BM$3,CA$1:CA$3)/SUMPRODUCT(_xlfn.XLOOKUP($C26,$BM$1:$BM$3,$BN$1:$BY$3),$BN$4:$BY$4),""),
"")</f>
        <v/>
      </c>
      <c r="CB26" s="8" t="str">
        <f>IF(_xlfn.XLOOKUP($B26,'ELC TECH'!$H:$H,'ELC TECH'!$E:$E)="Non Dispatchable",IFERROR($AX26*_xlfn.XLOOKUP($C26,$BM$1:$BM$3,CB$1:CB$3)/SUMPRODUCT(_xlfn.XLOOKUP($C26,$BM$1:$BM$3,$BN$1:$BY$3),$BN$4:$BY$4),""),
"")</f>
        <v/>
      </c>
      <c r="CC26" s="8" t="str">
        <f>IF(_xlfn.XLOOKUP($B26,'ELC TECH'!$H:$H,'ELC TECH'!$E:$E)="Non Dispatchable",IFERROR($AX26*_xlfn.XLOOKUP($C26,$BM$1:$BM$3,CC$1:CC$3)/SUMPRODUCT(_xlfn.XLOOKUP($C26,$BM$1:$BM$3,$BN$1:$BY$3),$BN$4:$BY$4),""),
"")</f>
        <v/>
      </c>
      <c r="CD26" s="8" t="str">
        <f>IF(_xlfn.XLOOKUP($B26,'ELC TECH'!$H:$H,'ELC TECH'!$E:$E)="Non Dispatchable",IFERROR($AX26*_xlfn.XLOOKUP($C26,$BM$1:$BM$3,CD$1:CD$3)/SUMPRODUCT(_xlfn.XLOOKUP($C26,$BM$1:$BM$3,$BN$1:$BY$3),$BN$4:$BY$4),""),
"")</f>
        <v/>
      </c>
      <c r="CE26" s="8" t="str">
        <f>IF(_xlfn.XLOOKUP($B26,'ELC TECH'!$H:$H,'ELC TECH'!$E:$E)="Non Dispatchable",IFERROR($AX26*_xlfn.XLOOKUP($C26,$BM$1:$BM$3,CE$1:CE$3)/SUMPRODUCT(_xlfn.XLOOKUP($C26,$BM$1:$BM$3,$BN$1:$BY$3),$BN$4:$BY$4),""),
"")</f>
        <v/>
      </c>
      <c r="CF26" s="8" t="str">
        <f>IF(_xlfn.XLOOKUP($B26,'ELC TECH'!$H:$H,'ELC TECH'!$E:$E)="Non Dispatchable",IFERROR($AX26*_xlfn.XLOOKUP($C26,$BM$1:$BM$3,CF$1:CF$3)/SUMPRODUCT(_xlfn.XLOOKUP($C26,$BM$1:$BM$3,$BN$1:$BY$3),$BN$4:$BY$4),""),
"")</f>
        <v/>
      </c>
      <c r="CG26" s="8" t="str">
        <f>IF(_xlfn.XLOOKUP($B26,'ELC TECH'!$H:$H,'ELC TECH'!$E:$E)="Non Dispatchable",IFERROR($AX26*_xlfn.XLOOKUP($C26,$BM$1:$BM$3,CG$1:CG$3)/SUMPRODUCT(_xlfn.XLOOKUP($C26,$BM$1:$BM$3,$BN$1:$BY$3),$BN$4:$BY$4),""),
"")</f>
        <v/>
      </c>
      <c r="CH26" s="8" t="str">
        <f>IF(_xlfn.XLOOKUP($B26,'ELC TECH'!$H:$H,'ELC TECH'!$E:$E)="Non Dispatchable",IFERROR($AX26*_xlfn.XLOOKUP($C26,$BM$1:$BM$3,CH$1:CH$3)/SUMPRODUCT(_xlfn.XLOOKUP($C26,$BM$1:$BM$3,$BN$1:$BY$3),$BN$4:$BY$4),""),
"")</f>
        <v/>
      </c>
      <c r="CI26" s="8" t="str">
        <f>IF(_xlfn.XLOOKUP($B26,'ELC TECH'!$H:$H,'ELC TECH'!$E:$E)="Non Dispatchable",IFERROR($AX26*_xlfn.XLOOKUP($C26,$BM$1:$BM$3,CI$1:CI$3)/SUMPRODUCT(_xlfn.XLOOKUP($C26,$BM$1:$BM$3,$BN$1:$BY$3),$BN$4:$BY$4),""),
"")</f>
        <v/>
      </c>
      <c r="CJ26" s="8" t="str">
        <f>IF(_xlfn.XLOOKUP($B26,'ELC TECH'!$H:$H,'ELC TECH'!$E:$E)="Non Dispatchable",IFERROR($AX26*_xlfn.XLOOKUP($C26,$BM$1:$BM$3,CJ$1:CJ$3)/SUMPRODUCT(_xlfn.XLOOKUP($C26,$BM$1:$BM$3,$BN$1:$BY$3),$BN$4:$BY$4),""),
"")</f>
        <v/>
      </c>
      <c r="CK26" s="8" t="str">
        <f>IF(_xlfn.XLOOKUP($B26,'ELC TECH'!$H:$H,'ELC TECH'!$E:$E)="Non Dispatchable",IFERROR($AX26*_xlfn.XLOOKUP($C26,$BM$1:$BM$3,CK$1:CK$3)/SUMPRODUCT(_xlfn.XLOOKUP($C26,$BM$1:$BM$3,$BN$1:$BY$3),$BN$4:$BY$4),""),
"")</f>
        <v/>
      </c>
      <c r="CL26" s="8" t="str">
        <f>IF(_xlfn.XLOOKUP($B26,'ELC TECH'!$H:$H,'ELC TECH'!$E:$E)="Storage",CL$4*$BF26,"")</f>
        <v/>
      </c>
      <c r="CM26" s="8" t="str">
        <f>IF(_xlfn.XLOOKUP($B26,'ELC TECH'!$H:$H,'ELC TECH'!$E:$E)="Storage",CM$4*$BF26,"")</f>
        <v/>
      </c>
      <c r="CN26" s="8" t="str">
        <f>IF(_xlfn.XLOOKUP($B26,'ELC TECH'!$H:$H,'ELC TECH'!$E:$E)="Storage",CN$4*$BF26,"")</f>
        <v/>
      </c>
      <c r="CO26" s="8" t="str">
        <f>IF(_xlfn.XLOOKUP($B26,'ELC TECH'!$H:$H,'ELC TECH'!$E:$E)="Storage",CO$4*$BF26,"")</f>
        <v/>
      </c>
      <c r="CP26" s="8" t="str">
        <f>IF(_xlfn.XLOOKUP($B26,'ELC TECH'!$H:$H,'ELC TECH'!$E:$E)="Storage",CP$4*$BF26,"")</f>
        <v/>
      </c>
      <c r="CQ26" s="8" t="str">
        <f>IF(_xlfn.XLOOKUP($B26,'ELC TECH'!$H:$H,'ELC TECH'!$E:$E)="Storage",CQ$4*$BF26,"")</f>
        <v/>
      </c>
      <c r="CR26" s="8" t="str">
        <f>IF(_xlfn.XLOOKUP($B26,'ELC TECH'!$H:$H,'ELC TECH'!$E:$E)="Storage",CR$4*$BF26,"")</f>
        <v/>
      </c>
      <c r="CS26" s="8" t="str">
        <f>IF(_xlfn.XLOOKUP($B26,'ELC TECH'!$H:$H,'ELC TECH'!$E:$E)="Storage",CS$4*$BF26,"")</f>
        <v/>
      </c>
      <c r="CT26" s="8" t="str">
        <f>IF(_xlfn.XLOOKUP($B26,'ELC TECH'!$H:$H,'ELC TECH'!$E:$E)="Storage",CT$4*$BF26,"")</f>
        <v/>
      </c>
      <c r="CU26" s="8" t="str">
        <f>IF(_xlfn.XLOOKUP($B26,'ELC TECH'!$H:$H,'ELC TECH'!$E:$E)="Storage",CU$4*$BF26,"")</f>
        <v/>
      </c>
      <c r="CV26" s="8" t="str">
        <f>IF(_xlfn.XLOOKUP($B26,'ELC TECH'!$H:$H,'ELC TECH'!$E:$E)="Storage",CV$4*$BF26,"")</f>
        <v/>
      </c>
      <c r="CW26" s="8" t="str">
        <f>IF(_xlfn.XLOOKUP($B26,'ELC TECH'!$H:$H,'ELC TECH'!$E:$E)="Storage",CW$4*$BF26,"")</f>
        <v/>
      </c>
      <c r="CX26" s="8" t="str">
        <f>IF(_xlfn.XLOOKUP($B26,'ELC TECH'!$H:$H,'ELC TECH'!$E:$E)="Storage",CX$4*$BF26,"")</f>
        <v/>
      </c>
      <c r="CY26" s="8" t="str">
        <f>IF(_xlfn.XLOOKUP($B26,'ELC TECH'!$H:$H,'ELC TECH'!$E:$E)="Storage",CY$4*$BF26,"")</f>
        <v/>
      </c>
      <c r="CZ26" s="8" t="str">
        <f>IF(_xlfn.XLOOKUP($B26,'ELC TECH'!$H:$H,'ELC TECH'!$E:$E)="Storage",CZ$4*$BF26,"")</f>
        <v/>
      </c>
      <c r="DA26" s="8" t="str">
        <f>IF(_xlfn.XLOOKUP($B26,'ELC TECH'!$H:$H,'ELC TECH'!$E:$E)="Storage",DA$4*$BF26,"")</f>
        <v/>
      </c>
      <c r="DB26" s="8" t="str">
        <f>IF(_xlfn.XLOOKUP($B26,'ELC TECH'!$H:$H,'ELC TECH'!$E:$E)="Storage",DB$4*$BF26,"")</f>
        <v/>
      </c>
      <c r="DC26" s="8" t="str">
        <f>IF(_xlfn.XLOOKUP($B26,'ELC TECH'!$H:$H,'ELC TECH'!$E:$E)="Storage",DC$4*$BF26,"")</f>
        <v/>
      </c>
      <c r="DD26" s="8" t="str">
        <f>IF(_xlfn.XLOOKUP($B26,'ELC TECH'!$H:$H,'ELC TECH'!$E:$E)="Storage",DD$4*$BF26,"")</f>
        <v/>
      </c>
      <c r="DE26" s="8" t="str">
        <f>IF(_xlfn.XLOOKUP($B26,'ELC TECH'!$H:$H,'ELC TECH'!$E:$E)="Storage",DE$4*$BF26,"")</f>
        <v/>
      </c>
      <c r="DF26" s="8" t="str">
        <f>IF(_xlfn.XLOOKUP($B26,'ELC TECH'!$H:$H,'ELC TECH'!$E:$E)="Storage",DF$4*$BF26,"")</f>
        <v/>
      </c>
      <c r="DG26" s="8" t="str">
        <f>IF(_xlfn.XLOOKUP($B26,'ELC TECH'!$H:$H,'ELC TECH'!$E:$E)="Storage",DG$4*$BF26,"")</f>
        <v/>
      </c>
      <c r="DH26" s="8" t="str">
        <f>IF(_xlfn.XLOOKUP($B26,'ELC TECH'!$H:$H,'ELC TECH'!$E:$E)="Storage",DH$4*$BF26,"")</f>
        <v/>
      </c>
      <c r="DI26" s="8" t="str">
        <f>IF(_xlfn.XLOOKUP($B26,'ELC TECH'!$H:$H,'ELC TECH'!$E:$E)="Storage",DI$4*$BF26,"")</f>
        <v/>
      </c>
    </row>
    <row r="27" spans="2:113" x14ac:dyDescent="0.25">
      <c r="B27" t="str">
        <f>IF('ELC TECH'!I20=0,"*",'ELC TECH'!H20)</f>
        <v>ELCHYDGRDHUPDC220</v>
      </c>
      <c r="C27" t="str">
        <f>IF(_xlfn.XLOOKUP(_xlfn.XLOOKUP(B27,'ELC TECH'!$H:$H,'ELC TECH'!$G:$G),List!C:C,List!B:B)="STG",D27,"ELC"&amp;_xlfn.XLOOKUP(_xlfn.XLOOKUP(B27,'ELC TECH'!H:H,'ELC TECH'!G:G),List!C:C,List!B:B))</f>
        <v>ELCHYD</v>
      </c>
      <c r="D27" t="s">
        <v>544</v>
      </c>
      <c r="E27">
        <f>_xlfn.XLOOKUP(B27,'ELC TECH'!H:H,'ELC TECH'!D:D)</f>
        <v>2020</v>
      </c>
      <c r="F27">
        <f>_xlfn.XLOOKUP(B27,'ELC TECH'!H:H,'ELC TECH'!K:K)</f>
        <v>100</v>
      </c>
      <c r="G27">
        <f t="shared" si="4"/>
        <v>31.535999999999998</v>
      </c>
      <c r="H27">
        <f>IF(_xlfn.XLOOKUP(B27,'ELC TECH'!$H:$H,'ELC TECH'!$E:$E)="Storage",0.3,IF(_xlfn.XLOOKUP(B27,'ELC TECH'!$H:$H,'ELC TECH'!$E:$E)="Baseload",0.9,IF(_xlfn.XLOOKUP(B27,'ELC TECH'!$H:$H,'ELC TECH'!$E:$E)="Non Dispatchable",0.05,IF(_xlfn.XLOOKUP(B27,'ELC TECH'!$H:$H,'ELC TECH'!$E:$E)="Dispatchable",0.9,1))))</f>
        <v>0.9</v>
      </c>
      <c r="I27" s="13">
        <f>IF(_xlfn.XLOOKUP(B27,'ELC TECH'!H:H,'ELC TECH'!J:J)="","",_xlfn.XLOOKUP(B27,'ELC TECH'!H:H,'ELC TECH'!J:J))</f>
        <v>0</v>
      </c>
      <c r="J27" s="12">
        <f>IF(_xlfn.XLOOKUP($B27,'ELC TECH'!$H:$H,'ELC TECH'!$E:$E)="Storage","",IF(_xlfn.XLOOKUP($B27,'ELC TECH'!$H:$H,'ELC TECH'!AK:AK)="",1,_xlfn.XLOOKUP($B27,'ELC TECH'!$H:$H,'ELC TECH'!AK:AK)))</f>
        <v>1</v>
      </c>
      <c r="K27" s="12">
        <f>IF(_xlfn.XLOOKUP($B27,'ELC TECH'!$H:$H,'ELC TECH'!$E:$E)="Storage","",IF(_xlfn.XLOOKUP($B27,'ELC TECH'!$H:$H,'ELC TECH'!AL:AL)="",1,_xlfn.XLOOKUP($B27,'ELC TECH'!$H:$H,'ELC TECH'!AL:AL)))</f>
        <v>1</v>
      </c>
      <c r="L27" s="12">
        <f>IF(_xlfn.XLOOKUP($B27,'ELC TECH'!$H:$H,'ELC TECH'!$E:$E)="Storage","",IF(_xlfn.XLOOKUP($B27,'ELC TECH'!$H:$H,'ELC TECH'!AM:AM)="",1,_xlfn.XLOOKUP($B27,'ELC TECH'!$H:$H,'ELC TECH'!AM:AM)))</f>
        <v>1</v>
      </c>
      <c r="M27" s="12">
        <f>IF(_xlfn.XLOOKUP($B27,'ELC TECH'!$H:$H,'ELC TECH'!$E:$E)="Storage","",IF(_xlfn.XLOOKUP($B27,'ELC TECH'!$H:$H,'ELC TECH'!AN:AN)="",1,_xlfn.XLOOKUP($B27,'ELC TECH'!$H:$H,'ELC TECH'!AN:AN)))</f>
        <v>1</v>
      </c>
      <c r="N27" s="12">
        <f>IF(_xlfn.XLOOKUP($B27,'ELC TECH'!$H:$H,'ELC TECH'!$E:$E)="Storage","",IF(_xlfn.XLOOKUP($B27,'ELC TECH'!$H:$H,'ELC TECH'!AO:AO)="",1,_xlfn.XLOOKUP($B27,'ELC TECH'!$H:$H,'ELC TECH'!AO:AO)))</f>
        <v>1</v>
      </c>
      <c r="O27" s="12">
        <f>IF(_xlfn.XLOOKUP($B27,'ELC TECH'!$H:$H,'ELC TECH'!$E:$E)="Storage","",IF(_xlfn.XLOOKUP($B27,'ELC TECH'!$H:$H,'ELC TECH'!AP:AP)="",1,_xlfn.XLOOKUP($B27,'ELC TECH'!$H:$H,'ELC TECH'!AP:AP)))</f>
        <v>1</v>
      </c>
      <c r="P27" s="12">
        <f>IF(_xlfn.XLOOKUP($B27,'ELC TECH'!$H:$H,'ELC TECH'!$E:$E)="Storage","",IF(_xlfn.XLOOKUP($B27,'ELC TECH'!$H:$H,'ELC TECH'!AQ:AQ)="",1,_xlfn.XLOOKUP($B27,'ELC TECH'!$H:$H,'ELC TECH'!AQ:AQ)))</f>
        <v>1</v>
      </c>
      <c r="Q27" s="12">
        <f>IF(_xlfn.XLOOKUP($B27,'ELC TECH'!$H:$H,'ELC TECH'!$E:$E)="Storage","",IF(_xlfn.XLOOKUP($B27,'ELC TECH'!$H:$H,'ELC TECH'!AR:AR)="",1,_xlfn.XLOOKUP($B27,'ELC TECH'!$H:$H,'ELC TECH'!AR:AR)))</f>
        <v>1</v>
      </c>
      <c r="R27" s="12" t="str">
        <f>IF(_xlfn.XLOOKUP($B27,'ELC TECH'!$H:$H,'ELC TECH'!$E:$E)&lt;&gt;"Storage","",IF(_xlfn.XLOOKUP($B27,'ELC TECH'!$H:$H,'ELC TECH'!AK:AK)="",0.8,_xlfn.XLOOKUP($B27,'ELC TECH'!$H:$H,'ELC TECH'!AK:AK)))</f>
        <v/>
      </c>
      <c r="S27" s="12" t="str">
        <f>IF(_xlfn.XLOOKUP($B27,'ELC TECH'!$H:$H,'ELC TECH'!$E:$E)&lt;&gt;"Storage","",IF(_xlfn.XLOOKUP($B27,'ELC TECH'!$H:$H,'ELC TECH'!AL:AL)="",0.8,_xlfn.XLOOKUP($B27,'ELC TECH'!$H:$H,'ELC TECH'!AL:AL)))</f>
        <v/>
      </c>
      <c r="T27" s="12" t="str">
        <f>IF(_xlfn.XLOOKUP($B27,'ELC TECH'!$H:$H,'ELC TECH'!$E:$E)&lt;&gt;"Storage","",IF(_xlfn.XLOOKUP($B27,'ELC TECH'!$H:$H,'ELC TECH'!AM:AM)="",0.8,_xlfn.XLOOKUP($B27,'ELC TECH'!$H:$H,'ELC TECH'!AM:AM)))</f>
        <v/>
      </c>
      <c r="U27" s="12" t="str">
        <f>IF(_xlfn.XLOOKUP($B27,'ELC TECH'!$H:$H,'ELC TECH'!$E:$E)&lt;&gt;"Storage","",IF(_xlfn.XLOOKUP($B27,'ELC TECH'!$H:$H,'ELC TECH'!AN:AN)="",0.8,_xlfn.XLOOKUP($B27,'ELC TECH'!$H:$H,'ELC TECH'!AN:AN)))</f>
        <v/>
      </c>
      <c r="V27" s="12" t="str">
        <f>IF(_xlfn.XLOOKUP($B27,'ELC TECH'!$H:$H,'ELC TECH'!$E:$E)&lt;&gt;"Storage","",IF(_xlfn.XLOOKUP($B27,'ELC TECH'!$H:$H,'ELC TECH'!AO:AO)="",0.8,_xlfn.XLOOKUP($B27,'ELC TECH'!$H:$H,'ELC TECH'!AO:AO)))</f>
        <v/>
      </c>
      <c r="W27" s="12" t="str">
        <f>IF(_xlfn.XLOOKUP($B27,'ELC TECH'!$H:$H,'ELC TECH'!$E:$E)&lt;&gt;"Storage","",IF(_xlfn.XLOOKUP($B27,'ELC TECH'!$H:$H,'ELC TECH'!AP:AP)="",0.8,_xlfn.XLOOKUP($B27,'ELC TECH'!$H:$H,'ELC TECH'!AP:AP)))</f>
        <v/>
      </c>
      <c r="X27" s="12" t="str">
        <f>IF(_xlfn.XLOOKUP($B27,'ELC TECH'!$H:$H,'ELC TECH'!$E:$E)&lt;&gt;"Storage","",IF(_xlfn.XLOOKUP($B27,'ELC TECH'!$H:$H,'ELC TECH'!AQ:AQ)="",0.8,_xlfn.XLOOKUP($B27,'ELC TECH'!$H:$H,'ELC TECH'!AQ:AQ)))</f>
        <v/>
      </c>
      <c r="Y27" s="12" t="str">
        <f>IF(_xlfn.XLOOKUP($B27,'ELC TECH'!$H:$H,'ELC TECH'!$E:$E)&lt;&gt;"Storage","",IF(_xlfn.XLOOKUP($B27,'ELC TECH'!$H:$H,'ELC TECH'!AR:AR)="",0.8,_xlfn.XLOOKUP($B27,'ELC TECH'!$H:$H,'ELC TECH'!AR:AR)))</f>
        <v/>
      </c>
      <c r="Z27" s="15">
        <f>_xlfn.XLOOKUP($B27,'ELC TECH'!$H:$H,'ELC TECH'!M:M)</f>
        <v>6253.1370265450987</v>
      </c>
      <c r="AA27" s="15">
        <f>_xlfn.XLOOKUP($B27,'ELC TECH'!$H:$H,'ELC TECH'!N:N)</f>
        <v>6253.1370265450987</v>
      </c>
      <c r="AB27" s="15">
        <f>_xlfn.XLOOKUP($B27,'ELC TECH'!$H:$H,'ELC TECH'!O:O)</f>
        <v>4777.4871495755951</v>
      </c>
      <c r="AC27" s="15">
        <f>_xlfn.XLOOKUP($B27,'ELC TECH'!$H:$H,'ELC TECH'!P:P)</f>
        <v>3300.7065064168428</v>
      </c>
      <c r="AD27" s="15">
        <f>_xlfn.XLOOKUP($B27,'ELC TECH'!$H:$H,'ELC TECH'!Q:Q)</f>
        <v>3168.40686227475</v>
      </c>
      <c r="AE27" s="15">
        <f>_xlfn.XLOOKUP($B27,'ELC TECH'!$H:$H,'ELC TECH'!R:R)</f>
        <v>3168.40686227475</v>
      </c>
      <c r="AF27" s="15">
        <f>_xlfn.XLOOKUP($B27,'ELC TECH'!$H:$H,'ELC TECH'!S:S)</f>
        <v>3168.40686227475</v>
      </c>
      <c r="AG27" s="15">
        <f>_xlfn.XLOOKUP($B27,'ELC TECH'!$H:$H,'ELC TECH'!T:T)</f>
        <v>3168.40686227475</v>
      </c>
      <c r="AH27" s="15">
        <f>_xlfn.XLOOKUP($B27,'ELC TECH'!$H:$H,'ELC TECH'!U:U)</f>
        <v>98.37665846463355</v>
      </c>
      <c r="AI27" s="15">
        <f>_xlfn.XLOOKUP($B27,'ELC TECH'!$H:$H,'ELC TECH'!V:V)</f>
        <v>98.37665846463355</v>
      </c>
      <c r="AJ27" s="15">
        <f>_xlfn.XLOOKUP($B27,'ELC TECH'!$H:$H,'ELC TECH'!W:W)</f>
        <v>98.37665846463355</v>
      </c>
      <c r="AK27" s="15">
        <f>_xlfn.XLOOKUP($B27,'ELC TECH'!$H:$H,'ELC TECH'!X:X)</f>
        <v>98.37665846463355</v>
      </c>
      <c r="AL27" s="15">
        <f>_xlfn.XLOOKUP($B27,'ELC TECH'!$H:$H,'ELC TECH'!Y:Y)</f>
        <v>93.853593707638908</v>
      </c>
      <c r="AM27" s="15">
        <f>_xlfn.XLOOKUP($B27,'ELC TECH'!$H:$H,'ELC TECH'!Z:Z)</f>
        <v>93.853593707638908</v>
      </c>
      <c r="AN27" s="15">
        <f>_xlfn.XLOOKUP($B27,'ELC TECH'!$H:$H,'ELC TECH'!AA:AA)</f>
        <v>93.853593707638908</v>
      </c>
      <c r="AO27" s="15">
        <f>_xlfn.XLOOKUP($B27,'ELC TECH'!$H:$H,'ELC TECH'!AB:AB)</f>
        <v>93.853593707638908</v>
      </c>
      <c r="AP27" s="15">
        <f>_xlfn.XLOOKUP($B27,'ELC TECH'!$H:$H,'ELC TECH'!AC:AC)</f>
        <v>0</v>
      </c>
      <c r="AQ27" s="15">
        <f>_xlfn.XLOOKUP($B27,'ELC TECH'!$H:$H,'ELC TECH'!AD:AD)</f>
        <v>0</v>
      </c>
      <c r="AR27" s="15">
        <f>_xlfn.XLOOKUP($B27,'ELC TECH'!$H:$H,'ELC TECH'!AE:AE)</f>
        <v>0</v>
      </c>
      <c r="AS27" s="15">
        <f>_xlfn.XLOOKUP($B27,'ELC TECH'!$H:$H,'ELC TECH'!AF:AF)</f>
        <v>0</v>
      </c>
      <c r="AT27" s="15">
        <f>_xlfn.XLOOKUP($B27,'ELC TECH'!$H:$H,'ELC TECH'!AG:AG)</f>
        <v>0</v>
      </c>
      <c r="AU27" s="15">
        <f>_xlfn.XLOOKUP($B27,'ELC TECH'!$H:$H,'ELC TECH'!AH:AH)</f>
        <v>0</v>
      </c>
      <c r="AV27" s="15">
        <f>_xlfn.XLOOKUP($B27,'ELC TECH'!$H:$H,'ELC TECH'!AI:AI)</f>
        <v>0</v>
      </c>
      <c r="AW27" s="15">
        <f>_xlfn.XLOOKUP($B27,'ELC TECH'!$H:$H,'ELC TECH'!AJ:AJ)</f>
        <v>0</v>
      </c>
      <c r="AX27" s="12">
        <f>IF(_xlfn.XLOOKUP($B27,'ELC TECH'!$H:$H,'ELC TECH'!$E:$E)="Storage","",_xlfn.XLOOKUP($B27,'ELC TECH'!$H:$H,'ELC TECH'!AS:AS))</f>
        <v>0.41</v>
      </c>
      <c r="AY27" s="12">
        <f>IF(_xlfn.XLOOKUP($B27,'ELC TECH'!$H:$H,'ELC TECH'!$E:$E)="Storage","",_xlfn.XLOOKUP($B27,'ELC TECH'!$H:$H,'ELC TECH'!AT:AT))</f>
        <v>0.41</v>
      </c>
      <c r="AZ27" s="12">
        <f>IF(_xlfn.XLOOKUP($B27,'ELC TECH'!$H:$H,'ELC TECH'!$E:$E)="Storage","",_xlfn.XLOOKUP($B27,'ELC TECH'!$H:$H,'ELC TECH'!AU:AU))</f>
        <v>0.37999999999999989</v>
      </c>
      <c r="BA27" s="12">
        <f>IF(_xlfn.XLOOKUP($B27,'ELC TECH'!$H:$H,'ELC TECH'!$E:$E)="Storage","",_xlfn.XLOOKUP($B27,'ELC TECH'!$H:$H,'ELC TECH'!AV:AV))</f>
        <v>0.37999999999999989</v>
      </c>
      <c r="BB27" s="12">
        <f>IF(_xlfn.XLOOKUP($B27,'ELC TECH'!$H:$H,'ELC TECH'!$E:$E)="Storage","",_xlfn.XLOOKUP($B27,'ELC TECH'!$H:$H,'ELC TECH'!AW:AW))</f>
        <v>0.37999999999999989</v>
      </c>
      <c r="BC27" s="12">
        <f>IF(_xlfn.XLOOKUP($B27,'ELC TECH'!$H:$H,'ELC TECH'!$E:$E)="Storage","",_xlfn.XLOOKUP($B27,'ELC TECH'!$H:$H,'ELC TECH'!AX:AX))</f>
        <v>0.37999999999999989</v>
      </c>
      <c r="BD27" s="12">
        <f>IF(_xlfn.XLOOKUP($B27,'ELC TECH'!$H:$H,'ELC TECH'!$E:$E)="Storage","",_xlfn.XLOOKUP($B27,'ELC TECH'!$H:$H,'ELC TECH'!AY:AY))</f>
        <v>0.37999999999999989</v>
      </c>
      <c r="BE27" s="12">
        <f>IF(_xlfn.XLOOKUP($B27,'ELC TECH'!$H:$H,'ELC TECH'!$E:$E)="Storage","",_xlfn.XLOOKUP($B27,'ELC TECH'!$H:$H,'ELC TECH'!AZ:AZ))</f>
        <v>0.37999999999999989</v>
      </c>
      <c r="BF27" s="12" t="str">
        <f>IF(_xlfn.XLOOKUP($B27,'ELC TECH'!$H:$H,'ELC TECH'!$E:$E)="Storage",_xlfn.XLOOKUP($B27,'ELC TECH'!$H:$H,'ELC TECH'!AS:AS),"")</f>
        <v/>
      </c>
      <c r="BG27" s="12" t="str">
        <f>IF(_xlfn.XLOOKUP($B27,'ELC TECH'!$H:$H,'ELC TECH'!$E:$E)="Storage",_xlfn.XLOOKUP($B27,'ELC TECH'!$H:$H,'ELC TECH'!AT:AT),"")</f>
        <v/>
      </c>
      <c r="BH27" s="12" t="str">
        <f>IF(_xlfn.XLOOKUP($B27,'ELC TECH'!$H:$H,'ELC TECH'!$E:$E)="Storage",_xlfn.XLOOKUP($B27,'ELC TECH'!$H:$H,'ELC TECH'!AU:AU),"")</f>
        <v/>
      </c>
      <c r="BI27" s="12" t="str">
        <f>IF(_xlfn.XLOOKUP($B27,'ELC TECH'!$H:$H,'ELC TECH'!$E:$E)="Storage",_xlfn.XLOOKUP($B27,'ELC TECH'!$H:$H,'ELC TECH'!AV:AV),"")</f>
        <v/>
      </c>
      <c r="BJ27" s="12" t="str">
        <f>IF(_xlfn.XLOOKUP($B27,'ELC TECH'!$H:$H,'ELC TECH'!$E:$E)="Storage",_xlfn.XLOOKUP($B27,'ELC TECH'!$H:$H,'ELC TECH'!AW:AW),"")</f>
        <v/>
      </c>
      <c r="BK27" s="12" t="str">
        <f>IF(_xlfn.XLOOKUP($B27,'ELC TECH'!$H:$H,'ELC TECH'!$E:$E)="Storage",_xlfn.XLOOKUP($B27,'ELC TECH'!$H:$H,'ELC TECH'!AX:AX),"")</f>
        <v/>
      </c>
      <c r="BL27" s="12" t="str">
        <f>IF(_xlfn.XLOOKUP($B27,'ELC TECH'!$H:$H,'ELC TECH'!$E:$E)="Storage",_xlfn.XLOOKUP($B27,'ELC TECH'!$H:$H,'ELC TECH'!AY:AY),"")</f>
        <v/>
      </c>
      <c r="BM27" s="12" t="str">
        <f>IF(_xlfn.XLOOKUP($B27,'ELC TECH'!$H:$H,'ELC TECH'!$E:$E)="Storage",_xlfn.XLOOKUP($B27,'ELC TECH'!$H:$H,'ELC TECH'!AZ:AZ),"")</f>
        <v/>
      </c>
      <c r="BN27" s="8" t="str">
        <f>IF(_xlfn.XLOOKUP($B27,'ELC TECH'!$H:$H,'ELC TECH'!$E:$E)="Non Dispatchable",IFERROR($AX27*_xlfn.XLOOKUP($C27,$BM$1:$BM$3,BN$1:BN$3)/SUMPRODUCT(_xlfn.XLOOKUP($C27,$BM$1:$BM$3,$BN$1:$BY$3),$BN$4:$BY$4),""),
"")</f>
        <v/>
      </c>
      <c r="BO27" s="8" t="str">
        <f>IF(_xlfn.XLOOKUP($B27,'ELC TECH'!$H:$H,'ELC TECH'!$E:$E)="Non Dispatchable",IFERROR($AX27*_xlfn.XLOOKUP($C27,$BM$1:$BM$3,BO$1:BO$3)/SUMPRODUCT(_xlfn.XLOOKUP($C27,$BM$1:$BM$3,$BN$1:$BY$3),$BN$4:$BY$4),""),
"")</f>
        <v/>
      </c>
      <c r="BP27" s="8" t="str">
        <f>IF(_xlfn.XLOOKUP($B27,'ELC TECH'!$H:$H,'ELC TECH'!$E:$E)="Non Dispatchable",IFERROR($AX27*_xlfn.XLOOKUP($C27,$BM$1:$BM$3,BP$1:BP$3)/SUMPRODUCT(_xlfn.XLOOKUP($C27,$BM$1:$BM$3,$BN$1:$BY$3),$BN$4:$BY$4),""),
"")</f>
        <v/>
      </c>
      <c r="BQ27" s="8" t="str">
        <f>IF(_xlfn.XLOOKUP($B27,'ELC TECH'!$H:$H,'ELC TECH'!$E:$E)="Non Dispatchable",IFERROR($AX27*_xlfn.XLOOKUP($C27,$BM$1:$BM$3,BQ$1:BQ$3)/SUMPRODUCT(_xlfn.XLOOKUP($C27,$BM$1:$BM$3,$BN$1:$BY$3),$BN$4:$BY$4),""),
"")</f>
        <v/>
      </c>
      <c r="BR27" s="8" t="str">
        <f>IF(_xlfn.XLOOKUP($B27,'ELC TECH'!$H:$H,'ELC TECH'!$E:$E)="Non Dispatchable",IFERROR($AX27*_xlfn.XLOOKUP($C27,$BM$1:$BM$3,BR$1:BR$3)/SUMPRODUCT(_xlfn.XLOOKUP($C27,$BM$1:$BM$3,$BN$1:$BY$3),$BN$4:$BY$4),""),
"")</f>
        <v/>
      </c>
      <c r="BS27" s="8" t="str">
        <f>IF(_xlfn.XLOOKUP($B27,'ELC TECH'!$H:$H,'ELC TECH'!$E:$E)="Non Dispatchable",IFERROR($AX27*_xlfn.XLOOKUP($C27,$BM$1:$BM$3,BS$1:BS$3)/SUMPRODUCT(_xlfn.XLOOKUP($C27,$BM$1:$BM$3,$BN$1:$BY$3),$BN$4:$BY$4),""),
"")</f>
        <v/>
      </c>
      <c r="BT27" s="8" t="str">
        <f>IF(_xlfn.XLOOKUP($B27,'ELC TECH'!$H:$H,'ELC TECH'!$E:$E)="Non Dispatchable",IFERROR($AX27*_xlfn.XLOOKUP($C27,$BM$1:$BM$3,BT$1:BT$3)/SUMPRODUCT(_xlfn.XLOOKUP($C27,$BM$1:$BM$3,$BN$1:$BY$3),$BN$4:$BY$4),""),
"")</f>
        <v/>
      </c>
      <c r="BU27" s="8" t="str">
        <f>IF(_xlfn.XLOOKUP($B27,'ELC TECH'!$H:$H,'ELC TECH'!$E:$E)="Non Dispatchable",IFERROR($AX27*_xlfn.XLOOKUP($C27,$BM$1:$BM$3,BU$1:BU$3)/SUMPRODUCT(_xlfn.XLOOKUP($C27,$BM$1:$BM$3,$BN$1:$BY$3),$BN$4:$BY$4),""),
"")</f>
        <v/>
      </c>
      <c r="BV27" s="8" t="str">
        <f>IF(_xlfn.XLOOKUP($B27,'ELC TECH'!$H:$H,'ELC TECH'!$E:$E)="Non Dispatchable",IFERROR($AX27*_xlfn.XLOOKUP($C27,$BM$1:$BM$3,BV$1:BV$3)/SUMPRODUCT(_xlfn.XLOOKUP($C27,$BM$1:$BM$3,$BN$1:$BY$3),$BN$4:$BY$4),""),
"")</f>
        <v/>
      </c>
      <c r="BW27" s="8" t="str">
        <f>IF(_xlfn.XLOOKUP($B27,'ELC TECH'!$H:$H,'ELC TECH'!$E:$E)="Non Dispatchable",IFERROR($AX27*_xlfn.XLOOKUP($C27,$BM$1:$BM$3,BW$1:BW$3)/SUMPRODUCT(_xlfn.XLOOKUP($C27,$BM$1:$BM$3,$BN$1:$BY$3),$BN$4:$BY$4),""),
"")</f>
        <v/>
      </c>
      <c r="BX27" s="8" t="str">
        <f>IF(_xlfn.XLOOKUP($B27,'ELC TECH'!$H:$H,'ELC TECH'!$E:$E)="Non Dispatchable",IFERROR($AX27*_xlfn.XLOOKUP($C27,$BM$1:$BM$3,BX$1:BX$3)/SUMPRODUCT(_xlfn.XLOOKUP($C27,$BM$1:$BM$3,$BN$1:$BY$3),$BN$4:$BY$4),""),
"")</f>
        <v/>
      </c>
      <c r="BY27" s="8" t="str">
        <f>IF(_xlfn.XLOOKUP($B27,'ELC TECH'!$H:$H,'ELC TECH'!$E:$E)="Non Dispatchable",IFERROR($AX27*_xlfn.XLOOKUP($C27,$BM$1:$BM$3,BY$1:BY$3)/SUMPRODUCT(_xlfn.XLOOKUP($C27,$BM$1:$BM$3,$BN$1:$BY$3),$BN$4:$BY$4),""),
"")</f>
        <v/>
      </c>
      <c r="BZ27" s="8" t="str">
        <f>IF(_xlfn.XLOOKUP($B27,'ELC TECH'!$H:$H,'ELC TECH'!$E:$E)="Non Dispatchable",IFERROR($AX27*_xlfn.XLOOKUP($C27,$BM$1:$BM$3,BZ$1:BZ$3)/SUMPRODUCT(_xlfn.XLOOKUP($C27,$BM$1:$BM$3,$BN$1:$BY$3),$BN$4:$BY$4),""),
"")</f>
        <v/>
      </c>
      <c r="CA27" s="8" t="str">
        <f>IF(_xlfn.XLOOKUP($B27,'ELC TECH'!$H:$H,'ELC TECH'!$E:$E)="Non Dispatchable",IFERROR($AX27*_xlfn.XLOOKUP($C27,$BM$1:$BM$3,CA$1:CA$3)/SUMPRODUCT(_xlfn.XLOOKUP($C27,$BM$1:$BM$3,$BN$1:$BY$3),$BN$4:$BY$4),""),
"")</f>
        <v/>
      </c>
      <c r="CB27" s="8" t="str">
        <f>IF(_xlfn.XLOOKUP($B27,'ELC TECH'!$H:$H,'ELC TECH'!$E:$E)="Non Dispatchable",IFERROR($AX27*_xlfn.XLOOKUP($C27,$BM$1:$BM$3,CB$1:CB$3)/SUMPRODUCT(_xlfn.XLOOKUP($C27,$BM$1:$BM$3,$BN$1:$BY$3),$BN$4:$BY$4),""),
"")</f>
        <v/>
      </c>
      <c r="CC27" s="8" t="str">
        <f>IF(_xlfn.XLOOKUP($B27,'ELC TECH'!$H:$H,'ELC TECH'!$E:$E)="Non Dispatchable",IFERROR($AX27*_xlfn.XLOOKUP($C27,$BM$1:$BM$3,CC$1:CC$3)/SUMPRODUCT(_xlfn.XLOOKUP($C27,$BM$1:$BM$3,$BN$1:$BY$3),$BN$4:$BY$4),""),
"")</f>
        <v/>
      </c>
      <c r="CD27" s="8" t="str">
        <f>IF(_xlfn.XLOOKUP($B27,'ELC TECH'!$H:$H,'ELC TECH'!$E:$E)="Non Dispatchable",IFERROR($AX27*_xlfn.XLOOKUP($C27,$BM$1:$BM$3,CD$1:CD$3)/SUMPRODUCT(_xlfn.XLOOKUP($C27,$BM$1:$BM$3,$BN$1:$BY$3),$BN$4:$BY$4),""),
"")</f>
        <v/>
      </c>
      <c r="CE27" s="8" t="str">
        <f>IF(_xlfn.XLOOKUP($B27,'ELC TECH'!$H:$H,'ELC TECH'!$E:$E)="Non Dispatchable",IFERROR($AX27*_xlfn.XLOOKUP($C27,$BM$1:$BM$3,CE$1:CE$3)/SUMPRODUCT(_xlfn.XLOOKUP($C27,$BM$1:$BM$3,$BN$1:$BY$3),$BN$4:$BY$4),""),
"")</f>
        <v/>
      </c>
      <c r="CF27" s="8" t="str">
        <f>IF(_xlfn.XLOOKUP($B27,'ELC TECH'!$H:$H,'ELC TECH'!$E:$E)="Non Dispatchable",IFERROR($AX27*_xlfn.XLOOKUP($C27,$BM$1:$BM$3,CF$1:CF$3)/SUMPRODUCT(_xlfn.XLOOKUP($C27,$BM$1:$BM$3,$BN$1:$BY$3),$BN$4:$BY$4),""),
"")</f>
        <v/>
      </c>
      <c r="CG27" s="8" t="str">
        <f>IF(_xlfn.XLOOKUP($B27,'ELC TECH'!$H:$H,'ELC TECH'!$E:$E)="Non Dispatchable",IFERROR($AX27*_xlfn.XLOOKUP($C27,$BM$1:$BM$3,CG$1:CG$3)/SUMPRODUCT(_xlfn.XLOOKUP($C27,$BM$1:$BM$3,$BN$1:$BY$3),$BN$4:$BY$4),""),
"")</f>
        <v/>
      </c>
      <c r="CH27" s="8" t="str">
        <f>IF(_xlfn.XLOOKUP($B27,'ELC TECH'!$H:$H,'ELC TECH'!$E:$E)="Non Dispatchable",IFERROR($AX27*_xlfn.XLOOKUP($C27,$BM$1:$BM$3,CH$1:CH$3)/SUMPRODUCT(_xlfn.XLOOKUP($C27,$BM$1:$BM$3,$BN$1:$BY$3),$BN$4:$BY$4),""),
"")</f>
        <v/>
      </c>
      <c r="CI27" s="8" t="str">
        <f>IF(_xlfn.XLOOKUP($B27,'ELC TECH'!$H:$H,'ELC TECH'!$E:$E)="Non Dispatchable",IFERROR($AX27*_xlfn.XLOOKUP($C27,$BM$1:$BM$3,CI$1:CI$3)/SUMPRODUCT(_xlfn.XLOOKUP($C27,$BM$1:$BM$3,$BN$1:$BY$3),$BN$4:$BY$4),""),
"")</f>
        <v/>
      </c>
      <c r="CJ27" s="8" t="str">
        <f>IF(_xlfn.XLOOKUP($B27,'ELC TECH'!$H:$H,'ELC TECH'!$E:$E)="Non Dispatchable",IFERROR($AX27*_xlfn.XLOOKUP($C27,$BM$1:$BM$3,CJ$1:CJ$3)/SUMPRODUCT(_xlfn.XLOOKUP($C27,$BM$1:$BM$3,$BN$1:$BY$3),$BN$4:$BY$4),""),
"")</f>
        <v/>
      </c>
      <c r="CK27" s="8" t="str">
        <f>IF(_xlfn.XLOOKUP($B27,'ELC TECH'!$H:$H,'ELC TECH'!$E:$E)="Non Dispatchable",IFERROR($AX27*_xlfn.XLOOKUP($C27,$BM$1:$BM$3,CK$1:CK$3)/SUMPRODUCT(_xlfn.XLOOKUP($C27,$BM$1:$BM$3,$BN$1:$BY$3),$BN$4:$BY$4),""),
"")</f>
        <v/>
      </c>
      <c r="CL27" s="8" t="str">
        <f>IF(_xlfn.XLOOKUP($B27,'ELC TECH'!$H:$H,'ELC TECH'!$E:$E)="Storage",CL$4*$BF27,"")</f>
        <v/>
      </c>
      <c r="CM27" s="8" t="str">
        <f>IF(_xlfn.XLOOKUP($B27,'ELC TECH'!$H:$H,'ELC TECH'!$E:$E)="Storage",CM$4*$BF27,"")</f>
        <v/>
      </c>
      <c r="CN27" s="8" t="str">
        <f>IF(_xlfn.XLOOKUP($B27,'ELC TECH'!$H:$H,'ELC TECH'!$E:$E)="Storage",CN$4*$BF27,"")</f>
        <v/>
      </c>
      <c r="CO27" s="8" t="str">
        <f>IF(_xlfn.XLOOKUP($B27,'ELC TECH'!$H:$H,'ELC TECH'!$E:$E)="Storage",CO$4*$BF27,"")</f>
        <v/>
      </c>
      <c r="CP27" s="8" t="str">
        <f>IF(_xlfn.XLOOKUP($B27,'ELC TECH'!$H:$H,'ELC TECH'!$E:$E)="Storage",CP$4*$BF27,"")</f>
        <v/>
      </c>
      <c r="CQ27" s="8" t="str">
        <f>IF(_xlfn.XLOOKUP($B27,'ELC TECH'!$H:$H,'ELC TECH'!$E:$E)="Storage",CQ$4*$BF27,"")</f>
        <v/>
      </c>
      <c r="CR27" s="8" t="str">
        <f>IF(_xlfn.XLOOKUP($B27,'ELC TECH'!$H:$H,'ELC TECH'!$E:$E)="Storage",CR$4*$BF27,"")</f>
        <v/>
      </c>
      <c r="CS27" s="8" t="str">
        <f>IF(_xlfn.XLOOKUP($B27,'ELC TECH'!$H:$H,'ELC TECH'!$E:$E)="Storage",CS$4*$BF27,"")</f>
        <v/>
      </c>
      <c r="CT27" s="8" t="str">
        <f>IF(_xlfn.XLOOKUP($B27,'ELC TECH'!$H:$H,'ELC TECH'!$E:$E)="Storage",CT$4*$BF27,"")</f>
        <v/>
      </c>
      <c r="CU27" s="8" t="str">
        <f>IF(_xlfn.XLOOKUP($B27,'ELC TECH'!$H:$H,'ELC TECH'!$E:$E)="Storage",CU$4*$BF27,"")</f>
        <v/>
      </c>
      <c r="CV27" s="8" t="str">
        <f>IF(_xlfn.XLOOKUP($B27,'ELC TECH'!$H:$H,'ELC TECH'!$E:$E)="Storage",CV$4*$BF27,"")</f>
        <v/>
      </c>
      <c r="CW27" s="8" t="str">
        <f>IF(_xlfn.XLOOKUP($B27,'ELC TECH'!$H:$H,'ELC TECH'!$E:$E)="Storage",CW$4*$BF27,"")</f>
        <v/>
      </c>
      <c r="CX27" s="8" t="str">
        <f>IF(_xlfn.XLOOKUP($B27,'ELC TECH'!$H:$H,'ELC TECH'!$E:$E)="Storage",CX$4*$BF27,"")</f>
        <v/>
      </c>
      <c r="CY27" s="8" t="str">
        <f>IF(_xlfn.XLOOKUP($B27,'ELC TECH'!$H:$H,'ELC TECH'!$E:$E)="Storage",CY$4*$BF27,"")</f>
        <v/>
      </c>
      <c r="CZ27" s="8" t="str">
        <f>IF(_xlfn.XLOOKUP($B27,'ELC TECH'!$H:$H,'ELC TECH'!$E:$E)="Storage",CZ$4*$BF27,"")</f>
        <v/>
      </c>
      <c r="DA27" s="8" t="str">
        <f>IF(_xlfn.XLOOKUP($B27,'ELC TECH'!$H:$H,'ELC TECH'!$E:$E)="Storage",DA$4*$BF27,"")</f>
        <v/>
      </c>
      <c r="DB27" s="8" t="str">
        <f>IF(_xlfn.XLOOKUP($B27,'ELC TECH'!$H:$H,'ELC TECH'!$E:$E)="Storage",DB$4*$BF27,"")</f>
        <v/>
      </c>
      <c r="DC27" s="8" t="str">
        <f>IF(_xlfn.XLOOKUP($B27,'ELC TECH'!$H:$H,'ELC TECH'!$E:$E)="Storage",DC$4*$BF27,"")</f>
        <v/>
      </c>
      <c r="DD27" s="8" t="str">
        <f>IF(_xlfn.XLOOKUP($B27,'ELC TECH'!$H:$H,'ELC TECH'!$E:$E)="Storage",DD$4*$BF27,"")</f>
        <v/>
      </c>
      <c r="DE27" s="8" t="str">
        <f>IF(_xlfn.XLOOKUP($B27,'ELC TECH'!$H:$H,'ELC TECH'!$E:$E)="Storage",DE$4*$BF27,"")</f>
        <v/>
      </c>
      <c r="DF27" s="8" t="str">
        <f>IF(_xlfn.XLOOKUP($B27,'ELC TECH'!$H:$H,'ELC TECH'!$E:$E)="Storage",DF$4*$BF27,"")</f>
        <v/>
      </c>
      <c r="DG27" s="8" t="str">
        <f>IF(_xlfn.XLOOKUP($B27,'ELC TECH'!$H:$H,'ELC TECH'!$E:$E)="Storage",DG$4*$BF27,"")</f>
        <v/>
      </c>
      <c r="DH27" s="8" t="str">
        <f>IF(_xlfn.XLOOKUP($B27,'ELC TECH'!$H:$H,'ELC TECH'!$E:$E)="Storage",DH$4*$BF27,"")</f>
        <v/>
      </c>
      <c r="DI27" s="8" t="str">
        <f>IF(_xlfn.XLOOKUP($B27,'ELC TECH'!$H:$H,'ELC TECH'!$E:$E)="Storage",DI$4*$BF27,"")</f>
        <v/>
      </c>
    </row>
    <row r="28" spans="2:113" x14ac:dyDescent="0.25">
      <c r="B28" t="str">
        <f>IF('ELC TECH'!I21=0,"*",'ELC TECH'!H21)</f>
        <v>ELCHYDGRDHUPDC320</v>
      </c>
      <c r="C28" t="str">
        <f>IF(_xlfn.XLOOKUP(_xlfn.XLOOKUP(B28,'ELC TECH'!$H:$H,'ELC TECH'!$G:$G),List!C:C,List!B:B)="STG",D28,"ELC"&amp;_xlfn.XLOOKUP(_xlfn.XLOOKUP(B28,'ELC TECH'!H:H,'ELC TECH'!G:G),List!C:C,List!B:B))</f>
        <v>ELCHYD</v>
      </c>
      <c r="D28" t="s">
        <v>544</v>
      </c>
      <c r="E28">
        <f>_xlfn.XLOOKUP(B28,'ELC TECH'!H:H,'ELC TECH'!D:D)</f>
        <v>2020</v>
      </c>
      <c r="F28">
        <f>_xlfn.XLOOKUP(B28,'ELC TECH'!H:H,'ELC TECH'!K:K)</f>
        <v>100</v>
      </c>
      <c r="G28">
        <f t="shared" si="4"/>
        <v>31.535999999999998</v>
      </c>
      <c r="H28">
        <f>IF(_xlfn.XLOOKUP(B28,'ELC TECH'!$H:$H,'ELC TECH'!$E:$E)="Storage",0.3,IF(_xlfn.XLOOKUP(B28,'ELC TECH'!$H:$H,'ELC TECH'!$E:$E)="Baseload",0.9,IF(_xlfn.XLOOKUP(B28,'ELC TECH'!$H:$H,'ELC TECH'!$E:$E)="Non Dispatchable",0.05,IF(_xlfn.XLOOKUP(B28,'ELC TECH'!$H:$H,'ELC TECH'!$E:$E)="Dispatchable",0.9,1))))</f>
        <v>0.9</v>
      </c>
      <c r="I28" s="13">
        <f>IF(_xlfn.XLOOKUP(B28,'ELC TECH'!H:H,'ELC TECH'!J:J)="","",_xlfn.XLOOKUP(B28,'ELC TECH'!H:H,'ELC TECH'!J:J))</f>
        <v>0</v>
      </c>
      <c r="J28" s="12">
        <f>IF(_xlfn.XLOOKUP($B28,'ELC TECH'!$H:$H,'ELC TECH'!$E:$E)="Storage","",IF(_xlfn.XLOOKUP($B28,'ELC TECH'!$H:$H,'ELC TECH'!AK:AK)="",1,_xlfn.XLOOKUP($B28,'ELC TECH'!$H:$H,'ELC TECH'!AK:AK)))</f>
        <v>1</v>
      </c>
      <c r="K28" s="12">
        <f>IF(_xlfn.XLOOKUP($B28,'ELC TECH'!$H:$H,'ELC TECH'!$E:$E)="Storage","",IF(_xlfn.XLOOKUP($B28,'ELC TECH'!$H:$H,'ELC TECH'!AL:AL)="",1,_xlfn.XLOOKUP($B28,'ELC TECH'!$H:$H,'ELC TECH'!AL:AL)))</f>
        <v>1</v>
      </c>
      <c r="L28" s="12">
        <f>IF(_xlfn.XLOOKUP($B28,'ELC TECH'!$H:$H,'ELC TECH'!$E:$E)="Storage","",IF(_xlfn.XLOOKUP($B28,'ELC TECH'!$H:$H,'ELC TECH'!AM:AM)="",1,_xlfn.XLOOKUP($B28,'ELC TECH'!$H:$H,'ELC TECH'!AM:AM)))</f>
        <v>1</v>
      </c>
      <c r="M28" s="12">
        <f>IF(_xlfn.XLOOKUP($B28,'ELC TECH'!$H:$H,'ELC TECH'!$E:$E)="Storage","",IF(_xlfn.XLOOKUP($B28,'ELC TECH'!$H:$H,'ELC TECH'!AN:AN)="",1,_xlfn.XLOOKUP($B28,'ELC TECH'!$H:$H,'ELC TECH'!AN:AN)))</f>
        <v>1</v>
      </c>
      <c r="N28" s="12">
        <f>IF(_xlfn.XLOOKUP($B28,'ELC TECH'!$H:$H,'ELC TECH'!$E:$E)="Storage","",IF(_xlfn.XLOOKUP($B28,'ELC TECH'!$H:$H,'ELC TECH'!AO:AO)="",1,_xlfn.XLOOKUP($B28,'ELC TECH'!$H:$H,'ELC TECH'!AO:AO)))</f>
        <v>1</v>
      </c>
      <c r="O28" s="12">
        <f>IF(_xlfn.XLOOKUP($B28,'ELC TECH'!$H:$H,'ELC TECH'!$E:$E)="Storage","",IF(_xlfn.XLOOKUP($B28,'ELC TECH'!$H:$H,'ELC TECH'!AP:AP)="",1,_xlfn.XLOOKUP($B28,'ELC TECH'!$H:$H,'ELC TECH'!AP:AP)))</f>
        <v>1</v>
      </c>
      <c r="P28" s="12">
        <f>IF(_xlfn.XLOOKUP($B28,'ELC TECH'!$H:$H,'ELC TECH'!$E:$E)="Storage","",IF(_xlfn.XLOOKUP($B28,'ELC TECH'!$H:$H,'ELC TECH'!AQ:AQ)="",1,_xlfn.XLOOKUP($B28,'ELC TECH'!$H:$H,'ELC TECH'!AQ:AQ)))</f>
        <v>1</v>
      </c>
      <c r="Q28" s="12">
        <f>IF(_xlfn.XLOOKUP($B28,'ELC TECH'!$H:$H,'ELC TECH'!$E:$E)="Storage","",IF(_xlfn.XLOOKUP($B28,'ELC TECH'!$H:$H,'ELC TECH'!AR:AR)="",1,_xlfn.XLOOKUP($B28,'ELC TECH'!$H:$H,'ELC TECH'!AR:AR)))</f>
        <v>1</v>
      </c>
      <c r="R28" s="12" t="str">
        <f>IF(_xlfn.XLOOKUP($B28,'ELC TECH'!$H:$H,'ELC TECH'!$E:$E)&lt;&gt;"Storage","",IF(_xlfn.XLOOKUP($B28,'ELC TECH'!$H:$H,'ELC TECH'!AK:AK)="",0.8,_xlfn.XLOOKUP($B28,'ELC TECH'!$H:$H,'ELC TECH'!AK:AK)))</f>
        <v/>
      </c>
      <c r="S28" s="12" t="str">
        <f>IF(_xlfn.XLOOKUP($B28,'ELC TECH'!$H:$H,'ELC TECH'!$E:$E)&lt;&gt;"Storage","",IF(_xlfn.XLOOKUP($B28,'ELC TECH'!$H:$H,'ELC TECH'!AL:AL)="",0.8,_xlfn.XLOOKUP($B28,'ELC TECH'!$H:$H,'ELC TECH'!AL:AL)))</f>
        <v/>
      </c>
      <c r="T28" s="12" t="str">
        <f>IF(_xlfn.XLOOKUP($B28,'ELC TECH'!$H:$H,'ELC TECH'!$E:$E)&lt;&gt;"Storage","",IF(_xlfn.XLOOKUP($B28,'ELC TECH'!$H:$H,'ELC TECH'!AM:AM)="",0.8,_xlfn.XLOOKUP($B28,'ELC TECH'!$H:$H,'ELC TECH'!AM:AM)))</f>
        <v/>
      </c>
      <c r="U28" s="12" t="str">
        <f>IF(_xlfn.XLOOKUP($B28,'ELC TECH'!$H:$H,'ELC TECH'!$E:$E)&lt;&gt;"Storage","",IF(_xlfn.XLOOKUP($B28,'ELC TECH'!$H:$H,'ELC TECH'!AN:AN)="",0.8,_xlfn.XLOOKUP($B28,'ELC TECH'!$H:$H,'ELC TECH'!AN:AN)))</f>
        <v/>
      </c>
      <c r="V28" s="12" t="str">
        <f>IF(_xlfn.XLOOKUP($B28,'ELC TECH'!$H:$H,'ELC TECH'!$E:$E)&lt;&gt;"Storage","",IF(_xlfn.XLOOKUP($B28,'ELC TECH'!$H:$H,'ELC TECH'!AO:AO)="",0.8,_xlfn.XLOOKUP($B28,'ELC TECH'!$H:$H,'ELC TECH'!AO:AO)))</f>
        <v/>
      </c>
      <c r="W28" s="12" t="str">
        <f>IF(_xlfn.XLOOKUP($B28,'ELC TECH'!$H:$H,'ELC TECH'!$E:$E)&lt;&gt;"Storage","",IF(_xlfn.XLOOKUP($B28,'ELC TECH'!$H:$H,'ELC TECH'!AP:AP)="",0.8,_xlfn.XLOOKUP($B28,'ELC TECH'!$H:$H,'ELC TECH'!AP:AP)))</f>
        <v/>
      </c>
      <c r="X28" s="12" t="str">
        <f>IF(_xlfn.XLOOKUP($B28,'ELC TECH'!$H:$H,'ELC TECH'!$E:$E)&lt;&gt;"Storage","",IF(_xlfn.XLOOKUP($B28,'ELC TECH'!$H:$H,'ELC TECH'!AQ:AQ)="",0.8,_xlfn.XLOOKUP($B28,'ELC TECH'!$H:$H,'ELC TECH'!AQ:AQ)))</f>
        <v/>
      </c>
      <c r="Y28" s="12" t="str">
        <f>IF(_xlfn.XLOOKUP($B28,'ELC TECH'!$H:$H,'ELC TECH'!$E:$E)&lt;&gt;"Storage","",IF(_xlfn.XLOOKUP($B28,'ELC TECH'!$H:$H,'ELC TECH'!AR:AR)="",0.8,_xlfn.XLOOKUP($B28,'ELC TECH'!$H:$H,'ELC TECH'!AR:AR)))</f>
        <v/>
      </c>
      <c r="Z28" s="15">
        <f>_xlfn.XLOOKUP($B28,'ELC TECH'!$H:$H,'ELC TECH'!M:M)</f>
        <v>6382.0443721194461</v>
      </c>
      <c r="AA28" s="15">
        <f>_xlfn.XLOOKUP($B28,'ELC TECH'!$H:$H,'ELC TECH'!N:N)</f>
        <v>6382.0443721194461</v>
      </c>
      <c r="AB28" s="15">
        <f>_xlfn.XLOOKUP($B28,'ELC TECH'!$H:$H,'ELC TECH'!O:O)</f>
        <v>5010.4249845608192</v>
      </c>
      <c r="AC28" s="15">
        <f>_xlfn.XLOOKUP($B28,'ELC TECH'!$H:$H,'ELC TECH'!P:P)</f>
        <v>3638.8055970021928</v>
      </c>
      <c r="AD28" s="15">
        <f>_xlfn.XLOOKUP($B28,'ELC TECH'!$H:$H,'ELC TECH'!Q:Q)</f>
        <v>3492.936758589115</v>
      </c>
      <c r="AE28" s="15">
        <f>_xlfn.XLOOKUP($B28,'ELC TECH'!$H:$H,'ELC TECH'!R:R)</f>
        <v>3492.936758589115</v>
      </c>
      <c r="AF28" s="15">
        <f>_xlfn.XLOOKUP($B28,'ELC TECH'!$H:$H,'ELC TECH'!S:S)</f>
        <v>3492.936758589115</v>
      </c>
      <c r="AG28" s="15">
        <f>_xlfn.XLOOKUP($B28,'ELC TECH'!$H:$H,'ELC TECH'!T:T)</f>
        <v>3492.936758589115</v>
      </c>
      <c r="AH28" s="15">
        <f>_xlfn.XLOOKUP($B28,'ELC TECH'!$H:$H,'ELC TECH'!U:U)</f>
        <v>117.5996836818608</v>
      </c>
      <c r="AI28" s="15">
        <f>_xlfn.XLOOKUP($B28,'ELC TECH'!$H:$H,'ELC TECH'!V:V)</f>
        <v>117.5996836818608</v>
      </c>
      <c r="AJ28" s="15">
        <f>_xlfn.XLOOKUP($B28,'ELC TECH'!$H:$H,'ELC TECH'!W:W)</f>
        <v>117.5996836818608</v>
      </c>
      <c r="AK28" s="15">
        <f>_xlfn.XLOOKUP($B28,'ELC TECH'!$H:$H,'ELC TECH'!X:X)</f>
        <v>117.5996836818608</v>
      </c>
      <c r="AL28" s="15">
        <f>_xlfn.XLOOKUP($B28,'ELC TECH'!$H:$H,'ELC TECH'!Y:Y)</f>
        <v>113.0766189248662</v>
      </c>
      <c r="AM28" s="15">
        <f>_xlfn.XLOOKUP($B28,'ELC TECH'!$H:$H,'ELC TECH'!Z:Z)</f>
        <v>113.0766189248662</v>
      </c>
      <c r="AN28" s="15">
        <f>_xlfn.XLOOKUP($B28,'ELC TECH'!$H:$H,'ELC TECH'!AA:AA)</f>
        <v>113.0766189248662</v>
      </c>
      <c r="AO28" s="15">
        <f>_xlfn.XLOOKUP($B28,'ELC TECH'!$H:$H,'ELC TECH'!AB:AB)</f>
        <v>113.0766189248662</v>
      </c>
      <c r="AP28" s="15">
        <f>_xlfn.XLOOKUP($B28,'ELC TECH'!$H:$H,'ELC TECH'!AC:AC)</f>
        <v>0</v>
      </c>
      <c r="AQ28" s="15">
        <f>_xlfn.XLOOKUP($B28,'ELC TECH'!$H:$H,'ELC TECH'!AD:AD)</f>
        <v>0</v>
      </c>
      <c r="AR28" s="15">
        <f>_xlfn.XLOOKUP($B28,'ELC TECH'!$H:$H,'ELC TECH'!AE:AE)</f>
        <v>0</v>
      </c>
      <c r="AS28" s="15">
        <f>_xlfn.XLOOKUP($B28,'ELC TECH'!$H:$H,'ELC TECH'!AF:AF)</f>
        <v>0</v>
      </c>
      <c r="AT28" s="15">
        <f>_xlfn.XLOOKUP($B28,'ELC TECH'!$H:$H,'ELC TECH'!AG:AG)</f>
        <v>0</v>
      </c>
      <c r="AU28" s="15">
        <f>_xlfn.XLOOKUP($B28,'ELC TECH'!$H:$H,'ELC TECH'!AH:AH)</f>
        <v>0</v>
      </c>
      <c r="AV28" s="15">
        <f>_xlfn.XLOOKUP($B28,'ELC TECH'!$H:$H,'ELC TECH'!AI:AI)</f>
        <v>0</v>
      </c>
      <c r="AW28" s="15">
        <f>_xlfn.XLOOKUP($B28,'ELC TECH'!$H:$H,'ELC TECH'!AJ:AJ)</f>
        <v>0</v>
      </c>
      <c r="AX28" s="12">
        <f>IF(_xlfn.XLOOKUP($B28,'ELC TECH'!$H:$H,'ELC TECH'!$E:$E)="Storage","",_xlfn.XLOOKUP($B28,'ELC TECH'!$H:$H,'ELC TECH'!AS:AS))</f>
        <v>0.33</v>
      </c>
      <c r="AY28" s="12">
        <f>IF(_xlfn.XLOOKUP($B28,'ELC TECH'!$H:$H,'ELC TECH'!$E:$E)="Storage","",_xlfn.XLOOKUP($B28,'ELC TECH'!$H:$H,'ELC TECH'!AT:AT))</f>
        <v>0.33</v>
      </c>
      <c r="AZ28" s="12">
        <f>IF(_xlfn.XLOOKUP($B28,'ELC TECH'!$H:$H,'ELC TECH'!$E:$E)="Storage","",_xlfn.XLOOKUP($B28,'ELC TECH'!$H:$H,'ELC TECH'!AU:AU))</f>
        <v>0.32</v>
      </c>
      <c r="BA28" s="12">
        <f>IF(_xlfn.XLOOKUP($B28,'ELC TECH'!$H:$H,'ELC TECH'!$E:$E)="Storage","",_xlfn.XLOOKUP($B28,'ELC TECH'!$H:$H,'ELC TECH'!AV:AV))</f>
        <v>0.32</v>
      </c>
      <c r="BB28" s="12">
        <f>IF(_xlfn.XLOOKUP($B28,'ELC TECH'!$H:$H,'ELC TECH'!$E:$E)="Storage","",_xlfn.XLOOKUP($B28,'ELC TECH'!$H:$H,'ELC TECH'!AW:AW))</f>
        <v>0.32</v>
      </c>
      <c r="BC28" s="12">
        <f>IF(_xlfn.XLOOKUP($B28,'ELC TECH'!$H:$H,'ELC TECH'!$E:$E)="Storage","",_xlfn.XLOOKUP($B28,'ELC TECH'!$H:$H,'ELC TECH'!AX:AX))</f>
        <v>0.32</v>
      </c>
      <c r="BD28" s="12">
        <f>IF(_xlfn.XLOOKUP($B28,'ELC TECH'!$H:$H,'ELC TECH'!$E:$E)="Storage","",_xlfn.XLOOKUP($B28,'ELC TECH'!$H:$H,'ELC TECH'!AY:AY))</f>
        <v>0.32</v>
      </c>
      <c r="BE28" s="12">
        <f>IF(_xlfn.XLOOKUP($B28,'ELC TECH'!$H:$H,'ELC TECH'!$E:$E)="Storage","",_xlfn.XLOOKUP($B28,'ELC TECH'!$H:$H,'ELC TECH'!AZ:AZ))</f>
        <v>0.32</v>
      </c>
      <c r="BF28" s="12" t="str">
        <f>IF(_xlfn.XLOOKUP($B28,'ELC TECH'!$H:$H,'ELC TECH'!$E:$E)="Storage",_xlfn.XLOOKUP($B28,'ELC TECH'!$H:$H,'ELC TECH'!AS:AS),"")</f>
        <v/>
      </c>
      <c r="BG28" s="12" t="str">
        <f>IF(_xlfn.XLOOKUP($B28,'ELC TECH'!$H:$H,'ELC TECH'!$E:$E)="Storage",_xlfn.XLOOKUP($B28,'ELC TECH'!$H:$H,'ELC TECH'!AT:AT),"")</f>
        <v/>
      </c>
      <c r="BH28" s="12" t="str">
        <f>IF(_xlfn.XLOOKUP($B28,'ELC TECH'!$H:$H,'ELC TECH'!$E:$E)="Storage",_xlfn.XLOOKUP($B28,'ELC TECH'!$H:$H,'ELC TECH'!AU:AU),"")</f>
        <v/>
      </c>
      <c r="BI28" s="12" t="str">
        <f>IF(_xlfn.XLOOKUP($B28,'ELC TECH'!$H:$H,'ELC TECH'!$E:$E)="Storage",_xlfn.XLOOKUP($B28,'ELC TECH'!$H:$H,'ELC TECH'!AV:AV),"")</f>
        <v/>
      </c>
      <c r="BJ28" s="12" t="str">
        <f>IF(_xlfn.XLOOKUP($B28,'ELC TECH'!$H:$H,'ELC TECH'!$E:$E)="Storage",_xlfn.XLOOKUP($B28,'ELC TECH'!$H:$H,'ELC TECH'!AW:AW),"")</f>
        <v/>
      </c>
      <c r="BK28" s="12" t="str">
        <f>IF(_xlfn.XLOOKUP($B28,'ELC TECH'!$H:$H,'ELC TECH'!$E:$E)="Storage",_xlfn.XLOOKUP($B28,'ELC TECH'!$H:$H,'ELC TECH'!AX:AX),"")</f>
        <v/>
      </c>
      <c r="BL28" s="12" t="str">
        <f>IF(_xlfn.XLOOKUP($B28,'ELC TECH'!$H:$H,'ELC TECH'!$E:$E)="Storage",_xlfn.XLOOKUP($B28,'ELC TECH'!$H:$H,'ELC TECH'!AY:AY),"")</f>
        <v/>
      </c>
      <c r="BM28" s="12" t="str">
        <f>IF(_xlfn.XLOOKUP($B28,'ELC TECH'!$H:$H,'ELC TECH'!$E:$E)="Storage",_xlfn.XLOOKUP($B28,'ELC TECH'!$H:$H,'ELC TECH'!AZ:AZ),"")</f>
        <v/>
      </c>
      <c r="BN28" s="8" t="str">
        <f>IF(_xlfn.XLOOKUP($B28,'ELC TECH'!$H:$H,'ELC TECH'!$E:$E)="Non Dispatchable",IFERROR($AX28*_xlfn.XLOOKUP($C28,$BM$1:$BM$3,BN$1:BN$3)/SUMPRODUCT(_xlfn.XLOOKUP($C28,$BM$1:$BM$3,$BN$1:$BY$3),$BN$4:$BY$4),""),
"")</f>
        <v/>
      </c>
      <c r="BO28" s="8" t="str">
        <f>IF(_xlfn.XLOOKUP($B28,'ELC TECH'!$H:$H,'ELC TECH'!$E:$E)="Non Dispatchable",IFERROR($AX28*_xlfn.XLOOKUP($C28,$BM$1:$BM$3,BO$1:BO$3)/SUMPRODUCT(_xlfn.XLOOKUP($C28,$BM$1:$BM$3,$BN$1:$BY$3),$BN$4:$BY$4),""),
"")</f>
        <v/>
      </c>
      <c r="BP28" s="8" t="str">
        <f>IF(_xlfn.XLOOKUP($B28,'ELC TECH'!$H:$H,'ELC TECH'!$E:$E)="Non Dispatchable",IFERROR($AX28*_xlfn.XLOOKUP($C28,$BM$1:$BM$3,BP$1:BP$3)/SUMPRODUCT(_xlfn.XLOOKUP($C28,$BM$1:$BM$3,$BN$1:$BY$3),$BN$4:$BY$4),""),
"")</f>
        <v/>
      </c>
      <c r="BQ28" s="8" t="str">
        <f>IF(_xlfn.XLOOKUP($B28,'ELC TECH'!$H:$H,'ELC TECH'!$E:$E)="Non Dispatchable",IFERROR($AX28*_xlfn.XLOOKUP($C28,$BM$1:$BM$3,BQ$1:BQ$3)/SUMPRODUCT(_xlfn.XLOOKUP($C28,$BM$1:$BM$3,$BN$1:$BY$3),$BN$4:$BY$4),""),
"")</f>
        <v/>
      </c>
      <c r="BR28" s="8" t="str">
        <f>IF(_xlfn.XLOOKUP($B28,'ELC TECH'!$H:$H,'ELC TECH'!$E:$E)="Non Dispatchable",IFERROR($AX28*_xlfn.XLOOKUP($C28,$BM$1:$BM$3,BR$1:BR$3)/SUMPRODUCT(_xlfn.XLOOKUP($C28,$BM$1:$BM$3,$BN$1:$BY$3),$BN$4:$BY$4),""),
"")</f>
        <v/>
      </c>
      <c r="BS28" s="8" t="str">
        <f>IF(_xlfn.XLOOKUP($B28,'ELC TECH'!$H:$H,'ELC TECH'!$E:$E)="Non Dispatchable",IFERROR($AX28*_xlfn.XLOOKUP($C28,$BM$1:$BM$3,BS$1:BS$3)/SUMPRODUCT(_xlfn.XLOOKUP($C28,$BM$1:$BM$3,$BN$1:$BY$3),$BN$4:$BY$4),""),
"")</f>
        <v/>
      </c>
      <c r="BT28" s="8" t="str">
        <f>IF(_xlfn.XLOOKUP($B28,'ELC TECH'!$H:$H,'ELC TECH'!$E:$E)="Non Dispatchable",IFERROR($AX28*_xlfn.XLOOKUP($C28,$BM$1:$BM$3,BT$1:BT$3)/SUMPRODUCT(_xlfn.XLOOKUP($C28,$BM$1:$BM$3,$BN$1:$BY$3),$BN$4:$BY$4),""),
"")</f>
        <v/>
      </c>
      <c r="BU28" s="8" t="str">
        <f>IF(_xlfn.XLOOKUP($B28,'ELC TECH'!$H:$H,'ELC TECH'!$E:$E)="Non Dispatchable",IFERROR($AX28*_xlfn.XLOOKUP($C28,$BM$1:$BM$3,BU$1:BU$3)/SUMPRODUCT(_xlfn.XLOOKUP($C28,$BM$1:$BM$3,$BN$1:$BY$3),$BN$4:$BY$4),""),
"")</f>
        <v/>
      </c>
      <c r="BV28" s="8" t="str">
        <f>IF(_xlfn.XLOOKUP($B28,'ELC TECH'!$H:$H,'ELC TECH'!$E:$E)="Non Dispatchable",IFERROR($AX28*_xlfn.XLOOKUP($C28,$BM$1:$BM$3,BV$1:BV$3)/SUMPRODUCT(_xlfn.XLOOKUP($C28,$BM$1:$BM$3,$BN$1:$BY$3),$BN$4:$BY$4),""),
"")</f>
        <v/>
      </c>
      <c r="BW28" s="8" t="str">
        <f>IF(_xlfn.XLOOKUP($B28,'ELC TECH'!$H:$H,'ELC TECH'!$E:$E)="Non Dispatchable",IFERROR($AX28*_xlfn.XLOOKUP($C28,$BM$1:$BM$3,BW$1:BW$3)/SUMPRODUCT(_xlfn.XLOOKUP($C28,$BM$1:$BM$3,$BN$1:$BY$3),$BN$4:$BY$4),""),
"")</f>
        <v/>
      </c>
      <c r="BX28" s="8" t="str">
        <f>IF(_xlfn.XLOOKUP($B28,'ELC TECH'!$H:$H,'ELC TECH'!$E:$E)="Non Dispatchable",IFERROR($AX28*_xlfn.XLOOKUP($C28,$BM$1:$BM$3,BX$1:BX$3)/SUMPRODUCT(_xlfn.XLOOKUP($C28,$BM$1:$BM$3,$BN$1:$BY$3),$BN$4:$BY$4),""),
"")</f>
        <v/>
      </c>
      <c r="BY28" s="8" t="str">
        <f>IF(_xlfn.XLOOKUP($B28,'ELC TECH'!$H:$H,'ELC TECH'!$E:$E)="Non Dispatchable",IFERROR($AX28*_xlfn.XLOOKUP($C28,$BM$1:$BM$3,BY$1:BY$3)/SUMPRODUCT(_xlfn.XLOOKUP($C28,$BM$1:$BM$3,$BN$1:$BY$3),$BN$4:$BY$4),""),
"")</f>
        <v/>
      </c>
      <c r="BZ28" s="8" t="str">
        <f>IF(_xlfn.XLOOKUP($B28,'ELC TECH'!$H:$H,'ELC TECH'!$E:$E)="Non Dispatchable",IFERROR($AX28*_xlfn.XLOOKUP($C28,$BM$1:$BM$3,BZ$1:BZ$3)/SUMPRODUCT(_xlfn.XLOOKUP($C28,$BM$1:$BM$3,$BN$1:$BY$3),$BN$4:$BY$4),""),
"")</f>
        <v/>
      </c>
      <c r="CA28" s="8" t="str">
        <f>IF(_xlfn.XLOOKUP($B28,'ELC TECH'!$H:$H,'ELC TECH'!$E:$E)="Non Dispatchable",IFERROR($AX28*_xlfn.XLOOKUP($C28,$BM$1:$BM$3,CA$1:CA$3)/SUMPRODUCT(_xlfn.XLOOKUP($C28,$BM$1:$BM$3,$BN$1:$BY$3),$BN$4:$BY$4),""),
"")</f>
        <v/>
      </c>
      <c r="CB28" s="8" t="str">
        <f>IF(_xlfn.XLOOKUP($B28,'ELC TECH'!$H:$H,'ELC TECH'!$E:$E)="Non Dispatchable",IFERROR($AX28*_xlfn.XLOOKUP($C28,$BM$1:$BM$3,CB$1:CB$3)/SUMPRODUCT(_xlfn.XLOOKUP($C28,$BM$1:$BM$3,$BN$1:$BY$3),$BN$4:$BY$4),""),
"")</f>
        <v/>
      </c>
      <c r="CC28" s="8" t="str">
        <f>IF(_xlfn.XLOOKUP($B28,'ELC TECH'!$H:$H,'ELC TECH'!$E:$E)="Non Dispatchable",IFERROR($AX28*_xlfn.XLOOKUP($C28,$BM$1:$BM$3,CC$1:CC$3)/SUMPRODUCT(_xlfn.XLOOKUP($C28,$BM$1:$BM$3,$BN$1:$BY$3),$BN$4:$BY$4),""),
"")</f>
        <v/>
      </c>
      <c r="CD28" s="8" t="str">
        <f>IF(_xlfn.XLOOKUP($B28,'ELC TECH'!$H:$H,'ELC TECH'!$E:$E)="Non Dispatchable",IFERROR($AX28*_xlfn.XLOOKUP($C28,$BM$1:$BM$3,CD$1:CD$3)/SUMPRODUCT(_xlfn.XLOOKUP($C28,$BM$1:$BM$3,$BN$1:$BY$3),$BN$4:$BY$4),""),
"")</f>
        <v/>
      </c>
      <c r="CE28" s="8" t="str">
        <f>IF(_xlfn.XLOOKUP($B28,'ELC TECH'!$H:$H,'ELC TECH'!$E:$E)="Non Dispatchable",IFERROR($AX28*_xlfn.XLOOKUP($C28,$BM$1:$BM$3,CE$1:CE$3)/SUMPRODUCT(_xlfn.XLOOKUP($C28,$BM$1:$BM$3,$BN$1:$BY$3),$BN$4:$BY$4),""),
"")</f>
        <v/>
      </c>
      <c r="CF28" s="8" t="str">
        <f>IF(_xlfn.XLOOKUP($B28,'ELC TECH'!$H:$H,'ELC TECH'!$E:$E)="Non Dispatchable",IFERROR($AX28*_xlfn.XLOOKUP($C28,$BM$1:$BM$3,CF$1:CF$3)/SUMPRODUCT(_xlfn.XLOOKUP($C28,$BM$1:$BM$3,$BN$1:$BY$3),$BN$4:$BY$4),""),
"")</f>
        <v/>
      </c>
      <c r="CG28" s="8" t="str">
        <f>IF(_xlfn.XLOOKUP($B28,'ELC TECH'!$H:$H,'ELC TECH'!$E:$E)="Non Dispatchable",IFERROR($AX28*_xlfn.XLOOKUP($C28,$BM$1:$BM$3,CG$1:CG$3)/SUMPRODUCT(_xlfn.XLOOKUP($C28,$BM$1:$BM$3,$BN$1:$BY$3),$BN$4:$BY$4),""),
"")</f>
        <v/>
      </c>
      <c r="CH28" s="8" t="str">
        <f>IF(_xlfn.XLOOKUP($B28,'ELC TECH'!$H:$H,'ELC TECH'!$E:$E)="Non Dispatchable",IFERROR($AX28*_xlfn.XLOOKUP($C28,$BM$1:$BM$3,CH$1:CH$3)/SUMPRODUCT(_xlfn.XLOOKUP($C28,$BM$1:$BM$3,$BN$1:$BY$3),$BN$4:$BY$4),""),
"")</f>
        <v/>
      </c>
      <c r="CI28" s="8" t="str">
        <f>IF(_xlfn.XLOOKUP($B28,'ELC TECH'!$H:$H,'ELC TECH'!$E:$E)="Non Dispatchable",IFERROR($AX28*_xlfn.XLOOKUP($C28,$BM$1:$BM$3,CI$1:CI$3)/SUMPRODUCT(_xlfn.XLOOKUP($C28,$BM$1:$BM$3,$BN$1:$BY$3),$BN$4:$BY$4),""),
"")</f>
        <v/>
      </c>
      <c r="CJ28" s="8" t="str">
        <f>IF(_xlfn.XLOOKUP($B28,'ELC TECH'!$H:$H,'ELC TECH'!$E:$E)="Non Dispatchable",IFERROR($AX28*_xlfn.XLOOKUP($C28,$BM$1:$BM$3,CJ$1:CJ$3)/SUMPRODUCT(_xlfn.XLOOKUP($C28,$BM$1:$BM$3,$BN$1:$BY$3),$BN$4:$BY$4),""),
"")</f>
        <v/>
      </c>
      <c r="CK28" s="8" t="str">
        <f>IF(_xlfn.XLOOKUP($B28,'ELC TECH'!$H:$H,'ELC TECH'!$E:$E)="Non Dispatchable",IFERROR($AX28*_xlfn.XLOOKUP($C28,$BM$1:$BM$3,CK$1:CK$3)/SUMPRODUCT(_xlfn.XLOOKUP($C28,$BM$1:$BM$3,$BN$1:$BY$3),$BN$4:$BY$4),""),
"")</f>
        <v/>
      </c>
      <c r="CL28" s="8" t="str">
        <f>IF(_xlfn.XLOOKUP($B28,'ELC TECH'!$H:$H,'ELC TECH'!$E:$E)="Storage",CL$4*$BF28,"")</f>
        <v/>
      </c>
      <c r="CM28" s="8" t="str">
        <f>IF(_xlfn.XLOOKUP($B28,'ELC TECH'!$H:$H,'ELC TECH'!$E:$E)="Storage",CM$4*$BF28,"")</f>
        <v/>
      </c>
      <c r="CN28" s="8" t="str">
        <f>IF(_xlfn.XLOOKUP($B28,'ELC TECH'!$H:$H,'ELC TECH'!$E:$E)="Storage",CN$4*$BF28,"")</f>
        <v/>
      </c>
      <c r="CO28" s="8" t="str">
        <f>IF(_xlfn.XLOOKUP($B28,'ELC TECH'!$H:$H,'ELC TECH'!$E:$E)="Storage",CO$4*$BF28,"")</f>
        <v/>
      </c>
      <c r="CP28" s="8" t="str">
        <f>IF(_xlfn.XLOOKUP($B28,'ELC TECH'!$H:$H,'ELC TECH'!$E:$E)="Storage",CP$4*$BF28,"")</f>
        <v/>
      </c>
      <c r="CQ28" s="8" t="str">
        <f>IF(_xlfn.XLOOKUP($B28,'ELC TECH'!$H:$H,'ELC TECH'!$E:$E)="Storage",CQ$4*$BF28,"")</f>
        <v/>
      </c>
      <c r="CR28" s="8" t="str">
        <f>IF(_xlfn.XLOOKUP($B28,'ELC TECH'!$H:$H,'ELC TECH'!$E:$E)="Storage",CR$4*$BF28,"")</f>
        <v/>
      </c>
      <c r="CS28" s="8" t="str">
        <f>IF(_xlfn.XLOOKUP($B28,'ELC TECH'!$H:$H,'ELC TECH'!$E:$E)="Storage",CS$4*$BF28,"")</f>
        <v/>
      </c>
      <c r="CT28" s="8" t="str">
        <f>IF(_xlfn.XLOOKUP($B28,'ELC TECH'!$H:$H,'ELC TECH'!$E:$E)="Storage",CT$4*$BF28,"")</f>
        <v/>
      </c>
      <c r="CU28" s="8" t="str">
        <f>IF(_xlfn.XLOOKUP($B28,'ELC TECH'!$H:$H,'ELC TECH'!$E:$E)="Storage",CU$4*$BF28,"")</f>
        <v/>
      </c>
      <c r="CV28" s="8" t="str">
        <f>IF(_xlfn.XLOOKUP($B28,'ELC TECH'!$H:$H,'ELC TECH'!$E:$E)="Storage",CV$4*$BF28,"")</f>
        <v/>
      </c>
      <c r="CW28" s="8" t="str">
        <f>IF(_xlfn.XLOOKUP($B28,'ELC TECH'!$H:$H,'ELC TECH'!$E:$E)="Storage",CW$4*$BF28,"")</f>
        <v/>
      </c>
      <c r="CX28" s="8" t="str">
        <f>IF(_xlfn.XLOOKUP($B28,'ELC TECH'!$H:$H,'ELC TECH'!$E:$E)="Storage",CX$4*$BF28,"")</f>
        <v/>
      </c>
      <c r="CY28" s="8" t="str">
        <f>IF(_xlfn.XLOOKUP($B28,'ELC TECH'!$H:$H,'ELC TECH'!$E:$E)="Storage",CY$4*$BF28,"")</f>
        <v/>
      </c>
      <c r="CZ28" s="8" t="str">
        <f>IF(_xlfn.XLOOKUP($B28,'ELC TECH'!$H:$H,'ELC TECH'!$E:$E)="Storage",CZ$4*$BF28,"")</f>
        <v/>
      </c>
      <c r="DA28" s="8" t="str">
        <f>IF(_xlfn.XLOOKUP($B28,'ELC TECH'!$H:$H,'ELC TECH'!$E:$E)="Storage",DA$4*$BF28,"")</f>
        <v/>
      </c>
      <c r="DB28" s="8" t="str">
        <f>IF(_xlfn.XLOOKUP($B28,'ELC TECH'!$H:$H,'ELC TECH'!$E:$E)="Storage",DB$4*$BF28,"")</f>
        <v/>
      </c>
      <c r="DC28" s="8" t="str">
        <f>IF(_xlfn.XLOOKUP($B28,'ELC TECH'!$H:$H,'ELC TECH'!$E:$E)="Storage",DC$4*$BF28,"")</f>
        <v/>
      </c>
      <c r="DD28" s="8" t="str">
        <f>IF(_xlfn.XLOOKUP($B28,'ELC TECH'!$H:$H,'ELC TECH'!$E:$E)="Storage",DD$4*$BF28,"")</f>
        <v/>
      </c>
      <c r="DE28" s="8" t="str">
        <f>IF(_xlfn.XLOOKUP($B28,'ELC TECH'!$H:$H,'ELC TECH'!$E:$E)="Storage",DE$4*$BF28,"")</f>
        <v/>
      </c>
      <c r="DF28" s="8" t="str">
        <f>IF(_xlfn.XLOOKUP($B28,'ELC TECH'!$H:$H,'ELC TECH'!$E:$E)="Storage",DF$4*$BF28,"")</f>
        <v/>
      </c>
      <c r="DG28" s="8" t="str">
        <f>IF(_xlfn.XLOOKUP($B28,'ELC TECH'!$H:$H,'ELC TECH'!$E:$E)="Storage",DG$4*$BF28,"")</f>
        <v/>
      </c>
      <c r="DH28" s="8" t="str">
        <f>IF(_xlfn.XLOOKUP($B28,'ELC TECH'!$H:$H,'ELC TECH'!$E:$E)="Storage",DH$4*$BF28,"")</f>
        <v/>
      </c>
      <c r="DI28" s="8" t="str">
        <f>IF(_xlfn.XLOOKUP($B28,'ELC TECH'!$H:$H,'ELC TECH'!$E:$E)="Storage",DI$4*$BF28,"")</f>
        <v/>
      </c>
    </row>
    <row r="29" spans="2:113" x14ac:dyDescent="0.25">
      <c r="B29" t="str">
        <f>IF('ELC TECH'!I22=0,"*",'ELC TECH'!H22)</f>
        <v>ELCHYDGRDHUPDC420</v>
      </c>
      <c r="C29" t="str">
        <f>IF(_xlfn.XLOOKUP(_xlfn.XLOOKUP(B29,'ELC TECH'!$H:$H,'ELC TECH'!$G:$G),List!C:C,List!B:B)="STG",D29,"ELC"&amp;_xlfn.XLOOKUP(_xlfn.XLOOKUP(B29,'ELC TECH'!H:H,'ELC TECH'!G:G),List!C:C,List!B:B))</f>
        <v>ELCHYD</v>
      </c>
      <c r="D29" t="s">
        <v>544</v>
      </c>
      <c r="E29">
        <f>_xlfn.XLOOKUP(B29,'ELC TECH'!H:H,'ELC TECH'!D:D)</f>
        <v>2020</v>
      </c>
      <c r="F29">
        <f>_xlfn.XLOOKUP(B29,'ELC TECH'!H:H,'ELC TECH'!K:K)</f>
        <v>100</v>
      </c>
      <c r="G29">
        <f t="shared" si="4"/>
        <v>31.535999999999998</v>
      </c>
      <c r="H29">
        <f>IF(_xlfn.XLOOKUP(B29,'ELC TECH'!$H:$H,'ELC TECH'!$E:$E)="Storage",0.3,IF(_xlfn.XLOOKUP(B29,'ELC TECH'!$H:$H,'ELC TECH'!$E:$E)="Baseload",0.9,IF(_xlfn.XLOOKUP(B29,'ELC TECH'!$H:$H,'ELC TECH'!$E:$E)="Non Dispatchable",0.05,IF(_xlfn.XLOOKUP(B29,'ELC TECH'!$H:$H,'ELC TECH'!$E:$E)="Dispatchable",0.9,1))))</f>
        <v>0.9</v>
      </c>
      <c r="I29" s="13">
        <f>IF(_xlfn.XLOOKUP(B29,'ELC TECH'!H:H,'ELC TECH'!J:J)="","",_xlfn.XLOOKUP(B29,'ELC TECH'!H:H,'ELC TECH'!J:J))</f>
        <v>0</v>
      </c>
      <c r="J29" s="12">
        <f>IF(_xlfn.XLOOKUP($B29,'ELC TECH'!$H:$H,'ELC TECH'!$E:$E)="Storage","",IF(_xlfn.XLOOKUP($B29,'ELC TECH'!$H:$H,'ELC TECH'!AK:AK)="",1,_xlfn.XLOOKUP($B29,'ELC TECH'!$H:$H,'ELC TECH'!AK:AK)))</f>
        <v>1</v>
      </c>
      <c r="K29" s="12">
        <f>IF(_xlfn.XLOOKUP($B29,'ELC TECH'!$H:$H,'ELC TECH'!$E:$E)="Storage","",IF(_xlfn.XLOOKUP($B29,'ELC TECH'!$H:$H,'ELC TECH'!AL:AL)="",1,_xlfn.XLOOKUP($B29,'ELC TECH'!$H:$H,'ELC TECH'!AL:AL)))</f>
        <v>1</v>
      </c>
      <c r="L29" s="12">
        <f>IF(_xlfn.XLOOKUP($B29,'ELC TECH'!$H:$H,'ELC TECH'!$E:$E)="Storage","",IF(_xlfn.XLOOKUP($B29,'ELC TECH'!$H:$H,'ELC TECH'!AM:AM)="",1,_xlfn.XLOOKUP($B29,'ELC TECH'!$H:$H,'ELC TECH'!AM:AM)))</f>
        <v>1</v>
      </c>
      <c r="M29" s="12">
        <f>IF(_xlfn.XLOOKUP($B29,'ELC TECH'!$H:$H,'ELC TECH'!$E:$E)="Storage","",IF(_xlfn.XLOOKUP($B29,'ELC TECH'!$H:$H,'ELC TECH'!AN:AN)="",1,_xlfn.XLOOKUP($B29,'ELC TECH'!$H:$H,'ELC TECH'!AN:AN)))</f>
        <v>1</v>
      </c>
      <c r="N29" s="12">
        <f>IF(_xlfn.XLOOKUP($B29,'ELC TECH'!$H:$H,'ELC TECH'!$E:$E)="Storage","",IF(_xlfn.XLOOKUP($B29,'ELC TECH'!$H:$H,'ELC TECH'!AO:AO)="",1,_xlfn.XLOOKUP($B29,'ELC TECH'!$H:$H,'ELC TECH'!AO:AO)))</f>
        <v>1</v>
      </c>
      <c r="O29" s="12">
        <f>IF(_xlfn.XLOOKUP($B29,'ELC TECH'!$H:$H,'ELC TECH'!$E:$E)="Storage","",IF(_xlfn.XLOOKUP($B29,'ELC TECH'!$H:$H,'ELC TECH'!AP:AP)="",1,_xlfn.XLOOKUP($B29,'ELC TECH'!$H:$H,'ELC TECH'!AP:AP)))</f>
        <v>1</v>
      </c>
      <c r="P29" s="12">
        <f>IF(_xlfn.XLOOKUP($B29,'ELC TECH'!$H:$H,'ELC TECH'!$E:$E)="Storage","",IF(_xlfn.XLOOKUP($B29,'ELC TECH'!$H:$H,'ELC TECH'!AQ:AQ)="",1,_xlfn.XLOOKUP($B29,'ELC TECH'!$H:$H,'ELC TECH'!AQ:AQ)))</f>
        <v>1</v>
      </c>
      <c r="Q29" s="12">
        <f>IF(_xlfn.XLOOKUP($B29,'ELC TECH'!$H:$H,'ELC TECH'!$E:$E)="Storage","",IF(_xlfn.XLOOKUP($B29,'ELC TECH'!$H:$H,'ELC TECH'!AR:AR)="",1,_xlfn.XLOOKUP($B29,'ELC TECH'!$H:$H,'ELC TECH'!AR:AR)))</f>
        <v>1</v>
      </c>
      <c r="R29" s="12" t="str">
        <f>IF(_xlfn.XLOOKUP($B29,'ELC TECH'!$H:$H,'ELC TECH'!$E:$E)&lt;&gt;"Storage","",IF(_xlfn.XLOOKUP($B29,'ELC TECH'!$H:$H,'ELC TECH'!AK:AK)="",0.8,_xlfn.XLOOKUP($B29,'ELC TECH'!$H:$H,'ELC TECH'!AK:AK)))</f>
        <v/>
      </c>
      <c r="S29" s="12" t="str">
        <f>IF(_xlfn.XLOOKUP($B29,'ELC TECH'!$H:$H,'ELC TECH'!$E:$E)&lt;&gt;"Storage","",IF(_xlfn.XLOOKUP($B29,'ELC TECH'!$H:$H,'ELC TECH'!AL:AL)="",0.8,_xlfn.XLOOKUP($B29,'ELC TECH'!$H:$H,'ELC TECH'!AL:AL)))</f>
        <v/>
      </c>
      <c r="T29" s="12" t="str">
        <f>IF(_xlfn.XLOOKUP($B29,'ELC TECH'!$H:$H,'ELC TECH'!$E:$E)&lt;&gt;"Storage","",IF(_xlfn.XLOOKUP($B29,'ELC TECH'!$H:$H,'ELC TECH'!AM:AM)="",0.8,_xlfn.XLOOKUP($B29,'ELC TECH'!$H:$H,'ELC TECH'!AM:AM)))</f>
        <v/>
      </c>
      <c r="U29" s="12" t="str">
        <f>IF(_xlfn.XLOOKUP($B29,'ELC TECH'!$H:$H,'ELC TECH'!$E:$E)&lt;&gt;"Storage","",IF(_xlfn.XLOOKUP($B29,'ELC TECH'!$H:$H,'ELC TECH'!AN:AN)="",0.8,_xlfn.XLOOKUP($B29,'ELC TECH'!$H:$H,'ELC TECH'!AN:AN)))</f>
        <v/>
      </c>
      <c r="V29" s="12" t="str">
        <f>IF(_xlfn.XLOOKUP($B29,'ELC TECH'!$H:$H,'ELC TECH'!$E:$E)&lt;&gt;"Storage","",IF(_xlfn.XLOOKUP($B29,'ELC TECH'!$H:$H,'ELC TECH'!AO:AO)="",0.8,_xlfn.XLOOKUP($B29,'ELC TECH'!$H:$H,'ELC TECH'!AO:AO)))</f>
        <v/>
      </c>
      <c r="W29" s="12" t="str">
        <f>IF(_xlfn.XLOOKUP($B29,'ELC TECH'!$H:$H,'ELC TECH'!$E:$E)&lt;&gt;"Storage","",IF(_xlfn.XLOOKUP($B29,'ELC TECH'!$H:$H,'ELC TECH'!AP:AP)="",0.8,_xlfn.XLOOKUP($B29,'ELC TECH'!$H:$H,'ELC TECH'!AP:AP)))</f>
        <v/>
      </c>
      <c r="X29" s="12" t="str">
        <f>IF(_xlfn.XLOOKUP($B29,'ELC TECH'!$H:$H,'ELC TECH'!$E:$E)&lt;&gt;"Storage","",IF(_xlfn.XLOOKUP($B29,'ELC TECH'!$H:$H,'ELC TECH'!AQ:AQ)="",0.8,_xlfn.XLOOKUP($B29,'ELC TECH'!$H:$H,'ELC TECH'!AQ:AQ)))</f>
        <v/>
      </c>
      <c r="Y29" s="12" t="str">
        <f>IF(_xlfn.XLOOKUP($B29,'ELC TECH'!$H:$H,'ELC TECH'!$E:$E)&lt;&gt;"Storage","",IF(_xlfn.XLOOKUP($B29,'ELC TECH'!$H:$H,'ELC TECH'!AR:AR)="",0.8,_xlfn.XLOOKUP($B29,'ELC TECH'!$H:$H,'ELC TECH'!AR:AR)))</f>
        <v/>
      </c>
      <c r="Z29" s="15">
        <f>_xlfn.XLOOKUP($B29,'ELC TECH'!$H:$H,'ELC TECH'!M:M)</f>
        <v>14006.80078622317</v>
      </c>
      <c r="AA29" s="15">
        <f>_xlfn.XLOOKUP($B29,'ELC TECH'!$H:$H,'ELC TECH'!N:N)</f>
        <v>14006.80078622317</v>
      </c>
      <c r="AB29" s="15">
        <f>_xlfn.XLOOKUP($B29,'ELC TECH'!$H:$H,'ELC TECH'!O:O)</f>
        <v>11382.292460977031</v>
      </c>
      <c r="AC29" s="15">
        <f>_xlfn.XLOOKUP($B29,'ELC TECH'!$H:$H,'ELC TECH'!P:P)</f>
        <v>8758.9149019201323</v>
      </c>
      <c r="AD29" s="15">
        <f>_xlfn.XLOOKUP($B29,'ELC TECH'!$H:$H,'ELC TECH'!Q:Q)</f>
        <v>8408.3773832530478</v>
      </c>
      <c r="AE29" s="15">
        <f>_xlfn.XLOOKUP($B29,'ELC TECH'!$H:$H,'ELC TECH'!R:R)</f>
        <v>8408.3773832530478</v>
      </c>
      <c r="AF29" s="15">
        <f>_xlfn.XLOOKUP($B29,'ELC TECH'!$H:$H,'ELC TECH'!S:S)</f>
        <v>8408.3773832530478</v>
      </c>
      <c r="AG29" s="15">
        <f>_xlfn.XLOOKUP($B29,'ELC TECH'!$H:$H,'ELC TECH'!T:T)</f>
        <v>8408.3773832530478</v>
      </c>
      <c r="AH29" s="15">
        <f>_xlfn.XLOOKUP($B29,'ELC TECH'!$H:$H,'ELC TECH'!U:U)</f>
        <v>196.7533169292671</v>
      </c>
      <c r="AI29" s="15">
        <f>_xlfn.XLOOKUP($B29,'ELC TECH'!$H:$H,'ELC TECH'!V:V)</f>
        <v>196.7533169292671</v>
      </c>
      <c r="AJ29" s="15">
        <f>_xlfn.XLOOKUP($B29,'ELC TECH'!$H:$H,'ELC TECH'!W:W)</f>
        <v>196.7533169292671</v>
      </c>
      <c r="AK29" s="15">
        <f>_xlfn.XLOOKUP($B29,'ELC TECH'!$H:$H,'ELC TECH'!X:X)</f>
        <v>196.7533169292671</v>
      </c>
      <c r="AL29" s="15">
        <f>_xlfn.XLOOKUP($B29,'ELC TECH'!$H:$H,'ELC TECH'!Y:Y)</f>
        <v>188.83795360452649</v>
      </c>
      <c r="AM29" s="15">
        <f>_xlfn.XLOOKUP($B29,'ELC TECH'!$H:$H,'ELC TECH'!Z:Z)</f>
        <v>188.83795360452649</v>
      </c>
      <c r="AN29" s="15">
        <f>_xlfn.XLOOKUP($B29,'ELC TECH'!$H:$H,'ELC TECH'!AA:AA)</f>
        <v>188.83795360452649</v>
      </c>
      <c r="AO29" s="15">
        <f>_xlfn.XLOOKUP($B29,'ELC TECH'!$H:$H,'ELC TECH'!AB:AB)</f>
        <v>188.83795360452649</v>
      </c>
      <c r="AP29" s="15">
        <f>_xlfn.XLOOKUP($B29,'ELC TECH'!$H:$H,'ELC TECH'!AC:AC)</f>
        <v>0</v>
      </c>
      <c r="AQ29" s="15">
        <f>_xlfn.XLOOKUP($B29,'ELC TECH'!$H:$H,'ELC TECH'!AD:AD)</f>
        <v>0</v>
      </c>
      <c r="AR29" s="15">
        <f>_xlfn.XLOOKUP($B29,'ELC TECH'!$H:$H,'ELC TECH'!AE:AE)</f>
        <v>0</v>
      </c>
      <c r="AS29" s="15">
        <f>_xlfn.XLOOKUP($B29,'ELC TECH'!$H:$H,'ELC TECH'!AF:AF)</f>
        <v>0</v>
      </c>
      <c r="AT29" s="15">
        <f>_xlfn.XLOOKUP($B29,'ELC TECH'!$H:$H,'ELC TECH'!AG:AG)</f>
        <v>0</v>
      </c>
      <c r="AU29" s="15">
        <f>_xlfn.XLOOKUP($B29,'ELC TECH'!$H:$H,'ELC TECH'!AH:AH)</f>
        <v>0</v>
      </c>
      <c r="AV29" s="15">
        <f>_xlfn.XLOOKUP($B29,'ELC TECH'!$H:$H,'ELC TECH'!AI:AI)</f>
        <v>0</v>
      </c>
      <c r="AW29" s="15">
        <f>_xlfn.XLOOKUP($B29,'ELC TECH'!$H:$H,'ELC TECH'!AJ:AJ)</f>
        <v>0</v>
      </c>
      <c r="AX29" s="12">
        <f>IF(_xlfn.XLOOKUP($B29,'ELC TECH'!$H:$H,'ELC TECH'!$E:$E)="Storage","",_xlfn.XLOOKUP($B29,'ELC TECH'!$H:$H,'ELC TECH'!AS:AS))</f>
        <v>0.37999999999999989</v>
      </c>
      <c r="AY29" s="12">
        <f>IF(_xlfn.XLOOKUP($B29,'ELC TECH'!$H:$H,'ELC TECH'!$E:$E)="Storage","",_xlfn.XLOOKUP($B29,'ELC TECH'!$H:$H,'ELC TECH'!AT:AT))</f>
        <v>0.37999999999999989</v>
      </c>
      <c r="AZ29" s="12">
        <f>IF(_xlfn.XLOOKUP($B29,'ELC TECH'!$H:$H,'ELC TECH'!$E:$E)="Storage","",_xlfn.XLOOKUP($B29,'ELC TECH'!$H:$H,'ELC TECH'!AU:AU))</f>
        <v>0.37999999999999989</v>
      </c>
      <c r="BA29" s="12">
        <f>IF(_xlfn.XLOOKUP($B29,'ELC TECH'!$H:$H,'ELC TECH'!$E:$E)="Storage","",_xlfn.XLOOKUP($B29,'ELC TECH'!$H:$H,'ELC TECH'!AV:AV))</f>
        <v>0.37999999999999989</v>
      </c>
      <c r="BB29" s="12">
        <f>IF(_xlfn.XLOOKUP($B29,'ELC TECH'!$H:$H,'ELC TECH'!$E:$E)="Storage","",_xlfn.XLOOKUP($B29,'ELC TECH'!$H:$H,'ELC TECH'!AW:AW))</f>
        <v>0.37999999999999989</v>
      </c>
      <c r="BC29" s="12">
        <f>IF(_xlfn.XLOOKUP($B29,'ELC TECH'!$H:$H,'ELC TECH'!$E:$E)="Storage","",_xlfn.XLOOKUP($B29,'ELC TECH'!$H:$H,'ELC TECH'!AX:AX))</f>
        <v>0.37999999999999989</v>
      </c>
      <c r="BD29" s="12">
        <f>IF(_xlfn.XLOOKUP($B29,'ELC TECH'!$H:$H,'ELC TECH'!$E:$E)="Storage","",_xlfn.XLOOKUP($B29,'ELC TECH'!$H:$H,'ELC TECH'!AY:AY))</f>
        <v>0.37999999999999989</v>
      </c>
      <c r="BE29" s="12">
        <f>IF(_xlfn.XLOOKUP($B29,'ELC TECH'!$H:$H,'ELC TECH'!$E:$E)="Storage","",_xlfn.XLOOKUP($B29,'ELC TECH'!$H:$H,'ELC TECH'!AZ:AZ))</f>
        <v>0.37999999999999989</v>
      </c>
      <c r="BF29" s="12" t="str">
        <f>IF(_xlfn.XLOOKUP($B29,'ELC TECH'!$H:$H,'ELC TECH'!$E:$E)="Storage",_xlfn.XLOOKUP($B29,'ELC TECH'!$H:$H,'ELC TECH'!AS:AS),"")</f>
        <v/>
      </c>
      <c r="BG29" s="12" t="str">
        <f>IF(_xlfn.XLOOKUP($B29,'ELC TECH'!$H:$H,'ELC TECH'!$E:$E)="Storage",_xlfn.XLOOKUP($B29,'ELC TECH'!$H:$H,'ELC TECH'!AT:AT),"")</f>
        <v/>
      </c>
      <c r="BH29" s="12" t="str">
        <f>IF(_xlfn.XLOOKUP($B29,'ELC TECH'!$H:$H,'ELC TECH'!$E:$E)="Storage",_xlfn.XLOOKUP($B29,'ELC TECH'!$H:$H,'ELC TECH'!AU:AU),"")</f>
        <v/>
      </c>
      <c r="BI29" s="12" t="str">
        <f>IF(_xlfn.XLOOKUP($B29,'ELC TECH'!$H:$H,'ELC TECH'!$E:$E)="Storage",_xlfn.XLOOKUP($B29,'ELC TECH'!$H:$H,'ELC TECH'!AV:AV),"")</f>
        <v/>
      </c>
      <c r="BJ29" s="12" t="str">
        <f>IF(_xlfn.XLOOKUP($B29,'ELC TECH'!$H:$H,'ELC TECH'!$E:$E)="Storage",_xlfn.XLOOKUP($B29,'ELC TECH'!$H:$H,'ELC TECH'!AW:AW),"")</f>
        <v/>
      </c>
      <c r="BK29" s="12" t="str">
        <f>IF(_xlfn.XLOOKUP($B29,'ELC TECH'!$H:$H,'ELC TECH'!$E:$E)="Storage",_xlfn.XLOOKUP($B29,'ELC TECH'!$H:$H,'ELC TECH'!AX:AX),"")</f>
        <v/>
      </c>
      <c r="BL29" s="12" t="str">
        <f>IF(_xlfn.XLOOKUP($B29,'ELC TECH'!$H:$H,'ELC TECH'!$E:$E)="Storage",_xlfn.XLOOKUP($B29,'ELC TECH'!$H:$H,'ELC TECH'!AY:AY),"")</f>
        <v/>
      </c>
      <c r="BM29" s="12" t="str">
        <f>IF(_xlfn.XLOOKUP($B29,'ELC TECH'!$H:$H,'ELC TECH'!$E:$E)="Storage",_xlfn.XLOOKUP($B29,'ELC TECH'!$H:$H,'ELC TECH'!AZ:AZ),"")</f>
        <v/>
      </c>
      <c r="BN29" s="8" t="str">
        <f>IF(_xlfn.XLOOKUP($B29,'ELC TECH'!$H:$H,'ELC TECH'!$E:$E)="Non Dispatchable",IFERROR($AX29*_xlfn.XLOOKUP($C29,$BM$1:$BM$3,BN$1:BN$3)/SUMPRODUCT(_xlfn.XLOOKUP($C29,$BM$1:$BM$3,$BN$1:$BY$3),$BN$4:$BY$4),""),
"")</f>
        <v/>
      </c>
      <c r="BO29" s="8" t="str">
        <f>IF(_xlfn.XLOOKUP($B29,'ELC TECH'!$H:$H,'ELC TECH'!$E:$E)="Non Dispatchable",IFERROR($AX29*_xlfn.XLOOKUP($C29,$BM$1:$BM$3,BO$1:BO$3)/SUMPRODUCT(_xlfn.XLOOKUP($C29,$BM$1:$BM$3,$BN$1:$BY$3),$BN$4:$BY$4),""),
"")</f>
        <v/>
      </c>
      <c r="BP29" s="8" t="str">
        <f>IF(_xlfn.XLOOKUP($B29,'ELC TECH'!$H:$H,'ELC TECH'!$E:$E)="Non Dispatchable",IFERROR($AX29*_xlfn.XLOOKUP($C29,$BM$1:$BM$3,BP$1:BP$3)/SUMPRODUCT(_xlfn.XLOOKUP($C29,$BM$1:$BM$3,$BN$1:$BY$3),$BN$4:$BY$4),""),
"")</f>
        <v/>
      </c>
      <c r="BQ29" s="8" t="str">
        <f>IF(_xlfn.XLOOKUP($B29,'ELC TECH'!$H:$H,'ELC TECH'!$E:$E)="Non Dispatchable",IFERROR($AX29*_xlfn.XLOOKUP($C29,$BM$1:$BM$3,BQ$1:BQ$3)/SUMPRODUCT(_xlfn.XLOOKUP($C29,$BM$1:$BM$3,$BN$1:$BY$3),$BN$4:$BY$4),""),
"")</f>
        <v/>
      </c>
      <c r="BR29" s="8" t="str">
        <f>IF(_xlfn.XLOOKUP($B29,'ELC TECH'!$H:$H,'ELC TECH'!$E:$E)="Non Dispatchable",IFERROR($AX29*_xlfn.XLOOKUP($C29,$BM$1:$BM$3,BR$1:BR$3)/SUMPRODUCT(_xlfn.XLOOKUP($C29,$BM$1:$BM$3,$BN$1:$BY$3),$BN$4:$BY$4),""),
"")</f>
        <v/>
      </c>
      <c r="BS29" s="8" t="str">
        <f>IF(_xlfn.XLOOKUP($B29,'ELC TECH'!$H:$H,'ELC TECH'!$E:$E)="Non Dispatchable",IFERROR($AX29*_xlfn.XLOOKUP($C29,$BM$1:$BM$3,BS$1:BS$3)/SUMPRODUCT(_xlfn.XLOOKUP($C29,$BM$1:$BM$3,$BN$1:$BY$3),$BN$4:$BY$4),""),
"")</f>
        <v/>
      </c>
      <c r="BT29" s="8" t="str">
        <f>IF(_xlfn.XLOOKUP($B29,'ELC TECH'!$H:$H,'ELC TECH'!$E:$E)="Non Dispatchable",IFERROR($AX29*_xlfn.XLOOKUP($C29,$BM$1:$BM$3,BT$1:BT$3)/SUMPRODUCT(_xlfn.XLOOKUP($C29,$BM$1:$BM$3,$BN$1:$BY$3),$BN$4:$BY$4),""),
"")</f>
        <v/>
      </c>
      <c r="BU29" s="8" t="str">
        <f>IF(_xlfn.XLOOKUP($B29,'ELC TECH'!$H:$H,'ELC TECH'!$E:$E)="Non Dispatchable",IFERROR($AX29*_xlfn.XLOOKUP($C29,$BM$1:$BM$3,BU$1:BU$3)/SUMPRODUCT(_xlfn.XLOOKUP($C29,$BM$1:$BM$3,$BN$1:$BY$3),$BN$4:$BY$4),""),
"")</f>
        <v/>
      </c>
      <c r="BV29" s="8" t="str">
        <f>IF(_xlfn.XLOOKUP($B29,'ELC TECH'!$H:$H,'ELC TECH'!$E:$E)="Non Dispatchable",IFERROR($AX29*_xlfn.XLOOKUP($C29,$BM$1:$BM$3,BV$1:BV$3)/SUMPRODUCT(_xlfn.XLOOKUP($C29,$BM$1:$BM$3,$BN$1:$BY$3),$BN$4:$BY$4),""),
"")</f>
        <v/>
      </c>
      <c r="BW29" s="8" t="str">
        <f>IF(_xlfn.XLOOKUP($B29,'ELC TECH'!$H:$H,'ELC TECH'!$E:$E)="Non Dispatchable",IFERROR($AX29*_xlfn.XLOOKUP($C29,$BM$1:$BM$3,BW$1:BW$3)/SUMPRODUCT(_xlfn.XLOOKUP($C29,$BM$1:$BM$3,$BN$1:$BY$3),$BN$4:$BY$4),""),
"")</f>
        <v/>
      </c>
      <c r="BX29" s="8" t="str">
        <f>IF(_xlfn.XLOOKUP($B29,'ELC TECH'!$H:$H,'ELC TECH'!$E:$E)="Non Dispatchable",IFERROR($AX29*_xlfn.XLOOKUP($C29,$BM$1:$BM$3,BX$1:BX$3)/SUMPRODUCT(_xlfn.XLOOKUP($C29,$BM$1:$BM$3,$BN$1:$BY$3),$BN$4:$BY$4),""),
"")</f>
        <v/>
      </c>
      <c r="BY29" s="8" t="str">
        <f>IF(_xlfn.XLOOKUP($B29,'ELC TECH'!$H:$H,'ELC TECH'!$E:$E)="Non Dispatchable",IFERROR($AX29*_xlfn.XLOOKUP($C29,$BM$1:$BM$3,BY$1:BY$3)/SUMPRODUCT(_xlfn.XLOOKUP($C29,$BM$1:$BM$3,$BN$1:$BY$3),$BN$4:$BY$4),""),
"")</f>
        <v/>
      </c>
      <c r="BZ29" s="8" t="str">
        <f>IF(_xlfn.XLOOKUP($B29,'ELC TECH'!$H:$H,'ELC TECH'!$E:$E)="Non Dispatchable",IFERROR($AX29*_xlfn.XLOOKUP($C29,$BM$1:$BM$3,BZ$1:BZ$3)/SUMPRODUCT(_xlfn.XLOOKUP($C29,$BM$1:$BM$3,$BN$1:$BY$3),$BN$4:$BY$4),""),
"")</f>
        <v/>
      </c>
      <c r="CA29" s="8" t="str">
        <f>IF(_xlfn.XLOOKUP($B29,'ELC TECH'!$H:$H,'ELC TECH'!$E:$E)="Non Dispatchable",IFERROR($AX29*_xlfn.XLOOKUP($C29,$BM$1:$BM$3,CA$1:CA$3)/SUMPRODUCT(_xlfn.XLOOKUP($C29,$BM$1:$BM$3,$BN$1:$BY$3),$BN$4:$BY$4),""),
"")</f>
        <v/>
      </c>
      <c r="CB29" s="8" t="str">
        <f>IF(_xlfn.XLOOKUP($B29,'ELC TECH'!$H:$H,'ELC TECH'!$E:$E)="Non Dispatchable",IFERROR($AX29*_xlfn.XLOOKUP($C29,$BM$1:$BM$3,CB$1:CB$3)/SUMPRODUCT(_xlfn.XLOOKUP($C29,$BM$1:$BM$3,$BN$1:$BY$3),$BN$4:$BY$4),""),
"")</f>
        <v/>
      </c>
      <c r="CC29" s="8" t="str">
        <f>IF(_xlfn.XLOOKUP($B29,'ELC TECH'!$H:$H,'ELC TECH'!$E:$E)="Non Dispatchable",IFERROR($AX29*_xlfn.XLOOKUP($C29,$BM$1:$BM$3,CC$1:CC$3)/SUMPRODUCT(_xlfn.XLOOKUP($C29,$BM$1:$BM$3,$BN$1:$BY$3),$BN$4:$BY$4),""),
"")</f>
        <v/>
      </c>
      <c r="CD29" s="8" t="str">
        <f>IF(_xlfn.XLOOKUP($B29,'ELC TECH'!$H:$H,'ELC TECH'!$E:$E)="Non Dispatchable",IFERROR($AX29*_xlfn.XLOOKUP($C29,$BM$1:$BM$3,CD$1:CD$3)/SUMPRODUCT(_xlfn.XLOOKUP($C29,$BM$1:$BM$3,$BN$1:$BY$3),$BN$4:$BY$4),""),
"")</f>
        <v/>
      </c>
      <c r="CE29" s="8" t="str">
        <f>IF(_xlfn.XLOOKUP($B29,'ELC TECH'!$H:$H,'ELC TECH'!$E:$E)="Non Dispatchable",IFERROR($AX29*_xlfn.XLOOKUP($C29,$BM$1:$BM$3,CE$1:CE$3)/SUMPRODUCT(_xlfn.XLOOKUP($C29,$BM$1:$BM$3,$BN$1:$BY$3),$BN$4:$BY$4),""),
"")</f>
        <v/>
      </c>
      <c r="CF29" s="8" t="str">
        <f>IF(_xlfn.XLOOKUP($B29,'ELC TECH'!$H:$H,'ELC TECH'!$E:$E)="Non Dispatchable",IFERROR($AX29*_xlfn.XLOOKUP($C29,$BM$1:$BM$3,CF$1:CF$3)/SUMPRODUCT(_xlfn.XLOOKUP($C29,$BM$1:$BM$3,$BN$1:$BY$3),$BN$4:$BY$4),""),
"")</f>
        <v/>
      </c>
      <c r="CG29" s="8" t="str">
        <f>IF(_xlfn.XLOOKUP($B29,'ELC TECH'!$H:$H,'ELC TECH'!$E:$E)="Non Dispatchable",IFERROR($AX29*_xlfn.XLOOKUP($C29,$BM$1:$BM$3,CG$1:CG$3)/SUMPRODUCT(_xlfn.XLOOKUP($C29,$BM$1:$BM$3,$BN$1:$BY$3),$BN$4:$BY$4),""),
"")</f>
        <v/>
      </c>
      <c r="CH29" s="8" t="str">
        <f>IF(_xlfn.XLOOKUP($B29,'ELC TECH'!$H:$H,'ELC TECH'!$E:$E)="Non Dispatchable",IFERROR($AX29*_xlfn.XLOOKUP($C29,$BM$1:$BM$3,CH$1:CH$3)/SUMPRODUCT(_xlfn.XLOOKUP($C29,$BM$1:$BM$3,$BN$1:$BY$3),$BN$4:$BY$4),""),
"")</f>
        <v/>
      </c>
      <c r="CI29" s="8" t="str">
        <f>IF(_xlfn.XLOOKUP($B29,'ELC TECH'!$H:$H,'ELC TECH'!$E:$E)="Non Dispatchable",IFERROR($AX29*_xlfn.XLOOKUP($C29,$BM$1:$BM$3,CI$1:CI$3)/SUMPRODUCT(_xlfn.XLOOKUP($C29,$BM$1:$BM$3,$BN$1:$BY$3),$BN$4:$BY$4),""),
"")</f>
        <v/>
      </c>
      <c r="CJ29" s="8" t="str">
        <f>IF(_xlfn.XLOOKUP($B29,'ELC TECH'!$H:$H,'ELC TECH'!$E:$E)="Non Dispatchable",IFERROR($AX29*_xlfn.XLOOKUP($C29,$BM$1:$BM$3,CJ$1:CJ$3)/SUMPRODUCT(_xlfn.XLOOKUP($C29,$BM$1:$BM$3,$BN$1:$BY$3),$BN$4:$BY$4),""),
"")</f>
        <v/>
      </c>
      <c r="CK29" s="8" t="str">
        <f>IF(_xlfn.XLOOKUP($B29,'ELC TECH'!$H:$H,'ELC TECH'!$E:$E)="Non Dispatchable",IFERROR($AX29*_xlfn.XLOOKUP($C29,$BM$1:$BM$3,CK$1:CK$3)/SUMPRODUCT(_xlfn.XLOOKUP($C29,$BM$1:$BM$3,$BN$1:$BY$3),$BN$4:$BY$4),""),
"")</f>
        <v/>
      </c>
      <c r="CL29" s="8" t="str">
        <f>IF(_xlfn.XLOOKUP($B29,'ELC TECH'!$H:$H,'ELC TECH'!$E:$E)="Storage",CL$4*$BF29,"")</f>
        <v/>
      </c>
      <c r="CM29" s="8" t="str">
        <f>IF(_xlfn.XLOOKUP($B29,'ELC TECH'!$H:$H,'ELC TECH'!$E:$E)="Storage",CM$4*$BF29,"")</f>
        <v/>
      </c>
      <c r="CN29" s="8" t="str">
        <f>IF(_xlfn.XLOOKUP($B29,'ELC TECH'!$H:$H,'ELC TECH'!$E:$E)="Storage",CN$4*$BF29,"")</f>
        <v/>
      </c>
      <c r="CO29" s="8" t="str">
        <f>IF(_xlfn.XLOOKUP($B29,'ELC TECH'!$H:$H,'ELC TECH'!$E:$E)="Storage",CO$4*$BF29,"")</f>
        <v/>
      </c>
      <c r="CP29" s="8" t="str">
        <f>IF(_xlfn.XLOOKUP($B29,'ELC TECH'!$H:$H,'ELC TECH'!$E:$E)="Storage",CP$4*$BF29,"")</f>
        <v/>
      </c>
      <c r="CQ29" s="8" t="str">
        <f>IF(_xlfn.XLOOKUP($B29,'ELC TECH'!$H:$H,'ELC TECH'!$E:$E)="Storage",CQ$4*$BF29,"")</f>
        <v/>
      </c>
      <c r="CR29" s="8" t="str">
        <f>IF(_xlfn.XLOOKUP($B29,'ELC TECH'!$H:$H,'ELC TECH'!$E:$E)="Storage",CR$4*$BF29,"")</f>
        <v/>
      </c>
      <c r="CS29" s="8" t="str">
        <f>IF(_xlfn.XLOOKUP($B29,'ELC TECH'!$H:$H,'ELC TECH'!$E:$E)="Storage",CS$4*$BF29,"")</f>
        <v/>
      </c>
      <c r="CT29" s="8" t="str">
        <f>IF(_xlfn.XLOOKUP($B29,'ELC TECH'!$H:$H,'ELC TECH'!$E:$E)="Storage",CT$4*$BF29,"")</f>
        <v/>
      </c>
      <c r="CU29" s="8" t="str">
        <f>IF(_xlfn.XLOOKUP($B29,'ELC TECH'!$H:$H,'ELC TECH'!$E:$E)="Storage",CU$4*$BF29,"")</f>
        <v/>
      </c>
      <c r="CV29" s="8" t="str">
        <f>IF(_xlfn.XLOOKUP($B29,'ELC TECH'!$H:$H,'ELC TECH'!$E:$E)="Storage",CV$4*$BF29,"")</f>
        <v/>
      </c>
      <c r="CW29" s="8" t="str">
        <f>IF(_xlfn.XLOOKUP($B29,'ELC TECH'!$H:$H,'ELC TECH'!$E:$E)="Storage",CW$4*$BF29,"")</f>
        <v/>
      </c>
      <c r="CX29" s="8" t="str">
        <f>IF(_xlfn.XLOOKUP($B29,'ELC TECH'!$H:$H,'ELC TECH'!$E:$E)="Storage",CX$4*$BF29,"")</f>
        <v/>
      </c>
      <c r="CY29" s="8" t="str">
        <f>IF(_xlfn.XLOOKUP($B29,'ELC TECH'!$H:$H,'ELC TECH'!$E:$E)="Storage",CY$4*$BF29,"")</f>
        <v/>
      </c>
      <c r="CZ29" s="8" t="str">
        <f>IF(_xlfn.XLOOKUP($B29,'ELC TECH'!$H:$H,'ELC TECH'!$E:$E)="Storage",CZ$4*$BF29,"")</f>
        <v/>
      </c>
      <c r="DA29" s="8" t="str">
        <f>IF(_xlfn.XLOOKUP($B29,'ELC TECH'!$H:$H,'ELC TECH'!$E:$E)="Storage",DA$4*$BF29,"")</f>
        <v/>
      </c>
      <c r="DB29" s="8" t="str">
        <f>IF(_xlfn.XLOOKUP($B29,'ELC TECH'!$H:$H,'ELC TECH'!$E:$E)="Storage",DB$4*$BF29,"")</f>
        <v/>
      </c>
      <c r="DC29" s="8" t="str">
        <f>IF(_xlfn.XLOOKUP($B29,'ELC TECH'!$H:$H,'ELC TECH'!$E:$E)="Storage",DC$4*$BF29,"")</f>
        <v/>
      </c>
      <c r="DD29" s="8" t="str">
        <f>IF(_xlfn.XLOOKUP($B29,'ELC TECH'!$H:$H,'ELC TECH'!$E:$E)="Storage",DD$4*$BF29,"")</f>
        <v/>
      </c>
      <c r="DE29" s="8" t="str">
        <f>IF(_xlfn.XLOOKUP($B29,'ELC TECH'!$H:$H,'ELC TECH'!$E:$E)="Storage",DE$4*$BF29,"")</f>
        <v/>
      </c>
      <c r="DF29" s="8" t="str">
        <f>IF(_xlfn.XLOOKUP($B29,'ELC TECH'!$H:$H,'ELC TECH'!$E:$E)="Storage",DF$4*$BF29,"")</f>
        <v/>
      </c>
      <c r="DG29" s="8" t="str">
        <f>IF(_xlfn.XLOOKUP($B29,'ELC TECH'!$H:$H,'ELC TECH'!$E:$E)="Storage",DG$4*$BF29,"")</f>
        <v/>
      </c>
      <c r="DH29" s="8" t="str">
        <f>IF(_xlfn.XLOOKUP($B29,'ELC TECH'!$H:$H,'ELC TECH'!$E:$E)="Storage",DH$4*$BF29,"")</f>
        <v/>
      </c>
      <c r="DI29" s="8" t="str">
        <f>IF(_xlfn.XLOOKUP($B29,'ELC TECH'!$H:$H,'ELC TECH'!$E:$E)="Storage",DI$4*$BF29,"")</f>
        <v/>
      </c>
    </row>
    <row r="30" spans="2:113" x14ac:dyDescent="0.25">
      <c r="B30" t="str">
        <f>IF('ELC TECH'!I23=0,"*",'ELC TECH'!H23)</f>
        <v>ELCHYDGRDHUPDC520</v>
      </c>
      <c r="C30" t="str">
        <f>IF(_xlfn.XLOOKUP(_xlfn.XLOOKUP(B30,'ELC TECH'!$H:$H,'ELC TECH'!$G:$G),List!C:C,List!B:B)="STG",D30,"ELC"&amp;_xlfn.XLOOKUP(_xlfn.XLOOKUP(B30,'ELC TECH'!H:H,'ELC TECH'!G:G),List!C:C,List!B:B))</f>
        <v>ELCHYD</v>
      </c>
      <c r="D30" t="s">
        <v>544</v>
      </c>
      <c r="E30">
        <f>_xlfn.XLOOKUP(B30,'ELC TECH'!H:H,'ELC TECH'!D:D)</f>
        <v>2020</v>
      </c>
      <c r="F30">
        <f>_xlfn.XLOOKUP(B30,'ELC TECH'!H:H,'ELC TECH'!K:K)</f>
        <v>100</v>
      </c>
      <c r="G30">
        <f t="shared" si="4"/>
        <v>31.535999999999998</v>
      </c>
      <c r="H30">
        <f>IF(_xlfn.XLOOKUP(B30,'ELC TECH'!$H:$H,'ELC TECH'!$E:$E)="Storage",0.3,IF(_xlfn.XLOOKUP(B30,'ELC TECH'!$H:$H,'ELC TECH'!$E:$E)="Baseload",0.9,IF(_xlfn.XLOOKUP(B30,'ELC TECH'!$H:$H,'ELC TECH'!$E:$E)="Non Dispatchable",0.05,IF(_xlfn.XLOOKUP(B30,'ELC TECH'!$H:$H,'ELC TECH'!$E:$E)="Dispatchable",0.9,1))))</f>
        <v>0.9</v>
      </c>
      <c r="I30" s="13">
        <f>IF(_xlfn.XLOOKUP(B30,'ELC TECH'!H:H,'ELC TECH'!J:J)="","",_xlfn.XLOOKUP(B30,'ELC TECH'!H:H,'ELC TECH'!J:J))</f>
        <v>0</v>
      </c>
      <c r="J30" s="12">
        <f>IF(_xlfn.XLOOKUP($B30,'ELC TECH'!$H:$H,'ELC TECH'!$E:$E)="Storage","",IF(_xlfn.XLOOKUP($B30,'ELC TECH'!$H:$H,'ELC TECH'!AK:AK)="",1,_xlfn.XLOOKUP($B30,'ELC TECH'!$H:$H,'ELC TECH'!AK:AK)))</f>
        <v>1</v>
      </c>
      <c r="K30" s="12">
        <f>IF(_xlfn.XLOOKUP($B30,'ELC TECH'!$H:$H,'ELC TECH'!$E:$E)="Storage","",IF(_xlfn.XLOOKUP($B30,'ELC TECH'!$H:$H,'ELC TECH'!AL:AL)="",1,_xlfn.XLOOKUP($B30,'ELC TECH'!$H:$H,'ELC TECH'!AL:AL)))</f>
        <v>1</v>
      </c>
      <c r="L30" s="12">
        <f>IF(_xlfn.XLOOKUP($B30,'ELC TECH'!$H:$H,'ELC TECH'!$E:$E)="Storage","",IF(_xlfn.XLOOKUP($B30,'ELC TECH'!$H:$H,'ELC TECH'!AM:AM)="",1,_xlfn.XLOOKUP($B30,'ELC TECH'!$H:$H,'ELC TECH'!AM:AM)))</f>
        <v>1</v>
      </c>
      <c r="M30" s="12">
        <f>IF(_xlfn.XLOOKUP($B30,'ELC TECH'!$H:$H,'ELC TECH'!$E:$E)="Storage","",IF(_xlfn.XLOOKUP($B30,'ELC TECH'!$H:$H,'ELC TECH'!AN:AN)="",1,_xlfn.XLOOKUP($B30,'ELC TECH'!$H:$H,'ELC TECH'!AN:AN)))</f>
        <v>1</v>
      </c>
      <c r="N30" s="12">
        <f>IF(_xlfn.XLOOKUP($B30,'ELC TECH'!$H:$H,'ELC TECH'!$E:$E)="Storage","",IF(_xlfn.XLOOKUP($B30,'ELC TECH'!$H:$H,'ELC TECH'!AO:AO)="",1,_xlfn.XLOOKUP($B30,'ELC TECH'!$H:$H,'ELC TECH'!AO:AO)))</f>
        <v>1</v>
      </c>
      <c r="O30" s="12">
        <f>IF(_xlfn.XLOOKUP($B30,'ELC TECH'!$H:$H,'ELC TECH'!$E:$E)="Storage","",IF(_xlfn.XLOOKUP($B30,'ELC TECH'!$H:$H,'ELC TECH'!AP:AP)="",1,_xlfn.XLOOKUP($B30,'ELC TECH'!$H:$H,'ELC TECH'!AP:AP)))</f>
        <v>1</v>
      </c>
      <c r="P30" s="12">
        <f>IF(_xlfn.XLOOKUP($B30,'ELC TECH'!$H:$H,'ELC TECH'!$E:$E)="Storage","",IF(_xlfn.XLOOKUP($B30,'ELC TECH'!$H:$H,'ELC TECH'!AQ:AQ)="",1,_xlfn.XLOOKUP($B30,'ELC TECH'!$H:$H,'ELC TECH'!AQ:AQ)))</f>
        <v>1</v>
      </c>
      <c r="Q30" s="12">
        <f>IF(_xlfn.XLOOKUP($B30,'ELC TECH'!$H:$H,'ELC TECH'!$E:$E)="Storage","",IF(_xlfn.XLOOKUP($B30,'ELC TECH'!$H:$H,'ELC TECH'!AR:AR)="",1,_xlfn.XLOOKUP($B30,'ELC TECH'!$H:$H,'ELC TECH'!AR:AR)))</f>
        <v>1</v>
      </c>
      <c r="R30" s="12" t="str">
        <f>IF(_xlfn.XLOOKUP($B30,'ELC TECH'!$H:$H,'ELC TECH'!$E:$E)&lt;&gt;"Storage","",IF(_xlfn.XLOOKUP($B30,'ELC TECH'!$H:$H,'ELC TECH'!AK:AK)="",0.8,_xlfn.XLOOKUP($B30,'ELC TECH'!$H:$H,'ELC TECH'!AK:AK)))</f>
        <v/>
      </c>
      <c r="S30" s="12" t="str">
        <f>IF(_xlfn.XLOOKUP($B30,'ELC TECH'!$H:$H,'ELC TECH'!$E:$E)&lt;&gt;"Storage","",IF(_xlfn.XLOOKUP($B30,'ELC TECH'!$H:$H,'ELC TECH'!AL:AL)="",0.8,_xlfn.XLOOKUP($B30,'ELC TECH'!$H:$H,'ELC TECH'!AL:AL)))</f>
        <v/>
      </c>
      <c r="T30" s="12" t="str">
        <f>IF(_xlfn.XLOOKUP($B30,'ELC TECH'!$H:$H,'ELC TECH'!$E:$E)&lt;&gt;"Storage","",IF(_xlfn.XLOOKUP($B30,'ELC TECH'!$H:$H,'ELC TECH'!AM:AM)="",0.8,_xlfn.XLOOKUP($B30,'ELC TECH'!$H:$H,'ELC TECH'!AM:AM)))</f>
        <v/>
      </c>
      <c r="U30" s="12" t="str">
        <f>IF(_xlfn.XLOOKUP($B30,'ELC TECH'!$H:$H,'ELC TECH'!$E:$E)&lt;&gt;"Storage","",IF(_xlfn.XLOOKUP($B30,'ELC TECH'!$H:$H,'ELC TECH'!AN:AN)="",0.8,_xlfn.XLOOKUP($B30,'ELC TECH'!$H:$H,'ELC TECH'!AN:AN)))</f>
        <v/>
      </c>
      <c r="V30" s="12" t="str">
        <f>IF(_xlfn.XLOOKUP($B30,'ELC TECH'!$H:$H,'ELC TECH'!$E:$E)&lt;&gt;"Storage","",IF(_xlfn.XLOOKUP($B30,'ELC TECH'!$H:$H,'ELC TECH'!AO:AO)="",0.8,_xlfn.XLOOKUP($B30,'ELC TECH'!$H:$H,'ELC TECH'!AO:AO)))</f>
        <v/>
      </c>
      <c r="W30" s="12" t="str">
        <f>IF(_xlfn.XLOOKUP($B30,'ELC TECH'!$H:$H,'ELC TECH'!$E:$E)&lt;&gt;"Storage","",IF(_xlfn.XLOOKUP($B30,'ELC TECH'!$H:$H,'ELC TECH'!AP:AP)="",0.8,_xlfn.XLOOKUP($B30,'ELC TECH'!$H:$H,'ELC TECH'!AP:AP)))</f>
        <v/>
      </c>
      <c r="X30" s="12" t="str">
        <f>IF(_xlfn.XLOOKUP($B30,'ELC TECH'!$H:$H,'ELC TECH'!$E:$E)&lt;&gt;"Storage","",IF(_xlfn.XLOOKUP($B30,'ELC TECH'!$H:$H,'ELC TECH'!AQ:AQ)="",0.8,_xlfn.XLOOKUP($B30,'ELC TECH'!$H:$H,'ELC TECH'!AQ:AQ)))</f>
        <v/>
      </c>
      <c r="Y30" s="12" t="str">
        <f>IF(_xlfn.XLOOKUP($B30,'ELC TECH'!$H:$H,'ELC TECH'!$E:$E)&lt;&gt;"Storage","",IF(_xlfn.XLOOKUP($B30,'ELC TECH'!$H:$H,'ELC TECH'!AR:AR)="",0.8,_xlfn.XLOOKUP($B30,'ELC TECH'!$H:$H,'ELC TECH'!AR:AR)))</f>
        <v/>
      </c>
      <c r="Z30" s="15">
        <f>_xlfn.XLOOKUP($B30,'ELC TECH'!$H:$H,'ELC TECH'!M:M)</f>
        <v>14006.80078622317</v>
      </c>
      <c r="AA30" s="15">
        <f>_xlfn.XLOOKUP($B30,'ELC TECH'!$H:$H,'ELC TECH'!N:N)</f>
        <v>14006.80078622317</v>
      </c>
      <c r="AB30" s="15">
        <f>_xlfn.XLOOKUP($B30,'ELC TECH'!$H:$H,'ELC TECH'!O:O)</f>
        <v>11382.292460977031</v>
      </c>
      <c r="AC30" s="15">
        <f>_xlfn.XLOOKUP($B30,'ELC TECH'!$H:$H,'ELC TECH'!P:P)</f>
        <v>8758.9149019201323</v>
      </c>
      <c r="AD30" s="15">
        <f>_xlfn.XLOOKUP($B30,'ELC TECH'!$H:$H,'ELC TECH'!Q:Q)</f>
        <v>8408.3773832530478</v>
      </c>
      <c r="AE30" s="15">
        <f>_xlfn.XLOOKUP($B30,'ELC TECH'!$H:$H,'ELC TECH'!R:R)</f>
        <v>8408.3773832530478</v>
      </c>
      <c r="AF30" s="15">
        <f>_xlfn.XLOOKUP($B30,'ELC TECH'!$H:$H,'ELC TECH'!S:S)</f>
        <v>8408.3773832530478</v>
      </c>
      <c r="AG30" s="15">
        <f>_xlfn.XLOOKUP($B30,'ELC TECH'!$H:$H,'ELC TECH'!T:T)</f>
        <v>8408.3773832530478</v>
      </c>
      <c r="AH30" s="15">
        <f>_xlfn.XLOOKUP($B30,'ELC TECH'!$H:$H,'ELC TECH'!U:U)</f>
        <v>196.7533169292671</v>
      </c>
      <c r="AI30" s="15">
        <f>_xlfn.XLOOKUP($B30,'ELC TECH'!$H:$H,'ELC TECH'!V:V)</f>
        <v>196.7533169292671</v>
      </c>
      <c r="AJ30" s="15">
        <f>_xlfn.XLOOKUP($B30,'ELC TECH'!$H:$H,'ELC TECH'!W:W)</f>
        <v>196.7533169292671</v>
      </c>
      <c r="AK30" s="15">
        <f>_xlfn.XLOOKUP($B30,'ELC TECH'!$H:$H,'ELC TECH'!X:X)</f>
        <v>196.7533169292671</v>
      </c>
      <c r="AL30" s="15">
        <f>_xlfn.XLOOKUP($B30,'ELC TECH'!$H:$H,'ELC TECH'!Y:Y)</f>
        <v>188.83795360452649</v>
      </c>
      <c r="AM30" s="15">
        <f>_xlfn.XLOOKUP($B30,'ELC TECH'!$H:$H,'ELC TECH'!Z:Z)</f>
        <v>188.83795360452649</v>
      </c>
      <c r="AN30" s="15">
        <f>_xlfn.XLOOKUP($B30,'ELC TECH'!$H:$H,'ELC TECH'!AA:AA)</f>
        <v>188.83795360452649</v>
      </c>
      <c r="AO30" s="15">
        <f>_xlfn.XLOOKUP($B30,'ELC TECH'!$H:$H,'ELC TECH'!AB:AB)</f>
        <v>188.83795360452649</v>
      </c>
      <c r="AP30" s="15">
        <f>_xlfn.XLOOKUP($B30,'ELC TECH'!$H:$H,'ELC TECH'!AC:AC)</f>
        <v>0</v>
      </c>
      <c r="AQ30" s="15">
        <f>_xlfn.XLOOKUP($B30,'ELC TECH'!$H:$H,'ELC TECH'!AD:AD)</f>
        <v>0</v>
      </c>
      <c r="AR30" s="15">
        <f>_xlfn.XLOOKUP($B30,'ELC TECH'!$H:$H,'ELC TECH'!AE:AE)</f>
        <v>0</v>
      </c>
      <c r="AS30" s="15">
        <f>_xlfn.XLOOKUP($B30,'ELC TECH'!$H:$H,'ELC TECH'!AF:AF)</f>
        <v>0</v>
      </c>
      <c r="AT30" s="15">
        <f>_xlfn.XLOOKUP($B30,'ELC TECH'!$H:$H,'ELC TECH'!AG:AG)</f>
        <v>0</v>
      </c>
      <c r="AU30" s="15">
        <f>_xlfn.XLOOKUP($B30,'ELC TECH'!$H:$H,'ELC TECH'!AH:AH)</f>
        <v>0</v>
      </c>
      <c r="AV30" s="15">
        <f>_xlfn.XLOOKUP($B30,'ELC TECH'!$H:$H,'ELC TECH'!AI:AI)</f>
        <v>0</v>
      </c>
      <c r="AW30" s="15">
        <f>_xlfn.XLOOKUP($B30,'ELC TECH'!$H:$H,'ELC TECH'!AJ:AJ)</f>
        <v>0</v>
      </c>
      <c r="AX30" s="12">
        <f>IF(_xlfn.XLOOKUP($B30,'ELC TECH'!$H:$H,'ELC TECH'!$E:$E)="Storage","",_xlfn.XLOOKUP($B30,'ELC TECH'!$H:$H,'ELC TECH'!AS:AS))</f>
        <v>0.37999999999999989</v>
      </c>
      <c r="AY30" s="12">
        <f>IF(_xlfn.XLOOKUP($B30,'ELC TECH'!$H:$H,'ELC TECH'!$E:$E)="Storage","",_xlfn.XLOOKUP($B30,'ELC TECH'!$H:$H,'ELC TECH'!AT:AT))</f>
        <v>0.37999999999999989</v>
      </c>
      <c r="AZ30" s="12">
        <f>IF(_xlfn.XLOOKUP($B30,'ELC TECH'!$H:$H,'ELC TECH'!$E:$E)="Storage","",_xlfn.XLOOKUP($B30,'ELC TECH'!$H:$H,'ELC TECH'!AU:AU))</f>
        <v>0.37999999999999989</v>
      </c>
      <c r="BA30" s="12">
        <f>IF(_xlfn.XLOOKUP($B30,'ELC TECH'!$H:$H,'ELC TECH'!$E:$E)="Storage","",_xlfn.XLOOKUP($B30,'ELC TECH'!$H:$H,'ELC TECH'!AV:AV))</f>
        <v>0.37999999999999989</v>
      </c>
      <c r="BB30" s="12">
        <f>IF(_xlfn.XLOOKUP($B30,'ELC TECH'!$H:$H,'ELC TECH'!$E:$E)="Storage","",_xlfn.XLOOKUP($B30,'ELC TECH'!$H:$H,'ELC TECH'!AW:AW))</f>
        <v>0.37999999999999989</v>
      </c>
      <c r="BC30" s="12">
        <f>IF(_xlfn.XLOOKUP($B30,'ELC TECH'!$H:$H,'ELC TECH'!$E:$E)="Storage","",_xlfn.XLOOKUP($B30,'ELC TECH'!$H:$H,'ELC TECH'!AX:AX))</f>
        <v>0.37999999999999989</v>
      </c>
      <c r="BD30" s="12">
        <f>IF(_xlfn.XLOOKUP($B30,'ELC TECH'!$H:$H,'ELC TECH'!$E:$E)="Storage","",_xlfn.XLOOKUP($B30,'ELC TECH'!$H:$H,'ELC TECH'!AY:AY))</f>
        <v>0.37999999999999989</v>
      </c>
      <c r="BE30" s="12">
        <f>IF(_xlfn.XLOOKUP($B30,'ELC TECH'!$H:$H,'ELC TECH'!$E:$E)="Storage","",_xlfn.XLOOKUP($B30,'ELC TECH'!$H:$H,'ELC TECH'!AZ:AZ))</f>
        <v>0.37999999999999989</v>
      </c>
      <c r="BF30" s="12" t="str">
        <f>IF(_xlfn.XLOOKUP($B30,'ELC TECH'!$H:$H,'ELC TECH'!$E:$E)="Storage",_xlfn.XLOOKUP($B30,'ELC TECH'!$H:$H,'ELC TECH'!AS:AS),"")</f>
        <v/>
      </c>
      <c r="BG30" s="12" t="str">
        <f>IF(_xlfn.XLOOKUP($B30,'ELC TECH'!$H:$H,'ELC TECH'!$E:$E)="Storage",_xlfn.XLOOKUP($B30,'ELC TECH'!$H:$H,'ELC TECH'!AT:AT),"")</f>
        <v/>
      </c>
      <c r="BH30" s="12" t="str">
        <f>IF(_xlfn.XLOOKUP($B30,'ELC TECH'!$H:$H,'ELC TECH'!$E:$E)="Storage",_xlfn.XLOOKUP($B30,'ELC TECH'!$H:$H,'ELC TECH'!AU:AU),"")</f>
        <v/>
      </c>
      <c r="BI30" s="12" t="str">
        <f>IF(_xlfn.XLOOKUP($B30,'ELC TECH'!$H:$H,'ELC TECH'!$E:$E)="Storage",_xlfn.XLOOKUP($B30,'ELC TECH'!$H:$H,'ELC TECH'!AV:AV),"")</f>
        <v/>
      </c>
      <c r="BJ30" s="12" t="str">
        <f>IF(_xlfn.XLOOKUP($B30,'ELC TECH'!$H:$H,'ELC TECH'!$E:$E)="Storage",_xlfn.XLOOKUP($B30,'ELC TECH'!$H:$H,'ELC TECH'!AW:AW),"")</f>
        <v/>
      </c>
      <c r="BK30" s="12" t="str">
        <f>IF(_xlfn.XLOOKUP($B30,'ELC TECH'!$H:$H,'ELC TECH'!$E:$E)="Storage",_xlfn.XLOOKUP($B30,'ELC TECH'!$H:$H,'ELC TECH'!AX:AX),"")</f>
        <v/>
      </c>
      <c r="BL30" s="12" t="str">
        <f>IF(_xlfn.XLOOKUP($B30,'ELC TECH'!$H:$H,'ELC TECH'!$E:$E)="Storage",_xlfn.XLOOKUP($B30,'ELC TECH'!$H:$H,'ELC TECH'!AY:AY),"")</f>
        <v/>
      </c>
      <c r="BM30" s="12" t="str">
        <f>IF(_xlfn.XLOOKUP($B30,'ELC TECH'!$H:$H,'ELC TECH'!$E:$E)="Storage",_xlfn.XLOOKUP($B30,'ELC TECH'!$H:$H,'ELC TECH'!AZ:AZ),"")</f>
        <v/>
      </c>
      <c r="BN30" s="8" t="str">
        <f>IF(_xlfn.XLOOKUP($B30,'ELC TECH'!$H:$H,'ELC TECH'!$E:$E)="Non Dispatchable",IFERROR($AX30*_xlfn.XLOOKUP($C30,$BM$1:$BM$3,BN$1:BN$3)/SUMPRODUCT(_xlfn.XLOOKUP($C30,$BM$1:$BM$3,$BN$1:$BY$3),$BN$4:$BY$4),""),
"")</f>
        <v/>
      </c>
      <c r="BO30" s="8" t="str">
        <f>IF(_xlfn.XLOOKUP($B30,'ELC TECH'!$H:$H,'ELC TECH'!$E:$E)="Non Dispatchable",IFERROR($AX30*_xlfn.XLOOKUP($C30,$BM$1:$BM$3,BO$1:BO$3)/SUMPRODUCT(_xlfn.XLOOKUP($C30,$BM$1:$BM$3,$BN$1:$BY$3),$BN$4:$BY$4),""),
"")</f>
        <v/>
      </c>
      <c r="BP30" s="8" t="str">
        <f>IF(_xlfn.XLOOKUP($B30,'ELC TECH'!$H:$H,'ELC TECH'!$E:$E)="Non Dispatchable",IFERROR($AX30*_xlfn.XLOOKUP($C30,$BM$1:$BM$3,BP$1:BP$3)/SUMPRODUCT(_xlfn.XLOOKUP($C30,$BM$1:$BM$3,$BN$1:$BY$3),$BN$4:$BY$4),""),
"")</f>
        <v/>
      </c>
      <c r="BQ30" s="8" t="str">
        <f>IF(_xlfn.XLOOKUP($B30,'ELC TECH'!$H:$H,'ELC TECH'!$E:$E)="Non Dispatchable",IFERROR($AX30*_xlfn.XLOOKUP($C30,$BM$1:$BM$3,BQ$1:BQ$3)/SUMPRODUCT(_xlfn.XLOOKUP($C30,$BM$1:$BM$3,$BN$1:$BY$3),$BN$4:$BY$4),""),
"")</f>
        <v/>
      </c>
      <c r="BR30" s="8" t="str">
        <f>IF(_xlfn.XLOOKUP($B30,'ELC TECH'!$H:$H,'ELC TECH'!$E:$E)="Non Dispatchable",IFERROR($AX30*_xlfn.XLOOKUP($C30,$BM$1:$BM$3,BR$1:BR$3)/SUMPRODUCT(_xlfn.XLOOKUP($C30,$BM$1:$BM$3,$BN$1:$BY$3),$BN$4:$BY$4),""),
"")</f>
        <v/>
      </c>
      <c r="BS30" s="8" t="str">
        <f>IF(_xlfn.XLOOKUP($B30,'ELC TECH'!$H:$H,'ELC TECH'!$E:$E)="Non Dispatchable",IFERROR($AX30*_xlfn.XLOOKUP($C30,$BM$1:$BM$3,BS$1:BS$3)/SUMPRODUCT(_xlfn.XLOOKUP($C30,$BM$1:$BM$3,$BN$1:$BY$3),$BN$4:$BY$4),""),
"")</f>
        <v/>
      </c>
      <c r="BT30" s="8" t="str">
        <f>IF(_xlfn.XLOOKUP($B30,'ELC TECH'!$H:$H,'ELC TECH'!$E:$E)="Non Dispatchable",IFERROR($AX30*_xlfn.XLOOKUP($C30,$BM$1:$BM$3,BT$1:BT$3)/SUMPRODUCT(_xlfn.XLOOKUP($C30,$BM$1:$BM$3,$BN$1:$BY$3),$BN$4:$BY$4),""),
"")</f>
        <v/>
      </c>
      <c r="BU30" s="8" t="str">
        <f>IF(_xlfn.XLOOKUP($B30,'ELC TECH'!$H:$H,'ELC TECH'!$E:$E)="Non Dispatchable",IFERROR($AX30*_xlfn.XLOOKUP($C30,$BM$1:$BM$3,BU$1:BU$3)/SUMPRODUCT(_xlfn.XLOOKUP($C30,$BM$1:$BM$3,$BN$1:$BY$3),$BN$4:$BY$4),""),
"")</f>
        <v/>
      </c>
      <c r="BV30" s="8" t="str">
        <f>IF(_xlfn.XLOOKUP($B30,'ELC TECH'!$H:$H,'ELC TECH'!$E:$E)="Non Dispatchable",IFERROR($AX30*_xlfn.XLOOKUP($C30,$BM$1:$BM$3,BV$1:BV$3)/SUMPRODUCT(_xlfn.XLOOKUP($C30,$BM$1:$BM$3,$BN$1:$BY$3),$BN$4:$BY$4),""),
"")</f>
        <v/>
      </c>
      <c r="BW30" s="8" t="str">
        <f>IF(_xlfn.XLOOKUP($B30,'ELC TECH'!$H:$H,'ELC TECH'!$E:$E)="Non Dispatchable",IFERROR($AX30*_xlfn.XLOOKUP($C30,$BM$1:$BM$3,BW$1:BW$3)/SUMPRODUCT(_xlfn.XLOOKUP($C30,$BM$1:$BM$3,$BN$1:$BY$3),$BN$4:$BY$4),""),
"")</f>
        <v/>
      </c>
      <c r="BX30" s="8" t="str">
        <f>IF(_xlfn.XLOOKUP($B30,'ELC TECH'!$H:$H,'ELC TECH'!$E:$E)="Non Dispatchable",IFERROR($AX30*_xlfn.XLOOKUP($C30,$BM$1:$BM$3,BX$1:BX$3)/SUMPRODUCT(_xlfn.XLOOKUP($C30,$BM$1:$BM$3,$BN$1:$BY$3),$BN$4:$BY$4),""),
"")</f>
        <v/>
      </c>
      <c r="BY30" s="8" t="str">
        <f>IF(_xlfn.XLOOKUP($B30,'ELC TECH'!$H:$H,'ELC TECH'!$E:$E)="Non Dispatchable",IFERROR($AX30*_xlfn.XLOOKUP($C30,$BM$1:$BM$3,BY$1:BY$3)/SUMPRODUCT(_xlfn.XLOOKUP($C30,$BM$1:$BM$3,$BN$1:$BY$3),$BN$4:$BY$4),""),
"")</f>
        <v/>
      </c>
      <c r="BZ30" s="8" t="str">
        <f>IF(_xlfn.XLOOKUP($B30,'ELC TECH'!$H:$H,'ELC TECH'!$E:$E)="Non Dispatchable",IFERROR($AX30*_xlfn.XLOOKUP($C30,$BM$1:$BM$3,BZ$1:BZ$3)/SUMPRODUCT(_xlfn.XLOOKUP($C30,$BM$1:$BM$3,$BN$1:$BY$3),$BN$4:$BY$4),""),
"")</f>
        <v/>
      </c>
      <c r="CA30" s="8" t="str">
        <f>IF(_xlfn.XLOOKUP($B30,'ELC TECH'!$H:$H,'ELC TECH'!$E:$E)="Non Dispatchable",IFERROR($AX30*_xlfn.XLOOKUP($C30,$BM$1:$BM$3,CA$1:CA$3)/SUMPRODUCT(_xlfn.XLOOKUP($C30,$BM$1:$BM$3,$BN$1:$BY$3),$BN$4:$BY$4),""),
"")</f>
        <v/>
      </c>
      <c r="CB30" s="8" t="str">
        <f>IF(_xlfn.XLOOKUP($B30,'ELC TECH'!$H:$H,'ELC TECH'!$E:$E)="Non Dispatchable",IFERROR($AX30*_xlfn.XLOOKUP($C30,$BM$1:$BM$3,CB$1:CB$3)/SUMPRODUCT(_xlfn.XLOOKUP($C30,$BM$1:$BM$3,$BN$1:$BY$3),$BN$4:$BY$4),""),
"")</f>
        <v/>
      </c>
      <c r="CC30" s="8" t="str">
        <f>IF(_xlfn.XLOOKUP($B30,'ELC TECH'!$H:$H,'ELC TECH'!$E:$E)="Non Dispatchable",IFERROR($AX30*_xlfn.XLOOKUP($C30,$BM$1:$BM$3,CC$1:CC$3)/SUMPRODUCT(_xlfn.XLOOKUP($C30,$BM$1:$BM$3,$BN$1:$BY$3),$BN$4:$BY$4),""),
"")</f>
        <v/>
      </c>
      <c r="CD30" s="8" t="str">
        <f>IF(_xlfn.XLOOKUP($B30,'ELC TECH'!$H:$H,'ELC TECH'!$E:$E)="Non Dispatchable",IFERROR($AX30*_xlfn.XLOOKUP($C30,$BM$1:$BM$3,CD$1:CD$3)/SUMPRODUCT(_xlfn.XLOOKUP($C30,$BM$1:$BM$3,$BN$1:$BY$3),$BN$4:$BY$4),""),
"")</f>
        <v/>
      </c>
      <c r="CE30" s="8" t="str">
        <f>IF(_xlfn.XLOOKUP($B30,'ELC TECH'!$H:$H,'ELC TECH'!$E:$E)="Non Dispatchable",IFERROR($AX30*_xlfn.XLOOKUP($C30,$BM$1:$BM$3,CE$1:CE$3)/SUMPRODUCT(_xlfn.XLOOKUP($C30,$BM$1:$BM$3,$BN$1:$BY$3),$BN$4:$BY$4),""),
"")</f>
        <v/>
      </c>
      <c r="CF30" s="8" t="str">
        <f>IF(_xlfn.XLOOKUP($B30,'ELC TECH'!$H:$H,'ELC TECH'!$E:$E)="Non Dispatchable",IFERROR($AX30*_xlfn.XLOOKUP($C30,$BM$1:$BM$3,CF$1:CF$3)/SUMPRODUCT(_xlfn.XLOOKUP($C30,$BM$1:$BM$3,$BN$1:$BY$3),$BN$4:$BY$4),""),
"")</f>
        <v/>
      </c>
      <c r="CG30" s="8" t="str">
        <f>IF(_xlfn.XLOOKUP($B30,'ELC TECH'!$H:$H,'ELC TECH'!$E:$E)="Non Dispatchable",IFERROR($AX30*_xlfn.XLOOKUP($C30,$BM$1:$BM$3,CG$1:CG$3)/SUMPRODUCT(_xlfn.XLOOKUP($C30,$BM$1:$BM$3,$BN$1:$BY$3),$BN$4:$BY$4),""),
"")</f>
        <v/>
      </c>
      <c r="CH30" s="8" t="str">
        <f>IF(_xlfn.XLOOKUP($B30,'ELC TECH'!$H:$H,'ELC TECH'!$E:$E)="Non Dispatchable",IFERROR($AX30*_xlfn.XLOOKUP($C30,$BM$1:$BM$3,CH$1:CH$3)/SUMPRODUCT(_xlfn.XLOOKUP($C30,$BM$1:$BM$3,$BN$1:$BY$3),$BN$4:$BY$4),""),
"")</f>
        <v/>
      </c>
      <c r="CI30" s="8" t="str">
        <f>IF(_xlfn.XLOOKUP($B30,'ELC TECH'!$H:$H,'ELC TECH'!$E:$E)="Non Dispatchable",IFERROR($AX30*_xlfn.XLOOKUP($C30,$BM$1:$BM$3,CI$1:CI$3)/SUMPRODUCT(_xlfn.XLOOKUP($C30,$BM$1:$BM$3,$BN$1:$BY$3),$BN$4:$BY$4),""),
"")</f>
        <v/>
      </c>
      <c r="CJ30" s="8" t="str">
        <f>IF(_xlfn.XLOOKUP($B30,'ELC TECH'!$H:$H,'ELC TECH'!$E:$E)="Non Dispatchable",IFERROR($AX30*_xlfn.XLOOKUP($C30,$BM$1:$BM$3,CJ$1:CJ$3)/SUMPRODUCT(_xlfn.XLOOKUP($C30,$BM$1:$BM$3,$BN$1:$BY$3),$BN$4:$BY$4),""),
"")</f>
        <v/>
      </c>
      <c r="CK30" s="8" t="str">
        <f>IF(_xlfn.XLOOKUP($B30,'ELC TECH'!$H:$H,'ELC TECH'!$E:$E)="Non Dispatchable",IFERROR($AX30*_xlfn.XLOOKUP($C30,$BM$1:$BM$3,CK$1:CK$3)/SUMPRODUCT(_xlfn.XLOOKUP($C30,$BM$1:$BM$3,$BN$1:$BY$3),$BN$4:$BY$4),""),
"")</f>
        <v/>
      </c>
      <c r="CL30" s="8" t="str">
        <f>IF(_xlfn.XLOOKUP($B30,'ELC TECH'!$H:$H,'ELC TECH'!$E:$E)="Storage",CL$4*$BF30,"")</f>
        <v/>
      </c>
      <c r="CM30" s="8" t="str">
        <f>IF(_xlfn.XLOOKUP($B30,'ELC TECH'!$H:$H,'ELC TECH'!$E:$E)="Storage",CM$4*$BF30,"")</f>
        <v/>
      </c>
      <c r="CN30" s="8" t="str">
        <f>IF(_xlfn.XLOOKUP($B30,'ELC TECH'!$H:$H,'ELC TECH'!$E:$E)="Storage",CN$4*$BF30,"")</f>
        <v/>
      </c>
      <c r="CO30" s="8" t="str">
        <f>IF(_xlfn.XLOOKUP($B30,'ELC TECH'!$H:$H,'ELC TECH'!$E:$E)="Storage",CO$4*$BF30,"")</f>
        <v/>
      </c>
      <c r="CP30" s="8" t="str">
        <f>IF(_xlfn.XLOOKUP($B30,'ELC TECH'!$H:$H,'ELC TECH'!$E:$E)="Storage",CP$4*$BF30,"")</f>
        <v/>
      </c>
      <c r="CQ30" s="8" t="str">
        <f>IF(_xlfn.XLOOKUP($B30,'ELC TECH'!$H:$H,'ELC TECH'!$E:$E)="Storage",CQ$4*$BF30,"")</f>
        <v/>
      </c>
      <c r="CR30" s="8" t="str">
        <f>IF(_xlfn.XLOOKUP($B30,'ELC TECH'!$H:$H,'ELC TECH'!$E:$E)="Storage",CR$4*$BF30,"")</f>
        <v/>
      </c>
      <c r="CS30" s="8" t="str">
        <f>IF(_xlfn.XLOOKUP($B30,'ELC TECH'!$H:$H,'ELC TECH'!$E:$E)="Storage",CS$4*$BF30,"")</f>
        <v/>
      </c>
      <c r="CT30" s="8" t="str">
        <f>IF(_xlfn.XLOOKUP($B30,'ELC TECH'!$H:$H,'ELC TECH'!$E:$E)="Storage",CT$4*$BF30,"")</f>
        <v/>
      </c>
      <c r="CU30" s="8" t="str">
        <f>IF(_xlfn.XLOOKUP($B30,'ELC TECH'!$H:$H,'ELC TECH'!$E:$E)="Storage",CU$4*$BF30,"")</f>
        <v/>
      </c>
      <c r="CV30" s="8" t="str">
        <f>IF(_xlfn.XLOOKUP($B30,'ELC TECH'!$H:$H,'ELC TECH'!$E:$E)="Storage",CV$4*$BF30,"")</f>
        <v/>
      </c>
      <c r="CW30" s="8" t="str">
        <f>IF(_xlfn.XLOOKUP($B30,'ELC TECH'!$H:$H,'ELC TECH'!$E:$E)="Storage",CW$4*$BF30,"")</f>
        <v/>
      </c>
      <c r="CX30" s="8" t="str">
        <f>IF(_xlfn.XLOOKUP($B30,'ELC TECH'!$H:$H,'ELC TECH'!$E:$E)="Storage",CX$4*$BF30,"")</f>
        <v/>
      </c>
      <c r="CY30" s="8" t="str">
        <f>IF(_xlfn.XLOOKUP($B30,'ELC TECH'!$H:$H,'ELC TECH'!$E:$E)="Storage",CY$4*$BF30,"")</f>
        <v/>
      </c>
      <c r="CZ30" s="8" t="str">
        <f>IF(_xlfn.XLOOKUP($B30,'ELC TECH'!$H:$H,'ELC TECH'!$E:$E)="Storage",CZ$4*$BF30,"")</f>
        <v/>
      </c>
      <c r="DA30" s="8" t="str">
        <f>IF(_xlfn.XLOOKUP($B30,'ELC TECH'!$H:$H,'ELC TECH'!$E:$E)="Storage",DA$4*$BF30,"")</f>
        <v/>
      </c>
      <c r="DB30" s="8" t="str">
        <f>IF(_xlfn.XLOOKUP($B30,'ELC TECH'!$H:$H,'ELC TECH'!$E:$E)="Storage",DB$4*$BF30,"")</f>
        <v/>
      </c>
      <c r="DC30" s="8" t="str">
        <f>IF(_xlfn.XLOOKUP($B30,'ELC TECH'!$H:$H,'ELC TECH'!$E:$E)="Storage",DC$4*$BF30,"")</f>
        <v/>
      </c>
      <c r="DD30" s="8" t="str">
        <f>IF(_xlfn.XLOOKUP($B30,'ELC TECH'!$H:$H,'ELC TECH'!$E:$E)="Storage",DD$4*$BF30,"")</f>
        <v/>
      </c>
      <c r="DE30" s="8" t="str">
        <f>IF(_xlfn.XLOOKUP($B30,'ELC TECH'!$H:$H,'ELC TECH'!$E:$E)="Storage",DE$4*$BF30,"")</f>
        <v/>
      </c>
      <c r="DF30" s="8" t="str">
        <f>IF(_xlfn.XLOOKUP($B30,'ELC TECH'!$H:$H,'ELC TECH'!$E:$E)="Storage",DF$4*$BF30,"")</f>
        <v/>
      </c>
      <c r="DG30" s="8" t="str">
        <f>IF(_xlfn.XLOOKUP($B30,'ELC TECH'!$H:$H,'ELC TECH'!$E:$E)="Storage",DG$4*$BF30,"")</f>
        <v/>
      </c>
      <c r="DH30" s="8" t="str">
        <f>IF(_xlfn.XLOOKUP($B30,'ELC TECH'!$H:$H,'ELC TECH'!$E:$E)="Storage",DH$4*$BF30,"")</f>
        <v/>
      </c>
      <c r="DI30" s="8" t="str">
        <f>IF(_xlfn.XLOOKUP($B30,'ELC TECH'!$H:$H,'ELC TECH'!$E:$E)="Storage",DI$4*$BF30,"")</f>
        <v/>
      </c>
    </row>
    <row r="31" spans="2:113" x14ac:dyDescent="0.25">
      <c r="B31" t="str">
        <f>IF('ELC TECH'!I24=0,"*",'ELC TECH'!H24)</f>
        <v>ELCHYDGRDHUPNDC120</v>
      </c>
      <c r="C31" t="str">
        <f>IF(_xlfn.XLOOKUP(_xlfn.XLOOKUP(B31,'ELC TECH'!$H:$H,'ELC TECH'!$G:$G),List!C:C,List!B:B)="STG",D31,"ELC"&amp;_xlfn.XLOOKUP(_xlfn.XLOOKUP(B31,'ELC TECH'!H:H,'ELC TECH'!G:G),List!C:C,List!B:B))</f>
        <v>ELCHYD</v>
      </c>
      <c r="D31" t="s">
        <v>544</v>
      </c>
      <c r="E31">
        <f>_xlfn.XLOOKUP(B31,'ELC TECH'!H:H,'ELC TECH'!D:D)</f>
        <v>2020</v>
      </c>
      <c r="F31">
        <f>_xlfn.XLOOKUP(B31,'ELC TECH'!H:H,'ELC TECH'!K:K)</f>
        <v>100</v>
      </c>
      <c r="G31">
        <f t="shared" si="4"/>
        <v>31.535999999999998</v>
      </c>
      <c r="H31">
        <f>IF(_xlfn.XLOOKUP(B31,'ELC TECH'!$H:$H,'ELC TECH'!$E:$E)="Storage",0.3,IF(_xlfn.XLOOKUP(B31,'ELC TECH'!$H:$H,'ELC TECH'!$E:$E)="Baseload",0.9,IF(_xlfn.XLOOKUP(B31,'ELC TECH'!$H:$H,'ELC TECH'!$E:$E)="Non Dispatchable",0.05,IF(_xlfn.XLOOKUP(B31,'ELC TECH'!$H:$H,'ELC TECH'!$E:$E)="Dispatchable",0.9,1))))</f>
        <v>0.05</v>
      </c>
      <c r="I31" s="13">
        <f>IF(_xlfn.XLOOKUP(B31,'ELC TECH'!H:H,'ELC TECH'!J:J)="","",_xlfn.XLOOKUP(B31,'ELC TECH'!H:H,'ELC TECH'!J:J))</f>
        <v>0</v>
      </c>
      <c r="J31" s="12">
        <f>IF(_xlfn.XLOOKUP($B31,'ELC TECH'!$H:$H,'ELC TECH'!$E:$E)="Storage","",IF(_xlfn.XLOOKUP($B31,'ELC TECH'!$H:$H,'ELC TECH'!AK:AK)="",1,_xlfn.XLOOKUP($B31,'ELC TECH'!$H:$H,'ELC TECH'!AK:AK)))</f>
        <v>1</v>
      </c>
      <c r="K31" s="12">
        <f>IF(_xlfn.XLOOKUP($B31,'ELC TECH'!$H:$H,'ELC TECH'!$E:$E)="Storage","",IF(_xlfn.XLOOKUP($B31,'ELC TECH'!$H:$H,'ELC TECH'!AL:AL)="",1,_xlfn.XLOOKUP($B31,'ELC TECH'!$H:$H,'ELC TECH'!AL:AL)))</f>
        <v>1</v>
      </c>
      <c r="L31" s="12">
        <f>IF(_xlfn.XLOOKUP($B31,'ELC TECH'!$H:$H,'ELC TECH'!$E:$E)="Storage","",IF(_xlfn.XLOOKUP($B31,'ELC TECH'!$H:$H,'ELC TECH'!AM:AM)="",1,_xlfn.XLOOKUP($B31,'ELC TECH'!$H:$H,'ELC TECH'!AM:AM)))</f>
        <v>1</v>
      </c>
      <c r="M31" s="12">
        <f>IF(_xlfn.XLOOKUP($B31,'ELC TECH'!$H:$H,'ELC TECH'!$E:$E)="Storage","",IF(_xlfn.XLOOKUP($B31,'ELC TECH'!$H:$H,'ELC TECH'!AN:AN)="",1,_xlfn.XLOOKUP($B31,'ELC TECH'!$H:$H,'ELC TECH'!AN:AN)))</f>
        <v>1</v>
      </c>
      <c r="N31" s="12">
        <f>IF(_xlfn.XLOOKUP($B31,'ELC TECH'!$H:$H,'ELC TECH'!$E:$E)="Storage","",IF(_xlfn.XLOOKUP($B31,'ELC TECH'!$H:$H,'ELC TECH'!AO:AO)="",1,_xlfn.XLOOKUP($B31,'ELC TECH'!$H:$H,'ELC TECH'!AO:AO)))</f>
        <v>1</v>
      </c>
      <c r="O31" s="12">
        <f>IF(_xlfn.XLOOKUP($B31,'ELC TECH'!$H:$H,'ELC TECH'!$E:$E)="Storage","",IF(_xlfn.XLOOKUP($B31,'ELC TECH'!$H:$H,'ELC TECH'!AP:AP)="",1,_xlfn.XLOOKUP($B31,'ELC TECH'!$H:$H,'ELC TECH'!AP:AP)))</f>
        <v>1</v>
      </c>
      <c r="P31" s="12">
        <f>IF(_xlfn.XLOOKUP($B31,'ELC TECH'!$H:$H,'ELC TECH'!$E:$E)="Storage","",IF(_xlfn.XLOOKUP($B31,'ELC TECH'!$H:$H,'ELC TECH'!AQ:AQ)="",1,_xlfn.XLOOKUP($B31,'ELC TECH'!$H:$H,'ELC TECH'!AQ:AQ)))</f>
        <v>1</v>
      </c>
      <c r="Q31" s="12">
        <f>IF(_xlfn.XLOOKUP($B31,'ELC TECH'!$H:$H,'ELC TECH'!$E:$E)="Storage","",IF(_xlfn.XLOOKUP($B31,'ELC TECH'!$H:$H,'ELC TECH'!AR:AR)="",1,_xlfn.XLOOKUP($B31,'ELC TECH'!$H:$H,'ELC TECH'!AR:AR)))</f>
        <v>1</v>
      </c>
      <c r="R31" s="12" t="str">
        <f>IF(_xlfn.XLOOKUP($B31,'ELC TECH'!$H:$H,'ELC TECH'!$E:$E)&lt;&gt;"Storage","",IF(_xlfn.XLOOKUP($B31,'ELC TECH'!$H:$H,'ELC TECH'!AK:AK)="",0.8,_xlfn.XLOOKUP($B31,'ELC TECH'!$H:$H,'ELC TECH'!AK:AK)))</f>
        <v/>
      </c>
      <c r="S31" s="12" t="str">
        <f>IF(_xlfn.XLOOKUP($B31,'ELC TECH'!$H:$H,'ELC TECH'!$E:$E)&lt;&gt;"Storage","",IF(_xlfn.XLOOKUP($B31,'ELC TECH'!$H:$H,'ELC TECH'!AL:AL)="",0.8,_xlfn.XLOOKUP($B31,'ELC TECH'!$H:$H,'ELC TECH'!AL:AL)))</f>
        <v/>
      </c>
      <c r="T31" s="12" t="str">
        <f>IF(_xlfn.XLOOKUP($B31,'ELC TECH'!$H:$H,'ELC TECH'!$E:$E)&lt;&gt;"Storage","",IF(_xlfn.XLOOKUP($B31,'ELC TECH'!$H:$H,'ELC TECH'!AM:AM)="",0.8,_xlfn.XLOOKUP($B31,'ELC TECH'!$H:$H,'ELC TECH'!AM:AM)))</f>
        <v/>
      </c>
      <c r="U31" s="12" t="str">
        <f>IF(_xlfn.XLOOKUP($B31,'ELC TECH'!$H:$H,'ELC TECH'!$E:$E)&lt;&gt;"Storage","",IF(_xlfn.XLOOKUP($B31,'ELC TECH'!$H:$H,'ELC TECH'!AN:AN)="",0.8,_xlfn.XLOOKUP($B31,'ELC TECH'!$H:$H,'ELC TECH'!AN:AN)))</f>
        <v/>
      </c>
      <c r="V31" s="12" t="str">
        <f>IF(_xlfn.XLOOKUP($B31,'ELC TECH'!$H:$H,'ELC TECH'!$E:$E)&lt;&gt;"Storage","",IF(_xlfn.XLOOKUP($B31,'ELC TECH'!$H:$H,'ELC TECH'!AO:AO)="",0.8,_xlfn.XLOOKUP($B31,'ELC TECH'!$H:$H,'ELC TECH'!AO:AO)))</f>
        <v/>
      </c>
      <c r="W31" s="12" t="str">
        <f>IF(_xlfn.XLOOKUP($B31,'ELC TECH'!$H:$H,'ELC TECH'!$E:$E)&lt;&gt;"Storage","",IF(_xlfn.XLOOKUP($B31,'ELC TECH'!$H:$H,'ELC TECH'!AP:AP)="",0.8,_xlfn.XLOOKUP($B31,'ELC TECH'!$H:$H,'ELC TECH'!AP:AP)))</f>
        <v/>
      </c>
      <c r="X31" s="12" t="str">
        <f>IF(_xlfn.XLOOKUP($B31,'ELC TECH'!$H:$H,'ELC TECH'!$E:$E)&lt;&gt;"Storage","",IF(_xlfn.XLOOKUP($B31,'ELC TECH'!$H:$H,'ELC TECH'!AQ:AQ)="",0.8,_xlfn.XLOOKUP($B31,'ELC TECH'!$H:$H,'ELC TECH'!AQ:AQ)))</f>
        <v/>
      </c>
      <c r="Y31" s="12" t="str">
        <f>IF(_xlfn.XLOOKUP($B31,'ELC TECH'!$H:$H,'ELC TECH'!$E:$E)&lt;&gt;"Storage","",IF(_xlfn.XLOOKUP($B31,'ELC TECH'!$H:$H,'ELC TECH'!AR:AR)="",0.8,_xlfn.XLOOKUP($B31,'ELC TECH'!$H:$H,'ELC TECH'!AR:AR)))</f>
        <v/>
      </c>
      <c r="Z31" s="15">
        <f>_xlfn.XLOOKUP($B31,'ELC TECH'!$H:$H,'ELC TECH'!M:M)</f>
        <v>3188.760653681225</v>
      </c>
      <c r="AA31" s="15">
        <f>_xlfn.XLOOKUP($B31,'ELC TECH'!$H:$H,'ELC TECH'!N:N)</f>
        <v>3188.760653681225</v>
      </c>
      <c r="AB31" s="15">
        <f>_xlfn.XLOOKUP($B31,'ELC TECH'!$H:$H,'ELC TECH'!O:O)</f>
        <v>3188.760653681225</v>
      </c>
      <c r="AC31" s="15">
        <f>_xlfn.XLOOKUP($B31,'ELC TECH'!$H:$H,'ELC TECH'!P:P)</f>
        <v>3188.760653681225</v>
      </c>
      <c r="AD31" s="15">
        <f>_xlfn.XLOOKUP($B31,'ELC TECH'!$H:$H,'ELC TECH'!Q:Q)</f>
        <v>3060.9840742961269</v>
      </c>
      <c r="AE31" s="15">
        <f>_xlfn.XLOOKUP($B31,'ELC TECH'!$H:$H,'ELC TECH'!R:R)</f>
        <v>3060.9840742961269</v>
      </c>
      <c r="AF31" s="15">
        <f>_xlfn.XLOOKUP($B31,'ELC TECH'!$H:$H,'ELC TECH'!S:S)</f>
        <v>3060.9840742961269</v>
      </c>
      <c r="AG31" s="15">
        <f>_xlfn.XLOOKUP($B31,'ELC TECH'!$H:$H,'ELC TECH'!T:T)</f>
        <v>3060.9840742961269</v>
      </c>
      <c r="AH31" s="15">
        <f>_xlfn.XLOOKUP($B31,'ELC TECH'!$H:$H,'ELC TECH'!U:U)</f>
        <v>96.115126086136229</v>
      </c>
      <c r="AI31" s="15">
        <f>_xlfn.XLOOKUP($B31,'ELC TECH'!$H:$H,'ELC TECH'!V:V)</f>
        <v>96.115126086136229</v>
      </c>
      <c r="AJ31" s="15">
        <f>_xlfn.XLOOKUP($B31,'ELC TECH'!$H:$H,'ELC TECH'!W:W)</f>
        <v>96.115126086136229</v>
      </c>
      <c r="AK31" s="15">
        <f>_xlfn.XLOOKUP($B31,'ELC TECH'!$H:$H,'ELC TECH'!X:X)</f>
        <v>96.115126086136229</v>
      </c>
      <c r="AL31" s="15">
        <f>_xlfn.XLOOKUP($B31,'ELC TECH'!$H:$H,'ELC TECH'!Y:Y)</f>
        <v>92.722827518390247</v>
      </c>
      <c r="AM31" s="15">
        <f>_xlfn.XLOOKUP($B31,'ELC TECH'!$H:$H,'ELC TECH'!Z:Z)</f>
        <v>92.722827518390247</v>
      </c>
      <c r="AN31" s="15">
        <f>_xlfn.XLOOKUP($B31,'ELC TECH'!$H:$H,'ELC TECH'!AA:AA)</f>
        <v>92.722827518390247</v>
      </c>
      <c r="AO31" s="15">
        <f>_xlfn.XLOOKUP($B31,'ELC TECH'!$H:$H,'ELC TECH'!AB:AB)</f>
        <v>92.722827518390247</v>
      </c>
      <c r="AP31" s="15">
        <f>_xlfn.XLOOKUP($B31,'ELC TECH'!$H:$H,'ELC TECH'!AC:AC)</f>
        <v>0</v>
      </c>
      <c r="AQ31" s="15">
        <f>_xlfn.XLOOKUP($B31,'ELC TECH'!$H:$H,'ELC TECH'!AD:AD)</f>
        <v>0</v>
      </c>
      <c r="AR31" s="15">
        <f>_xlfn.XLOOKUP($B31,'ELC TECH'!$H:$H,'ELC TECH'!AE:AE)</f>
        <v>0</v>
      </c>
      <c r="AS31" s="15">
        <f>_xlfn.XLOOKUP($B31,'ELC TECH'!$H:$H,'ELC TECH'!AF:AF)</f>
        <v>0</v>
      </c>
      <c r="AT31" s="15">
        <f>_xlfn.XLOOKUP($B31,'ELC TECH'!$H:$H,'ELC TECH'!AG:AG)</f>
        <v>0</v>
      </c>
      <c r="AU31" s="15">
        <f>_xlfn.XLOOKUP($B31,'ELC TECH'!$H:$H,'ELC TECH'!AH:AH)</f>
        <v>0</v>
      </c>
      <c r="AV31" s="15">
        <f>_xlfn.XLOOKUP($B31,'ELC TECH'!$H:$H,'ELC TECH'!AI:AI)</f>
        <v>0</v>
      </c>
      <c r="AW31" s="15">
        <f>_xlfn.XLOOKUP($B31,'ELC TECH'!$H:$H,'ELC TECH'!AJ:AJ)</f>
        <v>0</v>
      </c>
      <c r="AX31" s="12">
        <f>IF(_xlfn.XLOOKUP($B31,'ELC TECH'!$H:$H,'ELC TECH'!$E:$E)="Storage","",_xlfn.XLOOKUP($B31,'ELC TECH'!$H:$H,'ELC TECH'!AS:AS))</f>
        <v>0.33</v>
      </c>
      <c r="AY31" s="12">
        <f>IF(_xlfn.XLOOKUP($B31,'ELC TECH'!$H:$H,'ELC TECH'!$E:$E)="Storage","",_xlfn.XLOOKUP($B31,'ELC TECH'!$H:$H,'ELC TECH'!AT:AT))</f>
        <v>0.33</v>
      </c>
      <c r="AZ31" s="12">
        <f>IF(_xlfn.XLOOKUP($B31,'ELC TECH'!$H:$H,'ELC TECH'!$E:$E)="Storage","",_xlfn.XLOOKUP($B31,'ELC TECH'!$H:$H,'ELC TECH'!AU:AU))</f>
        <v>0.33</v>
      </c>
      <c r="BA31" s="12">
        <f>IF(_xlfn.XLOOKUP($B31,'ELC TECH'!$H:$H,'ELC TECH'!$E:$E)="Storage","",_xlfn.XLOOKUP($B31,'ELC TECH'!$H:$H,'ELC TECH'!AV:AV))</f>
        <v>0.33</v>
      </c>
      <c r="BB31" s="12">
        <f>IF(_xlfn.XLOOKUP($B31,'ELC TECH'!$H:$H,'ELC TECH'!$E:$E)="Storage","",_xlfn.XLOOKUP($B31,'ELC TECH'!$H:$H,'ELC TECH'!AW:AW))</f>
        <v>0.33</v>
      </c>
      <c r="BC31" s="12">
        <f>IF(_xlfn.XLOOKUP($B31,'ELC TECH'!$H:$H,'ELC TECH'!$E:$E)="Storage","",_xlfn.XLOOKUP($B31,'ELC TECH'!$H:$H,'ELC TECH'!AX:AX))</f>
        <v>0.33</v>
      </c>
      <c r="BD31" s="12">
        <f>IF(_xlfn.XLOOKUP($B31,'ELC TECH'!$H:$H,'ELC TECH'!$E:$E)="Storage","",_xlfn.XLOOKUP($B31,'ELC TECH'!$H:$H,'ELC TECH'!AY:AY))</f>
        <v>0.33</v>
      </c>
      <c r="BE31" s="12">
        <f>IF(_xlfn.XLOOKUP($B31,'ELC TECH'!$H:$H,'ELC TECH'!$E:$E)="Storage","",_xlfn.XLOOKUP($B31,'ELC TECH'!$H:$H,'ELC TECH'!AZ:AZ))</f>
        <v>0.33</v>
      </c>
      <c r="BF31" s="12" t="str">
        <f>IF(_xlfn.XLOOKUP($B31,'ELC TECH'!$H:$H,'ELC TECH'!$E:$E)="Storage",_xlfn.XLOOKUP($B31,'ELC TECH'!$H:$H,'ELC TECH'!AS:AS),"")</f>
        <v/>
      </c>
      <c r="BG31" s="12" t="str">
        <f>IF(_xlfn.XLOOKUP($B31,'ELC TECH'!$H:$H,'ELC TECH'!$E:$E)="Storage",_xlfn.XLOOKUP($B31,'ELC TECH'!$H:$H,'ELC TECH'!AT:AT),"")</f>
        <v/>
      </c>
      <c r="BH31" s="12" t="str">
        <f>IF(_xlfn.XLOOKUP($B31,'ELC TECH'!$H:$H,'ELC TECH'!$E:$E)="Storage",_xlfn.XLOOKUP($B31,'ELC TECH'!$H:$H,'ELC TECH'!AU:AU),"")</f>
        <v/>
      </c>
      <c r="BI31" s="12" t="str">
        <f>IF(_xlfn.XLOOKUP($B31,'ELC TECH'!$H:$H,'ELC TECH'!$E:$E)="Storage",_xlfn.XLOOKUP($B31,'ELC TECH'!$H:$H,'ELC TECH'!AV:AV),"")</f>
        <v/>
      </c>
      <c r="BJ31" s="12" t="str">
        <f>IF(_xlfn.XLOOKUP($B31,'ELC TECH'!$H:$H,'ELC TECH'!$E:$E)="Storage",_xlfn.XLOOKUP($B31,'ELC TECH'!$H:$H,'ELC TECH'!AW:AW),"")</f>
        <v/>
      </c>
      <c r="BK31" s="12" t="str">
        <f>IF(_xlfn.XLOOKUP($B31,'ELC TECH'!$H:$H,'ELC TECH'!$E:$E)="Storage",_xlfn.XLOOKUP($B31,'ELC TECH'!$H:$H,'ELC TECH'!AX:AX),"")</f>
        <v/>
      </c>
      <c r="BL31" s="12" t="str">
        <f>IF(_xlfn.XLOOKUP($B31,'ELC TECH'!$H:$H,'ELC TECH'!$E:$E)="Storage",_xlfn.XLOOKUP($B31,'ELC TECH'!$H:$H,'ELC TECH'!AY:AY),"")</f>
        <v/>
      </c>
      <c r="BM31" s="12" t="str">
        <f>IF(_xlfn.XLOOKUP($B31,'ELC TECH'!$H:$H,'ELC TECH'!$E:$E)="Storage",_xlfn.XLOOKUP($B31,'ELC TECH'!$H:$H,'ELC TECH'!AZ:AZ),"")</f>
        <v/>
      </c>
      <c r="BN31" s="8">
        <f>IF(_xlfn.XLOOKUP($B31,'ELC TECH'!$H:$H,'ELC TECH'!$E:$E)="Non Dispatchable",IFERROR($AX31*_xlfn.XLOOKUP($C31,$BM$1:$BM$3,BN$1:BN$3)/SUMPRODUCT(_xlfn.XLOOKUP($C31,$BM$1:$BM$3,$BN$1:$BY$3),$BN$4:$BY$4),""),
"")</f>
        <v>0.23802061195673199</v>
      </c>
      <c r="BO31" s="8">
        <f>IF(_xlfn.XLOOKUP($B31,'ELC TECH'!$H:$H,'ELC TECH'!$E:$E)="Non Dispatchable",IFERROR($AX31*_xlfn.XLOOKUP($C31,$BM$1:$BM$3,BO$1:BO$3)/SUMPRODUCT(_xlfn.XLOOKUP($C31,$BM$1:$BM$3,$BN$1:$BY$3),$BN$4:$BY$4),""),
"")</f>
        <v>0.27711158837298355</v>
      </c>
      <c r="BP31" s="8">
        <f>IF(_xlfn.XLOOKUP($B31,'ELC TECH'!$H:$H,'ELC TECH'!$E:$E)="Non Dispatchable",IFERROR($AX31*_xlfn.XLOOKUP($C31,$BM$1:$BM$3,BP$1:BP$3)/SUMPRODUCT(_xlfn.XLOOKUP($C31,$BM$1:$BM$3,$BN$1:$BY$3),$BN$4:$BY$4),""),
"")</f>
        <v>0.44361019162738857</v>
      </c>
      <c r="BQ31" s="8">
        <f>IF(_xlfn.XLOOKUP($B31,'ELC TECH'!$H:$H,'ELC TECH'!$E:$E)="Non Dispatchable",IFERROR($AX31*_xlfn.XLOOKUP($C31,$BM$1:$BM$3,BQ$1:BQ$3)/SUMPRODUCT(_xlfn.XLOOKUP($C31,$BM$1:$BM$3,$BN$1:$BY$3),$BN$4:$BY$4),""),
"")</f>
        <v>9.2660092245929731E-3</v>
      </c>
      <c r="BR31" s="8">
        <f>IF(_xlfn.XLOOKUP($B31,'ELC TECH'!$H:$H,'ELC TECH'!$E:$E)="Non Dispatchable",IFERROR($AX31*_xlfn.XLOOKUP($C31,$BM$1:$BM$3,BR$1:BR$3)/SUMPRODUCT(_xlfn.XLOOKUP($C31,$BM$1:$BM$3,$BN$1:$BY$3),$BN$4:$BY$4),""),
"")</f>
        <v>0.2359936724388523</v>
      </c>
      <c r="BS31" s="8">
        <f>IF(_xlfn.XLOOKUP($B31,'ELC TECH'!$H:$H,'ELC TECH'!$E:$E)="Non Dispatchable",IFERROR($AX31*_xlfn.XLOOKUP($C31,$BM$1:$BM$3,BS$1:BS$3)/SUMPRODUCT(_xlfn.XLOOKUP($C31,$BM$1:$BM$3,$BN$1:$BY$3),$BN$4:$BY$4),""),
"")</f>
        <v>0.31475475084789256</v>
      </c>
      <c r="BT31" s="8">
        <f>IF(_xlfn.XLOOKUP($B31,'ELC TECH'!$H:$H,'ELC TECH'!$E:$E)="Non Dispatchable",IFERROR($AX31*_xlfn.XLOOKUP($C31,$BM$1:$BM$3,BT$1:BT$3)/SUMPRODUCT(_xlfn.XLOOKUP($C31,$BM$1:$BM$3,$BN$1:$BY$3),$BN$4:$BY$4),""),
"")</f>
        <v>0.3998862105988405</v>
      </c>
      <c r="BU31" s="8">
        <f>IF(_xlfn.XLOOKUP($B31,'ELC TECH'!$H:$H,'ELC TECH'!$E:$E)="Non Dispatchable",IFERROR($AX31*_xlfn.XLOOKUP($C31,$BM$1:$BM$3,BU$1:BU$3)/SUMPRODUCT(_xlfn.XLOOKUP($C31,$BM$1:$BM$3,$BN$1:$BY$3),$BN$4:$BY$4),""),
"")</f>
        <v>9.2660092245929731E-3</v>
      </c>
      <c r="BV31" s="8">
        <f>IF(_xlfn.XLOOKUP($B31,'ELC TECH'!$H:$H,'ELC TECH'!$E:$E)="Non Dispatchable",IFERROR($AX31*_xlfn.XLOOKUP($C31,$BM$1:$BM$3,BV$1:BV$3)/SUMPRODUCT(_xlfn.XLOOKUP($C31,$BM$1:$BM$3,$BN$1:$BY$3),$BN$4:$BY$4),""),
"")</f>
        <v>0.28232371856181715</v>
      </c>
      <c r="BW31" s="8">
        <f>IF(_xlfn.XLOOKUP($B31,'ELC TECH'!$H:$H,'ELC TECH'!$E:$E)="Non Dispatchable",IFERROR($AX31*_xlfn.XLOOKUP($C31,$BM$1:$BM$3,BW$1:BW$3)/SUMPRODUCT(_xlfn.XLOOKUP($C31,$BM$1:$BM$3,$BN$1:$BY$3),$BN$4:$BY$4),""),
"")</f>
        <v>0.31475475084789256</v>
      </c>
      <c r="BX31" s="8">
        <f>IF(_xlfn.XLOOKUP($B31,'ELC TECH'!$H:$H,'ELC TECH'!$E:$E)="Non Dispatchable",IFERROR($AX31*_xlfn.XLOOKUP($C31,$BM$1:$BM$3,BX$1:BX$3)/SUMPRODUCT(_xlfn.XLOOKUP($C31,$BM$1:$BM$3,$BN$1:$BY$3),$BN$4:$BY$4),""),
"")</f>
        <v>0.36282217370046854</v>
      </c>
      <c r="BY31" s="8">
        <f>IF(_xlfn.XLOOKUP($B31,'ELC TECH'!$H:$H,'ELC TECH'!$E:$E)="Non Dispatchable",IFERROR($AX31*_xlfn.XLOOKUP($C31,$BM$1:$BM$3,BY$1:BY$3)/SUMPRODUCT(_xlfn.XLOOKUP($C31,$BM$1:$BM$3,$BN$1:$BY$3),$BN$4:$BY$4),""),
"")</f>
        <v>7.8181952832503208E-3</v>
      </c>
      <c r="BZ31" s="8">
        <f>IF(_xlfn.XLOOKUP($B31,'ELC TECH'!$H:$H,'ELC TECH'!$E:$E)="Non Dispatchable",IFERROR($AX31*_xlfn.XLOOKUP($C31,$BM$1:$BM$3,BZ$1:BZ$3)/SUMPRODUCT(_xlfn.XLOOKUP($C31,$BM$1:$BM$3,$BN$1:$BY$3),$BN$4:$BY$4),""),
"")</f>
        <v>0.23802061195673199</v>
      </c>
      <c r="CA31" s="8">
        <f>IF(_xlfn.XLOOKUP($B31,'ELC TECH'!$H:$H,'ELC TECH'!$E:$E)="Non Dispatchable",IFERROR($AX31*_xlfn.XLOOKUP($C31,$BM$1:$BM$3,CA$1:CA$3)/SUMPRODUCT(_xlfn.XLOOKUP($C31,$BM$1:$BM$3,$BN$1:$BY$3),$BN$4:$BY$4),""),
"")</f>
        <v>0.27711158837298355</v>
      </c>
      <c r="CB31" s="8">
        <f>IF(_xlfn.XLOOKUP($B31,'ELC TECH'!$H:$H,'ELC TECH'!$E:$E)="Non Dispatchable",IFERROR($AX31*_xlfn.XLOOKUP($C31,$BM$1:$BM$3,CB$1:CB$3)/SUMPRODUCT(_xlfn.XLOOKUP($C31,$BM$1:$BM$3,$BN$1:$BY$3),$BN$4:$BY$4),""),
"")</f>
        <v>0.44361019162738857</v>
      </c>
      <c r="CC31" s="8">
        <f>IF(_xlfn.XLOOKUP($B31,'ELC TECH'!$H:$H,'ELC TECH'!$E:$E)="Non Dispatchable",IFERROR($AX31*_xlfn.XLOOKUP($C31,$BM$1:$BM$3,CC$1:CC$3)/SUMPRODUCT(_xlfn.XLOOKUP($C31,$BM$1:$BM$3,$BN$1:$BY$3),$BN$4:$BY$4),""),
"")</f>
        <v>9.2660092245929731E-3</v>
      </c>
      <c r="CD31" s="8">
        <f>IF(_xlfn.XLOOKUP($B31,'ELC TECH'!$H:$H,'ELC TECH'!$E:$E)="Non Dispatchable",IFERROR($AX31*_xlfn.XLOOKUP($C31,$BM$1:$BM$3,CD$1:CD$3)/SUMPRODUCT(_xlfn.XLOOKUP($C31,$BM$1:$BM$3,$BN$1:$BY$3),$BN$4:$BY$4),""),
"")</f>
        <v>0.2359936724388523</v>
      </c>
      <c r="CE31" s="8">
        <f>IF(_xlfn.XLOOKUP($B31,'ELC TECH'!$H:$H,'ELC TECH'!$E:$E)="Non Dispatchable",IFERROR($AX31*_xlfn.XLOOKUP($C31,$BM$1:$BM$3,CE$1:CE$3)/SUMPRODUCT(_xlfn.XLOOKUP($C31,$BM$1:$BM$3,$BN$1:$BY$3),$BN$4:$BY$4),""),
"")</f>
        <v>0.31475475084789256</v>
      </c>
      <c r="CF31" s="8">
        <f>IF(_xlfn.XLOOKUP($B31,'ELC TECH'!$H:$H,'ELC TECH'!$E:$E)="Non Dispatchable",IFERROR($AX31*_xlfn.XLOOKUP($C31,$BM$1:$BM$3,CF$1:CF$3)/SUMPRODUCT(_xlfn.XLOOKUP($C31,$BM$1:$BM$3,$BN$1:$BY$3),$BN$4:$BY$4),""),
"")</f>
        <v>0.3998862105988405</v>
      </c>
      <c r="CG31" s="8">
        <f>IF(_xlfn.XLOOKUP($B31,'ELC TECH'!$H:$H,'ELC TECH'!$E:$E)="Non Dispatchable",IFERROR($AX31*_xlfn.XLOOKUP($C31,$BM$1:$BM$3,CG$1:CG$3)/SUMPRODUCT(_xlfn.XLOOKUP($C31,$BM$1:$BM$3,$BN$1:$BY$3),$BN$4:$BY$4),""),
"")</f>
        <v>9.2660092245929731E-3</v>
      </c>
      <c r="CH31" s="8">
        <f>IF(_xlfn.XLOOKUP($B31,'ELC TECH'!$H:$H,'ELC TECH'!$E:$E)="Non Dispatchable",IFERROR($AX31*_xlfn.XLOOKUP($C31,$BM$1:$BM$3,CH$1:CH$3)/SUMPRODUCT(_xlfn.XLOOKUP($C31,$BM$1:$BM$3,$BN$1:$BY$3),$BN$4:$BY$4),""),
"")</f>
        <v>0.28232371856181715</v>
      </c>
      <c r="CI31" s="8">
        <f>IF(_xlfn.XLOOKUP($B31,'ELC TECH'!$H:$H,'ELC TECH'!$E:$E)="Non Dispatchable",IFERROR($AX31*_xlfn.XLOOKUP($C31,$BM$1:$BM$3,CI$1:CI$3)/SUMPRODUCT(_xlfn.XLOOKUP($C31,$BM$1:$BM$3,$BN$1:$BY$3),$BN$4:$BY$4),""),
"")</f>
        <v>0.31475475084789256</v>
      </c>
      <c r="CJ31" s="8">
        <f>IF(_xlfn.XLOOKUP($B31,'ELC TECH'!$H:$H,'ELC TECH'!$E:$E)="Non Dispatchable",IFERROR($AX31*_xlfn.XLOOKUP($C31,$BM$1:$BM$3,CJ$1:CJ$3)/SUMPRODUCT(_xlfn.XLOOKUP($C31,$BM$1:$BM$3,$BN$1:$BY$3),$BN$4:$BY$4),""),
"")</f>
        <v>0.36282217370046854</v>
      </c>
      <c r="CK31" s="8">
        <f>IF(_xlfn.XLOOKUP($B31,'ELC TECH'!$H:$H,'ELC TECH'!$E:$E)="Non Dispatchable",IFERROR($AX31*_xlfn.XLOOKUP($C31,$BM$1:$BM$3,CK$1:CK$3)/SUMPRODUCT(_xlfn.XLOOKUP($C31,$BM$1:$BM$3,$BN$1:$BY$3),$BN$4:$BY$4),""),
"")</f>
        <v>7.8181952832503208E-3</v>
      </c>
      <c r="CL31" s="8" t="str">
        <f>IF(_xlfn.XLOOKUP($B31,'ELC TECH'!$H:$H,'ELC TECH'!$E:$E)="Storage",CL$4*$BF31,"")</f>
        <v/>
      </c>
      <c r="CM31" s="8" t="str">
        <f>IF(_xlfn.XLOOKUP($B31,'ELC TECH'!$H:$H,'ELC TECH'!$E:$E)="Storage",CM$4*$BF31,"")</f>
        <v/>
      </c>
      <c r="CN31" s="8" t="str">
        <f>IF(_xlfn.XLOOKUP($B31,'ELC TECH'!$H:$H,'ELC TECH'!$E:$E)="Storage",CN$4*$BF31,"")</f>
        <v/>
      </c>
      <c r="CO31" s="8" t="str">
        <f>IF(_xlfn.XLOOKUP($B31,'ELC TECH'!$H:$H,'ELC TECH'!$E:$E)="Storage",CO$4*$BF31,"")</f>
        <v/>
      </c>
      <c r="CP31" s="8" t="str">
        <f>IF(_xlfn.XLOOKUP($B31,'ELC TECH'!$H:$H,'ELC TECH'!$E:$E)="Storage",CP$4*$BF31,"")</f>
        <v/>
      </c>
      <c r="CQ31" s="8" t="str">
        <f>IF(_xlfn.XLOOKUP($B31,'ELC TECH'!$H:$H,'ELC TECH'!$E:$E)="Storage",CQ$4*$BF31,"")</f>
        <v/>
      </c>
      <c r="CR31" s="8" t="str">
        <f>IF(_xlfn.XLOOKUP($B31,'ELC TECH'!$H:$H,'ELC TECH'!$E:$E)="Storage",CR$4*$BF31,"")</f>
        <v/>
      </c>
      <c r="CS31" s="8" t="str">
        <f>IF(_xlfn.XLOOKUP($B31,'ELC TECH'!$H:$H,'ELC TECH'!$E:$E)="Storage",CS$4*$BF31,"")</f>
        <v/>
      </c>
      <c r="CT31" s="8" t="str">
        <f>IF(_xlfn.XLOOKUP($B31,'ELC TECH'!$H:$H,'ELC TECH'!$E:$E)="Storage",CT$4*$BF31,"")</f>
        <v/>
      </c>
      <c r="CU31" s="8" t="str">
        <f>IF(_xlfn.XLOOKUP($B31,'ELC TECH'!$H:$H,'ELC TECH'!$E:$E)="Storage",CU$4*$BF31,"")</f>
        <v/>
      </c>
      <c r="CV31" s="8" t="str">
        <f>IF(_xlfn.XLOOKUP($B31,'ELC TECH'!$H:$H,'ELC TECH'!$E:$E)="Storage",CV$4*$BF31,"")</f>
        <v/>
      </c>
      <c r="CW31" s="8" t="str">
        <f>IF(_xlfn.XLOOKUP($B31,'ELC TECH'!$H:$H,'ELC TECH'!$E:$E)="Storage",CW$4*$BF31,"")</f>
        <v/>
      </c>
      <c r="CX31" s="8" t="str">
        <f>IF(_xlfn.XLOOKUP($B31,'ELC TECH'!$H:$H,'ELC TECH'!$E:$E)="Storage",CX$4*$BF31,"")</f>
        <v/>
      </c>
      <c r="CY31" s="8" t="str">
        <f>IF(_xlfn.XLOOKUP($B31,'ELC TECH'!$H:$H,'ELC TECH'!$E:$E)="Storage",CY$4*$BF31,"")</f>
        <v/>
      </c>
      <c r="CZ31" s="8" t="str">
        <f>IF(_xlfn.XLOOKUP($B31,'ELC TECH'!$H:$H,'ELC TECH'!$E:$E)="Storage",CZ$4*$BF31,"")</f>
        <v/>
      </c>
      <c r="DA31" s="8" t="str">
        <f>IF(_xlfn.XLOOKUP($B31,'ELC TECH'!$H:$H,'ELC TECH'!$E:$E)="Storage",DA$4*$BF31,"")</f>
        <v/>
      </c>
      <c r="DB31" s="8" t="str">
        <f>IF(_xlfn.XLOOKUP($B31,'ELC TECH'!$H:$H,'ELC TECH'!$E:$E)="Storage",DB$4*$BF31,"")</f>
        <v/>
      </c>
      <c r="DC31" s="8" t="str">
        <f>IF(_xlfn.XLOOKUP($B31,'ELC TECH'!$H:$H,'ELC TECH'!$E:$E)="Storage",DC$4*$BF31,"")</f>
        <v/>
      </c>
      <c r="DD31" s="8" t="str">
        <f>IF(_xlfn.XLOOKUP($B31,'ELC TECH'!$H:$H,'ELC TECH'!$E:$E)="Storage",DD$4*$BF31,"")</f>
        <v/>
      </c>
      <c r="DE31" s="8" t="str">
        <f>IF(_xlfn.XLOOKUP($B31,'ELC TECH'!$H:$H,'ELC TECH'!$E:$E)="Storage",DE$4*$BF31,"")</f>
        <v/>
      </c>
      <c r="DF31" s="8" t="str">
        <f>IF(_xlfn.XLOOKUP($B31,'ELC TECH'!$H:$H,'ELC TECH'!$E:$E)="Storage",DF$4*$BF31,"")</f>
        <v/>
      </c>
      <c r="DG31" s="8" t="str">
        <f>IF(_xlfn.XLOOKUP($B31,'ELC TECH'!$H:$H,'ELC TECH'!$E:$E)="Storage",DG$4*$BF31,"")</f>
        <v/>
      </c>
      <c r="DH31" s="8" t="str">
        <f>IF(_xlfn.XLOOKUP($B31,'ELC TECH'!$H:$H,'ELC TECH'!$E:$E)="Storage",DH$4*$BF31,"")</f>
        <v/>
      </c>
      <c r="DI31" s="8" t="str">
        <f>IF(_xlfn.XLOOKUP($B31,'ELC TECH'!$H:$H,'ELC TECH'!$E:$E)="Storage",DI$4*$BF31,"")</f>
        <v/>
      </c>
    </row>
    <row r="32" spans="2:113" x14ac:dyDescent="0.25">
      <c r="B32" t="str">
        <f>IF('ELC TECH'!I25=0,"*",'ELC TECH'!H25)</f>
        <v>ELCHYDGRDHUPNDC220</v>
      </c>
      <c r="C32" t="str">
        <f>IF(_xlfn.XLOOKUP(_xlfn.XLOOKUP(B32,'ELC TECH'!$H:$H,'ELC TECH'!$G:$G),List!C:C,List!B:B)="STG",D32,"ELC"&amp;_xlfn.XLOOKUP(_xlfn.XLOOKUP(B32,'ELC TECH'!H:H,'ELC TECH'!G:G),List!C:C,List!B:B))</f>
        <v>ELCHYD</v>
      </c>
      <c r="D32" t="s">
        <v>544</v>
      </c>
      <c r="E32">
        <f>_xlfn.XLOOKUP(B32,'ELC TECH'!H:H,'ELC TECH'!D:D)</f>
        <v>2020</v>
      </c>
      <c r="F32">
        <f>_xlfn.XLOOKUP(B32,'ELC TECH'!H:H,'ELC TECH'!K:K)</f>
        <v>100</v>
      </c>
      <c r="G32">
        <f t="shared" si="4"/>
        <v>31.535999999999998</v>
      </c>
      <c r="H32">
        <f>IF(_xlfn.XLOOKUP(B32,'ELC TECH'!$H:$H,'ELC TECH'!$E:$E)="Storage",0.3,IF(_xlfn.XLOOKUP(B32,'ELC TECH'!$H:$H,'ELC TECH'!$E:$E)="Baseload",0.9,IF(_xlfn.XLOOKUP(B32,'ELC TECH'!$H:$H,'ELC TECH'!$E:$E)="Non Dispatchable",0.05,IF(_xlfn.XLOOKUP(B32,'ELC TECH'!$H:$H,'ELC TECH'!$E:$E)="Dispatchable",0.9,1))))</f>
        <v>0.05</v>
      </c>
      <c r="I32" s="13">
        <f>IF(_xlfn.XLOOKUP(B32,'ELC TECH'!H:H,'ELC TECH'!J:J)="","",_xlfn.XLOOKUP(B32,'ELC TECH'!H:H,'ELC TECH'!J:J))</f>
        <v>0</v>
      </c>
      <c r="J32" s="12">
        <f>IF(_xlfn.XLOOKUP($B32,'ELC TECH'!$H:$H,'ELC TECH'!$E:$E)="Storage","",IF(_xlfn.XLOOKUP($B32,'ELC TECH'!$H:$H,'ELC TECH'!AK:AK)="",1,_xlfn.XLOOKUP($B32,'ELC TECH'!$H:$H,'ELC TECH'!AK:AK)))</f>
        <v>1</v>
      </c>
      <c r="K32" s="12">
        <f>IF(_xlfn.XLOOKUP($B32,'ELC TECH'!$H:$H,'ELC TECH'!$E:$E)="Storage","",IF(_xlfn.XLOOKUP($B32,'ELC TECH'!$H:$H,'ELC TECH'!AL:AL)="",1,_xlfn.XLOOKUP($B32,'ELC TECH'!$H:$H,'ELC TECH'!AL:AL)))</f>
        <v>1</v>
      </c>
      <c r="L32" s="12">
        <f>IF(_xlfn.XLOOKUP($B32,'ELC TECH'!$H:$H,'ELC TECH'!$E:$E)="Storage","",IF(_xlfn.XLOOKUP($B32,'ELC TECH'!$H:$H,'ELC TECH'!AM:AM)="",1,_xlfn.XLOOKUP($B32,'ELC TECH'!$H:$H,'ELC TECH'!AM:AM)))</f>
        <v>1</v>
      </c>
      <c r="M32" s="12">
        <f>IF(_xlfn.XLOOKUP($B32,'ELC TECH'!$H:$H,'ELC TECH'!$E:$E)="Storage","",IF(_xlfn.XLOOKUP($B32,'ELC TECH'!$H:$H,'ELC TECH'!AN:AN)="",1,_xlfn.XLOOKUP($B32,'ELC TECH'!$H:$H,'ELC TECH'!AN:AN)))</f>
        <v>1</v>
      </c>
      <c r="N32" s="12">
        <f>IF(_xlfn.XLOOKUP($B32,'ELC TECH'!$H:$H,'ELC TECH'!$E:$E)="Storage","",IF(_xlfn.XLOOKUP($B32,'ELC TECH'!$H:$H,'ELC TECH'!AO:AO)="",1,_xlfn.XLOOKUP($B32,'ELC TECH'!$H:$H,'ELC TECH'!AO:AO)))</f>
        <v>1</v>
      </c>
      <c r="O32" s="12">
        <f>IF(_xlfn.XLOOKUP($B32,'ELC TECH'!$H:$H,'ELC TECH'!$E:$E)="Storage","",IF(_xlfn.XLOOKUP($B32,'ELC TECH'!$H:$H,'ELC TECH'!AP:AP)="",1,_xlfn.XLOOKUP($B32,'ELC TECH'!$H:$H,'ELC TECH'!AP:AP)))</f>
        <v>1</v>
      </c>
      <c r="P32" s="12">
        <f>IF(_xlfn.XLOOKUP($B32,'ELC TECH'!$H:$H,'ELC TECH'!$E:$E)="Storage","",IF(_xlfn.XLOOKUP($B32,'ELC TECH'!$H:$H,'ELC TECH'!AQ:AQ)="",1,_xlfn.XLOOKUP($B32,'ELC TECH'!$H:$H,'ELC TECH'!AQ:AQ)))</f>
        <v>1</v>
      </c>
      <c r="Q32" s="12">
        <f>IF(_xlfn.XLOOKUP($B32,'ELC TECH'!$H:$H,'ELC TECH'!$E:$E)="Storage","",IF(_xlfn.XLOOKUP($B32,'ELC TECH'!$H:$H,'ELC TECH'!AR:AR)="",1,_xlfn.XLOOKUP($B32,'ELC TECH'!$H:$H,'ELC TECH'!AR:AR)))</f>
        <v>1</v>
      </c>
      <c r="R32" s="12" t="str">
        <f>IF(_xlfn.XLOOKUP($B32,'ELC TECH'!$H:$H,'ELC TECH'!$E:$E)&lt;&gt;"Storage","",IF(_xlfn.XLOOKUP($B32,'ELC TECH'!$H:$H,'ELC TECH'!AK:AK)="",0.8,_xlfn.XLOOKUP($B32,'ELC TECH'!$H:$H,'ELC TECH'!AK:AK)))</f>
        <v/>
      </c>
      <c r="S32" s="12" t="str">
        <f>IF(_xlfn.XLOOKUP($B32,'ELC TECH'!$H:$H,'ELC TECH'!$E:$E)&lt;&gt;"Storage","",IF(_xlfn.XLOOKUP($B32,'ELC TECH'!$H:$H,'ELC TECH'!AL:AL)="",0.8,_xlfn.XLOOKUP($B32,'ELC TECH'!$H:$H,'ELC TECH'!AL:AL)))</f>
        <v/>
      </c>
      <c r="T32" s="12" t="str">
        <f>IF(_xlfn.XLOOKUP($B32,'ELC TECH'!$H:$H,'ELC TECH'!$E:$E)&lt;&gt;"Storage","",IF(_xlfn.XLOOKUP($B32,'ELC TECH'!$H:$H,'ELC TECH'!AM:AM)="",0.8,_xlfn.XLOOKUP($B32,'ELC TECH'!$H:$H,'ELC TECH'!AM:AM)))</f>
        <v/>
      </c>
      <c r="U32" s="12" t="str">
        <f>IF(_xlfn.XLOOKUP($B32,'ELC TECH'!$H:$H,'ELC TECH'!$E:$E)&lt;&gt;"Storage","",IF(_xlfn.XLOOKUP($B32,'ELC TECH'!$H:$H,'ELC TECH'!AN:AN)="",0.8,_xlfn.XLOOKUP($B32,'ELC TECH'!$H:$H,'ELC TECH'!AN:AN)))</f>
        <v/>
      </c>
      <c r="V32" s="12" t="str">
        <f>IF(_xlfn.XLOOKUP($B32,'ELC TECH'!$H:$H,'ELC TECH'!$E:$E)&lt;&gt;"Storage","",IF(_xlfn.XLOOKUP($B32,'ELC TECH'!$H:$H,'ELC TECH'!AO:AO)="",0.8,_xlfn.XLOOKUP($B32,'ELC TECH'!$H:$H,'ELC TECH'!AO:AO)))</f>
        <v/>
      </c>
      <c r="W32" s="12" t="str">
        <f>IF(_xlfn.XLOOKUP($B32,'ELC TECH'!$H:$H,'ELC TECH'!$E:$E)&lt;&gt;"Storage","",IF(_xlfn.XLOOKUP($B32,'ELC TECH'!$H:$H,'ELC TECH'!AP:AP)="",0.8,_xlfn.XLOOKUP($B32,'ELC TECH'!$H:$H,'ELC TECH'!AP:AP)))</f>
        <v/>
      </c>
      <c r="X32" s="12" t="str">
        <f>IF(_xlfn.XLOOKUP($B32,'ELC TECH'!$H:$H,'ELC TECH'!$E:$E)&lt;&gt;"Storage","",IF(_xlfn.XLOOKUP($B32,'ELC TECH'!$H:$H,'ELC TECH'!AQ:AQ)="",0.8,_xlfn.XLOOKUP($B32,'ELC TECH'!$H:$H,'ELC TECH'!AQ:AQ)))</f>
        <v/>
      </c>
      <c r="Y32" s="12" t="str">
        <f>IF(_xlfn.XLOOKUP($B32,'ELC TECH'!$H:$H,'ELC TECH'!$E:$E)&lt;&gt;"Storage","",IF(_xlfn.XLOOKUP($B32,'ELC TECH'!$H:$H,'ELC TECH'!AR:AR)="",0.8,_xlfn.XLOOKUP($B32,'ELC TECH'!$H:$H,'ELC TECH'!AR:AR)))</f>
        <v/>
      </c>
      <c r="Z32" s="15">
        <f>_xlfn.XLOOKUP($B32,'ELC TECH'!$H:$H,'ELC TECH'!M:M)</f>
        <v>6253.1370265450987</v>
      </c>
      <c r="AA32" s="15">
        <f>_xlfn.XLOOKUP($B32,'ELC TECH'!$H:$H,'ELC TECH'!N:N)</f>
        <v>6253.1370265450987</v>
      </c>
      <c r="AB32" s="15">
        <f>_xlfn.XLOOKUP($B32,'ELC TECH'!$H:$H,'ELC TECH'!O:O)</f>
        <v>4777.4871495755951</v>
      </c>
      <c r="AC32" s="15">
        <f>_xlfn.XLOOKUP($B32,'ELC TECH'!$H:$H,'ELC TECH'!P:P)</f>
        <v>3300.7065064168428</v>
      </c>
      <c r="AD32" s="15">
        <f>_xlfn.XLOOKUP($B32,'ELC TECH'!$H:$H,'ELC TECH'!Q:Q)</f>
        <v>3168.40686227475</v>
      </c>
      <c r="AE32" s="15">
        <f>_xlfn.XLOOKUP($B32,'ELC TECH'!$H:$H,'ELC TECH'!R:R)</f>
        <v>3168.40686227475</v>
      </c>
      <c r="AF32" s="15">
        <f>_xlfn.XLOOKUP($B32,'ELC TECH'!$H:$H,'ELC TECH'!S:S)</f>
        <v>3168.40686227475</v>
      </c>
      <c r="AG32" s="15">
        <f>_xlfn.XLOOKUP($B32,'ELC TECH'!$H:$H,'ELC TECH'!T:T)</f>
        <v>3168.40686227475</v>
      </c>
      <c r="AH32" s="15">
        <f>_xlfn.XLOOKUP($B32,'ELC TECH'!$H:$H,'ELC TECH'!U:U)</f>
        <v>98.37665846463355</v>
      </c>
      <c r="AI32" s="15">
        <f>_xlfn.XLOOKUP($B32,'ELC TECH'!$H:$H,'ELC TECH'!V:V)</f>
        <v>98.37665846463355</v>
      </c>
      <c r="AJ32" s="15">
        <f>_xlfn.XLOOKUP($B32,'ELC TECH'!$H:$H,'ELC TECH'!W:W)</f>
        <v>98.37665846463355</v>
      </c>
      <c r="AK32" s="15">
        <f>_xlfn.XLOOKUP($B32,'ELC TECH'!$H:$H,'ELC TECH'!X:X)</f>
        <v>98.37665846463355</v>
      </c>
      <c r="AL32" s="15">
        <f>_xlfn.XLOOKUP($B32,'ELC TECH'!$H:$H,'ELC TECH'!Y:Y)</f>
        <v>93.853593707638908</v>
      </c>
      <c r="AM32" s="15">
        <f>_xlfn.XLOOKUP($B32,'ELC TECH'!$H:$H,'ELC TECH'!Z:Z)</f>
        <v>93.853593707638908</v>
      </c>
      <c r="AN32" s="15">
        <f>_xlfn.XLOOKUP($B32,'ELC TECH'!$H:$H,'ELC TECH'!AA:AA)</f>
        <v>93.853593707638908</v>
      </c>
      <c r="AO32" s="15">
        <f>_xlfn.XLOOKUP($B32,'ELC TECH'!$H:$H,'ELC TECH'!AB:AB)</f>
        <v>93.853593707638908</v>
      </c>
      <c r="AP32" s="15">
        <f>_xlfn.XLOOKUP($B32,'ELC TECH'!$H:$H,'ELC TECH'!AC:AC)</f>
        <v>0</v>
      </c>
      <c r="AQ32" s="15">
        <f>_xlfn.XLOOKUP($B32,'ELC TECH'!$H:$H,'ELC TECH'!AD:AD)</f>
        <v>0</v>
      </c>
      <c r="AR32" s="15">
        <f>_xlfn.XLOOKUP($B32,'ELC TECH'!$H:$H,'ELC TECH'!AE:AE)</f>
        <v>0</v>
      </c>
      <c r="AS32" s="15">
        <f>_xlfn.XLOOKUP($B32,'ELC TECH'!$H:$H,'ELC TECH'!AF:AF)</f>
        <v>0</v>
      </c>
      <c r="AT32" s="15">
        <f>_xlfn.XLOOKUP($B32,'ELC TECH'!$H:$H,'ELC TECH'!AG:AG)</f>
        <v>0</v>
      </c>
      <c r="AU32" s="15">
        <f>_xlfn.XLOOKUP($B32,'ELC TECH'!$H:$H,'ELC TECH'!AH:AH)</f>
        <v>0</v>
      </c>
      <c r="AV32" s="15">
        <f>_xlfn.XLOOKUP($B32,'ELC TECH'!$H:$H,'ELC TECH'!AI:AI)</f>
        <v>0</v>
      </c>
      <c r="AW32" s="15">
        <f>_xlfn.XLOOKUP($B32,'ELC TECH'!$H:$H,'ELC TECH'!AJ:AJ)</f>
        <v>0</v>
      </c>
      <c r="AX32" s="12">
        <f>IF(_xlfn.XLOOKUP($B32,'ELC TECH'!$H:$H,'ELC TECH'!$E:$E)="Storage","",_xlfn.XLOOKUP($B32,'ELC TECH'!$H:$H,'ELC TECH'!AS:AS))</f>
        <v>0.41</v>
      </c>
      <c r="AY32" s="12">
        <f>IF(_xlfn.XLOOKUP($B32,'ELC TECH'!$H:$H,'ELC TECH'!$E:$E)="Storage","",_xlfn.XLOOKUP($B32,'ELC TECH'!$H:$H,'ELC TECH'!AT:AT))</f>
        <v>0.41</v>
      </c>
      <c r="AZ32" s="12">
        <f>IF(_xlfn.XLOOKUP($B32,'ELC TECH'!$H:$H,'ELC TECH'!$E:$E)="Storage","",_xlfn.XLOOKUP($B32,'ELC TECH'!$H:$H,'ELC TECH'!AU:AU))</f>
        <v>0.37999999999999989</v>
      </c>
      <c r="BA32" s="12">
        <f>IF(_xlfn.XLOOKUP($B32,'ELC TECH'!$H:$H,'ELC TECH'!$E:$E)="Storage","",_xlfn.XLOOKUP($B32,'ELC TECH'!$H:$H,'ELC TECH'!AV:AV))</f>
        <v>0.37999999999999989</v>
      </c>
      <c r="BB32" s="12">
        <f>IF(_xlfn.XLOOKUP($B32,'ELC TECH'!$H:$H,'ELC TECH'!$E:$E)="Storage","",_xlfn.XLOOKUP($B32,'ELC TECH'!$H:$H,'ELC TECH'!AW:AW))</f>
        <v>0.37999999999999989</v>
      </c>
      <c r="BC32" s="12">
        <f>IF(_xlfn.XLOOKUP($B32,'ELC TECH'!$H:$H,'ELC TECH'!$E:$E)="Storage","",_xlfn.XLOOKUP($B32,'ELC TECH'!$H:$H,'ELC TECH'!AX:AX))</f>
        <v>0.37999999999999989</v>
      </c>
      <c r="BD32" s="12">
        <f>IF(_xlfn.XLOOKUP($B32,'ELC TECH'!$H:$H,'ELC TECH'!$E:$E)="Storage","",_xlfn.XLOOKUP($B32,'ELC TECH'!$H:$H,'ELC TECH'!AY:AY))</f>
        <v>0.37999999999999989</v>
      </c>
      <c r="BE32" s="12">
        <f>IF(_xlfn.XLOOKUP($B32,'ELC TECH'!$H:$H,'ELC TECH'!$E:$E)="Storage","",_xlfn.XLOOKUP($B32,'ELC TECH'!$H:$H,'ELC TECH'!AZ:AZ))</f>
        <v>0.37999999999999989</v>
      </c>
      <c r="BF32" s="12" t="str">
        <f>IF(_xlfn.XLOOKUP($B32,'ELC TECH'!$H:$H,'ELC TECH'!$E:$E)="Storage",_xlfn.XLOOKUP($B32,'ELC TECH'!$H:$H,'ELC TECH'!AS:AS),"")</f>
        <v/>
      </c>
      <c r="BG32" s="12" t="str">
        <f>IF(_xlfn.XLOOKUP($B32,'ELC TECH'!$H:$H,'ELC TECH'!$E:$E)="Storage",_xlfn.XLOOKUP($B32,'ELC TECH'!$H:$H,'ELC TECH'!AT:AT),"")</f>
        <v/>
      </c>
      <c r="BH32" s="12" t="str">
        <f>IF(_xlfn.XLOOKUP($B32,'ELC TECH'!$H:$H,'ELC TECH'!$E:$E)="Storage",_xlfn.XLOOKUP($B32,'ELC TECH'!$H:$H,'ELC TECH'!AU:AU),"")</f>
        <v/>
      </c>
      <c r="BI32" s="12" t="str">
        <f>IF(_xlfn.XLOOKUP($B32,'ELC TECH'!$H:$H,'ELC TECH'!$E:$E)="Storage",_xlfn.XLOOKUP($B32,'ELC TECH'!$H:$H,'ELC TECH'!AV:AV),"")</f>
        <v/>
      </c>
      <c r="BJ32" s="12" t="str">
        <f>IF(_xlfn.XLOOKUP($B32,'ELC TECH'!$H:$H,'ELC TECH'!$E:$E)="Storage",_xlfn.XLOOKUP($B32,'ELC TECH'!$H:$H,'ELC TECH'!AW:AW),"")</f>
        <v/>
      </c>
      <c r="BK32" s="12" t="str">
        <f>IF(_xlfn.XLOOKUP($B32,'ELC TECH'!$H:$H,'ELC TECH'!$E:$E)="Storage",_xlfn.XLOOKUP($B32,'ELC TECH'!$H:$H,'ELC TECH'!AX:AX),"")</f>
        <v/>
      </c>
      <c r="BL32" s="12" t="str">
        <f>IF(_xlfn.XLOOKUP($B32,'ELC TECH'!$H:$H,'ELC TECH'!$E:$E)="Storage",_xlfn.XLOOKUP($B32,'ELC TECH'!$H:$H,'ELC TECH'!AY:AY),"")</f>
        <v/>
      </c>
      <c r="BM32" s="12" t="str">
        <f>IF(_xlfn.XLOOKUP($B32,'ELC TECH'!$H:$H,'ELC TECH'!$E:$E)="Storage",_xlfn.XLOOKUP($B32,'ELC TECH'!$H:$H,'ELC TECH'!AZ:AZ),"")</f>
        <v/>
      </c>
      <c r="BN32" s="8">
        <f>IF(_xlfn.XLOOKUP($B32,'ELC TECH'!$H:$H,'ELC TECH'!$E:$E)="Non Dispatchable",IFERROR($AX32*_xlfn.XLOOKUP($C32,$BM$1:$BM$3,BN$1:BN$3)/SUMPRODUCT(_xlfn.XLOOKUP($C32,$BM$1:$BM$3,$BN$1:$BY$3),$BN$4:$BY$4),""),
"")</f>
        <v>0.29572257849169725</v>
      </c>
      <c r="BO32" s="8">
        <f>IF(_xlfn.XLOOKUP($B32,'ELC TECH'!$H:$H,'ELC TECH'!$E:$E)="Non Dispatchable",IFERROR($AX32*_xlfn.XLOOKUP($C32,$BM$1:$BM$3,BO$1:BO$3)/SUMPRODUCT(_xlfn.XLOOKUP($C32,$BM$1:$BM$3,$BN$1:$BY$3),$BN$4:$BY$4),""),
"")</f>
        <v>0.34429015525128259</v>
      </c>
      <c r="BP32" s="8">
        <f>IF(_xlfn.XLOOKUP($B32,'ELC TECH'!$H:$H,'ELC TECH'!$E:$E)="Non Dispatchable",IFERROR($AX32*_xlfn.XLOOKUP($C32,$BM$1:$BM$3,BP$1:BP$3)/SUMPRODUCT(_xlfn.XLOOKUP($C32,$BM$1:$BM$3,$BN$1:$BY$3),$BN$4:$BY$4),""),
"")</f>
        <v>0.55115205626433117</v>
      </c>
      <c r="BQ32" s="8">
        <f>IF(_xlfn.XLOOKUP($B32,'ELC TECH'!$H:$H,'ELC TECH'!$E:$E)="Non Dispatchable",IFERROR($AX32*_xlfn.XLOOKUP($C32,$BM$1:$BM$3,BQ$1:BQ$3)/SUMPRODUCT(_xlfn.XLOOKUP($C32,$BM$1:$BM$3,$BN$1:$BY$3),$BN$4:$BY$4),""),
"")</f>
        <v>1.1512314491160965E-2</v>
      </c>
      <c r="BR32" s="8">
        <f>IF(_xlfn.XLOOKUP($B32,'ELC TECH'!$H:$H,'ELC TECH'!$E:$E)="Non Dispatchable",IFERROR($AX32*_xlfn.XLOOKUP($C32,$BM$1:$BM$3,BR$1:BR$3)/SUMPRODUCT(_xlfn.XLOOKUP($C32,$BM$1:$BM$3,$BN$1:$BY$3),$BN$4:$BY$4),""),
"")</f>
        <v>0.29320425969675584</v>
      </c>
      <c r="BS32" s="8">
        <f>IF(_xlfn.XLOOKUP($B32,'ELC TECH'!$H:$H,'ELC TECH'!$E:$E)="Non Dispatchable",IFERROR($AX32*_xlfn.XLOOKUP($C32,$BM$1:$BM$3,BS$1:BS$3)/SUMPRODUCT(_xlfn.XLOOKUP($C32,$BM$1:$BM$3,$BN$1:$BY$3),$BN$4:$BY$4),""),
"")</f>
        <v>0.39105893287162408</v>
      </c>
      <c r="BT32" s="8">
        <f>IF(_xlfn.XLOOKUP($B32,'ELC TECH'!$H:$H,'ELC TECH'!$E:$E)="Non Dispatchable",IFERROR($AX32*_xlfn.XLOOKUP($C32,$BM$1:$BM$3,BT$1:BT$3)/SUMPRODUCT(_xlfn.XLOOKUP($C32,$BM$1:$BM$3,$BN$1:$BY$3),$BN$4:$BY$4),""),
"")</f>
        <v>0.4968283222591654</v>
      </c>
      <c r="BU32" s="8">
        <f>IF(_xlfn.XLOOKUP($B32,'ELC TECH'!$H:$H,'ELC TECH'!$E:$E)="Non Dispatchable",IFERROR($AX32*_xlfn.XLOOKUP($C32,$BM$1:$BM$3,BU$1:BU$3)/SUMPRODUCT(_xlfn.XLOOKUP($C32,$BM$1:$BM$3,$BN$1:$BY$3),$BN$4:$BY$4),""),
"")</f>
        <v>1.1512314491160965E-2</v>
      </c>
      <c r="BV32" s="8">
        <f>IF(_xlfn.XLOOKUP($B32,'ELC TECH'!$H:$H,'ELC TECH'!$E:$E)="Non Dispatchable",IFERROR($AX32*_xlfn.XLOOKUP($C32,$BM$1:$BM$3,BV$1:BV$3)/SUMPRODUCT(_xlfn.XLOOKUP($C32,$BM$1:$BM$3,$BN$1:$BY$3),$BN$4:$BY$4),""),
"")</f>
        <v>0.35076583215256063</v>
      </c>
      <c r="BW32" s="8">
        <f>IF(_xlfn.XLOOKUP($B32,'ELC TECH'!$H:$H,'ELC TECH'!$E:$E)="Non Dispatchable",IFERROR($AX32*_xlfn.XLOOKUP($C32,$BM$1:$BM$3,BW$1:BW$3)/SUMPRODUCT(_xlfn.XLOOKUP($C32,$BM$1:$BM$3,$BN$1:$BY$3),$BN$4:$BY$4),""),
"")</f>
        <v>0.39105893287162408</v>
      </c>
      <c r="BX32" s="8">
        <f>IF(_xlfn.XLOOKUP($B32,'ELC TECH'!$H:$H,'ELC TECH'!$E:$E)="Non Dispatchable",IFERROR($AX32*_xlfn.XLOOKUP($C32,$BM$1:$BM$3,BX$1:BX$3)/SUMPRODUCT(_xlfn.XLOOKUP($C32,$BM$1:$BM$3,$BN$1:$BY$3),$BN$4:$BY$4),""),
"")</f>
        <v>0.45077906429452153</v>
      </c>
      <c r="BY32" s="8">
        <f>IF(_xlfn.XLOOKUP($B32,'ELC TECH'!$H:$H,'ELC TECH'!$E:$E)="Non Dispatchable",IFERROR($AX32*_xlfn.XLOOKUP($C32,$BM$1:$BM$3,BY$1:BY$3)/SUMPRODUCT(_xlfn.XLOOKUP($C32,$BM$1:$BM$3,$BN$1:$BY$3),$BN$4:$BY$4),""),
"")</f>
        <v>9.7135153519170639E-3</v>
      </c>
      <c r="BZ32" s="8">
        <f>IF(_xlfn.XLOOKUP($B32,'ELC TECH'!$H:$H,'ELC TECH'!$E:$E)="Non Dispatchable",IFERROR($AX32*_xlfn.XLOOKUP($C32,$BM$1:$BM$3,BZ$1:BZ$3)/SUMPRODUCT(_xlfn.XLOOKUP($C32,$BM$1:$BM$3,$BN$1:$BY$3),$BN$4:$BY$4),""),
"")</f>
        <v>0.29572257849169725</v>
      </c>
      <c r="CA32" s="8">
        <f>IF(_xlfn.XLOOKUP($B32,'ELC TECH'!$H:$H,'ELC TECH'!$E:$E)="Non Dispatchable",IFERROR($AX32*_xlfn.XLOOKUP($C32,$BM$1:$BM$3,CA$1:CA$3)/SUMPRODUCT(_xlfn.XLOOKUP($C32,$BM$1:$BM$3,$BN$1:$BY$3),$BN$4:$BY$4),""),
"")</f>
        <v>0.34429015525128259</v>
      </c>
      <c r="CB32" s="8">
        <f>IF(_xlfn.XLOOKUP($B32,'ELC TECH'!$H:$H,'ELC TECH'!$E:$E)="Non Dispatchable",IFERROR($AX32*_xlfn.XLOOKUP($C32,$BM$1:$BM$3,CB$1:CB$3)/SUMPRODUCT(_xlfn.XLOOKUP($C32,$BM$1:$BM$3,$BN$1:$BY$3),$BN$4:$BY$4),""),
"")</f>
        <v>0.55115205626433117</v>
      </c>
      <c r="CC32" s="8">
        <f>IF(_xlfn.XLOOKUP($B32,'ELC TECH'!$H:$H,'ELC TECH'!$E:$E)="Non Dispatchable",IFERROR($AX32*_xlfn.XLOOKUP($C32,$BM$1:$BM$3,CC$1:CC$3)/SUMPRODUCT(_xlfn.XLOOKUP($C32,$BM$1:$BM$3,$BN$1:$BY$3),$BN$4:$BY$4),""),
"")</f>
        <v>1.1512314491160965E-2</v>
      </c>
      <c r="CD32" s="8">
        <f>IF(_xlfn.XLOOKUP($B32,'ELC TECH'!$H:$H,'ELC TECH'!$E:$E)="Non Dispatchable",IFERROR($AX32*_xlfn.XLOOKUP($C32,$BM$1:$BM$3,CD$1:CD$3)/SUMPRODUCT(_xlfn.XLOOKUP($C32,$BM$1:$BM$3,$BN$1:$BY$3),$BN$4:$BY$4),""),
"")</f>
        <v>0.29320425969675584</v>
      </c>
      <c r="CE32" s="8">
        <f>IF(_xlfn.XLOOKUP($B32,'ELC TECH'!$H:$H,'ELC TECH'!$E:$E)="Non Dispatchable",IFERROR($AX32*_xlfn.XLOOKUP($C32,$BM$1:$BM$3,CE$1:CE$3)/SUMPRODUCT(_xlfn.XLOOKUP($C32,$BM$1:$BM$3,$BN$1:$BY$3),$BN$4:$BY$4),""),
"")</f>
        <v>0.39105893287162408</v>
      </c>
      <c r="CF32" s="8">
        <f>IF(_xlfn.XLOOKUP($B32,'ELC TECH'!$H:$H,'ELC TECH'!$E:$E)="Non Dispatchable",IFERROR($AX32*_xlfn.XLOOKUP($C32,$BM$1:$BM$3,CF$1:CF$3)/SUMPRODUCT(_xlfn.XLOOKUP($C32,$BM$1:$BM$3,$BN$1:$BY$3),$BN$4:$BY$4),""),
"")</f>
        <v>0.4968283222591654</v>
      </c>
      <c r="CG32" s="8">
        <f>IF(_xlfn.XLOOKUP($B32,'ELC TECH'!$H:$H,'ELC TECH'!$E:$E)="Non Dispatchable",IFERROR($AX32*_xlfn.XLOOKUP($C32,$BM$1:$BM$3,CG$1:CG$3)/SUMPRODUCT(_xlfn.XLOOKUP($C32,$BM$1:$BM$3,$BN$1:$BY$3),$BN$4:$BY$4),""),
"")</f>
        <v>1.1512314491160965E-2</v>
      </c>
      <c r="CH32" s="8">
        <f>IF(_xlfn.XLOOKUP($B32,'ELC TECH'!$H:$H,'ELC TECH'!$E:$E)="Non Dispatchable",IFERROR($AX32*_xlfn.XLOOKUP($C32,$BM$1:$BM$3,CH$1:CH$3)/SUMPRODUCT(_xlfn.XLOOKUP($C32,$BM$1:$BM$3,$BN$1:$BY$3),$BN$4:$BY$4),""),
"")</f>
        <v>0.35076583215256063</v>
      </c>
      <c r="CI32" s="8">
        <f>IF(_xlfn.XLOOKUP($B32,'ELC TECH'!$H:$H,'ELC TECH'!$E:$E)="Non Dispatchable",IFERROR($AX32*_xlfn.XLOOKUP($C32,$BM$1:$BM$3,CI$1:CI$3)/SUMPRODUCT(_xlfn.XLOOKUP($C32,$BM$1:$BM$3,$BN$1:$BY$3),$BN$4:$BY$4),""),
"")</f>
        <v>0.39105893287162408</v>
      </c>
      <c r="CJ32" s="8">
        <f>IF(_xlfn.XLOOKUP($B32,'ELC TECH'!$H:$H,'ELC TECH'!$E:$E)="Non Dispatchable",IFERROR($AX32*_xlfn.XLOOKUP($C32,$BM$1:$BM$3,CJ$1:CJ$3)/SUMPRODUCT(_xlfn.XLOOKUP($C32,$BM$1:$BM$3,$BN$1:$BY$3),$BN$4:$BY$4),""),
"")</f>
        <v>0.45077906429452153</v>
      </c>
      <c r="CK32" s="8">
        <f>IF(_xlfn.XLOOKUP($B32,'ELC TECH'!$H:$H,'ELC TECH'!$E:$E)="Non Dispatchable",IFERROR($AX32*_xlfn.XLOOKUP($C32,$BM$1:$BM$3,CK$1:CK$3)/SUMPRODUCT(_xlfn.XLOOKUP($C32,$BM$1:$BM$3,$BN$1:$BY$3),$BN$4:$BY$4),""),
"")</f>
        <v>9.7135153519170639E-3</v>
      </c>
      <c r="CL32" s="8" t="str">
        <f>IF(_xlfn.XLOOKUP($B32,'ELC TECH'!$H:$H,'ELC TECH'!$E:$E)="Storage",CL$4*$BF32,"")</f>
        <v/>
      </c>
      <c r="CM32" s="8" t="str">
        <f>IF(_xlfn.XLOOKUP($B32,'ELC TECH'!$H:$H,'ELC TECH'!$E:$E)="Storage",CM$4*$BF32,"")</f>
        <v/>
      </c>
      <c r="CN32" s="8" t="str">
        <f>IF(_xlfn.XLOOKUP($B32,'ELC TECH'!$H:$H,'ELC TECH'!$E:$E)="Storage",CN$4*$BF32,"")</f>
        <v/>
      </c>
      <c r="CO32" s="8" t="str">
        <f>IF(_xlfn.XLOOKUP($B32,'ELC TECH'!$H:$H,'ELC TECH'!$E:$E)="Storage",CO$4*$BF32,"")</f>
        <v/>
      </c>
      <c r="CP32" s="8" t="str">
        <f>IF(_xlfn.XLOOKUP($B32,'ELC TECH'!$H:$H,'ELC TECH'!$E:$E)="Storage",CP$4*$BF32,"")</f>
        <v/>
      </c>
      <c r="CQ32" s="8" t="str">
        <f>IF(_xlfn.XLOOKUP($B32,'ELC TECH'!$H:$H,'ELC TECH'!$E:$E)="Storage",CQ$4*$BF32,"")</f>
        <v/>
      </c>
      <c r="CR32" s="8" t="str">
        <f>IF(_xlfn.XLOOKUP($B32,'ELC TECH'!$H:$H,'ELC TECH'!$E:$E)="Storage",CR$4*$BF32,"")</f>
        <v/>
      </c>
      <c r="CS32" s="8" t="str">
        <f>IF(_xlfn.XLOOKUP($B32,'ELC TECH'!$H:$H,'ELC TECH'!$E:$E)="Storage",CS$4*$BF32,"")</f>
        <v/>
      </c>
      <c r="CT32" s="8" t="str">
        <f>IF(_xlfn.XLOOKUP($B32,'ELC TECH'!$H:$H,'ELC TECH'!$E:$E)="Storage",CT$4*$BF32,"")</f>
        <v/>
      </c>
      <c r="CU32" s="8" t="str">
        <f>IF(_xlfn.XLOOKUP($B32,'ELC TECH'!$H:$H,'ELC TECH'!$E:$E)="Storage",CU$4*$BF32,"")</f>
        <v/>
      </c>
      <c r="CV32" s="8" t="str">
        <f>IF(_xlfn.XLOOKUP($B32,'ELC TECH'!$H:$H,'ELC TECH'!$E:$E)="Storage",CV$4*$BF32,"")</f>
        <v/>
      </c>
      <c r="CW32" s="8" t="str">
        <f>IF(_xlfn.XLOOKUP($B32,'ELC TECH'!$H:$H,'ELC TECH'!$E:$E)="Storage",CW$4*$BF32,"")</f>
        <v/>
      </c>
      <c r="CX32" s="8" t="str">
        <f>IF(_xlfn.XLOOKUP($B32,'ELC TECH'!$H:$H,'ELC TECH'!$E:$E)="Storage",CX$4*$BF32,"")</f>
        <v/>
      </c>
      <c r="CY32" s="8" t="str">
        <f>IF(_xlfn.XLOOKUP($B32,'ELC TECH'!$H:$H,'ELC TECH'!$E:$E)="Storage",CY$4*$BF32,"")</f>
        <v/>
      </c>
      <c r="CZ32" s="8" t="str">
        <f>IF(_xlfn.XLOOKUP($B32,'ELC TECH'!$H:$H,'ELC TECH'!$E:$E)="Storage",CZ$4*$BF32,"")</f>
        <v/>
      </c>
      <c r="DA32" s="8" t="str">
        <f>IF(_xlfn.XLOOKUP($B32,'ELC TECH'!$H:$H,'ELC TECH'!$E:$E)="Storage",DA$4*$BF32,"")</f>
        <v/>
      </c>
      <c r="DB32" s="8" t="str">
        <f>IF(_xlfn.XLOOKUP($B32,'ELC TECH'!$H:$H,'ELC TECH'!$E:$E)="Storage",DB$4*$BF32,"")</f>
        <v/>
      </c>
      <c r="DC32" s="8" t="str">
        <f>IF(_xlfn.XLOOKUP($B32,'ELC TECH'!$H:$H,'ELC TECH'!$E:$E)="Storage",DC$4*$BF32,"")</f>
        <v/>
      </c>
      <c r="DD32" s="8" t="str">
        <f>IF(_xlfn.XLOOKUP($B32,'ELC TECH'!$H:$H,'ELC TECH'!$E:$E)="Storage",DD$4*$BF32,"")</f>
        <v/>
      </c>
      <c r="DE32" s="8" t="str">
        <f>IF(_xlfn.XLOOKUP($B32,'ELC TECH'!$H:$H,'ELC TECH'!$E:$E)="Storage",DE$4*$BF32,"")</f>
        <v/>
      </c>
      <c r="DF32" s="8" t="str">
        <f>IF(_xlfn.XLOOKUP($B32,'ELC TECH'!$H:$H,'ELC TECH'!$E:$E)="Storage",DF$4*$BF32,"")</f>
        <v/>
      </c>
      <c r="DG32" s="8" t="str">
        <f>IF(_xlfn.XLOOKUP($B32,'ELC TECH'!$H:$H,'ELC TECH'!$E:$E)="Storage",DG$4*$BF32,"")</f>
        <v/>
      </c>
      <c r="DH32" s="8" t="str">
        <f>IF(_xlfn.XLOOKUP($B32,'ELC TECH'!$H:$H,'ELC TECH'!$E:$E)="Storage",DH$4*$BF32,"")</f>
        <v/>
      </c>
      <c r="DI32" s="8" t="str">
        <f>IF(_xlfn.XLOOKUP($B32,'ELC TECH'!$H:$H,'ELC TECH'!$E:$E)="Storage",DI$4*$BF32,"")</f>
        <v/>
      </c>
    </row>
    <row r="33" spans="2:113" x14ac:dyDescent="0.25">
      <c r="B33" t="str">
        <f>IF('ELC TECH'!I26=0,"*",'ELC TECH'!H26)</f>
        <v>ELCHYDGRDHUPNDC320</v>
      </c>
      <c r="C33" t="str">
        <f>IF(_xlfn.XLOOKUP(_xlfn.XLOOKUP(B33,'ELC TECH'!$H:$H,'ELC TECH'!$G:$G),List!C:C,List!B:B)="STG",D33,"ELC"&amp;_xlfn.XLOOKUP(_xlfn.XLOOKUP(B33,'ELC TECH'!H:H,'ELC TECH'!G:G),List!C:C,List!B:B))</f>
        <v>ELCHYD</v>
      </c>
      <c r="D33" t="s">
        <v>544</v>
      </c>
      <c r="E33">
        <f>_xlfn.XLOOKUP(B33,'ELC TECH'!H:H,'ELC TECH'!D:D)</f>
        <v>2020</v>
      </c>
      <c r="F33">
        <f>_xlfn.XLOOKUP(B33,'ELC TECH'!H:H,'ELC TECH'!K:K)</f>
        <v>100</v>
      </c>
      <c r="G33">
        <f t="shared" si="4"/>
        <v>31.535999999999998</v>
      </c>
      <c r="H33">
        <f>IF(_xlfn.XLOOKUP(B33,'ELC TECH'!$H:$H,'ELC TECH'!$E:$E)="Storage",0.3,IF(_xlfn.XLOOKUP(B33,'ELC TECH'!$H:$H,'ELC TECH'!$E:$E)="Baseload",0.9,IF(_xlfn.XLOOKUP(B33,'ELC TECH'!$H:$H,'ELC TECH'!$E:$E)="Non Dispatchable",0.05,IF(_xlfn.XLOOKUP(B33,'ELC TECH'!$H:$H,'ELC TECH'!$E:$E)="Dispatchable",0.9,1))))</f>
        <v>0.05</v>
      </c>
      <c r="I33" s="13">
        <f>IF(_xlfn.XLOOKUP(B33,'ELC TECH'!H:H,'ELC TECH'!J:J)="","",_xlfn.XLOOKUP(B33,'ELC TECH'!H:H,'ELC TECH'!J:J))</f>
        <v>0</v>
      </c>
      <c r="J33" s="12">
        <f>IF(_xlfn.XLOOKUP($B33,'ELC TECH'!$H:$H,'ELC TECH'!$E:$E)="Storage","",IF(_xlfn.XLOOKUP($B33,'ELC TECH'!$H:$H,'ELC TECH'!AK:AK)="",1,_xlfn.XLOOKUP($B33,'ELC TECH'!$H:$H,'ELC TECH'!AK:AK)))</f>
        <v>1</v>
      </c>
      <c r="K33" s="12">
        <f>IF(_xlfn.XLOOKUP($B33,'ELC TECH'!$H:$H,'ELC TECH'!$E:$E)="Storage","",IF(_xlfn.XLOOKUP($B33,'ELC TECH'!$H:$H,'ELC TECH'!AL:AL)="",1,_xlfn.XLOOKUP($B33,'ELC TECH'!$H:$H,'ELC TECH'!AL:AL)))</f>
        <v>1</v>
      </c>
      <c r="L33" s="12">
        <f>IF(_xlfn.XLOOKUP($B33,'ELC TECH'!$H:$H,'ELC TECH'!$E:$E)="Storage","",IF(_xlfn.XLOOKUP($B33,'ELC TECH'!$H:$H,'ELC TECH'!AM:AM)="",1,_xlfn.XLOOKUP($B33,'ELC TECH'!$H:$H,'ELC TECH'!AM:AM)))</f>
        <v>1</v>
      </c>
      <c r="M33" s="12">
        <f>IF(_xlfn.XLOOKUP($B33,'ELC TECH'!$H:$H,'ELC TECH'!$E:$E)="Storage","",IF(_xlfn.XLOOKUP($B33,'ELC TECH'!$H:$H,'ELC TECH'!AN:AN)="",1,_xlfn.XLOOKUP($B33,'ELC TECH'!$H:$H,'ELC TECH'!AN:AN)))</f>
        <v>1</v>
      </c>
      <c r="N33" s="12">
        <f>IF(_xlfn.XLOOKUP($B33,'ELC TECH'!$H:$H,'ELC TECH'!$E:$E)="Storage","",IF(_xlfn.XLOOKUP($B33,'ELC TECH'!$H:$H,'ELC TECH'!AO:AO)="",1,_xlfn.XLOOKUP($B33,'ELC TECH'!$H:$H,'ELC TECH'!AO:AO)))</f>
        <v>1</v>
      </c>
      <c r="O33" s="12">
        <f>IF(_xlfn.XLOOKUP($B33,'ELC TECH'!$H:$H,'ELC TECH'!$E:$E)="Storage","",IF(_xlfn.XLOOKUP($B33,'ELC TECH'!$H:$H,'ELC TECH'!AP:AP)="",1,_xlfn.XLOOKUP($B33,'ELC TECH'!$H:$H,'ELC TECH'!AP:AP)))</f>
        <v>1</v>
      </c>
      <c r="P33" s="12">
        <f>IF(_xlfn.XLOOKUP($B33,'ELC TECH'!$H:$H,'ELC TECH'!$E:$E)="Storage","",IF(_xlfn.XLOOKUP($B33,'ELC TECH'!$H:$H,'ELC TECH'!AQ:AQ)="",1,_xlfn.XLOOKUP($B33,'ELC TECH'!$H:$H,'ELC TECH'!AQ:AQ)))</f>
        <v>1</v>
      </c>
      <c r="Q33" s="12">
        <f>IF(_xlfn.XLOOKUP($B33,'ELC TECH'!$H:$H,'ELC TECH'!$E:$E)="Storage","",IF(_xlfn.XLOOKUP($B33,'ELC TECH'!$H:$H,'ELC TECH'!AR:AR)="",1,_xlfn.XLOOKUP($B33,'ELC TECH'!$H:$H,'ELC TECH'!AR:AR)))</f>
        <v>1</v>
      </c>
      <c r="R33" s="12" t="str">
        <f>IF(_xlfn.XLOOKUP($B33,'ELC TECH'!$H:$H,'ELC TECH'!$E:$E)&lt;&gt;"Storage","",IF(_xlfn.XLOOKUP($B33,'ELC TECH'!$H:$H,'ELC TECH'!AK:AK)="",0.8,_xlfn.XLOOKUP($B33,'ELC TECH'!$H:$H,'ELC TECH'!AK:AK)))</f>
        <v/>
      </c>
      <c r="S33" s="12" t="str">
        <f>IF(_xlfn.XLOOKUP($B33,'ELC TECH'!$H:$H,'ELC TECH'!$E:$E)&lt;&gt;"Storage","",IF(_xlfn.XLOOKUP($B33,'ELC TECH'!$H:$H,'ELC TECH'!AL:AL)="",0.8,_xlfn.XLOOKUP($B33,'ELC TECH'!$H:$H,'ELC TECH'!AL:AL)))</f>
        <v/>
      </c>
      <c r="T33" s="12" t="str">
        <f>IF(_xlfn.XLOOKUP($B33,'ELC TECH'!$H:$H,'ELC TECH'!$E:$E)&lt;&gt;"Storage","",IF(_xlfn.XLOOKUP($B33,'ELC TECH'!$H:$H,'ELC TECH'!AM:AM)="",0.8,_xlfn.XLOOKUP($B33,'ELC TECH'!$H:$H,'ELC TECH'!AM:AM)))</f>
        <v/>
      </c>
      <c r="U33" s="12" t="str">
        <f>IF(_xlfn.XLOOKUP($B33,'ELC TECH'!$H:$H,'ELC TECH'!$E:$E)&lt;&gt;"Storage","",IF(_xlfn.XLOOKUP($B33,'ELC TECH'!$H:$H,'ELC TECH'!AN:AN)="",0.8,_xlfn.XLOOKUP($B33,'ELC TECH'!$H:$H,'ELC TECH'!AN:AN)))</f>
        <v/>
      </c>
      <c r="V33" s="12" t="str">
        <f>IF(_xlfn.XLOOKUP($B33,'ELC TECH'!$H:$H,'ELC TECH'!$E:$E)&lt;&gt;"Storage","",IF(_xlfn.XLOOKUP($B33,'ELC TECH'!$H:$H,'ELC TECH'!AO:AO)="",0.8,_xlfn.XLOOKUP($B33,'ELC TECH'!$H:$H,'ELC TECH'!AO:AO)))</f>
        <v/>
      </c>
      <c r="W33" s="12" t="str">
        <f>IF(_xlfn.XLOOKUP($B33,'ELC TECH'!$H:$H,'ELC TECH'!$E:$E)&lt;&gt;"Storage","",IF(_xlfn.XLOOKUP($B33,'ELC TECH'!$H:$H,'ELC TECH'!AP:AP)="",0.8,_xlfn.XLOOKUP($B33,'ELC TECH'!$H:$H,'ELC TECH'!AP:AP)))</f>
        <v/>
      </c>
      <c r="X33" s="12" t="str">
        <f>IF(_xlfn.XLOOKUP($B33,'ELC TECH'!$H:$H,'ELC TECH'!$E:$E)&lt;&gt;"Storage","",IF(_xlfn.XLOOKUP($B33,'ELC TECH'!$H:$H,'ELC TECH'!AQ:AQ)="",0.8,_xlfn.XLOOKUP($B33,'ELC TECH'!$H:$H,'ELC TECH'!AQ:AQ)))</f>
        <v/>
      </c>
      <c r="Y33" s="12" t="str">
        <f>IF(_xlfn.XLOOKUP($B33,'ELC TECH'!$H:$H,'ELC TECH'!$E:$E)&lt;&gt;"Storage","",IF(_xlfn.XLOOKUP($B33,'ELC TECH'!$H:$H,'ELC TECH'!AR:AR)="",0.8,_xlfn.XLOOKUP($B33,'ELC TECH'!$H:$H,'ELC TECH'!AR:AR)))</f>
        <v/>
      </c>
      <c r="Z33" s="15">
        <f>_xlfn.XLOOKUP($B33,'ELC TECH'!$H:$H,'ELC TECH'!M:M)</f>
        <v>6382.0443721194461</v>
      </c>
      <c r="AA33" s="15">
        <f>_xlfn.XLOOKUP($B33,'ELC TECH'!$H:$H,'ELC TECH'!N:N)</f>
        <v>6382.0443721194461</v>
      </c>
      <c r="AB33" s="15">
        <f>_xlfn.XLOOKUP($B33,'ELC TECH'!$H:$H,'ELC TECH'!O:O)</f>
        <v>5010.4249845608192</v>
      </c>
      <c r="AC33" s="15">
        <f>_xlfn.XLOOKUP($B33,'ELC TECH'!$H:$H,'ELC TECH'!P:P)</f>
        <v>3638.8055970021928</v>
      </c>
      <c r="AD33" s="15">
        <f>_xlfn.XLOOKUP($B33,'ELC TECH'!$H:$H,'ELC TECH'!Q:Q)</f>
        <v>3492.936758589115</v>
      </c>
      <c r="AE33" s="15">
        <f>_xlfn.XLOOKUP($B33,'ELC TECH'!$H:$H,'ELC TECH'!R:R)</f>
        <v>3492.936758589115</v>
      </c>
      <c r="AF33" s="15">
        <f>_xlfn.XLOOKUP($B33,'ELC TECH'!$H:$H,'ELC TECH'!S:S)</f>
        <v>3492.936758589115</v>
      </c>
      <c r="AG33" s="15">
        <f>_xlfn.XLOOKUP($B33,'ELC TECH'!$H:$H,'ELC TECH'!T:T)</f>
        <v>3492.936758589115</v>
      </c>
      <c r="AH33" s="15">
        <f>_xlfn.XLOOKUP($B33,'ELC TECH'!$H:$H,'ELC TECH'!U:U)</f>
        <v>117.5996836818608</v>
      </c>
      <c r="AI33" s="15">
        <f>_xlfn.XLOOKUP($B33,'ELC TECH'!$H:$H,'ELC TECH'!V:V)</f>
        <v>117.5996836818608</v>
      </c>
      <c r="AJ33" s="15">
        <f>_xlfn.XLOOKUP($B33,'ELC TECH'!$H:$H,'ELC TECH'!W:W)</f>
        <v>117.5996836818608</v>
      </c>
      <c r="AK33" s="15">
        <f>_xlfn.XLOOKUP($B33,'ELC TECH'!$H:$H,'ELC TECH'!X:X)</f>
        <v>117.5996836818608</v>
      </c>
      <c r="AL33" s="15">
        <f>_xlfn.XLOOKUP($B33,'ELC TECH'!$H:$H,'ELC TECH'!Y:Y)</f>
        <v>113.0766189248662</v>
      </c>
      <c r="AM33" s="15">
        <f>_xlfn.XLOOKUP($B33,'ELC TECH'!$H:$H,'ELC TECH'!Z:Z)</f>
        <v>113.0766189248662</v>
      </c>
      <c r="AN33" s="15">
        <f>_xlfn.XLOOKUP($B33,'ELC TECH'!$H:$H,'ELC TECH'!AA:AA)</f>
        <v>113.0766189248662</v>
      </c>
      <c r="AO33" s="15">
        <f>_xlfn.XLOOKUP($B33,'ELC TECH'!$H:$H,'ELC TECH'!AB:AB)</f>
        <v>113.0766189248662</v>
      </c>
      <c r="AP33" s="15">
        <f>_xlfn.XLOOKUP($B33,'ELC TECH'!$H:$H,'ELC TECH'!AC:AC)</f>
        <v>0</v>
      </c>
      <c r="AQ33" s="15">
        <f>_xlfn.XLOOKUP($B33,'ELC TECH'!$H:$H,'ELC TECH'!AD:AD)</f>
        <v>0</v>
      </c>
      <c r="AR33" s="15">
        <f>_xlfn.XLOOKUP($B33,'ELC TECH'!$H:$H,'ELC TECH'!AE:AE)</f>
        <v>0</v>
      </c>
      <c r="AS33" s="15">
        <f>_xlfn.XLOOKUP($B33,'ELC TECH'!$H:$H,'ELC TECH'!AF:AF)</f>
        <v>0</v>
      </c>
      <c r="AT33" s="15">
        <f>_xlfn.XLOOKUP($B33,'ELC TECH'!$H:$H,'ELC TECH'!AG:AG)</f>
        <v>0</v>
      </c>
      <c r="AU33" s="15">
        <f>_xlfn.XLOOKUP($B33,'ELC TECH'!$H:$H,'ELC TECH'!AH:AH)</f>
        <v>0</v>
      </c>
      <c r="AV33" s="15">
        <f>_xlfn.XLOOKUP($B33,'ELC TECH'!$H:$H,'ELC TECH'!AI:AI)</f>
        <v>0</v>
      </c>
      <c r="AW33" s="15">
        <f>_xlfn.XLOOKUP($B33,'ELC TECH'!$H:$H,'ELC TECH'!AJ:AJ)</f>
        <v>0</v>
      </c>
      <c r="AX33" s="12">
        <f>IF(_xlfn.XLOOKUP($B33,'ELC TECH'!$H:$H,'ELC TECH'!$E:$E)="Storage","",_xlfn.XLOOKUP($B33,'ELC TECH'!$H:$H,'ELC TECH'!AS:AS))</f>
        <v>0.33</v>
      </c>
      <c r="AY33" s="12">
        <f>IF(_xlfn.XLOOKUP($B33,'ELC TECH'!$H:$H,'ELC TECH'!$E:$E)="Storage","",_xlfn.XLOOKUP($B33,'ELC TECH'!$H:$H,'ELC TECH'!AT:AT))</f>
        <v>0.33</v>
      </c>
      <c r="AZ33" s="12">
        <f>IF(_xlfn.XLOOKUP($B33,'ELC TECH'!$H:$H,'ELC TECH'!$E:$E)="Storage","",_xlfn.XLOOKUP($B33,'ELC TECH'!$H:$H,'ELC TECH'!AU:AU))</f>
        <v>0.32</v>
      </c>
      <c r="BA33" s="12">
        <f>IF(_xlfn.XLOOKUP($B33,'ELC TECH'!$H:$H,'ELC TECH'!$E:$E)="Storage","",_xlfn.XLOOKUP($B33,'ELC TECH'!$H:$H,'ELC TECH'!AV:AV))</f>
        <v>0.32</v>
      </c>
      <c r="BB33" s="12">
        <f>IF(_xlfn.XLOOKUP($B33,'ELC TECH'!$H:$H,'ELC TECH'!$E:$E)="Storage","",_xlfn.XLOOKUP($B33,'ELC TECH'!$H:$H,'ELC TECH'!AW:AW))</f>
        <v>0.32</v>
      </c>
      <c r="BC33" s="12">
        <f>IF(_xlfn.XLOOKUP($B33,'ELC TECH'!$H:$H,'ELC TECH'!$E:$E)="Storage","",_xlfn.XLOOKUP($B33,'ELC TECH'!$H:$H,'ELC TECH'!AX:AX))</f>
        <v>0.32</v>
      </c>
      <c r="BD33" s="12">
        <f>IF(_xlfn.XLOOKUP($B33,'ELC TECH'!$H:$H,'ELC TECH'!$E:$E)="Storage","",_xlfn.XLOOKUP($B33,'ELC TECH'!$H:$H,'ELC TECH'!AY:AY))</f>
        <v>0.32</v>
      </c>
      <c r="BE33" s="12">
        <f>IF(_xlfn.XLOOKUP($B33,'ELC TECH'!$H:$H,'ELC TECH'!$E:$E)="Storage","",_xlfn.XLOOKUP($B33,'ELC TECH'!$H:$H,'ELC TECH'!AZ:AZ))</f>
        <v>0.32</v>
      </c>
      <c r="BF33" s="12" t="str">
        <f>IF(_xlfn.XLOOKUP($B33,'ELC TECH'!$H:$H,'ELC TECH'!$E:$E)="Storage",_xlfn.XLOOKUP($B33,'ELC TECH'!$H:$H,'ELC TECH'!AS:AS),"")</f>
        <v/>
      </c>
      <c r="BG33" s="12" t="str">
        <f>IF(_xlfn.XLOOKUP($B33,'ELC TECH'!$H:$H,'ELC TECH'!$E:$E)="Storage",_xlfn.XLOOKUP($B33,'ELC TECH'!$H:$H,'ELC TECH'!AT:AT),"")</f>
        <v/>
      </c>
      <c r="BH33" s="12" t="str">
        <f>IF(_xlfn.XLOOKUP($B33,'ELC TECH'!$H:$H,'ELC TECH'!$E:$E)="Storage",_xlfn.XLOOKUP($B33,'ELC TECH'!$H:$H,'ELC TECH'!AU:AU),"")</f>
        <v/>
      </c>
      <c r="BI33" s="12" t="str">
        <f>IF(_xlfn.XLOOKUP($B33,'ELC TECH'!$H:$H,'ELC TECH'!$E:$E)="Storage",_xlfn.XLOOKUP($B33,'ELC TECH'!$H:$H,'ELC TECH'!AV:AV),"")</f>
        <v/>
      </c>
      <c r="BJ33" s="12" t="str">
        <f>IF(_xlfn.XLOOKUP($B33,'ELC TECH'!$H:$H,'ELC TECH'!$E:$E)="Storage",_xlfn.XLOOKUP($B33,'ELC TECH'!$H:$H,'ELC TECH'!AW:AW),"")</f>
        <v/>
      </c>
      <c r="BK33" s="12" t="str">
        <f>IF(_xlfn.XLOOKUP($B33,'ELC TECH'!$H:$H,'ELC TECH'!$E:$E)="Storage",_xlfn.XLOOKUP($B33,'ELC TECH'!$H:$H,'ELC TECH'!AX:AX),"")</f>
        <v/>
      </c>
      <c r="BL33" s="12" t="str">
        <f>IF(_xlfn.XLOOKUP($B33,'ELC TECH'!$H:$H,'ELC TECH'!$E:$E)="Storage",_xlfn.XLOOKUP($B33,'ELC TECH'!$H:$H,'ELC TECH'!AY:AY),"")</f>
        <v/>
      </c>
      <c r="BM33" s="12" t="str">
        <f>IF(_xlfn.XLOOKUP($B33,'ELC TECH'!$H:$H,'ELC TECH'!$E:$E)="Storage",_xlfn.XLOOKUP($B33,'ELC TECH'!$H:$H,'ELC TECH'!AZ:AZ),"")</f>
        <v/>
      </c>
      <c r="BN33" s="8">
        <f>IF(_xlfn.XLOOKUP($B33,'ELC TECH'!$H:$H,'ELC TECH'!$E:$E)="Non Dispatchable",IFERROR($AX33*_xlfn.XLOOKUP($C33,$BM$1:$BM$3,BN$1:BN$3)/SUMPRODUCT(_xlfn.XLOOKUP($C33,$BM$1:$BM$3,$BN$1:$BY$3),$BN$4:$BY$4),""),
"")</f>
        <v>0.23802061195673199</v>
      </c>
      <c r="BO33" s="8">
        <f>IF(_xlfn.XLOOKUP($B33,'ELC TECH'!$H:$H,'ELC TECH'!$E:$E)="Non Dispatchable",IFERROR($AX33*_xlfn.XLOOKUP($C33,$BM$1:$BM$3,BO$1:BO$3)/SUMPRODUCT(_xlfn.XLOOKUP($C33,$BM$1:$BM$3,$BN$1:$BY$3),$BN$4:$BY$4),""),
"")</f>
        <v>0.27711158837298355</v>
      </c>
      <c r="BP33" s="8">
        <f>IF(_xlfn.XLOOKUP($B33,'ELC TECH'!$H:$H,'ELC TECH'!$E:$E)="Non Dispatchable",IFERROR($AX33*_xlfn.XLOOKUP($C33,$BM$1:$BM$3,BP$1:BP$3)/SUMPRODUCT(_xlfn.XLOOKUP($C33,$BM$1:$BM$3,$BN$1:$BY$3),$BN$4:$BY$4),""),
"")</f>
        <v>0.44361019162738857</v>
      </c>
      <c r="BQ33" s="8">
        <f>IF(_xlfn.XLOOKUP($B33,'ELC TECH'!$H:$H,'ELC TECH'!$E:$E)="Non Dispatchable",IFERROR($AX33*_xlfn.XLOOKUP($C33,$BM$1:$BM$3,BQ$1:BQ$3)/SUMPRODUCT(_xlfn.XLOOKUP($C33,$BM$1:$BM$3,$BN$1:$BY$3),$BN$4:$BY$4),""),
"")</f>
        <v>9.2660092245929731E-3</v>
      </c>
      <c r="BR33" s="8">
        <f>IF(_xlfn.XLOOKUP($B33,'ELC TECH'!$H:$H,'ELC TECH'!$E:$E)="Non Dispatchable",IFERROR($AX33*_xlfn.XLOOKUP($C33,$BM$1:$BM$3,BR$1:BR$3)/SUMPRODUCT(_xlfn.XLOOKUP($C33,$BM$1:$BM$3,$BN$1:$BY$3),$BN$4:$BY$4),""),
"")</f>
        <v>0.2359936724388523</v>
      </c>
      <c r="BS33" s="8">
        <f>IF(_xlfn.XLOOKUP($B33,'ELC TECH'!$H:$H,'ELC TECH'!$E:$E)="Non Dispatchable",IFERROR($AX33*_xlfn.XLOOKUP($C33,$BM$1:$BM$3,BS$1:BS$3)/SUMPRODUCT(_xlfn.XLOOKUP($C33,$BM$1:$BM$3,$BN$1:$BY$3),$BN$4:$BY$4),""),
"")</f>
        <v>0.31475475084789256</v>
      </c>
      <c r="BT33" s="8">
        <f>IF(_xlfn.XLOOKUP($B33,'ELC TECH'!$H:$H,'ELC TECH'!$E:$E)="Non Dispatchable",IFERROR($AX33*_xlfn.XLOOKUP($C33,$BM$1:$BM$3,BT$1:BT$3)/SUMPRODUCT(_xlfn.XLOOKUP($C33,$BM$1:$BM$3,$BN$1:$BY$3),$BN$4:$BY$4),""),
"")</f>
        <v>0.3998862105988405</v>
      </c>
      <c r="BU33" s="8">
        <f>IF(_xlfn.XLOOKUP($B33,'ELC TECH'!$H:$H,'ELC TECH'!$E:$E)="Non Dispatchable",IFERROR($AX33*_xlfn.XLOOKUP($C33,$BM$1:$BM$3,BU$1:BU$3)/SUMPRODUCT(_xlfn.XLOOKUP($C33,$BM$1:$BM$3,$BN$1:$BY$3),$BN$4:$BY$4),""),
"")</f>
        <v>9.2660092245929731E-3</v>
      </c>
      <c r="BV33" s="8">
        <f>IF(_xlfn.XLOOKUP($B33,'ELC TECH'!$H:$H,'ELC TECH'!$E:$E)="Non Dispatchable",IFERROR($AX33*_xlfn.XLOOKUP($C33,$BM$1:$BM$3,BV$1:BV$3)/SUMPRODUCT(_xlfn.XLOOKUP($C33,$BM$1:$BM$3,$BN$1:$BY$3),$BN$4:$BY$4),""),
"")</f>
        <v>0.28232371856181715</v>
      </c>
      <c r="BW33" s="8">
        <f>IF(_xlfn.XLOOKUP($B33,'ELC TECH'!$H:$H,'ELC TECH'!$E:$E)="Non Dispatchable",IFERROR($AX33*_xlfn.XLOOKUP($C33,$BM$1:$BM$3,BW$1:BW$3)/SUMPRODUCT(_xlfn.XLOOKUP($C33,$BM$1:$BM$3,$BN$1:$BY$3),$BN$4:$BY$4),""),
"")</f>
        <v>0.31475475084789256</v>
      </c>
      <c r="BX33" s="8">
        <f>IF(_xlfn.XLOOKUP($B33,'ELC TECH'!$H:$H,'ELC TECH'!$E:$E)="Non Dispatchable",IFERROR($AX33*_xlfn.XLOOKUP($C33,$BM$1:$BM$3,BX$1:BX$3)/SUMPRODUCT(_xlfn.XLOOKUP($C33,$BM$1:$BM$3,$BN$1:$BY$3),$BN$4:$BY$4),""),
"")</f>
        <v>0.36282217370046854</v>
      </c>
      <c r="BY33" s="8">
        <f>IF(_xlfn.XLOOKUP($B33,'ELC TECH'!$H:$H,'ELC TECH'!$E:$E)="Non Dispatchable",IFERROR($AX33*_xlfn.XLOOKUP($C33,$BM$1:$BM$3,BY$1:BY$3)/SUMPRODUCT(_xlfn.XLOOKUP($C33,$BM$1:$BM$3,$BN$1:$BY$3),$BN$4:$BY$4),""),
"")</f>
        <v>7.8181952832503208E-3</v>
      </c>
      <c r="BZ33" s="8">
        <f>IF(_xlfn.XLOOKUP($B33,'ELC TECH'!$H:$H,'ELC TECH'!$E:$E)="Non Dispatchable",IFERROR($AX33*_xlfn.XLOOKUP($C33,$BM$1:$BM$3,BZ$1:BZ$3)/SUMPRODUCT(_xlfn.XLOOKUP($C33,$BM$1:$BM$3,$BN$1:$BY$3),$BN$4:$BY$4),""),
"")</f>
        <v>0.23802061195673199</v>
      </c>
      <c r="CA33" s="8">
        <f>IF(_xlfn.XLOOKUP($B33,'ELC TECH'!$H:$H,'ELC TECH'!$E:$E)="Non Dispatchable",IFERROR($AX33*_xlfn.XLOOKUP($C33,$BM$1:$BM$3,CA$1:CA$3)/SUMPRODUCT(_xlfn.XLOOKUP($C33,$BM$1:$BM$3,$BN$1:$BY$3),$BN$4:$BY$4),""),
"")</f>
        <v>0.27711158837298355</v>
      </c>
      <c r="CB33" s="8">
        <f>IF(_xlfn.XLOOKUP($B33,'ELC TECH'!$H:$H,'ELC TECH'!$E:$E)="Non Dispatchable",IFERROR($AX33*_xlfn.XLOOKUP($C33,$BM$1:$BM$3,CB$1:CB$3)/SUMPRODUCT(_xlfn.XLOOKUP($C33,$BM$1:$BM$3,$BN$1:$BY$3),$BN$4:$BY$4),""),
"")</f>
        <v>0.44361019162738857</v>
      </c>
      <c r="CC33" s="8">
        <f>IF(_xlfn.XLOOKUP($B33,'ELC TECH'!$H:$H,'ELC TECH'!$E:$E)="Non Dispatchable",IFERROR($AX33*_xlfn.XLOOKUP($C33,$BM$1:$BM$3,CC$1:CC$3)/SUMPRODUCT(_xlfn.XLOOKUP($C33,$BM$1:$BM$3,$BN$1:$BY$3),$BN$4:$BY$4),""),
"")</f>
        <v>9.2660092245929731E-3</v>
      </c>
      <c r="CD33" s="8">
        <f>IF(_xlfn.XLOOKUP($B33,'ELC TECH'!$H:$H,'ELC TECH'!$E:$E)="Non Dispatchable",IFERROR($AX33*_xlfn.XLOOKUP($C33,$BM$1:$BM$3,CD$1:CD$3)/SUMPRODUCT(_xlfn.XLOOKUP($C33,$BM$1:$BM$3,$BN$1:$BY$3),$BN$4:$BY$4),""),
"")</f>
        <v>0.2359936724388523</v>
      </c>
      <c r="CE33" s="8">
        <f>IF(_xlfn.XLOOKUP($B33,'ELC TECH'!$H:$H,'ELC TECH'!$E:$E)="Non Dispatchable",IFERROR($AX33*_xlfn.XLOOKUP($C33,$BM$1:$BM$3,CE$1:CE$3)/SUMPRODUCT(_xlfn.XLOOKUP($C33,$BM$1:$BM$3,$BN$1:$BY$3),$BN$4:$BY$4),""),
"")</f>
        <v>0.31475475084789256</v>
      </c>
      <c r="CF33" s="8">
        <f>IF(_xlfn.XLOOKUP($B33,'ELC TECH'!$H:$H,'ELC TECH'!$E:$E)="Non Dispatchable",IFERROR($AX33*_xlfn.XLOOKUP($C33,$BM$1:$BM$3,CF$1:CF$3)/SUMPRODUCT(_xlfn.XLOOKUP($C33,$BM$1:$BM$3,$BN$1:$BY$3),$BN$4:$BY$4),""),
"")</f>
        <v>0.3998862105988405</v>
      </c>
      <c r="CG33" s="8">
        <f>IF(_xlfn.XLOOKUP($B33,'ELC TECH'!$H:$H,'ELC TECH'!$E:$E)="Non Dispatchable",IFERROR($AX33*_xlfn.XLOOKUP($C33,$BM$1:$BM$3,CG$1:CG$3)/SUMPRODUCT(_xlfn.XLOOKUP($C33,$BM$1:$BM$3,$BN$1:$BY$3),$BN$4:$BY$4),""),
"")</f>
        <v>9.2660092245929731E-3</v>
      </c>
      <c r="CH33" s="8">
        <f>IF(_xlfn.XLOOKUP($B33,'ELC TECH'!$H:$H,'ELC TECH'!$E:$E)="Non Dispatchable",IFERROR($AX33*_xlfn.XLOOKUP($C33,$BM$1:$BM$3,CH$1:CH$3)/SUMPRODUCT(_xlfn.XLOOKUP($C33,$BM$1:$BM$3,$BN$1:$BY$3),$BN$4:$BY$4),""),
"")</f>
        <v>0.28232371856181715</v>
      </c>
      <c r="CI33" s="8">
        <f>IF(_xlfn.XLOOKUP($B33,'ELC TECH'!$H:$H,'ELC TECH'!$E:$E)="Non Dispatchable",IFERROR($AX33*_xlfn.XLOOKUP($C33,$BM$1:$BM$3,CI$1:CI$3)/SUMPRODUCT(_xlfn.XLOOKUP($C33,$BM$1:$BM$3,$BN$1:$BY$3),$BN$4:$BY$4),""),
"")</f>
        <v>0.31475475084789256</v>
      </c>
      <c r="CJ33" s="8">
        <f>IF(_xlfn.XLOOKUP($B33,'ELC TECH'!$H:$H,'ELC TECH'!$E:$E)="Non Dispatchable",IFERROR($AX33*_xlfn.XLOOKUP($C33,$BM$1:$BM$3,CJ$1:CJ$3)/SUMPRODUCT(_xlfn.XLOOKUP($C33,$BM$1:$BM$3,$BN$1:$BY$3),$BN$4:$BY$4),""),
"")</f>
        <v>0.36282217370046854</v>
      </c>
      <c r="CK33" s="8">
        <f>IF(_xlfn.XLOOKUP($B33,'ELC TECH'!$H:$H,'ELC TECH'!$E:$E)="Non Dispatchable",IFERROR($AX33*_xlfn.XLOOKUP($C33,$BM$1:$BM$3,CK$1:CK$3)/SUMPRODUCT(_xlfn.XLOOKUP($C33,$BM$1:$BM$3,$BN$1:$BY$3),$BN$4:$BY$4),""),
"")</f>
        <v>7.8181952832503208E-3</v>
      </c>
      <c r="CL33" s="8" t="str">
        <f>IF(_xlfn.XLOOKUP($B33,'ELC TECH'!$H:$H,'ELC TECH'!$E:$E)="Storage",CL$4*$BF33,"")</f>
        <v/>
      </c>
      <c r="CM33" s="8" t="str">
        <f>IF(_xlfn.XLOOKUP($B33,'ELC TECH'!$H:$H,'ELC TECH'!$E:$E)="Storage",CM$4*$BF33,"")</f>
        <v/>
      </c>
      <c r="CN33" s="8" t="str">
        <f>IF(_xlfn.XLOOKUP($B33,'ELC TECH'!$H:$H,'ELC TECH'!$E:$E)="Storage",CN$4*$BF33,"")</f>
        <v/>
      </c>
      <c r="CO33" s="8" t="str">
        <f>IF(_xlfn.XLOOKUP($B33,'ELC TECH'!$H:$H,'ELC TECH'!$E:$E)="Storage",CO$4*$BF33,"")</f>
        <v/>
      </c>
      <c r="CP33" s="8" t="str">
        <f>IF(_xlfn.XLOOKUP($B33,'ELC TECH'!$H:$H,'ELC TECH'!$E:$E)="Storage",CP$4*$BF33,"")</f>
        <v/>
      </c>
      <c r="CQ33" s="8" t="str">
        <f>IF(_xlfn.XLOOKUP($B33,'ELC TECH'!$H:$H,'ELC TECH'!$E:$E)="Storage",CQ$4*$BF33,"")</f>
        <v/>
      </c>
      <c r="CR33" s="8" t="str">
        <f>IF(_xlfn.XLOOKUP($B33,'ELC TECH'!$H:$H,'ELC TECH'!$E:$E)="Storage",CR$4*$BF33,"")</f>
        <v/>
      </c>
      <c r="CS33" s="8" t="str">
        <f>IF(_xlfn.XLOOKUP($B33,'ELC TECH'!$H:$H,'ELC TECH'!$E:$E)="Storage",CS$4*$BF33,"")</f>
        <v/>
      </c>
      <c r="CT33" s="8" t="str">
        <f>IF(_xlfn.XLOOKUP($B33,'ELC TECH'!$H:$H,'ELC TECH'!$E:$E)="Storage",CT$4*$BF33,"")</f>
        <v/>
      </c>
      <c r="CU33" s="8" t="str">
        <f>IF(_xlfn.XLOOKUP($B33,'ELC TECH'!$H:$H,'ELC TECH'!$E:$E)="Storage",CU$4*$BF33,"")</f>
        <v/>
      </c>
      <c r="CV33" s="8" t="str">
        <f>IF(_xlfn.XLOOKUP($B33,'ELC TECH'!$H:$H,'ELC TECH'!$E:$E)="Storage",CV$4*$BF33,"")</f>
        <v/>
      </c>
      <c r="CW33" s="8" t="str">
        <f>IF(_xlfn.XLOOKUP($B33,'ELC TECH'!$H:$H,'ELC TECH'!$E:$E)="Storage",CW$4*$BF33,"")</f>
        <v/>
      </c>
      <c r="CX33" s="8" t="str">
        <f>IF(_xlfn.XLOOKUP($B33,'ELC TECH'!$H:$H,'ELC TECH'!$E:$E)="Storage",CX$4*$BF33,"")</f>
        <v/>
      </c>
      <c r="CY33" s="8" t="str">
        <f>IF(_xlfn.XLOOKUP($B33,'ELC TECH'!$H:$H,'ELC TECH'!$E:$E)="Storage",CY$4*$BF33,"")</f>
        <v/>
      </c>
      <c r="CZ33" s="8" t="str">
        <f>IF(_xlfn.XLOOKUP($B33,'ELC TECH'!$H:$H,'ELC TECH'!$E:$E)="Storage",CZ$4*$BF33,"")</f>
        <v/>
      </c>
      <c r="DA33" s="8" t="str">
        <f>IF(_xlfn.XLOOKUP($B33,'ELC TECH'!$H:$H,'ELC TECH'!$E:$E)="Storage",DA$4*$BF33,"")</f>
        <v/>
      </c>
      <c r="DB33" s="8" t="str">
        <f>IF(_xlfn.XLOOKUP($B33,'ELC TECH'!$H:$H,'ELC TECH'!$E:$E)="Storage",DB$4*$BF33,"")</f>
        <v/>
      </c>
      <c r="DC33" s="8" t="str">
        <f>IF(_xlfn.XLOOKUP($B33,'ELC TECH'!$H:$H,'ELC TECH'!$E:$E)="Storage",DC$4*$BF33,"")</f>
        <v/>
      </c>
      <c r="DD33" s="8" t="str">
        <f>IF(_xlfn.XLOOKUP($B33,'ELC TECH'!$H:$H,'ELC TECH'!$E:$E)="Storage",DD$4*$BF33,"")</f>
        <v/>
      </c>
      <c r="DE33" s="8" t="str">
        <f>IF(_xlfn.XLOOKUP($B33,'ELC TECH'!$H:$H,'ELC TECH'!$E:$E)="Storage",DE$4*$BF33,"")</f>
        <v/>
      </c>
      <c r="DF33" s="8" t="str">
        <f>IF(_xlfn.XLOOKUP($B33,'ELC TECH'!$H:$H,'ELC TECH'!$E:$E)="Storage",DF$4*$BF33,"")</f>
        <v/>
      </c>
      <c r="DG33" s="8" t="str">
        <f>IF(_xlfn.XLOOKUP($B33,'ELC TECH'!$H:$H,'ELC TECH'!$E:$E)="Storage",DG$4*$BF33,"")</f>
        <v/>
      </c>
      <c r="DH33" s="8" t="str">
        <f>IF(_xlfn.XLOOKUP($B33,'ELC TECH'!$H:$H,'ELC TECH'!$E:$E)="Storage",DH$4*$BF33,"")</f>
        <v/>
      </c>
      <c r="DI33" s="8" t="str">
        <f>IF(_xlfn.XLOOKUP($B33,'ELC TECH'!$H:$H,'ELC TECH'!$E:$E)="Storage",DI$4*$BF33,"")</f>
        <v/>
      </c>
    </row>
    <row r="34" spans="2:113" x14ac:dyDescent="0.25">
      <c r="B34" t="str">
        <f>IF('ELC TECH'!I27=0,"*",'ELC TECH'!H27)</f>
        <v>ELCHYDGRDHUPNDC420</v>
      </c>
      <c r="C34" t="str">
        <f>IF(_xlfn.XLOOKUP(_xlfn.XLOOKUP(B34,'ELC TECH'!$H:$H,'ELC TECH'!$G:$G),List!C:C,List!B:B)="STG",D34,"ELC"&amp;_xlfn.XLOOKUP(_xlfn.XLOOKUP(B34,'ELC TECH'!H:H,'ELC TECH'!G:G),List!C:C,List!B:B))</f>
        <v>ELCHYD</v>
      </c>
      <c r="D34" t="s">
        <v>544</v>
      </c>
      <c r="E34">
        <f>_xlfn.XLOOKUP(B34,'ELC TECH'!H:H,'ELC TECH'!D:D)</f>
        <v>2020</v>
      </c>
      <c r="F34">
        <f>_xlfn.XLOOKUP(B34,'ELC TECH'!H:H,'ELC TECH'!K:K)</f>
        <v>100</v>
      </c>
      <c r="G34">
        <f t="shared" si="4"/>
        <v>31.535999999999998</v>
      </c>
      <c r="H34">
        <f>IF(_xlfn.XLOOKUP(B34,'ELC TECH'!$H:$H,'ELC TECH'!$E:$E)="Storage",0.3,IF(_xlfn.XLOOKUP(B34,'ELC TECH'!$H:$H,'ELC TECH'!$E:$E)="Baseload",0.9,IF(_xlfn.XLOOKUP(B34,'ELC TECH'!$H:$H,'ELC TECH'!$E:$E)="Non Dispatchable",0.05,IF(_xlfn.XLOOKUP(B34,'ELC TECH'!$H:$H,'ELC TECH'!$E:$E)="Dispatchable",0.9,1))))</f>
        <v>0.05</v>
      </c>
      <c r="I34" s="13">
        <f>IF(_xlfn.XLOOKUP(B34,'ELC TECH'!H:H,'ELC TECH'!J:J)="","",_xlfn.XLOOKUP(B34,'ELC TECH'!H:H,'ELC TECH'!J:J))</f>
        <v>0</v>
      </c>
      <c r="J34" s="12">
        <f>IF(_xlfn.XLOOKUP($B34,'ELC TECH'!$H:$H,'ELC TECH'!$E:$E)="Storage","",IF(_xlfn.XLOOKUP($B34,'ELC TECH'!$H:$H,'ELC TECH'!AK:AK)="",1,_xlfn.XLOOKUP($B34,'ELC TECH'!$H:$H,'ELC TECH'!AK:AK)))</f>
        <v>1</v>
      </c>
      <c r="K34" s="12">
        <f>IF(_xlfn.XLOOKUP($B34,'ELC TECH'!$H:$H,'ELC TECH'!$E:$E)="Storage","",IF(_xlfn.XLOOKUP($B34,'ELC TECH'!$H:$H,'ELC TECH'!AL:AL)="",1,_xlfn.XLOOKUP($B34,'ELC TECH'!$H:$H,'ELC TECH'!AL:AL)))</f>
        <v>1</v>
      </c>
      <c r="L34" s="12">
        <f>IF(_xlfn.XLOOKUP($B34,'ELC TECH'!$H:$H,'ELC TECH'!$E:$E)="Storage","",IF(_xlfn.XLOOKUP($B34,'ELC TECH'!$H:$H,'ELC TECH'!AM:AM)="",1,_xlfn.XLOOKUP($B34,'ELC TECH'!$H:$H,'ELC TECH'!AM:AM)))</f>
        <v>1</v>
      </c>
      <c r="M34" s="12">
        <f>IF(_xlfn.XLOOKUP($B34,'ELC TECH'!$H:$H,'ELC TECH'!$E:$E)="Storage","",IF(_xlfn.XLOOKUP($B34,'ELC TECH'!$H:$H,'ELC TECH'!AN:AN)="",1,_xlfn.XLOOKUP($B34,'ELC TECH'!$H:$H,'ELC TECH'!AN:AN)))</f>
        <v>1</v>
      </c>
      <c r="N34" s="12">
        <f>IF(_xlfn.XLOOKUP($B34,'ELC TECH'!$H:$H,'ELC TECH'!$E:$E)="Storage","",IF(_xlfn.XLOOKUP($B34,'ELC TECH'!$H:$H,'ELC TECH'!AO:AO)="",1,_xlfn.XLOOKUP($B34,'ELC TECH'!$H:$H,'ELC TECH'!AO:AO)))</f>
        <v>1</v>
      </c>
      <c r="O34" s="12">
        <f>IF(_xlfn.XLOOKUP($B34,'ELC TECH'!$H:$H,'ELC TECH'!$E:$E)="Storage","",IF(_xlfn.XLOOKUP($B34,'ELC TECH'!$H:$H,'ELC TECH'!AP:AP)="",1,_xlfn.XLOOKUP($B34,'ELC TECH'!$H:$H,'ELC TECH'!AP:AP)))</f>
        <v>1</v>
      </c>
      <c r="P34" s="12">
        <f>IF(_xlfn.XLOOKUP($B34,'ELC TECH'!$H:$H,'ELC TECH'!$E:$E)="Storage","",IF(_xlfn.XLOOKUP($B34,'ELC TECH'!$H:$H,'ELC TECH'!AQ:AQ)="",1,_xlfn.XLOOKUP($B34,'ELC TECH'!$H:$H,'ELC TECH'!AQ:AQ)))</f>
        <v>1</v>
      </c>
      <c r="Q34" s="12">
        <f>IF(_xlfn.XLOOKUP($B34,'ELC TECH'!$H:$H,'ELC TECH'!$E:$E)="Storage","",IF(_xlfn.XLOOKUP($B34,'ELC TECH'!$H:$H,'ELC TECH'!AR:AR)="",1,_xlfn.XLOOKUP($B34,'ELC TECH'!$H:$H,'ELC TECH'!AR:AR)))</f>
        <v>1</v>
      </c>
      <c r="R34" s="12" t="str">
        <f>IF(_xlfn.XLOOKUP($B34,'ELC TECH'!$H:$H,'ELC TECH'!$E:$E)&lt;&gt;"Storage","",IF(_xlfn.XLOOKUP($B34,'ELC TECH'!$H:$H,'ELC TECH'!AK:AK)="",0.8,_xlfn.XLOOKUP($B34,'ELC TECH'!$H:$H,'ELC TECH'!AK:AK)))</f>
        <v/>
      </c>
      <c r="S34" s="12" t="str">
        <f>IF(_xlfn.XLOOKUP($B34,'ELC TECH'!$H:$H,'ELC TECH'!$E:$E)&lt;&gt;"Storage","",IF(_xlfn.XLOOKUP($B34,'ELC TECH'!$H:$H,'ELC TECH'!AL:AL)="",0.8,_xlfn.XLOOKUP($B34,'ELC TECH'!$H:$H,'ELC TECH'!AL:AL)))</f>
        <v/>
      </c>
      <c r="T34" s="12" t="str">
        <f>IF(_xlfn.XLOOKUP($B34,'ELC TECH'!$H:$H,'ELC TECH'!$E:$E)&lt;&gt;"Storage","",IF(_xlfn.XLOOKUP($B34,'ELC TECH'!$H:$H,'ELC TECH'!AM:AM)="",0.8,_xlfn.XLOOKUP($B34,'ELC TECH'!$H:$H,'ELC TECH'!AM:AM)))</f>
        <v/>
      </c>
      <c r="U34" s="12" t="str">
        <f>IF(_xlfn.XLOOKUP($B34,'ELC TECH'!$H:$H,'ELC TECH'!$E:$E)&lt;&gt;"Storage","",IF(_xlfn.XLOOKUP($B34,'ELC TECH'!$H:$H,'ELC TECH'!AN:AN)="",0.8,_xlfn.XLOOKUP($B34,'ELC TECH'!$H:$H,'ELC TECH'!AN:AN)))</f>
        <v/>
      </c>
      <c r="V34" s="12" t="str">
        <f>IF(_xlfn.XLOOKUP($B34,'ELC TECH'!$H:$H,'ELC TECH'!$E:$E)&lt;&gt;"Storage","",IF(_xlfn.XLOOKUP($B34,'ELC TECH'!$H:$H,'ELC TECH'!AO:AO)="",0.8,_xlfn.XLOOKUP($B34,'ELC TECH'!$H:$H,'ELC TECH'!AO:AO)))</f>
        <v/>
      </c>
      <c r="W34" s="12" t="str">
        <f>IF(_xlfn.XLOOKUP($B34,'ELC TECH'!$H:$H,'ELC TECH'!$E:$E)&lt;&gt;"Storage","",IF(_xlfn.XLOOKUP($B34,'ELC TECH'!$H:$H,'ELC TECH'!AP:AP)="",0.8,_xlfn.XLOOKUP($B34,'ELC TECH'!$H:$H,'ELC TECH'!AP:AP)))</f>
        <v/>
      </c>
      <c r="X34" s="12" t="str">
        <f>IF(_xlfn.XLOOKUP($B34,'ELC TECH'!$H:$H,'ELC TECH'!$E:$E)&lt;&gt;"Storage","",IF(_xlfn.XLOOKUP($B34,'ELC TECH'!$H:$H,'ELC TECH'!AQ:AQ)="",0.8,_xlfn.XLOOKUP($B34,'ELC TECH'!$H:$H,'ELC TECH'!AQ:AQ)))</f>
        <v/>
      </c>
      <c r="Y34" s="12" t="str">
        <f>IF(_xlfn.XLOOKUP($B34,'ELC TECH'!$H:$H,'ELC TECH'!$E:$E)&lt;&gt;"Storage","",IF(_xlfn.XLOOKUP($B34,'ELC TECH'!$H:$H,'ELC TECH'!AR:AR)="",0.8,_xlfn.XLOOKUP($B34,'ELC TECH'!$H:$H,'ELC TECH'!AR:AR)))</f>
        <v/>
      </c>
      <c r="Z34" s="15">
        <f>_xlfn.XLOOKUP($B34,'ELC TECH'!$H:$H,'ELC TECH'!M:M)</f>
        <v>14006.80078622317</v>
      </c>
      <c r="AA34" s="15">
        <f>_xlfn.XLOOKUP($B34,'ELC TECH'!$H:$H,'ELC TECH'!N:N)</f>
        <v>14006.80078622317</v>
      </c>
      <c r="AB34" s="15">
        <f>_xlfn.XLOOKUP($B34,'ELC TECH'!$H:$H,'ELC TECH'!O:O)</f>
        <v>11382.292460977031</v>
      </c>
      <c r="AC34" s="15">
        <f>_xlfn.XLOOKUP($B34,'ELC TECH'!$H:$H,'ELC TECH'!P:P)</f>
        <v>8758.9149019201323</v>
      </c>
      <c r="AD34" s="15">
        <f>_xlfn.XLOOKUP($B34,'ELC TECH'!$H:$H,'ELC TECH'!Q:Q)</f>
        <v>8408.3773832530478</v>
      </c>
      <c r="AE34" s="15">
        <f>_xlfn.XLOOKUP($B34,'ELC TECH'!$H:$H,'ELC TECH'!R:R)</f>
        <v>8408.3773832530478</v>
      </c>
      <c r="AF34" s="15">
        <f>_xlfn.XLOOKUP($B34,'ELC TECH'!$H:$H,'ELC TECH'!S:S)</f>
        <v>8408.3773832530478</v>
      </c>
      <c r="AG34" s="15">
        <f>_xlfn.XLOOKUP($B34,'ELC TECH'!$H:$H,'ELC TECH'!T:T)</f>
        <v>8408.3773832530478</v>
      </c>
      <c r="AH34" s="15">
        <f>_xlfn.XLOOKUP($B34,'ELC TECH'!$H:$H,'ELC TECH'!U:U)</f>
        <v>196.7533169292671</v>
      </c>
      <c r="AI34" s="15">
        <f>_xlfn.XLOOKUP($B34,'ELC TECH'!$H:$H,'ELC TECH'!V:V)</f>
        <v>196.7533169292671</v>
      </c>
      <c r="AJ34" s="15">
        <f>_xlfn.XLOOKUP($B34,'ELC TECH'!$H:$H,'ELC TECH'!W:W)</f>
        <v>196.7533169292671</v>
      </c>
      <c r="AK34" s="15">
        <f>_xlfn.XLOOKUP($B34,'ELC TECH'!$H:$H,'ELC TECH'!X:X)</f>
        <v>196.7533169292671</v>
      </c>
      <c r="AL34" s="15">
        <f>_xlfn.XLOOKUP($B34,'ELC TECH'!$H:$H,'ELC TECH'!Y:Y)</f>
        <v>188.83795360452649</v>
      </c>
      <c r="AM34" s="15">
        <f>_xlfn.XLOOKUP($B34,'ELC TECH'!$H:$H,'ELC TECH'!Z:Z)</f>
        <v>188.83795360452649</v>
      </c>
      <c r="AN34" s="15">
        <f>_xlfn.XLOOKUP($B34,'ELC TECH'!$H:$H,'ELC TECH'!AA:AA)</f>
        <v>188.83795360452649</v>
      </c>
      <c r="AO34" s="15">
        <f>_xlfn.XLOOKUP($B34,'ELC TECH'!$H:$H,'ELC TECH'!AB:AB)</f>
        <v>188.83795360452649</v>
      </c>
      <c r="AP34" s="15">
        <f>_xlfn.XLOOKUP($B34,'ELC TECH'!$H:$H,'ELC TECH'!AC:AC)</f>
        <v>0</v>
      </c>
      <c r="AQ34" s="15">
        <f>_xlfn.XLOOKUP($B34,'ELC TECH'!$H:$H,'ELC TECH'!AD:AD)</f>
        <v>0</v>
      </c>
      <c r="AR34" s="15">
        <f>_xlfn.XLOOKUP($B34,'ELC TECH'!$H:$H,'ELC TECH'!AE:AE)</f>
        <v>0</v>
      </c>
      <c r="AS34" s="15">
        <f>_xlfn.XLOOKUP($B34,'ELC TECH'!$H:$H,'ELC TECH'!AF:AF)</f>
        <v>0</v>
      </c>
      <c r="AT34" s="15">
        <f>_xlfn.XLOOKUP($B34,'ELC TECH'!$H:$H,'ELC TECH'!AG:AG)</f>
        <v>0</v>
      </c>
      <c r="AU34" s="15">
        <f>_xlfn.XLOOKUP($B34,'ELC TECH'!$H:$H,'ELC TECH'!AH:AH)</f>
        <v>0</v>
      </c>
      <c r="AV34" s="15">
        <f>_xlfn.XLOOKUP($B34,'ELC TECH'!$H:$H,'ELC TECH'!AI:AI)</f>
        <v>0</v>
      </c>
      <c r="AW34" s="15">
        <f>_xlfn.XLOOKUP($B34,'ELC TECH'!$H:$H,'ELC TECH'!AJ:AJ)</f>
        <v>0</v>
      </c>
      <c r="AX34" s="12">
        <f>IF(_xlfn.XLOOKUP($B34,'ELC TECH'!$H:$H,'ELC TECH'!$E:$E)="Storage","",_xlfn.XLOOKUP($B34,'ELC TECH'!$H:$H,'ELC TECH'!AS:AS))</f>
        <v>0.37999999999999989</v>
      </c>
      <c r="AY34" s="12">
        <f>IF(_xlfn.XLOOKUP($B34,'ELC TECH'!$H:$H,'ELC TECH'!$E:$E)="Storage","",_xlfn.XLOOKUP($B34,'ELC TECH'!$H:$H,'ELC TECH'!AT:AT))</f>
        <v>0.37999999999999989</v>
      </c>
      <c r="AZ34" s="12">
        <f>IF(_xlfn.XLOOKUP($B34,'ELC TECH'!$H:$H,'ELC TECH'!$E:$E)="Storage","",_xlfn.XLOOKUP($B34,'ELC TECH'!$H:$H,'ELC TECH'!AU:AU))</f>
        <v>0.37999999999999989</v>
      </c>
      <c r="BA34" s="12">
        <f>IF(_xlfn.XLOOKUP($B34,'ELC TECH'!$H:$H,'ELC TECH'!$E:$E)="Storage","",_xlfn.XLOOKUP($B34,'ELC TECH'!$H:$H,'ELC TECH'!AV:AV))</f>
        <v>0.37999999999999989</v>
      </c>
      <c r="BB34" s="12">
        <f>IF(_xlfn.XLOOKUP($B34,'ELC TECH'!$H:$H,'ELC TECH'!$E:$E)="Storage","",_xlfn.XLOOKUP($B34,'ELC TECH'!$H:$H,'ELC TECH'!AW:AW))</f>
        <v>0.37999999999999989</v>
      </c>
      <c r="BC34" s="12">
        <f>IF(_xlfn.XLOOKUP($B34,'ELC TECH'!$H:$H,'ELC TECH'!$E:$E)="Storage","",_xlfn.XLOOKUP($B34,'ELC TECH'!$H:$H,'ELC TECH'!AX:AX))</f>
        <v>0.37999999999999989</v>
      </c>
      <c r="BD34" s="12">
        <f>IF(_xlfn.XLOOKUP($B34,'ELC TECH'!$H:$H,'ELC TECH'!$E:$E)="Storage","",_xlfn.XLOOKUP($B34,'ELC TECH'!$H:$H,'ELC TECH'!AY:AY))</f>
        <v>0.37999999999999989</v>
      </c>
      <c r="BE34" s="12">
        <f>IF(_xlfn.XLOOKUP($B34,'ELC TECH'!$H:$H,'ELC TECH'!$E:$E)="Storage","",_xlfn.XLOOKUP($B34,'ELC TECH'!$H:$H,'ELC TECH'!AZ:AZ))</f>
        <v>0.37999999999999989</v>
      </c>
      <c r="BF34" s="12" t="str">
        <f>IF(_xlfn.XLOOKUP($B34,'ELC TECH'!$H:$H,'ELC TECH'!$E:$E)="Storage",_xlfn.XLOOKUP($B34,'ELC TECH'!$H:$H,'ELC TECH'!AS:AS),"")</f>
        <v/>
      </c>
      <c r="BG34" s="12" t="str">
        <f>IF(_xlfn.XLOOKUP($B34,'ELC TECH'!$H:$H,'ELC TECH'!$E:$E)="Storage",_xlfn.XLOOKUP($B34,'ELC TECH'!$H:$H,'ELC TECH'!AT:AT),"")</f>
        <v/>
      </c>
      <c r="BH34" s="12" t="str">
        <f>IF(_xlfn.XLOOKUP($B34,'ELC TECH'!$H:$H,'ELC TECH'!$E:$E)="Storage",_xlfn.XLOOKUP($B34,'ELC TECH'!$H:$H,'ELC TECH'!AU:AU),"")</f>
        <v/>
      </c>
      <c r="BI34" s="12" t="str">
        <f>IF(_xlfn.XLOOKUP($B34,'ELC TECH'!$H:$H,'ELC TECH'!$E:$E)="Storage",_xlfn.XLOOKUP($B34,'ELC TECH'!$H:$H,'ELC TECH'!AV:AV),"")</f>
        <v/>
      </c>
      <c r="BJ34" s="12" t="str">
        <f>IF(_xlfn.XLOOKUP($B34,'ELC TECH'!$H:$H,'ELC TECH'!$E:$E)="Storage",_xlfn.XLOOKUP($B34,'ELC TECH'!$H:$H,'ELC TECH'!AW:AW),"")</f>
        <v/>
      </c>
      <c r="BK34" s="12" t="str">
        <f>IF(_xlfn.XLOOKUP($B34,'ELC TECH'!$H:$H,'ELC TECH'!$E:$E)="Storage",_xlfn.XLOOKUP($B34,'ELC TECH'!$H:$H,'ELC TECH'!AX:AX),"")</f>
        <v/>
      </c>
      <c r="BL34" s="12" t="str">
        <f>IF(_xlfn.XLOOKUP($B34,'ELC TECH'!$H:$H,'ELC TECH'!$E:$E)="Storage",_xlfn.XLOOKUP($B34,'ELC TECH'!$H:$H,'ELC TECH'!AY:AY),"")</f>
        <v/>
      </c>
      <c r="BM34" s="12" t="str">
        <f>IF(_xlfn.XLOOKUP($B34,'ELC TECH'!$H:$H,'ELC TECH'!$E:$E)="Storage",_xlfn.XLOOKUP($B34,'ELC TECH'!$H:$H,'ELC TECH'!AZ:AZ),"")</f>
        <v/>
      </c>
      <c r="BN34" s="8">
        <f>IF(_xlfn.XLOOKUP($B34,'ELC TECH'!$H:$H,'ELC TECH'!$E:$E)="Non Dispatchable",IFERROR($AX34*_xlfn.XLOOKUP($C34,$BM$1:$BM$3,BN$1:BN$3)/SUMPRODUCT(_xlfn.XLOOKUP($C34,$BM$1:$BM$3,$BN$1:$BY$3),$BN$4:$BY$4),""),
"")</f>
        <v>0.2740843410410852</v>
      </c>
      <c r="BO34" s="8">
        <f>IF(_xlfn.XLOOKUP($B34,'ELC TECH'!$H:$H,'ELC TECH'!$E:$E)="Non Dispatchable",IFERROR($AX34*_xlfn.XLOOKUP($C34,$BM$1:$BM$3,BO$1:BO$3)/SUMPRODUCT(_xlfn.XLOOKUP($C34,$BM$1:$BM$3,$BN$1:$BY$3),$BN$4:$BY$4),""),
"")</f>
        <v>0.31909819267192041</v>
      </c>
      <c r="BP34" s="8">
        <f>IF(_xlfn.XLOOKUP($B34,'ELC TECH'!$H:$H,'ELC TECH'!$E:$E)="Non Dispatchable",IFERROR($AX34*_xlfn.XLOOKUP($C34,$BM$1:$BM$3,BP$1:BP$3)/SUMPRODUCT(_xlfn.XLOOKUP($C34,$BM$1:$BM$3,$BN$1:$BY$3),$BN$4:$BY$4),""),
"")</f>
        <v>0.51082385702547761</v>
      </c>
      <c r="BQ34" s="8">
        <f>IF(_xlfn.XLOOKUP($B34,'ELC TECH'!$H:$H,'ELC TECH'!$E:$E)="Non Dispatchable",IFERROR($AX34*_xlfn.XLOOKUP($C34,$BM$1:$BM$3,BQ$1:BQ$3)/SUMPRODUCT(_xlfn.XLOOKUP($C34,$BM$1:$BM$3,$BN$1:$BY$3),$BN$4:$BY$4),""),
"")</f>
        <v>1.0669950016197966E-2</v>
      </c>
      <c r="BR34" s="8">
        <f>IF(_xlfn.XLOOKUP($B34,'ELC TECH'!$H:$H,'ELC TECH'!$E:$E)="Non Dispatchable",IFERROR($AX34*_xlfn.XLOOKUP($C34,$BM$1:$BM$3,BR$1:BR$3)/SUMPRODUCT(_xlfn.XLOOKUP($C34,$BM$1:$BM$3,$BN$1:$BY$3),$BN$4:$BY$4),""),
"")</f>
        <v>0.27175028947504198</v>
      </c>
      <c r="BS34" s="8">
        <f>IF(_xlfn.XLOOKUP($B34,'ELC TECH'!$H:$H,'ELC TECH'!$E:$E)="Non Dispatchable",IFERROR($AX34*_xlfn.XLOOKUP($C34,$BM$1:$BM$3,BS$1:BS$3)/SUMPRODUCT(_xlfn.XLOOKUP($C34,$BM$1:$BM$3,$BN$1:$BY$3),$BN$4:$BY$4),""),
"")</f>
        <v>0.36244486461272463</v>
      </c>
      <c r="BT34" s="8">
        <f>IF(_xlfn.XLOOKUP($B34,'ELC TECH'!$H:$H,'ELC TECH'!$E:$E)="Non Dispatchable",IFERROR($AX34*_xlfn.XLOOKUP($C34,$BM$1:$BM$3,BT$1:BT$3)/SUMPRODUCT(_xlfn.XLOOKUP($C34,$BM$1:$BM$3,$BN$1:$BY$3),$BN$4:$BY$4),""),
"")</f>
        <v>0.46047503038654342</v>
      </c>
      <c r="BU34" s="8">
        <f>IF(_xlfn.XLOOKUP($B34,'ELC TECH'!$H:$H,'ELC TECH'!$E:$E)="Non Dispatchable",IFERROR($AX34*_xlfn.XLOOKUP($C34,$BM$1:$BM$3,BU$1:BU$3)/SUMPRODUCT(_xlfn.XLOOKUP($C34,$BM$1:$BM$3,$BN$1:$BY$3),$BN$4:$BY$4),""),
"")</f>
        <v>1.0669950016197966E-2</v>
      </c>
      <c r="BV34" s="8">
        <f>IF(_xlfn.XLOOKUP($B34,'ELC TECH'!$H:$H,'ELC TECH'!$E:$E)="Non Dispatchable",IFERROR($AX34*_xlfn.XLOOKUP($C34,$BM$1:$BM$3,BV$1:BV$3)/SUMPRODUCT(_xlfn.XLOOKUP($C34,$BM$1:$BM$3,$BN$1:$BY$3),$BN$4:$BY$4),""),
"")</f>
        <v>0.32510003955603178</v>
      </c>
      <c r="BW34" s="8">
        <f>IF(_xlfn.XLOOKUP($B34,'ELC TECH'!$H:$H,'ELC TECH'!$E:$E)="Non Dispatchable",IFERROR($AX34*_xlfn.XLOOKUP($C34,$BM$1:$BM$3,BW$1:BW$3)/SUMPRODUCT(_xlfn.XLOOKUP($C34,$BM$1:$BM$3,$BN$1:$BY$3),$BN$4:$BY$4),""),
"")</f>
        <v>0.36244486461272463</v>
      </c>
      <c r="BX34" s="8">
        <f>IF(_xlfn.XLOOKUP($B34,'ELC TECH'!$H:$H,'ELC TECH'!$E:$E)="Non Dispatchable",IFERROR($AX34*_xlfn.XLOOKUP($C34,$BM$1:$BM$3,BX$1:BX$3)/SUMPRODUCT(_xlfn.XLOOKUP($C34,$BM$1:$BM$3,$BN$1:$BY$3),$BN$4:$BY$4),""),
"")</f>
        <v>0.41779523032175153</v>
      </c>
      <c r="BY34" s="8">
        <f>IF(_xlfn.XLOOKUP($B34,'ELC TECH'!$H:$H,'ELC TECH'!$E:$E)="Non Dispatchable",IFERROR($AX34*_xlfn.XLOOKUP($C34,$BM$1:$BM$3,BY$1:BY$3)/SUMPRODUCT(_xlfn.XLOOKUP($C34,$BM$1:$BM$3,$BN$1:$BY$3),$BN$4:$BY$4),""),
"")</f>
        <v>9.0027703261670346E-3</v>
      </c>
      <c r="BZ34" s="8">
        <f>IF(_xlfn.XLOOKUP($B34,'ELC TECH'!$H:$H,'ELC TECH'!$E:$E)="Non Dispatchable",IFERROR($AX34*_xlfn.XLOOKUP($C34,$BM$1:$BM$3,BZ$1:BZ$3)/SUMPRODUCT(_xlfn.XLOOKUP($C34,$BM$1:$BM$3,$BN$1:$BY$3),$BN$4:$BY$4),""),
"")</f>
        <v>0.2740843410410852</v>
      </c>
      <c r="CA34" s="8">
        <f>IF(_xlfn.XLOOKUP($B34,'ELC TECH'!$H:$H,'ELC TECH'!$E:$E)="Non Dispatchable",IFERROR($AX34*_xlfn.XLOOKUP($C34,$BM$1:$BM$3,CA$1:CA$3)/SUMPRODUCT(_xlfn.XLOOKUP($C34,$BM$1:$BM$3,$BN$1:$BY$3),$BN$4:$BY$4),""),
"")</f>
        <v>0.31909819267192041</v>
      </c>
      <c r="CB34" s="8">
        <f>IF(_xlfn.XLOOKUP($B34,'ELC TECH'!$H:$H,'ELC TECH'!$E:$E)="Non Dispatchable",IFERROR($AX34*_xlfn.XLOOKUP($C34,$BM$1:$BM$3,CB$1:CB$3)/SUMPRODUCT(_xlfn.XLOOKUP($C34,$BM$1:$BM$3,$BN$1:$BY$3),$BN$4:$BY$4),""),
"")</f>
        <v>0.51082385702547761</v>
      </c>
      <c r="CC34" s="8">
        <f>IF(_xlfn.XLOOKUP($B34,'ELC TECH'!$H:$H,'ELC TECH'!$E:$E)="Non Dispatchable",IFERROR($AX34*_xlfn.XLOOKUP($C34,$BM$1:$BM$3,CC$1:CC$3)/SUMPRODUCT(_xlfn.XLOOKUP($C34,$BM$1:$BM$3,$BN$1:$BY$3),$BN$4:$BY$4),""),
"")</f>
        <v>1.0669950016197966E-2</v>
      </c>
      <c r="CD34" s="8">
        <f>IF(_xlfn.XLOOKUP($B34,'ELC TECH'!$H:$H,'ELC TECH'!$E:$E)="Non Dispatchable",IFERROR($AX34*_xlfn.XLOOKUP($C34,$BM$1:$BM$3,CD$1:CD$3)/SUMPRODUCT(_xlfn.XLOOKUP($C34,$BM$1:$BM$3,$BN$1:$BY$3),$BN$4:$BY$4),""),
"")</f>
        <v>0.27175028947504198</v>
      </c>
      <c r="CE34" s="8">
        <f>IF(_xlfn.XLOOKUP($B34,'ELC TECH'!$H:$H,'ELC TECH'!$E:$E)="Non Dispatchable",IFERROR($AX34*_xlfn.XLOOKUP($C34,$BM$1:$BM$3,CE$1:CE$3)/SUMPRODUCT(_xlfn.XLOOKUP($C34,$BM$1:$BM$3,$BN$1:$BY$3),$BN$4:$BY$4),""),
"")</f>
        <v>0.36244486461272463</v>
      </c>
      <c r="CF34" s="8">
        <f>IF(_xlfn.XLOOKUP($B34,'ELC TECH'!$H:$H,'ELC TECH'!$E:$E)="Non Dispatchable",IFERROR($AX34*_xlfn.XLOOKUP($C34,$BM$1:$BM$3,CF$1:CF$3)/SUMPRODUCT(_xlfn.XLOOKUP($C34,$BM$1:$BM$3,$BN$1:$BY$3),$BN$4:$BY$4),""),
"")</f>
        <v>0.46047503038654342</v>
      </c>
      <c r="CG34" s="8">
        <f>IF(_xlfn.XLOOKUP($B34,'ELC TECH'!$H:$H,'ELC TECH'!$E:$E)="Non Dispatchable",IFERROR($AX34*_xlfn.XLOOKUP($C34,$BM$1:$BM$3,CG$1:CG$3)/SUMPRODUCT(_xlfn.XLOOKUP($C34,$BM$1:$BM$3,$BN$1:$BY$3),$BN$4:$BY$4),""),
"")</f>
        <v>1.0669950016197966E-2</v>
      </c>
      <c r="CH34" s="8">
        <f>IF(_xlfn.XLOOKUP($B34,'ELC TECH'!$H:$H,'ELC TECH'!$E:$E)="Non Dispatchable",IFERROR($AX34*_xlfn.XLOOKUP($C34,$BM$1:$BM$3,CH$1:CH$3)/SUMPRODUCT(_xlfn.XLOOKUP($C34,$BM$1:$BM$3,$BN$1:$BY$3),$BN$4:$BY$4),""),
"")</f>
        <v>0.32510003955603178</v>
      </c>
      <c r="CI34" s="8">
        <f>IF(_xlfn.XLOOKUP($B34,'ELC TECH'!$H:$H,'ELC TECH'!$E:$E)="Non Dispatchable",IFERROR($AX34*_xlfn.XLOOKUP($C34,$BM$1:$BM$3,CI$1:CI$3)/SUMPRODUCT(_xlfn.XLOOKUP($C34,$BM$1:$BM$3,$BN$1:$BY$3),$BN$4:$BY$4),""),
"")</f>
        <v>0.36244486461272463</v>
      </c>
      <c r="CJ34" s="8">
        <f>IF(_xlfn.XLOOKUP($B34,'ELC TECH'!$H:$H,'ELC TECH'!$E:$E)="Non Dispatchable",IFERROR($AX34*_xlfn.XLOOKUP($C34,$BM$1:$BM$3,CJ$1:CJ$3)/SUMPRODUCT(_xlfn.XLOOKUP($C34,$BM$1:$BM$3,$BN$1:$BY$3),$BN$4:$BY$4),""),
"")</f>
        <v>0.41779523032175153</v>
      </c>
      <c r="CK34" s="8">
        <f>IF(_xlfn.XLOOKUP($B34,'ELC TECH'!$H:$H,'ELC TECH'!$E:$E)="Non Dispatchable",IFERROR($AX34*_xlfn.XLOOKUP($C34,$BM$1:$BM$3,CK$1:CK$3)/SUMPRODUCT(_xlfn.XLOOKUP($C34,$BM$1:$BM$3,$BN$1:$BY$3),$BN$4:$BY$4),""),
"")</f>
        <v>9.0027703261670346E-3</v>
      </c>
      <c r="CL34" s="8" t="str">
        <f>IF(_xlfn.XLOOKUP($B34,'ELC TECH'!$H:$H,'ELC TECH'!$E:$E)="Storage",CL$4*$BF34,"")</f>
        <v/>
      </c>
      <c r="CM34" s="8" t="str">
        <f>IF(_xlfn.XLOOKUP($B34,'ELC TECH'!$H:$H,'ELC TECH'!$E:$E)="Storage",CM$4*$BF34,"")</f>
        <v/>
      </c>
      <c r="CN34" s="8" t="str">
        <f>IF(_xlfn.XLOOKUP($B34,'ELC TECH'!$H:$H,'ELC TECH'!$E:$E)="Storage",CN$4*$BF34,"")</f>
        <v/>
      </c>
      <c r="CO34" s="8" t="str">
        <f>IF(_xlfn.XLOOKUP($B34,'ELC TECH'!$H:$H,'ELC TECH'!$E:$E)="Storage",CO$4*$BF34,"")</f>
        <v/>
      </c>
      <c r="CP34" s="8" t="str">
        <f>IF(_xlfn.XLOOKUP($B34,'ELC TECH'!$H:$H,'ELC TECH'!$E:$E)="Storage",CP$4*$BF34,"")</f>
        <v/>
      </c>
      <c r="CQ34" s="8" t="str">
        <f>IF(_xlfn.XLOOKUP($B34,'ELC TECH'!$H:$H,'ELC TECH'!$E:$E)="Storage",CQ$4*$BF34,"")</f>
        <v/>
      </c>
      <c r="CR34" s="8" t="str">
        <f>IF(_xlfn.XLOOKUP($B34,'ELC TECH'!$H:$H,'ELC TECH'!$E:$E)="Storage",CR$4*$BF34,"")</f>
        <v/>
      </c>
      <c r="CS34" s="8" t="str">
        <f>IF(_xlfn.XLOOKUP($B34,'ELC TECH'!$H:$H,'ELC TECH'!$E:$E)="Storage",CS$4*$BF34,"")</f>
        <v/>
      </c>
      <c r="CT34" s="8" t="str">
        <f>IF(_xlfn.XLOOKUP($B34,'ELC TECH'!$H:$H,'ELC TECH'!$E:$E)="Storage",CT$4*$BF34,"")</f>
        <v/>
      </c>
      <c r="CU34" s="8" t="str">
        <f>IF(_xlfn.XLOOKUP($B34,'ELC TECH'!$H:$H,'ELC TECH'!$E:$E)="Storage",CU$4*$BF34,"")</f>
        <v/>
      </c>
      <c r="CV34" s="8" t="str">
        <f>IF(_xlfn.XLOOKUP($B34,'ELC TECH'!$H:$H,'ELC TECH'!$E:$E)="Storage",CV$4*$BF34,"")</f>
        <v/>
      </c>
      <c r="CW34" s="8" t="str">
        <f>IF(_xlfn.XLOOKUP($B34,'ELC TECH'!$H:$H,'ELC TECH'!$E:$E)="Storage",CW$4*$BF34,"")</f>
        <v/>
      </c>
      <c r="CX34" s="8" t="str">
        <f>IF(_xlfn.XLOOKUP($B34,'ELC TECH'!$H:$H,'ELC TECH'!$E:$E)="Storage",CX$4*$BF34,"")</f>
        <v/>
      </c>
      <c r="CY34" s="8" t="str">
        <f>IF(_xlfn.XLOOKUP($B34,'ELC TECH'!$H:$H,'ELC TECH'!$E:$E)="Storage",CY$4*$BF34,"")</f>
        <v/>
      </c>
      <c r="CZ34" s="8" t="str">
        <f>IF(_xlfn.XLOOKUP($B34,'ELC TECH'!$H:$H,'ELC TECH'!$E:$E)="Storage",CZ$4*$BF34,"")</f>
        <v/>
      </c>
      <c r="DA34" s="8" t="str">
        <f>IF(_xlfn.XLOOKUP($B34,'ELC TECH'!$H:$H,'ELC TECH'!$E:$E)="Storage",DA$4*$BF34,"")</f>
        <v/>
      </c>
      <c r="DB34" s="8" t="str">
        <f>IF(_xlfn.XLOOKUP($B34,'ELC TECH'!$H:$H,'ELC TECH'!$E:$E)="Storage",DB$4*$BF34,"")</f>
        <v/>
      </c>
      <c r="DC34" s="8" t="str">
        <f>IF(_xlfn.XLOOKUP($B34,'ELC TECH'!$H:$H,'ELC TECH'!$E:$E)="Storage",DC$4*$BF34,"")</f>
        <v/>
      </c>
      <c r="DD34" s="8" t="str">
        <f>IF(_xlfn.XLOOKUP($B34,'ELC TECH'!$H:$H,'ELC TECH'!$E:$E)="Storage",DD$4*$BF34,"")</f>
        <v/>
      </c>
      <c r="DE34" s="8" t="str">
        <f>IF(_xlfn.XLOOKUP($B34,'ELC TECH'!$H:$H,'ELC TECH'!$E:$E)="Storage",DE$4*$BF34,"")</f>
        <v/>
      </c>
      <c r="DF34" s="8" t="str">
        <f>IF(_xlfn.XLOOKUP($B34,'ELC TECH'!$H:$H,'ELC TECH'!$E:$E)="Storage",DF$4*$BF34,"")</f>
        <v/>
      </c>
      <c r="DG34" s="8" t="str">
        <f>IF(_xlfn.XLOOKUP($B34,'ELC TECH'!$H:$H,'ELC TECH'!$E:$E)="Storage",DG$4*$BF34,"")</f>
        <v/>
      </c>
      <c r="DH34" s="8" t="str">
        <f>IF(_xlfn.XLOOKUP($B34,'ELC TECH'!$H:$H,'ELC TECH'!$E:$E)="Storage",DH$4*$BF34,"")</f>
        <v/>
      </c>
      <c r="DI34" s="8" t="str">
        <f>IF(_xlfn.XLOOKUP($B34,'ELC TECH'!$H:$H,'ELC TECH'!$E:$E)="Storage",DI$4*$BF34,"")</f>
        <v/>
      </c>
    </row>
    <row r="35" spans="2:113" x14ac:dyDescent="0.25">
      <c r="B35" t="str">
        <f>IF('ELC TECH'!I28=0,"*",'ELC TECH'!H28)</f>
        <v>ELCHYDGRDHUPNDC520</v>
      </c>
      <c r="C35" t="str">
        <f>IF(_xlfn.XLOOKUP(_xlfn.XLOOKUP(B35,'ELC TECH'!$H:$H,'ELC TECH'!$G:$G),List!C:C,List!B:B)="STG",D35,"ELC"&amp;_xlfn.XLOOKUP(_xlfn.XLOOKUP(B35,'ELC TECH'!H:H,'ELC TECH'!G:G),List!C:C,List!B:B))</f>
        <v>ELCHYD</v>
      </c>
      <c r="D35" t="s">
        <v>544</v>
      </c>
      <c r="E35">
        <f>_xlfn.XLOOKUP(B35,'ELC TECH'!H:H,'ELC TECH'!D:D)</f>
        <v>2020</v>
      </c>
      <c r="F35">
        <f>_xlfn.XLOOKUP(B35,'ELC TECH'!H:H,'ELC TECH'!K:K)</f>
        <v>100</v>
      </c>
      <c r="G35">
        <f t="shared" si="4"/>
        <v>31.535999999999998</v>
      </c>
      <c r="H35">
        <f>IF(_xlfn.XLOOKUP(B35,'ELC TECH'!$H:$H,'ELC TECH'!$E:$E)="Storage",0.3,IF(_xlfn.XLOOKUP(B35,'ELC TECH'!$H:$H,'ELC TECH'!$E:$E)="Baseload",0.9,IF(_xlfn.XLOOKUP(B35,'ELC TECH'!$H:$H,'ELC TECH'!$E:$E)="Non Dispatchable",0.05,IF(_xlfn.XLOOKUP(B35,'ELC TECH'!$H:$H,'ELC TECH'!$E:$E)="Dispatchable",0.9,1))))</f>
        <v>0.05</v>
      </c>
      <c r="I35" s="13">
        <f>IF(_xlfn.XLOOKUP(B35,'ELC TECH'!H:H,'ELC TECH'!J:J)="","",_xlfn.XLOOKUP(B35,'ELC TECH'!H:H,'ELC TECH'!J:J))</f>
        <v>0</v>
      </c>
      <c r="J35" s="12">
        <f>IF(_xlfn.XLOOKUP($B35,'ELC TECH'!$H:$H,'ELC TECH'!$E:$E)="Storage","",IF(_xlfn.XLOOKUP($B35,'ELC TECH'!$H:$H,'ELC TECH'!AK:AK)="",1,_xlfn.XLOOKUP($B35,'ELC TECH'!$H:$H,'ELC TECH'!AK:AK)))</f>
        <v>1</v>
      </c>
      <c r="K35" s="12">
        <f>IF(_xlfn.XLOOKUP($B35,'ELC TECH'!$H:$H,'ELC TECH'!$E:$E)="Storage","",IF(_xlfn.XLOOKUP($B35,'ELC TECH'!$H:$H,'ELC TECH'!AL:AL)="",1,_xlfn.XLOOKUP($B35,'ELC TECH'!$H:$H,'ELC TECH'!AL:AL)))</f>
        <v>1</v>
      </c>
      <c r="L35" s="12">
        <f>IF(_xlfn.XLOOKUP($B35,'ELC TECH'!$H:$H,'ELC TECH'!$E:$E)="Storage","",IF(_xlfn.XLOOKUP($B35,'ELC TECH'!$H:$H,'ELC TECH'!AM:AM)="",1,_xlfn.XLOOKUP($B35,'ELC TECH'!$H:$H,'ELC TECH'!AM:AM)))</f>
        <v>1</v>
      </c>
      <c r="M35" s="12">
        <f>IF(_xlfn.XLOOKUP($B35,'ELC TECH'!$H:$H,'ELC TECH'!$E:$E)="Storage","",IF(_xlfn.XLOOKUP($B35,'ELC TECH'!$H:$H,'ELC TECH'!AN:AN)="",1,_xlfn.XLOOKUP($B35,'ELC TECH'!$H:$H,'ELC TECH'!AN:AN)))</f>
        <v>1</v>
      </c>
      <c r="N35" s="12">
        <f>IF(_xlfn.XLOOKUP($B35,'ELC TECH'!$H:$H,'ELC TECH'!$E:$E)="Storage","",IF(_xlfn.XLOOKUP($B35,'ELC TECH'!$H:$H,'ELC TECH'!AO:AO)="",1,_xlfn.XLOOKUP($B35,'ELC TECH'!$H:$H,'ELC TECH'!AO:AO)))</f>
        <v>1</v>
      </c>
      <c r="O35" s="12">
        <f>IF(_xlfn.XLOOKUP($B35,'ELC TECH'!$H:$H,'ELC TECH'!$E:$E)="Storage","",IF(_xlfn.XLOOKUP($B35,'ELC TECH'!$H:$H,'ELC TECH'!AP:AP)="",1,_xlfn.XLOOKUP($B35,'ELC TECH'!$H:$H,'ELC TECH'!AP:AP)))</f>
        <v>1</v>
      </c>
      <c r="P35" s="12">
        <f>IF(_xlfn.XLOOKUP($B35,'ELC TECH'!$H:$H,'ELC TECH'!$E:$E)="Storage","",IF(_xlfn.XLOOKUP($B35,'ELC TECH'!$H:$H,'ELC TECH'!AQ:AQ)="",1,_xlfn.XLOOKUP($B35,'ELC TECH'!$H:$H,'ELC TECH'!AQ:AQ)))</f>
        <v>1</v>
      </c>
      <c r="Q35" s="12">
        <f>IF(_xlfn.XLOOKUP($B35,'ELC TECH'!$H:$H,'ELC TECH'!$E:$E)="Storage","",IF(_xlfn.XLOOKUP($B35,'ELC TECH'!$H:$H,'ELC TECH'!AR:AR)="",1,_xlfn.XLOOKUP($B35,'ELC TECH'!$H:$H,'ELC TECH'!AR:AR)))</f>
        <v>1</v>
      </c>
      <c r="R35" s="12" t="str">
        <f>IF(_xlfn.XLOOKUP($B35,'ELC TECH'!$H:$H,'ELC TECH'!$E:$E)&lt;&gt;"Storage","",IF(_xlfn.XLOOKUP($B35,'ELC TECH'!$H:$H,'ELC TECH'!AK:AK)="",0.8,_xlfn.XLOOKUP($B35,'ELC TECH'!$H:$H,'ELC TECH'!AK:AK)))</f>
        <v/>
      </c>
      <c r="S35" s="12" t="str">
        <f>IF(_xlfn.XLOOKUP($B35,'ELC TECH'!$H:$H,'ELC TECH'!$E:$E)&lt;&gt;"Storage","",IF(_xlfn.XLOOKUP($B35,'ELC TECH'!$H:$H,'ELC TECH'!AL:AL)="",0.8,_xlfn.XLOOKUP($B35,'ELC TECH'!$H:$H,'ELC TECH'!AL:AL)))</f>
        <v/>
      </c>
      <c r="T35" s="12" t="str">
        <f>IF(_xlfn.XLOOKUP($B35,'ELC TECH'!$H:$H,'ELC TECH'!$E:$E)&lt;&gt;"Storage","",IF(_xlfn.XLOOKUP($B35,'ELC TECH'!$H:$H,'ELC TECH'!AM:AM)="",0.8,_xlfn.XLOOKUP($B35,'ELC TECH'!$H:$H,'ELC TECH'!AM:AM)))</f>
        <v/>
      </c>
      <c r="U35" s="12" t="str">
        <f>IF(_xlfn.XLOOKUP($B35,'ELC TECH'!$H:$H,'ELC TECH'!$E:$E)&lt;&gt;"Storage","",IF(_xlfn.XLOOKUP($B35,'ELC TECH'!$H:$H,'ELC TECH'!AN:AN)="",0.8,_xlfn.XLOOKUP($B35,'ELC TECH'!$H:$H,'ELC TECH'!AN:AN)))</f>
        <v/>
      </c>
      <c r="V35" s="12" t="str">
        <f>IF(_xlfn.XLOOKUP($B35,'ELC TECH'!$H:$H,'ELC TECH'!$E:$E)&lt;&gt;"Storage","",IF(_xlfn.XLOOKUP($B35,'ELC TECH'!$H:$H,'ELC TECH'!AO:AO)="",0.8,_xlfn.XLOOKUP($B35,'ELC TECH'!$H:$H,'ELC TECH'!AO:AO)))</f>
        <v/>
      </c>
      <c r="W35" s="12" t="str">
        <f>IF(_xlfn.XLOOKUP($B35,'ELC TECH'!$H:$H,'ELC TECH'!$E:$E)&lt;&gt;"Storage","",IF(_xlfn.XLOOKUP($B35,'ELC TECH'!$H:$H,'ELC TECH'!AP:AP)="",0.8,_xlfn.XLOOKUP($B35,'ELC TECH'!$H:$H,'ELC TECH'!AP:AP)))</f>
        <v/>
      </c>
      <c r="X35" s="12" t="str">
        <f>IF(_xlfn.XLOOKUP($B35,'ELC TECH'!$H:$H,'ELC TECH'!$E:$E)&lt;&gt;"Storage","",IF(_xlfn.XLOOKUP($B35,'ELC TECH'!$H:$H,'ELC TECH'!AQ:AQ)="",0.8,_xlfn.XLOOKUP($B35,'ELC TECH'!$H:$H,'ELC TECH'!AQ:AQ)))</f>
        <v/>
      </c>
      <c r="Y35" s="12" t="str">
        <f>IF(_xlfn.XLOOKUP($B35,'ELC TECH'!$H:$H,'ELC TECH'!$E:$E)&lt;&gt;"Storage","",IF(_xlfn.XLOOKUP($B35,'ELC TECH'!$H:$H,'ELC TECH'!AR:AR)="",0.8,_xlfn.XLOOKUP($B35,'ELC TECH'!$H:$H,'ELC TECH'!AR:AR)))</f>
        <v/>
      </c>
      <c r="Z35" s="15">
        <f>_xlfn.XLOOKUP($B35,'ELC TECH'!$H:$H,'ELC TECH'!M:M)</f>
        <v>14006.80078622317</v>
      </c>
      <c r="AA35" s="15">
        <f>_xlfn.XLOOKUP($B35,'ELC TECH'!$H:$H,'ELC TECH'!N:N)</f>
        <v>14006.80078622317</v>
      </c>
      <c r="AB35" s="15">
        <f>_xlfn.XLOOKUP($B35,'ELC TECH'!$H:$H,'ELC TECH'!O:O)</f>
        <v>11382.292460977031</v>
      </c>
      <c r="AC35" s="15">
        <f>_xlfn.XLOOKUP($B35,'ELC TECH'!$H:$H,'ELC TECH'!P:P)</f>
        <v>8758.9149019201323</v>
      </c>
      <c r="AD35" s="15">
        <f>_xlfn.XLOOKUP($B35,'ELC TECH'!$H:$H,'ELC TECH'!Q:Q)</f>
        <v>8408.3773832530478</v>
      </c>
      <c r="AE35" s="15">
        <f>_xlfn.XLOOKUP($B35,'ELC TECH'!$H:$H,'ELC TECH'!R:R)</f>
        <v>8408.3773832530478</v>
      </c>
      <c r="AF35" s="15">
        <f>_xlfn.XLOOKUP($B35,'ELC TECH'!$H:$H,'ELC TECH'!S:S)</f>
        <v>8408.3773832530478</v>
      </c>
      <c r="AG35" s="15">
        <f>_xlfn.XLOOKUP($B35,'ELC TECH'!$H:$H,'ELC TECH'!T:T)</f>
        <v>8408.3773832530478</v>
      </c>
      <c r="AH35" s="15">
        <f>_xlfn.XLOOKUP($B35,'ELC TECH'!$H:$H,'ELC TECH'!U:U)</f>
        <v>196.7533169292671</v>
      </c>
      <c r="AI35" s="15">
        <f>_xlfn.XLOOKUP($B35,'ELC TECH'!$H:$H,'ELC TECH'!V:V)</f>
        <v>196.7533169292671</v>
      </c>
      <c r="AJ35" s="15">
        <f>_xlfn.XLOOKUP($B35,'ELC TECH'!$H:$H,'ELC TECH'!W:W)</f>
        <v>196.7533169292671</v>
      </c>
      <c r="AK35" s="15">
        <f>_xlfn.XLOOKUP($B35,'ELC TECH'!$H:$H,'ELC TECH'!X:X)</f>
        <v>196.7533169292671</v>
      </c>
      <c r="AL35" s="15">
        <f>_xlfn.XLOOKUP($B35,'ELC TECH'!$H:$H,'ELC TECH'!Y:Y)</f>
        <v>188.83795360452649</v>
      </c>
      <c r="AM35" s="15">
        <f>_xlfn.XLOOKUP($B35,'ELC TECH'!$H:$H,'ELC TECH'!Z:Z)</f>
        <v>188.83795360452649</v>
      </c>
      <c r="AN35" s="15">
        <f>_xlfn.XLOOKUP($B35,'ELC TECH'!$H:$H,'ELC TECH'!AA:AA)</f>
        <v>188.83795360452649</v>
      </c>
      <c r="AO35" s="15">
        <f>_xlfn.XLOOKUP($B35,'ELC TECH'!$H:$H,'ELC TECH'!AB:AB)</f>
        <v>188.83795360452649</v>
      </c>
      <c r="AP35" s="15">
        <f>_xlfn.XLOOKUP($B35,'ELC TECH'!$H:$H,'ELC TECH'!AC:AC)</f>
        <v>0</v>
      </c>
      <c r="AQ35" s="15">
        <f>_xlfn.XLOOKUP($B35,'ELC TECH'!$H:$H,'ELC TECH'!AD:AD)</f>
        <v>0</v>
      </c>
      <c r="AR35" s="15">
        <f>_xlfn.XLOOKUP($B35,'ELC TECH'!$H:$H,'ELC TECH'!AE:AE)</f>
        <v>0</v>
      </c>
      <c r="AS35" s="15">
        <f>_xlfn.XLOOKUP($B35,'ELC TECH'!$H:$H,'ELC TECH'!AF:AF)</f>
        <v>0</v>
      </c>
      <c r="AT35" s="15">
        <f>_xlfn.XLOOKUP($B35,'ELC TECH'!$H:$H,'ELC TECH'!AG:AG)</f>
        <v>0</v>
      </c>
      <c r="AU35" s="15">
        <f>_xlfn.XLOOKUP($B35,'ELC TECH'!$H:$H,'ELC TECH'!AH:AH)</f>
        <v>0</v>
      </c>
      <c r="AV35" s="15">
        <f>_xlfn.XLOOKUP($B35,'ELC TECH'!$H:$H,'ELC TECH'!AI:AI)</f>
        <v>0</v>
      </c>
      <c r="AW35" s="15">
        <f>_xlfn.XLOOKUP($B35,'ELC TECH'!$H:$H,'ELC TECH'!AJ:AJ)</f>
        <v>0</v>
      </c>
      <c r="AX35" s="12">
        <f>IF(_xlfn.XLOOKUP($B35,'ELC TECH'!$H:$H,'ELC TECH'!$E:$E)="Storage","",_xlfn.XLOOKUP($B35,'ELC TECH'!$H:$H,'ELC TECH'!AS:AS))</f>
        <v>0.37999999999999989</v>
      </c>
      <c r="AY35" s="12">
        <f>IF(_xlfn.XLOOKUP($B35,'ELC TECH'!$H:$H,'ELC TECH'!$E:$E)="Storage","",_xlfn.XLOOKUP($B35,'ELC TECH'!$H:$H,'ELC TECH'!AT:AT))</f>
        <v>0.37999999999999989</v>
      </c>
      <c r="AZ35" s="12">
        <f>IF(_xlfn.XLOOKUP($B35,'ELC TECH'!$H:$H,'ELC TECH'!$E:$E)="Storage","",_xlfn.XLOOKUP($B35,'ELC TECH'!$H:$H,'ELC TECH'!AU:AU))</f>
        <v>0.37999999999999989</v>
      </c>
      <c r="BA35" s="12">
        <f>IF(_xlfn.XLOOKUP($B35,'ELC TECH'!$H:$H,'ELC TECH'!$E:$E)="Storage","",_xlfn.XLOOKUP($B35,'ELC TECH'!$H:$H,'ELC TECH'!AV:AV))</f>
        <v>0.37999999999999989</v>
      </c>
      <c r="BB35" s="12">
        <f>IF(_xlfn.XLOOKUP($B35,'ELC TECH'!$H:$H,'ELC TECH'!$E:$E)="Storage","",_xlfn.XLOOKUP($B35,'ELC TECH'!$H:$H,'ELC TECH'!AW:AW))</f>
        <v>0.37999999999999989</v>
      </c>
      <c r="BC35" s="12">
        <f>IF(_xlfn.XLOOKUP($B35,'ELC TECH'!$H:$H,'ELC TECH'!$E:$E)="Storage","",_xlfn.XLOOKUP($B35,'ELC TECH'!$H:$H,'ELC TECH'!AX:AX))</f>
        <v>0.37999999999999989</v>
      </c>
      <c r="BD35" s="12">
        <f>IF(_xlfn.XLOOKUP($B35,'ELC TECH'!$H:$H,'ELC TECH'!$E:$E)="Storage","",_xlfn.XLOOKUP($B35,'ELC TECH'!$H:$H,'ELC TECH'!AY:AY))</f>
        <v>0.37999999999999989</v>
      </c>
      <c r="BE35" s="12">
        <f>IF(_xlfn.XLOOKUP($B35,'ELC TECH'!$H:$H,'ELC TECH'!$E:$E)="Storage","",_xlfn.XLOOKUP($B35,'ELC TECH'!$H:$H,'ELC TECH'!AZ:AZ))</f>
        <v>0.37999999999999989</v>
      </c>
      <c r="BF35" s="12" t="str">
        <f>IF(_xlfn.XLOOKUP($B35,'ELC TECH'!$H:$H,'ELC TECH'!$E:$E)="Storage",_xlfn.XLOOKUP($B35,'ELC TECH'!$H:$H,'ELC TECH'!AS:AS),"")</f>
        <v/>
      </c>
      <c r="BG35" s="12" t="str">
        <f>IF(_xlfn.XLOOKUP($B35,'ELC TECH'!$H:$H,'ELC TECH'!$E:$E)="Storage",_xlfn.XLOOKUP($B35,'ELC TECH'!$H:$H,'ELC TECH'!AT:AT),"")</f>
        <v/>
      </c>
      <c r="BH35" s="12" t="str">
        <f>IF(_xlfn.XLOOKUP($B35,'ELC TECH'!$H:$H,'ELC TECH'!$E:$E)="Storage",_xlfn.XLOOKUP($B35,'ELC TECH'!$H:$H,'ELC TECH'!AU:AU),"")</f>
        <v/>
      </c>
      <c r="BI35" s="12" t="str">
        <f>IF(_xlfn.XLOOKUP($B35,'ELC TECH'!$H:$H,'ELC TECH'!$E:$E)="Storage",_xlfn.XLOOKUP($B35,'ELC TECH'!$H:$H,'ELC TECH'!AV:AV),"")</f>
        <v/>
      </c>
      <c r="BJ35" s="12" t="str">
        <f>IF(_xlfn.XLOOKUP($B35,'ELC TECH'!$H:$H,'ELC TECH'!$E:$E)="Storage",_xlfn.XLOOKUP($B35,'ELC TECH'!$H:$H,'ELC TECH'!AW:AW),"")</f>
        <v/>
      </c>
      <c r="BK35" s="12" t="str">
        <f>IF(_xlfn.XLOOKUP($B35,'ELC TECH'!$H:$H,'ELC TECH'!$E:$E)="Storage",_xlfn.XLOOKUP($B35,'ELC TECH'!$H:$H,'ELC TECH'!AX:AX),"")</f>
        <v/>
      </c>
      <c r="BL35" s="12" t="str">
        <f>IF(_xlfn.XLOOKUP($B35,'ELC TECH'!$H:$H,'ELC TECH'!$E:$E)="Storage",_xlfn.XLOOKUP($B35,'ELC TECH'!$H:$H,'ELC TECH'!AY:AY),"")</f>
        <v/>
      </c>
      <c r="BM35" s="12" t="str">
        <f>IF(_xlfn.XLOOKUP($B35,'ELC TECH'!$H:$H,'ELC TECH'!$E:$E)="Storage",_xlfn.XLOOKUP($B35,'ELC TECH'!$H:$H,'ELC TECH'!AZ:AZ),"")</f>
        <v/>
      </c>
      <c r="BN35" s="8">
        <f>IF(_xlfn.XLOOKUP($B35,'ELC TECH'!$H:$H,'ELC TECH'!$E:$E)="Non Dispatchable",IFERROR($AX35*_xlfn.XLOOKUP($C35,$BM$1:$BM$3,BN$1:BN$3)/SUMPRODUCT(_xlfn.XLOOKUP($C35,$BM$1:$BM$3,$BN$1:$BY$3),$BN$4:$BY$4),""),
"")</f>
        <v>0.2740843410410852</v>
      </c>
      <c r="BO35" s="8">
        <f>IF(_xlfn.XLOOKUP($B35,'ELC TECH'!$H:$H,'ELC TECH'!$E:$E)="Non Dispatchable",IFERROR($AX35*_xlfn.XLOOKUP($C35,$BM$1:$BM$3,BO$1:BO$3)/SUMPRODUCT(_xlfn.XLOOKUP($C35,$BM$1:$BM$3,$BN$1:$BY$3),$BN$4:$BY$4),""),
"")</f>
        <v>0.31909819267192041</v>
      </c>
      <c r="BP35" s="8">
        <f>IF(_xlfn.XLOOKUP($B35,'ELC TECH'!$H:$H,'ELC TECH'!$E:$E)="Non Dispatchable",IFERROR($AX35*_xlfn.XLOOKUP($C35,$BM$1:$BM$3,BP$1:BP$3)/SUMPRODUCT(_xlfn.XLOOKUP($C35,$BM$1:$BM$3,$BN$1:$BY$3),$BN$4:$BY$4),""),
"")</f>
        <v>0.51082385702547761</v>
      </c>
      <c r="BQ35" s="8">
        <f>IF(_xlfn.XLOOKUP($B35,'ELC TECH'!$H:$H,'ELC TECH'!$E:$E)="Non Dispatchable",IFERROR($AX35*_xlfn.XLOOKUP($C35,$BM$1:$BM$3,BQ$1:BQ$3)/SUMPRODUCT(_xlfn.XLOOKUP($C35,$BM$1:$BM$3,$BN$1:$BY$3),$BN$4:$BY$4),""),
"")</f>
        <v>1.0669950016197966E-2</v>
      </c>
      <c r="BR35" s="8">
        <f>IF(_xlfn.XLOOKUP($B35,'ELC TECH'!$H:$H,'ELC TECH'!$E:$E)="Non Dispatchable",IFERROR($AX35*_xlfn.XLOOKUP($C35,$BM$1:$BM$3,BR$1:BR$3)/SUMPRODUCT(_xlfn.XLOOKUP($C35,$BM$1:$BM$3,$BN$1:$BY$3),$BN$4:$BY$4),""),
"")</f>
        <v>0.27175028947504198</v>
      </c>
      <c r="BS35" s="8">
        <f>IF(_xlfn.XLOOKUP($B35,'ELC TECH'!$H:$H,'ELC TECH'!$E:$E)="Non Dispatchable",IFERROR($AX35*_xlfn.XLOOKUP($C35,$BM$1:$BM$3,BS$1:BS$3)/SUMPRODUCT(_xlfn.XLOOKUP($C35,$BM$1:$BM$3,$BN$1:$BY$3),$BN$4:$BY$4),""),
"")</f>
        <v>0.36244486461272463</v>
      </c>
      <c r="BT35" s="8">
        <f>IF(_xlfn.XLOOKUP($B35,'ELC TECH'!$H:$H,'ELC TECH'!$E:$E)="Non Dispatchable",IFERROR($AX35*_xlfn.XLOOKUP($C35,$BM$1:$BM$3,BT$1:BT$3)/SUMPRODUCT(_xlfn.XLOOKUP($C35,$BM$1:$BM$3,$BN$1:$BY$3),$BN$4:$BY$4),""),
"")</f>
        <v>0.46047503038654342</v>
      </c>
      <c r="BU35" s="8">
        <f>IF(_xlfn.XLOOKUP($B35,'ELC TECH'!$H:$H,'ELC TECH'!$E:$E)="Non Dispatchable",IFERROR($AX35*_xlfn.XLOOKUP($C35,$BM$1:$BM$3,BU$1:BU$3)/SUMPRODUCT(_xlfn.XLOOKUP($C35,$BM$1:$BM$3,$BN$1:$BY$3),$BN$4:$BY$4),""),
"")</f>
        <v>1.0669950016197966E-2</v>
      </c>
      <c r="BV35" s="8">
        <f>IF(_xlfn.XLOOKUP($B35,'ELC TECH'!$H:$H,'ELC TECH'!$E:$E)="Non Dispatchable",IFERROR($AX35*_xlfn.XLOOKUP($C35,$BM$1:$BM$3,BV$1:BV$3)/SUMPRODUCT(_xlfn.XLOOKUP($C35,$BM$1:$BM$3,$BN$1:$BY$3),$BN$4:$BY$4),""),
"")</f>
        <v>0.32510003955603178</v>
      </c>
      <c r="BW35" s="8">
        <f>IF(_xlfn.XLOOKUP($B35,'ELC TECH'!$H:$H,'ELC TECH'!$E:$E)="Non Dispatchable",IFERROR($AX35*_xlfn.XLOOKUP($C35,$BM$1:$BM$3,BW$1:BW$3)/SUMPRODUCT(_xlfn.XLOOKUP($C35,$BM$1:$BM$3,$BN$1:$BY$3),$BN$4:$BY$4),""),
"")</f>
        <v>0.36244486461272463</v>
      </c>
      <c r="BX35" s="8">
        <f>IF(_xlfn.XLOOKUP($B35,'ELC TECH'!$H:$H,'ELC TECH'!$E:$E)="Non Dispatchable",IFERROR($AX35*_xlfn.XLOOKUP($C35,$BM$1:$BM$3,BX$1:BX$3)/SUMPRODUCT(_xlfn.XLOOKUP($C35,$BM$1:$BM$3,$BN$1:$BY$3),$BN$4:$BY$4),""),
"")</f>
        <v>0.41779523032175153</v>
      </c>
      <c r="BY35" s="8">
        <f>IF(_xlfn.XLOOKUP($B35,'ELC TECH'!$H:$H,'ELC TECH'!$E:$E)="Non Dispatchable",IFERROR($AX35*_xlfn.XLOOKUP($C35,$BM$1:$BM$3,BY$1:BY$3)/SUMPRODUCT(_xlfn.XLOOKUP($C35,$BM$1:$BM$3,$BN$1:$BY$3),$BN$4:$BY$4),""),
"")</f>
        <v>9.0027703261670346E-3</v>
      </c>
      <c r="BZ35" s="8">
        <f>IF(_xlfn.XLOOKUP($B35,'ELC TECH'!$H:$H,'ELC TECH'!$E:$E)="Non Dispatchable",IFERROR($AX35*_xlfn.XLOOKUP($C35,$BM$1:$BM$3,BZ$1:BZ$3)/SUMPRODUCT(_xlfn.XLOOKUP($C35,$BM$1:$BM$3,$BN$1:$BY$3),$BN$4:$BY$4),""),
"")</f>
        <v>0.2740843410410852</v>
      </c>
      <c r="CA35" s="8">
        <f>IF(_xlfn.XLOOKUP($B35,'ELC TECH'!$H:$H,'ELC TECH'!$E:$E)="Non Dispatchable",IFERROR($AX35*_xlfn.XLOOKUP($C35,$BM$1:$BM$3,CA$1:CA$3)/SUMPRODUCT(_xlfn.XLOOKUP($C35,$BM$1:$BM$3,$BN$1:$BY$3),$BN$4:$BY$4),""),
"")</f>
        <v>0.31909819267192041</v>
      </c>
      <c r="CB35" s="8">
        <f>IF(_xlfn.XLOOKUP($B35,'ELC TECH'!$H:$H,'ELC TECH'!$E:$E)="Non Dispatchable",IFERROR($AX35*_xlfn.XLOOKUP($C35,$BM$1:$BM$3,CB$1:CB$3)/SUMPRODUCT(_xlfn.XLOOKUP($C35,$BM$1:$BM$3,$BN$1:$BY$3),$BN$4:$BY$4),""),
"")</f>
        <v>0.51082385702547761</v>
      </c>
      <c r="CC35" s="8">
        <f>IF(_xlfn.XLOOKUP($B35,'ELC TECH'!$H:$H,'ELC TECH'!$E:$E)="Non Dispatchable",IFERROR($AX35*_xlfn.XLOOKUP($C35,$BM$1:$BM$3,CC$1:CC$3)/SUMPRODUCT(_xlfn.XLOOKUP($C35,$BM$1:$BM$3,$BN$1:$BY$3),$BN$4:$BY$4),""),
"")</f>
        <v>1.0669950016197966E-2</v>
      </c>
      <c r="CD35" s="8">
        <f>IF(_xlfn.XLOOKUP($B35,'ELC TECH'!$H:$H,'ELC TECH'!$E:$E)="Non Dispatchable",IFERROR($AX35*_xlfn.XLOOKUP($C35,$BM$1:$BM$3,CD$1:CD$3)/SUMPRODUCT(_xlfn.XLOOKUP($C35,$BM$1:$BM$3,$BN$1:$BY$3),$BN$4:$BY$4),""),
"")</f>
        <v>0.27175028947504198</v>
      </c>
      <c r="CE35" s="8">
        <f>IF(_xlfn.XLOOKUP($B35,'ELC TECH'!$H:$H,'ELC TECH'!$E:$E)="Non Dispatchable",IFERROR($AX35*_xlfn.XLOOKUP($C35,$BM$1:$BM$3,CE$1:CE$3)/SUMPRODUCT(_xlfn.XLOOKUP($C35,$BM$1:$BM$3,$BN$1:$BY$3),$BN$4:$BY$4),""),
"")</f>
        <v>0.36244486461272463</v>
      </c>
      <c r="CF35" s="8">
        <f>IF(_xlfn.XLOOKUP($B35,'ELC TECH'!$H:$H,'ELC TECH'!$E:$E)="Non Dispatchable",IFERROR($AX35*_xlfn.XLOOKUP($C35,$BM$1:$BM$3,CF$1:CF$3)/SUMPRODUCT(_xlfn.XLOOKUP($C35,$BM$1:$BM$3,$BN$1:$BY$3),$BN$4:$BY$4),""),
"")</f>
        <v>0.46047503038654342</v>
      </c>
      <c r="CG35" s="8">
        <f>IF(_xlfn.XLOOKUP($B35,'ELC TECH'!$H:$H,'ELC TECH'!$E:$E)="Non Dispatchable",IFERROR($AX35*_xlfn.XLOOKUP($C35,$BM$1:$BM$3,CG$1:CG$3)/SUMPRODUCT(_xlfn.XLOOKUP($C35,$BM$1:$BM$3,$BN$1:$BY$3),$BN$4:$BY$4),""),
"")</f>
        <v>1.0669950016197966E-2</v>
      </c>
      <c r="CH35" s="8">
        <f>IF(_xlfn.XLOOKUP($B35,'ELC TECH'!$H:$H,'ELC TECH'!$E:$E)="Non Dispatchable",IFERROR($AX35*_xlfn.XLOOKUP($C35,$BM$1:$BM$3,CH$1:CH$3)/SUMPRODUCT(_xlfn.XLOOKUP($C35,$BM$1:$BM$3,$BN$1:$BY$3),$BN$4:$BY$4),""),
"")</f>
        <v>0.32510003955603178</v>
      </c>
      <c r="CI35" s="8">
        <f>IF(_xlfn.XLOOKUP($B35,'ELC TECH'!$H:$H,'ELC TECH'!$E:$E)="Non Dispatchable",IFERROR($AX35*_xlfn.XLOOKUP($C35,$BM$1:$BM$3,CI$1:CI$3)/SUMPRODUCT(_xlfn.XLOOKUP($C35,$BM$1:$BM$3,$BN$1:$BY$3),$BN$4:$BY$4),""),
"")</f>
        <v>0.36244486461272463</v>
      </c>
      <c r="CJ35" s="8">
        <f>IF(_xlfn.XLOOKUP($B35,'ELC TECH'!$H:$H,'ELC TECH'!$E:$E)="Non Dispatchable",IFERROR($AX35*_xlfn.XLOOKUP($C35,$BM$1:$BM$3,CJ$1:CJ$3)/SUMPRODUCT(_xlfn.XLOOKUP($C35,$BM$1:$BM$3,$BN$1:$BY$3),$BN$4:$BY$4),""),
"")</f>
        <v>0.41779523032175153</v>
      </c>
      <c r="CK35" s="8">
        <f>IF(_xlfn.XLOOKUP($B35,'ELC TECH'!$H:$H,'ELC TECH'!$E:$E)="Non Dispatchable",IFERROR($AX35*_xlfn.XLOOKUP($C35,$BM$1:$BM$3,CK$1:CK$3)/SUMPRODUCT(_xlfn.XLOOKUP($C35,$BM$1:$BM$3,$BN$1:$BY$3),$BN$4:$BY$4),""),
"")</f>
        <v>9.0027703261670346E-3</v>
      </c>
      <c r="CL35" s="8" t="str">
        <f>IF(_xlfn.XLOOKUP($B35,'ELC TECH'!$H:$H,'ELC TECH'!$E:$E)="Storage",CL$4*$BF35,"")</f>
        <v/>
      </c>
      <c r="CM35" s="8" t="str">
        <f>IF(_xlfn.XLOOKUP($B35,'ELC TECH'!$H:$H,'ELC TECH'!$E:$E)="Storage",CM$4*$BF35,"")</f>
        <v/>
      </c>
      <c r="CN35" s="8" t="str">
        <f>IF(_xlfn.XLOOKUP($B35,'ELC TECH'!$H:$H,'ELC TECH'!$E:$E)="Storage",CN$4*$BF35,"")</f>
        <v/>
      </c>
      <c r="CO35" s="8" t="str">
        <f>IF(_xlfn.XLOOKUP($B35,'ELC TECH'!$H:$H,'ELC TECH'!$E:$E)="Storage",CO$4*$BF35,"")</f>
        <v/>
      </c>
      <c r="CP35" s="8" t="str">
        <f>IF(_xlfn.XLOOKUP($B35,'ELC TECH'!$H:$H,'ELC TECH'!$E:$E)="Storage",CP$4*$BF35,"")</f>
        <v/>
      </c>
      <c r="CQ35" s="8" t="str">
        <f>IF(_xlfn.XLOOKUP($B35,'ELC TECH'!$H:$H,'ELC TECH'!$E:$E)="Storage",CQ$4*$BF35,"")</f>
        <v/>
      </c>
      <c r="CR35" s="8" t="str">
        <f>IF(_xlfn.XLOOKUP($B35,'ELC TECH'!$H:$H,'ELC TECH'!$E:$E)="Storage",CR$4*$BF35,"")</f>
        <v/>
      </c>
      <c r="CS35" s="8" t="str">
        <f>IF(_xlfn.XLOOKUP($B35,'ELC TECH'!$H:$H,'ELC TECH'!$E:$E)="Storage",CS$4*$BF35,"")</f>
        <v/>
      </c>
      <c r="CT35" s="8" t="str">
        <f>IF(_xlfn.XLOOKUP($B35,'ELC TECH'!$H:$H,'ELC TECH'!$E:$E)="Storage",CT$4*$BF35,"")</f>
        <v/>
      </c>
      <c r="CU35" s="8" t="str">
        <f>IF(_xlfn.XLOOKUP($B35,'ELC TECH'!$H:$H,'ELC TECH'!$E:$E)="Storage",CU$4*$BF35,"")</f>
        <v/>
      </c>
      <c r="CV35" s="8" t="str">
        <f>IF(_xlfn.XLOOKUP($B35,'ELC TECH'!$H:$H,'ELC TECH'!$E:$E)="Storage",CV$4*$BF35,"")</f>
        <v/>
      </c>
      <c r="CW35" s="8" t="str">
        <f>IF(_xlfn.XLOOKUP($B35,'ELC TECH'!$H:$H,'ELC TECH'!$E:$E)="Storage",CW$4*$BF35,"")</f>
        <v/>
      </c>
      <c r="CX35" s="8" t="str">
        <f>IF(_xlfn.XLOOKUP($B35,'ELC TECH'!$H:$H,'ELC TECH'!$E:$E)="Storage",CX$4*$BF35,"")</f>
        <v/>
      </c>
      <c r="CY35" s="8" t="str">
        <f>IF(_xlfn.XLOOKUP($B35,'ELC TECH'!$H:$H,'ELC TECH'!$E:$E)="Storage",CY$4*$BF35,"")</f>
        <v/>
      </c>
      <c r="CZ35" s="8" t="str">
        <f>IF(_xlfn.XLOOKUP($B35,'ELC TECH'!$H:$H,'ELC TECH'!$E:$E)="Storage",CZ$4*$BF35,"")</f>
        <v/>
      </c>
      <c r="DA35" s="8" t="str">
        <f>IF(_xlfn.XLOOKUP($B35,'ELC TECH'!$H:$H,'ELC TECH'!$E:$E)="Storage",DA$4*$BF35,"")</f>
        <v/>
      </c>
      <c r="DB35" s="8" t="str">
        <f>IF(_xlfn.XLOOKUP($B35,'ELC TECH'!$H:$H,'ELC TECH'!$E:$E)="Storage",DB$4*$BF35,"")</f>
        <v/>
      </c>
      <c r="DC35" s="8" t="str">
        <f>IF(_xlfn.XLOOKUP($B35,'ELC TECH'!$H:$H,'ELC TECH'!$E:$E)="Storage",DC$4*$BF35,"")</f>
        <v/>
      </c>
      <c r="DD35" s="8" t="str">
        <f>IF(_xlfn.XLOOKUP($B35,'ELC TECH'!$H:$H,'ELC TECH'!$E:$E)="Storage",DD$4*$BF35,"")</f>
        <v/>
      </c>
      <c r="DE35" s="8" t="str">
        <f>IF(_xlfn.XLOOKUP($B35,'ELC TECH'!$H:$H,'ELC TECH'!$E:$E)="Storage",DE$4*$BF35,"")</f>
        <v/>
      </c>
      <c r="DF35" s="8" t="str">
        <f>IF(_xlfn.XLOOKUP($B35,'ELC TECH'!$H:$H,'ELC TECH'!$E:$E)="Storage",DF$4*$BF35,"")</f>
        <v/>
      </c>
      <c r="DG35" s="8" t="str">
        <f>IF(_xlfn.XLOOKUP($B35,'ELC TECH'!$H:$H,'ELC TECH'!$E:$E)="Storage",DG$4*$BF35,"")</f>
        <v/>
      </c>
      <c r="DH35" s="8" t="str">
        <f>IF(_xlfn.XLOOKUP($B35,'ELC TECH'!$H:$H,'ELC TECH'!$E:$E)="Storage",DH$4*$BF35,"")</f>
        <v/>
      </c>
      <c r="DI35" s="8" t="str">
        <f>IF(_xlfn.XLOOKUP($B35,'ELC TECH'!$H:$H,'ELC TECH'!$E:$E)="Storage",DI$4*$BF35,"")</f>
        <v/>
      </c>
    </row>
    <row r="36" spans="2:113" x14ac:dyDescent="0.25">
      <c r="B36" t="str">
        <f>IF('ELC TECH'!I29=0,"*",'ELC TECH'!H29)</f>
        <v>ELCSTGGRDPSH12HC120</v>
      </c>
      <c r="C36" t="str">
        <f>IF(_xlfn.XLOOKUP(_xlfn.XLOOKUP(B36,'ELC TECH'!$H:$H,'ELC TECH'!$G:$G),List!C:C,List!B:B)="STG",D36,"ELC"&amp;_xlfn.XLOOKUP(_xlfn.XLOOKUP(B36,'ELC TECH'!H:H,'ELC TECH'!G:G),List!C:C,List!B:B))</f>
        <v>CELC</v>
      </c>
      <c r="D36" t="s">
        <v>544</v>
      </c>
      <c r="E36">
        <f>_xlfn.XLOOKUP(B36,'ELC TECH'!H:H,'ELC TECH'!D:D)</f>
        <v>2020</v>
      </c>
      <c r="F36">
        <f>_xlfn.XLOOKUP(B36,'ELC TECH'!H:H,'ELC TECH'!K:K)</f>
        <v>100</v>
      </c>
      <c r="G36">
        <f t="shared" si="4"/>
        <v>31.535999999999998</v>
      </c>
      <c r="H36">
        <f>IF(_xlfn.XLOOKUP(B36,'ELC TECH'!$H:$H,'ELC TECH'!$E:$E)="Storage",0.3,IF(_xlfn.XLOOKUP(B36,'ELC TECH'!$H:$H,'ELC TECH'!$E:$E)="Baseload",0.9,IF(_xlfn.XLOOKUP(B36,'ELC TECH'!$H:$H,'ELC TECH'!$E:$E)="Non Dispatchable",0.05,IF(_xlfn.XLOOKUP(B36,'ELC TECH'!$H:$H,'ELC TECH'!$E:$E)="Dispatchable",0.9,1))))</f>
        <v>0.3</v>
      </c>
      <c r="I36" s="13">
        <f>IF(_xlfn.XLOOKUP(B36,'ELC TECH'!H:H,'ELC TECH'!J:J)="","",_xlfn.XLOOKUP(B36,'ELC TECH'!H:H,'ELC TECH'!J:J))</f>
        <v>0</v>
      </c>
      <c r="J36" s="12" t="str">
        <f>IF(_xlfn.XLOOKUP($B36,'ELC TECH'!$H:$H,'ELC TECH'!$E:$E)="Storage","",IF(_xlfn.XLOOKUP($B36,'ELC TECH'!$H:$H,'ELC TECH'!AK:AK)="",1,_xlfn.XLOOKUP($B36,'ELC TECH'!$H:$H,'ELC TECH'!AK:AK)))</f>
        <v/>
      </c>
      <c r="K36" s="12" t="str">
        <f>IF(_xlfn.XLOOKUP($B36,'ELC TECH'!$H:$H,'ELC TECH'!$E:$E)="Storage","",IF(_xlfn.XLOOKUP($B36,'ELC TECH'!$H:$H,'ELC TECH'!AL:AL)="",1,_xlfn.XLOOKUP($B36,'ELC TECH'!$H:$H,'ELC TECH'!AL:AL)))</f>
        <v/>
      </c>
      <c r="L36" s="12" t="str">
        <f>IF(_xlfn.XLOOKUP($B36,'ELC TECH'!$H:$H,'ELC TECH'!$E:$E)="Storage","",IF(_xlfn.XLOOKUP($B36,'ELC TECH'!$H:$H,'ELC TECH'!AM:AM)="",1,_xlfn.XLOOKUP($B36,'ELC TECH'!$H:$H,'ELC TECH'!AM:AM)))</f>
        <v/>
      </c>
      <c r="M36" s="12" t="str">
        <f>IF(_xlfn.XLOOKUP($B36,'ELC TECH'!$H:$H,'ELC TECH'!$E:$E)="Storage","",IF(_xlfn.XLOOKUP($B36,'ELC TECH'!$H:$H,'ELC TECH'!AN:AN)="",1,_xlfn.XLOOKUP($B36,'ELC TECH'!$H:$H,'ELC TECH'!AN:AN)))</f>
        <v/>
      </c>
      <c r="N36" s="12" t="str">
        <f>IF(_xlfn.XLOOKUP($B36,'ELC TECH'!$H:$H,'ELC TECH'!$E:$E)="Storage","",IF(_xlfn.XLOOKUP($B36,'ELC TECH'!$H:$H,'ELC TECH'!AO:AO)="",1,_xlfn.XLOOKUP($B36,'ELC TECH'!$H:$H,'ELC TECH'!AO:AO)))</f>
        <v/>
      </c>
      <c r="O36" s="12" t="str">
        <f>IF(_xlfn.XLOOKUP($B36,'ELC TECH'!$H:$H,'ELC TECH'!$E:$E)="Storage","",IF(_xlfn.XLOOKUP($B36,'ELC TECH'!$H:$H,'ELC TECH'!AP:AP)="",1,_xlfn.XLOOKUP($B36,'ELC TECH'!$H:$H,'ELC TECH'!AP:AP)))</f>
        <v/>
      </c>
      <c r="P36" s="12" t="str">
        <f>IF(_xlfn.XLOOKUP($B36,'ELC TECH'!$H:$H,'ELC TECH'!$E:$E)="Storage","",IF(_xlfn.XLOOKUP($B36,'ELC TECH'!$H:$H,'ELC TECH'!AQ:AQ)="",1,_xlfn.XLOOKUP($B36,'ELC TECH'!$H:$H,'ELC TECH'!AQ:AQ)))</f>
        <v/>
      </c>
      <c r="Q36" s="12" t="str">
        <f>IF(_xlfn.XLOOKUP($B36,'ELC TECH'!$H:$H,'ELC TECH'!$E:$E)="Storage","",IF(_xlfn.XLOOKUP($B36,'ELC TECH'!$H:$H,'ELC TECH'!AR:AR)="",1,_xlfn.XLOOKUP($B36,'ELC TECH'!$H:$H,'ELC TECH'!AR:AR)))</f>
        <v/>
      </c>
      <c r="R36" s="12">
        <f>IF(_xlfn.XLOOKUP($B36,'ELC TECH'!$H:$H,'ELC TECH'!$E:$E)&lt;&gt;"Storage","",IF(_xlfn.XLOOKUP($B36,'ELC TECH'!$H:$H,'ELC TECH'!AK:AK)="",0.8,_xlfn.XLOOKUP($B36,'ELC TECH'!$H:$H,'ELC TECH'!AK:AK)))</f>
        <v>0.8</v>
      </c>
      <c r="S36" s="12">
        <f>IF(_xlfn.XLOOKUP($B36,'ELC TECH'!$H:$H,'ELC TECH'!$E:$E)&lt;&gt;"Storage","",IF(_xlfn.XLOOKUP($B36,'ELC TECH'!$H:$H,'ELC TECH'!AL:AL)="",0.8,_xlfn.XLOOKUP($B36,'ELC TECH'!$H:$H,'ELC TECH'!AL:AL)))</f>
        <v>0.8</v>
      </c>
      <c r="T36" s="12">
        <f>IF(_xlfn.XLOOKUP($B36,'ELC TECH'!$H:$H,'ELC TECH'!$E:$E)&lt;&gt;"Storage","",IF(_xlfn.XLOOKUP($B36,'ELC TECH'!$H:$H,'ELC TECH'!AM:AM)="",0.8,_xlfn.XLOOKUP($B36,'ELC TECH'!$H:$H,'ELC TECH'!AM:AM)))</f>
        <v>0.8</v>
      </c>
      <c r="U36" s="12">
        <f>IF(_xlfn.XLOOKUP($B36,'ELC TECH'!$H:$H,'ELC TECH'!$E:$E)&lt;&gt;"Storage","",IF(_xlfn.XLOOKUP($B36,'ELC TECH'!$H:$H,'ELC TECH'!AN:AN)="",0.8,_xlfn.XLOOKUP($B36,'ELC TECH'!$H:$H,'ELC TECH'!AN:AN)))</f>
        <v>0.8</v>
      </c>
      <c r="V36" s="12">
        <f>IF(_xlfn.XLOOKUP($B36,'ELC TECH'!$H:$H,'ELC TECH'!$E:$E)&lt;&gt;"Storage","",IF(_xlfn.XLOOKUP($B36,'ELC TECH'!$H:$H,'ELC TECH'!AO:AO)="",0.8,_xlfn.XLOOKUP($B36,'ELC TECH'!$H:$H,'ELC TECH'!AO:AO)))</f>
        <v>0.8</v>
      </c>
      <c r="W36" s="12">
        <f>IF(_xlfn.XLOOKUP($B36,'ELC TECH'!$H:$H,'ELC TECH'!$E:$E)&lt;&gt;"Storage","",IF(_xlfn.XLOOKUP($B36,'ELC TECH'!$H:$H,'ELC TECH'!AP:AP)="",0.8,_xlfn.XLOOKUP($B36,'ELC TECH'!$H:$H,'ELC TECH'!AP:AP)))</f>
        <v>0.8</v>
      </c>
      <c r="X36" s="12">
        <f>IF(_xlfn.XLOOKUP($B36,'ELC TECH'!$H:$H,'ELC TECH'!$E:$E)&lt;&gt;"Storage","",IF(_xlfn.XLOOKUP($B36,'ELC TECH'!$H:$H,'ELC TECH'!AQ:AQ)="",0.8,_xlfn.XLOOKUP($B36,'ELC TECH'!$H:$H,'ELC TECH'!AQ:AQ)))</f>
        <v>0.8</v>
      </c>
      <c r="Y36" s="12">
        <f>IF(_xlfn.XLOOKUP($B36,'ELC TECH'!$H:$H,'ELC TECH'!$E:$E)&lt;&gt;"Storage","",IF(_xlfn.XLOOKUP($B36,'ELC TECH'!$H:$H,'ELC TECH'!AR:AR)="",0.8,_xlfn.XLOOKUP($B36,'ELC TECH'!$H:$H,'ELC TECH'!AR:AR)))</f>
        <v>0.8</v>
      </c>
      <c r="Z36" s="15">
        <f>_xlfn.XLOOKUP($B36,'ELC TECH'!$H:$H,'ELC TECH'!M:M)</f>
        <v>2385.0937819360602</v>
      </c>
      <c r="AA36" s="15">
        <f>_xlfn.XLOOKUP($B36,'ELC TECH'!$H:$H,'ELC TECH'!N:N)</f>
        <v>2385.0937819360602</v>
      </c>
      <c r="AB36" s="15">
        <f>_xlfn.XLOOKUP($B36,'ELC TECH'!$H:$H,'ELC TECH'!O:O)</f>
        <v>2385.0937819360602</v>
      </c>
      <c r="AC36" s="15">
        <f>_xlfn.XLOOKUP($B36,'ELC TECH'!$H:$H,'ELC TECH'!P:P)</f>
        <v>2385.0937819360602</v>
      </c>
      <c r="AD36" s="15">
        <f>_xlfn.XLOOKUP($B36,'ELC TECH'!$H:$H,'ELC TECH'!Q:Q)</f>
        <v>2385.0937819360602</v>
      </c>
      <c r="AE36" s="15">
        <f>_xlfn.XLOOKUP($B36,'ELC TECH'!$H:$H,'ELC TECH'!R:R)</f>
        <v>2385.0937819360602</v>
      </c>
      <c r="AF36" s="15">
        <f>_xlfn.XLOOKUP($B36,'ELC TECH'!$H:$H,'ELC TECH'!S:S)</f>
        <v>2385.0937819360602</v>
      </c>
      <c r="AG36" s="15">
        <f>_xlfn.XLOOKUP($B36,'ELC TECH'!$H:$H,'ELC TECH'!T:T)</f>
        <v>2385.0937819360602</v>
      </c>
      <c r="AH36" s="15">
        <f>_xlfn.XLOOKUP($B36,'ELC TECH'!$H:$H,'ELC TECH'!U:U)</f>
        <v>21.100097091380029</v>
      </c>
      <c r="AI36" s="15">
        <f>_xlfn.XLOOKUP($B36,'ELC TECH'!$H:$H,'ELC TECH'!V:V)</f>
        <v>21.100097091380029</v>
      </c>
      <c r="AJ36" s="15">
        <f>_xlfn.XLOOKUP($B36,'ELC TECH'!$H:$H,'ELC TECH'!W:W)</f>
        <v>21.100097091380029</v>
      </c>
      <c r="AK36" s="15">
        <f>_xlfn.XLOOKUP($B36,'ELC TECH'!$H:$H,'ELC TECH'!X:X)</f>
        <v>21.100097091380029</v>
      </c>
      <c r="AL36" s="15">
        <f>_xlfn.XLOOKUP($B36,'ELC TECH'!$H:$H,'ELC TECH'!Y:Y)</f>
        <v>21.100097091380029</v>
      </c>
      <c r="AM36" s="15">
        <f>_xlfn.XLOOKUP($B36,'ELC TECH'!$H:$H,'ELC TECH'!Z:Z)</f>
        <v>21.100097091380029</v>
      </c>
      <c r="AN36" s="15">
        <f>_xlfn.XLOOKUP($B36,'ELC TECH'!$H:$H,'ELC TECH'!AA:AA)</f>
        <v>21.100097091380029</v>
      </c>
      <c r="AO36" s="15">
        <f>_xlfn.XLOOKUP($B36,'ELC TECH'!$H:$H,'ELC TECH'!AB:AB)</f>
        <v>21.100097091380029</v>
      </c>
      <c r="AP36" s="15">
        <f>_xlfn.XLOOKUP($B36,'ELC TECH'!$H:$H,'ELC TECH'!AC:AC)</f>
        <v>0.1696149283872993</v>
      </c>
      <c r="AQ36" s="15">
        <f>_xlfn.XLOOKUP($B36,'ELC TECH'!$H:$H,'ELC TECH'!AD:AD)</f>
        <v>0.1696149283872993</v>
      </c>
      <c r="AR36" s="15">
        <f>_xlfn.XLOOKUP($B36,'ELC TECH'!$H:$H,'ELC TECH'!AE:AE)</f>
        <v>0.1696149283872993</v>
      </c>
      <c r="AS36" s="15">
        <f>_xlfn.XLOOKUP($B36,'ELC TECH'!$H:$H,'ELC TECH'!AF:AF)</f>
        <v>0.1696149283872993</v>
      </c>
      <c r="AT36" s="15">
        <f>_xlfn.XLOOKUP($B36,'ELC TECH'!$H:$H,'ELC TECH'!AG:AG)</f>
        <v>0.1696149283872993</v>
      </c>
      <c r="AU36" s="15">
        <f>_xlfn.XLOOKUP($B36,'ELC TECH'!$H:$H,'ELC TECH'!AH:AH)</f>
        <v>0.1696149283872993</v>
      </c>
      <c r="AV36" s="15">
        <f>_xlfn.XLOOKUP($B36,'ELC TECH'!$H:$H,'ELC TECH'!AI:AI)</f>
        <v>0.1696149283872993</v>
      </c>
      <c r="AW36" s="15">
        <f>_xlfn.XLOOKUP($B36,'ELC TECH'!$H:$H,'ELC TECH'!AJ:AJ)</f>
        <v>0.1696149283872993</v>
      </c>
      <c r="AX36" s="12" t="str">
        <f>IF(_xlfn.XLOOKUP($B36,'ELC TECH'!$H:$H,'ELC TECH'!$E:$E)="Storage","",_xlfn.XLOOKUP($B36,'ELC TECH'!$H:$H,'ELC TECH'!AS:AS))</f>
        <v/>
      </c>
      <c r="AY36" s="12" t="str">
        <f>IF(_xlfn.XLOOKUP($B36,'ELC TECH'!$H:$H,'ELC TECH'!$E:$E)="Storage","",_xlfn.XLOOKUP($B36,'ELC TECH'!$H:$H,'ELC TECH'!AT:AT))</f>
        <v/>
      </c>
      <c r="AZ36" s="12" t="str">
        <f>IF(_xlfn.XLOOKUP($B36,'ELC TECH'!$H:$H,'ELC TECH'!$E:$E)="Storage","",_xlfn.XLOOKUP($B36,'ELC TECH'!$H:$H,'ELC TECH'!AU:AU))</f>
        <v/>
      </c>
      <c r="BA36" s="12" t="str">
        <f>IF(_xlfn.XLOOKUP($B36,'ELC TECH'!$H:$H,'ELC TECH'!$E:$E)="Storage","",_xlfn.XLOOKUP($B36,'ELC TECH'!$H:$H,'ELC TECH'!AV:AV))</f>
        <v/>
      </c>
      <c r="BB36" s="12" t="str">
        <f>IF(_xlfn.XLOOKUP($B36,'ELC TECH'!$H:$H,'ELC TECH'!$E:$E)="Storage","",_xlfn.XLOOKUP($B36,'ELC TECH'!$H:$H,'ELC TECH'!AW:AW))</f>
        <v/>
      </c>
      <c r="BC36" s="12" t="str">
        <f>IF(_xlfn.XLOOKUP($B36,'ELC TECH'!$H:$H,'ELC TECH'!$E:$E)="Storage","",_xlfn.XLOOKUP($B36,'ELC TECH'!$H:$H,'ELC TECH'!AX:AX))</f>
        <v/>
      </c>
      <c r="BD36" s="12" t="str">
        <f>IF(_xlfn.XLOOKUP($B36,'ELC TECH'!$H:$H,'ELC TECH'!$E:$E)="Storage","",_xlfn.XLOOKUP($B36,'ELC TECH'!$H:$H,'ELC TECH'!AY:AY))</f>
        <v/>
      </c>
      <c r="BE36" s="12" t="str">
        <f>IF(_xlfn.XLOOKUP($B36,'ELC TECH'!$H:$H,'ELC TECH'!$E:$E)="Storage","",_xlfn.XLOOKUP($B36,'ELC TECH'!$H:$H,'ELC TECH'!AZ:AZ))</f>
        <v/>
      </c>
      <c r="BF36" s="12">
        <f>IF(_xlfn.XLOOKUP($B36,'ELC TECH'!$H:$H,'ELC TECH'!$E:$E)="Storage",_xlfn.XLOOKUP($B36,'ELC TECH'!$H:$H,'ELC TECH'!AS:AS),"")</f>
        <v>0.5</v>
      </c>
      <c r="BG36" s="12">
        <f>IF(_xlfn.XLOOKUP($B36,'ELC TECH'!$H:$H,'ELC TECH'!$E:$E)="Storage",_xlfn.XLOOKUP($B36,'ELC TECH'!$H:$H,'ELC TECH'!AT:AT),"")</f>
        <v>0.5</v>
      </c>
      <c r="BH36" s="12">
        <f>IF(_xlfn.XLOOKUP($B36,'ELC TECH'!$H:$H,'ELC TECH'!$E:$E)="Storage",_xlfn.XLOOKUP($B36,'ELC TECH'!$H:$H,'ELC TECH'!AU:AU),"")</f>
        <v>0.5</v>
      </c>
      <c r="BI36" s="12">
        <f>IF(_xlfn.XLOOKUP($B36,'ELC TECH'!$H:$H,'ELC TECH'!$E:$E)="Storage",_xlfn.XLOOKUP($B36,'ELC TECH'!$H:$H,'ELC TECH'!AV:AV),"")</f>
        <v>0.5</v>
      </c>
      <c r="BJ36" s="12">
        <f>IF(_xlfn.XLOOKUP($B36,'ELC TECH'!$H:$H,'ELC TECH'!$E:$E)="Storage",_xlfn.XLOOKUP($B36,'ELC TECH'!$H:$H,'ELC TECH'!AW:AW),"")</f>
        <v>0.5</v>
      </c>
      <c r="BK36" s="12">
        <f>IF(_xlfn.XLOOKUP($B36,'ELC TECH'!$H:$H,'ELC TECH'!$E:$E)="Storage",_xlfn.XLOOKUP($B36,'ELC TECH'!$H:$H,'ELC TECH'!AX:AX),"")</f>
        <v>0.5</v>
      </c>
      <c r="BL36" s="12">
        <f>IF(_xlfn.XLOOKUP($B36,'ELC TECH'!$H:$H,'ELC TECH'!$E:$E)="Storage",_xlfn.XLOOKUP($B36,'ELC TECH'!$H:$H,'ELC TECH'!AY:AY),"")</f>
        <v>0.5</v>
      </c>
      <c r="BM36" s="12">
        <f>IF(_xlfn.XLOOKUP($B36,'ELC TECH'!$H:$H,'ELC TECH'!$E:$E)="Storage",_xlfn.XLOOKUP($B36,'ELC TECH'!$H:$H,'ELC TECH'!AZ:AZ),"")</f>
        <v>0.5</v>
      </c>
      <c r="BN36" s="8" t="str">
        <f>IF(_xlfn.XLOOKUP($B36,'ELC TECH'!$H:$H,'ELC TECH'!$E:$E)="Non Dispatchable",IFERROR($AX36*_xlfn.XLOOKUP($C36,$BM$1:$BM$3,BN$1:BN$3)/SUMPRODUCT(_xlfn.XLOOKUP($C36,$BM$1:$BM$3,$BN$1:$BY$3),$BN$4:$BY$4),""),
"")</f>
        <v/>
      </c>
      <c r="BO36" s="8" t="str">
        <f>IF(_xlfn.XLOOKUP($B36,'ELC TECH'!$H:$H,'ELC TECH'!$E:$E)="Non Dispatchable",IFERROR($AX36*_xlfn.XLOOKUP($C36,$BM$1:$BM$3,BO$1:BO$3)/SUMPRODUCT(_xlfn.XLOOKUP($C36,$BM$1:$BM$3,$BN$1:$BY$3),$BN$4:$BY$4),""),
"")</f>
        <v/>
      </c>
      <c r="BP36" s="8" t="str">
        <f>IF(_xlfn.XLOOKUP($B36,'ELC TECH'!$H:$H,'ELC TECH'!$E:$E)="Non Dispatchable",IFERROR($AX36*_xlfn.XLOOKUP($C36,$BM$1:$BM$3,BP$1:BP$3)/SUMPRODUCT(_xlfn.XLOOKUP($C36,$BM$1:$BM$3,$BN$1:$BY$3),$BN$4:$BY$4),""),
"")</f>
        <v/>
      </c>
      <c r="BQ36" s="8" t="str">
        <f>IF(_xlfn.XLOOKUP($B36,'ELC TECH'!$H:$H,'ELC TECH'!$E:$E)="Non Dispatchable",IFERROR($AX36*_xlfn.XLOOKUP($C36,$BM$1:$BM$3,BQ$1:BQ$3)/SUMPRODUCT(_xlfn.XLOOKUP($C36,$BM$1:$BM$3,$BN$1:$BY$3),$BN$4:$BY$4),""),
"")</f>
        <v/>
      </c>
      <c r="BR36" s="8" t="str">
        <f>IF(_xlfn.XLOOKUP($B36,'ELC TECH'!$H:$H,'ELC TECH'!$E:$E)="Non Dispatchable",IFERROR($AX36*_xlfn.XLOOKUP($C36,$BM$1:$BM$3,BR$1:BR$3)/SUMPRODUCT(_xlfn.XLOOKUP($C36,$BM$1:$BM$3,$BN$1:$BY$3),$BN$4:$BY$4),""),
"")</f>
        <v/>
      </c>
      <c r="BS36" s="8" t="str">
        <f>IF(_xlfn.XLOOKUP($B36,'ELC TECH'!$H:$H,'ELC TECH'!$E:$E)="Non Dispatchable",IFERROR($AX36*_xlfn.XLOOKUP($C36,$BM$1:$BM$3,BS$1:BS$3)/SUMPRODUCT(_xlfn.XLOOKUP($C36,$BM$1:$BM$3,$BN$1:$BY$3),$BN$4:$BY$4),""),
"")</f>
        <v/>
      </c>
      <c r="BT36" s="8" t="str">
        <f>IF(_xlfn.XLOOKUP($B36,'ELC TECH'!$H:$H,'ELC TECH'!$E:$E)="Non Dispatchable",IFERROR($AX36*_xlfn.XLOOKUP($C36,$BM$1:$BM$3,BT$1:BT$3)/SUMPRODUCT(_xlfn.XLOOKUP($C36,$BM$1:$BM$3,$BN$1:$BY$3),$BN$4:$BY$4),""),
"")</f>
        <v/>
      </c>
      <c r="BU36" s="8" t="str">
        <f>IF(_xlfn.XLOOKUP($B36,'ELC TECH'!$H:$H,'ELC TECH'!$E:$E)="Non Dispatchable",IFERROR($AX36*_xlfn.XLOOKUP($C36,$BM$1:$BM$3,BU$1:BU$3)/SUMPRODUCT(_xlfn.XLOOKUP($C36,$BM$1:$BM$3,$BN$1:$BY$3),$BN$4:$BY$4),""),
"")</f>
        <v/>
      </c>
      <c r="BV36" s="8" t="str">
        <f>IF(_xlfn.XLOOKUP($B36,'ELC TECH'!$H:$H,'ELC TECH'!$E:$E)="Non Dispatchable",IFERROR($AX36*_xlfn.XLOOKUP($C36,$BM$1:$BM$3,BV$1:BV$3)/SUMPRODUCT(_xlfn.XLOOKUP($C36,$BM$1:$BM$3,$BN$1:$BY$3),$BN$4:$BY$4),""),
"")</f>
        <v/>
      </c>
      <c r="BW36" s="8" t="str">
        <f>IF(_xlfn.XLOOKUP($B36,'ELC TECH'!$H:$H,'ELC TECH'!$E:$E)="Non Dispatchable",IFERROR($AX36*_xlfn.XLOOKUP($C36,$BM$1:$BM$3,BW$1:BW$3)/SUMPRODUCT(_xlfn.XLOOKUP($C36,$BM$1:$BM$3,$BN$1:$BY$3),$BN$4:$BY$4),""),
"")</f>
        <v/>
      </c>
      <c r="BX36" s="8" t="str">
        <f>IF(_xlfn.XLOOKUP($B36,'ELC TECH'!$H:$H,'ELC TECH'!$E:$E)="Non Dispatchable",IFERROR($AX36*_xlfn.XLOOKUP($C36,$BM$1:$BM$3,BX$1:BX$3)/SUMPRODUCT(_xlfn.XLOOKUP($C36,$BM$1:$BM$3,$BN$1:$BY$3),$BN$4:$BY$4),""),
"")</f>
        <v/>
      </c>
      <c r="BY36" s="8" t="str">
        <f>IF(_xlfn.XLOOKUP($B36,'ELC TECH'!$H:$H,'ELC TECH'!$E:$E)="Non Dispatchable",IFERROR($AX36*_xlfn.XLOOKUP($C36,$BM$1:$BM$3,BY$1:BY$3)/SUMPRODUCT(_xlfn.XLOOKUP($C36,$BM$1:$BM$3,$BN$1:$BY$3),$BN$4:$BY$4),""),
"")</f>
        <v/>
      </c>
      <c r="BZ36" s="8" t="str">
        <f>IF(_xlfn.XLOOKUP($B36,'ELC TECH'!$H:$H,'ELC TECH'!$E:$E)="Non Dispatchable",IFERROR($AX36*_xlfn.XLOOKUP($C36,$BM$1:$BM$3,BZ$1:BZ$3)/SUMPRODUCT(_xlfn.XLOOKUP($C36,$BM$1:$BM$3,$BN$1:$BY$3),$BN$4:$BY$4),""),
"")</f>
        <v/>
      </c>
      <c r="CA36" s="8" t="str">
        <f>IF(_xlfn.XLOOKUP($B36,'ELC TECH'!$H:$H,'ELC TECH'!$E:$E)="Non Dispatchable",IFERROR($AX36*_xlfn.XLOOKUP($C36,$BM$1:$BM$3,CA$1:CA$3)/SUMPRODUCT(_xlfn.XLOOKUP($C36,$BM$1:$BM$3,$BN$1:$BY$3),$BN$4:$BY$4),""),
"")</f>
        <v/>
      </c>
      <c r="CB36" s="8" t="str">
        <f>IF(_xlfn.XLOOKUP($B36,'ELC TECH'!$H:$H,'ELC TECH'!$E:$E)="Non Dispatchable",IFERROR($AX36*_xlfn.XLOOKUP($C36,$BM$1:$BM$3,CB$1:CB$3)/SUMPRODUCT(_xlfn.XLOOKUP($C36,$BM$1:$BM$3,$BN$1:$BY$3),$BN$4:$BY$4),""),
"")</f>
        <v/>
      </c>
      <c r="CC36" s="8" t="str">
        <f>IF(_xlfn.XLOOKUP($B36,'ELC TECH'!$H:$H,'ELC TECH'!$E:$E)="Non Dispatchable",IFERROR($AX36*_xlfn.XLOOKUP($C36,$BM$1:$BM$3,CC$1:CC$3)/SUMPRODUCT(_xlfn.XLOOKUP($C36,$BM$1:$BM$3,$BN$1:$BY$3),$BN$4:$BY$4),""),
"")</f>
        <v/>
      </c>
      <c r="CD36" s="8" t="str">
        <f>IF(_xlfn.XLOOKUP($B36,'ELC TECH'!$H:$H,'ELC TECH'!$E:$E)="Non Dispatchable",IFERROR($AX36*_xlfn.XLOOKUP($C36,$BM$1:$BM$3,CD$1:CD$3)/SUMPRODUCT(_xlfn.XLOOKUP($C36,$BM$1:$BM$3,$BN$1:$BY$3),$BN$4:$BY$4),""),
"")</f>
        <v/>
      </c>
      <c r="CE36" s="8" t="str">
        <f>IF(_xlfn.XLOOKUP($B36,'ELC TECH'!$H:$H,'ELC TECH'!$E:$E)="Non Dispatchable",IFERROR($AX36*_xlfn.XLOOKUP($C36,$BM$1:$BM$3,CE$1:CE$3)/SUMPRODUCT(_xlfn.XLOOKUP($C36,$BM$1:$BM$3,$BN$1:$BY$3),$BN$4:$BY$4),""),
"")</f>
        <v/>
      </c>
      <c r="CF36" s="8" t="str">
        <f>IF(_xlfn.XLOOKUP($B36,'ELC TECH'!$H:$H,'ELC TECH'!$E:$E)="Non Dispatchable",IFERROR($AX36*_xlfn.XLOOKUP($C36,$BM$1:$BM$3,CF$1:CF$3)/SUMPRODUCT(_xlfn.XLOOKUP($C36,$BM$1:$BM$3,$BN$1:$BY$3),$BN$4:$BY$4),""),
"")</f>
        <v/>
      </c>
      <c r="CG36" s="8" t="str">
        <f>IF(_xlfn.XLOOKUP($B36,'ELC TECH'!$H:$H,'ELC TECH'!$E:$E)="Non Dispatchable",IFERROR($AX36*_xlfn.XLOOKUP($C36,$BM$1:$BM$3,CG$1:CG$3)/SUMPRODUCT(_xlfn.XLOOKUP($C36,$BM$1:$BM$3,$BN$1:$BY$3),$BN$4:$BY$4),""),
"")</f>
        <v/>
      </c>
      <c r="CH36" s="8" t="str">
        <f>IF(_xlfn.XLOOKUP($B36,'ELC TECH'!$H:$H,'ELC TECH'!$E:$E)="Non Dispatchable",IFERROR($AX36*_xlfn.XLOOKUP($C36,$BM$1:$BM$3,CH$1:CH$3)/SUMPRODUCT(_xlfn.XLOOKUP($C36,$BM$1:$BM$3,$BN$1:$BY$3),$BN$4:$BY$4),""),
"")</f>
        <v/>
      </c>
      <c r="CI36" s="8" t="str">
        <f>IF(_xlfn.XLOOKUP($B36,'ELC TECH'!$H:$H,'ELC TECH'!$E:$E)="Non Dispatchable",IFERROR($AX36*_xlfn.XLOOKUP($C36,$BM$1:$BM$3,CI$1:CI$3)/SUMPRODUCT(_xlfn.XLOOKUP($C36,$BM$1:$BM$3,$BN$1:$BY$3),$BN$4:$BY$4),""),
"")</f>
        <v/>
      </c>
      <c r="CJ36" s="8" t="str">
        <f>IF(_xlfn.XLOOKUP($B36,'ELC TECH'!$H:$H,'ELC TECH'!$E:$E)="Non Dispatchable",IFERROR($AX36*_xlfn.XLOOKUP($C36,$BM$1:$BM$3,CJ$1:CJ$3)/SUMPRODUCT(_xlfn.XLOOKUP($C36,$BM$1:$BM$3,$BN$1:$BY$3),$BN$4:$BY$4),""),
"")</f>
        <v/>
      </c>
      <c r="CK36" s="8" t="str">
        <f>IF(_xlfn.XLOOKUP($B36,'ELC TECH'!$H:$H,'ELC TECH'!$E:$E)="Non Dispatchable",IFERROR($AX36*_xlfn.XLOOKUP($C36,$BM$1:$BM$3,CK$1:CK$3)/SUMPRODUCT(_xlfn.XLOOKUP($C36,$BM$1:$BM$3,$BN$1:$BY$3),$BN$4:$BY$4),""),
"")</f>
        <v/>
      </c>
      <c r="CL36" s="8">
        <f>IF(_xlfn.XLOOKUP($B36,'ELC TECH'!$H:$H,'ELC TECH'!$E:$E)="Storage",CL$4*$BF36,"")</f>
        <v>4.1099999999999998E-2</v>
      </c>
      <c r="CM36" s="8">
        <f>IF(_xlfn.XLOOKUP($B36,'ELC TECH'!$H:$H,'ELC TECH'!$E:$E)="Storage",CM$4*$BF36,"")</f>
        <v>4.7849999999999997E-2</v>
      </c>
      <c r="CN36" s="8">
        <f>IF(_xlfn.XLOOKUP($B36,'ELC TECH'!$H:$H,'ELC TECH'!$E:$E)="Storage",CN$4*$BF36,"")</f>
        <v>7.6600000000000001E-2</v>
      </c>
      <c r="CO36" s="8">
        <f>IF(_xlfn.XLOOKUP($B36,'ELC TECH'!$H:$H,'ELC TECH'!$E:$E)="Storage",CO$4*$BF36,"")</f>
        <v>1.6000000000000001E-3</v>
      </c>
      <c r="CP36" s="8">
        <f>IF(_xlfn.XLOOKUP($B36,'ELC TECH'!$H:$H,'ELC TECH'!$E:$E)="Storage",CP$4*$BF36,"")</f>
        <v>4.0750000000000001E-2</v>
      </c>
      <c r="CQ36" s="8">
        <f>IF(_xlfn.XLOOKUP($B36,'ELC TECH'!$H:$H,'ELC TECH'!$E:$E)="Storage",CQ$4*$BF36,"")</f>
        <v>5.4350000000000002E-2</v>
      </c>
      <c r="CR36" s="8">
        <f>IF(_xlfn.XLOOKUP($B36,'ELC TECH'!$H:$H,'ELC TECH'!$E:$E)="Storage",CR$4*$BF36,"")</f>
        <v>6.905E-2</v>
      </c>
      <c r="CS36" s="8">
        <f>IF(_xlfn.XLOOKUP($B36,'ELC TECH'!$H:$H,'ELC TECH'!$E:$E)="Storage",CS$4*$BF36,"")</f>
        <v>1.6000000000000001E-3</v>
      </c>
      <c r="CT36" s="8">
        <f>IF(_xlfn.XLOOKUP($B36,'ELC TECH'!$H:$H,'ELC TECH'!$E:$E)="Storage",CT$4*$BF36,"")</f>
        <v>4.8750000000000002E-2</v>
      </c>
      <c r="CU36" s="8">
        <f>IF(_xlfn.XLOOKUP($B36,'ELC TECH'!$H:$H,'ELC TECH'!$E:$E)="Storage",CU$4*$BF36,"")</f>
        <v>5.4350000000000002E-2</v>
      </c>
      <c r="CV36" s="8">
        <f>IF(_xlfn.XLOOKUP($B36,'ELC TECH'!$H:$H,'ELC TECH'!$E:$E)="Storage",CV$4*$BF36,"")</f>
        <v>6.2649999999999997E-2</v>
      </c>
      <c r="CW36" s="8">
        <f>IF(_xlfn.XLOOKUP($B36,'ELC TECH'!$H:$H,'ELC TECH'!$E:$E)="Storage",CW$4*$BF36,"")</f>
        <v>1.3500000000000001E-3</v>
      </c>
      <c r="CX36" s="8">
        <f>IF(_xlfn.XLOOKUP($B36,'ELC TECH'!$H:$H,'ELC TECH'!$E:$E)="Storage",CX$4*$BF36,"")</f>
        <v>4.1099999999999998E-2</v>
      </c>
      <c r="CY36" s="8">
        <f>IF(_xlfn.XLOOKUP($B36,'ELC TECH'!$H:$H,'ELC TECH'!$E:$E)="Storage",CY$4*$BF36,"")</f>
        <v>4.7849999999999997E-2</v>
      </c>
      <c r="CZ36" s="8">
        <f>IF(_xlfn.XLOOKUP($B36,'ELC TECH'!$H:$H,'ELC TECH'!$E:$E)="Storage",CZ$4*$BF36,"")</f>
        <v>7.6600000000000001E-2</v>
      </c>
      <c r="DA36" s="8">
        <f>IF(_xlfn.XLOOKUP($B36,'ELC TECH'!$H:$H,'ELC TECH'!$E:$E)="Storage",DA$4*$BF36,"")</f>
        <v>1.6000000000000001E-3</v>
      </c>
      <c r="DB36" s="8">
        <f>IF(_xlfn.XLOOKUP($B36,'ELC TECH'!$H:$H,'ELC TECH'!$E:$E)="Storage",DB$4*$BF36,"")</f>
        <v>4.0750000000000001E-2</v>
      </c>
      <c r="DC36" s="8">
        <f>IF(_xlfn.XLOOKUP($B36,'ELC TECH'!$H:$H,'ELC TECH'!$E:$E)="Storage",DC$4*$BF36,"")</f>
        <v>5.4350000000000002E-2</v>
      </c>
      <c r="DD36" s="8">
        <f>IF(_xlfn.XLOOKUP($B36,'ELC TECH'!$H:$H,'ELC TECH'!$E:$E)="Storage",DD$4*$BF36,"")</f>
        <v>6.905E-2</v>
      </c>
      <c r="DE36" s="8">
        <f>IF(_xlfn.XLOOKUP($B36,'ELC TECH'!$H:$H,'ELC TECH'!$E:$E)="Storage",DE$4*$BF36,"")</f>
        <v>1.6000000000000001E-3</v>
      </c>
      <c r="DF36" s="8">
        <f>IF(_xlfn.XLOOKUP($B36,'ELC TECH'!$H:$H,'ELC TECH'!$E:$E)="Storage",DF$4*$BF36,"")</f>
        <v>4.8750000000000002E-2</v>
      </c>
      <c r="DG36" s="8">
        <f>IF(_xlfn.XLOOKUP($B36,'ELC TECH'!$H:$H,'ELC TECH'!$E:$E)="Storage",DG$4*$BF36,"")</f>
        <v>5.4350000000000002E-2</v>
      </c>
      <c r="DH36" s="8">
        <f>IF(_xlfn.XLOOKUP($B36,'ELC TECH'!$H:$H,'ELC TECH'!$E:$E)="Storage",DH$4*$BF36,"")</f>
        <v>6.2649999999999997E-2</v>
      </c>
      <c r="DI36" s="8">
        <f>IF(_xlfn.XLOOKUP($B36,'ELC TECH'!$H:$H,'ELC TECH'!$E:$E)="Storage",DI$4*$BF36,"")</f>
        <v>1.3500000000000001E-3</v>
      </c>
    </row>
    <row r="37" spans="2:113" x14ac:dyDescent="0.25">
      <c r="B37" t="str">
        <f>IF('ELC TECH'!I30=0,"*",'ELC TECH'!H30)</f>
        <v>ELCSTGGRDPSH12HC220</v>
      </c>
      <c r="C37" t="str">
        <f>IF(_xlfn.XLOOKUP(_xlfn.XLOOKUP(B37,'ELC TECH'!$H:$H,'ELC TECH'!$G:$G),List!C:C,List!B:B)="STG",D37,"ELC"&amp;_xlfn.XLOOKUP(_xlfn.XLOOKUP(B37,'ELC TECH'!H:H,'ELC TECH'!G:G),List!C:C,List!B:B))</f>
        <v>CELC</v>
      </c>
      <c r="D37" t="s">
        <v>544</v>
      </c>
      <c r="E37">
        <f>_xlfn.XLOOKUP(B37,'ELC TECH'!H:H,'ELC TECH'!D:D)</f>
        <v>2020</v>
      </c>
      <c r="F37">
        <f>_xlfn.XLOOKUP(B37,'ELC TECH'!H:H,'ELC TECH'!K:K)</f>
        <v>100</v>
      </c>
      <c r="G37">
        <f t="shared" si="4"/>
        <v>31.535999999999998</v>
      </c>
      <c r="H37">
        <f>IF(_xlfn.XLOOKUP(B37,'ELC TECH'!$H:$H,'ELC TECH'!$E:$E)="Storage",0.3,IF(_xlfn.XLOOKUP(B37,'ELC TECH'!$H:$H,'ELC TECH'!$E:$E)="Baseload",0.9,IF(_xlfn.XLOOKUP(B37,'ELC TECH'!$H:$H,'ELC TECH'!$E:$E)="Non Dispatchable",0.05,IF(_xlfn.XLOOKUP(B37,'ELC TECH'!$H:$H,'ELC TECH'!$E:$E)="Dispatchable",0.9,1))))</f>
        <v>0.3</v>
      </c>
      <c r="I37" s="13">
        <f>IF(_xlfn.XLOOKUP(B37,'ELC TECH'!H:H,'ELC TECH'!J:J)="","",_xlfn.XLOOKUP(B37,'ELC TECH'!H:H,'ELC TECH'!J:J))</f>
        <v>0</v>
      </c>
      <c r="J37" s="12" t="str">
        <f>IF(_xlfn.XLOOKUP($B37,'ELC TECH'!$H:$H,'ELC TECH'!$E:$E)="Storage","",IF(_xlfn.XLOOKUP($B37,'ELC TECH'!$H:$H,'ELC TECH'!AK:AK)="",1,_xlfn.XLOOKUP($B37,'ELC TECH'!$H:$H,'ELC TECH'!AK:AK)))</f>
        <v/>
      </c>
      <c r="K37" s="12" t="str">
        <f>IF(_xlfn.XLOOKUP($B37,'ELC TECH'!$H:$H,'ELC TECH'!$E:$E)="Storage","",IF(_xlfn.XLOOKUP($B37,'ELC TECH'!$H:$H,'ELC TECH'!AL:AL)="",1,_xlfn.XLOOKUP($B37,'ELC TECH'!$H:$H,'ELC TECH'!AL:AL)))</f>
        <v/>
      </c>
      <c r="L37" s="12" t="str">
        <f>IF(_xlfn.XLOOKUP($B37,'ELC TECH'!$H:$H,'ELC TECH'!$E:$E)="Storage","",IF(_xlfn.XLOOKUP($B37,'ELC TECH'!$H:$H,'ELC TECH'!AM:AM)="",1,_xlfn.XLOOKUP($B37,'ELC TECH'!$H:$H,'ELC TECH'!AM:AM)))</f>
        <v/>
      </c>
      <c r="M37" s="12" t="str">
        <f>IF(_xlfn.XLOOKUP($B37,'ELC TECH'!$H:$H,'ELC TECH'!$E:$E)="Storage","",IF(_xlfn.XLOOKUP($B37,'ELC TECH'!$H:$H,'ELC TECH'!AN:AN)="",1,_xlfn.XLOOKUP($B37,'ELC TECH'!$H:$H,'ELC TECH'!AN:AN)))</f>
        <v/>
      </c>
      <c r="N37" s="12" t="str">
        <f>IF(_xlfn.XLOOKUP($B37,'ELC TECH'!$H:$H,'ELC TECH'!$E:$E)="Storage","",IF(_xlfn.XLOOKUP($B37,'ELC TECH'!$H:$H,'ELC TECH'!AO:AO)="",1,_xlfn.XLOOKUP($B37,'ELC TECH'!$H:$H,'ELC TECH'!AO:AO)))</f>
        <v/>
      </c>
      <c r="O37" s="12" t="str">
        <f>IF(_xlfn.XLOOKUP($B37,'ELC TECH'!$H:$H,'ELC TECH'!$E:$E)="Storage","",IF(_xlfn.XLOOKUP($B37,'ELC TECH'!$H:$H,'ELC TECH'!AP:AP)="",1,_xlfn.XLOOKUP($B37,'ELC TECH'!$H:$H,'ELC TECH'!AP:AP)))</f>
        <v/>
      </c>
      <c r="P37" s="12" t="str">
        <f>IF(_xlfn.XLOOKUP($B37,'ELC TECH'!$H:$H,'ELC TECH'!$E:$E)="Storage","",IF(_xlfn.XLOOKUP($B37,'ELC TECH'!$H:$H,'ELC TECH'!AQ:AQ)="",1,_xlfn.XLOOKUP($B37,'ELC TECH'!$H:$H,'ELC TECH'!AQ:AQ)))</f>
        <v/>
      </c>
      <c r="Q37" s="12" t="str">
        <f>IF(_xlfn.XLOOKUP($B37,'ELC TECH'!$H:$H,'ELC TECH'!$E:$E)="Storage","",IF(_xlfn.XLOOKUP($B37,'ELC TECH'!$H:$H,'ELC TECH'!AR:AR)="",1,_xlfn.XLOOKUP($B37,'ELC TECH'!$H:$H,'ELC TECH'!AR:AR)))</f>
        <v/>
      </c>
      <c r="R37" s="12">
        <f>IF(_xlfn.XLOOKUP($B37,'ELC TECH'!$H:$H,'ELC TECH'!$E:$E)&lt;&gt;"Storage","",IF(_xlfn.XLOOKUP($B37,'ELC TECH'!$H:$H,'ELC TECH'!AK:AK)="",0.8,_xlfn.XLOOKUP($B37,'ELC TECH'!$H:$H,'ELC TECH'!AK:AK)))</f>
        <v>0.8</v>
      </c>
      <c r="S37" s="12">
        <f>IF(_xlfn.XLOOKUP($B37,'ELC TECH'!$H:$H,'ELC TECH'!$E:$E)&lt;&gt;"Storage","",IF(_xlfn.XLOOKUP($B37,'ELC TECH'!$H:$H,'ELC TECH'!AL:AL)="",0.8,_xlfn.XLOOKUP($B37,'ELC TECH'!$H:$H,'ELC TECH'!AL:AL)))</f>
        <v>0.8</v>
      </c>
      <c r="T37" s="12">
        <f>IF(_xlfn.XLOOKUP($B37,'ELC TECH'!$H:$H,'ELC TECH'!$E:$E)&lt;&gt;"Storage","",IF(_xlfn.XLOOKUP($B37,'ELC TECH'!$H:$H,'ELC TECH'!AM:AM)="",0.8,_xlfn.XLOOKUP($B37,'ELC TECH'!$H:$H,'ELC TECH'!AM:AM)))</f>
        <v>0.8</v>
      </c>
      <c r="U37" s="12">
        <f>IF(_xlfn.XLOOKUP($B37,'ELC TECH'!$H:$H,'ELC TECH'!$E:$E)&lt;&gt;"Storage","",IF(_xlfn.XLOOKUP($B37,'ELC TECH'!$H:$H,'ELC TECH'!AN:AN)="",0.8,_xlfn.XLOOKUP($B37,'ELC TECH'!$H:$H,'ELC TECH'!AN:AN)))</f>
        <v>0.8</v>
      </c>
      <c r="V37" s="12">
        <f>IF(_xlfn.XLOOKUP($B37,'ELC TECH'!$H:$H,'ELC TECH'!$E:$E)&lt;&gt;"Storage","",IF(_xlfn.XLOOKUP($B37,'ELC TECH'!$H:$H,'ELC TECH'!AO:AO)="",0.8,_xlfn.XLOOKUP($B37,'ELC TECH'!$H:$H,'ELC TECH'!AO:AO)))</f>
        <v>0.8</v>
      </c>
      <c r="W37" s="12">
        <f>IF(_xlfn.XLOOKUP($B37,'ELC TECH'!$H:$H,'ELC TECH'!$E:$E)&lt;&gt;"Storage","",IF(_xlfn.XLOOKUP($B37,'ELC TECH'!$H:$H,'ELC TECH'!AP:AP)="",0.8,_xlfn.XLOOKUP($B37,'ELC TECH'!$H:$H,'ELC TECH'!AP:AP)))</f>
        <v>0.8</v>
      </c>
      <c r="X37" s="12">
        <f>IF(_xlfn.XLOOKUP($B37,'ELC TECH'!$H:$H,'ELC TECH'!$E:$E)&lt;&gt;"Storage","",IF(_xlfn.XLOOKUP($B37,'ELC TECH'!$H:$H,'ELC TECH'!AQ:AQ)="",0.8,_xlfn.XLOOKUP($B37,'ELC TECH'!$H:$H,'ELC TECH'!AQ:AQ)))</f>
        <v>0.8</v>
      </c>
      <c r="Y37" s="12">
        <f>IF(_xlfn.XLOOKUP($B37,'ELC TECH'!$H:$H,'ELC TECH'!$E:$E)&lt;&gt;"Storage","",IF(_xlfn.XLOOKUP($B37,'ELC TECH'!$H:$H,'ELC TECH'!AR:AR)="",0.8,_xlfn.XLOOKUP($B37,'ELC TECH'!$H:$H,'ELC TECH'!AR:AR)))</f>
        <v>0.8</v>
      </c>
      <c r="Z37" s="15">
        <f>_xlfn.XLOOKUP($B37,'ELC TECH'!$H:$H,'ELC TECH'!M:M)</f>
        <v>2703.9530678386359</v>
      </c>
      <c r="AA37" s="15">
        <f>_xlfn.XLOOKUP($B37,'ELC TECH'!$H:$H,'ELC TECH'!N:N)</f>
        <v>2703.9530678386359</v>
      </c>
      <c r="AB37" s="15">
        <f>_xlfn.XLOOKUP($B37,'ELC TECH'!$H:$H,'ELC TECH'!O:O)</f>
        <v>2703.9530678386359</v>
      </c>
      <c r="AC37" s="15">
        <f>_xlfn.XLOOKUP($B37,'ELC TECH'!$H:$H,'ELC TECH'!P:P)</f>
        <v>2703.9530678386359</v>
      </c>
      <c r="AD37" s="15">
        <f>_xlfn.XLOOKUP($B37,'ELC TECH'!$H:$H,'ELC TECH'!Q:Q)</f>
        <v>2703.9530678386359</v>
      </c>
      <c r="AE37" s="15">
        <f>_xlfn.XLOOKUP($B37,'ELC TECH'!$H:$H,'ELC TECH'!R:R)</f>
        <v>2703.9530678386359</v>
      </c>
      <c r="AF37" s="15">
        <f>_xlfn.XLOOKUP($B37,'ELC TECH'!$H:$H,'ELC TECH'!S:S)</f>
        <v>2703.9530678386359</v>
      </c>
      <c r="AG37" s="15">
        <f>_xlfn.XLOOKUP($B37,'ELC TECH'!$H:$H,'ELC TECH'!T:T)</f>
        <v>2703.9530678386359</v>
      </c>
      <c r="AH37" s="15">
        <f>_xlfn.XLOOKUP($B37,'ELC TECH'!$H:$H,'ELC TECH'!U:U)</f>
        <v>21.100097091380029</v>
      </c>
      <c r="AI37" s="15">
        <f>_xlfn.XLOOKUP($B37,'ELC TECH'!$H:$H,'ELC TECH'!V:V)</f>
        <v>21.100097091380029</v>
      </c>
      <c r="AJ37" s="15">
        <f>_xlfn.XLOOKUP($B37,'ELC TECH'!$H:$H,'ELC TECH'!W:W)</f>
        <v>21.100097091380029</v>
      </c>
      <c r="AK37" s="15">
        <f>_xlfn.XLOOKUP($B37,'ELC TECH'!$H:$H,'ELC TECH'!X:X)</f>
        <v>21.100097091380029</v>
      </c>
      <c r="AL37" s="15">
        <f>_xlfn.XLOOKUP($B37,'ELC TECH'!$H:$H,'ELC TECH'!Y:Y)</f>
        <v>21.100097091380029</v>
      </c>
      <c r="AM37" s="15">
        <f>_xlfn.XLOOKUP($B37,'ELC TECH'!$H:$H,'ELC TECH'!Z:Z)</f>
        <v>21.100097091380029</v>
      </c>
      <c r="AN37" s="15">
        <f>_xlfn.XLOOKUP($B37,'ELC TECH'!$H:$H,'ELC TECH'!AA:AA)</f>
        <v>21.100097091380029</v>
      </c>
      <c r="AO37" s="15">
        <f>_xlfn.XLOOKUP($B37,'ELC TECH'!$H:$H,'ELC TECH'!AB:AB)</f>
        <v>21.100097091380029</v>
      </c>
      <c r="AP37" s="15">
        <f>_xlfn.XLOOKUP($B37,'ELC TECH'!$H:$H,'ELC TECH'!AC:AC)</f>
        <v>0.1696149283872993</v>
      </c>
      <c r="AQ37" s="15">
        <f>_xlfn.XLOOKUP($B37,'ELC TECH'!$H:$H,'ELC TECH'!AD:AD)</f>
        <v>0.1696149283872993</v>
      </c>
      <c r="AR37" s="15">
        <f>_xlfn.XLOOKUP($B37,'ELC TECH'!$H:$H,'ELC TECH'!AE:AE)</f>
        <v>0.1696149283872993</v>
      </c>
      <c r="AS37" s="15">
        <f>_xlfn.XLOOKUP($B37,'ELC TECH'!$H:$H,'ELC TECH'!AF:AF)</f>
        <v>0.1696149283872993</v>
      </c>
      <c r="AT37" s="15">
        <f>_xlfn.XLOOKUP($B37,'ELC TECH'!$H:$H,'ELC TECH'!AG:AG)</f>
        <v>0.1696149283872993</v>
      </c>
      <c r="AU37" s="15">
        <f>_xlfn.XLOOKUP($B37,'ELC TECH'!$H:$H,'ELC TECH'!AH:AH)</f>
        <v>0.1696149283872993</v>
      </c>
      <c r="AV37" s="15">
        <f>_xlfn.XLOOKUP($B37,'ELC TECH'!$H:$H,'ELC TECH'!AI:AI)</f>
        <v>0.1696149283872993</v>
      </c>
      <c r="AW37" s="15">
        <f>_xlfn.XLOOKUP($B37,'ELC TECH'!$H:$H,'ELC TECH'!AJ:AJ)</f>
        <v>0.1696149283872993</v>
      </c>
      <c r="AX37" s="12" t="str">
        <f>IF(_xlfn.XLOOKUP($B37,'ELC TECH'!$H:$H,'ELC TECH'!$E:$E)="Storage","",_xlfn.XLOOKUP($B37,'ELC TECH'!$H:$H,'ELC TECH'!AS:AS))</f>
        <v/>
      </c>
      <c r="AY37" s="12" t="str">
        <f>IF(_xlfn.XLOOKUP($B37,'ELC TECH'!$H:$H,'ELC TECH'!$E:$E)="Storage","",_xlfn.XLOOKUP($B37,'ELC TECH'!$H:$H,'ELC TECH'!AT:AT))</f>
        <v/>
      </c>
      <c r="AZ37" s="12" t="str">
        <f>IF(_xlfn.XLOOKUP($B37,'ELC TECH'!$H:$H,'ELC TECH'!$E:$E)="Storage","",_xlfn.XLOOKUP($B37,'ELC TECH'!$H:$H,'ELC TECH'!AU:AU))</f>
        <v/>
      </c>
      <c r="BA37" s="12" t="str">
        <f>IF(_xlfn.XLOOKUP($B37,'ELC TECH'!$H:$H,'ELC TECH'!$E:$E)="Storage","",_xlfn.XLOOKUP($B37,'ELC TECH'!$H:$H,'ELC TECH'!AV:AV))</f>
        <v/>
      </c>
      <c r="BB37" s="12" t="str">
        <f>IF(_xlfn.XLOOKUP($B37,'ELC TECH'!$H:$H,'ELC TECH'!$E:$E)="Storage","",_xlfn.XLOOKUP($B37,'ELC TECH'!$H:$H,'ELC TECH'!AW:AW))</f>
        <v/>
      </c>
      <c r="BC37" s="12" t="str">
        <f>IF(_xlfn.XLOOKUP($B37,'ELC TECH'!$H:$H,'ELC TECH'!$E:$E)="Storage","",_xlfn.XLOOKUP($B37,'ELC TECH'!$H:$H,'ELC TECH'!AX:AX))</f>
        <v/>
      </c>
      <c r="BD37" s="12" t="str">
        <f>IF(_xlfn.XLOOKUP($B37,'ELC TECH'!$H:$H,'ELC TECH'!$E:$E)="Storage","",_xlfn.XLOOKUP($B37,'ELC TECH'!$H:$H,'ELC TECH'!AY:AY))</f>
        <v/>
      </c>
      <c r="BE37" s="12" t="str">
        <f>IF(_xlfn.XLOOKUP($B37,'ELC TECH'!$H:$H,'ELC TECH'!$E:$E)="Storage","",_xlfn.XLOOKUP($B37,'ELC TECH'!$H:$H,'ELC TECH'!AZ:AZ))</f>
        <v/>
      </c>
      <c r="BF37" s="12">
        <f>IF(_xlfn.XLOOKUP($B37,'ELC TECH'!$H:$H,'ELC TECH'!$E:$E)="Storage",_xlfn.XLOOKUP($B37,'ELC TECH'!$H:$H,'ELC TECH'!AS:AS),"")</f>
        <v>0.5</v>
      </c>
      <c r="BG37" s="12">
        <f>IF(_xlfn.XLOOKUP($B37,'ELC TECH'!$H:$H,'ELC TECH'!$E:$E)="Storage",_xlfn.XLOOKUP($B37,'ELC TECH'!$H:$H,'ELC TECH'!AT:AT),"")</f>
        <v>0.5</v>
      </c>
      <c r="BH37" s="12">
        <f>IF(_xlfn.XLOOKUP($B37,'ELC TECH'!$H:$H,'ELC TECH'!$E:$E)="Storage",_xlfn.XLOOKUP($B37,'ELC TECH'!$H:$H,'ELC TECH'!AU:AU),"")</f>
        <v>0.5</v>
      </c>
      <c r="BI37" s="12">
        <f>IF(_xlfn.XLOOKUP($B37,'ELC TECH'!$H:$H,'ELC TECH'!$E:$E)="Storage",_xlfn.XLOOKUP($B37,'ELC TECH'!$H:$H,'ELC TECH'!AV:AV),"")</f>
        <v>0.5</v>
      </c>
      <c r="BJ37" s="12">
        <f>IF(_xlfn.XLOOKUP($B37,'ELC TECH'!$H:$H,'ELC TECH'!$E:$E)="Storage",_xlfn.XLOOKUP($B37,'ELC TECH'!$H:$H,'ELC TECH'!AW:AW),"")</f>
        <v>0.5</v>
      </c>
      <c r="BK37" s="12">
        <f>IF(_xlfn.XLOOKUP($B37,'ELC TECH'!$H:$H,'ELC TECH'!$E:$E)="Storage",_xlfn.XLOOKUP($B37,'ELC TECH'!$H:$H,'ELC TECH'!AX:AX),"")</f>
        <v>0.5</v>
      </c>
      <c r="BL37" s="12">
        <f>IF(_xlfn.XLOOKUP($B37,'ELC TECH'!$H:$H,'ELC TECH'!$E:$E)="Storage",_xlfn.XLOOKUP($B37,'ELC TECH'!$H:$H,'ELC TECH'!AY:AY),"")</f>
        <v>0.5</v>
      </c>
      <c r="BM37" s="12">
        <f>IF(_xlfn.XLOOKUP($B37,'ELC TECH'!$H:$H,'ELC TECH'!$E:$E)="Storage",_xlfn.XLOOKUP($B37,'ELC TECH'!$H:$H,'ELC TECH'!AZ:AZ),"")</f>
        <v>0.5</v>
      </c>
      <c r="BN37" s="8" t="str">
        <f>IF(_xlfn.XLOOKUP($B37,'ELC TECH'!$H:$H,'ELC TECH'!$E:$E)="Non Dispatchable",IFERROR($AX37*_xlfn.XLOOKUP($C37,$BM$1:$BM$3,BN$1:BN$3)/SUMPRODUCT(_xlfn.XLOOKUP($C37,$BM$1:$BM$3,$BN$1:$BY$3),$BN$4:$BY$4),""),
"")</f>
        <v/>
      </c>
      <c r="BO37" s="8" t="str">
        <f>IF(_xlfn.XLOOKUP($B37,'ELC TECH'!$H:$H,'ELC TECH'!$E:$E)="Non Dispatchable",IFERROR($AX37*_xlfn.XLOOKUP($C37,$BM$1:$BM$3,BO$1:BO$3)/SUMPRODUCT(_xlfn.XLOOKUP($C37,$BM$1:$BM$3,$BN$1:$BY$3),$BN$4:$BY$4),""),
"")</f>
        <v/>
      </c>
      <c r="BP37" s="8" t="str">
        <f>IF(_xlfn.XLOOKUP($B37,'ELC TECH'!$H:$H,'ELC TECH'!$E:$E)="Non Dispatchable",IFERROR($AX37*_xlfn.XLOOKUP($C37,$BM$1:$BM$3,BP$1:BP$3)/SUMPRODUCT(_xlfn.XLOOKUP($C37,$BM$1:$BM$3,$BN$1:$BY$3),$BN$4:$BY$4),""),
"")</f>
        <v/>
      </c>
      <c r="BQ37" s="8" t="str">
        <f>IF(_xlfn.XLOOKUP($B37,'ELC TECH'!$H:$H,'ELC TECH'!$E:$E)="Non Dispatchable",IFERROR($AX37*_xlfn.XLOOKUP($C37,$BM$1:$BM$3,BQ$1:BQ$3)/SUMPRODUCT(_xlfn.XLOOKUP($C37,$BM$1:$BM$3,$BN$1:$BY$3),$BN$4:$BY$4),""),
"")</f>
        <v/>
      </c>
      <c r="BR37" s="8" t="str">
        <f>IF(_xlfn.XLOOKUP($B37,'ELC TECH'!$H:$H,'ELC TECH'!$E:$E)="Non Dispatchable",IFERROR($AX37*_xlfn.XLOOKUP($C37,$BM$1:$BM$3,BR$1:BR$3)/SUMPRODUCT(_xlfn.XLOOKUP($C37,$BM$1:$BM$3,$BN$1:$BY$3),$BN$4:$BY$4),""),
"")</f>
        <v/>
      </c>
      <c r="BS37" s="8" t="str">
        <f>IF(_xlfn.XLOOKUP($B37,'ELC TECH'!$H:$H,'ELC TECH'!$E:$E)="Non Dispatchable",IFERROR($AX37*_xlfn.XLOOKUP($C37,$BM$1:$BM$3,BS$1:BS$3)/SUMPRODUCT(_xlfn.XLOOKUP($C37,$BM$1:$BM$3,$BN$1:$BY$3),$BN$4:$BY$4),""),
"")</f>
        <v/>
      </c>
      <c r="BT37" s="8" t="str">
        <f>IF(_xlfn.XLOOKUP($B37,'ELC TECH'!$H:$H,'ELC TECH'!$E:$E)="Non Dispatchable",IFERROR($AX37*_xlfn.XLOOKUP($C37,$BM$1:$BM$3,BT$1:BT$3)/SUMPRODUCT(_xlfn.XLOOKUP($C37,$BM$1:$BM$3,$BN$1:$BY$3),$BN$4:$BY$4),""),
"")</f>
        <v/>
      </c>
      <c r="BU37" s="8" t="str">
        <f>IF(_xlfn.XLOOKUP($B37,'ELC TECH'!$H:$H,'ELC TECH'!$E:$E)="Non Dispatchable",IFERROR($AX37*_xlfn.XLOOKUP($C37,$BM$1:$BM$3,BU$1:BU$3)/SUMPRODUCT(_xlfn.XLOOKUP($C37,$BM$1:$BM$3,$BN$1:$BY$3),$BN$4:$BY$4),""),
"")</f>
        <v/>
      </c>
      <c r="BV37" s="8" t="str">
        <f>IF(_xlfn.XLOOKUP($B37,'ELC TECH'!$H:$H,'ELC TECH'!$E:$E)="Non Dispatchable",IFERROR($AX37*_xlfn.XLOOKUP($C37,$BM$1:$BM$3,BV$1:BV$3)/SUMPRODUCT(_xlfn.XLOOKUP($C37,$BM$1:$BM$3,$BN$1:$BY$3),$BN$4:$BY$4),""),
"")</f>
        <v/>
      </c>
      <c r="BW37" s="8" t="str">
        <f>IF(_xlfn.XLOOKUP($B37,'ELC TECH'!$H:$H,'ELC TECH'!$E:$E)="Non Dispatchable",IFERROR($AX37*_xlfn.XLOOKUP($C37,$BM$1:$BM$3,BW$1:BW$3)/SUMPRODUCT(_xlfn.XLOOKUP($C37,$BM$1:$BM$3,$BN$1:$BY$3),$BN$4:$BY$4),""),
"")</f>
        <v/>
      </c>
      <c r="BX37" s="8" t="str">
        <f>IF(_xlfn.XLOOKUP($B37,'ELC TECH'!$H:$H,'ELC TECH'!$E:$E)="Non Dispatchable",IFERROR($AX37*_xlfn.XLOOKUP($C37,$BM$1:$BM$3,BX$1:BX$3)/SUMPRODUCT(_xlfn.XLOOKUP($C37,$BM$1:$BM$3,$BN$1:$BY$3),$BN$4:$BY$4),""),
"")</f>
        <v/>
      </c>
      <c r="BY37" s="8" t="str">
        <f>IF(_xlfn.XLOOKUP($B37,'ELC TECH'!$H:$H,'ELC TECH'!$E:$E)="Non Dispatchable",IFERROR($AX37*_xlfn.XLOOKUP($C37,$BM$1:$BM$3,BY$1:BY$3)/SUMPRODUCT(_xlfn.XLOOKUP($C37,$BM$1:$BM$3,$BN$1:$BY$3),$BN$4:$BY$4),""),
"")</f>
        <v/>
      </c>
      <c r="BZ37" s="8" t="str">
        <f>IF(_xlfn.XLOOKUP($B37,'ELC TECH'!$H:$H,'ELC TECH'!$E:$E)="Non Dispatchable",IFERROR($AX37*_xlfn.XLOOKUP($C37,$BM$1:$BM$3,BZ$1:BZ$3)/SUMPRODUCT(_xlfn.XLOOKUP($C37,$BM$1:$BM$3,$BN$1:$BY$3),$BN$4:$BY$4),""),
"")</f>
        <v/>
      </c>
      <c r="CA37" s="8" t="str">
        <f>IF(_xlfn.XLOOKUP($B37,'ELC TECH'!$H:$H,'ELC TECH'!$E:$E)="Non Dispatchable",IFERROR($AX37*_xlfn.XLOOKUP($C37,$BM$1:$BM$3,CA$1:CA$3)/SUMPRODUCT(_xlfn.XLOOKUP($C37,$BM$1:$BM$3,$BN$1:$BY$3),$BN$4:$BY$4),""),
"")</f>
        <v/>
      </c>
      <c r="CB37" s="8" t="str">
        <f>IF(_xlfn.XLOOKUP($B37,'ELC TECH'!$H:$H,'ELC TECH'!$E:$E)="Non Dispatchable",IFERROR($AX37*_xlfn.XLOOKUP($C37,$BM$1:$BM$3,CB$1:CB$3)/SUMPRODUCT(_xlfn.XLOOKUP($C37,$BM$1:$BM$3,$BN$1:$BY$3),$BN$4:$BY$4),""),
"")</f>
        <v/>
      </c>
      <c r="CC37" s="8" t="str">
        <f>IF(_xlfn.XLOOKUP($B37,'ELC TECH'!$H:$H,'ELC TECH'!$E:$E)="Non Dispatchable",IFERROR($AX37*_xlfn.XLOOKUP($C37,$BM$1:$BM$3,CC$1:CC$3)/SUMPRODUCT(_xlfn.XLOOKUP($C37,$BM$1:$BM$3,$BN$1:$BY$3),$BN$4:$BY$4),""),
"")</f>
        <v/>
      </c>
      <c r="CD37" s="8" t="str">
        <f>IF(_xlfn.XLOOKUP($B37,'ELC TECH'!$H:$H,'ELC TECH'!$E:$E)="Non Dispatchable",IFERROR($AX37*_xlfn.XLOOKUP($C37,$BM$1:$BM$3,CD$1:CD$3)/SUMPRODUCT(_xlfn.XLOOKUP($C37,$BM$1:$BM$3,$BN$1:$BY$3),$BN$4:$BY$4),""),
"")</f>
        <v/>
      </c>
      <c r="CE37" s="8" t="str">
        <f>IF(_xlfn.XLOOKUP($B37,'ELC TECH'!$H:$H,'ELC TECH'!$E:$E)="Non Dispatchable",IFERROR($AX37*_xlfn.XLOOKUP($C37,$BM$1:$BM$3,CE$1:CE$3)/SUMPRODUCT(_xlfn.XLOOKUP($C37,$BM$1:$BM$3,$BN$1:$BY$3),$BN$4:$BY$4),""),
"")</f>
        <v/>
      </c>
      <c r="CF37" s="8" t="str">
        <f>IF(_xlfn.XLOOKUP($B37,'ELC TECH'!$H:$H,'ELC TECH'!$E:$E)="Non Dispatchable",IFERROR($AX37*_xlfn.XLOOKUP($C37,$BM$1:$BM$3,CF$1:CF$3)/SUMPRODUCT(_xlfn.XLOOKUP($C37,$BM$1:$BM$3,$BN$1:$BY$3),$BN$4:$BY$4),""),
"")</f>
        <v/>
      </c>
      <c r="CG37" s="8" t="str">
        <f>IF(_xlfn.XLOOKUP($B37,'ELC TECH'!$H:$H,'ELC TECH'!$E:$E)="Non Dispatchable",IFERROR($AX37*_xlfn.XLOOKUP($C37,$BM$1:$BM$3,CG$1:CG$3)/SUMPRODUCT(_xlfn.XLOOKUP($C37,$BM$1:$BM$3,$BN$1:$BY$3),$BN$4:$BY$4),""),
"")</f>
        <v/>
      </c>
      <c r="CH37" s="8" t="str">
        <f>IF(_xlfn.XLOOKUP($B37,'ELC TECH'!$H:$H,'ELC TECH'!$E:$E)="Non Dispatchable",IFERROR($AX37*_xlfn.XLOOKUP($C37,$BM$1:$BM$3,CH$1:CH$3)/SUMPRODUCT(_xlfn.XLOOKUP($C37,$BM$1:$BM$3,$BN$1:$BY$3),$BN$4:$BY$4),""),
"")</f>
        <v/>
      </c>
      <c r="CI37" s="8" t="str">
        <f>IF(_xlfn.XLOOKUP($B37,'ELC TECH'!$H:$H,'ELC TECH'!$E:$E)="Non Dispatchable",IFERROR($AX37*_xlfn.XLOOKUP($C37,$BM$1:$BM$3,CI$1:CI$3)/SUMPRODUCT(_xlfn.XLOOKUP($C37,$BM$1:$BM$3,$BN$1:$BY$3),$BN$4:$BY$4),""),
"")</f>
        <v/>
      </c>
      <c r="CJ37" s="8" t="str">
        <f>IF(_xlfn.XLOOKUP($B37,'ELC TECH'!$H:$H,'ELC TECH'!$E:$E)="Non Dispatchable",IFERROR($AX37*_xlfn.XLOOKUP($C37,$BM$1:$BM$3,CJ$1:CJ$3)/SUMPRODUCT(_xlfn.XLOOKUP($C37,$BM$1:$BM$3,$BN$1:$BY$3),$BN$4:$BY$4),""),
"")</f>
        <v/>
      </c>
      <c r="CK37" s="8" t="str">
        <f>IF(_xlfn.XLOOKUP($B37,'ELC TECH'!$H:$H,'ELC TECH'!$E:$E)="Non Dispatchable",IFERROR($AX37*_xlfn.XLOOKUP($C37,$BM$1:$BM$3,CK$1:CK$3)/SUMPRODUCT(_xlfn.XLOOKUP($C37,$BM$1:$BM$3,$BN$1:$BY$3),$BN$4:$BY$4),""),
"")</f>
        <v/>
      </c>
      <c r="CL37" s="8">
        <f>IF(_xlfn.XLOOKUP($B37,'ELC TECH'!$H:$H,'ELC TECH'!$E:$E)="Storage",CL$4*$BF37,"")</f>
        <v>4.1099999999999998E-2</v>
      </c>
      <c r="CM37" s="8">
        <f>IF(_xlfn.XLOOKUP($B37,'ELC TECH'!$H:$H,'ELC TECH'!$E:$E)="Storage",CM$4*$BF37,"")</f>
        <v>4.7849999999999997E-2</v>
      </c>
      <c r="CN37" s="8">
        <f>IF(_xlfn.XLOOKUP($B37,'ELC TECH'!$H:$H,'ELC TECH'!$E:$E)="Storage",CN$4*$BF37,"")</f>
        <v>7.6600000000000001E-2</v>
      </c>
      <c r="CO37" s="8">
        <f>IF(_xlfn.XLOOKUP($B37,'ELC TECH'!$H:$H,'ELC TECH'!$E:$E)="Storage",CO$4*$BF37,"")</f>
        <v>1.6000000000000001E-3</v>
      </c>
      <c r="CP37" s="8">
        <f>IF(_xlfn.XLOOKUP($B37,'ELC TECH'!$H:$H,'ELC TECH'!$E:$E)="Storage",CP$4*$BF37,"")</f>
        <v>4.0750000000000001E-2</v>
      </c>
      <c r="CQ37" s="8">
        <f>IF(_xlfn.XLOOKUP($B37,'ELC TECH'!$H:$H,'ELC TECH'!$E:$E)="Storage",CQ$4*$BF37,"")</f>
        <v>5.4350000000000002E-2</v>
      </c>
      <c r="CR37" s="8">
        <f>IF(_xlfn.XLOOKUP($B37,'ELC TECH'!$H:$H,'ELC TECH'!$E:$E)="Storage",CR$4*$BF37,"")</f>
        <v>6.905E-2</v>
      </c>
      <c r="CS37" s="8">
        <f>IF(_xlfn.XLOOKUP($B37,'ELC TECH'!$H:$H,'ELC TECH'!$E:$E)="Storage",CS$4*$BF37,"")</f>
        <v>1.6000000000000001E-3</v>
      </c>
      <c r="CT37" s="8">
        <f>IF(_xlfn.XLOOKUP($B37,'ELC TECH'!$H:$H,'ELC TECH'!$E:$E)="Storage",CT$4*$BF37,"")</f>
        <v>4.8750000000000002E-2</v>
      </c>
      <c r="CU37" s="8">
        <f>IF(_xlfn.XLOOKUP($B37,'ELC TECH'!$H:$H,'ELC TECH'!$E:$E)="Storage",CU$4*$BF37,"")</f>
        <v>5.4350000000000002E-2</v>
      </c>
      <c r="CV37" s="8">
        <f>IF(_xlfn.XLOOKUP($B37,'ELC TECH'!$H:$H,'ELC TECH'!$E:$E)="Storage",CV$4*$BF37,"")</f>
        <v>6.2649999999999997E-2</v>
      </c>
      <c r="CW37" s="8">
        <f>IF(_xlfn.XLOOKUP($B37,'ELC TECH'!$H:$H,'ELC TECH'!$E:$E)="Storage",CW$4*$BF37,"")</f>
        <v>1.3500000000000001E-3</v>
      </c>
      <c r="CX37" s="8">
        <f>IF(_xlfn.XLOOKUP($B37,'ELC TECH'!$H:$H,'ELC TECH'!$E:$E)="Storage",CX$4*$BF37,"")</f>
        <v>4.1099999999999998E-2</v>
      </c>
      <c r="CY37" s="8">
        <f>IF(_xlfn.XLOOKUP($B37,'ELC TECH'!$H:$H,'ELC TECH'!$E:$E)="Storage",CY$4*$BF37,"")</f>
        <v>4.7849999999999997E-2</v>
      </c>
      <c r="CZ37" s="8">
        <f>IF(_xlfn.XLOOKUP($B37,'ELC TECH'!$H:$H,'ELC TECH'!$E:$E)="Storage",CZ$4*$BF37,"")</f>
        <v>7.6600000000000001E-2</v>
      </c>
      <c r="DA37" s="8">
        <f>IF(_xlfn.XLOOKUP($B37,'ELC TECH'!$H:$H,'ELC TECH'!$E:$E)="Storage",DA$4*$BF37,"")</f>
        <v>1.6000000000000001E-3</v>
      </c>
      <c r="DB37" s="8">
        <f>IF(_xlfn.XLOOKUP($B37,'ELC TECH'!$H:$H,'ELC TECH'!$E:$E)="Storage",DB$4*$BF37,"")</f>
        <v>4.0750000000000001E-2</v>
      </c>
      <c r="DC37" s="8">
        <f>IF(_xlfn.XLOOKUP($B37,'ELC TECH'!$H:$H,'ELC TECH'!$E:$E)="Storage",DC$4*$BF37,"")</f>
        <v>5.4350000000000002E-2</v>
      </c>
      <c r="DD37" s="8">
        <f>IF(_xlfn.XLOOKUP($B37,'ELC TECH'!$H:$H,'ELC TECH'!$E:$E)="Storage",DD$4*$BF37,"")</f>
        <v>6.905E-2</v>
      </c>
      <c r="DE37" s="8">
        <f>IF(_xlfn.XLOOKUP($B37,'ELC TECH'!$H:$H,'ELC TECH'!$E:$E)="Storage",DE$4*$BF37,"")</f>
        <v>1.6000000000000001E-3</v>
      </c>
      <c r="DF37" s="8">
        <f>IF(_xlfn.XLOOKUP($B37,'ELC TECH'!$H:$H,'ELC TECH'!$E:$E)="Storage",DF$4*$BF37,"")</f>
        <v>4.8750000000000002E-2</v>
      </c>
      <c r="DG37" s="8">
        <f>IF(_xlfn.XLOOKUP($B37,'ELC TECH'!$H:$H,'ELC TECH'!$E:$E)="Storage",DG$4*$BF37,"")</f>
        <v>5.4350000000000002E-2</v>
      </c>
      <c r="DH37" s="8">
        <f>IF(_xlfn.XLOOKUP($B37,'ELC TECH'!$H:$H,'ELC TECH'!$E:$E)="Storage",DH$4*$BF37,"")</f>
        <v>6.2649999999999997E-2</v>
      </c>
      <c r="DI37" s="8">
        <f>IF(_xlfn.XLOOKUP($B37,'ELC TECH'!$H:$H,'ELC TECH'!$E:$E)="Storage",DI$4*$BF37,"")</f>
        <v>1.3500000000000001E-3</v>
      </c>
    </row>
    <row r="38" spans="2:113" x14ac:dyDescent="0.25">
      <c r="B38" t="str">
        <f>IF('ELC TECH'!I31=0,"*",'ELC TECH'!H31)</f>
        <v>ELCSTGGRDPSH12HC320</v>
      </c>
      <c r="C38" t="str">
        <f>IF(_xlfn.XLOOKUP(_xlfn.XLOOKUP(B38,'ELC TECH'!$H:$H,'ELC TECH'!$G:$G),List!C:C,List!B:B)="STG",D38,"ELC"&amp;_xlfn.XLOOKUP(_xlfn.XLOOKUP(B38,'ELC TECH'!H:H,'ELC TECH'!G:G),List!C:C,List!B:B))</f>
        <v>CELC</v>
      </c>
      <c r="D38" t="s">
        <v>544</v>
      </c>
      <c r="E38">
        <f>_xlfn.XLOOKUP(B38,'ELC TECH'!H:H,'ELC TECH'!D:D)</f>
        <v>2020</v>
      </c>
      <c r="F38">
        <f>_xlfn.XLOOKUP(B38,'ELC TECH'!H:H,'ELC TECH'!K:K)</f>
        <v>100</v>
      </c>
      <c r="G38">
        <f t="shared" si="4"/>
        <v>31.535999999999998</v>
      </c>
      <c r="H38">
        <f>IF(_xlfn.XLOOKUP(B38,'ELC TECH'!$H:$H,'ELC TECH'!$E:$E)="Storage",0.3,IF(_xlfn.XLOOKUP(B38,'ELC TECH'!$H:$H,'ELC TECH'!$E:$E)="Baseload",0.9,IF(_xlfn.XLOOKUP(B38,'ELC TECH'!$H:$H,'ELC TECH'!$E:$E)="Non Dispatchable",0.05,IF(_xlfn.XLOOKUP(B38,'ELC TECH'!$H:$H,'ELC TECH'!$E:$E)="Dispatchable",0.9,1))))</f>
        <v>0.3</v>
      </c>
      <c r="I38" s="13">
        <f>IF(_xlfn.XLOOKUP(B38,'ELC TECH'!H:H,'ELC TECH'!J:J)="","",_xlfn.XLOOKUP(B38,'ELC TECH'!H:H,'ELC TECH'!J:J))</f>
        <v>0</v>
      </c>
      <c r="J38" s="12" t="str">
        <f>IF(_xlfn.XLOOKUP($B38,'ELC TECH'!$H:$H,'ELC TECH'!$E:$E)="Storage","",IF(_xlfn.XLOOKUP($B38,'ELC TECH'!$H:$H,'ELC TECH'!AK:AK)="",1,_xlfn.XLOOKUP($B38,'ELC TECH'!$H:$H,'ELC TECH'!AK:AK)))</f>
        <v/>
      </c>
      <c r="K38" s="12" t="str">
        <f>IF(_xlfn.XLOOKUP($B38,'ELC TECH'!$H:$H,'ELC TECH'!$E:$E)="Storage","",IF(_xlfn.XLOOKUP($B38,'ELC TECH'!$H:$H,'ELC TECH'!AL:AL)="",1,_xlfn.XLOOKUP($B38,'ELC TECH'!$H:$H,'ELC TECH'!AL:AL)))</f>
        <v/>
      </c>
      <c r="L38" s="12" t="str">
        <f>IF(_xlfn.XLOOKUP($B38,'ELC TECH'!$H:$H,'ELC TECH'!$E:$E)="Storage","",IF(_xlfn.XLOOKUP($B38,'ELC TECH'!$H:$H,'ELC TECH'!AM:AM)="",1,_xlfn.XLOOKUP($B38,'ELC TECH'!$H:$H,'ELC TECH'!AM:AM)))</f>
        <v/>
      </c>
      <c r="M38" s="12" t="str">
        <f>IF(_xlfn.XLOOKUP($B38,'ELC TECH'!$H:$H,'ELC TECH'!$E:$E)="Storage","",IF(_xlfn.XLOOKUP($B38,'ELC TECH'!$H:$H,'ELC TECH'!AN:AN)="",1,_xlfn.XLOOKUP($B38,'ELC TECH'!$H:$H,'ELC TECH'!AN:AN)))</f>
        <v/>
      </c>
      <c r="N38" s="12" t="str">
        <f>IF(_xlfn.XLOOKUP($B38,'ELC TECH'!$H:$H,'ELC TECH'!$E:$E)="Storage","",IF(_xlfn.XLOOKUP($B38,'ELC TECH'!$H:$H,'ELC TECH'!AO:AO)="",1,_xlfn.XLOOKUP($B38,'ELC TECH'!$H:$H,'ELC TECH'!AO:AO)))</f>
        <v/>
      </c>
      <c r="O38" s="12" t="str">
        <f>IF(_xlfn.XLOOKUP($B38,'ELC TECH'!$H:$H,'ELC TECH'!$E:$E)="Storage","",IF(_xlfn.XLOOKUP($B38,'ELC TECH'!$H:$H,'ELC TECH'!AP:AP)="",1,_xlfn.XLOOKUP($B38,'ELC TECH'!$H:$H,'ELC TECH'!AP:AP)))</f>
        <v/>
      </c>
      <c r="P38" s="12" t="str">
        <f>IF(_xlfn.XLOOKUP($B38,'ELC TECH'!$H:$H,'ELC TECH'!$E:$E)="Storage","",IF(_xlfn.XLOOKUP($B38,'ELC TECH'!$H:$H,'ELC TECH'!AQ:AQ)="",1,_xlfn.XLOOKUP($B38,'ELC TECH'!$H:$H,'ELC TECH'!AQ:AQ)))</f>
        <v/>
      </c>
      <c r="Q38" s="12" t="str">
        <f>IF(_xlfn.XLOOKUP($B38,'ELC TECH'!$H:$H,'ELC TECH'!$E:$E)="Storage","",IF(_xlfn.XLOOKUP($B38,'ELC TECH'!$H:$H,'ELC TECH'!AR:AR)="",1,_xlfn.XLOOKUP($B38,'ELC TECH'!$H:$H,'ELC TECH'!AR:AR)))</f>
        <v/>
      </c>
      <c r="R38" s="12">
        <f>IF(_xlfn.XLOOKUP($B38,'ELC TECH'!$H:$H,'ELC TECH'!$E:$E)&lt;&gt;"Storage","",IF(_xlfn.XLOOKUP($B38,'ELC TECH'!$H:$H,'ELC TECH'!AK:AK)="",0.8,_xlfn.XLOOKUP($B38,'ELC TECH'!$H:$H,'ELC TECH'!AK:AK)))</f>
        <v>0.8</v>
      </c>
      <c r="S38" s="12">
        <f>IF(_xlfn.XLOOKUP($B38,'ELC TECH'!$H:$H,'ELC TECH'!$E:$E)&lt;&gt;"Storage","",IF(_xlfn.XLOOKUP($B38,'ELC TECH'!$H:$H,'ELC TECH'!AL:AL)="",0.8,_xlfn.XLOOKUP($B38,'ELC TECH'!$H:$H,'ELC TECH'!AL:AL)))</f>
        <v>0.8</v>
      </c>
      <c r="T38" s="12">
        <f>IF(_xlfn.XLOOKUP($B38,'ELC TECH'!$H:$H,'ELC TECH'!$E:$E)&lt;&gt;"Storage","",IF(_xlfn.XLOOKUP($B38,'ELC TECH'!$H:$H,'ELC TECH'!AM:AM)="",0.8,_xlfn.XLOOKUP($B38,'ELC TECH'!$H:$H,'ELC TECH'!AM:AM)))</f>
        <v>0.8</v>
      </c>
      <c r="U38" s="12">
        <f>IF(_xlfn.XLOOKUP($B38,'ELC TECH'!$H:$H,'ELC TECH'!$E:$E)&lt;&gt;"Storage","",IF(_xlfn.XLOOKUP($B38,'ELC TECH'!$H:$H,'ELC TECH'!AN:AN)="",0.8,_xlfn.XLOOKUP($B38,'ELC TECH'!$H:$H,'ELC TECH'!AN:AN)))</f>
        <v>0.8</v>
      </c>
      <c r="V38" s="12">
        <f>IF(_xlfn.XLOOKUP($B38,'ELC TECH'!$H:$H,'ELC TECH'!$E:$E)&lt;&gt;"Storage","",IF(_xlfn.XLOOKUP($B38,'ELC TECH'!$H:$H,'ELC TECH'!AO:AO)="",0.8,_xlfn.XLOOKUP($B38,'ELC TECH'!$H:$H,'ELC TECH'!AO:AO)))</f>
        <v>0.8</v>
      </c>
      <c r="W38" s="12">
        <f>IF(_xlfn.XLOOKUP($B38,'ELC TECH'!$H:$H,'ELC TECH'!$E:$E)&lt;&gt;"Storage","",IF(_xlfn.XLOOKUP($B38,'ELC TECH'!$H:$H,'ELC TECH'!AP:AP)="",0.8,_xlfn.XLOOKUP($B38,'ELC TECH'!$H:$H,'ELC TECH'!AP:AP)))</f>
        <v>0.8</v>
      </c>
      <c r="X38" s="12">
        <f>IF(_xlfn.XLOOKUP($B38,'ELC TECH'!$H:$H,'ELC TECH'!$E:$E)&lt;&gt;"Storage","",IF(_xlfn.XLOOKUP($B38,'ELC TECH'!$H:$H,'ELC TECH'!AQ:AQ)="",0.8,_xlfn.XLOOKUP($B38,'ELC TECH'!$H:$H,'ELC TECH'!AQ:AQ)))</f>
        <v>0.8</v>
      </c>
      <c r="Y38" s="12">
        <f>IF(_xlfn.XLOOKUP($B38,'ELC TECH'!$H:$H,'ELC TECH'!$E:$E)&lt;&gt;"Storage","",IF(_xlfn.XLOOKUP($B38,'ELC TECH'!$H:$H,'ELC TECH'!AR:AR)="",0.8,_xlfn.XLOOKUP($B38,'ELC TECH'!$H:$H,'ELC TECH'!AR:AR)))</f>
        <v>0.8</v>
      </c>
      <c r="Z38" s="15">
        <f>_xlfn.XLOOKUP($B38,'ELC TECH'!$H:$H,'ELC TECH'!M:M)</f>
        <v>2902.3052152757159</v>
      </c>
      <c r="AA38" s="15">
        <f>_xlfn.XLOOKUP($B38,'ELC TECH'!$H:$H,'ELC TECH'!N:N)</f>
        <v>2902.3052152757159</v>
      </c>
      <c r="AB38" s="15">
        <f>_xlfn.XLOOKUP($B38,'ELC TECH'!$H:$H,'ELC TECH'!O:O)</f>
        <v>2902.3052152757159</v>
      </c>
      <c r="AC38" s="15">
        <f>_xlfn.XLOOKUP($B38,'ELC TECH'!$H:$H,'ELC TECH'!P:P)</f>
        <v>2902.3052152757159</v>
      </c>
      <c r="AD38" s="15">
        <f>_xlfn.XLOOKUP($B38,'ELC TECH'!$H:$H,'ELC TECH'!Q:Q)</f>
        <v>2902.3052152757159</v>
      </c>
      <c r="AE38" s="15">
        <f>_xlfn.XLOOKUP($B38,'ELC TECH'!$H:$H,'ELC TECH'!R:R)</f>
        <v>2902.3052152757159</v>
      </c>
      <c r="AF38" s="15">
        <f>_xlfn.XLOOKUP($B38,'ELC TECH'!$H:$H,'ELC TECH'!S:S)</f>
        <v>2902.3052152757159</v>
      </c>
      <c r="AG38" s="15">
        <f>_xlfn.XLOOKUP($B38,'ELC TECH'!$H:$H,'ELC TECH'!T:T)</f>
        <v>2902.3052152757159</v>
      </c>
      <c r="AH38" s="15">
        <f>_xlfn.XLOOKUP($B38,'ELC TECH'!$H:$H,'ELC TECH'!U:U)</f>
        <v>21.100097091380029</v>
      </c>
      <c r="AI38" s="15">
        <f>_xlfn.XLOOKUP($B38,'ELC TECH'!$H:$H,'ELC TECH'!V:V)</f>
        <v>21.100097091380029</v>
      </c>
      <c r="AJ38" s="15">
        <f>_xlfn.XLOOKUP($B38,'ELC TECH'!$H:$H,'ELC TECH'!W:W)</f>
        <v>21.100097091380029</v>
      </c>
      <c r="AK38" s="15">
        <f>_xlfn.XLOOKUP($B38,'ELC TECH'!$H:$H,'ELC TECH'!X:X)</f>
        <v>21.100097091380029</v>
      </c>
      <c r="AL38" s="15">
        <f>_xlfn.XLOOKUP($B38,'ELC TECH'!$H:$H,'ELC TECH'!Y:Y)</f>
        <v>21.100097091380029</v>
      </c>
      <c r="AM38" s="15">
        <f>_xlfn.XLOOKUP($B38,'ELC TECH'!$H:$H,'ELC TECH'!Z:Z)</f>
        <v>21.100097091380029</v>
      </c>
      <c r="AN38" s="15">
        <f>_xlfn.XLOOKUP($B38,'ELC TECH'!$H:$H,'ELC TECH'!AA:AA)</f>
        <v>21.100097091380029</v>
      </c>
      <c r="AO38" s="15">
        <f>_xlfn.XLOOKUP($B38,'ELC TECH'!$H:$H,'ELC TECH'!AB:AB)</f>
        <v>21.100097091380029</v>
      </c>
      <c r="AP38" s="15">
        <f>_xlfn.XLOOKUP($B38,'ELC TECH'!$H:$H,'ELC TECH'!AC:AC)</f>
        <v>0.1696149283872993</v>
      </c>
      <c r="AQ38" s="15">
        <f>_xlfn.XLOOKUP($B38,'ELC TECH'!$H:$H,'ELC TECH'!AD:AD)</f>
        <v>0.1696149283872993</v>
      </c>
      <c r="AR38" s="15">
        <f>_xlfn.XLOOKUP($B38,'ELC TECH'!$H:$H,'ELC TECH'!AE:AE)</f>
        <v>0.1696149283872993</v>
      </c>
      <c r="AS38" s="15">
        <f>_xlfn.XLOOKUP($B38,'ELC TECH'!$H:$H,'ELC TECH'!AF:AF)</f>
        <v>0.1696149283872993</v>
      </c>
      <c r="AT38" s="15">
        <f>_xlfn.XLOOKUP($B38,'ELC TECH'!$H:$H,'ELC TECH'!AG:AG)</f>
        <v>0.1696149283872993</v>
      </c>
      <c r="AU38" s="15">
        <f>_xlfn.XLOOKUP($B38,'ELC TECH'!$H:$H,'ELC TECH'!AH:AH)</f>
        <v>0.1696149283872993</v>
      </c>
      <c r="AV38" s="15">
        <f>_xlfn.XLOOKUP($B38,'ELC TECH'!$H:$H,'ELC TECH'!AI:AI)</f>
        <v>0.1696149283872993</v>
      </c>
      <c r="AW38" s="15">
        <f>_xlfn.XLOOKUP($B38,'ELC TECH'!$H:$H,'ELC TECH'!AJ:AJ)</f>
        <v>0.1696149283872993</v>
      </c>
      <c r="AX38" s="12" t="str">
        <f>IF(_xlfn.XLOOKUP($B38,'ELC TECH'!$H:$H,'ELC TECH'!$E:$E)="Storage","",_xlfn.XLOOKUP($B38,'ELC TECH'!$H:$H,'ELC TECH'!AS:AS))</f>
        <v/>
      </c>
      <c r="AY38" s="12" t="str">
        <f>IF(_xlfn.XLOOKUP($B38,'ELC TECH'!$H:$H,'ELC TECH'!$E:$E)="Storage","",_xlfn.XLOOKUP($B38,'ELC TECH'!$H:$H,'ELC TECH'!AT:AT))</f>
        <v/>
      </c>
      <c r="AZ38" s="12" t="str">
        <f>IF(_xlfn.XLOOKUP($B38,'ELC TECH'!$H:$H,'ELC TECH'!$E:$E)="Storage","",_xlfn.XLOOKUP($B38,'ELC TECH'!$H:$H,'ELC TECH'!AU:AU))</f>
        <v/>
      </c>
      <c r="BA38" s="12" t="str">
        <f>IF(_xlfn.XLOOKUP($B38,'ELC TECH'!$H:$H,'ELC TECH'!$E:$E)="Storage","",_xlfn.XLOOKUP($B38,'ELC TECH'!$H:$H,'ELC TECH'!AV:AV))</f>
        <v/>
      </c>
      <c r="BB38" s="12" t="str">
        <f>IF(_xlfn.XLOOKUP($B38,'ELC TECH'!$H:$H,'ELC TECH'!$E:$E)="Storage","",_xlfn.XLOOKUP($B38,'ELC TECH'!$H:$H,'ELC TECH'!AW:AW))</f>
        <v/>
      </c>
      <c r="BC38" s="12" t="str">
        <f>IF(_xlfn.XLOOKUP($B38,'ELC TECH'!$H:$H,'ELC TECH'!$E:$E)="Storage","",_xlfn.XLOOKUP($B38,'ELC TECH'!$H:$H,'ELC TECH'!AX:AX))</f>
        <v/>
      </c>
      <c r="BD38" s="12" t="str">
        <f>IF(_xlfn.XLOOKUP($B38,'ELC TECH'!$H:$H,'ELC TECH'!$E:$E)="Storage","",_xlfn.XLOOKUP($B38,'ELC TECH'!$H:$H,'ELC TECH'!AY:AY))</f>
        <v/>
      </c>
      <c r="BE38" s="12" t="str">
        <f>IF(_xlfn.XLOOKUP($B38,'ELC TECH'!$H:$H,'ELC TECH'!$E:$E)="Storage","",_xlfn.XLOOKUP($B38,'ELC TECH'!$H:$H,'ELC TECH'!AZ:AZ))</f>
        <v/>
      </c>
      <c r="BF38" s="12">
        <f>IF(_xlfn.XLOOKUP($B38,'ELC TECH'!$H:$H,'ELC TECH'!$E:$E)="Storage",_xlfn.XLOOKUP($B38,'ELC TECH'!$H:$H,'ELC TECH'!AS:AS),"")</f>
        <v>0.5</v>
      </c>
      <c r="BG38" s="12">
        <f>IF(_xlfn.XLOOKUP($B38,'ELC TECH'!$H:$H,'ELC TECH'!$E:$E)="Storage",_xlfn.XLOOKUP($B38,'ELC TECH'!$H:$H,'ELC TECH'!AT:AT),"")</f>
        <v>0.5</v>
      </c>
      <c r="BH38" s="12">
        <f>IF(_xlfn.XLOOKUP($B38,'ELC TECH'!$H:$H,'ELC TECH'!$E:$E)="Storage",_xlfn.XLOOKUP($B38,'ELC TECH'!$H:$H,'ELC TECH'!AU:AU),"")</f>
        <v>0.5</v>
      </c>
      <c r="BI38" s="12">
        <f>IF(_xlfn.XLOOKUP($B38,'ELC TECH'!$H:$H,'ELC TECH'!$E:$E)="Storage",_xlfn.XLOOKUP($B38,'ELC TECH'!$H:$H,'ELC TECH'!AV:AV),"")</f>
        <v>0.5</v>
      </c>
      <c r="BJ38" s="12">
        <f>IF(_xlfn.XLOOKUP($B38,'ELC TECH'!$H:$H,'ELC TECH'!$E:$E)="Storage",_xlfn.XLOOKUP($B38,'ELC TECH'!$H:$H,'ELC TECH'!AW:AW),"")</f>
        <v>0.5</v>
      </c>
      <c r="BK38" s="12">
        <f>IF(_xlfn.XLOOKUP($B38,'ELC TECH'!$H:$H,'ELC TECH'!$E:$E)="Storage",_xlfn.XLOOKUP($B38,'ELC TECH'!$H:$H,'ELC TECH'!AX:AX),"")</f>
        <v>0.5</v>
      </c>
      <c r="BL38" s="12">
        <f>IF(_xlfn.XLOOKUP($B38,'ELC TECH'!$H:$H,'ELC TECH'!$E:$E)="Storage",_xlfn.XLOOKUP($B38,'ELC TECH'!$H:$H,'ELC TECH'!AY:AY),"")</f>
        <v>0.5</v>
      </c>
      <c r="BM38" s="12">
        <f>IF(_xlfn.XLOOKUP($B38,'ELC TECH'!$H:$H,'ELC TECH'!$E:$E)="Storage",_xlfn.XLOOKUP($B38,'ELC TECH'!$H:$H,'ELC TECH'!AZ:AZ),"")</f>
        <v>0.5</v>
      </c>
      <c r="BN38" s="8" t="str">
        <f>IF(_xlfn.XLOOKUP($B38,'ELC TECH'!$H:$H,'ELC TECH'!$E:$E)="Non Dispatchable",IFERROR($AX38*_xlfn.XLOOKUP($C38,$BM$1:$BM$3,BN$1:BN$3)/SUMPRODUCT(_xlfn.XLOOKUP($C38,$BM$1:$BM$3,$BN$1:$BY$3),$BN$4:$BY$4),""),
"")</f>
        <v/>
      </c>
      <c r="BO38" s="8" t="str">
        <f>IF(_xlfn.XLOOKUP($B38,'ELC TECH'!$H:$H,'ELC TECH'!$E:$E)="Non Dispatchable",IFERROR($AX38*_xlfn.XLOOKUP($C38,$BM$1:$BM$3,BO$1:BO$3)/SUMPRODUCT(_xlfn.XLOOKUP($C38,$BM$1:$BM$3,$BN$1:$BY$3),$BN$4:$BY$4),""),
"")</f>
        <v/>
      </c>
      <c r="BP38" s="8" t="str">
        <f>IF(_xlfn.XLOOKUP($B38,'ELC TECH'!$H:$H,'ELC TECH'!$E:$E)="Non Dispatchable",IFERROR($AX38*_xlfn.XLOOKUP($C38,$BM$1:$BM$3,BP$1:BP$3)/SUMPRODUCT(_xlfn.XLOOKUP($C38,$BM$1:$BM$3,$BN$1:$BY$3),$BN$4:$BY$4),""),
"")</f>
        <v/>
      </c>
      <c r="BQ38" s="8" t="str">
        <f>IF(_xlfn.XLOOKUP($B38,'ELC TECH'!$H:$H,'ELC TECH'!$E:$E)="Non Dispatchable",IFERROR($AX38*_xlfn.XLOOKUP($C38,$BM$1:$BM$3,BQ$1:BQ$3)/SUMPRODUCT(_xlfn.XLOOKUP($C38,$BM$1:$BM$3,$BN$1:$BY$3),$BN$4:$BY$4),""),
"")</f>
        <v/>
      </c>
      <c r="BR38" s="8" t="str">
        <f>IF(_xlfn.XLOOKUP($B38,'ELC TECH'!$H:$H,'ELC TECH'!$E:$E)="Non Dispatchable",IFERROR($AX38*_xlfn.XLOOKUP($C38,$BM$1:$BM$3,BR$1:BR$3)/SUMPRODUCT(_xlfn.XLOOKUP($C38,$BM$1:$BM$3,$BN$1:$BY$3),$BN$4:$BY$4),""),
"")</f>
        <v/>
      </c>
      <c r="BS38" s="8" t="str">
        <f>IF(_xlfn.XLOOKUP($B38,'ELC TECH'!$H:$H,'ELC TECH'!$E:$E)="Non Dispatchable",IFERROR($AX38*_xlfn.XLOOKUP($C38,$BM$1:$BM$3,BS$1:BS$3)/SUMPRODUCT(_xlfn.XLOOKUP($C38,$BM$1:$BM$3,$BN$1:$BY$3),$BN$4:$BY$4),""),
"")</f>
        <v/>
      </c>
      <c r="BT38" s="8" t="str">
        <f>IF(_xlfn.XLOOKUP($B38,'ELC TECH'!$H:$H,'ELC TECH'!$E:$E)="Non Dispatchable",IFERROR($AX38*_xlfn.XLOOKUP($C38,$BM$1:$BM$3,BT$1:BT$3)/SUMPRODUCT(_xlfn.XLOOKUP($C38,$BM$1:$BM$3,$BN$1:$BY$3),$BN$4:$BY$4),""),
"")</f>
        <v/>
      </c>
      <c r="BU38" s="8" t="str">
        <f>IF(_xlfn.XLOOKUP($B38,'ELC TECH'!$H:$H,'ELC TECH'!$E:$E)="Non Dispatchable",IFERROR($AX38*_xlfn.XLOOKUP($C38,$BM$1:$BM$3,BU$1:BU$3)/SUMPRODUCT(_xlfn.XLOOKUP($C38,$BM$1:$BM$3,$BN$1:$BY$3),$BN$4:$BY$4),""),
"")</f>
        <v/>
      </c>
      <c r="BV38" s="8" t="str">
        <f>IF(_xlfn.XLOOKUP($B38,'ELC TECH'!$H:$H,'ELC TECH'!$E:$E)="Non Dispatchable",IFERROR($AX38*_xlfn.XLOOKUP($C38,$BM$1:$BM$3,BV$1:BV$3)/SUMPRODUCT(_xlfn.XLOOKUP($C38,$BM$1:$BM$3,$BN$1:$BY$3),$BN$4:$BY$4),""),
"")</f>
        <v/>
      </c>
      <c r="BW38" s="8" t="str">
        <f>IF(_xlfn.XLOOKUP($B38,'ELC TECH'!$H:$H,'ELC TECH'!$E:$E)="Non Dispatchable",IFERROR($AX38*_xlfn.XLOOKUP($C38,$BM$1:$BM$3,BW$1:BW$3)/SUMPRODUCT(_xlfn.XLOOKUP($C38,$BM$1:$BM$3,$BN$1:$BY$3),$BN$4:$BY$4),""),
"")</f>
        <v/>
      </c>
      <c r="BX38" s="8" t="str">
        <f>IF(_xlfn.XLOOKUP($B38,'ELC TECH'!$H:$H,'ELC TECH'!$E:$E)="Non Dispatchable",IFERROR($AX38*_xlfn.XLOOKUP($C38,$BM$1:$BM$3,BX$1:BX$3)/SUMPRODUCT(_xlfn.XLOOKUP($C38,$BM$1:$BM$3,$BN$1:$BY$3),$BN$4:$BY$4),""),
"")</f>
        <v/>
      </c>
      <c r="BY38" s="8" t="str">
        <f>IF(_xlfn.XLOOKUP($B38,'ELC TECH'!$H:$H,'ELC TECH'!$E:$E)="Non Dispatchable",IFERROR($AX38*_xlfn.XLOOKUP($C38,$BM$1:$BM$3,BY$1:BY$3)/SUMPRODUCT(_xlfn.XLOOKUP($C38,$BM$1:$BM$3,$BN$1:$BY$3),$BN$4:$BY$4),""),
"")</f>
        <v/>
      </c>
      <c r="BZ38" s="8" t="str">
        <f>IF(_xlfn.XLOOKUP($B38,'ELC TECH'!$H:$H,'ELC TECH'!$E:$E)="Non Dispatchable",IFERROR($AX38*_xlfn.XLOOKUP($C38,$BM$1:$BM$3,BZ$1:BZ$3)/SUMPRODUCT(_xlfn.XLOOKUP($C38,$BM$1:$BM$3,$BN$1:$BY$3),$BN$4:$BY$4),""),
"")</f>
        <v/>
      </c>
      <c r="CA38" s="8" t="str">
        <f>IF(_xlfn.XLOOKUP($B38,'ELC TECH'!$H:$H,'ELC TECH'!$E:$E)="Non Dispatchable",IFERROR($AX38*_xlfn.XLOOKUP($C38,$BM$1:$BM$3,CA$1:CA$3)/SUMPRODUCT(_xlfn.XLOOKUP($C38,$BM$1:$BM$3,$BN$1:$BY$3),$BN$4:$BY$4),""),
"")</f>
        <v/>
      </c>
      <c r="CB38" s="8" t="str">
        <f>IF(_xlfn.XLOOKUP($B38,'ELC TECH'!$H:$H,'ELC TECH'!$E:$E)="Non Dispatchable",IFERROR($AX38*_xlfn.XLOOKUP($C38,$BM$1:$BM$3,CB$1:CB$3)/SUMPRODUCT(_xlfn.XLOOKUP($C38,$BM$1:$BM$3,$BN$1:$BY$3),$BN$4:$BY$4),""),
"")</f>
        <v/>
      </c>
      <c r="CC38" s="8" t="str">
        <f>IF(_xlfn.XLOOKUP($B38,'ELC TECH'!$H:$H,'ELC TECH'!$E:$E)="Non Dispatchable",IFERROR($AX38*_xlfn.XLOOKUP($C38,$BM$1:$BM$3,CC$1:CC$3)/SUMPRODUCT(_xlfn.XLOOKUP($C38,$BM$1:$BM$3,$BN$1:$BY$3),$BN$4:$BY$4),""),
"")</f>
        <v/>
      </c>
      <c r="CD38" s="8" t="str">
        <f>IF(_xlfn.XLOOKUP($B38,'ELC TECH'!$H:$H,'ELC TECH'!$E:$E)="Non Dispatchable",IFERROR($AX38*_xlfn.XLOOKUP($C38,$BM$1:$BM$3,CD$1:CD$3)/SUMPRODUCT(_xlfn.XLOOKUP($C38,$BM$1:$BM$3,$BN$1:$BY$3),$BN$4:$BY$4),""),
"")</f>
        <v/>
      </c>
      <c r="CE38" s="8" t="str">
        <f>IF(_xlfn.XLOOKUP($B38,'ELC TECH'!$H:$H,'ELC TECH'!$E:$E)="Non Dispatchable",IFERROR($AX38*_xlfn.XLOOKUP($C38,$BM$1:$BM$3,CE$1:CE$3)/SUMPRODUCT(_xlfn.XLOOKUP($C38,$BM$1:$BM$3,$BN$1:$BY$3),$BN$4:$BY$4),""),
"")</f>
        <v/>
      </c>
      <c r="CF38" s="8" t="str">
        <f>IF(_xlfn.XLOOKUP($B38,'ELC TECH'!$H:$H,'ELC TECH'!$E:$E)="Non Dispatchable",IFERROR($AX38*_xlfn.XLOOKUP($C38,$BM$1:$BM$3,CF$1:CF$3)/SUMPRODUCT(_xlfn.XLOOKUP($C38,$BM$1:$BM$3,$BN$1:$BY$3),$BN$4:$BY$4),""),
"")</f>
        <v/>
      </c>
      <c r="CG38" s="8" t="str">
        <f>IF(_xlfn.XLOOKUP($B38,'ELC TECH'!$H:$H,'ELC TECH'!$E:$E)="Non Dispatchable",IFERROR($AX38*_xlfn.XLOOKUP($C38,$BM$1:$BM$3,CG$1:CG$3)/SUMPRODUCT(_xlfn.XLOOKUP($C38,$BM$1:$BM$3,$BN$1:$BY$3),$BN$4:$BY$4),""),
"")</f>
        <v/>
      </c>
      <c r="CH38" s="8" t="str">
        <f>IF(_xlfn.XLOOKUP($B38,'ELC TECH'!$H:$H,'ELC TECH'!$E:$E)="Non Dispatchable",IFERROR($AX38*_xlfn.XLOOKUP($C38,$BM$1:$BM$3,CH$1:CH$3)/SUMPRODUCT(_xlfn.XLOOKUP($C38,$BM$1:$BM$3,$BN$1:$BY$3),$BN$4:$BY$4),""),
"")</f>
        <v/>
      </c>
      <c r="CI38" s="8" t="str">
        <f>IF(_xlfn.XLOOKUP($B38,'ELC TECH'!$H:$H,'ELC TECH'!$E:$E)="Non Dispatchable",IFERROR($AX38*_xlfn.XLOOKUP($C38,$BM$1:$BM$3,CI$1:CI$3)/SUMPRODUCT(_xlfn.XLOOKUP($C38,$BM$1:$BM$3,$BN$1:$BY$3),$BN$4:$BY$4),""),
"")</f>
        <v/>
      </c>
      <c r="CJ38" s="8" t="str">
        <f>IF(_xlfn.XLOOKUP($B38,'ELC TECH'!$H:$H,'ELC TECH'!$E:$E)="Non Dispatchable",IFERROR($AX38*_xlfn.XLOOKUP($C38,$BM$1:$BM$3,CJ$1:CJ$3)/SUMPRODUCT(_xlfn.XLOOKUP($C38,$BM$1:$BM$3,$BN$1:$BY$3),$BN$4:$BY$4),""),
"")</f>
        <v/>
      </c>
      <c r="CK38" s="8" t="str">
        <f>IF(_xlfn.XLOOKUP($B38,'ELC TECH'!$H:$H,'ELC TECH'!$E:$E)="Non Dispatchable",IFERROR($AX38*_xlfn.XLOOKUP($C38,$BM$1:$BM$3,CK$1:CK$3)/SUMPRODUCT(_xlfn.XLOOKUP($C38,$BM$1:$BM$3,$BN$1:$BY$3),$BN$4:$BY$4),""),
"")</f>
        <v/>
      </c>
      <c r="CL38" s="8">
        <f>IF(_xlfn.XLOOKUP($B38,'ELC TECH'!$H:$H,'ELC TECH'!$E:$E)="Storage",CL$4*$BF38,"")</f>
        <v>4.1099999999999998E-2</v>
      </c>
      <c r="CM38" s="8">
        <f>IF(_xlfn.XLOOKUP($B38,'ELC TECH'!$H:$H,'ELC TECH'!$E:$E)="Storage",CM$4*$BF38,"")</f>
        <v>4.7849999999999997E-2</v>
      </c>
      <c r="CN38" s="8">
        <f>IF(_xlfn.XLOOKUP($B38,'ELC TECH'!$H:$H,'ELC TECH'!$E:$E)="Storage",CN$4*$BF38,"")</f>
        <v>7.6600000000000001E-2</v>
      </c>
      <c r="CO38" s="8">
        <f>IF(_xlfn.XLOOKUP($B38,'ELC TECH'!$H:$H,'ELC TECH'!$E:$E)="Storage",CO$4*$BF38,"")</f>
        <v>1.6000000000000001E-3</v>
      </c>
      <c r="CP38" s="8">
        <f>IF(_xlfn.XLOOKUP($B38,'ELC TECH'!$H:$H,'ELC TECH'!$E:$E)="Storage",CP$4*$BF38,"")</f>
        <v>4.0750000000000001E-2</v>
      </c>
      <c r="CQ38" s="8">
        <f>IF(_xlfn.XLOOKUP($B38,'ELC TECH'!$H:$H,'ELC TECH'!$E:$E)="Storage",CQ$4*$BF38,"")</f>
        <v>5.4350000000000002E-2</v>
      </c>
      <c r="CR38" s="8">
        <f>IF(_xlfn.XLOOKUP($B38,'ELC TECH'!$H:$H,'ELC TECH'!$E:$E)="Storage",CR$4*$BF38,"")</f>
        <v>6.905E-2</v>
      </c>
      <c r="CS38" s="8">
        <f>IF(_xlfn.XLOOKUP($B38,'ELC TECH'!$H:$H,'ELC TECH'!$E:$E)="Storage",CS$4*$BF38,"")</f>
        <v>1.6000000000000001E-3</v>
      </c>
      <c r="CT38" s="8">
        <f>IF(_xlfn.XLOOKUP($B38,'ELC TECH'!$H:$H,'ELC TECH'!$E:$E)="Storage",CT$4*$BF38,"")</f>
        <v>4.8750000000000002E-2</v>
      </c>
      <c r="CU38" s="8">
        <f>IF(_xlfn.XLOOKUP($B38,'ELC TECH'!$H:$H,'ELC TECH'!$E:$E)="Storage",CU$4*$BF38,"")</f>
        <v>5.4350000000000002E-2</v>
      </c>
      <c r="CV38" s="8">
        <f>IF(_xlfn.XLOOKUP($B38,'ELC TECH'!$H:$H,'ELC TECH'!$E:$E)="Storage",CV$4*$BF38,"")</f>
        <v>6.2649999999999997E-2</v>
      </c>
      <c r="CW38" s="8">
        <f>IF(_xlfn.XLOOKUP($B38,'ELC TECH'!$H:$H,'ELC TECH'!$E:$E)="Storage",CW$4*$BF38,"")</f>
        <v>1.3500000000000001E-3</v>
      </c>
      <c r="CX38" s="8">
        <f>IF(_xlfn.XLOOKUP($B38,'ELC TECH'!$H:$H,'ELC TECH'!$E:$E)="Storage",CX$4*$BF38,"")</f>
        <v>4.1099999999999998E-2</v>
      </c>
      <c r="CY38" s="8">
        <f>IF(_xlfn.XLOOKUP($B38,'ELC TECH'!$H:$H,'ELC TECH'!$E:$E)="Storage",CY$4*$BF38,"")</f>
        <v>4.7849999999999997E-2</v>
      </c>
      <c r="CZ38" s="8">
        <f>IF(_xlfn.XLOOKUP($B38,'ELC TECH'!$H:$H,'ELC TECH'!$E:$E)="Storage",CZ$4*$BF38,"")</f>
        <v>7.6600000000000001E-2</v>
      </c>
      <c r="DA38" s="8">
        <f>IF(_xlfn.XLOOKUP($B38,'ELC TECH'!$H:$H,'ELC TECH'!$E:$E)="Storage",DA$4*$BF38,"")</f>
        <v>1.6000000000000001E-3</v>
      </c>
      <c r="DB38" s="8">
        <f>IF(_xlfn.XLOOKUP($B38,'ELC TECH'!$H:$H,'ELC TECH'!$E:$E)="Storage",DB$4*$BF38,"")</f>
        <v>4.0750000000000001E-2</v>
      </c>
      <c r="DC38" s="8">
        <f>IF(_xlfn.XLOOKUP($B38,'ELC TECH'!$H:$H,'ELC TECH'!$E:$E)="Storage",DC$4*$BF38,"")</f>
        <v>5.4350000000000002E-2</v>
      </c>
      <c r="DD38" s="8">
        <f>IF(_xlfn.XLOOKUP($B38,'ELC TECH'!$H:$H,'ELC TECH'!$E:$E)="Storage",DD$4*$BF38,"")</f>
        <v>6.905E-2</v>
      </c>
      <c r="DE38" s="8">
        <f>IF(_xlfn.XLOOKUP($B38,'ELC TECH'!$H:$H,'ELC TECH'!$E:$E)="Storage",DE$4*$BF38,"")</f>
        <v>1.6000000000000001E-3</v>
      </c>
      <c r="DF38" s="8">
        <f>IF(_xlfn.XLOOKUP($B38,'ELC TECH'!$H:$H,'ELC TECH'!$E:$E)="Storage",DF$4*$BF38,"")</f>
        <v>4.8750000000000002E-2</v>
      </c>
      <c r="DG38" s="8">
        <f>IF(_xlfn.XLOOKUP($B38,'ELC TECH'!$H:$H,'ELC TECH'!$E:$E)="Storage",DG$4*$BF38,"")</f>
        <v>5.4350000000000002E-2</v>
      </c>
      <c r="DH38" s="8">
        <f>IF(_xlfn.XLOOKUP($B38,'ELC TECH'!$H:$H,'ELC TECH'!$E:$E)="Storage",DH$4*$BF38,"")</f>
        <v>6.2649999999999997E-2</v>
      </c>
      <c r="DI38" s="8">
        <f>IF(_xlfn.XLOOKUP($B38,'ELC TECH'!$H:$H,'ELC TECH'!$E:$E)="Storage",DI$4*$BF38,"")</f>
        <v>1.3500000000000001E-3</v>
      </c>
    </row>
    <row r="39" spans="2:113" x14ac:dyDescent="0.25">
      <c r="B39" t="str">
        <f>IF('ELC TECH'!I32=0,"*",'ELC TECH'!H32)</f>
        <v>ELCSTGGRDPSH12HC420</v>
      </c>
      <c r="C39" t="str">
        <f>IF(_xlfn.XLOOKUP(_xlfn.XLOOKUP(B39,'ELC TECH'!$H:$H,'ELC TECH'!$G:$G),List!C:C,List!B:B)="STG",D39,"ELC"&amp;_xlfn.XLOOKUP(_xlfn.XLOOKUP(B39,'ELC TECH'!H:H,'ELC TECH'!G:G),List!C:C,List!B:B))</f>
        <v>CELC</v>
      </c>
      <c r="D39" t="s">
        <v>544</v>
      </c>
      <c r="E39">
        <f>_xlfn.XLOOKUP(B39,'ELC TECH'!H:H,'ELC TECH'!D:D)</f>
        <v>2020</v>
      </c>
      <c r="F39">
        <f>_xlfn.XLOOKUP(B39,'ELC TECH'!H:H,'ELC TECH'!K:K)</f>
        <v>100</v>
      </c>
      <c r="G39">
        <f t="shared" si="4"/>
        <v>31.535999999999998</v>
      </c>
      <c r="H39">
        <f>IF(_xlfn.XLOOKUP(B39,'ELC TECH'!$H:$H,'ELC TECH'!$E:$E)="Storage",0.3,IF(_xlfn.XLOOKUP(B39,'ELC TECH'!$H:$H,'ELC TECH'!$E:$E)="Baseload",0.9,IF(_xlfn.XLOOKUP(B39,'ELC TECH'!$H:$H,'ELC TECH'!$E:$E)="Non Dispatchable",0.05,IF(_xlfn.XLOOKUP(B39,'ELC TECH'!$H:$H,'ELC TECH'!$E:$E)="Dispatchable",0.9,1))))</f>
        <v>0.3</v>
      </c>
      <c r="I39" s="13">
        <f>IF(_xlfn.XLOOKUP(B39,'ELC TECH'!H:H,'ELC TECH'!J:J)="","",_xlfn.XLOOKUP(B39,'ELC TECH'!H:H,'ELC TECH'!J:J))</f>
        <v>0</v>
      </c>
      <c r="J39" s="12" t="str">
        <f>IF(_xlfn.XLOOKUP($B39,'ELC TECH'!$H:$H,'ELC TECH'!$E:$E)="Storage","",IF(_xlfn.XLOOKUP($B39,'ELC TECH'!$H:$H,'ELC TECH'!AK:AK)="",1,_xlfn.XLOOKUP($B39,'ELC TECH'!$H:$H,'ELC TECH'!AK:AK)))</f>
        <v/>
      </c>
      <c r="K39" s="12" t="str">
        <f>IF(_xlfn.XLOOKUP($B39,'ELC TECH'!$H:$H,'ELC TECH'!$E:$E)="Storage","",IF(_xlfn.XLOOKUP($B39,'ELC TECH'!$H:$H,'ELC TECH'!AL:AL)="",1,_xlfn.XLOOKUP($B39,'ELC TECH'!$H:$H,'ELC TECH'!AL:AL)))</f>
        <v/>
      </c>
      <c r="L39" s="12" t="str">
        <f>IF(_xlfn.XLOOKUP($B39,'ELC TECH'!$H:$H,'ELC TECH'!$E:$E)="Storage","",IF(_xlfn.XLOOKUP($B39,'ELC TECH'!$H:$H,'ELC TECH'!AM:AM)="",1,_xlfn.XLOOKUP($B39,'ELC TECH'!$H:$H,'ELC TECH'!AM:AM)))</f>
        <v/>
      </c>
      <c r="M39" s="12" t="str">
        <f>IF(_xlfn.XLOOKUP($B39,'ELC TECH'!$H:$H,'ELC TECH'!$E:$E)="Storage","",IF(_xlfn.XLOOKUP($B39,'ELC TECH'!$H:$H,'ELC TECH'!AN:AN)="",1,_xlfn.XLOOKUP($B39,'ELC TECH'!$H:$H,'ELC TECH'!AN:AN)))</f>
        <v/>
      </c>
      <c r="N39" s="12" t="str">
        <f>IF(_xlfn.XLOOKUP($B39,'ELC TECH'!$H:$H,'ELC TECH'!$E:$E)="Storage","",IF(_xlfn.XLOOKUP($B39,'ELC TECH'!$H:$H,'ELC TECH'!AO:AO)="",1,_xlfn.XLOOKUP($B39,'ELC TECH'!$H:$H,'ELC TECH'!AO:AO)))</f>
        <v/>
      </c>
      <c r="O39" s="12" t="str">
        <f>IF(_xlfn.XLOOKUP($B39,'ELC TECH'!$H:$H,'ELC TECH'!$E:$E)="Storage","",IF(_xlfn.XLOOKUP($B39,'ELC TECH'!$H:$H,'ELC TECH'!AP:AP)="",1,_xlfn.XLOOKUP($B39,'ELC TECH'!$H:$H,'ELC TECH'!AP:AP)))</f>
        <v/>
      </c>
      <c r="P39" s="12" t="str">
        <f>IF(_xlfn.XLOOKUP($B39,'ELC TECH'!$H:$H,'ELC TECH'!$E:$E)="Storage","",IF(_xlfn.XLOOKUP($B39,'ELC TECH'!$H:$H,'ELC TECH'!AQ:AQ)="",1,_xlfn.XLOOKUP($B39,'ELC TECH'!$H:$H,'ELC TECH'!AQ:AQ)))</f>
        <v/>
      </c>
      <c r="Q39" s="12" t="str">
        <f>IF(_xlfn.XLOOKUP($B39,'ELC TECH'!$H:$H,'ELC TECH'!$E:$E)="Storage","",IF(_xlfn.XLOOKUP($B39,'ELC TECH'!$H:$H,'ELC TECH'!AR:AR)="",1,_xlfn.XLOOKUP($B39,'ELC TECH'!$H:$H,'ELC TECH'!AR:AR)))</f>
        <v/>
      </c>
      <c r="R39" s="12">
        <f>IF(_xlfn.XLOOKUP($B39,'ELC TECH'!$H:$H,'ELC TECH'!$E:$E)&lt;&gt;"Storage","",IF(_xlfn.XLOOKUP($B39,'ELC TECH'!$H:$H,'ELC TECH'!AK:AK)="",0.8,_xlfn.XLOOKUP($B39,'ELC TECH'!$H:$H,'ELC TECH'!AK:AK)))</f>
        <v>0.8</v>
      </c>
      <c r="S39" s="12">
        <f>IF(_xlfn.XLOOKUP($B39,'ELC TECH'!$H:$H,'ELC TECH'!$E:$E)&lt;&gt;"Storage","",IF(_xlfn.XLOOKUP($B39,'ELC TECH'!$H:$H,'ELC TECH'!AL:AL)="",0.8,_xlfn.XLOOKUP($B39,'ELC TECH'!$H:$H,'ELC TECH'!AL:AL)))</f>
        <v>0.8</v>
      </c>
      <c r="T39" s="12">
        <f>IF(_xlfn.XLOOKUP($B39,'ELC TECH'!$H:$H,'ELC TECH'!$E:$E)&lt;&gt;"Storage","",IF(_xlfn.XLOOKUP($B39,'ELC TECH'!$H:$H,'ELC TECH'!AM:AM)="",0.8,_xlfn.XLOOKUP($B39,'ELC TECH'!$H:$H,'ELC TECH'!AM:AM)))</f>
        <v>0.8</v>
      </c>
      <c r="U39" s="12">
        <f>IF(_xlfn.XLOOKUP($B39,'ELC TECH'!$H:$H,'ELC TECH'!$E:$E)&lt;&gt;"Storage","",IF(_xlfn.XLOOKUP($B39,'ELC TECH'!$H:$H,'ELC TECH'!AN:AN)="",0.8,_xlfn.XLOOKUP($B39,'ELC TECH'!$H:$H,'ELC TECH'!AN:AN)))</f>
        <v>0.8</v>
      </c>
      <c r="V39" s="12">
        <f>IF(_xlfn.XLOOKUP($B39,'ELC TECH'!$H:$H,'ELC TECH'!$E:$E)&lt;&gt;"Storage","",IF(_xlfn.XLOOKUP($B39,'ELC TECH'!$H:$H,'ELC TECH'!AO:AO)="",0.8,_xlfn.XLOOKUP($B39,'ELC TECH'!$H:$H,'ELC TECH'!AO:AO)))</f>
        <v>0.8</v>
      </c>
      <c r="W39" s="12">
        <f>IF(_xlfn.XLOOKUP($B39,'ELC TECH'!$H:$H,'ELC TECH'!$E:$E)&lt;&gt;"Storage","",IF(_xlfn.XLOOKUP($B39,'ELC TECH'!$H:$H,'ELC TECH'!AP:AP)="",0.8,_xlfn.XLOOKUP($B39,'ELC TECH'!$H:$H,'ELC TECH'!AP:AP)))</f>
        <v>0.8</v>
      </c>
      <c r="X39" s="12">
        <f>IF(_xlfn.XLOOKUP($B39,'ELC TECH'!$H:$H,'ELC TECH'!$E:$E)&lt;&gt;"Storage","",IF(_xlfn.XLOOKUP($B39,'ELC TECH'!$H:$H,'ELC TECH'!AQ:AQ)="",0.8,_xlfn.XLOOKUP($B39,'ELC TECH'!$H:$H,'ELC TECH'!AQ:AQ)))</f>
        <v>0.8</v>
      </c>
      <c r="Y39" s="12">
        <f>IF(_xlfn.XLOOKUP($B39,'ELC TECH'!$H:$H,'ELC TECH'!$E:$E)&lt;&gt;"Storage","",IF(_xlfn.XLOOKUP($B39,'ELC TECH'!$H:$H,'ELC TECH'!AR:AR)="",0.8,_xlfn.XLOOKUP($B39,'ELC TECH'!$H:$H,'ELC TECH'!AR:AR)))</f>
        <v>0.8</v>
      </c>
      <c r="Z39" s="15">
        <f>_xlfn.XLOOKUP($B39,'ELC TECH'!$H:$H,'ELC TECH'!M:M)</f>
        <v>3059.5593302806092</v>
      </c>
      <c r="AA39" s="15">
        <f>_xlfn.XLOOKUP($B39,'ELC TECH'!$H:$H,'ELC TECH'!N:N)</f>
        <v>3059.5593302806092</v>
      </c>
      <c r="AB39" s="15">
        <f>_xlfn.XLOOKUP($B39,'ELC TECH'!$H:$H,'ELC TECH'!O:O)</f>
        <v>3059.5593302806092</v>
      </c>
      <c r="AC39" s="15">
        <f>_xlfn.XLOOKUP($B39,'ELC TECH'!$H:$H,'ELC TECH'!P:P)</f>
        <v>3059.5593302806092</v>
      </c>
      <c r="AD39" s="15">
        <f>_xlfn.XLOOKUP($B39,'ELC TECH'!$H:$H,'ELC TECH'!Q:Q)</f>
        <v>3059.5593302806092</v>
      </c>
      <c r="AE39" s="15">
        <f>_xlfn.XLOOKUP($B39,'ELC TECH'!$H:$H,'ELC TECH'!R:R)</f>
        <v>3059.5593302806092</v>
      </c>
      <c r="AF39" s="15">
        <f>_xlfn.XLOOKUP($B39,'ELC TECH'!$H:$H,'ELC TECH'!S:S)</f>
        <v>3059.5593302806092</v>
      </c>
      <c r="AG39" s="15">
        <f>_xlfn.XLOOKUP($B39,'ELC TECH'!$H:$H,'ELC TECH'!T:T)</f>
        <v>3059.5593302806092</v>
      </c>
      <c r="AH39" s="15">
        <f>_xlfn.XLOOKUP($B39,'ELC TECH'!$H:$H,'ELC TECH'!U:U)</f>
        <v>21.100097091380029</v>
      </c>
      <c r="AI39" s="15">
        <f>_xlfn.XLOOKUP($B39,'ELC TECH'!$H:$H,'ELC TECH'!V:V)</f>
        <v>21.100097091380029</v>
      </c>
      <c r="AJ39" s="15">
        <f>_xlfn.XLOOKUP($B39,'ELC TECH'!$H:$H,'ELC TECH'!W:W)</f>
        <v>21.100097091380029</v>
      </c>
      <c r="AK39" s="15">
        <f>_xlfn.XLOOKUP($B39,'ELC TECH'!$H:$H,'ELC TECH'!X:X)</f>
        <v>21.100097091380029</v>
      </c>
      <c r="AL39" s="15">
        <f>_xlfn.XLOOKUP($B39,'ELC TECH'!$H:$H,'ELC TECH'!Y:Y)</f>
        <v>21.100097091380029</v>
      </c>
      <c r="AM39" s="15">
        <f>_xlfn.XLOOKUP($B39,'ELC TECH'!$H:$H,'ELC TECH'!Z:Z)</f>
        <v>21.100097091380029</v>
      </c>
      <c r="AN39" s="15">
        <f>_xlfn.XLOOKUP($B39,'ELC TECH'!$H:$H,'ELC TECH'!AA:AA)</f>
        <v>21.100097091380029</v>
      </c>
      <c r="AO39" s="15">
        <f>_xlfn.XLOOKUP($B39,'ELC TECH'!$H:$H,'ELC TECH'!AB:AB)</f>
        <v>21.100097091380029</v>
      </c>
      <c r="AP39" s="15">
        <f>_xlfn.XLOOKUP($B39,'ELC TECH'!$H:$H,'ELC TECH'!AC:AC)</f>
        <v>0.1696149283872993</v>
      </c>
      <c r="AQ39" s="15">
        <f>_xlfn.XLOOKUP($B39,'ELC TECH'!$H:$H,'ELC TECH'!AD:AD)</f>
        <v>0.1696149283872993</v>
      </c>
      <c r="AR39" s="15">
        <f>_xlfn.XLOOKUP($B39,'ELC TECH'!$H:$H,'ELC TECH'!AE:AE)</f>
        <v>0.1696149283872993</v>
      </c>
      <c r="AS39" s="15">
        <f>_xlfn.XLOOKUP($B39,'ELC TECH'!$H:$H,'ELC TECH'!AF:AF)</f>
        <v>0.1696149283872993</v>
      </c>
      <c r="AT39" s="15">
        <f>_xlfn.XLOOKUP($B39,'ELC TECH'!$H:$H,'ELC TECH'!AG:AG)</f>
        <v>0.1696149283872993</v>
      </c>
      <c r="AU39" s="15">
        <f>_xlfn.XLOOKUP($B39,'ELC TECH'!$H:$H,'ELC TECH'!AH:AH)</f>
        <v>0.1696149283872993</v>
      </c>
      <c r="AV39" s="15">
        <f>_xlfn.XLOOKUP($B39,'ELC TECH'!$H:$H,'ELC TECH'!AI:AI)</f>
        <v>0.1696149283872993</v>
      </c>
      <c r="AW39" s="15">
        <f>_xlfn.XLOOKUP($B39,'ELC TECH'!$H:$H,'ELC TECH'!AJ:AJ)</f>
        <v>0.1696149283872993</v>
      </c>
      <c r="AX39" s="12" t="str">
        <f>IF(_xlfn.XLOOKUP($B39,'ELC TECH'!$H:$H,'ELC TECH'!$E:$E)="Storage","",_xlfn.XLOOKUP($B39,'ELC TECH'!$H:$H,'ELC TECH'!AS:AS))</f>
        <v/>
      </c>
      <c r="AY39" s="12" t="str">
        <f>IF(_xlfn.XLOOKUP($B39,'ELC TECH'!$H:$H,'ELC TECH'!$E:$E)="Storage","",_xlfn.XLOOKUP($B39,'ELC TECH'!$H:$H,'ELC TECH'!AT:AT))</f>
        <v/>
      </c>
      <c r="AZ39" s="12" t="str">
        <f>IF(_xlfn.XLOOKUP($B39,'ELC TECH'!$H:$H,'ELC TECH'!$E:$E)="Storage","",_xlfn.XLOOKUP($B39,'ELC TECH'!$H:$H,'ELC TECH'!AU:AU))</f>
        <v/>
      </c>
      <c r="BA39" s="12" t="str">
        <f>IF(_xlfn.XLOOKUP($B39,'ELC TECH'!$H:$H,'ELC TECH'!$E:$E)="Storage","",_xlfn.XLOOKUP($B39,'ELC TECH'!$H:$H,'ELC TECH'!AV:AV))</f>
        <v/>
      </c>
      <c r="BB39" s="12" t="str">
        <f>IF(_xlfn.XLOOKUP($B39,'ELC TECH'!$H:$H,'ELC TECH'!$E:$E)="Storage","",_xlfn.XLOOKUP($B39,'ELC TECH'!$H:$H,'ELC TECH'!AW:AW))</f>
        <v/>
      </c>
      <c r="BC39" s="12" t="str">
        <f>IF(_xlfn.XLOOKUP($B39,'ELC TECH'!$H:$H,'ELC TECH'!$E:$E)="Storage","",_xlfn.XLOOKUP($B39,'ELC TECH'!$H:$H,'ELC TECH'!AX:AX))</f>
        <v/>
      </c>
      <c r="BD39" s="12" t="str">
        <f>IF(_xlfn.XLOOKUP($B39,'ELC TECH'!$H:$H,'ELC TECH'!$E:$E)="Storage","",_xlfn.XLOOKUP($B39,'ELC TECH'!$H:$H,'ELC TECH'!AY:AY))</f>
        <v/>
      </c>
      <c r="BE39" s="12" t="str">
        <f>IF(_xlfn.XLOOKUP($B39,'ELC TECH'!$H:$H,'ELC TECH'!$E:$E)="Storage","",_xlfn.XLOOKUP($B39,'ELC TECH'!$H:$H,'ELC TECH'!AZ:AZ))</f>
        <v/>
      </c>
      <c r="BF39" s="12">
        <f>IF(_xlfn.XLOOKUP($B39,'ELC TECH'!$H:$H,'ELC TECH'!$E:$E)="Storage",_xlfn.XLOOKUP($B39,'ELC TECH'!$H:$H,'ELC TECH'!AS:AS),"")</f>
        <v>0.5</v>
      </c>
      <c r="BG39" s="12">
        <f>IF(_xlfn.XLOOKUP($B39,'ELC TECH'!$H:$H,'ELC TECH'!$E:$E)="Storage",_xlfn.XLOOKUP($B39,'ELC TECH'!$H:$H,'ELC TECH'!AT:AT),"")</f>
        <v>0.5</v>
      </c>
      <c r="BH39" s="12">
        <f>IF(_xlfn.XLOOKUP($B39,'ELC TECH'!$H:$H,'ELC TECH'!$E:$E)="Storage",_xlfn.XLOOKUP($B39,'ELC TECH'!$H:$H,'ELC TECH'!AU:AU),"")</f>
        <v>0.5</v>
      </c>
      <c r="BI39" s="12">
        <f>IF(_xlfn.XLOOKUP($B39,'ELC TECH'!$H:$H,'ELC TECH'!$E:$E)="Storage",_xlfn.XLOOKUP($B39,'ELC TECH'!$H:$H,'ELC TECH'!AV:AV),"")</f>
        <v>0.5</v>
      </c>
      <c r="BJ39" s="12">
        <f>IF(_xlfn.XLOOKUP($B39,'ELC TECH'!$H:$H,'ELC TECH'!$E:$E)="Storage",_xlfn.XLOOKUP($B39,'ELC TECH'!$H:$H,'ELC TECH'!AW:AW),"")</f>
        <v>0.5</v>
      </c>
      <c r="BK39" s="12">
        <f>IF(_xlfn.XLOOKUP($B39,'ELC TECH'!$H:$H,'ELC TECH'!$E:$E)="Storage",_xlfn.XLOOKUP($B39,'ELC TECH'!$H:$H,'ELC TECH'!AX:AX),"")</f>
        <v>0.5</v>
      </c>
      <c r="BL39" s="12">
        <f>IF(_xlfn.XLOOKUP($B39,'ELC TECH'!$H:$H,'ELC TECH'!$E:$E)="Storage",_xlfn.XLOOKUP($B39,'ELC TECH'!$H:$H,'ELC TECH'!AY:AY),"")</f>
        <v>0.5</v>
      </c>
      <c r="BM39" s="12">
        <f>IF(_xlfn.XLOOKUP($B39,'ELC TECH'!$H:$H,'ELC TECH'!$E:$E)="Storage",_xlfn.XLOOKUP($B39,'ELC TECH'!$H:$H,'ELC TECH'!AZ:AZ),"")</f>
        <v>0.5</v>
      </c>
      <c r="BN39" s="8" t="str">
        <f>IF(_xlfn.XLOOKUP($B39,'ELC TECH'!$H:$H,'ELC TECH'!$E:$E)="Non Dispatchable",IFERROR($AX39*_xlfn.XLOOKUP($C39,$BM$1:$BM$3,BN$1:BN$3)/SUMPRODUCT(_xlfn.XLOOKUP($C39,$BM$1:$BM$3,$BN$1:$BY$3),$BN$4:$BY$4),""),
"")</f>
        <v/>
      </c>
      <c r="BO39" s="8" t="str">
        <f>IF(_xlfn.XLOOKUP($B39,'ELC TECH'!$H:$H,'ELC TECH'!$E:$E)="Non Dispatchable",IFERROR($AX39*_xlfn.XLOOKUP($C39,$BM$1:$BM$3,BO$1:BO$3)/SUMPRODUCT(_xlfn.XLOOKUP($C39,$BM$1:$BM$3,$BN$1:$BY$3),$BN$4:$BY$4),""),
"")</f>
        <v/>
      </c>
      <c r="BP39" s="8" t="str">
        <f>IF(_xlfn.XLOOKUP($B39,'ELC TECH'!$H:$H,'ELC TECH'!$E:$E)="Non Dispatchable",IFERROR($AX39*_xlfn.XLOOKUP($C39,$BM$1:$BM$3,BP$1:BP$3)/SUMPRODUCT(_xlfn.XLOOKUP($C39,$BM$1:$BM$3,$BN$1:$BY$3),$BN$4:$BY$4),""),
"")</f>
        <v/>
      </c>
      <c r="BQ39" s="8" t="str">
        <f>IF(_xlfn.XLOOKUP($B39,'ELC TECH'!$H:$H,'ELC TECH'!$E:$E)="Non Dispatchable",IFERROR($AX39*_xlfn.XLOOKUP($C39,$BM$1:$BM$3,BQ$1:BQ$3)/SUMPRODUCT(_xlfn.XLOOKUP($C39,$BM$1:$BM$3,$BN$1:$BY$3),$BN$4:$BY$4),""),
"")</f>
        <v/>
      </c>
      <c r="BR39" s="8" t="str">
        <f>IF(_xlfn.XLOOKUP($B39,'ELC TECH'!$H:$H,'ELC TECH'!$E:$E)="Non Dispatchable",IFERROR($AX39*_xlfn.XLOOKUP($C39,$BM$1:$BM$3,BR$1:BR$3)/SUMPRODUCT(_xlfn.XLOOKUP($C39,$BM$1:$BM$3,$BN$1:$BY$3),$BN$4:$BY$4),""),
"")</f>
        <v/>
      </c>
      <c r="BS39" s="8" t="str">
        <f>IF(_xlfn.XLOOKUP($B39,'ELC TECH'!$H:$H,'ELC TECH'!$E:$E)="Non Dispatchable",IFERROR($AX39*_xlfn.XLOOKUP($C39,$BM$1:$BM$3,BS$1:BS$3)/SUMPRODUCT(_xlfn.XLOOKUP($C39,$BM$1:$BM$3,$BN$1:$BY$3),$BN$4:$BY$4),""),
"")</f>
        <v/>
      </c>
      <c r="BT39" s="8" t="str">
        <f>IF(_xlfn.XLOOKUP($B39,'ELC TECH'!$H:$H,'ELC TECH'!$E:$E)="Non Dispatchable",IFERROR($AX39*_xlfn.XLOOKUP($C39,$BM$1:$BM$3,BT$1:BT$3)/SUMPRODUCT(_xlfn.XLOOKUP($C39,$BM$1:$BM$3,$BN$1:$BY$3),$BN$4:$BY$4),""),
"")</f>
        <v/>
      </c>
      <c r="BU39" s="8" t="str">
        <f>IF(_xlfn.XLOOKUP($B39,'ELC TECH'!$H:$H,'ELC TECH'!$E:$E)="Non Dispatchable",IFERROR($AX39*_xlfn.XLOOKUP($C39,$BM$1:$BM$3,BU$1:BU$3)/SUMPRODUCT(_xlfn.XLOOKUP($C39,$BM$1:$BM$3,$BN$1:$BY$3),$BN$4:$BY$4),""),
"")</f>
        <v/>
      </c>
      <c r="BV39" s="8" t="str">
        <f>IF(_xlfn.XLOOKUP($B39,'ELC TECH'!$H:$H,'ELC TECH'!$E:$E)="Non Dispatchable",IFERROR($AX39*_xlfn.XLOOKUP($C39,$BM$1:$BM$3,BV$1:BV$3)/SUMPRODUCT(_xlfn.XLOOKUP($C39,$BM$1:$BM$3,$BN$1:$BY$3),$BN$4:$BY$4),""),
"")</f>
        <v/>
      </c>
      <c r="BW39" s="8" t="str">
        <f>IF(_xlfn.XLOOKUP($B39,'ELC TECH'!$H:$H,'ELC TECH'!$E:$E)="Non Dispatchable",IFERROR($AX39*_xlfn.XLOOKUP($C39,$BM$1:$BM$3,BW$1:BW$3)/SUMPRODUCT(_xlfn.XLOOKUP($C39,$BM$1:$BM$3,$BN$1:$BY$3),$BN$4:$BY$4),""),
"")</f>
        <v/>
      </c>
      <c r="BX39" s="8" t="str">
        <f>IF(_xlfn.XLOOKUP($B39,'ELC TECH'!$H:$H,'ELC TECH'!$E:$E)="Non Dispatchable",IFERROR($AX39*_xlfn.XLOOKUP($C39,$BM$1:$BM$3,BX$1:BX$3)/SUMPRODUCT(_xlfn.XLOOKUP($C39,$BM$1:$BM$3,$BN$1:$BY$3),$BN$4:$BY$4),""),
"")</f>
        <v/>
      </c>
      <c r="BY39" s="8" t="str">
        <f>IF(_xlfn.XLOOKUP($B39,'ELC TECH'!$H:$H,'ELC TECH'!$E:$E)="Non Dispatchable",IFERROR($AX39*_xlfn.XLOOKUP($C39,$BM$1:$BM$3,BY$1:BY$3)/SUMPRODUCT(_xlfn.XLOOKUP($C39,$BM$1:$BM$3,$BN$1:$BY$3),$BN$4:$BY$4),""),
"")</f>
        <v/>
      </c>
      <c r="BZ39" s="8" t="str">
        <f>IF(_xlfn.XLOOKUP($B39,'ELC TECH'!$H:$H,'ELC TECH'!$E:$E)="Non Dispatchable",IFERROR($AX39*_xlfn.XLOOKUP($C39,$BM$1:$BM$3,BZ$1:BZ$3)/SUMPRODUCT(_xlfn.XLOOKUP($C39,$BM$1:$BM$3,$BN$1:$BY$3),$BN$4:$BY$4),""),
"")</f>
        <v/>
      </c>
      <c r="CA39" s="8" t="str">
        <f>IF(_xlfn.XLOOKUP($B39,'ELC TECH'!$H:$H,'ELC TECH'!$E:$E)="Non Dispatchable",IFERROR($AX39*_xlfn.XLOOKUP($C39,$BM$1:$BM$3,CA$1:CA$3)/SUMPRODUCT(_xlfn.XLOOKUP($C39,$BM$1:$BM$3,$BN$1:$BY$3),$BN$4:$BY$4),""),
"")</f>
        <v/>
      </c>
      <c r="CB39" s="8" t="str">
        <f>IF(_xlfn.XLOOKUP($B39,'ELC TECH'!$H:$H,'ELC TECH'!$E:$E)="Non Dispatchable",IFERROR($AX39*_xlfn.XLOOKUP($C39,$BM$1:$BM$3,CB$1:CB$3)/SUMPRODUCT(_xlfn.XLOOKUP($C39,$BM$1:$BM$3,$BN$1:$BY$3),$BN$4:$BY$4),""),
"")</f>
        <v/>
      </c>
      <c r="CC39" s="8" t="str">
        <f>IF(_xlfn.XLOOKUP($B39,'ELC TECH'!$H:$H,'ELC TECH'!$E:$E)="Non Dispatchable",IFERROR($AX39*_xlfn.XLOOKUP($C39,$BM$1:$BM$3,CC$1:CC$3)/SUMPRODUCT(_xlfn.XLOOKUP($C39,$BM$1:$BM$3,$BN$1:$BY$3),$BN$4:$BY$4),""),
"")</f>
        <v/>
      </c>
      <c r="CD39" s="8" t="str">
        <f>IF(_xlfn.XLOOKUP($B39,'ELC TECH'!$H:$H,'ELC TECH'!$E:$E)="Non Dispatchable",IFERROR($AX39*_xlfn.XLOOKUP($C39,$BM$1:$BM$3,CD$1:CD$3)/SUMPRODUCT(_xlfn.XLOOKUP($C39,$BM$1:$BM$3,$BN$1:$BY$3),$BN$4:$BY$4),""),
"")</f>
        <v/>
      </c>
      <c r="CE39" s="8" t="str">
        <f>IF(_xlfn.XLOOKUP($B39,'ELC TECH'!$H:$H,'ELC TECH'!$E:$E)="Non Dispatchable",IFERROR($AX39*_xlfn.XLOOKUP($C39,$BM$1:$BM$3,CE$1:CE$3)/SUMPRODUCT(_xlfn.XLOOKUP($C39,$BM$1:$BM$3,$BN$1:$BY$3),$BN$4:$BY$4),""),
"")</f>
        <v/>
      </c>
      <c r="CF39" s="8" t="str">
        <f>IF(_xlfn.XLOOKUP($B39,'ELC TECH'!$H:$H,'ELC TECH'!$E:$E)="Non Dispatchable",IFERROR($AX39*_xlfn.XLOOKUP($C39,$BM$1:$BM$3,CF$1:CF$3)/SUMPRODUCT(_xlfn.XLOOKUP($C39,$BM$1:$BM$3,$BN$1:$BY$3),$BN$4:$BY$4),""),
"")</f>
        <v/>
      </c>
      <c r="CG39" s="8" t="str">
        <f>IF(_xlfn.XLOOKUP($B39,'ELC TECH'!$H:$H,'ELC TECH'!$E:$E)="Non Dispatchable",IFERROR($AX39*_xlfn.XLOOKUP($C39,$BM$1:$BM$3,CG$1:CG$3)/SUMPRODUCT(_xlfn.XLOOKUP($C39,$BM$1:$BM$3,$BN$1:$BY$3),$BN$4:$BY$4),""),
"")</f>
        <v/>
      </c>
      <c r="CH39" s="8" t="str">
        <f>IF(_xlfn.XLOOKUP($B39,'ELC TECH'!$H:$H,'ELC TECH'!$E:$E)="Non Dispatchable",IFERROR($AX39*_xlfn.XLOOKUP($C39,$BM$1:$BM$3,CH$1:CH$3)/SUMPRODUCT(_xlfn.XLOOKUP($C39,$BM$1:$BM$3,$BN$1:$BY$3),$BN$4:$BY$4),""),
"")</f>
        <v/>
      </c>
      <c r="CI39" s="8" t="str">
        <f>IF(_xlfn.XLOOKUP($B39,'ELC TECH'!$H:$H,'ELC TECH'!$E:$E)="Non Dispatchable",IFERROR($AX39*_xlfn.XLOOKUP($C39,$BM$1:$BM$3,CI$1:CI$3)/SUMPRODUCT(_xlfn.XLOOKUP($C39,$BM$1:$BM$3,$BN$1:$BY$3),$BN$4:$BY$4),""),
"")</f>
        <v/>
      </c>
      <c r="CJ39" s="8" t="str">
        <f>IF(_xlfn.XLOOKUP($B39,'ELC TECH'!$H:$H,'ELC TECH'!$E:$E)="Non Dispatchable",IFERROR($AX39*_xlfn.XLOOKUP($C39,$BM$1:$BM$3,CJ$1:CJ$3)/SUMPRODUCT(_xlfn.XLOOKUP($C39,$BM$1:$BM$3,$BN$1:$BY$3),$BN$4:$BY$4),""),
"")</f>
        <v/>
      </c>
      <c r="CK39" s="8" t="str">
        <f>IF(_xlfn.XLOOKUP($B39,'ELC TECH'!$H:$H,'ELC TECH'!$E:$E)="Non Dispatchable",IFERROR($AX39*_xlfn.XLOOKUP($C39,$BM$1:$BM$3,CK$1:CK$3)/SUMPRODUCT(_xlfn.XLOOKUP($C39,$BM$1:$BM$3,$BN$1:$BY$3),$BN$4:$BY$4),""),
"")</f>
        <v/>
      </c>
      <c r="CL39" s="8">
        <f>IF(_xlfn.XLOOKUP($B39,'ELC TECH'!$H:$H,'ELC TECH'!$E:$E)="Storage",CL$4*$BF39,"")</f>
        <v>4.1099999999999998E-2</v>
      </c>
      <c r="CM39" s="8">
        <f>IF(_xlfn.XLOOKUP($B39,'ELC TECH'!$H:$H,'ELC TECH'!$E:$E)="Storage",CM$4*$BF39,"")</f>
        <v>4.7849999999999997E-2</v>
      </c>
      <c r="CN39" s="8">
        <f>IF(_xlfn.XLOOKUP($B39,'ELC TECH'!$H:$H,'ELC TECH'!$E:$E)="Storage",CN$4*$BF39,"")</f>
        <v>7.6600000000000001E-2</v>
      </c>
      <c r="CO39" s="8">
        <f>IF(_xlfn.XLOOKUP($B39,'ELC TECH'!$H:$H,'ELC TECH'!$E:$E)="Storage",CO$4*$BF39,"")</f>
        <v>1.6000000000000001E-3</v>
      </c>
      <c r="CP39" s="8">
        <f>IF(_xlfn.XLOOKUP($B39,'ELC TECH'!$H:$H,'ELC TECH'!$E:$E)="Storage",CP$4*$BF39,"")</f>
        <v>4.0750000000000001E-2</v>
      </c>
      <c r="CQ39" s="8">
        <f>IF(_xlfn.XLOOKUP($B39,'ELC TECH'!$H:$H,'ELC TECH'!$E:$E)="Storage",CQ$4*$BF39,"")</f>
        <v>5.4350000000000002E-2</v>
      </c>
      <c r="CR39" s="8">
        <f>IF(_xlfn.XLOOKUP($B39,'ELC TECH'!$H:$H,'ELC TECH'!$E:$E)="Storage",CR$4*$BF39,"")</f>
        <v>6.905E-2</v>
      </c>
      <c r="CS39" s="8">
        <f>IF(_xlfn.XLOOKUP($B39,'ELC TECH'!$H:$H,'ELC TECH'!$E:$E)="Storage",CS$4*$BF39,"")</f>
        <v>1.6000000000000001E-3</v>
      </c>
      <c r="CT39" s="8">
        <f>IF(_xlfn.XLOOKUP($B39,'ELC TECH'!$H:$H,'ELC TECH'!$E:$E)="Storage",CT$4*$BF39,"")</f>
        <v>4.8750000000000002E-2</v>
      </c>
      <c r="CU39" s="8">
        <f>IF(_xlfn.XLOOKUP($B39,'ELC TECH'!$H:$H,'ELC TECH'!$E:$E)="Storage",CU$4*$BF39,"")</f>
        <v>5.4350000000000002E-2</v>
      </c>
      <c r="CV39" s="8">
        <f>IF(_xlfn.XLOOKUP($B39,'ELC TECH'!$H:$H,'ELC TECH'!$E:$E)="Storage",CV$4*$BF39,"")</f>
        <v>6.2649999999999997E-2</v>
      </c>
      <c r="CW39" s="8">
        <f>IF(_xlfn.XLOOKUP($B39,'ELC TECH'!$H:$H,'ELC TECH'!$E:$E)="Storage",CW$4*$BF39,"")</f>
        <v>1.3500000000000001E-3</v>
      </c>
      <c r="CX39" s="8">
        <f>IF(_xlfn.XLOOKUP($B39,'ELC TECH'!$H:$H,'ELC TECH'!$E:$E)="Storage",CX$4*$BF39,"")</f>
        <v>4.1099999999999998E-2</v>
      </c>
      <c r="CY39" s="8">
        <f>IF(_xlfn.XLOOKUP($B39,'ELC TECH'!$H:$H,'ELC TECH'!$E:$E)="Storage",CY$4*$BF39,"")</f>
        <v>4.7849999999999997E-2</v>
      </c>
      <c r="CZ39" s="8">
        <f>IF(_xlfn.XLOOKUP($B39,'ELC TECH'!$H:$H,'ELC TECH'!$E:$E)="Storage",CZ$4*$BF39,"")</f>
        <v>7.6600000000000001E-2</v>
      </c>
      <c r="DA39" s="8">
        <f>IF(_xlfn.XLOOKUP($B39,'ELC TECH'!$H:$H,'ELC TECH'!$E:$E)="Storage",DA$4*$BF39,"")</f>
        <v>1.6000000000000001E-3</v>
      </c>
      <c r="DB39" s="8">
        <f>IF(_xlfn.XLOOKUP($B39,'ELC TECH'!$H:$H,'ELC TECH'!$E:$E)="Storage",DB$4*$BF39,"")</f>
        <v>4.0750000000000001E-2</v>
      </c>
      <c r="DC39" s="8">
        <f>IF(_xlfn.XLOOKUP($B39,'ELC TECH'!$H:$H,'ELC TECH'!$E:$E)="Storage",DC$4*$BF39,"")</f>
        <v>5.4350000000000002E-2</v>
      </c>
      <c r="DD39" s="8">
        <f>IF(_xlfn.XLOOKUP($B39,'ELC TECH'!$H:$H,'ELC TECH'!$E:$E)="Storage",DD$4*$BF39,"")</f>
        <v>6.905E-2</v>
      </c>
      <c r="DE39" s="8">
        <f>IF(_xlfn.XLOOKUP($B39,'ELC TECH'!$H:$H,'ELC TECH'!$E:$E)="Storage",DE$4*$BF39,"")</f>
        <v>1.6000000000000001E-3</v>
      </c>
      <c r="DF39" s="8">
        <f>IF(_xlfn.XLOOKUP($B39,'ELC TECH'!$H:$H,'ELC TECH'!$E:$E)="Storage",DF$4*$BF39,"")</f>
        <v>4.8750000000000002E-2</v>
      </c>
      <c r="DG39" s="8">
        <f>IF(_xlfn.XLOOKUP($B39,'ELC TECH'!$H:$H,'ELC TECH'!$E:$E)="Storage",DG$4*$BF39,"")</f>
        <v>5.4350000000000002E-2</v>
      </c>
      <c r="DH39" s="8">
        <f>IF(_xlfn.XLOOKUP($B39,'ELC TECH'!$H:$H,'ELC TECH'!$E:$E)="Storage",DH$4*$BF39,"")</f>
        <v>6.2649999999999997E-2</v>
      </c>
      <c r="DI39" s="8">
        <f>IF(_xlfn.XLOOKUP($B39,'ELC TECH'!$H:$H,'ELC TECH'!$E:$E)="Storage",DI$4*$BF39,"")</f>
        <v>1.3500000000000001E-3</v>
      </c>
    </row>
    <row r="40" spans="2:113" x14ac:dyDescent="0.25">
      <c r="B40" t="str">
        <f>IF('ELC TECH'!I33=0,"*",'ELC TECH'!H33)</f>
        <v>ELCSTGGRDPSH12HC520</v>
      </c>
      <c r="C40" t="str">
        <f>IF(_xlfn.XLOOKUP(_xlfn.XLOOKUP(B40,'ELC TECH'!$H:$H,'ELC TECH'!$G:$G),List!C:C,List!B:B)="STG",D40,"ELC"&amp;_xlfn.XLOOKUP(_xlfn.XLOOKUP(B40,'ELC TECH'!H:H,'ELC TECH'!G:G),List!C:C,List!B:B))</f>
        <v>CELC</v>
      </c>
      <c r="D40" t="s">
        <v>544</v>
      </c>
      <c r="E40">
        <f>_xlfn.XLOOKUP(B40,'ELC TECH'!H:H,'ELC TECH'!D:D)</f>
        <v>2020</v>
      </c>
      <c r="F40">
        <f>_xlfn.XLOOKUP(B40,'ELC TECH'!H:H,'ELC TECH'!K:K)</f>
        <v>100</v>
      </c>
      <c r="G40">
        <f t="shared" si="4"/>
        <v>31.535999999999998</v>
      </c>
      <c r="H40">
        <f>IF(_xlfn.XLOOKUP(B40,'ELC TECH'!$H:$H,'ELC TECH'!$E:$E)="Storage",0.3,IF(_xlfn.XLOOKUP(B40,'ELC TECH'!$H:$H,'ELC TECH'!$E:$E)="Baseload",0.9,IF(_xlfn.XLOOKUP(B40,'ELC TECH'!$H:$H,'ELC TECH'!$E:$E)="Non Dispatchable",0.05,IF(_xlfn.XLOOKUP(B40,'ELC TECH'!$H:$H,'ELC TECH'!$E:$E)="Dispatchable",0.9,1))))</f>
        <v>0.3</v>
      </c>
      <c r="I40" s="13">
        <f>IF(_xlfn.XLOOKUP(B40,'ELC TECH'!H:H,'ELC TECH'!J:J)="","",_xlfn.XLOOKUP(B40,'ELC TECH'!H:H,'ELC TECH'!J:J))</f>
        <v>0</v>
      </c>
      <c r="J40" s="12" t="str">
        <f>IF(_xlfn.XLOOKUP($B40,'ELC TECH'!$H:$H,'ELC TECH'!$E:$E)="Storage","",IF(_xlfn.XLOOKUP($B40,'ELC TECH'!$H:$H,'ELC TECH'!AK:AK)="",1,_xlfn.XLOOKUP($B40,'ELC TECH'!$H:$H,'ELC TECH'!AK:AK)))</f>
        <v/>
      </c>
      <c r="K40" s="12" t="str">
        <f>IF(_xlfn.XLOOKUP($B40,'ELC TECH'!$H:$H,'ELC TECH'!$E:$E)="Storage","",IF(_xlfn.XLOOKUP($B40,'ELC TECH'!$H:$H,'ELC TECH'!AL:AL)="",1,_xlfn.XLOOKUP($B40,'ELC TECH'!$H:$H,'ELC TECH'!AL:AL)))</f>
        <v/>
      </c>
      <c r="L40" s="12" t="str">
        <f>IF(_xlfn.XLOOKUP($B40,'ELC TECH'!$H:$H,'ELC TECH'!$E:$E)="Storage","",IF(_xlfn.XLOOKUP($B40,'ELC TECH'!$H:$H,'ELC TECH'!AM:AM)="",1,_xlfn.XLOOKUP($B40,'ELC TECH'!$H:$H,'ELC TECH'!AM:AM)))</f>
        <v/>
      </c>
      <c r="M40" s="12" t="str">
        <f>IF(_xlfn.XLOOKUP($B40,'ELC TECH'!$H:$H,'ELC TECH'!$E:$E)="Storage","",IF(_xlfn.XLOOKUP($B40,'ELC TECH'!$H:$H,'ELC TECH'!AN:AN)="",1,_xlfn.XLOOKUP($B40,'ELC TECH'!$H:$H,'ELC TECH'!AN:AN)))</f>
        <v/>
      </c>
      <c r="N40" s="12" t="str">
        <f>IF(_xlfn.XLOOKUP($B40,'ELC TECH'!$H:$H,'ELC TECH'!$E:$E)="Storage","",IF(_xlfn.XLOOKUP($B40,'ELC TECH'!$H:$H,'ELC TECH'!AO:AO)="",1,_xlfn.XLOOKUP($B40,'ELC TECH'!$H:$H,'ELC TECH'!AO:AO)))</f>
        <v/>
      </c>
      <c r="O40" s="12" t="str">
        <f>IF(_xlfn.XLOOKUP($B40,'ELC TECH'!$H:$H,'ELC TECH'!$E:$E)="Storage","",IF(_xlfn.XLOOKUP($B40,'ELC TECH'!$H:$H,'ELC TECH'!AP:AP)="",1,_xlfn.XLOOKUP($B40,'ELC TECH'!$H:$H,'ELC TECH'!AP:AP)))</f>
        <v/>
      </c>
      <c r="P40" s="12" t="str">
        <f>IF(_xlfn.XLOOKUP($B40,'ELC TECH'!$H:$H,'ELC TECH'!$E:$E)="Storage","",IF(_xlfn.XLOOKUP($B40,'ELC TECH'!$H:$H,'ELC TECH'!AQ:AQ)="",1,_xlfn.XLOOKUP($B40,'ELC TECH'!$H:$H,'ELC TECH'!AQ:AQ)))</f>
        <v/>
      </c>
      <c r="Q40" s="12" t="str">
        <f>IF(_xlfn.XLOOKUP($B40,'ELC TECH'!$H:$H,'ELC TECH'!$E:$E)="Storage","",IF(_xlfn.XLOOKUP($B40,'ELC TECH'!$H:$H,'ELC TECH'!AR:AR)="",1,_xlfn.XLOOKUP($B40,'ELC TECH'!$H:$H,'ELC TECH'!AR:AR)))</f>
        <v/>
      </c>
      <c r="R40" s="12">
        <f>IF(_xlfn.XLOOKUP($B40,'ELC TECH'!$H:$H,'ELC TECH'!$E:$E)&lt;&gt;"Storage","",IF(_xlfn.XLOOKUP($B40,'ELC TECH'!$H:$H,'ELC TECH'!AK:AK)="",0.8,_xlfn.XLOOKUP($B40,'ELC TECH'!$H:$H,'ELC TECH'!AK:AK)))</f>
        <v>0.8</v>
      </c>
      <c r="S40" s="12">
        <f>IF(_xlfn.XLOOKUP($B40,'ELC TECH'!$H:$H,'ELC TECH'!$E:$E)&lt;&gt;"Storage","",IF(_xlfn.XLOOKUP($B40,'ELC TECH'!$H:$H,'ELC TECH'!AL:AL)="",0.8,_xlfn.XLOOKUP($B40,'ELC TECH'!$H:$H,'ELC TECH'!AL:AL)))</f>
        <v>0.8</v>
      </c>
      <c r="T40" s="12">
        <f>IF(_xlfn.XLOOKUP($B40,'ELC TECH'!$H:$H,'ELC TECH'!$E:$E)&lt;&gt;"Storage","",IF(_xlfn.XLOOKUP($B40,'ELC TECH'!$H:$H,'ELC TECH'!AM:AM)="",0.8,_xlfn.XLOOKUP($B40,'ELC TECH'!$H:$H,'ELC TECH'!AM:AM)))</f>
        <v>0.8</v>
      </c>
      <c r="U40" s="12">
        <f>IF(_xlfn.XLOOKUP($B40,'ELC TECH'!$H:$H,'ELC TECH'!$E:$E)&lt;&gt;"Storage","",IF(_xlfn.XLOOKUP($B40,'ELC TECH'!$H:$H,'ELC TECH'!AN:AN)="",0.8,_xlfn.XLOOKUP($B40,'ELC TECH'!$H:$H,'ELC TECH'!AN:AN)))</f>
        <v>0.8</v>
      </c>
      <c r="V40" s="12">
        <f>IF(_xlfn.XLOOKUP($B40,'ELC TECH'!$H:$H,'ELC TECH'!$E:$E)&lt;&gt;"Storage","",IF(_xlfn.XLOOKUP($B40,'ELC TECH'!$H:$H,'ELC TECH'!AO:AO)="",0.8,_xlfn.XLOOKUP($B40,'ELC TECH'!$H:$H,'ELC TECH'!AO:AO)))</f>
        <v>0.8</v>
      </c>
      <c r="W40" s="12">
        <f>IF(_xlfn.XLOOKUP($B40,'ELC TECH'!$H:$H,'ELC TECH'!$E:$E)&lt;&gt;"Storage","",IF(_xlfn.XLOOKUP($B40,'ELC TECH'!$H:$H,'ELC TECH'!AP:AP)="",0.8,_xlfn.XLOOKUP($B40,'ELC TECH'!$H:$H,'ELC TECH'!AP:AP)))</f>
        <v>0.8</v>
      </c>
      <c r="X40" s="12">
        <f>IF(_xlfn.XLOOKUP($B40,'ELC TECH'!$H:$H,'ELC TECH'!$E:$E)&lt;&gt;"Storage","",IF(_xlfn.XLOOKUP($B40,'ELC TECH'!$H:$H,'ELC TECH'!AQ:AQ)="",0.8,_xlfn.XLOOKUP($B40,'ELC TECH'!$H:$H,'ELC TECH'!AQ:AQ)))</f>
        <v>0.8</v>
      </c>
      <c r="Y40" s="12">
        <f>IF(_xlfn.XLOOKUP($B40,'ELC TECH'!$H:$H,'ELC TECH'!$E:$E)&lt;&gt;"Storage","",IF(_xlfn.XLOOKUP($B40,'ELC TECH'!$H:$H,'ELC TECH'!AR:AR)="",0.8,_xlfn.XLOOKUP($B40,'ELC TECH'!$H:$H,'ELC TECH'!AR:AR)))</f>
        <v>0.8</v>
      </c>
      <c r="Z40" s="15">
        <f>_xlfn.XLOOKUP($B40,'ELC TECH'!$H:$H,'ELC TECH'!M:M)</f>
        <v>3198.7823529365151</v>
      </c>
      <c r="AA40" s="15">
        <f>_xlfn.XLOOKUP($B40,'ELC TECH'!$H:$H,'ELC TECH'!N:N)</f>
        <v>3198.7823529365151</v>
      </c>
      <c r="AB40" s="15">
        <f>_xlfn.XLOOKUP($B40,'ELC TECH'!$H:$H,'ELC TECH'!O:O)</f>
        <v>3198.7823529365151</v>
      </c>
      <c r="AC40" s="15">
        <f>_xlfn.XLOOKUP($B40,'ELC TECH'!$H:$H,'ELC TECH'!P:P)</f>
        <v>3198.7823529365151</v>
      </c>
      <c r="AD40" s="15">
        <f>_xlfn.XLOOKUP($B40,'ELC TECH'!$H:$H,'ELC TECH'!Q:Q)</f>
        <v>3198.7823529365151</v>
      </c>
      <c r="AE40" s="15">
        <f>_xlfn.XLOOKUP($B40,'ELC TECH'!$H:$H,'ELC TECH'!R:R)</f>
        <v>3198.7823529365151</v>
      </c>
      <c r="AF40" s="15">
        <f>_xlfn.XLOOKUP($B40,'ELC TECH'!$H:$H,'ELC TECH'!S:S)</f>
        <v>3198.7823529365151</v>
      </c>
      <c r="AG40" s="15">
        <f>_xlfn.XLOOKUP($B40,'ELC TECH'!$H:$H,'ELC TECH'!T:T)</f>
        <v>3198.7823529365151</v>
      </c>
      <c r="AH40" s="15">
        <f>_xlfn.XLOOKUP($B40,'ELC TECH'!$H:$H,'ELC TECH'!U:U)</f>
        <v>21.100097091380029</v>
      </c>
      <c r="AI40" s="15">
        <f>_xlfn.XLOOKUP($B40,'ELC TECH'!$H:$H,'ELC TECH'!V:V)</f>
        <v>21.100097091380029</v>
      </c>
      <c r="AJ40" s="15">
        <f>_xlfn.XLOOKUP($B40,'ELC TECH'!$H:$H,'ELC TECH'!W:W)</f>
        <v>21.100097091380029</v>
      </c>
      <c r="AK40" s="15">
        <f>_xlfn.XLOOKUP($B40,'ELC TECH'!$H:$H,'ELC TECH'!X:X)</f>
        <v>21.100097091380029</v>
      </c>
      <c r="AL40" s="15">
        <f>_xlfn.XLOOKUP($B40,'ELC TECH'!$H:$H,'ELC TECH'!Y:Y)</f>
        <v>21.100097091380029</v>
      </c>
      <c r="AM40" s="15">
        <f>_xlfn.XLOOKUP($B40,'ELC TECH'!$H:$H,'ELC TECH'!Z:Z)</f>
        <v>21.100097091380029</v>
      </c>
      <c r="AN40" s="15">
        <f>_xlfn.XLOOKUP($B40,'ELC TECH'!$H:$H,'ELC TECH'!AA:AA)</f>
        <v>21.100097091380029</v>
      </c>
      <c r="AO40" s="15">
        <f>_xlfn.XLOOKUP($B40,'ELC TECH'!$H:$H,'ELC TECH'!AB:AB)</f>
        <v>21.100097091380029</v>
      </c>
      <c r="AP40" s="15">
        <f>_xlfn.XLOOKUP($B40,'ELC TECH'!$H:$H,'ELC TECH'!AC:AC)</f>
        <v>0.1696149283872993</v>
      </c>
      <c r="AQ40" s="15">
        <f>_xlfn.XLOOKUP($B40,'ELC TECH'!$H:$H,'ELC TECH'!AD:AD)</f>
        <v>0.1696149283872993</v>
      </c>
      <c r="AR40" s="15">
        <f>_xlfn.XLOOKUP($B40,'ELC TECH'!$H:$H,'ELC TECH'!AE:AE)</f>
        <v>0.1696149283872993</v>
      </c>
      <c r="AS40" s="15">
        <f>_xlfn.XLOOKUP($B40,'ELC TECH'!$H:$H,'ELC TECH'!AF:AF)</f>
        <v>0.1696149283872993</v>
      </c>
      <c r="AT40" s="15">
        <f>_xlfn.XLOOKUP($B40,'ELC TECH'!$H:$H,'ELC TECH'!AG:AG)</f>
        <v>0.1696149283872993</v>
      </c>
      <c r="AU40" s="15">
        <f>_xlfn.XLOOKUP($B40,'ELC TECH'!$H:$H,'ELC TECH'!AH:AH)</f>
        <v>0.1696149283872993</v>
      </c>
      <c r="AV40" s="15">
        <f>_xlfn.XLOOKUP($B40,'ELC TECH'!$H:$H,'ELC TECH'!AI:AI)</f>
        <v>0.1696149283872993</v>
      </c>
      <c r="AW40" s="15">
        <f>_xlfn.XLOOKUP($B40,'ELC TECH'!$H:$H,'ELC TECH'!AJ:AJ)</f>
        <v>0.1696149283872993</v>
      </c>
      <c r="AX40" s="12" t="str">
        <f>IF(_xlfn.XLOOKUP($B40,'ELC TECH'!$H:$H,'ELC TECH'!$E:$E)="Storage","",_xlfn.XLOOKUP($B40,'ELC TECH'!$H:$H,'ELC TECH'!AS:AS))</f>
        <v/>
      </c>
      <c r="AY40" s="12" t="str">
        <f>IF(_xlfn.XLOOKUP($B40,'ELC TECH'!$H:$H,'ELC TECH'!$E:$E)="Storage","",_xlfn.XLOOKUP($B40,'ELC TECH'!$H:$H,'ELC TECH'!AT:AT))</f>
        <v/>
      </c>
      <c r="AZ40" s="12" t="str">
        <f>IF(_xlfn.XLOOKUP($B40,'ELC TECH'!$H:$H,'ELC TECH'!$E:$E)="Storage","",_xlfn.XLOOKUP($B40,'ELC TECH'!$H:$H,'ELC TECH'!AU:AU))</f>
        <v/>
      </c>
      <c r="BA40" s="12" t="str">
        <f>IF(_xlfn.XLOOKUP($B40,'ELC TECH'!$H:$H,'ELC TECH'!$E:$E)="Storage","",_xlfn.XLOOKUP($B40,'ELC TECH'!$H:$H,'ELC TECH'!AV:AV))</f>
        <v/>
      </c>
      <c r="BB40" s="12" t="str">
        <f>IF(_xlfn.XLOOKUP($B40,'ELC TECH'!$H:$H,'ELC TECH'!$E:$E)="Storage","",_xlfn.XLOOKUP($B40,'ELC TECH'!$H:$H,'ELC TECH'!AW:AW))</f>
        <v/>
      </c>
      <c r="BC40" s="12" t="str">
        <f>IF(_xlfn.XLOOKUP($B40,'ELC TECH'!$H:$H,'ELC TECH'!$E:$E)="Storage","",_xlfn.XLOOKUP($B40,'ELC TECH'!$H:$H,'ELC TECH'!AX:AX))</f>
        <v/>
      </c>
      <c r="BD40" s="12" t="str">
        <f>IF(_xlfn.XLOOKUP($B40,'ELC TECH'!$H:$H,'ELC TECH'!$E:$E)="Storage","",_xlfn.XLOOKUP($B40,'ELC TECH'!$H:$H,'ELC TECH'!AY:AY))</f>
        <v/>
      </c>
      <c r="BE40" s="12" t="str">
        <f>IF(_xlfn.XLOOKUP($B40,'ELC TECH'!$H:$H,'ELC TECH'!$E:$E)="Storage","",_xlfn.XLOOKUP($B40,'ELC TECH'!$H:$H,'ELC TECH'!AZ:AZ))</f>
        <v/>
      </c>
      <c r="BF40" s="12">
        <f>IF(_xlfn.XLOOKUP($B40,'ELC TECH'!$H:$H,'ELC TECH'!$E:$E)="Storage",_xlfn.XLOOKUP($B40,'ELC TECH'!$H:$H,'ELC TECH'!AS:AS),"")</f>
        <v>0.5</v>
      </c>
      <c r="BG40" s="12">
        <f>IF(_xlfn.XLOOKUP($B40,'ELC TECH'!$H:$H,'ELC TECH'!$E:$E)="Storage",_xlfn.XLOOKUP($B40,'ELC TECH'!$H:$H,'ELC TECH'!AT:AT),"")</f>
        <v>0.5</v>
      </c>
      <c r="BH40" s="12">
        <f>IF(_xlfn.XLOOKUP($B40,'ELC TECH'!$H:$H,'ELC TECH'!$E:$E)="Storage",_xlfn.XLOOKUP($B40,'ELC TECH'!$H:$H,'ELC TECH'!AU:AU),"")</f>
        <v>0.5</v>
      </c>
      <c r="BI40" s="12">
        <f>IF(_xlfn.XLOOKUP($B40,'ELC TECH'!$H:$H,'ELC TECH'!$E:$E)="Storage",_xlfn.XLOOKUP($B40,'ELC TECH'!$H:$H,'ELC TECH'!AV:AV),"")</f>
        <v>0.5</v>
      </c>
      <c r="BJ40" s="12">
        <f>IF(_xlfn.XLOOKUP($B40,'ELC TECH'!$H:$H,'ELC TECH'!$E:$E)="Storage",_xlfn.XLOOKUP($B40,'ELC TECH'!$H:$H,'ELC TECH'!AW:AW),"")</f>
        <v>0.5</v>
      </c>
      <c r="BK40" s="12">
        <f>IF(_xlfn.XLOOKUP($B40,'ELC TECH'!$H:$H,'ELC TECH'!$E:$E)="Storage",_xlfn.XLOOKUP($B40,'ELC TECH'!$H:$H,'ELC TECH'!AX:AX),"")</f>
        <v>0.5</v>
      </c>
      <c r="BL40" s="12">
        <f>IF(_xlfn.XLOOKUP($B40,'ELC TECH'!$H:$H,'ELC TECH'!$E:$E)="Storage",_xlfn.XLOOKUP($B40,'ELC TECH'!$H:$H,'ELC TECH'!AY:AY),"")</f>
        <v>0.5</v>
      </c>
      <c r="BM40" s="12">
        <f>IF(_xlfn.XLOOKUP($B40,'ELC TECH'!$H:$H,'ELC TECH'!$E:$E)="Storage",_xlfn.XLOOKUP($B40,'ELC TECH'!$H:$H,'ELC TECH'!AZ:AZ),"")</f>
        <v>0.5</v>
      </c>
      <c r="BN40" s="8" t="str">
        <f>IF(_xlfn.XLOOKUP($B40,'ELC TECH'!$H:$H,'ELC TECH'!$E:$E)="Non Dispatchable",IFERROR($AX40*_xlfn.XLOOKUP($C40,$BM$1:$BM$3,BN$1:BN$3)/SUMPRODUCT(_xlfn.XLOOKUP($C40,$BM$1:$BM$3,$BN$1:$BY$3),$BN$4:$BY$4),""),
"")</f>
        <v/>
      </c>
      <c r="BO40" s="8" t="str">
        <f>IF(_xlfn.XLOOKUP($B40,'ELC TECH'!$H:$H,'ELC TECH'!$E:$E)="Non Dispatchable",IFERROR($AX40*_xlfn.XLOOKUP($C40,$BM$1:$BM$3,BO$1:BO$3)/SUMPRODUCT(_xlfn.XLOOKUP($C40,$BM$1:$BM$3,$BN$1:$BY$3),$BN$4:$BY$4),""),
"")</f>
        <v/>
      </c>
      <c r="BP40" s="8" t="str">
        <f>IF(_xlfn.XLOOKUP($B40,'ELC TECH'!$H:$H,'ELC TECH'!$E:$E)="Non Dispatchable",IFERROR($AX40*_xlfn.XLOOKUP($C40,$BM$1:$BM$3,BP$1:BP$3)/SUMPRODUCT(_xlfn.XLOOKUP($C40,$BM$1:$BM$3,$BN$1:$BY$3),$BN$4:$BY$4),""),
"")</f>
        <v/>
      </c>
      <c r="BQ40" s="8" t="str">
        <f>IF(_xlfn.XLOOKUP($B40,'ELC TECH'!$H:$H,'ELC TECH'!$E:$E)="Non Dispatchable",IFERROR($AX40*_xlfn.XLOOKUP($C40,$BM$1:$BM$3,BQ$1:BQ$3)/SUMPRODUCT(_xlfn.XLOOKUP($C40,$BM$1:$BM$3,$BN$1:$BY$3),$BN$4:$BY$4),""),
"")</f>
        <v/>
      </c>
      <c r="BR40" s="8" t="str">
        <f>IF(_xlfn.XLOOKUP($B40,'ELC TECH'!$H:$H,'ELC TECH'!$E:$E)="Non Dispatchable",IFERROR($AX40*_xlfn.XLOOKUP($C40,$BM$1:$BM$3,BR$1:BR$3)/SUMPRODUCT(_xlfn.XLOOKUP($C40,$BM$1:$BM$3,$BN$1:$BY$3),$BN$4:$BY$4),""),
"")</f>
        <v/>
      </c>
      <c r="BS40" s="8" t="str">
        <f>IF(_xlfn.XLOOKUP($B40,'ELC TECH'!$H:$H,'ELC TECH'!$E:$E)="Non Dispatchable",IFERROR($AX40*_xlfn.XLOOKUP($C40,$BM$1:$BM$3,BS$1:BS$3)/SUMPRODUCT(_xlfn.XLOOKUP($C40,$BM$1:$BM$3,$BN$1:$BY$3),$BN$4:$BY$4),""),
"")</f>
        <v/>
      </c>
      <c r="BT40" s="8" t="str">
        <f>IF(_xlfn.XLOOKUP($B40,'ELC TECH'!$H:$H,'ELC TECH'!$E:$E)="Non Dispatchable",IFERROR($AX40*_xlfn.XLOOKUP($C40,$BM$1:$BM$3,BT$1:BT$3)/SUMPRODUCT(_xlfn.XLOOKUP($C40,$BM$1:$BM$3,$BN$1:$BY$3),$BN$4:$BY$4),""),
"")</f>
        <v/>
      </c>
      <c r="BU40" s="8" t="str">
        <f>IF(_xlfn.XLOOKUP($B40,'ELC TECH'!$H:$H,'ELC TECH'!$E:$E)="Non Dispatchable",IFERROR($AX40*_xlfn.XLOOKUP($C40,$BM$1:$BM$3,BU$1:BU$3)/SUMPRODUCT(_xlfn.XLOOKUP($C40,$BM$1:$BM$3,$BN$1:$BY$3),$BN$4:$BY$4),""),
"")</f>
        <v/>
      </c>
      <c r="BV40" s="8" t="str">
        <f>IF(_xlfn.XLOOKUP($B40,'ELC TECH'!$H:$H,'ELC TECH'!$E:$E)="Non Dispatchable",IFERROR($AX40*_xlfn.XLOOKUP($C40,$BM$1:$BM$3,BV$1:BV$3)/SUMPRODUCT(_xlfn.XLOOKUP($C40,$BM$1:$BM$3,$BN$1:$BY$3),$BN$4:$BY$4),""),
"")</f>
        <v/>
      </c>
      <c r="BW40" s="8" t="str">
        <f>IF(_xlfn.XLOOKUP($B40,'ELC TECH'!$H:$H,'ELC TECH'!$E:$E)="Non Dispatchable",IFERROR($AX40*_xlfn.XLOOKUP($C40,$BM$1:$BM$3,BW$1:BW$3)/SUMPRODUCT(_xlfn.XLOOKUP($C40,$BM$1:$BM$3,$BN$1:$BY$3),$BN$4:$BY$4),""),
"")</f>
        <v/>
      </c>
      <c r="BX40" s="8" t="str">
        <f>IF(_xlfn.XLOOKUP($B40,'ELC TECH'!$H:$H,'ELC TECH'!$E:$E)="Non Dispatchable",IFERROR($AX40*_xlfn.XLOOKUP($C40,$BM$1:$BM$3,BX$1:BX$3)/SUMPRODUCT(_xlfn.XLOOKUP($C40,$BM$1:$BM$3,$BN$1:$BY$3),$BN$4:$BY$4),""),
"")</f>
        <v/>
      </c>
      <c r="BY40" s="8" t="str">
        <f>IF(_xlfn.XLOOKUP($B40,'ELC TECH'!$H:$H,'ELC TECH'!$E:$E)="Non Dispatchable",IFERROR($AX40*_xlfn.XLOOKUP($C40,$BM$1:$BM$3,BY$1:BY$3)/SUMPRODUCT(_xlfn.XLOOKUP($C40,$BM$1:$BM$3,$BN$1:$BY$3),$BN$4:$BY$4),""),
"")</f>
        <v/>
      </c>
      <c r="BZ40" s="8" t="str">
        <f>IF(_xlfn.XLOOKUP($B40,'ELC TECH'!$H:$H,'ELC TECH'!$E:$E)="Non Dispatchable",IFERROR($AX40*_xlfn.XLOOKUP($C40,$BM$1:$BM$3,BZ$1:BZ$3)/SUMPRODUCT(_xlfn.XLOOKUP($C40,$BM$1:$BM$3,$BN$1:$BY$3),$BN$4:$BY$4),""),
"")</f>
        <v/>
      </c>
      <c r="CA40" s="8" t="str">
        <f>IF(_xlfn.XLOOKUP($B40,'ELC TECH'!$H:$H,'ELC TECH'!$E:$E)="Non Dispatchable",IFERROR($AX40*_xlfn.XLOOKUP($C40,$BM$1:$BM$3,CA$1:CA$3)/SUMPRODUCT(_xlfn.XLOOKUP($C40,$BM$1:$BM$3,$BN$1:$BY$3),$BN$4:$BY$4),""),
"")</f>
        <v/>
      </c>
      <c r="CB40" s="8" t="str">
        <f>IF(_xlfn.XLOOKUP($B40,'ELC TECH'!$H:$H,'ELC TECH'!$E:$E)="Non Dispatchable",IFERROR($AX40*_xlfn.XLOOKUP($C40,$BM$1:$BM$3,CB$1:CB$3)/SUMPRODUCT(_xlfn.XLOOKUP($C40,$BM$1:$BM$3,$BN$1:$BY$3),$BN$4:$BY$4),""),
"")</f>
        <v/>
      </c>
      <c r="CC40" s="8" t="str">
        <f>IF(_xlfn.XLOOKUP($B40,'ELC TECH'!$H:$H,'ELC TECH'!$E:$E)="Non Dispatchable",IFERROR($AX40*_xlfn.XLOOKUP($C40,$BM$1:$BM$3,CC$1:CC$3)/SUMPRODUCT(_xlfn.XLOOKUP($C40,$BM$1:$BM$3,$BN$1:$BY$3),$BN$4:$BY$4),""),
"")</f>
        <v/>
      </c>
      <c r="CD40" s="8" t="str">
        <f>IF(_xlfn.XLOOKUP($B40,'ELC TECH'!$H:$H,'ELC TECH'!$E:$E)="Non Dispatchable",IFERROR($AX40*_xlfn.XLOOKUP($C40,$BM$1:$BM$3,CD$1:CD$3)/SUMPRODUCT(_xlfn.XLOOKUP($C40,$BM$1:$BM$3,$BN$1:$BY$3),$BN$4:$BY$4),""),
"")</f>
        <v/>
      </c>
      <c r="CE40" s="8" t="str">
        <f>IF(_xlfn.XLOOKUP($B40,'ELC TECH'!$H:$H,'ELC TECH'!$E:$E)="Non Dispatchable",IFERROR($AX40*_xlfn.XLOOKUP($C40,$BM$1:$BM$3,CE$1:CE$3)/SUMPRODUCT(_xlfn.XLOOKUP($C40,$BM$1:$BM$3,$BN$1:$BY$3),$BN$4:$BY$4),""),
"")</f>
        <v/>
      </c>
      <c r="CF40" s="8" t="str">
        <f>IF(_xlfn.XLOOKUP($B40,'ELC TECH'!$H:$H,'ELC TECH'!$E:$E)="Non Dispatchable",IFERROR($AX40*_xlfn.XLOOKUP($C40,$BM$1:$BM$3,CF$1:CF$3)/SUMPRODUCT(_xlfn.XLOOKUP($C40,$BM$1:$BM$3,$BN$1:$BY$3),$BN$4:$BY$4),""),
"")</f>
        <v/>
      </c>
      <c r="CG40" s="8" t="str">
        <f>IF(_xlfn.XLOOKUP($B40,'ELC TECH'!$H:$H,'ELC TECH'!$E:$E)="Non Dispatchable",IFERROR($AX40*_xlfn.XLOOKUP($C40,$BM$1:$BM$3,CG$1:CG$3)/SUMPRODUCT(_xlfn.XLOOKUP($C40,$BM$1:$BM$3,$BN$1:$BY$3),$BN$4:$BY$4),""),
"")</f>
        <v/>
      </c>
      <c r="CH40" s="8" t="str">
        <f>IF(_xlfn.XLOOKUP($B40,'ELC TECH'!$H:$H,'ELC TECH'!$E:$E)="Non Dispatchable",IFERROR($AX40*_xlfn.XLOOKUP($C40,$BM$1:$BM$3,CH$1:CH$3)/SUMPRODUCT(_xlfn.XLOOKUP($C40,$BM$1:$BM$3,$BN$1:$BY$3),$BN$4:$BY$4),""),
"")</f>
        <v/>
      </c>
      <c r="CI40" s="8" t="str">
        <f>IF(_xlfn.XLOOKUP($B40,'ELC TECH'!$H:$H,'ELC TECH'!$E:$E)="Non Dispatchable",IFERROR($AX40*_xlfn.XLOOKUP($C40,$BM$1:$BM$3,CI$1:CI$3)/SUMPRODUCT(_xlfn.XLOOKUP($C40,$BM$1:$BM$3,$BN$1:$BY$3),$BN$4:$BY$4),""),
"")</f>
        <v/>
      </c>
      <c r="CJ40" s="8" t="str">
        <f>IF(_xlfn.XLOOKUP($B40,'ELC TECH'!$H:$H,'ELC TECH'!$E:$E)="Non Dispatchable",IFERROR($AX40*_xlfn.XLOOKUP($C40,$BM$1:$BM$3,CJ$1:CJ$3)/SUMPRODUCT(_xlfn.XLOOKUP($C40,$BM$1:$BM$3,$BN$1:$BY$3),$BN$4:$BY$4),""),
"")</f>
        <v/>
      </c>
      <c r="CK40" s="8" t="str">
        <f>IF(_xlfn.XLOOKUP($B40,'ELC TECH'!$H:$H,'ELC TECH'!$E:$E)="Non Dispatchable",IFERROR($AX40*_xlfn.XLOOKUP($C40,$BM$1:$BM$3,CK$1:CK$3)/SUMPRODUCT(_xlfn.XLOOKUP($C40,$BM$1:$BM$3,$BN$1:$BY$3),$BN$4:$BY$4),""),
"")</f>
        <v/>
      </c>
      <c r="CL40" s="8">
        <f>IF(_xlfn.XLOOKUP($B40,'ELC TECH'!$H:$H,'ELC TECH'!$E:$E)="Storage",CL$4*$BF40,"")</f>
        <v>4.1099999999999998E-2</v>
      </c>
      <c r="CM40" s="8">
        <f>IF(_xlfn.XLOOKUP($B40,'ELC TECH'!$H:$H,'ELC TECH'!$E:$E)="Storage",CM$4*$BF40,"")</f>
        <v>4.7849999999999997E-2</v>
      </c>
      <c r="CN40" s="8">
        <f>IF(_xlfn.XLOOKUP($B40,'ELC TECH'!$H:$H,'ELC TECH'!$E:$E)="Storage",CN$4*$BF40,"")</f>
        <v>7.6600000000000001E-2</v>
      </c>
      <c r="CO40" s="8">
        <f>IF(_xlfn.XLOOKUP($B40,'ELC TECH'!$H:$H,'ELC TECH'!$E:$E)="Storage",CO$4*$BF40,"")</f>
        <v>1.6000000000000001E-3</v>
      </c>
      <c r="CP40" s="8">
        <f>IF(_xlfn.XLOOKUP($B40,'ELC TECH'!$H:$H,'ELC TECH'!$E:$E)="Storage",CP$4*$BF40,"")</f>
        <v>4.0750000000000001E-2</v>
      </c>
      <c r="CQ40" s="8">
        <f>IF(_xlfn.XLOOKUP($B40,'ELC TECH'!$H:$H,'ELC TECH'!$E:$E)="Storage",CQ$4*$BF40,"")</f>
        <v>5.4350000000000002E-2</v>
      </c>
      <c r="CR40" s="8">
        <f>IF(_xlfn.XLOOKUP($B40,'ELC TECH'!$H:$H,'ELC TECH'!$E:$E)="Storage",CR$4*$BF40,"")</f>
        <v>6.905E-2</v>
      </c>
      <c r="CS40" s="8">
        <f>IF(_xlfn.XLOOKUP($B40,'ELC TECH'!$H:$H,'ELC TECH'!$E:$E)="Storage",CS$4*$BF40,"")</f>
        <v>1.6000000000000001E-3</v>
      </c>
      <c r="CT40" s="8">
        <f>IF(_xlfn.XLOOKUP($B40,'ELC TECH'!$H:$H,'ELC TECH'!$E:$E)="Storage",CT$4*$BF40,"")</f>
        <v>4.8750000000000002E-2</v>
      </c>
      <c r="CU40" s="8">
        <f>IF(_xlfn.XLOOKUP($B40,'ELC TECH'!$H:$H,'ELC TECH'!$E:$E)="Storage",CU$4*$BF40,"")</f>
        <v>5.4350000000000002E-2</v>
      </c>
      <c r="CV40" s="8">
        <f>IF(_xlfn.XLOOKUP($B40,'ELC TECH'!$H:$H,'ELC TECH'!$E:$E)="Storage",CV$4*$BF40,"")</f>
        <v>6.2649999999999997E-2</v>
      </c>
      <c r="CW40" s="8">
        <f>IF(_xlfn.XLOOKUP($B40,'ELC TECH'!$H:$H,'ELC TECH'!$E:$E)="Storage",CW$4*$BF40,"")</f>
        <v>1.3500000000000001E-3</v>
      </c>
      <c r="CX40" s="8">
        <f>IF(_xlfn.XLOOKUP($B40,'ELC TECH'!$H:$H,'ELC TECH'!$E:$E)="Storage",CX$4*$BF40,"")</f>
        <v>4.1099999999999998E-2</v>
      </c>
      <c r="CY40" s="8">
        <f>IF(_xlfn.XLOOKUP($B40,'ELC TECH'!$H:$H,'ELC TECH'!$E:$E)="Storage",CY$4*$BF40,"")</f>
        <v>4.7849999999999997E-2</v>
      </c>
      <c r="CZ40" s="8">
        <f>IF(_xlfn.XLOOKUP($B40,'ELC TECH'!$H:$H,'ELC TECH'!$E:$E)="Storage",CZ$4*$BF40,"")</f>
        <v>7.6600000000000001E-2</v>
      </c>
      <c r="DA40" s="8">
        <f>IF(_xlfn.XLOOKUP($B40,'ELC TECH'!$H:$H,'ELC TECH'!$E:$E)="Storage",DA$4*$BF40,"")</f>
        <v>1.6000000000000001E-3</v>
      </c>
      <c r="DB40" s="8">
        <f>IF(_xlfn.XLOOKUP($B40,'ELC TECH'!$H:$H,'ELC TECH'!$E:$E)="Storage",DB$4*$BF40,"")</f>
        <v>4.0750000000000001E-2</v>
      </c>
      <c r="DC40" s="8">
        <f>IF(_xlfn.XLOOKUP($B40,'ELC TECH'!$H:$H,'ELC TECH'!$E:$E)="Storage",DC$4*$BF40,"")</f>
        <v>5.4350000000000002E-2</v>
      </c>
      <c r="DD40" s="8">
        <f>IF(_xlfn.XLOOKUP($B40,'ELC TECH'!$H:$H,'ELC TECH'!$E:$E)="Storage",DD$4*$BF40,"")</f>
        <v>6.905E-2</v>
      </c>
      <c r="DE40" s="8">
        <f>IF(_xlfn.XLOOKUP($B40,'ELC TECH'!$H:$H,'ELC TECH'!$E:$E)="Storage",DE$4*$BF40,"")</f>
        <v>1.6000000000000001E-3</v>
      </c>
      <c r="DF40" s="8">
        <f>IF(_xlfn.XLOOKUP($B40,'ELC TECH'!$H:$H,'ELC TECH'!$E:$E)="Storage",DF$4*$BF40,"")</f>
        <v>4.8750000000000002E-2</v>
      </c>
      <c r="DG40" s="8">
        <f>IF(_xlfn.XLOOKUP($B40,'ELC TECH'!$H:$H,'ELC TECH'!$E:$E)="Storage",DG$4*$BF40,"")</f>
        <v>5.4350000000000002E-2</v>
      </c>
      <c r="DH40" s="8">
        <f>IF(_xlfn.XLOOKUP($B40,'ELC TECH'!$H:$H,'ELC TECH'!$E:$E)="Storage",DH$4*$BF40,"")</f>
        <v>6.2649999999999997E-2</v>
      </c>
      <c r="DI40" s="8">
        <f>IF(_xlfn.XLOOKUP($B40,'ELC TECH'!$H:$H,'ELC TECH'!$E:$E)="Storage",DI$4*$BF40,"")</f>
        <v>1.3500000000000001E-3</v>
      </c>
    </row>
    <row r="41" spans="2:113" x14ac:dyDescent="0.25">
      <c r="B41" t="str">
        <f>IF('ELC TECH'!I34=0,"*",'ELC TECH'!H34)</f>
        <v>ELCSTGGRDPSH12HC620</v>
      </c>
      <c r="C41" t="str">
        <f>IF(_xlfn.XLOOKUP(_xlfn.XLOOKUP(B41,'ELC TECH'!$H:$H,'ELC TECH'!$G:$G),List!C:C,List!B:B)="STG",D41,"ELC"&amp;_xlfn.XLOOKUP(_xlfn.XLOOKUP(B41,'ELC TECH'!H:H,'ELC TECH'!G:G),List!C:C,List!B:B))</f>
        <v>CELC</v>
      </c>
      <c r="D41" t="s">
        <v>544</v>
      </c>
      <c r="E41">
        <f>_xlfn.XLOOKUP(B41,'ELC TECH'!H:H,'ELC TECH'!D:D)</f>
        <v>2020</v>
      </c>
      <c r="F41">
        <f>_xlfn.XLOOKUP(B41,'ELC TECH'!H:H,'ELC TECH'!K:K)</f>
        <v>100</v>
      </c>
      <c r="G41">
        <f t="shared" si="4"/>
        <v>31.535999999999998</v>
      </c>
      <c r="H41">
        <f>IF(_xlfn.XLOOKUP(B41,'ELC TECH'!$H:$H,'ELC TECH'!$E:$E)="Storage",0.3,IF(_xlfn.XLOOKUP(B41,'ELC TECH'!$H:$H,'ELC TECH'!$E:$E)="Baseload",0.9,IF(_xlfn.XLOOKUP(B41,'ELC TECH'!$H:$H,'ELC TECH'!$E:$E)="Non Dispatchable",0.05,IF(_xlfn.XLOOKUP(B41,'ELC TECH'!$H:$H,'ELC TECH'!$E:$E)="Dispatchable",0.9,1))))</f>
        <v>0.3</v>
      </c>
      <c r="I41" s="13">
        <f>IF(_xlfn.XLOOKUP(B41,'ELC TECH'!H:H,'ELC TECH'!J:J)="","",_xlfn.XLOOKUP(B41,'ELC TECH'!H:H,'ELC TECH'!J:J))</f>
        <v>0</v>
      </c>
      <c r="J41" s="12" t="str">
        <f>IF(_xlfn.XLOOKUP($B41,'ELC TECH'!$H:$H,'ELC TECH'!$E:$E)="Storage","",IF(_xlfn.XLOOKUP($B41,'ELC TECH'!$H:$H,'ELC TECH'!AK:AK)="",1,_xlfn.XLOOKUP($B41,'ELC TECH'!$H:$H,'ELC TECH'!AK:AK)))</f>
        <v/>
      </c>
      <c r="K41" s="12" t="str">
        <f>IF(_xlfn.XLOOKUP($B41,'ELC TECH'!$H:$H,'ELC TECH'!$E:$E)="Storage","",IF(_xlfn.XLOOKUP($B41,'ELC TECH'!$H:$H,'ELC TECH'!AL:AL)="",1,_xlfn.XLOOKUP($B41,'ELC TECH'!$H:$H,'ELC TECH'!AL:AL)))</f>
        <v/>
      </c>
      <c r="L41" s="12" t="str">
        <f>IF(_xlfn.XLOOKUP($B41,'ELC TECH'!$H:$H,'ELC TECH'!$E:$E)="Storage","",IF(_xlfn.XLOOKUP($B41,'ELC TECH'!$H:$H,'ELC TECH'!AM:AM)="",1,_xlfn.XLOOKUP($B41,'ELC TECH'!$H:$H,'ELC TECH'!AM:AM)))</f>
        <v/>
      </c>
      <c r="M41" s="12" t="str">
        <f>IF(_xlfn.XLOOKUP($B41,'ELC TECH'!$H:$H,'ELC TECH'!$E:$E)="Storage","",IF(_xlfn.XLOOKUP($B41,'ELC TECH'!$H:$H,'ELC TECH'!AN:AN)="",1,_xlfn.XLOOKUP($B41,'ELC TECH'!$H:$H,'ELC TECH'!AN:AN)))</f>
        <v/>
      </c>
      <c r="N41" s="12" t="str">
        <f>IF(_xlfn.XLOOKUP($B41,'ELC TECH'!$H:$H,'ELC TECH'!$E:$E)="Storage","",IF(_xlfn.XLOOKUP($B41,'ELC TECH'!$H:$H,'ELC TECH'!AO:AO)="",1,_xlfn.XLOOKUP($B41,'ELC TECH'!$H:$H,'ELC TECH'!AO:AO)))</f>
        <v/>
      </c>
      <c r="O41" s="12" t="str">
        <f>IF(_xlfn.XLOOKUP($B41,'ELC TECH'!$H:$H,'ELC TECH'!$E:$E)="Storage","",IF(_xlfn.XLOOKUP($B41,'ELC TECH'!$H:$H,'ELC TECH'!AP:AP)="",1,_xlfn.XLOOKUP($B41,'ELC TECH'!$H:$H,'ELC TECH'!AP:AP)))</f>
        <v/>
      </c>
      <c r="P41" s="12" t="str">
        <f>IF(_xlfn.XLOOKUP($B41,'ELC TECH'!$H:$H,'ELC TECH'!$E:$E)="Storage","",IF(_xlfn.XLOOKUP($B41,'ELC TECH'!$H:$H,'ELC TECH'!AQ:AQ)="",1,_xlfn.XLOOKUP($B41,'ELC TECH'!$H:$H,'ELC TECH'!AQ:AQ)))</f>
        <v/>
      </c>
      <c r="Q41" s="12" t="str">
        <f>IF(_xlfn.XLOOKUP($B41,'ELC TECH'!$H:$H,'ELC TECH'!$E:$E)="Storage","",IF(_xlfn.XLOOKUP($B41,'ELC TECH'!$H:$H,'ELC TECH'!AR:AR)="",1,_xlfn.XLOOKUP($B41,'ELC TECH'!$H:$H,'ELC TECH'!AR:AR)))</f>
        <v/>
      </c>
      <c r="R41" s="12">
        <f>IF(_xlfn.XLOOKUP($B41,'ELC TECH'!$H:$H,'ELC TECH'!$E:$E)&lt;&gt;"Storage","",IF(_xlfn.XLOOKUP($B41,'ELC TECH'!$H:$H,'ELC TECH'!AK:AK)="",0.8,_xlfn.XLOOKUP($B41,'ELC TECH'!$H:$H,'ELC TECH'!AK:AK)))</f>
        <v>0.8</v>
      </c>
      <c r="S41" s="12">
        <f>IF(_xlfn.XLOOKUP($B41,'ELC TECH'!$H:$H,'ELC TECH'!$E:$E)&lt;&gt;"Storage","",IF(_xlfn.XLOOKUP($B41,'ELC TECH'!$H:$H,'ELC TECH'!AL:AL)="",0.8,_xlfn.XLOOKUP($B41,'ELC TECH'!$H:$H,'ELC TECH'!AL:AL)))</f>
        <v>0.8</v>
      </c>
      <c r="T41" s="12">
        <f>IF(_xlfn.XLOOKUP($B41,'ELC TECH'!$H:$H,'ELC TECH'!$E:$E)&lt;&gt;"Storage","",IF(_xlfn.XLOOKUP($B41,'ELC TECH'!$H:$H,'ELC TECH'!AM:AM)="",0.8,_xlfn.XLOOKUP($B41,'ELC TECH'!$H:$H,'ELC TECH'!AM:AM)))</f>
        <v>0.8</v>
      </c>
      <c r="U41" s="12">
        <f>IF(_xlfn.XLOOKUP($B41,'ELC TECH'!$H:$H,'ELC TECH'!$E:$E)&lt;&gt;"Storage","",IF(_xlfn.XLOOKUP($B41,'ELC TECH'!$H:$H,'ELC TECH'!AN:AN)="",0.8,_xlfn.XLOOKUP($B41,'ELC TECH'!$H:$H,'ELC TECH'!AN:AN)))</f>
        <v>0.8</v>
      </c>
      <c r="V41" s="12">
        <f>IF(_xlfn.XLOOKUP($B41,'ELC TECH'!$H:$H,'ELC TECH'!$E:$E)&lt;&gt;"Storage","",IF(_xlfn.XLOOKUP($B41,'ELC TECH'!$H:$H,'ELC TECH'!AO:AO)="",0.8,_xlfn.XLOOKUP($B41,'ELC TECH'!$H:$H,'ELC TECH'!AO:AO)))</f>
        <v>0.8</v>
      </c>
      <c r="W41" s="12">
        <f>IF(_xlfn.XLOOKUP($B41,'ELC TECH'!$H:$H,'ELC TECH'!$E:$E)&lt;&gt;"Storage","",IF(_xlfn.XLOOKUP($B41,'ELC TECH'!$H:$H,'ELC TECH'!AP:AP)="",0.8,_xlfn.XLOOKUP($B41,'ELC TECH'!$H:$H,'ELC TECH'!AP:AP)))</f>
        <v>0.8</v>
      </c>
      <c r="X41" s="12">
        <f>IF(_xlfn.XLOOKUP($B41,'ELC TECH'!$H:$H,'ELC TECH'!$E:$E)&lt;&gt;"Storage","",IF(_xlfn.XLOOKUP($B41,'ELC TECH'!$H:$H,'ELC TECH'!AQ:AQ)="",0.8,_xlfn.XLOOKUP($B41,'ELC TECH'!$H:$H,'ELC TECH'!AQ:AQ)))</f>
        <v>0.8</v>
      </c>
      <c r="Y41" s="12">
        <f>IF(_xlfn.XLOOKUP($B41,'ELC TECH'!$H:$H,'ELC TECH'!$E:$E)&lt;&gt;"Storage","",IF(_xlfn.XLOOKUP($B41,'ELC TECH'!$H:$H,'ELC TECH'!AR:AR)="",0.8,_xlfn.XLOOKUP($B41,'ELC TECH'!$H:$H,'ELC TECH'!AR:AR)))</f>
        <v>0.8</v>
      </c>
      <c r="Z41" s="15">
        <f>_xlfn.XLOOKUP($B41,'ELC TECH'!$H:$H,'ELC TECH'!M:M)</f>
        <v>3332.512077047089</v>
      </c>
      <c r="AA41" s="15">
        <f>_xlfn.XLOOKUP($B41,'ELC TECH'!$H:$H,'ELC TECH'!N:N)</f>
        <v>3332.512077047089</v>
      </c>
      <c r="AB41" s="15">
        <f>_xlfn.XLOOKUP($B41,'ELC TECH'!$H:$H,'ELC TECH'!O:O)</f>
        <v>3332.512077047089</v>
      </c>
      <c r="AC41" s="15">
        <f>_xlfn.XLOOKUP($B41,'ELC TECH'!$H:$H,'ELC TECH'!P:P)</f>
        <v>3332.512077047089</v>
      </c>
      <c r="AD41" s="15">
        <f>_xlfn.XLOOKUP($B41,'ELC TECH'!$H:$H,'ELC TECH'!Q:Q)</f>
        <v>3332.512077047089</v>
      </c>
      <c r="AE41" s="15">
        <f>_xlfn.XLOOKUP($B41,'ELC TECH'!$H:$H,'ELC TECH'!R:R)</f>
        <v>3332.512077047089</v>
      </c>
      <c r="AF41" s="15">
        <f>_xlfn.XLOOKUP($B41,'ELC TECH'!$H:$H,'ELC TECH'!S:S)</f>
        <v>3332.512077047089</v>
      </c>
      <c r="AG41" s="15">
        <f>_xlfn.XLOOKUP($B41,'ELC TECH'!$H:$H,'ELC TECH'!T:T)</f>
        <v>3332.512077047089</v>
      </c>
      <c r="AH41" s="15">
        <f>_xlfn.XLOOKUP($B41,'ELC TECH'!$H:$H,'ELC TECH'!U:U)</f>
        <v>21.100097091380029</v>
      </c>
      <c r="AI41" s="15">
        <f>_xlfn.XLOOKUP($B41,'ELC TECH'!$H:$H,'ELC TECH'!V:V)</f>
        <v>21.100097091380029</v>
      </c>
      <c r="AJ41" s="15">
        <f>_xlfn.XLOOKUP($B41,'ELC TECH'!$H:$H,'ELC TECH'!W:W)</f>
        <v>21.100097091380029</v>
      </c>
      <c r="AK41" s="15">
        <f>_xlfn.XLOOKUP($B41,'ELC TECH'!$H:$H,'ELC TECH'!X:X)</f>
        <v>21.100097091380029</v>
      </c>
      <c r="AL41" s="15">
        <f>_xlfn.XLOOKUP($B41,'ELC TECH'!$H:$H,'ELC TECH'!Y:Y)</f>
        <v>21.100097091380029</v>
      </c>
      <c r="AM41" s="15">
        <f>_xlfn.XLOOKUP($B41,'ELC TECH'!$H:$H,'ELC TECH'!Z:Z)</f>
        <v>21.100097091380029</v>
      </c>
      <c r="AN41" s="15">
        <f>_xlfn.XLOOKUP($B41,'ELC TECH'!$H:$H,'ELC TECH'!AA:AA)</f>
        <v>21.100097091380029</v>
      </c>
      <c r="AO41" s="15">
        <f>_xlfn.XLOOKUP($B41,'ELC TECH'!$H:$H,'ELC TECH'!AB:AB)</f>
        <v>21.100097091380029</v>
      </c>
      <c r="AP41" s="15">
        <f>_xlfn.XLOOKUP($B41,'ELC TECH'!$H:$H,'ELC TECH'!AC:AC)</f>
        <v>0.1696149283872993</v>
      </c>
      <c r="AQ41" s="15">
        <f>_xlfn.XLOOKUP($B41,'ELC TECH'!$H:$H,'ELC TECH'!AD:AD)</f>
        <v>0.1696149283872993</v>
      </c>
      <c r="AR41" s="15">
        <f>_xlfn.XLOOKUP($B41,'ELC TECH'!$H:$H,'ELC TECH'!AE:AE)</f>
        <v>0.1696149283872993</v>
      </c>
      <c r="AS41" s="15">
        <f>_xlfn.XLOOKUP($B41,'ELC TECH'!$H:$H,'ELC TECH'!AF:AF)</f>
        <v>0.1696149283872993</v>
      </c>
      <c r="AT41" s="15">
        <f>_xlfn.XLOOKUP($B41,'ELC TECH'!$H:$H,'ELC TECH'!AG:AG)</f>
        <v>0.1696149283872993</v>
      </c>
      <c r="AU41" s="15">
        <f>_xlfn.XLOOKUP($B41,'ELC TECH'!$H:$H,'ELC TECH'!AH:AH)</f>
        <v>0.1696149283872993</v>
      </c>
      <c r="AV41" s="15">
        <f>_xlfn.XLOOKUP($B41,'ELC TECH'!$H:$H,'ELC TECH'!AI:AI)</f>
        <v>0.1696149283872993</v>
      </c>
      <c r="AW41" s="15">
        <f>_xlfn.XLOOKUP($B41,'ELC TECH'!$H:$H,'ELC TECH'!AJ:AJ)</f>
        <v>0.1696149283872993</v>
      </c>
      <c r="AX41" s="12" t="str">
        <f>IF(_xlfn.XLOOKUP($B41,'ELC TECH'!$H:$H,'ELC TECH'!$E:$E)="Storage","",_xlfn.XLOOKUP($B41,'ELC TECH'!$H:$H,'ELC TECH'!AS:AS))</f>
        <v/>
      </c>
      <c r="AY41" s="12" t="str">
        <f>IF(_xlfn.XLOOKUP($B41,'ELC TECH'!$H:$H,'ELC TECH'!$E:$E)="Storage","",_xlfn.XLOOKUP($B41,'ELC TECH'!$H:$H,'ELC TECH'!AT:AT))</f>
        <v/>
      </c>
      <c r="AZ41" s="12" t="str">
        <f>IF(_xlfn.XLOOKUP($B41,'ELC TECH'!$H:$H,'ELC TECH'!$E:$E)="Storage","",_xlfn.XLOOKUP($B41,'ELC TECH'!$H:$H,'ELC TECH'!AU:AU))</f>
        <v/>
      </c>
      <c r="BA41" s="12" t="str">
        <f>IF(_xlfn.XLOOKUP($B41,'ELC TECH'!$H:$H,'ELC TECH'!$E:$E)="Storage","",_xlfn.XLOOKUP($B41,'ELC TECH'!$H:$H,'ELC TECH'!AV:AV))</f>
        <v/>
      </c>
      <c r="BB41" s="12" t="str">
        <f>IF(_xlfn.XLOOKUP($B41,'ELC TECH'!$H:$H,'ELC TECH'!$E:$E)="Storage","",_xlfn.XLOOKUP($B41,'ELC TECH'!$H:$H,'ELC TECH'!AW:AW))</f>
        <v/>
      </c>
      <c r="BC41" s="12" t="str">
        <f>IF(_xlfn.XLOOKUP($B41,'ELC TECH'!$H:$H,'ELC TECH'!$E:$E)="Storage","",_xlfn.XLOOKUP($B41,'ELC TECH'!$H:$H,'ELC TECH'!AX:AX))</f>
        <v/>
      </c>
      <c r="BD41" s="12" t="str">
        <f>IF(_xlfn.XLOOKUP($B41,'ELC TECH'!$H:$H,'ELC TECH'!$E:$E)="Storage","",_xlfn.XLOOKUP($B41,'ELC TECH'!$H:$H,'ELC TECH'!AY:AY))</f>
        <v/>
      </c>
      <c r="BE41" s="12" t="str">
        <f>IF(_xlfn.XLOOKUP($B41,'ELC TECH'!$H:$H,'ELC TECH'!$E:$E)="Storage","",_xlfn.XLOOKUP($B41,'ELC TECH'!$H:$H,'ELC TECH'!AZ:AZ))</f>
        <v/>
      </c>
      <c r="BF41" s="12">
        <f>IF(_xlfn.XLOOKUP($B41,'ELC TECH'!$H:$H,'ELC TECH'!$E:$E)="Storage",_xlfn.XLOOKUP($B41,'ELC TECH'!$H:$H,'ELC TECH'!AS:AS),"")</f>
        <v>0.5</v>
      </c>
      <c r="BG41" s="12">
        <f>IF(_xlfn.XLOOKUP($B41,'ELC TECH'!$H:$H,'ELC TECH'!$E:$E)="Storage",_xlfn.XLOOKUP($B41,'ELC TECH'!$H:$H,'ELC TECH'!AT:AT),"")</f>
        <v>0.5</v>
      </c>
      <c r="BH41" s="12">
        <f>IF(_xlfn.XLOOKUP($B41,'ELC TECH'!$H:$H,'ELC TECH'!$E:$E)="Storage",_xlfn.XLOOKUP($B41,'ELC TECH'!$H:$H,'ELC TECH'!AU:AU),"")</f>
        <v>0.5</v>
      </c>
      <c r="BI41" s="12">
        <f>IF(_xlfn.XLOOKUP($B41,'ELC TECH'!$H:$H,'ELC TECH'!$E:$E)="Storage",_xlfn.XLOOKUP($B41,'ELC TECH'!$H:$H,'ELC TECH'!AV:AV),"")</f>
        <v>0.5</v>
      </c>
      <c r="BJ41" s="12">
        <f>IF(_xlfn.XLOOKUP($B41,'ELC TECH'!$H:$H,'ELC TECH'!$E:$E)="Storage",_xlfn.XLOOKUP($B41,'ELC TECH'!$H:$H,'ELC TECH'!AW:AW),"")</f>
        <v>0.5</v>
      </c>
      <c r="BK41" s="12">
        <f>IF(_xlfn.XLOOKUP($B41,'ELC TECH'!$H:$H,'ELC TECH'!$E:$E)="Storage",_xlfn.XLOOKUP($B41,'ELC TECH'!$H:$H,'ELC TECH'!AX:AX),"")</f>
        <v>0.5</v>
      </c>
      <c r="BL41" s="12">
        <f>IF(_xlfn.XLOOKUP($B41,'ELC TECH'!$H:$H,'ELC TECH'!$E:$E)="Storage",_xlfn.XLOOKUP($B41,'ELC TECH'!$H:$H,'ELC TECH'!AY:AY),"")</f>
        <v>0.5</v>
      </c>
      <c r="BM41" s="12">
        <f>IF(_xlfn.XLOOKUP($B41,'ELC TECH'!$H:$H,'ELC TECH'!$E:$E)="Storage",_xlfn.XLOOKUP($B41,'ELC TECH'!$H:$H,'ELC TECH'!AZ:AZ),"")</f>
        <v>0.5</v>
      </c>
      <c r="BN41" s="8" t="str">
        <f>IF(_xlfn.XLOOKUP($B41,'ELC TECH'!$H:$H,'ELC TECH'!$E:$E)="Non Dispatchable",IFERROR($AX41*_xlfn.XLOOKUP($C41,$BM$1:$BM$3,BN$1:BN$3)/SUMPRODUCT(_xlfn.XLOOKUP($C41,$BM$1:$BM$3,$BN$1:$BY$3),$BN$4:$BY$4),""),
"")</f>
        <v/>
      </c>
      <c r="BO41" s="8" t="str">
        <f>IF(_xlfn.XLOOKUP($B41,'ELC TECH'!$H:$H,'ELC TECH'!$E:$E)="Non Dispatchable",IFERROR($AX41*_xlfn.XLOOKUP($C41,$BM$1:$BM$3,BO$1:BO$3)/SUMPRODUCT(_xlfn.XLOOKUP($C41,$BM$1:$BM$3,$BN$1:$BY$3),$BN$4:$BY$4),""),
"")</f>
        <v/>
      </c>
      <c r="BP41" s="8" t="str">
        <f>IF(_xlfn.XLOOKUP($B41,'ELC TECH'!$H:$H,'ELC TECH'!$E:$E)="Non Dispatchable",IFERROR($AX41*_xlfn.XLOOKUP($C41,$BM$1:$BM$3,BP$1:BP$3)/SUMPRODUCT(_xlfn.XLOOKUP($C41,$BM$1:$BM$3,$BN$1:$BY$3),$BN$4:$BY$4),""),
"")</f>
        <v/>
      </c>
      <c r="BQ41" s="8" t="str">
        <f>IF(_xlfn.XLOOKUP($B41,'ELC TECH'!$H:$H,'ELC TECH'!$E:$E)="Non Dispatchable",IFERROR($AX41*_xlfn.XLOOKUP($C41,$BM$1:$BM$3,BQ$1:BQ$3)/SUMPRODUCT(_xlfn.XLOOKUP($C41,$BM$1:$BM$3,$BN$1:$BY$3),$BN$4:$BY$4),""),
"")</f>
        <v/>
      </c>
      <c r="BR41" s="8" t="str">
        <f>IF(_xlfn.XLOOKUP($B41,'ELC TECH'!$H:$H,'ELC TECH'!$E:$E)="Non Dispatchable",IFERROR($AX41*_xlfn.XLOOKUP($C41,$BM$1:$BM$3,BR$1:BR$3)/SUMPRODUCT(_xlfn.XLOOKUP($C41,$BM$1:$BM$3,$BN$1:$BY$3),$BN$4:$BY$4),""),
"")</f>
        <v/>
      </c>
      <c r="BS41" s="8" t="str">
        <f>IF(_xlfn.XLOOKUP($B41,'ELC TECH'!$H:$H,'ELC TECH'!$E:$E)="Non Dispatchable",IFERROR($AX41*_xlfn.XLOOKUP($C41,$BM$1:$BM$3,BS$1:BS$3)/SUMPRODUCT(_xlfn.XLOOKUP($C41,$BM$1:$BM$3,$BN$1:$BY$3),$BN$4:$BY$4),""),
"")</f>
        <v/>
      </c>
      <c r="BT41" s="8" t="str">
        <f>IF(_xlfn.XLOOKUP($B41,'ELC TECH'!$H:$H,'ELC TECH'!$E:$E)="Non Dispatchable",IFERROR($AX41*_xlfn.XLOOKUP($C41,$BM$1:$BM$3,BT$1:BT$3)/SUMPRODUCT(_xlfn.XLOOKUP($C41,$BM$1:$BM$3,$BN$1:$BY$3),$BN$4:$BY$4),""),
"")</f>
        <v/>
      </c>
      <c r="BU41" s="8" t="str">
        <f>IF(_xlfn.XLOOKUP($B41,'ELC TECH'!$H:$H,'ELC TECH'!$E:$E)="Non Dispatchable",IFERROR($AX41*_xlfn.XLOOKUP($C41,$BM$1:$BM$3,BU$1:BU$3)/SUMPRODUCT(_xlfn.XLOOKUP($C41,$BM$1:$BM$3,$BN$1:$BY$3),$BN$4:$BY$4),""),
"")</f>
        <v/>
      </c>
      <c r="BV41" s="8" t="str">
        <f>IF(_xlfn.XLOOKUP($B41,'ELC TECH'!$H:$H,'ELC TECH'!$E:$E)="Non Dispatchable",IFERROR($AX41*_xlfn.XLOOKUP($C41,$BM$1:$BM$3,BV$1:BV$3)/SUMPRODUCT(_xlfn.XLOOKUP($C41,$BM$1:$BM$3,$BN$1:$BY$3),$BN$4:$BY$4),""),
"")</f>
        <v/>
      </c>
      <c r="BW41" s="8" t="str">
        <f>IF(_xlfn.XLOOKUP($B41,'ELC TECH'!$H:$H,'ELC TECH'!$E:$E)="Non Dispatchable",IFERROR($AX41*_xlfn.XLOOKUP($C41,$BM$1:$BM$3,BW$1:BW$3)/SUMPRODUCT(_xlfn.XLOOKUP($C41,$BM$1:$BM$3,$BN$1:$BY$3),$BN$4:$BY$4),""),
"")</f>
        <v/>
      </c>
      <c r="BX41" s="8" t="str">
        <f>IF(_xlfn.XLOOKUP($B41,'ELC TECH'!$H:$H,'ELC TECH'!$E:$E)="Non Dispatchable",IFERROR($AX41*_xlfn.XLOOKUP($C41,$BM$1:$BM$3,BX$1:BX$3)/SUMPRODUCT(_xlfn.XLOOKUP($C41,$BM$1:$BM$3,$BN$1:$BY$3),$BN$4:$BY$4),""),
"")</f>
        <v/>
      </c>
      <c r="BY41" s="8" t="str">
        <f>IF(_xlfn.XLOOKUP($B41,'ELC TECH'!$H:$H,'ELC TECH'!$E:$E)="Non Dispatchable",IFERROR($AX41*_xlfn.XLOOKUP($C41,$BM$1:$BM$3,BY$1:BY$3)/SUMPRODUCT(_xlfn.XLOOKUP($C41,$BM$1:$BM$3,$BN$1:$BY$3),$BN$4:$BY$4),""),
"")</f>
        <v/>
      </c>
      <c r="BZ41" s="8" t="str">
        <f>IF(_xlfn.XLOOKUP($B41,'ELC TECH'!$H:$H,'ELC TECH'!$E:$E)="Non Dispatchable",IFERROR($AX41*_xlfn.XLOOKUP($C41,$BM$1:$BM$3,BZ$1:BZ$3)/SUMPRODUCT(_xlfn.XLOOKUP($C41,$BM$1:$BM$3,$BN$1:$BY$3),$BN$4:$BY$4),""),
"")</f>
        <v/>
      </c>
      <c r="CA41" s="8" t="str">
        <f>IF(_xlfn.XLOOKUP($B41,'ELC TECH'!$H:$H,'ELC TECH'!$E:$E)="Non Dispatchable",IFERROR($AX41*_xlfn.XLOOKUP($C41,$BM$1:$BM$3,CA$1:CA$3)/SUMPRODUCT(_xlfn.XLOOKUP($C41,$BM$1:$BM$3,$BN$1:$BY$3),$BN$4:$BY$4),""),
"")</f>
        <v/>
      </c>
      <c r="CB41" s="8" t="str">
        <f>IF(_xlfn.XLOOKUP($B41,'ELC TECH'!$H:$H,'ELC TECH'!$E:$E)="Non Dispatchable",IFERROR($AX41*_xlfn.XLOOKUP($C41,$BM$1:$BM$3,CB$1:CB$3)/SUMPRODUCT(_xlfn.XLOOKUP($C41,$BM$1:$BM$3,$BN$1:$BY$3),$BN$4:$BY$4),""),
"")</f>
        <v/>
      </c>
      <c r="CC41" s="8" t="str">
        <f>IF(_xlfn.XLOOKUP($B41,'ELC TECH'!$H:$H,'ELC TECH'!$E:$E)="Non Dispatchable",IFERROR($AX41*_xlfn.XLOOKUP($C41,$BM$1:$BM$3,CC$1:CC$3)/SUMPRODUCT(_xlfn.XLOOKUP($C41,$BM$1:$BM$3,$BN$1:$BY$3),$BN$4:$BY$4),""),
"")</f>
        <v/>
      </c>
      <c r="CD41" s="8" t="str">
        <f>IF(_xlfn.XLOOKUP($B41,'ELC TECH'!$H:$H,'ELC TECH'!$E:$E)="Non Dispatchable",IFERROR($AX41*_xlfn.XLOOKUP($C41,$BM$1:$BM$3,CD$1:CD$3)/SUMPRODUCT(_xlfn.XLOOKUP($C41,$BM$1:$BM$3,$BN$1:$BY$3),$BN$4:$BY$4),""),
"")</f>
        <v/>
      </c>
      <c r="CE41" s="8" t="str">
        <f>IF(_xlfn.XLOOKUP($B41,'ELC TECH'!$H:$H,'ELC TECH'!$E:$E)="Non Dispatchable",IFERROR($AX41*_xlfn.XLOOKUP($C41,$BM$1:$BM$3,CE$1:CE$3)/SUMPRODUCT(_xlfn.XLOOKUP($C41,$BM$1:$BM$3,$BN$1:$BY$3),$BN$4:$BY$4),""),
"")</f>
        <v/>
      </c>
      <c r="CF41" s="8" t="str">
        <f>IF(_xlfn.XLOOKUP($B41,'ELC TECH'!$H:$H,'ELC TECH'!$E:$E)="Non Dispatchable",IFERROR($AX41*_xlfn.XLOOKUP($C41,$BM$1:$BM$3,CF$1:CF$3)/SUMPRODUCT(_xlfn.XLOOKUP($C41,$BM$1:$BM$3,$BN$1:$BY$3),$BN$4:$BY$4),""),
"")</f>
        <v/>
      </c>
      <c r="CG41" s="8" t="str">
        <f>IF(_xlfn.XLOOKUP($B41,'ELC TECH'!$H:$H,'ELC TECH'!$E:$E)="Non Dispatchable",IFERROR($AX41*_xlfn.XLOOKUP($C41,$BM$1:$BM$3,CG$1:CG$3)/SUMPRODUCT(_xlfn.XLOOKUP($C41,$BM$1:$BM$3,$BN$1:$BY$3),$BN$4:$BY$4),""),
"")</f>
        <v/>
      </c>
      <c r="CH41" s="8" t="str">
        <f>IF(_xlfn.XLOOKUP($B41,'ELC TECH'!$H:$H,'ELC TECH'!$E:$E)="Non Dispatchable",IFERROR($AX41*_xlfn.XLOOKUP($C41,$BM$1:$BM$3,CH$1:CH$3)/SUMPRODUCT(_xlfn.XLOOKUP($C41,$BM$1:$BM$3,$BN$1:$BY$3),$BN$4:$BY$4),""),
"")</f>
        <v/>
      </c>
      <c r="CI41" s="8" t="str">
        <f>IF(_xlfn.XLOOKUP($B41,'ELC TECH'!$H:$H,'ELC TECH'!$E:$E)="Non Dispatchable",IFERROR($AX41*_xlfn.XLOOKUP($C41,$BM$1:$BM$3,CI$1:CI$3)/SUMPRODUCT(_xlfn.XLOOKUP($C41,$BM$1:$BM$3,$BN$1:$BY$3),$BN$4:$BY$4),""),
"")</f>
        <v/>
      </c>
      <c r="CJ41" s="8" t="str">
        <f>IF(_xlfn.XLOOKUP($B41,'ELC TECH'!$H:$H,'ELC TECH'!$E:$E)="Non Dispatchable",IFERROR($AX41*_xlfn.XLOOKUP($C41,$BM$1:$BM$3,CJ$1:CJ$3)/SUMPRODUCT(_xlfn.XLOOKUP($C41,$BM$1:$BM$3,$BN$1:$BY$3),$BN$4:$BY$4),""),
"")</f>
        <v/>
      </c>
      <c r="CK41" s="8" t="str">
        <f>IF(_xlfn.XLOOKUP($B41,'ELC TECH'!$H:$H,'ELC TECH'!$E:$E)="Non Dispatchable",IFERROR($AX41*_xlfn.XLOOKUP($C41,$BM$1:$BM$3,CK$1:CK$3)/SUMPRODUCT(_xlfn.XLOOKUP($C41,$BM$1:$BM$3,$BN$1:$BY$3),$BN$4:$BY$4),""),
"")</f>
        <v/>
      </c>
      <c r="CL41" s="8">
        <f>IF(_xlfn.XLOOKUP($B41,'ELC TECH'!$H:$H,'ELC TECH'!$E:$E)="Storage",CL$4*$BF41,"")</f>
        <v>4.1099999999999998E-2</v>
      </c>
      <c r="CM41" s="8">
        <f>IF(_xlfn.XLOOKUP($B41,'ELC TECH'!$H:$H,'ELC TECH'!$E:$E)="Storage",CM$4*$BF41,"")</f>
        <v>4.7849999999999997E-2</v>
      </c>
      <c r="CN41" s="8">
        <f>IF(_xlfn.XLOOKUP($B41,'ELC TECH'!$H:$H,'ELC TECH'!$E:$E)="Storage",CN$4*$BF41,"")</f>
        <v>7.6600000000000001E-2</v>
      </c>
      <c r="CO41" s="8">
        <f>IF(_xlfn.XLOOKUP($B41,'ELC TECH'!$H:$H,'ELC TECH'!$E:$E)="Storage",CO$4*$BF41,"")</f>
        <v>1.6000000000000001E-3</v>
      </c>
      <c r="CP41" s="8">
        <f>IF(_xlfn.XLOOKUP($B41,'ELC TECH'!$H:$H,'ELC TECH'!$E:$E)="Storage",CP$4*$BF41,"")</f>
        <v>4.0750000000000001E-2</v>
      </c>
      <c r="CQ41" s="8">
        <f>IF(_xlfn.XLOOKUP($B41,'ELC TECH'!$H:$H,'ELC TECH'!$E:$E)="Storage",CQ$4*$BF41,"")</f>
        <v>5.4350000000000002E-2</v>
      </c>
      <c r="CR41" s="8">
        <f>IF(_xlfn.XLOOKUP($B41,'ELC TECH'!$H:$H,'ELC TECH'!$E:$E)="Storage",CR$4*$BF41,"")</f>
        <v>6.905E-2</v>
      </c>
      <c r="CS41" s="8">
        <f>IF(_xlfn.XLOOKUP($B41,'ELC TECH'!$H:$H,'ELC TECH'!$E:$E)="Storage",CS$4*$BF41,"")</f>
        <v>1.6000000000000001E-3</v>
      </c>
      <c r="CT41" s="8">
        <f>IF(_xlfn.XLOOKUP($B41,'ELC TECH'!$H:$H,'ELC TECH'!$E:$E)="Storage",CT$4*$BF41,"")</f>
        <v>4.8750000000000002E-2</v>
      </c>
      <c r="CU41" s="8">
        <f>IF(_xlfn.XLOOKUP($B41,'ELC TECH'!$H:$H,'ELC TECH'!$E:$E)="Storage",CU$4*$BF41,"")</f>
        <v>5.4350000000000002E-2</v>
      </c>
      <c r="CV41" s="8">
        <f>IF(_xlfn.XLOOKUP($B41,'ELC TECH'!$H:$H,'ELC TECH'!$E:$E)="Storage",CV$4*$BF41,"")</f>
        <v>6.2649999999999997E-2</v>
      </c>
      <c r="CW41" s="8">
        <f>IF(_xlfn.XLOOKUP($B41,'ELC TECH'!$H:$H,'ELC TECH'!$E:$E)="Storage",CW$4*$BF41,"")</f>
        <v>1.3500000000000001E-3</v>
      </c>
      <c r="CX41" s="8">
        <f>IF(_xlfn.XLOOKUP($B41,'ELC TECH'!$H:$H,'ELC TECH'!$E:$E)="Storage",CX$4*$BF41,"")</f>
        <v>4.1099999999999998E-2</v>
      </c>
      <c r="CY41" s="8">
        <f>IF(_xlfn.XLOOKUP($B41,'ELC TECH'!$H:$H,'ELC TECH'!$E:$E)="Storage",CY$4*$BF41,"")</f>
        <v>4.7849999999999997E-2</v>
      </c>
      <c r="CZ41" s="8">
        <f>IF(_xlfn.XLOOKUP($B41,'ELC TECH'!$H:$H,'ELC TECH'!$E:$E)="Storage",CZ$4*$BF41,"")</f>
        <v>7.6600000000000001E-2</v>
      </c>
      <c r="DA41" s="8">
        <f>IF(_xlfn.XLOOKUP($B41,'ELC TECH'!$H:$H,'ELC TECH'!$E:$E)="Storage",DA$4*$BF41,"")</f>
        <v>1.6000000000000001E-3</v>
      </c>
      <c r="DB41" s="8">
        <f>IF(_xlfn.XLOOKUP($B41,'ELC TECH'!$H:$H,'ELC TECH'!$E:$E)="Storage",DB$4*$BF41,"")</f>
        <v>4.0750000000000001E-2</v>
      </c>
      <c r="DC41" s="8">
        <f>IF(_xlfn.XLOOKUP($B41,'ELC TECH'!$H:$H,'ELC TECH'!$E:$E)="Storage",DC$4*$BF41,"")</f>
        <v>5.4350000000000002E-2</v>
      </c>
      <c r="DD41" s="8">
        <f>IF(_xlfn.XLOOKUP($B41,'ELC TECH'!$H:$H,'ELC TECH'!$E:$E)="Storage",DD$4*$BF41,"")</f>
        <v>6.905E-2</v>
      </c>
      <c r="DE41" s="8">
        <f>IF(_xlfn.XLOOKUP($B41,'ELC TECH'!$H:$H,'ELC TECH'!$E:$E)="Storage",DE$4*$BF41,"")</f>
        <v>1.6000000000000001E-3</v>
      </c>
      <c r="DF41" s="8">
        <f>IF(_xlfn.XLOOKUP($B41,'ELC TECH'!$H:$H,'ELC TECH'!$E:$E)="Storage",DF$4*$BF41,"")</f>
        <v>4.8750000000000002E-2</v>
      </c>
      <c r="DG41" s="8">
        <f>IF(_xlfn.XLOOKUP($B41,'ELC TECH'!$H:$H,'ELC TECH'!$E:$E)="Storage",DG$4*$BF41,"")</f>
        <v>5.4350000000000002E-2</v>
      </c>
      <c r="DH41" s="8">
        <f>IF(_xlfn.XLOOKUP($B41,'ELC TECH'!$H:$H,'ELC TECH'!$E:$E)="Storage",DH$4*$BF41,"")</f>
        <v>6.2649999999999997E-2</v>
      </c>
      <c r="DI41" s="8">
        <f>IF(_xlfn.XLOOKUP($B41,'ELC TECH'!$H:$H,'ELC TECH'!$E:$E)="Storage",DI$4*$BF41,"")</f>
        <v>1.3500000000000001E-3</v>
      </c>
    </row>
    <row r="42" spans="2:113" x14ac:dyDescent="0.25">
      <c r="B42" t="str">
        <f>IF('ELC TECH'!I35=0,"*",'ELC TECH'!H35)</f>
        <v>ELCSTGGRDPSH12HC720</v>
      </c>
      <c r="C42" t="str">
        <f>IF(_xlfn.XLOOKUP(_xlfn.XLOOKUP(B42,'ELC TECH'!$H:$H,'ELC TECH'!$G:$G),List!C:C,List!B:B)="STG",D42,"ELC"&amp;_xlfn.XLOOKUP(_xlfn.XLOOKUP(B42,'ELC TECH'!H:H,'ELC TECH'!G:G),List!C:C,List!B:B))</f>
        <v>CELC</v>
      </c>
      <c r="D42" t="s">
        <v>544</v>
      </c>
      <c r="E42">
        <f>_xlfn.XLOOKUP(B42,'ELC TECH'!H:H,'ELC TECH'!D:D)</f>
        <v>2020</v>
      </c>
      <c r="F42">
        <f>_xlfn.XLOOKUP(B42,'ELC TECH'!H:H,'ELC TECH'!K:K)</f>
        <v>100</v>
      </c>
      <c r="G42">
        <f t="shared" si="4"/>
        <v>31.535999999999998</v>
      </c>
      <c r="H42">
        <f>IF(_xlfn.XLOOKUP(B42,'ELC TECH'!$H:$H,'ELC TECH'!$E:$E)="Storage",0.3,IF(_xlfn.XLOOKUP(B42,'ELC TECH'!$H:$H,'ELC TECH'!$E:$E)="Baseload",0.9,IF(_xlfn.XLOOKUP(B42,'ELC TECH'!$H:$H,'ELC TECH'!$E:$E)="Non Dispatchable",0.05,IF(_xlfn.XLOOKUP(B42,'ELC TECH'!$H:$H,'ELC TECH'!$E:$E)="Dispatchable",0.9,1))))</f>
        <v>0.3</v>
      </c>
      <c r="I42" s="13">
        <f>IF(_xlfn.XLOOKUP(B42,'ELC TECH'!H:H,'ELC TECH'!J:J)="","",_xlfn.XLOOKUP(B42,'ELC TECH'!H:H,'ELC TECH'!J:J))</f>
        <v>0</v>
      </c>
      <c r="J42" s="12" t="str">
        <f>IF(_xlfn.XLOOKUP($B42,'ELC TECH'!$H:$H,'ELC TECH'!$E:$E)="Storage","",IF(_xlfn.XLOOKUP($B42,'ELC TECH'!$H:$H,'ELC TECH'!AK:AK)="",1,_xlfn.XLOOKUP($B42,'ELC TECH'!$H:$H,'ELC TECH'!AK:AK)))</f>
        <v/>
      </c>
      <c r="K42" s="12" t="str">
        <f>IF(_xlfn.XLOOKUP($B42,'ELC TECH'!$H:$H,'ELC TECH'!$E:$E)="Storage","",IF(_xlfn.XLOOKUP($B42,'ELC TECH'!$H:$H,'ELC TECH'!AL:AL)="",1,_xlfn.XLOOKUP($B42,'ELC TECH'!$H:$H,'ELC TECH'!AL:AL)))</f>
        <v/>
      </c>
      <c r="L42" s="12" t="str">
        <f>IF(_xlfn.XLOOKUP($B42,'ELC TECH'!$H:$H,'ELC TECH'!$E:$E)="Storage","",IF(_xlfn.XLOOKUP($B42,'ELC TECH'!$H:$H,'ELC TECH'!AM:AM)="",1,_xlfn.XLOOKUP($B42,'ELC TECH'!$H:$H,'ELC TECH'!AM:AM)))</f>
        <v/>
      </c>
      <c r="M42" s="12" t="str">
        <f>IF(_xlfn.XLOOKUP($B42,'ELC TECH'!$H:$H,'ELC TECH'!$E:$E)="Storage","",IF(_xlfn.XLOOKUP($B42,'ELC TECH'!$H:$H,'ELC TECH'!AN:AN)="",1,_xlfn.XLOOKUP($B42,'ELC TECH'!$H:$H,'ELC TECH'!AN:AN)))</f>
        <v/>
      </c>
      <c r="N42" s="12" t="str">
        <f>IF(_xlfn.XLOOKUP($B42,'ELC TECH'!$H:$H,'ELC TECH'!$E:$E)="Storage","",IF(_xlfn.XLOOKUP($B42,'ELC TECH'!$H:$H,'ELC TECH'!AO:AO)="",1,_xlfn.XLOOKUP($B42,'ELC TECH'!$H:$H,'ELC TECH'!AO:AO)))</f>
        <v/>
      </c>
      <c r="O42" s="12" t="str">
        <f>IF(_xlfn.XLOOKUP($B42,'ELC TECH'!$H:$H,'ELC TECH'!$E:$E)="Storage","",IF(_xlfn.XLOOKUP($B42,'ELC TECH'!$H:$H,'ELC TECH'!AP:AP)="",1,_xlfn.XLOOKUP($B42,'ELC TECH'!$H:$H,'ELC TECH'!AP:AP)))</f>
        <v/>
      </c>
      <c r="P42" s="12" t="str">
        <f>IF(_xlfn.XLOOKUP($B42,'ELC TECH'!$H:$H,'ELC TECH'!$E:$E)="Storage","",IF(_xlfn.XLOOKUP($B42,'ELC TECH'!$H:$H,'ELC TECH'!AQ:AQ)="",1,_xlfn.XLOOKUP($B42,'ELC TECH'!$H:$H,'ELC TECH'!AQ:AQ)))</f>
        <v/>
      </c>
      <c r="Q42" s="12" t="str">
        <f>IF(_xlfn.XLOOKUP($B42,'ELC TECH'!$H:$H,'ELC TECH'!$E:$E)="Storage","",IF(_xlfn.XLOOKUP($B42,'ELC TECH'!$H:$H,'ELC TECH'!AR:AR)="",1,_xlfn.XLOOKUP($B42,'ELC TECH'!$H:$H,'ELC TECH'!AR:AR)))</f>
        <v/>
      </c>
      <c r="R42" s="12">
        <f>IF(_xlfn.XLOOKUP($B42,'ELC TECH'!$H:$H,'ELC TECH'!$E:$E)&lt;&gt;"Storage","",IF(_xlfn.XLOOKUP($B42,'ELC TECH'!$H:$H,'ELC TECH'!AK:AK)="",0.8,_xlfn.XLOOKUP($B42,'ELC TECH'!$H:$H,'ELC TECH'!AK:AK)))</f>
        <v>0.8</v>
      </c>
      <c r="S42" s="12">
        <f>IF(_xlfn.XLOOKUP($B42,'ELC TECH'!$H:$H,'ELC TECH'!$E:$E)&lt;&gt;"Storage","",IF(_xlfn.XLOOKUP($B42,'ELC TECH'!$H:$H,'ELC TECH'!AL:AL)="",0.8,_xlfn.XLOOKUP($B42,'ELC TECH'!$H:$H,'ELC TECH'!AL:AL)))</f>
        <v>0.8</v>
      </c>
      <c r="T42" s="12">
        <f>IF(_xlfn.XLOOKUP($B42,'ELC TECH'!$H:$H,'ELC TECH'!$E:$E)&lt;&gt;"Storage","",IF(_xlfn.XLOOKUP($B42,'ELC TECH'!$H:$H,'ELC TECH'!AM:AM)="",0.8,_xlfn.XLOOKUP($B42,'ELC TECH'!$H:$H,'ELC TECH'!AM:AM)))</f>
        <v>0.8</v>
      </c>
      <c r="U42" s="12">
        <f>IF(_xlfn.XLOOKUP($B42,'ELC TECH'!$H:$H,'ELC TECH'!$E:$E)&lt;&gt;"Storage","",IF(_xlfn.XLOOKUP($B42,'ELC TECH'!$H:$H,'ELC TECH'!AN:AN)="",0.8,_xlfn.XLOOKUP($B42,'ELC TECH'!$H:$H,'ELC TECH'!AN:AN)))</f>
        <v>0.8</v>
      </c>
      <c r="V42" s="12">
        <f>IF(_xlfn.XLOOKUP($B42,'ELC TECH'!$H:$H,'ELC TECH'!$E:$E)&lt;&gt;"Storage","",IF(_xlfn.XLOOKUP($B42,'ELC TECH'!$H:$H,'ELC TECH'!AO:AO)="",0.8,_xlfn.XLOOKUP($B42,'ELC TECH'!$H:$H,'ELC TECH'!AO:AO)))</f>
        <v>0.8</v>
      </c>
      <c r="W42" s="12">
        <f>IF(_xlfn.XLOOKUP($B42,'ELC TECH'!$H:$H,'ELC TECH'!$E:$E)&lt;&gt;"Storage","",IF(_xlfn.XLOOKUP($B42,'ELC TECH'!$H:$H,'ELC TECH'!AP:AP)="",0.8,_xlfn.XLOOKUP($B42,'ELC TECH'!$H:$H,'ELC TECH'!AP:AP)))</f>
        <v>0.8</v>
      </c>
      <c r="X42" s="12">
        <f>IF(_xlfn.XLOOKUP($B42,'ELC TECH'!$H:$H,'ELC TECH'!$E:$E)&lt;&gt;"Storage","",IF(_xlfn.XLOOKUP($B42,'ELC TECH'!$H:$H,'ELC TECH'!AQ:AQ)="",0.8,_xlfn.XLOOKUP($B42,'ELC TECH'!$H:$H,'ELC TECH'!AQ:AQ)))</f>
        <v>0.8</v>
      </c>
      <c r="Y42" s="12">
        <f>IF(_xlfn.XLOOKUP($B42,'ELC TECH'!$H:$H,'ELC TECH'!$E:$E)&lt;&gt;"Storage","",IF(_xlfn.XLOOKUP($B42,'ELC TECH'!$H:$H,'ELC TECH'!AR:AR)="",0.8,_xlfn.XLOOKUP($B42,'ELC TECH'!$H:$H,'ELC TECH'!AR:AR)))</f>
        <v>0.8</v>
      </c>
      <c r="Z42" s="15">
        <f>_xlfn.XLOOKUP($B42,'ELC TECH'!$H:$H,'ELC TECH'!M:M)</f>
        <v>3454.6144209714198</v>
      </c>
      <c r="AA42" s="15">
        <f>_xlfn.XLOOKUP($B42,'ELC TECH'!$H:$H,'ELC TECH'!N:N)</f>
        <v>3454.6144209714198</v>
      </c>
      <c r="AB42" s="15">
        <f>_xlfn.XLOOKUP($B42,'ELC TECH'!$H:$H,'ELC TECH'!O:O)</f>
        <v>3454.6144209714198</v>
      </c>
      <c r="AC42" s="15">
        <f>_xlfn.XLOOKUP($B42,'ELC TECH'!$H:$H,'ELC TECH'!P:P)</f>
        <v>3454.6144209714198</v>
      </c>
      <c r="AD42" s="15">
        <f>_xlfn.XLOOKUP($B42,'ELC TECH'!$H:$H,'ELC TECH'!Q:Q)</f>
        <v>3454.6144209714198</v>
      </c>
      <c r="AE42" s="15">
        <f>_xlfn.XLOOKUP($B42,'ELC TECH'!$H:$H,'ELC TECH'!R:R)</f>
        <v>3454.6144209714198</v>
      </c>
      <c r="AF42" s="15">
        <f>_xlfn.XLOOKUP($B42,'ELC TECH'!$H:$H,'ELC TECH'!S:S)</f>
        <v>3454.6144209714198</v>
      </c>
      <c r="AG42" s="15">
        <f>_xlfn.XLOOKUP($B42,'ELC TECH'!$H:$H,'ELC TECH'!T:T)</f>
        <v>3454.6144209714198</v>
      </c>
      <c r="AH42" s="15">
        <f>_xlfn.XLOOKUP($B42,'ELC TECH'!$H:$H,'ELC TECH'!U:U)</f>
        <v>21.100097091380029</v>
      </c>
      <c r="AI42" s="15">
        <f>_xlfn.XLOOKUP($B42,'ELC TECH'!$H:$H,'ELC TECH'!V:V)</f>
        <v>21.100097091380029</v>
      </c>
      <c r="AJ42" s="15">
        <f>_xlfn.XLOOKUP($B42,'ELC TECH'!$H:$H,'ELC TECH'!W:W)</f>
        <v>21.100097091380029</v>
      </c>
      <c r="AK42" s="15">
        <f>_xlfn.XLOOKUP($B42,'ELC TECH'!$H:$H,'ELC TECH'!X:X)</f>
        <v>21.100097091380029</v>
      </c>
      <c r="AL42" s="15">
        <f>_xlfn.XLOOKUP($B42,'ELC TECH'!$H:$H,'ELC TECH'!Y:Y)</f>
        <v>21.100097091380029</v>
      </c>
      <c r="AM42" s="15">
        <f>_xlfn.XLOOKUP($B42,'ELC TECH'!$H:$H,'ELC TECH'!Z:Z)</f>
        <v>21.100097091380029</v>
      </c>
      <c r="AN42" s="15">
        <f>_xlfn.XLOOKUP($B42,'ELC TECH'!$H:$H,'ELC TECH'!AA:AA)</f>
        <v>21.100097091380029</v>
      </c>
      <c r="AO42" s="15">
        <f>_xlfn.XLOOKUP($B42,'ELC TECH'!$H:$H,'ELC TECH'!AB:AB)</f>
        <v>21.100097091380029</v>
      </c>
      <c r="AP42" s="15">
        <f>_xlfn.XLOOKUP($B42,'ELC TECH'!$H:$H,'ELC TECH'!AC:AC)</f>
        <v>0.1696149283872993</v>
      </c>
      <c r="AQ42" s="15">
        <f>_xlfn.XLOOKUP($B42,'ELC TECH'!$H:$H,'ELC TECH'!AD:AD)</f>
        <v>0.1696149283872993</v>
      </c>
      <c r="AR42" s="15">
        <f>_xlfn.XLOOKUP($B42,'ELC TECH'!$H:$H,'ELC TECH'!AE:AE)</f>
        <v>0.1696149283872993</v>
      </c>
      <c r="AS42" s="15">
        <f>_xlfn.XLOOKUP($B42,'ELC TECH'!$H:$H,'ELC TECH'!AF:AF)</f>
        <v>0.1696149283872993</v>
      </c>
      <c r="AT42" s="15">
        <f>_xlfn.XLOOKUP($B42,'ELC TECH'!$H:$H,'ELC TECH'!AG:AG)</f>
        <v>0.1696149283872993</v>
      </c>
      <c r="AU42" s="15">
        <f>_xlfn.XLOOKUP($B42,'ELC TECH'!$H:$H,'ELC TECH'!AH:AH)</f>
        <v>0.1696149283872993</v>
      </c>
      <c r="AV42" s="15">
        <f>_xlfn.XLOOKUP($B42,'ELC TECH'!$H:$H,'ELC TECH'!AI:AI)</f>
        <v>0.1696149283872993</v>
      </c>
      <c r="AW42" s="15">
        <f>_xlfn.XLOOKUP($B42,'ELC TECH'!$H:$H,'ELC TECH'!AJ:AJ)</f>
        <v>0.1696149283872993</v>
      </c>
      <c r="AX42" s="12" t="str">
        <f>IF(_xlfn.XLOOKUP($B42,'ELC TECH'!$H:$H,'ELC TECH'!$E:$E)="Storage","",_xlfn.XLOOKUP($B42,'ELC TECH'!$H:$H,'ELC TECH'!AS:AS))</f>
        <v/>
      </c>
      <c r="AY42" s="12" t="str">
        <f>IF(_xlfn.XLOOKUP($B42,'ELC TECH'!$H:$H,'ELC TECH'!$E:$E)="Storage","",_xlfn.XLOOKUP($B42,'ELC TECH'!$H:$H,'ELC TECH'!AT:AT))</f>
        <v/>
      </c>
      <c r="AZ42" s="12" t="str">
        <f>IF(_xlfn.XLOOKUP($B42,'ELC TECH'!$H:$H,'ELC TECH'!$E:$E)="Storage","",_xlfn.XLOOKUP($B42,'ELC TECH'!$H:$H,'ELC TECH'!AU:AU))</f>
        <v/>
      </c>
      <c r="BA42" s="12" t="str">
        <f>IF(_xlfn.XLOOKUP($B42,'ELC TECH'!$H:$H,'ELC TECH'!$E:$E)="Storage","",_xlfn.XLOOKUP($B42,'ELC TECH'!$H:$H,'ELC TECH'!AV:AV))</f>
        <v/>
      </c>
      <c r="BB42" s="12" t="str">
        <f>IF(_xlfn.XLOOKUP($B42,'ELC TECH'!$H:$H,'ELC TECH'!$E:$E)="Storage","",_xlfn.XLOOKUP($B42,'ELC TECH'!$H:$H,'ELC TECH'!AW:AW))</f>
        <v/>
      </c>
      <c r="BC42" s="12" t="str">
        <f>IF(_xlfn.XLOOKUP($B42,'ELC TECH'!$H:$H,'ELC TECH'!$E:$E)="Storage","",_xlfn.XLOOKUP($B42,'ELC TECH'!$H:$H,'ELC TECH'!AX:AX))</f>
        <v/>
      </c>
      <c r="BD42" s="12" t="str">
        <f>IF(_xlfn.XLOOKUP($B42,'ELC TECH'!$H:$H,'ELC TECH'!$E:$E)="Storage","",_xlfn.XLOOKUP($B42,'ELC TECH'!$H:$H,'ELC TECH'!AY:AY))</f>
        <v/>
      </c>
      <c r="BE42" s="12" t="str">
        <f>IF(_xlfn.XLOOKUP($B42,'ELC TECH'!$H:$H,'ELC TECH'!$E:$E)="Storage","",_xlfn.XLOOKUP($B42,'ELC TECH'!$H:$H,'ELC TECH'!AZ:AZ))</f>
        <v/>
      </c>
      <c r="BF42" s="12">
        <f>IF(_xlfn.XLOOKUP($B42,'ELC TECH'!$H:$H,'ELC TECH'!$E:$E)="Storage",_xlfn.XLOOKUP($B42,'ELC TECH'!$H:$H,'ELC TECH'!AS:AS),"")</f>
        <v>0.5</v>
      </c>
      <c r="BG42" s="12">
        <f>IF(_xlfn.XLOOKUP($B42,'ELC TECH'!$H:$H,'ELC TECH'!$E:$E)="Storage",_xlfn.XLOOKUP($B42,'ELC TECH'!$H:$H,'ELC TECH'!AT:AT),"")</f>
        <v>0.5</v>
      </c>
      <c r="BH42" s="12">
        <f>IF(_xlfn.XLOOKUP($B42,'ELC TECH'!$H:$H,'ELC TECH'!$E:$E)="Storage",_xlfn.XLOOKUP($B42,'ELC TECH'!$H:$H,'ELC TECH'!AU:AU),"")</f>
        <v>0.5</v>
      </c>
      <c r="BI42" s="12">
        <f>IF(_xlfn.XLOOKUP($B42,'ELC TECH'!$H:$H,'ELC TECH'!$E:$E)="Storage",_xlfn.XLOOKUP($B42,'ELC TECH'!$H:$H,'ELC TECH'!AV:AV),"")</f>
        <v>0.5</v>
      </c>
      <c r="BJ42" s="12">
        <f>IF(_xlfn.XLOOKUP($B42,'ELC TECH'!$H:$H,'ELC TECH'!$E:$E)="Storage",_xlfn.XLOOKUP($B42,'ELC TECH'!$H:$H,'ELC TECH'!AW:AW),"")</f>
        <v>0.5</v>
      </c>
      <c r="BK42" s="12">
        <f>IF(_xlfn.XLOOKUP($B42,'ELC TECH'!$H:$H,'ELC TECH'!$E:$E)="Storage",_xlfn.XLOOKUP($B42,'ELC TECH'!$H:$H,'ELC TECH'!AX:AX),"")</f>
        <v>0.5</v>
      </c>
      <c r="BL42" s="12">
        <f>IF(_xlfn.XLOOKUP($B42,'ELC TECH'!$H:$H,'ELC TECH'!$E:$E)="Storage",_xlfn.XLOOKUP($B42,'ELC TECH'!$H:$H,'ELC TECH'!AY:AY),"")</f>
        <v>0.5</v>
      </c>
      <c r="BM42" s="12">
        <f>IF(_xlfn.XLOOKUP($B42,'ELC TECH'!$H:$H,'ELC TECH'!$E:$E)="Storage",_xlfn.XLOOKUP($B42,'ELC TECH'!$H:$H,'ELC TECH'!AZ:AZ),"")</f>
        <v>0.5</v>
      </c>
      <c r="BN42" s="8" t="str">
        <f>IF(_xlfn.XLOOKUP($B42,'ELC TECH'!$H:$H,'ELC TECH'!$E:$E)="Non Dispatchable",IFERROR($AX42*_xlfn.XLOOKUP($C42,$BM$1:$BM$3,BN$1:BN$3)/SUMPRODUCT(_xlfn.XLOOKUP($C42,$BM$1:$BM$3,$BN$1:$BY$3),$BN$4:$BY$4),""),
"")</f>
        <v/>
      </c>
      <c r="BO42" s="8" t="str">
        <f>IF(_xlfn.XLOOKUP($B42,'ELC TECH'!$H:$H,'ELC TECH'!$E:$E)="Non Dispatchable",IFERROR($AX42*_xlfn.XLOOKUP($C42,$BM$1:$BM$3,BO$1:BO$3)/SUMPRODUCT(_xlfn.XLOOKUP($C42,$BM$1:$BM$3,$BN$1:$BY$3),$BN$4:$BY$4),""),
"")</f>
        <v/>
      </c>
      <c r="BP42" s="8" t="str">
        <f>IF(_xlfn.XLOOKUP($B42,'ELC TECH'!$H:$H,'ELC TECH'!$E:$E)="Non Dispatchable",IFERROR($AX42*_xlfn.XLOOKUP($C42,$BM$1:$BM$3,BP$1:BP$3)/SUMPRODUCT(_xlfn.XLOOKUP($C42,$BM$1:$BM$3,$BN$1:$BY$3),$BN$4:$BY$4),""),
"")</f>
        <v/>
      </c>
      <c r="BQ42" s="8" t="str">
        <f>IF(_xlfn.XLOOKUP($B42,'ELC TECH'!$H:$H,'ELC TECH'!$E:$E)="Non Dispatchable",IFERROR($AX42*_xlfn.XLOOKUP($C42,$BM$1:$BM$3,BQ$1:BQ$3)/SUMPRODUCT(_xlfn.XLOOKUP($C42,$BM$1:$BM$3,$BN$1:$BY$3),$BN$4:$BY$4),""),
"")</f>
        <v/>
      </c>
      <c r="BR42" s="8" t="str">
        <f>IF(_xlfn.XLOOKUP($B42,'ELC TECH'!$H:$H,'ELC TECH'!$E:$E)="Non Dispatchable",IFERROR($AX42*_xlfn.XLOOKUP($C42,$BM$1:$BM$3,BR$1:BR$3)/SUMPRODUCT(_xlfn.XLOOKUP($C42,$BM$1:$BM$3,$BN$1:$BY$3),$BN$4:$BY$4),""),
"")</f>
        <v/>
      </c>
      <c r="BS42" s="8" t="str">
        <f>IF(_xlfn.XLOOKUP($B42,'ELC TECH'!$H:$H,'ELC TECH'!$E:$E)="Non Dispatchable",IFERROR($AX42*_xlfn.XLOOKUP($C42,$BM$1:$BM$3,BS$1:BS$3)/SUMPRODUCT(_xlfn.XLOOKUP($C42,$BM$1:$BM$3,$BN$1:$BY$3),$BN$4:$BY$4),""),
"")</f>
        <v/>
      </c>
      <c r="BT42" s="8" t="str">
        <f>IF(_xlfn.XLOOKUP($B42,'ELC TECH'!$H:$H,'ELC TECH'!$E:$E)="Non Dispatchable",IFERROR($AX42*_xlfn.XLOOKUP($C42,$BM$1:$BM$3,BT$1:BT$3)/SUMPRODUCT(_xlfn.XLOOKUP($C42,$BM$1:$BM$3,$BN$1:$BY$3),$BN$4:$BY$4),""),
"")</f>
        <v/>
      </c>
      <c r="BU42" s="8" t="str">
        <f>IF(_xlfn.XLOOKUP($B42,'ELC TECH'!$H:$H,'ELC TECH'!$E:$E)="Non Dispatchable",IFERROR($AX42*_xlfn.XLOOKUP($C42,$BM$1:$BM$3,BU$1:BU$3)/SUMPRODUCT(_xlfn.XLOOKUP($C42,$BM$1:$BM$3,$BN$1:$BY$3),$BN$4:$BY$4),""),
"")</f>
        <v/>
      </c>
      <c r="BV42" s="8" t="str">
        <f>IF(_xlfn.XLOOKUP($B42,'ELC TECH'!$H:$H,'ELC TECH'!$E:$E)="Non Dispatchable",IFERROR($AX42*_xlfn.XLOOKUP($C42,$BM$1:$BM$3,BV$1:BV$3)/SUMPRODUCT(_xlfn.XLOOKUP($C42,$BM$1:$BM$3,$BN$1:$BY$3),$BN$4:$BY$4),""),
"")</f>
        <v/>
      </c>
      <c r="BW42" s="8" t="str">
        <f>IF(_xlfn.XLOOKUP($B42,'ELC TECH'!$H:$H,'ELC TECH'!$E:$E)="Non Dispatchable",IFERROR($AX42*_xlfn.XLOOKUP($C42,$BM$1:$BM$3,BW$1:BW$3)/SUMPRODUCT(_xlfn.XLOOKUP($C42,$BM$1:$BM$3,$BN$1:$BY$3),$BN$4:$BY$4),""),
"")</f>
        <v/>
      </c>
      <c r="BX42" s="8" t="str">
        <f>IF(_xlfn.XLOOKUP($B42,'ELC TECH'!$H:$H,'ELC TECH'!$E:$E)="Non Dispatchable",IFERROR($AX42*_xlfn.XLOOKUP($C42,$BM$1:$BM$3,BX$1:BX$3)/SUMPRODUCT(_xlfn.XLOOKUP($C42,$BM$1:$BM$3,$BN$1:$BY$3),$BN$4:$BY$4),""),
"")</f>
        <v/>
      </c>
      <c r="BY42" s="8" t="str">
        <f>IF(_xlfn.XLOOKUP($B42,'ELC TECH'!$H:$H,'ELC TECH'!$E:$E)="Non Dispatchable",IFERROR($AX42*_xlfn.XLOOKUP($C42,$BM$1:$BM$3,BY$1:BY$3)/SUMPRODUCT(_xlfn.XLOOKUP($C42,$BM$1:$BM$3,$BN$1:$BY$3),$BN$4:$BY$4),""),
"")</f>
        <v/>
      </c>
      <c r="BZ42" s="8" t="str">
        <f>IF(_xlfn.XLOOKUP($B42,'ELC TECH'!$H:$H,'ELC TECH'!$E:$E)="Non Dispatchable",IFERROR($AX42*_xlfn.XLOOKUP($C42,$BM$1:$BM$3,BZ$1:BZ$3)/SUMPRODUCT(_xlfn.XLOOKUP($C42,$BM$1:$BM$3,$BN$1:$BY$3),$BN$4:$BY$4),""),
"")</f>
        <v/>
      </c>
      <c r="CA42" s="8" t="str">
        <f>IF(_xlfn.XLOOKUP($B42,'ELC TECH'!$H:$H,'ELC TECH'!$E:$E)="Non Dispatchable",IFERROR($AX42*_xlfn.XLOOKUP($C42,$BM$1:$BM$3,CA$1:CA$3)/SUMPRODUCT(_xlfn.XLOOKUP($C42,$BM$1:$BM$3,$BN$1:$BY$3),$BN$4:$BY$4),""),
"")</f>
        <v/>
      </c>
      <c r="CB42" s="8" t="str">
        <f>IF(_xlfn.XLOOKUP($B42,'ELC TECH'!$H:$H,'ELC TECH'!$E:$E)="Non Dispatchable",IFERROR($AX42*_xlfn.XLOOKUP($C42,$BM$1:$BM$3,CB$1:CB$3)/SUMPRODUCT(_xlfn.XLOOKUP($C42,$BM$1:$BM$3,$BN$1:$BY$3),$BN$4:$BY$4),""),
"")</f>
        <v/>
      </c>
      <c r="CC42" s="8" t="str">
        <f>IF(_xlfn.XLOOKUP($B42,'ELC TECH'!$H:$H,'ELC TECH'!$E:$E)="Non Dispatchable",IFERROR($AX42*_xlfn.XLOOKUP($C42,$BM$1:$BM$3,CC$1:CC$3)/SUMPRODUCT(_xlfn.XLOOKUP($C42,$BM$1:$BM$3,$BN$1:$BY$3),$BN$4:$BY$4),""),
"")</f>
        <v/>
      </c>
      <c r="CD42" s="8" t="str">
        <f>IF(_xlfn.XLOOKUP($B42,'ELC TECH'!$H:$H,'ELC TECH'!$E:$E)="Non Dispatchable",IFERROR($AX42*_xlfn.XLOOKUP($C42,$BM$1:$BM$3,CD$1:CD$3)/SUMPRODUCT(_xlfn.XLOOKUP($C42,$BM$1:$BM$3,$BN$1:$BY$3),$BN$4:$BY$4),""),
"")</f>
        <v/>
      </c>
      <c r="CE42" s="8" t="str">
        <f>IF(_xlfn.XLOOKUP($B42,'ELC TECH'!$H:$H,'ELC TECH'!$E:$E)="Non Dispatchable",IFERROR($AX42*_xlfn.XLOOKUP($C42,$BM$1:$BM$3,CE$1:CE$3)/SUMPRODUCT(_xlfn.XLOOKUP($C42,$BM$1:$BM$3,$BN$1:$BY$3),$BN$4:$BY$4),""),
"")</f>
        <v/>
      </c>
      <c r="CF42" s="8" t="str">
        <f>IF(_xlfn.XLOOKUP($B42,'ELC TECH'!$H:$H,'ELC TECH'!$E:$E)="Non Dispatchable",IFERROR($AX42*_xlfn.XLOOKUP($C42,$BM$1:$BM$3,CF$1:CF$3)/SUMPRODUCT(_xlfn.XLOOKUP($C42,$BM$1:$BM$3,$BN$1:$BY$3),$BN$4:$BY$4),""),
"")</f>
        <v/>
      </c>
      <c r="CG42" s="8" t="str">
        <f>IF(_xlfn.XLOOKUP($B42,'ELC TECH'!$H:$H,'ELC TECH'!$E:$E)="Non Dispatchable",IFERROR($AX42*_xlfn.XLOOKUP($C42,$BM$1:$BM$3,CG$1:CG$3)/SUMPRODUCT(_xlfn.XLOOKUP($C42,$BM$1:$BM$3,$BN$1:$BY$3),$BN$4:$BY$4),""),
"")</f>
        <v/>
      </c>
      <c r="CH42" s="8" t="str">
        <f>IF(_xlfn.XLOOKUP($B42,'ELC TECH'!$H:$H,'ELC TECH'!$E:$E)="Non Dispatchable",IFERROR($AX42*_xlfn.XLOOKUP($C42,$BM$1:$BM$3,CH$1:CH$3)/SUMPRODUCT(_xlfn.XLOOKUP($C42,$BM$1:$BM$3,$BN$1:$BY$3),$BN$4:$BY$4),""),
"")</f>
        <v/>
      </c>
      <c r="CI42" s="8" t="str">
        <f>IF(_xlfn.XLOOKUP($B42,'ELC TECH'!$H:$H,'ELC TECH'!$E:$E)="Non Dispatchable",IFERROR($AX42*_xlfn.XLOOKUP($C42,$BM$1:$BM$3,CI$1:CI$3)/SUMPRODUCT(_xlfn.XLOOKUP($C42,$BM$1:$BM$3,$BN$1:$BY$3),$BN$4:$BY$4),""),
"")</f>
        <v/>
      </c>
      <c r="CJ42" s="8" t="str">
        <f>IF(_xlfn.XLOOKUP($B42,'ELC TECH'!$H:$H,'ELC TECH'!$E:$E)="Non Dispatchable",IFERROR($AX42*_xlfn.XLOOKUP($C42,$BM$1:$BM$3,CJ$1:CJ$3)/SUMPRODUCT(_xlfn.XLOOKUP($C42,$BM$1:$BM$3,$BN$1:$BY$3),$BN$4:$BY$4),""),
"")</f>
        <v/>
      </c>
      <c r="CK42" s="8" t="str">
        <f>IF(_xlfn.XLOOKUP($B42,'ELC TECH'!$H:$H,'ELC TECH'!$E:$E)="Non Dispatchable",IFERROR($AX42*_xlfn.XLOOKUP($C42,$BM$1:$BM$3,CK$1:CK$3)/SUMPRODUCT(_xlfn.XLOOKUP($C42,$BM$1:$BM$3,$BN$1:$BY$3),$BN$4:$BY$4),""),
"")</f>
        <v/>
      </c>
      <c r="CL42" s="8">
        <f>IF(_xlfn.XLOOKUP($B42,'ELC TECH'!$H:$H,'ELC TECH'!$E:$E)="Storage",CL$4*$BF42,"")</f>
        <v>4.1099999999999998E-2</v>
      </c>
      <c r="CM42" s="8">
        <f>IF(_xlfn.XLOOKUP($B42,'ELC TECH'!$H:$H,'ELC TECH'!$E:$E)="Storage",CM$4*$BF42,"")</f>
        <v>4.7849999999999997E-2</v>
      </c>
      <c r="CN42" s="8">
        <f>IF(_xlfn.XLOOKUP($B42,'ELC TECH'!$H:$H,'ELC TECH'!$E:$E)="Storage",CN$4*$BF42,"")</f>
        <v>7.6600000000000001E-2</v>
      </c>
      <c r="CO42" s="8">
        <f>IF(_xlfn.XLOOKUP($B42,'ELC TECH'!$H:$H,'ELC TECH'!$E:$E)="Storage",CO$4*$BF42,"")</f>
        <v>1.6000000000000001E-3</v>
      </c>
      <c r="CP42" s="8">
        <f>IF(_xlfn.XLOOKUP($B42,'ELC TECH'!$H:$H,'ELC TECH'!$E:$E)="Storage",CP$4*$BF42,"")</f>
        <v>4.0750000000000001E-2</v>
      </c>
      <c r="CQ42" s="8">
        <f>IF(_xlfn.XLOOKUP($B42,'ELC TECH'!$H:$H,'ELC TECH'!$E:$E)="Storage",CQ$4*$BF42,"")</f>
        <v>5.4350000000000002E-2</v>
      </c>
      <c r="CR42" s="8">
        <f>IF(_xlfn.XLOOKUP($B42,'ELC TECH'!$H:$H,'ELC TECH'!$E:$E)="Storage",CR$4*$BF42,"")</f>
        <v>6.905E-2</v>
      </c>
      <c r="CS42" s="8">
        <f>IF(_xlfn.XLOOKUP($B42,'ELC TECH'!$H:$H,'ELC TECH'!$E:$E)="Storage",CS$4*$BF42,"")</f>
        <v>1.6000000000000001E-3</v>
      </c>
      <c r="CT42" s="8">
        <f>IF(_xlfn.XLOOKUP($B42,'ELC TECH'!$H:$H,'ELC TECH'!$E:$E)="Storage",CT$4*$BF42,"")</f>
        <v>4.8750000000000002E-2</v>
      </c>
      <c r="CU42" s="8">
        <f>IF(_xlfn.XLOOKUP($B42,'ELC TECH'!$H:$H,'ELC TECH'!$E:$E)="Storage",CU$4*$BF42,"")</f>
        <v>5.4350000000000002E-2</v>
      </c>
      <c r="CV42" s="8">
        <f>IF(_xlfn.XLOOKUP($B42,'ELC TECH'!$H:$H,'ELC TECH'!$E:$E)="Storage",CV$4*$BF42,"")</f>
        <v>6.2649999999999997E-2</v>
      </c>
      <c r="CW42" s="8">
        <f>IF(_xlfn.XLOOKUP($B42,'ELC TECH'!$H:$H,'ELC TECH'!$E:$E)="Storage",CW$4*$BF42,"")</f>
        <v>1.3500000000000001E-3</v>
      </c>
      <c r="CX42" s="8">
        <f>IF(_xlfn.XLOOKUP($B42,'ELC TECH'!$H:$H,'ELC TECH'!$E:$E)="Storage",CX$4*$BF42,"")</f>
        <v>4.1099999999999998E-2</v>
      </c>
      <c r="CY42" s="8">
        <f>IF(_xlfn.XLOOKUP($B42,'ELC TECH'!$H:$H,'ELC TECH'!$E:$E)="Storage",CY$4*$BF42,"")</f>
        <v>4.7849999999999997E-2</v>
      </c>
      <c r="CZ42" s="8">
        <f>IF(_xlfn.XLOOKUP($B42,'ELC TECH'!$H:$H,'ELC TECH'!$E:$E)="Storage",CZ$4*$BF42,"")</f>
        <v>7.6600000000000001E-2</v>
      </c>
      <c r="DA42" s="8">
        <f>IF(_xlfn.XLOOKUP($B42,'ELC TECH'!$H:$H,'ELC TECH'!$E:$E)="Storage",DA$4*$BF42,"")</f>
        <v>1.6000000000000001E-3</v>
      </c>
      <c r="DB42" s="8">
        <f>IF(_xlfn.XLOOKUP($B42,'ELC TECH'!$H:$H,'ELC TECH'!$E:$E)="Storage",DB$4*$BF42,"")</f>
        <v>4.0750000000000001E-2</v>
      </c>
      <c r="DC42" s="8">
        <f>IF(_xlfn.XLOOKUP($B42,'ELC TECH'!$H:$H,'ELC TECH'!$E:$E)="Storage",DC$4*$BF42,"")</f>
        <v>5.4350000000000002E-2</v>
      </c>
      <c r="DD42" s="8">
        <f>IF(_xlfn.XLOOKUP($B42,'ELC TECH'!$H:$H,'ELC TECH'!$E:$E)="Storage",DD$4*$BF42,"")</f>
        <v>6.905E-2</v>
      </c>
      <c r="DE42" s="8">
        <f>IF(_xlfn.XLOOKUP($B42,'ELC TECH'!$H:$H,'ELC TECH'!$E:$E)="Storage",DE$4*$BF42,"")</f>
        <v>1.6000000000000001E-3</v>
      </c>
      <c r="DF42" s="8">
        <f>IF(_xlfn.XLOOKUP($B42,'ELC TECH'!$H:$H,'ELC TECH'!$E:$E)="Storage",DF$4*$BF42,"")</f>
        <v>4.8750000000000002E-2</v>
      </c>
      <c r="DG42" s="8">
        <f>IF(_xlfn.XLOOKUP($B42,'ELC TECH'!$H:$H,'ELC TECH'!$E:$E)="Storage",DG$4*$BF42,"")</f>
        <v>5.4350000000000002E-2</v>
      </c>
      <c r="DH42" s="8">
        <f>IF(_xlfn.XLOOKUP($B42,'ELC TECH'!$H:$H,'ELC TECH'!$E:$E)="Storage",DH$4*$BF42,"")</f>
        <v>6.2649999999999997E-2</v>
      </c>
      <c r="DI42" s="8">
        <f>IF(_xlfn.XLOOKUP($B42,'ELC TECH'!$H:$H,'ELC TECH'!$E:$E)="Storage",DI$4*$BF42,"")</f>
        <v>1.3500000000000001E-3</v>
      </c>
    </row>
    <row r="43" spans="2:113" x14ac:dyDescent="0.25">
      <c r="B43" t="str">
        <f>IF('ELC TECH'!I36=0,"*",'ELC TECH'!H36)</f>
        <v>ELCSTGGRDPSH12HC820</v>
      </c>
      <c r="C43" t="str">
        <f>IF(_xlfn.XLOOKUP(_xlfn.XLOOKUP(B43,'ELC TECH'!$H:$H,'ELC TECH'!$G:$G),List!C:C,List!B:B)="STG",D43,"ELC"&amp;_xlfn.XLOOKUP(_xlfn.XLOOKUP(B43,'ELC TECH'!H:H,'ELC TECH'!G:G),List!C:C,List!B:B))</f>
        <v>CELC</v>
      </c>
      <c r="D43" t="s">
        <v>544</v>
      </c>
      <c r="E43">
        <f>_xlfn.XLOOKUP(B43,'ELC TECH'!H:H,'ELC TECH'!D:D)</f>
        <v>2020</v>
      </c>
      <c r="F43">
        <f>_xlfn.XLOOKUP(B43,'ELC TECH'!H:H,'ELC TECH'!K:K)</f>
        <v>100</v>
      </c>
      <c r="G43">
        <f t="shared" ref="G43:G74" si="5">8760*0.0036</f>
        <v>31.535999999999998</v>
      </c>
      <c r="H43">
        <f>IF(_xlfn.XLOOKUP(B43,'ELC TECH'!$H:$H,'ELC TECH'!$E:$E)="Storage",0.3,IF(_xlfn.XLOOKUP(B43,'ELC TECH'!$H:$H,'ELC TECH'!$E:$E)="Baseload",0.9,IF(_xlfn.XLOOKUP(B43,'ELC TECH'!$H:$H,'ELC TECH'!$E:$E)="Non Dispatchable",0.05,IF(_xlfn.XLOOKUP(B43,'ELC TECH'!$H:$H,'ELC TECH'!$E:$E)="Dispatchable",0.9,1))))</f>
        <v>0.3</v>
      </c>
      <c r="I43" s="13">
        <f>IF(_xlfn.XLOOKUP(B43,'ELC TECH'!H:H,'ELC TECH'!J:J)="","",_xlfn.XLOOKUP(B43,'ELC TECH'!H:H,'ELC TECH'!J:J))</f>
        <v>0</v>
      </c>
      <c r="J43" s="12" t="str">
        <f>IF(_xlfn.XLOOKUP($B43,'ELC TECH'!$H:$H,'ELC TECH'!$E:$E)="Storage","",IF(_xlfn.XLOOKUP($B43,'ELC TECH'!$H:$H,'ELC TECH'!AK:AK)="",1,_xlfn.XLOOKUP($B43,'ELC TECH'!$H:$H,'ELC TECH'!AK:AK)))</f>
        <v/>
      </c>
      <c r="K43" s="12" t="str">
        <f>IF(_xlfn.XLOOKUP($B43,'ELC TECH'!$H:$H,'ELC TECH'!$E:$E)="Storage","",IF(_xlfn.XLOOKUP($B43,'ELC TECH'!$H:$H,'ELC TECH'!AL:AL)="",1,_xlfn.XLOOKUP($B43,'ELC TECH'!$H:$H,'ELC TECH'!AL:AL)))</f>
        <v/>
      </c>
      <c r="L43" s="12" t="str">
        <f>IF(_xlfn.XLOOKUP($B43,'ELC TECH'!$H:$H,'ELC TECH'!$E:$E)="Storage","",IF(_xlfn.XLOOKUP($B43,'ELC TECH'!$H:$H,'ELC TECH'!AM:AM)="",1,_xlfn.XLOOKUP($B43,'ELC TECH'!$H:$H,'ELC TECH'!AM:AM)))</f>
        <v/>
      </c>
      <c r="M43" s="12" t="str">
        <f>IF(_xlfn.XLOOKUP($B43,'ELC TECH'!$H:$H,'ELC TECH'!$E:$E)="Storage","",IF(_xlfn.XLOOKUP($B43,'ELC TECH'!$H:$H,'ELC TECH'!AN:AN)="",1,_xlfn.XLOOKUP($B43,'ELC TECH'!$H:$H,'ELC TECH'!AN:AN)))</f>
        <v/>
      </c>
      <c r="N43" s="12" t="str">
        <f>IF(_xlfn.XLOOKUP($B43,'ELC TECH'!$H:$H,'ELC TECH'!$E:$E)="Storage","",IF(_xlfn.XLOOKUP($B43,'ELC TECH'!$H:$H,'ELC TECH'!AO:AO)="",1,_xlfn.XLOOKUP($B43,'ELC TECH'!$H:$H,'ELC TECH'!AO:AO)))</f>
        <v/>
      </c>
      <c r="O43" s="12" t="str">
        <f>IF(_xlfn.XLOOKUP($B43,'ELC TECH'!$H:$H,'ELC TECH'!$E:$E)="Storage","",IF(_xlfn.XLOOKUP($B43,'ELC TECH'!$H:$H,'ELC TECH'!AP:AP)="",1,_xlfn.XLOOKUP($B43,'ELC TECH'!$H:$H,'ELC TECH'!AP:AP)))</f>
        <v/>
      </c>
      <c r="P43" s="12" t="str">
        <f>IF(_xlfn.XLOOKUP($B43,'ELC TECH'!$H:$H,'ELC TECH'!$E:$E)="Storage","",IF(_xlfn.XLOOKUP($B43,'ELC TECH'!$H:$H,'ELC TECH'!AQ:AQ)="",1,_xlfn.XLOOKUP($B43,'ELC TECH'!$H:$H,'ELC TECH'!AQ:AQ)))</f>
        <v/>
      </c>
      <c r="Q43" s="12" t="str">
        <f>IF(_xlfn.XLOOKUP($B43,'ELC TECH'!$H:$H,'ELC TECH'!$E:$E)="Storage","",IF(_xlfn.XLOOKUP($B43,'ELC TECH'!$H:$H,'ELC TECH'!AR:AR)="",1,_xlfn.XLOOKUP($B43,'ELC TECH'!$H:$H,'ELC TECH'!AR:AR)))</f>
        <v/>
      </c>
      <c r="R43" s="12">
        <f>IF(_xlfn.XLOOKUP($B43,'ELC TECH'!$H:$H,'ELC TECH'!$E:$E)&lt;&gt;"Storage","",IF(_xlfn.XLOOKUP($B43,'ELC TECH'!$H:$H,'ELC TECH'!AK:AK)="",0.8,_xlfn.XLOOKUP($B43,'ELC TECH'!$H:$H,'ELC TECH'!AK:AK)))</f>
        <v>0.8</v>
      </c>
      <c r="S43" s="12">
        <f>IF(_xlfn.XLOOKUP($B43,'ELC TECH'!$H:$H,'ELC TECH'!$E:$E)&lt;&gt;"Storage","",IF(_xlfn.XLOOKUP($B43,'ELC TECH'!$H:$H,'ELC TECH'!AL:AL)="",0.8,_xlfn.XLOOKUP($B43,'ELC TECH'!$H:$H,'ELC TECH'!AL:AL)))</f>
        <v>0.8</v>
      </c>
      <c r="T43" s="12">
        <f>IF(_xlfn.XLOOKUP($B43,'ELC TECH'!$H:$H,'ELC TECH'!$E:$E)&lt;&gt;"Storage","",IF(_xlfn.XLOOKUP($B43,'ELC TECH'!$H:$H,'ELC TECH'!AM:AM)="",0.8,_xlfn.XLOOKUP($B43,'ELC TECH'!$H:$H,'ELC TECH'!AM:AM)))</f>
        <v>0.8</v>
      </c>
      <c r="U43" s="12">
        <f>IF(_xlfn.XLOOKUP($B43,'ELC TECH'!$H:$H,'ELC TECH'!$E:$E)&lt;&gt;"Storage","",IF(_xlfn.XLOOKUP($B43,'ELC TECH'!$H:$H,'ELC TECH'!AN:AN)="",0.8,_xlfn.XLOOKUP($B43,'ELC TECH'!$H:$H,'ELC TECH'!AN:AN)))</f>
        <v>0.8</v>
      </c>
      <c r="V43" s="12">
        <f>IF(_xlfn.XLOOKUP($B43,'ELC TECH'!$H:$H,'ELC TECH'!$E:$E)&lt;&gt;"Storage","",IF(_xlfn.XLOOKUP($B43,'ELC TECH'!$H:$H,'ELC TECH'!AO:AO)="",0.8,_xlfn.XLOOKUP($B43,'ELC TECH'!$H:$H,'ELC TECH'!AO:AO)))</f>
        <v>0.8</v>
      </c>
      <c r="W43" s="12">
        <f>IF(_xlfn.XLOOKUP($B43,'ELC TECH'!$H:$H,'ELC TECH'!$E:$E)&lt;&gt;"Storage","",IF(_xlfn.XLOOKUP($B43,'ELC TECH'!$H:$H,'ELC TECH'!AP:AP)="",0.8,_xlfn.XLOOKUP($B43,'ELC TECH'!$H:$H,'ELC TECH'!AP:AP)))</f>
        <v>0.8</v>
      </c>
      <c r="X43" s="12">
        <f>IF(_xlfn.XLOOKUP($B43,'ELC TECH'!$H:$H,'ELC TECH'!$E:$E)&lt;&gt;"Storage","",IF(_xlfn.XLOOKUP($B43,'ELC TECH'!$H:$H,'ELC TECH'!AQ:AQ)="",0.8,_xlfn.XLOOKUP($B43,'ELC TECH'!$H:$H,'ELC TECH'!AQ:AQ)))</f>
        <v>0.8</v>
      </c>
      <c r="Y43" s="12">
        <f>IF(_xlfn.XLOOKUP($B43,'ELC TECH'!$H:$H,'ELC TECH'!$E:$E)&lt;&gt;"Storage","",IF(_xlfn.XLOOKUP($B43,'ELC TECH'!$H:$H,'ELC TECH'!AR:AR)="",0.8,_xlfn.XLOOKUP($B43,'ELC TECH'!$H:$H,'ELC TECH'!AR:AR)))</f>
        <v>0.8</v>
      </c>
      <c r="Z43" s="15">
        <f>_xlfn.XLOOKUP($B43,'ELC TECH'!$H:$H,'ELC TECH'!M:M)</f>
        <v>3580.1995949713692</v>
      </c>
      <c r="AA43" s="15">
        <f>_xlfn.XLOOKUP($B43,'ELC TECH'!$H:$H,'ELC TECH'!N:N)</f>
        <v>3580.1995949713692</v>
      </c>
      <c r="AB43" s="15">
        <f>_xlfn.XLOOKUP($B43,'ELC TECH'!$H:$H,'ELC TECH'!O:O)</f>
        <v>3580.1995949713692</v>
      </c>
      <c r="AC43" s="15">
        <f>_xlfn.XLOOKUP($B43,'ELC TECH'!$H:$H,'ELC TECH'!P:P)</f>
        <v>3580.1995949713692</v>
      </c>
      <c r="AD43" s="15">
        <f>_xlfn.XLOOKUP($B43,'ELC TECH'!$H:$H,'ELC TECH'!Q:Q)</f>
        <v>3580.1995949713692</v>
      </c>
      <c r="AE43" s="15">
        <f>_xlfn.XLOOKUP($B43,'ELC TECH'!$H:$H,'ELC TECH'!R:R)</f>
        <v>3580.1995949713692</v>
      </c>
      <c r="AF43" s="15">
        <f>_xlfn.XLOOKUP($B43,'ELC TECH'!$H:$H,'ELC TECH'!S:S)</f>
        <v>3580.1995949713692</v>
      </c>
      <c r="AG43" s="15">
        <f>_xlfn.XLOOKUP($B43,'ELC TECH'!$H:$H,'ELC TECH'!T:T)</f>
        <v>3580.1995949713692</v>
      </c>
      <c r="AH43" s="15">
        <f>_xlfn.XLOOKUP($B43,'ELC TECH'!$H:$H,'ELC TECH'!U:U)</f>
        <v>21.100097091380029</v>
      </c>
      <c r="AI43" s="15">
        <f>_xlfn.XLOOKUP($B43,'ELC TECH'!$H:$H,'ELC TECH'!V:V)</f>
        <v>21.100097091380029</v>
      </c>
      <c r="AJ43" s="15">
        <f>_xlfn.XLOOKUP($B43,'ELC TECH'!$H:$H,'ELC TECH'!W:W)</f>
        <v>21.100097091380029</v>
      </c>
      <c r="AK43" s="15">
        <f>_xlfn.XLOOKUP($B43,'ELC TECH'!$H:$H,'ELC TECH'!X:X)</f>
        <v>21.100097091380029</v>
      </c>
      <c r="AL43" s="15">
        <f>_xlfn.XLOOKUP($B43,'ELC TECH'!$H:$H,'ELC TECH'!Y:Y)</f>
        <v>21.100097091380029</v>
      </c>
      <c r="AM43" s="15">
        <f>_xlfn.XLOOKUP($B43,'ELC TECH'!$H:$H,'ELC TECH'!Z:Z)</f>
        <v>21.100097091380029</v>
      </c>
      <c r="AN43" s="15">
        <f>_xlfn.XLOOKUP($B43,'ELC TECH'!$H:$H,'ELC TECH'!AA:AA)</f>
        <v>21.100097091380029</v>
      </c>
      <c r="AO43" s="15">
        <f>_xlfn.XLOOKUP($B43,'ELC TECH'!$H:$H,'ELC TECH'!AB:AB)</f>
        <v>21.100097091380029</v>
      </c>
      <c r="AP43" s="15">
        <f>_xlfn.XLOOKUP($B43,'ELC TECH'!$H:$H,'ELC TECH'!AC:AC)</f>
        <v>0.1696149283872993</v>
      </c>
      <c r="AQ43" s="15">
        <f>_xlfn.XLOOKUP($B43,'ELC TECH'!$H:$H,'ELC TECH'!AD:AD)</f>
        <v>0.1696149283872993</v>
      </c>
      <c r="AR43" s="15">
        <f>_xlfn.XLOOKUP($B43,'ELC TECH'!$H:$H,'ELC TECH'!AE:AE)</f>
        <v>0.1696149283872993</v>
      </c>
      <c r="AS43" s="15">
        <f>_xlfn.XLOOKUP($B43,'ELC TECH'!$H:$H,'ELC TECH'!AF:AF)</f>
        <v>0.1696149283872993</v>
      </c>
      <c r="AT43" s="15">
        <f>_xlfn.XLOOKUP($B43,'ELC TECH'!$H:$H,'ELC TECH'!AG:AG)</f>
        <v>0.1696149283872993</v>
      </c>
      <c r="AU43" s="15">
        <f>_xlfn.XLOOKUP($B43,'ELC TECH'!$H:$H,'ELC TECH'!AH:AH)</f>
        <v>0.1696149283872993</v>
      </c>
      <c r="AV43" s="15">
        <f>_xlfn.XLOOKUP($B43,'ELC TECH'!$H:$H,'ELC TECH'!AI:AI)</f>
        <v>0.1696149283872993</v>
      </c>
      <c r="AW43" s="15">
        <f>_xlfn.XLOOKUP($B43,'ELC TECH'!$H:$H,'ELC TECH'!AJ:AJ)</f>
        <v>0.1696149283872993</v>
      </c>
      <c r="AX43" s="12" t="str">
        <f>IF(_xlfn.XLOOKUP($B43,'ELC TECH'!$H:$H,'ELC TECH'!$E:$E)="Storage","",_xlfn.XLOOKUP($B43,'ELC TECH'!$H:$H,'ELC TECH'!AS:AS))</f>
        <v/>
      </c>
      <c r="AY43" s="12" t="str">
        <f>IF(_xlfn.XLOOKUP($B43,'ELC TECH'!$H:$H,'ELC TECH'!$E:$E)="Storage","",_xlfn.XLOOKUP($B43,'ELC TECH'!$H:$H,'ELC TECH'!AT:AT))</f>
        <v/>
      </c>
      <c r="AZ43" s="12" t="str">
        <f>IF(_xlfn.XLOOKUP($B43,'ELC TECH'!$H:$H,'ELC TECH'!$E:$E)="Storage","",_xlfn.XLOOKUP($B43,'ELC TECH'!$H:$H,'ELC TECH'!AU:AU))</f>
        <v/>
      </c>
      <c r="BA43" s="12" t="str">
        <f>IF(_xlfn.XLOOKUP($B43,'ELC TECH'!$H:$H,'ELC TECH'!$E:$E)="Storage","",_xlfn.XLOOKUP($B43,'ELC TECH'!$H:$H,'ELC TECH'!AV:AV))</f>
        <v/>
      </c>
      <c r="BB43" s="12" t="str">
        <f>IF(_xlfn.XLOOKUP($B43,'ELC TECH'!$H:$H,'ELC TECH'!$E:$E)="Storage","",_xlfn.XLOOKUP($B43,'ELC TECH'!$H:$H,'ELC TECH'!AW:AW))</f>
        <v/>
      </c>
      <c r="BC43" s="12" t="str">
        <f>IF(_xlfn.XLOOKUP($B43,'ELC TECH'!$H:$H,'ELC TECH'!$E:$E)="Storage","",_xlfn.XLOOKUP($B43,'ELC TECH'!$H:$H,'ELC TECH'!AX:AX))</f>
        <v/>
      </c>
      <c r="BD43" s="12" t="str">
        <f>IF(_xlfn.XLOOKUP($B43,'ELC TECH'!$H:$H,'ELC TECH'!$E:$E)="Storage","",_xlfn.XLOOKUP($B43,'ELC TECH'!$H:$H,'ELC TECH'!AY:AY))</f>
        <v/>
      </c>
      <c r="BE43" s="12" t="str">
        <f>IF(_xlfn.XLOOKUP($B43,'ELC TECH'!$H:$H,'ELC TECH'!$E:$E)="Storage","",_xlfn.XLOOKUP($B43,'ELC TECH'!$H:$H,'ELC TECH'!AZ:AZ))</f>
        <v/>
      </c>
      <c r="BF43" s="12">
        <f>IF(_xlfn.XLOOKUP($B43,'ELC TECH'!$H:$H,'ELC TECH'!$E:$E)="Storage",_xlfn.XLOOKUP($B43,'ELC TECH'!$H:$H,'ELC TECH'!AS:AS),"")</f>
        <v>0.5</v>
      </c>
      <c r="BG43" s="12">
        <f>IF(_xlfn.XLOOKUP($B43,'ELC TECH'!$H:$H,'ELC TECH'!$E:$E)="Storage",_xlfn.XLOOKUP($B43,'ELC TECH'!$H:$H,'ELC TECH'!AT:AT),"")</f>
        <v>0.5</v>
      </c>
      <c r="BH43" s="12">
        <f>IF(_xlfn.XLOOKUP($B43,'ELC TECH'!$H:$H,'ELC TECH'!$E:$E)="Storage",_xlfn.XLOOKUP($B43,'ELC TECH'!$H:$H,'ELC TECH'!AU:AU),"")</f>
        <v>0.5</v>
      </c>
      <c r="BI43" s="12">
        <f>IF(_xlfn.XLOOKUP($B43,'ELC TECH'!$H:$H,'ELC TECH'!$E:$E)="Storage",_xlfn.XLOOKUP($B43,'ELC TECH'!$H:$H,'ELC TECH'!AV:AV),"")</f>
        <v>0.5</v>
      </c>
      <c r="BJ43" s="12">
        <f>IF(_xlfn.XLOOKUP($B43,'ELC TECH'!$H:$H,'ELC TECH'!$E:$E)="Storage",_xlfn.XLOOKUP($B43,'ELC TECH'!$H:$H,'ELC TECH'!AW:AW),"")</f>
        <v>0.5</v>
      </c>
      <c r="BK43" s="12">
        <f>IF(_xlfn.XLOOKUP($B43,'ELC TECH'!$H:$H,'ELC TECH'!$E:$E)="Storage",_xlfn.XLOOKUP($B43,'ELC TECH'!$H:$H,'ELC TECH'!AX:AX),"")</f>
        <v>0.5</v>
      </c>
      <c r="BL43" s="12">
        <f>IF(_xlfn.XLOOKUP($B43,'ELC TECH'!$H:$H,'ELC TECH'!$E:$E)="Storage",_xlfn.XLOOKUP($B43,'ELC TECH'!$H:$H,'ELC TECH'!AY:AY),"")</f>
        <v>0.5</v>
      </c>
      <c r="BM43" s="12">
        <f>IF(_xlfn.XLOOKUP($B43,'ELC TECH'!$H:$H,'ELC TECH'!$E:$E)="Storage",_xlfn.XLOOKUP($B43,'ELC TECH'!$H:$H,'ELC TECH'!AZ:AZ),"")</f>
        <v>0.5</v>
      </c>
      <c r="BN43" s="8" t="str">
        <f>IF(_xlfn.XLOOKUP($B43,'ELC TECH'!$H:$H,'ELC TECH'!$E:$E)="Non Dispatchable",IFERROR($AX43*_xlfn.XLOOKUP($C43,$BM$1:$BM$3,BN$1:BN$3)/SUMPRODUCT(_xlfn.XLOOKUP($C43,$BM$1:$BM$3,$BN$1:$BY$3),$BN$4:$BY$4),""),
"")</f>
        <v/>
      </c>
      <c r="BO43" s="8" t="str">
        <f>IF(_xlfn.XLOOKUP($B43,'ELC TECH'!$H:$H,'ELC TECH'!$E:$E)="Non Dispatchable",IFERROR($AX43*_xlfn.XLOOKUP($C43,$BM$1:$BM$3,BO$1:BO$3)/SUMPRODUCT(_xlfn.XLOOKUP($C43,$BM$1:$BM$3,$BN$1:$BY$3),$BN$4:$BY$4),""),
"")</f>
        <v/>
      </c>
      <c r="BP43" s="8" t="str">
        <f>IF(_xlfn.XLOOKUP($B43,'ELC TECH'!$H:$H,'ELC TECH'!$E:$E)="Non Dispatchable",IFERROR($AX43*_xlfn.XLOOKUP($C43,$BM$1:$BM$3,BP$1:BP$3)/SUMPRODUCT(_xlfn.XLOOKUP($C43,$BM$1:$BM$3,$BN$1:$BY$3),$BN$4:$BY$4),""),
"")</f>
        <v/>
      </c>
      <c r="BQ43" s="8" t="str">
        <f>IF(_xlfn.XLOOKUP($B43,'ELC TECH'!$H:$H,'ELC TECH'!$E:$E)="Non Dispatchable",IFERROR($AX43*_xlfn.XLOOKUP($C43,$BM$1:$BM$3,BQ$1:BQ$3)/SUMPRODUCT(_xlfn.XLOOKUP($C43,$BM$1:$BM$3,$BN$1:$BY$3),$BN$4:$BY$4),""),
"")</f>
        <v/>
      </c>
      <c r="BR43" s="8" t="str">
        <f>IF(_xlfn.XLOOKUP($B43,'ELC TECH'!$H:$H,'ELC TECH'!$E:$E)="Non Dispatchable",IFERROR($AX43*_xlfn.XLOOKUP($C43,$BM$1:$BM$3,BR$1:BR$3)/SUMPRODUCT(_xlfn.XLOOKUP($C43,$BM$1:$BM$3,$BN$1:$BY$3),$BN$4:$BY$4),""),
"")</f>
        <v/>
      </c>
      <c r="BS43" s="8" t="str">
        <f>IF(_xlfn.XLOOKUP($B43,'ELC TECH'!$H:$H,'ELC TECH'!$E:$E)="Non Dispatchable",IFERROR($AX43*_xlfn.XLOOKUP($C43,$BM$1:$BM$3,BS$1:BS$3)/SUMPRODUCT(_xlfn.XLOOKUP($C43,$BM$1:$BM$3,$BN$1:$BY$3),$BN$4:$BY$4),""),
"")</f>
        <v/>
      </c>
      <c r="BT43" s="8" t="str">
        <f>IF(_xlfn.XLOOKUP($B43,'ELC TECH'!$H:$H,'ELC TECH'!$E:$E)="Non Dispatchable",IFERROR($AX43*_xlfn.XLOOKUP($C43,$BM$1:$BM$3,BT$1:BT$3)/SUMPRODUCT(_xlfn.XLOOKUP($C43,$BM$1:$BM$3,$BN$1:$BY$3),$BN$4:$BY$4),""),
"")</f>
        <v/>
      </c>
      <c r="BU43" s="8" t="str">
        <f>IF(_xlfn.XLOOKUP($B43,'ELC TECH'!$H:$H,'ELC TECH'!$E:$E)="Non Dispatchable",IFERROR($AX43*_xlfn.XLOOKUP($C43,$BM$1:$BM$3,BU$1:BU$3)/SUMPRODUCT(_xlfn.XLOOKUP($C43,$BM$1:$BM$3,$BN$1:$BY$3),$BN$4:$BY$4),""),
"")</f>
        <v/>
      </c>
      <c r="BV43" s="8" t="str">
        <f>IF(_xlfn.XLOOKUP($B43,'ELC TECH'!$H:$H,'ELC TECH'!$E:$E)="Non Dispatchable",IFERROR($AX43*_xlfn.XLOOKUP($C43,$BM$1:$BM$3,BV$1:BV$3)/SUMPRODUCT(_xlfn.XLOOKUP($C43,$BM$1:$BM$3,$BN$1:$BY$3),$BN$4:$BY$4),""),
"")</f>
        <v/>
      </c>
      <c r="BW43" s="8" t="str">
        <f>IF(_xlfn.XLOOKUP($B43,'ELC TECH'!$H:$H,'ELC TECH'!$E:$E)="Non Dispatchable",IFERROR($AX43*_xlfn.XLOOKUP($C43,$BM$1:$BM$3,BW$1:BW$3)/SUMPRODUCT(_xlfn.XLOOKUP($C43,$BM$1:$BM$3,$BN$1:$BY$3),$BN$4:$BY$4),""),
"")</f>
        <v/>
      </c>
      <c r="BX43" s="8" t="str">
        <f>IF(_xlfn.XLOOKUP($B43,'ELC TECH'!$H:$H,'ELC TECH'!$E:$E)="Non Dispatchable",IFERROR($AX43*_xlfn.XLOOKUP($C43,$BM$1:$BM$3,BX$1:BX$3)/SUMPRODUCT(_xlfn.XLOOKUP($C43,$BM$1:$BM$3,$BN$1:$BY$3),$BN$4:$BY$4),""),
"")</f>
        <v/>
      </c>
      <c r="BY43" s="8" t="str">
        <f>IF(_xlfn.XLOOKUP($B43,'ELC TECH'!$H:$H,'ELC TECH'!$E:$E)="Non Dispatchable",IFERROR($AX43*_xlfn.XLOOKUP($C43,$BM$1:$BM$3,BY$1:BY$3)/SUMPRODUCT(_xlfn.XLOOKUP($C43,$BM$1:$BM$3,$BN$1:$BY$3),$BN$4:$BY$4),""),
"")</f>
        <v/>
      </c>
      <c r="BZ43" s="8" t="str">
        <f>IF(_xlfn.XLOOKUP($B43,'ELC TECH'!$H:$H,'ELC TECH'!$E:$E)="Non Dispatchable",IFERROR($AX43*_xlfn.XLOOKUP($C43,$BM$1:$BM$3,BZ$1:BZ$3)/SUMPRODUCT(_xlfn.XLOOKUP($C43,$BM$1:$BM$3,$BN$1:$BY$3),$BN$4:$BY$4),""),
"")</f>
        <v/>
      </c>
      <c r="CA43" s="8" t="str">
        <f>IF(_xlfn.XLOOKUP($B43,'ELC TECH'!$H:$H,'ELC TECH'!$E:$E)="Non Dispatchable",IFERROR($AX43*_xlfn.XLOOKUP($C43,$BM$1:$BM$3,CA$1:CA$3)/SUMPRODUCT(_xlfn.XLOOKUP($C43,$BM$1:$BM$3,$BN$1:$BY$3),$BN$4:$BY$4),""),
"")</f>
        <v/>
      </c>
      <c r="CB43" s="8" t="str">
        <f>IF(_xlfn.XLOOKUP($B43,'ELC TECH'!$H:$H,'ELC TECH'!$E:$E)="Non Dispatchable",IFERROR($AX43*_xlfn.XLOOKUP($C43,$BM$1:$BM$3,CB$1:CB$3)/SUMPRODUCT(_xlfn.XLOOKUP($C43,$BM$1:$BM$3,$BN$1:$BY$3),$BN$4:$BY$4),""),
"")</f>
        <v/>
      </c>
      <c r="CC43" s="8" t="str">
        <f>IF(_xlfn.XLOOKUP($B43,'ELC TECH'!$H:$H,'ELC TECH'!$E:$E)="Non Dispatchable",IFERROR($AX43*_xlfn.XLOOKUP($C43,$BM$1:$BM$3,CC$1:CC$3)/SUMPRODUCT(_xlfn.XLOOKUP($C43,$BM$1:$BM$3,$BN$1:$BY$3),$BN$4:$BY$4),""),
"")</f>
        <v/>
      </c>
      <c r="CD43" s="8" t="str">
        <f>IF(_xlfn.XLOOKUP($B43,'ELC TECH'!$H:$H,'ELC TECH'!$E:$E)="Non Dispatchable",IFERROR($AX43*_xlfn.XLOOKUP($C43,$BM$1:$BM$3,CD$1:CD$3)/SUMPRODUCT(_xlfn.XLOOKUP($C43,$BM$1:$BM$3,$BN$1:$BY$3),$BN$4:$BY$4),""),
"")</f>
        <v/>
      </c>
      <c r="CE43" s="8" t="str">
        <f>IF(_xlfn.XLOOKUP($B43,'ELC TECH'!$H:$H,'ELC TECH'!$E:$E)="Non Dispatchable",IFERROR($AX43*_xlfn.XLOOKUP($C43,$BM$1:$BM$3,CE$1:CE$3)/SUMPRODUCT(_xlfn.XLOOKUP($C43,$BM$1:$BM$3,$BN$1:$BY$3),$BN$4:$BY$4),""),
"")</f>
        <v/>
      </c>
      <c r="CF43" s="8" t="str">
        <f>IF(_xlfn.XLOOKUP($B43,'ELC TECH'!$H:$H,'ELC TECH'!$E:$E)="Non Dispatchable",IFERROR($AX43*_xlfn.XLOOKUP($C43,$BM$1:$BM$3,CF$1:CF$3)/SUMPRODUCT(_xlfn.XLOOKUP($C43,$BM$1:$BM$3,$BN$1:$BY$3),$BN$4:$BY$4),""),
"")</f>
        <v/>
      </c>
      <c r="CG43" s="8" t="str">
        <f>IF(_xlfn.XLOOKUP($B43,'ELC TECH'!$H:$H,'ELC TECH'!$E:$E)="Non Dispatchable",IFERROR($AX43*_xlfn.XLOOKUP($C43,$BM$1:$BM$3,CG$1:CG$3)/SUMPRODUCT(_xlfn.XLOOKUP($C43,$BM$1:$BM$3,$BN$1:$BY$3),$BN$4:$BY$4),""),
"")</f>
        <v/>
      </c>
      <c r="CH43" s="8" t="str">
        <f>IF(_xlfn.XLOOKUP($B43,'ELC TECH'!$H:$H,'ELC TECH'!$E:$E)="Non Dispatchable",IFERROR($AX43*_xlfn.XLOOKUP($C43,$BM$1:$BM$3,CH$1:CH$3)/SUMPRODUCT(_xlfn.XLOOKUP($C43,$BM$1:$BM$3,$BN$1:$BY$3),$BN$4:$BY$4),""),
"")</f>
        <v/>
      </c>
      <c r="CI43" s="8" t="str">
        <f>IF(_xlfn.XLOOKUP($B43,'ELC TECH'!$H:$H,'ELC TECH'!$E:$E)="Non Dispatchable",IFERROR($AX43*_xlfn.XLOOKUP($C43,$BM$1:$BM$3,CI$1:CI$3)/SUMPRODUCT(_xlfn.XLOOKUP($C43,$BM$1:$BM$3,$BN$1:$BY$3),$BN$4:$BY$4),""),
"")</f>
        <v/>
      </c>
      <c r="CJ43" s="8" t="str">
        <f>IF(_xlfn.XLOOKUP($B43,'ELC TECH'!$H:$H,'ELC TECH'!$E:$E)="Non Dispatchable",IFERROR($AX43*_xlfn.XLOOKUP($C43,$BM$1:$BM$3,CJ$1:CJ$3)/SUMPRODUCT(_xlfn.XLOOKUP($C43,$BM$1:$BM$3,$BN$1:$BY$3),$BN$4:$BY$4),""),
"")</f>
        <v/>
      </c>
      <c r="CK43" s="8" t="str">
        <f>IF(_xlfn.XLOOKUP($B43,'ELC TECH'!$H:$H,'ELC TECH'!$E:$E)="Non Dispatchable",IFERROR($AX43*_xlfn.XLOOKUP($C43,$BM$1:$BM$3,CK$1:CK$3)/SUMPRODUCT(_xlfn.XLOOKUP($C43,$BM$1:$BM$3,$BN$1:$BY$3),$BN$4:$BY$4),""),
"")</f>
        <v/>
      </c>
      <c r="CL43" s="8">
        <f>IF(_xlfn.XLOOKUP($B43,'ELC TECH'!$H:$H,'ELC TECH'!$E:$E)="Storage",CL$4*$BF43,"")</f>
        <v>4.1099999999999998E-2</v>
      </c>
      <c r="CM43" s="8">
        <f>IF(_xlfn.XLOOKUP($B43,'ELC TECH'!$H:$H,'ELC TECH'!$E:$E)="Storage",CM$4*$BF43,"")</f>
        <v>4.7849999999999997E-2</v>
      </c>
      <c r="CN43" s="8">
        <f>IF(_xlfn.XLOOKUP($B43,'ELC TECH'!$H:$H,'ELC TECH'!$E:$E)="Storage",CN$4*$BF43,"")</f>
        <v>7.6600000000000001E-2</v>
      </c>
      <c r="CO43" s="8">
        <f>IF(_xlfn.XLOOKUP($B43,'ELC TECH'!$H:$H,'ELC TECH'!$E:$E)="Storage",CO$4*$BF43,"")</f>
        <v>1.6000000000000001E-3</v>
      </c>
      <c r="CP43" s="8">
        <f>IF(_xlfn.XLOOKUP($B43,'ELC TECH'!$H:$H,'ELC TECH'!$E:$E)="Storage",CP$4*$BF43,"")</f>
        <v>4.0750000000000001E-2</v>
      </c>
      <c r="CQ43" s="8">
        <f>IF(_xlfn.XLOOKUP($B43,'ELC TECH'!$H:$H,'ELC TECH'!$E:$E)="Storage",CQ$4*$BF43,"")</f>
        <v>5.4350000000000002E-2</v>
      </c>
      <c r="CR43" s="8">
        <f>IF(_xlfn.XLOOKUP($B43,'ELC TECH'!$H:$H,'ELC TECH'!$E:$E)="Storage",CR$4*$BF43,"")</f>
        <v>6.905E-2</v>
      </c>
      <c r="CS43" s="8">
        <f>IF(_xlfn.XLOOKUP($B43,'ELC TECH'!$H:$H,'ELC TECH'!$E:$E)="Storage",CS$4*$BF43,"")</f>
        <v>1.6000000000000001E-3</v>
      </c>
      <c r="CT43" s="8">
        <f>IF(_xlfn.XLOOKUP($B43,'ELC TECH'!$H:$H,'ELC TECH'!$E:$E)="Storage",CT$4*$BF43,"")</f>
        <v>4.8750000000000002E-2</v>
      </c>
      <c r="CU43" s="8">
        <f>IF(_xlfn.XLOOKUP($B43,'ELC TECH'!$H:$H,'ELC TECH'!$E:$E)="Storage",CU$4*$BF43,"")</f>
        <v>5.4350000000000002E-2</v>
      </c>
      <c r="CV43" s="8">
        <f>IF(_xlfn.XLOOKUP($B43,'ELC TECH'!$H:$H,'ELC TECH'!$E:$E)="Storage",CV$4*$BF43,"")</f>
        <v>6.2649999999999997E-2</v>
      </c>
      <c r="CW43" s="8">
        <f>IF(_xlfn.XLOOKUP($B43,'ELC TECH'!$H:$H,'ELC TECH'!$E:$E)="Storage",CW$4*$BF43,"")</f>
        <v>1.3500000000000001E-3</v>
      </c>
      <c r="CX43" s="8">
        <f>IF(_xlfn.XLOOKUP($B43,'ELC TECH'!$H:$H,'ELC TECH'!$E:$E)="Storage",CX$4*$BF43,"")</f>
        <v>4.1099999999999998E-2</v>
      </c>
      <c r="CY43" s="8">
        <f>IF(_xlfn.XLOOKUP($B43,'ELC TECH'!$H:$H,'ELC TECH'!$E:$E)="Storage",CY$4*$BF43,"")</f>
        <v>4.7849999999999997E-2</v>
      </c>
      <c r="CZ43" s="8">
        <f>IF(_xlfn.XLOOKUP($B43,'ELC TECH'!$H:$H,'ELC TECH'!$E:$E)="Storage",CZ$4*$BF43,"")</f>
        <v>7.6600000000000001E-2</v>
      </c>
      <c r="DA43" s="8">
        <f>IF(_xlfn.XLOOKUP($B43,'ELC TECH'!$H:$H,'ELC TECH'!$E:$E)="Storage",DA$4*$BF43,"")</f>
        <v>1.6000000000000001E-3</v>
      </c>
      <c r="DB43" s="8">
        <f>IF(_xlfn.XLOOKUP($B43,'ELC TECH'!$H:$H,'ELC TECH'!$E:$E)="Storage",DB$4*$BF43,"")</f>
        <v>4.0750000000000001E-2</v>
      </c>
      <c r="DC43" s="8">
        <f>IF(_xlfn.XLOOKUP($B43,'ELC TECH'!$H:$H,'ELC TECH'!$E:$E)="Storage",DC$4*$BF43,"")</f>
        <v>5.4350000000000002E-2</v>
      </c>
      <c r="DD43" s="8">
        <f>IF(_xlfn.XLOOKUP($B43,'ELC TECH'!$H:$H,'ELC TECH'!$E:$E)="Storage",DD$4*$BF43,"")</f>
        <v>6.905E-2</v>
      </c>
      <c r="DE43" s="8">
        <f>IF(_xlfn.XLOOKUP($B43,'ELC TECH'!$H:$H,'ELC TECH'!$E:$E)="Storage",DE$4*$BF43,"")</f>
        <v>1.6000000000000001E-3</v>
      </c>
      <c r="DF43" s="8">
        <f>IF(_xlfn.XLOOKUP($B43,'ELC TECH'!$H:$H,'ELC TECH'!$E:$E)="Storage",DF$4*$BF43,"")</f>
        <v>4.8750000000000002E-2</v>
      </c>
      <c r="DG43" s="8">
        <f>IF(_xlfn.XLOOKUP($B43,'ELC TECH'!$H:$H,'ELC TECH'!$E:$E)="Storage",DG$4*$BF43,"")</f>
        <v>5.4350000000000002E-2</v>
      </c>
      <c r="DH43" s="8">
        <f>IF(_xlfn.XLOOKUP($B43,'ELC TECH'!$H:$H,'ELC TECH'!$E:$E)="Storage",DH$4*$BF43,"")</f>
        <v>6.2649999999999997E-2</v>
      </c>
      <c r="DI43" s="8">
        <f>IF(_xlfn.XLOOKUP($B43,'ELC TECH'!$H:$H,'ELC TECH'!$E:$E)="Storage",DI$4*$BF43,"")</f>
        <v>1.3500000000000001E-3</v>
      </c>
    </row>
    <row r="44" spans="2:113" x14ac:dyDescent="0.25">
      <c r="B44" t="str">
        <f>IF('ELC TECH'!I37=0,"*",'ELC TECH'!H37)</f>
        <v>ELCSTGGRDPSH12HC920</v>
      </c>
      <c r="C44" t="str">
        <f>IF(_xlfn.XLOOKUP(_xlfn.XLOOKUP(B44,'ELC TECH'!$H:$H,'ELC TECH'!$G:$G),List!C:C,List!B:B)="STG",D44,"ELC"&amp;_xlfn.XLOOKUP(_xlfn.XLOOKUP(B44,'ELC TECH'!H:H,'ELC TECH'!G:G),List!C:C,List!B:B))</f>
        <v>CELC</v>
      </c>
      <c r="D44" t="s">
        <v>544</v>
      </c>
      <c r="E44">
        <f>_xlfn.XLOOKUP(B44,'ELC TECH'!H:H,'ELC TECH'!D:D)</f>
        <v>2020</v>
      </c>
      <c r="F44">
        <f>_xlfn.XLOOKUP(B44,'ELC TECH'!H:H,'ELC TECH'!K:K)</f>
        <v>100</v>
      </c>
      <c r="G44">
        <f t="shared" si="5"/>
        <v>31.535999999999998</v>
      </c>
      <c r="H44">
        <f>IF(_xlfn.XLOOKUP(B44,'ELC TECH'!$H:$H,'ELC TECH'!$E:$E)="Storage",0.3,IF(_xlfn.XLOOKUP(B44,'ELC TECH'!$H:$H,'ELC TECH'!$E:$E)="Baseload",0.9,IF(_xlfn.XLOOKUP(B44,'ELC TECH'!$H:$H,'ELC TECH'!$E:$E)="Non Dispatchable",0.05,IF(_xlfn.XLOOKUP(B44,'ELC TECH'!$H:$H,'ELC TECH'!$E:$E)="Dispatchable",0.9,1))))</f>
        <v>0.3</v>
      </c>
      <c r="I44" s="13">
        <f>IF(_xlfn.XLOOKUP(B44,'ELC TECH'!H:H,'ELC TECH'!J:J)="","",_xlfn.XLOOKUP(B44,'ELC TECH'!H:H,'ELC TECH'!J:J))</f>
        <v>0</v>
      </c>
      <c r="J44" s="12" t="str">
        <f>IF(_xlfn.XLOOKUP($B44,'ELC TECH'!$H:$H,'ELC TECH'!$E:$E)="Storage","",IF(_xlfn.XLOOKUP($B44,'ELC TECH'!$H:$H,'ELC TECH'!AK:AK)="",1,_xlfn.XLOOKUP($B44,'ELC TECH'!$H:$H,'ELC TECH'!AK:AK)))</f>
        <v/>
      </c>
      <c r="K44" s="12" t="str">
        <f>IF(_xlfn.XLOOKUP($B44,'ELC TECH'!$H:$H,'ELC TECH'!$E:$E)="Storage","",IF(_xlfn.XLOOKUP($B44,'ELC TECH'!$H:$H,'ELC TECH'!AL:AL)="",1,_xlfn.XLOOKUP($B44,'ELC TECH'!$H:$H,'ELC TECH'!AL:AL)))</f>
        <v/>
      </c>
      <c r="L44" s="12" t="str">
        <f>IF(_xlfn.XLOOKUP($B44,'ELC TECH'!$H:$H,'ELC TECH'!$E:$E)="Storage","",IF(_xlfn.XLOOKUP($B44,'ELC TECH'!$H:$H,'ELC TECH'!AM:AM)="",1,_xlfn.XLOOKUP($B44,'ELC TECH'!$H:$H,'ELC TECH'!AM:AM)))</f>
        <v/>
      </c>
      <c r="M44" s="12" t="str">
        <f>IF(_xlfn.XLOOKUP($B44,'ELC TECH'!$H:$H,'ELC TECH'!$E:$E)="Storage","",IF(_xlfn.XLOOKUP($B44,'ELC TECH'!$H:$H,'ELC TECH'!AN:AN)="",1,_xlfn.XLOOKUP($B44,'ELC TECH'!$H:$H,'ELC TECH'!AN:AN)))</f>
        <v/>
      </c>
      <c r="N44" s="12" t="str">
        <f>IF(_xlfn.XLOOKUP($B44,'ELC TECH'!$H:$H,'ELC TECH'!$E:$E)="Storage","",IF(_xlfn.XLOOKUP($B44,'ELC TECH'!$H:$H,'ELC TECH'!AO:AO)="",1,_xlfn.XLOOKUP($B44,'ELC TECH'!$H:$H,'ELC TECH'!AO:AO)))</f>
        <v/>
      </c>
      <c r="O44" s="12" t="str">
        <f>IF(_xlfn.XLOOKUP($B44,'ELC TECH'!$H:$H,'ELC TECH'!$E:$E)="Storage","",IF(_xlfn.XLOOKUP($B44,'ELC TECH'!$H:$H,'ELC TECH'!AP:AP)="",1,_xlfn.XLOOKUP($B44,'ELC TECH'!$H:$H,'ELC TECH'!AP:AP)))</f>
        <v/>
      </c>
      <c r="P44" s="12" t="str">
        <f>IF(_xlfn.XLOOKUP($B44,'ELC TECH'!$H:$H,'ELC TECH'!$E:$E)="Storage","",IF(_xlfn.XLOOKUP($B44,'ELC TECH'!$H:$H,'ELC TECH'!AQ:AQ)="",1,_xlfn.XLOOKUP($B44,'ELC TECH'!$H:$H,'ELC TECH'!AQ:AQ)))</f>
        <v/>
      </c>
      <c r="Q44" s="12" t="str">
        <f>IF(_xlfn.XLOOKUP($B44,'ELC TECH'!$H:$H,'ELC TECH'!$E:$E)="Storage","",IF(_xlfn.XLOOKUP($B44,'ELC TECH'!$H:$H,'ELC TECH'!AR:AR)="",1,_xlfn.XLOOKUP($B44,'ELC TECH'!$H:$H,'ELC TECH'!AR:AR)))</f>
        <v/>
      </c>
      <c r="R44" s="12">
        <f>IF(_xlfn.XLOOKUP($B44,'ELC TECH'!$H:$H,'ELC TECH'!$E:$E)&lt;&gt;"Storage","",IF(_xlfn.XLOOKUP($B44,'ELC TECH'!$H:$H,'ELC TECH'!AK:AK)="",0.8,_xlfn.XLOOKUP($B44,'ELC TECH'!$H:$H,'ELC TECH'!AK:AK)))</f>
        <v>0.8</v>
      </c>
      <c r="S44" s="12">
        <f>IF(_xlfn.XLOOKUP($B44,'ELC TECH'!$H:$H,'ELC TECH'!$E:$E)&lt;&gt;"Storage","",IF(_xlfn.XLOOKUP($B44,'ELC TECH'!$H:$H,'ELC TECH'!AL:AL)="",0.8,_xlfn.XLOOKUP($B44,'ELC TECH'!$H:$H,'ELC TECH'!AL:AL)))</f>
        <v>0.8</v>
      </c>
      <c r="T44" s="12">
        <f>IF(_xlfn.XLOOKUP($B44,'ELC TECH'!$H:$H,'ELC TECH'!$E:$E)&lt;&gt;"Storage","",IF(_xlfn.XLOOKUP($B44,'ELC TECH'!$H:$H,'ELC TECH'!AM:AM)="",0.8,_xlfn.XLOOKUP($B44,'ELC TECH'!$H:$H,'ELC TECH'!AM:AM)))</f>
        <v>0.8</v>
      </c>
      <c r="U44" s="12">
        <f>IF(_xlfn.XLOOKUP($B44,'ELC TECH'!$H:$H,'ELC TECH'!$E:$E)&lt;&gt;"Storage","",IF(_xlfn.XLOOKUP($B44,'ELC TECH'!$H:$H,'ELC TECH'!AN:AN)="",0.8,_xlfn.XLOOKUP($B44,'ELC TECH'!$H:$H,'ELC TECH'!AN:AN)))</f>
        <v>0.8</v>
      </c>
      <c r="V44" s="12">
        <f>IF(_xlfn.XLOOKUP($B44,'ELC TECH'!$H:$H,'ELC TECH'!$E:$E)&lt;&gt;"Storage","",IF(_xlfn.XLOOKUP($B44,'ELC TECH'!$H:$H,'ELC TECH'!AO:AO)="",0.8,_xlfn.XLOOKUP($B44,'ELC TECH'!$H:$H,'ELC TECH'!AO:AO)))</f>
        <v>0.8</v>
      </c>
      <c r="W44" s="12">
        <f>IF(_xlfn.XLOOKUP($B44,'ELC TECH'!$H:$H,'ELC TECH'!$E:$E)&lt;&gt;"Storage","",IF(_xlfn.XLOOKUP($B44,'ELC TECH'!$H:$H,'ELC TECH'!AP:AP)="",0.8,_xlfn.XLOOKUP($B44,'ELC TECH'!$H:$H,'ELC TECH'!AP:AP)))</f>
        <v>0.8</v>
      </c>
      <c r="X44" s="12">
        <f>IF(_xlfn.XLOOKUP($B44,'ELC TECH'!$H:$H,'ELC TECH'!$E:$E)&lt;&gt;"Storage","",IF(_xlfn.XLOOKUP($B44,'ELC TECH'!$H:$H,'ELC TECH'!AQ:AQ)="",0.8,_xlfn.XLOOKUP($B44,'ELC TECH'!$H:$H,'ELC TECH'!AQ:AQ)))</f>
        <v>0.8</v>
      </c>
      <c r="Y44" s="12">
        <f>IF(_xlfn.XLOOKUP($B44,'ELC TECH'!$H:$H,'ELC TECH'!$E:$E)&lt;&gt;"Storage","",IF(_xlfn.XLOOKUP($B44,'ELC TECH'!$H:$H,'ELC TECH'!AR:AR)="",0.8,_xlfn.XLOOKUP($B44,'ELC TECH'!$H:$H,'ELC TECH'!AR:AR)))</f>
        <v>0.8</v>
      </c>
      <c r="Z44" s="15">
        <f>_xlfn.XLOOKUP($B44,'ELC TECH'!$H:$H,'ELC TECH'!M:M)</f>
        <v>3708.5881563782859</v>
      </c>
      <c r="AA44" s="15">
        <f>_xlfn.XLOOKUP($B44,'ELC TECH'!$H:$H,'ELC TECH'!N:N)</f>
        <v>3708.5881563782859</v>
      </c>
      <c r="AB44" s="15">
        <f>_xlfn.XLOOKUP($B44,'ELC TECH'!$H:$H,'ELC TECH'!O:O)</f>
        <v>3708.5881563782859</v>
      </c>
      <c r="AC44" s="15">
        <f>_xlfn.XLOOKUP($B44,'ELC TECH'!$H:$H,'ELC TECH'!P:P)</f>
        <v>3708.5881563782859</v>
      </c>
      <c r="AD44" s="15">
        <f>_xlfn.XLOOKUP($B44,'ELC TECH'!$H:$H,'ELC TECH'!Q:Q)</f>
        <v>3708.5881563782859</v>
      </c>
      <c r="AE44" s="15">
        <f>_xlfn.XLOOKUP($B44,'ELC TECH'!$H:$H,'ELC TECH'!R:R)</f>
        <v>3708.5881563782859</v>
      </c>
      <c r="AF44" s="15">
        <f>_xlfn.XLOOKUP($B44,'ELC TECH'!$H:$H,'ELC TECH'!S:S)</f>
        <v>3708.5881563782859</v>
      </c>
      <c r="AG44" s="15">
        <f>_xlfn.XLOOKUP($B44,'ELC TECH'!$H:$H,'ELC TECH'!T:T)</f>
        <v>3708.5881563782859</v>
      </c>
      <c r="AH44" s="15">
        <f>_xlfn.XLOOKUP($B44,'ELC TECH'!$H:$H,'ELC TECH'!U:U)</f>
        <v>21.100097091380029</v>
      </c>
      <c r="AI44" s="15">
        <f>_xlfn.XLOOKUP($B44,'ELC TECH'!$H:$H,'ELC TECH'!V:V)</f>
        <v>21.100097091380029</v>
      </c>
      <c r="AJ44" s="15">
        <f>_xlfn.XLOOKUP($B44,'ELC TECH'!$H:$H,'ELC TECH'!W:W)</f>
        <v>21.100097091380029</v>
      </c>
      <c r="AK44" s="15">
        <f>_xlfn.XLOOKUP($B44,'ELC TECH'!$H:$H,'ELC TECH'!X:X)</f>
        <v>21.100097091380029</v>
      </c>
      <c r="AL44" s="15">
        <f>_xlfn.XLOOKUP($B44,'ELC TECH'!$H:$H,'ELC TECH'!Y:Y)</f>
        <v>21.100097091380029</v>
      </c>
      <c r="AM44" s="15">
        <f>_xlfn.XLOOKUP($B44,'ELC TECH'!$H:$H,'ELC TECH'!Z:Z)</f>
        <v>21.100097091380029</v>
      </c>
      <c r="AN44" s="15">
        <f>_xlfn.XLOOKUP($B44,'ELC TECH'!$H:$H,'ELC TECH'!AA:AA)</f>
        <v>21.100097091380029</v>
      </c>
      <c r="AO44" s="15">
        <f>_xlfn.XLOOKUP($B44,'ELC TECH'!$H:$H,'ELC TECH'!AB:AB)</f>
        <v>21.100097091380029</v>
      </c>
      <c r="AP44" s="15">
        <f>_xlfn.XLOOKUP($B44,'ELC TECH'!$H:$H,'ELC TECH'!AC:AC)</f>
        <v>0.1696149283872993</v>
      </c>
      <c r="AQ44" s="15">
        <f>_xlfn.XLOOKUP($B44,'ELC TECH'!$H:$H,'ELC TECH'!AD:AD)</f>
        <v>0.1696149283872993</v>
      </c>
      <c r="AR44" s="15">
        <f>_xlfn.XLOOKUP($B44,'ELC TECH'!$H:$H,'ELC TECH'!AE:AE)</f>
        <v>0.1696149283872993</v>
      </c>
      <c r="AS44" s="15">
        <f>_xlfn.XLOOKUP($B44,'ELC TECH'!$H:$H,'ELC TECH'!AF:AF)</f>
        <v>0.1696149283872993</v>
      </c>
      <c r="AT44" s="15">
        <f>_xlfn.XLOOKUP($B44,'ELC TECH'!$H:$H,'ELC TECH'!AG:AG)</f>
        <v>0.1696149283872993</v>
      </c>
      <c r="AU44" s="15">
        <f>_xlfn.XLOOKUP($B44,'ELC TECH'!$H:$H,'ELC TECH'!AH:AH)</f>
        <v>0.1696149283872993</v>
      </c>
      <c r="AV44" s="15">
        <f>_xlfn.XLOOKUP($B44,'ELC TECH'!$H:$H,'ELC TECH'!AI:AI)</f>
        <v>0.1696149283872993</v>
      </c>
      <c r="AW44" s="15">
        <f>_xlfn.XLOOKUP($B44,'ELC TECH'!$H:$H,'ELC TECH'!AJ:AJ)</f>
        <v>0.1696149283872993</v>
      </c>
      <c r="AX44" s="12" t="str">
        <f>IF(_xlfn.XLOOKUP($B44,'ELC TECH'!$H:$H,'ELC TECH'!$E:$E)="Storage","",_xlfn.XLOOKUP($B44,'ELC TECH'!$H:$H,'ELC TECH'!AS:AS))</f>
        <v/>
      </c>
      <c r="AY44" s="12" t="str">
        <f>IF(_xlfn.XLOOKUP($B44,'ELC TECH'!$H:$H,'ELC TECH'!$E:$E)="Storage","",_xlfn.XLOOKUP($B44,'ELC TECH'!$H:$H,'ELC TECH'!AT:AT))</f>
        <v/>
      </c>
      <c r="AZ44" s="12" t="str">
        <f>IF(_xlfn.XLOOKUP($B44,'ELC TECH'!$H:$H,'ELC TECH'!$E:$E)="Storage","",_xlfn.XLOOKUP($B44,'ELC TECH'!$H:$H,'ELC TECH'!AU:AU))</f>
        <v/>
      </c>
      <c r="BA44" s="12" t="str">
        <f>IF(_xlfn.XLOOKUP($B44,'ELC TECH'!$H:$H,'ELC TECH'!$E:$E)="Storage","",_xlfn.XLOOKUP($B44,'ELC TECH'!$H:$H,'ELC TECH'!AV:AV))</f>
        <v/>
      </c>
      <c r="BB44" s="12" t="str">
        <f>IF(_xlfn.XLOOKUP($B44,'ELC TECH'!$H:$H,'ELC TECH'!$E:$E)="Storage","",_xlfn.XLOOKUP($B44,'ELC TECH'!$H:$H,'ELC TECH'!AW:AW))</f>
        <v/>
      </c>
      <c r="BC44" s="12" t="str">
        <f>IF(_xlfn.XLOOKUP($B44,'ELC TECH'!$H:$H,'ELC TECH'!$E:$E)="Storage","",_xlfn.XLOOKUP($B44,'ELC TECH'!$H:$H,'ELC TECH'!AX:AX))</f>
        <v/>
      </c>
      <c r="BD44" s="12" t="str">
        <f>IF(_xlfn.XLOOKUP($B44,'ELC TECH'!$H:$H,'ELC TECH'!$E:$E)="Storage","",_xlfn.XLOOKUP($B44,'ELC TECH'!$H:$H,'ELC TECH'!AY:AY))</f>
        <v/>
      </c>
      <c r="BE44" s="12" t="str">
        <f>IF(_xlfn.XLOOKUP($B44,'ELC TECH'!$H:$H,'ELC TECH'!$E:$E)="Storage","",_xlfn.XLOOKUP($B44,'ELC TECH'!$H:$H,'ELC TECH'!AZ:AZ))</f>
        <v/>
      </c>
      <c r="BF44" s="12">
        <f>IF(_xlfn.XLOOKUP($B44,'ELC TECH'!$H:$H,'ELC TECH'!$E:$E)="Storage",_xlfn.XLOOKUP($B44,'ELC TECH'!$H:$H,'ELC TECH'!AS:AS),"")</f>
        <v>0.5</v>
      </c>
      <c r="BG44" s="12">
        <f>IF(_xlfn.XLOOKUP($B44,'ELC TECH'!$H:$H,'ELC TECH'!$E:$E)="Storage",_xlfn.XLOOKUP($B44,'ELC TECH'!$H:$H,'ELC TECH'!AT:AT),"")</f>
        <v>0.5</v>
      </c>
      <c r="BH44" s="12">
        <f>IF(_xlfn.XLOOKUP($B44,'ELC TECH'!$H:$H,'ELC TECH'!$E:$E)="Storage",_xlfn.XLOOKUP($B44,'ELC TECH'!$H:$H,'ELC TECH'!AU:AU),"")</f>
        <v>0.5</v>
      </c>
      <c r="BI44" s="12">
        <f>IF(_xlfn.XLOOKUP($B44,'ELC TECH'!$H:$H,'ELC TECH'!$E:$E)="Storage",_xlfn.XLOOKUP($B44,'ELC TECH'!$H:$H,'ELC TECH'!AV:AV),"")</f>
        <v>0.5</v>
      </c>
      <c r="BJ44" s="12">
        <f>IF(_xlfn.XLOOKUP($B44,'ELC TECH'!$H:$H,'ELC TECH'!$E:$E)="Storage",_xlfn.XLOOKUP($B44,'ELC TECH'!$H:$H,'ELC TECH'!AW:AW),"")</f>
        <v>0.5</v>
      </c>
      <c r="BK44" s="12">
        <f>IF(_xlfn.XLOOKUP($B44,'ELC TECH'!$H:$H,'ELC TECH'!$E:$E)="Storage",_xlfn.XLOOKUP($B44,'ELC TECH'!$H:$H,'ELC TECH'!AX:AX),"")</f>
        <v>0.5</v>
      </c>
      <c r="BL44" s="12">
        <f>IF(_xlfn.XLOOKUP($B44,'ELC TECH'!$H:$H,'ELC TECH'!$E:$E)="Storage",_xlfn.XLOOKUP($B44,'ELC TECH'!$H:$H,'ELC TECH'!AY:AY),"")</f>
        <v>0.5</v>
      </c>
      <c r="BM44" s="12">
        <f>IF(_xlfn.XLOOKUP($B44,'ELC TECH'!$H:$H,'ELC TECH'!$E:$E)="Storage",_xlfn.XLOOKUP($B44,'ELC TECH'!$H:$H,'ELC TECH'!AZ:AZ),"")</f>
        <v>0.5</v>
      </c>
      <c r="BN44" s="8" t="str">
        <f>IF(_xlfn.XLOOKUP($B44,'ELC TECH'!$H:$H,'ELC TECH'!$E:$E)="Non Dispatchable",IFERROR($AX44*_xlfn.XLOOKUP($C44,$BM$1:$BM$3,BN$1:BN$3)/SUMPRODUCT(_xlfn.XLOOKUP($C44,$BM$1:$BM$3,$BN$1:$BY$3),$BN$4:$BY$4),""),
"")</f>
        <v/>
      </c>
      <c r="BO44" s="8" t="str">
        <f>IF(_xlfn.XLOOKUP($B44,'ELC TECH'!$H:$H,'ELC TECH'!$E:$E)="Non Dispatchable",IFERROR($AX44*_xlfn.XLOOKUP($C44,$BM$1:$BM$3,BO$1:BO$3)/SUMPRODUCT(_xlfn.XLOOKUP($C44,$BM$1:$BM$3,$BN$1:$BY$3),$BN$4:$BY$4),""),
"")</f>
        <v/>
      </c>
      <c r="BP44" s="8" t="str">
        <f>IF(_xlfn.XLOOKUP($B44,'ELC TECH'!$H:$H,'ELC TECH'!$E:$E)="Non Dispatchable",IFERROR($AX44*_xlfn.XLOOKUP($C44,$BM$1:$BM$3,BP$1:BP$3)/SUMPRODUCT(_xlfn.XLOOKUP($C44,$BM$1:$BM$3,$BN$1:$BY$3),$BN$4:$BY$4),""),
"")</f>
        <v/>
      </c>
      <c r="BQ44" s="8" t="str">
        <f>IF(_xlfn.XLOOKUP($B44,'ELC TECH'!$H:$H,'ELC TECH'!$E:$E)="Non Dispatchable",IFERROR($AX44*_xlfn.XLOOKUP($C44,$BM$1:$BM$3,BQ$1:BQ$3)/SUMPRODUCT(_xlfn.XLOOKUP($C44,$BM$1:$BM$3,$BN$1:$BY$3),$BN$4:$BY$4),""),
"")</f>
        <v/>
      </c>
      <c r="BR44" s="8" t="str">
        <f>IF(_xlfn.XLOOKUP($B44,'ELC TECH'!$H:$H,'ELC TECH'!$E:$E)="Non Dispatchable",IFERROR($AX44*_xlfn.XLOOKUP($C44,$BM$1:$BM$3,BR$1:BR$3)/SUMPRODUCT(_xlfn.XLOOKUP($C44,$BM$1:$BM$3,$BN$1:$BY$3),$BN$4:$BY$4),""),
"")</f>
        <v/>
      </c>
      <c r="BS44" s="8" t="str">
        <f>IF(_xlfn.XLOOKUP($B44,'ELC TECH'!$H:$H,'ELC TECH'!$E:$E)="Non Dispatchable",IFERROR($AX44*_xlfn.XLOOKUP($C44,$BM$1:$BM$3,BS$1:BS$3)/SUMPRODUCT(_xlfn.XLOOKUP($C44,$BM$1:$BM$3,$BN$1:$BY$3),$BN$4:$BY$4),""),
"")</f>
        <v/>
      </c>
      <c r="BT44" s="8" t="str">
        <f>IF(_xlfn.XLOOKUP($B44,'ELC TECH'!$H:$H,'ELC TECH'!$E:$E)="Non Dispatchable",IFERROR($AX44*_xlfn.XLOOKUP($C44,$BM$1:$BM$3,BT$1:BT$3)/SUMPRODUCT(_xlfn.XLOOKUP($C44,$BM$1:$BM$3,$BN$1:$BY$3),$BN$4:$BY$4),""),
"")</f>
        <v/>
      </c>
      <c r="BU44" s="8" t="str">
        <f>IF(_xlfn.XLOOKUP($B44,'ELC TECH'!$H:$H,'ELC TECH'!$E:$E)="Non Dispatchable",IFERROR($AX44*_xlfn.XLOOKUP($C44,$BM$1:$BM$3,BU$1:BU$3)/SUMPRODUCT(_xlfn.XLOOKUP($C44,$BM$1:$BM$3,$BN$1:$BY$3),$BN$4:$BY$4),""),
"")</f>
        <v/>
      </c>
      <c r="BV44" s="8" t="str">
        <f>IF(_xlfn.XLOOKUP($B44,'ELC TECH'!$H:$H,'ELC TECH'!$E:$E)="Non Dispatchable",IFERROR($AX44*_xlfn.XLOOKUP($C44,$BM$1:$BM$3,BV$1:BV$3)/SUMPRODUCT(_xlfn.XLOOKUP($C44,$BM$1:$BM$3,$BN$1:$BY$3),$BN$4:$BY$4),""),
"")</f>
        <v/>
      </c>
      <c r="BW44" s="8" t="str">
        <f>IF(_xlfn.XLOOKUP($B44,'ELC TECH'!$H:$H,'ELC TECH'!$E:$E)="Non Dispatchable",IFERROR($AX44*_xlfn.XLOOKUP($C44,$BM$1:$BM$3,BW$1:BW$3)/SUMPRODUCT(_xlfn.XLOOKUP($C44,$BM$1:$BM$3,$BN$1:$BY$3),$BN$4:$BY$4),""),
"")</f>
        <v/>
      </c>
      <c r="BX44" s="8" t="str">
        <f>IF(_xlfn.XLOOKUP($B44,'ELC TECH'!$H:$H,'ELC TECH'!$E:$E)="Non Dispatchable",IFERROR($AX44*_xlfn.XLOOKUP($C44,$BM$1:$BM$3,BX$1:BX$3)/SUMPRODUCT(_xlfn.XLOOKUP($C44,$BM$1:$BM$3,$BN$1:$BY$3),$BN$4:$BY$4),""),
"")</f>
        <v/>
      </c>
      <c r="BY44" s="8" t="str">
        <f>IF(_xlfn.XLOOKUP($B44,'ELC TECH'!$H:$H,'ELC TECH'!$E:$E)="Non Dispatchable",IFERROR($AX44*_xlfn.XLOOKUP($C44,$BM$1:$BM$3,BY$1:BY$3)/SUMPRODUCT(_xlfn.XLOOKUP($C44,$BM$1:$BM$3,$BN$1:$BY$3),$BN$4:$BY$4),""),
"")</f>
        <v/>
      </c>
      <c r="BZ44" s="8" t="str">
        <f>IF(_xlfn.XLOOKUP($B44,'ELC TECH'!$H:$H,'ELC TECH'!$E:$E)="Non Dispatchable",IFERROR($AX44*_xlfn.XLOOKUP($C44,$BM$1:$BM$3,BZ$1:BZ$3)/SUMPRODUCT(_xlfn.XLOOKUP($C44,$BM$1:$BM$3,$BN$1:$BY$3),$BN$4:$BY$4),""),
"")</f>
        <v/>
      </c>
      <c r="CA44" s="8" t="str">
        <f>IF(_xlfn.XLOOKUP($B44,'ELC TECH'!$H:$H,'ELC TECH'!$E:$E)="Non Dispatchable",IFERROR($AX44*_xlfn.XLOOKUP($C44,$BM$1:$BM$3,CA$1:CA$3)/SUMPRODUCT(_xlfn.XLOOKUP($C44,$BM$1:$BM$3,$BN$1:$BY$3),$BN$4:$BY$4),""),
"")</f>
        <v/>
      </c>
      <c r="CB44" s="8" t="str">
        <f>IF(_xlfn.XLOOKUP($B44,'ELC TECH'!$H:$H,'ELC TECH'!$E:$E)="Non Dispatchable",IFERROR($AX44*_xlfn.XLOOKUP($C44,$BM$1:$BM$3,CB$1:CB$3)/SUMPRODUCT(_xlfn.XLOOKUP($C44,$BM$1:$BM$3,$BN$1:$BY$3),$BN$4:$BY$4),""),
"")</f>
        <v/>
      </c>
      <c r="CC44" s="8" t="str">
        <f>IF(_xlfn.XLOOKUP($B44,'ELC TECH'!$H:$H,'ELC TECH'!$E:$E)="Non Dispatchable",IFERROR($AX44*_xlfn.XLOOKUP($C44,$BM$1:$BM$3,CC$1:CC$3)/SUMPRODUCT(_xlfn.XLOOKUP($C44,$BM$1:$BM$3,$BN$1:$BY$3),$BN$4:$BY$4),""),
"")</f>
        <v/>
      </c>
      <c r="CD44" s="8" t="str">
        <f>IF(_xlfn.XLOOKUP($B44,'ELC TECH'!$H:$H,'ELC TECH'!$E:$E)="Non Dispatchable",IFERROR($AX44*_xlfn.XLOOKUP($C44,$BM$1:$BM$3,CD$1:CD$3)/SUMPRODUCT(_xlfn.XLOOKUP($C44,$BM$1:$BM$3,$BN$1:$BY$3),$BN$4:$BY$4),""),
"")</f>
        <v/>
      </c>
      <c r="CE44" s="8" t="str">
        <f>IF(_xlfn.XLOOKUP($B44,'ELC TECH'!$H:$H,'ELC TECH'!$E:$E)="Non Dispatchable",IFERROR($AX44*_xlfn.XLOOKUP($C44,$BM$1:$BM$3,CE$1:CE$3)/SUMPRODUCT(_xlfn.XLOOKUP($C44,$BM$1:$BM$3,$BN$1:$BY$3),$BN$4:$BY$4),""),
"")</f>
        <v/>
      </c>
      <c r="CF44" s="8" t="str">
        <f>IF(_xlfn.XLOOKUP($B44,'ELC TECH'!$H:$H,'ELC TECH'!$E:$E)="Non Dispatchable",IFERROR($AX44*_xlfn.XLOOKUP($C44,$BM$1:$BM$3,CF$1:CF$3)/SUMPRODUCT(_xlfn.XLOOKUP($C44,$BM$1:$BM$3,$BN$1:$BY$3),$BN$4:$BY$4),""),
"")</f>
        <v/>
      </c>
      <c r="CG44" s="8" t="str">
        <f>IF(_xlfn.XLOOKUP($B44,'ELC TECH'!$H:$H,'ELC TECH'!$E:$E)="Non Dispatchable",IFERROR($AX44*_xlfn.XLOOKUP($C44,$BM$1:$BM$3,CG$1:CG$3)/SUMPRODUCT(_xlfn.XLOOKUP($C44,$BM$1:$BM$3,$BN$1:$BY$3),$BN$4:$BY$4),""),
"")</f>
        <v/>
      </c>
      <c r="CH44" s="8" t="str">
        <f>IF(_xlfn.XLOOKUP($B44,'ELC TECH'!$H:$H,'ELC TECH'!$E:$E)="Non Dispatchable",IFERROR($AX44*_xlfn.XLOOKUP($C44,$BM$1:$BM$3,CH$1:CH$3)/SUMPRODUCT(_xlfn.XLOOKUP($C44,$BM$1:$BM$3,$BN$1:$BY$3),$BN$4:$BY$4),""),
"")</f>
        <v/>
      </c>
      <c r="CI44" s="8" t="str">
        <f>IF(_xlfn.XLOOKUP($B44,'ELC TECH'!$H:$H,'ELC TECH'!$E:$E)="Non Dispatchable",IFERROR($AX44*_xlfn.XLOOKUP($C44,$BM$1:$BM$3,CI$1:CI$3)/SUMPRODUCT(_xlfn.XLOOKUP($C44,$BM$1:$BM$3,$BN$1:$BY$3),$BN$4:$BY$4),""),
"")</f>
        <v/>
      </c>
      <c r="CJ44" s="8" t="str">
        <f>IF(_xlfn.XLOOKUP($B44,'ELC TECH'!$H:$H,'ELC TECH'!$E:$E)="Non Dispatchable",IFERROR($AX44*_xlfn.XLOOKUP($C44,$BM$1:$BM$3,CJ$1:CJ$3)/SUMPRODUCT(_xlfn.XLOOKUP($C44,$BM$1:$BM$3,$BN$1:$BY$3),$BN$4:$BY$4),""),
"")</f>
        <v/>
      </c>
      <c r="CK44" s="8" t="str">
        <f>IF(_xlfn.XLOOKUP($B44,'ELC TECH'!$H:$H,'ELC TECH'!$E:$E)="Non Dispatchable",IFERROR($AX44*_xlfn.XLOOKUP($C44,$BM$1:$BM$3,CK$1:CK$3)/SUMPRODUCT(_xlfn.XLOOKUP($C44,$BM$1:$BM$3,$BN$1:$BY$3),$BN$4:$BY$4),""),
"")</f>
        <v/>
      </c>
      <c r="CL44" s="8">
        <f>IF(_xlfn.XLOOKUP($B44,'ELC TECH'!$H:$H,'ELC TECH'!$E:$E)="Storage",CL$4*$BF44,"")</f>
        <v>4.1099999999999998E-2</v>
      </c>
      <c r="CM44" s="8">
        <f>IF(_xlfn.XLOOKUP($B44,'ELC TECH'!$H:$H,'ELC TECH'!$E:$E)="Storage",CM$4*$BF44,"")</f>
        <v>4.7849999999999997E-2</v>
      </c>
      <c r="CN44" s="8">
        <f>IF(_xlfn.XLOOKUP($B44,'ELC TECH'!$H:$H,'ELC TECH'!$E:$E)="Storage",CN$4*$BF44,"")</f>
        <v>7.6600000000000001E-2</v>
      </c>
      <c r="CO44" s="8">
        <f>IF(_xlfn.XLOOKUP($B44,'ELC TECH'!$H:$H,'ELC TECH'!$E:$E)="Storage",CO$4*$BF44,"")</f>
        <v>1.6000000000000001E-3</v>
      </c>
      <c r="CP44" s="8">
        <f>IF(_xlfn.XLOOKUP($B44,'ELC TECH'!$H:$H,'ELC TECH'!$E:$E)="Storage",CP$4*$BF44,"")</f>
        <v>4.0750000000000001E-2</v>
      </c>
      <c r="CQ44" s="8">
        <f>IF(_xlfn.XLOOKUP($B44,'ELC TECH'!$H:$H,'ELC TECH'!$E:$E)="Storage",CQ$4*$BF44,"")</f>
        <v>5.4350000000000002E-2</v>
      </c>
      <c r="CR44" s="8">
        <f>IF(_xlfn.XLOOKUP($B44,'ELC TECH'!$H:$H,'ELC TECH'!$E:$E)="Storage",CR$4*$BF44,"")</f>
        <v>6.905E-2</v>
      </c>
      <c r="CS44" s="8">
        <f>IF(_xlfn.XLOOKUP($B44,'ELC TECH'!$H:$H,'ELC TECH'!$E:$E)="Storage",CS$4*$BF44,"")</f>
        <v>1.6000000000000001E-3</v>
      </c>
      <c r="CT44" s="8">
        <f>IF(_xlfn.XLOOKUP($B44,'ELC TECH'!$H:$H,'ELC TECH'!$E:$E)="Storage",CT$4*$BF44,"")</f>
        <v>4.8750000000000002E-2</v>
      </c>
      <c r="CU44" s="8">
        <f>IF(_xlfn.XLOOKUP($B44,'ELC TECH'!$H:$H,'ELC TECH'!$E:$E)="Storage",CU$4*$BF44,"")</f>
        <v>5.4350000000000002E-2</v>
      </c>
      <c r="CV44" s="8">
        <f>IF(_xlfn.XLOOKUP($B44,'ELC TECH'!$H:$H,'ELC TECH'!$E:$E)="Storage",CV$4*$BF44,"")</f>
        <v>6.2649999999999997E-2</v>
      </c>
      <c r="CW44" s="8">
        <f>IF(_xlfn.XLOOKUP($B44,'ELC TECH'!$H:$H,'ELC TECH'!$E:$E)="Storage",CW$4*$BF44,"")</f>
        <v>1.3500000000000001E-3</v>
      </c>
      <c r="CX44" s="8">
        <f>IF(_xlfn.XLOOKUP($B44,'ELC TECH'!$H:$H,'ELC TECH'!$E:$E)="Storage",CX$4*$BF44,"")</f>
        <v>4.1099999999999998E-2</v>
      </c>
      <c r="CY44" s="8">
        <f>IF(_xlfn.XLOOKUP($B44,'ELC TECH'!$H:$H,'ELC TECH'!$E:$E)="Storage",CY$4*$BF44,"")</f>
        <v>4.7849999999999997E-2</v>
      </c>
      <c r="CZ44" s="8">
        <f>IF(_xlfn.XLOOKUP($B44,'ELC TECH'!$H:$H,'ELC TECH'!$E:$E)="Storage",CZ$4*$BF44,"")</f>
        <v>7.6600000000000001E-2</v>
      </c>
      <c r="DA44" s="8">
        <f>IF(_xlfn.XLOOKUP($B44,'ELC TECH'!$H:$H,'ELC TECH'!$E:$E)="Storage",DA$4*$BF44,"")</f>
        <v>1.6000000000000001E-3</v>
      </c>
      <c r="DB44" s="8">
        <f>IF(_xlfn.XLOOKUP($B44,'ELC TECH'!$H:$H,'ELC TECH'!$E:$E)="Storage",DB$4*$BF44,"")</f>
        <v>4.0750000000000001E-2</v>
      </c>
      <c r="DC44" s="8">
        <f>IF(_xlfn.XLOOKUP($B44,'ELC TECH'!$H:$H,'ELC TECH'!$E:$E)="Storage",DC$4*$BF44,"")</f>
        <v>5.4350000000000002E-2</v>
      </c>
      <c r="DD44" s="8">
        <f>IF(_xlfn.XLOOKUP($B44,'ELC TECH'!$H:$H,'ELC TECH'!$E:$E)="Storage",DD$4*$BF44,"")</f>
        <v>6.905E-2</v>
      </c>
      <c r="DE44" s="8">
        <f>IF(_xlfn.XLOOKUP($B44,'ELC TECH'!$H:$H,'ELC TECH'!$E:$E)="Storage",DE$4*$BF44,"")</f>
        <v>1.6000000000000001E-3</v>
      </c>
      <c r="DF44" s="8">
        <f>IF(_xlfn.XLOOKUP($B44,'ELC TECH'!$H:$H,'ELC TECH'!$E:$E)="Storage",DF$4*$BF44,"")</f>
        <v>4.8750000000000002E-2</v>
      </c>
      <c r="DG44" s="8">
        <f>IF(_xlfn.XLOOKUP($B44,'ELC TECH'!$H:$H,'ELC TECH'!$E:$E)="Storage",DG$4*$BF44,"")</f>
        <v>5.4350000000000002E-2</v>
      </c>
      <c r="DH44" s="8">
        <f>IF(_xlfn.XLOOKUP($B44,'ELC TECH'!$H:$H,'ELC TECH'!$E:$E)="Storage",DH$4*$BF44,"")</f>
        <v>6.2649999999999997E-2</v>
      </c>
      <c r="DI44" s="8">
        <f>IF(_xlfn.XLOOKUP($B44,'ELC TECH'!$H:$H,'ELC TECH'!$E:$E)="Storage",DI$4*$BF44,"")</f>
        <v>1.3500000000000001E-3</v>
      </c>
    </row>
    <row r="45" spans="2:113" x14ac:dyDescent="0.25">
      <c r="B45" t="str">
        <f>IF('ELC TECH'!I38=0,"*",'ELC TECH'!H38)</f>
        <v>ELCSTGGRDPSH12HC1020</v>
      </c>
      <c r="C45" t="str">
        <f>IF(_xlfn.XLOOKUP(_xlfn.XLOOKUP(B45,'ELC TECH'!$H:$H,'ELC TECH'!$G:$G),List!C:C,List!B:B)="STG",D45,"ELC"&amp;_xlfn.XLOOKUP(_xlfn.XLOOKUP(B45,'ELC TECH'!H:H,'ELC TECH'!G:G),List!C:C,List!B:B))</f>
        <v>CELC</v>
      </c>
      <c r="D45" t="s">
        <v>544</v>
      </c>
      <c r="E45">
        <f>_xlfn.XLOOKUP(B45,'ELC TECH'!H:H,'ELC TECH'!D:D)</f>
        <v>2020</v>
      </c>
      <c r="F45">
        <f>_xlfn.XLOOKUP(B45,'ELC TECH'!H:H,'ELC TECH'!K:K)</f>
        <v>100</v>
      </c>
      <c r="G45">
        <f t="shared" si="5"/>
        <v>31.535999999999998</v>
      </c>
      <c r="H45">
        <f>IF(_xlfn.XLOOKUP(B45,'ELC TECH'!$H:$H,'ELC TECH'!$E:$E)="Storage",0.3,IF(_xlfn.XLOOKUP(B45,'ELC TECH'!$H:$H,'ELC TECH'!$E:$E)="Baseload",0.9,IF(_xlfn.XLOOKUP(B45,'ELC TECH'!$H:$H,'ELC TECH'!$E:$E)="Non Dispatchable",0.05,IF(_xlfn.XLOOKUP(B45,'ELC TECH'!$H:$H,'ELC TECH'!$E:$E)="Dispatchable",0.9,1))))</f>
        <v>0.3</v>
      </c>
      <c r="I45" s="13">
        <f>IF(_xlfn.XLOOKUP(B45,'ELC TECH'!H:H,'ELC TECH'!J:J)="","",_xlfn.XLOOKUP(B45,'ELC TECH'!H:H,'ELC TECH'!J:J))</f>
        <v>0</v>
      </c>
      <c r="J45" s="12" t="str">
        <f>IF(_xlfn.XLOOKUP($B45,'ELC TECH'!$H:$H,'ELC TECH'!$E:$E)="Storage","",IF(_xlfn.XLOOKUP($B45,'ELC TECH'!$H:$H,'ELC TECH'!AK:AK)="",1,_xlfn.XLOOKUP($B45,'ELC TECH'!$H:$H,'ELC TECH'!AK:AK)))</f>
        <v/>
      </c>
      <c r="K45" s="12" t="str">
        <f>IF(_xlfn.XLOOKUP($B45,'ELC TECH'!$H:$H,'ELC TECH'!$E:$E)="Storage","",IF(_xlfn.XLOOKUP($B45,'ELC TECH'!$H:$H,'ELC TECH'!AL:AL)="",1,_xlfn.XLOOKUP($B45,'ELC TECH'!$H:$H,'ELC TECH'!AL:AL)))</f>
        <v/>
      </c>
      <c r="L45" s="12" t="str">
        <f>IF(_xlfn.XLOOKUP($B45,'ELC TECH'!$H:$H,'ELC TECH'!$E:$E)="Storage","",IF(_xlfn.XLOOKUP($B45,'ELC TECH'!$H:$H,'ELC TECH'!AM:AM)="",1,_xlfn.XLOOKUP($B45,'ELC TECH'!$H:$H,'ELC TECH'!AM:AM)))</f>
        <v/>
      </c>
      <c r="M45" s="12" t="str">
        <f>IF(_xlfn.XLOOKUP($B45,'ELC TECH'!$H:$H,'ELC TECH'!$E:$E)="Storage","",IF(_xlfn.XLOOKUP($B45,'ELC TECH'!$H:$H,'ELC TECH'!AN:AN)="",1,_xlfn.XLOOKUP($B45,'ELC TECH'!$H:$H,'ELC TECH'!AN:AN)))</f>
        <v/>
      </c>
      <c r="N45" s="12" t="str">
        <f>IF(_xlfn.XLOOKUP($B45,'ELC TECH'!$H:$H,'ELC TECH'!$E:$E)="Storage","",IF(_xlfn.XLOOKUP($B45,'ELC TECH'!$H:$H,'ELC TECH'!AO:AO)="",1,_xlfn.XLOOKUP($B45,'ELC TECH'!$H:$H,'ELC TECH'!AO:AO)))</f>
        <v/>
      </c>
      <c r="O45" s="12" t="str">
        <f>IF(_xlfn.XLOOKUP($B45,'ELC TECH'!$H:$H,'ELC TECH'!$E:$E)="Storage","",IF(_xlfn.XLOOKUP($B45,'ELC TECH'!$H:$H,'ELC TECH'!AP:AP)="",1,_xlfn.XLOOKUP($B45,'ELC TECH'!$H:$H,'ELC TECH'!AP:AP)))</f>
        <v/>
      </c>
      <c r="P45" s="12" t="str">
        <f>IF(_xlfn.XLOOKUP($B45,'ELC TECH'!$H:$H,'ELC TECH'!$E:$E)="Storage","",IF(_xlfn.XLOOKUP($B45,'ELC TECH'!$H:$H,'ELC TECH'!AQ:AQ)="",1,_xlfn.XLOOKUP($B45,'ELC TECH'!$H:$H,'ELC TECH'!AQ:AQ)))</f>
        <v/>
      </c>
      <c r="Q45" s="12" t="str">
        <f>IF(_xlfn.XLOOKUP($B45,'ELC TECH'!$H:$H,'ELC TECH'!$E:$E)="Storage","",IF(_xlfn.XLOOKUP($B45,'ELC TECH'!$H:$H,'ELC TECH'!AR:AR)="",1,_xlfn.XLOOKUP($B45,'ELC TECH'!$H:$H,'ELC TECH'!AR:AR)))</f>
        <v/>
      </c>
      <c r="R45" s="12">
        <f>IF(_xlfn.XLOOKUP($B45,'ELC TECH'!$H:$H,'ELC TECH'!$E:$E)&lt;&gt;"Storage","",IF(_xlfn.XLOOKUP($B45,'ELC TECH'!$H:$H,'ELC TECH'!AK:AK)="",0.8,_xlfn.XLOOKUP($B45,'ELC TECH'!$H:$H,'ELC TECH'!AK:AK)))</f>
        <v>0.8</v>
      </c>
      <c r="S45" s="12">
        <f>IF(_xlfn.XLOOKUP($B45,'ELC TECH'!$H:$H,'ELC TECH'!$E:$E)&lt;&gt;"Storage","",IF(_xlfn.XLOOKUP($B45,'ELC TECH'!$H:$H,'ELC TECH'!AL:AL)="",0.8,_xlfn.XLOOKUP($B45,'ELC TECH'!$H:$H,'ELC TECH'!AL:AL)))</f>
        <v>0.8</v>
      </c>
      <c r="T45" s="12">
        <f>IF(_xlfn.XLOOKUP($B45,'ELC TECH'!$H:$H,'ELC TECH'!$E:$E)&lt;&gt;"Storage","",IF(_xlfn.XLOOKUP($B45,'ELC TECH'!$H:$H,'ELC TECH'!AM:AM)="",0.8,_xlfn.XLOOKUP($B45,'ELC TECH'!$H:$H,'ELC TECH'!AM:AM)))</f>
        <v>0.8</v>
      </c>
      <c r="U45" s="12">
        <f>IF(_xlfn.XLOOKUP($B45,'ELC TECH'!$H:$H,'ELC TECH'!$E:$E)&lt;&gt;"Storage","",IF(_xlfn.XLOOKUP($B45,'ELC TECH'!$H:$H,'ELC TECH'!AN:AN)="",0.8,_xlfn.XLOOKUP($B45,'ELC TECH'!$H:$H,'ELC TECH'!AN:AN)))</f>
        <v>0.8</v>
      </c>
      <c r="V45" s="12">
        <f>IF(_xlfn.XLOOKUP($B45,'ELC TECH'!$H:$H,'ELC TECH'!$E:$E)&lt;&gt;"Storage","",IF(_xlfn.XLOOKUP($B45,'ELC TECH'!$H:$H,'ELC TECH'!AO:AO)="",0.8,_xlfn.XLOOKUP($B45,'ELC TECH'!$H:$H,'ELC TECH'!AO:AO)))</f>
        <v>0.8</v>
      </c>
      <c r="W45" s="12">
        <f>IF(_xlfn.XLOOKUP($B45,'ELC TECH'!$H:$H,'ELC TECH'!$E:$E)&lt;&gt;"Storage","",IF(_xlfn.XLOOKUP($B45,'ELC TECH'!$H:$H,'ELC TECH'!AP:AP)="",0.8,_xlfn.XLOOKUP($B45,'ELC TECH'!$H:$H,'ELC TECH'!AP:AP)))</f>
        <v>0.8</v>
      </c>
      <c r="X45" s="12">
        <f>IF(_xlfn.XLOOKUP($B45,'ELC TECH'!$H:$H,'ELC TECH'!$E:$E)&lt;&gt;"Storage","",IF(_xlfn.XLOOKUP($B45,'ELC TECH'!$H:$H,'ELC TECH'!AQ:AQ)="",0.8,_xlfn.XLOOKUP($B45,'ELC TECH'!$H:$H,'ELC TECH'!AQ:AQ)))</f>
        <v>0.8</v>
      </c>
      <c r="Y45" s="12">
        <f>IF(_xlfn.XLOOKUP($B45,'ELC TECH'!$H:$H,'ELC TECH'!$E:$E)&lt;&gt;"Storage","",IF(_xlfn.XLOOKUP($B45,'ELC TECH'!$H:$H,'ELC TECH'!AR:AR)="",0.8,_xlfn.XLOOKUP($B45,'ELC TECH'!$H:$H,'ELC TECH'!AR:AR)))</f>
        <v>0.8</v>
      </c>
      <c r="Z45" s="15">
        <f>_xlfn.XLOOKUP($B45,'ELC TECH'!$H:$H,'ELC TECH'!M:M)</f>
        <v>3847.158971512988</v>
      </c>
      <c r="AA45" s="15">
        <f>_xlfn.XLOOKUP($B45,'ELC TECH'!$H:$H,'ELC TECH'!N:N)</f>
        <v>3847.158971512988</v>
      </c>
      <c r="AB45" s="15">
        <f>_xlfn.XLOOKUP($B45,'ELC TECH'!$H:$H,'ELC TECH'!O:O)</f>
        <v>3847.158971512988</v>
      </c>
      <c r="AC45" s="15">
        <f>_xlfn.XLOOKUP($B45,'ELC TECH'!$H:$H,'ELC TECH'!P:P)</f>
        <v>3847.158971512988</v>
      </c>
      <c r="AD45" s="15">
        <f>_xlfn.XLOOKUP($B45,'ELC TECH'!$H:$H,'ELC TECH'!Q:Q)</f>
        <v>3847.158971512988</v>
      </c>
      <c r="AE45" s="15">
        <f>_xlfn.XLOOKUP($B45,'ELC TECH'!$H:$H,'ELC TECH'!R:R)</f>
        <v>3847.158971512988</v>
      </c>
      <c r="AF45" s="15">
        <f>_xlfn.XLOOKUP($B45,'ELC TECH'!$H:$H,'ELC TECH'!S:S)</f>
        <v>3847.158971512988</v>
      </c>
      <c r="AG45" s="15">
        <f>_xlfn.XLOOKUP($B45,'ELC TECH'!$H:$H,'ELC TECH'!T:T)</f>
        <v>3847.158971512988</v>
      </c>
      <c r="AH45" s="15">
        <f>_xlfn.XLOOKUP($B45,'ELC TECH'!$H:$H,'ELC TECH'!U:U)</f>
        <v>21.100097091380029</v>
      </c>
      <c r="AI45" s="15">
        <f>_xlfn.XLOOKUP($B45,'ELC TECH'!$H:$H,'ELC TECH'!V:V)</f>
        <v>21.100097091380029</v>
      </c>
      <c r="AJ45" s="15">
        <f>_xlfn.XLOOKUP($B45,'ELC TECH'!$H:$H,'ELC TECH'!W:W)</f>
        <v>21.100097091380029</v>
      </c>
      <c r="AK45" s="15">
        <f>_xlfn.XLOOKUP($B45,'ELC TECH'!$H:$H,'ELC TECH'!X:X)</f>
        <v>21.100097091380029</v>
      </c>
      <c r="AL45" s="15">
        <f>_xlfn.XLOOKUP($B45,'ELC TECH'!$H:$H,'ELC TECH'!Y:Y)</f>
        <v>21.100097091380029</v>
      </c>
      <c r="AM45" s="15">
        <f>_xlfn.XLOOKUP($B45,'ELC TECH'!$H:$H,'ELC TECH'!Z:Z)</f>
        <v>21.100097091380029</v>
      </c>
      <c r="AN45" s="15">
        <f>_xlfn.XLOOKUP($B45,'ELC TECH'!$H:$H,'ELC TECH'!AA:AA)</f>
        <v>21.100097091380029</v>
      </c>
      <c r="AO45" s="15">
        <f>_xlfn.XLOOKUP($B45,'ELC TECH'!$H:$H,'ELC TECH'!AB:AB)</f>
        <v>21.100097091380029</v>
      </c>
      <c r="AP45" s="15">
        <f>_xlfn.XLOOKUP($B45,'ELC TECH'!$H:$H,'ELC TECH'!AC:AC)</f>
        <v>0.1696149283872993</v>
      </c>
      <c r="AQ45" s="15">
        <f>_xlfn.XLOOKUP($B45,'ELC TECH'!$H:$H,'ELC TECH'!AD:AD)</f>
        <v>0.1696149283872993</v>
      </c>
      <c r="AR45" s="15">
        <f>_xlfn.XLOOKUP($B45,'ELC TECH'!$H:$H,'ELC TECH'!AE:AE)</f>
        <v>0.1696149283872993</v>
      </c>
      <c r="AS45" s="15">
        <f>_xlfn.XLOOKUP($B45,'ELC TECH'!$H:$H,'ELC TECH'!AF:AF)</f>
        <v>0.1696149283872993</v>
      </c>
      <c r="AT45" s="15">
        <f>_xlfn.XLOOKUP($B45,'ELC TECH'!$H:$H,'ELC TECH'!AG:AG)</f>
        <v>0.1696149283872993</v>
      </c>
      <c r="AU45" s="15">
        <f>_xlfn.XLOOKUP($B45,'ELC TECH'!$H:$H,'ELC TECH'!AH:AH)</f>
        <v>0.1696149283872993</v>
      </c>
      <c r="AV45" s="15">
        <f>_xlfn.XLOOKUP($B45,'ELC TECH'!$H:$H,'ELC TECH'!AI:AI)</f>
        <v>0.1696149283872993</v>
      </c>
      <c r="AW45" s="15">
        <f>_xlfn.XLOOKUP($B45,'ELC TECH'!$H:$H,'ELC TECH'!AJ:AJ)</f>
        <v>0.1696149283872993</v>
      </c>
      <c r="AX45" s="12" t="str">
        <f>IF(_xlfn.XLOOKUP($B45,'ELC TECH'!$H:$H,'ELC TECH'!$E:$E)="Storage","",_xlfn.XLOOKUP($B45,'ELC TECH'!$H:$H,'ELC TECH'!AS:AS))</f>
        <v/>
      </c>
      <c r="AY45" s="12" t="str">
        <f>IF(_xlfn.XLOOKUP($B45,'ELC TECH'!$H:$H,'ELC TECH'!$E:$E)="Storage","",_xlfn.XLOOKUP($B45,'ELC TECH'!$H:$H,'ELC TECH'!AT:AT))</f>
        <v/>
      </c>
      <c r="AZ45" s="12" t="str">
        <f>IF(_xlfn.XLOOKUP($B45,'ELC TECH'!$H:$H,'ELC TECH'!$E:$E)="Storage","",_xlfn.XLOOKUP($B45,'ELC TECH'!$H:$H,'ELC TECH'!AU:AU))</f>
        <v/>
      </c>
      <c r="BA45" s="12" t="str">
        <f>IF(_xlfn.XLOOKUP($B45,'ELC TECH'!$H:$H,'ELC TECH'!$E:$E)="Storage","",_xlfn.XLOOKUP($B45,'ELC TECH'!$H:$H,'ELC TECH'!AV:AV))</f>
        <v/>
      </c>
      <c r="BB45" s="12" t="str">
        <f>IF(_xlfn.XLOOKUP($B45,'ELC TECH'!$H:$H,'ELC TECH'!$E:$E)="Storage","",_xlfn.XLOOKUP($B45,'ELC TECH'!$H:$H,'ELC TECH'!AW:AW))</f>
        <v/>
      </c>
      <c r="BC45" s="12" t="str">
        <f>IF(_xlfn.XLOOKUP($B45,'ELC TECH'!$H:$H,'ELC TECH'!$E:$E)="Storage","",_xlfn.XLOOKUP($B45,'ELC TECH'!$H:$H,'ELC TECH'!AX:AX))</f>
        <v/>
      </c>
      <c r="BD45" s="12" t="str">
        <f>IF(_xlfn.XLOOKUP($B45,'ELC TECH'!$H:$H,'ELC TECH'!$E:$E)="Storage","",_xlfn.XLOOKUP($B45,'ELC TECH'!$H:$H,'ELC TECH'!AY:AY))</f>
        <v/>
      </c>
      <c r="BE45" s="12" t="str">
        <f>IF(_xlfn.XLOOKUP($B45,'ELC TECH'!$H:$H,'ELC TECH'!$E:$E)="Storage","",_xlfn.XLOOKUP($B45,'ELC TECH'!$H:$H,'ELC TECH'!AZ:AZ))</f>
        <v/>
      </c>
      <c r="BF45" s="12">
        <f>IF(_xlfn.XLOOKUP($B45,'ELC TECH'!$H:$H,'ELC TECH'!$E:$E)="Storage",_xlfn.XLOOKUP($B45,'ELC TECH'!$H:$H,'ELC TECH'!AS:AS),"")</f>
        <v>0.5</v>
      </c>
      <c r="BG45" s="12">
        <f>IF(_xlfn.XLOOKUP($B45,'ELC TECH'!$H:$H,'ELC TECH'!$E:$E)="Storage",_xlfn.XLOOKUP($B45,'ELC TECH'!$H:$H,'ELC TECH'!AT:AT),"")</f>
        <v>0.5</v>
      </c>
      <c r="BH45" s="12">
        <f>IF(_xlfn.XLOOKUP($B45,'ELC TECH'!$H:$H,'ELC TECH'!$E:$E)="Storage",_xlfn.XLOOKUP($B45,'ELC TECH'!$H:$H,'ELC TECH'!AU:AU),"")</f>
        <v>0.5</v>
      </c>
      <c r="BI45" s="12">
        <f>IF(_xlfn.XLOOKUP($B45,'ELC TECH'!$H:$H,'ELC TECH'!$E:$E)="Storage",_xlfn.XLOOKUP($B45,'ELC TECH'!$H:$H,'ELC TECH'!AV:AV),"")</f>
        <v>0.5</v>
      </c>
      <c r="BJ45" s="12">
        <f>IF(_xlfn.XLOOKUP($B45,'ELC TECH'!$H:$H,'ELC TECH'!$E:$E)="Storage",_xlfn.XLOOKUP($B45,'ELC TECH'!$H:$H,'ELC TECH'!AW:AW),"")</f>
        <v>0.5</v>
      </c>
      <c r="BK45" s="12">
        <f>IF(_xlfn.XLOOKUP($B45,'ELC TECH'!$H:$H,'ELC TECH'!$E:$E)="Storage",_xlfn.XLOOKUP($B45,'ELC TECH'!$H:$H,'ELC TECH'!AX:AX),"")</f>
        <v>0.5</v>
      </c>
      <c r="BL45" s="12">
        <f>IF(_xlfn.XLOOKUP($B45,'ELC TECH'!$H:$H,'ELC TECH'!$E:$E)="Storage",_xlfn.XLOOKUP($B45,'ELC TECH'!$H:$H,'ELC TECH'!AY:AY),"")</f>
        <v>0.5</v>
      </c>
      <c r="BM45" s="12">
        <f>IF(_xlfn.XLOOKUP($B45,'ELC TECH'!$H:$H,'ELC TECH'!$E:$E)="Storage",_xlfn.XLOOKUP($B45,'ELC TECH'!$H:$H,'ELC TECH'!AZ:AZ),"")</f>
        <v>0.5</v>
      </c>
      <c r="BN45" s="8" t="str">
        <f>IF(_xlfn.XLOOKUP($B45,'ELC TECH'!$H:$H,'ELC TECH'!$E:$E)="Non Dispatchable",IFERROR($AX45*_xlfn.XLOOKUP($C45,$BM$1:$BM$3,BN$1:BN$3)/SUMPRODUCT(_xlfn.XLOOKUP($C45,$BM$1:$BM$3,$BN$1:$BY$3),$BN$4:$BY$4),""),
"")</f>
        <v/>
      </c>
      <c r="BO45" s="8" t="str">
        <f>IF(_xlfn.XLOOKUP($B45,'ELC TECH'!$H:$H,'ELC TECH'!$E:$E)="Non Dispatchable",IFERROR($AX45*_xlfn.XLOOKUP($C45,$BM$1:$BM$3,BO$1:BO$3)/SUMPRODUCT(_xlfn.XLOOKUP($C45,$BM$1:$BM$3,$BN$1:$BY$3),$BN$4:$BY$4),""),
"")</f>
        <v/>
      </c>
      <c r="BP45" s="8" t="str">
        <f>IF(_xlfn.XLOOKUP($B45,'ELC TECH'!$H:$H,'ELC TECH'!$E:$E)="Non Dispatchable",IFERROR($AX45*_xlfn.XLOOKUP($C45,$BM$1:$BM$3,BP$1:BP$3)/SUMPRODUCT(_xlfn.XLOOKUP($C45,$BM$1:$BM$3,$BN$1:$BY$3),$BN$4:$BY$4),""),
"")</f>
        <v/>
      </c>
      <c r="BQ45" s="8" t="str">
        <f>IF(_xlfn.XLOOKUP($B45,'ELC TECH'!$H:$H,'ELC TECH'!$E:$E)="Non Dispatchable",IFERROR($AX45*_xlfn.XLOOKUP($C45,$BM$1:$BM$3,BQ$1:BQ$3)/SUMPRODUCT(_xlfn.XLOOKUP($C45,$BM$1:$BM$3,$BN$1:$BY$3),$BN$4:$BY$4),""),
"")</f>
        <v/>
      </c>
      <c r="BR45" s="8" t="str">
        <f>IF(_xlfn.XLOOKUP($B45,'ELC TECH'!$H:$H,'ELC TECH'!$E:$E)="Non Dispatchable",IFERROR($AX45*_xlfn.XLOOKUP($C45,$BM$1:$BM$3,BR$1:BR$3)/SUMPRODUCT(_xlfn.XLOOKUP($C45,$BM$1:$BM$3,$BN$1:$BY$3),$BN$4:$BY$4),""),
"")</f>
        <v/>
      </c>
      <c r="BS45" s="8" t="str">
        <f>IF(_xlfn.XLOOKUP($B45,'ELC TECH'!$H:$H,'ELC TECH'!$E:$E)="Non Dispatchable",IFERROR($AX45*_xlfn.XLOOKUP($C45,$BM$1:$BM$3,BS$1:BS$3)/SUMPRODUCT(_xlfn.XLOOKUP($C45,$BM$1:$BM$3,$BN$1:$BY$3),$BN$4:$BY$4),""),
"")</f>
        <v/>
      </c>
      <c r="BT45" s="8" t="str">
        <f>IF(_xlfn.XLOOKUP($B45,'ELC TECH'!$H:$H,'ELC TECH'!$E:$E)="Non Dispatchable",IFERROR($AX45*_xlfn.XLOOKUP($C45,$BM$1:$BM$3,BT$1:BT$3)/SUMPRODUCT(_xlfn.XLOOKUP($C45,$BM$1:$BM$3,$BN$1:$BY$3),$BN$4:$BY$4),""),
"")</f>
        <v/>
      </c>
      <c r="BU45" s="8" t="str">
        <f>IF(_xlfn.XLOOKUP($B45,'ELC TECH'!$H:$H,'ELC TECH'!$E:$E)="Non Dispatchable",IFERROR($AX45*_xlfn.XLOOKUP($C45,$BM$1:$BM$3,BU$1:BU$3)/SUMPRODUCT(_xlfn.XLOOKUP($C45,$BM$1:$BM$3,$BN$1:$BY$3),$BN$4:$BY$4),""),
"")</f>
        <v/>
      </c>
      <c r="BV45" s="8" t="str">
        <f>IF(_xlfn.XLOOKUP($B45,'ELC TECH'!$H:$H,'ELC TECH'!$E:$E)="Non Dispatchable",IFERROR($AX45*_xlfn.XLOOKUP($C45,$BM$1:$BM$3,BV$1:BV$3)/SUMPRODUCT(_xlfn.XLOOKUP($C45,$BM$1:$BM$3,$BN$1:$BY$3),$BN$4:$BY$4),""),
"")</f>
        <v/>
      </c>
      <c r="BW45" s="8" t="str">
        <f>IF(_xlfn.XLOOKUP($B45,'ELC TECH'!$H:$H,'ELC TECH'!$E:$E)="Non Dispatchable",IFERROR($AX45*_xlfn.XLOOKUP($C45,$BM$1:$BM$3,BW$1:BW$3)/SUMPRODUCT(_xlfn.XLOOKUP($C45,$BM$1:$BM$3,$BN$1:$BY$3),$BN$4:$BY$4),""),
"")</f>
        <v/>
      </c>
      <c r="BX45" s="8" t="str">
        <f>IF(_xlfn.XLOOKUP($B45,'ELC TECH'!$H:$H,'ELC TECH'!$E:$E)="Non Dispatchable",IFERROR($AX45*_xlfn.XLOOKUP($C45,$BM$1:$BM$3,BX$1:BX$3)/SUMPRODUCT(_xlfn.XLOOKUP($C45,$BM$1:$BM$3,$BN$1:$BY$3),$BN$4:$BY$4),""),
"")</f>
        <v/>
      </c>
      <c r="BY45" s="8" t="str">
        <f>IF(_xlfn.XLOOKUP($B45,'ELC TECH'!$H:$H,'ELC TECH'!$E:$E)="Non Dispatchable",IFERROR($AX45*_xlfn.XLOOKUP($C45,$BM$1:$BM$3,BY$1:BY$3)/SUMPRODUCT(_xlfn.XLOOKUP($C45,$BM$1:$BM$3,$BN$1:$BY$3),$BN$4:$BY$4),""),
"")</f>
        <v/>
      </c>
      <c r="BZ45" s="8" t="str">
        <f>IF(_xlfn.XLOOKUP($B45,'ELC TECH'!$H:$H,'ELC TECH'!$E:$E)="Non Dispatchable",IFERROR($AX45*_xlfn.XLOOKUP($C45,$BM$1:$BM$3,BZ$1:BZ$3)/SUMPRODUCT(_xlfn.XLOOKUP($C45,$BM$1:$BM$3,$BN$1:$BY$3),$BN$4:$BY$4),""),
"")</f>
        <v/>
      </c>
      <c r="CA45" s="8" t="str">
        <f>IF(_xlfn.XLOOKUP($B45,'ELC TECH'!$H:$H,'ELC TECH'!$E:$E)="Non Dispatchable",IFERROR($AX45*_xlfn.XLOOKUP($C45,$BM$1:$BM$3,CA$1:CA$3)/SUMPRODUCT(_xlfn.XLOOKUP($C45,$BM$1:$BM$3,$BN$1:$BY$3),$BN$4:$BY$4),""),
"")</f>
        <v/>
      </c>
      <c r="CB45" s="8" t="str">
        <f>IF(_xlfn.XLOOKUP($B45,'ELC TECH'!$H:$H,'ELC TECH'!$E:$E)="Non Dispatchable",IFERROR($AX45*_xlfn.XLOOKUP($C45,$BM$1:$BM$3,CB$1:CB$3)/SUMPRODUCT(_xlfn.XLOOKUP($C45,$BM$1:$BM$3,$BN$1:$BY$3),$BN$4:$BY$4),""),
"")</f>
        <v/>
      </c>
      <c r="CC45" s="8" t="str">
        <f>IF(_xlfn.XLOOKUP($B45,'ELC TECH'!$H:$H,'ELC TECH'!$E:$E)="Non Dispatchable",IFERROR($AX45*_xlfn.XLOOKUP($C45,$BM$1:$BM$3,CC$1:CC$3)/SUMPRODUCT(_xlfn.XLOOKUP($C45,$BM$1:$BM$3,$BN$1:$BY$3),$BN$4:$BY$4),""),
"")</f>
        <v/>
      </c>
      <c r="CD45" s="8" t="str">
        <f>IF(_xlfn.XLOOKUP($B45,'ELC TECH'!$H:$H,'ELC TECH'!$E:$E)="Non Dispatchable",IFERROR($AX45*_xlfn.XLOOKUP($C45,$BM$1:$BM$3,CD$1:CD$3)/SUMPRODUCT(_xlfn.XLOOKUP($C45,$BM$1:$BM$3,$BN$1:$BY$3),$BN$4:$BY$4),""),
"")</f>
        <v/>
      </c>
      <c r="CE45" s="8" t="str">
        <f>IF(_xlfn.XLOOKUP($B45,'ELC TECH'!$H:$H,'ELC TECH'!$E:$E)="Non Dispatchable",IFERROR($AX45*_xlfn.XLOOKUP($C45,$BM$1:$BM$3,CE$1:CE$3)/SUMPRODUCT(_xlfn.XLOOKUP($C45,$BM$1:$BM$3,$BN$1:$BY$3),$BN$4:$BY$4),""),
"")</f>
        <v/>
      </c>
      <c r="CF45" s="8" t="str">
        <f>IF(_xlfn.XLOOKUP($B45,'ELC TECH'!$H:$H,'ELC TECH'!$E:$E)="Non Dispatchable",IFERROR($AX45*_xlfn.XLOOKUP($C45,$BM$1:$BM$3,CF$1:CF$3)/SUMPRODUCT(_xlfn.XLOOKUP($C45,$BM$1:$BM$3,$BN$1:$BY$3),$BN$4:$BY$4),""),
"")</f>
        <v/>
      </c>
      <c r="CG45" s="8" t="str">
        <f>IF(_xlfn.XLOOKUP($B45,'ELC TECH'!$H:$H,'ELC TECH'!$E:$E)="Non Dispatchable",IFERROR($AX45*_xlfn.XLOOKUP($C45,$BM$1:$BM$3,CG$1:CG$3)/SUMPRODUCT(_xlfn.XLOOKUP($C45,$BM$1:$BM$3,$BN$1:$BY$3),$BN$4:$BY$4),""),
"")</f>
        <v/>
      </c>
      <c r="CH45" s="8" t="str">
        <f>IF(_xlfn.XLOOKUP($B45,'ELC TECH'!$H:$H,'ELC TECH'!$E:$E)="Non Dispatchable",IFERROR($AX45*_xlfn.XLOOKUP($C45,$BM$1:$BM$3,CH$1:CH$3)/SUMPRODUCT(_xlfn.XLOOKUP($C45,$BM$1:$BM$3,$BN$1:$BY$3),$BN$4:$BY$4),""),
"")</f>
        <v/>
      </c>
      <c r="CI45" s="8" t="str">
        <f>IF(_xlfn.XLOOKUP($B45,'ELC TECH'!$H:$H,'ELC TECH'!$E:$E)="Non Dispatchable",IFERROR($AX45*_xlfn.XLOOKUP($C45,$BM$1:$BM$3,CI$1:CI$3)/SUMPRODUCT(_xlfn.XLOOKUP($C45,$BM$1:$BM$3,$BN$1:$BY$3),$BN$4:$BY$4),""),
"")</f>
        <v/>
      </c>
      <c r="CJ45" s="8" t="str">
        <f>IF(_xlfn.XLOOKUP($B45,'ELC TECH'!$H:$H,'ELC TECH'!$E:$E)="Non Dispatchable",IFERROR($AX45*_xlfn.XLOOKUP($C45,$BM$1:$BM$3,CJ$1:CJ$3)/SUMPRODUCT(_xlfn.XLOOKUP($C45,$BM$1:$BM$3,$BN$1:$BY$3),$BN$4:$BY$4),""),
"")</f>
        <v/>
      </c>
      <c r="CK45" s="8" t="str">
        <f>IF(_xlfn.XLOOKUP($B45,'ELC TECH'!$H:$H,'ELC TECH'!$E:$E)="Non Dispatchable",IFERROR($AX45*_xlfn.XLOOKUP($C45,$BM$1:$BM$3,CK$1:CK$3)/SUMPRODUCT(_xlfn.XLOOKUP($C45,$BM$1:$BM$3,$BN$1:$BY$3),$BN$4:$BY$4),""),
"")</f>
        <v/>
      </c>
      <c r="CL45" s="8">
        <f>IF(_xlfn.XLOOKUP($B45,'ELC TECH'!$H:$H,'ELC TECH'!$E:$E)="Storage",CL$4*$BF45,"")</f>
        <v>4.1099999999999998E-2</v>
      </c>
      <c r="CM45" s="8">
        <f>IF(_xlfn.XLOOKUP($B45,'ELC TECH'!$H:$H,'ELC TECH'!$E:$E)="Storage",CM$4*$BF45,"")</f>
        <v>4.7849999999999997E-2</v>
      </c>
      <c r="CN45" s="8">
        <f>IF(_xlfn.XLOOKUP($B45,'ELC TECH'!$H:$H,'ELC TECH'!$E:$E)="Storage",CN$4*$BF45,"")</f>
        <v>7.6600000000000001E-2</v>
      </c>
      <c r="CO45" s="8">
        <f>IF(_xlfn.XLOOKUP($B45,'ELC TECH'!$H:$H,'ELC TECH'!$E:$E)="Storage",CO$4*$BF45,"")</f>
        <v>1.6000000000000001E-3</v>
      </c>
      <c r="CP45" s="8">
        <f>IF(_xlfn.XLOOKUP($B45,'ELC TECH'!$H:$H,'ELC TECH'!$E:$E)="Storage",CP$4*$BF45,"")</f>
        <v>4.0750000000000001E-2</v>
      </c>
      <c r="CQ45" s="8">
        <f>IF(_xlfn.XLOOKUP($B45,'ELC TECH'!$H:$H,'ELC TECH'!$E:$E)="Storage",CQ$4*$BF45,"")</f>
        <v>5.4350000000000002E-2</v>
      </c>
      <c r="CR45" s="8">
        <f>IF(_xlfn.XLOOKUP($B45,'ELC TECH'!$H:$H,'ELC TECH'!$E:$E)="Storage",CR$4*$BF45,"")</f>
        <v>6.905E-2</v>
      </c>
      <c r="CS45" s="8">
        <f>IF(_xlfn.XLOOKUP($B45,'ELC TECH'!$H:$H,'ELC TECH'!$E:$E)="Storage",CS$4*$BF45,"")</f>
        <v>1.6000000000000001E-3</v>
      </c>
      <c r="CT45" s="8">
        <f>IF(_xlfn.XLOOKUP($B45,'ELC TECH'!$H:$H,'ELC TECH'!$E:$E)="Storage",CT$4*$BF45,"")</f>
        <v>4.8750000000000002E-2</v>
      </c>
      <c r="CU45" s="8">
        <f>IF(_xlfn.XLOOKUP($B45,'ELC TECH'!$H:$H,'ELC TECH'!$E:$E)="Storage",CU$4*$BF45,"")</f>
        <v>5.4350000000000002E-2</v>
      </c>
      <c r="CV45" s="8">
        <f>IF(_xlfn.XLOOKUP($B45,'ELC TECH'!$H:$H,'ELC TECH'!$E:$E)="Storage",CV$4*$BF45,"")</f>
        <v>6.2649999999999997E-2</v>
      </c>
      <c r="CW45" s="8">
        <f>IF(_xlfn.XLOOKUP($B45,'ELC TECH'!$H:$H,'ELC TECH'!$E:$E)="Storage",CW$4*$BF45,"")</f>
        <v>1.3500000000000001E-3</v>
      </c>
      <c r="CX45" s="8">
        <f>IF(_xlfn.XLOOKUP($B45,'ELC TECH'!$H:$H,'ELC TECH'!$E:$E)="Storage",CX$4*$BF45,"")</f>
        <v>4.1099999999999998E-2</v>
      </c>
      <c r="CY45" s="8">
        <f>IF(_xlfn.XLOOKUP($B45,'ELC TECH'!$H:$H,'ELC TECH'!$E:$E)="Storage",CY$4*$BF45,"")</f>
        <v>4.7849999999999997E-2</v>
      </c>
      <c r="CZ45" s="8">
        <f>IF(_xlfn.XLOOKUP($B45,'ELC TECH'!$H:$H,'ELC TECH'!$E:$E)="Storage",CZ$4*$BF45,"")</f>
        <v>7.6600000000000001E-2</v>
      </c>
      <c r="DA45" s="8">
        <f>IF(_xlfn.XLOOKUP($B45,'ELC TECH'!$H:$H,'ELC TECH'!$E:$E)="Storage",DA$4*$BF45,"")</f>
        <v>1.6000000000000001E-3</v>
      </c>
      <c r="DB45" s="8">
        <f>IF(_xlfn.XLOOKUP($B45,'ELC TECH'!$H:$H,'ELC TECH'!$E:$E)="Storage",DB$4*$BF45,"")</f>
        <v>4.0750000000000001E-2</v>
      </c>
      <c r="DC45" s="8">
        <f>IF(_xlfn.XLOOKUP($B45,'ELC TECH'!$H:$H,'ELC TECH'!$E:$E)="Storage",DC$4*$BF45,"")</f>
        <v>5.4350000000000002E-2</v>
      </c>
      <c r="DD45" s="8">
        <f>IF(_xlfn.XLOOKUP($B45,'ELC TECH'!$H:$H,'ELC TECH'!$E:$E)="Storage",DD$4*$BF45,"")</f>
        <v>6.905E-2</v>
      </c>
      <c r="DE45" s="8">
        <f>IF(_xlfn.XLOOKUP($B45,'ELC TECH'!$H:$H,'ELC TECH'!$E:$E)="Storage",DE$4*$BF45,"")</f>
        <v>1.6000000000000001E-3</v>
      </c>
      <c r="DF45" s="8">
        <f>IF(_xlfn.XLOOKUP($B45,'ELC TECH'!$H:$H,'ELC TECH'!$E:$E)="Storage",DF$4*$BF45,"")</f>
        <v>4.8750000000000002E-2</v>
      </c>
      <c r="DG45" s="8">
        <f>IF(_xlfn.XLOOKUP($B45,'ELC TECH'!$H:$H,'ELC TECH'!$E:$E)="Storage",DG$4*$BF45,"")</f>
        <v>5.4350000000000002E-2</v>
      </c>
      <c r="DH45" s="8">
        <f>IF(_xlfn.XLOOKUP($B45,'ELC TECH'!$H:$H,'ELC TECH'!$E:$E)="Storage",DH$4*$BF45,"")</f>
        <v>6.2649999999999997E-2</v>
      </c>
      <c r="DI45" s="8">
        <f>IF(_xlfn.XLOOKUP($B45,'ELC TECH'!$H:$H,'ELC TECH'!$E:$E)="Storage",DI$4*$BF45,"")</f>
        <v>1.3500000000000001E-3</v>
      </c>
    </row>
    <row r="46" spans="2:113" x14ac:dyDescent="0.25">
      <c r="B46" t="str">
        <f>IF('ELC TECH'!I39=0,"*",'ELC TECH'!H39)</f>
        <v>ELCSTGGRDPSH12HC1120</v>
      </c>
      <c r="C46" t="str">
        <f>IF(_xlfn.XLOOKUP(_xlfn.XLOOKUP(B46,'ELC TECH'!$H:$H,'ELC TECH'!$G:$G),List!C:C,List!B:B)="STG",D46,"ELC"&amp;_xlfn.XLOOKUP(_xlfn.XLOOKUP(B46,'ELC TECH'!H:H,'ELC TECH'!G:G),List!C:C,List!B:B))</f>
        <v>CELC</v>
      </c>
      <c r="D46" t="s">
        <v>544</v>
      </c>
      <c r="E46">
        <f>_xlfn.XLOOKUP(B46,'ELC TECH'!H:H,'ELC TECH'!D:D)</f>
        <v>2020</v>
      </c>
      <c r="F46">
        <f>_xlfn.XLOOKUP(B46,'ELC TECH'!H:H,'ELC TECH'!K:K)</f>
        <v>100</v>
      </c>
      <c r="G46">
        <f t="shared" si="5"/>
        <v>31.535999999999998</v>
      </c>
      <c r="H46">
        <f>IF(_xlfn.XLOOKUP(B46,'ELC TECH'!$H:$H,'ELC TECH'!$E:$E)="Storage",0.3,IF(_xlfn.XLOOKUP(B46,'ELC TECH'!$H:$H,'ELC TECH'!$E:$E)="Baseload",0.9,IF(_xlfn.XLOOKUP(B46,'ELC TECH'!$H:$H,'ELC TECH'!$E:$E)="Non Dispatchable",0.05,IF(_xlfn.XLOOKUP(B46,'ELC TECH'!$H:$H,'ELC TECH'!$E:$E)="Dispatchable",0.9,1))))</f>
        <v>0.3</v>
      </c>
      <c r="I46" s="13">
        <f>IF(_xlfn.XLOOKUP(B46,'ELC TECH'!H:H,'ELC TECH'!J:J)="","",_xlfn.XLOOKUP(B46,'ELC TECH'!H:H,'ELC TECH'!J:J))</f>
        <v>0</v>
      </c>
      <c r="J46" s="12" t="str">
        <f>IF(_xlfn.XLOOKUP($B46,'ELC TECH'!$H:$H,'ELC TECH'!$E:$E)="Storage","",IF(_xlfn.XLOOKUP($B46,'ELC TECH'!$H:$H,'ELC TECH'!AK:AK)="",1,_xlfn.XLOOKUP($B46,'ELC TECH'!$H:$H,'ELC TECH'!AK:AK)))</f>
        <v/>
      </c>
      <c r="K46" s="12" t="str">
        <f>IF(_xlfn.XLOOKUP($B46,'ELC TECH'!$H:$H,'ELC TECH'!$E:$E)="Storage","",IF(_xlfn.XLOOKUP($B46,'ELC TECH'!$H:$H,'ELC TECH'!AL:AL)="",1,_xlfn.XLOOKUP($B46,'ELC TECH'!$H:$H,'ELC TECH'!AL:AL)))</f>
        <v/>
      </c>
      <c r="L46" s="12" t="str">
        <f>IF(_xlfn.XLOOKUP($B46,'ELC TECH'!$H:$H,'ELC TECH'!$E:$E)="Storage","",IF(_xlfn.XLOOKUP($B46,'ELC TECH'!$H:$H,'ELC TECH'!AM:AM)="",1,_xlfn.XLOOKUP($B46,'ELC TECH'!$H:$H,'ELC TECH'!AM:AM)))</f>
        <v/>
      </c>
      <c r="M46" s="12" t="str">
        <f>IF(_xlfn.XLOOKUP($B46,'ELC TECH'!$H:$H,'ELC TECH'!$E:$E)="Storage","",IF(_xlfn.XLOOKUP($B46,'ELC TECH'!$H:$H,'ELC TECH'!AN:AN)="",1,_xlfn.XLOOKUP($B46,'ELC TECH'!$H:$H,'ELC TECH'!AN:AN)))</f>
        <v/>
      </c>
      <c r="N46" s="12" t="str">
        <f>IF(_xlfn.XLOOKUP($B46,'ELC TECH'!$H:$H,'ELC TECH'!$E:$E)="Storage","",IF(_xlfn.XLOOKUP($B46,'ELC TECH'!$H:$H,'ELC TECH'!AO:AO)="",1,_xlfn.XLOOKUP($B46,'ELC TECH'!$H:$H,'ELC TECH'!AO:AO)))</f>
        <v/>
      </c>
      <c r="O46" s="12" t="str">
        <f>IF(_xlfn.XLOOKUP($B46,'ELC TECH'!$H:$H,'ELC TECH'!$E:$E)="Storage","",IF(_xlfn.XLOOKUP($B46,'ELC TECH'!$H:$H,'ELC TECH'!AP:AP)="",1,_xlfn.XLOOKUP($B46,'ELC TECH'!$H:$H,'ELC TECH'!AP:AP)))</f>
        <v/>
      </c>
      <c r="P46" s="12" t="str">
        <f>IF(_xlfn.XLOOKUP($B46,'ELC TECH'!$H:$H,'ELC TECH'!$E:$E)="Storage","",IF(_xlfn.XLOOKUP($B46,'ELC TECH'!$H:$H,'ELC TECH'!AQ:AQ)="",1,_xlfn.XLOOKUP($B46,'ELC TECH'!$H:$H,'ELC TECH'!AQ:AQ)))</f>
        <v/>
      </c>
      <c r="Q46" s="12" t="str">
        <f>IF(_xlfn.XLOOKUP($B46,'ELC TECH'!$H:$H,'ELC TECH'!$E:$E)="Storage","",IF(_xlfn.XLOOKUP($B46,'ELC TECH'!$H:$H,'ELC TECH'!AR:AR)="",1,_xlfn.XLOOKUP($B46,'ELC TECH'!$H:$H,'ELC TECH'!AR:AR)))</f>
        <v/>
      </c>
      <c r="R46" s="12">
        <f>IF(_xlfn.XLOOKUP($B46,'ELC TECH'!$H:$H,'ELC TECH'!$E:$E)&lt;&gt;"Storage","",IF(_xlfn.XLOOKUP($B46,'ELC TECH'!$H:$H,'ELC TECH'!AK:AK)="",0.8,_xlfn.XLOOKUP($B46,'ELC TECH'!$H:$H,'ELC TECH'!AK:AK)))</f>
        <v>0.8</v>
      </c>
      <c r="S46" s="12">
        <f>IF(_xlfn.XLOOKUP($B46,'ELC TECH'!$H:$H,'ELC TECH'!$E:$E)&lt;&gt;"Storage","",IF(_xlfn.XLOOKUP($B46,'ELC TECH'!$H:$H,'ELC TECH'!AL:AL)="",0.8,_xlfn.XLOOKUP($B46,'ELC TECH'!$H:$H,'ELC TECH'!AL:AL)))</f>
        <v>0.8</v>
      </c>
      <c r="T46" s="12">
        <f>IF(_xlfn.XLOOKUP($B46,'ELC TECH'!$H:$H,'ELC TECH'!$E:$E)&lt;&gt;"Storage","",IF(_xlfn.XLOOKUP($B46,'ELC TECH'!$H:$H,'ELC TECH'!AM:AM)="",0.8,_xlfn.XLOOKUP($B46,'ELC TECH'!$H:$H,'ELC TECH'!AM:AM)))</f>
        <v>0.8</v>
      </c>
      <c r="U46" s="12">
        <f>IF(_xlfn.XLOOKUP($B46,'ELC TECH'!$H:$H,'ELC TECH'!$E:$E)&lt;&gt;"Storage","",IF(_xlfn.XLOOKUP($B46,'ELC TECH'!$H:$H,'ELC TECH'!AN:AN)="",0.8,_xlfn.XLOOKUP($B46,'ELC TECH'!$H:$H,'ELC TECH'!AN:AN)))</f>
        <v>0.8</v>
      </c>
      <c r="V46" s="12">
        <f>IF(_xlfn.XLOOKUP($B46,'ELC TECH'!$H:$H,'ELC TECH'!$E:$E)&lt;&gt;"Storage","",IF(_xlfn.XLOOKUP($B46,'ELC TECH'!$H:$H,'ELC TECH'!AO:AO)="",0.8,_xlfn.XLOOKUP($B46,'ELC TECH'!$H:$H,'ELC TECH'!AO:AO)))</f>
        <v>0.8</v>
      </c>
      <c r="W46" s="12">
        <f>IF(_xlfn.XLOOKUP($B46,'ELC TECH'!$H:$H,'ELC TECH'!$E:$E)&lt;&gt;"Storage","",IF(_xlfn.XLOOKUP($B46,'ELC TECH'!$H:$H,'ELC TECH'!AP:AP)="",0.8,_xlfn.XLOOKUP($B46,'ELC TECH'!$H:$H,'ELC TECH'!AP:AP)))</f>
        <v>0.8</v>
      </c>
      <c r="X46" s="12">
        <f>IF(_xlfn.XLOOKUP($B46,'ELC TECH'!$H:$H,'ELC TECH'!$E:$E)&lt;&gt;"Storage","",IF(_xlfn.XLOOKUP($B46,'ELC TECH'!$H:$H,'ELC TECH'!AQ:AQ)="",0.8,_xlfn.XLOOKUP($B46,'ELC TECH'!$H:$H,'ELC TECH'!AQ:AQ)))</f>
        <v>0.8</v>
      </c>
      <c r="Y46" s="12">
        <f>IF(_xlfn.XLOOKUP($B46,'ELC TECH'!$H:$H,'ELC TECH'!$E:$E)&lt;&gt;"Storage","",IF(_xlfn.XLOOKUP($B46,'ELC TECH'!$H:$H,'ELC TECH'!AR:AR)="",0.8,_xlfn.XLOOKUP($B46,'ELC TECH'!$H:$H,'ELC TECH'!AR:AR)))</f>
        <v>0.8</v>
      </c>
      <c r="Z46" s="15">
        <f>_xlfn.XLOOKUP($B46,'ELC TECH'!$H:$H,'ELC TECH'!M:M)</f>
        <v>3989.3387907441688</v>
      </c>
      <c r="AA46" s="15">
        <f>_xlfn.XLOOKUP($B46,'ELC TECH'!$H:$H,'ELC TECH'!N:N)</f>
        <v>3989.3387907441688</v>
      </c>
      <c r="AB46" s="15">
        <f>_xlfn.XLOOKUP($B46,'ELC TECH'!$H:$H,'ELC TECH'!O:O)</f>
        <v>3989.3387907441688</v>
      </c>
      <c r="AC46" s="15">
        <f>_xlfn.XLOOKUP($B46,'ELC TECH'!$H:$H,'ELC TECH'!P:P)</f>
        <v>3989.3387907441688</v>
      </c>
      <c r="AD46" s="15">
        <f>_xlfn.XLOOKUP($B46,'ELC TECH'!$H:$H,'ELC TECH'!Q:Q)</f>
        <v>3989.3387907441688</v>
      </c>
      <c r="AE46" s="15">
        <f>_xlfn.XLOOKUP($B46,'ELC TECH'!$H:$H,'ELC TECH'!R:R)</f>
        <v>3989.3387907441688</v>
      </c>
      <c r="AF46" s="15">
        <f>_xlfn.XLOOKUP($B46,'ELC TECH'!$H:$H,'ELC TECH'!S:S)</f>
        <v>3989.3387907441688</v>
      </c>
      <c r="AG46" s="15">
        <f>_xlfn.XLOOKUP($B46,'ELC TECH'!$H:$H,'ELC TECH'!T:T)</f>
        <v>3989.3387907441688</v>
      </c>
      <c r="AH46" s="15">
        <f>_xlfn.XLOOKUP($B46,'ELC TECH'!$H:$H,'ELC TECH'!U:U)</f>
        <v>21.100097091380029</v>
      </c>
      <c r="AI46" s="15">
        <f>_xlfn.XLOOKUP($B46,'ELC TECH'!$H:$H,'ELC TECH'!V:V)</f>
        <v>21.100097091380029</v>
      </c>
      <c r="AJ46" s="15">
        <f>_xlfn.XLOOKUP($B46,'ELC TECH'!$H:$H,'ELC TECH'!W:W)</f>
        <v>21.100097091380029</v>
      </c>
      <c r="AK46" s="15">
        <f>_xlfn.XLOOKUP($B46,'ELC TECH'!$H:$H,'ELC TECH'!X:X)</f>
        <v>21.100097091380029</v>
      </c>
      <c r="AL46" s="15">
        <f>_xlfn.XLOOKUP($B46,'ELC TECH'!$H:$H,'ELC TECH'!Y:Y)</f>
        <v>21.100097091380029</v>
      </c>
      <c r="AM46" s="15">
        <f>_xlfn.XLOOKUP($B46,'ELC TECH'!$H:$H,'ELC TECH'!Z:Z)</f>
        <v>21.100097091380029</v>
      </c>
      <c r="AN46" s="15">
        <f>_xlfn.XLOOKUP($B46,'ELC TECH'!$H:$H,'ELC TECH'!AA:AA)</f>
        <v>21.100097091380029</v>
      </c>
      <c r="AO46" s="15">
        <f>_xlfn.XLOOKUP($B46,'ELC TECH'!$H:$H,'ELC TECH'!AB:AB)</f>
        <v>21.100097091380029</v>
      </c>
      <c r="AP46" s="15">
        <f>_xlfn.XLOOKUP($B46,'ELC TECH'!$H:$H,'ELC TECH'!AC:AC)</f>
        <v>0.1696149283872993</v>
      </c>
      <c r="AQ46" s="15">
        <f>_xlfn.XLOOKUP($B46,'ELC TECH'!$H:$H,'ELC TECH'!AD:AD)</f>
        <v>0.1696149283872993</v>
      </c>
      <c r="AR46" s="15">
        <f>_xlfn.XLOOKUP($B46,'ELC TECH'!$H:$H,'ELC TECH'!AE:AE)</f>
        <v>0.1696149283872993</v>
      </c>
      <c r="AS46" s="15">
        <f>_xlfn.XLOOKUP($B46,'ELC TECH'!$H:$H,'ELC TECH'!AF:AF)</f>
        <v>0.1696149283872993</v>
      </c>
      <c r="AT46" s="15">
        <f>_xlfn.XLOOKUP($B46,'ELC TECH'!$H:$H,'ELC TECH'!AG:AG)</f>
        <v>0.1696149283872993</v>
      </c>
      <c r="AU46" s="15">
        <f>_xlfn.XLOOKUP($B46,'ELC TECH'!$H:$H,'ELC TECH'!AH:AH)</f>
        <v>0.1696149283872993</v>
      </c>
      <c r="AV46" s="15">
        <f>_xlfn.XLOOKUP($B46,'ELC TECH'!$H:$H,'ELC TECH'!AI:AI)</f>
        <v>0.1696149283872993</v>
      </c>
      <c r="AW46" s="15">
        <f>_xlfn.XLOOKUP($B46,'ELC TECH'!$H:$H,'ELC TECH'!AJ:AJ)</f>
        <v>0.1696149283872993</v>
      </c>
      <c r="AX46" s="12" t="str">
        <f>IF(_xlfn.XLOOKUP($B46,'ELC TECH'!$H:$H,'ELC TECH'!$E:$E)="Storage","",_xlfn.XLOOKUP($B46,'ELC TECH'!$H:$H,'ELC TECH'!AS:AS))</f>
        <v/>
      </c>
      <c r="AY46" s="12" t="str">
        <f>IF(_xlfn.XLOOKUP($B46,'ELC TECH'!$H:$H,'ELC TECH'!$E:$E)="Storage","",_xlfn.XLOOKUP($B46,'ELC TECH'!$H:$H,'ELC TECH'!AT:AT))</f>
        <v/>
      </c>
      <c r="AZ46" s="12" t="str">
        <f>IF(_xlfn.XLOOKUP($B46,'ELC TECH'!$H:$H,'ELC TECH'!$E:$E)="Storage","",_xlfn.XLOOKUP($B46,'ELC TECH'!$H:$H,'ELC TECH'!AU:AU))</f>
        <v/>
      </c>
      <c r="BA46" s="12" t="str">
        <f>IF(_xlfn.XLOOKUP($B46,'ELC TECH'!$H:$H,'ELC TECH'!$E:$E)="Storage","",_xlfn.XLOOKUP($B46,'ELC TECH'!$H:$H,'ELC TECH'!AV:AV))</f>
        <v/>
      </c>
      <c r="BB46" s="12" t="str">
        <f>IF(_xlfn.XLOOKUP($B46,'ELC TECH'!$H:$H,'ELC TECH'!$E:$E)="Storage","",_xlfn.XLOOKUP($B46,'ELC TECH'!$H:$H,'ELC TECH'!AW:AW))</f>
        <v/>
      </c>
      <c r="BC46" s="12" t="str">
        <f>IF(_xlfn.XLOOKUP($B46,'ELC TECH'!$H:$H,'ELC TECH'!$E:$E)="Storage","",_xlfn.XLOOKUP($B46,'ELC TECH'!$H:$H,'ELC TECH'!AX:AX))</f>
        <v/>
      </c>
      <c r="BD46" s="12" t="str">
        <f>IF(_xlfn.XLOOKUP($B46,'ELC TECH'!$H:$H,'ELC TECH'!$E:$E)="Storage","",_xlfn.XLOOKUP($B46,'ELC TECH'!$H:$H,'ELC TECH'!AY:AY))</f>
        <v/>
      </c>
      <c r="BE46" s="12" t="str">
        <f>IF(_xlfn.XLOOKUP($B46,'ELC TECH'!$H:$H,'ELC TECH'!$E:$E)="Storage","",_xlfn.XLOOKUP($B46,'ELC TECH'!$H:$H,'ELC TECH'!AZ:AZ))</f>
        <v/>
      </c>
      <c r="BF46" s="12">
        <f>IF(_xlfn.XLOOKUP($B46,'ELC TECH'!$H:$H,'ELC TECH'!$E:$E)="Storage",_xlfn.XLOOKUP($B46,'ELC TECH'!$H:$H,'ELC TECH'!AS:AS),"")</f>
        <v>0.5</v>
      </c>
      <c r="BG46" s="12">
        <f>IF(_xlfn.XLOOKUP($B46,'ELC TECH'!$H:$H,'ELC TECH'!$E:$E)="Storage",_xlfn.XLOOKUP($B46,'ELC TECH'!$H:$H,'ELC TECH'!AT:AT),"")</f>
        <v>0.5</v>
      </c>
      <c r="BH46" s="12">
        <f>IF(_xlfn.XLOOKUP($B46,'ELC TECH'!$H:$H,'ELC TECH'!$E:$E)="Storage",_xlfn.XLOOKUP($B46,'ELC TECH'!$H:$H,'ELC TECH'!AU:AU),"")</f>
        <v>0.5</v>
      </c>
      <c r="BI46" s="12">
        <f>IF(_xlfn.XLOOKUP($B46,'ELC TECH'!$H:$H,'ELC TECH'!$E:$E)="Storage",_xlfn.XLOOKUP($B46,'ELC TECH'!$H:$H,'ELC TECH'!AV:AV),"")</f>
        <v>0.5</v>
      </c>
      <c r="BJ46" s="12">
        <f>IF(_xlfn.XLOOKUP($B46,'ELC TECH'!$H:$H,'ELC TECH'!$E:$E)="Storage",_xlfn.XLOOKUP($B46,'ELC TECH'!$H:$H,'ELC TECH'!AW:AW),"")</f>
        <v>0.5</v>
      </c>
      <c r="BK46" s="12">
        <f>IF(_xlfn.XLOOKUP($B46,'ELC TECH'!$H:$H,'ELC TECH'!$E:$E)="Storage",_xlfn.XLOOKUP($B46,'ELC TECH'!$H:$H,'ELC TECH'!AX:AX),"")</f>
        <v>0.5</v>
      </c>
      <c r="BL46" s="12">
        <f>IF(_xlfn.XLOOKUP($B46,'ELC TECH'!$H:$H,'ELC TECH'!$E:$E)="Storage",_xlfn.XLOOKUP($B46,'ELC TECH'!$H:$H,'ELC TECH'!AY:AY),"")</f>
        <v>0.5</v>
      </c>
      <c r="BM46" s="12">
        <f>IF(_xlfn.XLOOKUP($B46,'ELC TECH'!$H:$H,'ELC TECH'!$E:$E)="Storage",_xlfn.XLOOKUP($B46,'ELC TECH'!$H:$H,'ELC TECH'!AZ:AZ),"")</f>
        <v>0.5</v>
      </c>
      <c r="BN46" s="8" t="str">
        <f>IF(_xlfn.XLOOKUP($B46,'ELC TECH'!$H:$H,'ELC TECH'!$E:$E)="Non Dispatchable",IFERROR($AX46*_xlfn.XLOOKUP($C46,$BM$1:$BM$3,BN$1:BN$3)/SUMPRODUCT(_xlfn.XLOOKUP($C46,$BM$1:$BM$3,$BN$1:$BY$3),$BN$4:$BY$4),""),
"")</f>
        <v/>
      </c>
      <c r="BO46" s="8" t="str">
        <f>IF(_xlfn.XLOOKUP($B46,'ELC TECH'!$H:$H,'ELC TECH'!$E:$E)="Non Dispatchable",IFERROR($AX46*_xlfn.XLOOKUP($C46,$BM$1:$BM$3,BO$1:BO$3)/SUMPRODUCT(_xlfn.XLOOKUP($C46,$BM$1:$BM$3,$BN$1:$BY$3),$BN$4:$BY$4),""),
"")</f>
        <v/>
      </c>
      <c r="BP46" s="8" t="str">
        <f>IF(_xlfn.XLOOKUP($B46,'ELC TECH'!$H:$H,'ELC TECH'!$E:$E)="Non Dispatchable",IFERROR($AX46*_xlfn.XLOOKUP($C46,$BM$1:$BM$3,BP$1:BP$3)/SUMPRODUCT(_xlfn.XLOOKUP($C46,$BM$1:$BM$3,$BN$1:$BY$3),$BN$4:$BY$4),""),
"")</f>
        <v/>
      </c>
      <c r="BQ46" s="8" t="str">
        <f>IF(_xlfn.XLOOKUP($B46,'ELC TECH'!$H:$H,'ELC TECH'!$E:$E)="Non Dispatchable",IFERROR($AX46*_xlfn.XLOOKUP($C46,$BM$1:$BM$3,BQ$1:BQ$3)/SUMPRODUCT(_xlfn.XLOOKUP($C46,$BM$1:$BM$3,$BN$1:$BY$3),$BN$4:$BY$4),""),
"")</f>
        <v/>
      </c>
      <c r="BR46" s="8" t="str">
        <f>IF(_xlfn.XLOOKUP($B46,'ELC TECH'!$H:$H,'ELC TECH'!$E:$E)="Non Dispatchable",IFERROR($AX46*_xlfn.XLOOKUP($C46,$BM$1:$BM$3,BR$1:BR$3)/SUMPRODUCT(_xlfn.XLOOKUP($C46,$BM$1:$BM$3,$BN$1:$BY$3),$BN$4:$BY$4),""),
"")</f>
        <v/>
      </c>
      <c r="BS46" s="8" t="str">
        <f>IF(_xlfn.XLOOKUP($B46,'ELC TECH'!$H:$H,'ELC TECH'!$E:$E)="Non Dispatchable",IFERROR($AX46*_xlfn.XLOOKUP($C46,$BM$1:$BM$3,BS$1:BS$3)/SUMPRODUCT(_xlfn.XLOOKUP($C46,$BM$1:$BM$3,$BN$1:$BY$3),$BN$4:$BY$4),""),
"")</f>
        <v/>
      </c>
      <c r="BT46" s="8" t="str">
        <f>IF(_xlfn.XLOOKUP($B46,'ELC TECH'!$H:$H,'ELC TECH'!$E:$E)="Non Dispatchable",IFERROR($AX46*_xlfn.XLOOKUP($C46,$BM$1:$BM$3,BT$1:BT$3)/SUMPRODUCT(_xlfn.XLOOKUP($C46,$BM$1:$BM$3,$BN$1:$BY$3),$BN$4:$BY$4),""),
"")</f>
        <v/>
      </c>
      <c r="BU46" s="8" t="str">
        <f>IF(_xlfn.XLOOKUP($B46,'ELC TECH'!$H:$H,'ELC TECH'!$E:$E)="Non Dispatchable",IFERROR($AX46*_xlfn.XLOOKUP($C46,$BM$1:$BM$3,BU$1:BU$3)/SUMPRODUCT(_xlfn.XLOOKUP($C46,$BM$1:$BM$3,$BN$1:$BY$3),$BN$4:$BY$4),""),
"")</f>
        <v/>
      </c>
      <c r="BV46" s="8" t="str">
        <f>IF(_xlfn.XLOOKUP($B46,'ELC TECH'!$H:$H,'ELC TECH'!$E:$E)="Non Dispatchable",IFERROR($AX46*_xlfn.XLOOKUP($C46,$BM$1:$BM$3,BV$1:BV$3)/SUMPRODUCT(_xlfn.XLOOKUP($C46,$BM$1:$BM$3,$BN$1:$BY$3),$BN$4:$BY$4),""),
"")</f>
        <v/>
      </c>
      <c r="BW46" s="8" t="str">
        <f>IF(_xlfn.XLOOKUP($B46,'ELC TECH'!$H:$H,'ELC TECH'!$E:$E)="Non Dispatchable",IFERROR($AX46*_xlfn.XLOOKUP($C46,$BM$1:$BM$3,BW$1:BW$3)/SUMPRODUCT(_xlfn.XLOOKUP($C46,$BM$1:$BM$3,$BN$1:$BY$3),$BN$4:$BY$4),""),
"")</f>
        <v/>
      </c>
      <c r="BX46" s="8" t="str">
        <f>IF(_xlfn.XLOOKUP($B46,'ELC TECH'!$H:$H,'ELC TECH'!$E:$E)="Non Dispatchable",IFERROR($AX46*_xlfn.XLOOKUP($C46,$BM$1:$BM$3,BX$1:BX$3)/SUMPRODUCT(_xlfn.XLOOKUP($C46,$BM$1:$BM$3,$BN$1:$BY$3),$BN$4:$BY$4),""),
"")</f>
        <v/>
      </c>
      <c r="BY46" s="8" t="str">
        <f>IF(_xlfn.XLOOKUP($B46,'ELC TECH'!$H:$H,'ELC TECH'!$E:$E)="Non Dispatchable",IFERROR($AX46*_xlfn.XLOOKUP($C46,$BM$1:$BM$3,BY$1:BY$3)/SUMPRODUCT(_xlfn.XLOOKUP($C46,$BM$1:$BM$3,$BN$1:$BY$3),$BN$4:$BY$4),""),
"")</f>
        <v/>
      </c>
      <c r="BZ46" s="8" t="str">
        <f>IF(_xlfn.XLOOKUP($B46,'ELC TECH'!$H:$H,'ELC TECH'!$E:$E)="Non Dispatchable",IFERROR($AX46*_xlfn.XLOOKUP($C46,$BM$1:$BM$3,BZ$1:BZ$3)/SUMPRODUCT(_xlfn.XLOOKUP($C46,$BM$1:$BM$3,$BN$1:$BY$3),$BN$4:$BY$4),""),
"")</f>
        <v/>
      </c>
      <c r="CA46" s="8" t="str">
        <f>IF(_xlfn.XLOOKUP($B46,'ELC TECH'!$H:$H,'ELC TECH'!$E:$E)="Non Dispatchable",IFERROR($AX46*_xlfn.XLOOKUP($C46,$BM$1:$BM$3,CA$1:CA$3)/SUMPRODUCT(_xlfn.XLOOKUP($C46,$BM$1:$BM$3,$BN$1:$BY$3),$BN$4:$BY$4),""),
"")</f>
        <v/>
      </c>
      <c r="CB46" s="8" t="str">
        <f>IF(_xlfn.XLOOKUP($B46,'ELC TECH'!$H:$H,'ELC TECH'!$E:$E)="Non Dispatchable",IFERROR($AX46*_xlfn.XLOOKUP($C46,$BM$1:$BM$3,CB$1:CB$3)/SUMPRODUCT(_xlfn.XLOOKUP($C46,$BM$1:$BM$3,$BN$1:$BY$3),$BN$4:$BY$4),""),
"")</f>
        <v/>
      </c>
      <c r="CC46" s="8" t="str">
        <f>IF(_xlfn.XLOOKUP($B46,'ELC TECH'!$H:$H,'ELC TECH'!$E:$E)="Non Dispatchable",IFERROR($AX46*_xlfn.XLOOKUP($C46,$BM$1:$BM$3,CC$1:CC$3)/SUMPRODUCT(_xlfn.XLOOKUP($C46,$BM$1:$BM$3,$BN$1:$BY$3),$BN$4:$BY$4),""),
"")</f>
        <v/>
      </c>
      <c r="CD46" s="8" t="str">
        <f>IF(_xlfn.XLOOKUP($B46,'ELC TECH'!$H:$H,'ELC TECH'!$E:$E)="Non Dispatchable",IFERROR($AX46*_xlfn.XLOOKUP($C46,$BM$1:$BM$3,CD$1:CD$3)/SUMPRODUCT(_xlfn.XLOOKUP($C46,$BM$1:$BM$3,$BN$1:$BY$3),$BN$4:$BY$4),""),
"")</f>
        <v/>
      </c>
      <c r="CE46" s="8" t="str">
        <f>IF(_xlfn.XLOOKUP($B46,'ELC TECH'!$H:$H,'ELC TECH'!$E:$E)="Non Dispatchable",IFERROR($AX46*_xlfn.XLOOKUP($C46,$BM$1:$BM$3,CE$1:CE$3)/SUMPRODUCT(_xlfn.XLOOKUP($C46,$BM$1:$BM$3,$BN$1:$BY$3),$BN$4:$BY$4),""),
"")</f>
        <v/>
      </c>
      <c r="CF46" s="8" t="str">
        <f>IF(_xlfn.XLOOKUP($B46,'ELC TECH'!$H:$H,'ELC TECH'!$E:$E)="Non Dispatchable",IFERROR($AX46*_xlfn.XLOOKUP($C46,$BM$1:$BM$3,CF$1:CF$3)/SUMPRODUCT(_xlfn.XLOOKUP($C46,$BM$1:$BM$3,$BN$1:$BY$3),$BN$4:$BY$4),""),
"")</f>
        <v/>
      </c>
      <c r="CG46" s="8" t="str">
        <f>IF(_xlfn.XLOOKUP($B46,'ELC TECH'!$H:$H,'ELC TECH'!$E:$E)="Non Dispatchable",IFERROR($AX46*_xlfn.XLOOKUP($C46,$BM$1:$BM$3,CG$1:CG$3)/SUMPRODUCT(_xlfn.XLOOKUP($C46,$BM$1:$BM$3,$BN$1:$BY$3),$BN$4:$BY$4),""),
"")</f>
        <v/>
      </c>
      <c r="CH46" s="8" t="str">
        <f>IF(_xlfn.XLOOKUP($B46,'ELC TECH'!$H:$H,'ELC TECH'!$E:$E)="Non Dispatchable",IFERROR($AX46*_xlfn.XLOOKUP($C46,$BM$1:$BM$3,CH$1:CH$3)/SUMPRODUCT(_xlfn.XLOOKUP($C46,$BM$1:$BM$3,$BN$1:$BY$3),$BN$4:$BY$4),""),
"")</f>
        <v/>
      </c>
      <c r="CI46" s="8" t="str">
        <f>IF(_xlfn.XLOOKUP($B46,'ELC TECH'!$H:$H,'ELC TECH'!$E:$E)="Non Dispatchable",IFERROR($AX46*_xlfn.XLOOKUP($C46,$BM$1:$BM$3,CI$1:CI$3)/SUMPRODUCT(_xlfn.XLOOKUP($C46,$BM$1:$BM$3,$BN$1:$BY$3),$BN$4:$BY$4),""),
"")</f>
        <v/>
      </c>
      <c r="CJ46" s="8" t="str">
        <f>IF(_xlfn.XLOOKUP($B46,'ELC TECH'!$H:$H,'ELC TECH'!$E:$E)="Non Dispatchable",IFERROR($AX46*_xlfn.XLOOKUP($C46,$BM$1:$BM$3,CJ$1:CJ$3)/SUMPRODUCT(_xlfn.XLOOKUP($C46,$BM$1:$BM$3,$BN$1:$BY$3),$BN$4:$BY$4),""),
"")</f>
        <v/>
      </c>
      <c r="CK46" s="8" t="str">
        <f>IF(_xlfn.XLOOKUP($B46,'ELC TECH'!$H:$H,'ELC TECH'!$E:$E)="Non Dispatchable",IFERROR($AX46*_xlfn.XLOOKUP($C46,$BM$1:$BM$3,CK$1:CK$3)/SUMPRODUCT(_xlfn.XLOOKUP($C46,$BM$1:$BM$3,$BN$1:$BY$3),$BN$4:$BY$4),""),
"")</f>
        <v/>
      </c>
      <c r="CL46" s="8">
        <f>IF(_xlfn.XLOOKUP($B46,'ELC TECH'!$H:$H,'ELC TECH'!$E:$E)="Storage",CL$4*$BF46,"")</f>
        <v>4.1099999999999998E-2</v>
      </c>
      <c r="CM46" s="8">
        <f>IF(_xlfn.XLOOKUP($B46,'ELC TECH'!$H:$H,'ELC TECH'!$E:$E)="Storage",CM$4*$BF46,"")</f>
        <v>4.7849999999999997E-2</v>
      </c>
      <c r="CN46" s="8">
        <f>IF(_xlfn.XLOOKUP($B46,'ELC TECH'!$H:$H,'ELC TECH'!$E:$E)="Storage",CN$4*$BF46,"")</f>
        <v>7.6600000000000001E-2</v>
      </c>
      <c r="CO46" s="8">
        <f>IF(_xlfn.XLOOKUP($B46,'ELC TECH'!$H:$H,'ELC TECH'!$E:$E)="Storage",CO$4*$BF46,"")</f>
        <v>1.6000000000000001E-3</v>
      </c>
      <c r="CP46" s="8">
        <f>IF(_xlfn.XLOOKUP($B46,'ELC TECH'!$H:$H,'ELC TECH'!$E:$E)="Storage",CP$4*$BF46,"")</f>
        <v>4.0750000000000001E-2</v>
      </c>
      <c r="CQ46" s="8">
        <f>IF(_xlfn.XLOOKUP($B46,'ELC TECH'!$H:$H,'ELC TECH'!$E:$E)="Storage",CQ$4*$BF46,"")</f>
        <v>5.4350000000000002E-2</v>
      </c>
      <c r="CR46" s="8">
        <f>IF(_xlfn.XLOOKUP($B46,'ELC TECH'!$H:$H,'ELC TECH'!$E:$E)="Storage",CR$4*$BF46,"")</f>
        <v>6.905E-2</v>
      </c>
      <c r="CS46" s="8">
        <f>IF(_xlfn.XLOOKUP($B46,'ELC TECH'!$H:$H,'ELC TECH'!$E:$E)="Storage",CS$4*$BF46,"")</f>
        <v>1.6000000000000001E-3</v>
      </c>
      <c r="CT46" s="8">
        <f>IF(_xlfn.XLOOKUP($B46,'ELC TECH'!$H:$H,'ELC TECH'!$E:$E)="Storage",CT$4*$BF46,"")</f>
        <v>4.8750000000000002E-2</v>
      </c>
      <c r="CU46" s="8">
        <f>IF(_xlfn.XLOOKUP($B46,'ELC TECH'!$H:$H,'ELC TECH'!$E:$E)="Storage",CU$4*$BF46,"")</f>
        <v>5.4350000000000002E-2</v>
      </c>
      <c r="CV46" s="8">
        <f>IF(_xlfn.XLOOKUP($B46,'ELC TECH'!$H:$H,'ELC TECH'!$E:$E)="Storage",CV$4*$BF46,"")</f>
        <v>6.2649999999999997E-2</v>
      </c>
      <c r="CW46" s="8">
        <f>IF(_xlfn.XLOOKUP($B46,'ELC TECH'!$H:$H,'ELC TECH'!$E:$E)="Storage",CW$4*$BF46,"")</f>
        <v>1.3500000000000001E-3</v>
      </c>
      <c r="CX46" s="8">
        <f>IF(_xlfn.XLOOKUP($B46,'ELC TECH'!$H:$H,'ELC TECH'!$E:$E)="Storage",CX$4*$BF46,"")</f>
        <v>4.1099999999999998E-2</v>
      </c>
      <c r="CY46" s="8">
        <f>IF(_xlfn.XLOOKUP($B46,'ELC TECH'!$H:$H,'ELC TECH'!$E:$E)="Storage",CY$4*$BF46,"")</f>
        <v>4.7849999999999997E-2</v>
      </c>
      <c r="CZ46" s="8">
        <f>IF(_xlfn.XLOOKUP($B46,'ELC TECH'!$H:$H,'ELC TECH'!$E:$E)="Storage",CZ$4*$BF46,"")</f>
        <v>7.6600000000000001E-2</v>
      </c>
      <c r="DA46" s="8">
        <f>IF(_xlfn.XLOOKUP($B46,'ELC TECH'!$H:$H,'ELC TECH'!$E:$E)="Storage",DA$4*$BF46,"")</f>
        <v>1.6000000000000001E-3</v>
      </c>
      <c r="DB46" s="8">
        <f>IF(_xlfn.XLOOKUP($B46,'ELC TECH'!$H:$H,'ELC TECH'!$E:$E)="Storage",DB$4*$BF46,"")</f>
        <v>4.0750000000000001E-2</v>
      </c>
      <c r="DC46" s="8">
        <f>IF(_xlfn.XLOOKUP($B46,'ELC TECH'!$H:$H,'ELC TECH'!$E:$E)="Storage",DC$4*$BF46,"")</f>
        <v>5.4350000000000002E-2</v>
      </c>
      <c r="DD46" s="8">
        <f>IF(_xlfn.XLOOKUP($B46,'ELC TECH'!$H:$H,'ELC TECH'!$E:$E)="Storage",DD$4*$BF46,"")</f>
        <v>6.905E-2</v>
      </c>
      <c r="DE46" s="8">
        <f>IF(_xlfn.XLOOKUP($B46,'ELC TECH'!$H:$H,'ELC TECH'!$E:$E)="Storage",DE$4*$BF46,"")</f>
        <v>1.6000000000000001E-3</v>
      </c>
      <c r="DF46" s="8">
        <f>IF(_xlfn.XLOOKUP($B46,'ELC TECH'!$H:$H,'ELC TECH'!$E:$E)="Storage",DF$4*$BF46,"")</f>
        <v>4.8750000000000002E-2</v>
      </c>
      <c r="DG46" s="8">
        <f>IF(_xlfn.XLOOKUP($B46,'ELC TECH'!$H:$H,'ELC TECH'!$E:$E)="Storage",DG$4*$BF46,"")</f>
        <v>5.4350000000000002E-2</v>
      </c>
      <c r="DH46" s="8">
        <f>IF(_xlfn.XLOOKUP($B46,'ELC TECH'!$H:$H,'ELC TECH'!$E:$E)="Storage",DH$4*$BF46,"")</f>
        <v>6.2649999999999997E-2</v>
      </c>
      <c r="DI46" s="8">
        <f>IF(_xlfn.XLOOKUP($B46,'ELC TECH'!$H:$H,'ELC TECH'!$E:$E)="Storage",DI$4*$BF46,"")</f>
        <v>1.3500000000000001E-3</v>
      </c>
    </row>
    <row r="47" spans="2:113" x14ac:dyDescent="0.25">
      <c r="B47" t="str">
        <f>IF('ELC TECH'!I40=0,"*",'ELC TECH'!H40)</f>
        <v>ELCSTGGRDPSH12HC1220</v>
      </c>
      <c r="C47" t="str">
        <f>IF(_xlfn.XLOOKUP(_xlfn.XLOOKUP(B47,'ELC TECH'!$H:$H,'ELC TECH'!$G:$G),List!C:C,List!B:B)="STG",D47,"ELC"&amp;_xlfn.XLOOKUP(_xlfn.XLOOKUP(B47,'ELC TECH'!H:H,'ELC TECH'!G:G),List!C:C,List!B:B))</f>
        <v>CELC</v>
      </c>
      <c r="D47" t="s">
        <v>544</v>
      </c>
      <c r="E47">
        <f>_xlfn.XLOOKUP(B47,'ELC TECH'!H:H,'ELC TECH'!D:D)</f>
        <v>2020</v>
      </c>
      <c r="F47">
        <f>_xlfn.XLOOKUP(B47,'ELC TECH'!H:H,'ELC TECH'!K:K)</f>
        <v>100</v>
      </c>
      <c r="G47">
        <f t="shared" si="5"/>
        <v>31.535999999999998</v>
      </c>
      <c r="H47">
        <f>IF(_xlfn.XLOOKUP(B47,'ELC TECH'!$H:$H,'ELC TECH'!$E:$E)="Storage",0.3,IF(_xlfn.XLOOKUP(B47,'ELC TECH'!$H:$H,'ELC TECH'!$E:$E)="Baseload",0.9,IF(_xlfn.XLOOKUP(B47,'ELC TECH'!$H:$H,'ELC TECH'!$E:$E)="Non Dispatchable",0.05,IF(_xlfn.XLOOKUP(B47,'ELC TECH'!$H:$H,'ELC TECH'!$E:$E)="Dispatchable",0.9,1))))</f>
        <v>0.3</v>
      </c>
      <c r="I47" s="13">
        <f>IF(_xlfn.XLOOKUP(B47,'ELC TECH'!H:H,'ELC TECH'!J:J)="","",_xlfn.XLOOKUP(B47,'ELC TECH'!H:H,'ELC TECH'!J:J))</f>
        <v>0</v>
      </c>
      <c r="J47" s="12" t="str">
        <f>IF(_xlfn.XLOOKUP($B47,'ELC TECH'!$H:$H,'ELC TECH'!$E:$E)="Storage","",IF(_xlfn.XLOOKUP($B47,'ELC TECH'!$H:$H,'ELC TECH'!AK:AK)="",1,_xlfn.XLOOKUP($B47,'ELC TECH'!$H:$H,'ELC TECH'!AK:AK)))</f>
        <v/>
      </c>
      <c r="K47" s="12" t="str">
        <f>IF(_xlfn.XLOOKUP($B47,'ELC TECH'!$H:$H,'ELC TECH'!$E:$E)="Storage","",IF(_xlfn.XLOOKUP($B47,'ELC TECH'!$H:$H,'ELC TECH'!AL:AL)="",1,_xlfn.XLOOKUP($B47,'ELC TECH'!$H:$H,'ELC TECH'!AL:AL)))</f>
        <v/>
      </c>
      <c r="L47" s="12" t="str">
        <f>IF(_xlfn.XLOOKUP($B47,'ELC TECH'!$H:$H,'ELC TECH'!$E:$E)="Storage","",IF(_xlfn.XLOOKUP($B47,'ELC TECH'!$H:$H,'ELC TECH'!AM:AM)="",1,_xlfn.XLOOKUP($B47,'ELC TECH'!$H:$H,'ELC TECH'!AM:AM)))</f>
        <v/>
      </c>
      <c r="M47" s="12" t="str">
        <f>IF(_xlfn.XLOOKUP($B47,'ELC TECH'!$H:$H,'ELC TECH'!$E:$E)="Storage","",IF(_xlfn.XLOOKUP($B47,'ELC TECH'!$H:$H,'ELC TECH'!AN:AN)="",1,_xlfn.XLOOKUP($B47,'ELC TECH'!$H:$H,'ELC TECH'!AN:AN)))</f>
        <v/>
      </c>
      <c r="N47" s="12" t="str">
        <f>IF(_xlfn.XLOOKUP($B47,'ELC TECH'!$H:$H,'ELC TECH'!$E:$E)="Storage","",IF(_xlfn.XLOOKUP($B47,'ELC TECH'!$H:$H,'ELC TECH'!AO:AO)="",1,_xlfn.XLOOKUP($B47,'ELC TECH'!$H:$H,'ELC TECH'!AO:AO)))</f>
        <v/>
      </c>
      <c r="O47" s="12" t="str">
        <f>IF(_xlfn.XLOOKUP($B47,'ELC TECH'!$H:$H,'ELC TECH'!$E:$E)="Storage","",IF(_xlfn.XLOOKUP($B47,'ELC TECH'!$H:$H,'ELC TECH'!AP:AP)="",1,_xlfn.XLOOKUP($B47,'ELC TECH'!$H:$H,'ELC TECH'!AP:AP)))</f>
        <v/>
      </c>
      <c r="P47" s="12" t="str">
        <f>IF(_xlfn.XLOOKUP($B47,'ELC TECH'!$H:$H,'ELC TECH'!$E:$E)="Storage","",IF(_xlfn.XLOOKUP($B47,'ELC TECH'!$H:$H,'ELC TECH'!AQ:AQ)="",1,_xlfn.XLOOKUP($B47,'ELC TECH'!$H:$H,'ELC TECH'!AQ:AQ)))</f>
        <v/>
      </c>
      <c r="Q47" s="12" t="str">
        <f>IF(_xlfn.XLOOKUP($B47,'ELC TECH'!$H:$H,'ELC TECH'!$E:$E)="Storage","",IF(_xlfn.XLOOKUP($B47,'ELC TECH'!$H:$H,'ELC TECH'!AR:AR)="",1,_xlfn.XLOOKUP($B47,'ELC TECH'!$H:$H,'ELC TECH'!AR:AR)))</f>
        <v/>
      </c>
      <c r="R47" s="12">
        <f>IF(_xlfn.XLOOKUP($B47,'ELC TECH'!$H:$H,'ELC TECH'!$E:$E)&lt;&gt;"Storage","",IF(_xlfn.XLOOKUP($B47,'ELC TECH'!$H:$H,'ELC TECH'!AK:AK)="",0.8,_xlfn.XLOOKUP($B47,'ELC TECH'!$H:$H,'ELC TECH'!AK:AK)))</f>
        <v>0.8</v>
      </c>
      <c r="S47" s="12">
        <f>IF(_xlfn.XLOOKUP($B47,'ELC TECH'!$H:$H,'ELC TECH'!$E:$E)&lt;&gt;"Storage","",IF(_xlfn.XLOOKUP($B47,'ELC TECH'!$H:$H,'ELC TECH'!AL:AL)="",0.8,_xlfn.XLOOKUP($B47,'ELC TECH'!$H:$H,'ELC TECH'!AL:AL)))</f>
        <v>0.8</v>
      </c>
      <c r="T47" s="12">
        <f>IF(_xlfn.XLOOKUP($B47,'ELC TECH'!$H:$H,'ELC TECH'!$E:$E)&lt;&gt;"Storage","",IF(_xlfn.XLOOKUP($B47,'ELC TECH'!$H:$H,'ELC TECH'!AM:AM)="",0.8,_xlfn.XLOOKUP($B47,'ELC TECH'!$H:$H,'ELC TECH'!AM:AM)))</f>
        <v>0.8</v>
      </c>
      <c r="U47" s="12">
        <f>IF(_xlfn.XLOOKUP($B47,'ELC TECH'!$H:$H,'ELC TECH'!$E:$E)&lt;&gt;"Storage","",IF(_xlfn.XLOOKUP($B47,'ELC TECH'!$H:$H,'ELC TECH'!AN:AN)="",0.8,_xlfn.XLOOKUP($B47,'ELC TECH'!$H:$H,'ELC TECH'!AN:AN)))</f>
        <v>0.8</v>
      </c>
      <c r="V47" s="12">
        <f>IF(_xlfn.XLOOKUP($B47,'ELC TECH'!$H:$H,'ELC TECH'!$E:$E)&lt;&gt;"Storage","",IF(_xlfn.XLOOKUP($B47,'ELC TECH'!$H:$H,'ELC TECH'!AO:AO)="",0.8,_xlfn.XLOOKUP($B47,'ELC TECH'!$H:$H,'ELC TECH'!AO:AO)))</f>
        <v>0.8</v>
      </c>
      <c r="W47" s="12">
        <f>IF(_xlfn.XLOOKUP($B47,'ELC TECH'!$H:$H,'ELC TECH'!$E:$E)&lt;&gt;"Storage","",IF(_xlfn.XLOOKUP($B47,'ELC TECH'!$H:$H,'ELC TECH'!AP:AP)="",0.8,_xlfn.XLOOKUP($B47,'ELC TECH'!$H:$H,'ELC TECH'!AP:AP)))</f>
        <v>0.8</v>
      </c>
      <c r="X47" s="12">
        <f>IF(_xlfn.XLOOKUP($B47,'ELC TECH'!$H:$H,'ELC TECH'!$E:$E)&lt;&gt;"Storage","",IF(_xlfn.XLOOKUP($B47,'ELC TECH'!$H:$H,'ELC TECH'!AQ:AQ)="",0.8,_xlfn.XLOOKUP($B47,'ELC TECH'!$H:$H,'ELC TECH'!AQ:AQ)))</f>
        <v>0.8</v>
      </c>
      <c r="Y47" s="12">
        <f>IF(_xlfn.XLOOKUP($B47,'ELC TECH'!$H:$H,'ELC TECH'!$E:$E)&lt;&gt;"Storage","",IF(_xlfn.XLOOKUP($B47,'ELC TECH'!$H:$H,'ELC TECH'!AR:AR)="",0.8,_xlfn.XLOOKUP($B47,'ELC TECH'!$H:$H,'ELC TECH'!AR:AR)))</f>
        <v>0.8</v>
      </c>
      <c r="Z47" s="15">
        <f>_xlfn.XLOOKUP($B47,'ELC TECH'!$H:$H,'ELC TECH'!M:M)</f>
        <v>4141.3324292504731</v>
      </c>
      <c r="AA47" s="15">
        <f>_xlfn.XLOOKUP($B47,'ELC TECH'!$H:$H,'ELC TECH'!N:N)</f>
        <v>4141.3324292504731</v>
      </c>
      <c r="AB47" s="15">
        <f>_xlfn.XLOOKUP($B47,'ELC TECH'!$H:$H,'ELC TECH'!O:O)</f>
        <v>4141.3324292504731</v>
      </c>
      <c r="AC47" s="15">
        <f>_xlfn.XLOOKUP($B47,'ELC TECH'!$H:$H,'ELC TECH'!P:P)</f>
        <v>4141.3324292504731</v>
      </c>
      <c r="AD47" s="15">
        <f>_xlfn.XLOOKUP($B47,'ELC TECH'!$H:$H,'ELC TECH'!Q:Q)</f>
        <v>4141.3324292504731</v>
      </c>
      <c r="AE47" s="15">
        <f>_xlfn.XLOOKUP($B47,'ELC TECH'!$H:$H,'ELC TECH'!R:R)</f>
        <v>4141.3324292504731</v>
      </c>
      <c r="AF47" s="15">
        <f>_xlfn.XLOOKUP($B47,'ELC TECH'!$H:$H,'ELC TECH'!S:S)</f>
        <v>4141.3324292504731</v>
      </c>
      <c r="AG47" s="15">
        <f>_xlfn.XLOOKUP($B47,'ELC TECH'!$H:$H,'ELC TECH'!T:T)</f>
        <v>4141.3324292504731</v>
      </c>
      <c r="AH47" s="15">
        <f>_xlfn.XLOOKUP($B47,'ELC TECH'!$H:$H,'ELC TECH'!U:U)</f>
        <v>21.100097091380029</v>
      </c>
      <c r="AI47" s="15">
        <f>_xlfn.XLOOKUP($B47,'ELC TECH'!$H:$H,'ELC TECH'!V:V)</f>
        <v>21.100097091380029</v>
      </c>
      <c r="AJ47" s="15">
        <f>_xlfn.XLOOKUP($B47,'ELC TECH'!$H:$H,'ELC TECH'!W:W)</f>
        <v>21.100097091380029</v>
      </c>
      <c r="AK47" s="15">
        <f>_xlfn.XLOOKUP($B47,'ELC TECH'!$H:$H,'ELC TECH'!X:X)</f>
        <v>21.100097091380029</v>
      </c>
      <c r="AL47" s="15">
        <f>_xlfn.XLOOKUP($B47,'ELC TECH'!$H:$H,'ELC TECH'!Y:Y)</f>
        <v>21.100097091380029</v>
      </c>
      <c r="AM47" s="15">
        <f>_xlfn.XLOOKUP($B47,'ELC TECH'!$H:$H,'ELC TECH'!Z:Z)</f>
        <v>21.100097091380029</v>
      </c>
      <c r="AN47" s="15">
        <f>_xlfn.XLOOKUP($B47,'ELC TECH'!$H:$H,'ELC TECH'!AA:AA)</f>
        <v>21.100097091380029</v>
      </c>
      <c r="AO47" s="15">
        <f>_xlfn.XLOOKUP($B47,'ELC TECH'!$H:$H,'ELC TECH'!AB:AB)</f>
        <v>21.100097091380029</v>
      </c>
      <c r="AP47" s="15">
        <f>_xlfn.XLOOKUP($B47,'ELC TECH'!$H:$H,'ELC TECH'!AC:AC)</f>
        <v>0.1696149283872993</v>
      </c>
      <c r="AQ47" s="15">
        <f>_xlfn.XLOOKUP($B47,'ELC TECH'!$H:$H,'ELC TECH'!AD:AD)</f>
        <v>0.1696149283872993</v>
      </c>
      <c r="AR47" s="15">
        <f>_xlfn.XLOOKUP($B47,'ELC TECH'!$H:$H,'ELC TECH'!AE:AE)</f>
        <v>0.1696149283872993</v>
      </c>
      <c r="AS47" s="15">
        <f>_xlfn.XLOOKUP($B47,'ELC TECH'!$H:$H,'ELC TECH'!AF:AF)</f>
        <v>0.1696149283872993</v>
      </c>
      <c r="AT47" s="15">
        <f>_xlfn.XLOOKUP($B47,'ELC TECH'!$H:$H,'ELC TECH'!AG:AG)</f>
        <v>0.1696149283872993</v>
      </c>
      <c r="AU47" s="15">
        <f>_xlfn.XLOOKUP($B47,'ELC TECH'!$H:$H,'ELC TECH'!AH:AH)</f>
        <v>0.1696149283872993</v>
      </c>
      <c r="AV47" s="15">
        <f>_xlfn.XLOOKUP($B47,'ELC TECH'!$H:$H,'ELC TECH'!AI:AI)</f>
        <v>0.1696149283872993</v>
      </c>
      <c r="AW47" s="15">
        <f>_xlfn.XLOOKUP($B47,'ELC TECH'!$H:$H,'ELC TECH'!AJ:AJ)</f>
        <v>0.1696149283872993</v>
      </c>
      <c r="AX47" s="12" t="str">
        <f>IF(_xlfn.XLOOKUP($B47,'ELC TECH'!$H:$H,'ELC TECH'!$E:$E)="Storage","",_xlfn.XLOOKUP($B47,'ELC TECH'!$H:$H,'ELC TECH'!AS:AS))</f>
        <v/>
      </c>
      <c r="AY47" s="12" t="str">
        <f>IF(_xlfn.XLOOKUP($B47,'ELC TECH'!$H:$H,'ELC TECH'!$E:$E)="Storage","",_xlfn.XLOOKUP($B47,'ELC TECH'!$H:$H,'ELC TECH'!AT:AT))</f>
        <v/>
      </c>
      <c r="AZ47" s="12" t="str">
        <f>IF(_xlfn.XLOOKUP($B47,'ELC TECH'!$H:$H,'ELC TECH'!$E:$E)="Storage","",_xlfn.XLOOKUP($B47,'ELC TECH'!$H:$H,'ELC TECH'!AU:AU))</f>
        <v/>
      </c>
      <c r="BA47" s="12" t="str">
        <f>IF(_xlfn.XLOOKUP($B47,'ELC TECH'!$H:$H,'ELC TECH'!$E:$E)="Storage","",_xlfn.XLOOKUP($B47,'ELC TECH'!$H:$H,'ELC TECH'!AV:AV))</f>
        <v/>
      </c>
      <c r="BB47" s="12" t="str">
        <f>IF(_xlfn.XLOOKUP($B47,'ELC TECH'!$H:$H,'ELC TECH'!$E:$E)="Storage","",_xlfn.XLOOKUP($B47,'ELC TECH'!$H:$H,'ELC TECH'!AW:AW))</f>
        <v/>
      </c>
      <c r="BC47" s="12" t="str">
        <f>IF(_xlfn.XLOOKUP($B47,'ELC TECH'!$H:$H,'ELC TECH'!$E:$E)="Storage","",_xlfn.XLOOKUP($B47,'ELC TECH'!$H:$H,'ELC TECH'!AX:AX))</f>
        <v/>
      </c>
      <c r="BD47" s="12" t="str">
        <f>IF(_xlfn.XLOOKUP($B47,'ELC TECH'!$H:$H,'ELC TECH'!$E:$E)="Storage","",_xlfn.XLOOKUP($B47,'ELC TECH'!$H:$H,'ELC TECH'!AY:AY))</f>
        <v/>
      </c>
      <c r="BE47" s="12" t="str">
        <f>IF(_xlfn.XLOOKUP($B47,'ELC TECH'!$H:$H,'ELC TECH'!$E:$E)="Storage","",_xlfn.XLOOKUP($B47,'ELC TECH'!$H:$H,'ELC TECH'!AZ:AZ))</f>
        <v/>
      </c>
      <c r="BF47" s="12">
        <f>IF(_xlfn.XLOOKUP($B47,'ELC TECH'!$H:$H,'ELC TECH'!$E:$E)="Storage",_xlfn.XLOOKUP($B47,'ELC TECH'!$H:$H,'ELC TECH'!AS:AS),"")</f>
        <v>0.5</v>
      </c>
      <c r="BG47" s="12">
        <f>IF(_xlfn.XLOOKUP($B47,'ELC TECH'!$H:$H,'ELC TECH'!$E:$E)="Storage",_xlfn.XLOOKUP($B47,'ELC TECH'!$H:$H,'ELC TECH'!AT:AT),"")</f>
        <v>0.5</v>
      </c>
      <c r="BH47" s="12">
        <f>IF(_xlfn.XLOOKUP($B47,'ELC TECH'!$H:$H,'ELC TECH'!$E:$E)="Storage",_xlfn.XLOOKUP($B47,'ELC TECH'!$H:$H,'ELC TECH'!AU:AU),"")</f>
        <v>0.5</v>
      </c>
      <c r="BI47" s="12">
        <f>IF(_xlfn.XLOOKUP($B47,'ELC TECH'!$H:$H,'ELC TECH'!$E:$E)="Storage",_xlfn.XLOOKUP($B47,'ELC TECH'!$H:$H,'ELC TECH'!AV:AV),"")</f>
        <v>0.5</v>
      </c>
      <c r="BJ47" s="12">
        <f>IF(_xlfn.XLOOKUP($B47,'ELC TECH'!$H:$H,'ELC TECH'!$E:$E)="Storage",_xlfn.XLOOKUP($B47,'ELC TECH'!$H:$H,'ELC TECH'!AW:AW),"")</f>
        <v>0.5</v>
      </c>
      <c r="BK47" s="12">
        <f>IF(_xlfn.XLOOKUP($B47,'ELC TECH'!$H:$H,'ELC TECH'!$E:$E)="Storage",_xlfn.XLOOKUP($B47,'ELC TECH'!$H:$H,'ELC TECH'!AX:AX),"")</f>
        <v>0.5</v>
      </c>
      <c r="BL47" s="12">
        <f>IF(_xlfn.XLOOKUP($B47,'ELC TECH'!$H:$H,'ELC TECH'!$E:$E)="Storage",_xlfn.XLOOKUP($B47,'ELC TECH'!$H:$H,'ELC TECH'!AY:AY),"")</f>
        <v>0.5</v>
      </c>
      <c r="BM47" s="12">
        <f>IF(_xlfn.XLOOKUP($B47,'ELC TECH'!$H:$H,'ELC TECH'!$E:$E)="Storage",_xlfn.XLOOKUP($B47,'ELC TECH'!$H:$H,'ELC TECH'!AZ:AZ),"")</f>
        <v>0.5</v>
      </c>
      <c r="BN47" s="8" t="str">
        <f>IF(_xlfn.XLOOKUP($B47,'ELC TECH'!$H:$H,'ELC TECH'!$E:$E)="Non Dispatchable",IFERROR($AX47*_xlfn.XLOOKUP($C47,$BM$1:$BM$3,BN$1:BN$3)/SUMPRODUCT(_xlfn.XLOOKUP($C47,$BM$1:$BM$3,$BN$1:$BY$3),$BN$4:$BY$4),""),
"")</f>
        <v/>
      </c>
      <c r="BO47" s="8" t="str">
        <f>IF(_xlfn.XLOOKUP($B47,'ELC TECH'!$H:$H,'ELC TECH'!$E:$E)="Non Dispatchable",IFERROR($AX47*_xlfn.XLOOKUP($C47,$BM$1:$BM$3,BO$1:BO$3)/SUMPRODUCT(_xlfn.XLOOKUP($C47,$BM$1:$BM$3,$BN$1:$BY$3),$BN$4:$BY$4),""),
"")</f>
        <v/>
      </c>
      <c r="BP47" s="8" t="str">
        <f>IF(_xlfn.XLOOKUP($B47,'ELC TECH'!$H:$H,'ELC TECH'!$E:$E)="Non Dispatchable",IFERROR($AX47*_xlfn.XLOOKUP($C47,$BM$1:$BM$3,BP$1:BP$3)/SUMPRODUCT(_xlfn.XLOOKUP($C47,$BM$1:$BM$3,$BN$1:$BY$3),$BN$4:$BY$4),""),
"")</f>
        <v/>
      </c>
      <c r="BQ47" s="8" t="str">
        <f>IF(_xlfn.XLOOKUP($B47,'ELC TECH'!$H:$H,'ELC TECH'!$E:$E)="Non Dispatchable",IFERROR($AX47*_xlfn.XLOOKUP($C47,$BM$1:$BM$3,BQ$1:BQ$3)/SUMPRODUCT(_xlfn.XLOOKUP($C47,$BM$1:$BM$3,$BN$1:$BY$3),$BN$4:$BY$4),""),
"")</f>
        <v/>
      </c>
      <c r="BR47" s="8" t="str">
        <f>IF(_xlfn.XLOOKUP($B47,'ELC TECH'!$H:$H,'ELC TECH'!$E:$E)="Non Dispatchable",IFERROR($AX47*_xlfn.XLOOKUP($C47,$BM$1:$BM$3,BR$1:BR$3)/SUMPRODUCT(_xlfn.XLOOKUP($C47,$BM$1:$BM$3,$BN$1:$BY$3),$BN$4:$BY$4),""),
"")</f>
        <v/>
      </c>
      <c r="BS47" s="8" t="str">
        <f>IF(_xlfn.XLOOKUP($B47,'ELC TECH'!$H:$H,'ELC TECH'!$E:$E)="Non Dispatchable",IFERROR($AX47*_xlfn.XLOOKUP($C47,$BM$1:$BM$3,BS$1:BS$3)/SUMPRODUCT(_xlfn.XLOOKUP($C47,$BM$1:$BM$3,$BN$1:$BY$3),$BN$4:$BY$4),""),
"")</f>
        <v/>
      </c>
      <c r="BT47" s="8" t="str">
        <f>IF(_xlfn.XLOOKUP($B47,'ELC TECH'!$H:$H,'ELC TECH'!$E:$E)="Non Dispatchable",IFERROR($AX47*_xlfn.XLOOKUP($C47,$BM$1:$BM$3,BT$1:BT$3)/SUMPRODUCT(_xlfn.XLOOKUP($C47,$BM$1:$BM$3,$BN$1:$BY$3),$BN$4:$BY$4),""),
"")</f>
        <v/>
      </c>
      <c r="BU47" s="8" t="str">
        <f>IF(_xlfn.XLOOKUP($B47,'ELC TECH'!$H:$H,'ELC TECH'!$E:$E)="Non Dispatchable",IFERROR($AX47*_xlfn.XLOOKUP($C47,$BM$1:$BM$3,BU$1:BU$3)/SUMPRODUCT(_xlfn.XLOOKUP($C47,$BM$1:$BM$3,$BN$1:$BY$3),$BN$4:$BY$4),""),
"")</f>
        <v/>
      </c>
      <c r="BV47" s="8" t="str">
        <f>IF(_xlfn.XLOOKUP($B47,'ELC TECH'!$H:$H,'ELC TECH'!$E:$E)="Non Dispatchable",IFERROR($AX47*_xlfn.XLOOKUP($C47,$BM$1:$BM$3,BV$1:BV$3)/SUMPRODUCT(_xlfn.XLOOKUP($C47,$BM$1:$BM$3,$BN$1:$BY$3),$BN$4:$BY$4),""),
"")</f>
        <v/>
      </c>
      <c r="BW47" s="8" t="str">
        <f>IF(_xlfn.XLOOKUP($B47,'ELC TECH'!$H:$H,'ELC TECH'!$E:$E)="Non Dispatchable",IFERROR($AX47*_xlfn.XLOOKUP($C47,$BM$1:$BM$3,BW$1:BW$3)/SUMPRODUCT(_xlfn.XLOOKUP($C47,$BM$1:$BM$3,$BN$1:$BY$3),$BN$4:$BY$4),""),
"")</f>
        <v/>
      </c>
      <c r="BX47" s="8" t="str">
        <f>IF(_xlfn.XLOOKUP($B47,'ELC TECH'!$H:$H,'ELC TECH'!$E:$E)="Non Dispatchable",IFERROR($AX47*_xlfn.XLOOKUP($C47,$BM$1:$BM$3,BX$1:BX$3)/SUMPRODUCT(_xlfn.XLOOKUP($C47,$BM$1:$BM$3,$BN$1:$BY$3),$BN$4:$BY$4),""),
"")</f>
        <v/>
      </c>
      <c r="BY47" s="8" t="str">
        <f>IF(_xlfn.XLOOKUP($B47,'ELC TECH'!$H:$H,'ELC TECH'!$E:$E)="Non Dispatchable",IFERROR($AX47*_xlfn.XLOOKUP($C47,$BM$1:$BM$3,BY$1:BY$3)/SUMPRODUCT(_xlfn.XLOOKUP($C47,$BM$1:$BM$3,$BN$1:$BY$3),$BN$4:$BY$4),""),
"")</f>
        <v/>
      </c>
      <c r="BZ47" s="8" t="str">
        <f>IF(_xlfn.XLOOKUP($B47,'ELC TECH'!$H:$H,'ELC TECH'!$E:$E)="Non Dispatchable",IFERROR($AX47*_xlfn.XLOOKUP($C47,$BM$1:$BM$3,BZ$1:BZ$3)/SUMPRODUCT(_xlfn.XLOOKUP($C47,$BM$1:$BM$3,$BN$1:$BY$3),$BN$4:$BY$4),""),
"")</f>
        <v/>
      </c>
      <c r="CA47" s="8" t="str">
        <f>IF(_xlfn.XLOOKUP($B47,'ELC TECH'!$H:$H,'ELC TECH'!$E:$E)="Non Dispatchable",IFERROR($AX47*_xlfn.XLOOKUP($C47,$BM$1:$BM$3,CA$1:CA$3)/SUMPRODUCT(_xlfn.XLOOKUP($C47,$BM$1:$BM$3,$BN$1:$BY$3),$BN$4:$BY$4),""),
"")</f>
        <v/>
      </c>
      <c r="CB47" s="8" t="str">
        <f>IF(_xlfn.XLOOKUP($B47,'ELC TECH'!$H:$H,'ELC TECH'!$E:$E)="Non Dispatchable",IFERROR($AX47*_xlfn.XLOOKUP($C47,$BM$1:$BM$3,CB$1:CB$3)/SUMPRODUCT(_xlfn.XLOOKUP($C47,$BM$1:$BM$3,$BN$1:$BY$3),$BN$4:$BY$4),""),
"")</f>
        <v/>
      </c>
      <c r="CC47" s="8" t="str">
        <f>IF(_xlfn.XLOOKUP($B47,'ELC TECH'!$H:$H,'ELC TECH'!$E:$E)="Non Dispatchable",IFERROR($AX47*_xlfn.XLOOKUP($C47,$BM$1:$BM$3,CC$1:CC$3)/SUMPRODUCT(_xlfn.XLOOKUP($C47,$BM$1:$BM$3,$BN$1:$BY$3),$BN$4:$BY$4),""),
"")</f>
        <v/>
      </c>
      <c r="CD47" s="8" t="str">
        <f>IF(_xlfn.XLOOKUP($B47,'ELC TECH'!$H:$H,'ELC TECH'!$E:$E)="Non Dispatchable",IFERROR($AX47*_xlfn.XLOOKUP($C47,$BM$1:$BM$3,CD$1:CD$3)/SUMPRODUCT(_xlfn.XLOOKUP($C47,$BM$1:$BM$3,$BN$1:$BY$3),$BN$4:$BY$4),""),
"")</f>
        <v/>
      </c>
      <c r="CE47" s="8" t="str">
        <f>IF(_xlfn.XLOOKUP($B47,'ELC TECH'!$H:$H,'ELC TECH'!$E:$E)="Non Dispatchable",IFERROR($AX47*_xlfn.XLOOKUP($C47,$BM$1:$BM$3,CE$1:CE$3)/SUMPRODUCT(_xlfn.XLOOKUP($C47,$BM$1:$BM$3,$BN$1:$BY$3),$BN$4:$BY$4),""),
"")</f>
        <v/>
      </c>
      <c r="CF47" s="8" t="str">
        <f>IF(_xlfn.XLOOKUP($B47,'ELC TECH'!$H:$H,'ELC TECH'!$E:$E)="Non Dispatchable",IFERROR($AX47*_xlfn.XLOOKUP($C47,$BM$1:$BM$3,CF$1:CF$3)/SUMPRODUCT(_xlfn.XLOOKUP($C47,$BM$1:$BM$3,$BN$1:$BY$3),$BN$4:$BY$4),""),
"")</f>
        <v/>
      </c>
      <c r="CG47" s="8" t="str">
        <f>IF(_xlfn.XLOOKUP($B47,'ELC TECH'!$H:$H,'ELC TECH'!$E:$E)="Non Dispatchable",IFERROR($AX47*_xlfn.XLOOKUP($C47,$BM$1:$BM$3,CG$1:CG$3)/SUMPRODUCT(_xlfn.XLOOKUP($C47,$BM$1:$BM$3,$BN$1:$BY$3),$BN$4:$BY$4),""),
"")</f>
        <v/>
      </c>
      <c r="CH47" s="8" t="str">
        <f>IF(_xlfn.XLOOKUP($B47,'ELC TECH'!$H:$H,'ELC TECH'!$E:$E)="Non Dispatchable",IFERROR($AX47*_xlfn.XLOOKUP($C47,$BM$1:$BM$3,CH$1:CH$3)/SUMPRODUCT(_xlfn.XLOOKUP($C47,$BM$1:$BM$3,$BN$1:$BY$3),$BN$4:$BY$4),""),
"")</f>
        <v/>
      </c>
      <c r="CI47" s="8" t="str">
        <f>IF(_xlfn.XLOOKUP($B47,'ELC TECH'!$H:$H,'ELC TECH'!$E:$E)="Non Dispatchable",IFERROR($AX47*_xlfn.XLOOKUP($C47,$BM$1:$BM$3,CI$1:CI$3)/SUMPRODUCT(_xlfn.XLOOKUP($C47,$BM$1:$BM$3,$BN$1:$BY$3),$BN$4:$BY$4),""),
"")</f>
        <v/>
      </c>
      <c r="CJ47" s="8" t="str">
        <f>IF(_xlfn.XLOOKUP($B47,'ELC TECH'!$H:$H,'ELC TECH'!$E:$E)="Non Dispatchable",IFERROR($AX47*_xlfn.XLOOKUP($C47,$BM$1:$BM$3,CJ$1:CJ$3)/SUMPRODUCT(_xlfn.XLOOKUP($C47,$BM$1:$BM$3,$BN$1:$BY$3),$BN$4:$BY$4),""),
"")</f>
        <v/>
      </c>
      <c r="CK47" s="8" t="str">
        <f>IF(_xlfn.XLOOKUP($B47,'ELC TECH'!$H:$H,'ELC TECH'!$E:$E)="Non Dispatchable",IFERROR($AX47*_xlfn.XLOOKUP($C47,$BM$1:$BM$3,CK$1:CK$3)/SUMPRODUCT(_xlfn.XLOOKUP($C47,$BM$1:$BM$3,$BN$1:$BY$3),$BN$4:$BY$4),""),
"")</f>
        <v/>
      </c>
      <c r="CL47" s="8">
        <f>IF(_xlfn.XLOOKUP($B47,'ELC TECH'!$H:$H,'ELC TECH'!$E:$E)="Storage",CL$4*$BF47,"")</f>
        <v>4.1099999999999998E-2</v>
      </c>
      <c r="CM47" s="8">
        <f>IF(_xlfn.XLOOKUP($B47,'ELC TECH'!$H:$H,'ELC TECH'!$E:$E)="Storage",CM$4*$BF47,"")</f>
        <v>4.7849999999999997E-2</v>
      </c>
      <c r="CN47" s="8">
        <f>IF(_xlfn.XLOOKUP($B47,'ELC TECH'!$H:$H,'ELC TECH'!$E:$E)="Storage",CN$4*$BF47,"")</f>
        <v>7.6600000000000001E-2</v>
      </c>
      <c r="CO47" s="8">
        <f>IF(_xlfn.XLOOKUP($B47,'ELC TECH'!$H:$H,'ELC TECH'!$E:$E)="Storage",CO$4*$BF47,"")</f>
        <v>1.6000000000000001E-3</v>
      </c>
      <c r="CP47" s="8">
        <f>IF(_xlfn.XLOOKUP($B47,'ELC TECH'!$H:$H,'ELC TECH'!$E:$E)="Storage",CP$4*$BF47,"")</f>
        <v>4.0750000000000001E-2</v>
      </c>
      <c r="CQ47" s="8">
        <f>IF(_xlfn.XLOOKUP($B47,'ELC TECH'!$H:$H,'ELC TECH'!$E:$E)="Storage",CQ$4*$BF47,"")</f>
        <v>5.4350000000000002E-2</v>
      </c>
      <c r="CR47" s="8">
        <f>IF(_xlfn.XLOOKUP($B47,'ELC TECH'!$H:$H,'ELC TECH'!$E:$E)="Storage",CR$4*$BF47,"")</f>
        <v>6.905E-2</v>
      </c>
      <c r="CS47" s="8">
        <f>IF(_xlfn.XLOOKUP($B47,'ELC TECH'!$H:$H,'ELC TECH'!$E:$E)="Storage",CS$4*$BF47,"")</f>
        <v>1.6000000000000001E-3</v>
      </c>
      <c r="CT47" s="8">
        <f>IF(_xlfn.XLOOKUP($B47,'ELC TECH'!$H:$H,'ELC TECH'!$E:$E)="Storage",CT$4*$BF47,"")</f>
        <v>4.8750000000000002E-2</v>
      </c>
      <c r="CU47" s="8">
        <f>IF(_xlfn.XLOOKUP($B47,'ELC TECH'!$H:$H,'ELC TECH'!$E:$E)="Storage",CU$4*$BF47,"")</f>
        <v>5.4350000000000002E-2</v>
      </c>
      <c r="CV47" s="8">
        <f>IF(_xlfn.XLOOKUP($B47,'ELC TECH'!$H:$H,'ELC TECH'!$E:$E)="Storage",CV$4*$BF47,"")</f>
        <v>6.2649999999999997E-2</v>
      </c>
      <c r="CW47" s="8">
        <f>IF(_xlfn.XLOOKUP($B47,'ELC TECH'!$H:$H,'ELC TECH'!$E:$E)="Storage",CW$4*$BF47,"")</f>
        <v>1.3500000000000001E-3</v>
      </c>
      <c r="CX47" s="8">
        <f>IF(_xlfn.XLOOKUP($B47,'ELC TECH'!$H:$H,'ELC TECH'!$E:$E)="Storage",CX$4*$BF47,"")</f>
        <v>4.1099999999999998E-2</v>
      </c>
      <c r="CY47" s="8">
        <f>IF(_xlfn.XLOOKUP($B47,'ELC TECH'!$H:$H,'ELC TECH'!$E:$E)="Storage",CY$4*$BF47,"")</f>
        <v>4.7849999999999997E-2</v>
      </c>
      <c r="CZ47" s="8">
        <f>IF(_xlfn.XLOOKUP($B47,'ELC TECH'!$H:$H,'ELC TECH'!$E:$E)="Storage",CZ$4*$BF47,"")</f>
        <v>7.6600000000000001E-2</v>
      </c>
      <c r="DA47" s="8">
        <f>IF(_xlfn.XLOOKUP($B47,'ELC TECH'!$H:$H,'ELC TECH'!$E:$E)="Storage",DA$4*$BF47,"")</f>
        <v>1.6000000000000001E-3</v>
      </c>
      <c r="DB47" s="8">
        <f>IF(_xlfn.XLOOKUP($B47,'ELC TECH'!$H:$H,'ELC TECH'!$E:$E)="Storage",DB$4*$BF47,"")</f>
        <v>4.0750000000000001E-2</v>
      </c>
      <c r="DC47" s="8">
        <f>IF(_xlfn.XLOOKUP($B47,'ELC TECH'!$H:$H,'ELC TECH'!$E:$E)="Storage",DC$4*$BF47,"")</f>
        <v>5.4350000000000002E-2</v>
      </c>
      <c r="DD47" s="8">
        <f>IF(_xlfn.XLOOKUP($B47,'ELC TECH'!$H:$H,'ELC TECH'!$E:$E)="Storage",DD$4*$BF47,"")</f>
        <v>6.905E-2</v>
      </c>
      <c r="DE47" s="8">
        <f>IF(_xlfn.XLOOKUP($B47,'ELC TECH'!$H:$H,'ELC TECH'!$E:$E)="Storage",DE$4*$BF47,"")</f>
        <v>1.6000000000000001E-3</v>
      </c>
      <c r="DF47" s="8">
        <f>IF(_xlfn.XLOOKUP($B47,'ELC TECH'!$H:$H,'ELC TECH'!$E:$E)="Storage",DF$4*$BF47,"")</f>
        <v>4.8750000000000002E-2</v>
      </c>
      <c r="DG47" s="8">
        <f>IF(_xlfn.XLOOKUP($B47,'ELC TECH'!$H:$H,'ELC TECH'!$E:$E)="Storage",DG$4*$BF47,"")</f>
        <v>5.4350000000000002E-2</v>
      </c>
      <c r="DH47" s="8">
        <f>IF(_xlfn.XLOOKUP($B47,'ELC TECH'!$H:$H,'ELC TECH'!$E:$E)="Storage",DH$4*$BF47,"")</f>
        <v>6.2649999999999997E-2</v>
      </c>
      <c r="DI47" s="8">
        <f>IF(_xlfn.XLOOKUP($B47,'ELC TECH'!$H:$H,'ELC TECH'!$E:$E)="Storage",DI$4*$BF47,"")</f>
        <v>1.3500000000000001E-3</v>
      </c>
    </row>
    <row r="48" spans="2:113" x14ac:dyDescent="0.25">
      <c r="B48" t="str">
        <f>IF('ELC TECH'!I41=0,"*",'ELC TECH'!H41)</f>
        <v>ELCSTGGRDPSH12HC1320</v>
      </c>
      <c r="C48" t="str">
        <f>IF(_xlfn.XLOOKUP(_xlfn.XLOOKUP(B48,'ELC TECH'!$H:$H,'ELC TECH'!$G:$G),List!C:C,List!B:B)="STG",D48,"ELC"&amp;_xlfn.XLOOKUP(_xlfn.XLOOKUP(B48,'ELC TECH'!H:H,'ELC TECH'!G:G),List!C:C,List!B:B))</f>
        <v>CELC</v>
      </c>
      <c r="D48" t="s">
        <v>544</v>
      </c>
      <c r="E48">
        <f>_xlfn.XLOOKUP(B48,'ELC TECH'!H:H,'ELC TECH'!D:D)</f>
        <v>2020</v>
      </c>
      <c r="F48">
        <f>_xlfn.XLOOKUP(B48,'ELC TECH'!H:H,'ELC TECH'!K:K)</f>
        <v>100</v>
      </c>
      <c r="G48">
        <f t="shared" si="5"/>
        <v>31.535999999999998</v>
      </c>
      <c r="H48">
        <f>IF(_xlfn.XLOOKUP(B48,'ELC TECH'!$H:$H,'ELC TECH'!$E:$E)="Storage",0.3,IF(_xlfn.XLOOKUP(B48,'ELC TECH'!$H:$H,'ELC TECH'!$E:$E)="Baseload",0.9,IF(_xlfn.XLOOKUP(B48,'ELC TECH'!$H:$H,'ELC TECH'!$E:$E)="Non Dispatchable",0.05,IF(_xlfn.XLOOKUP(B48,'ELC TECH'!$H:$H,'ELC TECH'!$E:$E)="Dispatchable",0.9,1))))</f>
        <v>0.3</v>
      </c>
      <c r="I48" s="13">
        <f>IF(_xlfn.XLOOKUP(B48,'ELC TECH'!H:H,'ELC TECH'!J:J)="","",_xlfn.XLOOKUP(B48,'ELC TECH'!H:H,'ELC TECH'!J:J))</f>
        <v>0</v>
      </c>
      <c r="J48" s="12" t="str">
        <f>IF(_xlfn.XLOOKUP($B48,'ELC TECH'!$H:$H,'ELC TECH'!$E:$E)="Storage","",IF(_xlfn.XLOOKUP($B48,'ELC TECH'!$H:$H,'ELC TECH'!AK:AK)="",1,_xlfn.XLOOKUP($B48,'ELC TECH'!$H:$H,'ELC TECH'!AK:AK)))</f>
        <v/>
      </c>
      <c r="K48" s="12" t="str">
        <f>IF(_xlfn.XLOOKUP($B48,'ELC TECH'!$H:$H,'ELC TECH'!$E:$E)="Storage","",IF(_xlfn.XLOOKUP($B48,'ELC TECH'!$H:$H,'ELC TECH'!AL:AL)="",1,_xlfn.XLOOKUP($B48,'ELC TECH'!$H:$H,'ELC TECH'!AL:AL)))</f>
        <v/>
      </c>
      <c r="L48" s="12" t="str">
        <f>IF(_xlfn.XLOOKUP($B48,'ELC TECH'!$H:$H,'ELC TECH'!$E:$E)="Storage","",IF(_xlfn.XLOOKUP($B48,'ELC TECH'!$H:$H,'ELC TECH'!AM:AM)="",1,_xlfn.XLOOKUP($B48,'ELC TECH'!$H:$H,'ELC TECH'!AM:AM)))</f>
        <v/>
      </c>
      <c r="M48" s="12" t="str">
        <f>IF(_xlfn.XLOOKUP($B48,'ELC TECH'!$H:$H,'ELC TECH'!$E:$E)="Storage","",IF(_xlfn.XLOOKUP($B48,'ELC TECH'!$H:$H,'ELC TECH'!AN:AN)="",1,_xlfn.XLOOKUP($B48,'ELC TECH'!$H:$H,'ELC TECH'!AN:AN)))</f>
        <v/>
      </c>
      <c r="N48" s="12" t="str">
        <f>IF(_xlfn.XLOOKUP($B48,'ELC TECH'!$H:$H,'ELC TECH'!$E:$E)="Storage","",IF(_xlfn.XLOOKUP($B48,'ELC TECH'!$H:$H,'ELC TECH'!AO:AO)="",1,_xlfn.XLOOKUP($B48,'ELC TECH'!$H:$H,'ELC TECH'!AO:AO)))</f>
        <v/>
      </c>
      <c r="O48" s="12" t="str">
        <f>IF(_xlfn.XLOOKUP($B48,'ELC TECH'!$H:$H,'ELC TECH'!$E:$E)="Storage","",IF(_xlfn.XLOOKUP($B48,'ELC TECH'!$H:$H,'ELC TECH'!AP:AP)="",1,_xlfn.XLOOKUP($B48,'ELC TECH'!$H:$H,'ELC TECH'!AP:AP)))</f>
        <v/>
      </c>
      <c r="P48" s="12" t="str">
        <f>IF(_xlfn.XLOOKUP($B48,'ELC TECH'!$H:$H,'ELC TECH'!$E:$E)="Storage","",IF(_xlfn.XLOOKUP($B48,'ELC TECH'!$H:$H,'ELC TECH'!AQ:AQ)="",1,_xlfn.XLOOKUP($B48,'ELC TECH'!$H:$H,'ELC TECH'!AQ:AQ)))</f>
        <v/>
      </c>
      <c r="Q48" s="12" t="str">
        <f>IF(_xlfn.XLOOKUP($B48,'ELC TECH'!$H:$H,'ELC TECH'!$E:$E)="Storage","",IF(_xlfn.XLOOKUP($B48,'ELC TECH'!$H:$H,'ELC TECH'!AR:AR)="",1,_xlfn.XLOOKUP($B48,'ELC TECH'!$H:$H,'ELC TECH'!AR:AR)))</f>
        <v/>
      </c>
      <c r="R48" s="12">
        <f>IF(_xlfn.XLOOKUP($B48,'ELC TECH'!$H:$H,'ELC TECH'!$E:$E)&lt;&gt;"Storage","",IF(_xlfn.XLOOKUP($B48,'ELC TECH'!$H:$H,'ELC TECH'!AK:AK)="",0.8,_xlfn.XLOOKUP($B48,'ELC TECH'!$H:$H,'ELC TECH'!AK:AK)))</f>
        <v>0.8</v>
      </c>
      <c r="S48" s="12">
        <f>IF(_xlfn.XLOOKUP($B48,'ELC TECH'!$H:$H,'ELC TECH'!$E:$E)&lt;&gt;"Storage","",IF(_xlfn.XLOOKUP($B48,'ELC TECH'!$H:$H,'ELC TECH'!AL:AL)="",0.8,_xlfn.XLOOKUP($B48,'ELC TECH'!$H:$H,'ELC TECH'!AL:AL)))</f>
        <v>0.8</v>
      </c>
      <c r="T48" s="12">
        <f>IF(_xlfn.XLOOKUP($B48,'ELC TECH'!$H:$H,'ELC TECH'!$E:$E)&lt;&gt;"Storage","",IF(_xlfn.XLOOKUP($B48,'ELC TECH'!$H:$H,'ELC TECH'!AM:AM)="",0.8,_xlfn.XLOOKUP($B48,'ELC TECH'!$H:$H,'ELC TECH'!AM:AM)))</f>
        <v>0.8</v>
      </c>
      <c r="U48" s="12">
        <f>IF(_xlfn.XLOOKUP($B48,'ELC TECH'!$H:$H,'ELC TECH'!$E:$E)&lt;&gt;"Storage","",IF(_xlfn.XLOOKUP($B48,'ELC TECH'!$H:$H,'ELC TECH'!AN:AN)="",0.8,_xlfn.XLOOKUP($B48,'ELC TECH'!$H:$H,'ELC TECH'!AN:AN)))</f>
        <v>0.8</v>
      </c>
      <c r="V48" s="12">
        <f>IF(_xlfn.XLOOKUP($B48,'ELC TECH'!$H:$H,'ELC TECH'!$E:$E)&lt;&gt;"Storage","",IF(_xlfn.XLOOKUP($B48,'ELC TECH'!$H:$H,'ELC TECH'!AO:AO)="",0.8,_xlfn.XLOOKUP($B48,'ELC TECH'!$H:$H,'ELC TECH'!AO:AO)))</f>
        <v>0.8</v>
      </c>
      <c r="W48" s="12">
        <f>IF(_xlfn.XLOOKUP($B48,'ELC TECH'!$H:$H,'ELC TECH'!$E:$E)&lt;&gt;"Storage","",IF(_xlfn.XLOOKUP($B48,'ELC TECH'!$H:$H,'ELC TECH'!AP:AP)="",0.8,_xlfn.XLOOKUP($B48,'ELC TECH'!$H:$H,'ELC TECH'!AP:AP)))</f>
        <v>0.8</v>
      </c>
      <c r="X48" s="12">
        <f>IF(_xlfn.XLOOKUP($B48,'ELC TECH'!$H:$H,'ELC TECH'!$E:$E)&lt;&gt;"Storage","",IF(_xlfn.XLOOKUP($B48,'ELC TECH'!$H:$H,'ELC TECH'!AQ:AQ)="",0.8,_xlfn.XLOOKUP($B48,'ELC TECH'!$H:$H,'ELC TECH'!AQ:AQ)))</f>
        <v>0.8</v>
      </c>
      <c r="Y48" s="12">
        <f>IF(_xlfn.XLOOKUP($B48,'ELC TECH'!$H:$H,'ELC TECH'!$E:$E)&lt;&gt;"Storage","",IF(_xlfn.XLOOKUP($B48,'ELC TECH'!$H:$H,'ELC TECH'!AR:AR)="",0.8,_xlfn.XLOOKUP($B48,'ELC TECH'!$H:$H,'ELC TECH'!AR:AR)))</f>
        <v>0.8</v>
      </c>
      <c r="Z48" s="15">
        <f>_xlfn.XLOOKUP($B48,'ELC TECH'!$H:$H,'ELC TECH'!M:M)</f>
        <v>4311.6896102347882</v>
      </c>
      <c r="AA48" s="15">
        <f>_xlfn.XLOOKUP($B48,'ELC TECH'!$H:$H,'ELC TECH'!N:N)</f>
        <v>4311.6896102347882</v>
      </c>
      <c r="AB48" s="15">
        <f>_xlfn.XLOOKUP($B48,'ELC TECH'!$H:$H,'ELC TECH'!O:O)</f>
        <v>4311.6896102347882</v>
      </c>
      <c r="AC48" s="15">
        <f>_xlfn.XLOOKUP($B48,'ELC TECH'!$H:$H,'ELC TECH'!P:P)</f>
        <v>4311.6896102347882</v>
      </c>
      <c r="AD48" s="15">
        <f>_xlfn.XLOOKUP($B48,'ELC TECH'!$H:$H,'ELC TECH'!Q:Q)</f>
        <v>4311.6896102347882</v>
      </c>
      <c r="AE48" s="15">
        <f>_xlfn.XLOOKUP($B48,'ELC TECH'!$H:$H,'ELC TECH'!R:R)</f>
        <v>4311.6896102347882</v>
      </c>
      <c r="AF48" s="15">
        <f>_xlfn.XLOOKUP($B48,'ELC TECH'!$H:$H,'ELC TECH'!S:S)</f>
        <v>4311.6896102347882</v>
      </c>
      <c r="AG48" s="15">
        <f>_xlfn.XLOOKUP($B48,'ELC TECH'!$H:$H,'ELC TECH'!T:T)</f>
        <v>4311.6896102347882</v>
      </c>
      <c r="AH48" s="15">
        <f>_xlfn.XLOOKUP($B48,'ELC TECH'!$H:$H,'ELC TECH'!U:U)</f>
        <v>21.100097091380029</v>
      </c>
      <c r="AI48" s="15">
        <f>_xlfn.XLOOKUP($B48,'ELC TECH'!$H:$H,'ELC TECH'!V:V)</f>
        <v>21.100097091380029</v>
      </c>
      <c r="AJ48" s="15">
        <f>_xlfn.XLOOKUP($B48,'ELC TECH'!$H:$H,'ELC TECH'!W:W)</f>
        <v>21.100097091380029</v>
      </c>
      <c r="AK48" s="15">
        <f>_xlfn.XLOOKUP($B48,'ELC TECH'!$H:$H,'ELC TECH'!X:X)</f>
        <v>21.100097091380029</v>
      </c>
      <c r="AL48" s="15">
        <f>_xlfn.XLOOKUP($B48,'ELC TECH'!$H:$H,'ELC TECH'!Y:Y)</f>
        <v>21.100097091380029</v>
      </c>
      <c r="AM48" s="15">
        <f>_xlfn.XLOOKUP($B48,'ELC TECH'!$H:$H,'ELC TECH'!Z:Z)</f>
        <v>21.100097091380029</v>
      </c>
      <c r="AN48" s="15">
        <f>_xlfn.XLOOKUP($B48,'ELC TECH'!$H:$H,'ELC TECH'!AA:AA)</f>
        <v>21.100097091380029</v>
      </c>
      <c r="AO48" s="15">
        <f>_xlfn.XLOOKUP($B48,'ELC TECH'!$H:$H,'ELC TECH'!AB:AB)</f>
        <v>21.100097091380029</v>
      </c>
      <c r="AP48" s="15">
        <f>_xlfn.XLOOKUP($B48,'ELC TECH'!$H:$H,'ELC TECH'!AC:AC)</f>
        <v>0.1696149283872993</v>
      </c>
      <c r="AQ48" s="15">
        <f>_xlfn.XLOOKUP($B48,'ELC TECH'!$H:$H,'ELC TECH'!AD:AD)</f>
        <v>0.1696149283872993</v>
      </c>
      <c r="AR48" s="15">
        <f>_xlfn.XLOOKUP($B48,'ELC TECH'!$H:$H,'ELC TECH'!AE:AE)</f>
        <v>0.1696149283872993</v>
      </c>
      <c r="AS48" s="15">
        <f>_xlfn.XLOOKUP($B48,'ELC TECH'!$H:$H,'ELC TECH'!AF:AF)</f>
        <v>0.1696149283872993</v>
      </c>
      <c r="AT48" s="15">
        <f>_xlfn.XLOOKUP($B48,'ELC TECH'!$H:$H,'ELC TECH'!AG:AG)</f>
        <v>0.1696149283872993</v>
      </c>
      <c r="AU48" s="15">
        <f>_xlfn.XLOOKUP($B48,'ELC TECH'!$H:$H,'ELC TECH'!AH:AH)</f>
        <v>0.1696149283872993</v>
      </c>
      <c r="AV48" s="15">
        <f>_xlfn.XLOOKUP($B48,'ELC TECH'!$H:$H,'ELC TECH'!AI:AI)</f>
        <v>0.1696149283872993</v>
      </c>
      <c r="AW48" s="15">
        <f>_xlfn.XLOOKUP($B48,'ELC TECH'!$H:$H,'ELC TECH'!AJ:AJ)</f>
        <v>0.1696149283872993</v>
      </c>
      <c r="AX48" s="12" t="str">
        <f>IF(_xlfn.XLOOKUP($B48,'ELC TECH'!$H:$H,'ELC TECH'!$E:$E)="Storage","",_xlfn.XLOOKUP($B48,'ELC TECH'!$H:$H,'ELC TECH'!AS:AS))</f>
        <v/>
      </c>
      <c r="AY48" s="12" t="str">
        <f>IF(_xlfn.XLOOKUP($B48,'ELC TECH'!$H:$H,'ELC TECH'!$E:$E)="Storage","",_xlfn.XLOOKUP($B48,'ELC TECH'!$H:$H,'ELC TECH'!AT:AT))</f>
        <v/>
      </c>
      <c r="AZ48" s="12" t="str">
        <f>IF(_xlfn.XLOOKUP($B48,'ELC TECH'!$H:$H,'ELC TECH'!$E:$E)="Storage","",_xlfn.XLOOKUP($B48,'ELC TECH'!$H:$H,'ELC TECH'!AU:AU))</f>
        <v/>
      </c>
      <c r="BA48" s="12" t="str">
        <f>IF(_xlfn.XLOOKUP($B48,'ELC TECH'!$H:$H,'ELC TECH'!$E:$E)="Storage","",_xlfn.XLOOKUP($B48,'ELC TECH'!$H:$H,'ELC TECH'!AV:AV))</f>
        <v/>
      </c>
      <c r="BB48" s="12" t="str">
        <f>IF(_xlfn.XLOOKUP($B48,'ELC TECH'!$H:$H,'ELC TECH'!$E:$E)="Storage","",_xlfn.XLOOKUP($B48,'ELC TECH'!$H:$H,'ELC TECH'!AW:AW))</f>
        <v/>
      </c>
      <c r="BC48" s="12" t="str">
        <f>IF(_xlfn.XLOOKUP($B48,'ELC TECH'!$H:$H,'ELC TECH'!$E:$E)="Storage","",_xlfn.XLOOKUP($B48,'ELC TECH'!$H:$H,'ELC TECH'!AX:AX))</f>
        <v/>
      </c>
      <c r="BD48" s="12" t="str">
        <f>IF(_xlfn.XLOOKUP($B48,'ELC TECH'!$H:$H,'ELC TECH'!$E:$E)="Storage","",_xlfn.XLOOKUP($B48,'ELC TECH'!$H:$H,'ELC TECH'!AY:AY))</f>
        <v/>
      </c>
      <c r="BE48" s="12" t="str">
        <f>IF(_xlfn.XLOOKUP($B48,'ELC TECH'!$H:$H,'ELC TECH'!$E:$E)="Storage","",_xlfn.XLOOKUP($B48,'ELC TECH'!$H:$H,'ELC TECH'!AZ:AZ))</f>
        <v/>
      </c>
      <c r="BF48" s="12">
        <f>IF(_xlfn.XLOOKUP($B48,'ELC TECH'!$H:$H,'ELC TECH'!$E:$E)="Storage",_xlfn.XLOOKUP($B48,'ELC TECH'!$H:$H,'ELC TECH'!AS:AS),"")</f>
        <v>0.5</v>
      </c>
      <c r="BG48" s="12">
        <f>IF(_xlfn.XLOOKUP($B48,'ELC TECH'!$H:$H,'ELC TECH'!$E:$E)="Storage",_xlfn.XLOOKUP($B48,'ELC TECH'!$H:$H,'ELC TECH'!AT:AT),"")</f>
        <v>0.5</v>
      </c>
      <c r="BH48" s="12">
        <f>IF(_xlfn.XLOOKUP($B48,'ELC TECH'!$H:$H,'ELC TECH'!$E:$E)="Storage",_xlfn.XLOOKUP($B48,'ELC TECH'!$H:$H,'ELC TECH'!AU:AU),"")</f>
        <v>0.5</v>
      </c>
      <c r="BI48" s="12">
        <f>IF(_xlfn.XLOOKUP($B48,'ELC TECH'!$H:$H,'ELC TECH'!$E:$E)="Storage",_xlfn.XLOOKUP($B48,'ELC TECH'!$H:$H,'ELC TECH'!AV:AV),"")</f>
        <v>0.5</v>
      </c>
      <c r="BJ48" s="12">
        <f>IF(_xlfn.XLOOKUP($B48,'ELC TECH'!$H:$H,'ELC TECH'!$E:$E)="Storage",_xlfn.XLOOKUP($B48,'ELC TECH'!$H:$H,'ELC TECH'!AW:AW),"")</f>
        <v>0.5</v>
      </c>
      <c r="BK48" s="12">
        <f>IF(_xlfn.XLOOKUP($B48,'ELC TECH'!$H:$H,'ELC TECH'!$E:$E)="Storage",_xlfn.XLOOKUP($B48,'ELC TECH'!$H:$H,'ELC TECH'!AX:AX),"")</f>
        <v>0.5</v>
      </c>
      <c r="BL48" s="12">
        <f>IF(_xlfn.XLOOKUP($B48,'ELC TECH'!$H:$H,'ELC TECH'!$E:$E)="Storage",_xlfn.XLOOKUP($B48,'ELC TECH'!$H:$H,'ELC TECH'!AY:AY),"")</f>
        <v>0.5</v>
      </c>
      <c r="BM48" s="12">
        <f>IF(_xlfn.XLOOKUP($B48,'ELC TECH'!$H:$H,'ELC TECH'!$E:$E)="Storage",_xlfn.XLOOKUP($B48,'ELC TECH'!$H:$H,'ELC TECH'!AZ:AZ),"")</f>
        <v>0.5</v>
      </c>
      <c r="BN48" s="8" t="str">
        <f>IF(_xlfn.XLOOKUP($B48,'ELC TECH'!$H:$H,'ELC TECH'!$E:$E)="Non Dispatchable",IFERROR($AX48*_xlfn.XLOOKUP($C48,$BM$1:$BM$3,BN$1:BN$3)/SUMPRODUCT(_xlfn.XLOOKUP($C48,$BM$1:$BM$3,$BN$1:$BY$3),$BN$4:$BY$4),""),
"")</f>
        <v/>
      </c>
      <c r="BO48" s="8" t="str">
        <f>IF(_xlfn.XLOOKUP($B48,'ELC TECH'!$H:$H,'ELC TECH'!$E:$E)="Non Dispatchable",IFERROR($AX48*_xlfn.XLOOKUP($C48,$BM$1:$BM$3,BO$1:BO$3)/SUMPRODUCT(_xlfn.XLOOKUP($C48,$BM$1:$BM$3,$BN$1:$BY$3),$BN$4:$BY$4),""),
"")</f>
        <v/>
      </c>
      <c r="BP48" s="8" t="str">
        <f>IF(_xlfn.XLOOKUP($B48,'ELC TECH'!$H:$H,'ELC TECH'!$E:$E)="Non Dispatchable",IFERROR($AX48*_xlfn.XLOOKUP($C48,$BM$1:$BM$3,BP$1:BP$3)/SUMPRODUCT(_xlfn.XLOOKUP($C48,$BM$1:$BM$3,$BN$1:$BY$3),$BN$4:$BY$4),""),
"")</f>
        <v/>
      </c>
      <c r="BQ48" s="8" t="str">
        <f>IF(_xlfn.XLOOKUP($B48,'ELC TECH'!$H:$H,'ELC TECH'!$E:$E)="Non Dispatchable",IFERROR($AX48*_xlfn.XLOOKUP($C48,$BM$1:$BM$3,BQ$1:BQ$3)/SUMPRODUCT(_xlfn.XLOOKUP($C48,$BM$1:$BM$3,$BN$1:$BY$3),$BN$4:$BY$4),""),
"")</f>
        <v/>
      </c>
      <c r="BR48" s="8" t="str">
        <f>IF(_xlfn.XLOOKUP($B48,'ELC TECH'!$H:$H,'ELC TECH'!$E:$E)="Non Dispatchable",IFERROR($AX48*_xlfn.XLOOKUP($C48,$BM$1:$BM$3,BR$1:BR$3)/SUMPRODUCT(_xlfn.XLOOKUP($C48,$BM$1:$BM$3,$BN$1:$BY$3),$BN$4:$BY$4),""),
"")</f>
        <v/>
      </c>
      <c r="BS48" s="8" t="str">
        <f>IF(_xlfn.XLOOKUP($B48,'ELC TECH'!$H:$H,'ELC TECH'!$E:$E)="Non Dispatchable",IFERROR($AX48*_xlfn.XLOOKUP($C48,$BM$1:$BM$3,BS$1:BS$3)/SUMPRODUCT(_xlfn.XLOOKUP($C48,$BM$1:$BM$3,$BN$1:$BY$3),$BN$4:$BY$4),""),
"")</f>
        <v/>
      </c>
      <c r="BT48" s="8" t="str">
        <f>IF(_xlfn.XLOOKUP($B48,'ELC TECH'!$H:$H,'ELC TECH'!$E:$E)="Non Dispatchable",IFERROR($AX48*_xlfn.XLOOKUP($C48,$BM$1:$BM$3,BT$1:BT$3)/SUMPRODUCT(_xlfn.XLOOKUP($C48,$BM$1:$BM$3,$BN$1:$BY$3),$BN$4:$BY$4),""),
"")</f>
        <v/>
      </c>
      <c r="BU48" s="8" t="str">
        <f>IF(_xlfn.XLOOKUP($B48,'ELC TECH'!$H:$H,'ELC TECH'!$E:$E)="Non Dispatchable",IFERROR($AX48*_xlfn.XLOOKUP($C48,$BM$1:$BM$3,BU$1:BU$3)/SUMPRODUCT(_xlfn.XLOOKUP($C48,$BM$1:$BM$3,$BN$1:$BY$3),$BN$4:$BY$4),""),
"")</f>
        <v/>
      </c>
      <c r="BV48" s="8" t="str">
        <f>IF(_xlfn.XLOOKUP($B48,'ELC TECH'!$H:$H,'ELC TECH'!$E:$E)="Non Dispatchable",IFERROR($AX48*_xlfn.XLOOKUP($C48,$BM$1:$BM$3,BV$1:BV$3)/SUMPRODUCT(_xlfn.XLOOKUP($C48,$BM$1:$BM$3,$BN$1:$BY$3),$BN$4:$BY$4),""),
"")</f>
        <v/>
      </c>
      <c r="BW48" s="8" t="str">
        <f>IF(_xlfn.XLOOKUP($B48,'ELC TECH'!$H:$H,'ELC TECH'!$E:$E)="Non Dispatchable",IFERROR($AX48*_xlfn.XLOOKUP($C48,$BM$1:$BM$3,BW$1:BW$3)/SUMPRODUCT(_xlfn.XLOOKUP($C48,$BM$1:$BM$3,$BN$1:$BY$3),$BN$4:$BY$4),""),
"")</f>
        <v/>
      </c>
      <c r="BX48" s="8" t="str">
        <f>IF(_xlfn.XLOOKUP($B48,'ELC TECH'!$H:$H,'ELC TECH'!$E:$E)="Non Dispatchable",IFERROR($AX48*_xlfn.XLOOKUP($C48,$BM$1:$BM$3,BX$1:BX$3)/SUMPRODUCT(_xlfn.XLOOKUP($C48,$BM$1:$BM$3,$BN$1:$BY$3),$BN$4:$BY$4),""),
"")</f>
        <v/>
      </c>
      <c r="BY48" s="8" t="str">
        <f>IF(_xlfn.XLOOKUP($B48,'ELC TECH'!$H:$H,'ELC TECH'!$E:$E)="Non Dispatchable",IFERROR($AX48*_xlfn.XLOOKUP($C48,$BM$1:$BM$3,BY$1:BY$3)/SUMPRODUCT(_xlfn.XLOOKUP($C48,$BM$1:$BM$3,$BN$1:$BY$3),$BN$4:$BY$4),""),
"")</f>
        <v/>
      </c>
      <c r="BZ48" s="8" t="str">
        <f>IF(_xlfn.XLOOKUP($B48,'ELC TECH'!$H:$H,'ELC TECH'!$E:$E)="Non Dispatchable",IFERROR($AX48*_xlfn.XLOOKUP($C48,$BM$1:$BM$3,BZ$1:BZ$3)/SUMPRODUCT(_xlfn.XLOOKUP($C48,$BM$1:$BM$3,$BN$1:$BY$3),$BN$4:$BY$4),""),
"")</f>
        <v/>
      </c>
      <c r="CA48" s="8" t="str">
        <f>IF(_xlfn.XLOOKUP($B48,'ELC TECH'!$H:$H,'ELC TECH'!$E:$E)="Non Dispatchable",IFERROR($AX48*_xlfn.XLOOKUP($C48,$BM$1:$BM$3,CA$1:CA$3)/SUMPRODUCT(_xlfn.XLOOKUP($C48,$BM$1:$BM$3,$BN$1:$BY$3),$BN$4:$BY$4),""),
"")</f>
        <v/>
      </c>
      <c r="CB48" s="8" t="str">
        <f>IF(_xlfn.XLOOKUP($B48,'ELC TECH'!$H:$H,'ELC TECH'!$E:$E)="Non Dispatchable",IFERROR($AX48*_xlfn.XLOOKUP($C48,$BM$1:$BM$3,CB$1:CB$3)/SUMPRODUCT(_xlfn.XLOOKUP($C48,$BM$1:$BM$3,$BN$1:$BY$3),$BN$4:$BY$4),""),
"")</f>
        <v/>
      </c>
      <c r="CC48" s="8" t="str">
        <f>IF(_xlfn.XLOOKUP($B48,'ELC TECH'!$H:$H,'ELC TECH'!$E:$E)="Non Dispatchable",IFERROR($AX48*_xlfn.XLOOKUP($C48,$BM$1:$BM$3,CC$1:CC$3)/SUMPRODUCT(_xlfn.XLOOKUP($C48,$BM$1:$BM$3,$BN$1:$BY$3),$BN$4:$BY$4),""),
"")</f>
        <v/>
      </c>
      <c r="CD48" s="8" t="str">
        <f>IF(_xlfn.XLOOKUP($B48,'ELC TECH'!$H:$H,'ELC TECH'!$E:$E)="Non Dispatchable",IFERROR($AX48*_xlfn.XLOOKUP($C48,$BM$1:$BM$3,CD$1:CD$3)/SUMPRODUCT(_xlfn.XLOOKUP($C48,$BM$1:$BM$3,$BN$1:$BY$3),$BN$4:$BY$4),""),
"")</f>
        <v/>
      </c>
      <c r="CE48" s="8" t="str">
        <f>IF(_xlfn.XLOOKUP($B48,'ELC TECH'!$H:$H,'ELC TECH'!$E:$E)="Non Dispatchable",IFERROR($AX48*_xlfn.XLOOKUP($C48,$BM$1:$BM$3,CE$1:CE$3)/SUMPRODUCT(_xlfn.XLOOKUP($C48,$BM$1:$BM$3,$BN$1:$BY$3),$BN$4:$BY$4),""),
"")</f>
        <v/>
      </c>
      <c r="CF48" s="8" t="str">
        <f>IF(_xlfn.XLOOKUP($B48,'ELC TECH'!$H:$H,'ELC TECH'!$E:$E)="Non Dispatchable",IFERROR($AX48*_xlfn.XLOOKUP($C48,$BM$1:$BM$3,CF$1:CF$3)/SUMPRODUCT(_xlfn.XLOOKUP($C48,$BM$1:$BM$3,$BN$1:$BY$3),$BN$4:$BY$4),""),
"")</f>
        <v/>
      </c>
      <c r="CG48" s="8" t="str">
        <f>IF(_xlfn.XLOOKUP($B48,'ELC TECH'!$H:$H,'ELC TECH'!$E:$E)="Non Dispatchable",IFERROR($AX48*_xlfn.XLOOKUP($C48,$BM$1:$BM$3,CG$1:CG$3)/SUMPRODUCT(_xlfn.XLOOKUP($C48,$BM$1:$BM$3,$BN$1:$BY$3),$BN$4:$BY$4),""),
"")</f>
        <v/>
      </c>
      <c r="CH48" s="8" t="str">
        <f>IF(_xlfn.XLOOKUP($B48,'ELC TECH'!$H:$H,'ELC TECH'!$E:$E)="Non Dispatchable",IFERROR($AX48*_xlfn.XLOOKUP($C48,$BM$1:$BM$3,CH$1:CH$3)/SUMPRODUCT(_xlfn.XLOOKUP($C48,$BM$1:$BM$3,$BN$1:$BY$3),$BN$4:$BY$4),""),
"")</f>
        <v/>
      </c>
      <c r="CI48" s="8" t="str">
        <f>IF(_xlfn.XLOOKUP($B48,'ELC TECH'!$H:$H,'ELC TECH'!$E:$E)="Non Dispatchable",IFERROR($AX48*_xlfn.XLOOKUP($C48,$BM$1:$BM$3,CI$1:CI$3)/SUMPRODUCT(_xlfn.XLOOKUP($C48,$BM$1:$BM$3,$BN$1:$BY$3),$BN$4:$BY$4),""),
"")</f>
        <v/>
      </c>
      <c r="CJ48" s="8" t="str">
        <f>IF(_xlfn.XLOOKUP($B48,'ELC TECH'!$H:$H,'ELC TECH'!$E:$E)="Non Dispatchable",IFERROR($AX48*_xlfn.XLOOKUP($C48,$BM$1:$BM$3,CJ$1:CJ$3)/SUMPRODUCT(_xlfn.XLOOKUP($C48,$BM$1:$BM$3,$BN$1:$BY$3),$BN$4:$BY$4),""),
"")</f>
        <v/>
      </c>
      <c r="CK48" s="8" t="str">
        <f>IF(_xlfn.XLOOKUP($B48,'ELC TECH'!$H:$H,'ELC TECH'!$E:$E)="Non Dispatchable",IFERROR($AX48*_xlfn.XLOOKUP($C48,$BM$1:$BM$3,CK$1:CK$3)/SUMPRODUCT(_xlfn.XLOOKUP($C48,$BM$1:$BM$3,$BN$1:$BY$3),$BN$4:$BY$4),""),
"")</f>
        <v/>
      </c>
      <c r="CL48" s="8">
        <f>IF(_xlfn.XLOOKUP($B48,'ELC TECH'!$H:$H,'ELC TECH'!$E:$E)="Storage",CL$4*$BF48,"")</f>
        <v>4.1099999999999998E-2</v>
      </c>
      <c r="CM48" s="8">
        <f>IF(_xlfn.XLOOKUP($B48,'ELC TECH'!$H:$H,'ELC TECH'!$E:$E)="Storage",CM$4*$BF48,"")</f>
        <v>4.7849999999999997E-2</v>
      </c>
      <c r="CN48" s="8">
        <f>IF(_xlfn.XLOOKUP($B48,'ELC TECH'!$H:$H,'ELC TECH'!$E:$E)="Storage",CN$4*$BF48,"")</f>
        <v>7.6600000000000001E-2</v>
      </c>
      <c r="CO48" s="8">
        <f>IF(_xlfn.XLOOKUP($B48,'ELC TECH'!$H:$H,'ELC TECH'!$E:$E)="Storage",CO$4*$BF48,"")</f>
        <v>1.6000000000000001E-3</v>
      </c>
      <c r="CP48" s="8">
        <f>IF(_xlfn.XLOOKUP($B48,'ELC TECH'!$H:$H,'ELC TECH'!$E:$E)="Storage",CP$4*$BF48,"")</f>
        <v>4.0750000000000001E-2</v>
      </c>
      <c r="CQ48" s="8">
        <f>IF(_xlfn.XLOOKUP($B48,'ELC TECH'!$H:$H,'ELC TECH'!$E:$E)="Storage",CQ$4*$BF48,"")</f>
        <v>5.4350000000000002E-2</v>
      </c>
      <c r="CR48" s="8">
        <f>IF(_xlfn.XLOOKUP($B48,'ELC TECH'!$H:$H,'ELC TECH'!$E:$E)="Storage",CR$4*$BF48,"")</f>
        <v>6.905E-2</v>
      </c>
      <c r="CS48" s="8">
        <f>IF(_xlfn.XLOOKUP($B48,'ELC TECH'!$H:$H,'ELC TECH'!$E:$E)="Storage",CS$4*$BF48,"")</f>
        <v>1.6000000000000001E-3</v>
      </c>
      <c r="CT48" s="8">
        <f>IF(_xlfn.XLOOKUP($B48,'ELC TECH'!$H:$H,'ELC TECH'!$E:$E)="Storage",CT$4*$BF48,"")</f>
        <v>4.8750000000000002E-2</v>
      </c>
      <c r="CU48" s="8">
        <f>IF(_xlfn.XLOOKUP($B48,'ELC TECH'!$H:$H,'ELC TECH'!$E:$E)="Storage",CU$4*$BF48,"")</f>
        <v>5.4350000000000002E-2</v>
      </c>
      <c r="CV48" s="8">
        <f>IF(_xlfn.XLOOKUP($B48,'ELC TECH'!$H:$H,'ELC TECH'!$E:$E)="Storage",CV$4*$BF48,"")</f>
        <v>6.2649999999999997E-2</v>
      </c>
      <c r="CW48" s="8">
        <f>IF(_xlfn.XLOOKUP($B48,'ELC TECH'!$H:$H,'ELC TECH'!$E:$E)="Storage",CW$4*$BF48,"")</f>
        <v>1.3500000000000001E-3</v>
      </c>
      <c r="CX48" s="8">
        <f>IF(_xlfn.XLOOKUP($B48,'ELC TECH'!$H:$H,'ELC TECH'!$E:$E)="Storage",CX$4*$BF48,"")</f>
        <v>4.1099999999999998E-2</v>
      </c>
      <c r="CY48" s="8">
        <f>IF(_xlfn.XLOOKUP($B48,'ELC TECH'!$H:$H,'ELC TECH'!$E:$E)="Storage",CY$4*$BF48,"")</f>
        <v>4.7849999999999997E-2</v>
      </c>
      <c r="CZ48" s="8">
        <f>IF(_xlfn.XLOOKUP($B48,'ELC TECH'!$H:$H,'ELC TECH'!$E:$E)="Storage",CZ$4*$BF48,"")</f>
        <v>7.6600000000000001E-2</v>
      </c>
      <c r="DA48" s="8">
        <f>IF(_xlfn.XLOOKUP($B48,'ELC TECH'!$H:$H,'ELC TECH'!$E:$E)="Storage",DA$4*$BF48,"")</f>
        <v>1.6000000000000001E-3</v>
      </c>
      <c r="DB48" s="8">
        <f>IF(_xlfn.XLOOKUP($B48,'ELC TECH'!$H:$H,'ELC TECH'!$E:$E)="Storage",DB$4*$BF48,"")</f>
        <v>4.0750000000000001E-2</v>
      </c>
      <c r="DC48" s="8">
        <f>IF(_xlfn.XLOOKUP($B48,'ELC TECH'!$H:$H,'ELC TECH'!$E:$E)="Storage",DC$4*$BF48,"")</f>
        <v>5.4350000000000002E-2</v>
      </c>
      <c r="DD48" s="8">
        <f>IF(_xlfn.XLOOKUP($B48,'ELC TECH'!$H:$H,'ELC TECH'!$E:$E)="Storage",DD$4*$BF48,"")</f>
        <v>6.905E-2</v>
      </c>
      <c r="DE48" s="8">
        <f>IF(_xlfn.XLOOKUP($B48,'ELC TECH'!$H:$H,'ELC TECH'!$E:$E)="Storage",DE$4*$BF48,"")</f>
        <v>1.6000000000000001E-3</v>
      </c>
      <c r="DF48" s="8">
        <f>IF(_xlfn.XLOOKUP($B48,'ELC TECH'!$H:$H,'ELC TECH'!$E:$E)="Storage",DF$4*$BF48,"")</f>
        <v>4.8750000000000002E-2</v>
      </c>
      <c r="DG48" s="8">
        <f>IF(_xlfn.XLOOKUP($B48,'ELC TECH'!$H:$H,'ELC TECH'!$E:$E)="Storage",DG$4*$BF48,"")</f>
        <v>5.4350000000000002E-2</v>
      </c>
      <c r="DH48" s="8">
        <f>IF(_xlfn.XLOOKUP($B48,'ELC TECH'!$H:$H,'ELC TECH'!$E:$E)="Storage",DH$4*$BF48,"")</f>
        <v>6.2649999999999997E-2</v>
      </c>
      <c r="DI48" s="8">
        <f>IF(_xlfn.XLOOKUP($B48,'ELC TECH'!$H:$H,'ELC TECH'!$E:$E)="Storage",DI$4*$BF48,"")</f>
        <v>1.3500000000000001E-3</v>
      </c>
    </row>
    <row r="49" spans="2:113" x14ac:dyDescent="0.25">
      <c r="B49" t="str">
        <f>IF('ELC TECH'!I42=0,"*",'ELC TECH'!H42)</f>
        <v>ELCSTGGRDPSH12HC1420</v>
      </c>
      <c r="C49" t="str">
        <f>IF(_xlfn.XLOOKUP(_xlfn.XLOOKUP(B49,'ELC TECH'!$H:$H,'ELC TECH'!$G:$G),List!C:C,List!B:B)="STG",D49,"ELC"&amp;_xlfn.XLOOKUP(_xlfn.XLOOKUP(B49,'ELC TECH'!H:H,'ELC TECH'!G:G),List!C:C,List!B:B))</f>
        <v>CELC</v>
      </c>
      <c r="D49" t="s">
        <v>544</v>
      </c>
      <c r="E49">
        <f>_xlfn.XLOOKUP(B49,'ELC TECH'!H:H,'ELC TECH'!D:D)</f>
        <v>2020</v>
      </c>
      <c r="F49">
        <f>_xlfn.XLOOKUP(B49,'ELC TECH'!H:H,'ELC TECH'!K:K)</f>
        <v>100</v>
      </c>
      <c r="G49">
        <f t="shared" si="5"/>
        <v>31.535999999999998</v>
      </c>
      <c r="H49">
        <f>IF(_xlfn.XLOOKUP(B49,'ELC TECH'!$H:$H,'ELC TECH'!$E:$E)="Storage",0.3,IF(_xlfn.XLOOKUP(B49,'ELC TECH'!$H:$H,'ELC TECH'!$E:$E)="Baseload",0.9,IF(_xlfn.XLOOKUP(B49,'ELC TECH'!$H:$H,'ELC TECH'!$E:$E)="Non Dispatchable",0.05,IF(_xlfn.XLOOKUP(B49,'ELC TECH'!$H:$H,'ELC TECH'!$E:$E)="Dispatchable",0.9,1))))</f>
        <v>0.3</v>
      </c>
      <c r="I49" s="13">
        <f>IF(_xlfn.XLOOKUP(B49,'ELC TECH'!H:H,'ELC TECH'!J:J)="","",_xlfn.XLOOKUP(B49,'ELC TECH'!H:H,'ELC TECH'!J:J))</f>
        <v>0</v>
      </c>
      <c r="J49" s="12" t="str">
        <f>IF(_xlfn.XLOOKUP($B49,'ELC TECH'!$H:$H,'ELC TECH'!$E:$E)="Storage","",IF(_xlfn.XLOOKUP($B49,'ELC TECH'!$H:$H,'ELC TECH'!AK:AK)="",1,_xlfn.XLOOKUP($B49,'ELC TECH'!$H:$H,'ELC TECH'!AK:AK)))</f>
        <v/>
      </c>
      <c r="K49" s="12" t="str">
        <f>IF(_xlfn.XLOOKUP($B49,'ELC TECH'!$H:$H,'ELC TECH'!$E:$E)="Storage","",IF(_xlfn.XLOOKUP($B49,'ELC TECH'!$H:$H,'ELC TECH'!AL:AL)="",1,_xlfn.XLOOKUP($B49,'ELC TECH'!$H:$H,'ELC TECH'!AL:AL)))</f>
        <v/>
      </c>
      <c r="L49" s="12" t="str">
        <f>IF(_xlfn.XLOOKUP($B49,'ELC TECH'!$H:$H,'ELC TECH'!$E:$E)="Storage","",IF(_xlfn.XLOOKUP($B49,'ELC TECH'!$H:$H,'ELC TECH'!AM:AM)="",1,_xlfn.XLOOKUP($B49,'ELC TECH'!$H:$H,'ELC TECH'!AM:AM)))</f>
        <v/>
      </c>
      <c r="M49" s="12" t="str">
        <f>IF(_xlfn.XLOOKUP($B49,'ELC TECH'!$H:$H,'ELC TECH'!$E:$E)="Storage","",IF(_xlfn.XLOOKUP($B49,'ELC TECH'!$H:$H,'ELC TECH'!AN:AN)="",1,_xlfn.XLOOKUP($B49,'ELC TECH'!$H:$H,'ELC TECH'!AN:AN)))</f>
        <v/>
      </c>
      <c r="N49" s="12" t="str">
        <f>IF(_xlfn.XLOOKUP($B49,'ELC TECH'!$H:$H,'ELC TECH'!$E:$E)="Storage","",IF(_xlfn.XLOOKUP($B49,'ELC TECH'!$H:$H,'ELC TECH'!AO:AO)="",1,_xlfn.XLOOKUP($B49,'ELC TECH'!$H:$H,'ELC TECH'!AO:AO)))</f>
        <v/>
      </c>
      <c r="O49" s="12" t="str">
        <f>IF(_xlfn.XLOOKUP($B49,'ELC TECH'!$H:$H,'ELC TECH'!$E:$E)="Storage","",IF(_xlfn.XLOOKUP($B49,'ELC TECH'!$H:$H,'ELC TECH'!AP:AP)="",1,_xlfn.XLOOKUP($B49,'ELC TECH'!$H:$H,'ELC TECH'!AP:AP)))</f>
        <v/>
      </c>
      <c r="P49" s="12" t="str">
        <f>IF(_xlfn.XLOOKUP($B49,'ELC TECH'!$H:$H,'ELC TECH'!$E:$E)="Storage","",IF(_xlfn.XLOOKUP($B49,'ELC TECH'!$H:$H,'ELC TECH'!AQ:AQ)="",1,_xlfn.XLOOKUP($B49,'ELC TECH'!$H:$H,'ELC TECH'!AQ:AQ)))</f>
        <v/>
      </c>
      <c r="Q49" s="12" t="str">
        <f>IF(_xlfn.XLOOKUP($B49,'ELC TECH'!$H:$H,'ELC TECH'!$E:$E)="Storage","",IF(_xlfn.XLOOKUP($B49,'ELC TECH'!$H:$H,'ELC TECH'!AR:AR)="",1,_xlfn.XLOOKUP($B49,'ELC TECH'!$H:$H,'ELC TECH'!AR:AR)))</f>
        <v/>
      </c>
      <c r="R49" s="12">
        <f>IF(_xlfn.XLOOKUP($B49,'ELC TECH'!$H:$H,'ELC TECH'!$E:$E)&lt;&gt;"Storage","",IF(_xlfn.XLOOKUP($B49,'ELC TECH'!$H:$H,'ELC TECH'!AK:AK)="",0.8,_xlfn.XLOOKUP($B49,'ELC TECH'!$H:$H,'ELC TECH'!AK:AK)))</f>
        <v>0.8</v>
      </c>
      <c r="S49" s="12">
        <f>IF(_xlfn.XLOOKUP($B49,'ELC TECH'!$H:$H,'ELC TECH'!$E:$E)&lt;&gt;"Storage","",IF(_xlfn.XLOOKUP($B49,'ELC TECH'!$H:$H,'ELC TECH'!AL:AL)="",0.8,_xlfn.XLOOKUP($B49,'ELC TECH'!$H:$H,'ELC TECH'!AL:AL)))</f>
        <v>0.8</v>
      </c>
      <c r="T49" s="12">
        <f>IF(_xlfn.XLOOKUP($B49,'ELC TECH'!$H:$H,'ELC TECH'!$E:$E)&lt;&gt;"Storage","",IF(_xlfn.XLOOKUP($B49,'ELC TECH'!$H:$H,'ELC TECH'!AM:AM)="",0.8,_xlfn.XLOOKUP($B49,'ELC TECH'!$H:$H,'ELC TECH'!AM:AM)))</f>
        <v>0.8</v>
      </c>
      <c r="U49" s="12">
        <f>IF(_xlfn.XLOOKUP($B49,'ELC TECH'!$H:$H,'ELC TECH'!$E:$E)&lt;&gt;"Storage","",IF(_xlfn.XLOOKUP($B49,'ELC TECH'!$H:$H,'ELC TECH'!AN:AN)="",0.8,_xlfn.XLOOKUP($B49,'ELC TECH'!$H:$H,'ELC TECH'!AN:AN)))</f>
        <v>0.8</v>
      </c>
      <c r="V49" s="12">
        <f>IF(_xlfn.XLOOKUP($B49,'ELC TECH'!$H:$H,'ELC TECH'!$E:$E)&lt;&gt;"Storage","",IF(_xlfn.XLOOKUP($B49,'ELC TECH'!$H:$H,'ELC TECH'!AO:AO)="",0.8,_xlfn.XLOOKUP($B49,'ELC TECH'!$H:$H,'ELC TECH'!AO:AO)))</f>
        <v>0.8</v>
      </c>
      <c r="W49" s="12">
        <f>IF(_xlfn.XLOOKUP($B49,'ELC TECH'!$H:$H,'ELC TECH'!$E:$E)&lt;&gt;"Storage","",IF(_xlfn.XLOOKUP($B49,'ELC TECH'!$H:$H,'ELC TECH'!AP:AP)="",0.8,_xlfn.XLOOKUP($B49,'ELC TECH'!$H:$H,'ELC TECH'!AP:AP)))</f>
        <v>0.8</v>
      </c>
      <c r="X49" s="12">
        <f>IF(_xlfn.XLOOKUP($B49,'ELC TECH'!$H:$H,'ELC TECH'!$E:$E)&lt;&gt;"Storage","",IF(_xlfn.XLOOKUP($B49,'ELC TECH'!$H:$H,'ELC TECH'!AQ:AQ)="",0.8,_xlfn.XLOOKUP($B49,'ELC TECH'!$H:$H,'ELC TECH'!AQ:AQ)))</f>
        <v>0.8</v>
      </c>
      <c r="Y49" s="12">
        <f>IF(_xlfn.XLOOKUP($B49,'ELC TECH'!$H:$H,'ELC TECH'!$E:$E)&lt;&gt;"Storage","",IF(_xlfn.XLOOKUP($B49,'ELC TECH'!$H:$H,'ELC TECH'!AR:AR)="",0.8,_xlfn.XLOOKUP($B49,'ELC TECH'!$H:$H,'ELC TECH'!AR:AR)))</f>
        <v>0.8</v>
      </c>
      <c r="Z49" s="15">
        <f>_xlfn.XLOOKUP($B49,'ELC TECH'!$H:$H,'ELC TECH'!M:M)</f>
        <v>4496.5863120087033</v>
      </c>
      <c r="AA49" s="15">
        <f>_xlfn.XLOOKUP($B49,'ELC TECH'!$H:$H,'ELC TECH'!N:N)</f>
        <v>4496.5863120087033</v>
      </c>
      <c r="AB49" s="15">
        <f>_xlfn.XLOOKUP($B49,'ELC TECH'!$H:$H,'ELC TECH'!O:O)</f>
        <v>4496.5863120087033</v>
      </c>
      <c r="AC49" s="15">
        <f>_xlfn.XLOOKUP($B49,'ELC TECH'!$H:$H,'ELC TECH'!P:P)</f>
        <v>4496.5863120087033</v>
      </c>
      <c r="AD49" s="15">
        <f>_xlfn.XLOOKUP($B49,'ELC TECH'!$H:$H,'ELC TECH'!Q:Q)</f>
        <v>4496.5863120087033</v>
      </c>
      <c r="AE49" s="15">
        <f>_xlfn.XLOOKUP($B49,'ELC TECH'!$H:$H,'ELC TECH'!R:R)</f>
        <v>4496.5863120087033</v>
      </c>
      <c r="AF49" s="15">
        <f>_xlfn.XLOOKUP($B49,'ELC TECH'!$H:$H,'ELC TECH'!S:S)</f>
        <v>4496.5863120087033</v>
      </c>
      <c r="AG49" s="15">
        <f>_xlfn.XLOOKUP($B49,'ELC TECH'!$H:$H,'ELC TECH'!T:T)</f>
        <v>4496.5863120087033</v>
      </c>
      <c r="AH49" s="15">
        <f>_xlfn.XLOOKUP($B49,'ELC TECH'!$H:$H,'ELC TECH'!U:U)</f>
        <v>21.100097091380029</v>
      </c>
      <c r="AI49" s="15">
        <f>_xlfn.XLOOKUP($B49,'ELC TECH'!$H:$H,'ELC TECH'!V:V)</f>
        <v>21.100097091380029</v>
      </c>
      <c r="AJ49" s="15">
        <f>_xlfn.XLOOKUP($B49,'ELC TECH'!$H:$H,'ELC TECH'!W:W)</f>
        <v>21.100097091380029</v>
      </c>
      <c r="AK49" s="15">
        <f>_xlfn.XLOOKUP($B49,'ELC TECH'!$H:$H,'ELC TECH'!X:X)</f>
        <v>21.100097091380029</v>
      </c>
      <c r="AL49" s="15">
        <f>_xlfn.XLOOKUP($B49,'ELC TECH'!$H:$H,'ELC TECH'!Y:Y)</f>
        <v>21.100097091380029</v>
      </c>
      <c r="AM49" s="15">
        <f>_xlfn.XLOOKUP($B49,'ELC TECH'!$H:$H,'ELC TECH'!Z:Z)</f>
        <v>21.100097091380029</v>
      </c>
      <c r="AN49" s="15">
        <f>_xlfn.XLOOKUP($B49,'ELC TECH'!$H:$H,'ELC TECH'!AA:AA)</f>
        <v>21.100097091380029</v>
      </c>
      <c r="AO49" s="15">
        <f>_xlfn.XLOOKUP($B49,'ELC TECH'!$H:$H,'ELC TECH'!AB:AB)</f>
        <v>21.100097091380029</v>
      </c>
      <c r="AP49" s="15">
        <f>_xlfn.XLOOKUP($B49,'ELC TECH'!$H:$H,'ELC TECH'!AC:AC)</f>
        <v>0.1696149283872993</v>
      </c>
      <c r="AQ49" s="15">
        <f>_xlfn.XLOOKUP($B49,'ELC TECH'!$H:$H,'ELC TECH'!AD:AD)</f>
        <v>0.1696149283872993</v>
      </c>
      <c r="AR49" s="15">
        <f>_xlfn.XLOOKUP($B49,'ELC TECH'!$H:$H,'ELC TECH'!AE:AE)</f>
        <v>0.1696149283872993</v>
      </c>
      <c r="AS49" s="15">
        <f>_xlfn.XLOOKUP($B49,'ELC TECH'!$H:$H,'ELC TECH'!AF:AF)</f>
        <v>0.1696149283872993</v>
      </c>
      <c r="AT49" s="15">
        <f>_xlfn.XLOOKUP($B49,'ELC TECH'!$H:$H,'ELC TECH'!AG:AG)</f>
        <v>0.1696149283872993</v>
      </c>
      <c r="AU49" s="15">
        <f>_xlfn.XLOOKUP($B49,'ELC TECH'!$H:$H,'ELC TECH'!AH:AH)</f>
        <v>0.1696149283872993</v>
      </c>
      <c r="AV49" s="15">
        <f>_xlfn.XLOOKUP($B49,'ELC TECH'!$H:$H,'ELC TECH'!AI:AI)</f>
        <v>0.1696149283872993</v>
      </c>
      <c r="AW49" s="15">
        <f>_xlfn.XLOOKUP($B49,'ELC TECH'!$H:$H,'ELC TECH'!AJ:AJ)</f>
        <v>0.1696149283872993</v>
      </c>
      <c r="AX49" s="12" t="str">
        <f>IF(_xlfn.XLOOKUP($B49,'ELC TECH'!$H:$H,'ELC TECH'!$E:$E)="Storage","",_xlfn.XLOOKUP($B49,'ELC TECH'!$H:$H,'ELC TECH'!AS:AS))</f>
        <v/>
      </c>
      <c r="AY49" s="12" t="str">
        <f>IF(_xlfn.XLOOKUP($B49,'ELC TECH'!$H:$H,'ELC TECH'!$E:$E)="Storage","",_xlfn.XLOOKUP($B49,'ELC TECH'!$H:$H,'ELC TECH'!AT:AT))</f>
        <v/>
      </c>
      <c r="AZ49" s="12" t="str">
        <f>IF(_xlfn.XLOOKUP($B49,'ELC TECH'!$H:$H,'ELC TECH'!$E:$E)="Storage","",_xlfn.XLOOKUP($B49,'ELC TECH'!$H:$H,'ELC TECH'!AU:AU))</f>
        <v/>
      </c>
      <c r="BA49" s="12" t="str">
        <f>IF(_xlfn.XLOOKUP($B49,'ELC TECH'!$H:$H,'ELC TECH'!$E:$E)="Storage","",_xlfn.XLOOKUP($B49,'ELC TECH'!$H:$H,'ELC TECH'!AV:AV))</f>
        <v/>
      </c>
      <c r="BB49" s="12" t="str">
        <f>IF(_xlfn.XLOOKUP($B49,'ELC TECH'!$H:$H,'ELC TECH'!$E:$E)="Storage","",_xlfn.XLOOKUP($B49,'ELC TECH'!$H:$H,'ELC TECH'!AW:AW))</f>
        <v/>
      </c>
      <c r="BC49" s="12" t="str">
        <f>IF(_xlfn.XLOOKUP($B49,'ELC TECH'!$H:$H,'ELC TECH'!$E:$E)="Storage","",_xlfn.XLOOKUP($B49,'ELC TECH'!$H:$H,'ELC TECH'!AX:AX))</f>
        <v/>
      </c>
      <c r="BD49" s="12" t="str">
        <f>IF(_xlfn.XLOOKUP($B49,'ELC TECH'!$H:$H,'ELC TECH'!$E:$E)="Storage","",_xlfn.XLOOKUP($B49,'ELC TECH'!$H:$H,'ELC TECH'!AY:AY))</f>
        <v/>
      </c>
      <c r="BE49" s="12" t="str">
        <f>IF(_xlfn.XLOOKUP($B49,'ELC TECH'!$H:$H,'ELC TECH'!$E:$E)="Storage","",_xlfn.XLOOKUP($B49,'ELC TECH'!$H:$H,'ELC TECH'!AZ:AZ))</f>
        <v/>
      </c>
      <c r="BF49" s="12">
        <f>IF(_xlfn.XLOOKUP($B49,'ELC TECH'!$H:$H,'ELC TECH'!$E:$E)="Storage",_xlfn.XLOOKUP($B49,'ELC TECH'!$H:$H,'ELC TECH'!AS:AS),"")</f>
        <v>0.5</v>
      </c>
      <c r="BG49" s="12">
        <f>IF(_xlfn.XLOOKUP($B49,'ELC TECH'!$H:$H,'ELC TECH'!$E:$E)="Storage",_xlfn.XLOOKUP($B49,'ELC TECH'!$H:$H,'ELC TECH'!AT:AT),"")</f>
        <v>0.5</v>
      </c>
      <c r="BH49" s="12">
        <f>IF(_xlfn.XLOOKUP($B49,'ELC TECH'!$H:$H,'ELC TECH'!$E:$E)="Storage",_xlfn.XLOOKUP($B49,'ELC TECH'!$H:$H,'ELC TECH'!AU:AU),"")</f>
        <v>0.5</v>
      </c>
      <c r="BI49" s="12">
        <f>IF(_xlfn.XLOOKUP($B49,'ELC TECH'!$H:$H,'ELC TECH'!$E:$E)="Storage",_xlfn.XLOOKUP($B49,'ELC TECH'!$H:$H,'ELC TECH'!AV:AV),"")</f>
        <v>0.5</v>
      </c>
      <c r="BJ49" s="12">
        <f>IF(_xlfn.XLOOKUP($B49,'ELC TECH'!$H:$H,'ELC TECH'!$E:$E)="Storage",_xlfn.XLOOKUP($B49,'ELC TECH'!$H:$H,'ELC TECH'!AW:AW),"")</f>
        <v>0.5</v>
      </c>
      <c r="BK49" s="12">
        <f>IF(_xlfn.XLOOKUP($B49,'ELC TECH'!$H:$H,'ELC TECH'!$E:$E)="Storage",_xlfn.XLOOKUP($B49,'ELC TECH'!$H:$H,'ELC TECH'!AX:AX),"")</f>
        <v>0.5</v>
      </c>
      <c r="BL49" s="12">
        <f>IF(_xlfn.XLOOKUP($B49,'ELC TECH'!$H:$H,'ELC TECH'!$E:$E)="Storage",_xlfn.XLOOKUP($B49,'ELC TECH'!$H:$H,'ELC TECH'!AY:AY),"")</f>
        <v>0.5</v>
      </c>
      <c r="BM49" s="12">
        <f>IF(_xlfn.XLOOKUP($B49,'ELC TECH'!$H:$H,'ELC TECH'!$E:$E)="Storage",_xlfn.XLOOKUP($B49,'ELC TECH'!$H:$H,'ELC TECH'!AZ:AZ),"")</f>
        <v>0.5</v>
      </c>
      <c r="BN49" s="8" t="str">
        <f>IF(_xlfn.XLOOKUP($B49,'ELC TECH'!$H:$H,'ELC TECH'!$E:$E)="Non Dispatchable",IFERROR($AX49*_xlfn.XLOOKUP($C49,$BM$1:$BM$3,BN$1:BN$3)/SUMPRODUCT(_xlfn.XLOOKUP($C49,$BM$1:$BM$3,$BN$1:$BY$3),$BN$4:$BY$4),""),
"")</f>
        <v/>
      </c>
      <c r="BO49" s="8" t="str">
        <f>IF(_xlfn.XLOOKUP($B49,'ELC TECH'!$H:$H,'ELC TECH'!$E:$E)="Non Dispatchable",IFERROR($AX49*_xlfn.XLOOKUP($C49,$BM$1:$BM$3,BO$1:BO$3)/SUMPRODUCT(_xlfn.XLOOKUP($C49,$BM$1:$BM$3,$BN$1:$BY$3),$BN$4:$BY$4),""),
"")</f>
        <v/>
      </c>
      <c r="BP49" s="8" t="str">
        <f>IF(_xlfn.XLOOKUP($B49,'ELC TECH'!$H:$H,'ELC TECH'!$E:$E)="Non Dispatchable",IFERROR($AX49*_xlfn.XLOOKUP($C49,$BM$1:$BM$3,BP$1:BP$3)/SUMPRODUCT(_xlfn.XLOOKUP($C49,$BM$1:$BM$3,$BN$1:$BY$3),$BN$4:$BY$4),""),
"")</f>
        <v/>
      </c>
      <c r="BQ49" s="8" t="str">
        <f>IF(_xlfn.XLOOKUP($B49,'ELC TECH'!$H:$H,'ELC TECH'!$E:$E)="Non Dispatchable",IFERROR($AX49*_xlfn.XLOOKUP($C49,$BM$1:$BM$3,BQ$1:BQ$3)/SUMPRODUCT(_xlfn.XLOOKUP($C49,$BM$1:$BM$3,$BN$1:$BY$3),$BN$4:$BY$4),""),
"")</f>
        <v/>
      </c>
      <c r="BR49" s="8" t="str">
        <f>IF(_xlfn.XLOOKUP($B49,'ELC TECH'!$H:$H,'ELC TECH'!$E:$E)="Non Dispatchable",IFERROR($AX49*_xlfn.XLOOKUP($C49,$BM$1:$BM$3,BR$1:BR$3)/SUMPRODUCT(_xlfn.XLOOKUP($C49,$BM$1:$BM$3,$BN$1:$BY$3),$BN$4:$BY$4),""),
"")</f>
        <v/>
      </c>
      <c r="BS49" s="8" t="str">
        <f>IF(_xlfn.XLOOKUP($B49,'ELC TECH'!$H:$H,'ELC TECH'!$E:$E)="Non Dispatchable",IFERROR($AX49*_xlfn.XLOOKUP($C49,$BM$1:$BM$3,BS$1:BS$3)/SUMPRODUCT(_xlfn.XLOOKUP($C49,$BM$1:$BM$3,$BN$1:$BY$3),$BN$4:$BY$4),""),
"")</f>
        <v/>
      </c>
      <c r="BT49" s="8" t="str">
        <f>IF(_xlfn.XLOOKUP($B49,'ELC TECH'!$H:$H,'ELC TECH'!$E:$E)="Non Dispatchable",IFERROR($AX49*_xlfn.XLOOKUP($C49,$BM$1:$BM$3,BT$1:BT$3)/SUMPRODUCT(_xlfn.XLOOKUP($C49,$BM$1:$BM$3,$BN$1:$BY$3),$BN$4:$BY$4),""),
"")</f>
        <v/>
      </c>
      <c r="BU49" s="8" t="str">
        <f>IF(_xlfn.XLOOKUP($B49,'ELC TECH'!$H:$H,'ELC TECH'!$E:$E)="Non Dispatchable",IFERROR($AX49*_xlfn.XLOOKUP($C49,$BM$1:$BM$3,BU$1:BU$3)/SUMPRODUCT(_xlfn.XLOOKUP($C49,$BM$1:$BM$3,$BN$1:$BY$3),$BN$4:$BY$4),""),
"")</f>
        <v/>
      </c>
      <c r="BV49" s="8" t="str">
        <f>IF(_xlfn.XLOOKUP($B49,'ELC TECH'!$H:$H,'ELC TECH'!$E:$E)="Non Dispatchable",IFERROR($AX49*_xlfn.XLOOKUP($C49,$BM$1:$BM$3,BV$1:BV$3)/SUMPRODUCT(_xlfn.XLOOKUP($C49,$BM$1:$BM$3,$BN$1:$BY$3),$BN$4:$BY$4),""),
"")</f>
        <v/>
      </c>
      <c r="BW49" s="8" t="str">
        <f>IF(_xlfn.XLOOKUP($B49,'ELC TECH'!$H:$H,'ELC TECH'!$E:$E)="Non Dispatchable",IFERROR($AX49*_xlfn.XLOOKUP($C49,$BM$1:$BM$3,BW$1:BW$3)/SUMPRODUCT(_xlfn.XLOOKUP($C49,$BM$1:$BM$3,$BN$1:$BY$3),$BN$4:$BY$4),""),
"")</f>
        <v/>
      </c>
      <c r="BX49" s="8" t="str">
        <f>IF(_xlfn.XLOOKUP($B49,'ELC TECH'!$H:$H,'ELC TECH'!$E:$E)="Non Dispatchable",IFERROR($AX49*_xlfn.XLOOKUP($C49,$BM$1:$BM$3,BX$1:BX$3)/SUMPRODUCT(_xlfn.XLOOKUP($C49,$BM$1:$BM$3,$BN$1:$BY$3),$BN$4:$BY$4),""),
"")</f>
        <v/>
      </c>
      <c r="BY49" s="8" t="str">
        <f>IF(_xlfn.XLOOKUP($B49,'ELC TECH'!$H:$H,'ELC TECH'!$E:$E)="Non Dispatchable",IFERROR($AX49*_xlfn.XLOOKUP($C49,$BM$1:$BM$3,BY$1:BY$3)/SUMPRODUCT(_xlfn.XLOOKUP($C49,$BM$1:$BM$3,$BN$1:$BY$3),$BN$4:$BY$4),""),
"")</f>
        <v/>
      </c>
      <c r="BZ49" s="8" t="str">
        <f>IF(_xlfn.XLOOKUP($B49,'ELC TECH'!$H:$H,'ELC TECH'!$E:$E)="Non Dispatchable",IFERROR($AX49*_xlfn.XLOOKUP($C49,$BM$1:$BM$3,BZ$1:BZ$3)/SUMPRODUCT(_xlfn.XLOOKUP($C49,$BM$1:$BM$3,$BN$1:$BY$3),$BN$4:$BY$4),""),
"")</f>
        <v/>
      </c>
      <c r="CA49" s="8" t="str">
        <f>IF(_xlfn.XLOOKUP($B49,'ELC TECH'!$H:$H,'ELC TECH'!$E:$E)="Non Dispatchable",IFERROR($AX49*_xlfn.XLOOKUP($C49,$BM$1:$BM$3,CA$1:CA$3)/SUMPRODUCT(_xlfn.XLOOKUP($C49,$BM$1:$BM$3,$BN$1:$BY$3),$BN$4:$BY$4),""),
"")</f>
        <v/>
      </c>
      <c r="CB49" s="8" t="str">
        <f>IF(_xlfn.XLOOKUP($B49,'ELC TECH'!$H:$H,'ELC TECH'!$E:$E)="Non Dispatchable",IFERROR($AX49*_xlfn.XLOOKUP($C49,$BM$1:$BM$3,CB$1:CB$3)/SUMPRODUCT(_xlfn.XLOOKUP($C49,$BM$1:$BM$3,$BN$1:$BY$3),$BN$4:$BY$4),""),
"")</f>
        <v/>
      </c>
      <c r="CC49" s="8" t="str">
        <f>IF(_xlfn.XLOOKUP($B49,'ELC TECH'!$H:$H,'ELC TECH'!$E:$E)="Non Dispatchable",IFERROR($AX49*_xlfn.XLOOKUP($C49,$BM$1:$BM$3,CC$1:CC$3)/SUMPRODUCT(_xlfn.XLOOKUP($C49,$BM$1:$BM$3,$BN$1:$BY$3),$BN$4:$BY$4),""),
"")</f>
        <v/>
      </c>
      <c r="CD49" s="8" t="str">
        <f>IF(_xlfn.XLOOKUP($B49,'ELC TECH'!$H:$H,'ELC TECH'!$E:$E)="Non Dispatchable",IFERROR($AX49*_xlfn.XLOOKUP($C49,$BM$1:$BM$3,CD$1:CD$3)/SUMPRODUCT(_xlfn.XLOOKUP($C49,$BM$1:$BM$3,$BN$1:$BY$3),$BN$4:$BY$4),""),
"")</f>
        <v/>
      </c>
      <c r="CE49" s="8" t="str">
        <f>IF(_xlfn.XLOOKUP($B49,'ELC TECH'!$H:$H,'ELC TECH'!$E:$E)="Non Dispatchable",IFERROR($AX49*_xlfn.XLOOKUP($C49,$BM$1:$BM$3,CE$1:CE$3)/SUMPRODUCT(_xlfn.XLOOKUP($C49,$BM$1:$BM$3,$BN$1:$BY$3),$BN$4:$BY$4),""),
"")</f>
        <v/>
      </c>
      <c r="CF49" s="8" t="str">
        <f>IF(_xlfn.XLOOKUP($B49,'ELC TECH'!$H:$H,'ELC TECH'!$E:$E)="Non Dispatchable",IFERROR($AX49*_xlfn.XLOOKUP($C49,$BM$1:$BM$3,CF$1:CF$3)/SUMPRODUCT(_xlfn.XLOOKUP($C49,$BM$1:$BM$3,$BN$1:$BY$3),$BN$4:$BY$4),""),
"")</f>
        <v/>
      </c>
      <c r="CG49" s="8" t="str">
        <f>IF(_xlfn.XLOOKUP($B49,'ELC TECH'!$H:$H,'ELC TECH'!$E:$E)="Non Dispatchable",IFERROR($AX49*_xlfn.XLOOKUP($C49,$BM$1:$BM$3,CG$1:CG$3)/SUMPRODUCT(_xlfn.XLOOKUP($C49,$BM$1:$BM$3,$BN$1:$BY$3),$BN$4:$BY$4),""),
"")</f>
        <v/>
      </c>
      <c r="CH49" s="8" t="str">
        <f>IF(_xlfn.XLOOKUP($B49,'ELC TECH'!$H:$H,'ELC TECH'!$E:$E)="Non Dispatchable",IFERROR($AX49*_xlfn.XLOOKUP($C49,$BM$1:$BM$3,CH$1:CH$3)/SUMPRODUCT(_xlfn.XLOOKUP($C49,$BM$1:$BM$3,$BN$1:$BY$3),$BN$4:$BY$4),""),
"")</f>
        <v/>
      </c>
      <c r="CI49" s="8" t="str">
        <f>IF(_xlfn.XLOOKUP($B49,'ELC TECH'!$H:$H,'ELC TECH'!$E:$E)="Non Dispatchable",IFERROR($AX49*_xlfn.XLOOKUP($C49,$BM$1:$BM$3,CI$1:CI$3)/SUMPRODUCT(_xlfn.XLOOKUP($C49,$BM$1:$BM$3,$BN$1:$BY$3),$BN$4:$BY$4),""),
"")</f>
        <v/>
      </c>
      <c r="CJ49" s="8" t="str">
        <f>IF(_xlfn.XLOOKUP($B49,'ELC TECH'!$H:$H,'ELC TECH'!$E:$E)="Non Dispatchable",IFERROR($AX49*_xlfn.XLOOKUP($C49,$BM$1:$BM$3,CJ$1:CJ$3)/SUMPRODUCT(_xlfn.XLOOKUP($C49,$BM$1:$BM$3,$BN$1:$BY$3),$BN$4:$BY$4),""),
"")</f>
        <v/>
      </c>
      <c r="CK49" s="8" t="str">
        <f>IF(_xlfn.XLOOKUP($B49,'ELC TECH'!$H:$H,'ELC TECH'!$E:$E)="Non Dispatchable",IFERROR($AX49*_xlfn.XLOOKUP($C49,$BM$1:$BM$3,CK$1:CK$3)/SUMPRODUCT(_xlfn.XLOOKUP($C49,$BM$1:$BM$3,$BN$1:$BY$3),$BN$4:$BY$4),""),
"")</f>
        <v/>
      </c>
      <c r="CL49" s="8">
        <f>IF(_xlfn.XLOOKUP($B49,'ELC TECH'!$H:$H,'ELC TECH'!$E:$E)="Storage",CL$4*$BF49,"")</f>
        <v>4.1099999999999998E-2</v>
      </c>
      <c r="CM49" s="8">
        <f>IF(_xlfn.XLOOKUP($B49,'ELC TECH'!$H:$H,'ELC TECH'!$E:$E)="Storage",CM$4*$BF49,"")</f>
        <v>4.7849999999999997E-2</v>
      </c>
      <c r="CN49" s="8">
        <f>IF(_xlfn.XLOOKUP($B49,'ELC TECH'!$H:$H,'ELC TECH'!$E:$E)="Storage",CN$4*$BF49,"")</f>
        <v>7.6600000000000001E-2</v>
      </c>
      <c r="CO49" s="8">
        <f>IF(_xlfn.XLOOKUP($B49,'ELC TECH'!$H:$H,'ELC TECH'!$E:$E)="Storage",CO$4*$BF49,"")</f>
        <v>1.6000000000000001E-3</v>
      </c>
      <c r="CP49" s="8">
        <f>IF(_xlfn.XLOOKUP($B49,'ELC TECH'!$H:$H,'ELC TECH'!$E:$E)="Storage",CP$4*$BF49,"")</f>
        <v>4.0750000000000001E-2</v>
      </c>
      <c r="CQ49" s="8">
        <f>IF(_xlfn.XLOOKUP($B49,'ELC TECH'!$H:$H,'ELC TECH'!$E:$E)="Storage",CQ$4*$BF49,"")</f>
        <v>5.4350000000000002E-2</v>
      </c>
      <c r="CR49" s="8">
        <f>IF(_xlfn.XLOOKUP($B49,'ELC TECH'!$H:$H,'ELC TECH'!$E:$E)="Storage",CR$4*$BF49,"")</f>
        <v>6.905E-2</v>
      </c>
      <c r="CS49" s="8">
        <f>IF(_xlfn.XLOOKUP($B49,'ELC TECH'!$H:$H,'ELC TECH'!$E:$E)="Storage",CS$4*$BF49,"")</f>
        <v>1.6000000000000001E-3</v>
      </c>
      <c r="CT49" s="8">
        <f>IF(_xlfn.XLOOKUP($B49,'ELC TECH'!$H:$H,'ELC TECH'!$E:$E)="Storage",CT$4*$BF49,"")</f>
        <v>4.8750000000000002E-2</v>
      </c>
      <c r="CU49" s="8">
        <f>IF(_xlfn.XLOOKUP($B49,'ELC TECH'!$H:$H,'ELC TECH'!$E:$E)="Storage",CU$4*$BF49,"")</f>
        <v>5.4350000000000002E-2</v>
      </c>
      <c r="CV49" s="8">
        <f>IF(_xlfn.XLOOKUP($B49,'ELC TECH'!$H:$H,'ELC TECH'!$E:$E)="Storage",CV$4*$BF49,"")</f>
        <v>6.2649999999999997E-2</v>
      </c>
      <c r="CW49" s="8">
        <f>IF(_xlfn.XLOOKUP($B49,'ELC TECH'!$H:$H,'ELC TECH'!$E:$E)="Storage",CW$4*$BF49,"")</f>
        <v>1.3500000000000001E-3</v>
      </c>
      <c r="CX49" s="8">
        <f>IF(_xlfn.XLOOKUP($B49,'ELC TECH'!$H:$H,'ELC TECH'!$E:$E)="Storage",CX$4*$BF49,"")</f>
        <v>4.1099999999999998E-2</v>
      </c>
      <c r="CY49" s="8">
        <f>IF(_xlfn.XLOOKUP($B49,'ELC TECH'!$H:$H,'ELC TECH'!$E:$E)="Storage",CY$4*$BF49,"")</f>
        <v>4.7849999999999997E-2</v>
      </c>
      <c r="CZ49" s="8">
        <f>IF(_xlfn.XLOOKUP($B49,'ELC TECH'!$H:$H,'ELC TECH'!$E:$E)="Storage",CZ$4*$BF49,"")</f>
        <v>7.6600000000000001E-2</v>
      </c>
      <c r="DA49" s="8">
        <f>IF(_xlfn.XLOOKUP($B49,'ELC TECH'!$H:$H,'ELC TECH'!$E:$E)="Storage",DA$4*$BF49,"")</f>
        <v>1.6000000000000001E-3</v>
      </c>
      <c r="DB49" s="8">
        <f>IF(_xlfn.XLOOKUP($B49,'ELC TECH'!$H:$H,'ELC TECH'!$E:$E)="Storage",DB$4*$BF49,"")</f>
        <v>4.0750000000000001E-2</v>
      </c>
      <c r="DC49" s="8">
        <f>IF(_xlfn.XLOOKUP($B49,'ELC TECH'!$H:$H,'ELC TECH'!$E:$E)="Storage",DC$4*$BF49,"")</f>
        <v>5.4350000000000002E-2</v>
      </c>
      <c r="DD49" s="8">
        <f>IF(_xlfn.XLOOKUP($B49,'ELC TECH'!$H:$H,'ELC TECH'!$E:$E)="Storage",DD$4*$BF49,"")</f>
        <v>6.905E-2</v>
      </c>
      <c r="DE49" s="8">
        <f>IF(_xlfn.XLOOKUP($B49,'ELC TECH'!$H:$H,'ELC TECH'!$E:$E)="Storage",DE$4*$BF49,"")</f>
        <v>1.6000000000000001E-3</v>
      </c>
      <c r="DF49" s="8">
        <f>IF(_xlfn.XLOOKUP($B49,'ELC TECH'!$H:$H,'ELC TECH'!$E:$E)="Storage",DF$4*$BF49,"")</f>
        <v>4.8750000000000002E-2</v>
      </c>
      <c r="DG49" s="8">
        <f>IF(_xlfn.XLOOKUP($B49,'ELC TECH'!$H:$H,'ELC TECH'!$E:$E)="Storage",DG$4*$BF49,"")</f>
        <v>5.4350000000000002E-2</v>
      </c>
      <c r="DH49" s="8">
        <f>IF(_xlfn.XLOOKUP($B49,'ELC TECH'!$H:$H,'ELC TECH'!$E:$E)="Storage",DH$4*$BF49,"")</f>
        <v>6.2649999999999997E-2</v>
      </c>
      <c r="DI49" s="8">
        <f>IF(_xlfn.XLOOKUP($B49,'ELC TECH'!$H:$H,'ELC TECH'!$E:$E)="Storage",DI$4*$BF49,"")</f>
        <v>1.3500000000000001E-3</v>
      </c>
    </row>
    <row r="50" spans="2:113" x14ac:dyDescent="0.25">
      <c r="B50" t="str">
        <f>IF('ELC TECH'!I43=0,"*",'ELC TECH'!H43)</f>
        <v>ELCSTGGRDPSH12HC1520</v>
      </c>
      <c r="C50" t="str">
        <f>IF(_xlfn.XLOOKUP(_xlfn.XLOOKUP(B50,'ELC TECH'!$H:$H,'ELC TECH'!$G:$G),List!C:C,List!B:B)="STG",D50,"ELC"&amp;_xlfn.XLOOKUP(_xlfn.XLOOKUP(B50,'ELC TECH'!H:H,'ELC TECH'!G:G),List!C:C,List!B:B))</f>
        <v>CELC</v>
      </c>
      <c r="D50" t="s">
        <v>544</v>
      </c>
      <c r="E50">
        <f>_xlfn.XLOOKUP(B50,'ELC TECH'!H:H,'ELC TECH'!D:D)</f>
        <v>2020</v>
      </c>
      <c r="F50">
        <f>_xlfn.XLOOKUP(B50,'ELC TECH'!H:H,'ELC TECH'!K:K)</f>
        <v>100</v>
      </c>
      <c r="G50">
        <f t="shared" si="5"/>
        <v>31.535999999999998</v>
      </c>
      <c r="H50">
        <f>IF(_xlfn.XLOOKUP(B50,'ELC TECH'!$H:$H,'ELC TECH'!$E:$E)="Storage",0.3,IF(_xlfn.XLOOKUP(B50,'ELC TECH'!$H:$H,'ELC TECH'!$E:$E)="Baseload",0.9,IF(_xlfn.XLOOKUP(B50,'ELC TECH'!$H:$H,'ELC TECH'!$E:$E)="Non Dispatchable",0.05,IF(_xlfn.XLOOKUP(B50,'ELC TECH'!$H:$H,'ELC TECH'!$E:$E)="Dispatchable",0.9,1))))</f>
        <v>0.3</v>
      </c>
      <c r="I50" s="13">
        <f>IF(_xlfn.XLOOKUP(B50,'ELC TECH'!H:H,'ELC TECH'!J:J)="","",_xlfn.XLOOKUP(B50,'ELC TECH'!H:H,'ELC TECH'!J:J))</f>
        <v>0</v>
      </c>
      <c r="J50" s="12" t="str">
        <f>IF(_xlfn.XLOOKUP($B50,'ELC TECH'!$H:$H,'ELC TECH'!$E:$E)="Storage","",IF(_xlfn.XLOOKUP($B50,'ELC TECH'!$H:$H,'ELC TECH'!AK:AK)="",1,_xlfn.XLOOKUP($B50,'ELC TECH'!$H:$H,'ELC TECH'!AK:AK)))</f>
        <v/>
      </c>
      <c r="K50" s="12" t="str">
        <f>IF(_xlfn.XLOOKUP($B50,'ELC TECH'!$H:$H,'ELC TECH'!$E:$E)="Storage","",IF(_xlfn.XLOOKUP($B50,'ELC TECH'!$H:$H,'ELC TECH'!AL:AL)="",1,_xlfn.XLOOKUP($B50,'ELC TECH'!$H:$H,'ELC TECH'!AL:AL)))</f>
        <v/>
      </c>
      <c r="L50" s="12" t="str">
        <f>IF(_xlfn.XLOOKUP($B50,'ELC TECH'!$H:$H,'ELC TECH'!$E:$E)="Storage","",IF(_xlfn.XLOOKUP($B50,'ELC TECH'!$H:$H,'ELC TECH'!AM:AM)="",1,_xlfn.XLOOKUP($B50,'ELC TECH'!$H:$H,'ELC TECH'!AM:AM)))</f>
        <v/>
      </c>
      <c r="M50" s="12" t="str">
        <f>IF(_xlfn.XLOOKUP($B50,'ELC TECH'!$H:$H,'ELC TECH'!$E:$E)="Storage","",IF(_xlfn.XLOOKUP($B50,'ELC TECH'!$H:$H,'ELC TECH'!AN:AN)="",1,_xlfn.XLOOKUP($B50,'ELC TECH'!$H:$H,'ELC TECH'!AN:AN)))</f>
        <v/>
      </c>
      <c r="N50" s="12" t="str">
        <f>IF(_xlfn.XLOOKUP($B50,'ELC TECH'!$H:$H,'ELC TECH'!$E:$E)="Storage","",IF(_xlfn.XLOOKUP($B50,'ELC TECH'!$H:$H,'ELC TECH'!AO:AO)="",1,_xlfn.XLOOKUP($B50,'ELC TECH'!$H:$H,'ELC TECH'!AO:AO)))</f>
        <v/>
      </c>
      <c r="O50" s="12" t="str">
        <f>IF(_xlfn.XLOOKUP($B50,'ELC TECH'!$H:$H,'ELC TECH'!$E:$E)="Storage","",IF(_xlfn.XLOOKUP($B50,'ELC TECH'!$H:$H,'ELC TECH'!AP:AP)="",1,_xlfn.XLOOKUP($B50,'ELC TECH'!$H:$H,'ELC TECH'!AP:AP)))</f>
        <v/>
      </c>
      <c r="P50" s="12" t="str">
        <f>IF(_xlfn.XLOOKUP($B50,'ELC TECH'!$H:$H,'ELC TECH'!$E:$E)="Storage","",IF(_xlfn.XLOOKUP($B50,'ELC TECH'!$H:$H,'ELC TECH'!AQ:AQ)="",1,_xlfn.XLOOKUP($B50,'ELC TECH'!$H:$H,'ELC TECH'!AQ:AQ)))</f>
        <v/>
      </c>
      <c r="Q50" s="12" t="str">
        <f>IF(_xlfn.XLOOKUP($B50,'ELC TECH'!$H:$H,'ELC TECH'!$E:$E)="Storage","",IF(_xlfn.XLOOKUP($B50,'ELC TECH'!$H:$H,'ELC TECH'!AR:AR)="",1,_xlfn.XLOOKUP($B50,'ELC TECH'!$H:$H,'ELC TECH'!AR:AR)))</f>
        <v/>
      </c>
      <c r="R50" s="12">
        <f>IF(_xlfn.XLOOKUP($B50,'ELC TECH'!$H:$H,'ELC TECH'!$E:$E)&lt;&gt;"Storage","",IF(_xlfn.XLOOKUP($B50,'ELC TECH'!$H:$H,'ELC TECH'!AK:AK)="",0.8,_xlfn.XLOOKUP($B50,'ELC TECH'!$H:$H,'ELC TECH'!AK:AK)))</f>
        <v>0.8</v>
      </c>
      <c r="S50" s="12">
        <f>IF(_xlfn.XLOOKUP($B50,'ELC TECH'!$H:$H,'ELC TECH'!$E:$E)&lt;&gt;"Storage","",IF(_xlfn.XLOOKUP($B50,'ELC TECH'!$H:$H,'ELC TECH'!AL:AL)="",0.8,_xlfn.XLOOKUP($B50,'ELC TECH'!$H:$H,'ELC TECH'!AL:AL)))</f>
        <v>0.8</v>
      </c>
      <c r="T50" s="12">
        <f>IF(_xlfn.XLOOKUP($B50,'ELC TECH'!$H:$H,'ELC TECH'!$E:$E)&lt;&gt;"Storage","",IF(_xlfn.XLOOKUP($B50,'ELC TECH'!$H:$H,'ELC TECH'!AM:AM)="",0.8,_xlfn.XLOOKUP($B50,'ELC TECH'!$H:$H,'ELC TECH'!AM:AM)))</f>
        <v>0.8</v>
      </c>
      <c r="U50" s="12">
        <f>IF(_xlfn.XLOOKUP($B50,'ELC TECH'!$H:$H,'ELC TECH'!$E:$E)&lt;&gt;"Storage","",IF(_xlfn.XLOOKUP($B50,'ELC TECH'!$H:$H,'ELC TECH'!AN:AN)="",0.8,_xlfn.XLOOKUP($B50,'ELC TECH'!$H:$H,'ELC TECH'!AN:AN)))</f>
        <v>0.8</v>
      </c>
      <c r="V50" s="12">
        <f>IF(_xlfn.XLOOKUP($B50,'ELC TECH'!$H:$H,'ELC TECH'!$E:$E)&lt;&gt;"Storage","",IF(_xlfn.XLOOKUP($B50,'ELC TECH'!$H:$H,'ELC TECH'!AO:AO)="",0.8,_xlfn.XLOOKUP($B50,'ELC TECH'!$H:$H,'ELC TECH'!AO:AO)))</f>
        <v>0.8</v>
      </c>
      <c r="W50" s="12">
        <f>IF(_xlfn.XLOOKUP($B50,'ELC TECH'!$H:$H,'ELC TECH'!$E:$E)&lt;&gt;"Storage","",IF(_xlfn.XLOOKUP($B50,'ELC TECH'!$H:$H,'ELC TECH'!AP:AP)="",0.8,_xlfn.XLOOKUP($B50,'ELC TECH'!$H:$H,'ELC TECH'!AP:AP)))</f>
        <v>0.8</v>
      </c>
      <c r="X50" s="12">
        <f>IF(_xlfn.XLOOKUP($B50,'ELC TECH'!$H:$H,'ELC TECH'!$E:$E)&lt;&gt;"Storage","",IF(_xlfn.XLOOKUP($B50,'ELC TECH'!$H:$H,'ELC TECH'!AQ:AQ)="",0.8,_xlfn.XLOOKUP($B50,'ELC TECH'!$H:$H,'ELC TECH'!AQ:AQ)))</f>
        <v>0.8</v>
      </c>
      <c r="Y50" s="12">
        <f>IF(_xlfn.XLOOKUP($B50,'ELC TECH'!$H:$H,'ELC TECH'!$E:$E)&lt;&gt;"Storage","",IF(_xlfn.XLOOKUP($B50,'ELC TECH'!$H:$H,'ELC TECH'!AR:AR)="",0.8,_xlfn.XLOOKUP($B50,'ELC TECH'!$H:$H,'ELC TECH'!AR:AR)))</f>
        <v>0.8</v>
      </c>
      <c r="Z50" s="15">
        <f>_xlfn.XLOOKUP($B50,'ELC TECH'!$H:$H,'ELC TECH'!M:M)</f>
        <v>4700.5288106819444</v>
      </c>
      <c r="AA50" s="15">
        <f>_xlfn.XLOOKUP($B50,'ELC TECH'!$H:$H,'ELC TECH'!N:N)</f>
        <v>4700.5288106819444</v>
      </c>
      <c r="AB50" s="15">
        <f>_xlfn.XLOOKUP($B50,'ELC TECH'!$H:$H,'ELC TECH'!O:O)</f>
        <v>4700.5288106819444</v>
      </c>
      <c r="AC50" s="15">
        <f>_xlfn.XLOOKUP($B50,'ELC TECH'!$H:$H,'ELC TECH'!P:P)</f>
        <v>4700.5288106819444</v>
      </c>
      <c r="AD50" s="15">
        <f>_xlfn.XLOOKUP($B50,'ELC TECH'!$H:$H,'ELC TECH'!Q:Q)</f>
        <v>4700.5288106819444</v>
      </c>
      <c r="AE50" s="15">
        <f>_xlfn.XLOOKUP($B50,'ELC TECH'!$H:$H,'ELC TECH'!R:R)</f>
        <v>4700.5288106819444</v>
      </c>
      <c r="AF50" s="15">
        <f>_xlfn.XLOOKUP($B50,'ELC TECH'!$H:$H,'ELC TECH'!S:S)</f>
        <v>4700.5288106819444</v>
      </c>
      <c r="AG50" s="15">
        <f>_xlfn.XLOOKUP($B50,'ELC TECH'!$H:$H,'ELC TECH'!T:T)</f>
        <v>4700.5288106819444</v>
      </c>
      <c r="AH50" s="15">
        <f>_xlfn.XLOOKUP($B50,'ELC TECH'!$H:$H,'ELC TECH'!U:U)</f>
        <v>21.100097091380029</v>
      </c>
      <c r="AI50" s="15">
        <f>_xlfn.XLOOKUP($B50,'ELC TECH'!$H:$H,'ELC TECH'!V:V)</f>
        <v>21.100097091380029</v>
      </c>
      <c r="AJ50" s="15">
        <f>_xlfn.XLOOKUP($B50,'ELC TECH'!$H:$H,'ELC TECH'!W:W)</f>
        <v>21.100097091380029</v>
      </c>
      <c r="AK50" s="15">
        <f>_xlfn.XLOOKUP($B50,'ELC TECH'!$H:$H,'ELC TECH'!X:X)</f>
        <v>21.100097091380029</v>
      </c>
      <c r="AL50" s="15">
        <f>_xlfn.XLOOKUP($B50,'ELC TECH'!$H:$H,'ELC TECH'!Y:Y)</f>
        <v>21.100097091380029</v>
      </c>
      <c r="AM50" s="15">
        <f>_xlfn.XLOOKUP($B50,'ELC TECH'!$H:$H,'ELC TECH'!Z:Z)</f>
        <v>21.100097091380029</v>
      </c>
      <c r="AN50" s="15">
        <f>_xlfn.XLOOKUP($B50,'ELC TECH'!$H:$H,'ELC TECH'!AA:AA)</f>
        <v>21.100097091380029</v>
      </c>
      <c r="AO50" s="15">
        <f>_xlfn.XLOOKUP($B50,'ELC TECH'!$H:$H,'ELC TECH'!AB:AB)</f>
        <v>21.100097091380029</v>
      </c>
      <c r="AP50" s="15">
        <f>_xlfn.XLOOKUP($B50,'ELC TECH'!$H:$H,'ELC TECH'!AC:AC)</f>
        <v>0.1696149283872993</v>
      </c>
      <c r="AQ50" s="15">
        <f>_xlfn.XLOOKUP($B50,'ELC TECH'!$H:$H,'ELC TECH'!AD:AD)</f>
        <v>0.1696149283872993</v>
      </c>
      <c r="AR50" s="15">
        <f>_xlfn.XLOOKUP($B50,'ELC TECH'!$H:$H,'ELC TECH'!AE:AE)</f>
        <v>0.1696149283872993</v>
      </c>
      <c r="AS50" s="15">
        <f>_xlfn.XLOOKUP($B50,'ELC TECH'!$H:$H,'ELC TECH'!AF:AF)</f>
        <v>0.1696149283872993</v>
      </c>
      <c r="AT50" s="15">
        <f>_xlfn.XLOOKUP($B50,'ELC TECH'!$H:$H,'ELC TECH'!AG:AG)</f>
        <v>0.1696149283872993</v>
      </c>
      <c r="AU50" s="15">
        <f>_xlfn.XLOOKUP($B50,'ELC TECH'!$H:$H,'ELC TECH'!AH:AH)</f>
        <v>0.1696149283872993</v>
      </c>
      <c r="AV50" s="15">
        <f>_xlfn.XLOOKUP($B50,'ELC TECH'!$H:$H,'ELC TECH'!AI:AI)</f>
        <v>0.1696149283872993</v>
      </c>
      <c r="AW50" s="15">
        <f>_xlfn.XLOOKUP($B50,'ELC TECH'!$H:$H,'ELC TECH'!AJ:AJ)</f>
        <v>0.1696149283872993</v>
      </c>
      <c r="AX50" s="12" t="str">
        <f>IF(_xlfn.XLOOKUP($B50,'ELC TECH'!$H:$H,'ELC TECH'!$E:$E)="Storage","",_xlfn.XLOOKUP($B50,'ELC TECH'!$H:$H,'ELC TECH'!AS:AS))</f>
        <v/>
      </c>
      <c r="AY50" s="12" t="str">
        <f>IF(_xlfn.XLOOKUP($B50,'ELC TECH'!$H:$H,'ELC TECH'!$E:$E)="Storage","",_xlfn.XLOOKUP($B50,'ELC TECH'!$H:$H,'ELC TECH'!AT:AT))</f>
        <v/>
      </c>
      <c r="AZ50" s="12" t="str">
        <f>IF(_xlfn.XLOOKUP($B50,'ELC TECH'!$H:$H,'ELC TECH'!$E:$E)="Storage","",_xlfn.XLOOKUP($B50,'ELC TECH'!$H:$H,'ELC TECH'!AU:AU))</f>
        <v/>
      </c>
      <c r="BA50" s="12" t="str">
        <f>IF(_xlfn.XLOOKUP($B50,'ELC TECH'!$H:$H,'ELC TECH'!$E:$E)="Storage","",_xlfn.XLOOKUP($B50,'ELC TECH'!$H:$H,'ELC TECH'!AV:AV))</f>
        <v/>
      </c>
      <c r="BB50" s="12" t="str">
        <f>IF(_xlfn.XLOOKUP($B50,'ELC TECH'!$H:$H,'ELC TECH'!$E:$E)="Storage","",_xlfn.XLOOKUP($B50,'ELC TECH'!$H:$H,'ELC TECH'!AW:AW))</f>
        <v/>
      </c>
      <c r="BC50" s="12" t="str">
        <f>IF(_xlfn.XLOOKUP($B50,'ELC TECH'!$H:$H,'ELC TECH'!$E:$E)="Storage","",_xlfn.XLOOKUP($B50,'ELC TECH'!$H:$H,'ELC TECH'!AX:AX))</f>
        <v/>
      </c>
      <c r="BD50" s="12" t="str">
        <f>IF(_xlfn.XLOOKUP($B50,'ELC TECH'!$H:$H,'ELC TECH'!$E:$E)="Storage","",_xlfn.XLOOKUP($B50,'ELC TECH'!$H:$H,'ELC TECH'!AY:AY))</f>
        <v/>
      </c>
      <c r="BE50" s="12" t="str">
        <f>IF(_xlfn.XLOOKUP($B50,'ELC TECH'!$H:$H,'ELC TECH'!$E:$E)="Storage","",_xlfn.XLOOKUP($B50,'ELC TECH'!$H:$H,'ELC TECH'!AZ:AZ))</f>
        <v/>
      </c>
      <c r="BF50" s="12">
        <f>IF(_xlfn.XLOOKUP($B50,'ELC TECH'!$H:$H,'ELC TECH'!$E:$E)="Storage",_xlfn.XLOOKUP($B50,'ELC TECH'!$H:$H,'ELC TECH'!AS:AS),"")</f>
        <v>0.5</v>
      </c>
      <c r="BG50" s="12">
        <f>IF(_xlfn.XLOOKUP($B50,'ELC TECH'!$H:$H,'ELC TECH'!$E:$E)="Storage",_xlfn.XLOOKUP($B50,'ELC TECH'!$H:$H,'ELC TECH'!AT:AT),"")</f>
        <v>0.5</v>
      </c>
      <c r="BH50" s="12">
        <f>IF(_xlfn.XLOOKUP($B50,'ELC TECH'!$H:$H,'ELC TECH'!$E:$E)="Storage",_xlfn.XLOOKUP($B50,'ELC TECH'!$H:$H,'ELC TECH'!AU:AU),"")</f>
        <v>0.5</v>
      </c>
      <c r="BI50" s="12">
        <f>IF(_xlfn.XLOOKUP($B50,'ELC TECH'!$H:$H,'ELC TECH'!$E:$E)="Storage",_xlfn.XLOOKUP($B50,'ELC TECH'!$H:$H,'ELC TECH'!AV:AV),"")</f>
        <v>0.5</v>
      </c>
      <c r="BJ50" s="12">
        <f>IF(_xlfn.XLOOKUP($B50,'ELC TECH'!$H:$H,'ELC TECH'!$E:$E)="Storage",_xlfn.XLOOKUP($B50,'ELC TECH'!$H:$H,'ELC TECH'!AW:AW),"")</f>
        <v>0.5</v>
      </c>
      <c r="BK50" s="12">
        <f>IF(_xlfn.XLOOKUP($B50,'ELC TECH'!$H:$H,'ELC TECH'!$E:$E)="Storage",_xlfn.XLOOKUP($B50,'ELC TECH'!$H:$H,'ELC TECH'!AX:AX),"")</f>
        <v>0.5</v>
      </c>
      <c r="BL50" s="12">
        <f>IF(_xlfn.XLOOKUP($B50,'ELC TECH'!$H:$H,'ELC TECH'!$E:$E)="Storage",_xlfn.XLOOKUP($B50,'ELC TECH'!$H:$H,'ELC TECH'!AY:AY),"")</f>
        <v>0.5</v>
      </c>
      <c r="BM50" s="12">
        <f>IF(_xlfn.XLOOKUP($B50,'ELC TECH'!$H:$H,'ELC TECH'!$E:$E)="Storage",_xlfn.XLOOKUP($B50,'ELC TECH'!$H:$H,'ELC TECH'!AZ:AZ),"")</f>
        <v>0.5</v>
      </c>
      <c r="BN50" s="8" t="str">
        <f>IF(_xlfn.XLOOKUP($B50,'ELC TECH'!$H:$H,'ELC TECH'!$E:$E)="Non Dispatchable",IFERROR($AX50*_xlfn.XLOOKUP($C50,$BM$1:$BM$3,BN$1:BN$3)/SUMPRODUCT(_xlfn.XLOOKUP($C50,$BM$1:$BM$3,$BN$1:$BY$3),$BN$4:$BY$4),""),
"")</f>
        <v/>
      </c>
      <c r="BO50" s="8" t="str">
        <f>IF(_xlfn.XLOOKUP($B50,'ELC TECH'!$H:$H,'ELC TECH'!$E:$E)="Non Dispatchable",IFERROR($AX50*_xlfn.XLOOKUP($C50,$BM$1:$BM$3,BO$1:BO$3)/SUMPRODUCT(_xlfn.XLOOKUP($C50,$BM$1:$BM$3,$BN$1:$BY$3),$BN$4:$BY$4),""),
"")</f>
        <v/>
      </c>
      <c r="BP50" s="8" t="str">
        <f>IF(_xlfn.XLOOKUP($B50,'ELC TECH'!$H:$H,'ELC TECH'!$E:$E)="Non Dispatchable",IFERROR($AX50*_xlfn.XLOOKUP($C50,$BM$1:$BM$3,BP$1:BP$3)/SUMPRODUCT(_xlfn.XLOOKUP($C50,$BM$1:$BM$3,$BN$1:$BY$3),$BN$4:$BY$4),""),
"")</f>
        <v/>
      </c>
      <c r="BQ50" s="8" t="str">
        <f>IF(_xlfn.XLOOKUP($B50,'ELC TECH'!$H:$H,'ELC TECH'!$E:$E)="Non Dispatchable",IFERROR($AX50*_xlfn.XLOOKUP($C50,$BM$1:$BM$3,BQ$1:BQ$3)/SUMPRODUCT(_xlfn.XLOOKUP($C50,$BM$1:$BM$3,$BN$1:$BY$3),$BN$4:$BY$4),""),
"")</f>
        <v/>
      </c>
      <c r="BR50" s="8" t="str">
        <f>IF(_xlfn.XLOOKUP($B50,'ELC TECH'!$H:$H,'ELC TECH'!$E:$E)="Non Dispatchable",IFERROR($AX50*_xlfn.XLOOKUP($C50,$BM$1:$BM$3,BR$1:BR$3)/SUMPRODUCT(_xlfn.XLOOKUP($C50,$BM$1:$BM$3,$BN$1:$BY$3),$BN$4:$BY$4),""),
"")</f>
        <v/>
      </c>
      <c r="BS50" s="8" t="str">
        <f>IF(_xlfn.XLOOKUP($B50,'ELC TECH'!$H:$H,'ELC TECH'!$E:$E)="Non Dispatchable",IFERROR($AX50*_xlfn.XLOOKUP($C50,$BM$1:$BM$3,BS$1:BS$3)/SUMPRODUCT(_xlfn.XLOOKUP($C50,$BM$1:$BM$3,$BN$1:$BY$3),$BN$4:$BY$4),""),
"")</f>
        <v/>
      </c>
      <c r="BT50" s="8" t="str">
        <f>IF(_xlfn.XLOOKUP($B50,'ELC TECH'!$H:$H,'ELC TECH'!$E:$E)="Non Dispatchable",IFERROR($AX50*_xlfn.XLOOKUP($C50,$BM$1:$BM$3,BT$1:BT$3)/SUMPRODUCT(_xlfn.XLOOKUP($C50,$BM$1:$BM$3,$BN$1:$BY$3),$BN$4:$BY$4),""),
"")</f>
        <v/>
      </c>
      <c r="BU50" s="8" t="str">
        <f>IF(_xlfn.XLOOKUP($B50,'ELC TECH'!$H:$H,'ELC TECH'!$E:$E)="Non Dispatchable",IFERROR($AX50*_xlfn.XLOOKUP($C50,$BM$1:$BM$3,BU$1:BU$3)/SUMPRODUCT(_xlfn.XLOOKUP($C50,$BM$1:$BM$3,$BN$1:$BY$3),$BN$4:$BY$4),""),
"")</f>
        <v/>
      </c>
      <c r="BV50" s="8" t="str">
        <f>IF(_xlfn.XLOOKUP($B50,'ELC TECH'!$H:$H,'ELC TECH'!$E:$E)="Non Dispatchable",IFERROR($AX50*_xlfn.XLOOKUP($C50,$BM$1:$BM$3,BV$1:BV$3)/SUMPRODUCT(_xlfn.XLOOKUP($C50,$BM$1:$BM$3,$BN$1:$BY$3),$BN$4:$BY$4),""),
"")</f>
        <v/>
      </c>
      <c r="BW50" s="8" t="str">
        <f>IF(_xlfn.XLOOKUP($B50,'ELC TECH'!$H:$H,'ELC TECH'!$E:$E)="Non Dispatchable",IFERROR($AX50*_xlfn.XLOOKUP($C50,$BM$1:$BM$3,BW$1:BW$3)/SUMPRODUCT(_xlfn.XLOOKUP($C50,$BM$1:$BM$3,$BN$1:$BY$3),$BN$4:$BY$4),""),
"")</f>
        <v/>
      </c>
      <c r="BX50" s="8" t="str">
        <f>IF(_xlfn.XLOOKUP($B50,'ELC TECH'!$H:$H,'ELC TECH'!$E:$E)="Non Dispatchable",IFERROR($AX50*_xlfn.XLOOKUP($C50,$BM$1:$BM$3,BX$1:BX$3)/SUMPRODUCT(_xlfn.XLOOKUP($C50,$BM$1:$BM$3,$BN$1:$BY$3),$BN$4:$BY$4),""),
"")</f>
        <v/>
      </c>
      <c r="BY50" s="8" t="str">
        <f>IF(_xlfn.XLOOKUP($B50,'ELC TECH'!$H:$H,'ELC TECH'!$E:$E)="Non Dispatchable",IFERROR($AX50*_xlfn.XLOOKUP($C50,$BM$1:$BM$3,BY$1:BY$3)/SUMPRODUCT(_xlfn.XLOOKUP($C50,$BM$1:$BM$3,$BN$1:$BY$3),$BN$4:$BY$4),""),
"")</f>
        <v/>
      </c>
      <c r="BZ50" s="8" t="str">
        <f>IF(_xlfn.XLOOKUP($B50,'ELC TECH'!$H:$H,'ELC TECH'!$E:$E)="Non Dispatchable",IFERROR($AX50*_xlfn.XLOOKUP($C50,$BM$1:$BM$3,BZ$1:BZ$3)/SUMPRODUCT(_xlfn.XLOOKUP($C50,$BM$1:$BM$3,$BN$1:$BY$3),$BN$4:$BY$4),""),
"")</f>
        <v/>
      </c>
      <c r="CA50" s="8" t="str">
        <f>IF(_xlfn.XLOOKUP($B50,'ELC TECH'!$H:$H,'ELC TECH'!$E:$E)="Non Dispatchable",IFERROR($AX50*_xlfn.XLOOKUP($C50,$BM$1:$BM$3,CA$1:CA$3)/SUMPRODUCT(_xlfn.XLOOKUP($C50,$BM$1:$BM$3,$BN$1:$BY$3),$BN$4:$BY$4),""),
"")</f>
        <v/>
      </c>
      <c r="CB50" s="8" t="str">
        <f>IF(_xlfn.XLOOKUP($B50,'ELC TECH'!$H:$H,'ELC TECH'!$E:$E)="Non Dispatchable",IFERROR($AX50*_xlfn.XLOOKUP($C50,$BM$1:$BM$3,CB$1:CB$3)/SUMPRODUCT(_xlfn.XLOOKUP($C50,$BM$1:$BM$3,$BN$1:$BY$3),$BN$4:$BY$4),""),
"")</f>
        <v/>
      </c>
      <c r="CC50" s="8" t="str">
        <f>IF(_xlfn.XLOOKUP($B50,'ELC TECH'!$H:$H,'ELC TECH'!$E:$E)="Non Dispatchable",IFERROR($AX50*_xlfn.XLOOKUP($C50,$BM$1:$BM$3,CC$1:CC$3)/SUMPRODUCT(_xlfn.XLOOKUP($C50,$BM$1:$BM$3,$BN$1:$BY$3),$BN$4:$BY$4),""),
"")</f>
        <v/>
      </c>
      <c r="CD50" s="8" t="str">
        <f>IF(_xlfn.XLOOKUP($B50,'ELC TECH'!$H:$H,'ELC TECH'!$E:$E)="Non Dispatchable",IFERROR($AX50*_xlfn.XLOOKUP($C50,$BM$1:$BM$3,CD$1:CD$3)/SUMPRODUCT(_xlfn.XLOOKUP($C50,$BM$1:$BM$3,$BN$1:$BY$3),$BN$4:$BY$4),""),
"")</f>
        <v/>
      </c>
      <c r="CE50" s="8" t="str">
        <f>IF(_xlfn.XLOOKUP($B50,'ELC TECH'!$H:$H,'ELC TECH'!$E:$E)="Non Dispatchable",IFERROR($AX50*_xlfn.XLOOKUP($C50,$BM$1:$BM$3,CE$1:CE$3)/SUMPRODUCT(_xlfn.XLOOKUP($C50,$BM$1:$BM$3,$BN$1:$BY$3),$BN$4:$BY$4),""),
"")</f>
        <v/>
      </c>
      <c r="CF50" s="8" t="str">
        <f>IF(_xlfn.XLOOKUP($B50,'ELC TECH'!$H:$H,'ELC TECH'!$E:$E)="Non Dispatchable",IFERROR($AX50*_xlfn.XLOOKUP($C50,$BM$1:$BM$3,CF$1:CF$3)/SUMPRODUCT(_xlfn.XLOOKUP($C50,$BM$1:$BM$3,$BN$1:$BY$3),$BN$4:$BY$4),""),
"")</f>
        <v/>
      </c>
      <c r="CG50" s="8" t="str">
        <f>IF(_xlfn.XLOOKUP($B50,'ELC TECH'!$H:$H,'ELC TECH'!$E:$E)="Non Dispatchable",IFERROR($AX50*_xlfn.XLOOKUP($C50,$BM$1:$BM$3,CG$1:CG$3)/SUMPRODUCT(_xlfn.XLOOKUP($C50,$BM$1:$BM$3,$BN$1:$BY$3),$BN$4:$BY$4),""),
"")</f>
        <v/>
      </c>
      <c r="CH50" s="8" t="str">
        <f>IF(_xlfn.XLOOKUP($B50,'ELC TECH'!$H:$H,'ELC TECH'!$E:$E)="Non Dispatchable",IFERROR($AX50*_xlfn.XLOOKUP($C50,$BM$1:$BM$3,CH$1:CH$3)/SUMPRODUCT(_xlfn.XLOOKUP($C50,$BM$1:$BM$3,$BN$1:$BY$3),$BN$4:$BY$4),""),
"")</f>
        <v/>
      </c>
      <c r="CI50" s="8" t="str">
        <f>IF(_xlfn.XLOOKUP($B50,'ELC TECH'!$H:$H,'ELC TECH'!$E:$E)="Non Dispatchable",IFERROR($AX50*_xlfn.XLOOKUP($C50,$BM$1:$BM$3,CI$1:CI$3)/SUMPRODUCT(_xlfn.XLOOKUP($C50,$BM$1:$BM$3,$BN$1:$BY$3),$BN$4:$BY$4),""),
"")</f>
        <v/>
      </c>
      <c r="CJ50" s="8" t="str">
        <f>IF(_xlfn.XLOOKUP($B50,'ELC TECH'!$H:$H,'ELC TECH'!$E:$E)="Non Dispatchable",IFERROR($AX50*_xlfn.XLOOKUP($C50,$BM$1:$BM$3,CJ$1:CJ$3)/SUMPRODUCT(_xlfn.XLOOKUP($C50,$BM$1:$BM$3,$BN$1:$BY$3),$BN$4:$BY$4),""),
"")</f>
        <v/>
      </c>
      <c r="CK50" s="8" t="str">
        <f>IF(_xlfn.XLOOKUP($B50,'ELC TECH'!$H:$H,'ELC TECH'!$E:$E)="Non Dispatchable",IFERROR($AX50*_xlfn.XLOOKUP($C50,$BM$1:$BM$3,CK$1:CK$3)/SUMPRODUCT(_xlfn.XLOOKUP($C50,$BM$1:$BM$3,$BN$1:$BY$3),$BN$4:$BY$4),""),
"")</f>
        <v/>
      </c>
      <c r="CL50" s="8">
        <f>IF(_xlfn.XLOOKUP($B50,'ELC TECH'!$H:$H,'ELC TECH'!$E:$E)="Storage",CL$4*$BF50,"")</f>
        <v>4.1099999999999998E-2</v>
      </c>
      <c r="CM50" s="8">
        <f>IF(_xlfn.XLOOKUP($B50,'ELC TECH'!$H:$H,'ELC TECH'!$E:$E)="Storage",CM$4*$BF50,"")</f>
        <v>4.7849999999999997E-2</v>
      </c>
      <c r="CN50" s="8">
        <f>IF(_xlfn.XLOOKUP($B50,'ELC TECH'!$H:$H,'ELC TECH'!$E:$E)="Storage",CN$4*$BF50,"")</f>
        <v>7.6600000000000001E-2</v>
      </c>
      <c r="CO50" s="8">
        <f>IF(_xlfn.XLOOKUP($B50,'ELC TECH'!$H:$H,'ELC TECH'!$E:$E)="Storage",CO$4*$BF50,"")</f>
        <v>1.6000000000000001E-3</v>
      </c>
      <c r="CP50" s="8">
        <f>IF(_xlfn.XLOOKUP($B50,'ELC TECH'!$H:$H,'ELC TECH'!$E:$E)="Storage",CP$4*$BF50,"")</f>
        <v>4.0750000000000001E-2</v>
      </c>
      <c r="CQ50" s="8">
        <f>IF(_xlfn.XLOOKUP($B50,'ELC TECH'!$H:$H,'ELC TECH'!$E:$E)="Storage",CQ$4*$BF50,"")</f>
        <v>5.4350000000000002E-2</v>
      </c>
      <c r="CR50" s="8">
        <f>IF(_xlfn.XLOOKUP($B50,'ELC TECH'!$H:$H,'ELC TECH'!$E:$E)="Storage",CR$4*$BF50,"")</f>
        <v>6.905E-2</v>
      </c>
      <c r="CS50" s="8">
        <f>IF(_xlfn.XLOOKUP($B50,'ELC TECH'!$H:$H,'ELC TECH'!$E:$E)="Storage",CS$4*$BF50,"")</f>
        <v>1.6000000000000001E-3</v>
      </c>
      <c r="CT50" s="8">
        <f>IF(_xlfn.XLOOKUP($B50,'ELC TECH'!$H:$H,'ELC TECH'!$E:$E)="Storage",CT$4*$BF50,"")</f>
        <v>4.8750000000000002E-2</v>
      </c>
      <c r="CU50" s="8">
        <f>IF(_xlfn.XLOOKUP($B50,'ELC TECH'!$H:$H,'ELC TECH'!$E:$E)="Storage",CU$4*$BF50,"")</f>
        <v>5.4350000000000002E-2</v>
      </c>
      <c r="CV50" s="8">
        <f>IF(_xlfn.XLOOKUP($B50,'ELC TECH'!$H:$H,'ELC TECH'!$E:$E)="Storage",CV$4*$BF50,"")</f>
        <v>6.2649999999999997E-2</v>
      </c>
      <c r="CW50" s="8">
        <f>IF(_xlfn.XLOOKUP($B50,'ELC TECH'!$H:$H,'ELC TECH'!$E:$E)="Storage",CW$4*$BF50,"")</f>
        <v>1.3500000000000001E-3</v>
      </c>
      <c r="CX50" s="8">
        <f>IF(_xlfn.XLOOKUP($B50,'ELC TECH'!$H:$H,'ELC TECH'!$E:$E)="Storage",CX$4*$BF50,"")</f>
        <v>4.1099999999999998E-2</v>
      </c>
      <c r="CY50" s="8">
        <f>IF(_xlfn.XLOOKUP($B50,'ELC TECH'!$H:$H,'ELC TECH'!$E:$E)="Storage",CY$4*$BF50,"")</f>
        <v>4.7849999999999997E-2</v>
      </c>
      <c r="CZ50" s="8">
        <f>IF(_xlfn.XLOOKUP($B50,'ELC TECH'!$H:$H,'ELC TECH'!$E:$E)="Storage",CZ$4*$BF50,"")</f>
        <v>7.6600000000000001E-2</v>
      </c>
      <c r="DA50" s="8">
        <f>IF(_xlfn.XLOOKUP($B50,'ELC TECH'!$H:$H,'ELC TECH'!$E:$E)="Storage",DA$4*$BF50,"")</f>
        <v>1.6000000000000001E-3</v>
      </c>
      <c r="DB50" s="8">
        <f>IF(_xlfn.XLOOKUP($B50,'ELC TECH'!$H:$H,'ELC TECH'!$E:$E)="Storage",DB$4*$BF50,"")</f>
        <v>4.0750000000000001E-2</v>
      </c>
      <c r="DC50" s="8">
        <f>IF(_xlfn.XLOOKUP($B50,'ELC TECH'!$H:$H,'ELC TECH'!$E:$E)="Storage",DC$4*$BF50,"")</f>
        <v>5.4350000000000002E-2</v>
      </c>
      <c r="DD50" s="8">
        <f>IF(_xlfn.XLOOKUP($B50,'ELC TECH'!$H:$H,'ELC TECH'!$E:$E)="Storage",DD$4*$BF50,"")</f>
        <v>6.905E-2</v>
      </c>
      <c r="DE50" s="8">
        <f>IF(_xlfn.XLOOKUP($B50,'ELC TECH'!$H:$H,'ELC TECH'!$E:$E)="Storage",DE$4*$BF50,"")</f>
        <v>1.6000000000000001E-3</v>
      </c>
      <c r="DF50" s="8">
        <f>IF(_xlfn.XLOOKUP($B50,'ELC TECH'!$H:$H,'ELC TECH'!$E:$E)="Storage",DF$4*$BF50,"")</f>
        <v>4.8750000000000002E-2</v>
      </c>
      <c r="DG50" s="8">
        <f>IF(_xlfn.XLOOKUP($B50,'ELC TECH'!$H:$H,'ELC TECH'!$E:$E)="Storage",DG$4*$BF50,"")</f>
        <v>5.4350000000000002E-2</v>
      </c>
      <c r="DH50" s="8">
        <f>IF(_xlfn.XLOOKUP($B50,'ELC TECH'!$H:$H,'ELC TECH'!$E:$E)="Storage",DH$4*$BF50,"")</f>
        <v>6.2649999999999997E-2</v>
      </c>
      <c r="DI50" s="8">
        <f>IF(_xlfn.XLOOKUP($B50,'ELC TECH'!$H:$H,'ELC TECH'!$E:$E)="Storage",DI$4*$BF50,"")</f>
        <v>1.3500000000000001E-3</v>
      </c>
    </row>
    <row r="51" spans="2:113" x14ac:dyDescent="0.25">
      <c r="B51" t="str">
        <f>IF('ELC TECH'!I44=0,"*",'ELC TECH'!H44)</f>
        <v>ELCSTGGRDPSH10HC120</v>
      </c>
      <c r="C51" t="str">
        <f>IF(_xlfn.XLOOKUP(_xlfn.XLOOKUP(B51,'ELC TECH'!$H:$H,'ELC TECH'!$G:$G),List!C:C,List!B:B)="STG",D51,"ELC"&amp;_xlfn.XLOOKUP(_xlfn.XLOOKUP(B51,'ELC TECH'!H:H,'ELC TECH'!G:G),List!C:C,List!B:B))</f>
        <v>CELC</v>
      </c>
      <c r="D51" t="s">
        <v>544</v>
      </c>
      <c r="E51">
        <f>_xlfn.XLOOKUP(B51,'ELC TECH'!H:H,'ELC TECH'!D:D)</f>
        <v>2020</v>
      </c>
      <c r="F51">
        <f>_xlfn.XLOOKUP(B51,'ELC TECH'!H:H,'ELC TECH'!K:K)</f>
        <v>100</v>
      </c>
      <c r="G51">
        <f t="shared" si="5"/>
        <v>31.535999999999998</v>
      </c>
      <c r="H51">
        <f>IF(_xlfn.XLOOKUP(B51,'ELC TECH'!$H:$H,'ELC TECH'!$E:$E)="Storage",0.3,IF(_xlfn.XLOOKUP(B51,'ELC TECH'!$H:$H,'ELC TECH'!$E:$E)="Baseload",0.9,IF(_xlfn.XLOOKUP(B51,'ELC TECH'!$H:$H,'ELC TECH'!$E:$E)="Non Dispatchable",0.05,IF(_xlfn.XLOOKUP(B51,'ELC TECH'!$H:$H,'ELC TECH'!$E:$E)="Dispatchable",0.9,1))))</f>
        <v>0.3</v>
      </c>
      <c r="I51" s="13">
        <f>IF(_xlfn.XLOOKUP(B51,'ELC TECH'!H:H,'ELC TECH'!J:J)="","",_xlfn.XLOOKUP(B51,'ELC TECH'!H:H,'ELC TECH'!J:J))</f>
        <v>0</v>
      </c>
      <c r="J51" s="12" t="str">
        <f>IF(_xlfn.XLOOKUP($B51,'ELC TECH'!$H:$H,'ELC TECH'!$E:$E)="Storage","",IF(_xlfn.XLOOKUP($B51,'ELC TECH'!$H:$H,'ELC TECH'!AK:AK)="",1,_xlfn.XLOOKUP($B51,'ELC TECH'!$H:$H,'ELC TECH'!AK:AK)))</f>
        <v/>
      </c>
      <c r="K51" s="12" t="str">
        <f>IF(_xlfn.XLOOKUP($B51,'ELC TECH'!$H:$H,'ELC TECH'!$E:$E)="Storage","",IF(_xlfn.XLOOKUP($B51,'ELC TECH'!$H:$H,'ELC TECH'!AL:AL)="",1,_xlfn.XLOOKUP($B51,'ELC TECH'!$H:$H,'ELC TECH'!AL:AL)))</f>
        <v/>
      </c>
      <c r="L51" s="12" t="str">
        <f>IF(_xlfn.XLOOKUP($B51,'ELC TECH'!$H:$H,'ELC TECH'!$E:$E)="Storage","",IF(_xlfn.XLOOKUP($B51,'ELC TECH'!$H:$H,'ELC TECH'!AM:AM)="",1,_xlfn.XLOOKUP($B51,'ELC TECH'!$H:$H,'ELC TECH'!AM:AM)))</f>
        <v/>
      </c>
      <c r="M51" s="12" t="str">
        <f>IF(_xlfn.XLOOKUP($B51,'ELC TECH'!$H:$H,'ELC TECH'!$E:$E)="Storage","",IF(_xlfn.XLOOKUP($B51,'ELC TECH'!$H:$H,'ELC TECH'!AN:AN)="",1,_xlfn.XLOOKUP($B51,'ELC TECH'!$H:$H,'ELC TECH'!AN:AN)))</f>
        <v/>
      </c>
      <c r="N51" s="12" t="str">
        <f>IF(_xlfn.XLOOKUP($B51,'ELC TECH'!$H:$H,'ELC TECH'!$E:$E)="Storage","",IF(_xlfn.XLOOKUP($B51,'ELC TECH'!$H:$H,'ELC TECH'!AO:AO)="",1,_xlfn.XLOOKUP($B51,'ELC TECH'!$H:$H,'ELC TECH'!AO:AO)))</f>
        <v/>
      </c>
      <c r="O51" s="12" t="str">
        <f>IF(_xlfn.XLOOKUP($B51,'ELC TECH'!$H:$H,'ELC TECH'!$E:$E)="Storage","",IF(_xlfn.XLOOKUP($B51,'ELC TECH'!$H:$H,'ELC TECH'!AP:AP)="",1,_xlfn.XLOOKUP($B51,'ELC TECH'!$H:$H,'ELC TECH'!AP:AP)))</f>
        <v/>
      </c>
      <c r="P51" s="12" t="str">
        <f>IF(_xlfn.XLOOKUP($B51,'ELC TECH'!$H:$H,'ELC TECH'!$E:$E)="Storage","",IF(_xlfn.XLOOKUP($B51,'ELC TECH'!$H:$H,'ELC TECH'!AQ:AQ)="",1,_xlfn.XLOOKUP($B51,'ELC TECH'!$H:$H,'ELC TECH'!AQ:AQ)))</f>
        <v/>
      </c>
      <c r="Q51" s="12" t="str">
        <f>IF(_xlfn.XLOOKUP($B51,'ELC TECH'!$H:$H,'ELC TECH'!$E:$E)="Storage","",IF(_xlfn.XLOOKUP($B51,'ELC TECH'!$H:$H,'ELC TECH'!AR:AR)="",1,_xlfn.XLOOKUP($B51,'ELC TECH'!$H:$H,'ELC TECH'!AR:AR)))</f>
        <v/>
      </c>
      <c r="R51" s="12">
        <f>IF(_xlfn.XLOOKUP($B51,'ELC TECH'!$H:$H,'ELC TECH'!$E:$E)&lt;&gt;"Storage","",IF(_xlfn.XLOOKUP($B51,'ELC TECH'!$H:$H,'ELC TECH'!AK:AK)="",0.8,_xlfn.XLOOKUP($B51,'ELC TECH'!$H:$H,'ELC TECH'!AK:AK)))</f>
        <v>0.8</v>
      </c>
      <c r="S51" s="12">
        <f>IF(_xlfn.XLOOKUP($B51,'ELC TECH'!$H:$H,'ELC TECH'!$E:$E)&lt;&gt;"Storage","",IF(_xlfn.XLOOKUP($B51,'ELC TECH'!$H:$H,'ELC TECH'!AL:AL)="",0.8,_xlfn.XLOOKUP($B51,'ELC TECH'!$H:$H,'ELC TECH'!AL:AL)))</f>
        <v>0.8</v>
      </c>
      <c r="T51" s="12">
        <f>IF(_xlfn.XLOOKUP($B51,'ELC TECH'!$H:$H,'ELC TECH'!$E:$E)&lt;&gt;"Storage","",IF(_xlfn.XLOOKUP($B51,'ELC TECH'!$H:$H,'ELC TECH'!AM:AM)="",0.8,_xlfn.XLOOKUP($B51,'ELC TECH'!$H:$H,'ELC TECH'!AM:AM)))</f>
        <v>0.8</v>
      </c>
      <c r="U51" s="12">
        <f>IF(_xlfn.XLOOKUP($B51,'ELC TECH'!$H:$H,'ELC TECH'!$E:$E)&lt;&gt;"Storage","",IF(_xlfn.XLOOKUP($B51,'ELC TECH'!$H:$H,'ELC TECH'!AN:AN)="",0.8,_xlfn.XLOOKUP($B51,'ELC TECH'!$H:$H,'ELC TECH'!AN:AN)))</f>
        <v>0.8</v>
      </c>
      <c r="V51" s="12">
        <f>IF(_xlfn.XLOOKUP($B51,'ELC TECH'!$H:$H,'ELC TECH'!$E:$E)&lt;&gt;"Storage","",IF(_xlfn.XLOOKUP($B51,'ELC TECH'!$H:$H,'ELC TECH'!AO:AO)="",0.8,_xlfn.XLOOKUP($B51,'ELC TECH'!$H:$H,'ELC TECH'!AO:AO)))</f>
        <v>0.8</v>
      </c>
      <c r="W51" s="12">
        <f>IF(_xlfn.XLOOKUP($B51,'ELC TECH'!$H:$H,'ELC TECH'!$E:$E)&lt;&gt;"Storage","",IF(_xlfn.XLOOKUP($B51,'ELC TECH'!$H:$H,'ELC TECH'!AP:AP)="",0.8,_xlfn.XLOOKUP($B51,'ELC TECH'!$H:$H,'ELC TECH'!AP:AP)))</f>
        <v>0.8</v>
      </c>
      <c r="X51" s="12">
        <f>IF(_xlfn.XLOOKUP($B51,'ELC TECH'!$H:$H,'ELC TECH'!$E:$E)&lt;&gt;"Storage","",IF(_xlfn.XLOOKUP($B51,'ELC TECH'!$H:$H,'ELC TECH'!AQ:AQ)="",0.8,_xlfn.XLOOKUP($B51,'ELC TECH'!$H:$H,'ELC TECH'!AQ:AQ)))</f>
        <v>0.8</v>
      </c>
      <c r="Y51" s="12">
        <f>IF(_xlfn.XLOOKUP($B51,'ELC TECH'!$H:$H,'ELC TECH'!$E:$E)&lt;&gt;"Storage","",IF(_xlfn.XLOOKUP($B51,'ELC TECH'!$H:$H,'ELC TECH'!AR:AR)="",0.8,_xlfn.XLOOKUP($B51,'ELC TECH'!$H:$H,'ELC TECH'!AR:AR)))</f>
        <v>0.8</v>
      </c>
      <c r="Z51" s="15">
        <f>_xlfn.XLOOKUP($B51,'ELC TECH'!$H:$H,'ELC TECH'!M:M)</f>
        <v>2385.0937819360602</v>
      </c>
      <c r="AA51" s="15">
        <f>_xlfn.XLOOKUP($B51,'ELC TECH'!$H:$H,'ELC TECH'!N:N)</f>
        <v>2385.0937819360602</v>
      </c>
      <c r="AB51" s="15">
        <f>_xlfn.XLOOKUP($B51,'ELC TECH'!$H:$H,'ELC TECH'!O:O)</f>
        <v>2385.0937819360602</v>
      </c>
      <c r="AC51" s="15">
        <f>_xlfn.XLOOKUP($B51,'ELC TECH'!$H:$H,'ELC TECH'!P:P)</f>
        <v>2385.0937819360602</v>
      </c>
      <c r="AD51" s="15">
        <f>_xlfn.XLOOKUP($B51,'ELC TECH'!$H:$H,'ELC TECH'!Q:Q)</f>
        <v>2385.0937819360602</v>
      </c>
      <c r="AE51" s="15">
        <f>_xlfn.XLOOKUP($B51,'ELC TECH'!$H:$H,'ELC TECH'!R:R)</f>
        <v>2385.0937819360602</v>
      </c>
      <c r="AF51" s="15">
        <f>_xlfn.XLOOKUP($B51,'ELC TECH'!$H:$H,'ELC TECH'!S:S)</f>
        <v>2385.0937819360602</v>
      </c>
      <c r="AG51" s="15">
        <f>_xlfn.XLOOKUP($B51,'ELC TECH'!$H:$H,'ELC TECH'!T:T)</f>
        <v>2385.0937819360602</v>
      </c>
      <c r="AH51" s="15">
        <f>_xlfn.XLOOKUP($B51,'ELC TECH'!$H:$H,'ELC TECH'!U:U)</f>
        <v>21.100097091380029</v>
      </c>
      <c r="AI51" s="15">
        <f>_xlfn.XLOOKUP($B51,'ELC TECH'!$H:$H,'ELC TECH'!V:V)</f>
        <v>21.100097091380029</v>
      </c>
      <c r="AJ51" s="15">
        <f>_xlfn.XLOOKUP($B51,'ELC TECH'!$H:$H,'ELC TECH'!W:W)</f>
        <v>21.100097091380029</v>
      </c>
      <c r="AK51" s="15">
        <f>_xlfn.XLOOKUP($B51,'ELC TECH'!$H:$H,'ELC TECH'!X:X)</f>
        <v>21.100097091380029</v>
      </c>
      <c r="AL51" s="15">
        <f>_xlfn.XLOOKUP($B51,'ELC TECH'!$H:$H,'ELC TECH'!Y:Y)</f>
        <v>21.100097091380029</v>
      </c>
      <c r="AM51" s="15">
        <f>_xlfn.XLOOKUP($B51,'ELC TECH'!$H:$H,'ELC TECH'!Z:Z)</f>
        <v>21.100097091380029</v>
      </c>
      <c r="AN51" s="15">
        <f>_xlfn.XLOOKUP($B51,'ELC TECH'!$H:$H,'ELC TECH'!AA:AA)</f>
        <v>21.100097091380029</v>
      </c>
      <c r="AO51" s="15">
        <f>_xlfn.XLOOKUP($B51,'ELC TECH'!$H:$H,'ELC TECH'!AB:AB)</f>
        <v>21.100097091380029</v>
      </c>
      <c r="AP51" s="15">
        <f>_xlfn.XLOOKUP($B51,'ELC TECH'!$H:$H,'ELC TECH'!AC:AC)</f>
        <v>0.1696149283872993</v>
      </c>
      <c r="AQ51" s="15">
        <f>_xlfn.XLOOKUP($B51,'ELC TECH'!$H:$H,'ELC TECH'!AD:AD)</f>
        <v>0.1696149283872993</v>
      </c>
      <c r="AR51" s="15">
        <f>_xlfn.XLOOKUP($B51,'ELC TECH'!$H:$H,'ELC TECH'!AE:AE)</f>
        <v>0.1696149283872993</v>
      </c>
      <c r="AS51" s="15">
        <f>_xlfn.XLOOKUP($B51,'ELC TECH'!$H:$H,'ELC TECH'!AF:AF)</f>
        <v>0.1696149283872993</v>
      </c>
      <c r="AT51" s="15">
        <f>_xlfn.XLOOKUP($B51,'ELC TECH'!$H:$H,'ELC TECH'!AG:AG)</f>
        <v>0.1696149283872993</v>
      </c>
      <c r="AU51" s="15">
        <f>_xlfn.XLOOKUP($B51,'ELC TECH'!$H:$H,'ELC TECH'!AH:AH)</f>
        <v>0.1696149283872993</v>
      </c>
      <c r="AV51" s="15">
        <f>_xlfn.XLOOKUP($B51,'ELC TECH'!$H:$H,'ELC TECH'!AI:AI)</f>
        <v>0.1696149283872993</v>
      </c>
      <c r="AW51" s="15">
        <f>_xlfn.XLOOKUP($B51,'ELC TECH'!$H:$H,'ELC TECH'!AJ:AJ)</f>
        <v>0.1696149283872993</v>
      </c>
      <c r="AX51" s="12" t="str">
        <f>IF(_xlfn.XLOOKUP($B51,'ELC TECH'!$H:$H,'ELC TECH'!$E:$E)="Storage","",_xlfn.XLOOKUP($B51,'ELC TECH'!$H:$H,'ELC TECH'!AS:AS))</f>
        <v/>
      </c>
      <c r="AY51" s="12" t="str">
        <f>IF(_xlfn.XLOOKUP($B51,'ELC TECH'!$H:$H,'ELC TECH'!$E:$E)="Storage","",_xlfn.XLOOKUP($B51,'ELC TECH'!$H:$H,'ELC TECH'!AT:AT))</f>
        <v/>
      </c>
      <c r="AZ51" s="12" t="str">
        <f>IF(_xlfn.XLOOKUP($B51,'ELC TECH'!$H:$H,'ELC TECH'!$E:$E)="Storage","",_xlfn.XLOOKUP($B51,'ELC TECH'!$H:$H,'ELC TECH'!AU:AU))</f>
        <v/>
      </c>
      <c r="BA51" s="12" t="str">
        <f>IF(_xlfn.XLOOKUP($B51,'ELC TECH'!$H:$H,'ELC TECH'!$E:$E)="Storage","",_xlfn.XLOOKUP($B51,'ELC TECH'!$H:$H,'ELC TECH'!AV:AV))</f>
        <v/>
      </c>
      <c r="BB51" s="12" t="str">
        <f>IF(_xlfn.XLOOKUP($B51,'ELC TECH'!$H:$H,'ELC TECH'!$E:$E)="Storage","",_xlfn.XLOOKUP($B51,'ELC TECH'!$H:$H,'ELC TECH'!AW:AW))</f>
        <v/>
      </c>
      <c r="BC51" s="12" t="str">
        <f>IF(_xlfn.XLOOKUP($B51,'ELC TECH'!$H:$H,'ELC TECH'!$E:$E)="Storage","",_xlfn.XLOOKUP($B51,'ELC TECH'!$H:$H,'ELC TECH'!AX:AX))</f>
        <v/>
      </c>
      <c r="BD51" s="12" t="str">
        <f>IF(_xlfn.XLOOKUP($B51,'ELC TECH'!$H:$H,'ELC TECH'!$E:$E)="Storage","",_xlfn.XLOOKUP($B51,'ELC TECH'!$H:$H,'ELC TECH'!AY:AY))</f>
        <v/>
      </c>
      <c r="BE51" s="12" t="str">
        <f>IF(_xlfn.XLOOKUP($B51,'ELC TECH'!$H:$H,'ELC TECH'!$E:$E)="Storage","",_xlfn.XLOOKUP($B51,'ELC TECH'!$H:$H,'ELC TECH'!AZ:AZ))</f>
        <v/>
      </c>
      <c r="BF51" s="12">
        <f>IF(_xlfn.XLOOKUP($B51,'ELC TECH'!$H:$H,'ELC TECH'!$E:$E)="Storage",_xlfn.XLOOKUP($B51,'ELC TECH'!$H:$H,'ELC TECH'!AS:AS),"")</f>
        <v>0.41666666666666669</v>
      </c>
      <c r="BG51" s="12">
        <f>IF(_xlfn.XLOOKUP($B51,'ELC TECH'!$H:$H,'ELC TECH'!$E:$E)="Storage",_xlfn.XLOOKUP($B51,'ELC TECH'!$H:$H,'ELC TECH'!AT:AT),"")</f>
        <v>0.41666666666666669</v>
      </c>
      <c r="BH51" s="12">
        <f>IF(_xlfn.XLOOKUP($B51,'ELC TECH'!$H:$H,'ELC TECH'!$E:$E)="Storage",_xlfn.XLOOKUP($B51,'ELC TECH'!$H:$H,'ELC TECH'!AU:AU),"")</f>
        <v>0.41666666666666669</v>
      </c>
      <c r="BI51" s="12">
        <f>IF(_xlfn.XLOOKUP($B51,'ELC TECH'!$H:$H,'ELC TECH'!$E:$E)="Storage",_xlfn.XLOOKUP($B51,'ELC TECH'!$H:$H,'ELC TECH'!AV:AV),"")</f>
        <v>0.41666666666666669</v>
      </c>
      <c r="BJ51" s="12">
        <f>IF(_xlfn.XLOOKUP($B51,'ELC TECH'!$H:$H,'ELC TECH'!$E:$E)="Storage",_xlfn.XLOOKUP($B51,'ELC TECH'!$H:$H,'ELC TECH'!AW:AW),"")</f>
        <v>0.41666666666666669</v>
      </c>
      <c r="BK51" s="12">
        <f>IF(_xlfn.XLOOKUP($B51,'ELC TECH'!$H:$H,'ELC TECH'!$E:$E)="Storage",_xlfn.XLOOKUP($B51,'ELC TECH'!$H:$H,'ELC TECH'!AX:AX),"")</f>
        <v>0.41666666666666669</v>
      </c>
      <c r="BL51" s="12">
        <f>IF(_xlfn.XLOOKUP($B51,'ELC TECH'!$H:$H,'ELC TECH'!$E:$E)="Storage",_xlfn.XLOOKUP($B51,'ELC TECH'!$H:$H,'ELC TECH'!AY:AY),"")</f>
        <v>0.41666666666666669</v>
      </c>
      <c r="BM51" s="12">
        <f>IF(_xlfn.XLOOKUP($B51,'ELC TECH'!$H:$H,'ELC TECH'!$E:$E)="Storage",_xlfn.XLOOKUP($B51,'ELC TECH'!$H:$H,'ELC TECH'!AZ:AZ),"")</f>
        <v>0.41666666666666669</v>
      </c>
      <c r="BN51" s="8" t="str">
        <f>IF(_xlfn.XLOOKUP($B51,'ELC TECH'!$H:$H,'ELC TECH'!$E:$E)="Non Dispatchable",IFERROR($AX51*_xlfn.XLOOKUP($C51,$BM$1:$BM$3,BN$1:BN$3)/SUMPRODUCT(_xlfn.XLOOKUP($C51,$BM$1:$BM$3,$BN$1:$BY$3),$BN$4:$BY$4),""),
"")</f>
        <v/>
      </c>
      <c r="BO51" s="8" t="str">
        <f>IF(_xlfn.XLOOKUP($B51,'ELC TECH'!$H:$H,'ELC TECH'!$E:$E)="Non Dispatchable",IFERROR($AX51*_xlfn.XLOOKUP($C51,$BM$1:$BM$3,BO$1:BO$3)/SUMPRODUCT(_xlfn.XLOOKUP($C51,$BM$1:$BM$3,$BN$1:$BY$3),$BN$4:$BY$4),""),
"")</f>
        <v/>
      </c>
      <c r="BP51" s="8" t="str">
        <f>IF(_xlfn.XLOOKUP($B51,'ELC TECH'!$H:$H,'ELC TECH'!$E:$E)="Non Dispatchable",IFERROR($AX51*_xlfn.XLOOKUP($C51,$BM$1:$BM$3,BP$1:BP$3)/SUMPRODUCT(_xlfn.XLOOKUP($C51,$BM$1:$BM$3,$BN$1:$BY$3),$BN$4:$BY$4),""),
"")</f>
        <v/>
      </c>
      <c r="BQ51" s="8" t="str">
        <f>IF(_xlfn.XLOOKUP($B51,'ELC TECH'!$H:$H,'ELC TECH'!$E:$E)="Non Dispatchable",IFERROR($AX51*_xlfn.XLOOKUP($C51,$BM$1:$BM$3,BQ$1:BQ$3)/SUMPRODUCT(_xlfn.XLOOKUP($C51,$BM$1:$BM$3,$BN$1:$BY$3),$BN$4:$BY$4),""),
"")</f>
        <v/>
      </c>
      <c r="BR51" s="8" t="str">
        <f>IF(_xlfn.XLOOKUP($B51,'ELC TECH'!$H:$H,'ELC TECH'!$E:$E)="Non Dispatchable",IFERROR($AX51*_xlfn.XLOOKUP($C51,$BM$1:$BM$3,BR$1:BR$3)/SUMPRODUCT(_xlfn.XLOOKUP($C51,$BM$1:$BM$3,$BN$1:$BY$3),$BN$4:$BY$4),""),
"")</f>
        <v/>
      </c>
      <c r="BS51" s="8" t="str">
        <f>IF(_xlfn.XLOOKUP($B51,'ELC TECH'!$H:$H,'ELC TECH'!$E:$E)="Non Dispatchable",IFERROR($AX51*_xlfn.XLOOKUP($C51,$BM$1:$BM$3,BS$1:BS$3)/SUMPRODUCT(_xlfn.XLOOKUP($C51,$BM$1:$BM$3,$BN$1:$BY$3),$BN$4:$BY$4),""),
"")</f>
        <v/>
      </c>
      <c r="BT51" s="8" t="str">
        <f>IF(_xlfn.XLOOKUP($B51,'ELC TECH'!$H:$H,'ELC TECH'!$E:$E)="Non Dispatchable",IFERROR($AX51*_xlfn.XLOOKUP($C51,$BM$1:$BM$3,BT$1:BT$3)/SUMPRODUCT(_xlfn.XLOOKUP($C51,$BM$1:$BM$3,$BN$1:$BY$3),$BN$4:$BY$4),""),
"")</f>
        <v/>
      </c>
      <c r="BU51" s="8" t="str">
        <f>IF(_xlfn.XLOOKUP($B51,'ELC TECH'!$H:$H,'ELC TECH'!$E:$E)="Non Dispatchable",IFERROR($AX51*_xlfn.XLOOKUP($C51,$BM$1:$BM$3,BU$1:BU$3)/SUMPRODUCT(_xlfn.XLOOKUP($C51,$BM$1:$BM$3,$BN$1:$BY$3),$BN$4:$BY$4),""),
"")</f>
        <v/>
      </c>
      <c r="BV51" s="8" t="str">
        <f>IF(_xlfn.XLOOKUP($B51,'ELC TECH'!$H:$H,'ELC TECH'!$E:$E)="Non Dispatchable",IFERROR($AX51*_xlfn.XLOOKUP($C51,$BM$1:$BM$3,BV$1:BV$3)/SUMPRODUCT(_xlfn.XLOOKUP($C51,$BM$1:$BM$3,$BN$1:$BY$3),$BN$4:$BY$4),""),
"")</f>
        <v/>
      </c>
      <c r="BW51" s="8" t="str">
        <f>IF(_xlfn.XLOOKUP($B51,'ELC TECH'!$H:$H,'ELC TECH'!$E:$E)="Non Dispatchable",IFERROR($AX51*_xlfn.XLOOKUP($C51,$BM$1:$BM$3,BW$1:BW$3)/SUMPRODUCT(_xlfn.XLOOKUP($C51,$BM$1:$BM$3,$BN$1:$BY$3),$BN$4:$BY$4),""),
"")</f>
        <v/>
      </c>
      <c r="BX51" s="8" t="str">
        <f>IF(_xlfn.XLOOKUP($B51,'ELC TECH'!$H:$H,'ELC TECH'!$E:$E)="Non Dispatchable",IFERROR($AX51*_xlfn.XLOOKUP($C51,$BM$1:$BM$3,BX$1:BX$3)/SUMPRODUCT(_xlfn.XLOOKUP($C51,$BM$1:$BM$3,$BN$1:$BY$3),$BN$4:$BY$4),""),
"")</f>
        <v/>
      </c>
      <c r="BY51" s="8" t="str">
        <f>IF(_xlfn.XLOOKUP($B51,'ELC TECH'!$H:$H,'ELC TECH'!$E:$E)="Non Dispatchable",IFERROR($AX51*_xlfn.XLOOKUP($C51,$BM$1:$BM$3,BY$1:BY$3)/SUMPRODUCT(_xlfn.XLOOKUP($C51,$BM$1:$BM$3,$BN$1:$BY$3),$BN$4:$BY$4),""),
"")</f>
        <v/>
      </c>
      <c r="BZ51" s="8" t="str">
        <f>IF(_xlfn.XLOOKUP($B51,'ELC TECH'!$H:$H,'ELC TECH'!$E:$E)="Non Dispatchable",IFERROR($AX51*_xlfn.XLOOKUP($C51,$BM$1:$BM$3,BZ$1:BZ$3)/SUMPRODUCT(_xlfn.XLOOKUP($C51,$BM$1:$BM$3,$BN$1:$BY$3),$BN$4:$BY$4),""),
"")</f>
        <v/>
      </c>
      <c r="CA51" s="8" t="str">
        <f>IF(_xlfn.XLOOKUP($B51,'ELC TECH'!$H:$H,'ELC TECH'!$E:$E)="Non Dispatchable",IFERROR($AX51*_xlfn.XLOOKUP($C51,$BM$1:$BM$3,CA$1:CA$3)/SUMPRODUCT(_xlfn.XLOOKUP($C51,$BM$1:$BM$3,$BN$1:$BY$3),$BN$4:$BY$4),""),
"")</f>
        <v/>
      </c>
      <c r="CB51" s="8" t="str">
        <f>IF(_xlfn.XLOOKUP($B51,'ELC TECH'!$H:$H,'ELC TECH'!$E:$E)="Non Dispatchable",IFERROR($AX51*_xlfn.XLOOKUP($C51,$BM$1:$BM$3,CB$1:CB$3)/SUMPRODUCT(_xlfn.XLOOKUP($C51,$BM$1:$BM$3,$BN$1:$BY$3),$BN$4:$BY$4),""),
"")</f>
        <v/>
      </c>
      <c r="CC51" s="8" t="str">
        <f>IF(_xlfn.XLOOKUP($B51,'ELC TECH'!$H:$H,'ELC TECH'!$E:$E)="Non Dispatchable",IFERROR($AX51*_xlfn.XLOOKUP($C51,$BM$1:$BM$3,CC$1:CC$3)/SUMPRODUCT(_xlfn.XLOOKUP($C51,$BM$1:$BM$3,$BN$1:$BY$3),$BN$4:$BY$4),""),
"")</f>
        <v/>
      </c>
      <c r="CD51" s="8" t="str">
        <f>IF(_xlfn.XLOOKUP($B51,'ELC TECH'!$H:$H,'ELC TECH'!$E:$E)="Non Dispatchable",IFERROR($AX51*_xlfn.XLOOKUP($C51,$BM$1:$BM$3,CD$1:CD$3)/SUMPRODUCT(_xlfn.XLOOKUP($C51,$BM$1:$BM$3,$BN$1:$BY$3),$BN$4:$BY$4),""),
"")</f>
        <v/>
      </c>
      <c r="CE51" s="8" t="str">
        <f>IF(_xlfn.XLOOKUP($B51,'ELC TECH'!$H:$H,'ELC TECH'!$E:$E)="Non Dispatchable",IFERROR($AX51*_xlfn.XLOOKUP($C51,$BM$1:$BM$3,CE$1:CE$3)/SUMPRODUCT(_xlfn.XLOOKUP($C51,$BM$1:$BM$3,$BN$1:$BY$3),$BN$4:$BY$4),""),
"")</f>
        <v/>
      </c>
      <c r="CF51" s="8" t="str">
        <f>IF(_xlfn.XLOOKUP($B51,'ELC TECH'!$H:$H,'ELC TECH'!$E:$E)="Non Dispatchable",IFERROR($AX51*_xlfn.XLOOKUP($C51,$BM$1:$BM$3,CF$1:CF$3)/SUMPRODUCT(_xlfn.XLOOKUP($C51,$BM$1:$BM$3,$BN$1:$BY$3),$BN$4:$BY$4),""),
"")</f>
        <v/>
      </c>
      <c r="CG51" s="8" t="str">
        <f>IF(_xlfn.XLOOKUP($B51,'ELC TECH'!$H:$H,'ELC TECH'!$E:$E)="Non Dispatchable",IFERROR($AX51*_xlfn.XLOOKUP($C51,$BM$1:$BM$3,CG$1:CG$3)/SUMPRODUCT(_xlfn.XLOOKUP($C51,$BM$1:$BM$3,$BN$1:$BY$3),$BN$4:$BY$4),""),
"")</f>
        <v/>
      </c>
      <c r="CH51" s="8" t="str">
        <f>IF(_xlfn.XLOOKUP($B51,'ELC TECH'!$H:$H,'ELC TECH'!$E:$E)="Non Dispatchable",IFERROR($AX51*_xlfn.XLOOKUP($C51,$BM$1:$BM$3,CH$1:CH$3)/SUMPRODUCT(_xlfn.XLOOKUP($C51,$BM$1:$BM$3,$BN$1:$BY$3),$BN$4:$BY$4),""),
"")</f>
        <v/>
      </c>
      <c r="CI51" s="8" t="str">
        <f>IF(_xlfn.XLOOKUP($B51,'ELC TECH'!$H:$H,'ELC TECH'!$E:$E)="Non Dispatchable",IFERROR($AX51*_xlfn.XLOOKUP($C51,$BM$1:$BM$3,CI$1:CI$3)/SUMPRODUCT(_xlfn.XLOOKUP($C51,$BM$1:$BM$3,$BN$1:$BY$3),$BN$4:$BY$4),""),
"")</f>
        <v/>
      </c>
      <c r="CJ51" s="8" t="str">
        <f>IF(_xlfn.XLOOKUP($B51,'ELC TECH'!$H:$H,'ELC TECH'!$E:$E)="Non Dispatchable",IFERROR($AX51*_xlfn.XLOOKUP($C51,$BM$1:$BM$3,CJ$1:CJ$3)/SUMPRODUCT(_xlfn.XLOOKUP($C51,$BM$1:$BM$3,$BN$1:$BY$3),$BN$4:$BY$4),""),
"")</f>
        <v/>
      </c>
      <c r="CK51" s="8" t="str">
        <f>IF(_xlfn.XLOOKUP($B51,'ELC TECH'!$H:$H,'ELC TECH'!$E:$E)="Non Dispatchable",IFERROR($AX51*_xlfn.XLOOKUP($C51,$BM$1:$BM$3,CK$1:CK$3)/SUMPRODUCT(_xlfn.XLOOKUP($C51,$BM$1:$BM$3,$BN$1:$BY$3),$BN$4:$BY$4),""),
"")</f>
        <v/>
      </c>
      <c r="CL51" s="8">
        <f>IF(_xlfn.XLOOKUP($B51,'ELC TECH'!$H:$H,'ELC TECH'!$E:$E)="Storage",CL$4*$BF51,"")</f>
        <v>3.4250000000000003E-2</v>
      </c>
      <c r="CM51" s="8">
        <f>IF(_xlfn.XLOOKUP($B51,'ELC TECH'!$H:$H,'ELC TECH'!$E:$E)="Storage",CM$4*$BF51,"")</f>
        <v>3.9875000000000001E-2</v>
      </c>
      <c r="CN51" s="8">
        <f>IF(_xlfn.XLOOKUP($B51,'ELC TECH'!$H:$H,'ELC TECH'!$E:$E)="Storage",CN$4*$BF51,"")</f>
        <v>6.3833333333333339E-2</v>
      </c>
      <c r="CO51" s="8">
        <f>IF(_xlfn.XLOOKUP($B51,'ELC TECH'!$H:$H,'ELC TECH'!$E:$E)="Storage",CO$4*$BF51,"")</f>
        <v>1.3333333333333335E-3</v>
      </c>
      <c r="CP51" s="8">
        <f>IF(_xlfn.XLOOKUP($B51,'ELC TECH'!$H:$H,'ELC TECH'!$E:$E)="Storage",CP$4*$BF51,"")</f>
        <v>3.3958333333333333E-2</v>
      </c>
      <c r="CQ51" s="8">
        <f>IF(_xlfn.XLOOKUP($B51,'ELC TECH'!$H:$H,'ELC TECH'!$E:$E)="Storage",CQ$4*$BF51,"")</f>
        <v>4.5291666666666668E-2</v>
      </c>
      <c r="CR51" s="8">
        <f>IF(_xlfn.XLOOKUP($B51,'ELC TECH'!$H:$H,'ELC TECH'!$E:$E)="Storage",CR$4*$BF51,"")</f>
        <v>5.7541666666666672E-2</v>
      </c>
      <c r="CS51" s="8">
        <f>IF(_xlfn.XLOOKUP($B51,'ELC TECH'!$H:$H,'ELC TECH'!$E:$E)="Storage",CS$4*$BF51,"")</f>
        <v>1.3333333333333335E-3</v>
      </c>
      <c r="CT51" s="8">
        <f>IF(_xlfn.XLOOKUP($B51,'ELC TECH'!$H:$H,'ELC TECH'!$E:$E)="Storage",CT$4*$BF51,"")</f>
        <v>4.0625000000000001E-2</v>
      </c>
      <c r="CU51" s="8">
        <f>IF(_xlfn.XLOOKUP($B51,'ELC TECH'!$H:$H,'ELC TECH'!$E:$E)="Storage",CU$4*$BF51,"")</f>
        <v>4.5291666666666668E-2</v>
      </c>
      <c r="CV51" s="8">
        <f>IF(_xlfn.XLOOKUP($B51,'ELC TECH'!$H:$H,'ELC TECH'!$E:$E)="Storage",CV$4*$BF51,"")</f>
        <v>5.2208333333333336E-2</v>
      </c>
      <c r="CW51" s="8">
        <f>IF(_xlfn.XLOOKUP($B51,'ELC TECH'!$H:$H,'ELC TECH'!$E:$E)="Storage",CW$4*$BF51,"")</f>
        <v>1.1250000000000001E-3</v>
      </c>
      <c r="CX51" s="8">
        <f>IF(_xlfn.XLOOKUP($B51,'ELC TECH'!$H:$H,'ELC TECH'!$E:$E)="Storage",CX$4*$BF51,"")</f>
        <v>3.4250000000000003E-2</v>
      </c>
      <c r="CY51" s="8">
        <f>IF(_xlfn.XLOOKUP($B51,'ELC TECH'!$H:$H,'ELC TECH'!$E:$E)="Storage",CY$4*$BF51,"")</f>
        <v>3.9875000000000001E-2</v>
      </c>
      <c r="CZ51" s="8">
        <f>IF(_xlfn.XLOOKUP($B51,'ELC TECH'!$H:$H,'ELC TECH'!$E:$E)="Storage",CZ$4*$BF51,"")</f>
        <v>6.3833333333333339E-2</v>
      </c>
      <c r="DA51" s="8">
        <f>IF(_xlfn.XLOOKUP($B51,'ELC TECH'!$H:$H,'ELC TECH'!$E:$E)="Storage",DA$4*$BF51,"")</f>
        <v>1.3333333333333335E-3</v>
      </c>
      <c r="DB51" s="8">
        <f>IF(_xlfn.XLOOKUP($B51,'ELC TECH'!$H:$H,'ELC TECH'!$E:$E)="Storage",DB$4*$BF51,"")</f>
        <v>3.3958333333333333E-2</v>
      </c>
      <c r="DC51" s="8">
        <f>IF(_xlfn.XLOOKUP($B51,'ELC TECH'!$H:$H,'ELC TECH'!$E:$E)="Storage",DC$4*$BF51,"")</f>
        <v>4.5291666666666668E-2</v>
      </c>
      <c r="DD51" s="8">
        <f>IF(_xlfn.XLOOKUP($B51,'ELC TECH'!$H:$H,'ELC TECH'!$E:$E)="Storage",DD$4*$BF51,"")</f>
        <v>5.7541666666666672E-2</v>
      </c>
      <c r="DE51" s="8">
        <f>IF(_xlfn.XLOOKUP($B51,'ELC TECH'!$H:$H,'ELC TECH'!$E:$E)="Storage",DE$4*$BF51,"")</f>
        <v>1.3333333333333335E-3</v>
      </c>
      <c r="DF51" s="8">
        <f>IF(_xlfn.XLOOKUP($B51,'ELC TECH'!$H:$H,'ELC TECH'!$E:$E)="Storage",DF$4*$BF51,"")</f>
        <v>4.0625000000000001E-2</v>
      </c>
      <c r="DG51" s="8">
        <f>IF(_xlfn.XLOOKUP($B51,'ELC TECH'!$H:$H,'ELC TECH'!$E:$E)="Storage",DG$4*$BF51,"")</f>
        <v>4.5291666666666668E-2</v>
      </c>
      <c r="DH51" s="8">
        <f>IF(_xlfn.XLOOKUP($B51,'ELC TECH'!$H:$H,'ELC TECH'!$E:$E)="Storage",DH$4*$BF51,"")</f>
        <v>5.2208333333333336E-2</v>
      </c>
      <c r="DI51" s="8">
        <f>IF(_xlfn.XLOOKUP($B51,'ELC TECH'!$H:$H,'ELC TECH'!$E:$E)="Storage",DI$4*$BF51,"")</f>
        <v>1.1250000000000001E-3</v>
      </c>
    </row>
    <row r="52" spans="2:113" x14ac:dyDescent="0.25">
      <c r="B52" t="str">
        <f>IF('ELC TECH'!I45=0,"*",'ELC TECH'!H45)</f>
        <v>ELCSTGGRDPSH10HC220</v>
      </c>
      <c r="C52" t="str">
        <f>IF(_xlfn.XLOOKUP(_xlfn.XLOOKUP(B52,'ELC TECH'!$H:$H,'ELC TECH'!$G:$G),List!C:C,List!B:B)="STG",D52,"ELC"&amp;_xlfn.XLOOKUP(_xlfn.XLOOKUP(B52,'ELC TECH'!H:H,'ELC TECH'!G:G),List!C:C,List!B:B))</f>
        <v>CELC</v>
      </c>
      <c r="D52" t="s">
        <v>544</v>
      </c>
      <c r="E52">
        <f>_xlfn.XLOOKUP(B52,'ELC TECH'!H:H,'ELC TECH'!D:D)</f>
        <v>2020</v>
      </c>
      <c r="F52">
        <f>_xlfn.XLOOKUP(B52,'ELC TECH'!H:H,'ELC TECH'!K:K)</f>
        <v>100</v>
      </c>
      <c r="G52">
        <f t="shared" si="5"/>
        <v>31.535999999999998</v>
      </c>
      <c r="H52">
        <f>IF(_xlfn.XLOOKUP(B52,'ELC TECH'!$H:$H,'ELC TECH'!$E:$E)="Storage",0.3,IF(_xlfn.XLOOKUP(B52,'ELC TECH'!$H:$H,'ELC TECH'!$E:$E)="Baseload",0.9,IF(_xlfn.XLOOKUP(B52,'ELC TECH'!$H:$H,'ELC TECH'!$E:$E)="Non Dispatchable",0.05,IF(_xlfn.XLOOKUP(B52,'ELC TECH'!$H:$H,'ELC TECH'!$E:$E)="Dispatchable",0.9,1))))</f>
        <v>0.3</v>
      </c>
      <c r="I52" s="13">
        <f>IF(_xlfn.XLOOKUP(B52,'ELC TECH'!H:H,'ELC TECH'!J:J)="","",_xlfn.XLOOKUP(B52,'ELC TECH'!H:H,'ELC TECH'!J:J))</f>
        <v>0</v>
      </c>
      <c r="J52" s="12" t="str">
        <f>IF(_xlfn.XLOOKUP($B52,'ELC TECH'!$H:$H,'ELC TECH'!$E:$E)="Storage","",IF(_xlfn.XLOOKUP($B52,'ELC TECH'!$H:$H,'ELC TECH'!AK:AK)="",1,_xlfn.XLOOKUP($B52,'ELC TECH'!$H:$H,'ELC TECH'!AK:AK)))</f>
        <v/>
      </c>
      <c r="K52" s="12" t="str">
        <f>IF(_xlfn.XLOOKUP($B52,'ELC TECH'!$H:$H,'ELC TECH'!$E:$E)="Storage","",IF(_xlfn.XLOOKUP($B52,'ELC TECH'!$H:$H,'ELC TECH'!AL:AL)="",1,_xlfn.XLOOKUP($B52,'ELC TECH'!$H:$H,'ELC TECH'!AL:AL)))</f>
        <v/>
      </c>
      <c r="L52" s="12" t="str">
        <f>IF(_xlfn.XLOOKUP($B52,'ELC TECH'!$H:$H,'ELC TECH'!$E:$E)="Storage","",IF(_xlfn.XLOOKUP($B52,'ELC TECH'!$H:$H,'ELC TECH'!AM:AM)="",1,_xlfn.XLOOKUP($B52,'ELC TECH'!$H:$H,'ELC TECH'!AM:AM)))</f>
        <v/>
      </c>
      <c r="M52" s="12" t="str">
        <f>IF(_xlfn.XLOOKUP($B52,'ELC TECH'!$H:$H,'ELC TECH'!$E:$E)="Storage","",IF(_xlfn.XLOOKUP($B52,'ELC TECH'!$H:$H,'ELC TECH'!AN:AN)="",1,_xlfn.XLOOKUP($B52,'ELC TECH'!$H:$H,'ELC TECH'!AN:AN)))</f>
        <v/>
      </c>
      <c r="N52" s="12" t="str">
        <f>IF(_xlfn.XLOOKUP($B52,'ELC TECH'!$H:$H,'ELC TECH'!$E:$E)="Storage","",IF(_xlfn.XLOOKUP($B52,'ELC TECH'!$H:$H,'ELC TECH'!AO:AO)="",1,_xlfn.XLOOKUP($B52,'ELC TECH'!$H:$H,'ELC TECH'!AO:AO)))</f>
        <v/>
      </c>
      <c r="O52" s="12" t="str">
        <f>IF(_xlfn.XLOOKUP($B52,'ELC TECH'!$H:$H,'ELC TECH'!$E:$E)="Storage","",IF(_xlfn.XLOOKUP($B52,'ELC TECH'!$H:$H,'ELC TECH'!AP:AP)="",1,_xlfn.XLOOKUP($B52,'ELC TECH'!$H:$H,'ELC TECH'!AP:AP)))</f>
        <v/>
      </c>
      <c r="P52" s="12" t="str">
        <f>IF(_xlfn.XLOOKUP($B52,'ELC TECH'!$H:$H,'ELC TECH'!$E:$E)="Storage","",IF(_xlfn.XLOOKUP($B52,'ELC TECH'!$H:$H,'ELC TECH'!AQ:AQ)="",1,_xlfn.XLOOKUP($B52,'ELC TECH'!$H:$H,'ELC TECH'!AQ:AQ)))</f>
        <v/>
      </c>
      <c r="Q52" s="12" t="str">
        <f>IF(_xlfn.XLOOKUP($B52,'ELC TECH'!$H:$H,'ELC TECH'!$E:$E)="Storage","",IF(_xlfn.XLOOKUP($B52,'ELC TECH'!$H:$H,'ELC TECH'!AR:AR)="",1,_xlfn.XLOOKUP($B52,'ELC TECH'!$H:$H,'ELC TECH'!AR:AR)))</f>
        <v/>
      </c>
      <c r="R52" s="12">
        <f>IF(_xlfn.XLOOKUP($B52,'ELC TECH'!$H:$H,'ELC TECH'!$E:$E)&lt;&gt;"Storage","",IF(_xlfn.XLOOKUP($B52,'ELC TECH'!$H:$H,'ELC TECH'!AK:AK)="",0.8,_xlfn.XLOOKUP($B52,'ELC TECH'!$H:$H,'ELC TECH'!AK:AK)))</f>
        <v>0.8</v>
      </c>
      <c r="S52" s="12">
        <f>IF(_xlfn.XLOOKUP($B52,'ELC TECH'!$H:$H,'ELC TECH'!$E:$E)&lt;&gt;"Storage","",IF(_xlfn.XLOOKUP($B52,'ELC TECH'!$H:$H,'ELC TECH'!AL:AL)="",0.8,_xlfn.XLOOKUP($B52,'ELC TECH'!$H:$H,'ELC TECH'!AL:AL)))</f>
        <v>0.8</v>
      </c>
      <c r="T52" s="12">
        <f>IF(_xlfn.XLOOKUP($B52,'ELC TECH'!$H:$H,'ELC TECH'!$E:$E)&lt;&gt;"Storage","",IF(_xlfn.XLOOKUP($B52,'ELC TECH'!$H:$H,'ELC TECH'!AM:AM)="",0.8,_xlfn.XLOOKUP($B52,'ELC TECH'!$H:$H,'ELC TECH'!AM:AM)))</f>
        <v>0.8</v>
      </c>
      <c r="U52" s="12">
        <f>IF(_xlfn.XLOOKUP($B52,'ELC TECH'!$H:$H,'ELC TECH'!$E:$E)&lt;&gt;"Storage","",IF(_xlfn.XLOOKUP($B52,'ELC TECH'!$H:$H,'ELC TECH'!AN:AN)="",0.8,_xlfn.XLOOKUP($B52,'ELC TECH'!$H:$H,'ELC TECH'!AN:AN)))</f>
        <v>0.8</v>
      </c>
      <c r="V52" s="12">
        <f>IF(_xlfn.XLOOKUP($B52,'ELC TECH'!$H:$H,'ELC TECH'!$E:$E)&lt;&gt;"Storage","",IF(_xlfn.XLOOKUP($B52,'ELC TECH'!$H:$H,'ELC TECH'!AO:AO)="",0.8,_xlfn.XLOOKUP($B52,'ELC TECH'!$H:$H,'ELC TECH'!AO:AO)))</f>
        <v>0.8</v>
      </c>
      <c r="W52" s="12">
        <f>IF(_xlfn.XLOOKUP($B52,'ELC TECH'!$H:$H,'ELC TECH'!$E:$E)&lt;&gt;"Storage","",IF(_xlfn.XLOOKUP($B52,'ELC TECH'!$H:$H,'ELC TECH'!AP:AP)="",0.8,_xlfn.XLOOKUP($B52,'ELC TECH'!$H:$H,'ELC TECH'!AP:AP)))</f>
        <v>0.8</v>
      </c>
      <c r="X52" s="12">
        <f>IF(_xlfn.XLOOKUP($B52,'ELC TECH'!$H:$H,'ELC TECH'!$E:$E)&lt;&gt;"Storage","",IF(_xlfn.XLOOKUP($B52,'ELC TECH'!$H:$H,'ELC TECH'!AQ:AQ)="",0.8,_xlfn.XLOOKUP($B52,'ELC TECH'!$H:$H,'ELC TECH'!AQ:AQ)))</f>
        <v>0.8</v>
      </c>
      <c r="Y52" s="12">
        <f>IF(_xlfn.XLOOKUP($B52,'ELC TECH'!$H:$H,'ELC TECH'!$E:$E)&lt;&gt;"Storage","",IF(_xlfn.XLOOKUP($B52,'ELC TECH'!$H:$H,'ELC TECH'!AR:AR)="",0.8,_xlfn.XLOOKUP($B52,'ELC TECH'!$H:$H,'ELC TECH'!AR:AR)))</f>
        <v>0.8</v>
      </c>
      <c r="Z52" s="15">
        <f>_xlfn.XLOOKUP($B52,'ELC TECH'!$H:$H,'ELC TECH'!M:M)</f>
        <v>2703.9530678386359</v>
      </c>
      <c r="AA52" s="15">
        <f>_xlfn.XLOOKUP($B52,'ELC TECH'!$H:$H,'ELC TECH'!N:N)</f>
        <v>2703.9530678386359</v>
      </c>
      <c r="AB52" s="15">
        <f>_xlfn.XLOOKUP($B52,'ELC TECH'!$H:$H,'ELC TECH'!O:O)</f>
        <v>2703.9530678386359</v>
      </c>
      <c r="AC52" s="15">
        <f>_xlfn.XLOOKUP($B52,'ELC TECH'!$H:$H,'ELC TECH'!P:P)</f>
        <v>2703.9530678386359</v>
      </c>
      <c r="AD52" s="15">
        <f>_xlfn.XLOOKUP($B52,'ELC TECH'!$H:$H,'ELC TECH'!Q:Q)</f>
        <v>2703.9530678386359</v>
      </c>
      <c r="AE52" s="15">
        <f>_xlfn.XLOOKUP($B52,'ELC TECH'!$H:$H,'ELC TECH'!R:R)</f>
        <v>2703.9530678386359</v>
      </c>
      <c r="AF52" s="15">
        <f>_xlfn.XLOOKUP($B52,'ELC TECH'!$H:$H,'ELC TECH'!S:S)</f>
        <v>2703.9530678386359</v>
      </c>
      <c r="AG52" s="15">
        <f>_xlfn.XLOOKUP($B52,'ELC TECH'!$H:$H,'ELC TECH'!T:T)</f>
        <v>2703.9530678386359</v>
      </c>
      <c r="AH52" s="15">
        <f>_xlfn.XLOOKUP($B52,'ELC TECH'!$H:$H,'ELC TECH'!U:U)</f>
        <v>21.100097091380029</v>
      </c>
      <c r="AI52" s="15">
        <f>_xlfn.XLOOKUP($B52,'ELC TECH'!$H:$H,'ELC TECH'!V:V)</f>
        <v>21.100097091380029</v>
      </c>
      <c r="AJ52" s="15">
        <f>_xlfn.XLOOKUP($B52,'ELC TECH'!$H:$H,'ELC TECH'!W:W)</f>
        <v>21.100097091380029</v>
      </c>
      <c r="AK52" s="15">
        <f>_xlfn.XLOOKUP($B52,'ELC TECH'!$H:$H,'ELC TECH'!X:X)</f>
        <v>21.100097091380029</v>
      </c>
      <c r="AL52" s="15">
        <f>_xlfn.XLOOKUP($B52,'ELC TECH'!$H:$H,'ELC TECH'!Y:Y)</f>
        <v>21.100097091380029</v>
      </c>
      <c r="AM52" s="15">
        <f>_xlfn.XLOOKUP($B52,'ELC TECH'!$H:$H,'ELC TECH'!Z:Z)</f>
        <v>21.100097091380029</v>
      </c>
      <c r="AN52" s="15">
        <f>_xlfn.XLOOKUP($B52,'ELC TECH'!$H:$H,'ELC TECH'!AA:AA)</f>
        <v>21.100097091380029</v>
      </c>
      <c r="AO52" s="15">
        <f>_xlfn.XLOOKUP($B52,'ELC TECH'!$H:$H,'ELC TECH'!AB:AB)</f>
        <v>21.100097091380029</v>
      </c>
      <c r="AP52" s="15">
        <f>_xlfn.XLOOKUP($B52,'ELC TECH'!$H:$H,'ELC TECH'!AC:AC)</f>
        <v>0.1696149283872993</v>
      </c>
      <c r="AQ52" s="15">
        <f>_xlfn.XLOOKUP($B52,'ELC TECH'!$H:$H,'ELC TECH'!AD:AD)</f>
        <v>0.1696149283872993</v>
      </c>
      <c r="AR52" s="15">
        <f>_xlfn.XLOOKUP($B52,'ELC TECH'!$H:$H,'ELC TECH'!AE:AE)</f>
        <v>0.1696149283872993</v>
      </c>
      <c r="AS52" s="15">
        <f>_xlfn.XLOOKUP($B52,'ELC TECH'!$H:$H,'ELC TECH'!AF:AF)</f>
        <v>0.1696149283872993</v>
      </c>
      <c r="AT52" s="15">
        <f>_xlfn.XLOOKUP($B52,'ELC TECH'!$H:$H,'ELC TECH'!AG:AG)</f>
        <v>0.1696149283872993</v>
      </c>
      <c r="AU52" s="15">
        <f>_xlfn.XLOOKUP($B52,'ELC TECH'!$H:$H,'ELC TECH'!AH:AH)</f>
        <v>0.1696149283872993</v>
      </c>
      <c r="AV52" s="15">
        <f>_xlfn.XLOOKUP($B52,'ELC TECH'!$H:$H,'ELC TECH'!AI:AI)</f>
        <v>0.1696149283872993</v>
      </c>
      <c r="AW52" s="15">
        <f>_xlfn.XLOOKUP($B52,'ELC TECH'!$H:$H,'ELC TECH'!AJ:AJ)</f>
        <v>0.1696149283872993</v>
      </c>
      <c r="AX52" s="12" t="str">
        <f>IF(_xlfn.XLOOKUP($B52,'ELC TECH'!$H:$H,'ELC TECH'!$E:$E)="Storage","",_xlfn.XLOOKUP($B52,'ELC TECH'!$H:$H,'ELC TECH'!AS:AS))</f>
        <v/>
      </c>
      <c r="AY52" s="12" t="str">
        <f>IF(_xlfn.XLOOKUP($B52,'ELC TECH'!$H:$H,'ELC TECH'!$E:$E)="Storage","",_xlfn.XLOOKUP($B52,'ELC TECH'!$H:$H,'ELC TECH'!AT:AT))</f>
        <v/>
      </c>
      <c r="AZ52" s="12" t="str">
        <f>IF(_xlfn.XLOOKUP($B52,'ELC TECH'!$H:$H,'ELC TECH'!$E:$E)="Storage","",_xlfn.XLOOKUP($B52,'ELC TECH'!$H:$H,'ELC TECH'!AU:AU))</f>
        <v/>
      </c>
      <c r="BA52" s="12" t="str">
        <f>IF(_xlfn.XLOOKUP($B52,'ELC TECH'!$H:$H,'ELC TECH'!$E:$E)="Storage","",_xlfn.XLOOKUP($B52,'ELC TECH'!$H:$H,'ELC TECH'!AV:AV))</f>
        <v/>
      </c>
      <c r="BB52" s="12" t="str">
        <f>IF(_xlfn.XLOOKUP($B52,'ELC TECH'!$H:$H,'ELC TECH'!$E:$E)="Storage","",_xlfn.XLOOKUP($B52,'ELC TECH'!$H:$H,'ELC TECH'!AW:AW))</f>
        <v/>
      </c>
      <c r="BC52" s="12" t="str">
        <f>IF(_xlfn.XLOOKUP($B52,'ELC TECH'!$H:$H,'ELC TECH'!$E:$E)="Storage","",_xlfn.XLOOKUP($B52,'ELC TECH'!$H:$H,'ELC TECH'!AX:AX))</f>
        <v/>
      </c>
      <c r="BD52" s="12" t="str">
        <f>IF(_xlfn.XLOOKUP($B52,'ELC TECH'!$H:$H,'ELC TECH'!$E:$E)="Storage","",_xlfn.XLOOKUP($B52,'ELC TECH'!$H:$H,'ELC TECH'!AY:AY))</f>
        <v/>
      </c>
      <c r="BE52" s="12" t="str">
        <f>IF(_xlfn.XLOOKUP($B52,'ELC TECH'!$H:$H,'ELC TECH'!$E:$E)="Storage","",_xlfn.XLOOKUP($B52,'ELC TECH'!$H:$H,'ELC TECH'!AZ:AZ))</f>
        <v/>
      </c>
      <c r="BF52" s="12">
        <f>IF(_xlfn.XLOOKUP($B52,'ELC TECH'!$H:$H,'ELC TECH'!$E:$E)="Storage",_xlfn.XLOOKUP($B52,'ELC TECH'!$H:$H,'ELC TECH'!AS:AS),"")</f>
        <v>0.41666666666666669</v>
      </c>
      <c r="BG52" s="12">
        <f>IF(_xlfn.XLOOKUP($B52,'ELC TECH'!$H:$H,'ELC TECH'!$E:$E)="Storage",_xlfn.XLOOKUP($B52,'ELC TECH'!$H:$H,'ELC TECH'!AT:AT),"")</f>
        <v>0.41666666666666669</v>
      </c>
      <c r="BH52" s="12">
        <f>IF(_xlfn.XLOOKUP($B52,'ELC TECH'!$H:$H,'ELC TECH'!$E:$E)="Storage",_xlfn.XLOOKUP($B52,'ELC TECH'!$H:$H,'ELC TECH'!AU:AU),"")</f>
        <v>0.41666666666666669</v>
      </c>
      <c r="BI52" s="12">
        <f>IF(_xlfn.XLOOKUP($B52,'ELC TECH'!$H:$H,'ELC TECH'!$E:$E)="Storage",_xlfn.XLOOKUP($B52,'ELC TECH'!$H:$H,'ELC TECH'!AV:AV),"")</f>
        <v>0.41666666666666669</v>
      </c>
      <c r="BJ52" s="12">
        <f>IF(_xlfn.XLOOKUP($B52,'ELC TECH'!$H:$H,'ELC TECH'!$E:$E)="Storage",_xlfn.XLOOKUP($B52,'ELC TECH'!$H:$H,'ELC TECH'!AW:AW),"")</f>
        <v>0.41666666666666669</v>
      </c>
      <c r="BK52" s="12">
        <f>IF(_xlfn.XLOOKUP($B52,'ELC TECH'!$H:$H,'ELC TECH'!$E:$E)="Storage",_xlfn.XLOOKUP($B52,'ELC TECH'!$H:$H,'ELC TECH'!AX:AX),"")</f>
        <v>0.41666666666666669</v>
      </c>
      <c r="BL52" s="12">
        <f>IF(_xlfn.XLOOKUP($B52,'ELC TECH'!$H:$H,'ELC TECH'!$E:$E)="Storage",_xlfn.XLOOKUP($B52,'ELC TECH'!$H:$H,'ELC TECH'!AY:AY),"")</f>
        <v>0.41666666666666669</v>
      </c>
      <c r="BM52" s="12">
        <f>IF(_xlfn.XLOOKUP($B52,'ELC TECH'!$H:$H,'ELC TECH'!$E:$E)="Storage",_xlfn.XLOOKUP($B52,'ELC TECH'!$H:$H,'ELC TECH'!AZ:AZ),"")</f>
        <v>0.41666666666666669</v>
      </c>
      <c r="BN52" s="8" t="str">
        <f>IF(_xlfn.XLOOKUP($B52,'ELC TECH'!$H:$H,'ELC TECH'!$E:$E)="Non Dispatchable",IFERROR($AX52*_xlfn.XLOOKUP($C52,$BM$1:$BM$3,BN$1:BN$3)/SUMPRODUCT(_xlfn.XLOOKUP($C52,$BM$1:$BM$3,$BN$1:$BY$3),$BN$4:$BY$4),""),
"")</f>
        <v/>
      </c>
      <c r="BO52" s="8" t="str">
        <f>IF(_xlfn.XLOOKUP($B52,'ELC TECH'!$H:$H,'ELC TECH'!$E:$E)="Non Dispatchable",IFERROR($AX52*_xlfn.XLOOKUP($C52,$BM$1:$BM$3,BO$1:BO$3)/SUMPRODUCT(_xlfn.XLOOKUP($C52,$BM$1:$BM$3,$BN$1:$BY$3),$BN$4:$BY$4),""),
"")</f>
        <v/>
      </c>
      <c r="BP52" s="8" t="str">
        <f>IF(_xlfn.XLOOKUP($B52,'ELC TECH'!$H:$H,'ELC TECH'!$E:$E)="Non Dispatchable",IFERROR($AX52*_xlfn.XLOOKUP($C52,$BM$1:$BM$3,BP$1:BP$3)/SUMPRODUCT(_xlfn.XLOOKUP($C52,$BM$1:$BM$3,$BN$1:$BY$3),$BN$4:$BY$4),""),
"")</f>
        <v/>
      </c>
      <c r="BQ52" s="8" t="str">
        <f>IF(_xlfn.XLOOKUP($B52,'ELC TECH'!$H:$H,'ELC TECH'!$E:$E)="Non Dispatchable",IFERROR($AX52*_xlfn.XLOOKUP($C52,$BM$1:$BM$3,BQ$1:BQ$3)/SUMPRODUCT(_xlfn.XLOOKUP($C52,$BM$1:$BM$3,$BN$1:$BY$3),$BN$4:$BY$4),""),
"")</f>
        <v/>
      </c>
      <c r="BR52" s="8" t="str">
        <f>IF(_xlfn.XLOOKUP($B52,'ELC TECH'!$H:$H,'ELC TECH'!$E:$E)="Non Dispatchable",IFERROR($AX52*_xlfn.XLOOKUP($C52,$BM$1:$BM$3,BR$1:BR$3)/SUMPRODUCT(_xlfn.XLOOKUP($C52,$BM$1:$BM$3,$BN$1:$BY$3),$BN$4:$BY$4),""),
"")</f>
        <v/>
      </c>
      <c r="BS52" s="8" t="str">
        <f>IF(_xlfn.XLOOKUP($B52,'ELC TECH'!$H:$H,'ELC TECH'!$E:$E)="Non Dispatchable",IFERROR($AX52*_xlfn.XLOOKUP($C52,$BM$1:$BM$3,BS$1:BS$3)/SUMPRODUCT(_xlfn.XLOOKUP($C52,$BM$1:$BM$3,$BN$1:$BY$3),$BN$4:$BY$4),""),
"")</f>
        <v/>
      </c>
      <c r="BT52" s="8" t="str">
        <f>IF(_xlfn.XLOOKUP($B52,'ELC TECH'!$H:$H,'ELC TECH'!$E:$E)="Non Dispatchable",IFERROR($AX52*_xlfn.XLOOKUP($C52,$BM$1:$BM$3,BT$1:BT$3)/SUMPRODUCT(_xlfn.XLOOKUP($C52,$BM$1:$BM$3,$BN$1:$BY$3),$BN$4:$BY$4),""),
"")</f>
        <v/>
      </c>
      <c r="BU52" s="8" t="str">
        <f>IF(_xlfn.XLOOKUP($B52,'ELC TECH'!$H:$H,'ELC TECH'!$E:$E)="Non Dispatchable",IFERROR($AX52*_xlfn.XLOOKUP($C52,$BM$1:$BM$3,BU$1:BU$3)/SUMPRODUCT(_xlfn.XLOOKUP($C52,$BM$1:$BM$3,$BN$1:$BY$3),$BN$4:$BY$4),""),
"")</f>
        <v/>
      </c>
      <c r="BV52" s="8" t="str">
        <f>IF(_xlfn.XLOOKUP($B52,'ELC TECH'!$H:$H,'ELC TECH'!$E:$E)="Non Dispatchable",IFERROR($AX52*_xlfn.XLOOKUP($C52,$BM$1:$BM$3,BV$1:BV$3)/SUMPRODUCT(_xlfn.XLOOKUP($C52,$BM$1:$BM$3,$BN$1:$BY$3),$BN$4:$BY$4),""),
"")</f>
        <v/>
      </c>
      <c r="BW52" s="8" t="str">
        <f>IF(_xlfn.XLOOKUP($B52,'ELC TECH'!$H:$H,'ELC TECH'!$E:$E)="Non Dispatchable",IFERROR($AX52*_xlfn.XLOOKUP($C52,$BM$1:$BM$3,BW$1:BW$3)/SUMPRODUCT(_xlfn.XLOOKUP($C52,$BM$1:$BM$3,$BN$1:$BY$3),$BN$4:$BY$4),""),
"")</f>
        <v/>
      </c>
      <c r="BX52" s="8" t="str">
        <f>IF(_xlfn.XLOOKUP($B52,'ELC TECH'!$H:$H,'ELC TECH'!$E:$E)="Non Dispatchable",IFERROR($AX52*_xlfn.XLOOKUP($C52,$BM$1:$BM$3,BX$1:BX$3)/SUMPRODUCT(_xlfn.XLOOKUP($C52,$BM$1:$BM$3,$BN$1:$BY$3),$BN$4:$BY$4),""),
"")</f>
        <v/>
      </c>
      <c r="BY52" s="8" t="str">
        <f>IF(_xlfn.XLOOKUP($B52,'ELC TECH'!$H:$H,'ELC TECH'!$E:$E)="Non Dispatchable",IFERROR($AX52*_xlfn.XLOOKUP($C52,$BM$1:$BM$3,BY$1:BY$3)/SUMPRODUCT(_xlfn.XLOOKUP($C52,$BM$1:$BM$3,$BN$1:$BY$3),$BN$4:$BY$4),""),
"")</f>
        <v/>
      </c>
      <c r="BZ52" s="8" t="str">
        <f>IF(_xlfn.XLOOKUP($B52,'ELC TECH'!$H:$H,'ELC TECH'!$E:$E)="Non Dispatchable",IFERROR($AX52*_xlfn.XLOOKUP($C52,$BM$1:$BM$3,BZ$1:BZ$3)/SUMPRODUCT(_xlfn.XLOOKUP($C52,$BM$1:$BM$3,$BN$1:$BY$3),$BN$4:$BY$4),""),
"")</f>
        <v/>
      </c>
      <c r="CA52" s="8" t="str">
        <f>IF(_xlfn.XLOOKUP($B52,'ELC TECH'!$H:$H,'ELC TECH'!$E:$E)="Non Dispatchable",IFERROR($AX52*_xlfn.XLOOKUP($C52,$BM$1:$BM$3,CA$1:CA$3)/SUMPRODUCT(_xlfn.XLOOKUP($C52,$BM$1:$BM$3,$BN$1:$BY$3),$BN$4:$BY$4),""),
"")</f>
        <v/>
      </c>
      <c r="CB52" s="8" t="str">
        <f>IF(_xlfn.XLOOKUP($B52,'ELC TECH'!$H:$H,'ELC TECH'!$E:$E)="Non Dispatchable",IFERROR($AX52*_xlfn.XLOOKUP($C52,$BM$1:$BM$3,CB$1:CB$3)/SUMPRODUCT(_xlfn.XLOOKUP($C52,$BM$1:$BM$3,$BN$1:$BY$3),$BN$4:$BY$4),""),
"")</f>
        <v/>
      </c>
      <c r="CC52" s="8" t="str">
        <f>IF(_xlfn.XLOOKUP($B52,'ELC TECH'!$H:$H,'ELC TECH'!$E:$E)="Non Dispatchable",IFERROR($AX52*_xlfn.XLOOKUP($C52,$BM$1:$BM$3,CC$1:CC$3)/SUMPRODUCT(_xlfn.XLOOKUP($C52,$BM$1:$BM$3,$BN$1:$BY$3),$BN$4:$BY$4),""),
"")</f>
        <v/>
      </c>
      <c r="CD52" s="8" t="str">
        <f>IF(_xlfn.XLOOKUP($B52,'ELC TECH'!$H:$H,'ELC TECH'!$E:$E)="Non Dispatchable",IFERROR($AX52*_xlfn.XLOOKUP($C52,$BM$1:$BM$3,CD$1:CD$3)/SUMPRODUCT(_xlfn.XLOOKUP($C52,$BM$1:$BM$3,$BN$1:$BY$3),$BN$4:$BY$4),""),
"")</f>
        <v/>
      </c>
      <c r="CE52" s="8" t="str">
        <f>IF(_xlfn.XLOOKUP($B52,'ELC TECH'!$H:$H,'ELC TECH'!$E:$E)="Non Dispatchable",IFERROR($AX52*_xlfn.XLOOKUP($C52,$BM$1:$BM$3,CE$1:CE$3)/SUMPRODUCT(_xlfn.XLOOKUP($C52,$BM$1:$BM$3,$BN$1:$BY$3),$BN$4:$BY$4),""),
"")</f>
        <v/>
      </c>
      <c r="CF52" s="8" t="str">
        <f>IF(_xlfn.XLOOKUP($B52,'ELC TECH'!$H:$H,'ELC TECH'!$E:$E)="Non Dispatchable",IFERROR($AX52*_xlfn.XLOOKUP($C52,$BM$1:$BM$3,CF$1:CF$3)/SUMPRODUCT(_xlfn.XLOOKUP($C52,$BM$1:$BM$3,$BN$1:$BY$3),$BN$4:$BY$4),""),
"")</f>
        <v/>
      </c>
      <c r="CG52" s="8" t="str">
        <f>IF(_xlfn.XLOOKUP($B52,'ELC TECH'!$H:$H,'ELC TECH'!$E:$E)="Non Dispatchable",IFERROR($AX52*_xlfn.XLOOKUP($C52,$BM$1:$BM$3,CG$1:CG$3)/SUMPRODUCT(_xlfn.XLOOKUP($C52,$BM$1:$BM$3,$BN$1:$BY$3),$BN$4:$BY$4),""),
"")</f>
        <v/>
      </c>
      <c r="CH52" s="8" t="str">
        <f>IF(_xlfn.XLOOKUP($B52,'ELC TECH'!$H:$H,'ELC TECH'!$E:$E)="Non Dispatchable",IFERROR($AX52*_xlfn.XLOOKUP($C52,$BM$1:$BM$3,CH$1:CH$3)/SUMPRODUCT(_xlfn.XLOOKUP($C52,$BM$1:$BM$3,$BN$1:$BY$3),$BN$4:$BY$4),""),
"")</f>
        <v/>
      </c>
      <c r="CI52" s="8" t="str">
        <f>IF(_xlfn.XLOOKUP($B52,'ELC TECH'!$H:$H,'ELC TECH'!$E:$E)="Non Dispatchable",IFERROR($AX52*_xlfn.XLOOKUP($C52,$BM$1:$BM$3,CI$1:CI$3)/SUMPRODUCT(_xlfn.XLOOKUP($C52,$BM$1:$BM$3,$BN$1:$BY$3),$BN$4:$BY$4),""),
"")</f>
        <v/>
      </c>
      <c r="CJ52" s="8" t="str">
        <f>IF(_xlfn.XLOOKUP($B52,'ELC TECH'!$H:$H,'ELC TECH'!$E:$E)="Non Dispatchable",IFERROR($AX52*_xlfn.XLOOKUP($C52,$BM$1:$BM$3,CJ$1:CJ$3)/SUMPRODUCT(_xlfn.XLOOKUP($C52,$BM$1:$BM$3,$BN$1:$BY$3),$BN$4:$BY$4),""),
"")</f>
        <v/>
      </c>
      <c r="CK52" s="8" t="str">
        <f>IF(_xlfn.XLOOKUP($B52,'ELC TECH'!$H:$H,'ELC TECH'!$E:$E)="Non Dispatchable",IFERROR($AX52*_xlfn.XLOOKUP($C52,$BM$1:$BM$3,CK$1:CK$3)/SUMPRODUCT(_xlfn.XLOOKUP($C52,$BM$1:$BM$3,$BN$1:$BY$3),$BN$4:$BY$4),""),
"")</f>
        <v/>
      </c>
      <c r="CL52" s="8">
        <f>IF(_xlfn.XLOOKUP($B52,'ELC TECH'!$H:$H,'ELC TECH'!$E:$E)="Storage",CL$4*$BF52,"")</f>
        <v>3.4250000000000003E-2</v>
      </c>
      <c r="CM52" s="8">
        <f>IF(_xlfn.XLOOKUP($B52,'ELC TECH'!$H:$H,'ELC TECH'!$E:$E)="Storage",CM$4*$BF52,"")</f>
        <v>3.9875000000000001E-2</v>
      </c>
      <c r="CN52" s="8">
        <f>IF(_xlfn.XLOOKUP($B52,'ELC TECH'!$H:$H,'ELC TECH'!$E:$E)="Storage",CN$4*$BF52,"")</f>
        <v>6.3833333333333339E-2</v>
      </c>
      <c r="CO52" s="8">
        <f>IF(_xlfn.XLOOKUP($B52,'ELC TECH'!$H:$H,'ELC TECH'!$E:$E)="Storage",CO$4*$BF52,"")</f>
        <v>1.3333333333333335E-3</v>
      </c>
      <c r="CP52" s="8">
        <f>IF(_xlfn.XLOOKUP($B52,'ELC TECH'!$H:$H,'ELC TECH'!$E:$E)="Storage",CP$4*$BF52,"")</f>
        <v>3.3958333333333333E-2</v>
      </c>
      <c r="CQ52" s="8">
        <f>IF(_xlfn.XLOOKUP($B52,'ELC TECH'!$H:$H,'ELC TECH'!$E:$E)="Storage",CQ$4*$BF52,"")</f>
        <v>4.5291666666666668E-2</v>
      </c>
      <c r="CR52" s="8">
        <f>IF(_xlfn.XLOOKUP($B52,'ELC TECH'!$H:$H,'ELC TECH'!$E:$E)="Storage",CR$4*$BF52,"")</f>
        <v>5.7541666666666672E-2</v>
      </c>
      <c r="CS52" s="8">
        <f>IF(_xlfn.XLOOKUP($B52,'ELC TECH'!$H:$H,'ELC TECH'!$E:$E)="Storage",CS$4*$BF52,"")</f>
        <v>1.3333333333333335E-3</v>
      </c>
      <c r="CT52" s="8">
        <f>IF(_xlfn.XLOOKUP($B52,'ELC TECH'!$H:$H,'ELC TECH'!$E:$E)="Storage",CT$4*$BF52,"")</f>
        <v>4.0625000000000001E-2</v>
      </c>
      <c r="CU52" s="8">
        <f>IF(_xlfn.XLOOKUP($B52,'ELC TECH'!$H:$H,'ELC TECH'!$E:$E)="Storage",CU$4*$BF52,"")</f>
        <v>4.5291666666666668E-2</v>
      </c>
      <c r="CV52" s="8">
        <f>IF(_xlfn.XLOOKUP($B52,'ELC TECH'!$H:$H,'ELC TECH'!$E:$E)="Storage",CV$4*$BF52,"")</f>
        <v>5.2208333333333336E-2</v>
      </c>
      <c r="CW52" s="8">
        <f>IF(_xlfn.XLOOKUP($B52,'ELC TECH'!$H:$H,'ELC TECH'!$E:$E)="Storage",CW$4*$BF52,"")</f>
        <v>1.1250000000000001E-3</v>
      </c>
      <c r="CX52" s="8">
        <f>IF(_xlfn.XLOOKUP($B52,'ELC TECH'!$H:$H,'ELC TECH'!$E:$E)="Storage",CX$4*$BF52,"")</f>
        <v>3.4250000000000003E-2</v>
      </c>
      <c r="CY52" s="8">
        <f>IF(_xlfn.XLOOKUP($B52,'ELC TECH'!$H:$H,'ELC TECH'!$E:$E)="Storage",CY$4*$BF52,"")</f>
        <v>3.9875000000000001E-2</v>
      </c>
      <c r="CZ52" s="8">
        <f>IF(_xlfn.XLOOKUP($B52,'ELC TECH'!$H:$H,'ELC TECH'!$E:$E)="Storage",CZ$4*$BF52,"")</f>
        <v>6.3833333333333339E-2</v>
      </c>
      <c r="DA52" s="8">
        <f>IF(_xlfn.XLOOKUP($B52,'ELC TECH'!$H:$H,'ELC TECH'!$E:$E)="Storage",DA$4*$BF52,"")</f>
        <v>1.3333333333333335E-3</v>
      </c>
      <c r="DB52" s="8">
        <f>IF(_xlfn.XLOOKUP($B52,'ELC TECH'!$H:$H,'ELC TECH'!$E:$E)="Storage",DB$4*$BF52,"")</f>
        <v>3.3958333333333333E-2</v>
      </c>
      <c r="DC52" s="8">
        <f>IF(_xlfn.XLOOKUP($B52,'ELC TECH'!$H:$H,'ELC TECH'!$E:$E)="Storage",DC$4*$BF52,"")</f>
        <v>4.5291666666666668E-2</v>
      </c>
      <c r="DD52" s="8">
        <f>IF(_xlfn.XLOOKUP($B52,'ELC TECH'!$H:$H,'ELC TECH'!$E:$E)="Storage",DD$4*$BF52,"")</f>
        <v>5.7541666666666672E-2</v>
      </c>
      <c r="DE52" s="8">
        <f>IF(_xlfn.XLOOKUP($B52,'ELC TECH'!$H:$H,'ELC TECH'!$E:$E)="Storage",DE$4*$BF52,"")</f>
        <v>1.3333333333333335E-3</v>
      </c>
      <c r="DF52" s="8">
        <f>IF(_xlfn.XLOOKUP($B52,'ELC TECH'!$H:$H,'ELC TECH'!$E:$E)="Storage",DF$4*$BF52,"")</f>
        <v>4.0625000000000001E-2</v>
      </c>
      <c r="DG52" s="8">
        <f>IF(_xlfn.XLOOKUP($B52,'ELC TECH'!$H:$H,'ELC TECH'!$E:$E)="Storage",DG$4*$BF52,"")</f>
        <v>4.5291666666666668E-2</v>
      </c>
      <c r="DH52" s="8">
        <f>IF(_xlfn.XLOOKUP($B52,'ELC TECH'!$H:$H,'ELC TECH'!$E:$E)="Storage",DH$4*$BF52,"")</f>
        <v>5.2208333333333336E-2</v>
      </c>
      <c r="DI52" s="8">
        <f>IF(_xlfn.XLOOKUP($B52,'ELC TECH'!$H:$H,'ELC TECH'!$E:$E)="Storage",DI$4*$BF52,"")</f>
        <v>1.1250000000000001E-3</v>
      </c>
    </row>
    <row r="53" spans="2:113" x14ac:dyDescent="0.25">
      <c r="B53" t="str">
        <f>IF('ELC TECH'!I46=0,"*",'ELC TECH'!H46)</f>
        <v>ELCSTGGRDPSH10HC320</v>
      </c>
      <c r="C53" t="str">
        <f>IF(_xlfn.XLOOKUP(_xlfn.XLOOKUP(B53,'ELC TECH'!$H:$H,'ELC TECH'!$G:$G),List!C:C,List!B:B)="STG",D53,"ELC"&amp;_xlfn.XLOOKUP(_xlfn.XLOOKUP(B53,'ELC TECH'!H:H,'ELC TECH'!G:G),List!C:C,List!B:B))</f>
        <v>CELC</v>
      </c>
      <c r="D53" t="s">
        <v>544</v>
      </c>
      <c r="E53">
        <f>_xlfn.XLOOKUP(B53,'ELC TECH'!H:H,'ELC TECH'!D:D)</f>
        <v>2020</v>
      </c>
      <c r="F53">
        <f>_xlfn.XLOOKUP(B53,'ELC TECH'!H:H,'ELC TECH'!K:K)</f>
        <v>100</v>
      </c>
      <c r="G53">
        <f t="shared" si="5"/>
        <v>31.535999999999998</v>
      </c>
      <c r="H53">
        <f>IF(_xlfn.XLOOKUP(B53,'ELC TECH'!$H:$H,'ELC TECH'!$E:$E)="Storage",0.3,IF(_xlfn.XLOOKUP(B53,'ELC TECH'!$H:$H,'ELC TECH'!$E:$E)="Baseload",0.9,IF(_xlfn.XLOOKUP(B53,'ELC TECH'!$H:$H,'ELC TECH'!$E:$E)="Non Dispatchable",0.05,IF(_xlfn.XLOOKUP(B53,'ELC TECH'!$H:$H,'ELC TECH'!$E:$E)="Dispatchable",0.9,1))))</f>
        <v>0.3</v>
      </c>
      <c r="I53" s="13">
        <f>IF(_xlfn.XLOOKUP(B53,'ELC TECH'!H:H,'ELC TECH'!J:J)="","",_xlfn.XLOOKUP(B53,'ELC TECH'!H:H,'ELC TECH'!J:J))</f>
        <v>0</v>
      </c>
      <c r="J53" s="12" t="str">
        <f>IF(_xlfn.XLOOKUP($B53,'ELC TECH'!$H:$H,'ELC TECH'!$E:$E)="Storage","",IF(_xlfn.XLOOKUP($B53,'ELC TECH'!$H:$H,'ELC TECH'!AK:AK)="",1,_xlfn.XLOOKUP($B53,'ELC TECH'!$H:$H,'ELC TECH'!AK:AK)))</f>
        <v/>
      </c>
      <c r="K53" s="12" t="str">
        <f>IF(_xlfn.XLOOKUP($B53,'ELC TECH'!$H:$H,'ELC TECH'!$E:$E)="Storage","",IF(_xlfn.XLOOKUP($B53,'ELC TECH'!$H:$H,'ELC TECH'!AL:AL)="",1,_xlfn.XLOOKUP($B53,'ELC TECH'!$H:$H,'ELC TECH'!AL:AL)))</f>
        <v/>
      </c>
      <c r="L53" s="12" t="str">
        <f>IF(_xlfn.XLOOKUP($B53,'ELC TECH'!$H:$H,'ELC TECH'!$E:$E)="Storage","",IF(_xlfn.XLOOKUP($B53,'ELC TECH'!$H:$H,'ELC TECH'!AM:AM)="",1,_xlfn.XLOOKUP($B53,'ELC TECH'!$H:$H,'ELC TECH'!AM:AM)))</f>
        <v/>
      </c>
      <c r="M53" s="12" t="str">
        <f>IF(_xlfn.XLOOKUP($B53,'ELC TECH'!$H:$H,'ELC TECH'!$E:$E)="Storage","",IF(_xlfn.XLOOKUP($B53,'ELC TECH'!$H:$H,'ELC TECH'!AN:AN)="",1,_xlfn.XLOOKUP($B53,'ELC TECH'!$H:$H,'ELC TECH'!AN:AN)))</f>
        <v/>
      </c>
      <c r="N53" s="12" t="str">
        <f>IF(_xlfn.XLOOKUP($B53,'ELC TECH'!$H:$H,'ELC TECH'!$E:$E)="Storage","",IF(_xlfn.XLOOKUP($B53,'ELC TECH'!$H:$H,'ELC TECH'!AO:AO)="",1,_xlfn.XLOOKUP($B53,'ELC TECH'!$H:$H,'ELC TECH'!AO:AO)))</f>
        <v/>
      </c>
      <c r="O53" s="12" t="str">
        <f>IF(_xlfn.XLOOKUP($B53,'ELC TECH'!$H:$H,'ELC TECH'!$E:$E)="Storage","",IF(_xlfn.XLOOKUP($B53,'ELC TECH'!$H:$H,'ELC TECH'!AP:AP)="",1,_xlfn.XLOOKUP($B53,'ELC TECH'!$H:$H,'ELC TECH'!AP:AP)))</f>
        <v/>
      </c>
      <c r="P53" s="12" t="str">
        <f>IF(_xlfn.XLOOKUP($B53,'ELC TECH'!$H:$H,'ELC TECH'!$E:$E)="Storage","",IF(_xlfn.XLOOKUP($B53,'ELC TECH'!$H:$H,'ELC TECH'!AQ:AQ)="",1,_xlfn.XLOOKUP($B53,'ELC TECH'!$H:$H,'ELC TECH'!AQ:AQ)))</f>
        <v/>
      </c>
      <c r="Q53" s="12" t="str">
        <f>IF(_xlfn.XLOOKUP($B53,'ELC TECH'!$H:$H,'ELC TECH'!$E:$E)="Storage","",IF(_xlfn.XLOOKUP($B53,'ELC TECH'!$H:$H,'ELC TECH'!AR:AR)="",1,_xlfn.XLOOKUP($B53,'ELC TECH'!$H:$H,'ELC TECH'!AR:AR)))</f>
        <v/>
      </c>
      <c r="R53" s="12">
        <f>IF(_xlfn.XLOOKUP($B53,'ELC TECH'!$H:$H,'ELC TECH'!$E:$E)&lt;&gt;"Storage","",IF(_xlfn.XLOOKUP($B53,'ELC TECH'!$H:$H,'ELC TECH'!AK:AK)="",0.8,_xlfn.XLOOKUP($B53,'ELC TECH'!$H:$H,'ELC TECH'!AK:AK)))</f>
        <v>0.8</v>
      </c>
      <c r="S53" s="12">
        <f>IF(_xlfn.XLOOKUP($B53,'ELC TECH'!$H:$H,'ELC TECH'!$E:$E)&lt;&gt;"Storage","",IF(_xlfn.XLOOKUP($B53,'ELC TECH'!$H:$H,'ELC TECH'!AL:AL)="",0.8,_xlfn.XLOOKUP($B53,'ELC TECH'!$H:$H,'ELC TECH'!AL:AL)))</f>
        <v>0.8</v>
      </c>
      <c r="T53" s="12">
        <f>IF(_xlfn.XLOOKUP($B53,'ELC TECH'!$H:$H,'ELC TECH'!$E:$E)&lt;&gt;"Storage","",IF(_xlfn.XLOOKUP($B53,'ELC TECH'!$H:$H,'ELC TECH'!AM:AM)="",0.8,_xlfn.XLOOKUP($B53,'ELC TECH'!$H:$H,'ELC TECH'!AM:AM)))</f>
        <v>0.8</v>
      </c>
      <c r="U53" s="12">
        <f>IF(_xlfn.XLOOKUP($B53,'ELC TECH'!$H:$H,'ELC TECH'!$E:$E)&lt;&gt;"Storage","",IF(_xlfn.XLOOKUP($B53,'ELC TECH'!$H:$H,'ELC TECH'!AN:AN)="",0.8,_xlfn.XLOOKUP($B53,'ELC TECH'!$H:$H,'ELC TECH'!AN:AN)))</f>
        <v>0.8</v>
      </c>
      <c r="V53" s="12">
        <f>IF(_xlfn.XLOOKUP($B53,'ELC TECH'!$H:$H,'ELC TECH'!$E:$E)&lt;&gt;"Storage","",IF(_xlfn.XLOOKUP($B53,'ELC TECH'!$H:$H,'ELC TECH'!AO:AO)="",0.8,_xlfn.XLOOKUP($B53,'ELC TECH'!$H:$H,'ELC TECH'!AO:AO)))</f>
        <v>0.8</v>
      </c>
      <c r="W53" s="12">
        <f>IF(_xlfn.XLOOKUP($B53,'ELC TECH'!$H:$H,'ELC TECH'!$E:$E)&lt;&gt;"Storage","",IF(_xlfn.XLOOKUP($B53,'ELC TECH'!$H:$H,'ELC TECH'!AP:AP)="",0.8,_xlfn.XLOOKUP($B53,'ELC TECH'!$H:$H,'ELC TECH'!AP:AP)))</f>
        <v>0.8</v>
      </c>
      <c r="X53" s="12">
        <f>IF(_xlfn.XLOOKUP($B53,'ELC TECH'!$H:$H,'ELC TECH'!$E:$E)&lt;&gt;"Storage","",IF(_xlfn.XLOOKUP($B53,'ELC TECH'!$H:$H,'ELC TECH'!AQ:AQ)="",0.8,_xlfn.XLOOKUP($B53,'ELC TECH'!$H:$H,'ELC TECH'!AQ:AQ)))</f>
        <v>0.8</v>
      </c>
      <c r="Y53" s="12">
        <f>IF(_xlfn.XLOOKUP($B53,'ELC TECH'!$H:$H,'ELC TECH'!$E:$E)&lt;&gt;"Storage","",IF(_xlfn.XLOOKUP($B53,'ELC TECH'!$H:$H,'ELC TECH'!AR:AR)="",0.8,_xlfn.XLOOKUP($B53,'ELC TECH'!$H:$H,'ELC TECH'!AR:AR)))</f>
        <v>0.8</v>
      </c>
      <c r="Z53" s="15">
        <f>_xlfn.XLOOKUP($B53,'ELC TECH'!$H:$H,'ELC TECH'!M:M)</f>
        <v>2902.3052152757159</v>
      </c>
      <c r="AA53" s="15">
        <f>_xlfn.XLOOKUP($B53,'ELC TECH'!$H:$H,'ELC TECH'!N:N)</f>
        <v>2902.3052152757159</v>
      </c>
      <c r="AB53" s="15">
        <f>_xlfn.XLOOKUP($B53,'ELC TECH'!$H:$H,'ELC TECH'!O:O)</f>
        <v>2902.3052152757159</v>
      </c>
      <c r="AC53" s="15">
        <f>_xlfn.XLOOKUP($B53,'ELC TECH'!$H:$H,'ELC TECH'!P:P)</f>
        <v>2902.3052152757159</v>
      </c>
      <c r="AD53" s="15">
        <f>_xlfn.XLOOKUP($B53,'ELC TECH'!$H:$H,'ELC TECH'!Q:Q)</f>
        <v>2902.3052152757159</v>
      </c>
      <c r="AE53" s="15">
        <f>_xlfn.XLOOKUP($B53,'ELC TECH'!$H:$H,'ELC TECH'!R:R)</f>
        <v>2902.3052152757159</v>
      </c>
      <c r="AF53" s="15">
        <f>_xlfn.XLOOKUP($B53,'ELC TECH'!$H:$H,'ELC TECH'!S:S)</f>
        <v>2902.3052152757159</v>
      </c>
      <c r="AG53" s="15">
        <f>_xlfn.XLOOKUP($B53,'ELC TECH'!$H:$H,'ELC TECH'!T:T)</f>
        <v>2902.3052152757159</v>
      </c>
      <c r="AH53" s="15">
        <f>_xlfn.XLOOKUP($B53,'ELC TECH'!$H:$H,'ELC TECH'!U:U)</f>
        <v>21.100097091380029</v>
      </c>
      <c r="AI53" s="15">
        <f>_xlfn.XLOOKUP($B53,'ELC TECH'!$H:$H,'ELC TECH'!V:V)</f>
        <v>21.100097091380029</v>
      </c>
      <c r="AJ53" s="15">
        <f>_xlfn.XLOOKUP($B53,'ELC TECH'!$H:$H,'ELC TECH'!W:W)</f>
        <v>21.100097091380029</v>
      </c>
      <c r="AK53" s="15">
        <f>_xlfn.XLOOKUP($B53,'ELC TECH'!$H:$H,'ELC TECH'!X:X)</f>
        <v>21.100097091380029</v>
      </c>
      <c r="AL53" s="15">
        <f>_xlfn.XLOOKUP($B53,'ELC TECH'!$H:$H,'ELC TECH'!Y:Y)</f>
        <v>21.100097091380029</v>
      </c>
      <c r="AM53" s="15">
        <f>_xlfn.XLOOKUP($B53,'ELC TECH'!$H:$H,'ELC TECH'!Z:Z)</f>
        <v>21.100097091380029</v>
      </c>
      <c r="AN53" s="15">
        <f>_xlfn.XLOOKUP($B53,'ELC TECH'!$H:$H,'ELC TECH'!AA:AA)</f>
        <v>21.100097091380029</v>
      </c>
      <c r="AO53" s="15">
        <f>_xlfn.XLOOKUP($B53,'ELC TECH'!$H:$H,'ELC TECH'!AB:AB)</f>
        <v>21.100097091380029</v>
      </c>
      <c r="AP53" s="15">
        <f>_xlfn.XLOOKUP($B53,'ELC TECH'!$H:$H,'ELC TECH'!AC:AC)</f>
        <v>0.1696149283872993</v>
      </c>
      <c r="AQ53" s="15">
        <f>_xlfn.XLOOKUP($B53,'ELC TECH'!$H:$H,'ELC TECH'!AD:AD)</f>
        <v>0.1696149283872993</v>
      </c>
      <c r="AR53" s="15">
        <f>_xlfn.XLOOKUP($B53,'ELC TECH'!$H:$H,'ELC TECH'!AE:AE)</f>
        <v>0.1696149283872993</v>
      </c>
      <c r="AS53" s="15">
        <f>_xlfn.XLOOKUP($B53,'ELC TECH'!$H:$H,'ELC TECH'!AF:AF)</f>
        <v>0.1696149283872993</v>
      </c>
      <c r="AT53" s="15">
        <f>_xlfn.XLOOKUP($B53,'ELC TECH'!$H:$H,'ELC TECH'!AG:AG)</f>
        <v>0.1696149283872993</v>
      </c>
      <c r="AU53" s="15">
        <f>_xlfn.XLOOKUP($B53,'ELC TECH'!$H:$H,'ELC TECH'!AH:AH)</f>
        <v>0.1696149283872993</v>
      </c>
      <c r="AV53" s="15">
        <f>_xlfn.XLOOKUP($B53,'ELC TECH'!$H:$H,'ELC TECH'!AI:AI)</f>
        <v>0.1696149283872993</v>
      </c>
      <c r="AW53" s="15">
        <f>_xlfn.XLOOKUP($B53,'ELC TECH'!$H:$H,'ELC TECH'!AJ:AJ)</f>
        <v>0.1696149283872993</v>
      </c>
      <c r="AX53" s="12" t="str">
        <f>IF(_xlfn.XLOOKUP($B53,'ELC TECH'!$H:$H,'ELC TECH'!$E:$E)="Storage","",_xlfn.XLOOKUP($B53,'ELC TECH'!$H:$H,'ELC TECH'!AS:AS))</f>
        <v/>
      </c>
      <c r="AY53" s="12" t="str">
        <f>IF(_xlfn.XLOOKUP($B53,'ELC TECH'!$H:$H,'ELC TECH'!$E:$E)="Storage","",_xlfn.XLOOKUP($B53,'ELC TECH'!$H:$H,'ELC TECH'!AT:AT))</f>
        <v/>
      </c>
      <c r="AZ53" s="12" t="str">
        <f>IF(_xlfn.XLOOKUP($B53,'ELC TECH'!$H:$H,'ELC TECH'!$E:$E)="Storage","",_xlfn.XLOOKUP($B53,'ELC TECH'!$H:$H,'ELC TECH'!AU:AU))</f>
        <v/>
      </c>
      <c r="BA53" s="12" t="str">
        <f>IF(_xlfn.XLOOKUP($B53,'ELC TECH'!$H:$H,'ELC TECH'!$E:$E)="Storage","",_xlfn.XLOOKUP($B53,'ELC TECH'!$H:$H,'ELC TECH'!AV:AV))</f>
        <v/>
      </c>
      <c r="BB53" s="12" t="str">
        <f>IF(_xlfn.XLOOKUP($B53,'ELC TECH'!$H:$H,'ELC TECH'!$E:$E)="Storage","",_xlfn.XLOOKUP($B53,'ELC TECH'!$H:$H,'ELC TECH'!AW:AW))</f>
        <v/>
      </c>
      <c r="BC53" s="12" t="str">
        <f>IF(_xlfn.XLOOKUP($B53,'ELC TECH'!$H:$H,'ELC TECH'!$E:$E)="Storage","",_xlfn.XLOOKUP($B53,'ELC TECH'!$H:$H,'ELC TECH'!AX:AX))</f>
        <v/>
      </c>
      <c r="BD53" s="12" t="str">
        <f>IF(_xlfn.XLOOKUP($B53,'ELC TECH'!$H:$H,'ELC TECH'!$E:$E)="Storage","",_xlfn.XLOOKUP($B53,'ELC TECH'!$H:$H,'ELC TECH'!AY:AY))</f>
        <v/>
      </c>
      <c r="BE53" s="12" t="str">
        <f>IF(_xlfn.XLOOKUP($B53,'ELC TECH'!$H:$H,'ELC TECH'!$E:$E)="Storage","",_xlfn.XLOOKUP($B53,'ELC TECH'!$H:$H,'ELC TECH'!AZ:AZ))</f>
        <v/>
      </c>
      <c r="BF53" s="12">
        <f>IF(_xlfn.XLOOKUP($B53,'ELC TECH'!$H:$H,'ELC TECH'!$E:$E)="Storage",_xlfn.XLOOKUP($B53,'ELC TECH'!$H:$H,'ELC TECH'!AS:AS),"")</f>
        <v>0.41666666666666669</v>
      </c>
      <c r="BG53" s="12">
        <f>IF(_xlfn.XLOOKUP($B53,'ELC TECH'!$H:$H,'ELC TECH'!$E:$E)="Storage",_xlfn.XLOOKUP($B53,'ELC TECH'!$H:$H,'ELC TECH'!AT:AT),"")</f>
        <v>0.41666666666666669</v>
      </c>
      <c r="BH53" s="12">
        <f>IF(_xlfn.XLOOKUP($B53,'ELC TECH'!$H:$H,'ELC TECH'!$E:$E)="Storage",_xlfn.XLOOKUP($B53,'ELC TECH'!$H:$H,'ELC TECH'!AU:AU),"")</f>
        <v>0.41666666666666669</v>
      </c>
      <c r="BI53" s="12">
        <f>IF(_xlfn.XLOOKUP($B53,'ELC TECH'!$H:$H,'ELC TECH'!$E:$E)="Storage",_xlfn.XLOOKUP($B53,'ELC TECH'!$H:$H,'ELC TECH'!AV:AV),"")</f>
        <v>0.41666666666666669</v>
      </c>
      <c r="BJ53" s="12">
        <f>IF(_xlfn.XLOOKUP($B53,'ELC TECH'!$H:$H,'ELC TECH'!$E:$E)="Storage",_xlfn.XLOOKUP($B53,'ELC TECH'!$H:$H,'ELC TECH'!AW:AW),"")</f>
        <v>0.41666666666666669</v>
      </c>
      <c r="BK53" s="12">
        <f>IF(_xlfn.XLOOKUP($B53,'ELC TECH'!$H:$H,'ELC TECH'!$E:$E)="Storage",_xlfn.XLOOKUP($B53,'ELC TECH'!$H:$H,'ELC TECH'!AX:AX),"")</f>
        <v>0.41666666666666669</v>
      </c>
      <c r="BL53" s="12">
        <f>IF(_xlfn.XLOOKUP($B53,'ELC TECH'!$H:$H,'ELC TECH'!$E:$E)="Storage",_xlfn.XLOOKUP($B53,'ELC TECH'!$H:$H,'ELC TECH'!AY:AY),"")</f>
        <v>0.41666666666666669</v>
      </c>
      <c r="BM53" s="12">
        <f>IF(_xlfn.XLOOKUP($B53,'ELC TECH'!$H:$H,'ELC TECH'!$E:$E)="Storage",_xlfn.XLOOKUP($B53,'ELC TECH'!$H:$H,'ELC TECH'!AZ:AZ),"")</f>
        <v>0.41666666666666669</v>
      </c>
      <c r="BN53" s="8" t="str">
        <f>IF(_xlfn.XLOOKUP($B53,'ELC TECH'!$H:$H,'ELC TECH'!$E:$E)="Non Dispatchable",IFERROR($AX53*_xlfn.XLOOKUP($C53,$BM$1:$BM$3,BN$1:BN$3)/SUMPRODUCT(_xlfn.XLOOKUP($C53,$BM$1:$BM$3,$BN$1:$BY$3),$BN$4:$BY$4),""),
"")</f>
        <v/>
      </c>
      <c r="BO53" s="8" t="str">
        <f>IF(_xlfn.XLOOKUP($B53,'ELC TECH'!$H:$H,'ELC TECH'!$E:$E)="Non Dispatchable",IFERROR($AX53*_xlfn.XLOOKUP($C53,$BM$1:$BM$3,BO$1:BO$3)/SUMPRODUCT(_xlfn.XLOOKUP($C53,$BM$1:$BM$3,$BN$1:$BY$3),$BN$4:$BY$4),""),
"")</f>
        <v/>
      </c>
      <c r="BP53" s="8" t="str">
        <f>IF(_xlfn.XLOOKUP($B53,'ELC TECH'!$H:$H,'ELC TECH'!$E:$E)="Non Dispatchable",IFERROR($AX53*_xlfn.XLOOKUP($C53,$BM$1:$BM$3,BP$1:BP$3)/SUMPRODUCT(_xlfn.XLOOKUP($C53,$BM$1:$BM$3,$BN$1:$BY$3),$BN$4:$BY$4),""),
"")</f>
        <v/>
      </c>
      <c r="BQ53" s="8" t="str">
        <f>IF(_xlfn.XLOOKUP($B53,'ELC TECH'!$H:$H,'ELC TECH'!$E:$E)="Non Dispatchable",IFERROR($AX53*_xlfn.XLOOKUP($C53,$BM$1:$BM$3,BQ$1:BQ$3)/SUMPRODUCT(_xlfn.XLOOKUP($C53,$BM$1:$BM$3,$BN$1:$BY$3),$BN$4:$BY$4),""),
"")</f>
        <v/>
      </c>
      <c r="BR53" s="8" t="str">
        <f>IF(_xlfn.XLOOKUP($B53,'ELC TECH'!$H:$H,'ELC TECH'!$E:$E)="Non Dispatchable",IFERROR($AX53*_xlfn.XLOOKUP($C53,$BM$1:$BM$3,BR$1:BR$3)/SUMPRODUCT(_xlfn.XLOOKUP($C53,$BM$1:$BM$3,$BN$1:$BY$3),$BN$4:$BY$4),""),
"")</f>
        <v/>
      </c>
      <c r="BS53" s="8" t="str">
        <f>IF(_xlfn.XLOOKUP($B53,'ELC TECH'!$H:$H,'ELC TECH'!$E:$E)="Non Dispatchable",IFERROR($AX53*_xlfn.XLOOKUP($C53,$BM$1:$BM$3,BS$1:BS$3)/SUMPRODUCT(_xlfn.XLOOKUP($C53,$BM$1:$BM$3,$BN$1:$BY$3),$BN$4:$BY$4),""),
"")</f>
        <v/>
      </c>
      <c r="BT53" s="8" t="str">
        <f>IF(_xlfn.XLOOKUP($B53,'ELC TECH'!$H:$H,'ELC TECH'!$E:$E)="Non Dispatchable",IFERROR($AX53*_xlfn.XLOOKUP($C53,$BM$1:$BM$3,BT$1:BT$3)/SUMPRODUCT(_xlfn.XLOOKUP($C53,$BM$1:$BM$3,$BN$1:$BY$3),$BN$4:$BY$4),""),
"")</f>
        <v/>
      </c>
      <c r="BU53" s="8" t="str">
        <f>IF(_xlfn.XLOOKUP($B53,'ELC TECH'!$H:$H,'ELC TECH'!$E:$E)="Non Dispatchable",IFERROR($AX53*_xlfn.XLOOKUP($C53,$BM$1:$BM$3,BU$1:BU$3)/SUMPRODUCT(_xlfn.XLOOKUP($C53,$BM$1:$BM$3,$BN$1:$BY$3),$BN$4:$BY$4),""),
"")</f>
        <v/>
      </c>
      <c r="BV53" s="8" t="str">
        <f>IF(_xlfn.XLOOKUP($B53,'ELC TECH'!$H:$H,'ELC TECH'!$E:$E)="Non Dispatchable",IFERROR($AX53*_xlfn.XLOOKUP($C53,$BM$1:$BM$3,BV$1:BV$3)/SUMPRODUCT(_xlfn.XLOOKUP($C53,$BM$1:$BM$3,$BN$1:$BY$3),$BN$4:$BY$4),""),
"")</f>
        <v/>
      </c>
      <c r="BW53" s="8" t="str">
        <f>IF(_xlfn.XLOOKUP($B53,'ELC TECH'!$H:$H,'ELC TECH'!$E:$E)="Non Dispatchable",IFERROR($AX53*_xlfn.XLOOKUP($C53,$BM$1:$BM$3,BW$1:BW$3)/SUMPRODUCT(_xlfn.XLOOKUP($C53,$BM$1:$BM$3,$BN$1:$BY$3),$BN$4:$BY$4),""),
"")</f>
        <v/>
      </c>
      <c r="BX53" s="8" t="str">
        <f>IF(_xlfn.XLOOKUP($B53,'ELC TECH'!$H:$H,'ELC TECH'!$E:$E)="Non Dispatchable",IFERROR($AX53*_xlfn.XLOOKUP($C53,$BM$1:$BM$3,BX$1:BX$3)/SUMPRODUCT(_xlfn.XLOOKUP($C53,$BM$1:$BM$3,$BN$1:$BY$3),$BN$4:$BY$4),""),
"")</f>
        <v/>
      </c>
      <c r="BY53" s="8" t="str">
        <f>IF(_xlfn.XLOOKUP($B53,'ELC TECH'!$H:$H,'ELC TECH'!$E:$E)="Non Dispatchable",IFERROR($AX53*_xlfn.XLOOKUP($C53,$BM$1:$BM$3,BY$1:BY$3)/SUMPRODUCT(_xlfn.XLOOKUP($C53,$BM$1:$BM$3,$BN$1:$BY$3),$BN$4:$BY$4),""),
"")</f>
        <v/>
      </c>
      <c r="BZ53" s="8" t="str">
        <f>IF(_xlfn.XLOOKUP($B53,'ELC TECH'!$H:$H,'ELC TECH'!$E:$E)="Non Dispatchable",IFERROR($AX53*_xlfn.XLOOKUP($C53,$BM$1:$BM$3,BZ$1:BZ$3)/SUMPRODUCT(_xlfn.XLOOKUP($C53,$BM$1:$BM$3,$BN$1:$BY$3),$BN$4:$BY$4),""),
"")</f>
        <v/>
      </c>
      <c r="CA53" s="8" t="str">
        <f>IF(_xlfn.XLOOKUP($B53,'ELC TECH'!$H:$H,'ELC TECH'!$E:$E)="Non Dispatchable",IFERROR($AX53*_xlfn.XLOOKUP($C53,$BM$1:$BM$3,CA$1:CA$3)/SUMPRODUCT(_xlfn.XLOOKUP($C53,$BM$1:$BM$3,$BN$1:$BY$3),$BN$4:$BY$4),""),
"")</f>
        <v/>
      </c>
      <c r="CB53" s="8" t="str">
        <f>IF(_xlfn.XLOOKUP($B53,'ELC TECH'!$H:$H,'ELC TECH'!$E:$E)="Non Dispatchable",IFERROR($AX53*_xlfn.XLOOKUP($C53,$BM$1:$BM$3,CB$1:CB$3)/SUMPRODUCT(_xlfn.XLOOKUP($C53,$BM$1:$BM$3,$BN$1:$BY$3),$BN$4:$BY$4),""),
"")</f>
        <v/>
      </c>
      <c r="CC53" s="8" t="str">
        <f>IF(_xlfn.XLOOKUP($B53,'ELC TECH'!$H:$H,'ELC TECH'!$E:$E)="Non Dispatchable",IFERROR($AX53*_xlfn.XLOOKUP($C53,$BM$1:$BM$3,CC$1:CC$3)/SUMPRODUCT(_xlfn.XLOOKUP($C53,$BM$1:$BM$3,$BN$1:$BY$3),$BN$4:$BY$4),""),
"")</f>
        <v/>
      </c>
      <c r="CD53" s="8" t="str">
        <f>IF(_xlfn.XLOOKUP($B53,'ELC TECH'!$H:$H,'ELC TECH'!$E:$E)="Non Dispatchable",IFERROR($AX53*_xlfn.XLOOKUP($C53,$BM$1:$BM$3,CD$1:CD$3)/SUMPRODUCT(_xlfn.XLOOKUP($C53,$BM$1:$BM$3,$BN$1:$BY$3),$BN$4:$BY$4),""),
"")</f>
        <v/>
      </c>
      <c r="CE53" s="8" t="str">
        <f>IF(_xlfn.XLOOKUP($B53,'ELC TECH'!$H:$H,'ELC TECH'!$E:$E)="Non Dispatchable",IFERROR($AX53*_xlfn.XLOOKUP($C53,$BM$1:$BM$3,CE$1:CE$3)/SUMPRODUCT(_xlfn.XLOOKUP($C53,$BM$1:$BM$3,$BN$1:$BY$3),$BN$4:$BY$4),""),
"")</f>
        <v/>
      </c>
      <c r="CF53" s="8" t="str">
        <f>IF(_xlfn.XLOOKUP($B53,'ELC TECH'!$H:$H,'ELC TECH'!$E:$E)="Non Dispatchable",IFERROR($AX53*_xlfn.XLOOKUP($C53,$BM$1:$BM$3,CF$1:CF$3)/SUMPRODUCT(_xlfn.XLOOKUP($C53,$BM$1:$BM$3,$BN$1:$BY$3),$BN$4:$BY$4),""),
"")</f>
        <v/>
      </c>
      <c r="CG53" s="8" t="str">
        <f>IF(_xlfn.XLOOKUP($B53,'ELC TECH'!$H:$H,'ELC TECH'!$E:$E)="Non Dispatchable",IFERROR($AX53*_xlfn.XLOOKUP($C53,$BM$1:$BM$3,CG$1:CG$3)/SUMPRODUCT(_xlfn.XLOOKUP($C53,$BM$1:$BM$3,$BN$1:$BY$3),$BN$4:$BY$4),""),
"")</f>
        <v/>
      </c>
      <c r="CH53" s="8" t="str">
        <f>IF(_xlfn.XLOOKUP($B53,'ELC TECH'!$H:$H,'ELC TECH'!$E:$E)="Non Dispatchable",IFERROR($AX53*_xlfn.XLOOKUP($C53,$BM$1:$BM$3,CH$1:CH$3)/SUMPRODUCT(_xlfn.XLOOKUP($C53,$BM$1:$BM$3,$BN$1:$BY$3),$BN$4:$BY$4),""),
"")</f>
        <v/>
      </c>
      <c r="CI53" s="8" t="str">
        <f>IF(_xlfn.XLOOKUP($B53,'ELC TECH'!$H:$H,'ELC TECH'!$E:$E)="Non Dispatchable",IFERROR($AX53*_xlfn.XLOOKUP($C53,$BM$1:$BM$3,CI$1:CI$3)/SUMPRODUCT(_xlfn.XLOOKUP($C53,$BM$1:$BM$3,$BN$1:$BY$3),$BN$4:$BY$4),""),
"")</f>
        <v/>
      </c>
      <c r="CJ53" s="8" t="str">
        <f>IF(_xlfn.XLOOKUP($B53,'ELC TECH'!$H:$H,'ELC TECH'!$E:$E)="Non Dispatchable",IFERROR($AX53*_xlfn.XLOOKUP($C53,$BM$1:$BM$3,CJ$1:CJ$3)/SUMPRODUCT(_xlfn.XLOOKUP($C53,$BM$1:$BM$3,$BN$1:$BY$3),$BN$4:$BY$4),""),
"")</f>
        <v/>
      </c>
      <c r="CK53" s="8" t="str">
        <f>IF(_xlfn.XLOOKUP($B53,'ELC TECH'!$H:$H,'ELC TECH'!$E:$E)="Non Dispatchable",IFERROR($AX53*_xlfn.XLOOKUP($C53,$BM$1:$BM$3,CK$1:CK$3)/SUMPRODUCT(_xlfn.XLOOKUP($C53,$BM$1:$BM$3,$BN$1:$BY$3),$BN$4:$BY$4),""),
"")</f>
        <v/>
      </c>
      <c r="CL53" s="8">
        <f>IF(_xlfn.XLOOKUP($B53,'ELC TECH'!$H:$H,'ELC TECH'!$E:$E)="Storage",CL$4*$BF53,"")</f>
        <v>3.4250000000000003E-2</v>
      </c>
      <c r="CM53" s="8">
        <f>IF(_xlfn.XLOOKUP($B53,'ELC TECH'!$H:$H,'ELC TECH'!$E:$E)="Storage",CM$4*$BF53,"")</f>
        <v>3.9875000000000001E-2</v>
      </c>
      <c r="CN53" s="8">
        <f>IF(_xlfn.XLOOKUP($B53,'ELC TECH'!$H:$H,'ELC TECH'!$E:$E)="Storage",CN$4*$BF53,"")</f>
        <v>6.3833333333333339E-2</v>
      </c>
      <c r="CO53" s="8">
        <f>IF(_xlfn.XLOOKUP($B53,'ELC TECH'!$H:$H,'ELC TECH'!$E:$E)="Storage",CO$4*$BF53,"")</f>
        <v>1.3333333333333335E-3</v>
      </c>
      <c r="CP53" s="8">
        <f>IF(_xlfn.XLOOKUP($B53,'ELC TECH'!$H:$H,'ELC TECH'!$E:$E)="Storage",CP$4*$BF53,"")</f>
        <v>3.3958333333333333E-2</v>
      </c>
      <c r="CQ53" s="8">
        <f>IF(_xlfn.XLOOKUP($B53,'ELC TECH'!$H:$H,'ELC TECH'!$E:$E)="Storage",CQ$4*$BF53,"")</f>
        <v>4.5291666666666668E-2</v>
      </c>
      <c r="CR53" s="8">
        <f>IF(_xlfn.XLOOKUP($B53,'ELC TECH'!$H:$H,'ELC TECH'!$E:$E)="Storage",CR$4*$BF53,"")</f>
        <v>5.7541666666666672E-2</v>
      </c>
      <c r="CS53" s="8">
        <f>IF(_xlfn.XLOOKUP($B53,'ELC TECH'!$H:$H,'ELC TECH'!$E:$E)="Storage",CS$4*$BF53,"")</f>
        <v>1.3333333333333335E-3</v>
      </c>
      <c r="CT53" s="8">
        <f>IF(_xlfn.XLOOKUP($B53,'ELC TECH'!$H:$H,'ELC TECH'!$E:$E)="Storage",CT$4*$BF53,"")</f>
        <v>4.0625000000000001E-2</v>
      </c>
      <c r="CU53" s="8">
        <f>IF(_xlfn.XLOOKUP($B53,'ELC TECH'!$H:$H,'ELC TECH'!$E:$E)="Storage",CU$4*$BF53,"")</f>
        <v>4.5291666666666668E-2</v>
      </c>
      <c r="CV53" s="8">
        <f>IF(_xlfn.XLOOKUP($B53,'ELC TECH'!$H:$H,'ELC TECH'!$E:$E)="Storage",CV$4*$BF53,"")</f>
        <v>5.2208333333333336E-2</v>
      </c>
      <c r="CW53" s="8">
        <f>IF(_xlfn.XLOOKUP($B53,'ELC TECH'!$H:$H,'ELC TECH'!$E:$E)="Storage",CW$4*$BF53,"")</f>
        <v>1.1250000000000001E-3</v>
      </c>
      <c r="CX53" s="8">
        <f>IF(_xlfn.XLOOKUP($B53,'ELC TECH'!$H:$H,'ELC TECH'!$E:$E)="Storage",CX$4*$BF53,"")</f>
        <v>3.4250000000000003E-2</v>
      </c>
      <c r="CY53" s="8">
        <f>IF(_xlfn.XLOOKUP($B53,'ELC TECH'!$H:$H,'ELC TECH'!$E:$E)="Storage",CY$4*$BF53,"")</f>
        <v>3.9875000000000001E-2</v>
      </c>
      <c r="CZ53" s="8">
        <f>IF(_xlfn.XLOOKUP($B53,'ELC TECH'!$H:$H,'ELC TECH'!$E:$E)="Storage",CZ$4*$BF53,"")</f>
        <v>6.3833333333333339E-2</v>
      </c>
      <c r="DA53" s="8">
        <f>IF(_xlfn.XLOOKUP($B53,'ELC TECH'!$H:$H,'ELC TECH'!$E:$E)="Storage",DA$4*$BF53,"")</f>
        <v>1.3333333333333335E-3</v>
      </c>
      <c r="DB53" s="8">
        <f>IF(_xlfn.XLOOKUP($B53,'ELC TECH'!$H:$H,'ELC TECH'!$E:$E)="Storage",DB$4*$BF53,"")</f>
        <v>3.3958333333333333E-2</v>
      </c>
      <c r="DC53" s="8">
        <f>IF(_xlfn.XLOOKUP($B53,'ELC TECH'!$H:$H,'ELC TECH'!$E:$E)="Storage",DC$4*$BF53,"")</f>
        <v>4.5291666666666668E-2</v>
      </c>
      <c r="DD53" s="8">
        <f>IF(_xlfn.XLOOKUP($B53,'ELC TECH'!$H:$H,'ELC TECH'!$E:$E)="Storage",DD$4*$BF53,"")</f>
        <v>5.7541666666666672E-2</v>
      </c>
      <c r="DE53" s="8">
        <f>IF(_xlfn.XLOOKUP($B53,'ELC TECH'!$H:$H,'ELC TECH'!$E:$E)="Storage",DE$4*$BF53,"")</f>
        <v>1.3333333333333335E-3</v>
      </c>
      <c r="DF53" s="8">
        <f>IF(_xlfn.XLOOKUP($B53,'ELC TECH'!$H:$H,'ELC TECH'!$E:$E)="Storage",DF$4*$BF53,"")</f>
        <v>4.0625000000000001E-2</v>
      </c>
      <c r="DG53" s="8">
        <f>IF(_xlfn.XLOOKUP($B53,'ELC TECH'!$H:$H,'ELC TECH'!$E:$E)="Storage",DG$4*$BF53,"")</f>
        <v>4.5291666666666668E-2</v>
      </c>
      <c r="DH53" s="8">
        <f>IF(_xlfn.XLOOKUP($B53,'ELC TECH'!$H:$H,'ELC TECH'!$E:$E)="Storage",DH$4*$BF53,"")</f>
        <v>5.2208333333333336E-2</v>
      </c>
      <c r="DI53" s="8">
        <f>IF(_xlfn.XLOOKUP($B53,'ELC TECH'!$H:$H,'ELC TECH'!$E:$E)="Storage",DI$4*$BF53,"")</f>
        <v>1.1250000000000001E-3</v>
      </c>
    </row>
    <row r="54" spans="2:113" x14ac:dyDescent="0.25">
      <c r="B54" t="str">
        <f>IF('ELC TECH'!I47=0,"*",'ELC TECH'!H47)</f>
        <v>ELCSTGGRDPSH10HC420</v>
      </c>
      <c r="C54" t="str">
        <f>IF(_xlfn.XLOOKUP(_xlfn.XLOOKUP(B54,'ELC TECH'!$H:$H,'ELC TECH'!$G:$G),List!C:C,List!B:B)="STG",D54,"ELC"&amp;_xlfn.XLOOKUP(_xlfn.XLOOKUP(B54,'ELC TECH'!H:H,'ELC TECH'!G:G),List!C:C,List!B:B))</f>
        <v>CELC</v>
      </c>
      <c r="D54" t="s">
        <v>544</v>
      </c>
      <c r="E54">
        <f>_xlfn.XLOOKUP(B54,'ELC TECH'!H:H,'ELC TECH'!D:D)</f>
        <v>2020</v>
      </c>
      <c r="F54">
        <f>_xlfn.XLOOKUP(B54,'ELC TECH'!H:H,'ELC TECH'!K:K)</f>
        <v>100</v>
      </c>
      <c r="G54">
        <f t="shared" si="5"/>
        <v>31.535999999999998</v>
      </c>
      <c r="H54">
        <f>IF(_xlfn.XLOOKUP(B54,'ELC TECH'!$H:$H,'ELC TECH'!$E:$E)="Storage",0.3,IF(_xlfn.XLOOKUP(B54,'ELC TECH'!$H:$H,'ELC TECH'!$E:$E)="Baseload",0.9,IF(_xlfn.XLOOKUP(B54,'ELC TECH'!$H:$H,'ELC TECH'!$E:$E)="Non Dispatchable",0.05,IF(_xlfn.XLOOKUP(B54,'ELC TECH'!$H:$H,'ELC TECH'!$E:$E)="Dispatchable",0.9,1))))</f>
        <v>0.3</v>
      </c>
      <c r="I54" s="13">
        <f>IF(_xlfn.XLOOKUP(B54,'ELC TECH'!H:H,'ELC TECH'!J:J)="","",_xlfn.XLOOKUP(B54,'ELC TECH'!H:H,'ELC TECH'!J:J))</f>
        <v>0</v>
      </c>
      <c r="J54" s="12" t="str">
        <f>IF(_xlfn.XLOOKUP($B54,'ELC TECH'!$H:$H,'ELC TECH'!$E:$E)="Storage","",IF(_xlfn.XLOOKUP($B54,'ELC TECH'!$H:$H,'ELC TECH'!AK:AK)="",1,_xlfn.XLOOKUP($B54,'ELC TECH'!$H:$H,'ELC TECH'!AK:AK)))</f>
        <v/>
      </c>
      <c r="K54" s="12" t="str">
        <f>IF(_xlfn.XLOOKUP($B54,'ELC TECH'!$H:$H,'ELC TECH'!$E:$E)="Storage","",IF(_xlfn.XLOOKUP($B54,'ELC TECH'!$H:$H,'ELC TECH'!AL:AL)="",1,_xlfn.XLOOKUP($B54,'ELC TECH'!$H:$H,'ELC TECH'!AL:AL)))</f>
        <v/>
      </c>
      <c r="L54" s="12" t="str">
        <f>IF(_xlfn.XLOOKUP($B54,'ELC TECH'!$H:$H,'ELC TECH'!$E:$E)="Storage","",IF(_xlfn.XLOOKUP($B54,'ELC TECH'!$H:$H,'ELC TECH'!AM:AM)="",1,_xlfn.XLOOKUP($B54,'ELC TECH'!$H:$H,'ELC TECH'!AM:AM)))</f>
        <v/>
      </c>
      <c r="M54" s="12" t="str">
        <f>IF(_xlfn.XLOOKUP($B54,'ELC TECH'!$H:$H,'ELC TECH'!$E:$E)="Storage","",IF(_xlfn.XLOOKUP($B54,'ELC TECH'!$H:$H,'ELC TECH'!AN:AN)="",1,_xlfn.XLOOKUP($B54,'ELC TECH'!$H:$H,'ELC TECH'!AN:AN)))</f>
        <v/>
      </c>
      <c r="N54" s="12" t="str">
        <f>IF(_xlfn.XLOOKUP($B54,'ELC TECH'!$H:$H,'ELC TECH'!$E:$E)="Storage","",IF(_xlfn.XLOOKUP($B54,'ELC TECH'!$H:$H,'ELC TECH'!AO:AO)="",1,_xlfn.XLOOKUP($B54,'ELC TECH'!$H:$H,'ELC TECH'!AO:AO)))</f>
        <v/>
      </c>
      <c r="O54" s="12" t="str">
        <f>IF(_xlfn.XLOOKUP($B54,'ELC TECH'!$H:$H,'ELC TECH'!$E:$E)="Storage","",IF(_xlfn.XLOOKUP($B54,'ELC TECH'!$H:$H,'ELC TECH'!AP:AP)="",1,_xlfn.XLOOKUP($B54,'ELC TECH'!$H:$H,'ELC TECH'!AP:AP)))</f>
        <v/>
      </c>
      <c r="P54" s="12" t="str">
        <f>IF(_xlfn.XLOOKUP($B54,'ELC TECH'!$H:$H,'ELC TECH'!$E:$E)="Storage","",IF(_xlfn.XLOOKUP($B54,'ELC TECH'!$H:$H,'ELC TECH'!AQ:AQ)="",1,_xlfn.XLOOKUP($B54,'ELC TECH'!$H:$H,'ELC TECH'!AQ:AQ)))</f>
        <v/>
      </c>
      <c r="Q54" s="12" t="str">
        <f>IF(_xlfn.XLOOKUP($B54,'ELC TECH'!$H:$H,'ELC TECH'!$E:$E)="Storage","",IF(_xlfn.XLOOKUP($B54,'ELC TECH'!$H:$H,'ELC TECH'!AR:AR)="",1,_xlfn.XLOOKUP($B54,'ELC TECH'!$H:$H,'ELC TECH'!AR:AR)))</f>
        <v/>
      </c>
      <c r="R54" s="12">
        <f>IF(_xlfn.XLOOKUP($B54,'ELC TECH'!$H:$H,'ELC TECH'!$E:$E)&lt;&gt;"Storage","",IF(_xlfn.XLOOKUP($B54,'ELC TECH'!$H:$H,'ELC TECH'!AK:AK)="",0.8,_xlfn.XLOOKUP($B54,'ELC TECH'!$H:$H,'ELC TECH'!AK:AK)))</f>
        <v>0.8</v>
      </c>
      <c r="S54" s="12">
        <f>IF(_xlfn.XLOOKUP($B54,'ELC TECH'!$H:$H,'ELC TECH'!$E:$E)&lt;&gt;"Storage","",IF(_xlfn.XLOOKUP($B54,'ELC TECH'!$H:$H,'ELC TECH'!AL:AL)="",0.8,_xlfn.XLOOKUP($B54,'ELC TECH'!$H:$H,'ELC TECH'!AL:AL)))</f>
        <v>0.8</v>
      </c>
      <c r="T54" s="12">
        <f>IF(_xlfn.XLOOKUP($B54,'ELC TECH'!$H:$H,'ELC TECH'!$E:$E)&lt;&gt;"Storage","",IF(_xlfn.XLOOKUP($B54,'ELC TECH'!$H:$H,'ELC TECH'!AM:AM)="",0.8,_xlfn.XLOOKUP($B54,'ELC TECH'!$H:$H,'ELC TECH'!AM:AM)))</f>
        <v>0.8</v>
      </c>
      <c r="U54" s="12">
        <f>IF(_xlfn.XLOOKUP($B54,'ELC TECH'!$H:$H,'ELC TECH'!$E:$E)&lt;&gt;"Storage","",IF(_xlfn.XLOOKUP($B54,'ELC TECH'!$H:$H,'ELC TECH'!AN:AN)="",0.8,_xlfn.XLOOKUP($B54,'ELC TECH'!$H:$H,'ELC TECH'!AN:AN)))</f>
        <v>0.8</v>
      </c>
      <c r="V54" s="12">
        <f>IF(_xlfn.XLOOKUP($B54,'ELC TECH'!$H:$H,'ELC TECH'!$E:$E)&lt;&gt;"Storage","",IF(_xlfn.XLOOKUP($B54,'ELC TECH'!$H:$H,'ELC TECH'!AO:AO)="",0.8,_xlfn.XLOOKUP($B54,'ELC TECH'!$H:$H,'ELC TECH'!AO:AO)))</f>
        <v>0.8</v>
      </c>
      <c r="W54" s="12">
        <f>IF(_xlfn.XLOOKUP($B54,'ELC TECH'!$H:$H,'ELC TECH'!$E:$E)&lt;&gt;"Storage","",IF(_xlfn.XLOOKUP($B54,'ELC TECH'!$H:$H,'ELC TECH'!AP:AP)="",0.8,_xlfn.XLOOKUP($B54,'ELC TECH'!$H:$H,'ELC TECH'!AP:AP)))</f>
        <v>0.8</v>
      </c>
      <c r="X54" s="12">
        <f>IF(_xlfn.XLOOKUP($B54,'ELC TECH'!$H:$H,'ELC TECH'!$E:$E)&lt;&gt;"Storage","",IF(_xlfn.XLOOKUP($B54,'ELC TECH'!$H:$H,'ELC TECH'!AQ:AQ)="",0.8,_xlfn.XLOOKUP($B54,'ELC TECH'!$H:$H,'ELC TECH'!AQ:AQ)))</f>
        <v>0.8</v>
      </c>
      <c r="Y54" s="12">
        <f>IF(_xlfn.XLOOKUP($B54,'ELC TECH'!$H:$H,'ELC TECH'!$E:$E)&lt;&gt;"Storage","",IF(_xlfn.XLOOKUP($B54,'ELC TECH'!$H:$H,'ELC TECH'!AR:AR)="",0.8,_xlfn.XLOOKUP($B54,'ELC TECH'!$H:$H,'ELC TECH'!AR:AR)))</f>
        <v>0.8</v>
      </c>
      <c r="Z54" s="15">
        <f>_xlfn.XLOOKUP($B54,'ELC TECH'!$H:$H,'ELC TECH'!M:M)</f>
        <v>3059.5593302806092</v>
      </c>
      <c r="AA54" s="15">
        <f>_xlfn.XLOOKUP($B54,'ELC TECH'!$H:$H,'ELC TECH'!N:N)</f>
        <v>3059.5593302806092</v>
      </c>
      <c r="AB54" s="15">
        <f>_xlfn.XLOOKUP($B54,'ELC TECH'!$H:$H,'ELC TECH'!O:O)</f>
        <v>3059.5593302806092</v>
      </c>
      <c r="AC54" s="15">
        <f>_xlfn.XLOOKUP($B54,'ELC TECH'!$H:$H,'ELC TECH'!P:P)</f>
        <v>3059.5593302806092</v>
      </c>
      <c r="AD54" s="15">
        <f>_xlfn.XLOOKUP($B54,'ELC TECH'!$H:$H,'ELC TECH'!Q:Q)</f>
        <v>3059.5593302806092</v>
      </c>
      <c r="AE54" s="15">
        <f>_xlfn.XLOOKUP($B54,'ELC TECH'!$H:$H,'ELC TECH'!R:R)</f>
        <v>3059.5593302806092</v>
      </c>
      <c r="AF54" s="15">
        <f>_xlfn.XLOOKUP($B54,'ELC TECH'!$H:$H,'ELC TECH'!S:S)</f>
        <v>3059.5593302806092</v>
      </c>
      <c r="AG54" s="15">
        <f>_xlfn.XLOOKUP($B54,'ELC TECH'!$H:$H,'ELC TECH'!T:T)</f>
        <v>3059.5593302806092</v>
      </c>
      <c r="AH54" s="15">
        <f>_xlfn.XLOOKUP($B54,'ELC TECH'!$H:$H,'ELC TECH'!U:U)</f>
        <v>21.100097091380029</v>
      </c>
      <c r="AI54" s="15">
        <f>_xlfn.XLOOKUP($B54,'ELC TECH'!$H:$H,'ELC TECH'!V:V)</f>
        <v>21.100097091380029</v>
      </c>
      <c r="AJ54" s="15">
        <f>_xlfn.XLOOKUP($B54,'ELC TECH'!$H:$H,'ELC TECH'!W:W)</f>
        <v>21.100097091380029</v>
      </c>
      <c r="AK54" s="15">
        <f>_xlfn.XLOOKUP($B54,'ELC TECH'!$H:$H,'ELC TECH'!X:X)</f>
        <v>21.100097091380029</v>
      </c>
      <c r="AL54" s="15">
        <f>_xlfn.XLOOKUP($B54,'ELC TECH'!$H:$H,'ELC TECH'!Y:Y)</f>
        <v>21.100097091380029</v>
      </c>
      <c r="AM54" s="15">
        <f>_xlfn.XLOOKUP($B54,'ELC TECH'!$H:$H,'ELC TECH'!Z:Z)</f>
        <v>21.100097091380029</v>
      </c>
      <c r="AN54" s="15">
        <f>_xlfn.XLOOKUP($B54,'ELC TECH'!$H:$H,'ELC TECH'!AA:AA)</f>
        <v>21.100097091380029</v>
      </c>
      <c r="AO54" s="15">
        <f>_xlfn.XLOOKUP($B54,'ELC TECH'!$H:$H,'ELC TECH'!AB:AB)</f>
        <v>21.100097091380029</v>
      </c>
      <c r="AP54" s="15">
        <f>_xlfn.XLOOKUP($B54,'ELC TECH'!$H:$H,'ELC TECH'!AC:AC)</f>
        <v>0.1696149283872993</v>
      </c>
      <c r="AQ54" s="15">
        <f>_xlfn.XLOOKUP($B54,'ELC TECH'!$H:$H,'ELC TECH'!AD:AD)</f>
        <v>0.1696149283872993</v>
      </c>
      <c r="AR54" s="15">
        <f>_xlfn.XLOOKUP($B54,'ELC TECH'!$H:$H,'ELC TECH'!AE:AE)</f>
        <v>0.1696149283872993</v>
      </c>
      <c r="AS54" s="15">
        <f>_xlfn.XLOOKUP($B54,'ELC TECH'!$H:$H,'ELC TECH'!AF:AF)</f>
        <v>0.1696149283872993</v>
      </c>
      <c r="AT54" s="15">
        <f>_xlfn.XLOOKUP($B54,'ELC TECH'!$H:$H,'ELC TECH'!AG:AG)</f>
        <v>0.1696149283872993</v>
      </c>
      <c r="AU54" s="15">
        <f>_xlfn.XLOOKUP($B54,'ELC TECH'!$H:$H,'ELC TECH'!AH:AH)</f>
        <v>0.1696149283872993</v>
      </c>
      <c r="AV54" s="15">
        <f>_xlfn.XLOOKUP($B54,'ELC TECH'!$H:$H,'ELC TECH'!AI:AI)</f>
        <v>0.1696149283872993</v>
      </c>
      <c r="AW54" s="15">
        <f>_xlfn.XLOOKUP($B54,'ELC TECH'!$H:$H,'ELC TECH'!AJ:AJ)</f>
        <v>0.1696149283872993</v>
      </c>
      <c r="AX54" s="12" t="str">
        <f>IF(_xlfn.XLOOKUP($B54,'ELC TECH'!$H:$H,'ELC TECH'!$E:$E)="Storage","",_xlfn.XLOOKUP($B54,'ELC TECH'!$H:$H,'ELC TECH'!AS:AS))</f>
        <v/>
      </c>
      <c r="AY54" s="12" t="str">
        <f>IF(_xlfn.XLOOKUP($B54,'ELC TECH'!$H:$H,'ELC TECH'!$E:$E)="Storage","",_xlfn.XLOOKUP($B54,'ELC TECH'!$H:$H,'ELC TECH'!AT:AT))</f>
        <v/>
      </c>
      <c r="AZ54" s="12" t="str">
        <f>IF(_xlfn.XLOOKUP($B54,'ELC TECH'!$H:$H,'ELC TECH'!$E:$E)="Storage","",_xlfn.XLOOKUP($B54,'ELC TECH'!$H:$H,'ELC TECH'!AU:AU))</f>
        <v/>
      </c>
      <c r="BA54" s="12" t="str">
        <f>IF(_xlfn.XLOOKUP($B54,'ELC TECH'!$H:$H,'ELC TECH'!$E:$E)="Storage","",_xlfn.XLOOKUP($B54,'ELC TECH'!$H:$H,'ELC TECH'!AV:AV))</f>
        <v/>
      </c>
      <c r="BB54" s="12" t="str">
        <f>IF(_xlfn.XLOOKUP($B54,'ELC TECH'!$H:$H,'ELC TECH'!$E:$E)="Storage","",_xlfn.XLOOKUP($B54,'ELC TECH'!$H:$H,'ELC TECH'!AW:AW))</f>
        <v/>
      </c>
      <c r="BC54" s="12" t="str">
        <f>IF(_xlfn.XLOOKUP($B54,'ELC TECH'!$H:$H,'ELC TECH'!$E:$E)="Storage","",_xlfn.XLOOKUP($B54,'ELC TECH'!$H:$H,'ELC TECH'!AX:AX))</f>
        <v/>
      </c>
      <c r="BD54" s="12" t="str">
        <f>IF(_xlfn.XLOOKUP($B54,'ELC TECH'!$H:$H,'ELC TECH'!$E:$E)="Storage","",_xlfn.XLOOKUP($B54,'ELC TECH'!$H:$H,'ELC TECH'!AY:AY))</f>
        <v/>
      </c>
      <c r="BE54" s="12" t="str">
        <f>IF(_xlfn.XLOOKUP($B54,'ELC TECH'!$H:$H,'ELC TECH'!$E:$E)="Storage","",_xlfn.XLOOKUP($B54,'ELC TECH'!$H:$H,'ELC TECH'!AZ:AZ))</f>
        <v/>
      </c>
      <c r="BF54" s="12">
        <f>IF(_xlfn.XLOOKUP($B54,'ELC TECH'!$H:$H,'ELC TECH'!$E:$E)="Storage",_xlfn.XLOOKUP($B54,'ELC TECH'!$H:$H,'ELC TECH'!AS:AS),"")</f>
        <v>0.41666666666666669</v>
      </c>
      <c r="BG54" s="12">
        <f>IF(_xlfn.XLOOKUP($B54,'ELC TECH'!$H:$H,'ELC TECH'!$E:$E)="Storage",_xlfn.XLOOKUP($B54,'ELC TECH'!$H:$H,'ELC TECH'!AT:AT),"")</f>
        <v>0.41666666666666669</v>
      </c>
      <c r="BH54" s="12">
        <f>IF(_xlfn.XLOOKUP($B54,'ELC TECH'!$H:$H,'ELC TECH'!$E:$E)="Storage",_xlfn.XLOOKUP($B54,'ELC TECH'!$H:$H,'ELC TECH'!AU:AU),"")</f>
        <v>0.41666666666666669</v>
      </c>
      <c r="BI54" s="12">
        <f>IF(_xlfn.XLOOKUP($B54,'ELC TECH'!$H:$H,'ELC TECH'!$E:$E)="Storage",_xlfn.XLOOKUP($B54,'ELC TECH'!$H:$H,'ELC TECH'!AV:AV),"")</f>
        <v>0.41666666666666669</v>
      </c>
      <c r="BJ54" s="12">
        <f>IF(_xlfn.XLOOKUP($B54,'ELC TECH'!$H:$H,'ELC TECH'!$E:$E)="Storage",_xlfn.XLOOKUP($B54,'ELC TECH'!$H:$H,'ELC TECH'!AW:AW),"")</f>
        <v>0.41666666666666669</v>
      </c>
      <c r="BK54" s="12">
        <f>IF(_xlfn.XLOOKUP($B54,'ELC TECH'!$H:$H,'ELC TECH'!$E:$E)="Storage",_xlfn.XLOOKUP($B54,'ELC TECH'!$H:$H,'ELC TECH'!AX:AX),"")</f>
        <v>0.41666666666666669</v>
      </c>
      <c r="BL54" s="12">
        <f>IF(_xlfn.XLOOKUP($B54,'ELC TECH'!$H:$H,'ELC TECH'!$E:$E)="Storage",_xlfn.XLOOKUP($B54,'ELC TECH'!$H:$H,'ELC TECH'!AY:AY),"")</f>
        <v>0.41666666666666669</v>
      </c>
      <c r="BM54" s="12">
        <f>IF(_xlfn.XLOOKUP($B54,'ELC TECH'!$H:$H,'ELC TECH'!$E:$E)="Storage",_xlfn.XLOOKUP($B54,'ELC TECH'!$H:$H,'ELC TECH'!AZ:AZ),"")</f>
        <v>0.41666666666666669</v>
      </c>
      <c r="BN54" s="8" t="str">
        <f>IF(_xlfn.XLOOKUP($B54,'ELC TECH'!$H:$H,'ELC TECH'!$E:$E)="Non Dispatchable",IFERROR($AX54*_xlfn.XLOOKUP($C54,$BM$1:$BM$3,BN$1:BN$3)/SUMPRODUCT(_xlfn.XLOOKUP($C54,$BM$1:$BM$3,$BN$1:$BY$3),$BN$4:$BY$4),""),
"")</f>
        <v/>
      </c>
      <c r="BO54" s="8" t="str">
        <f>IF(_xlfn.XLOOKUP($B54,'ELC TECH'!$H:$H,'ELC TECH'!$E:$E)="Non Dispatchable",IFERROR($AX54*_xlfn.XLOOKUP($C54,$BM$1:$BM$3,BO$1:BO$3)/SUMPRODUCT(_xlfn.XLOOKUP($C54,$BM$1:$BM$3,$BN$1:$BY$3),$BN$4:$BY$4),""),
"")</f>
        <v/>
      </c>
      <c r="BP54" s="8" t="str">
        <f>IF(_xlfn.XLOOKUP($B54,'ELC TECH'!$H:$H,'ELC TECH'!$E:$E)="Non Dispatchable",IFERROR($AX54*_xlfn.XLOOKUP($C54,$BM$1:$BM$3,BP$1:BP$3)/SUMPRODUCT(_xlfn.XLOOKUP($C54,$BM$1:$BM$3,$BN$1:$BY$3),$BN$4:$BY$4),""),
"")</f>
        <v/>
      </c>
      <c r="BQ54" s="8" t="str">
        <f>IF(_xlfn.XLOOKUP($B54,'ELC TECH'!$H:$H,'ELC TECH'!$E:$E)="Non Dispatchable",IFERROR($AX54*_xlfn.XLOOKUP($C54,$BM$1:$BM$3,BQ$1:BQ$3)/SUMPRODUCT(_xlfn.XLOOKUP($C54,$BM$1:$BM$3,$BN$1:$BY$3),$BN$4:$BY$4),""),
"")</f>
        <v/>
      </c>
      <c r="BR54" s="8" t="str">
        <f>IF(_xlfn.XLOOKUP($B54,'ELC TECH'!$H:$H,'ELC TECH'!$E:$E)="Non Dispatchable",IFERROR($AX54*_xlfn.XLOOKUP($C54,$BM$1:$BM$3,BR$1:BR$3)/SUMPRODUCT(_xlfn.XLOOKUP($C54,$BM$1:$BM$3,$BN$1:$BY$3),$BN$4:$BY$4),""),
"")</f>
        <v/>
      </c>
      <c r="BS54" s="8" t="str">
        <f>IF(_xlfn.XLOOKUP($B54,'ELC TECH'!$H:$H,'ELC TECH'!$E:$E)="Non Dispatchable",IFERROR($AX54*_xlfn.XLOOKUP($C54,$BM$1:$BM$3,BS$1:BS$3)/SUMPRODUCT(_xlfn.XLOOKUP($C54,$BM$1:$BM$3,$BN$1:$BY$3),$BN$4:$BY$4),""),
"")</f>
        <v/>
      </c>
      <c r="BT54" s="8" t="str">
        <f>IF(_xlfn.XLOOKUP($B54,'ELC TECH'!$H:$H,'ELC TECH'!$E:$E)="Non Dispatchable",IFERROR($AX54*_xlfn.XLOOKUP($C54,$BM$1:$BM$3,BT$1:BT$3)/SUMPRODUCT(_xlfn.XLOOKUP($C54,$BM$1:$BM$3,$BN$1:$BY$3),$BN$4:$BY$4),""),
"")</f>
        <v/>
      </c>
      <c r="BU54" s="8" t="str">
        <f>IF(_xlfn.XLOOKUP($B54,'ELC TECH'!$H:$H,'ELC TECH'!$E:$E)="Non Dispatchable",IFERROR($AX54*_xlfn.XLOOKUP($C54,$BM$1:$BM$3,BU$1:BU$3)/SUMPRODUCT(_xlfn.XLOOKUP($C54,$BM$1:$BM$3,$BN$1:$BY$3),$BN$4:$BY$4),""),
"")</f>
        <v/>
      </c>
      <c r="BV54" s="8" t="str">
        <f>IF(_xlfn.XLOOKUP($B54,'ELC TECH'!$H:$H,'ELC TECH'!$E:$E)="Non Dispatchable",IFERROR($AX54*_xlfn.XLOOKUP($C54,$BM$1:$BM$3,BV$1:BV$3)/SUMPRODUCT(_xlfn.XLOOKUP($C54,$BM$1:$BM$3,$BN$1:$BY$3),$BN$4:$BY$4),""),
"")</f>
        <v/>
      </c>
      <c r="BW54" s="8" t="str">
        <f>IF(_xlfn.XLOOKUP($B54,'ELC TECH'!$H:$H,'ELC TECH'!$E:$E)="Non Dispatchable",IFERROR($AX54*_xlfn.XLOOKUP($C54,$BM$1:$BM$3,BW$1:BW$3)/SUMPRODUCT(_xlfn.XLOOKUP($C54,$BM$1:$BM$3,$BN$1:$BY$3),$BN$4:$BY$4),""),
"")</f>
        <v/>
      </c>
      <c r="BX54" s="8" t="str">
        <f>IF(_xlfn.XLOOKUP($B54,'ELC TECH'!$H:$H,'ELC TECH'!$E:$E)="Non Dispatchable",IFERROR($AX54*_xlfn.XLOOKUP($C54,$BM$1:$BM$3,BX$1:BX$3)/SUMPRODUCT(_xlfn.XLOOKUP($C54,$BM$1:$BM$3,$BN$1:$BY$3),$BN$4:$BY$4),""),
"")</f>
        <v/>
      </c>
      <c r="BY54" s="8" t="str">
        <f>IF(_xlfn.XLOOKUP($B54,'ELC TECH'!$H:$H,'ELC TECH'!$E:$E)="Non Dispatchable",IFERROR($AX54*_xlfn.XLOOKUP($C54,$BM$1:$BM$3,BY$1:BY$3)/SUMPRODUCT(_xlfn.XLOOKUP($C54,$BM$1:$BM$3,$BN$1:$BY$3),$BN$4:$BY$4),""),
"")</f>
        <v/>
      </c>
      <c r="BZ54" s="8" t="str">
        <f>IF(_xlfn.XLOOKUP($B54,'ELC TECH'!$H:$H,'ELC TECH'!$E:$E)="Non Dispatchable",IFERROR($AX54*_xlfn.XLOOKUP($C54,$BM$1:$BM$3,BZ$1:BZ$3)/SUMPRODUCT(_xlfn.XLOOKUP($C54,$BM$1:$BM$3,$BN$1:$BY$3),$BN$4:$BY$4),""),
"")</f>
        <v/>
      </c>
      <c r="CA54" s="8" t="str">
        <f>IF(_xlfn.XLOOKUP($B54,'ELC TECH'!$H:$H,'ELC TECH'!$E:$E)="Non Dispatchable",IFERROR($AX54*_xlfn.XLOOKUP($C54,$BM$1:$BM$3,CA$1:CA$3)/SUMPRODUCT(_xlfn.XLOOKUP($C54,$BM$1:$BM$3,$BN$1:$BY$3),$BN$4:$BY$4),""),
"")</f>
        <v/>
      </c>
      <c r="CB54" s="8" t="str">
        <f>IF(_xlfn.XLOOKUP($B54,'ELC TECH'!$H:$H,'ELC TECH'!$E:$E)="Non Dispatchable",IFERROR($AX54*_xlfn.XLOOKUP($C54,$BM$1:$BM$3,CB$1:CB$3)/SUMPRODUCT(_xlfn.XLOOKUP($C54,$BM$1:$BM$3,$BN$1:$BY$3),$BN$4:$BY$4),""),
"")</f>
        <v/>
      </c>
      <c r="CC54" s="8" t="str">
        <f>IF(_xlfn.XLOOKUP($B54,'ELC TECH'!$H:$H,'ELC TECH'!$E:$E)="Non Dispatchable",IFERROR($AX54*_xlfn.XLOOKUP($C54,$BM$1:$BM$3,CC$1:CC$3)/SUMPRODUCT(_xlfn.XLOOKUP($C54,$BM$1:$BM$3,$BN$1:$BY$3),$BN$4:$BY$4),""),
"")</f>
        <v/>
      </c>
      <c r="CD54" s="8" t="str">
        <f>IF(_xlfn.XLOOKUP($B54,'ELC TECH'!$H:$H,'ELC TECH'!$E:$E)="Non Dispatchable",IFERROR($AX54*_xlfn.XLOOKUP($C54,$BM$1:$BM$3,CD$1:CD$3)/SUMPRODUCT(_xlfn.XLOOKUP($C54,$BM$1:$BM$3,$BN$1:$BY$3),$BN$4:$BY$4),""),
"")</f>
        <v/>
      </c>
      <c r="CE54" s="8" t="str">
        <f>IF(_xlfn.XLOOKUP($B54,'ELC TECH'!$H:$H,'ELC TECH'!$E:$E)="Non Dispatchable",IFERROR($AX54*_xlfn.XLOOKUP($C54,$BM$1:$BM$3,CE$1:CE$3)/SUMPRODUCT(_xlfn.XLOOKUP($C54,$BM$1:$BM$3,$BN$1:$BY$3),$BN$4:$BY$4),""),
"")</f>
        <v/>
      </c>
      <c r="CF54" s="8" t="str">
        <f>IF(_xlfn.XLOOKUP($B54,'ELC TECH'!$H:$H,'ELC TECH'!$E:$E)="Non Dispatchable",IFERROR($AX54*_xlfn.XLOOKUP($C54,$BM$1:$BM$3,CF$1:CF$3)/SUMPRODUCT(_xlfn.XLOOKUP($C54,$BM$1:$BM$3,$BN$1:$BY$3),$BN$4:$BY$4),""),
"")</f>
        <v/>
      </c>
      <c r="CG54" s="8" t="str">
        <f>IF(_xlfn.XLOOKUP($B54,'ELC TECH'!$H:$H,'ELC TECH'!$E:$E)="Non Dispatchable",IFERROR($AX54*_xlfn.XLOOKUP($C54,$BM$1:$BM$3,CG$1:CG$3)/SUMPRODUCT(_xlfn.XLOOKUP($C54,$BM$1:$BM$3,$BN$1:$BY$3),$BN$4:$BY$4),""),
"")</f>
        <v/>
      </c>
      <c r="CH54" s="8" t="str">
        <f>IF(_xlfn.XLOOKUP($B54,'ELC TECH'!$H:$H,'ELC TECH'!$E:$E)="Non Dispatchable",IFERROR($AX54*_xlfn.XLOOKUP($C54,$BM$1:$BM$3,CH$1:CH$3)/SUMPRODUCT(_xlfn.XLOOKUP($C54,$BM$1:$BM$3,$BN$1:$BY$3),$BN$4:$BY$4),""),
"")</f>
        <v/>
      </c>
      <c r="CI54" s="8" t="str">
        <f>IF(_xlfn.XLOOKUP($B54,'ELC TECH'!$H:$H,'ELC TECH'!$E:$E)="Non Dispatchable",IFERROR($AX54*_xlfn.XLOOKUP($C54,$BM$1:$BM$3,CI$1:CI$3)/SUMPRODUCT(_xlfn.XLOOKUP($C54,$BM$1:$BM$3,$BN$1:$BY$3),$BN$4:$BY$4),""),
"")</f>
        <v/>
      </c>
      <c r="CJ54" s="8" t="str">
        <f>IF(_xlfn.XLOOKUP($B54,'ELC TECH'!$H:$H,'ELC TECH'!$E:$E)="Non Dispatchable",IFERROR($AX54*_xlfn.XLOOKUP($C54,$BM$1:$BM$3,CJ$1:CJ$3)/SUMPRODUCT(_xlfn.XLOOKUP($C54,$BM$1:$BM$3,$BN$1:$BY$3),$BN$4:$BY$4),""),
"")</f>
        <v/>
      </c>
      <c r="CK54" s="8" t="str">
        <f>IF(_xlfn.XLOOKUP($B54,'ELC TECH'!$H:$H,'ELC TECH'!$E:$E)="Non Dispatchable",IFERROR($AX54*_xlfn.XLOOKUP($C54,$BM$1:$BM$3,CK$1:CK$3)/SUMPRODUCT(_xlfn.XLOOKUP($C54,$BM$1:$BM$3,$BN$1:$BY$3),$BN$4:$BY$4),""),
"")</f>
        <v/>
      </c>
      <c r="CL54" s="8">
        <f>IF(_xlfn.XLOOKUP($B54,'ELC TECH'!$H:$H,'ELC TECH'!$E:$E)="Storage",CL$4*$BF54,"")</f>
        <v>3.4250000000000003E-2</v>
      </c>
      <c r="CM54" s="8">
        <f>IF(_xlfn.XLOOKUP($B54,'ELC TECH'!$H:$H,'ELC TECH'!$E:$E)="Storage",CM$4*$BF54,"")</f>
        <v>3.9875000000000001E-2</v>
      </c>
      <c r="CN54" s="8">
        <f>IF(_xlfn.XLOOKUP($B54,'ELC TECH'!$H:$H,'ELC TECH'!$E:$E)="Storage",CN$4*$BF54,"")</f>
        <v>6.3833333333333339E-2</v>
      </c>
      <c r="CO54" s="8">
        <f>IF(_xlfn.XLOOKUP($B54,'ELC TECH'!$H:$H,'ELC TECH'!$E:$E)="Storage",CO$4*$BF54,"")</f>
        <v>1.3333333333333335E-3</v>
      </c>
      <c r="CP54" s="8">
        <f>IF(_xlfn.XLOOKUP($B54,'ELC TECH'!$H:$H,'ELC TECH'!$E:$E)="Storage",CP$4*$BF54,"")</f>
        <v>3.3958333333333333E-2</v>
      </c>
      <c r="CQ54" s="8">
        <f>IF(_xlfn.XLOOKUP($B54,'ELC TECH'!$H:$H,'ELC TECH'!$E:$E)="Storage",CQ$4*$BF54,"")</f>
        <v>4.5291666666666668E-2</v>
      </c>
      <c r="CR54" s="8">
        <f>IF(_xlfn.XLOOKUP($B54,'ELC TECH'!$H:$H,'ELC TECH'!$E:$E)="Storage",CR$4*$BF54,"")</f>
        <v>5.7541666666666672E-2</v>
      </c>
      <c r="CS54" s="8">
        <f>IF(_xlfn.XLOOKUP($B54,'ELC TECH'!$H:$H,'ELC TECH'!$E:$E)="Storage",CS$4*$BF54,"")</f>
        <v>1.3333333333333335E-3</v>
      </c>
      <c r="CT54" s="8">
        <f>IF(_xlfn.XLOOKUP($B54,'ELC TECH'!$H:$H,'ELC TECH'!$E:$E)="Storage",CT$4*$BF54,"")</f>
        <v>4.0625000000000001E-2</v>
      </c>
      <c r="CU54" s="8">
        <f>IF(_xlfn.XLOOKUP($B54,'ELC TECH'!$H:$H,'ELC TECH'!$E:$E)="Storage",CU$4*$BF54,"")</f>
        <v>4.5291666666666668E-2</v>
      </c>
      <c r="CV54" s="8">
        <f>IF(_xlfn.XLOOKUP($B54,'ELC TECH'!$H:$H,'ELC TECH'!$E:$E)="Storage",CV$4*$BF54,"")</f>
        <v>5.2208333333333336E-2</v>
      </c>
      <c r="CW54" s="8">
        <f>IF(_xlfn.XLOOKUP($B54,'ELC TECH'!$H:$H,'ELC TECH'!$E:$E)="Storage",CW$4*$BF54,"")</f>
        <v>1.1250000000000001E-3</v>
      </c>
      <c r="CX54" s="8">
        <f>IF(_xlfn.XLOOKUP($B54,'ELC TECH'!$H:$H,'ELC TECH'!$E:$E)="Storage",CX$4*$BF54,"")</f>
        <v>3.4250000000000003E-2</v>
      </c>
      <c r="CY54" s="8">
        <f>IF(_xlfn.XLOOKUP($B54,'ELC TECH'!$H:$H,'ELC TECH'!$E:$E)="Storage",CY$4*$BF54,"")</f>
        <v>3.9875000000000001E-2</v>
      </c>
      <c r="CZ54" s="8">
        <f>IF(_xlfn.XLOOKUP($B54,'ELC TECH'!$H:$H,'ELC TECH'!$E:$E)="Storage",CZ$4*$BF54,"")</f>
        <v>6.3833333333333339E-2</v>
      </c>
      <c r="DA54" s="8">
        <f>IF(_xlfn.XLOOKUP($B54,'ELC TECH'!$H:$H,'ELC TECH'!$E:$E)="Storage",DA$4*$BF54,"")</f>
        <v>1.3333333333333335E-3</v>
      </c>
      <c r="DB54" s="8">
        <f>IF(_xlfn.XLOOKUP($B54,'ELC TECH'!$H:$H,'ELC TECH'!$E:$E)="Storage",DB$4*$BF54,"")</f>
        <v>3.3958333333333333E-2</v>
      </c>
      <c r="DC54" s="8">
        <f>IF(_xlfn.XLOOKUP($B54,'ELC TECH'!$H:$H,'ELC TECH'!$E:$E)="Storage",DC$4*$BF54,"")</f>
        <v>4.5291666666666668E-2</v>
      </c>
      <c r="DD54" s="8">
        <f>IF(_xlfn.XLOOKUP($B54,'ELC TECH'!$H:$H,'ELC TECH'!$E:$E)="Storage",DD$4*$BF54,"")</f>
        <v>5.7541666666666672E-2</v>
      </c>
      <c r="DE54" s="8">
        <f>IF(_xlfn.XLOOKUP($B54,'ELC TECH'!$H:$H,'ELC TECH'!$E:$E)="Storage",DE$4*$BF54,"")</f>
        <v>1.3333333333333335E-3</v>
      </c>
      <c r="DF54" s="8">
        <f>IF(_xlfn.XLOOKUP($B54,'ELC TECH'!$H:$H,'ELC TECH'!$E:$E)="Storage",DF$4*$BF54,"")</f>
        <v>4.0625000000000001E-2</v>
      </c>
      <c r="DG54" s="8">
        <f>IF(_xlfn.XLOOKUP($B54,'ELC TECH'!$H:$H,'ELC TECH'!$E:$E)="Storage",DG$4*$BF54,"")</f>
        <v>4.5291666666666668E-2</v>
      </c>
      <c r="DH54" s="8">
        <f>IF(_xlfn.XLOOKUP($B54,'ELC TECH'!$H:$H,'ELC TECH'!$E:$E)="Storage",DH$4*$BF54,"")</f>
        <v>5.2208333333333336E-2</v>
      </c>
      <c r="DI54" s="8">
        <f>IF(_xlfn.XLOOKUP($B54,'ELC TECH'!$H:$H,'ELC TECH'!$E:$E)="Storage",DI$4*$BF54,"")</f>
        <v>1.1250000000000001E-3</v>
      </c>
    </row>
    <row r="55" spans="2:113" x14ac:dyDescent="0.25">
      <c r="B55" t="str">
        <f>IF('ELC TECH'!I48=0,"*",'ELC TECH'!H48)</f>
        <v>ELCSTGGRDPSH10HC520</v>
      </c>
      <c r="C55" t="str">
        <f>IF(_xlfn.XLOOKUP(_xlfn.XLOOKUP(B55,'ELC TECH'!$H:$H,'ELC TECH'!$G:$G),List!C:C,List!B:B)="STG",D55,"ELC"&amp;_xlfn.XLOOKUP(_xlfn.XLOOKUP(B55,'ELC TECH'!H:H,'ELC TECH'!G:G),List!C:C,List!B:B))</f>
        <v>CELC</v>
      </c>
      <c r="D55" t="s">
        <v>544</v>
      </c>
      <c r="E55">
        <f>_xlfn.XLOOKUP(B55,'ELC TECH'!H:H,'ELC TECH'!D:D)</f>
        <v>2020</v>
      </c>
      <c r="F55">
        <f>_xlfn.XLOOKUP(B55,'ELC TECH'!H:H,'ELC TECH'!K:K)</f>
        <v>100</v>
      </c>
      <c r="G55">
        <f t="shared" si="5"/>
        <v>31.535999999999998</v>
      </c>
      <c r="H55">
        <f>IF(_xlfn.XLOOKUP(B55,'ELC TECH'!$H:$H,'ELC TECH'!$E:$E)="Storage",0.3,IF(_xlfn.XLOOKUP(B55,'ELC TECH'!$H:$H,'ELC TECH'!$E:$E)="Baseload",0.9,IF(_xlfn.XLOOKUP(B55,'ELC TECH'!$H:$H,'ELC TECH'!$E:$E)="Non Dispatchable",0.05,IF(_xlfn.XLOOKUP(B55,'ELC TECH'!$H:$H,'ELC TECH'!$E:$E)="Dispatchable",0.9,1))))</f>
        <v>0.3</v>
      </c>
      <c r="I55" s="13">
        <f>IF(_xlfn.XLOOKUP(B55,'ELC TECH'!H:H,'ELC TECH'!J:J)="","",_xlfn.XLOOKUP(B55,'ELC TECH'!H:H,'ELC TECH'!J:J))</f>
        <v>0</v>
      </c>
      <c r="J55" s="12" t="str">
        <f>IF(_xlfn.XLOOKUP($B55,'ELC TECH'!$H:$H,'ELC TECH'!$E:$E)="Storage","",IF(_xlfn.XLOOKUP($B55,'ELC TECH'!$H:$H,'ELC TECH'!AK:AK)="",1,_xlfn.XLOOKUP($B55,'ELC TECH'!$H:$H,'ELC TECH'!AK:AK)))</f>
        <v/>
      </c>
      <c r="K55" s="12" t="str">
        <f>IF(_xlfn.XLOOKUP($B55,'ELC TECH'!$H:$H,'ELC TECH'!$E:$E)="Storage","",IF(_xlfn.XLOOKUP($B55,'ELC TECH'!$H:$H,'ELC TECH'!AL:AL)="",1,_xlfn.XLOOKUP($B55,'ELC TECH'!$H:$H,'ELC TECH'!AL:AL)))</f>
        <v/>
      </c>
      <c r="L55" s="12" t="str">
        <f>IF(_xlfn.XLOOKUP($B55,'ELC TECH'!$H:$H,'ELC TECH'!$E:$E)="Storage","",IF(_xlfn.XLOOKUP($B55,'ELC TECH'!$H:$H,'ELC TECH'!AM:AM)="",1,_xlfn.XLOOKUP($B55,'ELC TECH'!$H:$H,'ELC TECH'!AM:AM)))</f>
        <v/>
      </c>
      <c r="M55" s="12" t="str">
        <f>IF(_xlfn.XLOOKUP($B55,'ELC TECH'!$H:$H,'ELC TECH'!$E:$E)="Storage","",IF(_xlfn.XLOOKUP($B55,'ELC TECH'!$H:$H,'ELC TECH'!AN:AN)="",1,_xlfn.XLOOKUP($B55,'ELC TECH'!$H:$H,'ELC TECH'!AN:AN)))</f>
        <v/>
      </c>
      <c r="N55" s="12" t="str">
        <f>IF(_xlfn.XLOOKUP($B55,'ELC TECH'!$H:$H,'ELC TECH'!$E:$E)="Storage","",IF(_xlfn.XLOOKUP($B55,'ELC TECH'!$H:$H,'ELC TECH'!AO:AO)="",1,_xlfn.XLOOKUP($B55,'ELC TECH'!$H:$H,'ELC TECH'!AO:AO)))</f>
        <v/>
      </c>
      <c r="O55" s="12" t="str">
        <f>IF(_xlfn.XLOOKUP($B55,'ELC TECH'!$H:$H,'ELC TECH'!$E:$E)="Storage","",IF(_xlfn.XLOOKUP($B55,'ELC TECH'!$H:$H,'ELC TECH'!AP:AP)="",1,_xlfn.XLOOKUP($B55,'ELC TECH'!$H:$H,'ELC TECH'!AP:AP)))</f>
        <v/>
      </c>
      <c r="P55" s="12" t="str">
        <f>IF(_xlfn.XLOOKUP($B55,'ELC TECH'!$H:$H,'ELC TECH'!$E:$E)="Storage","",IF(_xlfn.XLOOKUP($B55,'ELC TECH'!$H:$H,'ELC TECH'!AQ:AQ)="",1,_xlfn.XLOOKUP($B55,'ELC TECH'!$H:$H,'ELC TECH'!AQ:AQ)))</f>
        <v/>
      </c>
      <c r="Q55" s="12" t="str">
        <f>IF(_xlfn.XLOOKUP($B55,'ELC TECH'!$H:$H,'ELC TECH'!$E:$E)="Storage","",IF(_xlfn.XLOOKUP($B55,'ELC TECH'!$H:$H,'ELC TECH'!AR:AR)="",1,_xlfn.XLOOKUP($B55,'ELC TECH'!$H:$H,'ELC TECH'!AR:AR)))</f>
        <v/>
      </c>
      <c r="R55" s="12">
        <f>IF(_xlfn.XLOOKUP($B55,'ELC TECH'!$H:$H,'ELC TECH'!$E:$E)&lt;&gt;"Storage","",IF(_xlfn.XLOOKUP($B55,'ELC TECH'!$H:$H,'ELC TECH'!AK:AK)="",0.8,_xlfn.XLOOKUP($B55,'ELC TECH'!$H:$H,'ELC TECH'!AK:AK)))</f>
        <v>0.8</v>
      </c>
      <c r="S55" s="12">
        <f>IF(_xlfn.XLOOKUP($B55,'ELC TECH'!$H:$H,'ELC TECH'!$E:$E)&lt;&gt;"Storage","",IF(_xlfn.XLOOKUP($B55,'ELC TECH'!$H:$H,'ELC TECH'!AL:AL)="",0.8,_xlfn.XLOOKUP($B55,'ELC TECH'!$H:$H,'ELC TECH'!AL:AL)))</f>
        <v>0.8</v>
      </c>
      <c r="T55" s="12">
        <f>IF(_xlfn.XLOOKUP($B55,'ELC TECH'!$H:$H,'ELC TECH'!$E:$E)&lt;&gt;"Storage","",IF(_xlfn.XLOOKUP($B55,'ELC TECH'!$H:$H,'ELC TECH'!AM:AM)="",0.8,_xlfn.XLOOKUP($B55,'ELC TECH'!$H:$H,'ELC TECH'!AM:AM)))</f>
        <v>0.8</v>
      </c>
      <c r="U55" s="12">
        <f>IF(_xlfn.XLOOKUP($B55,'ELC TECH'!$H:$H,'ELC TECH'!$E:$E)&lt;&gt;"Storage","",IF(_xlfn.XLOOKUP($B55,'ELC TECH'!$H:$H,'ELC TECH'!AN:AN)="",0.8,_xlfn.XLOOKUP($B55,'ELC TECH'!$H:$H,'ELC TECH'!AN:AN)))</f>
        <v>0.8</v>
      </c>
      <c r="V55" s="12">
        <f>IF(_xlfn.XLOOKUP($B55,'ELC TECH'!$H:$H,'ELC TECH'!$E:$E)&lt;&gt;"Storage","",IF(_xlfn.XLOOKUP($B55,'ELC TECH'!$H:$H,'ELC TECH'!AO:AO)="",0.8,_xlfn.XLOOKUP($B55,'ELC TECH'!$H:$H,'ELC TECH'!AO:AO)))</f>
        <v>0.8</v>
      </c>
      <c r="W55" s="12">
        <f>IF(_xlfn.XLOOKUP($B55,'ELC TECH'!$H:$H,'ELC TECH'!$E:$E)&lt;&gt;"Storage","",IF(_xlfn.XLOOKUP($B55,'ELC TECH'!$H:$H,'ELC TECH'!AP:AP)="",0.8,_xlfn.XLOOKUP($B55,'ELC TECH'!$H:$H,'ELC TECH'!AP:AP)))</f>
        <v>0.8</v>
      </c>
      <c r="X55" s="12">
        <f>IF(_xlfn.XLOOKUP($B55,'ELC TECH'!$H:$H,'ELC TECH'!$E:$E)&lt;&gt;"Storage","",IF(_xlfn.XLOOKUP($B55,'ELC TECH'!$H:$H,'ELC TECH'!AQ:AQ)="",0.8,_xlfn.XLOOKUP($B55,'ELC TECH'!$H:$H,'ELC TECH'!AQ:AQ)))</f>
        <v>0.8</v>
      </c>
      <c r="Y55" s="12">
        <f>IF(_xlfn.XLOOKUP($B55,'ELC TECH'!$H:$H,'ELC TECH'!$E:$E)&lt;&gt;"Storage","",IF(_xlfn.XLOOKUP($B55,'ELC TECH'!$H:$H,'ELC TECH'!AR:AR)="",0.8,_xlfn.XLOOKUP($B55,'ELC TECH'!$H:$H,'ELC TECH'!AR:AR)))</f>
        <v>0.8</v>
      </c>
      <c r="Z55" s="15">
        <f>_xlfn.XLOOKUP($B55,'ELC TECH'!$H:$H,'ELC TECH'!M:M)</f>
        <v>3198.7823529365151</v>
      </c>
      <c r="AA55" s="15">
        <f>_xlfn.XLOOKUP($B55,'ELC TECH'!$H:$H,'ELC TECH'!N:N)</f>
        <v>3198.7823529365151</v>
      </c>
      <c r="AB55" s="15">
        <f>_xlfn.XLOOKUP($B55,'ELC TECH'!$H:$H,'ELC TECH'!O:O)</f>
        <v>3198.7823529365151</v>
      </c>
      <c r="AC55" s="15">
        <f>_xlfn.XLOOKUP($B55,'ELC TECH'!$H:$H,'ELC TECH'!P:P)</f>
        <v>3198.7823529365151</v>
      </c>
      <c r="AD55" s="15">
        <f>_xlfn.XLOOKUP($B55,'ELC TECH'!$H:$H,'ELC TECH'!Q:Q)</f>
        <v>3198.7823529365151</v>
      </c>
      <c r="AE55" s="15">
        <f>_xlfn.XLOOKUP($B55,'ELC TECH'!$H:$H,'ELC TECH'!R:R)</f>
        <v>3198.7823529365151</v>
      </c>
      <c r="AF55" s="15">
        <f>_xlfn.XLOOKUP($B55,'ELC TECH'!$H:$H,'ELC TECH'!S:S)</f>
        <v>3198.7823529365151</v>
      </c>
      <c r="AG55" s="15">
        <f>_xlfn.XLOOKUP($B55,'ELC TECH'!$H:$H,'ELC TECH'!T:T)</f>
        <v>3198.7823529365151</v>
      </c>
      <c r="AH55" s="15">
        <f>_xlfn.XLOOKUP($B55,'ELC TECH'!$H:$H,'ELC TECH'!U:U)</f>
        <v>21.100097091380029</v>
      </c>
      <c r="AI55" s="15">
        <f>_xlfn.XLOOKUP($B55,'ELC TECH'!$H:$H,'ELC TECH'!V:V)</f>
        <v>21.100097091380029</v>
      </c>
      <c r="AJ55" s="15">
        <f>_xlfn.XLOOKUP($B55,'ELC TECH'!$H:$H,'ELC TECH'!W:W)</f>
        <v>21.100097091380029</v>
      </c>
      <c r="AK55" s="15">
        <f>_xlfn.XLOOKUP($B55,'ELC TECH'!$H:$H,'ELC TECH'!X:X)</f>
        <v>21.100097091380029</v>
      </c>
      <c r="AL55" s="15">
        <f>_xlfn.XLOOKUP($B55,'ELC TECH'!$H:$H,'ELC TECH'!Y:Y)</f>
        <v>21.100097091380029</v>
      </c>
      <c r="AM55" s="15">
        <f>_xlfn.XLOOKUP($B55,'ELC TECH'!$H:$H,'ELC TECH'!Z:Z)</f>
        <v>21.100097091380029</v>
      </c>
      <c r="AN55" s="15">
        <f>_xlfn.XLOOKUP($B55,'ELC TECH'!$H:$H,'ELC TECH'!AA:AA)</f>
        <v>21.100097091380029</v>
      </c>
      <c r="AO55" s="15">
        <f>_xlfn.XLOOKUP($B55,'ELC TECH'!$H:$H,'ELC TECH'!AB:AB)</f>
        <v>21.100097091380029</v>
      </c>
      <c r="AP55" s="15">
        <f>_xlfn.XLOOKUP($B55,'ELC TECH'!$H:$H,'ELC TECH'!AC:AC)</f>
        <v>0.1696149283872993</v>
      </c>
      <c r="AQ55" s="15">
        <f>_xlfn.XLOOKUP($B55,'ELC TECH'!$H:$H,'ELC TECH'!AD:AD)</f>
        <v>0.1696149283872993</v>
      </c>
      <c r="AR55" s="15">
        <f>_xlfn.XLOOKUP($B55,'ELC TECH'!$H:$H,'ELC TECH'!AE:AE)</f>
        <v>0.1696149283872993</v>
      </c>
      <c r="AS55" s="15">
        <f>_xlfn.XLOOKUP($B55,'ELC TECH'!$H:$H,'ELC TECH'!AF:AF)</f>
        <v>0.1696149283872993</v>
      </c>
      <c r="AT55" s="15">
        <f>_xlfn.XLOOKUP($B55,'ELC TECH'!$H:$H,'ELC TECH'!AG:AG)</f>
        <v>0.1696149283872993</v>
      </c>
      <c r="AU55" s="15">
        <f>_xlfn.XLOOKUP($B55,'ELC TECH'!$H:$H,'ELC TECH'!AH:AH)</f>
        <v>0.1696149283872993</v>
      </c>
      <c r="AV55" s="15">
        <f>_xlfn.XLOOKUP($B55,'ELC TECH'!$H:$H,'ELC TECH'!AI:AI)</f>
        <v>0.1696149283872993</v>
      </c>
      <c r="AW55" s="15">
        <f>_xlfn.XLOOKUP($B55,'ELC TECH'!$H:$H,'ELC TECH'!AJ:AJ)</f>
        <v>0.1696149283872993</v>
      </c>
      <c r="AX55" s="12" t="str">
        <f>IF(_xlfn.XLOOKUP($B55,'ELC TECH'!$H:$H,'ELC TECH'!$E:$E)="Storage","",_xlfn.XLOOKUP($B55,'ELC TECH'!$H:$H,'ELC TECH'!AS:AS))</f>
        <v/>
      </c>
      <c r="AY55" s="12" t="str">
        <f>IF(_xlfn.XLOOKUP($B55,'ELC TECH'!$H:$H,'ELC TECH'!$E:$E)="Storage","",_xlfn.XLOOKUP($B55,'ELC TECH'!$H:$H,'ELC TECH'!AT:AT))</f>
        <v/>
      </c>
      <c r="AZ55" s="12" t="str">
        <f>IF(_xlfn.XLOOKUP($B55,'ELC TECH'!$H:$H,'ELC TECH'!$E:$E)="Storage","",_xlfn.XLOOKUP($B55,'ELC TECH'!$H:$H,'ELC TECH'!AU:AU))</f>
        <v/>
      </c>
      <c r="BA55" s="12" t="str">
        <f>IF(_xlfn.XLOOKUP($B55,'ELC TECH'!$H:$H,'ELC TECH'!$E:$E)="Storage","",_xlfn.XLOOKUP($B55,'ELC TECH'!$H:$H,'ELC TECH'!AV:AV))</f>
        <v/>
      </c>
      <c r="BB55" s="12" t="str">
        <f>IF(_xlfn.XLOOKUP($B55,'ELC TECH'!$H:$H,'ELC TECH'!$E:$E)="Storage","",_xlfn.XLOOKUP($B55,'ELC TECH'!$H:$H,'ELC TECH'!AW:AW))</f>
        <v/>
      </c>
      <c r="BC55" s="12" t="str">
        <f>IF(_xlfn.XLOOKUP($B55,'ELC TECH'!$H:$H,'ELC TECH'!$E:$E)="Storage","",_xlfn.XLOOKUP($B55,'ELC TECH'!$H:$H,'ELC TECH'!AX:AX))</f>
        <v/>
      </c>
      <c r="BD55" s="12" t="str">
        <f>IF(_xlfn.XLOOKUP($B55,'ELC TECH'!$H:$H,'ELC TECH'!$E:$E)="Storage","",_xlfn.XLOOKUP($B55,'ELC TECH'!$H:$H,'ELC TECH'!AY:AY))</f>
        <v/>
      </c>
      <c r="BE55" s="12" t="str">
        <f>IF(_xlfn.XLOOKUP($B55,'ELC TECH'!$H:$H,'ELC TECH'!$E:$E)="Storage","",_xlfn.XLOOKUP($B55,'ELC TECH'!$H:$H,'ELC TECH'!AZ:AZ))</f>
        <v/>
      </c>
      <c r="BF55" s="12">
        <f>IF(_xlfn.XLOOKUP($B55,'ELC TECH'!$H:$H,'ELC TECH'!$E:$E)="Storage",_xlfn.XLOOKUP($B55,'ELC TECH'!$H:$H,'ELC TECH'!AS:AS),"")</f>
        <v>0.41666666666666669</v>
      </c>
      <c r="BG55" s="12">
        <f>IF(_xlfn.XLOOKUP($B55,'ELC TECH'!$H:$H,'ELC TECH'!$E:$E)="Storage",_xlfn.XLOOKUP($B55,'ELC TECH'!$H:$H,'ELC TECH'!AT:AT),"")</f>
        <v>0.41666666666666669</v>
      </c>
      <c r="BH55" s="12">
        <f>IF(_xlfn.XLOOKUP($B55,'ELC TECH'!$H:$H,'ELC TECH'!$E:$E)="Storage",_xlfn.XLOOKUP($B55,'ELC TECH'!$H:$H,'ELC TECH'!AU:AU),"")</f>
        <v>0.41666666666666669</v>
      </c>
      <c r="BI55" s="12">
        <f>IF(_xlfn.XLOOKUP($B55,'ELC TECH'!$H:$H,'ELC TECH'!$E:$E)="Storage",_xlfn.XLOOKUP($B55,'ELC TECH'!$H:$H,'ELC TECH'!AV:AV),"")</f>
        <v>0.41666666666666669</v>
      </c>
      <c r="BJ55" s="12">
        <f>IF(_xlfn.XLOOKUP($B55,'ELC TECH'!$H:$H,'ELC TECH'!$E:$E)="Storage",_xlfn.XLOOKUP($B55,'ELC TECH'!$H:$H,'ELC TECH'!AW:AW),"")</f>
        <v>0.41666666666666669</v>
      </c>
      <c r="BK55" s="12">
        <f>IF(_xlfn.XLOOKUP($B55,'ELC TECH'!$H:$H,'ELC TECH'!$E:$E)="Storage",_xlfn.XLOOKUP($B55,'ELC TECH'!$H:$H,'ELC TECH'!AX:AX),"")</f>
        <v>0.41666666666666669</v>
      </c>
      <c r="BL55" s="12">
        <f>IF(_xlfn.XLOOKUP($B55,'ELC TECH'!$H:$H,'ELC TECH'!$E:$E)="Storage",_xlfn.XLOOKUP($B55,'ELC TECH'!$H:$H,'ELC TECH'!AY:AY),"")</f>
        <v>0.41666666666666669</v>
      </c>
      <c r="BM55" s="12">
        <f>IF(_xlfn.XLOOKUP($B55,'ELC TECH'!$H:$H,'ELC TECH'!$E:$E)="Storage",_xlfn.XLOOKUP($B55,'ELC TECH'!$H:$H,'ELC TECH'!AZ:AZ),"")</f>
        <v>0.41666666666666669</v>
      </c>
      <c r="BN55" s="8" t="str">
        <f>IF(_xlfn.XLOOKUP($B55,'ELC TECH'!$H:$H,'ELC TECH'!$E:$E)="Non Dispatchable",IFERROR($AX55*_xlfn.XLOOKUP($C55,$BM$1:$BM$3,BN$1:BN$3)/SUMPRODUCT(_xlfn.XLOOKUP($C55,$BM$1:$BM$3,$BN$1:$BY$3),$BN$4:$BY$4),""),
"")</f>
        <v/>
      </c>
      <c r="BO55" s="8" t="str">
        <f>IF(_xlfn.XLOOKUP($B55,'ELC TECH'!$H:$H,'ELC TECH'!$E:$E)="Non Dispatchable",IFERROR($AX55*_xlfn.XLOOKUP($C55,$BM$1:$BM$3,BO$1:BO$3)/SUMPRODUCT(_xlfn.XLOOKUP($C55,$BM$1:$BM$3,$BN$1:$BY$3),$BN$4:$BY$4),""),
"")</f>
        <v/>
      </c>
      <c r="BP55" s="8" t="str">
        <f>IF(_xlfn.XLOOKUP($B55,'ELC TECH'!$H:$H,'ELC TECH'!$E:$E)="Non Dispatchable",IFERROR($AX55*_xlfn.XLOOKUP($C55,$BM$1:$BM$3,BP$1:BP$3)/SUMPRODUCT(_xlfn.XLOOKUP($C55,$BM$1:$BM$3,$BN$1:$BY$3),$BN$4:$BY$4),""),
"")</f>
        <v/>
      </c>
      <c r="BQ55" s="8" t="str">
        <f>IF(_xlfn.XLOOKUP($B55,'ELC TECH'!$H:$H,'ELC TECH'!$E:$E)="Non Dispatchable",IFERROR($AX55*_xlfn.XLOOKUP($C55,$BM$1:$BM$3,BQ$1:BQ$3)/SUMPRODUCT(_xlfn.XLOOKUP($C55,$BM$1:$BM$3,$BN$1:$BY$3),$BN$4:$BY$4),""),
"")</f>
        <v/>
      </c>
      <c r="BR55" s="8" t="str">
        <f>IF(_xlfn.XLOOKUP($B55,'ELC TECH'!$H:$H,'ELC TECH'!$E:$E)="Non Dispatchable",IFERROR($AX55*_xlfn.XLOOKUP($C55,$BM$1:$BM$3,BR$1:BR$3)/SUMPRODUCT(_xlfn.XLOOKUP($C55,$BM$1:$BM$3,$BN$1:$BY$3),$BN$4:$BY$4),""),
"")</f>
        <v/>
      </c>
      <c r="BS55" s="8" t="str">
        <f>IF(_xlfn.XLOOKUP($B55,'ELC TECH'!$H:$H,'ELC TECH'!$E:$E)="Non Dispatchable",IFERROR($AX55*_xlfn.XLOOKUP($C55,$BM$1:$BM$3,BS$1:BS$3)/SUMPRODUCT(_xlfn.XLOOKUP($C55,$BM$1:$BM$3,$BN$1:$BY$3),$BN$4:$BY$4),""),
"")</f>
        <v/>
      </c>
      <c r="BT55" s="8" t="str">
        <f>IF(_xlfn.XLOOKUP($B55,'ELC TECH'!$H:$H,'ELC TECH'!$E:$E)="Non Dispatchable",IFERROR($AX55*_xlfn.XLOOKUP($C55,$BM$1:$BM$3,BT$1:BT$3)/SUMPRODUCT(_xlfn.XLOOKUP($C55,$BM$1:$BM$3,$BN$1:$BY$3),$BN$4:$BY$4),""),
"")</f>
        <v/>
      </c>
      <c r="BU55" s="8" t="str">
        <f>IF(_xlfn.XLOOKUP($B55,'ELC TECH'!$H:$H,'ELC TECH'!$E:$E)="Non Dispatchable",IFERROR($AX55*_xlfn.XLOOKUP($C55,$BM$1:$BM$3,BU$1:BU$3)/SUMPRODUCT(_xlfn.XLOOKUP($C55,$BM$1:$BM$3,$BN$1:$BY$3),$BN$4:$BY$4),""),
"")</f>
        <v/>
      </c>
      <c r="BV55" s="8" t="str">
        <f>IF(_xlfn.XLOOKUP($B55,'ELC TECH'!$H:$H,'ELC TECH'!$E:$E)="Non Dispatchable",IFERROR($AX55*_xlfn.XLOOKUP($C55,$BM$1:$BM$3,BV$1:BV$3)/SUMPRODUCT(_xlfn.XLOOKUP($C55,$BM$1:$BM$3,$BN$1:$BY$3),$BN$4:$BY$4),""),
"")</f>
        <v/>
      </c>
      <c r="BW55" s="8" t="str">
        <f>IF(_xlfn.XLOOKUP($B55,'ELC TECH'!$H:$H,'ELC TECH'!$E:$E)="Non Dispatchable",IFERROR($AX55*_xlfn.XLOOKUP($C55,$BM$1:$BM$3,BW$1:BW$3)/SUMPRODUCT(_xlfn.XLOOKUP($C55,$BM$1:$BM$3,$BN$1:$BY$3),$BN$4:$BY$4),""),
"")</f>
        <v/>
      </c>
      <c r="BX55" s="8" t="str">
        <f>IF(_xlfn.XLOOKUP($B55,'ELC TECH'!$H:$H,'ELC TECH'!$E:$E)="Non Dispatchable",IFERROR($AX55*_xlfn.XLOOKUP($C55,$BM$1:$BM$3,BX$1:BX$3)/SUMPRODUCT(_xlfn.XLOOKUP($C55,$BM$1:$BM$3,$BN$1:$BY$3),$BN$4:$BY$4),""),
"")</f>
        <v/>
      </c>
      <c r="BY55" s="8" t="str">
        <f>IF(_xlfn.XLOOKUP($B55,'ELC TECH'!$H:$H,'ELC TECH'!$E:$E)="Non Dispatchable",IFERROR($AX55*_xlfn.XLOOKUP($C55,$BM$1:$BM$3,BY$1:BY$3)/SUMPRODUCT(_xlfn.XLOOKUP($C55,$BM$1:$BM$3,$BN$1:$BY$3),$BN$4:$BY$4),""),
"")</f>
        <v/>
      </c>
      <c r="BZ55" s="8" t="str">
        <f>IF(_xlfn.XLOOKUP($B55,'ELC TECH'!$H:$H,'ELC TECH'!$E:$E)="Non Dispatchable",IFERROR($AX55*_xlfn.XLOOKUP($C55,$BM$1:$BM$3,BZ$1:BZ$3)/SUMPRODUCT(_xlfn.XLOOKUP($C55,$BM$1:$BM$3,$BN$1:$BY$3),$BN$4:$BY$4),""),
"")</f>
        <v/>
      </c>
      <c r="CA55" s="8" t="str">
        <f>IF(_xlfn.XLOOKUP($B55,'ELC TECH'!$H:$H,'ELC TECH'!$E:$E)="Non Dispatchable",IFERROR($AX55*_xlfn.XLOOKUP($C55,$BM$1:$BM$3,CA$1:CA$3)/SUMPRODUCT(_xlfn.XLOOKUP($C55,$BM$1:$BM$3,$BN$1:$BY$3),$BN$4:$BY$4),""),
"")</f>
        <v/>
      </c>
      <c r="CB55" s="8" t="str">
        <f>IF(_xlfn.XLOOKUP($B55,'ELC TECH'!$H:$H,'ELC TECH'!$E:$E)="Non Dispatchable",IFERROR($AX55*_xlfn.XLOOKUP($C55,$BM$1:$BM$3,CB$1:CB$3)/SUMPRODUCT(_xlfn.XLOOKUP($C55,$BM$1:$BM$3,$BN$1:$BY$3),$BN$4:$BY$4),""),
"")</f>
        <v/>
      </c>
      <c r="CC55" s="8" t="str">
        <f>IF(_xlfn.XLOOKUP($B55,'ELC TECH'!$H:$H,'ELC TECH'!$E:$E)="Non Dispatchable",IFERROR($AX55*_xlfn.XLOOKUP($C55,$BM$1:$BM$3,CC$1:CC$3)/SUMPRODUCT(_xlfn.XLOOKUP($C55,$BM$1:$BM$3,$BN$1:$BY$3),$BN$4:$BY$4),""),
"")</f>
        <v/>
      </c>
      <c r="CD55" s="8" t="str">
        <f>IF(_xlfn.XLOOKUP($B55,'ELC TECH'!$H:$H,'ELC TECH'!$E:$E)="Non Dispatchable",IFERROR($AX55*_xlfn.XLOOKUP($C55,$BM$1:$BM$3,CD$1:CD$3)/SUMPRODUCT(_xlfn.XLOOKUP($C55,$BM$1:$BM$3,$BN$1:$BY$3),$BN$4:$BY$4),""),
"")</f>
        <v/>
      </c>
      <c r="CE55" s="8" t="str">
        <f>IF(_xlfn.XLOOKUP($B55,'ELC TECH'!$H:$H,'ELC TECH'!$E:$E)="Non Dispatchable",IFERROR($AX55*_xlfn.XLOOKUP($C55,$BM$1:$BM$3,CE$1:CE$3)/SUMPRODUCT(_xlfn.XLOOKUP($C55,$BM$1:$BM$3,$BN$1:$BY$3),$BN$4:$BY$4),""),
"")</f>
        <v/>
      </c>
      <c r="CF55" s="8" t="str">
        <f>IF(_xlfn.XLOOKUP($B55,'ELC TECH'!$H:$H,'ELC TECH'!$E:$E)="Non Dispatchable",IFERROR($AX55*_xlfn.XLOOKUP($C55,$BM$1:$BM$3,CF$1:CF$3)/SUMPRODUCT(_xlfn.XLOOKUP($C55,$BM$1:$BM$3,$BN$1:$BY$3),$BN$4:$BY$4),""),
"")</f>
        <v/>
      </c>
      <c r="CG55" s="8" t="str">
        <f>IF(_xlfn.XLOOKUP($B55,'ELC TECH'!$H:$H,'ELC TECH'!$E:$E)="Non Dispatchable",IFERROR($AX55*_xlfn.XLOOKUP($C55,$BM$1:$BM$3,CG$1:CG$3)/SUMPRODUCT(_xlfn.XLOOKUP($C55,$BM$1:$BM$3,$BN$1:$BY$3),$BN$4:$BY$4),""),
"")</f>
        <v/>
      </c>
      <c r="CH55" s="8" t="str">
        <f>IF(_xlfn.XLOOKUP($B55,'ELC TECH'!$H:$H,'ELC TECH'!$E:$E)="Non Dispatchable",IFERROR($AX55*_xlfn.XLOOKUP($C55,$BM$1:$BM$3,CH$1:CH$3)/SUMPRODUCT(_xlfn.XLOOKUP($C55,$BM$1:$BM$3,$BN$1:$BY$3),$BN$4:$BY$4),""),
"")</f>
        <v/>
      </c>
      <c r="CI55" s="8" t="str">
        <f>IF(_xlfn.XLOOKUP($B55,'ELC TECH'!$H:$H,'ELC TECH'!$E:$E)="Non Dispatchable",IFERROR($AX55*_xlfn.XLOOKUP($C55,$BM$1:$BM$3,CI$1:CI$3)/SUMPRODUCT(_xlfn.XLOOKUP($C55,$BM$1:$BM$3,$BN$1:$BY$3),$BN$4:$BY$4),""),
"")</f>
        <v/>
      </c>
      <c r="CJ55" s="8" t="str">
        <f>IF(_xlfn.XLOOKUP($B55,'ELC TECH'!$H:$H,'ELC TECH'!$E:$E)="Non Dispatchable",IFERROR($AX55*_xlfn.XLOOKUP($C55,$BM$1:$BM$3,CJ$1:CJ$3)/SUMPRODUCT(_xlfn.XLOOKUP($C55,$BM$1:$BM$3,$BN$1:$BY$3),$BN$4:$BY$4),""),
"")</f>
        <v/>
      </c>
      <c r="CK55" s="8" t="str">
        <f>IF(_xlfn.XLOOKUP($B55,'ELC TECH'!$H:$H,'ELC TECH'!$E:$E)="Non Dispatchable",IFERROR($AX55*_xlfn.XLOOKUP($C55,$BM$1:$BM$3,CK$1:CK$3)/SUMPRODUCT(_xlfn.XLOOKUP($C55,$BM$1:$BM$3,$BN$1:$BY$3),$BN$4:$BY$4),""),
"")</f>
        <v/>
      </c>
      <c r="CL55" s="8">
        <f>IF(_xlfn.XLOOKUP($B55,'ELC TECH'!$H:$H,'ELC TECH'!$E:$E)="Storage",CL$4*$BF55,"")</f>
        <v>3.4250000000000003E-2</v>
      </c>
      <c r="CM55" s="8">
        <f>IF(_xlfn.XLOOKUP($B55,'ELC TECH'!$H:$H,'ELC TECH'!$E:$E)="Storage",CM$4*$BF55,"")</f>
        <v>3.9875000000000001E-2</v>
      </c>
      <c r="CN55" s="8">
        <f>IF(_xlfn.XLOOKUP($B55,'ELC TECH'!$H:$H,'ELC TECH'!$E:$E)="Storage",CN$4*$BF55,"")</f>
        <v>6.3833333333333339E-2</v>
      </c>
      <c r="CO55" s="8">
        <f>IF(_xlfn.XLOOKUP($B55,'ELC TECH'!$H:$H,'ELC TECH'!$E:$E)="Storage",CO$4*$BF55,"")</f>
        <v>1.3333333333333335E-3</v>
      </c>
      <c r="CP55" s="8">
        <f>IF(_xlfn.XLOOKUP($B55,'ELC TECH'!$H:$H,'ELC TECH'!$E:$E)="Storage",CP$4*$BF55,"")</f>
        <v>3.3958333333333333E-2</v>
      </c>
      <c r="CQ55" s="8">
        <f>IF(_xlfn.XLOOKUP($B55,'ELC TECH'!$H:$H,'ELC TECH'!$E:$E)="Storage",CQ$4*$BF55,"")</f>
        <v>4.5291666666666668E-2</v>
      </c>
      <c r="CR55" s="8">
        <f>IF(_xlfn.XLOOKUP($B55,'ELC TECH'!$H:$H,'ELC TECH'!$E:$E)="Storage",CR$4*$BF55,"")</f>
        <v>5.7541666666666672E-2</v>
      </c>
      <c r="CS55" s="8">
        <f>IF(_xlfn.XLOOKUP($B55,'ELC TECH'!$H:$H,'ELC TECH'!$E:$E)="Storage",CS$4*$BF55,"")</f>
        <v>1.3333333333333335E-3</v>
      </c>
      <c r="CT55" s="8">
        <f>IF(_xlfn.XLOOKUP($B55,'ELC TECH'!$H:$H,'ELC TECH'!$E:$E)="Storage",CT$4*$BF55,"")</f>
        <v>4.0625000000000001E-2</v>
      </c>
      <c r="CU55" s="8">
        <f>IF(_xlfn.XLOOKUP($B55,'ELC TECH'!$H:$H,'ELC TECH'!$E:$E)="Storage",CU$4*$BF55,"")</f>
        <v>4.5291666666666668E-2</v>
      </c>
      <c r="CV55" s="8">
        <f>IF(_xlfn.XLOOKUP($B55,'ELC TECH'!$H:$H,'ELC TECH'!$E:$E)="Storage",CV$4*$BF55,"")</f>
        <v>5.2208333333333336E-2</v>
      </c>
      <c r="CW55" s="8">
        <f>IF(_xlfn.XLOOKUP($B55,'ELC TECH'!$H:$H,'ELC TECH'!$E:$E)="Storage",CW$4*$BF55,"")</f>
        <v>1.1250000000000001E-3</v>
      </c>
      <c r="CX55" s="8">
        <f>IF(_xlfn.XLOOKUP($B55,'ELC TECH'!$H:$H,'ELC TECH'!$E:$E)="Storage",CX$4*$BF55,"")</f>
        <v>3.4250000000000003E-2</v>
      </c>
      <c r="CY55" s="8">
        <f>IF(_xlfn.XLOOKUP($B55,'ELC TECH'!$H:$H,'ELC TECH'!$E:$E)="Storage",CY$4*$BF55,"")</f>
        <v>3.9875000000000001E-2</v>
      </c>
      <c r="CZ55" s="8">
        <f>IF(_xlfn.XLOOKUP($B55,'ELC TECH'!$H:$H,'ELC TECH'!$E:$E)="Storage",CZ$4*$BF55,"")</f>
        <v>6.3833333333333339E-2</v>
      </c>
      <c r="DA55" s="8">
        <f>IF(_xlfn.XLOOKUP($B55,'ELC TECH'!$H:$H,'ELC TECH'!$E:$E)="Storage",DA$4*$BF55,"")</f>
        <v>1.3333333333333335E-3</v>
      </c>
      <c r="DB55" s="8">
        <f>IF(_xlfn.XLOOKUP($B55,'ELC TECH'!$H:$H,'ELC TECH'!$E:$E)="Storage",DB$4*$BF55,"")</f>
        <v>3.3958333333333333E-2</v>
      </c>
      <c r="DC55" s="8">
        <f>IF(_xlfn.XLOOKUP($B55,'ELC TECH'!$H:$H,'ELC TECH'!$E:$E)="Storage",DC$4*$BF55,"")</f>
        <v>4.5291666666666668E-2</v>
      </c>
      <c r="DD55" s="8">
        <f>IF(_xlfn.XLOOKUP($B55,'ELC TECH'!$H:$H,'ELC TECH'!$E:$E)="Storage",DD$4*$BF55,"")</f>
        <v>5.7541666666666672E-2</v>
      </c>
      <c r="DE55" s="8">
        <f>IF(_xlfn.XLOOKUP($B55,'ELC TECH'!$H:$H,'ELC TECH'!$E:$E)="Storage",DE$4*$BF55,"")</f>
        <v>1.3333333333333335E-3</v>
      </c>
      <c r="DF55" s="8">
        <f>IF(_xlfn.XLOOKUP($B55,'ELC TECH'!$H:$H,'ELC TECH'!$E:$E)="Storage",DF$4*$BF55,"")</f>
        <v>4.0625000000000001E-2</v>
      </c>
      <c r="DG55" s="8">
        <f>IF(_xlfn.XLOOKUP($B55,'ELC TECH'!$H:$H,'ELC TECH'!$E:$E)="Storage",DG$4*$BF55,"")</f>
        <v>4.5291666666666668E-2</v>
      </c>
      <c r="DH55" s="8">
        <f>IF(_xlfn.XLOOKUP($B55,'ELC TECH'!$H:$H,'ELC TECH'!$E:$E)="Storage",DH$4*$BF55,"")</f>
        <v>5.2208333333333336E-2</v>
      </c>
      <c r="DI55" s="8">
        <f>IF(_xlfn.XLOOKUP($B55,'ELC TECH'!$H:$H,'ELC TECH'!$E:$E)="Storage",DI$4*$BF55,"")</f>
        <v>1.1250000000000001E-3</v>
      </c>
    </row>
    <row r="56" spans="2:113" x14ac:dyDescent="0.25">
      <c r="B56" t="str">
        <f>IF('ELC TECH'!I49=0,"*",'ELC TECH'!H49)</f>
        <v>ELCSTGGRDPSH10HC620</v>
      </c>
      <c r="C56" t="str">
        <f>IF(_xlfn.XLOOKUP(_xlfn.XLOOKUP(B56,'ELC TECH'!$H:$H,'ELC TECH'!$G:$G),List!C:C,List!B:B)="STG",D56,"ELC"&amp;_xlfn.XLOOKUP(_xlfn.XLOOKUP(B56,'ELC TECH'!H:H,'ELC TECH'!G:G),List!C:C,List!B:B))</f>
        <v>CELC</v>
      </c>
      <c r="D56" t="s">
        <v>544</v>
      </c>
      <c r="E56">
        <f>_xlfn.XLOOKUP(B56,'ELC TECH'!H:H,'ELC TECH'!D:D)</f>
        <v>2020</v>
      </c>
      <c r="F56">
        <f>_xlfn.XLOOKUP(B56,'ELC TECH'!H:H,'ELC TECH'!K:K)</f>
        <v>100</v>
      </c>
      <c r="G56">
        <f t="shared" si="5"/>
        <v>31.535999999999998</v>
      </c>
      <c r="H56">
        <f>IF(_xlfn.XLOOKUP(B56,'ELC TECH'!$H:$H,'ELC TECH'!$E:$E)="Storage",0.3,IF(_xlfn.XLOOKUP(B56,'ELC TECH'!$H:$H,'ELC TECH'!$E:$E)="Baseload",0.9,IF(_xlfn.XLOOKUP(B56,'ELC TECH'!$H:$H,'ELC TECH'!$E:$E)="Non Dispatchable",0.05,IF(_xlfn.XLOOKUP(B56,'ELC TECH'!$H:$H,'ELC TECH'!$E:$E)="Dispatchable",0.9,1))))</f>
        <v>0.3</v>
      </c>
      <c r="I56" s="13">
        <f>IF(_xlfn.XLOOKUP(B56,'ELC TECH'!H:H,'ELC TECH'!J:J)="","",_xlfn.XLOOKUP(B56,'ELC TECH'!H:H,'ELC TECH'!J:J))</f>
        <v>0</v>
      </c>
      <c r="J56" s="12" t="str">
        <f>IF(_xlfn.XLOOKUP($B56,'ELC TECH'!$H:$H,'ELC TECH'!$E:$E)="Storage","",IF(_xlfn.XLOOKUP($B56,'ELC TECH'!$H:$H,'ELC TECH'!AK:AK)="",1,_xlfn.XLOOKUP($B56,'ELC TECH'!$H:$H,'ELC TECH'!AK:AK)))</f>
        <v/>
      </c>
      <c r="K56" s="12" t="str">
        <f>IF(_xlfn.XLOOKUP($B56,'ELC TECH'!$H:$H,'ELC TECH'!$E:$E)="Storage","",IF(_xlfn.XLOOKUP($B56,'ELC TECH'!$H:$H,'ELC TECH'!AL:AL)="",1,_xlfn.XLOOKUP($B56,'ELC TECH'!$H:$H,'ELC TECH'!AL:AL)))</f>
        <v/>
      </c>
      <c r="L56" s="12" t="str">
        <f>IF(_xlfn.XLOOKUP($B56,'ELC TECH'!$H:$H,'ELC TECH'!$E:$E)="Storage","",IF(_xlfn.XLOOKUP($B56,'ELC TECH'!$H:$H,'ELC TECH'!AM:AM)="",1,_xlfn.XLOOKUP($B56,'ELC TECH'!$H:$H,'ELC TECH'!AM:AM)))</f>
        <v/>
      </c>
      <c r="M56" s="12" t="str">
        <f>IF(_xlfn.XLOOKUP($B56,'ELC TECH'!$H:$H,'ELC TECH'!$E:$E)="Storage","",IF(_xlfn.XLOOKUP($B56,'ELC TECH'!$H:$H,'ELC TECH'!AN:AN)="",1,_xlfn.XLOOKUP($B56,'ELC TECH'!$H:$H,'ELC TECH'!AN:AN)))</f>
        <v/>
      </c>
      <c r="N56" s="12" t="str">
        <f>IF(_xlfn.XLOOKUP($B56,'ELC TECH'!$H:$H,'ELC TECH'!$E:$E)="Storage","",IF(_xlfn.XLOOKUP($B56,'ELC TECH'!$H:$H,'ELC TECH'!AO:AO)="",1,_xlfn.XLOOKUP($B56,'ELC TECH'!$H:$H,'ELC TECH'!AO:AO)))</f>
        <v/>
      </c>
      <c r="O56" s="12" t="str">
        <f>IF(_xlfn.XLOOKUP($B56,'ELC TECH'!$H:$H,'ELC TECH'!$E:$E)="Storage","",IF(_xlfn.XLOOKUP($B56,'ELC TECH'!$H:$H,'ELC TECH'!AP:AP)="",1,_xlfn.XLOOKUP($B56,'ELC TECH'!$H:$H,'ELC TECH'!AP:AP)))</f>
        <v/>
      </c>
      <c r="P56" s="12" t="str">
        <f>IF(_xlfn.XLOOKUP($B56,'ELC TECH'!$H:$H,'ELC TECH'!$E:$E)="Storage","",IF(_xlfn.XLOOKUP($B56,'ELC TECH'!$H:$H,'ELC TECH'!AQ:AQ)="",1,_xlfn.XLOOKUP($B56,'ELC TECH'!$H:$H,'ELC TECH'!AQ:AQ)))</f>
        <v/>
      </c>
      <c r="Q56" s="12" t="str">
        <f>IF(_xlfn.XLOOKUP($B56,'ELC TECH'!$H:$H,'ELC TECH'!$E:$E)="Storage","",IF(_xlfn.XLOOKUP($B56,'ELC TECH'!$H:$H,'ELC TECH'!AR:AR)="",1,_xlfn.XLOOKUP($B56,'ELC TECH'!$H:$H,'ELC TECH'!AR:AR)))</f>
        <v/>
      </c>
      <c r="R56" s="12">
        <f>IF(_xlfn.XLOOKUP($B56,'ELC TECH'!$H:$H,'ELC TECH'!$E:$E)&lt;&gt;"Storage","",IF(_xlfn.XLOOKUP($B56,'ELC TECH'!$H:$H,'ELC TECH'!AK:AK)="",0.8,_xlfn.XLOOKUP($B56,'ELC TECH'!$H:$H,'ELC TECH'!AK:AK)))</f>
        <v>0.8</v>
      </c>
      <c r="S56" s="12">
        <f>IF(_xlfn.XLOOKUP($B56,'ELC TECH'!$H:$H,'ELC TECH'!$E:$E)&lt;&gt;"Storage","",IF(_xlfn.XLOOKUP($B56,'ELC TECH'!$H:$H,'ELC TECH'!AL:AL)="",0.8,_xlfn.XLOOKUP($B56,'ELC TECH'!$H:$H,'ELC TECH'!AL:AL)))</f>
        <v>0.8</v>
      </c>
      <c r="T56" s="12">
        <f>IF(_xlfn.XLOOKUP($B56,'ELC TECH'!$H:$H,'ELC TECH'!$E:$E)&lt;&gt;"Storage","",IF(_xlfn.XLOOKUP($B56,'ELC TECH'!$H:$H,'ELC TECH'!AM:AM)="",0.8,_xlfn.XLOOKUP($B56,'ELC TECH'!$H:$H,'ELC TECH'!AM:AM)))</f>
        <v>0.8</v>
      </c>
      <c r="U56" s="12">
        <f>IF(_xlfn.XLOOKUP($B56,'ELC TECH'!$H:$H,'ELC TECH'!$E:$E)&lt;&gt;"Storage","",IF(_xlfn.XLOOKUP($B56,'ELC TECH'!$H:$H,'ELC TECH'!AN:AN)="",0.8,_xlfn.XLOOKUP($B56,'ELC TECH'!$H:$H,'ELC TECH'!AN:AN)))</f>
        <v>0.8</v>
      </c>
      <c r="V56" s="12">
        <f>IF(_xlfn.XLOOKUP($B56,'ELC TECH'!$H:$H,'ELC TECH'!$E:$E)&lt;&gt;"Storage","",IF(_xlfn.XLOOKUP($B56,'ELC TECH'!$H:$H,'ELC TECH'!AO:AO)="",0.8,_xlfn.XLOOKUP($B56,'ELC TECH'!$H:$H,'ELC TECH'!AO:AO)))</f>
        <v>0.8</v>
      </c>
      <c r="W56" s="12">
        <f>IF(_xlfn.XLOOKUP($B56,'ELC TECH'!$H:$H,'ELC TECH'!$E:$E)&lt;&gt;"Storage","",IF(_xlfn.XLOOKUP($B56,'ELC TECH'!$H:$H,'ELC TECH'!AP:AP)="",0.8,_xlfn.XLOOKUP($B56,'ELC TECH'!$H:$H,'ELC TECH'!AP:AP)))</f>
        <v>0.8</v>
      </c>
      <c r="X56" s="12">
        <f>IF(_xlfn.XLOOKUP($B56,'ELC TECH'!$H:$H,'ELC TECH'!$E:$E)&lt;&gt;"Storage","",IF(_xlfn.XLOOKUP($B56,'ELC TECH'!$H:$H,'ELC TECH'!AQ:AQ)="",0.8,_xlfn.XLOOKUP($B56,'ELC TECH'!$H:$H,'ELC TECH'!AQ:AQ)))</f>
        <v>0.8</v>
      </c>
      <c r="Y56" s="12">
        <f>IF(_xlfn.XLOOKUP($B56,'ELC TECH'!$H:$H,'ELC TECH'!$E:$E)&lt;&gt;"Storage","",IF(_xlfn.XLOOKUP($B56,'ELC TECH'!$H:$H,'ELC TECH'!AR:AR)="",0.8,_xlfn.XLOOKUP($B56,'ELC TECH'!$H:$H,'ELC TECH'!AR:AR)))</f>
        <v>0.8</v>
      </c>
      <c r="Z56" s="15">
        <f>_xlfn.XLOOKUP($B56,'ELC TECH'!$H:$H,'ELC TECH'!M:M)</f>
        <v>3332.512077047089</v>
      </c>
      <c r="AA56" s="15">
        <f>_xlfn.XLOOKUP($B56,'ELC TECH'!$H:$H,'ELC TECH'!N:N)</f>
        <v>3332.512077047089</v>
      </c>
      <c r="AB56" s="15">
        <f>_xlfn.XLOOKUP($B56,'ELC TECH'!$H:$H,'ELC TECH'!O:O)</f>
        <v>3332.512077047089</v>
      </c>
      <c r="AC56" s="15">
        <f>_xlfn.XLOOKUP($B56,'ELC TECH'!$H:$H,'ELC TECH'!P:P)</f>
        <v>3332.512077047089</v>
      </c>
      <c r="AD56" s="15">
        <f>_xlfn.XLOOKUP($B56,'ELC TECH'!$H:$H,'ELC TECH'!Q:Q)</f>
        <v>3332.512077047089</v>
      </c>
      <c r="AE56" s="15">
        <f>_xlfn.XLOOKUP($B56,'ELC TECH'!$H:$H,'ELC TECH'!R:R)</f>
        <v>3332.512077047089</v>
      </c>
      <c r="AF56" s="15">
        <f>_xlfn.XLOOKUP($B56,'ELC TECH'!$H:$H,'ELC TECH'!S:S)</f>
        <v>3332.512077047089</v>
      </c>
      <c r="AG56" s="15">
        <f>_xlfn.XLOOKUP($B56,'ELC TECH'!$H:$H,'ELC TECH'!T:T)</f>
        <v>3332.512077047089</v>
      </c>
      <c r="AH56" s="15">
        <f>_xlfn.XLOOKUP($B56,'ELC TECH'!$H:$H,'ELC TECH'!U:U)</f>
        <v>21.100097091380029</v>
      </c>
      <c r="AI56" s="15">
        <f>_xlfn.XLOOKUP($B56,'ELC TECH'!$H:$H,'ELC TECH'!V:V)</f>
        <v>21.100097091380029</v>
      </c>
      <c r="AJ56" s="15">
        <f>_xlfn.XLOOKUP($B56,'ELC TECH'!$H:$H,'ELC TECH'!W:W)</f>
        <v>21.100097091380029</v>
      </c>
      <c r="AK56" s="15">
        <f>_xlfn.XLOOKUP($B56,'ELC TECH'!$H:$H,'ELC TECH'!X:X)</f>
        <v>21.100097091380029</v>
      </c>
      <c r="AL56" s="15">
        <f>_xlfn.XLOOKUP($B56,'ELC TECH'!$H:$H,'ELC TECH'!Y:Y)</f>
        <v>21.100097091380029</v>
      </c>
      <c r="AM56" s="15">
        <f>_xlfn.XLOOKUP($B56,'ELC TECH'!$H:$H,'ELC TECH'!Z:Z)</f>
        <v>21.100097091380029</v>
      </c>
      <c r="AN56" s="15">
        <f>_xlfn.XLOOKUP($B56,'ELC TECH'!$H:$H,'ELC TECH'!AA:AA)</f>
        <v>21.100097091380029</v>
      </c>
      <c r="AO56" s="15">
        <f>_xlfn.XLOOKUP($B56,'ELC TECH'!$H:$H,'ELC TECH'!AB:AB)</f>
        <v>21.100097091380029</v>
      </c>
      <c r="AP56" s="15">
        <f>_xlfn.XLOOKUP($B56,'ELC TECH'!$H:$H,'ELC TECH'!AC:AC)</f>
        <v>0.1696149283872993</v>
      </c>
      <c r="AQ56" s="15">
        <f>_xlfn.XLOOKUP($B56,'ELC TECH'!$H:$H,'ELC TECH'!AD:AD)</f>
        <v>0.1696149283872993</v>
      </c>
      <c r="AR56" s="15">
        <f>_xlfn.XLOOKUP($B56,'ELC TECH'!$H:$H,'ELC TECH'!AE:AE)</f>
        <v>0.1696149283872993</v>
      </c>
      <c r="AS56" s="15">
        <f>_xlfn.XLOOKUP($B56,'ELC TECH'!$H:$H,'ELC TECH'!AF:AF)</f>
        <v>0.1696149283872993</v>
      </c>
      <c r="AT56" s="15">
        <f>_xlfn.XLOOKUP($B56,'ELC TECH'!$H:$H,'ELC TECH'!AG:AG)</f>
        <v>0.1696149283872993</v>
      </c>
      <c r="AU56" s="15">
        <f>_xlfn.XLOOKUP($B56,'ELC TECH'!$H:$H,'ELC TECH'!AH:AH)</f>
        <v>0.1696149283872993</v>
      </c>
      <c r="AV56" s="15">
        <f>_xlfn.XLOOKUP($B56,'ELC TECH'!$H:$H,'ELC TECH'!AI:AI)</f>
        <v>0.1696149283872993</v>
      </c>
      <c r="AW56" s="15">
        <f>_xlfn.XLOOKUP($B56,'ELC TECH'!$H:$H,'ELC TECH'!AJ:AJ)</f>
        <v>0.1696149283872993</v>
      </c>
      <c r="AX56" s="12" t="str">
        <f>IF(_xlfn.XLOOKUP($B56,'ELC TECH'!$H:$H,'ELC TECH'!$E:$E)="Storage","",_xlfn.XLOOKUP($B56,'ELC TECH'!$H:$H,'ELC TECH'!AS:AS))</f>
        <v/>
      </c>
      <c r="AY56" s="12" t="str">
        <f>IF(_xlfn.XLOOKUP($B56,'ELC TECH'!$H:$H,'ELC TECH'!$E:$E)="Storage","",_xlfn.XLOOKUP($B56,'ELC TECH'!$H:$H,'ELC TECH'!AT:AT))</f>
        <v/>
      </c>
      <c r="AZ56" s="12" t="str">
        <f>IF(_xlfn.XLOOKUP($B56,'ELC TECH'!$H:$H,'ELC TECH'!$E:$E)="Storage","",_xlfn.XLOOKUP($B56,'ELC TECH'!$H:$H,'ELC TECH'!AU:AU))</f>
        <v/>
      </c>
      <c r="BA56" s="12" t="str">
        <f>IF(_xlfn.XLOOKUP($B56,'ELC TECH'!$H:$H,'ELC TECH'!$E:$E)="Storage","",_xlfn.XLOOKUP($B56,'ELC TECH'!$H:$H,'ELC TECH'!AV:AV))</f>
        <v/>
      </c>
      <c r="BB56" s="12" t="str">
        <f>IF(_xlfn.XLOOKUP($B56,'ELC TECH'!$H:$H,'ELC TECH'!$E:$E)="Storage","",_xlfn.XLOOKUP($B56,'ELC TECH'!$H:$H,'ELC TECH'!AW:AW))</f>
        <v/>
      </c>
      <c r="BC56" s="12" t="str">
        <f>IF(_xlfn.XLOOKUP($B56,'ELC TECH'!$H:$H,'ELC TECH'!$E:$E)="Storage","",_xlfn.XLOOKUP($B56,'ELC TECH'!$H:$H,'ELC TECH'!AX:AX))</f>
        <v/>
      </c>
      <c r="BD56" s="12" t="str">
        <f>IF(_xlfn.XLOOKUP($B56,'ELC TECH'!$H:$H,'ELC TECH'!$E:$E)="Storage","",_xlfn.XLOOKUP($B56,'ELC TECH'!$H:$H,'ELC TECH'!AY:AY))</f>
        <v/>
      </c>
      <c r="BE56" s="12" t="str">
        <f>IF(_xlfn.XLOOKUP($B56,'ELC TECH'!$H:$H,'ELC TECH'!$E:$E)="Storage","",_xlfn.XLOOKUP($B56,'ELC TECH'!$H:$H,'ELC TECH'!AZ:AZ))</f>
        <v/>
      </c>
      <c r="BF56" s="12">
        <f>IF(_xlfn.XLOOKUP($B56,'ELC TECH'!$H:$H,'ELC TECH'!$E:$E)="Storage",_xlfn.XLOOKUP($B56,'ELC TECH'!$H:$H,'ELC TECH'!AS:AS),"")</f>
        <v>0.41666666666666669</v>
      </c>
      <c r="BG56" s="12">
        <f>IF(_xlfn.XLOOKUP($B56,'ELC TECH'!$H:$H,'ELC TECH'!$E:$E)="Storage",_xlfn.XLOOKUP($B56,'ELC TECH'!$H:$H,'ELC TECH'!AT:AT),"")</f>
        <v>0.41666666666666669</v>
      </c>
      <c r="BH56" s="12">
        <f>IF(_xlfn.XLOOKUP($B56,'ELC TECH'!$H:$H,'ELC TECH'!$E:$E)="Storage",_xlfn.XLOOKUP($B56,'ELC TECH'!$H:$H,'ELC TECH'!AU:AU),"")</f>
        <v>0.41666666666666669</v>
      </c>
      <c r="BI56" s="12">
        <f>IF(_xlfn.XLOOKUP($B56,'ELC TECH'!$H:$H,'ELC TECH'!$E:$E)="Storage",_xlfn.XLOOKUP($B56,'ELC TECH'!$H:$H,'ELC TECH'!AV:AV),"")</f>
        <v>0.41666666666666669</v>
      </c>
      <c r="BJ56" s="12">
        <f>IF(_xlfn.XLOOKUP($B56,'ELC TECH'!$H:$H,'ELC TECH'!$E:$E)="Storage",_xlfn.XLOOKUP($B56,'ELC TECH'!$H:$H,'ELC TECH'!AW:AW),"")</f>
        <v>0.41666666666666669</v>
      </c>
      <c r="BK56" s="12">
        <f>IF(_xlfn.XLOOKUP($B56,'ELC TECH'!$H:$H,'ELC TECH'!$E:$E)="Storage",_xlfn.XLOOKUP($B56,'ELC TECH'!$H:$H,'ELC TECH'!AX:AX),"")</f>
        <v>0.41666666666666669</v>
      </c>
      <c r="BL56" s="12">
        <f>IF(_xlfn.XLOOKUP($B56,'ELC TECH'!$H:$H,'ELC TECH'!$E:$E)="Storage",_xlfn.XLOOKUP($B56,'ELC TECH'!$H:$H,'ELC TECH'!AY:AY),"")</f>
        <v>0.41666666666666669</v>
      </c>
      <c r="BM56" s="12">
        <f>IF(_xlfn.XLOOKUP($B56,'ELC TECH'!$H:$H,'ELC TECH'!$E:$E)="Storage",_xlfn.XLOOKUP($B56,'ELC TECH'!$H:$H,'ELC TECH'!AZ:AZ),"")</f>
        <v>0.41666666666666669</v>
      </c>
      <c r="BN56" s="8" t="str">
        <f>IF(_xlfn.XLOOKUP($B56,'ELC TECH'!$H:$H,'ELC TECH'!$E:$E)="Non Dispatchable",IFERROR($AX56*_xlfn.XLOOKUP($C56,$BM$1:$BM$3,BN$1:BN$3)/SUMPRODUCT(_xlfn.XLOOKUP($C56,$BM$1:$BM$3,$BN$1:$BY$3),$BN$4:$BY$4),""),
"")</f>
        <v/>
      </c>
      <c r="BO56" s="8" t="str">
        <f>IF(_xlfn.XLOOKUP($B56,'ELC TECH'!$H:$H,'ELC TECH'!$E:$E)="Non Dispatchable",IFERROR($AX56*_xlfn.XLOOKUP($C56,$BM$1:$BM$3,BO$1:BO$3)/SUMPRODUCT(_xlfn.XLOOKUP($C56,$BM$1:$BM$3,$BN$1:$BY$3),$BN$4:$BY$4),""),
"")</f>
        <v/>
      </c>
      <c r="BP56" s="8" t="str">
        <f>IF(_xlfn.XLOOKUP($B56,'ELC TECH'!$H:$H,'ELC TECH'!$E:$E)="Non Dispatchable",IFERROR($AX56*_xlfn.XLOOKUP($C56,$BM$1:$BM$3,BP$1:BP$3)/SUMPRODUCT(_xlfn.XLOOKUP($C56,$BM$1:$BM$3,$BN$1:$BY$3),$BN$4:$BY$4),""),
"")</f>
        <v/>
      </c>
      <c r="BQ56" s="8" t="str">
        <f>IF(_xlfn.XLOOKUP($B56,'ELC TECH'!$H:$H,'ELC TECH'!$E:$E)="Non Dispatchable",IFERROR($AX56*_xlfn.XLOOKUP($C56,$BM$1:$BM$3,BQ$1:BQ$3)/SUMPRODUCT(_xlfn.XLOOKUP($C56,$BM$1:$BM$3,$BN$1:$BY$3),$BN$4:$BY$4),""),
"")</f>
        <v/>
      </c>
      <c r="BR56" s="8" t="str">
        <f>IF(_xlfn.XLOOKUP($B56,'ELC TECH'!$H:$H,'ELC TECH'!$E:$E)="Non Dispatchable",IFERROR($AX56*_xlfn.XLOOKUP($C56,$BM$1:$BM$3,BR$1:BR$3)/SUMPRODUCT(_xlfn.XLOOKUP($C56,$BM$1:$BM$3,$BN$1:$BY$3),$BN$4:$BY$4),""),
"")</f>
        <v/>
      </c>
      <c r="BS56" s="8" t="str">
        <f>IF(_xlfn.XLOOKUP($B56,'ELC TECH'!$H:$H,'ELC TECH'!$E:$E)="Non Dispatchable",IFERROR($AX56*_xlfn.XLOOKUP($C56,$BM$1:$BM$3,BS$1:BS$3)/SUMPRODUCT(_xlfn.XLOOKUP($C56,$BM$1:$BM$3,$BN$1:$BY$3),$BN$4:$BY$4),""),
"")</f>
        <v/>
      </c>
      <c r="BT56" s="8" t="str">
        <f>IF(_xlfn.XLOOKUP($B56,'ELC TECH'!$H:$H,'ELC TECH'!$E:$E)="Non Dispatchable",IFERROR($AX56*_xlfn.XLOOKUP($C56,$BM$1:$BM$3,BT$1:BT$3)/SUMPRODUCT(_xlfn.XLOOKUP($C56,$BM$1:$BM$3,$BN$1:$BY$3),$BN$4:$BY$4),""),
"")</f>
        <v/>
      </c>
      <c r="BU56" s="8" t="str">
        <f>IF(_xlfn.XLOOKUP($B56,'ELC TECH'!$H:$H,'ELC TECH'!$E:$E)="Non Dispatchable",IFERROR($AX56*_xlfn.XLOOKUP($C56,$BM$1:$BM$3,BU$1:BU$3)/SUMPRODUCT(_xlfn.XLOOKUP($C56,$BM$1:$BM$3,$BN$1:$BY$3),$BN$4:$BY$4),""),
"")</f>
        <v/>
      </c>
      <c r="BV56" s="8" t="str">
        <f>IF(_xlfn.XLOOKUP($B56,'ELC TECH'!$H:$H,'ELC TECH'!$E:$E)="Non Dispatchable",IFERROR($AX56*_xlfn.XLOOKUP($C56,$BM$1:$BM$3,BV$1:BV$3)/SUMPRODUCT(_xlfn.XLOOKUP($C56,$BM$1:$BM$3,$BN$1:$BY$3),$BN$4:$BY$4),""),
"")</f>
        <v/>
      </c>
      <c r="BW56" s="8" t="str">
        <f>IF(_xlfn.XLOOKUP($B56,'ELC TECH'!$H:$H,'ELC TECH'!$E:$E)="Non Dispatchable",IFERROR($AX56*_xlfn.XLOOKUP($C56,$BM$1:$BM$3,BW$1:BW$3)/SUMPRODUCT(_xlfn.XLOOKUP($C56,$BM$1:$BM$3,$BN$1:$BY$3),$BN$4:$BY$4),""),
"")</f>
        <v/>
      </c>
      <c r="BX56" s="8" t="str">
        <f>IF(_xlfn.XLOOKUP($B56,'ELC TECH'!$H:$H,'ELC TECH'!$E:$E)="Non Dispatchable",IFERROR($AX56*_xlfn.XLOOKUP($C56,$BM$1:$BM$3,BX$1:BX$3)/SUMPRODUCT(_xlfn.XLOOKUP($C56,$BM$1:$BM$3,$BN$1:$BY$3),$BN$4:$BY$4),""),
"")</f>
        <v/>
      </c>
      <c r="BY56" s="8" t="str">
        <f>IF(_xlfn.XLOOKUP($B56,'ELC TECH'!$H:$H,'ELC TECH'!$E:$E)="Non Dispatchable",IFERROR($AX56*_xlfn.XLOOKUP($C56,$BM$1:$BM$3,BY$1:BY$3)/SUMPRODUCT(_xlfn.XLOOKUP($C56,$BM$1:$BM$3,$BN$1:$BY$3),$BN$4:$BY$4),""),
"")</f>
        <v/>
      </c>
      <c r="BZ56" s="8" t="str">
        <f>IF(_xlfn.XLOOKUP($B56,'ELC TECH'!$H:$H,'ELC TECH'!$E:$E)="Non Dispatchable",IFERROR($AX56*_xlfn.XLOOKUP($C56,$BM$1:$BM$3,BZ$1:BZ$3)/SUMPRODUCT(_xlfn.XLOOKUP($C56,$BM$1:$BM$3,$BN$1:$BY$3),$BN$4:$BY$4),""),
"")</f>
        <v/>
      </c>
      <c r="CA56" s="8" t="str">
        <f>IF(_xlfn.XLOOKUP($B56,'ELC TECH'!$H:$H,'ELC TECH'!$E:$E)="Non Dispatchable",IFERROR($AX56*_xlfn.XLOOKUP($C56,$BM$1:$BM$3,CA$1:CA$3)/SUMPRODUCT(_xlfn.XLOOKUP($C56,$BM$1:$BM$3,$BN$1:$BY$3),$BN$4:$BY$4),""),
"")</f>
        <v/>
      </c>
      <c r="CB56" s="8" t="str">
        <f>IF(_xlfn.XLOOKUP($B56,'ELC TECH'!$H:$H,'ELC TECH'!$E:$E)="Non Dispatchable",IFERROR($AX56*_xlfn.XLOOKUP($C56,$BM$1:$BM$3,CB$1:CB$3)/SUMPRODUCT(_xlfn.XLOOKUP($C56,$BM$1:$BM$3,$BN$1:$BY$3),$BN$4:$BY$4),""),
"")</f>
        <v/>
      </c>
      <c r="CC56" s="8" t="str">
        <f>IF(_xlfn.XLOOKUP($B56,'ELC TECH'!$H:$H,'ELC TECH'!$E:$E)="Non Dispatchable",IFERROR($AX56*_xlfn.XLOOKUP($C56,$BM$1:$BM$3,CC$1:CC$3)/SUMPRODUCT(_xlfn.XLOOKUP($C56,$BM$1:$BM$3,$BN$1:$BY$3),$BN$4:$BY$4),""),
"")</f>
        <v/>
      </c>
      <c r="CD56" s="8" t="str">
        <f>IF(_xlfn.XLOOKUP($B56,'ELC TECH'!$H:$H,'ELC TECH'!$E:$E)="Non Dispatchable",IFERROR($AX56*_xlfn.XLOOKUP($C56,$BM$1:$BM$3,CD$1:CD$3)/SUMPRODUCT(_xlfn.XLOOKUP($C56,$BM$1:$BM$3,$BN$1:$BY$3),$BN$4:$BY$4),""),
"")</f>
        <v/>
      </c>
      <c r="CE56" s="8" t="str">
        <f>IF(_xlfn.XLOOKUP($B56,'ELC TECH'!$H:$H,'ELC TECH'!$E:$E)="Non Dispatchable",IFERROR($AX56*_xlfn.XLOOKUP($C56,$BM$1:$BM$3,CE$1:CE$3)/SUMPRODUCT(_xlfn.XLOOKUP($C56,$BM$1:$BM$3,$BN$1:$BY$3),$BN$4:$BY$4),""),
"")</f>
        <v/>
      </c>
      <c r="CF56" s="8" t="str">
        <f>IF(_xlfn.XLOOKUP($B56,'ELC TECH'!$H:$H,'ELC TECH'!$E:$E)="Non Dispatchable",IFERROR($AX56*_xlfn.XLOOKUP($C56,$BM$1:$BM$3,CF$1:CF$3)/SUMPRODUCT(_xlfn.XLOOKUP($C56,$BM$1:$BM$3,$BN$1:$BY$3),$BN$4:$BY$4),""),
"")</f>
        <v/>
      </c>
      <c r="CG56" s="8" t="str">
        <f>IF(_xlfn.XLOOKUP($B56,'ELC TECH'!$H:$H,'ELC TECH'!$E:$E)="Non Dispatchable",IFERROR($AX56*_xlfn.XLOOKUP($C56,$BM$1:$BM$3,CG$1:CG$3)/SUMPRODUCT(_xlfn.XLOOKUP($C56,$BM$1:$BM$3,$BN$1:$BY$3),$BN$4:$BY$4),""),
"")</f>
        <v/>
      </c>
      <c r="CH56" s="8" t="str">
        <f>IF(_xlfn.XLOOKUP($B56,'ELC TECH'!$H:$H,'ELC TECH'!$E:$E)="Non Dispatchable",IFERROR($AX56*_xlfn.XLOOKUP($C56,$BM$1:$BM$3,CH$1:CH$3)/SUMPRODUCT(_xlfn.XLOOKUP($C56,$BM$1:$BM$3,$BN$1:$BY$3),$BN$4:$BY$4),""),
"")</f>
        <v/>
      </c>
      <c r="CI56" s="8" t="str">
        <f>IF(_xlfn.XLOOKUP($B56,'ELC TECH'!$H:$H,'ELC TECH'!$E:$E)="Non Dispatchable",IFERROR($AX56*_xlfn.XLOOKUP($C56,$BM$1:$BM$3,CI$1:CI$3)/SUMPRODUCT(_xlfn.XLOOKUP($C56,$BM$1:$BM$3,$BN$1:$BY$3),$BN$4:$BY$4),""),
"")</f>
        <v/>
      </c>
      <c r="CJ56" s="8" t="str">
        <f>IF(_xlfn.XLOOKUP($B56,'ELC TECH'!$H:$H,'ELC TECH'!$E:$E)="Non Dispatchable",IFERROR($AX56*_xlfn.XLOOKUP($C56,$BM$1:$BM$3,CJ$1:CJ$3)/SUMPRODUCT(_xlfn.XLOOKUP($C56,$BM$1:$BM$3,$BN$1:$BY$3),$BN$4:$BY$4),""),
"")</f>
        <v/>
      </c>
      <c r="CK56" s="8" t="str">
        <f>IF(_xlfn.XLOOKUP($B56,'ELC TECH'!$H:$H,'ELC TECH'!$E:$E)="Non Dispatchable",IFERROR($AX56*_xlfn.XLOOKUP($C56,$BM$1:$BM$3,CK$1:CK$3)/SUMPRODUCT(_xlfn.XLOOKUP($C56,$BM$1:$BM$3,$BN$1:$BY$3),$BN$4:$BY$4),""),
"")</f>
        <v/>
      </c>
      <c r="CL56" s="8">
        <f>IF(_xlfn.XLOOKUP($B56,'ELC TECH'!$H:$H,'ELC TECH'!$E:$E)="Storage",CL$4*$BF56,"")</f>
        <v>3.4250000000000003E-2</v>
      </c>
      <c r="CM56" s="8">
        <f>IF(_xlfn.XLOOKUP($B56,'ELC TECH'!$H:$H,'ELC TECH'!$E:$E)="Storage",CM$4*$BF56,"")</f>
        <v>3.9875000000000001E-2</v>
      </c>
      <c r="CN56" s="8">
        <f>IF(_xlfn.XLOOKUP($B56,'ELC TECH'!$H:$H,'ELC TECH'!$E:$E)="Storage",CN$4*$BF56,"")</f>
        <v>6.3833333333333339E-2</v>
      </c>
      <c r="CO56" s="8">
        <f>IF(_xlfn.XLOOKUP($B56,'ELC TECH'!$H:$H,'ELC TECH'!$E:$E)="Storage",CO$4*$BF56,"")</f>
        <v>1.3333333333333335E-3</v>
      </c>
      <c r="CP56" s="8">
        <f>IF(_xlfn.XLOOKUP($B56,'ELC TECH'!$H:$H,'ELC TECH'!$E:$E)="Storage",CP$4*$BF56,"")</f>
        <v>3.3958333333333333E-2</v>
      </c>
      <c r="CQ56" s="8">
        <f>IF(_xlfn.XLOOKUP($B56,'ELC TECH'!$H:$H,'ELC TECH'!$E:$E)="Storage",CQ$4*$BF56,"")</f>
        <v>4.5291666666666668E-2</v>
      </c>
      <c r="CR56" s="8">
        <f>IF(_xlfn.XLOOKUP($B56,'ELC TECH'!$H:$H,'ELC TECH'!$E:$E)="Storage",CR$4*$BF56,"")</f>
        <v>5.7541666666666672E-2</v>
      </c>
      <c r="CS56" s="8">
        <f>IF(_xlfn.XLOOKUP($B56,'ELC TECH'!$H:$H,'ELC TECH'!$E:$E)="Storage",CS$4*$BF56,"")</f>
        <v>1.3333333333333335E-3</v>
      </c>
      <c r="CT56" s="8">
        <f>IF(_xlfn.XLOOKUP($B56,'ELC TECH'!$H:$H,'ELC TECH'!$E:$E)="Storage",CT$4*$BF56,"")</f>
        <v>4.0625000000000001E-2</v>
      </c>
      <c r="CU56" s="8">
        <f>IF(_xlfn.XLOOKUP($B56,'ELC TECH'!$H:$H,'ELC TECH'!$E:$E)="Storage",CU$4*$BF56,"")</f>
        <v>4.5291666666666668E-2</v>
      </c>
      <c r="CV56" s="8">
        <f>IF(_xlfn.XLOOKUP($B56,'ELC TECH'!$H:$H,'ELC TECH'!$E:$E)="Storage",CV$4*$BF56,"")</f>
        <v>5.2208333333333336E-2</v>
      </c>
      <c r="CW56" s="8">
        <f>IF(_xlfn.XLOOKUP($B56,'ELC TECH'!$H:$H,'ELC TECH'!$E:$E)="Storage",CW$4*$BF56,"")</f>
        <v>1.1250000000000001E-3</v>
      </c>
      <c r="CX56" s="8">
        <f>IF(_xlfn.XLOOKUP($B56,'ELC TECH'!$H:$H,'ELC TECH'!$E:$E)="Storage",CX$4*$BF56,"")</f>
        <v>3.4250000000000003E-2</v>
      </c>
      <c r="CY56" s="8">
        <f>IF(_xlfn.XLOOKUP($B56,'ELC TECH'!$H:$H,'ELC TECH'!$E:$E)="Storage",CY$4*$BF56,"")</f>
        <v>3.9875000000000001E-2</v>
      </c>
      <c r="CZ56" s="8">
        <f>IF(_xlfn.XLOOKUP($B56,'ELC TECH'!$H:$H,'ELC TECH'!$E:$E)="Storage",CZ$4*$BF56,"")</f>
        <v>6.3833333333333339E-2</v>
      </c>
      <c r="DA56" s="8">
        <f>IF(_xlfn.XLOOKUP($B56,'ELC TECH'!$H:$H,'ELC TECH'!$E:$E)="Storage",DA$4*$BF56,"")</f>
        <v>1.3333333333333335E-3</v>
      </c>
      <c r="DB56" s="8">
        <f>IF(_xlfn.XLOOKUP($B56,'ELC TECH'!$H:$H,'ELC TECH'!$E:$E)="Storage",DB$4*$BF56,"")</f>
        <v>3.3958333333333333E-2</v>
      </c>
      <c r="DC56" s="8">
        <f>IF(_xlfn.XLOOKUP($B56,'ELC TECH'!$H:$H,'ELC TECH'!$E:$E)="Storage",DC$4*$BF56,"")</f>
        <v>4.5291666666666668E-2</v>
      </c>
      <c r="DD56" s="8">
        <f>IF(_xlfn.XLOOKUP($B56,'ELC TECH'!$H:$H,'ELC TECH'!$E:$E)="Storage",DD$4*$BF56,"")</f>
        <v>5.7541666666666672E-2</v>
      </c>
      <c r="DE56" s="8">
        <f>IF(_xlfn.XLOOKUP($B56,'ELC TECH'!$H:$H,'ELC TECH'!$E:$E)="Storage",DE$4*$BF56,"")</f>
        <v>1.3333333333333335E-3</v>
      </c>
      <c r="DF56" s="8">
        <f>IF(_xlfn.XLOOKUP($B56,'ELC TECH'!$H:$H,'ELC TECH'!$E:$E)="Storage",DF$4*$BF56,"")</f>
        <v>4.0625000000000001E-2</v>
      </c>
      <c r="DG56" s="8">
        <f>IF(_xlfn.XLOOKUP($B56,'ELC TECH'!$H:$H,'ELC TECH'!$E:$E)="Storage",DG$4*$BF56,"")</f>
        <v>4.5291666666666668E-2</v>
      </c>
      <c r="DH56" s="8">
        <f>IF(_xlfn.XLOOKUP($B56,'ELC TECH'!$H:$H,'ELC TECH'!$E:$E)="Storage",DH$4*$BF56,"")</f>
        <v>5.2208333333333336E-2</v>
      </c>
      <c r="DI56" s="8">
        <f>IF(_xlfn.XLOOKUP($B56,'ELC TECH'!$H:$H,'ELC TECH'!$E:$E)="Storage",DI$4*$BF56,"")</f>
        <v>1.1250000000000001E-3</v>
      </c>
    </row>
    <row r="57" spans="2:113" x14ac:dyDescent="0.25">
      <c r="B57" t="str">
        <f>IF('ELC TECH'!I50=0,"*",'ELC TECH'!H50)</f>
        <v>ELCSTGGRDPSH10HC720</v>
      </c>
      <c r="C57" t="str">
        <f>IF(_xlfn.XLOOKUP(_xlfn.XLOOKUP(B57,'ELC TECH'!$H:$H,'ELC TECH'!$G:$G),List!C:C,List!B:B)="STG",D57,"ELC"&amp;_xlfn.XLOOKUP(_xlfn.XLOOKUP(B57,'ELC TECH'!H:H,'ELC TECH'!G:G),List!C:C,List!B:B))</f>
        <v>CELC</v>
      </c>
      <c r="D57" t="s">
        <v>544</v>
      </c>
      <c r="E57">
        <f>_xlfn.XLOOKUP(B57,'ELC TECH'!H:H,'ELC TECH'!D:D)</f>
        <v>2020</v>
      </c>
      <c r="F57">
        <f>_xlfn.XLOOKUP(B57,'ELC TECH'!H:H,'ELC TECH'!K:K)</f>
        <v>100</v>
      </c>
      <c r="G57">
        <f t="shared" si="5"/>
        <v>31.535999999999998</v>
      </c>
      <c r="H57">
        <f>IF(_xlfn.XLOOKUP(B57,'ELC TECH'!$H:$H,'ELC TECH'!$E:$E)="Storage",0.3,IF(_xlfn.XLOOKUP(B57,'ELC TECH'!$H:$H,'ELC TECH'!$E:$E)="Baseload",0.9,IF(_xlfn.XLOOKUP(B57,'ELC TECH'!$H:$H,'ELC TECH'!$E:$E)="Non Dispatchable",0.05,IF(_xlfn.XLOOKUP(B57,'ELC TECH'!$H:$H,'ELC TECH'!$E:$E)="Dispatchable",0.9,1))))</f>
        <v>0.3</v>
      </c>
      <c r="I57" s="13">
        <f>IF(_xlfn.XLOOKUP(B57,'ELC TECH'!H:H,'ELC TECH'!J:J)="","",_xlfn.XLOOKUP(B57,'ELC TECH'!H:H,'ELC TECH'!J:J))</f>
        <v>0</v>
      </c>
      <c r="J57" s="12" t="str">
        <f>IF(_xlfn.XLOOKUP($B57,'ELC TECH'!$H:$H,'ELC TECH'!$E:$E)="Storage","",IF(_xlfn.XLOOKUP($B57,'ELC TECH'!$H:$H,'ELC TECH'!AK:AK)="",1,_xlfn.XLOOKUP($B57,'ELC TECH'!$H:$H,'ELC TECH'!AK:AK)))</f>
        <v/>
      </c>
      <c r="K57" s="12" t="str">
        <f>IF(_xlfn.XLOOKUP($B57,'ELC TECH'!$H:$H,'ELC TECH'!$E:$E)="Storage","",IF(_xlfn.XLOOKUP($B57,'ELC TECH'!$H:$H,'ELC TECH'!AL:AL)="",1,_xlfn.XLOOKUP($B57,'ELC TECH'!$H:$H,'ELC TECH'!AL:AL)))</f>
        <v/>
      </c>
      <c r="L57" s="12" t="str">
        <f>IF(_xlfn.XLOOKUP($B57,'ELC TECH'!$H:$H,'ELC TECH'!$E:$E)="Storage","",IF(_xlfn.XLOOKUP($B57,'ELC TECH'!$H:$H,'ELC TECH'!AM:AM)="",1,_xlfn.XLOOKUP($B57,'ELC TECH'!$H:$H,'ELC TECH'!AM:AM)))</f>
        <v/>
      </c>
      <c r="M57" s="12" t="str">
        <f>IF(_xlfn.XLOOKUP($B57,'ELC TECH'!$H:$H,'ELC TECH'!$E:$E)="Storage","",IF(_xlfn.XLOOKUP($B57,'ELC TECH'!$H:$H,'ELC TECH'!AN:AN)="",1,_xlfn.XLOOKUP($B57,'ELC TECH'!$H:$H,'ELC TECH'!AN:AN)))</f>
        <v/>
      </c>
      <c r="N57" s="12" t="str">
        <f>IF(_xlfn.XLOOKUP($B57,'ELC TECH'!$H:$H,'ELC TECH'!$E:$E)="Storage","",IF(_xlfn.XLOOKUP($B57,'ELC TECH'!$H:$H,'ELC TECH'!AO:AO)="",1,_xlfn.XLOOKUP($B57,'ELC TECH'!$H:$H,'ELC TECH'!AO:AO)))</f>
        <v/>
      </c>
      <c r="O57" s="12" t="str">
        <f>IF(_xlfn.XLOOKUP($B57,'ELC TECH'!$H:$H,'ELC TECH'!$E:$E)="Storage","",IF(_xlfn.XLOOKUP($B57,'ELC TECH'!$H:$H,'ELC TECH'!AP:AP)="",1,_xlfn.XLOOKUP($B57,'ELC TECH'!$H:$H,'ELC TECH'!AP:AP)))</f>
        <v/>
      </c>
      <c r="P57" s="12" t="str">
        <f>IF(_xlfn.XLOOKUP($B57,'ELC TECH'!$H:$H,'ELC TECH'!$E:$E)="Storage","",IF(_xlfn.XLOOKUP($B57,'ELC TECH'!$H:$H,'ELC TECH'!AQ:AQ)="",1,_xlfn.XLOOKUP($B57,'ELC TECH'!$H:$H,'ELC TECH'!AQ:AQ)))</f>
        <v/>
      </c>
      <c r="Q57" s="12" t="str">
        <f>IF(_xlfn.XLOOKUP($B57,'ELC TECH'!$H:$H,'ELC TECH'!$E:$E)="Storage","",IF(_xlfn.XLOOKUP($B57,'ELC TECH'!$H:$H,'ELC TECH'!AR:AR)="",1,_xlfn.XLOOKUP($B57,'ELC TECH'!$H:$H,'ELC TECH'!AR:AR)))</f>
        <v/>
      </c>
      <c r="R57" s="12">
        <f>IF(_xlfn.XLOOKUP($B57,'ELC TECH'!$H:$H,'ELC TECH'!$E:$E)&lt;&gt;"Storage","",IF(_xlfn.XLOOKUP($B57,'ELC TECH'!$H:$H,'ELC TECH'!AK:AK)="",0.8,_xlfn.XLOOKUP($B57,'ELC TECH'!$H:$H,'ELC TECH'!AK:AK)))</f>
        <v>0.8</v>
      </c>
      <c r="S57" s="12">
        <f>IF(_xlfn.XLOOKUP($B57,'ELC TECH'!$H:$H,'ELC TECH'!$E:$E)&lt;&gt;"Storage","",IF(_xlfn.XLOOKUP($B57,'ELC TECH'!$H:$H,'ELC TECH'!AL:AL)="",0.8,_xlfn.XLOOKUP($B57,'ELC TECH'!$H:$H,'ELC TECH'!AL:AL)))</f>
        <v>0.8</v>
      </c>
      <c r="T57" s="12">
        <f>IF(_xlfn.XLOOKUP($B57,'ELC TECH'!$H:$H,'ELC TECH'!$E:$E)&lt;&gt;"Storage","",IF(_xlfn.XLOOKUP($B57,'ELC TECH'!$H:$H,'ELC TECH'!AM:AM)="",0.8,_xlfn.XLOOKUP($B57,'ELC TECH'!$H:$H,'ELC TECH'!AM:AM)))</f>
        <v>0.8</v>
      </c>
      <c r="U57" s="12">
        <f>IF(_xlfn.XLOOKUP($B57,'ELC TECH'!$H:$H,'ELC TECH'!$E:$E)&lt;&gt;"Storage","",IF(_xlfn.XLOOKUP($B57,'ELC TECH'!$H:$H,'ELC TECH'!AN:AN)="",0.8,_xlfn.XLOOKUP($B57,'ELC TECH'!$H:$H,'ELC TECH'!AN:AN)))</f>
        <v>0.8</v>
      </c>
      <c r="V57" s="12">
        <f>IF(_xlfn.XLOOKUP($B57,'ELC TECH'!$H:$H,'ELC TECH'!$E:$E)&lt;&gt;"Storage","",IF(_xlfn.XLOOKUP($B57,'ELC TECH'!$H:$H,'ELC TECH'!AO:AO)="",0.8,_xlfn.XLOOKUP($B57,'ELC TECH'!$H:$H,'ELC TECH'!AO:AO)))</f>
        <v>0.8</v>
      </c>
      <c r="W57" s="12">
        <f>IF(_xlfn.XLOOKUP($B57,'ELC TECH'!$H:$H,'ELC TECH'!$E:$E)&lt;&gt;"Storage","",IF(_xlfn.XLOOKUP($B57,'ELC TECH'!$H:$H,'ELC TECH'!AP:AP)="",0.8,_xlfn.XLOOKUP($B57,'ELC TECH'!$H:$H,'ELC TECH'!AP:AP)))</f>
        <v>0.8</v>
      </c>
      <c r="X57" s="12">
        <f>IF(_xlfn.XLOOKUP($B57,'ELC TECH'!$H:$H,'ELC TECH'!$E:$E)&lt;&gt;"Storage","",IF(_xlfn.XLOOKUP($B57,'ELC TECH'!$H:$H,'ELC TECH'!AQ:AQ)="",0.8,_xlfn.XLOOKUP($B57,'ELC TECH'!$H:$H,'ELC TECH'!AQ:AQ)))</f>
        <v>0.8</v>
      </c>
      <c r="Y57" s="12">
        <f>IF(_xlfn.XLOOKUP($B57,'ELC TECH'!$H:$H,'ELC TECH'!$E:$E)&lt;&gt;"Storage","",IF(_xlfn.XLOOKUP($B57,'ELC TECH'!$H:$H,'ELC TECH'!AR:AR)="",0.8,_xlfn.XLOOKUP($B57,'ELC TECH'!$H:$H,'ELC TECH'!AR:AR)))</f>
        <v>0.8</v>
      </c>
      <c r="Z57" s="15">
        <f>_xlfn.XLOOKUP($B57,'ELC TECH'!$H:$H,'ELC TECH'!M:M)</f>
        <v>3454.6144209714198</v>
      </c>
      <c r="AA57" s="15">
        <f>_xlfn.XLOOKUP($B57,'ELC TECH'!$H:$H,'ELC TECH'!N:N)</f>
        <v>3454.6144209714198</v>
      </c>
      <c r="AB57" s="15">
        <f>_xlfn.XLOOKUP($B57,'ELC TECH'!$H:$H,'ELC TECH'!O:O)</f>
        <v>3454.6144209714198</v>
      </c>
      <c r="AC57" s="15">
        <f>_xlfn.XLOOKUP($B57,'ELC TECH'!$H:$H,'ELC TECH'!P:P)</f>
        <v>3454.6144209714198</v>
      </c>
      <c r="AD57" s="15">
        <f>_xlfn.XLOOKUP($B57,'ELC TECH'!$H:$H,'ELC TECH'!Q:Q)</f>
        <v>3454.6144209714198</v>
      </c>
      <c r="AE57" s="15">
        <f>_xlfn.XLOOKUP($B57,'ELC TECH'!$H:$H,'ELC TECH'!R:R)</f>
        <v>3454.6144209714198</v>
      </c>
      <c r="AF57" s="15">
        <f>_xlfn.XLOOKUP($B57,'ELC TECH'!$H:$H,'ELC TECH'!S:S)</f>
        <v>3454.6144209714198</v>
      </c>
      <c r="AG57" s="15">
        <f>_xlfn.XLOOKUP($B57,'ELC TECH'!$H:$H,'ELC TECH'!T:T)</f>
        <v>3454.6144209714198</v>
      </c>
      <c r="AH57" s="15">
        <f>_xlfn.XLOOKUP($B57,'ELC TECH'!$H:$H,'ELC TECH'!U:U)</f>
        <v>21.100097091380029</v>
      </c>
      <c r="AI57" s="15">
        <f>_xlfn.XLOOKUP($B57,'ELC TECH'!$H:$H,'ELC TECH'!V:V)</f>
        <v>21.100097091380029</v>
      </c>
      <c r="AJ57" s="15">
        <f>_xlfn.XLOOKUP($B57,'ELC TECH'!$H:$H,'ELC TECH'!W:W)</f>
        <v>21.100097091380029</v>
      </c>
      <c r="AK57" s="15">
        <f>_xlfn.XLOOKUP($B57,'ELC TECH'!$H:$H,'ELC TECH'!X:X)</f>
        <v>21.100097091380029</v>
      </c>
      <c r="AL57" s="15">
        <f>_xlfn.XLOOKUP($B57,'ELC TECH'!$H:$H,'ELC TECH'!Y:Y)</f>
        <v>21.100097091380029</v>
      </c>
      <c r="AM57" s="15">
        <f>_xlfn.XLOOKUP($B57,'ELC TECH'!$H:$H,'ELC TECH'!Z:Z)</f>
        <v>21.100097091380029</v>
      </c>
      <c r="AN57" s="15">
        <f>_xlfn.XLOOKUP($B57,'ELC TECH'!$H:$H,'ELC TECH'!AA:AA)</f>
        <v>21.100097091380029</v>
      </c>
      <c r="AO57" s="15">
        <f>_xlfn.XLOOKUP($B57,'ELC TECH'!$H:$H,'ELC TECH'!AB:AB)</f>
        <v>21.100097091380029</v>
      </c>
      <c r="AP57" s="15">
        <f>_xlfn.XLOOKUP($B57,'ELC TECH'!$H:$H,'ELC TECH'!AC:AC)</f>
        <v>0.1696149283872993</v>
      </c>
      <c r="AQ57" s="15">
        <f>_xlfn.XLOOKUP($B57,'ELC TECH'!$H:$H,'ELC TECH'!AD:AD)</f>
        <v>0.1696149283872993</v>
      </c>
      <c r="AR57" s="15">
        <f>_xlfn.XLOOKUP($B57,'ELC TECH'!$H:$H,'ELC TECH'!AE:AE)</f>
        <v>0.1696149283872993</v>
      </c>
      <c r="AS57" s="15">
        <f>_xlfn.XLOOKUP($B57,'ELC TECH'!$H:$H,'ELC TECH'!AF:AF)</f>
        <v>0.1696149283872993</v>
      </c>
      <c r="AT57" s="15">
        <f>_xlfn.XLOOKUP($B57,'ELC TECH'!$H:$H,'ELC TECH'!AG:AG)</f>
        <v>0.1696149283872993</v>
      </c>
      <c r="AU57" s="15">
        <f>_xlfn.XLOOKUP($B57,'ELC TECH'!$H:$H,'ELC TECH'!AH:AH)</f>
        <v>0.1696149283872993</v>
      </c>
      <c r="AV57" s="15">
        <f>_xlfn.XLOOKUP($B57,'ELC TECH'!$H:$H,'ELC TECH'!AI:AI)</f>
        <v>0.1696149283872993</v>
      </c>
      <c r="AW57" s="15">
        <f>_xlfn.XLOOKUP($B57,'ELC TECH'!$H:$H,'ELC TECH'!AJ:AJ)</f>
        <v>0.1696149283872993</v>
      </c>
      <c r="AX57" s="12" t="str">
        <f>IF(_xlfn.XLOOKUP($B57,'ELC TECH'!$H:$H,'ELC TECH'!$E:$E)="Storage","",_xlfn.XLOOKUP($B57,'ELC TECH'!$H:$H,'ELC TECH'!AS:AS))</f>
        <v/>
      </c>
      <c r="AY57" s="12" t="str">
        <f>IF(_xlfn.XLOOKUP($B57,'ELC TECH'!$H:$H,'ELC TECH'!$E:$E)="Storage","",_xlfn.XLOOKUP($B57,'ELC TECH'!$H:$H,'ELC TECH'!AT:AT))</f>
        <v/>
      </c>
      <c r="AZ57" s="12" t="str">
        <f>IF(_xlfn.XLOOKUP($B57,'ELC TECH'!$H:$H,'ELC TECH'!$E:$E)="Storage","",_xlfn.XLOOKUP($B57,'ELC TECH'!$H:$H,'ELC TECH'!AU:AU))</f>
        <v/>
      </c>
      <c r="BA57" s="12" t="str">
        <f>IF(_xlfn.XLOOKUP($B57,'ELC TECH'!$H:$H,'ELC TECH'!$E:$E)="Storage","",_xlfn.XLOOKUP($B57,'ELC TECH'!$H:$H,'ELC TECH'!AV:AV))</f>
        <v/>
      </c>
      <c r="BB57" s="12" t="str">
        <f>IF(_xlfn.XLOOKUP($B57,'ELC TECH'!$H:$H,'ELC TECH'!$E:$E)="Storage","",_xlfn.XLOOKUP($B57,'ELC TECH'!$H:$H,'ELC TECH'!AW:AW))</f>
        <v/>
      </c>
      <c r="BC57" s="12" t="str">
        <f>IF(_xlfn.XLOOKUP($B57,'ELC TECH'!$H:$H,'ELC TECH'!$E:$E)="Storage","",_xlfn.XLOOKUP($B57,'ELC TECH'!$H:$H,'ELC TECH'!AX:AX))</f>
        <v/>
      </c>
      <c r="BD57" s="12" t="str">
        <f>IF(_xlfn.XLOOKUP($B57,'ELC TECH'!$H:$H,'ELC TECH'!$E:$E)="Storage","",_xlfn.XLOOKUP($B57,'ELC TECH'!$H:$H,'ELC TECH'!AY:AY))</f>
        <v/>
      </c>
      <c r="BE57" s="12" t="str">
        <f>IF(_xlfn.XLOOKUP($B57,'ELC TECH'!$H:$H,'ELC TECH'!$E:$E)="Storage","",_xlfn.XLOOKUP($B57,'ELC TECH'!$H:$H,'ELC TECH'!AZ:AZ))</f>
        <v/>
      </c>
      <c r="BF57" s="12">
        <f>IF(_xlfn.XLOOKUP($B57,'ELC TECH'!$H:$H,'ELC TECH'!$E:$E)="Storage",_xlfn.XLOOKUP($B57,'ELC TECH'!$H:$H,'ELC TECH'!AS:AS),"")</f>
        <v>0.41666666666666669</v>
      </c>
      <c r="BG57" s="12">
        <f>IF(_xlfn.XLOOKUP($B57,'ELC TECH'!$H:$H,'ELC TECH'!$E:$E)="Storage",_xlfn.XLOOKUP($B57,'ELC TECH'!$H:$H,'ELC TECH'!AT:AT),"")</f>
        <v>0.41666666666666669</v>
      </c>
      <c r="BH57" s="12">
        <f>IF(_xlfn.XLOOKUP($B57,'ELC TECH'!$H:$H,'ELC TECH'!$E:$E)="Storage",_xlfn.XLOOKUP($B57,'ELC TECH'!$H:$H,'ELC TECH'!AU:AU),"")</f>
        <v>0.41666666666666669</v>
      </c>
      <c r="BI57" s="12">
        <f>IF(_xlfn.XLOOKUP($B57,'ELC TECH'!$H:$H,'ELC TECH'!$E:$E)="Storage",_xlfn.XLOOKUP($B57,'ELC TECH'!$H:$H,'ELC TECH'!AV:AV),"")</f>
        <v>0.41666666666666669</v>
      </c>
      <c r="BJ57" s="12">
        <f>IF(_xlfn.XLOOKUP($B57,'ELC TECH'!$H:$H,'ELC TECH'!$E:$E)="Storage",_xlfn.XLOOKUP($B57,'ELC TECH'!$H:$H,'ELC TECH'!AW:AW),"")</f>
        <v>0.41666666666666669</v>
      </c>
      <c r="BK57" s="12">
        <f>IF(_xlfn.XLOOKUP($B57,'ELC TECH'!$H:$H,'ELC TECH'!$E:$E)="Storage",_xlfn.XLOOKUP($B57,'ELC TECH'!$H:$H,'ELC TECH'!AX:AX),"")</f>
        <v>0.41666666666666669</v>
      </c>
      <c r="BL57" s="12">
        <f>IF(_xlfn.XLOOKUP($B57,'ELC TECH'!$H:$H,'ELC TECH'!$E:$E)="Storage",_xlfn.XLOOKUP($B57,'ELC TECH'!$H:$H,'ELC TECH'!AY:AY),"")</f>
        <v>0.41666666666666669</v>
      </c>
      <c r="BM57" s="12">
        <f>IF(_xlfn.XLOOKUP($B57,'ELC TECH'!$H:$H,'ELC TECH'!$E:$E)="Storage",_xlfn.XLOOKUP($B57,'ELC TECH'!$H:$H,'ELC TECH'!AZ:AZ),"")</f>
        <v>0.41666666666666669</v>
      </c>
      <c r="BN57" s="8" t="str">
        <f>IF(_xlfn.XLOOKUP($B57,'ELC TECH'!$H:$H,'ELC TECH'!$E:$E)="Non Dispatchable",IFERROR($AX57*_xlfn.XLOOKUP($C57,$BM$1:$BM$3,BN$1:BN$3)/SUMPRODUCT(_xlfn.XLOOKUP($C57,$BM$1:$BM$3,$BN$1:$BY$3),$BN$4:$BY$4),""),
"")</f>
        <v/>
      </c>
      <c r="BO57" s="8" t="str">
        <f>IF(_xlfn.XLOOKUP($B57,'ELC TECH'!$H:$H,'ELC TECH'!$E:$E)="Non Dispatchable",IFERROR($AX57*_xlfn.XLOOKUP($C57,$BM$1:$BM$3,BO$1:BO$3)/SUMPRODUCT(_xlfn.XLOOKUP($C57,$BM$1:$BM$3,$BN$1:$BY$3),$BN$4:$BY$4),""),
"")</f>
        <v/>
      </c>
      <c r="BP57" s="8" t="str">
        <f>IF(_xlfn.XLOOKUP($B57,'ELC TECH'!$H:$H,'ELC TECH'!$E:$E)="Non Dispatchable",IFERROR($AX57*_xlfn.XLOOKUP($C57,$BM$1:$BM$3,BP$1:BP$3)/SUMPRODUCT(_xlfn.XLOOKUP($C57,$BM$1:$BM$3,$BN$1:$BY$3),$BN$4:$BY$4),""),
"")</f>
        <v/>
      </c>
      <c r="BQ57" s="8" t="str">
        <f>IF(_xlfn.XLOOKUP($B57,'ELC TECH'!$H:$H,'ELC TECH'!$E:$E)="Non Dispatchable",IFERROR($AX57*_xlfn.XLOOKUP($C57,$BM$1:$BM$3,BQ$1:BQ$3)/SUMPRODUCT(_xlfn.XLOOKUP($C57,$BM$1:$BM$3,$BN$1:$BY$3),$BN$4:$BY$4),""),
"")</f>
        <v/>
      </c>
      <c r="BR57" s="8" t="str">
        <f>IF(_xlfn.XLOOKUP($B57,'ELC TECH'!$H:$H,'ELC TECH'!$E:$E)="Non Dispatchable",IFERROR($AX57*_xlfn.XLOOKUP($C57,$BM$1:$BM$3,BR$1:BR$3)/SUMPRODUCT(_xlfn.XLOOKUP($C57,$BM$1:$BM$3,$BN$1:$BY$3),$BN$4:$BY$4),""),
"")</f>
        <v/>
      </c>
      <c r="BS57" s="8" t="str">
        <f>IF(_xlfn.XLOOKUP($B57,'ELC TECH'!$H:$H,'ELC TECH'!$E:$E)="Non Dispatchable",IFERROR($AX57*_xlfn.XLOOKUP($C57,$BM$1:$BM$3,BS$1:BS$3)/SUMPRODUCT(_xlfn.XLOOKUP($C57,$BM$1:$BM$3,$BN$1:$BY$3),$BN$4:$BY$4),""),
"")</f>
        <v/>
      </c>
      <c r="BT57" s="8" t="str">
        <f>IF(_xlfn.XLOOKUP($B57,'ELC TECH'!$H:$H,'ELC TECH'!$E:$E)="Non Dispatchable",IFERROR($AX57*_xlfn.XLOOKUP($C57,$BM$1:$BM$3,BT$1:BT$3)/SUMPRODUCT(_xlfn.XLOOKUP($C57,$BM$1:$BM$3,$BN$1:$BY$3),$BN$4:$BY$4),""),
"")</f>
        <v/>
      </c>
      <c r="BU57" s="8" t="str">
        <f>IF(_xlfn.XLOOKUP($B57,'ELC TECH'!$H:$H,'ELC TECH'!$E:$E)="Non Dispatchable",IFERROR($AX57*_xlfn.XLOOKUP($C57,$BM$1:$BM$3,BU$1:BU$3)/SUMPRODUCT(_xlfn.XLOOKUP($C57,$BM$1:$BM$3,$BN$1:$BY$3),$BN$4:$BY$4),""),
"")</f>
        <v/>
      </c>
      <c r="BV57" s="8" t="str">
        <f>IF(_xlfn.XLOOKUP($B57,'ELC TECH'!$H:$H,'ELC TECH'!$E:$E)="Non Dispatchable",IFERROR($AX57*_xlfn.XLOOKUP($C57,$BM$1:$BM$3,BV$1:BV$3)/SUMPRODUCT(_xlfn.XLOOKUP($C57,$BM$1:$BM$3,$BN$1:$BY$3),$BN$4:$BY$4),""),
"")</f>
        <v/>
      </c>
      <c r="BW57" s="8" t="str">
        <f>IF(_xlfn.XLOOKUP($B57,'ELC TECH'!$H:$H,'ELC TECH'!$E:$E)="Non Dispatchable",IFERROR($AX57*_xlfn.XLOOKUP($C57,$BM$1:$BM$3,BW$1:BW$3)/SUMPRODUCT(_xlfn.XLOOKUP($C57,$BM$1:$BM$3,$BN$1:$BY$3),$BN$4:$BY$4),""),
"")</f>
        <v/>
      </c>
      <c r="BX57" s="8" t="str">
        <f>IF(_xlfn.XLOOKUP($B57,'ELC TECH'!$H:$H,'ELC TECH'!$E:$E)="Non Dispatchable",IFERROR($AX57*_xlfn.XLOOKUP($C57,$BM$1:$BM$3,BX$1:BX$3)/SUMPRODUCT(_xlfn.XLOOKUP($C57,$BM$1:$BM$3,$BN$1:$BY$3),$BN$4:$BY$4),""),
"")</f>
        <v/>
      </c>
      <c r="BY57" s="8" t="str">
        <f>IF(_xlfn.XLOOKUP($B57,'ELC TECH'!$H:$H,'ELC TECH'!$E:$E)="Non Dispatchable",IFERROR($AX57*_xlfn.XLOOKUP($C57,$BM$1:$BM$3,BY$1:BY$3)/SUMPRODUCT(_xlfn.XLOOKUP($C57,$BM$1:$BM$3,$BN$1:$BY$3),$BN$4:$BY$4),""),
"")</f>
        <v/>
      </c>
      <c r="BZ57" s="8" t="str">
        <f>IF(_xlfn.XLOOKUP($B57,'ELC TECH'!$H:$H,'ELC TECH'!$E:$E)="Non Dispatchable",IFERROR($AX57*_xlfn.XLOOKUP($C57,$BM$1:$BM$3,BZ$1:BZ$3)/SUMPRODUCT(_xlfn.XLOOKUP($C57,$BM$1:$BM$3,$BN$1:$BY$3),$BN$4:$BY$4),""),
"")</f>
        <v/>
      </c>
      <c r="CA57" s="8" t="str">
        <f>IF(_xlfn.XLOOKUP($B57,'ELC TECH'!$H:$H,'ELC TECH'!$E:$E)="Non Dispatchable",IFERROR($AX57*_xlfn.XLOOKUP($C57,$BM$1:$BM$3,CA$1:CA$3)/SUMPRODUCT(_xlfn.XLOOKUP($C57,$BM$1:$BM$3,$BN$1:$BY$3),$BN$4:$BY$4),""),
"")</f>
        <v/>
      </c>
      <c r="CB57" s="8" t="str">
        <f>IF(_xlfn.XLOOKUP($B57,'ELC TECH'!$H:$H,'ELC TECH'!$E:$E)="Non Dispatchable",IFERROR($AX57*_xlfn.XLOOKUP($C57,$BM$1:$BM$3,CB$1:CB$3)/SUMPRODUCT(_xlfn.XLOOKUP($C57,$BM$1:$BM$3,$BN$1:$BY$3),$BN$4:$BY$4),""),
"")</f>
        <v/>
      </c>
      <c r="CC57" s="8" t="str">
        <f>IF(_xlfn.XLOOKUP($B57,'ELC TECH'!$H:$H,'ELC TECH'!$E:$E)="Non Dispatchable",IFERROR($AX57*_xlfn.XLOOKUP($C57,$BM$1:$BM$3,CC$1:CC$3)/SUMPRODUCT(_xlfn.XLOOKUP($C57,$BM$1:$BM$3,$BN$1:$BY$3),$BN$4:$BY$4),""),
"")</f>
        <v/>
      </c>
      <c r="CD57" s="8" t="str">
        <f>IF(_xlfn.XLOOKUP($B57,'ELC TECH'!$H:$H,'ELC TECH'!$E:$E)="Non Dispatchable",IFERROR($AX57*_xlfn.XLOOKUP($C57,$BM$1:$BM$3,CD$1:CD$3)/SUMPRODUCT(_xlfn.XLOOKUP($C57,$BM$1:$BM$3,$BN$1:$BY$3),$BN$4:$BY$4),""),
"")</f>
        <v/>
      </c>
      <c r="CE57" s="8" t="str">
        <f>IF(_xlfn.XLOOKUP($B57,'ELC TECH'!$H:$H,'ELC TECH'!$E:$E)="Non Dispatchable",IFERROR($AX57*_xlfn.XLOOKUP($C57,$BM$1:$BM$3,CE$1:CE$3)/SUMPRODUCT(_xlfn.XLOOKUP($C57,$BM$1:$BM$3,$BN$1:$BY$3),$BN$4:$BY$4),""),
"")</f>
        <v/>
      </c>
      <c r="CF57" s="8" t="str">
        <f>IF(_xlfn.XLOOKUP($B57,'ELC TECH'!$H:$H,'ELC TECH'!$E:$E)="Non Dispatchable",IFERROR($AX57*_xlfn.XLOOKUP($C57,$BM$1:$BM$3,CF$1:CF$3)/SUMPRODUCT(_xlfn.XLOOKUP($C57,$BM$1:$BM$3,$BN$1:$BY$3),$BN$4:$BY$4),""),
"")</f>
        <v/>
      </c>
      <c r="CG57" s="8" t="str">
        <f>IF(_xlfn.XLOOKUP($B57,'ELC TECH'!$H:$H,'ELC TECH'!$E:$E)="Non Dispatchable",IFERROR($AX57*_xlfn.XLOOKUP($C57,$BM$1:$BM$3,CG$1:CG$3)/SUMPRODUCT(_xlfn.XLOOKUP($C57,$BM$1:$BM$3,$BN$1:$BY$3),$BN$4:$BY$4),""),
"")</f>
        <v/>
      </c>
      <c r="CH57" s="8" t="str">
        <f>IF(_xlfn.XLOOKUP($B57,'ELC TECH'!$H:$H,'ELC TECH'!$E:$E)="Non Dispatchable",IFERROR($AX57*_xlfn.XLOOKUP($C57,$BM$1:$BM$3,CH$1:CH$3)/SUMPRODUCT(_xlfn.XLOOKUP($C57,$BM$1:$BM$3,$BN$1:$BY$3),$BN$4:$BY$4),""),
"")</f>
        <v/>
      </c>
      <c r="CI57" s="8" t="str">
        <f>IF(_xlfn.XLOOKUP($B57,'ELC TECH'!$H:$H,'ELC TECH'!$E:$E)="Non Dispatchable",IFERROR($AX57*_xlfn.XLOOKUP($C57,$BM$1:$BM$3,CI$1:CI$3)/SUMPRODUCT(_xlfn.XLOOKUP($C57,$BM$1:$BM$3,$BN$1:$BY$3),$BN$4:$BY$4),""),
"")</f>
        <v/>
      </c>
      <c r="CJ57" s="8" t="str">
        <f>IF(_xlfn.XLOOKUP($B57,'ELC TECH'!$H:$H,'ELC TECH'!$E:$E)="Non Dispatchable",IFERROR($AX57*_xlfn.XLOOKUP($C57,$BM$1:$BM$3,CJ$1:CJ$3)/SUMPRODUCT(_xlfn.XLOOKUP($C57,$BM$1:$BM$3,$BN$1:$BY$3),$BN$4:$BY$4),""),
"")</f>
        <v/>
      </c>
      <c r="CK57" s="8" t="str">
        <f>IF(_xlfn.XLOOKUP($B57,'ELC TECH'!$H:$H,'ELC TECH'!$E:$E)="Non Dispatchable",IFERROR($AX57*_xlfn.XLOOKUP($C57,$BM$1:$BM$3,CK$1:CK$3)/SUMPRODUCT(_xlfn.XLOOKUP($C57,$BM$1:$BM$3,$BN$1:$BY$3),$BN$4:$BY$4),""),
"")</f>
        <v/>
      </c>
      <c r="CL57" s="8">
        <f>IF(_xlfn.XLOOKUP($B57,'ELC TECH'!$H:$H,'ELC TECH'!$E:$E)="Storage",CL$4*$BF57,"")</f>
        <v>3.4250000000000003E-2</v>
      </c>
      <c r="CM57" s="8">
        <f>IF(_xlfn.XLOOKUP($B57,'ELC TECH'!$H:$H,'ELC TECH'!$E:$E)="Storage",CM$4*$BF57,"")</f>
        <v>3.9875000000000001E-2</v>
      </c>
      <c r="CN57" s="8">
        <f>IF(_xlfn.XLOOKUP($B57,'ELC TECH'!$H:$H,'ELC TECH'!$E:$E)="Storage",CN$4*$BF57,"")</f>
        <v>6.3833333333333339E-2</v>
      </c>
      <c r="CO57" s="8">
        <f>IF(_xlfn.XLOOKUP($B57,'ELC TECH'!$H:$H,'ELC TECH'!$E:$E)="Storage",CO$4*$BF57,"")</f>
        <v>1.3333333333333335E-3</v>
      </c>
      <c r="CP57" s="8">
        <f>IF(_xlfn.XLOOKUP($B57,'ELC TECH'!$H:$H,'ELC TECH'!$E:$E)="Storage",CP$4*$BF57,"")</f>
        <v>3.3958333333333333E-2</v>
      </c>
      <c r="CQ57" s="8">
        <f>IF(_xlfn.XLOOKUP($B57,'ELC TECH'!$H:$H,'ELC TECH'!$E:$E)="Storage",CQ$4*$BF57,"")</f>
        <v>4.5291666666666668E-2</v>
      </c>
      <c r="CR57" s="8">
        <f>IF(_xlfn.XLOOKUP($B57,'ELC TECH'!$H:$H,'ELC TECH'!$E:$E)="Storage",CR$4*$BF57,"")</f>
        <v>5.7541666666666672E-2</v>
      </c>
      <c r="CS57" s="8">
        <f>IF(_xlfn.XLOOKUP($B57,'ELC TECH'!$H:$H,'ELC TECH'!$E:$E)="Storage",CS$4*$BF57,"")</f>
        <v>1.3333333333333335E-3</v>
      </c>
      <c r="CT57" s="8">
        <f>IF(_xlfn.XLOOKUP($B57,'ELC TECH'!$H:$H,'ELC TECH'!$E:$E)="Storage",CT$4*$BF57,"")</f>
        <v>4.0625000000000001E-2</v>
      </c>
      <c r="CU57" s="8">
        <f>IF(_xlfn.XLOOKUP($B57,'ELC TECH'!$H:$H,'ELC TECH'!$E:$E)="Storage",CU$4*$BF57,"")</f>
        <v>4.5291666666666668E-2</v>
      </c>
      <c r="CV57" s="8">
        <f>IF(_xlfn.XLOOKUP($B57,'ELC TECH'!$H:$H,'ELC TECH'!$E:$E)="Storage",CV$4*$BF57,"")</f>
        <v>5.2208333333333336E-2</v>
      </c>
      <c r="CW57" s="8">
        <f>IF(_xlfn.XLOOKUP($B57,'ELC TECH'!$H:$H,'ELC TECH'!$E:$E)="Storage",CW$4*$BF57,"")</f>
        <v>1.1250000000000001E-3</v>
      </c>
      <c r="CX57" s="8">
        <f>IF(_xlfn.XLOOKUP($B57,'ELC TECH'!$H:$H,'ELC TECH'!$E:$E)="Storage",CX$4*$BF57,"")</f>
        <v>3.4250000000000003E-2</v>
      </c>
      <c r="CY57" s="8">
        <f>IF(_xlfn.XLOOKUP($B57,'ELC TECH'!$H:$H,'ELC TECH'!$E:$E)="Storage",CY$4*$BF57,"")</f>
        <v>3.9875000000000001E-2</v>
      </c>
      <c r="CZ57" s="8">
        <f>IF(_xlfn.XLOOKUP($B57,'ELC TECH'!$H:$H,'ELC TECH'!$E:$E)="Storage",CZ$4*$BF57,"")</f>
        <v>6.3833333333333339E-2</v>
      </c>
      <c r="DA57" s="8">
        <f>IF(_xlfn.XLOOKUP($B57,'ELC TECH'!$H:$H,'ELC TECH'!$E:$E)="Storage",DA$4*$BF57,"")</f>
        <v>1.3333333333333335E-3</v>
      </c>
      <c r="DB57" s="8">
        <f>IF(_xlfn.XLOOKUP($B57,'ELC TECH'!$H:$H,'ELC TECH'!$E:$E)="Storage",DB$4*$BF57,"")</f>
        <v>3.3958333333333333E-2</v>
      </c>
      <c r="DC57" s="8">
        <f>IF(_xlfn.XLOOKUP($B57,'ELC TECH'!$H:$H,'ELC TECH'!$E:$E)="Storage",DC$4*$BF57,"")</f>
        <v>4.5291666666666668E-2</v>
      </c>
      <c r="DD57" s="8">
        <f>IF(_xlfn.XLOOKUP($B57,'ELC TECH'!$H:$H,'ELC TECH'!$E:$E)="Storage",DD$4*$BF57,"")</f>
        <v>5.7541666666666672E-2</v>
      </c>
      <c r="DE57" s="8">
        <f>IF(_xlfn.XLOOKUP($B57,'ELC TECH'!$H:$H,'ELC TECH'!$E:$E)="Storage",DE$4*$BF57,"")</f>
        <v>1.3333333333333335E-3</v>
      </c>
      <c r="DF57" s="8">
        <f>IF(_xlfn.XLOOKUP($B57,'ELC TECH'!$H:$H,'ELC TECH'!$E:$E)="Storage",DF$4*$BF57,"")</f>
        <v>4.0625000000000001E-2</v>
      </c>
      <c r="DG57" s="8">
        <f>IF(_xlfn.XLOOKUP($B57,'ELC TECH'!$H:$H,'ELC TECH'!$E:$E)="Storage",DG$4*$BF57,"")</f>
        <v>4.5291666666666668E-2</v>
      </c>
      <c r="DH57" s="8">
        <f>IF(_xlfn.XLOOKUP($B57,'ELC TECH'!$H:$H,'ELC TECH'!$E:$E)="Storage",DH$4*$BF57,"")</f>
        <v>5.2208333333333336E-2</v>
      </c>
      <c r="DI57" s="8">
        <f>IF(_xlfn.XLOOKUP($B57,'ELC TECH'!$H:$H,'ELC TECH'!$E:$E)="Storage",DI$4*$BF57,"")</f>
        <v>1.1250000000000001E-3</v>
      </c>
    </row>
    <row r="58" spans="2:113" x14ac:dyDescent="0.25">
      <c r="B58" t="str">
        <f>IF('ELC TECH'!I51=0,"*",'ELC TECH'!H51)</f>
        <v>ELCSTGGRDPSH10HC820</v>
      </c>
      <c r="C58" t="str">
        <f>IF(_xlfn.XLOOKUP(_xlfn.XLOOKUP(B58,'ELC TECH'!$H:$H,'ELC TECH'!$G:$G),List!C:C,List!B:B)="STG",D58,"ELC"&amp;_xlfn.XLOOKUP(_xlfn.XLOOKUP(B58,'ELC TECH'!H:H,'ELC TECH'!G:G),List!C:C,List!B:B))</f>
        <v>CELC</v>
      </c>
      <c r="D58" t="s">
        <v>544</v>
      </c>
      <c r="E58">
        <f>_xlfn.XLOOKUP(B58,'ELC TECH'!H:H,'ELC TECH'!D:D)</f>
        <v>2020</v>
      </c>
      <c r="F58">
        <f>_xlfn.XLOOKUP(B58,'ELC TECH'!H:H,'ELC TECH'!K:K)</f>
        <v>100</v>
      </c>
      <c r="G58">
        <f t="shared" si="5"/>
        <v>31.535999999999998</v>
      </c>
      <c r="H58">
        <f>IF(_xlfn.XLOOKUP(B58,'ELC TECH'!$H:$H,'ELC TECH'!$E:$E)="Storage",0.3,IF(_xlfn.XLOOKUP(B58,'ELC TECH'!$H:$H,'ELC TECH'!$E:$E)="Baseload",0.9,IF(_xlfn.XLOOKUP(B58,'ELC TECH'!$H:$H,'ELC TECH'!$E:$E)="Non Dispatchable",0.05,IF(_xlfn.XLOOKUP(B58,'ELC TECH'!$H:$H,'ELC TECH'!$E:$E)="Dispatchable",0.9,1))))</f>
        <v>0.3</v>
      </c>
      <c r="I58" s="13">
        <f>IF(_xlfn.XLOOKUP(B58,'ELC TECH'!H:H,'ELC TECH'!J:J)="","",_xlfn.XLOOKUP(B58,'ELC TECH'!H:H,'ELC TECH'!J:J))</f>
        <v>0</v>
      </c>
      <c r="J58" s="12" t="str">
        <f>IF(_xlfn.XLOOKUP($B58,'ELC TECH'!$H:$H,'ELC TECH'!$E:$E)="Storage","",IF(_xlfn.XLOOKUP($B58,'ELC TECH'!$H:$H,'ELC TECH'!AK:AK)="",1,_xlfn.XLOOKUP($B58,'ELC TECH'!$H:$H,'ELC TECH'!AK:AK)))</f>
        <v/>
      </c>
      <c r="K58" s="12" t="str">
        <f>IF(_xlfn.XLOOKUP($B58,'ELC TECH'!$H:$H,'ELC TECH'!$E:$E)="Storage","",IF(_xlfn.XLOOKUP($B58,'ELC TECH'!$H:$H,'ELC TECH'!AL:AL)="",1,_xlfn.XLOOKUP($B58,'ELC TECH'!$H:$H,'ELC TECH'!AL:AL)))</f>
        <v/>
      </c>
      <c r="L58" s="12" t="str">
        <f>IF(_xlfn.XLOOKUP($B58,'ELC TECH'!$H:$H,'ELC TECH'!$E:$E)="Storage","",IF(_xlfn.XLOOKUP($B58,'ELC TECH'!$H:$H,'ELC TECH'!AM:AM)="",1,_xlfn.XLOOKUP($B58,'ELC TECH'!$H:$H,'ELC TECH'!AM:AM)))</f>
        <v/>
      </c>
      <c r="M58" s="12" t="str">
        <f>IF(_xlfn.XLOOKUP($B58,'ELC TECH'!$H:$H,'ELC TECH'!$E:$E)="Storage","",IF(_xlfn.XLOOKUP($B58,'ELC TECH'!$H:$H,'ELC TECH'!AN:AN)="",1,_xlfn.XLOOKUP($B58,'ELC TECH'!$H:$H,'ELC TECH'!AN:AN)))</f>
        <v/>
      </c>
      <c r="N58" s="12" t="str">
        <f>IF(_xlfn.XLOOKUP($B58,'ELC TECH'!$H:$H,'ELC TECH'!$E:$E)="Storage","",IF(_xlfn.XLOOKUP($B58,'ELC TECH'!$H:$H,'ELC TECH'!AO:AO)="",1,_xlfn.XLOOKUP($B58,'ELC TECH'!$H:$H,'ELC TECH'!AO:AO)))</f>
        <v/>
      </c>
      <c r="O58" s="12" t="str">
        <f>IF(_xlfn.XLOOKUP($B58,'ELC TECH'!$H:$H,'ELC TECH'!$E:$E)="Storage","",IF(_xlfn.XLOOKUP($B58,'ELC TECH'!$H:$H,'ELC TECH'!AP:AP)="",1,_xlfn.XLOOKUP($B58,'ELC TECH'!$H:$H,'ELC TECH'!AP:AP)))</f>
        <v/>
      </c>
      <c r="P58" s="12" t="str">
        <f>IF(_xlfn.XLOOKUP($B58,'ELC TECH'!$H:$H,'ELC TECH'!$E:$E)="Storage","",IF(_xlfn.XLOOKUP($B58,'ELC TECH'!$H:$H,'ELC TECH'!AQ:AQ)="",1,_xlfn.XLOOKUP($B58,'ELC TECH'!$H:$H,'ELC TECH'!AQ:AQ)))</f>
        <v/>
      </c>
      <c r="Q58" s="12" t="str">
        <f>IF(_xlfn.XLOOKUP($B58,'ELC TECH'!$H:$H,'ELC TECH'!$E:$E)="Storage","",IF(_xlfn.XLOOKUP($B58,'ELC TECH'!$H:$H,'ELC TECH'!AR:AR)="",1,_xlfn.XLOOKUP($B58,'ELC TECH'!$H:$H,'ELC TECH'!AR:AR)))</f>
        <v/>
      </c>
      <c r="R58" s="12">
        <f>IF(_xlfn.XLOOKUP($B58,'ELC TECH'!$H:$H,'ELC TECH'!$E:$E)&lt;&gt;"Storage","",IF(_xlfn.XLOOKUP($B58,'ELC TECH'!$H:$H,'ELC TECH'!AK:AK)="",0.8,_xlfn.XLOOKUP($B58,'ELC TECH'!$H:$H,'ELC TECH'!AK:AK)))</f>
        <v>0.8</v>
      </c>
      <c r="S58" s="12">
        <f>IF(_xlfn.XLOOKUP($B58,'ELC TECH'!$H:$H,'ELC TECH'!$E:$E)&lt;&gt;"Storage","",IF(_xlfn.XLOOKUP($B58,'ELC TECH'!$H:$H,'ELC TECH'!AL:AL)="",0.8,_xlfn.XLOOKUP($B58,'ELC TECH'!$H:$H,'ELC TECH'!AL:AL)))</f>
        <v>0.8</v>
      </c>
      <c r="T58" s="12">
        <f>IF(_xlfn.XLOOKUP($B58,'ELC TECH'!$H:$H,'ELC TECH'!$E:$E)&lt;&gt;"Storage","",IF(_xlfn.XLOOKUP($B58,'ELC TECH'!$H:$H,'ELC TECH'!AM:AM)="",0.8,_xlfn.XLOOKUP($B58,'ELC TECH'!$H:$H,'ELC TECH'!AM:AM)))</f>
        <v>0.8</v>
      </c>
      <c r="U58" s="12">
        <f>IF(_xlfn.XLOOKUP($B58,'ELC TECH'!$H:$H,'ELC TECH'!$E:$E)&lt;&gt;"Storage","",IF(_xlfn.XLOOKUP($B58,'ELC TECH'!$H:$H,'ELC TECH'!AN:AN)="",0.8,_xlfn.XLOOKUP($B58,'ELC TECH'!$H:$H,'ELC TECH'!AN:AN)))</f>
        <v>0.8</v>
      </c>
      <c r="V58" s="12">
        <f>IF(_xlfn.XLOOKUP($B58,'ELC TECH'!$H:$H,'ELC TECH'!$E:$E)&lt;&gt;"Storage","",IF(_xlfn.XLOOKUP($B58,'ELC TECH'!$H:$H,'ELC TECH'!AO:AO)="",0.8,_xlfn.XLOOKUP($B58,'ELC TECH'!$H:$H,'ELC TECH'!AO:AO)))</f>
        <v>0.8</v>
      </c>
      <c r="W58" s="12">
        <f>IF(_xlfn.XLOOKUP($B58,'ELC TECH'!$H:$H,'ELC TECH'!$E:$E)&lt;&gt;"Storage","",IF(_xlfn.XLOOKUP($B58,'ELC TECH'!$H:$H,'ELC TECH'!AP:AP)="",0.8,_xlfn.XLOOKUP($B58,'ELC TECH'!$H:$H,'ELC TECH'!AP:AP)))</f>
        <v>0.8</v>
      </c>
      <c r="X58" s="12">
        <f>IF(_xlfn.XLOOKUP($B58,'ELC TECH'!$H:$H,'ELC TECH'!$E:$E)&lt;&gt;"Storage","",IF(_xlfn.XLOOKUP($B58,'ELC TECH'!$H:$H,'ELC TECH'!AQ:AQ)="",0.8,_xlfn.XLOOKUP($B58,'ELC TECH'!$H:$H,'ELC TECH'!AQ:AQ)))</f>
        <v>0.8</v>
      </c>
      <c r="Y58" s="12">
        <f>IF(_xlfn.XLOOKUP($B58,'ELC TECH'!$H:$H,'ELC TECH'!$E:$E)&lt;&gt;"Storage","",IF(_xlfn.XLOOKUP($B58,'ELC TECH'!$H:$H,'ELC TECH'!AR:AR)="",0.8,_xlfn.XLOOKUP($B58,'ELC TECH'!$H:$H,'ELC TECH'!AR:AR)))</f>
        <v>0.8</v>
      </c>
      <c r="Z58" s="15">
        <f>_xlfn.XLOOKUP($B58,'ELC TECH'!$H:$H,'ELC TECH'!M:M)</f>
        <v>3580.1995949713692</v>
      </c>
      <c r="AA58" s="15">
        <f>_xlfn.XLOOKUP($B58,'ELC TECH'!$H:$H,'ELC TECH'!N:N)</f>
        <v>3580.1995949713692</v>
      </c>
      <c r="AB58" s="15">
        <f>_xlfn.XLOOKUP($B58,'ELC TECH'!$H:$H,'ELC TECH'!O:O)</f>
        <v>3580.1995949713692</v>
      </c>
      <c r="AC58" s="15">
        <f>_xlfn.XLOOKUP($B58,'ELC TECH'!$H:$H,'ELC TECH'!P:P)</f>
        <v>3580.1995949713692</v>
      </c>
      <c r="AD58" s="15">
        <f>_xlfn.XLOOKUP($B58,'ELC TECH'!$H:$H,'ELC TECH'!Q:Q)</f>
        <v>3580.1995949713692</v>
      </c>
      <c r="AE58" s="15">
        <f>_xlfn.XLOOKUP($B58,'ELC TECH'!$H:$H,'ELC TECH'!R:R)</f>
        <v>3580.1995949713692</v>
      </c>
      <c r="AF58" s="15">
        <f>_xlfn.XLOOKUP($B58,'ELC TECH'!$H:$H,'ELC TECH'!S:S)</f>
        <v>3580.1995949713692</v>
      </c>
      <c r="AG58" s="15">
        <f>_xlfn.XLOOKUP($B58,'ELC TECH'!$H:$H,'ELC TECH'!T:T)</f>
        <v>3580.1995949713692</v>
      </c>
      <c r="AH58" s="15">
        <f>_xlfn.XLOOKUP($B58,'ELC TECH'!$H:$H,'ELC TECH'!U:U)</f>
        <v>21.100097091380029</v>
      </c>
      <c r="AI58" s="15">
        <f>_xlfn.XLOOKUP($B58,'ELC TECH'!$H:$H,'ELC TECH'!V:V)</f>
        <v>21.100097091380029</v>
      </c>
      <c r="AJ58" s="15">
        <f>_xlfn.XLOOKUP($B58,'ELC TECH'!$H:$H,'ELC TECH'!W:W)</f>
        <v>21.100097091380029</v>
      </c>
      <c r="AK58" s="15">
        <f>_xlfn.XLOOKUP($B58,'ELC TECH'!$H:$H,'ELC TECH'!X:X)</f>
        <v>21.100097091380029</v>
      </c>
      <c r="AL58" s="15">
        <f>_xlfn.XLOOKUP($B58,'ELC TECH'!$H:$H,'ELC TECH'!Y:Y)</f>
        <v>21.100097091380029</v>
      </c>
      <c r="AM58" s="15">
        <f>_xlfn.XLOOKUP($B58,'ELC TECH'!$H:$H,'ELC TECH'!Z:Z)</f>
        <v>21.100097091380029</v>
      </c>
      <c r="AN58" s="15">
        <f>_xlfn.XLOOKUP($B58,'ELC TECH'!$H:$H,'ELC TECH'!AA:AA)</f>
        <v>21.100097091380029</v>
      </c>
      <c r="AO58" s="15">
        <f>_xlfn.XLOOKUP($B58,'ELC TECH'!$H:$H,'ELC TECH'!AB:AB)</f>
        <v>21.100097091380029</v>
      </c>
      <c r="AP58" s="15">
        <f>_xlfn.XLOOKUP($B58,'ELC TECH'!$H:$H,'ELC TECH'!AC:AC)</f>
        <v>0.1696149283872993</v>
      </c>
      <c r="AQ58" s="15">
        <f>_xlfn.XLOOKUP($B58,'ELC TECH'!$H:$H,'ELC TECH'!AD:AD)</f>
        <v>0.1696149283872993</v>
      </c>
      <c r="AR58" s="15">
        <f>_xlfn.XLOOKUP($B58,'ELC TECH'!$H:$H,'ELC TECH'!AE:AE)</f>
        <v>0.1696149283872993</v>
      </c>
      <c r="AS58" s="15">
        <f>_xlfn.XLOOKUP($B58,'ELC TECH'!$H:$H,'ELC TECH'!AF:AF)</f>
        <v>0.1696149283872993</v>
      </c>
      <c r="AT58" s="15">
        <f>_xlfn.XLOOKUP($B58,'ELC TECH'!$H:$H,'ELC TECH'!AG:AG)</f>
        <v>0.1696149283872993</v>
      </c>
      <c r="AU58" s="15">
        <f>_xlfn.XLOOKUP($B58,'ELC TECH'!$H:$H,'ELC TECH'!AH:AH)</f>
        <v>0.1696149283872993</v>
      </c>
      <c r="AV58" s="15">
        <f>_xlfn.XLOOKUP($B58,'ELC TECH'!$H:$H,'ELC TECH'!AI:AI)</f>
        <v>0.1696149283872993</v>
      </c>
      <c r="AW58" s="15">
        <f>_xlfn.XLOOKUP($B58,'ELC TECH'!$H:$H,'ELC TECH'!AJ:AJ)</f>
        <v>0.1696149283872993</v>
      </c>
      <c r="AX58" s="12" t="str">
        <f>IF(_xlfn.XLOOKUP($B58,'ELC TECH'!$H:$H,'ELC TECH'!$E:$E)="Storage","",_xlfn.XLOOKUP($B58,'ELC TECH'!$H:$H,'ELC TECH'!AS:AS))</f>
        <v/>
      </c>
      <c r="AY58" s="12" t="str">
        <f>IF(_xlfn.XLOOKUP($B58,'ELC TECH'!$H:$H,'ELC TECH'!$E:$E)="Storage","",_xlfn.XLOOKUP($B58,'ELC TECH'!$H:$H,'ELC TECH'!AT:AT))</f>
        <v/>
      </c>
      <c r="AZ58" s="12" t="str">
        <f>IF(_xlfn.XLOOKUP($B58,'ELC TECH'!$H:$H,'ELC TECH'!$E:$E)="Storage","",_xlfn.XLOOKUP($B58,'ELC TECH'!$H:$H,'ELC TECH'!AU:AU))</f>
        <v/>
      </c>
      <c r="BA58" s="12" t="str">
        <f>IF(_xlfn.XLOOKUP($B58,'ELC TECH'!$H:$H,'ELC TECH'!$E:$E)="Storage","",_xlfn.XLOOKUP($B58,'ELC TECH'!$H:$H,'ELC TECH'!AV:AV))</f>
        <v/>
      </c>
      <c r="BB58" s="12" t="str">
        <f>IF(_xlfn.XLOOKUP($B58,'ELC TECH'!$H:$H,'ELC TECH'!$E:$E)="Storage","",_xlfn.XLOOKUP($B58,'ELC TECH'!$H:$H,'ELC TECH'!AW:AW))</f>
        <v/>
      </c>
      <c r="BC58" s="12" t="str">
        <f>IF(_xlfn.XLOOKUP($B58,'ELC TECH'!$H:$H,'ELC TECH'!$E:$E)="Storage","",_xlfn.XLOOKUP($B58,'ELC TECH'!$H:$H,'ELC TECH'!AX:AX))</f>
        <v/>
      </c>
      <c r="BD58" s="12" t="str">
        <f>IF(_xlfn.XLOOKUP($B58,'ELC TECH'!$H:$H,'ELC TECH'!$E:$E)="Storage","",_xlfn.XLOOKUP($B58,'ELC TECH'!$H:$H,'ELC TECH'!AY:AY))</f>
        <v/>
      </c>
      <c r="BE58" s="12" t="str">
        <f>IF(_xlfn.XLOOKUP($B58,'ELC TECH'!$H:$H,'ELC TECH'!$E:$E)="Storage","",_xlfn.XLOOKUP($B58,'ELC TECH'!$H:$H,'ELC TECH'!AZ:AZ))</f>
        <v/>
      </c>
      <c r="BF58" s="12">
        <f>IF(_xlfn.XLOOKUP($B58,'ELC TECH'!$H:$H,'ELC TECH'!$E:$E)="Storage",_xlfn.XLOOKUP($B58,'ELC TECH'!$H:$H,'ELC TECH'!AS:AS),"")</f>
        <v>0.41666666666666669</v>
      </c>
      <c r="BG58" s="12">
        <f>IF(_xlfn.XLOOKUP($B58,'ELC TECH'!$H:$H,'ELC TECH'!$E:$E)="Storage",_xlfn.XLOOKUP($B58,'ELC TECH'!$H:$H,'ELC TECH'!AT:AT),"")</f>
        <v>0.41666666666666669</v>
      </c>
      <c r="BH58" s="12">
        <f>IF(_xlfn.XLOOKUP($B58,'ELC TECH'!$H:$H,'ELC TECH'!$E:$E)="Storage",_xlfn.XLOOKUP($B58,'ELC TECH'!$H:$H,'ELC TECH'!AU:AU),"")</f>
        <v>0.41666666666666669</v>
      </c>
      <c r="BI58" s="12">
        <f>IF(_xlfn.XLOOKUP($B58,'ELC TECH'!$H:$H,'ELC TECH'!$E:$E)="Storage",_xlfn.XLOOKUP($B58,'ELC TECH'!$H:$H,'ELC TECH'!AV:AV),"")</f>
        <v>0.41666666666666669</v>
      </c>
      <c r="BJ58" s="12">
        <f>IF(_xlfn.XLOOKUP($B58,'ELC TECH'!$H:$H,'ELC TECH'!$E:$E)="Storage",_xlfn.XLOOKUP($B58,'ELC TECH'!$H:$H,'ELC TECH'!AW:AW),"")</f>
        <v>0.41666666666666669</v>
      </c>
      <c r="BK58" s="12">
        <f>IF(_xlfn.XLOOKUP($B58,'ELC TECH'!$H:$H,'ELC TECH'!$E:$E)="Storage",_xlfn.XLOOKUP($B58,'ELC TECH'!$H:$H,'ELC TECH'!AX:AX),"")</f>
        <v>0.41666666666666669</v>
      </c>
      <c r="BL58" s="12">
        <f>IF(_xlfn.XLOOKUP($B58,'ELC TECH'!$H:$H,'ELC TECH'!$E:$E)="Storage",_xlfn.XLOOKUP($B58,'ELC TECH'!$H:$H,'ELC TECH'!AY:AY),"")</f>
        <v>0.41666666666666669</v>
      </c>
      <c r="BM58" s="12">
        <f>IF(_xlfn.XLOOKUP($B58,'ELC TECH'!$H:$H,'ELC TECH'!$E:$E)="Storage",_xlfn.XLOOKUP($B58,'ELC TECH'!$H:$H,'ELC TECH'!AZ:AZ),"")</f>
        <v>0.41666666666666669</v>
      </c>
      <c r="BN58" s="8" t="str">
        <f>IF(_xlfn.XLOOKUP($B58,'ELC TECH'!$H:$H,'ELC TECH'!$E:$E)="Non Dispatchable",IFERROR($AX58*_xlfn.XLOOKUP($C58,$BM$1:$BM$3,BN$1:BN$3)/SUMPRODUCT(_xlfn.XLOOKUP($C58,$BM$1:$BM$3,$BN$1:$BY$3),$BN$4:$BY$4),""),
"")</f>
        <v/>
      </c>
      <c r="BO58" s="8" t="str">
        <f>IF(_xlfn.XLOOKUP($B58,'ELC TECH'!$H:$H,'ELC TECH'!$E:$E)="Non Dispatchable",IFERROR($AX58*_xlfn.XLOOKUP($C58,$BM$1:$BM$3,BO$1:BO$3)/SUMPRODUCT(_xlfn.XLOOKUP($C58,$BM$1:$BM$3,$BN$1:$BY$3),$BN$4:$BY$4),""),
"")</f>
        <v/>
      </c>
      <c r="BP58" s="8" t="str">
        <f>IF(_xlfn.XLOOKUP($B58,'ELC TECH'!$H:$H,'ELC TECH'!$E:$E)="Non Dispatchable",IFERROR($AX58*_xlfn.XLOOKUP($C58,$BM$1:$BM$3,BP$1:BP$3)/SUMPRODUCT(_xlfn.XLOOKUP($C58,$BM$1:$BM$3,$BN$1:$BY$3),$BN$4:$BY$4),""),
"")</f>
        <v/>
      </c>
      <c r="BQ58" s="8" t="str">
        <f>IF(_xlfn.XLOOKUP($B58,'ELC TECH'!$H:$H,'ELC TECH'!$E:$E)="Non Dispatchable",IFERROR($AX58*_xlfn.XLOOKUP($C58,$BM$1:$BM$3,BQ$1:BQ$3)/SUMPRODUCT(_xlfn.XLOOKUP($C58,$BM$1:$BM$3,$BN$1:$BY$3),$BN$4:$BY$4),""),
"")</f>
        <v/>
      </c>
      <c r="BR58" s="8" t="str">
        <f>IF(_xlfn.XLOOKUP($B58,'ELC TECH'!$H:$H,'ELC TECH'!$E:$E)="Non Dispatchable",IFERROR($AX58*_xlfn.XLOOKUP($C58,$BM$1:$BM$3,BR$1:BR$3)/SUMPRODUCT(_xlfn.XLOOKUP($C58,$BM$1:$BM$3,$BN$1:$BY$3),$BN$4:$BY$4),""),
"")</f>
        <v/>
      </c>
      <c r="BS58" s="8" t="str">
        <f>IF(_xlfn.XLOOKUP($B58,'ELC TECH'!$H:$H,'ELC TECH'!$E:$E)="Non Dispatchable",IFERROR($AX58*_xlfn.XLOOKUP($C58,$BM$1:$BM$3,BS$1:BS$3)/SUMPRODUCT(_xlfn.XLOOKUP($C58,$BM$1:$BM$3,$BN$1:$BY$3),$BN$4:$BY$4),""),
"")</f>
        <v/>
      </c>
      <c r="BT58" s="8" t="str">
        <f>IF(_xlfn.XLOOKUP($B58,'ELC TECH'!$H:$H,'ELC TECH'!$E:$E)="Non Dispatchable",IFERROR($AX58*_xlfn.XLOOKUP($C58,$BM$1:$BM$3,BT$1:BT$3)/SUMPRODUCT(_xlfn.XLOOKUP($C58,$BM$1:$BM$3,$BN$1:$BY$3),$BN$4:$BY$4),""),
"")</f>
        <v/>
      </c>
      <c r="BU58" s="8" t="str">
        <f>IF(_xlfn.XLOOKUP($B58,'ELC TECH'!$H:$H,'ELC TECH'!$E:$E)="Non Dispatchable",IFERROR($AX58*_xlfn.XLOOKUP($C58,$BM$1:$BM$3,BU$1:BU$3)/SUMPRODUCT(_xlfn.XLOOKUP($C58,$BM$1:$BM$3,$BN$1:$BY$3),$BN$4:$BY$4),""),
"")</f>
        <v/>
      </c>
      <c r="BV58" s="8" t="str">
        <f>IF(_xlfn.XLOOKUP($B58,'ELC TECH'!$H:$H,'ELC TECH'!$E:$E)="Non Dispatchable",IFERROR($AX58*_xlfn.XLOOKUP($C58,$BM$1:$BM$3,BV$1:BV$3)/SUMPRODUCT(_xlfn.XLOOKUP($C58,$BM$1:$BM$3,$BN$1:$BY$3),$BN$4:$BY$4),""),
"")</f>
        <v/>
      </c>
      <c r="BW58" s="8" t="str">
        <f>IF(_xlfn.XLOOKUP($B58,'ELC TECH'!$H:$H,'ELC TECH'!$E:$E)="Non Dispatchable",IFERROR($AX58*_xlfn.XLOOKUP($C58,$BM$1:$BM$3,BW$1:BW$3)/SUMPRODUCT(_xlfn.XLOOKUP($C58,$BM$1:$BM$3,$BN$1:$BY$3),$BN$4:$BY$4),""),
"")</f>
        <v/>
      </c>
      <c r="BX58" s="8" t="str">
        <f>IF(_xlfn.XLOOKUP($B58,'ELC TECH'!$H:$H,'ELC TECH'!$E:$E)="Non Dispatchable",IFERROR($AX58*_xlfn.XLOOKUP($C58,$BM$1:$BM$3,BX$1:BX$3)/SUMPRODUCT(_xlfn.XLOOKUP($C58,$BM$1:$BM$3,$BN$1:$BY$3),$BN$4:$BY$4),""),
"")</f>
        <v/>
      </c>
      <c r="BY58" s="8" t="str">
        <f>IF(_xlfn.XLOOKUP($B58,'ELC TECH'!$H:$H,'ELC TECH'!$E:$E)="Non Dispatchable",IFERROR($AX58*_xlfn.XLOOKUP($C58,$BM$1:$BM$3,BY$1:BY$3)/SUMPRODUCT(_xlfn.XLOOKUP($C58,$BM$1:$BM$3,$BN$1:$BY$3),$BN$4:$BY$4),""),
"")</f>
        <v/>
      </c>
      <c r="BZ58" s="8" t="str">
        <f>IF(_xlfn.XLOOKUP($B58,'ELC TECH'!$H:$H,'ELC TECH'!$E:$E)="Non Dispatchable",IFERROR($AX58*_xlfn.XLOOKUP($C58,$BM$1:$BM$3,BZ$1:BZ$3)/SUMPRODUCT(_xlfn.XLOOKUP($C58,$BM$1:$BM$3,$BN$1:$BY$3),$BN$4:$BY$4),""),
"")</f>
        <v/>
      </c>
      <c r="CA58" s="8" t="str">
        <f>IF(_xlfn.XLOOKUP($B58,'ELC TECH'!$H:$H,'ELC TECH'!$E:$E)="Non Dispatchable",IFERROR($AX58*_xlfn.XLOOKUP($C58,$BM$1:$BM$3,CA$1:CA$3)/SUMPRODUCT(_xlfn.XLOOKUP($C58,$BM$1:$BM$3,$BN$1:$BY$3),$BN$4:$BY$4),""),
"")</f>
        <v/>
      </c>
      <c r="CB58" s="8" t="str">
        <f>IF(_xlfn.XLOOKUP($B58,'ELC TECH'!$H:$H,'ELC TECH'!$E:$E)="Non Dispatchable",IFERROR($AX58*_xlfn.XLOOKUP($C58,$BM$1:$BM$3,CB$1:CB$3)/SUMPRODUCT(_xlfn.XLOOKUP($C58,$BM$1:$BM$3,$BN$1:$BY$3),$BN$4:$BY$4),""),
"")</f>
        <v/>
      </c>
      <c r="CC58" s="8" t="str">
        <f>IF(_xlfn.XLOOKUP($B58,'ELC TECH'!$H:$H,'ELC TECH'!$E:$E)="Non Dispatchable",IFERROR($AX58*_xlfn.XLOOKUP($C58,$BM$1:$BM$3,CC$1:CC$3)/SUMPRODUCT(_xlfn.XLOOKUP($C58,$BM$1:$BM$3,$BN$1:$BY$3),$BN$4:$BY$4),""),
"")</f>
        <v/>
      </c>
      <c r="CD58" s="8" t="str">
        <f>IF(_xlfn.XLOOKUP($B58,'ELC TECH'!$H:$H,'ELC TECH'!$E:$E)="Non Dispatchable",IFERROR($AX58*_xlfn.XLOOKUP($C58,$BM$1:$BM$3,CD$1:CD$3)/SUMPRODUCT(_xlfn.XLOOKUP($C58,$BM$1:$BM$3,$BN$1:$BY$3),$BN$4:$BY$4),""),
"")</f>
        <v/>
      </c>
      <c r="CE58" s="8" t="str">
        <f>IF(_xlfn.XLOOKUP($B58,'ELC TECH'!$H:$H,'ELC TECH'!$E:$E)="Non Dispatchable",IFERROR($AX58*_xlfn.XLOOKUP($C58,$BM$1:$BM$3,CE$1:CE$3)/SUMPRODUCT(_xlfn.XLOOKUP($C58,$BM$1:$BM$3,$BN$1:$BY$3),$BN$4:$BY$4),""),
"")</f>
        <v/>
      </c>
      <c r="CF58" s="8" t="str">
        <f>IF(_xlfn.XLOOKUP($B58,'ELC TECH'!$H:$H,'ELC TECH'!$E:$E)="Non Dispatchable",IFERROR($AX58*_xlfn.XLOOKUP($C58,$BM$1:$BM$3,CF$1:CF$3)/SUMPRODUCT(_xlfn.XLOOKUP($C58,$BM$1:$BM$3,$BN$1:$BY$3),$BN$4:$BY$4),""),
"")</f>
        <v/>
      </c>
      <c r="CG58" s="8" t="str">
        <f>IF(_xlfn.XLOOKUP($B58,'ELC TECH'!$H:$H,'ELC TECH'!$E:$E)="Non Dispatchable",IFERROR($AX58*_xlfn.XLOOKUP($C58,$BM$1:$BM$3,CG$1:CG$3)/SUMPRODUCT(_xlfn.XLOOKUP($C58,$BM$1:$BM$3,$BN$1:$BY$3),$BN$4:$BY$4),""),
"")</f>
        <v/>
      </c>
      <c r="CH58" s="8" t="str">
        <f>IF(_xlfn.XLOOKUP($B58,'ELC TECH'!$H:$H,'ELC TECH'!$E:$E)="Non Dispatchable",IFERROR($AX58*_xlfn.XLOOKUP($C58,$BM$1:$BM$3,CH$1:CH$3)/SUMPRODUCT(_xlfn.XLOOKUP($C58,$BM$1:$BM$3,$BN$1:$BY$3),$BN$4:$BY$4),""),
"")</f>
        <v/>
      </c>
      <c r="CI58" s="8" t="str">
        <f>IF(_xlfn.XLOOKUP($B58,'ELC TECH'!$H:$H,'ELC TECH'!$E:$E)="Non Dispatchable",IFERROR($AX58*_xlfn.XLOOKUP($C58,$BM$1:$BM$3,CI$1:CI$3)/SUMPRODUCT(_xlfn.XLOOKUP($C58,$BM$1:$BM$3,$BN$1:$BY$3),$BN$4:$BY$4),""),
"")</f>
        <v/>
      </c>
      <c r="CJ58" s="8" t="str">
        <f>IF(_xlfn.XLOOKUP($B58,'ELC TECH'!$H:$H,'ELC TECH'!$E:$E)="Non Dispatchable",IFERROR($AX58*_xlfn.XLOOKUP($C58,$BM$1:$BM$3,CJ$1:CJ$3)/SUMPRODUCT(_xlfn.XLOOKUP($C58,$BM$1:$BM$3,$BN$1:$BY$3),$BN$4:$BY$4),""),
"")</f>
        <v/>
      </c>
      <c r="CK58" s="8" t="str">
        <f>IF(_xlfn.XLOOKUP($B58,'ELC TECH'!$H:$H,'ELC TECH'!$E:$E)="Non Dispatchable",IFERROR($AX58*_xlfn.XLOOKUP($C58,$BM$1:$BM$3,CK$1:CK$3)/SUMPRODUCT(_xlfn.XLOOKUP($C58,$BM$1:$BM$3,$BN$1:$BY$3),$BN$4:$BY$4),""),
"")</f>
        <v/>
      </c>
      <c r="CL58" s="8">
        <f>IF(_xlfn.XLOOKUP($B58,'ELC TECH'!$H:$H,'ELC TECH'!$E:$E)="Storage",CL$4*$BF58,"")</f>
        <v>3.4250000000000003E-2</v>
      </c>
      <c r="CM58" s="8">
        <f>IF(_xlfn.XLOOKUP($B58,'ELC TECH'!$H:$H,'ELC TECH'!$E:$E)="Storage",CM$4*$BF58,"")</f>
        <v>3.9875000000000001E-2</v>
      </c>
      <c r="CN58" s="8">
        <f>IF(_xlfn.XLOOKUP($B58,'ELC TECH'!$H:$H,'ELC TECH'!$E:$E)="Storage",CN$4*$BF58,"")</f>
        <v>6.3833333333333339E-2</v>
      </c>
      <c r="CO58" s="8">
        <f>IF(_xlfn.XLOOKUP($B58,'ELC TECH'!$H:$H,'ELC TECH'!$E:$E)="Storage",CO$4*$BF58,"")</f>
        <v>1.3333333333333335E-3</v>
      </c>
      <c r="CP58" s="8">
        <f>IF(_xlfn.XLOOKUP($B58,'ELC TECH'!$H:$H,'ELC TECH'!$E:$E)="Storage",CP$4*$BF58,"")</f>
        <v>3.3958333333333333E-2</v>
      </c>
      <c r="CQ58" s="8">
        <f>IF(_xlfn.XLOOKUP($B58,'ELC TECH'!$H:$H,'ELC TECH'!$E:$E)="Storage",CQ$4*$BF58,"")</f>
        <v>4.5291666666666668E-2</v>
      </c>
      <c r="CR58" s="8">
        <f>IF(_xlfn.XLOOKUP($B58,'ELC TECH'!$H:$H,'ELC TECH'!$E:$E)="Storage",CR$4*$BF58,"")</f>
        <v>5.7541666666666672E-2</v>
      </c>
      <c r="CS58" s="8">
        <f>IF(_xlfn.XLOOKUP($B58,'ELC TECH'!$H:$H,'ELC TECH'!$E:$E)="Storage",CS$4*$BF58,"")</f>
        <v>1.3333333333333335E-3</v>
      </c>
      <c r="CT58" s="8">
        <f>IF(_xlfn.XLOOKUP($B58,'ELC TECH'!$H:$H,'ELC TECH'!$E:$E)="Storage",CT$4*$BF58,"")</f>
        <v>4.0625000000000001E-2</v>
      </c>
      <c r="CU58" s="8">
        <f>IF(_xlfn.XLOOKUP($B58,'ELC TECH'!$H:$H,'ELC TECH'!$E:$E)="Storage",CU$4*$BF58,"")</f>
        <v>4.5291666666666668E-2</v>
      </c>
      <c r="CV58" s="8">
        <f>IF(_xlfn.XLOOKUP($B58,'ELC TECH'!$H:$H,'ELC TECH'!$E:$E)="Storage",CV$4*$BF58,"")</f>
        <v>5.2208333333333336E-2</v>
      </c>
      <c r="CW58" s="8">
        <f>IF(_xlfn.XLOOKUP($B58,'ELC TECH'!$H:$H,'ELC TECH'!$E:$E)="Storage",CW$4*$BF58,"")</f>
        <v>1.1250000000000001E-3</v>
      </c>
      <c r="CX58" s="8">
        <f>IF(_xlfn.XLOOKUP($B58,'ELC TECH'!$H:$H,'ELC TECH'!$E:$E)="Storage",CX$4*$BF58,"")</f>
        <v>3.4250000000000003E-2</v>
      </c>
      <c r="CY58" s="8">
        <f>IF(_xlfn.XLOOKUP($B58,'ELC TECH'!$H:$H,'ELC TECH'!$E:$E)="Storage",CY$4*$BF58,"")</f>
        <v>3.9875000000000001E-2</v>
      </c>
      <c r="CZ58" s="8">
        <f>IF(_xlfn.XLOOKUP($B58,'ELC TECH'!$H:$H,'ELC TECH'!$E:$E)="Storage",CZ$4*$BF58,"")</f>
        <v>6.3833333333333339E-2</v>
      </c>
      <c r="DA58" s="8">
        <f>IF(_xlfn.XLOOKUP($B58,'ELC TECH'!$H:$H,'ELC TECH'!$E:$E)="Storage",DA$4*$BF58,"")</f>
        <v>1.3333333333333335E-3</v>
      </c>
      <c r="DB58" s="8">
        <f>IF(_xlfn.XLOOKUP($B58,'ELC TECH'!$H:$H,'ELC TECH'!$E:$E)="Storage",DB$4*$BF58,"")</f>
        <v>3.3958333333333333E-2</v>
      </c>
      <c r="DC58" s="8">
        <f>IF(_xlfn.XLOOKUP($B58,'ELC TECH'!$H:$H,'ELC TECH'!$E:$E)="Storage",DC$4*$BF58,"")</f>
        <v>4.5291666666666668E-2</v>
      </c>
      <c r="DD58" s="8">
        <f>IF(_xlfn.XLOOKUP($B58,'ELC TECH'!$H:$H,'ELC TECH'!$E:$E)="Storage",DD$4*$BF58,"")</f>
        <v>5.7541666666666672E-2</v>
      </c>
      <c r="DE58" s="8">
        <f>IF(_xlfn.XLOOKUP($B58,'ELC TECH'!$H:$H,'ELC TECH'!$E:$E)="Storage",DE$4*$BF58,"")</f>
        <v>1.3333333333333335E-3</v>
      </c>
      <c r="DF58" s="8">
        <f>IF(_xlfn.XLOOKUP($B58,'ELC TECH'!$H:$H,'ELC TECH'!$E:$E)="Storage",DF$4*$BF58,"")</f>
        <v>4.0625000000000001E-2</v>
      </c>
      <c r="DG58" s="8">
        <f>IF(_xlfn.XLOOKUP($B58,'ELC TECH'!$H:$H,'ELC TECH'!$E:$E)="Storage",DG$4*$BF58,"")</f>
        <v>4.5291666666666668E-2</v>
      </c>
      <c r="DH58" s="8">
        <f>IF(_xlfn.XLOOKUP($B58,'ELC TECH'!$H:$H,'ELC TECH'!$E:$E)="Storage",DH$4*$BF58,"")</f>
        <v>5.2208333333333336E-2</v>
      </c>
      <c r="DI58" s="8">
        <f>IF(_xlfn.XLOOKUP($B58,'ELC TECH'!$H:$H,'ELC TECH'!$E:$E)="Storage",DI$4*$BF58,"")</f>
        <v>1.1250000000000001E-3</v>
      </c>
    </row>
    <row r="59" spans="2:113" x14ac:dyDescent="0.25">
      <c r="B59" t="str">
        <f>IF('ELC TECH'!I52=0,"*",'ELC TECH'!H52)</f>
        <v>ELCSTGGRDPSH10HC920</v>
      </c>
      <c r="C59" t="str">
        <f>IF(_xlfn.XLOOKUP(_xlfn.XLOOKUP(B59,'ELC TECH'!$H:$H,'ELC TECH'!$G:$G),List!C:C,List!B:B)="STG",D59,"ELC"&amp;_xlfn.XLOOKUP(_xlfn.XLOOKUP(B59,'ELC TECH'!H:H,'ELC TECH'!G:G),List!C:C,List!B:B))</f>
        <v>CELC</v>
      </c>
      <c r="D59" t="s">
        <v>544</v>
      </c>
      <c r="E59">
        <f>_xlfn.XLOOKUP(B59,'ELC TECH'!H:H,'ELC TECH'!D:D)</f>
        <v>2020</v>
      </c>
      <c r="F59">
        <f>_xlfn.XLOOKUP(B59,'ELC TECH'!H:H,'ELC TECH'!K:K)</f>
        <v>100</v>
      </c>
      <c r="G59">
        <f t="shared" si="5"/>
        <v>31.535999999999998</v>
      </c>
      <c r="H59">
        <f>IF(_xlfn.XLOOKUP(B59,'ELC TECH'!$H:$H,'ELC TECH'!$E:$E)="Storage",0.3,IF(_xlfn.XLOOKUP(B59,'ELC TECH'!$H:$H,'ELC TECH'!$E:$E)="Baseload",0.9,IF(_xlfn.XLOOKUP(B59,'ELC TECH'!$H:$H,'ELC TECH'!$E:$E)="Non Dispatchable",0.05,IF(_xlfn.XLOOKUP(B59,'ELC TECH'!$H:$H,'ELC TECH'!$E:$E)="Dispatchable",0.9,1))))</f>
        <v>0.3</v>
      </c>
      <c r="I59" s="13">
        <f>IF(_xlfn.XLOOKUP(B59,'ELC TECH'!H:H,'ELC TECH'!J:J)="","",_xlfn.XLOOKUP(B59,'ELC TECH'!H:H,'ELC TECH'!J:J))</f>
        <v>0</v>
      </c>
      <c r="J59" s="12" t="str">
        <f>IF(_xlfn.XLOOKUP($B59,'ELC TECH'!$H:$H,'ELC TECH'!$E:$E)="Storage","",IF(_xlfn.XLOOKUP($B59,'ELC TECH'!$H:$H,'ELC TECH'!AK:AK)="",1,_xlfn.XLOOKUP($B59,'ELC TECH'!$H:$H,'ELC TECH'!AK:AK)))</f>
        <v/>
      </c>
      <c r="K59" s="12" t="str">
        <f>IF(_xlfn.XLOOKUP($B59,'ELC TECH'!$H:$H,'ELC TECH'!$E:$E)="Storage","",IF(_xlfn.XLOOKUP($B59,'ELC TECH'!$H:$H,'ELC TECH'!AL:AL)="",1,_xlfn.XLOOKUP($B59,'ELC TECH'!$H:$H,'ELC TECH'!AL:AL)))</f>
        <v/>
      </c>
      <c r="L59" s="12" t="str">
        <f>IF(_xlfn.XLOOKUP($B59,'ELC TECH'!$H:$H,'ELC TECH'!$E:$E)="Storage","",IF(_xlfn.XLOOKUP($B59,'ELC TECH'!$H:$H,'ELC TECH'!AM:AM)="",1,_xlfn.XLOOKUP($B59,'ELC TECH'!$H:$H,'ELC TECH'!AM:AM)))</f>
        <v/>
      </c>
      <c r="M59" s="12" t="str">
        <f>IF(_xlfn.XLOOKUP($B59,'ELC TECH'!$H:$H,'ELC TECH'!$E:$E)="Storage","",IF(_xlfn.XLOOKUP($B59,'ELC TECH'!$H:$H,'ELC TECH'!AN:AN)="",1,_xlfn.XLOOKUP($B59,'ELC TECH'!$H:$H,'ELC TECH'!AN:AN)))</f>
        <v/>
      </c>
      <c r="N59" s="12" t="str">
        <f>IF(_xlfn.XLOOKUP($B59,'ELC TECH'!$H:$H,'ELC TECH'!$E:$E)="Storage","",IF(_xlfn.XLOOKUP($B59,'ELC TECH'!$H:$H,'ELC TECH'!AO:AO)="",1,_xlfn.XLOOKUP($B59,'ELC TECH'!$H:$H,'ELC TECH'!AO:AO)))</f>
        <v/>
      </c>
      <c r="O59" s="12" t="str">
        <f>IF(_xlfn.XLOOKUP($B59,'ELC TECH'!$H:$H,'ELC TECH'!$E:$E)="Storage","",IF(_xlfn.XLOOKUP($B59,'ELC TECH'!$H:$H,'ELC TECH'!AP:AP)="",1,_xlfn.XLOOKUP($B59,'ELC TECH'!$H:$H,'ELC TECH'!AP:AP)))</f>
        <v/>
      </c>
      <c r="P59" s="12" t="str">
        <f>IF(_xlfn.XLOOKUP($B59,'ELC TECH'!$H:$H,'ELC TECH'!$E:$E)="Storage","",IF(_xlfn.XLOOKUP($B59,'ELC TECH'!$H:$H,'ELC TECH'!AQ:AQ)="",1,_xlfn.XLOOKUP($B59,'ELC TECH'!$H:$H,'ELC TECH'!AQ:AQ)))</f>
        <v/>
      </c>
      <c r="Q59" s="12" t="str">
        <f>IF(_xlfn.XLOOKUP($B59,'ELC TECH'!$H:$H,'ELC TECH'!$E:$E)="Storage","",IF(_xlfn.XLOOKUP($B59,'ELC TECH'!$H:$H,'ELC TECH'!AR:AR)="",1,_xlfn.XLOOKUP($B59,'ELC TECH'!$H:$H,'ELC TECH'!AR:AR)))</f>
        <v/>
      </c>
      <c r="R59" s="12">
        <f>IF(_xlfn.XLOOKUP($B59,'ELC TECH'!$H:$H,'ELC TECH'!$E:$E)&lt;&gt;"Storage","",IF(_xlfn.XLOOKUP($B59,'ELC TECH'!$H:$H,'ELC TECH'!AK:AK)="",0.8,_xlfn.XLOOKUP($B59,'ELC TECH'!$H:$H,'ELC TECH'!AK:AK)))</f>
        <v>0.8</v>
      </c>
      <c r="S59" s="12">
        <f>IF(_xlfn.XLOOKUP($B59,'ELC TECH'!$H:$H,'ELC TECH'!$E:$E)&lt;&gt;"Storage","",IF(_xlfn.XLOOKUP($B59,'ELC TECH'!$H:$H,'ELC TECH'!AL:AL)="",0.8,_xlfn.XLOOKUP($B59,'ELC TECH'!$H:$H,'ELC TECH'!AL:AL)))</f>
        <v>0.8</v>
      </c>
      <c r="T59" s="12">
        <f>IF(_xlfn.XLOOKUP($B59,'ELC TECH'!$H:$H,'ELC TECH'!$E:$E)&lt;&gt;"Storage","",IF(_xlfn.XLOOKUP($B59,'ELC TECH'!$H:$H,'ELC TECH'!AM:AM)="",0.8,_xlfn.XLOOKUP($B59,'ELC TECH'!$H:$H,'ELC TECH'!AM:AM)))</f>
        <v>0.8</v>
      </c>
      <c r="U59" s="12">
        <f>IF(_xlfn.XLOOKUP($B59,'ELC TECH'!$H:$H,'ELC TECH'!$E:$E)&lt;&gt;"Storage","",IF(_xlfn.XLOOKUP($B59,'ELC TECH'!$H:$H,'ELC TECH'!AN:AN)="",0.8,_xlfn.XLOOKUP($B59,'ELC TECH'!$H:$H,'ELC TECH'!AN:AN)))</f>
        <v>0.8</v>
      </c>
      <c r="V59" s="12">
        <f>IF(_xlfn.XLOOKUP($B59,'ELC TECH'!$H:$H,'ELC TECH'!$E:$E)&lt;&gt;"Storage","",IF(_xlfn.XLOOKUP($B59,'ELC TECH'!$H:$H,'ELC TECH'!AO:AO)="",0.8,_xlfn.XLOOKUP($B59,'ELC TECH'!$H:$H,'ELC TECH'!AO:AO)))</f>
        <v>0.8</v>
      </c>
      <c r="W59" s="12">
        <f>IF(_xlfn.XLOOKUP($B59,'ELC TECH'!$H:$H,'ELC TECH'!$E:$E)&lt;&gt;"Storage","",IF(_xlfn.XLOOKUP($B59,'ELC TECH'!$H:$H,'ELC TECH'!AP:AP)="",0.8,_xlfn.XLOOKUP($B59,'ELC TECH'!$H:$H,'ELC TECH'!AP:AP)))</f>
        <v>0.8</v>
      </c>
      <c r="X59" s="12">
        <f>IF(_xlfn.XLOOKUP($B59,'ELC TECH'!$H:$H,'ELC TECH'!$E:$E)&lt;&gt;"Storage","",IF(_xlfn.XLOOKUP($B59,'ELC TECH'!$H:$H,'ELC TECH'!AQ:AQ)="",0.8,_xlfn.XLOOKUP($B59,'ELC TECH'!$H:$H,'ELC TECH'!AQ:AQ)))</f>
        <v>0.8</v>
      </c>
      <c r="Y59" s="12">
        <f>IF(_xlfn.XLOOKUP($B59,'ELC TECH'!$H:$H,'ELC TECH'!$E:$E)&lt;&gt;"Storage","",IF(_xlfn.XLOOKUP($B59,'ELC TECH'!$H:$H,'ELC TECH'!AR:AR)="",0.8,_xlfn.XLOOKUP($B59,'ELC TECH'!$H:$H,'ELC TECH'!AR:AR)))</f>
        <v>0.8</v>
      </c>
      <c r="Z59" s="15">
        <f>_xlfn.XLOOKUP($B59,'ELC TECH'!$H:$H,'ELC TECH'!M:M)</f>
        <v>3708.5881563782859</v>
      </c>
      <c r="AA59" s="15">
        <f>_xlfn.XLOOKUP($B59,'ELC TECH'!$H:$H,'ELC TECH'!N:N)</f>
        <v>3708.5881563782859</v>
      </c>
      <c r="AB59" s="15">
        <f>_xlfn.XLOOKUP($B59,'ELC TECH'!$H:$H,'ELC TECH'!O:O)</f>
        <v>3708.5881563782859</v>
      </c>
      <c r="AC59" s="15">
        <f>_xlfn.XLOOKUP($B59,'ELC TECH'!$H:$H,'ELC TECH'!P:P)</f>
        <v>3708.5881563782859</v>
      </c>
      <c r="AD59" s="15">
        <f>_xlfn.XLOOKUP($B59,'ELC TECH'!$H:$H,'ELC TECH'!Q:Q)</f>
        <v>3708.5881563782859</v>
      </c>
      <c r="AE59" s="15">
        <f>_xlfn.XLOOKUP($B59,'ELC TECH'!$H:$H,'ELC TECH'!R:R)</f>
        <v>3708.5881563782859</v>
      </c>
      <c r="AF59" s="15">
        <f>_xlfn.XLOOKUP($B59,'ELC TECH'!$H:$H,'ELC TECH'!S:S)</f>
        <v>3708.5881563782859</v>
      </c>
      <c r="AG59" s="15">
        <f>_xlfn.XLOOKUP($B59,'ELC TECH'!$H:$H,'ELC TECH'!T:T)</f>
        <v>3708.5881563782859</v>
      </c>
      <c r="AH59" s="15">
        <f>_xlfn.XLOOKUP($B59,'ELC TECH'!$H:$H,'ELC TECH'!U:U)</f>
        <v>21.100097091380029</v>
      </c>
      <c r="AI59" s="15">
        <f>_xlfn.XLOOKUP($B59,'ELC TECH'!$H:$H,'ELC TECH'!V:V)</f>
        <v>21.100097091380029</v>
      </c>
      <c r="AJ59" s="15">
        <f>_xlfn.XLOOKUP($B59,'ELC TECH'!$H:$H,'ELC TECH'!W:W)</f>
        <v>21.100097091380029</v>
      </c>
      <c r="AK59" s="15">
        <f>_xlfn.XLOOKUP($B59,'ELC TECH'!$H:$H,'ELC TECH'!X:X)</f>
        <v>21.100097091380029</v>
      </c>
      <c r="AL59" s="15">
        <f>_xlfn.XLOOKUP($B59,'ELC TECH'!$H:$H,'ELC TECH'!Y:Y)</f>
        <v>21.100097091380029</v>
      </c>
      <c r="AM59" s="15">
        <f>_xlfn.XLOOKUP($B59,'ELC TECH'!$H:$H,'ELC TECH'!Z:Z)</f>
        <v>21.100097091380029</v>
      </c>
      <c r="AN59" s="15">
        <f>_xlfn.XLOOKUP($B59,'ELC TECH'!$H:$H,'ELC TECH'!AA:AA)</f>
        <v>21.100097091380029</v>
      </c>
      <c r="AO59" s="15">
        <f>_xlfn.XLOOKUP($B59,'ELC TECH'!$H:$H,'ELC TECH'!AB:AB)</f>
        <v>21.100097091380029</v>
      </c>
      <c r="AP59" s="15">
        <f>_xlfn.XLOOKUP($B59,'ELC TECH'!$H:$H,'ELC TECH'!AC:AC)</f>
        <v>0.1696149283872993</v>
      </c>
      <c r="AQ59" s="15">
        <f>_xlfn.XLOOKUP($B59,'ELC TECH'!$H:$H,'ELC TECH'!AD:AD)</f>
        <v>0.1696149283872993</v>
      </c>
      <c r="AR59" s="15">
        <f>_xlfn.XLOOKUP($B59,'ELC TECH'!$H:$H,'ELC TECH'!AE:AE)</f>
        <v>0.1696149283872993</v>
      </c>
      <c r="AS59" s="15">
        <f>_xlfn.XLOOKUP($B59,'ELC TECH'!$H:$H,'ELC TECH'!AF:AF)</f>
        <v>0.1696149283872993</v>
      </c>
      <c r="AT59" s="15">
        <f>_xlfn.XLOOKUP($B59,'ELC TECH'!$H:$H,'ELC TECH'!AG:AG)</f>
        <v>0.1696149283872993</v>
      </c>
      <c r="AU59" s="15">
        <f>_xlfn.XLOOKUP($B59,'ELC TECH'!$H:$H,'ELC TECH'!AH:AH)</f>
        <v>0.1696149283872993</v>
      </c>
      <c r="AV59" s="15">
        <f>_xlfn.XLOOKUP($B59,'ELC TECH'!$H:$H,'ELC TECH'!AI:AI)</f>
        <v>0.1696149283872993</v>
      </c>
      <c r="AW59" s="15">
        <f>_xlfn.XLOOKUP($B59,'ELC TECH'!$H:$H,'ELC TECH'!AJ:AJ)</f>
        <v>0.1696149283872993</v>
      </c>
      <c r="AX59" s="12" t="str">
        <f>IF(_xlfn.XLOOKUP($B59,'ELC TECH'!$H:$H,'ELC TECH'!$E:$E)="Storage","",_xlfn.XLOOKUP($B59,'ELC TECH'!$H:$H,'ELC TECH'!AS:AS))</f>
        <v/>
      </c>
      <c r="AY59" s="12" t="str">
        <f>IF(_xlfn.XLOOKUP($B59,'ELC TECH'!$H:$H,'ELC TECH'!$E:$E)="Storage","",_xlfn.XLOOKUP($B59,'ELC TECH'!$H:$H,'ELC TECH'!AT:AT))</f>
        <v/>
      </c>
      <c r="AZ59" s="12" t="str">
        <f>IF(_xlfn.XLOOKUP($B59,'ELC TECH'!$H:$H,'ELC TECH'!$E:$E)="Storage","",_xlfn.XLOOKUP($B59,'ELC TECH'!$H:$H,'ELC TECH'!AU:AU))</f>
        <v/>
      </c>
      <c r="BA59" s="12" t="str">
        <f>IF(_xlfn.XLOOKUP($B59,'ELC TECH'!$H:$H,'ELC TECH'!$E:$E)="Storage","",_xlfn.XLOOKUP($B59,'ELC TECH'!$H:$H,'ELC TECH'!AV:AV))</f>
        <v/>
      </c>
      <c r="BB59" s="12" t="str">
        <f>IF(_xlfn.XLOOKUP($B59,'ELC TECH'!$H:$H,'ELC TECH'!$E:$E)="Storage","",_xlfn.XLOOKUP($B59,'ELC TECH'!$H:$H,'ELC TECH'!AW:AW))</f>
        <v/>
      </c>
      <c r="BC59" s="12" t="str">
        <f>IF(_xlfn.XLOOKUP($B59,'ELC TECH'!$H:$H,'ELC TECH'!$E:$E)="Storage","",_xlfn.XLOOKUP($B59,'ELC TECH'!$H:$H,'ELC TECH'!AX:AX))</f>
        <v/>
      </c>
      <c r="BD59" s="12" t="str">
        <f>IF(_xlfn.XLOOKUP($B59,'ELC TECH'!$H:$H,'ELC TECH'!$E:$E)="Storage","",_xlfn.XLOOKUP($B59,'ELC TECH'!$H:$H,'ELC TECH'!AY:AY))</f>
        <v/>
      </c>
      <c r="BE59" s="12" t="str">
        <f>IF(_xlfn.XLOOKUP($B59,'ELC TECH'!$H:$H,'ELC TECH'!$E:$E)="Storage","",_xlfn.XLOOKUP($B59,'ELC TECH'!$H:$H,'ELC TECH'!AZ:AZ))</f>
        <v/>
      </c>
      <c r="BF59" s="12">
        <f>IF(_xlfn.XLOOKUP($B59,'ELC TECH'!$H:$H,'ELC TECH'!$E:$E)="Storage",_xlfn.XLOOKUP($B59,'ELC TECH'!$H:$H,'ELC TECH'!AS:AS),"")</f>
        <v>0.41666666666666669</v>
      </c>
      <c r="BG59" s="12">
        <f>IF(_xlfn.XLOOKUP($B59,'ELC TECH'!$H:$H,'ELC TECH'!$E:$E)="Storage",_xlfn.XLOOKUP($B59,'ELC TECH'!$H:$H,'ELC TECH'!AT:AT),"")</f>
        <v>0.41666666666666669</v>
      </c>
      <c r="BH59" s="12">
        <f>IF(_xlfn.XLOOKUP($B59,'ELC TECH'!$H:$H,'ELC TECH'!$E:$E)="Storage",_xlfn.XLOOKUP($B59,'ELC TECH'!$H:$H,'ELC TECH'!AU:AU),"")</f>
        <v>0.41666666666666669</v>
      </c>
      <c r="BI59" s="12">
        <f>IF(_xlfn.XLOOKUP($B59,'ELC TECH'!$H:$H,'ELC TECH'!$E:$E)="Storage",_xlfn.XLOOKUP($B59,'ELC TECH'!$H:$H,'ELC TECH'!AV:AV),"")</f>
        <v>0.41666666666666669</v>
      </c>
      <c r="BJ59" s="12">
        <f>IF(_xlfn.XLOOKUP($B59,'ELC TECH'!$H:$H,'ELC TECH'!$E:$E)="Storage",_xlfn.XLOOKUP($B59,'ELC TECH'!$H:$H,'ELC TECH'!AW:AW),"")</f>
        <v>0.41666666666666669</v>
      </c>
      <c r="BK59" s="12">
        <f>IF(_xlfn.XLOOKUP($B59,'ELC TECH'!$H:$H,'ELC TECH'!$E:$E)="Storage",_xlfn.XLOOKUP($B59,'ELC TECH'!$H:$H,'ELC TECH'!AX:AX),"")</f>
        <v>0.41666666666666669</v>
      </c>
      <c r="BL59" s="12">
        <f>IF(_xlfn.XLOOKUP($B59,'ELC TECH'!$H:$H,'ELC TECH'!$E:$E)="Storage",_xlfn.XLOOKUP($B59,'ELC TECH'!$H:$H,'ELC TECH'!AY:AY),"")</f>
        <v>0.41666666666666669</v>
      </c>
      <c r="BM59" s="12">
        <f>IF(_xlfn.XLOOKUP($B59,'ELC TECH'!$H:$H,'ELC TECH'!$E:$E)="Storage",_xlfn.XLOOKUP($B59,'ELC TECH'!$H:$H,'ELC TECH'!AZ:AZ),"")</f>
        <v>0.41666666666666669</v>
      </c>
      <c r="BN59" s="8" t="str">
        <f>IF(_xlfn.XLOOKUP($B59,'ELC TECH'!$H:$H,'ELC TECH'!$E:$E)="Non Dispatchable",IFERROR($AX59*_xlfn.XLOOKUP($C59,$BM$1:$BM$3,BN$1:BN$3)/SUMPRODUCT(_xlfn.XLOOKUP($C59,$BM$1:$BM$3,$BN$1:$BY$3),$BN$4:$BY$4),""),
"")</f>
        <v/>
      </c>
      <c r="BO59" s="8" t="str">
        <f>IF(_xlfn.XLOOKUP($B59,'ELC TECH'!$H:$H,'ELC TECH'!$E:$E)="Non Dispatchable",IFERROR($AX59*_xlfn.XLOOKUP($C59,$BM$1:$BM$3,BO$1:BO$3)/SUMPRODUCT(_xlfn.XLOOKUP($C59,$BM$1:$BM$3,$BN$1:$BY$3),$BN$4:$BY$4),""),
"")</f>
        <v/>
      </c>
      <c r="BP59" s="8" t="str">
        <f>IF(_xlfn.XLOOKUP($B59,'ELC TECH'!$H:$H,'ELC TECH'!$E:$E)="Non Dispatchable",IFERROR($AX59*_xlfn.XLOOKUP($C59,$BM$1:$BM$3,BP$1:BP$3)/SUMPRODUCT(_xlfn.XLOOKUP($C59,$BM$1:$BM$3,$BN$1:$BY$3),$BN$4:$BY$4),""),
"")</f>
        <v/>
      </c>
      <c r="BQ59" s="8" t="str">
        <f>IF(_xlfn.XLOOKUP($B59,'ELC TECH'!$H:$H,'ELC TECH'!$E:$E)="Non Dispatchable",IFERROR($AX59*_xlfn.XLOOKUP($C59,$BM$1:$BM$3,BQ$1:BQ$3)/SUMPRODUCT(_xlfn.XLOOKUP($C59,$BM$1:$BM$3,$BN$1:$BY$3),$BN$4:$BY$4),""),
"")</f>
        <v/>
      </c>
      <c r="BR59" s="8" t="str">
        <f>IF(_xlfn.XLOOKUP($B59,'ELC TECH'!$H:$H,'ELC TECH'!$E:$E)="Non Dispatchable",IFERROR($AX59*_xlfn.XLOOKUP($C59,$BM$1:$BM$3,BR$1:BR$3)/SUMPRODUCT(_xlfn.XLOOKUP($C59,$BM$1:$BM$3,$BN$1:$BY$3),$BN$4:$BY$4),""),
"")</f>
        <v/>
      </c>
      <c r="BS59" s="8" t="str">
        <f>IF(_xlfn.XLOOKUP($B59,'ELC TECH'!$H:$H,'ELC TECH'!$E:$E)="Non Dispatchable",IFERROR($AX59*_xlfn.XLOOKUP($C59,$BM$1:$BM$3,BS$1:BS$3)/SUMPRODUCT(_xlfn.XLOOKUP($C59,$BM$1:$BM$3,$BN$1:$BY$3),$BN$4:$BY$4),""),
"")</f>
        <v/>
      </c>
      <c r="BT59" s="8" t="str">
        <f>IF(_xlfn.XLOOKUP($B59,'ELC TECH'!$H:$H,'ELC TECH'!$E:$E)="Non Dispatchable",IFERROR($AX59*_xlfn.XLOOKUP($C59,$BM$1:$BM$3,BT$1:BT$3)/SUMPRODUCT(_xlfn.XLOOKUP($C59,$BM$1:$BM$3,$BN$1:$BY$3),$BN$4:$BY$4),""),
"")</f>
        <v/>
      </c>
      <c r="BU59" s="8" t="str">
        <f>IF(_xlfn.XLOOKUP($B59,'ELC TECH'!$H:$H,'ELC TECH'!$E:$E)="Non Dispatchable",IFERROR($AX59*_xlfn.XLOOKUP($C59,$BM$1:$BM$3,BU$1:BU$3)/SUMPRODUCT(_xlfn.XLOOKUP($C59,$BM$1:$BM$3,$BN$1:$BY$3),$BN$4:$BY$4),""),
"")</f>
        <v/>
      </c>
      <c r="BV59" s="8" t="str">
        <f>IF(_xlfn.XLOOKUP($B59,'ELC TECH'!$H:$H,'ELC TECH'!$E:$E)="Non Dispatchable",IFERROR($AX59*_xlfn.XLOOKUP($C59,$BM$1:$BM$3,BV$1:BV$3)/SUMPRODUCT(_xlfn.XLOOKUP($C59,$BM$1:$BM$3,$BN$1:$BY$3),$BN$4:$BY$4),""),
"")</f>
        <v/>
      </c>
      <c r="BW59" s="8" t="str">
        <f>IF(_xlfn.XLOOKUP($B59,'ELC TECH'!$H:$H,'ELC TECH'!$E:$E)="Non Dispatchable",IFERROR($AX59*_xlfn.XLOOKUP($C59,$BM$1:$BM$3,BW$1:BW$3)/SUMPRODUCT(_xlfn.XLOOKUP($C59,$BM$1:$BM$3,$BN$1:$BY$3),$BN$4:$BY$4),""),
"")</f>
        <v/>
      </c>
      <c r="BX59" s="8" t="str">
        <f>IF(_xlfn.XLOOKUP($B59,'ELC TECH'!$H:$H,'ELC TECH'!$E:$E)="Non Dispatchable",IFERROR($AX59*_xlfn.XLOOKUP($C59,$BM$1:$BM$3,BX$1:BX$3)/SUMPRODUCT(_xlfn.XLOOKUP($C59,$BM$1:$BM$3,$BN$1:$BY$3),$BN$4:$BY$4),""),
"")</f>
        <v/>
      </c>
      <c r="BY59" s="8" t="str">
        <f>IF(_xlfn.XLOOKUP($B59,'ELC TECH'!$H:$H,'ELC TECH'!$E:$E)="Non Dispatchable",IFERROR($AX59*_xlfn.XLOOKUP($C59,$BM$1:$BM$3,BY$1:BY$3)/SUMPRODUCT(_xlfn.XLOOKUP($C59,$BM$1:$BM$3,$BN$1:$BY$3),$BN$4:$BY$4),""),
"")</f>
        <v/>
      </c>
      <c r="BZ59" s="8" t="str">
        <f>IF(_xlfn.XLOOKUP($B59,'ELC TECH'!$H:$H,'ELC TECH'!$E:$E)="Non Dispatchable",IFERROR($AX59*_xlfn.XLOOKUP($C59,$BM$1:$BM$3,BZ$1:BZ$3)/SUMPRODUCT(_xlfn.XLOOKUP($C59,$BM$1:$BM$3,$BN$1:$BY$3),$BN$4:$BY$4),""),
"")</f>
        <v/>
      </c>
      <c r="CA59" s="8" t="str">
        <f>IF(_xlfn.XLOOKUP($B59,'ELC TECH'!$H:$H,'ELC TECH'!$E:$E)="Non Dispatchable",IFERROR($AX59*_xlfn.XLOOKUP($C59,$BM$1:$BM$3,CA$1:CA$3)/SUMPRODUCT(_xlfn.XLOOKUP($C59,$BM$1:$BM$3,$BN$1:$BY$3),$BN$4:$BY$4),""),
"")</f>
        <v/>
      </c>
      <c r="CB59" s="8" t="str">
        <f>IF(_xlfn.XLOOKUP($B59,'ELC TECH'!$H:$H,'ELC TECH'!$E:$E)="Non Dispatchable",IFERROR($AX59*_xlfn.XLOOKUP($C59,$BM$1:$BM$3,CB$1:CB$3)/SUMPRODUCT(_xlfn.XLOOKUP($C59,$BM$1:$BM$3,$BN$1:$BY$3),$BN$4:$BY$4),""),
"")</f>
        <v/>
      </c>
      <c r="CC59" s="8" t="str">
        <f>IF(_xlfn.XLOOKUP($B59,'ELC TECH'!$H:$H,'ELC TECH'!$E:$E)="Non Dispatchable",IFERROR($AX59*_xlfn.XLOOKUP($C59,$BM$1:$BM$3,CC$1:CC$3)/SUMPRODUCT(_xlfn.XLOOKUP($C59,$BM$1:$BM$3,$BN$1:$BY$3),$BN$4:$BY$4),""),
"")</f>
        <v/>
      </c>
      <c r="CD59" s="8" t="str">
        <f>IF(_xlfn.XLOOKUP($B59,'ELC TECH'!$H:$H,'ELC TECH'!$E:$E)="Non Dispatchable",IFERROR($AX59*_xlfn.XLOOKUP($C59,$BM$1:$BM$3,CD$1:CD$3)/SUMPRODUCT(_xlfn.XLOOKUP($C59,$BM$1:$BM$3,$BN$1:$BY$3),$BN$4:$BY$4),""),
"")</f>
        <v/>
      </c>
      <c r="CE59" s="8" t="str">
        <f>IF(_xlfn.XLOOKUP($B59,'ELC TECH'!$H:$H,'ELC TECH'!$E:$E)="Non Dispatchable",IFERROR($AX59*_xlfn.XLOOKUP($C59,$BM$1:$BM$3,CE$1:CE$3)/SUMPRODUCT(_xlfn.XLOOKUP($C59,$BM$1:$BM$3,$BN$1:$BY$3),$BN$4:$BY$4),""),
"")</f>
        <v/>
      </c>
      <c r="CF59" s="8" t="str">
        <f>IF(_xlfn.XLOOKUP($B59,'ELC TECH'!$H:$H,'ELC TECH'!$E:$E)="Non Dispatchable",IFERROR($AX59*_xlfn.XLOOKUP($C59,$BM$1:$BM$3,CF$1:CF$3)/SUMPRODUCT(_xlfn.XLOOKUP($C59,$BM$1:$BM$3,$BN$1:$BY$3),$BN$4:$BY$4),""),
"")</f>
        <v/>
      </c>
      <c r="CG59" s="8" t="str">
        <f>IF(_xlfn.XLOOKUP($B59,'ELC TECH'!$H:$H,'ELC TECH'!$E:$E)="Non Dispatchable",IFERROR($AX59*_xlfn.XLOOKUP($C59,$BM$1:$BM$3,CG$1:CG$3)/SUMPRODUCT(_xlfn.XLOOKUP($C59,$BM$1:$BM$3,$BN$1:$BY$3),$BN$4:$BY$4),""),
"")</f>
        <v/>
      </c>
      <c r="CH59" s="8" t="str">
        <f>IF(_xlfn.XLOOKUP($B59,'ELC TECH'!$H:$H,'ELC TECH'!$E:$E)="Non Dispatchable",IFERROR($AX59*_xlfn.XLOOKUP($C59,$BM$1:$BM$3,CH$1:CH$3)/SUMPRODUCT(_xlfn.XLOOKUP($C59,$BM$1:$BM$3,$BN$1:$BY$3),$BN$4:$BY$4),""),
"")</f>
        <v/>
      </c>
      <c r="CI59" s="8" t="str">
        <f>IF(_xlfn.XLOOKUP($B59,'ELC TECH'!$H:$H,'ELC TECH'!$E:$E)="Non Dispatchable",IFERROR($AX59*_xlfn.XLOOKUP($C59,$BM$1:$BM$3,CI$1:CI$3)/SUMPRODUCT(_xlfn.XLOOKUP($C59,$BM$1:$BM$3,$BN$1:$BY$3),$BN$4:$BY$4),""),
"")</f>
        <v/>
      </c>
      <c r="CJ59" s="8" t="str">
        <f>IF(_xlfn.XLOOKUP($B59,'ELC TECH'!$H:$H,'ELC TECH'!$E:$E)="Non Dispatchable",IFERROR($AX59*_xlfn.XLOOKUP($C59,$BM$1:$BM$3,CJ$1:CJ$3)/SUMPRODUCT(_xlfn.XLOOKUP($C59,$BM$1:$BM$3,$BN$1:$BY$3),$BN$4:$BY$4),""),
"")</f>
        <v/>
      </c>
      <c r="CK59" s="8" t="str">
        <f>IF(_xlfn.XLOOKUP($B59,'ELC TECH'!$H:$H,'ELC TECH'!$E:$E)="Non Dispatchable",IFERROR($AX59*_xlfn.XLOOKUP($C59,$BM$1:$BM$3,CK$1:CK$3)/SUMPRODUCT(_xlfn.XLOOKUP($C59,$BM$1:$BM$3,$BN$1:$BY$3),$BN$4:$BY$4),""),
"")</f>
        <v/>
      </c>
      <c r="CL59" s="8">
        <f>IF(_xlfn.XLOOKUP($B59,'ELC TECH'!$H:$H,'ELC TECH'!$E:$E)="Storage",CL$4*$BF59,"")</f>
        <v>3.4250000000000003E-2</v>
      </c>
      <c r="CM59" s="8">
        <f>IF(_xlfn.XLOOKUP($B59,'ELC TECH'!$H:$H,'ELC TECH'!$E:$E)="Storage",CM$4*$BF59,"")</f>
        <v>3.9875000000000001E-2</v>
      </c>
      <c r="CN59" s="8">
        <f>IF(_xlfn.XLOOKUP($B59,'ELC TECH'!$H:$H,'ELC TECH'!$E:$E)="Storage",CN$4*$BF59,"")</f>
        <v>6.3833333333333339E-2</v>
      </c>
      <c r="CO59" s="8">
        <f>IF(_xlfn.XLOOKUP($B59,'ELC TECH'!$H:$H,'ELC TECH'!$E:$E)="Storage",CO$4*$BF59,"")</f>
        <v>1.3333333333333335E-3</v>
      </c>
      <c r="CP59" s="8">
        <f>IF(_xlfn.XLOOKUP($B59,'ELC TECH'!$H:$H,'ELC TECH'!$E:$E)="Storage",CP$4*$BF59,"")</f>
        <v>3.3958333333333333E-2</v>
      </c>
      <c r="CQ59" s="8">
        <f>IF(_xlfn.XLOOKUP($B59,'ELC TECH'!$H:$H,'ELC TECH'!$E:$E)="Storage",CQ$4*$BF59,"")</f>
        <v>4.5291666666666668E-2</v>
      </c>
      <c r="CR59" s="8">
        <f>IF(_xlfn.XLOOKUP($B59,'ELC TECH'!$H:$H,'ELC TECH'!$E:$E)="Storage",CR$4*$BF59,"")</f>
        <v>5.7541666666666672E-2</v>
      </c>
      <c r="CS59" s="8">
        <f>IF(_xlfn.XLOOKUP($B59,'ELC TECH'!$H:$H,'ELC TECH'!$E:$E)="Storage",CS$4*$BF59,"")</f>
        <v>1.3333333333333335E-3</v>
      </c>
      <c r="CT59" s="8">
        <f>IF(_xlfn.XLOOKUP($B59,'ELC TECH'!$H:$H,'ELC TECH'!$E:$E)="Storage",CT$4*$BF59,"")</f>
        <v>4.0625000000000001E-2</v>
      </c>
      <c r="CU59" s="8">
        <f>IF(_xlfn.XLOOKUP($B59,'ELC TECH'!$H:$H,'ELC TECH'!$E:$E)="Storage",CU$4*$BF59,"")</f>
        <v>4.5291666666666668E-2</v>
      </c>
      <c r="CV59" s="8">
        <f>IF(_xlfn.XLOOKUP($B59,'ELC TECH'!$H:$H,'ELC TECH'!$E:$E)="Storage",CV$4*$BF59,"")</f>
        <v>5.2208333333333336E-2</v>
      </c>
      <c r="CW59" s="8">
        <f>IF(_xlfn.XLOOKUP($B59,'ELC TECH'!$H:$H,'ELC TECH'!$E:$E)="Storage",CW$4*$BF59,"")</f>
        <v>1.1250000000000001E-3</v>
      </c>
      <c r="CX59" s="8">
        <f>IF(_xlfn.XLOOKUP($B59,'ELC TECH'!$H:$H,'ELC TECH'!$E:$E)="Storage",CX$4*$BF59,"")</f>
        <v>3.4250000000000003E-2</v>
      </c>
      <c r="CY59" s="8">
        <f>IF(_xlfn.XLOOKUP($B59,'ELC TECH'!$H:$H,'ELC TECH'!$E:$E)="Storage",CY$4*$BF59,"")</f>
        <v>3.9875000000000001E-2</v>
      </c>
      <c r="CZ59" s="8">
        <f>IF(_xlfn.XLOOKUP($B59,'ELC TECH'!$H:$H,'ELC TECH'!$E:$E)="Storage",CZ$4*$BF59,"")</f>
        <v>6.3833333333333339E-2</v>
      </c>
      <c r="DA59" s="8">
        <f>IF(_xlfn.XLOOKUP($B59,'ELC TECH'!$H:$H,'ELC TECH'!$E:$E)="Storage",DA$4*$BF59,"")</f>
        <v>1.3333333333333335E-3</v>
      </c>
      <c r="DB59" s="8">
        <f>IF(_xlfn.XLOOKUP($B59,'ELC TECH'!$H:$H,'ELC TECH'!$E:$E)="Storage",DB$4*$BF59,"")</f>
        <v>3.3958333333333333E-2</v>
      </c>
      <c r="DC59" s="8">
        <f>IF(_xlfn.XLOOKUP($B59,'ELC TECH'!$H:$H,'ELC TECH'!$E:$E)="Storage",DC$4*$BF59,"")</f>
        <v>4.5291666666666668E-2</v>
      </c>
      <c r="DD59" s="8">
        <f>IF(_xlfn.XLOOKUP($B59,'ELC TECH'!$H:$H,'ELC TECH'!$E:$E)="Storage",DD$4*$BF59,"")</f>
        <v>5.7541666666666672E-2</v>
      </c>
      <c r="DE59" s="8">
        <f>IF(_xlfn.XLOOKUP($B59,'ELC TECH'!$H:$H,'ELC TECH'!$E:$E)="Storage",DE$4*$BF59,"")</f>
        <v>1.3333333333333335E-3</v>
      </c>
      <c r="DF59" s="8">
        <f>IF(_xlfn.XLOOKUP($B59,'ELC TECH'!$H:$H,'ELC TECH'!$E:$E)="Storage",DF$4*$BF59,"")</f>
        <v>4.0625000000000001E-2</v>
      </c>
      <c r="DG59" s="8">
        <f>IF(_xlfn.XLOOKUP($B59,'ELC TECH'!$H:$H,'ELC TECH'!$E:$E)="Storage",DG$4*$BF59,"")</f>
        <v>4.5291666666666668E-2</v>
      </c>
      <c r="DH59" s="8">
        <f>IF(_xlfn.XLOOKUP($B59,'ELC TECH'!$H:$H,'ELC TECH'!$E:$E)="Storage",DH$4*$BF59,"")</f>
        <v>5.2208333333333336E-2</v>
      </c>
      <c r="DI59" s="8">
        <f>IF(_xlfn.XLOOKUP($B59,'ELC TECH'!$H:$H,'ELC TECH'!$E:$E)="Storage",DI$4*$BF59,"")</f>
        <v>1.1250000000000001E-3</v>
      </c>
    </row>
    <row r="60" spans="2:113" x14ac:dyDescent="0.25">
      <c r="B60" t="str">
        <f>IF('ELC TECH'!I53=0,"*",'ELC TECH'!H53)</f>
        <v>ELCSTGGRDPSH10HC1020</v>
      </c>
      <c r="C60" t="str">
        <f>IF(_xlfn.XLOOKUP(_xlfn.XLOOKUP(B60,'ELC TECH'!$H:$H,'ELC TECH'!$G:$G),List!C:C,List!B:B)="STG",D60,"ELC"&amp;_xlfn.XLOOKUP(_xlfn.XLOOKUP(B60,'ELC TECH'!H:H,'ELC TECH'!G:G),List!C:C,List!B:B))</f>
        <v>CELC</v>
      </c>
      <c r="D60" t="s">
        <v>544</v>
      </c>
      <c r="E60">
        <f>_xlfn.XLOOKUP(B60,'ELC TECH'!H:H,'ELC TECH'!D:D)</f>
        <v>2020</v>
      </c>
      <c r="F60">
        <f>_xlfn.XLOOKUP(B60,'ELC TECH'!H:H,'ELC TECH'!K:K)</f>
        <v>100</v>
      </c>
      <c r="G60">
        <f t="shared" si="5"/>
        <v>31.535999999999998</v>
      </c>
      <c r="H60">
        <f>IF(_xlfn.XLOOKUP(B60,'ELC TECH'!$H:$H,'ELC TECH'!$E:$E)="Storage",0.3,IF(_xlfn.XLOOKUP(B60,'ELC TECH'!$H:$H,'ELC TECH'!$E:$E)="Baseload",0.9,IF(_xlfn.XLOOKUP(B60,'ELC TECH'!$H:$H,'ELC TECH'!$E:$E)="Non Dispatchable",0.05,IF(_xlfn.XLOOKUP(B60,'ELC TECH'!$H:$H,'ELC TECH'!$E:$E)="Dispatchable",0.9,1))))</f>
        <v>0.3</v>
      </c>
      <c r="I60" s="13">
        <f>IF(_xlfn.XLOOKUP(B60,'ELC TECH'!H:H,'ELC TECH'!J:J)="","",_xlfn.XLOOKUP(B60,'ELC TECH'!H:H,'ELC TECH'!J:J))</f>
        <v>0</v>
      </c>
      <c r="J60" s="12" t="str">
        <f>IF(_xlfn.XLOOKUP($B60,'ELC TECH'!$H:$H,'ELC TECH'!$E:$E)="Storage","",IF(_xlfn.XLOOKUP($B60,'ELC TECH'!$H:$H,'ELC TECH'!AK:AK)="",1,_xlfn.XLOOKUP($B60,'ELC TECH'!$H:$H,'ELC TECH'!AK:AK)))</f>
        <v/>
      </c>
      <c r="K60" s="12" t="str">
        <f>IF(_xlfn.XLOOKUP($B60,'ELC TECH'!$H:$H,'ELC TECH'!$E:$E)="Storage","",IF(_xlfn.XLOOKUP($B60,'ELC TECH'!$H:$H,'ELC TECH'!AL:AL)="",1,_xlfn.XLOOKUP($B60,'ELC TECH'!$H:$H,'ELC TECH'!AL:AL)))</f>
        <v/>
      </c>
      <c r="L60" s="12" t="str">
        <f>IF(_xlfn.XLOOKUP($B60,'ELC TECH'!$H:$H,'ELC TECH'!$E:$E)="Storage","",IF(_xlfn.XLOOKUP($B60,'ELC TECH'!$H:$H,'ELC TECH'!AM:AM)="",1,_xlfn.XLOOKUP($B60,'ELC TECH'!$H:$H,'ELC TECH'!AM:AM)))</f>
        <v/>
      </c>
      <c r="M60" s="12" t="str">
        <f>IF(_xlfn.XLOOKUP($B60,'ELC TECH'!$H:$H,'ELC TECH'!$E:$E)="Storage","",IF(_xlfn.XLOOKUP($B60,'ELC TECH'!$H:$H,'ELC TECH'!AN:AN)="",1,_xlfn.XLOOKUP($B60,'ELC TECH'!$H:$H,'ELC TECH'!AN:AN)))</f>
        <v/>
      </c>
      <c r="N60" s="12" t="str">
        <f>IF(_xlfn.XLOOKUP($B60,'ELC TECH'!$H:$H,'ELC TECH'!$E:$E)="Storage","",IF(_xlfn.XLOOKUP($B60,'ELC TECH'!$H:$H,'ELC TECH'!AO:AO)="",1,_xlfn.XLOOKUP($B60,'ELC TECH'!$H:$H,'ELC TECH'!AO:AO)))</f>
        <v/>
      </c>
      <c r="O60" s="12" t="str">
        <f>IF(_xlfn.XLOOKUP($B60,'ELC TECH'!$H:$H,'ELC TECH'!$E:$E)="Storage","",IF(_xlfn.XLOOKUP($B60,'ELC TECH'!$H:$H,'ELC TECH'!AP:AP)="",1,_xlfn.XLOOKUP($B60,'ELC TECH'!$H:$H,'ELC TECH'!AP:AP)))</f>
        <v/>
      </c>
      <c r="P60" s="12" t="str">
        <f>IF(_xlfn.XLOOKUP($B60,'ELC TECH'!$H:$H,'ELC TECH'!$E:$E)="Storage","",IF(_xlfn.XLOOKUP($B60,'ELC TECH'!$H:$H,'ELC TECH'!AQ:AQ)="",1,_xlfn.XLOOKUP($B60,'ELC TECH'!$H:$H,'ELC TECH'!AQ:AQ)))</f>
        <v/>
      </c>
      <c r="Q60" s="12" t="str">
        <f>IF(_xlfn.XLOOKUP($B60,'ELC TECH'!$H:$H,'ELC TECH'!$E:$E)="Storage","",IF(_xlfn.XLOOKUP($B60,'ELC TECH'!$H:$H,'ELC TECH'!AR:AR)="",1,_xlfn.XLOOKUP($B60,'ELC TECH'!$H:$H,'ELC TECH'!AR:AR)))</f>
        <v/>
      </c>
      <c r="R60" s="12">
        <f>IF(_xlfn.XLOOKUP($B60,'ELC TECH'!$H:$H,'ELC TECH'!$E:$E)&lt;&gt;"Storage","",IF(_xlfn.XLOOKUP($B60,'ELC TECH'!$H:$H,'ELC TECH'!AK:AK)="",0.8,_xlfn.XLOOKUP($B60,'ELC TECH'!$H:$H,'ELC TECH'!AK:AK)))</f>
        <v>0.8</v>
      </c>
      <c r="S60" s="12">
        <f>IF(_xlfn.XLOOKUP($B60,'ELC TECH'!$H:$H,'ELC TECH'!$E:$E)&lt;&gt;"Storage","",IF(_xlfn.XLOOKUP($B60,'ELC TECH'!$H:$H,'ELC TECH'!AL:AL)="",0.8,_xlfn.XLOOKUP($B60,'ELC TECH'!$H:$H,'ELC TECH'!AL:AL)))</f>
        <v>0.8</v>
      </c>
      <c r="T60" s="12">
        <f>IF(_xlfn.XLOOKUP($B60,'ELC TECH'!$H:$H,'ELC TECH'!$E:$E)&lt;&gt;"Storage","",IF(_xlfn.XLOOKUP($B60,'ELC TECH'!$H:$H,'ELC TECH'!AM:AM)="",0.8,_xlfn.XLOOKUP($B60,'ELC TECH'!$H:$H,'ELC TECH'!AM:AM)))</f>
        <v>0.8</v>
      </c>
      <c r="U60" s="12">
        <f>IF(_xlfn.XLOOKUP($B60,'ELC TECH'!$H:$H,'ELC TECH'!$E:$E)&lt;&gt;"Storage","",IF(_xlfn.XLOOKUP($B60,'ELC TECH'!$H:$H,'ELC TECH'!AN:AN)="",0.8,_xlfn.XLOOKUP($B60,'ELC TECH'!$H:$H,'ELC TECH'!AN:AN)))</f>
        <v>0.8</v>
      </c>
      <c r="V60" s="12">
        <f>IF(_xlfn.XLOOKUP($B60,'ELC TECH'!$H:$H,'ELC TECH'!$E:$E)&lt;&gt;"Storage","",IF(_xlfn.XLOOKUP($B60,'ELC TECH'!$H:$H,'ELC TECH'!AO:AO)="",0.8,_xlfn.XLOOKUP($B60,'ELC TECH'!$H:$H,'ELC TECH'!AO:AO)))</f>
        <v>0.8</v>
      </c>
      <c r="W60" s="12">
        <f>IF(_xlfn.XLOOKUP($B60,'ELC TECH'!$H:$H,'ELC TECH'!$E:$E)&lt;&gt;"Storage","",IF(_xlfn.XLOOKUP($B60,'ELC TECH'!$H:$H,'ELC TECH'!AP:AP)="",0.8,_xlfn.XLOOKUP($B60,'ELC TECH'!$H:$H,'ELC TECH'!AP:AP)))</f>
        <v>0.8</v>
      </c>
      <c r="X60" s="12">
        <f>IF(_xlfn.XLOOKUP($B60,'ELC TECH'!$H:$H,'ELC TECH'!$E:$E)&lt;&gt;"Storage","",IF(_xlfn.XLOOKUP($B60,'ELC TECH'!$H:$H,'ELC TECH'!AQ:AQ)="",0.8,_xlfn.XLOOKUP($B60,'ELC TECH'!$H:$H,'ELC TECH'!AQ:AQ)))</f>
        <v>0.8</v>
      </c>
      <c r="Y60" s="12">
        <f>IF(_xlfn.XLOOKUP($B60,'ELC TECH'!$H:$H,'ELC TECH'!$E:$E)&lt;&gt;"Storage","",IF(_xlfn.XLOOKUP($B60,'ELC TECH'!$H:$H,'ELC TECH'!AR:AR)="",0.8,_xlfn.XLOOKUP($B60,'ELC TECH'!$H:$H,'ELC TECH'!AR:AR)))</f>
        <v>0.8</v>
      </c>
      <c r="Z60" s="15">
        <f>_xlfn.XLOOKUP($B60,'ELC TECH'!$H:$H,'ELC TECH'!M:M)</f>
        <v>3847.158971512988</v>
      </c>
      <c r="AA60" s="15">
        <f>_xlfn.XLOOKUP($B60,'ELC TECH'!$H:$H,'ELC TECH'!N:N)</f>
        <v>3847.158971512988</v>
      </c>
      <c r="AB60" s="15">
        <f>_xlfn.XLOOKUP($B60,'ELC TECH'!$H:$H,'ELC TECH'!O:O)</f>
        <v>3847.158971512988</v>
      </c>
      <c r="AC60" s="15">
        <f>_xlfn.XLOOKUP($B60,'ELC TECH'!$H:$H,'ELC TECH'!P:P)</f>
        <v>3847.158971512988</v>
      </c>
      <c r="AD60" s="15">
        <f>_xlfn.XLOOKUP($B60,'ELC TECH'!$H:$H,'ELC TECH'!Q:Q)</f>
        <v>3847.158971512988</v>
      </c>
      <c r="AE60" s="15">
        <f>_xlfn.XLOOKUP($B60,'ELC TECH'!$H:$H,'ELC TECH'!R:R)</f>
        <v>3847.158971512988</v>
      </c>
      <c r="AF60" s="15">
        <f>_xlfn.XLOOKUP($B60,'ELC TECH'!$H:$H,'ELC TECH'!S:S)</f>
        <v>3847.158971512988</v>
      </c>
      <c r="AG60" s="15">
        <f>_xlfn.XLOOKUP($B60,'ELC TECH'!$H:$H,'ELC TECH'!T:T)</f>
        <v>3847.158971512988</v>
      </c>
      <c r="AH60" s="15">
        <f>_xlfn.XLOOKUP($B60,'ELC TECH'!$H:$H,'ELC TECH'!U:U)</f>
        <v>21.100097091380029</v>
      </c>
      <c r="AI60" s="15">
        <f>_xlfn.XLOOKUP($B60,'ELC TECH'!$H:$H,'ELC TECH'!V:V)</f>
        <v>21.100097091380029</v>
      </c>
      <c r="AJ60" s="15">
        <f>_xlfn.XLOOKUP($B60,'ELC TECH'!$H:$H,'ELC TECH'!W:W)</f>
        <v>21.100097091380029</v>
      </c>
      <c r="AK60" s="15">
        <f>_xlfn.XLOOKUP($B60,'ELC TECH'!$H:$H,'ELC TECH'!X:X)</f>
        <v>21.100097091380029</v>
      </c>
      <c r="AL60" s="15">
        <f>_xlfn.XLOOKUP($B60,'ELC TECH'!$H:$H,'ELC TECH'!Y:Y)</f>
        <v>21.100097091380029</v>
      </c>
      <c r="AM60" s="15">
        <f>_xlfn.XLOOKUP($B60,'ELC TECH'!$H:$H,'ELC TECH'!Z:Z)</f>
        <v>21.100097091380029</v>
      </c>
      <c r="AN60" s="15">
        <f>_xlfn.XLOOKUP($B60,'ELC TECH'!$H:$H,'ELC TECH'!AA:AA)</f>
        <v>21.100097091380029</v>
      </c>
      <c r="AO60" s="15">
        <f>_xlfn.XLOOKUP($B60,'ELC TECH'!$H:$H,'ELC TECH'!AB:AB)</f>
        <v>21.100097091380029</v>
      </c>
      <c r="AP60" s="15">
        <f>_xlfn.XLOOKUP($B60,'ELC TECH'!$H:$H,'ELC TECH'!AC:AC)</f>
        <v>0.1696149283872993</v>
      </c>
      <c r="AQ60" s="15">
        <f>_xlfn.XLOOKUP($B60,'ELC TECH'!$H:$H,'ELC TECH'!AD:AD)</f>
        <v>0.1696149283872993</v>
      </c>
      <c r="AR60" s="15">
        <f>_xlfn.XLOOKUP($B60,'ELC TECH'!$H:$H,'ELC TECH'!AE:AE)</f>
        <v>0.1696149283872993</v>
      </c>
      <c r="AS60" s="15">
        <f>_xlfn.XLOOKUP($B60,'ELC TECH'!$H:$H,'ELC TECH'!AF:AF)</f>
        <v>0.1696149283872993</v>
      </c>
      <c r="AT60" s="15">
        <f>_xlfn.XLOOKUP($B60,'ELC TECH'!$H:$H,'ELC TECH'!AG:AG)</f>
        <v>0.1696149283872993</v>
      </c>
      <c r="AU60" s="15">
        <f>_xlfn.XLOOKUP($B60,'ELC TECH'!$H:$H,'ELC TECH'!AH:AH)</f>
        <v>0.1696149283872993</v>
      </c>
      <c r="AV60" s="15">
        <f>_xlfn.XLOOKUP($B60,'ELC TECH'!$H:$H,'ELC TECH'!AI:AI)</f>
        <v>0.1696149283872993</v>
      </c>
      <c r="AW60" s="15">
        <f>_xlfn.XLOOKUP($B60,'ELC TECH'!$H:$H,'ELC TECH'!AJ:AJ)</f>
        <v>0.1696149283872993</v>
      </c>
      <c r="AX60" s="12" t="str">
        <f>IF(_xlfn.XLOOKUP($B60,'ELC TECH'!$H:$H,'ELC TECH'!$E:$E)="Storage","",_xlfn.XLOOKUP($B60,'ELC TECH'!$H:$H,'ELC TECH'!AS:AS))</f>
        <v/>
      </c>
      <c r="AY60" s="12" t="str">
        <f>IF(_xlfn.XLOOKUP($B60,'ELC TECH'!$H:$H,'ELC TECH'!$E:$E)="Storage","",_xlfn.XLOOKUP($B60,'ELC TECH'!$H:$H,'ELC TECH'!AT:AT))</f>
        <v/>
      </c>
      <c r="AZ60" s="12" t="str">
        <f>IF(_xlfn.XLOOKUP($B60,'ELC TECH'!$H:$H,'ELC TECH'!$E:$E)="Storage","",_xlfn.XLOOKUP($B60,'ELC TECH'!$H:$H,'ELC TECH'!AU:AU))</f>
        <v/>
      </c>
      <c r="BA60" s="12" t="str">
        <f>IF(_xlfn.XLOOKUP($B60,'ELC TECH'!$H:$H,'ELC TECH'!$E:$E)="Storage","",_xlfn.XLOOKUP($B60,'ELC TECH'!$H:$H,'ELC TECH'!AV:AV))</f>
        <v/>
      </c>
      <c r="BB60" s="12" t="str">
        <f>IF(_xlfn.XLOOKUP($B60,'ELC TECH'!$H:$H,'ELC TECH'!$E:$E)="Storage","",_xlfn.XLOOKUP($B60,'ELC TECH'!$H:$H,'ELC TECH'!AW:AW))</f>
        <v/>
      </c>
      <c r="BC60" s="12" t="str">
        <f>IF(_xlfn.XLOOKUP($B60,'ELC TECH'!$H:$H,'ELC TECH'!$E:$E)="Storage","",_xlfn.XLOOKUP($B60,'ELC TECH'!$H:$H,'ELC TECH'!AX:AX))</f>
        <v/>
      </c>
      <c r="BD60" s="12" t="str">
        <f>IF(_xlfn.XLOOKUP($B60,'ELC TECH'!$H:$H,'ELC TECH'!$E:$E)="Storage","",_xlfn.XLOOKUP($B60,'ELC TECH'!$H:$H,'ELC TECH'!AY:AY))</f>
        <v/>
      </c>
      <c r="BE60" s="12" t="str">
        <f>IF(_xlfn.XLOOKUP($B60,'ELC TECH'!$H:$H,'ELC TECH'!$E:$E)="Storage","",_xlfn.XLOOKUP($B60,'ELC TECH'!$H:$H,'ELC TECH'!AZ:AZ))</f>
        <v/>
      </c>
      <c r="BF60" s="12">
        <f>IF(_xlfn.XLOOKUP($B60,'ELC TECH'!$H:$H,'ELC TECH'!$E:$E)="Storage",_xlfn.XLOOKUP($B60,'ELC TECH'!$H:$H,'ELC TECH'!AS:AS),"")</f>
        <v>0.41666666666666669</v>
      </c>
      <c r="BG60" s="12">
        <f>IF(_xlfn.XLOOKUP($B60,'ELC TECH'!$H:$H,'ELC TECH'!$E:$E)="Storage",_xlfn.XLOOKUP($B60,'ELC TECH'!$H:$H,'ELC TECH'!AT:AT),"")</f>
        <v>0.41666666666666669</v>
      </c>
      <c r="BH60" s="12">
        <f>IF(_xlfn.XLOOKUP($B60,'ELC TECH'!$H:$H,'ELC TECH'!$E:$E)="Storage",_xlfn.XLOOKUP($B60,'ELC TECH'!$H:$H,'ELC TECH'!AU:AU),"")</f>
        <v>0.41666666666666669</v>
      </c>
      <c r="BI60" s="12">
        <f>IF(_xlfn.XLOOKUP($B60,'ELC TECH'!$H:$H,'ELC TECH'!$E:$E)="Storage",_xlfn.XLOOKUP($B60,'ELC TECH'!$H:$H,'ELC TECH'!AV:AV),"")</f>
        <v>0.41666666666666669</v>
      </c>
      <c r="BJ60" s="12">
        <f>IF(_xlfn.XLOOKUP($B60,'ELC TECH'!$H:$H,'ELC TECH'!$E:$E)="Storage",_xlfn.XLOOKUP($B60,'ELC TECH'!$H:$H,'ELC TECH'!AW:AW),"")</f>
        <v>0.41666666666666669</v>
      </c>
      <c r="BK60" s="12">
        <f>IF(_xlfn.XLOOKUP($B60,'ELC TECH'!$H:$H,'ELC TECH'!$E:$E)="Storage",_xlfn.XLOOKUP($B60,'ELC TECH'!$H:$H,'ELC TECH'!AX:AX),"")</f>
        <v>0.41666666666666669</v>
      </c>
      <c r="BL60" s="12">
        <f>IF(_xlfn.XLOOKUP($B60,'ELC TECH'!$H:$H,'ELC TECH'!$E:$E)="Storage",_xlfn.XLOOKUP($B60,'ELC TECH'!$H:$H,'ELC TECH'!AY:AY),"")</f>
        <v>0.41666666666666669</v>
      </c>
      <c r="BM60" s="12">
        <f>IF(_xlfn.XLOOKUP($B60,'ELC TECH'!$H:$H,'ELC TECH'!$E:$E)="Storage",_xlfn.XLOOKUP($B60,'ELC TECH'!$H:$H,'ELC TECH'!AZ:AZ),"")</f>
        <v>0.41666666666666669</v>
      </c>
      <c r="BN60" s="8" t="str">
        <f>IF(_xlfn.XLOOKUP($B60,'ELC TECH'!$H:$H,'ELC TECH'!$E:$E)="Non Dispatchable",IFERROR($AX60*_xlfn.XLOOKUP($C60,$BM$1:$BM$3,BN$1:BN$3)/SUMPRODUCT(_xlfn.XLOOKUP($C60,$BM$1:$BM$3,$BN$1:$BY$3),$BN$4:$BY$4),""),
"")</f>
        <v/>
      </c>
      <c r="BO60" s="8" t="str">
        <f>IF(_xlfn.XLOOKUP($B60,'ELC TECH'!$H:$H,'ELC TECH'!$E:$E)="Non Dispatchable",IFERROR($AX60*_xlfn.XLOOKUP($C60,$BM$1:$BM$3,BO$1:BO$3)/SUMPRODUCT(_xlfn.XLOOKUP($C60,$BM$1:$BM$3,$BN$1:$BY$3),$BN$4:$BY$4),""),
"")</f>
        <v/>
      </c>
      <c r="BP60" s="8" t="str">
        <f>IF(_xlfn.XLOOKUP($B60,'ELC TECH'!$H:$H,'ELC TECH'!$E:$E)="Non Dispatchable",IFERROR($AX60*_xlfn.XLOOKUP($C60,$BM$1:$BM$3,BP$1:BP$3)/SUMPRODUCT(_xlfn.XLOOKUP($C60,$BM$1:$BM$3,$BN$1:$BY$3),$BN$4:$BY$4),""),
"")</f>
        <v/>
      </c>
      <c r="BQ60" s="8" t="str">
        <f>IF(_xlfn.XLOOKUP($B60,'ELC TECH'!$H:$H,'ELC TECH'!$E:$E)="Non Dispatchable",IFERROR($AX60*_xlfn.XLOOKUP($C60,$BM$1:$BM$3,BQ$1:BQ$3)/SUMPRODUCT(_xlfn.XLOOKUP($C60,$BM$1:$BM$3,$BN$1:$BY$3),$BN$4:$BY$4),""),
"")</f>
        <v/>
      </c>
      <c r="BR60" s="8" t="str">
        <f>IF(_xlfn.XLOOKUP($B60,'ELC TECH'!$H:$H,'ELC TECH'!$E:$E)="Non Dispatchable",IFERROR($AX60*_xlfn.XLOOKUP($C60,$BM$1:$BM$3,BR$1:BR$3)/SUMPRODUCT(_xlfn.XLOOKUP($C60,$BM$1:$BM$3,$BN$1:$BY$3),$BN$4:$BY$4),""),
"")</f>
        <v/>
      </c>
      <c r="BS60" s="8" t="str">
        <f>IF(_xlfn.XLOOKUP($B60,'ELC TECH'!$H:$H,'ELC TECH'!$E:$E)="Non Dispatchable",IFERROR($AX60*_xlfn.XLOOKUP($C60,$BM$1:$BM$3,BS$1:BS$3)/SUMPRODUCT(_xlfn.XLOOKUP($C60,$BM$1:$BM$3,$BN$1:$BY$3),$BN$4:$BY$4),""),
"")</f>
        <v/>
      </c>
      <c r="BT60" s="8" t="str">
        <f>IF(_xlfn.XLOOKUP($B60,'ELC TECH'!$H:$H,'ELC TECH'!$E:$E)="Non Dispatchable",IFERROR($AX60*_xlfn.XLOOKUP($C60,$BM$1:$BM$3,BT$1:BT$3)/SUMPRODUCT(_xlfn.XLOOKUP($C60,$BM$1:$BM$3,$BN$1:$BY$3),$BN$4:$BY$4),""),
"")</f>
        <v/>
      </c>
      <c r="BU60" s="8" t="str">
        <f>IF(_xlfn.XLOOKUP($B60,'ELC TECH'!$H:$H,'ELC TECH'!$E:$E)="Non Dispatchable",IFERROR($AX60*_xlfn.XLOOKUP($C60,$BM$1:$BM$3,BU$1:BU$3)/SUMPRODUCT(_xlfn.XLOOKUP($C60,$BM$1:$BM$3,$BN$1:$BY$3),$BN$4:$BY$4),""),
"")</f>
        <v/>
      </c>
      <c r="BV60" s="8" t="str">
        <f>IF(_xlfn.XLOOKUP($B60,'ELC TECH'!$H:$H,'ELC TECH'!$E:$E)="Non Dispatchable",IFERROR($AX60*_xlfn.XLOOKUP($C60,$BM$1:$BM$3,BV$1:BV$3)/SUMPRODUCT(_xlfn.XLOOKUP($C60,$BM$1:$BM$3,$BN$1:$BY$3),$BN$4:$BY$4),""),
"")</f>
        <v/>
      </c>
      <c r="BW60" s="8" t="str">
        <f>IF(_xlfn.XLOOKUP($B60,'ELC TECH'!$H:$H,'ELC TECH'!$E:$E)="Non Dispatchable",IFERROR($AX60*_xlfn.XLOOKUP($C60,$BM$1:$BM$3,BW$1:BW$3)/SUMPRODUCT(_xlfn.XLOOKUP($C60,$BM$1:$BM$3,$BN$1:$BY$3),$BN$4:$BY$4),""),
"")</f>
        <v/>
      </c>
      <c r="BX60" s="8" t="str">
        <f>IF(_xlfn.XLOOKUP($B60,'ELC TECH'!$H:$H,'ELC TECH'!$E:$E)="Non Dispatchable",IFERROR($AX60*_xlfn.XLOOKUP($C60,$BM$1:$BM$3,BX$1:BX$3)/SUMPRODUCT(_xlfn.XLOOKUP($C60,$BM$1:$BM$3,$BN$1:$BY$3),$BN$4:$BY$4),""),
"")</f>
        <v/>
      </c>
      <c r="BY60" s="8" t="str">
        <f>IF(_xlfn.XLOOKUP($B60,'ELC TECH'!$H:$H,'ELC TECH'!$E:$E)="Non Dispatchable",IFERROR($AX60*_xlfn.XLOOKUP($C60,$BM$1:$BM$3,BY$1:BY$3)/SUMPRODUCT(_xlfn.XLOOKUP($C60,$BM$1:$BM$3,$BN$1:$BY$3),$BN$4:$BY$4),""),
"")</f>
        <v/>
      </c>
      <c r="BZ60" s="8" t="str">
        <f>IF(_xlfn.XLOOKUP($B60,'ELC TECH'!$H:$H,'ELC TECH'!$E:$E)="Non Dispatchable",IFERROR($AX60*_xlfn.XLOOKUP($C60,$BM$1:$BM$3,BZ$1:BZ$3)/SUMPRODUCT(_xlfn.XLOOKUP($C60,$BM$1:$BM$3,$BN$1:$BY$3),$BN$4:$BY$4),""),
"")</f>
        <v/>
      </c>
      <c r="CA60" s="8" t="str">
        <f>IF(_xlfn.XLOOKUP($B60,'ELC TECH'!$H:$H,'ELC TECH'!$E:$E)="Non Dispatchable",IFERROR($AX60*_xlfn.XLOOKUP($C60,$BM$1:$BM$3,CA$1:CA$3)/SUMPRODUCT(_xlfn.XLOOKUP($C60,$BM$1:$BM$3,$BN$1:$BY$3),$BN$4:$BY$4),""),
"")</f>
        <v/>
      </c>
      <c r="CB60" s="8" t="str">
        <f>IF(_xlfn.XLOOKUP($B60,'ELC TECH'!$H:$H,'ELC TECH'!$E:$E)="Non Dispatchable",IFERROR($AX60*_xlfn.XLOOKUP($C60,$BM$1:$BM$3,CB$1:CB$3)/SUMPRODUCT(_xlfn.XLOOKUP($C60,$BM$1:$BM$3,$BN$1:$BY$3),$BN$4:$BY$4),""),
"")</f>
        <v/>
      </c>
      <c r="CC60" s="8" t="str">
        <f>IF(_xlfn.XLOOKUP($B60,'ELC TECH'!$H:$H,'ELC TECH'!$E:$E)="Non Dispatchable",IFERROR($AX60*_xlfn.XLOOKUP($C60,$BM$1:$BM$3,CC$1:CC$3)/SUMPRODUCT(_xlfn.XLOOKUP($C60,$BM$1:$BM$3,$BN$1:$BY$3),$BN$4:$BY$4),""),
"")</f>
        <v/>
      </c>
      <c r="CD60" s="8" t="str">
        <f>IF(_xlfn.XLOOKUP($B60,'ELC TECH'!$H:$H,'ELC TECH'!$E:$E)="Non Dispatchable",IFERROR($AX60*_xlfn.XLOOKUP($C60,$BM$1:$BM$3,CD$1:CD$3)/SUMPRODUCT(_xlfn.XLOOKUP($C60,$BM$1:$BM$3,$BN$1:$BY$3),$BN$4:$BY$4),""),
"")</f>
        <v/>
      </c>
      <c r="CE60" s="8" t="str">
        <f>IF(_xlfn.XLOOKUP($B60,'ELC TECH'!$H:$H,'ELC TECH'!$E:$E)="Non Dispatchable",IFERROR($AX60*_xlfn.XLOOKUP($C60,$BM$1:$BM$3,CE$1:CE$3)/SUMPRODUCT(_xlfn.XLOOKUP($C60,$BM$1:$BM$3,$BN$1:$BY$3),$BN$4:$BY$4),""),
"")</f>
        <v/>
      </c>
      <c r="CF60" s="8" t="str">
        <f>IF(_xlfn.XLOOKUP($B60,'ELC TECH'!$H:$H,'ELC TECH'!$E:$E)="Non Dispatchable",IFERROR($AX60*_xlfn.XLOOKUP($C60,$BM$1:$BM$3,CF$1:CF$3)/SUMPRODUCT(_xlfn.XLOOKUP($C60,$BM$1:$BM$3,$BN$1:$BY$3),$BN$4:$BY$4),""),
"")</f>
        <v/>
      </c>
      <c r="CG60" s="8" t="str">
        <f>IF(_xlfn.XLOOKUP($B60,'ELC TECH'!$H:$H,'ELC TECH'!$E:$E)="Non Dispatchable",IFERROR($AX60*_xlfn.XLOOKUP($C60,$BM$1:$BM$3,CG$1:CG$3)/SUMPRODUCT(_xlfn.XLOOKUP($C60,$BM$1:$BM$3,$BN$1:$BY$3),$BN$4:$BY$4),""),
"")</f>
        <v/>
      </c>
      <c r="CH60" s="8" t="str">
        <f>IF(_xlfn.XLOOKUP($B60,'ELC TECH'!$H:$H,'ELC TECH'!$E:$E)="Non Dispatchable",IFERROR($AX60*_xlfn.XLOOKUP($C60,$BM$1:$BM$3,CH$1:CH$3)/SUMPRODUCT(_xlfn.XLOOKUP($C60,$BM$1:$BM$3,$BN$1:$BY$3),$BN$4:$BY$4),""),
"")</f>
        <v/>
      </c>
      <c r="CI60" s="8" t="str">
        <f>IF(_xlfn.XLOOKUP($B60,'ELC TECH'!$H:$H,'ELC TECH'!$E:$E)="Non Dispatchable",IFERROR($AX60*_xlfn.XLOOKUP($C60,$BM$1:$BM$3,CI$1:CI$3)/SUMPRODUCT(_xlfn.XLOOKUP($C60,$BM$1:$BM$3,$BN$1:$BY$3),$BN$4:$BY$4),""),
"")</f>
        <v/>
      </c>
      <c r="CJ60" s="8" t="str">
        <f>IF(_xlfn.XLOOKUP($B60,'ELC TECH'!$H:$H,'ELC TECH'!$E:$E)="Non Dispatchable",IFERROR($AX60*_xlfn.XLOOKUP($C60,$BM$1:$BM$3,CJ$1:CJ$3)/SUMPRODUCT(_xlfn.XLOOKUP($C60,$BM$1:$BM$3,$BN$1:$BY$3),$BN$4:$BY$4),""),
"")</f>
        <v/>
      </c>
      <c r="CK60" s="8" t="str">
        <f>IF(_xlfn.XLOOKUP($B60,'ELC TECH'!$H:$H,'ELC TECH'!$E:$E)="Non Dispatchable",IFERROR($AX60*_xlfn.XLOOKUP($C60,$BM$1:$BM$3,CK$1:CK$3)/SUMPRODUCT(_xlfn.XLOOKUP($C60,$BM$1:$BM$3,$BN$1:$BY$3),$BN$4:$BY$4),""),
"")</f>
        <v/>
      </c>
      <c r="CL60" s="8">
        <f>IF(_xlfn.XLOOKUP($B60,'ELC TECH'!$H:$H,'ELC TECH'!$E:$E)="Storage",CL$4*$BF60,"")</f>
        <v>3.4250000000000003E-2</v>
      </c>
      <c r="CM60" s="8">
        <f>IF(_xlfn.XLOOKUP($B60,'ELC TECH'!$H:$H,'ELC TECH'!$E:$E)="Storage",CM$4*$BF60,"")</f>
        <v>3.9875000000000001E-2</v>
      </c>
      <c r="CN60" s="8">
        <f>IF(_xlfn.XLOOKUP($B60,'ELC TECH'!$H:$H,'ELC TECH'!$E:$E)="Storage",CN$4*$BF60,"")</f>
        <v>6.3833333333333339E-2</v>
      </c>
      <c r="CO60" s="8">
        <f>IF(_xlfn.XLOOKUP($B60,'ELC TECH'!$H:$H,'ELC TECH'!$E:$E)="Storage",CO$4*$BF60,"")</f>
        <v>1.3333333333333335E-3</v>
      </c>
      <c r="CP60" s="8">
        <f>IF(_xlfn.XLOOKUP($B60,'ELC TECH'!$H:$H,'ELC TECH'!$E:$E)="Storage",CP$4*$BF60,"")</f>
        <v>3.3958333333333333E-2</v>
      </c>
      <c r="CQ60" s="8">
        <f>IF(_xlfn.XLOOKUP($B60,'ELC TECH'!$H:$H,'ELC TECH'!$E:$E)="Storage",CQ$4*$BF60,"")</f>
        <v>4.5291666666666668E-2</v>
      </c>
      <c r="CR60" s="8">
        <f>IF(_xlfn.XLOOKUP($B60,'ELC TECH'!$H:$H,'ELC TECH'!$E:$E)="Storage",CR$4*$BF60,"")</f>
        <v>5.7541666666666672E-2</v>
      </c>
      <c r="CS60" s="8">
        <f>IF(_xlfn.XLOOKUP($B60,'ELC TECH'!$H:$H,'ELC TECH'!$E:$E)="Storage",CS$4*$BF60,"")</f>
        <v>1.3333333333333335E-3</v>
      </c>
      <c r="CT60" s="8">
        <f>IF(_xlfn.XLOOKUP($B60,'ELC TECH'!$H:$H,'ELC TECH'!$E:$E)="Storage",CT$4*$BF60,"")</f>
        <v>4.0625000000000001E-2</v>
      </c>
      <c r="CU60" s="8">
        <f>IF(_xlfn.XLOOKUP($B60,'ELC TECH'!$H:$H,'ELC TECH'!$E:$E)="Storage",CU$4*$BF60,"")</f>
        <v>4.5291666666666668E-2</v>
      </c>
      <c r="CV60" s="8">
        <f>IF(_xlfn.XLOOKUP($B60,'ELC TECH'!$H:$H,'ELC TECH'!$E:$E)="Storage",CV$4*$BF60,"")</f>
        <v>5.2208333333333336E-2</v>
      </c>
      <c r="CW60" s="8">
        <f>IF(_xlfn.XLOOKUP($B60,'ELC TECH'!$H:$H,'ELC TECH'!$E:$E)="Storage",CW$4*$BF60,"")</f>
        <v>1.1250000000000001E-3</v>
      </c>
      <c r="CX60" s="8">
        <f>IF(_xlfn.XLOOKUP($B60,'ELC TECH'!$H:$H,'ELC TECH'!$E:$E)="Storage",CX$4*$BF60,"")</f>
        <v>3.4250000000000003E-2</v>
      </c>
      <c r="CY60" s="8">
        <f>IF(_xlfn.XLOOKUP($B60,'ELC TECH'!$H:$H,'ELC TECH'!$E:$E)="Storage",CY$4*$BF60,"")</f>
        <v>3.9875000000000001E-2</v>
      </c>
      <c r="CZ60" s="8">
        <f>IF(_xlfn.XLOOKUP($B60,'ELC TECH'!$H:$H,'ELC TECH'!$E:$E)="Storage",CZ$4*$BF60,"")</f>
        <v>6.3833333333333339E-2</v>
      </c>
      <c r="DA60" s="8">
        <f>IF(_xlfn.XLOOKUP($B60,'ELC TECH'!$H:$H,'ELC TECH'!$E:$E)="Storage",DA$4*$BF60,"")</f>
        <v>1.3333333333333335E-3</v>
      </c>
      <c r="DB60" s="8">
        <f>IF(_xlfn.XLOOKUP($B60,'ELC TECH'!$H:$H,'ELC TECH'!$E:$E)="Storage",DB$4*$BF60,"")</f>
        <v>3.3958333333333333E-2</v>
      </c>
      <c r="DC60" s="8">
        <f>IF(_xlfn.XLOOKUP($B60,'ELC TECH'!$H:$H,'ELC TECH'!$E:$E)="Storage",DC$4*$BF60,"")</f>
        <v>4.5291666666666668E-2</v>
      </c>
      <c r="DD60" s="8">
        <f>IF(_xlfn.XLOOKUP($B60,'ELC TECH'!$H:$H,'ELC TECH'!$E:$E)="Storage",DD$4*$BF60,"")</f>
        <v>5.7541666666666672E-2</v>
      </c>
      <c r="DE60" s="8">
        <f>IF(_xlfn.XLOOKUP($B60,'ELC TECH'!$H:$H,'ELC TECH'!$E:$E)="Storage",DE$4*$BF60,"")</f>
        <v>1.3333333333333335E-3</v>
      </c>
      <c r="DF60" s="8">
        <f>IF(_xlfn.XLOOKUP($B60,'ELC TECH'!$H:$H,'ELC TECH'!$E:$E)="Storage",DF$4*$BF60,"")</f>
        <v>4.0625000000000001E-2</v>
      </c>
      <c r="DG60" s="8">
        <f>IF(_xlfn.XLOOKUP($B60,'ELC TECH'!$H:$H,'ELC TECH'!$E:$E)="Storage",DG$4*$BF60,"")</f>
        <v>4.5291666666666668E-2</v>
      </c>
      <c r="DH60" s="8">
        <f>IF(_xlfn.XLOOKUP($B60,'ELC TECH'!$H:$H,'ELC TECH'!$E:$E)="Storage",DH$4*$BF60,"")</f>
        <v>5.2208333333333336E-2</v>
      </c>
      <c r="DI60" s="8">
        <f>IF(_xlfn.XLOOKUP($B60,'ELC TECH'!$H:$H,'ELC TECH'!$E:$E)="Storage",DI$4*$BF60,"")</f>
        <v>1.1250000000000001E-3</v>
      </c>
    </row>
    <row r="61" spans="2:113" x14ac:dyDescent="0.25">
      <c r="B61" t="str">
        <f>IF('ELC TECH'!I54=0,"*",'ELC TECH'!H54)</f>
        <v>ELCSTGGRDPSH10HC1120</v>
      </c>
      <c r="C61" t="str">
        <f>IF(_xlfn.XLOOKUP(_xlfn.XLOOKUP(B61,'ELC TECH'!$H:$H,'ELC TECH'!$G:$G),List!C:C,List!B:B)="STG",D61,"ELC"&amp;_xlfn.XLOOKUP(_xlfn.XLOOKUP(B61,'ELC TECH'!H:H,'ELC TECH'!G:G),List!C:C,List!B:B))</f>
        <v>CELC</v>
      </c>
      <c r="D61" t="s">
        <v>544</v>
      </c>
      <c r="E61">
        <f>_xlfn.XLOOKUP(B61,'ELC TECH'!H:H,'ELC TECH'!D:D)</f>
        <v>2020</v>
      </c>
      <c r="F61">
        <f>_xlfn.XLOOKUP(B61,'ELC TECH'!H:H,'ELC TECH'!K:K)</f>
        <v>100</v>
      </c>
      <c r="G61">
        <f t="shared" si="5"/>
        <v>31.535999999999998</v>
      </c>
      <c r="H61">
        <f>IF(_xlfn.XLOOKUP(B61,'ELC TECH'!$H:$H,'ELC TECH'!$E:$E)="Storage",0.3,IF(_xlfn.XLOOKUP(B61,'ELC TECH'!$H:$H,'ELC TECH'!$E:$E)="Baseload",0.9,IF(_xlfn.XLOOKUP(B61,'ELC TECH'!$H:$H,'ELC TECH'!$E:$E)="Non Dispatchable",0.05,IF(_xlfn.XLOOKUP(B61,'ELC TECH'!$H:$H,'ELC TECH'!$E:$E)="Dispatchable",0.9,1))))</f>
        <v>0.3</v>
      </c>
      <c r="I61" s="13">
        <f>IF(_xlfn.XLOOKUP(B61,'ELC TECH'!H:H,'ELC TECH'!J:J)="","",_xlfn.XLOOKUP(B61,'ELC TECH'!H:H,'ELC TECH'!J:J))</f>
        <v>0</v>
      </c>
      <c r="J61" s="12" t="str">
        <f>IF(_xlfn.XLOOKUP($B61,'ELC TECH'!$H:$H,'ELC TECH'!$E:$E)="Storage","",IF(_xlfn.XLOOKUP($B61,'ELC TECH'!$H:$H,'ELC TECH'!AK:AK)="",1,_xlfn.XLOOKUP($B61,'ELC TECH'!$H:$H,'ELC TECH'!AK:AK)))</f>
        <v/>
      </c>
      <c r="K61" s="12" t="str">
        <f>IF(_xlfn.XLOOKUP($B61,'ELC TECH'!$H:$H,'ELC TECH'!$E:$E)="Storage","",IF(_xlfn.XLOOKUP($B61,'ELC TECH'!$H:$H,'ELC TECH'!AL:AL)="",1,_xlfn.XLOOKUP($B61,'ELC TECH'!$H:$H,'ELC TECH'!AL:AL)))</f>
        <v/>
      </c>
      <c r="L61" s="12" t="str">
        <f>IF(_xlfn.XLOOKUP($B61,'ELC TECH'!$H:$H,'ELC TECH'!$E:$E)="Storage","",IF(_xlfn.XLOOKUP($B61,'ELC TECH'!$H:$H,'ELC TECH'!AM:AM)="",1,_xlfn.XLOOKUP($B61,'ELC TECH'!$H:$H,'ELC TECH'!AM:AM)))</f>
        <v/>
      </c>
      <c r="M61" s="12" t="str">
        <f>IF(_xlfn.XLOOKUP($B61,'ELC TECH'!$H:$H,'ELC TECH'!$E:$E)="Storage","",IF(_xlfn.XLOOKUP($B61,'ELC TECH'!$H:$H,'ELC TECH'!AN:AN)="",1,_xlfn.XLOOKUP($B61,'ELC TECH'!$H:$H,'ELC TECH'!AN:AN)))</f>
        <v/>
      </c>
      <c r="N61" s="12" t="str">
        <f>IF(_xlfn.XLOOKUP($B61,'ELC TECH'!$H:$H,'ELC TECH'!$E:$E)="Storage","",IF(_xlfn.XLOOKUP($B61,'ELC TECH'!$H:$H,'ELC TECH'!AO:AO)="",1,_xlfn.XLOOKUP($B61,'ELC TECH'!$H:$H,'ELC TECH'!AO:AO)))</f>
        <v/>
      </c>
      <c r="O61" s="12" t="str">
        <f>IF(_xlfn.XLOOKUP($B61,'ELC TECH'!$H:$H,'ELC TECH'!$E:$E)="Storage","",IF(_xlfn.XLOOKUP($B61,'ELC TECH'!$H:$H,'ELC TECH'!AP:AP)="",1,_xlfn.XLOOKUP($B61,'ELC TECH'!$H:$H,'ELC TECH'!AP:AP)))</f>
        <v/>
      </c>
      <c r="P61" s="12" t="str">
        <f>IF(_xlfn.XLOOKUP($B61,'ELC TECH'!$H:$H,'ELC TECH'!$E:$E)="Storage","",IF(_xlfn.XLOOKUP($B61,'ELC TECH'!$H:$H,'ELC TECH'!AQ:AQ)="",1,_xlfn.XLOOKUP($B61,'ELC TECH'!$H:$H,'ELC TECH'!AQ:AQ)))</f>
        <v/>
      </c>
      <c r="Q61" s="12" t="str">
        <f>IF(_xlfn.XLOOKUP($B61,'ELC TECH'!$H:$H,'ELC TECH'!$E:$E)="Storage","",IF(_xlfn.XLOOKUP($B61,'ELC TECH'!$H:$H,'ELC TECH'!AR:AR)="",1,_xlfn.XLOOKUP($B61,'ELC TECH'!$H:$H,'ELC TECH'!AR:AR)))</f>
        <v/>
      </c>
      <c r="R61" s="12">
        <f>IF(_xlfn.XLOOKUP($B61,'ELC TECH'!$H:$H,'ELC TECH'!$E:$E)&lt;&gt;"Storage","",IF(_xlfn.XLOOKUP($B61,'ELC TECH'!$H:$H,'ELC TECH'!AK:AK)="",0.8,_xlfn.XLOOKUP($B61,'ELC TECH'!$H:$H,'ELC TECH'!AK:AK)))</f>
        <v>0.8</v>
      </c>
      <c r="S61" s="12">
        <f>IF(_xlfn.XLOOKUP($B61,'ELC TECH'!$H:$H,'ELC TECH'!$E:$E)&lt;&gt;"Storage","",IF(_xlfn.XLOOKUP($B61,'ELC TECH'!$H:$H,'ELC TECH'!AL:AL)="",0.8,_xlfn.XLOOKUP($B61,'ELC TECH'!$H:$H,'ELC TECH'!AL:AL)))</f>
        <v>0.8</v>
      </c>
      <c r="T61" s="12">
        <f>IF(_xlfn.XLOOKUP($B61,'ELC TECH'!$H:$H,'ELC TECH'!$E:$E)&lt;&gt;"Storage","",IF(_xlfn.XLOOKUP($B61,'ELC TECH'!$H:$H,'ELC TECH'!AM:AM)="",0.8,_xlfn.XLOOKUP($B61,'ELC TECH'!$H:$H,'ELC TECH'!AM:AM)))</f>
        <v>0.8</v>
      </c>
      <c r="U61" s="12">
        <f>IF(_xlfn.XLOOKUP($B61,'ELC TECH'!$H:$H,'ELC TECH'!$E:$E)&lt;&gt;"Storage","",IF(_xlfn.XLOOKUP($B61,'ELC TECH'!$H:$H,'ELC TECH'!AN:AN)="",0.8,_xlfn.XLOOKUP($B61,'ELC TECH'!$H:$H,'ELC TECH'!AN:AN)))</f>
        <v>0.8</v>
      </c>
      <c r="V61" s="12">
        <f>IF(_xlfn.XLOOKUP($B61,'ELC TECH'!$H:$H,'ELC TECH'!$E:$E)&lt;&gt;"Storage","",IF(_xlfn.XLOOKUP($B61,'ELC TECH'!$H:$H,'ELC TECH'!AO:AO)="",0.8,_xlfn.XLOOKUP($B61,'ELC TECH'!$H:$H,'ELC TECH'!AO:AO)))</f>
        <v>0.8</v>
      </c>
      <c r="W61" s="12">
        <f>IF(_xlfn.XLOOKUP($B61,'ELC TECH'!$H:$H,'ELC TECH'!$E:$E)&lt;&gt;"Storage","",IF(_xlfn.XLOOKUP($B61,'ELC TECH'!$H:$H,'ELC TECH'!AP:AP)="",0.8,_xlfn.XLOOKUP($B61,'ELC TECH'!$H:$H,'ELC TECH'!AP:AP)))</f>
        <v>0.8</v>
      </c>
      <c r="X61" s="12">
        <f>IF(_xlfn.XLOOKUP($B61,'ELC TECH'!$H:$H,'ELC TECH'!$E:$E)&lt;&gt;"Storage","",IF(_xlfn.XLOOKUP($B61,'ELC TECH'!$H:$H,'ELC TECH'!AQ:AQ)="",0.8,_xlfn.XLOOKUP($B61,'ELC TECH'!$H:$H,'ELC TECH'!AQ:AQ)))</f>
        <v>0.8</v>
      </c>
      <c r="Y61" s="12">
        <f>IF(_xlfn.XLOOKUP($B61,'ELC TECH'!$H:$H,'ELC TECH'!$E:$E)&lt;&gt;"Storage","",IF(_xlfn.XLOOKUP($B61,'ELC TECH'!$H:$H,'ELC TECH'!AR:AR)="",0.8,_xlfn.XLOOKUP($B61,'ELC TECH'!$H:$H,'ELC TECH'!AR:AR)))</f>
        <v>0.8</v>
      </c>
      <c r="Z61" s="15">
        <f>_xlfn.XLOOKUP($B61,'ELC TECH'!$H:$H,'ELC TECH'!M:M)</f>
        <v>3989.3387907441688</v>
      </c>
      <c r="AA61" s="15">
        <f>_xlfn.XLOOKUP($B61,'ELC TECH'!$H:$H,'ELC TECH'!N:N)</f>
        <v>3989.3387907441688</v>
      </c>
      <c r="AB61" s="15">
        <f>_xlfn.XLOOKUP($B61,'ELC TECH'!$H:$H,'ELC TECH'!O:O)</f>
        <v>3989.3387907441688</v>
      </c>
      <c r="AC61" s="15">
        <f>_xlfn.XLOOKUP($B61,'ELC TECH'!$H:$H,'ELC TECH'!P:P)</f>
        <v>3989.3387907441688</v>
      </c>
      <c r="AD61" s="15">
        <f>_xlfn.XLOOKUP($B61,'ELC TECH'!$H:$H,'ELC TECH'!Q:Q)</f>
        <v>3989.3387907441688</v>
      </c>
      <c r="AE61" s="15">
        <f>_xlfn.XLOOKUP($B61,'ELC TECH'!$H:$H,'ELC TECH'!R:R)</f>
        <v>3989.3387907441688</v>
      </c>
      <c r="AF61" s="15">
        <f>_xlfn.XLOOKUP($B61,'ELC TECH'!$H:$H,'ELC TECH'!S:S)</f>
        <v>3989.3387907441688</v>
      </c>
      <c r="AG61" s="15">
        <f>_xlfn.XLOOKUP($B61,'ELC TECH'!$H:$H,'ELC TECH'!T:T)</f>
        <v>3989.3387907441688</v>
      </c>
      <c r="AH61" s="15">
        <f>_xlfn.XLOOKUP($B61,'ELC TECH'!$H:$H,'ELC TECH'!U:U)</f>
        <v>21.100097091380029</v>
      </c>
      <c r="AI61" s="15">
        <f>_xlfn.XLOOKUP($B61,'ELC TECH'!$H:$H,'ELC TECH'!V:V)</f>
        <v>21.100097091380029</v>
      </c>
      <c r="AJ61" s="15">
        <f>_xlfn.XLOOKUP($B61,'ELC TECH'!$H:$H,'ELC TECH'!W:W)</f>
        <v>21.100097091380029</v>
      </c>
      <c r="AK61" s="15">
        <f>_xlfn.XLOOKUP($B61,'ELC TECH'!$H:$H,'ELC TECH'!X:X)</f>
        <v>21.100097091380029</v>
      </c>
      <c r="AL61" s="15">
        <f>_xlfn.XLOOKUP($B61,'ELC TECH'!$H:$H,'ELC TECH'!Y:Y)</f>
        <v>21.100097091380029</v>
      </c>
      <c r="AM61" s="15">
        <f>_xlfn.XLOOKUP($B61,'ELC TECH'!$H:$H,'ELC TECH'!Z:Z)</f>
        <v>21.100097091380029</v>
      </c>
      <c r="AN61" s="15">
        <f>_xlfn.XLOOKUP($B61,'ELC TECH'!$H:$H,'ELC TECH'!AA:AA)</f>
        <v>21.100097091380029</v>
      </c>
      <c r="AO61" s="15">
        <f>_xlfn.XLOOKUP($B61,'ELC TECH'!$H:$H,'ELC TECH'!AB:AB)</f>
        <v>21.100097091380029</v>
      </c>
      <c r="AP61" s="15">
        <f>_xlfn.XLOOKUP($B61,'ELC TECH'!$H:$H,'ELC TECH'!AC:AC)</f>
        <v>0.1696149283872993</v>
      </c>
      <c r="AQ61" s="15">
        <f>_xlfn.XLOOKUP($B61,'ELC TECH'!$H:$H,'ELC TECH'!AD:AD)</f>
        <v>0.1696149283872993</v>
      </c>
      <c r="AR61" s="15">
        <f>_xlfn.XLOOKUP($B61,'ELC TECH'!$H:$H,'ELC TECH'!AE:AE)</f>
        <v>0.1696149283872993</v>
      </c>
      <c r="AS61" s="15">
        <f>_xlfn.XLOOKUP($B61,'ELC TECH'!$H:$H,'ELC TECH'!AF:AF)</f>
        <v>0.1696149283872993</v>
      </c>
      <c r="AT61" s="15">
        <f>_xlfn.XLOOKUP($B61,'ELC TECH'!$H:$H,'ELC TECH'!AG:AG)</f>
        <v>0.1696149283872993</v>
      </c>
      <c r="AU61" s="15">
        <f>_xlfn.XLOOKUP($B61,'ELC TECH'!$H:$H,'ELC TECH'!AH:AH)</f>
        <v>0.1696149283872993</v>
      </c>
      <c r="AV61" s="15">
        <f>_xlfn.XLOOKUP($B61,'ELC TECH'!$H:$H,'ELC TECH'!AI:AI)</f>
        <v>0.1696149283872993</v>
      </c>
      <c r="AW61" s="15">
        <f>_xlfn.XLOOKUP($B61,'ELC TECH'!$H:$H,'ELC TECH'!AJ:AJ)</f>
        <v>0.1696149283872993</v>
      </c>
      <c r="AX61" s="12" t="str">
        <f>IF(_xlfn.XLOOKUP($B61,'ELC TECH'!$H:$H,'ELC TECH'!$E:$E)="Storage","",_xlfn.XLOOKUP($B61,'ELC TECH'!$H:$H,'ELC TECH'!AS:AS))</f>
        <v/>
      </c>
      <c r="AY61" s="12" t="str">
        <f>IF(_xlfn.XLOOKUP($B61,'ELC TECH'!$H:$H,'ELC TECH'!$E:$E)="Storage","",_xlfn.XLOOKUP($B61,'ELC TECH'!$H:$H,'ELC TECH'!AT:AT))</f>
        <v/>
      </c>
      <c r="AZ61" s="12" t="str">
        <f>IF(_xlfn.XLOOKUP($B61,'ELC TECH'!$H:$H,'ELC TECH'!$E:$E)="Storage","",_xlfn.XLOOKUP($B61,'ELC TECH'!$H:$H,'ELC TECH'!AU:AU))</f>
        <v/>
      </c>
      <c r="BA61" s="12" t="str">
        <f>IF(_xlfn.XLOOKUP($B61,'ELC TECH'!$H:$H,'ELC TECH'!$E:$E)="Storage","",_xlfn.XLOOKUP($B61,'ELC TECH'!$H:$H,'ELC TECH'!AV:AV))</f>
        <v/>
      </c>
      <c r="BB61" s="12" t="str">
        <f>IF(_xlfn.XLOOKUP($B61,'ELC TECH'!$H:$H,'ELC TECH'!$E:$E)="Storage","",_xlfn.XLOOKUP($B61,'ELC TECH'!$H:$H,'ELC TECH'!AW:AW))</f>
        <v/>
      </c>
      <c r="BC61" s="12" t="str">
        <f>IF(_xlfn.XLOOKUP($B61,'ELC TECH'!$H:$H,'ELC TECH'!$E:$E)="Storage","",_xlfn.XLOOKUP($B61,'ELC TECH'!$H:$H,'ELC TECH'!AX:AX))</f>
        <v/>
      </c>
      <c r="BD61" s="12" t="str">
        <f>IF(_xlfn.XLOOKUP($B61,'ELC TECH'!$H:$H,'ELC TECH'!$E:$E)="Storage","",_xlfn.XLOOKUP($B61,'ELC TECH'!$H:$H,'ELC TECH'!AY:AY))</f>
        <v/>
      </c>
      <c r="BE61" s="12" t="str">
        <f>IF(_xlfn.XLOOKUP($B61,'ELC TECH'!$H:$H,'ELC TECH'!$E:$E)="Storage","",_xlfn.XLOOKUP($B61,'ELC TECH'!$H:$H,'ELC TECH'!AZ:AZ))</f>
        <v/>
      </c>
      <c r="BF61" s="12">
        <f>IF(_xlfn.XLOOKUP($B61,'ELC TECH'!$H:$H,'ELC TECH'!$E:$E)="Storage",_xlfn.XLOOKUP($B61,'ELC TECH'!$H:$H,'ELC TECH'!AS:AS),"")</f>
        <v>0.41666666666666669</v>
      </c>
      <c r="BG61" s="12">
        <f>IF(_xlfn.XLOOKUP($B61,'ELC TECH'!$H:$H,'ELC TECH'!$E:$E)="Storage",_xlfn.XLOOKUP($B61,'ELC TECH'!$H:$H,'ELC TECH'!AT:AT),"")</f>
        <v>0.41666666666666669</v>
      </c>
      <c r="BH61" s="12">
        <f>IF(_xlfn.XLOOKUP($B61,'ELC TECH'!$H:$H,'ELC TECH'!$E:$E)="Storage",_xlfn.XLOOKUP($B61,'ELC TECH'!$H:$H,'ELC TECH'!AU:AU),"")</f>
        <v>0.41666666666666669</v>
      </c>
      <c r="BI61" s="12">
        <f>IF(_xlfn.XLOOKUP($B61,'ELC TECH'!$H:$H,'ELC TECH'!$E:$E)="Storage",_xlfn.XLOOKUP($B61,'ELC TECH'!$H:$H,'ELC TECH'!AV:AV),"")</f>
        <v>0.41666666666666669</v>
      </c>
      <c r="BJ61" s="12">
        <f>IF(_xlfn.XLOOKUP($B61,'ELC TECH'!$H:$H,'ELC TECH'!$E:$E)="Storage",_xlfn.XLOOKUP($B61,'ELC TECH'!$H:$H,'ELC TECH'!AW:AW),"")</f>
        <v>0.41666666666666669</v>
      </c>
      <c r="BK61" s="12">
        <f>IF(_xlfn.XLOOKUP($B61,'ELC TECH'!$H:$H,'ELC TECH'!$E:$E)="Storage",_xlfn.XLOOKUP($B61,'ELC TECH'!$H:$H,'ELC TECH'!AX:AX),"")</f>
        <v>0.41666666666666669</v>
      </c>
      <c r="BL61" s="12">
        <f>IF(_xlfn.XLOOKUP($B61,'ELC TECH'!$H:$H,'ELC TECH'!$E:$E)="Storage",_xlfn.XLOOKUP($B61,'ELC TECH'!$H:$H,'ELC TECH'!AY:AY),"")</f>
        <v>0.41666666666666669</v>
      </c>
      <c r="BM61" s="12">
        <f>IF(_xlfn.XLOOKUP($B61,'ELC TECH'!$H:$H,'ELC TECH'!$E:$E)="Storage",_xlfn.XLOOKUP($B61,'ELC TECH'!$H:$H,'ELC TECH'!AZ:AZ),"")</f>
        <v>0.41666666666666669</v>
      </c>
      <c r="BN61" s="8" t="str">
        <f>IF(_xlfn.XLOOKUP($B61,'ELC TECH'!$H:$H,'ELC TECH'!$E:$E)="Non Dispatchable",IFERROR($AX61*_xlfn.XLOOKUP($C61,$BM$1:$BM$3,BN$1:BN$3)/SUMPRODUCT(_xlfn.XLOOKUP($C61,$BM$1:$BM$3,$BN$1:$BY$3),$BN$4:$BY$4),""),
"")</f>
        <v/>
      </c>
      <c r="BO61" s="8" t="str">
        <f>IF(_xlfn.XLOOKUP($B61,'ELC TECH'!$H:$H,'ELC TECH'!$E:$E)="Non Dispatchable",IFERROR($AX61*_xlfn.XLOOKUP($C61,$BM$1:$BM$3,BO$1:BO$3)/SUMPRODUCT(_xlfn.XLOOKUP($C61,$BM$1:$BM$3,$BN$1:$BY$3),$BN$4:$BY$4),""),
"")</f>
        <v/>
      </c>
      <c r="BP61" s="8" t="str">
        <f>IF(_xlfn.XLOOKUP($B61,'ELC TECH'!$H:$H,'ELC TECH'!$E:$E)="Non Dispatchable",IFERROR($AX61*_xlfn.XLOOKUP($C61,$BM$1:$BM$3,BP$1:BP$3)/SUMPRODUCT(_xlfn.XLOOKUP($C61,$BM$1:$BM$3,$BN$1:$BY$3),$BN$4:$BY$4),""),
"")</f>
        <v/>
      </c>
      <c r="BQ61" s="8" t="str">
        <f>IF(_xlfn.XLOOKUP($B61,'ELC TECH'!$H:$H,'ELC TECH'!$E:$E)="Non Dispatchable",IFERROR($AX61*_xlfn.XLOOKUP($C61,$BM$1:$BM$3,BQ$1:BQ$3)/SUMPRODUCT(_xlfn.XLOOKUP($C61,$BM$1:$BM$3,$BN$1:$BY$3),$BN$4:$BY$4),""),
"")</f>
        <v/>
      </c>
      <c r="BR61" s="8" t="str">
        <f>IF(_xlfn.XLOOKUP($B61,'ELC TECH'!$H:$H,'ELC TECH'!$E:$E)="Non Dispatchable",IFERROR($AX61*_xlfn.XLOOKUP($C61,$BM$1:$BM$3,BR$1:BR$3)/SUMPRODUCT(_xlfn.XLOOKUP($C61,$BM$1:$BM$3,$BN$1:$BY$3),$BN$4:$BY$4),""),
"")</f>
        <v/>
      </c>
      <c r="BS61" s="8" t="str">
        <f>IF(_xlfn.XLOOKUP($B61,'ELC TECH'!$H:$H,'ELC TECH'!$E:$E)="Non Dispatchable",IFERROR($AX61*_xlfn.XLOOKUP($C61,$BM$1:$BM$3,BS$1:BS$3)/SUMPRODUCT(_xlfn.XLOOKUP($C61,$BM$1:$BM$3,$BN$1:$BY$3),$BN$4:$BY$4),""),
"")</f>
        <v/>
      </c>
      <c r="BT61" s="8" t="str">
        <f>IF(_xlfn.XLOOKUP($B61,'ELC TECH'!$H:$H,'ELC TECH'!$E:$E)="Non Dispatchable",IFERROR($AX61*_xlfn.XLOOKUP($C61,$BM$1:$BM$3,BT$1:BT$3)/SUMPRODUCT(_xlfn.XLOOKUP($C61,$BM$1:$BM$3,$BN$1:$BY$3),$BN$4:$BY$4),""),
"")</f>
        <v/>
      </c>
      <c r="BU61" s="8" t="str">
        <f>IF(_xlfn.XLOOKUP($B61,'ELC TECH'!$H:$H,'ELC TECH'!$E:$E)="Non Dispatchable",IFERROR($AX61*_xlfn.XLOOKUP($C61,$BM$1:$BM$3,BU$1:BU$3)/SUMPRODUCT(_xlfn.XLOOKUP($C61,$BM$1:$BM$3,$BN$1:$BY$3),$BN$4:$BY$4),""),
"")</f>
        <v/>
      </c>
      <c r="BV61" s="8" t="str">
        <f>IF(_xlfn.XLOOKUP($B61,'ELC TECH'!$H:$H,'ELC TECH'!$E:$E)="Non Dispatchable",IFERROR($AX61*_xlfn.XLOOKUP($C61,$BM$1:$BM$3,BV$1:BV$3)/SUMPRODUCT(_xlfn.XLOOKUP($C61,$BM$1:$BM$3,$BN$1:$BY$3),$BN$4:$BY$4),""),
"")</f>
        <v/>
      </c>
      <c r="BW61" s="8" t="str">
        <f>IF(_xlfn.XLOOKUP($B61,'ELC TECH'!$H:$H,'ELC TECH'!$E:$E)="Non Dispatchable",IFERROR($AX61*_xlfn.XLOOKUP($C61,$BM$1:$BM$3,BW$1:BW$3)/SUMPRODUCT(_xlfn.XLOOKUP($C61,$BM$1:$BM$3,$BN$1:$BY$3),$BN$4:$BY$4),""),
"")</f>
        <v/>
      </c>
      <c r="BX61" s="8" t="str">
        <f>IF(_xlfn.XLOOKUP($B61,'ELC TECH'!$H:$H,'ELC TECH'!$E:$E)="Non Dispatchable",IFERROR($AX61*_xlfn.XLOOKUP($C61,$BM$1:$BM$3,BX$1:BX$3)/SUMPRODUCT(_xlfn.XLOOKUP($C61,$BM$1:$BM$3,$BN$1:$BY$3),$BN$4:$BY$4),""),
"")</f>
        <v/>
      </c>
      <c r="BY61" s="8" t="str">
        <f>IF(_xlfn.XLOOKUP($B61,'ELC TECH'!$H:$H,'ELC TECH'!$E:$E)="Non Dispatchable",IFERROR($AX61*_xlfn.XLOOKUP($C61,$BM$1:$BM$3,BY$1:BY$3)/SUMPRODUCT(_xlfn.XLOOKUP($C61,$BM$1:$BM$3,$BN$1:$BY$3),$BN$4:$BY$4),""),
"")</f>
        <v/>
      </c>
      <c r="BZ61" s="8" t="str">
        <f>IF(_xlfn.XLOOKUP($B61,'ELC TECH'!$H:$H,'ELC TECH'!$E:$E)="Non Dispatchable",IFERROR($AX61*_xlfn.XLOOKUP($C61,$BM$1:$BM$3,BZ$1:BZ$3)/SUMPRODUCT(_xlfn.XLOOKUP($C61,$BM$1:$BM$3,$BN$1:$BY$3),$BN$4:$BY$4),""),
"")</f>
        <v/>
      </c>
      <c r="CA61" s="8" t="str">
        <f>IF(_xlfn.XLOOKUP($B61,'ELC TECH'!$H:$H,'ELC TECH'!$E:$E)="Non Dispatchable",IFERROR($AX61*_xlfn.XLOOKUP($C61,$BM$1:$BM$3,CA$1:CA$3)/SUMPRODUCT(_xlfn.XLOOKUP($C61,$BM$1:$BM$3,$BN$1:$BY$3),$BN$4:$BY$4),""),
"")</f>
        <v/>
      </c>
      <c r="CB61" s="8" t="str">
        <f>IF(_xlfn.XLOOKUP($B61,'ELC TECH'!$H:$H,'ELC TECH'!$E:$E)="Non Dispatchable",IFERROR($AX61*_xlfn.XLOOKUP($C61,$BM$1:$BM$3,CB$1:CB$3)/SUMPRODUCT(_xlfn.XLOOKUP($C61,$BM$1:$BM$3,$BN$1:$BY$3),$BN$4:$BY$4),""),
"")</f>
        <v/>
      </c>
      <c r="CC61" s="8" t="str">
        <f>IF(_xlfn.XLOOKUP($B61,'ELC TECH'!$H:$H,'ELC TECH'!$E:$E)="Non Dispatchable",IFERROR($AX61*_xlfn.XLOOKUP($C61,$BM$1:$BM$3,CC$1:CC$3)/SUMPRODUCT(_xlfn.XLOOKUP($C61,$BM$1:$BM$3,$BN$1:$BY$3),$BN$4:$BY$4),""),
"")</f>
        <v/>
      </c>
      <c r="CD61" s="8" t="str">
        <f>IF(_xlfn.XLOOKUP($B61,'ELC TECH'!$H:$H,'ELC TECH'!$E:$E)="Non Dispatchable",IFERROR($AX61*_xlfn.XLOOKUP($C61,$BM$1:$BM$3,CD$1:CD$3)/SUMPRODUCT(_xlfn.XLOOKUP($C61,$BM$1:$BM$3,$BN$1:$BY$3),$BN$4:$BY$4),""),
"")</f>
        <v/>
      </c>
      <c r="CE61" s="8" t="str">
        <f>IF(_xlfn.XLOOKUP($B61,'ELC TECH'!$H:$H,'ELC TECH'!$E:$E)="Non Dispatchable",IFERROR($AX61*_xlfn.XLOOKUP($C61,$BM$1:$BM$3,CE$1:CE$3)/SUMPRODUCT(_xlfn.XLOOKUP($C61,$BM$1:$BM$3,$BN$1:$BY$3),$BN$4:$BY$4),""),
"")</f>
        <v/>
      </c>
      <c r="CF61" s="8" t="str">
        <f>IF(_xlfn.XLOOKUP($B61,'ELC TECH'!$H:$H,'ELC TECH'!$E:$E)="Non Dispatchable",IFERROR($AX61*_xlfn.XLOOKUP($C61,$BM$1:$BM$3,CF$1:CF$3)/SUMPRODUCT(_xlfn.XLOOKUP($C61,$BM$1:$BM$3,$BN$1:$BY$3),$BN$4:$BY$4),""),
"")</f>
        <v/>
      </c>
      <c r="CG61" s="8" t="str">
        <f>IF(_xlfn.XLOOKUP($B61,'ELC TECH'!$H:$H,'ELC TECH'!$E:$E)="Non Dispatchable",IFERROR($AX61*_xlfn.XLOOKUP($C61,$BM$1:$BM$3,CG$1:CG$3)/SUMPRODUCT(_xlfn.XLOOKUP($C61,$BM$1:$BM$3,$BN$1:$BY$3),$BN$4:$BY$4),""),
"")</f>
        <v/>
      </c>
      <c r="CH61" s="8" t="str">
        <f>IF(_xlfn.XLOOKUP($B61,'ELC TECH'!$H:$H,'ELC TECH'!$E:$E)="Non Dispatchable",IFERROR($AX61*_xlfn.XLOOKUP($C61,$BM$1:$BM$3,CH$1:CH$3)/SUMPRODUCT(_xlfn.XLOOKUP($C61,$BM$1:$BM$3,$BN$1:$BY$3),$BN$4:$BY$4),""),
"")</f>
        <v/>
      </c>
      <c r="CI61" s="8" t="str">
        <f>IF(_xlfn.XLOOKUP($B61,'ELC TECH'!$H:$H,'ELC TECH'!$E:$E)="Non Dispatchable",IFERROR($AX61*_xlfn.XLOOKUP($C61,$BM$1:$BM$3,CI$1:CI$3)/SUMPRODUCT(_xlfn.XLOOKUP($C61,$BM$1:$BM$3,$BN$1:$BY$3),$BN$4:$BY$4),""),
"")</f>
        <v/>
      </c>
      <c r="CJ61" s="8" t="str">
        <f>IF(_xlfn.XLOOKUP($B61,'ELC TECH'!$H:$H,'ELC TECH'!$E:$E)="Non Dispatchable",IFERROR($AX61*_xlfn.XLOOKUP($C61,$BM$1:$BM$3,CJ$1:CJ$3)/SUMPRODUCT(_xlfn.XLOOKUP($C61,$BM$1:$BM$3,$BN$1:$BY$3),$BN$4:$BY$4),""),
"")</f>
        <v/>
      </c>
      <c r="CK61" s="8" t="str">
        <f>IF(_xlfn.XLOOKUP($B61,'ELC TECH'!$H:$H,'ELC TECH'!$E:$E)="Non Dispatchable",IFERROR($AX61*_xlfn.XLOOKUP($C61,$BM$1:$BM$3,CK$1:CK$3)/SUMPRODUCT(_xlfn.XLOOKUP($C61,$BM$1:$BM$3,$BN$1:$BY$3),$BN$4:$BY$4),""),
"")</f>
        <v/>
      </c>
      <c r="CL61" s="8">
        <f>IF(_xlfn.XLOOKUP($B61,'ELC TECH'!$H:$H,'ELC TECH'!$E:$E)="Storage",CL$4*$BF61,"")</f>
        <v>3.4250000000000003E-2</v>
      </c>
      <c r="CM61" s="8">
        <f>IF(_xlfn.XLOOKUP($B61,'ELC TECH'!$H:$H,'ELC TECH'!$E:$E)="Storage",CM$4*$BF61,"")</f>
        <v>3.9875000000000001E-2</v>
      </c>
      <c r="CN61" s="8">
        <f>IF(_xlfn.XLOOKUP($B61,'ELC TECH'!$H:$H,'ELC TECH'!$E:$E)="Storage",CN$4*$BF61,"")</f>
        <v>6.3833333333333339E-2</v>
      </c>
      <c r="CO61" s="8">
        <f>IF(_xlfn.XLOOKUP($B61,'ELC TECH'!$H:$H,'ELC TECH'!$E:$E)="Storage",CO$4*$BF61,"")</f>
        <v>1.3333333333333335E-3</v>
      </c>
      <c r="CP61" s="8">
        <f>IF(_xlfn.XLOOKUP($B61,'ELC TECH'!$H:$H,'ELC TECH'!$E:$E)="Storage",CP$4*$BF61,"")</f>
        <v>3.3958333333333333E-2</v>
      </c>
      <c r="CQ61" s="8">
        <f>IF(_xlfn.XLOOKUP($B61,'ELC TECH'!$H:$H,'ELC TECH'!$E:$E)="Storage",CQ$4*$BF61,"")</f>
        <v>4.5291666666666668E-2</v>
      </c>
      <c r="CR61" s="8">
        <f>IF(_xlfn.XLOOKUP($B61,'ELC TECH'!$H:$H,'ELC TECH'!$E:$E)="Storage",CR$4*$BF61,"")</f>
        <v>5.7541666666666672E-2</v>
      </c>
      <c r="CS61" s="8">
        <f>IF(_xlfn.XLOOKUP($B61,'ELC TECH'!$H:$H,'ELC TECH'!$E:$E)="Storage",CS$4*$BF61,"")</f>
        <v>1.3333333333333335E-3</v>
      </c>
      <c r="CT61" s="8">
        <f>IF(_xlfn.XLOOKUP($B61,'ELC TECH'!$H:$H,'ELC TECH'!$E:$E)="Storage",CT$4*$BF61,"")</f>
        <v>4.0625000000000001E-2</v>
      </c>
      <c r="CU61" s="8">
        <f>IF(_xlfn.XLOOKUP($B61,'ELC TECH'!$H:$H,'ELC TECH'!$E:$E)="Storage",CU$4*$BF61,"")</f>
        <v>4.5291666666666668E-2</v>
      </c>
      <c r="CV61" s="8">
        <f>IF(_xlfn.XLOOKUP($B61,'ELC TECH'!$H:$H,'ELC TECH'!$E:$E)="Storage",CV$4*$BF61,"")</f>
        <v>5.2208333333333336E-2</v>
      </c>
      <c r="CW61" s="8">
        <f>IF(_xlfn.XLOOKUP($B61,'ELC TECH'!$H:$H,'ELC TECH'!$E:$E)="Storage",CW$4*$BF61,"")</f>
        <v>1.1250000000000001E-3</v>
      </c>
      <c r="CX61" s="8">
        <f>IF(_xlfn.XLOOKUP($B61,'ELC TECH'!$H:$H,'ELC TECH'!$E:$E)="Storage",CX$4*$BF61,"")</f>
        <v>3.4250000000000003E-2</v>
      </c>
      <c r="CY61" s="8">
        <f>IF(_xlfn.XLOOKUP($B61,'ELC TECH'!$H:$H,'ELC TECH'!$E:$E)="Storage",CY$4*$BF61,"")</f>
        <v>3.9875000000000001E-2</v>
      </c>
      <c r="CZ61" s="8">
        <f>IF(_xlfn.XLOOKUP($B61,'ELC TECH'!$H:$H,'ELC TECH'!$E:$E)="Storage",CZ$4*$BF61,"")</f>
        <v>6.3833333333333339E-2</v>
      </c>
      <c r="DA61" s="8">
        <f>IF(_xlfn.XLOOKUP($B61,'ELC TECH'!$H:$H,'ELC TECH'!$E:$E)="Storage",DA$4*$BF61,"")</f>
        <v>1.3333333333333335E-3</v>
      </c>
      <c r="DB61" s="8">
        <f>IF(_xlfn.XLOOKUP($B61,'ELC TECH'!$H:$H,'ELC TECH'!$E:$E)="Storage",DB$4*$BF61,"")</f>
        <v>3.3958333333333333E-2</v>
      </c>
      <c r="DC61" s="8">
        <f>IF(_xlfn.XLOOKUP($B61,'ELC TECH'!$H:$H,'ELC TECH'!$E:$E)="Storage",DC$4*$BF61,"")</f>
        <v>4.5291666666666668E-2</v>
      </c>
      <c r="DD61" s="8">
        <f>IF(_xlfn.XLOOKUP($B61,'ELC TECH'!$H:$H,'ELC TECH'!$E:$E)="Storage",DD$4*$BF61,"")</f>
        <v>5.7541666666666672E-2</v>
      </c>
      <c r="DE61" s="8">
        <f>IF(_xlfn.XLOOKUP($B61,'ELC TECH'!$H:$H,'ELC TECH'!$E:$E)="Storage",DE$4*$BF61,"")</f>
        <v>1.3333333333333335E-3</v>
      </c>
      <c r="DF61" s="8">
        <f>IF(_xlfn.XLOOKUP($B61,'ELC TECH'!$H:$H,'ELC TECH'!$E:$E)="Storage",DF$4*$BF61,"")</f>
        <v>4.0625000000000001E-2</v>
      </c>
      <c r="DG61" s="8">
        <f>IF(_xlfn.XLOOKUP($B61,'ELC TECH'!$H:$H,'ELC TECH'!$E:$E)="Storage",DG$4*$BF61,"")</f>
        <v>4.5291666666666668E-2</v>
      </c>
      <c r="DH61" s="8">
        <f>IF(_xlfn.XLOOKUP($B61,'ELC TECH'!$H:$H,'ELC TECH'!$E:$E)="Storage",DH$4*$BF61,"")</f>
        <v>5.2208333333333336E-2</v>
      </c>
      <c r="DI61" s="8">
        <f>IF(_xlfn.XLOOKUP($B61,'ELC TECH'!$H:$H,'ELC TECH'!$E:$E)="Storage",DI$4*$BF61,"")</f>
        <v>1.1250000000000001E-3</v>
      </c>
    </row>
    <row r="62" spans="2:113" x14ac:dyDescent="0.25">
      <c r="B62" t="str">
        <f>IF('ELC TECH'!I55=0,"*",'ELC TECH'!H55)</f>
        <v>ELCSTGGRDPSH10HC1220</v>
      </c>
      <c r="C62" t="str">
        <f>IF(_xlfn.XLOOKUP(_xlfn.XLOOKUP(B62,'ELC TECH'!$H:$H,'ELC TECH'!$G:$G),List!C:C,List!B:B)="STG",D62,"ELC"&amp;_xlfn.XLOOKUP(_xlfn.XLOOKUP(B62,'ELC TECH'!H:H,'ELC TECH'!G:G),List!C:C,List!B:B))</f>
        <v>CELC</v>
      </c>
      <c r="D62" t="s">
        <v>544</v>
      </c>
      <c r="E62">
        <f>_xlfn.XLOOKUP(B62,'ELC TECH'!H:H,'ELC TECH'!D:D)</f>
        <v>2020</v>
      </c>
      <c r="F62">
        <f>_xlfn.XLOOKUP(B62,'ELC TECH'!H:H,'ELC TECH'!K:K)</f>
        <v>100</v>
      </c>
      <c r="G62">
        <f t="shared" si="5"/>
        <v>31.535999999999998</v>
      </c>
      <c r="H62">
        <f>IF(_xlfn.XLOOKUP(B62,'ELC TECH'!$H:$H,'ELC TECH'!$E:$E)="Storage",0.3,IF(_xlfn.XLOOKUP(B62,'ELC TECH'!$H:$H,'ELC TECH'!$E:$E)="Baseload",0.9,IF(_xlfn.XLOOKUP(B62,'ELC TECH'!$H:$H,'ELC TECH'!$E:$E)="Non Dispatchable",0.05,IF(_xlfn.XLOOKUP(B62,'ELC TECH'!$H:$H,'ELC TECH'!$E:$E)="Dispatchable",0.9,1))))</f>
        <v>0.3</v>
      </c>
      <c r="I62" s="13">
        <f>IF(_xlfn.XLOOKUP(B62,'ELC TECH'!H:H,'ELC TECH'!J:J)="","",_xlfn.XLOOKUP(B62,'ELC TECH'!H:H,'ELC TECH'!J:J))</f>
        <v>0</v>
      </c>
      <c r="J62" s="12" t="str">
        <f>IF(_xlfn.XLOOKUP($B62,'ELC TECH'!$H:$H,'ELC TECH'!$E:$E)="Storage","",IF(_xlfn.XLOOKUP($B62,'ELC TECH'!$H:$H,'ELC TECH'!AK:AK)="",1,_xlfn.XLOOKUP($B62,'ELC TECH'!$H:$H,'ELC TECH'!AK:AK)))</f>
        <v/>
      </c>
      <c r="K62" s="12" t="str">
        <f>IF(_xlfn.XLOOKUP($B62,'ELC TECH'!$H:$H,'ELC TECH'!$E:$E)="Storage","",IF(_xlfn.XLOOKUP($B62,'ELC TECH'!$H:$H,'ELC TECH'!AL:AL)="",1,_xlfn.XLOOKUP($B62,'ELC TECH'!$H:$H,'ELC TECH'!AL:AL)))</f>
        <v/>
      </c>
      <c r="L62" s="12" t="str">
        <f>IF(_xlfn.XLOOKUP($B62,'ELC TECH'!$H:$H,'ELC TECH'!$E:$E)="Storage","",IF(_xlfn.XLOOKUP($B62,'ELC TECH'!$H:$H,'ELC TECH'!AM:AM)="",1,_xlfn.XLOOKUP($B62,'ELC TECH'!$H:$H,'ELC TECH'!AM:AM)))</f>
        <v/>
      </c>
      <c r="M62" s="12" t="str">
        <f>IF(_xlfn.XLOOKUP($B62,'ELC TECH'!$H:$H,'ELC TECH'!$E:$E)="Storage","",IF(_xlfn.XLOOKUP($B62,'ELC TECH'!$H:$H,'ELC TECH'!AN:AN)="",1,_xlfn.XLOOKUP($B62,'ELC TECH'!$H:$H,'ELC TECH'!AN:AN)))</f>
        <v/>
      </c>
      <c r="N62" s="12" t="str">
        <f>IF(_xlfn.XLOOKUP($B62,'ELC TECH'!$H:$H,'ELC TECH'!$E:$E)="Storage","",IF(_xlfn.XLOOKUP($B62,'ELC TECH'!$H:$H,'ELC TECH'!AO:AO)="",1,_xlfn.XLOOKUP($B62,'ELC TECH'!$H:$H,'ELC TECH'!AO:AO)))</f>
        <v/>
      </c>
      <c r="O62" s="12" t="str">
        <f>IF(_xlfn.XLOOKUP($B62,'ELC TECH'!$H:$H,'ELC TECH'!$E:$E)="Storage","",IF(_xlfn.XLOOKUP($B62,'ELC TECH'!$H:$H,'ELC TECH'!AP:AP)="",1,_xlfn.XLOOKUP($B62,'ELC TECH'!$H:$H,'ELC TECH'!AP:AP)))</f>
        <v/>
      </c>
      <c r="P62" s="12" t="str">
        <f>IF(_xlfn.XLOOKUP($B62,'ELC TECH'!$H:$H,'ELC TECH'!$E:$E)="Storage","",IF(_xlfn.XLOOKUP($B62,'ELC TECH'!$H:$H,'ELC TECH'!AQ:AQ)="",1,_xlfn.XLOOKUP($B62,'ELC TECH'!$H:$H,'ELC TECH'!AQ:AQ)))</f>
        <v/>
      </c>
      <c r="Q62" s="12" t="str">
        <f>IF(_xlfn.XLOOKUP($B62,'ELC TECH'!$H:$H,'ELC TECH'!$E:$E)="Storage","",IF(_xlfn.XLOOKUP($B62,'ELC TECH'!$H:$H,'ELC TECH'!AR:AR)="",1,_xlfn.XLOOKUP($B62,'ELC TECH'!$H:$H,'ELC TECH'!AR:AR)))</f>
        <v/>
      </c>
      <c r="R62" s="12">
        <f>IF(_xlfn.XLOOKUP($B62,'ELC TECH'!$H:$H,'ELC TECH'!$E:$E)&lt;&gt;"Storage","",IF(_xlfn.XLOOKUP($B62,'ELC TECH'!$H:$H,'ELC TECH'!AK:AK)="",0.8,_xlfn.XLOOKUP($B62,'ELC TECH'!$H:$H,'ELC TECH'!AK:AK)))</f>
        <v>0.8</v>
      </c>
      <c r="S62" s="12">
        <f>IF(_xlfn.XLOOKUP($B62,'ELC TECH'!$H:$H,'ELC TECH'!$E:$E)&lt;&gt;"Storage","",IF(_xlfn.XLOOKUP($B62,'ELC TECH'!$H:$H,'ELC TECH'!AL:AL)="",0.8,_xlfn.XLOOKUP($B62,'ELC TECH'!$H:$H,'ELC TECH'!AL:AL)))</f>
        <v>0.8</v>
      </c>
      <c r="T62" s="12">
        <f>IF(_xlfn.XLOOKUP($B62,'ELC TECH'!$H:$H,'ELC TECH'!$E:$E)&lt;&gt;"Storage","",IF(_xlfn.XLOOKUP($B62,'ELC TECH'!$H:$H,'ELC TECH'!AM:AM)="",0.8,_xlfn.XLOOKUP($B62,'ELC TECH'!$H:$H,'ELC TECH'!AM:AM)))</f>
        <v>0.8</v>
      </c>
      <c r="U62" s="12">
        <f>IF(_xlfn.XLOOKUP($B62,'ELC TECH'!$H:$H,'ELC TECH'!$E:$E)&lt;&gt;"Storage","",IF(_xlfn.XLOOKUP($B62,'ELC TECH'!$H:$H,'ELC TECH'!AN:AN)="",0.8,_xlfn.XLOOKUP($B62,'ELC TECH'!$H:$H,'ELC TECH'!AN:AN)))</f>
        <v>0.8</v>
      </c>
      <c r="V62" s="12">
        <f>IF(_xlfn.XLOOKUP($B62,'ELC TECH'!$H:$H,'ELC TECH'!$E:$E)&lt;&gt;"Storage","",IF(_xlfn.XLOOKUP($B62,'ELC TECH'!$H:$H,'ELC TECH'!AO:AO)="",0.8,_xlfn.XLOOKUP($B62,'ELC TECH'!$H:$H,'ELC TECH'!AO:AO)))</f>
        <v>0.8</v>
      </c>
      <c r="W62" s="12">
        <f>IF(_xlfn.XLOOKUP($B62,'ELC TECH'!$H:$H,'ELC TECH'!$E:$E)&lt;&gt;"Storage","",IF(_xlfn.XLOOKUP($B62,'ELC TECH'!$H:$H,'ELC TECH'!AP:AP)="",0.8,_xlfn.XLOOKUP($B62,'ELC TECH'!$H:$H,'ELC TECH'!AP:AP)))</f>
        <v>0.8</v>
      </c>
      <c r="X62" s="12">
        <f>IF(_xlfn.XLOOKUP($B62,'ELC TECH'!$H:$H,'ELC TECH'!$E:$E)&lt;&gt;"Storage","",IF(_xlfn.XLOOKUP($B62,'ELC TECH'!$H:$H,'ELC TECH'!AQ:AQ)="",0.8,_xlfn.XLOOKUP($B62,'ELC TECH'!$H:$H,'ELC TECH'!AQ:AQ)))</f>
        <v>0.8</v>
      </c>
      <c r="Y62" s="12">
        <f>IF(_xlfn.XLOOKUP($B62,'ELC TECH'!$H:$H,'ELC TECH'!$E:$E)&lt;&gt;"Storage","",IF(_xlfn.XLOOKUP($B62,'ELC TECH'!$H:$H,'ELC TECH'!AR:AR)="",0.8,_xlfn.XLOOKUP($B62,'ELC TECH'!$H:$H,'ELC TECH'!AR:AR)))</f>
        <v>0.8</v>
      </c>
      <c r="Z62" s="15">
        <f>_xlfn.XLOOKUP($B62,'ELC TECH'!$H:$H,'ELC TECH'!M:M)</f>
        <v>4141.3324292504731</v>
      </c>
      <c r="AA62" s="15">
        <f>_xlfn.XLOOKUP($B62,'ELC TECH'!$H:$H,'ELC TECH'!N:N)</f>
        <v>4141.3324292504731</v>
      </c>
      <c r="AB62" s="15">
        <f>_xlfn.XLOOKUP($B62,'ELC TECH'!$H:$H,'ELC TECH'!O:O)</f>
        <v>4141.3324292504731</v>
      </c>
      <c r="AC62" s="15">
        <f>_xlfn.XLOOKUP($B62,'ELC TECH'!$H:$H,'ELC TECH'!P:P)</f>
        <v>4141.3324292504731</v>
      </c>
      <c r="AD62" s="15">
        <f>_xlfn.XLOOKUP($B62,'ELC TECH'!$H:$H,'ELC TECH'!Q:Q)</f>
        <v>4141.3324292504731</v>
      </c>
      <c r="AE62" s="15">
        <f>_xlfn.XLOOKUP($B62,'ELC TECH'!$H:$H,'ELC TECH'!R:R)</f>
        <v>4141.3324292504731</v>
      </c>
      <c r="AF62" s="15">
        <f>_xlfn.XLOOKUP($B62,'ELC TECH'!$H:$H,'ELC TECH'!S:S)</f>
        <v>4141.3324292504731</v>
      </c>
      <c r="AG62" s="15">
        <f>_xlfn.XLOOKUP($B62,'ELC TECH'!$H:$H,'ELC TECH'!T:T)</f>
        <v>4141.3324292504731</v>
      </c>
      <c r="AH62" s="15">
        <f>_xlfn.XLOOKUP($B62,'ELC TECH'!$H:$H,'ELC TECH'!U:U)</f>
        <v>21.100097091380029</v>
      </c>
      <c r="AI62" s="15">
        <f>_xlfn.XLOOKUP($B62,'ELC TECH'!$H:$H,'ELC TECH'!V:V)</f>
        <v>21.100097091380029</v>
      </c>
      <c r="AJ62" s="15">
        <f>_xlfn.XLOOKUP($B62,'ELC TECH'!$H:$H,'ELC TECH'!W:W)</f>
        <v>21.100097091380029</v>
      </c>
      <c r="AK62" s="15">
        <f>_xlfn.XLOOKUP($B62,'ELC TECH'!$H:$H,'ELC TECH'!X:X)</f>
        <v>21.100097091380029</v>
      </c>
      <c r="AL62" s="15">
        <f>_xlfn.XLOOKUP($B62,'ELC TECH'!$H:$H,'ELC TECH'!Y:Y)</f>
        <v>21.100097091380029</v>
      </c>
      <c r="AM62" s="15">
        <f>_xlfn.XLOOKUP($B62,'ELC TECH'!$H:$H,'ELC TECH'!Z:Z)</f>
        <v>21.100097091380029</v>
      </c>
      <c r="AN62" s="15">
        <f>_xlfn.XLOOKUP($B62,'ELC TECH'!$H:$H,'ELC TECH'!AA:AA)</f>
        <v>21.100097091380029</v>
      </c>
      <c r="AO62" s="15">
        <f>_xlfn.XLOOKUP($B62,'ELC TECH'!$H:$H,'ELC TECH'!AB:AB)</f>
        <v>21.100097091380029</v>
      </c>
      <c r="AP62" s="15">
        <f>_xlfn.XLOOKUP($B62,'ELC TECH'!$H:$H,'ELC TECH'!AC:AC)</f>
        <v>0.1696149283872993</v>
      </c>
      <c r="AQ62" s="15">
        <f>_xlfn.XLOOKUP($B62,'ELC TECH'!$H:$H,'ELC TECH'!AD:AD)</f>
        <v>0.1696149283872993</v>
      </c>
      <c r="AR62" s="15">
        <f>_xlfn.XLOOKUP($B62,'ELC TECH'!$H:$H,'ELC TECH'!AE:AE)</f>
        <v>0.1696149283872993</v>
      </c>
      <c r="AS62" s="15">
        <f>_xlfn.XLOOKUP($B62,'ELC TECH'!$H:$H,'ELC TECH'!AF:AF)</f>
        <v>0.1696149283872993</v>
      </c>
      <c r="AT62" s="15">
        <f>_xlfn.XLOOKUP($B62,'ELC TECH'!$H:$H,'ELC TECH'!AG:AG)</f>
        <v>0.1696149283872993</v>
      </c>
      <c r="AU62" s="15">
        <f>_xlfn.XLOOKUP($B62,'ELC TECH'!$H:$H,'ELC TECH'!AH:AH)</f>
        <v>0.1696149283872993</v>
      </c>
      <c r="AV62" s="15">
        <f>_xlfn.XLOOKUP($B62,'ELC TECH'!$H:$H,'ELC TECH'!AI:AI)</f>
        <v>0.1696149283872993</v>
      </c>
      <c r="AW62" s="15">
        <f>_xlfn.XLOOKUP($B62,'ELC TECH'!$H:$H,'ELC TECH'!AJ:AJ)</f>
        <v>0.1696149283872993</v>
      </c>
      <c r="AX62" s="12" t="str">
        <f>IF(_xlfn.XLOOKUP($B62,'ELC TECH'!$H:$H,'ELC TECH'!$E:$E)="Storage","",_xlfn.XLOOKUP($B62,'ELC TECH'!$H:$H,'ELC TECH'!AS:AS))</f>
        <v/>
      </c>
      <c r="AY62" s="12" t="str">
        <f>IF(_xlfn.XLOOKUP($B62,'ELC TECH'!$H:$H,'ELC TECH'!$E:$E)="Storage","",_xlfn.XLOOKUP($B62,'ELC TECH'!$H:$H,'ELC TECH'!AT:AT))</f>
        <v/>
      </c>
      <c r="AZ62" s="12" t="str">
        <f>IF(_xlfn.XLOOKUP($B62,'ELC TECH'!$H:$H,'ELC TECH'!$E:$E)="Storage","",_xlfn.XLOOKUP($B62,'ELC TECH'!$H:$H,'ELC TECH'!AU:AU))</f>
        <v/>
      </c>
      <c r="BA62" s="12" t="str">
        <f>IF(_xlfn.XLOOKUP($B62,'ELC TECH'!$H:$H,'ELC TECH'!$E:$E)="Storage","",_xlfn.XLOOKUP($B62,'ELC TECH'!$H:$H,'ELC TECH'!AV:AV))</f>
        <v/>
      </c>
      <c r="BB62" s="12" t="str">
        <f>IF(_xlfn.XLOOKUP($B62,'ELC TECH'!$H:$H,'ELC TECH'!$E:$E)="Storage","",_xlfn.XLOOKUP($B62,'ELC TECH'!$H:$H,'ELC TECH'!AW:AW))</f>
        <v/>
      </c>
      <c r="BC62" s="12" t="str">
        <f>IF(_xlfn.XLOOKUP($B62,'ELC TECH'!$H:$H,'ELC TECH'!$E:$E)="Storage","",_xlfn.XLOOKUP($B62,'ELC TECH'!$H:$H,'ELC TECH'!AX:AX))</f>
        <v/>
      </c>
      <c r="BD62" s="12" t="str">
        <f>IF(_xlfn.XLOOKUP($B62,'ELC TECH'!$H:$H,'ELC TECH'!$E:$E)="Storage","",_xlfn.XLOOKUP($B62,'ELC TECH'!$H:$H,'ELC TECH'!AY:AY))</f>
        <v/>
      </c>
      <c r="BE62" s="12" t="str">
        <f>IF(_xlfn.XLOOKUP($B62,'ELC TECH'!$H:$H,'ELC TECH'!$E:$E)="Storage","",_xlfn.XLOOKUP($B62,'ELC TECH'!$H:$H,'ELC TECH'!AZ:AZ))</f>
        <v/>
      </c>
      <c r="BF62" s="12">
        <f>IF(_xlfn.XLOOKUP($B62,'ELC TECH'!$H:$H,'ELC TECH'!$E:$E)="Storage",_xlfn.XLOOKUP($B62,'ELC TECH'!$H:$H,'ELC TECH'!AS:AS),"")</f>
        <v>0.41666666666666669</v>
      </c>
      <c r="BG62" s="12">
        <f>IF(_xlfn.XLOOKUP($B62,'ELC TECH'!$H:$H,'ELC TECH'!$E:$E)="Storage",_xlfn.XLOOKUP($B62,'ELC TECH'!$H:$H,'ELC TECH'!AT:AT),"")</f>
        <v>0.41666666666666669</v>
      </c>
      <c r="BH62" s="12">
        <f>IF(_xlfn.XLOOKUP($B62,'ELC TECH'!$H:$H,'ELC TECH'!$E:$E)="Storage",_xlfn.XLOOKUP($B62,'ELC TECH'!$H:$H,'ELC TECH'!AU:AU),"")</f>
        <v>0.41666666666666669</v>
      </c>
      <c r="BI62" s="12">
        <f>IF(_xlfn.XLOOKUP($B62,'ELC TECH'!$H:$H,'ELC TECH'!$E:$E)="Storage",_xlfn.XLOOKUP($B62,'ELC TECH'!$H:$H,'ELC TECH'!AV:AV),"")</f>
        <v>0.41666666666666669</v>
      </c>
      <c r="BJ62" s="12">
        <f>IF(_xlfn.XLOOKUP($B62,'ELC TECH'!$H:$H,'ELC TECH'!$E:$E)="Storage",_xlfn.XLOOKUP($B62,'ELC TECH'!$H:$H,'ELC TECH'!AW:AW),"")</f>
        <v>0.41666666666666669</v>
      </c>
      <c r="BK62" s="12">
        <f>IF(_xlfn.XLOOKUP($B62,'ELC TECH'!$H:$H,'ELC TECH'!$E:$E)="Storage",_xlfn.XLOOKUP($B62,'ELC TECH'!$H:$H,'ELC TECH'!AX:AX),"")</f>
        <v>0.41666666666666669</v>
      </c>
      <c r="BL62" s="12">
        <f>IF(_xlfn.XLOOKUP($B62,'ELC TECH'!$H:$H,'ELC TECH'!$E:$E)="Storage",_xlfn.XLOOKUP($B62,'ELC TECH'!$H:$H,'ELC TECH'!AY:AY),"")</f>
        <v>0.41666666666666669</v>
      </c>
      <c r="BM62" s="12">
        <f>IF(_xlfn.XLOOKUP($B62,'ELC TECH'!$H:$H,'ELC TECH'!$E:$E)="Storage",_xlfn.XLOOKUP($B62,'ELC TECH'!$H:$H,'ELC TECH'!AZ:AZ),"")</f>
        <v>0.41666666666666669</v>
      </c>
      <c r="BN62" s="8" t="str">
        <f>IF(_xlfn.XLOOKUP($B62,'ELC TECH'!$H:$H,'ELC TECH'!$E:$E)="Non Dispatchable",IFERROR($AX62*_xlfn.XLOOKUP($C62,$BM$1:$BM$3,BN$1:BN$3)/SUMPRODUCT(_xlfn.XLOOKUP($C62,$BM$1:$BM$3,$BN$1:$BY$3),$BN$4:$BY$4),""),
"")</f>
        <v/>
      </c>
      <c r="BO62" s="8" t="str">
        <f>IF(_xlfn.XLOOKUP($B62,'ELC TECH'!$H:$H,'ELC TECH'!$E:$E)="Non Dispatchable",IFERROR($AX62*_xlfn.XLOOKUP($C62,$BM$1:$BM$3,BO$1:BO$3)/SUMPRODUCT(_xlfn.XLOOKUP($C62,$BM$1:$BM$3,$BN$1:$BY$3),$BN$4:$BY$4),""),
"")</f>
        <v/>
      </c>
      <c r="BP62" s="8" t="str">
        <f>IF(_xlfn.XLOOKUP($B62,'ELC TECH'!$H:$H,'ELC TECH'!$E:$E)="Non Dispatchable",IFERROR($AX62*_xlfn.XLOOKUP($C62,$BM$1:$BM$3,BP$1:BP$3)/SUMPRODUCT(_xlfn.XLOOKUP($C62,$BM$1:$BM$3,$BN$1:$BY$3),$BN$4:$BY$4),""),
"")</f>
        <v/>
      </c>
      <c r="BQ62" s="8" t="str">
        <f>IF(_xlfn.XLOOKUP($B62,'ELC TECH'!$H:$H,'ELC TECH'!$E:$E)="Non Dispatchable",IFERROR($AX62*_xlfn.XLOOKUP($C62,$BM$1:$BM$3,BQ$1:BQ$3)/SUMPRODUCT(_xlfn.XLOOKUP($C62,$BM$1:$BM$3,$BN$1:$BY$3),$BN$4:$BY$4),""),
"")</f>
        <v/>
      </c>
      <c r="BR62" s="8" t="str">
        <f>IF(_xlfn.XLOOKUP($B62,'ELC TECH'!$H:$H,'ELC TECH'!$E:$E)="Non Dispatchable",IFERROR($AX62*_xlfn.XLOOKUP($C62,$BM$1:$BM$3,BR$1:BR$3)/SUMPRODUCT(_xlfn.XLOOKUP($C62,$BM$1:$BM$3,$BN$1:$BY$3),$BN$4:$BY$4),""),
"")</f>
        <v/>
      </c>
      <c r="BS62" s="8" t="str">
        <f>IF(_xlfn.XLOOKUP($B62,'ELC TECH'!$H:$H,'ELC TECH'!$E:$E)="Non Dispatchable",IFERROR($AX62*_xlfn.XLOOKUP($C62,$BM$1:$BM$3,BS$1:BS$3)/SUMPRODUCT(_xlfn.XLOOKUP($C62,$BM$1:$BM$3,$BN$1:$BY$3),$BN$4:$BY$4),""),
"")</f>
        <v/>
      </c>
      <c r="BT62" s="8" t="str">
        <f>IF(_xlfn.XLOOKUP($B62,'ELC TECH'!$H:$H,'ELC TECH'!$E:$E)="Non Dispatchable",IFERROR($AX62*_xlfn.XLOOKUP($C62,$BM$1:$BM$3,BT$1:BT$3)/SUMPRODUCT(_xlfn.XLOOKUP($C62,$BM$1:$BM$3,$BN$1:$BY$3),$BN$4:$BY$4),""),
"")</f>
        <v/>
      </c>
      <c r="BU62" s="8" t="str">
        <f>IF(_xlfn.XLOOKUP($B62,'ELC TECH'!$H:$H,'ELC TECH'!$E:$E)="Non Dispatchable",IFERROR($AX62*_xlfn.XLOOKUP($C62,$BM$1:$BM$3,BU$1:BU$3)/SUMPRODUCT(_xlfn.XLOOKUP($C62,$BM$1:$BM$3,$BN$1:$BY$3),$BN$4:$BY$4),""),
"")</f>
        <v/>
      </c>
      <c r="BV62" s="8" t="str">
        <f>IF(_xlfn.XLOOKUP($B62,'ELC TECH'!$H:$H,'ELC TECH'!$E:$E)="Non Dispatchable",IFERROR($AX62*_xlfn.XLOOKUP($C62,$BM$1:$BM$3,BV$1:BV$3)/SUMPRODUCT(_xlfn.XLOOKUP($C62,$BM$1:$BM$3,$BN$1:$BY$3),$BN$4:$BY$4),""),
"")</f>
        <v/>
      </c>
      <c r="BW62" s="8" t="str">
        <f>IF(_xlfn.XLOOKUP($B62,'ELC TECH'!$H:$H,'ELC TECH'!$E:$E)="Non Dispatchable",IFERROR($AX62*_xlfn.XLOOKUP($C62,$BM$1:$BM$3,BW$1:BW$3)/SUMPRODUCT(_xlfn.XLOOKUP($C62,$BM$1:$BM$3,$BN$1:$BY$3),$BN$4:$BY$4),""),
"")</f>
        <v/>
      </c>
      <c r="BX62" s="8" t="str">
        <f>IF(_xlfn.XLOOKUP($B62,'ELC TECH'!$H:$H,'ELC TECH'!$E:$E)="Non Dispatchable",IFERROR($AX62*_xlfn.XLOOKUP($C62,$BM$1:$BM$3,BX$1:BX$3)/SUMPRODUCT(_xlfn.XLOOKUP($C62,$BM$1:$BM$3,$BN$1:$BY$3),$BN$4:$BY$4),""),
"")</f>
        <v/>
      </c>
      <c r="BY62" s="8" t="str">
        <f>IF(_xlfn.XLOOKUP($B62,'ELC TECH'!$H:$H,'ELC TECH'!$E:$E)="Non Dispatchable",IFERROR($AX62*_xlfn.XLOOKUP($C62,$BM$1:$BM$3,BY$1:BY$3)/SUMPRODUCT(_xlfn.XLOOKUP($C62,$BM$1:$BM$3,$BN$1:$BY$3),$BN$4:$BY$4),""),
"")</f>
        <v/>
      </c>
      <c r="BZ62" s="8" t="str">
        <f>IF(_xlfn.XLOOKUP($B62,'ELC TECH'!$H:$H,'ELC TECH'!$E:$E)="Non Dispatchable",IFERROR($AX62*_xlfn.XLOOKUP($C62,$BM$1:$BM$3,BZ$1:BZ$3)/SUMPRODUCT(_xlfn.XLOOKUP($C62,$BM$1:$BM$3,$BN$1:$BY$3),$BN$4:$BY$4),""),
"")</f>
        <v/>
      </c>
      <c r="CA62" s="8" t="str">
        <f>IF(_xlfn.XLOOKUP($B62,'ELC TECH'!$H:$H,'ELC TECH'!$E:$E)="Non Dispatchable",IFERROR($AX62*_xlfn.XLOOKUP($C62,$BM$1:$BM$3,CA$1:CA$3)/SUMPRODUCT(_xlfn.XLOOKUP($C62,$BM$1:$BM$3,$BN$1:$BY$3),$BN$4:$BY$4),""),
"")</f>
        <v/>
      </c>
      <c r="CB62" s="8" t="str">
        <f>IF(_xlfn.XLOOKUP($B62,'ELC TECH'!$H:$H,'ELC TECH'!$E:$E)="Non Dispatchable",IFERROR($AX62*_xlfn.XLOOKUP($C62,$BM$1:$BM$3,CB$1:CB$3)/SUMPRODUCT(_xlfn.XLOOKUP($C62,$BM$1:$BM$3,$BN$1:$BY$3),$BN$4:$BY$4),""),
"")</f>
        <v/>
      </c>
      <c r="CC62" s="8" t="str">
        <f>IF(_xlfn.XLOOKUP($B62,'ELC TECH'!$H:$H,'ELC TECH'!$E:$E)="Non Dispatchable",IFERROR($AX62*_xlfn.XLOOKUP($C62,$BM$1:$BM$3,CC$1:CC$3)/SUMPRODUCT(_xlfn.XLOOKUP($C62,$BM$1:$BM$3,$BN$1:$BY$3),$BN$4:$BY$4),""),
"")</f>
        <v/>
      </c>
      <c r="CD62" s="8" t="str">
        <f>IF(_xlfn.XLOOKUP($B62,'ELC TECH'!$H:$H,'ELC TECH'!$E:$E)="Non Dispatchable",IFERROR($AX62*_xlfn.XLOOKUP($C62,$BM$1:$BM$3,CD$1:CD$3)/SUMPRODUCT(_xlfn.XLOOKUP($C62,$BM$1:$BM$3,$BN$1:$BY$3),$BN$4:$BY$4),""),
"")</f>
        <v/>
      </c>
      <c r="CE62" s="8" t="str">
        <f>IF(_xlfn.XLOOKUP($B62,'ELC TECH'!$H:$H,'ELC TECH'!$E:$E)="Non Dispatchable",IFERROR($AX62*_xlfn.XLOOKUP($C62,$BM$1:$BM$3,CE$1:CE$3)/SUMPRODUCT(_xlfn.XLOOKUP($C62,$BM$1:$BM$3,$BN$1:$BY$3),$BN$4:$BY$4),""),
"")</f>
        <v/>
      </c>
      <c r="CF62" s="8" t="str">
        <f>IF(_xlfn.XLOOKUP($B62,'ELC TECH'!$H:$H,'ELC TECH'!$E:$E)="Non Dispatchable",IFERROR($AX62*_xlfn.XLOOKUP($C62,$BM$1:$BM$3,CF$1:CF$3)/SUMPRODUCT(_xlfn.XLOOKUP($C62,$BM$1:$BM$3,$BN$1:$BY$3),$BN$4:$BY$4),""),
"")</f>
        <v/>
      </c>
      <c r="CG62" s="8" t="str">
        <f>IF(_xlfn.XLOOKUP($B62,'ELC TECH'!$H:$H,'ELC TECH'!$E:$E)="Non Dispatchable",IFERROR($AX62*_xlfn.XLOOKUP($C62,$BM$1:$BM$3,CG$1:CG$3)/SUMPRODUCT(_xlfn.XLOOKUP($C62,$BM$1:$BM$3,$BN$1:$BY$3),$BN$4:$BY$4),""),
"")</f>
        <v/>
      </c>
      <c r="CH62" s="8" t="str">
        <f>IF(_xlfn.XLOOKUP($B62,'ELC TECH'!$H:$H,'ELC TECH'!$E:$E)="Non Dispatchable",IFERROR($AX62*_xlfn.XLOOKUP($C62,$BM$1:$BM$3,CH$1:CH$3)/SUMPRODUCT(_xlfn.XLOOKUP($C62,$BM$1:$BM$3,$BN$1:$BY$3),$BN$4:$BY$4),""),
"")</f>
        <v/>
      </c>
      <c r="CI62" s="8" t="str">
        <f>IF(_xlfn.XLOOKUP($B62,'ELC TECH'!$H:$H,'ELC TECH'!$E:$E)="Non Dispatchable",IFERROR($AX62*_xlfn.XLOOKUP($C62,$BM$1:$BM$3,CI$1:CI$3)/SUMPRODUCT(_xlfn.XLOOKUP($C62,$BM$1:$BM$3,$BN$1:$BY$3),$BN$4:$BY$4),""),
"")</f>
        <v/>
      </c>
      <c r="CJ62" s="8" t="str">
        <f>IF(_xlfn.XLOOKUP($B62,'ELC TECH'!$H:$H,'ELC TECH'!$E:$E)="Non Dispatchable",IFERROR($AX62*_xlfn.XLOOKUP($C62,$BM$1:$BM$3,CJ$1:CJ$3)/SUMPRODUCT(_xlfn.XLOOKUP($C62,$BM$1:$BM$3,$BN$1:$BY$3),$BN$4:$BY$4),""),
"")</f>
        <v/>
      </c>
      <c r="CK62" s="8" t="str">
        <f>IF(_xlfn.XLOOKUP($B62,'ELC TECH'!$H:$H,'ELC TECH'!$E:$E)="Non Dispatchable",IFERROR($AX62*_xlfn.XLOOKUP($C62,$BM$1:$BM$3,CK$1:CK$3)/SUMPRODUCT(_xlfn.XLOOKUP($C62,$BM$1:$BM$3,$BN$1:$BY$3),$BN$4:$BY$4),""),
"")</f>
        <v/>
      </c>
      <c r="CL62" s="8">
        <f>IF(_xlfn.XLOOKUP($B62,'ELC TECH'!$H:$H,'ELC TECH'!$E:$E)="Storage",CL$4*$BF62,"")</f>
        <v>3.4250000000000003E-2</v>
      </c>
      <c r="CM62" s="8">
        <f>IF(_xlfn.XLOOKUP($B62,'ELC TECH'!$H:$H,'ELC TECH'!$E:$E)="Storage",CM$4*$BF62,"")</f>
        <v>3.9875000000000001E-2</v>
      </c>
      <c r="CN62" s="8">
        <f>IF(_xlfn.XLOOKUP($B62,'ELC TECH'!$H:$H,'ELC TECH'!$E:$E)="Storage",CN$4*$BF62,"")</f>
        <v>6.3833333333333339E-2</v>
      </c>
      <c r="CO62" s="8">
        <f>IF(_xlfn.XLOOKUP($B62,'ELC TECH'!$H:$H,'ELC TECH'!$E:$E)="Storage",CO$4*$BF62,"")</f>
        <v>1.3333333333333335E-3</v>
      </c>
      <c r="CP62" s="8">
        <f>IF(_xlfn.XLOOKUP($B62,'ELC TECH'!$H:$H,'ELC TECH'!$E:$E)="Storage",CP$4*$BF62,"")</f>
        <v>3.3958333333333333E-2</v>
      </c>
      <c r="CQ62" s="8">
        <f>IF(_xlfn.XLOOKUP($B62,'ELC TECH'!$H:$H,'ELC TECH'!$E:$E)="Storage",CQ$4*$BF62,"")</f>
        <v>4.5291666666666668E-2</v>
      </c>
      <c r="CR62" s="8">
        <f>IF(_xlfn.XLOOKUP($B62,'ELC TECH'!$H:$H,'ELC TECH'!$E:$E)="Storage",CR$4*$BF62,"")</f>
        <v>5.7541666666666672E-2</v>
      </c>
      <c r="CS62" s="8">
        <f>IF(_xlfn.XLOOKUP($B62,'ELC TECH'!$H:$H,'ELC TECH'!$E:$E)="Storage",CS$4*$BF62,"")</f>
        <v>1.3333333333333335E-3</v>
      </c>
      <c r="CT62" s="8">
        <f>IF(_xlfn.XLOOKUP($B62,'ELC TECH'!$H:$H,'ELC TECH'!$E:$E)="Storage",CT$4*$BF62,"")</f>
        <v>4.0625000000000001E-2</v>
      </c>
      <c r="CU62" s="8">
        <f>IF(_xlfn.XLOOKUP($B62,'ELC TECH'!$H:$H,'ELC TECH'!$E:$E)="Storage",CU$4*$BF62,"")</f>
        <v>4.5291666666666668E-2</v>
      </c>
      <c r="CV62" s="8">
        <f>IF(_xlfn.XLOOKUP($B62,'ELC TECH'!$H:$H,'ELC TECH'!$E:$E)="Storage",CV$4*$BF62,"")</f>
        <v>5.2208333333333336E-2</v>
      </c>
      <c r="CW62" s="8">
        <f>IF(_xlfn.XLOOKUP($B62,'ELC TECH'!$H:$H,'ELC TECH'!$E:$E)="Storage",CW$4*$BF62,"")</f>
        <v>1.1250000000000001E-3</v>
      </c>
      <c r="CX62" s="8">
        <f>IF(_xlfn.XLOOKUP($B62,'ELC TECH'!$H:$H,'ELC TECH'!$E:$E)="Storage",CX$4*$BF62,"")</f>
        <v>3.4250000000000003E-2</v>
      </c>
      <c r="CY62" s="8">
        <f>IF(_xlfn.XLOOKUP($B62,'ELC TECH'!$H:$H,'ELC TECH'!$E:$E)="Storage",CY$4*$BF62,"")</f>
        <v>3.9875000000000001E-2</v>
      </c>
      <c r="CZ62" s="8">
        <f>IF(_xlfn.XLOOKUP($B62,'ELC TECH'!$H:$H,'ELC TECH'!$E:$E)="Storage",CZ$4*$BF62,"")</f>
        <v>6.3833333333333339E-2</v>
      </c>
      <c r="DA62" s="8">
        <f>IF(_xlfn.XLOOKUP($B62,'ELC TECH'!$H:$H,'ELC TECH'!$E:$E)="Storage",DA$4*$BF62,"")</f>
        <v>1.3333333333333335E-3</v>
      </c>
      <c r="DB62" s="8">
        <f>IF(_xlfn.XLOOKUP($B62,'ELC TECH'!$H:$H,'ELC TECH'!$E:$E)="Storage",DB$4*$BF62,"")</f>
        <v>3.3958333333333333E-2</v>
      </c>
      <c r="DC62" s="8">
        <f>IF(_xlfn.XLOOKUP($B62,'ELC TECH'!$H:$H,'ELC TECH'!$E:$E)="Storage",DC$4*$BF62,"")</f>
        <v>4.5291666666666668E-2</v>
      </c>
      <c r="DD62" s="8">
        <f>IF(_xlfn.XLOOKUP($B62,'ELC TECH'!$H:$H,'ELC TECH'!$E:$E)="Storage",DD$4*$BF62,"")</f>
        <v>5.7541666666666672E-2</v>
      </c>
      <c r="DE62" s="8">
        <f>IF(_xlfn.XLOOKUP($B62,'ELC TECH'!$H:$H,'ELC TECH'!$E:$E)="Storage",DE$4*$BF62,"")</f>
        <v>1.3333333333333335E-3</v>
      </c>
      <c r="DF62" s="8">
        <f>IF(_xlfn.XLOOKUP($B62,'ELC TECH'!$H:$H,'ELC TECH'!$E:$E)="Storage",DF$4*$BF62,"")</f>
        <v>4.0625000000000001E-2</v>
      </c>
      <c r="DG62" s="8">
        <f>IF(_xlfn.XLOOKUP($B62,'ELC TECH'!$H:$H,'ELC TECH'!$E:$E)="Storage",DG$4*$BF62,"")</f>
        <v>4.5291666666666668E-2</v>
      </c>
      <c r="DH62" s="8">
        <f>IF(_xlfn.XLOOKUP($B62,'ELC TECH'!$H:$H,'ELC TECH'!$E:$E)="Storage",DH$4*$BF62,"")</f>
        <v>5.2208333333333336E-2</v>
      </c>
      <c r="DI62" s="8">
        <f>IF(_xlfn.XLOOKUP($B62,'ELC TECH'!$H:$H,'ELC TECH'!$E:$E)="Storage",DI$4*$BF62,"")</f>
        <v>1.1250000000000001E-3</v>
      </c>
    </row>
    <row r="63" spans="2:113" x14ac:dyDescent="0.25">
      <c r="B63" t="str">
        <f>IF('ELC TECH'!I56=0,"*",'ELC TECH'!H56)</f>
        <v>ELCSTGGRDPSH10HC1320</v>
      </c>
      <c r="C63" t="str">
        <f>IF(_xlfn.XLOOKUP(_xlfn.XLOOKUP(B63,'ELC TECH'!$H:$H,'ELC TECH'!$G:$G),List!C:C,List!B:B)="STG",D63,"ELC"&amp;_xlfn.XLOOKUP(_xlfn.XLOOKUP(B63,'ELC TECH'!H:H,'ELC TECH'!G:G),List!C:C,List!B:B))</f>
        <v>CELC</v>
      </c>
      <c r="D63" t="s">
        <v>544</v>
      </c>
      <c r="E63">
        <f>_xlfn.XLOOKUP(B63,'ELC TECH'!H:H,'ELC TECH'!D:D)</f>
        <v>2020</v>
      </c>
      <c r="F63">
        <f>_xlfn.XLOOKUP(B63,'ELC TECH'!H:H,'ELC TECH'!K:K)</f>
        <v>100</v>
      </c>
      <c r="G63">
        <f t="shared" si="5"/>
        <v>31.535999999999998</v>
      </c>
      <c r="H63">
        <f>IF(_xlfn.XLOOKUP(B63,'ELC TECH'!$H:$H,'ELC TECH'!$E:$E)="Storage",0.3,IF(_xlfn.XLOOKUP(B63,'ELC TECH'!$H:$H,'ELC TECH'!$E:$E)="Baseload",0.9,IF(_xlfn.XLOOKUP(B63,'ELC TECH'!$H:$H,'ELC TECH'!$E:$E)="Non Dispatchable",0.05,IF(_xlfn.XLOOKUP(B63,'ELC TECH'!$H:$H,'ELC TECH'!$E:$E)="Dispatchable",0.9,1))))</f>
        <v>0.3</v>
      </c>
      <c r="I63" s="13">
        <f>IF(_xlfn.XLOOKUP(B63,'ELC TECH'!H:H,'ELC TECH'!J:J)="","",_xlfn.XLOOKUP(B63,'ELC TECH'!H:H,'ELC TECH'!J:J))</f>
        <v>0</v>
      </c>
      <c r="J63" s="12" t="str">
        <f>IF(_xlfn.XLOOKUP($B63,'ELC TECH'!$H:$H,'ELC TECH'!$E:$E)="Storage","",IF(_xlfn.XLOOKUP($B63,'ELC TECH'!$H:$H,'ELC TECH'!AK:AK)="",1,_xlfn.XLOOKUP($B63,'ELC TECH'!$H:$H,'ELC TECH'!AK:AK)))</f>
        <v/>
      </c>
      <c r="K63" s="12" t="str">
        <f>IF(_xlfn.XLOOKUP($B63,'ELC TECH'!$H:$H,'ELC TECH'!$E:$E)="Storage","",IF(_xlfn.XLOOKUP($B63,'ELC TECH'!$H:$H,'ELC TECH'!AL:AL)="",1,_xlfn.XLOOKUP($B63,'ELC TECH'!$H:$H,'ELC TECH'!AL:AL)))</f>
        <v/>
      </c>
      <c r="L63" s="12" t="str">
        <f>IF(_xlfn.XLOOKUP($B63,'ELC TECH'!$H:$H,'ELC TECH'!$E:$E)="Storage","",IF(_xlfn.XLOOKUP($B63,'ELC TECH'!$H:$H,'ELC TECH'!AM:AM)="",1,_xlfn.XLOOKUP($B63,'ELC TECH'!$H:$H,'ELC TECH'!AM:AM)))</f>
        <v/>
      </c>
      <c r="M63" s="12" t="str">
        <f>IF(_xlfn.XLOOKUP($B63,'ELC TECH'!$H:$H,'ELC TECH'!$E:$E)="Storage","",IF(_xlfn.XLOOKUP($B63,'ELC TECH'!$H:$H,'ELC TECH'!AN:AN)="",1,_xlfn.XLOOKUP($B63,'ELC TECH'!$H:$H,'ELC TECH'!AN:AN)))</f>
        <v/>
      </c>
      <c r="N63" s="12" t="str">
        <f>IF(_xlfn.XLOOKUP($B63,'ELC TECH'!$H:$H,'ELC TECH'!$E:$E)="Storage","",IF(_xlfn.XLOOKUP($B63,'ELC TECH'!$H:$H,'ELC TECH'!AO:AO)="",1,_xlfn.XLOOKUP($B63,'ELC TECH'!$H:$H,'ELC TECH'!AO:AO)))</f>
        <v/>
      </c>
      <c r="O63" s="12" t="str">
        <f>IF(_xlfn.XLOOKUP($B63,'ELC TECH'!$H:$H,'ELC TECH'!$E:$E)="Storage","",IF(_xlfn.XLOOKUP($B63,'ELC TECH'!$H:$H,'ELC TECH'!AP:AP)="",1,_xlfn.XLOOKUP($B63,'ELC TECH'!$H:$H,'ELC TECH'!AP:AP)))</f>
        <v/>
      </c>
      <c r="P63" s="12" t="str">
        <f>IF(_xlfn.XLOOKUP($B63,'ELC TECH'!$H:$H,'ELC TECH'!$E:$E)="Storage","",IF(_xlfn.XLOOKUP($B63,'ELC TECH'!$H:$H,'ELC TECH'!AQ:AQ)="",1,_xlfn.XLOOKUP($B63,'ELC TECH'!$H:$H,'ELC TECH'!AQ:AQ)))</f>
        <v/>
      </c>
      <c r="Q63" s="12" t="str">
        <f>IF(_xlfn.XLOOKUP($B63,'ELC TECH'!$H:$H,'ELC TECH'!$E:$E)="Storage","",IF(_xlfn.XLOOKUP($B63,'ELC TECH'!$H:$H,'ELC TECH'!AR:AR)="",1,_xlfn.XLOOKUP($B63,'ELC TECH'!$H:$H,'ELC TECH'!AR:AR)))</f>
        <v/>
      </c>
      <c r="R63" s="12">
        <f>IF(_xlfn.XLOOKUP($B63,'ELC TECH'!$H:$H,'ELC TECH'!$E:$E)&lt;&gt;"Storage","",IF(_xlfn.XLOOKUP($B63,'ELC TECH'!$H:$H,'ELC TECH'!AK:AK)="",0.8,_xlfn.XLOOKUP($B63,'ELC TECH'!$H:$H,'ELC TECH'!AK:AK)))</f>
        <v>0.8</v>
      </c>
      <c r="S63" s="12">
        <f>IF(_xlfn.XLOOKUP($B63,'ELC TECH'!$H:$H,'ELC TECH'!$E:$E)&lt;&gt;"Storage","",IF(_xlfn.XLOOKUP($B63,'ELC TECH'!$H:$H,'ELC TECH'!AL:AL)="",0.8,_xlfn.XLOOKUP($B63,'ELC TECH'!$H:$H,'ELC TECH'!AL:AL)))</f>
        <v>0.8</v>
      </c>
      <c r="T63" s="12">
        <f>IF(_xlfn.XLOOKUP($B63,'ELC TECH'!$H:$H,'ELC TECH'!$E:$E)&lt;&gt;"Storage","",IF(_xlfn.XLOOKUP($B63,'ELC TECH'!$H:$H,'ELC TECH'!AM:AM)="",0.8,_xlfn.XLOOKUP($B63,'ELC TECH'!$H:$H,'ELC TECH'!AM:AM)))</f>
        <v>0.8</v>
      </c>
      <c r="U63" s="12">
        <f>IF(_xlfn.XLOOKUP($B63,'ELC TECH'!$H:$H,'ELC TECH'!$E:$E)&lt;&gt;"Storage","",IF(_xlfn.XLOOKUP($B63,'ELC TECH'!$H:$H,'ELC TECH'!AN:AN)="",0.8,_xlfn.XLOOKUP($B63,'ELC TECH'!$H:$H,'ELC TECH'!AN:AN)))</f>
        <v>0.8</v>
      </c>
      <c r="V63" s="12">
        <f>IF(_xlfn.XLOOKUP($B63,'ELC TECH'!$H:$H,'ELC TECH'!$E:$E)&lt;&gt;"Storage","",IF(_xlfn.XLOOKUP($B63,'ELC TECH'!$H:$H,'ELC TECH'!AO:AO)="",0.8,_xlfn.XLOOKUP($B63,'ELC TECH'!$H:$H,'ELC TECH'!AO:AO)))</f>
        <v>0.8</v>
      </c>
      <c r="W63" s="12">
        <f>IF(_xlfn.XLOOKUP($B63,'ELC TECH'!$H:$H,'ELC TECH'!$E:$E)&lt;&gt;"Storage","",IF(_xlfn.XLOOKUP($B63,'ELC TECH'!$H:$H,'ELC TECH'!AP:AP)="",0.8,_xlfn.XLOOKUP($B63,'ELC TECH'!$H:$H,'ELC TECH'!AP:AP)))</f>
        <v>0.8</v>
      </c>
      <c r="X63" s="12">
        <f>IF(_xlfn.XLOOKUP($B63,'ELC TECH'!$H:$H,'ELC TECH'!$E:$E)&lt;&gt;"Storage","",IF(_xlfn.XLOOKUP($B63,'ELC TECH'!$H:$H,'ELC TECH'!AQ:AQ)="",0.8,_xlfn.XLOOKUP($B63,'ELC TECH'!$H:$H,'ELC TECH'!AQ:AQ)))</f>
        <v>0.8</v>
      </c>
      <c r="Y63" s="12">
        <f>IF(_xlfn.XLOOKUP($B63,'ELC TECH'!$H:$H,'ELC TECH'!$E:$E)&lt;&gt;"Storage","",IF(_xlfn.XLOOKUP($B63,'ELC TECH'!$H:$H,'ELC TECH'!AR:AR)="",0.8,_xlfn.XLOOKUP($B63,'ELC TECH'!$H:$H,'ELC TECH'!AR:AR)))</f>
        <v>0.8</v>
      </c>
      <c r="Z63" s="15">
        <f>_xlfn.XLOOKUP($B63,'ELC TECH'!$H:$H,'ELC TECH'!M:M)</f>
        <v>4311.6896102347882</v>
      </c>
      <c r="AA63" s="15">
        <f>_xlfn.XLOOKUP($B63,'ELC TECH'!$H:$H,'ELC TECH'!N:N)</f>
        <v>4311.6896102347882</v>
      </c>
      <c r="AB63" s="15">
        <f>_xlfn.XLOOKUP($B63,'ELC TECH'!$H:$H,'ELC TECH'!O:O)</f>
        <v>4311.6896102347882</v>
      </c>
      <c r="AC63" s="15">
        <f>_xlfn.XLOOKUP($B63,'ELC TECH'!$H:$H,'ELC TECH'!P:P)</f>
        <v>4311.6896102347882</v>
      </c>
      <c r="AD63" s="15">
        <f>_xlfn.XLOOKUP($B63,'ELC TECH'!$H:$H,'ELC TECH'!Q:Q)</f>
        <v>4311.6896102347882</v>
      </c>
      <c r="AE63" s="15">
        <f>_xlfn.XLOOKUP($B63,'ELC TECH'!$H:$H,'ELC TECH'!R:R)</f>
        <v>4311.6896102347882</v>
      </c>
      <c r="AF63" s="15">
        <f>_xlfn.XLOOKUP($B63,'ELC TECH'!$H:$H,'ELC TECH'!S:S)</f>
        <v>4311.6896102347882</v>
      </c>
      <c r="AG63" s="15">
        <f>_xlfn.XLOOKUP($B63,'ELC TECH'!$H:$H,'ELC TECH'!T:T)</f>
        <v>4311.6896102347882</v>
      </c>
      <c r="AH63" s="15">
        <f>_xlfn.XLOOKUP($B63,'ELC TECH'!$H:$H,'ELC TECH'!U:U)</f>
        <v>21.100097091380029</v>
      </c>
      <c r="AI63" s="15">
        <f>_xlfn.XLOOKUP($B63,'ELC TECH'!$H:$H,'ELC TECH'!V:V)</f>
        <v>21.100097091380029</v>
      </c>
      <c r="AJ63" s="15">
        <f>_xlfn.XLOOKUP($B63,'ELC TECH'!$H:$H,'ELC TECH'!W:W)</f>
        <v>21.100097091380029</v>
      </c>
      <c r="AK63" s="15">
        <f>_xlfn.XLOOKUP($B63,'ELC TECH'!$H:$H,'ELC TECH'!X:X)</f>
        <v>21.100097091380029</v>
      </c>
      <c r="AL63" s="15">
        <f>_xlfn.XLOOKUP($B63,'ELC TECH'!$H:$H,'ELC TECH'!Y:Y)</f>
        <v>21.100097091380029</v>
      </c>
      <c r="AM63" s="15">
        <f>_xlfn.XLOOKUP($B63,'ELC TECH'!$H:$H,'ELC TECH'!Z:Z)</f>
        <v>21.100097091380029</v>
      </c>
      <c r="AN63" s="15">
        <f>_xlfn.XLOOKUP($B63,'ELC TECH'!$H:$H,'ELC TECH'!AA:AA)</f>
        <v>21.100097091380029</v>
      </c>
      <c r="AO63" s="15">
        <f>_xlfn.XLOOKUP($B63,'ELC TECH'!$H:$H,'ELC TECH'!AB:AB)</f>
        <v>21.100097091380029</v>
      </c>
      <c r="AP63" s="15">
        <f>_xlfn.XLOOKUP($B63,'ELC TECH'!$H:$H,'ELC TECH'!AC:AC)</f>
        <v>0.1696149283872993</v>
      </c>
      <c r="AQ63" s="15">
        <f>_xlfn.XLOOKUP($B63,'ELC TECH'!$H:$H,'ELC TECH'!AD:AD)</f>
        <v>0.1696149283872993</v>
      </c>
      <c r="AR63" s="15">
        <f>_xlfn.XLOOKUP($B63,'ELC TECH'!$H:$H,'ELC TECH'!AE:AE)</f>
        <v>0.1696149283872993</v>
      </c>
      <c r="AS63" s="15">
        <f>_xlfn.XLOOKUP($B63,'ELC TECH'!$H:$H,'ELC TECH'!AF:AF)</f>
        <v>0.1696149283872993</v>
      </c>
      <c r="AT63" s="15">
        <f>_xlfn.XLOOKUP($B63,'ELC TECH'!$H:$H,'ELC TECH'!AG:AG)</f>
        <v>0.1696149283872993</v>
      </c>
      <c r="AU63" s="15">
        <f>_xlfn.XLOOKUP($B63,'ELC TECH'!$H:$H,'ELC TECH'!AH:AH)</f>
        <v>0.1696149283872993</v>
      </c>
      <c r="AV63" s="15">
        <f>_xlfn.XLOOKUP($B63,'ELC TECH'!$H:$H,'ELC TECH'!AI:AI)</f>
        <v>0.1696149283872993</v>
      </c>
      <c r="AW63" s="15">
        <f>_xlfn.XLOOKUP($B63,'ELC TECH'!$H:$H,'ELC TECH'!AJ:AJ)</f>
        <v>0.1696149283872993</v>
      </c>
      <c r="AX63" s="12" t="str">
        <f>IF(_xlfn.XLOOKUP($B63,'ELC TECH'!$H:$H,'ELC TECH'!$E:$E)="Storage","",_xlfn.XLOOKUP($B63,'ELC TECH'!$H:$H,'ELC TECH'!AS:AS))</f>
        <v/>
      </c>
      <c r="AY63" s="12" t="str">
        <f>IF(_xlfn.XLOOKUP($B63,'ELC TECH'!$H:$H,'ELC TECH'!$E:$E)="Storage","",_xlfn.XLOOKUP($B63,'ELC TECH'!$H:$H,'ELC TECH'!AT:AT))</f>
        <v/>
      </c>
      <c r="AZ63" s="12" t="str">
        <f>IF(_xlfn.XLOOKUP($B63,'ELC TECH'!$H:$H,'ELC TECH'!$E:$E)="Storage","",_xlfn.XLOOKUP($B63,'ELC TECH'!$H:$H,'ELC TECH'!AU:AU))</f>
        <v/>
      </c>
      <c r="BA63" s="12" t="str">
        <f>IF(_xlfn.XLOOKUP($B63,'ELC TECH'!$H:$H,'ELC TECH'!$E:$E)="Storage","",_xlfn.XLOOKUP($B63,'ELC TECH'!$H:$H,'ELC TECH'!AV:AV))</f>
        <v/>
      </c>
      <c r="BB63" s="12" t="str">
        <f>IF(_xlfn.XLOOKUP($B63,'ELC TECH'!$H:$H,'ELC TECH'!$E:$E)="Storage","",_xlfn.XLOOKUP($B63,'ELC TECH'!$H:$H,'ELC TECH'!AW:AW))</f>
        <v/>
      </c>
      <c r="BC63" s="12" t="str">
        <f>IF(_xlfn.XLOOKUP($B63,'ELC TECH'!$H:$H,'ELC TECH'!$E:$E)="Storage","",_xlfn.XLOOKUP($B63,'ELC TECH'!$H:$H,'ELC TECH'!AX:AX))</f>
        <v/>
      </c>
      <c r="BD63" s="12" t="str">
        <f>IF(_xlfn.XLOOKUP($B63,'ELC TECH'!$H:$H,'ELC TECH'!$E:$E)="Storage","",_xlfn.XLOOKUP($B63,'ELC TECH'!$H:$H,'ELC TECH'!AY:AY))</f>
        <v/>
      </c>
      <c r="BE63" s="12" t="str">
        <f>IF(_xlfn.XLOOKUP($B63,'ELC TECH'!$H:$H,'ELC TECH'!$E:$E)="Storage","",_xlfn.XLOOKUP($B63,'ELC TECH'!$H:$H,'ELC TECH'!AZ:AZ))</f>
        <v/>
      </c>
      <c r="BF63" s="12">
        <f>IF(_xlfn.XLOOKUP($B63,'ELC TECH'!$H:$H,'ELC TECH'!$E:$E)="Storage",_xlfn.XLOOKUP($B63,'ELC TECH'!$H:$H,'ELC TECH'!AS:AS),"")</f>
        <v>0.41666666666666669</v>
      </c>
      <c r="BG63" s="12">
        <f>IF(_xlfn.XLOOKUP($B63,'ELC TECH'!$H:$H,'ELC TECH'!$E:$E)="Storage",_xlfn.XLOOKUP($B63,'ELC TECH'!$H:$H,'ELC TECH'!AT:AT),"")</f>
        <v>0.41666666666666669</v>
      </c>
      <c r="BH63" s="12">
        <f>IF(_xlfn.XLOOKUP($B63,'ELC TECH'!$H:$H,'ELC TECH'!$E:$E)="Storage",_xlfn.XLOOKUP($B63,'ELC TECH'!$H:$H,'ELC TECH'!AU:AU),"")</f>
        <v>0.41666666666666669</v>
      </c>
      <c r="BI63" s="12">
        <f>IF(_xlfn.XLOOKUP($B63,'ELC TECH'!$H:$H,'ELC TECH'!$E:$E)="Storage",_xlfn.XLOOKUP($B63,'ELC TECH'!$H:$H,'ELC TECH'!AV:AV),"")</f>
        <v>0.41666666666666669</v>
      </c>
      <c r="BJ63" s="12">
        <f>IF(_xlfn.XLOOKUP($B63,'ELC TECH'!$H:$H,'ELC TECH'!$E:$E)="Storage",_xlfn.XLOOKUP($B63,'ELC TECH'!$H:$H,'ELC TECH'!AW:AW),"")</f>
        <v>0.41666666666666669</v>
      </c>
      <c r="BK63" s="12">
        <f>IF(_xlfn.XLOOKUP($B63,'ELC TECH'!$H:$H,'ELC TECH'!$E:$E)="Storage",_xlfn.XLOOKUP($B63,'ELC TECH'!$H:$H,'ELC TECH'!AX:AX),"")</f>
        <v>0.41666666666666669</v>
      </c>
      <c r="BL63" s="12">
        <f>IF(_xlfn.XLOOKUP($B63,'ELC TECH'!$H:$H,'ELC TECH'!$E:$E)="Storage",_xlfn.XLOOKUP($B63,'ELC TECH'!$H:$H,'ELC TECH'!AY:AY),"")</f>
        <v>0.41666666666666669</v>
      </c>
      <c r="BM63" s="12">
        <f>IF(_xlfn.XLOOKUP($B63,'ELC TECH'!$H:$H,'ELC TECH'!$E:$E)="Storage",_xlfn.XLOOKUP($B63,'ELC TECH'!$H:$H,'ELC TECH'!AZ:AZ),"")</f>
        <v>0.41666666666666669</v>
      </c>
      <c r="BN63" s="8" t="str">
        <f>IF(_xlfn.XLOOKUP($B63,'ELC TECH'!$H:$H,'ELC TECH'!$E:$E)="Non Dispatchable",IFERROR($AX63*_xlfn.XLOOKUP($C63,$BM$1:$BM$3,BN$1:BN$3)/SUMPRODUCT(_xlfn.XLOOKUP($C63,$BM$1:$BM$3,$BN$1:$BY$3),$BN$4:$BY$4),""),
"")</f>
        <v/>
      </c>
      <c r="BO63" s="8" t="str">
        <f>IF(_xlfn.XLOOKUP($B63,'ELC TECH'!$H:$H,'ELC TECH'!$E:$E)="Non Dispatchable",IFERROR($AX63*_xlfn.XLOOKUP($C63,$BM$1:$BM$3,BO$1:BO$3)/SUMPRODUCT(_xlfn.XLOOKUP($C63,$BM$1:$BM$3,$BN$1:$BY$3),$BN$4:$BY$4),""),
"")</f>
        <v/>
      </c>
      <c r="BP63" s="8" t="str">
        <f>IF(_xlfn.XLOOKUP($B63,'ELC TECH'!$H:$H,'ELC TECH'!$E:$E)="Non Dispatchable",IFERROR($AX63*_xlfn.XLOOKUP($C63,$BM$1:$BM$3,BP$1:BP$3)/SUMPRODUCT(_xlfn.XLOOKUP($C63,$BM$1:$BM$3,$BN$1:$BY$3),$BN$4:$BY$4),""),
"")</f>
        <v/>
      </c>
      <c r="BQ63" s="8" t="str">
        <f>IF(_xlfn.XLOOKUP($B63,'ELC TECH'!$H:$H,'ELC TECH'!$E:$E)="Non Dispatchable",IFERROR($AX63*_xlfn.XLOOKUP($C63,$BM$1:$BM$3,BQ$1:BQ$3)/SUMPRODUCT(_xlfn.XLOOKUP($C63,$BM$1:$BM$3,$BN$1:$BY$3),$BN$4:$BY$4),""),
"")</f>
        <v/>
      </c>
      <c r="BR63" s="8" t="str">
        <f>IF(_xlfn.XLOOKUP($B63,'ELC TECH'!$H:$H,'ELC TECH'!$E:$E)="Non Dispatchable",IFERROR($AX63*_xlfn.XLOOKUP($C63,$BM$1:$BM$3,BR$1:BR$3)/SUMPRODUCT(_xlfn.XLOOKUP($C63,$BM$1:$BM$3,$BN$1:$BY$3),$BN$4:$BY$4),""),
"")</f>
        <v/>
      </c>
      <c r="BS63" s="8" t="str">
        <f>IF(_xlfn.XLOOKUP($B63,'ELC TECH'!$H:$H,'ELC TECH'!$E:$E)="Non Dispatchable",IFERROR($AX63*_xlfn.XLOOKUP($C63,$BM$1:$BM$3,BS$1:BS$3)/SUMPRODUCT(_xlfn.XLOOKUP($C63,$BM$1:$BM$3,$BN$1:$BY$3),$BN$4:$BY$4),""),
"")</f>
        <v/>
      </c>
      <c r="BT63" s="8" t="str">
        <f>IF(_xlfn.XLOOKUP($B63,'ELC TECH'!$H:$H,'ELC TECH'!$E:$E)="Non Dispatchable",IFERROR($AX63*_xlfn.XLOOKUP($C63,$BM$1:$BM$3,BT$1:BT$3)/SUMPRODUCT(_xlfn.XLOOKUP($C63,$BM$1:$BM$3,$BN$1:$BY$3),$BN$4:$BY$4),""),
"")</f>
        <v/>
      </c>
      <c r="BU63" s="8" t="str">
        <f>IF(_xlfn.XLOOKUP($B63,'ELC TECH'!$H:$H,'ELC TECH'!$E:$E)="Non Dispatchable",IFERROR($AX63*_xlfn.XLOOKUP($C63,$BM$1:$BM$3,BU$1:BU$3)/SUMPRODUCT(_xlfn.XLOOKUP($C63,$BM$1:$BM$3,$BN$1:$BY$3),$BN$4:$BY$4),""),
"")</f>
        <v/>
      </c>
      <c r="BV63" s="8" t="str">
        <f>IF(_xlfn.XLOOKUP($B63,'ELC TECH'!$H:$H,'ELC TECH'!$E:$E)="Non Dispatchable",IFERROR($AX63*_xlfn.XLOOKUP($C63,$BM$1:$BM$3,BV$1:BV$3)/SUMPRODUCT(_xlfn.XLOOKUP($C63,$BM$1:$BM$3,$BN$1:$BY$3),$BN$4:$BY$4),""),
"")</f>
        <v/>
      </c>
      <c r="BW63" s="8" t="str">
        <f>IF(_xlfn.XLOOKUP($B63,'ELC TECH'!$H:$H,'ELC TECH'!$E:$E)="Non Dispatchable",IFERROR($AX63*_xlfn.XLOOKUP($C63,$BM$1:$BM$3,BW$1:BW$3)/SUMPRODUCT(_xlfn.XLOOKUP($C63,$BM$1:$BM$3,$BN$1:$BY$3),$BN$4:$BY$4),""),
"")</f>
        <v/>
      </c>
      <c r="BX63" s="8" t="str">
        <f>IF(_xlfn.XLOOKUP($B63,'ELC TECH'!$H:$H,'ELC TECH'!$E:$E)="Non Dispatchable",IFERROR($AX63*_xlfn.XLOOKUP($C63,$BM$1:$BM$3,BX$1:BX$3)/SUMPRODUCT(_xlfn.XLOOKUP($C63,$BM$1:$BM$3,$BN$1:$BY$3),$BN$4:$BY$4),""),
"")</f>
        <v/>
      </c>
      <c r="BY63" s="8" t="str">
        <f>IF(_xlfn.XLOOKUP($B63,'ELC TECH'!$H:$H,'ELC TECH'!$E:$E)="Non Dispatchable",IFERROR($AX63*_xlfn.XLOOKUP($C63,$BM$1:$BM$3,BY$1:BY$3)/SUMPRODUCT(_xlfn.XLOOKUP($C63,$BM$1:$BM$3,$BN$1:$BY$3),$BN$4:$BY$4),""),
"")</f>
        <v/>
      </c>
      <c r="BZ63" s="8" t="str">
        <f>IF(_xlfn.XLOOKUP($B63,'ELC TECH'!$H:$H,'ELC TECH'!$E:$E)="Non Dispatchable",IFERROR($AX63*_xlfn.XLOOKUP($C63,$BM$1:$BM$3,BZ$1:BZ$3)/SUMPRODUCT(_xlfn.XLOOKUP($C63,$BM$1:$BM$3,$BN$1:$BY$3),$BN$4:$BY$4),""),
"")</f>
        <v/>
      </c>
      <c r="CA63" s="8" t="str">
        <f>IF(_xlfn.XLOOKUP($B63,'ELC TECH'!$H:$H,'ELC TECH'!$E:$E)="Non Dispatchable",IFERROR($AX63*_xlfn.XLOOKUP($C63,$BM$1:$BM$3,CA$1:CA$3)/SUMPRODUCT(_xlfn.XLOOKUP($C63,$BM$1:$BM$3,$BN$1:$BY$3),$BN$4:$BY$4),""),
"")</f>
        <v/>
      </c>
      <c r="CB63" s="8" t="str">
        <f>IF(_xlfn.XLOOKUP($B63,'ELC TECH'!$H:$H,'ELC TECH'!$E:$E)="Non Dispatchable",IFERROR($AX63*_xlfn.XLOOKUP($C63,$BM$1:$BM$3,CB$1:CB$3)/SUMPRODUCT(_xlfn.XLOOKUP($C63,$BM$1:$BM$3,$BN$1:$BY$3),$BN$4:$BY$4),""),
"")</f>
        <v/>
      </c>
      <c r="CC63" s="8" t="str">
        <f>IF(_xlfn.XLOOKUP($B63,'ELC TECH'!$H:$H,'ELC TECH'!$E:$E)="Non Dispatchable",IFERROR($AX63*_xlfn.XLOOKUP($C63,$BM$1:$BM$3,CC$1:CC$3)/SUMPRODUCT(_xlfn.XLOOKUP($C63,$BM$1:$BM$3,$BN$1:$BY$3),$BN$4:$BY$4),""),
"")</f>
        <v/>
      </c>
      <c r="CD63" s="8" t="str">
        <f>IF(_xlfn.XLOOKUP($B63,'ELC TECH'!$H:$H,'ELC TECH'!$E:$E)="Non Dispatchable",IFERROR($AX63*_xlfn.XLOOKUP($C63,$BM$1:$BM$3,CD$1:CD$3)/SUMPRODUCT(_xlfn.XLOOKUP($C63,$BM$1:$BM$3,$BN$1:$BY$3),$BN$4:$BY$4),""),
"")</f>
        <v/>
      </c>
      <c r="CE63" s="8" t="str">
        <f>IF(_xlfn.XLOOKUP($B63,'ELC TECH'!$H:$H,'ELC TECH'!$E:$E)="Non Dispatchable",IFERROR($AX63*_xlfn.XLOOKUP($C63,$BM$1:$BM$3,CE$1:CE$3)/SUMPRODUCT(_xlfn.XLOOKUP($C63,$BM$1:$BM$3,$BN$1:$BY$3),$BN$4:$BY$4),""),
"")</f>
        <v/>
      </c>
      <c r="CF63" s="8" t="str">
        <f>IF(_xlfn.XLOOKUP($B63,'ELC TECH'!$H:$H,'ELC TECH'!$E:$E)="Non Dispatchable",IFERROR($AX63*_xlfn.XLOOKUP($C63,$BM$1:$BM$3,CF$1:CF$3)/SUMPRODUCT(_xlfn.XLOOKUP($C63,$BM$1:$BM$3,$BN$1:$BY$3),$BN$4:$BY$4),""),
"")</f>
        <v/>
      </c>
      <c r="CG63" s="8" t="str">
        <f>IF(_xlfn.XLOOKUP($B63,'ELC TECH'!$H:$H,'ELC TECH'!$E:$E)="Non Dispatchable",IFERROR($AX63*_xlfn.XLOOKUP($C63,$BM$1:$BM$3,CG$1:CG$3)/SUMPRODUCT(_xlfn.XLOOKUP($C63,$BM$1:$BM$3,$BN$1:$BY$3),$BN$4:$BY$4),""),
"")</f>
        <v/>
      </c>
      <c r="CH63" s="8" t="str">
        <f>IF(_xlfn.XLOOKUP($B63,'ELC TECH'!$H:$H,'ELC TECH'!$E:$E)="Non Dispatchable",IFERROR($AX63*_xlfn.XLOOKUP($C63,$BM$1:$BM$3,CH$1:CH$3)/SUMPRODUCT(_xlfn.XLOOKUP($C63,$BM$1:$BM$3,$BN$1:$BY$3),$BN$4:$BY$4),""),
"")</f>
        <v/>
      </c>
      <c r="CI63" s="8" t="str">
        <f>IF(_xlfn.XLOOKUP($B63,'ELC TECH'!$H:$H,'ELC TECH'!$E:$E)="Non Dispatchable",IFERROR($AX63*_xlfn.XLOOKUP($C63,$BM$1:$BM$3,CI$1:CI$3)/SUMPRODUCT(_xlfn.XLOOKUP($C63,$BM$1:$BM$3,$BN$1:$BY$3),$BN$4:$BY$4),""),
"")</f>
        <v/>
      </c>
      <c r="CJ63" s="8" t="str">
        <f>IF(_xlfn.XLOOKUP($B63,'ELC TECH'!$H:$H,'ELC TECH'!$E:$E)="Non Dispatchable",IFERROR($AX63*_xlfn.XLOOKUP($C63,$BM$1:$BM$3,CJ$1:CJ$3)/SUMPRODUCT(_xlfn.XLOOKUP($C63,$BM$1:$BM$3,$BN$1:$BY$3),$BN$4:$BY$4),""),
"")</f>
        <v/>
      </c>
      <c r="CK63" s="8" t="str">
        <f>IF(_xlfn.XLOOKUP($B63,'ELC TECH'!$H:$H,'ELC TECH'!$E:$E)="Non Dispatchable",IFERROR($AX63*_xlfn.XLOOKUP($C63,$BM$1:$BM$3,CK$1:CK$3)/SUMPRODUCT(_xlfn.XLOOKUP($C63,$BM$1:$BM$3,$BN$1:$BY$3),$BN$4:$BY$4),""),
"")</f>
        <v/>
      </c>
      <c r="CL63" s="8">
        <f>IF(_xlfn.XLOOKUP($B63,'ELC TECH'!$H:$H,'ELC TECH'!$E:$E)="Storage",CL$4*$BF63,"")</f>
        <v>3.4250000000000003E-2</v>
      </c>
      <c r="CM63" s="8">
        <f>IF(_xlfn.XLOOKUP($B63,'ELC TECH'!$H:$H,'ELC TECH'!$E:$E)="Storage",CM$4*$BF63,"")</f>
        <v>3.9875000000000001E-2</v>
      </c>
      <c r="CN63" s="8">
        <f>IF(_xlfn.XLOOKUP($B63,'ELC TECH'!$H:$H,'ELC TECH'!$E:$E)="Storage",CN$4*$BF63,"")</f>
        <v>6.3833333333333339E-2</v>
      </c>
      <c r="CO63" s="8">
        <f>IF(_xlfn.XLOOKUP($B63,'ELC TECH'!$H:$H,'ELC TECH'!$E:$E)="Storage",CO$4*$BF63,"")</f>
        <v>1.3333333333333335E-3</v>
      </c>
      <c r="CP63" s="8">
        <f>IF(_xlfn.XLOOKUP($B63,'ELC TECH'!$H:$H,'ELC TECH'!$E:$E)="Storage",CP$4*$BF63,"")</f>
        <v>3.3958333333333333E-2</v>
      </c>
      <c r="CQ63" s="8">
        <f>IF(_xlfn.XLOOKUP($B63,'ELC TECH'!$H:$H,'ELC TECH'!$E:$E)="Storage",CQ$4*$BF63,"")</f>
        <v>4.5291666666666668E-2</v>
      </c>
      <c r="CR63" s="8">
        <f>IF(_xlfn.XLOOKUP($B63,'ELC TECH'!$H:$H,'ELC TECH'!$E:$E)="Storage",CR$4*$BF63,"")</f>
        <v>5.7541666666666672E-2</v>
      </c>
      <c r="CS63" s="8">
        <f>IF(_xlfn.XLOOKUP($B63,'ELC TECH'!$H:$H,'ELC TECH'!$E:$E)="Storage",CS$4*$BF63,"")</f>
        <v>1.3333333333333335E-3</v>
      </c>
      <c r="CT63" s="8">
        <f>IF(_xlfn.XLOOKUP($B63,'ELC TECH'!$H:$H,'ELC TECH'!$E:$E)="Storage",CT$4*$BF63,"")</f>
        <v>4.0625000000000001E-2</v>
      </c>
      <c r="CU63" s="8">
        <f>IF(_xlfn.XLOOKUP($B63,'ELC TECH'!$H:$H,'ELC TECH'!$E:$E)="Storage",CU$4*$BF63,"")</f>
        <v>4.5291666666666668E-2</v>
      </c>
      <c r="CV63" s="8">
        <f>IF(_xlfn.XLOOKUP($B63,'ELC TECH'!$H:$H,'ELC TECH'!$E:$E)="Storage",CV$4*$BF63,"")</f>
        <v>5.2208333333333336E-2</v>
      </c>
      <c r="CW63" s="8">
        <f>IF(_xlfn.XLOOKUP($B63,'ELC TECH'!$H:$H,'ELC TECH'!$E:$E)="Storage",CW$4*$BF63,"")</f>
        <v>1.1250000000000001E-3</v>
      </c>
      <c r="CX63" s="8">
        <f>IF(_xlfn.XLOOKUP($B63,'ELC TECH'!$H:$H,'ELC TECH'!$E:$E)="Storage",CX$4*$BF63,"")</f>
        <v>3.4250000000000003E-2</v>
      </c>
      <c r="CY63" s="8">
        <f>IF(_xlfn.XLOOKUP($B63,'ELC TECH'!$H:$H,'ELC TECH'!$E:$E)="Storage",CY$4*$BF63,"")</f>
        <v>3.9875000000000001E-2</v>
      </c>
      <c r="CZ63" s="8">
        <f>IF(_xlfn.XLOOKUP($B63,'ELC TECH'!$H:$H,'ELC TECH'!$E:$E)="Storage",CZ$4*$BF63,"")</f>
        <v>6.3833333333333339E-2</v>
      </c>
      <c r="DA63" s="8">
        <f>IF(_xlfn.XLOOKUP($B63,'ELC TECH'!$H:$H,'ELC TECH'!$E:$E)="Storage",DA$4*$BF63,"")</f>
        <v>1.3333333333333335E-3</v>
      </c>
      <c r="DB63" s="8">
        <f>IF(_xlfn.XLOOKUP($B63,'ELC TECH'!$H:$H,'ELC TECH'!$E:$E)="Storage",DB$4*$BF63,"")</f>
        <v>3.3958333333333333E-2</v>
      </c>
      <c r="DC63" s="8">
        <f>IF(_xlfn.XLOOKUP($B63,'ELC TECH'!$H:$H,'ELC TECH'!$E:$E)="Storage",DC$4*$BF63,"")</f>
        <v>4.5291666666666668E-2</v>
      </c>
      <c r="DD63" s="8">
        <f>IF(_xlfn.XLOOKUP($B63,'ELC TECH'!$H:$H,'ELC TECH'!$E:$E)="Storage",DD$4*$BF63,"")</f>
        <v>5.7541666666666672E-2</v>
      </c>
      <c r="DE63" s="8">
        <f>IF(_xlfn.XLOOKUP($B63,'ELC TECH'!$H:$H,'ELC TECH'!$E:$E)="Storage",DE$4*$BF63,"")</f>
        <v>1.3333333333333335E-3</v>
      </c>
      <c r="DF63" s="8">
        <f>IF(_xlfn.XLOOKUP($B63,'ELC TECH'!$H:$H,'ELC TECH'!$E:$E)="Storage",DF$4*$BF63,"")</f>
        <v>4.0625000000000001E-2</v>
      </c>
      <c r="DG63" s="8">
        <f>IF(_xlfn.XLOOKUP($B63,'ELC TECH'!$H:$H,'ELC TECH'!$E:$E)="Storage",DG$4*$BF63,"")</f>
        <v>4.5291666666666668E-2</v>
      </c>
      <c r="DH63" s="8">
        <f>IF(_xlfn.XLOOKUP($B63,'ELC TECH'!$H:$H,'ELC TECH'!$E:$E)="Storage",DH$4*$BF63,"")</f>
        <v>5.2208333333333336E-2</v>
      </c>
      <c r="DI63" s="8">
        <f>IF(_xlfn.XLOOKUP($B63,'ELC TECH'!$H:$H,'ELC TECH'!$E:$E)="Storage",DI$4*$BF63,"")</f>
        <v>1.1250000000000001E-3</v>
      </c>
    </row>
    <row r="64" spans="2:113" x14ac:dyDescent="0.25">
      <c r="B64" t="str">
        <f>IF('ELC TECH'!I57=0,"*",'ELC TECH'!H57)</f>
        <v>ELCSTGGRDPSH10HC1420</v>
      </c>
      <c r="C64" t="str">
        <f>IF(_xlfn.XLOOKUP(_xlfn.XLOOKUP(B64,'ELC TECH'!$H:$H,'ELC TECH'!$G:$G),List!C:C,List!B:B)="STG",D64,"ELC"&amp;_xlfn.XLOOKUP(_xlfn.XLOOKUP(B64,'ELC TECH'!H:H,'ELC TECH'!G:G),List!C:C,List!B:B))</f>
        <v>CELC</v>
      </c>
      <c r="D64" t="s">
        <v>544</v>
      </c>
      <c r="E64">
        <f>_xlfn.XLOOKUP(B64,'ELC TECH'!H:H,'ELC TECH'!D:D)</f>
        <v>2020</v>
      </c>
      <c r="F64">
        <f>_xlfn.XLOOKUP(B64,'ELC TECH'!H:H,'ELC TECH'!K:K)</f>
        <v>100</v>
      </c>
      <c r="G64">
        <f t="shared" si="5"/>
        <v>31.535999999999998</v>
      </c>
      <c r="H64">
        <f>IF(_xlfn.XLOOKUP(B64,'ELC TECH'!$H:$H,'ELC TECH'!$E:$E)="Storage",0.3,IF(_xlfn.XLOOKUP(B64,'ELC TECH'!$H:$H,'ELC TECH'!$E:$E)="Baseload",0.9,IF(_xlfn.XLOOKUP(B64,'ELC TECH'!$H:$H,'ELC TECH'!$E:$E)="Non Dispatchable",0.05,IF(_xlfn.XLOOKUP(B64,'ELC TECH'!$H:$H,'ELC TECH'!$E:$E)="Dispatchable",0.9,1))))</f>
        <v>0.3</v>
      </c>
      <c r="I64" s="13">
        <f>IF(_xlfn.XLOOKUP(B64,'ELC TECH'!H:H,'ELC TECH'!J:J)="","",_xlfn.XLOOKUP(B64,'ELC TECH'!H:H,'ELC TECH'!J:J))</f>
        <v>0</v>
      </c>
      <c r="J64" s="12" t="str">
        <f>IF(_xlfn.XLOOKUP($B64,'ELC TECH'!$H:$H,'ELC TECH'!$E:$E)="Storage","",IF(_xlfn.XLOOKUP($B64,'ELC TECH'!$H:$H,'ELC TECH'!AK:AK)="",1,_xlfn.XLOOKUP($B64,'ELC TECH'!$H:$H,'ELC TECH'!AK:AK)))</f>
        <v/>
      </c>
      <c r="K64" s="12" t="str">
        <f>IF(_xlfn.XLOOKUP($B64,'ELC TECH'!$H:$H,'ELC TECH'!$E:$E)="Storage","",IF(_xlfn.XLOOKUP($B64,'ELC TECH'!$H:$H,'ELC TECH'!AL:AL)="",1,_xlfn.XLOOKUP($B64,'ELC TECH'!$H:$H,'ELC TECH'!AL:AL)))</f>
        <v/>
      </c>
      <c r="L64" s="12" t="str">
        <f>IF(_xlfn.XLOOKUP($B64,'ELC TECH'!$H:$H,'ELC TECH'!$E:$E)="Storage","",IF(_xlfn.XLOOKUP($B64,'ELC TECH'!$H:$H,'ELC TECH'!AM:AM)="",1,_xlfn.XLOOKUP($B64,'ELC TECH'!$H:$H,'ELC TECH'!AM:AM)))</f>
        <v/>
      </c>
      <c r="M64" s="12" t="str">
        <f>IF(_xlfn.XLOOKUP($B64,'ELC TECH'!$H:$H,'ELC TECH'!$E:$E)="Storage","",IF(_xlfn.XLOOKUP($B64,'ELC TECH'!$H:$H,'ELC TECH'!AN:AN)="",1,_xlfn.XLOOKUP($B64,'ELC TECH'!$H:$H,'ELC TECH'!AN:AN)))</f>
        <v/>
      </c>
      <c r="N64" s="12" t="str">
        <f>IF(_xlfn.XLOOKUP($B64,'ELC TECH'!$H:$H,'ELC TECH'!$E:$E)="Storage","",IF(_xlfn.XLOOKUP($B64,'ELC TECH'!$H:$H,'ELC TECH'!AO:AO)="",1,_xlfn.XLOOKUP($B64,'ELC TECH'!$H:$H,'ELC TECH'!AO:AO)))</f>
        <v/>
      </c>
      <c r="O64" s="12" t="str">
        <f>IF(_xlfn.XLOOKUP($B64,'ELC TECH'!$H:$H,'ELC TECH'!$E:$E)="Storage","",IF(_xlfn.XLOOKUP($B64,'ELC TECH'!$H:$H,'ELC TECH'!AP:AP)="",1,_xlfn.XLOOKUP($B64,'ELC TECH'!$H:$H,'ELC TECH'!AP:AP)))</f>
        <v/>
      </c>
      <c r="P64" s="12" t="str">
        <f>IF(_xlfn.XLOOKUP($B64,'ELC TECH'!$H:$H,'ELC TECH'!$E:$E)="Storage","",IF(_xlfn.XLOOKUP($B64,'ELC TECH'!$H:$H,'ELC TECH'!AQ:AQ)="",1,_xlfn.XLOOKUP($B64,'ELC TECH'!$H:$H,'ELC TECH'!AQ:AQ)))</f>
        <v/>
      </c>
      <c r="Q64" s="12" t="str">
        <f>IF(_xlfn.XLOOKUP($B64,'ELC TECH'!$H:$H,'ELC TECH'!$E:$E)="Storage","",IF(_xlfn.XLOOKUP($B64,'ELC TECH'!$H:$H,'ELC TECH'!AR:AR)="",1,_xlfn.XLOOKUP($B64,'ELC TECH'!$H:$H,'ELC TECH'!AR:AR)))</f>
        <v/>
      </c>
      <c r="R64" s="12">
        <f>IF(_xlfn.XLOOKUP($B64,'ELC TECH'!$H:$H,'ELC TECH'!$E:$E)&lt;&gt;"Storage","",IF(_xlfn.XLOOKUP($B64,'ELC TECH'!$H:$H,'ELC TECH'!AK:AK)="",0.8,_xlfn.XLOOKUP($B64,'ELC TECH'!$H:$H,'ELC TECH'!AK:AK)))</f>
        <v>0.8</v>
      </c>
      <c r="S64" s="12">
        <f>IF(_xlfn.XLOOKUP($B64,'ELC TECH'!$H:$H,'ELC TECH'!$E:$E)&lt;&gt;"Storage","",IF(_xlfn.XLOOKUP($B64,'ELC TECH'!$H:$H,'ELC TECH'!AL:AL)="",0.8,_xlfn.XLOOKUP($B64,'ELC TECH'!$H:$H,'ELC TECH'!AL:AL)))</f>
        <v>0.8</v>
      </c>
      <c r="T64" s="12">
        <f>IF(_xlfn.XLOOKUP($B64,'ELC TECH'!$H:$H,'ELC TECH'!$E:$E)&lt;&gt;"Storage","",IF(_xlfn.XLOOKUP($B64,'ELC TECH'!$H:$H,'ELC TECH'!AM:AM)="",0.8,_xlfn.XLOOKUP($B64,'ELC TECH'!$H:$H,'ELC TECH'!AM:AM)))</f>
        <v>0.8</v>
      </c>
      <c r="U64" s="12">
        <f>IF(_xlfn.XLOOKUP($B64,'ELC TECH'!$H:$H,'ELC TECH'!$E:$E)&lt;&gt;"Storage","",IF(_xlfn.XLOOKUP($B64,'ELC TECH'!$H:$H,'ELC TECH'!AN:AN)="",0.8,_xlfn.XLOOKUP($B64,'ELC TECH'!$H:$H,'ELC TECH'!AN:AN)))</f>
        <v>0.8</v>
      </c>
      <c r="V64" s="12">
        <f>IF(_xlfn.XLOOKUP($B64,'ELC TECH'!$H:$H,'ELC TECH'!$E:$E)&lt;&gt;"Storage","",IF(_xlfn.XLOOKUP($B64,'ELC TECH'!$H:$H,'ELC TECH'!AO:AO)="",0.8,_xlfn.XLOOKUP($B64,'ELC TECH'!$H:$H,'ELC TECH'!AO:AO)))</f>
        <v>0.8</v>
      </c>
      <c r="W64" s="12">
        <f>IF(_xlfn.XLOOKUP($B64,'ELC TECH'!$H:$H,'ELC TECH'!$E:$E)&lt;&gt;"Storage","",IF(_xlfn.XLOOKUP($B64,'ELC TECH'!$H:$H,'ELC TECH'!AP:AP)="",0.8,_xlfn.XLOOKUP($B64,'ELC TECH'!$H:$H,'ELC TECH'!AP:AP)))</f>
        <v>0.8</v>
      </c>
      <c r="X64" s="12">
        <f>IF(_xlfn.XLOOKUP($B64,'ELC TECH'!$H:$H,'ELC TECH'!$E:$E)&lt;&gt;"Storage","",IF(_xlfn.XLOOKUP($B64,'ELC TECH'!$H:$H,'ELC TECH'!AQ:AQ)="",0.8,_xlfn.XLOOKUP($B64,'ELC TECH'!$H:$H,'ELC TECH'!AQ:AQ)))</f>
        <v>0.8</v>
      </c>
      <c r="Y64" s="12">
        <f>IF(_xlfn.XLOOKUP($B64,'ELC TECH'!$H:$H,'ELC TECH'!$E:$E)&lt;&gt;"Storage","",IF(_xlfn.XLOOKUP($B64,'ELC TECH'!$H:$H,'ELC TECH'!AR:AR)="",0.8,_xlfn.XLOOKUP($B64,'ELC TECH'!$H:$H,'ELC TECH'!AR:AR)))</f>
        <v>0.8</v>
      </c>
      <c r="Z64" s="15">
        <f>_xlfn.XLOOKUP($B64,'ELC TECH'!$H:$H,'ELC TECH'!M:M)</f>
        <v>4496.5863120087033</v>
      </c>
      <c r="AA64" s="15">
        <f>_xlfn.XLOOKUP($B64,'ELC TECH'!$H:$H,'ELC TECH'!N:N)</f>
        <v>4496.5863120087033</v>
      </c>
      <c r="AB64" s="15">
        <f>_xlfn.XLOOKUP($B64,'ELC TECH'!$H:$H,'ELC TECH'!O:O)</f>
        <v>4496.5863120087033</v>
      </c>
      <c r="AC64" s="15">
        <f>_xlfn.XLOOKUP($B64,'ELC TECH'!$H:$H,'ELC TECH'!P:P)</f>
        <v>4496.5863120087033</v>
      </c>
      <c r="AD64" s="15">
        <f>_xlfn.XLOOKUP($B64,'ELC TECH'!$H:$H,'ELC TECH'!Q:Q)</f>
        <v>4496.5863120087033</v>
      </c>
      <c r="AE64" s="15">
        <f>_xlfn.XLOOKUP($B64,'ELC TECH'!$H:$H,'ELC TECH'!R:R)</f>
        <v>4496.5863120087033</v>
      </c>
      <c r="AF64" s="15">
        <f>_xlfn.XLOOKUP($B64,'ELC TECH'!$H:$H,'ELC TECH'!S:S)</f>
        <v>4496.5863120087033</v>
      </c>
      <c r="AG64" s="15">
        <f>_xlfn.XLOOKUP($B64,'ELC TECH'!$H:$H,'ELC TECH'!T:T)</f>
        <v>4496.5863120087033</v>
      </c>
      <c r="AH64" s="15">
        <f>_xlfn.XLOOKUP($B64,'ELC TECH'!$H:$H,'ELC TECH'!U:U)</f>
        <v>21.100097091380029</v>
      </c>
      <c r="AI64" s="15">
        <f>_xlfn.XLOOKUP($B64,'ELC TECH'!$H:$H,'ELC TECH'!V:V)</f>
        <v>21.100097091380029</v>
      </c>
      <c r="AJ64" s="15">
        <f>_xlfn.XLOOKUP($B64,'ELC TECH'!$H:$H,'ELC TECH'!W:W)</f>
        <v>21.100097091380029</v>
      </c>
      <c r="AK64" s="15">
        <f>_xlfn.XLOOKUP($B64,'ELC TECH'!$H:$H,'ELC TECH'!X:X)</f>
        <v>21.100097091380029</v>
      </c>
      <c r="AL64" s="15">
        <f>_xlfn.XLOOKUP($B64,'ELC TECH'!$H:$H,'ELC TECH'!Y:Y)</f>
        <v>21.100097091380029</v>
      </c>
      <c r="AM64" s="15">
        <f>_xlfn.XLOOKUP($B64,'ELC TECH'!$H:$H,'ELC TECH'!Z:Z)</f>
        <v>21.100097091380029</v>
      </c>
      <c r="AN64" s="15">
        <f>_xlfn.XLOOKUP($B64,'ELC TECH'!$H:$H,'ELC TECH'!AA:AA)</f>
        <v>21.100097091380029</v>
      </c>
      <c r="AO64" s="15">
        <f>_xlfn.XLOOKUP($B64,'ELC TECH'!$H:$H,'ELC TECH'!AB:AB)</f>
        <v>21.100097091380029</v>
      </c>
      <c r="AP64" s="15">
        <f>_xlfn.XLOOKUP($B64,'ELC TECH'!$H:$H,'ELC TECH'!AC:AC)</f>
        <v>0.1696149283872993</v>
      </c>
      <c r="AQ64" s="15">
        <f>_xlfn.XLOOKUP($B64,'ELC TECH'!$H:$H,'ELC TECH'!AD:AD)</f>
        <v>0.1696149283872993</v>
      </c>
      <c r="AR64" s="15">
        <f>_xlfn.XLOOKUP($B64,'ELC TECH'!$H:$H,'ELC TECH'!AE:AE)</f>
        <v>0.1696149283872993</v>
      </c>
      <c r="AS64" s="15">
        <f>_xlfn.XLOOKUP($B64,'ELC TECH'!$H:$H,'ELC TECH'!AF:AF)</f>
        <v>0.1696149283872993</v>
      </c>
      <c r="AT64" s="15">
        <f>_xlfn.XLOOKUP($B64,'ELC TECH'!$H:$H,'ELC TECH'!AG:AG)</f>
        <v>0.1696149283872993</v>
      </c>
      <c r="AU64" s="15">
        <f>_xlfn.XLOOKUP($B64,'ELC TECH'!$H:$H,'ELC TECH'!AH:AH)</f>
        <v>0.1696149283872993</v>
      </c>
      <c r="AV64" s="15">
        <f>_xlfn.XLOOKUP($B64,'ELC TECH'!$H:$H,'ELC TECH'!AI:AI)</f>
        <v>0.1696149283872993</v>
      </c>
      <c r="AW64" s="15">
        <f>_xlfn.XLOOKUP($B64,'ELC TECH'!$H:$H,'ELC TECH'!AJ:AJ)</f>
        <v>0.1696149283872993</v>
      </c>
      <c r="AX64" s="12" t="str">
        <f>IF(_xlfn.XLOOKUP($B64,'ELC TECH'!$H:$H,'ELC TECH'!$E:$E)="Storage","",_xlfn.XLOOKUP($B64,'ELC TECH'!$H:$H,'ELC TECH'!AS:AS))</f>
        <v/>
      </c>
      <c r="AY64" s="12" t="str">
        <f>IF(_xlfn.XLOOKUP($B64,'ELC TECH'!$H:$H,'ELC TECH'!$E:$E)="Storage","",_xlfn.XLOOKUP($B64,'ELC TECH'!$H:$H,'ELC TECH'!AT:AT))</f>
        <v/>
      </c>
      <c r="AZ64" s="12" t="str">
        <f>IF(_xlfn.XLOOKUP($B64,'ELC TECH'!$H:$H,'ELC TECH'!$E:$E)="Storage","",_xlfn.XLOOKUP($B64,'ELC TECH'!$H:$H,'ELC TECH'!AU:AU))</f>
        <v/>
      </c>
      <c r="BA64" s="12" t="str">
        <f>IF(_xlfn.XLOOKUP($B64,'ELC TECH'!$H:$H,'ELC TECH'!$E:$E)="Storage","",_xlfn.XLOOKUP($B64,'ELC TECH'!$H:$H,'ELC TECH'!AV:AV))</f>
        <v/>
      </c>
      <c r="BB64" s="12" t="str">
        <f>IF(_xlfn.XLOOKUP($B64,'ELC TECH'!$H:$H,'ELC TECH'!$E:$E)="Storage","",_xlfn.XLOOKUP($B64,'ELC TECH'!$H:$H,'ELC TECH'!AW:AW))</f>
        <v/>
      </c>
      <c r="BC64" s="12" t="str">
        <f>IF(_xlfn.XLOOKUP($B64,'ELC TECH'!$H:$H,'ELC TECH'!$E:$E)="Storage","",_xlfn.XLOOKUP($B64,'ELC TECH'!$H:$H,'ELC TECH'!AX:AX))</f>
        <v/>
      </c>
      <c r="BD64" s="12" t="str">
        <f>IF(_xlfn.XLOOKUP($B64,'ELC TECH'!$H:$H,'ELC TECH'!$E:$E)="Storage","",_xlfn.XLOOKUP($B64,'ELC TECH'!$H:$H,'ELC TECH'!AY:AY))</f>
        <v/>
      </c>
      <c r="BE64" s="12" t="str">
        <f>IF(_xlfn.XLOOKUP($B64,'ELC TECH'!$H:$H,'ELC TECH'!$E:$E)="Storage","",_xlfn.XLOOKUP($B64,'ELC TECH'!$H:$H,'ELC TECH'!AZ:AZ))</f>
        <v/>
      </c>
      <c r="BF64" s="12">
        <f>IF(_xlfn.XLOOKUP($B64,'ELC TECH'!$H:$H,'ELC TECH'!$E:$E)="Storage",_xlfn.XLOOKUP($B64,'ELC TECH'!$H:$H,'ELC TECH'!AS:AS),"")</f>
        <v>0.41666666666666669</v>
      </c>
      <c r="BG64" s="12">
        <f>IF(_xlfn.XLOOKUP($B64,'ELC TECH'!$H:$H,'ELC TECH'!$E:$E)="Storage",_xlfn.XLOOKUP($B64,'ELC TECH'!$H:$H,'ELC TECH'!AT:AT),"")</f>
        <v>0.41666666666666669</v>
      </c>
      <c r="BH64" s="12">
        <f>IF(_xlfn.XLOOKUP($B64,'ELC TECH'!$H:$H,'ELC TECH'!$E:$E)="Storage",_xlfn.XLOOKUP($B64,'ELC TECH'!$H:$H,'ELC TECH'!AU:AU),"")</f>
        <v>0.41666666666666669</v>
      </c>
      <c r="BI64" s="12">
        <f>IF(_xlfn.XLOOKUP($B64,'ELC TECH'!$H:$H,'ELC TECH'!$E:$E)="Storage",_xlfn.XLOOKUP($B64,'ELC TECH'!$H:$H,'ELC TECH'!AV:AV),"")</f>
        <v>0.41666666666666669</v>
      </c>
      <c r="BJ64" s="12">
        <f>IF(_xlfn.XLOOKUP($B64,'ELC TECH'!$H:$H,'ELC TECH'!$E:$E)="Storage",_xlfn.XLOOKUP($B64,'ELC TECH'!$H:$H,'ELC TECH'!AW:AW),"")</f>
        <v>0.41666666666666669</v>
      </c>
      <c r="BK64" s="12">
        <f>IF(_xlfn.XLOOKUP($B64,'ELC TECH'!$H:$H,'ELC TECH'!$E:$E)="Storage",_xlfn.XLOOKUP($B64,'ELC TECH'!$H:$H,'ELC TECH'!AX:AX),"")</f>
        <v>0.41666666666666669</v>
      </c>
      <c r="BL64" s="12">
        <f>IF(_xlfn.XLOOKUP($B64,'ELC TECH'!$H:$H,'ELC TECH'!$E:$E)="Storage",_xlfn.XLOOKUP($B64,'ELC TECH'!$H:$H,'ELC TECH'!AY:AY),"")</f>
        <v>0.41666666666666669</v>
      </c>
      <c r="BM64" s="12">
        <f>IF(_xlfn.XLOOKUP($B64,'ELC TECH'!$H:$H,'ELC TECH'!$E:$E)="Storage",_xlfn.XLOOKUP($B64,'ELC TECH'!$H:$H,'ELC TECH'!AZ:AZ),"")</f>
        <v>0.41666666666666669</v>
      </c>
      <c r="BN64" s="8" t="str">
        <f>IF(_xlfn.XLOOKUP($B64,'ELC TECH'!$H:$H,'ELC TECH'!$E:$E)="Non Dispatchable",IFERROR($AX64*_xlfn.XLOOKUP($C64,$BM$1:$BM$3,BN$1:BN$3)/SUMPRODUCT(_xlfn.XLOOKUP($C64,$BM$1:$BM$3,$BN$1:$BY$3),$BN$4:$BY$4),""),
"")</f>
        <v/>
      </c>
      <c r="BO64" s="8" t="str">
        <f>IF(_xlfn.XLOOKUP($B64,'ELC TECH'!$H:$H,'ELC TECH'!$E:$E)="Non Dispatchable",IFERROR($AX64*_xlfn.XLOOKUP($C64,$BM$1:$BM$3,BO$1:BO$3)/SUMPRODUCT(_xlfn.XLOOKUP($C64,$BM$1:$BM$3,$BN$1:$BY$3),$BN$4:$BY$4),""),
"")</f>
        <v/>
      </c>
      <c r="BP64" s="8" t="str">
        <f>IF(_xlfn.XLOOKUP($B64,'ELC TECH'!$H:$H,'ELC TECH'!$E:$E)="Non Dispatchable",IFERROR($AX64*_xlfn.XLOOKUP($C64,$BM$1:$BM$3,BP$1:BP$3)/SUMPRODUCT(_xlfn.XLOOKUP($C64,$BM$1:$BM$3,$BN$1:$BY$3),$BN$4:$BY$4),""),
"")</f>
        <v/>
      </c>
      <c r="BQ64" s="8" t="str">
        <f>IF(_xlfn.XLOOKUP($B64,'ELC TECH'!$H:$H,'ELC TECH'!$E:$E)="Non Dispatchable",IFERROR($AX64*_xlfn.XLOOKUP($C64,$BM$1:$BM$3,BQ$1:BQ$3)/SUMPRODUCT(_xlfn.XLOOKUP($C64,$BM$1:$BM$3,$BN$1:$BY$3),$BN$4:$BY$4),""),
"")</f>
        <v/>
      </c>
      <c r="BR64" s="8" t="str">
        <f>IF(_xlfn.XLOOKUP($B64,'ELC TECH'!$H:$H,'ELC TECH'!$E:$E)="Non Dispatchable",IFERROR($AX64*_xlfn.XLOOKUP($C64,$BM$1:$BM$3,BR$1:BR$3)/SUMPRODUCT(_xlfn.XLOOKUP($C64,$BM$1:$BM$3,$BN$1:$BY$3),$BN$4:$BY$4),""),
"")</f>
        <v/>
      </c>
      <c r="BS64" s="8" t="str">
        <f>IF(_xlfn.XLOOKUP($B64,'ELC TECH'!$H:$H,'ELC TECH'!$E:$E)="Non Dispatchable",IFERROR($AX64*_xlfn.XLOOKUP($C64,$BM$1:$BM$3,BS$1:BS$3)/SUMPRODUCT(_xlfn.XLOOKUP($C64,$BM$1:$BM$3,$BN$1:$BY$3),$BN$4:$BY$4),""),
"")</f>
        <v/>
      </c>
      <c r="BT64" s="8" t="str">
        <f>IF(_xlfn.XLOOKUP($B64,'ELC TECH'!$H:$H,'ELC TECH'!$E:$E)="Non Dispatchable",IFERROR($AX64*_xlfn.XLOOKUP($C64,$BM$1:$BM$3,BT$1:BT$3)/SUMPRODUCT(_xlfn.XLOOKUP($C64,$BM$1:$BM$3,$BN$1:$BY$3),$BN$4:$BY$4),""),
"")</f>
        <v/>
      </c>
      <c r="BU64" s="8" t="str">
        <f>IF(_xlfn.XLOOKUP($B64,'ELC TECH'!$H:$H,'ELC TECH'!$E:$E)="Non Dispatchable",IFERROR($AX64*_xlfn.XLOOKUP($C64,$BM$1:$BM$3,BU$1:BU$3)/SUMPRODUCT(_xlfn.XLOOKUP($C64,$BM$1:$BM$3,$BN$1:$BY$3),$BN$4:$BY$4),""),
"")</f>
        <v/>
      </c>
      <c r="BV64" s="8" t="str">
        <f>IF(_xlfn.XLOOKUP($B64,'ELC TECH'!$H:$H,'ELC TECH'!$E:$E)="Non Dispatchable",IFERROR($AX64*_xlfn.XLOOKUP($C64,$BM$1:$BM$3,BV$1:BV$3)/SUMPRODUCT(_xlfn.XLOOKUP($C64,$BM$1:$BM$3,$BN$1:$BY$3),$BN$4:$BY$4),""),
"")</f>
        <v/>
      </c>
      <c r="BW64" s="8" t="str">
        <f>IF(_xlfn.XLOOKUP($B64,'ELC TECH'!$H:$H,'ELC TECH'!$E:$E)="Non Dispatchable",IFERROR($AX64*_xlfn.XLOOKUP($C64,$BM$1:$BM$3,BW$1:BW$3)/SUMPRODUCT(_xlfn.XLOOKUP($C64,$BM$1:$BM$3,$BN$1:$BY$3),$BN$4:$BY$4),""),
"")</f>
        <v/>
      </c>
      <c r="BX64" s="8" t="str">
        <f>IF(_xlfn.XLOOKUP($B64,'ELC TECH'!$H:$H,'ELC TECH'!$E:$E)="Non Dispatchable",IFERROR($AX64*_xlfn.XLOOKUP($C64,$BM$1:$BM$3,BX$1:BX$3)/SUMPRODUCT(_xlfn.XLOOKUP($C64,$BM$1:$BM$3,$BN$1:$BY$3),$BN$4:$BY$4),""),
"")</f>
        <v/>
      </c>
      <c r="BY64" s="8" t="str">
        <f>IF(_xlfn.XLOOKUP($B64,'ELC TECH'!$H:$H,'ELC TECH'!$E:$E)="Non Dispatchable",IFERROR($AX64*_xlfn.XLOOKUP($C64,$BM$1:$BM$3,BY$1:BY$3)/SUMPRODUCT(_xlfn.XLOOKUP($C64,$BM$1:$BM$3,$BN$1:$BY$3),$BN$4:$BY$4),""),
"")</f>
        <v/>
      </c>
      <c r="BZ64" s="8" t="str">
        <f>IF(_xlfn.XLOOKUP($B64,'ELC TECH'!$H:$H,'ELC TECH'!$E:$E)="Non Dispatchable",IFERROR($AX64*_xlfn.XLOOKUP($C64,$BM$1:$BM$3,BZ$1:BZ$3)/SUMPRODUCT(_xlfn.XLOOKUP($C64,$BM$1:$BM$3,$BN$1:$BY$3),$BN$4:$BY$4),""),
"")</f>
        <v/>
      </c>
      <c r="CA64" s="8" t="str">
        <f>IF(_xlfn.XLOOKUP($B64,'ELC TECH'!$H:$H,'ELC TECH'!$E:$E)="Non Dispatchable",IFERROR($AX64*_xlfn.XLOOKUP($C64,$BM$1:$BM$3,CA$1:CA$3)/SUMPRODUCT(_xlfn.XLOOKUP($C64,$BM$1:$BM$3,$BN$1:$BY$3),$BN$4:$BY$4),""),
"")</f>
        <v/>
      </c>
      <c r="CB64" s="8" t="str">
        <f>IF(_xlfn.XLOOKUP($B64,'ELC TECH'!$H:$H,'ELC TECH'!$E:$E)="Non Dispatchable",IFERROR($AX64*_xlfn.XLOOKUP($C64,$BM$1:$BM$3,CB$1:CB$3)/SUMPRODUCT(_xlfn.XLOOKUP($C64,$BM$1:$BM$3,$BN$1:$BY$3),$BN$4:$BY$4),""),
"")</f>
        <v/>
      </c>
      <c r="CC64" s="8" t="str">
        <f>IF(_xlfn.XLOOKUP($B64,'ELC TECH'!$H:$H,'ELC TECH'!$E:$E)="Non Dispatchable",IFERROR($AX64*_xlfn.XLOOKUP($C64,$BM$1:$BM$3,CC$1:CC$3)/SUMPRODUCT(_xlfn.XLOOKUP($C64,$BM$1:$BM$3,$BN$1:$BY$3),$BN$4:$BY$4),""),
"")</f>
        <v/>
      </c>
      <c r="CD64" s="8" t="str">
        <f>IF(_xlfn.XLOOKUP($B64,'ELC TECH'!$H:$H,'ELC TECH'!$E:$E)="Non Dispatchable",IFERROR($AX64*_xlfn.XLOOKUP($C64,$BM$1:$BM$3,CD$1:CD$3)/SUMPRODUCT(_xlfn.XLOOKUP($C64,$BM$1:$BM$3,$BN$1:$BY$3),$BN$4:$BY$4),""),
"")</f>
        <v/>
      </c>
      <c r="CE64" s="8" t="str">
        <f>IF(_xlfn.XLOOKUP($B64,'ELC TECH'!$H:$H,'ELC TECH'!$E:$E)="Non Dispatchable",IFERROR($AX64*_xlfn.XLOOKUP($C64,$BM$1:$BM$3,CE$1:CE$3)/SUMPRODUCT(_xlfn.XLOOKUP($C64,$BM$1:$BM$3,$BN$1:$BY$3),$BN$4:$BY$4),""),
"")</f>
        <v/>
      </c>
      <c r="CF64" s="8" t="str">
        <f>IF(_xlfn.XLOOKUP($B64,'ELC TECH'!$H:$H,'ELC TECH'!$E:$E)="Non Dispatchable",IFERROR($AX64*_xlfn.XLOOKUP($C64,$BM$1:$BM$3,CF$1:CF$3)/SUMPRODUCT(_xlfn.XLOOKUP($C64,$BM$1:$BM$3,$BN$1:$BY$3),$BN$4:$BY$4),""),
"")</f>
        <v/>
      </c>
      <c r="CG64" s="8" t="str">
        <f>IF(_xlfn.XLOOKUP($B64,'ELC TECH'!$H:$H,'ELC TECH'!$E:$E)="Non Dispatchable",IFERROR($AX64*_xlfn.XLOOKUP($C64,$BM$1:$BM$3,CG$1:CG$3)/SUMPRODUCT(_xlfn.XLOOKUP($C64,$BM$1:$BM$3,$BN$1:$BY$3),$BN$4:$BY$4),""),
"")</f>
        <v/>
      </c>
      <c r="CH64" s="8" t="str">
        <f>IF(_xlfn.XLOOKUP($B64,'ELC TECH'!$H:$H,'ELC TECH'!$E:$E)="Non Dispatchable",IFERROR($AX64*_xlfn.XLOOKUP($C64,$BM$1:$BM$3,CH$1:CH$3)/SUMPRODUCT(_xlfn.XLOOKUP($C64,$BM$1:$BM$3,$BN$1:$BY$3),$BN$4:$BY$4),""),
"")</f>
        <v/>
      </c>
      <c r="CI64" s="8" t="str">
        <f>IF(_xlfn.XLOOKUP($B64,'ELC TECH'!$H:$H,'ELC TECH'!$E:$E)="Non Dispatchable",IFERROR($AX64*_xlfn.XLOOKUP($C64,$BM$1:$BM$3,CI$1:CI$3)/SUMPRODUCT(_xlfn.XLOOKUP($C64,$BM$1:$BM$3,$BN$1:$BY$3),$BN$4:$BY$4),""),
"")</f>
        <v/>
      </c>
      <c r="CJ64" s="8" t="str">
        <f>IF(_xlfn.XLOOKUP($B64,'ELC TECH'!$H:$H,'ELC TECH'!$E:$E)="Non Dispatchable",IFERROR($AX64*_xlfn.XLOOKUP($C64,$BM$1:$BM$3,CJ$1:CJ$3)/SUMPRODUCT(_xlfn.XLOOKUP($C64,$BM$1:$BM$3,$BN$1:$BY$3),$BN$4:$BY$4),""),
"")</f>
        <v/>
      </c>
      <c r="CK64" s="8" t="str">
        <f>IF(_xlfn.XLOOKUP($B64,'ELC TECH'!$H:$H,'ELC TECH'!$E:$E)="Non Dispatchable",IFERROR($AX64*_xlfn.XLOOKUP($C64,$BM$1:$BM$3,CK$1:CK$3)/SUMPRODUCT(_xlfn.XLOOKUP($C64,$BM$1:$BM$3,$BN$1:$BY$3),$BN$4:$BY$4),""),
"")</f>
        <v/>
      </c>
      <c r="CL64" s="8">
        <f>IF(_xlfn.XLOOKUP($B64,'ELC TECH'!$H:$H,'ELC TECH'!$E:$E)="Storage",CL$4*$BF64,"")</f>
        <v>3.4250000000000003E-2</v>
      </c>
      <c r="CM64" s="8">
        <f>IF(_xlfn.XLOOKUP($B64,'ELC TECH'!$H:$H,'ELC TECH'!$E:$E)="Storage",CM$4*$BF64,"")</f>
        <v>3.9875000000000001E-2</v>
      </c>
      <c r="CN64" s="8">
        <f>IF(_xlfn.XLOOKUP($B64,'ELC TECH'!$H:$H,'ELC TECH'!$E:$E)="Storage",CN$4*$BF64,"")</f>
        <v>6.3833333333333339E-2</v>
      </c>
      <c r="CO64" s="8">
        <f>IF(_xlfn.XLOOKUP($B64,'ELC TECH'!$H:$H,'ELC TECH'!$E:$E)="Storage",CO$4*$BF64,"")</f>
        <v>1.3333333333333335E-3</v>
      </c>
      <c r="CP64" s="8">
        <f>IF(_xlfn.XLOOKUP($B64,'ELC TECH'!$H:$H,'ELC TECH'!$E:$E)="Storage",CP$4*$BF64,"")</f>
        <v>3.3958333333333333E-2</v>
      </c>
      <c r="CQ64" s="8">
        <f>IF(_xlfn.XLOOKUP($B64,'ELC TECH'!$H:$H,'ELC TECH'!$E:$E)="Storage",CQ$4*$BF64,"")</f>
        <v>4.5291666666666668E-2</v>
      </c>
      <c r="CR64" s="8">
        <f>IF(_xlfn.XLOOKUP($B64,'ELC TECH'!$H:$H,'ELC TECH'!$E:$E)="Storage",CR$4*$BF64,"")</f>
        <v>5.7541666666666672E-2</v>
      </c>
      <c r="CS64" s="8">
        <f>IF(_xlfn.XLOOKUP($B64,'ELC TECH'!$H:$H,'ELC TECH'!$E:$E)="Storage",CS$4*$BF64,"")</f>
        <v>1.3333333333333335E-3</v>
      </c>
      <c r="CT64" s="8">
        <f>IF(_xlfn.XLOOKUP($B64,'ELC TECH'!$H:$H,'ELC TECH'!$E:$E)="Storage",CT$4*$BF64,"")</f>
        <v>4.0625000000000001E-2</v>
      </c>
      <c r="CU64" s="8">
        <f>IF(_xlfn.XLOOKUP($B64,'ELC TECH'!$H:$H,'ELC TECH'!$E:$E)="Storage",CU$4*$BF64,"")</f>
        <v>4.5291666666666668E-2</v>
      </c>
      <c r="CV64" s="8">
        <f>IF(_xlfn.XLOOKUP($B64,'ELC TECH'!$H:$H,'ELC TECH'!$E:$E)="Storage",CV$4*$BF64,"")</f>
        <v>5.2208333333333336E-2</v>
      </c>
      <c r="CW64" s="8">
        <f>IF(_xlfn.XLOOKUP($B64,'ELC TECH'!$H:$H,'ELC TECH'!$E:$E)="Storage",CW$4*$BF64,"")</f>
        <v>1.1250000000000001E-3</v>
      </c>
      <c r="CX64" s="8">
        <f>IF(_xlfn.XLOOKUP($B64,'ELC TECH'!$H:$H,'ELC TECH'!$E:$E)="Storage",CX$4*$BF64,"")</f>
        <v>3.4250000000000003E-2</v>
      </c>
      <c r="CY64" s="8">
        <f>IF(_xlfn.XLOOKUP($B64,'ELC TECH'!$H:$H,'ELC TECH'!$E:$E)="Storage",CY$4*$BF64,"")</f>
        <v>3.9875000000000001E-2</v>
      </c>
      <c r="CZ64" s="8">
        <f>IF(_xlfn.XLOOKUP($B64,'ELC TECH'!$H:$H,'ELC TECH'!$E:$E)="Storage",CZ$4*$BF64,"")</f>
        <v>6.3833333333333339E-2</v>
      </c>
      <c r="DA64" s="8">
        <f>IF(_xlfn.XLOOKUP($B64,'ELC TECH'!$H:$H,'ELC TECH'!$E:$E)="Storage",DA$4*$BF64,"")</f>
        <v>1.3333333333333335E-3</v>
      </c>
      <c r="DB64" s="8">
        <f>IF(_xlfn.XLOOKUP($B64,'ELC TECH'!$H:$H,'ELC TECH'!$E:$E)="Storage",DB$4*$BF64,"")</f>
        <v>3.3958333333333333E-2</v>
      </c>
      <c r="DC64" s="8">
        <f>IF(_xlfn.XLOOKUP($B64,'ELC TECH'!$H:$H,'ELC TECH'!$E:$E)="Storage",DC$4*$BF64,"")</f>
        <v>4.5291666666666668E-2</v>
      </c>
      <c r="DD64" s="8">
        <f>IF(_xlfn.XLOOKUP($B64,'ELC TECH'!$H:$H,'ELC TECH'!$E:$E)="Storage",DD$4*$BF64,"")</f>
        <v>5.7541666666666672E-2</v>
      </c>
      <c r="DE64" s="8">
        <f>IF(_xlfn.XLOOKUP($B64,'ELC TECH'!$H:$H,'ELC TECH'!$E:$E)="Storage",DE$4*$BF64,"")</f>
        <v>1.3333333333333335E-3</v>
      </c>
      <c r="DF64" s="8">
        <f>IF(_xlfn.XLOOKUP($B64,'ELC TECH'!$H:$H,'ELC TECH'!$E:$E)="Storage",DF$4*$BF64,"")</f>
        <v>4.0625000000000001E-2</v>
      </c>
      <c r="DG64" s="8">
        <f>IF(_xlfn.XLOOKUP($B64,'ELC TECH'!$H:$H,'ELC TECH'!$E:$E)="Storage",DG$4*$BF64,"")</f>
        <v>4.5291666666666668E-2</v>
      </c>
      <c r="DH64" s="8">
        <f>IF(_xlfn.XLOOKUP($B64,'ELC TECH'!$H:$H,'ELC TECH'!$E:$E)="Storage",DH$4*$BF64,"")</f>
        <v>5.2208333333333336E-2</v>
      </c>
      <c r="DI64" s="8">
        <f>IF(_xlfn.XLOOKUP($B64,'ELC TECH'!$H:$H,'ELC TECH'!$E:$E)="Storage",DI$4*$BF64,"")</f>
        <v>1.1250000000000001E-3</v>
      </c>
    </row>
    <row r="65" spans="2:113" x14ac:dyDescent="0.25">
      <c r="B65" t="str">
        <f>IF('ELC TECH'!I58=0,"*",'ELC TECH'!H58)</f>
        <v>ELCSTGGRDPSH10HC1520</v>
      </c>
      <c r="C65" t="str">
        <f>IF(_xlfn.XLOOKUP(_xlfn.XLOOKUP(B65,'ELC TECH'!$H:$H,'ELC TECH'!$G:$G),List!C:C,List!B:B)="STG",D65,"ELC"&amp;_xlfn.XLOOKUP(_xlfn.XLOOKUP(B65,'ELC TECH'!H:H,'ELC TECH'!G:G),List!C:C,List!B:B))</f>
        <v>CELC</v>
      </c>
      <c r="D65" t="s">
        <v>544</v>
      </c>
      <c r="E65">
        <f>_xlfn.XLOOKUP(B65,'ELC TECH'!H:H,'ELC TECH'!D:D)</f>
        <v>2020</v>
      </c>
      <c r="F65">
        <f>_xlfn.XLOOKUP(B65,'ELC TECH'!H:H,'ELC TECH'!K:K)</f>
        <v>100</v>
      </c>
      <c r="G65">
        <f t="shared" si="5"/>
        <v>31.535999999999998</v>
      </c>
      <c r="H65">
        <f>IF(_xlfn.XLOOKUP(B65,'ELC TECH'!$H:$H,'ELC TECH'!$E:$E)="Storage",0.3,IF(_xlfn.XLOOKUP(B65,'ELC TECH'!$H:$H,'ELC TECH'!$E:$E)="Baseload",0.9,IF(_xlfn.XLOOKUP(B65,'ELC TECH'!$H:$H,'ELC TECH'!$E:$E)="Non Dispatchable",0.05,IF(_xlfn.XLOOKUP(B65,'ELC TECH'!$H:$H,'ELC TECH'!$E:$E)="Dispatchable",0.9,1))))</f>
        <v>0.3</v>
      </c>
      <c r="I65" s="13">
        <f>IF(_xlfn.XLOOKUP(B65,'ELC TECH'!H:H,'ELC TECH'!J:J)="","",_xlfn.XLOOKUP(B65,'ELC TECH'!H:H,'ELC TECH'!J:J))</f>
        <v>0</v>
      </c>
      <c r="J65" s="12" t="str">
        <f>IF(_xlfn.XLOOKUP($B65,'ELC TECH'!$H:$H,'ELC TECH'!$E:$E)="Storage","",IF(_xlfn.XLOOKUP($B65,'ELC TECH'!$H:$H,'ELC TECH'!AK:AK)="",1,_xlfn.XLOOKUP($B65,'ELC TECH'!$H:$H,'ELC TECH'!AK:AK)))</f>
        <v/>
      </c>
      <c r="K65" s="12" t="str">
        <f>IF(_xlfn.XLOOKUP($B65,'ELC TECH'!$H:$H,'ELC TECH'!$E:$E)="Storage","",IF(_xlfn.XLOOKUP($B65,'ELC TECH'!$H:$H,'ELC TECH'!AL:AL)="",1,_xlfn.XLOOKUP($B65,'ELC TECH'!$H:$H,'ELC TECH'!AL:AL)))</f>
        <v/>
      </c>
      <c r="L65" s="12" t="str">
        <f>IF(_xlfn.XLOOKUP($B65,'ELC TECH'!$H:$H,'ELC TECH'!$E:$E)="Storage","",IF(_xlfn.XLOOKUP($B65,'ELC TECH'!$H:$H,'ELC TECH'!AM:AM)="",1,_xlfn.XLOOKUP($B65,'ELC TECH'!$H:$H,'ELC TECH'!AM:AM)))</f>
        <v/>
      </c>
      <c r="M65" s="12" t="str">
        <f>IF(_xlfn.XLOOKUP($B65,'ELC TECH'!$H:$H,'ELC TECH'!$E:$E)="Storage","",IF(_xlfn.XLOOKUP($B65,'ELC TECH'!$H:$H,'ELC TECH'!AN:AN)="",1,_xlfn.XLOOKUP($B65,'ELC TECH'!$H:$H,'ELC TECH'!AN:AN)))</f>
        <v/>
      </c>
      <c r="N65" s="12" t="str">
        <f>IF(_xlfn.XLOOKUP($B65,'ELC TECH'!$H:$H,'ELC TECH'!$E:$E)="Storage","",IF(_xlfn.XLOOKUP($B65,'ELC TECH'!$H:$H,'ELC TECH'!AO:AO)="",1,_xlfn.XLOOKUP($B65,'ELC TECH'!$H:$H,'ELC TECH'!AO:AO)))</f>
        <v/>
      </c>
      <c r="O65" s="12" t="str">
        <f>IF(_xlfn.XLOOKUP($B65,'ELC TECH'!$H:$H,'ELC TECH'!$E:$E)="Storage","",IF(_xlfn.XLOOKUP($B65,'ELC TECH'!$H:$H,'ELC TECH'!AP:AP)="",1,_xlfn.XLOOKUP($B65,'ELC TECH'!$H:$H,'ELC TECH'!AP:AP)))</f>
        <v/>
      </c>
      <c r="P65" s="12" t="str">
        <f>IF(_xlfn.XLOOKUP($B65,'ELC TECH'!$H:$H,'ELC TECH'!$E:$E)="Storage","",IF(_xlfn.XLOOKUP($B65,'ELC TECH'!$H:$H,'ELC TECH'!AQ:AQ)="",1,_xlfn.XLOOKUP($B65,'ELC TECH'!$H:$H,'ELC TECH'!AQ:AQ)))</f>
        <v/>
      </c>
      <c r="Q65" s="12" t="str">
        <f>IF(_xlfn.XLOOKUP($B65,'ELC TECH'!$H:$H,'ELC TECH'!$E:$E)="Storage","",IF(_xlfn.XLOOKUP($B65,'ELC TECH'!$H:$H,'ELC TECH'!AR:AR)="",1,_xlfn.XLOOKUP($B65,'ELC TECH'!$H:$H,'ELC TECH'!AR:AR)))</f>
        <v/>
      </c>
      <c r="R65" s="12">
        <f>IF(_xlfn.XLOOKUP($B65,'ELC TECH'!$H:$H,'ELC TECH'!$E:$E)&lt;&gt;"Storage","",IF(_xlfn.XLOOKUP($B65,'ELC TECH'!$H:$H,'ELC TECH'!AK:AK)="",0.8,_xlfn.XLOOKUP($B65,'ELC TECH'!$H:$H,'ELC TECH'!AK:AK)))</f>
        <v>0.8</v>
      </c>
      <c r="S65" s="12">
        <f>IF(_xlfn.XLOOKUP($B65,'ELC TECH'!$H:$H,'ELC TECH'!$E:$E)&lt;&gt;"Storage","",IF(_xlfn.XLOOKUP($B65,'ELC TECH'!$H:$H,'ELC TECH'!AL:AL)="",0.8,_xlfn.XLOOKUP($B65,'ELC TECH'!$H:$H,'ELC TECH'!AL:AL)))</f>
        <v>0.8</v>
      </c>
      <c r="T65" s="12">
        <f>IF(_xlfn.XLOOKUP($B65,'ELC TECH'!$H:$H,'ELC TECH'!$E:$E)&lt;&gt;"Storage","",IF(_xlfn.XLOOKUP($B65,'ELC TECH'!$H:$H,'ELC TECH'!AM:AM)="",0.8,_xlfn.XLOOKUP($B65,'ELC TECH'!$H:$H,'ELC TECH'!AM:AM)))</f>
        <v>0.8</v>
      </c>
      <c r="U65" s="12">
        <f>IF(_xlfn.XLOOKUP($B65,'ELC TECH'!$H:$H,'ELC TECH'!$E:$E)&lt;&gt;"Storage","",IF(_xlfn.XLOOKUP($B65,'ELC TECH'!$H:$H,'ELC TECH'!AN:AN)="",0.8,_xlfn.XLOOKUP($B65,'ELC TECH'!$H:$H,'ELC TECH'!AN:AN)))</f>
        <v>0.8</v>
      </c>
      <c r="V65" s="12">
        <f>IF(_xlfn.XLOOKUP($B65,'ELC TECH'!$H:$H,'ELC TECH'!$E:$E)&lt;&gt;"Storage","",IF(_xlfn.XLOOKUP($B65,'ELC TECH'!$H:$H,'ELC TECH'!AO:AO)="",0.8,_xlfn.XLOOKUP($B65,'ELC TECH'!$H:$H,'ELC TECH'!AO:AO)))</f>
        <v>0.8</v>
      </c>
      <c r="W65" s="12">
        <f>IF(_xlfn.XLOOKUP($B65,'ELC TECH'!$H:$H,'ELC TECH'!$E:$E)&lt;&gt;"Storage","",IF(_xlfn.XLOOKUP($B65,'ELC TECH'!$H:$H,'ELC TECH'!AP:AP)="",0.8,_xlfn.XLOOKUP($B65,'ELC TECH'!$H:$H,'ELC TECH'!AP:AP)))</f>
        <v>0.8</v>
      </c>
      <c r="X65" s="12">
        <f>IF(_xlfn.XLOOKUP($B65,'ELC TECH'!$H:$H,'ELC TECH'!$E:$E)&lt;&gt;"Storage","",IF(_xlfn.XLOOKUP($B65,'ELC TECH'!$H:$H,'ELC TECH'!AQ:AQ)="",0.8,_xlfn.XLOOKUP($B65,'ELC TECH'!$H:$H,'ELC TECH'!AQ:AQ)))</f>
        <v>0.8</v>
      </c>
      <c r="Y65" s="12">
        <f>IF(_xlfn.XLOOKUP($B65,'ELC TECH'!$H:$H,'ELC TECH'!$E:$E)&lt;&gt;"Storage","",IF(_xlfn.XLOOKUP($B65,'ELC TECH'!$H:$H,'ELC TECH'!AR:AR)="",0.8,_xlfn.XLOOKUP($B65,'ELC TECH'!$H:$H,'ELC TECH'!AR:AR)))</f>
        <v>0.8</v>
      </c>
      <c r="Z65" s="15">
        <f>_xlfn.XLOOKUP($B65,'ELC TECH'!$H:$H,'ELC TECH'!M:M)</f>
        <v>4700.5288106819444</v>
      </c>
      <c r="AA65" s="15">
        <f>_xlfn.XLOOKUP($B65,'ELC TECH'!$H:$H,'ELC TECH'!N:N)</f>
        <v>4700.5288106819444</v>
      </c>
      <c r="AB65" s="15">
        <f>_xlfn.XLOOKUP($B65,'ELC TECH'!$H:$H,'ELC TECH'!O:O)</f>
        <v>4700.5288106819444</v>
      </c>
      <c r="AC65" s="15">
        <f>_xlfn.XLOOKUP($B65,'ELC TECH'!$H:$H,'ELC TECH'!P:P)</f>
        <v>4700.5288106819444</v>
      </c>
      <c r="AD65" s="15">
        <f>_xlfn.XLOOKUP($B65,'ELC TECH'!$H:$H,'ELC TECH'!Q:Q)</f>
        <v>4700.5288106819444</v>
      </c>
      <c r="AE65" s="15">
        <f>_xlfn.XLOOKUP($B65,'ELC TECH'!$H:$H,'ELC TECH'!R:R)</f>
        <v>4700.5288106819444</v>
      </c>
      <c r="AF65" s="15">
        <f>_xlfn.XLOOKUP($B65,'ELC TECH'!$H:$H,'ELC TECH'!S:S)</f>
        <v>4700.5288106819444</v>
      </c>
      <c r="AG65" s="15">
        <f>_xlfn.XLOOKUP($B65,'ELC TECH'!$H:$H,'ELC TECH'!T:T)</f>
        <v>4700.5288106819444</v>
      </c>
      <c r="AH65" s="15">
        <f>_xlfn.XLOOKUP($B65,'ELC TECH'!$H:$H,'ELC TECH'!U:U)</f>
        <v>21.100097091380029</v>
      </c>
      <c r="AI65" s="15">
        <f>_xlfn.XLOOKUP($B65,'ELC TECH'!$H:$H,'ELC TECH'!V:V)</f>
        <v>21.100097091380029</v>
      </c>
      <c r="AJ65" s="15">
        <f>_xlfn.XLOOKUP($B65,'ELC TECH'!$H:$H,'ELC TECH'!W:W)</f>
        <v>21.100097091380029</v>
      </c>
      <c r="AK65" s="15">
        <f>_xlfn.XLOOKUP($B65,'ELC TECH'!$H:$H,'ELC TECH'!X:X)</f>
        <v>21.100097091380029</v>
      </c>
      <c r="AL65" s="15">
        <f>_xlfn.XLOOKUP($B65,'ELC TECH'!$H:$H,'ELC TECH'!Y:Y)</f>
        <v>21.100097091380029</v>
      </c>
      <c r="AM65" s="15">
        <f>_xlfn.XLOOKUP($B65,'ELC TECH'!$H:$H,'ELC TECH'!Z:Z)</f>
        <v>21.100097091380029</v>
      </c>
      <c r="AN65" s="15">
        <f>_xlfn.XLOOKUP($B65,'ELC TECH'!$H:$H,'ELC TECH'!AA:AA)</f>
        <v>21.100097091380029</v>
      </c>
      <c r="AO65" s="15">
        <f>_xlfn.XLOOKUP($B65,'ELC TECH'!$H:$H,'ELC TECH'!AB:AB)</f>
        <v>21.100097091380029</v>
      </c>
      <c r="AP65" s="15">
        <f>_xlfn.XLOOKUP($B65,'ELC TECH'!$H:$H,'ELC TECH'!AC:AC)</f>
        <v>0.1696149283872993</v>
      </c>
      <c r="AQ65" s="15">
        <f>_xlfn.XLOOKUP($B65,'ELC TECH'!$H:$H,'ELC TECH'!AD:AD)</f>
        <v>0.1696149283872993</v>
      </c>
      <c r="AR65" s="15">
        <f>_xlfn.XLOOKUP($B65,'ELC TECH'!$H:$H,'ELC TECH'!AE:AE)</f>
        <v>0.1696149283872993</v>
      </c>
      <c r="AS65" s="15">
        <f>_xlfn.XLOOKUP($B65,'ELC TECH'!$H:$H,'ELC TECH'!AF:AF)</f>
        <v>0.1696149283872993</v>
      </c>
      <c r="AT65" s="15">
        <f>_xlfn.XLOOKUP($B65,'ELC TECH'!$H:$H,'ELC TECH'!AG:AG)</f>
        <v>0.1696149283872993</v>
      </c>
      <c r="AU65" s="15">
        <f>_xlfn.XLOOKUP($B65,'ELC TECH'!$H:$H,'ELC TECH'!AH:AH)</f>
        <v>0.1696149283872993</v>
      </c>
      <c r="AV65" s="15">
        <f>_xlfn.XLOOKUP($B65,'ELC TECH'!$H:$H,'ELC TECH'!AI:AI)</f>
        <v>0.1696149283872993</v>
      </c>
      <c r="AW65" s="15">
        <f>_xlfn.XLOOKUP($B65,'ELC TECH'!$H:$H,'ELC TECH'!AJ:AJ)</f>
        <v>0.1696149283872993</v>
      </c>
      <c r="AX65" s="12" t="str">
        <f>IF(_xlfn.XLOOKUP($B65,'ELC TECH'!$H:$H,'ELC TECH'!$E:$E)="Storage","",_xlfn.XLOOKUP($B65,'ELC TECH'!$H:$H,'ELC TECH'!AS:AS))</f>
        <v/>
      </c>
      <c r="AY65" s="12" t="str">
        <f>IF(_xlfn.XLOOKUP($B65,'ELC TECH'!$H:$H,'ELC TECH'!$E:$E)="Storage","",_xlfn.XLOOKUP($B65,'ELC TECH'!$H:$H,'ELC TECH'!AT:AT))</f>
        <v/>
      </c>
      <c r="AZ65" s="12" t="str">
        <f>IF(_xlfn.XLOOKUP($B65,'ELC TECH'!$H:$H,'ELC TECH'!$E:$E)="Storage","",_xlfn.XLOOKUP($B65,'ELC TECH'!$H:$H,'ELC TECH'!AU:AU))</f>
        <v/>
      </c>
      <c r="BA65" s="12" t="str">
        <f>IF(_xlfn.XLOOKUP($B65,'ELC TECH'!$H:$H,'ELC TECH'!$E:$E)="Storage","",_xlfn.XLOOKUP($B65,'ELC TECH'!$H:$H,'ELC TECH'!AV:AV))</f>
        <v/>
      </c>
      <c r="BB65" s="12" t="str">
        <f>IF(_xlfn.XLOOKUP($B65,'ELC TECH'!$H:$H,'ELC TECH'!$E:$E)="Storage","",_xlfn.XLOOKUP($B65,'ELC TECH'!$H:$H,'ELC TECH'!AW:AW))</f>
        <v/>
      </c>
      <c r="BC65" s="12" t="str">
        <f>IF(_xlfn.XLOOKUP($B65,'ELC TECH'!$H:$H,'ELC TECH'!$E:$E)="Storage","",_xlfn.XLOOKUP($B65,'ELC TECH'!$H:$H,'ELC TECH'!AX:AX))</f>
        <v/>
      </c>
      <c r="BD65" s="12" t="str">
        <f>IF(_xlfn.XLOOKUP($B65,'ELC TECH'!$H:$H,'ELC TECH'!$E:$E)="Storage","",_xlfn.XLOOKUP($B65,'ELC TECH'!$H:$H,'ELC TECH'!AY:AY))</f>
        <v/>
      </c>
      <c r="BE65" s="12" t="str">
        <f>IF(_xlfn.XLOOKUP($B65,'ELC TECH'!$H:$H,'ELC TECH'!$E:$E)="Storage","",_xlfn.XLOOKUP($B65,'ELC TECH'!$H:$H,'ELC TECH'!AZ:AZ))</f>
        <v/>
      </c>
      <c r="BF65" s="12">
        <f>IF(_xlfn.XLOOKUP($B65,'ELC TECH'!$H:$H,'ELC TECH'!$E:$E)="Storage",_xlfn.XLOOKUP($B65,'ELC TECH'!$H:$H,'ELC TECH'!AS:AS),"")</f>
        <v>0.41666666666666669</v>
      </c>
      <c r="BG65" s="12">
        <f>IF(_xlfn.XLOOKUP($B65,'ELC TECH'!$H:$H,'ELC TECH'!$E:$E)="Storage",_xlfn.XLOOKUP($B65,'ELC TECH'!$H:$H,'ELC TECH'!AT:AT),"")</f>
        <v>0.41666666666666669</v>
      </c>
      <c r="BH65" s="12">
        <f>IF(_xlfn.XLOOKUP($B65,'ELC TECH'!$H:$H,'ELC TECH'!$E:$E)="Storage",_xlfn.XLOOKUP($B65,'ELC TECH'!$H:$H,'ELC TECH'!AU:AU),"")</f>
        <v>0.41666666666666669</v>
      </c>
      <c r="BI65" s="12">
        <f>IF(_xlfn.XLOOKUP($B65,'ELC TECH'!$H:$H,'ELC TECH'!$E:$E)="Storage",_xlfn.XLOOKUP($B65,'ELC TECH'!$H:$H,'ELC TECH'!AV:AV),"")</f>
        <v>0.41666666666666669</v>
      </c>
      <c r="BJ65" s="12">
        <f>IF(_xlfn.XLOOKUP($B65,'ELC TECH'!$H:$H,'ELC TECH'!$E:$E)="Storage",_xlfn.XLOOKUP($B65,'ELC TECH'!$H:$H,'ELC TECH'!AW:AW),"")</f>
        <v>0.41666666666666669</v>
      </c>
      <c r="BK65" s="12">
        <f>IF(_xlfn.XLOOKUP($B65,'ELC TECH'!$H:$H,'ELC TECH'!$E:$E)="Storage",_xlfn.XLOOKUP($B65,'ELC TECH'!$H:$H,'ELC TECH'!AX:AX),"")</f>
        <v>0.41666666666666669</v>
      </c>
      <c r="BL65" s="12">
        <f>IF(_xlfn.XLOOKUP($B65,'ELC TECH'!$H:$H,'ELC TECH'!$E:$E)="Storage",_xlfn.XLOOKUP($B65,'ELC TECH'!$H:$H,'ELC TECH'!AY:AY),"")</f>
        <v>0.41666666666666669</v>
      </c>
      <c r="BM65" s="12">
        <f>IF(_xlfn.XLOOKUP($B65,'ELC TECH'!$H:$H,'ELC TECH'!$E:$E)="Storage",_xlfn.XLOOKUP($B65,'ELC TECH'!$H:$H,'ELC TECH'!AZ:AZ),"")</f>
        <v>0.41666666666666669</v>
      </c>
      <c r="BN65" s="8" t="str">
        <f>IF(_xlfn.XLOOKUP($B65,'ELC TECH'!$H:$H,'ELC TECH'!$E:$E)="Non Dispatchable",IFERROR($AX65*_xlfn.XLOOKUP($C65,$BM$1:$BM$3,BN$1:BN$3)/SUMPRODUCT(_xlfn.XLOOKUP($C65,$BM$1:$BM$3,$BN$1:$BY$3),$BN$4:$BY$4),""),
"")</f>
        <v/>
      </c>
      <c r="BO65" s="8" t="str">
        <f>IF(_xlfn.XLOOKUP($B65,'ELC TECH'!$H:$H,'ELC TECH'!$E:$E)="Non Dispatchable",IFERROR($AX65*_xlfn.XLOOKUP($C65,$BM$1:$BM$3,BO$1:BO$3)/SUMPRODUCT(_xlfn.XLOOKUP($C65,$BM$1:$BM$3,$BN$1:$BY$3),$BN$4:$BY$4),""),
"")</f>
        <v/>
      </c>
      <c r="BP65" s="8" t="str">
        <f>IF(_xlfn.XLOOKUP($B65,'ELC TECH'!$H:$H,'ELC TECH'!$E:$E)="Non Dispatchable",IFERROR($AX65*_xlfn.XLOOKUP($C65,$BM$1:$BM$3,BP$1:BP$3)/SUMPRODUCT(_xlfn.XLOOKUP($C65,$BM$1:$BM$3,$BN$1:$BY$3),$BN$4:$BY$4),""),
"")</f>
        <v/>
      </c>
      <c r="BQ65" s="8" t="str">
        <f>IF(_xlfn.XLOOKUP($B65,'ELC TECH'!$H:$H,'ELC TECH'!$E:$E)="Non Dispatchable",IFERROR($AX65*_xlfn.XLOOKUP($C65,$BM$1:$BM$3,BQ$1:BQ$3)/SUMPRODUCT(_xlfn.XLOOKUP($C65,$BM$1:$BM$3,$BN$1:$BY$3),$BN$4:$BY$4),""),
"")</f>
        <v/>
      </c>
      <c r="BR65" s="8" t="str">
        <f>IF(_xlfn.XLOOKUP($B65,'ELC TECH'!$H:$H,'ELC TECH'!$E:$E)="Non Dispatchable",IFERROR($AX65*_xlfn.XLOOKUP($C65,$BM$1:$BM$3,BR$1:BR$3)/SUMPRODUCT(_xlfn.XLOOKUP($C65,$BM$1:$BM$3,$BN$1:$BY$3),$BN$4:$BY$4),""),
"")</f>
        <v/>
      </c>
      <c r="BS65" s="8" t="str">
        <f>IF(_xlfn.XLOOKUP($B65,'ELC TECH'!$H:$H,'ELC TECH'!$E:$E)="Non Dispatchable",IFERROR($AX65*_xlfn.XLOOKUP($C65,$BM$1:$BM$3,BS$1:BS$3)/SUMPRODUCT(_xlfn.XLOOKUP($C65,$BM$1:$BM$3,$BN$1:$BY$3),$BN$4:$BY$4),""),
"")</f>
        <v/>
      </c>
      <c r="BT65" s="8" t="str">
        <f>IF(_xlfn.XLOOKUP($B65,'ELC TECH'!$H:$H,'ELC TECH'!$E:$E)="Non Dispatchable",IFERROR($AX65*_xlfn.XLOOKUP($C65,$BM$1:$BM$3,BT$1:BT$3)/SUMPRODUCT(_xlfn.XLOOKUP($C65,$BM$1:$BM$3,$BN$1:$BY$3),$BN$4:$BY$4),""),
"")</f>
        <v/>
      </c>
      <c r="BU65" s="8" t="str">
        <f>IF(_xlfn.XLOOKUP($B65,'ELC TECH'!$H:$H,'ELC TECH'!$E:$E)="Non Dispatchable",IFERROR($AX65*_xlfn.XLOOKUP($C65,$BM$1:$BM$3,BU$1:BU$3)/SUMPRODUCT(_xlfn.XLOOKUP($C65,$BM$1:$BM$3,$BN$1:$BY$3),$BN$4:$BY$4),""),
"")</f>
        <v/>
      </c>
      <c r="BV65" s="8" t="str">
        <f>IF(_xlfn.XLOOKUP($B65,'ELC TECH'!$H:$H,'ELC TECH'!$E:$E)="Non Dispatchable",IFERROR($AX65*_xlfn.XLOOKUP($C65,$BM$1:$BM$3,BV$1:BV$3)/SUMPRODUCT(_xlfn.XLOOKUP($C65,$BM$1:$BM$3,$BN$1:$BY$3),$BN$4:$BY$4),""),
"")</f>
        <v/>
      </c>
      <c r="BW65" s="8" t="str">
        <f>IF(_xlfn.XLOOKUP($B65,'ELC TECH'!$H:$H,'ELC TECH'!$E:$E)="Non Dispatchable",IFERROR($AX65*_xlfn.XLOOKUP($C65,$BM$1:$BM$3,BW$1:BW$3)/SUMPRODUCT(_xlfn.XLOOKUP($C65,$BM$1:$BM$3,$BN$1:$BY$3),$BN$4:$BY$4),""),
"")</f>
        <v/>
      </c>
      <c r="BX65" s="8" t="str">
        <f>IF(_xlfn.XLOOKUP($B65,'ELC TECH'!$H:$H,'ELC TECH'!$E:$E)="Non Dispatchable",IFERROR($AX65*_xlfn.XLOOKUP($C65,$BM$1:$BM$3,BX$1:BX$3)/SUMPRODUCT(_xlfn.XLOOKUP($C65,$BM$1:$BM$3,$BN$1:$BY$3),$BN$4:$BY$4),""),
"")</f>
        <v/>
      </c>
      <c r="BY65" s="8" t="str">
        <f>IF(_xlfn.XLOOKUP($B65,'ELC TECH'!$H:$H,'ELC TECH'!$E:$E)="Non Dispatchable",IFERROR($AX65*_xlfn.XLOOKUP($C65,$BM$1:$BM$3,BY$1:BY$3)/SUMPRODUCT(_xlfn.XLOOKUP($C65,$BM$1:$BM$3,$BN$1:$BY$3),$BN$4:$BY$4),""),
"")</f>
        <v/>
      </c>
      <c r="BZ65" s="8" t="str">
        <f>IF(_xlfn.XLOOKUP($B65,'ELC TECH'!$H:$H,'ELC TECH'!$E:$E)="Non Dispatchable",IFERROR($AX65*_xlfn.XLOOKUP($C65,$BM$1:$BM$3,BZ$1:BZ$3)/SUMPRODUCT(_xlfn.XLOOKUP($C65,$BM$1:$BM$3,$BN$1:$BY$3),$BN$4:$BY$4),""),
"")</f>
        <v/>
      </c>
      <c r="CA65" s="8" t="str">
        <f>IF(_xlfn.XLOOKUP($B65,'ELC TECH'!$H:$H,'ELC TECH'!$E:$E)="Non Dispatchable",IFERROR($AX65*_xlfn.XLOOKUP($C65,$BM$1:$BM$3,CA$1:CA$3)/SUMPRODUCT(_xlfn.XLOOKUP($C65,$BM$1:$BM$3,$BN$1:$BY$3),$BN$4:$BY$4),""),
"")</f>
        <v/>
      </c>
      <c r="CB65" s="8" t="str">
        <f>IF(_xlfn.XLOOKUP($B65,'ELC TECH'!$H:$H,'ELC TECH'!$E:$E)="Non Dispatchable",IFERROR($AX65*_xlfn.XLOOKUP($C65,$BM$1:$BM$3,CB$1:CB$3)/SUMPRODUCT(_xlfn.XLOOKUP($C65,$BM$1:$BM$3,$BN$1:$BY$3),$BN$4:$BY$4),""),
"")</f>
        <v/>
      </c>
      <c r="CC65" s="8" t="str">
        <f>IF(_xlfn.XLOOKUP($B65,'ELC TECH'!$H:$H,'ELC TECH'!$E:$E)="Non Dispatchable",IFERROR($AX65*_xlfn.XLOOKUP($C65,$BM$1:$BM$3,CC$1:CC$3)/SUMPRODUCT(_xlfn.XLOOKUP($C65,$BM$1:$BM$3,$BN$1:$BY$3),$BN$4:$BY$4),""),
"")</f>
        <v/>
      </c>
      <c r="CD65" s="8" t="str">
        <f>IF(_xlfn.XLOOKUP($B65,'ELC TECH'!$H:$H,'ELC TECH'!$E:$E)="Non Dispatchable",IFERROR($AX65*_xlfn.XLOOKUP($C65,$BM$1:$BM$3,CD$1:CD$3)/SUMPRODUCT(_xlfn.XLOOKUP($C65,$BM$1:$BM$3,$BN$1:$BY$3),$BN$4:$BY$4),""),
"")</f>
        <v/>
      </c>
      <c r="CE65" s="8" t="str">
        <f>IF(_xlfn.XLOOKUP($B65,'ELC TECH'!$H:$H,'ELC TECH'!$E:$E)="Non Dispatchable",IFERROR($AX65*_xlfn.XLOOKUP($C65,$BM$1:$BM$3,CE$1:CE$3)/SUMPRODUCT(_xlfn.XLOOKUP($C65,$BM$1:$BM$3,$BN$1:$BY$3),$BN$4:$BY$4),""),
"")</f>
        <v/>
      </c>
      <c r="CF65" s="8" t="str">
        <f>IF(_xlfn.XLOOKUP($B65,'ELC TECH'!$H:$H,'ELC TECH'!$E:$E)="Non Dispatchable",IFERROR($AX65*_xlfn.XLOOKUP($C65,$BM$1:$BM$3,CF$1:CF$3)/SUMPRODUCT(_xlfn.XLOOKUP($C65,$BM$1:$BM$3,$BN$1:$BY$3),$BN$4:$BY$4),""),
"")</f>
        <v/>
      </c>
      <c r="CG65" s="8" t="str">
        <f>IF(_xlfn.XLOOKUP($B65,'ELC TECH'!$H:$H,'ELC TECH'!$E:$E)="Non Dispatchable",IFERROR($AX65*_xlfn.XLOOKUP($C65,$BM$1:$BM$3,CG$1:CG$3)/SUMPRODUCT(_xlfn.XLOOKUP($C65,$BM$1:$BM$3,$BN$1:$BY$3),$BN$4:$BY$4),""),
"")</f>
        <v/>
      </c>
      <c r="CH65" s="8" t="str">
        <f>IF(_xlfn.XLOOKUP($B65,'ELC TECH'!$H:$H,'ELC TECH'!$E:$E)="Non Dispatchable",IFERROR($AX65*_xlfn.XLOOKUP($C65,$BM$1:$BM$3,CH$1:CH$3)/SUMPRODUCT(_xlfn.XLOOKUP($C65,$BM$1:$BM$3,$BN$1:$BY$3),$BN$4:$BY$4),""),
"")</f>
        <v/>
      </c>
      <c r="CI65" s="8" t="str">
        <f>IF(_xlfn.XLOOKUP($B65,'ELC TECH'!$H:$H,'ELC TECH'!$E:$E)="Non Dispatchable",IFERROR($AX65*_xlfn.XLOOKUP($C65,$BM$1:$BM$3,CI$1:CI$3)/SUMPRODUCT(_xlfn.XLOOKUP($C65,$BM$1:$BM$3,$BN$1:$BY$3),$BN$4:$BY$4),""),
"")</f>
        <v/>
      </c>
      <c r="CJ65" s="8" t="str">
        <f>IF(_xlfn.XLOOKUP($B65,'ELC TECH'!$H:$H,'ELC TECH'!$E:$E)="Non Dispatchable",IFERROR($AX65*_xlfn.XLOOKUP($C65,$BM$1:$BM$3,CJ$1:CJ$3)/SUMPRODUCT(_xlfn.XLOOKUP($C65,$BM$1:$BM$3,$BN$1:$BY$3),$BN$4:$BY$4),""),
"")</f>
        <v/>
      </c>
      <c r="CK65" s="8" t="str">
        <f>IF(_xlfn.XLOOKUP($B65,'ELC TECH'!$H:$H,'ELC TECH'!$E:$E)="Non Dispatchable",IFERROR($AX65*_xlfn.XLOOKUP($C65,$BM$1:$BM$3,CK$1:CK$3)/SUMPRODUCT(_xlfn.XLOOKUP($C65,$BM$1:$BM$3,$BN$1:$BY$3),$BN$4:$BY$4),""),
"")</f>
        <v/>
      </c>
      <c r="CL65" s="8">
        <f>IF(_xlfn.XLOOKUP($B65,'ELC TECH'!$H:$H,'ELC TECH'!$E:$E)="Storage",CL$4*$BF65,"")</f>
        <v>3.4250000000000003E-2</v>
      </c>
      <c r="CM65" s="8">
        <f>IF(_xlfn.XLOOKUP($B65,'ELC TECH'!$H:$H,'ELC TECH'!$E:$E)="Storage",CM$4*$BF65,"")</f>
        <v>3.9875000000000001E-2</v>
      </c>
      <c r="CN65" s="8">
        <f>IF(_xlfn.XLOOKUP($B65,'ELC TECH'!$H:$H,'ELC TECH'!$E:$E)="Storage",CN$4*$BF65,"")</f>
        <v>6.3833333333333339E-2</v>
      </c>
      <c r="CO65" s="8">
        <f>IF(_xlfn.XLOOKUP($B65,'ELC TECH'!$H:$H,'ELC TECH'!$E:$E)="Storage",CO$4*$BF65,"")</f>
        <v>1.3333333333333335E-3</v>
      </c>
      <c r="CP65" s="8">
        <f>IF(_xlfn.XLOOKUP($B65,'ELC TECH'!$H:$H,'ELC TECH'!$E:$E)="Storage",CP$4*$BF65,"")</f>
        <v>3.3958333333333333E-2</v>
      </c>
      <c r="CQ65" s="8">
        <f>IF(_xlfn.XLOOKUP($B65,'ELC TECH'!$H:$H,'ELC TECH'!$E:$E)="Storage",CQ$4*$BF65,"")</f>
        <v>4.5291666666666668E-2</v>
      </c>
      <c r="CR65" s="8">
        <f>IF(_xlfn.XLOOKUP($B65,'ELC TECH'!$H:$H,'ELC TECH'!$E:$E)="Storage",CR$4*$BF65,"")</f>
        <v>5.7541666666666672E-2</v>
      </c>
      <c r="CS65" s="8">
        <f>IF(_xlfn.XLOOKUP($B65,'ELC TECH'!$H:$H,'ELC TECH'!$E:$E)="Storage",CS$4*$BF65,"")</f>
        <v>1.3333333333333335E-3</v>
      </c>
      <c r="CT65" s="8">
        <f>IF(_xlfn.XLOOKUP($B65,'ELC TECH'!$H:$H,'ELC TECH'!$E:$E)="Storage",CT$4*$BF65,"")</f>
        <v>4.0625000000000001E-2</v>
      </c>
      <c r="CU65" s="8">
        <f>IF(_xlfn.XLOOKUP($B65,'ELC TECH'!$H:$H,'ELC TECH'!$E:$E)="Storage",CU$4*$BF65,"")</f>
        <v>4.5291666666666668E-2</v>
      </c>
      <c r="CV65" s="8">
        <f>IF(_xlfn.XLOOKUP($B65,'ELC TECH'!$H:$H,'ELC TECH'!$E:$E)="Storage",CV$4*$BF65,"")</f>
        <v>5.2208333333333336E-2</v>
      </c>
      <c r="CW65" s="8">
        <f>IF(_xlfn.XLOOKUP($B65,'ELC TECH'!$H:$H,'ELC TECH'!$E:$E)="Storage",CW$4*$BF65,"")</f>
        <v>1.1250000000000001E-3</v>
      </c>
      <c r="CX65" s="8">
        <f>IF(_xlfn.XLOOKUP($B65,'ELC TECH'!$H:$H,'ELC TECH'!$E:$E)="Storage",CX$4*$BF65,"")</f>
        <v>3.4250000000000003E-2</v>
      </c>
      <c r="CY65" s="8">
        <f>IF(_xlfn.XLOOKUP($B65,'ELC TECH'!$H:$H,'ELC TECH'!$E:$E)="Storage",CY$4*$BF65,"")</f>
        <v>3.9875000000000001E-2</v>
      </c>
      <c r="CZ65" s="8">
        <f>IF(_xlfn.XLOOKUP($B65,'ELC TECH'!$H:$H,'ELC TECH'!$E:$E)="Storage",CZ$4*$BF65,"")</f>
        <v>6.3833333333333339E-2</v>
      </c>
      <c r="DA65" s="8">
        <f>IF(_xlfn.XLOOKUP($B65,'ELC TECH'!$H:$H,'ELC TECH'!$E:$E)="Storage",DA$4*$BF65,"")</f>
        <v>1.3333333333333335E-3</v>
      </c>
      <c r="DB65" s="8">
        <f>IF(_xlfn.XLOOKUP($B65,'ELC TECH'!$H:$H,'ELC TECH'!$E:$E)="Storage",DB$4*$BF65,"")</f>
        <v>3.3958333333333333E-2</v>
      </c>
      <c r="DC65" s="8">
        <f>IF(_xlfn.XLOOKUP($B65,'ELC TECH'!$H:$H,'ELC TECH'!$E:$E)="Storage",DC$4*$BF65,"")</f>
        <v>4.5291666666666668E-2</v>
      </c>
      <c r="DD65" s="8">
        <f>IF(_xlfn.XLOOKUP($B65,'ELC TECH'!$H:$H,'ELC TECH'!$E:$E)="Storage",DD$4*$BF65,"")</f>
        <v>5.7541666666666672E-2</v>
      </c>
      <c r="DE65" s="8">
        <f>IF(_xlfn.XLOOKUP($B65,'ELC TECH'!$H:$H,'ELC TECH'!$E:$E)="Storage",DE$4*$BF65,"")</f>
        <v>1.3333333333333335E-3</v>
      </c>
      <c r="DF65" s="8">
        <f>IF(_xlfn.XLOOKUP($B65,'ELC TECH'!$H:$H,'ELC TECH'!$E:$E)="Storage",DF$4*$BF65,"")</f>
        <v>4.0625000000000001E-2</v>
      </c>
      <c r="DG65" s="8">
        <f>IF(_xlfn.XLOOKUP($B65,'ELC TECH'!$H:$H,'ELC TECH'!$E:$E)="Storage",DG$4*$BF65,"")</f>
        <v>4.5291666666666668E-2</v>
      </c>
      <c r="DH65" s="8">
        <f>IF(_xlfn.XLOOKUP($B65,'ELC TECH'!$H:$H,'ELC TECH'!$E:$E)="Storage",DH$4*$BF65,"")</f>
        <v>5.2208333333333336E-2</v>
      </c>
      <c r="DI65" s="8">
        <f>IF(_xlfn.XLOOKUP($B65,'ELC TECH'!$H:$H,'ELC TECH'!$E:$E)="Storage",DI$4*$BF65,"")</f>
        <v>1.1250000000000001E-3</v>
      </c>
    </row>
    <row r="66" spans="2:113" x14ac:dyDescent="0.25">
      <c r="B66" t="str">
        <f>IF('ELC TECH'!I59=0,"*",'ELC TECH'!H59)</f>
        <v>ELCSTGGRDPSH8HC120</v>
      </c>
      <c r="C66" t="str">
        <f>IF(_xlfn.XLOOKUP(_xlfn.XLOOKUP(B66,'ELC TECH'!$H:$H,'ELC TECH'!$G:$G),List!C:C,List!B:B)="STG",D66,"ELC"&amp;_xlfn.XLOOKUP(_xlfn.XLOOKUP(B66,'ELC TECH'!H:H,'ELC TECH'!G:G),List!C:C,List!B:B))</f>
        <v>CELC</v>
      </c>
      <c r="D66" t="s">
        <v>544</v>
      </c>
      <c r="E66">
        <f>_xlfn.XLOOKUP(B66,'ELC TECH'!H:H,'ELC TECH'!D:D)</f>
        <v>2020</v>
      </c>
      <c r="F66">
        <f>_xlfn.XLOOKUP(B66,'ELC TECH'!H:H,'ELC TECH'!K:K)</f>
        <v>100</v>
      </c>
      <c r="G66">
        <f t="shared" si="5"/>
        <v>31.535999999999998</v>
      </c>
      <c r="H66">
        <f>IF(_xlfn.XLOOKUP(B66,'ELC TECH'!$H:$H,'ELC TECH'!$E:$E)="Storage",0.3,IF(_xlfn.XLOOKUP(B66,'ELC TECH'!$H:$H,'ELC TECH'!$E:$E)="Baseload",0.9,IF(_xlfn.XLOOKUP(B66,'ELC TECH'!$H:$H,'ELC TECH'!$E:$E)="Non Dispatchable",0.05,IF(_xlfn.XLOOKUP(B66,'ELC TECH'!$H:$H,'ELC TECH'!$E:$E)="Dispatchable",0.9,1))))</f>
        <v>0.3</v>
      </c>
      <c r="I66" s="13">
        <f>IF(_xlfn.XLOOKUP(B66,'ELC TECH'!H:H,'ELC TECH'!J:J)="","",_xlfn.XLOOKUP(B66,'ELC TECH'!H:H,'ELC TECH'!J:J))</f>
        <v>0</v>
      </c>
      <c r="J66" s="12" t="str">
        <f>IF(_xlfn.XLOOKUP($B66,'ELC TECH'!$H:$H,'ELC TECH'!$E:$E)="Storage","",IF(_xlfn.XLOOKUP($B66,'ELC TECH'!$H:$H,'ELC TECH'!AK:AK)="",1,_xlfn.XLOOKUP($B66,'ELC TECH'!$H:$H,'ELC TECH'!AK:AK)))</f>
        <v/>
      </c>
      <c r="K66" s="12" t="str">
        <f>IF(_xlfn.XLOOKUP($B66,'ELC TECH'!$H:$H,'ELC TECH'!$E:$E)="Storage","",IF(_xlfn.XLOOKUP($B66,'ELC TECH'!$H:$H,'ELC TECH'!AL:AL)="",1,_xlfn.XLOOKUP($B66,'ELC TECH'!$H:$H,'ELC TECH'!AL:AL)))</f>
        <v/>
      </c>
      <c r="L66" s="12" t="str">
        <f>IF(_xlfn.XLOOKUP($B66,'ELC TECH'!$H:$H,'ELC TECH'!$E:$E)="Storage","",IF(_xlfn.XLOOKUP($B66,'ELC TECH'!$H:$H,'ELC TECH'!AM:AM)="",1,_xlfn.XLOOKUP($B66,'ELC TECH'!$H:$H,'ELC TECH'!AM:AM)))</f>
        <v/>
      </c>
      <c r="M66" s="12" t="str">
        <f>IF(_xlfn.XLOOKUP($B66,'ELC TECH'!$H:$H,'ELC TECH'!$E:$E)="Storage","",IF(_xlfn.XLOOKUP($B66,'ELC TECH'!$H:$H,'ELC TECH'!AN:AN)="",1,_xlfn.XLOOKUP($B66,'ELC TECH'!$H:$H,'ELC TECH'!AN:AN)))</f>
        <v/>
      </c>
      <c r="N66" s="12" t="str">
        <f>IF(_xlfn.XLOOKUP($B66,'ELC TECH'!$H:$H,'ELC TECH'!$E:$E)="Storage","",IF(_xlfn.XLOOKUP($B66,'ELC TECH'!$H:$H,'ELC TECH'!AO:AO)="",1,_xlfn.XLOOKUP($B66,'ELC TECH'!$H:$H,'ELC TECH'!AO:AO)))</f>
        <v/>
      </c>
      <c r="O66" s="12" t="str">
        <f>IF(_xlfn.XLOOKUP($B66,'ELC TECH'!$H:$H,'ELC TECH'!$E:$E)="Storage","",IF(_xlfn.XLOOKUP($B66,'ELC TECH'!$H:$H,'ELC TECH'!AP:AP)="",1,_xlfn.XLOOKUP($B66,'ELC TECH'!$H:$H,'ELC TECH'!AP:AP)))</f>
        <v/>
      </c>
      <c r="P66" s="12" t="str">
        <f>IF(_xlfn.XLOOKUP($B66,'ELC TECH'!$H:$H,'ELC TECH'!$E:$E)="Storage","",IF(_xlfn.XLOOKUP($B66,'ELC TECH'!$H:$H,'ELC TECH'!AQ:AQ)="",1,_xlfn.XLOOKUP($B66,'ELC TECH'!$H:$H,'ELC TECH'!AQ:AQ)))</f>
        <v/>
      </c>
      <c r="Q66" s="12" t="str">
        <f>IF(_xlfn.XLOOKUP($B66,'ELC TECH'!$H:$H,'ELC TECH'!$E:$E)="Storage","",IF(_xlfn.XLOOKUP($B66,'ELC TECH'!$H:$H,'ELC TECH'!AR:AR)="",1,_xlfn.XLOOKUP($B66,'ELC TECH'!$H:$H,'ELC TECH'!AR:AR)))</f>
        <v/>
      </c>
      <c r="R66" s="12">
        <f>IF(_xlfn.XLOOKUP($B66,'ELC TECH'!$H:$H,'ELC TECH'!$E:$E)&lt;&gt;"Storage","",IF(_xlfn.XLOOKUP($B66,'ELC TECH'!$H:$H,'ELC TECH'!AK:AK)="",0.8,_xlfn.XLOOKUP($B66,'ELC TECH'!$H:$H,'ELC TECH'!AK:AK)))</f>
        <v>0.8</v>
      </c>
      <c r="S66" s="12">
        <f>IF(_xlfn.XLOOKUP($B66,'ELC TECH'!$H:$H,'ELC TECH'!$E:$E)&lt;&gt;"Storage","",IF(_xlfn.XLOOKUP($B66,'ELC TECH'!$H:$H,'ELC TECH'!AL:AL)="",0.8,_xlfn.XLOOKUP($B66,'ELC TECH'!$H:$H,'ELC TECH'!AL:AL)))</f>
        <v>0.8</v>
      </c>
      <c r="T66" s="12">
        <f>IF(_xlfn.XLOOKUP($B66,'ELC TECH'!$H:$H,'ELC TECH'!$E:$E)&lt;&gt;"Storage","",IF(_xlfn.XLOOKUP($B66,'ELC TECH'!$H:$H,'ELC TECH'!AM:AM)="",0.8,_xlfn.XLOOKUP($B66,'ELC TECH'!$H:$H,'ELC TECH'!AM:AM)))</f>
        <v>0.8</v>
      </c>
      <c r="U66" s="12">
        <f>IF(_xlfn.XLOOKUP($B66,'ELC TECH'!$H:$H,'ELC TECH'!$E:$E)&lt;&gt;"Storage","",IF(_xlfn.XLOOKUP($B66,'ELC TECH'!$H:$H,'ELC TECH'!AN:AN)="",0.8,_xlfn.XLOOKUP($B66,'ELC TECH'!$H:$H,'ELC TECH'!AN:AN)))</f>
        <v>0.8</v>
      </c>
      <c r="V66" s="12">
        <f>IF(_xlfn.XLOOKUP($B66,'ELC TECH'!$H:$H,'ELC TECH'!$E:$E)&lt;&gt;"Storage","",IF(_xlfn.XLOOKUP($B66,'ELC TECH'!$H:$H,'ELC TECH'!AO:AO)="",0.8,_xlfn.XLOOKUP($B66,'ELC TECH'!$H:$H,'ELC TECH'!AO:AO)))</f>
        <v>0.8</v>
      </c>
      <c r="W66" s="12">
        <f>IF(_xlfn.XLOOKUP($B66,'ELC TECH'!$H:$H,'ELC TECH'!$E:$E)&lt;&gt;"Storage","",IF(_xlfn.XLOOKUP($B66,'ELC TECH'!$H:$H,'ELC TECH'!AP:AP)="",0.8,_xlfn.XLOOKUP($B66,'ELC TECH'!$H:$H,'ELC TECH'!AP:AP)))</f>
        <v>0.8</v>
      </c>
      <c r="X66" s="12">
        <f>IF(_xlfn.XLOOKUP($B66,'ELC TECH'!$H:$H,'ELC TECH'!$E:$E)&lt;&gt;"Storage","",IF(_xlfn.XLOOKUP($B66,'ELC TECH'!$H:$H,'ELC TECH'!AQ:AQ)="",0.8,_xlfn.XLOOKUP($B66,'ELC TECH'!$H:$H,'ELC TECH'!AQ:AQ)))</f>
        <v>0.8</v>
      </c>
      <c r="Y66" s="12">
        <f>IF(_xlfn.XLOOKUP($B66,'ELC TECH'!$H:$H,'ELC TECH'!$E:$E)&lt;&gt;"Storage","",IF(_xlfn.XLOOKUP($B66,'ELC TECH'!$H:$H,'ELC TECH'!AR:AR)="",0.8,_xlfn.XLOOKUP($B66,'ELC TECH'!$H:$H,'ELC TECH'!AR:AR)))</f>
        <v>0.8</v>
      </c>
      <c r="Z66" s="15">
        <f>_xlfn.XLOOKUP($B66,'ELC TECH'!$H:$H,'ELC TECH'!M:M)</f>
        <v>2385.0937819360602</v>
      </c>
      <c r="AA66" s="15">
        <f>_xlfn.XLOOKUP($B66,'ELC TECH'!$H:$H,'ELC TECH'!N:N)</f>
        <v>2385.0937819360602</v>
      </c>
      <c r="AB66" s="15">
        <f>_xlfn.XLOOKUP($B66,'ELC TECH'!$H:$H,'ELC TECH'!O:O)</f>
        <v>2385.0937819360602</v>
      </c>
      <c r="AC66" s="15">
        <f>_xlfn.XLOOKUP($B66,'ELC TECH'!$H:$H,'ELC TECH'!P:P)</f>
        <v>2385.0937819360602</v>
      </c>
      <c r="AD66" s="15">
        <f>_xlfn.XLOOKUP($B66,'ELC TECH'!$H:$H,'ELC TECH'!Q:Q)</f>
        <v>2385.0937819360602</v>
      </c>
      <c r="AE66" s="15">
        <f>_xlfn.XLOOKUP($B66,'ELC TECH'!$H:$H,'ELC TECH'!R:R)</f>
        <v>2385.0937819360602</v>
      </c>
      <c r="AF66" s="15">
        <f>_xlfn.XLOOKUP($B66,'ELC TECH'!$H:$H,'ELC TECH'!S:S)</f>
        <v>2385.0937819360602</v>
      </c>
      <c r="AG66" s="15">
        <f>_xlfn.XLOOKUP($B66,'ELC TECH'!$H:$H,'ELC TECH'!T:T)</f>
        <v>2385.0937819360602</v>
      </c>
      <c r="AH66" s="15">
        <f>_xlfn.XLOOKUP($B66,'ELC TECH'!$H:$H,'ELC TECH'!U:U)</f>
        <v>21.100097091380029</v>
      </c>
      <c r="AI66" s="15">
        <f>_xlfn.XLOOKUP($B66,'ELC TECH'!$H:$H,'ELC TECH'!V:V)</f>
        <v>21.100097091380029</v>
      </c>
      <c r="AJ66" s="15">
        <f>_xlfn.XLOOKUP($B66,'ELC TECH'!$H:$H,'ELC TECH'!W:W)</f>
        <v>21.100097091380029</v>
      </c>
      <c r="AK66" s="15">
        <f>_xlfn.XLOOKUP($B66,'ELC TECH'!$H:$H,'ELC TECH'!X:X)</f>
        <v>21.100097091380029</v>
      </c>
      <c r="AL66" s="15">
        <f>_xlfn.XLOOKUP($B66,'ELC TECH'!$H:$H,'ELC TECH'!Y:Y)</f>
        <v>21.100097091380029</v>
      </c>
      <c r="AM66" s="15">
        <f>_xlfn.XLOOKUP($B66,'ELC TECH'!$H:$H,'ELC TECH'!Z:Z)</f>
        <v>21.100097091380029</v>
      </c>
      <c r="AN66" s="15">
        <f>_xlfn.XLOOKUP($B66,'ELC TECH'!$H:$H,'ELC TECH'!AA:AA)</f>
        <v>21.100097091380029</v>
      </c>
      <c r="AO66" s="15">
        <f>_xlfn.XLOOKUP($B66,'ELC TECH'!$H:$H,'ELC TECH'!AB:AB)</f>
        <v>21.100097091380029</v>
      </c>
      <c r="AP66" s="15">
        <f>_xlfn.XLOOKUP($B66,'ELC TECH'!$H:$H,'ELC TECH'!AC:AC)</f>
        <v>0.1696149283872993</v>
      </c>
      <c r="AQ66" s="15">
        <f>_xlfn.XLOOKUP($B66,'ELC TECH'!$H:$H,'ELC TECH'!AD:AD)</f>
        <v>0.1696149283872993</v>
      </c>
      <c r="AR66" s="15">
        <f>_xlfn.XLOOKUP($B66,'ELC TECH'!$H:$H,'ELC TECH'!AE:AE)</f>
        <v>0.1696149283872993</v>
      </c>
      <c r="AS66" s="15">
        <f>_xlfn.XLOOKUP($B66,'ELC TECH'!$H:$H,'ELC TECH'!AF:AF)</f>
        <v>0.1696149283872993</v>
      </c>
      <c r="AT66" s="15">
        <f>_xlfn.XLOOKUP($B66,'ELC TECH'!$H:$H,'ELC TECH'!AG:AG)</f>
        <v>0.1696149283872993</v>
      </c>
      <c r="AU66" s="15">
        <f>_xlfn.XLOOKUP($B66,'ELC TECH'!$H:$H,'ELC TECH'!AH:AH)</f>
        <v>0.1696149283872993</v>
      </c>
      <c r="AV66" s="15">
        <f>_xlfn.XLOOKUP($B66,'ELC TECH'!$H:$H,'ELC TECH'!AI:AI)</f>
        <v>0.1696149283872993</v>
      </c>
      <c r="AW66" s="15">
        <f>_xlfn.XLOOKUP($B66,'ELC TECH'!$H:$H,'ELC TECH'!AJ:AJ)</f>
        <v>0.1696149283872993</v>
      </c>
      <c r="AX66" s="12" t="str">
        <f>IF(_xlfn.XLOOKUP($B66,'ELC TECH'!$H:$H,'ELC TECH'!$E:$E)="Storage","",_xlfn.XLOOKUP($B66,'ELC TECH'!$H:$H,'ELC TECH'!AS:AS))</f>
        <v/>
      </c>
      <c r="AY66" s="12" t="str">
        <f>IF(_xlfn.XLOOKUP($B66,'ELC TECH'!$H:$H,'ELC TECH'!$E:$E)="Storage","",_xlfn.XLOOKUP($B66,'ELC TECH'!$H:$H,'ELC TECH'!AT:AT))</f>
        <v/>
      </c>
      <c r="AZ66" s="12" t="str">
        <f>IF(_xlfn.XLOOKUP($B66,'ELC TECH'!$H:$H,'ELC TECH'!$E:$E)="Storage","",_xlfn.XLOOKUP($B66,'ELC TECH'!$H:$H,'ELC TECH'!AU:AU))</f>
        <v/>
      </c>
      <c r="BA66" s="12" t="str">
        <f>IF(_xlfn.XLOOKUP($B66,'ELC TECH'!$H:$H,'ELC TECH'!$E:$E)="Storage","",_xlfn.XLOOKUP($B66,'ELC TECH'!$H:$H,'ELC TECH'!AV:AV))</f>
        <v/>
      </c>
      <c r="BB66" s="12" t="str">
        <f>IF(_xlfn.XLOOKUP($B66,'ELC TECH'!$H:$H,'ELC TECH'!$E:$E)="Storage","",_xlfn.XLOOKUP($B66,'ELC TECH'!$H:$H,'ELC TECH'!AW:AW))</f>
        <v/>
      </c>
      <c r="BC66" s="12" t="str">
        <f>IF(_xlfn.XLOOKUP($B66,'ELC TECH'!$H:$H,'ELC TECH'!$E:$E)="Storage","",_xlfn.XLOOKUP($B66,'ELC TECH'!$H:$H,'ELC TECH'!AX:AX))</f>
        <v/>
      </c>
      <c r="BD66" s="12" t="str">
        <f>IF(_xlfn.XLOOKUP($B66,'ELC TECH'!$H:$H,'ELC TECH'!$E:$E)="Storage","",_xlfn.XLOOKUP($B66,'ELC TECH'!$H:$H,'ELC TECH'!AY:AY))</f>
        <v/>
      </c>
      <c r="BE66" s="12" t="str">
        <f>IF(_xlfn.XLOOKUP($B66,'ELC TECH'!$H:$H,'ELC TECH'!$E:$E)="Storage","",_xlfn.XLOOKUP($B66,'ELC TECH'!$H:$H,'ELC TECH'!AZ:AZ))</f>
        <v/>
      </c>
      <c r="BF66" s="12">
        <f>IF(_xlfn.XLOOKUP($B66,'ELC TECH'!$H:$H,'ELC TECH'!$E:$E)="Storage",_xlfn.XLOOKUP($B66,'ELC TECH'!$H:$H,'ELC TECH'!AS:AS),"")</f>
        <v>0.33333333333333331</v>
      </c>
      <c r="BG66" s="12">
        <f>IF(_xlfn.XLOOKUP($B66,'ELC TECH'!$H:$H,'ELC TECH'!$E:$E)="Storage",_xlfn.XLOOKUP($B66,'ELC TECH'!$H:$H,'ELC TECH'!AT:AT),"")</f>
        <v>0.33333333333333331</v>
      </c>
      <c r="BH66" s="12">
        <f>IF(_xlfn.XLOOKUP($B66,'ELC TECH'!$H:$H,'ELC TECH'!$E:$E)="Storage",_xlfn.XLOOKUP($B66,'ELC TECH'!$H:$H,'ELC TECH'!AU:AU),"")</f>
        <v>0.33333333333333331</v>
      </c>
      <c r="BI66" s="12">
        <f>IF(_xlfn.XLOOKUP($B66,'ELC TECH'!$H:$H,'ELC TECH'!$E:$E)="Storage",_xlfn.XLOOKUP($B66,'ELC TECH'!$H:$H,'ELC TECH'!AV:AV),"")</f>
        <v>0.33333333333333331</v>
      </c>
      <c r="BJ66" s="12">
        <f>IF(_xlfn.XLOOKUP($B66,'ELC TECH'!$H:$H,'ELC TECH'!$E:$E)="Storage",_xlfn.XLOOKUP($B66,'ELC TECH'!$H:$H,'ELC TECH'!AW:AW),"")</f>
        <v>0.33333333333333331</v>
      </c>
      <c r="BK66" s="12">
        <f>IF(_xlfn.XLOOKUP($B66,'ELC TECH'!$H:$H,'ELC TECH'!$E:$E)="Storage",_xlfn.XLOOKUP($B66,'ELC TECH'!$H:$H,'ELC TECH'!AX:AX),"")</f>
        <v>0.33333333333333331</v>
      </c>
      <c r="BL66" s="12">
        <f>IF(_xlfn.XLOOKUP($B66,'ELC TECH'!$H:$H,'ELC TECH'!$E:$E)="Storage",_xlfn.XLOOKUP($B66,'ELC TECH'!$H:$H,'ELC TECH'!AY:AY),"")</f>
        <v>0.33333333333333331</v>
      </c>
      <c r="BM66" s="12">
        <f>IF(_xlfn.XLOOKUP($B66,'ELC TECH'!$H:$H,'ELC TECH'!$E:$E)="Storage",_xlfn.XLOOKUP($B66,'ELC TECH'!$H:$H,'ELC TECH'!AZ:AZ),"")</f>
        <v>0.33333333333333331</v>
      </c>
      <c r="BN66" s="8" t="str">
        <f>IF(_xlfn.XLOOKUP($B66,'ELC TECH'!$H:$H,'ELC TECH'!$E:$E)="Non Dispatchable",IFERROR($AX66*_xlfn.XLOOKUP($C66,$BM$1:$BM$3,BN$1:BN$3)/SUMPRODUCT(_xlfn.XLOOKUP($C66,$BM$1:$BM$3,$BN$1:$BY$3),$BN$4:$BY$4),""),
"")</f>
        <v/>
      </c>
      <c r="BO66" s="8" t="str">
        <f>IF(_xlfn.XLOOKUP($B66,'ELC TECH'!$H:$H,'ELC TECH'!$E:$E)="Non Dispatchable",IFERROR($AX66*_xlfn.XLOOKUP($C66,$BM$1:$BM$3,BO$1:BO$3)/SUMPRODUCT(_xlfn.XLOOKUP($C66,$BM$1:$BM$3,$BN$1:$BY$3),$BN$4:$BY$4),""),
"")</f>
        <v/>
      </c>
      <c r="BP66" s="8" t="str">
        <f>IF(_xlfn.XLOOKUP($B66,'ELC TECH'!$H:$H,'ELC TECH'!$E:$E)="Non Dispatchable",IFERROR($AX66*_xlfn.XLOOKUP($C66,$BM$1:$BM$3,BP$1:BP$3)/SUMPRODUCT(_xlfn.XLOOKUP($C66,$BM$1:$BM$3,$BN$1:$BY$3),$BN$4:$BY$4),""),
"")</f>
        <v/>
      </c>
      <c r="BQ66" s="8" t="str">
        <f>IF(_xlfn.XLOOKUP($B66,'ELC TECH'!$H:$H,'ELC TECH'!$E:$E)="Non Dispatchable",IFERROR($AX66*_xlfn.XLOOKUP($C66,$BM$1:$BM$3,BQ$1:BQ$3)/SUMPRODUCT(_xlfn.XLOOKUP($C66,$BM$1:$BM$3,$BN$1:$BY$3),$BN$4:$BY$4),""),
"")</f>
        <v/>
      </c>
      <c r="BR66" s="8" t="str">
        <f>IF(_xlfn.XLOOKUP($B66,'ELC TECH'!$H:$H,'ELC TECH'!$E:$E)="Non Dispatchable",IFERROR($AX66*_xlfn.XLOOKUP($C66,$BM$1:$BM$3,BR$1:BR$3)/SUMPRODUCT(_xlfn.XLOOKUP($C66,$BM$1:$BM$3,$BN$1:$BY$3),$BN$4:$BY$4),""),
"")</f>
        <v/>
      </c>
      <c r="BS66" s="8" t="str">
        <f>IF(_xlfn.XLOOKUP($B66,'ELC TECH'!$H:$H,'ELC TECH'!$E:$E)="Non Dispatchable",IFERROR($AX66*_xlfn.XLOOKUP($C66,$BM$1:$BM$3,BS$1:BS$3)/SUMPRODUCT(_xlfn.XLOOKUP($C66,$BM$1:$BM$3,$BN$1:$BY$3),$BN$4:$BY$4),""),
"")</f>
        <v/>
      </c>
      <c r="BT66" s="8" t="str">
        <f>IF(_xlfn.XLOOKUP($B66,'ELC TECH'!$H:$H,'ELC TECH'!$E:$E)="Non Dispatchable",IFERROR($AX66*_xlfn.XLOOKUP($C66,$BM$1:$BM$3,BT$1:BT$3)/SUMPRODUCT(_xlfn.XLOOKUP($C66,$BM$1:$BM$3,$BN$1:$BY$3),$BN$4:$BY$4),""),
"")</f>
        <v/>
      </c>
      <c r="BU66" s="8" t="str">
        <f>IF(_xlfn.XLOOKUP($B66,'ELC TECH'!$H:$H,'ELC TECH'!$E:$E)="Non Dispatchable",IFERROR($AX66*_xlfn.XLOOKUP($C66,$BM$1:$BM$3,BU$1:BU$3)/SUMPRODUCT(_xlfn.XLOOKUP($C66,$BM$1:$BM$3,$BN$1:$BY$3),$BN$4:$BY$4),""),
"")</f>
        <v/>
      </c>
      <c r="BV66" s="8" t="str">
        <f>IF(_xlfn.XLOOKUP($B66,'ELC TECH'!$H:$H,'ELC TECH'!$E:$E)="Non Dispatchable",IFERROR($AX66*_xlfn.XLOOKUP($C66,$BM$1:$BM$3,BV$1:BV$3)/SUMPRODUCT(_xlfn.XLOOKUP($C66,$BM$1:$BM$3,$BN$1:$BY$3),$BN$4:$BY$4),""),
"")</f>
        <v/>
      </c>
      <c r="BW66" s="8" t="str">
        <f>IF(_xlfn.XLOOKUP($B66,'ELC TECH'!$H:$H,'ELC TECH'!$E:$E)="Non Dispatchable",IFERROR($AX66*_xlfn.XLOOKUP($C66,$BM$1:$BM$3,BW$1:BW$3)/SUMPRODUCT(_xlfn.XLOOKUP($C66,$BM$1:$BM$3,$BN$1:$BY$3),$BN$4:$BY$4),""),
"")</f>
        <v/>
      </c>
      <c r="BX66" s="8" t="str">
        <f>IF(_xlfn.XLOOKUP($B66,'ELC TECH'!$H:$H,'ELC TECH'!$E:$E)="Non Dispatchable",IFERROR($AX66*_xlfn.XLOOKUP($C66,$BM$1:$BM$3,BX$1:BX$3)/SUMPRODUCT(_xlfn.XLOOKUP($C66,$BM$1:$BM$3,$BN$1:$BY$3),$BN$4:$BY$4),""),
"")</f>
        <v/>
      </c>
      <c r="BY66" s="8" t="str">
        <f>IF(_xlfn.XLOOKUP($B66,'ELC TECH'!$H:$H,'ELC TECH'!$E:$E)="Non Dispatchable",IFERROR($AX66*_xlfn.XLOOKUP($C66,$BM$1:$BM$3,BY$1:BY$3)/SUMPRODUCT(_xlfn.XLOOKUP($C66,$BM$1:$BM$3,$BN$1:$BY$3),$BN$4:$BY$4),""),
"")</f>
        <v/>
      </c>
      <c r="BZ66" s="8" t="str">
        <f>IF(_xlfn.XLOOKUP($B66,'ELC TECH'!$H:$H,'ELC TECH'!$E:$E)="Non Dispatchable",IFERROR($AX66*_xlfn.XLOOKUP($C66,$BM$1:$BM$3,BZ$1:BZ$3)/SUMPRODUCT(_xlfn.XLOOKUP($C66,$BM$1:$BM$3,$BN$1:$BY$3),$BN$4:$BY$4),""),
"")</f>
        <v/>
      </c>
      <c r="CA66" s="8" t="str">
        <f>IF(_xlfn.XLOOKUP($B66,'ELC TECH'!$H:$H,'ELC TECH'!$E:$E)="Non Dispatchable",IFERROR($AX66*_xlfn.XLOOKUP($C66,$BM$1:$BM$3,CA$1:CA$3)/SUMPRODUCT(_xlfn.XLOOKUP($C66,$BM$1:$BM$3,$BN$1:$BY$3),$BN$4:$BY$4),""),
"")</f>
        <v/>
      </c>
      <c r="CB66" s="8" t="str">
        <f>IF(_xlfn.XLOOKUP($B66,'ELC TECH'!$H:$H,'ELC TECH'!$E:$E)="Non Dispatchable",IFERROR($AX66*_xlfn.XLOOKUP($C66,$BM$1:$BM$3,CB$1:CB$3)/SUMPRODUCT(_xlfn.XLOOKUP($C66,$BM$1:$BM$3,$BN$1:$BY$3),$BN$4:$BY$4),""),
"")</f>
        <v/>
      </c>
      <c r="CC66" s="8" t="str">
        <f>IF(_xlfn.XLOOKUP($B66,'ELC TECH'!$H:$H,'ELC TECH'!$E:$E)="Non Dispatchable",IFERROR($AX66*_xlfn.XLOOKUP($C66,$BM$1:$BM$3,CC$1:CC$3)/SUMPRODUCT(_xlfn.XLOOKUP($C66,$BM$1:$BM$3,$BN$1:$BY$3),$BN$4:$BY$4),""),
"")</f>
        <v/>
      </c>
      <c r="CD66" s="8" t="str">
        <f>IF(_xlfn.XLOOKUP($B66,'ELC TECH'!$H:$H,'ELC TECH'!$E:$E)="Non Dispatchable",IFERROR($AX66*_xlfn.XLOOKUP($C66,$BM$1:$BM$3,CD$1:CD$3)/SUMPRODUCT(_xlfn.XLOOKUP($C66,$BM$1:$BM$3,$BN$1:$BY$3),$BN$4:$BY$4),""),
"")</f>
        <v/>
      </c>
      <c r="CE66" s="8" t="str">
        <f>IF(_xlfn.XLOOKUP($B66,'ELC TECH'!$H:$H,'ELC TECH'!$E:$E)="Non Dispatchable",IFERROR($AX66*_xlfn.XLOOKUP($C66,$BM$1:$BM$3,CE$1:CE$3)/SUMPRODUCT(_xlfn.XLOOKUP($C66,$BM$1:$BM$3,$BN$1:$BY$3),$BN$4:$BY$4),""),
"")</f>
        <v/>
      </c>
      <c r="CF66" s="8" t="str">
        <f>IF(_xlfn.XLOOKUP($B66,'ELC TECH'!$H:$H,'ELC TECH'!$E:$E)="Non Dispatchable",IFERROR($AX66*_xlfn.XLOOKUP($C66,$BM$1:$BM$3,CF$1:CF$3)/SUMPRODUCT(_xlfn.XLOOKUP($C66,$BM$1:$BM$3,$BN$1:$BY$3),$BN$4:$BY$4),""),
"")</f>
        <v/>
      </c>
      <c r="CG66" s="8" t="str">
        <f>IF(_xlfn.XLOOKUP($B66,'ELC TECH'!$H:$H,'ELC TECH'!$E:$E)="Non Dispatchable",IFERROR($AX66*_xlfn.XLOOKUP($C66,$BM$1:$BM$3,CG$1:CG$3)/SUMPRODUCT(_xlfn.XLOOKUP($C66,$BM$1:$BM$3,$BN$1:$BY$3),$BN$4:$BY$4),""),
"")</f>
        <v/>
      </c>
      <c r="CH66" s="8" t="str">
        <f>IF(_xlfn.XLOOKUP($B66,'ELC TECH'!$H:$H,'ELC TECH'!$E:$E)="Non Dispatchable",IFERROR($AX66*_xlfn.XLOOKUP($C66,$BM$1:$BM$3,CH$1:CH$3)/SUMPRODUCT(_xlfn.XLOOKUP($C66,$BM$1:$BM$3,$BN$1:$BY$3),$BN$4:$BY$4),""),
"")</f>
        <v/>
      </c>
      <c r="CI66" s="8" t="str">
        <f>IF(_xlfn.XLOOKUP($B66,'ELC TECH'!$H:$H,'ELC TECH'!$E:$E)="Non Dispatchable",IFERROR($AX66*_xlfn.XLOOKUP($C66,$BM$1:$BM$3,CI$1:CI$3)/SUMPRODUCT(_xlfn.XLOOKUP($C66,$BM$1:$BM$3,$BN$1:$BY$3),$BN$4:$BY$4),""),
"")</f>
        <v/>
      </c>
      <c r="CJ66" s="8" t="str">
        <f>IF(_xlfn.XLOOKUP($B66,'ELC TECH'!$H:$H,'ELC TECH'!$E:$E)="Non Dispatchable",IFERROR($AX66*_xlfn.XLOOKUP($C66,$BM$1:$BM$3,CJ$1:CJ$3)/SUMPRODUCT(_xlfn.XLOOKUP($C66,$BM$1:$BM$3,$BN$1:$BY$3),$BN$4:$BY$4),""),
"")</f>
        <v/>
      </c>
      <c r="CK66" s="8" t="str">
        <f>IF(_xlfn.XLOOKUP($B66,'ELC TECH'!$H:$H,'ELC TECH'!$E:$E)="Non Dispatchable",IFERROR($AX66*_xlfn.XLOOKUP($C66,$BM$1:$BM$3,CK$1:CK$3)/SUMPRODUCT(_xlfn.XLOOKUP($C66,$BM$1:$BM$3,$BN$1:$BY$3),$BN$4:$BY$4),""),
"")</f>
        <v/>
      </c>
      <c r="CL66" s="8">
        <f>IF(_xlfn.XLOOKUP($B66,'ELC TECH'!$H:$H,'ELC TECH'!$E:$E)="Storage",CL$4*$BF66,"")</f>
        <v>2.7399999999999997E-2</v>
      </c>
      <c r="CM66" s="8">
        <f>IF(_xlfn.XLOOKUP($B66,'ELC TECH'!$H:$H,'ELC TECH'!$E:$E)="Storage",CM$4*$BF66,"")</f>
        <v>3.1899999999999998E-2</v>
      </c>
      <c r="CN66" s="8">
        <f>IF(_xlfn.XLOOKUP($B66,'ELC TECH'!$H:$H,'ELC TECH'!$E:$E)="Storage",CN$4*$BF66,"")</f>
        <v>5.1066666666666663E-2</v>
      </c>
      <c r="CO66" s="8">
        <f>IF(_xlfn.XLOOKUP($B66,'ELC TECH'!$H:$H,'ELC TECH'!$E:$E)="Storage",CO$4*$BF66,"")</f>
        <v>1.0666666666666667E-3</v>
      </c>
      <c r="CP66" s="8">
        <f>IF(_xlfn.XLOOKUP($B66,'ELC TECH'!$H:$H,'ELC TECH'!$E:$E)="Storage",CP$4*$BF66,"")</f>
        <v>2.7166666666666665E-2</v>
      </c>
      <c r="CQ66" s="8">
        <f>IF(_xlfn.XLOOKUP($B66,'ELC TECH'!$H:$H,'ELC TECH'!$E:$E)="Storage",CQ$4*$BF66,"")</f>
        <v>3.6233333333333333E-2</v>
      </c>
      <c r="CR66" s="8">
        <f>IF(_xlfn.XLOOKUP($B66,'ELC TECH'!$H:$H,'ELC TECH'!$E:$E)="Storage",CR$4*$BF66,"")</f>
        <v>4.6033333333333329E-2</v>
      </c>
      <c r="CS66" s="8">
        <f>IF(_xlfn.XLOOKUP($B66,'ELC TECH'!$H:$H,'ELC TECH'!$E:$E)="Storage",CS$4*$BF66,"")</f>
        <v>1.0666666666666667E-3</v>
      </c>
      <c r="CT66" s="8">
        <f>IF(_xlfn.XLOOKUP($B66,'ELC TECH'!$H:$H,'ELC TECH'!$E:$E)="Storage",CT$4*$BF66,"")</f>
        <v>3.2500000000000001E-2</v>
      </c>
      <c r="CU66" s="8">
        <f>IF(_xlfn.XLOOKUP($B66,'ELC TECH'!$H:$H,'ELC TECH'!$E:$E)="Storage",CU$4*$BF66,"")</f>
        <v>3.6233333333333333E-2</v>
      </c>
      <c r="CV66" s="8">
        <f>IF(_xlfn.XLOOKUP($B66,'ELC TECH'!$H:$H,'ELC TECH'!$E:$E)="Storage",CV$4*$BF66,"")</f>
        <v>4.176666666666666E-2</v>
      </c>
      <c r="CW66" s="8">
        <f>IF(_xlfn.XLOOKUP($B66,'ELC TECH'!$H:$H,'ELC TECH'!$E:$E)="Storage",CW$4*$BF66,"")</f>
        <v>8.9999999999999998E-4</v>
      </c>
      <c r="CX66" s="8">
        <f>IF(_xlfn.XLOOKUP($B66,'ELC TECH'!$H:$H,'ELC TECH'!$E:$E)="Storage",CX$4*$BF66,"")</f>
        <v>2.7399999999999997E-2</v>
      </c>
      <c r="CY66" s="8">
        <f>IF(_xlfn.XLOOKUP($B66,'ELC TECH'!$H:$H,'ELC TECH'!$E:$E)="Storage",CY$4*$BF66,"")</f>
        <v>3.1899999999999998E-2</v>
      </c>
      <c r="CZ66" s="8">
        <f>IF(_xlfn.XLOOKUP($B66,'ELC TECH'!$H:$H,'ELC TECH'!$E:$E)="Storage",CZ$4*$BF66,"")</f>
        <v>5.1066666666666663E-2</v>
      </c>
      <c r="DA66" s="8">
        <f>IF(_xlfn.XLOOKUP($B66,'ELC TECH'!$H:$H,'ELC TECH'!$E:$E)="Storage",DA$4*$BF66,"")</f>
        <v>1.0666666666666667E-3</v>
      </c>
      <c r="DB66" s="8">
        <f>IF(_xlfn.XLOOKUP($B66,'ELC TECH'!$H:$H,'ELC TECH'!$E:$E)="Storage",DB$4*$BF66,"")</f>
        <v>2.7166666666666665E-2</v>
      </c>
      <c r="DC66" s="8">
        <f>IF(_xlfn.XLOOKUP($B66,'ELC TECH'!$H:$H,'ELC TECH'!$E:$E)="Storage",DC$4*$BF66,"")</f>
        <v>3.6233333333333333E-2</v>
      </c>
      <c r="DD66" s="8">
        <f>IF(_xlfn.XLOOKUP($B66,'ELC TECH'!$H:$H,'ELC TECH'!$E:$E)="Storage",DD$4*$BF66,"")</f>
        <v>4.6033333333333329E-2</v>
      </c>
      <c r="DE66" s="8">
        <f>IF(_xlfn.XLOOKUP($B66,'ELC TECH'!$H:$H,'ELC TECH'!$E:$E)="Storage",DE$4*$BF66,"")</f>
        <v>1.0666666666666667E-3</v>
      </c>
      <c r="DF66" s="8">
        <f>IF(_xlfn.XLOOKUP($B66,'ELC TECH'!$H:$H,'ELC TECH'!$E:$E)="Storage",DF$4*$BF66,"")</f>
        <v>3.2500000000000001E-2</v>
      </c>
      <c r="DG66" s="8">
        <f>IF(_xlfn.XLOOKUP($B66,'ELC TECH'!$H:$H,'ELC TECH'!$E:$E)="Storage",DG$4*$BF66,"")</f>
        <v>3.6233333333333333E-2</v>
      </c>
      <c r="DH66" s="8">
        <f>IF(_xlfn.XLOOKUP($B66,'ELC TECH'!$H:$H,'ELC TECH'!$E:$E)="Storage",DH$4*$BF66,"")</f>
        <v>4.176666666666666E-2</v>
      </c>
      <c r="DI66" s="8">
        <f>IF(_xlfn.XLOOKUP($B66,'ELC TECH'!$H:$H,'ELC TECH'!$E:$E)="Storage",DI$4*$BF66,"")</f>
        <v>8.9999999999999998E-4</v>
      </c>
    </row>
    <row r="67" spans="2:113" x14ac:dyDescent="0.25">
      <c r="B67" t="str">
        <f>IF('ELC TECH'!I60=0,"*",'ELC TECH'!H60)</f>
        <v>ELCSTGGRDPSH8HC220</v>
      </c>
      <c r="C67" t="str">
        <f>IF(_xlfn.XLOOKUP(_xlfn.XLOOKUP(B67,'ELC TECH'!$H:$H,'ELC TECH'!$G:$G),List!C:C,List!B:B)="STG",D67,"ELC"&amp;_xlfn.XLOOKUP(_xlfn.XLOOKUP(B67,'ELC TECH'!H:H,'ELC TECH'!G:G),List!C:C,List!B:B))</f>
        <v>CELC</v>
      </c>
      <c r="D67" t="s">
        <v>544</v>
      </c>
      <c r="E67">
        <f>_xlfn.XLOOKUP(B67,'ELC TECH'!H:H,'ELC TECH'!D:D)</f>
        <v>2020</v>
      </c>
      <c r="F67">
        <f>_xlfn.XLOOKUP(B67,'ELC TECH'!H:H,'ELC TECH'!K:K)</f>
        <v>100</v>
      </c>
      <c r="G67">
        <f t="shared" si="5"/>
        <v>31.535999999999998</v>
      </c>
      <c r="H67">
        <f>IF(_xlfn.XLOOKUP(B67,'ELC TECH'!$H:$H,'ELC TECH'!$E:$E)="Storage",0.3,IF(_xlfn.XLOOKUP(B67,'ELC TECH'!$H:$H,'ELC TECH'!$E:$E)="Baseload",0.9,IF(_xlfn.XLOOKUP(B67,'ELC TECH'!$H:$H,'ELC TECH'!$E:$E)="Non Dispatchable",0.05,IF(_xlfn.XLOOKUP(B67,'ELC TECH'!$H:$H,'ELC TECH'!$E:$E)="Dispatchable",0.9,1))))</f>
        <v>0.3</v>
      </c>
      <c r="I67" s="13">
        <f>IF(_xlfn.XLOOKUP(B67,'ELC TECH'!H:H,'ELC TECH'!J:J)="","",_xlfn.XLOOKUP(B67,'ELC TECH'!H:H,'ELC TECH'!J:J))</f>
        <v>0</v>
      </c>
      <c r="J67" s="12" t="str">
        <f>IF(_xlfn.XLOOKUP($B67,'ELC TECH'!$H:$H,'ELC TECH'!$E:$E)="Storage","",IF(_xlfn.XLOOKUP($B67,'ELC TECH'!$H:$H,'ELC TECH'!AK:AK)="",1,_xlfn.XLOOKUP($B67,'ELC TECH'!$H:$H,'ELC TECH'!AK:AK)))</f>
        <v/>
      </c>
      <c r="K67" s="12" t="str">
        <f>IF(_xlfn.XLOOKUP($B67,'ELC TECH'!$H:$H,'ELC TECH'!$E:$E)="Storage","",IF(_xlfn.XLOOKUP($B67,'ELC TECH'!$H:$H,'ELC TECH'!AL:AL)="",1,_xlfn.XLOOKUP($B67,'ELC TECH'!$H:$H,'ELC TECH'!AL:AL)))</f>
        <v/>
      </c>
      <c r="L67" s="12" t="str">
        <f>IF(_xlfn.XLOOKUP($B67,'ELC TECH'!$H:$H,'ELC TECH'!$E:$E)="Storage","",IF(_xlfn.XLOOKUP($B67,'ELC TECH'!$H:$H,'ELC TECH'!AM:AM)="",1,_xlfn.XLOOKUP($B67,'ELC TECH'!$H:$H,'ELC TECH'!AM:AM)))</f>
        <v/>
      </c>
      <c r="M67" s="12" t="str">
        <f>IF(_xlfn.XLOOKUP($B67,'ELC TECH'!$H:$H,'ELC TECH'!$E:$E)="Storage","",IF(_xlfn.XLOOKUP($B67,'ELC TECH'!$H:$H,'ELC TECH'!AN:AN)="",1,_xlfn.XLOOKUP($B67,'ELC TECH'!$H:$H,'ELC TECH'!AN:AN)))</f>
        <v/>
      </c>
      <c r="N67" s="12" t="str">
        <f>IF(_xlfn.XLOOKUP($B67,'ELC TECH'!$H:$H,'ELC TECH'!$E:$E)="Storage","",IF(_xlfn.XLOOKUP($B67,'ELC TECH'!$H:$H,'ELC TECH'!AO:AO)="",1,_xlfn.XLOOKUP($B67,'ELC TECH'!$H:$H,'ELC TECH'!AO:AO)))</f>
        <v/>
      </c>
      <c r="O67" s="12" t="str">
        <f>IF(_xlfn.XLOOKUP($B67,'ELC TECH'!$H:$H,'ELC TECH'!$E:$E)="Storage","",IF(_xlfn.XLOOKUP($B67,'ELC TECH'!$H:$H,'ELC TECH'!AP:AP)="",1,_xlfn.XLOOKUP($B67,'ELC TECH'!$H:$H,'ELC TECH'!AP:AP)))</f>
        <v/>
      </c>
      <c r="P67" s="12" t="str">
        <f>IF(_xlfn.XLOOKUP($B67,'ELC TECH'!$H:$H,'ELC TECH'!$E:$E)="Storage","",IF(_xlfn.XLOOKUP($B67,'ELC TECH'!$H:$H,'ELC TECH'!AQ:AQ)="",1,_xlfn.XLOOKUP($B67,'ELC TECH'!$H:$H,'ELC TECH'!AQ:AQ)))</f>
        <v/>
      </c>
      <c r="Q67" s="12" t="str">
        <f>IF(_xlfn.XLOOKUP($B67,'ELC TECH'!$H:$H,'ELC TECH'!$E:$E)="Storage","",IF(_xlfn.XLOOKUP($B67,'ELC TECH'!$H:$H,'ELC TECH'!AR:AR)="",1,_xlfn.XLOOKUP($B67,'ELC TECH'!$H:$H,'ELC TECH'!AR:AR)))</f>
        <v/>
      </c>
      <c r="R67" s="12">
        <f>IF(_xlfn.XLOOKUP($B67,'ELC TECH'!$H:$H,'ELC TECH'!$E:$E)&lt;&gt;"Storage","",IF(_xlfn.XLOOKUP($B67,'ELC TECH'!$H:$H,'ELC TECH'!AK:AK)="",0.8,_xlfn.XLOOKUP($B67,'ELC TECH'!$H:$H,'ELC TECH'!AK:AK)))</f>
        <v>0.8</v>
      </c>
      <c r="S67" s="12">
        <f>IF(_xlfn.XLOOKUP($B67,'ELC TECH'!$H:$H,'ELC TECH'!$E:$E)&lt;&gt;"Storage","",IF(_xlfn.XLOOKUP($B67,'ELC TECH'!$H:$H,'ELC TECH'!AL:AL)="",0.8,_xlfn.XLOOKUP($B67,'ELC TECH'!$H:$H,'ELC TECH'!AL:AL)))</f>
        <v>0.8</v>
      </c>
      <c r="T67" s="12">
        <f>IF(_xlfn.XLOOKUP($B67,'ELC TECH'!$H:$H,'ELC TECH'!$E:$E)&lt;&gt;"Storage","",IF(_xlfn.XLOOKUP($B67,'ELC TECH'!$H:$H,'ELC TECH'!AM:AM)="",0.8,_xlfn.XLOOKUP($B67,'ELC TECH'!$H:$H,'ELC TECH'!AM:AM)))</f>
        <v>0.8</v>
      </c>
      <c r="U67" s="12">
        <f>IF(_xlfn.XLOOKUP($B67,'ELC TECH'!$H:$H,'ELC TECH'!$E:$E)&lt;&gt;"Storage","",IF(_xlfn.XLOOKUP($B67,'ELC TECH'!$H:$H,'ELC TECH'!AN:AN)="",0.8,_xlfn.XLOOKUP($B67,'ELC TECH'!$H:$H,'ELC TECH'!AN:AN)))</f>
        <v>0.8</v>
      </c>
      <c r="V67" s="12">
        <f>IF(_xlfn.XLOOKUP($B67,'ELC TECH'!$H:$H,'ELC TECH'!$E:$E)&lt;&gt;"Storage","",IF(_xlfn.XLOOKUP($B67,'ELC TECH'!$H:$H,'ELC TECH'!AO:AO)="",0.8,_xlfn.XLOOKUP($B67,'ELC TECH'!$H:$H,'ELC TECH'!AO:AO)))</f>
        <v>0.8</v>
      </c>
      <c r="W67" s="12">
        <f>IF(_xlfn.XLOOKUP($B67,'ELC TECH'!$H:$H,'ELC TECH'!$E:$E)&lt;&gt;"Storage","",IF(_xlfn.XLOOKUP($B67,'ELC TECH'!$H:$H,'ELC TECH'!AP:AP)="",0.8,_xlfn.XLOOKUP($B67,'ELC TECH'!$H:$H,'ELC TECH'!AP:AP)))</f>
        <v>0.8</v>
      </c>
      <c r="X67" s="12">
        <f>IF(_xlfn.XLOOKUP($B67,'ELC TECH'!$H:$H,'ELC TECH'!$E:$E)&lt;&gt;"Storage","",IF(_xlfn.XLOOKUP($B67,'ELC TECH'!$H:$H,'ELC TECH'!AQ:AQ)="",0.8,_xlfn.XLOOKUP($B67,'ELC TECH'!$H:$H,'ELC TECH'!AQ:AQ)))</f>
        <v>0.8</v>
      </c>
      <c r="Y67" s="12">
        <f>IF(_xlfn.XLOOKUP($B67,'ELC TECH'!$H:$H,'ELC TECH'!$E:$E)&lt;&gt;"Storage","",IF(_xlfn.XLOOKUP($B67,'ELC TECH'!$H:$H,'ELC TECH'!AR:AR)="",0.8,_xlfn.XLOOKUP($B67,'ELC TECH'!$H:$H,'ELC TECH'!AR:AR)))</f>
        <v>0.8</v>
      </c>
      <c r="Z67" s="15">
        <f>_xlfn.XLOOKUP($B67,'ELC TECH'!$H:$H,'ELC TECH'!M:M)</f>
        <v>2703.9530678386359</v>
      </c>
      <c r="AA67" s="15">
        <f>_xlfn.XLOOKUP($B67,'ELC TECH'!$H:$H,'ELC TECH'!N:N)</f>
        <v>2703.9530678386359</v>
      </c>
      <c r="AB67" s="15">
        <f>_xlfn.XLOOKUP($B67,'ELC TECH'!$H:$H,'ELC TECH'!O:O)</f>
        <v>2703.9530678386359</v>
      </c>
      <c r="AC67" s="15">
        <f>_xlfn.XLOOKUP($B67,'ELC TECH'!$H:$H,'ELC TECH'!P:P)</f>
        <v>2703.9530678386359</v>
      </c>
      <c r="AD67" s="15">
        <f>_xlfn.XLOOKUP($B67,'ELC TECH'!$H:$H,'ELC TECH'!Q:Q)</f>
        <v>2703.9530678386359</v>
      </c>
      <c r="AE67" s="15">
        <f>_xlfn.XLOOKUP($B67,'ELC TECH'!$H:$H,'ELC TECH'!R:R)</f>
        <v>2703.9530678386359</v>
      </c>
      <c r="AF67" s="15">
        <f>_xlfn.XLOOKUP($B67,'ELC TECH'!$H:$H,'ELC TECH'!S:S)</f>
        <v>2703.9530678386359</v>
      </c>
      <c r="AG67" s="15">
        <f>_xlfn.XLOOKUP($B67,'ELC TECH'!$H:$H,'ELC TECH'!T:T)</f>
        <v>2703.9530678386359</v>
      </c>
      <c r="AH67" s="15">
        <f>_xlfn.XLOOKUP($B67,'ELC TECH'!$H:$H,'ELC TECH'!U:U)</f>
        <v>21.100097091380029</v>
      </c>
      <c r="AI67" s="15">
        <f>_xlfn.XLOOKUP($B67,'ELC TECH'!$H:$H,'ELC TECH'!V:V)</f>
        <v>21.100097091380029</v>
      </c>
      <c r="AJ67" s="15">
        <f>_xlfn.XLOOKUP($B67,'ELC TECH'!$H:$H,'ELC TECH'!W:W)</f>
        <v>21.100097091380029</v>
      </c>
      <c r="AK67" s="15">
        <f>_xlfn.XLOOKUP($B67,'ELC TECH'!$H:$H,'ELC TECH'!X:X)</f>
        <v>21.100097091380029</v>
      </c>
      <c r="AL67" s="15">
        <f>_xlfn.XLOOKUP($B67,'ELC TECH'!$H:$H,'ELC TECH'!Y:Y)</f>
        <v>21.100097091380029</v>
      </c>
      <c r="AM67" s="15">
        <f>_xlfn.XLOOKUP($B67,'ELC TECH'!$H:$H,'ELC TECH'!Z:Z)</f>
        <v>21.100097091380029</v>
      </c>
      <c r="AN67" s="15">
        <f>_xlfn.XLOOKUP($B67,'ELC TECH'!$H:$H,'ELC TECH'!AA:AA)</f>
        <v>21.100097091380029</v>
      </c>
      <c r="AO67" s="15">
        <f>_xlfn.XLOOKUP($B67,'ELC TECH'!$H:$H,'ELC TECH'!AB:AB)</f>
        <v>21.100097091380029</v>
      </c>
      <c r="AP67" s="15">
        <f>_xlfn.XLOOKUP($B67,'ELC TECH'!$H:$H,'ELC TECH'!AC:AC)</f>
        <v>0.1696149283872993</v>
      </c>
      <c r="AQ67" s="15">
        <f>_xlfn.XLOOKUP($B67,'ELC TECH'!$H:$H,'ELC TECH'!AD:AD)</f>
        <v>0.1696149283872993</v>
      </c>
      <c r="AR67" s="15">
        <f>_xlfn.XLOOKUP($B67,'ELC TECH'!$H:$H,'ELC TECH'!AE:AE)</f>
        <v>0.1696149283872993</v>
      </c>
      <c r="AS67" s="15">
        <f>_xlfn.XLOOKUP($B67,'ELC TECH'!$H:$H,'ELC TECH'!AF:AF)</f>
        <v>0.1696149283872993</v>
      </c>
      <c r="AT67" s="15">
        <f>_xlfn.XLOOKUP($B67,'ELC TECH'!$H:$H,'ELC TECH'!AG:AG)</f>
        <v>0.1696149283872993</v>
      </c>
      <c r="AU67" s="15">
        <f>_xlfn.XLOOKUP($B67,'ELC TECH'!$H:$H,'ELC TECH'!AH:AH)</f>
        <v>0.1696149283872993</v>
      </c>
      <c r="AV67" s="15">
        <f>_xlfn.XLOOKUP($B67,'ELC TECH'!$H:$H,'ELC TECH'!AI:AI)</f>
        <v>0.1696149283872993</v>
      </c>
      <c r="AW67" s="15">
        <f>_xlfn.XLOOKUP($B67,'ELC TECH'!$H:$H,'ELC TECH'!AJ:AJ)</f>
        <v>0.1696149283872993</v>
      </c>
      <c r="AX67" s="12" t="str">
        <f>IF(_xlfn.XLOOKUP($B67,'ELC TECH'!$H:$H,'ELC TECH'!$E:$E)="Storage","",_xlfn.XLOOKUP($B67,'ELC TECH'!$H:$H,'ELC TECH'!AS:AS))</f>
        <v/>
      </c>
      <c r="AY67" s="12" t="str">
        <f>IF(_xlfn.XLOOKUP($B67,'ELC TECH'!$H:$H,'ELC TECH'!$E:$E)="Storage","",_xlfn.XLOOKUP($B67,'ELC TECH'!$H:$H,'ELC TECH'!AT:AT))</f>
        <v/>
      </c>
      <c r="AZ67" s="12" t="str">
        <f>IF(_xlfn.XLOOKUP($B67,'ELC TECH'!$H:$H,'ELC TECH'!$E:$E)="Storage","",_xlfn.XLOOKUP($B67,'ELC TECH'!$H:$H,'ELC TECH'!AU:AU))</f>
        <v/>
      </c>
      <c r="BA67" s="12" t="str">
        <f>IF(_xlfn.XLOOKUP($B67,'ELC TECH'!$H:$H,'ELC TECH'!$E:$E)="Storage","",_xlfn.XLOOKUP($B67,'ELC TECH'!$H:$H,'ELC TECH'!AV:AV))</f>
        <v/>
      </c>
      <c r="BB67" s="12" t="str">
        <f>IF(_xlfn.XLOOKUP($B67,'ELC TECH'!$H:$H,'ELC TECH'!$E:$E)="Storage","",_xlfn.XLOOKUP($B67,'ELC TECH'!$H:$H,'ELC TECH'!AW:AW))</f>
        <v/>
      </c>
      <c r="BC67" s="12" t="str">
        <f>IF(_xlfn.XLOOKUP($B67,'ELC TECH'!$H:$H,'ELC TECH'!$E:$E)="Storage","",_xlfn.XLOOKUP($B67,'ELC TECH'!$H:$H,'ELC TECH'!AX:AX))</f>
        <v/>
      </c>
      <c r="BD67" s="12" t="str">
        <f>IF(_xlfn.XLOOKUP($B67,'ELC TECH'!$H:$H,'ELC TECH'!$E:$E)="Storage","",_xlfn.XLOOKUP($B67,'ELC TECH'!$H:$H,'ELC TECH'!AY:AY))</f>
        <v/>
      </c>
      <c r="BE67" s="12" t="str">
        <f>IF(_xlfn.XLOOKUP($B67,'ELC TECH'!$H:$H,'ELC TECH'!$E:$E)="Storage","",_xlfn.XLOOKUP($B67,'ELC TECH'!$H:$H,'ELC TECH'!AZ:AZ))</f>
        <v/>
      </c>
      <c r="BF67" s="12">
        <f>IF(_xlfn.XLOOKUP($B67,'ELC TECH'!$H:$H,'ELC TECH'!$E:$E)="Storage",_xlfn.XLOOKUP($B67,'ELC TECH'!$H:$H,'ELC TECH'!AS:AS),"")</f>
        <v>0.33333333333333331</v>
      </c>
      <c r="BG67" s="12">
        <f>IF(_xlfn.XLOOKUP($B67,'ELC TECH'!$H:$H,'ELC TECH'!$E:$E)="Storage",_xlfn.XLOOKUP($B67,'ELC TECH'!$H:$H,'ELC TECH'!AT:AT),"")</f>
        <v>0.33333333333333331</v>
      </c>
      <c r="BH67" s="12">
        <f>IF(_xlfn.XLOOKUP($B67,'ELC TECH'!$H:$H,'ELC TECH'!$E:$E)="Storage",_xlfn.XLOOKUP($B67,'ELC TECH'!$H:$H,'ELC TECH'!AU:AU),"")</f>
        <v>0.33333333333333331</v>
      </c>
      <c r="BI67" s="12">
        <f>IF(_xlfn.XLOOKUP($B67,'ELC TECH'!$H:$H,'ELC TECH'!$E:$E)="Storage",_xlfn.XLOOKUP($B67,'ELC TECH'!$H:$H,'ELC TECH'!AV:AV),"")</f>
        <v>0.33333333333333331</v>
      </c>
      <c r="BJ67" s="12">
        <f>IF(_xlfn.XLOOKUP($B67,'ELC TECH'!$H:$H,'ELC TECH'!$E:$E)="Storage",_xlfn.XLOOKUP($B67,'ELC TECH'!$H:$H,'ELC TECH'!AW:AW),"")</f>
        <v>0.33333333333333331</v>
      </c>
      <c r="BK67" s="12">
        <f>IF(_xlfn.XLOOKUP($B67,'ELC TECH'!$H:$H,'ELC TECH'!$E:$E)="Storage",_xlfn.XLOOKUP($B67,'ELC TECH'!$H:$H,'ELC TECH'!AX:AX),"")</f>
        <v>0.33333333333333331</v>
      </c>
      <c r="BL67" s="12">
        <f>IF(_xlfn.XLOOKUP($B67,'ELC TECH'!$H:$H,'ELC TECH'!$E:$E)="Storage",_xlfn.XLOOKUP($B67,'ELC TECH'!$H:$H,'ELC TECH'!AY:AY),"")</f>
        <v>0.33333333333333331</v>
      </c>
      <c r="BM67" s="12">
        <f>IF(_xlfn.XLOOKUP($B67,'ELC TECH'!$H:$H,'ELC TECH'!$E:$E)="Storage",_xlfn.XLOOKUP($B67,'ELC TECH'!$H:$H,'ELC TECH'!AZ:AZ),"")</f>
        <v>0.33333333333333331</v>
      </c>
      <c r="BN67" s="8" t="str">
        <f>IF(_xlfn.XLOOKUP($B67,'ELC TECH'!$H:$H,'ELC TECH'!$E:$E)="Non Dispatchable",IFERROR($AX67*_xlfn.XLOOKUP($C67,$BM$1:$BM$3,BN$1:BN$3)/SUMPRODUCT(_xlfn.XLOOKUP($C67,$BM$1:$BM$3,$BN$1:$BY$3),$BN$4:$BY$4),""),
"")</f>
        <v/>
      </c>
      <c r="BO67" s="8" t="str">
        <f>IF(_xlfn.XLOOKUP($B67,'ELC TECH'!$H:$H,'ELC TECH'!$E:$E)="Non Dispatchable",IFERROR($AX67*_xlfn.XLOOKUP($C67,$BM$1:$BM$3,BO$1:BO$3)/SUMPRODUCT(_xlfn.XLOOKUP($C67,$BM$1:$BM$3,$BN$1:$BY$3),$BN$4:$BY$4),""),
"")</f>
        <v/>
      </c>
      <c r="BP67" s="8" t="str">
        <f>IF(_xlfn.XLOOKUP($B67,'ELC TECH'!$H:$H,'ELC TECH'!$E:$E)="Non Dispatchable",IFERROR($AX67*_xlfn.XLOOKUP($C67,$BM$1:$BM$3,BP$1:BP$3)/SUMPRODUCT(_xlfn.XLOOKUP($C67,$BM$1:$BM$3,$BN$1:$BY$3),$BN$4:$BY$4),""),
"")</f>
        <v/>
      </c>
      <c r="BQ67" s="8" t="str">
        <f>IF(_xlfn.XLOOKUP($B67,'ELC TECH'!$H:$H,'ELC TECH'!$E:$E)="Non Dispatchable",IFERROR($AX67*_xlfn.XLOOKUP($C67,$BM$1:$BM$3,BQ$1:BQ$3)/SUMPRODUCT(_xlfn.XLOOKUP($C67,$BM$1:$BM$3,$BN$1:$BY$3),$BN$4:$BY$4),""),
"")</f>
        <v/>
      </c>
      <c r="BR67" s="8" t="str">
        <f>IF(_xlfn.XLOOKUP($B67,'ELC TECH'!$H:$H,'ELC TECH'!$E:$E)="Non Dispatchable",IFERROR($AX67*_xlfn.XLOOKUP($C67,$BM$1:$BM$3,BR$1:BR$3)/SUMPRODUCT(_xlfn.XLOOKUP($C67,$BM$1:$BM$3,$BN$1:$BY$3),$BN$4:$BY$4),""),
"")</f>
        <v/>
      </c>
      <c r="BS67" s="8" t="str">
        <f>IF(_xlfn.XLOOKUP($B67,'ELC TECH'!$H:$H,'ELC TECH'!$E:$E)="Non Dispatchable",IFERROR($AX67*_xlfn.XLOOKUP($C67,$BM$1:$BM$3,BS$1:BS$3)/SUMPRODUCT(_xlfn.XLOOKUP($C67,$BM$1:$BM$3,$BN$1:$BY$3),$BN$4:$BY$4),""),
"")</f>
        <v/>
      </c>
      <c r="BT67" s="8" t="str">
        <f>IF(_xlfn.XLOOKUP($B67,'ELC TECH'!$H:$H,'ELC TECH'!$E:$E)="Non Dispatchable",IFERROR($AX67*_xlfn.XLOOKUP($C67,$BM$1:$BM$3,BT$1:BT$3)/SUMPRODUCT(_xlfn.XLOOKUP($C67,$BM$1:$BM$3,$BN$1:$BY$3),$BN$4:$BY$4),""),
"")</f>
        <v/>
      </c>
      <c r="BU67" s="8" t="str">
        <f>IF(_xlfn.XLOOKUP($B67,'ELC TECH'!$H:$H,'ELC TECH'!$E:$E)="Non Dispatchable",IFERROR($AX67*_xlfn.XLOOKUP($C67,$BM$1:$BM$3,BU$1:BU$3)/SUMPRODUCT(_xlfn.XLOOKUP($C67,$BM$1:$BM$3,$BN$1:$BY$3),$BN$4:$BY$4),""),
"")</f>
        <v/>
      </c>
      <c r="BV67" s="8" t="str">
        <f>IF(_xlfn.XLOOKUP($B67,'ELC TECH'!$H:$H,'ELC TECH'!$E:$E)="Non Dispatchable",IFERROR($AX67*_xlfn.XLOOKUP($C67,$BM$1:$BM$3,BV$1:BV$3)/SUMPRODUCT(_xlfn.XLOOKUP($C67,$BM$1:$BM$3,$BN$1:$BY$3),$BN$4:$BY$4),""),
"")</f>
        <v/>
      </c>
      <c r="BW67" s="8" t="str">
        <f>IF(_xlfn.XLOOKUP($B67,'ELC TECH'!$H:$H,'ELC TECH'!$E:$E)="Non Dispatchable",IFERROR($AX67*_xlfn.XLOOKUP($C67,$BM$1:$BM$3,BW$1:BW$3)/SUMPRODUCT(_xlfn.XLOOKUP($C67,$BM$1:$BM$3,$BN$1:$BY$3),$BN$4:$BY$4),""),
"")</f>
        <v/>
      </c>
      <c r="BX67" s="8" t="str">
        <f>IF(_xlfn.XLOOKUP($B67,'ELC TECH'!$H:$H,'ELC TECH'!$E:$E)="Non Dispatchable",IFERROR($AX67*_xlfn.XLOOKUP($C67,$BM$1:$BM$3,BX$1:BX$3)/SUMPRODUCT(_xlfn.XLOOKUP($C67,$BM$1:$BM$3,$BN$1:$BY$3),$BN$4:$BY$4),""),
"")</f>
        <v/>
      </c>
      <c r="BY67" s="8" t="str">
        <f>IF(_xlfn.XLOOKUP($B67,'ELC TECH'!$H:$H,'ELC TECH'!$E:$E)="Non Dispatchable",IFERROR($AX67*_xlfn.XLOOKUP($C67,$BM$1:$BM$3,BY$1:BY$3)/SUMPRODUCT(_xlfn.XLOOKUP($C67,$BM$1:$BM$3,$BN$1:$BY$3),$BN$4:$BY$4),""),
"")</f>
        <v/>
      </c>
      <c r="BZ67" s="8" t="str">
        <f>IF(_xlfn.XLOOKUP($B67,'ELC TECH'!$H:$H,'ELC TECH'!$E:$E)="Non Dispatchable",IFERROR($AX67*_xlfn.XLOOKUP($C67,$BM$1:$BM$3,BZ$1:BZ$3)/SUMPRODUCT(_xlfn.XLOOKUP($C67,$BM$1:$BM$3,$BN$1:$BY$3),$BN$4:$BY$4),""),
"")</f>
        <v/>
      </c>
      <c r="CA67" s="8" t="str">
        <f>IF(_xlfn.XLOOKUP($B67,'ELC TECH'!$H:$H,'ELC TECH'!$E:$E)="Non Dispatchable",IFERROR($AX67*_xlfn.XLOOKUP($C67,$BM$1:$BM$3,CA$1:CA$3)/SUMPRODUCT(_xlfn.XLOOKUP($C67,$BM$1:$BM$3,$BN$1:$BY$3),$BN$4:$BY$4),""),
"")</f>
        <v/>
      </c>
      <c r="CB67" s="8" t="str">
        <f>IF(_xlfn.XLOOKUP($B67,'ELC TECH'!$H:$H,'ELC TECH'!$E:$E)="Non Dispatchable",IFERROR($AX67*_xlfn.XLOOKUP($C67,$BM$1:$BM$3,CB$1:CB$3)/SUMPRODUCT(_xlfn.XLOOKUP($C67,$BM$1:$BM$3,$BN$1:$BY$3),$BN$4:$BY$4),""),
"")</f>
        <v/>
      </c>
      <c r="CC67" s="8" t="str">
        <f>IF(_xlfn.XLOOKUP($B67,'ELC TECH'!$H:$H,'ELC TECH'!$E:$E)="Non Dispatchable",IFERROR($AX67*_xlfn.XLOOKUP($C67,$BM$1:$BM$3,CC$1:CC$3)/SUMPRODUCT(_xlfn.XLOOKUP($C67,$BM$1:$BM$3,$BN$1:$BY$3),$BN$4:$BY$4),""),
"")</f>
        <v/>
      </c>
      <c r="CD67" s="8" t="str">
        <f>IF(_xlfn.XLOOKUP($B67,'ELC TECH'!$H:$H,'ELC TECH'!$E:$E)="Non Dispatchable",IFERROR($AX67*_xlfn.XLOOKUP($C67,$BM$1:$BM$3,CD$1:CD$3)/SUMPRODUCT(_xlfn.XLOOKUP($C67,$BM$1:$BM$3,$BN$1:$BY$3),$BN$4:$BY$4),""),
"")</f>
        <v/>
      </c>
      <c r="CE67" s="8" t="str">
        <f>IF(_xlfn.XLOOKUP($B67,'ELC TECH'!$H:$H,'ELC TECH'!$E:$E)="Non Dispatchable",IFERROR($AX67*_xlfn.XLOOKUP($C67,$BM$1:$BM$3,CE$1:CE$3)/SUMPRODUCT(_xlfn.XLOOKUP($C67,$BM$1:$BM$3,$BN$1:$BY$3),$BN$4:$BY$4),""),
"")</f>
        <v/>
      </c>
      <c r="CF67" s="8" t="str">
        <f>IF(_xlfn.XLOOKUP($B67,'ELC TECH'!$H:$H,'ELC TECH'!$E:$E)="Non Dispatchable",IFERROR($AX67*_xlfn.XLOOKUP($C67,$BM$1:$BM$3,CF$1:CF$3)/SUMPRODUCT(_xlfn.XLOOKUP($C67,$BM$1:$BM$3,$BN$1:$BY$3),$BN$4:$BY$4),""),
"")</f>
        <v/>
      </c>
      <c r="CG67" s="8" t="str">
        <f>IF(_xlfn.XLOOKUP($B67,'ELC TECH'!$H:$H,'ELC TECH'!$E:$E)="Non Dispatchable",IFERROR($AX67*_xlfn.XLOOKUP($C67,$BM$1:$BM$3,CG$1:CG$3)/SUMPRODUCT(_xlfn.XLOOKUP($C67,$BM$1:$BM$3,$BN$1:$BY$3),$BN$4:$BY$4),""),
"")</f>
        <v/>
      </c>
      <c r="CH67" s="8" t="str">
        <f>IF(_xlfn.XLOOKUP($B67,'ELC TECH'!$H:$H,'ELC TECH'!$E:$E)="Non Dispatchable",IFERROR($AX67*_xlfn.XLOOKUP($C67,$BM$1:$BM$3,CH$1:CH$3)/SUMPRODUCT(_xlfn.XLOOKUP($C67,$BM$1:$BM$3,$BN$1:$BY$3),$BN$4:$BY$4),""),
"")</f>
        <v/>
      </c>
      <c r="CI67" s="8" t="str">
        <f>IF(_xlfn.XLOOKUP($B67,'ELC TECH'!$H:$H,'ELC TECH'!$E:$E)="Non Dispatchable",IFERROR($AX67*_xlfn.XLOOKUP($C67,$BM$1:$BM$3,CI$1:CI$3)/SUMPRODUCT(_xlfn.XLOOKUP($C67,$BM$1:$BM$3,$BN$1:$BY$3),$BN$4:$BY$4),""),
"")</f>
        <v/>
      </c>
      <c r="CJ67" s="8" t="str">
        <f>IF(_xlfn.XLOOKUP($B67,'ELC TECH'!$H:$H,'ELC TECH'!$E:$E)="Non Dispatchable",IFERROR($AX67*_xlfn.XLOOKUP($C67,$BM$1:$BM$3,CJ$1:CJ$3)/SUMPRODUCT(_xlfn.XLOOKUP($C67,$BM$1:$BM$3,$BN$1:$BY$3),$BN$4:$BY$4),""),
"")</f>
        <v/>
      </c>
      <c r="CK67" s="8" t="str">
        <f>IF(_xlfn.XLOOKUP($B67,'ELC TECH'!$H:$H,'ELC TECH'!$E:$E)="Non Dispatchable",IFERROR($AX67*_xlfn.XLOOKUP($C67,$BM$1:$BM$3,CK$1:CK$3)/SUMPRODUCT(_xlfn.XLOOKUP($C67,$BM$1:$BM$3,$BN$1:$BY$3),$BN$4:$BY$4),""),
"")</f>
        <v/>
      </c>
      <c r="CL67" s="8">
        <f>IF(_xlfn.XLOOKUP($B67,'ELC TECH'!$H:$H,'ELC TECH'!$E:$E)="Storage",CL$4*$BF67,"")</f>
        <v>2.7399999999999997E-2</v>
      </c>
      <c r="CM67" s="8">
        <f>IF(_xlfn.XLOOKUP($B67,'ELC TECH'!$H:$H,'ELC TECH'!$E:$E)="Storage",CM$4*$BF67,"")</f>
        <v>3.1899999999999998E-2</v>
      </c>
      <c r="CN67" s="8">
        <f>IF(_xlfn.XLOOKUP($B67,'ELC TECH'!$H:$H,'ELC TECH'!$E:$E)="Storage",CN$4*$BF67,"")</f>
        <v>5.1066666666666663E-2</v>
      </c>
      <c r="CO67" s="8">
        <f>IF(_xlfn.XLOOKUP($B67,'ELC TECH'!$H:$H,'ELC TECH'!$E:$E)="Storage",CO$4*$BF67,"")</f>
        <v>1.0666666666666667E-3</v>
      </c>
      <c r="CP67" s="8">
        <f>IF(_xlfn.XLOOKUP($B67,'ELC TECH'!$H:$H,'ELC TECH'!$E:$E)="Storage",CP$4*$BF67,"")</f>
        <v>2.7166666666666665E-2</v>
      </c>
      <c r="CQ67" s="8">
        <f>IF(_xlfn.XLOOKUP($B67,'ELC TECH'!$H:$H,'ELC TECH'!$E:$E)="Storage",CQ$4*$BF67,"")</f>
        <v>3.6233333333333333E-2</v>
      </c>
      <c r="CR67" s="8">
        <f>IF(_xlfn.XLOOKUP($B67,'ELC TECH'!$H:$H,'ELC TECH'!$E:$E)="Storage",CR$4*$BF67,"")</f>
        <v>4.6033333333333329E-2</v>
      </c>
      <c r="CS67" s="8">
        <f>IF(_xlfn.XLOOKUP($B67,'ELC TECH'!$H:$H,'ELC TECH'!$E:$E)="Storage",CS$4*$BF67,"")</f>
        <v>1.0666666666666667E-3</v>
      </c>
      <c r="CT67" s="8">
        <f>IF(_xlfn.XLOOKUP($B67,'ELC TECH'!$H:$H,'ELC TECH'!$E:$E)="Storage",CT$4*$BF67,"")</f>
        <v>3.2500000000000001E-2</v>
      </c>
      <c r="CU67" s="8">
        <f>IF(_xlfn.XLOOKUP($B67,'ELC TECH'!$H:$H,'ELC TECH'!$E:$E)="Storage",CU$4*$BF67,"")</f>
        <v>3.6233333333333333E-2</v>
      </c>
      <c r="CV67" s="8">
        <f>IF(_xlfn.XLOOKUP($B67,'ELC TECH'!$H:$H,'ELC TECH'!$E:$E)="Storage",CV$4*$BF67,"")</f>
        <v>4.176666666666666E-2</v>
      </c>
      <c r="CW67" s="8">
        <f>IF(_xlfn.XLOOKUP($B67,'ELC TECH'!$H:$H,'ELC TECH'!$E:$E)="Storage",CW$4*$BF67,"")</f>
        <v>8.9999999999999998E-4</v>
      </c>
      <c r="CX67" s="8">
        <f>IF(_xlfn.XLOOKUP($B67,'ELC TECH'!$H:$H,'ELC TECH'!$E:$E)="Storage",CX$4*$BF67,"")</f>
        <v>2.7399999999999997E-2</v>
      </c>
      <c r="CY67" s="8">
        <f>IF(_xlfn.XLOOKUP($B67,'ELC TECH'!$H:$H,'ELC TECH'!$E:$E)="Storage",CY$4*$BF67,"")</f>
        <v>3.1899999999999998E-2</v>
      </c>
      <c r="CZ67" s="8">
        <f>IF(_xlfn.XLOOKUP($B67,'ELC TECH'!$H:$H,'ELC TECH'!$E:$E)="Storage",CZ$4*$BF67,"")</f>
        <v>5.1066666666666663E-2</v>
      </c>
      <c r="DA67" s="8">
        <f>IF(_xlfn.XLOOKUP($B67,'ELC TECH'!$H:$H,'ELC TECH'!$E:$E)="Storage",DA$4*$BF67,"")</f>
        <v>1.0666666666666667E-3</v>
      </c>
      <c r="DB67" s="8">
        <f>IF(_xlfn.XLOOKUP($B67,'ELC TECH'!$H:$H,'ELC TECH'!$E:$E)="Storage",DB$4*$BF67,"")</f>
        <v>2.7166666666666665E-2</v>
      </c>
      <c r="DC67" s="8">
        <f>IF(_xlfn.XLOOKUP($B67,'ELC TECH'!$H:$H,'ELC TECH'!$E:$E)="Storage",DC$4*$BF67,"")</f>
        <v>3.6233333333333333E-2</v>
      </c>
      <c r="DD67" s="8">
        <f>IF(_xlfn.XLOOKUP($B67,'ELC TECH'!$H:$H,'ELC TECH'!$E:$E)="Storage",DD$4*$BF67,"")</f>
        <v>4.6033333333333329E-2</v>
      </c>
      <c r="DE67" s="8">
        <f>IF(_xlfn.XLOOKUP($B67,'ELC TECH'!$H:$H,'ELC TECH'!$E:$E)="Storage",DE$4*$BF67,"")</f>
        <v>1.0666666666666667E-3</v>
      </c>
      <c r="DF67" s="8">
        <f>IF(_xlfn.XLOOKUP($B67,'ELC TECH'!$H:$H,'ELC TECH'!$E:$E)="Storage",DF$4*$BF67,"")</f>
        <v>3.2500000000000001E-2</v>
      </c>
      <c r="DG67" s="8">
        <f>IF(_xlfn.XLOOKUP($B67,'ELC TECH'!$H:$H,'ELC TECH'!$E:$E)="Storage",DG$4*$BF67,"")</f>
        <v>3.6233333333333333E-2</v>
      </c>
      <c r="DH67" s="8">
        <f>IF(_xlfn.XLOOKUP($B67,'ELC TECH'!$H:$H,'ELC TECH'!$E:$E)="Storage",DH$4*$BF67,"")</f>
        <v>4.176666666666666E-2</v>
      </c>
      <c r="DI67" s="8">
        <f>IF(_xlfn.XLOOKUP($B67,'ELC TECH'!$H:$H,'ELC TECH'!$E:$E)="Storage",DI$4*$BF67,"")</f>
        <v>8.9999999999999998E-4</v>
      </c>
    </row>
    <row r="68" spans="2:113" x14ac:dyDescent="0.25">
      <c r="B68" t="str">
        <f>IF('ELC TECH'!I61=0,"*",'ELC TECH'!H61)</f>
        <v>ELCSTGGRDPSH8HC320</v>
      </c>
      <c r="C68" t="str">
        <f>IF(_xlfn.XLOOKUP(_xlfn.XLOOKUP(B68,'ELC TECH'!$H:$H,'ELC TECH'!$G:$G),List!C:C,List!B:B)="STG",D68,"ELC"&amp;_xlfn.XLOOKUP(_xlfn.XLOOKUP(B68,'ELC TECH'!H:H,'ELC TECH'!G:G),List!C:C,List!B:B))</f>
        <v>CELC</v>
      </c>
      <c r="D68" t="s">
        <v>544</v>
      </c>
      <c r="E68">
        <f>_xlfn.XLOOKUP(B68,'ELC TECH'!H:H,'ELC TECH'!D:D)</f>
        <v>2020</v>
      </c>
      <c r="F68">
        <f>_xlfn.XLOOKUP(B68,'ELC TECH'!H:H,'ELC TECH'!K:K)</f>
        <v>100</v>
      </c>
      <c r="G68">
        <f t="shared" si="5"/>
        <v>31.535999999999998</v>
      </c>
      <c r="H68">
        <f>IF(_xlfn.XLOOKUP(B68,'ELC TECH'!$H:$H,'ELC TECH'!$E:$E)="Storage",0.3,IF(_xlfn.XLOOKUP(B68,'ELC TECH'!$H:$H,'ELC TECH'!$E:$E)="Baseload",0.9,IF(_xlfn.XLOOKUP(B68,'ELC TECH'!$H:$H,'ELC TECH'!$E:$E)="Non Dispatchable",0.05,IF(_xlfn.XLOOKUP(B68,'ELC TECH'!$H:$H,'ELC TECH'!$E:$E)="Dispatchable",0.9,1))))</f>
        <v>0.3</v>
      </c>
      <c r="I68" s="13">
        <f>IF(_xlfn.XLOOKUP(B68,'ELC TECH'!H:H,'ELC TECH'!J:J)="","",_xlfn.XLOOKUP(B68,'ELC TECH'!H:H,'ELC TECH'!J:J))</f>
        <v>0</v>
      </c>
      <c r="J68" s="12" t="str">
        <f>IF(_xlfn.XLOOKUP($B68,'ELC TECH'!$H:$H,'ELC TECH'!$E:$E)="Storage","",IF(_xlfn.XLOOKUP($B68,'ELC TECH'!$H:$H,'ELC TECH'!AK:AK)="",1,_xlfn.XLOOKUP($B68,'ELC TECH'!$H:$H,'ELC TECH'!AK:AK)))</f>
        <v/>
      </c>
      <c r="K68" s="12" t="str">
        <f>IF(_xlfn.XLOOKUP($B68,'ELC TECH'!$H:$H,'ELC TECH'!$E:$E)="Storage","",IF(_xlfn.XLOOKUP($B68,'ELC TECH'!$H:$H,'ELC TECH'!AL:AL)="",1,_xlfn.XLOOKUP($B68,'ELC TECH'!$H:$H,'ELC TECH'!AL:AL)))</f>
        <v/>
      </c>
      <c r="L68" s="12" t="str">
        <f>IF(_xlfn.XLOOKUP($B68,'ELC TECH'!$H:$H,'ELC TECH'!$E:$E)="Storage","",IF(_xlfn.XLOOKUP($B68,'ELC TECH'!$H:$H,'ELC TECH'!AM:AM)="",1,_xlfn.XLOOKUP($B68,'ELC TECH'!$H:$H,'ELC TECH'!AM:AM)))</f>
        <v/>
      </c>
      <c r="M68" s="12" t="str">
        <f>IF(_xlfn.XLOOKUP($B68,'ELC TECH'!$H:$H,'ELC TECH'!$E:$E)="Storage","",IF(_xlfn.XLOOKUP($B68,'ELC TECH'!$H:$H,'ELC TECH'!AN:AN)="",1,_xlfn.XLOOKUP($B68,'ELC TECH'!$H:$H,'ELC TECH'!AN:AN)))</f>
        <v/>
      </c>
      <c r="N68" s="12" t="str">
        <f>IF(_xlfn.XLOOKUP($B68,'ELC TECH'!$H:$H,'ELC TECH'!$E:$E)="Storage","",IF(_xlfn.XLOOKUP($B68,'ELC TECH'!$H:$H,'ELC TECH'!AO:AO)="",1,_xlfn.XLOOKUP($B68,'ELC TECH'!$H:$H,'ELC TECH'!AO:AO)))</f>
        <v/>
      </c>
      <c r="O68" s="12" t="str">
        <f>IF(_xlfn.XLOOKUP($B68,'ELC TECH'!$H:$H,'ELC TECH'!$E:$E)="Storage","",IF(_xlfn.XLOOKUP($B68,'ELC TECH'!$H:$H,'ELC TECH'!AP:AP)="",1,_xlfn.XLOOKUP($B68,'ELC TECH'!$H:$H,'ELC TECH'!AP:AP)))</f>
        <v/>
      </c>
      <c r="P68" s="12" t="str">
        <f>IF(_xlfn.XLOOKUP($B68,'ELC TECH'!$H:$H,'ELC TECH'!$E:$E)="Storage","",IF(_xlfn.XLOOKUP($B68,'ELC TECH'!$H:$H,'ELC TECH'!AQ:AQ)="",1,_xlfn.XLOOKUP($B68,'ELC TECH'!$H:$H,'ELC TECH'!AQ:AQ)))</f>
        <v/>
      </c>
      <c r="Q68" s="12" t="str">
        <f>IF(_xlfn.XLOOKUP($B68,'ELC TECH'!$H:$H,'ELC TECH'!$E:$E)="Storage","",IF(_xlfn.XLOOKUP($B68,'ELC TECH'!$H:$H,'ELC TECH'!AR:AR)="",1,_xlfn.XLOOKUP($B68,'ELC TECH'!$H:$H,'ELC TECH'!AR:AR)))</f>
        <v/>
      </c>
      <c r="R68" s="12">
        <f>IF(_xlfn.XLOOKUP($B68,'ELC TECH'!$H:$H,'ELC TECH'!$E:$E)&lt;&gt;"Storage","",IF(_xlfn.XLOOKUP($B68,'ELC TECH'!$H:$H,'ELC TECH'!AK:AK)="",0.8,_xlfn.XLOOKUP($B68,'ELC TECH'!$H:$H,'ELC TECH'!AK:AK)))</f>
        <v>0.8</v>
      </c>
      <c r="S68" s="12">
        <f>IF(_xlfn.XLOOKUP($B68,'ELC TECH'!$H:$H,'ELC TECH'!$E:$E)&lt;&gt;"Storage","",IF(_xlfn.XLOOKUP($B68,'ELC TECH'!$H:$H,'ELC TECH'!AL:AL)="",0.8,_xlfn.XLOOKUP($B68,'ELC TECH'!$H:$H,'ELC TECH'!AL:AL)))</f>
        <v>0.8</v>
      </c>
      <c r="T68" s="12">
        <f>IF(_xlfn.XLOOKUP($B68,'ELC TECH'!$H:$H,'ELC TECH'!$E:$E)&lt;&gt;"Storage","",IF(_xlfn.XLOOKUP($B68,'ELC TECH'!$H:$H,'ELC TECH'!AM:AM)="",0.8,_xlfn.XLOOKUP($B68,'ELC TECH'!$H:$H,'ELC TECH'!AM:AM)))</f>
        <v>0.8</v>
      </c>
      <c r="U68" s="12">
        <f>IF(_xlfn.XLOOKUP($B68,'ELC TECH'!$H:$H,'ELC TECH'!$E:$E)&lt;&gt;"Storage","",IF(_xlfn.XLOOKUP($B68,'ELC TECH'!$H:$H,'ELC TECH'!AN:AN)="",0.8,_xlfn.XLOOKUP($B68,'ELC TECH'!$H:$H,'ELC TECH'!AN:AN)))</f>
        <v>0.8</v>
      </c>
      <c r="V68" s="12">
        <f>IF(_xlfn.XLOOKUP($B68,'ELC TECH'!$H:$H,'ELC TECH'!$E:$E)&lt;&gt;"Storage","",IF(_xlfn.XLOOKUP($B68,'ELC TECH'!$H:$H,'ELC TECH'!AO:AO)="",0.8,_xlfn.XLOOKUP($B68,'ELC TECH'!$H:$H,'ELC TECH'!AO:AO)))</f>
        <v>0.8</v>
      </c>
      <c r="W68" s="12">
        <f>IF(_xlfn.XLOOKUP($B68,'ELC TECH'!$H:$H,'ELC TECH'!$E:$E)&lt;&gt;"Storage","",IF(_xlfn.XLOOKUP($B68,'ELC TECH'!$H:$H,'ELC TECH'!AP:AP)="",0.8,_xlfn.XLOOKUP($B68,'ELC TECH'!$H:$H,'ELC TECH'!AP:AP)))</f>
        <v>0.8</v>
      </c>
      <c r="X68" s="12">
        <f>IF(_xlfn.XLOOKUP($B68,'ELC TECH'!$H:$H,'ELC TECH'!$E:$E)&lt;&gt;"Storage","",IF(_xlfn.XLOOKUP($B68,'ELC TECH'!$H:$H,'ELC TECH'!AQ:AQ)="",0.8,_xlfn.XLOOKUP($B68,'ELC TECH'!$H:$H,'ELC TECH'!AQ:AQ)))</f>
        <v>0.8</v>
      </c>
      <c r="Y68" s="12">
        <f>IF(_xlfn.XLOOKUP($B68,'ELC TECH'!$H:$H,'ELC TECH'!$E:$E)&lt;&gt;"Storage","",IF(_xlfn.XLOOKUP($B68,'ELC TECH'!$H:$H,'ELC TECH'!AR:AR)="",0.8,_xlfn.XLOOKUP($B68,'ELC TECH'!$H:$H,'ELC TECH'!AR:AR)))</f>
        <v>0.8</v>
      </c>
      <c r="Z68" s="15">
        <f>_xlfn.XLOOKUP($B68,'ELC TECH'!$H:$H,'ELC TECH'!M:M)</f>
        <v>2902.3052152757159</v>
      </c>
      <c r="AA68" s="15">
        <f>_xlfn.XLOOKUP($B68,'ELC TECH'!$H:$H,'ELC TECH'!N:N)</f>
        <v>2902.3052152757159</v>
      </c>
      <c r="AB68" s="15">
        <f>_xlfn.XLOOKUP($B68,'ELC TECH'!$H:$H,'ELC TECH'!O:O)</f>
        <v>2902.3052152757159</v>
      </c>
      <c r="AC68" s="15">
        <f>_xlfn.XLOOKUP($B68,'ELC TECH'!$H:$H,'ELC TECH'!P:P)</f>
        <v>2902.3052152757159</v>
      </c>
      <c r="AD68" s="15">
        <f>_xlfn.XLOOKUP($B68,'ELC TECH'!$H:$H,'ELC TECH'!Q:Q)</f>
        <v>2902.3052152757159</v>
      </c>
      <c r="AE68" s="15">
        <f>_xlfn.XLOOKUP($B68,'ELC TECH'!$H:$H,'ELC TECH'!R:R)</f>
        <v>2902.3052152757159</v>
      </c>
      <c r="AF68" s="15">
        <f>_xlfn.XLOOKUP($B68,'ELC TECH'!$H:$H,'ELC TECH'!S:S)</f>
        <v>2902.3052152757159</v>
      </c>
      <c r="AG68" s="15">
        <f>_xlfn.XLOOKUP($B68,'ELC TECH'!$H:$H,'ELC TECH'!T:T)</f>
        <v>2902.3052152757159</v>
      </c>
      <c r="AH68" s="15">
        <f>_xlfn.XLOOKUP($B68,'ELC TECH'!$H:$H,'ELC TECH'!U:U)</f>
        <v>21.100097091380029</v>
      </c>
      <c r="AI68" s="15">
        <f>_xlfn.XLOOKUP($B68,'ELC TECH'!$H:$H,'ELC TECH'!V:V)</f>
        <v>21.100097091380029</v>
      </c>
      <c r="AJ68" s="15">
        <f>_xlfn.XLOOKUP($B68,'ELC TECH'!$H:$H,'ELC TECH'!W:W)</f>
        <v>21.100097091380029</v>
      </c>
      <c r="AK68" s="15">
        <f>_xlfn.XLOOKUP($B68,'ELC TECH'!$H:$H,'ELC TECH'!X:X)</f>
        <v>21.100097091380029</v>
      </c>
      <c r="AL68" s="15">
        <f>_xlfn.XLOOKUP($B68,'ELC TECH'!$H:$H,'ELC TECH'!Y:Y)</f>
        <v>21.100097091380029</v>
      </c>
      <c r="AM68" s="15">
        <f>_xlfn.XLOOKUP($B68,'ELC TECH'!$H:$H,'ELC TECH'!Z:Z)</f>
        <v>21.100097091380029</v>
      </c>
      <c r="AN68" s="15">
        <f>_xlfn.XLOOKUP($B68,'ELC TECH'!$H:$H,'ELC TECH'!AA:AA)</f>
        <v>21.100097091380029</v>
      </c>
      <c r="AO68" s="15">
        <f>_xlfn.XLOOKUP($B68,'ELC TECH'!$H:$H,'ELC TECH'!AB:AB)</f>
        <v>21.100097091380029</v>
      </c>
      <c r="AP68" s="15">
        <f>_xlfn.XLOOKUP($B68,'ELC TECH'!$H:$H,'ELC TECH'!AC:AC)</f>
        <v>0.1696149283872993</v>
      </c>
      <c r="AQ68" s="15">
        <f>_xlfn.XLOOKUP($B68,'ELC TECH'!$H:$H,'ELC TECH'!AD:AD)</f>
        <v>0.1696149283872993</v>
      </c>
      <c r="AR68" s="15">
        <f>_xlfn.XLOOKUP($B68,'ELC TECH'!$H:$H,'ELC TECH'!AE:AE)</f>
        <v>0.1696149283872993</v>
      </c>
      <c r="AS68" s="15">
        <f>_xlfn.XLOOKUP($B68,'ELC TECH'!$H:$H,'ELC TECH'!AF:AF)</f>
        <v>0.1696149283872993</v>
      </c>
      <c r="AT68" s="15">
        <f>_xlfn.XLOOKUP($B68,'ELC TECH'!$H:$H,'ELC TECH'!AG:AG)</f>
        <v>0.1696149283872993</v>
      </c>
      <c r="AU68" s="15">
        <f>_xlfn.XLOOKUP($B68,'ELC TECH'!$H:$H,'ELC TECH'!AH:AH)</f>
        <v>0.1696149283872993</v>
      </c>
      <c r="AV68" s="15">
        <f>_xlfn.XLOOKUP($B68,'ELC TECH'!$H:$H,'ELC TECH'!AI:AI)</f>
        <v>0.1696149283872993</v>
      </c>
      <c r="AW68" s="15">
        <f>_xlfn.XLOOKUP($B68,'ELC TECH'!$H:$H,'ELC TECH'!AJ:AJ)</f>
        <v>0.1696149283872993</v>
      </c>
      <c r="AX68" s="12" t="str">
        <f>IF(_xlfn.XLOOKUP($B68,'ELC TECH'!$H:$H,'ELC TECH'!$E:$E)="Storage","",_xlfn.XLOOKUP($B68,'ELC TECH'!$H:$H,'ELC TECH'!AS:AS))</f>
        <v/>
      </c>
      <c r="AY68" s="12" t="str">
        <f>IF(_xlfn.XLOOKUP($B68,'ELC TECH'!$H:$H,'ELC TECH'!$E:$E)="Storage","",_xlfn.XLOOKUP($B68,'ELC TECH'!$H:$H,'ELC TECH'!AT:AT))</f>
        <v/>
      </c>
      <c r="AZ68" s="12" t="str">
        <f>IF(_xlfn.XLOOKUP($B68,'ELC TECH'!$H:$H,'ELC TECH'!$E:$E)="Storage","",_xlfn.XLOOKUP($B68,'ELC TECH'!$H:$H,'ELC TECH'!AU:AU))</f>
        <v/>
      </c>
      <c r="BA68" s="12" t="str">
        <f>IF(_xlfn.XLOOKUP($B68,'ELC TECH'!$H:$H,'ELC TECH'!$E:$E)="Storage","",_xlfn.XLOOKUP($B68,'ELC TECH'!$H:$H,'ELC TECH'!AV:AV))</f>
        <v/>
      </c>
      <c r="BB68" s="12" t="str">
        <f>IF(_xlfn.XLOOKUP($B68,'ELC TECH'!$H:$H,'ELC TECH'!$E:$E)="Storage","",_xlfn.XLOOKUP($B68,'ELC TECH'!$H:$H,'ELC TECH'!AW:AW))</f>
        <v/>
      </c>
      <c r="BC68" s="12" t="str">
        <f>IF(_xlfn.XLOOKUP($B68,'ELC TECH'!$H:$H,'ELC TECH'!$E:$E)="Storage","",_xlfn.XLOOKUP($B68,'ELC TECH'!$H:$H,'ELC TECH'!AX:AX))</f>
        <v/>
      </c>
      <c r="BD68" s="12" t="str">
        <f>IF(_xlfn.XLOOKUP($B68,'ELC TECH'!$H:$H,'ELC TECH'!$E:$E)="Storage","",_xlfn.XLOOKUP($B68,'ELC TECH'!$H:$H,'ELC TECH'!AY:AY))</f>
        <v/>
      </c>
      <c r="BE68" s="12" t="str">
        <f>IF(_xlfn.XLOOKUP($B68,'ELC TECH'!$H:$H,'ELC TECH'!$E:$E)="Storage","",_xlfn.XLOOKUP($B68,'ELC TECH'!$H:$H,'ELC TECH'!AZ:AZ))</f>
        <v/>
      </c>
      <c r="BF68" s="12">
        <f>IF(_xlfn.XLOOKUP($B68,'ELC TECH'!$H:$H,'ELC TECH'!$E:$E)="Storage",_xlfn.XLOOKUP($B68,'ELC TECH'!$H:$H,'ELC TECH'!AS:AS),"")</f>
        <v>0.33333333333333331</v>
      </c>
      <c r="BG68" s="12">
        <f>IF(_xlfn.XLOOKUP($B68,'ELC TECH'!$H:$H,'ELC TECH'!$E:$E)="Storage",_xlfn.XLOOKUP($B68,'ELC TECH'!$H:$H,'ELC TECH'!AT:AT),"")</f>
        <v>0.33333333333333331</v>
      </c>
      <c r="BH68" s="12">
        <f>IF(_xlfn.XLOOKUP($B68,'ELC TECH'!$H:$H,'ELC TECH'!$E:$E)="Storage",_xlfn.XLOOKUP($B68,'ELC TECH'!$H:$H,'ELC TECH'!AU:AU),"")</f>
        <v>0.33333333333333331</v>
      </c>
      <c r="BI68" s="12">
        <f>IF(_xlfn.XLOOKUP($B68,'ELC TECH'!$H:$H,'ELC TECH'!$E:$E)="Storage",_xlfn.XLOOKUP($B68,'ELC TECH'!$H:$H,'ELC TECH'!AV:AV),"")</f>
        <v>0.33333333333333331</v>
      </c>
      <c r="BJ68" s="12">
        <f>IF(_xlfn.XLOOKUP($B68,'ELC TECH'!$H:$H,'ELC TECH'!$E:$E)="Storage",_xlfn.XLOOKUP($B68,'ELC TECH'!$H:$H,'ELC TECH'!AW:AW),"")</f>
        <v>0.33333333333333331</v>
      </c>
      <c r="BK68" s="12">
        <f>IF(_xlfn.XLOOKUP($B68,'ELC TECH'!$H:$H,'ELC TECH'!$E:$E)="Storage",_xlfn.XLOOKUP($B68,'ELC TECH'!$H:$H,'ELC TECH'!AX:AX),"")</f>
        <v>0.33333333333333331</v>
      </c>
      <c r="BL68" s="12">
        <f>IF(_xlfn.XLOOKUP($B68,'ELC TECH'!$H:$H,'ELC TECH'!$E:$E)="Storage",_xlfn.XLOOKUP($B68,'ELC TECH'!$H:$H,'ELC TECH'!AY:AY),"")</f>
        <v>0.33333333333333331</v>
      </c>
      <c r="BM68" s="12">
        <f>IF(_xlfn.XLOOKUP($B68,'ELC TECH'!$H:$H,'ELC TECH'!$E:$E)="Storage",_xlfn.XLOOKUP($B68,'ELC TECH'!$H:$H,'ELC TECH'!AZ:AZ),"")</f>
        <v>0.33333333333333331</v>
      </c>
      <c r="BN68" s="8" t="str">
        <f>IF(_xlfn.XLOOKUP($B68,'ELC TECH'!$H:$H,'ELC TECH'!$E:$E)="Non Dispatchable",IFERROR($AX68*_xlfn.XLOOKUP($C68,$BM$1:$BM$3,BN$1:BN$3)/SUMPRODUCT(_xlfn.XLOOKUP($C68,$BM$1:$BM$3,$BN$1:$BY$3),$BN$4:$BY$4),""),
"")</f>
        <v/>
      </c>
      <c r="BO68" s="8" t="str">
        <f>IF(_xlfn.XLOOKUP($B68,'ELC TECH'!$H:$H,'ELC TECH'!$E:$E)="Non Dispatchable",IFERROR($AX68*_xlfn.XLOOKUP($C68,$BM$1:$BM$3,BO$1:BO$3)/SUMPRODUCT(_xlfn.XLOOKUP($C68,$BM$1:$BM$3,$BN$1:$BY$3),$BN$4:$BY$4),""),
"")</f>
        <v/>
      </c>
      <c r="BP68" s="8" t="str">
        <f>IF(_xlfn.XLOOKUP($B68,'ELC TECH'!$H:$H,'ELC TECH'!$E:$E)="Non Dispatchable",IFERROR($AX68*_xlfn.XLOOKUP($C68,$BM$1:$BM$3,BP$1:BP$3)/SUMPRODUCT(_xlfn.XLOOKUP($C68,$BM$1:$BM$3,$BN$1:$BY$3),$BN$4:$BY$4),""),
"")</f>
        <v/>
      </c>
      <c r="BQ68" s="8" t="str">
        <f>IF(_xlfn.XLOOKUP($B68,'ELC TECH'!$H:$H,'ELC TECH'!$E:$E)="Non Dispatchable",IFERROR($AX68*_xlfn.XLOOKUP($C68,$BM$1:$BM$3,BQ$1:BQ$3)/SUMPRODUCT(_xlfn.XLOOKUP($C68,$BM$1:$BM$3,$BN$1:$BY$3),$BN$4:$BY$4),""),
"")</f>
        <v/>
      </c>
      <c r="BR68" s="8" t="str">
        <f>IF(_xlfn.XLOOKUP($B68,'ELC TECH'!$H:$H,'ELC TECH'!$E:$E)="Non Dispatchable",IFERROR($AX68*_xlfn.XLOOKUP($C68,$BM$1:$BM$3,BR$1:BR$3)/SUMPRODUCT(_xlfn.XLOOKUP($C68,$BM$1:$BM$3,$BN$1:$BY$3),$BN$4:$BY$4),""),
"")</f>
        <v/>
      </c>
      <c r="BS68" s="8" t="str">
        <f>IF(_xlfn.XLOOKUP($B68,'ELC TECH'!$H:$H,'ELC TECH'!$E:$E)="Non Dispatchable",IFERROR($AX68*_xlfn.XLOOKUP($C68,$BM$1:$BM$3,BS$1:BS$3)/SUMPRODUCT(_xlfn.XLOOKUP($C68,$BM$1:$BM$3,$BN$1:$BY$3),$BN$4:$BY$4),""),
"")</f>
        <v/>
      </c>
      <c r="BT68" s="8" t="str">
        <f>IF(_xlfn.XLOOKUP($B68,'ELC TECH'!$H:$H,'ELC TECH'!$E:$E)="Non Dispatchable",IFERROR($AX68*_xlfn.XLOOKUP($C68,$BM$1:$BM$3,BT$1:BT$3)/SUMPRODUCT(_xlfn.XLOOKUP($C68,$BM$1:$BM$3,$BN$1:$BY$3),$BN$4:$BY$4),""),
"")</f>
        <v/>
      </c>
      <c r="BU68" s="8" t="str">
        <f>IF(_xlfn.XLOOKUP($B68,'ELC TECH'!$H:$H,'ELC TECH'!$E:$E)="Non Dispatchable",IFERROR($AX68*_xlfn.XLOOKUP($C68,$BM$1:$BM$3,BU$1:BU$3)/SUMPRODUCT(_xlfn.XLOOKUP($C68,$BM$1:$BM$3,$BN$1:$BY$3),$BN$4:$BY$4),""),
"")</f>
        <v/>
      </c>
      <c r="BV68" s="8" t="str">
        <f>IF(_xlfn.XLOOKUP($B68,'ELC TECH'!$H:$H,'ELC TECH'!$E:$E)="Non Dispatchable",IFERROR($AX68*_xlfn.XLOOKUP($C68,$BM$1:$BM$3,BV$1:BV$3)/SUMPRODUCT(_xlfn.XLOOKUP($C68,$BM$1:$BM$3,$BN$1:$BY$3),$BN$4:$BY$4),""),
"")</f>
        <v/>
      </c>
      <c r="BW68" s="8" t="str">
        <f>IF(_xlfn.XLOOKUP($B68,'ELC TECH'!$H:$H,'ELC TECH'!$E:$E)="Non Dispatchable",IFERROR($AX68*_xlfn.XLOOKUP($C68,$BM$1:$BM$3,BW$1:BW$3)/SUMPRODUCT(_xlfn.XLOOKUP($C68,$BM$1:$BM$3,$BN$1:$BY$3),$BN$4:$BY$4),""),
"")</f>
        <v/>
      </c>
      <c r="BX68" s="8" t="str">
        <f>IF(_xlfn.XLOOKUP($B68,'ELC TECH'!$H:$H,'ELC TECH'!$E:$E)="Non Dispatchable",IFERROR($AX68*_xlfn.XLOOKUP($C68,$BM$1:$BM$3,BX$1:BX$3)/SUMPRODUCT(_xlfn.XLOOKUP($C68,$BM$1:$BM$3,$BN$1:$BY$3),$BN$4:$BY$4),""),
"")</f>
        <v/>
      </c>
      <c r="BY68" s="8" t="str">
        <f>IF(_xlfn.XLOOKUP($B68,'ELC TECH'!$H:$H,'ELC TECH'!$E:$E)="Non Dispatchable",IFERROR($AX68*_xlfn.XLOOKUP($C68,$BM$1:$BM$3,BY$1:BY$3)/SUMPRODUCT(_xlfn.XLOOKUP($C68,$BM$1:$BM$3,$BN$1:$BY$3),$BN$4:$BY$4),""),
"")</f>
        <v/>
      </c>
      <c r="BZ68" s="8" t="str">
        <f>IF(_xlfn.XLOOKUP($B68,'ELC TECH'!$H:$H,'ELC TECH'!$E:$E)="Non Dispatchable",IFERROR($AX68*_xlfn.XLOOKUP($C68,$BM$1:$BM$3,BZ$1:BZ$3)/SUMPRODUCT(_xlfn.XLOOKUP($C68,$BM$1:$BM$3,$BN$1:$BY$3),$BN$4:$BY$4),""),
"")</f>
        <v/>
      </c>
      <c r="CA68" s="8" t="str">
        <f>IF(_xlfn.XLOOKUP($B68,'ELC TECH'!$H:$H,'ELC TECH'!$E:$E)="Non Dispatchable",IFERROR($AX68*_xlfn.XLOOKUP($C68,$BM$1:$BM$3,CA$1:CA$3)/SUMPRODUCT(_xlfn.XLOOKUP($C68,$BM$1:$BM$3,$BN$1:$BY$3),$BN$4:$BY$4),""),
"")</f>
        <v/>
      </c>
      <c r="CB68" s="8" t="str">
        <f>IF(_xlfn.XLOOKUP($B68,'ELC TECH'!$H:$H,'ELC TECH'!$E:$E)="Non Dispatchable",IFERROR($AX68*_xlfn.XLOOKUP($C68,$BM$1:$BM$3,CB$1:CB$3)/SUMPRODUCT(_xlfn.XLOOKUP($C68,$BM$1:$BM$3,$BN$1:$BY$3),$BN$4:$BY$4),""),
"")</f>
        <v/>
      </c>
      <c r="CC68" s="8" t="str">
        <f>IF(_xlfn.XLOOKUP($B68,'ELC TECH'!$H:$H,'ELC TECH'!$E:$E)="Non Dispatchable",IFERROR($AX68*_xlfn.XLOOKUP($C68,$BM$1:$BM$3,CC$1:CC$3)/SUMPRODUCT(_xlfn.XLOOKUP($C68,$BM$1:$BM$3,$BN$1:$BY$3),$BN$4:$BY$4),""),
"")</f>
        <v/>
      </c>
      <c r="CD68" s="8" t="str">
        <f>IF(_xlfn.XLOOKUP($B68,'ELC TECH'!$H:$H,'ELC TECH'!$E:$E)="Non Dispatchable",IFERROR($AX68*_xlfn.XLOOKUP($C68,$BM$1:$BM$3,CD$1:CD$3)/SUMPRODUCT(_xlfn.XLOOKUP($C68,$BM$1:$BM$3,$BN$1:$BY$3),$BN$4:$BY$4),""),
"")</f>
        <v/>
      </c>
      <c r="CE68" s="8" t="str">
        <f>IF(_xlfn.XLOOKUP($B68,'ELC TECH'!$H:$H,'ELC TECH'!$E:$E)="Non Dispatchable",IFERROR($AX68*_xlfn.XLOOKUP($C68,$BM$1:$BM$3,CE$1:CE$3)/SUMPRODUCT(_xlfn.XLOOKUP($C68,$BM$1:$BM$3,$BN$1:$BY$3),$BN$4:$BY$4),""),
"")</f>
        <v/>
      </c>
      <c r="CF68" s="8" t="str">
        <f>IF(_xlfn.XLOOKUP($B68,'ELC TECH'!$H:$H,'ELC TECH'!$E:$E)="Non Dispatchable",IFERROR($AX68*_xlfn.XLOOKUP($C68,$BM$1:$BM$3,CF$1:CF$3)/SUMPRODUCT(_xlfn.XLOOKUP($C68,$BM$1:$BM$3,$BN$1:$BY$3),$BN$4:$BY$4),""),
"")</f>
        <v/>
      </c>
      <c r="CG68" s="8" t="str">
        <f>IF(_xlfn.XLOOKUP($B68,'ELC TECH'!$H:$H,'ELC TECH'!$E:$E)="Non Dispatchable",IFERROR($AX68*_xlfn.XLOOKUP($C68,$BM$1:$BM$3,CG$1:CG$3)/SUMPRODUCT(_xlfn.XLOOKUP($C68,$BM$1:$BM$3,$BN$1:$BY$3),$BN$4:$BY$4),""),
"")</f>
        <v/>
      </c>
      <c r="CH68" s="8" t="str">
        <f>IF(_xlfn.XLOOKUP($B68,'ELC TECH'!$H:$H,'ELC TECH'!$E:$E)="Non Dispatchable",IFERROR($AX68*_xlfn.XLOOKUP($C68,$BM$1:$BM$3,CH$1:CH$3)/SUMPRODUCT(_xlfn.XLOOKUP($C68,$BM$1:$BM$3,$BN$1:$BY$3),$BN$4:$BY$4),""),
"")</f>
        <v/>
      </c>
      <c r="CI68" s="8" t="str">
        <f>IF(_xlfn.XLOOKUP($B68,'ELC TECH'!$H:$H,'ELC TECH'!$E:$E)="Non Dispatchable",IFERROR($AX68*_xlfn.XLOOKUP($C68,$BM$1:$BM$3,CI$1:CI$3)/SUMPRODUCT(_xlfn.XLOOKUP($C68,$BM$1:$BM$3,$BN$1:$BY$3),$BN$4:$BY$4),""),
"")</f>
        <v/>
      </c>
      <c r="CJ68" s="8" t="str">
        <f>IF(_xlfn.XLOOKUP($B68,'ELC TECH'!$H:$H,'ELC TECH'!$E:$E)="Non Dispatchable",IFERROR($AX68*_xlfn.XLOOKUP($C68,$BM$1:$BM$3,CJ$1:CJ$3)/SUMPRODUCT(_xlfn.XLOOKUP($C68,$BM$1:$BM$3,$BN$1:$BY$3),$BN$4:$BY$4),""),
"")</f>
        <v/>
      </c>
      <c r="CK68" s="8" t="str">
        <f>IF(_xlfn.XLOOKUP($B68,'ELC TECH'!$H:$H,'ELC TECH'!$E:$E)="Non Dispatchable",IFERROR($AX68*_xlfn.XLOOKUP($C68,$BM$1:$BM$3,CK$1:CK$3)/SUMPRODUCT(_xlfn.XLOOKUP($C68,$BM$1:$BM$3,$BN$1:$BY$3),$BN$4:$BY$4),""),
"")</f>
        <v/>
      </c>
      <c r="CL68" s="8">
        <f>IF(_xlfn.XLOOKUP($B68,'ELC TECH'!$H:$H,'ELC TECH'!$E:$E)="Storage",CL$4*$BF68,"")</f>
        <v>2.7399999999999997E-2</v>
      </c>
      <c r="CM68" s="8">
        <f>IF(_xlfn.XLOOKUP($B68,'ELC TECH'!$H:$H,'ELC TECH'!$E:$E)="Storage",CM$4*$BF68,"")</f>
        <v>3.1899999999999998E-2</v>
      </c>
      <c r="CN68" s="8">
        <f>IF(_xlfn.XLOOKUP($B68,'ELC TECH'!$H:$H,'ELC TECH'!$E:$E)="Storage",CN$4*$BF68,"")</f>
        <v>5.1066666666666663E-2</v>
      </c>
      <c r="CO68" s="8">
        <f>IF(_xlfn.XLOOKUP($B68,'ELC TECH'!$H:$H,'ELC TECH'!$E:$E)="Storage",CO$4*$BF68,"")</f>
        <v>1.0666666666666667E-3</v>
      </c>
      <c r="CP68" s="8">
        <f>IF(_xlfn.XLOOKUP($B68,'ELC TECH'!$H:$H,'ELC TECH'!$E:$E)="Storage",CP$4*$BF68,"")</f>
        <v>2.7166666666666665E-2</v>
      </c>
      <c r="CQ68" s="8">
        <f>IF(_xlfn.XLOOKUP($B68,'ELC TECH'!$H:$H,'ELC TECH'!$E:$E)="Storage",CQ$4*$BF68,"")</f>
        <v>3.6233333333333333E-2</v>
      </c>
      <c r="CR68" s="8">
        <f>IF(_xlfn.XLOOKUP($B68,'ELC TECH'!$H:$H,'ELC TECH'!$E:$E)="Storage",CR$4*$BF68,"")</f>
        <v>4.6033333333333329E-2</v>
      </c>
      <c r="CS68" s="8">
        <f>IF(_xlfn.XLOOKUP($B68,'ELC TECH'!$H:$H,'ELC TECH'!$E:$E)="Storage",CS$4*$BF68,"")</f>
        <v>1.0666666666666667E-3</v>
      </c>
      <c r="CT68" s="8">
        <f>IF(_xlfn.XLOOKUP($B68,'ELC TECH'!$H:$H,'ELC TECH'!$E:$E)="Storage",CT$4*$BF68,"")</f>
        <v>3.2500000000000001E-2</v>
      </c>
      <c r="CU68" s="8">
        <f>IF(_xlfn.XLOOKUP($B68,'ELC TECH'!$H:$H,'ELC TECH'!$E:$E)="Storage",CU$4*$BF68,"")</f>
        <v>3.6233333333333333E-2</v>
      </c>
      <c r="CV68" s="8">
        <f>IF(_xlfn.XLOOKUP($B68,'ELC TECH'!$H:$H,'ELC TECH'!$E:$E)="Storage",CV$4*$BF68,"")</f>
        <v>4.176666666666666E-2</v>
      </c>
      <c r="CW68" s="8">
        <f>IF(_xlfn.XLOOKUP($B68,'ELC TECH'!$H:$H,'ELC TECH'!$E:$E)="Storage",CW$4*$BF68,"")</f>
        <v>8.9999999999999998E-4</v>
      </c>
      <c r="CX68" s="8">
        <f>IF(_xlfn.XLOOKUP($B68,'ELC TECH'!$H:$H,'ELC TECH'!$E:$E)="Storage",CX$4*$BF68,"")</f>
        <v>2.7399999999999997E-2</v>
      </c>
      <c r="CY68" s="8">
        <f>IF(_xlfn.XLOOKUP($B68,'ELC TECH'!$H:$H,'ELC TECH'!$E:$E)="Storage",CY$4*$BF68,"")</f>
        <v>3.1899999999999998E-2</v>
      </c>
      <c r="CZ68" s="8">
        <f>IF(_xlfn.XLOOKUP($B68,'ELC TECH'!$H:$H,'ELC TECH'!$E:$E)="Storage",CZ$4*$BF68,"")</f>
        <v>5.1066666666666663E-2</v>
      </c>
      <c r="DA68" s="8">
        <f>IF(_xlfn.XLOOKUP($B68,'ELC TECH'!$H:$H,'ELC TECH'!$E:$E)="Storage",DA$4*$BF68,"")</f>
        <v>1.0666666666666667E-3</v>
      </c>
      <c r="DB68" s="8">
        <f>IF(_xlfn.XLOOKUP($B68,'ELC TECH'!$H:$H,'ELC TECH'!$E:$E)="Storage",DB$4*$BF68,"")</f>
        <v>2.7166666666666665E-2</v>
      </c>
      <c r="DC68" s="8">
        <f>IF(_xlfn.XLOOKUP($B68,'ELC TECH'!$H:$H,'ELC TECH'!$E:$E)="Storage",DC$4*$BF68,"")</f>
        <v>3.6233333333333333E-2</v>
      </c>
      <c r="DD68" s="8">
        <f>IF(_xlfn.XLOOKUP($B68,'ELC TECH'!$H:$H,'ELC TECH'!$E:$E)="Storage",DD$4*$BF68,"")</f>
        <v>4.6033333333333329E-2</v>
      </c>
      <c r="DE68" s="8">
        <f>IF(_xlfn.XLOOKUP($B68,'ELC TECH'!$H:$H,'ELC TECH'!$E:$E)="Storage",DE$4*$BF68,"")</f>
        <v>1.0666666666666667E-3</v>
      </c>
      <c r="DF68" s="8">
        <f>IF(_xlfn.XLOOKUP($B68,'ELC TECH'!$H:$H,'ELC TECH'!$E:$E)="Storage",DF$4*$BF68,"")</f>
        <v>3.2500000000000001E-2</v>
      </c>
      <c r="DG68" s="8">
        <f>IF(_xlfn.XLOOKUP($B68,'ELC TECH'!$H:$H,'ELC TECH'!$E:$E)="Storage",DG$4*$BF68,"")</f>
        <v>3.6233333333333333E-2</v>
      </c>
      <c r="DH68" s="8">
        <f>IF(_xlfn.XLOOKUP($B68,'ELC TECH'!$H:$H,'ELC TECH'!$E:$E)="Storage",DH$4*$BF68,"")</f>
        <v>4.176666666666666E-2</v>
      </c>
      <c r="DI68" s="8">
        <f>IF(_xlfn.XLOOKUP($B68,'ELC TECH'!$H:$H,'ELC TECH'!$E:$E)="Storage",DI$4*$BF68,"")</f>
        <v>8.9999999999999998E-4</v>
      </c>
    </row>
    <row r="69" spans="2:113" x14ac:dyDescent="0.25">
      <c r="B69" t="str">
        <f>IF('ELC TECH'!I62=0,"*",'ELC TECH'!H62)</f>
        <v>ELCSTGGRDPSH8HC420</v>
      </c>
      <c r="C69" t="str">
        <f>IF(_xlfn.XLOOKUP(_xlfn.XLOOKUP(B69,'ELC TECH'!$H:$H,'ELC TECH'!$G:$G),List!C:C,List!B:B)="STG",D69,"ELC"&amp;_xlfn.XLOOKUP(_xlfn.XLOOKUP(B69,'ELC TECH'!H:H,'ELC TECH'!G:G),List!C:C,List!B:B))</f>
        <v>CELC</v>
      </c>
      <c r="D69" t="s">
        <v>544</v>
      </c>
      <c r="E69">
        <f>_xlfn.XLOOKUP(B69,'ELC TECH'!H:H,'ELC TECH'!D:D)</f>
        <v>2020</v>
      </c>
      <c r="F69">
        <f>_xlfn.XLOOKUP(B69,'ELC TECH'!H:H,'ELC TECH'!K:K)</f>
        <v>100</v>
      </c>
      <c r="G69">
        <f t="shared" si="5"/>
        <v>31.535999999999998</v>
      </c>
      <c r="H69">
        <f>IF(_xlfn.XLOOKUP(B69,'ELC TECH'!$H:$H,'ELC TECH'!$E:$E)="Storage",0.3,IF(_xlfn.XLOOKUP(B69,'ELC TECH'!$H:$H,'ELC TECH'!$E:$E)="Baseload",0.9,IF(_xlfn.XLOOKUP(B69,'ELC TECH'!$H:$H,'ELC TECH'!$E:$E)="Non Dispatchable",0.05,IF(_xlfn.XLOOKUP(B69,'ELC TECH'!$H:$H,'ELC TECH'!$E:$E)="Dispatchable",0.9,1))))</f>
        <v>0.3</v>
      </c>
      <c r="I69" s="13">
        <f>IF(_xlfn.XLOOKUP(B69,'ELC TECH'!H:H,'ELC TECH'!J:J)="","",_xlfn.XLOOKUP(B69,'ELC TECH'!H:H,'ELC TECH'!J:J))</f>
        <v>0</v>
      </c>
      <c r="J69" s="12" t="str">
        <f>IF(_xlfn.XLOOKUP($B69,'ELC TECH'!$H:$H,'ELC TECH'!$E:$E)="Storage","",IF(_xlfn.XLOOKUP($B69,'ELC TECH'!$H:$H,'ELC TECH'!AK:AK)="",1,_xlfn.XLOOKUP($B69,'ELC TECH'!$H:$H,'ELC TECH'!AK:AK)))</f>
        <v/>
      </c>
      <c r="K69" s="12" t="str">
        <f>IF(_xlfn.XLOOKUP($B69,'ELC TECH'!$H:$H,'ELC TECH'!$E:$E)="Storage","",IF(_xlfn.XLOOKUP($B69,'ELC TECH'!$H:$H,'ELC TECH'!AL:AL)="",1,_xlfn.XLOOKUP($B69,'ELC TECH'!$H:$H,'ELC TECH'!AL:AL)))</f>
        <v/>
      </c>
      <c r="L69" s="12" t="str">
        <f>IF(_xlfn.XLOOKUP($B69,'ELC TECH'!$H:$H,'ELC TECH'!$E:$E)="Storage","",IF(_xlfn.XLOOKUP($B69,'ELC TECH'!$H:$H,'ELC TECH'!AM:AM)="",1,_xlfn.XLOOKUP($B69,'ELC TECH'!$H:$H,'ELC TECH'!AM:AM)))</f>
        <v/>
      </c>
      <c r="M69" s="12" t="str">
        <f>IF(_xlfn.XLOOKUP($B69,'ELC TECH'!$H:$H,'ELC TECH'!$E:$E)="Storage","",IF(_xlfn.XLOOKUP($B69,'ELC TECH'!$H:$H,'ELC TECH'!AN:AN)="",1,_xlfn.XLOOKUP($B69,'ELC TECH'!$H:$H,'ELC TECH'!AN:AN)))</f>
        <v/>
      </c>
      <c r="N69" s="12" t="str">
        <f>IF(_xlfn.XLOOKUP($B69,'ELC TECH'!$H:$H,'ELC TECH'!$E:$E)="Storage","",IF(_xlfn.XLOOKUP($B69,'ELC TECH'!$H:$H,'ELC TECH'!AO:AO)="",1,_xlfn.XLOOKUP($B69,'ELC TECH'!$H:$H,'ELC TECH'!AO:AO)))</f>
        <v/>
      </c>
      <c r="O69" s="12" t="str">
        <f>IF(_xlfn.XLOOKUP($B69,'ELC TECH'!$H:$H,'ELC TECH'!$E:$E)="Storage","",IF(_xlfn.XLOOKUP($B69,'ELC TECH'!$H:$H,'ELC TECH'!AP:AP)="",1,_xlfn.XLOOKUP($B69,'ELC TECH'!$H:$H,'ELC TECH'!AP:AP)))</f>
        <v/>
      </c>
      <c r="P69" s="12" t="str">
        <f>IF(_xlfn.XLOOKUP($B69,'ELC TECH'!$H:$H,'ELC TECH'!$E:$E)="Storage","",IF(_xlfn.XLOOKUP($B69,'ELC TECH'!$H:$H,'ELC TECH'!AQ:AQ)="",1,_xlfn.XLOOKUP($B69,'ELC TECH'!$H:$H,'ELC TECH'!AQ:AQ)))</f>
        <v/>
      </c>
      <c r="Q69" s="12" t="str">
        <f>IF(_xlfn.XLOOKUP($B69,'ELC TECH'!$H:$H,'ELC TECH'!$E:$E)="Storage","",IF(_xlfn.XLOOKUP($B69,'ELC TECH'!$H:$H,'ELC TECH'!AR:AR)="",1,_xlfn.XLOOKUP($B69,'ELC TECH'!$H:$H,'ELC TECH'!AR:AR)))</f>
        <v/>
      </c>
      <c r="R69" s="12">
        <f>IF(_xlfn.XLOOKUP($B69,'ELC TECH'!$H:$H,'ELC TECH'!$E:$E)&lt;&gt;"Storage","",IF(_xlfn.XLOOKUP($B69,'ELC TECH'!$H:$H,'ELC TECH'!AK:AK)="",0.8,_xlfn.XLOOKUP($B69,'ELC TECH'!$H:$H,'ELC TECH'!AK:AK)))</f>
        <v>0.8</v>
      </c>
      <c r="S69" s="12">
        <f>IF(_xlfn.XLOOKUP($B69,'ELC TECH'!$H:$H,'ELC TECH'!$E:$E)&lt;&gt;"Storage","",IF(_xlfn.XLOOKUP($B69,'ELC TECH'!$H:$H,'ELC TECH'!AL:AL)="",0.8,_xlfn.XLOOKUP($B69,'ELC TECH'!$H:$H,'ELC TECH'!AL:AL)))</f>
        <v>0.8</v>
      </c>
      <c r="T69" s="12">
        <f>IF(_xlfn.XLOOKUP($B69,'ELC TECH'!$H:$H,'ELC TECH'!$E:$E)&lt;&gt;"Storage","",IF(_xlfn.XLOOKUP($B69,'ELC TECH'!$H:$H,'ELC TECH'!AM:AM)="",0.8,_xlfn.XLOOKUP($B69,'ELC TECH'!$H:$H,'ELC TECH'!AM:AM)))</f>
        <v>0.8</v>
      </c>
      <c r="U69" s="12">
        <f>IF(_xlfn.XLOOKUP($B69,'ELC TECH'!$H:$H,'ELC TECH'!$E:$E)&lt;&gt;"Storage","",IF(_xlfn.XLOOKUP($B69,'ELC TECH'!$H:$H,'ELC TECH'!AN:AN)="",0.8,_xlfn.XLOOKUP($B69,'ELC TECH'!$H:$H,'ELC TECH'!AN:AN)))</f>
        <v>0.8</v>
      </c>
      <c r="V69" s="12">
        <f>IF(_xlfn.XLOOKUP($B69,'ELC TECH'!$H:$H,'ELC TECH'!$E:$E)&lt;&gt;"Storage","",IF(_xlfn.XLOOKUP($B69,'ELC TECH'!$H:$H,'ELC TECH'!AO:AO)="",0.8,_xlfn.XLOOKUP($B69,'ELC TECH'!$H:$H,'ELC TECH'!AO:AO)))</f>
        <v>0.8</v>
      </c>
      <c r="W69" s="12">
        <f>IF(_xlfn.XLOOKUP($B69,'ELC TECH'!$H:$H,'ELC TECH'!$E:$E)&lt;&gt;"Storage","",IF(_xlfn.XLOOKUP($B69,'ELC TECH'!$H:$H,'ELC TECH'!AP:AP)="",0.8,_xlfn.XLOOKUP($B69,'ELC TECH'!$H:$H,'ELC TECH'!AP:AP)))</f>
        <v>0.8</v>
      </c>
      <c r="X69" s="12">
        <f>IF(_xlfn.XLOOKUP($B69,'ELC TECH'!$H:$H,'ELC TECH'!$E:$E)&lt;&gt;"Storage","",IF(_xlfn.XLOOKUP($B69,'ELC TECH'!$H:$H,'ELC TECH'!AQ:AQ)="",0.8,_xlfn.XLOOKUP($B69,'ELC TECH'!$H:$H,'ELC TECH'!AQ:AQ)))</f>
        <v>0.8</v>
      </c>
      <c r="Y69" s="12">
        <f>IF(_xlfn.XLOOKUP($B69,'ELC TECH'!$H:$H,'ELC TECH'!$E:$E)&lt;&gt;"Storage","",IF(_xlfn.XLOOKUP($B69,'ELC TECH'!$H:$H,'ELC TECH'!AR:AR)="",0.8,_xlfn.XLOOKUP($B69,'ELC TECH'!$H:$H,'ELC TECH'!AR:AR)))</f>
        <v>0.8</v>
      </c>
      <c r="Z69" s="15">
        <f>_xlfn.XLOOKUP($B69,'ELC TECH'!$H:$H,'ELC TECH'!M:M)</f>
        <v>3059.5593302806092</v>
      </c>
      <c r="AA69" s="15">
        <f>_xlfn.XLOOKUP($B69,'ELC TECH'!$H:$H,'ELC TECH'!N:N)</f>
        <v>3059.5593302806092</v>
      </c>
      <c r="AB69" s="15">
        <f>_xlfn.XLOOKUP($B69,'ELC TECH'!$H:$H,'ELC TECH'!O:O)</f>
        <v>3059.5593302806092</v>
      </c>
      <c r="AC69" s="15">
        <f>_xlfn.XLOOKUP($B69,'ELC TECH'!$H:$H,'ELC TECH'!P:P)</f>
        <v>3059.5593302806092</v>
      </c>
      <c r="AD69" s="15">
        <f>_xlfn.XLOOKUP($B69,'ELC TECH'!$H:$H,'ELC TECH'!Q:Q)</f>
        <v>3059.5593302806092</v>
      </c>
      <c r="AE69" s="15">
        <f>_xlfn.XLOOKUP($B69,'ELC TECH'!$H:$H,'ELC TECH'!R:R)</f>
        <v>3059.5593302806092</v>
      </c>
      <c r="AF69" s="15">
        <f>_xlfn.XLOOKUP($B69,'ELC TECH'!$H:$H,'ELC TECH'!S:S)</f>
        <v>3059.5593302806092</v>
      </c>
      <c r="AG69" s="15">
        <f>_xlfn.XLOOKUP($B69,'ELC TECH'!$H:$H,'ELC TECH'!T:T)</f>
        <v>3059.5593302806092</v>
      </c>
      <c r="AH69" s="15">
        <f>_xlfn.XLOOKUP($B69,'ELC TECH'!$H:$H,'ELC TECH'!U:U)</f>
        <v>21.100097091380029</v>
      </c>
      <c r="AI69" s="15">
        <f>_xlfn.XLOOKUP($B69,'ELC TECH'!$H:$H,'ELC TECH'!V:V)</f>
        <v>21.100097091380029</v>
      </c>
      <c r="AJ69" s="15">
        <f>_xlfn.XLOOKUP($B69,'ELC TECH'!$H:$H,'ELC TECH'!W:W)</f>
        <v>21.100097091380029</v>
      </c>
      <c r="AK69" s="15">
        <f>_xlfn.XLOOKUP($B69,'ELC TECH'!$H:$H,'ELC TECH'!X:X)</f>
        <v>21.100097091380029</v>
      </c>
      <c r="AL69" s="15">
        <f>_xlfn.XLOOKUP($B69,'ELC TECH'!$H:$H,'ELC TECH'!Y:Y)</f>
        <v>21.100097091380029</v>
      </c>
      <c r="AM69" s="15">
        <f>_xlfn.XLOOKUP($B69,'ELC TECH'!$H:$H,'ELC TECH'!Z:Z)</f>
        <v>21.100097091380029</v>
      </c>
      <c r="AN69" s="15">
        <f>_xlfn.XLOOKUP($B69,'ELC TECH'!$H:$H,'ELC TECH'!AA:AA)</f>
        <v>21.100097091380029</v>
      </c>
      <c r="AO69" s="15">
        <f>_xlfn.XLOOKUP($B69,'ELC TECH'!$H:$H,'ELC TECH'!AB:AB)</f>
        <v>21.100097091380029</v>
      </c>
      <c r="AP69" s="15">
        <f>_xlfn.XLOOKUP($B69,'ELC TECH'!$H:$H,'ELC TECH'!AC:AC)</f>
        <v>0.1696149283872993</v>
      </c>
      <c r="AQ69" s="15">
        <f>_xlfn.XLOOKUP($B69,'ELC TECH'!$H:$H,'ELC TECH'!AD:AD)</f>
        <v>0.1696149283872993</v>
      </c>
      <c r="AR69" s="15">
        <f>_xlfn.XLOOKUP($B69,'ELC TECH'!$H:$H,'ELC TECH'!AE:AE)</f>
        <v>0.1696149283872993</v>
      </c>
      <c r="AS69" s="15">
        <f>_xlfn.XLOOKUP($B69,'ELC TECH'!$H:$H,'ELC TECH'!AF:AF)</f>
        <v>0.1696149283872993</v>
      </c>
      <c r="AT69" s="15">
        <f>_xlfn.XLOOKUP($B69,'ELC TECH'!$H:$H,'ELC TECH'!AG:AG)</f>
        <v>0.1696149283872993</v>
      </c>
      <c r="AU69" s="15">
        <f>_xlfn.XLOOKUP($B69,'ELC TECH'!$H:$H,'ELC TECH'!AH:AH)</f>
        <v>0.1696149283872993</v>
      </c>
      <c r="AV69" s="15">
        <f>_xlfn.XLOOKUP($B69,'ELC TECH'!$H:$H,'ELC TECH'!AI:AI)</f>
        <v>0.1696149283872993</v>
      </c>
      <c r="AW69" s="15">
        <f>_xlfn.XLOOKUP($B69,'ELC TECH'!$H:$H,'ELC TECH'!AJ:AJ)</f>
        <v>0.1696149283872993</v>
      </c>
      <c r="AX69" s="12" t="str">
        <f>IF(_xlfn.XLOOKUP($B69,'ELC TECH'!$H:$H,'ELC TECH'!$E:$E)="Storage","",_xlfn.XLOOKUP($B69,'ELC TECH'!$H:$H,'ELC TECH'!AS:AS))</f>
        <v/>
      </c>
      <c r="AY69" s="12" t="str">
        <f>IF(_xlfn.XLOOKUP($B69,'ELC TECH'!$H:$H,'ELC TECH'!$E:$E)="Storage","",_xlfn.XLOOKUP($B69,'ELC TECH'!$H:$H,'ELC TECH'!AT:AT))</f>
        <v/>
      </c>
      <c r="AZ69" s="12" t="str">
        <f>IF(_xlfn.XLOOKUP($B69,'ELC TECH'!$H:$H,'ELC TECH'!$E:$E)="Storage","",_xlfn.XLOOKUP($B69,'ELC TECH'!$H:$H,'ELC TECH'!AU:AU))</f>
        <v/>
      </c>
      <c r="BA69" s="12" t="str">
        <f>IF(_xlfn.XLOOKUP($B69,'ELC TECH'!$H:$H,'ELC TECH'!$E:$E)="Storage","",_xlfn.XLOOKUP($B69,'ELC TECH'!$H:$H,'ELC TECH'!AV:AV))</f>
        <v/>
      </c>
      <c r="BB69" s="12" t="str">
        <f>IF(_xlfn.XLOOKUP($B69,'ELC TECH'!$H:$H,'ELC TECH'!$E:$E)="Storage","",_xlfn.XLOOKUP($B69,'ELC TECH'!$H:$H,'ELC TECH'!AW:AW))</f>
        <v/>
      </c>
      <c r="BC69" s="12" t="str">
        <f>IF(_xlfn.XLOOKUP($B69,'ELC TECH'!$H:$H,'ELC TECH'!$E:$E)="Storage","",_xlfn.XLOOKUP($B69,'ELC TECH'!$H:$H,'ELC TECH'!AX:AX))</f>
        <v/>
      </c>
      <c r="BD69" s="12" t="str">
        <f>IF(_xlfn.XLOOKUP($B69,'ELC TECH'!$H:$H,'ELC TECH'!$E:$E)="Storage","",_xlfn.XLOOKUP($B69,'ELC TECH'!$H:$H,'ELC TECH'!AY:AY))</f>
        <v/>
      </c>
      <c r="BE69" s="12" t="str">
        <f>IF(_xlfn.XLOOKUP($B69,'ELC TECH'!$H:$H,'ELC TECH'!$E:$E)="Storage","",_xlfn.XLOOKUP($B69,'ELC TECH'!$H:$H,'ELC TECH'!AZ:AZ))</f>
        <v/>
      </c>
      <c r="BF69" s="12">
        <f>IF(_xlfn.XLOOKUP($B69,'ELC TECH'!$H:$H,'ELC TECH'!$E:$E)="Storage",_xlfn.XLOOKUP($B69,'ELC TECH'!$H:$H,'ELC TECH'!AS:AS),"")</f>
        <v>0.33333333333333331</v>
      </c>
      <c r="BG69" s="12">
        <f>IF(_xlfn.XLOOKUP($B69,'ELC TECH'!$H:$H,'ELC TECH'!$E:$E)="Storage",_xlfn.XLOOKUP($B69,'ELC TECH'!$H:$H,'ELC TECH'!AT:AT),"")</f>
        <v>0.33333333333333331</v>
      </c>
      <c r="BH69" s="12">
        <f>IF(_xlfn.XLOOKUP($B69,'ELC TECH'!$H:$H,'ELC TECH'!$E:$E)="Storage",_xlfn.XLOOKUP($B69,'ELC TECH'!$H:$H,'ELC TECH'!AU:AU),"")</f>
        <v>0.33333333333333331</v>
      </c>
      <c r="BI69" s="12">
        <f>IF(_xlfn.XLOOKUP($B69,'ELC TECH'!$H:$H,'ELC TECH'!$E:$E)="Storage",_xlfn.XLOOKUP($B69,'ELC TECH'!$H:$H,'ELC TECH'!AV:AV),"")</f>
        <v>0.33333333333333331</v>
      </c>
      <c r="BJ69" s="12">
        <f>IF(_xlfn.XLOOKUP($B69,'ELC TECH'!$H:$H,'ELC TECH'!$E:$E)="Storage",_xlfn.XLOOKUP($B69,'ELC TECH'!$H:$H,'ELC TECH'!AW:AW),"")</f>
        <v>0.33333333333333331</v>
      </c>
      <c r="BK69" s="12">
        <f>IF(_xlfn.XLOOKUP($B69,'ELC TECH'!$H:$H,'ELC TECH'!$E:$E)="Storage",_xlfn.XLOOKUP($B69,'ELC TECH'!$H:$H,'ELC TECH'!AX:AX),"")</f>
        <v>0.33333333333333331</v>
      </c>
      <c r="BL69" s="12">
        <f>IF(_xlfn.XLOOKUP($B69,'ELC TECH'!$H:$H,'ELC TECH'!$E:$E)="Storage",_xlfn.XLOOKUP($B69,'ELC TECH'!$H:$H,'ELC TECH'!AY:AY),"")</f>
        <v>0.33333333333333331</v>
      </c>
      <c r="BM69" s="12">
        <f>IF(_xlfn.XLOOKUP($B69,'ELC TECH'!$H:$H,'ELC TECH'!$E:$E)="Storage",_xlfn.XLOOKUP($B69,'ELC TECH'!$H:$H,'ELC TECH'!AZ:AZ),"")</f>
        <v>0.33333333333333331</v>
      </c>
      <c r="BN69" s="8" t="str">
        <f>IF(_xlfn.XLOOKUP($B69,'ELC TECH'!$H:$H,'ELC TECH'!$E:$E)="Non Dispatchable",IFERROR($AX69*_xlfn.XLOOKUP($C69,$BM$1:$BM$3,BN$1:BN$3)/SUMPRODUCT(_xlfn.XLOOKUP($C69,$BM$1:$BM$3,$BN$1:$BY$3),$BN$4:$BY$4),""),
"")</f>
        <v/>
      </c>
      <c r="BO69" s="8" t="str">
        <f>IF(_xlfn.XLOOKUP($B69,'ELC TECH'!$H:$H,'ELC TECH'!$E:$E)="Non Dispatchable",IFERROR($AX69*_xlfn.XLOOKUP($C69,$BM$1:$BM$3,BO$1:BO$3)/SUMPRODUCT(_xlfn.XLOOKUP($C69,$BM$1:$BM$3,$BN$1:$BY$3),$BN$4:$BY$4),""),
"")</f>
        <v/>
      </c>
      <c r="BP69" s="8" t="str">
        <f>IF(_xlfn.XLOOKUP($B69,'ELC TECH'!$H:$H,'ELC TECH'!$E:$E)="Non Dispatchable",IFERROR($AX69*_xlfn.XLOOKUP($C69,$BM$1:$BM$3,BP$1:BP$3)/SUMPRODUCT(_xlfn.XLOOKUP($C69,$BM$1:$BM$3,$BN$1:$BY$3),$BN$4:$BY$4),""),
"")</f>
        <v/>
      </c>
      <c r="BQ69" s="8" t="str">
        <f>IF(_xlfn.XLOOKUP($B69,'ELC TECH'!$H:$H,'ELC TECH'!$E:$E)="Non Dispatchable",IFERROR($AX69*_xlfn.XLOOKUP($C69,$BM$1:$BM$3,BQ$1:BQ$3)/SUMPRODUCT(_xlfn.XLOOKUP($C69,$BM$1:$BM$3,$BN$1:$BY$3),$BN$4:$BY$4),""),
"")</f>
        <v/>
      </c>
      <c r="BR69" s="8" t="str">
        <f>IF(_xlfn.XLOOKUP($B69,'ELC TECH'!$H:$H,'ELC TECH'!$E:$E)="Non Dispatchable",IFERROR($AX69*_xlfn.XLOOKUP($C69,$BM$1:$BM$3,BR$1:BR$3)/SUMPRODUCT(_xlfn.XLOOKUP($C69,$BM$1:$BM$3,$BN$1:$BY$3),$BN$4:$BY$4),""),
"")</f>
        <v/>
      </c>
      <c r="BS69" s="8" t="str">
        <f>IF(_xlfn.XLOOKUP($B69,'ELC TECH'!$H:$H,'ELC TECH'!$E:$E)="Non Dispatchable",IFERROR($AX69*_xlfn.XLOOKUP($C69,$BM$1:$BM$3,BS$1:BS$3)/SUMPRODUCT(_xlfn.XLOOKUP($C69,$BM$1:$BM$3,$BN$1:$BY$3),$BN$4:$BY$4),""),
"")</f>
        <v/>
      </c>
      <c r="BT69" s="8" t="str">
        <f>IF(_xlfn.XLOOKUP($B69,'ELC TECH'!$H:$H,'ELC TECH'!$E:$E)="Non Dispatchable",IFERROR($AX69*_xlfn.XLOOKUP($C69,$BM$1:$BM$3,BT$1:BT$3)/SUMPRODUCT(_xlfn.XLOOKUP($C69,$BM$1:$BM$3,$BN$1:$BY$3),$BN$4:$BY$4),""),
"")</f>
        <v/>
      </c>
      <c r="BU69" s="8" t="str">
        <f>IF(_xlfn.XLOOKUP($B69,'ELC TECH'!$H:$H,'ELC TECH'!$E:$E)="Non Dispatchable",IFERROR($AX69*_xlfn.XLOOKUP($C69,$BM$1:$BM$3,BU$1:BU$3)/SUMPRODUCT(_xlfn.XLOOKUP($C69,$BM$1:$BM$3,$BN$1:$BY$3),$BN$4:$BY$4),""),
"")</f>
        <v/>
      </c>
      <c r="BV69" s="8" t="str">
        <f>IF(_xlfn.XLOOKUP($B69,'ELC TECH'!$H:$H,'ELC TECH'!$E:$E)="Non Dispatchable",IFERROR($AX69*_xlfn.XLOOKUP($C69,$BM$1:$BM$3,BV$1:BV$3)/SUMPRODUCT(_xlfn.XLOOKUP($C69,$BM$1:$BM$3,$BN$1:$BY$3),$BN$4:$BY$4),""),
"")</f>
        <v/>
      </c>
      <c r="BW69" s="8" t="str">
        <f>IF(_xlfn.XLOOKUP($B69,'ELC TECH'!$H:$H,'ELC TECH'!$E:$E)="Non Dispatchable",IFERROR($AX69*_xlfn.XLOOKUP($C69,$BM$1:$BM$3,BW$1:BW$3)/SUMPRODUCT(_xlfn.XLOOKUP($C69,$BM$1:$BM$3,$BN$1:$BY$3),$BN$4:$BY$4),""),
"")</f>
        <v/>
      </c>
      <c r="BX69" s="8" t="str">
        <f>IF(_xlfn.XLOOKUP($B69,'ELC TECH'!$H:$H,'ELC TECH'!$E:$E)="Non Dispatchable",IFERROR($AX69*_xlfn.XLOOKUP($C69,$BM$1:$BM$3,BX$1:BX$3)/SUMPRODUCT(_xlfn.XLOOKUP($C69,$BM$1:$BM$3,$BN$1:$BY$3),$BN$4:$BY$4),""),
"")</f>
        <v/>
      </c>
      <c r="BY69" s="8" t="str">
        <f>IF(_xlfn.XLOOKUP($B69,'ELC TECH'!$H:$H,'ELC TECH'!$E:$E)="Non Dispatchable",IFERROR($AX69*_xlfn.XLOOKUP($C69,$BM$1:$BM$3,BY$1:BY$3)/SUMPRODUCT(_xlfn.XLOOKUP($C69,$BM$1:$BM$3,$BN$1:$BY$3),$BN$4:$BY$4),""),
"")</f>
        <v/>
      </c>
      <c r="BZ69" s="8" t="str">
        <f>IF(_xlfn.XLOOKUP($B69,'ELC TECH'!$H:$H,'ELC TECH'!$E:$E)="Non Dispatchable",IFERROR($AX69*_xlfn.XLOOKUP($C69,$BM$1:$BM$3,BZ$1:BZ$3)/SUMPRODUCT(_xlfn.XLOOKUP($C69,$BM$1:$BM$3,$BN$1:$BY$3),$BN$4:$BY$4),""),
"")</f>
        <v/>
      </c>
      <c r="CA69" s="8" t="str">
        <f>IF(_xlfn.XLOOKUP($B69,'ELC TECH'!$H:$H,'ELC TECH'!$E:$E)="Non Dispatchable",IFERROR($AX69*_xlfn.XLOOKUP($C69,$BM$1:$BM$3,CA$1:CA$3)/SUMPRODUCT(_xlfn.XLOOKUP($C69,$BM$1:$BM$3,$BN$1:$BY$3),$BN$4:$BY$4),""),
"")</f>
        <v/>
      </c>
      <c r="CB69" s="8" t="str">
        <f>IF(_xlfn.XLOOKUP($B69,'ELC TECH'!$H:$H,'ELC TECH'!$E:$E)="Non Dispatchable",IFERROR($AX69*_xlfn.XLOOKUP($C69,$BM$1:$BM$3,CB$1:CB$3)/SUMPRODUCT(_xlfn.XLOOKUP($C69,$BM$1:$BM$3,$BN$1:$BY$3),$BN$4:$BY$4),""),
"")</f>
        <v/>
      </c>
      <c r="CC69" s="8" t="str">
        <f>IF(_xlfn.XLOOKUP($B69,'ELC TECH'!$H:$H,'ELC TECH'!$E:$E)="Non Dispatchable",IFERROR($AX69*_xlfn.XLOOKUP($C69,$BM$1:$BM$3,CC$1:CC$3)/SUMPRODUCT(_xlfn.XLOOKUP($C69,$BM$1:$BM$3,$BN$1:$BY$3),$BN$4:$BY$4),""),
"")</f>
        <v/>
      </c>
      <c r="CD69" s="8" t="str">
        <f>IF(_xlfn.XLOOKUP($B69,'ELC TECH'!$H:$H,'ELC TECH'!$E:$E)="Non Dispatchable",IFERROR($AX69*_xlfn.XLOOKUP($C69,$BM$1:$BM$3,CD$1:CD$3)/SUMPRODUCT(_xlfn.XLOOKUP($C69,$BM$1:$BM$3,$BN$1:$BY$3),$BN$4:$BY$4),""),
"")</f>
        <v/>
      </c>
      <c r="CE69" s="8" t="str">
        <f>IF(_xlfn.XLOOKUP($B69,'ELC TECH'!$H:$H,'ELC TECH'!$E:$E)="Non Dispatchable",IFERROR($AX69*_xlfn.XLOOKUP($C69,$BM$1:$BM$3,CE$1:CE$3)/SUMPRODUCT(_xlfn.XLOOKUP($C69,$BM$1:$BM$3,$BN$1:$BY$3),$BN$4:$BY$4),""),
"")</f>
        <v/>
      </c>
      <c r="CF69" s="8" t="str">
        <f>IF(_xlfn.XLOOKUP($B69,'ELC TECH'!$H:$H,'ELC TECH'!$E:$E)="Non Dispatchable",IFERROR($AX69*_xlfn.XLOOKUP($C69,$BM$1:$BM$3,CF$1:CF$3)/SUMPRODUCT(_xlfn.XLOOKUP($C69,$BM$1:$BM$3,$BN$1:$BY$3),$BN$4:$BY$4),""),
"")</f>
        <v/>
      </c>
      <c r="CG69" s="8" t="str">
        <f>IF(_xlfn.XLOOKUP($B69,'ELC TECH'!$H:$H,'ELC TECH'!$E:$E)="Non Dispatchable",IFERROR($AX69*_xlfn.XLOOKUP($C69,$BM$1:$BM$3,CG$1:CG$3)/SUMPRODUCT(_xlfn.XLOOKUP($C69,$BM$1:$BM$3,$BN$1:$BY$3),$BN$4:$BY$4),""),
"")</f>
        <v/>
      </c>
      <c r="CH69" s="8" t="str">
        <f>IF(_xlfn.XLOOKUP($B69,'ELC TECH'!$H:$H,'ELC TECH'!$E:$E)="Non Dispatchable",IFERROR($AX69*_xlfn.XLOOKUP($C69,$BM$1:$BM$3,CH$1:CH$3)/SUMPRODUCT(_xlfn.XLOOKUP($C69,$BM$1:$BM$3,$BN$1:$BY$3),$BN$4:$BY$4),""),
"")</f>
        <v/>
      </c>
      <c r="CI69" s="8" t="str">
        <f>IF(_xlfn.XLOOKUP($B69,'ELC TECH'!$H:$H,'ELC TECH'!$E:$E)="Non Dispatchable",IFERROR($AX69*_xlfn.XLOOKUP($C69,$BM$1:$BM$3,CI$1:CI$3)/SUMPRODUCT(_xlfn.XLOOKUP($C69,$BM$1:$BM$3,$BN$1:$BY$3),$BN$4:$BY$4),""),
"")</f>
        <v/>
      </c>
      <c r="CJ69" s="8" t="str">
        <f>IF(_xlfn.XLOOKUP($B69,'ELC TECH'!$H:$H,'ELC TECH'!$E:$E)="Non Dispatchable",IFERROR($AX69*_xlfn.XLOOKUP($C69,$BM$1:$BM$3,CJ$1:CJ$3)/SUMPRODUCT(_xlfn.XLOOKUP($C69,$BM$1:$BM$3,$BN$1:$BY$3),$BN$4:$BY$4),""),
"")</f>
        <v/>
      </c>
      <c r="CK69" s="8" t="str">
        <f>IF(_xlfn.XLOOKUP($B69,'ELC TECH'!$H:$H,'ELC TECH'!$E:$E)="Non Dispatchable",IFERROR($AX69*_xlfn.XLOOKUP($C69,$BM$1:$BM$3,CK$1:CK$3)/SUMPRODUCT(_xlfn.XLOOKUP($C69,$BM$1:$BM$3,$BN$1:$BY$3),$BN$4:$BY$4),""),
"")</f>
        <v/>
      </c>
      <c r="CL69" s="8">
        <f>IF(_xlfn.XLOOKUP($B69,'ELC TECH'!$H:$H,'ELC TECH'!$E:$E)="Storage",CL$4*$BF69,"")</f>
        <v>2.7399999999999997E-2</v>
      </c>
      <c r="CM69" s="8">
        <f>IF(_xlfn.XLOOKUP($B69,'ELC TECH'!$H:$H,'ELC TECH'!$E:$E)="Storage",CM$4*$BF69,"")</f>
        <v>3.1899999999999998E-2</v>
      </c>
      <c r="CN69" s="8">
        <f>IF(_xlfn.XLOOKUP($B69,'ELC TECH'!$H:$H,'ELC TECH'!$E:$E)="Storage",CN$4*$BF69,"")</f>
        <v>5.1066666666666663E-2</v>
      </c>
      <c r="CO69" s="8">
        <f>IF(_xlfn.XLOOKUP($B69,'ELC TECH'!$H:$H,'ELC TECH'!$E:$E)="Storage",CO$4*$BF69,"")</f>
        <v>1.0666666666666667E-3</v>
      </c>
      <c r="CP69" s="8">
        <f>IF(_xlfn.XLOOKUP($B69,'ELC TECH'!$H:$H,'ELC TECH'!$E:$E)="Storage",CP$4*$BF69,"")</f>
        <v>2.7166666666666665E-2</v>
      </c>
      <c r="CQ69" s="8">
        <f>IF(_xlfn.XLOOKUP($B69,'ELC TECH'!$H:$H,'ELC TECH'!$E:$E)="Storage",CQ$4*$BF69,"")</f>
        <v>3.6233333333333333E-2</v>
      </c>
      <c r="CR69" s="8">
        <f>IF(_xlfn.XLOOKUP($B69,'ELC TECH'!$H:$H,'ELC TECH'!$E:$E)="Storage",CR$4*$BF69,"")</f>
        <v>4.6033333333333329E-2</v>
      </c>
      <c r="CS69" s="8">
        <f>IF(_xlfn.XLOOKUP($B69,'ELC TECH'!$H:$H,'ELC TECH'!$E:$E)="Storage",CS$4*$BF69,"")</f>
        <v>1.0666666666666667E-3</v>
      </c>
      <c r="CT69" s="8">
        <f>IF(_xlfn.XLOOKUP($B69,'ELC TECH'!$H:$H,'ELC TECH'!$E:$E)="Storage",CT$4*$BF69,"")</f>
        <v>3.2500000000000001E-2</v>
      </c>
      <c r="CU69" s="8">
        <f>IF(_xlfn.XLOOKUP($B69,'ELC TECH'!$H:$H,'ELC TECH'!$E:$E)="Storage",CU$4*$BF69,"")</f>
        <v>3.6233333333333333E-2</v>
      </c>
      <c r="CV69" s="8">
        <f>IF(_xlfn.XLOOKUP($B69,'ELC TECH'!$H:$H,'ELC TECH'!$E:$E)="Storage",CV$4*$BF69,"")</f>
        <v>4.176666666666666E-2</v>
      </c>
      <c r="CW69" s="8">
        <f>IF(_xlfn.XLOOKUP($B69,'ELC TECH'!$H:$H,'ELC TECH'!$E:$E)="Storage",CW$4*$BF69,"")</f>
        <v>8.9999999999999998E-4</v>
      </c>
      <c r="CX69" s="8">
        <f>IF(_xlfn.XLOOKUP($B69,'ELC TECH'!$H:$H,'ELC TECH'!$E:$E)="Storage",CX$4*$BF69,"")</f>
        <v>2.7399999999999997E-2</v>
      </c>
      <c r="CY69" s="8">
        <f>IF(_xlfn.XLOOKUP($B69,'ELC TECH'!$H:$H,'ELC TECH'!$E:$E)="Storage",CY$4*$BF69,"")</f>
        <v>3.1899999999999998E-2</v>
      </c>
      <c r="CZ69" s="8">
        <f>IF(_xlfn.XLOOKUP($B69,'ELC TECH'!$H:$H,'ELC TECH'!$E:$E)="Storage",CZ$4*$BF69,"")</f>
        <v>5.1066666666666663E-2</v>
      </c>
      <c r="DA69" s="8">
        <f>IF(_xlfn.XLOOKUP($B69,'ELC TECH'!$H:$H,'ELC TECH'!$E:$E)="Storage",DA$4*$BF69,"")</f>
        <v>1.0666666666666667E-3</v>
      </c>
      <c r="DB69" s="8">
        <f>IF(_xlfn.XLOOKUP($B69,'ELC TECH'!$H:$H,'ELC TECH'!$E:$E)="Storage",DB$4*$BF69,"")</f>
        <v>2.7166666666666665E-2</v>
      </c>
      <c r="DC69" s="8">
        <f>IF(_xlfn.XLOOKUP($B69,'ELC TECH'!$H:$H,'ELC TECH'!$E:$E)="Storage",DC$4*$BF69,"")</f>
        <v>3.6233333333333333E-2</v>
      </c>
      <c r="DD69" s="8">
        <f>IF(_xlfn.XLOOKUP($B69,'ELC TECH'!$H:$H,'ELC TECH'!$E:$E)="Storage",DD$4*$BF69,"")</f>
        <v>4.6033333333333329E-2</v>
      </c>
      <c r="DE69" s="8">
        <f>IF(_xlfn.XLOOKUP($B69,'ELC TECH'!$H:$H,'ELC TECH'!$E:$E)="Storage",DE$4*$BF69,"")</f>
        <v>1.0666666666666667E-3</v>
      </c>
      <c r="DF69" s="8">
        <f>IF(_xlfn.XLOOKUP($B69,'ELC TECH'!$H:$H,'ELC TECH'!$E:$E)="Storage",DF$4*$BF69,"")</f>
        <v>3.2500000000000001E-2</v>
      </c>
      <c r="DG69" s="8">
        <f>IF(_xlfn.XLOOKUP($B69,'ELC TECH'!$H:$H,'ELC TECH'!$E:$E)="Storage",DG$4*$BF69,"")</f>
        <v>3.6233333333333333E-2</v>
      </c>
      <c r="DH69" s="8">
        <f>IF(_xlfn.XLOOKUP($B69,'ELC TECH'!$H:$H,'ELC TECH'!$E:$E)="Storage",DH$4*$BF69,"")</f>
        <v>4.176666666666666E-2</v>
      </c>
      <c r="DI69" s="8">
        <f>IF(_xlfn.XLOOKUP($B69,'ELC TECH'!$H:$H,'ELC TECH'!$E:$E)="Storage",DI$4*$BF69,"")</f>
        <v>8.9999999999999998E-4</v>
      </c>
    </row>
    <row r="70" spans="2:113" x14ac:dyDescent="0.25">
      <c r="B70" t="str">
        <f>IF('ELC TECH'!I63=0,"*",'ELC TECH'!H63)</f>
        <v>ELCSTGGRDPSH8HC520</v>
      </c>
      <c r="C70" t="str">
        <f>IF(_xlfn.XLOOKUP(_xlfn.XLOOKUP(B70,'ELC TECH'!$H:$H,'ELC TECH'!$G:$G),List!C:C,List!B:B)="STG",D70,"ELC"&amp;_xlfn.XLOOKUP(_xlfn.XLOOKUP(B70,'ELC TECH'!H:H,'ELC TECH'!G:G),List!C:C,List!B:B))</f>
        <v>CELC</v>
      </c>
      <c r="D70" t="s">
        <v>544</v>
      </c>
      <c r="E70">
        <f>_xlfn.XLOOKUP(B70,'ELC TECH'!H:H,'ELC TECH'!D:D)</f>
        <v>2020</v>
      </c>
      <c r="F70">
        <f>_xlfn.XLOOKUP(B70,'ELC TECH'!H:H,'ELC TECH'!K:K)</f>
        <v>100</v>
      </c>
      <c r="G70">
        <f t="shared" si="5"/>
        <v>31.535999999999998</v>
      </c>
      <c r="H70">
        <f>IF(_xlfn.XLOOKUP(B70,'ELC TECH'!$H:$H,'ELC TECH'!$E:$E)="Storage",0.3,IF(_xlfn.XLOOKUP(B70,'ELC TECH'!$H:$H,'ELC TECH'!$E:$E)="Baseload",0.9,IF(_xlfn.XLOOKUP(B70,'ELC TECH'!$H:$H,'ELC TECH'!$E:$E)="Non Dispatchable",0.05,IF(_xlfn.XLOOKUP(B70,'ELC TECH'!$H:$H,'ELC TECH'!$E:$E)="Dispatchable",0.9,1))))</f>
        <v>0.3</v>
      </c>
      <c r="I70" s="13">
        <f>IF(_xlfn.XLOOKUP(B70,'ELC TECH'!H:H,'ELC TECH'!J:J)="","",_xlfn.XLOOKUP(B70,'ELC TECH'!H:H,'ELC TECH'!J:J))</f>
        <v>0</v>
      </c>
      <c r="J70" s="12" t="str">
        <f>IF(_xlfn.XLOOKUP($B70,'ELC TECH'!$H:$H,'ELC TECH'!$E:$E)="Storage","",IF(_xlfn.XLOOKUP($B70,'ELC TECH'!$H:$H,'ELC TECH'!AK:AK)="",1,_xlfn.XLOOKUP($B70,'ELC TECH'!$H:$H,'ELC TECH'!AK:AK)))</f>
        <v/>
      </c>
      <c r="K70" s="12" t="str">
        <f>IF(_xlfn.XLOOKUP($B70,'ELC TECH'!$H:$H,'ELC TECH'!$E:$E)="Storage","",IF(_xlfn.XLOOKUP($B70,'ELC TECH'!$H:$H,'ELC TECH'!AL:AL)="",1,_xlfn.XLOOKUP($B70,'ELC TECH'!$H:$H,'ELC TECH'!AL:AL)))</f>
        <v/>
      </c>
      <c r="L70" s="12" t="str">
        <f>IF(_xlfn.XLOOKUP($B70,'ELC TECH'!$H:$H,'ELC TECH'!$E:$E)="Storage","",IF(_xlfn.XLOOKUP($B70,'ELC TECH'!$H:$H,'ELC TECH'!AM:AM)="",1,_xlfn.XLOOKUP($B70,'ELC TECH'!$H:$H,'ELC TECH'!AM:AM)))</f>
        <v/>
      </c>
      <c r="M70" s="12" t="str">
        <f>IF(_xlfn.XLOOKUP($B70,'ELC TECH'!$H:$H,'ELC TECH'!$E:$E)="Storage","",IF(_xlfn.XLOOKUP($B70,'ELC TECH'!$H:$H,'ELC TECH'!AN:AN)="",1,_xlfn.XLOOKUP($B70,'ELC TECH'!$H:$H,'ELC TECH'!AN:AN)))</f>
        <v/>
      </c>
      <c r="N70" s="12" t="str">
        <f>IF(_xlfn.XLOOKUP($B70,'ELC TECH'!$H:$H,'ELC TECH'!$E:$E)="Storage","",IF(_xlfn.XLOOKUP($B70,'ELC TECH'!$H:$H,'ELC TECH'!AO:AO)="",1,_xlfn.XLOOKUP($B70,'ELC TECH'!$H:$H,'ELC TECH'!AO:AO)))</f>
        <v/>
      </c>
      <c r="O70" s="12" t="str">
        <f>IF(_xlfn.XLOOKUP($B70,'ELC TECH'!$H:$H,'ELC TECH'!$E:$E)="Storage","",IF(_xlfn.XLOOKUP($B70,'ELC TECH'!$H:$H,'ELC TECH'!AP:AP)="",1,_xlfn.XLOOKUP($B70,'ELC TECH'!$H:$H,'ELC TECH'!AP:AP)))</f>
        <v/>
      </c>
      <c r="P70" s="12" t="str">
        <f>IF(_xlfn.XLOOKUP($B70,'ELC TECH'!$H:$H,'ELC TECH'!$E:$E)="Storage","",IF(_xlfn.XLOOKUP($B70,'ELC TECH'!$H:$H,'ELC TECH'!AQ:AQ)="",1,_xlfn.XLOOKUP($B70,'ELC TECH'!$H:$H,'ELC TECH'!AQ:AQ)))</f>
        <v/>
      </c>
      <c r="Q70" s="12" t="str">
        <f>IF(_xlfn.XLOOKUP($B70,'ELC TECH'!$H:$H,'ELC TECH'!$E:$E)="Storage","",IF(_xlfn.XLOOKUP($B70,'ELC TECH'!$H:$H,'ELC TECH'!AR:AR)="",1,_xlfn.XLOOKUP($B70,'ELC TECH'!$H:$H,'ELC TECH'!AR:AR)))</f>
        <v/>
      </c>
      <c r="R70" s="12">
        <f>IF(_xlfn.XLOOKUP($B70,'ELC TECH'!$H:$H,'ELC TECH'!$E:$E)&lt;&gt;"Storage","",IF(_xlfn.XLOOKUP($B70,'ELC TECH'!$H:$H,'ELC TECH'!AK:AK)="",0.8,_xlfn.XLOOKUP($B70,'ELC TECH'!$H:$H,'ELC TECH'!AK:AK)))</f>
        <v>0.8</v>
      </c>
      <c r="S70" s="12">
        <f>IF(_xlfn.XLOOKUP($B70,'ELC TECH'!$H:$H,'ELC TECH'!$E:$E)&lt;&gt;"Storage","",IF(_xlfn.XLOOKUP($B70,'ELC TECH'!$H:$H,'ELC TECH'!AL:AL)="",0.8,_xlfn.XLOOKUP($B70,'ELC TECH'!$H:$H,'ELC TECH'!AL:AL)))</f>
        <v>0.8</v>
      </c>
      <c r="T70" s="12">
        <f>IF(_xlfn.XLOOKUP($B70,'ELC TECH'!$H:$H,'ELC TECH'!$E:$E)&lt;&gt;"Storage","",IF(_xlfn.XLOOKUP($B70,'ELC TECH'!$H:$H,'ELC TECH'!AM:AM)="",0.8,_xlfn.XLOOKUP($B70,'ELC TECH'!$H:$H,'ELC TECH'!AM:AM)))</f>
        <v>0.8</v>
      </c>
      <c r="U70" s="12">
        <f>IF(_xlfn.XLOOKUP($B70,'ELC TECH'!$H:$H,'ELC TECH'!$E:$E)&lt;&gt;"Storage","",IF(_xlfn.XLOOKUP($B70,'ELC TECH'!$H:$H,'ELC TECH'!AN:AN)="",0.8,_xlfn.XLOOKUP($B70,'ELC TECH'!$H:$H,'ELC TECH'!AN:AN)))</f>
        <v>0.8</v>
      </c>
      <c r="V70" s="12">
        <f>IF(_xlfn.XLOOKUP($B70,'ELC TECH'!$H:$H,'ELC TECH'!$E:$E)&lt;&gt;"Storage","",IF(_xlfn.XLOOKUP($B70,'ELC TECH'!$H:$H,'ELC TECH'!AO:AO)="",0.8,_xlfn.XLOOKUP($B70,'ELC TECH'!$H:$H,'ELC TECH'!AO:AO)))</f>
        <v>0.8</v>
      </c>
      <c r="W70" s="12">
        <f>IF(_xlfn.XLOOKUP($B70,'ELC TECH'!$H:$H,'ELC TECH'!$E:$E)&lt;&gt;"Storage","",IF(_xlfn.XLOOKUP($B70,'ELC TECH'!$H:$H,'ELC TECH'!AP:AP)="",0.8,_xlfn.XLOOKUP($B70,'ELC TECH'!$H:$H,'ELC TECH'!AP:AP)))</f>
        <v>0.8</v>
      </c>
      <c r="X70" s="12">
        <f>IF(_xlfn.XLOOKUP($B70,'ELC TECH'!$H:$H,'ELC TECH'!$E:$E)&lt;&gt;"Storage","",IF(_xlfn.XLOOKUP($B70,'ELC TECH'!$H:$H,'ELC TECH'!AQ:AQ)="",0.8,_xlfn.XLOOKUP($B70,'ELC TECH'!$H:$H,'ELC TECH'!AQ:AQ)))</f>
        <v>0.8</v>
      </c>
      <c r="Y70" s="12">
        <f>IF(_xlfn.XLOOKUP($B70,'ELC TECH'!$H:$H,'ELC TECH'!$E:$E)&lt;&gt;"Storage","",IF(_xlfn.XLOOKUP($B70,'ELC TECH'!$H:$H,'ELC TECH'!AR:AR)="",0.8,_xlfn.XLOOKUP($B70,'ELC TECH'!$H:$H,'ELC TECH'!AR:AR)))</f>
        <v>0.8</v>
      </c>
      <c r="Z70" s="15">
        <f>_xlfn.XLOOKUP($B70,'ELC TECH'!$H:$H,'ELC TECH'!M:M)</f>
        <v>3198.7823529365151</v>
      </c>
      <c r="AA70" s="15">
        <f>_xlfn.XLOOKUP($B70,'ELC TECH'!$H:$H,'ELC TECH'!N:N)</f>
        <v>3198.7823529365151</v>
      </c>
      <c r="AB70" s="15">
        <f>_xlfn.XLOOKUP($B70,'ELC TECH'!$H:$H,'ELC TECH'!O:O)</f>
        <v>3198.7823529365151</v>
      </c>
      <c r="AC70" s="15">
        <f>_xlfn.XLOOKUP($B70,'ELC TECH'!$H:$H,'ELC TECH'!P:P)</f>
        <v>3198.7823529365151</v>
      </c>
      <c r="AD70" s="15">
        <f>_xlfn.XLOOKUP($B70,'ELC TECH'!$H:$H,'ELC TECH'!Q:Q)</f>
        <v>3198.7823529365151</v>
      </c>
      <c r="AE70" s="15">
        <f>_xlfn.XLOOKUP($B70,'ELC TECH'!$H:$H,'ELC TECH'!R:R)</f>
        <v>3198.7823529365151</v>
      </c>
      <c r="AF70" s="15">
        <f>_xlfn.XLOOKUP($B70,'ELC TECH'!$H:$H,'ELC TECH'!S:S)</f>
        <v>3198.7823529365151</v>
      </c>
      <c r="AG70" s="15">
        <f>_xlfn.XLOOKUP($B70,'ELC TECH'!$H:$H,'ELC TECH'!T:T)</f>
        <v>3198.7823529365151</v>
      </c>
      <c r="AH70" s="15">
        <f>_xlfn.XLOOKUP($B70,'ELC TECH'!$H:$H,'ELC TECH'!U:U)</f>
        <v>21.100097091380029</v>
      </c>
      <c r="AI70" s="15">
        <f>_xlfn.XLOOKUP($B70,'ELC TECH'!$H:$H,'ELC TECH'!V:V)</f>
        <v>21.100097091380029</v>
      </c>
      <c r="AJ70" s="15">
        <f>_xlfn.XLOOKUP($B70,'ELC TECH'!$H:$H,'ELC TECH'!W:W)</f>
        <v>21.100097091380029</v>
      </c>
      <c r="AK70" s="15">
        <f>_xlfn.XLOOKUP($B70,'ELC TECH'!$H:$H,'ELC TECH'!X:X)</f>
        <v>21.100097091380029</v>
      </c>
      <c r="AL70" s="15">
        <f>_xlfn.XLOOKUP($B70,'ELC TECH'!$H:$H,'ELC TECH'!Y:Y)</f>
        <v>21.100097091380029</v>
      </c>
      <c r="AM70" s="15">
        <f>_xlfn.XLOOKUP($B70,'ELC TECH'!$H:$H,'ELC TECH'!Z:Z)</f>
        <v>21.100097091380029</v>
      </c>
      <c r="AN70" s="15">
        <f>_xlfn.XLOOKUP($B70,'ELC TECH'!$H:$H,'ELC TECH'!AA:AA)</f>
        <v>21.100097091380029</v>
      </c>
      <c r="AO70" s="15">
        <f>_xlfn.XLOOKUP($B70,'ELC TECH'!$H:$H,'ELC TECH'!AB:AB)</f>
        <v>21.100097091380029</v>
      </c>
      <c r="AP70" s="15">
        <f>_xlfn.XLOOKUP($B70,'ELC TECH'!$H:$H,'ELC TECH'!AC:AC)</f>
        <v>0.1696149283872993</v>
      </c>
      <c r="AQ70" s="15">
        <f>_xlfn.XLOOKUP($B70,'ELC TECH'!$H:$H,'ELC TECH'!AD:AD)</f>
        <v>0.1696149283872993</v>
      </c>
      <c r="AR70" s="15">
        <f>_xlfn.XLOOKUP($B70,'ELC TECH'!$H:$H,'ELC TECH'!AE:AE)</f>
        <v>0.1696149283872993</v>
      </c>
      <c r="AS70" s="15">
        <f>_xlfn.XLOOKUP($B70,'ELC TECH'!$H:$H,'ELC TECH'!AF:AF)</f>
        <v>0.1696149283872993</v>
      </c>
      <c r="AT70" s="15">
        <f>_xlfn.XLOOKUP($B70,'ELC TECH'!$H:$H,'ELC TECH'!AG:AG)</f>
        <v>0.1696149283872993</v>
      </c>
      <c r="AU70" s="15">
        <f>_xlfn.XLOOKUP($B70,'ELC TECH'!$H:$H,'ELC TECH'!AH:AH)</f>
        <v>0.1696149283872993</v>
      </c>
      <c r="AV70" s="15">
        <f>_xlfn.XLOOKUP($B70,'ELC TECH'!$H:$H,'ELC TECH'!AI:AI)</f>
        <v>0.1696149283872993</v>
      </c>
      <c r="AW70" s="15">
        <f>_xlfn.XLOOKUP($B70,'ELC TECH'!$H:$H,'ELC TECH'!AJ:AJ)</f>
        <v>0.1696149283872993</v>
      </c>
      <c r="AX70" s="12" t="str">
        <f>IF(_xlfn.XLOOKUP($B70,'ELC TECH'!$H:$H,'ELC TECH'!$E:$E)="Storage","",_xlfn.XLOOKUP($B70,'ELC TECH'!$H:$H,'ELC TECH'!AS:AS))</f>
        <v/>
      </c>
      <c r="AY70" s="12" t="str">
        <f>IF(_xlfn.XLOOKUP($B70,'ELC TECH'!$H:$H,'ELC TECH'!$E:$E)="Storage","",_xlfn.XLOOKUP($B70,'ELC TECH'!$H:$H,'ELC TECH'!AT:AT))</f>
        <v/>
      </c>
      <c r="AZ70" s="12" t="str">
        <f>IF(_xlfn.XLOOKUP($B70,'ELC TECH'!$H:$H,'ELC TECH'!$E:$E)="Storage","",_xlfn.XLOOKUP($B70,'ELC TECH'!$H:$H,'ELC TECH'!AU:AU))</f>
        <v/>
      </c>
      <c r="BA70" s="12" t="str">
        <f>IF(_xlfn.XLOOKUP($B70,'ELC TECH'!$H:$H,'ELC TECH'!$E:$E)="Storage","",_xlfn.XLOOKUP($B70,'ELC TECH'!$H:$H,'ELC TECH'!AV:AV))</f>
        <v/>
      </c>
      <c r="BB70" s="12" t="str">
        <f>IF(_xlfn.XLOOKUP($B70,'ELC TECH'!$H:$H,'ELC TECH'!$E:$E)="Storage","",_xlfn.XLOOKUP($B70,'ELC TECH'!$H:$H,'ELC TECH'!AW:AW))</f>
        <v/>
      </c>
      <c r="BC70" s="12" t="str">
        <f>IF(_xlfn.XLOOKUP($B70,'ELC TECH'!$H:$H,'ELC TECH'!$E:$E)="Storage","",_xlfn.XLOOKUP($B70,'ELC TECH'!$H:$H,'ELC TECH'!AX:AX))</f>
        <v/>
      </c>
      <c r="BD70" s="12" t="str">
        <f>IF(_xlfn.XLOOKUP($B70,'ELC TECH'!$H:$H,'ELC TECH'!$E:$E)="Storage","",_xlfn.XLOOKUP($B70,'ELC TECH'!$H:$H,'ELC TECH'!AY:AY))</f>
        <v/>
      </c>
      <c r="BE70" s="12" t="str">
        <f>IF(_xlfn.XLOOKUP($B70,'ELC TECH'!$H:$H,'ELC TECH'!$E:$E)="Storage","",_xlfn.XLOOKUP($B70,'ELC TECH'!$H:$H,'ELC TECH'!AZ:AZ))</f>
        <v/>
      </c>
      <c r="BF70" s="12">
        <f>IF(_xlfn.XLOOKUP($B70,'ELC TECH'!$H:$H,'ELC TECH'!$E:$E)="Storage",_xlfn.XLOOKUP($B70,'ELC TECH'!$H:$H,'ELC TECH'!AS:AS),"")</f>
        <v>0.33333333333333331</v>
      </c>
      <c r="BG70" s="12">
        <f>IF(_xlfn.XLOOKUP($B70,'ELC TECH'!$H:$H,'ELC TECH'!$E:$E)="Storage",_xlfn.XLOOKUP($B70,'ELC TECH'!$H:$H,'ELC TECH'!AT:AT),"")</f>
        <v>0.33333333333333331</v>
      </c>
      <c r="BH70" s="12">
        <f>IF(_xlfn.XLOOKUP($B70,'ELC TECH'!$H:$H,'ELC TECH'!$E:$E)="Storage",_xlfn.XLOOKUP($B70,'ELC TECH'!$H:$H,'ELC TECH'!AU:AU),"")</f>
        <v>0.33333333333333331</v>
      </c>
      <c r="BI70" s="12">
        <f>IF(_xlfn.XLOOKUP($B70,'ELC TECH'!$H:$H,'ELC TECH'!$E:$E)="Storage",_xlfn.XLOOKUP($B70,'ELC TECH'!$H:$H,'ELC TECH'!AV:AV),"")</f>
        <v>0.33333333333333331</v>
      </c>
      <c r="BJ70" s="12">
        <f>IF(_xlfn.XLOOKUP($B70,'ELC TECH'!$H:$H,'ELC TECH'!$E:$E)="Storage",_xlfn.XLOOKUP($B70,'ELC TECH'!$H:$H,'ELC TECH'!AW:AW),"")</f>
        <v>0.33333333333333331</v>
      </c>
      <c r="BK70" s="12">
        <f>IF(_xlfn.XLOOKUP($B70,'ELC TECH'!$H:$H,'ELC TECH'!$E:$E)="Storage",_xlfn.XLOOKUP($B70,'ELC TECH'!$H:$H,'ELC TECH'!AX:AX),"")</f>
        <v>0.33333333333333331</v>
      </c>
      <c r="BL70" s="12">
        <f>IF(_xlfn.XLOOKUP($B70,'ELC TECH'!$H:$H,'ELC TECH'!$E:$E)="Storage",_xlfn.XLOOKUP($B70,'ELC TECH'!$H:$H,'ELC TECH'!AY:AY),"")</f>
        <v>0.33333333333333331</v>
      </c>
      <c r="BM70" s="12">
        <f>IF(_xlfn.XLOOKUP($B70,'ELC TECH'!$H:$H,'ELC TECH'!$E:$E)="Storage",_xlfn.XLOOKUP($B70,'ELC TECH'!$H:$H,'ELC TECH'!AZ:AZ),"")</f>
        <v>0.33333333333333331</v>
      </c>
      <c r="BN70" s="8" t="str">
        <f>IF(_xlfn.XLOOKUP($B70,'ELC TECH'!$H:$H,'ELC TECH'!$E:$E)="Non Dispatchable",IFERROR($AX70*_xlfn.XLOOKUP($C70,$BM$1:$BM$3,BN$1:BN$3)/SUMPRODUCT(_xlfn.XLOOKUP($C70,$BM$1:$BM$3,$BN$1:$BY$3),$BN$4:$BY$4),""),
"")</f>
        <v/>
      </c>
      <c r="BO70" s="8" t="str">
        <f>IF(_xlfn.XLOOKUP($B70,'ELC TECH'!$H:$H,'ELC TECH'!$E:$E)="Non Dispatchable",IFERROR($AX70*_xlfn.XLOOKUP($C70,$BM$1:$BM$3,BO$1:BO$3)/SUMPRODUCT(_xlfn.XLOOKUP($C70,$BM$1:$BM$3,$BN$1:$BY$3),$BN$4:$BY$4),""),
"")</f>
        <v/>
      </c>
      <c r="BP70" s="8" t="str">
        <f>IF(_xlfn.XLOOKUP($B70,'ELC TECH'!$H:$H,'ELC TECH'!$E:$E)="Non Dispatchable",IFERROR($AX70*_xlfn.XLOOKUP($C70,$BM$1:$BM$3,BP$1:BP$3)/SUMPRODUCT(_xlfn.XLOOKUP($C70,$BM$1:$BM$3,$BN$1:$BY$3),$BN$4:$BY$4),""),
"")</f>
        <v/>
      </c>
      <c r="BQ70" s="8" t="str">
        <f>IF(_xlfn.XLOOKUP($B70,'ELC TECH'!$H:$H,'ELC TECH'!$E:$E)="Non Dispatchable",IFERROR($AX70*_xlfn.XLOOKUP($C70,$BM$1:$BM$3,BQ$1:BQ$3)/SUMPRODUCT(_xlfn.XLOOKUP($C70,$BM$1:$BM$3,$BN$1:$BY$3),$BN$4:$BY$4),""),
"")</f>
        <v/>
      </c>
      <c r="BR70" s="8" t="str">
        <f>IF(_xlfn.XLOOKUP($B70,'ELC TECH'!$H:$H,'ELC TECH'!$E:$E)="Non Dispatchable",IFERROR($AX70*_xlfn.XLOOKUP($C70,$BM$1:$BM$3,BR$1:BR$3)/SUMPRODUCT(_xlfn.XLOOKUP($C70,$BM$1:$BM$3,$BN$1:$BY$3),$BN$4:$BY$4),""),
"")</f>
        <v/>
      </c>
      <c r="BS70" s="8" t="str">
        <f>IF(_xlfn.XLOOKUP($B70,'ELC TECH'!$H:$H,'ELC TECH'!$E:$E)="Non Dispatchable",IFERROR($AX70*_xlfn.XLOOKUP($C70,$BM$1:$BM$3,BS$1:BS$3)/SUMPRODUCT(_xlfn.XLOOKUP($C70,$BM$1:$BM$3,$BN$1:$BY$3),$BN$4:$BY$4),""),
"")</f>
        <v/>
      </c>
      <c r="BT70" s="8" t="str">
        <f>IF(_xlfn.XLOOKUP($B70,'ELC TECH'!$H:$H,'ELC TECH'!$E:$E)="Non Dispatchable",IFERROR($AX70*_xlfn.XLOOKUP($C70,$BM$1:$BM$3,BT$1:BT$3)/SUMPRODUCT(_xlfn.XLOOKUP($C70,$BM$1:$BM$3,$BN$1:$BY$3),$BN$4:$BY$4),""),
"")</f>
        <v/>
      </c>
      <c r="BU70" s="8" t="str">
        <f>IF(_xlfn.XLOOKUP($B70,'ELC TECH'!$H:$H,'ELC TECH'!$E:$E)="Non Dispatchable",IFERROR($AX70*_xlfn.XLOOKUP($C70,$BM$1:$BM$3,BU$1:BU$3)/SUMPRODUCT(_xlfn.XLOOKUP($C70,$BM$1:$BM$3,$BN$1:$BY$3),$BN$4:$BY$4),""),
"")</f>
        <v/>
      </c>
      <c r="BV70" s="8" t="str">
        <f>IF(_xlfn.XLOOKUP($B70,'ELC TECH'!$H:$H,'ELC TECH'!$E:$E)="Non Dispatchable",IFERROR($AX70*_xlfn.XLOOKUP($C70,$BM$1:$BM$3,BV$1:BV$3)/SUMPRODUCT(_xlfn.XLOOKUP($C70,$BM$1:$BM$3,$BN$1:$BY$3),$BN$4:$BY$4),""),
"")</f>
        <v/>
      </c>
      <c r="BW70" s="8" t="str">
        <f>IF(_xlfn.XLOOKUP($B70,'ELC TECH'!$H:$H,'ELC TECH'!$E:$E)="Non Dispatchable",IFERROR($AX70*_xlfn.XLOOKUP($C70,$BM$1:$BM$3,BW$1:BW$3)/SUMPRODUCT(_xlfn.XLOOKUP($C70,$BM$1:$BM$3,$BN$1:$BY$3),$BN$4:$BY$4),""),
"")</f>
        <v/>
      </c>
      <c r="BX70" s="8" t="str">
        <f>IF(_xlfn.XLOOKUP($B70,'ELC TECH'!$H:$H,'ELC TECH'!$E:$E)="Non Dispatchable",IFERROR($AX70*_xlfn.XLOOKUP($C70,$BM$1:$BM$3,BX$1:BX$3)/SUMPRODUCT(_xlfn.XLOOKUP($C70,$BM$1:$BM$3,$BN$1:$BY$3),$BN$4:$BY$4),""),
"")</f>
        <v/>
      </c>
      <c r="BY70" s="8" t="str">
        <f>IF(_xlfn.XLOOKUP($B70,'ELC TECH'!$H:$H,'ELC TECH'!$E:$E)="Non Dispatchable",IFERROR($AX70*_xlfn.XLOOKUP($C70,$BM$1:$BM$3,BY$1:BY$3)/SUMPRODUCT(_xlfn.XLOOKUP($C70,$BM$1:$BM$3,$BN$1:$BY$3),$BN$4:$BY$4),""),
"")</f>
        <v/>
      </c>
      <c r="BZ70" s="8" t="str">
        <f>IF(_xlfn.XLOOKUP($B70,'ELC TECH'!$H:$H,'ELC TECH'!$E:$E)="Non Dispatchable",IFERROR($AX70*_xlfn.XLOOKUP($C70,$BM$1:$BM$3,BZ$1:BZ$3)/SUMPRODUCT(_xlfn.XLOOKUP($C70,$BM$1:$BM$3,$BN$1:$BY$3),$BN$4:$BY$4),""),
"")</f>
        <v/>
      </c>
      <c r="CA70" s="8" t="str">
        <f>IF(_xlfn.XLOOKUP($B70,'ELC TECH'!$H:$H,'ELC TECH'!$E:$E)="Non Dispatchable",IFERROR($AX70*_xlfn.XLOOKUP($C70,$BM$1:$BM$3,CA$1:CA$3)/SUMPRODUCT(_xlfn.XLOOKUP($C70,$BM$1:$BM$3,$BN$1:$BY$3),$BN$4:$BY$4),""),
"")</f>
        <v/>
      </c>
      <c r="CB70" s="8" t="str">
        <f>IF(_xlfn.XLOOKUP($B70,'ELC TECH'!$H:$H,'ELC TECH'!$E:$E)="Non Dispatchable",IFERROR($AX70*_xlfn.XLOOKUP($C70,$BM$1:$BM$3,CB$1:CB$3)/SUMPRODUCT(_xlfn.XLOOKUP($C70,$BM$1:$BM$3,$BN$1:$BY$3),$BN$4:$BY$4),""),
"")</f>
        <v/>
      </c>
      <c r="CC70" s="8" t="str">
        <f>IF(_xlfn.XLOOKUP($B70,'ELC TECH'!$H:$H,'ELC TECH'!$E:$E)="Non Dispatchable",IFERROR($AX70*_xlfn.XLOOKUP($C70,$BM$1:$BM$3,CC$1:CC$3)/SUMPRODUCT(_xlfn.XLOOKUP($C70,$BM$1:$BM$3,$BN$1:$BY$3),$BN$4:$BY$4),""),
"")</f>
        <v/>
      </c>
      <c r="CD70" s="8" t="str">
        <f>IF(_xlfn.XLOOKUP($B70,'ELC TECH'!$H:$H,'ELC TECH'!$E:$E)="Non Dispatchable",IFERROR($AX70*_xlfn.XLOOKUP($C70,$BM$1:$BM$3,CD$1:CD$3)/SUMPRODUCT(_xlfn.XLOOKUP($C70,$BM$1:$BM$3,$BN$1:$BY$3),$BN$4:$BY$4),""),
"")</f>
        <v/>
      </c>
      <c r="CE70" s="8" t="str">
        <f>IF(_xlfn.XLOOKUP($B70,'ELC TECH'!$H:$H,'ELC TECH'!$E:$E)="Non Dispatchable",IFERROR($AX70*_xlfn.XLOOKUP($C70,$BM$1:$BM$3,CE$1:CE$3)/SUMPRODUCT(_xlfn.XLOOKUP($C70,$BM$1:$BM$3,$BN$1:$BY$3),$BN$4:$BY$4),""),
"")</f>
        <v/>
      </c>
      <c r="CF70" s="8" t="str">
        <f>IF(_xlfn.XLOOKUP($B70,'ELC TECH'!$H:$H,'ELC TECH'!$E:$E)="Non Dispatchable",IFERROR($AX70*_xlfn.XLOOKUP($C70,$BM$1:$BM$3,CF$1:CF$3)/SUMPRODUCT(_xlfn.XLOOKUP($C70,$BM$1:$BM$3,$BN$1:$BY$3),$BN$4:$BY$4),""),
"")</f>
        <v/>
      </c>
      <c r="CG70" s="8" t="str">
        <f>IF(_xlfn.XLOOKUP($B70,'ELC TECH'!$H:$H,'ELC TECH'!$E:$E)="Non Dispatchable",IFERROR($AX70*_xlfn.XLOOKUP($C70,$BM$1:$BM$3,CG$1:CG$3)/SUMPRODUCT(_xlfn.XLOOKUP($C70,$BM$1:$BM$3,$BN$1:$BY$3),$BN$4:$BY$4),""),
"")</f>
        <v/>
      </c>
      <c r="CH70" s="8" t="str">
        <f>IF(_xlfn.XLOOKUP($B70,'ELC TECH'!$H:$H,'ELC TECH'!$E:$E)="Non Dispatchable",IFERROR($AX70*_xlfn.XLOOKUP($C70,$BM$1:$BM$3,CH$1:CH$3)/SUMPRODUCT(_xlfn.XLOOKUP($C70,$BM$1:$BM$3,$BN$1:$BY$3),$BN$4:$BY$4),""),
"")</f>
        <v/>
      </c>
      <c r="CI70" s="8" t="str">
        <f>IF(_xlfn.XLOOKUP($B70,'ELC TECH'!$H:$H,'ELC TECH'!$E:$E)="Non Dispatchable",IFERROR($AX70*_xlfn.XLOOKUP($C70,$BM$1:$BM$3,CI$1:CI$3)/SUMPRODUCT(_xlfn.XLOOKUP($C70,$BM$1:$BM$3,$BN$1:$BY$3),$BN$4:$BY$4),""),
"")</f>
        <v/>
      </c>
      <c r="CJ70" s="8" t="str">
        <f>IF(_xlfn.XLOOKUP($B70,'ELC TECH'!$H:$H,'ELC TECH'!$E:$E)="Non Dispatchable",IFERROR($AX70*_xlfn.XLOOKUP($C70,$BM$1:$BM$3,CJ$1:CJ$3)/SUMPRODUCT(_xlfn.XLOOKUP($C70,$BM$1:$BM$3,$BN$1:$BY$3),$BN$4:$BY$4),""),
"")</f>
        <v/>
      </c>
      <c r="CK70" s="8" t="str">
        <f>IF(_xlfn.XLOOKUP($B70,'ELC TECH'!$H:$H,'ELC TECH'!$E:$E)="Non Dispatchable",IFERROR($AX70*_xlfn.XLOOKUP($C70,$BM$1:$BM$3,CK$1:CK$3)/SUMPRODUCT(_xlfn.XLOOKUP($C70,$BM$1:$BM$3,$BN$1:$BY$3),$BN$4:$BY$4),""),
"")</f>
        <v/>
      </c>
      <c r="CL70" s="8">
        <f>IF(_xlfn.XLOOKUP($B70,'ELC TECH'!$H:$H,'ELC TECH'!$E:$E)="Storage",CL$4*$BF70,"")</f>
        <v>2.7399999999999997E-2</v>
      </c>
      <c r="CM70" s="8">
        <f>IF(_xlfn.XLOOKUP($B70,'ELC TECH'!$H:$H,'ELC TECH'!$E:$E)="Storage",CM$4*$BF70,"")</f>
        <v>3.1899999999999998E-2</v>
      </c>
      <c r="CN70" s="8">
        <f>IF(_xlfn.XLOOKUP($B70,'ELC TECH'!$H:$H,'ELC TECH'!$E:$E)="Storage",CN$4*$BF70,"")</f>
        <v>5.1066666666666663E-2</v>
      </c>
      <c r="CO70" s="8">
        <f>IF(_xlfn.XLOOKUP($B70,'ELC TECH'!$H:$H,'ELC TECH'!$E:$E)="Storage",CO$4*$BF70,"")</f>
        <v>1.0666666666666667E-3</v>
      </c>
      <c r="CP70" s="8">
        <f>IF(_xlfn.XLOOKUP($B70,'ELC TECH'!$H:$H,'ELC TECH'!$E:$E)="Storage",CP$4*$BF70,"")</f>
        <v>2.7166666666666665E-2</v>
      </c>
      <c r="CQ70" s="8">
        <f>IF(_xlfn.XLOOKUP($B70,'ELC TECH'!$H:$H,'ELC TECH'!$E:$E)="Storage",CQ$4*$BF70,"")</f>
        <v>3.6233333333333333E-2</v>
      </c>
      <c r="CR70" s="8">
        <f>IF(_xlfn.XLOOKUP($B70,'ELC TECH'!$H:$H,'ELC TECH'!$E:$E)="Storage",CR$4*$BF70,"")</f>
        <v>4.6033333333333329E-2</v>
      </c>
      <c r="CS70" s="8">
        <f>IF(_xlfn.XLOOKUP($B70,'ELC TECH'!$H:$H,'ELC TECH'!$E:$E)="Storage",CS$4*$BF70,"")</f>
        <v>1.0666666666666667E-3</v>
      </c>
      <c r="CT70" s="8">
        <f>IF(_xlfn.XLOOKUP($B70,'ELC TECH'!$H:$H,'ELC TECH'!$E:$E)="Storage",CT$4*$BF70,"")</f>
        <v>3.2500000000000001E-2</v>
      </c>
      <c r="CU70" s="8">
        <f>IF(_xlfn.XLOOKUP($B70,'ELC TECH'!$H:$H,'ELC TECH'!$E:$E)="Storage",CU$4*$BF70,"")</f>
        <v>3.6233333333333333E-2</v>
      </c>
      <c r="CV70" s="8">
        <f>IF(_xlfn.XLOOKUP($B70,'ELC TECH'!$H:$H,'ELC TECH'!$E:$E)="Storage",CV$4*$BF70,"")</f>
        <v>4.176666666666666E-2</v>
      </c>
      <c r="CW70" s="8">
        <f>IF(_xlfn.XLOOKUP($B70,'ELC TECH'!$H:$H,'ELC TECH'!$E:$E)="Storage",CW$4*$BF70,"")</f>
        <v>8.9999999999999998E-4</v>
      </c>
      <c r="CX70" s="8">
        <f>IF(_xlfn.XLOOKUP($B70,'ELC TECH'!$H:$H,'ELC TECH'!$E:$E)="Storage",CX$4*$BF70,"")</f>
        <v>2.7399999999999997E-2</v>
      </c>
      <c r="CY70" s="8">
        <f>IF(_xlfn.XLOOKUP($B70,'ELC TECH'!$H:$H,'ELC TECH'!$E:$E)="Storage",CY$4*$BF70,"")</f>
        <v>3.1899999999999998E-2</v>
      </c>
      <c r="CZ70" s="8">
        <f>IF(_xlfn.XLOOKUP($B70,'ELC TECH'!$H:$H,'ELC TECH'!$E:$E)="Storage",CZ$4*$BF70,"")</f>
        <v>5.1066666666666663E-2</v>
      </c>
      <c r="DA70" s="8">
        <f>IF(_xlfn.XLOOKUP($B70,'ELC TECH'!$H:$H,'ELC TECH'!$E:$E)="Storage",DA$4*$BF70,"")</f>
        <v>1.0666666666666667E-3</v>
      </c>
      <c r="DB70" s="8">
        <f>IF(_xlfn.XLOOKUP($B70,'ELC TECH'!$H:$H,'ELC TECH'!$E:$E)="Storage",DB$4*$BF70,"")</f>
        <v>2.7166666666666665E-2</v>
      </c>
      <c r="DC70" s="8">
        <f>IF(_xlfn.XLOOKUP($B70,'ELC TECH'!$H:$H,'ELC TECH'!$E:$E)="Storage",DC$4*$BF70,"")</f>
        <v>3.6233333333333333E-2</v>
      </c>
      <c r="DD70" s="8">
        <f>IF(_xlfn.XLOOKUP($B70,'ELC TECH'!$H:$H,'ELC TECH'!$E:$E)="Storage",DD$4*$BF70,"")</f>
        <v>4.6033333333333329E-2</v>
      </c>
      <c r="DE70" s="8">
        <f>IF(_xlfn.XLOOKUP($B70,'ELC TECH'!$H:$H,'ELC TECH'!$E:$E)="Storage",DE$4*$BF70,"")</f>
        <v>1.0666666666666667E-3</v>
      </c>
      <c r="DF70" s="8">
        <f>IF(_xlfn.XLOOKUP($B70,'ELC TECH'!$H:$H,'ELC TECH'!$E:$E)="Storage",DF$4*$BF70,"")</f>
        <v>3.2500000000000001E-2</v>
      </c>
      <c r="DG70" s="8">
        <f>IF(_xlfn.XLOOKUP($B70,'ELC TECH'!$H:$H,'ELC TECH'!$E:$E)="Storage",DG$4*$BF70,"")</f>
        <v>3.6233333333333333E-2</v>
      </c>
      <c r="DH70" s="8">
        <f>IF(_xlfn.XLOOKUP($B70,'ELC TECH'!$H:$H,'ELC TECH'!$E:$E)="Storage",DH$4*$BF70,"")</f>
        <v>4.176666666666666E-2</v>
      </c>
      <c r="DI70" s="8">
        <f>IF(_xlfn.XLOOKUP($B70,'ELC TECH'!$H:$H,'ELC TECH'!$E:$E)="Storage",DI$4*$BF70,"")</f>
        <v>8.9999999999999998E-4</v>
      </c>
    </row>
    <row r="71" spans="2:113" x14ac:dyDescent="0.25">
      <c r="B71" t="str">
        <f>IF('ELC TECH'!I64=0,"*",'ELC TECH'!H64)</f>
        <v>ELCSTGGRDPSH8HC620</v>
      </c>
      <c r="C71" t="str">
        <f>IF(_xlfn.XLOOKUP(_xlfn.XLOOKUP(B71,'ELC TECH'!$H:$H,'ELC TECH'!$G:$G),List!C:C,List!B:B)="STG",D71,"ELC"&amp;_xlfn.XLOOKUP(_xlfn.XLOOKUP(B71,'ELC TECH'!H:H,'ELC TECH'!G:G),List!C:C,List!B:B))</f>
        <v>CELC</v>
      </c>
      <c r="D71" t="s">
        <v>544</v>
      </c>
      <c r="E71">
        <f>_xlfn.XLOOKUP(B71,'ELC TECH'!H:H,'ELC TECH'!D:D)</f>
        <v>2020</v>
      </c>
      <c r="F71">
        <f>_xlfn.XLOOKUP(B71,'ELC TECH'!H:H,'ELC TECH'!K:K)</f>
        <v>100</v>
      </c>
      <c r="G71">
        <f t="shared" si="5"/>
        <v>31.535999999999998</v>
      </c>
      <c r="H71">
        <f>IF(_xlfn.XLOOKUP(B71,'ELC TECH'!$H:$H,'ELC TECH'!$E:$E)="Storage",0.3,IF(_xlfn.XLOOKUP(B71,'ELC TECH'!$H:$H,'ELC TECH'!$E:$E)="Baseload",0.9,IF(_xlfn.XLOOKUP(B71,'ELC TECH'!$H:$H,'ELC TECH'!$E:$E)="Non Dispatchable",0.05,IF(_xlfn.XLOOKUP(B71,'ELC TECH'!$H:$H,'ELC TECH'!$E:$E)="Dispatchable",0.9,1))))</f>
        <v>0.3</v>
      </c>
      <c r="I71" s="13">
        <f>IF(_xlfn.XLOOKUP(B71,'ELC TECH'!H:H,'ELC TECH'!J:J)="","",_xlfn.XLOOKUP(B71,'ELC TECH'!H:H,'ELC TECH'!J:J))</f>
        <v>0</v>
      </c>
      <c r="J71" s="12" t="str">
        <f>IF(_xlfn.XLOOKUP($B71,'ELC TECH'!$H:$H,'ELC TECH'!$E:$E)="Storage","",IF(_xlfn.XLOOKUP($B71,'ELC TECH'!$H:$H,'ELC TECH'!AK:AK)="",1,_xlfn.XLOOKUP($B71,'ELC TECH'!$H:$H,'ELC TECH'!AK:AK)))</f>
        <v/>
      </c>
      <c r="K71" s="12" t="str">
        <f>IF(_xlfn.XLOOKUP($B71,'ELC TECH'!$H:$H,'ELC TECH'!$E:$E)="Storage","",IF(_xlfn.XLOOKUP($B71,'ELC TECH'!$H:$H,'ELC TECH'!AL:AL)="",1,_xlfn.XLOOKUP($B71,'ELC TECH'!$H:$H,'ELC TECH'!AL:AL)))</f>
        <v/>
      </c>
      <c r="L71" s="12" t="str">
        <f>IF(_xlfn.XLOOKUP($B71,'ELC TECH'!$H:$H,'ELC TECH'!$E:$E)="Storage","",IF(_xlfn.XLOOKUP($B71,'ELC TECH'!$H:$H,'ELC TECH'!AM:AM)="",1,_xlfn.XLOOKUP($B71,'ELC TECH'!$H:$H,'ELC TECH'!AM:AM)))</f>
        <v/>
      </c>
      <c r="M71" s="12" t="str">
        <f>IF(_xlfn.XLOOKUP($B71,'ELC TECH'!$H:$H,'ELC TECH'!$E:$E)="Storage","",IF(_xlfn.XLOOKUP($B71,'ELC TECH'!$H:$H,'ELC TECH'!AN:AN)="",1,_xlfn.XLOOKUP($B71,'ELC TECH'!$H:$H,'ELC TECH'!AN:AN)))</f>
        <v/>
      </c>
      <c r="N71" s="12" t="str">
        <f>IF(_xlfn.XLOOKUP($B71,'ELC TECH'!$H:$H,'ELC TECH'!$E:$E)="Storage","",IF(_xlfn.XLOOKUP($B71,'ELC TECH'!$H:$H,'ELC TECH'!AO:AO)="",1,_xlfn.XLOOKUP($B71,'ELC TECH'!$H:$H,'ELC TECH'!AO:AO)))</f>
        <v/>
      </c>
      <c r="O71" s="12" t="str">
        <f>IF(_xlfn.XLOOKUP($B71,'ELC TECH'!$H:$H,'ELC TECH'!$E:$E)="Storage","",IF(_xlfn.XLOOKUP($B71,'ELC TECH'!$H:$H,'ELC TECH'!AP:AP)="",1,_xlfn.XLOOKUP($B71,'ELC TECH'!$H:$H,'ELC TECH'!AP:AP)))</f>
        <v/>
      </c>
      <c r="P71" s="12" t="str">
        <f>IF(_xlfn.XLOOKUP($B71,'ELC TECH'!$H:$H,'ELC TECH'!$E:$E)="Storage","",IF(_xlfn.XLOOKUP($B71,'ELC TECH'!$H:$H,'ELC TECH'!AQ:AQ)="",1,_xlfn.XLOOKUP($B71,'ELC TECH'!$H:$H,'ELC TECH'!AQ:AQ)))</f>
        <v/>
      </c>
      <c r="Q71" s="12" t="str">
        <f>IF(_xlfn.XLOOKUP($B71,'ELC TECH'!$H:$H,'ELC TECH'!$E:$E)="Storage","",IF(_xlfn.XLOOKUP($B71,'ELC TECH'!$H:$H,'ELC TECH'!AR:AR)="",1,_xlfn.XLOOKUP($B71,'ELC TECH'!$H:$H,'ELC TECH'!AR:AR)))</f>
        <v/>
      </c>
      <c r="R71" s="12">
        <f>IF(_xlfn.XLOOKUP($B71,'ELC TECH'!$H:$H,'ELC TECH'!$E:$E)&lt;&gt;"Storage","",IF(_xlfn.XLOOKUP($B71,'ELC TECH'!$H:$H,'ELC TECH'!AK:AK)="",0.8,_xlfn.XLOOKUP($B71,'ELC TECH'!$H:$H,'ELC TECH'!AK:AK)))</f>
        <v>0.8</v>
      </c>
      <c r="S71" s="12">
        <f>IF(_xlfn.XLOOKUP($B71,'ELC TECH'!$H:$H,'ELC TECH'!$E:$E)&lt;&gt;"Storage","",IF(_xlfn.XLOOKUP($B71,'ELC TECH'!$H:$H,'ELC TECH'!AL:AL)="",0.8,_xlfn.XLOOKUP($B71,'ELC TECH'!$H:$H,'ELC TECH'!AL:AL)))</f>
        <v>0.8</v>
      </c>
      <c r="T71" s="12">
        <f>IF(_xlfn.XLOOKUP($B71,'ELC TECH'!$H:$H,'ELC TECH'!$E:$E)&lt;&gt;"Storage","",IF(_xlfn.XLOOKUP($B71,'ELC TECH'!$H:$H,'ELC TECH'!AM:AM)="",0.8,_xlfn.XLOOKUP($B71,'ELC TECH'!$H:$H,'ELC TECH'!AM:AM)))</f>
        <v>0.8</v>
      </c>
      <c r="U71" s="12">
        <f>IF(_xlfn.XLOOKUP($B71,'ELC TECH'!$H:$H,'ELC TECH'!$E:$E)&lt;&gt;"Storage","",IF(_xlfn.XLOOKUP($B71,'ELC TECH'!$H:$H,'ELC TECH'!AN:AN)="",0.8,_xlfn.XLOOKUP($B71,'ELC TECH'!$H:$H,'ELC TECH'!AN:AN)))</f>
        <v>0.8</v>
      </c>
      <c r="V71" s="12">
        <f>IF(_xlfn.XLOOKUP($B71,'ELC TECH'!$H:$H,'ELC TECH'!$E:$E)&lt;&gt;"Storage","",IF(_xlfn.XLOOKUP($B71,'ELC TECH'!$H:$H,'ELC TECH'!AO:AO)="",0.8,_xlfn.XLOOKUP($B71,'ELC TECH'!$H:$H,'ELC TECH'!AO:AO)))</f>
        <v>0.8</v>
      </c>
      <c r="W71" s="12">
        <f>IF(_xlfn.XLOOKUP($B71,'ELC TECH'!$H:$H,'ELC TECH'!$E:$E)&lt;&gt;"Storage","",IF(_xlfn.XLOOKUP($B71,'ELC TECH'!$H:$H,'ELC TECH'!AP:AP)="",0.8,_xlfn.XLOOKUP($B71,'ELC TECH'!$H:$H,'ELC TECH'!AP:AP)))</f>
        <v>0.8</v>
      </c>
      <c r="X71" s="12">
        <f>IF(_xlfn.XLOOKUP($B71,'ELC TECH'!$H:$H,'ELC TECH'!$E:$E)&lt;&gt;"Storage","",IF(_xlfn.XLOOKUP($B71,'ELC TECH'!$H:$H,'ELC TECH'!AQ:AQ)="",0.8,_xlfn.XLOOKUP($B71,'ELC TECH'!$H:$H,'ELC TECH'!AQ:AQ)))</f>
        <v>0.8</v>
      </c>
      <c r="Y71" s="12">
        <f>IF(_xlfn.XLOOKUP($B71,'ELC TECH'!$H:$H,'ELC TECH'!$E:$E)&lt;&gt;"Storage","",IF(_xlfn.XLOOKUP($B71,'ELC TECH'!$H:$H,'ELC TECH'!AR:AR)="",0.8,_xlfn.XLOOKUP($B71,'ELC TECH'!$H:$H,'ELC TECH'!AR:AR)))</f>
        <v>0.8</v>
      </c>
      <c r="Z71" s="15">
        <f>_xlfn.XLOOKUP($B71,'ELC TECH'!$H:$H,'ELC TECH'!M:M)</f>
        <v>3332.512077047089</v>
      </c>
      <c r="AA71" s="15">
        <f>_xlfn.XLOOKUP($B71,'ELC TECH'!$H:$H,'ELC TECH'!N:N)</f>
        <v>3332.512077047089</v>
      </c>
      <c r="AB71" s="15">
        <f>_xlfn.XLOOKUP($B71,'ELC TECH'!$H:$H,'ELC TECH'!O:O)</f>
        <v>3332.512077047089</v>
      </c>
      <c r="AC71" s="15">
        <f>_xlfn.XLOOKUP($B71,'ELC TECH'!$H:$H,'ELC TECH'!P:P)</f>
        <v>3332.512077047089</v>
      </c>
      <c r="AD71" s="15">
        <f>_xlfn.XLOOKUP($B71,'ELC TECH'!$H:$H,'ELC TECH'!Q:Q)</f>
        <v>3332.512077047089</v>
      </c>
      <c r="AE71" s="15">
        <f>_xlfn.XLOOKUP($B71,'ELC TECH'!$H:$H,'ELC TECH'!R:R)</f>
        <v>3332.512077047089</v>
      </c>
      <c r="AF71" s="15">
        <f>_xlfn.XLOOKUP($B71,'ELC TECH'!$H:$H,'ELC TECH'!S:S)</f>
        <v>3332.512077047089</v>
      </c>
      <c r="AG71" s="15">
        <f>_xlfn.XLOOKUP($B71,'ELC TECH'!$H:$H,'ELC TECH'!T:T)</f>
        <v>3332.512077047089</v>
      </c>
      <c r="AH71" s="15">
        <f>_xlfn.XLOOKUP($B71,'ELC TECH'!$H:$H,'ELC TECH'!U:U)</f>
        <v>21.100097091380029</v>
      </c>
      <c r="AI71" s="15">
        <f>_xlfn.XLOOKUP($B71,'ELC TECH'!$H:$H,'ELC TECH'!V:V)</f>
        <v>21.100097091380029</v>
      </c>
      <c r="AJ71" s="15">
        <f>_xlfn.XLOOKUP($B71,'ELC TECH'!$H:$H,'ELC TECH'!W:W)</f>
        <v>21.100097091380029</v>
      </c>
      <c r="AK71" s="15">
        <f>_xlfn.XLOOKUP($B71,'ELC TECH'!$H:$H,'ELC TECH'!X:X)</f>
        <v>21.100097091380029</v>
      </c>
      <c r="AL71" s="15">
        <f>_xlfn.XLOOKUP($B71,'ELC TECH'!$H:$H,'ELC TECH'!Y:Y)</f>
        <v>21.100097091380029</v>
      </c>
      <c r="AM71" s="15">
        <f>_xlfn.XLOOKUP($B71,'ELC TECH'!$H:$H,'ELC TECH'!Z:Z)</f>
        <v>21.100097091380029</v>
      </c>
      <c r="AN71" s="15">
        <f>_xlfn.XLOOKUP($B71,'ELC TECH'!$H:$H,'ELC TECH'!AA:AA)</f>
        <v>21.100097091380029</v>
      </c>
      <c r="AO71" s="15">
        <f>_xlfn.XLOOKUP($B71,'ELC TECH'!$H:$H,'ELC TECH'!AB:AB)</f>
        <v>21.100097091380029</v>
      </c>
      <c r="AP71" s="15">
        <f>_xlfn.XLOOKUP($B71,'ELC TECH'!$H:$H,'ELC TECH'!AC:AC)</f>
        <v>0.1696149283872993</v>
      </c>
      <c r="AQ71" s="15">
        <f>_xlfn.XLOOKUP($B71,'ELC TECH'!$H:$H,'ELC TECH'!AD:AD)</f>
        <v>0.1696149283872993</v>
      </c>
      <c r="AR71" s="15">
        <f>_xlfn.XLOOKUP($B71,'ELC TECH'!$H:$H,'ELC TECH'!AE:AE)</f>
        <v>0.1696149283872993</v>
      </c>
      <c r="AS71" s="15">
        <f>_xlfn.XLOOKUP($B71,'ELC TECH'!$H:$H,'ELC TECH'!AF:AF)</f>
        <v>0.1696149283872993</v>
      </c>
      <c r="AT71" s="15">
        <f>_xlfn.XLOOKUP($B71,'ELC TECH'!$H:$H,'ELC TECH'!AG:AG)</f>
        <v>0.1696149283872993</v>
      </c>
      <c r="AU71" s="15">
        <f>_xlfn.XLOOKUP($B71,'ELC TECH'!$H:$H,'ELC TECH'!AH:AH)</f>
        <v>0.1696149283872993</v>
      </c>
      <c r="AV71" s="15">
        <f>_xlfn.XLOOKUP($B71,'ELC TECH'!$H:$H,'ELC TECH'!AI:AI)</f>
        <v>0.1696149283872993</v>
      </c>
      <c r="AW71" s="15">
        <f>_xlfn.XLOOKUP($B71,'ELC TECH'!$H:$H,'ELC TECH'!AJ:AJ)</f>
        <v>0.1696149283872993</v>
      </c>
      <c r="AX71" s="12" t="str">
        <f>IF(_xlfn.XLOOKUP($B71,'ELC TECH'!$H:$H,'ELC TECH'!$E:$E)="Storage","",_xlfn.XLOOKUP($B71,'ELC TECH'!$H:$H,'ELC TECH'!AS:AS))</f>
        <v/>
      </c>
      <c r="AY71" s="12" t="str">
        <f>IF(_xlfn.XLOOKUP($B71,'ELC TECH'!$H:$H,'ELC TECH'!$E:$E)="Storage","",_xlfn.XLOOKUP($B71,'ELC TECH'!$H:$H,'ELC TECH'!AT:AT))</f>
        <v/>
      </c>
      <c r="AZ71" s="12" t="str">
        <f>IF(_xlfn.XLOOKUP($B71,'ELC TECH'!$H:$H,'ELC TECH'!$E:$E)="Storage","",_xlfn.XLOOKUP($B71,'ELC TECH'!$H:$H,'ELC TECH'!AU:AU))</f>
        <v/>
      </c>
      <c r="BA71" s="12" t="str">
        <f>IF(_xlfn.XLOOKUP($B71,'ELC TECH'!$H:$H,'ELC TECH'!$E:$E)="Storage","",_xlfn.XLOOKUP($B71,'ELC TECH'!$H:$H,'ELC TECH'!AV:AV))</f>
        <v/>
      </c>
      <c r="BB71" s="12" t="str">
        <f>IF(_xlfn.XLOOKUP($B71,'ELC TECH'!$H:$H,'ELC TECH'!$E:$E)="Storage","",_xlfn.XLOOKUP($B71,'ELC TECH'!$H:$H,'ELC TECH'!AW:AW))</f>
        <v/>
      </c>
      <c r="BC71" s="12" t="str">
        <f>IF(_xlfn.XLOOKUP($B71,'ELC TECH'!$H:$H,'ELC TECH'!$E:$E)="Storage","",_xlfn.XLOOKUP($B71,'ELC TECH'!$H:$H,'ELC TECH'!AX:AX))</f>
        <v/>
      </c>
      <c r="BD71" s="12" t="str">
        <f>IF(_xlfn.XLOOKUP($B71,'ELC TECH'!$H:$H,'ELC TECH'!$E:$E)="Storage","",_xlfn.XLOOKUP($B71,'ELC TECH'!$H:$H,'ELC TECH'!AY:AY))</f>
        <v/>
      </c>
      <c r="BE71" s="12" t="str">
        <f>IF(_xlfn.XLOOKUP($B71,'ELC TECH'!$H:$H,'ELC TECH'!$E:$E)="Storage","",_xlfn.XLOOKUP($B71,'ELC TECH'!$H:$H,'ELC TECH'!AZ:AZ))</f>
        <v/>
      </c>
      <c r="BF71" s="12">
        <f>IF(_xlfn.XLOOKUP($B71,'ELC TECH'!$H:$H,'ELC TECH'!$E:$E)="Storage",_xlfn.XLOOKUP($B71,'ELC TECH'!$H:$H,'ELC TECH'!AS:AS),"")</f>
        <v>0.33333333333333331</v>
      </c>
      <c r="BG71" s="12">
        <f>IF(_xlfn.XLOOKUP($B71,'ELC TECH'!$H:$H,'ELC TECH'!$E:$E)="Storage",_xlfn.XLOOKUP($B71,'ELC TECH'!$H:$H,'ELC TECH'!AT:AT),"")</f>
        <v>0.33333333333333331</v>
      </c>
      <c r="BH71" s="12">
        <f>IF(_xlfn.XLOOKUP($B71,'ELC TECH'!$H:$H,'ELC TECH'!$E:$E)="Storage",_xlfn.XLOOKUP($B71,'ELC TECH'!$H:$H,'ELC TECH'!AU:AU),"")</f>
        <v>0.33333333333333331</v>
      </c>
      <c r="BI71" s="12">
        <f>IF(_xlfn.XLOOKUP($B71,'ELC TECH'!$H:$H,'ELC TECH'!$E:$E)="Storage",_xlfn.XLOOKUP($B71,'ELC TECH'!$H:$H,'ELC TECH'!AV:AV),"")</f>
        <v>0.33333333333333331</v>
      </c>
      <c r="BJ71" s="12">
        <f>IF(_xlfn.XLOOKUP($B71,'ELC TECH'!$H:$H,'ELC TECH'!$E:$E)="Storage",_xlfn.XLOOKUP($B71,'ELC TECH'!$H:$H,'ELC TECH'!AW:AW),"")</f>
        <v>0.33333333333333331</v>
      </c>
      <c r="BK71" s="12">
        <f>IF(_xlfn.XLOOKUP($B71,'ELC TECH'!$H:$H,'ELC TECH'!$E:$E)="Storage",_xlfn.XLOOKUP($B71,'ELC TECH'!$H:$H,'ELC TECH'!AX:AX),"")</f>
        <v>0.33333333333333331</v>
      </c>
      <c r="BL71" s="12">
        <f>IF(_xlfn.XLOOKUP($B71,'ELC TECH'!$H:$H,'ELC TECH'!$E:$E)="Storage",_xlfn.XLOOKUP($B71,'ELC TECH'!$H:$H,'ELC TECH'!AY:AY),"")</f>
        <v>0.33333333333333331</v>
      </c>
      <c r="BM71" s="12">
        <f>IF(_xlfn.XLOOKUP($B71,'ELC TECH'!$H:$H,'ELC TECH'!$E:$E)="Storage",_xlfn.XLOOKUP($B71,'ELC TECH'!$H:$H,'ELC TECH'!AZ:AZ),"")</f>
        <v>0.33333333333333331</v>
      </c>
      <c r="BN71" s="8" t="str">
        <f>IF(_xlfn.XLOOKUP($B71,'ELC TECH'!$H:$H,'ELC TECH'!$E:$E)="Non Dispatchable",IFERROR($AX71*_xlfn.XLOOKUP($C71,$BM$1:$BM$3,BN$1:BN$3)/SUMPRODUCT(_xlfn.XLOOKUP($C71,$BM$1:$BM$3,$BN$1:$BY$3),$BN$4:$BY$4),""),
"")</f>
        <v/>
      </c>
      <c r="BO71" s="8" t="str">
        <f>IF(_xlfn.XLOOKUP($B71,'ELC TECH'!$H:$H,'ELC TECH'!$E:$E)="Non Dispatchable",IFERROR($AX71*_xlfn.XLOOKUP($C71,$BM$1:$BM$3,BO$1:BO$3)/SUMPRODUCT(_xlfn.XLOOKUP($C71,$BM$1:$BM$3,$BN$1:$BY$3),$BN$4:$BY$4),""),
"")</f>
        <v/>
      </c>
      <c r="BP71" s="8" t="str">
        <f>IF(_xlfn.XLOOKUP($B71,'ELC TECH'!$H:$H,'ELC TECH'!$E:$E)="Non Dispatchable",IFERROR($AX71*_xlfn.XLOOKUP($C71,$BM$1:$BM$3,BP$1:BP$3)/SUMPRODUCT(_xlfn.XLOOKUP($C71,$BM$1:$BM$3,$BN$1:$BY$3),$BN$4:$BY$4),""),
"")</f>
        <v/>
      </c>
      <c r="BQ71" s="8" t="str">
        <f>IF(_xlfn.XLOOKUP($B71,'ELC TECH'!$H:$H,'ELC TECH'!$E:$E)="Non Dispatchable",IFERROR($AX71*_xlfn.XLOOKUP($C71,$BM$1:$BM$3,BQ$1:BQ$3)/SUMPRODUCT(_xlfn.XLOOKUP($C71,$BM$1:$BM$3,$BN$1:$BY$3),$BN$4:$BY$4),""),
"")</f>
        <v/>
      </c>
      <c r="BR71" s="8" t="str">
        <f>IF(_xlfn.XLOOKUP($B71,'ELC TECH'!$H:$H,'ELC TECH'!$E:$E)="Non Dispatchable",IFERROR($AX71*_xlfn.XLOOKUP($C71,$BM$1:$BM$3,BR$1:BR$3)/SUMPRODUCT(_xlfn.XLOOKUP($C71,$BM$1:$BM$3,$BN$1:$BY$3),$BN$4:$BY$4),""),
"")</f>
        <v/>
      </c>
      <c r="BS71" s="8" t="str">
        <f>IF(_xlfn.XLOOKUP($B71,'ELC TECH'!$H:$H,'ELC TECH'!$E:$E)="Non Dispatchable",IFERROR($AX71*_xlfn.XLOOKUP($C71,$BM$1:$BM$3,BS$1:BS$3)/SUMPRODUCT(_xlfn.XLOOKUP($C71,$BM$1:$BM$3,$BN$1:$BY$3),$BN$4:$BY$4),""),
"")</f>
        <v/>
      </c>
      <c r="BT71" s="8" t="str">
        <f>IF(_xlfn.XLOOKUP($B71,'ELC TECH'!$H:$H,'ELC TECH'!$E:$E)="Non Dispatchable",IFERROR($AX71*_xlfn.XLOOKUP($C71,$BM$1:$BM$3,BT$1:BT$3)/SUMPRODUCT(_xlfn.XLOOKUP($C71,$BM$1:$BM$3,$BN$1:$BY$3),$BN$4:$BY$4),""),
"")</f>
        <v/>
      </c>
      <c r="BU71" s="8" t="str">
        <f>IF(_xlfn.XLOOKUP($B71,'ELC TECH'!$H:$H,'ELC TECH'!$E:$E)="Non Dispatchable",IFERROR($AX71*_xlfn.XLOOKUP($C71,$BM$1:$BM$3,BU$1:BU$3)/SUMPRODUCT(_xlfn.XLOOKUP($C71,$BM$1:$BM$3,$BN$1:$BY$3),$BN$4:$BY$4),""),
"")</f>
        <v/>
      </c>
      <c r="BV71" s="8" t="str">
        <f>IF(_xlfn.XLOOKUP($B71,'ELC TECH'!$H:$H,'ELC TECH'!$E:$E)="Non Dispatchable",IFERROR($AX71*_xlfn.XLOOKUP($C71,$BM$1:$BM$3,BV$1:BV$3)/SUMPRODUCT(_xlfn.XLOOKUP($C71,$BM$1:$BM$3,$BN$1:$BY$3),$BN$4:$BY$4),""),
"")</f>
        <v/>
      </c>
      <c r="BW71" s="8" t="str">
        <f>IF(_xlfn.XLOOKUP($B71,'ELC TECH'!$H:$H,'ELC TECH'!$E:$E)="Non Dispatchable",IFERROR($AX71*_xlfn.XLOOKUP($C71,$BM$1:$BM$3,BW$1:BW$3)/SUMPRODUCT(_xlfn.XLOOKUP($C71,$BM$1:$BM$3,$BN$1:$BY$3),$BN$4:$BY$4),""),
"")</f>
        <v/>
      </c>
      <c r="BX71" s="8" t="str">
        <f>IF(_xlfn.XLOOKUP($B71,'ELC TECH'!$H:$H,'ELC TECH'!$E:$E)="Non Dispatchable",IFERROR($AX71*_xlfn.XLOOKUP($C71,$BM$1:$BM$3,BX$1:BX$3)/SUMPRODUCT(_xlfn.XLOOKUP($C71,$BM$1:$BM$3,$BN$1:$BY$3),$BN$4:$BY$4),""),
"")</f>
        <v/>
      </c>
      <c r="BY71" s="8" t="str">
        <f>IF(_xlfn.XLOOKUP($B71,'ELC TECH'!$H:$H,'ELC TECH'!$E:$E)="Non Dispatchable",IFERROR($AX71*_xlfn.XLOOKUP($C71,$BM$1:$BM$3,BY$1:BY$3)/SUMPRODUCT(_xlfn.XLOOKUP($C71,$BM$1:$BM$3,$BN$1:$BY$3),$BN$4:$BY$4),""),
"")</f>
        <v/>
      </c>
      <c r="BZ71" s="8" t="str">
        <f>IF(_xlfn.XLOOKUP($B71,'ELC TECH'!$H:$H,'ELC TECH'!$E:$E)="Non Dispatchable",IFERROR($AX71*_xlfn.XLOOKUP($C71,$BM$1:$BM$3,BZ$1:BZ$3)/SUMPRODUCT(_xlfn.XLOOKUP($C71,$BM$1:$BM$3,$BN$1:$BY$3),$BN$4:$BY$4),""),
"")</f>
        <v/>
      </c>
      <c r="CA71" s="8" t="str">
        <f>IF(_xlfn.XLOOKUP($B71,'ELC TECH'!$H:$H,'ELC TECH'!$E:$E)="Non Dispatchable",IFERROR($AX71*_xlfn.XLOOKUP($C71,$BM$1:$BM$3,CA$1:CA$3)/SUMPRODUCT(_xlfn.XLOOKUP($C71,$BM$1:$BM$3,$BN$1:$BY$3),$BN$4:$BY$4),""),
"")</f>
        <v/>
      </c>
      <c r="CB71" s="8" t="str">
        <f>IF(_xlfn.XLOOKUP($B71,'ELC TECH'!$H:$H,'ELC TECH'!$E:$E)="Non Dispatchable",IFERROR($AX71*_xlfn.XLOOKUP($C71,$BM$1:$BM$3,CB$1:CB$3)/SUMPRODUCT(_xlfn.XLOOKUP($C71,$BM$1:$BM$3,$BN$1:$BY$3),$BN$4:$BY$4),""),
"")</f>
        <v/>
      </c>
      <c r="CC71" s="8" t="str">
        <f>IF(_xlfn.XLOOKUP($B71,'ELC TECH'!$H:$H,'ELC TECH'!$E:$E)="Non Dispatchable",IFERROR($AX71*_xlfn.XLOOKUP($C71,$BM$1:$BM$3,CC$1:CC$3)/SUMPRODUCT(_xlfn.XLOOKUP($C71,$BM$1:$BM$3,$BN$1:$BY$3),$BN$4:$BY$4),""),
"")</f>
        <v/>
      </c>
      <c r="CD71" s="8" t="str">
        <f>IF(_xlfn.XLOOKUP($B71,'ELC TECH'!$H:$H,'ELC TECH'!$E:$E)="Non Dispatchable",IFERROR($AX71*_xlfn.XLOOKUP($C71,$BM$1:$BM$3,CD$1:CD$3)/SUMPRODUCT(_xlfn.XLOOKUP($C71,$BM$1:$BM$3,$BN$1:$BY$3),$BN$4:$BY$4),""),
"")</f>
        <v/>
      </c>
      <c r="CE71" s="8" t="str">
        <f>IF(_xlfn.XLOOKUP($B71,'ELC TECH'!$H:$H,'ELC TECH'!$E:$E)="Non Dispatchable",IFERROR($AX71*_xlfn.XLOOKUP($C71,$BM$1:$BM$3,CE$1:CE$3)/SUMPRODUCT(_xlfn.XLOOKUP($C71,$BM$1:$BM$3,$BN$1:$BY$3),$BN$4:$BY$4),""),
"")</f>
        <v/>
      </c>
      <c r="CF71" s="8" t="str">
        <f>IF(_xlfn.XLOOKUP($B71,'ELC TECH'!$H:$H,'ELC TECH'!$E:$E)="Non Dispatchable",IFERROR($AX71*_xlfn.XLOOKUP($C71,$BM$1:$BM$3,CF$1:CF$3)/SUMPRODUCT(_xlfn.XLOOKUP($C71,$BM$1:$BM$3,$BN$1:$BY$3),$BN$4:$BY$4),""),
"")</f>
        <v/>
      </c>
      <c r="CG71" s="8" t="str">
        <f>IF(_xlfn.XLOOKUP($B71,'ELC TECH'!$H:$H,'ELC TECH'!$E:$E)="Non Dispatchable",IFERROR($AX71*_xlfn.XLOOKUP($C71,$BM$1:$BM$3,CG$1:CG$3)/SUMPRODUCT(_xlfn.XLOOKUP($C71,$BM$1:$BM$3,$BN$1:$BY$3),$BN$4:$BY$4),""),
"")</f>
        <v/>
      </c>
      <c r="CH71" s="8" t="str">
        <f>IF(_xlfn.XLOOKUP($B71,'ELC TECH'!$H:$H,'ELC TECH'!$E:$E)="Non Dispatchable",IFERROR($AX71*_xlfn.XLOOKUP($C71,$BM$1:$BM$3,CH$1:CH$3)/SUMPRODUCT(_xlfn.XLOOKUP($C71,$BM$1:$BM$3,$BN$1:$BY$3),$BN$4:$BY$4),""),
"")</f>
        <v/>
      </c>
      <c r="CI71" s="8" t="str">
        <f>IF(_xlfn.XLOOKUP($B71,'ELC TECH'!$H:$H,'ELC TECH'!$E:$E)="Non Dispatchable",IFERROR($AX71*_xlfn.XLOOKUP($C71,$BM$1:$BM$3,CI$1:CI$3)/SUMPRODUCT(_xlfn.XLOOKUP($C71,$BM$1:$BM$3,$BN$1:$BY$3),$BN$4:$BY$4),""),
"")</f>
        <v/>
      </c>
      <c r="CJ71" s="8" t="str">
        <f>IF(_xlfn.XLOOKUP($B71,'ELC TECH'!$H:$H,'ELC TECH'!$E:$E)="Non Dispatchable",IFERROR($AX71*_xlfn.XLOOKUP($C71,$BM$1:$BM$3,CJ$1:CJ$3)/SUMPRODUCT(_xlfn.XLOOKUP($C71,$BM$1:$BM$3,$BN$1:$BY$3),$BN$4:$BY$4),""),
"")</f>
        <v/>
      </c>
      <c r="CK71" s="8" t="str">
        <f>IF(_xlfn.XLOOKUP($B71,'ELC TECH'!$H:$H,'ELC TECH'!$E:$E)="Non Dispatchable",IFERROR($AX71*_xlfn.XLOOKUP($C71,$BM$1:$BM$3,CK$1:CK$3)/SUMPRODUCT(_xlfn.XLOOKUP($C71,$BM$1:$BM$3,$BN$1:$BY$3),$BN$4:$BY$4),""),
"")</f>
        <v/>
      </c>
      <c r="CL71" s="8">
        <f>IF(_xlfn.XLOOKUP($B71,'ELC TECH'!$H:$H,'ELC TECH'!$E:$E)="Storage",CL$4*$BF71,"")</f>
        <v>2.7399999999999997E-2</v>
      </c>
      <c r="CM71" s="8">
        <f>IF(_xlfn.XLOOKUP($B71,'ELC TECH'!$H:$H,'ELC TECH'!$E:$E)="Storage",CM$4*$BF71,"")</f>
        <v>3.1899999999999998E-2</v>
      </c>
      <c r="CN71" s="8">
        <f>IF(_xlfn.XLOOKUP($B71,'ELC TECH'!$H:$H,'ELC TECH'!$E:$E)="Storage",CN$4*$BF71,"")</f>
        <v>5.1066666666666663E-2</v>
      </c>
      <c r="CO71" s="8">
        <f>IF(_xlfn.XLOOKUP($B71,'ELC TECH'!$H:$H,'ELC TECH'!$E:$E)="Storage",CO$4*$BF71,"")</f>
        <v>1.0666666666666667E-3</v>
      </c>
      <c r="CP71" s="8">
        <f>IF(_xlfn.XLOOKUP($B71,'ELC TECH'!$H:$H,'ELC TECH'!$E:$E)="Storage",CP$4*$BF71,"")</f>
        <v>2.7166666666666665E-2</v>
      </c>
      <c r="CQ71" s="8">
        <f>IF(_xlfn.XLOOKUP($B71,'ELC TECH'!$H:$H,'ELC TECH'!$E:$E)="Storage",CQ$4*$BF71,"")</f>
        <v>3.6233333333333333E-2</v>
      </c>
      <c r="CR71" s="8">
        <f>IF(_xlfn.XLOOKUP($B71,'ELC TECH'!$H:$H,'ELC TECH'!$E:$E)="Storage",CR$4*$BF71,"")</f>
        <v>4.6033333333333329E-2</v>
      </c>
      <c r="CS71" s="8">
        <f>IF(_xlfn.XLOOKUP($B71,'ELC TECH'!$H:$H,'ELC TECH'!$E:$E)="Storage",CS$4*$BF71,"")</f>
        <v>1.0666666666666667E-3</v>
      </c>
      <c r="CT71" s="8">
        <f>IF(_xlfn.XLOOKUP($B71,'ELC TECH'!$H:$H,'ELC TECH'!$E:$E)="Storage",CT$4*$BF71,"")</f>
        <v>3.2500000000000001E-2</v>
      </c>
      <c r="CU71" s="8">
        <f>IF(_xlfn.XLOOKUP($B71,'ELC TECH'!$H:$H,'ELC TECH'!$E:$E)="Storage",CU$4*$BF71,"")</f>
        <v>3.6233333333333333E-2</v>
      </c>
      <c r="CV71" s="8">
        <f>IF(_xlfn.XLOOKUP($B71,'ELC TECH'!$H:$H,'ELC TECH'!$E:$E)="Storage",CV$4*$BF71,"")</f>
        <v>4.176666666666666E-2</v>
      </c>
      <c r="CW71" s="8">
        <f>IF(_xlfn.XLOOKUP($B71,'ELC TECH'!$H:$H,'ELC TECH'!$E:$E)="Storage",CW$4*$BF71,"")</f>
        <v>8.9999999999999998E-4</v>
      </c>
      <c r="CX71" s="8">
        <f>IF(_xlfn.XLOOKUP($B71,'ELC TECH'!$H:$H,'ELC TECH'!$E:$E)="Storage",CX$4*$BF71,"")</f>
        <v>2.7399999999999997E-2</v>
      </c>
      <c r="CY71" s="8">
        <f>IF(_xlfn.XLOOKUP($B71,'ELC TECH'!$H:$H,'ELC TECH'!$E:$E)="Storage",CY$4*$BF71,"")</f>
        <v>3.1899999999999998E-2</v>
      </c>
      <c r="CZ71" s="8">
        <f>IF(_xlfn.XLOOKUP($B71,'ELC TECH'!$H:$H,'ELC TECH'!$E:$E)="Storage",CZ$4*$BF71,"")</f>
        <v>5.1066666666666663E-2</v>
      </c>
      <c r="DA71" s="8">
        <f>IF(_xlfn.XLOOKUP($B71,'ELC TECH'!$H:$H,'ELC TECH'!$E:$E)="Storage",DA$4*$BF71,"")</f>
        <v>1.0666666666666667E-3</v>
      </c>
      <c r="DB71" s="8">
        <f>IF(_xlfn.XLOOKUP($B71,'ELC TECH'!$H:$H,'ELC TECH'!$E:$E)="Storage",DB$4*$BF71,"")</f>
        <v>2.7166666666666665E-2</v>
      </c>
      <c r="DC71" s="8">
        <f>IF(_xlfn.XLOOKUP($B71,'ELC TECH'!$H:$H,'ELC TECH'!$E:$E)="Storage",DC$4*$BF71,"")</f>
        <v>3.6233333333333333E-2</v>
      </c>
      <c r="DD71" s="8">
        <f>IF(_xlfn.XLOOKUP($B71,'ELC TECH'!$H:$H,'ELC TECH'!$E:$E)="Storage",DD$4*$BF71,"")</f>
        <v>4.6033333333333329E-2</v>
      </c>
      <c r="DE71" s="8">
        <f>IF(_xlfn.XLOOKUP($B71,'ELC TECH'!$H:$H,'ELC TECH'!$E:$E)="Storage",DE$4*$BF71,"")</f>
        <v>1.0666666666666667E-3</v>
      </c>
      <c r="DF71" s="8">
        <f>IF(_xlfn.XLOOKUP($B71,'ELC TECH'!$H:$H,'ELC TECH'!$E:$E)="Storage",DF$4*$BF71,"")</f>
        <v>3.2500000000000001E-2</v>
      </c>
      <c r="DG71" s="8">
        <f>IF(_xlfn.XLOOKUP($B71,'ELC TECH'!$H:$H,'ELC TECH'!$E:$E)="Storage",DG$4*$BF71,"")</f>
        <v>3.6233333333333333E-2</v>
      </c>
      <c r="DH71" s="8">
        <f>IF(_xlfn.XLOOKUP($B71,'ELC TECH'!$H:$H,'ELC TECH'!$E:$E)="Storage",DH$4*$BF71,"")</f>
        <v>4.176666666666666E-2</v>
      </c>
      <c r="DI71" s="8">
        <f>IF(_xlfn.XLOOKUP($B71,'ELC TECH'!$H:$H,'ELC TECH'!$E:$E)="Storage",DI$4*$BF71,"")</f>
        <v>8.9999999999999998E-4</v>
      </c>
    </row>
    <row r="72" spans="2:113" x14ac:dyDescent="0.25">
      <c r="B72" t="str">
        <f>IF('ELC TECH'!I65=0,"*",'ELC TECH'!H65)</f>
        <v>ELCSTGGRDPSH8HC720</v>
      </c>
      <c r="C72" t="str">
        <f>IF(_xlfn.XLOOKUP(_xlfn.XLOOKUP(B72,'ELC TECH'!$H:$H,'ELC TECH'!$G:$G),List!C:C,List!B:B)="STG",D72,"ELC"&amp;_xlfn.XLOOKUP(_xlfn.XLOOKUP(B72,'ELC TECH'!H:H,'ELC TECH'!G:G),List!C:C,List!B:B))</f>
        <v>CELC</v>
      </c>
      <c r="D72" t="s">
        <v>544</v>
      </c>
      <c r="E72">
        <f>_xlfn.XLOOKUP(B72,'ELC TECH'!H:H,'ELC TECH'!D:D)</f>
        <v>2020</v>
      </c>
      <c r="F72">
        <f>_xlfn.XLOOKUP(B72,'ELC TECH'!H:H,'ELC TECH'!K:K)</f>
        <v>100</v>
      </c>
      <c r="G72">
        <f t="shared" si="5"/>
        <v>31.535999999999998</v>
      </c>
      <c r="H72">
        <f>IF(_xlfn.XLOOKUP(B72,'ELC TECH'!$H:$H,'ELC TECH'!$E:$E)="Storage",0.3,IF(_xlfn.XLOOKUP(B72,'ELC TECH'!$H:$H,'ELC TECH'!$E:$E)="Baseload",0.9,IF(_xlfn.XLOOKUP(B72,'ELC TECH'!$H:$H,'ELC TECH'!$E:$E)="Non Dispatchable",0.05,IF(_xlfn.XLOOKUP(B72,'ELC TECH'!$H:$H,'ELC TECH'!$E:$E)="Dispatchable",0.9,1))))</f>
        <v>0.3</v>
      </c>
      <c r="I72" s="13">
        <f>IF(_xlfn.XLOOKUP(B72,'ELC TECH'!H:H,'ELC TECH'!J:J)="","",_xlfn.XLOOKUP(B72,'ELC TECH'!H:H,'ELC TECH'!J:J))</f>
        <v>0</v>
      </c>
      <c r="J72" s="12" t="str">
        <f>IF(_xlfn.XLOOKUP($B72,'ELC TECH'!$H:$H,'ELC TECH'!$E:$E)="Storage","",IF(_xlfn.XLOOKUP($B72,'ELC TECH'!$H:$H,'ELC TECH'!AK:AK)="",1,_xlfn.XLOOKUP($B72,'ELC TECH'!$H:$H,'ELC TECH'!AK:AK)))</f>
        <v/>
      </c>
      <c r="K72" s="12" t="str">
        <f>IF(_xlfn.XLOOKUP($B72,'ELC TECH'!$H:$H,'ELC TECH'!$E:$E)="Storage","",IF(_xlfn.XLOOKUP($B72,'ELC TECH'!$H:$H,'ELC TECH'!AL:AL)="",1,_xlfn.XLOOKUP($B72,'ELC TECH'!$H:$H,'ELC TECH'!AL:AL)))</f>
        <v/>
      </c>
      <c r="L72" s="12" t="str">
        <f>IF(_xlfn.XLOOKUP($B72,'ELC TECH'!$H:$H,'ELC TECH'!$E:$E)="Storage","",IF(_xlfn.XLOOKUP($B72,'ELC TECH'!$H:$H,'ELC TECH'!AM:AM)="",1,_xlfn.XLOOKUP($B72,'ELC TECH'!$H:$H,'ELC TECH'!AM:AM)))</f>
        <v/>
      </c>
      <c r="M72" s="12" t="str">
        <f>IF(_xlfn.XLOOKUP($B72,'ELC TECH'!$H:$H,'ELC TECH'!$E:$E)="Storage","",IF(_xlfn.XLOOKUP($B72,'ELC TECH'!$H:$H,'ELC TECH'!AN:AN)="",1,_xlfn.XLOOKUP($B72,'ELC TECH'!$H:$H,'ELC TECH'!AN:AN)))</f>
        <v/>
      </c>
      <c r="N72" s="12" t="str">
        <f>IF(_xlfn.XLOOKUP($B72,'ELC TECH'!$H:$H,'ELC TECH'!$E:$E)="Storage","",IF(_xlfn.XLOOKUP($B72,'ELC TECH'!$H:$H,'ELC TECH'!AO:AO)="",1,_xlfn.XLOOKUP($B72,'ELC TECH'!$H:$H,'ELC TECH'!AO:AO)))</f>
        <v/>
      </c>
      <c r="O72" s="12" t="str">
        <f>IF(_xlfn.XLOOKUP($B72,'ELC TECH'!$H:$H,'ELC TECH'!$E:$E)="Storage","",IF(_xlfn.XLOOKUP($B72,'ELC TECH'!$H:$H,'ELC TECH'!AP:AP)="",1,_xlfn.XLOOKUP($B72,'ELC TECH'!$H:$H,'ELC TECH'!AP:AP)))</f>
        <v/>
      </c>
      <c r="P72" s="12" t="str">
        <f>IF(_xlfn.XLOOKUP($B72,'ELC TECH'!$H:$H,'ELC TECH'!$E:$E)="Storage","",IF(_xlfn.XLOOKUP($B72,'ELC TECH'!$H:$H,'ELC TECH'!AQ:AQ)="",1,_xlfn.XLOOKUP($B72,'ELC TECH'!$H:$H,'ELC TECH'!AQ:AQ)))</f>
        <v/>
      </c>
      <c r="Q72" s="12" t="str">
        <f>IF(_xlfn.XLOOKUP($B72,'ELC TECH'!$H:$H,'ELC TECH'!$E:$E)="Storage","",IF(_xlfn.XLOOKUP($B72,'ELC TECH'!$H:$H,'ELC TECH'!AR:AR)="",1,_xlfn.XLOOKUP($B72,'ELC TECH'!$H:$H,'ELC TECH'!AR:AR)))</f>
        <v/>
      </c>
      <c r="R72" s="12">
        <f>IF(_xlfn.XLOOKUP($B72,'ELC TECH'!$H:$H,'ELC TECH'!$E:$E)&lt;&gt;"Storage","",IF(_xlfn.XLOOKUP($B72,'ELC TECH'!$H:$H,'ELC TECH'!AK:AK)="",0.8,_xlfn.XLOOKUP($B72,'ELC TECH'!$H:$H,'ELC TECH'!AK:AK)))</f>
        <v>0.8</v>
      </c>
      <c r="S72" s="12">
        <f>IF(_xlfn.XLOOKUP($B72,'ELC TECH'!$H:$H,'ELC TECH'!$E:$E)&lt;&gt;"Storage","",IF(_xlfn.XLOOKUP($B72,'ELC TECH'!$H:$H,'ELC TECH'!AL:AL)="",0.8,_xlfn.XLOOKUP($B72,'ELC TECH'!$H:$H,'ELC TECH'!AL:AL)))</f>
        <v>0.8</v>
      </c>
      <c r="T72" s="12">
        <f>IF(_xlfn.XLOOKUP($B72,'ELC TECH'!$H:$H,'ELC TECH'!$E:$E)&lt;&gt;"Storage","",IF(_xlfn.XLOOKUP($B72,'ELC TECH'!$H:$H,'ELC TECH'!AM:AM)="",0.8,_xlfn.XLOOKUP($B72,'ELC TECH'!$H:$H,'ELC TECH'!AM:AM)))</f>
        <v>0.8</v>
      </c>
      <c r="U72" s="12">
        <f>IF(_xlfn.XLOOKUP($B72,'ELC TECH'!$H:$H,'ELC TECH'!$E:$E)&lt;&gt;"Storage","",IF(_xlfn.XLOOKUP($B72,'ELC TECH'!$H:$H,'ELC TECH'!AN:AN)="",0.8,_xlfn.XLOOKUP($B72,'ELC TECH'!$H:$H,'ELC TECH'!AN:AN)))</f>
        <v>0.8</v>
      </c>
      <c r="V72" s="12">
        <f>IF(_xlfn.XLOOKUP($B72,'ELC TECH'!$H:$H,'ELC TECH'!$E:$E)&lt;&gt;"Storage","",IF(_xlfn.XLOOKUP($B72,'ELC TECH'!$H:$H,'ELC TECH'!AO:AO)="",0.8,_xlfn.XLOOKUP($B72,'ELC TECH'!$H:$H,'ELC TECH'!AO:AO)))</f>
        <v>0.8</v>
      </c>
      <c r="W72" s="12">
        <f>IF(_xlfn.XLOOKUP($B72,'ELC TECH'!$H:$H,'ELC TECH'!$E:$E)&lt;&gt;"Storage","",IF(_xlfn.XLOOKUP($B72,'ELC TECH'!$H:$H,'ELC TECH'!AP:AP)="",0.8,_xlfn.XLOOKUP($B72,'ELC TECH'!$H:$H,'ELC TECH'!AP:AP)))</f>
        <v>0.8</v>
      </c>
      <c r="X72" s="12">
        <f>IF(_xlfn.XLOOKUP($B72,'ELC TECH'!$H:$H,'ELC TECH'!$E:$E)&lt;&gt;"Storage","",IF(_xlfn.XLOOKUP($B72,'ELC TECH'!$H:$H,'ELC TECH'!AQ:AQ)="",0.8,_xlfn.XLOOKUP($B72,'ELC TECH'!$H:$H,'ELC TECH'!AQ:AQ)))</f>
        <v>0.8</v>
      </c>
      <c r="Y72" s="12">
        <f>IF(_xlfn.XLOOKUP($B72,'ELC TECH'!$H:$H,'ELC TECH'!$E:$E)&lt;&gt;"Storage","",IF(_xlfn.XLOOKUP($B72,'ELC TECH'!$H:$H,'ELC TECH'!AR:AR)="",0.8,_xlfn.XLOOKUP($B72,'ELC TECH'!$H:$H,'ELC TECH'!AR:AR)))</f>
        <v>0.8</v>
      </c>
      <c r="Z72" s="15">
        <f>_xlfn.XLOOKUP($B72,'ELC TECH'!$H:$H,'ELC TECH'!M:M)</f>
        <v>3454.6144209714198</v>
      </c>
      <c r="AA72" s="15">
        <f>_xlfn.XLOOKUP($B72,'ELC TECH'!$H:$H,'ELC TECH'!N:N)</f>
        <v>3454.6144209714198</v>
      </c>
      <c r="AB72" s="15">
        <f>_xlfn.XLOOKUP($B72,'ELC TECH'!$H:$H,'ELC TECH'!O:O)</f>
        <v>3454.6144209714198</v>
      </c>
      <c r="AC72" s="15">
        <f>_xlfn.XLOOKUP($B72,'ELC TECH'!$H:$H,'ELC TECH'!P:P)</f>
        <v>3454.6144209714198</v>
      </c>
      <c r="AD72" s="15">
        <f>_xlfn.XLOOKUP($B72,'ELC TECH'!$H:$H,'ELC TECH'!Q:Q)</f>
        <v>3454.6144209714198</v>
      </c>
      <c r="AE72" s="15">
        <f>_xlfn.XLOOKUP($B72,'ELC TECH'!$H:$H,'ELC TECH'!R:R)</f>
        <v>3454.6144209714198</v>
      </c>
      <c r="AF72" s="15">
        <f>_xlfn.XLOOKUP($B72,'ELC TECH'!$H:$H,'ELC TECH'!S:S)</f>
        <v>3454.6144209714198</v>
      </c>
      <c r="AG72" s="15">
        <f>_xlfn.XLOOKUP($B72,'ELC TECH'!$H:$H,'ELC TECH'!T:T)</f>
        <v>3454.6144209714198</v>
      </c>
      <c r="AH72" s="15">
        <f>_xlfn.XLOOKUP($B72,'ELC TECH'!$H:$H,'ELC TECH'!U:U)</f>
        <v>21.100097091380029</v>
      </c>
      <c r="AI72" s="15">
        <f>_xlfn.XLOOKUP($B72,'ELC TECH'!$H:$H,'ELC TECH'!V:V)</f>
        <v>21.100097091380029</v>
      </c>
      <c r="AJ72" s="15">
        <f>_xlfn.XLOOKUP($B72,'ELC TECH'!$H:$H,'ELC TECH'!W:W)</f>
        <v>21.100097091380029</v>
      </c>
      <c r="AK72" s="15">
        <f>_xlfn.XLOOKUP($B72,'ELC TECH'!$H:$H,'ELC TECH'!X:X)</f>
        <v>21.100097091380029</v>
      </c>
      <c r="AL72" s="15">
        <f>_xlfn.XLOOKUP($B72,'ELC TECH'!$H:$H,'ELC TECH'!Y:Y)</f>
        <v>21.100097091380029</v>
      </c>
      <c r="AM72" s="15">
        <f>_xlfn.XLOOKUP($B72,'ELC TECH'!$H:$H,'ELC TECH'!Z:Z)</f>
        <v>21.100097091380029</v>
      </c>
      <c r="AN72" s="15">
        <f>_xlfn.XLOOKUP($B72,'ELC TECH'!$H:$H,'ELC TECH'!AA:AA)</f>
        <v>21.100097091380029</v>
      </c>
      <c r="AO72" s="15">
        <f>_xlfn.XLOOKUP($B72,'ELC TECH'!$H:$H,'ELC TECH'!AB:AB)</f>
        <v>21.100097091380029</v>
      </c>
      <c r="AP72" s="15">
        <f>_xlfn.XLOOKUP($B72,'ELC TECH'!$H:$H,'ELC TECH'!AC:AC)</f>
        <v>0.1696149283872993</v>
      </c>
      <c r="AQ72" s="15">
        <f>_xlfn.XLOOKUP($B72,'ELC TECH'!$H:$H,'ELC TECH'!AD:AD)</f>
        <v>0.1696149283872993</v>
      </c>
      <c r="AR72" s="15">
        <f>_xlfn.XLOOKUP($B72,'ELC TECH'!$H:$H,'ELC TECH'!AE:AE)</f>
        <v>0.1696149283872993</v>
      </c>
      <c r="AS72" s="15">
        <f>_xlfn.XLOOKUP($B72,'ELC TECH'!$H:$H,'ELC TECH'!AF:AF)</f>
        <v>0.1696149283872993</v>
      </c>
      <c r="AT72" s="15">
        <f>_xlfn.XLOOKUP($B72,'ELC TECH'!$H:$H,'ELC TECH'!AG:AG)</f>
        <v>0.1696149283872993</v>
      </c>
      <c r="AU72" s="15">
        <f>_xlfn.XLOOKUP($B72,'ELC TECH'!$H:$H,'ELC TECH'!AH:AH)</f>
        <v>0.1696149283872993</v>
      </c>
      <c r="AV72" s="15">
        <f>_xlfn.XLOOKUP($B72,'ELC TECH'!$H:$H,'ELC TECH'!AI:AI)</f>
        <v>0.1696149283872993</v>
      </c>
      <c r="AW72" s="15">
        <f>_xlfn.XLOOKUP($B72,'ELC TECH'!$H:$H,'ELC TECH'!AJ:AJ)</f>
        <v>0.1696149283872993</v>
      </c>
      <c r="AX72" s="12" t="str">
        <f>IF(_xlfn.XLOOKUP($B72,'ELC TECH'!$H:$H,'ELC TECH'!$E:$E)="Storage","",_xlfn.XLOOKUP($B72,'ELC TECH'!$H:$H,'ELC TECH'!AS:AS))</f>
        <v/>
      </c>
      <c r="AY72" s="12" t="str">
        <f>IF(_xlfn.XLOOKUP($B72,'ELC TECH'!$H:$H,'ELC TECH'!$E:$E)="Storage","",_xlfn.XLOOKUP($B72,'ELC TECH'!$H:$H,'ELC TECH'!AT:AT))</f>
        <v/>
      </c>
      <c r="AZ72" s="12" t="str">
        <f>IF(_xlfn.XLOOKUP($B72,'ELC TECH'!$H:$H,'ELC TECH'!$E:$E)="Storage","",_xlfn.XLOOKUP($B72,'ELC TECH'!$H:$H,'ELC TECH'!AU:AU))</f>
        <v/>
      </c>
      <c r="BA72" s="12" t="str">
        <f>IF(_xlfn.XLOOKUP($B72,'ELC TECH'!$H:$H,'ELC TECH'!$E:$E)="Storage","",_xlfn.XLOOKUP($B72,'ELC TECH'!$H:$H,'ELC TECH'!AV:AV))</f>
        <v/>
      </c>
      <c r="BB72" s="12" t="str">
        <f>IF(_xlfn.XLOOKUP($B72,'ELC TECH'!$H:$H,'ELC TECH'!$E:$E)="Storage","",_xlfn.XLOOKUP($B72,'ELC TECH'!$H:$H,'ELC TECH'!AW:AW))</f>
        <v/>
      </c>
      <c r="BC72" s="12" t="str">
        <f>IF(_xlfn.XLOOKUP($B72,'ELC TECH'!$H:$H,'ELC TECH'!$E:$E)="Storage","",_xlfn.XLOOKUP($B72,'ELC TECH'!$H:$H,'ELC TECH'!AX:AX))</f>
        <v/>
      </c>
      <c r="BD72" s="12" t="str">
        <f>IF(_xlfn.XLOOKUP($B72,'ELC TECH'!$H:$H,'ELC TECH'!$E:$E)="Storage","",_xlfn.XLOOKUP($B72,'ELC TECH'!$H:$H,'ELC TECH'!AY:AY))</f>
        <v/>
      </c>
      <c r="BE72" s="12" t="str">
        <f>IF(_xlfn.XLOOKUP($B72,'ELC TECH'!$H:$H,'ELC TECH'!$E:$E)="Storage","",_xlfn.XLOOKUP($B72,'ELC TECH'!$H:$H,'ELC TECH'!AZ:AZ))</f>
        <v/>
      </c>
      <c r="BF72" s="12">
        <f>IF(_xlfn.XLOOKUP($B72,'ELC TECH'!$H:$H,'ELC TECH'!$E:$E)="Storage",_xlfn.XLOOKUP($B72,'ELC TECH'!$H:$H,'ELC TECH'!AS:AS),"")</f>
        <v>0.33333333333333331</v>
      </c>
      <c r="BG72" s="12">
        <f>IF(_xlfn.XLOOKUP($B72,'ELC TECH'!$H:$H,'ELC TECH'!$E:$E)="Storage",_xlfn.XLOOKUP($B72,'ELC TECH'!$H:$H,'ELC TECH'!AT:AT),"")</f>
        <v>0.33333333333333331</v>
      </c>
      <c r="BH72" s="12">
        <f>IF(_xlfn.XLOOKUP($B72,'ELC TECH'!$H:$H,'ELC TECH'!$E:$E)="Storage",_xlfn.XLOOKUP($B72,'ELC TECH'!$H:$H,'ELC TECH'!AU:AU),"")</f>
        <v>0.33333333333333331</v>
      </c>
      <c r="BI72" s="12">
        <f>IF(_xlfn.XLOOKUP($B72,'ELC TECH'!$H:$H,'ELC TECH'!$E:$E)="Storage",_xlfn.XLOOKUP($B72,'ELC TECH'!$H:$H,'ELC TECH'!AV:AV),"")</f>
        <v>0.33333333333333331</v>
      </c>
      <c r="BJ72" s="12">
        <f>IF(_xlfn.XLOOKUP($B72,'ELC TECH'!$H:$H,'ELC TECH'!$E:$E)="Storage",_xlfn.XLOOKUP($B72,'ELC TECH'!$H:$H,'ELC TECH'!AW:AW),"")</f>
        <v>0.33333333333333331</v>
      </c>
      <c r="BK72" s="12">
        <f>IF(_xlfn.XLOOKUP($B72,'ELC TECH'!$H:$H,'ELC TECH'!$E:$E)="Storage",_xlfn.XLOOKUP($B72,'ELC TECH'!$H:$H,'ELC TECH'!AX:AX),"")</f>
        <v>0.33333333333333331</v>
      </c>
      <c r="BL72" s="12">
        <f>IF(_xlfn.XLOOKUP($B72,'ELC TECH'!$H:$H,'ELC TECH'!$E:$E)="Storage",_xlfn.XLOOKUP($B72,'ELC TECH'!$H:$H,'ELC TECH'!AY:AY),"")</f>
        <v>0.33333333333333331</v>
      </c>
      <c r="BM72" s="12">
        <f>IF(_xlfn.XLOOKUP($B72,'ELC TECH'!$H:$H,'ELC TECH'!$E:$E)="Storage",_xlfn.XLOOKUP($B72,'ELC TECH'!$H:$H,'ELC TECH'!AZ:AZ),"")</f>
        <v>0.33333333333333331</v>
      </c>
      <c r="BN72" s="8" t="str">
        <f>IF(_xlfn.XLOOKUP($B72,'ELC TECH'!$H:$H,'ELC TECH'!$E:$E)="Non Dispatchable",IFERROR($AX72*_xlfn.XLOOKUP($C72,$BM$1:$BM$3,BN$1:BN$3)/SUMPRODUCT(_xlfn.XLOOKUP($C72,$BM$1:$BM$3,$BN$1:$BY$3),$BN$4:$BY$4),""),
"")</f>
        <v/>
      </c>
      <c r="BO72" s="8" t="str">
        <f>IF(_xlfn.XLOOKUP($B72,'ELC TECH'!$H:$H,'ELC TECH'!$E:$E)="Non Dispatchable",IFERROR($AX72*_xlfn.XLOOKUP($C72,$BM$1:$BM$3,BO$1:BO$3)/SUMPRODUCT(_xlfn.XLOOKUP($C72,$BM$1:$BM$3,$BN$1:$BY$3),$BN$4:$BY$4),""),
"")</f>
        <v/>
      </c>
      <c r="BP72" s="8" t="str">
        <f>IF(_xlfn.XLOOKUP($B72,'ELC TECH'!$H:$H,'ELC TECH'!$E:$E)="Non Dispatchable",IFERROR($AX72*_xlfn.XLOOKUP($C72,$BM$1:$BM$3,BP$1:BP$3)/SUMPRODUCT(_xlfn.XLOOKUP($C72,$BM$1:$BM$3,$BN$1:$BY$3),$BN$4:$BY$4),""),
"")</f>
        <v/>
      </c>
      <c r="BQ72" s="8" t="str">
        <f>IF(_xlfn.XLOOKUP($B72,'ELC TECH'!$H:$H,'ELC TECH'!$E:$E)="Non Dispatchable",IFERROR($AX72*_xlfn.XLOOKUP($C72,$BM$1:$BM$3,BQ$1:BQ$3)/SUMPRODUCT(_xlfn.XLOOKUP($C72,$BM$1:$BM$3,$BN$1:$BY$3),$BN$4:$BY$4),""),
"")</f>
        <v/>
      </c>
      <c r="BR72" s="8" t="str">
        <f>IF(_xlfn.XLOOKUP($B72,'ELC TECH'!$H:$H,'ELC TECH'!$E:$E)="Non Dispatchable",IFERROR($AX72*_xlfn.XLOOKUP($C72,$BM$1:$BM$3,BR$1:BR$3)/SUMPRODUCT(_xlfn.XLOOKUP($C72,$BM$1:$BM$3,$BN$1:$BY$3),$BN$4:$BY$4),""),
"")</f>
        <v/>
      </c>
      <c r="BS72" s="8" t="str">
        <f>IF(_xlfn.XLOOKUP($B72,'ELC TECH'!$H:$H,'ELC TECH'!$E:$E)="Non Dispatchable",IFERROR($AX72*_xlfn.XLOOKUP($C72,$BM$1:$BM$3,BS$1:BS$3)/SUMPRODUCT(_xlfn.XLOOKUP($C72,$BM$1:$BM$3,$BN$1:$BY$3),$BN$4:$BY$4),""),
"")</f>
        <v/>
      </c>
      <c r="BT72" s="8" t="str">
        <f>IF(_xlfn.XLOOKUP($B72,'ELC TECH'!$H:$H,'ELC TECH'!$E:$E)="Non Dispatchable",IFERROR($AX72*_xlfn.XLOOKUP($C72,$BM$1:$BM$3,BT$1:BT$3)/SUMPRODUCT(_xlfn.XLOOKUP($C72,$BM$1:$BM$3,$BN$1:$BY$3),$BN$4:$BY$4),""),
"")</f>
        <v/>
      </c>
      <c r="BU72" s="8" t="str">
        <f>IF(_xlfn.XLOOKUP($B72,'ELC TECH'!$H:$H,'ELC TECH'!$E:$E)="Non Dispatchable",IFERROR($AX72*_xlfn.XLOOKUP($C72,$BM$1:$BM$3,BU$1:BU$3)/SUMPRODUCT(_xlfn.XLOOKUP($C72,$BM$1:$BM$3,$BN$1:$BY$3),$BN$4:$BY$4),""),
"")</f>
        <v/>
      </c>
      <c r="BV72" s="8" t="str">
        <f>IF(_xlfn.XLOOKUP($B72,'ELC TECH'!$H:$H,'ELC TECH'!$E:$E)="Non Dispatchable",IFERROR($AX72*_xlfn.XLOOKUP($C72,$BM$1:$BM$3,BV$1:BV$3)/SUMPRODUCT(_xlfn.XLOOKUP($C72,$BM$1:$BM$3,$BN$1:$BY$3),$BN$4:$BY$4),""),
"")</f>
        <v/>
      </c>
      <c r="BW72" s="8" t="str">
        <f>IF(_xlfn.XLOOKUP($B72,'ELC TECH'!$H:$H,'ELC TECH'!$E:$E)="Non Dispatchable",IFERROR($AX72*_xlfn.XLOOKUP($C72,$BM$1:$BM$3,BW$1:BW$3)/SUMPRODUCT(_xlfn.XLOOKUP($C72,$BM$1:$BM$3,$BN$1:$BY$3),$BN$4:$BY$4),""),
"")</f>
        <v/>
      </c>
      <c r="BX72" s="8" t="str">
        <f>IF(_xlfn.XLOOKUP($B72,'ELC TECH'!$H:$H,'ELC TECH'!$E:$E)="Non Dispatchable",IFERROR($AX72*_xlfn.XLOOKUP($C72,$BM$1:$BM$3,BX$1:BX$3)/SUMPRODUCT(_xlfn.XLOOKUP($C72,$BM$1:$BM$3,$BN$1:$BY$3),$BN$4:$BY$4),""),
"")</f>
        <v/>
      </c>
      <c r="BY72" s="8" t="str">
        <f>IF(_xlfn.XLOOKUP($B72,'ELC TECH'!$H:$H,'ELC TECH'!$E:$E)="Non Dispatchable",IFERROR($AX72*_xlfn.XLOOKUP($C72,$BM$1:$BM$3,BY$1:BY$3)/SUMPRODUCT(_xlfn.XLOOKUP($C72,$BM$1:$BM$3,$BN$1:$BY$3),$BN$4:$BY$4),""),
"")</f>
        <v/>
      </c>
      <c r="BZ72" s="8" t="str">
        <f>IF(_xlfn.XLOOKUP($B72,'ELC TECH'!$H:$H,'ELC TECH'!$E:$E)="Non Dispatchable",IFERROR($AX72*_xlfn.XLOOKUP($C72,$BM$1:$BM$3,BZ$1:BZ$3)/SUMPRODUCT(_xlfn.XLOOKUP($C72,$BM$1:$BM$3,$BN$1:$BY$3),$BN$4:$BY$4),""),
"")</f>
        <v/>
      </c>
      <c r="CA72" s="8" t="str">
        <f>IF(_xlfn.XLOOKUP($B72,'ELC TECH'!$H:$H,'ELC TECH'!$E:$E)="Non Dispatchable",IFERROR($AX72*_xlfn.XLOOKUP($C72,$BM$1:$BM$3,CA$1:CA$3)/SUMPRODUCT(_xlfn.XLOOKUP($C72,$BM$1:$BM$3,$BN$1:$BY$3),$BN$4:$BY$4),""),
"")</f>
        <v/>
      </c>
      <c r="CB72" s="8" t="str">
        <f>IF(_xlfn.XLOOKUP($B72,'ELC TECH'!$H:$H,'ELC TECH'!$E:$E)="Non Dispatchable",IFERROR($AX72*_xlfn.XLOOKUP($C72,$BM$1:$BM$3,CB$1:CB$3)/SUMPRODUCT(_xlfn.XLOOKUP($C72,$BM$1:$BM$3,$BN$1:$BY$3),$BN$4:$BY$4),""),
"")</f>
        <v/>
      </c>
      <c r="CC72" s="8" t="str">
        <f>IF(_xlfn.XLOOKUP($B72,'ELC TECH'!$H:$H,'ELC TECH'!$E:$E)="Non Dispatchable",IFERROR($AX72*_xlfn.XLOOKUP($C72,$BM$1:$BM$3,CC$1:CC$3)/SUMPRODUCT(_xlfn.XLOOKUP($C72,$BM$1:$BM$3,$BN$1:$BY$3),$BN$4:$BY$4),""),
"")</f>
        <v/>
      </c>
      <c r="CD72" s="8" t="str">
        <f>IF(_xlfn.XLOOKUP($B72,'ELC TECH'!$H:$H,'ELC TECH'!$E:$E)="Non Dispatchable",IFERROR($AX72*_xlfn.XLOOKUP($C72,$BM$1:$BM$3,CD$1:CD$3)/SUMPRODUCT(_xlfn.XLOOKUP($C72,$BM$1:$BM$3,$BN$1:$BY$3),$BN$4:$BY$4),""),
"")</f>
        <v/>
      </c>
      <c r="CE72" s="8" t="str">
        <f>IF(_xlfn.XLOOKUP($B72,'ELC TECH'!$H:$H,'ELC TECH'!$E:$E)="Non Dispatchable",IFERROR($AX72*_xlfn.XLOOKUP($C72,$BM$1:$BM$3,CE$1:CE$3)/SUMPRODUCT(_xlfn.XLOOKUP($C72,$BM$1:$BM$3,$BN$1:$BY$3),$BN$4:$BY$4),""),
"")</f>
        <v/>
      </c>
      <c r="CF72" s="8" t="str">
        <f>IF(_xlfn.XLOOKUP($B72,'ELC TECH'!$H:$H,'ELC TECH'!$E:$E)="Non Dispatchable",IFERROR($AX72*_xlfn.XLOOKUP($C72,$BM$1:$BM$3,CF$1:CF$3)/SUMPRODUCT(_xlfn.XLOOKUP($C72,$BM$1:$BM$3,$BN$1:$BY$3),$BN$4:$BY$4),""),
"")</f>
        <v/>
      </c>
      <c r="CG72" s="8" t="str">
        <f>IF(_xlfn.XLOOKUP($B72,'ELC TECH'!$H:$H,'ELC TECH'!$E:$E)="Non Dispatchable",IFERROR($AX72*_xlfn.XLOOKUP($C72,$BM$1:$BM$3,CG$1:CG$3)/SUMPRODUCT(_xlfn.XLOOKUP($C72,$BM$1:$BM$3,$BN$1:$BY$3),$BN$4:$BY$4),""),
"")</f>
        <v/>
      </c>
      <c r="CH72" s="8" t="str">
        <f>IF(_xlfn.XLOOKUP($B72,'ELC TECH'!$H:$H,'ELC TECH'!$E:$E)="Non Dispatchable",IFERROR($AX72*_xlfn.XLOOKUP($C72,$BM$1:$BM$3,CH$1:CH$3)/SUMPRODUCT(_xlfn.XLOOKUP($C72,$BM$1:$BM$3,$BN$1:$BY$3),$BN$4:$BY$4),""),
"")</f>
        <v/>
      </c>
      <c r="CI72" s="8" t="str">
        <f>IF(_xlfn.XLOOKUP($B72,'ELC TECH'!$H:$H,'ELC TECH'!$E:$E)="Non Dispatchable",IFERROR($AX72*_xlfn.XLOOKUP($C72,$BM$1:$BM$3,CI$1:CI$3)/SUMPRODUCT(_xlfn.XLOOKUP($C72,$BM$1:$BM$3,$BN$1:$BY$3),$BN$4:$BY$4),""),
"")</f>
        <v/>
      </c>
      <c r="CJ72" s="8" t="str">
        <f>IF(_xlfn.XLOOKUP($B72,'ELC TECH'!$H:$H,'ELC TECH'!$E:$E)="Non Dispatchable",IFERROR($AX72*_xlfn.XLOOKUP($C72,$BM$1:$BM$3,CJ$1:CJ$3)/SUMPRODUCT(_xlfn.XLOOKUP($C72,$BM$1:$BM$3,$BN$1:$BY$3),$BN$4:$BY$4),""),
"")</f>
        <v/>
      </c>
      <c r="CK72" s="8" t="str">
        <f>IF(_xlfn.XLOOKUP($B72,'ELC TECH'!$H:$H,'ELC TECH'!$E:$E)="Non Dispatchable",IFERROR($AX72*_xlfn.XLOOKUP($C72,$BM$1:$BM$3,CK$1:CK$3)/SUMPRODUCT(_xlfn.XLOOKUP($C72,$BM$1:$BM$3,$BN$1:$BY$3),$BN$4:$BY$4),""),
"")</f>
        <v/>
      </c>
      <c r="CL72" s="8">
        <f>IF(_xlfn.XLOOKUP($B72,'ELC TECH'!$H:$H,'ELC TECH'!$E:$E)="Storage",CL$4*$BF72,"")</f>
        <v>2.7399999999999997E-2</v>
      </c>
      <c r="CM72" s="8">
        <f>IF(_xlfn.XLOOKUP($B72,'ELC TECH'!$H:$H,'ELC TECH'!$E:$E)="Storage",CM$4*$BF72,"")</f>
        <v>3.1899999999999998E-2</v>
      </c>
      <c r="CN72" s="8">
        <f>IF(_xlfn.XLOOKUP($B72,'ELC TECH'!$H:$H,'ELC TECH'!$E:$E)="Storage",CN$4*$BF72,"")</f>
        <v>5.1066666666666663E-2</v>
      </c>
      <c r="CO72" s="8">
        <f>IF(_xlfn.XLOOKUP($B72,'ELC TECH'!$H:$H,'ELC TECH'!$E:$E)="Storage",CO$4*$BF72,"")</f>
        <v>1.0666666666666667E-3</v>
      </c>
      <c r="CP72" s="8">
        <f>IF(_xlfn.XLOOKUP($B72,'ELC TECH'!$H:$H,'ELC TECH'!$E:$E)="Storage",CP$4*$BF72,"")</f>
        <v>2.7166666666666665E-2</v>
      </c>
      <c r="CQ72" s="8">
        <f>IF(_xlfn.XLOOKUP($B72,'ELC TECH'!$H:$H,'ELC TECH'!$E:$E)="Storage",CQ$4*$BF72,"")</f>
        <v>3.6233333333333333E-2</v>
      </c>
      <c r="CR72" s="8">
        <f>IF(_xlfn.XLOOKUP($B72,'ELC TECH'!$H:$H,'ELC TECH'!$E:$E)="Storage",CR$4*$BF72,"")</f>
        <v>4.6033333333333329E-2</v>
      </c>
      <c r="CS72" s="8">
        <f>IF(_xlfn.XLOOKUP($B72,'ELC TECH'!$H:$H,'ELC TECH'!$E:$E)="Storage",CS$4*$BF72,"")</f>
        <v>1.0666666666666667E-3</v>
      </c>
      <c r="CT72" s="8">
        <f>IF(_xlfn.XLOOKUP($B72,'ELC TECH'!$H:$H,'ELC TECH'!$E:$E)="Storage",CT$4*$BF72,"")</f>
        <v>3.2500000000000001E-2</v>
      </c>
      <c r="CU72" s="8">
        <f>IF(_xlfn.XLOOKUP($B72,'ELC TECH'!$H:$H,'ELC TECH'!$E:$E)="Storage",CU$4*$BF72,"")</f>
        <v>3.6233333333333333E-2</v>
      </c>
      <c r="CV72" s="8">
        <f>IF(_xlfn.XLOOKUP($B72,'ELC TECH'!$H:$H,'ELC TECH'!$E:$E)="Storage",CV$4*$BF72,"")</f>
        <v>4.176666666666666E-2</v>
      </c>
      <c r="CW72" s="8">
        <f>IF(_xlfn.XLOOKUP($B72,'ELC TECH'!$H:$H,'ELC TECH'!$E:$E)="Storage",CW$4*$BF72,"")</f>
        <v>8.9999999999999998E-4</v>
      </c>
      <c r="CX72" s="8">
        <f>IF(_xlfn.XLOOKUP($B72,'ELC TECH'!$H:$H,'ELC TECH'!$E:$E)="Storage",CX$4*$BF72,"")</f>
        <v>2.7399999999999997E-2</v>
      </c>
      <c r="CY72" s="8">
        <f>IF(_xlfn.XLOOKUP($B72,'ELC TECH'!$H:$H,'ELC TECH'!$E:$E)="Storage",CY$4*$BF72,"")</f>
        <v>3.1899999999999998E-2</v>
      </c>
      <c r="CZ72" s="8">
        <f>IF(_xlfn.XLOOKUP($B72,'ELC TECH'!$H:$H,'ELC TECH'!$E:$E)="Storage",CZ$4*$BF72,"")</f>
        <v>5.1066666666666663E-2</v>
      </c>
      <c r="DA72" s="8">
        <f>IF(_xlfn.XLOOKUP($B72,'ELC TECH'!$H:$H,'ELC TECH'!$E:$E)="Storage",DA$4*$BF72,"")</f>
        <v>1.0666666666666667E-3</v>
      </c>
      <c r="DB72" s="8">
        <f>IF(_xlfn.XLOOKUP($B72,'ELC TECH'!$H:$H,'ELC TECH'!$E:$E)="Storage",DB$4*$BF72,"")</f>
        <v>2.7166666666666665E-2</v>
      </c>
      <c r="DC72" s="8">
        <f>IF(_xlfn.XLOOKUP($B72,'ELC TECH'!$H:$H,'ELC TECH'!$E:$E)="Storage",DC$4*$BF72,"")</f>
        <v>3.6233333333333333E-2</v>
      </c>
      <c r="DD72" s="8">
        <f>IF(_xlfn.XLOOKUP($B72,'ELC TECH'!$H:$H,'ELC TECH'!$E:$E)="Storage",DD$4*$BF72,"")</f>
        <v>4.6033333333333329E-2</v>
      </c>
      <c r="DE72" s="8">
        <f>IF(_xlfn.XLOOKUP($B72,'ELC TECH'!$H:$H,'ELC TECH'!$E:$E)="Storage",DE$4*$BF72,"")</f>
        <v>1.0666666666666667E-3</v>
      </c>
      <c r="DF72" s="8">
        <f>IF(_xlfn.XLOOKUP($B72,'ELC TECH'!$H:$H,'ELC TECH'!$E:$E)="Storage",DF$4*$BF72,"")</f>
        <v>3.2500000000000001E-2</v>
      </c>
      <c r="DG72" s="8">
        <f>IF(_xlfn.XLOOKUP($B72,'ELC TECH'!$H:$H,'ELC TECH'!$E:$E)="Storage",DG$4*$BF72,"")</f>
        <v>3.6233333333333333E-2</v>
      </c>
      <c r="DH72" s="8">
        <f>IF(_xlfn.XLOOKUP($B72,'ELC TECH'!$H:$H,'ELC TECH'!$E:$E)="Storage",DH$4*$BF72,"")</f>
        <v>4.176666666666666E-2</v>
      </c>
      <c r="DI72" s="8">
        <f>IF(_xlfn.XLOOKUP($B72,'ELC TECH'!$H:$H,'ELC TECH'!$E:$E)="Storage",DI$4*$BF72,"")</f>
        <v>8.9999999999999998E-4</v>
      </c>
    </row>
    <row r="73" spans="2:113" x14ac:dyDescent="0.25">
      <c r="B73" t="str">
        <f>IF('ELC TECH'!I66=0,"*",'ELC TECH'!H66)</f>
        <v>ELCSTGGRDPSH8HC820</v>
      </c>
      <c r="C73" t="str">
        <f>IF(_xlfn.XLOOKUP(_xlfn.XLOOKUP(B73,'ELC TECH'!$H:$H,'ELC TECH'!$G:$G),List!C:C,List!B:B)="STG",D73,"ELC"&amp;_xlfn.XLOOKUP(_xlfn.XLOOKUP(B73,'ELC TECH'!H:H,'ELC TECH'!G:G),List!C:C,List!B:B))</f>
        <v>CELC</v>
      </c>
      <c r="D73" t="s">
        <v>544</v>
      </c>
      <c r="E73">
        <f>_xlfn.XLOOKUP(B73,'ELC TECH'!H:H,'ELC TECH'!D:D)</f>
        <v>2020</v>
      </c>
      <c r="F73">
        <f>_xlfn.XLOOKUP(B73,'ELC TECH'!H:H,'ELC TECH'!K:K)</f>
        <v>100</v>
      </c>
      <c r="G73">
        <f t="shared" si="5"/>
        <v>31.535999999999998</v>
      </c>
      <c r="H73">
        <f>IF(_xlfn.XLOOKUP(B73,'ELC TECH'!$H:$H,'ELC TECH'!$E:$E)="Storage",0.3,IF(_xlfn.XLOOKUP(B73,'ELC TECH'!$H:$H,'ELC TECH'!$E:$E)="Baseload",0.9,IF(_xlfn.XLOOKUP(B73,'ELC TECH'!$H:$H,'ELC TECH'!$E:$E)="Non Dispatchable",0.05,IF(_xlfn.XLOOKUP(B73,'ELC TECH'!$H:$H,'ELC TECH'!$E:$E)="Dispatchable",0.9,1))))</f>
        <v>0.3</v>
      </c>
      <c r="I73" s="13">
        <f>IF(_xlfn.XLOOKUP(B73,'ELC TECH'!H:H,'ELC TECH'!J:J)="","",_xlfn.XLOOKUP(B73,'ELC TECH'!H:H,'ELC TECH'!J:J))</f>
        <v>0</v>
      </c>
      <c r="J73" s="12" t="str">
        <f>IF(_xlfn.XLOOKUP($B73,'ELC TECH'!$H:$H,'ELC TECH'!$E:$E)="Storage","",IF(_xlfn.XLOOKUP($B73,'ELC TECH'!$H:$H,'ELC TECH'!AK:AK)="",1,_xlfn.XLOOKUP($B73,'ELC TECH'!$H:$H,'ELC TECH'!AK:AK)))</f>
        <v/>
      </c>
      <c r="K73" s="12" t="str">
        <f>IF(_xlfn.XLOOKUP($B73,'ELC TECH'!$H:$H,'ELC TECH'!$E:$E)="Storage","",IF(_xlfn.XLOOKUP($B73,'ELC TECH'!$H:$H,'ELC TECH'!AL:AL)="",1,_xlfn.XLOOKUP($B73,'ELC TECH'!$H:$H,'ELC TECH'!AL:AL)))</f>
        <v/>
      </c>
      <c r="L73" s="12" t="str">
        <f>IF(_xlfn.XLOOKUP($B73,'ELC TECH'!$H:$H,'ELC TECH'!$E:$E)="Storage","",IF(_xlfn.XLOOKUP($B73,'ELC TECH'!$H:$H,'ELC TECH'!AM:AM)="",1,_xlfn.XLOOKUP($B73,'ELC TECH'!$H:$H,'ELC TECH'!AM:AM)))</f>
        <v/>
      </c>
      <c r="M73" s="12" t="str">
        <f>IF(_xlfn.XLOOKUP($B73,'ELC TECH'!$H:$H,'ELC TECH'!$E:$E)="Storage","",IF(_xlfn.XLOOKUP($B73,'ELC TECH'!$H:$H,'ELC TECH'!AN:AN)="",1,_xlfn.XLOOKUP($B73,'ELC TECH'!$H:$H,'ELC TECH'!AN:AN)))</f>
        <v/>
      </c>
      <c r="N73" s="12" t="str">
        <f>IF(_xlfn.XLOOKUP($B73,'ELC TECH'!$H:$H,'ELC TECH'!$E:$E)="Storage","",IF(_xlfn.XLOOKUP($B73,'ELC TECH'!$H:$H,'ELC TECH'!AO:AO)="",1,_xlfn.XLOOKUP($B73,'ELC TECH'!$H:$H,'ELC TECH'!AO:AO)))</f>
        <v/>
      </c>
      <c r="O73" s="12" t="str">
        <f>IF(_xlfn.XLOOKUP($B73,'ELC TECH'!$H:$H,'ELC TECH'!$E:$E)="Storage","",IF(_xlfn.XLOOKUP($B73,'ELC TECH'!$H:$H,'ELC TECH'!AP:AP)="",1,_xlfn.XLOOKUP($B73,'ELC TECH'!$H:$H,'ELC TECH'!AP:AP)))</f>
        <v/>
      </c>
      <c r="P73" s="12" t="str">
        <f>IF(_xlfn.XLOOKUP($B73,'ELC TECH'!$H:$H,'ELC TECH'!$E:$E)="Storage","",IF(_xlfn.XLOOKUP($B73,'ELC TECH'!$H:$H,'ELC TECH'!AQ:AQ)="",1,_xlfn.XLOOKUP($B73,'ELC TECH'!$H:$H,'ELC TECH'!AQ:AQ)))</f>
        <v/>
      </c>
      <c r="Q73" s="12" t="str">
        <f>IF(_xlfn.XLOOKUP($B73,'ELC TECH'!$H:$H,'ELC TECH'!$E:$E)="Storage","",IF(_xlfn.XLOOKUP($B73,'ELC TECH'!$H:$H,'ELC TECH'!AR:AR)="",1,_xlfn.XLOOKUP($B73,'ELC TECH'!$H:$H,'ELC TECH'!AR:AR)))</f>
        <v/>
      </c>
      <c r="R73" s="12">
        <f>IF(_xlfn.XLOOKUP($B73,'ELC TECH'!$H:$H,'ELC TECH'!$E:$E)&lt;&gt;"Storage","",IF(_xlfn.XLOOKUP($B73,'ELC TECH'!$H:$H,'ELC TECH'!AK:AK)="",0.8,_xlfn.XLOOKUP($B73,'ELC TECH'!$H:$H,'ELC TECH'!AK:AK)))</f>
        <v>0.8</v>
      </c>
      <c r="S73" s="12">
        <f>IF(_xlfn.XLOOKUP($B73,'ELC TECH'!$H:$H,'ELC TECH'!$E:$E)&lt;&gt;"Storage","",IF(_xlfn.XLOOKUP($B73,'ELC TECH'!$H:$H,'ELC TECH'!AL:AL)="",0.8,_xlfn.XLOOKUP($B73,'ELC TECH'!$H:$H,'ELC TECH'!AL:AL)))</f>
        <v>0.8</v>
      </c>
      <c r="T73" s="12">
        <f>IF(_xlfn.XLOOKUP($B73,'ELC TECH'!$H:$H,'ELC TECH'!$E:$E)&lt;&gt;"Storage","",IF(_xlfn.XLOOKUP($B73,'ELC TECH'!$H:$H,'ELC TECH'!AM:AM)="",0.8,_xlfn.XLOOKUP($B73,'ELC TECH'!$H:$H,'ELC TECH'!AM:AM)))</f>
        <v>0.8</v>
      </c>
      <c r="U73" s="12">
        <f>IF(_xlfn.XLOOKUP($B73,'ELC TECH'!$H:$H,'ELC TECH'!$E:$E)&lt;&gt;"Storage","",IF(_xlfn.XLOOKUP($B73,'ELC TECH'!$H:$H,'ELC TECH'!AN:AN)="",0.8,_xlfn.XLOOKUP($B73,'ELC TECH'!$H:$H,'ELC TECH'!AN:AN)))</f>
        <v>0.8</v>
      </c>
      <c r="V73" s="12">
        <f>IF(_xlfn.XLOOKUP($B73,'ELC TECH'!$H:$H,'ELC TECH'!$E:$E)&lt;&gt;"Storage","",IF(_xlfn.XLOOKUP($B73,'ELC TECH'!$H:$H,'ELC TECH'!AO:AO)="",0.8,_xlfn.XLOOKUP($B73,'ELC TECH'!$H:$H,'ELC TECH'!AO:AO)))</f>
        <v>0.8</v>
      </c>
      <c r="W73" s="12">
        <f>IF(_xlfn.XLOOKUP($B73,'ELC TECH'!$H:$H,'ELC TECH'!$E:$E)&lt;&gt;"Storage","",IF(_xlfn.XLOOKUP($B73,'ELC TECH'!$H:$H,'ELC TECH'!AP:AP)="",0.8,_xlfn.XLOOKUP($B73,'ELC TECH'!$H:$H,'ELC TECH'!AP:AP)))</f>
        <v>0.8</v>
      </c>
      <c r="X73" s="12">
        <f>IF(_xlfn.XLOOKUP($B73,'ELC TECH'!$H:$H,'ELC TECH'!$E:$E)&lt;&gt;"Storage","",IF(_xlfn.XLOOKUP($B73,'ELC TECH'!$H:$H,'ELC TECH'!AQ:AQ)="",0.8,_xlfn.XLOOKUP($B73,'ELC TECH'!$H:$H,'ELC TECH'!AQ:AQ)))</f>
        <v>0.8</v>
      </c>
      <c r="Y73" s="12">
        <f>IF(_xlfn.XLOOKUP($B73,'ELC TECH'!$H:$H,'ELC TECH'!$E:$E)&lt;&gt;"Storage","",IF(_xlfn.XLOOKUP($B73,'ELC TECH'!$H:$H,'ELC TECH'!AR:AR)="",0.8,_xlfn.XLOOKUP($B73,'ELC TECH'!$H:$H,'ELC TECH'!AR:AR)))</f>
        <v>0.8</v>
      </c>
      <c r="Z73" s="15">
        <f>_xlfn.XLOOKUP($B73,'ELC TECH'!$H:$H,'ELC TECH'!M:M)</f>
        <v>3580.1995949713692</v>
      </c>
      <c r="AA73" s="15">
        <f>_xlfn.XLOOKUP($B73,'ELC TECH'!$H:$H,'ELC TECH'!N:N)</f>
        <v>3580.1995949713692</v>
      </c>
      <c r="AB73" s="15">
        <f>_xlfn.XLOOKUP($B73,'ELC TECH'!$H:$H,'ELC TECH'!O:O)</f>
        <v>3580.1995949713692</v>
      </c>
      <c r="AC73" s="15">
        <f>_xlfn.XLOOKUP($B73,'ELC TECH'!$H:$H,'ELC TECH'!P:P)</f>
        <v>3580.1995949713692</v>
      </c>
      <c r="AD73" s="15">
        <f>_xlfn.XLOOKUP($B73,'ELC TECH'!$H:$H,'ELC TECH'!Q:Q)</f>
        <v>3580.1995949713692</v>
      </c>
      <c r="AE73" s="15">
        <f>_xlfn.XLOOKUP($B73,'ELC TECH'!$H:$H,'ELC TECH'!R:R)</f>
        <v>3580.1995949713692</v>
      </c>
      <c r="AF73" s="15">
        <f>_xlfn.XLOOKUP($B73,'ELC TECH'!$H:$H,'ELC TECH'!S:S)</f>
        <v>3580.1995949713692</v>
      </c>
      <c r="AG73" s="15">
        <f>_xlfn.XLOOKUP($B73,'ELC TECH'!$H:$H,'ELC TECH'!T:T)</f>
        <v>3580.1995949713692</v>
      </c>
      <c r="AH73" s="15">
        <f>_xlfn.XLOOKUP($B73,'ELC TECH'!$H:$H,'ELC TECH'!U:U)</f>
        <v>21.100097091380029</v>
      </c>
      <c r="AI73" s="15">
        <f>_xlfn.XLOOKUP($B73,'ELC TECH'!$H:$H,'ELC TECH'!V:V)</f>
        <v>21.100097091380029</v>
      </c>
      <c r="AJ73" s="15">
        <f>_xlfn.XLOOKUP($B73,'ELC TECH'!$H:$H,'ELC TECH'!W:W)</f>
        <v>21.100097091380029</v>
      </c>
      <c r="AK73" s="15">
        <f>_xlfn.XLOOKUP($B73,'ELC TECH'!$H:$H,'ELC TECH'!X:X)</f>
        <v>21.100097091380029</v>
      </c>
      <c r="AL73" s="15">
        <f>_xlfn.XLOOKUP($B73,'ELC TECH'!$H:$H,'ELC TECH'!Y:Y)</f>
        <v>21.100097091380029</v>
      </c>
      <c r="AM73" s="15">
        <f>_xlfn.XLOOKUP($B73,'ELC TECH'!$H:$H,'ELC TECH'!Z:Z)</f>
        <v>21.100097091380029</v>
      </c>
      <c r="AN73" s="15">
        <f>_xlfn.XLOOKUP($B73,'ELC TECH'!$H:$H,'ELC TECH'!AA:AA)</f>
        <v>21.100097091380029</v>
      </c>
      <c r="AO73" s="15">
        <f>_xlfn.XLOOKUP($B73,'ELC TECH'!$H:$H,'ELC TECH'!AB:AB)</f>
        <v>21.100097091380029</v>
      </c>
      <c r="AP73" s="15">
        <f>_xlfn.XLOOKUP($B73,'ELC TECH'!$H:$H,'ELC TECH'!AC:AC)</f>
        <v>0.1696149283872993</v>
      </c>
      <c r="AQ73" s="15">
        <f>_xlfn.XLOOKUP($B73,'ELC TECH'!$H:$H,'ELC TECH'!AD:AD)</f>
        <v>0.1696149283872993</v>
      </c>
      <c r="AR73" s="15">
        <f>_xlfn.XLOOKUP($B73,'ELC TECH'!$H:$H,'ELC TECH'!AE:AE)</f>
        <v>0.1696149283872993</v>
      </c>
      <c r="AS73" s="15">
        <f>_xlfn.XLOOKUP($B73,'ELC TECH'!$H:$H,'ELC TECH'!AF:AF)</f>
        <v>0.1696149283872993</v>
      </c>
      <c r="AT73" s="15">
        <f>_xlfn.XLOOKUP($B73,'ELC TECH'!$H:$H,'ELC TECH'!AG:AG)</f>
        <v>0.1696149283872993</v>
      </c>
      <c r="AU73" s="15">
        <f>_xlfn.XLOOKUP($B73,'ELC TECH'!$H:$H,'ELC TECH'!AH:AH)</f>
        <v>0.1696149283872993</v>
      </c>
      <c r="AV73" s="15">
        <f>_xlfn.XLOOKUP($B73,'ELC TECH'!$H:$H,'ELC TECH'!AI:AI)</f>
        <v>0.1696149283872993</v>
      </c>
      <c r="AW73" s="15">
        <f>_xlfn.XLOOKUP($B73,'ELC TECH'!$H:$H,'ELC TECH'!AJ:AJ)</f>
        <v>0.1696149283872993</v>
      </c>
      <c r="AX73" s="12" t="str">
        <f>IF(_xlfn.XLOOKUP($B73,'ELC TECH'!$H:$H,'ELC TECH'!$E:$E)="Storage","",_xlfn.XLOOKUP($B73,'ELC TECH'!$H:$H,'ELC TECH'!AS:AS))</f>
        <v/>
      </c>
      <c r="AY73" s="12" t="str">
        <f>IF(_xlfn.XLOOKUP($B73,'ELC TECH'!$H:$H,'ELC TECH'!$E:$E)="Storage","",_xlfn.XLOOKUP($B73,'ELC TECH'!$H:$H,'ELC TECH'!AT:AT))</f>
        <v/>
      </c>
      <c r="AZ73" s="12" t="str">
        <f>IF(_xlfn.XLOOKUP($B73,'ELC TECH'!$H:$H,'ELC TECH'!$E:$E)="Storage","",_xlfn.XLOOKUP($B73,'ELC TECH'!$H:$H,'ELC TECH'!AU:AU))</f>
        <v/>
      </c>
      <c r="BA73" s="12" t="str">
        <f>IF(_xlfn.XLOOKUP($B73,'ELC TECH'!$H:$H,'ELC TECH'!$E:$E)="Storage","",_xlfn.XLOOKUP($B73,'ELC TECH'!$H:$H,'ELC TECH'!AV:AV))</f>
        <v/>
      </c>
      <c r="BB73" s="12" t="str">
        <f>IF(_xlfn.XLOOKUP($B73,'ELC TECH'!$H:$H,'ELC TECH'!$E:$E)="Storage","",_xlfn.XLOOKUP($B73,'ELC TECH'!$H:$H,'ELC TECH'!AW:AW))</f>
        <v/>
      </c>
      <c r="BC73" s="12" t="str">
        <f>IF(_xlfn.XLOOKUP($B73,'ELC TECH'!$H:$H,'ELC TECH'!$E:$E)="Storage","",_xlfn.XLOOKUP($B73,'ELC TECH'!$H:$H,'ELC TECH'!AX:AX))</f>
        <v/>
      </c>
      <c r="BD73" s="12" t="str">
        <f>IF(_xlfn.XLOOKUP($B73,'ELC TECH'!$H:$H,'ELC TECH'!$E:$E)="Storage","",_xlfn.XLOOKUP($B73,'ELC TECH'!$H:$H,'ELC TECH'!AY:AY))</f>
        <v/>
      </c>
      <c r="BE73" s="12" t="str">
        <f>IF(_xlfn.XLOOKUP($B73,'ELC TECH'!$H:$H,'ELC TECH'!$E:$E)="Storage","",_xlfn.XLOOKUP($B73,'ELC TECH'!$H:$H,'ELC TECH'!AZ:AZ))</f>
        <v/>
      </c>
      <c r="BF73" s="12">
        <f>IF(_xlfn.XLOOKUP($B73,'ELC TECH'!$H:$H,'ELC TECH'!$E:$E)="Storage",_xlfn.XLOOKUP($B73,'ELC TECH'!$H:$H,'ELC TECH'!AS:AS),"")</f>
        <v>0.33333333333333331</v>
      </c>
      <c r="BG73" s="12">
        <f>IF(_xlfn.XLOOKUP($B73,'ELC TECH'!$H:$H,'ELC TECH'!$E:$E)="Storage",_xlfn.XLOOKUP($B73,'ELC TECH'!$H:$H,'ELC TECH'!AT:AT),"")</f>
        <v>0.33333333333333331</v>
      </c>
      <c r="BH73" s="12">
        <f>IF(_xlfn.XLOOKUP($B73,'ELC TECH'!$H:$H,'ELC TECH'!$E:$E)="Storage",_xlfn.XLOOKUP($B73,'ELC TECH'!$H:$H,'ELC TECH'!AU:AU),"")</f>
        <v>0.33333333333333331</v>
      </c>
      <c r="BI73" s="12">
        <f>IF(_xlfn.XLOOKUP($B73,'ELC TECH'!$H:$H,'ELC TECH'!$E:$E)="Storage",_xlfn.XLOOKUP($B73,'ELC TECH'!$H:$H,'ELC TECH'!AV:AV),"")</f>
        <v>0.33333333333333331</v>
      </c>
      <c r="BJ73" s="12">
        <f>IF(_xlfn.XLOOKUP($B73,'ELC TECH'!$H:$H,'ELC TECH'!$E:$E)="Storage",_xlfn.XLOOKUP($B73,'ELC TECH'!$H:$H,'ELC TECH'!AW:AW),"")</f>
        <v>0.33333333333333331</v>
      </c>
      <c r="BK73" s="12">
        <f>IF(_xlfn.XLOOKUP($B73,'ELC TECH'!$H:$H,'ELC TECH'!$E:$E)="Storage",_xlfn.XLOOKUP($B73,'ELC TECH'!$H:$H,'ELC TECH'!AX:AX),"")</f>
        <v>0.33333333333333331</v>
      </c>
      <c r="BL73" s="12">
        <f>IF(_xlfn.XLOOKUP($B73,'ELC TECH'!$H:$H,'ELC TECH'!$E:$E)="Storage",_xlfn.XLOOKUP($B73,'ELC TECH'!$H:$H,'ELC TECH'!AY:AY),"")</f>
        <v>0.33333333333333331</v>
      </c>
      <c r="BM73" s="12">
        <f>IF(_xlfn.XLOOKUP($B73,'ELC TECH'!$H:$H,'ELC TECH'!$E:$E)="Storage",_xlfn.XLOOKUP($B73,'ELC TECH'!$H:$H,'ELC TECH'!AZ:AZ),"")</f>
        <v>0.33333333333333331</v>
      </c>
      <c r="BN73" s="8" t="str">
        <f>IF(_xlfn.XLOOKUP($B73,'ELC TECH'!$H:$H,'ELC TECH'!$E:$E)="Non Dispatchable",IFERROR($AX73*_xlfn.XLOOKUP($C73,$BM$1:$BM$3,BN$1:BN$3)/SUMPRODUCT(_xlfn.XLOOKUP($C73,$BM$1:$BM$3,$BN$1:$BY$3),$BN$4:$BY$4),""),
"")</f>
        <v/>
      </c>
      <c r="BO73" s="8" t="str">
        <f>IF(_xlfn.XLOOKUP($B73,'ELC TECH'!$H:$H,'ELC TECH'!$E:$E)="Non Dispatchable",IFERROR($AX73*_xlfn.XLOOKUP($C73,$BM$1:$BM$3,BO$1:BO$3)/SUMPRODUCT(_xlfn.XLOOKUP($C73,$BM$1:$BM$3,$BN$1:$BY$3),$BN$4:$BY$4),""),
"")</f>
        <v/>
      </c>
      <c r="BP73" s="8" t="str">
        <f>IF(_xlfn.XLOOKUP($B73,'ELC TECH'!$H:$H,'ELC TECH'!$E:$E)="Non Dispatchable",IFERROR($AX73*_xlfn.XLOOKUP($C73,$BM$1:$BM$3,BP$1:BP$3)/SUMPRODUCT(_xlfn.XLOOKUP($C73,$BM$1:$BM$3,$BN$1:$BY$3),$BN$4:$BY$4),""),
"")</f>
        <v/>
      </c>
      <c r="BQ73" s="8" t="str">
        <f>IF(_xlfn.XLOOKUP($B73,'ELC TECH'!$H:$H,'ELC TECH'!$E:$E)="Non Dispatchable",IFERROR($AX73*_xlfn.XLOOKUP($C73,$BM$1:$BM$3,BQ$1:BQ$3)/SUMPRODUCT(_xlfn.XLOOKUP($C73,$BM$1:$BM$3,$BN$1:$BY$3),$BN$4:$BY$4),""),
"")</f>
        <v/>
      </c>
      <c r="BR73" s="8" t="str">
        <f>IF(_xlfn.XLOOKUP($B73,'ELC TECH'!$H:$H,'ELC TECH'!$E:$E)="Non Dispatchable",IFERROR($AX73*_xlfn.XLOOKUP($C73,$BM$1:$BM$3,BR$1:BR$3)/SUMPRODUCT(_xlfn.XLOOKUP($C73,$BM$1:$BM$3,$BN$1:$BY$3),$BN$4:$BY$4),""),
"")</f>
        <v/>
      </c>
      <c r="BS73" s="8" t="str">
        <f>IF(_xlfn.XLOOKUP($B73,'ELC TECH'!$H:$H,'ELC TECH'!$E:$E)="Non Dispatchable",IFERROR($AX73*_xlfn.XLOOKUP($C73,$BM$1:$BM$3,BS$1:BS$3)/SUMPRODUCT(_xlfn.XLOOKUP($C73,$BM$1:$BM$3,$BN$1:$BY$3),$BN$4:$BY$4),""),
"")</f>
        <v/>
      </c>
      <c r="BT73" s="8" t="str">
        <f>IF(_xlfn.XLOOKUP($B73,'ELC TECH'!$H:$H,'ELC TECH'!$E:$E)="Non Dispatchable",IFERROR($AX73*_xlfn.XLOOKUP($C73,$BM$1:$BM$3,BT$1:BT$3)/SUMPRODUCT(_xlfn.XLOOKUP($C73,$BM$1:$BM$3,$BN$1:$BY$3),$BN$4:$BY$4),""),
"")</f>
        <v/>
      </c>
      <c r="BU73" s="8" t="str">
        <f>IF(_xlfn.XLOOKUP($B73,'ELC TECH'!$H:$H,'ELC TECH'!$E:$E)="Non Dispatchable",IFERROR($AX73*_xlfn.XLOOKUP($C73,$BM$1:$BM$3,BU$1:BU$3)/SUMPRODUCT(_xlfn.XLOOKUP($C73,$BM$1:$BM$3,$BN$1:$BY$3),$BN$4:$BY$4),""),
"")</f>
        <v/>
      </c>
      <c r="BV73" s="8" t="str">
        <f>IF(_xlfn.XLOOKUP($B73,'ELC TECH'!$H:$H,'ELC TECH'!$E:$E)="Non Dispatchable",IFERROR($AX73*_xlfn.XLOOKUP($C73,$BM$1:$BM$3,BV$1:BV$3)/SUMPRODUCT(_xlfn.XLOOKUP($C73,$BM$1:$BM$3,$BN$1:$BY$3),$BN$4:$BY$4),""),
"")</f>
        <v/>
      </c>
      <c r="BW73" s="8" t="str">
        <f>IF(_xlfn.XLOOKUP($B73,'ELC TECH'!$H:$H,'ELC TECH'!$E:$E)="Non Dispatchable",IFERROR($AX73*_xlfn.XLOOKUP($C73,$BM$1:$BM$3,BW$1:BW$3)/SUMPRODUCT(_xlfn.XLOOKUP($C73,$BM$1:$BM$3,$BN$1:$BY$3),$BN$4:$BY$4),""),
"")</f>
        <v/>
      </c>
      <c r="BX73" s="8" t="str">
        <f>IF(_xlfn.XLOOKUP($B73,'ELC TECH'!$H:$H,'ELC TECH'!$E:$E)="Non Dispatchable",IFERROR($AX73*_xlfn.XLOOKUP($C73,$BM$1:$BM$3,BX$1:BX$3)/SUMPRODUCT(_xlfn.XLOOKUP($C73,$BM$1:$BM$3,$BN$1:$BY$3),$BN$4:$BY$4),""),
"")</f>
        <v/>
      </c>
      <c r="BY73" s="8" t="str">
        <f>IF(_xlfn.XLOOKUP($B73,'ELC TECH'!$H:$H,'ELC TECH'!$E:$E)="Non Dispatchable",IFERROR($AX73*_xlfn.XLOOKUP($C73,$BM$1:$BM$3,BY$1:BY$3)/SUMPRODUCT(_xlfn.XLOOKUP($C73,$BM$1:$BM$3,$BN$1:$BY$3),$BN$4:$BY$4),""),
"")</f>
        <v/>
      </c>
      <c r="BZ73" s="8" t="str">
        <f>IF(_xlfn.XLOOKUP($B73,'ELC TECH'!$H:$H,'ELC TECH'!$E:$E)="Non Dispatchable",IFERROR($AX73*_xlfn.XLOOKUP($C73,$BM$1:$BM$3,BZ$1:BZ$3)/SUMPRODUCT(_xlfn.XLOOKUP($C73,$BM$1:$BM$3,$BN$1:$BY$3),$BN$4:$BY$4),""),
"")</f>
        <v/>
      </c>
      <c r="CA73" s="8" t="str">
        <f>IF(_xlfn.XLOOKUP($B73,'ELC TECH'!$H:$H,'ELC TECH'!$E:$E)="Non Dispatchable",IFERROR($AX73*_xlfn.XLOOKUP($C73,$BM$1:$BM$3,CA$1:CA$3)/SUMPRODUCT(_xlfn.XLOOKUP($C73,$BM$1:$BM$3,$BN$1:$BY$3),$BN$4:$BY$4),""),
"")</f>
        <v/>
      </c>
      <c r="CB73" s="8" t="str">
        <f>IF(_xlfn.XLOOKUP($B73,'ELC TECH'!$H:$H,'ELC TECH'!$E:$E)="Non Dispatchable",IFERROR($AX73*_xlfn.XLOOKUP($C73,$BM$1:$BM$3,CB$1:CB$3)/SUMPRODUCT(_xlfn.XLOOKUP($C73,$BM$1:$BM$3,$BN$1:$BY$3),$BN$4:$BY$4),""),
"")</f>
        <v/>
      </c>
      <c r="CC73" s="8" t="str">
        <f>IF(_xlfn.XLOOKUP($B73,'ELC TECH'!$H:$H,'ELC TECH'!$E:$E)="Non Dispatchable",IFERROR($AX73*_xlfn.XLOOKUP($C73,$BM$1:$BM$3,CC$1:CC$3)/SUMPRODUCT(_xlfn.XLOOKUP($C73,$BM$1:$BM$3,$BN$1:$BY$3),$BN$4:$BY$4),""),
"")</f>
        <v/>
      </c>
      <c r="CD73" s="8" t="str">
        <f>IF(_xlfn.XLOOKUP($B73,'ELC TECH'!$H:$H,'ELC TECH'!$E:$E)="Non Dispatchable",IFERROR($AX73*_xlfn.XLOOKUP($C73,$BM$1:$BM$3,CD$1:CD$3)/SUMPRODUCT(_xlfn.XLOOKUP($C73,$BM$1:$BM$3,$BN$1:$BY$3),$BN$4:$BY$4),""),
"")</f>
        <v/>
      </c>
      <c r="CE73" s="8" t="str">
        <f>IF(_xlfn.XLOOKUP($B73,'ELC TECH'!$H:$H,'ELC TECH'!$E:$E)="Non Dispatchable",IFERROR($AX73*_xlfn.XLOOKUP($C73,$BM$1:$BM$3,CE$1:CE$3)/SUMPRODUCT(_xlfn.XLOOKUP($C73,$BM$1:$BM$3,$BN$1:$BY$3),$BN$4:$BY$4),""),
"")</f>
        <v/>
      </c>
      <c r="CF73" s="8" t="str">
        <f>IF(_xlfn.XLOOKUP($B73,'ELC TECH'!$H:$H,'ELC TECH'!$E:$E)="Non Dispatchable",IFERROR($AX73*_xlfn.XLOOKUP($C73,$BM$1:$BM$3,CF$1:CF$3)/SUMPRODUCT(_xlfn.XLOOKUP($C73,$BM$1:$BM$3,$BN$1:$BY$3),$BN$4:$BY$4),""),
"")</f>
        <v/>
      </c>
      <c r="CG73" s="8" t="str">
        <f>IF(_xlfn.XLOOKUP($B73,'ELC TECH'!$H:$H,'ELC TECH'!$E:$E)="Non Dispatchable",IFERROR($AX73*_xlfn.XLOOKUP($C73,$BM$1:$BM$3,CG$1:CG$3)/SUMPRODUCT(_xlfn.XLOOKUP($C73,$BM$1:$BM$3,$BN$1:$BY$3),$BN$4:$BY$4),""),
"")</f>
        <v/>
      </c>
      <c r="CH73" s="8" t="str">
        <f>IF(_xlfn.XLOOKUP($B73,'ELC TECH'!$H:$H,'ELC TECH'!$E:$E)="Non Dispatchable",IFERROR($AX73*_xlfn.XLOOKUP($C73,$BM$1:$BM$3,CH$1:CH$3)/SUMPRODUCT(_xlfn.XLOOKUP($C73,$BM$1:$BM$3,$BN$1:$BY$3),$BN$4:$BY$4),""),
"")</f>
        <v/>
      </c>
      <c r="CI73" s="8" t="str">
        <f>IF(_xlfn.XLOOKUP($B73,'ELC TECH'!$H:$H,'ELC TECH'!$E:$E)="Non Dispatchable",IFERROR($AX73*_xlfn.XLOOKUP($C73,$BM$1:$BM$3,CI$1:CI$3)/SUMPRODUCT(_xlfn.XLOOKUP($C73,$BM$1:$BM$3,$BN$1:$BY$3),$BN$4:$BY$4),""),
"")</f>
        <v/>
      </c>
      <c r="CJ73" s="8" t="str">
        <f>IF(_xlfn.XLOOKUP($B73,'ELC TECH'!$H:$H,'ELC TECH'!$E:$E)="Non Dispatchable",IFERROR($AX73*_xlfn.XLOOKUP($C73,$BM$1:$BM$3,CJ$1:CJ$3)/SUMPRODUCT(_xlfn.XLOOKUP($C73,$BM$1:$BM$3,$BN$1:$BY$3),$BN$4:$BY$4),""),
"")</f>
        <v/>
      </c>
      <c r="CK73" s="8" t="str">
        <f>IF(_xlfn.XLOOKUP($B73,'ELC TECH'!$H:$H,'ELC TECH'!$E:$E)="Non Dispatchable",IFERROR($AX73*_xlfn.XLOOKUP($C73,$BM$1:$BM$3,CK$1:CK$3)/SUMPRODUCT(_xlfn.XLOOKUP($C73,$BM$1:$BM$3,$BN$1:$BY$3),$BN$4:$BY$4),""),
"")</f>
        <v/>
      </c>
      <c r="CL73" s="8">
        <f>IF(_xlfn.XLOOKUP($B73,'ELC TECH'!$H:$H,'ELC TECH'!$E:$E)="Storage",CL$4*$BF73,"")</f>
        <v>2.7399999999999997E-2</v>
      </c>
      <c r="CM73" s="8">
        <f>IF(_xlfn.XLOOKUP($B73,'ELC TECH'!$H:$H,'ELC TECH'!$E:$E)="Storage",CM$4*$BF73,"")</f>
        <v>3.1899999999999998E-2</v>
      </c>
      <c r="CN73" s="8">
        <f>IF(_xlfn.XLOOKUP($B73,'ELC TECH'!$H:$H,'ELC TECH'!$E:$E)="Storage",CN$4*$BF73,"")</f>
        <v>5.1066666666666663E-2</v>
      </c>
      <c r="CO73" s="8">
        <f>IF(_xlfn.XLOOKUP($B73,'ELC TECH'!$H:$H,'ELC TECH'!$E:$E)="Storage",CO$4*$BF73,"")</f>
        <v>1.0666666666666667E-3</v>
      </c>
      <c r="CP73" s="8">
        <f>IF(_xlfn.XLOOKUP($B73,'ELC TECH'!$H:$H,'ELC TECH'!$E:$E)="Storage",CP$4*$BF73,"")</f>
        <v>2.7166666666666665E-2</v>
      </c>
      <c r="CQ73" s="8">
        <f>IF(_xlfn.XLOOKUP($B73,'ELC TECH'!$H:$H,'ELC TECH'!$E:$E)="Storage",CQ$4*$BF73,"")</f>
        <v>3.6233333333333333E-2</v>
      </c>
      <c r="CR73" s="8">
        <f>IF(_xlfn.XLOOKUP($B73,'ELC TECH'!$H:$H,'ELC TECH'!$E:$E)="Storage",CR$4*$BF73,"")</f>
        <v>4.6033333333333329E-2</v>
      </c>
      <c r="CS73" s="8">
        <f>IF(_xlfn.XLOOKUP($B73,'ELC TECH'!$H:$H,'ELC TECH'!$E:$E)="Storage",CS$4*$BF73,"")</f>
        <v>1.0666666666666667E-3</v>
      </c>
      <c r="CT73" s="8">
        <f>IF(_xlfn.XLOOKUP($B73,'ELC TECH'!$H:$H,'ELC TECH'!$E:$E)="Storage",CT$4*$BF73,"")</f>
        <v>3.2500000000000001E-2</v>
      </c>
      <c r="CU73" s="8">
        <f>IF(_xlfn.XLOOKUP($B73,'ELC TECH'!$H:$H,'ELC TECH'!$E:$E)="Storage",CU$4*$BF73,"")</f>
        <v>3.6233333333333333E-2</v>
      </c>
      <c r="CV73" s="8">
        <f>IF(_xlfn.XLOOKUP($B73,'ELC TECH'!$H:$H,'ELC TECH'!$E:$E)="Storage",CV$4*$BF73,"")</f>
        <v>4.176666666666666E-2</v>
      </c>
      <c r="CW73" s="8">
        <f>IF(_xlfn.XLOOKUP($B73,'ELC TECH'!$H:$H,'ELC TECH'!$E:$E)="Storage",CW$4*$BF73,"")</f>
        <v>8.9999999999999998E-4</v>
      </c>
      <c r="CX73" s="8">
        <f>IF(_xlfn.XLOOKUP($B73,'ELC TECH'!$H:$H,'ELC TECH'!$E:$E)="Storage",CX$4*$BF73,"")</f>
        <v>2.7399999999999997E-2</v>
      </c>
      <c r="CY73" s="8">
        <f>IF(_xlfn.XLOOKUP($B73,'ELC TECH'!$H:$H,'ELC TECH'!$E:$E)="Storage",CY$4*$BF73,"")</f>
        <v>3.1899999999999998E-2</v>
      </c>
      <c r="CZ73" s="8">
        <f>IF(_xlfn.XLOOKUP($B73,'ELC TECH'!$H:$H,'ELC TECH'!$E:$E)="Storage",CZ$4*$BF73,"")</f>
        <v>5.1066666666666663E-2</v>
      </c>
      <c r="DA73" s="8">
        <f>IF(_xlfn.XLOOKUP($B73,'ELC TECH'!$H:$H,'ELC TECH'!$E:$E)="Storage",DA$4*$BF73,"")</f>
        <v>1.0666666666666667E-3</v>
      </c>
      <c r="DB73" s="8">
        <f>IF(_xlfn.XLOOKUP($B73,'ELC TECH'!$H:$H,'ELC TECH'!$E:$E)="Storage",DB$4*$BF73,"")</f>
        <v>2.7166666666666665E-2</v>
      </c>
      <c r="DC73" s="8">
        <f>IF(_xlfn.XLOOKUP($B73,'ELC TECH'!$H:$H,'ELC TECH'!$E:$E)="Storage",DC$4*$BF73,"")</f>
        <v>3.6233333333333333E-2</v>
      </c>
      <c r="DD73" s="8">
        <f>IF(_xlfn.XLOOKUP($B73,'ELC TECH'!$H:$H,'ELC TECH'!$E:$E)="Storage",DD$4*$BF73,"")</f>
        <v>4.6033333333333329E-2</v>
      </c>
      <c r="DE73" s="8">
        <f>IF(_xlfn.XLOOKUP($B73,'ELC TECH'!$H:$H,'ELC TECH'!$E:$E)="Storage",DE$4*$BF73,"")</f>
        <v>1.0666666666666667E-3</v>
      </c>
      <c r="DF73" s="8">
        <f>IF(_xlfn.XLOOKUP($B73,'ELC TECH'!$H:$H,'ELC TECH'!$E:$E)="Storage",DF$4*$BF73,"")</f>
        <v>3.2500000000000001E-2</v>
      </c>
      <c r="DG73" s="8">
        <f>IF(_xlfn.XLOOKUP($B73,'ELC TECH'!$H:$H,'ELC TECH'!$E:$E)="Storage",DG$4*$BF73,"")</f>
        <v>3.6233333333333333E-2</v>
      </c>
      <c r="DH73" s="8">
        <f>IF(_xlfn.XLOOKUP($B73,'ELC TECH'!$H:$H,'ELC TECH'!$E:$E)="Storage",DH$4*$BF73,"")</f>
        <v>4.176666666666666E-2</v>
      </c>
      <c r="DI73" s="8">
        <f>IF(_xlfn.XLOOKUP($B73,'ELC TECH'!$H:$H,'ELC TECH'!$E:$E)="Storage",DI$4*$BF73,"")</f>
        <v>8.9999999999999998E-4</v>
      </c>
    </row>
    <row r="74" spans="2:113" x14ac:dyDescent="0.25">
      <c r="B74" t="str">
        <f>IF('ELC TECH'!I67=0,"*",'ELC TECH'!H67)</f>
        <v>ELCSTGGRDPSH8HC920</v>
      </c>
      <c r="C74" t="str">
        <f>IF(_xlfn.XLOOKUP(_xlfn.XLOOKUP(B74,'ELC TECH'!$H:$H,'ELC TECH'!$G:$G),List!C:C,List!B:B)="STG",D74,"ELC"&amp;_xlfn.XLOOKUP(_xlfn.XLOOKUP(B74,'ELC TECH'!H:H,'ELC TECH'!G:G),List!C:C,List!B:B))</f>
        <v>CELC</v>
      </c>
      <c r="D74" t="s">
        <v>544</v>
      </c>
      <c r="E74">
        <f>_xlfn.XLOOKUP(B74,'ELC TECH'!H:H,'ELC TECH'!D:D)</f>
        <v>2020</v>
      </c>
      <c r="F74">
        <f>_xlfn.XLOOKUP(B74,'ELC TECH'!H:H,'ELC TECH'!K:K)</f>
        <v>100</v>
      </c>
      <c r="G74">
        <f t="shared" si="5"/>
        <v>31.535999999999998</v>
      </c>
      <c r="H74">
        <f>IF(_xlfn.XLOOKUP(B74,'ELC TECH'!$H:$H,'ELC TECH'!$E:$E)="Storage",0.3,IF(_xlfn.XLOOKUP(B74,'ELC TECH'!$H:$H,'ELC TECH'!$E:$E)="Baseload",0.9,IF(_xlfn.XLOOKUP(B74,'ELC TECH'!$H:$H,'ELC TECH'!$E:$E)="Non Dispatchable",0.05,IF(_xlfn.XLOOKUP(B74,'ELC TECH'!$H:$H,'ELC TECH'!$E:$E)="Dispatchable",0.9,1))))</f>
        <v>0.3</v>
      </c>
      <c r="I74" s="13">
        <f>IF(_xlfn.XLOOKUP(B74,'ELC TECH'!H:H,'ELC TECH'!J:J)="","",_xlfn.XLOOKUP(B74,'ELC TECH'!H:H,'ELC TECH'!J:J))</f>
        <v>0</v>
      </c>
      <c r="J74" s="12" t="str">
        <f>IF(_xlfn.XLOOKUP($B74,'ELC TECH'!$H:$H,'ELC TECH'!$E:$E)="Storage","",IF(_xlfn.XLOOKUP($B74,'ELC TECH'!$H:$H,'ELC TECH'!AK:AK)="",1,_xlfn.XLOOKUP($B74,'ELC TECH'!$H:$H,'ELC TECH'!AK:AK)))</f>
        <v/>
      </c>
      <c r="K74" s="12" t="str">
        <f>IF(_xlfn.XLOOKUP($B74,'ELC TECH'!$H:$H,'ELC TECH'!$E:$E)="Storage","",IF(_xlfn.XLOOKUP($B74,'ELC TECH'!$H:$H,'ELC TECH'!AL:AL)="",1,_xlfn.XLOOKUP($B74,'ELC TECH'!$H:$H,'ELC TECH'!AL:AL)))</f>
        <v/>
      </c>
      <c r="L74" s="12" t="str">
        <f>IF(_xlfn.XLOOKUP($B74,'ELC TECH'!$H:$H,'ELC TECH'!$E:$E)="Storage","",IF(_xlfn.XLOOKUP($B74,'ELC TECH'!$H:$H,'ELC TECH'!AM:AM)="",1,_xlfn.XLOOKUP($B74,'ELC TECH'!$H:$H,'ELC TECH'!AM:AM)))</f>
        <v/>
      </c>
      <c r="M74" s="12" t="str">
        <f>IF(_xlfn.XLOOKUP($B74,'ELC TECH'!$H:$H,'ELC TECH'!$E:$E)="Storage","",IF(_xlfn.XLOOKUP($B74,'ELC TECH'!$H:$H,'ELC TECH'!AN:AN)="",1,_xlfn.XLOOKUP($B74,'ELC TECH'!$H:$H,'ELC TECH'!AN:AN)))</f>
        <v/>
      </c>
      <c r="N74" s="12" t="str">
        <f>IF(_xlfn.XLOOKUP($B74,'ELC TECH'!$H:$H,'ELC TECH'!$E:$E)="Storage","",IF(_xlfn.XLOOKUP($B74,'ELC TECH'!$H:$H,'ELC TECH'!AO:AO)="",1,_xlfn.XLOOKUP($B74,'ELC TECH'!$H:$H,'ELC TECH'!AO:AO)))</f>
        <v/>
      </c>
      <c r="O74" s="12" t="str">
        <f>IF(_xlfn.XLOOKUP($B74,'ELC TECH'!$H:$H,'ELC TECH'!$E:$E)="Storage","",IF(_xlfn.XLOOKUP($B74,'ELC TECH'!$H:$H,'ELC TECH'!AP:AP)="",1,_xlfn.XLOOKUP($B74,'ELC TECH'!$H:$H,'ELC TECH'!AP:AP)))</f>
        <v/>
      </c>
      <c r="P74" s="12" t="str">
        <f>IF(_xlfn.XLOOKUP($B74,'ELC TECH'!$H:$H,'ELC TECH'!$E:$E)="Storage","",IF(_xlfn.XLOOKUP($B74,'ELC TECH'!$H:$H,'ELC TECH'!AQ:AQ)="",1,_xlfn.XLOOKUP($B74,'ELC TECH'!$H:$H,'ELC TECH'!AQ:AQ)))</f>
        <v/>
      </c>
      <c r="Q74" s="12" t="str">
        <f>IF(_xlfn.XLOOKUP($B74,'ELC TECH'!$H:$H,'ELC TECH'!$E:$E)="Storage","",IF(_xlfn.XLOOKUP($B74,'ELC TECH'!$H:$H,'ELC TECH'!AR:AR)="",1,_xlfn.XLOOKUP($B74,'ELC TECH'!$H:$H,'ELC TECH'!AR:AR)))</f>
        <v/>
      </c>
      <c r="R74" s="12">
        <f>IF(_xlfn.XLOOKUP($B74,'ELC TECH'!$H:$H,'ELC TECH'!$E:$E)&lt;&gt;"Storage","",IF(_xlfn.XLOOKUP($B74,'ELC TECH'!$H:$H,'ELC TECH'!AK:AK)="",0.8,_xlfn.XLOOKUP($B74,'ELC TECH'!$H:$H,'ELC TECH'!AK:AK)))</f>
        <v>0.8</v>
      </c>
      <c r="S74" s="12">
        <f>IF(_xlfn.XLOOKUP($B74,'ELC TECH'!$H:$H,'ELC TECH'!$E:$E)&lt;&gt;"Storage","",IF(_xlfn.XLOOKUP($B74,'ELC TECH'!$H:$H,'ELC TECH'!AL:AL)="",0.8,_xlfn.XLOOKUP($B74,'ELC TECH'!$H:$H,'ELC TECH'!AL:AL)))</f>
        <v>0.8</v>
      </c>
      <c r="T74" s="12">
        <f>IF(_xlfn.XLOOKUP($B74,'ELC TECH'!$H:$H,'ELC TECH'!$E:$E)&lt;&gt;"Storage","",IF(_xlfn.XLOOKUP($B74,'ELC TECH'!$H:$H,'ELC TECH'!AM:AM)="",0.8,_xlfn.XLOOKUP($B74,'ELC TECH'!$H:$H,'ELC TECH'!AM:AM)))</f>
        <v>0.8</v>
      </c>
      <c r="U74" s="12">
        <f>IF(_xlfn.XLOOKUP($B74,'ELC TECH'!$H:$H,'ELC TECH'!$E:$E)&lt;&gt;"Storage","",IF(_xlfn.XLOOKUP($B74,'ELC TECH'!$H:$H,'ELC TECH'!AN:AN)="",0.8,_xlfn.XLOOKUP($B74,'ELC TECH'!$H:$H,'ELC TECH'!AN:AN)))</f>
        <v>0.8</v>
      </c>
      <c r="V74" s="12">
        <f>IF(_xlfn.XLOOKUP($B74,'ELC TECH'!$H:$H,'ELC TECH'!$E:$E)&lt;&gt;"Storage","",IF(_xlfn.XLOOKUP($B74,'ELC TECH'!$H:$H,'ELC TECH'!AO:AO)="",0.8,_xlfn.XLOOKUP($B74,'ELC TECH'!$H:$H,'ELC TECH'!AO:AO)))</f>
        <v>0.8</v>
      </c>
      <c r="W74" s="12">
        <f>IF(_xlfn.XLOOKUP($B74,'ELC TECH'!$H:$H,'ELC TECH'!$E:$E)&lt;&gt;"Storage","",IF(_xlfn.XLOOKUP($B74,'ELC TECH'!$H:$H,'ELC TECH'!AP:AP)="",0.8,_xlfn.XLOOKUP($B74,'ELC TECH'!$H:$H,'ELC TECH'!AP:AP)))</f>
        <v>0.8</v>
      </c>
      <c r="X74" s="12">
        <f>IF(_xlfn.XLOOKUP($B74,'ELC TECH'!$H:$H,'ELC TECH'!$E:$E)&lt;&gt;"Storage","",IF(_xlfn.XLOOKUP($B74,'ELC TECH'!$H:$H,'ELC TECH'!AQ:AQ)="",0.8,_xlfn.XLOOKUP($B74,'ELC TECH'!$H:$H,'ELC TECH'!AQ:AQ)))</f>
        <v>0.8</v>
      </c>
      <c r="Y74" s="12">
        <f>IF(_xlfn.XLOOKUP($B74,'ELC TECH'!$H:$H,'ELC TECH'!$E:$E)&lt;&gt;"Storage","",IF(_xlfn.XLOOKUP($B74,'ELC TECH'!$H:$H,'ELC TECH'!AR:AR)="",0.8,_xlfn.XLOOKUP($B74,'ELC TECH'!$H:$H,'ELC TECH'!AR:AR)))</f>
        <v>0.8</v>
      </c>
      <c r="Z74" s="15">
        <f>_xlfn.XLOOKUP($B74,'ELC TECH'!$H:$H,'ELC TECH'!M:M)</f>
        <v>3708.5881563782859</v>
      </c>
      <c r="AA74" s="15">
        <f>_xlfn.XLOOKUP($B74,'ELC TECH'!$H:$H,'ELC TECH'!N:N)</f>
        <v>3708.5881563782859</v>
      </c>
      <c r="AB74" s="15">
        <f>_xlfn.XLOOKUP($B74,'ELC TECH'!$H:$H,'ELC TECH'!O:O)</f>
        <v>3708.5881563782859</v>
      </c>
      <c r="AC74" s="15">
        <f>_xlfn.XLOOKUP($B74,'ELC TECH'!$H:$H,'ELC TECH'!P:P)</f>
        <v>3708.5881563782859</v>
      </c>
      <c r="AD74" s="15">
        <f>_xlfn.XLOOKUP($B74,'ELC TECH'!$H:$H,'ELC TECH'!Q:Q)</f>
        <v>3708.5881563782859</v>
      </c>
      <c r="AE74" s="15">
        <f>_xlfn.XLOOKUP($B74,'ELC TECH'!$H:$H,'ELC TECH'!R:R)</f>
        <v>3708.5881563782859</v>
      </c>
      <c r="AF74" s="15">
        <f>_xlfn.XLOOKUP($B74,'ELC TECH'!$H:$H,'ELC TECH'!S:S)</f>
        <v>3708.5881563782859</v>
      </c>
      <c r="AG74" s="15">
        <f>_xlfn.XLOOKUP($B74,'ELC TECH'!$H:$H,'ELC TECH'!T:T)</f>
        <v>3708.5881563782859</v>
      </c>
      <c r="AH74" s="15">
        <f>_xlfn.XLOOKUP($B74,'ELC TECH'!$H:$H,'ELC TECH'!U:U)</f>
        <v>21.100097091380029</v>
      </c>
      <c r="AI74" s="15">
        <f>_xlfn.XLOOKUP($B74,'ELC TECH'!$H:$H,'ELC TECH'!V:V)</f>
        <v>21.100097091380029</v>
      </c>
      <c r="AJ74" s="15">
        <f>_xlfn.XLOOKUP($B74,'ELC TECH'!$H:$H,'ELC TECH'!W:W)</f>
        <v>21.100097091380029</v>
      </c>
      <c r="AK74" s="15">
        <f>_xlfn.XLOOKUP($B74,'ELC TECH'!$H:$H,'ELC TECH'!X:X)</f>
        <v>21.100097091380029</v>
      </c>
      <c r="AL74" s="15">
        <f>_xlfn.XLOOKUP($B74,'ELC TECH'!$H:$H,'ELC TECH'!Y:Y)</f>
        <v>21.100097091380029</v>
      </c>
      <c r="AM74" s="15">
        <f>_xlfn.XLOOKUP($B74,'ELC TECH'!$H:$H,'ELC TECH'!Z:Z)</f>
        <v>21.100097091380029</v>
      </c>
      <c r="AN74" s="15">
        <f>_xlfn.XLOOKUP($B74,'ELC TECH'!$H:$H,'ELC TECH'!AA:AA)</f>
        <v>21.100097091380029</v>
      </c>
      <c r="AO74" s="15">
        <f>_xlfn.XLOOKUP($B74,'ELC TECH'!$H:$H,'ELC TECH'!AB:AB)</f>
        <v>21.100097091380029</v>
      </c>
      <c r="AP74" s="15">
        <f>_xlfn.XLOOKUP($B74,'ELC TECH'!$H:$H,'ELC TECH'!AC:AC)</f>
        <v>0.1696149283872993</v>
      </c>
      <c r="AQ74" s="15">
        <f>_xlfn.XLOOKUP($B74,'ELC TECH'!$H:$H,'ELC TECH'!AD:AD)</f>
        <v>0.1696149283872993</v>
      </c>
      <c r="AR74" s="15">
        <f>_xlfn.XLOOKUP($B74,'ELC TECH'!$H:$H,'ELC TECH'!AE:AE)</f>
        <v>0.1696149283872993</v>
      </c>
      <c r="AS74" s="15">
        <f>_xlfn.XLOOKUP($B74,'ELC TECH'!$H:$H,'ELC TECH'!AF:AF)</f>
        <v>0.1696149283872993</v>
      </c>
      <c r="AT74" s="15">
        <f>_xlfn.XLOOKUP($B74,'ELC TECH'!$H:$H,'ELC TECH'!AG:AG)</f>
        <v>0.1696149283872993</v>
      </c>
      <c r="AU74" s="15">
        <f>_xlfn.XLOOKUP($B74,'ELC TECH'!$H:$H,'ELC TECH'!AH:AH)</f>
        <v>0.1696149283872993</v>
      </c>
      <c r="AV74" s="15">
        <f>_xlfn.XLOOKUP($B74,'ELC TECH'!$H:$H,'ELC TECH'!AI:AI)</f>
        <v>0.1696149283872993</v>
      </c>
      <c r="AW74" s="15">
        <f>_xlfn.XLOOKUP($B74,'ELC TECH'!$H:$H,'ELC TECH'!AJ:AJ)</f>
        <v>0.1696149283872993</v>
      </c>
      <c r="AX74" s="12" t="str">
        <f>IF(_xlfn.XLOOKUP($B74,'ELC TECH'!$H:$H,'ELC TECH'!$E:$E)="Storage","",_xlfn.XLOOKUP($B74,'ELC TECH'!$H:$H,'ELC TECH'!AS:AS))</f>
        <v/>
      </c>
      <c r="AY74" s="12" t="str">
        <f>IF(_xlfn.XLOOKUP($B74,'ELC TECH'!$H:$H,'ELC TECH'!$E:$E)="Storage","",_xlfn.XLOOKUP($B74,'ELC TECH'!$H:$H,'ELC TECH'!AT:AT))</f>
        <v/>
      </c>
      <c r="AZ74" s="12" t="str">
        <f>IF(_xlfn.XLOOKUP($B74,'ELC TECH'!$H:$H,'ELC TECH'!$E:$E)="Storage","",_xlfn.XLOOKUP($B74,'ELC TECH'!$H:$H,'ELC TECH'!AU:AU))</f>
        <v/>
      </c>
      <c r="BA74" s="12" t="str">
        <f>IF(_xlfn.XLOOKUP($B74,'ELC TECH'!$H:$H,'ELC TECH'!$E:$E)="Storage","",_xlfn.XLOOKUP($B74,'ELC TECH'!$H:$H,'ELC TECH'!AV:AV))</f>
        <v/>
      </c>
      <c r="BB74" s="12" t="str">
        <f>IF(_xlfn.XLOOKUP($B74,'ELC TECH'!$H:$H,'ELC TECH'!$E:$E)="Storage","",_xlfn.XLOOKUP($B74,'ELC TECH'!$H:$H,'ELC TECH'!AW:AW))</f>
        <v/>
      </c>
      <c r="BC74" s="12" t="str">
        <f>IF(_xlfn.XLOOKUP($B74,'ELC TECH'!$H:$H,'ELC TECH'!$E:$E)="Storage","",_xlfn.XLOOKUP($B74,'ELC TECH'!$H:$H,'ELC TECH'!AX:AX))</f>
        <v/>
      </c>
      <c r="BD74" s="12" t="str">
        <f>IF(_xlfn.XLOOKUP($B74,'ELC TECH'!$H:$H,'ELC TECH'!$E:$E)="Storage","",_xlfn.XLOOKUP($B74,'ELC TECH'!$H:$H,'ELC TECH'!AY:AY))</f>
        <v/>
      </c>
      <c r="BE74" s="12" t="str">
        <f>IF(_xlfn.XLOOKUP($B74,'ELC TECH'!$H:$H,'ELC TECH'!$E:$E)="Storage","",_xlfn.XLOOKUP($B74,'ELC TECH'!$H:$H,'ELC TECH'!AZ:AZ))</f>
        <v/>
      </c>
      <c r="BF74" s="12">
        <f>IF(_xlfn.XLOOKUP($B74,'ELC TECH'!$H:$H,'ELC TECH'!$E:$E)="Storage",_xlfn.XLOOKUP($B74,'ELC TECH'!$H:$H,'ELC TECH'!AS:AS),"")</f>
        <v>0.33333333333333331</v>
      </c>
      <c r="BG74" s="12">
        <f>IF(_xlfn.XLOOKUP($B74,'ELC TECH'!$H:$H,'ELC TECH'!$E:$E)="Storage",_xlfn.XLOOKUP($B74,'ELC TECH'!$H:$H,'ELC TECH'!AT:AT),"")</f>
        <v>0.33333333333333331</v>
      </c>
      <c r="BH74" s="12">
        <f>IF(_xlfn.XLOOKUP($B74,'ELC TECH'!$H:$H,'ELC TECH'!$E:$E)="Storage",_xlfn.XLOOKUP($B74,'ELC TECH'!$H:$H,'ELC TECH'!AU:AU),"")</f>
        <v>0.33333333333333331</v>
      </c>
      <c r="BI74" s="12">
        <f>IF(_xlfn.XLOOKUP($B74,'ELC TECH'!$H:$H,'ELC TECH'!$E:$E)="Storage",_xlfn.XLOOKUP($B74,'ELC TECH'!$H:$H,'ELC TECH'!AV:AV),"")</f>
        <v>0.33333333333333331</v>
      </c>
      <c r="BJ74" s="12">
        <f>IF(_xlfn.XLOOKUP($B74,'ELC TECH'!$H:$H,'ELC TECH'!$E:$E)="Storage",_xlfn.XLOOKUP($B74,'ELC TECH'!$H:$H,'ELC TECH'!AW:AW),"")</f>
        <v>0.33333333333333331</v>
      </c>
      <c r="BK74" s="12">
        <f>IF(_xlfn.XLOOKUP($B74,'ELC TECH'!$H:$H,'ELC TECH'!$E:$E)="Storage",_xlfn.XLOOKUP($B74,'ELC TECH'!$H:$H,'ELC TECH'!AX:AX),"")</f>
        <v>0.33333333333333331</v>
      </c>
      <c r="BL74" s="12">
        <f>IF(_xlfn.XLOOKUP($B74,'ELC TECH'!$H:$H,'ELC TECH'!$E:$E)="Storage",_xlfn.XLOOKUP($B74,'ELC TECH'!$H:$H,'ELC TECH'!AY:AY),"")</f>
        <v>0.33333333333333331</v>
      </c>
      <c r="BM74" s="12">
        <f>IF(_xlfn.XLOOKUP($B74,'ELC TECH'!$H:$H,'ELC TECH'!$E:$E)="Storage",_xlfn.XLOOKUP($B74,'ELC TECH'!$H:$H,'ELC TECH'!AZ:AZ),"")</f>
        <v>0.33333333333333331</v>
      </c>
      <c r="BN74" s="8" t="str">
        <f>IF(_xlfn.XLOOKUP($B74,'ELC TECH'!$H:$H,'ELC TECH'!$E:$E)="Non Dispatchable",IFERROR($AX74*_xlfn.XLOOKUP($C74,$BM$1:$BM$3,BN$1:BN$3)/SUMPRODUCT(_xlfn.XLOOKUP($C74,$BM$1:$BM$3,$BN$1:$BY$3),$BN$4:$BY$4),""),
"")</f>
        <v/>
      </c>
      <c r="BO74" s="8" t="str">
        <f>IF(_xlfn.XLOOKUP($B74,'ELC TECH'!$H:$H,'ELC TECH'!$E:$E)="Non Dispatchable",IFERROR($AX74*_xlfn.XLOOKUP($C74,$BM$1:$BM$3,BO$1:BO$3)/SUMPRODUCT(_xlfn.XLOOKUP($C74,$BM$1:$BM$3,$BN$1:$BY$3),$BN$4:$BY$4),""),
"")</f>
        <v/>
      </c>
      <c r="BP74" s="8" t="str">
        <f>IF(_xlfn.XLOOKUP($B74,'ELC TECH'!$H:$H,'ELC TECH'!$E:$E)="Non Dispatchable",IFERROR($AX74*_xlfn.XLOOKUP($C74,$BM$1:$BM$3,BP$1:BP$3)/SUMPRODUCT(_xlfn.XLOOKUP($C74,$BM$1:$BM$3,$BN$1:$BY$3),$BN$4:$BY$4),""),
"")</f>
        <v/>
      </c>
      <c r="BQ74" s="8" t="str">
        <f>IF(_xlfn.XLOOKUP($B74,'ELC TECH'!$H:$H,'ELC TECH'!$E:$E)="Non Dispatchable",IFERROR($AX74*_xlfn.XLOOKUP($C74,$BM$1:$BM$3,BQ$1:BQ$3)/SUMPRODUCT(_xlfn.XLOOKUP($C74,$BM$1:$BM$3,$BN$1:$BY$3),$BN$4:$BY$4),""),
"")</f>
        <v/>
      </c>
      <c r="BR74" s="8" t="str">
        <f>IF(_xlfn.XLOOKUP($B74,'ELC TECH'!$H:$H,'ELC TECH'!$E:$E)="Non Dispatchable",IFERROR($AX74*_xlfn.XLOOKUP($C74,$BM$1:$BM$3,BR$1:BR$3)/SUMPRODUCT(_xlfn.XLOOKUP($C74,$BM$1:$BM$3,$BN$1:$BY$3),$BN$4:$BY$4),""),
"")</f>
        <v/>
      </c>
      <c r="BS74" s="8" t="str">
        <f>IF(_xlfn.XLOOKUP($B74,'ELC TECH'!$H:$H,'ELC TECH'!$E:$E)="Non Dispatchable",IFERROR($AX74*_xlfn.XLOOKUP($C74,$BM$1:$BM$3,BS$1:BS$3)/SUMPRODUCT(_xlfn.XLOOKUP($C74,$BM$1:$BM$3,$BN$1:$BY$3),$BN$4:$BY$4),""),
"")</f>
        <v/>
      </c>
      <c r="BT74" s="8" t="str">
        <f>IF(_xlfn.XLOOKUP($B74,'ELC TECH'!$H:$H,'ELC TECH'!$E:$E)="Non Dispatchable",IFERROR($AX74*_xlfn.XLOOKUP($C74,$BM$1:$BM$3,BT$1:BT$3)/SUMPRODUCT(_xlfn.XLOOKUP($C74,$BM$1:$BM$3,$BN$1:$BY$3),$BN$4:$BY$4),""),
"")</f>
        <v/>
      </c>
      <c r="BU74" s="8" t="str">
        <f>IF(_xlfn.XLOOKUP($B74,'ELC TECH'!$H:$H,'ELC TECH'!$E:$E)="Non Dispatchable",IFERROR($AX74*_xlfn.XLOOKUP($C74,$BM$1:$BM$3,BU$1:BU$3)/SUMPRODUCT(_xlfn.XLOOKUP($C74,$BM$1:$BM$3,$BN$1:$BY$3),$BN$4:$BY$4),""),
"")</f>
        <v/>
      </c>
      <c r="BV74" s="8" t="str">
        <f>IF(_xlfn.XLOOKUP($B74,'ELC TECH'!$H:$H,'ELC TECH'!$E:$E)="Non Dispatchable",IFERROR($AX74*_xlfn.XLOOKUP($C74,$BM$1:$BM$3,BV$1:BV$3)/SUMPRODUCT(_xlfn.XLOOKUP($C74,$BM$1:$BM$3,$BN$1:$BY$3),$BN$4:$BY$4),""),
"")</f>
        <v/>
      </c>
      <c r="BW74" s="8" t="str">
        <f>IF(_xlfn.XLOOKUP($B74,'ELC TECH'!$H:$H,'ELC TECH'!$E:$E)="Non Dispatchable",IFERROR($AX74*_xlfn.XLOOKUP($C74,$BM$1:$BM$3,BW$1:BW$3)/SUMPRODUCT(_xlfn.XLOOKUP($C74,$BM$1:$BM$3,$BN$1:$BY$3),$BN$4:$BY$4),""),
"")</f>
        <v/>
      </c>
      <c r="BX74" s="8" t="str">
        <f>IF(_xlfn.XLOOKUP($B74,'ELC TECH'!$H:$H,'ELC TECH'!$E:$E)="Non Dispatchable",IFERROR($AX74*_xlfn.XLOOKUP($C74,$BM$1:$BM$3,BX$1:BX$3)/SUMPRODUCT(_xlfn.XLOOKUP($C74,$BM$1:$BM$3,$BN$1:$BY$3),$BN$4:$BY$4),""),
"")</f>
        <v/>
      </c>
      <c r="BY74" s="8" t="str">
        <f>IF(_xlfn.XLOOKUP($B74,'ELC TECH'!$H:$H,'ELC TECH'!$E:$E)="Non Dispatchable",IFERROR($AX74*_xlfn.XLOOKUP($C74,$BM$1:$BM$3,BY$1:BY$3)/SUMPRODUCT(_xlfn.XLOOKUP($C74,$BM$1:$BM$3,$BN$1:$BY$3),$BN$4:$BY$4),""),
"")</f>
        <v/>
      </c>
      <c r="BZ74" s="8" t="str">
        <f>IF(_xlfn.XLOOKUP($B74,'ELC TECH'!$H:$H,'ELC TECH'!$E:$E)="Non Dispatchable",IFERROR($AX74*_xlfn.XLOOKUP($C74,$BM$1:$BM$3,BZ$1:BZ$3)/SUMPRODUCT(_xlfn.XLOOKUP($C74,$BM$1:$BM$3,$BN$1:$BY$3),$BN$4:$BY$4),""),
"")</f>
        <v/>
      </c>
      <c r="CA74" s="8" t="str">
        <f>IF(_xlfn.XLOOKUP($B74,'ELC TECH'!$H:$H,'ELC TECH'!$E:$E)="Non Dispatchable",IFERROR($AX74*_xlfn.XLOOKUP($C74,$BM$1:$BM$3,CA$1:CA$3)/SUMPRODUCT(_xlfn.XLOOKUP($C74,$BM$1:$BM$3,$BN$1:$BY$3),$BN$4:$BY$4),""),
"")</f>
        <v/>
      </c>
      <c r="CB74" s="8" t="str">
        <f>IF(_xlfn.XLOOKUP($B74,'ELC TECH'!$H:$H,'ELC TECH'!$E:$E)="Non Dispatchable",IFERROR($AX74*_xlfn.XLOOKUP($C74,$BM$1:$BM$3,CB$1:CB$3)/SUMPRODUCT(_xlfn.XLOOKUP($C74,$BM$1:$BM$3,$BN$1:$BY$3),$BN$4:$BY$4),""),
"")</f>
        <v/>
      </c>
      <c r="CC74" s="8" t="str">
        <f>IF(_xlfn.XLOOKUP($B74,'ELC TECH'!$H:$H,'ELC TECH'!$E:$E)="Non Dispatchable",IFERROR($AX74*_xlfn.XLOOKUP($C74,$BM$1:$BM$3,CC$1:CC$3)/SUMPRODUCT(_xlfn.XLOOKUP($C74,$BM$1:$BM$3,$BN$1:$BY$3),$BN$4:$BY$4),""),
"")</f>
        <v/>
      </c>
      <c r="CD74" s="8" t="str">
        <f>IF(_xlfn.XLOOKUP($B74,'ELC TECH'!$H:$H,'ELC TECH'!$E:$E)="Non Dispatchable",IFERROR($AX74*_xlfn.XLOOKUP($C74,$BM$1:$BM$3,CD$1:CD$3)/SUMPRODUCT(_xlfn.XLOOKUP($C74,$BM$1:$BM$3,$BN$1:$BY$3),$BN$4:$BY$4),""),
"")</f>
        <v/>
      </c>
      <c r="CE74" s="8" t="str">
        <f>IF(_xlfn.XLOOKUP($B74,'ELC TECH'!$H:$H,'ELC TECH'!$E:$E)="Non Dispatchable",IFERROR($AX74*_xlfn.XLOOKUP($C74,$BM$1:$BM$3,CE$1:CE$3)/SUMPRODUCT(_xlfn.XLOOKUP($C74,$BM$1:$BM$3,$BN$1:$BY$3),$BN$4:$BY$4),""),
"")</f>
        <v/>
      </c>
      <c r="CF74" s="8" t="str">
        <f>IF(_xlfn.XLOOKUP($B74,'ELC TECH'!$H:$H,'ELC TECH'!$E:$E)="Non Dispatchable",IFERROR($AX74*_xlfn.XLOOKUP($C74,$BM$1:$BM$3,CF$1:CF$3)/SUMPRODUCT(_xlfn.XLOOKUP($C74,$BM$1:$BM$3,$BN$1:$BY$3),$BN$4:$BY$4),""),
"")</f>
        <v/>
      </c>
      <c r="CG74" s="8" t="str">
        <f>IF(_xlfn.XLOOKUP($B74,'ELC TECH'!$H:$H,'ELC TECH'!$E:$E)="Non Dispatchable",IFERROR($AX74*_xlfn.XLOOKUP($C74,$BM$1:$BM$3,CG$1:CG$3)/SUMPRODUCT(_xlfn.XLOOKUP($C74,$BM$1:$BM$3,$BN$1:$BY$3),$BN$4:$BY$4),""),
"")</f>
        <v/>
      </c>
      <c r="CH74" s="8" t="str">
        <f>IF(_xlfn.XLOOKUP($B74,'ELC TECH'!$H:$H,'ELC TECH'!$E:$E)="Non Dispatchable",IFERROR($AX74*_xlfn.XLOOKUP($C74,$BM$1:$BM$3,CH$1:CH$3)/SUMPRODUCT(_xlfn.XLOOKUP($C74,$BM$1:$BM$3,$BN$1:$BY$3),$BN$4:$BY$4),""),
"")</f>
        <v/>
      </c>
      <c r="CI74" s="8" t="str">
        <f>IF(_xlfn.XLOOKUP($B74,'ELC TECH'!$H:$H,'ELC TECH'!$E:$E)="Non Dispatchable",IFERROR($AX74*_xlfn.XLOOKUP($C74,$BM$1:$BM$3,CI$1:CI$3)/SUMPRODUCT(_xlfn.XLOOKUP($C74,$BM$1:$BM$3,$BN$1:$BY$3),$BN$4:$BY$4),""),
"")</f>
        <v/>
      </c>
      <c r="CJ74" s="8" t="str">
        <f>IF(_xlfn.XLOOKUP($B74,'ELC TECH'!$H:$H,'ELC TECH'!$E:$E)="Non Dispatchable",IFERROR($AX74*_xlfn.XLOOKUP($C74,$BM$1:$BM$3,CJ$1:CJ$3)/SUMPRODUCT(_xlfn.XLOOKUP($C74,$BM$1:$BM$3,$BN$1:$BY$3),$BN$4:$BY$4),""),
"")</f>
        <v/>
      </c>
      <c r="CK74" s="8" t="str">
        <f>IF(_xlfn.XLOOKUP($B74,'ELC TECH'!$H:$H,'ELC TECH'!$E:$E)="Non Dispatchable",IFERROR($AX74*_xlfn.XLOOKUP($C74,$BM$1:$BM$3,CK$1:CK$3)/SUMPRODUCT(_xlfn.XLOOKUP($C74,$BM$1:$BM$3,$BN$1:$BY$3),$BN$4:$BY$4),""),
"")</f>
        <v/>
      </c>
      <c r="CL74" s="8">
        <f>IF(_xlfn.XLOOKUP($B74,'ELC TECH'!$H:$H,'ELC TECH'!$E:$E)="Storage",CL$4*$BF74,"")</f>
        <v>2.7399999999999997E-2</v>
      </c>
      <c r="CM74" s="8">
        <f>IF(_xlfn.XLOOKUP($B74,'ELC TECH'!$H:$H,'ELC TECH'!$E:$E)="Storage",CM$4*$BF74,"")</f>
        <v>3.1899999999999998E-2</v>
      </c>
      <c r="CN74" s="8">
        <f>IF(_xlfn.XLOOKUP($B74,'ELC TECH'!$H:$H,'ELC TECH'!$E:$E)="Storage",CN$4*$BF74,"")</f>
        <v>5.1066666666666663E-2</v>
      </c>
      <c r="CO74" s="8">
        <f>IF(_xlfn.XLOOKUP($B74,'ELC TECH'!$H:$H,'ELC TECH'!$E:$E)="Storage",CO$4*$BF74,"")</f>
        <v>1.0666666666666667E-3</v>
      </c>
      <c r="CP74" s="8">
        <f>IF(_xlfn.XLOOKUP($B74,'ELC TECH'!$H:$H,'ELC TECH'!$E:$E)="Storage",CP$4*$BF74,"")</f>
        <v>2.7166666666666665E-2</v>
      </c>
      <c r="CQ74" s="8">
        <f>IF(_xlfn.XLOOKUP($B74,'ELC TECH'!$H:$H,'ELC TECH'!$E:$E)="Storage",CQ$4*$BF74,"")</f>
        <v>3.6233333333333333E-2</v>
      </c>
      <c r="CR74" s="8">
        <f>IF(_xlfn.XLOOKUP($B74,'ELC TECH'!$H:$H,'ELC TECH'!$E:$E)="Storage",CR$4*$BF74,"")</f>
        <v>4.6033333333333329E-2</v>
      </c>
      <c r="CS74" s="8">
        <f>IF(_xlfn.XLOOKUP($B74,'ELC TECH'!$H:$H,'ELC TECH'!$E:$E)="Storage",CS$4*$BF74,"")</f>
        <v>1.0666666666666667E-3</v>
      </c>
      <c r="CT74" s="8">
        <f>IF(_xlfn.XLOOKUP($B74,'ELC TECH'!$H:$H,'ELC TECH'!$E:$E)="Storage",CT$4*$BF74,"")</f>
        <v>3.2500000000000001E-2</v>
      </c>
      <c r="CU74" s="8">
        <f>IF(_xlfn.XLOOKUP($B74,'ELC TECH'!$H:$H,'ELC TECH'!$E:$E)="Storage",CU$4*$BF74,"")</f>
        <v>3.6233333333333333E-2</v>
      </c>
      <c r="CV74" s="8">
        <f>IF(_xlfn.XLOOKUP($B74,'ELC TECH'!$H:$H,'ELC TECH'!$E:$E)="Storage",CV$4*$BF74,"")</f>
        <v>4.176666666666666E-2</v>
      </c>
      <c r="CW74" s="8">
        <f>IF(_xlfn.XLOOKUP($B74,'ELC TECH'!$H:$H,'ELC TECH'!$E:$E)="Storage",CW$4*$BF74,"")</f>
        <v>8.9999999999999998E-4</v>
      </c>
      <c r="CX74" s="8">
        <f>IF(_xlfn.XLOOKUP($B74,'ELC TECH'!$H:$H,'ELC TECH'!$E:$E)="Storage",CX$4*$BF74,"")</f>
        <v>2.7399999999999997E-2</v>
      </c>
      <c r="CY74" s="8">
        <f>IF(_xlfn.XLOOKUP($B74,'ELC TECH'!$H:$H,'ELC TECH'!$E:$E)="Storage",CY$4*$BF74,"")</f>
        <v>3.1899999999999998E-2</v>
      </c>
      <c r="CZ74" s="8">
        <f>IF(_xlfn.XLOOKUP($B74,'ELC TECH'!$H:$H,'ELC TECH'!$E:$E)="Storage",CZ$4*$BF74,"")</f>
        <v>5.1066666666666663E-2</v>
      </c>
      <c r="DA74" s="8">
        <f>IF(_xlfn.XLOOKUP($B74,'ELC TECH'!$H:$H,'ELC TECH'!$E:$E)="Storage",DA$4*$BF74,"")</f>
        <v>1.0666666666666667E-3</v>
      </c>
      <c r="DB74" s="8">
        <f>IF(_xlfn.XLOOKUP($B74,'ELC TECH'!$H:$H,'ELC TECH'!$E:$E)="Storage",DB$4*$BF74,"")</f>
        <v>2.7166666666666665E-2</v>
      </c>
      <c r="DC74" s="8">
        <f>IF(_xlfn.XLOOKUP($B74,'ELC TECH'!$H:$H,'ELC TECH'!$E:$E)="Storage",DC$4*$BF74,"")</f>
        <v>3.6233333333333333E-2</v>
      </c>
      <c r="DD74" s="8">
        <f>IF(_xlfn.XLOOKUP($B74,'ELC TECH'!$H:$H,'ELC TECH'!$E:$E)="Storage",DD$4*$BF74,"")</f>
        <v>4.6033333333333329E-2</v>
      </c>
      <c r="DE74" s="8">
        <f>IF(_xlfn.XLOOKUP($B74,'ELC TECH'!$H:$H,'ELC TECH'!$E:$E)="Storage",DE$4*$BF74,"")</f>
        <v>1.0666666666666667E-3</v>
      </c>
      <c r="DF74" s="8">
        <f>IF(_xlfn.XLOOKUP($B74,'ELC TECH'!$H:$H,'ELC TECH'!$E:$E)="Storage",DF$4*$BF74,"")</f>
        <v>3.2500000000000001E-2</v>
      </c>
      <c r="DG74" s="8">
        <f>IF(_xlfn.XLOOKUP($B74,'ELC TECH'!$H:$H,'ELC TECH'!$E:$E)="Storage",DG$4*$BF74,"")</f>
        <v>3.6233333333333333E-2</v>
      </c>
      <c r="DH74" s="8">
        <f>IF(_xlfn.XLOOKUP($B74,'ELC TECH'!$H:$H,'ELC TECH'!$E:$E)="Storage",DH$4*$BF74,"")</f>
        <v>4.176666666666666E-2</v>
      </c>
      <c r="DI74" s="8">
        <f>IF(_xlfn.XLOOKUP($B74,'ELC TECH'!$H:$H,'ELC TECH'!$E:$E)="Storage",DI$4*$BF74,"")</f>
        <v>8.9999999999999998E-4</v>
      </c>
    </row>
    <row r="75" spans="2:113" x14ac:dyDescent="0.25">
      <c r="B75" t="str">
        <f>IF('ELC TECH'!I68=0,"*",'ELC TECH'!H68)</f>
        <v>ELCSTGGRDPSH8HC1020</v>
      </c>
      <c r="C75" t="str">
        <f>IF(_xlfn.XLOOKUP(_xlfn.XLOOKUP(B75,'ELC TECH'!$H:$H,'ELC TECH'!$G:$G),List!C:C,List!B:B)="STG",D75,"ELC"&amp;_xlfn.XLOOKUP(_xlfn.XLOOKUP(B75,'ELC TECH'!H:H,'ELC TECH'!G:G),List!C:C,List!B:B))</f>
        <v>CELC</v>
      </c>
      <c r="D75" t="s">
        <v>544</v>
      </c>
      <c r="E75">
        <f>_xlfn.XLOOKUP(B75,'ELC TECH'!H:H,'ELC TECH'!D:D)</f>
        <v>2020</v>
      </c>
      <c r="F75">
        <f>_xlfn.XLOOKUP(B75,'ELC TECH'!H:H,'ELC TECH'!K:K)</f>
        <v>100</v>
      </c>
      <c r="G75">
        <f t="shared" ref="G75:G106" si="6">8760*0.0036</f>
        <v>31.535999999999998</v>
      </c>
      <c r="H75">
        <f>IF(_xlfn.XLOOKUP(B75,'ELC TECH'!$H:$H,'ELC TECH'!$E:$E)="Storage",0.3,IF(_xlfn.XLOOKUP(B75,'ELC TECH'!$H:$H,'ELC TECH'!$E:$E)="Baseload",0.9,IF(_xlfn.XLOOKUP(B75,'ELC TECH'!$H:$H,'ELC TECH'!$E:$E)="Non Dispatchable",0.05,IF(_xlfn.XLOOKUP(B75,'ELC TECH'!$H:$H,'ELC TECH'!$E:$E)="Dispatchable",0.9,1))))</f>
        <v>0.3</v>
      </c>
      <c r="I75" s="13">
        <f>IF(_xlfn.XLOOKUP(B75,'ELC TECH'!H:H,'ELC TECH'!J:J)="","",_xlfn.XLOOKUP(B75,'ELC TECH'!H:H,'ELC TECH'!J:J))</f>
        <v>0</v>
      </c>
      <c r="J75" s="12" t="str">
        <f>IF(_xlfn.XLOOKUP($B75,'ELC TECH'!$H:$H,'ELC TECH'!$E:$E)="Storage","",IF(_xlfn.XLOOKUP($B75,'ELC TECH'!$H:$H,'ELC TECH'!AK:AK)="",1,_xlfn.XLOOKUP($B75,'ELC TECH'!$H:$H,'ELC TECH'!AK:AK)))</f>
        <v/>
      </c>
      <c r="K75" s="12" t="str">
        <f>IF(_xlfn.XLOOKUP($B75,'ELC TECH'!$H:$H,'ELC TECH'!$E:$E)="Storage","",IF(_xlfn.XLOOKUP($B75,'ELC TECH'!$H:$H,'ELC TECH'!AL:AL)="",1,_xlfn.XLOOKUP($B75,'ELC TECH'!$H:$H,'ELC TECH'!AL:AL)))</f>
        <v/>
      </c>
      <c r="L75" s="12" t="str">
        <f>IF(_xlfn.XLOOKUP($B75,'ELC TECH'!$H:$H,'ELC TECH'!$E:$E)="Storage","",IF(_xlfn.XLOOKUP($B75,'ELC TECH'!$H:$H,'ELC TECH'!AM:AM)="",1,_xlfn.XLOOKUP($B75,'ELC TECH'!$H:$H,'ELC TECH'!AM:AM)))</f>
        <v/>
      </c>
      <c r="M75" s="12" t="str">
        <f>IF(_xlfn.XLOOKUP($B75,'ELC TECH'!$H:$H,'ELC TECH'!$E:$E)="Storage","",IF(_xlfn.XLOOKUP($B75,'ELC TECH'!$H:$H,'ELC TECH'!AN:AN)="",1,_xlfn.XLOOKUP($B75,'ELC TECH'!$H:$H,'ELC TECH'!AN:AN)))</f>
        <v/>
      </c>
      <c r="N75" s="12" t="str">
        <f>IF(_xlfn.XLOOKUP($B75,'ELC TECH'!$H:$H,'ELC TECH'!$E:$E)="Storage","",IF(_xlfn.XLOOKUP($B75,'ELC TECH'!$H:$H,'ELC TECH'!AO:AO)="",1,_xlfn.XLOOKUP($B75,'ELC TECH'!$H:$H,'ELC TECH'!AO:AO)))</f>
        <v/>
      </c>
      <c r="O75" s="12" t="str">
        <f>IF(_xlfn.XLOOKUP($B75,'ELC TECH'!$H:$H,'ELC TECH'!$E:$E)="Storage","",IF(_xlfn.XLOOKUP($B75,'ELC TECH'!$H:$H,'ELC TECH'!AP:AP)="",1,_xlfn.XLOOKUP($B75,'ELC TECH'!$H:$H,'ELC TECH'!AP:AP)))</f>
        <v/>
      </c>
      <c r="P75" s="12" t="str">
        <f>IF(_xlfn.XLOOKUP($B75,'ELC TECH'!$H:$H,'ELC TECH'!$E:$E)="Storage","",IF(_xlfn.XLOOKUP($B75,'ELC TECH'!$H:$H,'ELC TECH'!AQ:AQ)="",1,_xlfn.XLOOKUP($B75,'ELC TECH'!$H:$H,'ELC TECH'!AQ:AQ)))</f>
        <v/>
      </c>
      <c r="Q75" s="12" t="str">
        <f>IF(_xlfn.XLOOKUP($B75,'ELC TECH'!$H:$H,'ELC TECH'!$E:$E)="Storage","",IF(_xlfn.XLOOKUP($B75,'ELC TECH'!$H:$H,'ELC TECH'!AR:AR)="",1,_xlfn.XLOOKUP($B75,'ELC TECH'!$H:$H,'ELC TECH'!AR:AR)))</f>
        <v/>
      </c>
      <c r="R75" s="12">
        <f>IF(_xlfn.XLOOKUP($B75,'ELC TECH'!$H:$H,'ELC TECH'!$E:$E)&lt;&gt;"Storage","",IF(_xlfn.XLOOKUP($B75,'ELC TECH'!$H:$H,'ELC TECH'!AK:AK)="",0.8,_xlfn.XLOOKUP($B75,'ELC TECH'!$H:$H,'ELC TECH'!AK:AK)))</f>
        <v>0.8</v>
      </c>
      <c r="S75" s="12">
        <f>IF(_xlfn.XLOOKUP($B75,'ELC TECH'!$H:$H,'ELC TECH'!$E:$E)&lt;&gt;"Storage","",IF(_xlfn.XLOOKUP($B75,'ELC TECH'!$H:$H,'ELC TECH'!AL:AL)="",0.8,_xlfn.XLOOKUP($B75,'ELC TECH'!$H:$H,'ELC TECH'!AL:AL)))</f>
        <v>0.8</v>
      </c>
      <c r="T75" s="12">
        <f>IF(_xlfn.XLOOKUP($B75,'ELC TECH'!$H:$H,'ELC TECH'!$E:$E)&lt;&gt;"Storage","",IF(_xlfn.XLOOKUP($B75,'ELC TECH'!$H:$H,'ELC TECH'!AM:AM)="",0.8,_xlfn.XLOOKUP($B75,'ELC TECH'!$H:$H,'ELC TECH'!AM:AM)))</f>
        <v>0.8</v>
      </c>
      <c r="U75" s="12">
        <f>IF(_xlfn.XLOOKUP($B75,'ELC TECH'!$H:$H,'ELC TECH'!$E:$E)&lt;&gt;"Storage","",IF(_xlfn.XLOOKUP($B75,'ELC TECH'!$H:$H,'ELC TECH'!AN:AN)="",0.8,_xlfn.XLOOKUP($B75,'ELC TECH'!$H:$H,'ELC TECH'!AN:AN)))</f>
        <v>0.8</v>
      </c>
      <c r="V75" s="12">
        <f>IF(_xlfn.XLOOKUP($B75,'ELC TECH'!$H:$H,'ELC TECH'!$E:$E)&lt;&gt;"Storage","",IF(_xlfn.XLOOKUP($B75,'ELC TECH'!$H:$H,'ELC TECH'!AO:AO)="",0.8,_xlfn.XLOOKUP($B75,'ELC TECH'!$H:$H,'ELC TECH'!AO:AO)))</f>
        <v>0.8</v>
      </c>
      <c r="W75" s="12">
        <f>IF(_xlfn.XLOOKUP($B75,'ELC TECH'!$H:$H,'ELC TECH'!$E:$E)&lt;&gt;"Storage","",IF(_xlfn.XLOOKUP($B75,'ELC TECH'!$H:$H,'ELC TECH'!AP:AP)="",0.8,_xlfn.XLOOKUP($B75,'ELC TECH'!$H:$H,'ELC TECH'!AP:AP)))</f>
        <v>0.8</v>
      </c>
      <c r="X75" s="12">
        <f>IF(_xlfn.XLOOKUP($B75,'ELC TECH'!$H:$H,'ELC TECH'!$E:$E)&lt;&gt;"Storage","",IF(_xlfn.XLOOKUP($B75,'ELC TECH'!$H:$H,'ELC TECH'!AQ:AQ)="",0.8,_xlfn.XLOOKUP($B75,'ELC TECH'!$H:$H,'ELC TECH'!AQ:AQ)))</f>
        <v>0.8</v>
      </c>
      <c r="Y75" s="12">
        <f>IF(_xlfn.XLOOKUP($B75,'ELC TECH'!$H:$H,'ELC TECH'!$E:$E)&lt;&gt;"Storage","",IF(_xlfn.XLOOKUP($B75,'ELC TECH'!$H:$H,'ELC TECH'!AR:AR)="",0.8,_xlfn.XLOOKUP($B75,'ELC TECH'!$H:$H,'ELC TECH'!AR:AR)))</f>
        <v>0.8</v>
      </c>
      <c r="Z75" s="15">
        <f>_xlfn.XLOOKUP($B75,'ELC TECH'!$H:$H,'ELC TECH'!M:M)</f>
        <v>3847.158971512988</v>
      </c>
      <c r="AA75" s="15">
        <f>_xlfn.XLOOKUP($B75,'ELC TECH'!$H:$H,'ELC TECH'!N:N)</f>
        <v>3847.158971512988</v>
      </c>
      <c r="AB75" s="15">
        <f>_xlfn.XLOOKUP($B75,'ELC TECH'!$H:$H,'ELC TECH'!O:O)</f>
        <v>3847.158971512988</v>
      </c>
      <c r="AC75" s="15">
        <f>_xlfn.XLOOKUP($B75,'ELC TECH'!$H:$H,'ELC TECH'!P:P)</f>
        <v>3847.158971512988</v>
      </c>
      <c r="AD75" s="15">
        <f>_xlfn.XLOOKUP($B75,'ELC TECH'!$H:$H,'ELC TECH'!Q:Q)</f>
        <v>3847.158971512988</v>
      </c>
      <c r="AE75" s="15">
        <f>_xlfn.XLOOKUP($B75,'ELC TECH'!$H:$H,'ELC TECH'!R:R)</f>
        <v>3847.158971512988</v>
      </c>
      <c r="AF75" s="15">
        <f>_xlfn.XLOOKUP($B75,'ELC TECH'!$H:$H,'ELC TECH'!S:S)</f>
        <v>3847.158971512988</v>
      </c>
      <c r="AG75" s="15">
        <f>_xlfn.XLOOKUP($B75,'ELC TECH'!$H:$H,'ELC TECH'!T:T)</f>
        <v>3847.158971512988</v>
      </c>
      <c r="AH75" s="15">
        <f>_xlfn.XLOOKUP($B75,'ELC TECH'!$H:$H,'ELC TECH'!U:U)</f>
        <v>21.100097091380029</v>
      </c>
      <c r="AI75" s="15">
        <f>_xlfn.XLOOKUP($B75,'ELC TECH'!$H:$H,'ELC TECH'!V:V)</f>
        <v>21.100097091380029</v>
      </c>
      <c r="AJ75" s="15">
        <f>_xlfn.XLOOKUP($B75,'ELC TECH'!$H:$H,'ELC TECH'!W:W)</f>
        <v>21.100097091380029</v>
      </c>
      <c r="AK75" s="15">
        <f>_xlfn.XLOOKUP($B75,'ELC TECH'!$H:$H,'ELC TECH'!X:X)</f>
        <v>21.100097091380029</v>
      </c>
      <c r="AL75" s="15">
        <f>_xlfn.XLOOKUP($B75,'ELC TECH'!$H:$H,'ELC TECH'!Y:Y)</f>
        <v>21.100097091380029</v>
      </c>
      <c r="AM75" s="15">
        <f>_xlfn.XLOOKUP($B75,'ELC TECH'!$H:$H,'ELC TECH'!Z:Z)</f>
        <v>21.100097091380029</v>
      </c>
      <c r="AN75" s="15">
        <f>_xlfn.XLOOKUP($B75,'ELC TECH'!$H:$H,'ELC TECH'!AA:AA)</f>
        <v>21.100097091380029</v>
      </c>
      <c r="AO75" s="15">
        <f>_xlfn.XLOOKUP($B75,'ELC TECH'!$H:$H,'ELC TECH'!AB:AB)</f>
        <v>21.100097091380029</v>
      </c>
      <c r="AP75" s="15">
        <f>_xlfn.XLOOKUP($B75,'ELC TECH'!$H:$H,'ELC TECH'!AC:AC)</f>
        <v>0.1696149283872993</v>
      </c>
      <c r="AQ75" s="15">
        <f>_xlfn.XLOOKUP($B75,'ELC TECH'!$H:$H,'ELC TECH'!AD:AD)</f>
        <v>0.1696149283872993</v>
      </c>
      <c r="AR75" s="15">
        <f>_xlfn.XLOOKUP($B75,'ELC TECH'!$H:$H,'ELC TECH'!AE:AE)</f>
        <v>0.1696149283872993</v>
      </c>
      <c r="AS75" s="15">
        <f>_xlfn.XLOOKUP($B75,'ELC TECH'!$H:$H,'ELC TECH'!AF:AF)</f>
        <v>0.1696149283872993</v>
      </c>
      <c r="AT75" s="15">
        <f>_xlfn.XLOOKUP($B75,'ELC TECH'!$H:$H,'ELC TECH'!AG:AG)</f>
        <v>0.1696149283872993</v>
      </c>
      <c r="AU75" s="15">
        <f>_xlfn.XLOOKUP($B75,'ELC TECH'!$H:$H,'ELC TECH'!AH:AH)</f>
        <v>0.1696149283872993</v>
      </c>
      <c r="AV75" s="15">
        <f>_xlfn.XLOOKUP($B75,'ELC TECH'!$H:$H,'ELC TECH'!AI:AI)</f>
        <v>0.1696149283872993</v>
      </c>
      <c r="AW75" s="15">
        <f>_xlfn.XLOOKUP($B75,'ELC TECH'!$H:$H,'ELC TECH'!AJ:AJ)</f>
        <v>0.1696149283872993</v>
      </c>
      <c r="AX75" s="12" t="str">
        <f>IF(_xlfn.XLOOKUP($B75,'ELC TECH'!$H:$H,'ELC TECH'!$E:$E)="Storage","",_xlfn.XLOOKUP($B75,'ELC TECH'!$H:$H,'ELC TECH'!AS:AS))</f>
        <v/>
      </c>
      <c r="AY75" s="12" t="str">
        <f>IF(_xlfn.XLOOKUP($B75,'ELC TECH'!$H:$H,'ELC TECH'!$E:$E)="Storage","",_xlfn.XLOOKUP($B75,'ELC TECH'!$H:$H,'ELC TECH'!AT:AT))</f>
        <v/>
      </c>
      <c r="AZ75" s="12" t="str">
        <f>IF(_xlfn.XLOOKUP($B75,'ELC TECH'!$H:$H,'ELC TECH'!$E:$E)="Storage","",_xlfn.XLOOKUP($B75,'ELC TECH'!$H:$H,'ELC TECH'!AU:AU))</f>
        <v/>
      </c>
      <c r="BA75" s="12" t="str">
        <f>IF(_xlfn.XLOOKUP($B75,'ELC TECH'!$H:$H,'ELC TECH'!$E:$E)="Storage","",_xlfn.XLOOKUP($B75,'ELC TECH'!$H:$H,'ELC TECH'!AV:AV))</f>
        <v/>
      </c>
      <c r="BB75" s="12" t="str">
        <f>IF(_xlfn.XLOOKUP($B75,'ELC TECH'!$H:$H,'ELC TECH'!$E:$E)="Storage","",_xlfn.XLOOKUP($B75,'ELC TECH'!$H:$H,'ELC TECH'!AW:AW))</f>
        <v/>
      </c>
      <c r="BC75" s="12" t="str">
        <f>IF(_xlfn.XLOOKUP($B75,'ELC TECH'!$H:$H,'ELC TECH'!$E:$E)="Storage","",_xlfn.XLOOKUP($B75,'ELC TECH'!$H:$H,'ELC TECH'!AX:AX))</f>
        <v/>
      </c>
      <c r="BD75" s="12" t="str">
        <f>IF(_xlfn.XLOOKUP($B75,'ELC TECH'!$H:$H,'ELC TECH'!$E:$E)="Storage","",_xlfn.XLOOKUP($B75,'ELC TECH'!$H:$H,'ELC TECH'!AY:AY))</f>
        <v/>
      </c>
      <c r="BE75" s="12" t="str">
        <f>IF(_xlfn.XLOOKUP($B75,'ELC TECH'!$H:$H,'ELC TECH'!$E:$E)="Storage","",_xlfn.XLOOKUP($B75,'ELC TECH'!$H:$H,'ELC TECH'!AZ:AZ))</f>
        <v/>
      </c>
      <c r="BF75" s="12">
        <f>IF(_xlfn.XLOOKUP($B75,'ELC TECH'!$H:$H,'ELC TECH'!$E:$E)="Storage",_xlfn.XLOOKUP($B75,'ELC TECH'!$H:$H,'ELC TECH'!AS:AS),"")</f>
        <v>0.33333333333333331</v>
      </c>
      <c r="BG75" s="12">
        <f>IF(_xlfn.XLOOKUP($B75,'ELC TECH'!$H:$H,'ELC TECH'!$E:$E)="Storage",_xlfn.XLOOKUP($B75,'ELC TECH'!$H:$H,'ELC TECH'!AT:AT),"")</f>
        <v>0.33333333333333331</v>
      </c>
      <c r="BH75" s="12">
        <f>IF(_xlfn.XLOOKUP($B75,'ELC TECH'!$H:$H,'ELC TECH'!$E:$E)="Storage",_xlfn.XLOOKUP($B75,'ELC TECH'!$H:$H,'ELC TECH'!AU:AU),"")</f>
        <v>0.33333333333333331</v>
      </c>
      <c r="BI75" s="12">
        <f>IF(_xlfn.XLOOKUP($B75,'ELC TECH'!$H:$H,'ELC TECH'!$E:$E)="Storage",_xlfn.XLOOKUP($B75,'ELC TECH'!$H:$H,'ELC TECH'!AV:AV),"")</f>
        <v>0.33333333333333331</v>
      </c>
      <c r="BJ75" s="12">
        <f>IF(_xlfn.XLOOKUP($B75,'ELC TECH'!$H:$H,'ELC TECH'!$E:$E)="Storage",_xlfn.XLOOKUP($B75,'ELC TECH'!$H:$H,'ELC TECH'!AW:AW),"")</f>
        <v>0.33333333333333331</v>
      </c>
      <c r="BK75" s="12">
        <f>IF(_xlfn.XLOOKUP($B75,'ELC TECH'!$H:$H,'ELC TECH'!$E:$E)="Storage",_xlfn.XLOOKUP($B75,'ELC TECH'!$H:$H,'ELC TECH'!AX:AX),"")</f>
        <v>0.33333333333333331</v>
      </c>
      <c r="BL75" s="12">
        <f>IF(_xlfn.XLOOKUP($B75,'ELC TECH'!$H:$H,'ELC TECH'!$E:$E)="Storage",_xlfn.XLOOKUP($B75,'ELC TECH'!$H:$H,'ELC TECH'!AY:AY),"")</f>
        <v>0.33333333333333331</v>
      </c>
      <c r="BM75" s="12">
        <f>IF(_xlfn.XLOOKUP($B75,'ELC TECH'!$H:$H,'ELC TECH'!$E:$E)="Storage",_xlfn.XLOOKUP($B75,'ELC TECH'!$H:$H,'ELC TECH'!AZ:AZ),"")</f>
        <v>0.33333333333333331</v>
      </c>
      <c r="BN75" s="8" t="str">
        <f>IF(_xlfn.XLOOKUP($B75,'ELC TECH'!$H:$H,'ELC TECH'!$E:$E)="Non Dispatchable",IFERROR($AX75*_xlfn.XLOOKUP($C75,$BM$1:$BM$3,BN$1:BN$3)/SUMPRODUCT(_xlfn.XLOOKUP($C75,$BM$1:$BM$3,$BN$1:$BY$3),$BN$4:$BY$4),""),
"")</f>
        <v/>
      </c>
      <c r="BO75" s="8" t="str">
        <f>IF(_xlfn.XLOOKUP($B75,'ELC TECH'!$H:$H,'ELC TECH'!$E:$E)="Non Dispatchable",IFERROR($AX75*_xlfn.XLOOKUP($C75,$BM$1:$BM$3,BO$1:BO$3)/SUMPRODUCT(_xlfn.XLOOKUP($C75,$BM$1:$BM$3,$BN$1:$BY$3),$BN$4:$BY$4),""),
"")</f>
        <v/>
      </c>
      <c r="BP75" s="8" t="str">
        <f>IF(_xlfn.XLOOKUP($B75,'ELC TECH'!$H:$H,'ELC TECH'!$E:$E)="Non Dispatchable",IFERROR($AX75*_xlfn.XLOOKUP($C75,$BM$1:$BM$3,BP$1:BP$3)/SUMPRODUCT(_xlfn.XLOOKUP($C75,$BM$1:$BM$3,$BN$1:$BY$3),$BN$4:$BY$4),""),
"")</f>
        <v/>
      </c>
      <c r="BQ75" s="8" t="str">
        <f>IF(_xlfn.XLOOKUP($B75,'ELC TECH'!$H:$H,'ELC TECH'!$E:$E)="Non Dispatchable",IFERROR($AX75*_xlfn.XLOOKUP($C75,$BM$1:$BM$3,BQ$1:BQ$3)/SUMPRODUCT(_xlfn.XLOOKUP($C75,$BM$1:$BM$3,$BN$1:$BY$3),$BN$4:$BY$4),""),
"")</f>
        <v/>
      </c>
      <c r="BR75" s="8" t="str">
        <f>IF(_xlfn.XLOOKUP($B75,'ELC TECH'!$H:$H,'ELC TECH'!$E:$E)="Non Dispatchable",IFERROR($AX75*_xlfn.XLOOKUP($C75,$BM$1:$BM$3,BR$1:BR$3)/SUMPRODUCT(_xlfn.XLOOKUP($C75,$BM$1:$BM$3,$BN$1:$BY$3),$BN$4:$BY$4),""),
"")</f>
        <v/>
      </c>
      <c r="BS75" s="8" t="str">
        <f>IF(_xlfn.XLOOKUP($B75,'ELC TECH'!$H:$H,'ELC TECH'!$E:$E)="Non Dispatchable",IFERROR($AX75*_xlfn.XLOOKUP($C75,$BM$1:$BM$3,BS$1:BS$3)/SUMPRODUCT(_xlfn.XLOOKUP($C75,$BM$1:$BM$3,$BN$1:$BY$3),$BN$4:$BY$4),""),
"")</f>
        <v/>
      </c>
      <c r="BT75" s="8" t="str">
        <f>IF(_xlfn.XLOOKUP($B75,'ELC TECH'!$H:$H,'ELC TECH'!$E:$E)="Non Dispatchable",IFERROR($AX75*_xlfn.XLOOKUP($C75,$BM$1:$BM$3,BT$1:BT$3)/SUMPRODUCT(_xlfn.XLOOKUP($C75,$BM$1:$BM$3,$BN$1:$BY$3),$BN$4:$BY$4),""),
"")</f>
        <v/>
      </c>
      <c r="BU75" s="8" t="str">
        <f>IF(_xlfn.XLOOKUP($B75,'ELC TECH'!$H:$H,'ELC TECH'!$E:$E)="Non Dispatchable",IFERROR($AX75*_xlfn.XLOOKUP($C75,$BM$1:$BM$3,BU$1:BU$3)/SUMPRODUCT(_xlfn.XLOOKUP($C75,$BM$1:$BM$3,$BN$1:$BY$3),$BN$4:$BY$4),""),
"")</f>
        <v/>
      </c>
      <c r="BV75" s="8" t="str">
        <f>IF(_xlfn.XLOOKUP($B75,'ELC TECH'!$H:$H,'ELC TECH'!$E:$E)="Non Dispatchable",IFERROR($AX75*_xlfn.XLOOKUP($C75,$BM$1:$BM$3,BV$1:BV$3)/SUMPRODUCT(_xlfn.XLOOKUP($C75,$BM$1:$BM$3,$BN$1:$BY$3),$BN$4:$BY$4),""),
"")</f>
        <v/>
      </c>
      <c r="BW75" s="8" t="str">
        <f>IF(_xlfn.XLOOKUP($B75,'ELC TECH'!$H:$H,'ELC TECH'!$E:$E)="Non Dispatchable",IFERROR($AX75*_xlfn.XLOOKUP($C75,$BM$1:$BM$3,BW$1:BW$3)/SUMPRODUCT(_xlfn.XLOOKUP($C75,$BM$1:$BM$3,$BN$1:$BY$3),$BN$4:$BY$4),""),
"")</f>
        <v/>
      </c>
      <c r="BX75" s="8" t="str">
        <f>IF(_xlfn.XLOOKUP($B75,'ELC TECH'!$H:$H,'ELC TECH'!$E:$E)="Non Dispatchable",IFERROR($AX75*_xlfn.XLOOKUP($C75,$BM$1:$BM$3,BX$1:BX$3)/SUMPRODUCT(_xlfn.XLOOKUP($C75,$BM$1:$BM$3,$BN$1:$BY$3),$BN$4:$BY$4),""),
"")</f>
        <v/>
      </c>
      <c r="BY75" s="8" t="str">
        <f>IF(_xlfn.XLOOKUP($B75,'ELC TECH'!$H:$H,'ELC TECH'!$E:$E)="Non Dispatchable",IFERROR($AX75*_xlfn.XLOOKUP($C75,$BM$1:$BM$3,BY$1:BY$3)/SUMPRODUCT(_xlfn.XLOOKUP($C75,$BM$1:$BM$3,$BN$1:$BY$3),$BN$4:$BY$4),""),
"")</f>
        <v/>
      </c>
      <c r="BZ75" s="8" t="str">
        <f>IF(_xlfn.XLOOKUP($B75,'ELC TECH'!$H:$H,'ELC TECH'!$E:$E)="Non Dispatchable",IFERROR($AX75*_xlfn.XLOOKUP($C75,$BM$1:$BM$3,BZ$1:BZ$3)/SUMPRODUCT(_xlfn.XLOOKUP($C75,$BM$1:$BM$3,$BN$1:$BY$3),$BN$4:$BY$4),""),
"")</f>
        <v/>
      </c>
      <c r="CA75" s="8" t="str">
        <f>IF(_xlfn.XLOOKUP($B75,'ELC TECH'!$H:$H,'ELC TECH'!$E:$E)="Non Dispatchable",IFERROR($AX75*_xlfn.XLOOKUP($C75,$BM$1:$BM$3,CA$1:CA$3)/SUMPRODUCT(_xlfn.XLOOKUP($C75,$BM$1:$BM$3,$BN$1:$BY$3),$BN$4:$BY$4),""),
"")</f>
        <v/>
      </c>
      <c r="CB75" s="8" t="str">
        <f>IF(_xlfn.XLOOKUP($B75,'ELC TECH'!$H:$H,'ELC TECH'!$E:$E)="Non Dispatchable",IFERROR($AX75*_xlfn.XLOOKUP($C75,$BM$1:$BM$3,CB$1:CB$3)/SUMPRODUCT(_xlfn.XLOOKUP($C75,$BM$1:$BM$3,$BN$1:$BY$3),$BN$4:$BY$4),""),
"")</f>
        <v/>
      </c>
      <c r="CC75" s="8" t="str">
        <f>IF(_xlfn.XLOOKUP($B75,'ELC TECH'!$H:$H,'ELC TECH'!$E:$E)="Non Dispatchable",IFERROR($AX75*_xlfn.XLOOKUP($C75,$BM$1:$BM$3,CC$1:CC$3)/SUMPRODUCT(_xlfn.XLOOKUP($C75,$BM$1:$BM$3,$BN$1:$BY$3),$BN$4:$BY$4),""),
"")</f>
        <v/>
      </c>
      <c r="CD75" s="8" t="str">
        <f>IF(_xlfn.XLOOKUP($B75,'ELC TECH'!$H:$H,'ELC TECH'!$E:$E)="Non Dispatchable",IFERROR($AX75*_xlfn.XLOOKUP($C75,$BM$1:$BM$3,CD$1:CD$3)/SUMPRODUCT(_xlfn.XLOOKUP($C75,$BM$1:$BM$3,$BN$1:$BY$3),$BN$4:$BY$4),""),
"")</f>
        <v/>
      </c>
      <c r="CE75" s="8" t="str">
        <f>IF(_xlfn.XLOOKUP($B75,'ELC TECH'!$H:$H,'ELC TECH'!$E:$E)="Non Dispatchable",IFERROR($AX75*_xlfn.XLOOKUP($C75,$BM$1:$BM$3,CE$1:CE$3)/SUMPRODUCT(_xlfn.XLOOKUP($C75,$BM$1:$BM$3,$BN$1:$BY$3),$BN$4:$BY$4),""),
"")</f>
        <v/>
      </c>
      <c r="CF75" s="8" t="str">
        <f>IF(_xlfn.XLOOKUP($B75,'ELC TECH'!$H:$H,'ELC TECH'!$E:$E)="Non Dispatchable",IFERROR($AX75*_xlfn.XLOOKUP($C75,$BM$1:$BM$3,CF$1:CF$3)/SUMPRODUCT(_xlfn.XLOOKUP($C75,$BM$1:$BM$3,$BN$1:$BY$3),$BN$4:$BY$4),""),
"")</f>
        <v/>
      </c>
      <c r="CG75" s="8" t="str">
        <f>IF(_xlfn.XLOOKUP($B75,'ELC TECH'!$H:$H,'ELC TECH'!$E:$E)="Non Dispatchable",IFERROR($AX75*_xlfn.XLOOKUP($C75,$BM$1:$BM$3,CG$1:CG$3)/SUMPRODUCT(_xlfn.XLOOKUP($C75,$BM$1:$BM$3,$BN$1:$BY$3),$BN$4:$BY$4),""),
"")</f>
        <v/>
      </c>
      <c r="CH75" s="8" t="str">
        <f>IF(_xlfn.XLOOKUP($B75,'ELC TECH'!$H:$H,'ELC TECH'!$E:$E)="Non Dispatchable",IFERROR($AX75*_xlfn.XLOOKUP($C75,$BM$1:$BM$3,CH$1:CH$3)/SUMPRODUCT(_xlfn.XLOOKUP($C75,$BM$1:$BM$3,$BN$1:$BY$3),$BN$4:$BY$4),""),
"")</f>
        <v/>
      </c>
      <c r="CI75" s="8" t="str">
        <f>IF(_xlfn.XLOOKUP($B75,'ELC TECH'!$H:$H,'ELC TECH'!$E:$E)="Non Dispatchable",IFERROR($AX75*_xlfn.XLOOKUP($C75,$BM$1:$BM$3,CI$1:CI$3)/SUMPRODUCT(_xlfn.XLOOKUP($C75,$BM$1:$BM$3,$BN$1:$BY$3),$BN$4:$BY$4),""),
"")</f>
        <v/>
      </c>
      <c r="CJ75" s="8" t="str">
        <f>IF(_xlfn.XLOOKUP($B75,'ELC TECH'!$H:$H,'ELC TECH'!$E:$E)="Non Dispatchable",IFERROR($AX75*_xlfn.XLOOKUP($C75,$BM$1:$BM$3,CJ$1:CJ$3)/SUMPRODUCT(_xlfn.XLOOKUP($C75,$BM$1:$BM$3,$BN$1:$BY$3),$BN$4:$BY$4),""),
"")</f>
        <v/>
      </c>
      <c r="CK75" s="8" t="str">
        <f>IF(_xlfn.XLOOKUP($B75,'ELC TECH'!$H:$H,'ELC TECH'!$E:$E)="Non Dispatchable",IFERROR($AX75*_xlfn.XLOOKUP($C75,$BM$1:$BM$3,CK$1:CK$3)/SUMPRODUCT(_xlfn.XLOOKUP($C75,$BM$1:$BM$3,$BN$1:$BY$3),$BN$4:$BY$4),""),
"")</f>
        <v/>
      </c>
      <c r="CL75" s="8">
        <f>IF(_xlfn.XLOOKUP($B75,'ELC TECH'!$H:$H,'ELC TECH'!$E:$E)="Storage",CL$4*$BF75,"")</f>
        <v>2.7399999999999997E-2</v>
      </c>
      <c r="CM75" s="8">
        <f>IF(_xlfn.XLOOKUP($B75,'ELC TECH'!$H:$H,'ELC TECH'!$E:$E)="Storage",CM$4*$BF75,"")</f>
        <v>3.1899999999999998E-2</v>
      </c>
      <c r="CN75" s="8">
        <f>IF(_xlfn.XLOOKUP($B75,'ELC TECH'!$H:$H,'ELC TECH'!$E:$E)="Storage",CN$4*$BF75,"")</f>
        <v>5.1066666666666663E-2</v>
      </c>
      <c r="CO75" s="8">
        <f>IF(_xlfn.XLOOKUP($B75,'ELC TECH'!$H:$H,'ELC TECH'!$E:$E)="Storage",CO$4*$BF75,"")</f>
        <v>1.0666666666666667E-3</v>
      </c>
      <c r="CP75" s="8">
        <f>IF(_xlfn.XLOOKUP($B75,'ELC TECH'!$H:$H,'ELC TECH'!$E:$E)="Storage",CP$4*$BF75,"")</f>
        <v>2.7166666666666665E-2</v>
      </c>
      <c r="CQ75" s="8">
        <f>IF(_xlfn.XLOOKUP($B75,'ELC TECH'!$H:$H,'ELC TECH'!$E:$E)="Storage",CQ$4*$BF75,"")</f>
        <v>3.6233333333333333E-2</v>
      </c>
      <c r="CR75" s="8">
        <f>IF(_xlfn.XLOOKUP($B75,'ELC TECH'!$H:$H,'ELC TECH'!$E:$E)="Storage",CR$4*$BF75,"")</f>
        <v>4.6033333333333329E-2</v>
      </c>
      <c r="CS75" s="8">
        <f>IF(_xlfn.XLOOKUP($B75,'ELC TECH'!$H:$H,'ELC TECH'!$E:$E)="Storage",CS$4*$BF75,"")</f>
        <v>1.0666666666666667E-3</v>
      </c>
      <c r="CT75" s="8">
        <f>IF(_xlfn.XLOOKUP($B75,'ELC TECH'!$H:$H,'ELC TECH'!$E:$E)="Storage",CT$4*$BF75,"")</f>
        <v>3.2500000000000001E-2</v>
      </c>
      <c r="CU75" s="8">
        <f>IF(_xlfn.XLOOKUP($B75,'ELC TECH'!$H:$H,'ELC TECH'!$E:$E)="Storage",CU$4*$BF75,"")</f>
        <v>3.6233333333333333E-2</v>
      </c>
      <c r="CV75" s="8">
        <f>IF(_xlfn.XLOOKUP($B75,'ELC TECH'!$H:$H,'ELC TECH'!$E:$E)="Storage",CV$4*$BF75,"")</f>
        <v>4.176666666666666E-2</v>
      </c>
      <c r="CW75" s="8">
        <f>IF(_xlfn.XLOOKUP($B75,'ELC TECH'!$H:$H,'ELC TECH'!$E:$E)="Storage",CW$4*$BF75,"")</f>
        <v>8.9999999999999998E-4</v>
      </c>
      <c r="CX75" s="8">
        <f>IF(_xlfn.XLOOKUP($B75,'ELC TECH'!$H:$H,'ELC TECH'!$E:$E)="Storage",CX$4*$BF75,"")</f>
        <v>2.7399999999999997E-2</v>
      </c>
      <c r="CY75" s="8">
        <f>IF(_xlfn.XLOOKUP($B75,'ELC TECH'!$H:$H,'ELC TECH'!$E:$E)="Storage",CY$4*$BF75,"")</f>
        <v>3.1899999999999998E-2</v>
      </c>
      <c r="CZ75" s="8">
        <f>IF(_xlfn.XLOOKUP($B75,'ELC TECH'!$H:$H,'ELC TECH'!$E:$E)="Storage",CZ$4*$BF75,"")</f>
        <v>5.1066666666666663E-2</v>
      </c>
      <c r="DA75" s="8">
        <f>IF(_xlfn.XLOOKUP($B75,'ELC TECH'!$H:$H,'ELC TECH'!$E:$E)="Storage",DA$4*$BF75,"")</f>
        <v>1.0666666666666667E-3</v>
      </c>
      <c r="DB75" s="8">
        <f>IF(_xlfn.XLOOKUP($B75,'ELC TECH'!$H:$H,'ELC TECH'!$E:$E)="Storage",DB$4*$BF75,"")</f>
        <v>2.7166666666666665E-2</v>
      </c>
      <c r="DC75" s="8">
        <f>IF(_xlfn.XLOOKUP($B75,'ELC TECH'!$H:$H,'ELC TECH'!$E:$E)="Storage",DC$4*$BF75,"")</f>
        <v>3.6233333333333333E-2</v>
      </c>
      <c r="DD75" s="8">
        <f>IF(_xlfn.XLOOKUP($B75,'ELC TECH'!$H:$H,'ELC TECH'!$E:$E)="Storage",DD$4*$BF75,"")</f>
        <v>4.6033333333333329E-2</v>
      </c>
      <c r="DE75" s="8">
        <f>IF(_xlfn.XLOOKUP($B75,'ELC TECH'!$H:$H,'ELC TECH'!$E:$E)="Storage",DE$4*$BF75,"")</f>
        <v>1.0666666666666667E-3</v>
      </c>
      <c r="DF75" s="8">
        <f>IF(_xlfn.XLOOKUP($B75,'ELC TECH'!$H:$H,'ELC TECH'!$E:$E)="Storage",DF$4*$BF75,"")</f>
        <v>3.2500000000000001E-2</v>
      </c>
      <c r="DG75" s="8">
        <f>IF(_xlfn.XLOOKUP($B75,'ELC TECH'!$H:$H,'ELC TECH'!$E:$E)="Storage",DG$4*$BF75,"")</f>
        <v>3.6233333333333333E-2</v>
      </c>
      <c r="DH75" s="8">
        <f>IF(_xlfn.XLOOKUP($B75,'ELC TECH'!$H:$H,'ELC TECH'!$E:$E)="Storage",DH$4*$BF75,"")</f>
        <v>4.176666666666666E-2</v>
      </c>
      <c r="DI75" s="8">
        <f>IF(_xlfn.XLOOKUP($B75,'ELC TECH'!$H:$H,'ELC TECH'!$E:$E)="Storage",DI$4*$BF75,"")</f>
        <v>8.9999999999999998E-4</v>
      </c>
    </row>
    <row r="76" spans="2:113" x14ac:dyDescent="0.25">
      <c r="B76" t="str">
        <f>IF('ELC TECH'!I69=0,"*",'ELC TECH'!H69)</f>
        <v>ELCSTGGRDPSH8HC1120</v>
      </c>
      <c r="C76" t="str">
        <f>IF(_xlfn.XLOOKUP(_xlfn.XLOOKUP(B76,'ELC TECH'!$H:$H,'ELC TECH'!$G:$G),List!C:C,List!B:B)="STG",D76,"ELC"&amp;_xlfn.XLOOKUP(_xlfn.XLOOKUP(B76,'ELC TECH'!H:H,'ELC TECH'!G:G),List!C:C,List!B:B))</f>
        <v>CELC</v>
      </c>
      <c r="D76" t="s">
        <v>544</v>
      </c>
      <c r="E76">
        <f>_xlfn.XLOOKUP(B76,'ELC TECH'!H:H,'ELC TECH'!D:D)</f>
        <v>2020</v>
      </c>
      <c r="F76">
        <f>_xlfn.XLOOKUP(B76,'ELC TECH'!H:H,'ELC TECH'!K:K)</f>
        <v>100</v>
      </c>
      <c r="G76">
        <f t="shared" si="6"/>
        <v>31.535999999999998</v>
      </c>
      <c r="H76">
        <f>IF(_xlfn.XLOOKUP(B76,'ELC TECH'!$H:$H,'ELC TECH'!$E:$E)="Storage",0.3,IF(_xlfn.XLOOKUP(B76,'ELC TECH'!$H:$H,'ELC TECH'!$E:$E)="Baseload",0.9,IF(_xlfn.XLOOKUP(B76,'ELC TECH'!$H:$H,'ELC TECH'!$E:$E)="Non Dispatchable",0.05,IF(_xlfn.XLOOKUP(B76,'ELC TECH'!$H:$H,'ELC TECH'!$E:$E)="Dispatchable",0.9,1))))</f>
        <v>0.3</v>
      </c>
      <c r="I76" s="13">
        <f>IF(_xlfn.XLOOKUP(B76,'ELC TECH'!H:H,'ELC TECH'!J:J)="","",_xlfn.XLOOKUP(B76,'ELC TECH'!H:H,'ELC TECH'!J:J))</f>
        <v>0</v>
      </c>
      <c r="J76" s="12" t="str">
        <f>IF(_xlfn.XLOOKUP($B76,'ELC TECH'!$H:$H,'ELC TECH'!$E:$E)="Storage","",IF(_xlfn.XLOOKUP($B76,'ELC TECH'!$H:$H,'ELC TECH'!AK:AK)="",1,_xlfn.XLOOKUP($B76,'ELC TECH'!$H:$H,'ELC TECH'!AK:AK)))</f>
        <v/>
      </c>
      <c r="K76" s="12" t="str">
        <f>IF(_xlfn.XLOOKUP($B76,'ELC TECH'!$H:$H,'ELC TECH'!$E:$E)="Storage","",IF(_xlfn.XLOOKUP($B76,'ELC TECH'!$H:$H,'ELC TECH'!AL:AL)="",1,_xlfn.XLOOKUP($B76,'ELC TECH'!$H:$H,'ELC TECH'!AL:AL)))</f>
        <v/>
      </c>
      <c r="L76" s="12" t="str">
        <f>IF(_xlfn.XLOOKUP($B76,'ELC TECH'!$H:$H,'ELC TECH'!$E:$E)="Storage","",IF(_xlfn.XLOOKUP($B76,'ELC TECH'!$H:$H,'ELC TECH'!AM:AM)="",1,_xlfn.XLOOKUP($B76,'ELC TECH'!$H:$H,'ELC TECH'!AM:AM)))</f>
        <v/>
      </c>
      <c r="M76" s="12" t="str">
        <f>IF(_xlfn.XLOOKUP($B76,'ELC TECH'!$H:$H,'ELC TECH'!$E:$E)="Storage","",IF(_xlfn.XLOOKUP($B76,'ELC TECH'!$H:$H,'ELC TECH'!AN:AN)="",1,_xlfn.XLOOKUP($B76,'ELC TECH'!$H:$H,'ELC TECH'!AN:AN)))</f>
        <v/>
      </c>
      <c r="N76" s="12" t="str">
        <f>IF(_xlfn.XLOOKUP($B76,'ELC TECH'!$H:$H,'ELC TECH'!$E:$E)="Storage","",IF(_xlfn.XLOOKUP($B76,'ELC TECH'!$H:$H,'ELC TECH'!AO:AO)="",1,_xlfn.XLOOKUP($B76,'ELC TECH'!$H:$H,'ELC TECH'!AO:AO)))</f>
        <v/>
      </c>
      <c r="O76" s="12" t="str">
        <f>IF(_xlfn.XLOOKUP($B76,'ELC TECH'!$H:$H,'ELC TECH'!$E:$E)="Storage","",IF(_xlfn.XLOOKUP($B76,'ELC TECH'!$H:$H,'ELC TECH'!AP:AP)="",1,_xlfn.XLOOKUP($B76,'ELC TECH'!$H:$H,'ELC TECH'!AP:AP)))</f>
        <v/>
      </c>
      <c r="P76" s="12" t="str">
        <f>IF(_xlfn.XLOOKUP($B76,'ELC TECH'!$H:$H,'ELC TECH'!$E:$E)="Storage","",IF(_xlfn.XLOOKUP($B76,'ELC TECH'!$H:$H,'ELC TECH'!AQ:AQ)="",1,_xlfn.XLOOKUP($B76,'ELC TECH'!$H:$H,'ELC TECH'!AQ:AQ)))</f>
        <v/>
      </c>
      <c r="Q76" s="12" t="str">
        <f>IF(_xlfn.XLOOKUP($B76,'ELC TECH'!$H:$H,'ELC TECH'!$E:$E)="Storage","",IF(_xlfn.XLOOKUP($B76,'ELC TECH'!$H:$H,'ELC TECH'!AR:AR)="",1,_xlfn.XLOOKUP($B76,'ELC TECH'!$H:$H,'ELC TECH'!AR:AR)))</f>
        <v/>
      </c>
      <c r="R76" s="12">
        <f>IF(_xlfn.XLOOKUP($B76,'ELC TECH'!$H:$H,'ELC TECH'!$E:$E)&lt;&gt;"Storage","",IF(_xlfn.XLOOKUP($B76,'ELC TECH'!$H:$H,'ELC TECH'!AK:AK)="",0.8,_xlfn.XLOOKUP($B76,'ELC TECH'!$H:$H,'ELC TECH'!AK:AK)))</f>
        <v>0.8</v>
      </c>
      <c r="S76" s="12">
        <f>IF(_xlfn.XLOOKUP($B76,'ELC TECH'!$H:$H,'ELC TECH'!$E:$E)&lt;&gt;"Storage","",IF(_xlfn.XLOOKUP($B76,'ELC TECH'!$H:$H,'ELC TECH'!AL:AL)="",0.8,_xlfn.XLOOKUP($B76,'ELC TECH'!$H:$H,'ELC TECH'!AL:AL)))</f>
        <v>0.8</v>
      </c>
      <c r="T76" s="12">
        <f>IF(_xlfn.XLOOKUP($B76,'ELC TECH'!$H:$H,'ELC TECH'!$E:$E)&lt;&gt;"Storage","",IF(_xlfn.XLOOKUP($B76,'ELC TECH'!$H:$H,'ELC TECH'!AM:AM)="",0.8,_xlfn.XLOOKUP($B76,'ELC TECH'!$H:$H,'ELC TECH'!AM:AM)))</f>
        <v>0.8</v>
      </c>
      <c r="U76" s="12">
        <f>IF(_xlfn.XLOOKUP($B76,'ELC TECH'!$H:$H,'ELC TECH'!$E:$E)&lt;&gt;"Storage","",IF(_xlfn.XLOOKUP($B76,'ELC TECH'!$H:$H,'ELC TECH'!AN:AN)="",0.8,_xlfn.XLOOKUP($B76,'ELC TECH'!$H:$H,'ELC TECH'!AN:AN)))</f>
        <v>0.8</v>
      </c>
      <c r="V76" s="12">
        <f>IF(_xlfn.XLOOKUP($B76,'ELC TECH'!$H:$H,'ELC TECH'!$E:$E)&lt;&gt;"Storage","",IF(_xlfn.XLOOKUP($B76,'ELC TECH'!$H:$H,'ELC TECH'!AO:AO)="",0.8,_xlfn.XLOOKUP($B76,'ELC TECH'!$H:$H,'ELC TECH'!AO:AO)))</f>
        <v>0.8</v>
      </c>
      <c r="W76" s="12">
        <f>IF(_xlfn.XLOOKUP($B76,'ELC TECH'!$H:$H,'ELC TECH'!$E:$E)&lt;&gt;"Storage","",IF(_xlfn.XLOOKUP($B76,'ELC TECH'!$H:$H,'ELC TECH'!AP:AP)="",0.8,_xlfn.XLOOKUP($B76,'ELC TECH'!$H:$H,'ELC TECH'!AP:AP)))</f>
        <v>0.8</v>
      </c>
      <c r="X76" s="12">
        <f>IF(_xlfn.XLOOKUP($B76,'ELC TECH'!$H:$H,'ELC TECH'!$E:$E)&lt;&gt;"Storage","",IF(_xlfn.XLOOKUP($B76,'ELC TECH'!$H:$H,'ELC TECH'!AQ:AQ)="",0.8,_xlfn.XLOOKUP($B76,'ELC TECH'!$H:$H,'ELC TECH'!AQ:AQ)))</f>
        <v>0.8</v>
      </c>
      <c r="Y76" s="12">
        <f>IF(_xlfn.XLOOKUP($B76,'ELC TECH'!$H:$H,'ELC TECH'!$E:$E)&lt;&gt;"Storage","",IF(_xlfn.XLOOKUP($B76,'ELC TECH'!$H:$H,'ELC TECH'!AR:AR)="",0.8,_xlfn.XLOOKUP($B76,'ELC TECH'!$H:$H,'ELC TECH'!AR:AR)))</f>
        <v>0.8</v>
      </c>
      <c r="Z76" s="15">
        <f>_xlfn.XLOOKUP($B76,'ELC TECH'!$H:$H,'ELC TECH'!M:M)</f>
        <v>3989.3387907441688</v>
      </c>
      <c r="AA76" s="15">
        <f>_xlfn.XLOOKUP($B76,'ELC TECH'!$H:$H,'ELC TECH'!N:N)</f>
        <v>3989.3387907441688</v>
      </c>
      <c r="AB76" s="15">
        <f>_xlfn.XLOOKUP($B76,'ELC TECH'!$H:$H,'ELC TECH'!O:O)</f>
        <v>3989.3387907441688</v>
      </c>
      <c r="AC76" s="15">
        <f>_xlfn.XLOOKUP($B76,'ELC TECH'!$H:$H,'ELC TECH'!P:P)</f>
        <v>3989.3387907441688</v>
      </c>
      <c r="AD76" s="15">
        <f>_xlfn.XLOOKUP($B76,'ELC TECH'!$H:$H,'ELC TECH'!Q:Q)</f>
        <v>3989.3387907441688</v>
      </c>
      <c r="AE76" s="15">
        <f>_xlfn.XLOOKUP($B76,'ELC TECH'!$H:$H,'ELC TECH'!R:R)</f>
        <v>3989.3387907441688</v>
      </c>
      <c r="AF76" s="15">
        <f>_xlfn.XLOOKUP($B76,'ELC TECH'!$H:$H,'ELC TECH'!S:S)</f>
        <v>3989.3387907441688</v>
      </c>
      <c r="AG76" s="15">
        <f>_xlfn.XLOOKUP($B76,'ELC TECH'!$H:$H,'ELC TECH'!T:T)</f>
        <v>3989.3387907441688</v>
      </c>
      <c r="AH76" s="15">
        <f>_xlfn.XLOOKUP($B76,'ELC TECH'!$H:$H,'ELC TECH'!U:U)</f>
        <v>21.100097091380029</v>
      </c>
      <c r="AI76" s="15">
        <f>_xlfn.XLOOKUP($B76,'ELC TECH'!$H:$H,'ELC TECH'!V:V)</f>
        <v>21.100097091380029</v>
      </c>
      <c r="AJ76" s="15">
        <f>_xlfn.XLOOKUP($B76,'ELC TECH'!$H:$H,'ELC TECH'!W:W)</f>
        <v>21.100097091380029</v>
      </c>
      <c r="AK76" s="15">
        <f>_xlfn.XLOOKUP($B76,'ELC TECH'!$H:$H,'ELC TECH'!X:X)</f>
        <v>21.100097091380029</v>
      </c>
      <c r="AL76" s="15">
        <f>_xlfn.XLOOKUP($B76,'ELC TECH'!$H:$H,'ELC TECH'!Y:Y)</f>
        <v>21.100097091380029</v>
      </c>
      <c r="AM76" s="15">
        <f>_xlfn.XLOOKUP($B76,'ELC TECH'!$H:$H,'ELC TECH'!Z:Z)</f>
        <v>21.100097091380029</v>
      </c>
      <c r="AN76" s="15">
        <f>_xlfn.XLOOKUP($B76,'ELC TECH'!$H:$H,'ELC TECH'!AA:AA)</f>
        <v>21.100097091380029</v>
      </c>
      <c r="AO76" s="15">
        <f>_xlfn.XLOOKUP($B76,'ELC TECH'!$H:$H,'ELC TECH'!AB:AB)</f>
        <v>21.100097091380029</v>
      </c>
      <c r="AP76" s="15">
        <f>_xlfn.XLOOKUP($B76,'ELC TECH'!$H:$H,'ELC TECH'!AC:AC)</f>
        <v>0.1696149283872993</v>
      </c>
      <c r="AQ76" s="15">
        <f>_xlfn.XLOOKUP($B76,'ELC TECH'!$H:$H,'ELC TECH'!AD:AD)</f>
        <v>0.1696149283872993</v>
      </c>
      <c r="AR76" s="15">
        <f>_xlfn.XLOOKUP($B76,'ELC TECH'!$H:$H,'ELC TECH'!AE:AE)</f>
        <v>0.1696149283872993</v>
      </c>
      <c r="AS76" s="15">
        <f>_xlfn.XLOOKUP($B76,'ELC TECH'!$H:$H,'ELC TECH'!AF:AF)</f>
        <v>0.1696149283872993</v>
      </c>
      <c r="AT76" s="15">
        <f>_xlfn.XLOOKUP($B76,'ELC TECH'!$H:$H,'ELC TECH'!AG:AG)</f>
        <v>0.1696149283872993</v>
      </c>
      <c r="AU76" s="15">
        <f>_xlfn.XLOOKUP($B76,'ELC TECH'!$H:$H,'ELC TECH'!AH:AH)</f>
        <v>0.1696149283872993</v>
      </c>
      <c r="AV76" s="15">
        <f>_xlfn.XLOOKUP($B76,'ELC TECH'!$H:$H,'ELC TECH'!AI:AI)</f>
        <v>0.1696149283872993</v>
      </c>
      <c r="AW76" s="15">
        <f>_xlfn.XLOOKUP($B76,'ELC TECH'!$H:$H,'ELC TECH'!AJ:AJ)</f>
        <v>0.1696149283872993</v>
      </c>
      <c r="AX76" s="12" t="str">
        <f>IF(_xlfn.XLOOKUP($B76,'ELC TECH'!$H:$H,'ELC TECH'!$E:$E)="Storage","",_xlfn.XLOOKUP($B76,'ELC TECH'!$H:$H,'ELC TECH'!AS:AS))</f>
        <v/>
      </c>
      <c r="AY76" s="12" t="str">
        <f>IF(_xlfn.XLOOKUP($B76,'ELC TECH'!$H:$H,'ELC TECH'!$E:$E)="Storage","",_xlfn.XLOOKUP($B76,'ELC TECH'!$H:$H,'ELC TECH'!AT:AT))</f>
        <v/>
      </c>
      <c r="AZ76" s="12" t="str">
        <f>IF(_xlfn.XLOOKUP($B76,'ELC TECH'!$H:$H,'ELC TECH'!$E:$E)="Storage","",_xlfn.XLOOKUP($B76,'ELC TECH'!$H:$H,'ELC TECH'!AU:AU))</f>
        <v/>
      </c>
      <c r="BA76" s="12" t="str">
        <f>IF(_xlfn.XLOOKUP($B76,'ELC TECH'!$H:$H,'ELC TECH'!$E:$E)="Storage","",_xlfn.XLOOKUP($B76,'ELC TECH'!$H:$H,'ELC TECH'!AV:AV))</f>
        <v/>
      </c>
      <c r="BB76" s="12" t="str">
        <f>IF(_xlfn.XLOOKUP($B76,'ELC TECH'!$H:$H,'ELC TECH'!$E:$E)="Storage","",_xlfn.XLOOKUP($B76,'ELC TECH'!$H:$H,'ELC TECH'!AW:AW))</f>
        <v/>
      </c>
      <c r="BC76" s="12" t="str">
        <f>IF(_xlfn.XLOOKUP($B76,'ELC TECH'!$H:$H,'ELC TECH'!$E:$E)="Storage","",_xlfn.XLOOKUP($B76,'ELC TECH'!$H:$H,'ELC TECH'!AX:AX))</f>
        <v/>
      </c>
      <c r="BD76" s="12" t="str">
        <f>IF(_xlfn.XLOOKUP($B76,'ELC TECH'!$H:$H,'ELC TECH'!$E:$E)="Storage","",_xlfn.XLOOKUP($B76,'ELC TECH'!$H:$H,'ELC TECH'!AY:AY))</f>
        <v/>
      </c>
      <c r="BE76" s="12" t="str">
        <f>IF(_xlfn.XLOOKUP($B76,'ELC TECH'!$H:$H,'ELC TECH'!$E:$E)="Storage","",_xlfn.XLOOKUP($B76,'ELC TECH'!$H:$H,'ELC TECH'!AZ:AZ))</f>
        <v/>
      </c>
      <c r="BF76" s="12">
        <f>IF(_xlfn.XLOOKUP($B76,'ELC TECH'!$H:$H,'ELC TECH'!$E:$E)="Storage",_xlfn.XLOOKUP($B76,'ELC TECH'!$H:$H,'ELC TECH'!AS:AS),"")</f>
        <v>0.33333333333333331</v>
      </c>
      <c r="BG76" s="12">
        <f>IF(_xlfn.XLOOKUP($B76,'ELC TECH'!$H:$H,'ELC TECH'!$E:$E)="Storage",_xlfn.XLOOKUP($B76,'ELC TECH'!$H:$H,'ELC TECH'!AT:AT),"")</f>
        <v>0.33333333333333331</v>
      </c>
      <c r="BH76" s="12">
        <f>IF(_xlfn.XLOOKUP($B76,'ELC TECH'!$H:$H,'ELC TECH'!$E:$E)="Storage",_xlfn.XLOOKUP($B76,'ELC TECH'!$H:$H,'ELC TECH'!AU:AU),"")</f>
        <v>0.33333333333333331</v>
      </c>
      <c r="BI76" s="12">
        <f>IF(_xlfn.XLOOKUP($B76,'ELC TECH'!$H:$H,'ELC TECH'!$E:$E)="Storage",_xlfn.XLOOKUP($B76,'ELC TECH'!$H:$H,'ELC TECH'!AV:AV),"")</f>
        <v>0.33333333333333331</v>
      </c>
      <c r="BJ76" s="12">
        <f>IF(_xlfn.XLOOKUP($B76,'ELC TECH'!$H:$H,'ELC TECH'!$E:$E)="Storage",_xlfn.XLOOKUP($B76,'ELC TECH'!$H:$H,'ELC TECH'!AW:AW),"")</f>
        <v>0.33333333333333331</v>
      </c>
      <c r="BK76" s="12">
        <f>IF(_xlfn.XLOOKUP($B76,'ELC TECH'!$H:$H,'ELC TECH'!$E:$E)="Storage",_xlfn.XLOOKUP($B76,'ELC TECH'!$H:$H,'ELC TECH'!AX:AX),"")</f>
        <v>0.33333333333333331</v>
      </c>
      <c r="BL76" s="12">
        <f>IF(_xlfn.XLOOKUP($B76,'ELC TECH'!$H:$H,'ELC TECH'!$E:$E)="Storage",_xlfn.XLOOKUP($B76,'ELC TECH'!$H:$H,'ELC TECH'!AY:AY),"")</f>
        <v>0.33333333333333331</v>
      </c>
      <c r="BM76" s="12">
        <f>IF(_xlfn.XLOOKUP($B76,'ELC TECH'!$H:$H,'ELC TECH'!$E:$E)="Storage",_xlfn.XLOOKUP($B76,'ELC TECH'!$H:$H,'ELC TECH'!AZ:AZ),"")</f>
        <v>0.33333333333333331</v>
      </c>
      <c r="BN76" s="8" t="str">
        <f>IF(_xlfn.XLOOKUP($B76,'ELC TECH'!$H:$H,'ELC TECH'!$E:$E)="Non Dispatchable",IFERROR($AX76*_xlfn.XLOOKUP($C76,$BM$1:$BM$3,BN$1:BN$3)/SUMPRODUCT(_xlfn.XLOOKUP($C76,$BM$1:$BM$3,$BN$1:$BY$3),$BN$4:$BY$4),""),
"")</f>
        <v/>
      </c>
      <c r="BO76" s="8" t="str">
        <f>IF(_xlfn.XLOOKUP($B76,'ELC TECH'!$H:$H,'ELC TECH'!$E:$E)="Non Dispatchable",IFERROR($AX76*_xlfn.XLOOKUP($C76,$BM$1:$BM$3,BO$1:BO$3)/SUMPRODUCT(_xlfn.XLOOKUP($C76,$BM$1:$BM$3,$BN$1:$BY$3),$BN$4:$BY$4),""),
"")</f>
        <v/>
      </c>
      <c r="BP76" s="8" t="str">
        <f>IF(_xlfn.XLOOKUP($B76,'ELC TECH'!$H:$H,'ELC TECH'!$E:$E)="Non Dispatchable",IFERROR($AX76*_xlfn.XLOOKUP($C76,$BM$1:$BM$3,BP$1:BP$3)/SUMPRODUCT(_xlfn.XLOOKUP($C76,$BM$1:$BM$3,$BN$1:$BY$3),$BN$4:$BY$4),""),
"")</f>
        <v/>
      </c>
      <c r="BQ76" s="8" t="str">
        <f>IF(_xlfn.XLOOKUP($B76,'ELC TECH'!$H:$H,'ELC TECH'!$E:$E)="Non Dispatchable",IFERROR($AX76*_xlfn.XLOOKUP($C76,$BM$1:$BM$3,BQ$1:BQ$3)/SUMPRODUCT(_xlfn.XLOOKUP($C76,$BM$1:$BM$3,$BN$1:$BY$3),$BN$4:$BY$4),""),
"")</f>
        <v/>
      </c>
      <c r="BR76" s="8" t="str">
        <f>IF(_xlfn.XLOOKUP($B76,'ELC TECH'!$H:$H,'ELC TECH'!$E:$E)="Non Dispatchable",IFERROR($AX76*_xlfn.XLOOKUP($C76,$BM$1:$BM$3,BR$1:BR$3)/SUMPRODUCT(_xlfn.XLOOKUP($C76,$BM$1:$BM$3,$BN$1:$BY$3),$BN$4:$BY$4),""),
"")</f>
        <v/>
      </c>
      <c r="BS76" s="8" t="str">
        <f>IF(_xlfn.XLOOKUP($B76,'ELC TECH'!$H:$H,'ELC TECH'!$E:$E)="Non Dispatchable",IFERROR($AX76*_xlfn.XLOOKUP($C76,$BM$1:$BM$3,BS$1:BS$3)/SUMPRODUCT(_xlfn.XLOOKUP($C76,$BM$1:$BM$3,$BN$1:$BY$3),$BN$4:$BY$4),""),
"")</f>
        <v/>
      </c>
      <c r="BT76" s="8" t="str">
        <f>IF(_xlfn.XLOOKUP($B76,'ELC TECH'!$H:$H,'ELC TECH'!$E:$E)="Non Dispatchable",IFERROR($AX76*_xlfn.XLOOKUP($C76,$BM$1:$BM$3,BT$1:BT$3)/SUMPRODUCT(_xlfn.XLOOKUP($C76,$BM$1:$BM$3,$BN$1:$BY$3),$BN$4:$BY$4),""),
"")</f>
        <v/>
      </c>
      <c r="BU76" s="8" t="str">
        <f>IF(_xlfn.XLOOKUP($B76,'ELC TECH'!$H:$H,'ELC TECH'!$E:$E)="Non Dispatchable",IFERROR($AX76*_xlfn.XLOOKUP($C76,$BM$1:$BM$3,BU$1:BU$3)/SUMPRODUCT(_xlfn.XLOOKUP($C76,$BM$1:$BM$3,$BN$1:$BY$3),$BN$4:$BY$4),""),
"")</f>
        <v/>
      </c>
      <c r="BV76" s="8" t="str">
        <f>IF(_xlfn.XLOOKUP($B76,'ELC TECH'!$H:$H,'ELC TECH'!$E:$E)="Non Dispatchable",IFERROR($AX76*_xlfn.XLOOKUP($C76,$BM$1:$BM$3,BV$1:BV$3)/SUMPRODUCT(_xlfn.XLOOKUP($C76,$BM$1:$BM$3,$BN$1:$BY$3),$BN$4:$BY$4),""),
"")</f>
        <v/>
      </c>
      <c r="BW76" s="8" t="str">
        <f>IF(_xlfn.XLOOKUP($B76,'ELC TECH'!$H:$H,'ELC TECH'!$E:$E)="Non Dispatchable",IFERROR($AX76*_xlfn.XLOOKUP($C76,$BM$1:$BM$3,BW$1:BW$3)/SUMPRODUCT(_xlfn.XLOOKUP($C76,$BM$1:$BM$3,$BN$1:$BY$3),$BN$4:$BY$4),""),
"")</f>
        <v/>
      </c>
      <c r="BX76" s="8" t="str">
        <f>IF(_xlfn.XLOOKUP($B76,'ELC TECH'!$H:$H,'ELC TECH'!$E:$E)="Non Dispatchable",IFERROR($AX76*_xlfn.XLOOKUP($C76,$BM$1:$BM$3,BX$1:BX$3)/SUMPRODUCT(_xlfn.XLOOKUP($C76,$BM$1:$BM$3,$BN$1:$BY$3),$BN$4:$BY$4),""),
"")</f>
        <v/>
      </c>
      <c r="BY76" s="8" t="str">
        <f>IF(_xlfn.XLOOKUP($B76,'ELC TECH'!$H:$H,'ELC TECH'!$E:$E)="Non Dispatchable",IFERROR($AX76*_xlfn.XLOOKUP($C76,$BM$1:$BM$3,BY$1:BY$3)/SUMPRODUCT(_xlfn.XLOOKUP($C76,$BM$1:$BM$3,$BN$1:$BY$3),$BN$4:$BY$4),""),
"")</f>
        <v/>
      </c>
      <c r="BZ76" s="8" t="str">
        <f>IF(_xlfn.XLOOKUP($B76,'ELC TECH'!$H:$H,'ELC TECH'!$E:$E)="Non Dispatchable",IFERROR($AX76*_xlfn.XLOOKUP($C76,$BM$1:$BM$3,BZ$1:BZ$3)/SUMPRODUCT(_xlfn.XLOOKUP($C76,$BM$1:$BM$3,$BN$1:$BY$3),$BN$4:$BY$4),""),
"")</f>
        <v/>
      </c>
      <c r="CA76" s="8" t="str">
        <f>IF(_xlfn.XLOOKUP($B76,'ELC TECH'!$H:$H,'ELC TECH'!$E:$E)="Non Dispatchable",IFERROR($AX76*_xlfn.XLOOKUP($C76,$BM$1:$BM$3,CA$1:CA$3)/SUMPRODUCT(_xlfn.XLOOKUP($C76,$BM$1:$BM$3,$BN$1:$BY$3),$BN$4:$BY$4),""),
"")</f>
        <v/>
      </c>
      <c r="CB76" s="8" t="str">
        <f>IF(_xlfn.XLOOKUP($B76,'ELC TECH'!$H:$H,'ELC TECH'!$E:$E)="Non Dispatchable",IFERROR($AX76*_xlfn.XLOOKUP($C76,$BM$1:$BM$3,CB$1:CB$3)/SUMPRODUCT(_xlfn.XLOOKUP($C76,$BM$1:$BM$3,$BN$1:$BY$3),$BN$4:$BY$4),""),
"")</f>
        <v/>
      </c>
      <c r="CC76" s="8" t="str">
        <f>IF(_xlfn.XLOOKUP($B76,'ELC TECH'!$H:$H,'ELC TECH'!$E:$E)="Non Dispatchable",IFERROR($AX76*_xlfn.XLOOKUP($C76,$BM$1:$BM$3,CC$1:CC$3)/SUMPRODUCT(_xlfn.XLOOKUP($C76,$BM$1:$BM$3,$BN$1:$BY$3),$BN$4:$BY$4),""),
"")</f>
        <v/>
      </c>
      <c r="CD76" s="8" t="str">
        <f>IF(_xlfn.XLOOKUP($B76,'ELC TECH'!$H:$H,'ELC TECH'!$E:$E)="Non Dispatchable",IFERROR($AX76*_xlfn.XLOOKUP($C76,$BM$1:$BM$3,CD$1:CD$3)/SUMPRODUCT(_xlfn.XLOOKUP($C76,$BM$1:$BM$3,$BN$1:$BY$3),$BN$4:$BY$4),""),
"")</f>
        <v/>
      </c>
      <c r="CE76" s="8" t="str">
        <f>IF(_xlfn.XLOOKUP($B76,'ELC TECH'!$H:$H,'ELC TECH'!$E:$E)="Non Dispatchable",IFERROR($AX76*_xlfn.XLOOKUP($C76,$BM$1:$BM$3,CE$1:CE$3)/SUMPRODUCT(_xlfn.XLOOKUP($C76,$BM$1:$BM$3,$BN$1:$BY$3),$BN$4:$BY$4),""),
"")</f>
        <v/>
      </c>
      <c r="CF76" s="8" t="str">
        <f>IF(_xlfn.XLOOKUP($B76,'ELC TECH'!$H:$H,'ELC TECH'!$E:$E)="Non Dispatchable",IFERROR($AX76*_xlfn.XLOOKUP($C76,$BM$1:$BM$3,CF$1:CF$3)/SUMPRODUCT(_xlfn.XLOOKUP($C76,$BM$1:$BM$3,$BN$1:$BY$3),$BN$4:$BY$4),""),
"")</f>
        <v/>
      </c>
      <c r="CG76" s="8" t="str">
        <f>IF(_xlfn.XLOOKUP($B76,'ELC TECH'!$H:$H,'ELC TECH'!$E:$E)="Non Dispatchable",IFERROR($AX76*_xlfn.XLOOKUP($C76,$BM$1:$BM$3,CG$1:CG$3)/SUMPRODUCT(_xlfn.XLOOKUP($C76,$BM$1:$BM$3,$BN$1:$BY$3),$BN$4:$BY$4),""),
"")</f>
        <v/>
      </c>
      <c r="CH76" s="8" t="str">
        <f>IF(_xlfn.XLOOKUP($B76,'ELC TECH'!$H:$H,'ELC TECH'!$E:$E)="Non Dispatchable",IFERROR($AX76*_xlfn.XLOOKUP($C76,$BM$1:$BM$3,CH$1:CH$3)/SUMPRODUCT(_xlfn.XLOOKUP($C76,$BM$1:$BM$3,$BN$1:$BY$3),$BN$4:$BY$4),""),
"")</f>
        <v/>
      </c>
      <c r="CI76" s="8" t="str">
        <f>IF(_xlfn.XLOOKUP($B76,'ELC TECH'!$H:$H,'ELC TECH'!$E:$E)="Non Dispatchable",IFERROR($AX76*_xlfn.XLOOKUP($C76,$BM$1:$BM$3,CI$1:CI$3)/SUMPRODUCT(_xlfn.XLOOKUP($C76,$BM$1:$BM$3,$BN$1:$BY$3),$BN$4:$BY$4),""),
"")</f>
        <v/>
      </c>
      <c r="CJ76" s="8" t="str">
        <f>IF(_xlfn.XLOOKUP($B76,'ELC TECH'!$H:$H,'ELC TECH'!$E:$E)="Non Dispatchable",IFERROR($AX76*_xlfn.XLOOKUP($C76,$BM$1:$BM$3,CJ$1:CJ$3)/SUMPRODUCT(_xlfn.XLOOKUP($C76,$BM$1:$BM$3,$BN$1:$BY$3),$BN$4:$BY$4),""),
"")</f>
        <v/>
      </c>
      <c r="CK76" s="8" t="str">
        <f>IF(_xlfn.XLOOKUP($B76,'ELC TECH'!$H:$H,'ELC TECH'!$E:$E)="Non Dispatchable",IFERROR($AX76*_xlfn.XLOOKUP($C76,$BM$1:$BM$3,CK$1:CK$3)/SUMPRODUCT(_xlfn.XLOOKUP($C76,$BM$1:$BM$3,$BN$1:$BY$3),$BN$4:$BY$4),""),
"")</f>
        <v/>
      </c>
      <c r="CL76" s="8">
        <f>IF(_xlfn.XLOOKUP($B76,'ELC TECH'!$H:$H,'ELC TECH'!$E:$E)="Storage",CL$4*$BF76,"")</f>
        <v>2.7399999999999997E-2</v>
      </c>
      <c r="CM76" s="8">
        <f>IF(_xlfn.XLOOKUP($B76,'ELC TECH'!$H:$H,'ELC TECH'!$E:$E)="Storage",CM$4*$BF76,"")</f>
        <v>3.1899999999999998E-2</v>
      </c>
      <c r="CN76" s="8">
        <f>IF(_xlfn.XLOOKUP($B76,'ELC TECH'!$H:$H,'ELC TECH'!$E:$E)="Storage",CN$4*$BF76,"")</f>
        <v>5.1066666666666663E-2</v>
      </c>
      <c r="CO76" s="8">
        <f>IF(_xlfn.XLOOKUP($B76,'ELC TECH'!$H:$H,'ELC TECH'!$E:$E)="Storage",CO$4*$BF76,"")</f>
        <v>1.0666666666666667E-3</v>
      </c>
      <c r="CP76" s="8">
        <f>IF(_xlfn.XLOOKUP($B76,'ELC TECH'!$H:$H,'ELC TECH'!$E:$E)="Storage",CP$4*$BF76,"")</f>
        <v>2.7166666666666665E-2</v>
      </c>
      <c r="CQ76" s="8">
        <f>IF(_xlfn.XLOOKUP($B76,'ELC TECH'!$H:$H,'ELC TECH'!$E:$E)="Storage",CQ$4*$BF76,"")</f>
        <v>3.6233333333333333E-2</v>
      </c>
      <c r="CR76" s="8">
        <f>IF(_xlfn.XLOOKUP($B76,'ELC TECH'!$H:$H,'ELC TECH'!$E:$E)="Storage",CR$4*$BF76,"")</f>
        <v>4.6033333333333329E-2</v>
      </c>
      <c r="CS76" s="8">
        <f>IF(_xlfn.XLOOKUP($B76,'ELC TECH'!$H:$H,'ELC TECH'!$E:$E)="Storage",CS$4*$BF76,"")</f>
        <v>1.0666666666666667E-3</v>
      </c>
      <c r="CT76" s="8">
        <f>IF(_xlfn.XLOOKUP($B76,'ELC TECH'!$H:$H,'ELC TECH'!$E:$E)="Storage",CT$4*$BF76,"")</f>
        <v>3.2500000000000001E-2</v>
      </c>
      <c r="CU76" s="8">
        <f>IF(_xlfn.XLOOKUP($B76,'ELC TECH'!$H:$H,'ELC TECH'!$E:$E)="Storage",CU$4*$BF76,"")</f>
        <v>3.6233333333333333E-2</v>
      </c>
      <c r="CV76" s="8">
        <f>IF(_xlfn.XLOOKUP($B76,'ELC TECH'!$H:$H,'ELC TECH'!$E:$E)="Storage",CV$4*$BF76,"")</f>
        <v>4.176666666666666E-2</v>
      </c>
      <c r="CW76" s="8">
        <f>IF(_xlfn.XLOOKUP($B76,'ELC TECH'!$H:$H,'ELC TECH'!$E:$E)="Storage",CW$4*$BF76,"")</f>
        <v>8.9999999999999998E-4</v>
      </c>
      <c r="CX76" s="8">
        <f>IF(_xlfn.XLOOKUP($B76,'ELC TECH'!$H:$H,'ELC TECH'!$E:$E)="Storage",CX$4*$BF76,"")</f>
        <v>2.7399999999999997E-2</v>
      </c>
      <c r="CY76" s="8">
        <f>IF(_xlfn.XLOOKUP($B76,'ELC TECH'!$H:$H,'ELC TECH'!$E:$E)="Storage",CY$4*$BF76,"")</f>
        <v>3.1899999999999998E-2</v>
      </c>
      <c r="CZ76" s="8">
        <f>IF(_xlfn.XLOOKUP($B76,'ELC TECH'!$H:$H,'ELC TECH'!$E:$E)="Storage",CZ$4*$BF76,"")</f>
        <v>5.1066666666666663E-2</v>
      </c>
      <c r="DA76" s="8">
        <f>IF(_xlfn.XLOOKUP($B76,'ELC TECH'!$H:$H,'ELC TECH'!$E:$E)="Storage",DA$4*$BF76,"")</f>
        <v>1.0666666666666667E-3</v>
      </c>
      <c r="DB76" s="8">
        <f>IF(_xlfn.XLOOKUP($B76,'ELC TECH'!$H:$H,'ELC TECH'!$E:$E)="Storage",DB$4*$BF76,"")</f>
        <v>2.7166666666666665E-2</v>
      </c>
      <c r="DC76" s="8">
        <f>IF(_xlfn.XLOOKUP($B76,'ELC TECH'!$H:$H,'ELC TECH'!$E:$E)="Storage",DC$4*$BF76,"")</f>
        <v>3.6233333333333333E-2</v>
      </c>
      <c r="DD76" s="8">
        <f>IF(_xlfn.XLOOKUP($B76,'ELC TECH'!$H:$H,'ELC TECH'!$E:$E)="Storage",DD$4*$BF76,"")</f>
        <v>4.6033333333333329E-2</v>
      </c>
      <c r="DE76" s="8">
        <f>IF(_xlfn.XLOOKUP($B76,'ELC TECH'!$H:$H,'ELC TECH'!$E:$E)="Storage",DE$4*$BF76,"")</f>
        <v>1.0666666666666667E-3</v>
      </c>
      <c r="DF76" s="8">
        <f>IF(_xlfn.XLOOKUP($B76,'ELC TECH'!$H:$H,'ELC TECH'!$E:$E)="Storage",DF$4*$BF76,"")</f>
        <v>3.2500000000000001E-2</v>
      </c>
      <c r="DG76" s="8">
        <f>IF(_xlfn.XLOOKUP($B76,'ELC TECH'!$H:$H,'ELC TECH'!$E:$E)="Storage",DG$4*$BF76,"")</f>
        <v>3.6233333333333333E-2</v>
      </c>
      <c r="DH76" s="8">
        <f>IF(_xlfn.XLOOKUP($B76,'ELC TECH'!$H:$H,'ELC TECH'!$E:$E)="Storage",DH$4*$BF76,"")</f>
        <v>4.176666666666666E-2</v>
      </c>
      <c r="DI76" s="8">
        <f>IF(_xlfn.XLOOKUP($B76,'ELC TECH'!$H:$H,'ELC TECH'!$E:$E)="Storage",DI$4*$BF76,"")</f>
        <v>8.9999999999999998E-4</v>
      </c>
    </row>
    <row r="77" spans="2:113" x14ac:dyDescent="0.25">
      <c r="B77" t="str">
        <f>IF('ELC TECH'!I70=0,"*",'ELC TECH'!H70)</f>
        <v>ELCSTGGRDPSH8HC1220</v>
      </c>
      <c r="C77" t="str">
        <f>IF(_xlfn.XLOOKUP(_xlfn.XLOOKUP(B77,'ELC TECH'!$H:$H,'ELC TECH'!$G:$G),List!C:C,List!B:B)="STG",D77,"ELC"&amp;_xlfn.XLOOKUP(_xlfn.XLOOKUP(B77,'ELC TECH'!H:H,'ELC TECH'!G:G),List!C:C,List!B:B))</f>
        <v>CELC</v>
      </c>
      <c r="D77" t="s">
        <v>544</v>
      </c>
      <c r="E77">
        <f>_xlfn.XLOOKUP(B77,'ELC TECH'!H:H,'ELC TECH'!D:D)</f>
        <v>2020</v>
      </c>
      <c r="F77">
        <f>_xlfn.XLOOKUP(B77,'ELC TECH'!H:H,'ELC TECH'!K:K)</f>
        <v>100</v>
      </c>
      <c r="G77">
        <f t="shared" si="6"/>
        <v>31.535999999999998</v>
      </c>
      <c r="H77">
        <f>IF(_xlfn.XLOOKUP(B77,'ELC TECH'!$H:$H,'ELC TECH'!$E:$E)="Storage",0.3,IF(_xlfn.XLOOKUP(B77,'ELC TECH'!$H:$H,'ELC TECH'!$E:$E)="Baseload",0.9,IF(_xlfn.XLOOKUP(B77,'ELC TECH'!$H:$H,'ELC TECH'!$E:$E)="Non Dispatchable",0.05,IF(_xlfn.XLOOKUP(B77,'ELC TECH'!$H:$H,'ELC TECH'!$E:$E)="Dispatchable",0.9,1))))</f>
        <v>0.3</v>
      </c>
      <c r="I77" s="13">
        <f>IF(_xlfn.XLOOKUP(B77,'ELC TECH'!H:H,'ELC TECH'!J:J)="","",_xlfn.XLOOKUP(B77,'ELC TECH'!H:H,'ELC TECH'!J:J))</f>
        <v>0</v>
      </c>
      <c r="J77" s="12" t="str">
        <f>IF(_xlfn.XLOOKUP($B77,'ELC TECH'!$H:$H,'ELC TECH'!$E:$E)="Storage","",IF(_xlfn.XLOOKUP($B77,'ELC TECH'!$H:$H,'ELC TECH'!AK:AK)="",1,_xlfn.XLOOKUP($B77,'ELC TECH'!$H:$H,'ELC TECH'!AK:AK)))</f>
        <v/>
      </c>
      <c r="K77" s="12" t="str">
        <f>IF(_xlfn.XLOOKUP($B77,'ELC TECH'!$H:$H,'ELC TECH'!$E:$E)="Storage","",IF(_xlfn.XLOOKUP($B77,'ELC TECH'!$H:$H,'ELC TECH'!AL:AL)="",1,_xlfn.XLOOKUP($B77,'ELC TECH'!$H:$H,'ELC TECH'!AL:AL)))</f>
        <v/>
      </c>
      <c r="L77" s="12" t="str">
        <f>IF(_xlfn.XLOOKUP($B77,'ELC TECH'!$H:$H,'ELC TECH'!$E:$E)="Storage","",IF(_xlfn.XLOOKUP($B77,'ELC TECH'!$H:$H,'ELC TECH'!AM:AM)="",1,_xlfn.XLOOKUP($B77,'ELC TECH'!$H:$H,'ELC TECH'!AM:AM)))</f>
        <v/>
      </c>
      <c r="M77" s="12" t="str">
        <f>IF(_xlfn.XLOOKUP($B77,'ELC TECH'!$H:$H,'ELC TECH'!$E:$E)="Storage","",IF(_xlfn.XLOOKUP($B77,'ELC TECH'!$H:$H,'ELC TECH'!AN:AN)="",1,_xlfn.XLOOKUP($B77,'ELC TECH'!$H:$H,'ELC TECH'!AN:AN)))</f>
        <v/>
      </c>
      <c r="N77" s="12" t="str">
        <f>IF(_xlfn.XLOOKUP($B77,'ELC TECH'!$H:$H,'ELC TECH'!$E:$E)="Storage","",IF(_xlfn.XLOOKUP($B77,'ELC TECH'!$H:$H,'ELC TECH'!AO:AO)="",1,_xlfn.XLOOKUP($B77,'ELC TECH'!$H:$H,'ELC TECH'!AO:AO)))</f>
        <v/>
      </c>
      <c r="O77" s="12" t="str">
        <f>IF(_xlfn.XLOOKUP($B77,'ELC TECH'!$H:$H,'ELC TECH'!$E:$E)="Storage","",IF(_xlfn.XLOOKUP($B77,'ELC TECH'!$H:$H,'ELC TECH'!AP:AP)="",1,_xlfn.XLOOKUP($B77,'ELC TECH'!$H:$H,'ELC TECH'!AP:AP)))</f>
        <v/>
      </c>
      <c r="P77" s="12" t="str">
        <f>IF(_xlfn.XLOOKUP($B77,'ELC TECH'!$H:$H,'ELC TECH'!$E:$E)="Storage","",IF(_xlfn.XLOOKUP($B77,'ELC TECH'!$H:$H,'ELC TECH'!AQ:AQ)="",1,_xlfn.XLOOKUP($B77,'ELC TECH'!$H:$H,'ELC TECH'!AQ:AQ)))</f>
        <v/>
      </c>
      <c r="Q77" s="12" t="str">
        <f>IF(_xlfn.XLOOKUP($B77,'ELC TECH'!$H:$H,'ELC TECH'!$E:$E)="Storage","",IF(_xlfn.XLOOKUP($B77,'ELC TECH'!$H:$H,'ELC TECH'!AR:AR)="",1,_xlfn.XLOOKUP($B77,'ELC TECH'!$H:$H,'ELC TECH'!AR:AR)))</f>
        <v/>
      </c>
      <c r="R77" s="12">
        <f>IF(_xlfn.XLOOKUP($B77,'ELC TECH'!$H:$H,'ELC TECH'!$E:$E)&lt;&gt;"Storage","",IF(_xlfn.XLOOKUP($B77,'ELC TECH'!$H:$H,'ELC TECH'!AK:AK)="",0.8,_xlfn.XLOOKUP($B77,'ELC TECH'!$H:$H,'ELC TECH'!AK:AK)))</f>
        <v>0.8</v>
      </c>
      <c r="S77" s="12">
        <f>IF(_xlfn.XLOOKUP($B77,'ELC TECH'!$H:$H,'ELC TECH'!$E:$E)&lt;&gt;"Storage","",IF(_xlfn.XLOOKUP($B77,'ELC TECH'!$H:$H,'ELC TECH'!AL:AL)="",0.8,_xlfn.XLOOKUP($B77,'ELC TECH'!$H:$H,'ELC TECH'!AL:AL)))</f>
        <v>0.8</v>
      </c>
      <c r="T77" s="12">
        <f>IF(_xlfn.XLOOKUP($B77,'ELC TECH'!$H:$H,'ELC TECH'!$E:$E)&lt;&gt;"Storage","",IF(_xlfn.XLOOKUP($B77,'ELC TECH'!$H:$H,'ELC TECH'!AM:AM)="",0.8,_xlfn.XLOOKUP($B77,'ELC TECH'!$H:$H,'ELC TECH'!AM:AM)))</f>
        <v>0.8</v>
      </c>
      <c r="U77" s="12">
        <f>IF(_xlfn.XLOOKUP($B77,'ELC TECH'!$H:$H,'ELC TECH'!$E:$E)&lt;&gt;"Storage","",IF(_xlfn.XLOOKUP($B77,'ELC TECH'!$H:$H,'ELC TECH'!AN:AN)="",0.8,_xlfn.XLOOKUP($B77,'ELC TECH'!$H:$H,'ELC TECH'!AN:AN)))</f>
        <v>0.8</v>
      </c>
      <c r="V77" s="12">
        <f>IF(_xlfn.XLOOKUP($B77,'ELC TECH'!$H:$H,'ELC TECH'!$E:$E)&lt;&gt;"Storage","",IF(_xlfn.XLOOKUP($B77,'ELC TECH'!$H:$H,'ELC TECH'!AO:AO)="",0.8,_xlfn.XLOOKUP($B77,'ELC TECH'!$H:$H,'ELC TECH'!AO:AO)))</f>
        <v>0.8</v>
      </c>
      <c r="W77" s="12">
        <f>IF(_xlfn.XLOOKUP($B77,'ELC TECH'!$H:$H,'ELC TECH'!$E:$E)&lt;&gt;"Storage","",IF(_xlfn.XLOOKUP($B77,'ELC TECH'!$H:$H,'ELC TECH'!AP:AP)="",0.8,_xlfn.XLOOKUP($B77,'ELC TECH'!$H:$H,'ELC TECH'!AP:AP)))</f>
        <v>0.8</v>
      </c>
      <c r="X77" s="12">
        <f>IF(_xlfn.XLOOKUP($B77,'ELC TECH'!$H:$H,'ELC TECH'!$E:$E)&lt;&gt;"Storage","",IF(_xlfn.XLOOKUP($B77,'ELC TECH'!$H:$H,'ELC TECH'!AQ:AQ)="",0.8,_xlfn.XLOOKUP($B77,'ELC TECH'!$H:$H,'ELC TECH'!AQ:AQ)))</f>
        <v>0.8</v>
      </c>
      <c r="Y77" s="12">
        <f>IF(_xlfn.XLOOKUP($B77,'ELC TECH'!$H:$H,'ELC TECH'!$E:$E)&lt;&gt;"Storage","",IF(_xlfn.XLOOKUP($B77,'ELC TECH'!$H:$H,'ELC TECH'!AR:AR)="",0.8,_xlfn.XLOOKUP($B77,'ELC TECH'!$H:$H,'ELC TECH'!AR:AR)))</f>
        <v>0.8</v>
      </c>
      <c r="Z77" s="15">
        <f>_xlfn.XLOOKUP($B77,'ELC TECH'!$H:$H,'ELC TECH'!M:M)</f>
        <v>4141.3324292504731</v>
      </c>
      <c r="AA77" s="15">
        <f>_xlfn.XLOOKUP($B77,'ELC TECH'!$H:$H,'ELC TECH'!N:N)</f>
        <v>4141.3324292504731</v>
      </c>
      <c r="AB77" s="15">
        <f>_xlfn.XLOOKUP($B77,'ELC TECH'!$H:$H,'ELC TECH'!O:O)</f>
        <v>4141.3324292504731</v>
      </c>
      <c r="AC77" s="15">
        <f>_xlfn.XLOOKUP($B77,'ELC TECH'!$H:$H,'ELC TECH'!P:P)</f>
        <v>4141.3324292504731</v>
      </c>
      <c r="AD77" s="15">
        <f>_xlfn.XLOOKUP($B77,'ELC TECH'!$H:$H,'ELC TECH'!Q:Q)</f>
        <v>4141.3324292504731</v>
      </c>
      <c r="AE77" s="15">
        <f>_xlfn.XLOOKUP($B77,'ELC TECH'!$H:$H,'ELC TECH'!R:R)</f>
        <v>4141.3324292504731</v>
      </c>
      <c r="AF77" s="15">
        <f>_xlfn.XLOOKUP($B77,'ELC TECH'!$H:$H,'ELC TECH'!S:S)</f>
        <v>4141.3324292504731</v>
      </c>
      <c r="AG77" s="15">
        <f>_xlfn.XLOOKUP($B77,'ELC TECH'!$H:$H,'ELC TECH'!T:T)</f>
        <v>4141.3324292504731</v>
      </c>
      <c r="AH77" s="15">
        <f>_xlfn.XLOOKUP($B77,'ELC TECH'!$H:$H,'ELC TECH'!U:U)</f>
        <v>21.100097091380029</v>
      </c>
      <c r="AI77" s="15">
        <f>_xlfn.XLOOKUP($B77,'ELC TECH'!$H:$H,'ELC TECH'!V:V)</f>
        <v>21.100097091380029</v>
      </c>
      <c r="AJ77" s="15">
        <f>_xlfn.XLOOKUP($B77,'ELC TECH'!$H:$H,'ELC TECH'!W:W)</f>
        <v>21.100097091380029</v>
      </c>
      <c r="AK77" s="15">
        <f>_xlfn.XLOOKUP($B77,'ELC TECH'!$H:$H,'ELC TECH'!X:X)</f>
        <v>21.100097091380029</v>
      </c>
      <c r="AL77" s="15">
        <f>_xlfn.XLOOKUP($B77,'ELC TECH'!$H:$H,'ELC TECH'!Y:Y)</f>
        <v>21.100097091380029</v>
      </c>
      <c r="AM77" s="15">
        <f>_xlfn.XLOOKUP($B77,'ELC TECH'!$H:$H,'ELC TECH'!Z:Z)</f>
        <v>21.100097091380029</v>
      </c>
      <c r="AN77" s="15">
        <f>_xlfn.XLOOKUP($B77,'ELC TECH'!$H:$H,'ELC TECH'!AA:AA)</f>
        <v>21.100097091380029</v>
      </c>
      <c r="AO77" s="15">
        <f>_xlfn.XLOOKUP($B77,'ELC TECH'!$H:$H,'ELC TECH'!AB:AB)</f>
        <v>21.100097091380029</v>
      </c>
      <c r="AP77" s="15">
        <f>_xlfn.XLOOKUP($B77,'ELC TECH'!$H:$H,'ELC TECH'!AC:AC)</f>
        <v>0.1696149283872993</v>
      </c>
      <c r="AQ77" s="15">
        <f>_xlfn.XLOOKUP($B77,'ELC TECH'!$H:$H,'ELC TECH'!AD:AD)</f>
        <v>0.1696149283872993</v>
      </c>
      <c r="AR77" s="15">
        <f>_xlfn.XLOOKUP($B77,'ELC TECH'!$H:$H,'ELC TECH'!AE:AE)</f>
        <v>0.1696149283872993</v>
      </c>
      <c r="AS77" s="15">
        <f>_xlfn.XLOOKUP($B77,'ELC TECH'!$H:$H,'ELC TECH'!AF:AF)</f>
        <v>0.1696149283872993</v>
      </c>
      <c r="AT77" s="15">
        <f>_xlfn.XLOOKUP($B77,'ELC TECH'!$H:$H,'ELC TECH'!AG:AG)</f>
        <v>0.1696149283872993</v>
      </c>
      <c r="AU77" s="15">
        <f>_xlfn.XLOOKUP($B77,'ELC TECH'!$H:$H,'ELC TECH'!AH:AH)</f>
        <v>0.1696149283872993</v>
      </c>
      <c r="AV77" s="15">
        <f>_xlfn.XLOOKUP($B77,'ELC TECH'!$H:$H,'ELC TECH'!AI:AI)</f>
        <v>0.1696149283872993</v>
      </c>
      <c r="AW77" s="15">
        <f>_xlfn.XLOOKUP($B77,'ELC TECH'!$H:$H,'ELC TECH'!AJ:AJ)</f>
        <v>0.1696149283872993</v>
      </c>
      <c r="AX77" s="12" t="str">
        <f>IF(_xlfn.XLOOKUP($B77,'ELC TECH'!$H:$H,'ELC TECH'!$E:$E)="Storage","",_xlfn.XLOOKUP($B77,'ELC TECH'!$H:$H,'ELC TECH'!AS:AS))</f>
        <v/>
      </c>
      <c r="AY77" s="12" t="str">
        <f>IF(_xlfn.XLOOKUP($B77,'ELC TECH'!$H:$H,'ELC TECH'!$E:$E)="Storage","",_xlfn.XLOOKUP($B77,'ELC TECH'!$H:$H,'ELC TECH'!AT:AT))</f>
        <v/>
      </c>
      <c r="AZ77" s="12" t="str">
        <f>IF(_xlfn.XLOOKUP($B77,'ELC TECH'!$H:$H,'ELC TECH'!$E:$E)="Storage","",_xlfn.XLOOKUP($B77,'ELC TECH'!$H:$H,'ELC TECH'!AU:AU))</f>
        <v/>
      </c>
      <c r="BA77" s="12" t="str">
        <f>IF(_xlfn.XLOOKUP($B77,'ELC TECH'!$H:$H,'ELC TECH'!$E:$E)="Storage","",_xlfn.XLOOKUP($B77,'ELC TECH'!$H:$H,'ELC TECH'!AV:AV))</f>
        <v/>
      </c>
      <c r="BB77" s="12" t="str">
        <f>IF(_xlfn.XLOOKUP($B77,'ELC TECH'!$H:$H,'ELC TECH'!$E:$E)="Storage","",_xlfn.XLOOKUP($B77,'ELC TECH'!$H:$H,'ELC TECH'!AW:AW))</f>
        <v/>
      </c>
      <c r="BC77" s="12" t="str">
        <f>IF(_xlfn.XLOOKUP($B77,'ELC TECH'!$H:$H,'ELC TECH'!$E:$E)="Storage","",_xlfn.XLOOKUP($B77,'ELC TECH'!$H:$H,'ELC TECH'!AX:AX))</f>
        <v/>
      </c>
      <c r="BD77" s="12" t="str">
        <f>IF(_xlfn.XLOOKUP($B77,'ELC TECH'!$H:$H,'ELC TECH'!$E:$E)="Storage","",_xlfn.XLOOKUP($B77,'ELC TECH'!$H:$H,'ELC TECH'!AY:AY))</f>
        <v/>
      </c>
      <c r="BE77" s="12" t="str">
        <f>IF(_xlfn.XLOOKUP($B77,'ELC TECH'!$H:$H,'ELC TECH'!$E:$E)="Storage","",_xlfn.XLOOKUP($B77,'ELC TECH'!$H:$H,'ELC TECH'!AZ:AZ))</f>
        <v/>
      </c>
      <c r="BF77" s="12">
        <f>IF(_xlfn.XLOOKUP($B77,'ELC TECH'!$H:$H,'ELC TECH'!$E:$E)="Storage",_xlfn.XLOOKUP($B77,'ELC TECH'!$H:$H,'ELC TECH'!AS:AS),"")</f>
        <v>0.33333333333333331</v>
      </c>
      <c r="BG77" s="12">
        <f>IF(_xlfn.XLOOKUP($B77,'ELC TECH'!$H:$H,'ELC TECH'!$E:$E)="Storage",_xlfn.XLOOKUP($B77,'ELC TECH'!$H:$H,'ELC TECH'!AT:AT),"")</f>
        <v>0.33333333333333331</v>
      </c>
      <c r="BH77" s="12">
        <f>IF(_xlfn.XLOOKUP($B77,'ELC TECH'!$H:$H,'ELC TECH'!$E:$E)="Storage",_xlfn.XLOOKUP($B77,'ELC TECH'!$H:$H,'ELC TECH'!AU:AU),"")</f>
        <v>0.33333333333333331</v>
      </c>
      <c r="BI77" s="12">
        <f>IF(_xlfn.XLOOKUP($B77,'ELC TECH'!$H:$H,'ELC TECH'!$E:$E)="Storage",_xlfn.XLOOKUP($B77,'ELC TECH'!$H:$H,'ELC TECH'!AV:AV),"")</f>
        <v>0.33333333333333331</v>
      </c>
      <c r="BJ77" s="12">
        <f>IF(_xlfn.XLOOKUP($B77,'ELC TECH'!$H:$H,'ELC TECH'!$E:$E)="Storage",_xlfn.XLOOKUP($B77,'ELC TECH'!$H:$H,'ELC TECH'!AW:AW),"")</f>
        <v>0.33333333333333331</v>
      </c>
      <c r="BK77" s="12">
        <f>IF(_xlfn.XLOOKUP($B77,'ELC TECH'!$H:$H,'ELC TECH'!$E:$E)="Storage",_xlfn.XLOOKUP($B77,'ELC TECH'!$H:$H,'ELC TECH'!AX:AX),"")</f>
        <v>0.33333333333333331</v>
      </c>
      <c r="BL77" s="12">
        <f>IF(_xlfn.XLOOKUP($B77,'ELC TECH'!$H:$H,'ELC TECH'!$E:$E)="Storage",_xlfn.XLOOKUP($B77,'ELC TECH'!$H:$H,'ELC TECH'!AY:AY),"")</f>
        <v>0.33333333333333331</v>
      </c>
      <c r="BM77" s="12">
        <f>IF(_xlfn.XLOOKUP($B77,'ELC TECH'!$H:$H,'ELC TECH'!$E:$E)="Storage",_xlfn.XLOOKUP($B77,'ELC TECH'!$H:$H,'ELC TECH'!AZ:AZ),"")</f>
        <v>0.33333333333333331</v>
      </c>
      <c r="BN77" s="8" t="str">
        <f>IF(_xlfn.XLOOKUP($B77,'ELC TECH'!$H:$H,'ELC TECH'!$E:$E)="Non Dispatchable",IFERROR($AX77*_xlfn.XLOOKUP($C77,$BM$1:$BM$3,BN$1:BN$3)/SUMPRODUCT(_xlfn.XLOOKUP($C77,$BM$1:$BM$3,$BN$1:$BY$3),$BN$4:$BY$4),""),
"")</f>
        <v/>
      </c>
      <c r="BO77" s="8" t="str">
        <f>IF(_xlfn.XLOOKUP($B77,'ELC TECH'!$H:$H,'ELC TECH'!$E:$E)="Non Dispatchable",IFERROR($AX77*_xlfn.XLOOKUP($C77,$BM$1:$BM$3,BO$1:BO$3)/SUMPRODUCT(_xlfn.XLOOKUP($C77,$BM$1:$BM$3,$BN$1:$BY$3),$BN$4:$BY$4),""),
"")</f>
        <v/>
      </c>
      <c r="BP77" s="8" t="str">
        <f>IF(_xlfn.XLOOKUP($B77,'ELC TECH'!$H:$H,'ELC TECH'!$E:$E)="Non Dispatchable",IFERROR($AX77*_xlfn.XLOOKUP($C77,$BM$1:$BM$3,BP$1:BP$3)/SUMPRODUCT(_xlfn.XLOOKUP($C77,$BM$1:$BM$3,$BN$1:$BY$3),$BN$4:$BY$4),""),
"")</f>
        <v/>
      </c>
      <c r="BQ77" s="8" t="str">
        <f>IF(_xlfn.XLOOKUP($B77,'ELC TECH'!$H:$H,'ELC TECH'!$E:$E)="Non Dispatchable",IFERROR($AX77*_xlfn.XLOOKUP($C77,$BM$1:$BM$3,BQ$1:BQ$3)/SUMPRODUCT(_xlfn.XLOOKUP($C77,$BM$1:$BM$3,$BN$1:$BY$3),$BN$4:$BY$4),""),
"")</f>
        <v/>
      </c>
      <c r="BR77" s="8" t="str">
        <f>IF(_xlfn.XLOOKUP($B77,'ELC TECH'!$H:$H,'ELC TECH'!$E:$E)="Non Dispatchable",IFERROR($AX77*_xlfn.XLOOKUP($C77,$BM$1:$BM$3,BR$1:BR$3)/SUMPRODUCT(_xlfn.XLOOKUP($C77,$BM$1:$BM$3,$BN$1:$BY$3),$BN$4:$BY$4),""),
"")</f>
        <v/>
      </c>
      <c r="BS77" s="8" t="str">
        <f>IF(_xlfn.XLOOKUP($B77,'ELC TECH'!$H:$H,'ELC TECH'!$E:$E)="Non Dispatchable",IFERROR($AX77*_xlfn.XLOOKUP($C77,$BM$1:$BM$3,BS$1:BS$3)/SUMPRODUCT(_xlfn.XLOOKUP($C77,$BM$1:$BM$3,$BN$1:$BY$3),$BN$4:$BY$4),""),
"")</f>
        <v/>
      </c>
      <c r="BT77" s="8" t="str">
        <f>IF(_xlfn.XLOOKUP($B77,'ELC TECH'!$H:$H,'ELC TECH'!$E:$E)="Non Dispatchable",IFERROR($AX77*_xlfn.XLOOKUP($C77,$BM$1:$BM$3,BT$1:BT$3)/SUMPRODUCT(_xlfn.XLOOKUP($C77,$BM$1:$BM$3,$BN$1:$BY$3),$BN$4:$BY$4),""),
"")</f>
        <v/>
      </c>
      <c r="BU77" s="8" t="str">
        <f>IF(_xlfn.XLOOKUP($B77,'ELC TECH'!$H:$H,'ELC TECH'!$E:$E)="Non Dispatchable",IFERROR($AX77*_xlfn.XLOOKUP($C77,$BM$1:$BM$3,BU$1:BU$3)/SUMPRODUCT(_xlfn.XLOOKUP($C77,$BM$1:$BM$3,$BN$1:$BY$3),$BN$4:$BY$4),""),
"")</f>
        <v/>
      </c>
      <c r="BV77" s="8" t="str">
        <f>IF(_xlfn.XLOOKUP($B77,'ELC TECH'!$H:$H,'ELC TECH'!$E:$E)="Non Dispatchable",IFERROR($AX77*_xlfn.XLOOKUP($C77,$BM$1:$BM$3,BV$1:BV$3)/SUMPRODUCT(_xlfn.XLOOKUP($C77,$BM$1:$BM$3,$BN$1:$BY$3),$BN$4:$BY$4),""),
"")</f>
        <v/>
      </c>
      <c r="BW77" s="8" t="str">
        <f>IF(_xlfn.XLOOKUP($B77,'ELC TECH'!$H:$H,'ELC TECH'!$E:$E)="Non Dispatchable",IFERROR($AX77*_xlfn.XLOOKUP($C77,$BM$1:$BM$3,BW$1:BW$3)/SUMPRODUCT(_xlfn.XLOOKUP($C77,$BM$1:$BM$3,$BN$1:$BY$3),$BN$4:$BY$4),""),
"")</f>
        <v/>
      </c>
      <c r="BX77" s="8" t="str">
        <f>IF(_xlfn.XLOOKUP($B77,'ELC TECH'!$H:$H,'ELC TECH'!$E:$E)="Non Dispatchable",IFERROR($AX77*_xlfn.XLOOKUP($C77,$BM$1:$BM$3,BX$1:BX$3)/SUMPRODUCT(_xlfn.XLOOKUP($C77,$BM$1:$BM$3,$BN$1:$BY$3),$BN$4:$BY$4),""),
"")</f>
        <v/>
      </c>
      <c r="BY77" s="8" t="str">
        <f>IF(_xlfn.XLOOKUP($B77,'ELC TECH'!$H:$H,'ELC TECH'!$E:$E)="Non Dispatchable",IFERROR($AX77*_xlfn.XLOOKUP($C77,$BM$1:$BM$3,BY$1:BY$3)/SUMPRODUCT(_xlfn.XLOOKUP($C77,$BM$1:$BM$3,$BN$1:$BY$3),$BN$4:$BY$4),""),
"")</f>
        <v/>
      </c>
      <c r="BZ77" s="8" t="str">
        <f>IF(_xlfn.XLOOKUP($B77,'ELC TECH'!$H:$H,'ELC TECH'!$E:$E)="Non Dispatchable",IFERROR($AX77*_xlfn.XLOOKUP($C77,$BM$1:$BM$3,BZ$1:BZ$3)/SUMPRODUCT(_xlfn.XLOOKUP($C77,$BM$1:$BM$3,$BN$1:$BY$3),$BN$4:$BY$4),""),
"")</f>
        <v/>
      </c>
      <c r="CA77" s="8" t="str">
        <f>IF(_xlfn.XLOOKUP($B77,'ELC TECH'!$H:$H,'ELC TECH'!$E:$E)="Non Dispatchable",IFERROR($AX77*_xlfn.XLOOKUP($C77,$BM$1:$BM$3,CA$1:CA$3)/SUMPRODUCT(_xlfn.XLOOKUP($C77,$BM$1:$BM$3,$BN$1:$BY$3),$BN$4:$BY$4),""),
"")</f>
        <v/>
      </c>
      <c r="CB77" s="8" t="str">
        <f>IF(_xlfn.XLOOKUP($B77,'ELC TECH'!$H:$H,'ELC TECH'!$E:$E)="Non Dispatchable",IFERROR($AX77*_xlfn.XLOOKUP($C77,$BM$1:$BM$3,CB$1:CB$3)/SUMPRODUCT(_xlfn.XLOOKUP($C77,$BM$1:$BM$3,$BN$1:$BY$3),$BN$4:$BY$4),""),
"")</f>
        <v/>
      </c>
      <c r="CC77" s="8" t="str">
        <f>IF(_xlfn.XLOOKUP($B77,'ELC TECH'!$H:$H,'ELC TECH'!$E:$E)="Non Dispatchable",IFERROR($AX77*_xlfn.XLOOKUP($C77,$BM$1:$BM$3,CC$1:CC$3)/SUMPRODUCT(_xlfn.XLOOKUP($C77,$BM$1:$BM$3,$BN$1:$BY$3),$BN$4:$BY$4),""),
"")</f>
        <v/>
      </c>
      <c r="CD77" s="8" t="str">
        <f>IF(_xlfn.XLOOKUP($B77,'ELC TECH'!$H:$H,'ELC TECH'!$E:$E)="Non Dispatchable",IFERROR($AX77*_xlfn.XLOOKUP($C77,$BM$1:$BM$3,CD$1:CD$3)/SUMPRODUCT(_xlfn.XLOOKUP($C77,$BM$1:$BM$3,$BN$1:$BY$3),$BN$4:$BY$4),""),
"")</f>
        <v/>
      </c>
      <c r="CE77" s="8" t="str">
        <f>IF(_xlfn.XLOOKUP($B77,'ELC TECH'!$H:$H,'ELC TECH'!$E:$E)="Non Dispatchable",IFERROR($AX77*_xlfn.XLOOKUP($C77,$BM$1:$BM$3,CE$1:CE$3)/SUMPRODUCT(_xlfn.XLOOKUP($C77,$BM$1:$BM$3,$BN$1:$BY$3),$BN$4:$BY$4),""),
"")</f>
        <v/>
      </c>
      <c r="CF77" s="8" t="str">
        <f>IF(_xlfn.XLOOKUP($B77,'ELC TECH'!$H:$H,'ELC TECH'!$E:$E)="Non Dispatchable",IFERROR($AX77*_xlfn.XLOOKUP($C77,$BM$1:$BM$3,CF$1:CF$3)/SUMPRODUCT(_xlfn.XLOOKUP($C77,$BM$1:$BM$3,$BN$1:$BY$3),$BN$4:$BY$4),""),
"")</f>
        <v/>
      </c>
      <c r="CG77" s="8" t="str">
        <f>IF(_xlfn.XLOOKUP($B77,'ELC TECH'!$H:$H,'ELC TECH'!$E:$E)="Non Dispatchable",IFERROR($AX77*_xlfn.XLOOKUP($C77,$BM$1:$BM$3,CG$1:CG$3)/SUMPRODUCT(_xlfn.XLOOKUP($C77,$BM$1:$BM$3,$BN$1:$BY$3),$BN$4:$BY$4),""),
"")</f>
        <v/>
      </c>
      <c r="CH77" s="8" t="str">
        <f>IF(_xlfn.XLOOKUP($B77,'ELC TECH'!$H:$H,'ELC TECH'!$E:$E)="Non Dispatchable",IFERROR($AX77*_xlfn.XLOOKUP($C77,$BM$1:$BM$3,CH$1:CH$3)/SUMPRODUCT(_xlfn.XLOOKUP($C77,$BM$1:$BM$3,$BN$1:$BY$3),$BN$4:$BY$4),""),
"")</f>
        <v/>
      </c>
      <c r="CI77" s="8" t="str">
        <f>IF(_xlfn.XLOOKUP($B77,'ELC TECH'!$H:$H,'ELC TECH'!$E:$E)="Non Dispatchable",IFERROR($AX77*_xlfn.XLOOKUP($C77,$BM$1:$BM$3,CI$1:CI$3)/SUMPRODUCT(_xlfn.XLOOKUP($C77,$BM$1:$BM$3,$BN$1:$BY$3),$BN$4:$BY$4),""),
"")</f>
        <v/>
      </c>
      <c r="CJ77" s="8" t="str">
        <f>IF(_xlfn.XLOOKUP($B77,'ELC TECH'!$H:$H,'ELC TECH'!$E:$E)="Non Dispatchable",IFERROR($AX77*_xlfn.XLOOKUP($C77,$BM$1:$BM$3,CJ$1:CJ$3)/SUMPRODUCT(_xlfn.XLOOKUP($C77,$BM$1:$BM$3,$BN$1:$BY$3),$BN$4:$BY$4),""),
"")</f>
        <v/>
      </c>
      <c r="CK77" s="8" t="str">
        <f>IF(_xlfn.XLOOKUP($B77,'ELC TECH'!$H:$H,'ELC TECH'!$E:$E)="Non Dispatchable",IFERROR($AX77*_xlfn.XLOOKUP($C77,$BM$1:$BM$3,CK$1:CK$3)/SUMPRODUCT(_xlfn.XLOOKUP($C77,$BM$1:$BM$3,$BN$1:$BY$3),$BN$4:$BY$4),""),
"")</f>
        <v/>
      </c>
      <c r="CL77" s="8">
        <f>IF(_xlfn.XLOOKUP($B77,'ELC TECH'!$H:$H,'ELC TECH'!$E:$E)="Storage",CL$4*$BF77,"")</f>
        <v>2.7399999999999997E-2</v>
      </c>
      <c r="CM77" s="8">
        <f>IF(_xlfn.XLOOKUP($B77,'ELC TECH'!$H:$H,'ELC TECH'!$E:$E)="Storage",CM$4*$BF77,"")</f>
        <v>3.1899999999999998E-2</v>
      </c>
      <c r="CN77" s="8">
        <f>IF(_xlfn.XLOOKUP($B77,'ELC TECH'!$H:$H,'ELC TECH'!$E:$E)="Storage",CN$4*$BF77,"")</f>
        <v>5.1066666666666663E-2</v>
      </c>
      <c r="CO77" s="8">
        <f>IF(_xlfn.XLOOKUP($B77,'ELC TECH'!$H:$H,'ELC TECH'!$E:$E)="Storage",CO$4*$BF77,"")</f>
        <v>1.0666666666666667E-3</v>
      </c>
      <c r="CP77" s="8">
        <f>IF(_xlfn.XLOOKUP($B77,'ELC TECH'!$H:$H,'ELC TECH'!$E:$E)="Storage",CP$4*$BF77,"")</f>
        <v>2.7166666666666665E-2</v>
      </c>
      <c r="CQ77" s="8">
        <f>IF(_xlfn.XLOOKUP($B77,'ELC TECH'!$H:$H,'ELC TECH'!$E:$E)="Storage",CQ$4*$BF77,"")</f>
        <v>3.6233333333333333E-2</v>
      </c>
      <c r="CR77" s="8">
        <f>IF(_xlfn.XLOOKUP($B77,'ELC TECH'!$H:$H,'ELC TECH'!$E:$E)="Storage",CR$4*$BF77,"")</f>
        <v>4.6033333333333329E-2</v>
      </c>
      <c r="CS77" s="8">
        <f>IF(_xlfn.XLOOKUP($B77,'ELC TECH'!$H:$H,'ELC TECH'!$E:$E)="Storage",CS$4*$BF77,"")</f>
        <v>1.0666666666666667E-3</v>
      </c>
      <c r="CT77" s="8">
        <f>IF(_xlfn.XLOOKUP($B77,'ELC TECH'!$H:$H,'ELC TECH'!$E:$E)="Storage",CT$4*$BF77,"")</f>
        <v>3.2500000000000001E-2</v>
      </c>
      <c r="CU77" s="8">
        <f>IF(_xlfn.XLOOKUP($B77,'ELC TECH'!$H:$H,'ELC TECH'!$E:$E)="Storage",CU$4*$BF77,"")</f>
        <v>3.6233333333333333E-2</v>
      </c>
      <c r="CV77" s="8">
        <f>IF(_xlfn.XLOOKUP($B77,'ELC TECH'!$H:$H,'ELC TECH'!$E:$E)="Storage",CV$4*$BF77,"")</f>
        <v>4.176666666666666E-2</v>
      </c>
      <c r="CW77" s="8">
        <f>IF(_xlfn.XLOOKUP($B77,'ELC TECH'!$H:$H,'ELC TECH'!$E:$E)="Storage",CW$4*$BF77,"")</f>
        <v>8.9999999999999998E-4</v>
      </c>
      <c r="CX77" s="8">
        <f>IF(_xlfn.XLOOKUP($B77,'ELC TECH'!$H:$H,'ELC TECH'!$E:$E)="Storage",CX$4*$BF77,"")</f>
        <v>2.7399999999999997E-2</v>
      </c>
      <c r="CY77" s="8">
        <f>IF(_xlfn.XLOOKUP($B77,'ELC TECH'!$H:$H,'ELC TECH'!$E:$E)="Storage",CY$4*$BF77,"")</f>
        <v>3.1899999999999998E-2</v>
      </c>
      <c r="CZ77" s="8">
        <f>IF(_xlfn.XLOOKUP($B77,'ELC TECH'!$H:$H,'ELC TECH'!$E:$E)="Storage",CZ$4*$BF77,"")</f>
        <v>5.1066666666666663E-2</v>
      </c>
      <c r="DA77" s="8">
        <f>IF(_xlfn.XLOOKUP($B77,'ELC TECH'!$H:$H,'ELC TECH'!$E:$E)="Storage",DA$4*$BF77,"")</f>
        <v>1.0666666666666667E-3</v>
      </c>
      <c r="DB77" s="8">
        <f>IF(_xlfn.XLOOKUP($B77,'ELC TECH'!$H:$H,'ELC TECH'!$E:$E)="Storage",DB$4*$BF77,"")</f>
        <v>2.7166666666666665E-2</v>
      </c>
      <c r="DC77" s="8">
        <f>IF(_xlfn.XLOOKUP($B77,'ELC TECH'!$H:$H,'ELC TECH'!$E:$E)="Storage",DC$4*$BF77,"")</f>
        <v>3.6233333333333333E-2</v>
      </c>
      <c r="DD77" s="8">
        <f>IF(_xlfn.XLOOKUP($B77,'ELC TECH'!$H:$H,'ELC TECH'!$E:$E)="Storage",DD$4*$BF77,"")</f>
        <v>4.6033333333333329E-2</v>
      </c>
      <c r="DE77" s="8">
        <f>IF(_xlfn.XLOOKUP($B77,'ELC TECH'!$H:$H,'ELC TECH'!$E:$E)="Storage",DE$4*$BF77,"")</f>
        <v>1.0666666666666667E-3</v>
      </c>
      <c r="DF77" s="8">
        <f>IF(_xlfn.XLOOKUP($B77,'ELC TECH'!$H:$H,'ELC TECH'!$E:$E)="Storage",DF$4*$BF77,"")</f>
        <v>3.2500000000000001E-2</v>
      </c>
      <c r="DG77" s="8">
        <f>IF(_xlfn.XLOOKUP($B77,'ELC TECH'!$H:$H,'ELC TECH'!$E:$E)="Storage",DG$4*$BF77,"")</f>
        <v>3.6233333333333333E-2</v>
      </c>
      <c r="DH77" s="8">
        <f>IF(_xlfn.XLOOKUP($B77,'ELC TECH'!$H:$H,'ELC TECH'!$E:$E)="Storage",DH$4*$BF77,"")</f>
        <v>4.176666666666666E-2</v>
      </c>
      <c r="DI77" s="8">
        <f>IF(_xlfn.XLOOKUP($B77,'ELC TECH'!$H:$H,'ELC TECH'!$E:$E)="Storage",DI$4*$BF77,"")</f>
        <v>8.9999999999999998E-4</v>
      </c>
    </row>
    <row r="78" spans="2:113" x14ac:dyDescent="0.25">
      <c r="B78" t="str">
        <f>IF('ELC TECH'!I71=0,"*",'ELC TECH'!H71)</f>
        <v>ELCSTGGRDPSH8HC1320</v>
      </c>
      <c r="C78" t="str">
        <f>IF(_xlfn.XLOOKUP(_xlfn.XLOOKUP(B78,'ELC TECH'!$H:$H,'ELC TECH'!$G:$G),List!C:C,List!B:B)="STG",D78,"ELC"&amp;_xlfn.XLOOKUP(_xlfn.XLOOKUP(B78,'ELC TECH'!H:H,'ELC TECH'!G:G),List!C:C,List!B:B))</f>
        <v>CELC</v>
      </c>
      <c r="D78" t="s">
        <v>544</v>
      </c>
      <c r="E78">
        <f>_xlfn.XLOOKUP(B78,'ELC TECH'!H:H,'ELC TECH'!D:D)</f>
        <v>2020</v>
      </c>
      <c r="F78">
        <f>_xlfn.XLOOKUP(B78,'ELC TECH'!H:H,'ELC TECH'!K:K)</f>
        <v>100</v>
      </c>
      <c r="G78">
        <f t="shared" si="6"/>
        <v>31.535999999999998</v>
      </c>
      <c r="H78">
        <f>IF(_xlfn.XLOOKUP(B78,'ELC TECH'!$H:$H,'ELC TECH'!$E:$E)="Storage",0.3,IF(_xlfn.XLOOKUP(B78,'ELC TECH'!$H:$H,'ELC TECH'!$E:$E)="Baseload",0.9,IF(_xlfn.XLOOKUP(B78,'ELC TECH'!$H:$H,'ELC TECH'!$E:$E)="Non Dispatchable",0.05,IF(_xlfn.XLOOKUP(B78,'ELC TECH'!$H:$H,'ELC TECH'!$E:$E)="Dispatchable",0.9,1))))</f>
        <v>0.3</v>
      </c>
      <c r="I78" s="13">
        <f>IF(_xlfn.XLOOKUP(B78,'ELC TECH'!H:H,'ELC TECH'!J:J)="","",_xlfn.XLOOKUP(B78,'ELC TECH'!H:H,'ELC TECH'!J:J))</f>
        <v>0</v>
      </c>
      <c r="J78" s="12" t="str">
        <f>IF(_xlfn.XLOOKUP($B78,'ELC TECH'!$H:$H,'ELC TECH'!$E:$E)="Storage","",IF(_xlfn.XLOOKUP($B78,'ELC TECH'!$H:$H,'ELC TECH'!AK:AK)="",1,_xlfn.XLOOKUP($B78,'ELC TECH'!$H:$H,'ELC TECH'!AK:AK)))</f>
        <v/>
      </c>
      <c r="K78" s="12" t="str">
        <f>IF(_xlfn.XLOOKUP($B78,'ELC TECH'!$H:$H,'ELC TECH'!$E:$E)="Storage","",IF(_xlfn.XLOOKUP($B78,'ELC TECH'!$H:$H,'ELC TECH'!AL:AL)="",1,_xlfn.XLOOKUP($B78,'ELC TECH'!$H:$H,'ELC TECH'!AL:AL)))</f>
        <v/>
      </c>
      <c r="L78" s="12" t="str">
        <f>IF(_xlfn.XLOOKUP($B78,'ELC TECH'!$H:$H,'ELC TECH'!$E:$E)="Storage","",IF(_xlfn.XLOOKUP($B78,'ELC TECH'!$H:$H,'ELC TECH'!AM:AM)="",1,_xlfn.XLOOKUP($B78,'ELC TECH'!$H:$H,'ELC TECH'!AM:AM)))</f>
        <v/>
      </c>
      <c r="M78" s="12" t="str">
        <f>IF(_xlfn.XLOOKUP($B78,'ELC TECH'!$H:$H,'ELC TECH'!$E:$E)="Storage","",IF(_xlfn.XLOOKUP($B78,'ELC TECH'!$H:$H,'ELC TECH'!AN:AN)="",1,_xlfn.XLOOKUP($B78,'ELC TECH'!$H:$H,'ELC TECH'!AN:AN)))</f>
        <v/>
      </c>
      <c r="N78" s="12" t="str">
        <f>IF(_xlfn.XLOOKUP($B78,'ELC TECH'!$H:$H,'ELC TECH'!$E:$E)="Storage","",IF(_xlfn.XLOOKUP($B78,'ELC TECH'!$H:$H,'ELC TECH'!AO:AO)="",1,_xlfn.XLOOKUP($B78,'ELC TECH'!$H:$H,'ELC TECH'!AO:AO)))</f>
        <v/>
      </c>
      <c r="O78" s="12" t="str">
        <f>IF(_xlfn.XLOOKUP($B78,'ELC TECH'!$H:$H,'ELC TECH'!$E:$E)="Storage","",IF(_xlfn.XLOOKUP($B78,'ELC TECH'!$H:$H,'ELC TECH'!AP:AP)="",1,_xlfn.XLOOKUP($B78,'ELC TECH'!$H:$H,'ELC TECH'!AP:AP)))</f>
        <v/>
      </c>
      <c r="P78" s="12" t="str">
        <f>IF(_xlfn.XLOOKUP($B78,'ELC TECH'!$H:$H,'ELC TECH'!$E:$E)="Storage","",IF(_xlfn.XLOOKUP($B78,'ELC TECH'!$H:$H,'ELC TECH'!AQ:AQ)="",1,_xlfn.XLOOKUP($B78,'ELC TECH'!$H:$H,'ELC TECH'!AQ:AQ)))</f>
        <v/>
      </c>
      <c r="Q78" s="12" t="str">
        <f>IF(_xlfn.XLOOKUP($B78,'ELC TECH'!$H:$H,'ELC TECH'!$E:$E)="Storage","",IF(_xlfn.XLOOKUP($B78,'ELC TECH'!$H:$H,'ELC TECH'!AR:AR)="",1,_xlfn.XLOOKUP($B78,'ELC TECH'!$H:$H,'ELC TECH'!AR:AR)))</f>
        <v/>
      </c>
      <c r="R78" s="12">
        <f>IF(_xlfn.XLOOKUP($B78,'ELC TECH'!$H:$H,'ELC TECH'!$E:$E)&lt;&gt;"Storage","",IF(_xlfn.XLOOKUP($B78,'ELC TECH'!$H:$H,'ELC TECH'!AK:AK)="",0.8,_xlfn.XLOOKUP($B78,'ELC TECH'!$H:$H,'ELC TECH'!AK:AK)))</f>
        <v>0.8</v>
      </c>
      <c r="S78" s="12">
        <f>IF(_xlfn.XLOOKUP($B78,'ELC TECH'!$H:$H,'ELC TECH'!$E:$E)&lt;&gt;"Storage","",IF(_xlfn.XLOOKUP($B78,'ELC TECH'!$H:$H,'ELC TECH'!AL:AL)="",0.8,_xlfn.XLOOKUP($B78,'ELC TECH'!$H:$H,'ELC TECH'!AL:AL)))</f>
        <v>0.8</v>
      </c>
      <c r="T78" s="12">
        <f>IF(_xlfn.XLOOKUP($B78,'ELC TECH'!$H:$H,'ELC TECH'!$E:$E)&lt;&gt;"Storage","",IF(_xlfn.XLOOKUP($B78,'ELC TECH'!$H:$H,'ELC TECH'!AM:AM)="",0.8,_xlfn.XLOOKUP($B78,'ELC TECH'!$H:$H,'ELC TECH'!AM:AM)))</f>
        <v>0.8</v>
      </c>
      <c r="U78" s="12">
        <f>IF(_xlfn.XLOOKUP($B78,'ELC TECH'!$H:$H,'ELC TECH'!$E:$E)&lt;&gt;"Storage","",IF(_xlfn.XLOOKUP($B78,'ELC TECH'!$H:$H,'ELC TECH'!AN:AN)="",0.8,_xlfn.XLOOKUP($B78,'ELC TECH'!$H:$H,'ELC TECH'!AN:AN)))</f>
        <v>0.8</v>
      </c>
      <c r="V78" s="12">
        <f>IF(_xlfn.XLOOKUP($B78,'ELC TECH'!$H:$H,'ELC TECH'!$E:$E)&lt;&gt;"Storage","",IF(_xlfn.XLOOKUP($B78,'ELC TECH'!$H:$H,'ELC TECH'!AO:AO)="",0.8,_xlfn.XLOOKUP($B78,'ELC TECH'!$H:$H,'ELC TECH'!AO:AO)))</f>
        <v>0.8</v>
      </c>
      <c r="W78" s="12">
        <f>IF(_xlfn.XLOOKUP($B78,'ELC TECH'!$H:$H,'ELC TECH'!$E:$E)&lt;&gt;"Storage","",IF(_xlfn.XLOOKUP($B78,'ELC TECH'!$H:$H,'ELC TECH'!AP:AP)="",0.8,_xlfn.XLOOKUP($B78,'ELC TECH'!$H:$H,'ELC TECH'!AP:AP)))</f>
        <v>0.8</v>
      </c>
      <c r="X78" s="12">
        <f>IF(_xlfn.XLOOKUP($B78,'ELC TECH'!$H:$H,'ELC TECH'!$E:$E)&lt;&gt;"Storage","",IF(_xlfn.XLOOKUP($B78,'ELC TECH'!$H:$H,'ELC TECH'!AQ:AQ)="",0.8,_xlfn.XLOOKUP($B78,'ELC TECH'!$H:$H,'ELC TECH'!AQ:AQ)))</f>
        <v>0.8</v>
      </c>
      <c r="Y78" s="12">
        <f>IF(_xlfn.XLOOKUP($B78,'ELC TECH'!$H:$H,'ELC TECH'!$E:$E)&lt;&gt;"Storage","",IF(_xlfn.XLOOKUP($B78,'ELC TECH'!$H:$H,'ELC TECH'!AR:AR)="",0.8,_xlfn.XLOOKUP($B78,'ELC TECH'!$H:$H,'ELC TECH'!AR:AR)))</f>
        <v>0.8</v>
      </c>
      <c r="Z78" s="15">
        <f>_xlfn.XLOOKUP($B78,'ELC TECH'!$H:$H,'ELC TECH'!M:M)</f>
        <v>4311.6896102347882</v>
      </c>
      <c r="AA78" s="15">
        <f>_xlfn.XLOOKUP($B78,'ELC TECH'!$H:$H,'ELC TECH'!N:N)</f>
        <v>4311.6896102347882</v>
      </c>
      <c r="AB78" s="15">
        <f>_xlfn.XLOOKUP($B78,'ELC TECH'!$H:$H,'ELC TECH'!O:O)</f>
        <v>4311.6896102347882</v>
      </c>
      <c r="AC78" s="15">
        <f>_xlfn.XLOOKUP($B78,'ELC TECH'!$H:$H,'ELC TECH'!P:P)</f>
        <v>4311.6896102347882</v>
      </c>
      <c r="AD78" s="15">
        <f>_xlfn.XLOOKUP($B78,'ELC TECH'!$H:$H,'ELC TECH'!Q:Q)</f>
        <v>4311.6896102347882</v>
      </c>
      <c r="AE78" s="15">
        <f>_xlfn.XLOOKUP($B78,'ELC TECH'!$H:$H,'ELC TECH'!R:R)</f>
        <v>4311.6896102347882</v>
      </c>
      <c r="AF78" s="15">
        <f>_xlfn.XLOOKUP($B78,'ELC TECH'!$H:$H,'ELC TECH'!S:S)</f>
        <v>4311.6896102347882</v>
      </c>
      <c r="AG78" s="15">
        <f>_xlfn.XLOOKUP($B78,'ELC TECH'!$H:$H,'ELC TECH'!T:T)</f>
        <v>4311.6896102347882</v>
      </c>
      <c r="AH78" s="15">
        <f>_xlfn.XLOOKUP($B78,'ELC TECH'!$H:$H,'ELC TECH'!U:U)</f>
        <v>21.100097091380029</v>
      </c>
      <c r="AI78" s="15">
        <f>_xlfn.XLOOKUP($B78,'ELC TECH'!$H:$H,'ELC TECH'!V:V)</f>
        <v>21.100097091380029</v>
      </c>
      <c r="AJ78" s="15">
        <f>_xlfn.XLOOKUP($B78,'ELC TECH'!$H:$H,'ELC TECH'!W:W)</f>
        <v>21.100097091380029</v>
      </c>
      <c r="AK78" s="15">
        <f>_xlfn.XLOOKUP($B78,'ELC TECH'!$H:$H,'ELC TECH'!X:X)</f>
        <v>21.100097091380029</v>
      </c>
      <c r="AL78" s="15">
        <f>_xlfn.XLOOKUP($B78,'ELC TECH'!$H:$H,'ELC TECH'!Y:Y)</f>
        <v>21.100097091380029</v>
      </c>
      <c r="AM78" s="15">
        <f>_xlfn.XLOOKUP($B78,'ELC TECH'!$H:$H,'ELC TECH'!Z:Z)</f>
        <v>21.100097091380029</v>
      </c>
      <c r="AN78" s="15">
        <f>_xlfn.XLOOKUP($B78,'ELC TECH'!$H:$H,'ELC TECH'!AA:AA)</f>
        <v>21.100097091380029</v>
      </c>
      <c r="AO78" s="15">
        <f>_xlfn.XLOOKUP($B78,'ELC TECH'!$H:$H,'ELC TECH'!AB:AB)</f>
        <v>21.100097091380029</v>
      </c>
      <c r="AP78" s="15">
        <f>_xlfn.XLOOKUP($B78,'ELC TECH'!$H:$H,'ELC TECH'!AC:AC)</f>
        <v>0.1696149283872993</v>
      </c>
      <c r="AQ78" s="15">
        <f>_xlfn.XLOOKUP($B78,'ELC TECH'!$H:$H,'ELC TECH'!AD:AD)</f>
        <v>0.1696149283872993</v>
      </c>
      <c r="AR78" s="15">
        <f>_xlfn.XLOOKUP($B78,'ELC TECH'!$H:$H,'ELC TECH'!AE:AE)</f>
        <v>0.1696149283872993</v>
      </c>
      <c r="AS78" s="15">
        <f>_xlfn.XLOOKUP($B78,'ELC TECH'!$H:$H,'ELC TECH'!AF:AF)</f>
        <v>0.1696149283872993</v>
      </c>
      <c r="AT78" s="15">
        <f>_xlfn.XLOOKUP($B78,'ELC TECH'!$H:$H,'ELC TECH'!AG:AG)</f>
        <v>0.1696149283872993</v>
      </c>
      <c r="AU78" s="15">
        <f>_xlfn.XLOOKUP($B78,'ELC TECH'!$H:$H,'ELC TECH'!AH:AH)</f>
        <v>0.1696149283872993</v>
      </c>
      <c r="AV78" s="15">
        <f>_xlfn.XLOOKUP($B78,'ELC TECH'!$H:$H,'ELC TECH'!AI:AI)</f>
        <v>0.1696149283872993</v>
      </c>
      <c r="AW78" s="15">
        <f>_xlfn.XLOOKUP($B78,'ELC TECH'!$H:$H,'ELC TECH'!AJ:AJ)</f>
        <v>0.1696149283872993</v>
      </c>
      <c r="AX78" s="12" t="str">
        <f>IF(_xlfn.XLOOKUP($B78,'ELC TECH'!$H:$H,'ELC TECH'!$E:$E)="Storage","",_xlfn.XLOOKUP($B78,'ELC TECH'!$H:$H,'ELC TECH'!AS:AS))</f>
        <v/>
      </c>
      <c r="AY78" s="12" t="str">
        <f>IF(_xlfn.XLOOKUP($B78,'ELC TECH'!$H:$H,'ELC TECH'!$E:$E)="Storage","",_xlfn.XLOOKUP($B78,'ELC TECH'!$H:$H,'ELC TECH'!AT:AT))</f>
        <v/>
      </c>
      <c r="AZ78" s="12" t="str">
        <f>IF(_xlfn.XLOOKUP($B78,'ELC TECH'!$H:$H,'ELC TECH'!$E:$E)="Storage","",_xlfn.XLOOKUP($B78,'ELC TECH'!$H:$H,'ELC TECH'!AU:AU))</f>
        <v/>
      </c>
      <c r="BA78" s="12" t="str">
        <f>IF(_xlfn.XLOOKUP($B78,'ELC TECH'!$H:$H,'ELC TECH'!$E:$E)="Storage","",_xlfn.XLOOKUP($B78,'ELC TECH'!$H:$H,'ELC TECH'!AV:AV))</f>
        <v/>
      </c>
      <c r="BB78" s="12" t="str">
        <f>IF(_xlfn.XLOOKUP($B78,'ELC TECH'!$H:$H,'ELC TECH'!$E:$E)="Storage","",_xlfn.XLOOKUP($B78,'ELC TECH'!$H:$H,'ELC TECH'!AW:AW))</f>
        <v/>
      </c>
      <c r="BC78" s="12" t="str">
        <f>IF(_xlfn.XLOOKUP($B78,'ELC TECH'!$H:$H,'ELC TECH'!$E:$E)="Storage","",_xlfn.XLOOKUP($B78,'ELC TECH'!$H:$H,'ELC TECH'!AX:AX))</f>
        <v/>
      </c>
      <c r="BD78" s="12" t="str">
        <f>IF(_xlfn.XLOOKUP($B78,'ELC TECH'!$H:$H,'ELC TECH'!$E:$E)="Storage","",_xlfn.XLOOKUP($B78,'ELC TECH'!$H:$H,'ELC TECH'!AY:AY))</f>
        <v/>
      </c>
      <c r="BE78" s="12" t="str">
        <f>IF(_xlfn.XLOOKUP($B78,'ELC TECH'!$H:$H,'ELC TECH'!$E:$E)="Storage","",_xlfn.XLOOKUP($B78,'ELC TECH'!$H:$H,'ELC TECH'!AZ:AZ))</f>
        <v/>
      </c>
      <c r="BF78" s="12">
        <f>IF(_xlfn.XLOOKUP($B78,'ELC TECH'!$H:$H,'ELC TECH'!$E:$E)="Storage",_xlfn.XLOOKUP($B78,'ELC TECH'!$H:$H,'ELC TECH'!AS:AS),"")</f>
        <v>0.33333333333333331</v>
      </c>
      <c r="BG78" s="12">
        <f>IF(_xlfn.XLOOKUP($B78,'ELC TECH'!$H:$H,'ELC TECH'!$E:$E)="Storage",_xlfn.XLOOKUP($B78,'ELC TECH'!$H:$H,'ELC TECH'!AT:AT),"")</f>
        <v>0.33333333333333331</v>
      </c>
      <c r="BH78" s="12">
        <f>IF(_xlfn.XLOOKUP($B78,'ELC TECH'!$H:$H,'ELC TECH'!$E:$E)="Storage",_xlfn.XLOOKUP($B78,'ELC TECH'!$H:$H,'ELC TECH'!AU:AU),"")</f>
        <v>0.33333333333333331</v>
      </c>
      <c r="BI78" s="12">
        <f>IF(_xlfn.XLOOKUP($B78,'ELC TECH'!$H:$H,'ELC TECH'!$E:$E)="Storage",_xlfn.XLOOKUP($B78,'ELC TECH'!$H:$H,'ELC TECH'!AV:AV),"")</f>
        <v>0.33333333333333331</v>
      </c>
      <c r="BJ78" s="12">
        <f>IF(_xlfn.XLOOKUP($B78,'ELC TECH'!$H:$H,'ELC TECH'!$E:$E)="Storage",_xlfn.XLOOKUP($B78,'ELC TECH'!$H:$H,'ELC TECH'!AW:AW),"")</f>
        <v>0.33333333333333331</v>
      </c>
      <c r="BK78" s="12">
        <f>IF(_xlfn.XLOOKUP($B78,'ELC TECH'!$H:$H,'ELC TECH'!$E:$E)="Storage",_xlfn.XLOOKUP($B78,'ELC TECH'!$H:$H,'ELC TECH'!AX:AX),"")</f>
        <v>0.33333333333333331</v>
      </c>
      <c r="BL78" s="12">
        <f>IF(_xlfn.XLOOKUP($B78,'ELC TECH'!$H:$H,'ELC TECH'!$E:$E)="Storage",_xlfn.XLOOKUP($B78,'ELC TECH'!$H:$H,'ELC TECH'!AY:AY),"")</f>
        <v>0.33333333333333331</v>
      </c>
      <c r="BM78" s="12">
        <f>IF(_xlfn.XLOOKUP($B78,'ELC TECH'!$H:$H,'ELC TECH'!$E:$E)="Storage",_xlfn.XLOOKUP($B78,'ELC TECH'!$H:$H,'ELC TECH'!AZ:AZ),"")</f>
        <v>0.33333333333333331</v>
      </c>
      <c r="BN78" s="8" t="str">
        <f>IF(_xlfn.XLOOKUP($B78,'ELC TECH'!$H:$H,'ELC TECH'!$E:$E)="Non Dispatchable",IFERROR($AX78*_xlfn.XLOOKUP($C78,$BM$1:$BM$3,BN$1:BN$3)/SUMPRODUCT(_xlfn.XLOOKUP($C78,$BM$1:$BM$3,$BN$1:$BY$3),$BN$4:$BY$4),""),
"")</f>
        <v/>
      </c>
      <c r="BO78" s="8" t="str">
        <f>IF(_xlfn.XLOOKUP($B78,'ELC TECH'!$H:$H,'ELC TECH'!$E:$E)="Non Dispatchable",IFERROR($AX78*_xlfn.XLOOKUP($C78,$BM$1:$BM$3,BO$1:BO$3)/SUMPRODUCT(_xlfn.XLOOKUP($C78,$BM$1:$BM$3,$BN$1:$BY$3),$BN$4:$BY$4),""),
"")</f>
        <v/>
      </c>
      <c r="BP78" s="8" t="str">
        <f>IF(_xlfn.XLOOKUP($B78,'ELC TECH'!$H:$H,'ELC TECH'!$E:$E)="Non Dispatchable",IFERROR($AX78*_xlfn.XLOOKUP($C78,$BM$1:$BM$3,BP$1:BP$3)/SUMPRODUCT(_xlfn.XLOOKUP($C78,$BM$1:$BM$3,$BN$1:$BY$3),$BN$4:$BY$4),""),
"")</f>
        <v/>
      </c>
      <c r="BQ78" s="8" t="str">
        <f>IF(_xlfn.XLOOKUP($B78,'ELC TECH'!$H:$H,'ELC TECH'!$E:$E)="Non Dispatchable",IFERROR($AX78*_xlfn.XLOOKUP($C78,$BM$1:$BM$3,BQ$1:BQ$3)/SUMPRODUCT(_xlfn.XLOOKUP($C78,$BM$1:$BM$3,$BN$1:$BY$3),$BN$4:$BY$4),""),
"")</f>
        <v/>
      </c>
      <c r="BR78" s="8" t="str">
        <f>IF(_xlfn.XLOOKUP($B78,'ELC TECH'!$H:$H,'ELC TECH'!$E:$E)="Non Dispatchable",IFERROR($AX78*_xlfn.XLOOKUP($C78,$BM$1:$BM$3,BR$1:BR$3)/SUMPRODUCT(_xlfn.XLOOKUP($C78,$BM$1:$BM$3,$BN$1:$BY$3),$BN$4:$BY$4),""),
"")</f>
        <v/>
      </c>
      <c r="BS78" s="8" t="str">
        <f>IF(_xlfn.XLOOKUP($B78,'ELC TECH'!$H:$H,'ELC TECH'!$E:$E)="Non Dispatchable",IFERROR($AX78*_xlfn.XLOOKUP($C78,$BM$1:$BM$3,BS$1:BS$3)/SUMPRODUCT(_xlfn.XLOOKUP($C78,$BM$1:$BM$3,$BN$1:$BY$3),$BN$4:$BY$4),""),
"")</f>
        <v/>
      </c>
      <c r="BT78" s="8" t="str">
        <f>IF(_xlfn.XLOOKUP($B78,'ELC TECH'!$H:$H,'ELC TECH'!$E:$E)="Non Dispatchable",IFERROR($AX78*_xlfn.XLOOKUP($C78,$BM$1:$BM$3,BT$1:BT$3)/SUMPRODUCT(_xlfn.XLOOKUP($C78,$BM$1:$BM$3,$BN$1:$BY$3),$BN$4:$BY$4),""),
"")</f>
        <v/>
      </c>
      <c r="BU78" s="8" t="str">
        <f>IF(_xlfn.XLOOKUP($B78,'ELC TECH'!$H:$H,'ELC TECH'!$E:$E)="Non Dispatchable",IFERROR($AX78*_xlfn.XLOOKUP($C78,$BM$1:$BM$3,BU$1:BU$3)/SUMPRODUCT(_xlfn.XLOOKUP($C78,$BM$1:$BM$3,$BN$1:$BY$3),$BN$4:$BY$4),""),
"")</f>
        <v/>
      </c>
      <c r="BV78" s="8" t="str">
        <f>IF(_xlfn.XLOOKUP($B78,'ELC TECH'!$H:$H,'ELC TECH'!$E:$E)="Non Dispatchable",IFERROR($AX78*_xlfn.XLOOKUP($C78,$BM$1:$BM$3,BV$1:BV$3)/SUMPRODUCT(_xlfn.XLOOKUP($C78,$BM$1:$BM$3,$BN$1:$BY$3),$BN$4:$BY$4),""),
"")</f>
        <v/>
      </c>
      <c r="BW78" s="8" t="str">
        <f>IF(_xlfn.XLOOKUP($B78,'ELC TECH'!$H:$H,'ELC TECH'!$E:$E)="Non Dispatchable",IFERROR($AX78*_xlfn.XLOOKUP($C78,$BM$1:$BM$3,BW$1:BW$3)/SUMPRODUCT(_xlfn.XLOOKUP($C78,$BM$1:$BM$3,$BN$1:$BY$3),$BN$4:$BY$4),""),
"")</f>
        <v/>
      </c>
      <c r="BX78" s="8" t="str">
        <f>IF(_xlfn.XLOOKUP($B78,'ELC TECH'!$H:$H,'ELC TECH'!$E:$E)="Non Dispatchable",IFERROR($AX78*_xlfn.XLOOKUP($C78,$BM$1:$BM$3,BX$1:BX$3)/SUMPRODUCT(_xlfn.XLOOKUP($C78,$BM$1:$BM$3,$BN$1:$BY$3),$BN$4:$BY$4),""),
"")</f>
        <v/>
      </c>
      <c r="BY78" s="8" t="str">
        <f>IF(_xlfn.XLOOKUP($B78,'ELC TECH'!$H:$H,'ELC TECH'!$E:$E)="Non Dispatchable",IFERROR($AX78*_xlfn.XLOOKUP($C78,$BM$1:$BM$3,BY$1:BY$3)/SUMPRODUCT(_xlfn.XLOOKUP($C78,$BM$1:$BM$3,$BN$1:$BY$3),$BN$4:$BY$4),""),
"")</f>
        <v/>
      </c>
      <c r="BZ78" s="8" t="str">
        <f>IF(_xlfn.XLOOKUP($B78,'ELC TECH'!$H:$H,'ELC TECH'!$E:$E)="Non Dispatchable",IFERROR($AX78*_xlfn.XLOOKUP($C78,$BM$1:$BM$3,BZ$1:BZ$3)/SUMPRODUCT(_xlfn.XLOOKUP($C78,$BM$1:$BM$3,$BN$1:$BY$3),$BN$4:$BY$4),""),
"")</f>
        <v/>
      </c>
      <c r="CA78" s="8" t="str">
        <f>IF(_xlfn.XLOOKUP($B78,'ELC TECH'!$H:$H,'ELC TECH'!$E:$E)="Non Dispatchable",IFERROR($AX78*_xlfn.XLOOKUP($C78,$BM$1:$BM$3,CA$1:CA$3)/SUMPRODUCT(_xlfn.XLOOKUP($C78,$BM$1:$BM$3,$BN$1:$BY$3),$BN$4:$BY$4),""),
"")</f>
        <v/>
      </c>
      <c r="CB78" s="8" t="str">
        <f>IF(_xlfn.XLOOKUP($B78,'ELC TECH'!$H:$H,'ELC TECH'!$E:$E)="Non Dispatchable",IFERROR($AX78*_xlfn.XLOOKUP($C78,$BM$1:$BM$3,CB$1:CB$3)/SUMPRODUCT(_xlfn.XLOOKUP($C78,$BM$1:$BM$3,$BN$1:$BY$3),$BN$4:$BY$4),""),
"")</f>
        <v/>
      </c>
      <c r="CC78" s="8" t="str">
        <f>IF(_xlfn.XLOOKUP($B78,'ELC TECH'!$H:$H,'ELC TECH'!$E:$E)="Non Dispatchable",IFERROR($AX78*_xlfn.XLOOKUP($C78,$BM$1:$BM$3,CC$1:CC$3)/SUMPRODUCT(_xlfn.XLOOKUP($C78,$BM$1:$BM$3,$BN$1:$BY$3),$BN$4:$BY$4),""),
"")</f>
        <v/>
      </c>
      <c r="CD78" s="8" t="str">
        <f>IF(_xlfn.XLOOKUP($B78,'ELC TECH'!$H:$H,'ELC TECH'!$E:$E)="Non Dispatchable",IFERROR($AX78*_xlfn.XLOOKUP($C78,$BM$1:$BM$3,CD$1:CD$3)/SUMPRODUCT(_xlfn.XLOOKUP($C78,$BM$1:$BM$3,$BN$1:$BY$3),$BN$4:$BY$4),""),
"")</f>
        <v/>
      </c>
      <c r="CE78" s="8" t="str">
        <f>IF(_xlfn.XLOOKUP($B78,'ELC TECH'!$H:$H,'ELC TECH'!$E:$E)="Non Dispatchable",IFERROR($AX78*_xlfn.XLOOKUP($C78,$BM$1:$BM$3,CE$1:CE$3)/SUMPRODUCT(_xlfn.XLOOKUP($C78,$BM$1:$BM$3,$BN$1:$BY$3),$BN$4:$BY$4),""),
"")</f>
        <v/>
      </c>
      <c r="CF78" s="8" t="str">
        <f>IF(_xlfn.XLOOKUP($B78,'ELC TECH'!$H:$H,'ELC TECH'!$E:$E)="Non Dispatchable",IFERROR($AX78*_xlfn.XLOOKUP($C78,$BM$1:$BM$3,CF$1:CF$3)/SUMPRODUCT(_xlfn.XLOOKUP($C78,$BM$1:$BM$3,$BN$1:$BY$3),$BN$4:$BY$4),""),
"")</f>
        <v/>
      </c>
      <c r="CG78" s="8" t="str">
        <f>IF(_xlfn.XLOOKUP($B78,'ELC TECH'!$H:$H,'ELC TECH'!$E:$E)="Non Dispatchable",IFERROR($AX78*_xlfn.XLOOKUP($C78,$BM$1:$BM$3,CG$1:CG$3)/SUMPRODUCT(_xlfn.XLOOKUP($C78,$BM$1:$BM$3,$BN$1:$BY$3),$BN$4:$BY$4),""),
"")</f>
        <v/>
      </c>
      <c r="CH78" s="8" t="str">
        <f>IF(_xlfn.XLOOKUP($B78,'ELC TECH'!$H:$H,'ELC TECH'!$E:$E)="Non Dispatchable",IFERROR($AX78*_xlfn.XLOOKUP($C78,$BM$1:$BM$3,CH$1:CH$3)/SUMPRODUCT(_xlfn.XLOOKUP($C78,$BM$1:$BM$3,$BN$1:$BY$3),$BN$4:$BY$4),""),
"")</f>
        <v/>
      </c>
      <c r="CI78" s="8" t="str">
        <f>IF(_xlfn.XLOOKUP($B78,'ELC TECH'!$H:$H,'ELC TECH'!$E:$E)="Non Dispatchable",IFERROR($AX78*_xlfn.XLOOKUP($C78,$BM$1:$BM$3,CI$1:CI$3)/SUMPRODUCT(_xlfn.XLOOKUP($C78,$BM$1:$BM$3,$BN$1:$BY$3),$BN$4:$BY$4),""),
"")</f>
        <v/>
      </c>
      <c r="CJ78" s="8" t="str">
        <f>IF(_xlfn.XLOOKUP($B78,'ELC TECH'!$H:$H,'ELC TECH'!$E:$E)="Non Dispatchable",IFERROR($AX78*_xlfn.XLOOKUP($C78,$BM$1:$BM$3,CJ$1:CJ$3)/SUMPRODUCT(_xlfn.XLOOKUP($C78,$BM$1:$BM$3,$BN$1:$BY$3),$BN$4:$BY$4),""),
"")</f>
        <v/>
      </c>
      <c r="CK78" s="8" t="str">
        <f>IF(_xlfn.XLOOKUP($B78,'ELC TECH'!$H:$H,'ELC TECH'!$E:$E)="Non Dispatchable",IFERROR($AX78*_xlfn.XLOOKUP($C78,$BM$1:$BM$3,CK$1:CK$3)/SUMPRODUCT(_xlfn.XLOOKUP($C78,$BM$1:$BM$3,$BN$1:$BY$3),$BN$4:$BY$4),""),
"")</f>
        <v/>
      </c>
      <c r="CL78" s="8">
        <f>IF(_xlfn.XLOOKUP($B78,'ELC TECH'!$H:$H,'ELC TECH'!$E:$E)="Storage",CL$4*$BF78,"")</f>
        <v>2.7399999999999997E-2</v>
      </c>
      <c r="CM78" s="8">
        <f>IF(_xlfn.XLOOKUP($B78,'ELC TECH'!$H:$H,'ELC TECH'!$E:$E)="Storage",CM$4*$BF78,"")</f>
        <v>3.1899999999999998E-2</v>
      </c>
      <c r="CN78" s="8">
        <f>IF(_xlfn.XLOOKUP($B78,'ELC TECH'!$H:$H,'ELC TECH'!$E:$E)="Storage",CN$4*$BF78,"")</f>
        <v>5.1066666666666663E-2</v>
      </c>
      <c r="CO78" s="8">
        <f>IF(_xlfn.XLOOKUP($B78,'ELC TECH'!$H:$H,'ELC TECH'!$E:$E)="Storage",CO$4*$BF78,"")</f>
        <v>1.0666666666666667E-3</v>
      </c>
      <c r="CP78" s="8">
        <f>IF(_xlfn.XLOOKUP($B78,'ELC TECH'!$H:$H,'ELC TECH'!$E:$E)="Storage",CP$4*$BF78,"")</f>
        <v>2.7166666666666665E-2</v>
      </c>
      <c r="CQ78" s="8">
        <f>IF(_xlfn.XLOOKUP($B78,'ELC TECH'!$H:$H,'ELC TECH'!$E:$E)="Storage",CQ$4*$BF78,"")</f>
        <v>3.6233333333333333E-2</v>
      </c>
      <c r="CR78" s="8">
        <f>IF(_xlfn.XLOOKUP($B78,'ELC TECH'!$H:$H,'ELC TECH'!$E:$E)="Storage",CR$4*$BF78,"")</f>
        <v>4.6033333333333329E-2</v>
      </c>
      <c r="CS78" s="8">
        <f>IF(_xlfn.XLOOKUP($B78,'ELC TECH'!$H:$H,'ELC TECH'!$E:$E)="Storage",CS$4*$BF78,"")</f>
        <v>1.0666666666666667E-3</v>
      </c>
      <c r="CT78" s="8">
        <f>IF(_xlfn.XLOOKUP($B78,'ELC TECH'!$H:$H,'ELC TECH'!$E:$E)="Storage",CT$4*$BF78,"")</f>
        <v>3.2500000000000001E-2</v>
      </c>
      <c r="CU78" s="8">
        <f>IF(_xlfn.XLOOKUP($B78,'ELC TECH'!$H:$H,'ELC TECH'!$E:$E)="Storage",CU$4*$BF78,"")</f>
        <v>3.6233333333333333E-2</v>
      </c>
      <c r="CV78" s="8">
        <f>IF(_xlfn.XLOOKUP($B78,'ELC TECH'!$H:$H,'ELC TECH'!$E:$E)="Storage",CV$4*$BF78,"")</f>
        <v>4.176666666666666E-2</v>
      </c>
      <c r="CW78" s="8">
        <f>IF(_xlfn.XLOOKUP($B78,'ELC TECH'!$H:$H,'ELC TECH'!$E:$E)="Storage",CW$4*$BF78,"")</f>
        <v>8.9999999999999998E-4</v>
      </c>
      <c r="CX78" s="8">
        <f>IF(_xlfn.XLOOKUP($B78,'ELC TECH'!$H:$H,'ELC TECH'!$E:$E)="Storage",CX$4*$BF78,"")</f>
        <v>2.7399999999999997E-2</v>
      </c>
      <c r="CY78" s="8">
        <f>IF(_xlfn.XLOOKUP($B78,'ELC TECH'!$H:$H,'ELC TECH'!$E:$E)="Storage",CY$4*$BF78,"")</f>
        <v>3.1899999999999998E-2</v>
      </c>
      <c r="CZ78" s="8">
        <f>IF(_xlfn.XLOOKUP($B78,'ELC TECH'!$H:$H,'ELC TECH'!$E:$E)="Storage",CZ$4*$BF78,"")</f>
        <v>5.1066666666666663E-2</v>
      </c>
      <c r="DA78" s="8">
        <f>IF(_xlfn.XLOOKUP($B78,'ELC TECH'!$H:$H,'ELC TECH'!$E:$E)="Storage",DA$4*$BF78,"")</f>
        <v>1.0666666666666667E-3</v>
      </c>
      <c r="DB78" s="8">
        <f>IF(_xlfn.XLOOKUP($B78,'ELC TECH'!$H:$H,'ELC TECH'!$E:$E)="Storage",DB$4*$BF78,"")</f>
        <v>2.7166666666666665E-2</v>
      </c>
      <c r="DC78" s="8">
        <f>IF(_xlfn.XLOOKUP($B78,'ELC TECH'!$H:$H,'ELC TECH'!$E:$E)="Storage",DC$4*$BF78,"")</f>
        <v>3.6233333333333333E-2</v>
      </c>
      <c r="DD78" s="8">
        <f>IF(_xlfn.XLOOKUP($B78,'ELC TECH'!$H:$H,'ELC TECH'!$E:$E)="Storage",DD$4*$BF78,"")</f>
        <v>4.6033333333333329E-2</v>
      </c>
      <c r="DE78" s="8">
        <f>IF(_xlfn.XLOOKUP($B78,'ELC TECH'!$H:$H,'ELC TECH'!$E:$E)="Storage",DE$4*$BF78,"")</f>
        <v>1.0666666666666667E-3</v>
      </c>
      <c r="DF78" s="8">
        <f>IF(_xlfn.XLOOKUP($B78,'ELC TECH'!$H:$H,'ELC TECH'!$E:$E)="Storage",DF$4*$BF78,"")</f>
        <v>3.2500000000000001E-2</v>
      </c>
      <c r="DG78" s="8">
        <f>IF(_xlfn.XLOOKUP($B78,'ELC TECH'!$H:$H,'ELC TECH'!$E:$E)="Storage",DG$4*$BF78,"")</f>
        <v>3.6233333333333333E-2</v>
      </c>
      <c r="DH78" s="8">
        <f>IF(_xlfn.XLOOKUP($B78,'ELC TECH'!$H:$H,'ELC TECH'!$E:$E)="Storage",DH$4*$BF78,"")</f>
        <v>4.176666666666666E-2</v>
      </c>
      <c r="DI78" s="8">
        <f>IF(_xlfn.XLOOKUP($B78,'ELC TECH'!$H:$H,'ELC TECH'!$E:$E)="Storage",DI$4*$BF78,"")</f>
        <v>8.9999999999999998E-4</v>
      </c>
    </row>
    <row r="79" spans="2:113" x14ac:dyDescent="0.25">
      <c r="B79" t="str">
        <f>IF('ELC TECH'!I72=0,"*",'ELC TECH'!H72)</f>
        <v>ELCSTGGRDPSH8HC1420</v>
      </c>
      <c r="C79" t="str">
        <f>IF(_xlfn.XLOOKUP(_xlfn.XLOOKUP(B79,'ELC TECH'!$H:$H,'ELC TECH'!$G:$G),List!C:C,List!B:B)="STG",D79,"ELC"&amp;_xlfn.XLOOKUP(_xlfn.XLOOKUP(B79,'ELC TECH'!H:H,'ELC TECH'!G:G),List!C:C,List!B:B))</f>
        <v>CELC</v>
      </c>
      <c r="D79" t="s">
        <v>544</v>
      </c>
      <c r="E79">
        <f>_xlfn.XLOOKUP(B79,'ELC TECH'!H:H,'ELC TECH'!D:D)</f>
        <v>2020</v>
      </c>
      <c r="F79">
        <f>_xlfn.XLOOKUP(B79,'ELC TECH'!H:H,'ELC TECH'!K:K)</f>
        <v>100</v>
      </c>
      <c r="G79">
        <f t="shared" si="6"/>
        <v>31.535999999999998</v>
      </c>
      <c r="H79">
        <f>IF(_xlfn.XLOOKUP(B79,'ELC TECH'!$H:$H,'ELC TECH'!$E:$E)="Storage",0.3,IF(_xlfn.XLOOKUP(B79,'ELC TECH'!$H:$H,'ELC TECH'!$E:$E)="Baseload",0.9,IF(_xlfn.XLOOKUP(B79,'ELC TECH'!$H:$H,'ELC TECH'!$E:$E)="Non Dispatchable",0.05,IF(_xlfn.XLOOKUP(B79,'ELC TECH'!$H:$H,'ELC TECH'!$E:$E)="Dispatchable",0.9,1))))</f>
        <v>0.3</v>
      </c>
      <c r="I79" s="13">
        <f>IF(_xlfn.XLOOKUP(B79,'ELC TECH'!H:H,'ELC TECH'!J:J)="","",_xlfn.XLOOKUP(B79,'ELC TECH'!H:H,'ELC TECH'!J:J))</f>
        <v>0</v>
      </c>
      <c r="J79" s="12" t="str">
        <f>IF(_xlfn.XLOOKUP($B79,'ELC TECH'!$H:$H,'ELC TECH'!$E:$E)="Storage","",IF(_xlfn.XLOOKUP($B79,'ELC TECH'!$H:$H,'ELC TECH'!AK:AK)="",1,_xlfn.XLOOKUP($B79,'ELC TECH'!$H:$H,'ELC TECH'!AK:AK)))</f>
        <v/>
      </c>
      <c r="K79" s="12" t="str">
        <f>IF(_xlfn.XLOOKUP($B79,'ELC TECH'!$H:$H,'ELC TECH'!$E:$E)="Storage","",IF(_xlfn.XLOOKUP($B79,'ELC TECH'!$H:$H,'ELC TECH'!AL:AL)="",1,_xlfn.XLOOKUP($B79,'ELC TECH'!$H:$H,'ELC TECH'!AL:AL)))</f>
        <v/>
      </c>
      <c r="L79" s="12" t="str">
        <f>IF(_xlfn.XLOOKUP($B79,'ELC TECH'!$H:$H,'ELC TECH'!$E:$E)="Storage","",IF(_xlfn.XLOOKUP($B79,'ELC TECH'!$H:$H,'ELC TECH'!AM:AM)="",1,_xlfn.XLOOKUP($B79,'ELC TECH'!$H:$H,'ELC TECH'!AM:AM)))</f>
        <v/>
      </c>
      <c r="M79" s="12" t="str">
        <f>IF(_xlfn.XLOOKUP($B79,'ELC TECH'!$H:$H,'ELC TECH'!$E:$E)="Storage","",IF(_xlfn.XLOOKUP($B79,'ELC TECH'!$H:$H,'ELC TECH'!AN:AN)="",1,_xlfn.XLOOKUP($B79,'ELC TECH'!$H:$H,'ELC TECH'!AN:AN)))</f>
        <v/>
      </c>
      <c r="N79" s="12" t="str">
        <f>IF(_xlfn.XLOOKUP($B79,'ELC TECH'!$H:$H,'ELC TECH'!$E:$E)="Storage","",IF(_xlfn.XLOOKUP($B79,'ELC TECH'!$H:$H,'ELC TECH'!AO:AO)="",1,_xlfn.XLOOKUP($B79,'ELC TECH'!$H:$H,'ELC TECH'!AO:AO)))</f>
        <v/>
      </c>
      <c r="O79" s="12" t="str">
        <f>IF(_xlfn.XLOOKUP($B79,'ELC TECH'!$H:$H,'ELC TECH'!$E:$E)="Storage","",IF(_xlfn.XLOOKUP($B79,'ELC TECH'!$H:$H,'ELC TECH'!AP:AP)="",1,_xlfn.XLOOKUP($B79,'ELC TECH'!$H:$H,'ELC TECH'!AP:AP)))</f>
        <v/>
      </c>
      <c r="P79" s="12" t="str">
        <f>IF(_xlfn.XLOOKUP($B79,'ELC TECH'!$H:$H,'ELC TECH'!$E:$E)="Storage","",IF(_xlfn.XLOOKUP($B79,'ELC TECH'!$H:$H,'ELC TECH'!AQ:AQ)="",1,_xlfn.XLOOKUP($B79,'ELC TECH'!$H:$H,'ELC TECH'!AQ:AQ)))</f>
        <v/>
      </c>
      <c r="Q79" s="12" t="str">
        <f>IF(_xlfn.XLOOKUP($B79,'ELC TECH'!$H:$H,'ELC TECH'!$E:$E)="Storage","",IF(_xlfn.XLOOKUP($B79,'ELC TECH'!$H:$H,'ELC TECH'!AR:AR)="",1,_xlfn.XLOOKUP($B79,'ELC TECH'!$H:$H,'ELC TECH'!AR:AR)))</f>
        <v/>
      </c>
      <c r="R79" s="12">
        <f>IF(_xlfn.XLOOKUP($B79,'ELC TECH'!$H:$H,'ELC TECH'!$E:$E)&lt;&gt;"Storage","",IF(_xlfn.XLOOKUP($B79,'ELC TECH'!$H:$H,'ELC TECH'!AK:AK)="",0.8,_xlfn.XLOOKUP($B79,'ELC TECH'!$H:$H,'ELC TECH'!AK:AK)))</f>
        <v>0.8</v>
      </c>
      <c r="S79" s="12">
        <f>IF(_xlfn.XLOOKUP($B79,'ELC TECH'!$H:$H,'ELC TECH'!$E:$E)&lt;&gt;"Storage","",IF(_xlfn.XLOOKUP($B79,'ELC TECH'!$H:$H,'ELC TECH'!AL:AL)="",0.8,_xlfn.XLOOKUP($B79,'ELC TECH'!$H:$H,'ELC TECH'!AL:AL)))</f>
        <v>0.8</v>
      </c>
      <c r="T79" s="12">
        <f>IF(_xlfn.XLOOKUP($B79,'ELC TECH'!$H:$H,'ELC TECH'!$E:$E)&lt;&gt;"Storage","",IF(_xlfn.XLOOKUP($B79,'ELC TECH'!$H:$H,'ELC TECH'!AM:AM)="",0.8,_xlfn.XLOOKUP($B79,'ELC TECH'!$H:$H,'ELC TECH'!AM:AM)))</f>
        <v>0.8</v>
      </c>
      <c r="U79" s="12">
        <f>IF(_xlfn.XLOOKUP($B79,'ELC TECH'!$H:$H,'ELC TECH'!$E:$E)&lt;&gt;"Storage","",IF(_xlfn.XLOOKUP($B79,'ELC TECH'!$H:$H,'ELC TECH'!AN:AN)="",0.8,_xlfn.XLOOKUP($B79,'ELC TECH'!$H:$H,'ELC TECH'!AN:AN)))</f>
        <v>0.8</v>
      </c>
      <c r="V79" s="12">
        <f>IF(_xlfn.XLOOKUP($B79,'ELC TECH'!$H:$H,'ELC TECH'!$E:$E)&lt;&gt;"Storage","",IF(_xlfn.XLOOKUP($B79,'ELC TECH'!$H:$H,'ELC TECH'!AO:AO)="",0.8,_xlfn.XLOOKUP($B79,'ELC TECH'!$H:$H,'ELC TECH'!AO:AO)))</f>
        <v>0.8</v>
      </c>
      <c r="W79" s="12">
        <f>IF(_xlfn.XLOOKUP($B79,'ELC TECH'!$H:$H,'ELC TECH'!$E:$E)&lt;&gt;"Storage","",IF(_xlfn.XLOOKUP($B79,'ELC TECH'!$H:$H,'ELC TECH'!AP:AP)="",0.8,_xlfn.XLOOKUP($B79,'ELC TECH'!$H:$H,'ELC TECH'!AP:AP)))</f>
        <v>0.8</v>
      </c>
      <c r="X79" s="12">
        <f>IF(_xlfn.XLOOKUP($B79,'ELC TECH'!$H:$H,'ELC TECH'!$E:$E)&lt;&gt;"Storage","",IF(_xlfn.XLOOKUP($B79,'ELC TECH'!$H:$H,'ELC TECH'!AQ:AQ)="",0.8,_xlfn.XLOOKUP($B79,'ELC TECH'!$H:$H,'ELC TECH'!AQ:AQ)))</f>
        <v>0.8</v>
      </c>
      <c r="Y79" s="12">
        <f>IF(_xlfn.XLOOKUP($B79,'ELC TECH'!$H:$H,'ELC TECH'!$E:$E)&lt;&gt;"Storage","",IF(_xlfn.XLOOKUP($B79,'ELC TECH'!$H:$H,'ELC TECH'!AR:AR)="",0.8,_xlfn.XLOOKUP($B79,'ELC TECH'!$H:$H,'ELC TECH'!AR:AR)))</f>
        <v>0.8</v>
      </c>
      <c r="Z79" s="15">
        <f>_xlfn.XLOOKUP($B79,'ELC TECH'!$H:$H,'ELC TECH'!M:M)</f>
        <v>4496.5863120087033</v>
      </c>
      <c r="AA79" s="15">
        <f>_xlfn.XLOOKUP($B79,'ELC TECH'!$H:$H,'ELC TECH'!N:N)</f>
        <v>4496.5863120087033</v>
      </c>
      <c r="AB79" s="15">
        <f>_xlfn.XLOOKUP($B79,'ELC TECH'!$H:$H,'ELC TECH'!O:O)</f>
        <v>4496.5863120087033</v>
      </c>
      <c r="AC79" s="15">
        <f>_xlfn.XLOOKUP($B79,'ELC TECH'!$H:$H,'ELC TECH'!P:P)</f>
        <v>4496.5863120087033</v>
      </c>
      <c r="AD79" s="15">
        <f>_xlfn.XLOOKUP($B79,'ELC TECH'!$H:$H,'ELC TECH'!Q:Q)</f>
        <v>4496.5863120087033</v>
      </c>
      <c r="AE79" s="15">
        <f>_xlfn.XLOOKUP($B79,'ELC TECH'!$H:$H,'ELC TECH'!R:R)</f>
        <v>4496.5863120087033</v>
      </c>
      <c r="AF79" s="15">
        <f>_xlfn.XLOOKUP($B79,'ELC TECH'!$H:$H,'ELC TECH'!S:S)</f>
        <v>4496.5863120087033</v>
      </c>
      <c r="AG79" s="15">
        <f>_xlfn.XLOOKUP($B79,'ELC TECH'!$H:$H,'ELC TECH'!T:T)</f>
        <v>4496.5863120087033</v>
      </c>
      <c r="AH79" s="15">
        <f>_xlfn.XLOOKUP($B79,'ELC TECH'!$H:$H,'ELC TECH'!U:U)</f>
        <v>21.100097091380029</v>
      </c>
      <c r="AI79" s="15">
        <f>_xlfn.XLOOKUP($B79,'ELC TECH'!$H:$H,'ELC TECH'!V:V)</f>
        <v>21.100097091380029</v>
      </c>
      <c r="AJ79" s="15">
        <f>_xlfn.XLOOKUP($B79,'ELC TECH'!$H:$H,'ELC TECH'!W:W)</f>
        <v>21.100097091380029</v>
      </c>
      <c r="AK79" s="15">
        <f>_xlfn.XLOOKUP($B79,'ELC TECH'!$H:$H,'ELC TECH'!X:X)</f>
        <v>21.100097091380029</v>
      </c>
      <c r="AL79" s="15">
        <f>_xlfn.XLOOKUP($B79,'ELC TECH'!$H:$H,'ELC TECH'!Y:Y)</f>
        <v>21.100097091380029</v>
      </c>
      <c r="AM79" s="15">
        <f>_xlfn.XLOOKUP($B79,'ELC TECH'!$H:$H,'ELC TECH'!Z:Z)</f>
        <v>21.100097091380029</v>
      </c>
      <c r="AN79" s="15">
        <f>_xlfn.XLOOKUP($B79,'ELC TECH'!$H:$H,'ELC TECH'!AA:AA)</f>
        <v>21.100097091380029</v>
      </c>
      <c r="AO79" s="15">
        <f>_xlfn.XLOOKUP($B79,'ELC TECH'!$H:$H,'ELC TECH'!AB:AB)</f>
        <v>21.100097091380029</v>
      </c>
      <c r="AP79" s="15">
        <f>_xlfn.XLOOKUP($B79,'ELC TECH'!$H:$H,'ELC TECH'!AC:AC)</f>
        <v>0.1696149283872993</v>
      </c>
      <c r="AQ79" s="15">
        <f>_xlfn.XLOOKUP($B79,'ELC TECH'!$H:$H,'ELC TECH'!AD:AD)</f>
        <v>0.1696149283872993</v>
      </c>
      <c r="AR79" s="15">
        <f>_xlfn.XLOOKUP($B79,'ELC TECH'!$H:$H,'ELC TECH'!AE:AE)</f>
        <v>0.1696149283872993</v>
      </c>
      <c r="AS79" s="15">
        <f>_xlfn.XLOOKUP($B79,'ELC TECH'!$H:$H,'ELC TECH'!AF:AF)</f>
        <v>0.1696149283872993</v>
      </c>
      <c r="AT79" s="15">
        <f>_xlfn.XLOOKUP($B79,'ELC TECH'!$H:$H,'ELC TECH'!AG:AG)</f>
        <v>0.1696149283872993</v>
      </c>
      <c r="AU79" s="15">
        <f>_xlfn.XLOOKUP($B79,'ELC TECH'!$H:$H,'ELC TECH'!AH:AH)</f>
        <v>0.1696149283872993</v>
      </c>
      <c r="AV79" s="15">
        <f>_xlfn.XLOOKUP($B79,'ELC TECH'!$H:$H,'ELC TECH'!AI:AI)</f>
        <v>0.1696149283872993</v>
      </c>
      <c r="AW79" s="15">
        <f>_xlfn.XLOOKUP($B79,'ELC TECH'!$H:$H,'ELC TECH'!AJ:AJ)</f>
        <v>0.1696149283872993</v>
      </c>
      <c r="AX79" s="12" t="str">
        <f>IF(_xlfn.XLOOKUP($B79,'ELC TECH'!$H:$H,'ELC TECH'!$E:$E)="Storage","",_xlfn.XLOOKUP($B79,'ELC TECH'!$H:$H,'ELC TECH'!AS:AS))</f>
        <v/>
      </c>
      <c r="AY79" s="12" t="str">
        <f>IF(_xlfn.XLOOKUP($B79,'ELC TECH'!$H:$H,'ELC TECH'!$E:$E)="Storage","",_xlfn.XLOOKUP($B79,'ELC TECH'!$H:$H,'ELC TECH'!AT:AT))</f>
        <v/>
      </c>
      <c r="AZ79" s="12" t="str">
        <f>IF(_xlfn.XLOOKUP($B79,'ELC TECH'!$H:$H,'ELC TECH'!$E:$E)="Storage","",_xlfn.XLOOKUP($B79,'ELC TECH'!$H:$H,'ELC TECH'!AU:AU))</f>
        <v/>
      </c>
      <c r="BA79" s="12" t="str">
        <f>IF(_xlfn.XLOOKUP($B79,'ELC TECH'!$H:$H,'ELC TECH'!$E:$E)="Storage","",_xlfn.XLOOKUP($B79,'ELC TECH'!$H:$H,'ELC TECH'!AV:AV))</f>
        <v/>
      </c>
      <c r="BB79" s="12" t="str">
        <f>IF(_xlfn.XLOOKUP($B79,'ELC TECH'!$H:$H,'ELC TECH'!$E:$E)="Storage","",_xlfn.XLOOKUP($B79,'ELC TECH'!$H:$H,'ELC TECH'!AW:AW))</f>
        <v/>
      </c>
      <c r="BC79" s="12" t="str">
        <f>IF(_xlfn.XLOOKUP($B79,'ELC TECH'!$H:$H,'ELC TECH'!$E:$E)="Storage","",_xlfn.XLOOKUP($B79,'ELC TECH'!$H:$H,'ELC TECH'!AX:AX))</f>
        <v/>
      </c>
      <c r="BD79" s="12" t="str">
        <f>IF(_xlfn.XLOOKUP($B79,'ELC TECH'!$H:$H,'ELC TECH'!$E:$E)="Storage","",_xlfn.XLOOKUP($B79,'ELC TECH'!$H:$H,'ELC TECH'!AY:AY))</f>
        <v/>
      </c>
      <c r="BE79" s="12" t="str">
        <f>IF(_xlfn.XLOOKUP($B79,'ELC TECH'!$H:$H,'ELC TECH'!$E:$E)="Storage","",_xlfn.XLOOKUP($B79,'ELC TECH'!$H:$H,'ELC TECH'!AZ:AZ))</f>
        <v/>
      </c>
      <c r="BF79" s="12">
        <f>IF(_xlfn.XLOOKUP($B79,'ELC TECH'!$H:$H,'ELC TECH'!$E:$E)="Storage",_xlfn.XLOOKUP($B79,'ELC TECH'!$H:$H,'ELC TECH'!AS:AS),"")</f>
        <v>0.33333333333333331</v>
      </c>
      <c r="BG79" s="12">
        <f>IF(_xlfn.XLOOKUP($B79,'ELC TECH'!$H:$H,'ELC TECH'!$E:$E)="Storage",_xlfn.XLOOKUP($B79,'ELC TECH'!$H:$H,'ELC TECH'!AT:AT),"")</f>
        <v>0.33333333333333331</v>
      </c>
      <c r="BH79" s="12">
        <f>IF(_xlfn.XLOOKUP($B79,'ELC TECH'!$H:$H,'ELC TECH'!$E:$E)="Storage",_xlfn.XLOOKUP($B79,'ELC TECH'!$H:$H,'ELC TECH'!AU:AU),"")</f>
        <v>0.33333333333333331</v>
      </c>
      <c r="BI79" s="12">
        <f>IF(_xlfn.XLOOKUP($B79,'ELC TECH'!$H:$H,'ELC TECH'!$E:$E)="Storage",_xlfn.XLOOKUP($B79,'ELC TECH'!$H:$H,'ELC TECH'!AV:AV),"")</f>
        <v>0.33333333333333331</v>
      </c>
      <c r="BJ79" s="12">
        <f>IF(_xlfn.XLOOKUP($B79,'ELC TECH'!$H:$H,'ELC TECH'!$E:$E)="Storage",_xlfn.XLOOKUP($B79,'ELC TECH'!$H:$H,'ELC TECH'!AW:AW),"")</f>
        <v>0.33333333333333331</v>
      </c>
      <c r="BK79" s="12">
        <f>IF(_xlfn.XLOOKUP($B79,'ELC TECH'!$H:$H,'ELC TECH'!$E:$E)="Storage",_xlfn.XLOOKUP($B79,'ELC TECH'!$H:$H,'ELC TECH'!AX:AX),"")</f>
        <v>0.33333333333333331</v>
      </c>
      <c r="BL79" s="12">
        <f>IF(_xlfn.XLOOKUP($B79,'ELC TECH'!$H:$H,'ELC TECH'!$E:$E)="Storage",_xlfn.XLOOKUP($B79,'ELC TECH'!$H:$H,'ELC TECH'!AY:AY),"")</f>
        <v>0.33333333333333331</v>
      </c>
      <c r="BM79" s="12">
        <f>IF(_xlfn.XLOOKUP($B79,'ELC TECH'!$H:$H,'ELC TECH'!$E:$E)="Storage",_xlfn.XLOOKUP($B79,'ELC TECH'!$H:$H,'ELC TECH'!AZ:AZ),"")</f>
        <v>0.33333333333333331</v>
      </c>
      <c r="BN79" s="8" t="str">
        <f>IF(_xlfn.XLOOKUP($B79,'ELC TECH'!$H:$H,'ELC TECH'!$E:$E)="Non Dispatchable",IFERROR($AX79*_xlfn.XLOOKUP($C79,$BM$1:$BM$3,BN$1:BN$3)/SUMPRODUCT(_xlfn.XLOOKUP($C79,$BM$1:$BM$3,$BN$1:$BY$3),$BN$4:$BY$4),""),
"")</f>
        <v/>
      </c>
      <c r="BO79" s="8" t="str">
        <f>IF(_xlfn.XLOOKUP($B79,'ELC TECH'!$H:$H,'ELC TECH'!$E:$E)="Non Dispatchable",IFERROR($AX79*_xlfn.XLOOKUP($C79,$BM$1:$BM$3,BO$1:BO$3)/SUMPRODUCT(_xlfn.XLOOKUP($C79,$BM$1:$BM$3,$BN$1:$BY$3),$BN$4:$BY$4),""),
"")</f>
        <v/>
      </c>
      <c r="BP79" s="8" t="str">
        <f>IF(_xlfn.XLOOKUP($B79,'ELC TECH'!$H:$H,'ELC TECH'!$E:$E)="Non Dispatchable",IFERROR($AX79*_xlfn.XLOOKUP($C79,$BM$1:$BM$3,BP$1:BP$3)/SUMPRODUCT(_xlfn.XLOOKUP($C79,$BM$1:$BM$3,$BN$1:$BY$3),$BN$4:$BY$4),""),
"")</f>
        <v/>
      </c>
      <c r="BQ79" s="8" t="str">
        <f>IF(_xlfn.XLOOKUP($B79,'ELC TECH'!$H:$H,'ELC TECH'!$E:$E)="Non Dispatchable",IFERROR($AX79*_xlfn.XLOOKUP($C79,$BM$1:$BM$3,BQ$1:BQ$3)/SUMPRODUCT(_xlfn.XLOOKUP($C79,$BM$1:$BM$3,$BN$1:$BY$3),$BN$4:$BY$4),""),
"")</f>
        <v/>
      </c>
      <c r="BR79" s="8" t="str">
        <f>IF(_xlfn.XLOOKUP($B79,'ELC TECH'!$H:$H,'ELC TECH'!$E:$E)="Non Dispatchable",IFERROR($AX79*_xlfn.XLOOKUP($C79,$BM$1:$BM$3,BR$1:BR$3)/SUMPRODUCT(_xlfn.XLOOKUP($C79,$BM$1:$BM$3,$BN$1:$BY$3),$BN$4:$BY$4),""),
"")</f>
        <v/>
      </c>
      <c r="BS79" s="8" t="str">
        <f>IF(_xlfn.XLOOKUP($B79,'ELC TECH'!$H:$H,'ELC TECH'!$E:$E)="Non Dispatchable",IFERROR($AX79*_xlfn.XLOOKUP($C79,$BM$1:$BM$3,BS$1:BS$3)/SUMPRODUCT(_xlfn.XLOOKUP($C79,$BM$1:$BM$3,$BN$1:$BY$3),$BN$4:$BY$4),""),
"")</f>
        <v/>
      </c>
      <c r="BT79" s="8" t="str">
        <f>IF(_xlfn.XLOOKUP($B79,'ELC TECH'!$H:$H,'ELC TECH'!$E:$E)="Non Dispatchable",IFERROR($AX79*_xlfn.XLOOKUP($C79,$BM$1:$BM$3,BT$1:BT$3)/SUMPRODUCT(_xlfn.XLOOKUP($C79,$BM$1:$BM$3,$BN$1:$BY$3),$BN$4:$BY$4),""),
"")</f>
        <v/>
      </c>
      <c r="BU79" s="8" t="str">
        <f>IF(_xlfn.XLOOKUP($B79,'ELC TECH'!$H:$H,'ELC TECH'!$E:$E)="Non Dispatchable",IFERROR($AX79*_xlfn.XLOOKUP($C79,$BM$1:$BM$3,BU$1:BU$3)/SUMPRODUCT(_xlfn.XLOOKUP($C79,$BM$1:$BM$3,$BN$1:$BY$3),$BN$4:$BY$4),""),
"")</f>
        <v/>
      </c>
      <c r="BV79" s="8" t="str">
        <f>IF(_xlfn.XLOOKUP($B79,'ELC TECH'!$H:$H,'ELC TECH'!$E:$E)="Non Dispatchable",IFERROR($AX79*_xlfn.XLOOKUP($C79,$BM$1:$BM$3,BV$1:BV$3)/SUMPRODUCT(_xlfn.XLOOKUP($C79,$BM$1:$BM$3,$BN$1:$BY$3),$BN$4:$BY$4),""),
"")</f>
        <v/>
      </c>
      <c r="BW79" s="8" t="str">
        <f>IF(_xlfn.XLOOKUP($B79,'ELC TECH'!$H:$H,'ELC TECH'!$E:$E)="Non Dispatchable",IFERROR($AX79*_xlfn.XLOOKUP($C79,$BM$1:$BM$3,BW$1:BW$3)/SUMPRODUCT(_xlfn.XLOOKUP($C79,$BM$1:$BM$3,$BN$1:$BY$3),$BN$4:$BY$4),""),
"")</f>
        <v/>
      </c>
      <c r="BX79" s="8" t="str">
        <f>IF(_xlfn.XLOOKUP($B79,'ELC TECH'!$H:$H,'ELC TECH'!$E:$E)="Non Dispatchable",IFERROR($AX79*_xlfn.XLOOKUP($C79,$BM$1:$BM$3,BX$1:BX$3)/SUMPRODUCT(_xlfn.XLOOKUP($C79,$BM$1:$BM$3,$BN$1:$BY$3),$BN$4:$BY$4),""),
"")</f>
        <v/>
      </c>
      <c r="BY79" s="8" t="str">
        <f>IF(_xlfn.XLOOKUP($B79,'ELC TECH'!$H:$H,'ELC TECH'!$E:$E)="Non Dispatchable",IFERROR($AX79*_xlfn.XLOOKUP($C79,$BM$1:$BM$3,BY$1:BY$3)/SUMPRODUCT(_xlfn.XLOOKUP($C79,$BM$1:$BM$3,$BN$1:$BY$3),$BN$4:$BY$4),""),
"")</f>
        <v/>
      </c>
      <c r="BZ79" s="8" t="str">
        <f>IF(_xlfn.XLOOKUP($B79,'ELC TECH'!$H:$H,'ELC TECH'!$E:$E)="Non Dispatchable",IFERROR($AX79*_xlfn.XLOOKUP($C79,$BM$1:$BM$3,BZ$1:BZ$3)/SUMPRODUCT(_xlfn.XLOOKUP($C79,$BM$1:$BM$3,$BN$1:$BY$3),$BN$4:$BY$4),""),
"")</f>
        <v/>
      </c>
      <c r="CA79" s="8" t="str">
        <f>IF(_xlfn.XLOOKUP($B79,'ELC TECH'!$H:$H,'ELC TECH'!$E:$E)="Non Dispatchable",IFERROR($AX79*_xlfn.XLOOKUP($C79,$BM$1:$BM$3,CA$1:CA$3)/SUMPRODUCT(_xlfn.XLOOKUP($C79,$BM$1:$BM$3,$BN$1:$BY$3),$BN$4:$BY$4),""),
"")</f>
        <v/>
      </c>
      <c r="CB79" s="8" t="str">
        <f>IF(_xlfn.XLOOKUP($B79,'ELC TECH'!$H:$H,'ELC TECH'!$E:$E)="Non Dispatchable",IFERROR($AX79*_xlfn.XLOOKUP($C79,$BM$1:$BM$3,CB$1:CB$3)/SUMPRODUCT(_xlfn.XLOOKUP($C79,$BM$1:$BM$3,$BN$1:$BY$3),$BN$4:$BY$4),""),
"")</f>
        <v/>
      </c>
      <c r="CC79" s="8" t="str">
        <f>IF(_xlfn.XLOOKUP($B79,'ELC TECH'!$H:$H,'ELC TECH'!$E:$E)="Non Dispatchable",IFERROR($AX79*_xlfn.XLOOKUP($C79,$BM$1:$BM$3,CC$1:CC$3)/SUMPRODUCT(_xlfn.XLOOKUP($C79,$BM$1:$BM$3,$BN$1:$BY$3),$BN$4:$BY$4),""),
"")</f>
        <v/>
      </c>
      <c r="CD79" s="8" t="str">
        <f>IF(_xlfn.XLOOKUP($B79,'ELC TECH'!$H:$H,'ELC TECH'!$E:$E)="Non Dispatchable",IFERROR($AX79*_xlfn.XLOOKUP($C79,$BM$1:$BM$3,CD$1:CD$3)/SUMPRODUCT(_xlfn.XLOOKUP($C79,$BM$1:$BM$3,$BN$1:$BY$3),$BN$4:$BY$4),""),
"")</f>
        <v/>
      </c>
      <c r="CE79" s="8" t="str">
        <f>IF(_xlfn.XLOOKUP($B79,'ELC TECH'!$H:$H,'ELC TECH'!$E:$E)="Non Dispatchable",IFERROR($AX79*_xlfn.XLOOKUP($C79,$BM$1:$BM$3,CE$1:CE$3)/SUMPRODUCT(_xlfn.XLOOKUP($C79,$BM$1:$BM$3,$BN$1:$BY$3),$BN$4:$BY$4),""),
"")</f>
        <v/>
      </c>
      <c r="CF79" s="8" t="str">
        <f>IF(_xlfn.XLOOKUP($B79,'ELC TECH'!$H:$H,'ELC TECH'!$E:$E)="Non Dispatchable",IFERROR($AX79*_xlfn.XLOOKUP($C79,$BM$1:$BM$3,CF$1:CF$3)/SUMPRODUCT(_xlfn.XLOOKUP($C79,$BM$1:$BM$3,$BN$1:$BY$3),$BN$4:$BY$4),""),
"")</f>
        <v/>
      </c>
      <c r="CG79" s="8" t="str">
        <f>IF(_xlfn.XLOOKUP($B79,'ELC TECH'!$H:$H,'ELC TECH'!$E:$E)="Non Dispatchable",IFERROR($AX79*_xlfn.XLOOKUP($C79,$BM$1:$BM$3,CG$1:CG$3)/SUMPRODUCT(_xlfn.XLOOKUP($C79,$BM$1:$BM$3,$BN$1:$BY$3),$BN$4:$BY$4),""),
"")</f>
        <v/>
      </c>
      <c r="CH79" s="8" t="str">
        <f>IF(_xlfn.XLOOKUP($B79,'ELC TECH'!$H:$H,'ELC TECH'!$E:$E)="Non Dispatchable",IFERROR($AX79*_xlfn.XLOOKUP($C79,$BM$1:$BM$3,CH$1:CH$3)/SUMPRODUCT(_xlfn.XLOOKUP($C79,$BM$1:$BM$3,$BN$1:$BY$3),$BN$4:$BY$4),""),
"")</f>
        <v/>
      </c>
      <c r="CI79" s="8" t="str">
        <f>IF(_xlfn.XLOOKUP($B79,'ELC TECH'!$H:$H,'ELC TECH'!$E:$E)="Non Dispatchable",IFERROR($AX79*_xlfn.XLOOKUP($C79,$BM$1:$BM$3,CI$1:CI$3)/SUMPRODUCT(_xlfn.XLOOKUP($C79,$BM$1:$BM$3,$BN$1:$BY$3),$BN$4:$BY$4),""),
"")</f>
        <v/>
      </c>
      <c r="CJ79" s="8" t="str">
        <f>IF(_xlfn.XLOOKUP($B79,'ELC TECH'!$H:$H,'ELC TECH'!$E:$E)="Non Dispatchable",IFERROR($AX79*_xlfn.XLOOKUP($C79,$BM$1:$BM$3,CJ$1:CJ$3)/SUMPRODUCT(_xlfn.XLOOKUP($C79,$BM$1:$BM$3,$BN$1:$BY$3),$BN$4:$BY$4),""),
"")</f>
        <v/>
      </c>
      <c r="CK79" s="8" t="str">
        <f>IF(_xlfn.XLOOKUP($B79,'ELC TECH'!$H:$H,'ELC TECH'!$E:$E)="Non Dispatchable",IFERROR($AX79*_xlfn.XLOOKUP($C79,$BM$1:$BM$3,CK$1:CK$3)/SUMPRODUCT(_xlfn.XLOOKUP($C79,$BM$1:$BM$3,$BN$1:$BY$3),$BN$4:$BY$4),""),
"")</f>
        <v/>
      </c>
      <c r="CL79" s="8">
        <f>IF(_xlfn.XLOOKUP($B79,'ELC TECH'!$H:$H,'ELC TECH'!$E:$E)="Storage",CL$4*$BF79,"")</f>
        <v>2.7399999999999997E-2</v>
      </c>
      <c r="CM79" s="8">
        <f>IF(_xlfn.XLOOKUP($B79,'ELC TECH'!$H:$H,'ELC TECH'!$E:$E)="Storage",CM$4*$BF79,"")</f>
        <v>3.1899999999999998E-2</v>
      </c>
      <c r="CN79" s="8">
        <f>IF(_xlfn.XLOOKUP($B79,'ELC TECH'!$H:$H,'ELC TECH'!$E:$E)="Storage",CN$4*$BF79,"")</f>
        <v>5.1066666666666663E-2</v>
      </c>
      <c r="CO79" s="8">
        <f>IF(_xlfn.XLOOKUP($B79,'ELC TECH'!$H:$H,'ELC TECH'!$E:$E)="Storage",CO$4*$BF79,"")</f>
        <v>1.0666666666666667E-3</v>
      </c>
      <c r="CP79" s="8">
        <f>IF(_xlfn.XLOOKUP($B79,'ELC TECH'!$H:$H,'ELC TECH'!$E:$E)="Storage",CP$4*$BF79,"")</f>
        <v>2.7166666666666665E-2</v>
      </c>
      <c r="CQ79" s="8">
        <f>IF(_xlfn.XLOOKUP($B79,'ELC TECH'!$H:$H,'ELC TECH'!$E:$E)="Storage",CQ$4*$BF79,"")</f>
        <v>3.6233333333333333E-2</v>
      </c>
      <c r="CR79" s="8">
        <f>IF(_xlfn.XLOOKUP($B79,'ELC TECH'!$H:$H,'ELC TECH'!$E:$E)="Storage",CR$4*$BF79,"")</f>
        <v>4.6033333333333329E-2</v>
      </c>
      <c r="CS79" s="8">
        <f>IF(_xlfn.XLOOKUP($B79,'ELC TECH'!$H:$H,'ELC TECH'!$E:$E)="Storage",CS$4*$BF79,"")</f>
        <v>1.0666666666666667E-3</v>
      </c>
      <c r="CT79" s="8">
        <f>IF(_xlfn.XLOOKUP($B79,'ELC TECH'!$H:$H,'ELC TECH'!$E:$E)="Storage",CT$4*$BF79,"")</f>
        <v>3.2500000000000001E-2</v>
      </c>
      <c r="CU79" s="8">
        <f>IF(_xlfn.XLOOKUP($B79,'ELC TECH'!$H:$H,'ELC TECH'!$E:$E)="Storage",CU$4*$BF79,"")</f>
        <v>3.6233333333333333E-2</v>
      </c>
      <c r="CV79" s="8">
        <f>IF(_xlfn.XLOOKUP($B79,'ELC TECH'!$H:$H,'ELC TECH'!$E:$E)="Storage",CV$4*$BF79,"")</f>
        <v>4.176666666666666E-2</v>
      </c>
      <c r="CW79" s="8">
        <f>IF(_xlfn.XLOOKUP($B79,'ELC TECH'!$H:$H,'ELC TECH'!$E:$E)="Storage",CW$4*$BF79,"")</f>
        <v>8.9999999999999998E-4</v>
      </c>
      <c r="CX79" s="8">
        <f>IF(_xlfn.XLOOKUP($B79,'ELC TECH'!$H:$H,'ELC TECH'!$E:$E)="Storage",CX$4*$BF79,"")</f>
        <v>2.7399999999999997E-2</v>
      </c>
      <c r="CY79" s="8">
        <f>IF(_xlfn.XLOOKUP($B79,'ELC TECH'!$H:$H,'ELC TECH'!$E:$E)="Storage",CY$4*$BF79,"")</f>
        <v>3.1899999999999998E-2</v>
      </c>
      <c r="CZ79" s="8">
        <f>IF(_xlfn.XLOOKUP($B79,'ELC TECH'!$H:$H,'ELC TECH'!$E:$E)="Storage",CZ$4*$BF79,"")</f>
        <v>5.1066666666666663E-2</v>
      </c>
      <c r="DA79" s="8">
        <f>IF(_xlfn.XLOOKUP($B79,'ELC TECH'!$H:$H,'ELC TECH'!$E:$E)="Storage",DA$4*$BF79,"")</f>
        <v>1.0666666666666667E-3</v>
      </c>
      <c r="DB79" s="8">
        <f>IF(_xlfn.XLOOKUP($B79,'ELC TECH'!$H:$H,'ELC TECH'!$E:$E)="Storage",DB$4*$BF79,"")</f>
        <v>2.7166666666666665E-2</v>
      </c>
      <c r="DC79" s="8">
        <f>IF(_xlfn.XLOOKUP($B79,'ELC TECH'!$H:$H,'ELC TECH'!$E:$E)="Storage",DC$4*$BF79,"")</f>
        <v>3.6233333333333333E-2</v>
      </c>
      <c r="DD79" s="8">
        <f>IF(_xlfn.XLOOKUP($B79,'ELC TECH'!$H:$H,'ELC TECH'!$E:$E)="Storage",DD$4*$BF79,"")</f>
        <v>4.6033333333333329E-2</v>
      </c>
      <c r="DE79" s="8">
        <f>IF(_xlfn.XLOOKUP($B79,'ELC TECH'!$H:$H,'ELC TECH'!$E:$E)="Storage",DE$4*$BF79,"")</f>
        <v>1.0666666666666667E-3</v>
      </c>
      <c r="DF79" s="8">
        <f>IF(_xlfn.XLOOKUP($B79,'ELC TECH'!$H:$H,'ELC TECH'!$E:$E)="Storage",DF$4*$BF79,"")</f>
        <v>3.2500000000000001E-2</v>
      </c>
      <c r="DG79" s="8">
        <f>IF(_xlfn.XLOOKUP($B79,'ELC TECH'!$H:$H,'ELC TECH'!$E:$E)="Storage",DG$4*$BF79,"")</f>
        <v>3.6233333333333333E-2</v>
      </c>
      <c r="DH79" s="8">
        <f>IF(_xlfn.XLOOKUP($B79,'ELC TECH'!$H:$H,'ELC TECH'!$E:$E)="Storage",DH$4*$BF79,"")</f>
        <v>4.176666666666666E-2</v>
      </c>
      <c r="DI79" s="8">
        <f>IF(_xlfn.XLOOKUP($B79,'ELC TECH'!$H:$H,'ELC TECH'!$E:$E)="Storage",DI$4*$BF79,"")</f>
        <v>8.9999999999999998E-4</v>
      </c>
    </row>
    <row r="80" spans="2:113" x14ac:dyDescent="0.25">
      <c r="B80" t="str">
        <f>IF('ELC TECH'!I73=0,"*",'ELC TECH'!H73)</f>
        <v>ELCSTGGRDPSH8HC1520</v>
      </c>
      <c r="C80" t="str">
        <f>IF(_xlfn.XLOOKUP(_xlfn.XLOOKUP(B80,'ELC TECH'!$H:$H,'ELC TECH'!$G:$G),List!C:C,List!B:B)="STG",D80,"ELC"&amp;_xlfn.XLOOKUP(_xlfn.XLOOKUP(B80,'ELC TECH'!H:H,'ELC TECH'!G:G),List!C:C,List!B:B))</f>
        <v>CELC</v>
      </c>
      <c r="D80" t="s">
        <v>544</v>
      </c>
      <c r="E80">
        <f>_xlfn.XLOOKUP(B80,'ELC TECH'!H:H,'ELC TECH'!D:D)</f>
        <v>2020</v>
      </c>
      <c r="F80">
        <f>_xlfn.XLOOKUP(B80,'ELC TECH'!H:H,'ELC TECH'!K:K)</f>
        <v>100</v>
      </c>
      <c r="G80">
        <f t="shared" si="6"/>
        <v>31.535999999999998</v>
      </c>
      <c r="H80">
        <f>IF(_xlfn.XLOOKUP(B80,'ELC TECH'!$H:$H,'ELC TECH'!$E:$E)="Storage",0.3,IF(_xlfn.XLOOKUP(B80,'ELC TECH'!$H:$H,'ELC TECH'!$E:$E)="Baseload",0.9,IF(_xlfn.XLOOKUP(B80,'ELC TECH'!$H:$H,'ELC TECH'!$E:$E)="Non Dispatchable",0.05,IF(_xlfn.XLOOKUP(B80,'ELC TECH'!$H:$H,'ELC TECH'!$E:$E)="Dispatchable",0.9,1))))</f>
        <v>0.3</v>
      </c>
      <c r="I80" s="13">
        <f>IF(_xlfn.XLOOKUP(B80,'ELC TECH'!H:H,'ELC TECH'!J:J)="","",_xlfn.XLOOKUP(B80,'ELC TECH'!H:H,'ELC TECH'!J:J))</f>
        <v>0</v>
      </c>
      <c r="J80" s="12" t="str">
        <f>IF(_xlfn.XLOOKUP($B80,'ELC TECH'!$H:$H,'ELC TECH'!$E:$E)="Storage","",IF(_xlfn.XLOOKUP($B80,'ELC TECH'!$H:$H,'ELC TECH'!AK:AK)="",1,_xlfn.XLOOKUP($B80,'ELC TECH'!$H:$H,'ELC TECH'!AK:AK)))</f>
        <v/>
      </c>
      <c r="K80" s="12" t="str">
        <f>IF(_xlfn.XLOOKUP($B80,'ELC TECH'!$H:$H,'ELC TECH'!$E:$E)="Storage","",IF(_xlfn.XLOOKUP($B80,'ELC TECH'!$H:$H,'ELC TECH'!AL:AL)="",1,_xlfn.XLOOKUP($B80,'ELC TECH'!$H:$H,'ELC TECH'!AL:AL)))</f>
        <v/>
      </c>
      <c r="L80" s="12" t="str">
        <f>IF(_xlfn.XLOOKUP($B80,'ELC TECH'!$H:$H,'ELC TECH'!$E:$E)="Storage","",IF(_xlfn.XLOOKUP($B80,'ELC TECH'!$H:$H,'ELC TECH'!AM:AM)="",1,_xlfn.XLOOKUP($B80,'ELC TECH'!$H:$H,'ELC TECH'!AM:AM)))</f>
        <v/>
      </c>
      <c r="M80" s="12" t="str">
        <f>IF(_xlfn.XLOOKUP($B80,'ELC TECH'!$H:$H,'ELC TECH'!$E:$E)="Storage","",IF(_xlfn.XLOOKUP($B80,'ELC TECH'!$H:$H,'ELC TECH'!AN:AN)="",1,_xlfn.XLOOKUP($B80,'ELC TECH'!$H:$H,'ELC TECH'!AN:AN)))</f>
        <v/>
      </c>
      <c r="N80" s="12" t="str">
        <f>IF(_xlfn.XLOOKUP($B80,'ELC TECH'!$H:$H,'ELC TECH'!$E:$E)="Storage","",IF(_xlfn.XLOOKUP($B80,'ELC TECH'!$H:$H,'ELC TECH'!AO:AO)="",1,_xlfn.XLOOKUP($B80,'ELC TECH'!$H:$H,'ELC TECH'!AO:AO)))</f>
        <v/>
      </c>
      <c r="O80" s="12" t="str">
        <f>IF(_xlfn.XLOOKUP($B80,'ELC TECH'!$H:$H,'ELC TECH'!$E:$E)="Storage","",IF(_xlfn.XLOOKUP($B80,'ELC TECH'!$H:$H,'ELC TECH'!AP:AP)="",1,_xlfn.XLOOKUP($B80,'ELC TECH'!$H:$H,'ELC TECH'!AP:AP)))</f>
        <v/>
      </c>
      <c r="P80" s="12" t="str">
        <f>IF(_xlfn.XLOOKUP($B80,'ELC TECH'!$H:$H,'ELC TECH'!$E:$E)="Storage","",IF(_xlfn.XLOOKUP($B80,'ELC TECH'!$H:$H,'ELC TECH'!AQ:AQ)="",1,_xlfn.XLOOKUP($B80,'ELC TECH'!$H:$H,'ELC TECH'!AQ:AQ)))</f>
        <v/>
      </c>
      <c r="Q80" s="12" t="str">
        <f>IF(_xlfn.XLOOKUP($B80,'ELC TECH'!$H:$H,'ELC TECH'!$E:$E)="Storage","",IF(_xlfn.XLOOKUP($B80,'ELC TECH'!$H:$H,'ELC TECH'!AR:AR)="",1,_xlfn.XLOOKUP($B80,'ELC TECH'!$H:$H,'ELC TECH'!AR:AR)))</f>
        <v/>
      </c>
      <c r="R80" s="12">
        <f>IF(_xlfn.XLOOKUP($B80,'ELC TECH'!$H:$H,'ELC TECH'!$E:$E)&lt;&gt;"Storage","",IF(_xlfn.XLOOKUP($B80,'ELC TECH'!$H:$H,'ELC TECH'!AK:AK)="",0.8,_xlfn.XLOOKUP($B80,'ELC TECH'!$H:$H,'ELC TECH'!AK:AK)))</f>
        <v>0.8</v>
      </c>
      <c r="S80" s="12">
        <f>IF(_xlfn.XLOOKUP($B80,'ELC TECH'!$H:$H,'ELC TECH'!$E:$E)&lt;&gt;"Storage","",IF(_xlfn.XLOOKUP($B80,'ELC TECH'!$H:$H,'ELC TECH'!AL:AL)="",0.8,_xlfn.XLOOKUP($B80,'ELC TECH'!$H:$H,'ELC TECH'!AL:AL)))</f>
        <v>0.8</v>
      </c>
      <c r="T80" s="12">
        <f>IF(_xlfn.XLOOKUP($B80,'ELC TECH'!$H:$H,'ELC TECH'!$E:$E)&lt;&gt;"Storage","",IF(_xlfn.XLOOKUP($B80,'ELC TECH'!$H:$H,'ELC TECH'!AM:AM)="",0.8,_xlfn.XLOOKUP($B80,'ELC TECH'!$H:$H,'ELC TECH'!AM:AM)))</f>
        <v>0.8</v>
      </c>
      <c r="U80" s="12">
        <f>IF(_xlfn.XLOOKUP($B80,'ELC TECH'!$H:$H,'ELC TECH'!$E:$E)&lt;&gt;"Storage","",IF(_xlfn.XLOOKUP($B80,'ELC TECH'!$H:$H,'ELC TECH'!AN:AN)="",0.8,_xlfn.XLOOKUP($B80,'ELC TECH'!$H:$H,'ELC TECH'!AN:AN)))</f>
        <v>0.8</v>
      </c>
      <c r="V80" s="12">
        <f>IF(_xlfn.XLOOKUP($B80,'ELC TECH'!$H:$H,'ELC TECH'!$E:$E)&lt;&gt;"Storage","",IF(_xlfn.XLOOKUP($B80,'ELC TECH'!$H:$H,'ELC TECH'!AO:AO)="",0.8,_xlfn.XLOOKUP($B80,'ELC TECH'!$H:$H,'ELC TECH'!AO:AO)))</f>
        <v>0.8</v>
      </c>
      <c r="W80" s="12">
        <f>IF(_xlfn.XLOOKUP($B80,'ELC TECH'!$H:$H,'ELC TECH'!$E:$E)&lt;&gt;"Storage","",IF(_xlfn.XLOOKUP($B80,'ELC TECH'!$H:$H,'ELC TECH'!AP:AP)="",0.8,_xlfn.XLOOKUP($B80,'ELC TECH'!$H:$H,'ELC TECH'!AP:AP)))</f>
        <v>0.8</v>
      </c>
      <c r="X80" s="12">
        <f>IF(_xlfn.XLOOKUP($B80,'ELC TECH'!$H:$H,'ELC TECH'!$E:$E)&lt;&gt;"Storage","",IF(_xlfn.XLOOKUP($B80,'ELC TECH'!$H:$H,'ELC TECH'!AQ:AQ)="",0.8,_xlfn.XLOOKUP($B80,'ELC TECH'!$H:$H,'ELC TECH'!AQ:AQ)))</f>
        <v>0.8</v>
      </c>
      <c r="Y80" s="12">
        <f>IF(_xlfn.XLOOKUP($B80,'ELC TECH'!$H:$H,'ELC TECH'!$E:$E)&lt;&gt;"Storage","",IF(_xlfn.XLOOKUP($B80,'ELC TECH'!$H:$H,'ELC TECH'!AR:AR)="",0.8,_xlfn.XLOOKUP($B80,'ELC TECH'!$H:$H,'ELC TECH'!AR:AR)))</f>
        <v>0.8</v>
      </c>
      <c r="Z80" s="15">
        <f>_xlfn.XLOOKUP($B80,'ELC TECH'!$H:$H,'ELC TECH'!M:M)</f>
        <v>4700.5288106819444</v>
      </c>
      <c r="AA80" s="15">
        <f>_xlfn.XLOOKUP($B80,'ELC TECH'!$H:$H,'ELC TECH'!N:N)</f>
        <v>4700.5288106819444</v>
      </c>
      <c r="AB80" s="15">
        <f>_xlfn.XLOOKUP($B80,'ELC TECH'!$H:$H,'ELC TECH'!O:O)</f>
        <v>4700.5288106819444</v>
      </c>
      <c r="AC80" s="15">
        <f>_xlfn.XLOOKUP($B80,'ELC TECH'!$H:$H,'ELC TECH'!P:P)</f>
        <v>4700.5288106819444</v>
      </c>
      <c r="AD80" s="15">
        <f>_xlfn.XLOOKUP($B80,'ELC TECH'!$H:$H,'ELC TECH'!Q:Q)</f>
        <v>4700.5288106819444</v>
      </c>
      <c r="AE80" s="15">
        <f>_xlfn.XLOOKUP($B80,'ELC TECH'!$H:$H,'ELC TECH'!R:R)</f>
        <v>4700.5288106819444</v>
      </c>
      <c r="AF80" s="15">
        <f>_xlfn.XLOOKUP($B80,'ELC TECH'!$H:$H,'ELC TECH'!S:S)</f>
        <v>4700.5288106819444</v>
      </c>
      <c r="AG80" s="15">
        <f>_xlfn.XLOOKUP($B80,'ELC TECH'!$H:$H,'ELC TECH'!T:T)</f>
        <v>4700.5288106819444</v>
      </c>
      <c r="AH80" s="15">
        <f>_xlfn.XLOOKUP($B80,'ELC TECH'!$H:$H,'ELC TECH'!U:U)</f>
        <v>21.100097091380029</v>
      </c>
      <c r="AI80" s="15">
        <f>_xlfn.XLOOKUP($B80,'ELC TECH'!$H:$H,'ELC TECH'!V:V)</f>
        <v>21.100097091380029</v>
      </c>
      <c r="AJ80" s="15">
        <f>_xlfn.XLOOKUP($B80,'ELC TECH'!$H:$H,'ELC TECH'!W:W)</f>
        <v>21.100097091380029</v>
      </c>
      <c r="AK80" s="15">
        <f>_xlfn.XLOOKUP($B80,'ELC TECH'!$H:$H,'ELC TECH'!X:X)</f>
        <v>21.100097091380029</v>
      </c>
      <c r="AL80" s="15">
        <f>_xlfn.XLOOKUP($B80,'ELC TECH'!$H:$H,'ELC TECH'!Y:Y)</f>
        <v>21.100097091380029</v>
      </c>
      <c r="AM80" s="15">
        <f>_xlfn.XLOOKUP($B80,'ELC TECH'!$H:$H,'ELC TECH'!Z:Z)</f>
        <v>21.100097091380029</v>
      </c>
      <c r="AN80" s="15">
        <f>_xlfn.XLOOKUP($B80,'ELC TECH'!$H:$H,'ELC TECH'!AA:AA)</f>
        <v>21.100097091380029</v>
      </c>
      <c r="AO80" s="15">
        <f>_xlfn.XLOOKUP($B80,'ELC TECH'!$H:$H,'ELC TECH'!AB:AB)</f>
        <v>21.100097091380029</v>
      </c>
      <c r="AP80" s="15">
        <f>_xlfn.XLOOKUP($B80,'ELC TECH'!$H:$H,'ELC TECH'!AC:AC)</f>
        <v>0.1696149283872993</v>
      </c>
      <c r="AQ80" s="15">
        <f>_xlfn.XLOOKUP($B80,'ELC TECH'!$H:$H,'ELC TECH'!AD:AD)</f>
        <v>0.1696149283872993</v>
      </c>
      <c r="AR80" s="15">
        <f>_xlfn.XLOOKUP($B80,'ELC TECH'!$H:$H,'ELC TECH'!AE:AE)</f>
        <v>0.1696149283872993</v>
      </c>
      <c r="AS80" s="15">
        <f>_xlfn.XLOOKUP($B80,'ELC TECH'!$H:$H,'ELC TECH'!AF:AF)</f>
        <v>0.1696149283872993</v>
      </c>
      <c r="AT80" s="15">
        <f>_xlfn.XLOOKUP($B80,'ELC TECH'!$H:$H,'ELC TECH'!AG:AG)</f>
        <v>0.1696149283872993</v>
      </c>
      <c r="AU80" s="15">
        <f>_xlfn.XLOOKUP($B80,'ELC TECH'!$H:$H,'ELC TECH'!AH:AH)</f>
        <v>0.1696149283872993</v>
      </c>
      <c r="AV80" s="15">
        <f>_xlfn.XLOOKUP($B80,'ELC TECH'!$H:$H,'ELC TECH'!AI:AI)</f>
        <v>0.1696149283872993</v>
      </c>
      <c r="AW80" s="15">
        <f>_xlfn.XLOOKUP($B80,'ELC TECH'!$H:$H,'ELC TECH'!AJ:AJ)</f>
        <v>0.1696149283872993</v>
      </c>
      <c r="AX80" s="12" t="str">
        <f>IF(_xlfn.XLOOKUP($B80,'ELC TECH'!$H:$H,'ELC TECH'!$E:$E)="Storage","",_xlfn.XLOOKUP($B80,'ELC TECH'!$H:$H,'ELC TECH'!AS:AS))</f>
        <v/>
      </c>
      <c r="AY80" s="12" t="str">
        <f>IF(_xlfn.XLOOKUP($B80,'ELC TECH'!$H:$H,'ELC TECH'!$E:$E)="Storage","",_xlfn.XLOOKUP($B80,'ELC TECH'!$H:$H,'ELC TECH'!AT:AT))</f>
        <v/>
      </c>
      <c r="AZ80" s="12" t="str">
        <f>IF(_xlfn.XLOOKUP($B80,'ELC TECH'!$H:$H,'ELC TECH'!$E:$E)="Storage","",_xlfn.XLOOKUP($B80,'ELC TECH'!$H:$H,'ELC TECH'!AU:AU))</f>
        <v/>
      </c>
      <c r="BA80" s="12" t="str">
        <f>IF(_xlfn.XLOOKUP($B80,'ELC TECH'!$H:$H,'ELC TECH'!$E:$E)="Storage","",_xlfn.XLOOKUP($B80,'ELC TECH'!$H:$H,'ELC TECH'!AV:AV))</f>
        <v/>
      </c>
      <c r="BB80" s="12" t="str">
        <f>IF(_xlfn.XLOOKUP($B80,'ELC TECH'!$H:$H,'ELC TECH'!$E:$E)="Storage","",_xlfn.XLOOKUP($B80,'ELC TECH'!$H:$H,'ELC TECH'!AW:AW))</f>
        <v/>
      </c>
      <c r="BC80" s="12" t="str">
        <f>IF(_xlfn.XLOOKUP($B80,'ELC TECH'!$H:$H,'ELC TECH'!$E:$E)="Storage","",_xlfn.XLOOKUP($B80,'ELC TECH'!$H:$H,'ELC TECH'!AX:AX))</f>
        <v/>
      </c>
      <c r="BD80" s="12" t="str">
        <f>IF(_xlfn.XLOOKUP($B80,'ELC TECH'!$H:$H,'ELC TECH'!$E:$E)="Storage","",_xlfn.XLOOKUP($B80,'ELC TECH'!$H:$H,'ELC TECH'!AY:AY))</f>
        <v/>
      </c>
      <c r="BE80" s="12" t="str">
        <f>IF(_xlfn.XLOOKUP($B80,'ELC TECH'!$H:$H,'ELC TECH'!$E:$E)="Storage","",_xlfn.XLOOKUP($B80,'ELC TECH'!$H:$H,'ELC TECH'!AZ:AZ))</f>
        <v/>
      </c>
      <c r="BF80" s="12">
        <f>IF(_xlfn.XLOOKUP($B80,'ELC TECH'!$H:$H,'ELC TECH'!$E:$E)="Storage",_xlfn.XLOOKUP($B80,'ELC TECH'!$H:$H,'ELC TECH'!AS:AS),"")</f>
        <v>0.33333333333333331</v>
      </c>
      <c r="BG80" s="12">
        <f>IF(_xlfn.XLOOKUP($B80,'ELC TECH'!$H:$H,'ELC TECH'!$E:$E)="Storage",_xlfn.XLOOKUP($B80,'ELC TECH'!$H:$H,'ELC TECH'!AT:AT),"")</f>
        <v>0.33333333333333331</v>
      </c>
      <c r="BH80" s="12">
        <f>IF(_xlfn.XLOOKUP($B80,'ELC TECH'!$H:$H,'ELC TECH'!$E:$E)="Storage",_xlfn.XLOOKUP($B80,'ELC TECH'!$H:$H,'ELC TECH'!AU:AU),"")</f>
        <v>0.33333333333333331</v>
      </c>
      <c r="BI80" s="12">
        <f>IF(_xlfn.XLOOKUP($B80,'ELC TECH'!$H:$H,'ELC TECH'!$E:$E)="Storage",_xlfn.XLOOKUP($B80,'ELC TECH'!$H:$H,'ELC TECH'!AV:AV),"")</f>
        <v>0.33333333333333331</v>
      </c>
      <c r="BJ80" s="12">
        <f>IF(_xlfn.XLOOKUP($B80,'ELC TECH'!$H:$H,'ELC TECH'!$E:$E)="Storage",_xlfn.XLOOKUP($B80,'ELC TECH'!$H:$H,'ELC TECH'!AW:AW),"")</f>
        <v>0.33333333333333331</v>
      </c>
      <c r="BK80" s="12">
        <f>IF(_xlfn.XLOOKUP($B80,'ELC TECH'!$H:$H,'ELC TECH'!$E:$E)="Storage",_xlfn.XLOOKUP($B80,'ELC TECH'!$H:$H,'ELC TECH'!AX:AX),"")</f>
        <v>0.33333333333333331</v>
      </c>
      <c r="BL80" s="12">
        <f>IF(_xlfn.XLOOKUP($B80,'ELC TECH'!$H:$H,'ELC TECH'!$E:$E)="Storage",_xlfn.XLOOKUP($B80,'ELC TECH'!$H:$H,'ELC TECH'!AY:AY),"")</f>
        <v>0.33333333333333331</v>
      </c>
      <c r="BM80" s="12">
        <f>IF(_xlfn.XLOOKUP($B80,'ELC TECH'!$H:$H,'ELC TECH'!$E:$E)="Storage",_xlfn.XLOOKUP($B80,'ELC TECH'!$H:$H,'ELC TECH'!AZ:AZ),"")</f>
        <v>0.33333333333333331</v>
      </c>
      <c r="BN80" s="8" t="str">
        <f>IF(_xlfn.XLOOKUP($B80,'ELC TECH'!$H:$H,'ELC TECH'!$E:$E)="Non Dispatchable",IFERROR($AX80*_xlfn.XLOOKUP($C80,$BM$1:$BM$3,BN$1:BN$3)/SUMPRODUCT(_xlfn.XLOOKUP($C80,$BM$1:$BM$3,$BN$1:$BY$3),$BN$4:$BY$4),""),
"")</f>
        <v/>
      </c>
      <c r="BO80" s="8" t="str">
        <f>IF(_xlfn.XLOOKUP($B80,'ELC TECH'!$H:$H,'ELC TECH'!$E:$E)="Non Dispatchable",IFERROR($AX80*_xlfn.XLOOKUP($C80,$BM$1:$BM$3,BO$1:BO$3)/SUMPRODUCT(_xlfn.XLOOKUP($C80,$BM$1:$BM$3,$BN$1:$BY$3),$BN$4:$BY$4),""),
"")</f>
        <v/>
      </c>
      <c r="BP80" s="8" t="str">
        <f>IF(_xlfn.XLOOKUP($B80,'ELC TECH'!$H:$H,'ELC TECH'!$E:$E)="Non Dispatchable",IFERROR($AX80*_xlfn.XLOOKUP($C80,$BM$1:$BM$3,BP$1:BP$3)/SUMPRODUCT(_xlfn.XLOOKUP($C80,$BM$1:$BM$3,$BN$1:$BY$3),$BN$4:$BY$4),""),
"")</f>
        <v/>
      </c>
      <c r="BQ80" s="8" t="str">
        <f>IF(_xlfn.XLOOKUP($B80,'ELC TECH'!$H:$H,'ELC TECH'!$E:$E)="Non Dispatchable",IFERROR($AX80*_xlfn.XLOOKUP($C80,$BM$1:$BM$3,BQ$1:BQ$3)/SUMPRODUCT(_xlfn.XLOOKUP($C80,$BM$1:$BM$3,$BN$1:$BY$3),$BN$4:$BY$4),""),
"")</f>
        <v/>
      </c>
      <c r="BR80" s="8" t="str">
        <f>IF(_xlfn.XLOOKUP($B80,'ELC TECH'!$H:$H,'ELC TECH'!$E:$E)="Non Dispatchable",IFERROR($AX80*_xlfn.XLOOKUP($C80,$BM$1:$BM$3,BR$1:BR$3)/SUMPRODUCT(_xlfn.XLOOKUP($C80,$BM$1:$BM$3,$BN$1:$BY$3),$BN$4:$BY$4),""),
"")</f>
        <v/>
      </c>
      <c r="BS80" s="8" t="str">
        <f>IF(_xlfn.XLOOKUP($B80,'ELC TECH'!$H:$H,'ELC TECH'!$E:$E)="Non Dispatchable",IFERROR($AX80*_xlfn.XLOOKUP($C80,$BM$1:$BM$3,BS$1:BS$3)/SUMPRODUCT(_xlfn.XLOOKUP($C80,$BM$1:$BM$3,$BN$1:$BY$3),$BN$4:$BY$4),""),
"")</f>
        <v/>
      </c>
      <c r="BT80" s="8" t="str">
        <f>IF(_xlfn.XLOOKUP($B80,'ELC TECH'!$H:$H,'ELC TECH'!$E:$E)="Non Dispatchable",IFERROR($AX80*_xlfn.XLOOKUP($C80,$BM$1:$BM$3,BT$1:BT$3)/SUMPRODUCT(_xlfn.XLOOKUP($C80,$BM$1:$BM$3,$BN$1:$BY$3),$BN$4:$BY$4),""),
"")</f>
        <v/>
      </c>
      <c r="BU80" s="8" t="str">
        <f>IF(_xlfn.XLOOKUP($B80,'ELC TECH'!$H:$H,'ELC TECH'!$E:$E)="Non Dispatchable",IFERROR($AX80*_xlfn.XLOOKUP($C80,$BM$1:$BM$3,BU$1:BU$3)/SUMPRODUCT(_xlfn.XLOOKUP($C80,$BM$1:$BM$3,$BN$1:$BY$3),$BN$4:$BY$4),""),
"")</f>
        <v/>
      </c>
      <c r="BV80" s="8" t="str">
        <f>IF(_xlfn.XLOOKUP($B80,'ELC TECH'!$H:$H,'ELC TECH'!$E:$E)="Non Dispatchable",IFERROR($AX80*_xlfn.XLOOKUP($C80,$BM$1:$BM$3,BV$1:BV$3)/SUMPRODUCT(_xlfn.XLOOKUP($C80,$BM$1:$BM$3,$BN$1:$BY$3),$BN$4:$BY$4),""),
"")</f>
        <v/>
      </c>
      <c r="BW80" s="8" t="str">
        <f>IF(_xlfn.XLOOKUP($B80,'ELC TECH'!$H:$H,'ELC TECH'!$E:$E)="Non Dispatchable",IFERROR($AX80*_xlfn.XLOOKUP($C80,$BM$1:$BM$3,BW$1:BW$3)/SUMPRODUCT(_xlfn.XLOOKUP($C80,$BM$1:$BM$3,$BN$1:$BY$3),$BN$4:$BY$4),""),
"")</f>
        <v/>
      </c>
      <c r="BX80" s="8" t="str">
        <f>IF(_xlfn.XLOOKUP($B80,'ELC TECH'!$H:$H,'ELC TECH'!$E:$E)="Non Dispatchable",IFERROR($AX80*_xlfn.XLOOKUP($C80,$BM$1:$BM$3,BX$1:BX$3)/SUMPRODUCT(_xlfn.XLOOKUP($C80,$BM$1:$BM$3,$BN$1:$BY$3),$BN$4:$BY$4),""),
"")</f>
        <v/>
      </c>
      <c r="BY80" s="8" t="str">
        <f>IF(_xlfn.XLOOKUP($B80,'ELC TECH'!$H:$H,'ELC TECH'!$E:$E)="Non Dispatchable",IFERROR($AX80*_xlfn.XLOOKUP($C80,$BM$1:$BM$3,BY$1:BY$3)/SUMPRODUCT(_xlfn.XLOOKUP($C80,$BM$1:$BM$3,$BN$1:$BY$3),$BN$4:$BY$4),""),
"")</f>
        <v/>
      </c>
      <c r="BZ80" s="8" t="str">
        <f>IF(_xlfn.XLOOKUP($B80,'ELC TECH'!$H:$H,'ELC TECH'!$E:$E)="Non Dispatchable",IFERROR($AX80*_xlfn.XLOOKUP($C80,$BM$1:$BM$3,BZ$1:BZ$3)/SUMPRODUCT(_xlfn.XLOOKUP($C80,$BM$1:$BM$3,$BN$1:$BY$3),$BN$4:$BY$4),""),
"")</f>
        <v/>
      </c>
      <c r="CA80" s="8" t="str">
        <f>IF(_xlfn.XLOOKUP($B80,'ELC TECH'!$H:$H,'ELC TECH'!$E:$E)="Non Dispatchable",IFERROR($AX80*_xlfn.XLOOKUP($C80,$BM$1:$BM$3,CA$1:CA$3)/SUMPRODUCT(_xlfn.XLOOKUP($C80,$BM$1:$BM$3,$BN$1:$BY$3),$BN$4:$BY$4),""),
"")</f>
        <v/>
      </c>
      <c r="CB80" s="8" t="str">
        <f>IF(_xlfn.XLOOKUP($B80,'ELC TECH'!$H:$H,'ELC TECH'!$E:$E)="Non Dispatchable",IFERROR($AX80*_xlfn.XLOOKUP($C80,$BM$1:$BM$3,CB$1:CB$3)/SUMPRODUCT(_xlfn.XLOOKUP($C80,$BM$1:$BM$3,$BN$1:$BY$3),$BN$4:$BY$4),""),
"")</f>
        <v/>
      </c>
      <c r="CC80" s="8" t="str">
        <f>IF(_xlfn.XLOOKUP($B80,'ELC TECH'!$H:$H,'ELC TECH'!$E:$E)="Non Dispatchable",IFERROR($AX80*_xlfn.XLOOKUP($C80,$BM$1:$BM$3,CC$1:CC$3)/SUMPRODUCT(_xlfn.XLOOKUP($C80,$BM$1:$BM$3,$BN$1:$BY$3),$BN$4:$BY$4),""),
"")</f>
        <v/>
      </c>
      <c r="CD80" s="8" t="str">
        <f>IF(_xlfn.XLOOKUP($B80,'ELC TECH'!$H:$H,'ELC TECH'!$E:$E)="Non Dispatchable",IFERROR($AX80*_xlfn.XLOOKUP($C80,$BM$1:$BM$3,CD$1:CD$3)/SUMPRODUCT(_xlfn.XLOOKUP($C80,$BM$1:$BM$3,$BN$1:$BY$3),$BN$4:$BY$4),""),
"")</f>
        <v/>
      </c>
      <c r="CE80" s="8" t="str">
        <f>IF(_xlfn.XLOOKUP($B80,'ELC TECH'!$H:$H,'ELC TECH'!$E:$E)="Non Dispatchable",IFERROR($AX80*_xlfn.XLOOKUP($C80,$BM$1:$BM$3,CE$1:CE$3)/SUMPRODUCT(_xlfn.XLOOKUP($C80,$BM$1:$BM$3,$BN$1:$BY$3),$BN$4:$BY$4),""),
"")</f>
        <v/>
      </c>
      <c r="CF80" s="8" t="str">
        <f>IF(_xlfn.XLOOKUP($B80,'ELC TECH'!$H:$H,'ELC TECH'!$E:$E)="Non Dispatchable",IFERROR($AX80*_xlfn.XLOOKUP($C80,$BM$1:$BM$3,CF$1:CF$3)/SUMPRODUCT(_xlfn.XLOOKUP($C80,$BM$1:$BM$3,$BN$1:$BY$3),$BN$4:$BY$4),""),
"")</f>
        <v/>
      </c>
      <c r="CG80" s="8" t="str">
        <f>IF(_xlfn.XLOOKUP($B80,'ELC TECH'!$H:$H,'ELC TECH'!$E:$E)="Non Dispatchable",IFERROR($AX80*_xlfn.XLOOKUP($C80,$BM$1:$BM$3,CG$1:CG$3)/SUMPRODUCT(_xlfn.XLOOKUP($C80,$BM$1:$BM$3,$BN$1:$BY$3),$BN$4:$BY$4),""),
"")</f>
        <v/>
      </c>
      <c r="CH80" s="8" t="str">
        <f>IF(_xlfn.XLOOKUP($B80,'ELC TECH'!$H:$H,'ELC TECH'!$E:$E)="Non Dispatchable",IFERROR($AX80*_xlfn.XLOOKUP($C80,$BM$1:$BM$3,CH$1:CH$3)/SUMPRODUCT(_xlfn.XLOOKUP($C80,$BM$1:$BM$3,$BN$1:$BY$3),$BN$4:$BY$4),""),
"")</f>
        <v/>
      </c>
      <c r="CI80" s="8" t="str">
        <f>IF(_xlfn.XLOOKUP($B80,'ELC TECH'!$H:$H,'ELC TECH'!$E:$E)="Non Dispatchable",IFERROR($AX80*_xlfn.XLOOKUP($C80,$BM$1:$BM$3,CI$1:CI$3)/SUMPRODUCT(_xlfn.XLOOKUP($C80,$BM$1:$BM$3,$BN$1:$BY$3),$BN$4:$BY$4),""),
"")</f>
        <v/>
      </c>
      <c r="CJ80" s="8" t="str">
        <f>IF(_xlfn.XLOOKUP($B80,'ELC TECH'!$H:$H,'ELC TECH'!$E:$E)="Non Dispatchable",IFERROR($AX80*_xlfn.XLOOKUP($C80,$BM$1:$BM$3,CJ$1:CJ$3)/SUMPRODUCT(_xlfn.XLOOKUP($C80,$BM$1:$BM$3,$BN$1:$BY$3),$BN$4:$BY$4),""),
"")</f>
        <v/>
      </c>
      <c r="CK80" s="8" t="str">
        <f>IF(_xlfn.XLOOKUP($B80,'ELC TECH'!$H:$H,'ELC TECH'!$E:$E)="Non Dispatchable",IFERROR($AX80*_xlfn.XLOOKUP($C80,$BM$1:$BM$3,CK$1:CK$3)/SUMPRODUCT(_xlfn.XLOOKUP($C80,$BM$1:$BM$3,$BN$1:$BY$3),$BN$4:$BY$4),""),
"")</f>
        <v/>
      </c>
      <c r="CL80" s="8">
        <f>IF(_xlfn.XLOOKUP($B80,'ELC TECH'!$H:$H,'ELC TECH'!$E:$E)="Storage",CL$4*$BF80,"")</f>
        <v>2.7399999999999997E-2</v>
      </c>
      <c r="CM80" s="8">
        <f>IF(_xlfn.XLOOKUP($B80,'ELC TECH'!$H:$H,'ELC TECH'!$E:$E)="Storage",CM$4*$BF80,"")</f>
        <v>3.1899999999999998E-2</v>
      </c>
      <c r="CN80" s="8">
        <f>IF(_xlfn.XLOOKUP($B80,'ELC TECH'!$H:$H,'ELC TECH'!$E:$E)="Storage",CN$4*$BF80,"")</f>
        <v>5.1066666666666663E-2</v>
      </c>
      <c r="CO80" s="8">
        <f>IF(_xlfn.XLOOKUP($B80,'ELC TECH'!$H:$H,'ELC TECH'!$E:$E)="Storage",CO$4*$BF80,"")</f>
        <v>1.0666666666666667E-3</v>
      </c>
      <c r="CP80" s="8">
        <f>IF(_xlfn.XLOOKUP($B80,'ELC TECH'!$H:$H,'ELC TECH'!$E:$E)="Storage",CP$4*$BF80,"")</f>
        <v>2.7166666666666665E-2</v>
      </c>
      <c r="CQ80" s="8">
        <f>IF(_xlfn.XLOOKUP($B80,'ELC TECH'!$H:$H,'ELC TECH'!$E:$E)="Storage",CQ$4*$BF80,"")</f>
        <v>3.6233333333333333E-2</v>
      </c>
      <c r="CR80" s="8">
        <f>IF(_xlfn.XLOOKUP($B80,'ELC TECH'!$H:$H,'ELC TECH'!$E:$E)="Storage",CR$4*$BF80,"")</f>
        <v>4.6033333333333329E-2</v>
      </c>
      <c r="CS80" s="8">
        <f>IF(_xlfn.XLOOKUP($B80,'ELC TECH'!$H:$H,'ELC TECH'!$E:$E)="Storage",CS$4*$BF80,"")</f>
        <v>1.0666666666666667E-3</v>
      </c>
      <c r="CT80" s="8">
        <f>IF(_xlfn.XLOOKUP($B80,'ELC TECH'!$H:$H,'ELC TECH'!$E:$E)="Storage",CT$4*$BF80,"")</f>
        <v>3.2500000000000001E-2</v>
      </c>
      <c r="CU80" s="8">
        <f>IF(_xlfn.XLOOKUP($B80,'ELC TECH'!$H:$H,'ELC TECH'!$E:$E)="Storage",CU$4*$BF80,"")</f>
        <v>3.6233333333333333E-2</v>
      </c>
      <c r="CV80" s="8">
        <f>IF(_xlfn.XLOOKUP($B80,'ELC TECH'!$H:$H,'ELC TECH'!$E:$E)="Storage",CV$4*$BF80,"")</f>
        <v>4.176666666666666E-2</v>
      </c>
      <c r="CW80" s="8">
        <f>IF(_xlfn.XLOOKUP($B80,'ELC TECH'!$H:$H,'ELC TECH'!$E:$E)="Storage",CW$4*$BF80,"")</f>
        <v>8.9999999999999998E-4</v>
      </c>
      <c r="CX80" s="8">
        <f>IF(_xlfn.XLOOKUP($B80,'ELC TECH'!$H:$H,'ELC TECH'!$E:$E)="Storage",CX$4*$BF80,"")</f>
        <v>2.7399999999999997E-2</v>
      </c>
      <c r="CY80" s="8">
        <f>IF(_xlfn.XLOOKUP($B80,'ELC TECH'!$H:$H,'ELC TECH'!$E:$E)="Storage",CY$4*$BF80,"")</f>
        <v>3.1899999999999998E-2</v>
      </c>
      <c r="CZ80" s="8">
        <f>IF(_xlfn.XLOOKUP($B80,'ELC TECH'!$H:$H,'ELC TECH'!$E:$E)="Storage",CZ$4*$BF80,"")</f>
        <v>5.1066666666666663E-2</v>
      </c>
      <c r="DA80" s="8">
        <f>IF(_xlfn.XLOOKUP($B80,'ELC TECH'!$H:$H,'ELC TECH'!$E:$E)="Storage",DA$4*$BF80,"")</f>
        <v>1.0666666666666667E-3</v>
      </c>
      <c r="DB80" s="8">
        <f>IF(_xlfn.XLOOKUP($B80,'ELC TECH'!$H:$H,'ELC TECH'!$E:$E)="Storage",DB$4*$BF80,"")</f>
        <v>2.7166666666666665E-2</v>
      </c>
      <c r="DC80" s="8">
        <f>IF(_xlfn.XLOOKUP($B80,'ELC TECH'!$H:$H,'ELC TECH'!$E:$E)="Storage",DC$4*$BF80,"")</f>
        <v>3.6233333333333333E-2</v>
      </c>
      <c r="DD80" s="8">
        <f>IF(_xlfn.XLOOKUP($B80,'ELC TECH'!$H:$H,'ELC TECH'!$E:$E)="Storage",DD$4*$BF80,"")</f>
        <v>4.6033333333333329E-2</v>
      </c>
      <c r="DE80" s="8">
        <f>IF(_xlfn.XLOOKUP($B80,'ELC TECH'!$H:$H,'ELC TECH'!$E:$E)="Storage",DE$4*$BF80,"")</f>
        <v>1.0666666666666667E-3</v>
      </c>
      <c r="DF80" s="8">
        <f>IF(_xlfn.XLOOKUP($B80,'ELC TECH'!$H:$H,'ELC TECH'!$E:$E)="Storage",DF$4*$BF80,"")</f>
        <v>3.2500000000000001E-2</v>
      </c>
      <c r="DG80" s="8">
        <f>IF(_xlfn.XLOOKUP($B80,'ELC TECH'!$H:$H,'ELC TECH'!$E:$E)="Storage",DG$4*$BF80,"")</f>
        <v>3.6233333333333333E-2</v>
      </c>
      <c r="DH80" s="8">
        <f>IF(_xlfn.XLOOKUP($B80,'ELC TECH'!$H:$H,'ELC TECH'!$E:$E)="Storage",DH$4*$BF80,"")</f>
        <v>4.176666666666666E-2</v>
      </c>
      <c r="DI80" s="8">
        <f>IF(_xlfn.XLOOKUP($B80,'ELC TECH'!$H:$H,'ELC TECH'!$E:$E)="Storage",DI$4*$BF80,"")</f>
        <v>8.9999999999999998E-4</v>
      </c>
    </row>
    <row r="81" spans="2:113" x14ac:dyDescent="0.25">
      <c r="B81" t="str">
        <f>IF('ELC TECH'!I74=0,"*",'ELC TECH'!H74)</f>
        <v>ELCSOLGRDCSPC120</v>
      </c>
      <c r="C81" t="str">
        <f>IF(_xlfn.XLOOKUP(_xlfn.XLOOKUP(B81,'ELC TECH'!$H:$H,'ELC TECH'!$G:$G),List!C:C,List!B:B)="STG",D81,"ELC"&amp;_xlfn.XLOOKUP(_xlfn.XLOOKUP(B81,'ELC TECH'!H:H,'ELC TECH'!G:G),List!C:C,List!B:B))</f>
        <v>ELCSOL</v>
      </c>
      <c r="D81" t="s">
        <v>544</v>
      </c>
      <c r="E81">
        <f>_xlfn.XLOOKUP(B81,'ELC TECH'!H:H,'ELC TECH'!D:D)</f>
        <v>2020</v>
      </c>
      <c r="F81">
        <f>_xlfn.XLOOKUP(B81,'ELC TECH'!H:H,'ELC TECH'!K:K)</f>
        <v>30</v>
      </c>
      <c r="G81">
        <f t="shared" si="6"/>
        <v>31.535999999999998</v>
      </c>
      <c r="H81">
        <f>IF(_xlfn.XLOOKUP(B81,'ELC TECH'!$H:$H,'ELC TECH'!$E:$E)="Storage",0.3,IF(_xlfn.XLOOKUP(B81,'ELC TECH'!$H:$H,'ELC TECH'!$E:$E)="Baseload",0.9,IF(_xlfn.XLOOKUP(B81,'ELC TECH'!$H:$H,'ELC TECH'!$E:$E)="Non Dispatchable",0.05,IF(_xlfn.XLOOKUP(B81,'ELC TECH'!$H:$H,'ELC TECH'!$E:$E)="Dispatchable",0.9,1))))</f>
        <v>1</v>
      </c>
      <c r="I81" s="13">
        <f>IF(_xlfn.XLOOKUP(B81,'ELC TECH'!H:H,'ELC TECH'!J:J)="","",_xlfn.XLOOKUP(B81,'ELC TECH'!H:H,'ELC TECH'!J:J))</f>
        <v>0</v>
      </c>
      <c r="J81" s="12">
        <f>IF(_xlfn.XLOOKUP($B81,'ELC TECH'!$H:$H,'ELC TECH'!$E:$E)="Storage","",IF(_xlfn.XLOOKUP($B81,'ELC TECH'!$H:$H,'ELC TECH'!AK:AK)="",1,_xlfn.XLOOKUP($B81,'ELC TECH'!$H:$H,'ELC TECH'!AK:AK)))</f>
        <v>1</v>
      </c>
      <c r="K81" s="12">
        <f>IF(_xlfn.XLOOKUP($B81,'ELC TECH'!$H:$H,'ELC TECH'!$E:$E)="Storage","",IF(_xlfn.XLOOKUP($B81,'ELC TECH'!$H:$H,'ELC TECH'!AL:AL)="",1,_xlfn.XLOOKUP($B81,'ELC TECH'!$H:$H,'ELC TECH'!AL:AL)))</f>
        <v>1</v>
      </c>
      <c r="L81" s="12">
        <f>IF(_xlfn.XLOOKUP($B81,'ELC TECH'!$H:$H,'ELC TECH'!$E:$E)="Storage","",IF(_xlfn.XLOOKUP($B81,'ELC TECH'!$H:$H,'ELC TECH'!AM:AM)="",1,_xlfn.XLOOKUP($B81,'ELC TECH'!$H:$H,'ELC TECH'!AM:AM)))</f>
        <v>1</v>
      </c>
      <c r="M81" s="12">
        <f>IF(_xlfn.XLOOKUP($B81,'ELC TECH'!$H:$H,'ELC TECH'!$E:$E)="Storage","",IF(_xlfn.XLOOKUP($B81,'ELC TECH'!$H:$H,'ELC TECH'!AN:AN)="",1,_xlfn.XLOOKUP($B81,'ELC TECH'!$H:$H,'ELC TECH'!AN:AN)))</f>
        <v>1</v>
      </c>
      <c r="N81" s="12">
        <f>IF(_xlfn.XLOOKUP($B81,'ELC TECH'!$H:$H,'ELC TECH'!$E:$E)="Storage","",IF(_xlfn.XLOOKUP($B81,'ELC TECH'!$H:$H,'ELC TECH'!AO:AO)="",1,_xlfn.XLOOKUP($B81,'ELC TECH'!$H:$H,'ELC TECH'!AO:AO)))</f>
        <v>1</v>
      </c>
      <c r="O81" s="12">
        <f>IF(_xlfn.XLOOKUP($B81,'ELC TECH'!$H:$H,'ELC TECH'!$E:$E)="Storage","",IF(_xlfn.XLOOKUP($B81,'ELC TECH'!$H:$H,'ELC TECH'!AP:AP)="",1,_xlfn.XLOOKUP($B81,'ELC TECH'!$H:$H,'ELC TECH'!AP:AP)))</f>
        <v>1</v>
      </c>
      <c r="P81" s="12">
        <f>IF(_xlfn.XLOOKUP($B81,'ELC TECH'!$H:$H,'ELC TECH'!$E:$E)="Storage","",IF(_xlfn.XLOOKUP($B81,'ELC TECH'!$H:$H,'ELC TECH'!AQ:AQ)="",1,_xlfn.XLOOKUP($B81,'ELC TECH'!$H:$H,'ELC TECH'!AQ:AQ)))</f>
        <v>1</v>
      </c>
      <c r="Q81" s="12">
        <f>IF(_xlfn.XLOOKUP($B81,'ELC TECH'!$H:$H,'ELC TECH'!$E:$E)="Storage","",IF(_xlfn.XLOOKUP($B81,'ELC TECH'!$H:$H,'ELC TECH'!AR:AR)="",1,_xlfn.XLOOKUP($B81,'ELC TECH'!$H:$H,'ELC TECH'!AR:AR)))</f>
        <v>1</v>
      </c>
      <c r="R81" s="12" t="str">
        <f>IF(_xlfn.XLOOKUP($B81,'ELC TECH'!$H:$H,'ELC TECH'!$E:$E)&lt;&gt;"Storage","",IF(_xlfn.XLOOKUP($B81,'ELC TECH'!$H:$H,'ELC TECH'!AK:AK)="",0.8,_xlfn.XLOOKUP($B81,'ELC TECH'!$H:$H,'ELC TECH'!AK:AK)))</f>
        <v/>
      </c>
      <c r="S81" s="12" t="str">
        <f>IF(_xlfn.XLOOKUP($B81,'ELC TECH'!$H:$H,'ELC TECH'!$E:$E)&lt;&gt;"Storage","",IF(_xlfn.XLOOKUP($B81,'ELC TECH'!$H:$H,'ELC TECH'!AL:AL)="",0.8,_xlfn.XLOOKUP($B81,'ELC TECH'!$H:$H,'ELC TECH'!AL:AL)))</f>
        <v/>
      </c>
      <c r="T81" s="12" t="str">
        <f>IF(_xlfn.XLOOKUP($B81,'ELC TECH'!$H:$H,'ELC TECH'!$E:$E)&lt;&gt;"Storage","",IF(_xlfn.XLOOKUP($B81,'ELC TECH'!$H:$H,'ELC TECH'!AM:AM)="",0.8,_xlfn.XLOOKUP($B81,'ELC TECH'!$H:$H,'ELC TECH'!AM:AM)))</f>
        <v/>
      </c>
      <c r="U81" s="12" t="str">
        <f>IF(_xlfn.XLOOKUP($B81,'ELC TECH'!$H:$H,'ELC TECH'!$E:$E)&lt;&gt;"Storage","",IF(_xlfn.XLOOKUP($B81,'ELC TECH'!$H:$H,'ELC TECH'!AN:AN)="",0.8,_xlfn.XLOOKUP($B81,'ELC TECH'!$H:$H,'ELC TECH'!AN:AN)))</f>
        <v/>
      </c>
      <c r="V81" s="12" t="str">
        <f>IF(_xlfn.XLOOKUP($B81,'ELC TECH'!$H:$H,'ELC TECH'!$E:$E)&lt;&gt;"Storage","",IF(_xlfn.XLOOKUP($B81,'ELC TECH'!$H:$H,'ELC TECH'!AO:AO)="",0.8,_xlfn.XLOOKUP($B81,'ELC TECH'!$H:$H,'ELC TECH'!AO:AO)))</f>
        <v/>
      </c>
      <c r="W81" s="12" t="str">
        <f>IF(_xlfn.XLOOKUP($B81,'ELC TECH'!$H:$H,'ELC TECH'!$E:$E)&lt;&gt;"Storage","",IF(_xlfn.XLOOKUP($B81,'ELC TECH'!$H:$H,'ELC TECH'!AP:AP)="",0.8,_xlfn.XLOOKUP($B81,'ELC TECH'!$H:$H,'ELC TECH'!AP:AP)))</f>
        <v/>
      </c>
      <c r="X81" s="12" t="str">
        <f>IF(_xlfn.XLOOKUP($B81,'ELC TECH'!$H:$H,'ELC TECH'!$E:$E)&lt;&gt;"Storage","",IF(_xlfn.XLOOKUP($B81,'ELC TECH'!$H:$H,'ELC TECH'!AQ:AQ)="",0.8,_xlfn.XLOOKUP($B81,'ELC TECH'!$H:$H,'ELC TECH'!AQ:AQ)))</f>
        <v/>
      </c>
      <c r="Y81" s="12" t="str">
        <f>IF(_xlfn.XLOOKUP($B81,'ELC TECH'!$H:$H,'ELC TECH'!$E:$E)&lt;&gt;"Storage","",IF(_xlfn.XLOOKUP($B81,'ELC TECH'!$H:$H,'ELC TECH'!AR:AR)="",0.8,_xlfn.XLOOKUP($B81,'ELC TECH'!$H:$H,'ELC TECH'!AR:AR)))</f>
        <v/>
      </c>
      <c r="Z81" s="15">
        <f>_xlfn.XLOOKUP($B81,'ELC TECH'!$H:$H,'ELC TECH'!M:M)</f>
        <v>7714.0905381440816</v>
      </c>
      <c r="AA81" s="15">
        <f>_xlfn.XLOOKUP($B81,'ELC TECH'!$H:$H,'ELC TECH'!N:N)</f>
        <v>6685.54513305821</v>
      </c>
      <c r="AB81" s="15">
        <f>_xlfn.XLOOKUP($B81,'ELC TECH'!$H:$H,'ELC TECH'!O:O)</f>
        <v>5399.8633767008541</v>
      </c>
      <c r="AC81" s="15">
        <f>_xlfn.XLOOKUP($B81,'ELC TECH'!$H:$H,'ELC TECH'!P:P)</f>
        <v>5207.0111132472512</v>
      </c>
      <c r="AD81" s="15">
        <f>_xlfn.XLOOKUP($B81,'ELC TECH'!$H:$H,'ELC TECH'!Q:Q)</f>
        <v>5014.1588497936491</v>
      </c>
      <c r="AE81" s="15">
        <f>_xlfn.XLOOKUP($B81,'ELC TECH'!$H:$H,'ELC TECH'!R:R)</f>
        <v>4821.306586340047</v>
      </c>
      <c r="AF81" s="15">
        <f>_xlfn.XLOOKUP($B81,'ELC TECH'!$H:$H,'ELC TECH'!S:S)</f>
        <v>4628.4543228864441</v>
      </c>
      <c r="AG81" s="15">
        <f>_xlfn.XLOOKUP($B81,'ELC TECH'!$H:$H,'ELC TECH'!T:T)</f>
        <v>4628.4543228864441</v>
      </c>
      <c r="AH81" s="15">
        <f>_xlfn.XLOOKUP($B81,'ELC TECH'!$H:$H,'ELC TECH'!U:U)</f>
        <v>78.13820520946102</v>
      </c>
      <c r="AI81" s="15">
        <f>_xlfn.XLOOKUP($B81,'ELC TECH'!$H:$H,'ELC TECH'!V:V)</f>
        <v>69.456182408409788</v>
      </c>
      <c r="AJ81" s="15">
        <f>_xlfn.XLOOKUP($B81,'ELC TECH'!$H:$H,'ELC TECH'!W:W)</f>
        <v>58.603653907095762</v>
      </c>
      <c r="AK81" s="15">
        <f>_xlfn.XLOOKUP($B81,'ELC TECH'!$H:$H,'ELC TECH'!X:X)</f>
        <v>58.603653907095762</v>
      </c>
      <c r="AL81" s="15">
        <f>_xlfn.XLOOKUP($B81,'ELC TECH'!$H:$H,'ELC TECH'!Y:Y)</f>
        <v>58.603653907095762</v>
      </c>
      <c r="AM81" s="15">
        <f>_xlfn.XLOOKUP($B81,'ELC TECH'!$H:$H,'ELC TECH'!Z:Z)</f>
        <v>58.603653907095762</v>
      </c>
      <c r="AN81" s="15">
        <f>_xlfn.XLOOKUP($B81,'ELC TECH'!$H:$H,'ELC TECH'!AA:AA)</f>
        <v>58.603653907095762</v>
      </c>
      <c r="AO81" s="15">
        <f>_xlfn.XLOOKUP($B81,'ELC TECH'!$H:$H,'ELC TECH'!AB:AB)</f>
        <v>58.603653907095762</v>
      </c>
      <c r="AP81" s="15">
        <f>_xlfn.XLOOKUP($B81,'ELC TECH'!$H:$H,'ELC TECH'!AC:AC)</f>
        <v>1.151025750139367</v>
      </c>
      <c r="AQ81" s="15">
        <f>_xlfn.XLOOKUP($B81,'ELC TECH'!$H:$H,'ELC TECH'!AD:AD)</f>
        <v>1.0582610423917429</v>
      </c>
      <c r="AR81" s="15">
        <f>_xlfn.XLOOKUP($B81,'ELC TECH'!$H:$H,'ELC TECH'!AE:AE)</f>
        <v>0.94230515770721801</v>
      </c>
      <c r="AS81" s="15">
        <f>_xlfn.XLOOKUP($B81,'ELC TECH'!$H:$H,'ELC TECH'!AF:AF)</f>
        <v>0.94230515770721801</v>
      </c>
      <c r="AT81" s="15">
        <f>_xlfn.XLOOKUP($B81,'ELC TECH'!$H:$H,'ELC TECH'!AG:AG)</f>
        <v>0.94230515770721801</v>
      </c>
      <c r="AU81" s="15">
        <f>_xlfn.XLOOKUP($B81,'ELC TECH'!$H:$H,'ELC TECH'!AH:AH)</f>
        <v>0.94230515770721801</v>
      </c>
      <c r="AV81" s="15">
        <f>_xlfn.XLOOKUP($B81,'ELC TECH'!$H:$H,'ELC TECH'!AI:AI)</f>
        <v>0.94230515770721801</v>
      </c>
      <c r="AW81" s="15">
        <f>_xlfn.XLOOKUP($B81,'ELC TECH'!$H:$H,'ELC TECH'!AJ:AJ)</f>
        <v>0.94230515770721801</v>
      </c>
      <c r="AX81" s="12">
        <f>IF(_xlfn.XLOOKUP($B81,'ELC TECH'!$H:$H,'ELC TECH'!$E:$E)="Storage","",_xlfn.XLOOKUP($B81,'ELC TECH'!$H:$H,'ELC TECH'!AS:AS))</f>
        <v>0.66600000000000004</v>
      </c>
      <c r="AY81" s="12">
        <f>IF(_xlfn.XLOOKUP($B81,'ELC TECH'!$H:$H,'ELC TECH'!$E:$E)="Storage","",_xlfn.XLOOKUP($B81,'ELC TECH'!$H:$H,'ELC TECH'!AT:AT))</f>
        <v>0.66600000000000004</v>
      </c>
      <c r="AZ81" s="12">
        <f>IF(_xlfn.XLOOKUP($B81,'ELC TECH'!$H:$H,'ELC TECH'!$E:$E)="Storage","",_xlfn.XLOOKUP($B81,'ELC TECH'!$H:$H,'ELC TECH'!AU:AU))</f>
        <v>0.66600000000000004</v>
      </c>
      <c r="BA81" s="12">
        <f>IF(_xlfn.XLOOKUP($B81,'ELC TECH'!$H:$H,'ELC TECH'!$E:$E)="Storage","",_xlfn.XLOOKUP($B81,'ELC TECH'!$H:$H,'ELC TECH'!AV:AV))</f>
        <v>0.66600000000000004</v>
      </c>
      <c r="BB81" s="12">
        <f>IF(_xlfn.XLOOKUP($B81,'ELC TECH'!$H:$H,'ELC TECH'!$E:$E)="Storage","",_xlfn.XLOOKUP($B81,'ELC TECH'!$H:$H,'ELC TECH'!AW:AW))</f>
        <v>0.66600000000000004</v>
      </c>
      <c r="BC81" s="12">
        <f>IF(_xlfn.XLOOKUP($B81,'ELC TECH'!$H:$H,'ELC TECH'!$E:$E)="Storage","",_xlfn.XLOOKUP($B81,'ELC TECH'!$H:$H,'ELC TECH'!AX:AX))</f>
        <v>0.66600000000000004</v>
      </c>
      <c r="BD81" s="12">
        <f>IF(_xlfn.XLOOKUP($B81,'ELC TECH'!$H:$H,'ELC TECH'!$E:$E)="Storage","",_xlfn.XLOOKUP($B81,'ELC TECH'!$H:$H,'ELC TECH'!AY:AY))</f>
        <v>0.66600000000000004</v>
      </c>
      <c r="BE81" s="12">
        <f>IF(_xlfn.XLOOKUP($B81,'ELC TECH'!$H:$H,'ELC TECH'!$E:$E)="Storage","",_xlfn.XLOOKUP($B81,'ELC TECH'!$H:$H,'ELC TECH'!AZ:AZ))</f>
        <v>0.66600000000000004</v>
      </c>
      <c r="BF81" s="12" t="str">
        <f>IF(_xlfn.XLOOKUP($B81,'ELC TECH'!$H:$H,'ELC TECH'!$E:$E)="Storage",_xlfn.XLOOKUP($B81,'ELC TECH'!$H:$H,'ELC TECH'!AS:AS),"")</f>
        <v/>
      </c>
      <c r="BG81" s="12" t="str">
        <f>IF(_xlfn.XLOOKUP($B81,'ELC TECH'!$H:$H,'ELC TECH'!$E:$E)="Storage",_xlfn.XLOOKUP($B81,'ELC TECH'!$H:$H,'ELC TECH'!AT:AT),"")</f>
        <v/>
      </c>
      <c r="BH81" s="12" t="str">
        <f>IF(_xlfn.XLOOKUP($B81,'ELC TECH'!$H:$H,'ELC TECH'!$E:$E)="Storage",_xlfn.XLOOKUP($B81,'ELC TECH'!$H:$H,'ELC TECH'!AU:AU),"")</f>
        <v/>
      </c>
      <c r="BI81" s="12" t="str">
        <f>IF(_xlfn.XLOOKUP($B81,'ELC TECH'!$H:$H,'ELC TECH'!$E:$E)="Storage",_xlfn.XLOOKUP($B81,'ELC TECH'!$H:$H,'ELC TECH'!AV:AV),"")</f>
        <v/>
      </c>
      <c r="BJ81" s="12" t="str">
        <f>IF(_xlfn.XLOOKUP($B81,'ELC TECH'!$H:$H,'ELC TECH'!$E:$E)="Storage",_xlfn.XLOOKUP($B81,'ELC TECH'!$H:$H,'ELC TECH'!AW:AW),"")</f>
        <v/>
      </c>
      <c r="BK81" s="12" t="str">
        <f>IF(_xlfn.XLOOKUP($B81,'ELC TECH'!$H:$H,'ELC TECH'!$E:$E)="Storage",_xlfn.XLOOKUP($B81,'ELC TECH'!$H:$H,'ELC TECH'!AX:AX),"")</f>
        <v/>
      </c>
      <c r="BL81" s="12" t="str">
        <f>IF(_xlfn.XLOOKUP($B81,'ELC TECH'!$H:$H,'ELC TECH'!$E:$E)="Storage",_xlfn.XLOOKUP($B81,'ELC TECH'!$H:$H,'ELC TECH'!AY:AY),"")</f>
        <v/>
      </c>
      <c r="BM81" s="12" t="str">
        <f>IF(_xlfn.XLOOKUP($B81,'ELC TECH'!$H:$H,'ELC TECH'!$E:$E)="Storage",_xlfn.XLOOKUP($B81,'ELC TECH'!$H:$H,'ELC TECH'!AZ:AZ),"")</f>
        <v/>
      </c>
      <c r="BN81" s="8" t="str">
        <f>IF(_xlfn.XLOOKUP($B81,'ELC TECH'!$H:$H,'ELC TECH'!$E:$E)="Non Dispatchable",IFERROR($AX81*_xlfn.XLOOKUP($C81,$BM$1:$BM$3,BN$1:BN$3)/SUMPRODUCT(_xlfn.XLOOKUP($C81,$BM$1:$BM$3,$BN$1:$BY$3),$BN$4:$BY$4),""),
"")</f>
        <v/>
      </c>
      <c r="BO81" s="8" t="str">
        <f>IF(_xlfn.XLOOKUP($B81,'ELC TECH'!$H:$H,'ELC TECH'!$E:$E)="Non Dispatchable",IFERROR($AX81*_xlfn.XLOOKUP($C81,$BM$1:$BM$3,BO$1:BO$3)/SUMPRODUCT(_xlfn.XLOOKUP($C81,$BM$1:$BM$3,$BN$1:$BY$3),$BN$4:$BY$4),""),
"")</f>
        <v/>
      </c>
      <c r="BP81" s="8" t="str">
        <f>IF(_xlfn.XLOOKUP($B81,'ELC TECH'!$H:$H,'ELC TECH'!$E:$E)="Non Dispatchable",IFERROR($AX81*_xlfn.XLOOKUP($C81,$BM$1:$BM$3,BP$1:BP$3)/SUMPRODUCT(_xlfn.XLOOKUP($C81,$BM$1:$BM$3,$BN$1:$BY$3),$BN$4:$BY$4),""),
"")</f>
        <v/>
      </c>
      <c r="BQ81" s="8" t="str">
        <f>IF(_xlfn.XLOOKUP($B81,'ELC TECH'!$H:$H,'ELC TECH'!$E:$E)="Non Dispatchable",IFERROR($AX81*_xlfn.XLOOKUP($C81,$BM$1:$BM$3,BQ$1:BQ$3)/SUMPRODUCT(_xlfn.XLOOKUP($C81,$BM$1:$BM$3,$BN$1:$BY$3),$BN$4:$BY$4),""),
"")</f>
        <v/>
      </c>
      <c r="BR81" s="8" t="str">
        <f>IF(_xlfn.XLOOKUP($B81,'ELC TECH'!$H:$H,'ELC TECH'!$E:$E)="Non Dispatchable",IFERROR($AX81*_xlfn.XLOOKUP($C81,$BM$1:$BM$3,BR$1:BR$3)/SUMPRODUCT(_xlfn.XLOOKUP($C81,$BM$1:$BM$3,$BN$1:$BY$3),$BN$4:$BY$4),""),
"")</f>
        <v/>
      </c>
      <c r="BS81" s="8" t="str">
        <f>IF(_xlfn.XLOOKUP($B81,'ELC TECH'!$H:$H,'ELC TECH'!$E:$E)="Non Dispatchable",IFERROR($AX81*_xlfn.XLOOKUP($C81,$BM$1:$BM$3,BS$1:BS$3)/SUMPRODUCT(_xlfn.XLOOKUP($C81,$BM$1:$BM$3,$BN$1:$BY$3),$BN$4:$BY$4),""),
"")</f>
        <v/>
      </c>
      <c r="BT81" s="8" t="str">
        <f>IF(_xlfn.XLOOKUP($B81,'ELC TECH'!$H:$H,'ELC TECH'!$E:$E)="Non Dispatchable",IFERROR($AX81*_xlfn.XLOOKUP($C81,$BM$1:$BM$3,BT$1:BT$3)/SUMPRODUCT(_xlfn.XLOOKUP($C81,$BM$1:$BM$3,$BN$1:$BY$3),$BN$4:$BY$4),""),
"")</f>
        <v/>
      </c>
      <c r="BU81" s="8" t="str">
        <f>IF(_xlfn.XLOOKUP($B81,'ELC TECH'!$H:$H,'ELC TECH'!$E:$E)="Non Dispatchable",IFERROR($AX81*_xlfn.XLOOKUP($C81,$BM$1:$BM$3,BU$1:BU$3)/SUMPRODUCT(_xlfn.XLOOKUP($C81,$BM$1:$BM$3,$BN$1:$BY$3),$BN$4:$BY$4),""),
"")</f>
        <v/>
      </c>
      <c r="BV81" s="8" t="str">
        <f>IF(_xlfn.XLOOKUP($B81,'ELC TECH'!$H:$H,'ELC TECH'!$E:$E)="Non Dispatchable",IFERROR($AX81*_xlfn.XLOOKUP($C81,$BM$1:$BM$3,BV$1:BV$3)/SUMPRODUCT(_xlfn.XLOOKUP($C81,$BM$1:$BM$3,$BN$1:$BY$3),$BN$4:$BY$4),""),
"")</f>
        <v/>
      </c>
      <c r="BW81" s="8" t="str">
        <f>IF(_xlfn.XLOOKUP($B81,'ELC TECH'!$H:$H,'ELC TECH'!$E:$E)="Non Dispatchable",IFERROR($AX81*_xlfn.XLOOKUP($C81,$BM$1:$BM$3,BW$1:BW$3)/SUMPRODUCT(_xlfn.XLOOKUP($C81,$BM$1:$BM$3,$BN$1:$BY$3),$BN$4:$BY$4),""),
"")</f>
        <v/>
      </c>
      <c r="BX81" s="8" t="str">
        <f>IF(_xlfn.XLOOKUP($B81,'ELC TECH'!$H:$H,'ELC TECH'!$E:$E)="Non Dispatchable",IFERROR($AX81*_xlfn.XLOOKUP($C81,$BM$1:$BM$3,BX$1:BX$3)/SUMPRODUCT(_xlfn.XLOOKUP($C81,$BM$1:$BM$3,$BN$1:$BY$3),$BN$4:$BY$4),""),
"")</f>
        <v/>
      </c>
      <c r="BY81" s="8" t="str">
        <f>IF(_xlfn.XLOOKUP($B81,'ELC TECH'!$H:$H,'ELC TECH'!$E:$E)="Non Dispatchable",IFERROR($AX81*_xlfn.XLOOKUP($C81,$BM$1:$BM$3,BY$1:BY$3)/SUMPRODUCT(_xlfn.XLOOKUP($C81,$BM$1:$BM$3,$BN$1:$BY$3),$BN$4:$BY$4),""),
"")</f>
        <v/>
      </c>
      <c r="BZ81" s="8" t="str">
        <f>IF(_xlfn.XLOOKUP($B81,'ELC TECH'!$H:$H,'ELC TECH'!$E:$E)="Non Dispatchable",IFERROR($AX81*_xlfn.XLOOKUP($C81,$BM$1:$BM$3,BZ$1:BZ$3)/SUMPRODUCT(_xlfn.XLOOKUP($C81,$BM$1:$BM$3,$BN$1:$BY$3),$BN$4:$BY$4),""),
"")</f>
        <v/>
      </c>
      <c r="CA81" s="8" t="str">
        <f>IF(_xlfn.XLOOKUP($B81,'ELC TECH'!$H:$H,'ELC TECH'!$E:$E)="Non Dispatchable",IFERROR($AX81*_xlfn.XLOOKUP($C81,$BM$1:$BM$3,CA$1:CA$3)/SUMPRODUCT(_xlfn.XLOOKUP($C81,$BM$1:$BM$3,$BN$1:$BY$3),$BN$4:$BY$4),""),
"")</f>
        <v/>
      </c>
      <c r="CB81" s="8" t="str">
        <f>IF(_xlfn.XLOOKUP($B81,'ELC TECH'!$H:$H,'ELC TECH'!$E:$E)="Non Dispatchable",IFERROR($AX81*_xlfn.XLOOKUP($C81,$BM$1:$BM$3,CB$1:CB$3)/SUMPRODUCT(_xlfn.XLOOKUP($C81,$BM$1:$BM$3,$BN$1:$BY$3),$BN$4:$BY$4),""),
"")</f>
        <v/>
      </c>
      <c r="CC81" s="8" t="str">
        <f>IF(_xlfn.XLOOKUP($B81,'ELC TECH'!$H:$H,'ELC TECH'!$E:$E)="Non Dispatchable",IFERROR($AX81*_xlfn.XLOOKUP($C81,$BM$1:$BM$3,CC$1:CC$3)/SUMPRODUCT(_xlfn.XLOOKUP($C81,$BM$1:$BM$3,$BN$1:$BY$3),$BN$4:$BY$4),""),
"")</f>
        <v/>
      </c>
      <c r="CD81" s="8" t="str">
        <f>IF(_xlfn.XLOOKUP($B81,'ELC TECH'!$H:$H,'ELC TECH'!$E:$E)="Non Dispatchable",IFERROR($AX81*_xlfn.XLOOKUP($C81,$BM$1:$BM$3,CD$1:CD$3)/SUMPRODUCT(_xlfn.XLOOKUP($C81,$BM$1:$BM$3,$BN$1:$BY$3),$BN$4:$BY$4),""),
"")</f>
        <v/>
      </c>
      <c r="CE81" s="8" t="str">
        <f>IF(_xlfn.XLOOKUP($B81,'ELC TECH'!$H:$H,'ELC TECH'!$E:$E)="Non Dispatchable",IFERROR($AX81*_xlfn.XLOOKUP($C81,$BM$1:$BM$3,CE$1:CE$3)/SUMPRODUCT(_xlfn.XLOOKUP($C81,$BM$1:$BM$3,$BN$1:$BY$3),$BN$4:$BY$4),""),
"")</f>
        <v/>
      </c>
      <c r="CF81" s="8" t="str">
        <f>IF(_xlfn.XLOOKUP($B81,'ELC TECH'!$H:$H,'ELC TECH'!$E:$E)="Non Dispatchable",IFERROR($AX81*_xlfn.XLOOKUP($C81,$BM$1:$BM$3,CF$1:CF$3)/SUMPRODUCT(_xlfn.XLOOKUP($C81,$BM$1:$BM$3,$BN$1:$BY$3),$BN$4:$BY$4),""),
"")</f>
        <v/>
      </c>
      <c r="CG81" s="8" t="str">
        <f>IF(_xlfn.XLOOKUP($B81,'ELC TECH'!$H:$H,'ELC TECH'!$E:$E)="Non Dispatchable",IFERROR($AX81*_xlfn.XLOOKUP($C81,$BM$1:$BM$3,CG$1:CG$3)/SUMPRODUCT(_xlfn.XLOOKUP($C81,$BM$1:$BM$3,$BN$1:$BY$3),$BN$4:$BY$4),""),
"")</f>
        <v/>
      </c>
      <c r="CH81" s="8" t="str">
        <f>IF(_xlfn.XLOOKUP($B81,'ELC TECH'!$H:$H,'ELC TECH'!$E:$E)="Non Dispatchable",IFERROR($AX81*_xlfn.XLOOKUP($C81,$BM$1:$BM$3,CH$1:CH$3)/SUMPRODUCT(_xlfn.XLOOKUP($C81,$BM$1:$BM$3,$BN$1:$BY$3),$BN$4:$BY$4),""),
"")</f>
        <v/>
      </c>
      <c r="CI81" s="8" t="str">
        <f>IF(_xlfn.XLOOKUP($B81,'ELC TECH'!$H:$H,'ELC TECH'!$E:$E)="Non Dispatchable",IFERROR($AX81*_xlfn.XLOOKUP($C81,$BM$1:$BM$3,CI$1:CI$3)/SUMPRODUCT(_xlfn.XLOOKUP($C81,$BM$1:$BM$3,$BN$1:$BY$3),$BN$4:$BY$4),""),
"")</f>
        <v/>
      </c>
      <c r="CJ81" s="8" t="str">
        <f>IF(_xlfn.XLOOKUP($B81,'ELC TECH'!$H:$H,'ELC TECH'!$E:$E)="Non Dispatchable",IFERROR($AX81*_xlfn.XLOOKUP($C81,$BM$1:$BM$3,CJ$1:CJ$3)/SUMPRODUCT(_xlfn.XLOOKUP($C81,$BM$1:$BM$3,$BN$1:$BY$3),$BN$4:$BY$4),""),
"")</f>
        <v/>
      </c>
      <c r="CK81" s="8" t="str">
        <f>IF(_xlfn.XLOOKUP($B81,'ELC TECH'!$H:$H,'ELC TECH'!$E:$E)="Non Dispatchable",IFERROR($AX81*_xlfn.XLOOKUP($C81,$BM$1:$BM$3,CK$1:CK$3)/SUMPRODUCT(_xlfn.XLOOKUP($C81,$BM$1:$BM$3,$BN$1:$BY$3),$BN$4:$BY$4),""),
"")</f>
        <v/>
      </c>
      <c r="CL81" s="8" t="str">
        <f>IF(_xlfn.XLOOKUP($B81,'ELC TECH'!$H:$H,'ELC TECH'!$E:$E)="Storage",CL$4*$BF81,"")</f>
        <v/>
      </c>
      <c r="CM81" s="8" t="str">
        <f>IF(_xlfn.XLOOKUP($B81,'ELC TECH'!$H:$H,'ELC TECH'!$E:$E)="Storage",CM$4*$BF81,"")</f>
        <v/>
      </c>
      <c r="CN81" s="8" t="str">
        <f>IF(_xlfn.XLOOKUP($B81,'ELC TECH'!$H:$H,'ELC TECH'!$E:$E)="Storage",CN$4*$BF81,"")</f>
        <v/>
      </c>
      <c r="CO81" s="8" t="str">
        <f>IF(_xlfn.XLOOKUP($B81,'ELC TECH'!$H:$H,'ELC TECH'!$E:$E)="Storage",CO$4*$BF81,"")</f>
        <v/>
      </c>
      <c r="CP81" s="8" t="str">
        <f>IF(_xlfn.XLOOKUP($B81,'ELC TECH'!$H:$H,'ELC TECH'!$E:$E)="Storage",CP$4*$BF81,"")</f>
        <v/>
      </c>
      <c r="CQ81" s="8" t="str">
        <f>IF(_xlfn.XLOOKUP($B81,'ELC TECH'!$H:$H,'ELC TECH'!$E:$E)="Storage",CQ$4*$BF81,"")</f>
        <v/>
      </c>
      <c r="CR81" s="8" t="str">
        <f>IF(_xlfn.XLOOKUP($B81,'ELC TECH'!$H:$H,'ELC TECH'!$E:$E)="Storage",CR$4*$BF81,"")</f>
        <v/>
      </c>
      <c r="CS81" s="8" t="str">
        <f>IF(_xlfn.XLOOKUP($B81,'ELC TECH'!$H:$H,'ELC TECH'!$E:$E)="Storage",CS$4*$BF81,"")</f>
        <v/>
      </c>
      <c r="CT81" s="8" t="str">
        <f>IF(_xlfn.XLOOKUP($B81,'ELC TECH'!$H:$H,'ELC TECH'!$E:$E)="Storage",CT$4*$BF81,"")</f>
        <v/>
      </c>
      <c r="CU81" s="8" t="str">
        <f>IF(_xlfn.XLOOKUP($B81,'ELC TECH'!$H:$H,'ELC TECH'!$E:$E)="Storage",CU$4*$BF81,"")</f>
        <v/>
      </c>
      <c r="CV81" s="8" t="str">
        <f>IF(_xlfn.XLOOKUP($B81,'ELC TECH'!$H:$H,'ELC TECH'!$E:$E)="Storage",CV$4*$BF81,"")</f>
        <v/>
      </c>
      <c r="CW81" s="8" t="str">
        <f>IF(_xlfn.XLOOKUP($B81,'ELC TECH'!$H:$H,'ELC TECH'!$E:$E)="Storage",CW$4*$BF81,"")</f>
        <v/>
      </c>
      <c r="CX81" s="8" t="str">
        <f>IF(_xlfn.XLOOKUP($B81,'ELC TECH'!$H:$H,'ELC TECH'!$E:$E)="Storage",CX$4*$BF81,"")</f>
        <v/>
      </c>
      <c r="CY81" s="8" t="str">
        <f>IF(_xlfn.XLOOKUP($B81,'ELC TECH'!$H:$H,'ELC TECH'!$E:$E)="Storage",CY$4*$BF81,"")</f>
        <v/>
      </c>
      <c r="CZ81" s="8" t="str">
        <f>IF(_xlfn.XLOOKUP($B81,'ELC TECH'!$H:$H,'ELC TECH'!$E:$E)="Storage",CZ$4*$BF81,"")</f>
        <v/>
      </c>
      <c r="DA81" s="8" t="str">
        <f>IF(_xlfn.XLOOKUP($B81,'ELC TECH'!$H:$H,'ELC TECH'!$E:$E)="Storage",DA$4*$BF81,"")</f>
        <v/>
      </c>
      <c r="DB81" s="8" t="str">
        <f>IF(_xlfn.XLOOKUP($B81,'ELC TECH'!$H:$H,'ELC TECH'!$E:$E)="Storage",DB$4*$BF81,"")</f>
        <v/>
      </c>
      <c r="DC81" s="8" t="str">
        <f>IF(_xlfn.XLOOKUP($B81,'ELC TECH'!$H:$H,'ELC TECH'!$E:$E)="Storage",DC$4*$BF81,"")</f>
        <v/>
      </c>
      <c r="DD81" s="8" t="str">
        <f>IF(_xlfn.XLOOKUP($B81,'ELC TECH'!$H:$H,'ELC TECH'!$E:$E)="Storage",DD$4*$BF81,"")</f>
        <v/>
      </c>
      <c r="DE81" s="8" t="str">
        <f>IF(_xlfn.XLOOKUP($B81,'ELC TECH'!$H:$H,'ELC TECH'!$E:$E)="Storage",DE$4*$BF81,"")</f>
        <v/>
      </c>
      <c r="DF81" s="8" t="str">
        <f>IF(_xlfn.XLOOKUP($B81,'ELC TECH'!$H:$H,'ELC TECH'!$E:$E)="Storage",DF$4*$BF81,"")</f>
        <v/>
      </c>
      <c r="DG81" s="8" t="str">
        <f>IF(_xlfn.XLOOKUP($B81,'ELC TECH'!$H:$H,'ELC TECH'!$E:$E)="Storage",DG$4*$BF81,"")</f>
        <v/>
      </c>
      <c r="DH81" s="8" t="str">
        <f>IF(_xlfn.XLOOKUP($B81,'ELC TECH'!$H:$H,'ELC TECH'!$E:$E)="Storage",DH$4*$BF81,"")</f>
        <v/>
      </c>
      <c r="DI81" s="8" t="str">
        <f>IF(_xlfn.XLOOKUP($B81,'ELC TECH'!$H:$H,'ELC TECH'!$E:$E)="Storage",DI$4*$BF81,"")</f>
        <v/>
      </c>
    </row>
    <row r="82" spans="2:113" x14ac:dyDescent="0.25">
      <c r="B82" t="str">
        <f>IF('ELC TECH'!I75=0,"*",'ELC TECH'!H75)</f>
        <v>ELCSOLGRDCSPC220</v>
      </c>
      <c r="C82" t="str">
        <f>IF(_xlfn.XLOOKUP(_xlfn.XLOOKUP(B82,'ELC TECH'!$H:$H,'ELC TECH'!$G:$G),List!C:C,List!B:B)="STG",D82,"ELC"&amp;_xlfn.XLOOKUP(_xlfn.XLOOKUP(B82,'ELC TECH'!H:H,'ELC TECH'!G:G),List!C:C,List!B:B))</f>
        <v>ELCSOL</v>
      </c>
      <c r="D82" t="s">
        <v>544</v>
      </c>
      <c r="E82">
        <f>_xlfn.XLOOKUP(B82,'ELC TECH'!H:H,'ELC TECH'!D:D)</f>
        <v>2020</v>
      </c>
      <c r="F82">
        <f>_xlfn.XLOOKUP(B82,'ELC TECH'!H:H,'ELC TECH'!K:K)</f>
        <v>30</v>
      </c>
      <c r="G82">
        <f t="shared" si="6"/>
        <v>31.535999999999998</v>
      </c>
      <c r="H82">
        <f>IF(_xlfn.XLOOKUP(B82,'ELC TECH'!$H:$H,'ELC TECH'!$E:$E)="Storage",0.3,IF(_xlfn.XLOOKUP(B82,'ELC TECH'!$H:$H,'ELC TECH'!$E:$E)="Baseload",0.9,IF(_xlfn.XLOOKUP(B82,'ELC TECH'!$H:$H,'ELC TECH'!$E:$E)="Non Dispatchable",0.05,IF(_xlfn.XLOOKUP(B82,'ELC TECH'!$H:$H,'ELC TECH'!$E:$E)="Dispatchable",0.9,1))))</f>
        <v>1</v>
      </c>
      <c r="I82" s="13">
        <f>IF(_xlfn.XLOOKUP(B82,'ELC TECH'!H:H,'ELC TECH'!J:J)="","",_xlfn.XLOOKUP(B82,'ELC TECH'!H:H,'ELC TECH'!J:J))</f>
        <v>0</v>
      </c>
      <c r="J82" s="12">
        <f>IF(_xlfn.XLOOKUP($B82,'ELC TECH'!$H:$H,'ELC TECH'!$E:$E)="Storage","",IF(_xlfn.XLOOKUP($B82,'ELC TECH'!$H:$H,'ELC TECH'!AK:AK)="",1,_xlfn.XLOOKUP($B82,'ELC TECH'!$H:$H,'ELC TECH'!AK:AK)))</f>
        <v>1</v>
      </c>
      <c r="K82" s="12">
        <f>IF(_xlfn.XLOOKUP($B82,'ELC TECH'!$H:$H,'ELC TECH'!$E:$E)="Storage","",IF(_xlfn.XLOOKUP($B82,'ELC TECH'!$H:$H,'ELC TECH'!AL:AL)="",1,_xlfn.XLOOKUP($B82,'ELC TECH'!$H:$H,'ELC TECH'!AL:AL)))</f>
        <v>1</v>
      </c>
      <c r="L82" s="12">
        <f>IF(_xlfn.XLOOKUP($B82,'ELC TECH'!$H:$H,'ELC TECH'!$E:$E)="Storage","",IF(_xlfn.XLOOKUP($B82,'ELC TECH'!$H:$H,'ELC TECH'!AM:AM)="",1,_xlfn.XLOOKUP($B82,'ELC TECH'!$H:$H,'ELC TECH'!AM:AM)))</f>
        <v>1</v>
      </c>
      <c r="M82" s="12">
        <f>IF(_xlfn.XLOOKUP($B82,'ELC TECH'!$H:$H,'ELC TECH'!$E:$E)="Storage","",IF(_xlfn.XLOOKUP($B82,'ELC TECH'!$H:$H,'ELC TECH'!AN:AN)="",1,_xlfn.XLOOKUP($B82,'ELC TECH'!$H:$H,'ELC TECH'!AN:AN)))</f>
        <v>1</v>
      </c>
      <c r="N82" s="12">
        <f>IF(_xlfn.XLOOKUP($B82,'ELC TECH'!$H:$H,'ELC TECH'!$E:$E)="Storage","",IF(_xlfn.XLOOKUP($B82,'ELC TECH'!$H:$H,'ELC TECH'!AO:AO)="",1,_xlfn.XLOOKUP($B82,'ELC TECH'!$H:$H,'ELC TECH'!AO:AO)))</f>
        <v>1</v>
      </c>
      <c r="O82" s="12">
        <f>IF(_xlfn.XLOOKUP($B82,'ELC TECH'!$H:$H,'ELC TECH'!$E:$E)="Storage","",IF(_xlfn.XLOOKUP($B82,'ELC TECH'!$H:$H,'ELC TECH'!AP:AP)="",1,_xlfn.XLOOKUP($B82,'ELC TECH'!$H:$H,'ELC TECH'!AP:AP)))</f>
        <v>1</v>
      </c>
      <c r="P82" s="12">
        <f>IF(_xlfn.XLOOKUP($B82,'ELC TECH'!$H:$H,'ELC TECH'!$E:$E)="Storage","",IF(_xlfn.XLOOKUP($B82,'ELC TECH'!$H:$H,'ELC TECH'!AQ:AQ)="",1,_xlfn.XLOOKUP($B82,'ELC TECH'!$H:$H,'ELC TECH'!AQ:AQ)))</f>
        <v>1</v>
      </c>
      <c r="Q82" s="12">
        <f>IF(_xlfn.XLOOKUP($B82,'ELC TECH'!$H:$H,'ELC TECH'!$E:$E)="Storage","",IF(_xlfn.XLOOKUP($B82,'ELC TECH'!$H:$H,'ELC TECH'!AR:AR)="",1,_xlfn.XLOOKUP($B82,'ELC TECH'!$H:$H,'ELC TECH'!AR:AR)))</f>
        <v>1</v>
      </c>
      <c r="R82" s="12" t="str">
        <f>IF(_xlfn.XLOOKUP($B82,'ELC TECH'!$H:$H,'ELC TECH'!$E:$E)&lt;&gt;"Storage","",IF(_xlfn.XLOOKUP($B82,'ELC TECH'!$H:$H,'ELC TECH'!AK:AK)="",0.8,_xlfn.XLOOKUP($B82,'ELC TECH'!$H:$H,'ELC TECH'!AK:AK)))</f>
        <v/>
      </c>
      <c r="S82" s="12" t="str">
        <f>IF(_xlfn.XLOOKUP($B82,'ELC TECH'!$H:$H,'ELC TECH'!$E:$E)&lt;&gt;"Storage","",IF(_xlfn.XLOOKUP($B82,'ELC TECH'!$H:$H,'ELC TECH'!AL:AL)="",0.8,_xlfn.XLOOKUP($B82,'ELC TECH'!$H:$H,'ELC TECH'!AL:AL)))</f>
        <v/>
      </c>
      <c r="T82" s="12" t="str">
        <f>IF(_xlfn.XLOOKUP($B82,'ELC TECH'!$H:$H,'ELC TECH'!$E:$E)&lt;&gt;"Storage","",IF(_xlfn.XLOOKUP($B82,'ELC TECH'!$H:$H,'ELC TECH'!AM:AM)="",0.8,_xlfn.XLOOKUP($B82,'ELC TECH'!$H:$H,'ELC TECH'!AM:AM)))</f>
        <v/>
      </c>
      <c r="U82" s="12" t="str">
        <f>IF(_xlfn.XLOOKUP($B82,'ELC TECH'!$H:$H,'ELC TECH'!$E:$E)&lt;&gt;"Storage","",IF(_xlfn.XLOOKUP($B82,'ELC TECH'!$H:$H,'ELC TECH'!AN:AN)="",0.8,_xlfn.XLOOKUP($B82,'ELC TECH'!$H:$H,'ELC TECH'!AN:AN)))</f>
        <v/>
      </c>
      <c r="V82" s="12" t="str">
        <f>IF(_xlfn.XLOOKUP($B82,'ELC TECH'!$H:$H,'ELC TECH'!$E:$E)&lt;&gt;"Storage","",IF(_xlfn.XLOOKUP($B82,'ELC TECH'!$H:$H,'ELC TECH'!AO:AO)="",0.8,_xlfn.XLOOKUP($B82,'ELC TECH'!$H:$H,'ELC TECH'!AO:AO)))</f>
        <v/>
      </c>
      <c r="W82" s="12" t="str">
        <f>IF(_xlfn.XLOOKUP($B82,'ELC TECH'!$H:$H,'ELC TECH'!$E:$E)&lt;&gt;"Storage","",IF(_xlfn.XLOOKUP($B82,'ELC TECH'!$H:$H,'ELC TECH'!AP:AP)="",0.8,_xlfn.XLOOKUP($B82,'ELC TECH'!$H:$H,'ELC TECH'!AP:AP)))</f>
        <v/>
      </c>
      <c r="X82" s="12" t="str">
        <f>IF(_xlfn.XLOOKUP($B82,'ELC TECH'!$H:$H,'ELC TECH'!$E:$E)&lt;&gt;"Storage","",IF(_xlfn.XLOOKUP($B82,'ELC TECH'!$H:$H,'ELC TECH'!AQ:AQ)="",0.8,_xlfn.XLOOKUP($B82,'ELC TECH'!$H:$H,'ELC TECH'!AQ:AQ)))</f>
        <v/>
      </c>
      <c r="Y82" s="12" t="str">
        <f>IF(_xlfn.XLOOKUP($B82,'ELC TECH'!$H:$H,'ELC TECH'!$E:$E)&lt;&gt;"Storage","",IF(_xlfn.XLOOKUP($B82,'ELC TECH'!$H:$H,'ELC TECH'!AR:AR)="",0.8,_xlfn.XLOOKUP($B82,'ELC TECH'!$H:$H,'ELC TECH'!AR:AR)))</f>
        <v/>
      </c>
      <c r="Z82" s="15">
        <f>_xlfn.XLOOKUP($B82,'ELC TECH'!$H:$H,'ELC TECH'!M:M)</f>
        <v>7714.0905381440816</v>
      </c>
      <c r="AA82" s="15">
        <f>_xlfn.XLOOKUP($B82,'ELC TECH'!$H:$H,'ELC TECH'!N:N)</f>
        <v>6685.54513305821</v>
      </c>
      <c r="AB82" s="15">
        <f>_xlfn.XLOOKUP($B82,'ELC TECH'!$H:$H,'ELC TECH'!O:O)</f>
        <v>5399.8633767008541</v>
      </c>
      <c r="AC82" s="15">
        <f>_xlfn.XLOOKUP($B82,'ELC TECH'!$H:$H,'ELC TECH'!P:P)</f>
        <v>5207.0111132472512</v>
      </c>
      <c r="AD82" s="15">
        <f>_xlfn.XLOOKUP($B82,'ELC TECH'!$H:$H,'ELC TECH'!Q:Q)</f>
        <v>5014.1588497936491</v>
      </c>
      <c r="AE82" s="15">
        <f>_xlfn.XLOOKUP($B82,'ELC TECH'!$H:$H,'ELC TECH'!R:R)</f>
        <v>4821.306586340047</v>
      </c>
      <c r="AF82" s="15">
        <f>_xlfn.XLOOKUP($B82,'ELC TECH'!$H:$H,'ELC TECH'!S:S)</f>
        <v>4628.4543228864441</v>
      </c>
      <c r="AG82" s="15">
        <f>_xlfn.XLOOKUP($B82,'ELC TECH'!$H:$H,'ELC TECH'!T:T)</f>
        <v>4628.4543228864441</v>
      </c>
      <c r="AH82" s="15">
        <f>_xlfn.XLOOKUP($B82,'ELC TECH'!$H:$H,'ELC TECH'!U:U)</f>
        <v>78.13820520946102</v>
      </c>
      <c r="AI82" s="15">
        <f>_xlfn.XLOOKUP($B82,'ELC TECH'!$H:$H,'ELC TECH'!V:V)</f>
        <v>69.456182408409788</v>
      </c>
      <c r="AJ82" s="15">
        <f>_xlfn.XLOOKUP($B82,'ELC TECH'!$H:$H,'ELC TECH'!W:W)</f>
        <v>58.603653907095762</v>
      </c>
      <c r="AK82" s="15">
        <f>_xlfn.XLOOKUP($B82,'ELC TECH'!$H:$H,'ELC TECH'!X:X)</f>
        <v>58.603653907095762</v>
      </c>
      <c r="AL82" s="15">
        <f>_xlfn.XLOOKUP($B82,'ELC TECH'!$H:$H,'ELC TECH'!Y:Y)</f>
        <v>58.603653907095762</v>
      </c>
      <c r="AM82" s="15">
        <f>_xlfn.XLOOKUP($B82,'ELC TECH'!$H:$H,'ELC TECH'!Z:Z)</f>
        <v>58.603653907095762</v>
      </c>
      <c r="AN82" s="15">
        <f>_xlfn.XLOOKUP($B82,'ELC TECH'!$H:$H,'ELC TECH'!AA:AA)</f>
        <v>58.603653907095762</v>
      </c>
      <c r="AO82" s="15">
        <f>_xlfn.XLOOKUP($B82,'ELC TECH'!$H:$H,'ELC TECH'!AB:AB)</f>
        <v>58.603653907095762</v>
      </c>
      <c r="AP82" s="15">
        <f>_xlfn.XLOOKUP($B82,'ELC TECH'!$H:$H,'ELC TECH'!AC:AC)</f>
        <v>1.151025750139367</v>
      </c>
      <c r="AQ82" s="15">
        <f>_xlfn.XLOOKUP($B82,'ELC TECH'!$H:$H,'ELC TECH'!AD:AD)</f>
        <v>1.0582610423917429</v>
      </c>
      <c r="AR82" s="15">
        <f>_xlfn.XLOOKUP($B82,'ELC TECH'!$H:$H,'ELC TECH'!AE:AE)</f>
        <v>0.94230515770721801</v>
      </c>
      <c r="AS82" s="15">
        <f>_xlfn.XLOOKUP($B82,'ELC TECH'!$H:$H,'ELC TECH'!AF:AF)</f>
        <v>0.94230515770721801</v>
      </c>
      <c r="AT82" s="15">
        <f>_xlfn.XLOOKUP($B82,'ELC TECH'!$H:$H,'ELC TECH'!AG:AG)</f>
        <v>0.94230515770721801</v>
      </c>
      <c r="AU82" s="15">
        <f>_xlfn.XLOOKUP($B82,'ELC TECH'!$H:$H,'ELC TECH'!AH:AH)</f>
        <v>0.94230515770721801</v>
      </c>
      <c r="AV82" s="15">
        <f>_xlfn.XLOOKUP($B82,'ELC TECH'!$H:$H,'ELC TECH'!AI:AI)</f>
        <v>0.94230515770721801</v>
      </c>
      <c r="AW82" s="15">
        <f>_xlfn.XLOOKUP($B82,'ELC TECH'!$H:$H,'ELC TECH'!AJ:AJ)</f>
        <v>0.94230515770721801</v>
      </c>
      <c r="AX82" s="12">
        <f>IF(_xlfn.XLOOKUP($B82,'ELC TECH'!$H:$H,'ELC TECH'!$E:$E)="Storage","",_xlfn.XLOOKUP($B82,'ELC TECH'!$H:$H,'ELC TECH'!AS:AS))</f>
        <v>0.64700000000000002</v>
      </c>
      <c r="AY82" s="12">
        <f>IF(_xlfn.XLOOKUP($B82,'ELC TECH'!$H:$H,'ELC TECH'!$E:$E)="Storage","",_xlfn.XLOOKUP($B82,'ELC TECH'!$H:$H,'ELC TECH'!AT:AT))</f>
        <v>0.64700000000000002</v>
      </c>
      <c r="AZ82" s="12">
        <f>IF(_xlfn.XLOOKUP($B82,'ELC TECH'!$H:$H,'ELC TECH'!$E:$E)="Storage","",_xlfn.XLOOKUP($B82,'ELC TECH'!$H:$H,'ELC TECH'!AU:AU))</f>
        <v>0.64700000000000002</v>
      </c>
      <c r="BA82" s="12">
        <f>IF(_xlfn.XLOOKUP($B82,'ELC TECH'!$H:$H,'ELC TECH'!$E:$E)="Storage","",_xlfn.XLOOKUP($B82,'ELC TECH'!$H:$H,'ELC TECH'!AV:AV))</f>
        <v>0.64700000000000002</v>
      </c>
      <c r="BB82" s="12">
        <f>IF(_xlfn.XLOOKUP($B82,'ELC TECH'!$H:$H,'ELC TECH'!$E:$E)="Storage","",_xlfn.XLOOKUP($B82,'ELC TECH'!$H:$H,'ELC TECH'!AW:AW))</f>
        <v>0.64700000000000002</v>
      </c>
      <c r="BC82" s="12">
        <f>IF(_xlfn.XLOOKUP($B82,'ELC TECH'!$H:$H,'ELC TECH'!$E:$E)="Storage","",_xlfn.XLOOKUP($B82,'ELC TECH'!$H:$H,'ELC TECH'!AX:AX))</f>
        <v>0.64700000000000002</v>
      </c>
      <c r="BD82" s="12">
        <f>IF(_xlfn.XLOOKUP($B82,'ELC TECH'!$H:$H,'ELC TECH'!$E:$E)="Storage","",_xlfn.XLOOKUP($B82,'ELC TECH'!$H:$H,'ELC TECH'!AY:AY))</f>
        <v>0.64700000000000002</v>
      </c>
      <c r="BE82" s="12">
        <f>IF(_xlfn.XLOOKUP($B82,'ELC TECH'!$H:$H,'ELC TECH'!$E:$E)="Storage","",_xlfn.XLOOKUP($B82,'ELC TECH'!$H:$H,'ELC TECH'!AZ:AZ))</f>
        <v>0.64700000000000002</v>
      </c>
      <c r="BF82" s="12" t="str">
        <f>IF(_xlfn.XLOOKUP($B82,'ELC TECH'!$H:$H,'ELC TECH'!$E:$E)="Storage",_xlfn.XLOOKUP($B82,'ELC TECH'!$H:$H,'ELC TECH'!AS:AS),"")</f>
        <v/>
      </c>
      <c r="BG82" s="12" t="str">
        <f>IF(_xlfn.XLOOKUP($B82,'ELC TECH'!$H:$H,'ELC TECH'!$E:$E)="Storage",_xlfn.XLOOKUP($B82,'ELC TECH'!$H:$H,'ELC TECH'!AT:AT),"")</f>
        <v/>
      </c>
      <c r="BH82" s="12" t="str">
        <f>IF(_xlfn.XLOOKUP($B82,'ELC TECH'!$H:$H,'ELC TECH'!$E:$E)="Storage",_xlfn.XLOOKUP($B82,'ELC TECH'!$H:$H,'ELC TECH'!AU:AU),"")</f>
        <v/>
      </c>
      <c r="BI82" s="12" t="str">
        <f>IF(_xlfn.XLOOKUP($B82,'ELC TECH'!$H:$H,'ELC TECH'!$E:$E)="Storage",_xlfn.XLOOKUP($B82,'ELC TECH'!$H:$H,'ELC TECH'!AV:AV),"")</f>
        <v/>
      </c>
      <c r="BJ82" s="12" t="str">
        <f>IF(_xlfn.XLOOKUP($B82,'ELC TECH'!$H:$H,'ELC TECH'!$E:$E)="Storage",_xlfn.XLOOKUP($B82,'ELC TECH'!$H:$H,'ELC TECH'!AW:AW),"")</f>
        <v/>
      </c>
      <c r="BK82" s="12" t="str">
        <f>IF(_xlfn.XLOOKUP($B82,'ELC TECH'!$H:$H,'ELC TECH'!$E:$E)="Storage",_xlfn.XLOOKUP($B82,'ELC TECH'!$H:$H,'ELC TECH'!AX:AX),"")</f>
        <v/>
      </c>
      <c r="BL82" s="12" t="str">
        <f>IF(_xlfn.XLOOKUP($B82,'ELC TECH'!$H:$H,'ELC TECH'!$E:$E)="Storage",_xlfn.XLOOKUP($B82,'ELC TECH'!$H:$H,'ELC TECH'!AY:AY),"")</f>
        <v/>
      </c>
      <c r="BM82" s="12" t="str">
        <f>IF(_xlfn.XLOOKUP($B82,'ELC TECH'!$H:$H,'ELC TECH'!$E:$E)="Storage",_xlfn.XLOOKUP($B82,'ELC TECH'!$H:$H,'ELC TECH'!AZ:AZ),"")</f>
        <v/>
      </c>
      <c r="BN82" s="8" t="str">
        <f>IF(_xlfn.XLOOKUP($B82,'ELC TECH'!$H:$H,'ELC TECH'!$E:$E)="Non Dispatchable",IFERROR($AX82*_xlfn.XLOOKUP($C82,$BM$1:$BM$3,BN$1:BN$3)/SUMPRODUCT(_xlfn.XLOOKUP($C82,$BM$1:$BM$3,$BN$1:$BY$3),$BN$4:$BY$4),""),
"")</f>
        <v/>
      </c>
      <c r="BO82" s="8" t="str">
        <f>IF(_xlfn.XLOOKUP($B82,'ELC TECH'!$H:$H,'ELC TECH'!$E:$E)="Non Dispatchable",IFERROR($AX82*_xlfn.XLOOKUP($C82,$BM$1:$BM$3,BO$1:BO$3)/SUMPRODUCT(_xlfn.XLOOKUP($C82,$BM$1:$BM$3,$BN$1:$BY$3),$BN$4:$BY$4),""),
"")</f>
        <v/>
      </c>
      <c r="BP82" s="8" t="str">
        <f>IF(_xlfn.XLOOKUP($B82,'ELC TECH'!$H:$H,'ELC TECH'!$E:$E)="Non Dispatchable",IFERROR($AX82*_xlfn.XLOOKUP($C82,$BM$1:$BM$3,BP$1:BP$3)/SUMPRODUCT(_xlfn.XLOOKUP($C82,$BM$1:$BM$3,$BN$1:$BY$3),$BN$4:$BY$4),""),
"")</f>
        <v/>
      </c>
      <c r="BQ82" s="8" t="str">
        <f>IF(_xlfn.XLOOKUP($B82,'ELC TECH'!$H:$H,'ELC TECH'!$E:$E)="Non Dispatchable",IFERROR($AX82*_xlfn.XLOOKUP($C82,$BM$1:$BM$3,BQ$1:BQ$3)/SUMPRODUCT(_xlfn.XLOOKUP($C82,$BM$1:$BM$3,$BN$1:$BY$3),$BN$4:$BY$4),""),
"")</f>
        <v/>
      </c>
      <c r="BR82" s="8" t="str">
        <f>IF(_xlfn.XLOOKUP($B82,'ELC TECH'!$H:$H,'ELC TECH'!$E:$E)="Non Dispatchable",IFERROR($AX82*_xlfn.XLOOKUP($C82,$BM$1:$BM$3,BR$1:BR$3)/SUMPRODUCT(_xlfn.XLOOKUP($C82,$BM$1:$BM$3,$BN$1:$BY$3),$BN$4:$BY$4),""),
"")</f>
        <v/>
      </c>
      <c r="BS82" s="8" t="str">
        <f>IF(_xlfn.XLOOKUP($B82,'ELC TECH'!$H:$H,'ELC TECH'!$E:$E)="Non Dispatchable",IFERROR($AX82*_xlfn.XLOOKUP($C82,$BM$1:$BM$3,BS$1:BS$3)/SUMPRODUCT(_xlfn.XLOOKUP($C82,$BM$1:$BM$3,$BN$1:$BY$3),$BN$4:$BY$4),""),
"")</f>
        <v/>
      </c>
      <c r="BT82" s="8" t="str">
        <f>IF(_xlfn.XLOOKUP($B82,'ELC TECH'!$H:$H,'ELC TECH'!$E:$E)="Non Dispatchable",IFERROR($AX82*_xlfn.XLOOKUP($C82,$BM$1:$BM$3,BT$1:BT$3)/SUMPRODUCT(_xlfn.XLOOKUP($C82,$BM$1:$BM$3,$BN$1:$BY$3),$BN$4:$BY$4),""),
"")</f>
        <v/>
      </c>
      <c r="BU82" s="8" t="str">
        <f>IF(_xlfn.XLOOKUP($B82,'ELC TECH'!$H:$H,'ELC TECH'!$E:$E)="Non Dispatchable",IFERROR($AX82*_xlfn.XLOOKUP($C82,$BM$1:$BM$3,BU$1:BU$3)/SUMPRODUCT(_xlfn.XLOOKUP($C82,$BM$1:$BM$3,$BN$1:$BY$3),$BN$4:$BY$4),""),
"")</f>
        <v/>
      </c>
      <c r="BV82" s="8" t="str">
        <f>IF(_xlfn.XLOOKUP($B82,'ELC TECH'!$H:$H,'ELC TECH'!$E:$E)="Non Dispatchable",IFERROR($AX82*_xlfn.XLOOKUP($C82,$BM$1:$BM$3,BV$1:BV$3)/SUMPRODUCT(_xlfn.XLOOKUP($C82,$BM$1:$BM$3,$BN$1:$BY$3),$BN$4:$BY$4),""),
"")</f>
        <v/>
      </c>
      <c r="BW82" s="8" t="str">
        <f>IF(_xlfn.XLOOKUP($B82,'ELC TECH'!$H:$H,'ELC TECH'!$E:$E)="Non Dispatchable",IFERROR($AX82*_xlfn.XLOOKUP($C82,$BM$1:$BM$3,BW$1:BW$3)/SUMPRODUCT(_xlfn.XLOOKUP($C82,$BM$1:$BM$3,$BN$1:$BY$3),$BN$4:$BY$4),""),
"")</f>
        <v/>
      </c>
      <c r="BX82" s="8" t="str">
        <f>IF(_xlfn.XLOOKUP($B82,'ELC TECH'!$H:$H,'ELC TECH'!$E:$E)="Non Dispatchable",IFERROR($AX82*_xlfn.XLOOKUP($C82,$BM$1:$BM$3,BX$1:BX$3)/SUMPRODUCT(_xlfn.XLOOKUP($C82,$BM$1:$BM$3,$BN$1:$BY$3),$BN$4:$BY$4),""),
"")</f>
        <v/>
      </c>
      <c r="BY82" s="8" t="str">
        <f>IF(_xlfn.XLOOKUP($B82,'ELC TECH'!$H:$H,'ELC TECH'!$E:$E)="Non Dispatchable",IFERROR($AX82*_xlfn.XLOOKUP($C82,$BM$1:$BM$3,BY$1:BY$3)/SUMPRODUCT(_xlfn.XLOOKUP($C82,$BM$1:$BM$3,$BN$1:$BY$3),$BN$4:$BY$4),""),
"")</f>
        <v/>
      </c>
      <c r="BZ82" s="8" t="str">
        <f>IF(_xlfn.XLOOKUP($B82,'ELC TECH'!$H:$H,'ELC TECH'!$E:$E)="Non Dispatchable",IFERROR($AX82*_xlfn.XLOOKUP($C82,$BM$1:$BM$3,BZ$1:BZ$3)/SUMPRODUCT(_xlfn.XLOOKUP($C82,$BM$1:$BM$3,$BN$1:$BY$3),$BN$4:$BY$4),""),
"")</f>
        <v/>
      </c>
      <c r="CA82" s="8" t="str">
        <f>IF(_xlfn.XLOOKUP($B82,'ELC TECH'!$H:$H,'ELC TECH'!$E:$E)="Non Dispatchable",IFERROR($AX82*_xlfn.XLOOKUP($C82,$BM$1:$BM$3,CA$1:CA$3)/SUMPRODUCT(_xlfn.XLOOKUP($C82,$BM$1:$BM$3,$BN$1:$BY$3),$BN$4:$BY$4),""),
"")</f>
        <v/>
      </c>
      <c r="CB82" s="8" t="str">
        <f>IF(_xlfn.XLOOKUP($B82,'ELC TECH'!$H:$H,'ELC TECH'!$E:$E)="Non Dispatchable",IFERROR($AX82*_xlfn.XLOOKUP($C82,$BM$1:$BM$3,CB$1:CB$3)/SUMPRODUCT(_xlfn.XLOOKUP($C82,$BM$1:$BM$3,$BN$1:$BY$3),$BN$4:$BY$4),""),
"")</f>
        <v/>
      </c>
      <c r="CC82" s="8" t="str">
        <f>IF(_xlfn.XLOOKUP($B82,'ELC TECH'!$H:$H,'ELC TECH'!$E:$E)="Non Dispatchable",IFERROR($AX82*_xlfn.XLOOKUP($C82,$BM$1:$BM$3,CC$1:CC$3)/SUMPRODUCT(_xlfn.XLOOKUP($C82,$BM$1:$BM$3,$BN$1:$BY$3),$BN$4:$BY$4),""),
"")</f>
        <v/>
      </c>
      <c r="CD82" s="8" t="str">
        <f>IF(_xlfn.XLOOKUP($B82,'ELC TECH'!$H:$H,'ELC TECH'!$E:$E)="Non Dispatchable",IFERROR($AX82*_xlfn.XLOOKUP($C82,$BM$1:$BM$3,CD$1:CD$3)/SUMPRODUCT(_xlfn.XLOOKUP($C82,$BM$1:$BM$3,$BN$1:$BY$3),$BN$4:$BY$4),""),
"")</f>
        <v/>
      </c>
      <c r="CE82" s="8" t="str">
        <f>IF(_xlfn.XLOOKUP($B82,'ELC TECH'!$H:$H,'ELC TECH'!$E:$E)="Non Dispatchable",IFERROR($AX82*_xlfn.XLOOKUP($C82,$BM$1:$BM$3,CE$1:CE$3)/SUMPRODUCT(_xlfn.XLOOKUP($C82,$BM$1:$BM$3,$BN$1:$BY$3),$BN$4:$BY$4),""),
"")</f>
        <v/>
      </c>
      <c r="CF82" s="8" t="str">
        <f>IF(_xlfn.XLOOKUP($B82,'ELC TECH'!$H:$H,'ELC TECH'!$E:$E)="Non Dispatchable",IFERROR($AX82*_xlfn.XLOOKUP($C82,$BM$1:$BM$3,CF$1:CF$3)/SUMPRODUCT(_xlfn.XLOOKUP($C82,$BM$1:$BM$3,$BN$1:$BY$3),$BN$4:$BY$4),""),
"")</f>
        <v/>
      </c>
      <c r="CG82" s="8" t="str">
        <f>IF(_xlfn.XLOOKUP($B82,'ELC TECH'!$H:$H,'ELC TECH'!$E:$E)="Non Dispatchable",IFERROR($AX82*_xlfn.XLOOKUP($C82,$BM$1:$BM$3,CG$1:CG$3)/SUMPRODUCT(_xlfn.XLOOKUP($C82,$BM$1:$BM$3,$BN$1:$BY$3),$BN$4:$BY$4),""),
"")</f>
        <v/>
      </c>
      <c r="CH82" s="8" t="str">
        <f>IF(_xlfn.XLOOKUP($B82,'ELC TECH'!$H:$H,'ELC TECH'!$E:$E)="Non Dispatchable",IFERROR($AX82*_xlfn.XLOOKUP($C82,$BM$1:$BM$3,CH$1:CH$3)/SUMPRODUCT(_xlfn.XLOOKUP($C82,$BM$1:$BM$3,$BN$1:$BY$3),$BN$4:$BY$4),""),
"")</f>
        <v/>
      </c>
      <c r="CI82" s="8" t="str">
        <f>IF(_xlfn.XLOOKUP($B82,'ELC TECH'!$H:$H,'ELC TECH'!$E:$E)="Non Dispatchable",IFERROR($AX82*_xlfn.XLOOKUP($C82,$BM$1:$BM$3,CI$1:CI$3)/SUMPRODUCT(_xlfn.XLOOKUP($C82,$BM$1:$BM$3,$BN$1:$BY$3),$BN$4:$BY$4),""),
"")</f>
        <v/>
      </c>
      <c r="CJ82" s="8" t="str">
        <f>IF(_xlfn.XLOOKUP($B82,'ELC TECH'!$H:$H,'ELC TECH'!$E:$E)="Non Dispatchable",IFERROR($AX82*_xlfn.XLOOKUP($C82,$BM$1:$BM$3,CJ$1:CJ$3)/SUMPRODUCT(_xlfn.XLOOKUP($C82,$BM$1:$BM$3,$BN$1:$BY$3),$BN$4:$BY$4),""),
"")</f>
        <v/>
      </c>
      <c r="CK82" s="8" t="str">
        <f>IF(_xlfn.XLOOKUP($B82,'ELC TECH'!$H:$H,'ELC TECH'!$E:$E)="Non Dispatchable",IFERROR($AX82*_xlfn.XLOOKUP($C82,$BM$1:$BM$3,CK$1:CK$3)/SUMPRODUCT(_xlfn.XLOOKUP($C82,$BM$1:$BM$3,$BN$1:$BY$3),$BN$4:$BY$4),""),
"")</f>
        <v/>
      </c>
      <c r="CL82" s="8" t="str">
        <f>IF(_xlfn.XLOOKUP($B82,'ELC TECH'!$H:$H,'ELC TECH'!$E:$E)="Storage",CL$4*$BF82,"")</f>
        <v/>
      </c>
      <c r="CM82" s="8" t="str">
        <f>IF(_xlfn.XLOOKUP($B82,'ELC TECH'!$H:$H,'ELC TECH'!$E:$E)="Storage",CM$4*$BF82,"")</f>
        <v/>
      </c>
      <c r="CN82" s="8" t="str">
        <f>IF(_xlfn.XLOOKUP($B82,'ELC TECH'!$H:$H,'ELC TECH'!$E:$E)="Storage",CN$4*$BF82,"")</f>
        <v/>
      </c>
      <c r="CO82" s="8" t="str">
        <f>IF(_xlfn.XLOOKUP($B82,'ELC TECH'!$H:$H,'ELC TECH'!$E:$E)="Storage",CO$4*$BF82,"")</f>
        <v/>
      </c>
      <c r="CP82" s="8" t="str">
        <f>IF(_xlfn.XLOOKUP($B82,'ELC TECH'!$H:$H,'ELC TECH'!$E:$E)="Storage",CP$4*$BF82,"")</f>
        <v/>
      </c>
      <c r="CQ82" s="8" t="str">
        <f>IF(_xlfn.XLOOKUP($B82,'ELC TECH'!$H:$H,'ELC TECH'!$E:$E)="Storage",CQ$4*$BF82,"")</f>
        <v/>
      </c>
      <c r="CR82" s="8" t="str">
        <f>IF(_xlfn.XLOOKUP($B82,'ELC TECH'!$H:$H,'ELC TECH'!$E:$E)="Storage",CR$4*$BF82,"")</f>
        <v/>
      </c>
      <c r="CS82" s="8" t="str">
        <f>IF(_xlfn.XLOOKUP($B82,'ELC TECH'!$H:$H,'ELC TECH'!$E:$E)="Storage",CS$4*$BF82,"")</f>
        <v/>
      </c>
      <c r="CT82" s="8" t="str">
        <f>IF(_xlfn.XLOOKUP($B82,'ELC TECH'!$H:$H,'ELC TECH'!$E:$E)="Storage",CT$4*$BF82,"")</f>
        <v/>
      </c>
      <c r="CU82" s="8" t="str">
        <f>IF(_xlfn.XLOOKUP($B82,'ELC TECH'!$H:$H,'ELC TECH'!$E:$E)="Storage",CU$4*$BF82,"")</f>
        <v/>
      </c>
      <c r="CV82" s="8" t="str">
        <f>IF(_xlfn.XLOOKUP($B82,'ELC TECH'!$H:$H,'ELC TECH'!$E:$E)="Storage",CV$4*$BF82,"")</f>
        <v/>
      </c>
      <c r="CW82" s="8" t="str">
        <f>IF(_xlfn.XLOOKUP($B82,'ELC TECH'!$H:$H,'ELC TECH'!$E:$E)="Storage",CW$4*$BF82,"")</f>
        <v/>
      </c>
      <c r="CX82" s="8" t="str">
        <f>IF(_xlfn.XLOOKUP($B82,'ELC TECH'!$H:$H,'ELC TECH'!$E:$E)="Storage",CX$4*$BF82,"")</f>
        <v/>
      </c>
      <c r="CY82" s="8" t="str">
        <f>IF(_xlfn.XLOOKUP($B82,'ELC TECH'!$H:$H,'ELC TECH'!$E:$E)="Storage",CY$4*$BF82,"")</f>
        <v/>
      </c>
      <c r="CZ82" s="8" t="str">
        <f>IF(_xlfn.XLOOKUP($B82,'ELC TECH'!$H:$H,'ELC TECH'!$E:$E)="Storage",CZ$4*$BF82,"")</f>
        <v/>
      </c>
      <c r="DA82" s="8" t="str">
        <f>IF(_xlfn.XLOOKUP($B82,'ELC TECH'!$H:$H,'ELC TECH'!$E:$E)="Storage",DA$4*$BF82,"")</f>
        <v/>
      </c>
      <c r="DB82" s="8" t="str">
        <f>IF(_xlfn.XLOOKUP($B82,'ELC TECH'!$H:$H,'ELC TECH'!$E:$E)="Storage",DB$4*$BF82,"")</f>
        <v/>
      </c>
      <c r="DC82" s="8" t="str">
        <f>IF(_xlfn.XLOOKUP($B82,'ELC TECH'!$H:$H,'ELC TECH'!$E:$E)="Storage",DC$4*$BF82,"")</f>
        <v/>
      </c>
      <c r="DD82" s="8" t="str">
        <f>IF(_xlfn.XLOOKUP($B82,'ELC TECH'!$H:$H,'ELC TECH'!$E:$E)="Storage",DD$4*$BF82,"")</f>
        <v/>
      </c>
      <c r="DE82" s="8" t="str">
        <f>IF(_xlfn.XLOOKUP($B82,'ELC TECH'!$H:$H,'ELC TECH'!$E:$E)="Storage",DE$4*$BF82,"")</f>
        <v/>
      </c>
      <c r="DF82" s="8" t="str">
        <f>IF(_xlfn.XLOOKUP($B82,'ELC TECH'!$H:$H,'ELC TECH'!$E:$E)="Storage",DF$4*$BF82,"")</f>
        <v/>
      </c>
      <c r="DG82" s="8" t="str">
        <f>IF(_xlfn.XLOOKUP($B82,'ELC TECH'!$H:$H,'ELC TECH'!$E:$E)="Storage",DG$4*$BF82,"")</f>
        <v/>
      </c>
      <c r="DH82" s="8" t="str">
        <f>IF(_xlfn.XLOOKUP($B82,'ELC TECH'!$H:$H,'ELC TECH'!$E:$E)="Storage",DH$4*$BF82,"")</f>
        <v/>
      </c>
      <c r="DI82" s="8" t="str">
        <f>IF(_xlfn.XLOOKUP($B82,'ELC TECH'!$H:$H,'ELC TECH'!$E:$E)="Storage",DI$4*$BF82,"")</f>
        <v/>
      </c>
    </row>
    <row r="83" spans="2:113" x14ac:dyDescent="0.25">
      <c r="B83" t="str">
        <f>IF('ELC TECH'!I76=0,"*",'ELC TECH'!H76)</f>
        <v>ELCSOLGRDCSPC320</v>
      </c>
      <c r="C83" t="str">
        <f>IF(_xlfn.XLOOKUP(_xlfn.XLOOKUP(B83,'ELC TECH'!$H:$H,'ELC TECH'!$G:$G),List!C:C,List!B:B)="STG",D83,"ELC"&amp;_xlfn.XLOOKUP(_xlfn.XLOOKUP(B83,'ELC TECH'!H:H,'ELC TECH'!G:G),List!C:C,List!B:B))</f>
        <v>ELCSOL</v>
      </c>
      <c r="D83" t="s">
        <v>544</v>
      </c>
      <c r="E83">
        <f>_xlfn.XLOOKUP(B83,'ELC TECH'!H:H,'ELC TECH'!D:D)</f>
        <v>2020</v>
      </c>
      <c r="F83">
        <f>_xlfn.XLOOKUP(B83,'ELC TECH'!H:H,'ELC TECH'!K:K)</f>
        <v>30</v>
      </c>
      <c r="G83">
        <f t="shared" si="6"/>
        <v>31.535999999999998</v>
      </c>
      <c r="H83">
        <f>IF(_xlfn.XLOOKUP(B83,'ELC TECH'!$H:$H,'ELC TECH'!$E:$E)="Storage",0.3,IF(_xlfn.XLOOKUP(B83,'ELC TECH'!$H:$H,'ELC TECH'!$E:$E)="Baseload",0.9,IF(_xlfn.XLOOKUP(B83,'ELC TECH'!$H:$H,'ELC TECH'!$E:$E)="Non Dispatchable",0.05,IF(_xlfn.XLOOKUP(B83,'ELC TECH'!$H:$H,'ELC TECH'!$E:$E)="Dispatchable",0.9,1))))</f>
        <v>1</v>
      </c>
      <c r="I83" s="13">
        <f>IF(_xlfn.XLOOKUP(B83,'ELC TECH'!H:H,'ELC TECH'!J:J)="","",_xlfn.XLOOKUP(B83,'ELC TECH'!H:H,'ELC TECH'!J:J))</f>
        <v>0</v>
      </c>
      <c r="J83" s="12">
        <f>IF(_xlfn.XLOOKUP($B83,'ELC TECH'!$H:$H,'ELC TECH'!$E:$E)="Storage","",IF(_xlfn.XLOOKUP($B83,'ELC TECH'!$H:$H,'ELC TECH'!AK:AK)="",1,_xlfn.XLOOKUP($B83,'ELC TECH'!$H:$H,'ELC TECH'!AK:AK)))</f>
        <v>1</v>
      </c>
      <c r="K83" s="12">
        <f>IF(_xlfn.XLOOKUP($B83,'ELC TECH'!$H:$H,'ELC TECH'!$E:$E)="Storage","",IF(_xlfn.XLOOKUP($B83,'ELC TECH'!$H:$H,'ELC TECH'!AL:AL)="",1,_xlfn.XLOOKUP($B83,'ELC TECH'!$H:$H,'ELC TECH'!AL:AL)))</f>
        <v>1</v>
      </c>
      <c r="L83" s="12">
        <f>IF(_xlfn.XLOOKUP($B83,'ELC TECH'!$H:$H,'ELC TECH'!$E:$E)="Storage","",IF(_xlfn.XLOOKUP($B83,'ELC TECH'!$H:$H,'ELC TECH'!AM:AM)="",1,_xlfn.XLOOKUP($B83,'ELC TECH'!$H:$H,'ELC TECH'!AM:AM)))</f>
        <v>1</v>
      </c>
      <c r="M83" s="12">
        <f>IF(_xlfn.XLOOKUP($B83,'ELC TECH'!$H:$H,'ELC TECH'!$E:$E)="Storage","",IF(_xlfn.XLOOKUP($B83,'ELC TECH'!$H:$H,'ELC TECH'!AN:AN)="",1,_xlfn.XLOOKUP($B83,'ELC TECH'!$H:$H,'ELC TECH'!AN:AN)))</f>
        <v>1</v>
      </c>
      <c r="N83" s="12">
        <f>IF(_xlfn.XLOOKUP($B83,'ELC TECH'!$H:$H,'ELC TECH'!$E:$E)="Storage","",IF(_xlfn.XLOOKUP($B83,'ELC TECH'!$H:$H,'ELC TECH'!AO:AO)="",1,_xlfn.XLOOKUP($B83,'ELC TECH'!$H:$H,'ELC TECH'!AO:AO)))</f>
        <v>1</v>
      </c>
      <c r="O83" s="12">
        <f>IF(_xlfn.XLOOKUP($B83,'ELC TECH'!$H:$H,'ELC TECH'!$E:$E)="Storage","",IF(_xlfn.XLOOKUP($B83,'ELC TECH'!$H:$H,'ELC TECH'!AP:AP)="",1,_xlfn.XLOOKUP($B83,'ELC TECH'!$H:$H,'ELC TECH'!AP:AP)))</f>
        <v>1</v>
      </c>
      <c r="P83" s="12">
        <f>IF(_xlfn.XLOOKUP($B83,'ELC TECH'!$H:$H,'ELC TECH'!$E:$E)="Storage","",IF(_xlfn.XLOOKUP($B83,'ELC TECH'!$H:$H,'ELC TECH'!AQ:AQ)="",1,_xlfn.XLOOKUP($B83,'ELC TECH'!$H:$H,'ELC TECH'!AQ:AQ)))</f>
        <v>1</v>
      </c>
      <c r="Q83" s="12">
        <f>IF(_xlfn.XLOOKUP($B83,'ELC TECH'!$H:$H,'ELC TECH'!$E:$E)="Storage","",IF(_xlfn.XLOOKUP($B83,'ELC TECH'!$H:$H,'ELC TECH'!AR:AR)="",1,_xlfn.XLOOKUP($B83,'ELC TECH'!$H:$H,'ELC TECH'!AR:AR)))</f>
        <v>1</v>
      </c>
      <c r="R83" s="12" t="str">
        <f>IF(_xlfn.XLOOKUP($B83,'ELC TECH'!$H:$H,'ELC TECH'!$E:$E)&lt;&gt;"Storage","",IF(_xlfn.XLOOKUP($B83,'ELC TECH'!$H:$H,'ELC TECH'!AK:AK)="",0.8,_xlfn.XLOOKUP($B83,'ELC TECH'!$H:$H,'ELC TECH'!AK:AK)))</f>
        <v/>
      </c>
      <c r="S83" s="12" t="str">
        <f>IF(_xlfn.XLOOKUP($B83,'ELC TECH'!$H:$H,'ELC TECH'!$E:$E)&lt;&gt;"Storage","",IF(_xlfn.XLOOKUP($B83,'ELC TECH'!$H:$H,'ELC TECH'!AL:AL)="",0.8,_xlfn.XLOOKUP($B83,'ELC TECH'!$H:$H,'ELC TECH'!AL:AL)))</f>
        <v/>
      </c>
      <c r="T83" s="12" t="str">
        <f>IF(_xlfn.XLOOKUP($B83,'ELC TECH'!$H:$H,'ELC TECH'!$E:$E)&lt;&gt;"Storage","",IF(_xlfn.XLOOKUP($B83,'ELC TECH'!$H:$H,'ELC TECH'!AM:AM)="",0.8,_xlfn.XLOOKUP($B83,'ELC TECH'!$H:$H,'ELC TECH'!AM:AM)))</f>
        <v/>
      </c>
      <c r="U83" s="12" t="str">
        <f>IF(_xlfn.XLOOKUP($B83,'ELC TECH'!$H:$H,'ELC TECH'!$E:$E)&lt;&gt;"Storage","",IF(_xlfn.XLOOKUP($B83,'ELC TECH'!$H:$H,'ELC TECH'!AN:AN)="",0.8,_xlfn.XLOOKUP($B83,'ELC TECH'!$H:$H,'ELC TECH'!AN:AN)))</f>
        <v/>
      </c>
      <c r="V83" s="12" t="str">
        <f>IF(_xlfn.XLOOKUP($B83,'ELC TECH'!$H:$H,'ELC TECH'!$E:$E)&lt;&gt;"Storage","",IF(_xlfn.XLOOKUP($B83,'ELC TECH'!$H:$H,'ELC TECH'!AO:AO)="",0.8,_xlfn.XLOOKUP($B83,'ELC TECH'!$H:$H,'ELC TECH'!AO:AO)))</f>
        <v/>
      </c>
      <c r="W83" s="12" t="str">
        <f>IF(_xlfn.XLOOKUP($B83,'ELC TECH'!$H:$H,'ELC TECH'!$E:$E)&lt;&gt;"Storage","",IF(_xlfn.XLOOKUP($B83,'ELC TECH'!$H:$H,'ELC TECH'!AP:AP)="",0.8,_xlfn.XLOOKUP($B83,'ELC TECH'!$H:$H,'ELC TECH'!AP:AP)))</f>
        <v/>
      </c>
      <c r="X83" s="12" t="str">
        <f>IF(_xlfn.XLOOKUP($B83,'ELC TECH'!$H:$H,'ELC TECH'!$E:$E)&lt;&gt;"Storage","",IF(_xlfn.XLOOKUP($B83,'ELC TECH'!$H:$H,'ELC TECH'!AQ:AQ)="",0.8,_xlfn.XLOOKUP($B83,'ELC TECH'!$H:$H,'ELC TECH'!AQ:AQ)))</f>
        <v/>
      </c>
      <c r="Y83" s="12" t="str">
        <f>IF(_xlfn.XLOOKUP($B83,'ELC TECH'!$H:$H,'ELC TECH'!$E:$E)&lt;&gt;"Storage","",IF(_xlfn.XLOOKUP($B83,'ELC TECH'!$H:$H,'ELC TECH'!AR:AR)="",0.8,_xlfn.XLOOKUP($B83,'ELC TECH'!$H:$H,'ELC TECH'!AR:AR)))</f>
        <v/>
      </c>
      <c r="Z83" s="15">
        <f>_xlfn.XLOOKUP($B83,'ELC TECH'!$H:$H,'ELC TECH'!M:M)</f>
        <v>7714.0905381440816</v>
      </c>
      <c r="AA83" s="15">
        <f>_xlfn.XLOOKUP($B83,'ELC TECH'!$H:$H,'ELC TECH'!N:N)</f>
        <v>6685.54513305821</v>
      </c>
      <c r="AB83" s="15">
        <f>_xlfn.XLOOKUP($B83,'ELC TECH'!$H:$H,'ELC TECH'!O:O)</f>
        <v>5399.8633767008541</v>
      </c>
      <c r="AC83" s="15">
        <f>_xlfn.XLOOKUP($B83,'ELC TECH'!$H:$H,'ELC TECH'!P:P)</f>
        <v>5207.0111132472512</v>
      </c>
      <c r="AD83" s="15">
        <f>_xlfn.XLOOKUP($B83,'ELC TECH'!$H:$H,'ELC TECH'!Q:Q)</f>
        <v>5014.1588497936491</v>
      </c>
      <c r="AE83" s="15">
        <f>_xlfn.XLOOKUP($B83,'ELC TECH'!$H:$H,'ELC TECH'!R:R)</f>
        <v>4821.306586340047</v>
      </c>
      <c r="AF83" s="15">
        <f>_xlfn.XLOOKUP($B83,'ELC TECH'!$H:$H,'ELC TECH'!S:S)</f>
        <v>4628.4543228864441</v>
      </c>
      <c r="AG83" s="15">
        <f>_xlfn.XLOOKUP($B83,'ELC TECH'!$H:$H,'ELC TECH'!T:T)</f>
        <v>4628.4543228864441</v>
      </c>
      <c r="AH83" s="15">
        <f>_xlfn.XLOOKUP($B83,'ELC TECH'!$H:$H,'ELC TECH'!U:U)</f>
        <v>78.13820520946102</v>
      </c>
      <c r="AI83" s="15">
        <f>_xlfn.XLOOKUP($B83,'ELC TECH'!$H:$H,'ELC TECH'!V:V)</f>
        <v>69.456182408409788</v>
      </c>
      <c r="AJ83" s="15">
        <f>_xlfn.XLOOKUP($B83,'ELC TECH'!$H:$H,'ELC TECH'!W:W)</f>
        <v>58.603653907095762</v>
      </c>
      <c r="AK83" s="15">
        <f>_xlfn.XLOOKUP($B83,'ELC TECH'!$H:$H,'ELC TECH'!X:X)</f>
        <v>58.603653907095762</v>
      </c>
      <c r="AL83" s="15">
        <f>_xlfn.XLOOKUP($B83,'ELC TECH'!$H:$H,'ELC TECH'!Y:Y)</f>
        <v>58.603653907095762</v>
      </c>
      <c r="AM83" s="15">
        <f>_xlfn.XLOOKUP($B83,'ELC TECH'!$H:$H,'ELC TECH'!Z:Z)</f>
        <v>58.603653907095762</v>
      </c>
      <c r="AN83" s="15">
        <f>_xlfn.XLOOKUP($B83,'ELC TECH'!$H:$H,'ELC TECH'!AA:AA)</f>
        <v>58.603653907095762</v>
      </c>
      <c r="AO83" s="15">
        <f>_xlfn.XLOOKUP($B83,'ELC TECH'!$H:$H,'ELC TECH'!AB:AB)</f>
        <v>58.603653907095762</v>
      </c>
      <c r="AP83" s="15">
        <f>_xlfn.XLOOKUP($B83,'ELC TECH'!$H:$H,'ELC TECH'!AC:AC)</f>
        <v>1.151025750139367</v>
      </c>
      <c r="AQ83" s="15">
        <f>_xlfn.XLOOKUP($B83,'ELC TECH'!$H:$H,'ELC TECH'!AD:AD)</f>
        <v>1.0582610423917429</v>
      </c>
      <c r="AR83" s="15">
        <f>_xlfn.XLOOKUP($B83,'ELC TECH'!$H:$H,'ELC TECH'!AE:AE)</f>
        <v>0.94230515770721801</v>
      </c>
      <c r="AS83" s="15">
        <f>_xlfn.XLOOKUP($B83,'ELC TECH'!$H:$H,'ELC TECH'!AF:AF)</f>
        <v>0.94230515770721801</v>
      </c>
      <c r="AT83" s="15">
        <f>_xlfn.XLOOKUP($B83,'ELC TECH'!$H:$H,'ELC TECH'!AG:AG)</f>
        <v>0.94230515770721801</v>
      </c>
      <c r="AU83" s="15">
        <f>_xlfn.XLOOKUP($B83,'ELC TECH'!$H:$H,'ELC TECH'!AH:AH)</f>
        <v>0.94230515770721801</v>
      </c>
      <c r="AV83" s="15">
        <f>_xlfn.XLOOKUP($B83,'ELC TECH'!$H:$H,'ELC TECH'!AI:AI)</f>
        <v>0.94230515770721801</v>
      </c>
      <c r="AW83" s="15">
        <f>_xlfn.XLOOKUP($B83,'ELC TECH'!$H:$H,'ELC TECH'!AJ:AJ)</f>
        <v>0.94230515770721801</v>
      </c>
      <c r="AX83" s="12">
        <f>IF(_xlfn.XLOOKUP($B83,'ELC TECH'!$H:$H,'ELC TECH'!$E:$E)="Storage","",_xlfn.XLOOKUP($B83,'ELC TECH'!$H:$H,'ELC TECH'!AS:AS))</f>
        <v>0.51400000000000001</v>
      </c>
      <c r="AY83" s="12">
        <f>IF(_xlfn.XLOOKUP($B83,'ELC TECH'!$H:$H,'ELC TECH'!$E:$E)="Storage","",_xlfn.XLOOKUP($B83,'ELC TECH'!$H:$H,'ELC TECH'!AT:AT))</f>
        <v>0.51400000000000001</v>
      </c>
      <c r="AZ83" s="12">
        <f>IF(_xlfn.XLOOKUP($B83,'ELC TECH'!$H:$H,'ELC TECH'!$E:$E)="Storage","",_xlfn.XLOOKUP($B83,'ELC TECH'!$H:$H,'ELC TECH'!AU:AU))</f>
        <v>0.51400000000000001</v>
      </c>
      <c r="BA83" s="12">
        <f>IF(_xlfn.XLOOKUP($B83,'ELC TECH'!$H:$H,'ELC TECH'!$E:$E)="Storage","",_xlfn.XLOOKUP($B83,'ELC TECH'!$H:$H,'ELC TECH'!AV:AV))</f>
        <v>0.51400000000000001</v>
      </c>
      <c r="BB83" s="12">
        <f>IF(_xlfn.XLOOKUP($B83,'ELC TECH'!$H:$H,'ELC TECH'!$E:$E)="Storage","",_xlfn.XLOOKUP($B83,'ELC TECH'!$H:$H,'ELC TECH'!AW:AW))</f>
        <v>0.51400000000000001</v>
      </c>
      <c r="BC83" s="12">
        <f>IF(_xlfn.XLOOKUP($B83,'ELC TECH'!$H:$H,'ELC TECH'!$E:$E)="Storage","",_xlfn.XLOOKUP($B83,'ELC TECH'!$H:$H,'ELC TECH'!AX:AX))</f>
        <v>0.51400000000000001</v>
      </c>
      <c r="BD83" s="12">
        <f>IF(_xlfn.XLOOKUP($B83,'ELC TECH'!$H:$H,'ELC TECH'!$E:$E)="Storage","",_xlfn.XLOOKUP($B83,'ELC TECH'!$H:$H,'ELC TECH'!AY:AY))</f>
        <v>0.51400000000000001</v>
      </c>
      <c r="BE83" s="12">
        <f>IF(_xlfn.XLOOKUP($B83,'ELC TECH'!$H:$H,'ELC TECH'!$E:$E)="Storage","",_xlfn.XLOOKUP($B83,'ELC TECH'!$H:$H,'ELC TECH'!AZ:AZ))</f>
        <v>0.51400000000000001</v>
      </c>
      <c r="BF83" s="12" t="str">
        <f>IF(_xlfn.XLOOKUP($B83,'ELC TECH'!$H:$H,'ELC TECH'!$E:$E)="Storage",_xlfn.XLOOKUP($B83,'ELC TECH'!$H:$H,'ELC TECH'!AS:AS),"")</f>
        <v/>
      </c>
      <c r="BG83" s="12" t="str">
        <f>IF(_xlfn.XLOOKUP($B83,'ELC TECH'!$H:$H,'ELC TECH'!$E:$E)="Storage",_xlfn.XLOOKUP($B83,'ELC TECH'!$H:$H,'ELC TECH'!AT:AT),"")</f>
        <v/>
      </c>
      <c r="BH83" s="12" t="str">
        <f>IF(_xlfn.XLOOKUP($B83,'ELC TECH'!$H:$H,'ELC TECH'!$E:$E)="Storage",_xlfn.XLOOKUP($B83,'ELC TECH'!$H:$H,'ELC TECH'!AU:AU),"")</f>
        <v/>
      </c>
      <c r="BI83" s="12" t="str">
        <f>IF(_xlfn.XLOOKUP($B83,'ELC TECH'!$H:$H,'ELC TECH'!$E:$E)="Storage",_xlfn.XLOOKUP($B83,'ELC TECH'!$H:$H,'ELC TECH'!AV:AV),"")</f>
        <v/>
      </c>
      <c r="BJ83" s="12" t="str">
        <f>IF(_xlfn.XLOOKUP($B83,'ELC TECH'!$H:$H,'ELC TECH'!$E:$E)="Storage",_xlfn.XLOOKUP($B83,'ELC TECH'!$H:$H,'ELC TECH'!AW:AW),"")</f>
        <v/>
      </c>
      <c r="BK83" s="12" t="str">
        <f>IF(_xlfn.XLOOKUP($B83,'ELC TECH'!$H:$H,'ELC TECH'!$E:$E)="Storage",_xlfn.XLOOKUP($B83,'ELC TECH'!$H:$H,'ELC TECH'!AX:AX),"")</f>
        <v/>
      </c>
      <c r="BL83" s="12" t="str">
        <f>IF(_xlfn.XLOOKUP($B83,'ELC TECH'!$H:$H,'ELC TECH'!$E:$E)="Storage",_xlfn.XLOOKUP($B83,'ELC TECH'!$H:$H,'ELC TECH'!AY:AY),"")</f>
        <v/>
      </c>
      <c r="BM83" s="12" t="str">
        <f>IF(_xlfn.XLOOKUP($B83,'ELC TECH'!$H:$H,'ELC TECH'!$E:$E)="Storage",_xlfn.XLOOKUP($B83,'ELC TECH'!$H:$H,'ELC TECH'!AZ:AZ),"")</f>
        <v/>
      </c>
      <c r="BN83" s="8" t="str">
        <f>IF(_xlfn.XLOOKUP($B83,'ELC TECH'!$H:$H,'ELC TECH'!$E:$E)="Non Dispatchable",IFERROR($AX83*_xlfn.XLOOKUP($C83,$BM$1:$BM$3,BN$1:BN$3)/SUMPRODUCT(_xlfn.XLOOKUP($C83,$BM$1:$BM$3,$BN$1:$BY$3),$BN$4:$BY$4),""),
"")</f>
        <v/>
      </c>
      <c r="BO83" s="8" t="str">
        <f>IF(_xlfn.XLOOKUP($B83,'ELC TECH'!$H:$H,'ELC TECH'!$E:$E)="Non Dispatchable",IFERROR($AX83*_xlfn.XLOOKUP($C83,$BM$1:$BM$3,BO$1:BO$3)/SUMPRODUCT(_xlfn.XLOOKUP($C83,$BM$1:$BM$3,$BN$1:$BY$3),$BN$4:$BY$4),""),
"")</f>
        <v/>
      </c>
      <c r="BP83" s="8" t="str">
        <f>IF(_xlfn.XLOOKUP($B83,'ELC TECH'!$H:$H,'ELC TECH'!$E:$E)="Non Dispatchable",IFERROR($AX83*_xlfn.XLOOKUP($C83,$BM$1:$BM$3,BP$1:BP$3)/SUMPRODUCT(_xlfn.XLOOKUP($C83,$BM$1:$BM$3,$BN$1:$BY$3),$BN$4:$BY$4),""),
"")</f>
        <v/>
      </c>
      <c r="BQ83" s="8" t="str">
        <f>IF(_xlfn.XLOOKUP($B83,'ELC TECH'!$H:$H,'ELC TECH'!$E:$E)="Non Dispatchable",IFERROR($AX83*_xlfn.XLOOKUP($C83,$BM$1:$BM$3,BQ$1:BQ$3)/SUMPRODUCT(_xlfn.XLOOKUP($C83,$BM$1:$BM$3,$BN$1:$BY$3),$BN$4:$BY$4),""),
"")</f>
        <v/>
      </c>
      <c r="BR83" s="8" t="str">
        <f>IF(_xlfn.XLOOKUP($B83,'ELC TECH'!$H:$H,'ELC TECH'!$E:$E)="Non Dispatchable",IFERROR($AX83*_xlfn.XLOOKUP($C83,$BM$1:$BM$3,BR$1:BR$3)/SUMPRODUCT(_xlfn.XLOOKUP($C83,$BM$1:$BM$3,$BN$1:$BY$3),$BN$4:$BY$4),""),
"")</f>
        <v/>
      </c>
      <c r="BS83" s="8" t="str">
        <f>IF(_xlfn.XLOOKUP($B83,'ELC TECH'!$H:$H,'ELC TECH'!$E:$E)="Non Dispatchable",IFERROR($AX83*_xlfn.XLOOKUP($C83,$BM$1:$BM$3,BS$1:BS$3)/SUMPRODUCT(_xlfn.XLOOKUP($C83,$BM$1:$BM$3,$BN$1:$BY$3),$BN$4:$BY$4),""),
"")</f>
        <v/>
      </c>
      <c r="BT83" s="8" t="str">
        <f>IF(_xlfn.XLOOKUP($B83,'ELC TECH'!$H:$H,'ELC TECH'!$E:$E)="Non Dispatchable",IFERROR($AX83*_xlfn.XLOOKUP($C83,$BM$1:$BM$3,BT$1:BT$3)/SUMPRODUCT(_xlfn.XLOOKUP($C83,$BM$1:$BM$3,$BN$1:$BY$3),$BN$4:$BY$4),""),
"")</f>
        <v/>
      </c>
      <c r="BU83" s="8" t="str">
        <f>IF(_xlfn.XLOOKUP($B83,'ELC TECH'!$H:$H,'ELC TECH'!$E:$E)="Non Dispatchable",IFERROR($AX83*_xlfn.XLOOKUP($C83,$BM$1:$BM$3,BU$1:BU$3)/SUMPRODUCT(_xlfn.XLOOKUP($C83,$BM$1:$BM$3,$BN$1:$BY$3),$BN$4:$BY$4),""),
"")</f>
        <v/>
      </c>
      <c r="BV83" s="8" t="str">
        <f>IF(_xlfn.XLOOKUP($B83,'ELC TECH'!$H:$H,'ELC TECH'!$E:$E)="Non Dispatchable",IFERROR($AX83*_xlfn.XLOOKUP($C83,$BM$1:$BM$3,BV$1:BV$3)/SUMPRODUCT(_xlfn.XLOOKUP($C83,$BM$1:$BM$3,$BN$1:$BY$3),$BN$4:$BY$4),""),
"")</f>
        <v/>
      </c>
      <c r="BW83" s="8" t="str">
        <f>IF(_xlfn.XLOOKUP($B83,'ELC TECH'!$H:$H,'ELC TECH'!$E:$E)="Non Dispatchable",IFERROR($AX83*_xlfn.XLOOKUP($C83,$BM$1:$BM$3,BW$1:BW$3)/SUMPRODUCT(_xlfn.XLOOKUP($C83,$BM$1:$BM$3,$BN$1:$BY$3),$BN$4:$BY$4),""),
"")</f>
        <v/>
      </c>
      <c r="BX83" s="8" t="str">
        <f>IF(_xlfn.XLOOKUP($B83,'ELC TECH'!$H:$H,'ELC TECH'!$E:$E)="Non Dispatchable",IFERROR($AX83*_xlfn.XLOOKUP($C83,$BM$1:$BM$3,BX$1:BX$3)/SUMPRODUCT(_xlfn.XLOOKUP($C83,$BM$1:$BM$3,$BN$1:$BY$3),$BN$4:$BY$4),""),
"")</f>
        <v/>
      </c>
      <c r="BY83" s="8" t="str">
        <f>IF(_xlfn.XLOOKUP($B83,'ELC TECH'!$H:$H,'ELC TECH'!$E:$E)="Non Dispatchable",IFERROR($AX83*_xlfn.XLOOKUP($C83,$BM$1:$BM$3,BY$1:BY$3)/SUMPRODUCT(_xlfn.XLOOKUP($C83,$BM$1:$BM$3,$BN$1:$BY$3),$BN$4:$BY$4),""),
"")</f>
        <v/>
      </c>
      <c r="BZ83" s="8" t="str">
        <f>IF(_xlfn.XLOOKUP($B83,'ELC TECH'!$H:$H,'ELC TECH'!$E:$E)="Non Dispatchable",IFERROR($AX83*_xlfn.XLOOKUP($C83,$BM$1:$BM$3,BZ$1:BZ$3)/SUMPRODUCT(_xlfn.XLOOKUP($C83,$BM$1:$BM$3,$BN$1:$BY$3),$BN$4:$BY$4),""),
"")</f>
        <v/>
      </c>
      <c r="CA83" s="8" t="str">
        <f>IF(_xlfn.XLOOKUP($B83,'ELC TECH'!$H:$H,'ELC TECH'!$E:$E)="Non Dispatchable",IFERROR($AX83*_xlfn.XLOOKUP($C83,$BM$1:$BM$3,CA$1:CA$3)/SUMPRODUCT(_xlfn.XLOOKUP($C83,$BM$1:$BM$3,$BN$1:$BY$3),$BN$4:$BY$4),""),
"")</f>
        <v/>
      </c>
      <c r="CB83" s="8" t="str">
        <f>IF(_xlfn.XLOOKUP($B83,'ELC TECH'!$H:$H,'ELC TECH'!$E:$E)="Non Dispatchable",IFERROR($AX83*_xlfn.XLOOKUP($C83,$BM$1:$BM$3,CB$1:CB$3)/SUMPRODUCT(_xlfn.XLOOKUP($C83,$BM$1:$BM$3,$BN$1:$BY$3),$BN$4:$BY$4),""),
"")</f>
        <v/>
      </c>
      <c r="CC83" s="8" t="str">
        <f>IF(_xlfn.XLOOKUP($B83,'ELC TECH'!$H:$H,'ELC TECH'!$E:$E)="Non Dispatchable",IFERROR($AX83*_xlfn.XLOOKUP($C83,$BM$1:$BM$3,CC$1:CC$3)/SUMPRODUCT(_xlfn.XLOOKUP($C83,$BM$1:$BM$3,$BN$1:$BY$3),$BN$4:$BY$4),""),
"")</f>
        <v/>
      </c>
      <c r="CD83" s="8" t="str">
        <f>IF(_xlfn.XLOOKUP($B83,'ELC TECH'!$H:$H,'ELC TECH'!$E:$E)="Non Dispatchable",IFERROR($AX83*_xlfn.XLOOKUP($C83,$BM$1:$BM$3,CD$1:CD$3)/SUMPRODUCT(_xlfn.XLOOKUP($C83,$BM$1:$BM$3,$BN$1:$BY$3),$BN$4:$BY$4),""),
"")</f>
        <v/>
      </c>
      <c r="CE83" s="8" t="str">
        <f>IF(_xlfn.XLOOKUP($B83,'ELC TECH'!$H:$H,'ELC TECH'!$E:$E)="Non Dispatchable",IFERROR($AX83*_xlfn.XLOOKUP($C83,$BM$1:$BM$3,CE$1:CE$3)/SUMPRODUCT(_xlfn.XLOOKUP($C83,$BM$1:$BM$3,$BN$1:$BY$3),$BN$4:$BY$4),""),
"")</f>
        <v/>
      </c>
      <c r="CF83" s="8" t="str">
        <f>IF(_xlfn.XLOOKUP($B83,'ELC TECH'!$H:$H,'ELC TECH'!$E:$E)="Non Dispatchable",IFERROR($AX83*_xlfn.XLOOKUP($C83,$BM$1:$BM$3,CF$1:CF$3)/SUMPRODUCT(_xlfn.XLOOKUP($C83,$BM$1:$BM$3,$BN$1:$BY$3),$BN$4:$BY$4),""),
"")</f>
        <v/>
      </c>
      <c r="CG83" s="8" t="str">
        <f>IF(_xlfn.XLOOKUP($B83,'ELC TECH'!$H:$H,'ELC TECH'!$E:$E)="Non Dispatchable",IFERROR($AX83*_xlfn.XLOOKUP($C83,$BM$1:$BM$3,CG$1:CG$3)/SUMPRODUCT(_xlfn.XLOOKUP($C83,$BM$1:$BM$3,$BN$1:$BY$3),$BN$4:$BY$4),""),
"")</f>
        <v/>
      </c>
      <c r="CH83" s="8" t="str">
        <f>IF(_xlfn.XLOOKUP($B83,'ELC TECH'!$H:$H,'ELC TECH'!$E:$E)="Non Dispatchable",IFERROR($AX83*_xlfn.XLOOKUP($C83,$BM$1:$BM$3,CH$1:CH$3)/SUMPRODUCT(_xlfn.XLOOKUP($C83,$BM$1:$BM$3,$BN$1:$BY$3),$BN$4:$BY$4),""),
"")</f>
        <v/>
      </c>
      <c r="CI83" s="8" t="str">
        <f>IF(_xlfn.XLOOKUP($B83,'ELC TECH'!$H:$H,'ELC TECH'!$E:$E)="Non Dispatchable",IFERROR($AX83*_xlfn.XLOOKUP($C83,$BM$1:$BM$3,CI$1:CI$3)/SUMPRODUCT(_xlfn.XLOOKUP($C83,$BM$1:$BM$3,$BN$1:$BY$3),$BN$4:$BY$4),""),
"")</f>
        <v/>
      </c>
      <c r="CJ83" s="8" t="str">
        <f>IF(_xlfn.XLOOKUP($B83,'ELC TECH'!$H:$H,'ELC TECH'!$E:$E)="Non Dispatchable",IFERROR($AX83*_xlfn.XLOOKUP($C83,$BM$1:$BM$3,CJ$1:CJ$3)/SUMPRODUCT(_xlfn.XLOOKUP($C83,$BM$1:$BM$3,$BN$1:$BY$3),$BN$4:$BY$4),""),
"")</f>
        <v/>
      </c>
      <c r="CK83" s="8" t="str">
        <f>IF(_xlfn.XLOOKUP($B83,'ELC TECH'!$H:$H,'ELC TECH'!$E:$E)="Non Dispatchable",IFERROR($AX83*_xlfn.XLOOKUP($C83,$BM$1:$BM$3,CK$1:CK$3)/SUMPRODUCT(_xlfn.XLOOKUP($C83,$BM$1:$BM$3,$BN$1:$BY$3),$BN$4:$BY$4),""),
"")</f>
        <v/>
      </c>
      <c r="CL83" s="8" t="str">
        <f>IF(_xlfn.XLOOKUP($B83,'ELC TECH'!$H:$H,'ELC TECH'!$E:$E)="Storage",CL$4*$BF83,"")</f>
        <v/>
      </c>
      <c r="CM83" s="8" t="str">
        <f>IF(_xlfn.XLOOKUP($B83,'ELC TECH'!$H:$H,'ELC TECH'!$E:$E)="Storage",CM$4*$BF83,"")</f>
        <v/>
      </c>
      <c r="CN83" s="8" t="str">
        <f>IF(_xlfn.XLOOKUP($B83,'ELC TECH'!$H:$H,'ELC TECH'!$E:$E)="Storage",CN$4*$BF83,"")</f>
        <v/>
      </c>
      <c r="CO83" s="8" t="str">
        <f>IF(_xlfn.XLOOKUP($B83,'ELC TECH'!$H:$H,'ELC TECH'!$E:$E)="Storage",CO$4*$BF83,"")</f>
        <v/>
      </c>
      <c r="CP83" s="8" t="str">
        <f>IF(_xlfn.XLOOKUP($B83,'ELC TECH'!$H:$H,'ELC TECH'!$E:$E)="Storage",CP$4*$BF83,"")</f>
        <v/>
      </c>
      <c r="CQ83" s="8" t="str">
        <f>IF(_xlfn.XLOOKUP($B83,'ELC TECH'!$H:$H,'ELC TECH'!$E:$E)="Storage",CQ$4*$BF83,"")</f>
        <v/>
      </c>
      <c r="CR83" s="8" t="str">
        <f>IF(_xlfn.XLOOKUP($B83,'ELC TECH'!$H:$H,'ELC TECH'!$E:$E)="Storage",CR$4*$BF83,"")</f>
        <v/>
      </c>
      <c r="CS83" s="8" t="str">
        <f>IF(_xlfn.XLOOKUP($B83,'ELC TECH'!$H:$H,'ELC TECH'!$E:$E)="Storage",CS$4*$BF83,"")</f>
        <v/>
      </c>
      <c r="CT83" s="8" t="str">
        <f>IF(_xlfn.XLOOKUP($B83,'ELC TECH'!$H:$H,'ELC TECH'!$E:$E)="Storage",CT$4*$BF83,"")</f>
        <v/>
      </c>
      <c r="CU83" s="8" t="str">
        <f>IF(_xlfn.XLOOKUP($B83,'ELC TECH'!$H:$H,'ELC TECH'!$E:$E)="Storage",CU$4*$BF83,"")</f>
        <v/>
      </c>
      <c r="CV83" s="8" t="str">
        <f>IF(_xlfn.XLOOKUP($B83,'ELC TECH'!$H:$H,'ELC TECH'!$E:$E)="Storage",CV$4*$BF83,"")</f>
        <v/>
      </c>
      <c r="CW83" s="8" t="str">
        <f>IF(_xlfn.XLOOKUP($B83,'ELC TECH'!$H:$H,'ELC TECH'!$E:$E)="Storage",CW$4*$BF83,"")</f>
        <v/>
      </c>
      <c r="CX83" s="8" t="str">
        <f>IF(_xlfn.XLOOKUP($B83,'ELC TECH'!$H:$H,'ELC TECH'!$E:$E)="Storage",CX$4*$BF83,"")</f>
        <v/>
      </c>
      <c r="CY83" s="8" t="str">
        <f>IF(_xlfn.XLOOKUP($B83,'ELC TECH'!$H:$H,'ELC TECH'!$E:$E)="Storage",CY$4*$BF83,"")</f>
        <v/>
      </c>
      <c r="CZ83" s="8" t="str">
        <f>IF(_xlfn.XLOOKUP($B83,'ELC TECH'!$H:$H,'ELC TECH'!$E:$E)="Storage",CZ$4*$BF83,"")</f>
        <v/>
      </c>
      <c r="DA83" s="8" t="str">
        <f>IF(_xlfn.XLOOKUP($B83,'ELC TECH'!$H:$H,'ELC TECH'!$E:$E)="Storage",DA$4*$BF83,"")</f>
        <v/>
      </c>
      <c r="DB83" s="8" t="str">
        <f>IF(_xlfn.XLOOKUP($B83,'ELC TECH'!$H:$H,'ELC TECH'!$E:$E)="Storage",DB$4*$BF83,"")</f>
        <v/>
      </c>
      <c r="DC83" s="8" t="str">
        <f>IF(_xlfn.XLOOKUP($B83,'ELC TECH'!$H:$H,'ELC TECH'!$E:$E)="Storage",DC$4*$BF83,"")</f>
        <v/>
      </c>
      <c r="DD83" s="8" t="str">
        <f>IF(_xlfn.XLOOKUP($B83,'ELC TECH'!$H:$H,'ELC TECH'!$E:$E)="Storage",DD$4*$BF83,"")</f>
        <v/>
      </c>
      <c r="DE83" s="8" t="str">
        <f>IF(_xlfn.XLOOKUP($B83,'ELC TECH'!$H:$H,'ELC TECH'!$E:$E)="Storage",DE$4*$BF83,"")</f>
        <v/>
      </c>
      <c r="DF83" s="8" t="str">
        <f>IF(_xlfn.XLOOKUP($B83,'ELC TECH'!$H:$H,'ELC TECH'!$E:$E)="Storage",DF$4*$BF83,"")</f>
        <v/>
      </c>
      <c r="DG83" s="8" t="str">
        <f>IF(_xlfn.XLOOKUP($B83,'ELC TECH'!$H:$H,'ELC TECH'!$E:$E)="Storage",DG$4*$BF83,"")</f>
        <v/>
      </c>
      <c r="DH83" s="8" t="str">
        <f>IF(_xlfn.XLOOKUP($B83,'ELC TECH'!$H:$H,'ELC TECH'!$E:$E)="Storage",DH$4*$BF83,"")</f>
        <v/>
      </c>
      <c r="DI83" s="8" t="str">
        <f>IF(_xlfn.XLOOKUP($B83,'ELC TECH'!$H:$H,'ELC TECH'!$E:$E)="Storage",DI$4*$BF83,"")</f>
        <v/>
      </c>
    </row>
    <row r="84" spans="2:113" x14ac:dyDescent="0.25">
      <c r="B84" t="str">
        <f>IF('ELC TECH'!I77=0,"*",'ELC TECH'!H77)</f>
        <v>ELCWNDGRDWONC120</v>
      </c>
      <c r="C84" t="str">
        <f>IF(_xlfn.XLOOKUP(_xlfn.XLOOKUP(B84,'ELC TECH'!$H:$H,'ELC TECH'!$G:$G),List!C:C,List!B:B)="STG",D84,"ELC"&amp;_xlfn.XLOOKUP(_xlfn.XLOOKUP(B84,'ELC TECH'!H:H,'ELC TECH'!G:G),List!C:C,List!B:B))</f>
        <v>ELCWND</v>
      </c>
      <c r="D84" t="s">
        <v>544</v>
      </c>
      <c r="E84">
        <f>_xlfn.XLOOKUP(B84,'ELC TECH'!H:H,'ELC TECH'!D:D)</f>
        <v>2020</v>
      </c>
      <c r="F84">
        <f>_xlfn.XLOOKUP(B84,'ELC TECH'!H:H,'ELC TECH'!K:K)</f>
        <v>30</v>
      </c>
      <c r="G84">
        <f t="shared" si="6"/>
        <v>31.535999999999998</v>
      </c>
      <c r="H84">
        <f>IF(_xlfn.XLOOKUP(B84,'ELC TECH'!$H:$H,'ELC TECH'!$E:$E)="Storage",0.3,IF(_xlfn.XLOOKUP(B84,'ELC TECH'!$H:$H,'ELC TECH'!$E:$E)="Baseload",0.9,IF(_xlfn.XLOOKUP(B84,'ELC TECH'!$H:$H,'ELC TECH'!$E:$E)="Non Dispatchable",0.05,IF(_xlfn.XLOOKUP(B84,'ELC TECH'!$H:$H,'ELC TECH'!$E:$E)="Dispatchable",0.9,1))))</f>
        <v>0.05</v>
      </c>
      <c r="I84" s="13">
        <f>IF(_xlfn.XLOOKUP(B84,'ELC TECH'!H:H,'ELC TECH'!J:J)="","",_xlfn.XLOOKUP(B84,'ELC TECH'!H:H,'ELC TECH'!J:J))</f>
        <v>0</v>
      </c>
      <c r="J84" s="12">
        <f>IF(_xlfn.XLOOKUP($B84,'ELC TECH'!$H:$H,'ELC TECH'!$E:$E)="Storage","",IF(_xlfn.XLOOKUP($B84,'ELC TECH'!$H:$H,'ELC TECH'!AK:AK)="",1,_xlfn.XLOOKUP($B84,'ELC TECH'!$H:$H,'ELC TECH'!AK:AK)))</f>
        <v>1</v>
      </c>
      <c r="K84" s="12">
        <f>IF(_xlfn.XLOOKUP($B84,'ELC TECH'!$H:$H,'ELC TECH'!$E:$E)="Storage","",IF(_xlfn.XLOOKUP($B84,'ELC TECH'!$H:$H,'ELC TECH'!AL:AL)="",1,_xlfn.XLOOKUP($B84,'ELC TECH'!$H:$H,'ELC TECH'!AL:AL)))</f>
        <v>1</v>
      </c>
      <c r="L84" s="12">
        <f>IF(_xlfn.XLOOKUP($B84,'ELC TECH'!$H:$H,'ELC TECH'!$E:$E)="Storage","",IF(_xlfn.XLOOKUP($B84,'ELC TECH'!$H:$H,'ELC TECH'!AM:AM)="",1,_xlfn.XLOOKUP($B84,'ELC TECH'!$H:$H,'ELC TECH'!AM:AM)))</f>
        <v>1</v>
      </c>
      <c r="M84" s="12">
        <f>IF(_xlfn.XLOOKUP($B84,'ELC TECH'!$H:$H,'ELC TECH'!$E:$E)="Storage","",IF(_xlfn.XLOOKUP($B84,'ELC TECH'!$H:$H,'ELC TECH'!AN:AN)="",1,_xlfn.XLOOKUP($B84,'ELC TECH'!$H:$H,'ELC TECH'!AN:AN)))</f>
        <v>1</v>
      </c>
      <c r="N84" s="12">
        <f>IF(_xlfn.XLOOKUP($B84,'ELC TECH'!$H:$H,'ELC TECH'!$E:$E)="Storage","",IF(_xlfn.XLOOKUP($B84,'ELC TECH'!$H:$H,'ELC TECH'!AO:AO)="",1,_xlfn.XLOOKUP($B84,'ELC TECH'!$H:$H,'ELC TECH'!AO:AO)))</f>
        <v>1</v>
      </c>
      <c r="O84" s="12">
        <f>IF(_xlfn.XLOOKUP($B84,'ELC TECH'!$H:$H,'ELC TECH'!$E:$E)="Storage","",IF(_xlfn.XLOOKUP($B84,'ELC TECH'!$H:$H,'ELC TECH'!AP:AP)="",1,_xlfn.XLOOKUP($B84,'ELC TECH'!$H:$H,'ELC TECH'!AP:AP)))</f>
        <v>1</v>
      </c>
      <c r="P84" s="12">
        <f>IF(_xlfn.XLOOKUP($B84,'ELC TECH'!$H:$H,'ELC TECH'!$E:$E)="Storage","",IF(_xlfn.XLOOKUP($B84,'ELC TECH'!$H:$H,'ELC TECH'!AQ:AQ)="",1,_xlfn.XLOOKUP($B84,'ELC TECH'!$H:$H,'ELC TECH'!AQ:AQ)))</f>
        <v>1</v>
      </c>
      <c r="Q84" s="12">
        <f>IF(_xlfn.XLOOKUP($B84,'ELC TECH'!$H:$H,'ELC TECH'!$E:$E)="Storage","",IF(_xlfn.XLOOKUP($B84,'ELC TECH'!$H:$H,'ELC TECH'!AR:AR)="",1,_xlfn.XLOOKUP($B84,'ELC TECH'!$H:$H,'ELC TECH'!AR:AR)))</f>
        <v>1</v>
      </c>
      <c r="R84" s="12" t="str">
        <f>IF(_xlfn.XLOOKUP($B84,'ELC TECH'!$H:$H,'ELC TECH'!$E:$E)&lt;&gt;"Storage","",IF(_xlfn.XLOOKUP($B84,'ELC TECH'!$H:$H,'ELC TECH'!AK:AK)="",0.8,_xlfn.XLOOKUP($B84,'ELC TECH'!$H:$H,'ELC TECH'!AK:AK)))</f>
        <v/>
      </c>
      <c r="S84" s="12" t="str">
        <f>IF(_xlfn.XLOOKUP($B84,'ELC TECH'!$H:$H,'ELC TECH'!$E:$E)&lt;&gt;"Storage","",IF(_xlfn.XLOOKUP($B84,'ELC TECH'!$H:$H,'ELC TECH'!AL:AL)="",0.8,_xlfn.XLOOKUP($B84,'ELC TECH'!$H:$H,'ELC TECH'!AL:AL)))</f>
        <v/>
      </c>
      <c r="T84" s="12" t="str">
        <f>IF(_xlfn.XLOOKUP($B84,'ELC TECH'!$H:$H,'ELC TECH'!$E:$E)&lt;&gt;"Storage","",IF(_xlfn.XLOOKUP($B84,'ELC TECH'!$H:$H,'ELC TECH'!AM:AM)="",0.8,_xlfn.XLOOKUP($B84,'ELC TECH'!$H:$H,'ELC TECH'!AM:AM)))</f>
        <v/>
      </c>
      <c r="U84" s="12" t="str">
        <f>IF(_xlfn.XLOOKUP($B84,'ELC TECH'!$H:$H,'ELC TECH'!$E:$E)&lt;&gt;"Storage","",IF(_xlfn.XLOOKUP($B84,'ELC TECH'!$H:$H,'ELC TECH'!AN:AN)="",0.8,_xlfn.XLOOKUP($B84,'ELC TECH'!$H:$H,'ELC TECH'!AN:AN)))</f>
        <v/>
      </c>
      <c r="V84" s="12" t="str">
        <f>IF(_xlfn.XLOOKUP($B84,'ELC TECH'!$H:$H,'ELC TECH'!$E:$E)&lt;&gt;"Storage","",IF(_xlfn.XLOOKUP($B84,'ELC TECH'!$H:$H,'ELC TECH'!AO:AO)="",0.8,_xlfn.XLOOKUP($B84,'ELC TECH'!$H:$H,'ELC TECH'!AO:AO)))</f>
        <v/>
      </c>
      <c r="W84" s="12" t="str">
        <f>IF(_xlfn.XLOOKUP($B84,'ELC TECH'!$H:$H,'ELC TECH'!$E:$E)&lt;&gt;"Storage","",IF(_xlfn.XLOOKUP($B84,'ELC TECH'!$H:$H,'ELC TECH'!AP:AP)="",0.8,_xlfn.XLOOKUP($B84,'ELC TECH'!$H:$H,'ELC TECH'!AP:AP)))</f>
        <v/>
      </c>
      <c r="X84" s="12" t="str">
        <f>IF(_xlfn.XLOOKUP($B84,'ELC TECH'!$H:$H,'ELC TECH'!$E:$E)&lt;&gt;"Storage","",IF(_xlfn.XLOOKUP($B84,'ELC TECH'!$H:$H,'ELC TECH'!AQ:AQ)="",0.8,_xlfn.XLOOKUP($B84,'ELC TECH'!$H:$H,'ELC TECH'!AQ:AQ)))</f>
        <v/>
      </c>
      <c r="Y84" s="12" t="str">
        <f>IF(_xlfn.XLOOKUP($B84,'ELC TECH'!$H:$H,'ELC TECH'!$E:$E)&lt;&gt;"Storage","",IF(_xlfn.XLOOKUP($B84,'ELC TECH'!$H:$H,'ELC TECH'!AR:AR)="",0.8,_xlfn.XLOOKUP($B84,'ELC TECH'!$H:$H,'ELC TECH'!AR:AR)))</f>
        <v/>
      </c>
      <c r="Z84" s="15">
        <f>_xlfn.XLOOKUP($B84,'ELC TECH'!$H:$H,'ELC TECH'!M:M)</f>
        <v>1451.7715269242919</v>
      </c>
      <c r="AA84" s="15">
        <f>_xlfn.XLOOKUP($B84,'ELC TECH'!$H:$H,'ELC TECH'!N:N)</f>
        <v>1350.939266311296</v>
      </c>
      <c r="AB84" s="15">
        <f>_xlfn.XLOOKUP($B84,'ELC TECH'!$H:$H,'ELC TECH'!O:O)</f>
        <v>1224.898940545065</v>
      </c>
      <c r="AC84" s="15">
        <f>_xlfn.XLOOKUP($B84,'ELC TECH'!$H:$H,'ELC TECH'!P:P)</f>
        <v>1164.5945372747431</v>
      </c>
      <c r="AD84" s="15">
        <f>_xlfn.XLOOKUP($B84,'ELC TECH'!$H:$H,'ELC TECH'!Q:Q)</f>
        <v>1104.290134004433</v>
      </c>
      <c r="AE84" s="15">
        <f>_xlfn.XLOOKUP($B84,'ELC TECH'!$H:$H,'ELC TECH'!R:R)</f>
        <v>1043.985730734111</v>
      </c>
      <c r="AF84" s="15">
        <f>_xlfn.XLOOKUP($B84,'ELC TECH'!$H:$H,'ELC TECH'!S:S)</f>
        <v>983.68132746379092</v>
      </c>
      <c r="AG84" s="15">
        <f>_xlfn.XLOOKUP($B84,'ELC TECH'!$H:$H,'ELC TECH'!T:T)</f>
        <v>983.68132746379092</v>
      </c>
      <c r="AH84" s="15">
        <f>_xlfn.XLOOKUP($B84,'ELC TECH'!$H:$H,'ELC TECH'!U:U)</f>
        <v>34.26221553423445</v>
      </c>
      <c r="AI84" s="15">
        <f>_xlfn.XLOOKUP($B84,'ELC TECH'!$H:$H,'ELC TECH'!V:V)</f>
        <v>32.603758456669702</v>
      </c>
      <c r="AJ84" s="15">
        <f>_xlfn.XLOOKUP($B84,'ELC TECH'!$H:$H,'ELC TECH'!W:W)</f>
        <v>30.53068710971386</v>
      </c>
      <c r="AK84" s="15">
        <f>_xlfn.XLOOKUP($B84,'ELC TECH'!$H:$H,'ELC TECH'!X:X)</f>
        <v>29.484728384658851</v>
      </c>
      <c r="AL84" s="15">
        <f>_xlfn.XLOOKUP($B84,'ELC TECH'!$H:$H,'ELC TECH'!Y:Y)</f>
        <v>28.438769659603839</v>
      </c>
      <c r="AM84" s="15">
        <f>_xlfn.XLOOKUP($B84,'ELC TECH'!$H:$H,'ELC TECH'!Z:Z)</f>
        <v>27.39281093454883</v>
      </c>
      <c r="AN84" s="15">
        <f>_xlfn.XLOOKUP($B84,'ELC TECH'!$H:$H,'ELC TECH'!AA:AA)</f>
        <v>26.346852209493811</v>
      </c>
      <c r="AO84" s="15">
        <f>_xlfn.XLOOKUP($B84,'ELC TECH'!$H:$H,'ELC TECH'!AB:AB)</f>
        <v>26.346852209493811</v>
      </c>
      <c r="AP84" s="15">
        <f>_xlfn.XLOOKUP($B84,'ELC TECH'!$H:$H,'ELC TECH'!AC:AC)</f>
        <v>0</v>
      </c>
      <c r="AQ84" s="15">
        <f>_xlfn.XLOOKUP($B84,'ELC TECH'!$H:$H,'ELC TECH'!AD:AD)</f>
        <v>0</v>
      </c>
      <c r="AR84" s="15">
        <f>_xlfn.XLOOKUP($B84,'ELC TECH'!$H:$H,'ELC TECH'!AE:AE)</f>
        <v>0</v>
      </c>
      <c r="AS84" s="15">
        <f>_xlfn.XLOOKUP($B84,'ELC TECH'!$H:$H,'ELC TECH'!AF:AF)</f>
        <v>0</v>
      </c>
      <c r="AT84" s="15">
        <f>_xlfn.XLOOKUP($B84,'ELC TECH'!$H:$H,'ELC TECH'!AG:AG)</f>
        <v>0</v>
      </c>
      <c r="AU84" s="15">
        <f>_xlfn.XLOOKUP($B84,'ELC TECH'!$H:$H,'ELC TECH'!AH:AH)</f>
        <v>0</v>
      </c>
      <c r="AV84" s="15">
        <f>_xlfn.XLOOKUP($B84,'ELC TECH'!$H:$H,'ELC TECH'!AI:AI)</f>
        <v>0</v>
      </c>
      <c r="AW84" s="15">
        <f>_xlfn.XLOOKUP($B84,'ELC TECH'!$H:$H,'ELC TECH'!AJ:AJ)</f>
        <v>0</v>
      </c>
      <c r="AX84" s="12">
        <f>IF(_xlfn.XLOOKUP($B84,'ELC TECH'!$H:$H,'ELC TECH'!$E:$E)="Storage","",_xlfn.XLOOKUP($B84,'ELC TECH'!$H:$H,'ELC TECH'!AS:AS))</f>
        <v>0.49814999999999998</v>
      </c>
      <c r="AY84" s="12">
        <f>IF(_xlfn.XLOOKUP($B84,'ELC TECH'!$H:$H,'ELC TECH'!$E:$E)="Storage","",_xlfn.XLOOKUP($B84,'ELC TECH'!$H:$H,'ELC TECH'!AT:AT))</f>
        <v>0.51345666666666601</v>
      </c>
      <c r="AZ84" s="12">
        <f>IF(_xlfn.XLOOKUP($B84,'ELC TECH'!$H:$H,'ELC TECH'!$E:$E)="Storage","",_xlfn.XLOOKUP($B84,'ELC TECH'!$H:$H,'ELC TECH'!AU:AU))</f>
        <v>0.53259000000000001</v>
      </c>
      <c r="BA84" s="12">
        <f>IF(_xlfn.XLOOKUP($B84,'ELC TECH'!$H:$H,'ELC TECH'!$E:$E)="Storage","",_xlfn.XLOOKUP($B84,'ELC TECH'!$H:$H,'ELC TECH'!AV:AV))</f>
        <v>0.53474250000000001</v>
      </c>
      <c r="BB84" s="12">
        <f>IF(_xlfn.XLOOKUP($B84,'ELC TECH'!$H:$H,'ELC TECH'!$E:$E)="Storage","",_xlfn.XLOOKUP($B84,'ELC TECH'!$H:$H,'ELC TECH'!AW:AW))</f>
        <v>0.53689500000000001</v>
      </c>
      <c r="BC84" s="12">
        <f>IF(_xlfn.XLOOKUP($B84,'ELC TECH'!$H:$H,'ELC TECH'!$E:$E)="Storage","",_xlfn.XLOOKUP($B84,'ELC TECH'!$H:$H,'ELC TECH'!AX:AX))</f>
        <v>0.53904750000000001</v>
      </c>
      <c r="BD84" s="12">
        <f>IF(_xlfn.XLOOKUP($B84,'ELC TECH'!$H:$H,'ELC TECH'!$E:$E)="Storage","",_xlfn.XLOOKUP($B84,'ELC TECH'!$H:$H,'ELC TECH'!AY:AY))</f>
        <v>0.54120000000000001</v>
      </c>
      <c r="BE84" s="12">
        <f>IF(_xlfn.XLOOKUP($B84,'ELC TECH'!$H:$H,'ELC TECH'!$E:$E)="Storage","",_xlfn.XLOOKUP($B84,'ELC TECH'!$H:$H,'ELC TECH'!AZ:AZ))</f>
        <v>0.54120000000000001</v>
      </c>
      <c r="BF84" s="12" t="str">
        <f>IF(_xlfn.XLOOKUP($B84,'ELC TECH'!$H:$H,'ELC TECH'!$E:$E)="Storage",_xlfn.XLOOKUP($B84,'ELC TECH'!$H:$H,'ELC TECH'!AS:AS),"")</f>
        <v/>
      </c>
      <c r="BG84" s="12" t="str">
        <f>IF(_xlfn.XLOOKUP($B84,'ELC TECH'!$H:$H,'ELC TECH'!$E:$E)="Storage",_xlfn.XLOOKUP($B84,'ELC TECH'!$H:$H,'ELC TECH'!AT:AT),"")</f>
        <v/>
      </c>
      <c r="BH84" s="12" t="str">
        <f>IF(_xlfn.XLOOKUP($B84,'ELC TECH'!$H:$H,'ELC TECH'!$E:$E)="Storage",_xlfn.XLOOKUP($B84,'ELC TECH'!$H:$H,'ELC TECH'!AU:AU),"")</f>
        <v/>
      </c>
      <c r="BI84" s="12" t="str">
        <f>IF(_xlfn.XLOOKUP($B84,'ELC TECH'!$H:$H,'ELC TECH'!$E:$E)="Storage",_xlfn.XLOOKUP($B84,'ELC TECH'!$H:$H,'ELC TECH'!AV:AV),"")</f>
        <v/>
      </c>
      <c r="BJ84" s="12" t="str">
        <f>IF(_xlfn.XLOOKUP($B84,'ELC TECH'!$H:$H,'ELC TECH'!$E:$E)="Storage",_xlfn.XLOOKUP($B84,'ELC TECH'!$H:$H,'ELC TECH'!AW:AW),"")</f>
        <v/>
      </c>
      <c r="BK84" s="12" t="str">
        <f>IF(_xlfn.XLOOKUP($B84,'ELC TECH'!$H:$H,'ELC TECH'!$E:$E)="Storage",_xlfn.XLOOKUP($B84,'ELC TECH'!$H:$H,'ELC TECH'!AX:AX),"")</f>
        <v/>
      </c>
      <c r="BL84" s="12" t="str">
        <f>IF(_xlfn.XLOOKUP($B84,'ELC TECH'!$H:$H,'ELC TECH'!$E:$E)="Storage",_xlfn.XLOOKUP($B84,'ELC TECH'!$H:$H,'ELC TECH'!AY:AY),"")</f>
        <v/>
      </c>
      <c r="BM84" s="12" t="str">
        <f>IF(_xlfn.XLOOKUP($B84,'ELC TECH'!$H:$H,'ELC TECH'!$E:$E)="Storage",_xlfn.XLOOKUP($B84,'ELC TECH'!$H:$H,'ELC TECH'!AZ:AZ),"")</f>
        <v/>
      </c>
      <c r="BN84" s="8">
        <f>IF(_xlfn.XLOOKUP($B84,'ELC TECH'!$H:$H,'ELC TECH'!$E:$E)="Non Dispatchable",IFERROR($AX84*_xlfn.XLOOKUP($C84,$BM$1:$BM$3,BN$1:BN$3)/SUMPRODUCT(_xlfn.XLOOKUP($C84,$BM$1:$BM$3,$BN$1:$BY$3),$BN$4:$BY$4),""),
"")</f>
        <v>0.87475214803777612</v>
      </c>
      <c r="BO84" s="8">
        <f>IF(_xlfn.XLOOKUP($B84,'ELC TECH'!$H:$H,'ELC TECH'!$E:$E)="Non Dispatchable",IFERROR($AX84*_xlfn.XLOOKUP($C84,$BM$1:$BM$3,BO$1:BO$3)/SUMPRODUCT(_xlfn.XLOOKUP($C84,$BM$1:$BM$3,$BN$1:$BY$3),$BN$4:$BY$4),""),
"")</f>
        <v>0.87475214803777612</v>
      </c>
      <c r="BP84" s="8">
        <f>IF(_xlfn.XLOOKUP($B84,'ELC TECH'!$H:$H,'ELC TECH'!$E:$E)="Non Dispatchable",IFERROR($AX84*_xlfn.XLOOKUP($C84,$BM$1:$BM$3,BP$1:BP$3)/SUMPRODUCT(_xlfn.XLOOKUP($C84,$BM$1:$BM$3,$BN$1:$BY$3),$BN$4:$BY$4),""),
"")</f>
        <v>8.7475214803777623E-2</v>
      </c>
      <c r="BQ84" s="8">
        <f>IF(_xlfn.XLOOKUP($B84,'ELC TECH'!$H:$H,'ELC TECH'!$E:$E)="Non Dispatchable",IFERROR($AX84*_xlfn.XLOOKUP($C84,$BM$1:$BM$3,BQ$1:BQ$3)/SUMPRODUCT(_xlfn.XLOOKUP($C84,$BM$1:$BM$3,$BN$1:$BY$3),$BN$4:$BY$4),""),
"")</f>
        <v>0.70090203559756437</v>
      </c>
      <c r="BR84" s="8">
        <f>IF(_xlfn.XLOOKUP($B84,'ELC TECH'!$H:$H,'ELC TECH'!$E:$E)="Non Dispatchable",IFERROR($AX84*_xlfn.XLOOKUP($C84,$BM$1:$BM$3,BR$1:BR$3)/SUMPRODUCT(_xlfn.XLOOKUP($C84,$BM$1:$BM$3,$BN$1:$BY$3),$BN$4:$BY$4),""),
"")</f>
        <v>1.017893408625776</v>
      </c>
      <c r="BS84" s="8">
        <f>IF(_xlfn.XLOOKUP($B84,'ELC TECH'!$H:$H,'ELC TECH'!$E:$E)="Non Dispatchable",IFERROR($AX84*_xlfn.XLOOKUP($C84,$BM$1:$BM$3,BS$1:BS$3)/SUMPRODUCT(_xlfn.XLOOKUP($C84,$BM$1:$BM$3,$BN$1:$BY$3),$BN$4:$BY$4),""),
"")</f>
        <v>1.017893408625776</v>
      </c>
      <c r="BT84" s="8">
        <f>IF(_xlfn.XLOOKUP($B84,'ELC TECH'!$H:$H,'ELC TECH'!$E:$E)="Non Dispatchable",IFERROR($AX84*_xlfn.XLOOKUP($C84,$BM$1:$BM$3,BT$1:BT$3)/SUMPRODUCT(_xlfn.XLOOKUP($C84,$BM$1:$BM$3,$BN$1:$BY$3),$BN$4:$BY$4),""),
"")</f>
        <v>0.10178934086257763</v>
      </c>
      <c r="BU84" s="8">
        <f>IF(_xlfn.XLOOKUP($B84,'ELC TECH'!$H:$H,'ELC TECH'!$E:$E)="Non Dispatchable",IFERROR($AX84*_xlfn.XLOOKUP($C84,$BM$1:$BM$3,BU$1:BU$3)/SUMPRODUCT(_xlfn.XLOOKUP($C84,$BM$1:$BM$3,$BN$1:$BY$3),$BN$4:$BY$4),""),
"")</f>
        <v>0.90192151809294097</v>
      </c>
      <c r="BV84" s="8">
        <f>IF(_xlfn.XLOOKUP($B84,'ELC TECH'!$H:$H,'ELC TECH'!$E:$E)="Non Dispatchable",IFERROR($AX84*_xlfn.XLOOKUP($C84,$BM$1:$BM$3,BV$1:BV$3)/SUMPRODUCT(_xlfn.XLOOKUP($C84,$BM$1:$BM$3,$BN$1:$BY$3),$BN$4:$BY$4),""),
"")</f>
        <v>0.52713656293945543</v>
      </c>
      <c r="BW84" s="8">
        <f>IF(_xlfn.XLOOKUP($B84,'ELC TECH'!$H:$H,'ELC TECH'!$E:$E)="Non Dispatchable",IFERROR($AX84*_xlfn.XLOOKUP($C84,$BM$1:$BM$3,BW$1:BW$3)/SUMPRODUCT(_xlfn.XLOOKUP($C84,$BM$1:$BM$3,$BN$1:$BY$3),$BN$4:$BY$4),""),
"")</f>
        <v>0.52713656293945543</v>
      </c>
      <c r="BX84" s="8">
        <f>IF(_xlfn.XLOOKUP($B84,'ELC TECH'!$H:$H,'ELC TECH'!$E:$E)="Non Dispatchable",IFERROR($AX84*_xlfn.XLOOKUP($C84,$BM$1:$BM$3,BX$1:BX$3)/SUMPRODUCT(_xlfn.XLOOKUP($C84,$BM$1:$BM$3,$BN$1:$BY$3),$BN$4:$BY$4),""),
"")</f>
        <v>5.2713656293945539E-2</v>
      </c>
      <c r="BY84" s="8">
        <f>IF(_xlfn.XLOOKUP($B84,'ELC TECH'!$H:$H,'ELC TECH'!$E:$E)="Non Dispatchable",IFERROR($AX84*_xlfn.XLOOKUP($C84,$BM$1:$BM$3,BY$1:BY$3)/SUMPRODUCT(_xlfn.XLOOKUP($C84,$BM$1:$BM$3,$BN$1:$BY$3),$BN$4:$BY$4),""),
"")</f>
        <v>0.38531106623687983</v>
      </c>
      <c r="BZ84" s="8">
        <f>IF(_xlfn.XLOOKUP($B84,'ELC TECH'!$H:$H,'ELC TECH'!$E:$E)="Non Dispatchable",IFERROR($AX84*_xlfn.XLOOKUP($C84,$BM$1:$BM$3,BZ$1:BZ$3)/SUMPRODUCT(_xlfn.XLOOKUP($C84,$BM$1:$BM$3,$BN$1:$BY$3),$BN$4:$BY$4),""),
"")</f>
        <v>0.87475214803777612</v>
      </c>
      <c r="CA84" s="8">
        <f>IF(_xlfn.XLOOKUP($B84,'ELC TECH'!$H:$H,'ELC TECH'!$E:$E)="Non Dispatchable",IFERROR($AX84*_xlfn.XLOOKUP($C84,$BM$1:$BM$3,CA$1:CA$3)/SUMPRODUCT(_xlfn.XLOOKUP($C84,$BM$1:$BM$3,$BN$1:$BY$3),$BN$4:$BY$4),""),
"")</f>
        <v>0.87475214803777612</v>
      </c>
      <c r="CB84" s="8">
        <f>IF(_xlfn.XLOOKUP($B84,'ELC TECH'!$H:$H,'ELC TECH'!$E:$E)="Non Dispatchable",IFERROR($AX84*_xlfn.XLOOKUP($C84,$BM$1:$BM$3,CB$1:CB$3)/SUMPRODUCT(_xlfn.XLOOKUP($C84,$BM$1:$BM$3,$BN$1:$BY$3),$BN$4:$BY$4),""),
"")</f>
        <v>8.7475214803777623E-2</v>
      </c>
      <c r="CC84" s="8">
        <f>IF(_xlfn.XLOOKUP($B84,'ELC TECH'!$H:$H,'ELC TECH'!$E:$E)="Non Dispatchable",IFERROR($AX84*_xlfn.XLOOKUP($C84,$BM$1:$BM$3,CC$1:CC$3)/SUMPRODUCT(_xlfn.XLOOKUP($C84,$BM$1:$BM$3,$BN$1:$BY$3),$BN$4:$BY$4),""),
"")</f>
        <v>0.70090203559756437</v>
      </c>
      <c r="CD84" s="8">
        <f>IF(_xlfn.XLOOKUP($B84,'ELC TECH'!$H:$H,'ELC TECH'!$E:$E)="Non Dispatchable",IFERROR($AX84*_xlfn.XLOOKUP($C84,$BM$1:$BM$3,CD$1:CD$3)/SUMPRODUCT(_xlfn.XLOOKUP($C84,$BM$1:$BM$3,$BN$1:$BY$3),$BN$4:$BY$4),""),
"")</f>
        <v>1.017893408625776</v>
      </c>
      <c r="CE84" s="8">
        <f>IF(_xlfn.XLOOKUP($B84,'ELC TECH'!$H:$H,'ELC TECH'!$E:$E)="Non Dispatchable",IFERROR($AX84*_xlfn.XLOOKUP($C84,$BM$1:$BM$3,CE$1:CE$3)/SUMPRODUCT(_xlfn.XLOOKUP($C84,$BM$1:$BM$3,$BN$1:$BY$3),$BN$4:$BY$4),""),
"")</f>
        <v>1.017893408625776</v>
      </c>
      <c r="CF84" s="8">
        <f>IF(_xlfn.XLOOKUP($B84,'ELC TECH'!$H:$H,'ELC TECH'!$E:$E)="Non Dispatchable",IFERROR($AX84*_xlfn.XLOOKUP($C84,$BM$1:$BM$3,CF$1:CF$3)/SUMPRODUCT(_xlfn.XLOOKUP($C84,$BM$1:$BM$3,$BN$1:$BY$3),$BN$4:$BY$4),""),
"")</f>
        <v>0.10178934086257763</v>
      </c>
      <c r="CG84" s="8">
        <f>IF(_xlfn.XLOOKUP($B84,'ELC TECH'!$H:$H,'ELC TECH'!$E:$E)="Non Dispatchable",IFERROR($AX84*_xlfn.XLOOKUP($C84,$BM$1:$BM$3,CG$1:CG$3)/SUMPRODUCT(_xlfn.XLOOKUP($C84,$BM$1:$BM$3,$BN$1:$BY$3),$BN$4:$BY$4),""),
"")</f>
        <v>0.90192151809294097</v>
      </c>
      <c r="CH84" s="8">
        <f>IF(_xlfn.XLOOKUP($B84,'ELC TECH'!$H:$H,'ELC TECH'!$E:$E)="Non Dispatchable",IFERROR($AX84*_xlfn.XLOOKUP($C84,$BM$1:$BM$3,CH$1:CH$3)/SUMPRODUCT(_xlfn.XLOOKUP($C84,$BM$1:$BM$3,$BN$1:$BY$3),$BN$4:$BY$4),""),
"")</f>
        <v>0.52713656293945543</v>
      </c>
      <c r="CI84" s="8">
        <f>IF(_xlfn.XLOOKUP($B84,'ELC TECH'!$H:$H,'ELC TECH'!$E:$E)="Non Dispatchable",IFERROR($AX84*_xlfn.XLOOKUP($C84,$BM$1:$BM$3,CI$1:CI$3)/SUMPRODUCT(_xlfn.XLOOKUP($C84,$BM$1:$BM$3,$BN$1:$BY$3),$BN$4:$BY$4),""),
"")</f>
        <v>0.52713656293945543</v>
      </c>
      <c r="CJ84" s="8">
        <f>IF(_xlfn.XLOOKUP($B84,'ELC TECH'!$H:$H,'ELC TECH'!$E:$E)="Non Dispatchable",IFERROR($AX84*_xlfn.XLOOKUP($C84,$BM$1:$BM$3,CJ$1:CJ$3)/SUMPRODUCT(_xlfn.XLOOKUP($C84,$BM$1:$BM$3,$BN$1:$BY$3),$BN$4:$BY$4),""),
"")</f>
        <v>5.2713656293945539E-2</v>
      </c>
      <c r="CK84" s="8">
        <f>IF(_xlfn.XLOOKUP($B84,'ELC TECH'!$H:$H,'ELC TECH'!$E:$E)="Non Dispatchable",IFERROR($AX84*_xlfn.XLOOKUP($C84,$BM$1:$BM$3,CK$1:CK$3)/SUMPRODUCT(_xlfn.XLOOKUP($C84,$BM$1:$BM$3,$BN$1:$BY$3),$BN$4:$BY$4),""),
"")</f>
        <v>0.38531106623687983</v>
      </c>
      <c r="CL84" s="8" t="str">
        <f>IF(_xlfn.XLOOKUP($B84,'ELC TECH'!$H:$H,'ELC TECH'!$E:$E)="Storage",CL$4*$BF84,"")</f>
        <v/>
      </c>
      <c r="CM84" s="8" t="str">
        <f>IF(_xlfn.XLOOKUP($B84,'ELC TECH'!$H:$H,'ELC TECH'!$E:$E)="Storage",CM$4*$BF84,"")</f>
        <v/>
      </c>
      <c r="CN84" s="8" t="str">
        <f>IF(_xlfn.XLOOKUP($B84,'ELC TECH'!$H:$H,'ELC TECH'!$E:$E)="Storage",CN$4*$BF84,"")</f>
        <v/>
      </c>
      <c r="CO84" s="8" t="str">
        <f>IF(_xlfn.XLOOKUP($B84,'ELC TECH'!$H:$H,'ELC TECH'!$E:$E)="Storage",CO$4*$BF84,"")</f>
        <v/>
      </c>
      <c r="CP84" s="8" t="str">
        <f>IF(_xlfn.XLOOKUP($B84,'ELC TECH'!$H:$H,'ELC TECH'!$E:$E)="Storage",CP$4*$BF84,"")</f>
        <v/>
      </c>
      <c r="CQ84" s="8" t="str">
        <f>IF(_xlfn.XLOOKUP($B84,'ELC TECH'!$H:$H,'ELC TECH'!$E:$E)="Storage",CQ$4*$BF84,"")</f>
        <v/>
      </c>
      <c r="CR84" s="8" t="str">
        <f>IF(_xlfn.XLOOKUP($B84,'ELC TECH'!$H:$H,'ELC TECH'!$E:$E)="Storage",CR$4*$BF84,"")</f>
        <v/>
      </c>
      <c r="CS84" s="8" t="str">
        <f>IF(_xlfn.XLOOKUP($B84,'ELC TECH'!$H:$H,'ELC TECH'!$E:$E)="Storage",CS$4*$BF84,"")</f>
        <v/>
      </c>
      <c r="CT84" s="8" t="str">
        <f>IF(_xlfn.XLOOKUP($B84,'ELC TECH'!$H:$H,'ELC TECH'!$E:$E)="Storage",CT$4*$BF84,"")</f>
        <v/>
      </c>
      <c r="CU84" s="8" t="str">
        <f>IF(_xlfn.XLOOKUP($B84,'ELC TECH'!$H:$H,'ELC TECH'!$E:$E)="Storage",CU$4*$BF84,"")</f>
        <v/>
      </c>
      <c r="CV84" s="8" t="str">
        <f>IF(_xlfn.XLOOKUP($B84,'ELC TECH'!$H:$H,'ELC TECH'!$E:$E)="Storage",CV$4*$BF84,"")</f>
        <v/>
      </c>
      <c r="CW84" s="8" t="str">
        <f>IF(_xlfn.XLOOKUP($B84,'ELC TECH'!$H:$H,'ELC TECH'!$E:$E)="Storage",CW$4*$BF84,"")</f>
        <v/>
      </c>
      <c r="CX84" s="8" t="str">
        <f>IF(_xlfn.XLOOKUP($B84,'ELC TECH'!$H:$H,'ELC TECH'!$E:$E)="Storage",CX$4*$BF84,"")</f>
        <v/>
      </c>
      <c r="CY84" s="8" t="str">
        <f>IF(_xlfn.XLOOKUP($B84,'ELC TECH'!$H:$H,'ELC TECH'!$E:$E)="Storage",CY$4*$BF84,"")</f>
        <v/>
      </c>
      <c r="CZ84" s="8" t="str">
        <f>IF(_xlfn.XLOOKUP($B84,'ELC TECH'!$H:$H,'ELC TECH'!$E:$E)="Storage",CZ$4*$BF84,"")</f>
        <v/>
      </c>
      <c r="DA84" s="8" t="str">
        <f>IF(_xlfn.XLOOKUP($B84,'ELC TECH'!$H:$H,'ELC TECH'!$E:$E)="Storage",DA$4*$BF84,"")</f>
        <v/>
      </c>
      <c r="DB84" s="8" t="str">
        <f>IF(_xlfn.XLOOKUP($B84,'ELC TECH'!$H:$H,'ELC TECH'!$E:$E)="Storage",DB$4*$BF84,"")</f>
        <v/>
      </c>
      <c r="DC84" s="8" t="str">
        <f>IF(_xlfn.XLOOKUP($B84,'ELC TECH'!$H:$H,'ELC TECH'!$E:$E)="Storage",DC$4*$BF84,"")</f>
        <v/>
      </c>
      <c r="DD84" s="8" t="str">
        <f>IF(_xlfn.XLOOKUP($B84,'ELC TECH'!$H:$H,'ELC TECH'!$E:$E)="Storage",DD$4*$BF84,"")</f>
        <v/>
      </c>
      <c r="DE84" s="8" t="str">
        <f>IF(_xlfn.XLOOKUP($B84,'ELC TECH'!$H:$H,'ELC TECH'!$E:$E)="Storage",DE$4*$BF84,"")</f>
        <v/>
      </c>
      <c r="DF84" s="8" t="str">
        <f>IF(_xlfn.XLOOKUP($B84,'ELC TECH'!$H:$H,'ELC TECH'!$E:$E)="Storage",DF$4*$BF84,"")</f>
        <v/>
      </c>
      <c r="DG84" s="8" t="str">
        <f>IF(_xlfn.XLOOKUP($B84,'ELC TECH'!$H:$H,'ELC TECH'!$E:$E)="Storage",DG$4*$BF84,"")</f>
        <v/>
      </c>
      <c r="DH84" s="8" t="str">
        <f>IF(_xlfn.XLOOKUP($B84,'ELC TECH'!$H:$H,'ELC TECH'!$E:$E)="Storage",DH$4*$BF84,"")</f>
        <v/>
      </c>
      <c r="DI84" s="8" t="str">
        <f>IF(_xlfn.XLOOKUP($B84,'ELC TECH'!$H:$H,'ELC TECH'!$E:$E)="Storage",DI$4*$BF84,"")</f>
        <v/>
      </c>
    </row>
    <row r="85" spans="2:113" x14ac:dyDescent="0.25">
      <c r="B85" t="str">
        <f>IF('ELC TECH'!I78=0,"*",'ELC TECH'!H78)</f>
        <v>ELCWNDGRDWONC220</v>
      </c>
      <c r="C85" t="str">
        <f>IF(_xlfn.XLOOKUP(_xlfn.XLOOKUP(B85,'ELC TECH'!$H:$H,'ELC TECH'!$G:$G),List!C:C,List!B:B)="STG",D85,"ELC"&amp;_xlfn.XLOOKUP(_xlfn.XLOOKUP(B85,'ELC TECH'!H:H,'ELC TECH'!G:G),List!C:C,List!B:B))</f>
        <v>ELCWND</v>
      </c>
      <c r="D85" t="s">
        <v>544</v>
      </c>
      <c r="E85">
        <f>_xlfn.XLOOKUP(B85,'ELC TECH'!H:H,'ELC TECH'!D:D)</f>
        <v>2020</v>
      </c>
      <c r="F85">
        <f>_xlfn.XLOOKUP(B85,'ELC TECH'!H:H,'ELC TECH'!K:K)</f>
        <v>30</v>
      </c>
      <c r="G85">
        <f t="shared" si="6"/>
        <v>31.535999999999998</v>
      </c>
      <c r="H85">
        <f>IF(_xlfn.XLOOKUP(B85,'ELC TECH'!$H:$H,'ELC TECH'!$E:$E)="Storage",0.3,IF(_xlfn.XLOOKUP(B85,'ELC TECH'!$H:$H,'ELC TECH'!$E:$E)="Baseload",0.9,IF(_xlfn.XLOOKUP(B85,'ELC TECH'!$H:$H,'ELC TECH'!$E:$E)="Non Dispatchable",0.05,IF(_xlfn.XLOOKUP(B85,'ELC TECH'!$H:$H,'ELC TECH'!$E:$E)="Dispatchable",0.9,1))))</f>
        <v>0.05</v>
      </c>
      <c r="I85" s="13">
        <f>IF(_xlfn.XLOOKUP(B85,'ELC TECH'!H:H,'ELC TECH'!J:J)="","",_xlfn.XLOOKUP(B85,'ELC TECH'!H:H,'ELC TECH'!J:J))</f>
        <v>0</v>
      </c>
      <c r="J85" s="12">
        <f>IF(_xlfn.XLOOKUP($B85,'ELC TECH'!$H:$H,'ELC TECH'!$E:$E)="Storage","",IF(_xlfn.XLOOKUP($B85,'ELC TECH'!$H:$H,'ELC TECH'!AK:AK)="",1,_xlfn.XLOOKUP($B85,'ELC TECH'!$H:$H,'ELC TECH'!AK:AK)))</f>
        <v>1</v>
      </c>
      <c r="K85" s="12">
        <f>IF(_xlfn.XLOOKUP($B85,'ELC TECH'!$H:$H,'ELC TECH'!$E:$E)="Storage","",IF(_xlfn.XLOOKUP($B85,'ELC TECH'!$H:$H,'ELC TECH'!AL:AL)="",1,_xlfn.XLOOKUP($B85,'ELC TECH'!$H:$H,'ELC TECH'!AL:AL)))</f>
        <v>1</v>
      </c>
      <c r="L85" s="12">
        <f>IF(_xlfn.XLOOKUP($B85,'ELC TECH'!$H:$H,'ELC TECH'!$E:$E)="Storage","",IF(_xlfn.XLOOKUP($B85,'ELC TECH'!$H:$H,'ELC TECH'!AM:AM)="",1,_xlfn.XLOOKUP($B85,'ELC TECH'!$H:$H,'ELC TECH'!AM:AM)))</f>
        <v>1</v>
      </c>
      <c r="M85" s="12">
        <f>IF(_xlfn.XLOOKUP($B85,'ELC TECH'!$H:$H,'ELC TECH'!$E:$E)="Storage","",IF(_xlfn.XLOOKUP($B85,'ELC TECH'!$H:$H,'ELC TECH'!AN:AN)="",1,_xlfn.XLOOKUP($B85,'ELC TECH'!$H:$H,'ELC TECH'!AN:AN)))</f>
        <v>1</v>
      </c>
      <c r="N85" s="12">
        <f>IF(_xlfn.XLOOKUP($B85,'ELC TECH'!$H:$H,'ELC TECH'!$E:$E)="Storage","",IF(_xlfn.XLOOKUP($B85,'ELC TECH'!$H:$H,'ELC TECH'!AO:AO)="",1,_xlfn.XLOOKUP($B85,'ELC TECH'!$H:$H,'ELC TECH'!AO:AO)))</f>
        <v>1</v>
      </c>
      <c r="O85" s="12">
        <f>IF(_xlfn.XLOOKUP($B85,'ELC TECH'!$H:$H,'ELC TECH'!$E:$E)="Storage","",IF(_xlfn.XLOOKUP($B85,'ELC TECH'!$H:$H,'ELC TECH'!AP:AP)="",1,_xlfn.XLOOKUP($B85,'ELC TECH'!$H:$H,'ELC TECH'!AP:AP)))</f>
        <v>1</v>
      </c>
      <c r="P85" s="12">
        <f>IF(_xlfn.XLOOKUP($B85,'ELC TECH'!$H:$H,'ELC TECH'!$E:$E)="Storage","",IF(_xlfn.XLOOKUP($B85,'ELC TECH'!$H:$H,'ELC TECH'!AQ:AQ)="",1,_xlfn.XLOOKUP($B85,'ELC TECH'!$H:$H,'ELC TECH'!AQ:AQ)))</f>
        <v>1</v>
      </c>
      <c r="Q85" s="12">
        <f>IF(_xlfn.XLOOKUP($B85,'ELC TECH'!$H:$H,'ELC TECH'!$E:$E)="Storage","",IF(_xlfn.XLOOKUP($B85,'ELC TECH'!$H:$H,'ELC TECH'!AR:AR)="",1,_xlfn.XLOOKUP($B85,'ELC TECH'!$H:$H,'ELC TECH'!AR:AR)))</f>
        <v>1</v>
      </c>
      <c r="R85" s="12" t="str">
        <f>IF(_xlfn.XLOOKUP($B85,'ELC TECH'!$H:$H,'ELC TECH'!$E:$E)&lt;&gt;"Storage","",IF(_xlfn.XLOOKUP($B85,'ELC TECH'!$H:$H,'ELC TECH'!AK:AK)="",0.8,_xlfn.XLOOKUP($B85,'ELC TECH'!$H:$H,'ELC TECH'!AK:AK)))</f>
        <v/>
      </c>
      <c r="S85" s="12" t="str">
        <f>IF(_xlfn.XLOOKUP($B85,'ELC TECH'!$H:$H,'ELC TECH'!$E:$E)&lt;&gt;"Storage","",IF(_xlfn.XLOOKUP($B85,'ELC TECH'!$H:$H,'ELC TECH'!AL:AL)="",0.8,_xlfn.XLOOKUP($B85,'ELC TECH'!$H:$H,'ELC TECH'!AL:AL)))</f>
        <v/>
      </c>
      <c r="T85" s="12" t="str">
        <f>IF(_xlfn.XLOOKUP($B85,'ELC TECH'!$H:$H,'ELC TECH'!$E:$E)&lt;&gt;"Storage","",IF(_xlfn.XLOOKUP($B85,'ELC TECH'!$H:$H,'ELC TECH'!AM:AM)="",0.8,_xlfn.XLOOKUP($B85,'ELC TECH'!$H:$H,'ELC TECH'!AM:AM)))</f>
        <v/>
      </c>
      <c r="U85" s="12" t="str">
        <f>IF(_xlfn.XLOOKUP($B85,'ELC TECH'!$H:$H,'ELC TECH'!$E:$E)&lt;&gt;"Storage","",IF(_xlfn.XLOOKUP($B85,'ELC TECH'!$H:$H,'ELC TECH'!AN:AN)="",0.8,_xlfn.XLOOKUP($B85,'ELC TECH'!$H:$H,'ELC TECH'!AN:AN)))</f>
        <v/>
      </c>
      <c r="V85" s="12" t="str">
        <f>IF(_xlfn.XLOOKUP($B85,'ELC TECH'!$H:$H,'ELC TECH'!$E:$E)&lt;&gt;"Storage","",IF(_xlfn.XLOOKUP($B85,'ELC TECH'!$H:$H,'ELC TECH'!AO:AO)="",0.8,_xlfn.XLOOKUP($B85,'ELC TECH'!$H:$H,'ELC TECH'!AO:AO)))</f>
        <v/>
      </c>
      <c r="W85" s="12" t="str">
        <f>IF(_xlfn.XLOOKUP($B85,'ELC TECH'!$H:$H,'ELC TECH'!$E:$E)&lt;&gt;"Storage","",IF(_xlfn.XLOOKUP($B85,'ELC TECH'!$H:$H,'ELC TECH'!AP:AP)="",0.8,_xlfn.XLOOKUP($B85,'ELC TECH'!$H:$H,'ELC TECH'!AP:AP)))</f>
        <v/>
      </c>
      <c r="X85" s="12" t="str">
        <f>IF(_xlfn.XLOOKUP($B85,'ELC TECH'!$H:$H,'ELC TECH'!$E:$E)&lt;&gt;"Storage","",IF(_xlfn.XLOOKUP($B85,'ELC TECH'!$H:$H,'ELC TECH'!AQ:AQ)="",0.8,_xlfn.XLOOKUP($B85,'ELC TECH'!$H:$H,'ELC TECH'!AQ:AQ)))</f>
        <v/>
      </c>
      <c r="Y85" s="12" t="str">
        <f>IF(_xlfn.XLOOKUP($B85,'ELC TECH'!$H:$H,'ELC TECH'!$E:$E)&lt;&gt;"Storage","",IF(_xlfn.XLOOKUP($B85,'ELC TECH'!$H:$H,'ELC TECH'!AR:AR)="",0.8,_xlfn.XLOOKUP($B85,'ELC TECH'!$H:$H,'ELC TECH'!AR:AR)))</f>
        <v/>
      </c>
      <c r="Z85" s="15">
        <f>_xlfn.XLOOKUP($B85,'ELC TECH'!$H:$H,'ELC TECH'!M:M)</f>
        <v>1451.7715269242919</v>
      </c>
      <c r="AA85" s="15">
        <f>_xlfn.XLOOKUP($B85,'ELC TECH'!$H:$H,'ELC TECH'!N:N)</f>
        <v>1350.939266311296</v>
      </c>
      <c r="AB85" s="15">
        <f>_xlfn.XLOOKUP($B85,'ELC TECH'!$H:$H,'ELC TECH'!O:O)</f>
        <v>1224.898940545065</v>
      </c>
      <c r="AC85" s="15">
        <f>_xlfn.XLOOKUP($B85,'ELC TECH'!$H:$H,'ELC TECH'!P:P)</f>
        <v>1164.5945372747431</v>
      </c>
      <c r="AD85" s="15">
        <f>_xlfn.XLOOKUP($B85,'ELC TECH'!$H:$H,'ELC TECH'!Q:Q)</f>
        <v>1104.290134004433</v>
      </c>
      <c r="AE85" s="15">
        <f>_xlfn.XLOOKUP($B85,'ELC TECH'!$H:$H,'ELC TECH'!R:R)</f>
        <v>1043.985730734111</v>
      </c>
      <c r="AF85" s="15">
        <f>_xlfn.XLOOKUP($B85,'ELC TECH'!$H:$H,'ELC TECH'!S:S)</f>
        <v>983.68132746379092</v>
      </c>
      <c r="AG85" s="15">
        <f>_xlfn.XLOOKUP($B85,'ELC TECH'!$H:$H,'ELC TECH'!T:T)</f>
        <v>983.68132746379092</v>
      </c>
      <c r="AH85" s="15">
        <f>_xlfn.XLOOKUP($B85,'ELC TECH'!$H:$H,'ELC TECH'!U:U)</f>
        <v>34.26221553423445</v>
      </c>
      <c r="AI85" s="15">
        <f>_xlfn.XLOOKUP($B85,'ELC TECH'!$H:$H,'ELC TECH'!V:V)</f>
        <v>32.603758456669702</v>
      </c>
      <c r="AJ85" s="15">
        <f>_xlfn.XLOOKUP($B85,'ELC TECH'!$H:$H,'ELC TECH'!W:W)</f>
        <v>30.53068710971386</v>
      </c>
      <c r="AK85" s="15">
        <f>_xlfn.XLOOKUP($B85,'ELC TECH'!$H:$H,'ELC TECH'!X:X)</f>
        <v>29.484728384658851</v>
      </c>
      <c r="AL85" s="15">
        <f>_xlfn.XLOOKUP($B85,'ELC TECH'!$H:$H,'ELC TECH'!Y:Y)</f>
        <v>28.438769659603839</v>
      </c>
      <c r="AM85" s="15">
        <f>_xlfn.XLOOKUP($B85,'ELC TECH'!$H:$H,'ELC TECH'!Z:Z)</f>
        <v>27.39281093454883</v>
      </c>
      <c r="AN85" s="15">
        <f>_xlfn.XLOOKUP($B85,'ELC TECH'!$H:$H,'ELC TECH'!AA:AA)</f>
        <v>26.346852209493811</v>
      </c>
      <c r="AO85" s="15">
        <f>_xlfn.XLOOKUP($B85,'ELC TECH'!$H:$H,'ELC TECH'!AB:AB)</f>
        <v>26.346852209493811</v>
      </c>
      <c r="AP85" s="15">
        <f>_xlfn.XLOOKUP($B85,'ELC TECH'!$H:$H,'ELC TECH'!AC:AC)</f>
        <v>0</v>
      </c>
      <c r="AQ85" s="15">
        <f>_xlfn.XLOOKUP($B85,'ELC TECH'!$H:$H,'ELC TECH'!AD:AD)</f>
        <v>0</v>
      </c>
      <c r="AR85" s="15">
        <f>_xlfn.XLOOKUP($B85,'ELC TECH'!$H:$H,'ELC TECH'!AE:AE)</f>
        <v>0</v>
      </c>
      <c r="AS85" s="15">
        <f>_xlfn.XLOOKUP($B85,'ELC TECH'!$H:$H,'ELC TECH'!AF:AF)</f>
        <v>0</v>
      </c>
      <c r="AT85" s="15">
        <f>_xlfn.XLOOKUP($B85,'ELC TECH'!$H:$H,'ELC TECH'!AG:AG)</f>
        <v>0</v>
      </c>
      <c r="AU85" s="15">
        <f>_xlfn.XLOOKUP($B85,'ELC TECH'!$H:$H,'ELC TECH'!AH:AH)</f>
        <v>0</v>
      </c>
      <c r="AV85" s="15">
        <f>_xlfn.XLOOKUP($B85,'ELC TECH'!$H:$H,'ELC TECH'!AI:AI)</f>
        <v>0</v>
      </c>
      <c r="AW85" s="15">
        <f>_xlfn.XLOOKUP($B85,'ELC TECH'!$H:$H,'ELC TECH'!AJ:AJ)</f>
        <v>0</v>
      </c>
      <c r="AX85" s="12">
        <f>IF(_xlfn.XLOOKUP($B85,'ELC TECH'!$H:$H,'ELC TECH'!$E:$E)="Storage","",_xlfn.XLOOKUP($B85,'ELC TECH'!$H:$H,'ELC TECH'!AS:AS))</f>
        <v>0.46737000000000001</v>
      </c>
      <c r="AY85" s="12">
        <f>IF(_xlfn.XLOOKUP($B85,'ELC TECH'!$H:$H,'ELC TECH'!$E:$E)="Storage","",_xlfn.XLOOKUP($B85,'ELC TECH'!$H:$H,'ELC TECH'!AT:AT))</f>
        <v>0.48173088888888799</v>
      </c>
      <c r="AZ85" s="12">
        <f>IF(_xlfn.XLOOKUP($B85,'ELC TECH'!$H:$H,'ELC TECH'!$E:$E)="Storage","",_xlfn.XLOOKUP($B85,'ELC TECH'!$H:$H,'ELC TECH'!AU:AU))</f>
        <v>0.49968199999999902</v>
      </c>
      <c r="BA85" s="12">
        <f>IF(_xlfn.XLOOKUP($B85,'ELC TECH'!$H:$H,'ELC TECH'!$E:$E)="Storage","",_xlfn.XLOOKUP($B85,'ELC TECH'!$H:$H,'ELC TECH'!AV:AV))</f>
        <v>0.50170149999999902</v>
      </c>
      <c r="BB85" s="12">
        <f>IF(_xlfn.XLOOKUP($B85,'ELC TECH'!$H:$H,'ELC TECH'!$E:$E)="Storage","",_xlfn.XLOOKUP($B85,'ELC TECH'!$H:$H,'ELC TECH'!AW:AW))</f>
        <v>0.50372099999999997</v>
      </c>
      <c r="BC85" s="12">
        <f>IF(_xlfn.XLOOKUP($B85,'ELC TECH'!$H:$H,'ELC TECH'!$E:$E)="Storage","",_xlfn.XLOOKUP($B85,'ELC TECH'!$H:$H,'ELC TECH'!AX:AX))</f>
        <v>0.50574050000000004</v>
      </c>
      <c r="BD85" s="12">
        <f>IF(_xlfn.XLOOKUP($B85,'ELC TECH'!$H:$H,'ELC TECH'!$E:$E)="Storage","",_xlfn.XLOOKUP($B85,'ELC TECH'!$H:$H,'ELC TECH'!AY:AY))</f>
        <v>0.50775999999999999</v>
      </c>
      <c r="BE85" s="12">
        <f>IF(_xlfn.XLOOKUP($B85,'ELC TECH'!$H:$H,'ELC TECH'!$E:$E)="Storage","",_xlfn.XLOOKUP($B85,'ELC TECH'!$H:$H,'ELC TECH'!AZ:AZ))</f>
        <v>0.50775999999999999</v>
      </c>
      <c r="BF85" s="12" t="str">
        <f>IF(_xlfn.XLOOKUP($B85,'ELC TECH'!$H:$H,'ELC TECH'!$E:$E)="Storage",_xlfn.XLOOKUP($B85,'ELC TECH'!$H:$H,'ELC TECH'!AS:AS),"")</f>
        <v/>
      </c>
      <c r="BG85" s="12" t="str">
        <f>IF(_xlfn.XLOOKUP($B85,'ELC TECH'!$H:$H,'ELC TECH'!$E:$E)="Storage",_xlfn.XLOOKUP($B85,'ELC TECH'!$H:$H,'ELC TECH'!AT:AT),"")</f>
        <v/>
      </c>
      <c r="BH85" s="12" t="str">
        <f>IF(_xlfn.XLOOKUP($B85,'ELC TECH'!$H:$H,'ELC TECH'!$E:$E)="Storage",_xlfn.XLOOKUP($B85,'ELC TECH'!$H:$H,'ELC TECH'!AU:AU),"")</f>
        <v/>
      </c>
      <c r="BI85" s="12" t="str">
        <f>IF(_xlfn.XLOOKUP($B85,'ELC TECH'!$H:$H,'ELC TECH'!$E:$E)="Storage",_xlfn.XLOOKUP($B85,'ELC TECH'!$H:$H,'ELC TECH'!AV:AV),"")</f>
        <v/>
      </c>
      <c r="BJ85" s="12" t="str">
        <f>IF(_xlfn.XLOOKUP($B85,'ELC TECH'!$H:$H,'ELC TECH'!$E:$E)="Storage",_xlfn.XLOOKUP($B85,'ELC TECH'!$H:$H,'ELC TECH'!AW:AW),"")</f>
        <v/>
      </c>
      <c r="BK85" s="12" t="str">
        <f>IF(_xlfn.XLOOKUP($B85,'ELC TECH'!$H:$H,'ELC TECH'!$E:$E)="Storage",_xlfn.XLOOKUP($B85,'ELC TECH'!$H:$H,'ELC TECH'!AX:AX),"")</f>
        <v/>
      </c>
      <c r="BL85" s="12" t="str">
        <f>IF(_xlfn.XLOOKUP($B85,'ELC TECH'!$H:$H,'ELC TECH'!$E:$E)="Storage",_xlfn.XLOOKUP($B85,'ELC TECH'!$H:$H,'ELC TECH'!AY:AY),"")</f>
        <v/>
      </c>
      <c r="BM85" s="12" t="str">
        <f>IF(_xlfn.XLOOKUP($B85,'ELC TECH'!$H:$H,'ELC TECH'!$E:$E)="Storage",_xlfn.XLOOKUP($B85,'ELC TECH'!$H:$H,'ELC TECH'!AZ:AZ),"")</f>
        <v/>
      </c>
      <c r="BN85" s="8">
        <f>IF(_xlfn.XLOOKUP($B85,'ELC TECH'!$H:$H,'ELC TECH'!$E:$E)="Non Dispatchable",IFERROR($AX85*_xlfn.XLOOKUP($C85,$BM$1:$BM$3,BN$1:BN$3)/SUMPRODUCT(_xlfn.XLOOKUP($C85,$BM$1:$BM$3,$BN$1:$BY$3),$BN$4:$BY$4),""),
"")</f>
        <v>0.82070242181755593</v>
      </c>
      <c r="BO85" s="8">
        <f>IF(_xlfn.XLOOKUP($B85,'ELC TECH'!$H:$H,'ELC TECH'!$E:$E)="Non Dispatchable",IFERROR($AX85*_xlfn.XLOOKUP($C85,$BM$1:$BM$3,BO$1:BO$3)/SUMPRODUCT(_xlfn.XLOOKUP($C85,$BM$1:$BM$3,$BN$1:$BY$3),$BN$4:$BY$4),""),
"")</f>
        <v>0.82070242181755593</v>
      </c>
      <c r="BP85" s="8">
        <f>IF(_xlfn.XLOOKUP($B85,'ELC TECH'!$H:$H,'ELC TECH'!$E:$E)="Non Dispatchable",IFERROR($AX85*_xlfn.XLOOKUP($C85,$BM$1:$BM$3,BP$1:BP$3)/SUMPRODUCT(_xlfn.XLOOKUP($C85,$BM$1:$BM$3,$BN$1:$BY$3),$BN$4:$BY$4),""),
"")</f>
        <v>8.2070242181755598E-2</v>
      </c>
      <c r="BQ85" s="8">
        <f>IF(_xlfn.XLOOKUP($B85,'ELC TECH'!$H:$H,'ELC TECH'!$E:$E)="Non Dispatchable",IFERROR($AX85*_xlfn.XLOOKUP($C85,$BM$1:$BM$3,BQ$1:BQ$3)/SUMPRODUCT(_xlfn.XLOOKUP($C85,$BM$1:$BM$3,$BN$1:$BY$3),$BN$4:$BY$4),""),
"")</f>
        <v>0.65759426754438155</v>
      </c>
      <c r="BR85" s="8">
        <f>IF(_xlfn.XLOOKUP($B85,'ELC TECH'!$H:$H,'ELC TECH'!$E:$E)="Non Dispatchable",IFERROR($AX85*_xlfn.XLOOKUP($C85,$BM$1:$BM$3,BR$1:BR$3)/SUMPRODUCT(_xlfn.XLOOKUP($C85,$BM$1:$BM$3,$BN$1:$BY$3),$BN$4:$BY$4),""),
"")</f>
        <v>0.95499918175133802</v>
      </c>
      <c r="BS85" s="8">
        <f>IF(_xlfn.XLOOKUP($B85,'ELC TECH'!$H:$H,'ELC TECH'!$E:$E)="Non Dispatchable",IFERROR($AX85*_xlfn.XLOOKUP($C85,$BM$1:$BM$3,BS$1:BS$3)/SUMPRODUCT(_xlfn.XLOOKUP($C85,$BM$1:$BM$3,$BN$1:$BY$3),$BN$4:$BY$4),""),
"")</f>
        <v>0.95499918175133802</v>
      </c>
      <c r="BT85" s="8">
        <f>IF(_xlfn.XLOOKUP($B85,'ELC TECH'!$H:$H,'ELC TECH'!$E:$E)="Non Dispatchable",IFERROR($AX85*_xlfn.XLOOKUP($C85,$BM$1:$BM$3,BT$1:BT$3)/SUMPRODUCT(_xlfn.XLOOKUP($C85,$BM$1:$BM$3,$BN$1:$BY$3),$BN$4:$BY$4),""),
"")</f>
        <v>9.5499918175133813E-2</v>
      </c>
      <c r="BU85" s="8">
        <f>IF(_xlfn.XLOOKUP($B85,'ELC TECH'!$H:$H,'ELC TECH'!$E:$E)="Non Dispatchable",IFERROR($AX85*_xlfn.XLOOKUP($C85,$BM$1:$BM$3,BU$1:BU$3)/SUMPRODUCT(_xlfn.XLOOKUP($C85,$BM$1:$BM$3,$BN$1:$BY$3),$BN$4:$BY$4),""),
"")</f>
        <v>0.84619303404817381</v>
      </c>
      <c r="BV85" s="8">
        <f>IF(_xlfn.XLOOKUP($B85,'ELC TECH'!$H:$H,'ELC TECH'!$E:$E)="Non Dispatchable",IFERROR($AX85*_xlfn.XLOOKUP($C85,$BM$1:$BM$3,BV$1:BV$3)/SUMPRODUCT(_xlfn.XLOOKUP($C85,$BM$1:$BM$3,$BN$1:$BY$3),$BN$4:$BY$4),""),
"")</f>
        <v>0.49456552327815578</v>
      </c>
      <c r="BW85" s="8">
        <f>IF(_xlfn.XLOOKUP($B85,'ELC TECH'!$H:$H,'ELC TECH'!$E:$E)="Non Dispatchable",IFERROR($AX85*_xlfn.XLOOKUP($C85,$BM$1:$BM$3,BW$1:BW$3)/SUMPRODUCT(_xlfn.XLOOKUP($C85,$BM$1:$BM$3,$BN$1:$BY$3),$BN$4:$BY$4),""),
"")</f>
        <v>0.49456552327815578</v>
      </c>
      <c r="BX85" s="8">
        <f>IF(_xlfn.XLOOKUP($B85,'ELC TECH'!$H:$H,'ELC TECH'!$E:$E)="Non Dispatchable",IFERROR($AX85*_xlfn.XLOOKUP($C85,$BM$1:$BM$3,BX$1:BX$3)/SUMPRODUCT(_xlfn.XLOOKUP($C85,$BM$1:$BM$3,$BN$1:$BY$3),$BN$4:$BY$4),""),
"")</f>
        <v>4.9456552327815574E-2</v>
      </c>
      <c r="BY85" s="8">
        <f>IF(_xlfn.XLOOKUP($B85,'ELC TECH'!$H:$H,'ELC TECH'!$E:$E)="Non Dispatchable",IFERROR($AX85*_xlfn.XLOOKUP($C85,$BM$1:$BM$3,BY$1:BY$3)/SUMPRODUCT(_xlfn.XLOOKUP($C85,$BM$1:$BM$3,$BN$1:$BY$3),$BN$4:$BY$4),""),
"")</f>
        <v>0.36150322799785317</v>
      </c>
      <c r="BZ85" s="8">
        <f>IF(_xlfn.XLOOKUP($B85,'ELC TECH'!$H:$H,'ELC TECH'!$E:$E)="Non Dispatchable",IFERROR($AX85*_xlfn.XLOOKUP($C85,$BM$1:$BM$3,BZ$1:BZ$3)/SUMPRODUCT(_xlfn.XLOOKUP($C85,$BM$1:$BM$3,$BN$1:$BY$3),$BN$4:$BY$4),""),
"")</f>
        <v>0.82070242181755593</v>
      </c>
      <c r="CA85" s="8">
        <f>IF(_xlfn.XLOOKUP($B85,'ELC TECH'!$H:$H,'ELC TECH'!$E:$E)="Non Dispatchable",IFERROR($AX85*_xlfn.XLOOKUP($C85,$BM$1:$BM$3,CA$1:CA$3)/SUMPRODUCT(_xlfn.XLOOKUP($C85,$BM$1:$BM$3,$BN$1:$BY$3),$BN$4:$BY$4),""),
"")</f>
        <v>0.82070242181755593</v>
      </c>
      <c r="CB85" s="8">
        <f>IF(_xlfn.XLOOKUP($B85,'ELC TECH'!$H:$H,'ELC TECH'!$E:$E)="Non Dispatchable",IFERROR($AX85*_xlfn.XLOOKUP($C85,$BM$1:$BM$3,CB$1:CB$3)/SUMPRODUCT(_xlfn.XLOOKUP($C85,$BM$1:$BM$3,$BN$1:$BY$3),$BN$4:$BY$4),""),
"")</f>
        <v>8.2070242181755598E-2</v>
      </c>
      <c r="CC85" s="8">
        <f>IF(_xlfn.XLOOKUP($B85,'ELC TECH'!$H:$H,'ELC TECH'!$E:$E)="Non Dispatchable",IFERROR($AX85*_xlfn.XLOOKUP($C85,$BM$1:$BM$3,CC$1:CC$3)/SUMPRODUCT(_xlfn.XLOOKUP($C85,$BM$1:$BM$3,$BN$1:$BY$3),$BN$4:$BY$4),""),
"")</f>
        <v>0.65759426754438155</v>
      </c>
      <c r="CD85" s="8">
        <f>IF(_xlfn.XLOOKUP($B85,'ELC TECH'!$H:$H,'ELC TECH'!$E:$E)="Non Dispatchable",IFERROR($AX85*_xlfn.XLOOKUP($C85,$BM$1:$BM$3,CD$1:CD$3)/SUMPRODUCT(_xlfn.XLOOKUP($C85,$BM$1:$BM$3,$BN$1:$BY$3),$BN$4:$BY$4),""),
"")</f>
        <v>0.95499918175133802</v>
      </c>
      <c r="CE85" s="8">
        <f>IF(_xlfn.XLOOKUP($B85,'ELC TECH'!$H:$H,'ELC TECH'!$E:$E)="Non Dispatchable",IFERROR($AX85*_xlfn.XLOOKUP($C85,$BM$1:$BM$3,CE$1:CE$3)/SUMPRODUCT(_xlfn.XLOOKUP($C85,$BM$1:$BM$3,$BN$1:$BY$3),$BN$4:$BY$4),""),
"")</f>
        <v>0.95499918175133802</v>
      </c>
      <c r="CF85" s="8">
        <f>IF(_xlfn.XLOOKUP($B85,'ELC TECH'!$H:$H,'ELC TECH'!$E:$E)="Non Dispatchable",IFERROR($AX85*_xlfn.XLOOKUP($C85,$BM$1:$BM$3,CF$1:CF$3)/SUMPRODUCT(_xlfn.XLOOKUP($C85,$BM$1:$BM$3,$BN$1:$BY$3),$BN$4:$BY$4),""),
"")</f>
        <v>9.5499918175133813E-2</v>
      </c>
      <c r="CG85" s="8">
        <f>IF(_xlfn.XLOOKUP($B85,'ELC TECH'!$H:$H,'ELC TECH'!$E:$E)="Non Dispatchable",IFERROR($AX85*_xlfn.XLOOKUP($C85,$BM$1:$BM$3,CG$1:CG$3)/SUMPRODUCT(_xlfn.XLOOKUP($C85,$BM$1:$BM$3,$BN$1:$BY$3),$BN$4:$BY$4),""),
"")</f>
        <v>0.84619303404817381</v>
      </c>
      <c r="CH85" s="8">
        <f>IF(_xlfn.XLOOKUP($B85,'ELC TECH'!$H:$H,'ELC TECH'!$E:$E)="Non Dispatchable",IFERROR($AX85*_xlfn.XLOOKUP($C85,$BM$1:$BM$3,CH$1:CH$3)/SUMPRODUCT(_xlfn.XLOOKUP($C85,$BM$1:$BM$3,$BN$1:$BY$3),$BN$4:$BY$4),""),
"")</f>
        <v>0.49456552327815578</v>
      </c>
      <c r="CI85" s="8">
        <f>IF(_xlfn.XLOOKUP($B85,'ELC TECH'!$H:$H,'ELC TECH'!$E:$E)="Non Dispatchable",IFERROR($AX85*_xlfn.XLOOKUP($C85,$BM$1:$BM$3,CI$1:CI$3)/SUMPRODUCT(_xlfn.XLOOKUP($C85,$BM$1:$BM$3,$BN$1:$BY$3),$BN$4:$BY$4),""),
"")</f>
        <v>0.49456552327815578</v>
      </c>
      <c r="CJ85" s="8">
        <f>IF(_xlfn.XLOOKUP($B85,'ELC TECH'!$H:$H,'ELC TECH'!$E:$E)="Non Dispatchable",IFERROR($AX85*_xlfn.XLOOKUP($C85,$BM$1:$BM$3,CJ$1:CJ$3)/SUMPRODUCT(_xlfn.XLOOKUP($C85,$BM$1:$BM$3,$BN$1:$BY$3),$BN$4:$BY$4),""),
"")</f>
        <v>4.9456552327815574E-2</v>
      </c>
      <c r="CK85" s="8">
        <f>IF(_xlfn.XLOOKUP($B85,'ELC TECH'!$H:$H,'ELC TECH'!$E:$E)="Non Dispatchable",IFERROR($AX85*_xlfn.XLOOKUP($C85,$BM$1:$BM$3,CK$1:CK$3)/SUMPRODUCT(_xlfn.XLOOKUP($C85,$BM$1:$BM$3,$BN$1:$BY$3),$BN$4:$BY$4),""),
"")</f>
        <v>0.36150322799785317</v>
      </c>
      <c r="CL85" s="8" t="str">
        <f>IF(_xlfn.XLOOKUP($B85,'ELC TECH'!$H:$H,'ELC TECH'!$E:$E)="Storage",CL$4*$BF85,"")</f>
        <v/>
      </c>
      <c r="CM85" s="8" t="str">
        <f>IF(_xlfn.XLOOKUP($B85,'ELC TECH'!$H:$H,'ELC TECH'!$E:$E)="Storage",CM$4*$BF85,"")</f>
        <v/>
      </c>
      <c r="CN85" s="8" t="str">
        <f>IF(_xlfn.XLOOKUP($B85,'ELC TECH'!$H:$H,'ELC TECH'!$E:$E)="Storage",CN$4*$BF85,"")</f>
        <v/>
      </c>
      <c r="CO85" s="8" t="str">
        <f>IF(_xlfn.XLOOKUP($B85,'ELC TECH'!$H:$H,'ELC TECH'!$E:$E)="Storage",CO$4*$BF85,"")</f>
        <v/>
      </c>
      <c r="CP85" s="8" t="str">
        <f>IF(_xlfn.XLOOKUP($B85,'ELC TECH'!$H:$H,'ELC TECH'!$E:$E)="Storage",CP$4*$BF85,"")</f>
        <v/>
      </c>
      <c r="CQ85" s="8" t="str">
        <f>IF(_xlfn.XLOOKUP($B85,'ELC TECH'!$H:$H,'ELC TECH'!$E:$E)="Storage",CQ$4*$BF85,"")</f>
        <v/>
      </c>
      <c r="CR85" s="8" t="str">
        <f>IF(_xlfn.XLOOKUP($B85,'ELC TECH'!$H:$H,'ELC TECH'!$E:$E)="Storage",CR$4*$BF85,"")</f>
        <v/>
      </c>
      <c r="CS85" s="8" t="str">
        <f>IF(_xlfn.XLOOKUP($B85,'ELC TECH'!$H:$H,'ELC TECH'!$E:$E)="Storage",CS$4*$BF85,"")</f>
        <v/>
      </c>
      <c r="CT85" s="8" t="str">
        <f>IF(_xlfn.XLOOKUP($B85,'ELC TECH'!$H:$H,'ELC TECH'!$E:$E)="Storage",CT$4*$BF85,"")</f>
        <v/>
      </c>
      <c r="CU85" s="8" t="str">
        <f>IF(_xlfn.XLOOKUP($B85,'ELC TECH'!$H:$H,'ELC TECH'!$E:$E)="Storage",CU$4*$BF85,"")</f>
        <v/>
      </c>
      <c r="CV85" s="8" t="str">
        <f>IF(_xlfn.XLOOKUP($B85,'ELC TECH'!$H:$H,'ELC TECH'!$E:$E)="Storage",CV$4*$BF85,"")</f>
        <v/>
      </c>
      <c r="CW85" s="8" t="str">
        <f>IF(_xlfn.XLOOKUP($B85,'ELC TECH'!$H:$H,'ELC TECH'!$E:$E)="Storage",CW$4*$BF85,"")</f>
        <v/>
      </c>
      <c r="CX85" s="8" t="str">
        <f>IF(_xlfn.XLOOKUP($B85,'ELC TECH'!$H:$H,'ELC TECH'!$E:$E)="Storage",CX$4*$BF85,"")</f>
        <v/>
      </c>
      <c r="CY85" s="8" t="str">
        <f>IF(_xlfn.XLOOKUP($B85,'ELC TECH'!$H:$H,'ELC TECH'!$E:$E)="Storage",CY$4*$BF85,"")</f>
        <v/>
      </c>
      <c r="CZ85" s="8" t="str">
        <f>IF(_xlfn.XLOOKUP($B85,'ELC TECH'!$H:$H,'ELC TECH'!$E:$E)="Storage",CZ$4*$BF85,"")</f>
        <v/>
      </c>
      <c r="DA85" s="8" t="str">
        <f>IF(_xlfn.XLOOKUP($B85,'ELC TECH'!$H:$H,'ELC TECH'!$E:$E)="Storage",DA$4*$BF85,"")</f>
        <v/>
      </c>
      <c r="DB85" s="8" t="str">
        <f>IF(_xlfn.XLOOKUP($B85,'ELC TECH'!$H:$H,'ELC TECH'!$E:$E)="Storage",DB$4*$BF85,"")</f>
        <v/>
      </c>
      <c r="DC85" s="8" t="str">
        <f>IF(_xlfn.XLOOKUP($B85,'ELC TECH'!$H:$H,'ELC TECH'!$E:$E)="Storage",DC$4*$BF85,"")</f>
        <v/>
      </c>
      <c r="DD85" s="8" t="str">
        <f>IF(_xlfn.XLOOKUP($B85,'ELC TECH'!$H:$H,'ELC TECH'!$E:$E)="Storage",DD$4*$BF85,"")</f>
        <v/>
      </c>
      <c r="DE85" s="8" t="str">
        <f>IF(_xlfn.XLOOKUP($B85,'ELC TECH'!$H:$H,'ELC TECH'!$E:$E)="Storage",DE$4*$BF85,"")</f>
        <v/>
      </c>
      <c r="DF85" s="8" t="str">
        <f>IF(_xlfn.XLOOKUP($B85,'ELC TECH'!$H:$H,'ELC TECH'!$E:$E)="Storage",DF$4*$BF85,"")</f>
        <v/>
      </c>
      <c r="DG85" s="8" t="str">
        <f>IF(_xlfn.XLOOKUP($B85,'ELC TECH'!$H:$H,'ELC TECH'!$E:$E)="Storage",DG$4*$BF85,"")</f>
        <v/>
      </c>
      <c r="DH85" s="8" t="str">
        <f>IF(_xlfn.XLOOKUP($B85,'ELC TECH'!$H:$H,'ELC TECH'!$E:$E)="Storage",DH$4*$BF85,"")</f>
        <v/>
      </c>
      <c r="DI85" s="8" t="str">
        <f>IF(_xlfn.XLOOKUP($B85,'ELC TECH'!$H:$H,'ELC TECH'!$E:$E)="Storage",DI$4*$BF85,"")</f>
        <v/>
      </c>
    </row>
    <row r="86" spans="2:113" x14ac:dyDescent="0.25">
      <c r="B86" t="str">
        <f>IF('ELC TECH'!I79=0,"*",'ELC TECH'!H79)</f>
        <v>ELCWNDGRDWONC320</v>
      </c>
      <c r="C86" t="str">
        <f>IF(_xlfn.XLOOKUP(_xlfn.XLOOKUP(B86,'ELC TECH'!$H:$H,'ELC TECH'!$G:$G),List!C:C,List!B:B)="STG",D86,"ELC"&amp;_xlfn.XLOOKUP(_xlfn.XLOOKUP(B86,'ELC TECH'!H:H,'ELC TECH'!G:G),List!C:C,List!B:B))</f>
        <v>ELCWND</v>
      </c>
      <c r="D86" t="s">
        <v>544</v>
      </c>
      <c r="E86">
        <f>_xlfn.XLOOKUP(B86,'ELC TECH'!H:H,'ELC TECH'!D:D)</f>
        <v>2020</v>
      </c>
      <c r="F86">
        <f>_xlfn.XLOOKUP(B86,'ELC TECH'!H:H,'ELC TECH'!K:K)</f>
        <v>30</v>
      </c>
      <c r="G86">
        <f t="shared" si="6"/>
        <v>31.535999999999998</v>
      </c>
      <c r="H86">
        <f>IF(_xlfn.XLOOKUP(B86,'ELC TECH'!$H:$H,'ELC TECH'!$E:$E)="Storage",0.3,IF(_xlfn.XLOOKUP(B86,'ELC TECH'!$H:$H,'ELC TECH'!$E:$E)="Baseload",0.9,IF(_xlfn.XLOOKUP(B86,'ELC TECH'!$H:$H,'ELC TECH'!$E:$E)="Non Dispatchable",0.05,IF(_xlfn.XLOOKUP(B86,'ELC TECH'!$H:$H,'ELC TECH'!$E:$E)="Dispatchable",0.9,1))))</f>
        <v>0.05</v>
      </c>
      <c r="I86" s="13">
        <f>IF(_xlfn.XLOOKUP(B86,'ELC TECH'!H:H,'ELC TECH'!J:J)="","",_xlfn.XLOOKUP(B86,'ELC TECH'!H:H,'ELC TECH'!J:J))</f>
        <v>0</v>
      </c>
      <c r="J86" s="12">
        <f>IF(_xlfn.XLOOKUP($B86,'ELC TECH'!$H:$H,'ELC TECH'!$E:$E)="Storage","",IF(_xlfn.XLOOKUP($B86,'ELC TECH'!$H:$H,'ELC TECH'!AK:AK)="",1,_xlfn.XLOOKUP($B86,'ELC TECH'!$H:$H,'ELC TECH'!AK:AK)))</f>
        <v>1</v>
      </c>
      <c r="K86" s="12">
        <f>IF(_xlfn.XLOOKUP($B86,'ELC TECH'!$H:$H,'ELC TECH'!$E:$E)="Storage","",IF(_xlfn.XLOOKUP($B86,'ELC TECH'!$H:$H,'ELC TECH'!AL:AL)="",1,_xlfn.XLOOKUP($B86,'ELC TECH'!$H:$H,'ELC TECH'!AL:AL)))</f>
        <v>1</v>
      </c>
      <c r="L86" s="12">
        <f>IF(_xlfn.XLOOKUP($B86,'ELC TECH'!$H:$H,'ELC TECH'!$E:$E)="Storage","",IF(_xlfn.XLOOKUP($B86,'ELC TECH'!$H:$H,'ELC TECH'!AM:AM)="",1,_xlfn.XLOOKUP($B86,'ELC TECH'!$H:$H,'ELC TECH'!AM:AM)))</f>
        <v>1</v>
      </c>
      <c r="M86" s="12">
        <f>IF(_xlfn.XLOOKUP($B86,'ELC TECH'!$H:$H,'ELC TECH'!$E:$E)="Storage","",IF(_xlfn.XLOOKUP($B86,'ELC TECH'!$H:$H,'ELC TECH'!AN:AN)="",1,_xlfn.XLOOKUP($B86,'ELC TECH'!$H:$H,'ELC TECH'!AN:AN)))</f>
        <v>1</v>
      </c>
      <c r="N86" s="12">
        <f>IF(_xlfn.XLOOKUP($B86,'ELC TECH'!$H:$H,'ELC TECH'!$E:$E)="Storage","",IF(_xlfn.XLOOKUP($B86,'ELC TECH'!$H:$H,'ELC TECH'!AO:AO)="",1,_xlfn.XLOOKUP($B86,'ELC TECH'!$H:$H,'ELC TECH'!AO:AO)))</f>
        <v>1</v>
      </c>
      <c r="O86" s="12">
        <f>IF(_xlfn.XLOOKUP($B86,'ELC TECH'!$H:$H,'ELC TECH'!$E:$E)="Storage","",IF(_xlfn.XLOOKUP($B86,'ELC TECH'!$H:$H,'ELC TECH'!AP:AP)="",1,_xlfn.XLOOKUP($B86,'ELC TECH'!$H:$H,'ELC TECH'!AP:AP)))</f>
        <v>1</v>
      </c>
      <c r="P86" s="12">
        <f>IF(_xlfn.XLOOKUP($B86,'ELC TECH'!$H:$H,'ELC TECH'!$E:$E)="Storage","",IF(_xlfn.XLOOKUP($B86,'ELC TECH'!$H:$H,'ELC TECH'!AQ:AQ)="",1,_xlfn.XLOOKUP($B86,'ELC TECH'!$H:$H,'ELC TECH'!AQ:AQ)))</f>
        <v>1</v>
      </c>
      <c r="Q86" s="12">
        <f>IF(_xlfn.XLOOKUP($B86,'ELC TECH'!$H:$H,'ELC TECH'!$E:$E)="Storage","",IF(_xlfn.XLOOKUP($B86,'ELC TECH'!$H:$H,'ELC TECH'!AR:AR)="",1,_xlfn.XLOOKUP($B86,'ELC TECH'!$H:$H,'ELC TECH'!AR:AR)))</f>
        <v>1</v>
      </c>
      <c r="R86" s="12" t="str">
        <f>IF(_xlfn.XLOOKUP($B86,'ELC TECH'!$H:$H,'ELC TECH'!$E:$E)&lt;&gt;"Storage","",IF(_xlfn.XLOOKUP($B86,'ELC TECH'!$H:$H,'ELC TECH'!AK:AK)="",0.8,_xlfn.XLOOKUP($B86,'ELC TECH'!$H:$H,'ELC TECH'!AK:AK)))</f>
        <v/>
      </c>
      <c r="S86" s="12" t="str">
        <f>IF(_xlfn.XLOOKUP($B86,'ELC TECH'!$H:$H,'ELC TECH'!$E:$E)&lt;&gt;"Storage","",IF(_xlfn.XLOOKUP($B86,'ELC TECH'!$H:$H,'ELC TECH'!AL:AL)="",0.8,_xlfn.XLOOKUP($B86,'ELC TECH'!$H:$H,'ELC TECH'!AL:AL)))</f>
        <v/>
      </c>
      <c r="T86" s="12" t="str">
        <f>IF(_xlfn.XLOOKUP($B86,'ELC TECH'!$H:$H,'ELC TECH'!$E:$E)&lt;&gt;"Storage","",IF(_xlfn.XLOOKUP($B86,'ELC TECH'!$H:$H,'ELC TECH'!AM:AM)="",0.8,_xlfn.XLOOKUP($B86,'ELC TECH'!$H:$H,'ELC TECH'!AM:AM)))</f>
        <v/>
      </c>
      <c r="U86" s="12" t="str">
        <f>IF(_xlfn.XLOOKUP($B86,'ELC TECH'!$H:$H,'ELC TECH'!$E:$E)&lt;&gt;"Storage","",IF(_xlfn.XLOOKUP($B86,'ELC TECH'!$H:$H,'ELC TECH'!AN:AN)="",0.8,_xlfn.XLOOKUP($B86,'ELC TECH'!$H:$H,'ELC TECH'!AN:AN)))</f>
        <v/>
      </c>
      <c r="V86" s="12" t="str">
        <f>IF(_xlfn.XLOOKUP($B86,'ELC TECH'!$H:$H,'ELC TECH'!$E:$E)&lt;&gt;"Storage","",IF(_xlfn.XLOOKUP($B86,'ELC TECH'!$H:$H,'ELC TECH'!AO:AO)="",0.8,_xlfn.XLOOKUP($B86,'ELC TECH'!$H:$H,'ELC TECH'!AO:AO)))</f>
        <v/>
      </c>
      <c r="W86" s="12" t="str">
        <f>IF(_xlfn.XLOOKUP($B86,'ELC TECH'!$H:$H,'ELC TECH'!$E:$E)&lt;&gt;"Storage","",IF(_xlfn.XLOOKUP($B86,'ELC TECH'!$H:$H,'ELC TECH'!AP:AP)="",0.8,_xlfn.XLOOKUP($B86,'ELC TECH'!$H:$H,'ELC TECH'!AP:AP)))</f>
        <v/>
      </c>
      <c r="X86" s="12" t="str">
        <f>IF(_xlfn.XLOOKUP($B86,'ELC TECH'!$H:$H,'ELC TECH'!$E:$E)&lt;&gt;"Storage","",IF(_xlfn.XLOOKUP($B86,'ELC TECH'!$H:$H,'ELC TECH'!AQ:AQ)="",0.8,_xlfn.XLOOKUP($B86,'ELC TECH'!$H:$H,'ELC TECH'!AQ:AQ)))</f>
        <v/>
      </c>
      <c r="Y86" s="12" t="str">
        <f>IF(_xlfn.XLOOKUP($B86,'ELC TECH'!$H:$H,'ELC TECH'!$E:$E)&lt;&gt;"Storage","",IF(_xlfn.XLOOKUP($B86,'ELC TECH'!$H:$H,'ELC TECH'!AR:AR)="",0.8,_xlfn.XLOOKUP($B86,'ELC TECH'!$H:$H,'ELC TECH'!AR:AR)))</f>
        <v/>
      </c>
      <c r="Z86" s="15">
        <f>_xlfn.XLOOKUP($B86,'ELC TECH'!$H:$H,'ELC TECH'!M:M)</f>
        <v>1451.7715269242919</v>
      </c>
      <c r="AA86" s="15">
        <f>_xlfn.XLOOKUP($B86,'ELC TECH'!$H:$H,'ELC TECH'!N:N)</f>
        <v>1350.939266311296</v>
      </c>
      <c r="AB86" s="15">
        <f>_xlfn.XLOOKUP($B86,'ELC TECH'!$H:$H,'ELC TECH'!O:O)</f>
        <v>1224.898940545065</v>
      </c>
      <c r="AC86" s="15">
        <f>_xlfn.XLOOKUP($B86,'ELC TECH'!$H:$H,'ELC TECH'!P:P)</f>
        <v>1164.5945372747431</v>
      </c>
      <c r="AD86" s="15">
        <f>_xlfn.XLOOKUP($B86,'ELC TECH'!$H:$H,'ELC TECH'!Q:Q)</f>
        <v>1104.290134004433</v>
      </c>
      <c r="AE86" s="15">
        <f>_xlfn.XLOOKUP($B86,'ELC TECH'!$H:$H,'ELC TECH'!R:R)</f>
        <v>1043.985730734111</v>
      </c>
      <c r="AF86" s="15">
        <f>_xlfn.XLOOKUP($B86,'ELC TECH'!$H:$H,'ELC TECH'!S:S)</f>
        <v>983.68132746379092</v>
      </c>
      <c r="AG86" s="15">
        <f>_xlfn.XLOOKUP($B86,'ELC TECH'!$H:$H,'ELC TECH'!T:T)</f>
        <v>983.68132746379092</v>
      </c>
      <c r="AH86" s="15">
        <f>_xlfn.XLOOKUP($B86,'ELC TECH'!$H:$H,'ELC TECH'!U:U)</f>
        <v>34.26221553423445</v>
      </c>
      <c r="AI86" s="15">
        <f>_xlfn.XLOOKUP($B86,'ELC TECH'!$H:$H,'ELC TECH'!V:V)</f>
        <v>32.603758456669702</v>
      </c>
      <c r="AJ86" s="15">
        <f>_xlfn.XLOOKUP($B86,'ELC TECH'!$H:$H,'ELC TECH'!W:W)</f>
        <v>30.53068710971386</v>
      </c>
      <c r="AK86" s="15">
        <f>_xlfn.XLOOKUP($B86,'ELC TECH'!$H:$H,'ELC TECH'!X:X)</f>
        <v>29.484728384658851</v>
      </c>
      <c r="AL86" s="15">
        <f>_xlfn.XLOOKUP($B86,'ELC TECH'!$H:$H,'ELC TECH'!Y:Y)</f>
        <v>28.438769659603839</v>
      </c>
      <c r="AM86" s="15">
        <f>_xlfn.XLOOKUP($B86,'ELC TECH'!$H:$H,'ELC TECH'!Z:Z)</f>
        <v>27.39281093454883</v>
      </c>
      <c r="AN86" s="15">
        <f>_xlfn.XLOOKUP($B86,'ELC TECH'!$H:$H,'ELC TECH'!AA:AA)</f>
        <v>26.346852209493811</v>
      </c>
      <c r="AO86" s="15">
        <f>_xlfn.XLOOKUP($B86,'ELC TECH'!$H:$H,'ELC TECH'!AB:AB)</f>
        <v>26.346852209493811</v>
      </c>
      <c r="AP86" s="15">
        <f>_xlfn.XLOOKUP($B86,'ELC TECH'!$H:$H,'ELC TECH'!AC:AC)</f>
        <v>0</v>
      </c>
      <c r="AQ86" s="15">
        <f>_xlfn.XLOOKUP($B86,'ELC TECH'!$H:$H,'ELC TECH'!AD:AD)</f>
        <v>0</v>
      </c>
      <c r="AR86" s="15">
        <f>_xlfn.XLOOKUP($B86,'ELC TECH'!$H:$H,'ELC TECH'!AE:AE)</f>
        <v>0</v>
      </c>
      <c r="AS86" s="15">
        <f>_xlfn.XLOOKUP($B86,'ELC TECH'!$H:$H,'ELC TECH'!AF:AF)</f>
        <v>0</v>
      </c>
      <c r="AT86" s="15">
        <f>_xlfn.XLOOKUP($B86,'ELC TECH'!$H:$H,'ELC TECH'!AG:AG)</f>
        <v>0</v>
      </c>
      <c r="AU86" s="15">
        <f>_xlfn.XLOOKUP($B86,'ELC TECH'!$H:$H,'ELC TECH'!AH:AH)</f>
        <v>0</v>
      </c>
      <c r="AV86" s="15">
        <f>_xlfn.XLOOKUP($B86,'ELC TECH'!$H:$H,'ELC TECH'!AI:AI)</f>
        <v>0</v>
      </c>
      <c r="AW86" s="15">
        <f>_xlfn.XLOOKUP($B86,'ELC TECH'!$H:$H,'ELC TECH'!AJ:AJ)</f>
        <v>0</v>
      </c>
      <c r="AX86" s="12">
        <f>IF(_xlfn.XLOOKUP($B86,'ELC TECH'!$H:$H,'ELC TECH'!$E:$E)="Storage","",_xlfn.XLOOKUP($B86,'ELC TECH'!$H:$H,'ELC TECH'!AS:AS))</f>
        <v>0.45683999999999902</v>
      </c>
      <c r="AY86" s="12">
        <f>IF(_xlfn.XLOOKUP($B86,'ELC TECH'!$H:$H,'ELC TECH'!$E:$E)="Storage","",_xlfn.XLOOKUP($B86,'ELC TECH'!$H:$H,'ELC TECH'!AT:AT))</f>
        <v>0.47087733333333298</v>
      </c>
      <c r="AZ86" s="12">
        <f>IF(_xlfn.XLOOKUP($B86,'ELC TECH'!$H:$H,'ELC TECH'!$E:$E)="Storage","",_xlfn.XLOOKUP($B86,'ELC TECH'!$H:$H,'ELC TECH'!AU:AU))</f>
        <v>0.48842399999999903</v>
      </c>
      <c r="BA86" s="12">
        <f>IF(_xlfn.XLOOKUP($B86,'ELC TECH'!$H:$H,'ELC TECH'!$E:$E)="Storage","",_xlfn.XLOOKUP($B86,'ELC TECH'!$H:$H,'ELC TECH'!AV:AV))</f>
        <v>0.490397999999999</v>
      </c>
      <c r="BB86" s="12">
        <f>IF(_xlfn.XLOOKUP($B86,'ELC TECH'!$H:$H,'ELC TECH'!$E:$E)="Storage","",_xlfn.XLOOKUP($B86,'ELC TECH'!$H:$H,'ELC TECH'!AW:AW))</f>
        <v>0.49237199999999998</v>
      </c>
      <c r="BC86" s="12">
        <f>IF(_xlfn.XLOOKUP($B86,'ELC TECH'!$H:$H,'ELC TECH'!$E:$E)="Storage","",_xlfn.XLOOKUP($B86,'ELC TECH'!$H:$H,'ELC TECH'!AX:AX))</f>
        <v>0.49434600000000001</v>
      </c>
      <c r="BD86" s="12">
        <f>IF(_xlfn.XLOOKUP($B86,'ELC TECH'!$H:$H,'ELC TECH'!$E:$E)="Storage","",_xlfn.XLOOKUP($B86,'ELC TECH'!$H:$H,'ELC TECH'!AY:AY))</f>
        <v>0.49631999999999898</v>
      </c>
      <c r="BE86" s="12">
        <f>IF(_xlfn.XLOOKUP($B86,'ELC TECH'!$H:$H,'ELC TECH'!$E:$E)="Storage","",_xlfn.XLOOKUP($B86,'ELC TECH'!$H:$H,'ELC TECH'!AZ:AZ))</f>
        <v>0.49631999999999898</v>
      </c>
      <c r="BF86" s="12" t="str">
        <f>IF(_xlfn.XLOOKUP($B86,'ELC TECH'!$H:$H,'ELC TECH'!$E:$E)="Storage",_xlfn.XLOOKUP($B86,'ELC TECH'!$H:$H,'ELC TECH'!AS:AS),"")</f>
        <v/>
      </c>
      <c r="BG86" s="12" t="str">
        <f>IF(_xlfn.XLOOKUP($B86,'ELC TECH'!$H:$H,'ELC TECH'!$E:$E)="Storage",_xlfn.XLOOKUP($B86,'ELC TECH'!$H:$H,'ELC TECH'!AT:AT),"")</f>
        <v/>
      </c>
      <c r="BH86" s="12" t="str">
        <f>IF(_xlfn.XLOOKUP($B86,'ELC TECH'!$H:$H,'ELC TECH'!$E:$E)="Storage",_xlfn.XLOOKUP($B86,'ELC TECH'!$H:$H,'ELC TECH'!AU:AU),"")</f>
        <v/>
      </c>
      <c r="BI86" s="12" t="str">
        <f>IF(_xlfn.XLOOKUP($B86,'ELC TECH'!$H:$H,'ELC TECH'!$E:$E)="Storage",_xlfn.XLOOKUP($B86,'ELC TECH'!$H:$H,'ELC TECH'!AV:AV),"")</f>
        <v/>
      </c>
      <c r="BJ86" s="12" t="str">
        <f>IF(_xlfn.XLOOKUP($B86,'ELC TECH'!$H:$H,'ELC TECH'!$E:$E)="Storage",_xlfn.XLOOKUP($B86,'ELC TECH'!$H:$H,'ELC TECH'!AW:AW),"")</f>
        <v/>
      </c>
      <c r="BK86" s="12" t="str">
        <f>IF(_xlfn.XLOOKUP($B86,'ELC TECH'!$H:$H,'ELC TECH'!$E:$E)="Storage",_xlfn.XLOOKUP($B86,'ELC TECH'!$H:$H,'ELC TECH'!AX:AX),"")</f>
        <v/>
      </c>
      <c r="BL86" s="12" t="str">
        <f>IF(_xlfn.XLOOKUP($B86,'ELC TECH'!$H:$H,'ELC TECH'!$E:$E)="Storage",_xlfn.XLOOKUP($B86,'ELC TECH'!$H:$H,'ELC TECH'!AY:AY),"")</f>
        <v/>
      </c>
      <c r="BM86" s="12" t="str">
        <f>IF(_xlfn.XLOOKUP($B86,'ELC TECH'!$H:$H,'ELC TECH'!$E:$E)="Storage",_xlfn.XLOOKUP($B86,'ELC TECH'!$H:$H,'ELC TECH'!AZ:AZ),"")</f>
        <v/>
      </c>
      <c r="BN86" s="8">
        <f>IF(_xlfn.XLOOKUP($B86,'ELC TECH'!$H:$H,'ELC TECH'!$E:$E)="Non Dispatchable",IFERROR($AX86*_xlfn.XLOOKUP($C86,$BM$1:$BM$3,BN$1:BN$3)/SUMPRODUCT(_xlfn.XLOOKUP($C86,$BM$1:$BM$3,$BN$1:$BY$3),$BN$4:$BY$4),""),
"")</f>
        <v>0.8022117260053736</v>
      </c>
      <c r="BO86" s="8">
        <f>IF(_xlfn.XLOOKUP($B86,'ELC TECH'!$H:$H,'ELC TECH'!$E:$E)="Non Dispatchable",IFERROR($AX86*_xlfn.XLOOKUP($C86,$BM$1:$BM$3,BO$1:BO$3)/SUMPRODUCT(_xlfn.XLOOKUP($C86,$BM$1:$BM$3,$BN$1:$BY$3),$BN$4:$BY$4),""),
"")</f>
        <v>0.8022117260053736</v>
      </c>
      <c r="BP86" s="8">
        <f>IF(_xlfn.XLOOKUP($B86,'ELC TECH'!$H:$H,'ELC TECH'!$E:$E)="Non Dispatchable",IFERROR($AX86*_xlfn.XLOOKUP($C86,$BM$1:$BM$3,BP$1:BP$3)/SUMPRODUCT(_xlfn.XLOOKUP($C86,$BM$1:$BM$3,$BN$1:$BY$3),$BN$4:$BY$4),""),
"")</f>
        <v>8.0221172600537363E-2</v>
      </c>
      <c r="BQ86" s="8">
        <f>IF(_xlfn.XLOOKUP($B86,'ELC TECH'!$H:$H,'ELC TECH'!$E:$E)="Non Dispatchable",IFERROR($AX86*_xlfn.XLOOKUP($C86,$BM$1:$BM$3,BQ$1:BQ$3)/SUMPRODUCT(_xlfn.XLOOKUP($C86,$BM$1:$BM$3,$BN$1:$BY$3),$BN$4:$BY$4),""),
"")</f>
        <v>0.64277845215776497</v>
      </c>
      <c r="BR86" s="8">
        <f>IF(_xlfn.XLOOKUP($B86,'ELC TECH'!$H:$H,'ELC TECH'!$E:$E)="Non Dispatchable",IFERROR($AX86*_xlfn.XLOOKUP($C86,$BM$1:$BM$3,BR$1:BR$3)/SUMPRODUCT(_xlfn.XLOOKUP($C86,$BM$1:$BM$3,$BN$1:$BY$3),$BN$4:$BY$4),""),
"")</f>
        <v>0.9334827357153439</v>
      </c>
      <c r="BS86" s="8">
        <f>IF(_xlfn.XLOOKUP($B86,'ELC TECH'!$H:$H,'ELC TECH'!$E:$E)="Non Dispatchable",IFERROR($AX86*_xlfn.XLOOKUP($C86,$BM$1:$BM$3,BS$1:BS$3)/SUMPRODUCT(_xlfn.XLOOKUP($C86,$BM$1:$BM$3,$BN$1:$BY$3),$BN$4:$BY$4),""),
"")</f>
        <v>0.9334827357153439</v>
      </c>
      <c r="BT86" s="8">
        <f>IF(_xlfn.XLOOKUP($B86,'ELC TECH'!$H:$H,'ELC TECH'!$E:$E)="Non Dispatchable",IFERROR($AX86*_xlfn.XLOOKUP($C86,$BM$1:$BM$3,BT$1:BT$3)/SUMPRODUCT(_xlfn.XLOOKUP($C86,$BM$1:$BM$3,$BN$1:$BY$3),$BN$4:$BY$4),""),
"")</f>
        <v>9.3348273571534399E-2</v>
      </c>
      <c r="BU86" s="8">
        <f>IF(_xlfn.XLOOKUP($B86,'ELC TECH'!$H:$H,'ELC TECH'!$E:$E)="Non Dispatchable",IFERROR($AX86*_xlfn.XLOOKUP($C86,$BM$1:$BM$3,BU$1:BU$3)/SUMPRODUCT(_xlfn.XLOOKUP($C86,$BM$1:$BM$3,$BN$1:$BY$3),$BN$4:$BY$4),""),
"")</f>
        <v>0.82712802634864657</v>
      </c>
      <c r="BV86" s="8">
        <f>IF(_xlfn.XLOOKUP($B86,'ELC TECH'!$H:$H,'ELC TECH'!$E:$E)="Non Dispatchable",IFERROR($AX86*_xlfn.XLOOKUP($C86,$BM$1:$BM$3,BV$1:BV$3)/SUMPRODUCT(_xlfn.XLOOKUP($C86,$BM$1:$BM$3,$BN$1:$BY$3),$BN$4:$BY$4),""),
"")</f>
        <v>0.48342279918349956</v>
      </c>
      <c r="BW86" s="8">
        <f>IF(_xlfn.XLOOKUP($B86,'ELC TECH'!$H:$H,'ELC TECH'!$E:$E)="Non Dispatchable",IFERROR($AX86*_xlfn.XLOOKUP($C86,$BM$1:$BM$3,BW$1:BW$3)/SUMPRODUCT(_xlfn.XLOOKUP($C86,$BM$1:$BM$3,$BN$1:$BY$3),$BN$4:$BY$4),""),
"")</f>
        <v>0.48342279918349956</v>
      </c>
      <c r="BX86" s="8">
        <f>IF(_xlfn.XLOOKUP($B86,'ELC TECH'!$H:$H,'ELC TECH'!$E:$E)="Non Dispatchable",IFERROR($AX86*_xlfn.XLOOKUP($C86,$BM$1:$BM$3,BX$1:BX$3)/SUMPRODUCT(_xlfn.XLOOKUP($C86,$BM$1:$BM$3,$BN$1:$BY$3),$BN$4:$BY$4),""),
"")</f>
        <v>4.8342279918349954E-2</v>
      </c>
      <c r="BY86" s="8">
        <f>IF(_xlfn.XLOOKUP($B86,'ELC TECH'!$H:$H,'ELC TECH'!$E:$E)="Non Dispatchable",IFERROR($AX86*_xlfn.XLOOKUP($C86,$BM$1:$BM$3,BY$1:BY$3)/SUMPRODUCT(_xlfn.XLOOKUP($C86,$BM$1:$BM$3,$BN$1:$BY$3),$BN$4:$BY$4),""),
"")</f>
        <v>0.35335844123186955</v>
      </c>
      <c r="BZ86" s="8">
        <f>IF(_xlfn.XLOOKUP($B86,'ELC TECH'!$H:$H,'ELC TECH'!$E:$E)="Non Dispatchable",IFERROR($AX86*_xlfn.XLOOKUP($C86,$BM$1:$BM$3,BZ$1:BZ$3)/SUMPRODUCT(_xlfn.XLOOKUP($C86,$BM$1:$BM$3,$BN$1:$BY$3),$BN$4:$BY$4),""),
"")</f>
        <v>0.8022117260053736</v>
      </c>
      <c r="CA86" s="8">
        <f>IF(_xlfn.XLOOKUP($B86,'ELC TECH'!$H:$H,'ELC TECH'!$E:$E)="Non Dispatchable",IFERROR($AX86*_xlfn.XLOOKUP($C86,$BM$1:$BM$3,CA$1:CA$3)/SUMPRODUCT(_xlfn.XLOOKUP($C86,$BM$1:$BM$3,$BN$1:$BY$3),$BN$4:$BY$4),""),
"")</f>
        <v>0.8022117260053736</v>
      </c>
      <c r="CB86" s="8">
        <f>IF(_xlfn.XLOOKUP($B86,'ELC TECH'!$H:$H,'ELC TECH'!$E:$E)="Non Dispatchable",IFERROR($AX86*_xlfn.XLOOKUP($C86,$BM$1:$BM$3,CB$1:CB$3)/SUMPRODUCT(_xlfn.XLOOKUP($C86,$BM$1:$BM$3,$BN$1:$BY$3),$BN$4:$BY$4),""),
"")</f>
        <v>8.0221172600537363E-2</v>
      </c>
      <c r="CC86" s="8">
        <f>IF(_xlfn.XLOOKUP($B86,'ELC TECH'!$H:$H,'ELC TECH'!$E:$E)="Non Dispatchable",IFERROR($AX86*_xlfn.XLOOKUP($C86,$BM$1:$BM$3,CC$1:CC$3)/SUMPRODUCT(_xlfn.XLOOKUP($C86,$BM$1:$BM$3,$BN$1:$BY$3),$BN$4:$BY$4),""),
"")</f>
        <v>0.64277845215776497</v>
      </c>
      <c r="CD86" s="8">
        <f>IF(_xlfn.XLOOKUP($B86,'ELC TECH'!$H:$H,'ELC TECH'!$E:$E)="Non Dispatchable",IFERROR($AX86*_xlfn.XLOOKUP($C86,$BM$1:$BM$3,CD$1:CD$3)/SUMPRODUCT(_xlfn.XLOOKUP($C86,$BM$1:$BM$3,$BN$1:$BY$3),$BN$4:$BY$4),""),
"")</f>
        <v>0.9334827357153439</v>
      </c>
      <c r="CE86" s="8">
        <f>IF(_xlfn.XLOOKUP($B86,'ELC TECH'!$H:$H,'ELC TECH'!$E:$E)="Non Dispatchable",IFERROR($AX86*_xlfn.XLOOKUP($C86,$BM$1:$BM$3,CE$1:CE$3)/SUMPRODUCT(_xlfn.XLOOKUP($C86,$BM$1:$BM$3,$BN$1:$BY$3),$BN$4:$BY$4),""),
"")</f>
        <v>0.9334827357153439</v>
      </c>
      <c r="CF86" s="8">
        <f>IF(_xlfn.XLOOKUP($B86,'ELC TECH'!$H:$H,'ELC TECH'!$E:$E)="Non Dispatchable",IFERROR($AX86*_xlfn.XLOOKUP($C86,$BM$1:$BM$3,CF$1:CF$3)/SUMPRODUCT(_xlfn.XLOOKUP($C86,$BM$1:$BM$3,$BN$1:$BY$3),$BN$4:$BY$4),""),
"")</f>
        <v>9.3348273571534399E-2</v>
      </c>
      <c r="CG86" s="8">
        <f>IF(_xlfn.XLOOKUP($B86,'ELC TECH'!$H:$H,'ELC TECH'!$E:$E)="Non Dispatchable",IFERROR($AX86*_xlfn.XLOOKUP($C86,$BM$1:$BM$3,CG$1:CG$3)/SUMPRODUCT(_xlfn.XLOOKUP($C86,$BM$1:$BM$3,$BN$1:$BY$3),$BN$4:$BY$4),""),
"")</f>
        <v>0.82712802634864657</v>
      </c>
      <c r="CH86" s="8">
        <f>IF(_xlfn.XLOOKUP($B86,'ELC TECH'!$H:$H,'ELC TECH'!$E:$E)="Non Dispatchable",IFERROR($AX86*_xlfn.XLOOKUP($C86,$BM$1:$BM$3,CH$1:CH$3)/SUMPRODUCT(_xlfn.XLOOKUP($C86,$BM$1:$BM$3,$BN$1:$BY$3),$BN$4:$BY$4),""),
"")</f>
        <v>0.48342279918349956</v>
      </c>
      <c r="CI86" s="8">
        <f>IF(_xlfn.XLOOKUP($B86,'ELC TECH'!$H:$H,'ELC TECH'!$E:$E)="Non Dispatchable",IFERROR($AX86*_xlfn.XLOOKUP($C86,$BM$1:$BM$3,CI$1:CI$3)/SUMPRODUCT(_xlfn.XLOOKUP($C86,$BM$1:$BM$3,$BN$1:$BY$3),$BN$4:$BY$4),""),
"")</f>
        <v>0.48342279918349956</v>
      </c>
      <c r="CJ86" s="8">
        <f>IF(_xlfn.XLOOKUP($B86,'ELC TECH'!$H:$H,'ELC TECH'!$E:$E)="Non Dispatchable",IFERROR($AX86*_xlfn.XLOOKUP($C86,$BM$1:$BM$3,CJ$1:CJ$3)/SUMPRODUCT(_xlfn.XLOOKUP($C86,$BM$1:$BM$3,$BN$1:$BY$3),$BN$4:$BY$4),""),
"")</f>
        <v>4.8342279918349954E-2</v>
      </c>
      <c r="CK86" s="8">
        <f>IF(_xlfn.XLOOKUP($B86,'ELC TECH'!$H:$H,'ELC TECH'!$E:$E)="Non Dispatchable",IFERROR($AX86*_xlfn.XLOOKUP($C86,$BM$1:$BM$3,CK$1:CK$3)/SUMPRODUCT(_xlfn.XLOOKUP($C86,$BM$1:$BM$3,$BN$1:$BY$3),$BN$4:$BY$4),""),
"")</f>
        <v>0.35335844123186955</v>
      </c>
      <c r="CL86" s="8" t="str">
        <f>IF(_xlfn.XLOOKUP($B86,'ELC TECH'!$H:$H,'ELC TECH'!$E:$E)="Storage",CL$4*$BF86,"")</f>
        <v/>
      </c>
      <c r="CM86" s="8" t="str">
        <f>IF(_xlfn.XLOOKUP($B86,'ELC TECH'!$H:$H,'ELC TECH'!$E:$E)="Storage",CM$4*$BF86,"")</f>
        <v/>
      </c>
      <c r="CN86" s="8" t="str">
        <f>IF(_xlfn.XLOOKUP($B86,'ELC TECH'!$H:$H,'ELC TECH'!$E:$E)="Storage",CN$4*$BF86,"")</f>
        <v/>
      </c>
      <c r="CO86" s="8" t="str">
        <f>IF(_xlfn.XLOOKUP($B86,'ELC TECH'!$H:$H,'ELC TECH'!$E:$E)="Storage",CO$4*$BF86,"")</f>
        <v/>
      </c>
      <c r="CP86" s="8" t="str">
        <f>IF(_xlfn.XLOOKUP($B86,'ELC TECH'!$H:$H,'ELC TECH'!$E:$E)="Storage",CP$4*$BF86,"")</f>
        <v/>
      </c>
      <c r="CQ86" s="8" t="str">
        <f>IF(_xlfn.XLOOKUP($B86,'ELC TECH'!$H:$H,'ELC TECH'!$E:$E)="Storage",CQ$4*$BF86,"")</f>
        <v/>
      </c>
      <c r="CR86" s="8" t="str">
        <f>IF(_xlfn.XLOOKUP($B86,'ELC TECH'!$H:$H,'ELC TECH'!$E:$E)="Storage",CR$4*$BF86,"")</f>
        <v/>
      </c>
      <c r="CS86" s="8" t="str">
        <f>IF(_xlfn.XLOOKUP($B86,'ELC TECH'!$H:$H,'ELC TECH'!$E:$E)="Storage",CS$4*$BF86,"")</f>
        <v/>
      </c>
      <c r="CT86" s="8" t="str">
        <f>IF(_xlfn.XLOOKUP($B86,'ELC TECH'!$H:$H,'ELC TECH'!$E:$E)="Storage",CT$4*$BF86,"")</f>
        <v/>
      </c>
      <c r="CU86" s="8" t="str">
        <f>IF(_xlfn.XLOOKUP($B86,'ELC TECH'!$H:$H,'ELC TECH'!$E:$E)="Storage",CU$4*$BF86,"")</f>
        <v/>
      </c>
      <c r="CV86" s="8" t="str">
        <f>IF(_xlfn.XLOOKUP($B86,'ELC TECH'!$H:$H,'ELC TECH'!$E:$E)="Storage",CV$4*$BF86,"")</f>
        <v/>
      </c>
      <c r="CW86" s="8" t="str">
        <f>IF(_xlfn.XLOOKUP($B86,'ELC TECH'!$H:$H,'ELC TECH'!$E:$E)="Storage",CW$4*$BF86,"")</f>
        <v/>
      </c>
      <c r="CX86" s="8" t="str">
        <f>IF(_xlfn.XLOOKUP($B86,'ELC TECH'!$H:$H,'ELC TECH'!$E:$E)="Storage",CX$4*$BF86,"")</f>
        <v/>
      </c>
      <c r="CY86" s="8" t="str">
        <f>IF(_xlfn.XLOOKUP($B86,'ELC TECH'!$H:$H,'ELC TECH'!$E:$E)="Storage",CY$4*$BF86,"")</f>
        <v/>
      </c>
      <c r="CZ86" s="8" t="str">
        <f>IF(_xlfn.XLOOKUP($B86,'ELC TECH'!$H:$H,'ELC TECH'!$E:$E)="Storage",CZ$4*$BF86,"")</f>
        <v/>
      </c>
      <c r="DA86" s="8" t="str">
        <f>IF(_xlfn.XLOOKUP($B86,'ELC TECH'!$H:$H,'ELC TECH'!$E:$E)="Storage",DA$4*$BF86,"")</f>
        <v/>
      </c>
      <c r="DB86" s="8" t="str">
        <f>IF(_xlfn.XLOOKUP($B86,'ELC TECH'!$H:$H,'ELC TECH'!$E:$E)="Storage",DB$4*$BF86,"")</f>
        <v/>
      </c>
      <c r="DC86" s="8" t="str">
        <f>IF(_xlfn.XLOOKUP($B86,'ELC TECH'!$H:$H,'ELC TECH'!$E:$E)="Storage",DC$4*$BF86,"")</f>
        <v/>
      </c>
      <c r="DD86" s="8" t="str">
        <f>IF(_xlfn.XLOOKUP($B86,'ELC TECH'!$H:$H,'ELC TECH'!$E:$E)="Storage",DD$4*$BF86,"")</f>
        <v/>
      </c>
      <c r="DE86" s="8" t="str">
        <f>IF(_xlfn.XLOOKUP($B86,'ELC TECH'!$H:$H,'ELC TECH'!$E:$E)="Storage",DE$4*$BF86,"")</f>
        <v/>
      </c>
      <c r="DF86" s="8" t="str">
        <f>IF(_xlfn.XLOOKUP($B86,'ELC TECH'!$H:$H,'ELC TECH'!$E:$E)="Storage",DF$4*$BF86,"")</f>
        <v/>
      </c>
      <c r="DG86" s="8" t="str">
        <f>IF(_xlfn.XLOOKUP($B86,'ELC TECH'!$H:$H,'ELC TECH'!$E:$E)="Storage",DG$4*$BF86,"")</f>
        <v/>
      </c>
      <c r="DH86" s="8" t="str">
        <f>IF(_xlfn.XLOOKUP($B86,'ELC TECH'!$H:$H,'ELC TECH'!$E:$E)="Storage",DH$4*$BF86,"")</f>
        <v/>
      </c>
      <c r="DI86" s="8" t="str">
        <f>IF(_xlfn.XLOOKUP($B86,'ELC TECH'!$H:$H,'ELC TECH'!$E:$E)="Storage",DI$4*$BF86,"")</f>
        <v/>
      </c>
    </row>
    <row r="87" spans="2:113" x14ac:dyDescent="0.25">
      <c r="B87" t="str">
        <f>IF('ELC TECH'!I80=0,"*",'ELC TECH'!H80)</f>
        <v>ELCWNDGRDWONC420</v>
      </c>
      <c r="C87" t="str">
        <f>IF(_xlfn.XLOOKUP(_xlfn.XLOOKUP(B87,'ELC TECH'!$H:$H,'ELC TECH'!$G:$G),List!C:C,List!B:B)="STG",D87,"ELC"&amp;_xlfn.XLOOKUP(_xlfn.XLOOKUP(B87,'ELC TECH'!H:H,'ELC TECH'!G:G),List!C:C,List!B:B))</f>
        <v>ELCWND</v>
      </c>
      <c r="D87" t="s">
        <v>544</v>
      </c>
      <c r="E87">
        <f>_xlfn.XLOOKUP(B87,'ELC TECH'!H:H,'ELC TECH'!D:D)</f>
        <v>2020</v>
      </c>
      <c r="F87">
        <f>_xlfn.XLOOKUP(B87,'ELC TECH'!H:H,'ELC TECH'!K:K)</f>
        <v>30</v>
      </c>
      <c r="G87">
        <f t="shared" si="6"/>
        <v>31.535999999999998</v>
      </c>
      <c r="H87">
        <f>IF(_xlfn.XLOOKUP(B87,'ELC TECH'!$H:$H,'ELC TECH'!$E:$E)="Storage",0.3,IF(_xlfn.XLOOKUP(B87,'ELC TECH'!$H:$H,'ELC TECH'!$E:$E)="Baseload",0.9,IF(_xlfn.XLOOKUP(B87,'ELC TECH'!$H:$H,'ELC TECH'!$E:$E)="Non Dispatchable",0.05,IF(_xlfn.XLOOKUP(B87,'ELC TECH'!$H:$H,'ELC TECH'!$E:$E)="Dispatchable",0.9,1))))</f>
        <v>0.05</v>
      </c>
      <c r="I87" s="13">
        <f>IF(_xlfn.XLOOKUP(B87,'ELC TECH'!H:H,'ELC TECH'!J:J)="","",_xlfn.XLOOKUP(B87,'ELC TECH'!H:H,'ELC TECH'!J:J))</f>
        <v>0</v>
      </c>
      <c r="J87" s="12">
        <f>IF(_xlfn.XLOOKUP($B87,'ELC TECH'!$H:$H,'ELC TECH'!$E:$E)="Storage","",IF(_xlfn.XLOOKUP($B87,'ELC TECH'!$H:$H,'ELC TECH'!AK:AK)="",1,_xlfn.XLOOKUP($B87,'ELC TECH'!$H:$H,'ELC TECH'!AK:AK)))</f>
        <v>1</v>
      </c>
      <c r="K87" s="12">
        <f>IF(_xlfn.XLOOKUP($B87,'ELC TECH'!$H:$H,'ELC TECH'!$E:$E)="Storage","",IF(_xlfn.XLOOKUP($B87,'ELC TECH'!$H:$H,'ELC TECH'!AL:AL)="",1,_xlfn.XLOOKUP($B87,'ELC TECH'!$H:$H,'ELC TECH'!AL:AL)))</f>
        <v>1</v>
      </c>
      <c r="L87" s="12">
        <f>IF(_xlfn.XLOOKUP($B87,'ELC TECH'!$H:$H,'ELC TECH'!$E:$E)="Storage","",IF(_xlfn.XLOOKUP($B87,'ELC TECH'!$H:$H,'ELC TECH'!AM:AM)="",1,_xlfn.XLOOKUP($B87,'ELC TECH'!$H:$H,'ELC TECH'!AM:AM)))</f>
        <v>1</v>
      </c>
      <c r="M87" s="12">
        <f>IF(_xlfn.XLOOKUP($B87,'ELC TECH'!$H:$H,'ELC TECH'!$E:$E)="Storage","",IF(_xlfn.XLOOKUP($B87,'ELC TECH'!$H:$H,'ELC TECH'!AN:AN)="",1,_xlfn.XLOOKUP($B87,'ELC TECH'!$H:$H,'ELC TECH'!AN:AN)))</f>
        <v>1</v>
      </c>
      <c r="N87" s="12">
        <f>IF(_xlfn.XLOOKUP($B87,'ELC TECH'!$H:$H,'ELC TECH'!$E:$E)="Storage","",IF(_xlfn.XLOOKUP($B87,'ELC TECH'!$H:$H,'ELC TECH'!AO:AO)="",1,_xlfn.XLOOKUP($B87,'ELC TECH'!$H:$H,'ELC TECH'!AO:AO)))</f>
        <v>1</v>
      </c>
      <c r="O87" s="12">
        <f>IF(_xlfn.XLOOKUP($B87,'ELC TECH'!$H:$H,'ELC TECH'!$E:$E)="Storage","",IF(_xlfn.XLOOKUP($B87,'ELC TECH'!$H:$H,'ELC TECH'!AP:AP)="",1,_xlfn.XLOOKUP($B87,'ELC TECH'!$H:$H,'ELC TECH'!AP:AP)))</f>
        <v>1</v>
      </c>
      <c r="P87" s="12">
        <f>IF(_xlfn.XLOOKUP($B87,'ELC TECH'!$H:$H,'ELC TECH'!$E:$E)="Storage","",IF(_xlfn.XLOOKUP($B87,'ELC TECH'!$H:$H,'ELC TECH'!AQ:AQ)="",1,_xlfn.XLOOKUP($B87,'ELC TECH'!$H:$H,'ELC TECH'!AQ:AQ)))</f>
        <v>1</v>
      </c>
      <c r="Q87" s="12">
        <f>IF(_xlfn.XLOOKUP($B87,'ELC TECH'!$H:$H,'ELC TECH'!$E:$E)="Storage","",IF(_xlfn.XLOOKUP($B87,'ELC TECH'!$H:$H,'ELC TECH'!AR:AR)="",1,_xlfn.XLOOKUP($B87,'ELC TECH'!$H:$H,'ELC TECH'!AR:AR)))</f>
        <v>1</v>
      </c>
      <c r="R87" s="12" t="str">
        <f>IF(_xlfn.XLOOKUP($B87,'ELC TECH'!$H:$H,'ELC TECH'!$E:$E)&lt;&gt;"Storage","",IF(_xlfn.XLOOKUP($B87,'ELC TECH'!$H:$H,'ELC TECH'!AK:AK)="",0.8,_xlfn.XLOOKUP($B87,'ELC TECH'!$H:$H,'ELC TECH'!AK:AK)))</f>
        <v/>
      </c>
      <c r="S87" s="12" t="str">
        <f>IF(_xlfn.XLOOKUP($B87,'ELC TECH'!$H:$H,'ELC TECH'!$E:$E)&lt;&gt;"Storage","",IF(_xlfn.XLOOKUP($B87,'ELC TECH'!$H:$H,'ELC TECH'!AL:AL)="",0.8,_xlfn.XLOOKUP($B87,'ELC TECH'!$H:$H,'ELC TECH'!AL:AL)))</f>
        <v/>
      </c>
      <c r="T87" s="12" t="str">
        <f>IF(_xlfn.XLOOKUP($B87,'ELC TECH'!$H:$H,'ELC TECH'!$E:$E)&lt;&gt;"Storage","",IF(_xlfn.XLOOKUP($B87,'ELC TECH'!$H:$H,'ELC TECH'!AM:AM)="",0.8,_xlfn.XLOOKUP($B87,'ELC TECH'!$H:$H,'ELC TECH'!AM:AM)))</f>
        <v/>
      </c>
      <c r="U87" s="12" t="str">
        <f>IF(_xlfn.XLOOKUP($B87,'ELC TECH'!$H:$H,'ELC TECH'!$E:$E)&lt;&gt;"Storage","",IF(_xlfn.XLOOKUP($B87,'ELC TECH'!$H:$H,'ELC TECH'!AN:AN)="",0.8,_xlfn.XLOOKUP($B87,'ELC TECH'!$H:$H,'ELC TECH'!AN:AN)))</f>
        <v/>
      </c>
      <c r="V87" s="12" t="str">
        <f>IF(_xlfn.XLOOKUP($B87,'ELC TECH'!$H:$H,'ELC TECH'!$E:$E)&lt;&gt;"Storage","",IF(_xlfn.XLOOKUP($B87,'ELC TECH'!$H:$H,'ELC TECH'!AO:AO)="",0.8,_xlfn.XLOOKUP($B87,'ELC TECH'!$H:$H,'ELC TECH'!AO:AO)))</f>
        <v/>
      </c>
      <c r="W87" s="12" t="str">
        <f>IF(_xlfn.XLOOKUP($B87,'ELC TECH'!$H:$H,'ELC TECH'!$E:$E)&lt;&gt;"Storage","",IF(_xlfn.XLOOKUP($B87,'ELC TECH'!$H:$H,'ELC TECH'!AP:AP)="",0.8,_xlfn.XLOOKUP($B87,'ELC TECH'!$H:$H,'ELC TECH'!AP:AP)))</f>
        <v/>
      </c>
      <c r="X87" s="12" t="str">
        <f>IF(_xlfn.XLOOKUP($B87,'ELC TECH'!$H:$H,'ELC TECH'!$E:$E)&lt;&gt;"Storage","",IF(_xlfn.XLOOKUP($B87,'ELC TECH'!$H:$H,'ELC TECH'!AQ:AQ)="",0.8,_xlfn.XLOOKUP($B87,'ELC TECH'!$H:$H,'ELC TECH'!AQ:AQ)))</f>
        <v/>
      </c>
      <c r="Y87" s="12" t="str">
        <f>IF(_xlfn.XLOOKUP($B87,'ELC TECH'!$H:$H,'ELC TECH'!$E:$E)&lt;&gt;"Storage","",IF(_xlfn.XLOOKUP($B87,'ELC TECH'!$H:$H,'ELC TECH'!AR:AR)="",0.8,_xlfn.XLOOKUP($B87,'ELC TECH'!$H:$H,'ELC TECH'!AR:AR)))</f>
        <v/>
      </c>
      <c r="Z87" s="15">
        <f>_xlfn.XLOOKUP($B87,'ELC TECH'!$H:$H,'ELC TECH'!M:M)</f>
        <v>1451.7715269242919</v>
      </c>
      <c r="AA87" s="15">
        <f>_xlfn.XLOOKUP($B87,'ELC TECH'!$H:$H,'ELC TECH'!N:N)</f>
        <v>1350.939266311296</v>
      </c>
      <c r="AB87" s="15">
        <f>_xlfn.XLOOKUP($B87,'ELC TECH'!$H:$H,'ELC TECH'!O:O)</f>
        <v>1224.898940545065</v>
      </c>
      <c r="AC87" s="15">
        <f>_xlfn.XLOOKUP($B87,'ELC TECH'!$H:$H,'ELC TECH'!P:P)</f>
        <v>1164.5945372747431</v>
      </c>
      <c r="AD87" s="15">
        <f>_xlfn.XLOOKUP($B87,'ELC TECH'!$H:$H,'ELC TECH'!Q:Q)</f>
        <v>1104.290134004433</v>
      </c>
      <c r="AE87" s="15">
        <f>_xlfn.XLOOKUP($B87,'ELC TECH'!$H:$H,'ELC TECH'!R:R)</f>
        <v>1043.985730734111</v>
      </c>
      <c r="AF87" s="15">
        <f>_xlfn.XLOOKUP($B87,'ELC TECH'!$H:$H,'ELC TECH'!S:S)</f>
        <v>983.68132746379092</v>
      </c>
      <c r="AG87" s="15">
        <f>_xlfn.XLOOKUP($B87,'ELC TECH'!$H:$H,'ELC TECH'!T:T)</f>
        <v>983.68132746379092</v>
      </c>
      <c r="AH87" s="15">
        <f>_xlfn.XLOOKUP($B87,'ELC TECH'!$H:$H,'ELC TECH'!U:U)</f>
        <v>34.26221553423445</v>
      </c>
      <c r="AI87" s="15">
        <f>_xlfn.XLOOKUP($B87,'ELC TECH'!$H:$H,'ELC TECH'!V:V)</f>
        <v>32.603758456669702</v>
      </c>
      <c r="AJ87" s="15">
        <f>_xlfn.XLOOKUP($B87,'ELC TECH'!$H:$H,'ELC TECH'!W:W)</f>
        <v>30.53068710971386</v>
      </c>
      <c r="AK87" s="15">
        <f>_xlfn.XLOOKUP($B87,'ELC TECH'!$H:$H,'ELC TECH'!X:X)</f>
        <v>29.484728384658851</v>
      </c>
      <c r="AL87" s="15">
        <f>_xlfn.XLOOKUP($B87,'ELC TECH'!$H:$H,'ELC TECH'!Y:Y)</f>
        <v>28.438769659603839</v>
      </c>
      <c r="AM87" s="15">
        <f>_xlfn.XLOOKUP($B87,'ELC TECH'!$H:$H,'ELC TECH'!Z:Z)</f>
        <v>27.39281093454883</v>
      </c>
      <c r="AN87" s="15">
        <f>_xlfn.XLOOKUP($B87,'ELC TECH'!$H:$H,'ELC TECH'!AA:AA)</f>
        <v>26.346852209493811</v>
      </c>
      <c r="AO87" s="15">
        <f>_xlfn.XLOOKUP($B87,'ELC TECH'!$H:$H,'ELC TECH'!AB:AB)</f>
        <v>26.346852209493811</v>
      </c>
      <c r="AP87" s="15">
        <f>_xlfn.XLOOKUP($B87,'ELC TECH'!$H:$H,'ELC TECH'!AC:AC)</f>
        <v>0</v>
      </c>
      <c r="AQ87" s="15">
        <f>_xlfn.XLOOKUP($B87,'ELC TECH'!$H:$H,'ELC TECH'!AD:AD)</f>
        <v>0</v>
      </c>
      <c r="AR87" s="15">
        <f>_xlfn.XLOOKUP($B87,'ELC TECH'!$H:$H,'ELC TECH'!AE:AE)</f>
        <v>0</v>
      </c>
      <c r="AS87" s="15">
        <f>_xlfn.XLOOKUP($B87,'ELC TECH'!$H:$H,'ELC TECH'!AF:AF)</f>
        <v>0</v>
      </c>
      <c r="AT87" s="15">
        <f>_xlfn.XLOOKUP($B87,'ELC TECH'!$H:$H,'ELC TECH'!AG:AG)</f>
        <v>0</v>
      </c>
      <c r="AU87" s="15">
        <f>_xlfn.XLOOKUP($B87,'ELC TECH'!$H:$H,'ELC TECH'!AH:AH)</f>
        <v>0</v>
      </c>
      <c r="AV87" s="15">
        <f>_xlfn.XLOOKUP($B87,'ELC TECH'!$H:$H,'ELC TECH'!AI:AI)</f>
        <v>0</v>
      </c>
      <c r="AW87" s="15">
        <f>_xlfn.XLOOKUP($B87,'ELC TECH'!$H:$H,'ELC TECH'!AJ:AJ)</f>
        <v>0</v>
      </c>
      <c r="AX87" s="12">
        <f>IF(_xlfn.XLOOKUP($B87,'ELC TECH'!$H:$H,'ELC TECH'!$E:$E)="Storage","",_xlfn.XLOOKUP($B87,'ELC TECH'!$H:$H,'ELC TECH'!AS:AS))</f>
        <v>0.44468999999999997</v>
      </c>
      <c r="AY87" s="12">
        <f>IF(_xlfn.XLOOKUP($B87,'ELC TECH'!$H:$H,'ELC TECH'!$E:$E)="Storage","",_xlfn.XLOOKUP($B87,'ELC TECH'!$H:$H,'ELC TECH'!AT:AT))</f>
        <v>0.45835399999999998</v>
      </c>
      <c r="AZ87" s="12">
        <f>IF(_xlfn.XLOOKUP($B87,'ELC TECH'!$H:$H,'ELC TECH'!$E:$E)="Storage","",_xlfn.XLOOKUP($B87,'ELC TECH'!$H:$H,'ELC TECH'!AU:AU))</f>
        <v>0.47543400000000002</v>
      </c>
      <c r="BA87" s="12">
        <f>IF(_xlfn.XLOOKUP($B87,'ELC TECH'!$H:$H,'ELC TECH'!$E:$E)="Storage","",_xlfn.XLOOKUP($B87,'ELC TECH'!$H:$H,'ELC TECH'!AV:AV))</f>
        <v>0.47735549999999999</v>
      </c>
      <c r="BB87" s="12">
        <f>IF(_xlfn.XLOOKUP($B87,'ELC TECH'!$H:$H,'ELC TECH'!$E:$E)="Storage","",_xlfn.XLOOKUP($B87,'ELC TECH'!$H:$H,'ELC TECH'!AW:AW))</f>
        <v>0.47927700000000001</v>
      </c>
      <c r="BC87" s="12">
        <f>IF(_xlfn.XLOOKUP($B87,'ELC TECH'!$H:$H,'ELC TECH'!$E:$E)="Storage","",_xlfn.XLOOKUP($B87,'ELC TECH'!$H:$H,'ELC TECH'!AX:AX))</f>
        <v>0.48119849999999997</v>
      </c>
      <c r="BD87" s="12">
        <f>IF(_xlfn.XLOOKUP($B87,'ELC TECH'!$H:$H,'ELC TECH'!$E:$E)="Storage","",_xlfn.XLOOKUP($B87,'ELC TECH'!$H:$H,'ELC TECH'!AY:AY))</f>
        <v>0.48311999999999999</v>
      </c>
      <c r="BE87" s="12">
        <f>IF(_xlfn.XLOOKUP($B87,'ELC TECH'!$H:$H,'ELC TECH'!$E:$E)="Storage","",_xlfn.XLOOKUP($B87,'ELC TECH'!$H:$H,'ELC TECH'!AZ:AZ))</f>
        <v>0.48311999999999999</v>
      </c>
      <c r="BF87" s="12" t="str">
        <f>IF(_xlfn.XLOOKUP($B87,'ELC TECH'!$H:$H,'ELC TECH'!$E:$E)="Storage",_xlfn.XLOOKUP($B87,'ELC TECH'!$H:$H,'ELC TECH'!AS:AS),"")</f>
        <v/>
      </c>
      <c r="BG87" s="12" t="str">
        <f>IF(_xlfn.XLOOKUP($B87,'ELC TECH'!$H:$H,'ELC TECH'!$E:$E)="Storage",_xlfn.XLOOKUP($B87,'ELC TECH'!$H:$H,'ELC TECH'!AT:AT),"")</f>
        <v/>
      </c>
      <c r="BH87" s="12" t="str">
        <f>IF(_xlfn.XLOOKUP($B87,'ELC TECH'!$H:$H,'ELC TECH'!$E:$E)="Storage",_xlfn.XLOOKUP($B87,'ELC TECH'!$H:$H,'ELC TECH'!AU:AU),"")</f>
        <v/>
      </c>
      <c r="BI87" s="12" t="str">
        <f>IF(_xlfn.XLOOKUP($B87,'ELC TECH'!$H:$H,'ELC TECH'!$E:$E)="Storage",_xlfn.XLOOKUP($B87,'ELC TECH'!$H:$H,'ELC TECH'!AV:AV),"")</f>
        <v/>
      </c>
      <c r="BJ87" s="12" t="str">
        <f>IF(_xlfn.XLOOKUP($B87,'ELC TECH'!$H:$H,'ELC TECH'!$E:$E)="Storage",_xlfn.XLOOKUP($B87,'ELC TECH'!$H:$H,'ELC TECH'!AW:AW),"")</f>
        <v/>
      </c>
      <c r="BK87" s="12" t="str">
        <f>IF(_xlfn.XLOOKUP($B87,'ELC TECH'!$H:$H,'ELC TECH'!$E:$E)="Storage",_xlfn.XLOOKUP($B87,'ELC TECH'!$H:$H,'ELC TECH'!AX:AX),"")</f>
        <v/>
      </c>
      <c r="BL87" s="12" t="str">
        <f>IF(_xlfn.XLOOKUP($B87,'ELC TECH'!$H:$H,'ELC TECH'!$E:$E)="Storage",_xlfn.XLOOKUP($B87,'ELC TECH'!$H:$H,'ELC TECH'!AY:AY),"")</f>
        <v/>
      </c>
      <c r="BM87" s="12" t="str">
        <f>IF(_xlfn.XLOOKUP($B87,'ELC TECH'!$H:$H,'ELC TECH'!$E:$E)="Storage",_xlfn.XLOOKUP($B87,'ELC TECH'!$H:$H,'ELC TECH'!AZ:AZ),"")</f>
        <v/>
      </c>
      <c r="BN87" s="8">
        <f>IF(_xlfn.XLOOKUP($B87,'ELC TECH'!$H:$H,'ELC TECH'!$E:$E)="Non Dispatchable",IFERROR($AX87*_xlfn.XLOOKUP($C87,$BM$1:$BM$3,BN$1:BN$3)/SUMPRODUCT(_xlfn.XLOOKUP($C87,$BM$1:$BM$3,$BN$1:$BY$3),$BN$4:$BY$4),""),
"")</f>
        <v>0.78087630776055139</v>
      </c>
      <c r="BO87" s="8">
        <f>IF(_xlfn.XLOOKUP($B87,'ELC TECH'!$H:$H,'ELC TECH'!$E:$E)="Non Dispatchable",IFERROR($AX87*_xlfn.XLOOKUP($C87,$BM$1:$BM$3,BO$1:BO$3)/SUMPRODUCT(_xlfn.XLOOKUP($C87,$BM$1:$BM$3,$BN$1:$BY$3),$BN$4:$BY$4),""),
"")</f>
        <v>0.78087630776055139</v>
      </c>
      <c r="BP87" s="8">
        <f>IF(_xlfn.XLOOKUP($B87,'ELC TECH'!$H:$H,'ELC TECH'!$E:$E)="Non Dispatchable",IFERROR($AX87*_xlfn.XLOOKUP($C87,$BM$1:$BM$3,BP$1:BP$3)/SUMPRODUCT(_xlfn.XLOOKUP($C87,$BM$1:$BM$3,$BN$1:$BY$3),$BN$4:$BY$4),""),
"")</f>
        <v>7.8087630776055142E-2</v>
      </c>
      <c r="BQ87" s="8">
        <f>IF(_xlfn.XLOOKUP($B87,'ELC TECH'!$H:$H,'ELC TECH'!$E:$E)="Non Dispatchable",IFERROR($AX87*_xlfn.XLOOKUP($C87,$BM$1:$BM$3,BQ$1:BQ$3)/SUMPRODUCT(_xlfn.XLOOKUP($C87,$BM$1:$BM$3,$BN$1:$BY$3),$BN$4:$BY$4),""),
"")</f>
        <v>0.62568328055782563</v>
      </c>
      <c r="BR87" s="8">
        <f>IF(_xlfn.XLOOKUP($B87,'ELC TECH'!$H:$H,'ELC TECH'!$E:$E)="Non Dispatchable",IFERROR($AX87*_xlfn.XLOOKUP($C87,$BM$1:$BM$3,BR$1:BR$3)/SUMPRODUCT(_xlfn.XLOOKUP($C87,$BM$1:$BM$3,$BN$1:$BY$3),$BN$4:$BY$4),""),
"")</f>
        <v>0.90865606721227821</v>
      </c>
      <c r="BS87" s="8">
        <f>IF(_xlfn.XLOOKUP($B87,'ELC TECH'!$H:$H,'ELC TECH'!$E:$E)="Non Dispatchable",IFERROR($AX87*_xlfn.XLOOKUP($C87,$BM$1:$BM$3,BS$1:BS$3)/SUMPRODUCT(_xlfn.XLOOKUP($C87,$BM$1:$BM$3,$BN$1:$BY$3),$BN$4:$BY$4),""),
"")</f>
        <v>0.90865606721227821</v>
      </c>
      <c r="BT87" s="8">
        <f>IF(_xlfn.XLOOKUP($B87,'ELC TECH'!$H:$H,'ELC TECH'!$E:$E)="Non Dispatchable",IFERROR($AX87*_xlfn.XLOOKUP($C87,$BM$1:$BM$3,BT$1:BT$3)/SUMPRODUCT(_xlfn.XLOOKUP($C87,$BM$1:$BM$3,$BN$1:$BY$3),$BN$4:$BY$4),""),
"")</f>
        <v>9.0865606721227829E-2</v>
      </c>
      <c r="BU87" s="8">
        <f>IF(_xlfn.XLOOKUP($B87,'ELC TECH'!$H:$H,'ELC TECH'!$E:$E)="Non Dispatchable",IFERROR($AX87*_xlfn.XLOOKUP($C87,$BM$1:$BM$3,BU$1:BU$3)/SUMPRODUCT(_xlfn.XLOOKUP($C87,$BM$1:$BM$3,$BN$1:$BY$3),$BN$4:$BY$4),""),
"")</f>
        <v>0.80512994054150333</v>
      </c>
      <c r="BV87" s="8">
        <f>IF(_xlfn.XLOOKUP($B87,'ELC TECH'!$H:$H,'ELC TECH'!$E:$E)="Non Dispatchable",IFERROR($AX87*_xlfn.XLOOKUP($C87,$BM$1:$BM$3,BV$1:BV$3)/SUMPRODUCT(_xlfn.XLOOKUP($C87,$BM$1:$BM$3,$BN$1:$BY$3),$BN$4:$BY$4),""),
"")</f>
        <v>0.47056580984351387</v>
      </c>
      <c r="BW87" s="8">
        <f>IF(_xlfn.XLOOKUP($B87,'ELC TECH'!$H:$H,'ELC TECH'!$E:$E)="Non Dispatchable",IFERROR($AX87*_xlfn.XLOOKUP($C87,$BM$1:$BM$3,BW$1:BW$3)/SUMPRODUCT(_xlfn.XLOOKUP($C87,$BM$1:$BM$3,$BN$1:$BY$3),$BN$4:$BY$4),""),
"")</f>
        <v>0.47056580984351387</v>
      </c>
      <c r="BX87" s="8">
        <f>IF(_xlfn.XLOOKUP($B87,'ELC TECH'!$H:$H,'ELC TECH'!$E:$E)="Non Dispatchable",IFERROR($AX87*_xlfn.XLOOKUP($C87,$BM$1:$BM$3,BX$1:BX$3)/SUMPRODUCT(_xlfn.XLOOKUP($C87,$BM$1:$BM$3,$BN$1:$BY$3),$BN$4:$BY$4),""),
"")</f>
        <v>4.7056580984351386E-2</v>
      </c>
      <c r="BY87" s="8">
        <f>IF(_xlfn.XLOOKUP($B87,'ELC TECH'!$H:$H,'ELC TECH'!$E:$E)="Non Dispatchable",IFERROR($AX87*_xlfn.XLOOKUP($C87,$BM$1:$BM$3,BY$1:BY$3)/SUMPRODUCT(_xlfn.XLOOKUP($C87,$BM$1:$BM$3,$BN$1:$BY$3),$BN$4:$BY$4),""),
"")</f>
        <v>0.34396061034804393</v>
      </c>
      <c r="BZ87" s="8">
        <f>IF(_xlfn.XLOOKUP($B87,'ELC TECH'!$H:$H,'ELC TECH'!$E:$E)="Non Dispatchable",IFERROR($AX87*_xlfn.XLOOKUP($C87,$BM$1:$BM$3,BZ$1:BZ$3)/SUMPRODUCT(_xlfn.XLOOKUP($C87,$BM$1:$BM$3,$BN$1:$BY$3),$BN$4:$BY$4),""),
"")</f>
        <v>0.78087630776055139</v>
      </c>
      <c r="CA87" s="8">
        <f>IF(_xlfn.XLOOKUP($B87,'ELC TECH'!$H:$H,'ELC TECH'!$E:$E)="Non Dispatchable",IFERROR($AX87*_xlfn.XLOOKUP($C87,$BM$1:$BM$3,CA$1:CA$3)/SUMPRODUCT(_xlfn.XLOOKUP($C87,$BM$1:$BM$3,$BN$1:$BY$3),$BN$4:$BY$4),""),
"")</f>
        <v>0.78087630776055139</v>
      </c>
      <c r="CB87" s="8">
        <f>IF(_xlfn.XLOOKUP($B87,'ELC TECH'!$H:$H,'ELC TECH'!$E:$E)="Non Dispatchable",IFERROR($AX87*_xlfn.XLOOKUP($C87,$BM$1:$BM$3,CB$1:CB$3)/SUMPRODUCT(_xlfn.XLOOKUP($C87,$BM$1:$BM$3,$BN$1:$BY$3),$BN$4:$BY$4),""),
"")</f>
        <v>7.8087630776055142E-2</v>
      </c>
      <c r="CC87" s="8">
        <f>IF(_xlfn.XLOOKUP($B87,'ELC TECH'!$H:$H,'ELC TECH'!$E:$E)="Non Dispatchable",IFERROR($AX87*_xlfn.XLOOKUP($C87,$BM$1:$BM$3,CC$1:CC$3)/SUMPRODUCT(_xlfn.XLOOKUP($C87,$BM$1:$BM$3,$BN$1:$BY$3),$BN$4:$BY$4),""),
"")</f>
        <v>0.62568328055782563</v>
      </c>
      <c r="CD87" s="8">
        <f>IF(_xlfn.XLOOKUP($B87,'ELC TECH'!$H:$H,'ELC TECH'!$E:$E)="Non Dispatchable",IFERROR($AX87*_xlfn.XLOOKUP($C87,$BM$1:$BM$3,CD$1:CD$3)/SUMPRODUCT(_xlfn.XLOOKUP($C87,$BM$1:$BM$3,$BN$1:$BY$3),$BN$4:$BY$4),""),
"")</f>
        <v>0.90865606721227821</v>
      </c>
      <c r="CE87" s="8">
        <f>IF(_xlfn.XLOOKUP($B87,'ELC TECH'!$H:$H,'ELC TECH'!$E:$E)="Non Dispatchable",IFERROR($AX87*_xlfn.XLOOKUP($C87,$BM$1:$BM$3,CE$1:CE$3)/SUMPRODUCT(_xlfn.XLOOKUP($C87,$BM$1:$BM$3,$BN$1:$BY$3),$BN$4:$BY$4),""),
"")</f>
        <v>0.90865606721227821</v>
      </c>
      <c r="CF87" s="8">
        <f>IF(_xlfn.XLOOKUP($B87,'ELC TECH'!$H:$H,'ELC TECH'!$E:$E)="Non Dispatchable",IFERROR($AX87*_xlfn.XLOOKUP($C87,$BM$1:$BM$3,CF$1:CF$3)/SUMPRODUCT(_xlfn.XLOOKUP($C87,$BM$1:$BM$3,$BN$1:$BY$3),$BN$4:$BY$4),""),
"")</f>
        <v>9.0865606721227829E-2</v>
      </c>
      <c r="CG87" s="8">
        <f>IF(_xlfn.XLOOKUP($B87,'ELC TECH'!$H:$H,'ELC TECH'!$E:$E)="Non Dispatchable",IFERROR($AX87*_xlfn.XLOOKUP($C87,$BM$1:$BM$3,CG$1:CG$3)/SUMPRODUCT(_xlfn.XLOOKUP($C87,$BM$1:$BM$3,$BN$1:$BY$3),$BN$4:$BY$4),""),
"")</f>
        <v>0.80512994054150333</v>
      </c>
      <c r="CH87" s="8">
        <f>IF(_xlfn.XLOOKUP($B87,'ELC TECH'!$H:$H,'ELC TECH'!$E:$E)="Non Dispatchable",IFERROR($AX87*_xlfn.XLOOKUP($C87,$BM$1:$BM$3,CH$1:CH$3)/SUMPRODUCT(_xlfn.XLOOKUP($C87,$BM$1:$BM$3,$BN$1:$BY$3),$BN$4:$BY$4),""),
"")</f>
        <v>0.47056580984351387</v>
      </c>
      <c r="CI87" s="8">
        <f>IF(_xlfn.XLOOKUP($B87,'ELC TECH'!$H:$H,'ELC TECH'!$E:$E)="Non Dispatchable",IFERROR($AX87*_xlfn.XLOOKUP($C87,$BM$1:$BM$3,CI$1:CI$3)/SUMPRODUCT(_xlfn.XLOOKUP($C87,$BM$1:$BM$3,$BN$1:$BY$3),$BN$4:$BY$4),""),
"")</f>
        <v>0.47056580984351387</v>
      </c>
      <c r="CJ87" s="8">
        <f>IF(_xlfn.XLOOKUP($B87,'ELC TECH'!$H:$H,'ELC TECH'!$E:$E)="Non Dispatchable",IFERROR($AX87*_xlfn.XLOOKUP($C87,$BM$1:$BM$3,CJ$1:CJ$3)/SUMPRODUCT(_xlfn.XLOOKUP($C87,$BM$1:$BM$3,$BN$1:$BY$3),$BN$4:$BY$4),""),
"")</f>
        <v>4.7056580984351386E-2</v>
      </c>
      <c r="CK87" s="8">
        <f>IF(_xlfn.XLOOKUP($B87,'ELC TECH'!$H:$H,'ELC TECH'!$E:$E)="Non Dispatchable",IFERROR($AX87*_xlfn.XLOOKUP($C87,$BM$1:$BM$3,CK$1:CK$3)/SUMPRODUCT(_xlfn.XLOOKUP($C87,$BM$1:$BM$3,$BN$1:$BY$3),$BN$4:$BY$4),""),
"")</f>
        <v>0.34396061034804393</v>
      </c>
      <c r="CL87" s="8" t="str">
        <f>IF(_xlfn.XLOOKUP($B87,'ELC TECH'!$H:$H,'ELC TECH'!$E:$E)="Storage",CL$4*$BF87,"")</f>
        <v/>
      </c>
      <c r="CM87" s="8" t="str">
        <f>IF(_xlfn.XLOOKUP($B87,'ELC TECH'!$H:$H,'ELC TECH'!$E:$E)="Storage",CM$4*$BF87,"")</f>
        <v/>
      </c>
      <c r="CN87" s="8" t="str">
        <f>IF(_xlfn.XLOOKUP($B87,'ELC TECH'!$H:$H,'ELC TECH'!$E:$E)="Storage",CN$4*$BF87,"")</f>
        <v/>
      </c>
      <c r="CO87" s="8" t="str">
        <f>IF(_xlfn.XLOOKUP($B87,'ELC TECH'!$H:$H,'ELC TECH'!$E:$E)="Storage",CO$4*$BF87,"")</f>
        <v/>
      </c>
      <c r="CP87" s="8" t="str">
        <f>IF(_xlfn.XLOOKUP($B87,'ELC TECH'!$H:$H,'ELC TECH'!$E:$E)="Storage",CP$4*$BF87,"")</f>
        <v/>
      </c>
      <c r="CQ87" s="8" t="str">
        <f>IF(_xlfn.XLOOKUP($B87,'ELC TECH'!$H:$H,'ELC TECH'!$E:$E)="Storage",CQ$4*$BF87,"")</f>
        <v/>
      </c>
      <c r="CR87" s="8" t="str">
        <f>IF(_xlfn.XLOOKUP($B87,'ELC TECH'!$H:$H,'ELC TECH'!$E:$E)="Storage",CR$4*$BF87,"")</f>
        <v/>
      </c>
      <c r="CS87" s="8" t="str">
        <f>IF(_xlfn.XLOOKUP($B87,'ELC TECH'!$H:$H,'ELC TECH'!$E:$E)="Storage",CS$4*$BF87,"")</f>
        <v/>
      </c>
      <c r="CT87" s="8" t="str">
        <f>IF(_xlfn.XLOOKUP($B87,'ELC TECH'!$H:$H,'ELC TECH'!$E:$E)="Storage",CT$4*$BF87,"")</f>
        <v/>
      </c>
      <c r="CU87" s="8" t="str">
        <f>IF(_xlfn.XLOOKUP($B87,'ELC TECH'!$H:$H,'ELC TECH'!$E:$E)="Storage",CU$4*$BF87,"")</f>
        <v/>
      </c>
      <c r="CV87" s="8" t="str">
        <f>IF(_xlfn.XLOOKUP($B87,'ELC TECH'!$H:$H,'ELC TECH'!$E:$E)="Storage",CV$4*$BF87,"")</f>
        <v/>
      </c>
      <c r="CW87" s="8" t="str">
        <f>IF(_xlfn.XLOOKUP($B87,'ELC TECH'!$H:$H,'ELC TECH'!$E:$E)="Storage",CW$4*$BF87,"")</f>
        <v/>
      </c>
      <c r="CX87" s="8" t="str">
        <f>IF(_xlfn.XLOOKUP($B87,'ELC TECH'!$H:$H,'ELC TECH'!$E:$E)="Storage",CX$4*$BF87,"")</f>
        <v/>
      </c>
      <c r="CY87" s="8" t="str">
        <f>IF(_xlfn.XLOOKUP($B87,'ELC TECH'!$H:$H,'ELC TECH'!$E:$E)="Storage",CY$4*$BF87,"")</f>
        <v/>
      </c>
      <c r="CZ87" s="8" t="str">
        <f>IF(_xlfn.XLOOKUP($B87,'ELC TECH'!$H:$H,'ELC TECH'!$E:$E)="Storage",CZ$4*$BF87,"")</f>
        <v/>
      </c>
      <c r="DA87" s="8" t="str">
        <f>IF(_xlfn.XLOOKUP($B87,'ELC TECH'!$H:$H,'ELC TECH'!$E:$E)="Storage",DA$4*$BF87,"")</f>
        <v/>
      </c>
      <c r="DB87" s="8" t="str">
        <f>IF(_xlfn.XLOOKUP($B87,'ELC TECH'!$H:$H,'ELC TECH'!$E:$E)="Storage",DB$4*$BF87,"")</f>
        <v/>
      </c>
      <c r="DC87" s="8" t="str">
        <f>IF(_xlfn.XLOOKUP($B87,'ELC TECH'!$H:$H,'ELC TECH'!$E:$E)="Storage",DC$4*$BF87,"")</f>
        <v/>
      </c>
      <c r="DD87" s="8" t="str">
        <f>IF(_xlfn.XLOOKUP($B87,'ELC TECH'!$H:$H,'ELC TECH'!$E:$E)="Storage",DD$4*$BF87,"")</f>
        <v/>
      </c>
      <c r="DE87" s="8" t="str">
        <f>IF(_xlfn.XLOOKUP($B87,'ELC TECH'!$H:$H,'ELC TECH'!$E:$E)="Storage",DE$4*$BF87,"")</f>
        <v/>
      </c>
      <c r="DF87" s="8" t="str">
        <f>IF(_xlfn.XLOOKUP($B87,'ELC TECH'!$H:$H,'ELC TECH'!$E:$E)="Storage",DF$4*$BF87,"")</f>
        <v/>
      </c>
      <c r="DG87" s="8" t="str">
        <f>IF(_xlfn.XLOOKUP($B87,'ELC TECH'!$H:$H,'ELC TECH'!$E:$E)="Storage",DG$4*$BF87,"")</f>
        <v/>
      </c>
      <c r="DH87" s="8" t="str">
        <f>IF(_xlfn.XLOOKUP($B87,'ELC TECH'!$H:$H,'ELC TECH'!$E:$E)="Storage",DH$4*$BF87,"")</f>
        <v/>
      </c>
      <c r="DI87" s="8" t="str">
        <f>IF(_xlfn.XLOOKUP($B87,'ELC TECH'!$H:$H,'ELC TECH'!$E:$E)="Storage",DI$4*$BF87,"")</f>
        <v/>
      </c>
    </row>
    <row r="88" spans="2:113" x14ac:dyDescent="0.25">
      <c r="B88" t="str">
        <f>IF('ELC TECH'!I81=0,"*",'ELC TECH'!H81)</f>
        <v>ELCWNDGRDWONC520</v>
      </c>
      <c r="C88" t="str">
        <f>IF(_xlfn.XLOOKUP(_xlfn.XLOOKUP(B88,'ELC TECH'!$H:$H,'ELC TECH'!$G:$G),List!C:C,List!B:B)="STG",D88,"ELC"&amp;_xlfn.XLOOKUP(_xlfn.XLOOKUP(B88,'ELC TECH'!H:H,'ELC TECH'!G:G),List!C:C,List!B:B))</f>
        <v>ELCWND</v>
      </c>
      <c r="D88" t="s">
        <v>544</v>
      </c>
      <c r="E88">
        <f>_xlfn.XLOOKUP(B88,'ELC TECH'!H:H,'ELC TECH'!D:D)</f>
        <v>2020</v>
      </c>
      <c r="F88">
        <f>_xlfn.XLOOKUP(B88,'ELC TECH'!H:H,'ELC TECH'!K:K)</f>
        <v>30</v>
      </c>
      <c r="G88">
        <f t="shared" si="6"/>
        <v>31.535999999999998</v>
      </c>
      <c r="H88">
        <f>IF(_xlfn.XLOOKUP(B88,'ELC TECH'!$H:$H,'ELC TECH'!$E:$E)="Storage",0.3,IF(_xlfn.XLOOKUP(B88,'ELC TECH'!$H:$H,'ELC TECH'!$E:$E)="Baseload",0.9,IF(_xlfn.XLOOKUP(B88,'ELC TECH'!$H:$H,'ELC TECH'!$E:$E)="Non Dispatchable",0.05,IF(_xlfn.XLOOKUP(B88,'ELC TECH'!$H:$H,'ELC TECH'!$E:$E)="Dispatchable",0.9,1))))</f>
        <v>0.05</v>
      </c>
      <c r="I88" s="13">
        <f>IF(_xlfn.XLOOKUP(B88,'ELC TECH'!H:H,'ELC TECH'!J:J)="","",_xlfn.XLOOKUP(B88,'ELC TECH'!H:H,'ELC TECH'!J:J))</f>
        <v>0</v>
      </c>
      <c r="J88" s="12">
        <f>IF(_xlfn.XLOOKUP($B88,'ELC TECH'!$H:$H,'ELC TECH'!$E:$E)="Storage","",IF(_xlfn.XLOOKUP($B88,'ELC TECH'!$H:$H,'ELC TECH'!AK:AK)="",1,_xlfn.XLOOKUP($B88,'ELC TECH'!$H:$H,'ELC TECH'!AK:AK)))</f>
        <v>1</v>
      </c>
      <c r="K88" s="12">
        <f>IF(_xlfn.XLOOKUP($B88,'ELC TECH'!$H:$H,'ELC TECH'!$E:$E)="Storage","",IF(_xlfn.XLOOKUP($B88,'ELC TECH'!$H:$H,'ELC TECH'!AL:AL)="",1,_xlfn.XLOOKUP($B88,'ELC TECH'!$H:$H,'ELC TECH'!AL:AL)))</f>
        <v>1</v>
      </c>
      <c r="L88" s="12">
        <f>IF(_xlfn.XLOOKUP($B88,'ELC TECH'!$H:$H,'ELC TECH'!$E:$E)="Storage","",IF(_xlfn.XLOOKUP($B88,'ELC TECH'!$H:$H,'ELC TECH'!AM:AM)="",1,_xlfn.XLOOKUP($B88,'ELC TECH'!$H:$H,'ELC TECH'!AM:AM)))</f>
        <v>1</v>
      </c>
      <c r="M88" s="12">
        <f>IF(_xlfn.XLOOKUP($B88,'ELC TECH'!$H:$H,'ELC TECH'!$E:$E)="Storage","",IF(_xlfn.XLOOKUP($B88,'ELC TECH'!$H:$H,'ELC TECH'!AN:AN)="",1,_xlfn.XLOOKUP($B88,'ELC TECH'!$H:$H,'ELC TECH'!AN:AN)))</f>
        <v>1</v>
      </c>
      <c r="N88" s="12">
        <f>IF(_xlfn.XLOOKUP($B88,'ELC TECH'!$H:$H,'ELC TECH'!$E:$E)="Storage","",IF(_xlfn.XLOOKUP($B88,'ELC TECH'!$H:$H,'ELC TECH'!AO:AO)="",1,_xlfn.XLOOKUP($B88,'ELC TECH'!$H:$H,'ELC TECH'!AO:AO)))</f>
        <v>1</v>
      </c>
      <c r="O88" s="12">
        <f>IF(_xlfn.XLOOKUP($B88,'ELC TECH'!$H:$H,'ELC TECH'!$E:$E)="Storage","",IF(_xlfn.XLOOKUP($B88,'ELC TECH'!$H:$H,'ELC TECH'!AP:AP)="",1,_xlfn.XLOOKUP($B88,'ELC TECH'!$H:$H,'ELC TECH'!AP:AP)))</f>
        <v>1</v>
      </c>
      <c r="P88" s="12">
        <f>IF(_xlfn.XLOOKUP($B88,'ELC TECH'!$H:$H,'ELC TECH'!$E:$E)="Storage","",IF(_xlfn.XLOOKUP($B88,'ELC TECH'!$H:$H,'ELC TECH'!AQ:AQ)="",1,_xlfn.XLOOKUP($B88,'ELC TECH'!$H:$H,'ELC TECH'!AQ:AQ)))</f>
        <v>1</v>
      </c>
      <c r="Q88" s="12">
        <f>IF(_xlfn.XLOOKUP($B88,'ELC TECH'!$H:$H,'ELC TECH'!$E:$E)="Storage","",IF(_xlfn.XLOOKUP($B88,'ELC TECH'!$H:$H,'ELC TECH'!AR:AR)="",1,_xlfn.XLOOKUP($B88,'ELC TECH'!$H:$H,'ELC TECH'!AR:AR)))</f>
        <v>1</v>
      </c>
      <c r="R88" s="12" t="str">
        <f>IF(_xlfn.XLOOKUP($B88,'ELC TECH'!$H:$H,'ELC TECH'!$E:$E)&lt;&gt;"Storage","",IF(_xlfn.XLOOKUP($B88,'ELC TECH'!$H:$H,'ELC TECH'!AK:AK)="",0.8,_xlfn.XLOOKUP($B88,'ELC TECH'!$H:$H,'ELC TECH'!AK:AK)))</f>
        <v/>
      </c>
      <c r="S88" s="12" t="str">
        <f>IF(_xlfn.XLOOKUP($B88,'ELC TECH'!$H:$H,'ELC TECH'!$E:$E)&lt;&gt;"Storage","",IF(_xlfn.XLOOKUP($B88,'ELC TECH'!$H:$H,'ELC TECH'!AL:AL)="",0.8,_xlfn.XLOOKUP($B88,'ELC TECH'!$H:$H,'ELC TECH'!AL:AL)))</f>
        <v/>
      </c>
      <c r="T88" s="12" t="str">
        <f>IF(_xlfn.XLOOKUP($B88,'ELC TECH'!$H:$H,'ELC TECH'!$E:$E)&lt;&gt;"Storage","",IF(_xlfn.XLOOKUP($B88,'ELC TECH'!$H:$H,'ELC TECH'!AM:AM)="",0.8,_xlfn.XLOOKUP($B88,'ELC TECH'!$H:$H,'ELC TECH'!AM:AM)))</f>
        <v/>
      </c>
      <c r="U88" s="12" t="str">
        <f>IF(_xlfn.XLOOKUP($B88,'ELC TECH'!$H:$H,'ELC TECH'!$E:$E)&lt;&gt;"Storage","",IF(_xlfn.XLOOKUP($B88,'ELC TECH'!$H:$H,'ELC TECH'!AN:AN)="",0.8,_xlfn.XLOOKUP($B88,'ELC TECH'!$H:$H,'ELC TECH'!AN:AN)))</f>
        <v/>
      </c>
      <c r="V88" s="12" t="str">
        <f>IF(_xlfn.XLOOKUP($B88,'ELC TECH'!$H:$H,'ELC TECH'!$E:$E)&lt;&gt;"Storage","",IF(_xlfn.XLOOKUP($B88,'ELC TECH'!$H:$H,'ELC TECH'!AO:AO)="",0.8,_xlfn.XLOOKUP($B88,'ELC TECH'!$H:$H,'ELC TECH'!AO:AO)))</f>
        <v/>
      </c>
      <c r="W88" s="12" t="str">
        <f>IF(_xlfn.XLOOKUP($B88,'ELC TECH'!$H:$H,'ELC TECH'!$E:$E)&lt;&gt;"Storage","",IF(_xlfn.XLOOKUP($B88,'ELC TECH'!$H:$H,'ELC TECH'!AP:AP)="",0.8,_xlfn.XLOOKUP($B88,'ELC TECH'!$H:$H,'ELC TECH'!AP:AP)))</f>
        <v/>
      </c>
      <c r="X88" s="12" t="str">
        <f>IF(_xlfn.XLOOKUP($B88,'ELC TECH'!$H:$H,'ELC TECH'!$E:$E)&lt;&gt;"Storage","",IF(_xlfn.XLOOKUP($B88,'ELC TECH'!$H:$H,'ELC TECH'!AQ:AQ)="",0.8,_xlfn.XLOOKUP($B88,'ELC TECH'!$H:$H,'ELC TECH'!AQ:AQ)))</f>
        <v/>
      </c>
      <c r="Y88" s="12" t="str">
        <f>IF(_xlfn.XLOOKUP($B88,'ELC TECH'!$H:$H,'ELC TECH'!$E:$E)&lt;&gt;"Storage","",IF(_xlfn.XLOOKUP($B88,'ELC TECH'!$H:$H,'ELC TECH'!AR:AR)="",0.8,_xlfn.XLOOKUP($B88,'ELC TECH'!$H:$H,'ELC TECH'!AR:AR)))</f>
        <v/>
      </c>
      <c r="Z88" s="15">
        <f>_xlfn.XLOOKUP($B88,'ELC TECH'!$H:$H,'ELC TECH'!M:M)</f>
        <v>1451.7715269242919</v>
      </c>
      <c r="AA88" s="15">
        <f>_xlfn.XLOOKUP($B88,'ELC TECH'!$H:$H,'ELC TECH'!N:N)</f>
        <v>1350.939266311296</v>
      </c>
      <c r="AB88" s="15">
        <f>_xlfn.XLOOKUP($B88,'ELC TECH'!$H:$H,'ELC TECH'!O:O)</f>
        <v>1224.898940545065</v>
      </c>
      <c r="AC88" s="15">
        <f>_xlfn.XLOOKUP($B88,'ELC TECH'!$H:$H,'ELC TECH'!P:P)</f>
        <v>1164.5945372747431</v>
      </c>
      <c r="AD88" s="15">
        <f>_xlfn.XLOOKUP($B88,'ELC TECH'!$H:$H,'ELC TECH'!Q:Q)</f>
        <v>1104.290134004433</v>
      </c>
      <c r="AE88" s="15">
        <f>_xlfn.XLOOKUP($B88,'ELC TECH'!$H:$H,'ELC TECH'!R:R)</f>
        <v>1043.985730734111</v>
      </c>
      <c r="AF88" s="15">
        <f>_xlfn.XLOOKUP($B88,'ELC TECH'!$H:$H,'ELC TECH'!S:S)</f>
        <v>983.68132746379092</v>
      </c>
      <c r="AG88" s="15">
        <f>_xlfn.XLOOKUP($B88,'ELC TECH'!$H:$H,'ELC TECH'!T:T)</f>
        <v>983.68132746379092</v>
      </c>
      <c r="AH88" s="15">
        <f>_xlfn.XLOOKUP($B88,'ELC TECH'!$H:$H,'ELC TECH'!U:U)</f>
        <v>34.26221553423445</v>
      </c>
      <c r="AI88" s="15">
        <f>_xlfn.XLOOKUP($B88,'ELC TECH'!$H:$H,'ELC TECH'!V:V)</f>
        <v>32.603758456669702</v>
      </c>
      <c r="AJ88" s="15">
        <f>_xlfn.XLOOKUP($B88,'ELC TECH'!$H:$H,'ELC TECH'!W:W)</f>
        <v>30.53068710971386</v>
      </c>
      <c r="AK88" s="15">
        <f>_xlfn.XLOOKUP($B88,'ELC TECH'!$H:$H,'ELC TECH'!X:X)</f>
        <v>29.484728384658851</v>
      </c>
      <c r="AL88" s="15">
        <f>_xlfn.XLOOKUP($B88,'ELC TECH'!$H:$H,'ELC TECH'!Y:Y)</f>
        <v>28.438769659603839</v>
      </c>
      <c r="AM88" s="15">
        <f>_xlfn.XLOOKUP($B88,'ELC TECH'!$H:$H,'ELC TECH'!Z:Z)</f>
        <v>27.39281093454883</v>
      </c>
      <c r="AN88" s="15">
        <f>_xlfn.XLOOKUP($B88,'ELC TECH'!$H:$H,'ELC TECH'!AA:AA)</f>
        <v>26.346852209493811</v>
      </c>
      <c r="AO88" s="15">
        <f>_xlfn.XLOOKUP($B88,'ELC TECH'!$H:$H,'ELC TECH'!AB:AB)</f>
        <v>26.346852209493811</v>
      </c>
      <c r="AP88" s="15">
        <f>_xlfn.XLOOKUP($B88,'ELC TECH'!$H:$H,'ELC TECH'!AC:AC)</f>
        <v>0</v>
      </c>
      <c r="AQ88" s="15">
        <f>_xlfn.XLOOKUP($B88,'ELC TECH'!$H:$H,'ELC TECH'!AD:AD)</f>
        <v>0</v>
      </c>
      <c r="AR88" s="15">
        <f>_xlfn.XLOOKUP($B88,'ELC TECH'!$H:$H,'ELC TECH'!AE:AE)</f>
        <v>0</v>
      </c>
      <c r="AS88" s="15">
        <f>_xlfn.XLOOKUP($B88,'ELC TECH'!$H:$H,'ELC TECH'!AF:AF)</f>
        <v>0</v>
      </c>
      <c r="AT88" s="15">
        <f>_xlfn.XLOOKUP($B88,'ELC TECH'!$H:$H,'ELC TECH'!AG:AG)</f>
        <v>0</v>
      </c>
      <c r="AU88" s="15">
        <f>_xlfn.XLOOKUP($B88,'ELC TECH'!$H:$H,'ELC TECH'!AH:AH)</f>
        <v>0</v>
      </c>
      <c r="AV88" s="15">
        <f>_xlfn.XLOOKUP($B88,'ELC TECH'!$H:$H,'ELC TECH'!AI:AI)</f>
        <v>0</v>
      </c>
      <c r="AW88" s="15">
        <f>_xlfn.XLOOKUP($B88,'ELC TECH'!$H:$H,'ELC TECH'!AJ:AJ)</f>
        <v>0</v>
      </c>
      <c r="AX88" s="12">
        <f>IF(_xlfn.XLOOKUP($B88,'ELC TECH'!$H:$H,'ELC TECH'!$E:$E)="Storage","",_xlfn.XLOOKUP($B88,'ELC TECH'!$H:$H,'ELC TECH'!AS:AS))</f>
        <v>0.43010999999999999</v>
      </c>
      <c r="AY88" s="12">
        <f>IF(_xlfn.XLOOKUP($B88,'ELC TECH'!$H:$H,'ELC TECH'!$E:$E)="Storage","",_xlfn.XLOOKUP($B88,'ELC TECH'!$H:$H,'ELC TECH'!AT:AT))</f>
        <v>0.443326</v>
      </c>
      <c r="AZ88" s="12">
        <f>IF(_xlfn.XLOOKUP($B88,'ELC TECH'!$H:$H,'ELC TECH'!$E:$E)="Storage","",_xlfn.XLOOKUP($B88,'ELC TECH'!$H:$H,'ELC TECH'!AU:AU))</f>
        <v>0.45984599999999998</v>
      </c>
      <c r="BA88" s="12">
        <f>IF(_xlfn.XLOOKUP($B88,'ELC TECH'!$H:$H,'ELC TECH'!$E:$E)="Storage","",_xlfn.XLOOKUP($B88,'ELC TECH'!$H:$H,'ELC TECH'!AV:AV))</f>
        <v>0.46170450000000002</v>
      </c>
      <c r="BB88" s="12">
        <f>IF(_xlfn.XLOOKUP($B88,'ELC TECH'!$H:$H,'ELC TECH'!$E:$E)="Storage","",_xlfn.XLOOKUP($B88,'ELC TECH'!$H:$H,'ELC TECH'!AW:AW))</f>
        <v>0.463563</v>
      </c>
      <c r="BC88" s="12">
        <f>IF(_xlfn.XLOOKUP($B88,'ELC TECH'!$H:$H,'ELC TECH'!$E:$E)="Storage","",_xlfn.XLOOKUP($B88,'ELC TECH'!$H:$H,'ELC TECH'!AX:AX))</f>
        <v>0.46542149999999999</v>
      </c>
      <c r="BD88" s="12">
        <f>IF(_xlfn.XLOOKUP($B88,'ELC TECH'!$H:$H,'ELC TECH'!$E:$E)="Storage","",_xlfn.XLOOKUP($B88,'ELC TECH'!$H:$H,'ELC TECH'!AY:AY))</f>
        <v>0.46727999999999997</v>
      </c>
      <c r="BE88" s="12">
        <f>IF(_xlfn.XLOOKUP($B88,'ELC TECH'!$H:$H,'ELC TECH'!$E:$E)="Storage","",_xlfn.XLOOKUP($B88,'ELC TECH'!$H:$H,'ELC TECH'!AZ:AZ))</f>
        <v>0.46727999999999997</v>
      </c>
      <c r="BF88" s="12" t="str">
        <f>IF(_xlfn.XLOOKUP($B88,'ELC TECH'!$H:$H,'ELC TECH'!$E:$E)="Storage",_xlfn.XLOOKUP($B88,'ELC TECH'!$H:$H,'ELC TECH'!AS:AS),"")</f>
        <v/>
      </c>
      <c r="BG88" s="12" t="str">
        <f>IF(_xlfn.XLOOKUP($B88,'ELC TECH'!$H:$H,'ELC TECH'!$E:$E)="Storage",_xlfn.XLOOKUP($B88,'ELC TECH'!$H:$H,'ELC TECH'!AT:AT),"")</f>
        <v/>
      </c>
      <c r="BH88" s="12" t="str">
        <f>IF(_xlfn.XLOOKUP($B88,'ELC TECH'!$H:$H,'ELC TECH'!$E:$E)="Storage",_xlfn.XLOOKUP($B88,'ELC TECH'!$H:$H,'ELC TECH'!AU:AU),"")</f>
        <v/>
      </c>
      <c r="BI88" s="12" t="str">
        <f>IF(_xlfn.XLOOKUP($B88,'ELC TECH'!$H:$H,'ELC TECH'!$E:$E)="Storage",_xlfn.XLOOKUP($B88,'ELC TECH'!$H:$H,'ELC TECH'!AV:AV),"")</f>
        <v/>
      </c>
      <c r="BJ88" s="12" t="str">
        <f>IF(_xlfn.XLOOKUP($B88,'ELC TECH'!$H:$H,'ELC TECH'!$E:$E)="Storage",_xlfn.XLOOKUP($B88,'ELC TECH'!$H:$H,'ELC TECH'!AW:AW),"")</f>
        <v/>
      </c>
      <c r="BK88" s="12" t="str">
        <f>IF(_xlfn.XLOOKUP($B88,'ELC TECH'!$H:$H,'ELC TECH'!$E:$E)="Storage",_xlfn.XLOOKUP($B88,'ELC TECH'!$H:$H,'ELC TECH'!AX:AX),"")</f>
        <v/>
      </c>
      <c r="BL88" s="12" t="str">
        <f>IF(_xlfn.XLOOKUP($B88,'ELC TECH'!$H:$H,'ELC TECH'!$E:$E)="Storage",_xlfn.XLOOKUP($B88,'ELC TECH'!$H:$H,'ELC TECH'!AY:AY),"")</f>
        <v/>
      </c>
      <c r="BM88" s="12" t="str">
        <f>IF(_xlfn.XLOOKUP($B88,'ELC TECH'!$H:$H,'ELC TECH'!$E:$E)="Storage",_xlfn.XLOOKUP($B88,'ELC TECH'!$H:$H,'ELC TECH'!AZ:AZ),"")</f>
        <v/>
      </c>
      <c r="BN88" s="8">
        <f>IF(_xlfn.XLOOKUP($B88,'ELC TECH'!$H:$H,'ELC TECH'!$E:$E)="Non Dispatchable",IFERROR($AX88*_xlfn.XLOOKUP($C88,$BM$1:$BM$3,BN$1:BN$3)/SUMPRODUCT(_xlfn.XLOOKUP($C88,$BM$1:$BM$3,$BN$1:$BY$3),$BN$4:$BY$4),""),
"")</f>
        <v>0.75527380586676296</v>
      </c>
      <c r="BO88" s="8">
        <f>IF(_xlfn.XLOOKUP($B88,'ELC TECH'!$H:$H,'ELC TECH'!$E:$E)="Non Dispatchable",IFERROR($AX88*_xlfn.XLOOKUP($C88,$BM$1:$BM$3,BO$1:BO$3)/SUMPRODUCT(_xlfn.XLOOKUP($C88,$BM$1:$BM$3,$BN$1:$BY$3),$BN$4:$BY$4),""),
"")</f>
        <v>0.75527380586676296</v>
      </c>
      <c r="BP88" s="8">
        <f>IF(_xlfn.XLOOKUP($B88,'ELC TECH'!$H:$H,'ELC TECH'!$E:$E)="Non Dispatchable",IFERROR($AX88*_xlfn.XLOOKUP($C88,$BM$1:$BM$3,BP$1:BP$3)/SUMPRODUCT(_xlfn.XLOOKUP($C88,$BM$1:$BM$3,$BN$1:$BY$3),$BN$4:$BY$4),""),
"")</f>
        <v>7.5527380586676296E-2</v>
      </c>
      <c r="BQ88" s="8">
        <f>IF(_xlfn.XLOOKUP($B88,'ELC TECH'!$H:$H,'ELC TECH'!$E:$E)="Non Dispatchable",IFERROR($AX88*_xlfn.XLOOKUP($C88,$BM$1:$BM$3,BQ$1:BQ$3)/SUMPRODUCT(_xlfn.XLOOKUP($C88,$BM$1:$BM$3,$BN$1:$BY$3),$BN$4:$BY$4),""),
"")</f>
        <v>0.60516907463789704</v>
      </c>
      <c r="BR88" s="8">
        <f>IF(_xlfn.XLOOKUP($B88,'ELC TECH'!$H:$H,'ELC TECH'!$E:$E)="Non Dispatchable",IFERROR($AX88*_xlfn.XLOOKUP($C88,$BM$1:$BM$3,BR$1:BR$3)/SUMPRODUCT(_xlfn.XLOOKUP($C88,$BM$1:$BM$3,$BN$1:$BY$3),$BN$4:$BY$4),""),
"")</f>
        <v>0.87886406500859693</v>
      </c>
      <c r="BS88" s="8">
        <f>IF(_xlfn.XLOOKUP($B88,'ELC TECH'!$H:$H,'ELC TECH'!$E:$E)="Non Dispatchable",IFERROR($AX88*_xlfn.XLOOKUP($C88,$BM$1:$BM$3,BS$1:BS$3)/SUMPRODUCT(_xlfn.XLOOKUP($C88,$BM$1:$BM$3,$BN$1:$BY$3),$BN$4:$BY$4),""),
"")</f>
        <v>0.87886406500859693</v>
      </c>
      <c r="BT88" s="8">
        <f>IF(_xlfn.XLOOKUP($B88,'ELC TECH'!$H:$H,'ELC TECH'!$E:$E)="Non Dispatchable",IFERROR($AX88*_xlfn.XLOOKUP($C88,$BM$1:$BM$3,BT$1:BT$3)/SUMPRODUCT(_xlfn.XLOOKUP($C88,$BM$1:$BM$3,$BN$1:$BY$3),$BN$4:$BY$4),""),
"")</f>
        <v>8.7886406500859701E-2</v>
      </c>
      <c r="BU88" s="8">
        <f>IF(_xlfn.XLOOKUP($B88,'ELC TECH'!$H:$H,'ELC TECH'!$E:$E)="Non Dispatchable",IFERROR($AX88*_xlfn.XLOOKUP($C88,$BM$1:$BM$3,BU$1:BU$3)/SUMPRODUCT(_xlfn.XLOOKUP($C88,$BM$1:$BM$3,$BN$1:$BY$3),$BN$4:$BY$4),""),
"")</f>
        <v>0.77873223757292942</v>
      </c>
      <c r="BV88" s="8">
        <f>IF(_xlfn.XLOOKUP($B88,'ELC TECH'!$H:$H,'ELC TECH'!$E:$E)="Non Dispatchable",IFERROR($AX88*_xlfn.XLOOKUP($C88,$BM$1:$BM$3,BV$1:BV$3)/SUMPRODUCT(_xlfn.XLOOKUP($C88,$BM$1:$BM$3,$BN$1:$BY$3),$BN$4:$BY$4),""),
"")</f>
        <v>0.45513742263552981</v>
      </c>
      <c r="BW88" s="8">
        <f>IF(_xlfn.XLOOKUP($B88,'ELC TECH'!$H:$H,'ELC TECH'!$E:$E)="Non Dispatchable",IFERROR($AX88*_xlfn.XLOOKUP($C88,$BM$1:$BM$3,BW$1:BW$3)/SUMPRODUCT(_xlfn.XLOOKUP($C88,$BM$1:$BM$3,$BN$1:$BY$3),$BN$4:$BY$4),""),
"")</f>
        <v>0.45513742263552981</v>
      </c>
      <c r="BX88" s="8">
        <f>IF(_xlfn.XLOOKUP($B88,'ELC TECH'!$H:$H,'ELC TECH'!$E:$E)="Non Dispatchable",IFERROR($AX88*_xlfn.XLOOKUP($C88,$BM$1:$BM$3,BX$1:BX$3)/SUMPRODUCT(_xlfn.XLOOKUP($C88,$BM$1:$BM$3,$BN$1:$BY$3),$BN$4:$BY$4),""),
"")</f>
        <v>4.5513742263552981E-2</v>
      </c>
      <c r="BY88" s="8">
        <f>IF(_xlfn.XLOOKUP($B88,'ELC TECH'!$H:$H,'ELC TECH'!$E:$E)="Non Dispatchable",IFERROR($AX88*_xlfn.XLOOKUP($C88,$BM$1:$BM$3,BY$1:BY$3)/SUMPRODUCT(_xlfn.XLOOKUP($C88,$BM$1:$BM$3,$BN$1:$BY$3),$BN$4:$BY$4),""),
"")</f>
        <v>0.33268321328745232</v>
      </c>
      <c r="BZ88" s="8">
        <f>IF(_xlfn.XLOOKUP($B88,'ELC TECH'!$H:$H,'ELC TECH'!$E:$E)="Non Dispatchable",IFERROR($AX88*_xlfn.XLOOKUP($C88,$BM$1:$BM$3,BZ$1:BZ$3)/SUMPRODUCT(_xlfn.XLOOKUP($C88,$BM$1:$BM$3,$BN$1:$BY$3),$BN$4:$BY$4),""),
"")</f>
        <v>0.75527380586676296</v>
      </c>
      <c r="CA88" s="8">
        <f>IF(_xlfn.XLOOKUP($B88,'ELC TECH'!$H:$H,'ELC TECH'!$E:$E)="Non Dispatchable",IFERROR($AX88*_xlfn.XLOOKUP($C88,$BM$1:$BM$3,CA$1:CA$3)/SUMPRODUCT(_xlfn.XLOOKUP($C88,$BM$1:$BM$3,$BN$1:$BY$3),$BN$4:$BY$4),""),
"")</f>
        <v>0.75527380586676296</v>
      </c>
      <c r="CB88" s="8">
        <f>IF(_xlfn.XLOOKUP($B88,'ELC TECH'!$H:$H,'ELC TECH'!$E:$E)="Non Dispatchable",IFERROR($AX88*_xlfn.XLOOKUP($C88,$BM$1:$BM$3,CB$1:CB$3)/SUMPRODUCT(_xlfn.XLOOKUP($C88,$BM$1:$BM$3,$BN$1:$BY$3),$BN$4:$BY$4),""),
"")</f>
        <v>7.5527380586676296E-2</v>
      </c>
      <c r="CC88" s="8">
        <f>IF(_xlfn.XLOOKUP($B88,'ELC TECH'!$H:$H,'ELC TECH'!$E:$E)="Non Dispatchable",IFERROR($AX88*_xlfn.XLOOKUP($C88,$BM$1:$BM$3,CC$1:CC$3)/SUMPRODUCT(_xlfn.XLOOKUP($C88,$BM$1:$BM$3,$BN$1:$BY$3),$BN$4:$BY$4),""),
"")</f>
        <v>0.60516907463789704</v>
      </c>
      <c r="CD88" s="8">
        <f>IF(_xlfn.XLOOKUP($B88,'ELC TECH'!$H:$H,'ELC TECH'!$E:$E)="Non Dispatchable",IFERROR($AX88*_xlfn.XLOOKUP($C88,$BM$1:$BM$3,CD$1:CD$3)/SUMPRODUCT(_xlfn.XLOOKUP($C88,$BM$1:$BM$3,$BN$1:$BY$3),$BN$4:$BY$4),""),
"")</f>
        <v>0.87886406500859693</v>
      </c>
      <c r="CE88" s="8">
        <f>IF(_xlfn.XLOOKUP($B88,'ELC TECH'!$H:$H,'ELC TECH'!$E:$E)="Non Dispatchable",IFERROR($AX88*_xlfn.XLOOKUP($C88,$BM$1:$BM$3,CE$1:CE$3)/SUMPRODUCT(_xlfn.XLOOKUP($C88,$BM$1:$BM$3,$BN$1:$BY$3),$BN$4:$BY$4),""),
"")</f>
        <v>0.87886406500859693</v>
      </c>
      <c r="CF88" s="8">
        <f>IF(_xlfn.XLOOKUP($B88,'ELC TECH'!$H:$H,'ELC TECH'!$E:$E)="Non Dispatchable",IFERROR($AX88*_xlfn.XLOOKUP($C88,$BM$1:$BM$3,CF$1:CF$3)/SUMPRODUCT(_xlfn.XLOOKUP($C88,$BM$1:$BM$3,$BN$1:$BY$3),$BN$4:$BY$4),""),
"")</f>
        <v>8.7886406500859701E-2</v>
      </c>
      <c r="CG88" s="8">
        <f>IF(_xlfn.XLOOKUP($B88,'ELC TECH'!$H:$H,'ELC TECH'!$E:$E)="Non Dispatchable",IFERROR($AX88*_xlfn.XLOOKUP($C88,$BM$1:$BM$3,CG$1:CG$3)/SUMPRODUCT(_xlfn.XLOOKUP($C88,$BM$1:$BM$3,$BN$1:$BY$3),$BN$4:$BY$4),""),
"")</f>
        <v>0.77873223757292942</v>
      </c>
      <c r="CH88" s="8">
        <f>IF(_xlfn.XLOOKUP($B88,'ELC TECH'!$H:$H,'ELC TECH'!$E:$E)="Non Dispatchable",IFERROR($AX88*_xlfn.XLOOKUP($C88,$BM$1:$BM$3,CH$1:CH$3)/SUMPRODUCT(_xlfn.XLOOKUP($C88,$BM$1:$BM$3,$BN$1:$BY$3),$BN$4:$BY$4),""),
"")</f>
        <v>0.45513742263552981</v>
      </c>
      <c r="CI88" s="8">
        <f>IF(_xlfn.XLOOKUP($B88,'ELC TECH'!$H:$H,'ELC TECH'!$E:$E)="Non Dispatchable",IFERROR($AX88*_xlfn.XLOOKUP($C88,$BM$1:$BM$3,CI$1:CI$3)/SUMPRODUCT(_xlfn.XLOOKUP($C88,$BM$1:$BM$3,$BN$1:$BY$3),$BN$4:$BY$4),""),
"")</f>
        <v>0.45513742263552981</v>
      </c>
      <c r="CJ88" s="8">
        <f>IF(_xlfn.XLOOKUP($B88,'ELC TECH'!$H:$H,'ELC TECH'!$E:$E)="Non Dispatchable",IFERROR($AX88*_xlfn.XLOOKUP($C88,$BM$1:$BM$3,CJ$1:CJ$3)/SUMPRODUCT(_xlfn.XLOOKUP($C88,$BM$1:$BM$3,$BN$1:$BY$3),$BN$4:$BY$4),""),
"")</f>
        <v>4.5513742263552981E-2</v>
      </c>
      <c r="CK88" s="8">
        <f>IF(_xlfn.XLOOKUP($B88,'ELC TECH'!$H:$H,'ELC TECH'!$E:$E)="Non Dispatchable",IFERROR($AX88*_xlfn.XLOOKUP($C88,$BM$1:$BM$3,CK$1:CK$3)/SUMPRODUCT(_xlfn.XLOOKUP($C88,$BM$1:$BM$3,$BN$1:$BY$3),$BN$4:$BY$4),""),
"")</f>
        <v>0.33268321328745232</v>
      </c>
      <c r="CL88" s="8" t="str">
        <f>IF(_xlfn.XLOOKUP($B88,'ELC TECH'!$H:$H,'ELC TECH'!$E:$E)="Storage",CL$4*$BF88,"")</f>
        <v/>
      </c>
      <c r="CM88" s="8" t="str">
        <f>IF(_xlfn.XLOOKUP($B88,'ELC TECH'!$H:$H,'ELC TECH'!$E:$E)="Storage",CM$4*$BF88,"")</f>
        <v/>
      </c>
      <c r="CN88" s="8" t="str">
        <f>IF(_xlfn.XLOOKUP($B88,'ELC TECH'!$H:$H,'ELC TECH'!$E:$E)="Storage",CN$4*$BF88,"")</f>
        <v/>
      </c>
      <c r="CO88" s="8" t="str">
        <f>IF(_xlfn.XLOOKUP($B88,'ELC TECH'!$H:$H,'ELC TECH'!$E:$E)="Storage",CO$4*$BF88,"")</f>
        <v/>
      </c>
      <c r="CP88" s="8" t="str">
        <f>IF(_xlfn.XLOOKUP($B88,'ELC TECH'!$H:$H,'ELC TECH'!$E:$E)="Storage",CP$4*$BF88,"")</f>
        <v/>
      </c>
      <c r="CQ88" s="8" t="str">
        <f>IF(_xlfn.XLOOKUP($B88,'ELC TECH'!$H:$H,'ELC TECH'!$E:$E)="Storage",CQ$4*$BF88,"")</f>
        <v/>
      </c>
      <c r="CR88" s="8" t="str">
        <f>IF(_xlfn.XLOOKUP($B88,'ELC TECH'!$H:$H,'ELC TECH'!$E:$E)="Storage",CR$4*$BF88,"")</f>
        <v/>
      </c>
      <c r="CS88" s="8" t="str">
        <f>IF(_xlfn.XLOOKUP($B88,'ELC TECH'!$H:$H,'ELC TECH'!$E:$E)="Storage",CS$4*$BF88,"")</f>
        <v/>
      </c>
      <c r="CT88" s="8" t="str">
        <f>IF(_xlfn.XLOOKUP($B88,'ELC TECH'!$H:$H,'ELC TECH'!$E:$E)="Storage",CT$4*$BF88,"")</f>
        <v/>
      </c>
      <c r="CU88" s="8" t="str">
        <f>IF(_xlfn.XLOOKUP($B88,'ELC TECH'!$H:$H,'ELC TECH'!$E:$E)="Storage",CU$4*$BF88,"")</f>
        <v/>
      </c>
      <c r="CV88" s="8" t="str">
        <f>IF(_xlfn.XLOOKUP($B88,'ELC TECH'!$H:$H,'ELC TECH'!$E:$E)="Storage",CV$4*$BF88,"")</f>
        <v/>
      </c>
      <c r="CW88" s="8" t="str">
        <f>IF(_xlfn.XLOOKUP($B88,'ELC TECH'!$H:$H,'ELC TECH'!$E:$E)="Storage",CW$4*$BF88,"")</f>
        <v/>
      </c>
      <c r="CX88" s="8" t="str">
        <f>IF(_xlfn.XLOOKUP($B88,'ELC TECH'!$H:$H,'ELC TECH'!$E:$E)="Storage",CX$4*$BF88,"")</f>
        <v/>
      </c>
      <c r="CY88" s="8" t="str">
        <f>IF(_xlfn.XLOOKUP($B88,'ELC TECH'!$H:$H,'ELC TECH'!$E:$E)="Storage",CY$4*$BF88,"")</f>
        <v/>
      </c>
      <c r="CZ88" s="8" t="str">
        <f>IF(_xlfn.XLOOKUP($B88,'ELC TECH'!$H:$H,'ELC TECH'!$E:$E)="Storage",CZ$4*$BF88,"")</f>
        <v/>
      </c>
      <c r="DA88" s="8" t="str">
        <f>IF(_xlfn.XLOOKUP($B88,'ELC TECH'!$H:$H,'ELC TECH'!$E:$E)="Storage",DA$4*$BF88,"")</f>
        <v/>
      </c>
      <c r="DB88" s="8" t="str">
        <f>IF(_xlfn.XLOOKUP($B88,'ELC TECH'!$H:$H,'ELC TECH'!$E:$E)="Storage",DB$4*$BF88,"")</f>
        <v/>
      </c>
      <c r="DC88" s="8" t="str">
        <f>IF(_xlfn.XLOOKUP($B88,'ELC TECH'!$H:$H,'ELC TECH'!$E:$E)="Storage",DC$4*$BF88,"")</f>
        <v/>
      </c>
      <c r="DD88" s="8" t="str">
        <f>IF(_xlfn.XLOOKUP($B88,'ELC TECH'!$H:$H,'ELC TECH'!$E:$E)="Storage",DD$4*$BF88,"")</f>
        <v/>
      </c>
      <c r="DE88" s="8" t="str">
        <f>IF(_xlfn.XLOOKUP($B88,'ELC TECH'!$H:$H,'ELC TECH'!$E:$E)="Storage",DE$4*$BF88,"")</f>
        <v/>
      </c>
      <c r="DF88" s="8" t="str">
        <f>IF(_xlfn.XLOOKUP($B88,'ELC TECH'!$H:$H,'ELC TECH'!$E:$E)="Storage",DF$4*$BF88,"")</f>
        <v/>
      </c>
      <c r="DG88" s="8" t="str">
        <f>IF(_xlfn.XLOOKUP($B88,'ELC TECH'!$H:$H,'ELC TECH'!$E:$E)="Storage",DG$4*$BF88,"")</f>
        <v/>
      </c>
      <c r="DH88" s="8" t="str">
        <f>IF(_xlfn.XLOOKUP($B88,'ELC TECH'!$H:$H,'ELC TECH'!$E:$E)="Storage",DH$4*$BF88,"")</f>
        <v/>
      </c>
      <c r="DI88" s="8" t="str">
        <f>IF(_xlfn.XLOOKUP($B88,'ELC TECH'!$H:$H,'ELC TECH'!$E:$E)="Storage",DI$4*$BF88,"")</f>
        <v/>
      </c>
    </row>
    <row r="89" spans="2:113" x14ac:dyDescent="0.25">
      <c r="B89" t="str">
        <f>IF('ELC TECH'!I82=0,"*",'ELC TECH'!H82)</f>
        <v>ELCWNDGRDWONC620</v>
      </c>
      <c r="C89" t="str">
        <f>IF(_xlfn.XLOOKUP(_xlfn.XLOOKUP(B89,'ELC TECH'!$H:$H,'ELC TECH'!$G:$G),List!C:C,List!B:B)="STG",D89,"ELC"&amp;_xlfn.XLOOKUP(_xlfn.XLOOKUP(B89,'ELC TECH'!H:H,'ELC TECH'!G:G),List!C:C,List!B:B))</f>
        <v>ELCWND</v>
      </c>
      <c r="D89" t="s">
        <v>544</v>
      </c>
      <c r="E89">
        <f>_xlfn.XLOOKUP(B89,'ELC TECH'!H:H,'ELC TECH'!D:D)</f>
        <v>2020</v>
      </c>
      <c r="F89">
        <f>_xlfn.XLOOKUP(B89,'ELC TECH'!H:H,'ELC TECH'!K:K)</f>
        <v>30</v>
      </c>
      <c r="G89">
        <f t="shared" si="6"/>
        <v>31.535999999999998</v>
      </c>
      <c r="H89">
        <f>IF(_xlfn.XLOOKUP(B89,'ELC TECH'!$H:$H,'ELC TECH'!$E:$E)="Storage",0.3,IF(_xlfn.XLOOKUP(B89,'ELC TECH'!$H:$H,'ELC TECH'!$E:$E)="Baseload",0.9,IF(_xlfn.XLOOKUP(B89,'ELC TECH'!$H:$H,'ELC TECH'!$E:$E)="Non Dispatchable",0.05,IF(_xlfn.XLOOKUP(B89,'ELC TECH'!$H:$H,'ELC TECH'!$E:$E)="Dispatchable",0.9,1))))</f>
        <v>0.05</v>
      </c>
      <c r="I89" s="13">
        <f>IF(_xlfn.XLOOKUP(B89,'ELC TECH'!H:H,'ELC TECH'!J:J)="","",_xlfn.XLOOKUP(B89,'ELC TECH'!H:H,'ELC TECH'!J:J))</f>
        <v>0</v>
      </c>
      <c r="J89" s="12">
        <f>IF(_xlfn.XLOOKUP($B89,'ELC TECH'!$H:$H,'ELC TECH'!$E:$E)="Storage","",IF(_xlfn.XLOOKUP($B89,'ELC TECH'!$H:$H,'ELC TECH'!AK:AK)="",1,_xlfn.XLOOKUP($B89,'ELC TECH'!$H:$H,'ELC TECH'!AK:AK)))</f>
        <v>1</v>
      </c>
      <c r="K89" s="12">
        <f>IF(_xlfn.XLOOKUP($B89,'ELC TECH'!$H:$H,'ELC TECH'!$E:$E)="Storage","",IF(_xlfn.XLOOKUP($B89,'ELC TECH'!$H:$H,'ELC TECH'!AL:AL)="",1,_xlfn.XLOOKUP($B89,'ELC TECH'!$H:$H,'ELC TECH'!AL:AL)))</f>
        <v>1</v>
      </c>
      <c r="L89" s="12">
        <f>IF(_xlfn.XLOOKUP($B89,'ELC TECH'!$H:$H,'ELC TECH'!$E:$E)="Storage","",IF(_xlfn.XLOOKUP($B89,'ELC TECH'!$H:$H,'ELC TECH'!AM:AM)="",1,_xlfn.XLOOKUP($B89,'ELC TECH'!$H:$H,'ELC TECH'!AM:AM)))</f>
        <v>1</v>
      </c>
      <c r="M89" s="12">
        <f>IF(_xlfn.XLOOKUP($B89,'ELC TECH'!$H:$H,'ELC TECH'!$E:$E)="Storage","",IF(_xlfn.XLOOKUP($B89,'ELC TECH'!$H:$H,'ELC TECH'!AN:AN)="",1,_xlfn.XLOOKUP($B89,'ELC TECH'!$H:$H,'ELC TECH'!AN:AN)))</f>
        <v>1</v>
      </c>
      <c r="N89" s="12">
        <f>IF(_xlfn.XLOOKUP($B89,'ELC TECH'!$H:$H,'ELC TECH'!$E:$E)="Storage","",IF(_xlfn.XLOOKUP($B89,'ELC TECH'!$H:$H,'ELC TECH'!AO:AO)="",1,_xlfn.XLOOKUP($B89,'ELC TECH'!$H:$H,'ELC TECH'!AO:AO)))</f>
        <v>1</v>
      </c>
      <c r="O89" s="12">
        <f>IF(_xlfn.XLOOKUP($B89,'ELC TECH'!$H:$H,'ELC TECH'!$E:$E)="Storage","",IF(_xlfn.XLOOKUP($B89,'ELC TECH'!$H:$H,'ELC TECH'!AP:AP)="",1,_xlfn.XLOOKUP($B89,'ELC TECH'!$H:$H,'ELC TECH'!AP:AP)))</f>
        <v>1</v>
      </c>
      <c r="P89" s="12">
        <f>IF(_xlfn.XLOOKUP($B89,'ELC TECH'!$H:$H,'ELC TECH'!$E:$E)="Storage","",IF(_xlfn.XLOOKUP($B89,'ELC TECH'!$H:$H,'ELC TECH'!AQ:AQ)="",1,_xlfn.XLOOKUP($B89,'ELC TECH'!$H:$H,'ELC TECH'!AQ:AQ)))</f>
        <v>1</v>
      </c>
      <c r="Q89" s="12">
        <f>IF(_xlfn.XLOOKUP($B89,'ELC TECH'!$H:$H,'ELC TECH'!$E:$E)="Storage","",IF(_xlfn.XLOOKUP($B89,'ELC TECH'!$H:$H,'ELC TECH'!AR:AR)="",1,_xlfn.XLOOKUP($B89,'ELC TECH'!$H:$H,'ELC TECH'!AR:AR)))</f>
        <v>1</v>
      </c>
      <c r="R89" s="12" t="str">
        <f>IF(_xlfn.XLOOKUP($B89,'ELC TECH'!$H:$H,'ELC TECH'!$E:$E)&lt;&gt;"Storage","",IF(_xlfn.XLOOKUP($B89,'ELC TECH'!$H:$H,'ELC TECH'!AK:AK)="",0.8,_xlfn.XLOOKUP($B89,'ELC TECH'!$H:$H,'ELC TECH'!AK:AK)))</f>
        <v/>
      </c>
      <c r="S89" s="12" t="str">
        <f>IF(_xlfn.XLOOKUP($B89,'ELC TECH'!$H:$H,'ELC TECH'!$E:$E)&lt;&gt;"Storage","",IF(_xlfn.XLOOKUP($B89,'ELC TECH'!$H:$H,'ELC TECH'!AL:AL)="",0.8,_xlfn.XLOOKUP($B89,'ELC TECH'!$H:$H,'ELC TECH'!AL:AL)))</f>
        <v/>
      </c>
      <c r="T89" s="12" t="str">
        <f>IF(_xlfn.XLOOKUP($B89,'ELC TECH'!$H:$H,'ELC TECH'!$E:$E)&lt;&gt;"Storage","",IF(_xlfn.XLOOKUP($B89,'ELC TECH'!$H:$H,'ELC TECH'!AM:AM)="",0.8,_xlfn.XLOOKUP($B89,'ELC TECH'!$H:$H,'ELC TECH'!AM:AM)))</f>
        <v/>
      </c>
      <c r="U89" s="12" t="str">
        <f>IF(_xlfn.XLOOKUP($B89,'ELC TECH'!$H:$H,'ELC TECH'!$E:$E)&lt;&gt;"Storage","",IF(_xlfn.XLOOKUP($B89,'ELC TECH'!$H:$H,'ELC TECH'!AN:AN)="",0.8,_xlfn.XLOOKUP($B89,'ELC TECH'!$H:$H,'ELC TECH'!AN:AN)))</f>
        <v/>
      </c>
      <c r="V89" s="12" t="str">
        <f>IF(_xlfn.XLOOKUP($B89,'ELC TECH'!$H:$H,'ELC TECH'!$E:$E)&lt;&gt;"Storage","",IF(_xlfn.XLOOKUP($B89,'ELC TECH'!$H:$H,'ELC TECH'!AO:AO)="",0.8,_xlfn.XLOOKUP($B89,'ELC TECH'!$H:$H,'ELC TECH'!AO:AO)))</f>
        <v/>
      </c>
      <c r="W89" s="12" t="str">
        <f>IF(_xlfn.XLOOKUP($B89,'ELC TECH'!$H:$H,'ELC TECH'!$E:$E)&lt;&gt;"Storage","",IF(_xlfn.XLOOKUP($B89,'ELC TECH'!$H:$H,'ELC TECH'!AP:AP)="",0.8,_xlfn.XLOOKUP($B89,'ELC TECH'!$H:$H,'ELC TECH'!AP:AP)))</f>
        <v/>
      </c>
      <c r="X89" s="12" t="str">
        <f>IF(_xlfn.XLOOKUP($B89,'ELC TECH'!$H:$H,'ELC TECH'!$E:$E)&lt;&gt;"Storage","",IF(_xlfn.XLOOKUP($B89,'ELC TECH'!$H:$H,'ELC TECH'!AQ:AQ)="",0.8,_xlfn.XLOOKUP($B89,'ELC TECH'!$H:$H,'ELC TECH'!AQ:AQ)))</f>
        <v/>
      </c>
      <c r="Y89" s="12" t="str">
        <f>IF(_xlfn.XLOOKUP($B89,'ELC TECH'!$H:$H,'ELC TECH'!$E:$E)&lt;&gt;"Storage","",IF(_xlfn.XLOOKUP($B89,'ELC TECH'!$H:$H,'ELC TECH'!AR:AR)="",0.8,_xlfn.XLOOKUP($B89,'ELC TECH'!$H:$H,'ELC TECH'!AR:AR)))</f>
        <v/>
      </c>
      <c r="Z89" s="15">
        <f>_xlfn.XLOOKUP($B89,'ELC TECH'!$H:$H,'ELC TECH'!M:M)</f>
        <v>1451.7715269242919</v>
      </c>
      <c r="AA89" s="15">
        <f>_xlfn.XLOOKUP($B89,'ELC TECH'!$H:$H,'ELC TECH'!N:N)</f>
        <v>1350.939266311296</v>
      </c>
      <c r="AB89" s="15">
        <f>_xlfn.XLOOKUP($B89,'ELC TECH'!$H:$H,'ELC TECH'!O:O)</f>
        <v>1224.898940545065</v>
      </c>
      <c r="AC89" s="15">
        <f>_xlfn.XLOOKUP($B89,'ELC TECH'!$H:$H,'ELC TECH'!P:P)</f>
        <v>1164.5945372747431</v>
      </c>
      <c r="AD89" s="15">
        <f>_xlfn.XLOOKUP($B89,'ELC TECH'!$H:$H,'ELC TECH'!Q:Q)</f>
        <v>1104.290134004433</v>
      </c>
      <c r="AE89" s="15">
        <f>_xlfn.XLOOKUP($B89,'ELC TECH'!$H:$H,'ELC TECH'!R:R)</f>
        <v>1043.985730734111</v>
      </c>
      <c r="AF89" s="15">
        <f>_xlfn.XLOOKUP($B89,'ELC TECH'!$H:$H,'ELC TECH'!S:S)</f>
        <v>983.68132746379092</v>
      </c>
      <c r="AG89" s="15">
        <f>_xlfn.XLOOKUP($B89,'ELC TECH'!$H:$H,'ELC TECH'!T:T)</f>
        <v>983.68132746379092</v>
      </c>
      <c r="AH89" s="15">
        <f>_xlfn.XLOOKUP($B89,'ELC TECH'!$H:$H,'ELC TECH'!U:U)</f>
        <v>34.26221553423445</v>
      </c>
      <c r="AI89" s="15">
        <f>_xlfn.XLOOKUP($B89,'ELC TECH'!$H:$H,'ELC TECH'!V:V)</f>
        <v>32.603758456669702</v>
      </c>
      <c r="AJ89" s="15">
        <f>_xlfn.XLOOKUP($B89,'ELC TECH'!$H:$H,'ELC TECH'!W:W)</f>
        <v>30.53068710971386</v>
      </c>
      <c r="AK89" s="15">
        <f>_xlfn.XLOOKUP($B89,'ELC TECH'!$H:$H,'ELC TECH'!X:X)</f>
        <v>29.484728384658851</v>
      </c>
      <c r="AL89" s="15">
        <f>_xlfn.XLOOKUP($B89,'ELC TECH'!$H:$H,'ELC TECH'!Y:Y)</f>
        <v>28.438769659603839</v>
      </c>
      <c r="AM89" s="15">
        <f>_xlfn.XLOOKUP($B89,'ELC TECH'!$H:$H,'ELC TECH'!Z:Z)</f>
        <v>27.39281093454883</v>
      </c>
      <c r="AN89" s="15">
        <f>_xlfn.XLOOKUP($B89,'ELC TECH'!$H:$H,'ELC TECH'!AA:AA)</f>
        <v>26.346852209493811</v>
      </c>
      <c r="AO89" s="15">
        <f>_xlfn.XLOOKUP($B89,'ELC TECH'!$H:$H,'ELC TECH'!AB:AB)</f>
        <v>26.346852209493811</v>
      </c>
      <c r="AP89" s="15">
        <f>_xlfn.XLOOKUP($B89,'ELC TECH'!$H:$H,'ELC TECH'!AC:AC)</f>
        <v>0</v>
      </c>
      <c r="AQ89" s="15">
        <f>_xlfn.XLOOKUP($B89,'ELC TECH'!$H:$H,'ELC TECH'!AD:AD)</f>
        <v>0</v>
      </c>
      <c r="AR89" s="15">
        <f>_xlfn.XLOOKUP($B89,'ELC TECH'!$H:$H,'ELC TECH'!AE:AE)</f>
        <v>0</v>
      </c>
      <c r="AS89" s="15">
        <f>_xlfn.XLOOKUP($B89,'ELC TECH'!$H:$H,'ELC TECH'!AF:AF)</f>
        <v>0</v>
      </c>
      <c r="AT89" s="15">
        <f>_xlfn.XLOOKUP($B89,'ELC TECH'!$H:$H,'ELC TECH'!AG:AG)</f>
        <v>0</v>
      </c>
      <c r="AU89" s="15">
        <f>_xlfn.XLOOKUP($B89,'ELC TECH'!$H:$H,'ELC TECH'!AH:AH)</f>
        <v>0</v>
      </c>
      <c r="AV89" s="15">
        <f>_xlfn.XLOOKUP($B89,'ELC TECH'!$H:$H,'ELC TECH'!AI:AI)</f>
        <v>0</v>
      </c>
      <c r="AW89" s="15">
        <f>_xlfn.XLOOKUP($B89,'ELC TECH'!$H:$H,'ELC TECH'!AJ:AJ)</f>
        <v>0</v>
      </c>
      <c r="AX89" s="12">
        <f>IF(_xlfn.XLOOKUP($B89,'ELC TECH'!$H:$H,'ELC TECH'!$E:$E)="Storage","",_xlfn.XLOOKUP($B89,'ELC TECH'!$H:$H,'ELC TECH'!AS:AS))</f>
        <v>0.40743000000000001</v>
      </c>
      <c r="AY89" s="12">
        <f>IF(_xlfn.XLOOKUP($B89,'ELC TECH'!$H:$H,'ELC TECH'!$E:$E)="Storage","",_xlfn.XLOOKUP($B89,'ELC TECH'!$H:$H,'ELC TECH'!AT:AT))</f>
        <v>0.419949111111111</v>
      </c>
      <c r="AZ89" s="12">
        <f>IF(_xlfn.XLOOKUP($B89,'ELC TECH'!$H:$H,'ELC TECH'!$E:$E)="Storage","",_xlfn.XLOOKUP($B89,'ELC TECH'!$H:$H,'ELC TECH'!AU:AU))</f>
        <v>0.43559799999999999</v>
      </c>
      <c r="BA89" s="12">
        <f>IF(_xlfn.XLOOKUP($B89,'ELC TECH'!$H:$H,'ELC TECH'!$E:$E)="Storage","",_xlfn.XLOOKUP($B89,'ELC TECH'!$H:$H,'ELC TECH'!AV:AV))</f>
        <v>0.43735849999999998</v>
      </c>
      <c r="BB89" s="12">
        <f>IF(_xlfn.XLOOKUP($B89,'ELC TECH'!$H:$H,'ELC TECH'!$E:$E)="Storage","",_xlfn.XLOOKUP($B89,'ELC TECH'!$H:$H,'ELC TECH'!AW:AW))</f>
        <v>0.43911899999999998</v>
      </c>
      <c r="BC89" s="12">
        <f>IF(_xlfn.XLOOKUP($B89,'ELC TECH'!$H:$H,'ELC TECH'!$E:$E)="Storage","",_xlfn.XLOOKUP($B89,'ELC TECH'!$H:$H,'ELC TECH'!AX:AX))</f>
        <v>0.44087949999999998</v>
      </c>
      <c r="BD89" s="12">
        <f>IF(_xlfn.XLOOKUP($B89,'ELC TECH'!$H:$H,'ELC TECH'!$E:$E)="Storage","",_xlfn.XLOOKUP($B89,'ELC TECH'!$H:$H,'ELC TECH'!AY:AY))</f>
        <v>0.44263999999999998</v>
      </c>
      <c r="BE89" s="12">
        <f>IF(_xlfn.XLOOKUP($B89,'ELC TECH'!$H:$H,'ELC TECH'!$E:$E)="Storage","",_xlfn.XLOOKUP($B89,'ELC TECH'!$H:$H,'ELC TECH'!AZ:AZ))</f>
        <v>0.44263999999999998</v>
      </c>
      <c r="BF89" s="12" t="str">
        <f>IF(_xlfn.XLOOKUP($B89,'ELC TECH'!$H:$H,'ELC TECH'!$E:$E)="Storage",_xlfn.XLOOKUP($B89,'ELC TECH'!$H:$H,'ELC TECH'!AS:AS),"")</f>
        <v/>
      </c>
      <c r="BG89" s="12" t="str">
        <f>IF(_xlfn.XLOOKUP($B89,'ELC TECH'!$H:$H,'ELC TECH'!$E:$E)="Storage",_xlfn.XLOOKUP($B89,'ELC TECH'!$H:$H,'ELC TECH'!AT:AT),"")</f>
        <v/>
      </c>
      <c r="BH89" s="12" t="str">
        <f>IF(_xlfn.XLOOKUP($B89,'ELC TECH'!$H:$H,'ELC TECH'!$E:$E)="Storage",_xlfn.XLOOKUP($B89,'ELC TECH'!$H:$H,'ELC TECH'!AU:AU),"")</f>
        <v/>
      </c>
      <c r="BI89" s="12" t="str">
        <f>IF(_xlfn.XLOOKUP($B89,'ELC TECH'!$H:$H,'ELC TECH'!$E:$E)="Storage",_xlfn.XLOOKUP($B89,'ELC TECH'!$H:$H,'ELC TECH'!AV:AV),"")</f>
        <v/>
      </c>
      <c r="BJ89" s="12" t="str">
        <f>IF(_xlfn.XLOOKUP($B89,'ELC TECH'!$H:$H,'ELC TECH'!$E:$E)="Storage",_xlfn.XLOOKUP($B89,'ELC TECH'!$H:$H,'ELC TECH'!AW:AW),"")</f>
        <v/>
      </c>
      <c r="BK89" s="12" t="str">
        <f>IF(_xlfn.XLOOKUP($B89,'ELC TECH'!$H:$H,'ELC TECH'!$E:$E)="Storage",_xlfn.XLOOKUP($B89,'ELC TECH'!$H:$H,'ELC TECH'!AX:AX),"")</f>
        <v/>
      </c>
      <c r="BL89" s="12" t="str">
        <f>IF(_xlfn.XLOOKUP($B89,'ELC TECH'!$H:$H,'ELC TECH'!$E:$E)="Storage",_xlfn.XLOOKUP($B89,'ELC TECH'!$H:$H,'ELC TECH'!AY:AY),"")</f>
        <v/>
      </c>
      <c r="BM89" s="12" t="str">
        <f>IF(_xlfn.XLOOKUP($B89,'ELC TECH'!$H:$H,'ELC TECH'!$E:$E)="Storage",_xlfn.XLOOKUP($B89,'ELC TECH'!$H:$H,'ELC TECH'!AZ:AZ),"")</f>
        <v/>
      </c>
      <c r="BN89" s="8">
        <f>IF(_xlfn.XLOOKUP($B89,'ELC TECH'!$H:$H,'ELC TECH'!$E:$E)="Non Dispatchable",IFERROR($AX89*_xlfn.XLOOKUP($C89,$BM$1:$BM$3,BN$1:BN$3)/SUMPRODUCT(_xlfn.XLOOKUP($C89,$BM$1:$BM$3,$BN$1:$BY$3),$BN$4:$BY$4),""),
"")</f>
        <v>0.71544769180975853</v>
      </c>
      <c r="BO89" s="8">
        <f>IF(_xlfn.XLOOKUP($B89,'ELC TECH'!$H:$H,'ELC TECH'!$E:$E)="Non Dispatchable",IFERROR($AX89*_xlfn.XLOOKUP($C89,$BM$1:$BM$3,BO$1:BO$3)/SUMPRODUCT(_xlfn.XLOOKUP($C89,$BM$1:$BM$3,$BN$1:$BY$3),$BN$4:$BY$4),""),
"")</f>
        <v>0.71544769180975853</v>
      </c>
      <c r="BP89" s="8">
        <f>IF(_xlfn.XLOOKUP($B89,'ELC TECH'!$H:$H,'ELC TECH'!$E:$E)="Non Dispatchable",IFERROR($AX89*_xlfn.XLOOKUP($C89,$BM$1:$BM$3,BP$1:BP$3)/SUMPRODUCT(_xlfn.XLOOKUP($C89,$BM$1:$BM$3,$BN$1:$BY$3),$BN$4:$BY$4),""),
"")</f>
        <v>7.1544769180975853E-2</v>
      </c>
      <c r="BQ89" s="8">
        <f>IF(_xlfn.XLOOKUP($B89,'ELC TECH'!$H:$H,'ELC TECH'!$E:$E)="Non Dispatchable",IFERROR($AX89*_xlfn.XLOOKUP($C89,$BM$1:$BM$3,BQ$1:BQ$3)/SUMPRODUCT(_xlfn.XLOOKUP($C89,$BM$1:$BM$3,$BN$1:$BY$3),$BN$4:$BY$4),""),
"")</f>
        <v>0.57325808765134123</v>
      </c>
      <c r="BR89" s="8">
        <f>IF(_xlfn.XLOOKUP($B89,'ELC TECH'!$H:$H,'ELC TECH'!$E:$E)="Non Dispatchable",IFERROR($AX89*_xlfn.XLOOKUP($C89,$BM$1:$BM$3,BR$1:BR$3)/SUMPRODUCT(_xlfn.XLOOKUP($C89,$BM$1:$BM$3,$BN$1:$BY$3),$BN$4:$BY$4),""),
"")</f>
        <v>0.83252095046953734</v>
      </c>
      <c r="BS89" s="8">
        <f>IF(_xlfn.XLOOKUP($B89,'ELC TECH'!$H:$H,'ELC TECH'!$E:$E)="Non Dispatchable",IFERROR($AX89*_xlfn.XLOOKUP($C89,$BM$1:$BM$3,BS$1:BS$3)/SUMPRODUCT(_xlfn.XLOOKUP($C89,$BM$1:$BM$3,$BN$1:$BY$3),$BN$4:$BY$4),""),
"")</f>
        <v>0.83252095046953734</v>
      </c>
      <c r="BT89" s="8">
        <f>IF(_xlfn.XLOOKUP($B89,'ELC TECH'!$H:$H,'ELC TECH'!$E:$E)="Non Dispatchable",IFERROR($AX89*_xlfn.XLOOKUP($C89,$BM$1:$BM$3,BT$1:BT$3)/SUMPRODUCT(_xlfn.XLOOKUP($C89,$BM$1:$BM$3,$BN$1:$BY$3),$BN$4:$BY$4),""),
"")</f>
        <v>8.3252095046953731E-2</v>
      </c>
      <c r="BU89" s="8">
        <f>IF(_xlfn.XLOOKUP($B89,'ELC TECH'!$H:$H,'ELC TECH'!$E:$E)="Non Dispatchable",IFERROR($AX89*_xlfn.XLOOKUP($C89,$BM$1:$BM$3,BU$1:BU$3)/SUMPRODUCT(_xlfn.XLOOKUP($C89,$BM$1:$BM$3,$BN$1:$BY$3),$BN$4:$BY$4),""),
"")</f>
        <v>0.73766914406625905</v>
      </c>
      <c r="BV89" s="8">
        <f>IF(_xlfn.XLOOKUP($B89,'ELC TECH'!$H:$H,'ELC TECH'!$E:$E)="Non Dispatchable",IFERROR($AX89*_xlfn.XLOOKUP($C89,$BM$1:$BM$3,BV$1:BV$3)/SUMPRODUCT(_xlfn.XLOOKUP($C89,$BM$1:$BM$3,$BN$1:$BY$3),$BN$4:$BY$4),""),
"")</f>
        <v>0.43113770920088795</v>
      </c>
      <c r="BW89" s="8">
        <f>IF(_xlfn.XLOOKUP($B89,'ELC TECH'!$H:$H,'ELC TECH'!$E:$E)="Non Dispatchable",IFERROR($AX89*_xlfn.XLOOKUP($C89,$BM$1:$BM$3,BW$1:BW$3)/SUMPRODUCT(_xlfn.XLOOKUP($C89,$BM$1:$BM$3,$BN$1:$BY$3),$BN$4:$BY$4),""),
"")</f>
        <v>0.43113770920088795</v>
      </c>
      <c r="BX89" s="8">
        <f>IF(_xlfn.XLOOKUP($B89,'ELC TECH'!$H:$H,'ELC TECH'!$E:$E)="Non Dispatchable",IFERROR($AX89*_xlfn.XLOOKUP($C89,$BM$1:$BM$3,BX$1:BX$3)/SUMPRODUCT(_xlfn.XLOOKUP($C89,$BM$1:$BM$3,$BN$1:$BY$3),$BN$4:$BY$4),""),
"")</f>
        <v>4.3113770920088799E-2</v>
      </c>
      <c r="BY89" s="8">
        <f>IF(_xlfn.XLOOKUP($B89,'ELC TECH'!$H:$H,'ELC TECH'!$E:$E)="Non Dispatchable",IFERROR($AX89*_xlfn.XLOOKUP($C89,$BM$1:$BM$3,BY$1:BY$3)/SUMPRODUCT(_xlfn.XLOOKUP($C89,$BM$1:$BM$3,$BN$1:$BY$3),$BN$4:$BY$4),""),
"")</f>
        <v>0.31514059563764318</v>
      </c>
      <c r="BZ89" s="8">
        <f>IF(_xlfn.XLOOKUP($B89,'ELC TECH'!$H:$H,'ELC TECH'!$E:$E)="Non Dispatchable",IFERROR($AX89*_xlfn.XLOOKUP($C89,$BM$1:$BM$3,BZ$1:BZ$3)/SUMPRODUCT(_xlfn.XLOOKUP($C89,$BM$1:$BM$3,$BN$1:$BY$3),$BN$4:$BY$4),""),
"")</f>
        <v>0.71544769180975853</v>
      </c>
      <c r="CA89" s="8">
        <f>IF(_xlfn.XLOOKUP($B89,'ELC TECH'!$H:$H,'ELC TECH'!$E:$E)="Non Dispatchable",IFERROR($AX89*_xlfn.XLOOKUP($C89,$BM$1:$BM$3,CA$1:CA$3)/SUMPRODUCT(_xlfn.XLOOKUP($C89,$BM$1:$BM$3,$BN$1:$BY$3),$BN$4:$BY$4),""),
"")</f>
        <v>0.71544769180975853</v>
      </c>
      <c r="CB89" s="8">
        <f>IF(_xlfn.XLOOKUP($B89,'ELC TECH'!$H:$H,'ELC TECH'!$E:$E)="Non Dispatchable",IFERROR($AX89*_xlfn.XLOOKUP($C89,$BM$1:$BM$3,CB$1:CB$3)/SUMPRODUCT(_xlfn.XLOOKUP($C89,$BM$1:$BM$3,$BN$1:$BY$3),$BN$4:$BY$4),""),
"")</f>
        <v>7.1544769180975853E-2</v>
      </c>
      <c r="CC89" s="8">
        <f>IF(_xlfn.XLOOKUP($B89,'ELC TECH'!$H:$H,'ELC TECH'!$E:$E)="Non Dispatchable",IFERROR($AX89*_xlfn.XLOOKUP($C89,$BM$1:$BM$3,CC$1:CC$3)/SUMPRODUCT(_xlfn.XLOOKUP($C89,$BM$1:$BM$3,$BN$1:$BY$3),$BN$4:$BY$4),""),
"")</f>
        <v>0.57325808765134123</v>
      </c>
      <c r="CD89" s="8">
        <f>IF(_xlfn.XLOOKUP($B89,'ELC TECH'!$H:$H,'ELC TECH'!$E:$E)="Non Dispatchable",IFERROR($AX89*_xlfn.XLOOKUP($C89,$BM$1:$BM$3,CD$1:CD$3)/SUMPRODUCT(_xlfn.XLOOKUP($C89,$BM$1:$BM$3,$BN$1:$BY$3),$BN$4:$BY$4),""),
"")</f>
        <v>0.83252095046953734</v>
      </c>
      <c r="CE89" s="8">
        <f>IF(_xlfn.XLOOKUP($B89,'ELC TECH'!$H:$H,'ELC TECH'!$E:$E)="Non Dispatchable",IFERROR($AX89*_xlfn.XLOOKUP($C89,$BM$1:$BM$3,CE$1:CE$3)/SUMPRODUCT(_xlfn.XLOOKUP($C89,$BM$1:$BM$3,$BN$1:$BY$3),$BN$4:$BY$4),""),
"")</f>
        <v>0.83252095046953734</v>
      </c>
      <c r="CF89" s="8">
        <f>IF(_xlfn.XLOOKUP($B89,'ELC TECH'!$H:$H,'ELC TECH'!$E:$E)="Non Dispatchable",IFERROR($AX89*_xlfn.XLOOKUP($C89,$BM$1:$BM$3,CF$1:CF$3)/SUMPRODUCT(_xlfn.XLOOKUP($C89,$BM$1:$BM$3,$BN$1:$BY$3),$BN$4:$BY$4),""),
"")</f>
        <v>8.3252095046953731E-2</v>
      </c>
      <c r="CG89" s="8">
        <f>IF(_xlfn.XLOOKUP($B89,'ELC TECH'!$H:$H,'ELC TECH'!$E:$E)="Non Dispatchable",IFERROR($AX89*_xlfn.XLOOKUP($C89,$BM$1:$BM$3,CG$1:CG$3)/SUMPRODUCT(_xlfn.XLOOKUP($C89,$BM$1:$BM$3,$BN$1:$BY$3),$BN$4:$BY$4),""),
"")</f>
        <v>0.73766914406625905</v>
      </c>
      <c r="CH89" s="8">
        <f>IF(_xlfn.XLOOKUP($B89,'ELC TECH'!$H:$H,'ELC TECH'!$E:$E)="Non Dispatchable",IFERROR($AX89*_xlfn.XLOOKUP($C89,$BM$1:$BM$3,CH$1:CH$3)/SUMPRODUCT(_xlfn.XLOOKUP($C89,$BM$1:$BM$3,$BN$1:$BY$3),$BN$4:$BY$4),""),
"")</f>
        <v>0.43113770920088795</v>
      </c>
      <c r="CI89" s="8">
        <f>IF(_xlfn.XLOOKUP($B89,'ELC TECH'!$H:$H,'ELC TECH'!$E:$E)="Non Dispatchable",IFERROR($AX89*_xlfn.XLOOKUP($C89,$BM$1:$BM$3,CI$1:CI$3)/SUMPRODUCT(_xlfn.XLOOKUP($C89,$BM$1:$BM$3,$BN$1:$BY$3),$BN$4:$BY$4),""),
"")</f>
        <v>0.43113770920088795</v>
      </c>
      <c r="CJ89" s="8">
        <f>IF(_xlfn.XLOOKUP($B89,'ELC TECH'!$H:$H,'ELC TECH'!$E:$E)="Non Dispatchable",IFERROR($AX89*_xlfn.XLOOKUP($C89,$BM$1:$BM$3,CJ$1:CJ$3)/SUMPRODUCT(_xlfn.XLOOKUP($C89,$BM$1:$BM$3,$BN$1:$BY$3),$BN$4:$BY$4),""),
"")</f>
        <v>4.3113770920088799E-2</v>
      </c>
      <c r="CK89" s="8">
        <f>IF(_xlfn.XLOOKUP($B89,'ELC TECH'!$H:$H,'ELC TECH'!$E:$E)="Non Dispatchable",IFERROR($AX89*_xlfn.XLOOKUP($C89,$BM$1:$BM$3,CK$1:CK$3)/SUMPRODUCT(_xlfn.XLOOKUP($C89,$BM$1:$BM$3,$BN$1:$BY$3),$BN$4:$BY$4),""),
"")</f>
        <v>0.31514059563764318</v>
      </c>
      <c r="CL89" s="8" t="str">
        <f>IF(_xlfn.XLOOKUP($B89,'ELC TECH'!$H:$H,'ELC TECH'!$E:$E)="Storage",CL$4*$BF89,"")</f>
        <v/>
      </c>
      <c r="CM89" s="8" t="str">
        <f>IF(_xlfn.XLOOKUP($B89,'ELC TECH'!$H:$H,'ELC TECH'!$E:$E)="Storage",CM$4*$BF89,"")</f>
        <v/>
      </c>
      <c r="CN89" s="8" t="str">
        <f>IF(_xlfn.XLOOKUP($B89,'ELC TECH'!$H:$H,'ELC TECH'!$E:$E)="Storage",CN$4*$BF89,"")</f>
        <v/>
      </c>
      <c r="CO89" s="8" t="str">
        <f>IF(_xlfn.XLOOKUP($B89,'ELC TECH'!$H:$H,'ELC TECH'!$E:$E)="Storage",CO$4*$BF89,"")</f>
        <v/>
      </c>
      <c r="CP89" s="8" t="str">
        <f>IF(_xlfn.XLOOKUP($B89,'ELC TECH'!$H:$H,'ELC TECH'!$E:$E)="Storage",CP$4*$BF89,"")</f>
        <v/>
      </c>
      <c r="CQ89" s="8" t="str">
        <f>IF(_xlfn.XLOOKUP($B89,'ELC TECH'!$H:$H,'ELC TECH'!$E:$E)="Storage",CQ$4*$BF89,"")</f>
        <v/>
      </c>
      <c r="CR89" s="8" t="str">
        <f>IF(_xlfn.XLOOKUP($B89,'ELC TECH'!$H:$H,'ELC TECH'!$E:$E)="Storage",CR$4*$BF89,"")</f>
        <v/>
      </c>
      <c r="CS89" s="8" t="str">
        <f>IF(_xlfn.XLOOKUP($B89,'ELC TECH'!$H:$H,'ELC TECH'!$E:$E)="Storage",CS$4*$BF89,"")</f>
        <v/>
      </c>
      <c r="CT89" s="8" t="str">
        <f>IF(_xlfn.XLOOKUP($B89,'ELC TECH'!$H:$H,'ELC TECH'!$E:$E)="Storage",CT$4*$BF89,"")</f>
        <v/>
      </c>
      <c r="CU89" s="8" t="str">
        <f>IF(_xlfn.XLOOKUP($B89,'ELC TECH'!$H:$H,'ELC TECH'!$E:$E)="Storage",CU$4*$BF89,"")</f>
        <v/>
      </c>
      <c r="CV89" s="8" t="str">
        <f>IF(_xlfn.XLOOKUP($B89,'ELC TECH'!$H:$H,'ELC TECH'!$E:$E)="Storage",CV$4*$BF89,"")</f>
        <v/>
      </c>
      <c r="CW89" s="8" t="str">
        <f>IF(_xlfn.XLOOKUP($B89,'ELC TECH'!$H:$H,'ELC TECH'!$E:$E)="Storage",CW$4*$BF89,"")</f>
        <v/>
      </c>
      <c r="CX89" s="8" t="str">
        <f>IF(_xlfn.XLOOKUP($B89,'ELC TECH'!$H:$H,'ELC TECH'!$E:$E)="Storage",CX$4*$BF89,"")</f>
        <v/>
      </c>
      <c r="CY89" s="8" t="str">
        <f>IF(_xlfn.XLOOKUP($B89,'ELC TECH'!$H:$H,'ELC TECH'!$E:$E)="Storage",CY$4*$BF89,"")</f>
        <v/>
      </c>
      <c r="CZ89" s="8" t="str">
        <f>IF(_xlfn.XLOOKUP($B89,'ELC TECH'!$H:$H,'ELC TECH'!$E:$E)="Storage",CZ$4*$BF89,"")</f>
        <v/>
      </c>
      <c r="DA89" s="8" t="str">
        <f>IF(_xlfn.XLOOKUP($B89,'ELC TECH'!$H:$H,'ELC TECH'!$E:$E)="Storage",DA$4*$BF89,"")</f>
        <v/>
      </c>
      <c r="DB89" s="8" t="str">
        <f>IF(_xlfn.XLOOKUP($B89,'ELC TECH'!$H:$H,'ELC TECH'!$E:$E)="Storage",DB$4*$BF89,"")</f>
        <v/>
      </c>
      <c r="DC89" s="8" t="str">
        <f>IF(_xlfn.XLOOKUP($B89,'ELC TECH'!$H:$H,'ELC TECH'!$E:$E)="Storage",DC$4*$BF89,"")</f>
        <v/>
      </c>
      <c r="DD89" s="8" t="str">
        <f>IF(_xlfn.XLOOKUP($B89,'ELC TECH'!$H:$H,'ELC TECH'!$E:$E)="Storage",DD$4*$BF89,"")</f>
        <v/>
      </c>
      <c r="DE89" s="8" t="str">
        <f>IF(_xlfn.XLOOKUP($B89,'ELC TECH'!$H:$H,'ELC TECH'!$E:$E)="Storage",DE$4*$BF89,"")</f>
        <v/>
      </c>
      <c r="DF89" s="8" t="str">
        <f>IF(_xlfn.XLOOKUP($B89,'ELC TECH'!$H:$H,'ELC TECH'!$E:$E)="Storage",DF$4*$BF89,"")</f>
        <v/>
      </c>
      <c r="DG89" s="8" t="str">
        <f>IF(_xlfn.XLOOKUP($B89,'ELC TECH'!$H:$H,'ELC TECH'!$E:$E)="Storage",DG$4*$BF89,"")</f>
        <v/>
      </c>
      <c r="DH89" s="8" t="str">
        <f>IF(_xlfn.XLOOKUP($B89,'ELC TECH'!$H:$H,'ELC TECH'!$E:$E)="Storage",DH$4*$BF89,"")</f>
        <v/>
      </c>
      <c r="DI89" s="8" t="str">
        <f>IF(_xlfn.XLOOKUP($B89,'ELC TECH'!$H:$H,'ELC TECH'!$E:$E)="Storage",DI$4*$BF89,"")</f>
        <v/>
      </c>
    </row>
    <row r="90" spans="2:113" x14ac:dyDescent="0.25">
      <c r="B90" t="str">
        <f>IF('ELC TECH'!I83=0,"*",'ELC TECH'!H83)</f>
        <v>ELCWNDGRDWONC720</v>
      </c>
      <c r="C90" t="str">
        <f>IF(_xlfn.XLOOKUP(_xlfn.XLOOKUP(B90,'ELC TECH'!$H:$H,'ELC TECH'!$G:$G),List!C:C,List!B:B)="STG",D90,"ELC"&amp;_xlfn.XLOOKUP(_xlfn.XLOOKUP(B90,'ELC TECH'!H:H,'ELC TECH'!G:G),List!C:C,List!B:B))</f>
        <v>ELCWND</v>
      </c>
      <c r="D90" t="s">
        <v>544</v>
      </c>
      <c r="E90">
        <f>_xlfn.XLOOKUP(B90,'ELC TECH'!H:H,'ELC TECH'!D:D)</f>
        <v>2020</v>
      </c>
      <c r="F90">
        <f>_xlfn.XLOOKUP(B90,'ELC TECH'!H:H,'ELC TECH'!K:K)</f>
        <v>30</v>
      </c>
      <c r="G90">
        <f t="shared" si="6"/>
        <v>31.535999999999998</v>
      </c>
      <c r="H90">
        <f>IF(_xlfn.XLOOKUP(B90,'ELC TECH'!$H:$H,'ELC TECH'!$E:$E)="Storage",0.3,IF(_xlfn.XLOOKUP(B90,'ELC TECH'!$H:$H,'ELC TECH'!$E:$E)="Baseload",0.9,IF(_xlfn.XLOOKUP(B90,'ELC TECH'!$H:$H,'ELC TECH'!$E:$E)="Non Dispatchable",0.05,IF(_xlfn.XLOOKUP(B90,'ELC TECH'!$H:$H,'ELC TECH'!$E:$E)="Dispatchable",0.9,1))))</f>
        <v>0.05</v>
      </c>
      <c r="I90" s="13">
        <f>IF(_xlfn.XLOOKUP(B90,'ELC TECH'!H:H,'ELC TECH'!J:J)="","",_xlfn.XLOOKUP(B90,'ELC TECH'!H:H,'ELC TECH'!J:J))</f>
        <v>0</v>
      </c>
      <c r="J90" s="12">
        <f>IF(_xlfn.XLOOKUP($B90,'ELC TECH'!$H:$H,'ELC TECH'!$E:$E)="Storage","",IF(_xlfn.XLOOKUP($B90,'ELC TECH'!$H:$H,'ELC TECH'!AK:AK)="",1,_xlfn.XLOOKUP($B90,'ELC TECH'!$H:$H,'ELC TECH'!AK:AK)))</f>
        <v>1</v>
      </c>
      <c r="K90" s="12">
        <f>IF(_xlfn.XLOOKUP($B90,'ELC TECH'!$H:$H,'ELC TECH'!$E:$E)="Storage","",IF(_xlfn.XLOOKUP($B90,'ELC TECH'!$H:$H,'ELC TECH'!AL:AL)="",1,_xlfn.XLOOKUP($B90,'ELC TECH'!$H:$H,'ELC TECH'!AL:AL)))</f>
        <v>1</v>
      </c>
      <c r="L90" s="12">
        <f>IF(_xlfn.XLOOKUP($B90,'ELC TECH'!$H:$H,'ELC TECH'!$E:$E)="Storage","",IF(_xlfn.XLOOKUP($B90,'ELC TECH'!$H:$H,'ELC TECH'!AM:AM)="",1,_xlfn.XLOOKUP($B90,'ELC TECH'!$H:$H,'ELC TECH'!AM:AM)))</f>
        <v>1</v>
      </c>
      <c r="M90" s="12">
        <f>IF(_xlfn.XLOOKUP($B90,'ELC TECH'!$H:$H,'ELC TECH'!$E:$E)="Storage","",IF(_xlfn.XLOOKUP($B90,'ELC TECH'!$H:$H,'ELC TECH'!AN:AN)="",1,_xlfn.XLOOKUP($B90,'ELC TECH'!$H:$H,'ELC TECH'!AN:AN)))</f>
        <v>1</v>
      </c>
      <c r="N90" s="12">
        <f>IF(_xlfn.XLOOKUP($B90,'ELC TECH'!$H:$H,'ELC TECH'!$E:$E)="Storage","",IF(_xlfn.XLOOKUP($B90,'ELC TECH'!$H:$H,'ELC TECH'!AO:AO)="",1,_xlfn.XLOOKUP($B90,'ELC TECH'!$H:$H,'ELC TECH'!AO:AO)))</f>
        <v>1</v>
      </c>
      <c r="O90" s="12">
        <f>IF(_xlfn.XLOOKUP($B90,'ELC TECH'!$H:$H,'ELC TECH'!$E:$E)="Storage","",IF(_xlfn.XLOOKUP($B90,'ELC TECH'!$H:$H,'ELC TECH'!AP:AP)="",1,_xlfn.XLOOKUP($B90,'ELC TECH'!$H:$H,'ELC TECH'!AP:AP)))</f>
        <v>1</v>
      </c>
      <c r="P90" s="12">
        <f>IF(_xlfn.XLOOKUP($B90,'ELC TECH'!$H:$H,'ELC TECH'!$E:$E)="Storage","",IF(_xlfn.XLOOKUP($B90,'ELC TECH'!$H:$H,'ELC TECH'!AQ:AQ)="",1,_xlfn.XLOOKUP($B90,'ELC TECH'!$H:$H,'ELC TECH'!AQ:AQ)))</f>
        <v>1</v>
      </c>
      <c r="Q90" s="12">
        <f>IF(_xlfn.XLOOKUP($B90,'ELC TECH'!$H:$H,'ELC TECH'!$E:$E)="Storage","",IF(_xlfn.XLOOKUP($B90,'ELC TECH'!$H:$H,'ELC TECH'!AR:AR)="",1,_xlfn.XLOOKUP($B90,'ELC TECH'!$H:$H,'ELC TECH'!AR:AR)))</f>
        <v>1</v>
      </c>
      <c r="R90" s="12" t="str">
        <f>IF(_xlfn.XLOOKUP($B90,'ELC TECH'!$H:$H,'ELC TECH'!$E:$E)&lt;&gt;"Storage","",IF(_xlfn.XLOOKUP($B90,'ELC TECH'!$H:$H,'ELC TECH'!AK:AK)="",0.8,_xlfn.XLOOKUP($B90,'ELC TECH'!$H:$H,'ELC TECH'!AK:AK)))</f>
        <v/>
      </c>
      <c r="S90" s="12" t="str">
        <f>IF(_xlfn.XLOOKUP($B90,'ELC TECH'!$H:$H,'ELC TECH'!$E:$E)&lt;&gt;"Storage","",IF(_xlfn.XLOOKUP($B90,'ELC TECH'!$H:$H,'ELC TECH'!AL:AL)="",0.8,_xlfn.XLOOKUP($B90,'ELC TECH'!$H:$H,'ELC TECH'!AL:AL)))</f>
        <v/>
      </c>
      <c r="T90" s="12" t="str">
        <f>IF(_xlfn.XLOOKUP($B90,'ELC TECH'!$H:$H,'ELC TECH'!$E:$E)&lt;&gt;"Storage","",IF(_xlfn.XLOOKUP($B90,'ELC TECH'!$H:$H,'ELC TECH'!AM:AM)="",0.8,_xlfn.XLOOKUP($B90,'ELC TECH'!$H:$H,'ELC TECH'!AM:AM)))</f>
        <v/>
      </c>
      <c r="U90" s="12" t="str">
        <f>IF(_xlfn.XLOOKUP($B90,'ELC TECH'!$H:$H,'ELC TECH'!$E:$E)&lt;&gt;"Storage","",IF(_xlfn.XLOOKUP($B90,'ELC TECH'!$H:$H,'ELC TECH'!AN:AN)="",0.8,_xlfn.XLOOKUP($B90,'ELC TECH'!$H:$H,'ELC TECH'!AN:AN)))</f>
        <v/>
      </c>
      <c r="V90" s="12" t="str">
        <f>IF(_xlfn.XLOOKUP($B90,'ELC TECH'!$H:$H,'ELC TECH'!$E:$E)&lt;&gt;"Storage","",IF(_xlfn.XLOOKUP($B90,'ELC TECH'!$H:$H,'ELC TECH'!AO:AO)="",0.8,_xlfn.XLOOKUP($B90,'ELC TECH'!$H:$H,'ELC TECH'!AO:AO)))</f>
        <v/>
      </c>
      <c r="W90" s="12" t="str">
        <f>IF(_xlfn.XLOOKUP($B90,'ELC TECH'!$H:$H,'ELC TECH'!$E:$E)&lt;&gt;"Storage","",IF(_xlfn.XLOOKUP($B90,'ELC TECH'!$H:$H,'ELC TECH'!AP:AP)="",0.8,_xlfn.XLOOKUP($B90,'ELC TECH'!$H:$H,'ELC TECH'!AP:AP)))</f>
        <v/>
      </c>
      <c r="X90" s="12" t="str">
        <f>IF(_xlfn.XLOOKUP($B90,'ELC TECH'!$H:$H,'ELC TECH'!$E:$E)&lt;&gt;"Storage","",IF(_xlfn.XLOOKUP($B90,'ELC TECH'!$H:$H,'ELC TECH'!AQ:AQ)="",0.8,_xlfn.XLOOKUP($B90,'ELC TECH'!$H:$H,'ELC TECH'!AQ:AQ)))</f>
        <v/>
      </c>
      <c r="Y90" s="12" t="str">
        <f>IF(_xlfn.XLOOKUP($B90,'ELC TECH'!$H:$H,'ELC TECH'!$E:$E)&lt;&gt;"Storage","",IF(_xlfn.XLOOKUP($B90,'ELC TECH'!$H:$H,'ELC TECH'!AR:AR)="",0.8,_xlfn.XLOOKUP($B90,'ELC TECH'!$H:$H,'ELC TECH'!AR:AR)))</f>
        <v/>
      </c>
      <c r="Z90" s="15">
        <f>_xlfn.XLOOKUP($B90,'ELC TECH'!$H:$H,'ELC TECH'!M:M)</f>
        <v>1451.7715269242919</v>
      </c>
      <c r="AA90" s="15">
        <f>_xlfn.XLOOKUP($B90,'ELC TECH'!$H:$H,'ELC TECH'!N:N)</f>
        <v>1350.939266311296</v>
      </c>
      <c r="AB90" s="15">
        <f>_xlfn.XLOOKUP($B90,'ELC TECH'!$H:$H,'ELC TECH'!O:O)</f>
        <v>1224.898940545065</v>
      </c>
      <c r="AC90" s="15">
        <f>_xlfn.XLOOKUP($B90,'ELC TECH'!$H:$H,'ELC TECH'!P:P)</f>
        <v>1164.5945372747431</v>
      </c>
      <c r="AD90" s="15">
        <f>_xlfn.XLOOKUP($B90,'ELC TECH'!$H:$H,'ELC TECH'!Q:Q)</f>
        <v>1104.290134004433</v>
      </c>
      <c r="AE90" s="15">
        <f>_xlfn.XLOOKUP($B90,'ELC TECH'!$H:$H,'ELC TECH'!R:R)</f>
        <v>1043.985730734111</v>
      </c>
      <c r="AF90" s="15">
        <f>_xlfn.XLOOKUP($B90,'ELC TECH'!$H:$H,'ELC TECH'!S:S)</f>
        <v>983.68132746379092</v>
      </c>
      <c r="AG90" s="15">
        <f>_xlfn.XLOOKUP($B90,'ELC TECH'!$H:$H,'ELC TECH'!T:T)</f>
        <v>983.68132746379092</v>
      </c>
      <c r="AH90" s="15">
        <f>_xlfn.XLOOKUP($B90,'ELC TECH'!$H:$H,'ELC TECH'!U:U)</f>
        <v>34.26221553423445</v>
      </c>
      <c r="AI90" s="15">
        <f>_xlfn.XLOOKUP($B90,'ELC TECH'!$H:$H,'ELC TECH'!V:V)</f>
        <v>32.603758456669702</v>
      </c>
      <c r="AJ90" s="15">
        <f>_xlfn.XLOOKUP($B90,'ELC TECH'!$H:$H,'ELC TECH'!W:W)</f>
        <v>30.53068710971386</v>
      </c>
      <c r="AK90" s="15">
        <f>_xlfn.XLOOKUP($B90,'ELC TECH'!$H:$H,'ELC TECH'!X:X)</f>
        <v>29.484728384658851</v>
      </c>
      <c r="AL90" s="15">
        <f>_xlfn.XLOOKUP($B90,'ELC TECH'!$H:$H,'ELC TECH'!Y:Y)</f>
        <v>28.438769659603839</v>
      </c>
      <c r="AM90" s="15">
        <f>_xlfn.XLOOKUP($B90,'ELC TECH'!$H:$H,'ELC TECH'!Z:Z)</f>
        <v>27.39281093454883</v>
      </c>
      <c r="AN90" s="15">
        <f>_xlfn.XLOOKUP($B90,'ELC TECH'!$H:$H,'ELC TECH'!AA:AA)</f>
        <v>26.346852209493811</v>
      </c>
      <c r="AO90" s="15">
        <f>_xlfn.XLOOKUP($B90,'ELC TECH'!$H:$H,'ELC TECH'!AB:AB)</f>
        <v>26.346852209493811</v>
      </c>
      <c r="AP90" s="15">
        <f>_xlfn.XLOOKUP($B90,'ELC TECH'!$H:$H,'ELC TECH'!AC:AC)</f>
        <v>0</v>
      </c>
      <c r="AQ90" s="15">
        <f>_xlfn.XLOOKUP($B90,'ELC TECH'!$H:$H,'ELC TECH'!AD:AD)</f>
        <v>0</v>
      </c>
      <c r="AR90" s="15">
        <f>_xlfn.XLOOKUP($B90,'ELC TECH'!$H:$H,'ELC TECH'!AE:AE)</f>
        <v>0</v>
      </c>
      <c r="AS90" s="15">
        <f>_xlfn.XLOOKUP($B90,'ELC TECH'!$H:$H,'ELC TECH'!AF:AF)</f>
        <v>0</v>
      </c>
      <c r="AT90" s="15">
        <f>_xlfn.XLOOKUP($B90,'ELC TECH'!$H:$H,'ELC TECH'!AG:AG)</f>
        <v>0</v>
      </c>
      <c r="AU90" s="15">
        <f>_xlfn.XLOOKUP($B90,'ELC TECH'!$H:$H,'ELC TECH'!AH:AH)</f>
        <v>0</v>
      </c>
      <c r="AV90" s="15">
        <f>_xlfn.XLOOKUP($B90,'ELC TECH'!$H:$H,'ELC TECH'!AI:AI)</f>
        <v>0</v>
      </c>
      <c r="AW90" s="15">
        <f>_xlfn.XLOOKUP($B90,'ELC TECH'!$H:$H,'ELC TECH'!AJ:AJ)</f>
        <v>0</v>
      </c>
      <c r="AX90" s="12">
        <f>IF(_xlfn.XLOOKUP($B90,'ELC TECH'!$H:$H,'ELC TECH'!$E:$E)="Storage","",_xlfn.XLOOKUP($B90,'ELC TECH'!$H:$H,'ELC TECH'!AS:AS))</f>
        <v>0.37584000000000001</v>
      </c>
      <c r="AY90" s="12">
        <f>IF(_xlfn.XLOOKUP($B90,'ELC TECH'!$H:$H,'ELC TECH'!$E:$E)="Storage","",_xlfn.XLOOKUP($B90,'ELC TECH'!$H:$H,'ELC TECH'!AT:AT))</f>
        <v>0.38738844444444398</v>
      </c>
      <c r="AZ90" s="12">
        <f>IF(_xlfn.XLOOKUP($B90,'ELC TECH'!$H:$H,'ELC TECH'!$E:$E)="Storage","",_xlfn.XLOOKUP($B90,'ELC TECH'!$H:$H,'ELC TECH'!AU:AU))</f>
        <v>0.40182400000000001</v>
      </c>
      <c r="BA90" s="12">
        <f>IF(_xlfn.XLOOKUP($B90,'ELC TECH'!$H:$H,'ELC TECH'!$E:$E)="Storage","",_xlfn.XLOOKUP($B90,'ELC TECH'!$H:$H,'ELC TECH'!AV:AV))</f>
        <v>0.40344799999999997</v>
      </c>
      <c r="BB90" s="12">
        <f>IF(_xlfn.XLOOKUP($B90,'ELC TECH'!$H:$H,'ELC TECH'!$E:$E)="Storage","",_xlfn.XLOOKUP($B90,'ELC TECH'!$H:$H,'ELC TECH'!AW:AW))</f>
        <v>0.40507199999999999</v>
      </c>
      <c r="BC90" s="12">
        <f>IF(_xlfn.XLOOKUP($B90,'ELC TECH'!$H:$H,'ELC TECH'!$E:$E)="Storage","",_xlfn.XLOOKUP($B90,'ELC TECH'!$H:$H,'ELC TECH'!AX:AX))</f>
        <v>0.406696</v>
      </c>
      <c r="BD90" s="12">
        <f>IF(_xlfn.XLOOKUP($B90,'ELC TECH'!$H:$H,'ELC TECH'!$E:$E)="Storage","",_xlfn.XLOOKUP($B90,'ELC TECH'!$H:$H,'ELC TECH'!AY:AY))</f>
        <v>0.40832000000000002</v>
      </c>
      <c r="BE90" s="12">
        <f>IF(_xlfn.XLOOKUP($B90,'ELC TECH'!$H:$H,'ELC TECH'!$E:$E)="Storage","",_xlfn.XLOOKUP($B90,'ELC TECH'!$H:$H,'ELC TECH'!AZ:AZ))</f>
        <v>0.40832000000000002</v>
      </c>
      <c r="BF90" s="12" t="str">
        <f>IF(_xlfn.XLOOKUP($B90,'ELC TECH'!$H:$H,'ELC TECH'!$E:$E)="Storage",_xlfn.XLOOKUP($B90,'ELC TECH'!$H:$H,'ELC TECH'!AS:AS),"")</f>
        <v/>
      </c>
      <c r="BG90" s="12" t="str">
        <f>IF(_xlfn.XLOOKUP($B90,'ELC TECH'!$H:$H,'ELC TECH'!$E:$E)="Storage",_xlfn.XLOOKUP($B90,'ELC TECH'!$H:$H,'ELC TECH'!AT:AT),"")</f>
        <v/>
      </c>
      <c r="BH90" s="12" t="str">
        <f>IF(_xlfn.XLOOKUP($B90,'ELC TECH'!$H:$H,'ELC TECH'!$E:$E)="Storage",_xlfn.XLOOKUP($B90,'ELC TECH'!$H:$H,'ELC TECH'!AU:AU),"")</f>
        <v/>
      </c>
      <c r="BI90" s="12" t="str">
        <f>IF(_xlfn.XLOOKUP($B90,'ELC TECH'!$H:$H,'ELC TECH'!$E:$E)="Storage",_xlfn.XLOOKUP($B90,'ELC TECH'!$H:$H,'ELC TECH'!AV:AV),"")</f>
        <v/>
      </c>
      <c r="BJ90" s="12" t="str">
        <f>IF(_xlfn.XLOOKUP($B90,'ELC TECH'!$H:$H,'ELC TECH'!$E:$E)="Storage",_xlfn.XLOOKUP($B90,'ELC TECH'!$H:$H,'ELC TECH'!AW:AW),"")</f>
        <v/>
      </c>
      <c r="BK90" s="12" t="str">
        <f>IF(_xlfn.XLOOKUP($B90,'ELC TECH'!$H:$H,'ELC TECH'!$E:$E)="Storage",_xlfn.XLOOKUP($B90,'ELC TECH'!$H:$H,'ELC TECH'!AX:AX),"")</f>
        <v/>
      </c>
      <c r="BL90" s="12" t="str">
        <f>IF(_xlfn.XLOOKUP($B90,'ELC TECH'!$H:$H,'ELC TECH'!$E:$E)="Storage",_xlfn.XLOOKUP($B90,'ELC TECH'!$H:$H,'ELC TECH'!AY:AY),"")</f>
        <v/>
      </c>
      <c r="BM90" s="12" t="str">
        <f>IF(_xlfn.XLOOKUP($B90,'ELC TECH'!$H:$H,'ELC TECH'!$E:$E)="Storage",_xlfn.XLOOKUP($B90,'ELC TECH'!$H:$H,'ELC TECH'!AZ:AZ),"")</f>
        <v/>
      </c>
      <c r="BN90" s="8">
        <f>IF(_xlfn.XLOOKUP($B90,'ELC TECH'!$H:$H,'ELC TECH'!$E:$E)="Non Dispatchable",IFERROR($AX90*_xlfn.XLOOKUP($C90,$BM$1:$BM$3,BN$1:BN$3)/SUMPRODUCT(_xlfn.XLOOKUP($C90,$BM$1:$BM$3,$BN$1:$BY$3),$BN$4:$BY$4),""),
"")</f>
        <v>0.65997560437321656</v>
      </c>
      <c r="BO90" s="8">
        <f>IF(_xlfn.XLOOKUP($B90,'ELC TECH'!$H:$H,'ELC TECH'!$E:$E)="Non Dispatchable",IFERROR($AX90*_xlfn.XLOOKUP($C90,$BM$1:$BM$3,BO$1:BO$3)/SUMPRODUCT(_xlfn.XLOOKUP($C90,$BM$1:$BM$3,$BN$1:$BY$3),$BN$4:$BY$4),""),
"")</f>
        <v>0.65997560437321656</v>
      </c>
      <c r="BP90" s="8">
        <f>IF(_xlfn.XLOOKUP($B90,'ELC TECH'!$H:$H,'ELC TECH'!$E:$E)="Non Dispatchable",IFERROR($AX90*_xlfn.XLOOKUP($C90,$BM$1:$BM$3,BP$1:BP$3)/SUMPRODUCT(_xlfn.XLOOKUP($C90,$BM$1:$BM$3,$BN$1:$BY$3),$BN$4:$BY$4),""),
"")</f>
        <v>6.5997560437321648E-2</v>
      </c>
      <c r="BQ90" s="8">
        <f>IF(_xlfn.XLOOKUP($B90,'ELC TECH'!$H:$H,'ELC TECH'!$E:$E)="Non Dispatchable",IFERROR($AX90*_xlfn.XLOOKUP($C90,$BM$1:$BM$3,BQ$1:BQ$3)/SUMPRODUCT(_xlfn.XLOOKUP($C90,$BM$1:$BM$3,$BN$1:$BY$3),$BN$4:$BY$4),""),
"")</f>
        <v>0.5288106414914957</v>
      </c>
      <c r="BR90" s="8">
        <f>IF(_xlfn.XLOOKUP($B90,'ELC TECH'!$H:$H,'ELC TECH'!$E:$E)="Non Dispatchable",IFERROR($AX90*_xlfn.XLOOKUP($C90,$BM$1:$BM$3,BR$1:BR$3)/SUMPRODUCT(_xlfn.XLOOKUP($C90,$BM$1:$BM$3,$BN$1:$BY$3),$BN$4:$BY$4),""),
"")</f>
        <v>0.7679716123615612</v>
      </c>
      <c r="BS90" s="8">
        <f>IF(_xlfn.XLOOKUP($B90,'ELC TECH'!$H:$H,'ELC TECH'!$E:$E)="Non Dispatchable",IFERROR($AX90*_xlfn.XLOOKUP($C90,$BM$1:$BM$3,BS$1:BS$3)/SUMPRODUCT(_xlfn.XLOOKUP($C90,$BM$1:$BM$3,$BN$1:$BY$3),$BN$4:$BY$4),""),
"")</f>
        <v>0.7679716123615612</v>
      </c>
      <c r="BT90" s="8">
        <f>IF(_xlfn.XLOOKUP($B90,'ELC TECH'!$H:$H,'ELC TECH'!$E:$E)="Non Dispatchable",IFERROR($AX90*_xlfn.XLOOKUP($C90,$BM$1:$BM$3,BT$1:BT$3)/SUMPRODUCT(_xlfn.XLOOKUP($C90,$BM$1:$BM$3,$BN$1:$BY$3),$BN$4:$BY$4),""),
"")</f>
        <v>7.6797161236156125E-2</v>
      </c>
      <c r="BU90" s="8">
        <f>IF(_xlfn.XLOOKUP($B90,'ELC TECH'!$H:$H,'ELC TECH'!$E:$E)="Non Dispatchable",IFERROR($AX90*_xlfn.XLOOKUP($C90,$BM$1:$BM$3,BU$1:BU$3)/SUMPRODUCT(_xlfn.XLOOKUP($C90,$BM$1:$BM$3,$BN$1:$BY$3),$BN$4:$BY$4),""),
"")</f>
        <v>0.68047412096768223</v>
      </c>
      <c r="BV90" s="8">
        <f>IF(_xlfn.XLOOKUP($B90,'ELC TECH'!$H:$H,'ELC TECH'!$E:$E)="Non Dispatchable",IFERROR($AX90*_xlfn.XLOOKUP($C90,$BM$1:$BM$3,BV$1:BV$3)/SUMPRODUCT(_xlfn.XLOOKUP($C90,$BM$1:$BM$3,$BN$1:$BY$3),$BN$4:$BY$4),""),
"")</f>
        <v>0.39770953691692246</v>
      </c>
      <c r="BW90" s="8">
        <f>IF(_xlfn.XLOOKUP($B90,'ELC TECH'!$H:$H,'ELC TECH'!$E:$E)="Non Dispatchable",IFERROR($AX90*_xlfn.XLOOKUP($C90,$BM$1:$BM$3,BW$1:BW$3)/SUMPRODUCT(_xlfn.XLOOKUP($C90,$BM$1:$BM$3,$BN$1:$BY$3),$BN$4:$BY$4),""),
"")</f>
        <v>0.39770953691692246</v>
      </c>
      <c r="BX90" s="8">
        <f>IF(_xlfn.XLOOKUP($B90,'ELC TECH'!$H:$H,'ELC TECH'!$E:$E)="Non Dispatchable",IFERROR($AX90*_xlfn.XLOOKUP($C90,$BM$1:$BM$3,BX$1:BX$3)/SUMPRODUCT(_xlfn.XLOOKUP($C90,$BM$1:$BM$3,$BN$1:$BY$3),$BN$4:$BY$4),""),
"")</f>
        <v>3.977095369169225E-2</v>
      </c>
      <c r="BY90" s="8">
        <f>IF(_xlfn.XLOOKUP($B90,'ELC TECH'!$H:$H,'ELC TECH'!$E:$E)="Non Dispatchable",IFERROR($AX90*_xlfn.XLOOKUP($C90,$BM$1:$BM$3,BY$1:BY$3)/SUMPRODUCT(_xlfn.XLOOKUP($C90,$BM$1:$BM$3,$BN$1:$BY$3),$BN$4:$BY$4),""),
"")</f>
        <v>0.29070623533969475</v>
      </c>
      <c r="BZ90" s="8">
        <f>IF(_xlfn.XLOOKUP($B90,'ELC TECH'!$H:$H,'ELC TECH'!$E:$E)="Non Dispatchable",IFERROR($AX90*_xlfn.XLOOKUP($C90,$BM$1:$BM$3,BZ$1:BZ$3)/SUMPRODUCT(_xlfn.XLOOKUP($C90,$BM$1:$BM$3,$BN$1:$BY$3),$BN$4:$BY$4),""),
"")</f>
        <v>0.65997560437321656</v>
      </c>
      <c r="CA90" s="8">
        <f>IF(_xlfn.XLOOKUP($B90,'ELC TECH'!$H:$H,'ELC TECH'!$E:$E)="Non Dispatchable",IFERROR($AX90*_xlfn.XLOOKUP($C90,$BM$1:$BM$3,CA$1:CA$3)/SUMPRODUCT(_xlfn.XLOOKUP($C90,$BM$1:$BM$3,$BN$1:$BY$3),$BN$4:$BY$4),""),
"")</f>
        <v>0.65997560437321656</v>
      </c>
      <c r="CB90" s="8">
        <f>IF(_xlfn.XLOOKUP($B90,'ELC TECH'!$H:$H,'ELC TECH'!$E:$E)="Non Dispatchable",IFERROR($AX90*_xlfn.XLOOKUP($C90,$BM$1:$BM$3,CB$1:CB$3)/SUMPRODUCT(_xlfn.XLOOKUP($C90,$BM$1:$BM$3,$BN$1:$BY$3),$BN$4:$BY$4),""),
"")</f>
        <v>6.5997560437321648E-2</v>
      </c>
      <c r="CC90" s="8">
        <f>IF(_xlfn.XLOOKUP($B90,'ELC TECH'!$H:$H,'ELC TECH'!$E:$E)="Non Dispatchable",IFERROR($AX90*_xlfn.XLOOKUP($C90,$BM$1:$BM$3,CC$1:CC$3)/SUMPRODUCT(_xlfn.XLOOKUP($C90,$BM$1:$BM$3,$BN$1:$BY$3),$BN$4:$BY$4),""),
"")</f>
        <v>0.5288106414914957</v>
      </c>
      <c r="CD90" s="8">
        <f>IF(_xlfn.XLOOKUP($B90,'ELC TECH'!$H:$H,'ELC TECH'!$E:$E)="Non Dispatchable",IFERROR($AX90*_xlfn.XLOOKUP($C90,$BM$1:$BM$3,CD$1:CD$3)/SUMPRODUCT(_xlfn.XLOOKUP($C90,$BM$1:$BM$3,$BN$1:$BY$3),$BN$4:$BY$4),""),
"")</f>
        <v>0.7679716123615612</v>
      </c>
      <c r="CE90" s="8">
        <f>IF(_xlfn.XLOOKUP($B90,'ELC TECH'!$H:$H,'ELC TECH'!$E:$E)="Non Dispatchable",IFERROR($AX90*_xlfn.XLOOKUP($C90,$BM$1:$BM$3,CE$1:CE$3)/SUMPRODUCT(_xlfn.XLOOKUP($C90,$BM$1:$BM$3,$BN$1:$BY$3),$BN$4:$BY$4),""),
"")</f>
        <v>0.7679716123615612</v>
      </c>
      <c r="CF90" s="8">
        <f>IF(_xlfn.XLOOKUP($B90,'ELC TECH'!$H:$H,'ELC TECH'!$E:$E)="Non Dispatchable",IFERROR($AX90*_xlfn.XLOOKUP($C90,$BM$1:$BM$3,CF$1:CF$3)/SUMPRODUCT(_xlfn.XLOOKUP($C90,$BM$1:$BM$3,$BN$1:$BY$3),$BN$4:$BY$4),""),
"")</f>
        <v>7.6797161236156125E-2</v>
      </c>
      <c r="CG90" s="8">
        <f>IF(_xlfn.XLOOKUP($B90,'ELC TECH'!$H:$H,'ELC TECH'!$E:$E)="Non Dispatchable",IFERROR($AX90*_xlfn.XLOOKUP($C90,$BM$1:$BM$3,CG$1:CG$3)/SUMPRODUCT(_xlfn.XLOOKUP($C90,$BM$1:$BM$3,$BN$1:$BY$3),$BN$4:$BY$4),""),
"")</f>
        <v>0.68047412096768223</v>
      </c>
      <c r="CH90" s="8">
        <f>IF(_xlfn.XLOOKUP($B90,'ELC TECH'!$H:$H,'ELC TECH'!$E:$E)="Non Dispatchable",IFERROR($AX90*_xlfn.XLOOKUP($C90,$BM$1:$BM$3,CH$1:CH$3)/SUMPRODUCT(_xlfn.XLOOKUP($C90,$BM$1:$BM$3,$BN$1:$BY$3),$BN$4:$BY$4),""),
"")</f>
        <v>0.39770953691692246</v>
      </c>
      <c r="CI90" s="8">
        <f>IF(_xlfn.XLOOKUP($B90,'ELC TECH'!$H:$H,'ELC TECH'!$E:$E)="Non Dispatchable",IFERROR($AX90*_xlfn.XLOOKUP($C90,$BM$1:$BM$3,CI$1:CI$3)/SUMPRODUCT(_xlfn.XLOOKUP($C90,$BM$1:$BM$3,$BN$1:$BY$3),$BN$4:$BY$4),""),
"")</f>
        <v>0.39770953691692246</v>
      </c>
      <c r="CJ90" s="8">
        <f>IF(_xlfn.XLOOKUP($B90,'ELC TECH'!$H:$H,'ELC TECH'!$E:$E)="Non Dispatchable",IFERROR($AX90*_xlfn.XLOOKUP($C90,$BM$1:$BM$3,CJ$1:CJ$3)/SUMPRODUCT(_xlfn.XLOOKUP($C90,$BM$1:$BM$3,$BN$1:$BY$3),$BN$4:$BY$4),""),
"")</f>
        <v>3.977095369169225E-2</v>
      </c>
      <c r="CK90" s="8">
        <f>IF(_xlfn.XLOOKUP($B90,'ELC TECH'!$H:$H,'ELC TECH'!$E:$E)="Non Dispatchable",IFERROR($AX90*_xlfn.XLOOKUP($C90,$BM$1:$BM$3,CK$1:CK$3)/SUMPRODUCT(_xlfn.XLOOKUP($C90,$BM$1:$BM$3,$BN$1:$BY$3),$BN$4:$BY$4),""),
"")</f>
        <v>0.29070623533969475</v>
      </c>
      <c r="CL90" s="8" t="str">
        <f>IF(_xlfn.XLOOKUP($B90,'ELC TECH'!$H:$H,'ELC TECH'!$E:$E)="Storage",CL$4*$BF90,"")</f>
        <v/>
      </c>
      <c r="CM90" s="8" t="str">
        <f>IF(_xlfn.XLOOKUP($B90,'ELC TECH'!$H:$H,'ELC TECH'!$E:$E)="Storage",CM$4*$BF90,"")</f>
        <v/>
      </c>
      <c r="CN90" s="8" t="str">
        <f>IF(_xlfn.XLOOKUP($B90,'ELC TECH'!$H:$H,'ELC TECH'!$E:$E)="Storage",CN$4*$BF90,"")</f>
        <v/>
      </c>
      <c r="CO90" s="8" t="str">
        <f>IF(_xlfn.XLOOKUP($B90,'ELC TECH'!$H:$H,'ELC TECH'!$E:$E)="Storage",CO$4*$BF90,"")</f>
        <v/>
      </c>
      <c r="CP90" s="8" t="str">
        <f>IF(_xlfn.XLOOKUP($B90,'ELC TECH'!$H:$H,'ELC TECH'!$E:$E)="Storage",CP$4*$BF90,"")</f>
        <v/>
      </c>
      <c r="CQ90" s="8" t="str">
        <f>IF(_xlfn.XLOOKUP($B90,'ELC TECH'!$H:$H,'ELC TECH'!$E:$E)="Storage",CQ$4*$BF90,"")</f>
        <v/>
      </c>
      <c r="CR90" s="8" t="str">
        <f>IF(_xlfn.XLOOKUP($B90,'ELC TECH'!$H:$H,'ELC TECH'!$E:$E)="Storage",CR$4*$BF90,"")</f>
        <v/>
      </c>
      <c r="CS90" s="8" t="str">
        <f>IF(_xlfn.XLOOKUP($B90,'ELC TECH'!$H:$H,'ELC TECH'!$E:$E)="Storage",CS$4*$BF90,"")</f>
        <v/>
      </c>
      <c r="CT90" s="8" t="str">
        <f>IF(_xlfn.XLOOKUP($B90,'ELC TECH'!$H:$H,'ELC TECH'!$E:$E)="Storage",CT$4*$BF90,"")</f>
        <v/>
      </c>
      <c r="CU90" s="8" t="str">
        <f>IF(_xlfn.XLOOKUP($B90,'ELC TECH'!$H:$H,'ELC TECH'!$E:$E)="Storage",CU$4*$BF90,"")</f>
        <v/>
      </c>
      <c r="CV90" s="8" t="str">
        <f>IF(_xlfn.XLOOKUP($B90,'ELC TECH'!$H:$H,'ELC TECH'!$E:$E)="Storage",CV$4*$BF90,"")</f>
        <v/>
      </c>
      <c r="CW90" s="8" t="str">
        <f>IF(_xlfn.XLOOKUP($B90,'ELC TECH'!$H:$H,'ELC TECH'!$E:$E)="Storage",CW$4*$BF90,"")</f>
        <v/>
      </c>
      <c r="CX90" s="8" t="str">
        <f>IF(_xlfn.XLOOKUP($B90,'ELC TECH'!$H:$H,'ELC TECH'!$E:$E)="Storage",CX$4*$BF90,"")</f>
        <v/>
      </c>
      <c r="CY90" s="8" t="str">
        <f>IF(_xlfn.XLOOKUP($B90,'ELC TECH'!$H:$H,'ELC TECH'!$E:$E)="Storage",CY$4*$BF90,"")</f>
        <v/>
      </c>
      <c r="CZ90" s="8" t="str">
        <f>IF(_xlfn.XLOOKUP($B90,'ELC TECH'!$H:$H,'ELC TECH'!$E:$E)="Storage",CZ$4*$BF90,"")</f>
        <v/>
      </c>
      <c r="DA90" s="8" t="str">
        <f>IF(_xlfn.XLOOKUP($B90,'ELC TECH'!$H:$H,'ELC TECH'!$E:$E)="Storage",DA$4*$BF90,"")</f>
        <v/>
      </c>
      <c r="DB90" s="8" t="str">
        <f>IF(_xlfn.XLOOKUP($B90,'ELC TECH'!$H:$H,'ELC TECH'!$E:$E)="Storage",DB$4*$BF90,"")</f>
        <v/>
      </c>
      <c r="DC90" s="8" t="str">
        <f>IF(_xlfn.XLOOKUP($B90,'ELC TECH'!$H:$H,'ELC TECH'!$E:$E)="Storage",DC$4*$BF90,"")</f>
        <v/>
      </c>
      <c r="DD90" s="8" t="str">
        <f>IF(_xlfn.XLOOKUP($B90,'ELC TECH'!$H:$H,'ELC TECH'!$E:$E)="Storage",DD$4*$BF90,"")</f>
        <v/>
      </c>
      <c r="DE90" s="8" t="str">
        <f>IF(_xlfn.XLOOKUP($B90,'ELC TECH'!$H:$H,'ELC TECH'!$E:$E)="Storage",DE$4*$BF90,"")</f>
        <v/>
      </c>
      <c r="DF90" s="8" t="str">
        <f>IF(_xlfn.XLOOKUP($B90,'ELC TECH'!$H:$H,'ELC TECH'!$E:$E)="Storage",DF$4*$BF90,"")</f>
        <v/>
      </c>
      <c r="DG90" s="8" t="str">
        <f>IF(_xlfn.XLOOKUP($B90,'ELC TECH'!$H:$H,'ELC TECH'!$E:$E)="Storage",DG$4*$BF90,"")</f>
        <v/>
      </c>
      <c r="DH90" s="8" t="str">
        <f>IF(_xlfn.XLOOKUP($B90,'ELC TECH'!$H:$H,'ELC TECH'!$E:$E)="Storage",DH$4*$BF90,"")</f>
        <v/>
      </c>
      <c r="DI90" s="8" t="str">
        <f>IF(_xlfn.XLOOKUP($B90,'ELC TECH'!$H:$H,'ELC TECH'!$E:$E)="Storage",DI$4*$BF90,"")</f>
        <v/>
      </c>
    </row>
    <row r="91" spans="2:113" x14ac:dyDescent="0.25">
      <c r="B91" t="str">
        <f>IF('ELC TECH'!I84=0,"*",'ELC TECH'!H84)</f>
        <v>ELCWNDGRDWONC820</v>
      </c>
      <c r="C91" t="str">
        <f>IF(_xlfn.XLOOKUP(_xlfn.XLOOKUP(B91,'ELC TECH'!$H:$H,'ELC TECH'!$G:$G),List!C:C,List!B:B)="STG",D91,"ELC"&amp;_xlfn.XLOOKUP(_xlfn.XLOOKUP(B91,'ELC TECH'!H:H,'ELC TECH'!G:G),List!C:C,List!B:B))</f>
        <v>ELCWND</v>
      </c>
      <c r="D91" t="s">
        <v>544</v>
      </c>
      <c r="E91">
        <f>_xlfn.XLOOKUP(B91,'ELC TECH'!H:H,'ELC TECH'!D:D)</f>
        <v>2020</v>
      </c>
      <c r="F91">
        <f>_xlfn.XLOOKUP(B91,'ELC TECH'!H:H,'ELC TECH'!K:K)</f>
        <v>30</v>
      </c>
      <c r="G91">
        <f t="shared" si="6"/>
        <v>31.535999999999998</v>
      </c>
      <c r="H91">
        <f>IF(_xlfn.XLOOKUP(B91,'ELC TECH'!$H:$H,'ELC TECH'!$E:$E)="Storage",0.3,IF(_xlfn.XLOOKUP(B91,'ELC TECH'!$H:$H,'ELC TECH'!$E:$E)="Baseload",0.9,IF(_xlfn.XLOOKUP(B91,'ELC TECH'!$H:$H,'ELC TECH'!$E:$E)="Non Dispatchable",0.05,IF(_xlfn.XLOOKUP(B91,'ELC TECH'!$H:$H,'ELC TECH'!$E:$E)="Dispatchable",0.9,1))))</f>
        <v>0.05</v>
      </c>
      <c r="I91" s="13">
        <f>IF(_xlfn.XLOOKUP(B91,'ELC TECH'!H:H,'ELC TECH'!J:J)="","",_xlfn.XLOOKUP(B91,'ELC TECH'!H:H,'ELC TECH'!J:J))</f>
        <v>0</v>
      </c>
      <c r="J91" s="12">
        <f>IF(_xlfn.XLOOKUP($B91,'ELC TECH'!$H:$H,'ELC TECH'!$E:$E)="Storage","",IF(_xlfn.XLOOKUP($B91,'ELC TECH'!$H:$H,'ELC TECH'!AK:AK)="",1,_xlfn.XLOOKUP($B91,'ELC TECH'!$H:$H,'ELC TECH'!AK:AK)))</f>
        <v>1</v>
      </c>
      <c r="K91" s="12">
        <f>IF(_xlfn.XLOOKUP($B91,'ELC TECH'!$H:$H,'ELC TECH'!$E:$E)="Storage","",IF(_xlfn.XLOOKUP($B91,'ELC TECH'!$H:$H,'ELC TECH'!AL:AL)="",1,_xlfn.XLOOKUP($B91,'ELC TECH'!$H:$H,'ELC TECH'!AL:AL)))</f>
        <v>1</v>
      </c>
      <c r="L91" s="12">
        <f>IF(_xlfn.XLOOKUP($B91,'ELC TECH'!$H:$H,'ELC TECH'!$E:$E)="Storage","",IF(_xlfn.XLOOKUP($B91,'ELC TECH'!$H:$H,'ELC TECH'!AM:AM)="",1,_xlfn.XLOOKUP($B91,'ELC TECH'!$H:$H,'ELC TECH'!AM:AM)))</f>
        <v>1</v>
      </c>
      <c r="M91" s="12">
        <f>IF(_xlfn.XLOOKUP($B91,'ELC TECH'!$H:$H,'ELC TECH'!$E:$E)="Storage","",IF(_xlfn.XLOOKUP($B91,'ELC TECH'!$H:$H,'ELC TECH'!AN:AN)="",1,_xlfn.XLOOKUP($B91,'ELC TECH'!$H:$H,'ELC TECH'!AN:AN)))</f>
        <v>1</v>
      </c>
      <c r="N91" s="12">
        <f>IF(_xlfn.XLOOKUP($B91,'ELC TECH'!$H:$H,'ELC TECH'!$E:$E)="Storage","",IF(_xlfn.XLOOKUP($B91,'ELC TECH'!$H:$H,'ELC TECH'!AO:AO)="",1,_xlfn.XLOOKUP($B91,'ELC TECH'!$H:$H,'ELC TECH'!AO:AO)))</f>
        <v>1</v>
      </c>
      <c r="O91" s="12">
        <f>IF(_xlfn.XLOOKUP($B91,'ELC TECH'!$H:$H,'ELC TECH'!$E:$E)="Storage","",IF(_xlfn.XLOOKUP($B91,'ELC TECH'!$H:$H,'ELC TECH'!AP:AP)="",1,_xlfn.XLOOKUP($B91,'ELC TECH'!$H:$H,'ELC TECH'!AP:AP)))</f>
        <v>1</v>
      </c>
      <c r="P91" s="12">
        <f>IF(_xlfn.XLOOKUP($B91,'ELC TECH'!$H:$H,'ELC TECH'!$E:$E)="Storage","",IF(_xlfn.XLOOKUP($B91,'ELC TECH'!$H:$H,'ELC TECH'!AQ:AQ)="",1,_xlfn.XLOOKUP($B91,'ELC TECH'!$H:$H,'ELC TECH'!AQ:AQ)))</f>
        <v>1</v>
      </c>
      <c r="Q91" s="12">
        <f>IF(_xlfn.XLOOKUP($B91,'ELC TECH'!$H:$H,'ELC TECH'!$E:$E)="Storage","",IF(_xlfn.XLOOKUP($B91,'ELC TECH'!$H:$H,'ELC TECH'!AR:AR)="",1,_xlfn.XLOOKUP($B91,'ELC TECH'!$H:$H,'ELC TECH'!AR:AR)))</f>
        <v>1</v>
      </c>
      <c r="R91" s="12" t="str">
        <f>IF(_xlfn.XLOOKUP($B91,'ELC TECH'!$H:$H,'ELC TECH'!$E:$E)&lt;&gt;"Storage","",IF(_xlfn.XLOOKUP($B91,'ELC TECH'!$H:$H,'ELC TECH'!AK:AK)="",0.8,_xlfn.XLOOKUP($B91,'ELC TECH'!$H:$H,'ELC TECH'!AK:AK)))</f>
        <v/>
      </c>
      <c r="S91" s="12" t="str">
        <f>IF(_xlfn.XLOOKUP($B91,'ELC TECH'!$H:$H,'ELC TECH'!$E:$E)&lt;&gt;"Storage","",IF(_xlfn.XLOOKUP($B91,'ELC TECH'!$H:$H,'ELC TECH'!AL:AL)="",0.8,_xlfn.XLOOKUP($B91,'ELC TECH'!$H:$H,'ELC TECH'!AL:AL)))</f>
        <v/>
      </c>
      <c r="T91" s="12" t="str">
        <f>IF(_xlfn.XLOOKUP($B91,'ELC TECH'!$H:$H,'ELC TECH'!$E:$E)&lt;&gt;"Storage","",IF(_xlfn.XLOOKUP($B91,'ELC TECH'!$H:$H,'ELC TECH'!AM:AM)="",0.8,_xlfn.XLOOKUP($B91,'ELC TECH'!$H:$H,'ELC TECH'!AM:AM)))</f>
        <v/>
      </c>
      <c r="U91" s="12" t="str">
        <f>IF(_xlfn.XLOOKUP($B91,'ELC TECH'!$H:$H,'ELC TECH'!$E:$E)&lt;&gt;"Storage","",IF(_xlfn.XLOOKUP($B91,'ELC TECH'!$H:$H,'ELC TECH'!AN:AN)="",0.8,_xlfn.XLOOKUP($B91,'ELC TECH'!$H:$H,'ELC TECH'!AN:AN)))</f>
        <v/>
      </c>
      <c r="V91" s="12" t="str">
        <f>IF(_xlfn.XLOOKUP($B91,'ELC TECH'!$H:$H,'ELC TECH'!$E:$E)&lt;&gt;"Storage","",IF(_xlfn.XLOOKUP($B91,'ELC TECH'!$H:$H,'ELC TECH'!AO:AO)="",0.8,_xlfn.XLOOKUP($B91,'ELC TECH'!$H:$H,'ELC TECH'!AO:AO)))</f>
        <v/>
      </c>
      <c r="W91" s="12" t="str">
        <f>IF(_xlfn.XLOOKUP($B91,'ELC TECH'!$H:$H,'ELC TECH'!$E:$E)&lt;&gt;"Storage","",IF(_xlfn.XLOOKUP($B91,'ELC TECH'!$H:$H,'ELC TECH'!AP:AP)="",0.8,_xlfn.XLOOKUP($B91,'ELC TECH'!$H:$H,'ELC TECH'!AP:AP)))</f>
        <v/>
      </c>
      <c r="X91" s="12" t="str">
        <f>IF(_xlfn.XLOOKUP($B91,'ELC TECH'!$H:$H,'ELC TECH'!$E:$E)&lt;&gt;"Storage","",IF(_xlfn.XLOOKUP($B91,'ELC TECH'!$H:$H,'ELC TECH'!AQ:AQ)="",0.8,_xlfn.XLOOKUP($B91,'ELC TECH'!$H:$H,'ELC TECH'!AQ:AQ)))</f>
        <v/>
      </c>
      <c r="Y91" s="12" t="str">
        <f>IF(_xlfn.XLOOKUP($B91,'ELC TECH'!$H:$H,'ELC TECH'!$E:$E)&lt;&gt;"Storage","",IF(_xlfn.XLOOKUP($B91,'ELC TECH'!$H:$H,'ELC TECH'!AR:AR)="",0.8,_xlfn.XLOOKUP($B91,'ELC TECH'!$H:$H,'ELC TECH'!AR:AR)))</f>
        <v/>
      </c>
      <c r="Z91" s="15">
        <f>_xlfn.XLOOKUP($B91,'ELC TECH'!$H:$H,'ELC TECH'!M:M)</f>
        <v>1585.9778456274889</v>
      </c>
      <c r="AA91" s="15">
        <f>_xlfn.XLOOKUP($B91,'ELC TECH'!$H:$H,'ELC TECH'!N:N)</f>
        <v>1451.061440581944</v>
      </c>
      <c r="AB91" s="15">
        <f>_xlfn.XLOOKUP($B91,'ELC TECH'!$H:$H,'ELC TECH'!O:O)</f>
        <v>1282.4159342750129</v>
      </c>
      <c r="AC91" s="15">
        <f>_xlfn.XLOOKUP($B91,'ELC TECH'!$H:$H,'ELC TECH'!P:P)</f>
        <v>1219.700470198158</v>
      </c>
      <c r="AD91" s="15">
        <f>_xlfn.XLOOKUP($B91,'ELC TECH'!$H:$H,'ELC TECH'!Q:Q)</f>
        <v>1156.985006121314</v>
      </c>
      <c r="AE91" s="15">
        <f>_xlfn.XLOOKUP($B91,'ELC TECH'!$H:$H,'ELC TECH'!R:R)</f>
        <v>1094.269542044465</v>
      </c>
      <c r="AF91" s="15">
        <f>_xlfn.XLOOKUP($B91,'ELC TECH'!$H:$H,'ELC TECH'!S:S)</f>
        <v>1031.5540779676139</v>
      </c>
      <c r="AG91" s="15">
        <f>_xlfn.XLOOKUP($B91,'ELC TECH'!$H:$H,'ELC TECH'!T:T)</f>
        <v>1031.5540779676139</v>
      </c>
      <c r="AH91" s="15">
        <f>_xlfn.XLOOKUP($B91,'ELC TECH'!$H:$H,'ELC TECH'!U:U)</f>
        <v>32.226836393586858</v>
      </c>
      <c r="AI91" s="15">
        <f>_xlfn.XLOOKUP($B91,'ELC TECH'!$H:$H,'ELC TECH'!V:V)</f>
        <v>30.26684166555577</v>
      </c>
      <c r="AJ91" s="15">
        <f>_xlfn.XLOOKUP($B91,'ELC TECH'!$H:$H,'ELC TECH'!W:W)</f>
        <v>27.81684825551708</v>
      </c>
      <c r="AK91" s="15">
        <f>_xlfn.XLOOKUP($B91,'ELC TECH'!$H:$H,'ELC TECH'!X:X)</f>
        <v>26.883966149386929</v>
      </c>
      <c r="AL91" s="15">
        <f>_xlfn.XLOOKUP($B91,'ELC TECH'!$H:$H,'ELC TECH'!Y:Y)</f>
        <v>25.951084043256781</v>
      </c>
      <c r="AM91" s="15">
        <f>_xlfn.XLOOKUP($B91,'ELC TECH'!$H:$H,'ELC TECH'!Z:Z)</f>
        <v>25.018201937126641</v>
      </c>
      <c r="AN91" s="15">
        <f>_xlfn.XLOOKUP($B91,'ELC TECH'!$H:$H,'ELC TECH'!AA:AA)</f>
        <v>24.08531983099649</v>
      </c>
      <c r="AO91" s="15">
        <f>_xlfn.XLOOKUP($B91,'ELC TECH'!$H:$H,'ELC TECH'!AB:AB)</f>
        <v>24.08531983099649</v>
      </c>
      <c r="AP91" s="15">
        <f>_xlfn.XLOOKUP($B91,'ELC TECH'!$H:$H,'ELC TECH'!AC:AC)</f>
        <v>0</v>
      </c>
      <c r="AQ91" s="15">
        <f>_xlfn.XLOOKUP($B91,'ELC TECH'!$H:$H,'ELC TECH'!AD:AD)</f>
        <v>0</v>
      </c>
      <c r="AR91" s="15">
        <f>_xlfn.XLOOKUP($B91,'ELC TECH'!$H:$H,'ELC TECH'!AE:AE)</f>
        <v>0</v>
      </c>
      <c r="AS91" s="15">
        <f>_xlfn.XLOOKUP($B91,'ELC TECH'!$H:$H,'ELC TECH'!AF:AF)</f>
        <v>0</v>
      </c>
      <c r="AT91" s="15">
        <f>_xlfn.XLOOKUP($B91,'ELC TECH'!$H:$H,'ELC TECH'!AG:AG)</f>
        <v>0</v>
      </c>
      <c r="AU91" s="15">
        <f>_xlfn.XLOOKUP($B91,'ELC TECH'!$H:$H,'ELC TECH'!AH:AH)</f>
        <v>0</v>
      </c>
      <c r="AV91" s="15">
        <f>_xlfn.XLOOKUP($B91,'ELC TECH'!$H:$H,'ELC TECH'!AI:AI)</f>
        <v>0</v>
      </c>
      <c r="AW91" s="15">
        <f>_xlfn.XLOOKUP($B91,'ELC TECH'!$H:$H,'ELC TECH'!AJ:AJ)</f>
        <v>0</v>
      </c>
      <c r="AX91" s="12">
        <f>IF(_xlfn.XLOOKUP($B91,'ELC TECH'!$H:$H,'ELC TECH'!$E:$E)="Storage","",_xlfn.XLOOKUP($B91,'ELC TECH'!$H:$H,'ELC TECH'!AS:AS))</f>
        <v>0.33939000000000002</v>
      </c>
      <c r="AY91" s="12">
        <f>IF(_xlfn.XLOOKUP($B91,'ELC TECH'!$H:$H,'ELC TECH'!$E:$E)="Storage","",_xlfn.XLOOKUP($B91,'ELC TECH'!$H:$H,'ELC TECH'!AT:AT))</f>
        <v>0.34981844444444399</v>
      </c>
      <c r="AZ91" s="12">
        <f>IF(_xlfn.XLOOKUP($B91,'ELC TECH'!$H:$H,'ELC TECH'!$E:$E)="Storage","",_xlfn.XLOOKUP($B91,'ELC TECH'!$H:$H,'ELC TECH'!AU:AU))</f>
        <v>0.36285400000000001</v>
      </c>
      <c r="BA91" s="12">
        <f>IF(_xlfn.XLOOKUP($B91,'ELC TECH'!$H:$H,'ELC TECH'!$E:$E)="Storage","",_xlfn.XLOOKUP($B91,'ELC TECH'!$H:$H,'ELC TECH'!AV:AV))</f>
        <v>0.36432049999999899</v>
      </c>
      <c r="BB91" s="12">
        <f>IF(_xlfn.XLOOKUP($B91,'ELC TECH'!$H:$H,'ELC TECH'!$E:$E)="Storage","",_xlfn.XLOOKUP($B91,'ELC TECH'!$H:$H,'ELC TECH'!AW:AW))</f>
        <v>0.36578699999999997</v>
      </c>
      <c r="BC91" s="12">
        <f>IF(_xlfn.XLOOKUP($B91,'ELC TECH'!$H:$H,'ELC TECH'!$E:$E)="Storage","",_xlfn.XLOOKUP($B91,'ELC TECH'!$H:$H,'ELC TECH'!AX:AX))</f>
        <v>0.36725350000000001</v>
      </c>
      <c r="BD91" s="12">
        <f>IF(_xlfn.XLOOKUP($B91,'ELC TECH'!$H:$H,'ELC TECH'!$E:$E)="Storage","",_xlfn.XLOOKUP($B91,'ELC TECH'!$H:$H,'ELC TECH'!AY:AY))</f>
        <v>0.36871999999999999</v>
      </c>
      <c r="BE91" s="12">
        <f>IF(_xlfn.XLOOKUP($B91,'ELC TECH'!$H:$H,'ELC TECH'!$E:$E)="Storage","",_xlfn.XLOOKUP($B91,'ELC TECH'!$H:$H,'ELC TECH'!AZ:AZ))</f>
        <v>0.36871999999999999</v>
      </c>
      <c r="BF91" s="12" t="str">
        <f>IF(_xlfn.XLOOKUP($B91,'ELC TECH'!$H:$H,'ELC TECH'!$E:$E)="Storage",_xlfn.XLOOKUP($B91,'ELC TECH'!$H:$H,'ELC TECH'!AS:AS),"")</f>
        <v/>
      </c>
      <c r="BG91" s="12" t="str">
        <f>IF(_xlfn.XLOOKUP($B91,'ELC TECH'!$H:$H,'ELC TECH'!$E:$E)="Storage",_xlfn.XLOOKUP($B91,'ELC TECH'!$H:$H,'ELC TECH'!AT:AT),"")</f>
        <v/>
      </c>
      <c r="BH91" s="12" t="str">
        <f>IF(_xlfn.XLOOKUP($B91,'ELC TECH'!$H:$H,'ELC TECH'!$E:$E)="Storage",_xlfn.XLOOKUP($B91,'ELC TECH'!$H:$H,'ELC TECH'!AU:AU),"")</f>
        <v/>
      </c>
      <c r="BI91" s="12" t="str">
        <f>IF(_xlfn.XLOOKUP($B91,'ELC TECH'!$H:$H,'ELC TECH'!$E:$E)="Storage",_xlfn.XLOOKUP($B91,'ELC TECH'!$H:$H,'ELC TECH'!AV:AV),"")</f>
        <v/>
      </c>
      <c r="BJ91" s="12" t="str">
        <f>IF(_xlfn.XLOOKUP($B91,'ELC TECH'!$H:$H,'ELC TECH'!$E:$E)="Storage",_xlfn.XLOOKUP($B91,'ELC TECH'!$H:$H,'ELC TECH'!AW:AW),"")</f>
        <v/>
      </c>
      <c r="BK91" s="12" t="str">
        <f>IF(_xlfn.XLOOKUP($B91,'ELC TECH'!$H:$H,'ELC TECH'!$E:$E)="Storage",_xlfn.XLOOKUP($B91,'ELC TECH'!$H:$H,'ELC TECH'!AX:AX),"")</f>
        <v/>
      </c>
      <c r="BL91" s="12" t="str">
        <f>IF(_xlfn.XLOOKUP($B91,'ELC TECH'!$H:$H,'ELC TECH'!$E:$E)="Storage",_xlfn.XLOOKUP($B91,'ELC TECH'!$H:$H,'ELC TECH'!AY:AY),"")</f>
        <v/>
      </c>
      <c r="BM91" s="12" t="str">
        <f>IF(_xlfn.XLOOKUP($B91,'ELC TECH'!$H:$H,'ELC TECH'!$E:$E)="Storage",_xlfn.XLOOKUP($B91,'ELC TECH'!$H:$H,'ELC TECH'!AZ:AZ),"")</f>
        <v/>
      </c>
      <c r="BN91" s="8">
        <f>IF(_xlfn.XLOOKUP($B91,'ELC TECH'!$H:$H,'ELC TECH'!$E:$E)="Non Dispatchable",IFERROR($AX91*_xlfn.XLOOKUP($C91,$BM$1:$BM$3,BN$1:BN$3)/SUMPRODUCT(_xlfn.XLOOKUP($C91,$BM$1:$BM$3,$BN$1:$BY$3),$BN$4:$BY$4),""),
"")</f>
        <v>0.59596934963874515</v>
      </c>
      <c r="BO91" s="8">
        <f>IF(_xlfn.XLOOKUP($B91,'ELC TECH'!$H:$H,'ELC TECH'!$E:$E)="Non Dispatchable",IFERROR($AX91*_xlfn.XLOOKUP($C91,$BM$1:$BM$3,BO$1:BO$3)/SUMPRODUCT(_xlfn.XLOOKUP($C91,$BM$1:$BM$3,$BN$1:$BY$3),$BN$4:$BY$4),""),
"")</f>
        <v>0.59596934963874515</v>
      </c>
      <c r="BP91" s="8">
        <f>IF(_xlfn.XLOOKUP($B91,'ELC TECH'!$H:$H,'ELC TECH'!$E:$E)="Non Dispatchable",IFERROR($AX91*_xlfn.XLOOKUP($C91,$BM$1:$BM$3,BP$1:BP$3)/SUMPRODUCT(_xlfn.XLOOKUP($C91,$BM$1:$BM$3,$BN$1:$BY$3),$BN$4:$BY$4),""),
"")</f>
        <v>5.9596934963874512E-2</v>
      </c>
      <c r="BQ91" s="8">
        <f>IF(_xlfn.XLOOKUP($B91,'ELC TECH'!$H:$H,'ELC TECH'!$E:$E)="Non Dispatchable",IFERROR($AX91*_xlfn.XLOOKUP($C91,$BM$1:$BM$3,BQ$1:BQ$3)/SUMPRODUCT(_xlfn.XLOOKUP($C91,$BM$1:$BM$3,$BN$1:$BY$3),$BN$4:$BY$4),""),
"")</f>
        <v>0.47752512669167391</v>
      </c>
      <c r="BR91" s="8">
        <f>IF(_xlfn.XLOOKUP($B91,'ELC TECH'!$H:$H,'ELC TECH'!$E:$E)="Non Dispatchable",IFERROR($AX91*_xlfn.XLOOKUP($C91,$BM$1:$BM$3,BR$1:BR$3)/SUMPRODUCT(_xlfn.XLOOKUP($C91,$BM$1:$BM$3,$BN$1:$BY$3),$BN$4:$BY$4),""),
"")</f>
        <v>0.69349160685235811</v>
      </c>
      <c r="BS91" s="8">
        <f>IF(_xlfn.XLOOKUP($B91,'ELC TECH'!$H:$H,'ELC TECH'!$E:$E)="Non Dispatchable",IFERROR($AX91*_xlfn.XLOOKUP($C91,$BM$1:$BM$3,BS$1:BS$3)/SUMPRODUCT(_xlfn.XLOOKUP($C91,$BM$1:$BM$3,$BN$1:$BY$3),$BN$4:$BY$4),""),
"")</f>
        <v>0.69349160685235811</v>
      </c>
      <c r="BT91" s="8">
        <f>IF(_xlfn.XLOOKUP($B91,'ELC TECH'!$H:$H,'ELC TECH'!$E:$E)="Non Dispatchable",IFERROR($AX91*_xlfn.XLOOKUP($C91,$BM$1:$BM$3,BT$1:BT$3)/SUMPRODUCT(_xlfn.XLOOKUP($C91,$BM$1:$BM$3,$BN$1:$BY$3),$BN$4:$BY$4),""),
"")</f>
        <v>6.9349160685235819E-2</v>
      </c>
      <c r="BU91" s="8">
        <f>IF(_xlfn.XLOOKUP($B91,'ELC TECH'!$H:$H,'ELC TECH'!$E:$E)="Non Dispatchable",IFERROR($AX91*_xlfn.XLOOKUP($C91,$BM$1:$BM$3,BU$1:BU$3)/SUMPRODUCT(_xlfn.XLOOKUP($C91,$BM$1:$BM$3,$BN$1:$BY$3),$BN$4:$BY$4),""),
"")</f>
        <v>0.61447986354624762</v>
      </c>
      <c r="BV91" s="8">
        <f>IF(_xlfn.XLOOKUP($B91,'ELC TECH'!$H:$H,'ELC TECH'!$E:$E)="Non Dispatchable",IFERROR($AX91*_xlfn.XLOOKUP($C91,$BM$1:$BM$3,BV$1:BV$3)/SUMPRODUCT(_xlfn.XLOOKUP($C91,$BM$1:$BM$3,$BN$1:$BY$3),$BN$4:$BY$4),""),
"")</f>
        <v>0.35913856889696238</v>
      </c>
      <c r="BW91" s="8">
        <f>IF(_xlfn.XLOOKUP($B91,'ELC TECH'!$H:$H,'ELC TECH'!$E:$E)="Non Dispatchable",IFERROR($AX91*_xlfn.XLOOKUP($C91,$BM$1:$BM$3,BW$1:BW$3)/SUMPRODUCT(_xlfn.XLOOKUP($C91,$BM$1:$BM$3,$BN$1:$BY$3),$BN$4:$BY$4),""),
"")</f>
        <v>0.35913856889696238</v>
      </c>
      <c r="BX91" s="8">
        <f>IF(_xlfn.XLOOKUP($B91,'ELC TECH'!$H:$H,'ELC TECH'!$E:$E)="Non Dispatchable",IFERROR($AX91*_xlfn.XLOOKUP($C91,$BM$1:$BM$3,BX$1:BX$3)/SUMPRODUCT(_xlfn.XLOOKUP($C91,$BM$1:$BM$3,$BN$1:$BY$3),$BN$4:$BY$4),""),
"")</f>
        <v>3.5913856889696234E-2</v>
      </c>
      <c r="BY91" s="8">
        <f>IF(_xlfn.XLOOKUP($B91,'ELC TECH'!$H:$H,'ELC TECH'!$E:$E)="Non Dispatchable",IFERROR($AX91*_xlfn.XLOOKUP($C91,$BM$1:$BM$3,BY$1:BY$3)/SUMPRODUCT(_xlfn.XLOOKUP($C91,$BM$1:$BM$3,$BN$1:$BY$3),$BN$4:$BY$4),""),
"")</f>
        <v>0.26251274268821573</v>
      </c>
      <c r="BZ91" s="8">
        <f>IF(_xlfn.XLOOKUP($B91,'ELC TECH'!$H:$H,'ELC TECH'!$E:$E)="Non Dispatchable",IFERROR($AX91*_xlfn.XLOOKUP($C91,$BM$1:$BM$3,BZ$1:BZ$3)/SUMPRODUCT(_xlfn.XLOOKUP($C91,$BM$1:$BM$3,$BN$1:$BY$3),$BN$4:$BY$4),""),
"")</f>
        <v>0.59596934963874515</v>
      </c>
      <c r="CA91" s="8">
        <f>IF(_xlfn.XLOOKUP($B91,'ELC TECH'!$H:$H,'ELC TECH'!$E:$E)="Non Dispatchable",IFERROR($AX91*_xlfn.XLOOKUP($C91,$BM$1:$BM$3,CA$1:CA$3)/SUMPRODUCT(_xlfn.XLOOKUP($C91,$BM$1:$BM$3,$BN$1:$BY$3),$BN$4:$BY$4),""),
"")</f>
        <v>0.59596934963874515</v>
      </c>
      <c r="CB91" s="8">
        <f>IF(_xlfn.XLOOKUP($B91,'ELC TECH'!$H:$H,'ELC TECH'!$E:$E)="Non Dispatchable",IFERROR($AX91*_xlfn.XLOOKUP($C91,$BM$1:$BM$3,CB$1:CB$3)/SUMPRODUCT(_xlfn.XLOOKUP($C91,$BM$1:$BM$3,$BN$1:$BY$3),$BN$4:$BY$4),""),
"")</f>
        <v>5.9596934963874512E-2</v>
      </c>
      <c r="CC91" s="8">
        <f>IF(_xlfn.XLOOKUP($B91,'ELC TECH'!$H:$H,'ELC TECH'!$E:$E)="Non Dispatchable",IFERROR($AX91*_xlfn.XLOOKUP($C91,$BM$1:$BM$3,CC$1:CC$3)/SUMPRODUCT(_xlfn.XLOOKUP($C91,$BM$1:$BM$3,$BN$1:$BY$3),$BN$4:$BY$4),""),
"")</f>
        <v>0.47752512669167391</v>
      </c>
      <c r="CD91" s="8">
        <f>IF(_xlfn.XLOOKUP($B91,'ELC TECH'!$H:$H,'ELC TECH'!$E:$E)="Non Dispatchable",IFERROR($AX91*_xlfn.XLOOKUP($C91,$BM$1:$BM$3,CD$1:CD$3)/SUMPRODUCT(_xlfn.XLOOKUP($C91,$BM$1:$BM$3,$BN$1:$BY$3),$BN$4:$BY$4),""),
"")</f>
        <v>0.69349160685235811</v>
      </c>
      <c r="CE91" s="8">
        <f>IF(_xlfn.XLOOKUP($B91,'ELC TECH'!$H:$H,'ELC TECH'!$E:$E)="Non Dispatchable",IFERROR($AX91*_xlfn.XLOOKUP($C91,$BM$1:$BM$3,CE$1:CE$3)/SUMPRODUCT(_xlfn.XLOOKUP($C91,$BM$1:$BM$3,$BN$1:$BY$3),$BN$4:$BY$4),""),
"")</f>
        <v>0.69349160685235811</v>
      </c>
      <c r="CF91" s="8">
        <f>IF(_xlfn.XLOOKUP($B91,'ELC TECH'!$H:$H,'ELC TECH'!$E:$E)="Non Dispatchable",IFERROR($AX91*_xlfn.XLOOKUP($C91,$BM$1:$BM$3,CF$1:CF$3)/SUMPRODUCT(_xlfn.XLOOKUP($C91,$BM$1:$BM$3,$BN$1:$BY$3),$BN$4:$BY$4),""),
"")</f>
        <v>6.9349160685235819E-2</v>
      </c>
      <c r="CG91" s="8">
        <f>IF(_xlfn.XLOOKUP($B91,'ELC TECH'!$H:$H,'ELC TECH'!$E:$E)="Non Dispatchable",IFERROR($AX91*_xlfn.XLOOKUP($C91,$BM$1:$BM$3,CG$1:CG$3)/SUMPRODUCT(_xlfn.XLOOKUP($C91,$BM$1:$BM$3,$BN$1:$BY$3),$BN$4:$BY$4),""),
"")</f>
        <v>0.61447986354624762</v>
      </c>
      <c r="CH91" s="8">
        <f>IF(_xlfn.XLOOKUP($B91,'ELC TECH'!$H:$H,'ELC TECH'!$E:$E)="Non Dispatchable",IFERROR($AX91*_xlfn.XLOOKUP($C91,$BM$1:$BM$3,CH$1:CH$3)/SUMPRODUCT(_xlfn.XLOOKUP($C91,$BM$1:$BM$3,$BN$1:$BY$3),$BN$4:$BY$4),""),
"")</f>
        <v>0.35913856889696238</v>
      </c>
      <c r="CI91" s="8">
        <f>IF(_xlfn.XLOOKUP($B91,'ELC TECH'!$H:$H,'ELC TECH'!$E:$E)="Non Dispatchable",IFERROR($AX91*_xlfn.XLOOKUP($C91,$BM$1:$BM$3,CI$1:CI$3)/SUMPRODUCT(_xlfn.XLOOKUP($C91,$BM$1:$BM$3,$BN$1:$BY$3),$BN$4:$BY$4),""),
"")</f>
        <v>0.35913856889696238</v>
      </c>
      <c r="CJ91" s="8">
        <f>IF(_xlfn.XLOOKUP($B91,'ELC TECH'!$H:$H,'ELC TECH'!$E:$E)="Non Dispatchable",IFERROR($AX91*_xlfn.XLOOKUP($C91,$BM$1:$BM$3,CJ$1:CJ$3)/SUMPRODUCT(_xlfn.XLOOKUP($C91,$BM$1:$BM$3,$BN$1:$BY$3),$BN$4:$BY$4),""),
"")</f>
        <v>3.5913856889696234E-2</v>
      </c>
      <c r="CK91" s="8">
        <f>IF(_xlfn.XLOOKUP($B91,'ELC TECH'!$H:$H,'ELC TECH'!$E:$E)="Non Dispatchable",IFERROR($AX91*_xlfn.XLOOKUP($C91,$BM$1:$BM$3,CK$1:CK$3)/SUMPRODUCT(_xlfn.XLOOKUP($C91,$BM$1:$BM$3,$BN$1:$BY$3),$BN$4:$BY$4),""),
"")</f>
        <v>0.26251274268821573</v>
      </c>
      <c r="CL91" s="8" t="str">
        <f>IF(_xlfn.XLOOKUP($B91,'ELC TECH'!$H:$H,'ELC TECH'!$E:$E)="Storage",CL$4*$BF91,"")</f>
        <v/>
      </c>
      <c r="CM91" s="8" t="str">
        <f>IF(_xlfn.XLOOKUP($B91,'ELC TECH'!$H:$H,'ELC TECH'!$E:$E)="Storage",CM$4*$BF91,"")</f>
        <v/>
      </c>
      <c r="CN91" s="8" t="str">
        <f>IF(_xlfn.XLOOKUP($B91,'ELC TECH'!$H:$H,'ELC TECH'!$E:$E)="Storage",CN$4*$BF91,"")</f>
        <v/>
      </c>
      <c r="CO91" s="8" t="str">
        <f>IF(_xlfn.XLOOKUP($B91,'ELC TECH'!$H:$H,'ELC TECH'!$E:$E)="Storage",CO$4*$BF91,"")</f>
        <v/>
      </c>
      <c r="CP91" s="8" t="str">
        <f>IF(_xlfn.XLOOKUP($B91,'ELC TECH'!$H:$H,'ELC TECH'!$E:$E)="Storage",CP$4*$BF91,"")</f>
        <v/>
      </c>
      <c r="CQ91" s="8" t="str">
        <f>IF(_xlfn.XLOOKUP($B91,'ELC TECH'!$H:$H,'ELC TECH'!$E:$E)="Storage",CQ$4*$BF91,"")</f>
        <v/>
      </c>
      <c r="CR91" s="8" t="str">
        <f>IF(_xlfn.XLOOKUP($B91,'ELC TECH'!$H:$H,'ELC TECH'!$E:$E)="Storage",CR$4*$BF91,"")</f>
        <v/>
      </c>
      <c r="CS91" s="8" t="str">
        <f>IF(_xlfn.XLOOKUP($B91,'ELC TECH'!$H:$H,'ELC TECH'!$E:$E)="Storage",CS$4*$BF91,"")</f>
        <v/>
      </c>
      <c r="CT91" s="8" t="str">
        <f>IF(_xlfn.XLOOKUP($B91,'ELC TECH'!$H:$H,'ELC TECH'!$E:$E)="Storage",CT$4*$BF91,"")</f>
        <v/>
      </c>
      <c r="CU91" s="8" t="str">
        <f>IF(_xlfn.XLOOKUP($B91,'ELC TECH'!$H:$H,'ELC TECH'!$E:$E)="Storage",CU$4*$BF91,"")</f>
        <v/>
      </c>
      <c r="CV91" s="8" t="str">
        <f>IF(_xlfn.XLOOKUP($B91,'ELC TECH'!$H:$H,'ELC TECH'!$E:$E)="Storage",CV$4*$BF91,"")</f>
        <v/>
      </c>
      <c r="CW91" s="8" t="str">
        <f>IF(_xlfn.XLOOKUP($B91,'ELC TECH'!$H:$H,'ELC TECH'!$E:$E)="Storage",CW$4*$BF91,"")</f>
        <v/>
      </c>
      <c r="CX91" s="8" t="str">
        <f>IF(_xlfn.XLOOKUP($B91,'ELC TECH'!$H:$H,'ELC TECH'!$E:$E)="Storage",CX$4*$BF91,"")</f>
        <v/>
      </c>
      <c r="CY91" s="8" t="str">
        <f>IF(_xlfn.XLOOKUP($B91,'ELC TECH'!$H:$H,'ELC TECH'!$E:$E)="Storage",CY$4*$BF91,"")</f>
        <v/>
      </c>
      <c r="CZ91" s="8" t="str">
        <f>IF(_xlfn.XLOOKUP($B91,'ELC TECH'!$H:$H,'ELC TECH'!$E:$E)="Storage",CZ$4*$BF91,"")</f>
        <v/>
      </c>
      <c r="DA91" s="8" t="str">
        <f>IF(_xlfn.XLOOKUP($B91,'ELC TECH'!$H:$H,'ELC TECH'!$E:$E)="Storage",DA$4*$BF91,"")</f>
        <v/>
      </c>
      <c r="DB91" s="8" t="str">
        <f>IF(_xlfn.XLOOKUP($B91,'ELC TECH'!$H:$H,'ELC TECH'!$E:$E)="Storage",DB$4*$BF91,"")</f>
        <v/>
      </c>
      <c r="DC91" s="8" t="str">
        <f>IF(_xlfn.XLOOKUP($B91,'ELC TECH'!$H:$H,'ELC TECH'!$E:$E)="Storage",DC$4*$BF91,"")</f>
        <v/>
      </c>
      <c r="DD91" s="8" t="str">
        <f>IF(_xlfn.XLOOKUP($B91,'ELC TECH'!$H:$H,'ELC TECH'!$E:$E)="Storage",DD$4*$BF91,"")</f>
        <v/>
      </c>
      <c r="DE91" s="8" t="str">
        <f>IF(_xlfn.XLOOKUP($B91,'ELC TECH'!$H:$H,'ELC TECH'!$E:$E)="Storage",DE$4*$BF91,"")</f>
        <v/>
      </c>
      <c r="DF91" s="8" t="str">
        <f>IF(_xlfn.XLOOKUP($B91,'ELC TECH'!$H:$H,'ELC TECH'!$E:$E)="Storage",DF$4*$BF91,"")</f>
        <v/>
      </c>
      <c r="DG91" s="8" t="str">
        <f>IF(_xlfn.XLOOKUP($B91,'ELC TECH'!$H:$H,'ELC TECH'!$E:$E)="Storage",DG$4*$BF91,"")</f>
        <v/>
      </c>
      <c r="DH91" s="8" t="str">
        <f>IF(_xlfn.XLOOKUP($B91,'ELC TECH'!$H:$H,'ELC TECH'!$E:$E)="Storage",DH$4*$BF91,"")</f>
        <v/>
      </c>
      <c r="DI91" s="8" t="str">
        <f>IF(_xlfn.XLOOKUP($B91,'ELC TECH'!$H:$H,'ELC TECH'!$E:$E)="Storage",DI$4*$BF91,"")</f>
        <v/>
      </c>
    </row>
    <row r="92" spans="2:113" x14ac:dyDescent="0.25">
      <c r="B92" t="str">
        <f>IF('ELC TECH'!I85=0,"*",'ELC TECH'!H85)</f>
        <v>ELCWNDGRDWONC920</v>
      </c>
      <c r="C92" t="str">
        <f>IF(_xlfn.XLOOKUP(_xlfn.XLOOKUP(B92,'ELC TECH'!$H:$H,'ELC TECH'!$G:$G),List!C:C,List!B:B)="STG",D92,"ELC"&amp;_xlfn.XLOOKUP(_xlfn.XLOOKUP(B92,'ELC TECH'!H:H,'ELC TECH'!G:G),List!C:C,List!B:B))</f>
        <v>ELCWND</v>
      </c>
      <c r="D92" t="s">
        <v>544</v>
      </c>
      <c r="E92">
        <f>_xlfn.XLOOKUP(B92,'ELC TECH'!H:H,'ELC TECH'!D:D)</f>
        <v>2020</v>
      </c>
      <c r="F92">
        <f>_xlfn.XLOOKUP(B92,'ELC TECH'!H:H,'ELC TECH'!K:K)</f>
        <v>30</v>
      </c>
      <c r="G92">
        <f t="shared" si="6"/>
        <v>31.535999999999998</v>
      </c>
      <c r="H92">
        <f>IF(_xlfn.XLOOKUP(B92,'ELC TECH'!$H:$H,'ELC TECH'!$E:$E)="Storage",0.3,IF(_xlfn.XLOOKUP(B92,'ELC TECH'!$H:$H,'ELC TECH'!$E:$E)="Baseload",0.9,IF(_xlfn.XLOOKUP(B92,'ELC TECH'!$H:$H,'ELC TECH'!$E:$E)="Non Dispatchable",0.05,IF(_xlfn.XLOOKUP(B92,'ELC TECH'!$H:$H,'ELC TECH'!$E:$E)="Dispatchable",0.9,1))))</f>
        <v>0.05</v>
      </c>
      <c r="I92" s="13">
        <f>IF(_xlfn.XLOOKUP(B92,'ELC TECH'!H:H,'ELC TECH'!J:J)="","",_xlfn.XLOOKUP(B92,'ELC TECH'!H:H,'ELC TECH'!J:J))</f>
        <v>0</v>
      </c>
      <c r="J92" s="12">
        <f>IF(_xlfn.XLOOKUP($B92,'ELC TECH'!$H:$H,'ELC TECH'!$E:$E)="Storage","",IF(_xlfn.XLOOKUP($B92,'ELC TECH'!$H:$H,'ELC TECH'!AK:AK)="",1,_xlfn.XLOOKUP($B92,'ELC TECH'!$H:$H,'ELC TECH'!AK:AK)))</f>
        <v>1</v>
      </c>
      <c r="K92" s="12">
        <f>IF(_xlfn.XLOOKUP($B92,'ELC TECH'!$H:$H,'ELC TECH'!$E:$E)="Storage","",IF(_xlfn.XLOOKUP($B92,'ELC TECH'!$H:$H,'ELC TECH'!AL:AL)="",1,_xlfn.XLOOKUP($B92,'ELC TECH'!$H:$H,'ELC TECH'!AL:AL)))</f>
        <v>1</v>
      </c>
      <c r="L92" s="12">
        <f>IF(_xlfn.XLOOKUP($B92,'ELC TECH'!$H:$H,'ELC TECH'!$E:$E)="Storage","",IF(_xlfn.XLOOKUP($B92,'ELC TECH'!$H:$H,'ELC TECH'!AM:AM)="",1,_xlfn.XLOOKUP($B92,'ELC TECH'!$H:$H,'ELC TECH'!AM:AM)))</f>
        <v>1</v>
      </c>
      <c r="M92" s="12">
        <f>IF(_xlfn.XLOOKUP($B92,'ELC TECH'!$H:$H,'ELC TECH'!$E:$E)="Storage","",IF(_xlfn.XLOOKUP($B92,'ELC TECH'!$H:$H,'ELC TECH'!AN:AN)="",1,_xlfn.XLOOKUP($B92,'ELC TECH'!$H:$H,'ELC TECH'!AN:AN)))</f>
        <v>1</v>
      </c>
      <c r="N92" s="12">
        <f>IF(_xlfn.XLOOKUP($B92,'ELC TECH'!$H:$H,'ELC TECH'!$E:$E)="Storage","",IF(_xlfn.XLOOKUP($B92,'ELC TECH'!$H:$H,'ELC TECH'!AO:AO)="",1,_xlfn.XLOOKUP($B92,'ELC TECH'!$H:$H,'ELC TECH'!AO:AO)))</f>
        <v>1</v>
      </c>
      <c r="O92" s="12">
        <f>IF(_xlfn.XLOOKUP($B92,'ELC TECH'!$H:$H,'ELC TECH'!$E:$E)="Storage","",IF(_xlfn.XLOOKUP($B92,'ELC TECH'!$H:$H,'ELC TECH'!AP:AP)="",1,_xlfn.XLOOKUP($B92,'ELC TECH'!$H:$H,'ELC TECH'!AP:AP)))</f>
        <v>1</v>
      </c>
      <c r="P92" s="12">
        <f>IF(_xlfn.XLOOKUP($B92,'ELC TECH'!$H:$H,'ELC TECH'!$E:$E)="Storage","",IF(_xlfn.XLOOKUP($B92,'ELC TECH'!$H:$H,'ELC TECH'!AQ:AQ)="",1,_xlfn.XLOOKUP($B92,'ELC TECH'!$H:$H,'ELC TECH'!AQ:AQ)))</f>
        <v>1</v>
      </c>
      <c r="Q92" s="12">
        <f>IF(_xlfn.XLOOKUP($B92,'ELC TECH'!$H:$H,'ELC TECH'!$E:$E)="Storage","",IF(_xlfn.XLOOKUP($B92,'ELC TECH'!$H:$H,'ELC TECH'!AR:AR)="",1,_xlfn.XLOOKUP($B92,'ELC TECH'!$H:$H,'ELC TECH'!AR:AR)))</f>
        <v>1</v>
      </c>
      <c r="R92" s="12" t="str">
        <f>IF(_xlfn.XLOOKUP($B92,'ELC TECH'!$H:$H,'ELC TECH'!$E:$E)&lt;&gt;"Storage","",IF(_xlfn.XLOOKUP($B92,'ELC TECH'!$H:$H,'ELC TECH'!AK:AK)="",0.8,_xlfn.XLOOKUP($B92,'ELC TECH'!$H:$H,'ELC TECH'!AK:AK)))</f>
        <v/>
      </c>
      <c r="S92" s="12" t="str">
        <f>IF(_xlfn.XLOOKUP($B92,'ELC TECH'!$H:$H,'ELC TECH'!$E:$E)&lt;&gt;"Storage","",IF(_xlfn.XLOOKUP($B92,'ELC TECH'!$H:$H,'ELC TECH'!AL:AL)="",0.8,_xlfn.XLOOKUP($B92,'ELC TECH'!$H:$H,'ELC TECH'!AL:AL)))</f>
        <v/>
      </c>
      <c r="T92" s="12" t="str">
        <f>IF(_xlfn.XLOOKUP($B92,'ELC TECH'!$H:$H,'ELC TECH'!$E:$E)&lt;&gt;"Storage","",IF(_xlfn.XLOOKUP($B92,'ELC TECH'!$H:$H,'ELC TECH'!AM:AM)="",0.8,_xlfn.XLOOKUP($B92,'ELC TECH'!$H:$H,'ELC TECH'!AM:AM)))</f>
        <v/>
      </c>
      <c r="U92" s="12" t="str">
        <f>IF(_xlfn.XLOOKUP($B92,'ELC TECH'!$H:$H,'ELC TECH'!$E:$E)&lt;&gt;"Storage","",IF(_xlfn.XLOOKUP($B92,'ELC TECH'!$H:$H,'ELC TECH'!AN:AN)="",0.8,_xlfn.XLOOKUP($B92,'ELC TECH'!$H:$H,'ELC TECH'!AN:AN)))</f>
        <v/>
      </c>
      <c r="V92" s="12" t="str">
        <f>IF(_xlfn.XLOOKUP($B92,'ELC TECH'!$H:$H,'ELC TECH'!$E:$E)&lt;&gt;"Storage","",IF(_xlfn.XLOOKUP($B92,'ELC TECH'!$H:$H,'ELC TECH'!AO:AO)="",0.8,_xlfn.XLOOKUP($B92,'ELC TECH'!$H:$H,'ELC TECH'!AO:AO)))</f>
        <v/>
      </c>
      <c r="W92" s="12" t="str">
        <f>IF(_xlfn.XLOOKUP($B92,'ELC TECH'!$H:$H,'ELC TECH'!$E:$E)&lt;&gt;"Storage","",IF(_xlfn.XLOOKUP($B92,'ELC TECH'!$H:$H,'ELC TECH'!AP:AP)="",0.8,_xlfn.XLOOKUP($B92,'ELC TECH'!$H:$H,'ELC TECH'!AP:AP)))</f>
        <v/>
      </c>
      <c r="X92" s="12" t="str">
        <f>IF(_xlfn.XLOOKUP($B92,'ELC TECH'!$H:$H,'ELC TECH'!$E:$E)&lt;&gt;"Storage","",IF(_xlfn.XLOOKUP($B92,'ELC TECH'!$H:$H,'ELC TECH'!AQ:AQ)="",0.8,_xlfn.XLOOKUP($B92,'ELC TECH'!$H:$H,'ELC TECH'!AQ:AQ)))</f>
        <v/>
      </c>
      <c r="Y92" s="12" t="str">
        <f>IF(_xlfn.XLOOKUP($B92,'ELC TECH'!$H:$H,'ELC TECH'!$E:$E)&lt;&gt;"Storage","",IF(_xlfn.XLOOKUP($B92,'ELC TECH'!$H:$H,'ELC TECH'!AR:AR)="",0.8,_xlfn.XLOOKUP($B92,'ELC TECH'!$H:$H,'ELC TECH'!AR:AR)))</f>
        <v/>
      </c>
      <c r="Z92" s="15">
        <f>_xlfn.XLOOKUP($B92,'ELC TECH'!$H:$H,'ELC TECH'!M:M)</f>
        <v>1508.223391140707</v>
      </c>
      <c r="AA92" s="15">
        <f>_xlfn.XLOOKUP($B92,'ELC TECH'!$H:$H,'ELC TECH'!N:N)</f>
        <v>1435.7945842215231</v>
      </c>
      <c r="AB92" s="15">
        <f>_xlfn.XLOOKUP($B92,'ELC TECH'!$H:$H,'ELC TECH'!O:O)</f>
        <v>1345.2585755725361</v>
      </c>
      <c r="AC92" s="15">
        <f>_xlfn.XLOOKUP($B92,'ELC TECH'!$H:$H,'ELC TECH'!P:P)</f>
        <v>1281.5797555124741</v>
      </c>
      <c r="AD92" s="15">
        <f>_xlfn.XLOOKUP($B92,'ELC TECH'!$H:$H,'ELC TECH'!Q:Q)</f>
        <v>1217.9009354524001</v>
      </c>
      <c r="AE92" s="15">
        <f>_xlfn.XLOOKUP($B92,'ELC TECH'!$H:$H,'ELC TECH'!R:R)</f>
        <v>1154.222115392326</v>
      </c>
      <c r="AF92" s="15">
        <f>_xlfn.XLOOKUP($B92,'ELC TECH'!$H:$H,'ELC TECH'!S:S)</f>
        <v>1090.543295332257</v>
      </c>
      <c r="AG92" s="15">
        <f>_xlfn.XLOOKUP($B92,'ELC TECH'!$H:$H,'ELC TECH'!T:T)</f>
        <v>1090.543295332257</v>
      </c>
      <c r="AH92" s="15">
        <f>_xlfn.XLOOKUP($B92,'ELC TECH'!$H:$H,'ELC TECH'!U:U)</f>
        <v>43.4214216671486</v>
      </c>
      <c r="AI92" s="15">
        <f>_xlfn.XLOOKUP($B92,'ELC TECH'!$H:$H,'ELC TECH'!V:V)</f>
        <v>41.762964589583873</v>
      </c>
      <c r="AJ92" s="15">
        <f>_xlfn.XLOOKUP($B92,'ELC TECH'!$H:$H,'ELC TECH'!W:W)</f>
        <v>39.689893242628017</v>
      </c>
      <c r="AK92" s="15">
        <f>_xlfn.XLOOKUP($B92,'ELC TECH'!$H:$H,'ELC TECH'!X:X)</f>
        <v>38.13508973241111</v>
      </c>
      <c r="AL92" s="15">
        <f>_xlfn.XLOOKUP($B92,'ELC TECH'!$H:$H,'ELC TECH'!Y:Y)</f>
        <v>36.580286222194196</v>
      </c>
      <c r="AM92" s="15">
        <f>_xlfn.XLOOKUP($B92,'ELC TECH'!$H:$H,'ELC TECH'!Z:Z)</f>
        <v>35.025482711977297</v>
      </c>
      <c r="AN92" s="15">
        <f>_xlfn.XLOOKUP($B92,'ELC TECH'!$H:$H,'ELC TECH'!AA:AA)</f>
        <v>33.470679201760383</v>
      </c>
      <c r="AO92" s="15">
        <f>_xlfn.XLOOKUP($B92,'ELC TECH'!$H:$H,'ELC TECH'!AB:AB)</f>
        <v>33.470679201760383</v>
      </c>
      <c r="AP92" s="15">
        <f>_xlfn.XLOOKUP($B92,'ELC TECH'!$H:$H,'ELC TECH'!AC:AC)</f>
        <v>0</v>
      </c>
      <c r="AQ92" s="15">
        <f>_xlfn.XLOOKUP($B92,'ELC TECH'!$H:$H,'ELC TECH'!AD:AD)</f>
        <v>0</v>
      </c>
      <c r="AR92" s="15">
        <f>_xlfn.XLOOKUP($B92,'ELC TECH'!$H:$H,'ELC TECH'!AE:AE)</f>
        <v>0</v>
      </c>
      <c r="AS92" s="15">
        <f>_xlfn.XLOOKUP($B92,'ELC TECH'!$H:$H,'ELC TECH'!AF:AF)</f>
        <v>0</v>
      </c>
      <c r="AT92" s="15">
        <f>_xlfn.XLOOKUP($B92,'ELC TECH'!$H:$H,'ELC TECH'!AG:AG)</f>
        <v>0</v>
      </c>
      <c r="AU92" s="15">
        <f>_xlfn.XLOOKUP($B92,'ELC TECH'!$H:$H,'ELC TECH'!AH:AH)</f>
        <v>0</v>
      </c>
      <c r="AV92" s="15">
        <f>_xlfn.XLOOKUP($B92,'ELC TECH'!$H:$H,'ELC TECH'!AI:AI)</f>
        <v>0</v>
      </c>
      <c r="AW92" s="15">
        <f>_xlfn.XLOOKUP($B92,'ELC TECH'!$H:$H,'ELC TECH'!AJ:AJ)</f>
        <v>0</v>
      </c>
      <c r="AX92" s="12">
        <f>IF(_xlfn.XLOOKUP($B92,'ELC TECH'!$H:$H,'ELC TECH'!$E:$E)="Storage","",_xlfn.XLOOKUP($B92,'ELC TECH'!$H:$H,'ELC TECH'!AS:AS))</f>
        <v>0.32805000000000001</v>
      </c>
      <c r="AY92" s="12">
        <f>IF(_xlfn.XLOOKUP($B92,'ELC TECH'!$H:$H,'ELC TECH'!$E:$E)="Storage","",_xlfn.XLOOKUP($B92,'ELC TECH'!$H:$H,'ELC TECH'!AT:AT))</f>
        <v>0.33812999999999999</v>
      </c>
      <c r="AZ92" s="12">
        <f>IF(_xlfn.XLOOKUP($B92,'ELC TECH'!$H:$H,'ELC TECH'!$E:$E)="Storage","",_xlfn.XLOOKUP($B92,'ELC TECH'!$H:$H,'ELC TECH'!AU:AU))</f>
        <v>0.35072999999999999</v>
      </c>
      <c r="BA92" s="12">
        <f>IF(_xlfn.XLOOKUP($B92,'ELC TECH'!$H:$H,'ELC TECH'!$E:$E)="Storage","",_xlfn.XLOOKUP($B92,'ELC TECH'!$H:$H,'ELC TECH'!AV:AV))</f>
        <v>0.3521475</v>
      </c>
      <c r="BB92" s="12">
        <f>IF(_xlfn.XLOOKUP($B92,'ELC TECH'!$H:$H,'ELC TECH'!$E:$E)="Storage","",_xlfn.XLOOKUP($B92,'ELC TECH'!$H:$H,'ELC TECH'!AW:AW))</f>
        <v>0.35356500000000002</v>
      </c>
      <c r="BC92" s="12">
        <f>IF(_xlfn.XLOOKUP($B92,'ELC TECH'!$H:$H,'ELC TECH'!$E:$E)="Storage","",_xlfn.XLOOKUP($B92,'ELC TECH'!$H:$H,'ELC TECH'!AX:AX))</f>
        <v>0.35498249999999998</v>
      </c>
      <c r="BD92" s="12">
        <f>IF(_xlfn.XLOOKUP($B92,'ELC TECH'!$H:$H,'ELC TECH'!$E:$E)="Storage","",_xlfn.XLOOKUP($B92,'ELC TECH'!$H:$H,'ELC TECH'!AY:AY))</f>
        <v>0.35639999999999999</v>
      </c>
      <c r="BE92" s="12">
        <f>IF(_xlfn.XLOOKUP($B92,'ELC TECH'!$H:$H,'ELC TECH'!$E:$E)="Storage","",_xlfn.XLOOKUP($B92,'ELC TECH'!$H:$H,'ELC TECH'!AZ:AZ))</f>
        <v>0.35639999999999999</v>
      </c>
      <c r="BF92" s="12" t="str">
        <f>IF(_xlfn.XLOOKUP($B92,'ELC TECH'!$H:$H,'ELC TECH'!$E:$E)="Storage",_xlfn.XLOOKUP($B92,'ELC TECH'!$H:$H,'ELC TECH'!AS:AS),"")</f>
        <v/>
      </c>
      <c r="BG92" s="12" t="str">
        <f>IF(_xlfn.XLOOKUP($B92,'ELC TECH'!$H:$H,'ELC TECH'!$E:$E)="Storage",_xlfn.XLOOKUP($B92,'ELC TECH'!$H:$H,'ELC TECH'!AT:AT),"")</f>
        <v/>
      </c>
      <c r="BH92" s="12" t="str">
        <f>IF(_xlfn.XLOOKUP($B92,'ELC TECH'!$H:$H,'ELC TECH'!$E:$E)="Storage",_xlfn.XLOOKUP($B92,'ELC TECH'!$H:$H,'ELC TECH'!AU:AU),"")</f>
        <v/>
      </c>
      <c r="BI92" s="12" t="str">
        <f>IF(_xlfn.XLOOKUP($B92,'ELC TECH'!$H:$H,'ELC TECH'!$E:$E)="Storage",_xlfn.XLOOKUP($B92,'ELC TECH'!$H:$H,'ELC TECH'!AV:AV),"")</f>
        <v/>
      </c>
      <c r="BJ92" s="12" t="str">
        <f>IF(_xlfn.XLOOKUP($B92,'ELC TECH'!$H:$H,'ELC TECH'!$E:$E)="Storage",_xlfn.XLOOKUP($B92,'ELC TECH'!$H:$H,'ELC TECH'!AW:AW),"")</f>
        <v/>
      </c>
      <c r="BK92" s="12" t="str">
        <f>IF(_xlfn.XLOOKUP($B92,'ELC TECH'!$H:$H,'ELC TECH'!$E:$E)="Storage",_xlfn.XLOOKUP($B92,'ELC TECH'!$H:$H,'ELC TECH'!AX:AX),"")</f>
        <v/>
      </c>
      <c r="BL92" s="12" t="str">
        <f>IF(_xlfn.XLOOKUP($B92,'ELC TECH'!$H:$H,'ELC TECH'!$E:$E)="Storage",_xlfn.XLOOKUP($B92,'ELC TECH'!$H:$H,'ELC TECH'!AY:AY),"")</f>
        <v/>
      </c>
      <c r="BM92" s="12" t="str">
        <f>IF(_xlfn.XLOOKUP($B92,'ELC TECH'!$H:$H,'ELC TECH'!$E:$E)="Storage",_xlfn.XLOOKUP($B92,'ELC TECH'!$H:$H,'ELC TECH'!AZ:AZ),"")</f>
        <v/>
      </c>
      <c r="BN92" s="8">
        <f>IF(_xlfn.XLOOKUP($B92,'ELC TECH'!$H:$H,'ELC TECH'!$E:$E)="Non Dispatchable",IFERROR($AX92*_xlfn.XLOOKUP($C92,$BM$1:$BM$3,BN$1:BN$3)/SUMPRODUCT(_xlfn.XLOOKUP($C92,$BM$1:$BM$3,$BN$1:$BY$3),$BN$4:$BY$4),""),
"")</f>
        <v>0.57605629261024283</v>
      </c>
      <c r="BO92" s="8">
        <f>IF(_xlfn.XLOOKUP($B92,'ELC TECH'!$H:$H,'ELC TECH'!$E:$E)="Non Dispatchable",IFERROR($AX92*_xlfn.XLOOKUP($C92,$BM$1:$BM$3,BO$1:BO$3)/SUMPRODUCT(_xlfn.XLOOKUP($C92,$BM$1:$BM$3,$BN$1:$BY$3),$BN$4:$BY$4),""),
"")</f>
        <v>0.57605629261024283</v>
      </c>
      <c r="BP92" s="8">
        <f>IF(_xlfn.XLOOKUP($B92,'ELC TECH'!$H:$H,'ELC TECH'!$E:$E)="Non Dispatchable",IFERROR($AX92*_xlfn.XLOOKUP($C92,$BM$1:$BM$3,BP$1:BP$3)/SUMPRODUCT(_xlfn.XLOOKUP($C92,$BM$1:$BM$3,$BN$1:$BY$3),$BN$4:$BY$4),""),
"")</f>
        <v>5.7605629261024291E-2</v>
      </c>
      <c r="BQ92" s="8">
        <f>IF(_xlfn.XLOOKUP($B92,'ELC TECH'!$H:$H,'ELC TECH'!$E:$E)="Non Dispatchable",IFERROR($AX92*_xlfn.XLOOKUP($C92,$BM$1:$BM$3,BQ$1:BQ$3)/SUMPRODUCT(_xlfn.XLOOKUP($C92,$BM$1:$BM$3,$BN$1:$BY$3),$BN$4:$BY$4),""),
"")</f>
        <v>0.46156963319839611</v>
      </c>
      <c r="BR92" s="8">
        <f>IF(_xlfn.XLOOKUP($B92,'ELC TECH'!$H:$H,'ELC TECH'!$E:$E)="Non Dispatchable",IFERROR($AX92*_xlfn.XLOOKUP($C92,$BM$1:$BM$3,BR$1:BR$3)/SUMPRODUCT(_xlfn.XLOOKUP($C92,$BM$1:$BM$3,$BN$1:$BY$3),$BN$4:$BY$4),""),
"")</f>
        <v>0.6703200495828282</v>
      </c>
      <c r="BS92" s="8">
        <f>IF(_xlfn.XLOOKUP($B92,'ELC TECH'!$H:$H,'ELC TECH'!$E:$E)="Non Dispatchable",IFERROR($AX92*_xlfn.XLOOKUP($C92,$BM$1:$BM$3,BS$1:BS$3)/SUMPRODUCT(_xlfn.XLOOKUP($C92,$BM$1:$BM$3,$BN$1:$BY$3),$BN$4:$BY$4),""),
"")</f>
        <v>0.6703200495828282</v>
      </c>
      <c r="BT92" s="8">
        <f>IF(_xlfn.XLOOKUP($B92,'ELC TECH'!$H:$H,'ELC TECH'!$E:$E)="Non Dispatchable",IFERROR($AX92*_xlfn.XLOOKUP($C92,$BM$1:$BM$3,BT$1:BT$3)/SUMPRODUCT(_xlfn.XLOOKUP($C92,$BM$1:$BM$3,$BN$1:$BY$3),$BN$4:$BY$4),""),
"")</f>
        <v>6.703200495828282E-2</v>
      </c>
      <c r="BU92" s="8">
        <f>IF(_xlfn.XLOOKUP($B92,'ELC TECH'!$H:$H,'ELC TECH'!$E:$E)="Non Dispatchable",IFERROR($AX92*_xlfn.XLOOKUP($C92,$BM$1:$BM$3,BU$1:BU$3)/SUMPRODUCT(_xlfn.XLOOKUP($C92,$BM$1:$BM$3,$BN$1:$BY$3),$BN$4:$BY$4),""),
"")</f>
        <v>0.59394831679291227</v>
      </c>
      <c r="BV92" s="8">
        <f>IF(_xlfn.XLOOKUP($B92,'ELC TECH'!$H:$H,'ELC TECH'!$E:$E)="Non Dispatchable",IFERROR($AX92*_xlfn.XLOOKUP($C92,$BM$1:$BM$3,BV$1:BV$3)/SUMPRODUCT(_xlfn.XLOOKUP($C92,$BM$1:$BM$3,$BN$1:$BY$3),$BN$4:$BY$4),""),
"")</f>
        <v>0.34713871217964143</v>
      </c>
      <c r="BW92" s="8">
        <f>IF(_xlfn.XLOOKUP($B92,'ELC TECH'!$H:$H,'ELC TECH'!$E:$E)="Non Dispatchable",IFERROR($AX92*_xlfn.XLOOKUP($C92,$BM$1:$BM$3,BW$1:BW$3)/SUMPRODUCT(_xlfn.XLOOKUP($C92,$BM$1:$BM$3,$BN$1:$BY$3),$BN$4:$BY$4),""),
"")</f>
        <v>0.34713871217964143</v>
      </c>
      <c r="BX92" s="8">
        <f>IF(_xlfn.XLOOKUP($B92,'ELC TECH'!$H:$H,'ELC TECH'!$E:$E)="Non Dispatchable",IFERROR($AX92*_xlfn.XLOOKUP($C92,$BM$1:$BM$3,BX$1:BX$3)/SUMPRODUCT(_xlfn.XLOOKUP($C92,$BM$1:$BM$3,$BN$1:$BY$3),$BN$4:$BY$4),""),
"")</f>
        <v>3.471387121796414E-2</v>
      </c>
      <c r="BY92" s="8">
        <f>IF(_xlfn.XLOOKUP($B92,'ELC TECH'!$H:$H,'ELC TECH'!$E:$E)="Non Dispatchable",IFERROR($AX92*_xlfn.XLOOKUP($C92,$BM$1:$BM$3,BY$1:BY$3)/SUMPRODUCT(_xlfn.XLOOKUP($C92,$BM$1:$BM$3,$BN$1:$BY$3),$BN$4:$BY$4),""),
"")</f>
        <v>0.25374143386331111</v>
      </c>
      <c r="BZ92" s="8">
        <f>IF(_xlfn.XLOOKUP($B92,'ELC TECH'!$H:$H,'ELC TECH'!$E:$E)="Non Dispatchable",IFERROR($AX92*_xlfn.XLOOKUP($C92,$BM$1:$BM$3,BZ$1:BZ$3)/SUMPRODUCT(_xlfn.XLOOKUP($C92,$BM$1:$BM$3,$BN$1:$BY$3),$BN$4:$BY$4),""),
"")</f>
        <v>0.57605629261024283</v>
      </c>
      <c r="CA92" s="8">
        <f>IF(_xlfn.XLOOKUP($B92,'ELC TECH'!$H:$H,'ELC TECH'!$E:$E)="Non Dispatchable",IFERROR($AX92*_xlfn.XLOOKUP($C92,$BM$1:$BM$3,CA$1:CA$3)/SUMPRODUCT(_xlfn.XLOOKUP($C92,$BM$1:$BM$3,$BN$1:$BY$3),$BN$4:$BY$4),""),
"")</f>
        <v>0.57605629261024283</v>
      </c>
      <c r="CB92" s="8">
        <f>IF(_xlfn.XLOOKUP($B92,'ELC TECH'!$H:$H,'ELC TECH'!$E:$E)="Non Dispatchable",IFERROR($AX92*_xlfn.XLOOKUP($C92,$BM$1:$BM$3,CB$1:CB$3)/SUMPRODUCT(_xlfn.XLOOKUP($C92,$BM$1:$BM$3,$BN$1:$BY$3),$BN$4:$BY$4),""),
"")</f>
        <v>5.7605629261024291E-2</v>
      </c>
      <c r="CC92" s="8">
        <f>IF(_xlfn.XLOOKUP($B92,'ELC TECH'!$H:$H,'ELC TECH'!$E:$E)="Non Dispatchable",IFERROR($AX92*_xlfn.XLOOKUP($C92,$BM$1:$BM$3,CC$1:CC$3)/SUMPRODUCT(_xlfn.XLOOKUP($C92,$BM$1:$BM$3,$BN$1:$BY$3),$BN$4:$BY$4),""),
"")</f>
        <v>0.46156963319839611</v>
      </c>
      <c r="CD92" s="8">
        <f>IF(_xlfn.XLOOKUP($B92,'ELC TECH'!$H:$H,'ELC TECH'!$E:$E)="Non Dispatchable",IFERROR($AX92*_xlfn.XLOOKUP($C92,$BM$1:$BM$3,CD$1:CD$3)/SUMPRODUCT(_xlfn.XLOOKUP($C92,$BM$1:$BM$3,$BN$1:$BY$3),$BN$4:$BY$4),""),
"")</f>
        <v>0.6703200495828282</v>
      </c>
      <c r="CE92" s="8">
        <f>IF(_xlfn.XLOOKUP($B92,'ELC TECH'!$H:$H,'ELC TECH'!$E:$E)="Non Dispatchable",IFERROR($AX92*_xlfn.XLOOKUP($C92,$BM$1:$BM$3,CE$1:CE$3)/SUMPRODUCT(_xlfn.XLOOKUP($C92,$BM$1:$BM$3,$BN$1:$BY$3),$BN$4:$BY$4),""),
"")</f>
        <v>0.6703200495828282</v>
      </c>
      <c r="CF92" s="8">
        <f>IF(_xlfn.XLOOKUP($B92,'ELC TECH'!$H:$H,'ELC TECH'!$E:$E)="Non Dispatchable",IFERROR($AX92*_xlfn.XLOOKUP($C92,$BM$1:$BM$3,CF$1:CF$3)/SUMPRODUCT(_xlfn.XLOOKUP($C92,$BM$1:$BM$3,$BN$1:$BY$3),$BN$4:$BY$4),""),
"")</f>
        <v>6.703200495828282E-2</v>
      </c>
      <c r="CG92" s="8">
        <f>IF(_xlfn.XLOOKUP($B92,'ELC TECH'!$H:$H,'ELC TECH'!$E:$E)="Non Dispatchable",IFERROR($AX92*_xlfn.XLOOKUP($C92,$BM$1:$BM$3,CG$1:CG$3)/SUMPRODUCT(_xlfn.XLOOKUP($C92,$BM$1:$BM$3,$BN$1:$BY$3),$BN$4:$BY$4),""),
"")</f>
        <v>0.59394831679291227</v>
      </c>
      <c r="CH92" s="8">
        <f>IF(_xlfn.XLOOKUP($B92,'ELC TECH'!$H:$H,'ELC TECH'!$E:$E)="Non Dispatchable",IFERROR($AX92*_xlfn.XLOOKUP($C92,$BM$1:$BM$3,CH$1:CH$3)/SUMPRODUCT(_xlfn.XLOOKUP($C92,$BM$1:$BM$3,$BN$1:$BY$3),$BN$4:$BY$4),""),
"")</f>
        <v>0.34713871217964143</v>
      </c>
      <c r="CI92" s="8">
        <f>IF(_xlfn.XLOOKUP($B92,'ELC TECH'!$H:$H,'ELC TECH'!$E:$E)="Non Dispatchable",IFERROR($AX92*_xlfn.XLOOKUP($C92,$BM$1:$BM$3,CI$1:CI$3)/SUMPRODUCT(_xlfn.XLOOKUP($C92,$BM$1:$BM$3,$BN$1:$BY$3),$BN$4:$BY$4),""),
"")</f>
        <v>0.34713871217964143</v>
      </c>
      <c r="CJ92" s="8">
        <f>IF(_xlfn.XLOOKUP($B92,'ELC TECH'!$H:$H,'ELC TECH'!$E:$E)="Non Dispatchable",IFERROR($AX92*_xlfn.XLOOKUP($C92,$BM$1:$BM$3,CJ$1:CJ$3)/SUMPRODUCT(_xlfn.XLOOKUP($C92,$BM$1:$BM$3,$BN$1:$BY$3),$BN$4:$BY$4),""),
"")</f>
        <v>3.471387121796414E-2</v>
      </c>
      <c r="CK92" s="8">
        <f>IF(_xlfn.XLOOKUP($B92,'ELC TECH'!$H:$H,'ELC TECH'!$E:$E)="Non Dispatchable",IFERROR($AX92*_xlfn.XLOOKUP($C92,$BM$1:$BM$3,CK$1:CK$3)/SUMPRODUCT(_xlfn.XLOOKUP($C92,$BM$1:$BM$3,$BN$1:$BY$3),$BN$4:$BY$4),""),
"")</f>
        <v>0.25374143386331111</v>
      </c>
      <c r="CL92" s="8" t="str">
        <f>IF(_xlfn.XLOOKUP($B92,'ELC TECH'!$H:$H,'ELC TECH'!$E:$E)="Storage",CL$4*$BF92,"")</f>
        <v/>
      </c>
      <c r="CM92" s="8" t="str">
        <f>IF(_xlfn.XLOOKUP($B92,'ELC TECH'!$H:$H,'ELC TECH'!$E:$E)="Storage",CM$4*$BF92,"")</f>
        <v/>
      </c>
      <c r="CN92" s="8" t="str">
        <f>IF(_xlfn.XLOOKUP($B92,'ELC TECH'!$H:$H,'ELC TECH'!$E:$E)="Storage",CN$4*$BF92,"")</f>
        <v/>
      </c>
      <c r="CO92" s="8" t="str">
        <f>IF(_xlfn.XLOOKUP($B92,'ELC TECH'!$H:$H,'ELC TECH'!$E:$E)="Storage",CO$4*$BF92,"")</f>
        <v/>
      </c>
      <c r="CP92" s="8" t="str">
        <f>IF(_xlfn.XLOOKUP($B92,'ELC TECH'!$H:$H,'ELC TECH'!$E:$E)="Storage",CP$4*$BF92,"")</f>
        <v/>
      </c>
      <c r="CQ92" s="8" t="str">
        <f>IF(_xlfn.XLOOKUP($B92,'ELC TECH'!$H:$H,'ELC TECH'!$E:$E)="Storage",CQ$4*$BF92,"")</f>
        <v/>
      </c>
      <c r="CR92" s="8" t="str">
        <f>IF(_xlfn.XLOOKUP($B92,'ELC TECH'!$H:$H,'ELC TECH'!$E:$E)="Storage",CR$4*$BF92,"")</f>
        <v/>
      </c>
      <c r="CS92" s="8" t="str">
        <f>IF(_xlfn.XLOOKUP($B92,'ELC TECH'!$H:$H,'ELC TECH'!$E:$E)="Storage",CS$4*$BF92,"")</f>
        <v/>
      </c>
      <c r="CT92" s="8" t="str">
        <f>IF(_xlfn.XLOOKUP($B92,'ELC TECH'!$H:$H,'ELC TECH'!$E:$E)="Storage",CT$4*$BF92,"")</f>
        <v/>
      </c>
      <c r="CU92" s="8" t="str">
        <f>IF(_xlfn.XLOOKUP($B92,'ELC TECH'!$H:$H,'ELC TECH'!$E:$E)="Storage",CU$4*$BF92,"")</f>
        <v/>
      </c>
      <c r="CV92" s="8" t="str">
        <f>IF(_xlfn.XLOOKUP($B92,'ELC TECH'!$H:$H,'ELC TECH'!$E:$E)="Storage",CV$4*$BF92,"")</f>
        <v/>
      </c>
      <c r="CW92" s="8" t="str">
        <f>IF(_xlfn.XLOOKUP($B92,'ELC TECH'!$H:$H,'ELC TECH'!$E:$E)="Storage",CW$4*$BF92,"")</f>
        <v/>
      </c>
      <c r="CX92" s="8" t="str">
        <f>IF(_xlfn.XLOOKUP($B92,'ELC TECH'!$H:$H,'ELC TECH'!$E:$E)="Storage",CX$4*$BF92,"")</f>
        <v/>
      </c>
      <c r="CY92" s="8" t="str">
        <f>IF(_xlfn.XLOOKUP($B92,'ELC TECH'!$H:$H,'ELC TECH'!$E:$E)="Storage",CY$4*$BF92,"")</f>
        <v/>
      </c>
      <c r="CZ92" s="8" t="str">
        <f>IF(_xlfn.XLOOKUP($B92,'ELC TECH'!$H:$H,'ELC TECH'!$E:$E)="Storage",CZ$4*$BF92,"")</f>
        <v/>
      </c>
      <c r="DA92" s="8" t="str">
        <f>IF(_xlfn.XLOOKUP($B92,'ELC TECH'!$H:$H,'ELC TECH'!$E:$E)="Storage",DA$4*$BF92,"")</f>
        <v/>
      </c>
      <c r="DB92" s="8" t="str">
        <f>IF(_xlfn.XLOOKUP($B92,'ELC TECH'!$H:$H,'ELC TECH'!$E:$E)="Storage",DB$4*$BF92,"")</f>
        <v/>
      </c>
      <c r="DC92" s="8" t="str">
        <f>IF(_xlfn.XLOOKUP($B92,'ELC TECH'!$H:$H,'ELC TECH'!$E:$E)="Storage",DC$4*$BF92,"")</f>
        <v/>
      </c>
      <c r="DD92" s="8" t="str">
        <f>IF(_xlfn.XLOOKUP($B92,'ELC TECH'!$H:$H,'ELC TECH'!$E:$E)="Storage",DD$4*$BF92,"")</f>
        <v/>
      </c>
      <c r="DE92" s="8" t="str">
        <f>IF(_xlfn.XLOOKUP($B92,'ELC TECH'!$H:$H,'ELC TECH'!$E:$E)="Storage",DE$4*$BF92,"")</f>
        <v/>
      </c>
      <c r="DF92" s="8" t="str">
        <f>IF(_xlfn.XLOOKUP($B92,'ELC TECH'!$H:$H,'ELC TECH'!$E:$E)="Storage",DF$4*$BF92,"")</f>
        <v/>
      </c>
      <c r="DG92" s="8" t="str">
        <f>IF(_xlfn.XLOOKUP($B92,'ELC TECH'!$H:$H,'ELC TECH'!$E:$E)="Storage",DG$4*$BF92,"")</f>
        <v/>
      </c>
      <c r="DH92" s="8" t="str">
        <f>IF(_xlfn.XLOOKUP($B92,'ELC TECH'!$H:$H,'ELC TECH'!$E:$E)="Storage",DH$4*$BF92,"")</f>
        <v/>
      </c>
      <c r="DI92" s="8" t="str">
        <f>IF(_xlfn.XLOOKUP($B92,'ELC TECH'!$H:$H,'ELC TECH'!$E:$E)="Storage",DI$4*$BF92,"")</f>
        <v/>
      </c>
    </row>
    <row r="93" spans="2:113" x14ac:dyDescent="0.25">
      <c r="B93" t="str">
        <f>IF('ELC TECH'!I86=0,"*",'ELC TECH'!H86)</f>
        <v>ELCWNDGRDWONC1020</v>
      </c>
      <c r="C93" t="str">
        <f>IF(_xlfn.XLOOKUP(_xlfn.XLOOKUP(B93,'ELC TECH'!$H:$H,'ELC TECH'!$G:$G),List!C:C,List!B:B)="STG",D93,"ELC"&amp;_xlfn.XLOOKUP(_xlfn.XLOOKUP(B93,'ELC TECH'!H:H,'ELC TECH'!G:G),List!C:C,List!B:B))</f>
        <v>ELCWND</v>
      </c>
      <c r="D93" t="s">
        <v>544</v>
      </c>
      <c r="E93">
        <f>_xlfn.XLOOKUP(B93,'ELC TECH'!H:H,'ELC TECH'!D:D)</f>
        <v>2020</v>
      </c>
      <c r="F93">
        <f>_xlfn.XLOOKUP(B93,'ELC TECH'!H:H,'ELC TECH'!K:K)</f>
        <v>30</v>
      </c>
      <c r="G93">
        <f t="shared" si="6"/>
        <v>31.535999999999998</v>
      </c>
      <c r="H93">
        <f>IF(_xlfn.XLOOKUP(B93,'ELC TECH'!$H:$H,'ELC TECH'!$E:$E)="Storage",0.3,IF(_xlfn.XLOOKUP(B93,'ELC TECH'!$H:$H,'ELC TECH'!$E:$E)="Baseload",0.9,IF(_xlfn.XLOOKUP(B93,'ELC TECH'!$H:$H,'ELC TECH'!$E:$E)="Non Dispatchable",0.05,IF(_xlfn.XLOOKUP(B93,'ELC TECH'!$H:$H,'ELC TECH'!$E:$E)="Dispatchable",0.9,1))))</f>
        <v>0.05</v>
      </c>
      <c r="I93" s="13">
        <f>IF(_xlfn.XLOOKUP(B93,'ELC TECH'!H:H,'ELC TECH'!J:J)="","",_xlfn.XLOOKUP(B93,'ELC TECH'!H:H,'ELC TECH'!J:J))</f>
        <v>0</v>
      </c>
      <c r="J93" s="12">
        <f>IF(_xlfn.XLOOKUP($B93,'ELC TECH'!$H:$H,'ELC TECH'!$E:$E)="Storage","",IF(_xlfn.XLOOKUP($B93,'ELC TECH'!$H:$H,'ELC TECH'!AK:AK)="",1,_xlfn.XLOOKUP($B93,'ELC TECH'!$H:$H,'ELC TECH'!AK:AK)))</f>
        <v>1</v>
      </c>
      <c r="K93" s="12">
        <f>IF(_xlfn.XLOOKUP($B93,'ELC TECH'!$H:$H,'ELC TECH'!$E:$E)="Storage","",IF(_xlfn.XLOOKUP($B93,'ELC TECH'!$H:$H,'ELC TECH'!AL:AL)="",1,_xlfn.XLOOKUP($B93,'ELC TECH'!$H:$H,'ELC TECH'!AL:AL)))</f>
        <v>1</v>
      </c>
      <c r="L93" s="12">
        <f>IF(_xlfn.XLOOKUP($B93,'ELC TECH'!$H:$H,'ELC TECH'!$E:$E)="Storage","",IF(_xlfn.XLOOKUP($B93,'ELC TECH'!$H:$H,'ELC TECH'!AM:AM)="",1,_xlfn.XLOOKUP($B93,'ELC TECH'!$H:$H,'ELC TECH'!AM:AM)))</f>
        <v>1</v>
      </c>
      <c r="M93" s="12">
        <f>IF(_xlfn.XLOOKUP($B93,'ELC TECH'!$H:$H,'ELC TECH'!$E:$E)="Storage","",IF(_xlfn.XLOOKUP($B93,'ELC TECH'!$H:$H,'ELC TECH'!AN:AN)="",1,_xlfn.XLOOKUP($B93,'ELC TECH'!$H:$H,'ELC TECH'!AN:AN)))</f>
        <v>1</v>
      </c>
      <c r="N93" s="12">
        <f>IF(_xlfn.XLOOKUP($B93,'ELC TECH'!$H:$H,'ELC TECH'!$E:$E)="Storage","",IF(_xlfn.XLOOKUP($B93,'ELC TECH'!$H:$H,'ELC TECH'!AO:AO)="",1,_xlfn.XLOOKUP($B93,'ELC TECH'!$H:$H,'ELC TECH'!AO:AO)))</f>
        <v>1</v>
      </c>
      <c r="O93" s="12">
        <f>IF(_xlfn.XLOOKUP($B93,'ELC TECH'!$H:$H,'ELC TECH'!$E:$E)="Storage","",IF(_xlfn.XLOOKUP($B93,'ELC TECH'!$H:$H,'ELC TECH'!AP:AP)="",1,_xlfn.XLOOKUP($B93,'ELC TECH'!$H:$H,'ELC TECH'!AP:AP)))</f>
        <v>1</v>
      </c>
      <c r="P93" s="12">
        <f>IF(_xlfn.XLOOKUP($B93,'ELC TECH'!$H:$H,'ELC TECH'!$E:$E)="Storage","",IF(_xlfn.XLOOKUP($B93,'ELC TECH'!$H:$H,'ELC TECH'!AQ:AQ)="",1,_xlfn.XLOOKUP($B93,'ELC TECH'!$H:$H,'ELC TECH'!AQ:AQ)))</f>
        <v>1</v>
      </c>
      <c r="Q93" s="12">
        <f>IF(_xlfn.XLOOKUP($B93,'ELC TECH'!$H:$H,'ELC TECH'!$E:$E)="Storage","",IF(_xlfn.XLOOKUP($B93,'ELC TECH'!$H:$H,'ELC TECH'!AR:AR)="",1,_xlfn.XLOOKUP($B93,'ELC TECH'!$H:$H,'ELC TECH'!AR:AR)))</f>
        <v>1</v>
      </c>
      <c r="R93" s="12" t="str">
        <f>IF(_xlfn.XLOOKUP($B93,'ELC TECH'!$H:$H,'ELC TECH'!$E:$E)&lt;&gt;"Storage","",IF(_xlfn.XLOOKUP($B93,'ELC TECH'!$H:$H,'ELC TECH'!AK:AK)="",0.8,_xlfn.XLOOKUP($B93,'ELC TECH'!$H:$H,'ELC TECH'!AK:AK)))</f>
        <v/>
      </c>
      <c r="S93" s="12" t="str">
        <f>IF(_xlfn.XLOOKUP($B93,'ELC TECH'!$H:$H,'ELC TECH'!$E:$E)&lt;&gt;"Storage","",IF(_xlfn.XLOOKUP($B93,'ELC TECH'!$H:$H,'ELC TECH'!AL:AL)="",0.8,_xlfn.XLOOKUP($B93,'ELC TECH'!$H:$H,'ELC TECH'!AL:AL)))</f>
        <v/>
      </c>
      <c r="T93" s="12" t="str">
        <f>IF(_xlfn.XLOOKUP($B93,'ELC TECH'!$H:$H,'ELC TECH'!$E:$E)&lt;&gt;"Storage","",IF(_xlfn.XLOOKUP($B93,'ELC TECH'!$H:$H,'ELC TECH'!AM:AM)="",0.8,_xlfn.XLOOKUP($B93,'ELC TECH'!$H:$H,'ELC TECH'!AM:AM)))</f>
        <v/>
      </c>
      <c r="U93" s="12" t="str">
        <f>IF(_xlfn.XLOOKUP($B93,'ELC TECH'!$H:$H,'ELC TECH'!$E:$E)&lt;&gt;"Storage","",IF(_xlfn.XLOOKUP($B93,'ELC TECH'!$H:$H,'ELC TECH'!AN:AN)="",0.8,_xlfn.XLOOKUP($B93,'ELC TECH'!$H:$H,'ELC TECH'!AN:AN)))</f>
        <v/>
      </c>
      <c r="V93" s="12" t="str">
        <f>IF(_xlfn.XLOOKUP($B93,'ELC TECH'!$H:$H,'ELC TECH'!$E:$E)&lt;&gt;"Storage","",IF(_xlfn.XLOOKUP($B93,'ELC TECH'!$H:$H,'ELC TECH'!AO:AO)="",0.8,_xlfn.XLOOKUP($B93,'ELC TECH'!$H:$H,'ELC TECH'!AO:AO)))</f>
        <v/>
      </c>
      <c r="W93" s="12" t="str">
        <f>IF(_xlfn.XLOOKUP($B93,'ELC TECH'!$H:$H,'ELC TECH'!$E:$E)&lt;&gt;"Storage","",IF(_xlfn.XLOOKUP($B93,'ELC TECH'!$H:$H,'ELC TECH'!AP:AP)="",0.8,_xlfn.XLOOKUP($B93,'ELC TECH'!$H:$H,'ELC TECH'!AP:AP)))</f>
        <v/>
      </c>
      <c r="X93" s="12" t="str">
        <f>IF(_xlfn.XLOOKUP($B93,'ELC TECH'!$H:$H,'ELC TECH'!$E:$E)&lt;&gt;"Storage","",IF(_xlfn.XLOOKUP($B93,'ELC TECH'!$H:$H,'ELC TECH'!AQ:AQ)="",0.8,_xlfn.XLOOKUP($B93,'ELC TECH'!$H:$H,'ELC TECH'!AQ:AQ)))</f>
        <v/>
      </c>
      <c r="Y93" s="12" t="str">
        <f>IF(_xlfn.XLOOKUP($B93,'ELC TECH'!$H:$H,'ELC TECH'!$E:$E)&lt;&gt;"Storage","",IF(_xlfn.XLOOKUP($B93,'ELC TECH'!$H:$H,'ELC TECH'!AR:AR)="",0.8,_xlfn.XLOOKUP($B93,'ELC TECH'!$H:$H,'ELC TECH'!AR:AR)))</f>
        <v/>
      </c>
      <c r="Z93" s="15">
        <f>_xlfn.XLOOKUP($B93,'ELC TECH'!$H:$H,'ELC TECH'!M:M)</f>
        <v>2088.718976007729</v>
      </c>
      <c r="AA93" s="15">
        <f>_xlfn.XLOOKUP($B93,'ELC TECH'!$H:$H,'ELC TECH'!N:N)</f>
        <v>1887.5278456766471</v>
      </c>
      <c r="AB93" s="15">
        <f>_xlfn.XLOOKUP($B93,'ELC TECH'!$H:$H,'ELC TECH'!O:O)</f>
        <v>1636.0389327628079</v>
      </c>
      <c r="AC93" s="15">
        <f>_xlfn.XLOOKUP($B93,'ELC TECH'!$H:$H,'ELC TECH'!P:P)</f>
        <v>1557.487355212271</v>
      </c>
      <c r="AD93" s="15">
        <f>_xlfn.XLOOKUP($B93,'ELC TECH'!$H:$H,'ELC TECH'!Q:Q)</f>
        <v>1478.935777661723</v>
      </c>
      <c r="AE93" s="15">
        <f>_xlfn.XLOOKUP($B93,'ELC TECH'!$H:$H,'ELC TECH'!R:R)</f>
        <v>1400.3842001111859</v>
      </c>
      <c r="AF93" s="15">
        <f>_xlfn.XLOOKUP($B93,'ELC TECH'!$H:$H,'ELC TECH'!S:S)</f>
        <v>1321.83262256065</v>
      </c>
      <c r="AG93" s="15">
        <f>_xlfn.XLOOKUP($B93,'ELC TECH'!$H:$H,'ELC TECH'!T:T)</f>
        <v>1321.83262256065</v>
      </c>
      <c r="AH93" s="15">
        <f>_xlfn.XLOOKUP($B93,'ELC TECH'!$H:$H,'ELC TECH'!U:U)</f>
        <v>34.26221553423445</v>
      </c>
      <c r="AI93" s="15">
        <f>_xlfn.XLOOKUP($B93,'ELC TECH'!$H:$H,'ELC TECH'!V:V)</f>
        <v>32.603758456669702</v>
      </c>
      <c r="AJ93" s="15">
        <f>_xlfn.XLOOKUP($B93,'ELC TECH'!$H:$H,'ELC TECH'!W:W)</f>
        <v>30.53068710971386</v>
      </c>
      <c r="AK93" s="15">
        <f>_xlfn.XLOOKUP($B93,'ELC TECH'!$H:$H,'ELC TECH'!X:X)</f>
        <v>29.484728384658851</v>
      </c>
      <c r="AL93" s="15">
        <f>_xlfn.XLOOKUP($B93,'ELC TECH'!$H:$H,'ELC TECH'!Y:Y)</f>
        <v>28.438769659603839</v>
      </c>
      <c r="AM93" s="15">
        <f>_xlfn.XLOOKUP($B93,'ELC TECH'!$H:$H,'ELC TECH'!Z:Z)</f>
        <v>27.39281093454883</v>
      </c>
      <c r="AN93" s="15">
        <f>_xlfn.XLOOKUP($B93,'ELC TECH'!$H:$H,'ELC TECH'!AA:AA)</f>
        <v>26.346852209493811</v>
      </c>
      <c r="AO93" s="15">
        <f>_xlfn.XLOOKUP($B93,'ELC TECH'!$H:$H,'ELC TECH'!AB:AB)</f>
        <v>26.346852209493811</v>
      </c>
      <c r="AP93" s="15">
        <f>_xlfn.XLOOKUP($B93,'ELC TECH'!$H:$H,'ELC TECH'!AC:AC)</f>
        <v>0</v>
      </c>
      <c r="AQ93" s="15">
        <f>_xlfn.XLOOKUP($B93,'ELC TECH'!$H:$H,'ELC TECH'!AD:AD)</f>
        <v>0</v>
      </c>
      <c r="AR93" s="15">
        <f>_xlfn.XLOOKUP($B93,'ELC TECH'!$H:$H,'ELC TECH'!AE:AE)</f>
        <v>0</v>
      </c>
      <c r="AS93" s="15">
        <f>_xlfn.XLOOKUP($B93,'ELC TECH'!$H:$H,'ELC TECH'!AF:AF)</f>
        <v>0</v>
      </c>
      <c r="AT93" s="15">
        <f>_xlfn.XLOOKUP($B93,'ELC TECH'!$H:$H,'ELC TECH'!AG:AG)</f>
        <v>0</v>
      </c>
      <c r="AU93" s="15">
        <f>_xlfn.XLOOKUP($B93,'ELC TECH'!$H:$H,'ELC TECH'!AH:AH)</f>
        <v>0</v>
      </c>
      <c r="AV93" s="15">
        <f>_xlfn.XLOOKUP($B93,'ELC TECH'!$H:$H,'ELC TECH'!AI:AI)</f>
        <v>0</v>
      </c>
      <c r="AW93" s="15">
        <f>_xlfn.XLOOKUP($B93,'ELC TECH'!$H:$H,'ELC TECH'!AJ:AJ)</f>
        <v>0</v>
      </c>
      <c r="AX93" s="12">
        <f>IF(_xlfn.XLOOKUP($B93,'ELC TECH'!$H:$H,'ELC TECH'!$E:$E)="Storage","",_xlfn.XLOOKUP($B93,'ELC TECH'!$H:$H,'ELC TECH'!AS:AS))</f>
        <v>0.25839000000000001</v>
      </c>
      <c r="AY93" s="12">
        <f>IF(_xlfn.XLOOKUP($B93,'ELC TECH'!$H:$H,'ELC TECH'!$E:$E)="Storage","",_xlfn.XLOOKUP($B93,'ELC TECH'!$H:$H,'ELC TECH'!AT:AT))</f>
        <v>0.26632955555555499</v>
      </c>
      <c r="AZ93" s="12">
        <f>IF(_xlfn.XLOOKUP($B93,'ELC TECH'!$H:$H,'ELC TECH'!$E:$E)="Storage","",_xlfn.XLOOKUP($B93,'ELC TECH'!$H:$H,'ELC TECH'!AU:AU))</f>
        <v>0.276254</v>
      </c>
      <c r="BA93" s="12">
        <f>IF(_xlfn.XLOOKUP($B93,'ELC TECH'!$H:$H,'ELC TECH'!$E:$E)="Storage","",_xlfn.XLOOKUP($B93,'ELC TECH'!$H:$H,'ELC TECH'!AV:AV))</f>
        <v>0.27737050000000002</v>
      </c>
      <c r="BB93" s="12">
        <f>IF(_xlfn.XLOOKUP($B93,'ELC TECH'!$H:$H,'ELC TECH'!$E:$E)="Storage","",_xlfn.XLOOKUP($B93,'ELC TECH'!$H:$H,'ELC TECH'!AW:AW))</f>
        <v>0.27848699999999998</v>
      </c>
      <c r="BC93" s="12">
        <f>IF(_xlfn.XLOOKUP($B93,'ELC TECH'!$H:$H,'ELC TECH'!$E:$E)="Storage","",_xlfn.XLOOKUP($B93,'ELC TECH'!$H:$H,'ELC TECH'!AX:AX))</f>
        <v>0.2796035</v>
      </c>
      <c r="BD93" s="12">
        <f>IF(_xlfn.XLOOKUP($B93,'ELC TECH'!$H:$H,'ELC TECH'!$E:$E)="Storage","",_xlfn.XLOOKUP($B93,'ELC TECH'!$H:$H,'ELC TECH'!AY:AY))</f>
        <v>0.28072000000000003</v>
      </c>
      <c r="BE93" s="12">
        <f>IF(_xlfn.XLOOKUP($B93,'ELC TECH'!$H:$H,'ELC TECH'!$E:$E)="Storage","",_xlfn.XLOOKUP($B93,'ELC TECH'!$H:$H,'ELC TECH'!AZ:AZ))</f>
        <v>0.28072000000000003</v>
      </c>
      <c r="BF93" s="12" t="str">
        <f>IF(_xlfn.XLOOKUP($B93,'ELC TECH'!$H:$H,'ELC TECH'!$E:$E)="Storage",_xlfn.XLOOKUP($B93,'ELC TECH'!$H:$H,'ELC TECH'!AS:AS),"")</f>
        <v/>
      </c>
      <c r="BG93" s="12" t="str">
        <f>IF(_xlfn.XLOOKUP($B93,'ELC TECH'!$H:$H,'ELC TECH'!$E:$E)="Storage",_xlfn.XLOOKUP($B93,'ELC TECH'!$H:$H,'ELC TECH'!AT:AT),"")</f>
        <v/>
      </c>
      <c r="BH93" s="12" t="str">
        <f>IF(_xlfn.XLOOKUP($B93,'ELC TECH'!$H:$H,'ELC TECH'!$E:$E)="Storage",_xlfn.XLOOKUP($B93,'ELC TECH'!$H:$H,'ELC TECH'!AU:AU),"")</f>
        <v/>
      </c>
      <c r="BI93" s="12" t="str">
        <f>IF(_xlfn.XLOOKUP($B93,'ELC TECH'!$H:$H,'ELC TECH'!$E:$E)="Storage",_xlfn.XLOOKUP($B93,'ELC TECH'!$H:$H,'ELC TECH'!AV:AV),"")</f>
        <v/>
      </c>
      <c r="BJ93" s="12" t="str">
        <f>IF(_xlfn.XLOOKUP($B93,'ELC TECH'!$H:$H,'ELC TECH'!$E:$E)="Storage",_xlfn.XLOOKUP($B93,'ELC TECH'!$H:$H,'ELC TECH'!AW:AW),"")</f>
        <v/>
      </c>
      <c r="BK93" s="12" t="str">
        <f>IF(_xlfn.XLOOKUP($B93,'ELC TECH'!$H:$H,'ELC TECH'!$E:$E)="Storage",_xlfn.XLOOKUP($B93,'ELC TECH'!$H:$H,'ELC TECH'!AX:AX),"")</f>
        <v/>
      </c>
      <c r="BL93" s="12" t="str">
        <f>IF(_xlfn.XLOOKUP($B93,'ELC TECH'!$H:$H,'ELC TECH'!$E:$E)="Storage",_xlfn.XLOOKUP($B93,'ELC TECH'!$H:$H,'ELC TECH'!AY:AY),"")</f>
        <v/>
      </c>
      <c r="BM93" s="12" t="str">
        <f>IF(_xlfn.XLOOKUP($B93,'ELC TECH'!$H:$H,'ELC TECH'!$E:$E)="Storage",_xlfn.XLOOKUP($B93,'ELC TECH'!$H:$H,'ELC TECH'!AZ:AZ),"")</f>
        <v/>
      </c>
      <c r="BN93" s="8">
        <f>IF(_xlfn.XLOOKUP($B93,'ELC TECH'!$H:$H,'ELC TECH'!$E:$E)="Non Dispatchable",IFERROR($AX93*_xlfn.XLOOKUP($C93,$BM$1:$BM$3,BN$1:BN$3)/SUMPRODUCT(_xlfn.XLOOKUP($C93,$BM$1:$BM$3,$BN$1:$BY$3),$BN$4:$BY$4),""),
"")</f>
        <v>0.45373322800658644</v>
      </c>
      <c r="BO93" s="8">
        <f>IF(_xlfn.XLOOKUP($B93,'ELC TECH'!$H:$H,'ELC TECH'!$E:$E)="Non Dispatchable",IFERROR($AX93*_xlfn.XLOOKUP($C93,$BM$1:$BM$3,BO$1:BO$3)/SUMPRODUCT(_xlfn.XLOOKUP($C93,$BM$1:$BM$3,$BN$1:$BY$3),$BN$4:$BY$4),""),
"")</f>
        <v>0.45373322800658644</v>
      </c>
      <c r="BP93" s="8">
        <f>IF(_xlfn.XLOOKUP($B93,'ELC TECH'!$H:$H,'ELC TECH'!$E:$E)="Non Dispatchable",IFERROR($AX93*_xlfn.XLOOKUP($C93,$BM$1:$BM$3,BP$1:BP$3)/SUMPRODUCT(_xlfn.XLOOKUP($C93,$BM$1:$BM$3,$BN$1:$BY$3),$BN$4:$BY$4),""),
"")</f>
        <v>4.5373322800658637E-2</v>
      </c>
      <c r="BQ93" s="8">
        <f>IF(_xlfn.XLOOKUP($B93,'ELC TECH'!$H:$H,'ELC TECH'!$E:$E)="Non Dispatchable",IFERROR($AX93*_xlfn.XLOOKUP($C93,$BM$1:$BM$3,BQ$1:BQ$3)/SUMPRODUCT(_xlfn.XLOOKUP($C93,$BM$1:$BM$3,$BN$1:$BY$3),$BN$4:$BY$4),""),
"")</f>
        <v>0.36355731602540331</v>
      </c>
      <c r="BR93" s="8">
        <f>IF(_xlfn.XLOOKUP($B93,'ELC TECH'!$H:$H,'ELC TECH'!$E:$E)="Non Dispatchable",IFERROR($AX93*_xlfn.XLOOKUP($C93,$BM$1:$BM$3,BR$1:BR$3)/SUMPRODUCT(_xlfn.XLOOKUP($C93,$BM$1:$BM$3,$BN$1:$BY$3),$BN$4:$BY$4),""),
"")</f>
        <v>0.52798048349857329</v>
      </c>
      <c r="BS93" s="8">
        <f>IF(_xlfn.XLOOKUP($B93,'ELC TECH'!$H:$H,'ELC TECH'!$E:$E)="Non Dispatchable",IFERROR($AX93*_xlfn.XLOOKUP($C93,$BM$1:$BM$3,BS$1:BS$3)/SUMPRODUCT(_xlfn.XLOOKUP($C93,$BM$1:$BM$3,$BN$1:$BY$3),$BN$4:$BY$4),""),
"")</f>
        <v>0.52798048349857329</v>
      </c>
      <c r="BT93" s="8">
        <f>IF(_xlfn.XLOOKUP($B93,'ELC TECH'!$H:$H,'ELC TECH'!$E:$E)="Non Dispatchable",IFERROR($AX93*_xlfn.XLOOKUP($C93,$BM$1:$BM$3,BT$1:BT$3)/SUMPRODUCT(_xlfn.XLOOKUP($C93,$BM$1:$BM$3,$BN$1:$BY$3),$BN$4:$BY$4),""),
"")</f>
        <v>5.2798048349857338E-2</v>
      </c>
      <c r="BU93" s="8">
        <f>IF(_xlfn.XLOOKUP($B93,'ELC TECH'!$H:$H,'ELC TECH'!$E:$E)="Non Dispatchable",IFERROR($AX93*_xlfn.XLOOKUP($C93,$BM$1:$BM$3,BU$1:BU$3)/SUMPRODUCT(_xlfn.XLOOKUP($C93,$BM$1:$BM$3,$BN$1:$BY$3),$BN$4:$BY$4),""),
"")</f>
        <v>0.46782595816528155</v>
      </c>
      <c r="BV93" s="8">
        <f>IF(_xlfn.XLOOKUP($B93,'ELC TECH'!$H:$H,'ELC TECH'!$E:$E)="Non Dispatchable",IFERROR($AX93*_xlfn.XLOOKUP($C93,$BM$1:$BM$3,BV$1:BV$3)/SUMPRODUCT(_xlfn.XLOOKUP($C93,$BM$1:$BM$3,$BN$1:$BY$3),$BN$4:$BY$4),""),
"")</f>
        <v>0.27342530663038417</v>
      </c>
      <c r="BW93" s="8">
        <f>IF(_xlfn.XLOOKUP($B93,'ELC TECH'!$H:$H,'ELC TECH'!$E:$E)="Non Dispatchable",IFERROR($AX93*_xlfn.XLOOKUP($C93,$BM$1:$BM$3,BW$1:BW$3)/SUMPRODUCT(_xlfn.XLOOKUP($C93,$BM$1:$BM$3,$BN$1:$BY$3),$BN$4:$BY$4),""),
"")</f>
        <v>0.27342530663038417</v>
      </c>
      <c r="BX93" s="8">
        <f>IF(_xlfn.XLOOKUP($B93,'ELC TECH'!$H:$H,'ELC TECH'!$E:$E)="Non Dispatchable",IFERROR($AX93*_xlfn.XLOOKUP($C93,$BM$1:$BM$3,BX$1:BX$3)/SUMPRODUCT(_xlfn.XLOOKUP($C93,$BM$1:$BM$3,$BN$1:$BY$3),$BN$4:$BY$4),""),
"")</f>
        <v>2.7342530663038423E-2</v>
      </c>
      <c r="BY93" s="8">
        <f>IF(_xlfn.XLOOKUP($B93,'ELC TECH'!$H:$H,'ELC TECH'!$E:$E)="Non Dispatchable",IFERROR($AX93*_xlfn.XLOOKUP($C93,$BM$1:$BM$3,BY$1:BY$3)/SUMPRODUCT(_xlfn.XLOOKUP($C93,$BM$1:$BM$3,$BN$1:$BY$3),$BN$4:$BY$4),""),
"")</f>
        <v>0.1998605367960401</v>
      </c>
      <c r="BZ93" s="8">
        <f>IF(_xlfn.XLOOKUP($B93,'ELC TECH'!$H:$H,'ELC TECH'!$E:$E)="Non Dispatchable",IFERROR($AX93*_xlfn.XLOOKUP($C93,$BM$1:$BM$3,BZ$1:BZ$3)/SUMPRODUCT(_xlfn.XLOOKUP($C93,$BM$1:$BM$3,$BN$1:$BY$3),$BN$4:$BY$4),""),
"")</f>
        <v>0.45373322800658644</v>
      </c>
      <c r="CA93" s="8">
        <f>IF(_xlfn.XLOOKUP($B93,'ELC TECH'!$H:$H,'ELC TECH'!$E:$E)="Non Dispatchable",IFERROR($AX93*_xlfn.XLOOKUP($C93,$BM$1:$BM$3,CA$1:CA$3)/SUMPRODUCT(_xlfn.XLOOKUP($C93,$BM$1:$BM$3,$BN$1:$BY$3),$BN$4:$BY$4),""),
"")</f>
        <v>0.45373322800658644</v>
      </c>
      <c r="CB93" s="8">
        <f>IF(_xlfn.XLOOKUP($B93,'ELC TECH'!$H:$H,'ELC TECH'!$E:$E)="Non Dispatchable",IFERROR($AX93*_xlfn.XLOOKUP($C93,$BM$1:$BM$3,CB$1:CB$3)/SUMPRODUCT(_xlfn.XLOOKUP($C93,$BM$1:$BM$3,$BN$1:$BY$3),$BN$4:$BY$4),""),
"")</f>
        <v>4.5373322800658637E-2</v>
      </c>
      <c r="CC93" s="8">
        <f>IF(_xlfn.XLOOKUP($B93,'ELC TECH'!$H:$H,'ELC TECH'!$E:$E)="Non Dispatchable",IFERROR($AX93*_xlfn.XLOOKUP($C93,$BM$1:$BM$3,CC$1:CC$3)/SUMPRODUCT(_xlfn.XLOOKUP($C93,$BM$1:$BM$3,$BN$1:$BY$3),$BN$4:$BY$4),""),
"")</f>
        <v>0.36355731602540331</v>
      </c>
      <c r="CD93" s="8">
        <f>IF(_xlfn.XLOOKUP($B93,'ELC TECH'!$H:$H,'ELC TECH'!$E:$E)="Non Dispatchable",IFERROR($AX93*_xlfn.XLOOKUP($C93,$BM$1:$BM$3,CD$1:CD$3)/SUMPRODUCT(_xlfn.XLOOKUP($C93,$BM$1:$BM$3,$BN$1:$BY$3),$BN$4:$BY$4),""),
"")</f>
        <v>0.52798048349857329</v>
      </c>
      <c r="CE93" s="8">
        <f>IF(_xlfn.XLOOKUP($B93,'ELC TECH'!$H:$H,'ELC TECH'!$E:$E)="Non Dispatchable",IFERROR($AX93*_xlfn.XLOOKUP($C93,$BM$1:$BM$3,CE$1:CE$3)/SUMPRODUCT(_xlfn.XLOOKUP($C93,$BM$1:$BM$3,$BN$1:$BY$3),$BN$4:$BY$4),""),
"")</f>
        <v>0.52798048349857329</v>
      </c>
      <c r="CF93" s="8">
        <f>IF(_xlfn.XLOOKUP($B93,'ELC TECH'!$H:$H,'ELC TECH'!$E:$E)="Non Dispatchable",IFERROR($AX93*_xlfn.XLOOKUP($C93,$BM$1:$BM$3,CF$1:CF$3)/SUMPRODUCT(_xlfn.XLOOKUP($C93,$BM$1:$BM$3,$BN$1:$BY$3),$BN$4:$BY$4),""),
"")</f>
        <v>5.2798048349857338E-2</v>
      </c>
      <c r="CG93" s="8">
        <f>IF(_xlfn.XLOOKUP($B93,'ELC TECH'!$H:$H,'ELC TECH'!$E:$E)="Non Dispatchable",IFERROR($AX93*_xlfn.XLOOKUP($C93,$BM$1:$BM$3,CG$1:CG$3)/SUMPRODUCT(_xlfn.XLOOKUP($C93,$BM$1:$BM$3,$BN$1:$BY$3),$BN$4:$BY$4),""),
"")</f>
        <v>0.46782595816528155</v>
      </c>
      <c r="CH93" s="8">
        <f>IF(_xlfn.XLOOKUP($B93,'ELC TECH'!$H:$H,'ELC TECH'!$E:$E)="Non Dispatchable",IFERROR($AX93*_xlfn.XLOOKUP($C93,$BM$1:$BM$3,CH$1:CH$3)/SUMPRODUCT(_xlfn.XLOOKUP($C93,$BM$1:$BM$3,$BN$1:$BY$3),$BN$4:$BY$4),""),
"")</f>
        <v>0.27342530663038417</v>
      </c>
      <c r="CI93" s="8">
        <f>IF(_xlfn.XLOOKUP($B93,'ELC TECH'!$H:$H,'ELC TECH'!$E:$E)="Non Dispatchable",IFERROR($AX93*_xlfn.XLOOKUP($C93,$BM$1:$BM$3,CI$1:CI$3)/SUMPRODUCT(_xlfn.XLOOKUP($C93,$BM$1:$BM$3,$BN$1:$BY$3),$BN$4:$BY$4),""),
"")</f>
        <v>0.27342530663038417</v>
      </c>
      <c r="CJ93" s="8">
        <f>IF(_xlfn.XLOOKUP($B93,'ELC TECH'!$H:$H,'ELC TECH'!$E:$E)="Non Dispatchable",IFERROR($AX93*_xlfn.XLOOKUP($C93,$BM$1:$BM$3,CJ$1:CJ$3)/SUMPRODUCT(_xlfn.XLOOKUP($C93,$BM$1:$BM$3,$BN$1:$BY$3),$BN$4:$BY$4),""),
"")</f>
        <v>2.7342530663038423E-2</v>
      </c>
      <c r="CK93" s="8">
        <f>IF(_xlfn.XLOOKUP($B93,'ELC TECH'!$H:$H,'ELC TECH'!$E:$E)="Non Dispatchable",IFERROR($AX93*_xlfn.XLOOKUP($C93,$BM$1:$BM$3,CK$1:CK$3)/SUMPRODUCT(_xlfn.XLOOKUP($C93,$BM$1:$BM$3,$BN$1:$BY$3),$BN$4:$BY$4),""),
"")</f>
        <v>0.1998605367960401</v>
      </c>
      <c r="CL93" s="8" t="str">
        <f>IF(_xlfn.XLOOKUP($B93,'ELC TECH'!$H:$H,'ELC TECH'!$E:$E)="Storage",CL$4*$BF93,"")</f>
        <v/>
      </c>
      <c r="CM93" s="8" t="str">
        <f>IF(_xlfn.XLOOKUP($B93,'ELC TECH'!$H:$H,'ELC TECH'!$E:$E)="Storage",CM$4*$BF93,"")</f>
        <v/>
      </c>
      <c r="CN93" s="8" t="str">
        <f>IF(_xlfn.XLOOKUP($B93,'ELC TECH'!$H:$H,'ELC TECH'!$E:$E)="Storage",CN$4*$BF93,"")</f>
        <v/>
      </c>
      <c r="CO93" s="8" t="str">
        <f>IF(_xlfn.XLOOKUP($B93,'ELC TECH'!$H:$H,'ELC TECH'!$E:$E)="Storage",CO$4*$BF93,"")</f>
        <v/>
      </c>
      <c r="CP93" s="8" t="str">
        <f>IF(_xlfn.XLOOKUP($B93,'ELC TECH'!$H:$H,'ELC TECH'!$E:$E)="Storage",CP$4*$BF93,"")</f>
        <v/>
      </c>
      <c r="CQ93" s="8" t="str">
        <f>IF(_xlfn.XLOOKUP($B93,'ELC TECH'!$H:$H,'ELC TECH'!$E:$E)="Storage",CQ$4*$BF93,"")</f>
        <v/>
      </c>
      <c r="CR93" s="8" t="str">
        <f>IF(_xlfn.XLOOKUP($B93,'ELC TECH'!$H:$H,'ELC TECH'!$E:$E)="Storage",CR$4*$BF93,"")</f>
        <v/>
      </c>
      <c r="CS93" s="8" t="str">
        <f>IF(_xlfn.XLOOKUP($B93,'ELC TECH'!$H:$H,'ELC TECH'!$E:$E)="Storage",CS$4*$BF93,"")</f>
        <v/>
      </c>
      <c r="CT93" s="8" t="str">
        <f>IF(_xlfn.XLOOKUP($B93,'ELC TECH'!$H:$H,'ELC TECH'!$E:$E)="Storage",CT$4*$BF93,"")</f>
        <v/>
      </c>
      <c r="CU93" s="8" t="str">
        <f>IF(_xlfn.XLOOKUP($B93,'ELC TECH'!$H:$H,'ELC TECH'!$E:$E)="Storage",CU$4*$BF93,"")</f>
        <v/>
      </c>
      <c r="CV93" s="8" t="str">
        <f>IF(_xlfn.XLOOKUP($B93,'ELC TECH'!$H:$H,'ELC TECH'!$E:$E)="Storage",CV$4*$BF93,"")</f>
        <v/>
      </c>
      <c r="CW93" s="8" t="str">
        <f>IF(_xlfn.XLOOKUP($B93,'ELC TECH'!$H:$H,'ELC TECH'!$E:$E)="Storage",CW$4*$BF93,"")</f>
        <v/>
      </c>
      <c r="CX93" s="8" t="str">
        <f>IF(_xlfn.XLOOKUP($B93,'ELC TECH'!$H:$H,'ELC TECH'!$E:$E)="Storage",CX$4*$BF93,"")</f>
        <v/>
      </c>
      <c r="CY93" s="8" t="str">
        <f>IF(_xlfn.XLOOKUP($B93,'ELC TECH'!$H:$H,'ELC TECH'!$E:$E)="Storage",CY$4*$BF93,"")</f>
        <v/>
      </c>
      <c r="CZ93" s="8" t="str">
        <f>IF(_xlfn.XLOOKUP($B93,'ELC TECH'!$H:$H,'ELC TECH'!$E:$E)="Storage",CZ$4*$BF93,"")</f>
        <v/>
      </c>
      <c r="DA93" s="8" t="str">
        <f>IF(_xlfn.XLOOKUP($B93,'ELC TECH'!$H:$H,'ELC TECH'!$E:$E)="Storage",DA$4*$BF93,"")</f>
        <v/>
      </c>
      <c r="DB93" s="8" t="str">
        <f>IF(_xlfn.XLOOKUP($B93,'ELC TECH'!$H:$H,'ELC TECH'!$E:$E)="Storage",DB$4*$BF93,"")</f>
        <v/>
      </c>
      <c r="DC93" s="8" t="str">
        <f>IF(_xlfn.XLOOKUP($B93,'ELC TECH'!$H:$H,'ELC TECH'!$E:$E)="Storage",DC$4*$BF93,"")</f>
        <v/>
      </c>
      <c r="DD93" s="8" t="str">
        <f>IF(_xlfn.XLOOKUP($B93,'ELC TECH'!$H:$H,'ELC TECH'!$E:$E)="Storage",DD$4*$BF93,"")</f>
        <v/>
      </c>
      <c r="DE93" s="8" t="str">
        <f>IF(_xlfn.XLOOKUP($B93,'ELC TECH'!$H:$H,'ELC TECH'!$E:$E)="Storage",DE$4*$BF93,"")</f>
        <v/>
      </c>
      <c r="DF93" s="8" t="str">
        <f>IF(_xlfn.XLOOKUP($B93,'ELC TECH'!$H:$H,'ELC TECH'!$E:$E)="Storage",DF$4*$BF93,"")</f>
        <v/>
      </c>
      <c r="DG93" s="8" t="str">
        <f>IF(_xlfn.XLOOKUP($B93,'ELC TECH'!$H:$H,'ELC TECH'!$E:$E)="Storage",DG$4*$BF93,"")</f>
        <v/>
      </c>
      <c r="DH93" s="8" t="str">
        <f>IF(_xlfn.XLOOKUP($B93,'ELC TECH'!$H:$H,'ELC TECH'!$E:$E)="Storage",DH$4*$BF93,"")</f>
        <v/>
      </c>
      <c r="DI93" s="8" t="str">
        <f>IF(_xlfn.XLOOKUP($B93,'ELC TECH'!$H:$H,'ELC TECH'!$E:$E)="Storage",DI$4*$BF93,"")</f>
        <v/>
      </c>
    </row>
    <row r="94" spans="2:113" x14ac:dyDescent="0.25">
      <c r="B94" t="str">
        <f>IF('ELC TECH'!I87=0,"*",'ELC TECH'!H87)</f>
        <v>ELCWNDGRDWOFC120</v>
      </c>
      <c r="C94" t="str">
        <f>IF(_xlfn.XLOOKUP(_xlfn.XLOOKUP(B94,'ELC TECH'!$H:$H,'ELC TECH'!$G:$G),List!C:C,List!B:B)="STG",D94,"ELC"&amp;_xlfn.XLOOKUP(_xlfn.XLOOKUP(B94,'ELC TECH'!H:H,'ELC TECH'!G:G),List!C:C,List!B:B))</f>
        <v>ELCWND</v>
      </c>
      <c r="D94" t="s">
        <v>544</v>
      </c>
      <c r="E94">
        <f>_xlfn.XLOOKUP(B94,'ELC TECH'!H:H,'ELC TECH'!D:D)</f>
        <v>2020</v>
      </c>
      <c r="F94">
        <f>_xlfn.XLOOKUP(B94,'ELC TECH'!H:H,'ELC TECH'!K:K)</f>
        <v>30</v>
      </c>
      <c r="G94">
        <f t="shared" si="6"/>
        <v>31.535999999999998</v>
      </c>
      <c r="H94">
        <f>IF(_xlfn.XLOOKUP(B94,'ELC TECH'!$H:$H,'ELC TECH'!$E:$E)="Storage",0.3,IF(_xlfn.XLOOKUP(B94,'ELC TECH'!$H:$H,'ELC TECH'!$E:$E)="Baseload",0.9,IF(_xlfn.XLOOKUP(B94,'ELC TECH'!$H:$H,'ELC TECH'!$E:$E)="Non Dispatchable",0.05,IF(_xlfn.XLOOKUP(B94,'ELC TECH'!$H:$H,'ELC TECH'!$E:$E)="Dispatchable",0.9,1))))</f>
        <v>0.05</v>
      </c>
      <c r="I94" s="13">
        <f>IF(_xlfn.XLOOKUP(B94,'ELC TECH'!H:H,'ELC TECH'!J:J)="","",_xlfn.XLOOKUP(B94,'ELC TECH'!H:H,'ELC TECH'!J:J))</f>
        <v>0</v>
      </c>
      <c r="J94" s="12">
        <f>IF(_xlfn.XLOOKUP($B94,'ELC TECH'!$H:$H,'ELC TECH'!$E:$E)="Storage","",IF(_xlfn.XLOOKUP($B94,'ELC TECH'!$H:$H,'ELC TECH'!AK:AK)="",1,_xlfn.XLOOKUP($B94,'ELC TECH'!$H:$H,'ELC TECH'!AK:AK)))</f>
        <v>1</v>
      </c>
      <c r="K94" s="12">
        <f>IF(_xlfn.XLOOKUP($B94,'ELC TECH'!$H:$H,'ELC TECH'!$E:$E)="Storage","",IF(_xlfn.XLOOKUP($B94,'ELC TECH'!$H:$H,'ELC TECH'!AL:AL)="",1,_xlfn.XLOOKUP($B94,'ELC TECH'!$H:$H,'ELC TECH'!AL:AL)))</f>
        <v>1</v>
      </c>
      <c r="L94" s="12">
        <f>IF(_xlfn.XLOOKUP($B94,'ELC TECH'!$H:$H,'ELC TECH'!$E:$E)="Storage","",IF(_xlfn.XLOOKUP($B94,'ELC TECH'!$H:$H,'ELC TECH'!AM:AM)="",1,_xlfn.XLOOKUP($B94,'ELC TECH'!$H:$H,'ELC TECH'!AM:AM)))</f>
        <v>1</v>
      </c>
      <c r="M94" s="12">
        <f>IF(_xlfn.XLOOKUP($B94,'ELC TECH'!$H:$H,'ELC TECH'!$E:$E)="Storage","",IF(_xlfn.XLOOKUP($B94,'ELC TECH'!$H:$H,'ELC TECH'!AN:AN)="",1,_xlfn.XLOOKUP($B94,'ELC TECH'!$H:$H,'ELC TECH'!AN:AN)))</f>
        <v>1</v>
      </c>
      <c r="N94" s="12">
        <f>IF(_xlfn.XLOOKUP($B94,'ELC TECH'!$H:$H,'ELC TECH'!$E:$E)="Storage","",IF(_xlfn.XLOOKUP($B94,'ELC TECH'!$H:$H,'ELC TECH'!AO:AO)="",1,_xlfn.XLOOKUP($B94,'ELC TECH'!$H:$H,'ELC TECH'!AO:AO)))</f>
        <v>1</v>
      </c>
      <c r="O94" s="12">
        <f>IF(_xlfn.XLOOKUP($B94,'ELC TECH'!$H:$H,'ELC TECH'!$E:$E)="Storage","",IF(_xlfn.XLOOKUP($B94,'ELC TECH'!$H:$H,'ELC TECH'!AP:AP)="",1,_xlfn.XLOOKUP($B94,'ELC TECH'!$H:$H,'ELC TECH'!AP:AP)))</f>
        <v>1</v>
      </c>
      <c r="P94" s="12">
        <f>IF(_xlfn.XLOOKUP($B94,'ELC TECH'!$H:$H,'ELC TECH'!$E:$E)="Storage","",IF(_xlfn.XLOOKUP($B94,'ELC TECH'!$H:$H,'ELC TECH'!AQ:AQ)="",1,_xlfn.XLOOKUP($B94,'ELC TECH'!$H:$H,'ELC TECH'!AQ:AQ)))</f>
        <v>1</v>
      </c>
      <c r="Q94" s="12">
        <f>IF(_xlfn.XLOOKUP($B94,'ELC TECH'!$H:$H,'ELC TECH'!$E:$E)="Storage","",IF(_xlfn.XLOOKUP($B94,'ELC TECH'!$H:$H,'ELC TECH'!AR:AR)="",1,_xlfn.XLOOKUP($B94,'ELC TECH'!$H:$H,'ELC TECH'!AR:AR)))</f>
        <v>1</v>
      </c>
      <c r="R94" s="12" t="str">
        <f>IF(_xlfn.XLOOKUP($B94,'ELC TECH'!$H:$H,'ELC TECH'!$E:$E)&lt;&gt;"Storage","",IF(_xlfn.XLOOKUP($B94,'ELC TECH'!$H:$H,'ELC TECH'!AK:AK)="",0.8,_xlfn.XLOOKUP($B94,'ELC TECH'!$H:$H,'ELC TECH'!AK:AK)))</f>
        <v/>
      </c>
      <c r="S94" s="12" t="str">
        <f>IF(_xlfn.XLOOKUP($B94,'ELC TECH'!$H:$H,'ELC TECH'!$E:$E)&lt;&gt;"Storage","",IF(_xlfn.XLOOKUP($B94,'ELC TECH'!$H:$H,'ELC TECH'!AL:AL)="",0.8,_xlfn.XLOOKUP($B94,'ELC TECH'!$H:$H,'ELC TECH'!AL:AL)))</f>
        <v/>
      </c>
      <c r="T94" s="12" t="str">
        <f>IF(_xlfn.XLOOKUP($B94,'ELC TECH'!$H:$H,'ELC TECH'!$E:$E)&lt;&gt;"Storage","",IF(_xlfn.XLOOKUP($B94,'ELC TECH'!$H:$H,'ELC TECH'!AM:AM)="",0.8,_xlfn.XLOOKUP($B94,'ELC TECH'!$H:$H,'ELC TECH'!AM:AM)))</f>
        <v/>
      </c>
      <c r="U94" s="12" t="str">
        <f>IF(_xlfn.XLOOKUP($B94,'ELC TECH'!$H:$H,'ELC TECH'!$E:$E)&lt;&gt;"Storage","",IF(_xlfn.XLOOKUP($B94,'ELC TECH'!$H:$H,'ELC TECH'!AN:AN)="",0.8,_xlfn.XLOOKUP($B94,'ELC TECH'!$H:$H,'ELC TECH'!AN:AN)))</f>
        <v/>
      </c>
      <c r="V94" s="12" t="str">
        <f>IF(_xlfn.XLOOKUP($B94,'ELC TECH'!$H:$H,'ELC TECH'!$E:$E)&lt;&gt;"Storage","",IF(_xlfn.XLOOKUP($B94,'ELC TECH'!$H:$H,'ELC TECH'!AO:AO)="",0.8,_xlfn.XLOOKUP($B94,'ELC TECH'!$H:$H,'ELC TECH'!AO:AO)))</f>
        <v/>
      </c>
      <c r="W94" s="12" t="str">
        <f>IF(_xlfn.XLOOKUP($B94,'ELC TECH'!$H:$H,'ELC TECH'!$E:$E)&lt;&gt;"Storage","",IF(_xlfn.XLOOKUP($B94,'ELC TECH'!$H:$H,'ELC TECH'!AP:AP)="",0.8,_xlfn.XLOOKUP($B94,'ELC TECH'!$H:$H,'ELC TECH'!AP:AP)))</f>
        <v/>
      </c>
      <c r="X94" s="12" t="str">
        <f>IF(_xlfn.XLOOKUP($B94,'ELC TECH'!$H:$H,'ELC TECH'!$E:$E)&lt;&gt;"Storage","",IF(_xlfn.XLOOKUP($B94,'ELC TECH'!$H:$H,'ELC TECH'!AQ:AQ)="",0.8,_xlfn.XLOOKUP($B94,'ELC TECH'!$H:$H,'ELC TECH'!AQ:AQ)))</f>
        <v/>
      </c>
      <c r="Y94" s="12" t="str">
        <f>IF(_xlfn.XLOOKUP($B94,'ELC TECH'!$H:$H,'ELC TECH'!$E:$E)&lt;&gt;"Storage","",IF(_xlfn.XLOOKUP($B94,'ELC TECH'!$H:$H,'ELC TECH'!AR:AR)="",0.8,_xlfn.XLOOKUP($B94,'ELC TECH'!$H:$H,'ELC TECH'!AR:AR)))</f>
        <v/>
      </c>
      <c r="Z94" s="15">
        <f>_xlfn.XLOOKUP($B94,'ELC TECH'!$H:$H,'ELC TECH'!M:M)</f>
        <v>2535.3822739430389</v>
      </c>
      <c r="AA94" s="15">
        <f>_xlfn.XLOOKUP($B94,'ELC TECH'!$H:$H,'ELC TECH'!N:N)</f>
        <v>2211.5100009760808</v>
      </c>
      <c r="AB94" s="15">
        <f>_xlfn.XLOOKUP($B94,'ELC TECH'!$H:$H,'ELC TECH'!O:O)</f>
        <v>2032.820410067746</v>
      </c>
      <c r="AC94" s="15">
        <f>_xlfn.XLOOKUP($B94,'ELC TECH'!$H:$H,'ELC TECH'!P:P)</f>
        <v>1922.360313828033</v>
      </c>
      <c r="AD94" s="15">
        <f>_xlfn.XLOOKUP($B94,'ELC TECH'!$H:$H,'ELC TECH'!Q:Q)</f>
        <v>1842.193915328324</v>
      </c>
      <c r="AE94" s="15">
        <f>_xlfn.XLOOKUP($B94,'ELC TECH'!$H:$H,'ELC TECH'!R:R)</f>
        <v>1779.2320041756061</v>
      </c>
      <c r="AF94" s="15">
        <f>_xlfn.XLOOKUP($B94,'ELC TECH'!$H:$H,'ELC TECH'!S:S)</f>
        <v>1727.379216318732</v>
      </c>
      <c r="AG94" s="15">
        <f>_xlfn.XLOOKUP($B94,'ELC TECH'!$H:$H,'ELC TECH'!T:T)</f>
        <v>1727.379216318732</v>
      </c>
      <c r="AH94" s="15">
        <f>_xlfn.XLOOKUP($B94,'ELC TECH'!$H:$H,'ELC TECH'!U:U)</f>
        <v>121.32756141100521</v>
      </c>
      <c r="AI94" s="15">
        <f>_xlfn.XLOOKUP($B94,'ELC TECH'!$H:$H,'ELC TECH'!V:V)</f>
        <v>107.77056065445031</v>
      </c>
      <c r="AJ94" s="15">
        <f>_xlfn.XLOOKUP($B94,'ELC TECH'!$H:$H,'ELC TECH'!W:W)</f>
        <v>98.274698865690254</v>
      </c>
      <c r="AK94" s="15">
        <f>_xlfn.XLOOKUP($B94,'ELC TECH'!$H:$H,'ELC TECH'!X:X)</f>
        <v>91.909886524784099</v>
      </c>
      <c r="AL94" s="15">
        <f>_xlfn.XLOOKUP($B94,'ELC TECH'!$H:$H,'ELC TECH'!Y:Y)</f>
        <v>87.115630063526794</v>
      </c>
      <c r="AM94" s="15">
        <f>_xlfn.XLOOKUP($B94,'ELC TECH'!$H:$H,'ELC TECH'!Z:Z)</f>
        <v>83.268248608751719</v>
      </c>
      <c r="AN94" s="15">
        <f>_xlfn.XLOOKUP($B94,'ELC TECH'!$H:$H,'ELC TECH'!AA:AA)</f>
        <v>80.054708031610872</v>
      </c>
      <c r="AO94" s="15">
        <f>_xlfn.XLOOKUP($B94,'ELC TECH'!$H:$H,'ELC TECH'!AB:AB)</f>
        <v>80.054708031610872</v>
      </c>
      <c r="AP94" s="15">
        <f>_xlfn.XLOOKUP($B94,'ELC TECH'!$H:$H,'ELC TECH'!AC:AC)</f>
        <v>0</v>
      </c>
      <c r="AQ94" s="15">
        <f>_xlfn.XLOOKUP($B94,'ELC TECH'!$H:$H,'ELC TECH'!AD:AD)</f>
        <v>0</v>
      </c>
      <c r="AR94" s="15">
        <f>_xlfn.XLOOKUP($B94,'ELC TECH'!$H:$H,'ELC TECH'!AE:AE)</f>
        <v>0</v>
      </c>
      <c r="AS94" s="15">
        <f>_xlfn.XLOOKUP($B94,'ELC TECH'!$H:$H,'ELC TECH'!AF:AF)</f>
        <v>0</v>
      </c>
      <c r="AT94" s="15">
        <f>_xlfn.XLOOKUP($B94,'ELC TECH'!$H:$H,'ELC TECH'!AG:AG)</f>
        <v>0</v>
      </c>
      <c r="AU94" s="15">
        <f>_xlfn.XLOOKUP($B94,'ELC TECH'!$H:$H,'ELC TECH'!AH:AH)</f>
        <v>0</v>
      </c>
      <c r="AV94" s="15">
        <f>_xlfn.XLOOKUP($B94,'ELC TECH'!$H:$H,'ELC TECH'!AI:AI)</f>
        <v>0</v>
      </c>
      <c r="AW94" s="15">
        <f>_xlfn.XLOOKUP($B94,'ELC TECH'!$H:$H,'ELC TECH'!AJ:AJ)</f>
        <v>0</v>
      </c>
      <c r="AX94" s="12">
        <f>IF(_xlfn.XLOOKUP($B94,'ELC TECH'!$H:$H,'ELC TECH'!$E:$E)="Storage","",_xlfn.XLOOKUP($B94,'ELC TECH'!$H:$H,'ELC TECH'!AS:AS))</f>
        <v>0.46351979389887199</v>
      </c>
      <c r="AY94" s="12">
        <f>IF(_xlfn.XLOOKUP($B94,'ELC TECH'!$H:$H,'ELC TECH'!$E:$E)="Storage","",_xlfn.XLOOKUP($B94,'ELC TECH'!$H:$H,'ELC TECH'!AT:AT))</f>
        <v>0.48634191413783001</v>
      </c>
      <c r="AZ94" s="12">
        <f>IF(_xlfn.XLOOKUP($B94,'ELC TECH'!$H:$H,'ELC TECH'!$E:$E)="Storage","",_xlfn.XLOOKUP($B94,'ELC TECH'!$H:$H,'ELC TECH'!AU:AU))</f>
        <v>0.50892215698769505</v>
      </c>
      <c r="BA94" s="12">
        <f>IF(_xlfn.XLOOKUP($B94,'ELC TECH'!$H:$H,'ELC TECH'!$E:$E)="Storage","",_xlfn.XLOOKUP($B94,'ELC TECH'!$H:$H,'ELC TECH'!AV:AV))</f>
        <v>0.51900298317400195</v>
      </c>
      <c r="BB94" s="12">
        <f>IF(_xlfn.XLOOKUP($B94,'ELC TECH'!$H:$H,'ELC TECH'!$E:$E)="Storage","",_xlfn.XLOOKUP($B94,'ELC TECH'!$H:$H,'ELC TECH'!AW:AW))</f>
        <v>0.52783008481778104</v>
      </c>
      <c r="BC94" s="12">
        <f>IF(_xlfn.XLOOKUP($B94,'ELC TECH'!$H:$H,'ELC TECH'!$E:$E)="Storage","",_xlfn.XLOOKUP($B94,'ELC TECH'!$H:$H,'ELC TECH'!AX:AX))</f>
        <v>0.53590132641881005</v>
      </c>
      <c r="BD94" s="12">
        <f>IF(_xlfn.XLOOKUP($B94,'ELC TECH'!$H:$H,'ELC TECH'!$E:$E)="Storage","",_xlfn.XLOOKUP($B94,'ELC TECH'!$H:$H,'ELC TECH'!AY:AY))</f>
        <v>0.543466593113346</v>
      </c>
      <c r="BE94" s="12">
        <f>IF(_xlfn.XLOOKUP($B94,'ELC TECH'!$H:$H,'ELC TECH'!$E:$E)="Storage","",_xlfn.XLOOKUP($B94,'ELC TECH'!$H:$H,'ELC TECH'!AZ:AZ))</f>
        <v>0.543466593113346</v>
      </c>
      <c r="BF94" s="12" t="str">
        <f>IF(_xlfn.XLOOKUP($B94,'ELC TECH'!$H:$H,'ELC TECH'!$E:$E)="Storage",_xlfn.XLOOKUP($B94,'ELC TECH'!$H:$H,'ELC TECH'!AS:AS),"")</f>
        <v/>
      </c>
      <c r="BG94" s="12" t="str">
        <f>IF(_xlfn.XLOOKUP($B94,'ELC TECH'!$H:$H,'ELC TECH'!$E:$E)="Storage",_xlfn.XLOOKUP($B94,'ELC TECH'!$H:$H,'ELC TECH'!AT:AT),"")</f>
        <v/>
      </c>
      <c r="BH94" s="12" t="str">
        <f>IF(_xlfn.XLOOKUP($B94,'ELC TECH'!$H:$H,'ELC TECH'!$E:$E)="Storage",_xlfn.XLOOKUP($B94,'ELC TECH'!$H:$H,'ELC TECH'!AU:AU),"")</f>
        <v/>
      </c>
      <c r="BI94" s="12" t="str">
        <f>IF(_xlfn.XLOOKUP($B94,'ELC TECH'!$H:$H,'ELC TECH'!$E:$E)="Storage",_xlfn.XLOOKUP($B94,'ELC TECH'!$H:$H,'ELC TECH'!AV:AV),"")</f>
        <v/>
      </c>
      <c r="BJ94" s="12" t="str">
        <f>IF(_xlfn.XLOOKUP($B94,'ELC TECH'!$H:$H,'ELC TECH'!$E:$E)="Storage",_xlfn.XLOOKUP($B94,'ELC TECH'!$H:$H,'ELC TECH'!AW:AW),"")</f>
        <v/>
      </c>
      <c r="BK94" s="12" t="str">
        <f>IF(_xlfn.XLOOKUP($B94,'ELC TECH'!$H:$H,'ELC TECH'!$E:$E)="Storage",_xlfn.XLOOKUP($B94,'ELC TECH'!$H:$H,'ELC TECH'!AX:AX),"")</f>
        <v/>
      </c>
      <c r="BL94" s="12" t="str">
        <f>IF(_xlfn.XLOOKUP($B94,'ELC TECH'!$H:$H,'ELC TECH'!$E:$E)="Storage",_xlfn.XLOOKUP($B94,'ELC TECH'!$H:$H,'ELC TECH'!AY:AY),"")</f>
        <v/>
      </c>
      <c r="BM94" s="12" t="str">
        <f>IF(_xlfn.XLOOKUP($B94,'ELC TECH'!$H:$H,'ELC TECH'!$E:$E)="Storage",_xlfn.XLOOKUP($B94,'ELC TECH'!$H:$H,'ELC TECH'!AZ:AZ),"")</f>
        <v/>
      </c>
      <c r="BN94" s="8">
        <f>IF(_xlfn.XLOOKUP($B94,'ELC TECH'!$H:$H,'ELC TECH'!$E:$E)="Non Dispatchable",IFERROR($AX94*_xlfn.XLOOKUP($C94,$BM$1:$BM$3,BN$1:BN$3)/SUMPRODUCT(_xlfn.XLOOKUP($C94,$BM$1:$BM$3,$BN$1:$BY$3),$BN$4:$BY$4),""),
"")</f>
        <v>0.81394145412238394</v>
      </c>
      <c r="BO94" s="8">
        <f>IF(_xlfn.XLOOKUP($B94,'ELC TECH'!$H:$H,'ELC TECH'!$E:$E)="Non Dispatchable",IFERROR($AX94*_xlfn.XLOOKUP($C94,$BM$1:$BM$3,BO$1:BO$3)/SUMPRODUCT(_xlfn.XLOOKUP($C94,$BM$1:$BM$3,$BN$1:$BY$3),$BN$4:$BY$4),""),
"")</f>
        <v>0.81394145412238394</v>
      </c>
      <c r="BP94" s="8">
        <f>IF(_xlfn.XLOOKUP($B94,'ELC TECH'!$H:$H,'ELC TECH'!$E:$E)="Non Dispatchable",IFERROR($AX94*_xlfn.XLOOKUP($C94,$BM$1:$BM$3,BP$1:BP$3)/SUMPRODUCT(_xlfn.XLOOKUP($C94,$BM$1:$BM$3,$BN$1:$BY$3),$BN$4:$BY$4),""),
"")</f>
        <v>8.1394145412238397E-2</v>
      </c>
      <c r="BQ94" s="8">
        <f>IF(_xlfn.XLOOKUP($B94,'ELC TECH'!$H:$H,'ELC TECH'!$E:$E)="Non Dispatchable",IFERROR($AX94*_xlfn.XLOOKUP($C94,$BM$1:$BM$3,BQ$1:BQ$3)/SUMPRODUCT(_xlfn.XLOOKUP($C94,$BM$1:$BM$3,$BN$1:$BY$3),$BN$4:$BY$4),""),
"")</f>
        <v>0.65217698902636323</v>
      </c>
      <c r="BR94" s="8">
        <f>IF(_xlfn.XLOOKUP($B94,'ELC TECH'!$H:$H,'ELC TECH'!$E:$E)="Non Dispatchable",IFERROR($AX94*_xlfn.XLOOKUP($C94,$BM$1:$BM$3,BR$1:BR$3)/SUMPRODUCT(_xlfn.XLOOKUP($C94,$BM$1:$BM$3,$BN$1:$BY$3),$BN$4:$BY$4),""),
"")</f>
        <v>0.94713187388786524</v>
      </c>
      <c r="BS94" s="8">
        <f>IF(_xlfn.XLOOKUP($B94,'ELC TECH'!$H:$H,'ELC TECH'!$E:$E)="Non Dispatchable",IFERROR($AX94*_xlfn.XLOOKUP($C94,$BM$1:$BM$3,BS$1:BS$3)/SUMPRODUCT(_xlfn.XLOOKUP($C94,$BM$1:$BM$3,$BN$1:$BY$3),$BN$4:$BY$4),""),
"")</f>
        <v>0.94713187388786524</v>
      </c>
      <c r="BT94" s="8">
        <f>IF(_xlfn.XLOOKUP($B94,'ELC TECH'!$H:$H,'ELC TECH'!$E:$E)="Non Dispatchable",IFERROR($AX94*_xlfn.XLOOKUP($C94,$BM$1:$BM$3,BT$1:BT$3)/SUMPRODUCT(_xlfn.XLOOKUP($C94,$BM$1:$BM$3,$BN$1:$BY$3),$BN$4:$BY$4),""),
"")</f>
        <v>9.4713187388786535E-2</v>
      </c>
      <c r="BU94" s="8">
        <f>IF(_xlfn.XLOOKUP($B94,'ELC TECH'!$H:$H,'ELC TECH'!$E:$E)="Non Dispatchable",IFERROR($AX94*_xlfn.XLOOKUP($C94,$BM$1:$BM$3,BU$1:BU$3)/SUMPRODUCT(_xlfn.XLOOKUP($C94,$BM$1:$BM$3,$BN$1:$BY$3),$BN$4:$BY$4),""),
"")</f>
        <v>0.83922207403271654</v>
      </c>
      <c r="BV94" s="8">
        <f>IF(_xlfn.XLOOKUP($B94,'ELC TECH'!$H:$H,'ELC TECH'!$E:$E)="Non Dispatchable",IFERROR($AX94*_xlfn.XLOOKUP($C94,$BM$1:$BM$3,BV$1:BV$3)/SUMPRODUCT(_xlfn.XLOOKUP($C94,$BM$1:$BM$3,$BN$1:$BY$3),$BN$4:$BY$4),""),
"")</f>
        <v>0.49049127975560802</v>
      </c>
      <c r="BW94" s="8">
        <f>IF(_xlfn.XLOOKUP($B94,'ELC TECH'!$H:$H,'ELC TECH'!$E:$E)="Non Dispatchable",IFERROR($AX94*_xlfn.XLOOKUP($C94,$BM$1:$BM$3,BW$1:BW$3)/SUMPRODUCT(_xlfn.XLOOKUP($C94,$BM$1:$BM$3,$BN$1:$BY$3),$BN$4:$BY$4),""),
"")</f>
        <v>0.49049127975560802</v>
      </c>
      <c r="BX94" s="8">
        <f>IF(_xlfn.XLOOKUP($B94,'ELC TECH'!$H:$H,'ELC TECH'!$E:$E)="Non Dispatchable",IFERROR($AX94*_xlfn.XLOOKUP($C94,$BM$1:$BM$3,BX$1:BX$3)/SUMPRODUCT(_xlfn.XLOOKUP($C94,$BM$1:$BM$3,$BN$1:$BY$3),$BN$4:$BY$4),""),
"")</f>
        <v>4.9049127975560804E-2</v>
      </c>
      <c r="BY94" s="8">
        <f>IF(_xlfn.XLOOKUP($B94,'ELC TECH'!$H:$H,'ELC TECH'!$E:$E)="Non Dispatchable",IFERROR($AX94*_xlfn.XLOOKUP($C94,$BM$1:$BM$3,BY$1:BY$3)/SUMPRODUCT(_xlfn.XLOOKUP($C94,$BM$1:$BM$3,$BN$1:$BY$3),$BN$4:$BY$4),""),
"")</f>
        <v>0.35852515509198668</v>
      </c>
      <c r="BZ94" s="8">
        <f>IF(_xlfn.XLOOKUP($B94,'ELC TECH'!$H:$H,'ELC TECH'!$E:$E)="Non Dispatchable",IFERROR($AX94*_xlfn.XLOOKUP($C94,$BM$1:$BM$3,BZ$1:BZ$3)/SUMPRODUCT(_xlfn.XLOOKUP($C94,$BM$1:$BM$3,$BN$1:$BY$3),$BN$4:$BY$4),""),
"")</f>
        <v>0.81394145412238394</v>
      </c>
      <c r="CA94" s="8">
        <f>IF(_xlfn.XLOOKUP($B94,'ELC TECH'!$H:$H,'ELC TECH'!$E:$E)="Non Dispatchable",IFERROR($AX94*_xlfn.XLOOKUP($C94,$BM$1:$BM$3,CA$1:CA$3)/SUMPRODUCT(_xlfn.XLOOKUP($C94,$BM$1:$BM$3,$BN$1:$BY$3),$BN$4:$BY$4),""),
"")</f>
        <v>0.81394145412238394</v>
      </c>
      <c r="CB94" s="8">
        <f>IF(_xlfn.XLOOKUP($B94,'ELC TECH'!$H:$H,'ELC TECH'!$E:$E)="Non Dispatchable",IFERROR($AX94*_xlfn.XLOOKUP($C94,$BM$1:$BM$3,CB$1:CB$3)/SUMPRODUCT(_xlfn.XLOOKUP($C94,$BM$1:$BM$3,$BN$1:$BY$3),$BN$4:$BY$4),""),
"")</f>
        <v>8.1394145412238397E-2</v>
      </c>
      <c r="CC94" s="8">
        <f>IF(_xlfn.XLOOKUP($B94,'ELC TECH'!$H:$H,'ELC TECH'!$E:$E)="Non Dispatchable",IFERROR($AX94*_xlfn.XLOOKUP($C94,$BM$1:$BM$3,CC$1:CC$3)/SUMPRODUCT(_xlfn.XLOOKUP($C94,$BM$1:$BM$3,$BN$1:$BY$3),$BN$4:$BY$4),""),
"")</f>
        <v>0.65217698902636323</v>
      </c>
      <c r="CD94" s="8">
        <f>IF(_xlfn.XLOOKUP($B94,'ELC TECH'!$H:$H,'ELC TECH'!$E:$E)="Non Dispatchable",IFERROR($AX94*_xlfn.XLOOKUP($C94,$BM$1:$BM$3,CD$1:CD$3)/SUMPRODUCT(_xlfn.XLOOKUP($C94,$BM$1:$BM$3,$BN$1:$BY$3),$BN$4:$BY$4),""),
"")</f>
        <v>0.94713187388786524</v>
      </c>
      <c r="CE94" s="8">
        <f>IF(_xlfn.XLOOKUP($B94,'ELC TECH'!$H:$H,'ELC TECH'!$E:$E)="Non Dispatchable",IFERROR($AX94*_xlfn.XLOOKUP($C94,$BM$1:$BM$3,CE$1:CE$3)/SUMPRODUCT(_xlfn.XLOOKUP($C94,$BM$1:$BM$3,$BN$1:$BY$3),$BN$4:$BY$4),""),
"")</f>
        <v>0.94713187388786524</v>
      </c>
      <c r="CF94" s="8">
        <f>IF(_xlfn.XLOOKUP($B94,'ELC TECH'!$H:$H,'ELC TECH'!$E:$E)="Non Dispatchable",IFERROR($AX94*_xlfn.XLOOKUP($C94,$BM$1:$BM$3,CF$1:CF$3)/SUMPRODUCT(_xlfn.XLOOKUP($C94,$BM$1:$BM$3,$BN$1:$BY$3),$BN$4:$BY$4),""),
"")</f>
        <v>9.4713187388786535E-2</v>
      </c>
      <c r="CG94" s="8">
        <f>IF(_xlfn.XLOOKUP($B94,'ELC TECH'!$H:$H,'ELC TECH'!$E:$E)="Non Dispatchable",IFERROR($AX94*_xlfn.XLOOKUP($C94,$BM$1:$BM$3,CG$1:CG$3)/SUMPRODUCT(_xlfn.XLOOKUP($C94,$BM$1:$BM$3,$BN$1:$BY$3),$BN$4:$BY$4),""),
"")</f>
        <v>0.83922207403271654</v>
      </c>
      <c r="CH94" s="8">
        <f>IF(_xlfn.XLOOKUP($B94,'ELC TECH'!$H:$H,'ELC TECH'!$E:$E)="Non Dispatchable",IFERROR($AX94*_xlfn.XLOOKUP($C94,$BM$1:$BM$3,CH$1:CH$3)/SUMPRODUCT(_xlfn.XLOOKUP($C94,$BM$1:$BM$3,$BN$1:$BY$3),$BN$4:$BY$4),""),
"")</f>
        <v>0.49049127975560802</v>
      </c>
      <c r="CI94" s="8">
        <f>IF(_xlfn.XLOOKUP($B94,'ELC TECH'!$H:$H,'ELC TECH'!$E:$E)="Non Dispatchable",IFERROR($AX94*_xlfn.XLOOKUP($C94,$BM$1:$BM$3,CI$1:CI$3)/SUMPRODUCT(_xlfn.XLOOKUP($C94,$BM$1:$BM$3,$BN$1:$BY$3),$BN$4:$BY$4),""),
"")</f>
        <v>0.49049127975560802</v>
      </c>
      <c r="CJ94" s="8">
        <f>IF(_xlfn.XLOOKUP($B94,'ELC TECH'!$H:$H,'ELC TECH'!$E:$E)="Non Dispatchable",IFERROR($AX94*_xlfn.XLOOKUP($C94,$BM$1:$BM$3,CJ$1:CJ$3)/SUMPRODUCT(_xlfn.XLOOKUP($C94,$BM$1:$BM$3,$BN$1:$BY$3),$BN$4:$BY$4),""),
"")</f>
        <v>4.9049127975560804E-2</v>
      </c>
      <c r="CK94" s="8">
        <f>IF(_xlfn.XLOOKUP($B94,'ELC TECH'!$H:$H,'ELC TECH'!$E:$E)="Non Dispatchable",IFERROR($AX94*_xlfn.XLOOKUP($C94,$BM$1:$BM$3,CK$1:CK$3)/SUMPRODUCT(_xlfn.XLOOKUP($C94,$BM$1:$BM$3,$BN$1:$BY$3),$BN$4:$BY$4),""),
"")</f>
        <v>0.35852515509198668</v>
      </c>
      <c r="CL94" s="8" t="str">
        <f>IF(_xlfn.XLOOKUP($B94,'ELC TECH'!$H:$H,'ELC TECH'!$E:$E)="Storage",CL$4*$BF94,"")</f>
        <v/>
      </c>
      <c r="CM94" s="8" t="str">
        <f>IF(_xlfn.XLOOKUP($B94,'ELC TECH'!$H:$H,'ELC TECH'!$E:$E)="Storage",CM$4*$BF94,"")</f>
        <v/>
      </c>
      <c r="CN94" s="8" t="str">
        <f>IF(_xlfn.XLOOKUP($B94,'ELC TECH'!$H:$H,'ELC TECH'!$E:$E)="Storage",CN$4*$BF94,"")</f>
        <v/>
      </c>
      <c r="CO94" s="8" t="str">
        <f>IF(_xlfn.XLOOKUP($B94,'ELC TECH'!$H:$H,'ELC TECH'!$E:$E)="Storage",CO$4*$BF94,"")</f>
        <v/>
      </c>
      <c r="CP94" s="8" t="str">
        <f>IF(_xlfn.XLOOKUP($B94,'ELC TECH'!$H:$H,'ELC TECH'!$E:$E)="Storage",CP$4*$BF94,"")</f>
        <v/>
      </c>
      <c r="CQ94" s="8" t="str">
        <f>IF(_xlfn.XLOOKUP($B94,'ELC TECH'!$H:$H,'ELC TECH'!$E:$E)="Storage",CQ$4*$BF94,"")</f>
        <v/>
      </c>
      <c r="CR94" s="8" t="str">
        <f>IF(_xlfn.XLOOKUP($B94,'ELC TECH'!$H:$H,'ELC TECH'!$E:$E)="Storage",CR$4*$BF94,"")</f>
        <v/>
      </c>
      <c r="CS94" s="8" t="str">
        <f>IF(_xlfn.XLOOKUP($B94,'ELC TECH'!$H:$H,'ELC TECH'!$E:$E)="Storage",CS$4*$BF94,"")</f>
        <v/>
      </c>
      <c r="CT94" s="8" t="str">
        <f>IF(_xlfn.XLOOKUP($B94,'ELC TECH'!$H:$H,'ELC TECH'!$E:$E)="Storage",CT$4*$BF94,"")</f>
        <v/>
      </c>
      <c r="CU94" s="8" t="str">
        <f>IF(_xlfn.XLOOKUP($B94,'ELC TECH'!$H:$H,'ELC TECH'!$E:$E)="Storage",CU$4*$BF94,"")</f>
        <v/>
      </c>
      <c r="CV94" s="8" t="str">
        <f>IF(_xlfn.XLOOKUP($B94,'ELC TECH'!$H:$H,'ELC TECH'!$E:$E)="Storage",CV$4*$BF94,"")</f>
        <v/>
      </c>
      <c r="CW94" s="8" t="str">
        <f>IF(_xlfn.XLOOKUP($B94,'ELC TECH'!$H:$H,'ELC TECH'!$E:$E)="Storage",CW$4*$BF94,"")</f>
        <v/>
      </c>
      <c r="CX94" s="8" t="str">
        <f>IF(_xlfn.XLOOKUP($B94,'ELC TECH'!$H:$H,'ELC TECH'!$E:$E)="Storage",CX$4*$BF94,"")</f>
        <v/>
      </c>
      <c r="CY94" s="8" t="str">
        <f>IF(_xlfn.XLOOKUP($B94,'ELC TECH'!$H:$H,'ELC TECH'!$E:$E)="Storage",CY$4*$BF94,"")</f>
        <v/>
      </c>
      <c r="CZ94" s="8" t="str">
        <f>IF(_xlfn.XLOOKUP($B94,'ELC TECH'!$H:$H,'ELC TECH'!$E:$E)="Storage",CZ$4*$BF94,"")</f>
        <v/>
      </c>
      <c r="DA94" s="8" t="str">
        <f>IF(_xlfn.XLOOKUP($B94,'ELC TECH'!$H:$H,'ELC TECH'!$E:$E)="Storage",DA$4*$BF94,"")</f>
        <v/>
      </c>
      <c r="DB94" s="8" t="str">
        <f>IF(_xlfn.XLOOKUP($B94,'ELC TECH'!$H:$H,'ELC TECH'!$E:$E)="Storage",DB$4*$BF94,"")</f>
        <v/>
      </c>
      <c r="DC94" s="8" t="str">
        <f>IF(_xlfn.XLOOKUP($B94,'ELC TECH'!$H:$H,'ELC TECH'!$E:$E)="Storage",DC$4*$BF94,"")</f>
        <v/>
      </c>
      <c r="DD94" s="8" t="str">
        <f>IF(_xlfn.XLOOKUP($B94,'ELC TECH'!$H:$H,'ELC TECH'!$E:$E)="Storage",DD$4*$BF94,"")</f>
        <v/>
      </c>
      <c r="DE94" s="8" t="str">
        <f>IF(_xlfn.XLOOKUP($B94,'ELC TECH'!$H:$H,'ELC TECH'!$E:$E)="Storage",DE$4*$BF94,"")</f>
        <v/>
      </c>
      <c r="DF94" s="8" t="str">
        <f>IF(_xlfn.XLOOKUP($B94,'ELC TECH'!$H:$H,'ELC TECH'!$E:$E)="Storage",DF$4*$BF94,"")</f>
        <v/>
      </c>
      <c r="DG94" s="8" t="str">
        <f>IF(_xlfn.XLOOKUP($B94,'ELC TECH'!$H:$H,'ELC TECH'!$E:$E)="Storage",DG$4*$BF94,"")</f>
        <v/>
      </c>
      <c r="DH94" s="8" t="str">
        <f>IF(_xlfn.XLOOKUP($B94,'ELC TECH'!$H:$H,'ELC TECH'!$E:$E)="Storage",DH$4*$BF94,"")</f>
        <v/>
      </c>
      <c r="DI94" s="8" t="str">
        <f>IF(_xlfn.XLOOKUP($B94,'ELC TECH'!$H:$H,'ELC TECH'!$E:$E)="Storage",DI$4*$BF94,"")</f>
        <v/>
      </c>
    </row>
    <row r="95" spans="2:113" x14ac:dyDescent="0.25">
      <c r="B95" t="str">
        <f>IF('ELC TECH'!I88=0,"*",'ELC TECH'!H88)</f>
        <v>ELCWNDGRDWOFC220</v>
      </c>
      <c r="C95" t="str">
        <f>IF(_xlfn.XLOOKUP(_xlfn.XLOOKUP(B95,'ELC TECH'!$H:$H,'ELC TECH'!$G:$G),List!C:C,List!B:B)="STG",D95,"ELC"&amp;_xlfn.XLOOKUP(_xlfn.XLOOKUP(B95,'ELC TECH'!H:H,'ELC TECH'!G:G),List!C:C,List!B:B))</f>
        <v>ELCWND</v>
      </c>
      <c r="D95" t="s">
        <v>544</v>
      </c>
      <c r="E95">
        <f>_xlfn.XLOOKUP(B95,'ELC TECH'!H:H,'ELC TECH'!D:D)</f>
        <v>2020</v>
      </c>
      <c r="F95">
        <f>_xlfn.XLOOKUP(B95,'ELC TECH'!H:H,'ELC TECH'!K:K)</f>
        <v>30</v>
      </c>
      <c r="G95">
        <f t="shared" si="6"/>
        <v>31.535999999999998</v>
      </c>
      <c r="H95">
        <f>IF(_xlfn.XLOOKUP(B95,'ELC TECH'!$H:$H,'ELC TECH'!$E:$E)="Storage",0.3,IF(_xlfn.XLOOKUP(B95,'ELC TECH'!$H:$H,'ELC TECH'!$E:$E)="Baseload",0.9,IF(_xlfn.XLOOKUP(B95,'ELC TECH'!$H:$H,'ELC TECH'!$E:$E)="Non Dispatchable",0.05,IF(_xlfn.XLOOKUP(B95,'ELC TECH'!$H:$H,'ELC TECH'!$E:$E)="Dispatchable",0.9,1))))</f>
        <v>0.05</v>
      </c>
      <c r="I95" s="13">
        <f>IF(_xlfn.XLOOKUP(B95,'ELC TECH'!H:H,'ELC TECH'!J:J)="","",_xlfn.XLOOKUP(B95,'ELC TECH'!H:H,'ELC TECH'!J:J))</f>
        <v>0</v>
      </c>
      <c r="J95" s="12">
        <f>IF(_xlfn.XLOOKUP($B95,'ELC TECH'!$H:$H,'ELC TECH'!$E:$E)="Storage","",IF(_xlfn.XLOOKUP($B95,'ELC TECH'!$H:$H,'ELC TECH'!AK:AK)="",1,_xlfn.XLOOKUP($B95,'ELC TECH'!$H:$H,'ELC TECH'!AK:AK)))</f>
        <v>1</v>
      </c>
      <c r="K95" s="12">
        <f>IF(_xlfn.XLOOKUP($B95,'ELC TECH'!$H:$H,'ELC TECH'!$E:$E)="Storage","",IF(_xlfn.XLOOKUP($B95,'ELC TECH'!$H:$H,'ELC TECH'!AL:AL)="",1,_xlfn.XLOOKUP($B95,'ELC TECH'!$H:$H,'ELC TECH'!AL:AL)))</f>
        <v>1</v>
      </c>
      <c r="L95" s="12">
        <f>IF(_xlfn.XLOOKUP($B95,'ELC TECH'!$H:$H,'ELC TECH'!$E:$E)="Storage","",IF(_xlfn.XLOOKUP($B95,'ELC TECH'!$H:$H,'ELC TECH'!AM:AM)="",1,_xlfn.XLOOKUP($B95,'ELC TECH'!$H:$H,'ELC TECH'!AM:AM)))</f>
        <v>1</v>
      </c>
      <c r="M95" s="12">
        <f>IF(_xlfn.XLOOKUP($B95,'ELC TECH'!$H:$H,'ELC TECH'!$E:$E)="Storage","",IF(_xlfn.XLOOKUP($B95,'ELC TECH'!$H:$H,'ELC TECH'!AN:AN)="",1,_xlfn.XLOOKUP($B95,'ELC TECH'!$H:$H,'ELC TECH'!AN:AN)))</f>
        <v>1</v>
      </c>
      <c r="N95" s="12">
        <f>IF(_xlfn.XLOOKUP($B95,'ELC TECH'!$H:$H,'ELC TECH'!$E:$E)="Storage","",IF(_xlfn.XLOOKUP($B95,'ELC TECH'!$H:$H,'ELC TECH'!AO:AO)="",1,_xlfn.XLOOKUP($B95,'ELC TECH'!$H:$H,'ELC TECH'!AO:AO)))</f>
        <v>1</v>
      </c>
      <c r="O95" s="12">
        <f>IF(_xlfn.XLOOKUP($B95,'ELC TECH'!$H:$H,'ELC TECH'!$E:$E)="Storage","",IF(_xlfn.XLOOKUP($B95,'ELC TECH'!$H:$H,'ELC TECH'!AP:AP)="",1,_xlfn.XLOOKUP($B95,'ELC TECH'!$H:$H,'ELC TECH'!AP:AP)))</f>
        <v>1</v>
      </c>
      <c r="P95" s="12">
        <f>IF(_xlfn.XLOOKUP($B95,'ELC TECH'!$H:$H,'ELC TECH'!$E:$E)="Storage","",IF(_xlfn.XLOOKUP($B95,'ELC TECH'!$H:$H,'ELC TECH'!AQ:AQ)="",1,_xlfn.XLOOKUP($B95,'ELC TECH'!$H:$H,'ELC TECH'!AQ:AQ)))</f>
        <v>1</v>
      </c>
      <c r="Q95" s="12">
        <f>IF(_xlfn.XLOOKUP($B95,'ELC TECH'!$H:$H,'ELC TECH'!$E:$E)="Storage","",IF(_xlfn.XLOOKUP($B95,'ELC TECH'!$H:$H,'ELC TECH'!AR:AR)="",1,_xlfn.XLOOKUP($B95,'ELC TECH'!$H:$H,'ELC TECH'!AR:AR)))</f>
        <v>1</v>
      </c>
      <c r="R95" s="12" t="str">
        <f>IF(_xlfn.XLOOKUP($B95,'ELC TECH'!$H:$H,'ELC TECH'!$E:$E)&lt;&gt;"Storage","",IF(_xlfn.XLOOKUP($B95,'ELC TECH'!$H:$H,'ELC TECH'!AK:AK)="",0.8,_xlfn.XLOOKUP($B95,'ELC TECH'!$H:$H,'ELC TECH'!AK:AK)))</f>
        <v/>
      </c>
      <c r="S95" s="12" t="str">
        <f>IF(_xlfn.XLOOKUP($B95,'ELC TECH'!$H:$H,'ELC TECH'!$E:$E)&lt;&gt;"Storage","",IF(_xlfn.XLOOKUP($B95,'ELC TECH'!$H:$H,'ELC TECH'!AL:AL)="",0.8,_xlfn.XLOOKUP($B95,'ELC TECH'!$H:$H,'ELC TECH'!AL:AL)))</f>
        <v/>
      </c>
      <c r="T95" s="12" t="str">
        <f>IF(_xlfn.XLOOKUP($B95,'ELC TECH'!$H:$H,'ELC TECH'!$E:$E)&lt;&gt;"Storage","",IF(_xlfn.XLOOKUP($B95,'ELC TECH'!$H:$H,'ELC TECH'!AM:AM)="",0.8,_xlfn.XLOOKUP($B95,'ELC TECH'!$H:$H,'ELC TECH'!AM:AM)))</f>
        <v/>
      </c>
      <c r="U95" s="12" t="str">
        <f>IF(_xlfn.XLOOKUP($B95,'ELC TECH'!$H:$H,'ELC TECH'!$E:$E)&lt;&gt;"Storage","",IF(_xlfn.XLOOKUP($B95,'ELC TECH'!$H:$H,'ELC TECH'!AN:AN)="",0.8,_xlfn.XLOOKUP($B95,'ELC TECH'!$H:$H,'ELC TECH'!AN:AN)))</f>
        <v/>
      </c>
      <c r="V95" s="12" t="str">
        <f>IF(_xlfn.XLOOKUP($B95,'ELC TECH'!$H:$H,'ELC TECH'!$E:$E)&lt;&gt;"Storage","",IF(_xlfn.XLOOKUP($B95,'ELC TECH'!$H:$H,'ELC TECH'!AO:AO)="",0.8,_xlfn.XLOOKUP($B95,'ELC TECH'!$H:$H,'ELC TECH'!AO:AO)))</f>
        <v/>
      </c>
      <c r="W95" s="12" t="str">
        <f>IF(_xlfn.XLOOKUP($B95,'ELC TECH'!$H:$H,'ELC TECH'!$E:$E)&lt;&gt;"Storage","",IF(_xlfn.XLOOKUP($B95,'ELC TECH'!$H:$H,'ELC TECH'!AP:AP)="",0.8,_xlfn.XLOOKUP($B95,'ELC TECH'!$H:$H,'ELC TECH'!AP:AP)))</f>
        <v/>
      </c>
      <c r="X95" s="12" t="str">
        <f>IF(_xlfn.XLOOKUP($B95,'ELC TECH'!$H:$H,'ELC TECH'!$E:$E)&lt;&gt;"Storage","",IF(_xlfn.XLOOKUP($B95,'ELC TECH'!$H:$H,'ELC TECH'!AQ:AQ)="",0.8,_xlfn.XLOOKUP($B95,'ELC TECH'!$H:$H,'ELC TECH'!AQ:AQ)))</f>
        <v/>
      </c>
      <c r="Y95" s="12" t="str">
        <f>IF(_xlfn.XLOOKUP($B95,'ELC TECH'!$H:$H,'ELC TECH'!$E:$E)&lt;&gt;"Storage","",IF(_xlfn.XLOOKUP($B95,'ELC TECH'!$H:$H,'ELC TECH'!AR:AR)="",0.8,_xlfn.XLOOKUP($B95,'ELC TECH'!$H:$H,'ELC TECH'!AR:AR)))</f>
        <v/>
      </c>
      <c r="Z95" s="15">
        <f>_xlfn.XLOOKUP($B95,'ELC TECH'!$H:$H,'ELC TECH'!M:M)</f>
        <v>2543.1481490892311</v>
      </c>
      <c r="AA95" s="15">
        <f>_xlfn.XLOOKUP($B95,'ELC TECH'!$H:$H,'ELC TECH'!N:N)</f>
        <v>2218.2838554471159</v>
      </c>
      <c r="AB95" s="15">
        <f>_xlfn.XLOOKUP($B95,'ELC TECH'!$H:$H,'ELC TECH'!O:O)</f>
        <v>2039.0469383753241</v>
      </c>
      <c r="AC95" s="15">
        <f>_xlfn.XLOOKUP($B95,'ELC TECH'!$H:$H,'ELC TECH'!P:P)</f>
        <v>1928.2485028938861</v>
      </c>
      <c r="AD95" s="15">
        <f>_xlfn.XLOOKUP($B95,'ELC TECH'!$H:$H,'ELC TECH'!Q:Q)</f>
        <v>1847.8365547395699</v>
      </c>
      <c r="AE95" s="15">
        <f>_xlfn.XLOOKUP($B95,'ELC TECH'!$H:$H,'ELC TECH'!R:R)</f>
        <v>1784.6817912718391</v>
      </c>
      <c r="AF95" s="15">
        <f>_xlfn.XLOOKUP($B95,'ELC TECH'!$H:$H,'ELC TECH'!S:S)</f>
        <v>1732.670178341278</v>
      </c>
      <c r="AG95" s="15">
        <f>_xlfn.XLOOKUP($B95,'ELC TECH'!$H:$H,'ELC TECH'!T:T)</f>
        <v>1732.670178341278</v>
      </c>
      <c r="AH95" s="15">
        <f>_xlfn.XLOOKUP($B95,'ELC TECH'!$H:$H,'ELC TECH'!U:U)</f>
        <v>123.9359597794667</v>
      </c>
      <c r="AI95" s="15">
        <f>_xlfn.XLOOKUP($B95,'ELC TECH'!$H:$H,'ELC TECH'!V:V)</f>
        <v>110.0874996195957</v>
      </c>
      <c r="AJ95" s="15">
        <f>_xlfn.XLOOKUP($B95,'ELC TECH'!$H:$H,'ELC TECH'!W:W)</f>
        <v>100.3874880885275</v>
      </c>
      <c r="AK95" s="15">
        <f>_xlfn.XLOOKUP($B95,'ELC TECH'!$H:$H,'ELC TECH'!X:X)</f>
        <v>93.885839847084853</v>
      </c>
      <c r="AL95" s="15">
        <f>_xlfn.XLOOKUP($B95,'ELC TECH'!$H:$H,'ELC TECH'!Y:Y)</f>
        <v>88.988512570044975</v>
      </c>
      <c r="AM95" s="15">
        <f>_xlfn.XLOOKUP($B95,'ELC TECH'!$H:$H,'ELC TECH'!Z:Z)</f>
        <v>85.05841698673423</v>
      </c>
      <c r="AN95" s="15">
        <f>_xlfn.XLOOKUP($B95,'ELC TECH'!$H:$H,'ELC TECH'!AA:AA)</f>
        <v>81.775789106585648</v>
      </c>
      <c r="AO95" s="15">
        <f>_xlfn.XLOOKUP($B95,'ELC TECH'!$H:$H,'ELC TECH'!AB:AB)</f>
        <v>81.775789106585648</v>
      </c>
      <c r="AP95" s="15">
        <f>_xlfn.XLOOKUP($B95,'ELC TECH'!$H:$H,'ELC TECH'!AC:AC)</f>
        <v>0</v>
      </c>
      <c r="AQ95" s="15">
        <f>_xlfn.XLOOKUP($B95,'ELC TECH'!$H:$H,'ELC TECH'!AD:AD)</f>
        <v>0</v>
      </c>
      <c r="AR95" s="15">
        <f>_xlfn.XLOOKUP($B95,'ELC TECH'!$H:$H,'ELC TECH'!AE:AE)</f>
        <v>0</v>
      </c>
      <c r="AS95" s="15">
        <f>_xlfn.XLOOKUP($B95,'ELC TECH'!$H:$H,'ELC TECH'!AF:AF)</f>
        <v>0</v>
      </c>
      <c r="AT95" s="15">
        <f>_xlfn.XLOOKUP($B95,'ELC TECH'!$H:$H,'ELC TECH'!AG:AG)</f>
        <v>0</v>
      </c>
      <c r="AU95" s="15">
        <f>_xlfn.XLOOKUP($B95,'ELC TECH'!$H:$H,'ELC TECH'!AH:AH)</f>
        <v>0</v>
      </c>
      <c r="AV95" s="15">
        <f>_xlfn.XLOOKUP($B95,'ELC TECH'!$H:$H,'ELC TECH'!AI:AI)</f>
        <v>0</v>
      </c>
      <c r="AW95" s="15">
        <f>_xlfn.XLOOKUP($B95,'ELC TECH'!$H:$H,'ELC TECH'!AJ:AJ)</f>
        <v>0</v>
      </c>
      <c r="AX95" s="12">
        <f>IF(_xlfn.XLOOKUP($B95,'ELC TECH'!$H:$H,'ELC TECH'!$E:$E)="Storage","",_xlfn.XLOOKUP($B95,'ELC TECH'!$H:$H,'ELC TECH'!AS:AS))</f>
        <v>0.45177936049670497</v>
      </c>
      <c r="AY95" s="12">
        <f>IF(_xlfn.XLOOKUP($B95,'ELC TECH'!$H:$H,'ELC TECH'!$E:$E)="Storage","",_xlfn.XLOOKUP($B95,'ELC TECH'!$H:$H,'ELC TECH'!AT:AT))</f>
        <v>0.47432558297053101</v>
      </c>
      <c r="AZ95" s="12">
        <f>IF(_xlfn.XLOOKUP($B95,'ELC TECH'!$H:$H,'ELC TECH'!$E:$E)="Storage","",_xlfn.XLOOKUP($B95,'ELC TECH'!$H:$H,'ELC TECH'!AU:AU))</f>
        <v>0.49671257606755098</v>
      </c>
      <c r="BA95" s="12">
        <f>IF(_xlfn.XLOOKUP($B95,'ELC TECH'!$H:$H,'ELC TECH'!$E:$E)="Storage","",_xlfn.XLOOKUP($B95,'ELC TECH'!$H:$H,'ELC TECH'!AV:AV))</f>
        <v>0.50666387231343302</v>
      </c>
      <c r="BB95" s="12">
        <f>IF(_xlfn.XLOOKUP($B95,'ELC TECH'!$H:$H,'ELC TECH'!$E:$E)="Storage","",_xlfn.XLOOKUP($B95,'ELC TECH'!$H:$H,'ELC TECH'!AW:AW))</f>
        <v>0.515393406311766</v>
      </c>
      <c r="BC95" s="12">
        <f>IF(_xlfn.XLOOKUP($B95,'ELC TECH'!$H:$H,'ELC TECH'!$E:$E)="Storage","",_xlfn.XLOOKUP($B95,'ELC TECH'!$H:$H,'ELC TECH'!AX:AX))</f>
        <v>0.52338635006771494</v>
      </c>
      <c r="BD95" s="12">
        <f>IF(_xlfn.XLOOKUP($B95,'ELC TECH'!$H:$H,'ELC TECH'!$E:$E)="Storage","",_xlfn.XLOOKUP($B95,'ELC TECH'!$H:$H,'ELC TECH'!AY:AY))</f>
        <v>0.53088621817746695</v>
      </c>
      <c r="BE95" s="12">
        <f>IF(_xlfn.XLOOKUP($B95,'ELC TECH'!$H:$H,'ELC TECH'!$E:$E)="Storage","",_xlfn.XLOOKUP($B95,'ELC TECH'!$H:$H,'ELC TECH'!AZ:AZ))</f>
        <v>0.53088621817746695</v>
      </c>
      <c r="BF95" s="12" t="str">
        <f>IF(_xlfn.XLOOKUP($B95,'ELC TECH'!$H:$H,'ELC TECH'!$E:$E)="Storage",_xlfn.XLOOKUP($B95,'ELC TECH'!$H:$H,'ELC TECH'!AS:AS),"")</f>
        <v/>
      </c>
      <c r="BG95" s="12" t="str">
        <f>IF(_xlfn.XLOOKUP($B95,'ELC TECH'!$H:$H,'ELC TECH'!$E:$E)="Storage",_xlfn.XLOOKUP($B95,'ELC TECH'!$H:$H,'ELC TECH'!AT:AT),"")</f>
        <v/>
      </c>
      <c r="BH95" s="12" t="str">
        <f>IF(_xlfn.XLOOKUP($B95,'ELC TECH'!$H:$H,'ELC TECH'!$E:$E)="Storage",_xlfn.XLOOKUP($B95,'ELC TECH'!$H:$H,'ELC TECH'!AU:AU),"")</f>
        <v/>
      </c>
      <c r="BI95" s="12" t="str">
        <f>IF(_xlfn.XLOOKUP($B95,'ELC TECH'!$H:$H,'ELC TECH'!$E:$E)="Storage",_xlfn.XLOOKUP($B95,'ELC TECH'!$H:$H,'ELC TECH'!AV:AV),"")</f>
        <v/>
      </c>
      <c r="BJ95" s="12" t="str">
        <f>IF(_xlfn.XLOOKUP($B95,'ELC TECH'!$H:$H,'ELC TECH'!$E:$E)="Storage",_xlfn.XLOOKUP($B95,'ELC TECH'!$H:$H,'ELC TECH'!AW:AW),"")</f>
        <v/>
      </c>
      <c r="BK95" s="12" t="str">
        <f>IF(_xlfn.XLOOKUP($B95,'ELC TECH'!$H:$H,'ELC TECH'!$E:$E)="Storage",_xlfn.XLOOKUP($B95,'ELC TECH'!$H:$H,'ELC TECH'!AX:AX),"")</f>
        <v/>
      </c>
      <c r="BL95" s="12" t="str">
        <f>IF(_xlfn.XLOOKUP($B95,'ELC TECH'!$H:$H,'ELC TECH'!$E:$E)="Storage",_xlfn.XLOOKUP($B95,'ELC TECH'!$H:$H,'ELC TECH'!AY:AY),"")</f>
        <v/>
      </c>
      <c r="BM95" s="12" t="str">
        <f>IF(_xlfn.XLOOKUP($B95,'ELC TECH'!$H:$H,'ELC TECH'!$E:$E)="Storage",_xlfn.XLOOKUP($B95,'ELC TECH'!$H:$H,'ELC TECH'!AZ:AZ),"")</f>
        <v/>
      </c>
      <c r="BN95" s="8">
        <f>IF(_xlfn.XLOOKUP($B95,'ELC TECH'!$H:$H,'ELC TECH'!$E:$E)="Non Dispatchable",IFERROR($AX95*_xlfn.XLOOKUP($C95,$BM$1:$BM$3,BN$1:BN$3)/SUMPRODUCT(_xlfn.XLOOKUP($C95,$BM$1:$BM$3,$BN$1:$BY$3),$BN$4:$BY$4),""),
"")</f>
        <v>0.79332523543837308</v>
      </c>
      <c r="BO95" s="8">
        <f>IF(_xlfn.XLOOKUP($B95,'ELC TECH'!$H:$H,'ELC TECH'!$E:$E)="Non Dispatchable",IFERROR($AX95*_xlfn.XLOOKUP($C95,$BM$1:$BM$3,BO$1:BO$3)/SUMPRODUCT(_xlfn.XLOOKUP($C95,$BM$1:$BM$3,$BN$1:$BY$3),$BN$4:$BY$4),""),
"")</f>
        <v>0.79332523543837308</v>
      </c>
      <c r="BP95" s="8">
        <f>IF(_xlfn.XLOOKUP($B95,'ELC TECH'!$H:$H,'ELC TECH'!$E:$E)="Non Dispatchable",IFERROR($AX95*_xlfn.XLOOKUP($C95,$BM$1:$BM$3,BP$1:BP$3)/SUMPRODUCT(_xlfn.XLOOKUP($C95,$BM$1:$BM$3,$BN$1:$BY$3),$BN$4:$BY$4),""),
"")</f>
        <v>7.9332523543837311E-2</v>
      </c>
      <c r="BQ95" s="8">
        <f>IF(_xlfn.XLOOKUP($B95,'ELC TECH'!$H:$H,'ELC TECH'!$E:$E)="Non Dispatchable",IFERROR($AX95*_xlfn.XLOOKUP($C95,$BM$1:$BM$3,BQ$1:BQ$3)/SUMPRODUCT(_xlfn.XLOOKUP($C95,$BM$1:$BM$3,$BN$1:$BY$3),$BN$4:$BY$4),""),
"")</f>
        <v>0.6356580817286086</v>
      </c>
      <c r="BR95" s="8">
        <f>IF(_xlfn.XLOOKUP($B95,'ELC TECH'!$H:$H,'ELC TECH'!$E:$E)="Non Dispatchable",IFERROR($AX95*_xlfn.XLOOKUP($C95,$BM$1:$BM$3,BR$1:BR$3)/SUMPRODUCT(_xlfn.XLOOKUP($C95,$BM$1:$BM$3,$BN$1:$BY$3),$BN$4:$BY$4),""),
"")</f>
        <v>0.92314209214647058</v>
      </c>
      <c r="BS95" s="8">
        <f>IF(_xlfn.XLOOKUP($B95,'ELC TECH'!$H:$H,'ELC TECH'!$E:$E)="Non Dispatchable",IFERROR($AX95*_xlfn.XLOOKUP($C95,$BM$1:$BM$3,BS$1:BS$3)/SUMPRODUCT(_xlfn.XLOOKUP($C95,$BM$1:$BM$3,$BN$1:$BY$3),$BN$4:$BY$4),""),
"")</f>
        <v>0.92314209214647058</v>
      </c>
      <c r="BT95" s="8">
        <f>IF(_xlfn.XLOOKUP($B95,'ELC TECH'!$H:$H,'ELC TECH'!$E:$E)="Non Dispatchable",IFERROR($AX95*_xlfn.XLOOKUP($C95,$BM$1:$BM$3,BT$1:BT$3)/SUMPRODUCT(_xlfn.XLOOKUP($C95,$BM$1:$BM$3,$BN$1:$BY$3),$BN$4:$BY$4),""),
"")</f>
        <v>9.2314209214647072E-2</v>
      </c>
      <c r="BU95" s="8">
        <f>IF(_xlfn.XLOOKUP($B95,'ELC TECH'!$H:$H,'ELC TECH'!$E:$E)="Non Dispatchable",IFERROR($AX95*_xlfn.XLOOKUP($C95,$BM$1:$BM$3,BU$1:BU$3)/SUMPRODUCT(_xlfn.XLOOKUP($C95,$BM$1:$BM$3,$BN$1:$BY$3),$BN$4:$BY$4),""),
"")</f>
        <v>0.81796552576984083</v>
      </c>
      <c r="BV95" s="8">
        <f>IF(_xlfn.XLOOKUP($B95,'ELC TECH'!$H:$H,'ELC TECH'!$E:$E)="Non Dispatchable",IFERROR($AX95*_xlfn.XLOOKUP($C95,$BM$1:$BM$3,BV$1:BV$3)/SUMPRODUCT(_xlfn.XLOOKUP($C95,$BM$1:$BM$3,$BN$1:$BY$3),$BN$4:$BY$4),""),
"")</f>
        <v>0.47806768904791375</v>
      </c>
      <c r="BW95" s="8">
        <f>IF(_xlfn.XLOOKUP($B95,'ELC TECH'!$H:$H,'ELC TECH'!$E:$E)="Non Dispatchable",IFERROR($AX95*_xlfn.XLOOKUP($C95,$BM$1:$BM$3,BW$1:BW$3)/SUMPRODUCT(_xlfn.XLOOKUP($C95,$BM$1:$BM$3,$BN$1:$BY$3),$BN$4:$BY$4),""),
"")</f>
        <v>0.47806768904791375</v>
      </c>
      <c r="BX95" s="8">
        <f>IF(_xlfn.XLOOKUP($B95,'ELC TECH'!$H:$H,'ELC TECH'!$E:$E)="Non Dispatchable",IFERROR($AX95*_xlfn.XLOOKUP($C95,$BM$1:$BM$3,BX$1:BX$3)/SUMPRODUCT(_xlfn.XLOOKUP($C95,$BM$1:$BM$3,$BN$1:$BY$3),$BN$4:$BY$4),""),
"")</f>
        <v>4.780676890479138E-2</v>
      </c>
      <c r="BY95" s="8">
        <f>IF(_xlfn.XLOOKUP($B95,'ELC TECH'!$H:$H,'ELC TECH'!$E:$E)="Non Dispatchable",IFERROR($AX95*_xlfn.XLOOKUP($C95,$BM$1:$BM$3,BY$1:BY$3)/SUMPRODUCT(_xlfn.XLOOKUP($C95,$BM$1:$BM$3,$BN$1:$BY$3),$BN$4:$BY$4),""),
"")</f>
        <v>0.34944411742808612</v>
      </c>
      <c r="BZ95" s="8">
        <f>IF(_xlfn.XLOOKUP($B95,'ELC TECH'!$H:$H,'ELC TECH'!$E:$E)="Non Dispatchable",IFERROR($AX95*_xlfn.XLOOKUP($C95,$BM$1:$BM$3,BZ$1:BZ$3)/SUMPRODUCT(_xlfn.XLOOKUP($C95,$BM$1:$BM$3,$BN$1:$BY$3),$BN$4:$BY$4),""),
"")</f>
        <v>0.79332523543837308</v>
      </c>
      <c r="CA95" s="8">
        <f>IF(_xlfn.XLOOKUP($B95,'ELC TECH'!$H:$H,'ELC TECH'!$E:$E)="Non Dispatchable",IFERROR($AX95*_xlfn.XLOOKUP($C95,$BM$1:$BM$3,CA$1:CA$3)/SUMPRODUCT(_xlfn.XLOOKUP($C95,$BM$1:$BM$3,$BN$1:$BY$3),$BN$4:$BY$4),""),
"")</f>
        <v>0.79332523543837308</v>
      </c>
      <c r="CB95" s="8">
        <f>IF(_xlfn.XLOOKUP($B95,'ELC TECH'!$H:$H,'ELC TECH'!$E:$E)="Non Dispatchable",IFERROR($AX95*_xlfn.XLOOKUP($C95,$BM$1:$BM$3,CB$1:CB$3)/SUMPRODUCT(_xlfn.XLOOKUP($C95,$BM$1:$BM$3,$BN$1:$BY$3),$BN$4:$BY$4),""),
"")</f>
        <v>7.9332523543837311E-2</v>
      </c>
      <c r="CC95" s="8">
        <f>IF(_xlfn.XLOOKUP($B95,'ELC TECH'!$H:$H,'ELC TECH'!$E:$E)="Non Dispatchable",IFERROR($AX95*_xlfn.XLOOKUP($C95,$BM$1:$BM$3,CC$1:CC$3)/SUMPRODUCT(_xlfn.XLOOKUP($C95,$BM$1:$BM$3,$BN$1:$BY$3),$BN$4:$BY$4),""),
"")</f>
        <v>0.6356580817286086</v>
      </c>
      <c r="CD95" s="8">
        <f>IF(_xlfn.XLOOKUP($B95,'ELC TECH'!$H:$H,'ELC TECH'!$E:$E)="Non Dispatchable",IFERROR($AX95*_xlfn.XLOOKUP($C95,$BM$1:$BM$3,CD$1:CD$3)/SUMPRODUCT(_xlfn.XLOOKUP($C95,$BM$1:$BM$3,$BN$1:$BY$3),$BN$4:$BY$4),""),
"")</f>
        <v>0.92314209214647058</v>
      </c>
      <c r="CE95" s="8">
        <f>IF(_xlfn.XLOOKUP($B95,'ELC TECH'!$H:$H,'ELC TECH'!$E:$E)="Non Dispatchable",IFERROR($AX95*_xlfn.XLOOKUP($C95,$BM$1:$BM$3,CE$1:CE$3)/SUMPRODUCT(_xlfn.XLOOKUP($C95,$BM$1:$BM$3,$BN$1:$BY$3),$BN$4:$BY$4),""),
"")</f>
        <v>0.92314209214647058</v>
      </c>
      <c r="CF95" s="8">
        <f>IF(_xlfn.XLOOKUP($B95,'ELC TECH'!$H:$H,'ELC TECH'!$E:$E)="Non Dispatchable",IFERROR($AX95*_xlfn.XLOOKUP($C95,$BM$1:$BM$3,CF$1:CF$3)/SUMPRODUCT(_xlfn.XLOOKUP($C95,$BM$1:$BM$3,$BN$1:$BY$3),$BN$4:$BY$4),""),
"")</f>
        <v>9.2314209214647072E-2</v>
      </c>
      <c r="CG95" s="8">
        <f>IF(_xlfn.XLOOKUP($B95,'ELC TECH'!$H:$H,'ELC TECH'!$E:$E)="Non Dispatchable",IFERROR($AX95*_xlfn.XLOOKUP($C95,$BM$1:$BM$3,CG$1:CG$3)/SUMPRODUCT(_xlfn.XLOOKUP($C95,$BM$1:$BM$3,$BN$1:$BY$3),$BN$4:$BY$4),""),
"")</f>
        <v>0.81796552576984083</v>
      </c>
      <c r="CH95" s="8">
        <f>IF(_xlfn.XLOOKUP($B95,'ELC TECH'!$H:$H,'ELC TECH'!$E:$E)="Non Dispatchable",IFERROR($AX95*_xlfn.XLOOKUP($C95,$BM$1:$BM$3,CH$1:CH$3)/SUMPRODUCT(_xlfn.XLOOKUP($C95,$BM$1:$BM$3,$BN$1:$BY$3),$BN$4:$BY$4),""),
"")</f>
        <v>0.47806768904791375</v>
      </c>
      <c r="CI95" s="8">
        <f>IF(_xlfn.XLOOKUP($B95,'ELC TECH'!$H:$H,'ELC TECH'!$E:$E)="Non Dispatchable",IFERROR($AX95*_xlfn.XLOOKUP($C95,$BM$1:$BM$3,CI$1:CI$3)/SUMPRODUCT(_xlfn.XLOOKUP($C95,$BM$1:$BM$3,$BN$1:$BY$3),$BN$4:$BY$4),""),
"")</f>
        <v>0.47806768904791375</v>
      </c>
      <c r="CJ95" s="8">
        <f>IF(_xlfn.XLOOKUP($B95,'ELC TECH'!$H:$H,'ELC TECH'!$E:$E)="Non Dispatchable",IFERROR($AX95*_xlfn.XLOOKUP($C95,$BM$1:$BM$3,CJ$1:CJ$3)/SUMPRODUCT(_xlfn.XLOOKUP($C95,$BM$1:$BM$3,$BN$1:$BY$3),$BN$4:$BY$4),""),
"")</f>
        <v>4.780676890479138E-2</v>
      </c>
      <c r="CK95" s="8">
        <f>IF(_xlfn.XLOOKUP($B95,'ELC TECH'!$H:$H,'ELC TECH'!$E:$E)="Non Dispatchable",IFERROR($AX95*_xlfn.XLOOKUP($C95,$BM$1:$BM$3,CK$1:CK$3)/SUMPRODUCT(_xlfn.XLOOKUP($C95,$BM$1:$BM$3,$BN$1:$BY$3),$BN$4:$BY$4),""),
"")</f>
        <v>0.34944411742808612</v>
      </c>
      <c r="CL95" s="8" t="str">
        <f>IF(_xlfn.XLOOKUP($B95,'ELC TECH'!$H:$H,'ELC TECH'!$E:$E)="Storage",CL$4*$BF95,"")</f>
        <v/>
      </c>
      <c r="CM95" s="8" t="str">
        <f>IF(_xlfn.XLOOKUP($B95,'ELC TECH'!$H:$H,'ELC TECH'!$E:$E)="Storage",CM$4*$BF95,"")</f>
        <v/>
      </c>
      <c r="CN95" s="8" t="str">
        <f>IF(_xlfn.XLOOKUP($B95,'ELC TECH'!$H:$H,'ELC TECH'!$E:$E)="Storage",CN$4*$BF95,"")</f>
        <v/>
      </c>
      <c r="CO95" s="8" t="str">
        <f>IF(_xlfn.XLOOKUP($B95,'ELC TECH'!$H:$H,'ELC TECH'!$E:$E)="Storage",CO$4*$BF95,"")</f>
        <v/>
      </c>
      <c r="CP95" s="8" t="str">
        <f>IF(_xlfn.XLOOKUP($B95,'ELC TECH'!$H:$H,'ELC TECH'!$E:$E)="Storage",CP$4*$BF95,"")</f>
        <v/>
      </c>
      <c r="CQ95" s="8" t="str">
        <f>IF(_xlfn.XLOOKUP($B95,'ELC TECH'!$H:$H,'ELC TECH'!$E:$E)="Storage",CQ$4*$BF95,"")</f>
        <v/>
      </c>
      <c r="CR95" s="8" t="str">
        <f>IF(_xlfn.XLOOKUP($B95,'ELC TECH'!$H:$H,'ELC TECH'!$E:$E)="Storage",CR$4*$BF95,"")</f>
        <v/>
      </c>
      <c r="CS95" s="8" t="str">
        <f>IF(_xlfn.XLOOKUP($B95,'ELC TECH'!$H:$H,'ELC TECH'!$E:$E)="Storage",CS$4*$BF95,"")</f>
        <v/>
      </c>
      <c r="CT95" s="8" t="str">
        <f>IF(_xlfn.XLOOKUP($B95,'ELC TECH'!$H:$H,'ELC TECH'!$E:$E)="Storage",CT$4*$BF95,"")</f>
        <v/>
      </c>
      <c r="CU95" s="8" t="str">
        <f>IF(_xlfn.XLOOKUP($B95,'ELC TECH'!$H:$H,'ELC TECH'!$E:$E)="Storage",CU$4*$BF95,"")</f>
        <v/>
      </c>
      <c r="CV95" s="8" t="str">
        <f>IF(_xlfn.XLOOKUP($B95,'ELC TECH'!$H:$H,'ELC TECH'!$E:$E)="Storage",CV$4*$BF95,"")</f>
        <v/>
      </c>
      <c r="CW95" s="8" t="str">
        <f>IF(_xlfn.XLOOKUP($B95,'ELC TECH'!$H:$H,'ELC TECH'!$E:$E)="Storage",CW$4*$BF95,"")</f>
        <v/>
      </c>
      <c r="CX95" s="8" t="str">
        <f>IF(_xlfn.XLOOKUP($B95,'ELC TECH'!$H:$H,'ELC TECH'!$E:$E)="Storage",CX$4*$BF95,"")</f>
        <v/>
      </c>
      <c r="CY95" s="8" t="str">
        <f>IF(_xlfn.XLOOKUP($B95,'ELC TECH'!$H:$H,'ELC TECH'!$E:$E)="Storage",CY$4*$BF95,"")</f>
        <v/>
      </c>
      <c r="CZ95" s="8" t="str">
        <f>IF(_xlfn.XLOOKUP($B95,'ELC TECH'!$H:$H,'ELC TECH'!$E:$E)="Storage",CZ$4*$BF95,"")</f>
        <v/>
      </c>
      <c r="DA95" s="8" t="str">
        <f>IF(_xlfn.XLOOKUP($B95,'ELC TECH'!$H:$H,'ELC TECH'!$E:$E)="Storage",DA$4*$BF95,"")</f>
        <v/>
      </c>
      <c r="DB95" s="8" t="str">
        <f>IF(_xlfn.XLOOKUP($B95,'ELC TECH'!$H:$H,'ELC TECH'!$E:$E)="Storage",DB$4*$BF95,"")</f>
        <v/>
      </c>
      <c r="DC95" s="8" t="str">
        <f>IF(_xlfn.XLOOKUP($B95,'ELC TECH'!$H:$H,'ELC TECH'!$E:$E)="Storage",DC$4*$BF95,"")</f>
        <v/>
      </c>
      <c r="DD95" s="8" t="str">
        <f>IF(_xlfn.XLOOKUP($B95,'ELC TECH'!$H:$H,'ELC TECH'!$E:$E)="Storage",DD$4*$BF95,"")</f>
        <v/>
      </c>
      <c r="DE95" s="8" t="str">
        <f>IF(_xlfn.XLOOKUP($B95,'ELC TECH'!$H:$H,'ELC TECH'!$E:$E)="Storage",DE$4*$BF95,"")</f>
        <v/>
      </c>
      <c r="DF95" s="8" t="str">
        <f>IF(_xlfn.XLOOKUP($B95,'ELC TECH'!$H:$H,'ELC TECH'!$E:$E)="Storage",DF$4*$BF95,"")</f>
        <v/>
      </c>
      <c r="DG95" s="8" t="str">
        <f>IF(_xlfn.XLOOKUP($B95,'ELC TECH'!$H:$H,'ELC TECH'!$E:$E)="Storage",DG$4*$BF95,"")</f>
        <v/>
      </c>
      <c r="DH95" s="8" t="str">
        <f>IF(_xlfn.XLOOKUP($B95,'ELC TECH'!$H:$H,'ELC TECH'!$E:$E)="Storage",DH$4*$BF95,"")</f>
        <v/>
      </c>
      <c r="DI95" s="8" t="str">
        <f>IF(_xlfn.XLOOKUP($B95,'ELC TECH'!$H:$H,'ELC TECH'!$E:$E)="Storage",DI$4*$BF95,"")</f>
        <v/>
      </c>
    </row>
    <row r="96" spans="2:113" x14ac:dyDescent="0.25">
      <c r="B96" t="str">
        <f>IF('ELC TECH'!I89=0,"*",'ELC TECH'!H89)</f>
        <v>ELCWNDGRDWOFC320</v>
      </c>
      <c r="C96" t="str">
        <f>IF(_xlfn.XLOOKUP(_xlfn.XLOOKUP(B96,'ELC TECH'!$H:$H,'ELC TECH'!$G:$G),List!C:C,List!B:B)="STG",D96,"ELC"&amp;_xlfn.XLOOKUP(_xlfn.XLOOKUP(B96,'ELC TECH'!H:H,'ELC TECH'!G:G),List!C:C,List!B:B))</f>
        <v>ELCWND</v>
      </c>
      <c r="D96" t="s">
        <v>544</v>
      </c>
      <c r="E96">
        <f>_xlfn.XLOOKUP(B96,'ELC TECH'!H:H,'ELC TECH'!D:D)</f>
        <v>2020</v>
      </c>
      <c r="F96">
        <f>_xlfn.XLOOKUP(B96,'ELC TECH'!H:H,'ELC TECH'!K:K)</f>
        <v>30</v>
      </c>
      <c r="G96">
        <f t="shared" si="6"/>
        <v>31.535999999999998</v>
      </c>
      <c r="H96">
        <f>IF(_xlfn.XLOOKUP(B96,'ELC TECH'!$H:$H,'ELC TECH'!$E:$E)="Storage",0.3,IF(_xlfn.XLOOKUP(B96,'ELC TECH'!$H:$H,'ELC TECH'!$E:$E)="Baseload",0.9,IF(_xlfn.XLOOKUP(B96,'ELC TECH'!$H:$H,'ELC TECH'!$E:$E)="Non Dispatchable",0.05,IF(_xlfn.XLOOKUP(B96,'ELC TECH'!$H:$H,'ELC TECH'!$E:$E)="Dispatchable",0.9,1))))</f>
        <v>0.05</v>
      </c>
      <c r="I96" s="13">
        <f>IF(_xlfn.XLOOKUP(B96,'ELC TECH'!H:H,'ELC TECH'!J:J)="","",_xlfn.XLOOKUP(B96,'ELC TECH'!H:H,'ELC TECH'!J:J))</f>
        <v>0</v>
      </c>
      <c r="J96" s="12">
        <f>IF(_xlfn.XLOOKUP($B96,'ELC TECH'!$H:$H,'ELC TECH'!$E:$E)="Storage","",IF(_xlfn.XLOOKUP($B96,'ELC TECH'!$H:$H,'ELC TECH'!AK:AK)="",1,_xlfn.XLOOKUP($B96,'ELC TECH'!$H:$H,'ELC TECH'!AK:AK)))</f>
        <v>1</v>
      </c>
      <c r="K96" s="12">
        <f>IF(_xlfn.XLOOKUP($B96,'ELC TECH'!$H:$H,'ELC TECH'!$E:$E)="Storage","",IF(_xlfn.XLOOKUP($B96,'ELC TECH'!$H:$H,'ELC TECH'!AL:AL)="",1,_xlfn.XLOOKUP($B96,'ELC TECH'!$H:$H,'ELC TECH'!AL:AL)))</f>
        <v>1</v>
      </c>
      <c r="L96" s="12">
        <f>IF(_xlfn.XLOOKUP($B96,'ELC TECH'!$H:$H,'ELC TECH'!$E:$E)="Storage","",IF(_xlfn.XLOOKUP($B96,'ELC TECH'!$H:$H,'ELC TECH'!AM:AM)="",1,_xlfn.XLOOKUP($B96,'ELC TECH'!$H:$H,'ELC TECH'!AM:AM)))</f>
        <v>1</v>
      </c>
      <c r="M96" s="12">
        <f>IF(_xlfn.XLOOKUP($B96,'ELC TECH'!$H:$H,'ELC TECH'!$E:$E)="Storage","",IF(_xlfn.XLOOKUP($B96,'ELC TECH'!$H:$H,'ELC TECH'!AN:AN)="",1,_xlfn.XLOOKUP($B96,'ELC TECH'!$H:$H,'ELC TECH'!AN:AN)))</f>
        <v>1</v>
      </c>
      <c r="N96" s="12">
        <f>IF(_xlfn.XLOOKUP($B96,'ELC TECH'!$H:$H,'ELC TECH'!$E:$E)="Storage","",IF(_xlfn.XLOOKUP($B96,'ELC TECH'!$H:$H,'ELC TECH'!AO:AO)="",1,_xlfn.XLOOKUP($B96,'ELC TECH'!$H:$H,'ELC TECH'!AO:AO)))</f>
        <v>1</v>
      </c>
      <c r="O96" s="12">
        <f>IF(_xlfn.XLOOKUP($B96,'ELC TECH'!$H:$H,'ELC TECH'!$E:$E)="Storage","",IF(_xlfn.XLOOKUP($B96,'ELC TECH'!$H:$H,'ELC TECH'!AP:AP)="",1,_xlfn.XLOOKUP($B96,'ELC TECH'!$H:$H,'ELC TECH'!AP:AP)))</f>
        <v>1</v>
      </c>
      <c r="P96" s="12">
        <f>IF(_xlfn.XLOOKUP($B96,'ELC TECH'!$H:$H,'ELC TECH'!$E:$E)="Storage","",IF(_xlfn.XLOOKUP($B96,'ELC TECH'!$H:$H,'ELC TECH'!AQ:AQ)="",1,_xlfn.XLOOKUP($B96,'ELC TECH'!$H:$H,'ELC TECH'!AQ:AQ)))</f>
        <v>1</v>
      </c>
      <c r="Q96" s="12">
        <f>IF(_xlfn.XLOOKUP($B96,'ELC TECH'!$H:$H,'ELC TECH'!$E:$E)="Storage","",IF(_xlfn.XLOOKUP($B96,'ELC TECH'!$H:$H,'ELC TECH'!AR:AR)="",1,_xlfn.XLOOKUP($B96,'ELC TECH'!$H:$H,'ELC TECH'!AR:AR)))</f>
        <v>1</v>
      </c>
      <c r="R96" s="12" t="str">
        <f>IF(_xlfn.XLOOKUP($B96,'ELC TECH'!$H:$H,'ELC TECH'!$E:$E)&lt;&gt;"Storage","",IF(_xlfn.XLOOKUP($B96,'ELC TECH'!$H:$H,'ELC TECH'!AK:AK)="",0.8,_xlfn.XLOOKUP($B96,'ELC TECH'!$H:$H,'ELC TECH'!AK:AK)))</f>
        <v/>
      </c>
      <c r="S96" s="12" t="str">
        <f>IF(_xlfn.XLOOKUP($B96,'ELC TECH'!$H:$H,'ELC TECH'!$E:$E)&lt;&gt;"Storage","",IF(_xlfn.XLOOKUP($B96,'ELC TECH'!$H:$H,'ELC TECH'!AL:AL)="",0.8,_xlfn.XLOOKUP($B96,'ELC TECH'!$H:$H,'ELC TECH'!AL:AL)))</f>
        <v/>
      </c>
      <c r="T96" s="12" t="str">
        <f>IF(_xlfn.XLOOKUP($B96,'ELC TECH'!$H:$H,'ELC TECH'!$E:$E)&lt;&gt;"Storage","",IF(_xlfn.XLOOKUP($B96,'ELC TECH'!$H:$H,'ELC TECH'!AM:AM)="",0.8,_xlfn.XLOOKUP($B96,'ELC TECH'!$H:$H,'ELC TECH'!AM:AM)))</f>
        <v/>
      </c>
      <c r="U96" s="12" t="str">
        <f>IF(_xlfn.XLOOKUP($B96,'ELC TECH'!$H:$H,'ELC TECH'!$E:$E)&lt;&gt;"Storage","",IF(_xlfn.XLOOKUP($B96,'ELC TECH'!$H:$H,'ELC TECH'!AN:AN)="",0.8,_xlfn.XLOOKUP($B96,'ELC TECH'!$H:$H,'ELC TECH'!AN:AN)))</f>
        <v/>
      </c>
      <c r="V96" s="12" t="str">
        <f>IF(_xlfn.XLOOKUP($B96,'ELC TECH'!$H:$H,'ELC TECH'!$E:$E)&lt;&gt;"Storage","",IF(_xlfn.XLOOKUP($B96,'ELC TECH'!$H:$H,'ELC TECH'!AO:AO)="",0.8,_xlfn.XLOOKUP($B96,'ELC TECH'!$H:$H,'ELC TECH'!AO:AO)))</f>
        <v/>
      </c>
      <c r="W96" s="12" t="str">
        <f>IF(_xlfn.XLOOKUP($B96,'ELC TECH'!$H:$H,'ELC TECH'!$E:$E)&lt;&gt;"Storage","",IF(_xlfn.XLOOKUP($B96,'ELC TECH'!$H:$H,'ELC TECH'!AP:AP)="",0.8,_xlfn.XLOOKUP($B96,'ELC TECH'!$H:$H,'ELC TECH'!AP:AP)))</f>
        <v/>
      </c>
      <c r="X96" s="12" t="str">
        <f>IF(_xlfn.XLOOKUP($B96,'ELC TECH'!$H:$H,'ELC TECH'!$E:$E)&lt;&gt;"Storage","",IF(_xlfn.XLOOKUP($B96,'ELC TECH'!$H:$H,'ELC TECH'!AQ:AQ)="",0.8,_xlfn.XLOOKUP($B96,'ELC TECH'!$H:$H,'ELC TECH'!AQ:AQ)))</f>
        <v/>
      </c>
      <c r="Y96" s="12" t="str">
        <f>IF(_xlfn.XLOOKUP($B96,'ELC TECH'!$H:$H,'ELC TECH'!$E:$E)&lt;&gt;"Storage","",IF(_xlfn.XLOOKUP($B96,'ELC TECH'!$H:$H,'ELC TECH'!AR:AR)="",0.8,_xlfn.XLOOKUP($B96,'ELC TECH'!$H:$H,'ELC TECH'!AR:AR)))</f>
        <v/>
      </c>
      <c r="Z96" s="15">
        <f>_xlfn.XLOOKUP($B96,'ELC TECH'!$H:$H,'ELC TECH'!M:M)</f>
        <v>2675.426906594575</v>
      </c>
      <c r="AA96" s="15">
        <f>_xlfn.XLOOKUP($B96,'ELC TECH'!$H:$H,'ELC TECH'!N:N)</f>
        <v>2333.6651918815678</v>
      </c>
      <c r="AB96" s="15">
        <f>_xlfn.XLOOKUP($B96,'ELC TECH'!$H:$H,'ELC TECH'!O:O)</f>
        <v>2145.1054845909448</v>
      </c>
      <c r="AC96" s="15">
        <f>_xlfn.XLOOKUP($B96,'ELC TECH'!$H:$H,'ELC TECH'!P:P)</f>
        <v>2028.5440032624549</v>
      </c>
      <c r="AD96" s="15">
        <f>_xlfn.XLOOKUP($B96,'ELC TECH'!$H:$H,'ELC TECH'!Q:Q)</f>
        <v>1943.9495254374899</v>
      </c>
      <c r="AE96" s="15">
        <f>_xlfn.XLOOKUP($B96,'ELC TECH'!$H:$H,'ELC TECH'!R:R)</f>
        <v>1877.509843769049</v>
      </c>
      <c r="AF96" s="15">
        <f>_xlfn.XLOOKUP($B96,'ELC TECH'!$H:$H,'ELC TECH'!S:S)</f>
        <v>1822.7929100585129</v>
      </c>
      <c r="AG96" s="15">
        <f>_xlfn.XLOOKUP($B96,'ELC TECH'!$H:$H,'ELC TECH'!T:T)</f>
        <v>1822.7929100585129</v>
      </c>
      <c r="AH96" s="15">
        <f>_xlfn.XLOOKUP($B96,'ELC TECH'!$H:$H,'ELC TECH'!U:U)</f>
        <v>126.1511840690102</v>
      </c>
      <c r="AI96" s="15">
        <f>_xlfn.XLOOKUP($B96,'ELC TECH'!$H:$H,'ELC TECH'!V:V)</f>
        <v>112.0551973206214</v>
      </c>
      <c r="AJ96" s="15">
        <f>_xlfn.XLOOKUP($B96,'ELC TECH'!$H:$H,'ELC TECH'!W:W)</f>
        <v>102.1818083356591</v>
      </c>
      <c r="AK96" s="15">
        <f>_xlfn.XLOOKUP($B96,'ELC TECH'!$H:$H,'ELC TECH'!X:X)</f>
        <v>95.56395000368147</v>
      </c>
      <c r="AL96" s="15">
        <f>_xlfn.XLOOKUP($B96,'ELC TECH'!$H:$H,'ELC TECH'!Y:Y)</f>
        <v>90.579088177691972</v>
      </c>
      <c r="AM96" s="15">
        <f>_xlfn.XLOOKUP($B96,'ELC TECH'!$H:$H,'ELC TECH'!Z:Z)</f>
        <v>86.578746289661524</v>
      </c>
      <c r="AN96" s="15">
        <f>_xlfn.XLOOKUP($B96,'ELC TECH'!$H:$H,'ELC TECH'!AA:AA)</f>
        <v>83.237444905659999</v>
      </c>
      <c r="AO96" s="15">
        <f>_xlfn.XLOOKUP($B96,'ELC TECH'!$H:$H,'ELC TECH'!AB:AB)</f>
        <v>83.237444905659999</v>
      </c>
      <c r="AP96" s="15">
        <f>_xlfn.XLOOKUP($B96,'ELC TECH'!$H:$H,'ELC TECH'!AC:AC)</f>
        <v>0</v>
      </c>
      <c r="AQ96" s="15">
        <f>_xlfn.XLOOKUP($B96,'ELC TECH'!$H:$H,'ELC TECH'!AD:AD)</f>
        <v>0</v>
      </c>
      <c r="AR96" s="15">
        <f>_xlfn.XLOOKUP($B96,'ELC TECH'!$H:$H,'ELC TECH'!AE:AE)</f>
        <v>0</v>
      </c>
      <c r="AS96" s="15">
        <f>_xlfn.XLOOKUP($B96,'ELC TECH'!$H:$H,'ELC TECH'!AF:AF)</f>
        <v>0</v>
      </c>
      <c r="AT96" s="15">
        <f>_xlfn.XLOOKUP($B96,'ELC TECH'!$H:$H,'ELC TECH'!AG:AG)</f>
        <v>0</v>
      </c>
      <c r="AU96" s="15">
        <f>_xlfn.XLOOKUP($B96,'ELC TECH'!$H:$H,'ELC TECH'!AH:AH)</f>
        <v>0</v>
      </c>
      <c r="AV96" s="15">
        <f>_xlfn.XLOOKUP($B96,'ELC TECH'!$H:$H,'ELC TECH'!AI:AI)</f>
        <v>0</v>
      </c>
      <c r="AW96" s="15">
        <f>_xlfn.XLOOKUP($B96,'ELC TECH'!$H:$H,'ELC TECH'!AJ:AJ)</f>
        <v>0</v>
      </c>
      <c r="AX96" s="12">
        <f>IF(_xlfn.XLOOKUP($B96,'ELC TECH'!$H:$H,'ELC TECH'!$E:$E)="Storage","",_xlfn.XLOOKUP($B96,'ELC TECH'!$H:$H,'ELC TECH'!AS:AS))</f>
        <v>0.45513391538357001</v>
      </c>
      <c r="AY96" s="12">
        <f>IF(_xlfn.XLOOKUP($B96,'ELC TECH'!$H:$H,'ELC TECH'!$E:$E)="Storage","",_xlfn.XLOOKUP($B96,'ELC TECH'!$H:$H,'ELC TECH'!AT:AT))</f>
        <v>0.477758969205831</v>
      </c>
      <c r="AZ96" s="12">
        <f>IF(_xlfn.XLOOKUP($B96,'ELC TECH'!$H:$H,'ELC TECH'!$E:$E)="Storage","",_xlfn.XLOOKUP($B96,'ELC TECH'!$H:$H,'ELC TECH'!AU:AU))</f>
        <v>0.500201178910329</v>
      </c>
      <c r="BA96" s="12">
        <f>IF(_xlfn.XLOOKUP($B96,'ELC TECH'!$H:$H,'ELC TECH'!$E:$E)="Storage","",_xlfn.XLOOKUP($B96,'ELC TECH'!$H:$H,'ELC TECH'!AV:AV))</f>
        <v>0.51018948531416397</v>
      </c>
      <c r="BB96" s="12">
        <f>IF(_xlfn.XLOOKUP($B96,'ELC TECH'!$H:$H,'ELC TECH'!$E:$E)="Storage","",_xlfn.XLOOKUP($B96,'ELC TECH'!$H:$H,'ELC TECH'!AW:AW))</f>
        <v>0.51894689699048502</v>
      </c>
      <c r="BC96" s="12">
        <f>IF(_xlfn.XLOOKUP($B96,'ELC TECH'!$H:$H,'ELC TECH'!$E:$E)="Storage","",_xlfn.XLOOKUP($B96,'ELC TECH'!$H:$H,'ELC TECH'!AX:AX))</f>
        <v>0.52696221252861997</v>
      </c>
      <c r="BD96" s="12">
        <f>IF(_xlfn.XLOOKUP($B96,'ELC TECH'!$H:$H,'ELC TECH'!$E:$E)="Storage","",_xlfn.XLOOKUP($B96,'ELC TECH'!$H:$H,'ELC TECH'!AY:AY))</f>
        <v>0.53448076675792699</v>
      </c>
      <c r="BE96" s="12">
        <f>IF(_xlfn.XLOOKUP($B96,'ELC TECH'!$H:$H,'ELC TECH'!$E:$E)="Storage","",_xlfn.XLOOKUP($B96,'ELC TECH'!$H:$H,'ELC TECH'!AZ:AZ))</f>
        <v>0.53448076675792699</v>
      </c>
      <c r="BF96" s="12" t="str">
        <f>IF(_xlfn.XLOOKUP($B96,'ELC TECH'!$H:$H,'ELC TECH'!$E:$E)="Storage",_xlfn.XLOOKUP($B96,'ELC TECH'!$H:$H,'ELC TECH'!AS:AS),"")</f>
        <v/>
      </c>
      <c r="BG96" s="12" t="str">
        <f>IF(_xlfn.XLOOKUP($B96,'ELC TECH'!$H:$H,'ELC TECH'!$E:$E)="Storage",_xlfn.XLOOKUP($B96,'ELC TECH'!$H:$H,'ELC TECH'!AT:AT),"")</f>
        <v/>
      </c>
      <c r="BH96" s="12" t="str">
        <f>IF(_xlfn.XLOOKUP($B96,'ELC TECH'!$H:$H,'ELC TECH'!$E:$E)="Storage",_xlfn.XLOOKUP($B96,'ELC TECH'!$H:$H,'ELC TECH'!AU:AU),"")</f>
        <v/>
      </c>
      <c r="BI96" s="12" t="str">
        <f>IF(_xlfn.XLOOKUP($B96,'ELC TECH'!$H:$H,'ELC TECH'!$E:$E)="Storage",_xlfn.XLOOKUP($B96,'ELC TECH'!$H:$H,'ELC TECH'!AV:AV),"")</f>
        <v/>
      </c>
      <c r="BJ96" s="12" t="str">
        <f>IF(_xlfn.XLOOKUP($B96,'ELC TECH'!$H:$H,'ELC TECH'!$E:$E)="Storage",_xlfn.XLOOKUP($B96,'ELC TECH'!$H:$H,'ELC TECH'!AW:AW),"")</f>
        <v/>
      </c>
      <c r="BK96" s="12" t="str">
        <f>IF(_xlfn.XLOOKUP($B96,'ELC TECH'!$H:$H,'ELC TECH'!$E:$E)="Storage",_xlfn.XLOOKUP($B96,'ELC TECH'!$H:$H,'ELC TECH'!AX:AX),"")</f>
        <v/>
      </c>
      <c r="BL96" s="12" t="str">
        <f>IF(_xlfn.XLOOKUP($B96,'ELC TECH'!$H:$H,'ELC TECH'!$E:$E)="Storage",_xlfn.XLOOKUP($B96,'ELC TECH'!$H:$H,'ELC TECH'!AY:AY),"")</f>
        <v/>
      </c>
      <c r="BM96" s="12" t="str">
        <f>IF(_xlfn.XLOOKUP($B96,'ELC TECH'!$H:$H,'ELC TECH'!$E:$E)="Storage",_xlfn.XLOOKUP($B96,'ELC TECH'!$H:$H,'ELC TECH'!AZ:AZ),"")</f>
        <v/>
      </c>
      <c r="BN96" s="8">
        <f>IF(_xlfn.XLOOKUP($B96,'ELC TECH'!$H:$H,'ELC TECH'!$E:$E)="Non Dispatchable",IFERROR($AX96*_xlfn.XLOOKUP($C96,$BM$1:$BM$3,BN$1:BN$3)/SUMPRODUCT(_xlfn.XLOOKUP($C96,$BM$1:$BM$3,$BN$1:$BY$3),$BN$4:$BY$4),""),
"")</f>
        <v>0.79921583885701364</v>
      </c>
      <c r="BO96" s="8">
        <f>IF(_xlfn.XLOOKUP($B96,'ELC TECH'!$H:$H,'ELC TECH'!$E:$E)="Non Dispatchable",IFERROR($AX96*_xlfn.XLOOKUP($C96,$BM$1:$BM$3,BO$1:BO$3)/SUMPRODUCT(_xlfn.XLOOKUP($C96,$BM$1:$BM$3,$BN$1:$BY$3),$BN$4:$BY$4),""),
"")</f>
        <v>0.79921583885701364</v>
      </c>
      <c r="BP96" s="8">
        <f>IF(_xlfn.XLOOKUP($B96,'ELC TECH'!$H:$H,'ELC TECH'!$E:$E)="Non Dispatchable",IFERROR($AX96*_xlfn.XLOOKUP($C96,$BM$1:$BM$3,BP$1:BP$3)/SUMPRODUCT(_xlfn.XLOOKUP($C96,$BM$1:$BM$3,$BN$1:$BY$3),$BN$4:$BY$4),""),
"")</f>
        <v>7.9921583885701364E-2</v>
      </c>
      <c r="BQ96" s="8">
        <f>IF(_xlfn.XLOOKUP($B96,'ELC TECH'!$H:$H,'ELC TECH'!$E:$E)="Non Dispatchable",IFERROR($AX96*_xlfn.XLOOKUP($C96,$BM$1:$BM$3,BQ$1:BQ$3)/SUMPRODUCT(_xlfn.XLOOKUP($C96,$BM$1:$BM$3,$BN$1:$BY$3),$BN$4:$BY$4),""),
"")</f>
        <v>0.64037797402756969</v>
      </c>
      <c r="BR96" s="8">
        <f>IF(_xlfn.XLOOKUP($B96,'ELC TECH'!$H:$H,'ELC TECH'!$E:$E)="Non Dispatchable",IFERROR($AX96*_xlfn.XLOOKUP($C96,$BM$1:$BM$3,BR$1:BR$3)/SUMPRODUCT(_xlfn.XLOOKUP($C96,$BM$1:$BM$3,$BN$1:$BY$3),$BN$4:$BY$4),""),
"")</f>
        <v>0.92999661248816157</v>
      </c>
      <c r="BS96" s="8">
        <f>IF(_xlfn.XLOOKUP($B96,'ELC TECH'!$H:$H,'ELC TECH'!$E:$E)="Non Dispatchable",IFERROR($AX96*_xlfn.XLOOKUP($C96,$BM$1:$BM$3,BS$1:BS$3)/SUMPRODUCT(_xlfn.XLOOKUP($C96,$BM$1:$BM$3,$BN$1:$BY$3),$BN$4:$BY$4),""),
"")</f>
        <v>0.92999661248816157</v>
      </c>
      <c r="BT96" s="8">
        <f>IF(_xlfn.XLOOKUP($B96,'ELC TECH'!$H:$H,'ELC TECH'!$E:$E)="Non Dispatchable",IFERROR($AX96*_xlfn.XLOOKUP($C96,$BM$1:$BM$3,BT$1:BT$3)/SUMPRODUCT(_xlfn.XLOOKUP($C96,$BM$1:$BM$3,$BN$1:$BY$3),$BN$4:$BY$4),""),
"")</f>
        <v>9.2999661248816159E-2</v>
      </c>
      <c r="BU96" s="8">
        <f>IF(_xlfn.XLOOKUP($B96,'ELC TECH'!$H:$H,'ELC TECH'!$E:$E)="Non Dispatchable",IFERROR($AX96*_xlfn.XLOOKUP($C96,$BM$1:$BM$3,BU$1:BU$3)/SUMPRODUCT(_xlfn.XLOOKUP($C96,$BM$1:$BM$3,$BN$1:$BY$3),$BN$4:$BY$4),""),
"")</f>
        <v>0.82403908842383533</v>
      </c>
      <c r="BV96" s="8">
        <f>IF(_xlfn.XLOOKUP($B96,'ELC TECH'!$H:$H,'ELC TECH'!$E:$E)="Non Dispatchable",IFERROR($AX96*_xlfn.XLOOKUP($C96,$BM$1:$BM$3,BV$1:BV$3)/SUMPRODUCT(_xlfn.XLOOKUP($C96,$BM$1:$BM$3,$BN$1:$BY$3),$BN$4:$BY$4),""),
"")</f>
        <v>0.4816174401936606</v>
      </c>
      <c r="BW96" s="8">
        <f>IF(_xlfn.XLOOKUP($B96,'ELC TECH'!$H:$H,'ELC TECH'!$E:$E)="Non Dispatchable",IFERROR($AX96*_xlfn.XLOOKUP($C96,$BM$1:$BM$3,BW$1:BW$3)/SUMPRODUCT(_xlfn.XLOOKUP($C96,$BM$1:$BM$3,$BN$1:$BY$3),$BN$4:$BY$4),""),
"")</f>
        <v>0.4816174401936606</v>
      </c>
      <c r="BX96" s="8">
        <f>IF(_xlfn.XLOOKUP($B96,'ELC TECH'!$H:$H,'ELC TECH'!$E:$E)="Non Dispatchable",IFERROR($AX96*_xlfn.XLOOKUP($C96,$BM$1:$BM$3,BX$1:BX$3)/SUMPRODUCT(_xlfn.XLOOKUP($C96,$BM$1:$BM$3,$BN$1:$BY$3),$BN$4:$BY$4),""),
"")</f>
        <v>4.8161744019366064E-2</v>
      </c>
      <c r="BY96" s="8">
        <f>IF(_xlfn.XLOOKUP($B96,'ELC TECH'!$H:$H,'ELC TECH'!$E:$E)="Non Dispatchable",IFERROR($AX96*_xlfn.XLOOKUP($C96,$BM$1:$BM$3,BY$1:BY$3)/SUMPRODUCT(_xlfn.XLOOKUP($C96,$BM$1:$BM$3,$BN$1:$BY$3),$BN$4:$BY$4),""),
"")</f>
        <v>0.35203881203856108</v>
      </c>
      <c r="BZ96" s="8">
        <f>IF(_xlfn.XLOOKUP($B96,'ELC TECH'!$H:$H,'ELC TECH'!$E:$E)="Non Dispatchable",IFERROR($AX96*_xlfn.XLOOKUP($C96,$BM$1:$BM$3,BZ$1:BZ$3)/SUMPRODUCT(_xlfn.XLOOKUP($C96,$BM$1:$BM$3,$BN$1:$BY$3),$BN$4:$BY$4),""),
"")</f>
        <v>0.79921583885701364</v>
      </c>
      <c r="CA96" s="8">
        <f>IF(_xlfn.XLOOKUP($B96,'ELC TECH'!$H:$H,'ELC TECH'!$E:$E)="Non Dispatchable",IFERROR($AX96*_xlfn.XLOOKUP($C96,$BM$1:$BM$3,CA$1:CA$3)/SUMPRODUCT(_xlfn.XLOOKUP($C96,$BM$1:$BM$3,$BN$1:$BY$3),$BN$4:$BY$4),""),
"")</f>
        <v>0.79921583885701364</v>
      </c>
      <c r="CB96" s="8">
        <f>IF(_xlfn.XLOOKUP($B96,'ELC TECH'!$H:$H,'ELC TECH'!$E:$E)="Non Dispatchable",IFERROR($AX96*_xlfn.XLOOKUP($C96,$BM$1:$BM$3,CB$1:CB$3)/SUMPRODUCT(_xlfn.XLOOKUP($C96,$BM$1:$BM$3,$BN$1:$BY$3),$BN$4:$BY$4),""),
"")</f>
        <v>7.9921583885701364E-2</v>
      </c>
      <c r="CC96" s="8">
        <f>IF(_xlfn.XLOOKUP($B96,'ELC TECH'!$H:$H,'ELC TECH'!$E:$E)="Non Dispatchable",IFERROR($AX96*_xlfn.XLOOKUP($C96,$BM$1:$BM$3,CC$1:CC$3)/SUMPRODUCT(_xlfn.XLOOKUP($C96,$BM$1:$BM$3,$BN$1:$BY$3),$BN$4:$BY$4),""),
"")</f>
        <v>0.64037797402756969</v>
      </c>
      <c r="CD96" s="8">
        <f>IF(_xlfn.XLOOKUP($B96,'ELC TECH'!$H:$H,'ELC TECH'!$E:$E)="Non Dispatchable",IFERROR($AX96*_xlfn.XLOOKUP($C96,$BM$1:$BM$3,CD$1:CD$3)/SUMPRODUCT(_xlfn.XLOOKUP($C96,$BM$1:$BM$3,$BN$1:$BY$3),$BN$4:$BY$4),""),
"")</f>
        <v>0.92999661248816157</v>
      </c>
      <c r="CE96" s="8">
        <f>IF(_xlfn.XLOOKUP($B96,'ELC TECH'!$H:$H,'ELC TECH'!$E:$E)="Non Dispatchable",IFERROR($AX96*_xlfn.XLOOKUP($C96,$BM$1:$BM$3,CE$1:CE$3)/SUMPRODUCT(_xlfn.XLOOKUP($C96,$BM$1:$BM$3,$BN$1:$BY$3),$BN$4:$BY$4),""),
"")</f>
        <v>0.92999661248816157</v>
      </c>
      <c r="CF96" s="8">
        <f>IF(_xlfn.XLOOKUP($B96,'ELC TECH'!$H:$H,'ELC TECH'!$E:$E)="Non Dispatchable",IFERROR($AX96*_xlfn.XLOOKUP($C96,$BM$1:$BM$3,CF$1:CF$3)/SUMPRODUCT(_xlfn.XLOOKUP($C96,$BM$1:$BM$3,$BN$1:$BY$3),$BN$4:$BY$4),""),
"")</f>
        <v>9.2999661248816159E-2</v>
      </c>
      <c r="CG96" s="8">
        <f>IF(_xlfn.XLOOKUP($B96,'ELC TECH'!$H:$H,'ELC TECH'!$E:$E)="Non Dispatchable",IFERROR($AX96*_xlfn.XLOOKUP($C96,$BM$1:$BM$3,CG$1:CG$3)/SUMPRODUCT(_xlfn.XLOOKUP($C96,$BM$1:$BM$3,$BN$1:$BY$3),$BN$4:$BY$4),""),
"")</f>
        <v>0.82403908842383533</v>
      </c>
      <c r="CH96" s="8">
        <f>IF(_xlfn.XLOOKUP($B96,'ELC TECH'!$H:$H,'ELC TECH'!$E:$E)="Non Dispatchable",IFERROR($AX96*_xlfn.XLOOKUP($C96,$BM$1:$BM$3,CH$1:CH$3)/SUMPRODUCT(_xlfn.XLOOKUP($C96,$BM$1:$BM$3,$BN$1:$BY$3),$BN$4:$BY$4),""),
"")</f>
        <v>0.4816174401936606</v>
      </c>
      <c r="CI96" s="8">
        <f>IF(_xlfn.XLOOKUP($B96,'ELC TECH'!$H:$H,'ELC TECH'!$E:$E)="Non Dispatchable",IFERROR($AX96*_xlfn.XLOOKUP($C96,$BM$1:$BM$3,CI$1:CI$3)/SUMPRODUCT(_xlfn.XLOOKUP($C96,$BM$1:$BM$3,$BN$1:$BY$3),$BN$4:$BY$4),""),
"")</f>
        <v>0.4816174401936606</v>
      </c>
      <c r="CJ96" s="8">
        <f>IF(_xlfn.XLOOKUP($B96,'ELC TECH'!$H:$H,'ELC TECH'!$E:$E)="Non Dispatchable",IFERROR($AX96*_xlfn.XLOOKUP($C96,$BM$1:$BM$3,CJ$1:CJ$3)/SUMPRODUCT(_xlfn.XLOOKUP($C96,$BM$1:$BM$3,$BN$1:$BY$3),$BN$4:$BY$4),""),
"")</f>
        <v>4.8161744019366064E-2</v>
      </c>
      <c r="CK96" s="8">
        <f>IF(_xlfn.XLOOKUP($B96,'ELC TECH'!$H:$H,'ELC TECH'!$E:$E)="Non Dispatchable",IFERROR($AX96*_xlfn.XLOOKUP($C96,$BM$1:$BM$3,CK$1:CK$3)/SUMPRODUCT(_xlfn.XLOOKUP($C96,$BM$1:$BM$3,$BN$1:$BY$3),$BN$4:$BY$4),""),
"")</f>
        <v>0.35203881203856108</v>
      </c>
      <c r="CL96" s="8" t="str">
        <f>IF(_xlfn.XLOOKUP($B96,'ELC TECH'!$H:$H,'ELC TECH'!$E:$E)="Storage",CL$4*$BF96,"")</f>
        <v/>
      </c>
      <c r="CM96" s="8" t="str">
        <f>IF(_xlfn.XLOOKUP($B96,'ELC TECH'!$H:$H,'ELC TECH'!$E:$E)="Storage",CM$4*$BF96,"")</f>
        <v/>
      </c>
      <c r="CN96" s="8" t="str">
        <f>IF(_xlfn.XLOOKUP($B96,'ELC TECH'!$H:$H,'ELC TECH'!$E:$E)="Storage",CN$4*$BF96,"")</f>
        <v/>
      </c>
      <c r="CO96" s="8" t="str">
        <f>IF(_xlfn.XLOOKUP($B96,'ELC TECH'!$H:$H,'ELC TECH'!$E:$E)="Storage",CO$4*$BF96,"")</f>
        <v/>
      </c>
      <c r="CP96" s="8" t="str">
        <f>IF(_xlfn.XLOOKUP($B96,'ELC TECH'!$H:$H,'ELC TECH'!$E:$E)="Storage",CP$4*$BF96,"")</f>
        <v/>
      </c>
      <c r="CQ96" s="8" t="str">
        <f>IF(_xlfn.XLOOKUP($B96,'ELC TECH'!$H:$H,'ELC TECH'!$E:$E)="Storage",CQ$4*$BF96,"")</f>
        <v/>
      </c>
      <c r="CR96" s="8" t="str">
        <f>IF(_xlfn.XLOOKUP($B96,'ELC TECH'!$H:$H,'ELC TECH'!$E:$E)="Storage",CR$4*$BF96,"")</f>
        <v/>
      </c>
      <c r="CS96" s="8" t="str">
        <f>IF(_xlfn.XLOOKUP($B96,'ELC TECH'!$H:$H,'ELC TECH'!$E:$E)="Storage",CS$4*$BF96,"")</f>
        <v/>
      </c>
      <c r="CT96" s="8" t="str">
        <f>IF(_xlfn.XLOOKUP($B96,'ELC TECH'!$H:$H,'ELC TECH'!$E:$E)="Storage",CT$4*$BF96,"")</f>
        <v/>
      </c>
      <c r="CU96" s="8" t="str">
        <f>IF(_xlfn.XLOOKUP($B96,'ELC TECH'!$H:$H,'ELC TECH'!$E:$E)="Storage",CU$4*$BF96,"")</f>
        <v/>
      </c>
      <c r="CV96" s="8" t="str">
        <f>IF(_xlfn.XLOOKUP($B96,'ELC TECH'!$H:$H,'ELC TECH'!$E:$E)="Storage",CV$4*$BF96,"")</f>
        <v/>
      </c>
      <c r="CW96" s="8" t="str">
        <f>IF(_xlfn.XLOOKUP($B96,'ELC TECH'!$H:$H,'ELC TECH'!$E:$E)="Storage",CW$4*$BF96,"")</f>
        <v/>
      </c>
      <c r="CX96" s="8" t="str">
        <f>IF(_xlfn.XLOOKUP($B96,'ELC TECH'!$H:$H,'ELC TECH'!$E:$E)="Storage",CX$4*$BF96,"")</f>
        <v/>
      </c>
      <c r="CY96" s="8" t="str">
        <f>IF(_xlfn.XLOOKUP($B96,'ELC TECH'!$H:$H,'ELC TECH'!$E:$E)="Storage",CY$4*$BF96,"")</f>
        <v/>
      </c>
      <c r="CZ96" s="8" t="str">
        <f>IF(_xlfn.XLOOKUP($B96,'ELC TECH'!$H:$H,'ELC TECH'!$E:$E)="Storage",CZ$4*$BF96,"")</f>
        <v/>
      </c>
      <c r="DA96" s="8" t="str">
        <f>IF(_xlfn.XLOOKUP($B96,'ELC TECH'!$H:$H,'ELC TECH'!$E:$E)="Storage",DA$4*$BF96,"")</f>
        <v/>
      </c>
      <c r="DB96" s="8" t="str">
        <f>IF(_xlfn.XLOOKUP($B96,'ELC TECH'!$H:$H,'ELC TECH'!$E:$E)="Storage",DB$4*$BF96,"")</f>
        <v/>
      </c>
      <c r="DC96" s="8" t="str">
        <f>IF(_xlfn.XLOOKUP($B96,'ELC TECH'!$H:$H,'ELC TECH'!$E:$E)="Storage",DC$4*$BF96,"")</f>
        <v/>
      </c>
      <c r="DD96" s="8" t="str">
        <f>IF(_xlfn.XLOOKUP($B96,'ELC TECH'!$H:$H,'ELC TECH'!$E:$E)="Storage",DD$4*$BF96,"")</f>
        <v/>
      </c>
      <c r="DE96" s="8" t="str">
        <f>IF(_xlfn.XLOOKUP($B96,'ELC TECH'!$H:$H,'ELC TECH'!$E:$E)="Storage",DE$4*$BF96,"")</f>
        <v/>
      </c>
      <c r="DF96" s="8" t="str">
        <f>IF(_xlfn.XLOOKUP($B96,'ELC TECH'!$H:$H,'ELC TECH'!$E:$E)="Storage",DF$4*$BF96,"")</f>
        <v/>
      </c>
      <c r="DG96" s="8" t="str">
        <f>IF(_xlfn.XLOOKUP($B96,'ELC TECH'!$H:$H,'ELC TECH'!$E:$E)="Storage",DG$4*$BF96,"")</f>
        <v/>
      </c>
      <c r="DH96" s="8" t="str">
        <f>IF(_xlfn.XLOOKUP($B96,'ELC TECH'!$H:$H,'ELC TECH'!$E:$E)="Storage",DH$4*$BF96,"")</f>
        <v/>
      </c>
      <c r="DI96" s="8" t="str">
        <f>IF(_xlfn.XLOOKUP($B96,'ELC TECH'!$H:$H,'ELC TECH'!$E:$E)="Storage",DI$4*$BF96,"")</f>
        <v/>
      </c>
    </row>
    <row r="97" spans="2:113" x14ac:dyDescent="0.25">
      <c r="B97" t="str">
        <f>IF('ELC TECH'!I90=0,"*",'ELC TECH'!H90)</f>
        <v>ELCWNDGRDWOFC420</v>
      </c>
      <c r="C97" t="str">
        <f>IF(_xlfn.XLOOKUP(_xlfn.XLOOKUP(B97,'ELC TECH'!$H:$H,'ELC TECH'!$G:$G),List!C:C,List!B:B)="STG",D97,"ELC"&amp;_xlfn.XLOOKUP(_xlfn.XLOOKUP(B97,'ELC TECH'!H:H,'ELC TECH'!G:G),List!C:C,List!B:B))</f>
        <v>ELCWND</v>
      </c>
      <c r="D97" t="s">
        <v>544</v>
      </c>
      <c r="E97">
        <f>_xlfn.XLOOKUP(B97,'ELC TECH'!H:H,'ELC TECH'!D:D)</f>
        <v>2020</v>
      </c>
      <c r="F97">
        <f>_xlfn.XLOOKUP(B97,'ELC TECH'!H:H,'ELC TECH'!K:K)</f>
        <v>30</v>
      </c>
      <c r="G97">
        <f t="shared" si="6"/>
        <v>31.535999999999998</v>
      </c>
      <c r="H97">
        <f>IF(_xlfn.XLOOKUP(B97,'ELC TECH'!$H:$H,'ELC TECH'!$E:$E)="Storage",0.3,IF(_xlfn.XLOOKUP(B97,'ELC TECH'!$H:$H,'ELC TECH'!$E:$E)="Baseload",0.9,IF(_xlfn.XLOOKUP(B97,'ELC TECH'!$H:$H,'ELC TECH'!$E:$E)="Non Dispatchable",0.05,IF(_xlfn.XLOOKUP(B97,'ELC TECH'!$H:$H,'ELC TECH'!$E:$E)="Dispatchable",0.9,1))))</f>
        <v>0.05</v>
      </c>
      <c r="I97" s="13">
        <f>IF(_xlfn.XLOOKUP(B97,'ELC TECH'!H:H,'ELC TECH'!J:J)="","",_xlfn.XLOOKUP(B97,'ELC TECH'!H:H,'ELC TECH'!J:J))</f>
        <v>0</v>
      </c>
      <c r="J97" s="12">
        <f>IF(_xlfn.XLOOKUP($B97,'ELC TECH'!$H:$H,'ELC TECH'!$E:$E)="Storage","",IF(_xlfn.XLOOKUP($B97,'ELC TECH'!$H:$H,'ELC TECH'!AK:AK)="",1,_xlfn.XLOOKUP($B97,'ELC TECH'!$H:$H,'ELC TECH'!AK:AK)))</f>
        <v>1</v>
      </c>
      <c r="K97" s="12">
        <f>IF(_xlfn.XLOOKUP($B97,'ELC TECH'!$H:$H,'ELC TECH'!$E:$E)="Storage","",IF(_xlfn.XLOOKUP($B97,'ELC TECH'!$H:$H,'ELC TECH'!AL:AL)="",1,_xlfn.XLOOKUP($B97,'ELC TECH'!$H:$H,'ELC TECH'!AL:AL)))</f>
        <v>1</v>
      </c>
      <c r="L97" s="12">
        <f>IF(_xlfn.XLOOKUP($B97,'ELC TECH'!$H:$H,'ELC TECH'!$E:$E)="Storage","",IF(_xlfn.XLOOKUP($B97,'ELC TECH'!$H:$H,'ELC TECH'!AM:AM)="",1,_xlfn.XLOOKUP($B97,'ELC TECH'!$H:$H,'ELC TECH'!AM:AM)))</f>
        <v>1</v>
      </c>
      <c r="M97" s="12">
        <f>IF(_xlfn.XLOOKUP($B97,'ELC TECH'!$H:$H,'ELC TECH'!$E:$E)="Storage","",IF(_xlfn.XLOOKUP($B97,'ELC TECH'!$H:$H,'ELC TECH'!AN:AN)="",1,_xlfn.XLOOKUP($B97,'ELC TECH'!$H:$H,'ELC TECH'!AN:AN)))</f>
        <v>1</v>
      </c>
      <c r="N97" s="12">
        <f>IF(_xlfn.XLOOKUP($B97,'ELC TECH'!$H:$H,'ELC TECH'!$E:$E)="Storage","",IF(_xlfn.XLOOKUP($B97,'ELC TECH'!$H:$H,'ELC TECH'!AO:AO)="",1,_xlfn.XLOOKUP($B97,'ELC TECH'!$H:$H,'ELC TECH'!AO:AO)))</f>
        <v>1</v>
      </c>
      <c r="O97" s="12">
        <f>IF(_xlfn.XLOOKUP($B97,'ELC TECH'!$H:$H,'ELC TECH'!$E:$E)="Storage","",IF(_xlfn.XLOOKUP($B97,'ELC TECH'!$H:$H,'ELC TECH'!AP:AP)="",1,_xlfn.XLOOKUP($B97,'ELC TECH'!$H:$H,'ELC TECH'!AP:AP)))</f>
        <v>1</v>
      </c>
      <c r="P97" s="12">
        <f>IF(_xlfn.XLOOKUP($B97,'ELC TECH'!$H:$H,'ELC TECH'!$E:$E)="Storage","",IF(_xlfn.XLOOKUP($B97,'ELC TECH'!$H:$H,'ELC TECH'!AQ:AQ)="",1,_xlfn.XLOOKUP($B97,'ELC TECH'!$H:$H,'ELC TECH'!AQ:AQ)))</f>
        <v>1</v>
      </c>
      <c r="Q97" s="12">
        <f>IF(_xlfn.XLOOKUP($B97,'ELC TECH'!$H:$H,'ELC TECH'!$E:$E)="Storage","",IF(_xlfn.XLOOKUP($B97,'ELC TECH'!$H:$H,'ELC TECH'!AR:AR)="",1,_xlfn.XLOOKUP($B97,'ELC TECH'!$H:$H,'ELC TECH'!AR:AR)))</f>
        <v>1</v>
      </c>
      <c r="R97" s="12" t="str">
        <f>IF(_xlfn.XLOOKUP($B97,'ELC TECH'!$H:$H,'ELC TECH'!$E:$E)&lt;&gt;"Storage","",IF(_xlfn.XLOOKUP($B97,'ELC TECH'!$H:$H,'ELC TECH'!AK:AK)="",0.8,_xlfn.XLOOKUP($B97,'ELC TECH'!$H:$H,'ELC TECH'!AK:AK)))</f>
        <v/>
      </c>
      <c r="S97" s="12" t="str">
        <f>IF(_xlfn.XLOOKUP($B97,'ELC TECH'!$H:$H,'ELC TECH'!$E:$E)&lt;&gt;"Storage","",IF(_xlfn.XLOOKUP($B97,'ELC TECH'!$H:$H,'ELC TECH'!AL:AL)="",0.8,_xlfn.XLOOKUP($B97,'ELC TECH'!$H:$H,'ELC TECH'!AL:AL)))</f>
        <v/>
      </c>
      <c r="T97" s="12" t="str">
        <f>IF(_xlfn.XLOOKUP($B97,'ELC TECH'!$H:$H,'ELC TECH'!$E:$E)&lt;&gt;"Storage","",IF(_xlfn.XLOOKUP($B97,'ELC TECH'!$H:$H,'ELC TECH'!AM:AM)="",0.8,_xlfn.XLOOKUP($B97,'ELC TECH'!$H:$H,'ELC TECH'!AM:AM)))</f>
        <v/>
      </c>
      <c r="U97" s="12" t="str">
        <f>IF(_xlfn.XLOOKUP($B97,'ELC TECH'!$H:$H,'ELC TECH'!$E:$E)&lt;&gt;"Storage","",IF(_xlfn.XLOOKUP($B97,'ELC TECH'!$H:$H,'ELC TECH'!AN:AN)="",0.8,_xlfn.XLOOKUP($B97,'ELC TECH'!$H:$H,'ELC TECH'!AN:AN)))</f>
        <v/>
      </c>
      <c r="V97" s="12" t="str">
        <f>IF(_xlfn.XLOOKUP($B97,'ELC TECH'!$H:$H,'ELC TECH'!$E:$E)&lt;&gt;"Storage","",IF(_xlfn.XLOOKUP($B97,'ELC TECH'!$H:$H,'ELC TECH'!AO:AO)="",0.8,_xlfn.XLOOKUP($B97,'ELC TECH'!$H:$H,'ELC TECH'!AO:AO)))</f>
        <v/>
      </c>
      <c r="W97" s="12" t="str">
        <f>IF(_xlfn.XLOOKUP($B97,'ELC TECH'!$H:$H,'ELC TECH'!$E:$E)&lt;&gt;"Storage","",IF(_xlfn.XLOOKUP($B97,'ELC TECH'!$H:$H,'ELC TECH'!AP:AP)="",0.8,_xlfn.XLOOKUP($B97,'ELC TECH'!$H:$H,'ELC TECH'!AP:AP)))</f>
        <v/>
      </c>
      <c r="X97" s="12" t="str">
        <f>IF(_xlfn.XLOOKUP($B97,'ELC TECH'!$H:$H,'ELC TECH'!$E:$E)&lt;&gt;"Storage","",IF(_xlfn.XLOOKUP($B97,'ELC TECH'!$H:$H,'ELC TECH'!AQ:AQ)="",0.8,_xlfn.XLOOKUP($B97,'ELC TECH'!$H:$H,'ELC TECH'!AQ:AQ)))</f>
        <v/>
      </c>
      <c r="Y97" s="12" t="str">
        <f>IF(_xlfn.XLOOKUP($B97,'ELC TECH'!$H:$H,'ELC TECH'!$E:$E)&lt;&gt;"Storage","",IF(_xlfn.XLOOKUP($B97,'ELC TECH'!$H:$H,'ELC TECH'!AR:AR)="",0.8,_xlfn.XLOOKUP($B97,'ELC TECH'!$H:$H,'ELC TECH'!AR:AR)))</f>
        <v/>
      </c>
      <c r="Z97" s="15">
        <f>_xlfn.XLOOKUP($B97,'ELC TECH'!$H:$H,'ELC TECH'!M:M)</f>
        <v>2793.6544412439639</v>
      </c>
      <c r="AA97" s="15">
        <f>_xlfn.XLOOKUP($B97,'ELC TECH'!$H:$H,'ELC TECH'!N:N)</f>
        <v>2436.7902227516579</v>
      </c>
      <c r="AB97" s="15">
        <f>_xlfn.XLOOKUP($B97,'ELC TECH'!$H:$H,'ELC TECH'!O:O)</f>
        <v>2239.898032419831</v>
      </c>
      <c r="AC97" s="15">
        <f>_xlfn.XLOOKUP($B97,'ELC TECH'!$H:$H,'ELC TECH'!P:P)</f>
        <v>2118.1856809484989</v>
      </c>
      <c r="AD97" s="15">
        <f>_xlfn.XLOOKUP($B97,'ELC TECH'!$H:$H,'ELC TECH'!Q:Q)</f>
        <v>2029.8529598796169</v>
      </c>
      <c r="AE97" s="15">
        <f>_xlfn.XLOOKUP($B97,'ELC TECH'!$H:$H,'ELC TECH'!R:R)</f>
        <v>1960.4772982570221</v>
      </c>
      <c r="AF97" s="15">
        <f>_xlfn.XLOOKUP($B97,'ELC TECH'!$H:$H,'ELC TECH'!S:S)</f>
        <v>1903.342414663334</v>
      </c>
      <c r="AG97" s="15">
        <f>_xlfn.XLOOKUP($B97,'ELC TECH'!$H:$H,'ELC TECH'!T:T)</f>
        <v>1903.342414663334</v>
      </c>
      <c r="AH97" s="15">
        <f>_xlfn.XLOOKUP($B97,'ELC TECH'!$H:$H,'ELC TECH'!U:U)</f>
        <v>127.3262166235758</v>
      </c>
      <c r="AI97" s="15">
        <f>_xlfn.XLOOKUP($B97,'ELC TECH'!$H:$H,'ELC TECH'!V:V)</f>
        <v>113.0989331026649</v>
      </c>
      <c r="AJ97" s="15">
        <f>_xlfn.XLOOKUP($B97,'ELC TECH'!$H:$H,'ELC TECH'!W:W)</f>
        <v>103.1335786433652</v>
      </c>
      <c r="AK97" s="15">
        <f>_xlfn.XLOOKUP($B97,'ELC TECH'!$H:$H,'ELC TECH'!X:X)</f>
        <v>96.454078408943488</v>
      </c>
      <c r="AL97" s="15">
        <f>_xlfn.XLOOKUP($B97,'ELC TECH'!$H:$H,'ELC TECH'!Y:Y)</f>
        <v>91.422785192168575</v>
      </c>
      <c r="AM97" s="15">
        <f>_xlfn.XLOOKUP($B97,'ELC TECH'!$H:$H,'ELC TECH'!Z:Z)</f>
        <v>87.38518220363791</v>
      </c>
      <c r="AN97" s="15">
        <f>_xlfn.XLOOKUP($B97,'ELC TECH'!$H:$H,'ELC TECH'!AA:AA)</f>
        <v>84.012758338069517</v>
      </c>
      <c r="AO97" s="15">
        <f>_xlfn.XLOOKUP($B97,'ELC TECH'!$H:$H,'ELC TECH'!AB:AB)</f>
        <v>84.012758338069517</v>
      </c>
      <c r="AP97" s="15">
        <f>_xlfn.XLOOKUP($B97,'ELC TECH'!$H:$H,'ELC TECH'!AC:AC)</f>
        <v>0</v>
      </c>
      <c r="AQ97" s="15">
        <f>_xlfn.XLOOKUP($B97,'ELC TECH'!$H:$H,'ELC TECH'!AD:AD)</f>
        <v>0</v>
      </c>
      <c r="AR97" s="15">
        <f>_xlfn.XLOOKUP($B97,'ELC TECH'!$H:$H,'ELC TECH'!AE:AE)</f>
        <v>0</v>
      </c>
      <c r="AS97" s="15">
        <f>_xlfn.XLOOKUP($B97,'ELC TECH'!$H:$H,'ELC TECH'!AF:AF)</f>
        <v>0</v>
      </c>
      <c r="AT97" s="15">
        <f>_xlfn.XLOOKUP($B97,'ELC TECH'!$H:$H,'ELC TECH'!AG:AG)</f>
        <v>0</v>
      </c>
      <c r="AU97" s="15">
        <f>_xlfn.XLOOKUP($B97,'ELC TECH'!$H:$H,'ELC TECH'!AH:AH)</f>
        <v>0</v>
      </c>
      <c r="AV97" s="15">
        <f>_xlfn.XLOOKUP($B97,'ELC TECH'!$H:$H,'ELC TECH'!AI:AI)</f>
        <v>0</v>
      </c>
      <c r="AW97" s="15">
        <f>_xlfn.XLOOKUP($B97,'ELC TECH'!$H:$H,'ELC TECH'!AJ:AJ)</f>
        <v>0</v>
      </c>
      <c r="AX97" s="12">
        <f>IF(_xlfn.XLOOKUP($B97,'ELC TECH'!$H:$H,'ELC TECH'!$E:$E)="Storage","",_xlfn.XLOOKUP($B97,'ELC TECH'!$H:$H,'ELC TECH'!AS:AS))</f>
        <v>0.45307714324914899</v>
      </c>
      <c r="AY97" s="12">
        <f>IF(_xlfn.XLOOKUP($B97,'ELC TECH'!$H:$H,'ELC TECH'!$E:$E)="Storage","",_xlfn.XLOOKUP($B97,'ELC TECH'!$H:$H,'ELC TECH'!AT:AT))</f>
        <v>0.47565386335017201</v>
      </c>
      <c r="AZ97" s="12">
        <f>IF(_xlfn.XLOOKUP($B97,'ELC TECH'!$H:$H,'ELC TECH'!$E:$E)="Storage","",_xlfn.XLOOKUP($B97,'ELC TECH'!$H:$H,'ELC TECH'!AU:AU))</f>
        <v>0.49806221819658902</v>
      </c>
      <c r="BA97" s="12">
        <f>IF(_xlfn.XLOOKUP($B97,'ELC TECH'!$H:$H,'ELC TECH'!$E:$E)="Storage","",_xlfn.XLOOKUP($B97,'ELC TECH'!$H:$H,'ELC TECH'!AV:AV))</f>
        <v>0.50802783262961604</v>
      </c>
      <c r="BB97" s="12">
        <f>IF(_xlfn.XLOOKUP($B97,'ELC TECH'!$H:$H,'ELC TECH'!$E:$E)="Storage","",_xlfn.XLOOKUP($B97,'ELC TECH'!$H:$H,'ELC TECH'!AW:AW))</f>
        <v>0.51676815171595303</v>
      </c>
      <c r="BC97" s="12">
        <f>IF(_xlfn.XLOOKUP($B97,'ELC TECH'!$H:$H,'ELC TECH'!$E:$E)="Storage","",_xlfn.XLOOKUP($B97,'ELC TECH'!$H:$H,'ELC TECH'!AX:AX))</f>
        <v>0.52476975048398</v>
      </c>
      <c r="BD97" s="12">
        <f>IF(_xlfn.XLOOKUP($B97,'ELC TECH'!$H:$H,'ELC TECH'!$E:$E)="Storage","",_xlfn.XLOOKUP($B97,'ELC TECH'!$H:$H,'ELC TECH'!AY:AY))</f>
        <v>0.53227684772680195</v>
      </c>
      <c r="BE97" s="12">
        <f>IF(_xlfn.XLOOKUP($B97,'ELC TECH'!$H:$H,'ELC TECH'!$E:$E)="Storage","",_xlfn.XLOOKUP($B97,'ELC TECH'!$H:$H,'ELC TECH'!AZ:AZ))</f>
        <v>0.53227684772680195</v>
      </c>
      <c r="BF97" s="12" t="str">
        <f>IF(_xlfn.XLOOKUP($B97,'ELC TECH'!$H:$H,'ELC TECH'!$E:$E)="Storage",_xlfn.XLOOKUP($B97,'ELC TECH'!$H:$H,'ELC TECH'!AS:AS),"")</f>
        <v/>
      </c>
      <c r="BG97" s="12" t="str">
        <f>IF(_xlfn.XLOOKUP($B97,'ELC TECH'!$H:$H,'ELC TECH'!$E:$E)="Storage",_xlfn.XLOOKUP($B97,'ELC TECH'!$H:$H,'ELC TECH'!AT:AT),"")</f>
        <v/>
      </c>
      <c r="BH97" s="12" t="str">
        <f>IF(_xlfn.XLOOKUP($B97,'ELC TECH'!$H:$H,'ELC TECH'!$E:$E)="Storage",_xlfn.XLOOKUP($B97,'ELC TECH'!$H:$H,'ELC TECH'!AU:AU),"")</f>
        <v/>
      </c>
      <c r="BI97" s="12" t="str">
        <f>IF(_xlfn.XLOOKUP($B97,'ELC TECH'!$H:$H,'ELC TECH'!$E:$E)="Storage",_xlfn.XLOOKUP($B97,'ELC TECH'!$H:$H,'ELC TECH'!AV:AV),"")</f>
        <v/>
      </c>
      <c r="BJ97" s="12" t="str">
        <f>IF(_xlfn.XLOOKUP($B97,'ELC TECH'!$H:$H,'ELC TECH'!$E:$E)="Storage",_xlfn.XLOOKUP($B97,'ELC TECH'!$H:$H,'ELC TECH'!AW:AW),"")</f>
        <v/>
      </c>
      <c r="BK97" s="12" t="str">
        <f>IF(_xlfn.XLOOKUP($B97,'ELC TECH'!$H:$H,'ELC TECH'!$E:$E)="Storage",_xlfn.XLOOKUP($B97,'ELC TECH'!$H:$H,'ELC TECH'!AX:AX),"")</f>
        <v/>
      </c>
      <c r="BL97" s="12" t="str">
        <f>IF(_xlfn.XLOOKUP($B97,'ELC TECH'!$H:$H,'ELC TECH'!$E:$E)="Storage",_xlfn.XLOOKUP($B97,'ELC TECH'!$H:$H,'ELC TECH'!AY:AY),"")</f>
        <v/>
      </c>
      <c r="BM97" s="12" t="str">
        <f>IF(_xlfn.XLOOKUP($B97,'ELC TECH'!$H:$H,'ELC TECH'!$E:$E)="Storage",_xlfn.XLOOKUP($B97,'ELC TECH'!$H:$H,'ELC TECH'!AZ:AZ),"")</f>
        <v/>
      </c>
      <c r="BN97" s="8">
        <f>IF(_xlfn.XLOOKUP($B97,'ELC TECH'!$H:$H,'ELC TECH'!$E:$E)="Non Dispatchable",IFERROR($AX97*_xlfn.XLOOKUP($C97,$BM$1:$BM$3,BN$1:BN$3)/SUMPRODUCT(_xlfn.XLOOKUP($C97,$BM$1:$BM$3,$BN$1:$BY$3),$BN$4:$BY$4),""),
"")</f>
        <v>0.79560414390045642</v>
      </c>
      <c r="BO97" s="8">
        <f>IF(_xlfn.XLOOKUP($B97,'ELC TECH'!$H:$H,'ELC TECH'!$E:$E)="Non Dispatchable",IFERROR($AX97*_xlfn.XLOOKUP($C97,$BM$1:$BM$3,BO$1:BO$3)/SUMPRODUCT(_xlfn.XLOOKUP($C97,$BM$1:$BM$3,$BN$1:$BY$3),$BN$4:$BY$4),""),
"")</f>
        <v>0.79560414390045642</v>
      </c>
      <c r="BP97" s="8">
        <f>IF(_xlfn.XLOOKUP($B97,'ELC TECH'!$H:$H,'ELC TECH'!$E:$E)="Non Dispatchable",IFERROR($AX97*_xlfn.XLOOKUP($C97,$BM$1:$BM$3,BP$1:BP$3)/SUMPRODUCT(_xlfn.XLOOKUP($C97,$BM$1:$BM$3,$BN$1:$BY$3),$BN$4:$BY$4),""),
"")</f>
        <v>7.9560414390045645E-2</v>
      </c>
      <c r="BQ97" s="8">
        <f>IF(_xlfn.XLOOKUP($B97,'ELC TECH'!$H:$H,'ELC TECH'!$E:$E)="Non Dispatchable",IFERROR($AX97*_xlfn.XLOOKUP($C97,$BM$1:$BM$3,BQ$1:BQ$3)/SUMPRODUCT(_xlfn.XLOOKUP($C97,$BM$1:$BM$3,$BN$1:$BY$3),$BN$4:$BY$4),""),
"")</f>
        <v>0.63748407504979987</v>
      </c>
      <c r="BR97" s="8">
        <f>IF(_xlfn.XLOOKUP($B97,'ELC TECH'!$H:$H,'ELC TECH'!$E:$E)="Non Dispatchable",IFERROR($AX97*_xlfn.XLOOKUP($C97,$BM$1:$BM$3,BR$1:BR$3)/SUMPRODUCT(_xlfn.XLOOKUP($C97,$BM$1:$BM$3,$BN$1:$BY$3),$BN$4:$BY$4),""),
"")</f>
        <v>0.92579391290234947</v>
      </c>
      <c r="BS97" s="8">
        <f>IF(_xlfn.XLOOKUP($B97,'ELC TECH'!$H:$H,'ELC TECH'!$E:$E)="Non Dispatchable",IFERROR($AX97*_xlfn.XLOOKUP($C97,$BM$1:$BM$3,BS$1:BS$3)/SUMPRODUCT(_xlfn.XLOOKUP($C97,$BM$1:$BM$3,$BN$1:$BY$3),$BN$4:$BY$4),""),
"")</f>
        <v>0.92579391290234947</v>
      </c>
      <c r="BT97" s="8">
        <f>IF(_xlfn.XLOOKUP($B97,'ELC TECH'!$H:$H,'ELC TECH'!$E:$E)="Non Dispatchable",IFERROR($AX97*_xlfn.XLOOKUP($C97,$BM$1:$BM$3,BT$1:BT$3)/SUMPRODUCT(_xlfn.XLOOKUP($C97,$BM$1:$BM$3,$BN$1:$BY$3),$BN$4:$BY$4),""),
"")</f>
        <v>9.2579391290234944E-2</v>
      </c>
      <c r="BU97" s="8">
        <f>IF(_xlfn.XLOOKUP($B97,'ELC TECH'!$H:$H,'ELC TECH'!$E:$E)="Non Dispatchable",IFERROR($AX97*_xlfn.XLOOKUP($C97,$BM$1:$BM$3,BU$1:BU$3)/SUMPRODUCT(_xlfn.XLOOKUP($C97,$BM$1:$BM$3,$BN$1:$BY$3),$BN$4:$BY$4),""),
"")</f>
        <v>0.82031521600418622</v>
      </c>
      <c r="BV97" s="8">
        <f>IF(_xlfn.XLOOKUP($B97,'ELC TECH'!$H:$H,'ELC TECH'!$E:$E)="Non Dispatchable",IFERROR($AX97*_xlfn.XLOOKUP($C97,$BM$1:$BM$3,BV$1:BV$3)/SUMPRODUCT(_xlfn.XLOOKUP($C97,$BM$1:$BM$3,$BN$1:$BY$3),$BN$4:$BY$4),""),
"")</f>
        <v>0.47944098773217642</v>
      </c>
      <c r="BW97" s="8">
        <f>IF(_xlfn.XLOOKUP($B97,'ELC TECH'!$H:$H,'ELC TECH'!$E:$E)="Non Dispatchable",IFERROR($AX97*_xlfn.XLOOKUP($C97,$BM$1:$BM$3,BW$1:BW$3)/SUMPRODUCT(_xlfn.XLOOKUP($C97,$BM$1:$BM$3,$BN$1:$BY$3),$BN$4:$BY$4),""),
"")</f>
        <v>0.47944098773217642</v>
      </c>
      <c r="BX97" s="8">
        <f>IF(_xlfn.XLOOKUP($B97,'ELC TECH'!$H:$H,'ELC TECH'!$E:$E)="Non Dispatchable",IFERROR($AX97*_xlfn.XLOOKUP($C97,$BM$1:$BM$3,BX$1:BX$3)/SUMPRODUCT(_xlfn.XLOOKUP($C97,$BM$1:$BM$3,$BN$1:$BY$3),$BN$4:$BY$4),""),
"")</f>
        <v>4.7944098773217647E-2</v>
      </c>
      <c r="BY97" s="8">
        <f>IF(_xlfn.XLOOKUP($B97,'ELC TECH'!$H:$H,'ELC TECH'!$E:$E)="Non Dispatchable",IFERROR($AX97*_xlfn.XLOOKUP($C97,$BM$1:$BM$3,BY$1:BY$3)/SUMPRODUCT(_xlfn.XLOOKUP($C97,$BM$1:$BM$3,$BN$1:$BY$3),$BN$4:$BY$4),""),
"")</f>
        <v>0.35044793165289401</v>
      </c>
      <c r="BZ97" s="8">
        <f>IF(_xlfn.XLOOKUP($B97,'ELC TECH'!$H:$H,'ELC TECH'!$E:$E)="Non Dispatchable",IFERROR($AX97*_xlfn.XLOOKUP($C97,$BM$1:$BM$3,BZ$1:BZ$3)/SUMPRODUCT(_xlfn.XLOOKUP($C97,$BM$1:$BM$3,$BN$1:$BY$3),$BN$4:$BY$4),""),
"")</f>
        <v>0.79560414390045642</v>
      </c>
      <c r="CA97" s="8">
        <f>IF(_xlfn.XLOOKUP($B97,'ELC TECH'!$H:$H,'ELC TECH'!$E:$E)="Non Dispatchable",IFERROR($AX97*_xlfn.XLOOKUP($C97,$BM$1:$BM$3,CA$1:CA$3)/SUMPRODUCT(_xlfn.XLOOKUP($C97,$BM$1:$BM$3,$BN$1:$BY$3),$BN$4:$BY$4),""),
"")</f>
        <v>0.79560414390045642</v>
      </c>
      <c r="CB97" s="8">
        <f>IF(_xlfn.XLOOKUP($B97,'ELC TECH'!$H:$H,'ELC TECH'!$E:$E)="Non Dispatchable",IFERROR($AX97*_xlfn.XLOOKUP($C97,$BM$1:$BM$3,CB$1:CB$3)/SUMPRODUCT(_xlfn.XLOOKUP($C97,$BM$1:$BM$3,$BN$1:$BY$3),$BN$4:$BY$4),""),
"")</f>
        <v>7.9560414390045645E-2</v>
      </c>
      <c r="CC97" s="8">
        <f>IF(_xlfn.XLOOKUP($B97,'ELC TECH'!$H:$H,'ELC TECH'!$E:$E)="Non Dispatchable",IFERROR($AX97*_xlfn.XLOOKUP($C97,$BM$1:$BM$3,CC$1:CC$3)/SUMPRODUCT(_xlfn.XLOOKUP($C97,$BM$1:$BM$3,$BN$1:$BY$3),$BN$4:$BY$4),""),
"")</f>
        <v>0.63748407504979987</v>
      </c>
      <c r="CD97" s="8">
        <f>IF(_xlfn.XLOOKUP($B97,'ELC TECH'!$H:$H,'ELC TECH'!$E:$E)="Non Dispatchable",IFERROR($AX97*_xlfn.XLOOKUP($C97,$BM$1:$BM$3,CD$1:CD$3)/SUMPRODUCT(_xlfn.XLOOKUP($C97,$BM$1:$BM$3,$BN$1:$BY$3),$BN$4:$BY$4),""),
"")</f>
        <v>0.92579391290234947</v>
      </c>
      <c r="CE97" s="8">
        <f>IF(_xlfn.XLOOKUP($B97,'ELC TECH'!$H:$H,'ELC TECH'!$E:$E)="Non Dispatchable",IFERROR($AX97*_xlfn.XLOOKUP($C97,$BM$1:$BM$3,CE$1:CE$3)/SUMPRODUCT(_xlfn.XLOOKUP($C97,$BM$1:$BM$3,$BN$1:$BY$3),$BN$4:$BY$4),""),
"")</f>
        <v>0.92579391290234947</v>
      </c>
      <c r="CF97" s="8">
        <f>IF(_xlfn.XLOOKUP($B97,'ELC TECH'!$H:$H,'ELC TECH'!$E:$E)="Non Dispatchable",IFERROR($AX97*_xlfn.XLOOKUP($C97,$BM$1:$BM$3,CF$1:CF$3)/SUMPRODUCT(_xlfn.XLOOKUP($C97,$BM$1:$BM$3,$BN$1:$BY$3),$BN$4:$BY$4),""),
"")</f>
        <v>9.2579391290234944E-2</v>
      </c>
      <c r="CG97" s="8">
        <f>IF(_xlfn.XLOOKUP($B97,'ELC TECH'!$H:$H,'ELC TECH'!$E:$E)="Non Dispatchable",IFERROR($AX97*_xlfn.XLOOKUP($C97,$BM$1:$BM$3,CG$1:CG$3)/SUMPRODUCT(_xlfn.XLOOKUP($C97,$BM$1:$BM$3,$BN$1:$BY$3),$BN$4:$BY$4),""),
"")</f>
        <v>0.82031521600418622</v>
      </c>
      <c r="CH97" s="8">
        <f>IF(_xlfn.XLOOKUP($B97,'ELC TECH'!$H:$H,'ELC TECH'!$E:$E)="Non Dispatchable",IFERROR($AX97*_xlfn.XLOOKUP($C97,$BM$1:$BM$3,CH$1:CH$3)/SUMPRODUCT(_xlfn.XLOOKUP($C97,$BM$1:$BM$3,$BN$1:$BY$3),$BN$4:$BY$4),""),
"")</f>
        <v>0.47944098773217642</v>
      </c>
      <c r="CI97" s="8">
        <f>IF(_xlfn.XLOOKUP($B97,'ELC TECH'!$H:$H,'ELC TECH'!$E:$E)="Non Dispatchable",IFERROR($AX97*_xlfn.XLOOKUP($C97,$BM$1:$BM$3,CI$1:CI$3)/SUMPRODUCT(_xlfn.XLOOKUP($C97,$BM$1:$BM$3,$BN$1:$BY$3),$BN$4:$BY$4),""),
"")</f>
        <v>0.47944098773217642</v>
      </c>
      <c r="CJ97" s="8">
        <f>IF(_xlfn.XLOOKUP($B97,'ELC TECH'!$H:$H,'ELC TECH'!$E:$E)="Non Dispatchable",IFERROR($AX97*_xlfn.XLOOKUP($C97,$BM$1:$BM$3,CJ$1:CJ$3)/SUMPRODUCT(_xlfn.XLOOKUP($C97,$BM$1:$BM$3,$BN$1:$BY$3),$BN$4:$BY$4),""),
"")</f>
        <v>4.7944098773217647E-2</v>
      </c>
      <c r="CK97" s="8">
        <f>IF(_xlfn.XLOOKUP($B97,'ELC TECH'!$H:$H,'ELC TECH'!$E:$E)="Non Dispatchable",IFERROR($AX97*_xlfn.XLOOKUP($C97,$BM$1:$BM$3,CK$1:CK$3)/SUMPRODUCT(_xlfn.XLOOKUP($C97,$BM$1:$BM$3,$BN$1:$BY$3),$BN$4:$BY$4),""),
"")</f>
        <v>0.35044793165289401</v>
      </c>
      <c r="CL97" s="8" t="str">
        <f>IF(_xlfn.XLOOKUP($B97,'ELC TECH'!$H:$H,'ELC TECH'!$E:$E)="Storage",CL$4*$BF97,"")</f>
        <v/>
      </c>
      <c r="CM97" s="8" t="str">
        <f>IF(_xlfn.XLOOKUP($B97,'ELC TECH'!$H:$H,'ELC TECH'!$E:$E)="Storage",CM$4*$BF97,"")</f>
        <v/>
      </c>
      <c r="CN97" s="8" t="str">
        <f>IF(_xlfn.XLOOKUP($B97,'ELC TECH'!$H:$H,'ELC TECH'!$E:$E)="Storage",CN$4*$BF97,"")</f>
        <v/>
      </c>
      <c r="CO97" s="8" t="str">
        <f>IF(_xlfn.XLOOKUP($B97,'ELC TECH'!$H:$H,'ELC TECH'!$E:$E)="Storage",CO$4*$BF97,"")</f>
        <v/>
      </c>
      <c r="CP97" s="8" t="str">
        <f>IF(_xlfn.XLOOKUP($B97,'ELC TECH'!$H:$H,'ELC TECH'!$E:$E)="Storage",CP$4*$BF97,"")</f>
        <v/>
      </c>
      <c r="CQ97" s="8" t="str">
        <f>IF(_xlfn.XLOOKUP($B97,'ELC TECH'!$H:$H,'ELC TECH'!$E:$E)="Storage",CQ$4*$BF97,"")</f>
        <v/>
      </c>
      <c r="CR97" s="8" t="str">
        <f>IF(_xlfn.XLOOKUP($B97,'ELC TECH'!$H:$H,'ELC TECH'!$E:$E)="Storage",CR$4*$BF97,"")</f>
        <v/>
      </c>
      <c r="CS97" s="8" t="str">
        <f>IF(_xlfn.XLOOKUP($B97,'ELC TECH'!$H:$H,'ELC TECH'!$E:$E)="Storage",CS$4*$BF97,"")</f>
        <v/>
      </c>
      <c r="CT97" s="8" t="str">
        <f>IF(_xlfn.XLOOKUP($B97,'ELC TECH'!$H:$H,'ELC TECH'!$E:$E)="Storage",CT$4*$BF97,"")</f>
        <v/>
      </c>
      <c r="CU97" s="8" t="str">
        <f>IF(_xlfn.XLOOKUP($B97,'ELC TECH'!$H:$H,'ELC TECH'!$E:$E)="Storage",CU$4*$BF97,"")</f>
        <v/>
      </c>
      <c r="CV97" s="8" t="str">
        <f>IF(_xlfn.XLOOKUP($B97,'ELC TECH'!$H:$H,'ELC TECH'!$E:$E)="Storage",CV$4*$BF97,"")</f>
        <v/>
      </c>
      <c r="CW97" s="8" t="str">
        <f>IF(_xlfn.XLOOKUP($B97,'ELC TECH'!$H:$H,'ELC TECH'!$E:$E)="Storage",CW$4*$BF97,"")</f>
        <v/>
      </c>
      <c r="CX97" s="8" t="str">
        <f>IF(_xlfn.XLOOKUP($B97,'ELC TECH'!$H:$H,'ELC TECH'!$E:$E)="Storage",CX$4*$BF97,"")</f>
        <v/>
      </c>
      <c r="CY97" s="8" t="str">
        <f>IF(_xlfn.XLOOKUP($B97,'ELC TECH'!$H:$H,'ELC TECH'!$E:$E)="Storage",CY$4*$BF97,"")</f>
        <v/>
      </c>
      <c r="CZ97" s="8" t="str">
        <f>IF(_xlfn.XLOOKUP($B97,'ELC TECH'!$H:$H,'ELC TECH'!$E:$E)="Storage",CZ$4*$BF97,"")</f>
        <v/>
      </c>
      <c r="DA97" s="8" t="str">
        <f>IF(_xlfn.XLOOKUP($B97,'ELC TECH'!$H:$H,'ELC TECH'!$E:$E)="Storage",DA$4*$BF97,"")</f>
        <v/>
      </c>
      <c r="DB97" s="8" t="str">
        <f>IF(_xlfn.XLOOKUP($B97,'ELC TECH'!$H:$H,'ELC TECH'!$E:$E)="Storage",DB$4*$BF97,"")</f>
        <v/>
      </c>
      <c r="DC97" s="8" t="str">
        <f>IF(_xlfn.XLOOKUP($B97,'ELC TECH'!$H:$H,'ELC TECH'!$E:$E)="Storage",DC$4*$BF97,"")</f>
        <v/>
      </c>
      <c r="DD97" s="8" t="str">
        <f>IF(_xlfn.XLOOKUP($B97,'ELC TECH'!$H:$H,'ELC TECH'!$E:$E)="Storage",DD$4*$BF97,"")</f>
        <v/>
      </c>
      <c r="DE97" s="8" t="str">
        <f>IF(_xlfn.XLOOKUP($B97,'ELC TECH'!$H:$H,'ELC TECH'!$E:$E)="Storage",DE$4*$BF97,"")</f>
        <v/>
      </c>
      <c r="DF97" s="8" t="str">
        <f>IF(_xlfn.XLOOKUP($B97,'ELC TECH'!$H:$H,'ELC TECH'!$E:$E)="Storage",DF$4*$BF97,"")</f>
        <v/>
      </c>
      <c r="DG97" s="8" t="str">
        <f>IF(_xlfn.XLOOKUP($B97,'ELC TECH'!$H:$H,'ELC TECH'!$E:$E)="Storage",DG$4*$BF97,"")</f>
        <v/>
      </c>
      <c r="DH97" s="8" t="str">
        <f>IF(_xlfn.XLOOKUP($B97,'ELC TECH'!$H:$H,'ELC TECH'!$E:$E)="Storage",DH$4*$BF97,"")</f>
        <v/>
      </c>
      <c r="DI97" s="8" t="str">
        <f>IF(_xlfn.XLOOKUP($B97,'ELC TECH'!$H:$H,'ELC TECH'!$E:$E)="Storage",DI$4*$BF97,"")</f>
        <v/>
      </c>
    </row>
    <row r="98" spans="2:113" x14ac:dyDescent="0.25">
      <c r="B98" t="str">
        <f>IF('ELC TECH'!I91=0,"*",'ELC TECH'!H91)</f>
        <v>ELCWNDGRDWOFC520</v>
      </c>
      <c r="C98" t="str">
        <f>IF(_xlfn.XLOOKUP(_xlfn.XLOOKUP(B98,'ELC TECH'!$H:$H,'ELC TECH'!$G:$G),List!C:C,List!B:B)="STG",D98,"ELC"&amp;_xlfn.XLOOKUP(_xlfn.XLOOKUP(B98,'ELC TECH'!H:H,'ELC TECH'!G:G),List!C:C,List!B:B))</f>
        <v>ELCWND</v>
      </c>
      <c r="D98" t="s">
        <v>544</v>
      </c>
      <c r="E98">
        <f>_xlfn.XLOOKUP(B98,'ELC TECH'!H:H,'ELC TECH'!D:D)</f>
        <v>2020</v>
      </c>
      <c r="F98">
        <f>_xlfn.XLOOKUP(B98,'ELC TECH'!H:H,'ELC TECH'!K:K)</f>
        <v>30</v>
      </c>
      <c r="G98">
        <f t="shared" si="6"/>
        <v>31.535999999999998</v>
      </c>
      <c r="H98">
        <f>IF(_xlfn.XLOOKUP(B98,'ELC TECH'!$H:$H,'ELC TECH'!$E:$E)="Storage",0.3,IF(_xlfn.XLOOKUP(B98,'ELC TECH'!$H:$H,'ELC TECH'!$E:$E)="Baseload",0.9,IF(_xlfn.XLOOKUP(B98,'ELC TECH'!$H:$H,'ELC TECH'!$E:$E)="Non Dispatchable",0.05,IF(_xlfn.XLOOKUP(B98,'ELC TECH'!$H:$H,'ELC TECH'!$E:$E)="Dispatchable",0.9,1))))</f>
        <v>0.05</v>
      </c>
      <c r="I98" s="13">
        <f>IF(_xlfn.XLOOKUP(B98,'ELC TECH'!H:H,'ELC TECH'!J:J)="","",_xlfn.XLOOKUP(B98,'ELC TECH'!H:H,'ELC TECH'!J:J))</f>
        <v>0</v>
      </c>
      <c r="J98" s="12">
        <f>IF(_xlfn.XLOOKUP($B98,'ELC TECH'!$H:$H,'ELC TECH'!$E:$E)="Storage","",IF(_xlfn.XLOOKUP($B98,'ELC TECH'!$H:$H,'ELC TECH'!AK:AK)="",1,_xlfn.XLOOKUP($B98,'ELC TECH'!$H:$H,'ELC TECH'!AK:AK)))</f>
        <v>1</v>
      </c>
      <c r="K98" s="12">
        <f>IF(_xlfn.XLOOKUP($B98,'ELC TECH'!$H:$H,'ELC TECH'!$E:$E)="Storage","",IF(_xlfn.XLOOKUP($B98,'ELC TECH'!$H:$H,'ELC TECH'!AL:AL)="",1,_xlfn.XLOOKUP($B98,'ELC TECH'!$H:$H,'ELC TECH'!AL:AL)))</f>
        <v>1</v>
      </c>
      <c r="L98" s="12">
        <f>IF(_xlfn.XLOOKUP($B98,'ELC TECH'!$H:$H,'ELC TECH'!$E:$E)="Storage","",IF(_xlfn.XLOOKUP($B98,'ELC TECH'!$H:$H,'ELC TECH'!AM:AM)="",1,_xlfn.XLOOKUP($B98,'ELC TECH'!$H:$H,'ELC TECH'!AM:AM)))</f>
        <v>1</v>
      </c>
      <c r="M98" s="12">
        <f>IF(_xlfn.XLOOKUP($B98,'ELC TECH'!$H:$H,'ELC TECH'!$E:$E)="Storage","",IF(_xlfn.XLOOKUP($B98,'ELC TECH'!$H:$H,'ELC TECH'!AN:AN)="",1,_xlfn.XLOOKUP($B98,'ELC TECH'!$H:$H,'ELC TECH'!AN:AN)))</f>
        <v>1</v>
      </c>
      <c r="N98" s="12">
        <f>IF(_xlfn.XLOOKUP($B98,'ELC TECH'!$H:$H,'ELC TECH'!$E:$E)="Storage","",IF(_xlfn.XLOOKUP($B98,'ELC TECH'!$H:$H,'ELC TECH'!AO:AO)="",1,_xlfn.XLOOKUP($B98,'ELC TECH'!$H:$H,'ELC TECH'!AO:AO)))</f>
        <v>1</v>
      </c>
      <c r="O98" s="12">
        <f>IF(_xlfn.XLOOKUP($B98,'ELC TECH'!$H:$H,'ELC TECH'!$E:$E)="Storage","",IF(_xlfn.XLOOKUP($B98,'ELC TECH'!$H:$H,'ELC TECH'!AP:AP)="",1,_xlfn.XLOOKUP($B98,'ELC TECH'!$H:$H,'ELC TECH'!AP:AP)))</f>
        <v>1</v>
      </c>
      <c r="P98" s="12">
        <f>IF(_xlfn.XLOOKUP($B98,'ELC TECH'!$H:$H,'ELC TECH'!$E:$E)="Storage","",IF(_xlfn.XLOOKUP($B98,'ELC TECH'!$H:$H,'ELC TECH'!AQ:AQ)="",1,_xlfn.XLOOKUP($B98,'ELC TECH'!$H:$H,'ELC TECH'!AQ:AQ)))</f>
        <v>1</v>
      </c>
      <c r="Q98" s="12">
        <f>IF(_xlfn.XLOOKUP($B98,'ELC TECH'!$H:$H,'ELC TECH'!$E:$E)="Storage","",IF(_xlfn.XLOOKUP($B98,'ELC TECH'!$H:$H,'ELC TECH'!AR:AR)="",1,_xlfn.XLOOKUP($B98,'ELC TECH'!$H:$H,'ELC TECH'!AR:AR)))</f>
        <v>1</v>
      </c>
      <c r="R98" s="12" t="str">
        <f>IF(_xlfn.XLOOKUP($B98,'ELC TECH'!$H:$H,'ELC TECH'!$E:$E)&lt;&gt;"Storage","",IF(_xlfn.XLOOKUP($B98,'ELC TECH'!$H:$H,'ELC TECH'!AK:AK)="",0.8,_xlfn.XLOOKUP($B98,'ELC TECH'!$H:$H,'ELC TECH'!AK:AK)))</f>
        <v/>
      </c>
      <c r="S98" s="12" t="str">
        <f>IF(_xlfn.XLOOKUP($B98,'ELC TECH'!$H:$H,'ELC TECH'!$E:$E)&lt;&gt;"Storage","",IF(_xlfn.XLOOKUP($B98,'ELC TECH'!$H:$H,'ELC TECH'!AL:AL)="",0.8,_xlfn.XLOOKUP($B98,'ELC TECH'!$H:$H,'ELC TECH'!AL:AL)))</f>
        <v/>
      </c>
      <c r="T98" s="12" t="str">
        <f>IF(_xlfn.XLOOKUP($B98,'ELC TECH'!$H:$H,'ELC TECH'!$E:$E)&lt;&gt;"Storage","",IF(_xlfn.XLOOKUP($B98,'ELC TECH'!$H:$H,'ELC TECH'!AM:AM)="",0.8,_xlfn.XLOOKUP($B98,'ELC TECH'!$H:$H,'ELC TECH'!AM:AM)))</f>
        <v/>
      </c>
      <c r="U98" s="12" t="str">
        <f>IF(_xlfn.XLOOKUP($B98,'ELC TECH'!$H:$H,'ELC TECH'!$E:$E)&lt;&gt;"Storage","",IF(_xlfn.XLOOKUP($B98,'ELC TECH'!$H:$H,'ELC TECH'!AN:AN)="",0.8,_xlfn.XLOOKUP($B98,'ELC TECH'!$H:$H,'ELC TECH'!AN:AN)))</f>
        <v/>
      </c>
      <c r="V98" s="12" t="str">
        <f>IF(_xlfn.XLOOKUP($B98,'ELC TECH'!$H:$H,'ELC TECH'!$E:$E)&lt;&gt;"Storage","",IF(_xlfn.XLOOKUP($B98,'ELC TECH'!$H:$H,'ELC TECH'!AO:AO)="",0.8,_xlfn.XLOOKUP($B98,'ELC TECH'!$H:$H,'ELC TECH'!AO:AO)))</f>
        <v/>
      </c>
      <c r="W98" s="12" t="str">
        <f>IF(_xlfn.XLOOKUP($B98,'ELC TECH'!$H:$H,'ELC TECH'!$E:$E)&lt;&gt;"Storage","",IF(_xlfn.XLOOKUP($B98,'ELC TECH'!$H:$H,'ELC TECH'!AP:AP)="",0.8,_xlfn.XLOOKUP($B98,'ELC TECH'!$H:$H,'ELC TECH'!AP:AP)))</f>
        <v/>
      </c>
      <c r="X98" s="12" t="str">
        <f>IF(_xlfn.XLOOKUP($B98,'ELC TECH'!$H:$H,'ELC TECH'!$E:$E)&lt;&gt;"Storage","",IF(_xlfn.XLOOKUP($B98,'ELC TECH'!$H:$H,'ELC TECH'!AQ:AQ)="",0.8,_xlfn.XLOOKUP($B98,'ELC TECH'!$H:$H,'ELC TECH'!AQ:AQ)))</f>
        <v/>
      </c>
      <c r="Y98" s="12" t="str">
        <f>IF(_xlfn.XLOOKUP($B98,'ELC TECH'!$H:$H,'ELC TECH'!$E:$E)&lt;&gt;"Storage","",IF(_xlfn.XLOOKUP($B98,'ELC TECH'!$H:$H,'ELC TECH'!AR:AR)="",0.8,_xlfn.XLOOKUP($B98,'ELC TECH'!$H:$H,'ELC TECH'!AR:AR)))</f>
        <v/>
      </c>
      <c r="Z98" s="15">
        <f>_xlfn.XLOOKUP($B98,'ELC TECH'!$H:$H,'ELC TECH'!M:M)</f>
        <v>2842.9528636346408</v>
      </c>
      <c r="AA98" s="15">
        <f>_xlfn.XLOOKUP($B98,'ELC TECH'!$H:$H,'ELC TECH'!N:N)</f>
        <v>2479.791215252797</v>
      </c>
      <c r="AB98" s="15">
        <f>_xlfn.XLOOKUP($B98,'ELC TECH'!$H:$H,'ELC TECH'!O:O)</f>
        <v>2279.4245528384158</v>
      </c>
      <c r="AC98" s="15">
        <f>_xlfn.XLOOKUP($B98,'ELC TECH'!$H:$H,'ELC TECH'!P:P)</f>
        <v>2155.564395674151</v>
      </c>
      <c r="AD98" s="15">
        <f>_xlfn.XLOOKUP($B98,'ELC TECH'!$H:$H,'ELC TECH'!Q:Q)</f>
        <v>2065.6729049414512</v>
      </c>
      <c r="AE98" s="15">
        <f>_xlfn.XLOOKUP($B98,'ELC TECH'!$H:$H,'ELC TECH'!R:R)</f>
        <v>1995.0730007569221</v>
      </c>
      <c r="AF98" s="15">
        <f>_xlfn.XLOOKUP($B98,'ELC TECH'!$H:$H,'ELC TECH'!S:S)</f>
        <v>1936.929882364024</v>
      </c>
      <c r="AG98" s="15">
        <f>_xlfn.XLOOKUP($B98,'ELC TECH'!$H:$H,'ELC TECH'!T:T)</f>
        <v>1936.929882364024</v>
      </c>
      <c r="AH98" s="15">
        <f>_xlfn.XLOOKUP($B98,'ELC TECH'!$H:$H,'ELC TECH'!U:U)</f>
        <v>130.83802239727379</v>
      </c>
      <c r="AI98" s="15">
        <f>_xlfn.XLOOKUP($B98,'ELC TECH'!$H:$H,'ELC TECH'!V:V)</f>
        <v>116.218333779144</v>
      </c>
      <c r="AJ98" s="15">
        <f>_xlfn.XLOOKUP($B98,'ELC TECH'!$H:$H,'ELC TECH'!W:W)</f>
        <v>105.97812320414999</v>
      </c>
      <c r="AK98" s="15">
        <f>_xlfn.XLOOKUP($B98,'ELC TECH'!$H:$H,'ELC TECH'!X:X)</f>
        <v>99.114394551491344</v>
      </c>
      <c r="AL98" s="15">
        <f>_xlfn.XLOOKUP($B98,'ELC TECH'!$H:$H,'ELC TECH'!Y:Y)</f>
        <v>93.944332391160458</v>
      </c>
      <c r="AM98" s="15">
        <f>_xlfn.XLOOKUP($B98,'ELC TECH'!$H:$H,'ELC TECH'!Z:Z)</f>
        <v>89.795367596216025</v>
      </c>
      <c r="AN98" s="15">
        <f>_xlfn.XLOOKUP($B98,'ELC TECH'!$H:$H,'ELC TECH'!AA:AA)</f>
        <v>86.329928341385965</v>
      </c>
      <c r="AO98" s="15">
        <f>_xlfn.XLOOKUP($B98,'ELC TECH'!$H:$H,'ELC TECH'!AB:AB)</f>
        <v>86.329928341385965</v>
      </c>
      <c r="AP98" s="15">
        <f>_xlfn.XLOOKUP($B98,'ELC TECH'!$H:$H,'ELC TECH'!AC:AC)</f>
        <v>0</v>
      </c>
      <c r="AQ98" s="15">
        <f>_xlfn.XLOOKUP($B98,'ELC TECH'!$H:$H,'ELC TECH'!AD:AD)</f>
        <v>0</v>
      </c>
      <c r="AR98" s="15">
        <f>_xlfn.XLOOKUP($B98,'ELC TECH'!$H:$H,'ELC TECH'!AE:AE)</f>
        <v>0</v>
      </c>
      <c r="AS98" s="15">
        <f>_xlfn.XLOOKUP($B98,'ELC TECH'!$H:$H,'ELC TECH'!AF:AF)</f>
        <v>0</v>
      </c>
      <c r="AT98" s="15">
        <f>_xlfn.XLOOKUP($B98,'ELC TECH'!$H:$H,'ELC TECH'!AG:AG)</f>
        <v>0</v>
      </c>
      <c r="AU98" s="15">
        <f>_xlfn.XLOOKUP($B98,'ELC TECH'!$H:$H,'ELC TECH'!AH:AH)</f>
        <v>0</v>
      </c>
      <c r="AV98" s="15">
        <f>_xlfn.XLOOKUP($B98,'ELC TECH'!$H:$H,'ELC TECH'!AI:AI)</f>
        <v>0</v>
      </c>
      <c r="AW98" s="15">
        <f>_xlfn.XLOOKUP($B98,'ELC TECH'!$H:$H,'ELC TECH'!AJ:AJ)</f>
        <v>0</v>
      </c>
      <c r="AX98" s="12">
        <f>IF(_xlfn.XLOOKUP($B98,'ELC TECH'!$H:$H,'ELC TECH'!$E:$E)="Storage","",_xlfn.XLOOKUP($B98,'ELC TECH'!$H:$H,'ELC TECH'!AS:AS))</f>
        <v>0.44582431597709798</v>
      </c>
      <c r="AY98" s="12">
        <f>IF(_xlfn.XLOOKUP($B98,'ELC TECH'!$H:$H,'ELC TECH'!$E:$E)="Storage","",_xlfn.XLOOKUP($B98,'ELC TECH'!$H:$H,'ELC TECH'!AT:AT))</f>
        <v>0.46823059613210599</v>
      </c>
      <c r="AZ98" s="12">
        <f>IF(_xlfn.XLOOKUP($B98,'ELC TECH'!$H:$H,'ELC TECH'!$E:$E)="Storage","",_xlfn.XLOOKUP($B98,'ELC TECH'!$H:$H,'ELC TECH'!AU:AU))</f>
        <v>0.49051956807077801</v>
      </c>
      <c r="BA98" s="12">
        <f>IF(_xlfn.XLOOKUP($B98,'ELC TECH'!$H:$H,'ELC TECH'!$E:$E)="Storage","",_xlfn.XLOOKUP($B98,'ELC TECH'!$H:$H,'ELC TECH'!AV:AV))</f>
        <v>0.500405163457464</v>
      </c>
      <c r="BB98" s="12">
        <f>IF(_xlfn.XLOOKUP($B98,'ELC TECH'!$H:$H,'ELC TECH'!$E:$E)="Storage","",_xlfn.XLOOKUP($B98,'ELC TECH'!$H:$H,'ELC TECH'!AW:AW))</f>
        <v>0.50908520868034801</v>
      </c>
      <c r="BC98" s="12">
        <f>IF(_xlfn.XLOOKUP($B98,'ELC TECH'!$H:$H,'ELC TECH'!$E:$E)="Storage","",_xlfn.XLOOKUP($B98,'ELC TECH'!$H:$H,'ELC TECH'!AX:AX))</f>
        <v>0.51703843779057101</v>
      </c>
      <c r="BD98" s="12">
        <f>IF(_xlfn.XLOOKUP($B98,'ELC TECH'!$H:$H,'ELC TECH'!$E:$E)="Storage","",_xlfn.XLOOKUP($B98,'ELC TECH'!$H:$H,'ELC TECH'!AY:AY))</f>
        <v>0.524505134085402</v>
      </c>
      <c r="BE98" s="12">
        <f>IF(_xlfn.XLOOKUP($B98,'ELC TECH'!$H:$H,'ELC TECH'!$E:$E)="Storage","",_xlfn.XLOOKUP($B98,'ELC TECH'!$H:$H,'ELC TECH'!AZ:AZ))</f>
        <v>0.524505134085402</v>
      </c>
      <c r="BF98" s="12" t="str">
        <f>IF(_xlfn.XLOOKUP($B98,'ELC TECH'!$H:$H,'ELC TECH'!$E:$E)="Storage",_xlfn.XLOOKUP($B98,'ELC TECH'!$H:$H,'ELC TECH'!AS:AS),"")</f>
        <v/>
      </c>
      <c r="BG98" s="12" t="str">
        <f>IF(_xlfn.XLOOKUP($B98,'ELC TECH'!$H:$H,'ELC TECH'!$E:$E)="Storage",_xlfn.XLOOKUP($B98,'ELC TECH'!$H:$H,'ELC TECH'!AT:AT),"")</f>
        <v/>
      </c>
      <c r="BH98" s="12" t="str">
        <f>IF(_xlfn.XLOOKUP($B98,'ELC TECH'!$H:$H,'ELC TECH'!$E:$E)="Storage",_xlfn.XLOOKUP($B98,'ELC TECH'!$H:$H,'ELC TECH'!AU:AU),"")</f>
        <v/>
      </c>
      <c r="BI98" s="12" t="str">
        <f>IF(_xlfn.XLOOKUP($B98,'ELC TECH'!$H:$H,'ELC TECH'!$E:$E)="Storage",_xlfn.XLOOKUP($B98,'ELC TECH'!$H:$H,'ELC TECH'!AV:AV),"")</f>
        <v/>
      </c>
      <c r="BJ98" s="12" t="str">
        <f>IF(_xlfn.XLOOKUP($B98,'ELC TECH'!$H:$H,'ELC TECH'!$E:$E)="Storage",_xlfn.XLOOKUP($B98,'ELC TECH'!$H:$H,'ELC TECH'!AW:AW),"")</f>
        <v/>
      </c>
      <c r="BK98" s="12" t="str">
        <f>IF(_xlfn.XLOOKUP($B98,'ELC TECH'!$H:$H,'ELC TECH'!$E:$E)="Storage",_xlfn.XLOOKUP($B98,'ELC TECH'!$H:$H,'ELC TECH'!AX:AX),"")</f>
        <v/>
      </c>
      <c r="BL98" s="12" t="str">
        <f>IF(_xlfn.XLOOKUP($B98,'ELC TECH'!$H:$H,'ELC TECH'!$E:$E)="Storage",_xlfn.XLOOKUP($B98,'ELC TECH'!$H:$H,'ELC TECH'!AY:AY),"")</f>
        <v/>
      </c>
      <c r="BM98" s="12" t="str">
        <f>IF(_xlfn.XLOOKUP($B98,'ELC TECH'!$H:$H,'ELC TECH'!$E:$E)="Storage",_xlfn.XLOOKUP($B98,'ELC TECH'!$H:$H,'ELC TECH'!AZ:AZ),"")</f>
        <v/>
      </c>
      <c r="BN98" s="8">
        <f>IF(_xlfn.XLOOKUP($B98,'ELC TECH'!$H:$H,'ELC TECH'!$E:$E)="Non Dispatchable",IFERROR($AX98*_xlfn.XLOOKUP($C98,$BM$1:$BM$3,BN$1:BN$3)/SUMPRODUCT(_xlfn.XLOOKUP($C98,$BM$1:$BM$3,$BN$1:$BY$3),$BN$4:$BY$4),""),
"")</f>
        <v>0.78286816831966022</v>
      </c>
      <c r="BO98" s="8">
        <f>IF(_xlfn.XLOOKUP($B98,'ELC TECH'!$H:$H,'ELC TECH'!$E:$E)="Non Dispatchable",IFERROR($AX98*_xlfn.XLOOKUP($C98,$BM$1:$BM$3,BO$1:BO$3)/SUMPRODUCT(_xlfn.XLOOKUP($C98,$BM$1:$BM$3,$BN$1:$BY$3),$BN$4:$BY$4),""),
"")</f>
        <v>0.78286816831966022</v>
      </c>
      <c r="BP98" s="8">
        <f>IF(_xlfn.XLOOKUP($B98,'ELC TECH'!$H:$H,'ELC TECH'!$E:$E)="Non Dispatchable",IFERROR($AX98*_xlfn.XLOOKUP($C98,$BM$1:$BM$3,BP$1:BP$3)/SUMPRODUCT(_xlfn.XLOOKUP($C98,$BM$1:$BM$3,$BN$1:$BY$3),$BN$4:$BY$4),""),
"")</f>
        <v>7.8286816831966019E-2</v>
      </c>
      <c r="BQ98" s="8">
        <f>IF(_xlfn.XLOOKUP($B98,'ELC TECH'!$H:$H,'ELC TECH'!$E:$E)="Non Dispatchable",IFERROR($AX98*_xlfn.XLOOKUP($C98,$BM$1:$BM$3,BQ$1:BQ$3)/SUMPRODUCT(_xlfn.XLOOKUP($C98,$BM$1:$BM$3,$BN$1:$BY$3),$BN$4:$BY$4),""),
"")</f>
        <v>0.62727927449009269</v>
      </c>
      <c r="BR98" s="8">
        <f>IF(_xlfn.XLOOKUP($B98,'ELC TECH'!$H:$H,'ELC TECH'!$E:$E)="Non Dispatchable",IFERROR($AX98*_xlfn.XLOOKUP($C98,$BM$1:$BM$3,BR$1:BR$3)/SUMPRODUCT(_xlfn.XLOOKUP($C98,$BM$1:$BM$3,$BN$1:$BY$3),$BN$4:$BY$4),""),
"")</f>
        <v>0.91097386859015028</v>
      </c>
      <c r="BS98" s="8">
        <f>IF(_xlfn.XLOOKUP($B98,'ELC TECH'!$H:$H,'ELC TECH'!$E:$E)="Non Dispatchable",IFERROR($AX98*_xlfn.XLOOKUP($C98,$BM$1:$BM$3,BS$1:BS$3)/SUMPRODUCT(_xlfn.XLOOKUP($C98,$BM$1:$BM$3,$BN$1:$BY$3),$BN$4:$BY$4),""),
"")</f>
        <v>0.91097386859015028</v>
      </c>
      <c r="BT98" s="8">
        <f>IF(_xlfn.XLOOKUP($B98,'ELC TECH'!$H:$H,'ELC TECH'!$E:$E)="Non Dispatchable",IFERROR($AX98*_xlfn.XLOOKUP($C98,$BM$1:$BM$3,BT$1:BT$3)/SUMPRODUCT(_xlfn.XLOOKUP($C98,$BM$1:$BM$3,$BN$1:$BY$3),$BN$4:$BY$4),""),
"")</f>
        <v>9.1097386859015042E-2</v>
      </c>
      <c r="BU98" s="8">
        <f>IF(_xlfn.XLOOKUP($B98,'ELC TECH'!$H:$H,'ELC TECH'!$E:$E)="Non Dispatchable",IFERROR($AX98*_xlfn.XLOOKUP($C98,$BM$1:$BM$3,BU$1:BU$3)/SUMPRODUCT(_xlfn.XLOOKUP($C98,$BM$1:$BM$3,$BN$1:$BY$3),$BN$4:$BY$4),""),
"")</f>
        <v>0.80718366730665703</v>
      </c>
      <c r="BV98" s="8">
        <f>IF(_xlfn.XLOOKUP($B98,'ELC TECH'!$H:$H,'ELC TECH'!$E:$E)="Non Dispatchable",IFERROR($AX98*_xlfn.XLOOKUP($C98,$BM$1:$BM$3,BV$1:BV$3)/SUMPRODUCT(_xlfn.XLOOKUP($C98,$BM$1:$BM$3,$BN$1:$BY$3),$BN$4:$BY$4),""),
"")</f>
        <v>0.47176612987855299</v>
      </c>
      <c r="BW98" s="8">
        <f>IF(_xlfn.XLOOKUP($B98,'ELC TECH'!$H:$H,'ELC TECH'!$E:$E)="Non Dispatchable",IFERROR($AX98*_xlfn.XLOOKUP($C98,$BM$1:$BM$3,BW$1:BW$3)/SUMPRODUCT(_xlfn.XLOOKUP($C98,$BM$1:$BM$3,$BN$1:$BY$3),$BN$4:$BY$4),""),
"")</f>
        <v>0.47176612987855299</v>
      </c>
      <c r="BX98" s="8">
        <f>IF(_xlfn.XLOOKUP($B98,'ELC TECH'!$H:$H,'ELC TECH'!$E:$E)="Non Dispatchable",IFERROR($AX98*_xlfn.XLOOKUP($C98,$BM$1:$BM$3,BX$1:BX$3)/SUMPRODUCT(_xlfn.XLOOKUP($C98,$BM$1:$BM$3,$BN$1:$BY$3),$BN$4:$BY$4),""),
"")</f>
        <v>4.7176612987855297E-2</v>
      </c>
      <c r="BY98" s="8">
        <f>IF(_xlfn.XLOOKUP($B98,'ELC TECH'!$H:$H,'ELC TECH'!$E:$E)="Non Dispatchable",IFERROR($AX98*_xlfn.XLOOKUP($C98,$BM$1:$BM$3,BY$1:BY$3)/SUMPRODUCT(_xlfn.XLOOKUP($C98,$BM$1:$BM$3,$BN$1:$BY$3),$BN$4:$BY$4),""),
"")</f>
        <v>0.34483798563377144</v>
      </c>
      <c r="BZ98" s="8">
        <f>IF(_xlfn.XLOOKUP($B98,'ELC TECH'!$H:$H,'ELC TECH'!$E:$E)="Non Dispatchable",IFERROR($AX98*_xlfn.XLOOKUP($C98,$BM$1:$BM$3,BZ$1:BZ$3)/SUMPRODUCT(_xlfn.XLOOKUP($C98,$BM$1:$BM$3,$BN$1:$BY$3),$BN$4:$BY$4),""),
"")</f>
        <v>0.78286816831966022</v>
      </c>
      <c r="CA98" s="8">
        <f>IF(_xlfn.XLOOKUP($B98,'ELC TECH'!$H:$H,'ELC TECH'!$E:$E)="Non Dispatchable",IFERROR($AX98*_xlfn.XLOOKUP($C98,$BM$1:$BM$3,CA$1:CA$3)/SUMPRODUCT(_xlfn.XLOOKUP($C98,$BM$1:$BM$3,$BN$1:$BY$3),$BN$4:$BY$4),""),
"")</f>
        <v>0.78286816831966022</v>
      </c>
      <c r="CB98" s="8">
        <f>IF(_xlfn.XLOOKUP($B98,'ELC TECH'!$H:$H,'ELC TECH'!$E:$E)="Non Dispatchable",IFERROR($AX98*_xlfn.XLOOKUP($C98,$BM$1:$BM$3,CB$1:CB$3)/SUMPRODUCT(_xlfn.XLOOKUP($C98,$BM$1:$BM$3,$BN$1:$BY$3),$BN$4:$BY$4),""),
"")</f>
        <v>7.8286816831966019E-2</v>
      </c>
      <c r="CC98" s="8">
        <f>IF(_xlfn.XLOOKUP($B98,'ELC TECH'!$H:$H,'ELC TECH'!$E:$E)="Non Dispatchable",IFERROR($AX98*_xlfn.XLOOKUP($C98,$BM$1:$BM$3,CC$1:CC$3)/SUMPRODUCT(_xlfn.XLOOKUP($C98,$BM$1:$BM$3,$BN$1:$BY$3),$BN$4:$BY$4),""),
"")</f>
        <v>0.62727927449009269</v>
      </c>
      <c r="CD98" s="8">
        <f>IF(_xlfn.XLOOKUP($B98,'ELC TECH'!$H:$H,'ELC TECH'!$E:$E)="Non Dispatchable",IFERROR($AX98*_xlfn.XLOOKUP($C98,$BM$1:$BM$3,CD$1:CD$3)/SUMPRODUCT(_xlfn.XLOOKUP($C98,$BM$1:$BM$3,$BN$1:$BY$3),$BN$4:$BY$4),""),
"")</f>
        <v>0.91097386859015028</v>
      </c>
      <c r="CE98" s="8">
        <f>IF(_xlfn.XLOOKUP($B98,'ELC TECH'!$H:$H,'ELC TECH'!$E:$E)="Non Dispatchable",IFERROR($AX98*_xlfn.XLOOKUP($C98,$BM$1:$BM$3,CE$1:CE$3)/SUMPRODUCT(_xlfn.XLOOKUP($C98,$BM$1:$BM$3,$BN$1:$BY$3),$BN$4:$BY$4),""),
"")</f>
        <v>0.91097386859015028</v>
      </c>
      <c r="CF98" s="8">
        <f>IF(_xlfn.XLOOKUP($B98,'ELC TECH'!$H:$H,'ELC TECH'!$E:$E)="Non Dispatchable",IFERROR($AX98*_xlfn.XLOOKUP($C98,$BM$1:$BM$3,CF$1:CF$3)/SUMPRODUCT(_xlfn.XLOOKUP($C98,$BM$1:$BM$3,$BN$1:$BY$3),$BN$4:$BY$4),""),
"")</f>
        <v>9.1097386859015042E-2</v>
      </c>
      <c r="CG98" s="8">
        <f>IF(_xlfn.XLOOKUP($B98,'ELC TECH'!$H:$H,'ELC TECH'!$E:$E)="Non Dispatchable",IFERROR($AX98*_xlfn.XLOOKUP($C98,$BM$1:$BM$3,CG$1:CG$3)/SUMPRODUCT(_xlfn.XLOOKUP($C98,$BM$1:$BM$3,$BN$1:$BY$3),$BN$4:$BY$4),""),
"")</f>
        <v>0.80718366730665703</v>
      </c>
      <c r="CH98" s="8">
        <f>IF(_xlfn.XLOOKUP($B98,'ELC TECH'!$H:$H,'ELC TECH'!$E:$E)="Non Dispatchable",IFERROR($AX98*_xlfn.XLOOKUP($C98,$BM$1:$BM$3,CH$1:CH$3)/SUMPRODUCT(_xlfn.XLOOKUP($C98,$BM$1:$BM$3,$BN$1:$BY$3),$BN$4:$BY$4),""),
"")</f>
        <v>0.47176612987855299</v>
      </c>
      <c r="CI98" s="8">
        <f>IF(_xlfn.XLOOKUP($B98,'ELC TECH'!$H:$H,'ELC TECH'!$E:$E)="Non Dispatchable",IFERROR($AX98*_xlfn.XLOOKUP($C98,$BM$1:$BM$3,CI$1:CI$3)/SUMPRODUCT(_xlfn.XLOOKUP($C98,$BM$1:$BM$3,$BN$1:$BY$3),$BN$4:$BY$4),""),
"")</f>
        <v>0.47176612987855299</v>
      </c>
      <c r="CJ98" s="8">
        <f>IF(_xlfn.XLOOKUP($B98,'ELC TECH'!$H:$H,'ELC TECH'!$E:$E)="Non Dispatchable",IFERROR($AX98*_xlfn.XLOOKUP($C98,$BM$1:$BM$3,CJ$1:CJ$3)/SUMPRODUCT(_xlfn.XLOOKUP($C98,$BM$1:$BM$3,$BN$1:$BY$3),$BN$4:$BY$4),""),
"")</f>
        <v>4.7176612987855297E-2</v>
      </c>
      <c r="CK98" s="8">
        <f>IF(_xlfn.XLOOKUP($B98,'ELC TECH'!$H:$H,'ELC TECH'!$E:$E)="Non Dispatchable",IFERROR($AX98*_xlfn.XLOOKUP($C98,$BM$1:$BM$3,CK$1:CK$3)/SUMPRODUCT(_xlfn.XLOOKUP($C98,$BM$1:$BM$3,$BN$1:$BY$3),$BN$4:$BY$4),""),
"")</f>
        <v>0.34483798563377144</v>
      </c>
      <c r="CL98" s="8" t="str">
        <f>IF(_xlfn.XLOOKUP($B98,'ELC TECH'!$H:$H,'ELC TECH'!$E:$E)="Storage",CL$4*$BF98,"")</f>
        <v/>
      </c>
      <c r="CM98" s="8" t="str">
        <f>IF(_xlfn.XLOOKUP($B98,'ELC TECH'!$H:$H,'ELC TECH'!$E:$E)="Storage",CM$4*$BF98,"")</f>
        <v/>
      </c>
      <c r="CN98" s="8" t="str">
        <f>IF(_xlfn.XLOOKUP($B98,'ELC TECH'!$H:$H,'ELC TECH'!$E:$E)="Storage",CN$4*$BF98,"")</f>
        <v/>
      </c>
      <c r="CO98" s="8" t="str">
        <f>IF(_xlfn.XLOOKUP($B98,'ELC TECH'!$H:$H,'ELC TECH'!$E:$E)="Storage",CO$4*$BF98,"")</f>
        <v/>
      </c>
      <c r="CP98" s="8" t="str">
        <f>IF(_xlfn.XLOOKUP($B98,'ELC TECH'!$H:$H,'ELC TECH'!$E:$E)="Storage",CP$4*$BF98,"")</f>
        <v/>
      </c>
      <c r="CQ98" s="8" t="str">
        <f>IF(_xlfn.XLOOKUP($B98,'ELC TECH'!$H:$H,'ELC TECH'!$E:$E)="Storage",CQ$4*$BF98,"")</f>
        <v/>
      </c>
      <c r="CR98" s="8" t="str">
        <f>IF(_xlfn.XLOOKUP($B98,'ELC TECH'!$H:$H,'ELC TECH'!$E:$E)="Storage",CR$4*$BF98,"")</f>
        <v/>
      </c>
      <c r="CS98" s="8" t="str">
        <f>IF(_xlfn.XLOOKUP($B98,'ELC TECH'!$H:$H,'ELC TECH'!$E:$E)="Storage",CS$4*$BF98,"")</f>
        <v/>
      </c>
      <c r="CT98" s="8" t="str">
        <f>IF(_xlfn.XLOOKUP($B98,'ELC TECH'!$H:$H,'ELC TECH'!$E:$E)="Storage",CT$4*$BF98,"")</f>
        <v/>
      </c>
      <c r="CU98" s="8" t="str">
        <f>IF(_xlfn.XLOOKUP($B98,'ELC TECH'!$H:$H,'ELC TECH'!$E:$E)="Storage",CU$4*$BF98,"")</f>
        <v/>
      </c>
      <c r="CV98" s="8" t="str">
        <f>IF(_xlfn.XLOOKUP($B98,'ELC TECH'!$H:$H,'ELC TECH'!$E:$E)="Storage",CV$4*$BF98,"")</f>
        <v/>
      </c>
      <c r="CW98" s="8" t="str">
        <f>IF(_xlfn.XLOOKUP($B98,'ELC TECH'!$H:$H,'ELC TECH'!$E:$E)="Storage",CW$4*$BF98,"")</f>
        <v/>
      </c>
      <c r="CX98" s="8" t="str">
        <f>IF(_xlfn.XLOOKUP($B98,'ELC TECH'!$H:$H,'ELC TECH'!$E:$E)="Storage",CX$4*$BF98,"")</f>
        <v/>
      </c>
      <c r="CY98" s="8" t="str">
        <f>IF(_xlfn.XLOOKUP($B98,'ELC TECH'!$H:$H,'ELC TECH'!$E:$E)="Storage",CY$4*$BF98,"")</f>
        <v/>
      </c>
      <c r="CZ98" s="8" t="str">
        <f>IF(_xlfn.XLOOKUP($B98,'ELC TECH'!$H:$H,'ELC TECH'!$E:$E)="Storage",CZ$4*$BF98,"")</f>
        <v/>
      </c>
      <c r="DA98" s="8" t="str">
        <f>IF(_xlfn.XLOOKUP($B98,'ELC TECH'!$H:$H,'ELC TECH'!$E:$E)="Storage",DA$4*$BF98,"")</f>
        <v/>
      </c>
      <c r="DB98" s="8" t="str">
        <f>IF(_xlfn.XLOOKUP($B98,'ELC TECH'!$H:$H,'ELC TECH'!$E:$E)="Storage",DB$4*$BF98,"")</f>
        <v/>
      </c>
      <c r="DC98" s="8" t="str">
        <f>IF(_xlfn.XLOOKUP($B98,'ELC TECH'!$H:$H,'ELC TECH'!$E:$E)="Storage",DC$4*$BF98,"")</f>
        <v/>
      </c>
      <c r="DD98" s="8" t="str">
        <f>IF(_xlfn.XLOOKUP($B98,'ELC TECH'!$H:$H,'ELC TECH'!$E:$E)="Storage",DD$4*$BF98,"")</f>
        <v/>
      </c>
      <c r="DE98" s="8" t="str">
        <f>IF(_xlfn.XLOOKUP($B98,'ELC TECH'!$H:$H,'ELC TECH'!$E:$E)="Storage",DE$4*$BF98,"")</f>
        <v/>
      </c>
      <c r="DF98" s="8" t="str">
        <f>IF(_xlfn.XLOOKUP($B98,'ELC TECH'!$H:$H,'ELC TECH'!$E:$E)="Storage",DF$4*$BF98,"")</f>
        <v/>
      </c>
      <c r="DG98" s="8" t="str">
        <f>IF(_xlfn.XLOOKUP($B98,'ELC TECH'!$H:$H,'ELC TECH'!$E:$E)="Storage",DG$4*$BF98,"")</f>
        <v/>
      </c>
      <c r="DH98" s="8" t="str">
        <f>IF(_xlfn.XLOOKUP($B98,'ELC TECH'!$H:$H,'ELC TECH'!$E:$E)="Storage",DH$4*$BF98,"")</f>
        <v/>
      </c>
      <c r="DI98" s="8" t="str">
        <f>IF(_xlfn.XLOOKUP($B98,'ELC TECH'!$H:$H,'ELC TECH'!$E:$E)="Storage",DI$4*$BF98,"")</f>
        <v/>
      </c>
    </row>
    <row r="99" spans="2:113" x14ac:dyDescent="0.25">
      <c r="B99" t="str">
        <f>IF('ELC TECH'!I92=0,"*",'ELC TECH'!H92)</f>
        <v>ELCWNDGRDWOFC620</v>
      </c>
      <c r="C99" t="str">
        <f>IF(_xlfn.XLOOKUP(_xlfn.XLOOKUP(B99,'ELC TECH'!$H:$H,'ELC TECH'!$G:$G),List!C:C,List!B:B)="STG",D99,"ELC"&amp;_xlfn.XLOOKUP(_xlfn.XLOOKUP(B99,'ELC TECH'!H:H,'ELC TECH'!G:G),List!C:C,List!B:B))</f>
        <v>ELCWND</v>
      </c>
      <c r="D99" t="s">
        <v>544</v>
      </c>
      <c r="E99">
        <f>_xlfn.XLOOKUP(B99,'ELC TECH'!H:H,'ELC TECH'!D:D)</f>
        <v>2020</v>
      </c>
      <c r="F99">
        <f>_xlfn.XLOOKUP(B99,'ELC TECH'!H:H,'ELC TECH'!K:K)</f>
        <v>30</v>
      </c>
      <c r="G99">
        <f t="shared" si="6"/>
        <v>31.535999999999998</v>
      </c>
      <c r="H99">
        <f>IF(_xlfn.XLOOKUP(B99,'ELC TECH'!$H:$H,'ELC TECH'!$E:$E)="Storage",0.3,IF(_xlfn.XLOOKUP(B99,'ELC TECH'!$H:$H,'ELC TECH'!$E:$E)="Baseload",0.9,IF(_xlfn.XLOOKUP(B99,'ELC TECH'!$H:$H,'ELC TECH'!$E:$E)="Non Dispatchable",0.05,IF(_xlfn.XLOOKUP(B99,'ELC TECH'!$H:$H,'ELC TECH'!$E:$E)="Dispatchable",0.9,1))))</f>
        <v>0.05</v>
      </c>
      <c r="I99" s="13">
        <f>IF(_xlfn.XLOOKUP(B99,'ELC TECH'!H:H,'ELC TECH'!J:J)="","",_xlfn.XLOOKUP(B99,'ELC TECH'!H:H,'ELC TECH'!J:J))</f>
        <v>0</v>
      </c>
      <c r="J99" s="12">
        <f>IF(_xlfn.XLOOKUP($B99,'ELC TECH'!$H:$H,'ELC TECH'!$E:$E)="Storage","",IF(_xlfn.XLOOKUP($B99,'ELC TECH'!$H:$H,'ELC TECH'!AK:AK)="",1,_xlfn.XLOOKUP($B99,'ELC TECH'!$H:$H,'ELC TECH'!AK:AK)))</f>
        <v>1</v>
      </c>
      <c r="K99" s="12">
        <f>IF(_xlfn.XLOOKUP($B99,'ELC TECH'!$H:$H,'ELC TECH'!$E:$E)="Storage","",IF(_xlfn.XLOOKUP($B99,'ELC TECH'!$H:$H,'ELC TECH'!AL:AL)="",1,_xlfn.XLOOKUP($B99,'ELC TECH'!$H:$H,'ELC TECH'!AL:AL)))</f>
        <v>1</v>
      </c>
      <c r="L99" s="12">
        <f>IF(_xlfn.XLOOKUP($B99,'ELC TECH'!$H:$H,'ELC TECH'!$E:$E)="Storage","",IF(_xlfn.XLOOKUP($B99,'ELC TECH'!$H:$H,'ELC TECH'!AM:AM)="",1,_xlfn.XLOOKUP($B99,'ELC TECH'!$H:$H,'ELC TECH'!AM:AM)))</f>
        <v>1</v>
      </c>
      <c r="M99" s="12">
        <f>IF(_xlfn.XLOOKUP($B99,'ELC TECH'!$H:$H,'ELC TECH'!$E:$E)="Storage","",IF(_xlfn.XLOOKUP($B99,'ELC TECH'!$H:$H,'ELC TECH'!AN:AN)="",1,_xlfn.XLOOKUP($B99,'ELC TECH'!$H:$H,'ELC TECH'!AN:AN)))</f>
        <v>1</v>
      </c>
      <c r="N99" s="12">
        <f>IF(_xlfn.XLOOKUP($B99,'ELC TECH'!$H:$H,'ELC TECH'!$E:$E)="Storage","",IF(_xlfn.XLOOKUP($B99,'ELC TECH'!$H:$H,'ELC TECH'!AO:AO)="",1,_xlfn.XLOOKUP($B99,'ELC TECH'!$H:$H,'ELC TECH'!AO:AO)))</f>
        <v>1</v>
      </c>
      <c r="O99" s="12">
        <f>IF(_xlfn.XLOOKUP($B99,'ELC TECH'!$H:$H,'ELC TECH'!$E:$E)="Storage","",IF(_xlfn.XLOOKUP($B99,'ELC TECH'!$H:$H,'ELC TECH'!AP:AP)="",1,_xlfn.XLOOKUP($B99,'ELC TECH'!$H:$H,'ELC TECH'!AP:AP)))</f>
        <v>1</v>
      </c>
      <c r="P99" s="12">
        <f>IF(_xlfn.XLOOKUP($B99,'ELC TECH'!$H:$H,'ELC TECH'!$E:$E)="Storage","",IF(_xlfn.XLOOKUP($B99,'ELC TECH'!$H:$H,'ELC TECH'!AQ:AQ)="",1,_xlfn.XLOOKUP($B99,'ELC TECH'!$H:$H,'ELC TECH'!AQ:AQ)))</f>
        <v>1</v>
      </c>
      <c r="Q99" s="12">
        <f>IF(_xlfn.XLOOKUP($B99,'ELC TECH'!$H:$H,'ELC TECH'!$E:$E)="Storage","",IF(_xlfn.XLOOKUP($B99,'ELC TECH'!$H:$H,'ELC TECH'!AR:AR)="",1,_xlfn.XLOOKUP($B99,'ELC TECH'!$H:$H,'ELC TECH'!AR:AR)))</f>
        <v>1</v>
      </c>
      <c r="R99" s="12" t="str">
        <f>IF(_xlfn.XLOOKUP($B99,'ELC TECH'!$H:$H,'ELC TECH'!$E:$E)&lt;&gt;"Storage","",IF(_xlfn.XLOOKUP($B99,'ELC TECH'!$H:$H,'ELC TECH'!AK:AK)="",0.8,_xlfn.XLOOKUP($B99,'ELC TECH'!$H:$H,'ELC TECH'!AK:AK)))</f>
        <v/>
      </c>
      <c r="S99" s="12" t="str">
        <f>IF(_xlfn.XLOOKUP($B99,'ELC TECH'!$H:$H,'ELC TECH'!$E:$E)&lt;&gt;"Storage","",IF(_xlfn.XLOOKUP($B99,'ELC TECH'!$H:$H,'ELC TECH'!AL:AL)="",0.8,_xlfn.XLOOKUP($B99,'ELC TECH'!$H:$H,'ELC TECH'!AL:AL)))</f>
        <v/>
      </c>
      <c r="T99" s="12" t="str">
        <f>IF(_xlfn.XLOOKUP($B99,'ELC TECH'!$H:$H,'ELC TECH'!$E:$E)&lt;&gt;"Storage","",IF(_xlfn.XLOOKUP($B99,'ELC TECH'!$H:$H,'ELC TECH'!AM:AM)="",0.8,_xlfn.XLOOKUP($B99,'ELC TECH'!$H:$H,'ELC TECH'!AM:AM)))</f>
        <v/>
      </c>
      <c r="U99" s="12" t="str">
        <f>IF(_xlfn.XLOOKUP($B99,'ELC TECH'!$H:$H,'ELC TECH'!$E:$E)&lt;&gt;"Storage","",IF(_xlfn.XLOOKUP($B99,'ELC TECH'!$H:$H,'ELC TECH'!AN:AN)="",0.8,_xlfn.XLOOKUP($B99,'ELC TECH'!$H:$H,'ELC TECH'!AN:AN)))</f>
        <v/>
      </c>
      <c r="V99" s="12" t="str">
        <f>IF(_xlfn.XLOOKUP($B99,'ELC TECH'!$H:$H,'ELC TECH'!$E:$E)&lt;&gt;"Storage","",IF(_xlfn.XLOOKUP($B99,'ELC TECH'!$H:$H,'ELC TECH'!AO:AO)="",0.8,_xlfn.XLOOKUP($B99,'ELC TECH'!$H:$H,'ELC TECH'!AO:AO)))</f>
        <v/>
      </c>
      <c r="W99" s="12" t="str">
        <f>IF(_xlfn.XLOOKUP($B99,'ELC TECH'!$H:$H,'ELC TECH'!$E:$E)&lt;&gt;"Storage","",IF(_xlfn.XLOOKUP($B99,'ELC TECH'!$H:$H,'ELC TECH'!AP:AP)="",0.8,_xlfn.XLOOKUP($B99,'ELC TECH'!$H:$H,'ELC TECH'!AP:AP)))</f>
        <v/>
      </c>
      <c r="X99" s="12" t="str">
        <f>IF(_xlfn.XLOOKUP($B99,'ELC TECH'!$H:$H,'ELC TECH'!$E:$E)&lt;&gt;"Storage","",IF(_xlfn.XLOOKUP($B99,'ELC TECH'!$H:$H,'ELC TECH'!AQ:AQ)="",0.8,_xlfn.XLOOKUP($B99,'ELC TECH'!$H:$H,'ELC TECH'!AQ:AQ)))</f>
        <v/>
      </c>
      <c r="Y99" s="12" t="str">
        <f>IF(_xlfn.XLOOKUP($B99,'ELC TECH'!$H:$H,'ELC TECH'!$E:$E)&lt;&gt;"Storage","",IF(_xlfn.XLOOKUP($B99,'ELC TECH'!$H:$H,'ELC TECH'!AR:AR)="",0.8,_xlfn.XLOOKUP($B99,'ELC TECH'!$H:$H,'ELC TECH'!AR:AR)))</f>
        <v/>
      </c>
      <c r="Z99" s="15">
        <f>_xlfn.XLOOKUP($B99,'ELC TECH'!$H:$H,'ELC TECH'!M:M)</f>
        <v>2869.2718499305552</v>
      </c>
      <c r="AA99" s="15">
        <f>_xlfn.XLOOKUP($B99,'ELC TECH'!$H:$H,'ELC TECH'!N:N)</f>
        <v>2502.7481878589092</v>
      </c>
      <c r="AB99" s="15">
        <f>_xlfn.XLOOKUP($B99,'ELC TECH'!$H:$H,'ELC TECH'!O:O)</f>
        <v>2300.5266063884669</v>
      </c>
      <c r="AC99" s="15">
        <f>_xlfn.XLOOKUP($B99,'ELC TECH'!$H:$H,'ELC TECH'!P:P)</f>
        <v>2175.5197985636541</v>
      </c>
      <c r="AD99" s="15">
        <f>_xlfn.XLOOKUP($B99,'ELC TECH'!$H:$H,'ELC TECH'!Q:Q)</f>
        <v>2084.7961262837439</v>
      </c>
      <c r="AE99" s="15">
        <f>_xlfn.XLOOKUP($B99,'ELC TECH'!$H:$H,'ELC TECH'!R:R)</f>
        <v>2013.5426347905791</v>
      </c>
      <c r="AF99" s="15">
        <f>_xlfn.XLOOKUP($B99,'ELC TECH'!$H:$H,'ELC TECH'!S:S)</f>
        <v>1954.861249317785</v>
      </c>
      <c r="AG99" s="15">
        <f>_xlfn.XLOOKUP($B99,'ELC TECH'!$H:$H,'ELC TECH'!T:T)</f>
        <v>1954.861249317785</v>
      </c>
      <c r="AH99" s="15">
        <f>_xlfn.XLOOKUP($B99,'ELC TECH'!$H:$H,'ELC TECH'!U:U)</f>
        <v>128.99069604663069</v>
      </c>
      <c r="AI99" s="15">
        <f>_xlfn.XLOOKUP($B99,'ELC TECH'!$H:$H,'ELC TECH'!V:V)</f>
        <v>114.5774255287416</v>
      </c>
      <c r="AJ99" s="15">
        <f>_xlfn.XLOOKUP($B99,'ELC TECH'!$H:$H,'ELC TECH'!W:W)</f>
        <v>104.48179838969919</v>
      </c>
      <c r="AK99" s="15">
        <f>_xlfn.XLOOKUP($B99,'ELC TECH'!$H:$H,'ELC TECH'!X:X)</f>
        <v>97.714979997310493</v>
      </c>
      <c r="AL99" s="15">
        <f>_xlfn.XLOOKUP($B99,'ELC TECH'!$H:$H,'ELC TECH'!Y:Y)</f>
        <v>92.617914905325947</v>
      </c>
      <c r="AM99" s="15">
        <f>_xlfn.XLOOKUP($B99,'ELC TECH'!$H:$H,'ELC TECH'!Z:Z)</f>
        <v>88.527530115284975</v>
      </c>
      <c r="AN99" s="15">
        <f>_xlfn.XLOOKUP($B99,'ELC TECH'!$H:$H,'ELC TECH'!AA:AA)</f>
        <v>85.111020041244245</v>
      </c>
      <c r="AO99" s="15">
        <f>_xlfn.XLOOKUP($B99,'ELC TECH'!$H:$H,'ELC TECH'!AB:AB)</f>
        <v>85.111020041244245</v>
      </c>
      <c r="AP99" s="15">
        <f>_xlfn.XLOOKUP($B99,'ELC TECH'!$H:$H,'ELC TECH'!AC:AC)</f>
        <v>0</v>
      </c>
      <c r="AQ99" s="15">
        <f>_xlfn.XLOOKUP($B99,'ELC TECH'!$H:$H,'ELC TECH'!AD:AD)</f>
        <v>0</v>
      </c>
      <c r="AR99" s="15">
        <f>_xlfn.XLOOKUP($B99,'ELC TECH'!$H:$H,'ELC TECH'!AE:AE)</f>
        <v>0</v>
      </c>
      <c r="AS99" s="15">
        <f>_xlfn.XLOOKUP($B99,'ELC TECH'!$H:$H,'ELC TECH'!AF:AF)</f>
        <v>0</v>
      </c>
      <c r="AT99" s="15">
        <f>_xlfn.XLOOKUP($B99,'ELC TECH'!$H:$H,'ELC TECH'!AG:AG)</f>
        <v>0</v>
      </c>
      <c r="AU99" s="15">
        <f>_xlfn.XLOOKUP($B99,'ELC TECH'!$H:$H,'ELC TECH'!AH:AH)</f>
        <v>0</v>
      </c>
      <c r="AV99" s="15">
        <f>_xlfn.XLOOKUP($B99,'ELC TECH'!$H:$H,'ELC TECH'!AI:AI)</f>
        <v>0</v>
      </c>
      <c r="AW99" s="15">
        <f>_xlfn.XLOOKUP($B99,'ELC TECH'!$H:$H,'ELC TECH'!AJ:AJ)</f>
        <v>0</v>
      </c>
      <c r="AX99" s="12">
        <f>IF(_xlfn.XLOOKUP($B99,'ELC TECH'!$H:$H,'ELC TECH'!$E:$E)="Storage","",_xlfn.XLOOKUP($B99,'ELC TECH'!$H:$H,'ELC TECH'!AS:AS))</f>
        <v>0.38318582438075</v>
      </c>
      <c r="AY99" s="12">
        <f>IF(_xlfn.XLOOKUP($B99,'ELC TECH'!$H:$H,'ELC TECH'!$E:$E)="Storage","",_xlfn.XLOOKUP($B99,'ELC TECH'!$H:$H,'ELC TECH'!AT:AT))</f>
        <v>0.40412011289365501</v>
      </c>
      <c r="AZ99" s="12">
        <f>IF(_xlfn.XLOOKUP($B99,'ELC TECH'!$H:$H,'ELC TECH'!$E:$E)="Storage","",_xlfn.XLOOKUP($B99,'ELC TECH'!$H:$H,'ELC TECH'!AU:AU))</f>
        <v>0.42537804342142499</v>
      </c>
      <c r="BA99" s="12">
        <f>IF(_xlfn.XLOOKUP($B99,'ELC TECH'!$H:$H,'ELC TECH'!$E:$E)="Storage","",_xlfn.XLOOKUP($B99,'ELC TECH'!$H:$H,'ELC TECH'!AV:AV))</f>
        <v>0.43457256039500097</v>
      </c>
      <c r="BB99" s="12">
        <f>IF(_xlfn.XLOOKUP($B99,'ELC TECH'!$H:$H,'ELC TECH'!$E:$E)="Storage","",_xlfn.XLOOKUP($B99,'ELC TECH'!$H:$H,'ELC TECH'!AW:AW))</f>
        <v>0.44273205497635298</v>
      </c>
      <c r="BC99" s="12">
        <f>IF(_xlfn.XLOOKUP($B99,'ELC TECH'!$H:$H,'ELC TECH'!$E:$E)="Storage","",_xlfn.XLOOKUP($B99,'ELC TECH'!$H:$H,'ELC TECH'!AX:AX))</f>
        <v>0.45026754321253498</v>
      </c>
      <c r="BD99" s="12">
        <f>IF(_xlfn.XLOOKUP($B99,'ELC TECH'!$H:$H,'ELC TECH'!$E:$E)="Storage","",_xlfn.XLOOKUP($B99,'ELC TECH'!$H:$H,'ELC TECH'!AY:AY))</f>
        <v>0.45738531979008801</v>
      </c>
      <c r="BE99" s="12">
        <f>IF(_xlfn.XLOOKUP($B99,'ELC TECH'!$H:$H,'ELC TECH'!$E:$E)="Storage","",_xlfn.XLOOKUP($B99,'ELC TECH'!$H:$H,'ELC TECH'!AZ:AZ))</f>
        <v>0.45738531979008801</v>
      </c>
      <c r="BF99" s="12" t="str">
        <f>IF(_xlfn.XLOOKUP($B99,'ELC TECH'!$H:$H,'ELC TECH'!$E:$E)="Storage",_xlfn.XLOOKUP($B99,'ELC TECH'!$H:$H,'ELC TECH'!AS:AS),"")</f>
        <v/>
      </c>
      <c r="BG99" s="12" t="str">
        <f>IF(_xlfn.XLOOKUP($B99,'ELC TECH'!$H:$H,'ELC TECH'!$E:$E)="Storage",_xlfn.XLOOKUP($B99,'ELC TECH'!$H:$H,'ELC TECH'!AT:AT),"")</f>
        <v/>
      </c>
      <c r="BH99" s="12" t="str">
        <f>IF(_xlfn.XLOOKUP($B99,'ELC TECH'!$H:$H,'ELC TECH'!$E:$E)="Storage",_xlfn.XLOOKUP($B99,'ELC TECH'!$H:$H,'ELC TECH'!AU:AU),"")</f>
        <v/>
      </c>
      <c r="BI99" s="12" t="str">
        <f>IF(_xlfn.XLOOKUP($B99,'ELC TECH'!$H:$H,'ELC TECH'!$E:$E)="Storage",_xlfn.XLOOKUP($B99,'ELC TECH'!$H:$H,'ELC TECH'!AV:AV),"")</f>
        <v/>
      </c>
      <c r="BJ99" s="12" t="str">
        <f>IF(_xlfn.XLOOKUP($B99,'ELC TECH'!$H:$H,'ELC TECH'!$E:$E)="Storage",_xlfn.XLOOKUP($B99,'ELC TECH'!$H:$H,'ELC TECH'!AW:AW),"")</f>
        <v/>
      </c>
      <c r="BK99" s="12" t="str">
        <f>IF(_xlfn.XLOOKUP($B99,'ELC TECH'!$H:$H,'ELC TECH'!$E:$E)="Storage",_xlfn.XLOOKUP($B99,'ELC TECH'!$H:$H,'ELC TECH'!AX:AX),"")</f>
        <v/>
      </c>
      <c r="BL99" s="12" t="str">
        <f>IF(_xlfn.XLOOKUP($B99,'ELC TECH'!$H:$H,'ELC TECH'!$E:$E)="Storage",_xlfn.XLOOKUP($B99,'ELC TECH'!$H:$H,'ELC TECH'!AY:AY),"")</f>
        <v/>
      </c>
      <c r="BM99" s="12" t="str">
        <f>IF(_xlfn.XLOOKUP($B99,'ELC TECH'!$H:$H,'ELC TECH'!$E:$E)="Storage",_xlfn.XLOOKUP($B99,'ELC TECH'!$H:$H,'ELC TECH'!AZ:AZ),"")</f>
        <v/>
      </c>
      <c r="BN99" s="8">
        <f>IF(_xlfn.XLOOKUP($B99,'ELC TECH'!$H:$H,'ELC TECH'!$E:$E)="Non Dispatchable",IFERROR($AX99*_xlfn.XLOOKUP($C99,$BM$1:$BM$3,BN$1:BN$3)/SUMPRODUCT(_xlfn.XLOOKUP($C99,$BM$1:$BM$3,$BN$1:$BY$3),$BN$4:$BY$4),""),
"")</f>
        <v>0.67287488301653553</v>
      </c>
      <c r="BO99" s="8">
        <f>IF(_xlfn.XLOOKUP($B99,'ELC TECH'!$H:$H,'ELC TECH'!$E:$E)="Non Dispatchable",IFERROR($AX99*_xlfn.XLOOKUP($C99,$BM$1:$BM$3,BO$1:BO$3)/SUMPRODUCT(_xlfn.XLOOKUP($C99,$BM$1:$BM$3,$BN$1:$BY$3),$BN$4:$BY$4),""),
"")</f>
        <v>0.67287488301653553</v>
      </c>
      <c r="BP99" s="8">
        <f>IF(_xlfn.XLOOKUP($B99,'ELC TECH'!$H:$H,'ELC TECH'!$E:$E)="Non Dispatchable",IFERROR($AX99*_xlfn.XLOOKUP($C99,$BM$1:$BM$3,BP$1:BP$3)/SUMPRODUCT(_xlfn.XLOOKUP($C99,$BM$1:$BM$3,$BN$1:$BY$3),$BN$4:$BY$4),""),
"")</f>
        <v>6.7287488301653542E-2</v>
      </c>
      <c r="BQ99" s="8">
        <f>IF(_xlfn.XLOOKUP($B99,'ELC TECH'!$H:$H,'ELC TECH'!$E:$E)="Non Dispatchable",IFERROR($AX99*_xlfn.XLOOKUP($C99,$BM$1:$BM$3,BQ$1:BQ$3)/SUMPRODUCT(_xlfn.XLOOKUP($C99,$BM$1:$BM$3,$BN$1:$BY$3),$BN$4:$BY$4),""),
"")</f>
        <v>0.53914628991387825</v>
      </c>
      <c r="BR99" s="8">
        <f>IF(_xlfn.XLOOKUP($B99,'ELC TECH'!$H:$H,'ELC TECH'!$E:$E)="Non Dispatchable",IFERROR($AX99*_xlfn.XLOOKUP($C99,$BM$1:$BM$3,BR$1:BR$3)/SUMPRODUCT(_xlfn.XLOOKUP($C99,$BM$1:$BM$3,$BN$1:$BY$3),$BN$4:$BY$4),""),
"")</f>
        <v>0.78298168205560503</v>
      </c>
      <c r="BS99" s="8">
        <f>IF(_xlfn.XLOOKUP($B99,'ELC TECH'!$H:$H,'ELC TECH'!$E:$E)="Non Dispatchable",IFERROR($AX99*_xlfn.XLOOKUP($C99,$BM$1:$BM$3,BS$1:BS$3)/SUMPRODUCT(_xlfn.XLOOKUP($C99,$BM$1:$BM$3,$BN$1:$BY$3),$BN$4:$BY$4),""),
"")</f>
        <v>0.78298168205560503</v>
      </c>
      <c r="BT99" s="8">
        <f>IF(_xlfn.XLOOKUP($B99,'ELC TECH'!$H:$H,'ELC TECH'!$E:$E)="Non Dispatchable",IFERROR($AX99*_xlfn.XLOOKUP($C99,$BM$1:$BM$3,BT$1:BT$3)/SUMPRODUCT(_xlfn.XLOOKUP($C99,$BM$1:$BM$3,$BN$1:$BY$3),$BN$4:$BY$4),""),
"")</f>
        <v>7.82981682055605E-2</v>
      </c>
      <c r="BU99" s="8">
        <f>IF(_xlfn.XLOOKUP($B99,'ELC TECH'!$H:$H,'ELC TECH'!$E:$E)="Non Dispatchable",IFERROR($AX99*_xlfn.XLOOKUP($C99,$BM$1:$BM$3,BU$1:BU$3)/SUMPRODUCT(_xlfn.XLOOKUP($C99,$BM$1:$BM$3,$BN$1:$BY$3),$BN$4:$BY$4),""),
"")</f>
        <v>0.69377404484027128</v>
      </c>
      <c r="BV99" s="8">
        <f>IF(_xlfn.XLOOKUP($B99,'ELC TECH'!$H:$H,'ELC TECH'!$E:$E)="Non Dispatchable",IFERROR($AX99*_xlfn.XLOOKUP($C99,$BM$1:$BM$3,BV$1:BV$3)/SUMPRODUCT(_xlfn.XLOOKUP($C99,$BM$1:$BM$3,$BN$1:$BY$3),$BN$4:$BY$4),""),
"")</f>
        <v>0.40548280323434777</v>
      </c>
      <c r="BW99" s="8">
        <f>IF(_xlfn.XLOOKUP($B99,'ELC TECH'!$H:$H,'ELC TECH'!$E:$E)="Non Dispatchable",IFERROR($AX99*_xlfn.XLOOKUP($C99,$BM$1:$BM$3,BW$1:BW$3)/SUMPRODUCT(_xlfn.XLOOKUP($C99,$BM$1:$BM$3,$BN$1:$BY$3),$BN$4:$BY$4),""),
"")</f>
        <v>0.40548280323434777</v>
      </c>
      <c r="BX99" s="8">
        <f>IF(_xlfn.XLOOKUP($B99,'ELC TECH'!$H:$H,'ELC TECH'!$E:$E)="Non Dispatchable",IFERROR($AX99*_xlfn.XLOOKUP($C99,$BM$1:$BM$3,BX$1:BX$3)/SUMPRODUCT(_xlfn.XLOOKUP($C99,$BM$1:$BM$3,$BN$1:$BY$3),$BN$4:$BY$4),""),
"")</f>
        <v>4.0548280323434778E-2</v>
      </c>
      <c r="BY99" s="8">
        <f>IF(_xlfn.XLOOKUP($B99,'ELC TECH'!$H:$H,'ELC TECH'!$E:$E)="Non Dispatchable",IFERROR($AX99*_xlfn.XLOOKUP($C99,$BM$1:$BM$3,BY$1:BY$3)/SUMPRODUCT(_xlfn.XLOOKUP($C99,$BM$1:$BM$3,$BN$1:$BY$3),$BN$4:$BY$4),""),
"")</f>
        <v>0.29638811313661462</v>
      </c>
      <c r="BZ99" s="8">
        <f>IF(_xlfn.XLOOKUP($B99,'ELC TECH'!$H:$H,'ELC TECH'!$E:$E)="Non Dispatchable",IFERROR($AX99*_xlfn.XLOOKUP($C99,$BM$1:$BM$3,BZ$1:BZ$3)/SUMPRODUCT(_xlfn.XLOOKUP($C99,$BM$1:$BM$3,$BN$1:$BY$3),$BN$4:$BY$4),""),
"")</f>
        <v>0.67287488301653553</v>
      </c>
      <c r="CA99" s="8">
        <f>IF(_xlfn.XLOOKUP($B99,'ELC TECH'!$H:$H,'ELC TECH'!$E:$E)="Non Dispatchable",IFERROR($AX99*_xlfn.XLOOKUP($C99,$BM$1:$BM$3,CA$1:CA$3)/SUMPRODUCT(_xlfn.XLOOKUP($C99,$BM$1:$BM$3,$BN$1:$BY$3),$BN$4:$BY$4),""),
"")</f>
        <v>0.67287488301653553</v>
      </c>
      <c r="CB99" s="8">
        <f>IF(_xlfn.XLOOKUP($B99,'ELC TECH'!$H:$H,'ELC TECH'!$E:$E)="Non Dispatchable",IFERROR($AX99*_xlfn.XLOOKUP($C99,$BM$1:$BM$3,CB$1:CB$3)/SUMPRODUCT(_xlfn.XLOOKUP($C99,$BM$1:$BM$3,$BN$1:$BY$3),$BN$4:$BY$4),""),
"")</f>
        <v>6.7287488301653542E-2</v>
      </c>
      <c r="CC99" s="8">
        <f>IF(_xlfn.XLOOKUP($B99,'ELC TECH'!$H:$H,'ELC TECH'!$E:$E)="Non Dispatchable",IFERROR($AX99*_xlfn.XLOOKUP($C99,$BM$1:$BM$3,CC$1:CC$3)/SUMPRODUCT(_xlfn.XLOOKUP($C99,$BM$1:$BM$3,$BN$1:$BY$3),$BN$4:$BY$4),""),
"")</f>
        <v>0.53914628991387825</v>
      </c>
      <c r="CD99" s="8">
        <f>IF(_xlfn.XLOOKUP($B99,'ELC TECH'!$H:$H,'ELC TECH'!$E:$E)="Non Dispatchable",IFERROR($AX99*_xlfn.XLOOKUP($C99,$BM$1:$BM$3,CD$1:CD$3)/SUMPRODUCT(_xlfn.XLOOKUP($C99,$BM$1:$BM$3,$BN$1:$BY$3),$BN$4:$BY$4),""),
"")</f>
        <v>0.78298168205560503</v>
      </c>
      <c r="CE99" s="8">
        <f>IF(_xlfn.XLOOKUP($B99,'ELC TECH'!$H:$H,'ELC TECH'!$E:$E)="Non Dispatchable",IFERROR($AX99*_xlfn.XLOOKUP($C99,$BM$1:$BM$3,CE$1:CE$3)/SUMPRODUCT(_xlfn.XLOOKUP($C99,$BM$1:$BM$3,$BN$1:$BY$3),$BN$4:$BY$4),""),
"")</f>
        <v>0.78298168205560503</v>
      </c>
      <c r="CF99" s="8">
        <f>IF(_xlfn.XLOOKUP($B99,'ELC TECH'!$H:$H,'ELC TECH'!$E:$E)="Non Dispatchable",IFERROR($AX99*_xlfn.XLOOKUP($C99,$BM$1:$BM$3,CF$1:CF$3)/SUMPRODUCT(_xlfn.XLOOKUP($C99,$BM$1:$BM$3,$BN$1:$BY$3),$BN$4:$BY$4),""),
"")</f>
        <v>7.82981682055605E-2</v>
      </c>
      <c r="CG99" s="8">
        <f>IF(_xlfn.XLOOKUP($B99,'ELC TECH'!$H:$H,'ELC TECH'!$E:$E)="Non Dispatchable",IFERROR($AX99*_xlfn.XLOOKUP($C99,$BM$1:$BM$3,CG$1:CG$3)/SUMPRODUCT(_xlfn.XLOOKUP($C99,$BM$1:$BM$3,$BN$1:$BY$3),$BN$4:$BY$4),""),
"")</f>
        <v>0.69377404484027128</v>
      </c>
      <c r="CH99" s="8">
        <f>IF(_xlfn.XLOOKUP($B99,'ELC TECH'!$H:$H,'ELC TECH'!$E:$E)="Non Dispatchable",IFERROR($AX99*_xlfn.XLOOKUP($C99,$BM$1:$BM$3,CH$1:CH$3)/SUMPRODUCT(_xlfn.XLOOKUP($C99,$BM$1:$BM$3,$BN$1:$BY$3),$BN$4:$BY$4),""),
"")</f>
        <v>0.40548280323434777</v>
      </c>
      <c r="CI99" s="8">
        <f>IF(_xlfn.XLOOKUP($B99,'ELC TECH'!$H:$H,'ELC TECH'!$E:$E)="Non Dispatchable",IFERROR($AX99*_xlfn.XLOOKUP($C99,$BM$1:$BM$3,CI$1:CI$3)/SUMPRODUCT(_xlfn.XLOOKUP($C99,$BM$1:$BM$3,$BN$1:$BY$3),$BN$4:$BY$4),""),
"")</f>
        <v>0.40548280323434777</v>
      </c>
      <c r="CJ99" s="8">
        <f>IF(_xlfn.XLOOKUP($B99,'ELC TECH'!$H:$H,'ELC TECH'!$E:$E)="Non Dispatchable",IFERROR($AX99*_xlfn.XLOOKUP($C99,$BM$1:$BM$3,CJ$1:CJ$3)/SUMPRODUCT(_xlfn.XLOOKUP($C99,$BM$1:$BM$3,$BN$1:$BY$3),$BN$4:$BY$4),""),
"")</f>
        <v>4.0548280323434778E-2</v>
      </c>
      <c r="CK99" s="8">
        <f>IF(_xlfn.XLOOKUP($B99,'ELC TECH'!$H:$H,'ELC TECH'!$E:$E)="Non Dispatchable",IFERROR($AX99*_xlfn.XLOOKUP($C99,$BM$1:$BM$3,CK$1:CK$3)/SUMPRODUCT(_xlfn.XLOOKUP($C99,$BM$1:$BM$3,$BN$1:$BY$3),$BN$4:$BY$4),""),
"")</f>
        <v>0.29638811313661462</v>
      </c>
      <c r="CL99" s="8" t="str">
        <f>IF(_xlfn.XLOOKUP($B99,'ELC TECH'!$H:$H,'ELC TECH'!$E:$E)="Storage",CL$4*$BF99,"")</f>
        <v/>
      </c>
      <c r="CM99" s="8" t="str">
        <f>IF(_xlfn.XLOOKUP($B99,'ELC TECH'!$H:$H,'ELC TECH'!$E:$E)="Storage",CM$4*$BF99,"")</f>
        <v/>
      </c>
      <c r="CN99" s="8" t="str">
        <f>IF(_xlfn.XLOOKUP($B99,'ELC TECH'!$H:$H,'ELC TECH'!$E:$E)="Storage",CN$4*$BF99,"")</f>
        <v/>
      </c>
      <c r="CO99" s="8" t="str">
        <f>IF(_xlfn.XLOOKUP($B99,'ELC TECH'!$H:$H,'ELC TECH'!$E:$E)="Storage",CO$4*$BF99,"")</f>
        <v/>
      </c>
      <c r="CP99" s="8" t="str">
        <f>IF(_xlfn.XLOOKUP($B99,'ELC TECH'!$H:$H,'ELC TECH'!$E:$E)="Storage",CP$4*$BF99,"")</f>
        <v/>
      </c>
      <c r="CQ99" s="8" t="str">
        <f>IF(_xlfn.XLOOKUP($B99,'ELC TECH'!$H:$H,'ELC TECH'!$E:$E)="Storage",CQ$4*$BF99,"")</f>
        <v/>
      </c>
      <c r="CR99" s="8" t="str">
        <f>IF(_xlfn.XLOOKUP($B99,'ELC TECH'!$H:$H,'ELC TECH'!$E:$E)="Storage",CR$4*$BF99,"")</f>
        <v/>
      </c>
      <c r="CS99" s="8" t="str">
        <f>IF(_xlfn.XLOOKUP($B99,'ELC TECH'!$H:$H,'ELC TECH'!$E:$E)="Storage",CS$4*$BF99,"")</f>
        <v/>
      </c>
      <c r="CT99" s="8" t="str">
        <f>IF(_xlfn.XLOOKUP($B99,'ELC TECH'!$H:$H,'ELC TECH'!$E:$E)="Storage",CT$4*$BF99,"")</f>
        <v/>
      </c>
      <c r="CU99" s="8" t="str">
        <f>IF(_xlfn.XLOOKUP($B99,'ELC TECH'!$H:$H,'ELC TECH'!$E:$E)="Storage",CU$4*$BF99,"")</f>
        <v/>
      </c>
      <c r="CV99" s="8" t="str">
        <f>IF(_xlfn.XLOOKUP($B99,'ELC TECH'!$H:$H,'ELC TECH'!$E:$E)="Storage",CV$4*$BF99,"")</f>
        <v/>
      </c>
      <c r="CW99" s="8" t="str">
        <f>IF(_xlfn.XLOOKUP($B99,'ELC TECH'!$H:$H,'ELC TECH'!$E:$E)="Storage",CW$4*$BF99,"")</f>
        <v/>
      </c>
      <c r="CX99" s="8" t="str">
        <f>IF(_xlfn.XLOOKUP($B99,'ELC TECH'!$H:$H,'ELC TECH'!$E:$E)="Storage",CX$4*$BF99,"")</f>
        <v/>
      </c>
      <c r="CY99" s="8" t="str">
        <f>IF(_xlfn.XLOOKUP($B99,'ELC TECH'!$H:$H,'ELC TECH'!$E:$E)="Storage",CY$4*$BF99,"")</f>
        <v/>
      </c>
      <c r="CZ99" s="8" t="str">
        <f>IF(_xlfn.XLOOKUP($B99,'ELC TECH'!$H:$H,'ELC TECH'!$E:$E)="Storage",CZ$4*$BF99,"")</f>
        <v/>
      </c>
      <c r="DA99" s="8" t="str">
        <f>IF(_xlfn.XLOOKUP($B99,'ELC TECH'!$H:$H,'ELC TECH'!$E:$E)="Storage",DA$4*$BF99,"")</f>
        <v/>
      </c>
      <c r="DB99" s="8" t="str">
        <f>IF(_xlfn.XLOOKUP($B99,'ELC TECH'!$H:$H,'ELC TECH'!$E:$E)="Storage",DB$4*$BF99,"")</f>
        <v/>
      </c>
      <c r="DC99" s="8" t="str">
        <f>IF(_xlfn.XLOOKUP($B99,'ELC TECH'!$H:$H,'ELC TECH'!$E:$E)="Storage",DC$4*$BF99,"")</f>
        <v/>
      </c>
      <c r="DD99" s="8" t="str">
        <f>IF(_xlfn.XLOOKUP($B99,'ELC TECH'!$H:$H,'ELC TECH'!$E:$E)="Storage",DD$4*$BF99,"")</f>
        <v/>
      </c>
      <c r="DE99" s="8" t="str">
        <f>IF(_xlfn.XLOOKUP($B99,'ELC TECH'!$H:$H,'ELC TECH'!$E:$E)="Storage",DE$4*$BF99,"")</f>
        <v/>
      </c>
      <c r="DF99" s="8" t="str">
        <f>IF(_xlfn.XLOOKUP($B99,'ELC TECH'!$H:$H,'ELC TECH'!$E:$E)="Storage",DF$4*$BF99,"")</f>
        <v/>
      </c>
      <c r="DG99" s="8" t="str">
        <f>IF(_xlfn.XLOOKUP($B99,'ELC TECH'!$H:$H,'ELC TECH'!$E:$E)="Storage",DG$4*$BF99,"")</f>
        <v/>
      </c>
      <c r="DH99" s="8" t="str">
        <f>IF(_xlfn.XLOOKUP($B99,'ELC TECH'!$H:$H,'ELC TECH'!$E:$E)="Storage",DH$4*$BF99,"")</f>
        <v/>
      </c>
      <c r="DI99" s="8" t="str">
        <f>IF(_xlfn.XLOOKUP($B99,'ELC TECH'!$H:$H,'ELC TECH'!$E:$E)="Storage",DI$4*$BF99,"")</f>
        <v/>
      </c>
    </row>
    <row r="100" spans="2:113" x14ac:dyDescent="0.25">
      <c r="B100" t="str">
        <f>IF('ELC TECH'!I93=0,"*",'ELC TECH'!H93)</f>
        <v>ELCWNDGRDWOFC720</v>
      </c>
      <c r="C100" t="str">
        <f>IF(_xlfn.XLOOKUP(_xlfn.XLOOKUP(B100,'ELC TECH'!$H:$H,'ELC TECH'!$G:$G),List!C:C,List!B:B)="STG",D100,"ELC"&amp;_xlfn.XLOOKUP(_xlfn.XLOOKUP(B100,'ELC TECH'!H:H,'ELC TECH'!G:G),List!C:C,List!B:B))</f>
        <v>ELCWND</v>
      </c>
      <c r="D100" t="s">
        <v>544</v>
      </c>
      <c r="E100">
        <f>_xlfn.XLOOKUP(B100,'ELC TECH'!H:H,'ELC TECH'!D:D)</f>
        <v>2020</v>
      </c>
      <c r="F100">
        <f>_xlfn.XLOOKUP(B100,'ELC TECH'!H:H,'ELC TECH'!K:K)</f>
        <v>30</v>
      </c>
      <c r="G100">
        <f t="shared" si="6"/>
        <v>31.535999999999998</v>
      </c>
      <c r="H100">
        <f>IF(_xlfn.XLOOKUP(B100,'ELC TECH'!$H:$H,'ELC TECH'!$E:$E)="Storage",0.3,IF(_xlfn.XLOOKUP(B100,'ELC TECH'!$H:$H,'ELC TECH'!$E:$E)="Baseload",0.9,IF(_xlfn.XLOOKUP(B100,'ELC TECH'!$H:$H,'ELC TECH'!$E:$E)="Non Dispatchable",0.05,IF(_xlfn.XLOOKUP(B100,'ELC TECH'!$H:$H,'ELC TECH'!$E:$E)="Dispatchable",0.9,1))))</f>
        <v>0.05</v>
      </c>
      <c r="I100" s="13">
        <f>IF(_xlfn.XLOOKUP(B100,'ELC TECH'!H:H,'ELC TECH'!J:J)="","",_xlfn.XLOOKUP(B100,'ELC TECH'!H:H,'ELC TECH'!J:J))</f>
        <v>0</v>
      </c>
      <c r="J100" s="12">
        <f>IF(_xlfn.XLOOKUP($B100,'ELC TECH'!$H:$H,'ELC TECH'!$E:$E)="Storage","",IF(_xlfn.XLOOKUP($B100,'ELC TECH'!$H:$H,'ELC TECH'!AK:AK)="",1,_xlfn.XLOOKUP($B100,'ELC TECH'!$H:$H,'ELC TECH'!AK:AK)))</f>
        <v>1</v>
      </c>
      <c r="K100" s="12">
        <f>IF(_xlfn.XLOOKUP($B100,'ELC TECH'!$H:$H,'ELC TECH'!$E:$E)="Storage","",IF(_xlfn.XLOOKUP($B100,'ELC TECH'!$H:$H,'ELC TECH'!AL:AL)="",1,_xlfn.XLOOKUP($B100,'ELC TECH'!$H:$H,'ELC TECH'!AL:AL)))</f>
        <v>1</v>
      </c>
      <c r="L100" s="12">
        <f>IF(_xlfn.XLOOKUP($B100,'ELC TECH'!$H:$H,'ELC TECH'!$E:$E)="Storage","",IF(_xlfn.XLOOKUP($B100,'ELC TECH'!$H:$H,'ELC TECH'!AM:AM)="",1,_xlfn.XLOOKUP($B100,'ELC TECH'!$H:$H,'ELC TECH'!AM:AM)))</f>
        <v>1</v>
      </c>
      <c r="M100" s="12">
        <f>IF(_xlfn.XLOOKUP($B100,'ELC TECH'!$H:$H,'ELC TECH'!$E:$E)="Storage","",IF(_xlfn.XLOOKUP($B100,'ELC TECH'!$H:$H,'ELC TECH'!AN:AN)="",1,_xlfn.XLOOKUP($B100,'ELC TECH'!$H:$H,'ELC TECH'!AN:AN)))</f>
        <v>1</v>
      </c>
      <c r="N100" s="12">
        <f>IF(_xlfn.XLOOKUP($B100,'ELC TECH'!$H:$H,'ELC TECH'!$E:$E)="Storage","",IF(_xlfn.XLOOKUP($B100,'ELC TECH'!$H:$H,'ELC TECH'!AO:AO)="",1,_xlfn.XLOOKUP($B100,'ELC TECH'!$H:$H,'ELC TECH'!AO:AO)))</f>
        <v>1</v>
      </c>
      <c r="O100" s="12">
        <f>IF(_xlfn.XLOOKUP($B100,'ELC TECH'!$H:$H,'ELC TECH'!$E:$E)="Storage","",IF(_xlfn.XLOOKUP($B100,'ELC TECH'!$H:$H,'ELC TECH'!AP:AP)="",1,_xlfn.XLOOKUP($B100,'ELC TECH'!$H:$H,'ELC TECH'!AP:AP)))</f>
        <v>1</v>
      </c>
      <c r="P100" s="12">
        <f>IF(_xlfn.XLOOKUP($B100,'ELC TECH'!$H:$H,'ELC TECH'!$E:$E)="Storage","",IF(_xlfn.XLOOKUP($B100,'ELC TECH'!$H:$H,'ELC TECH'!AQ:AQ)="",1,_xlfn.XLOOKUP($B100,'ELC TECH'!$H:$H,'ELC TECH'!AQ:AQ)))</f>
        <v>1</v>
      </c>
      <c r="Q100" s="12">
        <f>IF(_xlfn.XLOOKUP($B100,'ELC TECH'!$H:$H,'ELC TECH'!$E:$E)="Storage","",IF(_xlfn.XLOOKUP($B100,'ELC TECH'!$H:$H,'ELC TECH'!AR:AR)="",1,_xlfn.XLOOKUP($B100,'ELC TECH'!$H:$H,'ELC TECH'!AR:AR)))</f>
        <v>1</v>
      </c>
      <c r="R100" s="12" t="str">
        <f>IF(_xlfn.XLOOKUP($B100,'ELC TECH'!$H:$H,'ELC TECH'!$E:$E)&lt;&gt;"Storage","",IF(_xlfn.XLOOKUP($B100,'ELC TECH'!$H:$H,'ELC TECH'!AK:AK)="",0.8,_xlfn.XLOOKUP($B100,'ELC TECH'!$H:$H,'ELC TECH'!AK:AK)))</f>
        <v/>
      </c>
      <c r="S100" s="12" t="str">
        <f>IF(_xlfn.XLOOKUP($B100,'ELC TECH'!$H:$H,'ELC TECH'!$E:$E)&lt;&gt;"Storage","",IF(_xlfn.XLOOKUP($B100,'ELC TECH'!$H:$H,'ELC TECH'!AL:AL)="",0.8,_xlfn.XLOOKUP($B100,'ELC TECH'!$H:$H,'ELC TECH'!AL:AL)))</f>
        <v/>
      </c>
      <c r="T100" s="12" t="str">
        <f>IF(_xlfn.XLOOKUP($B100,'ELC TECH'!$H:$H,'ELC TECH'!$E:$E)&lt;&gt;"Storage","",IF(_xlfn.XLOOKUP($B100,'ELC TECH'!$H:$H,'ELC TECH'!AM:AM)="",0.8,_xlfn.XLOOKUP($B100,'ELC TECH'!$H:$H,'ELC TECH'!AM:AM)))</f>
        <v/>
      </c>
      <c r="U100" s="12" t="str">
        <f>IF(_xlfn.XLOOKUP($B100,'ELC TECH'!$H:$H,'ELC TECH'!$E:$E)&lt;&gt;"Storage","",IF(_xlfn.XLOOKUP($B100,'ELC TECH'!$H:$H,'ELC TECH'!AN:AN)="",0.8,_xlfn.XLOOKUP($B100,'ELC TECH'!$H:$H,'ELC TECH'!AN:AN)))</f>
        <v/>
      </c>
      <c r="V100" s="12" t="str">
        <f>IF(_xlfn.XLOOKUP($B100,'ELC TECH'!$H:$H,'ELC TECH'!$E:$E)&lt;&gt;"Storage","",IF(_xlfn.XLOOKUP($B100,'ELC TECH'!$H:$H,'ELC TECH'!AO:AO)="",0.8,_xlfn.XLOOKUP($B100,'ELC TECH'!$H:$H,'ELC TECH'!AO:AO)))</f>
        <v/>
      </c>
      <c r="W100" s="12" t="str">
        <f>IF(_xlfn.XLOOKUP($B100,'ELC TECH'!$H:$H,'ELC TECH'!$E:$E)&lt;&gt;"Storage","",IF(_xlfn.XLOOKUP($B100,'ELC TECH'!$H:$H,'ELC TECH'!AP:AP)="",0.8,_xlfn.XLOOKUP($B100,'ELC TECH'!$H:$H,'ELC TECH'!AP:AP)))</f>
        <v/>
      </c>
      <c r="X100" s="12" t="str">
        <f>IF(_xlfn.XLOOKUP($B100,'ELC TECH'!$H:$H,'ELC TECH'!$E:$E)&lt;&gt;"Storage","",IF(_xlfn.XLOOKUP($B100,'ELC TECH'!$H:$H,'ELC TECH'!AQ:AQ)="",0.8,_xlfn.XLOOKUP($B100,'ELC TECH'!$H:$H,'ELC TECH'!AQ:AQ)))</f>
        <v/>
      </c>
      <c r="Y100" s="12" t="str">
        <f>IF(_xlfn.XLOOKUP($B100,'ELC TECH'!$H:$H,'ELC TECH'!$E:$E)&lt;&gt;"Storage","",IF(_xlfn.XLOOKUP($B100,'ELC TECH'!$H:$H,'ELC TECH'!AR:AR)="",0.8,_xlfn.XLOOKUP($B100,'ELC TECH'!$H:$H,'ELC TECH'!AR:AR)))</f>
        <v/>
      </c>
      <c r="Z100" s="15">
        <f>_xlfn.XLOOKUP($B100,'ELC TECH'!$H:$H,'ELC TECH'!M:M)</f>
        <v>3131.368890968633</v>
      </c>
      <c r="AA100" s="15">
        <f>_xlfn.XLOOKUP($B100,'ELC TECH'!$H:$H,'ELC TECH'!N:N)</f>
        <v>2731.3646901666721</v>
      </c>
      <c r="AB100" s="15">
        <f>_xlfn.XLOOKUP($B100,'ELC TECH'!$H:$H,'ELC TECH'!O:O)</f>
        <v>2510.670938435087</v>
      </c>
      <c r="AC100" s="15">
        <f>_xlfn.XLOOKUP($B100,'ELC TECH'!$H:$H,'ELC TECH'!P:P)</f>
        <v>2374.245235450056</v>
      </c>
      <c r="AD100" s="15">
        <f>_xlfn.XLOOKUP($B100,'ELC TECH'!$H:$H,'ELC TECH'!Q:Q)</f>
        <v>2275.2343016974191</v>
      </c>
      <c r="AE100" s="15">
        <f>_xlfn.XLOOKUP($B100,'ELC TECH'!$H:$H,'ELC TECH'!R:R)</f>
        <v>2197.4720754935838</v>
      </c>
      <c r="AF100" s="15">
        <f>_xlfn.XLOOKUP($B100,'ELC TECH'!$H:$H,'ELC TECH'!S:S)</f>
        <v>2133.4303692492322</v>
      </c>
      <c r="AG100" s="15">
        <f>_xlfn.XLOOKUP($B100,'ELC TECH'!$H:$H,'ELC TECH'!T:T)</f>
        <v>2133.4303692492322</v>
      </c>
      <c r="AH100" s="15">
        <f>_xlfn.XLOOKUP($B100,'ELC TECH'!$H:$H,'ELC TECH'!U:U)</f>
        <v>123.2685267323124</v>
      </c>
      <c r="AI100" s="15">
        <f>_xlfn.XLOOKUP($B100,'ELC TECH'!$H:$H,'ELC TECH'!V:V)</f>
        <v>109.49464476572329</v>
      </c>
      <c r="AJ100" s="15">
        <f>_xlfn.XLOOKUP($B100,'ELC TECH'!$H:$H,'ELC TECH'!W:W)</f>
        <v>99.84687076333617</v>
      </c>
      <c r="AK100" s="15">
        <f>_xlfn.XLOOKUP($B100,'ELC TECH'!$H:$H,'ELC TECH'!X:X)</f>
        <v>93.380235886093999</v>
      </c>
      <c r="AL100" s="15">
        <f>_xlfn.XLOOKUP($B100,'ELC TECH'!$H:$H,'ELC TECH'!Y:Y)</f>
        <v>88.509282214206735</v>
      </c>
      <c r="AM100" s="15">
        <f>_xlfn.XLOOKUP($B100,'ELC TECH'!$H:$H,'ELC TECH'!Z:Z)</f>
        <v>84.600351397566044</v>
      </c>
      <c r="AN100" s="15">
        <f>_xlfn.XLOOKUP($B100,'ELC TECH'!$H:$H,'ELC TECH'!AA:AA)</f>
        <v>81.335401472488883</v>
      </c>
      <c r="AO100" s="15">
        <f>_xlfn.XLOOKUP($B100,'ELC TECH'!$H:$H,'ELC TECH'!AB:AB)</f>
        <v>81.335401472488883</v>
      </c>
      <c r="AP100" s="15">
        <f>_xlfn.XLOOKUP($B100,'ELC TECH'!$H:$H,'ELC TECH'!AC:AC)</f>
        <v>0</v>
      </c>
      <c r="AQ100" s="15">
        <f>_xlfn.XLOOKUP($B100,'ELC TECH'!$H:$H,'ELC TECH'!AD:AD)</f>
        <v>0</v>
      </c>
      <c r="AR100" s="15">
        <f>_xlfn.XLOOKUP($B100,'ELC TECH'!$H:$H,'ELC TECH'!AE:AE)</f>
        <v>0</v>
      </c>
      <c r="AS100" s="15">
        <f>_xlfn.XLOOKUP($B100,'ELC TECH'!$H:$H,'ELC TECH'!AF:AF)</f>
        <v>0</v>
      </c>
      <c r="AT100" s="15">
        <f>_xlfn.XLOOKUP($B100,'ELC TECH'!$H:$H,'ELC TECH'!AG:AG)</f>
        <v>0</v>
      </c>
      <c r="AU100" s="15">
        <f>_xlfn.XLOOKUP($B100,'ELC TECH'!$H:$H,'ELC TECH'!AH:AH)</f>
        <v>0</v>
      </c>
      <c r="AV100" s="15">
        <f>_xlfn.XLOOKUP($B100,'ELC TECH'!$H:$H,'ELC TECH'!AI:AI)</f>
        <v>0</v>
      </c>
      <c r="AW100" s="15">
        <f>_xlfn.XLOOKUP($B100,'ELC TECH'!$H:$H,'ELC TECH'!AJ:AJ)</f>
        <v>0</v>
      </c>
      <c r="AX100" s="12">
        <f>IF(_xlfn.XLOOKUP($B100,'ELC TECH'!$H:$H,'ELC TECH'!$E:$E)="Storage","",_xlfn.XLOOKUP($B100,'ELC TECH'!$H:$H,'ELC TECH'!AS:AS))</f>
        <v>0.29670484989304502</v>
      </c>
      <c r="AY100" s="12">
        <f>IF(_xlfn.XLOOKUP($B100,'ELC TECH'!$H:$H,'ELC TECH'!$E:$E)="Storage","",_xlfn.XLOOKUP($B100,'ELC TECH'!$H:$H,'ELC TECH'!AT:AT))</f>
        <v>0.31560685333006999</v>
      </c>
      <c r="AZ100" s="12">
        <f>IF(_xlfn.XLOOKUP($B100,'ELC TECH'!$H:$H,'ELC TECH'!$E:$E)="Storage","",_xlfn.XLOOKUP($B100,'ELC TECH'!$H:$H,'ELC TECH'!AU:AU))</f>
        <v>0.33544129067210798</v>
      </c>
      <c r="BA100" s="12">
        <f>IF(_xlfn.XLOOKUP($B100,'ELC TECH'!$H:$H,'ELC TECH'!$E:$E)="Storage","",_xlfn.XLOOKUP($B100,'ELC TECH'!$H:$H,'ELC TECH'!AV:AV))</f>
        <v>0.34368167971108499</v>
      </c>
      <c r="BB100" s="12">
        <f>IF(_xlfn.XLOOKUP($B100,'ELC TECH'!$H:$H,'ELC TECH'!$E:$E)="Storage","",_xlfn.XLOOKUP($B100,'ELC TECH'!$H:$H,'ELC TECH'!AW:AW))</f>
        <v>0.351122483187294</v>
      </c>
      <c r="BC100" s="12">
        <f>IF(_xlfn.XLOOKUP($B100,'ELC TECH'!$H:$H,'ELC TECH'!$E:$E)="Storage","",_xlfn.XLOOKUP($B100,'ELC TECH'!$H:$H,'ELC TECH'!AX:AX))</f>
        <v>0.35808122321403302</v>
      </c>
      <c r="BD100" s="12">
        <f>IF(_xlfn.XLOOKUP($B100,'ELC TECH'!$H:$H,'ELC TECH'!$E:$E)="Storage","",_xlfn.XLOOKUP($B100,'ELC TECH'!$H:$H,'ELC TECH'!AY:AY))</f>
        <v>0.364717268568513</v>
      </c>
      <c r="BE100" s="12">
        <f>IF(_xlfn.XLOOKUP($B100,'ELC TECH'!$H:$H,'ELC TECH'!$E:$E)="Storage","",_xlfn.XLOOKUP($B100,'ELC TECH'!$H:$H,'ELC TECH'!AZ:AZ))</f>
        <v>0.364717268568513</v>
      </c>
      <c r="BF100" s="12" t="str">
        <f>IF(_xlfn.XLOOKUP($B100,'ELC TECH'!$H:$H,'ELC TECH'!$E:$E)="Storage",_xlfn.XLOOKUP($B100,'ELC TECH'!$H:$H,'ELC TECH'!AS:AS),"")</f>
        <v/>
      </c>
      <c r="BG100" s="12" t="str">
        <f>IF(_xlfn.XLOOKUP($B100,'ELC TECH'!$H:$H,'ELC TECH'!$E:$E)="Storage",_xlfn.XLOOKUP($B100,'ELC TECH'!$H:$H,'ELC TECH'!AT:AT),"")</f>
        <v/>
      </c>
      <c r="BH100" s="12" t="str">
        <f>IF(_xlfn.XLOOKUP($B100,'ELC TECH'!$H:$H,'ELC TECH'!$E:$E)="Storage",_xlfn.XLOOKUP($B100,'ELC TECH'!$H:$H,'ELC TECH'!AU:AU),"")</f>
        <v/>
      </c>
      <c r="BI100" s="12" t="str">
        <f>IF(_xlfn.XLOOKUP($B100,'ELC TECH'!$H:$H,'ELC TECH'!$E:$E)="Storage",_xlfn.XLOOKUP($B100,'ELC TECH'!$H:$H,'ELC TECH'!AV:AV),"")</f>
        <v/>
      </c>
      <c r="BJ100" s="12" t="str">
        <f>IF(_xlfn.XLOOKUP($B100,'ELC TECH'!$H:$H,'ELC TECH'!$E:$E)="Storage",_xlfn.XLOOKUP($B100,'ELC TECH'!$H:$H,'ELC TECH'!AW:AW),"")</f>
        <v/>
      </c>
      <c r="BK100" s="12" t="str">
        <f>IF(_xlfn.XLOOKUP($B100,'ELC TECH'!$H:$H,'ELC TECH'!$E:$E)="Storage",_xlfn.XLOOKUP($B100,'ELC TECH'!$H:$H,'ELC TECH'!AX:AX),"")</f>
        <v/>
      </c>
      <c r="BL100" s="12" t="str">
        <f>IF(_xlfn.XLOOKUP($B100,'ELC TECH'!$H:$H,'ELC TECH'!$E:$E)="Storage",_xlfn.XLOOKUP($B100,'ELC TECH'!$H:$H,'ELC TECH'!AY:AY),"")</f>
        <v/>
      </c>
      <c r="BM100" s="12" t="str">
        <f>IF(_xlfn.XLOOKUP($B100,'ELC TECH'!$H:$H,'ELC TECH'!$E:$E)="Storage",_xlfn.XLOOKUP($B100,'ELC TECH'!$H:$H,'ELC TECH'!AZ:AZ),"")</f>
        <v/>
      </c>
      <c r="BN100" s="8">
        <f>IF(_xlfn.XLOOKUP($B100,'ELC TECH'!$H:$H,'ELC TECH'!$E:$E)="Non Dispatchable",IFERROR($AX100*_xlfn.XLOOKUP($C100,$BM$1:$BM$3,BN$1:BN$3)/SUMPRODUCT(_xlfn.XLOOKUP($C100,$BM$1:$BM$3,$BN$1:$BY$3),$BN$4:$BY$4),""),
"")</f>
        <v>0.52101416195356243</v>
      </c>
      <c r="BO100" s="8">
        <f>IF(_xlfn.XLOOKUP($B100,'ELC TECH'!$H:$H,'ELC TECH'!$E:$E)="Non Dispatchable",IFERROR($AX100*_xlfn.XLOOKUP($C100,$BM$1:$BM$3,BO$1:BO$3)/SUMPRODUCT(_xlfn.XLOOKUP($C100,$BM$1:$BM$3,$BN$1:$BY$3),$BN$4:$BY$4),""),
"")</f>
        <v>0.52101416195356243</v>
      </c>
      <c r="BP100" s="8">
        <f>IF(_xlfn.XLOOKUP($B100,'ELC TECH'!$H:$H,'ELC TECH'!$E:$E)="Non Dispatchable",IFERROR($AX100*_xlfn.XLOOKUP($C100,$BM$1:$BM$3,BP$1:BP$3)/SUMPRODUCT(_xlfn.XLOOKUP($C100,$BM$1:$BM$3,$BN$1:$BY$3),$BN$4:$BY$4),""),
"")</f>
        <v>5.2101416195356236E-2</v>
      </c>
      <c r="BQ100" s="8">
        <f>IF(_xlfn.XLOOKUP($B100,'ELC TECH'!$H:$H,'ELC TECH'!$E:$E)="Non Dispatchable",IFERROR($AX100*_xlfn.XLOOKUP($C100,$BM$1:$BM$3,BQ$1:BQ$3)/SUMPRODUCT(_xlfn.XLOOKUP($C100,$BM$1:$BM$3,$BN$1:$BY$3),$BN$4:$BY$4),""),
"")</f>
        <v>0.41746669328857783</v>
      </c>
      <c r="BR100" s="8">
        <f>IF(_xlfn.XLOOKUP($B100,'ELC TECH'!$H:$H,'ELC TECH'!$E:$E)="Non Dispatchable",IFERROR($AX100*_xlfn.XLOOKUP($C100,$BM$1:$BM$3,BR$1:BR$3)/SUMPRODUCT(_xlfn.XLOOKUP($C100,$BM$1:$BM$3,$BN$1:$BY$3),$BN$4:$BY$4),""),
"")</f>
        <v>0.60627102481869077</v>
      </c>
      <c r="BS100" s="8">
        <f>IF(_xlfn.XLOOKUP($B100,'ELC TECH'!$H:$H,'ELC TECH'!$E:$E)="Non Dispatchable",IFERROR($AX100*_xlfn.XLOOKUP($C100,$BM$1:$BM$3,BS$1:BS$3)/SUMPRODUCT(_xlfn.XLOOKUP($C100,$BM$1:$BM$3,$BN$1:$BY$3),$BN$4:$BY$4),""),
"")</f>
        <v>0.60627102481869077</v>
      </c>
      <c r="BT100" s="8">
        <f>IF(_xlfn.XLOOKUP($B100,'ELC TECH'!$H:$H,'ELC TECH'!$E:$E)="Non Dispatchable",IFERROR($AX100*_xlfn.XLOOKUP($C100,$BM$1:$BM$3,BT$1:BT$3)/SUMPRODUCT(_xlfn.XLOOKUP($C100,$BM$1:$BM$3,$BN$1:$BY$3),$BN$4:$BY$4),""),
"")</f>
        <v>6.0627102481869095E-2</v>
      </c>
      <c r="BU100" s="8">
        <f>IF(_xlfn.XLOOKUP($B100,'ELC TECH'!$H:$H,'ELC TECH'!$E:$E)="Non Dispatchable",IFERROR($AX100*_xlfn.XLOOKUP($C100,$BM$1:$BM$3,BU$1:BU$3)/SUMPRODUCT(_xlfn.XLOOKUP($C100,$BM$1:$BM$3,$BN$1:$BY$3),$BN$4:$BY$4),""),
"")</f>
        <v>0.53719660471960928</v>
      </c>
      <c r="BV100" s="8">
        <f>IF(_xlfn.XLOOKUP($B100,'ELC TECH'!$H:$H,'ELC TECH'!$E:$E)="Non Dispatchable",IFERROR($AX100*_xlfn.XLOOKUP($C100,$BM$1:$BM$3,BV$1:BV$3)/SUMPRODUCT(_xlfn.XLOOKUP($C100,$BM$1:$BM$3,$BN$1:$BY$3),$BN$4:$BY$4),""),
"")</f>
        <v>0.31396963721787974</v>
      </c>
      <c r="BW100" s="8">
        <f>IF(_xlfn.XLOOKUP($B100,'ELC TECH'!$H:$H,'ELC TECH'!$E:$E)="Non Dispatchable",IFERROR($AX100*_xlfn.XLOOKUP($C100,$BM$1:$BM$3,BW$1:BW$3)/SUMPRODUCT(_xlfn.XLOOKUP($C100,$BM$1:$BM$3,$BN$1:$BY$3),$BN$4:$BY$4),""),
"")</f>
        <v>0.31396963721787974</v>
      </c>
      <c r="BX100" s="8">
        <f>IF(_xlfn.XLOOKUP($B100,'ELC TECH'!$H:$H,'ELC TECH'!$E:$E)="Non Dispatchable",IFERROR($AX100*_xlfn.XLOOKUP($C100,$BM$1:$BM$3,BX$1:BX$3)/SUMPRODUCT(_xlfn.XLOOKUP($C100,$BM$1:$BM$3,$BN$1:$BY$3),$BN$4:$BY$4),""),
"")</f>
        <v>3.1396963721787977E-2</v>
      </c>
      <c r="BY100" s="8">
        <f>IF(_xlfn.XLOOKUP($B100,'ELC TECH'!$H:$H,'ELC TECH'!$E:$E)="Non Dispatchable",IFERROR($AX100*_xlfn.XLOOKUP($C100,$BM$1:$BM$3,BY$1:BY$3)/SUMPRODUCT(_xlfn.XLOOKUP($C100,$BM$1:$BM$3,$BN$1:$BY$3),$BN$4:$BY$4),""),
"")</f>
        <v>0.22949646104575444</v>
      </c>
      <c r="BZ100" s="8">
        <f>IF(_xlfn.XLOOKUP($B100,'ELC TECH'!$H:$H,'ELC TECH'!$E:$E)="Non Dispatchable",IFERROR($AX100*_xlfn.XLOOKUP($C100,$BM$1:$BM$3,BZ$1:BZ$3)/SUMPRODUCT(_xlfn.XLOOKUP($C100,$BM$1:$BM$3,$BN$1:$BY$3),$BN$4:$BY$4),""),
"")</f>
        <v>0.52101416195356243</v>
      </c>
      <c r="CA100" s="8">
        <f>IF(_xlfn.XLOOKUP($B100,'ELC TECH'!$H:$H,'ELC TECH'!$E:$E)="Non Dispatchable",IFERROR($AX100*_xlfn.XLOOKUP($C100,$BM$1:$BM$3,CA$1:CA$3)/SUMPRODUCT(_xlfn.XLOOKUP($C100,$BM$1:$BM$3,$BN$1:$BY$3),$BN$4:$BY$4),""),
"")</f>
        <v>0.52101416195356243</v>
      </c>
      <c r="CB100" s="8">
        <f>IF(_xlfn.XLOOKUP($B100,'ELC TECH'!$H:$H,'ELC TECH'!$E:$E)="Non Dispatchable",IFERROR($AX100*_xlfn.XLOOKUP($C100,$BM$1:$BM$3,CB$1:CB$3)/SUMPRODUCT(_xlfn.XLOOKUP($C100,$BM$1:$BM$3,$BN$1:$BY$3),$BN$4:$BY$4),""),
"")</f>
        <v>5.2101416195356236E-2</v>
      </c>
      <c r="CC100" s="8">
        <f>IF(_xlfn.XLOOKUP($B100,'ELC TECH'!$H:$H,'ELC TECH'!$E:$E)="Non Dispatchable",IFERROR($AX100*_xlfn.XLOOKUP($C100,$BM$1:$BM$3,CC$1:CC$3)/SUMPRODUCT(_xlfn.XLOOKUP($C100,$BM$1:$BM$3,$BN$1:$BY$3),$BN$4:$BY$4),""),
"")</f>
        <v>0.41746669328857783</v>
      </c>
      <c r="CD100" s="8">
        <f>IF(_xlfn.XLOOKUP($B100,'ELC TECH'!$H:$H,'ELC TECH'!$E:$E)="Non Dispatchable",IFERROR($AX100*_xlfn.XLOOKUP($C100,$BM$1:$BM$3,CD$1:CD$3)/SUMPRODUCT(_xlfn.XLOOKUP($C100,$BM$1:$BM$3,$BN$1:$BY$3),$BN$4:$BY$4),""),
"")</f>
        <v>0.60627102481869077</v>
      </c>
      <c r="CE100" s="8">
        <f>IF(_xlfn.XLOOKUP($B100,'ELC TECH'!$H:$H,'ELC TECH'!$E:$E)="Non Dispatchable",IFERROR($AX100*_xlfn.XLOOKUP($C100,$BM$1:$BM$3,CE$1:CE$3)/SUMPRODUCT(_xlfn.XLOOKUP($C100,$BM$1:$BM$3,$BN$1:$BY$3),$BN$4:$BY$4),""),
"")</f>
        <v>0.60627102481869077</v>
      </c>
      <c r="CF100" s="8">
        <f>IF(_xlfn.XLOOKUP($B100,'ELC TECH'!$H:$H,'ELC TECH'!$E:$E)="Non Dispatchable",IFERROR($AX100*_xlfn.XLOOKUP($C100,$BM$1:$BM$3,CF$1:CF$3)/SUMPRODUCT(_xlfn.XLOOKUP($C100,$BM$1:$BM$3,$BN$1:$BY$3),$BN$4:$BY$4),""),
"")</f>
        <v>6.0627102481869095E-2</v>
      </c>
      <c r="CG100" s="8">
        <f>IF(_xlfn.XLOOKUP($B100,'ELC TECH'!$H:$H,'ELC TECH'!$E:$E)="Non Dispatchable",IFERROR($AX100*_xlfn.XLOOKUP($C100,$BM$1:$BM$3,CG$1:CG$3)/SUMPRODUCT(_xlfn.XLOOKUP($C100,$BM$1:$BM$3,$BN$1:$BY$3),$BN$4:$BY$4),""),
"")</f>
        <v>0.53719660471960928</v>
      </c>
      <c r="CH100" s="8">
        <f>IF(_xlfn.XLOOKUP($B100,'ELC TECH'!$H:$H,'ELC TECH'!$E:$E)="Non Dispatchable",IFERROR($AX100*_xlfn.XLOOKUP($C100,$BM$1:$BM$3,CH$1:CH$3)/SUMPRODUCT(_xlfn.XLOOKUP($C100,$BM$1:$BM$3,$BN$1:$BY$3),$BN$4:$BY$4),""),
"")</f>
        <v>0.31396963721787974</v>
      </c>
      <c r="CI100" s="8">
        <f>IF(_xlfn.XLOOKUP($B100,'ELC TECH'!$H:$H,'ELC TECH'!$E:$E)="Non Dispatchable",IFERROR($AX100*_xlfn.XLOOKUP($C100,$BM$1:$BM$3,CI$1:CI$3)/SUMPRODUCT(_xlfn.XLOOKUP($C100,$BM$1:$BM$3,$BN$1:$BY$3),$BN$4:$BY$4),""),
"")</f>
        <v>0.31396963721787974</v>
      </c>
      <c r="CJ100" s="8">
        <f>IF(_xlfn.XLOOKUP($B100,'ELC TECH'!$H:$H,'ELC TECH'!$E:$E)="Non Dispatchable",IFERROR($AX100*_xlfn.XLOOKUP($C100,$BM$1:$BM$3,CJ$1:CJ$3)/SUMPRODUCT(_xlfn.XLOOKUP($C100,$BM$1:$BM$3,$BN$1:$BY$3),$BN$4:$BY$4),""),
"")</f>
        <v>3.1396963721787977E-2</v>
      </c>
      <c r="CK100" s="8">
        <f>IF(_xlfn.XLOOKUP($B100,'ELC TECH'!$H:$H,'ELC TECH'!$E:$E)="Non Dispatchable",IFERROR($AX100*_xlfn.XLOOKUP($C100,$BM$1:$BM$3,CK$1:CK$3)/SUMPRODUCT(_xlfn.XLOOKUP($C100,$BM$1:$BM$3,$BN$1:$BY$3),$BN$4:$BY$4),""),
"")</f>
        <v>0.22949646104575444</v>
      </c>
      <c r="CL100" s="8" t="str">
        <f>IF(_xlfn.XLOOKUP($B100,'ELC TECH'!$H:$H,'ELC TECH'!$E:$E)="Storage",CL$4*$BF100,"")</f>
        <v/>
      </c>
      <c r="CM100" s="8" t="str">
        <f>IF(_xlfn.XLOOKUP($B100,'ELC TECH'!$H:$H,'ELC TECH'!$E:$E)="Storage",CM$4*$BF100,"")</f>
        <v/>
      </c>
      <c r="CN100" s="8" t="str">
        <f>IF(_xlfn.XLOOKUP($B100,'ELC TECH'!$H:$H,'ELC TECH'!$E:$E)="Storage",CN$4*$BF100,"")</f>
        <v/>
      </c>
      <c r="CO100" s="8" t="str">
        <f>IF(_xlfn.XLOOKUP($B100,'ELC TECH'!$H:$H,'ELC TECH'!$E:$E)="Storage",CO$4*$BF100,"")</f>
        <v/>
      </c>
      <c r="CP100" s="8" t="str">
        <f>IF(_xlfn.XLOOKUP($B100,'ELC TECH'!$H:$H,'ELC TECH'!$E:$E)="Storage",CP$4*$BF100,"")</f>
        <v/>
      </c>
      <c r="CQ100" s="8" t="str">
        <f>IF(_xlfn.XLOOKUP($B100,'ELC TECH'!$H:$H,'ELC TECH'!$E:$E)="Storage",CQ$4*$BF100,"")</f>
        <v/>
      </c>
      <c r="CR100" s="8" t="str">
        <f>IF(_xlfn.XLOOKUP($B100,'ELC TECH'!$H:$H,'ELC TECH'!$E:$E)="Storage",CR$4*$BF100,"")</f>
        <v/>
      </c>
      <c r="CS100" s="8" t="str">
        <f>IF(_xlfn.XLOOKUP($B100,'ELC TECH'!$H:$H,'ELC TECH'!$E:$E)="Storage",CS$4*$BF100,"")</f>
        <v/>
      </c>
      <c r="CT100" s="8" t="str">
        <f>IF(_xlfn.XLOOKUP($B100,'ELC TECH'!$H:$H,'ELC TECH'!$E:$E)="Storage",CT$4*$BF100,"")</f>
        <v/>
      </c>
      <c r="CU100" s="8" t="str">
        <f>IF(_xlfn.XLOOKUP($B100,'ELC TECH'!$H:$H,'ELC TECH'!$E:$E)="Storage",CU$4*$BF100,"")</f>
        <v/>
      </c>
      <c r="CV100" s="8" t="str">
        <f>IF(_xlfn.XLOOKUP($B100,'ELC TECH'!$H:$H,'ELC TECH'!$E:$E)="Storage",CV$4*$BF100,"")</f>
        <v/>
      </c>
      <c r="CW100" s="8" t="str">
        <f>IF(_xlfn.XLOOKUP($B100,'ELC TECH'!$H:$H,'ELC TECH'!$E:$E)="Storage",CW$4*$BF100,"")</f>
        <v/>
      </c>
      <c r="CX100" s="8" t="str">
        <f>IF(_xlfn.XLOOKUP($B100,'ELC TECH'!$H:$H,'ELC TECH'!$E:$E)="Storage",CX$4*$BF100,"")</f>
        <v/>
      </c>
      <c r="CY100" s="8" t="str">
        <f>IF(_xlfn.XLOOKUP($B100,'ELC TECH'!$H:$H,'ELC TECH'!$E:$E)="Storage",CY$4*$BF100,"")</f>
        <v/>
      </c>
      <c r="CZ100" s="8" t="str">
        <f>IF(_xlfn.XLOOKUP($B100,'ELC TECH'!$H:$H,'ELC TECH'!$E:$E)="Storage",CZ$4*$BF100,"")</f>
        <v/>
      </c>
      <c r="DA100" s="8" t="str">
        <f>IF(_xlfn.XLOOKUP($B100,'ELC TECH'!$H:$H,'ELC TECH'!$E:$E)="Storage",DA$4*$BF100,"")</f>
        <v/>
      </c>
      <c r="DB100" s="8" t="str">
        <f>IF(_xlfn.XLOOKUP($B100,'ELC TECH'!$H:$H,'ELC TECH'!$E:$E)="Storage",DB$4*$BF100,"")</f>
        <v/>
      </c>
      <c r="DC100" s="8" t="str">
        <f>IF(_xlfn.XLOOKUP($B100,'ELC TECH'!$H:$H,'ELC TECH'!$E:$E)="Storage",DC$4*$BF100,"")</f>
        <v/>
      </c>
      <c r="DD100" s="8" t="str">
        <f>IF(_xlfn.XLOOKUP($B100,'ELC TECH'!$H:$H,'ELC TECH'!$E:$E)="Storage",DD$4*$BF100,"")</f>
        <v/>
      </c>
      <c r="DE100" s="8" t="str">
        <f>IF(_xlfn.XLOOKUP($B100,'ELC TECH'!$H:$H,'ELC TECH'!$E:$E)="Storage",DE$4*$BF100,"")</f>
        <v/>
      </c>
      <c r="DF100" s="8" t="str">
        <f>IF(_xlfn.XLOOKUP($B100,'ELC TECH'!$H:$H,'ELC TECH'!$E:$E)="Storage",DF$4*$BF100,"")</f>
        <v/>
      </c>
      <c r="DG100" s="8" t="str">
        <f>IF(_xlfn.XLOOKUP($B100,'ELC TECH'!$H:$H,'ELC TECH'!$E:$E)="Storage",DG$4*$BF100,"")</f>
        <v/>
      </c>
      <c r="DH100" s="8" t="str">
        <f>IF(_xlfn.XLOOKUP($B100,'ELC TECH'!$H:$H,'ELC TECH'!$E:$E)="Storage",DH$4*$BF100,"")</f>
        <v/>
      </c>
      <c r="DI100" s="8" t="str">
        <f>IF(_xlfn.XLOOKUP($B100,'ELC TECH'!$H:$H,'ELC TECH'!$E:$E)="Storage",DI$4*$BF100,"")</f>
        <v/>
      </c>
    </row>
    <row r="101" spans="2:113" x14ac:dyDescent="0.25">
      <c r="B101" t="str">
        <f>IF('ELC TECH'!I94=0,"*",'ELC TECH'!H94)</f>
        <v>ELCWNDGRDWOFC820</v>
      </c>
      <c r="C101" t="str">
        <f>IF(_xlfn.XLOOKUP(_xlfn.XLOOKUP(B101,'ELC TECH'!$H:$H,'ELC TECH'!$G:$G),List!C:C,List!B:B)="STG",D101,"ELC"&amp;_xlfn.XLOOKUP(_xlfn.XLOOKUP(B101,'ELC TECH'!H:H,'ELC TECH'!G:G),List!C:C,List!B:B))</f>
        <v>ELCWND</v>
      </c>
      <c r="D101" t="s">
        <v>544</v>
      </c>
      <c r="E101">
        <f>_xlfn.XLOOKUP(B101,'ELC TECH'!H:H,'ELC TECH'!D:D)</f>
        <v>2020</v>
      </c>
      <c r="F101">
        <f>_xlfn.XLOOKUP(B101,'ELC TECH'!H:H,'ELC TECH'!K:K)</f>
        <v>30</v>
      </c>
      <c r="G101">
        <f t="shared" si="6"/>
        <v>31.535999999999998</v>
      </c>
      <c r="H101">
        <f>IF(_xlfn.XLOOKUP(B101,'ELC TECH'!$H:$H,'ELC TECH'!$E:$E)="Storage",0.3,IF(_xlfn.XLOOKUP(B101,'ELC TECH'!$H:$H,'ELC TECH'!$E:$E)="Baseload",0.9,IF(_xlfn.XLOOKUP(B101,'ELC TECH'!$H:$H,'ELC TECH'!$E:$E)="Non Dispatchable",0.05,IF(_xlfn.XLOOKUP(B101,'ELC TECH'!$H:$H,'ELC TECH'!$E:$E)="Dispatchable",0.9,1))))</f>
        <v>0.05</v>
      </c>
      <c r="I101" s="13">
        <f>IF(_xlfn.XLOOKUP(B101,'ELC TECH'!H:H,'ELC TECH'!J:J)="","",_xlfn.XLOOKUP(B101,'ELC TECH'!H:H,'ELC TECH'!J:J))</f>
        <v>0</v>
      </c>
      <c r="J101" s="12">
        <f>IF(_xlfn.XLOOKUP($B101,'ELC TECH'!$H:$H,'ELC TECH'!$E:$E)="Storage","",IF(_xlfn.XLOOKUP($B101,'ELC TECH'!$H:$H,'ELC TECH'!AK:AK)="",1,_xlfn.XLOOKUP($B101,'ELC TECH'!$H:$H,'ELC TECH'!AK:AK)))</f>
        <v>1</v>
      </c>
      <c r="K101" s="12">
        <f>IF(_xlfn.XLOOKUP($B101,'ELC TECH'!$H:$H,'ELC TECH'!$E:$E)="Storage","",IF(_xlfn.XLOOKUP($B101,'ELC TECH'!$H:$H,'ELC TECH'!AL:AL)="",1,_xlfn.XLOOKUP($B101,'ELC TECH'!$H:$H,'ELC TECH'!AL:AL)))</f>
        <v>1</v>
      </c>
      <c r="L101" s="12">
        <f>IF(_xlfn.XLOOKUP($B101,'ELC TECH'!$H:$H,'ELC TECH'!$E:$E)="Storage","",IF(_xlfn.XLOOKUP($B101,'ELC TECH'!$H:$H,'ELC TECH'!AM:AM)="",1,_xlfn.XLOOKUP($B101,'ELC TECH'!$H:$H,'ELC TECH'!AM:AM)))</f>
        <v>1</v>
      </c>
      <c r="M101" s="12">
        <f>IF(_xlfn.XLOOKUP($B101,'ELC TECH'!$H:$H,'ELC TECH'!$E:$E)="Storage","",IF(_xlfn.XLOOKUP($B101,'ELC TECH'!$H:$H,'ELC TECH'!AN:AN)="",1,_xlfn.XLOOKUP($B101,'ELC TECH'!$H:$H,'ELC TECH'!AN:AN)))</f>
        <v>1</v>
      </c>
      <c r="N101" s="12">
        <f>IF(_xlfn.XLOOKUP($B101,'ELC TECH'!$H:$H,'ELC TECH'!$E:$E)="Storage","",IF(_xlfn.XLOOKUP($B101,'ELC TECH'!$H:$H,'ELC TECH'!AO:AO)="",1,_xlfn.XLOOKUP($B101,'ELC TECH'!$H:$H,'ELC TECH'!AO:AO)))</f>
        <v>1</v>
      </c>
      <c r="O101" s="12">
        <f>IF(_xlfn.XLOOKUP($B101,'ELC TECH'!$H:$H,'ELC TECH'!$E:$E)="Storage","",IF(_xlfn.XLOOKUP($B101,'ELC TECH'!$H:$H,'ELC TECH'!AP:AP)="",1,_xlfn.XLOOKUP($B101,'ELC TECH'!$H:$H,'ELC TECH'!AP:AP)))</f>
        <v>1</v>
      </c>
      <c r="P101" s="12">
        <f>IF(_xlfn.XLOOKUP($B101,'ELC TECH'!$H:$H,'ELC TECH'!$E:$E)="Storage","",IF(_xlfn.XLOOKUP($B101,'ELC TECH'!$H:$H,'ELC TECH'!AQ:AQ)="",1,_xlfn.XLOOKUP($B101,'ELC TECH'!$H:$H,'ELC TECH'!AQ:AQ)))</f>
        <v>1</v>
      </c>
      <c r="Q101" s="12">
        <f>IF(_xlfn.XLOOKUP($B101,'ELC TECH'!$H:$H,'ELC TECH'!$E:$E)="Storage","",IF(_xlfn.XLOOKUP($B101,'ELC TECH'!$H:$H,'ELC TECH'!AR:AR)="",1,_xlfn.XLOOKUP($B101,'ELC TECH'!$H:$H,'ELC TECH'!AR:AR)))</f>
        <v>1</v>
      </c>
      <c r="R101" s="12" t="str">
        <f>IF(_xlfn.XLOOKUP($B101,'ELC TECH'!$H:$H,'ELC TECH'!$E:$E)&lt;&gt;"Storage","",IF(_xlfn.XLOOKUP($B101,'ELC TECH'!$H:$H,'ELC TECH'!AK:AK)="",0.8,_xlfn.XLOOKUP($B101,'ELC TECH'!$H:$H,'ELC TECH'!AK:AK)))</f>
        <v/>
      </c>
      <c r="S101" s="12" t="str">
        <f>IF(_xlfn.XLOOKUP($B101,'ELC TECH'!$H:$H,'ELC TECH'!$E:$E)&lt;&gt;"Storage","",IF(_xlfn.XLOOKUP($B101,'ELC TECH'!$H:$H,'ELC TECH'!AL:AL)="",0.8,_xlfn.XLOOKUP($B101,'ELC TECH'!$H:$H,'ELC TECH'!AL:AL)))</f>
        <v/>
      </c>
      <c r="T101" s="12" t="str">
        <f>IF(_xlfn.XLOOKUP($B101,'ELC TECH'!$H:$H,'ELC TECH'!$E:$E)&lt;&gt;"Storage","",IF(_xlfn.XLOOKUP($B101,'ELC TECH'!$H:$H,'ELC TECH'!AM:AM)="",0.8,_xlfn.XLOOKUP($B101,'ELC TECH'!$H:$H,'ELC TECH'!AM:AM)))</f>
        <v/>
      </c>
      <c r="U101" s="12" t="str">
        <f>IF(_xlfn.XLOOKUP($B101,'ELC TECH'!$H:$H,'ELC TECH'!$E:$E)&lt;&gt;"Storage","",IF(_xlfn.XLOOKUP($B101,'ELC TECH'!$H:$H,'ELC TECH'!AN:AN)="",0.8,_xlfn.XLOOKUP($B101,'ELC TECH'!$H:$H,'ELC TECH'!AN:AN)))</f>
        <v/>
      </c>
      <c r="V101" s="12" t="str">
        <f>IF(_xlfn.XLOOKUP($B101,'ELC TECH'!$H:$H,'ELC TECH'!$E:$E)&lt;&gt;"Storage","",IF(_xlfn.XLOOKUP($B101,'ELC TECH'!$H:$H,'ELC TECH'!AO:AO)="",0.8,_xlfn.XLOOKUP($B101,'ELC TECH'!$H:$H,'ELC TECH'!AO:AO)))</f>
        <v/>
      </c>
      <c r="W101" s="12" t="str">
        <f>IF(_xlfn.XLOOKUP($B101,'ELC TECH'!$H:$H,'ELC TECH'!$E:$E)&lt;&gt;"Storage","",IF(_xlfn.XLOOKUP($B101,'ELC TECH'!$H:$H,'ELC TECH'!AP:AP)="",0.8,_xlfn.XLOOKUP($B101,'ELC TECH'!$H:$H,'ELC TECH'!AP:AP)))</f>
        <v/>
      </c>
      <c r="X101" s="12" t="str">
        <f>IF(_xlfn.XLOOKUP($B101,'ELC TECH'!$H:$H,'ELC TECH'!$E:$E)&lt;&gt;"Storage","",IF(_xlfn.XLOOKUP($B101,'ELC TECH'!$H:$H,'ELC TECH'!AQ:AQ)="",0.8,_xlfn.XLOOKUP($B101,'ELC TECH'!$H:$H,'ELC TECH'!AQ:AQ)))</f>
        <v/>
      </c>
      <c r="Y101" s="12" t="str">
        <f>IF(_xlfn.XLOOKUP($B101,'ELC TECH'!$H:$H,'ELC TECH'!$E:$E)&lt;&gt;"Storage","",IF(_xlfn.XLOOKUP($B101,'ELC TECH'!$H:$H,'ELC TECH'!AR:AR)="",0.8,_xlfn.XLOOKUP($B101,'ELC TECH'!$H:$H,'ELC TECH'!AR:AR)))</f>
        <v/>
      </c>
      <c r="Z101" s="15">
        <f>_xlfn.XLOOKUP($B101,'ELC TECH'!$H:$H,'ELC TECH'!M:M)</f>
        <v>3855.148851590011</v>
      </c>
      <c r="AA101" s="15">
        <f>_xlfn.XLOOKUP($B101,'ELC TECH'!$H:$H,'ELC TECH'!N:N)</f>
        <v>3380.1370445216148</v>
      </c>
      <c r="AB101" s="15">
        <f>_xlfn.XLOOKUP($B101,'ELC TECH'!$H:$H,'ELC TECH'!O:O)</f>
        <v>3118.0594523149598</v>
      </c>
      <c r="AC101" s="15">
        <f>_xlfn.XLOOKUP($B101,'ELC TECH'!$H:$H,'ELC TECH'!P:P)</f>
        <v>2956.051604458426</v>
      </c>
      <c r="AD101" s="15">
        <f>_xlfn.XLOOKUP($B101,'ELC TECH'!$H:$H,'ELC TECH'!Q:Q)</f>
        <v>2838.474432851051</v>
      </c>
      <c r="AE101" s="15">
        <f>_xlfn.XLOOKUP($B101,'ELC TECH'!$H:$H,'ELC TECH'!R:R)</f>
        <v>2746.1304636710038</v>
      </c>
      <c r="AF101" s="15">
        <f>_xlfn.XLOOKUP($B101,'ELC TECH'!$H:$H,'ELC TECH'!S:S)</f>
        <v>2670.0798458277732</v>
      </c>
      <c r="AG101" s="15">
        <f>_xlfn.XLOOKUP($B101,'ELC TECH'!$H:$H,'ELC TECH'!T:T)</f>
        <v>2670.0798458277732</v>
      </c>
      <c r="AH101" s="15">
        <f>_xlfn.XLOOKUP($B101,'ELC TECH'!$H:$H,'ELC TECH'!U:U)</f>
        <v>89.24836968951027</v>
      </c>
      <c r="AI101" s="15">
        <f>_xlfn.XLOOKUP($B101,'ELC TECH'!$H:$H,'ELC TECH'!V:V)</f>
        <v>79.93891775971484</v>
      </c>
      <c r="AJ101" s="15">
        <f>_xlfn.XLOOKUP($B101,'ELC TECH'!$H:$H,'ELC TECH'!W:W)</f>
        <v>73.41820787396081</v>
      </c>
      <c r="AK101" s="15">
        <f>_xlfn.XLOOKUP($B101,'ELC TECH'!$H:$H,'ELC TECH'!X:X)</f>
        <v>69.04755719732178</v>
      </c>
      <c r="AL101" s="15">
        <f>_xlfn.XLOOKUP($B101,'ELC TECH'!$H:$H,'ELC TECH'!Y:Y)</f>
        <v>65.755390967736886</v>
      </c>
      <c r="AM101" s="15">
        <f>_xlfn.XLOOKUP($B101,'ELC TECH'!$H:$H,'ELC TECH'!Z:Z)</f>
        <v>63.11343399274039</v>
      </c>
      <c r="AN101" s="15">
        <f>_xlfn.XLOOKUP($B101,'ELC TECH'!$H:$H,'ELC TECH'!AA:AA)</f>
        <v>60.906728979990739</v>
      </c>
      <c r="AO101" s="15">
        <f>_xlfn.XLOOKUP($B101,'ELC TECH'!$H:$H,'ELC TECH'!AB:AB)</f>
        <v>60.906728979990739</v>
      </c>
      <c r="AP101" s="15">
        <f>_xlfn.XLOOKUP($B101,'ELC TECH'!$H:$H,'ELC TECH'!AC:AC)</f>
        <v>0</v>
      </c>
      <c r="AQ101" s="15">
        <f>_xlfn.XLOOKUP($B101,'ELC TECH'!$H:$H,'ELC TECH'!AD:AD)</f>
        <v>0</v>
      </c>
      <c r="AR101" s="15">
        <f>_xlfn.XLOOKUP($B101,'ELC TECH'!$H:$H,'ELC TECH'!AE:AE)</f>
        <v>0</v>
      </c>
      <c r="AS101" s="15">
        <f>_xlfn.XLOOKUP($B101,'ELC TECH'!$H:$H,'ELC TECH'!AF:AF)</f>
        <v>0</v>
      </c>
      <c r="AT101" s="15">
        <f>_xlfn.XLOOKUP($B101,'ELC TECH'!$H:$H,'ELC TECH'!AG:AG)</f>
        <v>0</v>
      </c>
      <c r="AU101" s="15">
        <f>_xlfn.XLOOKUP($B101,'ELC TECH'!$H:$H,'ELC TECH'!AH:AH)</f>
        <v>0</v>
      </c>
      <c r="AV101" s="15">
        <f>_xlfn.XLOOKUP($B101,'ELC TECH'!$H:$H,'ELC TECH'!AI:AI)</f>
        <v>0</v>
      </c>
      <c r="AW101" s="15">
        <f>_xlfn.XLOOKUP($B101,'ELC TECH'!$H:$H,'ELC TECH'!AJ:AJ)</f>
        <v>0</v>
      </c>
      <c r="AX101" s="12">
        <f>IF(_xlfn.XLOOKUP($B101,'ELC TECH'!$H:$H,'ELC TECH'!$E:$E)="Storage","",_xlfn.XLOOKUP($B101,'ELC TECH'!$H:$H,'ELC TECH'!AS:AS))</f>
        <v>0.52375843552641699</v>
      </c>
      <c r="AY101" s="12">
        <f>IF(_xlfn.XLOOKUP($B101,'ELC TECH'!$H:$H,'ELC TECH'!$E:$E)="Storage","",_xlfn.XLOOKUP($B101,'ELC TECH'!$H:$H,'ELC TECH'!AT:AT))</f>
        <v>0.54102083974009596</v>
      </c>
      <c r="AZ101" s="12">
        <f>IF(_xlfn.XLOOKUP($B101,'ELC TECH'!$H:$H,'ELC TECH'!$E:$E)="Storage","",_xlfn.XLOOKUP($B101,'ELC TECH'!$H:$H,'ELC TECH'!AU:AU))</f>
        <v>0.55970683666427001</v>
      </c>
      <c r="BA101" s="12">
        <f>IF(_xlfn.XLOOKUP($B101,'ELC TECH'!$H:$H,'ELC TECH'!$E:$E)="Storage","",_xlfn.XLOOKUP($B101,'ELC TECH'!$H:$H,'ELC TECH'!AV:AV))</f>
        <v>0.56717745799737396</v>
      </c>
      <c r="BB101" s="12">
        <f>IF(_xlfn.XLOOKUP($B101,'ELC TECH'!$H:$H,'ELC TECH'!$E:$E)="Storage","",_xlfn.XLOOKUP($B101,'ELC TECH'!$H:$H,'ELC TECH'!AW:AW))</f>
        <v>0.57403843859745096</v>
      </c>
      <c r="BC101" s="12">
        <f>IF(_xlfn.XLOOKUP($B101,'ELC TECH'!$H:$H,'ELC TECH'!$E:$E)="Storage","",_xlfn.XLOOKUP($B101,'ELC TECH'!$H:$H,'ELC TECH'!AX:AX))</f>
        <v>0.58053187189754496</v>
      </c>
      <c r="BD101" s="12">
        <f>IF(_xlfn.XLOOKUP($B101,'ELC TECH'!$H:$H,'ELC TECH'!$E:$E)="Storage","",_xlfn.XLOOKUP($B101,'ELC TECH'!$H:$H,'ELC TECH'!AY:AY))</f>
        <v>0.58677926796822799</v>
      </c>
      <c r="BE101" s="12">
        <f>IF(_xlfn.XLOOKUP($B101,'ELC TECH'!$H:$H,'ELC TECH'!$E:$E)="Storage","",_xlfn.XLOOKUP($B101,'ELC TECH'!$H:$H,'ELC TECH'!AZ:AZ))</f>
        <v>0.58677926796822799</v>
      </c>
      <c r="BF101" s="12" t="str">
        <f>IF(_xlfn.XLOOKUP($B101,'ELC TECH'!$H:$H,'ELC TECH'!$E:$E)="Storage",_xlfn.XLOOKUP($B101,'ELC TECH'!$H:$H,'ELC TECH'!AS:AS),"")</f>
        <v/>
      </c>
      <c r="BG101" s="12" t="str">
        <f>IF(_xlfn.XLOOKUP($B101,'ELC TECH'!$H:$H,'ELC TECH'!$E:$E)="Storage",_xlfn.XLOOKUP($B101,'ELC TECH'!$H:$H,'ELC TECH'!AT:AT),"")</f>
        <v/>
      </c>
      <c r="BH101" s="12" t="str">
        <f>IF(_xlfn.XLOOKUP($B101,'ELC TECH'!$H:$H,'ELC TECH'!$E:$E)="Storage",_xlfn.XLOOKUP($B101,'ELC TECH'!$H:$H,'ELC TECH'!AU:AU),"")</f>
        <v/>
      </c>
      <c r="BI101" s="12" t="str">
        <f>IF(_xlfn.XLOOKUP($B101,'ELC TECH'!$H:$H,'ELC TECH'!$E:$E)="Storage",_xlfn.XLOOKUP($B101,'ELC TECH'!$H:$H,'ELC TECH'!AV:AV),"")</f>
        <v/>
      </c>
      <c r="BJ101" s="12" t="str">
        <f>IF(_xlfn.XLOOKUP($B101,'ELC TECH'!$H:$H,'ELC TECH'!$E:$E)="Storage",_xlfn.XLOOKUP($B101,'ELC TECH'!$H:$H,'ELC TECH'!AW:AW),"")</f>
        <v/>
      </c>
      <c r="BK101" s="12" t="str">
        <f>IF(_xlfn.XLOOKUP($B101,'ELC TECH'!$H:$H,'ELC TECH'!$E:$E)="Storage",_xlfn.XLOOKUP($B101,'ELC TECH'!$H:$H,'ELC TECH'!AX:AX),"")</f>
        <v/>
      </c>
      <c r="BL101" s="12" t="str">
        <f>IF(_xlfn.XLOOKUP($B101,'ELC TECH'!$H:$H,'ELC TECH'!$E:$E)="Storage",_xlfn.XLOOKUP($B101,'ELC TECH'!$H:$H,'ELC TECH'!AY:AY),"")</f>
        <v/>
      </c>
      <c r="BM101" s="12" t="str">
        <f>IF(_xlfn.XLOOKUP($B101,'ELC TECH'!$H:$H,'ELC TECH'!$E:$E)="Storage",_xlfn.XLOOKUP($B101,'ELC TECH'!$H:$H,'ELC TECH'!AZ:AZ),"")</f>
        <v/>
      </c>
      <c r="BN101" s="8">
        <f>IF(_xlfn.XLOOKUP($B101,'ELC TECH'!$H:$H,'ELC TECH'!$E:$E)="Non Dispatchable",IFERROR($AX101*_xlfn.XLOOKUP($C101,$BM$1:$BM$3,BN$1:BN$3)/SUMPRODUCT(_xlfn.XLOOKUP($C101,$BM$1:$BM$3,$BN$1:$BY$3),$BN$4:$BY$4),""),
"")</f>
        <v>0.91972059927660021</v>
      </c>
      <c r="BO101" s="8">
        <f>IF(_xlfn.XLOOKUP($B101,'ELC TECH'!$H:$H,'ELC TECH'!$E:$E)="Non Dispatchable",IFERROR($AX101*_xlfn.XLOOKUP($C101,$BM$1:$BM$3,BO$1:BO$3)/SUMPRODUCT(_xlfn.XLOOKUP($C101,$BM$1:$BM$3,$BN$1:$BY$3),$BN$4:$BY$4),""),
"")</f>
        <v>0.91972059927660021</v>
      </c>
      <c r="BP101" s="8">
        <f>IF(_xlfn.XLOOKUP($B101,'ELC TECH'!$H:$H,'ELC TECH'!$E:$E)="Non Dispatchable",IFERROR($AX101*_xlfn.XLOOKUP($C101,$BM$1:$BM$3,BP$1:BP$3)/SUMPRODUCT(_xlfn.XLOOKUP($C101,$BM$1:$BM$3,$BN$1:$BY$3),$BN$4:$BY$4),""),
"")</f>
        <v>9.1972059927660027E-2</v>
      </c>
      <c r="BQ101" s="8">
        <f>IF(_xlfn.XLOOKUP($B101,'ELC TECH'!$H:$H,'ELC TECH'!$E:$E)="Non Dispatchable",IFERROR($AX101*_xlfn.XLOOKUP($C101,$BM$1:$BM$3,BQ$1:BQ$3)/SUMPRODUCT(_xlfn.XLOOKUP($C101,$BM$1:$BM$3,$BN$1:$BY$3),$BN$4:$BY$4),""),
"")</f>
        <v>0.73693336067823212</v>
      </c>
      <c r="BR101" s="8">
        <f>IF(_xlfn.XLOOKUP($B101,'ELC TECH'!$H:$H,'ELC TECH'!$E:$E)="Non Dispatchable",IFERROR($AX101*_xlfn.XLOOKUP($C101,$BM$1:$BM$3,BR$1:BR$3)/SUMPRODUCT(_xlfn.XLOOKUP($C101,$BM$1:$BM$3,$BN$1:$BY$3),$BN$4:$BY$4),""),
"")</f>
        <v>1.0702203337036804</v>
      </c>
      <c r="BS101" s="8">
        <f>IF(_xlfn.XLOOKUP($B101,'ELC TECH'!$H:$H,'ELC TECH'!$E:$E)="Non Dispatchable",IFERROR($AX101*_xlfn.XLOOKUP($C101,$BM$1:$BM$3,BS$1:BS$3)/SUMPRODUCT(_xlfn.XLOOKUP($C101,$BM$1:$BM$3,$BN$1:$BY$3),$BN$4:$BY$4),""),
"")</f>
        <v>1.0702203337036804</v>
      </c>
      <c r="BT101" s="8">
        <f>IF(_xlfn.XLOOKUP($B101,'ELC TECH'!$H:$H,'ELC TECH'!$E:$E)="Non Dispatchable",IFERROR($AX101*_xlfn.XLOOKUP($C101,$BM$1:$BM$3,BT$1:BT$3)/SUMPRODUCT(_xlfn.XLOOKUP($C101,$BM$1:$BM$3,$BN$1:$BY$3),$BN$4:$BY$4),""),
"")</f>
        <v>0.10702203337036806</v>
      </c>
      <c r="BU101" s="8">
        <f>IF(_xlfn.XLOOKUP($B101,'ELC TECH'!$H:$H,'ELC TECH'!$E:$E)="Non Dispatchable",IFERROR($AX101*_xlfn.XLOOKUP($C101,$BM$1:$BM$3,BU$1:BU$3)/SUMPRODUCT(_xlfn.XLOOKUP($C101,$BM$1:$BM$3,$BN$1:$BY$3),$BN$4:$BY$4),""),
"")</f>
        <v>0.94828666723671529</v>
      </c>
      <c r="BV101" s="8">
        <f>IF(_xlfn.XLOOKUP($B101,'ELC TECH'!$H:$H,'ELC TECH'!$E:$E)="Non Dispatchable",IFERROR($AX101*_xlfn.XLOOKUP($C101,$BM$1:$BM$3,BV$1:BV$3)/SUMPRODUCT(_xlfn.XLOOKUP($C101,$BM$1:$BM$3,$BN$1:$BY$3),$BN$4:$BY$4),""),
"")</f>
        <v>0.55423511294578309</v>
      </c>
      <c r="BW101" s="8">
        <f>IF(_xlfn.XLOOKUP($B101,'ELC TECH'!$H:$H,'ELC TECH'!$E:$E)="Non Dispatchable",IFERROR($AX101*_xlfn.XLOOKUP($C101,$BM$1:$BM$3,BW$1:BW$3)/SUMPRODUCT(_xlfn.XLOOKUP($C101,$BM$1:$BM$3,$BN$1:$BY$3),$BN$4:$BY$4),""),
"")</f>
        <v>0.55423511294578309</v>
      </c>
      <c r="BX101" s="8">
        <f>IF(_xlfn.XLOOKUP($B101,'ELC TECH'!$H:$H,'ELC TECH'!$E:$E)="Non Dispatchable",IFERROR($AX101*_xlfn.XLOOKUP($C101,$BM$1:$BM$3,BX$1:BX$3)/SUMPRODUCT(_xlfn.XLOOKUP($C101,$BM$1:$BM$3,$BN$1:$BY$3),$BN$4:$BY$4),""),
"")</f>
        <v>5.5423511294578308E-2</v>
      </c>
      <c r="BY101" s="8">
        <f>IF(_xlfn.XLOOKUP($B101,'ELC TECH'!$H:$H,'ELC TECH'!$E:$E)="Non Dispatchable",IFERROR($AX101*_xlfn.XLOOKUP($C101,$BM$1:$BM$3,BY$1:BY$3)/SUMPRODUCT(_xlfn.XLOOKUP($C101,$BM$1:$BM$3,$BN$1:$BY$3),$BN$4:$BY$4),""),
"")</f>
        <v>0.40511878197981294</v>
      </c>
      <c r="BZ101" s="8">
        <f>IF(_xlfn.XLOOKUP($B101,'ELC TECH'!$H:$H,'ELC TECH'!$E:$E)="Non Dispatchable",IFERROR($AX101*_xlfn.XLOOKUP($C101,$BM$1:$BM$3,BZ$1:BZ$3)/SUMPRODUCT(_xlfn.XLOOKUP($C101,$BM$1:$BM$3,$BN$1:$BY$3),$BN$4:$BY$4),""),
"")</f>
        <v>0.91972059927660021</v>
      </c>
      <c r="CA101" s="8">
        <f>IF(_xlfn.XLOOKUP($B101,'ELC TECH'!$H:$H,'ELC TECH'!$E:$E)="Non Dispatchable",IFERROR($AX101*_xlfn.XLOOKUP($C101,$BM$1:$BM$3,CA$1:CA$3)/SUMPRODUCT(_xlfn.XLOOKUP($C101,$BM$1:$BM$3,$BN$1:$BY$3),$BN$4:$BY$4),""),
"")</f>
        <v>0.91972059927660021</v>
      </c>
      <c r="CB101" s="8">
        <f>IF(_xlfn.XLOOKUP($B101,'ELC TECH'!$H:$H,'ELC TECH'!$E:$E)="Non Dispatchable",IFERROR($AX101*_xlfn.XLOOKUP($C101,$BM$1:$BM$3,CB$1:CB$3)/SUMPRODUCT(_xlfn.XLOOKUP($C101,$BM$1:$BM$3,$BN$1:$BY$3),$BN$4:$BY$4),""),
"")</f>
        <v>9.1972059927660027E-2</v>
      </c>
      <c r="CC101" s="8">
        <f>IF(_xlfn.XLOOKUP($B101,'ELC TECH'!$H:$H,'ELC TECH'!$E:$E)="Non Dispatchable",IFERROR($AX101*_xlfn.XLOOKUP($C101,$BM$1:$BM$3,CC$1:CC$3)/SUMPRODUCT(_xlfn.XLOOKUP($C101,$BM$1:$BM$3,$BN$1:$BY$3),$BN$4:$BY$4),""),
"")</f>
        <v>0.73693336067823212</v>
      </c>
      <c r="CD101" s="8">
        <f>IF(_xlfn.XLOOKUP($B101,'ELC TECH'!$H:$H,'ELC TECH'!$E:$E)="Non Dispatchable",IFERROR($AX101*_xlfn.XLOOKUP($C101,$BM$1:$BM$3,CD$1:CD$3)/SUMPRODUCT(_xlfn.XLOOKUP($C101,$BM$1:$BM$3,$BN$1:$BY$3),$BN$4:$BY$4),""),
"")</f>
        <v>1.0702203337036804</v>
      </c>
      <c r="CE101" s="8">
        <f>IF(_xlfn.XLOOKUP($B101,'ELC TECH'!$H:$H,'ELC TECH'!$E:$E)="Non Dispatchable",IFERROR($AX101*_xlfn.XLOOKUP($C101,$BM$1:$BM$3,CE$1:CE$3)/SUMPRODUCT(_xlfn.XLOOKUP($C101,$BM$1:$BM$3,$BN$1:$BY$3),$BN$4:$BY$4),""),
"")</f>
        <v>1.0702203337036804</v>
      </c>
      <c r="CF101" s="8">
        <f>IF(_xlfn.XLOOKUP($B101,'ELC TECH'!$H:$H,'ELC TECH'!$E:$E)="Non Dispatchable",IFERROR($AX101*_xlfn.XLOOKUP($C101,$BM$1:$BM$3,CF$1:CF$3)/SUMPRODUCT(_xlfn.XLOOKUP($C101,$BM$1:$BM$3,$BN$1:$BY$3),$BN$4:$BY$4),""),
"")</f>
        <v>0.10702203337036806</v>
      </c>
      <c r="CG101" s="8">
        <f>IF(_xlfn.XLOOKUP($B101,'ELC TECH'!$H:$H,'ELC TECH'!$E:$E)="Non Dispatchable",IFERROR($AX101*_xlfn.XLOOKUP($C101,$BM$1:$BM$3,CG$1:CG$3)/SUMPRODUCT(_xlfn.XLOOKUP($C101,$BM$1:$BM$3,$BN$1:$BY$3),$BN$4:$BY$4),""),
"")</f>
        <v>0.94828666723671529</v>
      </c>
      <c r="CH101" s="8">
        <f>IF(_xlfn.XLOOKUP($B101,'ELC TECH'!$H:$H,'ELC TECH'!$E:$E)="Non Dispatchable",IFERROR($AX101*_xlfn.XLOOKUP($C101,$BM$1:$BM$3,CH$1:CH$3)/SUMPRODUCT(_xlfn.XLOOKUP($C101,$BM$1:$BM$3,$BN$1:$BY$3),$BN$4:$BY$4),""),
"")</f>
        <v>0.55423511294578309</v>
      </c>
      <c r="CI101" s="8">
        <f>IF(_xlfn.XLOOKUP($B101,'ELC TECH'!$H:$H,'ELC TECH'!$E:$E)="Non Dispatchable",IFERROR($AX101*_xlfn.XLOOKUP($C101,$BM$1:$BM$3,CI$1:CI$3)/SUMPRODUCT(_xlfn.XLOOKUP($C101,$BM$1:$BM$3,$BN$1:$BY$3),$BN$4:$BY$4),""),
"")</f>
        <v>0.55423511294578309</v>
      </c>
      <c r="CJ101" s="8">
        <f>IF(_xlfn.XLOOKUP($B101,'ELC TECH'!$H:$H,'ELC TECH'!$E:$E)="Non Dispatchable",IFERROR($AX101*_xlfn.XLOOKUP($C101,$BM$1:$BM$3,CJ$1:CJ$3)/SUMPRODUCT(_xlfn.XLOOKUP($C101,$BM$1:$BM$3,$BN$1:$BY$3),$BN$4:$BY$4),""),
"")</f>
        <v>5.5423511294578308E-2</v>
      </c>
      <c r="CK101" s="8">
        <f>IF(_xlfn.XLOOKUP($B101,'ELC TECH'!$H:$H,'ELC TECH'!$E:$E)="Non Dispatchable",IFERROR($AX101*_xlfn.XLOOKUP($C101,$BM$1:$BM$3,CK$1:CK$3)/SUMPRODUCT(_xlfn.XLOOKUP($C101,$BM$1:$BM$3,$BN$1:$BY$3),$BN$4:$BY$4),""),
"")</f>
        <v>0.40511878197981294</v>
      </c>
      <c r="CL101" s="8" t="str">
        <f>IF(_xlfn.XLOOKUP($B101,'ELC TECH'!$H:$H,'ELC TECH'!$E:$E)="Storage",CL$4*$BF101,"")</f>
        <v/>
      </c>
      <c r="CM101" s="8" t="str">
        <f>IF(_xlfn.XLOOKUP($B101,'ELC TECH'!$H:$H,'ELC TECH'!$E:$E)="Storage",CM$4*$BF101,"")</f>
        <v/>
      </c>
      <c r="CN101" s="8" t="str">
        <f>IF(_xlfn.XLOOKUP($B101,'ELC TECH'!$H:$H,'ELC TECH'!$E:$E)="Storage",CN$4*$BF101,"")</f>
        <v/>
      </c>
      <c r="CO101" s="8" t="str">
        <f>IF(_xlfn.XLOOKUP($B101,'ELC TECH'!$H:$H,'ELC TECH'!$E:$E)="Storage",CO$4*$BF101,"")</f>
        <v/>
      </c>
      <c r="CP101" s="8" t="str">
        <f>IF(_xlfn.XLOOKUP($B101,'ELC TECH'!$H:$H,'ELC TECH'!$E:$E)="Storage",CP$4*$BF101,"")</f>
        <v/>
      </c>
      <c r="CQ101" s="8" t="str">
        <f>IF(_xlfn.XLOOKUP($B101,'ELC TECH'!$H:$H,'ELC TECH'!$E:$E)="Storage",CQ$4*$BF101,"")</f>
        <v/>
      </c>
      <c r="CR101" s="8" t="str">
        <f>IF(_xlfn.XLOOKUP($B101,'ELC TECH'!$H:$H,'ELC TECH'!$E:$E)="Storage",CR$4*$BF101,"")</f>
        <v/>
      </c>
      <c r="CS101" s="8" t="str">
        <f>IF(_xlfn.XLOOKUP($B101,'ELC TECH'!$H:$H,'ELC TECH'!$E:$E)="Storage",CS$4*$BF101,"")</f>
        <v/>
      </c>
      <c r="CT101" s="8" t="str">
        <f>IF(_xlfn.XLOOKUP($B101,'ELC TECH'!$H:$H,'ELC TECH'!$E:$E)="Storage",CT$4*$BF101,"")</f>
        <v/>
      </c>
      <c r="CU101" s="8" t="str">
        <f>IF(_xlfn.XLOOKUP($B101,'ELC TECH'!$H:$H,'ELC TECH'!$E:$E)="Storage",CU$4*$BF101,"")</f>
        <v/>
      </c>
      <c r="CV101" s="8" t="str">
        <f>IF(_xlfn.XLOOKUP($B101,'ELC TECH'!$H:$H,'ELC TECH'!$E:$E)="Storage",CV$4*$BF101,"")</f>
        <v/>
      </c>
      <c r="CW101" s="8" t="str">
        <f>IF(_xlfn.XLOOKUP($B101,'ELC TECH'!$H:$H,'ELC TECH'!$E:$E)="Storage",CW$4*$BF101,"")</f>
        <v/>
      </c>
      <c r="CX101" s="8" t="str">
        <f>IF(_xlfn.XLOOKUP($B101,'ELC TECH'!$H:$H,'ELC TECH'!$E:$E)="Storage",CX$4*$BF101,"")</f>
        <v/>
      </c>
      <c r="CY101" s="8" t="str">
        <f>IF(_xlfn.XLOOKUP($B101,'ELC TECH'!$H:$H,'ELC TECH'!$E:$E)="Storage",CY$4*$BF101,"")</f>
        <v/>
      </c>
      <c r="CZ101" s="8" t="str">
        <f>IF(_xlfn.XLOOKUP($B101,'ELC TECH'!$H:$H,'ELC TECH'!$E:$E)="Storage",CZ$4*$BF101,"")</f>
        <v/>
      </c>
      <c r="DA101" s="8" t="str">
        <f>IF(_xlfn.XLOOKUP($B101,'ELC TECH'!$H:$H,'ELC TECH'!$E:$E)="Storage",DA$4*$BF101,"")</f>
        <v/>
      </c>
      <c r="DB101" s="8" t="str">
        <f>IF(_xlfn.XLOOKUP($B101,'ELC TECH'!$H:$H,'ELC TECH'!$E:$E)="Storage",DB$4*$BF101,"")</f>
        <v/>
      </c>
      <c r="DC101" s="8" t="str">
        <f>IF(_xlfn.XLOOKUP($B101,'ELC TECH'!$H:$H,'ELC TECH'!$E:$E)="Storage",DC$4*$BF101,"")</f>
        <v/>
      </c>
      <c r="DD101" s="8" t="str">
        <f>IF(_xlfn.XLOOKUP($B101,'ELC TECH'!$H:$H,'ELC TECH'!$E:$E)="Storage",DD$4*$BF101,"")</f>
        <v/>
      </c>
      <c r="DE101" s="8" t="str">
        <f>IF(_xlfn.XLOOKUP($B101,'ELC TECH'!$H:$H,'ELC TECH'!$E:$E)="Storage",DE$4*$BF101,"")</f>
        <v/>
      </c>
      <c r="DF101" s="8" t="str">
        <f>IF(_xlfn.XLOOKUP($B101,'ELC TECH'!$H:$H,'ELC TECH'!$E:$E)="Storage",DF$4*$BF101,"")</f>
        <v/>
      </c>
      <c r="DG101" s="8" t="str">
        <f>IF(_xlfn.XLOOKUP($B101,'ELC TECH'!$H:$H,'ELC TECH'!$E:$E)="Storage",DG$4*$BF101,"")</f>
        <v/>
      </c>
      <c r="DH101" s="8" t="str">
        <f>IF(_xlfn.XLOOKUP($B101,'ELC TECH'!$H:$H,'ELC TECH'!$E:$E)="Storage",DH$4*$BF101,"")</f>
        <v/>
      </c>
      <c r="DI101" s="8" t="str">
        <f>IF(_xlfn.XLOOKUP($B101,'ELC TECH'!$H:$H,'ELC TECH'!$E:$E)="Storage",DI$4*$BF101,"")</f>
        <v/>
      </c>
    </row>
    <row r="102" spans="2:113" x14ac:dyDescent="0.25">
      <c r="B102" t="str">
        <f>IF('ELC TECH'!I95=0,"*",'ELC TECH'!H95)</f>
        <v>ELCWNDGRDWOFC920</v>
      </c>
      <c r="C102" t="str">
        <f>IF(_xlfn.XLOOKUP(_xlfn.XLOOKUP(B102,'ELC TECH'!$H:$H,'ELC TECH'!$G:$G),List!C:C,List!B:B)="STG",D102,"ELC"&amp;_xlfn.XLOOKUP(_xlfn.XLOOKUP(B102,'ELC TECH'!H:H,'ELC TECH'!G:G),List!C:C,List!B:B))</f>
        <v>ELCWND</v>
      </c>
      <c r="D102" t="s">
        <v>544</v>
      </c>
      <c r="E102">
        <f>_xlfn.XLOOKUP(B102,'ELC TECH'!H:H,'ELC TECH'!D:D)</f>
        <v>2020</v>
      </c>
      <c r="F102">
        <f>_xlfn.XLOOKUP(B102,'ELC TECH'!H:H,'ELC TECH'!K:K)</f>
        <v>30</v>
      </c>
      <c r="G102">
        <f t="shared" si="6"/>
        <v>31.535999999999998</v>
      </c>
      <c r="H102">
        <f>IF(_xlfn.XLOOKUP(B102,'ELC TECH'!$H:$H,'ELC TECH'!$E:$E)="Storage",0.3,IF(_xlfn.XLOOKUP(B102,'ELC TECH'!$H:$H,'ELC TECH'!$E:$E)="Baseload",0.9,IF(_xlfn.XLOOKUP(B102,'ELC TECH'!$H:$H,'ELC TECH'!$E:$E)="Non Dispatchable",0.05,IF(_xlfn.XLOOKUP(B102,'ELC TECH'!$H:$H,'ELC TECH'!$E:$E)="Dispatchable",0.9,1))))</f>
        <v>0.05</v>
      </c>
      <c r="I102" s="13">
        <f>IF(_xlfn.XLOOKUP(B102,'ELC TECH'!H:H,'ELC TECH'!J:J)="","",_xlfn.XLOOKUP(B102,'ELC TECH'!H:H,'ELC TECH'!J:J))</f>
        <v>0</v>
      </c>
      <c r="J102" s="12">
        <f>IF(_xlfn.XLOOKUP($B102,'ELC TECH'!$H:$H,'ELC TECH'!$E:$E)="Storage","",IF(_xlfn.XLOOKUP($B102,'ELC TECH'!$H:$H,'ELC TECH'!AK:AK)="",1,_xlfn.XLOOKUP($B102,'ELC TECH'!$H:$H,'ELC TECH'!AK:AK)))</f>
        <v>1</v>
      </c>
      <c r="K102" s="12">
        <f>IF(_xlfn.XLOOKUP($B102,'ELC TECH'!$H:$H,'ELC TECH'!$E:$E)="Storage","",IF(_xlfn.XLOOKUP($B102,'ELC TECH'!$H:$H,'ELC TECH'!AL:AL)="",1,_xlfn.XLOOKUP($B102,'ELC TECH'!$H:$H,'ELC TECH'!AL:AL)))</f>
        <v>1</v>
      </c>
      <c r="L102" s="12">
        <f>IF(_xlfn.XLOOKUP($B102,'ELC TECH'!$H:$H,'ELC TECH'!$E:$E)="Storage","",IF(_xlfn.XLOOKUP($B102,'ELC TECH'!$H:$H,'ELC TECH'!AM:AM)="",1,_xlfn.XLOOKUP($B102,'ELC TECH'!$H:$H,'ELC TECH'!AM:AM)))</f>
        <v>1</v>
      </c>
      <c r="M102" s="12">
        <f>IF(_xlfn.XLOOKUP($B102,'ELC TECH'!$H:$H,'ELC TECH'!$E:$E)="Storage","",IF(_xlfn.XLOOKUP($B102,'ELC TECH'!$H:$H,'ELC TECH'!AN:AN)="",1,_xlfn.XLOOKUP($B102,'ELC TECH'!$H:$H,'ELC TECH'!AN:AN)))</f>
        <v>1</v>
      </c>
      <c r="N102" s="12">
        <f>IF(_xlfn.XLOOKUP($B102,'ELC TECH'!$H:$H,'ELC TECH'!$E:$E)="Storage","",IF(_xlfn.XLOOKUP($B102,'ELC TECH'!$H:$H,'ELC TECH'!AO:AO)="",1,_xlfn.XLOOKUP($B102,'ELC TECH'!$H:$H,'ELC TECH'!AO:AO)))</f>
        <v>1</v>
      </c>
      <c r="O102" s="12">
        <f>IF(_xlfn.XLOOKUP($B102,'ELC TECH'!$H:$H,'ELC TECH'!$E:$E)="Storage","",IF(_xlfn.XLOOKUP($B102,'ELC TECH'!$H:$H,'ELC TECH'!AP:AP)="",1,_xlfn.XLOOKUP($B102,'ELC TECH'!$H:$H,'ELC TECH'!AP:AP)))</f>
        <v>1</v>
      </c>
      <c r="P102" s="12">
        <f>IF(_xlfn.XLOOKUP($B102,'ELC TECH'!$H:$H,'ELC TECH'!$E:$E)="Storage","",IF(_xlfn.XLOOKUP($B102,'ELC TECH'!$H:$H,'ELC TECH'!AQ:AQ)="",1,_xlfn.XLOOKUP($B102,'ELC TECH'!$H:$H,'ELC TECH'!AQ:AQ)))</f>
        <v>1</v>
      </c>
      <c r="Q102" s="12">
        <f>IF(_xlfn.XLOOKUP($B102,'ELC TECH'!$H:$H,'ELC TECH'!$E:$E)="Storage","",IF(_xlfn.XLOOKUP($B102,'ELC TECH'!$H:$H,'ELC TECH'!AR:AR)="",1,_xlfn.XLOOKUP($B102,'ELC TECH'!$H:$H,'ELC TECH'!AR:AR)))</f>
        <v>1</v>
      </c>
      <c r="R102" s="12" t="str">
        <f>IF(_xlfn.XLOOKUP($B102,'ELC TECH'!$H:$H,'ELC TECH'!$E:$E)&lt;&gt;"Storage","",IF(_xlfn.XLOOKUP($B102,'ELC TECH'!$H:$H,'ELC TECH'!AK:AK)="",0.8,_xlfn.XLOOKUP($B102,'ELC TECH'!$H:$H,'ELC TECH'!AK:AK)))</f>
        <v/>
      </c>
      <c r="S102" s="12" t="str">
        <f>IF(_xlfn.XLOOKUP($B102,'ELC TECH'!$H:$H,'ELC TECH'!$E:$E)&lt;&gt;"Storage","",IF(_xlfn.XLOOKUP($B102,'ELC TECH'!$H:$H,'ELC TECH'!AL:AL)="",0.8,_xlfn.XLOOKUP($B102,'ELC TECH'!$H:$H,'ELC TECH'!AL:AL)))</f>
        <v/>
      </c>
      <c r="T102" s="12" t="str">
        <f>IF(_xlfn.XLOOKUP($B102,'ELC TECH'!$H:$H,'ELC TECH'!$E:$E)&lt;&gt;"Storage","",IF(_xlfn.XLOOKUP($B102,'ELC TECH'!$H:$H,'ELC TECH'!AM:AM)="",0.8,_xlfn.XLOOKUP($B102,'ELC TECH'!$H:$H,'ELC TECH'!AM:AM)))</f>
        <v/>
      </c>
      <c r="U102" s="12" t="str">
        <f>IF(_xlfn.XLOOKUP($B102,'ELC TECH'!$H:$H,'ELC TECH'!$E:$E)&lt;&gt;"Storage","",IF(_xlfn.XLOOKUP($B102,'ELC TECH'!$H:$H,'ELC TECH'!AN:AN)="",0.8,_xlfn.XLOOKUP($B102,'ELC TECH'!$H:$H,'ELC TECH'!AN:AN)))</f>
        <v/>
      </c>
      <c r="V102" s="12" t="str">
        <f>IF(_xlfn.XLOOKUP($B102,'ELC TECH'!$H:$H,'ELC TECH'!$E:$E)&lt;&gt;"Storage","",IF(_xlfn.XLOOKUP($B102,'ELC TECH'!$H:$H,'ELC TECH'!AO:AO)="",0.8,_xlfn.XLOOKUP($B102,'ELC TECH'!$H:$H,'ELC TECH'!AO:AO)))</f>
        <v/>
      </c>
      <c r="W102" s="12" t="str">
        <f>IF(_xlfn.XLOOKUP($B102,'ELC TECH'!$H:$H,'ELC TECH'!$E:$E)&lt;&gt;"Storage","",IF(_xlfn.XLOOKUP($B102,'ELC TECH'!$H:$H,'ELC TECH'!AP:AP)="",0.8,_xlfn.XLOOKUP($B102,'ELC TECH'!$H:$H,'ELC TECH'!AP:AP)))</f>
        <v/>
      </c>
      <c r="X102" s="12" t="str">
        <f>IF(_xlfn.XLOOKUP($B102,'ELC TECH'!$H:$H,'ELC TECH'!$E:$E)&lt;&gt;"Storage","",IF(_xlfn.XLOOKUP($B102,'ELC TECH'!$H:$H,'ELC TECH'!AQ:AQ)="",0.8,_xlfn.XLOOKUP($B102,'ELC TECH'!$H:$H,'ELC TECH'!AQ:AQ)))</f>
        <v/>
      </c>
      <c r="Y102" s="12" t="str">
        <f>IF(_xlfn.XLOOKUP($B102,'ELC TECH'!$H:$H,'ELC TECH'!$E:$E)&lt;&gt;"Storage","",IF(_xlfn.XLOOKUP($B102,'ELC TECH'!$H:$H,'ELC TECH'!AR:AR)="",0.8,_xlfn.XLOOKUP($B102,'ELC TECH'!$H:$H,'ELC TECH'!AR:AR)))</f>
        <v/>
      </c>
      <c r="Z102" s="15">
        <f>_xlfn.XLOOKUP($B102,'ELC TECH'!$H:$H,'ELC TECH'!M:M)</f>
        <v>3869.7724737279368</v>
      </c>
      <c r="AA102" s="15">
        <f>_xlfn.XLOOKUP($B102,'ELC TECH'!$H:$H,'ELC TECH'!N:N)</f>
        <v>3392.958818418389</v>
      </c>
      <c r="AB102" s="15">
        <f>_xlfn.XLOOKUP($B102,'ELC TECH'!$H:$H,'ELC TECH'!O:O)</f>
        <v>3129.887095031117</v>
      </c>
      <c r="AC102" s="15">
        <f>_xlfn.XLOOKUP($B102,'ELC TECH'!$H:$H,'ELC TECH'!P:P)</f>
        <v>2967.2647075960649</v>
      </c>
      <c r="AD102" s="15">
        <f>_xlfn.XLOOKUP($B102,'ELC TECH'!$H:$H,'ELC TECH'!Q:Q)</f>
        <v>2849.2415339805038</v>
      </c>
      <c r="AE102" s="15">
        <f>_xlfn.XLOOKUP($B102,'ELC TECH'!$H:$H,'ELC TECH'!R:R)</f>
        <v>2756.5472791528791</v>
      </c>
      <c r="AF102" s="15">
        <f>_xlfn.XLOOKUP($B102,'ELC TECH'!$H:$H,'ELC TECH'!S:S)</f>
        <v>2680.2081807498871</v>
      </c>
      <c r="AG102" s="15">
        <f>_xlfn.XLOOKUP($B102,'ELC TECH'!$H:$H,'ELC TECH'!T:T)</f>
        <v>2680.2081807498871</v>
      </c>
      <c r="AH102" s="15">
        <f>_xlfn.XLOOKUP($B102,'ELC TECH'!$H:$H,'ELC TECH'!U:U)</f>
        <v>90.257207441065233</v>
      </c>
      <c r="AI102" s="15">
        <f>_xlfn.XLOOKUP($B102,'ELC TECH'!$H:$H,'ELC TECH'!V:V)</f>
        <v>80.842524159865405</v>
      </c>
      <c r="AJ102" s="15">
        <f>_xlfn.XLOOKUP($B102,'ELC TECH'!$H:$H,'ELC TECH'!W:W)</f>
        <v>74.248106055994157</v>
      </c>
      <c r="AK102" s="15">
        <f>_xlfn.XLOOKUP($B102,'ELC TECH'!$H:$H,'ELC TECH'!X:X)</f>
        <v>69.828050808528801</v>
      </c>
      <c r="AL102" s="15">
        <f>_xlfn.XLOOKUP($B102,'ELC TECH'!$H:$H,'ELC TECH'!Y:Y)</f>
        <v>66.498670884303309</v>
      </c>
      <c r="AM102" s="15">
        <f>_xlfn.XLOOKUP($B102,'ELC TECH'!$H:$H,'ELC TECH'!Z:Z)</f>
        <v>63.826849991975493</v>
      </c>
      <c r="AN102" s="15">
        <f>_xlfn.XLOOKUP($B102,'ELC TECH'!$H:$H,'ELC TECH'!AA:AA)</f>
        <v>61.595201024158172</v>
      </c>
      <c r="AO102" s="15">
        <f>_xlfn.XLOOKUP($B102,'ELC TECH'!$H:$H,'ELC TECH'!AB:AB)</f>
        <v>61.595201024158172</v>
      </c>
      <c r="AP102" s="15">
        <f>_xlfn.XLOOKUP($B102,'ELC TECH'!$H:$H,'ELC TECH'!AC:AC)</f>
        <v>0</v>
      </c>
      <c r="AQ102" s="15">
        <f>_xlfn.XLOOKUP($B102,'ELC TECH'!$H:$H,'ELC TECH'!AD:AD)</f>
        <v>0</v>
      </c>
      <c r="AR102" s="15">
        <f>_xlfn.XLOOKUP($B102,'ELC TECH'!$H:$H,'ELC TECH'!AE:AE)</f>
        <v>0</v>
      </c>
      <c r="AS102" s="15">
        <f>_xlfn.XLOOKUP($B102,'ELC TECH'!$H:$H,'ELC TECH'!AF:AF)</f>
        <v>0</v>
      </c>
      <c r="AT102" s="15">
        <f>_xlfn.XLOOKUP($B102,'ELC TECH'!$H:$H,'ELC TECH'!AG:AG)</f>
        <v>0</v>
      </c>
      <c r="AU102" s="15">
        <f>_xlfn.XLOOKUP($B102,'ELC TECH'!$H:$H,'ELC TECH'!AH:AH)</f>
        <v>0</v>
      </c>
      <c r="AV102" s="15">
        <f>_xlfn.XLOOKUP($B102,'ELC TECH'!$H:$H,'ELC TECH'!AI:AI)</f>
        <v>0</v>
      </c>
      <c r="AW102" s="15">
        <f>_xlfn.XLOOKUP($B102,'ELC TECH'!$H:$H,'ELC TECH'!AJ:AJ)</f>
        <v>0</v>
      </c>
      <c r="AX102" s="12">
        <f>IF(_xlfn.XLOOKUP($B102,'ELC TECH'!$H:$H,'ELC TECH'!$E:$E)="Storage","",_xlfn.XLOOKUP($B102,'ELC TECH'!$H:$H,'ELC TECH'!AS:AS))</f>
        <v>0.51102921488188202</v>
      </c>
      <c r="AY102" s="12">
        <f>IF(_xlfn.XLOOKUP($B102,'ELC TECH'!$H:$H,'ELC TECH'!$E:$E)="Storage","",_xlfn.XLOOKUP($B102,'ELC TECH'!$H:$H,'ELC TECH'!AT:AT))</f>
        <v>0.52816298689339902</v>
      </c>
      <c r="AZ102" s="12">
        <f>IF(_xlfn.XLOOKUP($B102,'ELC TECH'!$H:$H,'ELC TECH'!$E:$E)="Storage","",_xlfn.XLOOKUP($B102,'ELC TECH'!$H:$H,'ELC TECH'!AU:AU))</f>
        <v>0.54675888471414602</v>
      </c>
      <c r="BA102" s="12">
        <f>IF(_xlfn.XLOOKUP($B102,'ELC TECH'!$H:$H,'ELC TECH'!$E:$E)="Storage","",_xlfn.XLOOKUP($B102,'ELC TECH'!$H:$H,'ELC TECH'!AV:AV))</f>
        <v>0.55416911512137601</v>
      </c>
      <c r="BB102" s="12">
        <f>IF(_xlfn.XLOOKUP($B102,'ELC TECH'!$H:$H,'ELC TECH'!$E:$E)="Storage","",_xlfn.XLOOKUP($B102,'ELC TECH'!$H:$H,'ELC TECH'!AW:AW))</f>
        <v>0.56098460662121497</v>
      </c>
      <c r="BC102" s="12">
        <f>IF(_xlfn.XLOOKUP($B102,'ELC TECH'!$H:$H,'ELC TECH'!$E:$E)="Storage","",_xlfn.XLOOKUP($B102,'ELC TECH'!$H:$H,'ELC TECH'!AX:AX))</f>
        <v>0.56744153500713301</v>
      </c>
      <c r="BD102" s="12">
        <f>IF(_xlfn.XLOOKUP($B102,'ELC TECH'!$H:$H,'ELC TECH'!$E:$E)="Storage","",_xlfn.XLOOKUP($B102,'ELC TECH'!$H:$H,'ELC TECH'!AY:AY))</f>
        <v>0.57365844020386902</v>
      </c>
      <c r="BE102" s="12">
        <f>IF(_xlfn.XLOOKUP($B102,'ELC TECH'!$H:$H,'ELC TECH'!$E:$E)="Storage","",_xlfn.XLOOKUP($B102,'ELC TECH'!$H:$H,'ELC TECH'!AZ:AZ))</f>
        <v>0.57365844020386902</v>
      </c>
      <c r="BF102" s="12" t="str">
        <f>IF(_xlfn.XLOOKUP($B102,'ELC TECH'!$H:$H,'ELC TECH'!$E:$E)="Storage",_xlfn.XLOOKUP($B102,'ELC TECH'!$H:$H,'ELC TECH'!AS:AS),"")</f>
        <v/>
      </c>
      <c r="BG102" s="12" t="str">
        <f>IF(_xlfn.XLOOKUP($B102,'ELC TECH'!$H:$H,'ELC TECH'!$E:$E)="Storage",_xlfn.XLOOKUP($B102,'ELC TECH'!$H:$H,'ELC TECH'!AT:AT),"")</f>
        <v/>
      </c>
      <c r="BH102" s="12" t="str">
        <f>IF(_xlfn.XLOOKUP($B102,'ELC TECH'!$H:$H,'ELC TECH'!$E:$E)="Storage",_xlfn.XLOOKUP($B102,'ELC TECH'!$H:$H,'ELC TECH'!AU:AU),"")</f>
        <v/>
      </c>
      <c r="BI102" s="12" t="str">
        <f>IF(_xlfn.XLOOKUP($B102,'ELC TECH'!$H:$H,'ELC TECH'!$E:$E)="Storage",_xlfn.XLOOKUP($B102,'ELC TECH'!$H:$H,'ELC TECH'!AV:AV),"")</f>
        <v/>
      </c>
      <c r="BJ102" s="12" t="str">
        <f>IF(_xlfn.XLOOKUP($B102,'ELC TECH'!$H:$H,'ELC TECH'!$E:$E)="Storage",_xlfn.XLOOKUP($B102,'ELC TECH'!$H:$H,'ELC TECH'!AW:AW),"")</f>
        <v/>
      </c>
      <c r="BK102" s="12" t="str">
        <f>IF(_xlfn.XLOOKUP($B102,'ELC TECH'!$H:$H,'ELC TECH'!$E:$E)="Storage",_xlfn.XLOOKUP($B102,'ELC TECH'!$H:$H,'ELC TECH'!AX:AX),"")</f>
        <v/>
      </c>
      <c r="BL102" s="12" t="str">
        <f>IF(_xlfn.XLOOKUP($B102,'ELC TECH'!$H:$H,'ELC TECH'!$E:$E)="Storage",_xlfn.XLOOKUP($B102,'ELC TECH'!$H:$H,'ELC TECH'!AY:AY),"")</f>
        <v/>
      </c>
      <c r="BM102" s="12" t="str">
        <f>IF(_xlfn.XLOOKUP($B102,'ELC TECH'!$H:$H,'ELC TECH'!$E:$E)="Storage",_xlfn.XLOOKUP($B102,'ELC TECH'!$H:$H,'ELC TECH'!AZ:AZ),"")</f>
        <v/>
      </c>
      <c r="BN102" s="8">
        <f>IF(_xlfn.XLOOKUP($B102,'ELC TECH'!$H:$H,'ELC TECH'!$E:$E)="Non Dispatchable",IFERROR($AX102*_xlfn.XLOOKUP($C102,$BM$1:$BM$3,BN$1:BN$3)/SUMPRODUCT(_xlfn.XLOOKUP($C102,$BM$1:$BM$3,$BN$1:$BY$3),$BN$4:$BY$4),""),
"")</f>
        <v>0.89736806871019703</v>
      </c>
      <c r="BO102" s="8">
        <f>IF(_xlfn.XLOOKUP($B102,'ELC TECH'!$H:$H,'ELC TECH'!$E:$E)="Non Dispatchable",IFERROR($AX102*_xlfn.XLOOKUP($C102,$BM$1:$BM$3,BO$1:BO$3)/SUMPRODUCT(_xlfn.XLOOKUP($C102,$BM$1:$BM$3,$BN$1:$BY$3),$BN$4:$BY$4),""),
"")</f>
        <v>0.89736806871019703</v>
      </c>
      <c r="BP102" s="8">
        <f>IF(_xlfn.XLOOKUP($B102,'ELC TECH'!$H:$H,'ELC TECH'!$E:$E)="Non Dispatchable",IFERROR($AX102*_xlfn.XLOOKUP($C102,$BM$1:$BM$3,BP$1:BP$3)/SUMPRODUCT(_xlfn.XLOOKUP($C102,$BM$1:$BM$3,$BN$1:$BY$3),$BN$4:$BY$4),""),
"")</f>
        <v>8.9736806871019703E-2</v>
      </c>
      <c r="BQ102" s="8">
        <f>IF(_xlfn.XLOOKUP($B102,'ELC TECH'!$H:$H,'ELC TECH'!$E:$E)="Non Dispatchable",IFERROR($AX102*_xlfn.XLOOKUP($C102,$BM$1:$BM$3,BQ$1:BQ$3)/SUMPRODUCT(_xlfn.XLOOKUP($C102,$BM$1:$BM$3,$BN$1:$BY$3),$BN$4:$BY$4),""),
"")</f>
        <v>0.71902321983446005</v>
      </c>
      <c r="BR102" s="8">
        <f>IF(_xlfn.XLOOKUP($B102,'ELC TECH'!$H:$H,'ELC TECH'!$E:$E)="Non Dispatchable",IFERROR($AX102*_xlfn.XLOOKUP($C102,$BM$1:$BM$3,BR$1:BR$3)/SUMPRODUCT(_xlfn.XLOOKUP($C102,$BM$1:$BM$3,$BN$1:$BY$3),$BN$4:$BY$4),""),
"")</f>
        <v>1.0442101163173203</v>
      </c>
      <c r="BS102" s="8">
        <f>IF(_xlfn.XLOOKUP($B102,'ELC TECH'!$H:$H,'ELC TECH'!$E:$E)="Non Dispatchable",IFERROR($AX102*_xlfn.XLOOKUP($C102,$BM$1:$BM$3,BS$1:BS$3)/SUMPRODUCT(_xlfn.XLOOKUP($C102,$BM$1:$BM$3,$BN$1:$BY$3),$BN$4:$BY$4),""),
"")</f>
        <v>1.0442101163173203</v>
      </c>
      <c r="BT102" s="8">
        <f>IF(_xlfn.XLOOKUP($B102,'ELC TECH'!$H:$H,'ELC TECH'!$E:$E)="Non Dispatchable",IFERROR($AX102*_xlfn.XLOOKUP($C102,$BM$1:$BM$3,BT$1:BT$3)/SUMPRODUCT(_xlfn.XLOOKUP($C102,$BM$1:$BM$3,$BN$1:$BY$3),$BN$4:$BY$4),""),
"")</f>
        <v>0.10442101163173204</v>
      </c>
      <c r="BU102" s="8">
        <f>IF(_xlfn.XLOOKUP($B102,'ELC TECH'!$H:$H,'ELC TECH'!$E:$E)="Non Dispatchable",IFERROR($AX102*_xlfn.XLOOKUP($C102,$BM$1:$BM$3,BU$1:BU$3)/SUMPRODUCT(_xlfn.XLOOKUP($C102,$BM$1:$BM$3,$BN$1:$BY$3),$BN$4:$BY$4),""),
"")</f>
        <v>0.9252398781011959</v>
      </c>
      <c r="BV102" s="8">
        <f>IF(_xlfn.XLOOKUP($B102,'ELC TECH'!$H:$H,'ELC TECH'!$E:$E)="Non Dispatchable",IFERROR($AX102*_xlfn.XLOOKUP($C102,$BM$1:$BM$3,BV$1:BV$3)/SUMPRODUCT(_xlfn.XLOOKUP($C102,$BM$1:$BM$3,$BN$1:$BY$3),$BN$4:$BY$4),""),
"")</f>
        <v>0.54076519902536124</v>
      </c>
      <c r="BW102" s="8">
        <f>IF(_xlfn.XLOOKUP($B102,'ELC TECH'!$H:$H,'ELC TECH'!$E:$E)="Non Dispatchable",IFERROR($AX102*_xlfn.XLOOKUP($C102,$BM$1:$BM$3,BW$1:BW$3)/SUMPRODUCT(_xlfn.XLOOKUP($C102,$BM$1:$BM$3,$BN$1:$BY$3),$BN$4:$BY$4),""),
"")</f>
        <v>0.54076519902536124</v>
      </c>
      <c r="BX102" s="8">
        <f>IF(_xlfn.XLOOKUP($B102,'ELC TECH'!$H:$H,'ELC TECH'!$E:$E)="Non Dispatchable",IFERROR($AX102*_xlfn.XLOOKUP($C102,$BM$1:$BM$3,BX$1:BX$3)/SUMPRODUCT(_xlfn.XLOOKUP($C102,$BM$1:$BM$3,$BN$1:$BY$3),$BN$4:$BY$4),""),
"")</f>
        <v>5.4076519902536126E-2</v>
      </c>
      <c r="BY102" s="8">
        <f>IF(_xlfn.XLOOKUP($B102,'ELC TECH'!$H:$H,'ELC TECH'!$E:$E)="Non Dispatchable",IFERROR($AX102*_xlfn.XLOOKUP($C102,$BM$1:$BM$3,BY$1:BY$3)/SUMPRODUCT(_xlfn.XLOOKUP($C102,$BM$1:$BM$3,$BN$1:$BY$3),$BN$4:$BY$4),""),
"")</f>
        <v>0.39527293318143841</v>
      </c>
      <c r="BZ102" s="8">
        <f>IF(_xlfn.XLOOKUP($B102,'ELC TECH'!$H:$H,'ELC TECH'!$E:$E)="Non Dispatchable",IFERROR($AX102*_xlfn.XLOOKUP($C102,$BM$1:$BM$3,BZ$1:BZ$3)/SUMPRODUCT(_xlfn.XLOOKUP($C102,$BM$1:$BM$3,$BN$1:$BY$3),$BN$4:$BY$4),""),
"")</f>
        <v>0.89736806871019703</v>
      </c>
      <c r="CA102" s="8">
        <f>IF(_xlfn.XLOOKUP($B102,'ELC TECH'!$H:$H,'ELC TECH'!$E:$E)="Non Dispatchable",IFERROR($AX102*_xlfn.XLOOKUP($C102,$BM$1:$BM$3,CA$1:CA$3)/SUMPRODUCT(_xlfn.XLOOKUP($C102,$BM$1:$BM$3,$BN$1:$BY$3),$BN$4:$BY$4),""),
"")</f>
        <v>0.89736806871019703</v>
      </c>
      <c r="CB102" s="8">
        <f>IF(_xlfn.XLOOKUP($B102,'ELC TECH'!$H:$H,'ELC TECH'!$E:$E)="Non Dispatchable",IFERROR($AX102*_xlfn.XLOOKUP($C102,$BM$1:$BM$3,CB$1:CB$3)/SUMPRODUCT(_xlfn.XLOOKUP($C102,$BM$1:$BM$3,$BN$1:$BY$3),$BN$4:$BY$4),""),
"")</f>
        <v>8.9736806871019703E-2</v>
      </c>
      <c r="CC102" s="8">
        <f>IF(_xlfn.XLOOKUP($B102,'ELC TECH'!$H:$H,'ELC TECH'!$E:$E)="Non Dispatchable",IFERROR($AX102*_xlfn.XLOOKUP($C102,$BM$1:$BM$3,CC$1:CC$3)/SUMPRODUCT(_xlfn.XLOOKUP($C102,$BM$1:$BM$3,$BN$1:$BY$3),$BN$4:$BY$4),""),
"")</f>
        <v>0.71902321983446005</v>
      </c>
      <c r="CD102" s="8">
        <f>IF(_xlfn.XLOOKUP($B102,'ELC TECH'!$H:$H,'ELC TECH'!$E:$E)="Non Dispatchable",IFERROR($AX102*_xlfn.XLOOKUP($C102,$BM$1:$BM$3,CD$1:CD$3)/SUMPRODUCT(_xlfn.XLOOKUP($C102,$BM$1:$BM$3,$BN$1:$BY$3),$BN$4:$BY$4),""),
"")</f>
        <v>1.0442101163173203</v>
      </c>
      <c r="CE102" s="8">
        <f>IF(_xlfn.XLOOKUP($B102,'ELC TECH'!$H:$H,'ELC TECH'!$E:$E)="Non Dispatchable",IFERROR($AX102*_xlfn.XLOOKUP($C102,$BM$1:$BM$3,CE$1:CE$3)/SUMPRODUCT(_xlfn.XLOOKUP($C102,$BM$1:$BM$3,$BN$1:$BY$3),$BN$4:$BY$4),""),
"")</f>
        <v>1.0442101163173203</v>
      </c>
      <c r="CF102" s="8">
        <f>IF(_xlfn.XLOOKUP($B102,'ELC TECH'!$H:$H,'ELC TECH'!$E:$E)="Non Dispatchable",IFERROR($AX102*_xlfn.XLOOKUP($C102,$BM$1:$BM$3,CF$1:CF$3)/SUMPRODUCT(_xlfn.XLOOKUP($C102,$BM$1:$BM$3,$BN$1:$BY$3),$BN$4:$BY$4),""),
"")</f>
        <v>0.10442101163173204</v>
      </c>
      <c r="CG102" s="8">
        <f>IF(_xlfn.XLOOKUP($B102,'ELC TECH'!$H:$H,'ELC TECH'!$E:$E)="Non Dispatchable",IFERROR($AX102*_xlfn.XLOOKUP($C102,$BM$1:$BM$3,CG$1:CG$3)/SUMPRODUCT(_xlfn.XLOOKUP($C102,$BM$1:$BM$3,$BN$1:$BY$3),$BN$4:$BY$4),""),
"")</f>
        <v>0.9252398781011959</v>
      </c>
      <c r="CH102" s="8">
        <f>IF(_xlfn.XLOOKUP($B102,'ELC TECH'!$H:$H,'ELC TECH'!$E:$E)="Non Dispatchable",IFERROR($AX102*_xlfn.XLOOKUP($C102,$BM$1:$BM$3,CH$1:CH$3)/SUMPRODUCT(_xlfn.XLOOKUP($C102,$BM$1:$BM$3,$BN$1:$BY$3),$BN$4:$BY$4),""),
"")</f>
        <v>0.54076519902536124</v>
      </c>
      <c r="CI102" s="8">
        <f>IF(_xlfn.XLOOKUP($B102,'ELC TECH'!$H:$H,'ELC TECH'!$E:$E)="Non Dispatchable",IFERROR($AX102*_xlfn.XLOOKUP($C102,$BM$1:$BM$3,CI$1:CI$3)/SUMPRODUCT(_xlfn.XLOOKUP($C102,$BM$1:$BM$3,$BN$1:$BY$3),$BN$4:$BY$4),""),
"")</f>
        <v>0.54076519902536124</v>
      </c>
      <c r="CJ102" s="8">
        <f>IF(_xlfn.XLOOKUP($B102,'ELC TECH'!$H:$H,'ELC TECH'!$E:$E)="Non Dispatchable",IFERROR($AX102*_xlfn.XLOOKUP($C102,$BM$1:$BM$3,CJ$1:CJ$3)/SUMPRODUCT(_xlfn.XLOOKUP($C102,$BM$1:$BM$3,$BN$1:$BY$3),$BN$4:$BY$4),""),
"")</f>
        <v>5.4076519902536126E-2</v>
      </c>
      <c r="CK102" s="8">
        <f>IF(_xlfn.XLOOKUP($B102,'ELC TECH'!$H:$H,'ELC TECH'!$E:$E)="Non Dispatchable",IFERROR($AX102*_xlfn.XLOOKUP($C102,$BM$1:$BM$3,CK$1:CK$3)/SUMPRODUCT(_xlfn.XLOOKUP($C102,$BM$1:$BM$3,$BN$1:$BY$3),$BN$4:$BY$4),""),
"")</f>
        <v>0.39527293318143841</v>
      </c>
      <c r="CL102" s="8" t="str">
        <f>IF(_xlfn.XLOOKUP($B102,'ELC TECH'!$H:$H,'ELC TECH'!$E:$E)="Storage",CL$4*$BF102,"")</f>
        <v/>
      </c>
      <c r="CM102" s="8" t="str">
        <f>IF(_xlfn.XLOOKUP($B102,'ELC TECH'!$H:$H,'ELC TECH'!$E:$E)="Storage",CM$4*$BF102,"")</f>
        <v/>
      </c>
      <c r="CN102" s="8" t="str">
        <f>IF(_xlfn.XLOOKUP($B102,'ELC TECH'!$H:$H,'ELC TECH'!$E:$E)="Storage",CN$4*$BF102,"")</f>
        <v/>
      </c>
      <c r="CO102" s="8" t="str">
        <f>IF(_xlfn.XLOOKUP($B102,'ELC TECH'!$H:$H,'ELC TECH'!$E:$E)="Storage",CO$4*$BF102,"")</f>
        <v/>
      </c>
      <c r="CP102" s="8" t="str">
        <f>IF(_xlfn.XLOOKUP($B102,'ELC TECH'!$H:$H,'ELC TECH'!$E:$E)="Storage",CP$4*$BF102,"")</f>
        <v/>
      </c>
      <c r="CQ102" s="8" t="str">
        <f>IF(_xlfn.XLOOKUP($B102,'ELC TECH'!$H:$H,'ELC TECH'!$E:$E)="Storage",CQ$4*$BF102,"")</f>
        <v/>
      </c>
      <c r="CR102" s="8" t="str">
        <f>IF(_xlfn.XLOOKUP($B102,'ELC TECH'!$H:$H,'ELC TECH'!$E:$E)="Storage",CR$4*$BF102,"")</f>
        <v/>
      </c>
      <c r="CS102" s="8" t="str">
        <f>IF(_xlfn.XLOOKUP($B102,'ELC TECH'!$H:$H,'ELC TECH'!$E:$E)="Storage",CS$4*$BF102,"")</f>
        <v/>
      </c>
      <c r="CT102" s="8" t="str">
        <f>IF(_xlfn.XLOOKUP($B102,'ELC TECH'!$H:$H,'ELC TECH'!$E:$E)="Storage",CT$4*$BF102,"")</f>
        <v/>
      </c>
      <c r="CU102" s="8" t="str">
        <f>IF(_xlfn.XLOOKUP($B102,'ELC TECH'!$H:$H,'ELC TECH'!$E:$E)="Storage",CU$4*$BF102,"")</f>
        <v/>
      </c>
      <c r="CV102" s="8" t="str">
        <f>IF(_xlfn.XLOOKUP($B102,'ELC TECH'!$H:$H,'ELC TECH'!$E:$E)="Storage",CV$4*$BF102,"")</f>
        <v/>
      </c>
      <c r="CW102" s="8" t="str">
        <f>IF(_xlfn.XLOOKUP($B102,'ELC TECH'!$H:$H,'ELC TECH'!$E:$E)="Storage",CW$4*$BF102,"")</f>
        <v/>
      </c>
      <c r="CX102" s="8" t="str">
        <f>IF(_xlfn.XLOOKUP($B102,'ELC TECH'!$H:$H,'ELC TECH'!$E:$E)="Storage",CX$4*$BF102,"")</f>
        <v/>
      </c>
      <c r="CY102" s="8" t="str">
        <f>IF(_xlfn.XLOOKUP($B102,'ELC TECH'!$H:$H,'ELC TECH'!$E:$E)="Storage",CY$4*$BF102,"")</f>
        <v/>
      </c>
      <c r="CZ102" s="8" t="str">
        <f>IF(_xlfn.XLOOKUP($B102,'ELC TECH'!$H:$H,'ELC TECH'!$E:$E)="Storage",CZ$4*$BF102,"")</f>
        <v/>
      </c>
      <c r="DA102" s="8" t="str">
        <f>IF(_xlfn.XLOOKUP($B102,'ELC TECH'!$H:$H,'ELC TECH'!$E:$E)="Storage",DA$4*$BF102,"")</f>
        <v/>
      </c>
      <c r="DB102" s="8" t="str">
        <f>IF(_xlfn.XLOOKUP($B102,'ELC TECH'!$H:$H,'ELC TECH'!$E:$E)="Storage",DB$4*$BF102,"")</f>
        <v/>
      </c>
      <c r="DC102" s="8" t="str">
        <f>IF(_xlfn.XLOOKUP($B102,'ELC TECH'!$H:$H,'ELC TECH'!$E:$E)="Storage",DC$4*$BF102,"")</f>
        <v/>
      </c>
      <c r="DD102" s="8" t="str">
        <f>IF(_xlfn.XLOOKUP($B102,'ELC TECH'!$H:$H,'ELC TECH'!$E:$E)="Storage",DD$4*$BF102,"")</f>
        <v/>
      </c>
      <c r="DE102" s="8" t="str">
        <f>IF(_xlfn.XLOOKUP($B102,'ELC TECH'!$H:$H,'ELC TECH'!$E:$E)="Storage",DE$4*$BF102,"")</f>
        <v/>
      </c>
      <c r="DF102" s="8" t="str">
        <f>IF(_xlfn.XLOOKUP($B102,'ELC TECH'!$H:$H,'ELC TECH'!$E:$E)="Storage",DF$4*$BF102,"")</f>
        <v/>
      </c>
      <c r="DG102" s="8" t="str">
        <f>IF(_xlfn.XLOOKUP($B102,'ELC TECH'!$H:$H,'ELC TECH'!$E:$E)="Storage",DG$4*$BF102,"")</f>
        <v/>
      </c>
      <c r="DH102" s="8" t="str">
        <f>IF(_xlfn.XLOOKUP($B102,'ELC TECH'!$H:$H,'ELC TECH'!$E:$E)="Storage",DH$4*$BF102,"")</f>
        <v/>
      </c>
      <c r="DI102" s="8" t="str">
        <f>IF(_xlfn.XLOOKUP($B102,'ELC TECH'!$H:$H,'ELC TECH'!$E:$E)="Storage",DI$4*$BF102,"")</f>
        <v/>
      </c>
    </row>
    <row r="103" spans="2:113" x14ac:dyDescent="0.25">
      <c r="B103" t="str">
        <f>IF('ELC TECH'!I96=0,"*",'ELC TECH'!H96)</f>
        <v>ELCWNDGRDWOFC1020</v>
      </c>
      <c r="C103" t="str">
        <f>IF(_xlfn.XLOOKUP(_xlfn.XLOOKUP(B103,'ELC TECH'!$H:$H,'ELC TECH'!$G:$G),List!C:C,List!B:B)="STG",D103,"ELC"&amp;_xlfn.XLOOKUP(_xlfn.XLOOKUP(B103,'ELC TECH'!H:H,'ELC TECH'!G:G),List!C:C,List!B:B))</f>
        <v>ELCWND</v>
      </c>
      <c r="D103" t="s">
        <v>544</v>
      </c>
      <c r="E103">
        <f>_xlfn.XLOOKUP(B103,'ELC TECH'!H:H,'ELC TECH'!D:D)</f>
        <v>2020</v>
      </c>
      <c r="F103">
        <f>_xlfn.XLOOKUP(B103,'ELC TECH'!H:H,'ELC TECH'!K:K)</f>
        <v>30</v>
      </c>
      <c r="G103">
        <f t="shared" si="6"/>
        <v>31.535999999999998</v>
      </c>
      <c r="H103">
        <f>IF(_xlfn.XLOOKUP(B103,'ELC TECH'!$H:$H,'ELC TECH'!$E:$E)="Storage",0.3,IF(_xlfn.XLOOKUP(B103,'ELC TECH'!$H:$H,'ELC TECH'!$E:$E)="Baseload",0.9,IF(_xlfn.XLOOKUP(B103,'ELC TECH'!$H:$H,'ELC TECH'!$E:$E)="Non Dispatchable",0.05,IF(_xlfn.XLOOKUP(B103,'ELC TECH'!$H:$H,'ELC TECH'!$E:$E)="Dispatchable",0.9,1))))</f>
        <v>0.05</v>
      </c>
      <c r="I103" s="13">
        <f>IF(_xlfn.XLOOKUP(B103,'ELC TECH'!H:H,'ELC TECH'!J:J)="","",_xlfn.XLOOKUP(B103,'ELC TECH'!H:H,'ELC TECH'!J:J))</f>
        <v>0</v>
      </c>
      <c r="J103" s="12">
        <f>IF(_xlfn.XLOOKUP($B103,'ELC TECH'!$H:$H,'ELC TECH'!$E:$E)="Storage","",IF(_xlfn.XLOOKUP($B103,'ELC TECH'!$H:$H,'ELC TECH'!AK:AK)="",1,_xlfn.XLOOKUP($B103,'ELC TECH'!$H:$H,'ELC TECH'!AK:AK)))</f>
        <v>1</v>
      </c>
      <c r="K103" s="12">
        <f>IF(_xlfn.XLOOKUP($B103,'ELC TECH'!$H:$H,'ELC TECH'!$E:$E)="Storage","",IF(_xlfn.XLOOKUP($B103,'ELC TECH'!$H:$H,'ELC TECH'!AL:AL)="",1,_xlfn.XLOOKUP($B103,'ELC TECH'!$H:$H,'ELC TECH'!AL:AL)))</f>
        <v>1</v>
      </c>
      <c r="L103" s="12">
        <f>IF(_xlfn.XLOOKUP($B103,'ELC TECH'!$H:$H,'ELC TECH'!$E:$E)="Storage","",IF(_xlfn.XLOOKUP($B103,'ELC TECH'!$H:$H,'ELC TECH'!AM:AM)="",1,_xlfn.XLOOKUP($B103,'ELC TECH'!$H:$H,'ELC TECH'!AM:AM)))</f>
        <v>1</v>
      </c>
      <c r="M103" s="12">
        <f>IF(_xlfn.XLOOKUP($B103,'ELC TECH'!$H:$H,'ELC TECH'!$E:$E)="Storage","",IF(_xlfn.XLOOKUP($B103,'ELC TECH'!$H:$H,'ELC TECH'!AN:AN)="",1,_xlfn.XLOOKUP($B103,'ELC TECH'!$H:$H,'ELC TECH'!AN:AN)))</f>
        <v>1</v>
      </c>
      <c r="N103" s="12">
        <f>IF(_xlfn.XLOOKUP($B103,'ELC TECH'!$H:$H,'ELC TECH'!$E:$E)="Storage","",IF(_xlfn.XLOOKUP($B103,'ELC TECH'!$H:$H,'ELC TECH'!AO:AO)="",1,_xlfn.XLOOKUP($B103,'ELC TECH'!$H:$H,'ELC TECH'!AO:AO)))</f>
        <v>1</v>
      </c>
      <c r="O103" s="12">
        <f>IF(_xlfn.XLOOKUP($B103,'ELC TECH'!$H:$H,'ELC TECH'!$E:$E)="Storage","",IF(_xlfn.XLOOKUP($B103,'ELC TECH'!$H:$H,'ELC TECH'!AP:AP)="",1,_xlfn.XLOOKUP($B103,'ELC TECH'!$H:$H,'ELC TECH'!AP:AP)))</f>
        <v>1</v>
      </c>
      <c r="P103" s="12">
        <f>IF(_xlfn.XLOOKUP($B103,'ELC TECH'!$H:$H,'ELC TECH'!$E:$E)="Storage","",IF(_xlfn.XLOOKUP($B103,'ELC TECH'!$H:$H,'ELC TECH'!AQ:AQ)="",1,_xlfn.XLOOKUP($B103,'ELC TECH'!$H:$H,'ELC TECH'!AQ:AQ)))</f>
        <v>1</v>
      </c>
      <c r="Q103" s="12">
        <f>IF(_xlfn.XLOOKUP($B103,'ELC TECH'!$H:$H,'ELC TECH'!$E:$E)="Storage","",IF(_xlfn.XLOOKUP($B103,'ELC TECH'!$H:$H,'ELC TECH'!AR:AR)="",1,_xlfn.XLOOKUP($B103,'ELC TECH'!$H:$H,'ELC TECH'!AR:AR)))</f>
        <v>1</v>
      </c>
      <c r="R103" s="12" t="str">
        <f>IF(_xlfn.XLOOKUP($B103,'ELC TECH'!$H:$H,'ELC TECH'!$E:$E)&lt;&gt;"Storage","",IF(_xlfn.XLOOKUP($B103,'ELC TECH'!$H:$H,'ELC TECH'!AK:AK)="",0.8,_xlfn.XLOOKUP($B103,'ELC TECH'!$H:$H,'ELC TECH'!AK:AK)))</f>
        <v/>
      </c>
      <c r="S103" s="12" t="str">
        <f>IF(_xlfn.XLOOKUP($B103,'ELC TECH'!$H:$H,'ELC TECH'!$E:$E)&lt;&gt;"Storage","",IF(_xlfn.XLOOKUP($B103,'ELC TECH'!$H:$H,'ELC TECH'!AL:AL)="",0.8,_xlfn.XLOOKUP($B103,'ELC TECH'!$H:$H,'ELC TECH'!AL:AL)))</f>
        <v/>
      </c>
      <c r="T103" s="12" t="str">
        <f>IF(_xlfn.XLOOKUP($B103,'ELC TECH'!$H:$H,'ELC TECH'!$E:$E)&lt;&gt;"Storage","",IF(_xlfn.XLOOKUP($B103,'ELC TECH'!$H:$H,'ELC TECH'!AM:AM)="",0.8,_xlfn.XLOOKUP($B103,'ELC TECH'!$H:$H,'ELC TECH'!AM:AM)))</f>
        <v/>
      </c>
      <c r="U103" s="12" t="str">
        <f>IF(_xlfn.XLOOKUP($B103,'ELC TECH'!$H:$H,'ELC TECH'!$E:$E)&lt;&gt;"Storage","",IF(_xlfn.XLOOKUP($B103,'ELC TECH'!$H:$H,'ELC TECH'!AN:AN)="",0.8,_xlfn.XLOOKUP($B103,'ELC TECH'!$H:$H,'ELC TECH'!AN:AN)))</f>
        <v/>
      </c>
      <c r="V103" s="12" t="str">
        <f>IF(_xlfn.XLOOKUP($B103,'ELC TECH'!$H:$H,'ELC TECH'!$E:$E)&lt;&gt;"Storage","",IF(_xlfn.XLOOKUP($B103,'ELC TECH'!$H:$H,'ELC TECH'!AO:AO)="",0.8,_xlfn.XLOOKUP($B103,'ELC TECH'!$H:$H,'ELC TECH'!AO:AO)))</f>
        <v/>
      </c>
      <c r="W103" s="12" t="str">
        <f>IF(_xlfn.XLOOKUP($B103,'ELC TECH'!$H:$H,'ELC TECH'!$E:$E)&lt;&gt;"Storage","",IF(_xlfn.XLOOKUP($B103,'ELC TECH'!$H:$H,'ELC TECH'!AP:AP)="",0.8,_xlfn.XLOOKUP($B103,'ELC TECH'!$H:$H,'ELC TECH'!AP:AP)))</f>
        <v/>
      </c>
      <c r="X103" s="12" t="str">
        <f>IF(_xlfn.XLOOKUP($B103,'ELC TECH'!$H:$H,'ELC TECH'!$E:$E)&lt;&gt;"Storage","",IF(_xlfn.XLOOKUP($B103,'ELC TECH'!$H:$H,'ELC TECH'!AQ:AQ)="",0.8,_xlfn.XLOOKUP($B103,'ELC TECH'!$H:$H,'ELC TECH'!AQ:AQ)))</f>
        <v/>
      </c>
      <c r="Y103" s="12" t="str">
        <f>IF(_xlfn.XLOOKUP($B103,'ELC TECH'!$H:$H,'ELC TECH'!$E:$E)&lt;&gt;"Storage","",IF(_xlfn.XLOOKUP($B103,'ELC TECH'!$H:$H,'ELC TECH'!AR:AR)="",0.8,_xlfn.XLOOKUP($B103,'ELC TECH'!$H:$H,'ELC TECH'!AR:AR)))</f>
        <v/>
      </c>
      <c r="Z103" s="15">
        <f>_xlfn.XLOOKUP($B103,'ELC TECH'!$H:$H,'ELC TECH'!M:M)</f>
        <v>3976.233107784542</v>
      </c>
      <c r="AA103" s="15">
        <f>_xlfn.XLOOKUP($B103,'ELC TECH'!$H:$H,'ELC TECH'!N:N)</f>
        <v>3486.3019153547302</v>
      </c>
      <c r="AB103" s="15">
        <f>_xlfn.XLOOKUP($B103,'ELC TECH'!$H:$H,'ELC TECH'!O:O)</f>
        <v>3215.9928717724579</v>
      </c>
      <c r="AC103" s="15">
        <f>_xlfn.XLOOKUP($B103,'ELC TECH'!$H:$H,'ELC TECH'!P:P)</f>
        <v>3048.896608264411</v>
      </c>
      <c r="AD103" s="15">
        <f>_xlfn.XLOOKUP($B103,'ELC TECH'!$H:$H,'ELC TECH'!Q:Q)</f>
        <v>2927.626519750941</v>
      </c>
      <c r="AE103" s="15">
        <f>_xlfn.XLOOKUP($B103,'ELC TECH'!$H:$H,'ELC TECH'!R:R)</f>
        <v>2832.3821694824669</v>
      </c>
      <c r="AF103" s="15">
        <f>_xlfn.XLOOKUP($B103,'ELC TECH'!$H:$H,'ELC TECH'!S:S)</f>
        <v>2753.9429194880122</v>
      </c>
      <c r="AG103" s="15">
        <f>_xlfn.XLOOKUP($B103,'ELC TECH'!$H:$H,'ELC TECH'!T:T)</f>
        <v>2753.9429194880122</v>
      </c>
      <c r="AH103" s="15">
        <f>_xlfn.XLOOKUP($B103,'ELC TECH'!$H:$H,'ELC TECH'!U:U)</f>
        <v>93.913881809949814</v>
      </c>
      <c r="AI103" s="15">
        <f>_xlfn.XLOOKUP($B103,'ELC TECH'!$H:$H,'ELC TECH'!V:V)</f>
        <v>84.117772690065522</v>
      </c>
      <c r="AJ103" s="15">
        <f>_xlfn.XLOOKUP($B103,'ELC TECH'!$H:$H,'ELC TECH'!W:W)</f>
        <v>77.256188779254387</v>
      </c>
      <c r="AK103" s="15">
        <f>_xlfn.XLOOKUP($B103,'ELC TECH'!$H:$H,'ELC TECH'!X:X)</f>
        <v>72.65705971385573</v>
      </c>
      <c r="AL103" s="15">
        <f>_xlfn.XLOOKUP($B103,'ELC TECH'!$H:$H,'ELC TECH'!Y:Y)</f>
        <v>69.192793517626598</v>
      </c>
      <c r="AM103" s="15">
        <f>_xlfn.XLOOKUP($B103,'ELC TECH'!$H:$H,'ELC TECH'!Z:Z)</f>
        <v>66.412726655229193</v>
      </c>
      <c r="AN103" s="15">
        <f>_xlfn.XLOOKUP($B103,'ELC TECH'!$H:$H,'ELC TECH'!AA:AA)</f>
        <v>64.090664812780204</v>
      </c>
      <c r="AO103" s="15">
        <f>_xlfn.XLOOKUP($B103,'ELC TECH'!$H:$H,'ELC TECH'!AB:AB)</f>
        <v>64.090664812780204</v>
      </c>
      <c r="AP103" s="15">
        <f>_xlfn.XLOOKUP($B103,'ELC TECH'!$H:$H,'ELC TECH'!AC:AC)</f>
        <v>0</v>
      </c>
      <c r="AQ103" s="15">
        <f>_xlfn.XLOOKUP($B103,'ELC TECH'!$H:$H,'ELC TECH'!AD:AD)</f>
        <v>0</v>
      </c>
      <c r="AR103" s="15">
        <f>_xlfn.XLOOKUP($B103,'ELC TECH'!$H:$H,'ELC TECH'!AE:AE)</f>
        <v>0</v>
      </c>
      <c r="AS103" s="15">
        <f>_xlfn.XLOOKUP($B103,'ELC TECH'!$H:$H,'ELC TECH'!AF:AF)</f>
        <v>0</v>
      </c>
      <c r="AT103" s="15">
        <f>_xlfn.XLOOKUP($B103,'ELC TECH'!$H:$H,'ELC TECH'!AG:AG)</f>
        <v>0</v>
      </c>
      <c r="AU103" s="15">
        <f>_xlfn.XLOOKUP($B103,'ELC TECH'!$H:$H,'ELC TECH'!AH:AH)</f>
        <v>0</v>
      </c>
      <c r="AV103" s="15">
        <f>_xlfn.XLOOKUP($B103,'ELC TECH'!$H:$H,'ELC TECH'!AI:AI)</f>
        <v>0</v>
      </c>
      <c r="AW103" s="15">
        <f>_xlfn.XLOOKUP($B103,'ELC TECH'!$H:$H,'ELC TECH'!AJ:AJ)</f>
        <v>0</v>
      </c>
      <c r="AX103" s="12">
        <f>IF(_xlfn.XLOOKUP($B103,'ELC TECH'!$H:$H,'ELC TECH'!$E:$E)="Storage","",_xlfn.XLOOKUP($B103,'ELC TECH'!$H:$H,'ELC TECH'!AS:AS))</f>
        <v>0.50202627320535997</v>
      </c>
      <c r="AY103" s="12">
        <f>IF(_xlfn.XLOOKUP($B103,'ELC TECH'!$H:$H,'ELC TECH'!$E:$E)="Storage","",_xlfn.XLOOKUP($B103,'ELC TECH'!$H:$H,'ELC TECH'!AT:AT))</f>
        <v>0.519069068067046</v>
      </c>
      <c r="AZ103" s="12">
        <f>IF(_xlfn.XLOOKUP($B103,'ELC TECH'!$H:$H,'ELC TECH'!$E:$E)="Storage","",_xlfn.XLOOKUP($B103,'ELC TECH'!$H:$H,'ELC TECH'!AU:AU))</f>
        <v>0.53760124187860903</v>
      </c>
      <c r="BA103" s="12">
        <f>IF(_xlfn.XLOOKUP($B103,'ELC TECH'!$H:$H,'ELC TECH'!$E:$E)="Storage","",_xlfn.XLOOKUP($B103,'ELC TECH'!$H:$H,'ELC TECH'!AV:AV))</f>
        <v>0.54496875985287696</v>
      </c>
      <c r="BB103" s="12">
        <f>IF(_xlfn.XLOOKUP($B103,'ELC TECH'!$H:$H,'ELC TECH'!$E:$E)="Storage","",_xlfn.XLOOKUP($B103,'ELC TECH'!$H:$H,'ELC TECH'!AW:AW))</f>
        <v>0.55175207847051</v>
      </c>
      <c r="BC103" s="12">
        <f>IF(_xlfn.XLOOKUP($B103,'ELC TECH'!$H:$H,'ELC TECH'!$E:$E)="Storage","",_xlfn.XLOOKUP($B103,'ELC TECH'!$H:$H,'ELC TECH'!AX:AX))</f>
        <v>0.55818318818124102</v>
      </c>
      <c r="BD103" s="12">
        <f>IF(_xlfn.XLOOKUP($B103,'ELC TECH'!$H:$H,'ELC TECH'!$E:$E)="Storage","",_xlfn.XLOOKUP($B103,'ELC TECH'!$H:$H,'ELC TECH'!AY:AY))</f>
        <v>0.56437852822740797</v>
      </c>
      <c r="BE103" s="12">
        <f>IF(_xlfn.XLOOKUP($B103,'ELC TECH'!$H:$H,'ELC TECH'!$E:$E)="Storage","",_xlfn.XLOOKUP($B103,'ELC TECH'!$H:$H,'ELC TECH'!AZ:AZ))</f>
        <v>0.56437852822740797</v>
      </c>
      <c r="BF103" s="12" t="str">
        <f>IF(_xlfn.XLOOKUP($B103,'ELC TECH'!$H:$H,'ELC TECH'!$E:$E)="Storage",_xlfn.XLOOKUP($B103,'ELC TECH'!$H:$H,'ELC TECH'!AS:AS),"")</f>
        <v/>
      </c>
      <c r="BG103" s="12" t="str">
        <f>IF(_xlfn.XLOOKUP($B103,'ELC TECH'!$H:$H,'ELC TECH'!$E:$E)="Storage",_xlfn.XLOOKUP($B103,'ELC TECH'!$H:$H,'ELC TECH'!AT:AT),"")</f>
        <v/>
      </c>
      <c r="BH103" s="12" t="str">
        <f>IF(_xlfn.XLOOKUP($B103,'ELC TECH'!$H:$H,'ELC TECH'!$E:$E)="Storage",_xlfn.XLOOKUP($B103,'ELC TECH'!$H:$H,'ELC TECH'!AU:AU),"")</f>
        <v/>
      </c>
      <c r="BI103" s="12" t="str">
        <f>IF(_xlfn.XLOOKUP($B103,'ELC TECH'!$H:$H,'ELC TECH'!$E:$E)="Storage",_xlfn.XLOOKUP($B103,'ELC TECH'!$H:$H,'ELC TECH'!AV:AV),"")</f>
        <v/>
      </c>
      <c r="BJ103" s="12" t="str">
        <f>IF(_xlfn.XLOOKUP($B103,'ELC TECH'!$H:$H,'ELC TECH'!$E:$E)="Storage",_xlfn.XLOOKUP($B103,'ELC TECH'!$H:$H,'ELC TECH'!AW:AW),"")</f>
        <v/>
      </c>
      <c r="BK103" s="12" t="str">
        <f>IF(_xlfn.XLOOKUP($B103,'ELC TECH'!$H:$H,'ELC TECH'!$E:$E)="Storage",_xlfn.XLOOKUP($B103,'ELC TECH'!$H:$H,'ELC TECH'!AX:AX),"")</f>
        <v/>
      </c>
      <c r="BL103" s="12" t="str">
        <f>IF(_xlfn.XLOOKUP($B103,'ELC TECH'!$H:$H,'ELC TECH'!$E:$E)="Storage",_xlfn.XLOOKUP($B103,'ELC TECH'!$H:$H,'ELC TECH'!AY:AY),"")</f>
        <v/>
      </c>
      <c r="BM103" s="12" t="str">
        <f>IF(_xlfn.XLOOKUP($B103,'ELC TECH'!$H:$H,'ELC TECH'!$E:$E)="Storage",_xlfn.XLOOKUP($B103,'ELC TECH'!$H:$H,'ELC TECH'!AZ:AZ),"")</f>
        <v/>
      </c>
      <c r="BN103" s="8">
        <f>IF(_xlfn.XLOOKUP($B103,'ELC TECH'!$H:$H,'ELC TECH'!$E:$E)="Non Dispatchable",IFERROR($AX103*_xlfn.XLOOKUP($C103,$BM$1:$BM$3,BN$1:BN$3)/SUMPRODUCT(_xlfn.XLOOKUP($C103,$BM$1:$BM$3,$BN$1:$BY$3),$BN$4:$BY$4),""),
"")</f>
        <v>0.88155888960712259</v>
      </c>
      <c r="BO103" s="8">
        <f>IF(_xlfn.XLOOKUP($B103,'ELC TECH'!$H:$H,'ELC TECH'!$E:$E)="Non Dispatchable",IFERROR($AX103*_xlfn.XLOOKUP($C103,$BM$1:$BM$3,BO$1:BO$3)/SUMPRODUCT(_xlfn.XLOOKUP($C103,$BM$1:$BM$3,$BN$1:$BY$3),$BN$4:$BY$4),""),
"")</f>
        <v>0.88155888960712259</v>
      </c>
      <c r="BP103" s="8">
        <f>IF(_xlfn.XLOOKUP($B103,'ELC TECH'!$H:$H,'ELC TECH'!$E:$E)="Non Dispatchable",IFERROR($AX103*_xlfn.XLOOKUP($C103,$BM$1:$BM$3,BP$1:BP$3)/SUMPRODUCT(_xlfn.XLOOKUP($C103,$BM$1:$BM$3,$BN$1:$BY$3),$BN$4:$BY$4),""),
"")</f>
        <v>8.8155888960712261E-2</v>
      </c>
      <c r="BQ103" s="8">
        <f>IF(_xlfn.XLOOKUP($B103,'ELC TECH'!$H:$H,'ELC TECH'!$E:$E)="Non Dispatchable",IFERROR($AX103*_xlfn.XLOOKUP($C103,$BM$1:$BM$3,BQ$1:BQ$3)/SUMPRODUCT(_xlfn.XLOOKUP($C103,$BM$1:$BM$3,$BN$1:$BY$3),$BN$4:$BY$4),""),
"")</f>
        <v>0.70635599079212241</v>
      </c>
      <c r="BR103" s="8">
        <f>IF(_xlfn.XLOOKUP($B103,'ELC TECH'!$H:$H,'ELC TECH'!$E:$E)="Non Dispatchable",IFERROR($AX103*_xlfn.XLOOKUP($C103,$BM$1:$BM$3,BR$1:BR$3)/SUMPRODUCT(_xlfn.XLOOKUP($C103,$BM$1:$BM$3,$BN$1:$BY$3),$BN$4:$BY$4),""),
"")</f>
        <v>1.025813980633743</v>
      </c>
      <c r="BS103" s="8">
        <f>IF(_xlfn.XLOOKUP($B103,'ELC TECH'!$H:$H,'ELC TECH'!$E:$E)="Non Dispatchable",IFERROR($AX103*_xlfn.XLOOKUP($C103,$BM$1:$BM$3,BS$1:BS$3)/SUMPRODUCT(_xlfn.XLOOKUP($C103,$BM$1:$BM$3,$BN$1:$BY$3),$BN$4:$BY$4),""),
"")</f>
        <v>1.025813980633743</v>
      </c>
      <c r="BT103" s="8">
        <f>IF(_xlfn.XLOOKUP($B103,'ELC TECH'!$H:$H,'ELC TECH'!$E:$E)="Non Dispatchable",IFERROR($AX103*_xlfn.XLOOKUP($C103,$BM$1:$BM$3,BT$1:BT$3)/SUMPRODUCT(_xlfn.XLOOKUP($C103,$BM$1:$BM$3,$BN$1:$BY$3),$BN$4:$BY$4),""),
"")</f>
        <v>0.1025813980633743</v>
      </c>
      <c r="BU103" s="8">
        <f>IF(_xlfn.XLOOKUP($B103,'ELC TECH'!$H:$H,'ELC TECH'!$E:$E)="Non Dispatchable",IFERROR($AX103*_xlfn.XLOOKUP($C103,$BM$1:$BM$3,BU$1:BU$3)/SUMPRODUCT(_xlfn.XLOOKUP($C103,$BM$1:$BM$3,$BN$1:$BY$3),$BN$4:$BY$4),""),
"")</f>
        <v>0.90893967369651674</v>
      </c>
      <c r="BV103" s="8">
        <f>IF(_xlfn.XLOOKUP($B103,'ELC TECH'!$H:$H,'ELC TECH'!$E:$E)="Non Dispatchable",IFERROR($AX103*_xlfn.XLOOKUP($C103,$BM$1:$BM$3,BV$1:BV$3)/SUMPRODUCT(_xlfn.XLOOKUP($C103,$BM$1:$BM$3,$BN$1:$BY$3),$BN$4:$BY$4),""),
"")</f>
        <v>0.53123839036992371</v>
      </c>
      <c r="BW103" s="8">
        <f>IF(_xlfn.XLOOKUP($B103,'ELC TECH'!$H:$H,'ELC TECH'!$E:$E)="Non Dispatchable",IFERROR($AX103*_xlfn.XLOOKUP($C103,$BM$1:$BM$3,BW$1:BW$3)/SUMPRODUCT(_xlfn.XLOOKUP($C103,$BM$1:$BM$3,$BN$1:$BY$3),$BN$4:$BY$4),""),
"")</f>
        <v>0.53123839036992371</v>
      </c>
      <c r="BX103" s="8">
        <f>IF(_xlfn.XLOOKUP($B103,'ELC TECH'!$H:$H,'ELC TECH'!$E:$E)="Non Dispatchable",IFERROR($AX103*_xlfn.XLOOKUP($C103,$BM$1:$BM$3,BX$1:BX$3)/SUMPRODUCT(_xlfn.XLOOKUP($C103,$BM$1:$BM$3,$BN$1:$BY$3),$BN$4:$BY$4),""),
"")</f>
        <v>5.3123839036992367E-2</v>
      </c>
      <c r="BY103" s="8">
        <f>IF(_xlfn.XLOOKUP($B103,'ELC TECH'!$H:$H,'ELC TECH'!$E:$E)="Non Dispatchable",IFERROR($AX103*_xlfn.XLOOKUP($C103,$BM$1:$BM$3,BY$1:BY$3)/SUMPRODUCT(_xlfn.XLOOKUP($C103,$BM$1:$BM$3,$BN$1:$BY$3),$BN$4:$BY$4),""),
"")</f>
        <v>0.38830930163140498</v>
      </c>
      <c r="BZ103" s="8">
        <f>IF(_xlfn.XLOOKUP($B103,'ELC TECH'!$H:$H,'ELC TECH'!$E:$E)="Non Dispatchable",IFERROR($AX103*_xlfn.XLOOKUP($C103,$BM$1:$BM$3,BZ$1:BZ$3)/SUMPRODUCT(_xlfn.XLOOKUP($C103,$BM$1:$BM$3,$BN$1:$BY$3),$BN$4:$BY$4),""),
"")</f>
        <v>0.88155888960712259</v>
      </c>
      <c r="CA103" s="8">
        <f>IF(_xlfn.XLOOKUP($B103,'ELC TECH'!$H:$H,'ELC TECH'!$E:$E)="Non Dispatchable",IFERROR($AX103*_xlfn.XLOOKUP($C103,$BM$1:$BM$3,CA$1:CA$3)/SUMPRODUCT(_xlfn.XLOOKUP($C103,$BM$1:$BM$3,$BN$1:$BY$3),$BN$4:$BY$4),""),
"")</f>
        <v>0.88155888960712259</v>
      </c>
      <c r="CB103" s="8">
        <f>IF(_xlfn.XLOOKUP($B103,'ELC TECH'!$H:$H,'ELC TECH'!$E:$E)="Non Dispatchable",IFERROR($AX103*_xlfn.XLOOKUP($C103,$BM$1:$BM$3,CB$1:CB$3)/SUMPRODUCT(_xlfn.XLOOKUP($C103,$BM$1:$BM$3,$BN$1:$BY$3),$BN$4:$BY$4),""),
"")</f>
        <v>8.8155888960712261E-2</v>
      </c>
      <c r="CC103" s="8">
        <f>IF(_xlfn.XLOOKUP($B103,'ELC TECH'!$H:$H,'ELC TECH'!$E:$E)="Non Dispatchable",IFERROR($AX103*_xlfn.XLOOKUP($C103,$BM$1:$BM$3,CC$1:CC$3)/SUMPRODUCT(_xlfn.XLOOKUP($C103,$BM$1:$BM$3,$BN$1:$BY$3),$BN$4:$BY$4),""),
"")</f>
        <v>0.70635599079212241</v>
      </c>
      <c r="CD103" s="8">
        <f>IF(_xlfn.XLOOKUP($B103,'ELC TECH'!$H:$H,'ELC TECH'!$E:$E)="Non Dispatchable",IFERROR($AX103*_xlfn.XLOOKUP($C103,$BM$1:$BM$3,CD$1:CD$3)/SUMPRODUCT(_xlfn.XLOOKUP($C103,$BM$1:$BM$3,$BN$1:$BY$3),$BN$4:$BY$4),""),
"")</f>
        <v>1.025813980633743</v>
      </c>
      <c r="CE103" s="8">
        <f>IF(_xlfn.XLOOKUP($B103,'ELC TECH'!$H:$H,'ELC TECH'!$E:$E)="Non Dispatchable",IFERROR($AX103*_xlfn.XLOOKUP($C103,$BM$1:$BM$3,CE$1:CE$3)/SUMPRODUCT(_xlfn.XLOOKUP($C103,$BM$1:$BM$3,$BN$1:$BY$3),$BN$4:$BY$4),""),
"")</f>
        <v>1.025813980633743</v>
      </c>
      <c r="CF103" s="8">
        <f>IF(_xlfn.XLOOKUP($B103,'ELC TECH'!$H:$H,'ELC TECH'!$E:$E)="Non Dispatchable",IFERROR($AX103*_xlfn.XLOOKUP($C103,$BM$1:$BM$3,CF$1:CF$3)/SUMPRODUCT(_xlfn.XLOOKUP($C103,$BM$1:$BM$3,$BN$1:$BY$3),$BN$4:$BY$4),""),
"")</f>
        <v>0.1025813980633743</v>
      </c>
      <c r="CG103" s="8">
        <f>IF(_xlfn.XLOOKUP($B103,'ELC TECH'!$H:$H,'ELC TECH'!$E:$E)="Non Dispatchable",IFERROR($AX103*_xlfn.XLOOKUP($C103,$BM$1:$BM$3,CG$1:CG$3)/SUMPRODUCT(_xlfn.XLOOKUP($C103,$BM$1:$BM$3,$BN$1:$BY$3),$BN$4:$BY$4),""),
"")</f>
        <v>0.90893967369651674</v>
      </c>
      <c r="CH103" s="8">
        <f>IF(_xlfn.XLOOKUP($B103,'ELC TECH'!$H:$H,'ELC TECH'!$E:$E)="Non Dispatchable",IFERROR($AX103*_xlfn.XLOOKUP($C103,$BM$1:$BM$3,CH$1:CH$3)/SUMPRODUCT(_xlfn.XLOOKUP($C103,$BM$1:$BM$3,$BN$1:$BY$3),$BN$4:$BY$4),""),
"")</f>
        <v>0.53123839036992371</v>
      </c>
      <c r="CI103" s="8">
        <f>IF(_xlfn.XLOOKUP($B103,'ELC TECH'!$H:$H,'ELC TECH'!$E:$E)="Non Dispatchable",IFERROR($AX103*_xlfn.XLOOKUP($C103,$BM$1:$BM$3,CI$1:CI$3)/SUMPRODUCT(_xlfn.XLOOKUP($C103,$BM$1:$BM$3,$BN$1:$BY$3),$BN$4:$BY$4),""),
"")</f>
        <v>0.53123839036992371</v>
      </c>
      <c r="CJ103" s="8">
        <f>IF(_xlfn.XLOOKUP($B103,'ELC TECH'!$H:$H,'ELC TECH'!$E:$E)="Non Dispatchable",IFERROR($AX103*_xlfn.XLOOKUP($C103,$BM$1:$BM$3,CJ$1:CJ$3)/SUMPRODUCT(_xlfn.XLOOKUP($C103,$BM$1:$BM$3,$BN$1:$BY$3),$BN$4:$BY$4),""),
"")</f>
        <v>5.3123839036992367E-2</v>
      </c>
      <c r="CK103" s="8">
        <f>IF(_xlfn.XLOOKUP($B103,'ELC TECH'!$H:$H,'ELC TECH'!$E:$E)="Non Dispatchable",IFERROR($AX103*_xlfn.XLOOKUP($C103,$BM$1:$BM$3,CK$1:CK$3)/SUMPRODUCT(_xlfn.XLOOKUP($C103,$BM$1:$BM$3,$BN$1:$BY$3),$BN$4:$BY$4),""),
"")</f>
        <v>0.38830930163140498</v>
      </c>
      <c r="CL103" s="8" t="str">
        <f>IF(_xlfn.XLOOKUP($B103,'ELC TECH'!$H:$H,'ELC TECH'!$E:$E)="Storage",CL$4*$BF103,"")</f>
        <v/>
      </c>
      <c r="CM103" s="8" t="str">
        <f>IF(_xlfn.XLOOKUP($B103,'ELC TECH'!$H:$H,'ELC TECH'!$E:$E)="Storage",CM$4*$BF103,"")</f>
        <v/>
      </c>
      <c r="CN103" s="8" t="str">
        <f>IF(_xlfn.XLOOKUP($B103,'ELC TECH'!$H:$H,'ELC TECH'!$E:$E)="Storage",CN$4*$BF103,"")</f>
        <v/>
      </c>
      <c r="CO103" s="8" t="str">
        <f>IF(_xlfn.XLOOKUP($B103,'ELC TECH'!$H:$H,'ELC TECH'!$E:$E)="Storage",CO$4*$BF103,"")</f>
        <v/>
      </c>
      <c r="CP103" s="8" t="str">
        <f>IF(_xlfn.XLOOKUP($B103,'ELC TECH'!$H:$H,'ELC TECH'!$E:$E)="Storage",CP$4*$BF103,"")</f>
        <v/>
      </c>
      <c r="CQ103" s="8" t="str">
        <f>IF(_xlfn.XLOOKUP($B103,'ELC TECH'!$H:$H,'ELC TECH'!$E:$E)="Storage",CQ$4*$BF103,"")</f>
        <v/>
      </c>
      <c r="CR103" s="8" t="str">
        <f>IF(_xlfn.XLOOKUP($B103,'ELC TECH'!$H:$H,'ELC TECH'!$E:$E)="Storage",CR$4*$BF103,"")</f>
        <v/>
      </c>
      <c r="CS103" s="8" t="str">
        <f>IF(_xlfn.XLOOKUP($B103,'ELC TECH'!$H:$H,'ELC TECH'!$E:$E)="Storage",CS$4*$BF103,"")</f>
        <v/>
      </c>
      <c r="CT103" s="8" t="str">
        <f>IF(_xlfn.XLOOKUP($B103,'ELC TECH'!$H:$H,'ELC TECH'!$E:$E)="Storage",CT$4*$BF103,"")</f>
        <v/>
      </c>
      <c r="CU103" s="8" t="str">
        <f>IF(_xlfn.XLOOKUP($B103,'ELC TECH'!$H:$H,'ELC TECH'!$E:$E)="Storage",CU$4*$BF103,"")</f>
        <v/>
      </c>
      <c r="CV103" s="8" t="str">
        <f>IF(_xlfn.XLOOKUP($B103,'ELC TECH'!$H:$H,'ELC TECH'!$E:$E)="Storage",CV$4*$BF103,"")</f>
        <v/>
      </c>
      <c r="CW103" s="8" t="str">
        <f>IF(_xlfn.XLOOKUP($B103,'ELC TECH'!$H:$H,'ELC TECH'!$E:$E)="Storage",CW$4*$BF103,"")</f>
        <v/>
      </c>
      <c r="CX103" s="8" t="str">
        <f>IF(_xlfn.XLOOKUP($B103,'ELC TECH'!$H:$H,'ELC TECH'!$E:$E)="Storage",CX$4*$BF103,"")</f>
        <v/>
      </c>
      <c r="CY103" s="8" t="str">
        <f>IF(_xlfn.XLOOKUP($B103,'ELC TECH'!$H:$H,'ELC TECH'!$E:$E)="Storage",CY$4*$BF103,"")</f>
        <v/>
      </c>
      <c r="CZ103" s="8" t="str">
        <f>IF(_xlfn.XLOOKUP($B103,'ELC TECH'!$H:$H,'ELC TECH'!$E:$E)="Storage",CZ$4*$BF103,"")</f>
        <v/>
      </c>
      <c r="DA103" s="8" t="str">
        <f>IF(_xlfn.XLOOKUP($B103,'ELC TECH'!$H:$H,'ELC TECH'!$E:$E)="Storage",DA$4*$BF103,"")</f>
        <v/>
      </c>
      <c r="DB103" s="8" t="str">
        <f>IF(_xlfn.XLOOKUP($B103,'ELC TECH'!$H:$H,'ELC TECH'!$E:$E)="Storage",DB$4*$BF103,"")</f>
        <v/>
      </c>
      <c r="DC103" s="8" t="str">
        <f>IF(_xlfn.XLOOKUP($B103,'ELC TECH'!$H:$H,'ELC TECH'!$E:$E)="Storage",DC$4*$BF103,"")</f>
        <v/>
      </c>
      <c r="DD103" s="8" t="str">
        <f>IF(_xlfn.XLOOKUP($B103,'ELC TECH'!$H:$H,'ELC TECH'!$E:$E)="Storage",DD$4*$BF103,"")</f>
        <v/>
      </c>
      <c r="DE103" s="8" t="str">
        <f>IF(_xlfn.XLOOKUP($B103,'ELC TECH'!$H:$H,'ELC TECH'!$E:$E)="Storage",DE$4*$BF103,"")</f>
        <v/>
      </c>
      <c r="DF103" s="8" t="str">
        <f>IF(_xlfn.XLOOKUP($B103,'ELC TECH'!$H:$H,'ELC TECH'!$E:$E)="Storage",DF$4*$BF103,"")</f>
        <v/>
      </c>
      <c r="DG103" s="8" t="str">
        <f>IF(_xlfn.XLOOKUP($B103,'ELC TECH'!$H:$H,'ELC TECH'!$E:$E)="Storage",DG$4*$BF103,"")</f>
        <v/>
      </c>
      <c r="DH103" s="8" t="str">
        <f>IF(_xlfn.XLOOKUP($B103,'ELC TECH'!$H:$H,'ELC TECH'!$E:$E)="Storage",DH$4*$BF103,"")</f>
        <v/>
      </c>
      <c r="DI103" s="8" t="str">
        <f>IF(_xlfn.XLOOKUP($B103,'ELC TECH'!$H:$H,'ELC TECH'!$E:$E)="Storage",DI$4*$BF103,"")</f>
        <v/>
      </c>
    </row>
    <row r="104" spans="2:113" x14ac:dyDescent="0.25">
      <c r="B104" t="str">
        <f>IF('ELC TECH'!I97=0,"*",'ELC TECH'!H97)</f>
        <v>ELCWNDGRDWOFC1120</v>
      </c>
      <c r="C104" t="str">
        <f>IF(_xlfn.XLOOKUP(_xlfn.XLOOKUP(B104,'ELC TECH'!$H:$H,'ELC TECH'!$G:$G),List!C:C,List!B:B)="STG",D104,"ELC"&amp;_xlfn.XLOOKUP(_xlfn.XLOOKUP(B104,'ELC TECH'!H:H,'ELC TECH'!G:G),List!C:C,List!B:B))</f>
        <v>ELCWND</v>
      </c>
      <c r="D104" t="s">
        <v>544</v>
      </c>
      <c r="E104">
        <f>_xlfn.XLOOKUP(B104,'ELC TECH'!H:H,'ELC TECH'!D:D)</f>
        <v>2020</v>
      </c>
      <c r="F104">
        <f>_xlfn.XLOOKUP(B104,'ELC TECH'!H:H,'ELC TECH'!K:K)</f>
        <v>30</v>
      </c>
      <c r="G104">
        <f t="shared" si="6"/>
        <v>31.535999999999998</v>
      </c>
      <c r="H104">
        <f>IF(_xlfn.XLOOKUP(B104,'ELC TECH'!$H:$H,'ELC TECH'!$E:$E)="Storage",0.3,IF(_xlfn.XLOOKUP(B104,'ELC TECH'!$H:$H,'ELC TECH'!$E:$E)="Baseload",0.9,IF(_xlfn.XLOOKUP(B104,'ELC TECH'!$H:$H,'ELC TECH'!$E:$E)="Non Dispatchable",0.05,IF(_xlfn.XLOOKUP(B104,'ELC TECH'!$H:$H,'ELC TECH'!$E:$E)="Dispatchable",0.9,1))))</f>
        <v>0.05</v>
      </c>
      <c r="I104" s="13">
        <f>IF(_xlfn.XLOOKUP(B104,'ELC TECH'!H:H,'ELC TECH'!J:J)="","",_xlfn.XLOOKUP(B104,'ELC TECH'!H:H,'ELC TECH'!J:J))</f>
        <v>0</v>
      </c>
      <c r="J104" s="12">
        <f>IF(_xlfn.XLOOKUP($B104,'ELC TECH'!$H:$H,'ELC TECH'!$E:$E)="Storage","",IF(_xlfn.XLOOKUP($B104,'ELC TECH'!$H:$H,'ELC TECH'!AK:AK)="",1,_xlfn.XLOOKUP($B104,'ELC TECH'!$H:$H,'ELC TECH'!AK:AK)))</f>
        <v>1</v>
      </c>
      <c r="K104" s="12">
        <f>IF(_xlfn.XLOOKUP($B104,'ELC TECH'!$H:$H,'ELC TECH'!$E:$E)="Storage","",IF(_xlfn.XLOOKUP($B104,'ELC TECH'!$H:$H,'ELC TECH'!AL:AL)="",1,_xlfn.XLOOKUP($B104,'ELC TECH'!$H:$H,'ELC TECH'!AL:AL)))</f>
        <v>1</v>
      </c>
      <c r="L104" s="12">
        <f>IF(_xlfn.XLOOKUP($B104,'ELC TECH'!$H:$H,'ELC TECH'!$E:$E)="Storage","",IF(_xlfn.XLOOKUP($B104,'ELC TECH'!$H:$H,'ELC TECH'!AM:AM)="",1,_xlfn.XLOOKUP($B104,'ELC TECH'!$H:$H,'ELC TECH'!AM:AM)))</f>
        <v>1</v>
      </c>
      <c r="M104" s="12">
        <f>IF(_xlfn.XLOOKUP($B104,'ELC TECH'!$H:$H,'ELC TECH'!$E:$E)="Storage","",IF(_xlfn.XLOOKUP($B104,'ELC TECH'!$H:$H,'ELC TECH'!AN:AN)="",1,_xlfn.XLOOKUP($B104,'ELC TECH'!$H:$H,'ELC TECH'!AN:AN)))</f>
        <v>1</v>
      </c>
      <c r="N104" s="12">
        <f>IF(_xlfn.XLOOKUP($B104,'ELC TECH'!$H:$H,'ELC TECH'!$E:$E)="Storage","",IF(_xlfn.XLOOKUP($B104,'ELC TECH'!$H:$H,'ELC TECH'!AO:AO)="",1,_xlfn.XLOOKUP($B104,'ELC TECH'!$H:$H,'ELC TECH'!AO:AO)))</f>
        <v>1</v>
      </c>
      <c r="O104" s="12">
        <f>IF(_xlfn.XLOOKUP($B104,'ELC TECH'!$H:$H,'ELC TECH'!$E:$E)="Storage","",IF(_xlfn.XLOOKUP($B104,'ELC TECH'!$H:$H,'ELC TECH'!AP:AP)="",1,_xlfn.XLOOKUP($B104,'ELC TECH'!$H:$H,'ELC TECH'!AP:AP)))</f>
        <v>1</v>
      </c>
      <c r="P104" s="12">
        <f>IF(_xlfn.XLOOKUP($B104,'ELC TECH'!$H:$H,'ELC TECH'!$E:$E)="Storage","",IF(_xlfn.XLOOKUP($B104,'ELC TECH'!$H:$H,'ELC TECH'!AQ:AQ)="",1,_xlfn.XLOOKUP($B104,'ELC TECH'!$H:$H,'ELC TECH'!AQ:AQ)))</f>
        <v>1</v>
      </c>
      <c r="Q104" s="12">
        <f>IF(_xlfn.XLOOKUP($B104,'ELC TECH'!$H:$H,'ELC TECH'!$E:$E)="Storage","",IF(_xlfn.XLOOKUP($B104,'ELC TECH'!$H:$H,'ELC TECH'!AR:AR)="",1,_xlfn.XLOOKUP($B104,'ELC TECH'!$H:$H,'ELC TECH'!AR:AR)))</f>
        <v>1</v>
      </c>
      <c r="R104" s="12" t="str">
        <f>IF(_xlfn.XLOOKUP($B104,'ELC TECH'!$H:$H,'ELC TECH'!$E:$E)&lt;&gt;"Storage","",IF(_xlfn.XLOOKUP($B104,'ELC TECH'!$H:$H,'ELC TECH'!AK:AK)="",0.8,_xlfn.XLOOKUP($B104,'ELC TECH'!$H:$H,'ELC TECH'!AK:AK)))</f>
        <v/>
      </c>
      <c r="S104" s="12" t="str">
        <f>IF(_xlfn.XLOOKUP($B104,'ELC TECH'!$H:$H,'ELC TECH'!$E:$E)&lt;&gt;"Storage","",IF(_xlfn.XLOOKUP($B104,'ELC TECH'!$H:$H,'ELC TECH'!AL:AL)="",0.8,_xlfn.XLOOKUP($B104,'ELC TECH'!$H:$H,'ELC TECH'!AL:AL)))</f>
        <v/>
      </c>
      <c r="T104" s="12" t="str">
        <f>IF(_xlfn.XLOOKUP($B104,'ELC TECH'!$H:$H,'ELC TECH'!$E:$E)&lt;&gt;"Storage","",IF(_xlfn.XLOOKUP($B104,'ELC TECH'!$H:$H,'ELC TECH'!AM:AM)="",0.8,_xlfn.XLOOKUP($B104,'ELC TECH'!$H:$H,'ELC TECH'!AM:AM)))</f>
        <v/>
      </c>
      <c r="U104" s="12" t="str">
        <f>IF(_xlfn.XLOOKUP($B104,'ELC TECH'!$H:$H,'ELC TECH'!$E:$E)&lt;&gt;"Storage","",IF(_xlfn.XLOOKUP($B104,'ELC TECH'!$H:$H,'ELC TECH'!AN:AN)="",0.8,_xlfn.XLOOKUP($B104,'ELC TECH'!$H:$H,'ELC TECH'!AN:AN)))</f>
        <v/>
      </c>
      <c r="V104" s="12" t="str">
        <f>IF(_xlfn.XLOOKUP($B104,'ELC TECH'!$H:$H,'ELC TECH'!$E:$E)&lt;&gt;"Storage","",IF(_xlfn.XLOOKUP($B104,'ELC TECH'!$H:$H,'ELC TECH'!AO:AO)="",0.8,_xlfn.XLOOKUP($B104,'ELC TECH'!$H:$H,'ELC TECH'!AO:AO)))</f>
        <v/>
      </c>
      <c r="W104" s="12" t="str">
        <f>IF(_xlfn.XLOOKUP($B104,'ELC TECH'!$H:$H,'ELC TECH'!$E:$E)&lt;&gt;"Storage","",IF(_xlfn.XLOOKUP($B104,'ELC TECH'!$H:$H,'ELC TECH'!AP:AP)="",0.8,_xlfn.XLOOKUP($B104,'ELC TECH'!$H:$H,'ELC TECH'!AP:AP)))</f>
        <v/>
      </c>
      <c r="X104" s="12" t="str">
        <f>IF(_xlfn.XLOOKUP($B104,'ELC TECH'!$H:$H,'ELC TECH'!$E:$E)&lt;&gt;"Storage","",IF(_xlfn.XLOOKUP($B104,'ELC TECH'!$H:$H,'ELC TECH'!AQ:AQ)="",0.8,_xlfn.XLOOKUP($B104,'ELC TECH'!$H:$H,'ELC TECH'!AQ:AQ)))</f>
        <v/>
      </c>
      <c r="Y104" s="12" t="str">
        <f>IF(_xlfn.XLOOKUP($B104,'ELC TECH'!$H:$H,'ELC TECH'!$E:$E)&lt;&gt;"Storage","",IF(_xlfn.XLOOKUP($B104,'ELC TECH'!$H:$H,'ELC TECH'!AR:AR)="",0.8,_xlfn.XLOOKUP($B104,'ELC TECH'!$H:$H,'ELC TECH'!AR:AR)))</f>
        <v/>
      </c>
      <c r="Z104" s="15">
        <f>_xlfn.XLOOKUP($B104,'ELC TECH'!$H:$H,'ELC TECH'!M:M)</f>
        <v>4121.5189688418432</v>
      </c>
      <c r="AA104" s="15">
        <f>_xlfn.XLOOKUP($B104,'ELC TECH'!$H:$H,'ELC TECH'!N:N)</f>
        <v>3613.6863925591442</v>
      </c>
      <c r="AB104" s="15">
        <f>_xlfn.XLOOKUP($B104,'ELC TECH'!$H:$H,'ELC TECH'!O:O)</f>
        <v>3333.5006437928841</v>
      </c>
      <c r="AC104" s="15">
        <f>_xlfn.XLOOKUP($B104,'ELC TECH'!$H:$H,'ELC TECH'!P:P)</f>
        <v>3160.29892221304</v>
      </c>
      <c r="AD104" s="15">
        <f>_xlfn.XLOOKUP($B104,'ELC TECH'!$H:$H,'ELC TECH'!Q:Q)</f>
        <v>3034.5977984074798</v>
      </c>
      <c r="AE104" s="15">
        <f>_xlfn.XLOOKUP($B104,'ELC TECH'!$H:$H,'ELC TECH'!R:R)</f>
        <v>2935.8733560356318</v>
      </c>
      <c r="AF104" s="15">
        <f>_xlfn.XLOOKUP($B104,'ELC TECH'!$H:$H,'ELC TECH'!S:S)</f>
        <v>2854.5680482253401</v>
      </c>
      <c r="AG104" s="15">
        <f>_xlfn.XLOOKUP($B104,'ELC TECH'!$H:$H,'ELC TECH'!T:T)</f>
        <v>2854.5680482253401</v>
      </c>
      <c r="AH104" s="15">
        <f>_xlfn.XLOOKUP($B104,'ELC TECH'!$H:$H,'ELC TECH'!U:U)</f>
        <v>101.6215792272114</v>
      </c>
      <c r="AI104" s="15">
        <f>_xlfn.XLOOKUP($B104,'ELC TECH'!$H:$H,'ELC TECH'!V:V)</f>
        <v>91.021484120299604</v>
      </c>
      <c r="AJ104" s="15">
        <f>_xlfn.XLOOKUP($B104,'ELC TECH'!$H:$H,'ELC TECH'!W:W)</f>
        <v>83.596756491345658</v>
      </c>
      <c r="AK104" s="15">
        <f>_xlfn.XLOOKUP($B104,'ELC TECH'!$H:$H,'ELC TECH'!X:X)</f>
        <v>78.62016783705738</v>
      </c>
      <c r="AL104" s="15">
        <f>_xlfn.XLOOKUP($B104,'ELC TECH'!$H:$H,'ELC TECH'!Y:Y)</f>
        <v>74.871582484822937</v>
      </c>
      <c r="AM104" s="15">
        <f>_xlfn.XLOOKUP($B104,'ELC TECH'!$H:$H,'ELC TECH'!Z:Z)</f>
        <v>71.863350054544028</v>
      </c>
      <c r="AN104" s="15">
        <f>_xlfn.XLOOKUP($B104,'ELC TECH'!$H:$H,'ELC TECH'!AA:AA)</f>
        <v>69.35071201908903</v>
      </c>
      <c r="AO104" s="15">
        <f>_xlfn.XLOOKUP($B104,'ELC TECH'!$H:$H,'ELC TECH'!AB:AB)</f>
        <v>69.35071201908903</v>
      </c>
      <c r="AP104" s="15">
        <f>_xlfn.XLOOKUP($B104,'ELC TECH'!$H:$H,'ELC TECH'!AC:AC)</f>
        <v>0</v>
      </c>
      <c r="AQ104" s="15">
        <f>_xlfn.XLOOKUP($B104,'ELC TECH'!$H:$H,'ELC TECH'!AD:AD)</f>
        <v>0</v>
      </c>
      <c r="AR104" s="15">
        <f>_xlfn.XLOOKUP($B104,'ELC TECH'!$H:$H,'ELC TECH'!AE:AE)</f>
        <v>0</v>
      </c>
      <c r="AS104" s="15">
        <f>_xlfn.XLOOKUP($B104,'ELC TECH'!$H:$H,'ELC TECH'!AF:AF)</f>
        <v>0</v>
      </c>
      <c r="AT104" s="15">
        <f>_xlfn.XLOOKUP($B104,'ELC TECH'!$H:$H,'ELC TECH'!AG:AG)</f>
        <v>0</v>
      </c>
      <c r="AU104" s="15">
        <f>_xlfn.XLOOKUP($B104,'ELC TECH'!$H:$H,'ELC TECH'!AH:AH)</f>
        <v>0</v>
      </c>
      <c r="AV104" s="15">
        <f>_xlfn.XLOOKUP($B104,'ELC TECH'!$H:$H,'ELC TECH'!AI:AI)</f>
        <v>0</v>
      </c>
      <c r="AW104" s="15">
        <f>_xlfn.XLOOKUP($B104,'ELC TECH'!$H:$H,'ELC TECH'!AJ:AJ)</f>
        <v>0</v>
      </c>
      <c r="AX104" s="12">
        <f>IF(_xlfn.XLOOKUP($B104,'ELC TECH'!$H:$H,'ELC TECH'!$E:$E)="Storage","",_xlfn.XLOOKUP($B104,'ELC TECH'!$H:$H,'ELC TECH'!AS:AS))</f>
        <v>0.495273387645846</v>
      </c>
      <c r="AY104" s="12">
        <f>IF(_xlfn.XLOOKUP($B104,'ELC TECH'!$H:$H,'ELC TECH'!$E:$E)="Storage","",_xlfn.XLOOKUP($B104,'ELC TECH'!$H:$H,'ELC TECH'!AT:AT))</f>
        <v>0.51224794278062902</v>
      </c>
      <c r="AZ104" s="12">
        <f>IF(_xlfn.XLOOKUP($B104,'ELC TECH'!$H:$H,'ELC TECH'!$E:$E)="Storage","",_xlfn.XLOOKUP($B104,'ELC TECH'!$H:$H,'ELC TECH'!AU:AU))</f>
        <v>0.53073231877711402</v>
      </c>
      <c r="BA104" s="12">
        <f>IF(_xlfn.XLOOKUP($B104,'ELC TECH'!$H:$H,'ELC TECH'!$E:$E)="Storage","",_xlfn.XLOOKUP($B104,'ELC TECH'!$H:$H,'ELC TECH'!AV:AV))</f>
        <v>0.53806779920386505</v>
      </c>
      <c r="BB104" s="12">
        <f>IF(_xlfn.XLOOKUP($B104,'ELC TECH'!$H:$H,'ELC TECH'!$E:$E)="Storage","",_xlfn.XLOOKUP($B104,'ELC TECH'!$H:$H,'ELC TECH'!AW:AW))</f>
        <v>0.54482698573229205</v>
      </c>
      <c r="BC104" s="12">
        <f>IF(_xlfn.XLOOKUP($B104,'ELC TECH'!$H:$H,'ELC TECH'!$E:$E)="Storage","",_xlfn.XLOOKUP($B104,'ELC TECH'!$H:$H,'ELC TECH'!AX:AX))</f>
        <v>0.55123872948852604</v>
      </c>
      <c r="BD104" s="12">
        <f>IF(_xlfn.XLOOKUP($B104,'ELC TECH'!$H:$H,'ELC TECH'!$E:$E)="Storage","",_xlfn.XLOOKUP($B104,'ELC TECH'!$H:$H,'ELC TECH'!AY:AY))</f>
        <v>0.55741789404460396</v>
      </c>
      <c r="BE104" s="12">
        <f>IF(_xlfn.XLOOKUP($B104,'ELC TECH'!$H:$H,'ELC TECH'!$E:$E)="Storage","",_xlfn.XLOOKUP($B104,'ELC TECH'!$H:$H,'ELC TECH'!AZ:AZ))</f>
        <v>0.55741789404460396</v>
      </c>
      <c r="BF104" s="12" t="str">
        <f>IF(_xlfn.XLOOKUP($B104,'ELC TECH'!$H:$H,'ELC TECH'!$E:$E)="Storage",_xlfn.XLOOKUP($B104,'ELC TECH'!$H:$H,'ELC TECH'!AS:AS),"")</f>
        <v/>
      </c>
      <c r="BG104" s="12" t="str">
        <f>IF(_xlfn.XLOOKUP($B104,'ELC TECH'!$H:$H,'ELC TECH'!$E:$E)="Storage",_xlfn.XLOOKUP($B104,'ELC TECH'!$H:$H,'ELC TECH'!AT:AT),"")</f>
        <v/>
      </c>
      <c r="BH104" s="12" t="str">
        <f>IF(_xlfn.XLOOKUP($B104,'ELC TECH'!$H:$H,'ELC TECH'!$E:$E)="Storage",_xlfn.XLOOKUP($B104,'ELC TECH'!$H:$H,'ELC TECH'!AU:AU),"")</f>
        <v/>
      </c>
      <c r="BI104" s="12" t="str">
        <f>IF(_xlfn.XLOOKUP($B104,'ELC TECH'!$H:$H,'ELC TECH'!$E:$E)="Storage",_xlfn.XLOOKUP($B104,'ELC TECH'!$H:$H,'ELC TECH'!AV:AV),"")</f>
        <v/>
      </c>
      <c r="BJ104" s="12" t="str">
        <f>IF(_xlfn.XLOOKUP($B104,'ELC TECH'!$H:$H,'ELC TECH'!$E:$E)="Storage",_xlfn.XLOOKUP($B104,'ELC TECH'!$H:$H,'ELC TECH'!AW:AW),"")</f>
        <v/>
      </c>
      <c r="BK104" s="12" t="str">
        <f>IF(_xlfn.XLOOKUP($B104,'ELC TECH'!$H:$H,'ELC TECH'!$E:$E)="Storage",_xlfn.XLOOKUP($B104,'ELC TECH'!$H:$H,'ELC TECH'!AX:AX),"")</f>
        <v/>
      </c>
      <c r="BL104" s="12" t="str">
        <f>IF(_xlfn.XLOOKUP($B104,'ELC TECH'!$H:$H,'ELC TECH'!$E:$E)="Storage",_xlfn.XLOOKUP($B104,'ELC TECH'!$H:$H,'ELC TECH'!AY:AY),"")</f>
        <v/>
      </c>
      <c r="BM104" s="12" t="str">
        <f>IF(_xlfn.XLOOKUP($B104,'ELC TECH'!$H:$H,'ELC TECH'!$E:$E)="Storage",_xlfn.XLOOKUP($B104,'ELC TECH'!$H:$H,'ELC TECH'!AZ:AZ),"")</f>
        <v/>
      </c>
      <c r="BN104" s="8">
        <f>IF(_xlfn.XLOOKUP($B104,'ELC TECH'!$H:$H,'ELC TECH'!$E:$E)="Non Dispatchable",IFERROR($AX104*_xlfn.XLOOKUP($C104,$BM$1:$BM$3,BN$1:BN$3)/SUMPRODUCT(_xlfn.XLOOKUP($C104,$BM$1:$BM$3,$BN$1:$BY$3),$BN$4:$BY$4),""),
"")</f>
        <v>0.86970081242426978</v>
      </c>
      <c r="BO104" s="8">
        <f>IF(_xlfn.XLOOKUP($B104,'ELC TECH'!$H:$H,'ELC TECH'!$E:$E)="Non Dispatchable",IFERROR($AX104*_xlfn.XLOOKUP($C104,$BM$1:$BM$3,BO$1:BO$3)/SUMPRODUCT(_xlfn.XLOOKUP($C104,$BM$1:$BM$3,$BN$1:$BY$3),$BN$4:$BY$4),""),
"")</f>
        <v>0.86970081242426978</v>
      </c>
      <c r="BP104" s="8">
        <f>IF(_xlfn.XLOOKUP($B104,'ELC TECH'!$H:$H,'ELC TECH'!$E:$E)="Non Dispatchable",IFERROR($AX104*_xlfn.XLOOKUP($C104,$BM$1:$BM$3,BP$1:BP$3)/SUMPRODUCT(_xlfn.XLOOKUP($C104,$BM$1:$BM$3,$BN$1:$BY$3),$BN$4:$BY$4),""),
"")</f>
        <v>8.6970081242426972E-2</v>
      </c>
      <c r="BQ104" s="8">
        <f>IF(_xlfn.XLOOKUP($B104,'ELC TECH'!$H:$H,'ELC TECH'!$E:$E)="Non Dispatchable",IFERROR($AX104*_xlfn.XLOOKUP($C104,$BM$1:$BM$3,BQ$1:BQ$3)/SUMPRODUCT(_xlfn.XLOOKUP($C104,$BM$1:$BM$3,$BN$1:$BY$3),$BN$4:$BY$4),""),
"")</f>
        <v>0.69685461322548437</v>
      </c>
      <c r="BR104" s="8">
        <f>IF(_xlfn.XLOOKUP($B104,'ELC TECH'!$H:$H,'ELC TECH'!$E:$E)="Non Dispatchable",IFERROR($AX104*_xlfn.XLOOKUP($C104,$BM$1:$BM$3,BR$1:BR$3)/SUMPRODUCT(_xlfn.XLOOKUP($C104,$BM$1:$BM$3,$BN$1:$BY$3),$BN$4:$BY$4),""),
"")</f>
        <v>1.0120154908209686</v>
      </c>
      <c r="BS104" s="8">
        <f>IF(_xlfn.XLOOKUP($B104,'ELC TECH'!$H:$H,'ELC TECH'!$E:$E)="Non Dispatchable",IFERROR($AX104*_xlfn.XLOOKUP($C104,$BM$1:$BM$3,BS$1:BS$3)/SUMPRODUCT(_xlfn.XLOOKUP($C104,$BM$1:$BM$3,$BN$1:$BY$3),$BN$4:$BY$4),""),
"")</f>
        <v>1.0120154908209686</v>
      </c>
      <c r="BT104" s="8">
        <f>IF(_xlfn.XLOOKUP($B104,'ELC TECH'!$H:$H,'ELC TECH'!$E:$E)="Non Dispatchable",IFERROR($AX104*_xlfn.XLOOKUP($C104,$BM$1:$BM$3,BT$1:BT$3)/SUMPRODUCT(_xlfn.XLOOKUP($C104,$BM$1:$BM$3,$BN$1:$BY$3),$BN$4:$BY$4),""),
"")</f>
        <v>0.10120154908209689</v>
      </c>
      <c r="BU104" s="8">
        <f>IF(_xlfn.XLOOKUP($B104,'ELC TECH'!$H:$H,'ELC TECH'!$E:$E)="Non Dispatchable",IFERROR($AX104*_xlfn.XLOOKUP($C104,$BM$1:$BM$3,BU$1:BU$3)/SUMPRODUCT(_xlfn.XLOOKUP($C104,$BM$1:$BM$3,$BN$1:$BY$3),$BN$4:$BY$4),""),
"")</f>
        <v>0.89671329048795545</v>
      </c>
      <c r="BV104" s="8">
        <f>IF(_xlfn.XLOOKUP($B104,'ELC TECH'!$H:$H,'ELC TECH'!$E:$E)="Non Dispatchable",IFERROR($AX104*_xlfn.XLOOKUP($C104,$BM$1:$BM$3,BV$1:BV$3)/SUMPRODUCT(_xlfn.XLOOKUP($C104,$BM$1:$BM$3,$BN$1:$BY$3),$BN$4:$BY$4),""),
"")</f>
        <v>0.52409256504870383</v>
      </c>
      <c r="BW104" s="8">
        <f>IF(_xlfn.XLOOKUP($B104,'ELC TECH'!$H:$H,'ELC TECH'!$E:$E)="Non Dispatchable",IFERROR($AX104*_xlfn.XLOOKUP($C104,$BM$1:$BM$3,BW$1:BW$3)/SUMPRODUCT(_xlfn.XLOOKUP($C104,$BM$1:$BM$3,$BN$1:$BY$3),$BN$4:$BY$4),""),
"")</f>
        <v>0.52409256504870383</v>
      </c>
      <c r="BX104" s="8">
        <f>IF(_xlfn.XLOOKUP($B104,'ELC TECH'!$H:$H,'ELC TECH'!$E:$E)="Non Dispatchable",IFERROR($AX104*_xlfn.XLOOKUP($C104,$BM$1:$BM$3,BX$1:BX$3)/SUMPRODUCT(_xlfn.XLOOKUP($C104,$BM$1:$BM$3,$BN$1:$BY$3),$BN$4:$BY$4),""),
"")</f>
        <v>5.2409256504870383E-2</v>
      </c>
      <c r="BY104" s="8">
        <f>IF(_xlfn.XLOOKUP($B104,'ELC TECH'!$H:$H,'ELC TECH'!$E:$E)="Non Dispatchable",IFERROR($AX104*_xlfn.XLOOKUP($C104,$BM$1:$BM$3,BY$1:BY$3)/SUMPRODUCT(_xlfn.XLOOKUP($C104,$BM$1:$BM$3,$BN$1:$BY$3),$BN$4:$BY$4),""),
"")</f>
        <v>0.3830860525395412</v>
      </c>
      <c r="BZ104" s="8">
        <f>IF(_xlfn.XLOOKUP($B104,'ELC TECH'!$H:$H,'ELC TECH'!$E:$E)="Non Dispatchable",IFERROR($AX104*_xlfn.XLOOKUP($C104,$BM$1:$BM$3,BZ$1:BZ$3)/SUMPRODUCT(_xlfn.XLOOKUP($C104,$BM$1:$BM$3,$BN$1:$BY$3),$BN$4:$BY$4),""),
"")</f>
        <v>0.86970081242426978</v>
      </c>
      <c r="CA104" s="8">
        <f>IF(_xlfn.XLOOKUP($B104,'ELC TECH'!$H:$H,'ELC TECH'!$E:$E)="Non Dispatchable",IFERROR($AX104*_xlfn.XLOOKUP($C104,$BM$1:$BM$3,CA$1:CA$3)/SUMPRODUCT(_xlfn.XLOOKUP($C104,$BM$1:$BM$3,$BN$1:$BY$3),$BN$4:$BY$4),""),
"")</f>
        <v>0.86970081242426978</v>
      </c>
      <c r="CB104" s="8">
        <f>IF(_xlfn.XLOOKUP($B104,'ELC TECH'!$H:$H,'ELC TECH'!$E:$E)="Non Dispatchable",IFERROR($AX104*_xlfn.XLOOKUP($C104,$BM$1:$BM$3,CB$1:CB$3)/SUMPRODUCT(_xlfn.XLOOKUP($C104,$BM$1:$BM$3,$BN$1:$BY$3),$BN$4:$BY$4),""),
"")</f>
        <v>8.6970081242426972E-2</v>
      </c>
      <c r="CC104" s="8">
        <f>IF(_xlfn.XLOOKUP($B104,'ELC TECH'!$H:$H,'ELC TECH'!$E:$E)="Non Dispatchable",IFERROR($AX104*_xlfn.XLOOKUP($C104,$BM$1:$BM$3,CC$1:CC$3)/SUMPRODUCT(_xlfn.XLOOKUP($C104,$BM$1:$BM$3,$BN$1:$BY$3),$BN$4:$BY$4),""),
"")</f>
        <v>0.69685461322548437</v>
      </c>
      <c r="CD104" s="8">
        <f>IF(_xlfn.XLOOKUP($B104,'ELC TECH'!$H:$H,'ELC TECH'!$E:$E)="Non Dispatchable",IFERROR($AX104*_xlfn.XLOOKUP($C104,$BM$1:$BM$3,CD$1:CD$3)/SUMPRODUCT(_xlfn.XLOOKUP($C104,$BM$1:$BM$3,$BN$1:$BY$3),$BN$4:$BY$4),""),
"")</f>
        <v>1.0120154908209686</v>
      </c>
      <c r="CE104" s="8">
        <f>IF(_xlfn.XLOOKUP($B104,'ELC TECH'!$H:$H,'ELC TECH'!$E:$E)="Non Dispatchable",IFERROR($AX104*_xlfn.XLOOKUP($C104,$BM$1:$BM$3,CE$1:CE$3)/SUMPRODUCT(_xlfn.XLOOKUP($C104,$BM$1:$BM$3,$BN$1:$BY$3),$BN$4:$BY$4),""),
"")</f>
        <v>1.0120154908209686</v>
      </c>
      <c r="CF104" s="8">
        <f>IF(_xlfn.XLOOKUP($B104,'ELC TECH'!$H:$H,'ELC TECH'!$E:$E)="Non Dispatchable",IFERROR($AX104*_xlfn.XLOOKUP($C104,$BM$1:$BM$3,CF$1:CF$3)/SUMPRODUCT(_xlfn.XLOOKUP($C104,$BM$1:$BM$3,$BN$1:$BY$3),$BN$4:$BY$4),""),
"")</f>
        <v>0.10120154908209689</v>
      </c>
      <c r="CG104" s="8">
        <f>IF(_xlfn.XLOOKUP($B104,'ELC TECH'!$H:$H,'ELC TECH'!$E:$E)="Non Dispatchable",IFERROR($AX104*_xlfn.XLOOKUP($C104,$BM$1:$BM$3,CG$1:CG$3)/SUMPRODUCT(_xlfn.XLOOKUP($C104,$BM$1:$BM$3,$BN$1:$BY$3),$BN$4:$BY$4),""),
"")</f>
        <v>0.89671329048795545</v>
      </c>
      <c r="CH104" s="8">
        <f>IF(_xlfn.XLOOKUP($B104,'ELC TECH'!$H:$H,'ELC TECH'!$E:$E)="Non Dispatchable",IFERROR($AX104*_xlfn.XLOOKUP($C104,$BM$1:$BM$3,CH$1:CH$3)/SUMPRODUCT(_xlfn.XLOOKUP($C104,$BM$1:$BM$3,$BN$1:$BY$3),$BN$4:$BY$4),""),
"")</f>
        <v>0.52409256504870383</v>
      </c>
      <c r="CI104" s="8">
        <f>IF(_xlfn.XLOOKUP($B104,'ELC TECH'!$H:$H,'ELC TECH'!$E:$E)="Non Dispatchable",IFERROR($AX104*_xlfn.XLOOKUP($C104,$BM$1:$BM$3,CI$1:CI$3)/SUMPRODUCT(_xlfn.XLOOKUP($C104,$BM$1:$BM$3,$BN$1:$BY$3),$BN$4:$BY$4),""),
"")</f>
        <v>0.52409256504870383</v>
      </c>
      <c r="CJ104" s="8">
        <f>IF(_xlfn.XLOOKUP($B104,'ELC TECH'!$H:$H,'ELC TECH'!$E:$E)="Non Dispatchable",IFERROR($AX104*_xlfn.XLOOKUP($C104,$BM$1:$BM$3,CJ$1:CJ$3)/SUMPRODUCT(_xlfn.XLOOKUP($C104,$BM$1:$BM$3,$BN$1:$BY$3),$BN$4:$BY$4),""),
"")</f>
        <v>5.2409256504870383E-2</v>
      </c>
      <c r="CK104" s="8">
        <f>IF(_xlfn.XLOOKUP($B104,'ELC TECH'!$H:$H,'ELC TECH'!$E:$E)="Non Dispatchable",IFERROR($AX104*_xlfn.XLOOKUP($C104,$BM$1:$BM$3,CK$1:CK$3)/SUMPRODUCT(_xlfn.XLOOKUP($C104,$BM$1:$BM$3,$BN$1:$BY$3),$BN$4:$BY$4),""),
"")</f>
        <v>0.3830860525395412</v>
      </c>
      <c r="CL104" s="8" t="str">
        <f>IF(_xlfn.XLOOKUP($B104,'ELC TECH'!$H:$H,'ELC TECH'!$E:$E)="Storage",CL$4*$BF104,"")</f>
        <v/>
      </c>
      <c r="CM104" s="8" t="str">
        <f>IF(_xlfn.XLOOKUP($B104,'ELC TECH'!$H:$H,'ELC TECH'!$E:$E)="Storage",CM$4*$BF104,"")</f>
        <v/>
      </c>
      <c r="CN104" s="8" t="str">
        <f>IF(_xlfn.XLOOKUP($B104,'ELC TECH'!$H:$H,'ELC TECH'!$E:$E)="Storage",CN$4*$BF104,"")</f>
        <v/>
      </c>
      <c r="CO104" s="8" t="str">
        <f>IF(_xlfn.XLOOKUP($B104,'ELC TECH'!$H:$H,'ELC TECH'!$E:$E)="Storage",CO$4*$BF104,"")</f>
        <v/>
      </c>
      <c r="CP104" s="8" t="str">
        <f>IF(_xlfn.XLOOKUP($B104,'ELC TECH'!$H:$H,'ELC TECH'!$E:$E)="Storage",CP$4*$BF104,"")</f>
        <v/>
      </c>
      <c r="CQ104" s="8" t="str">
        <f>IF(_xlfn.XLOOKUP($B104,'ELC TECH'!$H:$H,'ELC TECH'!$E:$E)="Storage",CQ$4*$BF104,"")</f>
        <v/>
      </c>
      <c r="CR104" s="8" t="str">
        <f>IF(_xlfn.XLOOKUP($B104,'ELC TECH'!$H:$H,'ELC TECH'!$E:$E)="Storage",CR$4*$BF104,"")</f>
        <v/>
      </c>
      <c r="CS104" s="8" t="str">
        <f>IF(_xlfn.XLOOKUP($B104,'ELC TECH'!$H:$H,'ELC TECH'!$E:$E)="Storage",CS$4*$BF104,"")</f>
        <v/>
      </c>
      <c r="CT104" s="8" t="str">
        <f>IF(_xlfn.XLOOKUP($B104,'ELC TECH'!$H:$H,'ELC TECH'!$E:$E)="Storage",CT$4*$BF104,"")</f>
        <v/>
      </c>
      <c r="CU104" s="8" t="str">
        <f>IF(_xlfn.XLOOKUP($B104,'ELC TECH'!$H:$H,'ELC TECH'!$E:$E)="Storage",CU$4*$BF104,"")</f>
        <v/>
      </c>
      <c r="CV104" s="8" t="str">
        <f>IF(_xlfn.XLOOKUP($B104,'ELC TECH'!$H:$H,'ELC TECH'!$E:$E)="Storage",CV$4*$BF104,"")</f>
        <v/>
      </c>
      <c r="CW104" s="8" t="str">
        <f>IF(_xlfn.XLOOKUP($B104,'ELC TECH'!$H:$H,'ELC TECH'!$E:$E)="Storage",CW$4*$BF104,"")</f>
        <v/>
      </c>
      <c r="CX104" s="8" t="str">
        <f>IF(_xlfn.XLOOKUP($B104,'ELC TECH'!$H:$H,'ELC TECH'!$E:$E)="Storage",CX$4*$BF104,"")</f>
        <v/>
      </c>
      <c r="CY104" s="8" t="str">
        <f>IF(_xlfn.XLOOKUP($B104,'ELC TECH'!$H:$H,'ELC TECH'!$E:$E)="Storage",CY$4*$BF104,"")</f>
        <v/>
      </c>
      <c r="CZ104" s="8" t="str">
        <f>IF(_xlfn.XLOOKUP($B104,'ELC TECH'!$H:$H,'ELC TECH'!$E:$E)="Storage",CZ$4*$BF104,"")</f>
        <v/>
      </c>
      <c r="DA104" s="8" t="str">
        <f>IF(_xlfn.XLOOKUP($B104,'ELC TECH'!$H:$H,'ELC TECH'!$E:$E)="Storage",DA$4*$BF104,"")</f>
        <v/>
      </c>
      <c r="DB104" s="8" t="str">
        <f>IF(_xlfn.XLOOKUP($B104,'ELC TECH'!$H:$H,'ELC TECH'!$E:$E)="Storage",DB$4*$BF104,"")</f>
        <v/>
      </c>
      <c r="DC104" s="8" t="str">
        <f>IF(_xlfn.XLOOKUP($B104,'ELC TECH'!$H:$H,'ELC TECH'!$E:$E)="Storage",DC$4*$BF104,"")</f>
        <v/>
      </c>
      <c r="DD104" s="8" t="str">
        <f>IF(_xlfn.XLOOKUP($B104,'ELC TECH'!$H:$H,'ELC TECH'!$E:$E)="Storage",DD$4*$BF104,"")</f>
        <v/>
      </c>
      <c r="DE104" s="8" t="str">
        <f>IF(_xlfn.XLOOKUP($B104,'ELC TECH'!$H:$H,'ELC TECH'!$E:$E)="Storage",DE$4*$BF104,"")</f>
        <v/>
      </c>
      <c r="DF104" s="8" t="str">
        <f>IF(_xlfn.XLOOKUP($B104,'ELC TECH'!$H:$H,'ELC TECH'!$E:$E)="Storage",DF$4*$BF104,"")</f>
        <v/>
      </c>
      <c r="DG104" s="8" t="str">
        <f>IF(_xlfn.XLOOKUP($B104,'ELC TECH'!$H:$H,'ELC TECH'!$E:$E)="Storage",DG$4*$BF104,"")</f>
        <v/>
      </c>
      <c r="DH104" s="8" t="str">
        <f>IF(_xlfn.XLOOKUP($B104,'ELC TECH'!$H:$H,'ELC TECH'!$E:$E)="Storage",DH$4*$BF104,"")</f>
        <v/>
      </c>
      <c r="DI104" s="8" t="str">
        <f>IF(_xlfn.XLOOKUP($B104,'ELC TECH'!$H:$H,'ELC TECH'!$E:$E)="Storage",DI$4*$BF104,"")</f>
        <v/>
      </c>
    </row>
    <row r="105" spans="2:113" x14ac:dyDescent="0.25">
      <c r="B105" t="str">
        <f>IF('ELC TECH'!I98=0,"*",'ELC TECH'!H98)</f>
        <v>ELCWNDGRDWOFC1220</v>
      </c>
      <c r="C105" t="str">
        <f>IF(_xlfn.XLOOKUP(_xlfn.XLOOKUP(B105,'ELC TECH'!$H:$H,'ELC TECH'!$G:$G),List!C:C,List!B:B)="STG",D105,"ELC"&amp;_xlfn.XLOOKUP(_xlfn.XLOOKUP(B105,'ELC TECH'!H:H,'ELC TECH'!G:G),List!C:C,List!B:B))</f>
        <v>ELCWND</v>
      </c>
      <c r="D105" t="s">
        <v>544</v>
      </c>
      <c r="E105">
        <f>_xlfn.XLOOKUP(B105,'ELC TECH'!H:H,'ELC TECH'!D:D)</f>
        <v>2020</v>
      </c>
      <c r="F105">
        <f>_xlfn.XLOOKUP(B105,'ELC TECH'!H:H,'ELC TECH'!K:K)</f>
        <v>30</v>
      </c>
      <c r="G105">
        <f t="shared" si="6"/>
        <v>31.535999999999998</v>
      </c>
      <c r="H105">
        <f>IF(_xlfn.XLOOKUP(B105,'ELC TECH'!$H:$H,'ELC TECH'!$E:$E)="Storage",0.3,IF(_xlfn.XLOOKUP(B105,'ELC TECH'!$H:$H,'ELC TECH'!$E:$E)="Baseload",0.9,IF(_xlfn.XLOOKUP(B105,'ELC TECH'!$H:$H,'ELC TECH'!$E:$E)="Non Dispatchable",0.05,IF(_xlfn.XLOOKUP(B105,'ELC TECH'!$H:$H,'ELC TECH'!$E:$E)="Dispatchable",0.9,1))))</f>
        <v>0.05</v>
      </c>
      <c r="I105" s="13">
        <f>IF(_xlfn.XLOOKUP(B105,'ELC TECH'!H:H,'ELC TECH'!J:J)="","",_xlfn.XLOOKUP(B105,'ELC TECH'!H:H,'ELC TECH'!J:J))</f>
        <v>0</v>
      </c>
      <c r="J105" s="12">
        <f>IF(_xlfn.XLOOKUP($B105,'ELC TECH'!$H:$H,'ELC TECH'!$E:$E)="Storage","",IF(_xlfn.XLOOKUP($B105,'ELC TECH'!$H:$H,'ELC TECH'!AK:AK)="",1,_xlfn.XLOOKUP($B105,'ELC TECH'!$H:$H,'ELC TECH'!AK:AK)))</f>
        <v>1</v>
      </c>
      <c r="K105" s="12">
        <f>IF(_xlfn.XLOOKUP($B105,'ELC TECH'!$H:$H,'ELC TECH'!$E:$E)="Storage","",IF(_xlfn.XLOOKUP($B105,'ELC TECH'!$H:$H,'ELC TECH'!AL:AL)="",1,_xlfn.XLOOKUP($B105,'ELC TECH'!$H:$H,'ELC TECH'!AL:AL)))</f>
        <v>1</v>
      </c>
      <c r="L105" s="12">
        <f>IF(_xlfn.XLOOKUP($B105,'ELC TECH'!$H:$H,'ELC TECH'!$E:$E)="Storage","",IF(_xlfn.XLOOKUP($B105,'ELC TECH'!$H:$H,'ELC TECH'!AM:AM)="",1,_xlfn.XLOOKUP($B105,'ELC TECH'!$H:$H,'ELC TECH'!AM:AM)))</f>
        <v>1</v>
      </c>
      <c r="M105" s="12">
        <f>IF(_xlfn.XLOOKUP($B105,'ELC TECH'!$H:$H,'ELC TECH'!$E:$E)="Storage","",IF(_xlfn.XLOOKUP($B105,'ELC TECH'!$H:$H,'ELC TECH'!AN:AN)="",1,_xlfn.XLOOKUP($B105,'ELC TECH'!$H:$H,'ELC TECH'!AN:AN)))</f>
        <v>1</v>
      </c>
      <c r="N105" s="12">
        <f>IF(_xlfn.XLOOKUP($B105,'ELC TECH'!$H:$H,'ELC TECH'!$E:$E)="Storage","",IF(_xlfn.XLOOKUP($B105,'ELC TECH'!$H:$H,'ELC TECH'!AO:AO)="",1,_xlfn.XLOOKUP($B105,'ELC TECH'!$H:$H,'ELC TECH'!AO:AO)))</f>
        <v>1</v>
      </c>
      <c r="O105" s="12">
        <f>IF(_xlfn.XLOOKUP($B105,'ELC TECH'!$H:$H,'ELC TECH'!$E:$E)="Storage","",IF(_xlfn.XLOOKUP($B105,'ELC TECH'!$H:$H,'ELC TECH'!AP:AP)="",1,_xlfn.XLOOKUP($B105,'ELC TECH'!$H:$H,'ELC TECH'!AP:AP)))</f>
        <v>1</v>
      </c>
      <c r="P105" s="12">
        <f>IF(_xlfn.XLOOKUP($B105,'ELC TECH'!$H:$H,'ELC TECH'!$E:$E)="Storage","",IF(_xlfn.XLOOKUP($B105,'ELC TECH'!$H:$H,'ELC TECH'!AQ:AQ)="",1,_xlfn.XLOOKUP($B105,'ELC TECH'!$H:$H,'ELC TECH'!AQ:AQ)))</f>
        <v>1</v>
      </c>
      <c r="Q105" s="12">
        <f>IF(_xlfn.XLOOKUP($B105,'ELC TECH'!$H:$H,'ELC TECH'!$E:$E)="Storage","",IF(_xlfn.XLOOKUP($B105,'ELC TECH'!$H:$H,'ELC TECH'!AR:AR)="",1,_xlfn.XLOOKUP($B105,'ELC TECH'!$H:$H,'ELC TECH'!AR:AR)))</f>
        <v>1</v>
      </c>
      <c r="R105" s="12" t="str">
        <f>IF(_xlfn.XLOOKUP($B105,'ELC TECH'!$H:$H,'ELC TECH'!$E:$E)&lt;&gt;"Storage","",IF(_xlfn.XLOOKUP($B105,'ELC TECH'!$H:$H,'ELC TECH'!AK:AK)="",0.8,_xlfn.XLOOKUP($B105,'ELC TECH'!$H:$H,'ELC TECH'!AK:AK)))</f>
        <v/>
      </c>
      <c r="S105" s="12" t="str">
        <f>IF(_xlfn.XLOOKUP($B105,'ELC TECH'!$H:$H,'ELC TECH'!$E:$E)&lt;&gt;"Storage","",IF(_xlfn.XLOOKUP($B105,'ELC TECH'!$H:$H,'ELC TECH'!AL:AL)="",0.8,_xlfn.XLOOKUP($B105,'ELC TECH'!$H:$H,'ELC TECH'!AL:AL)))</f>
        <v/>
      </c>
      <c r="T105" s="12" t="str">
        <f>IF(_xlfn.XLOOKUP($B105,'ELC TECH'!$H:$H,'ELC TECH'!$E:$E)&lt;&gt;"Storage","",IF(_xlfn.XLOOKUP($B105,'ELC TECH'!$H:$H,'ELC TECH'!AM:AM)="",0.8,_xlfn.XLOOKUP($B105,'ELC TECH'!$H:$H,'ELC TECH'!AM:AM)))</f>
        <v/>
      </c>
      <c r="U105" s="12" t="str">
        <f>IF(_xlfn.XLOOKUP($B105,'ELC TECH'!$H:$H,'ELC TECH'!$E:$E)&lt;&gt;"Storage","",IF(_xlfn.XLOOKUP($B105,'ELC TECH'!$H:$H,'ELC TECH'!AN:AN)="",0.8,_xlfn.XLOOKUP($B105,'ELC TECH'!$H:$H,'ELC TECH'!AN:AN)))</f>
        <v/>
      </c>
      <c r="V105" s="12" t="str">
        <f>IF(_xlfn.XLOOKUP($B105,'ELC TECH'!$H:$H,'ELC TECH'!$E:$E)&lt;&gt;"Storage","",IF(_xlfn.XLOOKUP($B105,'ELC TECH'!$H:$H,'ELC TECH'!AO:AO)="",0.8,_xlfn.XLOOKUP($B105,'ELC TECH'!$H:$H,'ELC TECH'!AO:AO)))</f>
        <v/>
      </c>
      <c r="W105" s="12" t="str">
        <f>IF(_xlfn.XLOOKUP($B105,'ELC TECH'!$H:$H,'ELC TECH'!$E:$E)&lt;&gt;"Storage","",IF(_xlfn.XLOOKUP($B105,'ELC TECH'!$H:$H,'ELC TECH'!AP:AP)="",0.8,_xlfn.XLOOKUP($B105,'ELC TECH'!$H:$H,'ELC TECH'!AP:AP)))</f>
        <v/>
      </c>
      <c r="X105" s="12" t="str">
        <f>IF(_xlfn.XLOOKUP($B105,'ELC TECH'!$H:$H,'ELC TECH'!$E:$E)&lt;&gt;"Storage","",IF(_xlfn.XLOOKUP($B105,'ELC TECH'!$H:$H,'ELC TECH'!AQ:AQ)="",0.8,_xlfn.XLOOKUP($B105,'ELC TECH'!$H:$H,'ELC TECH'!AQ:AQ)))</f>
        <v/>
      </c>
      <c r="Y105" s="12" t="str">
        <f>IF(_xlfn.XLOOKUP($B105,'ELC TECH'!$H:$H,'ELC TECH'!$E:$E)&lt;&gt;"Storage","",IF(_xlfn.XLOOKUP($B105,'ELC TECH'!$H:$H,'ELC TECH'!AR:AR)="",0.8,_xlfn.XLOOKUP($B105,'ELC TECH'!$H:$H,'ELC TECH'!AR:AR)))</f>
        <v/>
      </c>
      <c r="Z105" s="15">
        <f>_xlfn.XLOOKUP($B105,'ELC TECH'!$H:$H,'ELC TECH'!M:M)</f>
        <v>4165.6333147542473</v>
      </c>
      <c r="AA105" s="15">
        <f>_xlfn.XLOOKUP($B105,'ELC TECH'!$H:$H,'ELC TECH'!N:N)</f>
        <v>3652.365193444321</v>
      </c>
      <c r="AB105" s="15">
        <f>_xlfn.XLOOKUP($B105,'ELC TECH'!$H:$H,'ELC TECH'!O:O)</f>
        <v>3369.1804991110762</v>
      </c>
      <c r="AC105" s="15">
        <f>_xlfn.XLOOKUP($B105,'ELC TECH'!$H:$H,'ELC TECH'!P:P)</f>
        <v>3194.1249268717702</v>
      </c>
      <c r="AD105" s="15">
        <f>_xlfn.XLOOKUP($B105,'ELC TECH'!$H:$H,'ELC TECH'!Q:Q)</f>
        <v>3067.078371224437</v>
      </c>
      <c r="AE105" s="15">
        <f>_xlfn.XLOOKUP($B105,'ELC TECH'!$H:$H,'ELC TECH'!R:R)</f>
        <v>2967.297239745074</v>
      </c>
      <c r="AF105" s="15">
        <f>_xlfn.XLOOKUP($B105,'ELC TECH'!$H:$H,'ELC TECH'!S:S)</f>
        <v>2885.12168712932</v>
      </c>
      <c r="AG105" s="15">
        <f>_xlfn.XLOOKUP($B105,'ELC TECH'!$H:$H,'ELC TECH'!T:T)</f>
        <v>2885.12168712932</v>
      </c>
      <c r="AH105" s="15">
        <f>_xlfn.XLOOKUP($B105,'ELC TECH'!$H:$H,'ELC TECH'!U:U)</f>
        <v>108.104392834809</v>
      </c>
      <c r="AI105" s="15">
        <f>_xlfn.XLOOKUP($B105,'ELC TECH'!$H:$H,'ELC TECH'!V:V)</f>
        <v>96.828078746422221</v>
      </c>
      <c r="AJ105" s="15">
        <f>_xlfn.XLOOKUP($B105,'ELC TECH'!$H:$H,'ELC TECH'!W:W)</f>
        <v>88.929700484682172</v>
      </c>
      <c r="AK105" s="15">
        <f>_xlfn.XLOOKUP($B105,'ELC TECH'!$H:$H,'ELC TECH'!X:X)</f>
        <v>83.635636970302315</v>
      </c>
      <c r="AL105" s="15">
        <f>_xlfn.XLOOKUP($B105,'ELC TECH'!$H:$H,'ELC TECH'!Y:Y)</f>
        <v>79.647915596806357</v>
      </c>
      <c r="AM105" s="15">
        <f>_xlfn.XLOOKUP($B105,'ELC TECH'!$H:$H,'ELC TECH'!Z:Z)</f>
        <v>76.447776976108869</v>
      </c>
      <c r="AN105" s="15">
        <f>_xlfn.XLOOKUP($B105,'ELC TECH'!$H:$H,'ELC TECH'!AA:AA)</f>
        <v>73.774848536085372</v>
      </c>
      <c r="AO105" s="15">
        <f>_xlfn.XLOOKUP($B105,'ELC TECH'!$H:$H,'ELC TECH'!AB:AB)</f>
        <v>73.774848536085372</v>
      </c>
      <c r="AP105" s="15">
        <f>_xlfn.XLOOKUP($B105,'ELC TECH'!$H:$H,'ELC TECH'!AC:AC)</f>
        <v>0</v>
      </c>
      <c r="AQ105" s="15">
        <f>_xlfn.XLOOKUP($B105,'ELC TECH'!$H:$H,'ELC TECH'!AD:AD)</f>
        <v>0</v>
      </c>
      <c r="AR105" s="15">
        <f>_xlfn.XLOOKUP($B105,'ELC TECH'!$H:$H,'ELC TECH'!AE:AE)</f>
        <v>0</v>
      </c>
      <c r="AS105" s="15">
        <f>_xlfn.XLOOKUP($B105,'ELC TECH'!$H:$H,'ELC TECH'!AF:AF)</f>
        <v>0</v>
      </c>
      <c r="AT105" s="15">
        <f>_xlfn.XLOOKUP($B105,'ELC TECH'!$H:$H,'ELC TECH'!AG:AG)</f>
        <v>0</v>
      </c>
      <c r="AU105" s="15">
        <f>_xlfn.XLOOKUP($B105,'ELC TECH'!$H:$H,'ELC TECH'!AH:AH)</f>
        <v>0</v>
      </c>
      <c r="AV105" s="15">
        <f>_xlfn.XLOOKUP($B105,'ELC TECH'!$H:$H,'ELC TECH'!AI:AI)</f>
        <v>0</v>
      </c>
      <c r="AW105" s="15">
        <f>_xlfn.XLOOKUP($B105,'ELC TECH'!$H:$H,'ELC TECH'!AJ:AJ)</f>
        <v>0</v>
      </c>
      <c r="AX105" s="12">
        <f>IF(_xlfn.XLOOKUP($B105,'ELC TECH'!$H:$H,'ELC TECH'!$E:$E)="Storage","",_xlfn.XLOOKUP($B105,'ELC TECH'!$H:$H,'ELC TECH'!AS:AS))</f>
        <v>0.46681789413292002</v>
      </c>
      <c r="AY105" s="12">
        <f>IF(_xlfn.XLOOKUP($B105,'ELC TECH'!$H:$H,'ELC TECH'!$E:$E)="Storage","",_xlfn.XLOOKUP($B105,'ELC TECH'!$H:$H,'ELC TECH'!AT:AT))</f>
        <v>0.48350489884365</v>
      </c>
      <c r="AZ105" s="12">
        <f>IF(_xlfn.XLOOKUP($B105,'ELC TECH'!$H:$H,'ELC TECH'!$E:$E)="Storage","",_xlfn.XLOOKUP($B105,'ELC TECH'!$H:$H,'ELC TECH'!AU:AU))</f>
        <v>0.50178786310215995</v>
      </c>
      <c r="BA105" s="12">
        <f>IF(_xlfn.XLOOKUP($B105,'ELC TECH'!$H:$H,'ELC TECH'!$E:$E)="Storage","",_xlfn.XLOOKUP($B105,'ELC TECH'!$H:$H,'ELC TECH'!AV:AV))</f>
        <v>0.50898834283661099</v>
      </c>
      <c r="BB105" s="12">
        <f>IF(_xlfn.XLOOKUP($B105,'ELC TECH'!$H:$H,'ELC TECH'!$E:$E)="Storage","",_xlfn.XLOOKUP($B105,'ELC TECH'!$H:$H,'ELC TECH'!AW:AW))</f>
        <v>0.51564584090877896</v>
      </c>
      <c r="BC105" s="12">
        <f>IF(_xlfn.XLOOKUP($B105,'ELC TECH'!$H:$H,'ELC TECH'!$E:$E)="Storage","",_xlfn.XLOOKUP($B105,'ELC TECH'!$H:$H,'ELC TECH'!AX:AX))</f>
        <v>0.52197597987729505</v>
      </c>
      <c r="BD105" s="12">
        <f>IF(_xlfn.XLOOKUP($B105,'ELC TECH'!$H:$H,'ELC TECH'!$E:$E)="Storage","",_xlfn.XLOOKUP($B105,'ELC TECH'!$H:$H,'ELC TECH'!AY:AY))</f>
        <v>0.52808698371167195</v>
      </c>
      <c r="BE105" s="12">
        <f>IF(_xlfn.XLOOKUP($B105,'ELC TECH'!$H:$H,'ELC TECH'!$E:$E)="Storage","",_xlfn.XLOOKUP($B105,'ELC TECH'!$H:$H,'ELC TECH'!AZ:AZ))</f>
        <v>0.52808698371167195</v>
      </c>
      <c r="BF105" s="12" t="str">
        <f>IF(_xlfn.XLOOKUP($B105,'ELC TECH'!$H:$H,'ELC TECH'!$E:$E)="Storage",_xlfn.XLOOKUP($B105,'ELC TECH'!$H:$H,'ELC TECH'!AS:AS),"")</f>
        <v/>
      </c>
      <c r="BG105" s="12" t="str">
        <f>IF(_xlfn.XLOOKUP($B105,'ELC TECH'!$H:$H,'ELC TECH'!$E:$E)="Storage",_xlfn.XLOOKUP($B105,'ELC TECH'!$H:$H,'ELC TECH'!AT:AT),"")</f>
        <v/>
      </c>
      <c r="BH105" s="12" t="str">
        <f>IF(_xlfn.XLOOKUP($B105,'ELC TECH'!$H:$H,'ELC TECH'!$E:$E)="Storage",_xlfn.XLOOKUP($B105,'ELC TECH'!$H:$H,'ELC TECH'!AU:AU),"")</f>
        <v/>
      </c>
      <c r="BI105" s="12" t="str">
        <f>IF(_xlfn.XLOOKUP($B105,'ELC TECH'!$H:$H,'ELC TECH'!$E:$E)="Storage",_xlfn.XLOOKUP($B105,'ELC TECH'!$H:$H,'ELC TECH'!AV:AV),"")</f>
        <v/>
      </c>
      <c r="BJ105" s="12" t="str">
        <f>IF(_xlfn.XLOOKUP($B105,'ELC TECH'!$H:$H,'ELC TECH'!$E:$E)="Storage",_xlfn.XLOOKUP($B105,'ELC TECH'!$H:$H,'ELC TECH'!AW:AW),"")</f>
        <v/>
      </c>
      <c r="BK105" s="12" t="str">
        <f>IF(_xlfn.XLOOKUP($B105,'ELC TECH'!$H:$H,'ELC TECH'!$E:$E)="Storage",_xlfn.XLOOKUP($B105,'ELC TECH'!$H:$H,'ELC TECH'!AX:AX),"")</f>
        <v/>
      </c>
      <c r="BL105" s="12" t="str">
        <f>IF(_xlfn.XLOOKUP($B105,'ELC TECH'!$H:$H,'ELC TECH'!$E:$E)="Storage",_xlfn.XLOOKUP($B105,'ELC TECH'!$H:$H,'ELC TECH'!AY:AY),"")</f>
        <v/>
      </c>
      <c r="BM105" s="12" t="str">
        <f>IF(_xlfn.XLOOKUP($B105,'ELC TECH'!$H:$H,'ELC TECH'!$E:$E)="Storage",_xlfn.XLOOKUP($B105,'ELC TECH'!$H:$H,'ELC TECH'!AZ:AZ),"")</f>
        <v/>
      </c>
      <c r="BN105" s="8">
        <f>IF(_xlfn.XLOOKUP($B105,'ELC TECH'!$H:$H,'ELC TECH'!$E:$E)="Non Dispatchable",IFERROR($AX105*_xlfn.XLOOKUP($C105,$BM$1:$BM$3,BN$1:BN$3)/SUMPRODUCT(_xlfn.XLOOKUP($C105,$BM$1:$BM$3,$BN$1:$BY$3),$BN$4:$BY$4),""),
"")</f>
        <v>0.81973292308590384</v>
      </c>
      <c r="BO105" s="8">
        <f>IF(_xlfn.XLOOKUP($B105,'ELC TECH'!$H:$H,'ELC TECH'!$E:$E)="Non Dispatchable",IFERROR($AX105*_xlfn.XLOOKUP($C105,$BM$1:$BM$3,BO$1:BO$3)/SUMPRODUCT(_xlfn.XLOOKUP($C105,$BM$1:$BM$3,$BN$1:$BY$3),$BN$4:$BY$4),""),
"")</f>
        <v>0.81973292308590384</v>
      </c>
      <c r="BP105" s="8">
        <f>IF(_xlfn.XLOOKUP($B105,'ELC TECH'!$H:$H,'ELC TECH'!$E:$E)="Non Dispatchable",IFERROR($AX105*_xlfn.XLOOKUP($C105,$BM$1:$BM$3,BP$1:BP$3)/SUMPRODUCT(_xlfn.XLOOKUP($C105,$BM$1:$BM$3,$BN$1:$BY$3),$BN$4:$BY$4),""),
"")</f>
        <v>8.1973292308590379E-2</v>
      </c>
      <c r="BQ105" s="8">
        <f>IF(_xlfn.XLOOKUP($B105,'ELC TECH'!$H:$H,'ELC TECH'!$E:$E)="Non Dispatchable",IFERROR($AX105*_xlfn.XLOOKUP($C105,$BM$1:$BM$3,BQ$1:BQ$3)/SUMPRODUCT(_xlfn.XLOOKUP($C105,$BM$1:$BM$3,$BN$1:$BY$3),$BN$4:$BY$4),""),
"")</f>
        <v>0.65681744906380002</v>
      </c>
      <c r="BR105" s="8">
        <f>IF(_xlfn.XLOOKUP($B105,'ELC TECH'!$H:$H,'ELC TECH'!$E:$E)="Non Dispatchable",IFERROR($AX105*_xlfn.XLOOKUP($C105,$BM$1:$BM$3,BR$1:BR$3)/SUMPRODUCT(_xlfn.XLOOKUP($C105,$BM$1:$BM$3,$BN$1:$BY$3),$BN$4:$BY$4),""),
"")</f>
        <v>0.95387103777268833</v>
      </c>
      <c r="BS105" s="8">
        <f>IF(_xlfn.XLOOKUP($B105,'ELC TECH'!$H:$H,'ELC TECH'!$E:$E)="Non Dispatchable",IFERROR($AX105*_xlfn.XLOOKUP($C105,$BM$1:$BM$3,BS$1:BS$3)/SUMPRODUCT(_xlfn.XLOOKUP($C105,$BM$1:$BM$3,$BN$1:$BY$3),$BN$4:$BY$4),""),
"")</f>
        <v>0.95387103777268833</v>
      </c>
      <c r="BT105" s="8">
        <f>IF(_xlfn.XLOOKUP($B105,'ELC TECH'!$H:$H,'ELC TECH'!$E:$E)="Non Dispatchable",IFERROR($AX105*_xlfn.XLOOKUP($C105,$BM$1:$BM$3,BT$1:BT$3)/SUMPRODUCT(_xlfn.XLOOKUP($C105,$BM$1:$BM$3,$BN$1:$BY$3),$BN$4:$BY$4),""),
"")</f>
        <v>9.5387103777268833E-2</v>
      </c>
      <c r="BU105" s="8">
        <f>IF(_xlfn.XLOOKUP($B105,'ELC TECH'!$H:$H,'ELC TECH'!$E:$E)="Non Dispatchable",IFERROR($AX105*_xlfn.XLOOKUP($C105,$BM$1:$BM$3,BU$1:BU$3)/SUMPRODUCT(_xlfn.XLOOKUP($C105,$BM$1:$BM$3,$BN$1:$BY$3),$BN$4:$BY$4),""),
"")</f>
        <v>0.8451934231643341</v>
      </c>
      <c r="BV105" s="8">
        <f>IF(_xlfn.XLOOKUP($B105,'ELC TECH'!$H:$H,'ELC TECH'!$E:$E)="Non Dispatchable",IFERROR($AX105*_xlfn.XLOOKUP($C105,$BM$1:$BM$3,BV$1:BV$3)/SUMPRODUCT(_xlfn.XLOOKUP($C105,$BM$1:$BM$3,$BN$1:$BY$3),$BN$4:$BY$4),""),
"")</f>
        <v>0.49398129124131696</v>
      </c>
      <c r="BW105" s="8">
        <f>IF(_xlfn.XLOOKUP($B105,'ELC TECH'!$H:$H,'ELC TECH'!$E:$E)="Non Dispatchable",IFERROR($AX105*_xlfn.XLOOKUP($C105,$BM$1:$BM$3,BW$1:BW$3)/SUMPRODUCT(_xlfn.XLOOKUP($C105,$BM$1:$BM$3,$BN$1:$BY$3),$BN$4:$BY$4),""),
"")</f>
        <v>0.49398129124131696</v>
      </c>
      <c r="BX105" s="8">
        <f>IF(_xlfn.XLOOKUP($B105,'ELC TECH'!$H:$H,'ELC TECH'!$E:$E)="Non Dispatchable",IFERROR($AX105*_xlfn.XLOOKUP($C105,$BM$1:$BM$3,BX$1:BX$3)/SUMPRODUCT(_xlfn.XLOOKUP($C105,$BM$1:$BM$3,$BN$1:$BY$3),$BN$4:$BY$4),""),
"")</f>
        <v>4.9398129124131697E-2</v>
      </c>
      <c r="BY105" s="8">
        <f>IF(_xlfn.XLOOKUP($B105,'ELC TECH'!$H:$H,'ELC TECH'!$E:$E)="Non Dispatchable",IFERROR($AX105*_xlfn.XLOOKUP($C105,$BM$1:$BM$3,BY$1:BY$3)/SUMPRODUCT(_xlfn.XLOOKUP($C105,$BM$1:$BM$3,$BN$1:$BY$3),$BN$4:$BY$4),""),
"")</f>
        <v>0.36107618293046334</v>
      </c>
      <c r="BZ105" s="8">
        <f>IF(_xlfn.XLOOKUP($B105,'ELC TECH'!$H:$H,'ELC TECH'!$E:$E)="Non Dispatchable",IFERROR($AX105*_xlfn.XLOOKUP($C105,$BM$1:$BM$3,BZ$1:BZ$3)/SUMPRODUCT(_xlfn.XLOOKUP($C105,$BM$1:$BM$3,$BN$1:$BY$3),$BN$4:$BY$4),""),
"")</f>
        <v>0.81973292308590384</v>
      </c>
      <c r="CA105" s="8">
        <f>IF(_xlfn.XLOOKUP($B105,'ELC TECH'!$H:$H,'ELC TECH'!$E:$E)="Non Dispatchable",IFERROR($AX105*_xlfn.XLOOKUP($C105,$BM$1:$BM$3,CA$1:CA$3)/SUMPRODUCT(_xlfn.XLOOKUP($C105,$BM$1:$BM$3,$BN$1:$BY$3),$BN$4:$BY$4),""),
"")</f>
        <v>0.81973292308590384</v>
      </c>
      <c r="CB105" s="8">
        <f>IF(_xlfn.XLOOKUP($B105,'ELC TECH'!$H:$H,'ELC TECH'!$E:$E)="Non Dispatchable",IFERROR($AX105*_xlfn.XLOOKUP($C105,$BM$1:$BM$3,CB$1:CB$3)/SUMPRODUCT(_xlfn.XLOOKUP($C105,$BM$1:$BM$3,$BN$1:$BY$3),$BN$4:$BY$4),""),
"")</f>
        <v>8.1973292308590379E-2</v>
      </c>
      <c r="CC105" s="8">
        <f>IF(_xlfn.XLOOKUP($B105,'ELC TECH'!$H:$H,'ELC TECH'!$E:$E)="Non Dispatchable",IFERROR($AX105*_xlfn.XLOOKUP($C105,$BM$1:$BM$3,CC$1:CC$3)/SUMPRODUCT(_xlfn.XLOOKUP($C105,$BM$1:$BM$3,$BN$1:$BY$3),$BN$4:$BY$4),""),
"")</f>
        <v>0.65681744906380002</v>
      </c>
      <c r="CD105" s="8">
        <f>IF(_xlfn.XLOOKUP($B105,'ELC TECH'!$H:$H,'ELC TECH'!$E:$E)="Non Dispatchable",IFERROR($AX105*_xlfn.XLOOKUP($C105,$BM$1:$BM$3,CD$1:CD$3)/SUMPRODUCT(_xlfn.XLOOKUP($C105,$BM$1:$BM$3,$BN$1:$BY$3),$BN$4:$BY$4),""),
"")</f>
        <v>0.95387103777268833</v>
      </c>
      <c r="CE105" s="8">
        <f>IF(_xlfn.XLOOKUP($B105,'ELC TECH'!$H:$H,'ELC TECH'!$E:$E)="Non Dispatchable",IFERROR($AX105*_xlfn.XLOOKUP($C105,$BM$1:$BM$3,CE$1:CE$3)/SUMPRODUCT(_xlfn.XLOOKUP($C105,$BM$1:$BM$3,$BN$1:$BY$3),$BN$4:$BY$4),""),
"")</f>
        <v>0.95387103777268833</v>
      </c>
      <c r="CF105" s="8">
        <f>IF(_xlfn.XLOOKUP($B105,'ELC TECH'!$H:$H,'ELC TECH'!$E:$E)="Non Dispatchable",IFERROR($AX105*_xlfn.XLOOKUP($C105,$BM$1:$BM$3,CF$1:CF$3)/SUMPRODUCT(_xlfn.XLOOKUP($C105,$BM$1:$BM$3,$BN$1:$BY$3),$BN$4:$BY$4),""),
"")</f>
        <v>9.5387103777268833E-2</v>
      </c>
      <c r="CG105" s="8">
        <f>IF(_xlfn.XLOOKUP($B105,'ELC TECH'!$H:$H,'ELC TECH'!$E:$E)="Non Dispatchable",IFERROR($AX105*_xlfn.XLOOKUP($C105,$BM$1:$BM$3,CG$1:CG$3)/SUMPRODUCT(_xlfn.XLOOKUP($C105,$BM$1:$BM$3,$BN$1:$BY$3),$BN$4:$BY$4),""),
"")</f>
        <v>0.8451934231643341</v>
      </c>
      <c r="CH105" s="8">
        <f>IF(_xlfn.XLOOKUP($B105,'ELC TECH'!$H:$H,'ELC TECH'!$E:$E)="Non Dispatchable",IFERROR($AX105*_xlfn.XLOOKUP($C105,$BM$1:$BM$3,CH$1:CH$3)/SUMPRODUCT(_xlfn.XLOOKUP($C105,$BM$1:$BM$3,$BN$1:$BY$3),$BN$4:$BY$4),""),
"")</f>
        <v>0.49398129124131696</v>
      </c>
      <c r="CI105" s="8">
        <f>IF(_xlfn.XLOOKUP($B105,'ELC TECH'!$H:$H,'ELC TECH'!$E:$E)="Non Dispatchable",IFERROR($AX105*_xlfn.XLOOKUP($C105,$BM$1:$BM$3,CI$1:CI$3)/SUMPRODUCT(_xlfn.XLOOKUP($C105,$BM$1:$BM$3,$BN$1:$BY$3),$BN$4:$BY$4),""),
"")</f>
        <v>0.49398129124131696</v>
      </c>
      <c r="CJ105" s="8">
        <f>IF(_xlfn.XLOOKUP($B105,'ELC TECH'!$H:$H,'ELC TECH'!$E:$E)="Non Dispatchable",IFERROR($AX105*_xlfn.XLOOKUP($C105,$BM$1:$BM$3,CJ$1:CJ$3)/SUMPRODUCT(_xlfn.XLOOKUP($C105,$BM$1:$BM$3,$BN$1:$BY$3),$BN$4:$BY$4),""),
"")</f>
        <v>4.9398129124131697E-2</v>
      </c>
      <c r="CK105" s="8">
        <f>IF(_xlfn.XLOOKUP($B105,'ELC TECH'!$H:$H,'ELC TECH'!$E:$E)="Non Dispatchable",IFERROR($AX105*_xlfn.XLOOKUP($C105,$BM$1:$BM$3,CK$1:CK$3)/SUMPRODUCT(_xlfn.XLOOKUP($C105,$BM$1:$BM$3,$BN$1:$BY$3),$BN$4:$BY$4),""),
"")</f>
        <v>0.36107618293046334</v>
      </c>
      <c r="CL105" s="8" t="str">
        <f>IF(_xlfn.XLOOKUP($B105,'ELC TECH'!$H:$H,'ELC TECH'!$E:$E)="Storage",CL$4*$BF105,"")</f>
        <v/>
      </c>
      <c r="CM105" s="8" t="str">
        <f>IF(_xlfn.XLOOKUP($B105,'ELC TECH'!$H:$H,'ELC TECH'!$E:$E)="Storage",CM$4*$BF105,"")</f>
        <v/>
      </c>
      <c r="CN105" s="8" t="str">
        <f>IF(_xlfn.XLOOKUP($B105,'ELC TECH'!$H:$H,'ELC TECH'!$E:$E)="Storage",CN$4*$BF105,"")</f>
        <v/>
      </c>
      <c r="CO105" s="8" t="str">
        <f>IF(_xlfn.XLOOKUP($B105,'ELC TECH'!$H:$H,'ELC TECH'!$E:$E)="Storage",CO$4*$BF105,"")</f>
        <v/>
      </c>
      <c r="CP105" s="8" t="str">
        <f>IF(_xlfn.XLOOKUP($B105,'ELC TECH'!$H:$H,'ELC TECH'!$E:$E)="Storage",CP$4*$BF105,"")</f>
        <v/>
      </c>
      <c r="CQ105" s="8" t="str">
        <f>IF(_xlfn.XLOOKUP($B105,'ELC TECH'!$H:$H,'ELC TECH'!$E:$E)="Storage",CQ$4*$BF105,"")</f>
        <v/>
      </c>
      <c r="CR105" s="8" t="str">
        <f>IF(_xlfn.XLOOKUP($B105,'ELC TECH'!$H:$H,'ELC TECH'!$E:$E)="Storage",CR$4*$BF105,"")</f>
        <v/>
      </c>
      <c r="CS105" s="8" t="str">
        <f>IF(_xlfn.XLOOKUP($B105,'ELC TECH'!$H:$H,'ELC TECH'!$E:$E)="Storage",CS$4*$BF105,"")</f>
        <v/>
      </c>
      <c r="CT105" s="8" t="str">
        <f>IF(_xlfn.XLOOKUP($B105,'ELC TECH'!$H:$H,'ELC TECH'!$E:$E)="Storage",CT$4*$BF105,"")</f>
        <v/>
      </c>
      <c r="CU105" s="8" t="str">
        <f>IF(_xlfn.XLOOKUP($B105,'ELC TECH'!$H:$H,'ELC TECH'!$E:$E)="Storage",CU$4*$BF105,"")</f>
        <v/>
      </c>
      <c r="CV105" s="8" t="str">
        <f>IF(_xlfn.XLOOKUP($B105,'ELC TECH'!$H:$H,'ELC TECH'!$E:$E)="Storage",CV$4*$BF105,"")</f>
        <v/>
      </c>
      <c r="CW105" s="8" t="str">
        <f>IF(_xlfn.XLOOKUP($B105,'ELC TECH'!$H:$H,'ELC TECH'!$E:$E)="Storage",CW$4*$BF105,"")</f>
        <v/>
      </c>
      <c r="CX105" s="8" t="str">
        <f>IF(_xlfn.XLOOKUP($B105,'ELC TECH'!$H:$H,'ELC TECH'!$E:$E)="Storage",CX$4*$BF105,"")</f>
        <v/>
      </c>
      <c r="CY105" s="8" t="str">
        <f>IF(_xlfn.XLOOKUP($B105,'ELC TECH'!$H:$H,'ELC TECH'!$E:$E)="Storage",CY$4*$BF105,"")</f>
        <v/>
      </c>
      <c r="CZ105" s="8" t="str">
        <f>IF(_xlfn.XLOOKUP($B105,'ELC TECH'!$H:$H,'ELC TECH'!$E:$E)="Storage",CZ$4*$BF105,"")</f>
        <v/>
      </c>
      <c r="DA105" s="8" t="str">
        <f>IF(_xlfn.XLOOKUP($B105,'ELC TECH'!$H:$H,'ELC TECH'!$E:$E)="Storage",DA$4*$BF105,"")</f>
        <v/>
      </c>
      <c r="DB105" s="8" t="str">
        <f>IF(_xlfn.XLOOKUP($B105,'ELC TECH'!$H:$H,'ELC TECH'!$E:$E)="Storage",DB$4*$BF105,"")</f>
        <v/>
      </c>
      <c r="DC105" s="8" t="str">
        <f>IF(_xlfn.XLOOKUP($B105,'ELC TECH'!$H:$H,'ELC TECH'!$E:$E)="Storage",DC$4*$BF105,"")</f>
        <v/>
      </c>
      <c r="DD105" s="8" t="str">
        <f>IF(_xlfn.XLOOKUP($B105,'ELC TECH'!$H:$H,'ELC TECH'!$E:$E)="Storage",DD$4*$BF105,"")</f>
        <v/>
      </c>
      <c r="DE105" s="8" t="str">
        <f>IF(_xlfn.XLOOKUP($B105,'ELC TECH'!$H:$H,'ELC TECH'!$E:$E)="Storage",DE$4*$BF105,"")</f>
        <v/>
      </c>
      <c r="DF105" s="8" t="str">
        <f>IF(_xlfn.XLOOKUP($B105,'ELC TECH'!$H:$H,'ELC TECH'!$E:$E)="Storage",DF$4*$BF105,"")</f>
        <v/>
      </c>
      <c r="DG105" s="8" t="str">
        <f>IF(_xlfn.XLOOKUP($B105,'ELC TECH'!$H:$H,'ELC TECH'!$E:$E)="Storage",DG$4*$BF105,"")</f>
        <v/>
      </c>
      <c r="DH105" s="8" t="str">
        <f>IF(_xlfn.XLOOKUP($B105,'ELC TECH'!$H:$H,'ELC TECH'!$E:$E)="Storage",DH$4*$BF105,"")</f>
        <v/>
      </c>
      <c r="DI105" s="8" t="str">
        <f>IF(_xlfn.XLOOKUP($B105,'ELC TECH'!$H:$H,'ELC TECH'!$E:$E)="Storage",DI$4*$BF105,"")</f>
        <v/>
      </c>
    </row>
    <row r="106" spans="2:113" x14ac:dyDescent="0.25">
      <c r="B106" t="str">
        <f>IF('ELC TECH'!I99=0,"*",'ELC TECH'!H99)</f>
        <v>ELCWNDGRDWOFC1320</v>
      </c>
      <c r="C106" t="str">
        <f>IF(_xlfn.XLOOKUP(_xlfn.XLOOKUP(B106,'ELC TECH'!$H:$H,'ELC TECH'!$G:$G),List!C:C,List!B:B)="STG",D106,"ELC"&amp;_xlfn.XLOOKUP(_xlfn.XLOOKUP(B106,'ELC TECH'!H:H,'ELC TECH'!G:G),List!C:C,List!B:B))</f>
        <v>ELCWND</v>
      </c>
      <c r="D106" t="s">
        <v>544</v>
      </c>
      <c r="E106">
        <f>_xlfn.XLOOKUP(B106,'ELC TECH'!H:H,'ELC TECH'!D:D)</f>
        <v>2020</v>
      </c>
      <c r="F106">
        <f>_xlfn.XLOOKUP(B106,'ELC TECH'!H:H,'ELC TECH'!K:K)</f>
        <v>30</v>
      </c>
      <c r="G106">
        <f t="shared" si="6"/>
        <v>31.535999999999998</v>
      </c>
      <c r="H106">
        <f>IF(_xlfn.XLOOKUP(B106,'ELC TECH'!$H:$H,'ELC TECH'!$E:$E)="Storage",0.3,IF(_xlfn.XLOOKUP(B106,'ELC TECH'!$H:$H,'ELC TECH'!$E:$E)="Baseload",0.9,IF(_xlfn.XLOOKUP(B106,'ELC TECH'!$H:$H,'ELC TECH'!$E:$E)="Non Dispatchable",0.05,IF(_xlfn.XLOOKUP(B106,'ELC TECH'!$H:$H,'ELC TECH'!$E:$E)="Dispatchable",0.9,1))))</f>
        <v>0.05</v>
      </c>
      <c r="I106" s="13">
        <f>IF(_xlfn.XLOOKUP(B106,'ELC TECH'!H:H,'ELC TECH'!J:J)="","",_xlfn.XLOOKUP(B106,'ELC TECH'!H:H,'ELC TECH'!J:J))</f>
        <v>0</v>
      </c>
      <c r="J106" s="12">
        <f>IF(_xlfn.XLOOKUP($B106,'ELC TECH'!$H:$H,'ELC TECH'!$E:$E)="Storage","",IF(_xlfn.XLOOKUP($B106,'ELC TECH'!$H:$H,'ELC TECH'!AK:AK)="",1,_xlfn.XLOOKUP($B106,'ELC TECH'!$H:$H,'ELC TECH'!AK:AK)))</f>
        <v>1</v>
      </c>
      <c r="K106" s="12">
        <f>IF(_xlfn.XLOOKUP($B106,'ELC TECH'!$H:$H,'ELC TECH'!$E:$E)="Storage","",IF(_xlfn.XLOOKUP($B106,'ELC TECH'!$H:$H,'ELC TECH'!AL:AL)="",1,_xlfn.XLOOKUP($B106,'ELC TECH'!$H:$H,'ELC TECH'!AL:AL)))</f>
        <v>1</v>
      </c>
      <c r="L106" s="12">
        <f>IF(_xlfn.XLOOKUP($B106,'ELC TECH'!$H:$H,'ELC TECH'!$E:$E)="Storage","",IF(_xlfn.XLOOKUP($B106,'ELC TECH'!$H:$H,'ELC TECH'!AM:AM)="",1,_xlfn.XLOOKUP($B106,'ELC TECH'!$H:$H,'ELC TECH'!AM:AM)))</f>
        <v>1</v>
      </c>
      <c r="M106" s="12">
        <f>IF(_xlfn.XLOOKUP($B106,'ELC TECH'!$H:$H,'ELC TECH'!$E:$E)="Storage","",IF(_xlfn.XLOOKUP($B106,'ELC TECH'!$H:$H,'ELC TECH'!AN:AN)="",1,_xlfn.XLOOKUP($B106,'ELC TECH'!$H:$H,'ELC TECH'!AN:AN)))</f>
        <v>1</v>
      </c>
      <c r="N106" s="12">
        <f>IF(_xlfn.XLOOKUP($B106,'ELC TECH'!$H:$H,'ELC TECH'!$E:$E)="Storage","",IF(_xlfn.XLOOKUP($B106,'ELC TECH'!$H:$H,'ELC TECH'!AO:AO)="",1,_xlfn.XLOOKUP($B106,'ELC TECH'!$H:$H,'ELC TECH'!AO:AO)))</f>
        <v>1</v>
      </c>
      <c r="O106" s="12">
        <f>IF(_xlfn.XLOOKUP($B106,'ELC TECH'!$H:$H,'ELC TECH'!$E:$E)="Storage","",IF(_xlfn.XLOOKUP($B106,'ELC TECH'!$H:$H,'ELC TECH'!AP:AP)="",1,_xlfn.XLOOKUP($B106,'ELC TECH'!$H:$H,'ELC TECH'!AP:AP)))</f>
        <v>1</v>
      </c>
      <c r="P106" s="12">
        <f>IF(_xlfn.XLOOKUP($B106,'ELC TECH'!$H:$H,'ELC TECH'!$E:$E)="Storage","",IF(_xlfn.XLOOKUP($B106,'ELC TECH'!$H:$H,'ELC TECH'!AQ:AQ)="",1,_xlfn.XLOOKUP($B106,'ELC TECH'!$H:$H,'ELC TECH'!AQ:AQ)))</f>
        <v>1</v>
      </c>
      <c r="Q106" s="12">
        <f>IF(_xlfn.XLOOKUP($B106,'ELC TECH'!$H:$H,'ELC TECH'!$E:$E)="Storage","",IF(_xlfn.XLOOKUP($B106,'ELC TECH'!$H:$H,'ELC TECH'!AR:AR)="",1,_xlfn.XLOOKUP($B106,'ELC TECH'!$H:$H,'ELC TECH'!AR:AR)))</f>
        <v>1</v>
      </c>
      <c r="R106" s="12" t="str">
        <f>IF(_xlfn.XLOOKUP($B106,'ELC TECH'!$H:$H,'ELC TECH'!$E:$E)&lt;&gt;"Storage","",IF(_xlfn.XLOOKUP($B106,'ELC TECH'!$H:$H,'ELC TECH'!AK:AK)="",0.8,_xlfn.XLOOKUP($B106,'ELC TECH'!$H:$H,'ELC TECH'!AK:AK)))</f>
        <v/>
      </c>
      <c r="S106" s="12" t="str">
        <f>IF(_xlfn.XLOOKUP($B106,'ELC TECH'!$H:$H,'ELC TECH'!$E:$E)&lt;&gt;"Storage","",IF(_xlfn.XLOOKUP($B106,'ELC TECH'!$H:$H,'ELC TECH'!AL:AL)="",0.8,_xlfn.XLOOKUP($B106,'ELC TECH'!$H:$H,'ELC TECH'!AL:AL)))</f>
        <v/>
      </c>
      <c r="T106" s="12" t="str">
        <f>IF(_xlfn.XLOOKUP($B106,'ELC TECH'!$H:$H,'ELC TECH'!$E:$E)&lt;&gt;"Storage","",IF(_xlfn.XLOOKUP($B106,'ELC TECH'!$H:$H,'ELC TECH'!AM:AM)="",0.8,_xlfn.XLOOKUP($B106,'ELC TECH'!$H:$H,'ELC TECH'!AM:AM)))</f>
        <v/>
      </c>
      <c r="U106" s="12" t="str">
        <f>IF(_xlfn.XLOOKUP($B106,'ELC TECH'!$H:$H,'ELC TECH'!$E:$E)&lt;&gt;"Storage","",IF(_xlfn.XLOOKUP($B106,'ELC TECH'!$H:$H,'ELC TECH'!AN:AN)="",0.8,_xlfn.XLOOKUP($B106,'ELC TECH'!$H:$H,'ELC TECH'!AN:AN)))</f>
        <v/>
      </c>
      <c r="V106" s="12" t="str">
        <f>IF(_xlfn.XLOOKUP($B106,'ELC TECH'!$H:$H,'ELC TECH'!$E:$E)&lt;&gt;"Storage","",IF(_xlfn.XLOOKUP($B106,'ELC TECH'!$H:$H,'ELC TECH'!AO:AO)="",0.8,_xlfn.XLOOKUP($B106,'ELC TECH'!$H:$H,'ELC TECH'!AO:AO)))</f>
        <v/>
      </c>
      <c r="W106" s="12" t="str">
        <f>IF(_xlfn.XLOOKUP($B106,'ELC TECH'!$H:$H,'ELC TECH'!$E:$E)&lt;&gt;"Storage","",IF(_xlfn.XLOOKUP($B106,'ELC TECH'!$H:$H,'ELC TECH'!AP:AP)="",0.8,_xlfn.XLOOKUP($B106,'ELC TECH'!$H:$H,'ELC TECH'!AP:AP)))</f>
        <v/>
      </c>
      <c r="X106" s="12" t="str">
        <f>IF(_xlfn.XLOOKUP($B106,'ELC TECH'!$H:$H,'ELC TECH'!$E:$E)&lt;&gt;"Storage","",IF(_xlfn.XLOOKUP($B106,'ELC TECH'!$H:$H,'ELC TECH'!AQ:AQ)="",0.8,_xlfn.XLOOKUP($B106,'ELC TECH'!$H:$H,'ELC TECH'!AQ:AQ)))</f>
        <v/>
      </c>
      <c r="Y106" s="12" t="str">
        <f>IF(_xlfn.XLOOKUP($B106,'ELC TECH'!$H:$H,'ELC TECH'!$E:$E)&lt;&gt;"Storage","",IF(_xlfn.XLOOKUP($B106,'ELC TECH'!$H:$H,'ELC TECH'!AR:AR)="",0.8,_xlfn.XLOOKUP($B106,'ELC TECH'!$H:$H,'ELC TECH'!AR:AR)))</f>
        <v/>
      </c>
      <c r="Z106" s="15">
        <f>_xlfn.XLOOKUP($B106,'ELC TECH'!$H:$H,'ELC TECH'!M:M)</f>
        <v>4170.1455241953454</v>
      </c>
      <c r="AA106" s="15">
        <f>_xlfn.XLOOKUP($B106,'ELC TECH'!$H:$H,'ELC TECH'!N:N)</f>
        <v>3656.321431418949</v>
      </c>
      <c r="AB106" s="15">
        <f>_xlfn.XLOOKUP($B106,'ELC TECH'!$H:$H,'ELC TECH'!O:O)</f>
        <v>3372.8299917351751</v>
      </c>
      <c r="AC106" s="15">
        <f>_xlfn.XLOOKUP($B106,'ELC TECH'!$H:$H,'ELC TECH'!P:P)</f>
        <v>3197.5847994918731</v>
      </c>
      <c r="AD106" s="15">
        <f>_xlfn.XLOOKUP($B106,'ELC TECH'!$H:$H,'ELC TECH'!Q:Q)</f>
        <v>3070.400627154705</v>
      </c>
      <c r="AE106" s="15">
        <f>_xlfn.XLOOKUP($B106,'ELC TECH'!$H:$H,'ELC TECH'!R:R)</f>
        <v>2970.5114128630739</v>
      </c>
      <c r="AF106" s="15">
        <f>_xlfn.XLOOKUP($B106,'ELC TECH'!$H:$H,'ELC TECH'!S:S)</f>
        <v>2888.2468477787911</v>
      </c>
      <c r="AG106" s="15">
        <f>_xlfn.XLOOKUP($B106,'ELC TECH'!$H:$H,'ELC TECH'!T:T)</f>
        <v>2888.2468477787911</v>
      </c>
      <c r="AH106" s="15">
        <f>_xlfn.XLOOKUP($B106,'ELC TECH'!$H:$H,'ELC TECH'!U:U)</f>
        <v>110.80881770668149</v>
      </c>
      <c r="AI106" s="15">
        <f>_xlfn.XLOOKUP($B106,'ELC TECH'!$H:$H,'ELC TECH'!V:V)</f>
        <v>99.250406439040503</v>
      </c>
      <c r="AJ106" s="15">
        <f>_xlfn.XLOOKUP($B106,'ELC TECH'!$H:$H,'ELC TECH'!W:W)</f>
        <v>91.154436108575254</v>
      </c>
      <c r="AK106" s="15">
        <f>_xlfn.XLOOKUP($B106,'ELC TECH'!$H:$H,'ELC TECH'!X:X)</f>
        <v>85.727932120074911</v>
      </c>
      <c r="AL106" s="15">
        <f>_xlfn.XLOOKUP($B106,'ELC TECH'!$H:$H,'ELC TECH'!Y:Y)</f>
        <v>81.64045075920211</v>
      </c>
      <c r="AM106" s="15">
        <f>_xlfn.XLOOKUP($B106,'ELC TECH'!$H:$H,'ELC TECH'!Z:Z)</f>
        <v>78.360254943303673</v>
      </c>
      <c r="AN106" s="15">
        <f>_xlfn.XLOOKUP($B106,'ELC TECH'!$H:$H,'ELC TECH'!AA:AA)</f>
        <v>75.620458414348917</v>
      </c>
      <c r="AO106" s="15">
        <f>_xlfn.XLOOKUP($B106,'ELC TECH'!$H:$H,'ELC TECH'!AB:AB)</f>
        <v>75.620458414348917</v>
      </c>
      <c r="AP106" s="15">
        <f>_xlfn.XLOOKUP($B106,'ELC TECH'!$H:$H,'ELC TECH'!AC:AC)</f>
        <v>0</v>
      </c>
      <c r="AQ106" s="15">
        <f>_xlfn.XLOOKUP($B106,'ELC TECH'!$H:$H,'ELC TECH'!AD:AD)</f>
        <v>0</v>
      </c>
      <c r="AR106" s="15">
        <f>_xlfn.XLOOKUP($B106,'ELC TECH'!$H:$H,'ELC TECH'!AE:AE)</f>
        <v>0</v>
      </c>
      <c r="AS106" s="15">
        <f>_xlfn.XLOOKUP($B106,'ELC TECH'!$H:$H,'ELC TECH'!AF:AF)</f>
        <v>0</v>
      </c>
      <c r="AT106" s="15">
        <f>_xlfn.XLOOKUP($B106,'ELC TECH'!$H:$H,'ELC TECH'!AG:AG)</f>
        <v>0</v>
      </c>
      <c r="AU106" s="15">
        <f>_xlfn.XLOOKUP($B106,'ELC TECH'!$H:$H,'ELC TECH'!AH:AH)</f>
        <v>0</v>
      </c>
      <c r="AV106" s="15">
        <f>_xlfn.XLOOKUP($B106,'ELC TECH'!$H:$H,'ELC TECH'!AI:AI)</f>
        <v>0</v>
      </c>
      <c r="AW106" s="15">
        <f>_xlfn.XLOOKUP($B106,'ELC TECH'!$H:$H,'ELC TECH'!AJ:AJ)</f>
        <v>0</v>
      </c>
      <c r="AX106" s="12">
        <f>IF(_xlfn.XLOOKUP($B106,'ELC TECH'!$H:$H,'ELC TECH'!$E:$E)="Storage","",_xlfn.XLOOKUP($B106,'ELC TECH'!$H:$H,'ELC TECH'!AS:AS))</f>
        <v>0.37287146322759102</v>
      </c>
      <c r="AY106" s="12">
        <f>IF(_xlfn.XLOOKUP($B106,'ELC TECH'!$H:$H,'ELC TECH'!$E:$E)="Storage","",_xlfn.XLOOKUP($B106,'ELC TECH'!$H:$H,'ELC TECH'!AT:AT))</f>
        <v>0.38860911395741699</v>
      </c>
      <c r="AZ106" s="12">
        <f>IF(_xlfn.XLOOKUP($B106,'ELC TECH'!$H:$H,'ELC TECH'!$E:$E)="Storage","",_xlfn.XLOOKUP($B106,'ELC TECH'!$H:$H,'ELC TECH'!AU:AU))</f>
        <v>0.40622711298112701</v>
      </c>
      <c r="BA106" s="12">
        <f>IF(_xlfn.XLOOKUP($B106,'ELC TECH'!$H:$H,'ELC TECH'!$E:$E)="Storage","",_xlfn.XLOOKUP($B106,'ELC TECH'!$H:$H,'ELC TECH'!AV:AV))</f>
        <v>0.41298188499290001</v>
      </c>
      <c r="BB106" s="12">
        <f>IF(_xlfn.XLOOKUP($B106,'ELC TECH'!$H:$H,'ELC TECH'!$E:$E)="Storage","",_xlfn.XLOOKUP($B106,'ELC TECH'!$H:$H,'ELC TECH'!AW:AW))</f>
        <v>0.41930365641440898</v>
      </c>
      <c r="BC106" s="12">
        <f>IF(_xlfn.XLOOKUP($B106,'ELC TECH'!$H:$H,'ELC TECH'!$E:$E)="Storage","",_xlfn.XLOOKUP($B106,'ELC TECH'!$H:$H,'ELC TECH'!AX:AX))</f>
        <v>0.425364375400901</v>
      </c>
      <c r="BD106" s="12">
        <f>IF(_xlfn.XLOOKUP($B106,'ELC TECH'!$H:$H,'ELC TECH'!$E:$E)="Storage","",_xlfn.XLOOKUP($B106,'ELC TECH'!$H:$H,'ELC TECH'!AY:AY))</f>
        <v>0.43125034512968902</v>
      </c>
      <c r="BE106" s="12">
        <f>IF(_xlfn.XLOOKUP($B106,'ELC TECH'!$H:$H,'ELC TECH'!$E:$E)="Storage","",_xlfn.XLOOKUP($B106,'ELC TECH'!$H:$H,'ELC TECH'!AZ:AZ))</f>
        <v>0.43125034512968902</v>
      </c>
      <c r="BF106" s="12" t="str">
        <f>IF(_xlfn.XLOOKUP($B106,'ELC TECH'!$H:$H,'ELC TECH'!$E:$E)="Storage",_xlfn.XLOOKUP($B106,'ELC TECH'!$H:$H,'ELC TECH'!AS:AS),"")</f>
        <v/>
      </c>
      <c r="BG106" s="12" t="str">
        <f>IF(_xlfn.XLOOKUP($B106,'ELC TECH'!$H:$H,'ELC TECH'!$E:$E)="Storage",_xlfn.XLOOKUP($B106,'ELC TECH'!$H:$H,'ELC TECH'!AT:AT),"")</f>
        <v/>
      </c>
      <c r="BH106" s="12" t="str">
        <f>IF(_xlfn.XLOOKUP($B106,'ELC TECH'!$H:$H,'ELC TECH'!$E:$E)="Storage",_xlfn.XLOOKUP($B106,'ELC TECH'!$H:$H,'ELC TECH'!AU:AU),"")</f>
        <v/>
      </c>
      <c r="BI106" s="12" t="str">
        <f>IF(_xlfn.XLOOKUP($B106,'ELC TECH'!$H:$H,'ELC TECH'!$E:$E)="Storage",_xlfn.XLOOKUP($B106,'ELC TECH'!$H:$H,'ELC TECH'!AV:AV),"")</f>
        <v/>
      </c>
      <c r="BJ106" s="12" t="str">
        <f>IF(_xlfn.XLOOKUP($B106,'ELC TECH'!$H:$H,'ELC TECH'!$E:$E)="Storage",_xlfn.XLOOKUP($B106,'ELC TECH'!$H:$H,'ELC TECH'!AW:AW),"")</f>
        <v/>
      </c>
      <c r="BK106" s="12" t="str">
        <f>IF(_xlfn.XLOOKUP($B106,'ELC TECH'!$H:$H,'ELC TECH'!$E:$E)="Storage",_xlfn.XLOOKUP($B106,'ELC TECH'!$H:$H,'ELC TECH'!AX:AX),"")</f>
        <v/>
      </c>
      <c r="BL106" s="12" t="str">
        <f>IF(_xlfn.XLOOKUP($B106,'ELC TECH'!$H:$H,'ELC TECH'!$E:$E)="Storage",_xlfn.XLOOKUP($B106,'ELC TECH'!$H:$H,'ELC TECH'!AY:AY),"")</f>
        <v/>
      </c>
      <c r="BM106" s="12" t="str">
        <f>IF(_xlfn.XLOOKUP($B106,'ELC TECH'!$H:$H,'ELC TECH'!$E:$E)="Storage",_xlfn.XLOOKUP($B106,'ELC TECH'!$H:$H,'ELC TECH'!AZ:AZ),"")</f>
        <v/>
      </c>
      <c r="BN106" s="8">
        <f>IF(_xlfn.XLOOKUP($B106,'ELC TECH'!$H:$H,'ELC TECH'!$E:$E)="Non Dispatchable",IFERROR($AX106*_xlfn.XLOOKUP($C106,$BM$1:$BM$3,BN$1:BN$3)/SUMPRODUCT(_xlfn.XLOOKUP($C106,$BM$1:$BM$3,$BN$1:$BY$3),$BN$4:$BY$4),""),
"")</f>
        <v>0.65476284934321771</v>
      </c>
      <c r="BO106" s="8">
        <f>IF(_xlfn.XLOOKUP($B106,'ELC TECH'!$H:$H,'ELC TECH'!$E:$E)="Non Dispatchable",IFERROR($AX106*_xlfn.XLOOKUP($C106,$BM$1:$BM$3,BO$1:BO$3)/SUMPRODUCT(_xlfn.XLOOKUP($C106,$BM$1:$BM$3,$BN$1:$BY$3),$BN$4:$BY$4),""),
"")</f>
        <v>0.65476284934321771</v>
      </c>
      <c r="BP106" s="8">
        <f>IF(_xlfn.XLOOKUP($B106,'ELC TECH'!$H:$H,'ELC TECH'!$E:$E)="Non Dispatchable",IFERROR($AX106*_xlfn.XLOOKUP($C106,$BM$1:$BM$3,BP$1:BP$3)/SUMPRODUCT(_xlfn.XLOOKUP($C106,$BM$1:$BM$3,$BN$1:$BY$3),$BN$4:$BY$4),""),
"")</f>
        <v>6.5476284934321782E-2</v>
      </c>
      <c r="BQ106" s="8">
        <f>IF(_xlfn.XLOOKUP($B106,'ELC TECH'!$H:$H,'ELC TECH'!$E:$E)="Non Dispatchable",IFERROR($AX106*_xlfn.XLOOKUP($C106,$BM$1:$BM$3,BQ$1:BQ$3)/SUMPRODUCT(_xlfn.XLOOKUP($C106,$BM$1:$BM$3,$BN$1:$BY$3),$BN$4:$BY$4),""),
"")</f>
        <v>0.5246338805429307</v>
      </c>
      <c r="BR106" s="8">
        <f>IF(_xlfn.XLOOKUP($B106,'ELC TECH'!$H:$H,'ELC TECH'!$E:$E)="Non Dispatchable",IFERROR($AX106*_xlfn.XLOOKUP($C106,$BM$1:$BM$3,BR$1:BR$3)/SUMPRODUCT(_xlfn.XLOOKUP($C106,$BM$1:$BM$3,$BN$1:$BY$3),$BN$4:$BY$4),""),
"")</f>
        <v>0.76190586105392621</v>
      </c>
      <c r="BS106" s="8">
        <f>IF(_xlfn.XLOOKUP($B106,'ELC TECH'!$H:$H,'ELC TECH'!$E:$E)="Non Dispatchable",IFERROR($AX106*_xlfn.XLOOKUP($C106,$BM$1:$BM$3,BS$1:BS$3)/SUMPRODUCT(_xlfn.XLOOKUP($C106,$BM$1:$BM$3,$BN$1:$BY$3),$BN$4:$BY$4),""),
"")</f>
        <v>0.76190586105392621</v>
      </c>
      <c r="BT106" s="8">
        <f>IF(_xlfn.XLOOKUP($B106,'ELC TECH'!$H:$H,'ELC TECH'!$E:$E)="Non Dispatchable",IFERROR($AX106*_xlfn.XLOOKUP($C106,$BM$1:$BM$3,BT$1:BT$3)/SUMPRODUCT(_xlfn.XLOOKUP($C106,$BM$1:$BM$3,$BN$1:$BY$3),$BN$4:$BY$4),""),
"")</f>
        <v>7.619058610539263E-2</v>
      </c>
      <c r="BU106" s="8">
        <f>IF(_xlfn.XLOOKUP($B106,'ELC TECH'!$H:$H,'ELC TECH'!$E:$E)="Non Dispatchable",IFERROR($AX106*_xlfn.XLOOKUP($C106,$BM$1:$BM$3,BU$1:BU$3)/SUMPRODUCT(_xlfn.XLOOKUP($C106,$BM$1:$BM$3,$BN$1:$BY$3),$BN$4:$BY$4),""),
"")</f>
        <v>0.67509946033878365</v>
      </c>
      <c r="BV106" s="8">
        <f>IF(_xlfn.XLOOKUP($B106,'ELC TECH'!$H:$H,'ELC TECH'!$E:$E)="Non Dispatchable",IFERROR($AX106*_xlfn.XLOOKUP($C106,$BM$1:$BM$3,BV$1:BV$3)/SUMPRODUCT(_xlfn.XLOOKUP($C106,$BM$1:$BM$3,$BN$1:$BY$3),$BN$4:$BY$4),""),
"")</f>
        <v>0.39456826567097836</v>
      </c>
      <c r="BW106" s="8">
        <f>IF(_xlfn.XLOOKUP($B106,'ELC TECH'!$H:$H,'ELC TECH'!$E:$E)="Non Dispatchable",IFERROR($AX106*_xlfn.XLOOKUP($C106,$BM$1:$BM$3,BW$1:BW$3)/SUMPRODUCT(_xlfn.XLOOKUP($C106,$BM$1:$BM$3,$BN$1:$BY$3),$BN$4:$BY$4),""),
"")</f>
        <v>0.39456826567097836</v>
      </c>
      <c r="BX106" s="8">
        <f>IF(_xlfn.XLOOKUP($B106,'ELC TECH'!$H:$H,'ELC TECH'!$E:$E)="Non Dispatchable",IFERROR($AX106*_xlfn.XLOOKUP($C106,$BM$1:$BM$3,BX$1:BX$3)/SUMPRODUCT(_xlfn.XLOOKUP($C106,$BM$1:$BM$3,$BN$1:$BY$3),$BN$4:$BY$4),""),
"")</f>
        <v>3.9456826567097841E-2</v>
      </c>
      <c r="BY106" s="8">
        <f>IF(_xlfn.XLOOKUP($B106,'ELC TECH'!$H:$H,'ELC TECH'!$E:$E)="Non Dispatchable",IFERROR($AX106*_xlfn.XLOOKUP($C106,$BM$1:$BM$3,BY$1:BY$3)/SUMPRODUCT(_xlfn.XLOOKUP($C106,$BM$1:$BM$3,$BN$1:$BY$3),$BN$4:$BY$4),""),
"")</f>
        <v>0.28841011957347912</v>
      </c>
      <c r="BZ106" s="8">
        <f>IF(_xlfn.XLOOKUP($B106,'ELC TECH'!$H:$H,'ELC TECH'!$E:$E)="Non Dispatchable",IFERROR($AX106*_xlfn.XLOOKUP($C106,$BM$1:$BM$3,BZ$1:BZ$3)/SUMPRODUCT(_xlfn.XLOOKUP($C106,$BM$1:$BM$3,$BN$1:$BY$3),$BN$4:$BY$4),""),
"")</f>
        <v>0.65476284934321771</v>
      </c>
      <c r="CA106" s="8">
        <f>IF(_xlfn.XLOOKUP($B106,'ELC TECH'!$H:$H,'ELC TECH'!$E:$E)="Non Dispatchable",IFERROR($AX106*_xlfn.XLOOKUP($C106,$BM$1:$BM$3,CA$1:CA$3)/SUMPRODUCT(_xlfn.XLOOKUP($C106,$BM$1:$BM$3,$BN$1:$BY$3),$BN$4:$BY$4),""),
"")</f>
        <v>0.65476284934321771</v>
      </c>
      <c r="CB106" s="8">
        <f>IF(_xlfn.XLOOKUP($B106,'ELC TECH'!$H:$H,'ELC TECH'!$E:$E)="Non Dispatchable",IFERROR($AX106*_xlfn.XLOOKUP($C106,$BM$1:$BM$3,CB$1:CB$3)/SUMPRODUCT(_xlfn.XLOOKUP($C106,$BM$1:$BM$3,$BN$1:$BY$3),$BN$4:$BY$4),""),
"")</f>
        <v>6.5476284934321782E-2</v>
      </c>
      <c r="CC106" s="8">
        <f>IF(_xlfn.XLOOKUP($B106,'ELC TECH'!$H:$H,'ELC TECH'!$E:$E)="Non Dispatchable",IFERROR($AX106*_xlfn.XLOOKUP($C106,$BM$1:$BM$3,CC$1:CC$3)/SUMPRODUCT(_xlfn.XLOOKUP($C106,$BM$1:$BM$3,$BN$1:$BY$3),$BN$4:$BY$4),""),
"")</f>
        <v>0.5246338805429307</v>
      </c>
      <c r="CD106" s="8">
        <f>IF(_xlfn.XLOOKUP($B106,'ELC TECH'!$H:$H,'ELC TECH'!$E:$E)="Non Dispatchable",IFERROR($AX106*_xlfn.XLOOKUP($C106,$BM$1:$BM$3,CD$1:CD$3)/SUMPRODUCT(_xlfn.XLOOKUP($C106,$BM$1:$BM$3,$BN$1:$BY$3),$BN$4:$BY$4),""),
"")</f>
        <v>0.76190586105392621</v>
      </c>
      <c r="CE106" s="8">
        <f>IF(_xlfn.XLOOKUP($B106,'ELC TECH'!$H:$H,'ELC TECH'!$E:$E)="Non Dispatchable",IFERROR($AX106*_xlfn.XLOOKUP($C106,$BM$1:$BM$3,CE$1:CE$3)/SUMPRODUCT(_xlfn.XLOOKUP($C106,$BM$1:$BM$3,$BN$1:$BY$3),$BN$4:$BY$4),""),
"")</f>
        <v>0.76190586105392621</v>
      </c>
      <c r="CF106" s="8">
        <f>IF(_xlfn.XLOOKUP($B106,'ELC TECH'!$H:$H,'ELC TECH'!$E:$E)="Non Dispatchable",IFERROR($AX106*_xlfn.XLOOKUP($C106,$BM$1:$BM$3,CF$1:CF$3)/SUMPRODUCT(_xlfn.XLOOKUP($C106,$BM$1:$BM$3,$BN$1:$BY$3),$BN$4:$BY$4),""),
"")</f>
        <v>7.619058610539263E-2</v>
      </c>
      <c r="CG106" s="8">
        <f>IF(_xlfn.XLOOKUP($B106,'ELC TECH'!$H:$H,'ELC TECH'!$E:$E)="Non Dispatchable",IFERROR($AX106*_xlfn.XLOOKUP($C106,$BM$1:$BM$3,CG$1:CG$3)/SUMPRODUCT(_xlfn.XLOOKUP($C106,$BM$1:$BM$3,$BN$1:$BY$3),$BN$4:$BY$4),""),
"")</f>
        <v>0.67509946033878365</v>
      </c>
      <c r="CH106" s="8">
        <f>IF(_xlfn.XLOOKUP($B106,'ELC TECH'!$H:$H,'ELC TECH'!$E:$E)="Non Dispatchable",IFERROR($AX106*_xlfn.XLOOKUP($C106,$BM$1:$BM$3,CH$1:CH$3)/SUMPRODUCT(_xlfn.XLOOKUP($C106,$BM$1:$BM$3,$BN$1:$BY$3),$BN$4:$BY$4),""),
"")</f>
        <v>0.39456826567097836</v>
      </c>
      <c r="CI106" s="8">
        <f>IF(_xlfn.XLOOKUP($B106,'ELC TECH'!$H:$H,'ELC TECH'!$E:$E)="Non Dispatchable",IFERROR($AX106*_xlfn.XLOOKUP($C106,$BM$1:$BM$3,CI$1:CI$3)/SUMPRODUCT(_xlfn.XLOOKUP($C106,$BM$1:$BM$3,$BN$1:$BY$3),$BN$4:$BY$4),""),
"")</f>
        <v>0.39456826567097836</v>
      </c>
      <c r="CJ106" s="8">
        <f>IF(_xlfn.XLOOKUP($B106,'ELC TECH'!$H:$H,'ELC TECH'!$E:$E)="Non Dispatchable",IFERROR($AX106*_xlfn.XLOOKUP($C106,$BM$1:$BM$3,CJ$1:CJ$3)/SUMPRODUCT(_xlfn.XLOOKUP($C106,$BM$1:$BM$3,$BN$1:$BY$3),$BN$4:$BY$4),""),
"")</f>
        <v>3.9456826567097841E-2</v>
      </c>
      <c r="CK106" s="8">
        <f>IF(_xlfn.XLOOKUP($B106,'ELC TECH'!$H:$H,'ELC TECH'!$E:$E)="Non Dispatchable",IFERROR($AX106*_xlfn.XLOOKUP($C106,$BM$1:$BM$3,CK$1:CK$3)/SUMPRODUCT(_xlfn.XLOOKUP($C106,$BM$1:$BM$3,$BN$1:$BY$3),$BN$4:$BY$4),""),
"")</f>
        <v>0.28841011957347912</v>
      </c>
      <c r="CL106" s="8" t="str">
        <f>IF(_xlfn.XLOOKUP($B106,'ELC TECH'!$H:$H,'ELC TECH'!$E:$E)="Storage",CL$4*$BF106,"")</f>
        <v/>
      </c>
      <c r="CM106" s="8" t="str">
        <f>IF(_xlfn.XLOOKUP($B106,'ELC TECH'!$H:$H,'ELC TECH'!$E:$E)="Storage",CM$4*$BF106,"")</f>
        <v/>
      </c>
      <c r="CN106" s="8" t="str">
        <f>IF(_xlfn.XLOOKUP($B106,'ELC TECH'!$H:$H,'ELC TECH'!$E:$E)="Storage",CN$4*$BF106,"")</f>
        <v/>
      </c>
      <c r="CO106" s="8" t="str">
        <f>IF(_xlfn.XLOOKUP($B106,'ELC TECH'!$H:$H,'ELC TECH'!$E:$E)="Storage",CO$4*$BF106,"")</f>
        <v/>
      </c>
      <c r="CP106" s="8" t="str">
        <f>IF(_xlfn.XLOOKUP($B106,'ELC TECH'!$H:$H,'ELC TECH'!$E:$E)="Storage",CP$4*$BF106,"")</f>
        <v/>
      </c>
      <c r="CQ106" s="8" t="str">
        <f>IF(_xlfn.XLOOKUP($B106,'ELC TECH'!$H:$H,'ELC TECH'!$E:$E)="Storage",CQ$4*$BF106,"")</f>
        <v/>
      </c>
      <c r="CR106" s="8" t="str">
        <f>IF(_xlfn.XLOOKUP($B106,'ELC TECH'!$H:$H,'ELC TECH'!$E:$E)="Storage",CR$4*$BF106,"")</f>
        <v/>
      </c>
      <c r="CS106" s="8" t="str">
        <f>IF(_xlfn.XLOOKUP($B106,'ELC TECH'!$H:$H,'ELC TECH'!$E:$E)="Storage",CS$4*$BF106,"")</f>
        <v/>
      </c>
      <c r="CT106" s="8" t="str">
        <f>IF(_xlfn.XLOOKUP($B106,'ELC TECH'!$H:$H,'ELC TECH'!$E:$E)="Storage",CT$4*$BF106,"")</f>
        <v/>
      </c>
      <c r="CU106" s="8" t="str">
        <f>IF(_xlfn.XLOOKUP($B106,'ELC TECH'!$H:$H,'ELC TECH'!$E:$E)="Storage",CU$4*$BF106,"")</f>
        <v/>
      </c>
      <c r="CV106" s="8" t="str">
        <f>IF(_xlfn.XLOOKUP($B106,'ELC TECH'!$H:$H,'ELC TECH'!$E:$E)="Storage",CV$4*$BF106,"")</f>
        <v/>
      </c>
      <c r="CW106" s="8" t="str">
        <f>IF(_xlfn.XLOOKUP($B106,'ELC TECH'!$H:$H,'ELC TECH'!$E:$E)="Storage",CW$4*$BF106,"")</f>
        <v/>
      </c>
      <c r="CX106" s="8" t="str">
        <f>IF(_xlfn.XLOOKUP($B106,'ELC TECH'!$H:$H,'ELC TECH'!$E:$E)="Storage",CX$4*$BF106,"")</f>
        <v/>
      </c>
      <c r="CY106" s="8" t="str">
        <f>IF(_xlfn.XLOOKUP($B106,'ELC TECH'!$H:$H,'ELC TECH'!$E:$E)="Storage",CY$4*$BF106,"")</f>
        <v/>
      </c>
      <c r="CZ106" s="8" t="str">
        <f>IF(_xlfn.XLOOKUP($B106,'ELC TECH'!$H:$H,'ELC TECH'!$E:$E)="Storage",CZ$4*$BF106,"")</f>
        <v/>
      </c>
      <c r="DA106" s="8" t="str">
        <f>IF(_xlfn.XLOOKUP($B106,'ELC TECH'!$H:$H,'ELC TECH'!$E:$E)="Storage",DA$4*$BF106,"")</f>
        <v/>
      </c>
      <c r="DB106" s="8" t="str">
        <f>IF(_xlfn.XLOOKUP($B106,'ELC TECH'!$H:$H,'ELC TECH'!$E:$E)="Storage",DB$4*$BF106,"")</f>
        <v/>
      </c>
      <c r="DC106" s="8" t="str">
        <f>IF(_xlfn.XLOOKUP($B106,'ELC TECH'!$H:$H,'ELC TECH'!$E:$E)="Storage",DC$4*$BF106,"")</f>
        <v/>
      </c>
      <c r="DD106" s="8" t="str">
        <f>IF(_xlfn.XLOOKUP($B106,'ELC TECH'!$H:$H,'ELC TECH'!$E:$E)="Storage",DD$4*$BF106,"")</f>
        <v/>
      </c>
      <c r="DE106" s="8" t="str">
        <f>IF(_xlfn.XLOOKUP($B106,'ELC TECH'!$H:$H,'ELC TECH'!$E:$E)="Storage",DE$4*$BF106,"")</f>
        <v/>
      </c>
      <c r="DF106" s="8" t="str">
        <f>IF(_xlfn.XLOOKUP($B106,'ELC TECH'!$H:$H,'ELC TECH'!$E:$E)="Storage",DF$4*$BF106,"")</f>
        <v/>
      </c>
      <c r="DG106" s="8" t="str">
        <f>IF(_xlfn.XLOOKUP($B106,'ELC TECH'!$H:$H,'ELC TECH'!$E:$E)="Storage",DG$4*$BF106,"")</f>
        <v/>
      </c>
      <c r="DH106" s="8" t="str">
        <f>IF(_xlfn.XLOOKUP($B106,'ELC TECH'!$H:$H,'ELC TECH'!$E:$E)="Storage",DH$4*$BF106,"")</f>
        <v/>
      </c>
      <c r="DI106" s="8" t="str">
        <f>IF(_xlfn.XLOOKUP($B106,'ELC TECH'!$H:$H,'ELC TECH'!$E:$E)="Storage",DI$4*$BF106,"")</f>
        <v/>
      </c>
    </row>
    <row r="107" spans="2:113" x14ac:dyDescent="0.25">
      <c r="B107" t="str">
        <f>IF('ELC TECH'!I100=0,"*",'ELC TECH'!H100)</f>
        <v>ELCWNDGRDWOFC1420</v>
      </c>
      <c r="C107" t="str">
        <f>IF(_xlfn.XLOOKUP(_xlfn.XLOOKUP(B107,'ELC TECH'!$H:$H,'ELC TECH'!$G:$G),List!C:C,List!B:B)="STG",D107,"ELC"&amp;_xlfn.XLOOKUP(_xlfn.XLOOKUP(B107,'ELC TECH'!H:H,'ELC TECH'!G:G),List!C:C,List!B:B))</f>
        <v>ELCWND</v>
      </c>
      <c r="D107" t="s">
        <v>544</v>
      </c>
      <c r="E107">
        <f>_xlfn.XLOOKUP(B107,'ELC TECH'!H:H,'ELC TECH'!D:D)</f>
        <v>2020</v>
      </c>
      <c r="F107">
        <f>_xlfn.XLOOKUP(B107,'ELC TECH'!H:H,'ELC TECH'!K:K)</f>
        <v>30</v>
      </c>
      <c r="G107">
        <f t="shared" ref="G107:G138" si="7">8760*0.0036</f>
        <v>31.535999999999998</v>
      </c>
      <c r="H107">
        <f>IF(_xlfn.XLOOKUP(B107,'ELC TECH'!$H:$H,'ELC TECH'!$E:$E)="Storage",0.3,IF(_xlfn.XLOOKUP(B107,'ELC TECH'!$H:$H,'ELC TECH'!$E:$E)="Baseload",0.9,IF(_xlfn.XLOOKUP(B107,'ELC TECH'!$H:$H,'ELC TECH'!$E:$E)="Non Dispatchable",0.05,IF(_xlfn.XLOOKUP(B107,'ELC TECH'!$H:$H,'ELC TECH'!$E:$E)="Dispatchable",0.9,1))))</f>
        <v>0.05</v>
      </c>
      <c r="I107" s="13">
        <f>IF(_xlfn.XLOOKUP(B107,'ELC TECH'!H:H,'ELC TECH'!J:J)="","",_xlfn.XLOOKUP(B107,'ELC TECH'!H:H,'ELC TECH'!J:J))</f>
        <v>0</v>
      </c>
      <c r="J107" s="12">
        <f>IF(_xlfn.XLOOKUP($B107,'ELC TECH'!$H:$H,'ELC TECH'!$E:$E)="Storage","",IF(_xlfn.XLOOKUP($B107,'ELC TECH'!$H:$H,'ELC TECH'!AK:AK)="",1,_xlfn.XLOOKUP($B107,'ELC TECH'!$H:$H,'ELC TECH'!AK:AK)))</f>
        <v>1</v>
      </c>
      <c r="K107" s="12">
        <f>IF(_xlfn.XLOOKUP($B107,'ELC TECH'!$H:$H,'ELC TECH'!$E:$E)="Storage","",IF(_xlfn.XLOOKUP($B107,'ELC TECH'!$H:$H,'ELC TECH'!AL:AL)="",1,_xlfn.XLOOKUP($B107,'ELC TECH'!$H:$H,'ELC TECH'!AL:AL)))</f>
        <v>1</v>
      </c>
      <c r="L107" s="12">
        <f>IF(_xlfn.XLOOKUP($B107,'ELC TECH'!$H:$H,'ELC TECH'!$E:$E)="Storage","",IF(_xlfn.XLOOKUP($B107,'ELC TECH'!$H:$H,'ELC TECH'!AM:AM)="",1,_xlfn.XLOOKUP($B107,'ELC TECH'!$H:$H,'ELC TECH'!AM:AM)))</f>
        <v>1</v>
      </c>
      <c r="M107" s="12">
        <f>IF(_xlfn.XLOOKUP($B107,'ELC TECH'!$H:$H,'ELC TECH'!$E:$E)="Storage","",IF(_xlfn.XLOOKUP($B107,'ELC TECH'!$H:$H,'ELC TECH'!AN:AN)="",1,_xlfn.XLOOKUP($B107,'ELC TECH'!$H:$H,'ELC TECH'!AN:AN)))</f>
        <v>1</v>
      </c>
      <c r="N107" s="12">
        <f>IF(_xlfn.XLOOKUP($B107,'ELC TECH'!$H:$H,'ELC TECH'!$E:$E)="Storage","",IF(_xlfn.XLOOKUP($B107,'ELC TECH'!$H:$H,'ELC TECH'!AO:AO)="",1,_xlfn.XLOOKUP($B107,'ELC TECH'!$H:$H,'ELC TECH'!AO:AO)))</f>
        <v>1</v>
      </c>
      <c r="O107" s="12">
        <f>IF(_xlfn.XLOOKUP($B107,'ELC TECH'!$H:$H,'ELC TECH'!$E:$E)="Storage","",IF(_xlfn.XLOOKUP($B107,'ELC TECH'!$H:$H,'ELC TECH'!AP:AP)="",1,_xlfn.XLOOKUP($B107,'ELC TECH'!$H:$H,'ELC TECH'!AP:AP)))</f>
        <v>1</v>
      </c>
      <c r="P107" s="12">
        <f>IF(_xlfn.XLOOKUP($B107,'ELC TECH'!$H:$H,'ELC TECH'!$E:$E)="Storage","",IF(_xlfn.XLOOKUP($B107,'ELC TECH'!$H:$H,'ELC TECH'!AQ:AQ)="",1,_xlfn.XLOOKUP($B107,'ELC TECH'!$H:$H,'ELC TECH'!AQ:AQ)))</f>
        <v>1</v>
      </c>
      <c r="Q107" s="12">
        <f>IF(_xlfn.XLOOKUP($B107,'ELC TECH'!$H:$H,'ELC TECH'!$E:$E)="Storage","",IF(_xlfn.XLOOKUP($B107,'ELC TECH'!$H:$H,'ELC TECH'!AR:AR)="",1,_xlfn.XLOOKUP($B107,'ELC TECH'!$H:$H,'ELC TECH'!AR:AR)))</f>
        <v>1</v>
      </c>
      <c r="R107" s="12" t="str">
        <f>IF(_xlfn.XLOOKUP($B107,'ELC TECH'!$H:$H,'ELC TECH'!$E:$E)&lt;&gt;"Storage","",IF(_xlfn.XLOOKUP($B107,'ELC TECH'!$H:$H,'ELC TECH'!AK:AK)="",0.8,_xlfn.XLOOKUP($B107,'ELC TECH'!$H:$H,'ELC TECH'!AK:AK)))</f>
        <v/>
      </c>
      <c r="S107" s="12" t="str">
        <f>IF(_xlfn.XLOOKUP($B107,'ELC TECH'!$H:$H,'ELC TECH'!$E:$E)&lt;&gt;"Storage","",IF(_xlfn.XLOOKUP($B107,'ELC TECH'!$H:$H,'ELC TECH'!AL:AL)="",0.8,_xlfn.XLOOKUP($B107,'ELC TECH'!$H:$H,'ELC TECH'!AL:AL)))</f>
        <v/>
      </c>
      <c r="T107" s="12" t="str">
        <f>IF(_xlfn.XLOOKUP($B107,'ELC TECH'!$H:$H,'ELC TECH'!$E:$E)&lt;&gt;"Storage","",IF(_xlfn.XLOOKUP($B107,'ELC TECH'!$H:$H,'ELC TECH'!AM:AM)="",0.8,_xlfn.XLOOKUP($B107,'ELC TECH'!$H:$H,'ELC TECH'!AM:AM)))</f>
        <v/>
      </c>
      <c r="U107" s="12" t="str">
        <f>IF(_xlfn.XLOOKUP($B107,'ELC TECH'!$H:$H,'ELC TECH'!$E:$E)&lt;&gt;"Storage","",IF(_xlfn.XLOOKUP($B107,'ELC TECH'!$H:$H,'ELC TECH'!AN:AN)="",0.8,_xlfn.XLOOKUP($B107,'ELC TECH'!$H:$H,'ELC TECH'!AN:AN)))</f>
        <v/>
      </c>
      <c r="V107" s="12" t="str">
        <f>IF(_xlfn.XLOOKUP($B107,'ELC TECH'!$H:$H,'ELC TECH'!$E:$E)&lt;&gt;"Storage","",IF(_xlfn.XLOOKUP($B107,'ELC TECH'!$H:$H,'ELC TECH'!AO:AO)="",0.8,_xlfn.XLOOKUP($B107,'ELC TECH'!$H:$H,'ELC TECH'!AO:AO)))</f>
        <v/>
      </c>
      <c r="W107" s="12" t="str">
        <f>IF(_xlfn.XLOOKUP($B107,'ELC TECH'!$H:$H,'ELC TECH'!$E:$E)&lt;&gt;"Storage","",IF(_xlfn.XLOOKUP($B107,'ELC TECH'!$H:$H,'ELC TECH'!AP:AP)="",0.8,_xlfn.XLOOKUP($B107,'ELC TECH'!$H:$H,'ELC TECH'!AP:AP)))</f>
        <v/>
      </c>
      <c r="X107" s="12" t="str">
        <f>IF(_xlfn.XLOOKUP($B107,'ELC TECH'!$H:$H,'ELC TECH'!$E:$E)&lt;&gt;"Storage","",IF(_xlfn.XLOOKUP($B107,'ELC TECH'!$H:$H,'ELC TECH'!AQ:AQ)="",0.8,_xlfn.XLOOKUP($B107,'ELC TECH'!$H:$H,'ELC TECH'!AQ:AQ)))</f>
        <v/>
      </c>
      <c r="Y107" s="12" t="str">
        <f>IF(_xlfn.XLOOKUP($B107,'ELC TECH'!$H:$H,'ELC TECH'!$E:$E)&lt;&gt;"Storage","",IF(_xlfn.XLOOKUP($B107,'ELC TECH'!$H:$H,'ELC TECH'!AR:AR)="",0.8,_xlfn.XLOOKUP($B107,'ELC TECH'!$H:$H,'ELC TECH'!AR:AR)))</f>
        <v/>
      </c>
      <c r="Z107" s="15">
        <f>_xlfn.XLOOKUP($B107,'ELC TECH'!$H:$H,'ELC TECH'!M:M)</f>
        <v>4581.0667408393256</v>
      </c>
      <c r="AA107" s="15">
        <f>_xlfn.XLOOKUP($B107,'ELC TECH'!$H:$H,'ELC TECH'!N:N)</f>
        <v>4016.6110285859531</v>
      </c>
      <c r="AB107" s="15">
        <f>_xlfn.XLOOKUP($B107,'ELC TECH'!$H:$H,'ELC TECH'!O:O)</f>
        <v>3705.1846771282071</v>
      </c>
      <c r="AC107" s="15">
        <f>_xlfn.XLOOKUP($B107,'ELC TECH'!$H:$H,'ELC TECH'!P:P)</f>
        <v>3512.6710305372608</v>
      </c>
      <c r="AD107" s="15">
        <f>_xlfn.XLOOKUP($B107,'ELC TECH'!$H:$H,'ELC TECH'!Q:Q)</f>
        <v>3372.9542800127319</v>
      </c>
      <c r="AE107" s="15">
        <f>_xlfn.XLOOKUP($B107,'ELC TECH'!$H:$H,'ELC TECH'!R:R)</f>
        <v>3263.2221004748908</v>
      </c>
      <c r="AF107" s="15">
        <f>_xlfn.XLOOKUP($B107,'ELC TECH'!$H:$H,'ELC TECH'!S:S)</f>
        <v>3172.8512822694711</v>
      </c>
      <c r="AG107" s="15">
        <f>_xlfn.XLOOKUP($B107,'ELC TECH'!$H:$H,'ELC TECH'!T:T)</f>
        <v>3172.8512822694711</v>
      </c>
      <c r="AH107" s="15">
        <f>_xlfn.XLOOKUP($B107,'ELC TECH'!$H:$H,'ELC TECH'!U:U)</f>
        <v>100.0330098879363</v>
      </c>
      <c r="AI107" s="15">
        <f>_xlfn.XLOOKUP($B107,'ELC TECH'!$H:$H,'ELC TECH'!V:V)</f>
        <v>89.598617638707836</v>
      </c>
      <c r="AJ107" s="15">
        <f>_xlfn.XLOOKUP($B107,'ELC TECH'!$H:$H,'ELC TECH'!W:W)</f>
        <v>82.289954872684632</v>
      </c>
      <c r="AK107" s="15">
        <f>_xlfn.XLOOKUP($B107,'ELC TECH'!$H:$H,'ELC TECH'!X:X)</f>
        <v>77.391161271479575</v>
      </c>
      <c r="AL107" s="15">
        <f>_xlfn.XLOOKUP($B107,'ELC TECH'!$H:$H,'ELC TECH'!Y:Y)</f>
        <v>73.701174573207297</v>
      </c>
      <c r="AM107" s="15">
        <f>_xlfn.XLOOKUP($B107,'ELC TECH'!$H:$H,'ELC TECH'!Z:Z)</f>
        <v>70.739967448385144</v>
      </c>
      <c r="AN107" s="15">
        <f>_xlfn.XLOOKUP($B107,'ELC TECH'!$H:$H,'ELC TECH'!AA:AA)</f>
        <v>68.266607485305855</v>
      </c>
      <c r="AO107" s="15">
        <f>_xlfn.XLOOKUP($B107,'ELC TECH'!$H:$H,'ELC TECH'!AB:AB)</f>
        <v>68.266607485305855</v>
      </c>
      <c r="AP107" s="15">
        <f>_xlfn.XLOOKUP($B107,'ELC TECH'!$H:$H,'ELC TECH'!AC:AC)</f>
        <v>0</v>
      </c>
      <c r="AQ107" s="15">
        <f>_xlfn.XLOOKUP($B107,'ELC TECH'!$H:$H,'ELC TECH'!AD:AD)</f>
        <v>0</v>
      </c>
      <c r="AR107" s="15">
        <f>_xlfn.XLOOKUP($B107,'ELC TECH'!$H:$H,'ELC TECH'!AE:AE)</f>
        <v>0</v>
      </c>
      <c r="AS107" s="15">
        <f>_xlfn.XLOOKUP($B107,'ELC TECH'!$H:$H,'ELC TECH'!AF:AF)</f>
        <v>0</v>
      </c>
      <c r="AT107" s="15">
        <f>_xlfn.XLOOKUP($B107,'ELC TECH'!$H:$H,'ELC TECH'!AG:AG)</f>
        <v>0</v>
      </c>
      <c r="AU107" s="15">
        <f>_xlfn.XLOOKUP($B107,'ELC TECH'!$H:$H,'ELC TECH'!AH:AH)</f>
        <v>0</v>
      </c>
      <c r="AV107" s="15">
        <f>_xlfn.XLOOKUP($B107,'ELC TECH'!$H:$H,'ELC TECH'!AI:AI)</f>
        <v>0</v>
      </c>
      <c r="AW107" s="15">
        <f>_xlfn.XLOOKUP($B107,'ELC TECH'!$H:$H,'ELC TECH'!AJ:AJ)</f>
        <v>0</v>
      </c>
      <c r="AX107" s="12">
        <f>IF(_xlfn.XLOOKUP($B107,'ELC TECH'!$H:$H,'ELC TECH'!$E:$E)="Storage","",_xlfn.XLOOKUP($B107,'ELC TECH'!$H:$H,'ELC TECH'!AS:AS))</f>
        <v>0.30700891729030999</v>
      </c>
      <c r="AY107" s="12">
        <f>IF(_xlfn.XLOOKUP($B107,'ELC TECH'!$H:$H,'ELC TECH'!$E:$E)="Storage","",_xlfn.XLOOKUP($B107,'ELC TECH'!$H:$H,'ELC TECH'!AT:AT))</f>
        <v>0.322081009258878</v>
      </c>
      <c r="AZ107" s="12">
        <f>IF(_xlfn.XLOOKUP($B107,'ELC TECH'!$H:$H,'ELC TECH'!$E:$E)="Storage","",_xlfn.XLOOKUP($B107,'ELC TECH'!$H:$H,'ELC TECH'!AU:AU))</f>
        <v>0.33923282449144498</v>
      </c>
      <c r="BA107" s="12">
        <f>IF(_xlfn.XLOOKUP($B107,'ELC TECH'!$H:$H,'ELC TECH'!$E:$E)="Storage","",_xlfn.XLOOKUP($B107,'ELC TECH'!$H:$H,'ELC TECH'!AV:AV))</f>
        <v>0.345675126459635</v>
      </c>
      <c r="BB107" s="12">
        <f>IF(_xlfn.XLOOKUP($B107,'ELC TECH'!$H:$H,'ELC TECH'!$E:$E)="Storage","",_xlfn.XLOOKUP($B107,'ELC TECH'!$H:$H,'ELC TECH'!AW:AW))</f>
        <v>0.35176153170769597</v>
      </c>
      <c r="BC107" s="12">
        <f>IF(_xlfn.XLOOKUP($B107,'ELC TECH'!$H:$H,'ELC TECH'!$E:$E)="Storage","",_xlfn.XLOOKUP($B107,'ELC TECH'!$H:$H,'ELC TECH'!AX:AX))</f>
        <v>0.35763336979928201</v>
      </c>
      <c r="BD107" s="12">
        <f>IF(_xlfn.XLOOKUP($B107,'ELC TECH'!$H:$H,'ELC TECH'!$E:$E)="Storage","",_xlfn.XLOOKUP($B107,'ELC TECH'!$H:$H,'ELC TECH'!AY:AY))</f>
        <v>0.36336157601354502</v>
      </c>
      <c r="BE107" s="12">
        <f>IF(_xlfn.XLOOKUP($B107,'ELC TECH'!$H:$H,'ELC TECH'!$E:$E)="Storage","",_xlfn.XLOOKUP($B107,'ELC TECH'!$H:$H,'ELC TECH'!AZ:AZ))</f>
        <v>0.36336157601354502</v>
      </c>
      <c r="BF107" s="12" t="str">
        <f>IF(_xlfn.XLOOKUP($B107,'ELC TECH'!$H:$H,'ELC TECH'!$E:$E)="Storage",_xlfn.XLOOKUP($B107,'ELC TECH'!$H:$H,'ELC TECH'!AS:AS),"")</f>
        <v/>
      </c>
      <c r="BG107" s="12" t="str">
        <f>IF(_xlfn.XLOOKUP($B107,'ELC TECH'!$H:$H,'ELC TECH'!$E:$E)="Storage",_xlfn.XLOOKUP($B107,'ELC TECH'!$H:$H,'ELC TECH'!AT:AT),"")</f>
        <v/>
      </c>
      <c r="BH107" s="12" t="str">
        <f>IF(_xlfn.XLOOKUP($B107,'ELC TECH'!$H:$H,'ELC TECH'!$E:$E)="Storage",_xlfn.XLOOKUP($B107,'ELC TECH'!$H:$H,'ELC TECH'!AU:AU),"")</f>
        <v/>
      </c>
      <c r="BI107" s="12" t="str">
        <f>IF(_xlfn.XLOOKUP($B107,'ELC TECH'!$H:$H,'ELC TECH'!$E:$E)="Storage",_xlfn.XLOOKUP($B107,'ELC TECH'!$H:$H,'ELC TECH'!AV:AV),"")</f>
        <v/>
      </c>
      <c r="BJ107" s="12" t="str">
        <f>IF(_xlfn.XLOOKUP($B107,'ELC TECH'!$H:$H,'ELC TECH'!$E:$E)="Storage",_xlfn.XLOOKUP($B107,'ELC TECH'!$H:$H,'ELC TECH'!AW:AW),"")</f>
        <v/>
      </c>
      <c r="BK107" s="12" t="str">
        <f>IF(_xlfn.XLOOKUP($B107,'ELC TECH'!$H:$H,'ELC TECH'!$E:$E)="Storage",_xlfn.XLOOKUP($B107,'ELC TECH'!$H:$H,'ELC TECH'!AX:AX),"")</f>
        <v/>
      </c>
      <c r="BL107" s="12" t="str">
        <f>IF(_xlfn.XLOOKUP($B107,'ELC TECH'!$H:$H,'ELC TECH'!$E:$E)="Storage",_xlfn.XLOOKUP($B107,'ELC TECH'!$H:$H,'ELC TECH'!AY:AY),"")</f>
        <v/>
      </c>
      <c r="BM107" s="12" t="str">
        <f>IF(_xlfn.XLOOKUP($B107,'ELC TECH'!$H:$H,'ELC TECH'!$E:$E)="Storage",_xlfn.XLOOKUP($B107,'ELC TECH'!$H:$H,'ELC TECH'!AZ:AZ),"")</f>
        <v/>
      </c>
      <c r="BN107" s="8">
        <f>IF(_xlfn.XLOOKUP($B107,'ELC TECH'!$H:$H,'ELC TECH'!$E:$E)="Non Dispatchable",IFERROR($AX107*_xlfn.XLOOKUP($C107,$BM$1:$BM$3,BN$1:BN$3)/SUMPRODUCT(_xlfn.XLOOKUP($C107,$BM$1:$BM$3,$BN$1:$BY$3),$BN$4:$BY$4),""),
"")</f>
        <v>0.53910811977607276</v>
      </c>
      <c r="BO107" s="8">
        <f>IF(_xlfn.XLOOKUP($B107,'ELC TECH'!$H:$H,'ELC TECH'!$E:$E)="Non Dispatchable",IFERROR($AX107*_xlfn.XLOOKUP($C107,$BM$1:$BM$3,BO$1:BO$3)/SUMPRODUCT(_xlfn.XLOOKUP($C107,$BM$1:$BM$3,$BN$1:$BY$3),$BN$4:$BY$4),""),
"")</f>
        <v>0.53910811977607276</v>
      </c>
      <c r="BP107" s="8">
        <f>IF(_xlfn.XLOOKUP($B107,'ELC TECH'!$H:$H,'ELC TECH'!$E:$E)="Non Dispatchable",IFERROR($AX107*_xlfn.XLOOKUP($C107,$BM$1:$BM$3,BP$1:BP$3)/SUMPRODUCT(_xlfn.XLOOKUP($C107,$BM$1:$BM$3,$BN$1:$BY$3),$BN$4:$BY$4),""),
"")</f>
        <v>5.3910811977607276E-2</v>
      </c>
      <c r="BQ107" s="8">
        <f>IF(_xlfn.XLOOKUP($B107,'ELC TECH'!$H:$H,'ELC TECH'!$E:$E)="Non Dispatchable",IFERROR($AX107*_xlfn.XLOOKUP($C107,$BM$1:$BM$3,BQ$1:BQ$3)/SUMPRODUCT(_xlfn.XLOOKUP($C107,$BM$1:$BM$3,$BN$1:$BY$3),$BN$4:$BY$4),""),
"")</f>
        <v>0.43196461924196033</v>
      </c>
      <c r="BR107" s="8">
        <f>IF(_xlfn.XLOOKUP($B107,'ELC TECH'!$H:$H,'ELC TECH'!$E:$E)="Non Dispatchable",IFERROR($AX107*_xlfn.XLOOKUP($C107,$BM$1:$BM$3,BR$1:BR$3)/SUMPRODUCT(_xlfn.XLOOKUP($C107,$BM$1:$BM$3,$BN$1:$BY$3),$BN$4:$BY$4),""),
"")</f>
        <v>0.62732581210306659</v>
      </c>
      <c r="BS107" s="8">
        <f>IF(_xlfn.XLOOKUP($B107,'ELC TECH'!$H:$H,'ELC TECH'!$E:$E)="Non Dispatchable",IFERROR($AX107*_xlfn.XLOOKUP($C107,$BM$1:$BM$3,BS$1:BS$3)/SUMPRODUCT(_xlfn.XLOOKUP($C107,$BM$1:$BM$3,$BN$1:$BY$3),$BN$4:$BY$4),""),
"")</f>
        <v>0.62732581210306659</v>
      </c>
      <c r="BT107" s="8">
        <f>IF(_xlfn.XLOOKUP($B107,'ELC TECH'!$H:$H,'ELC TECH'!$E:$E)="Non Dispatchable",IFERROR($AX107*_xlfn.XLOOKUP($C107,$BM$1:$BM$3,BT$1:BT$3)/SUMPRODUCT(_xlfn.XLOOKUP($C107,$BM$1:$BM$3,$BN$1:$BY$3),$BN$4:$BY$4),""),
"")</f>
        <v>6.2732581210306657E-2</v>
      </c>
      <c r="BU107" s="8">
        <f>IF(_xlfn.XLOOKUP($B107,'ELC TECH'!$H:$H,'ELC TECH'!$E:$E)="Non Dispatchable",IFERROR($AX107*_xlfn.XLOOKUP($C107,$BM$1:$BM$3,BU$1:BU$3)/SUMPRODUCT(_xlfn.XLOOKUP($C107,$BM$1:$BM$3,$BN$1:$BY$3),$BN$4:$BY$4),""),
"")</f>
        <v>0.5558525519432832</v>
      </c>
      <c r="BV107" s="8">
        <f>IF(_xlfn.XLOOKUP($B107,'ELC TECH'!$H:$H,'ELC TECH'!$E:$E)="Non Dispatchable",IFERROR($AX107*_xlfn.XLOOKUP($C107,$BM$1:$BM$3,BV$1:BV$3)/SUMPRODUCT(_xlfn.XLOOKUP($C107,$BM$1:$BM$3,$BN$1:$BY$3),$BN$4:$BY$4),""),
"")</f>
        <v>0.32487328204793248</v>
      </c>
      <c r="BW107" s="8">
        <f>IF(_xlfn.XLOOKUP($B107,'ELC TECH'!$H:$H,'ELC TECH'!$E:$E)="Non Dispatchable",IFERROR($AX107*_xlfn.XLOOKUP($C107,$BM$1:$BM$3,BW$1:BW$3)/SUMPRODUCT(_xlfn.XLOOKUP($C107,$BM$1:$BM$3,$BN$1:$BY$3),$BN$4:$BY$4),""),
"")</f>
        <v>0.32487328204793248</v>
      </c>
      <c r="BX107" s="8">
        <f>IF(_xlfn.XLOOKUP($B107,'ELC TECH'!$H:$H,'ELC TECH'!$E:$E)="Non Dispatchable",IFERROR($AX107*_xlfn.XLOOKUP($C107,$BM$1:$BM$3,BX$1:BX$3)/SUMPRODUCT(_xlfn.XLOOKUP($C107,$BM$1:$BM$3,$BN$1:$BY$3),$BN$4:$BY$4),""),
"")</f>
        <v>3.2487328204793248E-2</v>
      </c>
      <c r="BY107" s="8">
        <f>IF(_xlfn.XLOOKUP($B107,'ELC TECH'!$H:$H,'ELC TECH'!$E:$E)="Non Dispatchable",IFERROR($AX107*_xlfn.XLOOKUP($C107,$BM$1:$BM$3,BY$1:BY$3)/SUMPRODUCT(_xlfn.XLOOKUP($C107,$BM$1:$BM$3,$BN$1:$BY$3),$BN$4:$BY$4),""),
"")</f>
        <v>0.23746649255316551</v>
      </c>
      <c r="BZ107" s="8">
        <f>IF(_xlfn.XLOOKUP($B107,'ELC TECH'!$H:$H,'ELC TECH'!$E:$E)="Non Dispatchable",IFERROR($AX107*_xlfn.XLOOKUP($C107,$BM$1:$BM$3,BZ$1:BZ$3)/SUMPRODUCT(_xlfn.XLOOKUP($C107,$BM$1:$BM$3,$BN$1:$BY$3),$BN$4:$BY$4),""),
"")</f>
        <v>0.53910811977607276</v>
      </c>
      <c r="CA107" s="8">
        <f>IF(_xlfn.XLOOKUP($B107,'ELC TECH'!$H:$H,'ELC TECH'!$E:$E)="Non Dispatchable",IFERROR($AX107*_xlfn.XLOOKUP($C107,$BM$1:$BM$3,CA$1:CA$3)/SUMPRODUCT(_xlfn.XLOOKUP($C107,$BM$1:$BM$3,$BN$1:$BY$3),$BN$4:$BY$4),""),
"")</f>
        <v>0.53910811977607276</v>
      </c>
      <c r="CB107" s="8">
        <f>IF(_xlfn.XLOOKUP($B107,'ELC TECH'!$H:$H,'ELC TECH'!$E:$E)="Non Dispatchable",IFERROR($AX107*_xlfn.XLOOKUP($C107,$BM$1:$BM$3,CB$1:CB$3)/SUMPRODUCT(_xlfn.XLOOKUP($C107,$BM$1:$BM$3,$BN$1:$BY$3),$BN$4:$BY$4),""),
"")</f>
        <v>5.3910811977607276E-2</v>
      </c>
      <c r="CC107" s="8">
        <f>IF(_xlfn.XLOOKUP($B107,'ELC TECH'!$H:$H,'ELC TECH'!$E:$E)="Non Dispatchable",IFERROR($AX107*_xlfn.XLOOKUP($C107,$BM$1:$BM$3,CC$1:CC$3)/SUMPRODUCT(_xlfn.XLOOKUP($C107,$BM$1:$BM$3,$BN$1:$BY$3),$BN$4:$BY$4),""),
"")</f>
        <v>0.43196461924196033</v>
      </c>
      <c r="CD107" s="8">
        <f>IF(_xlfn.XLOOKUP($B107,'ELC TECH'!$H:$H,'ELC TECH'!$E:$E)="Non Dispatchable",IFERROR($AX107*_xlfn.XLOOKUP($C107,$BM$1:$BM$3,CD$1:CD$3)/SUMPRODUCT(_xlfn.XLOOKUP($C107,$BM$1:$BM$3,$BN$1:$BY$3),$BN$4:$BY$4),""),
"")</f>
        <v>0.62732581210306659</v>
      </c>
      <c r="CE107" s="8">
        <f>IF(_xlfn.XLOOKUP($B107,'ELC TECH'!$H:$H,'ELC TECH'!$E:$E)="Non Dispatchable",IFERROR($AX107*_xlfn.XLOOKUP($C107,$BM$1:$BM$3,CE$1:CE$3)/SUMPRODUCT(_xlfn.XLOOKUP($C107,$BM$1:$BM$3,$BN$1:$BY$3),$BN$4:$BY$4),""),
"")</f>
        <v>0.62732581210306659</v>
      </c>
      <c r="CF107" s="8">
        <f>IF(_xlfn.XLOOKUP($B107,'ELC TECH'!$H:$H,'ELC TECH'!$E:$E)="Non Dispatchable",IFERROR($AX107*_xlfn.XLOOKUP($C107,$BM$1:$BM$3,CF$1:CF$3)/SUMPRODUCT(_xlfn.XLOOKUP($C107,$BM$1:$BM$3,$BN$1:$BY$3),$BN$4:$BY$4),""),
"")</f>
        <v>6.2732581210306657E-2</v>
      </c>
      <c r="CG107" s="8">
        <f>IF(_xlfn.XLOOKUP($B107,'ELC TECH'!$H:$H,'ELC TECH'!$E:$E)="Non Dispatchable",IFERROR($AX107*_xlfn.XLOOKUP($C107,$BM$1:$BM$3,CG$1:CG$3)/SUMPRODUCT(_xlfn.XLOOKUP($C107,$BM$1:$BM$3,$BN$1:$BY$3),$BN$4:$BY$4),""),
"")</f>
        <v>0.5558525519432832</v>
      </c>
      <c r="CH107" s="8">
        <f>IF(_xlfn.XLOOKUP($B107,'ELC TECH'!$H:$H,'ELC TECH'!$E:$E)="Non Dispatchable",IFERROR($AX107*_xlfn.XLOOKUP($C107,$BM$1:$BM$3,CH$1:CH$3)/SUMPRODUCT(_xlfn.XLOOKUP($C107,$BM$1:$BM$3,$BN$1:$BY$3),$BN$4:$BY$4),""),
"")</f>
        <v>0.32487328204793248</v>
      </c>
      <c r="CI107" s="8">
        <f>IF(_xlfn.XLOOKUP($B107,'ELC TECH'!$H:$H,'ELC TECH'!$E:$E)="Non Dispatchable",IFERROR($AX107*_xlfn.XLOOKUP($C107,$BM$1:$BM$3,CI$1:CI$3)/SUMPRODUCT(_xlfn.XLOOKUP($C107,$BM$1:$BM$3,$BN$1:$BY$3),$BN$4:$BY$4),""),
"")</f>
        <v>0.32487328204793248</v>
      </c>
      <c r="CJ107" s="8">
        <f>IF(_xlfn.XLOOKUP($B107,'ELC TECH'!$H:$H,'ELC TECH'!$E:$E)="Non Dispatchable",IFERROR($AX107*_xlfn.XLOOKUP($C107,$BM$1:$BM$3,CJ$1:CJ$3)/SUMPRODUCT(_xlfn.XLOOKUP($C107,$BM$1:$BM$3,$BN$1:$BY$3),$BN$4:$BY$4),""),
"")</f>
        <v>3.2487328204793248E-2</v>
      </c>
      <c r="CK107" s="8">
        <f>IF(_xlfn.XLOOKUP($B107,'ELC TECH'!$H:$H,'ELC TECH'!$E:$E)="Non Dispatchable",IFERROR($AX107*_xlfn.XLOOKUP($C107,$BM$1:$BM$3,CK$1:CK$3)/SUMPRODUCT(_xlfn.XLOOKUP($C107,$BM$1:$BM$3,$BN$1:$BY$3),$BN$4:$BY$4),""),
"")</f>
        <v>0.23746649255316551</v>
      </c>
      <c r="CL107" s="8" t="str">
        <f>IF(_xlfn.XLOOKUP($B107,'ELC TECH'!$H:$H,'ELC TECH'!$E:$E)="Storage",CL$4*$BF107,"")</f>
        <v/>
      </c>
      <c r="CM107" s="8" t="str">
        <f>IF(_xlfn.XLOOKUP($B107,'ELC TECH'!$H:$H,'ELC TECH'!$E:$E)="Storage",CM$4*$BF107,"")</f>
        <v/>
      </c>
      <c r="CN107" s="8" t="str">
        <f>IF(_xlfn.XLOOKUP($B107,'ELC TECH'!$H:$H,'ELC TECH'!$E:$E)="Storage",CN$4*$BF107,"")</f>
        <v/>
      </c>
      <c r="CO107" s="8" t="str">
        <f>IF(_xlfn.XLOOKUP($B107,'ELC TECH'!$H:$H,'ELC TECH'!$E:$E)="Storage",CO$4*$BF107,"")</f>
        <v/>
      </c>
      <c r="CP107" s="8" t="str">
        <f>IF(_xlfn.XLOOKUP($B107,'ELC TECH'!$H:$H,'ELC TECH'!$E:$E)="Storage",CP$4*$BF107,"")</f>
        <v/>
      </c>
      <c r="CQ107" s="8" t="str">
        <f>IF(_xlfn.XLOOKUP($B107,'ELC TECH'!$H:$H,'ELC TECH'!$E:$E)="Storage",CQ$4*$BF107,"")</f>
        <v/>
      </c>
      <c r="CR107" s="8" t="str">
        <f>IF(_xlfn.XLOOKUP($B107,'ELC TECH'!$H:$H,'ELC TECH'!$E:$E)="Storage",CR$4*$BF107,"")</f>
        <v/>
      </c>
      <c r="CS107" s="8" t="str">
        <f>IF(_xlfn.XLOOKUP($B107,'ELC TECH'!$H:$H,'ELC TECH'!$E:$E)="Storage",CS$4*$BF107,"")</f>
        <v/>
      </c>
      <c r="CT107" s="8" t="str">
        <f>IF(_xlfn.XLOOKUP($B107,'ELC TECH'!$H:$H,'ELC TECH'!$E:$E)="Storage",CT$4*$BF107,"")</f>
        <v/>
      </c>
      <c r="CU107" s="8" t="str">
        <f>IF(_xlfn.XLOOKUP($B107,'ELC TECH'!$H:$H,'ELC TECH'!$E:$E)="Storage",CU$4*$BF107,"")</f>
        <v/>
      </c>
      <c r="CV107" s="8" t="str">
        <f>IF(_xlfn.XLOOKUP($B107,'ELC TECH'!$H:$H,'ELC TECH'!$E:$E)="Storage",CV$4*$BF107,"")</f>
        <v/>
      </c>
      <c r="CW107" s="8" t="str">
        <f>IF(_xlfn.XLOOKUP($B107,'ELC TECH'!$H:$H,'ELC TECH'!$E:$E)="Storage",CW$4*$BF107,"")</f>
        <v/>
      </c>
      <c r="CX107" s="8" t="str">
        <f>IF(_xlfn.XLOOKUP($B107,'ELC TECH'!$H:$H,'ELC TECH'!$E:$E)="Storage",CX$4*$BF107,"")</f>
        <v/>
      </c>
      <c r="CY107" s="8" t="str">
        <f>IF(_xlfn.XLOOKUP($B107,'ELC TECH'!$H:$H,'ELC TECH'!$E:$E)="Storage",CY$4*$BF107,"")</f>
        <v/>
      </c>
      <c r="CZ107" s="8" t="str">
        <f>IF(_xlfn.XLOOKUP($B107,'ELC TECH'!$H:$H,'ELC TECH'!$E:$E)="Storage",CZ$4*$BF107,"")</f>
        <v/>
      </c>
      <c r="DA107" s="8" t="str">
        <f>IF(_xlfn.XLOOKUP($B107,'ELC TECH'!$H:$H,'ELC TECH'!$E:$E)="Storage",DA$4*$BF107,"")</f>
        <v/>
      </c>
      <c r="DB107" s="8" t="str">
        <f>IF(_xlfn.XLOOKUP($B107,'ELC TECH'!$H:$H,'ELC TECH'!$E:$E)="Storage",DB$4*$BF107,"")</f>
        <v/>
      </c>
      <c r="DC107" s="8" t="str">
        <f>IF(_xlfn.XLOOKUP($B107,'ELC TECH'!$H:$H,'ELC TECH'!$E:$E)="Storage",DC$4*$BF107,"")</f>
        <v/>
      </c>
      <c r="DD107" s="8" t="str">
        <f>IF(_xlfn.XLOOKUP($B107,'ELC TECH'!$H:$H,'ELC TECH'!$E:$E)="Storage",DD$4*$BF107,"")</f>
        <v/>
      </c>
      <c r="DE107" s="8" t="str">
        <f>IF(_xlfn.XLOOKUP($B107,'ELC TECH'!$H:$H,'ELC TECH'!$E:$E)="Storage",DE$4*$BF107,"")</f>
        <v/>
      </c>
      <c r="DF107" s="8" t="str">
        <f>IF(_xlfn.XLOOKUP($B107,'ELC TECH'!$H:$H,'ELC TECH'!$E:$E)="Storage",DF$4*$BF107,"")</f>
        <v/>
      </c>
      <c r="DG107" s="8" t="str">
        <f>IF(_xlfn.XLOOKUP($B107,'ELC TECH'!$H:$H,'ELC TECH'!$E:$E)="Storage",DG$4*$BF107,"")</f>
        <v/>
      </c>
      <c r="DH107" s="8" t="str">
        <f>IF(_xlfn.XLOOKUP($B107,'ELC TECH'!$H:$H,'ELC TECH'!$E:$E)="Storage",DH$4*$BF107,"")</f>
        <v/>
      </c>
      <c r="DI107" s="8" t="str">
        <f>IF(_xlfn.XLOOKUP($B107,'ELC TECH'!$H:$H,'ELC TECH'!$E:$E)="Storage",DI$4*$BF107,"")</f>
        <v/>
      </c>
    </row>
    <row r="108" spans="2:113" x14ac:dyDescent="0.25">
      <c r="B108" t="str">
        <f>IF('ELC TECH'!I101=0,"*",'ELC TECH'!H101)</f>
        <v>ELCSOLGRDUPVC120</v>
      </c>
      <c r="C108" t="str">
        <f>IF(_xlfn.XLOOKUP(_xlfn.XLOOKUP(B108,'ELC TECH'!$H:$H,'ELC TECH'!$G:$G),List!C:C,List!B:B)="STG",D108,"ELC"&amp;_xlfn.XLOOKUP(_xlfn.XLOOKUP(B108,'ELC TECH'!H:H,'ELC TECH'!G:G),List!C:C,List!B:B))</f>
        <v>ELCSOL</v>
      </c>
      <c r="D108" t="s">
        <v>544</v>
      </c>
      <c r="E108">
        <f>_xlfn.XLOOKUP(B108,'ELC TECH'!H:H,'ELC TECH'!D:D)</f>
        <v>2020</v>
      </c>
      <c r="F108">
        <f>_xlfn.XLOOKUP(B108,'ELC TECH'!H:H,'ELC TECH'!K:K)</f>
        <v>30</v>
      </c>
      <c r="G108">
        <f t="shared" si="7"/>
        <v>31.535999999999998</v>
      </c>
      <c r="H108">
        <f>IF(_xlfn.XLOOKUP(B108,'ELC TECH'!$H:$H,'ELC TECH'!$E:$E)="Storage",0.3,IF(_xlfn.XLOOKUP(B108,'ELC TECH'!$H:$H,'ELC TECH'!$E:$E)="Baseload",0.9,IF(_xlfn.XLOOKUP(B108,'ELC TECH'!$H:$H,'ELC TECH'!$E:$E)="Non Dispatchable",0.05,IF(_xlfn.XLOOKUP(B108,'ELC TECH'!$H:$H,'ELC TECH'!$E:$E)="Dispatchable",0.9,1))))</f>
        <v>0.05</v>
      </c>
      <c r="I108" s="13">
        <f>IF(_xlfn.XLOOKUP(B108,'ELC TECH'!H:H,'ELC TECH'!J:J)="","",_xlfn.XLOOKUP(B108,'ELC TECH'!H:H,'ELC TECH'!J:J))</f>
        <v>0</v>
      </c>
      <c r="J108" s="12">
        <f>IF(_xlfn.XLOOKUP($B108,'ELC TECH'!$H:$H,'ELC TECH'!$E:$E)="Storage","",IF(_xlfn.XLOOKUP($B108,'ELC TECH'!$H:$H,'ELC TECH'!AK:AK)="",1,_xlfn.XLOOKUP($B108,'ELC TECH'!$H:$H,'ELC TECH'!AK:AK)))</f>
        <v>1</v>
      </c>
      <c r="K108" s="12">
        <f>IF(_xlfn.XLOOKUP($B108,'ELC TECH'!$H:$H,'ELC TECH'!$E:$E)="Storage","",IF(_xlfn.XLOOKUP($B108,'ELC TECH'!$H:$H,'ELC TECH'!AL:AL)="",1,_xlfn.XLOOKUP($B108,'ELC TECH'!$H:$H,'ELC TECH'!AL:AL)))</f>
        <v>1</v>
      </c>
      <c r="L108" s="12">
        <f>IF(_xlfn.XLOOKUP($B108,'ELC TECH'!$H:$H,'ELC TECH'!$E:$E)="Storage","",IF(_xlfn.XLOOKUP($B108,'ELC TECH'!$H:$H,'ELC TECH'!AM:AM)="",1,_xlfn.XLOOKUP($B108,'ELC TECH'!$H:$H,'ELC TECH'!AM:AM)))</f>
        <v>1</v>
      </c>
      <c r="M108" s="12">
        <f>IF(_xlfn.XLOOKUP($B108,'ELC TECH'!$H:$H,'ELC TECH'!$E:$E)="Storage","",IF(_xlfn.XLOOKUP($B108,'ELC TECH'!$H:$H,'ELC TECH'!AN:AN)="",1,_xlfn.XLOOKUP($B108,'ELC TECH'!$H:$H,'ELC TECH'!AN:AN)))</f>
        <v>1</v>
      </c>
      <c r="N108" s="12">
        <f>IF(_xlfn.XLOOKUP($B108,'ELC TECH'!$H:$H,'ELC TECH'!$E:$E)="Storage","",IF(_xlfn.XLOOKUP($B108,'ELC TECH'!$H:$H,'ELC TECH'!AO:AO)="",1,_xlfn.XLOOKUP($B108,'ELC TECH'!$H:$H,'ELC TECH'!AO:AO)))</f>
        <v>1</v>
      </c>
      <c r="O108" s="12">
        <f>IF(_xlfn.XLOOKUP($B108,'ELC TECH'!$H:$H,'ELC TECH'!$E:$E)="Storage","",IF(_xlfn.XLOOKUP($B108,'ELC TECH'!$H:$H,'ELC TECH'!AP:AP)="",1,_xlfn.XLOOKUP($B108,'ELC TECH'!$H:$H,'ELC TECH'!AP:AP)))</f>
        <v>1</v>
      </c>
      <c r="P108" s="12">
        <f>IF(_xlfn.XLOOKUP($B108,'ELC TECH'!$H:$H,'ELC TECH'!$E:$E)="Storage","",IF(_xlfn.XLOOKUP($B108,'ELC TECH'!$H:$H,'ELC TECH'!AQ:AQ)="",1,_xlfn.XLOOKUP($B108,'ELC TECH'!$H:$H,'ELC TECH'!AQ:AQ)))</f>
        <v>1</v>
      </c>
      <c r="Q108" s="12">
        <f>IF(_xlfn.XLOOKUP($B108,'ELC TECH'!$H:$H,'ELC TECH'!$E:$E)="Storage","",IF(_xlfn.XLOOKUP($B108,'ELC TECH'!$H:$H,'ELC TECH'!AR:AR)="",1,_xlfn.XLOOKUP($B108,'ELC TECH'!$H:$H,'ELC TECH'!AR:AR)))</f>
        <v>1</v>
      </c>
      <c r="R108" s="12" t="str">
        <f>IF(_xlfn.XLOOKUP($B108,'ELC TECH'!$H:$H,'ELC TECH'!$E:$E)&lt;&gt;"Storage","",IF(_xlfn.XLOOKUP($B108,'ELC TECH'!$H:$H,'ELC TECH'!AK:AK)="",0.8,_xlfn.XLOOKUP($B108,'ELC TECH'!$H:$H,'ELC TECH'!AK:AK)))</f>
        <v/>
      </c>
      <c r="S108" s="12" t="str">
        <f>IF(_xlfn.XLOOKUP($B108,'ELC TECH'!$H:$H,'ELC TECH'!$E:$E)&lt;&gt;"Storage","",IF(_xlfn.XLOOKUP($B108,'ELC TECH'!$H:$H,'ELC TECH'!AL:AL)="",0.8,_xlfn.XLOOKUP($B108,'ELC TECH'!$H:$H,'ELC TECH'!AL:AL)))</f>
        <v/>
      </c>
      <c r="T108" s="12" t="str">
        <f>IF(_xlfn.XLOOKUP($B108,'ELC TECH'!$H:$H,'ELC TECH'!$E:$E)&lt;&gt;"Storage","",IF(_xlfn.XLOOKUP($B108,'ELC TECH'!$H:$H,'ELC TECH'!AM:AM)="",0.8,_xlfn.XLOOKUP($B108,'ELC TECH'!$H:$H,'ELC TECH'!AM:AM)))</f>
        <v/>
      </c>
      <c r="U108" s="12" t="str">
        <f>IF(_xlfn.XLOOKUP($B108,'ELC TECH'!$H:$H,'ELC TECH'!$E:$E)&lt;&gt;"Storage","",IF(_xlfn.XLOOKUP($B108,'ELC TECH'!$H:$H,'ELC TECH'!AN:AN)="",0.8,_xlfn.XLOOKUP($B108,'ELC TECH'!$H:$H,'ELC TECH'!AN:AN)))</f>
        <v/>
      </c>
      <c r="V108" s="12" t="str">
        <f>IF(_xlfn.XLOOKUP($B108,'ELC TECH'!$H:$H,'ELC TECH'!$E:$E)&lt;&gt;"Storage","",IF(_xlfn.XLOOKUP($B108,'ELC TECH'!$H:$H,'ELC TECH'!AO:AO)="",0.8,_xlfn.XLOOKUP($B108,'ELC TECH'!$H:$H,'ELC TECH'!AO:AO)))</f>
        <v/>
      </c>
      <c r="W108" s="12" t="str">
        <f>IF(_xlfn.XLOOKUP($B108,'ELC TECH'!$H:$H,'ELC TECH'!$E:$E)&lt;&gt;"Storage","",IF(_xlfn.XLOOKUP($B108,'ELC TECH'!$H:$H,'ELC TECH'!AP:AP)="",0.8,_xlfn.XLOOKUP($B108,'ELC TECH'!$H:$H,'ELC TECH'!AP:AP)))</f>
        <v/>
      </c>
      <c r="X108" s="12" t="str">
        <f>IF(_xlfn.XLOOKUP($B108,'ELC TECH'!$H:$H,'ELC TECH'!$E:$E)&lt;&gt;"Storage","",IF(_xlfn.XLOOKUP($B108,'ELC TECH'!$H:$H,'ELC TECH'!AQ:AQ)="",0.8,_xlfn.XLOOKUP($B108,'ELC TECH'!$H:$H,'ELC TECH'!AQ:AQ)))</f>
        <v/>
      </c>
      <c r="Y108" s="12" t="str">
        <f>IF(_xlfn.XLOOKUP($B108,'ELC TECH'!$H:$H,'ELC TECH'!$E:$E)&lt;&gt;"Storage","",IF(_xlfn.XLOOKUP($B108,'ELC TECH'!$H:$H,'ELC TECH'!AR:AR)="",0.8,_xlfn.XLOOKUP($B108,'ELC TECH'!$H:$H,'ELC TECH'!AR:AR)))</f>
        <v/>
      </c>
      <c r="Z108" s="15">
        <f>_xlfn.XLOOKUP($B108,'ELC TECH'!$H:$H,'ELC TECH'!M:M)</f>
        <v>1408.7255732468459</v>
      </c>
      <c r="AA108" s="15">
        <f>_xlfn.XLOOKUP($B108,'ELC TECH'!$H:$H,'ELC TECH'!N:N)</f>
        <v>1361.639988003599</v>
      </c>
      <c r="AB108" s="15">
        <f>_xlfn.XLOOKUP($B108,'ELC TECH'!$H:$H,'ELC TECH'!O:O)</f>
        <v>1133.299589912358</v>
      </c>
      <c r="AC108" s="15">
        <f>_xlfn.XLOOKUP($B108,'ELC TECH'!$H:$H,'ELC TECH'!P:P)</f>
        <v>904.95919182111663</v>
      </c>
      <c r="AD108" s="15">
        <f>_xlfn.XLOOKUP($B108,'ELC TECH'!$H:$H,'ELC TECH'!Q:Q)</f>
        <v>833.38868486743809</v>
      </c>
      <c r="AE108" s="15">
        <f>_xlfn.XLOOKUP($B108,'ELC TECH'!$H:$H,'ELC TECH'!R:R)</f>
        <v>761.81817791375954</v>
      </c>
      <c r="AF108" s="15">
        <f>_xlfn.XLOOKUP($B108,'ELC TECH'!$H:$H,'ELC TECH'!S:S)</f>
        <v>690.24767096007986</v>
      </c>
      <c r="AG108" s="15">
        <f>_xlfn.XLOOKUP($B108,'ELC TECH'!$H:$H,'ELC TECH'!T:T)</f>
        <v>690.24767096007986</v>
      </c>
      <c r="AH108" s="15">
        <f>_xlfn.XLOOKUP($B108,'ELC TECH'!$H:$H,'ELC TECH'!U:U)</f>
        <v>25.474928501147339</v>
      </c>
      <c r="AI108" s="15">
        <f>_xlfn.XLOOKUP($B108,'ELC TECH'!$H:$H,'ELC TECH'!V:V)</f>
        <v>23.161525476034619</v>
      </c>
      <c r="AJ108" s="15">
        <f>_xlfn.XLOOKUP($B108,'ELC TECH'!$H:$H,'ELC TECH'!W:W)</f>
        <v>20.33362233495237</v>
      </c>
      <c r="AK108" s="15">
        <f>_xlfn.XLOOKUP($B108,'ELC TECH'!$H:$H,'ELC TECH'!X:X)</f>
        <v>17.547705083846161</v>
      </c>
      <c r="AL108" s="15">
        <f>_xlfn.XLOOKUP($B108,'ELC TECH'!$H:$H,'ELC TECH'!Y:Y)</f>
        <v>16.785562476399669</v>
      </c>
      <c r="AM108" s="15">
        <f>_xlfn.XLOOKUP($B108,'ELC TECH'!$H:$H,'ELC TECH'!Z:Z)</f>
        <v>16.023491074974441</v>
      </c>
      <c r="AN108" s="15">
        <f>_xlfn.XLOOKUP($B108,'ELC TECH'!$H:$H,'ELC TECH'!AA:AA)</f>
        <v>15.26149145474046</v>
      </c>
      <c r="AO108" s="15">
        <f>_xlfn.XLOOKUP($B108,'ELC TECH'!$H:$H,'ELC TECH'!AB:AB)</f>
        <v>15.26149145474046</v>
      </c>
      <c r="AP108" s="15">
        <f>_xlfn.XLOOKUP($B108,'ELC TECH'!$H:$H,'ELC TECH'!AC:AC)</f>
        <v>0</v>
      </c>
      <c r="AQ108" s="15">
        <f>_xlfn.XLOOKUP($B108,'ELC TECH'!$H:$H,'ELC TECH'!AD:AD)</f>
        <v>0</v>
      </c>
      <c r="AR108" s="15">
        <f>_xlfn.XLOOKUP($B108,'ELC TECH'!$H:$H,'ELC TECH'!AE:AE)</f>
        <v>0</v>
      </c>
      <c r="AS108" s="15">
        <f>_xlfn.XLOOKUP($B108,'ELC TECH'!$H:$H,'ELC TECH'!AF:AF)</f>
        <v>0</v>
      </c>
      <c r="AT108" s="15">
        <f>_xlfn.XLOOKUP($B108,'ELC TECH'!$H:$H,'ELC TECH'!AG:AG)</f>
        <v>0</v>
      </c>
      <c r="AU108" s="15">
        <f>_xlfn.XLOOKUP($B108,'ELC TECH'!$H:$H,'ELC TECH'!AH:AH)</f>
        <v>0</v>
      </c>
      <c r="AV108" s="15">
        <f>_xlfn.XLOOKUP($B108,'ELC TECH'!$H:$H,'ELC TECH'!AI:AI)</f>
        <v>0</v>
      </c>
      <c r="AW108" s="15">
        <f>_xlfn.XLOOKUP($B108,'ELC TECH'!$H:$H,'ELC TECH'!AJ:AJ)</f>
        <v>0</v>
      </c>
      <c r="AX108" s="12">
        <f>IF(_xlfn.XLOOKUP($B108,'ELC TECH'!$H:$H,'ELC TECH'!$E:$E)="Storage","",_xlfn.XLOOKUP($B108,'ELC TECH'!$H:$H,'ELC TECH'!AS:AS))</f>
        <v>0.19687382126665801</v>
      </c>
      <c r="AY108" s="12">
        <f>IF(_xlfn.XLOOKUP($B108,'ELC TECH'!$H:$H,'ELC TECH'!$E:$E)="Storage","",_xlfn.XLOOKUP($B108,'ELC TECH'!$H:$H,'ELC TECH'!AT:AT))</f>
        <v>0.202379328144388</v>
      </c>
      <c r="AZ108" s="12">
        <f>IF(_xlfn.XLOOKUP($B108,'ELC TECH'!$H:$H,'ELC TECH'!$E:$E)="Storage","",_xlfn.XLOOKUP($B108,'ELC TECH'!$H:$H,'ELC TECH'!AU:AU))</f>
        <v>0.20926121174154999</v>
      </c>
      <c r="BA108" s="12">
        <f>IF(_xlfn.XLOOKUP($B108,'ELC TECH'!$H:$H,'ELC TECH'!$E:$E)="Storage","",_xlfn.XLOOKUP($B108,'ELC TECH'!$H:$H,'ELC TECH'!AV:AV))</f>
        <v>0.21614309533871201</v>
      </c>
      <c r="BB108" s="12">
        <f>IF(_xlfn.XLOOKUP($B108,'ELC TECH'!$H:$H,'ELC TECH'!$E:$E)="Storage","",_xlfn.XLOOKUP($B108,'ELC TECH'!$H:$H,'ELC TECH'!AW:AW))</f>
        <v>0.22074375476576899</v>
      </c>
      <c r="BC108" s="12">
        <f>IF(_xlfn.XLOOKUP($B108,'ELC TECH'!$H:$H,'ELC TECH'!$E:$E)="Storage","",_xlfn.XLOOKUP($B108,'ELC TECH'!$H:$H,'ELC TECH'!AX:AX))</f>
        <v>0.225344414192826</v>
      </c>
      <c r="BD108" s="12">
        <f>IF(_xlfn.XLOOKUP($B108,'ELC TECH'!$H:$H,'ELC TECH'!$E:$E)="Storage","",_xlfn.XLOOKUP($B108,'ELC TECH'!$H:$H,'ELC TECH'!AY:AY))</f>
        <v>0.22994507361988201</v>
      </c>
      <c r="BE108" s="12">
        <f>IF(_xlfn.XLOOKUP($B108,'ELC TECH'!$H:$H,'ELC TECH'!$E:$E)="Storage","",_xlfn.XLOOKUP($B108,'ELC TECH'!$H:$H,'ELC TECH'!AZ:AZ))</f>
        <v>0.22994507361988201</v>
      </c>
      <c r="BF108" s="12" t="str">
        <f>IF(_xlfn.XLOOKUP($B108,'ELC TECH'!$H:$H,'ELC TECH'!$E:$E)="Storage",_xlfn.XLOOKUP($B108,'ELC TECH'!$H:$H,'ELC TECH'!AS:AS),"")</f>
        <v/>
      </c>
      <c r="BG108" s="12" t="str">
        <f>IF(_xlfn.XLOOKUP($B108,'ELC TECH'!$H:$H,'ELC TECH'!$E:$E)="Storage",_xlfn.XLOOKUP($B108,'ELC TECH'!$H:$H,'ELC TECH'!AT:AT),"")</f>
        <v/>
      </c>
      <c r="BH108" s="12" t="str">
        <f>IF(_xlfn.XLOOKUP($B108,'ELC TECH'!$H:$H,'ELC TECH'!$E:$E)="Storage",_xlfn.XLOOKUP($B108,'ELC TECH'!$H:$H,'ELC TECH'!AU:AU),"")</f>
        <v/>
      </c>
      <c r="BI108" s="12" t="str">
        <f>IF(_xlfn.XLOOKUP($B108,'ELC TECH'!$H:$H,'ELC TECH'!$E:$E)="Storage",_xlfn.XLOOKUP($B108,'ELC TECH'!$H:$H,'ELC TECH'!AV:AV),"")</f>
        <v/>
      </c>
      <c r="BJ108" s="12" t="str">
        <f>IF(_xlfn.XLOOKUP($B108,'ELC TECH'!$H:$H,'ELC TECH'!$E:$E)="Storage",_xlfn.XLOOKUP($B108,'ELC TECH'!$H:$H,'ELC TECH'!AW:AW),"")</f>
        <v/>
      </c>
      <c r="BK108" s="12" t="str">
        <f>IF(_xlfn.XLOOKUP($B108,'ELC TECH'!$H:$H,'ELC TECH'!$E:$E)="Storage",_xlfn.XLOOKUP($B108,'ELC TECH'!$H:$H,'ELC TECH'!AX:AX),"")</f>
        <v/>
      </c>
      <c r="BL108" s="12" t="str">
        <f>IF(_xlfn.XLOOKUP($B108,'ELC TECH'!$H:$H,'ELC TECH'!$E:$E)="Storage",_xlfn.XLOOKUP($B108,'ELC TECH'!$H:$H,'ELC TECH'!AY:AY),"")</f>
        <v/>
      </c>
      <c r="BM108" s="12" t="str">
        <f>IF(_xlfn.XLOOKUP($B108,'ELC TECH'!$H:$H,'ELC TECH'!$E:$E)="Storage",_xlfn.XLOOKUP($B108,'ELC TECH'!$H:$H,'ELC TECH'!AZ:AZ),"")</f>
        <v/>
      </c>
      <c r="BN108" s="8">
        <f>IF(_xlfn.XLOOKUP($B108,'ELC TECH'!$H:$H,'ELC TECH'!$E:$E)="Non Dispatchable",IFERROR($AX108*_xlfn.XLOOKUP($C108,$BM$1:$BM$3,BN$1:BN$3)/SUMPRODUCT(_xlfn.XLOOKUP($C108,$BM$1:$BM$3,$BN$1:$BY$3),$BN$4:$BY$4),""),
"")</f>
        <v>0.30812768420052794</v>
      </c>
      <c r="BO108" s="8">
        <f>IF(_xlfn.XLOOKUP($B108,'ELC TECH'!$H:$H,'ELC TECH'!$E:$E)="Non Dispatchable",IFERROR($AX108*_xlfn.XLOOKUP($C108,$BM$1:$BM$3,BO$1:BO$3)/SUMPRODUCT(_xlfn.XLOOKUP($C108,$BM$1:$BM$3,$BN$1:$BY$3),$BN$4:$BY$4),""),
"")</f>
        <v>0.30812768420052794</v>
      </c>
      <c r="BP108" s="8">
        <f>IF(_xlfn.XLOOKUP($B108,'ELC TECH'!$H:$H,'ELC TECH'!$E:$E)="Non Dispatchable",IFERROR($AX108*_xlfn.XLOOKUP($C108,$BM$1:$BM$3,BP$1:BP$3)/SUMPRODUCT(_xlfn.XLOOKUP($C108,$BM$1:$BM$3,$BN$1:$BY$3),$BN$4:$BY$4),""),
"")</f>
        <v>3.0812768420052792E-2</v>
      </c>
      <c r="BQ108" s="8">
        <f>IF(_xlfn.XLOOKUP($B108,'ELC TECH'!$H:$H,'ELC TECH'!$E:$E)="Non Dispatchable",IFERROR($AX108*_xlfn.XLOOKUP($C108,$BM$1:$BM$3,BQ$1:BQ$3)/SUMPRODUCT(_xlfn.XLOOKUP($C108,$BM$1:$BM$3,$BN$1:$BY$3),$BN$4:$BY$4),""),
"")</f>
        <v>0</v>
      </c>
      <c r="BR108" s="8">
        <f>IF(_xlfn.XLOOKUP($B108,'ELC TECH'!$H:$H,'ELC TECH'!$E:$E)="Non Dispatchable",IFERROR($AX108*_xlfn.XLOOKUP($C108,$BM$1:$BM$3,BR$1:BR$3)/SUMPRODUCT(_xlfn.XLOOKUP($C108,$BM$1:$BM$3,$BN$1:$BY$3),$BN$4:$BY$4),""),
"")</f>
        <v>0.35488007328873761</v>
      </c>
      <c r="BS108" s="8">
        <f>IF(_xlfn.XLOOKUP($B108,'ELC TECH'!$H:$H,'ELC TECH'!$E:$E)="Non Dispatchable",IFERROR($AX108*_xlfn.XLOOKUP($C108,$BM$1:$BM$3,BS$1:BS$3)/SUMPRODUCT(_xlfn.XLOOKUP($C108,$BM$1:$BM$3,$BN$1:$BY$3),$BN$4:$BY$4),""),
"")</f>
        <v>0.35488007328873761</v>
      </c>
      <c r="BT108" s="8">
        <f>IF(_xlfn.XLOOKUP($B108,'ELC TECH'!$H:$H,'ELC TECH'!$E:$E)="Non Dispatchable",IFERROR($AX108*_xlfn.XLOOKUP($C108,$BM$1:$BM$3,BT$1:BT$3)/SUMPRODUCT(_xlfn.XLOOKUP($C108,$BM$1:$BM$3,$BN$1:$BY$3),$BN$4:$BY$4),""),
"")</f>
        <v>3.5488007328873764E-2</v>
      </c>
      <c r="BU108" s="8">
        <f>IF(_xlfn.XLOOKUP($B108,'ELC TECH'!$H:$H,'ELC TECH'!$E:$E)="Non Dispatchable",IFERROR($AX108*_xlfn.XLOOKUP($C108,$BM$1:$BM$3,BU$1:BU$3)/SUMPRODUCT(_xlfn.XLOOKUP($C108,$BM$1:$BM$3,$BN$1:$BY$3),$BN$4:$BY$4),""),
"")</f>
        <v>0</v>
      </c>
      <c r="BV108" s="8">
        <f>IF(_xlfn.XLOOKUP($B108,'ELC TECH'!$H:$H,'ELC TECH'!$E:$E)="Non Dispatchable",IFERROR($AX108*_xlfn.XLOOKUP($C108,$BM$1:$BM$3,BV$1:BV$3)/SUMPRODUCT(_xlfn.XLOOKUP($C108,$BM$1:$BM$3,$BN$1:$BY$3),$BN$4:$BY$4),""),
"")</f>
        <v>0.29688797318061833</v>
      </c>
      <c r="BW108" s="8">
        <f>IF(_xlfn.XLOOKUP($B108,'ELC TECH'!$H:$H,'ELC TECH'!$E:$E)="Non Dispatchable",IFERROR($AX108*_xlfn.XLOOKUP($C108,$BM$1:$BM$3,BW$1:BW$3)/SUMPRODUCT(_xlfn.XLOOKUP($C108,$BM$1:$BM$3,$BN$1:$BY$3),$BN$4:$BY$4),""),
"")</f>
        <v>0.29688797318061833</v>
      </c>
      <c r="BX108" s="8">
        <f>IF(_xlfn.XLOOKUP($B108,'ELC TECH'!$H:$H,'ELC TECH'!$E:$E)="Non Dispatchable",IFERROR($AX108*_xlfn.XLOOKUP($C108,$BM$1:$BM$3,BX$1:BX$3)/SUMPRODUCT(_xlfn.XLOOKUP($C108,$BM$1:$BM$3,$BN$1:$BY$3),$BN$4:$BY$4),""),
"")</f>
        <v>2.968879731806183E-2</v>
      </c>
      <c r="BY108" s="8">
        <f>IF(_xlfn.XLOOKUP($B108,'ELC TECH'!$H:$H,'ELC TECH'!$E:$E)="Non Dispatchable",IFERROR($AX108*_xlfn.XLOOKUP($C108,$BM$1:$BM$3,BY$1:BY$3)/SUMPRODUCT(_xlfn.XLOOKUP($C108,$BM$1:$BM$3,$BN$1:$BY$3),$BN$4:$BY$4),""),
"")</f>
        <v>0</v>
      </c>
      <c r="BZ108" s="8">
        <f>IF(_xlfn.XLOOKUP($B108,'ELC TECH'!$H:$H,'ELC TECH'!$E:$E)="Non Dispatchable",IFERROR($AX108*_xlfn.XLOOKUP($C108,$BM$1:$BM$3,BZ$1:BZ$3)/SUMPRODUCT(_xlfn.XLOOKUP($C108,$BM$1:$BM$3,$BN$1:$BY$3),$BN$4:$BY$4),""),
"")</f>
        <v>0.30812768420052794</v>
      </c>
      <c r="CA108" s="8">
        <f>IF(_xlfn.XLOOKUP($B108,'ELC TECH'!$H:$H,'ELC TECH'!$E:$E)="Non Dispatchable",IFERROR($AX108*_xlfn.XLOOKUP($C108,$BM$1:$BM$3,CA$1:CA$3)/SUMPRODUCT(_xlfn.XLOOKUP($C108,$BM$1:$BM$3,$BN$1:$BY$3),$BN$4:$BY$4),""),
"")</f>
        <v>0.30812768420052794</v>
      </c>
      <c r="CB108" s="8">
        <f>IF(_xlfn.XLOOKUP($B108,'ELC TECH'!$H:$H,'ELC TECH'!$E:$E)="Non Dispatchable",IFERROR($AX108*_xlfn.XLOOKUP($C108,$BM$1:$BM$3,CB$1:CB$3)/SUMPRODUCT(_xlfn.XLOOKUP($C108,$BM$1:$BM$3,$BN$1:$BY$3),$BN$4:$BY$4),""),
"")</f>
        <v>3.0812768420052792E-2</v>
      </c>
      <c r="CC108" s="8">
        <f>IF(_xlfn.XLOOKUP($B108,'ELC TECH'!$H:$H,'ELC TECH'!$E:$E)="Non Dispatchable",IFERROR($AX108*_xlfn.XLOOKUP($C108,$BM$1:$BM$3,CC$1:CC$3)/SUMPRODUCT(_xlfn.XLOOKUP($C108,$BM$1:$BM$3,$BN$1:$BY$3),$BN$4:$BY$4),""),
"")</f>
        <v>0</v>
      </c>
      <c r="CD108" s="8">
        <f>IF(_xlfn.XLOOKUP($B108,'ELC TECH'!$H:$H,'ELC TECH'!$E:$E)="Non Dispatchable",IFERROR($AX108*_xlfn.XLOOKUP($C108,$BM$1:$BM$3,CD$1:CD$3)/SUMPRODUCT(_xlfn.XLOOKUP($C108,$BM$1:$BM$3,$BN$1:$BY$3),$BN$4:$BY$4),""),
"")</f>
        <v>0.35488007328873761</v>
      </c>
      <c r="CE108" s="8">
        <f>IF(_xlfn.XLOOKUP($B108,'ELC TECH'!$H:$H,'ELC TECH'!$E:$E)="Non Dispatchable",IFERROR($AX108*_xlfn.XLOOKUP($C108,$BM$1:$BM$3,CE$1:CE$3)/SUMPRODUCT(_xlfn.XLOOKUP($C108,$BM$1:$BM$3,$BN$1:$BY$3),$BN$4:$BY$4),""),
"")</f>
        <v>0.35488007328873761</v>
      </c>
      <c r="CF108" s="8">
        <f>IF(_xlfn.XLOOKUP($B108,'ELC TECH'!$H:$H,'ELC TECH'!$E:$E)="Non Dispatchable",IFERROR($AX108*_xlfn.XLOOKUP($C108,$BM$1:$BM$3,CF$1:CF$3)/SUMPRODUCT(_xlfn.XLOOKUP($C108,$BM$1:$BM$3,$BN$1:$BY$3),$BN$4:$BY$4),""),
"")</f>
        <v>3.5488007328873764E-2</v>
      </c>
      <c r="CG108" s="8">
        <f>IF(_xlfn.XLOOKUP($B108,'ELC TECH'!$H:$H,'ELC TECH'!$E:$E)="Non Dispatchable",IFERROR($AX108*_xlfn.XLOOKUP($C108,$BM$1:$BM$3,CG$1:CG$3)/SUMPRODUCT(_xlfn.XLOOKUP($C108,$BM$1:$BM$3,$BN$1:$BY$3),$BN$4:$BY$4),""),
"")</f>
        <v>0</v>
      </c>
      <c r="CH108" s="8">
        <f>IF(_xlfn.XLOOKUP($B108,'ELC TECH'!$H:$H,'ELC TECH'!$E:$E)="Non Dispatchable",IFERROR($AX108*_xlfn.XLOOKUP($C108,$BM$1:$BM$3,CH$1:CH$3)/SUMPRODUCT(_xlfn.XLOOKUP($C108,$BM$1:$BM$3,$BN$1:$BY$3),$BN$4:$BY$4),""),
"")</f>
        <v>0.29688797318061833</v>
      </c>
      <c r="CI108" s="8">
        <f>IF(_xlfn.XLOOKUP($B108,'ELC TECH'!$H:$H,'ELC TECH'!$E:$E)="Non Dispatchable",IFERROR($AX108*_xlfn.XLOOKUP($C108,$BM$1:$BM$3,CI$1:CI$3)/SUMPRODUCT(_xlfn.XLOOKUP($C108,$BM$1:$BM$3,$BN$1:$BY$3),$BN$4:$BY$4),""),
"")</f>
        <v>0.29688797318061833</v>
      </c>
      <c r="CJ108" s="8">
        <f>IF(_xlfn.XLOOKUP($B108,'ELC TECH'!$H:$H,'ELC TECH'!$E:$E)="Non Dispatchable",IFERROR($AX108*_xlfn.XLOOKUP($C108,$BM$1:$BM$3,CJ$1:CJ$3)/SUMPRODUCT(_xlfn.XLOOKUP($C108,$BM$1:$BM$3,$BN$1:$BY$3),$BN$4:$BY$4),""),
"")</f>
        <v>2.968879731806183E-2</v>
      </c>
      <c r="CK108" s="8">
        <f>IF(_xlfn.XLOOKUP($B108,'ELC TECH'!$H:$H,'ELC TECH'!$E:$E)="Non Dispatchable",IFERROR($AX108*_xlfn.XLOOKUP($C108,$BM$1:$BM$3,CK$1:CK$3)/SUMPRODUCT(_xlfn.XLOOKUP($C108,$BM$1:$BM$3,$BN$1:$BY$3),$BN$4:$BY$4),""),
"")</f>
        <v>0</v>
      </c>
      <c r="CL108" s="8" t="str">
        <f>IF(_xlfn.XLOOKUP($B108,'ELC TECH'!$H:$H,'ELC TECH'!$E:$E)="Storage",CL$4*$BF108,"")</f>
        <v/>
      </c>
      <c r="CM108" s="8" t="str">
        <f>IF(_xlfn.XLOOKUP($B108,'ELC TECH'!$H:$H,'ELC TECH'!$E:$E)="Storage",CM$4*$BF108,"")</f>
        <v/>
      </c>
      <c r="CN108" s="8" t="str">
        <f>IF(_xlfn.XLOOKUP($B108,'ELC TECH'!$H:$H,'ELC TECH'!$E:$E)="Storage",CN$4*$BF108,"")</f>
        <v/>
      </c>
      <c r="CO108" s="8" t="str">
        <f>IF(_xlfn.XLOOKUP($B108,'ELC TECH'!$H:$H,'ELC TECH'!$E:$E)="Storage",CO$4*$BF108,"")</f>
        <v/>
      </c>
      <c r="CP108" s="8" t="str">
        <f>IF(_xlfn.XLOOKUP($B108,'ELC TECH'!$H:$H,'ELC TECH'!$E:$E)="Storage",CP$4*$BF108,"")</f>
        <v/>
      </c>
      <c r="CQ108" s="8" t="str">
        <f>IF(_xlfn.XLOOKUP($B108,'ELC TECH'!$H:$H,'ELC TECH'!$E:$E)="Storage",CQ$4*$BF108,"")</f>
        <v/>
      </c>
      <c r="CR108" s="8" t="str">
        <f>IF(_xlfn.XLOOKUP($B108,'ELC TECH'!$H:$H,'ELC TECH'!$E:$E)="Storage",CR$4*$BF108,"")</f>
        <v/>
      </c>
      <c r="CS108" s="8" t="str">
        <f>IF(_xlfn.XLOOKUP($B108,'ELC TECH'!$H:$H,'ELC TECH'!$E:$E)="Storage",CS$4*$BF108,"")</f>
        <v/>
      </c>
      <c r="CT108" s="8" t="str">
        <f>IF(_xlfn.XLOOKUP($B108,'ELC TECH'!$H:$H,'ELC TECH'!$E:$E)="Storage",CT$4*$BF108,"")</f>
        <v/>
      </c>
      <c r="CU108" s="8" t="str">
        <f>IF(_xlfn.XLOOKUP($B108,'ELC TECH'!$H:$H,'ELC TECH'!$E:$E)="Storage",CU$4*$BF108,"")</f>
        <v/>
      </c>
      <c r="CV108" s="8" t="str">
        <f>IF(_xlfn.XLOOKUP($B108,'ELC TECH'!$H:$H,'ELC TECH'!$E:$E)="Storage",CV$4*$BF108,"")</f>
        <v/>
      </c>
      <c r="CW108" s="8" t="str">
        <f>IF(_xlfn.XLOOKUP($B108,'ELC TECH'!$H:$H,'ELC TECH'!$E:$E)="Storage",CW$4*$BF108,"")</f>
        <v/>
      </c>
      <c r="CX108" s="8" t="str">
        <f>IF(_xlfn.XLOOKUP($B108,'ELC TECH'!$H:$H,'ELC TECH'!$E:$E)="Storage",CX$4*$BF108,"")</f>
        <v/>
      </c>
      <c r="CY108" s="8" t="str">
        <f>IF(_xlfn.XLOOKUP($B108,'ELC TECH'!$H:$H,'ELC TECH'!$E:$E)="Storage",CY$4*$BF108,"")</f>
        <v/>
      </c>
      <c r="CZ108" s="8" t="str">
        <f>IF(_xlfn.XLOOKUP($B108,'ELC TECH'!$H:$H,'ELC TECH'!$E:$E)="Storage",CZ$4*$BF108,"")</f>
        <v/>
      </c>
      <c r="DA108" s="8" t="str">
        <f>IF(_xlfn.XLOOKUP($B108,'ELC TECH'!$H:$H,'ELC TECH'!$E:$E)="Storage",DA$4*$BF108,"")</f>
        <v/>
      </c>
      <c r="DB108" s="8" t="str">
        <f>IF(_xlfn.XLOOKUP($B108,'ELC TECH'!$H:$H,'ELC TECH'!$E:$E)="Storage",DB$4*$BF108,"")</f>
        <v/>
      </c>
      <c r="DC108" s="8" t="str">
        <f>IF(_xlfn.XLOOKUP($B108,'ELC TECH'!$H:$H,'ELC TECH'!$E:$E)="Storage",DC$4*$BF108,"")</f>
        <v/>
      </c>
      <c r="DD108" s="8" t="str">
        <f>IF(_xlfn.XLOOKUP($B108,'ELC TECH'!$H:$H,'ELC TECH'!$E:$E)="Storage",DD$4*$BF108,"")</f>
        <v/>
      </c>
      <c r="DE108" s="8" t="str">
        <f>IF(_xlfn.XLOOKUP($B108,'ELC TECH'!$H:$H,'ELC TECH'!$E:$E)="Storage",DE$4*$BF108,"")</f>
        <v/>
      </c>
      <c r="DF108" s="8" t="str">
        <f>IF(_xlfn.XLOOKUP($B108,'ELC TECH'!$H:$H,'ELC TECH'!$E:$E)="Storage",DF$4*$BF108,"")</f>
        <v/>
      </c>
      <c r="DG108" s="8" t="str">
        <f>IF(_xlfn.XLOOKUP($B108,'ELC TECH'!$H:$H,'ELC TECH'!$E:$E)="Storage",DG$4*$BF108,"")</f>
        <v/>
      </c>
      <c r="DH108" s="8" t="str">
        <f>IF(_xlfn.XLOOKUP($B108,'ELC TECH'!$H:$H,'ELC TECH'!$E:$E)="Storage",DH$4*$BF108,"")</f>
        <v/>
      </c>
      <c r="DI108" s="8" t="str">
        <f>IF(_xlfn.XLOOKUP($B108,'ELC TECH'!$H:$H,'ELC TECH'!$E:$E)="Storage",DI$4*$BF108,"")</f>
        <v/>
      </c>
    </row>
    <row r="109" spans="2:113" x14ac:dyDescent="0.25">
      <c r="B109" t="str">
        <f>IF('ELC TECH'!I102=0,"*",'ELC TECH'!H102)</f>
        <v>ELCSOLGRDUPVC220</v>
      </c>
      <c r="C109" t="str">
        <f>IF(_xlfn.XLOOKUP(_xlfn.XLOOKUP(B109,'ELC TECH'!$H:$H,'ELC TECH'!$G:$G),List!C:C,List!B:B)="STG",D109,"ELC"&amp;_xlfn.XLOOKUP(_xlfn.XLOOKUP(B109,'ELC TECH'!H:H,'ELC TECH'!G:G),List!C:C,List!B:B))</f>
        <v>ELCSOL</v>
      </c>
      <c r="D109" t="s">
        <v>544</v>
      </c>
      <c r="E109">
        <f>_xlfn.XLOOKUP(B109,'ELC TECH'!H:H,'ELC TECH'!D:D)</f>
        <v>2020</v>
      </c>
      <c r="F109">
        <f>_xlfn.XLOOKUP(B109,'ELC TECH'!H:H,'ELC TECH'!K:K)</f>
        <v>30</v>
      </c>
      <c r="G109">
        <f t="shared" si="7"/>
        <v>31.535999999999998</v>
      </c>
      <c r="H109">
        <f>IF(_xlfn.XLOOKUP(B109,'ELC TECH'!$H:$H,'ELC TECH'!$E:$E)="Storage",0.3,IF(_xlfn.XLOOKUP(B109,'ELC TECH'!$H:$H,'ELC TECH'!$E:$E)="Baseload",0.9,IF(_xlfn.XLOOKUP(B109,'ELC TECH'!$H:$H,'ELC TECH'!$E:$E)="Non Dispatchable",0.05,IF(_xlfn.XLOOKUP(B109,'ELC TECH'!$H:$H,'ELC TECH'!$E:$E)="Dispatchable",0.9,1))))</f>
        <v>0.05</v>
      </c>
      <c r="I109" s="13">
        <f>IF(_xlfn.XLOOKUP(B109,'ELC TECH'!H:H,'ELC TECH'!J:J)="","",_xlfn.XLOOKUP(B109,'ELC TECH'!H:H,'ELC TECH'!J:J))</f>
        <v>0</v>
      </c>
      <c r="J109" s="12">
        <f>IF(_xlfn.XLOOKUP($B109,'ELC TECH'!$H:$H,'ELC TECH'!$E:$E)="Storage","",IF(_xlfn.XLOOKUP($B109,'ELC TECH'!$H:$H,'ELC TECH'!AK:AK)="",1,_xlfn.XLOOKUP($B109,'ELC TECH'!$H:$H,'ELC TECH'!AK:AK)))</f>
        <v>1</v>
      </c>
      <c r="K109" s="12">
        <f>IF(_xlfn.XLOOKUP($B109,'ELC TECH'!$H:$H,'ELC TECH'!$E:$E)="Storage","",IF(_xlfn.XLOOKUP($B109,'ELC TECH'!$H:$H,'ELC TECH'!AL:AL)="",1,_xlfn.XLOOKUP($B109,'ELC TECH'!$H:$H,'ELC TECH'!AL:AL)))</f>
        <v>1</v>
      </c>
      <c r="L109" s="12">
        <f>IF(_xlfn.XLOOKUP($B109,'ELC TECH'!$H:$H,'ELC TECH'!$E:$E)="Storage","",IF(_xlfn.XLOOKUP($B109,'ELC TECH'!$H:$H,'ELC TECH'!AM:AM)="",1,_xlfn.XLOOKUP($B109,'ELC TECH'!$H:$H,'ELC TECH'!AM:AM)))</f>
        <v>1</v>
      </c>
      <c r="M109" s="12">
        <f>IF(_xlfn.XLOOKUP($B109,'ELC TECH'!$H:$H,'ELC TECH'!$E:$E)="Storage","",IF(_xlfn.XLOOKUP($B109,'ELC TECH'!$H:$H,'ELC TECH'!AN:AN)="",1,_xlfn.XLOOKUP($B109,'ELC TECH'!$H:$H,'ELC TECH'!AN:AN)))</f>
        <v>1</v>
      </c>
      <c r="N109" s="12">
        <f>IF(_xlfn.XLOOKUP($B109,'ELC TECH'!$H:$H,'ELC TECH'!$E:$E)="Storage","",IF(_xlfn.XLOOKUP($B109,'ELC TECH'!$H:$H,'ELC TECH'!AO:AO)="",1,_xlfn.XLOOKUP($B109,'ELC TECH'!$H:$H,'ELC TECH'!AO:AO)))</f>
        <v>1</v>
      </c>
      <c r="O109" s="12">
        <f>IF(_xlfn.XLOOKUP($B109,'ELC TECH'!$H:$H,'ELC TECH'!$E:$E)="Storage","",IF(_xlfn.XLOOKUP($B109,'ELC TECH'!$H:$H,'ELC TECH'!AP:AP)="",1,_xlfn.XLOOKUP($B109,'ELC TECH'!$H:$H,'ELC TECH'!AP:AP)))</f>
        <v>1</v>
      </c>
      <c r="P109" s="12">
        <f>IF(_xlfn.XLOOKUP($B109,'ELC TECH'!$H:$H,'ELC TECH'!$E:$E)="Storage","",IF(_xlfn.XLOOKUP($B109,'ELC TECH'!$H:$H,'ELC TECH'!AQ:AQ)="",1,_xlfn.XLOOKUP($B109,'ELC TECH'!$H:$H,'ELC TECH'!AQ:AQ)))</f>
        <v>1</v>
      </c>
      <c r="Q109" s="12">
        <f>IF(_xlfn.XLOOKUP($B109,'ELC TECH'!$H:$H,'ELC TECH'!$E:$E)="Storage","",IF(_xlfn.XLOOKUP($B109,'ELC TECH'!$H:$H,'ELC TECH'!AR:AR)="",1,_xlfn.XLOOKUP($B109,'ELC TECH'!$H:$H,'ELC TECH'!AR:AR)))</f>
        <v>1</v>
      </c>
      <c r="R109" s="12" t="str">
        <f>IF(_xlfn.XLOOKUP($B109,'ELC TECH'!$H:$H,'ELC TECH'!$E:$E)&lt;&gt;"Storage","",IF(_xlfn.XLOOKUP($B109,'ELC TECH'!$H:$H,'ELC TECH'!AK:AK)="",0.8,_xlfn.XLOOKUP($B109,'ELC TECH'!$H:$H,'ELC TECH'!AK:AK)))</f>
        <v/>
      </c>
      <c r="S109" s="12" t="str">
        <f>IF(_xlfn.XLOOKUP($B109,'ELC TECH'!$H:$H,'ELC TECH'!$E:$E)&lt;&gt;"Storage","",IF(_xlfn.XLOOKUP($B109,'ELC TECH'!$H:$H,'ELC TECH'!AL:AL)="",0.8,_xlfn.XLOOKUP($B109,'ELC TECH'!$H:$H,'ELC TECH'!AL:AL)))</f>
        <v/>
      </c>
      <c r="T109" s="12" t="str">
        <f>IF(_xlfn.XLOOKUP($B109,'ELC TECH'!$H:$H,'ELC TECH'!$E:$E)&lt;&gt;"Storage","",IF(_xlfn.XLOOKUP($B109,'ELC TECH'!$H:$H,'ELC TECH'!AM:AM)="",0.8,_xlfn.XLOOKUP($B109,'ELC TECH'!$H:$H,'ELC TECH'!AM:AM)))</f>
        <v/>
      </c>
      <c r="U109" s="12" t="str">
        <f>IF(_xlfn.XLOOKUP($B109,'ELC TECH'!$H:$H,'ELC TECH'!$E:$E)&lt;&gt;"Storage","",IF(_xlfn.XLOOKUP($B109,'ELC TECH'!$H:$H,'ELC TECH'!AN:AN)="",0.8,_xlfn.XLOOKUP($B109,'ELC TECH'!$H:$H,'ELC TECH'!AN:AN)))</f>
        <v/>
      </c>
      <c r="V109" s="12" t="str">
        <f>IF(_xlfn.XLOOKUP($B109,'ELC TECH'!$H:$H,'ELC TECH'!$E:$E)&lt;&gt;"Storage","",IF(_xlfn.XLOOKUP($B109,'ELC TECH'!$H:$H,'ELC TECH'!AO:AO)="",0.8,_xlfn.XLOOKUP($B109,'ELC TECH'!$H:$H,'ELC TECH'!AO:AO)))</f>
        <v/>
      </c>
      <c r="W109" s="12" t="str">
        <f>IF(_xlfn.XLOOKUP($B109,'ELC TECH'!$H:$H,'ELC TECH'!$E:$E)&lt;&gt;"Storage","",IF(_xlfn.XLOOKUP($B109,'ELC TECH'!$H:$H,'ELC TECH'!AP:AP)="",0.8,_xlfn.XLOOKUP($B109,'ELC TECH'!$H:$H,'ELC TECH'!AP:AP)))</f>
        <v/>
      </c>
      <c r="X109" s="12" t="str">
        <f>IF(_xlfn.XLOOKUP($B109,'ELC TECH'!$H:$H,'ELC TECH'!$E:$E)&lt;&gt;"Storage","",IF(_xlfn.XLOOKUP($B109,'ELC TECH'!$H:$H,'ELC TECH'!AQ:AQ)="",0.8,_xlfn.XLOOKUP($B109,'ELC TECH'!$H:$H,'ELC TECH'!AQ:AQ)))</f>
        <v/>
      </c>
      <c r="Y109" s="12" t="str">
        <f>IF(_xlfn.XLOOKUP($B109,'ELC TECH'!$H:$H,'ELC TECH'!$E:$E)&lt;&gt;"Storage","",IF(_xlfn.XLOOKUP($B109,'ELC TECH'!$H:$H,'ELC TECH'!AR:AR)="",0.8,_xlfn.XLOOKUP($B109,'ELC TECH'!$H:$H,'ELC TECH'!AR:AR)))</f>
        <v/>
      </c>
      <c r="Z109" s="15">
        <f>_xlfn.XLOOKUP($B109,'ELC TECH'!$H:$H,'ELC TECH'!M:M)</f>
        <v>1408.7255732468459</v>
      </c>
      <c r="AA109" s="15">
        <f>_xlfn.XLOOKUP($B109,'ELC TECH'!$H:$H,'ELC TECH'!N:N)</f>
        <v>1361.639988003599</v>
      </c>
      <c r="AB109" s="15">
        <f>_xlfn.XLOOKUP($B109,'ELC TECH'!$H:$H,'ELC TECH'!O:O)</f>
        <v>1133.299589912358</v>
      </c>
      <c r="AC109" s="15">
        <f>_xlfn.XLOOKUP($B109,'ELC TECH'!$H:$H,'ELC TECH'!P:P)</f>
        <v>904.95919182111663</v>
      </c>
      <c r="AD109" s="15">
        <f>_xlfn.XLOOKUP($B109,'ELC TECH'!$H:$H,'ELC TECH'!Q:Q)</f>
        <v>833.38868486743809</v>
      </c>
      <c r="AE109" s="15">
        <f>_xlfn.XLOOKUP($B109,'ELC TECH'!$H:$H,'ELC TECH'!R:R)</f>
        <v>761.81817791375954</v>
      </c>
      <c r="AF109" s="15">
        <f>_xlfn.XLOOKUP($B109,'ELC TECH'!$H:$H,'ELC TECH'!S:S)</f>
        <v>690.24767096007986</v>
      </c>
      <c r="AG109" s="15">
        <f>_xlfn.XLOOKUP($B109,'ELC TECH'!$H:$H,'ELC TECH'!T:T)</f>
        <v>690.24767096007986</v>
      </c>
      <c r="AH109" s="15">
        <f>_xlfn.XLOOKUP($B109,'ELC TECH'!$H:$H,'ELC TECH'!U:U)</f>
        <v>25.474928501147339</v>
      </c>
      <c r="AI109" s="15">
        <f>_xlfn.XLOOKUP($B109,'ELC TECH'!$H:$H,'ELC TECH'!V:V)</f>
        <v>23.161525476034619</v>
      </c>
      <c r="AJ109" s="15">
        <f>_xlfn.XLOOKUP($B109,'ELC TECH'!$H:$H,'ELC TECH'!W:W)</f>
        <v>20.33362233495237</v>
      </c>
      <c r="AK109" s="15">
        <f>_xlfn.XLOOKUP($B109,'ELC TECH'!$H:$H,'ELC TECH'!X:X)</f>
        <v>17.547705083846161</v>
      </c>
      <c r="AL109" s="15">
        <f>_xlfn.XLOOKUP($B109,'ELC TECH'!$H:$H,'ELC TECH'!Y:Y)</f>
        <v>16.785562476399669</v>
      </c>
      <c r="AM109" s="15">
        <f>_xlfn.XLOOKUP($B109,'ELC TECH'!$H:$H,'ELC TECH'!Z:Z)</f>
        <v>16.023491074974441</v>
      </c>
      <c r="AN109" s="15">
        <f>_xlfn.XLOOKUP($B109,'ELC TECH'!$H:$H,'ELC TECH'!AA:AA)</f>
        <v>15.26149145474046</v>
      </c>
      <c r="AO109" s="15">
        <f>_xlfn.XLOOKUP($B109,'ELC TECH'!$H:$H,'ELC TECH'!AB:AB)</f>
        <v>15.26149145474046</v>
      </c>
      <c r="AP109" s="15">
        <f>_xlfn.XLOOKUP($B109,'ELC TECH'!$H:$H,'ELC TECH'!AC:AC)</f>
        <v>0</v>
      </c>
      <c r="AQ109" s="15">
        <f>_xlfn.XLOOKUP($B109,'ELC TECH'!$H:$H,'ELC TECH'!AD:AD)</f>
        <v>0</v>
      </c>
      <c r="AR109" s="15">
        <f>_xlfn.XLOOKUP($B109,'ELC TECH'!$H:$H,'ELC TECH'!AE:AE)</f>
        <v>0</v>
      </c>
      <c r="AS109" s="15">
        <f>_xlfn.XLOOKUP($B109,'ELC TECH'!$H:$H,'ELC TECH'!AF:AF)</f>
        <v>0</v>
      </c>
      <c r="AT109" s="15">
        <f>_xlfn.XLOOKUP($B109,'ELC TECH'!$H:$H,'ELC TECH'!AG:AG)</f>
        <v>0</v>
      </c>
      <c r="AU109" s="15">
        <f>_xlfn.XLOOKUP($B109,'ELC TECH'!$H:$H,'ELC TECH'!AH:AH)</f>
        <v>0</v>
      </c>
      <c r="AV109" s="15">
        <f>_xlfn.XLOOKUP($B109,'ELC TECH'!$H:$H,'ELC TECH'!AI:AI)</f>
        <v>0</v>
      </c>
      <c r="AW109" s="15">
        <f>_xlfn.XLOOKUP($B109,'ELC TECH'!$H:$H,'ELC TECH'!AJ:AJ)</f>
        <v>0</v>
      </c>
      <c r="AX109" s="12">
        <f>IF(_xlfn.XLOOKUP($B109,'ELC TECH'!$H:$H,'ELC TECH'!$E:$E)="Storage","",_xlfn.XLOOKUP($B109,'ELC TECH'!$H:$H,'ELC TECH'!AS:AS))</f>
        <v>0.22558039910458599</v>
      </c>
      <c r="AY109" s="12">
        <f>IF(_xlfn.XLOOKUP($B109,'ELC TECH'!$H:$H,'ELC TECH'!$E:$E)="Storage","",_xlfn.XLOOKUP($B109,'ELC TECH'!$H:$H,'ELC TECH'!AT:AT))</f>
        <v>0.23163275150342599</v>
      </c>
      <c r="AZ109" s="12">
        <f>IF(_xlfn.XLOOKUP($B109,'ELC TECH'!$H:$H,'ELC TECH'!$E:$E)="Storage","",_xlfn.XLOOKUP($B109,'ELC TECH'!$H:$H,'ELC TECH'!AU:AU))</f>
        <v>0.23919819200197601</v>
      </c>
      <c r="BA109" s="12">
        <f>IF(_xlfn.XLOOKUP($B109,'ELC TECH'!$H:$H,'ELC TECH'!$E:$E)="Storage","",_xlfn.XLOOKUP($B109,'ELC TECH'!$H:$H,'ELC TECH'!AV:AV))</f>
        <v>0.24676363250052599</v>
      </c>
      <c r="BB109" s="12">
        <f>IF(_xlfn.XLOOKUP($B109,'ELC TECH'!$H:$H,'ELC TECH'!$E:$E)="Storage","",_xlfn.XLOOKUP($B109,'ELC TECH'!$H:$H,'ELC TECH'!AW:AW))</f>
        <v>0.25184406144515098</v>
      </c>
      <c r="BC109" s="12">
        <f>IF(_xlfn.XLOOKUP($B109,'ELC TECH'!$H:$H,'ELC TECH'!$E:$E)="Storage","",_xlfn.XLOOKUP($B109,'ELC TECH'!$H:$H,'ELC TECH'!AX:AX))</f>
        <v>0.256924490389775</v>
      </c>
      <c r="BD109" s="12">
        <f>IF(_xlfn.XLOOKUP($B109,'ELC TECH'!$H:$H,'ELC TECH'!$E:$E)="Storage","",_xlfn.XLOOKUP($B109,'ELC TECH'!$H:$H,'ELC TECH'!AY:AY))</f>
        <v>0.26200491933440001</v>
      </c>
      <c r="BE109" s="12">
        <f>IF(_xlfn.XLOOKUP($B109,'ELC TECH'!$H:$H,'ELC TECH'!$E:$E)="Storage","",_xlfn.XLOOKUP($B109,'ELC TECH'!$H:$H,'ELC TECH'!AZ:AZ))</f>
        <v>0.26200491933440001</v>
      </c>
      <c r="BF109" s="12" t="str">
        <f>IF(_xlfn.XLOOKUP($B109,'ELC TECH'!$H:$H,'ELC TECH'!$E:$E)="Storage",_xlfn.XLOOKUP($B109,'ELC TECH'!$H:$H,'ELC TECH'!AS:AS),"")</f>
        <v/>
      </c>
      <c r="BG109" s="12" t="str">
        <f>IF(_xlfn.XLOOKUP($B109,'ELC TECH'!$H:$H,'ELC TECH'!$E:$E)="Storage",_xlfn.XLOOKUP($B109,'ELC TECH'!$H:$H,'ELC TECH'!AT:AT),"")</f>
        <v/>
      </c>
      <c r="BH109" s="12" t="str">
        <f>IF(_xlfn.XLOOKUP($B109,'ELC TECH'!$H:$H,'ELC TECH'!$E:$E)="Storage",_xlfn.XLOOKUP($B109,'ELC TECH'!$H:$H,'ELC TECH'!AU:AU),"")</f>
        <v/>
      </c>
      <c r="BI109" s="12" t="str">
        <f>IF(_xlfn.XLOOKUP($B109,'ELC TECH'!$H:$H,'ELC TECH'!$E:$E)="Storage",_xlfn.XLOOKUP($B109,'ELC TECH'!$H:$H,'ELC TECH'!AV:AV),"")</f>
        <v/>
      </c>
      <c r="BJ109" s="12" t="str">
        <f>IF(_xlfn.XLOOKUP($B109,'ELC TECH'!$H:$H,'ELC TECH'!$E:$E)="Storage",_xlfn.XLOOKUP($B109,'ELC TECH'!$H:$H,'ELC TECH'!AW:AW),"")</f>
        <v/>
      </c>
      <c r="BK109" s="12" t="str">
        <f>IF(_xlfn.XLOOKUP($B109,'ELC TECH'!$H:$H,'ELC TECH'!$E:$E)="Storage",_xlfn.XLOOKUP($B109,'ELC TECH'!$H:$H,'ELC TECH'!AX:AX),"")</f>
        <v/>
      </c>
      <c r="BL109" s="12" t="str">
        <f>IF(_xlfn.XLOOKUP($B109,'ELC TECH'!$H:$H,'ELC TECH'!$E:$E)="Storage",_xlfn.XLOOKUP($B109,'ELC TECH'!$H:$H,'ELC TECH'!AY:AY),"")</f>
        <v/>
      </c>
      <c r="BM109" s="12" t="str">
        <f>IF(_xlfn.XLOOKUP($B109,'ELC TECH'!$H:$H,'ELC TECH'!$E:$E)="Storage",_xlfn.XLOOKUP($B109,'ELC TECH'!$H:$H,'ELC TECH'!AZ:AZ),"")</f>
        <v/>
      </c>
      <c r="BN109" s="8">
        <f>IF(_xlfn.XLOOKUP($B109,'ELC TECH'!$H:$H,'ELC TECH'!$E:$E)="Non Dispatchable",IFERROR($AX109*_xlfn.XLOOKUP($C109,$BM$1:$BM$3,BN$1:BN$3)/SUMPRODUCT(_xlfn.XLOOKUP($C109,$BM$1:$BM$3,$BN$1:$BY$3),$BN$4:$BY$4),""),
"")</f>
        <v>0.35305641720125708</v>
      </c>
      <c r="BO109" s="8">
        <f>IF(_xlfn.XLOOKUP($B109,'ELC TECH'!$H:$H,'ELC TECH'!$E:$E)="Non Dispatchable",IFERROR($AX109*_xlfn.XLOOKUP($C109,$BM$1:$BM$3,BO$1:BO$3)/SUMPRODUCT(_xlfn.XLOOKUP($C109,$BM$1:$BM$3,$BN$1:$BY$3),$BN$4:$BY$4),""),
"")</f>
        <v>0.35305641720125708</v>
      </c>
      <c r="BP109" s="8">
        <f>IF(_xlfn.XLOOKUP($B109,'ELC TECH'!$H:$H,'ELC TECH'!$E:$E)="Non Dispatchable",IFERROR($AX109*_xlfn.XLOOKUP($C109,$BM$1:$BM$3,BP$1:BP$3)/SUMPRODUCT(_xlfn.XLOOKUP($C109,$BM$1:$BM$3,$BN$1:$BY$3),$BN$4:$BY$4),""),
"")</f>
        <v>3.5305641720125708E-2</v>
      </c>
      <c r="BQ109" s="8">
        <f>IF(_xlfn.XLOOKUP($B109,'ELC TECH'!$H:$H,'ELC TECH'!$E:$E)="Non Dispatchable",IFERROR($AX109*_xlfn.XLOOKUP($C109,$BM$1:$BM$3,BQ$1:BQ$3)/SUMPRODUCT(_xlfn.XLOOKUP($C109,$BM$1:$BM$3,$BN$1:$BY$3),$BN$4:$BY$4),""),
"")</f>
        <v>0</v>
      </c>
      <c r="BR109" s="8">
        <f>IF(_xlfn.XLOOKUP($B109,'ELC TECH'!$H:$H,'ELC TECH'!$E:$E)="Non Dispatchable",IFERROR($AX109*_xlfn.XLOOKUP($C109,$BM$1:$BM$3,BR$1:BR$3)/SUMPRODUCT(_xlfn.XLOOKUP($C109,$BM$1:$BM$3,$BN$1:$BY$3),$BN$4:$BY$4),""),
"")</f>
        <v>0.40662586854708388</v>
      </c>
      <c r="BS109" s="8">
        <f>IF(_xlfn.XLOOKUP($B109,'ELC TECH'!$H:$H,'ELC TECH'!$E:$E)="Non Dispatchable",IFERROR($AX109*_xlfn.XLOOKUP($C109,$BM$1:$BM$3,BS$1:BS$3)/SUMPRODUCT(_xlfn.XLOOKUP($C109,$BM$1:$BM$3,$BN$1:$BY$3),$BN$4:$BY$4),""),
"")</f>
        <v>0.40662586854708388</v>
      </c>
      <c r="BT109" s="8">
        <f>IF(_xlfn.XLOOKUP($B109,'ELC TECH'!$H:$H,'ELC TECH'!$E:$E)="Non Dispatchable",IFERROR($AX109*_xlfn.XLOOKUP($C109,$BM$1:$BM$3,BT$1:BT$3)/SUMPRODUCT(_xlfn.XLOOKUP($C109,$BM$1:$BM$3,$BN$1:$BY$3),$BN$4:$BY$4),""),
"")</f>
        <v>4.0662586854708388E-2</v>
      </c>
      <c r="BU109" s="8">
        <f>IF(_xlfn.XLOOKUP($B109,'ELC TECH'!$H:$H,'ELC TECH'!$E:$E)="Non Dispatchable",IFERROR($AX109*_xlfn.XLOOKUP($C109,$BM$1:$BM$3,BU$1:BU$3)/SUMPRODUCT(_xlfn.XLOOKUP($C109,$BM$1:$BM$3,$BN$1:$BY$3),$BN$4:$BY$4),""),
"")</f>
        <v>0</v>
      </c>
      <c r="BV109" s="8">
        <f>IF(_xlfn.XLOOKUP($B109,'ELC TECH'!$H:$H,'ELC TECH'!$E:$E)="Non Dispatchable",IFERROR($AX109*_xlfn.XLOOKUP($C109,$BM$1:$BM$3,BV$1:BV$3)/SUMPRODUCT(_xlfn.XLOOKUP($C109,$BM$1:$BM$3,$BN$1:$BY$3),$BN$4:$BY$4),""),
"")</f>
        <v>0.34017782074095243</v>
      </c>
      <c r="BW109" s="8">
        <f>IF(_xlfn.XLOOKUP($B109,'ELC TECH'!$H:$H,'ELC TECH'!$E:$E)="Non Dispatchable",IFERROR($AX109*_xlfn.XLOOKUP($C109,$BM$1:$BM$3,BW$1:BW$3)/SUMPRODUCT(_xlfn.XLOOKUP($C109,$BM$1:$BM$3,$BN$1:$BY$3),$BN$4:$BY$4),""),
"")</f>
        <v>0.34017782074095243</v>
      </c>
      <c r="BX109" s="8">
        <f>IF(_xlfn.XLOOKUP($B109,'ELC TECH'!$H:$H,'ELC TECH'!$E:$E)="Non Dispatchable",IFERROR($AX109*_xlfn.XLOOKUP($C109,$BM$1:$BM$3,BX$1:BX$3)/SUMPRODUCT(_xlfn.XLOOKUP($C109,$BM$1:$BM$3,$BN$1:$BY$3),$BN$4:$BY$4),""),
"")</f>
        <v>3.4017782074095247E-2</v>
      </c>
      <c r="BY109" s="8">
        <f>IF(_xlfn.XLOOKUP($B109,'ELC TECH'!$H:$H,'ELC TECH'!$E:$E)="Non Dispatchable",IFERROR($AX109*_xlfn.XLOOKUP($C109,$BM$1:$BM$3,BY$1:BY$3)/SUMPRODUCT(_xlfn.XLOOKUP($C109,$BM$1:$BM$3,$BN$1:$BY$3),$BN$4:$BY$4),""),
"")</f>
        <v>0</v>
      </c>
      <c r="BZ109" s="8">
        <f>IF(_xlfn.XLOOKUP($B109,'ELC TECH'!$H:$H,'ELC TECH'!$E:$E)="Non Dispatchable",IFERROR($AX109*_xlfn.XLOOKUP($C109,$BM$1:$BM$3,BZ$1:BZ$3)/SUMPRODUCT(_xlfn.XLOOKUP($C109,$BM$1:$BM$3,$BN$1:$BY$3),$BN$4:$BY$4),""),
"")</f>
        <v>0.35305641720125708</v>
      </c>
      <c r="CA109" s="8">
        <f>IF(_xlfn.XLOOKUP($B109,'ELC TECH'!$H:$H,'ELC TECH'!$E:$E)="Non Dispatchable",IFERROR($AX109*_xlfn.XLOOKUP($C109,$BM$1:$BM$3,CA$1:CA$3)/SUMPRODUCT(_xlfn.XLOOKUP($C109,$BM$1:$BM$3,$BN$1:$BY$3),$BN$4:$BY$4),""),
"")</f>
        <v>0.35305641720125708</v>
      </c>
      <c r="CB109" s="8">
        <f>IF(_xlfn.XLOOKUP($B109,'ELC TECH'!$H:$H,'ELC TECH'!$E:$E)="Non Dispatchable",IFERROR($AX109*_xlfn.XLOOKUP($C109,$BM$1:$BM$3,CB$1:CB$3)/SUMPRODUCT(_xlfn.XLOOKUP($C109,$BM$1:$BM$3,$BN$1:$BY$3),$BN$4:$BY$4),""),
"")</f>
        <v>3.5305641720125708E-2</v>
      </c>
      <c r="CC109" s="8">
        <f>IF(_xlfn.XLOOKUP($B109,'ELC TECH'!$H:$H,'ELC TECH'!$E:$E)="Non Dispatchable",IFERROR($AX109*_xlfn.XLOOKUP($C109,$BM$1:$BM$3,CC$1:CC$3)/SUMPRODUCT(_xlfn.XLOOKUP($C109,$BM$1:$BM$3,$BN$1:$BY$3),$BN$4:$BY$4),""),
"")</f>
        <v>0</v>
      </c>
      <c r="CD109" s="8">
        <f>IF(_xlfn.XLOOKUP($B109,'ELC TECH'!$H:$H,'ELC TECH'!$E:$E)="Non Dispatchable",IFERROR($AX109*_xlfn.XLOOKUP($C109,$BM$1:$BM$3,CD$1:CD$3)/SUMPRODUCT(_xlfn.XLOOKUP($C109,$BM$1:$BM$3,$BN$1:$BY$3),$BN$4:$BY$4),""),
"")</f>
        <v>0.40662586854708388</v>
      </c>
      <c r="CE109" s="8">
        <f>IF(_xlfn.XLOOKUP($B109,'ELC TECH'!$H:$H,'ELC TECH'!$E:$E)="Non Dispatchable",IFERROR($AX109*_xlfn.XLOOKUP($C109,$BM$1:$BM$3,CE$1:CE$3)/SUMPRODUCT(_xlfn.XLOOKUP($C109,$BM$1:$BM$3,$BN$1:$BY$3),$BN$4:$BY$4),""),
"")</f>
        <v>0.40662586854708388</v>
      </c>
      <c r="CF109" s="8">
        <f>IF(_xlfn.XLOOKUP($B109,'ELC TECH'!$H:$H,'ELC TECH'!$E:$E)="Non Dispatchable",IFERROR($AX109*_xlfn.XLOOKUP($C109,$BM$1:$BM$3,CF$1:CF$3)/SUMPRODUCT(_xlfn.XLOOKUP($C109,$BM$1:$BM$3,$BN$1:$BY$3),$BN$4:$BY$4),""),
"")</f>
        <v>4.0662586854708388E-2</v>
      </c>
      <c r="CG109" s="8">
        <f>IF(_xlfn.XLOOKUP($B109,'ELC TECH'!$H:$H,'ELC TECH'!$E:$E)="Non Dispatchable",IFERROR($AX109*_xlfn.XLOOKUP($C109,$BM$1:$BM$3,CG$1:CG$3)/SUMPRODUCT(_xlfn.XLOOKUP($C109,$BM$1:$BM$3,$BN$1:$BY$3),$BN$4:$BY$4),""),
"")</f>
        <v>0</v>
      </c>
      <c r="CH109" s="8">
        <f>IF(_xlfn.XLOOKUP($B109,'ELC TECH'!$H:$H,'ELC TECH'!$E:$E)="Non Dispatchable",IFERROR($AX109*_xlfn.XLOOKUP($C109,$BM$1:$BM$3,CH$1:CH$3)/SUMPRODUCT(_xlfn.XLOOKUP($C109,$BM$1:$BM$3,$BN$1:$BY$3),$BN$4:$BY$4),""),
"")</f>
        <v>0.34017782074095243</v>
      </c>
      <c r="CI109" s="8">
        <f>IF(_xlfn.XLOOKUP($B109,'ELC TECH'!$H:$H,'ELC TECH'!$E:$E)="Non Dispatchable",IFERROR($AX109*_xlfn.XLOOKUP($C109,$BM$1:$BM$3,CI$1:CI$3)/SUMPRODUCT(_xlfn.XLOOKUP($C109,$BM$1:$BM$3,$BN$1:$BY$3),$BN$4:$BY$4),""),
"")</f>
        <v>0.34017782074095243</v>
      </c>
      <c r="CJ109" s="8">
        <f>IF(_xlfn.XLOOKUP($B109,'ELC TECH'!$H:$H,'ELC TECH'!$E:$E)="Non Dispatchable",IFERROR($AX109*_xlfn.XLOOKUP($C109,$BM$1:$BM$3,CJ$1:CJ$3)/SUMPRODUCT(_xlfn.XLOOKUP($C109,$BM$1:$BM$3,$BN$1:$BY$3),$BN$4:$BY$4),""),
"")</f>
        <v>3.4017782074095247E-2</v>
      </c>
      <c r="CK109" s="8">
        <f>IF(_xlfn.XLOOKUP($B109,'ELC TECH'!$H:$H,'ELC TECH'!$E:$E)="Non Dispatchable",IFERROR($AX109*_xlfn.XLOOKUP($C109,$BM$1:$BM$3,CK$1:CK$3)/SUMPRODUCT(_xlfn.XLOOKUP($C109,$BM$1:$BM$3,$BN$1:$BY$3),$BN$4:$BY$4),""),
"")</f>
        <v>0</v>
      </c>
      <c r="CL109" s="8" t="str">
        <f>IF(_xlfn.XLOOKUP($B109,'ELC TECH'!$H:$H,'ELC TECH'!$E:$E)="Storage",CL$4*$BF109,"")</f>
        <v/>
      </c>
      <c r="CM109" s="8" t="str">
        <f>IF(_xlfn.XLOOKUP($B109,'ELC TECH'!$H:$H,'ELC TECH'!$E:$E)="Storage",CM$4*$BF109,"")</f>
        <v/>
      </c>
      <c r="CN109" s="8" t="str">
        <f>IF(_xlfn.XLOOKUP($B109,'ELC TECH'!$H:$H,'ELC TECH'!$E:$E)="Storage",CN$4*$BF109,"")</f>
        <v/>
      </c>
      <c r="CO109" s="8" t="str">
        <f>IF(_xlfn.XLOOKUP($B109,'ELC TECH'!$H:$H,'ELC TECH'!$E:$E)="Storage",CO$4*$BF109,"")</f>
        <v/>
      </c>
      <c r="CP109" s="8" t="str">
        <f>IF(_xlfn.XLOOKUP($B109,'ELC TECH'!$H:$H,'ELC TECH'!$E:$E)="Storage",CP$4*$BF109,"")</f>
        <v/>
      </c>
      <c r="CQ109" s="8" t="str">
        <f>IF(_xlfn.XLOOKUP($B109,'ELC TECH'!$H:$H,'ELC TECH'!$E:$E)="Storage",CQ$4*$BF109,"")</f>
        <v/>
      </c>
      <c r="CR109" s="8" t="str">
        <f>IF(_xlfn.XLOOKUP($B109,'ELC TECH'!$H:$H,'ELC TECH'!$E:$E)="Storage",CR$4*$BF109,"")</f>
        <v/>
      </c>
      <c r="CS109" s="8" t="str">
        <f>IF(_xlfn.XLOOKUP($B109,'ELC TECH'!$H:$H,'ELC TECH'!$E:$E)="Storage",CS$4*$BF109,"")</f>
        <v/>
      </c>
      <c r="CT109" s="8" t="str">
        <f>IF(_xlfn.XLOOKUP($B109,'ELC TECH'!$H:$H,'ELC TECH'!$E:$E)="Storage",CT$4*$BF109,"")</f>
        <v/>
      </c>
      <c r="CU109" s="8" t="str">
        <f>IF(_xlfn.XLOOKUP($B109,'ELC TECH'!$H:$H,'ELC TECH'!$E:$E)="Storage",CU$4*$BF109,"")</f>
        <v/>
      </c>
      <c r="CV109" s="8" t="str">
        <f>IF(_xlfn.XLOOKUP($B109,'ELC TECH'!$H:$H,'ELC TECH'!$E:$E)="Storage",CV$4*$BF109,"")</f>
        <v/>
      </c>
      <c r="CW109" s="8" t="str">
        <f>IF(_xlfn.XLOOKUP($B109,'ELC TECH'!$H:$H,'ELC TECH'!$E:$E)="Storage",CW$4*$BF109,"")</f>
        <v/>
      </c>
      <c r="CX109" s="8" t="str">
        <f>IF(_xlfn.XLOOKUP($B109,'ELC TECH'!$H:$H,'ELC TECH'!$E:$E)="Storage",CX$4*$BF109,"")</f>
        <v/>
      </c>
      <c r="CY109" s="8" t="str">
        <f>IF(_xlfn.XLOOKUP($B109,'ELC TECH'!$H:$H,'ELC TECH'!$E:$E)="Storage",CY$4*$BF109,"")</f>
        <v/>
      </c>
      <c r="CZ109" s="8" t="str">
        <f>IF(_xlfn.XLOOKUP($B109,'ELC TECH'!$H:$H,'ELC TECH'!$E:$E)="Storage",CZ$4*$BF109,"")</f>
        <v/>
      </c>
      <c r="DA109" s="8" t="str">
        <f>IF(_xlfn.XLOOKUP($B109,'ELC TECH'!$H:$H,'ELC TECH'!$E:$E)="Storage",DA$4*$BF109,"")</f>
        <v/>
      </c>
      <c r="DB109" s="8" t="str">
        <f>IF(_xlfn.XLOOKUP($B109,'ELC TECH'!$H:$H,'ELC TECH'!$E:$E)="Storage",DB$4*$BF109,"")</f>
        <v/>
      </c>
      <c r="DC109" s="8" t="str">
        <f>IF(_xlfn.XLOOKUP($B109,'ELC TECH'!$H:$H,'ELC TECH'!$E:$E)="Storage",DC$4*$BF109,"")</f>
        <v/>
      </c>
      <c r="DD109" s="8" t="str">
        <f>IF(_xlfn.XLOOKUP($B109,'ELC TECH'!$H:$H,'ELC TECH'!$E:$E)="Storage",DD$4*$BF109,"")</f>
        <v/>
      </c>
      <c r="DE109" s="8" t="str">
        <f>IF(_xlfn.XLOOKUP($B109,'ELC TECH'!$H:$H,'ELC TECH'!$E:$E)="Storage",DE$4*$BF109,"")</f>
        <v/>
      </c>
      <c r="DF109" s="8" t="str">
        <f>IF(_xlfn.XLOOKUP($B109,'ELC TECH'!$H:$H,'ELC TECH'!$E:$E)="Storage",DF$4*$BF109,"")</f>
        <v/>
      </c>
      <c r="DG109" s="8" t="str">
        <f>IF(_xlfn.XLOOKUP($B109,'ELC TECH'!$H:$H,'ELC TECH'!$E:$E)="Storage",DG$4*$BF109,"")</f>
        <v/>
      </c>
      <c r="DH109" s="8" t="str">
        <f>IF(_xlfn.XLOOKUP($B109,'ELC TECH'!$H:$H,'ELC TECH'!$E:$E)="Storage",DH$4*$BF109,"")</f>
        <v/>
      </c>
      <c r="DI109" s="8" t="str">
        <f>IF(_xlfn.XLOOKUP($B109,'ELC TECH'!$H:$H,'ELC TECH'!$E:$E)="Storage",DI$4*$BF109,"")</f>
        <v/>
      </c>
    </row>
    <row r="110" spans="2:113" x14ac:dyDescent="0.25">
      <c r="B110" t="str">
        <f>IF('ELC TECH'!I103=0,"*",'ELC TECH'!H103)</f>
        <v>ELCSOLGRDUPVC320</v>
      </c>
      <c r="C110" t="str">
        <f>IF(_xlfn.XLOOKUP(_xlfn.XLOOKUP(B110,'ELC TECH'!$H:$H,'ELC TECH'!$G:$G),List!C:C,List!B:B)="STG",D110,"ELC"&amp;_xlfn.XLOOKUP(_xlfn.XLOOKUP(B110,'ELC TECH'!H:H,'ELC TECH'!G:G),List!C:C,List!B:B))</f>
        <v>ELCSOL</v>
      </c>
      <c r="D110" t="s">
        <v>544</v>
      </c>
      <c r="E110">
        <f>_xlfn.XLOOKUP(B110,'ELC TECH'!H:H,'ELC TECH'!D:D)</f>
        <v>2020</v>
      </c>
      <c r="F110">
        <f>_xlfn.XLOOKUP(B110,'ELC TECH'!H:H,'ELC TECH'!K:K)</f>
        <v>30</v>
      </c>
      <c r="G110">
        <f t="shared" si="7"/>
        <v>31.535999999999998</v>
      </c>
      <c r="H110">
        <f>IF(_xlfn.XLOOKUP(B110,'ELC TECH'!$H:$H,'ELC TECH'!$E:$E)="Storage",0.3,IF(_xlfn.XLOOKUP(B110,'ELC TECH'!$H:$H,'ELC TECH'!$E:$E)="Baseload",0.9,IF(_xlfn.XLOOKUP(B110,'ELC TECH'!$H:$H,'ELC TECH'!$E:$E)="Non Dispatchable",0.05,IF(_xlfn.XLOOKUP(B110,'ELC TECH'!$H:$H,'ELC TECH'!$E:$E)="Dispatchable",0.9,1))))</f>
        <v>0.05</v>
      </c>
      <c r="I110" s="13">
        <f>IF(_xlfn.XLOOKUP(B110,'ELC TECH'!H:H,'ELC TECH'!J:J)="","",_xlfn.XLOOKUP(B110,'ELC TECH'!H:H,'ELC TECH'!J:J))</f>
        <v>0</v>
      </c>
      <c r="J110" s="12">
        <f>IF(_xlfn.XLOOKUP($B110,'ELC TECH'!$H:$H,'ELC TECH'!$E:$E)="Storage","",IF(_xlfn.XLOOKUP($B110,'ELC TECH'!$H:$H,'ELC TECH'!AK:AK)="",1,_xlfn.XLOOKUP($B110,'ELC TECH'!$H:$H,'ELC TECH'!AK:AK)))</f>
        <v>1</v>
      </c>
      <c r="K110" s="12">
        <f>IF(_xlfn.XLOOKUP($B110,'ELC TECH'!$H:$H,'ELC TECH'!$E:$E)="Storage","",IF(_xlfn.XLOOKUP($B110,'ELC TECH'!$H:$H,'ELC TECH'!AL:AL)="",1,_xlfn.XLOOKUP($B110,'ELC TECH'!$H:$H,'ELC TECH'!AL:AL)))</f>
        <v>1</v>
      </c>
      <c r="L110" s="12">
        <f>IF(_xlfn.XLOOKUP($B110,'ELC TECH'!$H:$H,'ELC TECH'!$E:$E)="Storage","",IF(_xlfn.XLOOKUP($B110,'ELC TECH'!$H:$H,'ELC TECH'!AM:AM)="",1,_xlfn.XLOOKUP($B110,'ELC TECH'!$H:$H,'ELC TECH'!AM:AM)))</f>
        <v>1</v>
      </c>
      <c r="M110" s="12">
        <f>IF(_xlfn.XLOOKUP($B110,'ELC TECH'!$H:$H,'ELC TECH'!$E:$E)="Storage","",IF(_xlfn.XLOOKUP($B110,'ELC TECH'!$H:$H,'ELC TECH'!AN:AN)="",1,_xlfn.XLOOKUP($B110,'ELC TECH'!$H:$H,'ELC TECH'!AN:AN)))</f>
        <v>1</v>
      </c>
      <c r="N110" s="12">
        <f>IF(_xlfn.XLOOKUP($B110,'ELC TECH'!$H:$H,'ELC TECH'!$E:$E)="Storage","",IF(_xlfn.XLOOKUP($B110,'ELC TECH'!$H:$H,'ELC TECH'!AO:AO)="",1,_xlfn.XLOOKUP($B110,'ELC TECH'!$H:$H,'ELC TECH'!AO:AO)))</f>
        <v>1</v>
      </c>
      <c r="O110" s="12">
        <f>IF(_xlfn.XLOOKUP($B110,'ELC TECH'!$H:$H,'ELC TECH'!$E:$E)="Storage","",IF(_xlfn.XLOOKUP($B110,'ELC TECH'!$H:$H,'ELC TECH'!AP:AP)="",1,_xlfn.XLOOKUP($B110,'ELC TECH'!$H:$H,'ELC TECH'!AP:AP)))</f>
        <v>1</v>
      </c>
      <c r="P110" s="12">
        <f>IF(_xlfn.XLOOKUP($B110,'ELC TECH'!$H:$H,'ELC TECH'!$E:$E)="Storage","",IF(_xlfn.XLOOKUP($B110,'ELC TECH'!$H:$H,'ELC TECH'!AQ:AQ)="",1,_xlfn.XLOOKUP($B110,'ELC TECH'!$H:$H,'ELC TECH'!AQ:AQ)))</f>
        <v>1</v>
      </c>
      <c r="Q110" s="12">
        <f>IF(_xlfn.XLOOKUP($B110,'ELC TECH'!$H:$H,'ELC TECH'!$E:$E)="Storage","",IF(_xlfn.XLOOKUP($B110,'ELC TECH'!$H:$H,'ELC TECH'!AR:AR)="",1,_xlfn.XLOOKUP($B110,'ELC TECH'!$H:$H,'ELC TECH'!AR:AR)))</f>
        <v>1</v>
      </c>
      <c r="R110" s="12" t="str">
        <f>IF(_xlfn.XLOOKUP($B110,'ELC TECH'!$H:$H,'ELC TECH'!$E:$E)&lt;&gt;"Storage","",IF(_xlfn.XLOOKUP($B110,'ELC TECH'!$H:$H,'ELC TECH'!AK:AK)="",0.8,_xlfn.XLOOKUP($B110,'ELC TECH'!$H:$H,'ELC TECH'!AK:AK)))</f>
        <v/>
      </c>
      <c r="S110" s="12" t="str">
        <f>IF(_xlfn.XLOOKUP($B110,'ELC TECH'!$H:$H,'ELC TECH'!$E:$E)&lt;&gt;"Storage","",IF(_xlfn.XLOOKUP($B110,'ELC TECH'!$H:$H,'ELC TECH'!AL:AL)="",0.8,_xlfn.XLOOKUP($B110,'ELC TECH'!$H:$H,'ELC TECH'!AL:AL)))</f>
        <v/>
      </c>
      <c r="T110" s="12" t="str">
        <f>IF(_xlfn.XLOOKUP($B110,'ELC TECH'!$H:$H,'ELC TECH'!$E:$E)&lt;&gt;"Storage","",IF(_xlfn.XLOOKUP($B110,'ELC TECH'!$H:$H,'ELC TECH'!AM:AM)="",0.8,_xlfn.XLOOKUP($B110,'ELC TECH'!$H:$H,'ELC TECH'!AM:AM)))</f>
        <v/>
      </c>
      <c r="U110" s="12" t="str">
        <f>IF(_xlfn.XLOOKUP($B110,'ELC TECH'!$H:$H,'ELC TECH'!$E:$E)&lt;&gt;"Storage","",IF(_xlfn.XLOOKUP($B110,'ELC TECH'!$H:$H,'ELC TECH'!AN:AN)="",0.8,_xlfn.XLOOKUP($B110,'ELC TECH'!$H:$H,'ELC TECH'!AN:AN)))</f>
        <v/>
      </c>
      <c r="V110" s="12" t="str">
        <f>IF(_xlfn.XLOOKUP($B110,'ELC TECH'!$H:$H,'ELC TECH'!$E:$E)&lt;&gt;"Storage","",IF(_xlfn.XLOOKUP($B110,'ELC TECH'!$H:$H,'ELC TECH'!AO:AO)="",0.8,_xlfn.XLOOKUP($B110,'ELC TECH'!$H:$H,'ELC TECH'!AO:AO)))</f>
        <v/>
      </c>
      <c r="W110" s="12" t="str">
        <f>IF(_xlfn.XLOOKUP($B110,'ELC TECH'!$H:$H,'ELC TECH'!$E:$E)&lt;&gt;"Storage","",IF(_xlfn.XLOOKUP($B110,'ELC TECH'!$H:$H,'ELC TECH'!AP:AP)="",0.8,_xlfn.XLOOKUP($B110,'ELC TECH'!$H:$H,'ELC TECH'!AP:AP)))</f>
        <v/>
      </c>
      <c r="X110" s="12" t="str">
        <f>IF(_xlfn.XLOOKUP($B110,'ELC TECH'!$H:$H,'ELC TECH'!$E:$E)&lt;&gt;"Storage","",IF(_xlfn.XLOOKUP($B110,'ELC TECH'!$H:$H,'ELC TECH'!AQ:AQ)="",0.8,_xlfn.XLOOKUP($B110,'ELC TECH'!$H:$H,'ELC TECH'!AQ:AQ)))</f>
        <v/>
      </c>
      <c r="Y110" s="12" t="str">
        <f>IF(_xlfn.XLOOKUP($B110,'ELC TECH'!$H:$H,'ELC TECH'!$E:$E)&lt;&gt;"Storage","",IF(_xlfn.XLOOKUP($B110,'ELC TECH'!$H:$H,'ELC TECH'!AR:AR)="",0.8,_xlfn.XLOOKUP($B110,'ELC TECH'!$H:$H,'ELC TECH'!AR:AR)))</f>
        <v/>
      </c>
      <c r="Z110" s="15">
        <f>_xlfn.XLOOKUP($B110,'ELC TECH'!$H:$H,'ELC TECH'!M:M)</f>
        <v>1408.7255732468459</v>
      </c>
      <c r="AA110" s="15">
        <f>_xlfn.XLOOKUP($B110,'ELC TECH'!$H:$H,'ELC TECH'!N:N)</f>
        <v>1361.639988003599</v>
      </c>
      <c r="AB110" s="15">
        <f>_xlfn.XLOOKUP($B110,'ELC TECH'!$H:$H,'ELC TECH'!O:O)</f>
        <v>1133.299589912358</v>
      </c>
      <c r="AC110" s="15">
        <f>_xlfn.XLOOKUP($B110,'ELC TECH'!$H:$H,'ELC TECH'!P:P)</f>
        <v>904.95919182111663</v>
      </c>
      <c r="AD110" s="15">
        <f>_xlfn.XLOOKUP($B110,'ELC TECH'!$H:$H,'ELC TECH'!Q:Q)</f>
        <v>833.38868486743809</v>
      </c>
      <c r="AE110" s="15">
        <f>_xlfn.XLOOKUP($B110,'ELC TECH'!$H:$H,'ELC TECH'!R:R)</f>
        <v>761.81817791375954</v>
      </c>
      <c r="AF110" s="15">
        <f>_xlfn.XLOOKUP($B110,'ELC TECH'!$H:$H,'ELC TECH'!S:S)</f>
        <v>690.24767096007986</v>
      </c>
      <c r="AG110" s="15">
        <f>_xlfn.XLOOKUP($B110,'ELC TECH'!$H:$H,'ELC TECH'!T:T)</f>
        <v>690.24767096007986</v>
      </c>
      <c r="AH110" s="15">
        <f>_xlfn.XLOOKUP($B110,'ELC TECH'!$H:$H,'ELC TECH'!U:U)</f>
        <v>25.474928501147339</v>
      </c>
      <c r="AI110" s="15">
        <f>_xlfn.XLOOKUP($B110,'ELC TECH'!$H:$H,'ELC TECH'!V:V)</f>
        <v>23.161525476034619</v>
      </c>
      <c r="AJ110" s="15">
        <f>_xlfn.XLOOKUP($B110,'ELC TECH'!$H:$H,'ELC TECH'!W:W)</f>
        <v>20.33362233495237</v>
      </c>
      <c r="AK110" s="15">
        <f>_xlfn.XLOOKUP($B110,'ELC TECH'!$H:$H,'ELC TECH'!X:X)</f>
        <v>17.547705083846161</v>
      </c>
      <c r="AL110" s="15">
        <f>_xlfn.XLOOKUP($B110,'ELC TECH'!$H:$H,'ELC TECH'!Y:Y)</f>
        <v>16.785562476399669</v>
      </c>
      <c r="AM110" s="15">
        <f>_xlfn.XLOOKUP($B110,'ELC TECH'!$H:$H,'ELC TECH'!Z:Z)</f>
        <v>16.023491074974441</v>
      </c>
      <c r="AN110" s="15">
        <f>_xlfn.XLOOKUP($B110,'ELC TECH'!$H:$H,'ELC TECH'!AA:AA)</f>
        <v>15.26149145474046</v>
      </c>
      <c r="AO110" s="15">
        <f>_xlfn.XLOOKUP($B110,'ELC TECH'!$H:$H,'ELC TECH'!AB:AB)</f>
        <v>15.26149145474046</v>
      </c>
      <c r="AP110" s="15">
        <f>_xlfn.XLOOKUP($B110,'ELC TECH'!$H:$H,'ELC TECH'!AC:AC)</f>
        <v>0</v>
      </c>
      <c r="AQ110" s="15">
        <f>_xlfn.XLOOKUP($B110,'ELC TECH'!$H:$H,'ELC TECH'!AD:AD)</f>
        <v>0</v>
      </c>
      <c r="AR110" s="15">
        <f>_xlfn.XLOOKUP($B110,'ELC TECH'!$H:$H,'ELC TECH'!AE:AE)</f>
        <v>0</v>
      </c>
      <c r="AS110" s="15">
        <f>_xlfn.XLOOKUP($B110,'ELC TECH'!$H:$H,'ELC TECH'!AF:AF)</f>
        <v>0</v>
      </c>
      <c r="AT110" s="15">
        <f>_xlfn.XLOOKUP($B110,'ELC TECH'!$H:$H,'ELC TECH'!AG:AG)</f>
        <v>0</v>
      </c>
      <c r="AU110" s="15">
        <f>_xlfn.XLOOKUP($B110,'ELC TECH'!$H:$H,'ELC TECH'!AH:AH)</f>
        <v>0</v>
      </c>
      <c r="AV110" s="15">
        <f>_xlfn.XLOOKUP($B110,'ELC TECH'!$H:$H,'ELC TECH'!AI:AI)</f>
        <v>0</v>
      </c>
      <c r="AW110" s="15">
        <f>_xlfn.XLOOKUP($B110,'ELC TECH'!$H:$H,'ELC TECH'!AJ:AJ)</f>
        <v>0</v>
      </c>
      <c r="AX110" s="12">
        <f>IF(_xlfn.XLOOKUP($B110,'ELC TECH'!$H:$H,'ELC TECH'!$E:$E)="Storage","",_xlfn.XLOOKUP($B110,'ELC TECH'!$H:$H,'ELC TECH'!AS:AS))</f>
        <v>0.24738093626150501</v>
      </c>
      <c r="AY110" s="12">
        <f>IF(_xlfn.XLOOKUP($B110,'ELC TECH'!$H:$H,'ELC TECH'!$E:$E)="Storage","",_xlfn.XLOOKUP($B110,'ELC TECH'!$H:$H,'ELC TECH'!AT:AT))</f>
        <v>0.25379757245607198</v>
      </c>
      <c r="AZ110" s="12">
        <f>IF(_xlfn.XLOOKUP($B110,'ELC TECH'!$H:$H,'ELC TECH'!$E:$E)="Storage","",_xlfn.XLOOKUP($B110,'ELC TECH'!$H:$H,'ELC TECH'!AU:AU))</f>
        <v>0.26181836769928102</v>
      </c>
      <c r="BA110" s="12">
        <f>IF(_xlfn.XLOOKUP($B110,'ELC TECH'!$H:$H,'ELC TECH'!$E:$E)="Storage","",_xlfn.XLOOKUP($B110,'ELC TECH'!$H:$H,'ELC TECH'!AV:AV))</f>
        <v>0.26983916294249</v>
      </c>
      <c r="BB110" s="12">
        <f>IF(_xlfn.XLOOKUP($B110,'ELC TECH'!$H:$H,'ELC TECH'!$E:$E)="Storage","",_xlfn.XLOOKUP($B110,'ELC TECH'!$H:$H,'ELC TECH'!AW:AW))</f>
        <v>0.27535921867551399</v>
      </c>
      <c r="BC110" s="12">
        <f>IF(_xlfn.XLOOKUP($B110,'ELC TECH'!$H:$H,'ELC TECH'!$E:$E)="Storage","",_xlfn.XLOOKUP($B110,'ELC TECH'!$H:$H,'ELC TECH'!AX:AX))</f>
        <v>0.28087927440853899</v>
      </c>
      <c r="BD110" s="12">
        <f>IF(_xlfn.XLOOKUP($B110,'ELC TECH'!$H:$H,'ELC TECH'!$E:$E)="Storage","",_xlfn.XLOOKUP($B110,'ELC TECH'!$H:$H,'ELC TECH'!AY:AY))</f>
        <v>0.28639933014156299</v>
      </c>
      <c r="BE110" s="12">
        <f>IF(_xlfn.XLOOKUP($B110,'ELC TECH'!$H:$H,'ELC TECH'!$E:$E)="Storage","",_xlfn.XLOOKUP($B110,'ELC TECH'!$H:$H,'ELC TECH'!AZ:AZ))</f>
        <v>0.28639933014156299</v>
      </c>
      <c r="BF110" s="12" t="str">
        <f>IF(_xlfn.XLOOKUP($B110,'ELC TECH'!$H:$H,'ELC TECH'!$E:$E)="Storage",_xlfn.XLOOKUP($B110,'ELC TECH'!$H:$H,'ELC TECH'!AS:AS),"")</f>
        <v/>
      </c>
      <c r="BG110" s="12" t="str">
        <f>IF(_xlfn.XLOOKUP($B110,'ELC TECH'!$H:$H,'ELC TECH'!$E:$E)="Storage",_xlfn.XLOOKUP($B110,'ELC TECH'!$H:$H,'ELC TECH'!AT:AT),"")</f>
        <v/>
      </c>
      <c r="BH110" s="12" t="str">
        <f>IF(_xlfn.XLOOKUP($B110,'ELC TECH'!$H:$H,'ELC TECH'!$E:$E)="Storage",_xlfn.XLOOKUP($B110,'ELC TECH'!$H:$H,'ELC TECH'!AU:AU),"")</f>
        <v/>
      </c>
      <c r="BI110" s="12" t="str">
        <f>IF(_xlfn.XLOOKUP($B110,'ELC TECH'!$H:$H,'ELC TECH'!$E:$E)="Storage",_xlfn.XLOOKUP($B110,'ELC TECH'!$H:$H,'ELC TECH'!AV:AV),"")</f>
        <v/>
      </c>
      <c r="BJ110" s="12" t="str">
        <f>IF(_xlfn.XLOOKUP($B110,'ELC TECH'!$H:$H,'ELC TECH'!$E:$E)="Storage",_xlfn.XLOOKUP($B110,'ELC TECH'!$H:$H,'ELC TECH'!AW:AW),"")</f>
        <v/>
      </c>
      <c r="BK110" s="12" t="str">
        <f>IF(_xlfn.XLOOKUP($B110,'ELC TECH'!$H:$H,'ELC TECH'!$E:$E)="Storage",_xlfn.XLOOKUP($B110,'ELC TECH'!$H:$H,'ELC TECH'!AX:AX),"")</f>
        <v/>
      </c>
      <c r="BL110" s="12" t="str">
        <f>IF(_xlfn.XLOOKUP($B110,'ELC TECH'!$H:$H,'ELC TECH'!$E:$E)="Storage",_xlfn.XLOOKUP($B110,'ELC TECH'!$H:$H,'ELC TECH'!AY:AY),"")</f>
        <v/>
      </c>
      <c r="BM110" s="12" t="str">
        <f>IF(_xlfn.XLOOKUP($B110,'ELC TECH'!$H:$H,'ELC TECH'!$E:$E)="Storage",_xlfn.XLOOKUP($B110,'ELC TECH'!$H:$H,'ELC TECH'!AZ:AZ),"")</f>
        <v/>
      </c>
      <c r="BN110" s="8">
        <f>IF(_xlfn.XLOOKUP($B110,'ELC TECH'!$H:$H,'ELC TECH'!$E:$E)="Non Dispatchable",IFERROR($AX110*_xlfn.XLOOKUP($C110,$BM$1:$BM$3,BN$1:BN$3)/SUMPRODUCT(_xlfn.XLOOKUP($C110,$BM$1:$BM$3,$BN$1:$BY$3),$BN$4:$BY$4),""),
"")</f>
        <v>0.38717648956674761</v>
      </c>
      <c r="BO110" s="8">
        <f>IF(_xlfn.XLOOKUP($B110,'ELC TECH'!$H:$H,'ELC TECH'!$E:$E)="Non Dispatchable",IFERROR($AX110*_xlfn.XLOOKUP($C110,$BM$1:$BM$3,BO$1:BO$3)/SUMPRODUCT(_xlfn.XLOOKUP($C110,$BM$1:$BM$3,$BN$1:$BY$3),$BN$4:$BY$4),""),
"")</f>
        <v>0.38717648956674761</v>
      </c>
      <c r="BP110" s="8">
        <f>IF(_xlfn.XLOOKUP($B110,'ELC TECH'!$H:$H,'ELC TECH'!$E:$E)="Non Dispatchable",IFERROR($AX110*_xlfn.XLOOKUP($C110,$BM$1:$BM$3,BP$1:BP$3)/SUMPRODUCT(_xlfn.XLOOKUP($C110,$BM$1:$BM$3,$BN$1:$BY$3),$BN$4:$BY$4),""),
"")</f>
        <v>3.8717648956674768E-2</v>
      </c>
      <c r="BQ110" s="8">
        <f>IF(_xlfn.XLOOKUP($B110,'ELC TECH'!$H:$H,'ELC TECH'!$E:$E)="Non Dispatchable",IFERROR($AX110*_xlfn.XLOOKUP($C110,$BM$1:$BM$3,BQ$1:BQ$3)/SUMPRODUCT(_xlfn.XLOOKUP($C110,$BM$1:$BM$3,$BN$1:$BY$3),$BN$4:$BY$4),""),
"")</f>
        <v>0</v>
      </c>
      <c r="BR110" s="8">
        <f>IF(_xlfn.XLOOKUP($B110,'ELC TECH'!$H:$H,'ELC TECH'!$E:$E)="Non Dispatchable",IFERROR($AX110*_xlfn.XLOOKUP($C110,$BM$1:$BM$3,BR$1:BR$3)/SUMPRODUCT(_xlfn.XLOOKUP($C110,$BM$1:$BM$3,$BN$1:$BY$3),$BN$4:$BY$4),""),
"")</f>
        <v>0.44592299893346654</v>
      </c>
      <c r="BS110" s="8">
        <f>IF(_xlfn.XLOOKUP($B110,'ELC TECH'!$H:$H,'ELC TECH'!$E:$E)="Non Dispatchable",IFERROR($AX110*_xlfn.XLOOKUP($C110,$BM$1:$BM$3,BS$1:BS$3)/SUMPRODUCT(_xlfn.XLOOKUP($C110,$BM$1:$BM$3,$BN$1:$BY$3),$BN$4:$BY$4),""),
"")</f>
        <v>0.44592299893346654</v>
      </c>
      <c r="BT110" s="8">
        <f>IF(_xlfn.XLOOKUP($B110,'ELC TECH'!$H:$H,'ELC TECH'!$E:$E)="Non Dispatchable",IFERROR($AX110*_xlfn.XLOOKUP($C110,$BM$1:$BM$3,BT$1:BT$3)/SUMPRODUCT(_xlfn.XLOOKUP($C110,$BM$1:$BM$3,$BN$1:$BY$3),$BN$4:$BY$4),""),
"")</f>
        <v>4.4592299893346662E-2</v>
      </c>
      <c r="BU110" s="8">
        <f>IF(_xlfn.XLOOKUP($B110,'ELC TECH'!$H:$H,'ELC TECH'!$E:$E)="Non Dispatchable",IFERROR($AX110*_xlfn.XLOOKUP($C110,$BM$1:$BM$3,BU$1:BU$3)/SUMPRODUCT(_xlfn.XLOOKUP($C110,$BM$1:$BM$3,$BN$1:$BY$3),$BN$4:$BY$4),""),
"")</f>
        <v>0</v>
      </c>
      <c r="BV110" s="8">
        <f>IF(_xlfn.XLOOKUP($B110,'ELC TECH'!$H:$H,'ELC TECH'!$E:$E)="Non Dispatchable",IFERROR($AX110*_xlfn.XLOOKUP($C110,$BM$1:$BM$3,BV$1:BV$3)/SUMPRODUCT(_xlfn.XLOOKUP($C110,$BM$1:$BM$3,$BN$1:$BY$3),$BN$4:$BY$4),""),
"")</f>
        <v>0.37305328000275012</v>
      </c>
      <c r="BW110" s="8">
        <f>IF(_xlfn.XLOOKUP($B110,'ELC TECH'!$H:$H,'ELC TECH'!$E:$E)="Non Dispatchable",IFERROR($AX110*_xlfn.XLOOKUP($C110,$BM$1:$BM$3,BW$1:BW$3)/SUMPRODUCT(_xlfn.XLOOKUP($C110,$BM$1:$BM$3,$BN$1:$BY$3),$BN$4:$BY$4),""),
"")</f>
        <v>0.37305328000275012</v>
      </c>
      <c r="BX110" s="8">
        <f>IF(_xlfn.XLOOKUP($B110,'ELC TECH'!$H:$H,'ELC TECH'!$E:$E)="Non Dispatchable",IFERROR($AX110*_xlfn.XLOOKUP($C110,$BM$1:$BM$3,BX$1:BX$3)/SUMPRODUCT(_xlfn.XLOOKUP($C110,$BM$1:$BM$3,$BN$1:$BY$3),$BN$4:$BY$4),""),
"")</f>
        <v>3.7305328000275008E-2</v>
      </c>
      <c r="BY110" s="8">
        <f>IF(_xlfn.XLOOKUP($B110,'ELC TECH'!$H:$H,'ELC TECH'!$E:$E)="Non Dispatchable",IFERROR($AX110*_xlfn.XLOOKUP($C110,$BM$1:$BM$3,BY$1:BY$3)/SUMPRODUCT(_xlfn.XLOOKUP($C110,$BM$1:$BM$3,$BN$1:$BY$3),$BN$4:$BY$4),""),
"")</f>
        <v>0</v>
      </c>
      <c r="BZ110" s="8">
        <f>IF(_xlfn.XLOOKUP($B110,'ELC TECH'!$H:$H,'ELC TECH'!$E:$E)="Non Dispatchable",IFERROR($AX110*_xlfn.XLOOKUP($C110,$BM$1:$BM$3,BZ$1:BZ$3)/SUMPRODUCT(_xlfn.XLOOKUP($C110,$BM$1:$BM$3,$BN$1:$BY$3),$BN$4:$BY$4),""),
"")</f>
        <v>0.38717648956674761</v>
      </c>
      <c r="CA110" s="8">
        <f>IF(_xlfn.XLOOKUP($B110,'ELC TECH'!$H:$H,'ELC TECH'!$E:$E)="Non Dispatchable",IFERROR($AX110*_xlfn.XLOOKUP($C110,$BM$1:$BM$3,CA$1:CA$3)/SUMPRODUCT(_xlfn.XLOOKUP($C110,$BM$1:$BM$3,$BN$1:$BY$3),$BN$4:$BY$4),""),
"")</f>
        <v>0.38717648956674761</v>
      </c>
      <c r="CB110" s="8">
        <f>IF(_xlfn.XLOOKUP($B110,'ELC TECH'!$H:$H,'ELC TECH'!$E:$E)="Non Dispatchable",IFERROR($AX110*_xlfn.XLOOKUP($C110,$BM$1:$BM$3,CB$1:CB$3)/SUMPRODUCT(_xlfn.XLOOKUP($C110,$BM$1:$BM$3,$BN$1:$BY$3),$BN$4:$BY$4),""),
"")</f>
        <v>3.8717648956674768E-2</v>
      </c>
      <c r="CC110" s="8">
        <f>IF(_xlfn.XLOOKUP($B110,'ELC TECH'!$H:$H,'ELC TECH'!$E:$E)="Non Dispatchable",IFERROR($AX110*_xlfn.XLOOKUP($C110,$BM$1:$BM$3,CC$1:CC$3)/SUMPRODUCT(_xlfn.XLOOKUP($C110,$BM$1:$BM$3,$BN$1:$BY$3),$BN$4:$BY$4),""),
"")</f>
        <v>0</v>
      </c>
      <c r="CD110" s="8">
        <f>IF(_xlfn.XLOOKUP($B110,'ELC TECH'!$H:$H,'ELC TECH'!$E:$E)="Non Dispatchable",IFERROR($AX110*_xlfn.XLOOKUP($C110,$BM$1:$BM$3,CD$1:CD$3)/SUMPRODUCT(_xlfn.XLOOKUP($C110,$BM$1:$BM$3,$BN$1:$BY$3),$BN$4:$BY$4),""),
"")</f>
        <v>0.44592299893346654</v>
      </c>
      <c r="CE110" s="8">
        <f>IF(_xlfn.XLOOKUP($B110,'ELC TECH'!$H:$H,'ELC TECH'!$E:$E)="Non Dispatchable",IFERROR($AX110*_xlfn.XLOOKUP($C110,$BM$1:$BM$3,CE$1:CE$3)/SUMPRODUCT(_xlfn.XLOOKUP($C110,$BM$1:$BM$3,$BN$1:$BY$3),$BN$4:$BY$4),""),
"")</f>
        <v>0.44592299893346654</v>
      </c>
      <c r="CF110" s="8">
        <f>IF(_xlfn.XLOOKUP($B110,'ELC TECH'!$H:$H,'ELC TECH'!$E:$E)="Non Dispatchable",IFERROR($AX110*_xlfn.XLOOKUP($C110,$BM$1:$BM$3,CF$1:CF$3)/SUMPRODUCT(_xlfn.XLOOKUP($C110,$BM$1:$BM$3,$BN$1:$BY$3),$BN$4:$BY$4),""),
"")</f>
        <v>4.4592299893346662E-2</v>
      </c>
      <c r="CG110" s="8">
        <f>IF(_xlfn.XLOOKUP($B110,'ELC TECH'!$H:$H,'ELC TECH'!$E:$E)="Non Dispatchable",IFERROR($AX110*_xlfn.XLOOKUP($C110,$BM$1:$BM$3,CG$1:CG$3)/SUMPRODUCT(_xlfn.XLOOKUP($C110,$BM$1:$BM$3,$BN$1:$BY$3),$BN$4:$BY$4),""),
"")</f>
        <v>0</v>
      </c>
      <c r="CH110" s="8">
        <f>IF(_xlfn.XLOOKUP($B110,'ELC TECH'!$H:$H,'ELC TECH'!$E:$E)="Non Dispatchable",IFERROR($AX110*_xlfn.XLOOKUP($C110,$BM$1:$BM$3,CH$1:CH$3)/SUMPRODUCT(_xlfn.XLOOKUP($C110,$BM$1:$BM$3,$BN$1:$BY$3),$BN$4:$BY$4),""),
"")</f>
        <v>0.37305328000275012</v>
      </c>
      <c r="CI110" s="8">
        <f>IF(_xlfn.XLOOKUP($B110,'ELC TECH'!$H:$H,'ELC TECH'!$E:$E)="Non Dispatchable",IFERROR($AX110*_xlfn.XLOOKUP($C110,$BM$1:$BM$3,CI$1:CI$3)/SUMPRODUCT(_xlfn.XLOOKUP($C110,$BM$1:$BM$3,$BN$1:$BY$3),$BN$4:$BY$4),""),
"")</f>
        <v>0.37305328000275012</v>
      </c>
      <c r="CJ110" s="8">
        <f>IF(_xlfn.XLOOKUP($B110,'ELC TECH'!$H:$H,'ELC TECH'!$E:$E)="Non Dispatchable",IFERROR($AX110*_xlfn.XLOOKUP($C110,$BM$1:$BM$3,CJ$1:CJ$3)/SUMPRODUCT(_xlfn.XLOOKUP($C110,$BM$1:$BM$3,$BN$1:$BY$3),$BN$4:$BY$4),""),
"")</f>
        <v>3.7305328000275008E-2</v>
      </c>
      <c r="CK110" s="8">
        <f>IF(_xlfn.XLOOKUP($B110,'ELC TECH'!$H:$H,'ELC TECH'!$E:$E)="Non Dispatchable",IFERROR($AX110*_xlfn.XLOOKUP($C110,$BM$1:$BM$3,CK$1:CK$3)/SUMPRODUCT(_xlfn.XLOOKUP($C110,$BM$1:$BM$3,$BN$1:$BY$3),$BN$4:$BY$4),""),
"")</f>
        <v>0</v>
      </c>
      <c r="CL110" s="8" t="str">
        <f>IF(_xlfn.XLOOKUP($B110,'ELC TECH'!$H:$H,'ELC TECH'!$E:$E)="Storage",CL$4*$BF110,"")</f>
        <v/>
      </c>
      <c r="CM110" s="8" t="str">
        <f>IF(_xlfn.XLOOKUP($B110,'ELC TECH'!$H:$H,'ELC TECH'!$E:$E)="Storage",CM$4*$BF110,"")</f>
        <v/>
      </c>
      <c r="CN110" s="8" t="str">
        <f>IF(_xlfn.XLOOKUP($B110,'ELC TECH'!$H:$H,'ELC TECH'!$E:$E)="Storage",CN$4*$BF110,"")</f>
        <v/>
      </c>
      <c r="CO110" s="8" t="str">
        <f>IF(_xlfn.XLOOKUP($B110,'ELC TECH'!$H:$H,'ELC TECH'!$E:$E)="Storage",CO$4*$BF110,"")</f>
        <v/>
      </c>
      <c r="CP110" s="8" t="str">
        <f>IF(_xlfn.XLOOKUP($B110,'ELC TECH'!$H:$H,'ELC TECH'!$E:$E)="Storage",CP$4*$BF110,"")</f>
        <v/>
      </c>
      <c r="CQ110" s="8" t="str">
        <f>IF(_xlfn.XLOOKUP($B110,'ELC TECH'!$H:$H,'ELC TECH'!$E:$E)="Storage",CQ$4*$BF110,"")</f>
        <v/>
      </c>
      <c r="CR110" s="8" t="str">
        <f>IF(_xlfn.XLOOKUP($B110,'ELC TECH'!$H:$H,'ELC TECH'!$E:$E)="Storage",CR$4*$BF110,"")</f>
        <v/>
      </c>
      <c r="CS110" s="8" t="str">
        <f>IF(_xlfn.XLOOKUP($B110,'ELC TECH'!$H:$H,'ELC TECH'!$E:$E)="Storage",CS$4*$BF110,"")</f>
        <v/>
      </c>
      <c r="CT110" s="8" t="str">
        <f>IF(_xlfn.XLOOKUP($B110,'ELC TECH'!$H:$H,'ELC TECH'!$E:$E)="Storage",CT$4*$BF110,"")</f>
        <v/>
      </c>
      <c r="CU110" s="8" t="str">
        <f>IF(_xlfn.XLOOKUP($B110,'ELC TECH'!$H:$H,'ELC TECH'!$E:$E)="Storage",CU$4*$BF110,"")</f>
        <v/>
      </c>
      <c r="CV110" s="8" t="str">
        <f>IF(_xlfn.XLOOKUP($B110,'ELC TECH'!$H:$H,'ELC TECH'!$E:$E)="Storage",CV$4*$BF110,"")</f>
        <v/>
      </c>
      <c r="CW110" s="8" t="str">
        <f>IF(_xlfn.XLOOKUP($B110,'ELC TECH'!$H:$H,'ELC TECH'!$E:$E)="Storage",CW$4*$BF110,"")</f>
        <v/>
      </c>
      <c r="CX110" s="8" t="str">
        <f>IF(_xlfn.XLOOKUP($B110,'ELC TECH'!$H:$H,'ELC TECH'!$E:$E)="Storage",CX$4*$BF110,"")</f>
        <v/>
      </c>
      <c r="CY110" s="8" t="str">
        <f>IF(_xlfn.XLOOKUP($B110,'ELC TECH'!$H:$H,'ELC TECH'!$E:$E)="Storage",CY$4*$BF110,"")</f>
        <v/>
      </c>
      <c r="CZ110" s="8" t="str">
        <f>IF(_xlfn.XLOOKUP($B110,'ELC TECH'!$H:$H,'ELC TECH'!$E:$E)="Storage",CZ$4*$BF110,"")</f>
        <v/>
      </c>
      <c r="DA110" s="8" t="str">
        <f>IF(_xlfn.XLOOKUP($B110,'ELC TECH'!$H:$H,'ELC TECH'!$E:$E)="Storage",DA$4*$BF110,"")</f>
        <v/>
      </c>
      <c r="DB110" s="8" t="str">
        <f>IF(_xlfn.XLOOKUP($B110,'ELC TECH'!$H:$H,'ELC TECH'!$E:$E)="Storage",DB$4*$BF110,"")</f>
        <v/>
      </c>
      <c r="DC110" s="8" t="str">
        <f>IF(_xlfn.XLOOKUP($B110,'ELC TECH'!$H:$H,'ELC TECH'!$E:$E)="Storage",DC$4*$BF110,"")</f>
        <v/>
      </c>
      <c r="DD110" s="8" t="str">
        <f>IF(_xlfn.XLOOKUP($B110,'ELC TECH'!$H:$H,'ELC TECH'!$E:$E)="Storage",DD$4*$BF110,"")</f>
        <v/>
      </c>
      <c r="DE110" s="8" t="str">
        <f>IF(_xlfn.XLOOKUP($B110,'ELC TECH'!$H:$H,'ELC TECH'!$E:$E)="Storage",DE$4*$BF110,"")</f>
        <v/>
      </c>
      <c r="DF110" s="8" t="str">
        <f>IF(_xlfn.XLOOKUP($B110,'ELC TECH'!$H:$H,'ELC TECH'!$E:$E)="Storage",DF$4*$BF110,"")</f>
        <v/>
      </c>
      <c r="DG110" s="8" t="str">
        <f>IF(_xlfn.XLOOKUP($B110,'ELC TECH'!$H:$H,'ELC TECH'!$E:$E)="Storage",DG$4*$BF110,"")</f>
        <v/>
      </c>
      <c r="DH110" s="8" t="str">
        <f>IF(_xlfn.XLOOKUP($B110,'ELC TECH'!$H:$H,'ELC TECH'!$E:$E)="Storage",DH$4*$BF110,"")</f>
        <v/>
      </c>
      <c r="DI110" s="8" t="str">
        <f>IF(_xlfn.XLOOKUP($B110,'ELC TECH'!$H:$H,'ELC TECH'!$E:$E)="Storage",DI$4*$BF110,"")</f>
        <v/>
      </c>
    </row>
    <row r="111" spans="2:113" x14ac:dyDescent="0.25">
      <c r="B111" t="str">
        <f>IF('ELC TECH'!I104=0,"*",'ELC TECH'!H104)</f>
        <v>ELCSOLGRDUPVC420</v>
      </c>
      <c r="C111" t="str">
        <f>IF(_xlfn.XLOOKUP(_xlfn.XLOOKUP(B111,'ELC TECH'!$H:$H,'ELC TECH'!$G:$G),List!C:C,List!B:B)="STG",D111,"ELC"&amp;_xlfn.XLOOKUP(_xlfn.XLOOKUP(B111,'ELC TECH'!H:H,'ELC TECH'!G:G),List!C:C,List!B:B))</f>
        <v>ELCSOL</v>
      </c>
      <c r="D111" t="s">
        <v>544</v>
      </c>
      <c r="E111">
        <f>_xlfn.XLOOKUP(B111,'ELC TECH'!H:H,'ELC TECH'!D:D)</f>
        <v>2020</v>
      </c>
      <c r="F111">
        <f>_xlfn.XLOOKUP(B111,'ELC TECH'!H:H,'ELC TECH'!K:K)</f>
        <v>30</v>
      </c>
      <c r="G111">
        <f t="shared" si="7"/>
        <v>31.535999999999998</v>
      </c>
      <c r="H111">
        <f>IF(_xlfn.XLOOKUP(B111,'ELC TECH'!$H:$H,'ELC TECH'!$E:$E)="Storage",0.3,IF(_xlfn.XLOOKUP(B111,'ELC TECH'!$H:$H,'ELC TECH'!$E:$E)="Baseload",0.9,IF(_xlfn.XLOOKUP(B111,'ELC TECH'!$H:$H,'ELC TECH'!$E:$E)="Non Dispatchable",0.05,IF(_xlfn.XLOOKUP(B111,'ELC TECH'!$H:$H,'ELC TECH'!$E:$E)="Dispatchable",0.9,1))))</f>
        <v>0.05</v>
      </c>
      <c r="I111" s="13">
        <f>IF(_xlfn.XLOOKUP(B111,'ELC TECH'!H:H,'ELC TECH'!J:J)="","",_xlfn.XLOOKUP(B111,'ELC TECH'!H:H,'ELC TECH'!J:J))</f>
        <v>0</v>
      </c>
      <c r="J111" s="12">
        <f>IF(_xlfn.XLOOKUP($B111,'ELC TECH'!$H:$H,'ELC TECH'!$E:$E)="Storage","",IF(_xlfn.XLOOKUP($B111,'ELC TECH'!$H:$H,'ELC TECH'!AK:AK)="",1,_xlfn.XLOOKUP($B111,'ELC TECH'!$H:$H,'ELC TECH'!AK:AK)))</f>
        <v>1</v>
      </c>
      <c r="K111" s="12">
        <f>IF(_xlfn.XLOOKUP($B111,'ELC TECH'!$H:$H,'ELC TECH'!$E:$E)="Storage","",IF(_xlfn.XLOOKUP($B111,'ELC TECH'!$H:$H,'ELC TECH'!AL:AL)="",1,_xlfn.XLOOKUP($B111,'ELC TECH'!$H:$H,'ELC TECH'!AL:AL)))</f>
        <v>1</v>
      </c>
      <c r="L111" s="12">
        <f>IF(_xlfn.XLOOKUP($B111,'ELC TECH'!$H:$H,'ELC TECH'!$E:$E)="Storage","",IF(_xlfn.XLOOKUP($B111,'ELC TECH'!$H:$H,'ELC TECH'!AM:AM)="",1,_xlfn.XLOOKUP($B111,'ELC TECH'!$H:$H,'ELC TECH'!AM:AM)))</f>
        <v>1</v>
      </c>
      <c r="M111" s="12">
        <f>IF(_xlfn.XLOOKUP($B111,'ELC TECH'!$H:$H,'ELC TECH'!$E:$E)="Storage","",IF(_xlfn.XLOOKUP($B111,'ELC TECH'!$H:$H,'ELC TECH'!AN:AN)="",1,_xlfn.XLOOKUP($B111,'ELC TECH'!$H:$H,'ELC TECH'!AN:AN)))</f>
        <v>1</v>
      </c>
      <c r="N111" s="12">
        <f>IF(_xlfn.XLOOKUP($B111,'ELC TECH'!$H:$H,'ELC TECH'!$E:$E)="Storage","",IF(_xlfn.XLOOKUP($B111,'ELC TECH'!$H:$H,'ELC TECH'!AO:AO)="",1,_xlfn.XLOOKUP($B111,'ELC TECH'!$H:$H,'ELC TECH'!AO:AO)))</f>
        <v>1</v>
      </c>
      <c r="O111" s="12">
        <f>IF(_xlfn.XLOOKUP($B111,'ELC TECH'!$H:$H,'ELC TECH'!$E:$E)="Storage","",IF(_xlfn.XLOOKUP($B111,'ELC TECH'!$H:$H,'ELC TECH'!AP:AP)="",1,_xlfn.XLOOKUP($B111,'ELC TECH'!$H:$H,'ELC TECH'!AP:AP)))</f>
        <v>1</v>
      </c>
      <c r="P111" s="12">
        <f>IF(_xlfn.XLOOKUP($B111,'ELC TECH'!$H:$H,'ELC TECH'!$E:$E)="Storage","",IF(_xlfn.XLOOKUP($B111,'ELC TECH'!$H:$H,'ELC TECH'!AQ:AQ)="",1,_xlfn.XLOOKUP($B111,'ELC TECH'!$H:$H,'ELC TECH'!AQ:AQ)))</f>
        <v>1</v>
      </c>
      <c r="Q111" s="12">
        <f>IF(_xlfn.XLOOKUP($B111,'ELC TECH'!$H:$H,'ELC TECH'!$E:$E)="Storage","",IF(_xlfn.XLOOKUP($B111,'ELC TECH'!$H:$H,'ELC TECH'!AR:AR)="",1,_xlfn.XLOOKUP($B111,'ELC TECH'!$H:$H,'ELC TECH'!AR:AR)))</f>
        <v>1</v>
      </c>
      <c r="R111" s="12" t="str">
        <f>IF(_xlfn.XLOOKUP($B111,'ELC TECH'!$H:$H,'ELC TECH'!$E:$E)&lt;&gt;"Storage","",IF(_xlfn.XLOOKUP($B111,'ELC TECH'!$H:$H,'ELC TECH'!AK:AK)="",0.8,_xlfn.XLOOKUP($B111,'ELC TECH'!$H:$H,'ELC TECH'!AK:AK)))</f>
        <v/>
      </c>
      <c r="S111" s="12" t="str">
        <f>IF(_xlfn.XLOOKUP($B111,'ELC TECH'!$H:$H,'ELC TECH'!$E:$E)&lt;&gt;"Storage","",IF(_xlfn.XLOOKUP($B111,'ELC TECH'!$H:$H,'ELC TECH'!AL:AL)="",0.8,_xlfn.XLOOKUP($B111,'ELC TECH'!$H:$H,'ELC TECH'!AL:AL)))</f>
        <v/>
      </c>
      <c r="T111" s="12" t="str">
        <f>IF(_xlfn.XLOOKUP($B111,'ELC TECH'!$H:$H,'ELC TECH'!$E:$E)&lt;&gt;"Storage","",IF(_xlfn.XLOOKUP($B111,'ELC TECH'!$H:$H,'ELC TECH'!AM:AM)="",0.8,_xlfn.XLOOKUP($B111,'ELC TECH'!$H:$H,'ELC TECH'!AM:AM)))</f>
        <v/>
      </c>
      <c r="U111" s="12" t="str">
        <f>IF(_xlfn.XLOOKUP($B111,'ELC TECH'!$H:$H,'ELC TECH'!$E:$E)&lt;&gt;"Storage","",IF(_xlfn.XLOOKUP($B111,'ELC TECH'!$H:$H,'ELC TECH'!AN:AN)="",0.8,_xlfn.XLOOKUP($B111,'ELC TECH'!$H:$H,'ELC TECH'!AN:AN)))</f>
        <v/>
      </c>
      <c r="V111" s="12" t="str">
        <f>IF(_xlfn.XLOOKUP($B111,'ELC TECH'!$H:$H,'ELC TECH'!$E:$E)&lt;&gt;"Storage","",IF(_xlfn.XLOOKUP($B111,'ELC TECH'!$H:$H,'ELC TECH'!AO:AO)="",0.8,_xlfn.XLOOKUP($B111,'ELC TECH'!$H:$H,'ELC TECH'!AO:AO)))</f>
        <v/>
      </c>
      <c r="W111" s="12" t="str">
        <f>IF(_xlfn.XLOOKUP($B111,'ELC TECH'!$H:$H,'ELC TECH'!$E:$E)&lt;&gt;"Storage","",IF(_xlfn.XLOOKUP($B111,'ELC TECH'!$H:$H,'ELC TECH'!AP:AP)="",0.8,_xlfn.XLOOKUP($B111,'ELC TECH'!$H:$H,'ELC TECH'!AP:AP)))</f>
        <v/>
      </c>
      <c r="X111" s="12" t="str">
        <f>IF(_xlfn.XLOOKUP($B111,'ELC TECH'!$H:$H,'ELC TECH'!$E:$E)&lt;&gt;"Storage","",IF(_xlfn.XLOOKUP($B111,'ELC TECH'!$H:$H,'ELC TECH'!AQ:AQ)="",0.8,_xlfn.XLOOKUP($B111,'ELC TECH'!$H:$H,'ELC TECH'!AQ:AQ)))</f>
        <v/>
      </c>
      <c r="Y111" s="12" t="str">
        <f>IF(_xlfn.XLOOKUP($B111,'ELC TECH'!$H:$H,'ELC TECH'!$E:$E)&lt;&gt;"Storage","",IF(_xlfn.XLOOKUP($B111,'ELC TECH'!$H:$H,'ELC TECH'!AR:AR)="",0.8,_xlfn.XLOOKUP($B111,'ELC TECH'!$H:$H,'ELC TECH'!AR:AR)))</f>
        <v/>
      </c>
      <c r="Z111" s="15">
        <f>_xlfn.XLOOKUP($B111,'ELC TECH'!$H:$H,'ELC TECH'!M:M)</f>
        <v>1408.7255732468459</v>
      </c>
      <c r="AA111" s="15">
        <f>_xlfn.XLOOKUP($B111,'ELC TECH'!$H:$H,'ELC TECH'!N:N)</f>
        <v>1361.639988003599</v>
      </c>
      <c r="AB111" s="15">
        <f>_xlfn.XLOOKUP($B111,'ELC TECH'!$H:$H,'ELC TECH'!O:O)</f>
        <v>1133.299589912358</v>
      </c>
      <c r="AC111" s="15">
        <f>_xlfn.XLOOKUP($B111,'ELC TECH'!$H:$H,'ELC TECH'!P:P)</f>
        <v>904.95919182111663</v>
      </c>
      <c r="AD111" s="15">
        <f>_xlfn.XLOOKUP($B111,'ELC TECH'!$H:$H,'ELC TECH'!Q:Q)</f>
        <v>833.38868486743809</v>
      </c>
      <c r="AE111" s="15">
        <f>_xlfn.XLOOKUP($B111,'ELC TECH'!$H:$H,'ELC TECH'!R:R)</f>
        <v>761.81817791375954</v>
      </c>
      <c r="AF111" s="15">
        <f>_xlfn.XLOOKUP($B111,'ELC TECH'!$H:$H,'ELC TECH'!S:S)</f>
        <v>690.24767096007986</v>
      </c>
      <c r="AG111" s="15">
        <f>_xlfn.XLOOKUP($B111,'ELC TECH'!$H:$H,'ELC TECH'!T:T)</f>
        <v>690.24767096007986</v>
      </c>
      <c r="AH111" s="15">
        <f>_xlfn.XLOOKUP($B111,'ELC TECH'!$H:$H,'ELC TECH'!U:U)</f>
        <v>25.474928501147339</v>
      </c>
      <c r="AI111" s="15">
        <f>_xlfn.XLOOKUP($B111,'ELC TECH'!$H:$H,'ELC TECH'!V:V)</f>
        <v>23.161525476034619</v>
      </c>
      <c r="AJ111" s="15">
        <f>_xlfn.XLOOKUP($B111,'ELC TECH'!$H:$H,'ELC TECH'!W:W)</f>
        <v>20.33362233495237</v>
      </c>
      <c r="AK111" s="15">
        <f>_xlfn.XLOOKUP($B111,'ELC TECH'!$H:$H,'ELC TECH'!X:X)</f>
        <v>17.547705083846161</v>
      </c>
      <c r="AL111" s="15">
        <f>_xlfn.XLOOKUP($B111,'ELC TECH'!$H:$H,'ELC TECH'!Y:Y)</f>
        <v>16.785562476399669</v>
      </c>
      <c r="AM111" s="15">
        <f>_xlfn.XLOOKUP($B111,'ELC TECH'!$H:$H,'ELC TECH'!Z:Z)</f>
        <v>16.023491074974441</v>
      </c>
      <c r="AN111" s="15">
        <f>_xlfn.XLOOKUP($B111,'ELC TECH'!$H:$H,'ELC TECH'!AA:AA)</f>
        <v>15.26149145474046</v>
      </c>
      <c r="AO111" s="15">
        <f>_xlfn.XLOOKUP($B111,'ELC TECH'!$H:$H,'ELC TECH'!AB:AB)</f>
        <v>15.26149145474046</v>
      </c>
      <c r="AP111" s="15">
        <f>_xlfn.XLOOKUP($B111,'ELC TECH'!$H:$H,'ELC TECH'!AC:AC)</f>
        <v>0</v>
      </c>
      <c r="AQ111" s="15">
        <f>_xlfn.XLOOKUP($B111,'ELC TECH'!$H:$H,'ELC TECH'!AD:AD)</f>
        <v>0</v>
      </c>
      <c r="AR111" s="15">
        <f>_xlfn.XLOOKUP($B111,'ELC TECH'!$H:$H,'ELC TECH'!AE:AE)</f>
        <v>0</v>
      </c>
      <c r="AS111" s="15">
        <f>_xlfn.XLOOKUP($B111,'ELC TECH'!$H:$H,'ELC TECH'!AF:AF)</f>
        <v>0</v>
      </c>
      <c r="AT111" s="15">
        <f>_xlfn.XLOOKUP($B111,'ELC TECH'!$H:$H,'ELC TECH'!AG:AG)</f>
        <v>0</v>
      </c>
      <c r="AU111" s="15">
        <f>_xlfn.XLOOKUP($B111,'ELC TECH'!$H:$H,'ELC TECH'!AH:AH)</f>
        <v>0</v>
      </c>
      <c r="AV111" s="15">
        <f>_xlfn.XLOOKUP($B111,'ELC TECH'!$H:$H,'ELC TECH'!AI:AI)</f>
        <v>0</v>
      </c>
      <c r="AW111" s="15">
        <f>_xlfn.XLOOKUP($B111,'ELC TECH'!$H:$H,'ELC TECH'!AJ:AJ)</f>
        <v>0</v>
      </c>
      <c r="AX111" s="12">
        <f>IF(_xlfn.XLOOKUP($B111,'ELC TECH'!$H:$H,'ELC TECH'!$E:$E)="Storage","",_xlfn.XLOOKUP($B111,'ELC TECH'!$H:$H,'ELC TECH'!AS:AS))</f>
        <v>0.27470743745837201</v>
      </c>
      <c r="AY111" s="12">
        <f>IF(_xlfn.XLOOKUP($B111,'ELC TECH'!$H:$H,'ELC TECH'!$E:$E)="Storage","",_xlfn.XLOOKUP($B111,'ELC TECH'!$H:$H,'ELC TECH'!AT:AT))</f>
        <v>0.28148929329880301</v>
      </c>
      <c r="AZ111" s="12">
        <f>IF(_xlfn.XLOOKUP($B111,'ELC TECH'!$H:$H,'ELC TECH'!$E:$E)="Storage","",_xlfn.XLOOKUP($B111,'ELC TECH'!$H:$H,'ELC TECH'!AU:AU))</f>
        <v>0.28996661309934102</v>
      </c>
      <c r="BA111" s="12">
        <f>IF(_xlfn.XLOOKUP($B111,'ELC TECH'!$H:$H,'ELC TECH'!$E:$E)="Storage","",_xlfn.XLOOKUP($B111,'ELC TECH'!$H:$H,'ELC TECH'!AV:AV))</f>
        <v>0.29844393289987903</v>
      </c>
      <c r="BB111" s="12">
        <f>IF(_xlfn.XLOOKUP($B111,'ELC TECH'!$H:$H,'ELC TECH'!$E:$E)="Storage","",_xlfn.XLOOKUP($B111,'ELC TECH'!$H:$H,'ELC TECH'!AW:AW))</f>
        <v>0.30429277986023501</v>
      </c>
      <c r="BC111" s="12">
        <f>IF(_xlfn.XLOOKUP($B111,'ELC TECH'!$H:$H,'ELC TECH'!$E:$E)="Storage","",_xlfn.XLOOKUP($B111,'ELC TECH'!$H:$H,'ELC TECH'!AX:AX))</f>
        <v>0.31014162682059099</v>
      </c>
      <c r="BD111" s="12">
        <f>IF(_xlfn.XLOOKUP($B111,'ELC TECH'!$H:$H,'ELC TECH'!$E:$E)="Storage","",_xlfn.XLOOKUP($B111,'ELC TECH'!$H:$H,'ELC TECH'!AY:AY))</f>
        <v>0.31599047378094702</v>
      </c>
      <c r="BE111" s="12">
        <f>IF(_xlfn.XLOOKUP($B111,'ELC TECH'!$H:$H,'ELC TECH'!$E:$E)="Storage","",_xlfn.XLOOKUP($B111,'ELC TECH'!$H:$H,'ELC TECH'!AZ:AZ))</f>
        <v>0.31599047378094702</v>
      </c>
      <c r="BF111" s="12" t="str">
        <f>IF(_xlfn.XLOOKUP($B111,'ELC TECH'!$H:$H,'ELC TECH'!$E:$E)="Storage",_xlfn.XLOOKUP($B111,'ELC TECH'!$H:$H,'ELC TECH'!AS:AS),"")</f>
        <v/>
      </c>
      <c r="BG111" s="12" t="str">
        <f>IF(_xlfn.XLOOKUP($B111,'ELC TECH'!$H:$H,'ELC TECH'!$E:$E)="Storage",_xlfn.XLOOKUP($B111,'ELC TECH'!$H:$H,'ELC TECH'!AT:AT),"")</f>
        <v/>
      </c>
      <c r="BH111" s="12" t="str">
        <f>IF(_xlfn.XLOOKUP($B111,'ELC TECH'!$H:$H,'ELC TECH'!$E:$E)="Storage",_xlfn.XLOOKUP($B111,'ELC TECH'!$H:$H,'ELC TECH'!AU:AU),"")</f>
        <v/>
      </c>
      <c r="BI111" s="12" t="str">
        <f>IF(_xlfn.XLOOKUP($B111,'ELC TECH'!$H:$H,'ELC TECH'!$E:$E)="Storage",_xlfn.XLOOKUP($B111,'ELC TECH'!$H:$H,'ELC TECH'!AV:AV),"")</f>
        <v/>
      </c>
      <c r="BJ111" s="12" t="str">
        <f>IF(_xlfn.XLOOKUP($B111,'ELC TECH'!$H:$H,'ELC TECH'!$E:$E)="Storage",_xlfn.XLOOKUP($B111,'ELC TECH'!$H:$H,'ELC TECH'!AW:AW),"")</f>
        <v/>
      </c>
      <c r="BK111" s="12" t="str">
        <f>IF(_xlfn.XLOOKUP($B111,'ELC TECH'!$H:$H,'ELC TECH'!$E:$E)="Storage",_xlfn.XLOOKUP($B111,'ELC TECH'!$H:$H,'ELC TECH'!AX:AX),"")</f>
        <v/>
      </c>
      <c r="BL111" s="12" t="str">
        <f>IF(_xlfn.XLOOKUP($B111,'ELC TECH'!$H:$H,'ELC TECH'!$E:$E)="Storage",_xlfn.XLOOKUP($B111,'ELC TECH'!$H:$H,'ELC TECH'!AY:AY),"")</f>
        <v/>
      </c>
      <c r="BM111" s="12" t="str">
        <f>IF(_xlfn.XLOOKUP($B111,'ELC TECH'!$H:$H,'ELC TECH'!$E:$E)="Storage",_xlfn.XLOOKUP($B111,'ELC TECH'!$H:$H,'ELC TECH'!AZ:AZ),"")</f>
        <v/>
      </c>
      <c r="BN111" s="8">
        <f>IF(_xlfn.XLOOKUP($B111,'ELC TECH'!$H:$H,'ELC TECH'!$E:$E)="Non Dispatchable",IFERROR($AX111*_xlfn.XLOOKUP($C111,$BM$1:$BM$3,BN$1:BN$3)/SUMPRODUCT(_xlfn.XLOOKUP($C111,$BM$1:$BM$3,$BN$1:$BY$3),$BN$4:$BY$4),""),
"")</f>
        <v>0.42994526134615524</v>
      </c>
      <c r="BO111" s="8">
        <f>IF(_xlfn.XLOOKUP($B111,'ELC TECH'!$H:$H,'ELC TECH'!$E:$E)="Non Dispatchable",IFERROR($AX111*_xlfn.XLOOKUP($C111,$BM$1:$BM$3,BO$1:BO$3)/SUMPRODUCT(_xlfn.XLOOKUP($C111,$BM$1:$BM$3,$BN$1:$BY$3),$BN$4:$BY$4),""),
"")</f>
        <v>0.42994526134615524</v>
      </c>
      <c r="BP111" s="8">
        <f>IF(_xlfn.XLOOKUP($B111,'ELC TECH'!$H:$H,'ELC TECH'!$E:$E)="Non Dispatchable",IFERROR($AX111*_xlfn.XLOOKUP($C111,$BM$1:$BM$3,BP$1:BP$3)/SUMPRODUCT(_xlfn.XLOOKUP($C111,$BM$1:$BM$3,$BN$1:$BY$3),$BN$4:$BY$4),""),
"")</f>
        <v>4.2994526134615525E-2</v>
      </c>
      <c r="BQ111" s="8">
        <f>IF(_xlfn.XLOOKUP($B111,'ELC TECH'!$H:$H,'ELC TECH'!$E:$E)="Non Dispatchable",IFERROR($AX111*_xlfn.XLOOKUP($C111,$BM$1:$BM$3,BQ$1:BQ$3)/SUMPRODUCT(_xlfn.XLOOKUP($C111,$BM$1:$BM$3,$BN$1:$BY$3),$BN$4:$BY$4),""),
"")</f>
        <v>0</v>
      </c>
      <c r="BR111" s="8">
        <f>IF(_xlfn.XLOOKUP($B111,'ELC TECH'!$H:$H,'ELC TECH'!$E:$E)="Non Dispatchable",IFERROR($AX111*_xlfn.XLOOKUP($C111,$BM$1:$BM$3,BR$1:BR$3)/SUMPRODUCT(_xlfn.XLOOKUP($C111,$BM$1:$BM$3,$BN$1:$BY$3),$BN$4:$BY$4),""),
"")</f>
        <v>0.49518110082368116</v>
      </c>
      <c r="BS111" s="8">
        <f>IF(_xlfn.XLOOKUP($B111,'ELC TECH'!$H:$H,'ELC TECH'!$E:$E)="Non Dispatchable",IFERROR($AX111*_xlfn.XLOOKUP($C111,$BM$1:$BM$3,BS$1:BS$3)/SUMPRODUCT(_xlfn.XLOOKUP($C111,$BM$1:$BM$3,$BN$1:$BY$3),$BN$4:$BY$4),""),
"")</f>
        <v>0.49518110082368116</v>
      </c>
      <c r="BT111" s="8">
        <f>IF(_xlfn.XLOOKUP($B111,'ELC TECH'!$H:$H,'ELC TECH'!$E:$E)="Non Dispatchable",IFERROR($AX111*_xlfn.XLOOKUP($C111,$BM$1:$BM$3,BT$1:BT$3)/SUMPRODUCT(_xlfn.XLOOKUP($C111,$BM$1:$BM$3,$BN$1:$BY$3),$BN$4:$BY$4),""),
"")</f>
        <v>4.9518110082368123E-2</v>
      </c>
      <c r="BU111" s="8">
        <f>IF(_xlfn.XLOOKUP($B111,'ELC TECH'!$H:$H,'ELC TECH'!$E:$E)="Non Dispatchable",IFERROR($AX111*_xlfn.XLOOKUP($C111,$BM$1:$BM$3,BU$1:BU$3)/SUMPRODUCT(_xlfn.XLOOKUP($C111,$BM$1:$BM$3,$BN$1:$BY$3),$BN$4:$BY$4),""),
"")</f>
        <v>0</v>
      </c>
      <c r="BV111" s="8">
        <f>IF(_xlfn.XLOOKUP($B111,'ELC TECH'!$H:$H,'ELC TECH'!$E:$E)="Non Dispatchable",IFERROR($AX111*_xlfn.XLOOKUP($C111,$BM$1:$BM$3,BV$1:BV$3)/SUMPRODUCT(_xlfn.XLOOKUP($C111,$BM$1:$BM$3,$BN$1:$BY$3),$BN$4:$BY$4),""),
"")</f>
        <v>0.41426195621098483</v>
      </c>
      <c r="BW111" s="8">
        <f>IF(_xlfn.XLOOKUP($B111,'ELC TECH'!$H:$H,'ELC TECH'!$E:$E)="Non Dispatchable",IFERROR($AX111*_xlfn.XLOOKUP($C111,$BM$1:$BM$3,BW$1:BW$3)/SUMPRODUCT(_xlfn.XLOOKUP($C111,$BM$1:$BM$3,$BN$1:$BY$3),$BN$4:$BY$4),""),
"")</f>
        <v>0.41426195621098483</v>
      </c>
      <c r="BX111" s="8">
        <f>IF(_xlfn.XLOOKUP($B111,'ELC TECH'!$H:$H,'ELC TECH'!$E:$E)="Non Dispatchable",IFERROR($AX111*_xlfn.XLOOKUP($C111,$BM$1:$BM$3,BX$1:BX$3)/SUMPRODUCT(_xlfn.XLOOKUP($C111,$BM$1:$BM$3,$BN$1:$BY$3),$BN$4:$BY$4),""),
"")</f>
        <v>4.1426195621098477E-2</v>
      </c>
      <c r="BY111" s="8">
        <f>IF(_xlfn.XLOOKUP($B111,'ELC TECH'!$H:$H,'ELC TECH'!$E:$E)="Non Dispatchable",IFERROR($AX111*_xlfn.XLOOKUP($C111,$BM$1:$BM$3,BY$1:BY$3)/SUMPRODUCT(_xlfn.XLOOKUP($C111,$BM$1:$BM$3,$BN$1:$BY$3),$BN$4:$BY$4),""),
"")</f>
        <v>0</v>
      </c>
      <c r="BZ111" s="8">
        <f>IF(_xlfn.XLOOKUP($B111,'ELC TECH'!$H:$H,'ELC TECH'!$E:$E)="Non Dispatchable",IFERROR($AX111*_xlfn.XLOOKUP($C111,$BM$1:$BM$3,BZ$1:BZ$3)/SUMPRODUCT(_xlfn.XLOOKUP($C111,$BM$1:$BM$3,$BN$1:$BY$3),$BN$4:$BY$4),""),
"")</f>
        <v>0.42994526134615524</v>
      </c>
      <c r="CA111" s="8">
        <f>IF(_xlfn.XLOOKUP($B111,'ELC TECH'!$H:$H,'ELC TECH'!$E:$E)="Non Dispatchable",IFERROR($AX111*_xlfn.XLOOKUP($C111,$BM$1:$BM$3,CA$1:CA$3)/SUMPRODUCT(_xlfn.XLOOKUP($C111,$BM$1:$BM$3,$BN$1:$BY$3),$BN$4:$BY$4),""),
"")</f>
        <v>0.42994526134615524</v>
      </c>
      <c r="CB111" s="8">
        <f>IF(_xlfn.XLOOKUP($B111,'ELC TECH'!$H:$H,'ELC TECH'!$E:$E)="Non Dispatchable",IFERROR($AX111*_xlfn.XLOOKUP($C111,$BM$1:$BM$3,CB$1:CB$3)/SUMPRODUCT(_xlfn.XLOOKUP($C111,$BM$1:$BM$3,$BN$1:$BY$3),$BN$4:$BY$4),""),
"")</f>
        <v>4.2994526134615525E-2</v>
      </c>
      <c r="CC111" s="8">
        <f>IF(_xlfn.XLOOKUP($B111,'ELC TECH'!$H:$H,'ELC TECH'!$E:$E)="Non Dispatchable",IFERROR($AX111*_xlfn.XLOOKUP($C111,$BM$1:$BM$3,CC$1:CC$3)/SUMPRODUCT(_xlfn.XLOOKUP($C111,$BM$1:$BM$3,$BN$1:$BY$3),$BN$4:$BY$4),""),
"")</f>
        <v>0</v>
      </c>
      <c r="CD111" s="8">
        <f>IF(_xlfn.XLOOKUP($B111,'ELC TECH'!$H:$H,'ELC TECH'!$E:$E)="Non Dispatchable",IFERROR($AX111*_xlfn.XLOOKUP($C111,$BM$1:$BM$3,CD$1:CD$3)/SUMPRODUCT(_xlfn.XLOOKUP($C111,$BM$1:$BM$3,$BN$1:$BY$3),$BN$4:$BY$4),""),
"")</f>
        <v>0.49518110082368116</v>
      </c>
      <c r="CE111" s="8">
        <f>IF(_xlfn.XLOOKUP($B111,'ELC TECH'!$H:$H,'ELC TECH'!$E:$E)="Non Dispatchable",IFERROR($AX111*_xlfn.XLOOKUP($C111,$BM$1:$BM$3,CE$1:CE$3)/SUMPRODUCT(_xlfn.XLOOKUP($C111,$BM$1:$BM$3,$BN$1:$BY$3),$BN$4:$BY$4),""),
"")</f>
        <v>0.49518110082368116</v>
      </c>
      <c r="CF111" s="8">
        <f>IF(_xlfn.XLOOKUP($B111,'ELC TECH'!$H:$H,'ELC TECH'!$E:$E)="Non Dispatchable",IFERROR($AX111*_xlfn.XLOOKUP($C111,$BM$1:$BM$3,CF$1:CF$3)/SUMPRODUCT(_xlfn.XLOOKUP($C111,$BM$1:$BM$3,$BN$1:$BY$3),$BN$4:$BY$4),""),
"")</f>
        <v>4.9518110082368123E-2</v>
      </c>
      <c r="CG111" s="8">
        <f>IF(_xlfn.XLOOKUP($B111,'ELC TECH'!$H:$H,'ELC TECH'!$E:$E)="Non Dispatchable",IFERROR($AX111*_xlfn.XLOOKUP($C111,$BM$1:$BM$3,CG$1:CG$3)/SUMPRODUCT(_xlfn.XLOOKUP($C111,$BM$1:$BM$3,$BN$1:$BY$3),$BN$4:$BY$4),""),
"")</f>
        <v>0</v>
      </c>
      <c r="CH111" s="8">
        <f>IF(_xlfn.XLOOKUP($B111,'ELC TECH'!$H:$H,'ELC TECH'!$E:$E)="Non Dispatchable",IFERROR($AX111*_xlfn.XLOOKUP($C111,$BM$1:$BM$3,CH$1:CH$3)/SUMPRODUCT(_xlfn.XLOOKUP($C111,$BM$1:$BM$3,$BN$1:$BY$3),$BN$4:$BY$4),""),
"")</f>
        <v>0.41426195621098483</v>
      </c>
      <c r="CI111" s="8">
        <f>IF(_xlfn.XLOOKUP($B111,'ELC TECH'!$H:$H,'ELC TECH'!$E:$E)="Non Dispatchable",IFERROR($AX111*_xlfn.XLOOKUP($C111,$BM$1:$BM$3,CI$1:CI$3)/SUMPRODUCT(_xlfn.XLOOKUP($C111,$BM$1:$BM$3,$BN$1:$BY$3),$BN$4:$BY$4),""),
"")</f>
        <v>0.41426195621098483</v>
      </c>
      <c r="CJ111" s="8">
        <f>IF(_xlfn.XLOOKUP($B111,'ELC TECH'!$H:$H,'ELC TECH'!$E:$E)="Non Dispatchable",IFERROR($AX111*_xlfn.XLOOKUP($C111,$BM$1:$BM$3,CJ$1:CJ$3)/SUMPRODUCT(_xlfn.XLOOKUP($C111,$BM$1:$BM$3,$BN$1:$BY$3),$BN$4:$BY$4),""),
"")</f>
        <v>4.1426195621098477E-2</v>
      </c>
      <c r="CK111" s="8">
        <f>IF(_xlfn.XLOOKUP($B111,'ELC TECH'!$H:$H,'ELC TECH'!$E:$E)="Non Dispatchable",IFERROR($AX111*_xlfn.XLOOKUP($C111,$BM$1:$BM$3,CK$1:CK$3)/SUMPRODUCT(_xlfn.XLOOKUP($C111,$BM$1:$BM$3,$BN$1:$BY$3),$BN$4:$BY$4),""),
"")</f>
        <v>0</v>
      </c>
      <c r="CL111" s="8" t="str">
        <f>IF(_xlfn.XLOOKUP($B111,'ELC TECH'!$H:$H,'ELC TECH'!$E:$E)="Storage",CL$4*$BF111,"")</f>
        <v/>
      </c>
      <c r="CM111" s="8" t="str">
        <f>IF(_xlfn.XLOOKUP($B111,'ELC TECH'!$H:$H,'ELC TECH'!$E:$E)="Storage",CM$4*$BF111,"")</f>
        <v/>
      </c>
      <c r="CN111" s="8" t="str">
        <f>IF(_xlfn.XLOOKUP($B111,'ELC TECH'!$H:$H,'ELC TECH'!$E:$E)="Storage",CN$4*$BF111,"")</f>
        <v/>
      </c>
      <c r="CO111" s="8" t="str">
        <f>IF(_xlfn.XLOOKUP($B111,'ELC TECH'!$H:$H,'ELC TECH'!$E:$E)="Storage",CO$4*$BF111,"")</f>
        <v/>
      </c>
      <c r="CP111" s="8" t="str">
        <f>IF(_xlfn.XLOOKUP($B111,'ELC TECH'!$H:$H,'ELC TECH'!$E:$E)="Storage",CP$4*$BF111,"")</f>
        <v/>
      </c>
      <c r="CQ111" s="8" t="str">
        <f>IF(_xlfn.XLOOKUP($B111,'ELC TECH'!$H:$H,'ELC TECH'!$E:$E)="Storage",CQ$4*$BF111,"")</f>
        <v/>
      </c>
      <c r="CR111" s="8" t="str">
        <f>IF(_xlfn.XLOOKUP($B111,'ELC TECH'!$H:$H,'ELC TECH'!$E:$E)="Storage",CR$4*$BF111,"")</f>
        <v/>
      </c>
      <c r="CS111" s="8" t="str">
        <f>IF(_xlfn.XLOOKUP($B111,'ELC TECH'!$H:$H,'ELC TECH'!$E:$E)="Storage",CS$4*$BF111,"")</f>
        <v/>
      </c>
      <c r="CT111" s="8" t="str">
        <f>IF(_xlfn.XLOOKUP($B111,'ELC TECH'!$H:$H,'ELC TECH'!$E:$E)="Storage",CT$4*$BF111,"")</f>
        <v/>
      </c>
      <c r="CU111" s="8" t="str">
        <f>IF(_xlfn.XLOOKUP($B111,'ELC TECH'!$H:$H,'ELC TECH'!$E:$E)="Storage",CU$4*$BF111,"")</f>
        <v/>
      </c>
      <c r="CV111" s="8" t="str">
        <f>IF(_xlfn.XLOOKUP($B111,'ELC TECH'!$H:$H,'ELC TECH'!$E:$E)="Storage",CV$4*$BF111,"")</f>
        <v/>
      </c>
      <c r="CW111" s="8" t="str">
        <f>IF(_xlfn.XLOOKUP($B111,'ELC TECH'!$H:$H,'ELC TECH'!$E:$E)="Storage",CW$4*$BF111,"")</f>
        <v/>
      </c>
      <c r="CX111" s="8" t="str">
        <f>IF(_xlfn.XLOOKUP($B111,'ELC TECH'!$H:$H,'ELC TECH'!$E:$E)="Storage",CX$4*$BF111,"")</f>
        <v/>
      </c>
      <c r="CY111" s="8" t="str">
        <f>IF(_xlfn.XLOOKUP($B111,'ELC TECH'!$H:$H,'ELC TECH'!$E:$E)="Storage",CY$4*$BF111,"")</f>
        <v/>
      </c>
      <c r="CZ111" s="8" t="str">
        <f>IF(_xlfn.XLOOKUP($B111,'ELC TECH'!$H:$H,'ELC TECH'!$E:$E)="Storage",CZ$4*$BF111,"")</f>
        <v/>
      </c>
      <c r="DA111" s="8" t="str">
        <f>IF(_xlfn.XLOOKUP($B111,'ELC TECH'!$H:$H,'ELC TECH'!$E:$E)="Storage",DA$4*$BF111,"")</f>
        <v/>
      </c>
      <c r="DB111" s="8" t="str">
        <f>IF(_xlfn.XLOOKUP($B111,'ELC TECH'!$H:$H,'ELC TECH'!$E:$E)="Storage",DB$4*$BF111,"")</f>
        <v/>
      </c>
      <c r="DC111" s="8" t="str">
        <f>IF(_xlfn.XLOOKUP($B111,'ELC TECH'!$H:$H,'ELC TECH'!$E:$E)="Storage",DC$4*$BF111,"")</f>
        <v/>
      </c>
      <c r="DD111" s="8" t="str">
        <f>IF(_xlfn.XLOOKUP($B111,'ELC TECH'!$H:$H,'ELC TECH'!$E:$E)="Storage",DD$4*$BF111,"")</f>
        <v/>
      </c>
      <c r="DE111" s="8" t="str">
        <f>IF(_xlfn.XLOOKUP($B111,'ELC TECH'!$H:$H,'ELC TECH'!$E:$E)="Storage",DE$4*$BF111,"")</f>
        <v/>
      </c>
      <c r="DF111" s="8" t="str">
        <f>IF(_xlfn.XLOOKUP($B111,'ELC TECH'!$H:$H,'ELC TECH'!$E:$E)="Storage",DF$4*$BF111,"")</f>
        <v/>
      </c>
      <c r="DG111" s="8" t="str">
        <f>IF(_xlfn.XLOOKUP($B111,'ELC TECH'!$H:$H,'ELC TECH'!$E:$E)="Storage",DG$4*$BF111,"")</f>
        <v/>
      </c>
      <c r="DH111" s="8" t="str">
        <f>IF(_xlfn.XLOOKUP($B111,'ELC TECH'!$H:$H,'ELC TECH'!$E:$E)="Storage",DH$4*$BF111,"")</f>
        <v/>
      </c>
      <c r="DI111" s="8" t="str">
        <f>IF(_xlfn.XLOOKUP($B111,'ELC TECH'!$H:$H,'ELC TECH'!$E:$E)="Storage",DI$4*$BF111,"")</f>
        <v/>
      </c>
    </row>
    <row r="112" spans="2:113" x14ac:dyDescent="0.25">
      <c r="B112" t="str">
        <f>IF('ELC TECH'!I105=0,"*",'ELC TECH'!H105)</f>
        <v>ELCSOLGRDUPVC520</v>
      </c>
      <c r="C112" t="str">
        <f>IF(_xlfn.XLOOKUP(_xlfn.XLOOKUP(B112,'ELC TECH'!$H:$H,'ELC TECH'!$G:$G),List!C:C,List!B:B)="STG",D112,"ELC"&amp;_xlfn.XLOOKUP(_xlfn.XLOOKUP(B112,'ELC TECH'!H:H,'ELC TECH'!G:G),List!C:C,List!B:B))</f>
        <v>ELCSOL</v>
      </c>
      <c r="D112" t="s">
        <v>544</v>
      </c>
      <c r="E112">
        <f>_xlfn.XLOOKUP(B112,'ELC TECH'!H:H,'ELC TECH'!D:D)</f>
        <v>2020</v>
      </c>
      <c r="F112">
        <f>_xlfn.XLOOKUP(B112,'ELC TECH'!H:H,'ELC TECH'!K:K)</f>
        <v>30</v>
      </c>
      <c r="G112">
        <f t="shared" si="7"/>
        <v>31.535999999999998</v>
      </c>
      <c r="H112">
        <f>IF(_xlfn.XLOOKUP(B112,'ELC TECH'!$H:$H,'ELC TECH'!$E:$E)="Storage",0.3,IF(_xlfn.XLOOKUP(B112,'ELC TECH'!$H:$H,'ELC TECH'!$E:$E)="Baseload",0.9,IF(_xlfn.XLOOKUP(B112,'ELC TECH'!$H:$H,'ELC TECH'!$E:$E)="Non Dispatchable",0.05,IF(_xlfn.XLOOKUP(B112,'ELC TECH'!$H:$H,'ELC TECH'!$E:$E)="Dispatchable",0.9,1))))</f>
        <v>0.05</v>
      </c>
      <c r="I112" s="13">
        <f>IF(_xlfn.XLOOKUP(B112,'ELC TECH'!H:H,'ELC TECH'!J:J)="","",_xlfn.XLOOKUP(B112,'ELC TECH'!H:H,'ELC TECH'!J:J))</f>
        <v>0</v>
      </c>
      <c r="J112" s="12">
        <f>IF(_xlfn.XLOOKUP($B112,'ELC TECH'!$H:$H,'ELC TECH'!$E:$E)="Storage","",IF(_xlfn.XLOOKUP($B112,'ELC TECH'!$H:$H,'ELC TECH'!AK:AK)="",1,_xlfn.XLOOKUP($B112,'ELC TECH'!$H:$H,'ELC TECH'!AK:AK)))</f>
        <v>1</v>
      </c>
      <c r="K112" s="12">
        <f>IF(_xlfn.XLOOKUP($B112,'ELC TECH'!$H:$H,'ELC TECH'!$E:$E)="Storage","",IF(_xlfn.XLOOKUP($B112,'ELC TECH'!$H:$H,'ELC TECH'!AL:AL)="",1,_xlfn.XLOOKUP($B112,'ELC TECH'!$H:$H,'ELC TECH'!AL:AL)))</f>
        <v>1</v>
      </c>
      <c r="L112" s="12">
        <f>IF(_xlfn.XLOOKUP($B112,'ELC TECH'!$H:$H,'ELC TECH'!$E:$E)="Storage","",IF(_xlfn.XLOOKUP($B112,'ELC TECH'!$H:$H,'ELC TECH'!AM:AM)="",1,_xlfn.XLOOKUP($B112,'ELC TECH'!$H:$H,'ELC TECH'!AM:AM)))</f>
        <v>1</v>
      </c>
      <c r="M112" s="12">
        <f>IF(_xlfn.XLOOKUP($B112,'ELC TECH'!$H:$H,'ELC TECH'!$E:$E)="Storage","",IF(_xlfn.XLOOKUP($B112,'ELC TECH'!$H:$H,'ELC TECH'!AN:AN)="",1,_xlfn.XLOOKUP($B112,'ELC TECH'!$H:$H,'ELC TECH'!AN:AN)))</f>
        <v>1</v>
      </c>
      <c r="N112" s="12">
        <f>IF(_xlfn.XLOOKUP($B112,'ELC TECH'!$H:$H,'ELC TECH'!$E:$E)="Storage","",IF(_xlfn.XLOOKUP($B112,'ELC TECH'!$H:$H,'ELC TECH'!AO:AO)="",1,_xlfn.XLOOKUP($B112,'ELC TECH'!$H:$H,'ELC TECH'!AO:AO)))</f>
        <v>1</v>
      </c>
      <c r="O112" s="12">
        <f>IF(_xlfn.XLOOKUP($B112,'ELC TECH'!$H:$H,'ELC TECH'!$E:$E)="Storage","",IF(_xlfn.XLOOKUP($B112,'ELC TECH'!$H:$H,'ELC TECH'!AP:AP)="",1,_xlfn.XLOOKUP($B112,'ELC TECH'!$H:$H,'ELC TECH'!AP:AP)))</f>
        <v>1</v>
      </c>
      <c r="P112" s="12">
        <f>IF(_xlfn.XLOOKUP($B112,'ELC TECH'!$H:$H,'ELC TECH'!$E:$E)="Storage","",IF(_xlfn.XLOOKUP($B112,'ELC TECH'!$H:$H,'ELC TECH'!AQ:AQ)="",1,_xlfn.XLOOKUP($B112,'ELC TECH'!$H:$H,'ELC TECH'!AQ:AQ)))</f>
        <v>1</v>
      </c>
      <c r="Q112" s="12">
        <f>IF(_xlfn.XLOOKUP($B112,'ELC TECH'!$H:$H,'ELC TECH'!$E:$E)="Storage","",IF(_xlfn.XLOOKUP($B112,'ELC TECH'!$H:$H,'ELC TECH'!AR:AR)="",1,_xlfn.XLOOKUP($B112,'ELC TECH'!$H:$H,'ELC TECH'!AR:AR)))</f>
        <v>1</v>
      </c>
      <c r="R112" s="12" t="str">
        <f>IF(_xlfn.XLOOKUP($B112,'ELC TECH'!$H:$H,'ELC TECH'!$E:$E)&lt;&gt;"Storage","",IF(_xlfn.XLOOKUP($B112,'ELC TECH'!$H:$H,'ELC TECH'!AK:AK)="",0.8,_xlfn.XLOOKUP($B112,'ELC TECH'!$H:$H,'ELC TECH'!AK:AK)))</f>
        <v/>
      </c>
      <c r="S112" s="12" t="str">
        <f>IF(_xlfn.XLOOKUP($B112,'ELC TECH'!$H:$H,'ELC TECH'!$E:$E)&lt;&gt;"Storage","",IF(_xlfn.XLOOKUP($B112,'ELC TECH'!$H:$H,'ELC TECH'!AL:AL)="",0.8,_xlfn.XLOOKUP($B112,'ELC TECH'!$H:$H,'ELC TECH'!AL:AL)))</f>
        <v/>
      </c>
      <c r="T112" s="12" t="str">
        <f>IF(_xlfn.XLOOKUP($B112,'ELC TECH'!$H:$H,'ELC TECH'!$E:$E)&lt;&gt;"Storage","",IF(_xlfn.XLOOKUP($B112,'ELC TECH'!$H:$H,'ELC TECH'!AM:AM)="",0.8,_xlfn.XLOOKUP($B112,'ELC TECH'!$H:$H,'ELC TECH'!AM:AM)))</f>
        <v/>
      </c>
      <c r="U112" s="12" t="str">
        <f>IF(_xlfn.XLOOKUP($B112,'ELC TECH'!$H:$H,'ELC TECH'!$E:$E)&lt;&gt;"Storage","",IF(_xlfn.XLOOKUP($B112,'ELC TECH'!$H:$H,'ELC TECH'!AN:AN)="",0.8,_xlfn.XLOOKUP($B112,'ELC TECH'!$H:$H,'ELC TECH'!AN:AN)))</f>
        <v/>
      </c>
      <c r="V112" s="12" t="str">
        <f>IF(_xlfn.XLOOKUP($B112,'ELC TECH'!$H:$H,'ELC TECH'!$E:$E)&lt;&gt;"Storage","",IF(_xlfn.XLOOKUP($B112,'ELC TECH'!$H:$H,'ELC TECH'!AO:AO)="",0.8,_xlfn.XLOOKUP($B112,'ELC TECH'!$H:$H,'ELC TECH'!AO:AO)))</f>
        <v/>
      </c>
      <c r="W112" s="12" t="str">
        <f>IF(_xlfn.XLOOKUP($B112,'ELC TECH'!$H:$H,'ELC TECH'!$E:$E)&lt;&gt;"Storage","",IF(_xlfn.XLOOKUP($B112,'ELC TECH'!$H:$H,'ELC TECH'!AP:AP)="",0.8,_xlfn.XLOOKUP($B112,'ELC TECH'!$H:$H,'ELC TECH'!AP:AP)))</f>
        <v/>
      </c>
      <c r="X112" s="12" t="str">
        <f>IF(_xlfn.XLOOKUP($B112,'ELC TECH'!$H:$H,'ELC TECH'!$E:$E)&lt;&gt;"Storage","",IF(_xlfn.XLOOKUP($B112,'ELC TECH'!$H:$H,'ELC TECH'!AQ:AQ)="",0.8,_xlfn.XLOOKUP($B112,'ELC TECH'!$H:$H,'ELC TECH'!AQ:AQ)))</f>
        <v/>
      </c>
      <c r="Y112" s="12" t="str">
        <f>IF(_xlfn.XLOOKUP($B112,'ELC TECH'!$H:$H,'ELC TECH'!$E:$E)&lt;&gt;"Storage","",IF(_xlfn.XLOOKUP($B112,'ELC TECH'!$H:$H,'ELC TECH'!AR:AR)="",0.8,_xlfn.XLOOKUP($B112,'ELC TECH'!$H:$H,'ELC TECH'!AR:AR)))</f>
        <v/>
      </c>
      <c r="Z112" s="15">
        <f>_xlfn.XLOOKUP($B112,'ELC TECH'!$H:$H,'ELC TECH'!M:M)</f>
        <v>1408.7255732468459</v>
      </c>
      <c r="AA112" s="15">
        <f>_xlfn.XLOOKUP($B112,'ELC TECH'!$H:$H,'ELC TECH'!N:N)</f>
        <v>1361.639988003599</v>
      </c>
      <c r="AB112" s="15">
        <f>_xlfn.XLOOKUP($B112,'ELC TECH'!$H:$H,'ELC TECH'!O:O)</f>
        <v>1133.299589912358</v>
      </c>
      <c r="AC112" s="15">
        <f>_xlfn.XLOOKUP($B112,'ELC TECH'!$H:$H,'ELC TECH'!P:P)</f>
        <v>904.95919182111663</v>
      </c>
      <c r="AD112" s="15">
        <f>_xlfn.XLOOKUP($B112,'ELC TECH'!$H:$H,'ELC TECH'!Q:Q)</f>
        <v>833.38868486743809</v>
      </c>
      <c r="AE112" s="15">
        <f>_xlfn.XLOOKUP($B112,'ELC TECH'!$H:$H,'ELC TECH'!R:R)</f>
        <v>761.81817791375954</v>
      </c>
      <c r="AF112" s="15">
        <f>_xlfn.XLOOKUP($B112,'ELC TECH'!$H:$H,'ELC TECH'!S:S)</f>
        <v>690.24767096007986</v>
      </c>
      <c r="AG112" s="15">
        <f>_xlfn.XLOOKUP($B112,'ELC TECH'!$H:$H,'ELC TECH'!T:T)</f>
        <v>690.24767096007986</v>
      </c>
      <c r="AH112" s="15">
        <f>_xlfn.XLOOKUP($B112,'ELC TECH'!$H:$H,'ELC TECH'!U:U)</f>
        <v>25.474928501147339</v>
      </c>
      <c r="AI112" s="15">
        <f>_xlfn.XLOOKUP($B112,'ELC TECH'!$H:$H,'ELC TECH'!V:V)</f>
        <v>23.161525476034619</v>
      </c>
      <c r="AJ112" s="15">
        <f>_xlfn.XLOOKUP($B112,'ELC TECH'!$H:$H,'ELC TECH'!W:W)</f>
        <v>20.33362233495237</v>
      </c>
      <c r="AK112" s="15">
        <f>_xlfn.XLOOKUP($B112,'ELC TECH'!$H:$H,'ELC TECH'!X:X)</f>
        <v>17.547705083846161</v>
      </c>
      <c r="AL112" s="15">
        <f>_xlfn.XLOOKUP($B112,'ELC TECH'!$H:$H,'ELC TECH'!Y:Y)</f>
        <v>16.785562476399669</v>
      </c>
      <c r="AM112" s="15">
        <f>_xlfn.XLOOKUP($B112,'ELC TECH'!$H:$H,'ELC TECH'!Z:Z)</f>
        <v>16.023491074974441</v>
      </c>
      <c r="AN112" s="15">
        <f>_xlfn.XLOOKUP($B112,'ELC TECH'!$H:$H,'ELC TECH'!AA:AA)</f>
        <v>15.26149145474046</v>
      </c>
      <c r="AO112" s="15">
        <f>_xlfn.XLOOKUP($B112,'ELC TECH'!$H:$H,'ELC TECH'!AB:AB)</f>
        <v>15.26149145474046</v>
      </c>
      <c r="AP112" s="15">
        <f>_xlfn.XLOOKUP($B112,'ELC TECH'!$H:$H,'ELC TECH'!AC:AC)</f>
        <v>0</v>
      </c>
      <c r="AQ112" s="15">
        <f>_xlfn.XLOOKUP($B112,'ELC TECH'!$H:$H,'ELC TECH'!AD:AD)</f>
        <v>0</v>
      </c>
      <c r="AR112" s="15">
        <f>_xlfn.XLOOKUP($B112,'ELC TECH'!$H:$H,'ELC TECH'!AE:AE)</f>
        <v>0</v>
      </c>
      <c r="AS112" s="15">
        <f>_xlfn.XLOOKUP($B112,'ELC TECH'!$H:$H,'ELC TECH'!AF:AF)</f>
        <v>0</v>
      </c>
      <c r="AT112" s="15">
        <f>_xlfn.XLOOKUP($B112,'ELC TECH'!$H:$H,'ELC TECH'!AG:AG)</f>
        <v>0</v>
      </c>
      <c r="AU112" s="15">
        <f>_xlfn.XLOOKUP($B112,'ELC TECH'!$H:$H,'ELC TECH'!AH:AH)</f>
        <v>0</v>
      </c>
      <c r="AV112" s="15">
        <f>_xlfn.XLOOKUP($B112,'ELC TECH'!$H:$H,'ELC TECH'!AI:AI)</f>
        <v>0</v>
      </c>
      <c r="AW112" s="15">
        <f>_xlfn.XLOOKUP($B112,'ELC TECH'!$H:$H,'ELC TECH'!AJ:AJ)</f>
        <v>0</v>
      </c>
      <c r="AX112" s="12">
        <f>IF(_xlfn.XLOOKUP($B112,'ELC TECH'!$H:$H,'ELC TECH'!$E:$E)="Storage","",_xlfn.XLOOKUP($B112,'ELC TECH'!$H:$H,'ELC TECH'!AS:AS))</f>
        <v>0.30297949893350101</v>
      </c>
      <c r="AY112" s="12">
        <f>IF(_xlfn.XLOOKUP($B112,'ELC TECH'!$H:$H,'ELC TECH'!$E:$E)="Storage","",_xlfn.XLOOKUP($B112,'ELC TECH'!$H:$H,'ELC TECH'!AT:AT))</f>
        <v>0.30974988165310702</v>
      </c>
      <c r="AZ112" s="12">
        <f>IF(_xlfn.XLOOKUP($B112,'ELC TECH'!$H:$H,'ELC TECH'!$E:$E)="Storage","",_xlfn.XLOOKUP($B112,'ELC TECH'!$H:$H,'ELC TECH'!AU:AU))</f>
        <v>0.31821286005261501</v>
      </c>
      <c r="BA112" s="12">
        <f>IF(_xlfn.XLOOKUP($B112,'ELC TECH'!$H:$H,'ELC TECH'!$E:$E)="Storage","",_xlfn.XLOOKUP($B112,'ELC TECH'!$H:$H,'ELC TECH'!AV:AV))</f>
        <v>0.326675838452123</v>
      </c>
      <c r="BB112" s="12">
        <f>IF(_xlfn.XLOOKUP($B112,'ELC TECH'!$H:$H,'ELC TECH'!$E:$E)="Storage","",_xlfn.XLOOKUP($B112,'ELC TECH'!$H:$H,'ELC TECH'!AW:AW))</f>
        <v>0.33273033738785301</v>
      </c>
      <c r="BC112" s="12">
        <f>IF(_xlfn.XLOOKUP($B112,'ELC TECH'!$H:$H,'ELC TECH'!$E:$E)="Storage","",_xlfn.XLOOKUP($B112,'ELC TECH'!$H:$H,'ELC TECH'!AX:AX))</f>
        <v>0.33878483632358303</v>
      </c>
      <c r="BD112" s="12">
        <f>IF(_xlfn.XLOOKUP($B112,'ELC TECH'!$H:$H,'ELC TECH'!$E:$E)="Storage","",_xlfn.XLOOKUP($B112,'ELC TECH'!$H:$H,'ELC TECH'!AY:AY))</f>
        <v>0.34483933525931398</v>
      </c>
      <c r="BE112" s="12">
        <f>IF(_xlfn.XLOOKUP($B112,'ELC TECH'!$H:$H,'ELC TECH'!$E:$E)="Storage","",_xlfn.XLOOKUP($B112,'ELC TECH'!$H:$H,'ELC TECH'!AZ:AZ))</f>
        <v>0.34483933525931398</v>
      </c>
      <c r="BF112" s="12" t="str">
        <f>IF(_xlfn.XLOOKUP($B112,'ELC TECH'!$H:$H,'ELC TECH'!$E:$E)="Storage",_xlfn.XLOOKUP($B112,'ELC TECH'!$H:$H,'ELC TECH'!AS:AS),"")</f>
        <v/>
      </c>
      <c r="BG112" s="12" t="str">
        <f>IF(_xlfn.XLOOKUP($B112,'ELC TECH'!$H:$H,'ELC TECH'!$E:$E)="Storage",_xlfn.XLOOKUP($B112,'ELC TECH'!$H:$H,'ELC TECH'!AT:AT),"")</f>
        <v/>
      </c>
      <c r="BH112" s="12" t="str">
        <f>IF(_xlfn.XLOOKUP($B112,'ELC TECH'!$H:$H,'ELC TECH'!$E:$E)="Storage",_xlfn.XLOOKUP($B112,'ELC TECH'!$H:$H,'ELC TECH'!AU:AU),"")</f>
        <v/>
      </c>
      <c r="BI112" s="12" t="str">
        <f>IF(_xlfn.XLOOKUP($B112,'ELC TECH'!$H:$H,'ELC TECH'!$E:$E)="Storage",_xlfn.XLOOKUP($B112,'ELC TECH'!$H:$H,'ELC TECH'!AV:AV),"")</f>
        <v/>
      </c>
      <c r="BJ112" s="12" t="str">
        <f>IF(_xlfn.XLOOKUP($B112,'ELC TECH'!$H:$H,'ELC TECH'!$E:$E)="Storage",_xlfn.XLOOKUP($B112,'ELC TECH'!$H:$H,'ELC TECH'!AW:AW),"")</f>
        <v/>
      </c>
      <c r="BK112" s="12" t="str">
        <f>IF(_xlfn.XLOOKUP($B112,'ELC TECH'!$H:$H,'ELC TECH'!$E:$E)="Storage",_xlfn.XLOOKUP($B112,'ELC TECH'!$H:$H,'ELC TECH'!AX:AX),"")</f>
        <v/>
      </c>
      <c r="BL112" s="12" t="str">
        <f>IF(_xlfn.XLOOKUP($B112,'ELC TECH'!$H:$H,'ELC TECH'!$E:$E)="Storage",_xlfn.XLOOKUP($B112,'ELC TECH'!$H:$H,'ELC TECH'!AY:AY),"")</f>
        <v/>
      </c>
      <c r="BM112" s="12" t="str">
        <f>IF(_xlfn.XLOOKUP($B112,'ELC TECH'!$H:$H,'ELC TECH'!$E:$E)="Storage",_xlfn.XLOOKUP($B112,'ELC TECH'!$H:$H,'ELC TECH'!AZ:AZ),"")</f>
        <v/>
      </c>
      <c r="BN112" s="8">
        <f>IF(_xlfn.XLOOKUP($B112,'ELC TECH'!$H:$H,'ELC TECH'!$E:$E)="Non Dispatchable",IFERROR($AX112*_xlfn.XLOOKUP($C112,$BM$1:$BM$3,BN$1:BN$3)/SUMPRODUCT(_xlfn.XLOOKUP($C112,$BM$1:$BM$3,$BN$1:$BY$3),$BN$4:$BY$4),""),
"")</f>
        <v>0.47419393175778501</v>
      </c>
      <c r="BO112" s="8">
        <f>IF(_xlfn.XLOOKUP($B112,'ELC TECH'!$H:$H,'ELC TECH'!$E:$E)="Non Dispatchable",IFERROR($AX112*_xlfn.XLOOKUP($C112,$BM$1:$BM$3,BO$1:BO$3)/SUMPRODUCT(_xlfn.XLOOKUP($C112,$BM$1:$BM$3,$BN$1:$BY$3),$BN$4:$BY$4),""),
"")</f>
        <v>0.47419393175778501</v>
      </c>
      <c r="BP112" s="8">
        <f>IF(_xlfn.XLOOKUP($B112,'ELC TECH'!$H:$H,'ELC TECH'!$E:$E)="Non Dispatchable",IFERROR($AX112*_xlfn.XLOOKUP($C112,$BM$1:$BM$3,BP$1:BP$3)/SUMPRODUCT(_xlfn.XLOOKUP($C112,$BM$1:$BM$3,$BN$1:$BY$3),$BN$4:$BY$4),""),
"")</f>
        <v>4.7419393175778507E-2</v>
      </c>
      <c r="BQ112" s="8">
        <f>IF(_xlfn.XLOOKUP($B112,'ELC TECH'!$H:$H,'ELC TECH'!$E:$E)="Non Dispatchable",IFERROR($AX112*_xlfn.XLOOKUP($C112,$BM$1:$BM$3,BQ$1:BQ$3)/SUMPRODUCT(_xlfn.XLOOKUP($C112,$BM$1:$BM$3,$BN$1:$BY$3),$BN$4:$BY$4),""),
"")</f>
        <v>0</v>
      </c>
      <c r="BR112" s="8">
        <f>IF(_xlfn.XLOOKUP($B112,'ELC TECH'!$H:$H,'ELC TECH'!$E:$E)="Non Dispatchable",IFERROR($AX112*_xlfn.XLOOKUP($C112,$BM$1:$BM$3,BR$1:BR$3)/SUMPRODUCT(_xlfn.XLOOKUP($C112,$BM$1:$BM$3,$BN$1:$BY$3),$BN$4:$BY$4),""),
"")</f>
        <v>0.54614364720879915</v>
      </c>
      <c r="BS112" s="8">
        <f>IF(_xlfn.XLOOKUP($B112,'ELC TECH'!$H:$H,'ELC TECH'!$E:$E)="Non Dispatchable",IFERROR($AX112*_xlfn.XLOOKUP($C112,$BM$1:$BM$3,BS$1:BS$3)/SUMPRODUCT(_xlfn.XLOOKUP($C112,$BM$1:$BM$3,$BN$1:$BY$3),$BN$4:$BY$4),""),
"")</f>
        <v>0.54614364720879915</v>
      </c>
      <c r="BT112" s="8">
        <f>IF(_xlfn.XLOOKUP($B112,'ELC TECH'!$H:$H,'ELC TECH'!$E:$E)="Non Dispatchable",IFERROR($AX112*_xlfn.XLOOKUP($C112,$BM$1:$BM$3,BT$1:BT$3)/SUMPRODUCT(_xlfn.XLOOKUP($C112,$BM$1:$BM$3,$BN$1:$BY$3),$BN$4:$BY$4),""),
"")</f>
        <v>5.4614364720879917E-2</v>
      </c>
      <c r="BU112" s="8">
        <f>IF(_xlfn.XLOOKUP($B112,'ELC TECH'!$H:$H,'ELC TECH'!$E:$E)="Non Dispatchable",IFERROR($AX112*_xlfn.XLOOKUP($C112,$BM$1:$BM$3,BU$1:BU$3)/SUMPRODUCT(_xlfn.XLOOKUP($C112,$BM$1:$BM$3,$BN$1:$BY$3),$BN$4:$BY$4),""),
"")</f>
        <v>0</v>
      </c>
      <c r="BV112" s="8">
        <f>IF(_xlfn.XLOOKUP($B112,'ELC TECH'!$H:$H,'ELC TECH'!$E:$E)="Non Dispatchable",IFERROR($AX112*_xlfn.XLOOKUP($C112,$BM$1:$BM$3,BV$1:BV$3)/SUMPRODUCT(_xlfn.XLOOKUP($C112,$BM$1:$BM$3,$BN$1:$BY$3),$BN$4:$BY$4),""),
"")</f>
        <v>0.45689654812871894</v>
      </c>
      <c r="BW112" s="8">
        <f>IF(_xlfn.XLOOKUP($B112,'ELC TECH'!$H:$H,'ELC TECH'!$E:$E)="Non Dispatchable",IFERROR($AX112*_xlfn.XLOOKUP($C112,$BM$1:$BM$3,BW$1:BW$3)/SUMPRODUCT(_xlfn.XLOOKUP($C112,$BM$1:$BM$3,$BN$1:$BY$3),$BN$4:$BY$4),""),
"")</f>
        <v>0.45689654812871894</v>
      </c>
      <c r="BX112" s="8">
        <f>IF(_xlfn.XLOOKUP($B112,'ELC TECH'!$H:$H,'ELC TECH'!$E:$E)="Non Dispatchable",IFERROR($AX112*_xlfn.XLOOKUP($C112,$BM$1:$BM$3,BX$1:BX$3)/SUMPRODUCT(_xlfn.XLOOKUP($C112,$BM$1:$BM$3,$BN$1:$BY$3),$BN$4:$BY$4),""),
"")</f>
        <v>4.5689654812871898E-2</v>
      </c>
      <c r="BY112" s="8">
        <f>IF(_xlfn.XLOOKUP($B112,'ELC TECH'!$H:$H,'ELC TECH'!$E:$E)="Non Dispatchable",IFERROR($AX112*_xlfn.XLOOKUP($C112,$BM$1:$BM$3,BY$1:BY$3)/SUMPRODUCT(_xlfn.XLOOKUP($C112,$BM$1:$BM$3,$BN$1:$BY$3),$BN$4:$BY$4),""),
"")</f>
        <v>0</v>
      </c>
      <c r="BZ112" s="8">
        <f>IF(_xlfn.XLOOKUP($B112,'ELC TECH'!$H:$H,'ELC TECH'!$E:$E)="Non Dispatchable",IFERROR($AX112*_xlfn.XLOOKUP($C112,$BM$1:$BM$3,BZ$1:BZ$3)/SUMPRODUCT(_xlfn.XLOOKUP($C112,$BM$1:$BM$3,$BN$1:$BY$3),$BN$4:$BY$4),""),
"")</f>
        <v>0.47419393175778501</v>
      </c>
      <c r="CA112" s="8">
        <f>IF(_xlfn.XLOOKUP($B112,'ELC TECH'!$H:$H,'ELC TECH'!$E:$E)="Non Dispatchable",IFERROR($AX112*_xlfn.XLOOKUP($C112,$BM$1:$BM$3,CA$1:CA$3)/SUMPRODUCT(_xlfn.XLOOKUP($C112,$BM$1:$BM$3,$BN$1:$BY$3),$BN$4:$BY$4),""),
"")</f>
        <v>0.47419393175778501</v>
      </c>
      <c r="CB112" s="8">
        <f>IF(_xlfn.XLOOKUP($B112,'ELC TECH'!$H:$H,'ELC TECH'!$E:$E)="Non Dispatchable",IFERROR($AX112*_xlfn.XLOOKUP($C112,$BM$1:$BM$3,CB$1:CB$3)/SUMPRODUCT(_xlfn.XLOOKUP($C112,$BM$1:$BM$3,$BN$1:$BY$3),$BN$4:$BY$4),""),
"")</f>
        <v>4.7419393175778507E-2</v>
      </c>
      <c r="CC112" s="8">
        <f>IF(_xlfn.XLOOKUP($B112,'ELC TECH'!$H:$H,'ELC TECH'!$E:$E)="Non Dispatchable",IFERROR($AX112*_xlfn.XLOOKUP($C112,$BM$1:$BM$3,CC$1:CC$3)/SUMPRODUCT(_xlfn.XLOOKUP($C112,$BM$1:$BM$3,$BN$1:$BY$3),$BN$4:$BY$4),""),
"")</f>
        <v>0</v>
      </c>
      <c r="CD112" s="8">
        <f>IF(_xlfn.XLOOKUP($B112,'ELC TECH'!$H:$H,'ELC TECH'!$E:$E)="Non Dispatchable",IFERROR($AX112*_xlfn.XLOOKUP($C112,$BM$1:$BM$3,CD$1:CD$3)/SUMPRODUCT(_xlfn.XLOOKUP($C112,$BM$1:$BM$3,$BN$1:$BY$3),$BN$4:$BY$4),""),
"")</f>
        <v>0.54614364720879915</v>
      </c>
      <c r="CE112" s="8">
        <f>IF(_xlfn.XLOOKUP($B112,'ELC TECH'!$H:$H,'ELC TECH'!$E:$E)="Non Dispatchable",IFERROR($AX112*_xlfn.XLOOKUP($C112,$BM$1:$BM$3,CE$1:CE$3)/SUMPRODUCT(_xlfn.XLOOKUP($C112,$BM$1:$BM$3,$BN$1:$BY$3),$BN$4:$BY$4),""),
"")</f>
        <v>0.54614364720879915</v>
      </c>
      <c r="CF112" s="8">
        <f>IF(_xlfn.XLOOKUP($B112,'ELC TECH'!$H:$H,'ELC TECH'!$E:$E)="Non Dispatchable",IFERROR($AX112*_xlfn.XLOOKUP($C112,$BM$1:$BM$3,CF$1:CF$3)/SUMPRODUCT(_xlfn.XLOOKUP($C112,$BM$1:$BM$3,$BN$1:$BY$3),$BN$4:$BY$4),""),
"")</f>
        <v>5.4614364720879917E-2</v>
      </c>
      <c r="CG112" s="8">
        <f>IF(_xlfn.XLOOKUP($B112,'ELC TECH'!$H:$H,'ELC TECH'!$E:$E)="Non Dispatchable",IFERROR($AX112*_xlfn.XLOOKUP($C112,$BM$1:$BM$3,CG$1:CG$3)/SUMPRODUCT(_xlfn.XLOOKUP($C112,$BM$1:$BM$3,$BN$1:$BY$3),$BN$4:$BY$4),""),
"")</f>
        <v>0</v>
      </c>
      <c r="CH112" s="8">
        <f>IF(_xlfn.XLOOKUP($B112,'ELC TECH'!$H:$H,'ELC TECH'!$E:$E)="Non Dispatchable",IFERROR($AX112*_xlfn.XLOOKUP($C112,$BM$1:$BM$3,CH$1:CH$3)/SUMPRODUCT(_xlfn.XLOOKUP($C112,$BM$1:$BM$3,$BN$1:$BY$3),$BN$4:$BY$4),""),
"")</f>
        <v>0.45689654812871894</v>
      </c>
      <c r="CI112" s="8">
        <f>IF(_xlfn.XLOOKUP($B112,'ELC TECH'!$H:$H,'ELC TECH'!$E:$E)="Non Dispatchable",IFERROR($AX112*_xlfn.XLOOKUP($C112,$BM$1:$BM$3,CI$1:CI$3)/SUMPRODUCT(_xlfn.XLOOKUP($C112,$BM$1:$BM$3,$BN$1:$BY$3),$BN$4:$BY$4),""),
"")</f>
        <v>0.45689654812871894</v>
      </c>
      <c r="CJ112" s="8">
        <f>IF(_xlfn.XLOOKUP($B112,'ELC TECH'!$H:$H,'ELC TECH'!$E:$E)="Non Dispatchable",IFERROR($AX112*_xlfn.XLOOKUP($C112,$BM$1:$BM$3,CJ$1:CJ$3)/SUMPRODUCT(_xlfn.XLOOKUP($C112,$BM$1:$BM$3,$BN$1:$BY$3),$BN$4:$BY$4),""),
"")</f>
        <v>4.5689654812871898E-2</v>
      </c>
      <c r="CK112" s="8">
        <f>IF(_xlfn.XLOOKUP($B112,'ELC TECH'!$H:$H,'ELC TECH'!$E:$E)="Non Dispatchable",IFERROR($AX112*_xlfn.XLOOKUP($C112,$BM$1:$BM$3,CK$1:CK$3)/SUMPRODUCT(_xlfn.XLOOKUP($C112,$BM$1:$BM$3,$BN$1:$BY$3),$BN$4:$BY$4),""),
"")</f>
        <v>0</v>
      </c>
      <c r="CL112" s="8" t="str">
        <f>IF(_xlfn.XLOOKUP($B112,'ELC TECH'!$H:$H,'ELC TECH'!$E:$E)="Storage",CL$4*$BF112,"")</f>
        <v/>
      </c>
      <c r="CM112" s="8" t="str">
        <f>IF(_xlfn.XLOOKUP($B112,'ELC TECH'!$H:$H,'ELC TECH'!$E:$E)="Storage",CM$4*$BF112,"")</f>
        <v/>
      </c>
      <c r="CN112" s="8" t="str">
        <f>IF(_xlfn.XLOOKUP($B112,'ELC TECH'!$H:$H,'ELC TECH'!$E:$E)="Storage",CN$4*$BF112,"")</f>
        <v/>
      </c>
      <c r="CO112" s="8" t="str">
        <f>IF(_xlfn.XLOOKUP($B112,'ELC TECH'!$H:$H,'ELC TECH'!$E:$E)="Storage",CO$4*$BF112,"")</f>
        <v/>
      </c>
      <c r="CP112" s="8" t="str">
        <f>IF(_xlfn.XLOOKUP($B112,'ELC TECH'!$H:$H,'ELC TECH'!$E:$E)="Storage",CP$4*$BF112,"")</f>
        <v/>
      </c>
      <c r="CQ112" s="8" t="str">
        <f>IF(_xlfn.XLOOKUP($B112,'ELC TECH'!$H:$H,'ELC TECH'!$E:$E)="Storage",CQ$4*$BF112,"")</f>
        <v/>
      </c>
      <c r="CR112" s="8" t="str">
        <f>IF(_xlfn.XLOOKUP($B112,'ELC TECH'!$H:$H,'ELC TECH'!$E:$E)="Storage",CR$4*$BF112,"")</f>
        <v/>
      </c>
      <c r="CS112" s="8" t="str">
        <f>IF(_xlfn.XLOOKUP($B112,'ELC TECH'!$H:$H,'ELC TECH'!$E:$E)="Storage",CS$4*$BF112,"")</f>
        <v/>
      </c>
      <c r="CT112" s="8" t="str">
        <f>IF(_xlfn.XLOOKUP($B112,'ELC TECH'!$H:$H,'ELC TECH'!$E:$E)="Storage",CT$4*$BF112,"")</f>
        <v/>
      </c>
      <c r="CU112" s="8" t="str">
        <f>IF(_xlfn.XLOOKUP($B112,'ELC TECH'!$H:$H,'ELC TECH'!$E:$E)="Storage",CU$4*$BF112,"")</f>
        <v/>
      </c>
      <c r="CV112" s="8" t="str">
        <f>IF(_xlfn.XLOOKUP($B112,'ELC TECH'!$H:$H,'ELC TECH'!$E:$E)="Storage",CV$4*$BF112,"")</f>
        <v/>
      </c>
      <c r="CW112" s="8" t="str">
        <f>IF(_xlfn.XLOOKUP($B112,'ELC TECH'!$H:$H,'ELC TECH'!$E:$E)="Storage",CW$4*$BF112,"")</f>
        <v/>
      </c>
      <c r="CX112" s="8" t="str">
        <f>IF(_xlfn.XLOOKUP($B112,'ELC TECH'!$H:$H,'ELC TECH'!$E:$E)="Storage",CX$4*$BF112,"")</f>
        <v/>
      </c>
      <c r="CY112" s="8" t="str">
        <f>IF(_xlfn.XLOOKUP($B112,'ELC TECH'!$H:$H,'ELC TECH'!$E:$E)="Storage",CY$4*$BF112,"")</f>
        <v/>
      </c>
      <c r="CZ112" s="8" t="str">
        <f>IF(_xlfn.XLOOKUP($B112,'ELC TECH'!$H:$H,'ELC TECH'!$E:$E)="Storage",CZ$4*$BF112,"")</f>
        <v/>
      </c>
      <c r="DA112" s="8" t="str">
        <f>IF(_xlfn.XLOOKUP($B112,'ELC TECH'!$H:$H,'ELC TECH'!$E:$E)="Storage",DA$4*$BF112,"")</f>
        <v/>
      </c>
      <c r="DB112" s="8" t="str">
        <f>IF(_xlfn.XLOOKUP($B112,'ELC TECH'!$H:$H,'ELC TECH'!$E:$E)="Storage",DB$4*$BF112,"")</f>
        <v/>
      </c>
      <c r="DC112" s="8" t="str">
        <f>IF(_xlfn.XLOOKUP($B112,'ELC TECH'!$H:$H,'ELC TECH'!$E:$E)="Storage",DC$4*$BF112,"")</f>
        <v/>
      </c>
      <c r="DD112" s="8" t="str">
        <f>IF(_xlfn.XLOOKUP($B112,'ELC TECH'!$H:$H,'ELC TECH'!$E:$E)="Storage",DD$4*$BF112,"")</f>
        <v/>
      </c>
      <c r="DE112" s="8" t="str">
        <f>IF(_xlfn.XLOOKUP($B112,'ELC TECH'!$H:$H,'ELC TECH'!$E:$E)="Storage",DE$4*$BF112,"")</f>
        <v/>
      </c>
      <c r="DF112" s="8" t="str">
        <f>IF(_xlfn.XLOOKUP($B112,'ELC TECH'!$H:$H,'ELC TECH'!$E:$E)="Storage",DF$4*$BF112,"")</f>
        <v/>
      </c>
      <c r="DG112" s="8" t="str">
        <f>IF(_xlfn.XLOOKUP($B112,'ELC TECH'!$H:$H,'ELC TECH'!$E:$E)="Storage",DG$4*$BF112,"")</f>
        <v/>
      </c>
      <c r="DH112" s="8" t="str">
        <f>IF(_xlfn.XLOOKUP($B112,'ELC TECH'!$H:$H,'ELC TECH'!$E:$E)="Storage",DH$4*$BF112,"")</f>
        <v/>
      </c>
      <c r="DI112" s="8" t="str">
        <f>IF(_xlfn.XLOOKUP($B112,'ELC TECH'!$H:$H,'ELC TECH'!$E:$E)="Storage",DI$4*$BF112,"")</f>
        <v/>
      </c>
    </row>
    <row r="113" spans="2:113" x14ac:dyDescent="0.25">
      <c r="B113" t="str">
        <f>IF('ELC TECH'!I106=0,"*",'ELC TECH'!H106)</f>
        <v>ELCGEOGRDDEGSB20</v>
      </c>
      <c r="C113" t="str">
        <f>IF(_xlfn.XLOOKUP(_xlfn.XLOOKUP(B113,'ELC TECH'!$H:$H,'ELC TECH'!$G:$G),List!C:C,List!B:B)="STG",D113,"ELC"&amp;_xlfn.XLOOKUP(_xlfn.XLOOKUP(B113,'ELC TECH'!H:H,'ELC TECH'!G:G),List!C:C,List!B:B))</f>
        <v>ELCGEO</v>
      </c>
      <c r="D113" t="s">
        <v>544</v>
      </c>
      <c r="E113">
        <f>_xlfn.XLOOKUP(B113,'ELC TECH'!H:H,'ELC TECH'!D:D)</f>
        <v>2020</v>
      </c>
      <c r="F113">
        <f>_xlfn.XLOOKUP(B113,'ELC TECH'!H:H,'ELC TECH'!K:K)</f>
        <v>30</v>
      </c>
      <c r="G113">
        <f t="shared" si="7"/>
        <v>31.535999999999998</v>
      </c>
      <c r="H113">
        <f>IF(_xlfn.XLOOKUP(B113,'ELC TECH'!$H:$H,'ELC TECH'!$E:$E)="Storage",0.3,IF(_xlfn.XLOOKUP(B113,'ELC TECH'!$H:$H,'ELC TECH'!$E:$E)="Baseload",0.9,IF(_xlfn.XLOOKUP(B113,'ELC TECH'!$H:$H,'ELC TECH'!$E:$E)="Non Dispatchable",0.05,IF(_xlfn.XLOOKUP(B113,'ELC TECH'!$H:$H,'ELC TECH'!$E:$E)="Dispatchable",0.9,1))))</f>
        <v>0.9</v>
      </c>
      <c r="I113" s="13">
        <f>IF(_xlfn.XLOOKUP(B113,'ELC TECH'!H:H,'ELC TECH'!J:J)="","",_xlfn.XLOOKUP(B113,'ELC TECH'!H:H,'ELC TECH'!J:J))</f>
        <v>0</v>
      </c>
      <c r="J113" s="12">
        <f>IF(_xlfn.XLOOKUP($B113,'ELC TECH'!$H:$H,'ELC TECH'!$E:$E)="Storage","",IF(_xlfn.XLOOKUP($B113,'ELC TECH'!$H:$H,'ELC TECH'!AK:AK)="",1,_xlfn.XLOOKUP($B113,'ELC TECH'!$H:$H,'ELC TECH'!AK:AK)))</f>
        <v>1</v>
      </c>
      <c r="K113" s="12">
        <f>IF(_xlfn.XLOOKUP($B113,'ELC TECH'!$H:$H,'ELC TECH'!$E:$E)="Storage","",IF(_xlfn.XLOOKUP($B113,'ELC TECH'!$H:$H,'ELC TECH'!AL:AL)="",1,_xlfn.XLOOKUP($B113,'ELC TECH'!$H:$H,'ELC TECH'!AL:AL)))</f>
        <v>1</v>
      </c>
      <c r="L113" s="12">
        <f>IF(_xlfn.XLOOKUP($B113,'ELC TECH'!$H:$H,'ELC TECH'!$E:$E)="Storage","",IF(_xlfn.XLOOKUP($B113,'ELC TECH'!$H:$H,'ELC TECH'!AM:AM)="",1,_xlfn.XLOOKUP($B113,'ELC TECH'!$H:$H,'ELC TECH'!AM:AM)))</f>
        <v>1</v>
      </c>
      <c r="M113" s="12">
        <f>IF(_xlfn.XLOOKUP($B113,'ELC TECH'!$H:$H,'ELC TECH'!$E:$E)="Storage","",IF(_xlfn.XLOOKUP($B113,'ELC TECH'!$H:$H,'ELC TECH'!AN:AN)="",1,_xlfn.XLOOKUP($B113,'ELC TECH'!$H:$H,'ELC TECH'!AN:AN)))</f>
        <v>1</v>
      </c>
      <c r="N113" s="12">
        <f>IF(_xlfn.XLOOKUP($B113,'ELC TECH'!$H:$H,'ELC TECH'!$E:$E)="Storage","",IF(_xlfn.XLOOKUP($B113,'ELC TECH'!$H:$H,'ELC TECH'!AO:AO)="",1,_xlfn.XLOOKUP($B113,'ELC TECH'!$H:$H,'ELC TECH'!AO:AO)))</f>
        <v>1</v>
      </c>
      <c r="O113" s="12">
        <f>IF(_xlfn.XLOOKUP($B113,'ELC TECH'!$H:$H,'ELC TECH'!$E:$E)="Storage","",IF(_xlfn.XLOOKUP($B113,'ELC TECH'!$H:$H,'ELC TECH'!AP:AP)="",1,_xlfn.XLOOKUP($B113,'ELC TECH'!$H:$H,'ELC TECH'!AP:AP)))</f>
        <v>1</v>
      </c>
      <c r="P113" s="12">
        <f>IF(_xlfn.XLOOKUP($B113,'ELC TECH'!$H:$H,'ELC TECH'!$E:$E)="Storage","",IF(_xlfn.XLOOKUP($B113,'ELC TECH'!$H:$H,'ELC TECH'!AQ:AQ)="",1,_xlfn.XLOOKUP($B113,'ELC TECH'!$H:$H,'ELC TECH'!AQ:AQ)))</f>
        <v>1</v>
      </c>
      <c r="Q113" s="12">
        <f>IF(_xlfn.XLOOKUP($B113,'ELC TECH'!$H:$H,'ELC TECH'!$E:$E)="Storage","",IF(_xlfn.XLOOKUP($B113,'ELC TECH'!$H:$H,'ELC TECH'!AR:AR)="",1,_xlfn.XLOOKUP($B113,'ELC TECH'!$H:$H,'ELC TECH'!AR:AR)))</f>
        <v>1</v>
      </c>
      <c r="R113" s="12" t="str">
        <f>IF(_xlfn.XLOOKUP($B113,'ELC TECH'!$H:$H,'ELC TECH'!$E:$E)&lt;&gt;"Storage","",IF(_xlfn.XLOOKUP($B113,'ELC TECH'!$H:$H,'ELC TECH'!AK:AK)="",0.8,_xlfn.XLOOKUP($B113,'ELC TECH'!$H:$H,'ELC TECH'!AK:AK)))</f>
        <v/>
      </c>
      <c r="S113" s="12" t="str">
        <f>IF(_xlfn.XLOOKUP($B113,'ELC TECH'!$H:$H,'ELC TECH'!$E:$E)&lt;&gt;"Storage","",IF(_xlfn.XLOOKUP($B113,'ELC TECH'!$H:$H,'ELC TECH'!AL:AL)="",0.8,_xlfn.XLOOKUP($B113,'ELC TECH'!$H:$H,'ELC TECH'!AL:AL)))</f>
        <v/>
      </c>
      <c r="T113" s="12" t="str">
        <f>IF(_xlfn.XLOOKUP($B113,'ELC TECH'!$H:$H,'ELC TECH'!$E:$E)&lt;&gt;"Storage","",IF(_xlfn.XLOOKUP($B113,'ELC TECH'!$H:$H,'ELC TECH'!AM:AM)="",0.8,_xlfn.XLOOKUP($B113,'ELC TECH'!$H:$H,'ELC TECH'!AM:AM)))</f>
        <v/>
      </c>
      <c r="U113" s="12" t="str">
        <f>IF(_xlfn.XLOOKUP($B113,'ELC TECH'!$H:$H,'ELC TECH'!$E:$E)&lt;&gt;"Storage","",IF(_xlfn.XLOOKUP($B113,'ELC TECH'!$H:$H,'ELC TECH'!AN:AN)="",0.8,_xlfn.XLOOKUP($B113,'ELC TECH'!$H:$H,'ELC TECH'!AN:AN)))</f>
        <v/>
      </c>
      <c r="V113" s="12" t="str">
        <f>IF(_xlfn.XLOOKUP($B113,'ELC TECH'!$H:$H,'ELC TECH'!$E:$E)&lt;&gt;"Storage","",IF(_xlfn.XLOOKUP($B113,'ELC TECH'!$H:$H,'ELC TECH'!AO:AO)="",0.8,_xlfn.XLOOKUP($B113,'ELC TECH'!$H:$H,'ELC TECH'!AO:AO)))</f>
        <v/>
      </c>
      <c r="W113" s="12" t="str">
        <f>IF(_xlfn.XLOOKUP($B113,'ELC TECH'!$H:$H,'ELC TECH'!$E:$E)&lt;&gt;"Storage","",IF(_xlfn.XLOOKUP($B113,'ELC TECH'!$H:$H,'ELC TECH'!AP:AP)="",0.8,_xlfn.XLOOKUP($B113,'ELC TECH'!$H:$H,'ELC TECH'!AP:AP)))</f>
        <v/>
      </c>
      <c r="X113" s="12" t="str">
        <f>IF(_xlfn.XLOOKUP($B113,'ELC TECH'!$H:$H,'ELC TECH'!$E:$E)&lt;&gt;"Storage","",IF(_xlfn.XLOOKUP($B113,'ELC TECH'!$H:$H,'ELC TECH'!AQ:AQ)="",0.8,_xlfn.XLOOKUP($B113,'ELC TECH'!$H:$H,'ELC TECH'!AQ:AQ)))</f>
        <v/>
      </c>
      <c r="Y113" s="12" t="str">
        <f>IF(_xlfn.XLOOKUP($B113,'ELC TECH'!$H:$H,'ELC TECH'!$E:$E)&lt;&gt;"Storage","",IF(_xlfn.XLOOKUP($B113,'ELC TECH'!$H:$H,'ELC TECH'!AR:AR)="",0.8,_xlfn.XLOOKUP($B113,'ELC TECH'!$H:$H,'ELC TECH'!AR:AR)))</f>
        <v/>
      </c>
      <c r="Z113" s="15">
        <f>_xlfn.XLOOKUP($B113,'ELC TECH'!$H:$H,'ELC TECH'!M:M)</f>
        <v>31460.697595854352</v>
      </c>
      <c r="AA113" s="15">
        <f>_xlfn.XLOOKUP($B113,'ELC TECH'!$H:$H,'ELC TECH'!N:N)</f>
        <v>14377.273679133061</v>
      </c>
      <c r="AB113" s="15">
        <f>_xlfn.XLOOKUP($B113,'ELC TECH'!$H:$H,'ELC TECH'!O:O)</f>
        <v>11831.270197437971</v>
      </c>
      <c r="AC113" s="15">
        <f>_xlfn.XLOOKUP($B113,'ELC TECH'!$H:$H,'ELC TECH'!P:P)</f>
        <v>10737.0754783266</v>
      </c>
      <c r="AD113" s="15">
        <f>_xlfn.XLOOKUP($B113,'ELC TECH'!$H:$H,'ELC TECH'!Q:Q)</f>
        <v>10471.319472413479</v>
      </c>
      <c r="AE113" s="15">
        <f>_xlfn.XLOOKUP($B113,'ELC TECH'!$H:$H,'ELC TECH'!R:R)</f>
        <v>10212.14125901206</v>
      </c>
      <c r="AF113" s="15">
        <f>_xlfn.XLOOKUP($B113,'ELC TECH'!$H:$H,'ELC TECH'!S:S)</f>
        <v>9959.3780295559682</v>
      </c>
      <c r="AG113" s="15">
        <f>_xlfn.XLOOKUP($B113,'ELC TECH'!$H:$H,'ELC TECH'!T:T)</f>
        <v>9959.3780295559682</v>
      </c>
      <c r="AH113" s="15">
        <f>_xlfn.XLOOKUP($B113,'ELC TECH'!$H:$H,'ELC TECH'!U:U)</f>
        <v>577.6944934023926</v>
      </c>
      <c r="AI113" s="15">
        <f>_xlfn.XLOOKUP($B113,'ELC TECH'!$H:$H,'ELC TECH'!V:V)</f>
        <v>475.06906559667732</v>
      </c>
      <c r="AJ113" s="15">
        <f>_xlfn.XLOOKUP($B113,'ELC TECH'!$H:$H,'ELC TECH'!W:W)</f>
        <v>346.78728083953479</v>
      </c>
      <c r="AK113" s="15">
        <f>_xlfn.XLOOKUP($B113,'ELC TECH'!$H:$H,'ELC TECH'!X:X)</f>
        <v>218.50549608239001</v>
      </c>
      <c r="AL113" s="15">
        <f>_xlfn.XLOOKUP($B113,'ELC TECH'!$H:$H,'ELC TECH'!Y:Y)</f>
        <v>218.50549608239001</v>
      </c>
      <c r="AM113" s="15">
        <f>_xlfn.XLOOKUP($B113,'ELC TECH'!$H:$H,'ELC TECH'!Z:Z)</f>
        <v>218.50549608239001</v>
      </c>
      <c r="AN113" s="15">
        <f>_xlfn.XLOOKUP($B113,'ELC TECH'!$H:$H,'ELC TECH'!AA:AA)</f>
        <v>218.50549608239001</v>
      </c>
      <c r="AO113" s="15">
        <f>_xlfn.XLOOKUP($B113,'ELC TECH'!$H:$H,'ELC TECH'!AB:AB)</f>
        <v>218.50549608239001</v>
      </c>
      <c r="AP113" s="15">
        <f>_xlfn.XLOOKUP($B113,'ELC TECH'!$H:$H,'ELC TECH'!AC:AC)</f>
        <v>0</v>
      </c>
      <c r="AQ113" s="15">
        <f>_xlfn.XLOOKUP($B113,'ELC TECH'!$H:$H,'ELC TECH'!AD:AD)</f>
        <v>0</v>
      </c>
      <c r="AR113" s="15">
        <f>_xlfn.XLOOKUP($B113,'ELC TECH'!$H:$H,'ELC TECH'!AE:AE)</f>
        <v>0</v>
      </c>
      <c r="AS113" s="15">
        <f>_xlfn.XLOOKUP($B113,'ELC TECH'!$H:$H,'ELC TECH'!AF:AF)</f>
        <v>0</v>
      </c>
      <c r="AT113" s="15">
        <f>_xlfn.XLOOKUP($B113,'ELC TECH'!$H:$H,'ELC TECH'!AG:AG)</f>
        <v>0</v>
      </c>
      <c r="AU113" s="15">
        <f>_xlfn.XLOOKUP($B113,'ELC TECH'!$H:$H,'ELC TECH'!AH:AH)</f>
        <v>0</v>
      </c>
      <c r="AV113" s="15">
        <f>_xlfn.XLOOKUP($B113,'ELC TECH'!$H:$H,'ELC TECH'!AI:AI)</f>
        <v>0</v>
      </c>
      <c r="AW113" s="15">
        <f>_xlfn.XLOOKUP($B113,'ELC TECH'!$H:$H,'ELC TECH'!AJ:AJ)</f>
        <v>0</v>
      </c>
      <c r="AX113" s="12">
        <f>IF(_xlfn.XLOOKUP($B113,'ELC TECH'!$H:$H,'ELC TECH'!$E:$E)="Storage","",_xlfn.XLOOKUP($B113,'ELC TECH'!$H:$H,'ELC TECH'!AS:AS))</f>
        <v>0.8</v>
      </c>
      <c r="AY113" s="12">
        <f>IF(_xlfn.XLOOKUP($B113,'ELC TECH'!$H:$H,'ELC TECH'!$E:$E)="Storage","",_xlfn.XLOOKUP($B113,'ELC TECH'!$H:$H,'ELC TECH'!AT:AT))</f>
        <v>0.8</v>
      </c>
      <c r="AZ113" s="12">
        <f>IF(_xlfn.XLOOKUP($B113,'ELC TECH'!$H:$H,'ELC TECH'!$E:$E)="Storage","",_xlfn.XLOOKUP($B113,'ELC TECH'!$H:$H,'ELC TECH'!AU:AU))</f>
        <v>0.8</v>
      </c>
      <c r="BA113" s="12">
        <f>IF(_xlfn.XLOOKUP($B113,'ELC TECH'!$H:$H,'ELC TECH'!$E:$E)="Storage","",_xlfn.XLOOKUP($B113,'ELC TECH'!$H:$H,'ELC TECH'!AV:AV))</f>
        <v>0.8</v>
      </c>
      <c r="BB113" s="12">
        <f>IF(_xlfn.XLOOKUP($B113,'ELC TECH'!$H:$H,'ELC TECH'!$E:$E)="Storage","",_xlfn.XLOOKUP($B113,'ELC TECH'!$H:$H,'ELC TECH'!AW:AW))</f>
        <v>0.8</v>
      </c>
      <c r="BC113" s="12">
        <f>IF(_xlfn.XLOOKUP($B113,'ELC TECH'!$H:$H,'ELC TECH'!$E:$E)="Storage","",_xlfn.XLOOKUP($B113,'ELC TECH'!$H:$H,'ELC TECH'!AX:AX))</f>
        <v>0.8</v>
      </c>
      <c r="BD113" s="12">
        <f>IF(_xlfn.XLOOKUP($B113,'ELC TECH'!$H:$H,'ELC TECH'!$E:$E)="Storage","",_xlfn.XLOOKUP($B113,'ELC TECH'!$H:$H,'ELC TECH'!AY:AY))</f>
        <v>0.8</v>
      </c>
      <c r="BE113" s="12">
        <f>IF(_xlfn.XLOOKUP($B113,'ELC TECH'!$H:$H,'ELC TECH'!$E:$E)="Storage","",_xlfn.XLOOKUP($B113,'ELC TECH'!$H:$H,'ELC TECH'!AZ:AZ))</f>
        <v>0.8</v>
      </c>
      <c r="BF113" s="12" t="str">
        <f>IF(_xlfn.XLOOKUP($B113,'ELC TECH'!$H:$H,'ELC TECH'!$E:$E)="Storage",_xlfn.XLOOKUP($B113,'ELC TECH'!$H:$H,'ELC TECH'!AS:AS),"")</f>
        <v/>
      </c>
      <c r="BG113" s="12" t="str">
        <f>IF(_xlfn.XLOOKUP($B113,'ELC TECH'!$H:$H,'ELC TECH'!$E:$E)="Storage",_xlfn.XLOOKUP($B113,'ELC TECH'!$H:$H,'ELC TECH'!AT:AT),"")</f>
        <v/>
      </c>
      <c r="BH113" s="12" t="str">
        <f>IF(_xlfn.XLOOKUP($B113,'ELC TECH'!$H:$H,'ELC TECH'!$E:$E)="Storage",_xlfn.XLOOKUP($B113,'ELC TECH'!$H:$H,'ELC TECH'!AU:AU),"")</f>
        <v/>
      </c>
      <c r="BI113" s="12" t="str">
        <f>IF(_xlfn.XLOOKUP($B113,'ELC TECH'!$H:$H,'ELC TECH'!$E:$E)="Storage",_xlfn.XLOOKUP($B113,'ELC TECH'!$H:$H,'ELC TECH'!AV:AV),"")</f>
        <v/>
      </c>
      <c r="BJ113" s="12" t="str">
        <f>IF(_xlfn.XLOOKUP($B113,'ELC TECH'!$H:$H,'ELC TECH'!$E:$E)="Storage",_xlfn.XLOOKUP($B113,'ELC TECH'!$H:$H,'ELC TECH'!AW:AW),"")</f>
        <v/>
      </c>
      <c r="BK113" s="12" t="str">
        <f>IF(_xlfn.XLOOKUP($B113,'ELC TECH'!$H:$H,'ELC TECH'!$E:$E)="Storage",_xlfn.XLOOKUP($B113,'ELC TECH'!$H:$H,'ELC TECH'!AX:AX),"")</f>
        <v/>
      </c>
      <c r="BL113" s="12" t="str">
        <f>IF(_xlfn.XLOOKUP($B113,'ELC TECH'!$H:$H,'ELC TECH'!$E:$E)="Storage",_xlfn.XLOOKUP($B113,'ELC TECH'!$H:$H,'ELC TECH'!AY:AY),"")</f>
        <v/>
      </c>
      <c r="BM113" s="12" t="str">
        <f>IF(_xlfn.XLOOKUP($B113,'ELC TECH'!$H:$H,'ELC TECH'!$E:$E)="Storage",_xlfn.XLOOKUP($B113,'ELC TECH'!$H:$H,'ELC TECH'!AZ:AZ),"")</f>
        <v/>
      </c>
      <c r="BN113" s="8" t="str">
        <f>IF(_xlfn.XLOOKUP($B113,'ELC TECH'!$H:$H,'ELC TECH'!$E:$E)="Non Dispatchable",IFERROR($AX113*_xlfn.XLOOKUP($C113,$BM$1:$BM$3,BN$1:BN$3)/SUMPRODUCT(_xlfn.XLOOKUP($C113,$BM$1:$BM$3,$BN$1:$BY$3),$BN$4:$BY$4),""),
"")</f>
        <v/>
      </c>
      <c r="BO113" s="8" t="str">
        <f>IF(_xlfn.XLOOKUP($B113,'ELC TECH'!$H:$H,'ELC TECH'!$E:$E)="Non Dispatchable",IFERROR($AX113*_xlfn.XLOOKUP($C113,$BM$1:$BM$3,BO$1:BO$3)/SUMPRODUCT(_xlfn.XLOOKUP($C113,$BM$1:$BM$3,$BN$1:$BY$3),$BN$4:$BY$4),""),
"")</f>
        <v/>
      </c>
      <c r="BP113" s="8" t="str">
        <f>IF(_xlfn.XLOOKUP($B113,'ELC TECH'!$H:$H,'ELC TECH'!$E:$E)="Non Dispatchable",IFERROR($AX113*_xlfn.XLOOKUP($C113,$BM$1:$BM$3,BP$1:BP$3)/SUMPRODUCT(_xlfn.XLOOKUP($C113,$BM$1:$BM$3,$BN$1:$BY$3),$BN$4:$BY$4),""),
"")</f>
        <v/>
      </c>
      <c r="BQ113" s="8" t="str">
        <f>IF(_xlfn.XLOOKUP($B113,'ELC TECH'!$H:$H,'ELC TECH'!$E:$E)="Non Dispatchable",IFERROR($AX113*_xlfn.XLOOKUP($C113,$BM$1:$BM$3,BQ$1:BQ$3)/SUMPRODUCT(_xlfn.XLOOKUP($C113,$BM$1:$BM$3,$BN$1:$BY$3),$BN$4:$BY$4),""),
"")</f>
        <v/>
      </c>
      <c r="BR113" s="8" t="str">
        <f>IF(_xlfn.XLOOKUP($B113,'ELC TECH'!$H:$H,'ELC TECH'!$E:$E)="Non Dispatchable",IFERROR($AX113*_xlfn.XLOOKUP($C113,$BM$1:$BM$3,BR$1:BR$3)/SUMPRODUCT(_xlfn.XLOOKUP($C113,$BM$1:$BM$3,$BN$1:$BY$3),$BN$4:$BY$4),""),
"")</f>
        <v/>
      </c>
      <c r="BS113" s="8" t="str">
        <f>IF(_xlfn.XLOOKUP($B113,'ELC TECH'!$H:$H,'ELC TECH'!$E:$E)="Non Dispatchable",IFERROR($AX113*_xlfn.XLOOKUP($C113,$BM$1:$BM$3,BS$1:BS$3)/SUMPRODUCT(_xlfn.XLOOKUP($C113,$BM$1:$BM$3,$BN$1:$BY$3),$BN$4:$BY$4),""),
"")</f>
        <v/>
      </c>
      <c r="BT113" s="8" t="str">
        <f>IF(_xlfn.XLOOKUP($B113,'ELC TECH'!$H:$H,'ELC TECH'!$E:$E)="Non Dispatchable",IFERROR($AX113*_xlfn.XLOOKUP($C113,$BM$1:$BM$3,BT$1:BT$3)/SUMPRODUCT(_xlfn.XLOOKUP($C113,$BM$1:$BM$3,$BN$1:$BY$3),$BN$4:$BY$4),""),
"")</f>
        <v/>
      </c>
      <c r="BU113" s="8" t="str">
        <f>IF(_xlfn.XLOOKUP($B113,'ELC TECH'!$H:$H,'ELC TECH'!$E:$E)="Non Dispatchable",IFERROR($AX113*_xlfn.XLOOKUP($C113,$BM$1:$BM$3,BU$1:BU$3)/SUMPRODUCT(_xlfn.XLOOKUP($C113,$BM$1:$BM$3,$BN$1:$BY$3),$BN$4:$BY$4),""),
"")</f>
        <v/>
      </c>
      <c r="BV113" s="8" t="str">
        <f>IF(_xlfn.XLOOKUP($B113,'ELC TECH'!$H:$H,'ELC TECH'!$E:$E)="Non Dispatchable",IFERROR($AX113*_xlfn.XLOOKUP($C113,$BM$1:$BM$3,BV$1:BV$3)/SUMPRODUCT(_xlfn.XLOOKUP($C113,$BM$1:$BM$3,$BN$1:$BY$3),$BN$4:$BY$4),""),
"")</f>
        <v/>
      </c>
      <c r="BW113" s="8" t="str">
        <f>IF(_xlfn.XLOOKUP($B113,'ELC TECH'!$H:$H,'ELC TECH'!$E:$E)="Non Dispatchable",IFERROR($AX113*_xlfn.XLOOKUP($C113,$BM$1:$BM$3,BW$1:BW$3)/SUMPRODUCT(_xlfn.XLOOKUP($C113,$BM$1:$BM$3,$BN$1:$BY$3),$BN$4:$BY$4),""),
"")</f>
        <v/>
      </c>
      <c r="BX113" s="8" t="str">
        <f>IF(_xlfn.XLOOKUP($B113,'ELC TECH'!$H:$H,'ELC TECH'!$E:$E)="Non Dispatchable",IFERROR($AX113*_xlfn.XLOOKUP($C113,$BM$1:$BM$3,BX$1:BX$3)/SUMPRODUCT(_xlfn.XLOOKUP($C113,$BM$1:$BM$3,$BN$1:$BY$3),$BN$4:$BY$4),""),
"")</f>
        <v/>
      </c>
      <c r="BY113" s="8" t="str">
        <f>IF(_xlfn.XLOOKUP($B113,'ELC TECH'!$H:$H,'ELC TECH'!$E:$E)="Non Dispatchable",IFERROR($AX113*_xlfn.XLOOKUP($C113,$BM$1:$BM$3,BY$1:BY$3)/SUMPRODUCT(_xlfn.XLOOKUP($C113,$BM$1:$BM$3,$BN$1:$BY$3),$BN$4:$BY$4),""),
"")</f>
        <v/>
      </c>
      <c r="BZ113" s="8" t="str">
        <f>IF(_xlfn.XLOOKUP($B113,'ELC TECH'!$H:$H,'ELC TECH'!$E:$E)="Non Dispatchable",IFERROR($AX113*_xlfn.XLOOKUP($C113,$BM$1:$BM$3,BZ$1:BZ$3)/SUMPRODUCT(_xlfn.XLOOKUP($C113,$BM$1:$BM$3,$BN$1:$BY$3),$BN$4:$BY$4),""),
"")</f>
        <v/>
      </c>
      <c r="CA113" s="8" t="str">
        <f>IF(_xlfn.XLOOKUP($B113,'ELC TECH'!$H:$H,'ELC TECH'!$E:$E)="Non Dispatchable",IFERROR($AX113*_xlfn.XLOOKUP($C113,$BM$1:$BM$3,CA$1:CA$3)/SUMPRODUCT(_xlfn.XLOOKUP($C113,$BM$1:$BM$3,$BN$1:$BY$3),$BN$4:$BY$4),""),
"")</f>
        <v/>
      </c>
      <c r="CB113" s="8" t="str">
        <f>IF(_xlfn.XLOOKUP($B113,'ELC TECH'!$H:$H,'ELC TECH'!$E:$E)="Non Dispatchable",IFERROR($AX113*_xlfn.XLOOKUP($C113,$BM$1:$BM$3,CB$1:CB$3)/SUMPRODUCT(_xlfn.XLOOKUP($C113,$BM$1:$BM$3,$BN$1:$BY$3),$BN$4:$BY$4),""),
"")</f>
        <v/>
      </c>
      <c r="CC113" s="8" t="str">
        <f>IF(_xlfn.XLOOKUP($B113,'ELC TECH'!$H:$H,'ELC TECH'!$E:$E)="Non Dispatchable",IFERROR($AX113*_xlfn.XLOOKUP($C113,$BM$1:$BM$3,CC$1:CC$3)/SUMPRODUCT(_xlfn.XLOOKUP($C113,$BM$1:$BM$3,$BN$1:$BY$3),$BN$4:$BY$4),""),
"")</f>
        <v/>
      </c>
      <c r="CD113" s="8" t="str">
        <f>IF(_xlfn.XLOOKUP($B113,'ELC TECH'!$H:$H,'ELC TECH'!$E:$E)="Non Dispatchable",IFERROR($AX113*_xlfn.XLOOKUP($C113,$BM$1:$BM$3,CD$1:CD$3)/SUMPRODUCT(_xlfn.XLOOKUP($C113,$BM$1:$BM$3,$BN$1:$BY$3),$BN$4:$BY$4),""),
"")</f>
        <v/>
      </c>
      <c r="CE113" s="8" t="str">
        <f>IF(_xlfn.XLOOKUP($B113,'ELC TECH'!$H:$H,'ELC TECH'!$E:$E)="Non Dispatchable",IFERROR($AX113*_xlfn.XLOOKUP($C113,$BM$1:$BM$3,CE$1:CE$3)/SUMPRODUCT(_xlfn.XLOOKUP($C113,$BM$1:$BM$3,$BN$1:$BY$3),$BN$4:$BY$4),""),
"")</f>
        <v/>
      </c>
      <c r="CF113" s="8" t="str">
        <f>IF(_xlfn.XLOOKUP($B113,'ELC TECH'!$H:$H,'ELC TECH'!$E:$E)="Non Dispatchable",IFERROR($AX113*_xlfn.XLOOKUP($C113,$BM$1:$BM$3,CF$1:CF$3)/SUMPRODUCT(_xlfn.XLOOKUP($C113,$BM$1:$BM$3,$BN$1:$BY$3),$BN$4:$BY$4),""),
"")</f>
        <v/>
      </c>
      <c r="CG113" s="8" t="str">
        <f>IF(_xlfn.XLOOKUP($B113,'ELC TECH'!$H:$H,'ELC TECH'!$E:$E)="Non Dispatchable",IFERROR($AX113*_xlfn.XLOOKUP($C113,$BM$1:$BM$3,CG$1:CG$3)/SUMPRODUCT(_xlfn.XLOOKUP($C113,$BM$1:$BM$3,$BN$1:$BY$3),$BN$4:$BY$4),""),
"")</f>
        <v/>
      </c>
      <c r="CH113" s="8" t="str">
        <f>IF(_xlfn.XLOOKUP($B113,'ELC TECH'!$H:$H,'ELC TECH'!$E:$E)="Non Dispatchable",IFERROR($AX113*_xlfn.XLOOKUP($C113,$BM$1:$BM$3,CH$1:CH$3)/SUMPRODUCT(_xlfn.XLOOKUP($C113,$BM$1:$BM$3,$BN$1:$BY$3),$BN$4:$BY$4),""),
"")</f>
        <v/>
      </c>
      <c r="CI113" s="8" t="str">
        <f>IF(_xlfn.XLOOKUP($B113,'ELC TECH'!$H:$H,'ELC TECH'!$E:$E)="Non Dispatchable",IFERROR($AX113*_xlfn.XLOOKUP($C113,$BM$1:$BM$3,CI$1:CI$3)/SUMPRODUCT(_xlfn.XLOOKUP($C113,$BM$1:$BM$3,$BN$1:$BY$3),$BN$4:$BY$4),""),
"")</f>
        <v/>
      </c>
      <c r="CJ113" s="8" t="str">
        <f>IF(_xlfn.XLOOKUP($B113,'ELC TECH'!$H:$H,'ELC TECH'!$E:$E)="Non Dispatchable",IFERROR($AX113*_xlfn.XLOOKUP($C113,$BM$1:$BM$3,CJ$1:CJ$3)/SUMPRODUCT(_xlfn.XLOOKUP($C113,$BM$1:$BM$3,$BN$1:$BY$3),$BN$4:$BY$4),""),
"")</f>
        <v/>
      </c>
      <c r="CK113" s="8" t="str">
        <f>IF(_xlfn.XLOOKUP($B113,'ELC TECH'!$H:$H,'ELC TECH'!$E:$E)="Non Dispatchable",IFERROR($AX113*_xlfn.XLOOKUP($C113,$BM$1:$BM$3,CK$1:CK$3)/SUMPRODUCT(_xlfn.XLOOKUP($C113,$BM$1:$BM$3,$BN$1:$BY$3),$BN$4:$BY$4),""),
"")</f>
        <v/>
      </c>
      <c r="CL113" s="8" t="str">
        <f>IF(_xlfn.XLOOKUP($B113,'ELC TECH'!$H:$H,'ELC TECH'!$E:$E)="Storage",CL$4*$BF113,"")</f>
        <v/>
      </c>
      <c r="CM113" s="8" t="str">
        <f>IF(_xlfn.XLOOKUP($B113,'ELC TECH'!$H:$H,'ELC TECH'!$E:$E)="Storage",CM$4*$BF113,"")</f>
        <v/>
      </c>
      <c r="CN113" s="8" t="str">
        <f>IF(_xlfn.XLOOKUP($B113,'ELC TECH'!$H:$H,'ELC TECH'!$E:$E)="Storage",CN$4*$BF113,"")</f>
        <v/>
      </c>
      <c r="CO113" s="8" t="str">
        <f>IF(_xlfn.XLOOKUP($B113,'ELC TECH'!$H:$H,'ELC TECH'!$E:$E)="Storage",CO$4*$BF113,"")</f>
        <v/>
      </c>
      <c r="CP113" s="8" t="str">
        <f>IF(_xlfn.XLOOKUP($B113,'ELC TECH'!$H:$H,'ELC TECH'!$E:$E)="Storage",CP$4*$BF113,"")</f>
        <v/>
      </c>
      <c r="CQ113" s="8" t="str">
        <f>IF(_xlfn.XLOOKUP($B113,'ELC TECH'!$H:$H,'ELC TECH'!$E:$E)="Storage",CQ$4*$BF113,"")</f>
        <v/>
      </c>
      <c r="CR113" s="8" t="str">
        <f>IF(_xlfn.XLOOKUP($B113,'ELC TECH'!$H:$H,'ELC TECH'!$E:$E)="Storage",CR$4*$BF113,"")</f>
        <v/>
      </c>
      <c r="CS113" s="8" t="str">
        <f>IF(_xlfn.XLOOKUP($B113,'ELC TECH'!$H:$H,'ELC TECH'!$E:$E)="Storage",CS$4*$BF113,"")</f>
        <v/>
      </c>
      <c r="CT113" s="8" t="str">
        <f>IF(_xlfn.XLOOKUP($B113,'ELC TECH'!$H:$H,'ELC TECH'!$E:$E)="Storage",CT$4*$BF113,"")</f>
        <v/>
      </c>
      <c r="CU113" s="8" t="str">
        <f>IF(_xlfn.XLOOKUP($B113,'ELC TECH'!$H:$H,'ELC TECH'!$E:$E)="Storage",CU$4*$BF113,"")</f>
        <v/>
      </c>
      <c r="CV113" s="8" t="str">
        <f>IF(_xlfn.XLOOKUP($B113,'ELC TECH'!$H:$H,'ELC TECH'!$E:$E)="Storage",CV$4*$BF113,"")</f>
        <v/>
      </c>
      <c r="CW113" s="8" t="str">
        <f>IF(_xlfn.XLOOKUP($B113,'ELC TECH'!$H:$H,'ELC TECH'!$E:$E)="Storage",CW$4*$BF113,"")</f>
        <v/>
      </c>
      <c r="CX113" s="8" t="str">
        <f>IF(_xlfn.XLOOKUP($B113,'ELC TECH'!$H:$H,'ELC TECH'!$E:$E)="Storage",CX$4*$BF113,"")</f>
        <v/>
      </c>
      <c r="CY113" s="8" t="str">
        <f>IF(_xlfn.XLOOKUP($B113,'ELC TECH'!$H:$H,'ELC TECH'!$E:$E)="Storage",CY$4*$BF113,"")</f>
        <v/>
      </c>
      <c r="CZ113" s="8" t="str">
        <f>IF(_xlfn.XLOOKUP($B113,'ELC TECH'!$H:$H,'ELC TECH'!$E:$E)="Storage",CZ$4*$BF113,"")</f>
        <v/>
      </c>
      <c r="DA113" s="8" t="str">
        <f>IF(_xlfn.XLOOKUP($B113,'ELC TECH'!$H:$H,'ELC TECH'!$E:$E)="Storage",DA$4*$BF113,"")</f>
        <v/>
      </c>
      <c r="DB113" s="8" t="str">
        <f>IF(_xlfn.XLOOKUP($B113,'ELC TECH'!$H:$H,'ELC TECH'!$E:$E)="Storage",DB$4*$BF113,"")</f>
        <v/>
      </c>
      <c r="DC113" s="8" t="str">
        <f>IF(_xlfn.XLOOKUP($B113,'ELC TECH'!$H:$H,'ELC TECH'!$E:$E)="Storage",DC$4*$BF113,"")</f>
        <v/>
      </c>
      <c r="DD113" s="8" t="str">
        <f>IF(_xlfn.XLOOKUP($B113,'ELC TECH'!$H:$H,'ELC TECH'!$E:$E)="Storage",DD$4*$BF113,"")</f>
        <v/>
      </c>
      <c r="DE113" s="8" t="str">
        <f>IF(_xlfn.XLOOKUP($B113,'ELC TECH'!$H:$H,'ELC TECH'!$E:$E)="Storage",DE$4*$BF113,"")</f>
        <v/>
      </c>
      <c r="DF113" s="8" t="str">
        <f>IF(_xlfn.XLOOKUP($B113,'ELC TECH'!$H:$H,'ELC TECH'!$E:$E)="Storage",DF$4*$BF113,"")</f>
        <v/>
      </c>
      <c r="DG113" s="8" t="str">
        <f>IF(_xlfn.XLOOKUP($B113,'ELC TECH'!$H:$H,'ELC TECH'!$E:$E)="Storage",DG$4*$BF113,"")</f>
        <v/>
      </c>
      <c r="DH113" s="8" t="str">
        <f>IF(_xlfn.XLOOKUP($B113,'ELC TECH'!$H:$H,'ELC TECH'!$E:$E)="Storage",DH$4*$BF113,"")</f>
        <v/>
      </c>
      <c r="DI113" s="8" t="str">
        <f>IF(_xlfn.XLOOKUP($B113,'ELC TECH'!$H:$H,'ELC TECH'!$E:$E)="Storage",DI$4*$BF113,"")</f>
        <v/>
      </c>
    </row>
    <row r="114" spans="2:113" x14ac:dyDescent="0.25">
      <c r="B114" t="str">
        <f>IF('ELC TECH'!I107=0,"*",'ELC TECH'!H107)</f>
        <v>ELCGEOGRDDEGSF20</v>
      </c>
      <c r="C114" t="str">
        <f>IF(_xlfn.XLOOKUP(_xlfn.XLOOKUP(B114,'ELC TECH'!$H:$H,'ELC TECH'!$G:$G),List!C:C,List!B:B)="STG",D114,"ELC"&amp;_xlfn.XLOOKUP(_xlfn.XLOOKUP(B114,'ELC TECH'!H:H,'ELC TECH'!G:G),List!C:C,List!B:B))</f>
        <v>ELCGEO</v>
      </c>
      <c r="D114" t="s">
        <v>544</v>
      </c>
      <c r="E114">
        <f>_xlfn.XLOOKUP(B114,'ELC TECH'!H:H,'ELC TECH'!D:D)</f>
        <v>2020</v>
      </c>
      <c r="F114">
        <f>_xlfn.XLOOKUP(B114,'ELC TECH'!H:H,'ELC TECH'!K:K)</f>
        <v>30</v>
      </c>
      <c r="G114">
        <f t="shared" si="7"/>
        <v>31.535999999999998</v>
      </c>
      <c r="H114">
        <f>IF(_xlfn.XLOOKUP(B114,'ELC TECH'!$H:$H,'ELC TECH'!$E:$E)="Storage",0.3,IF(_xlfn.XLOOKUP(B114,'ELC TECH'!$H:$H,'ELC TECH'!$E:$E)="Baseload",0.9,IF(_xlfn.XLOOKUP(B114,'ELC TECH'!$H:$H,'ELC TECH'!$E:$E)="Non Dispatchable",0.05,IF(_xlfn.XLOOKUP(B114,'ELC TECH'!$H:$H,'ELC TECH'!$E:$E)="Dispatchable",0.9,1))))</f>
        <v>0.9</v>
      </c>
      <c r="I114" s="13">
        <f>IF(_xlfn.XLOOKUP(B114,'ELC TECH'!H:H,'ELC TECH'!J:J)="","",_xlfn.XLOOKUP(B114,'ELC TECH'!H:H,'ELC TECH'!J:J))</f>
        <v>0</v>
      </c>
      <c r="J114" s="12">
        <f>IF(_xlfn.XLOOKUP($B114,'ELC TECH'!$H:$H,'ELC TECH'!$E:$E)="Storage","",IF(_xlfn.XLOOKUP($B114,'ELC TECH'!$H:$H,'ELC TECH'!AK:AK)="",1,_xlfn.XLOOKUP($B114,'ELC TECH'!$H:$H,'ELC TECH'!AK:AK)))</f>
        <v>1</v>
      </c>
      <c r="K114" s="12">
        <f>IF(_xlfn.XLOOKUP($B114,'ELC TECH'!$H:$H,'ELC TECH'!$E:$E)="Storage","",IF(_xlfn.XLOOKUP($B114,'ELC TECH'!$H:$H,'ELC TECH'!AL:AL)="",1,_xlfn.XLOOKUP($B114,'ELC TECH'!$H:$H,'ELC TECH'!AL:AL)))</f>
        <v>1</v>
      </c>
      <c r="L114" s="12">
        <f>IF(_xlfn.XLOOKUP($B114,'ELC TECH'!$H:$H,'ELC TECH'!$E:$E)="Storage","",IF(_xlfn.XLOOKUP($B114,'ELC TECH'!$H:$H,'ELC TECH'!AM:AM)="",1,_xlfn.XLOOKUP($B114,'ELC TECH'!$H:$H,'ELC TECH'!AM:AM)))</f>
        <v>1</v>
      </c>
      <c r="M114" s="12">
        <f>IF(_xlfn.XLOOKUP($B114,'ELC TECH'!$H:$H,'ELC TECH'!$E:$E)="Storage","",IF(_xlfn.XLOOKUP($B114,'ELC TECH'!$H:$H,'ELC TECH'!AN:AN)="",1,_xlfn.XLOOKUP($B114,'ELC TECH'!$H:$H,'ELC TECH'!AN:AN)))</f>
        <v>1</v>
      </c>
      <c r="N114" s="12">
        <f>IF(_xlfn.XLOOKUP($B114,'ELC TECH'!$H:$H,'ELC TECH'!$E:$E)="Storage","",IF(_xlfn.XLOOKUP($B114,'ELC TECH'!$H:$H,'ELC TECH'!AO:AO)="",1,_xlfn.XLOOKUP($B114,'ELC TECH'!$H:$H,'ELC TECH'!AO:AO)))</f>
        <v>1</v>
      </c>
      <c r="O114" s="12">
        <f>IF(_xlfn.XLOOKUP($B114,'ELC TECH'!$H:$H,'ELC TECH'!$E:$E)="Storage","",IF(_xlfn.XLOOKUP($B114,'ELC TECH'!$H:$H,'ELC TECH'!AP:AP)="",1,_xlfn.XLOOKUP($B114,'ELC TECH'!$H:$H,'ELC TECH'!AP:AP)))</f>
        <v>1</v>
      </c>
      <c r="P114" s="12">
        <f>IF(_xlfn.XLOOKUP($B114,'ELC TECH'!$H:$H,'ELC TECH'!$E:$E)="Storage","",IF(_xlfn.XLOOKUP($B114,'ELC TECH'!$H:$H,'ELC TECH'!AQ:AQ)="",1,_xlfn.XLOOKUP($B114,'ELC TECH'!$H:$H,'ELC TECH'!AQ:AQ)))</f>
        <v>1</v>
      </c>
      <c r="Q114" s="12">
        <f>IF(_xlfn.XLOOKUP($B114,'ELC TECH'!$H:$H,'ELC TECH'!$E:$E)="Storage","",IF(_xlfn.XLOOKUP($B114,'ELC TECH'!$H:$H,'ELC TECH'!AR:AR)="",1,_xlfn.XLOOKUP($B114,'ELC TECH'!$H:$H,'ELC TECH'!AR:AR)))</f>
        <v>1</v>
      </c>
      <c r="R114" s="12" t="str">
        <f>IF(_xlfn.XLOOKUP($B114,'ELC TECH'!$H:$H,'ELC TECH'!$E:$E)&lt;&gt;"Storage","",IF(_xlfn.XLOOKUP($B114,'ELC TECH'!$H:$H,'ELC TECH'!AK:AK)="",0.8,_xlfn.XLOOKUP($B114,'ELC TECH'!$H:$H,'ELC TECH'!AK:AK)))</f>
        <v/>
      </c>
      <c r="S114" s="12" t="str">
        <f>IF(_xlfn.XLOOKUP($B114,'ELC TECH'!$H:$H,'ELC TECH'!$E:$E)&lt;&gt;"Storage","",IF(_xlfn.XLOOKUP($B114,'ELC TECH'!$H:$H,'ELC TECH'!AL:AL)="",0.8,_xlfn.XLOOKUP($B114,'ELC TECH'!$H:$H,'ELC TECH'!AL:AL)))</f>
        <v/>
      </c>
      <c r="T114" s="12" t="str">
        <f>IF(_xlfn.XLOOKUP($B114,'ELC TECH'!$H:$H,'ELC TECH'!$E:$E)&lt;&gt;"Storage","",IF(_xlfn.XLOOKUP($B114,'ELC TECH'!$H:$H,'ELC TECH'!AM:AM)="",0.8,_xlfn.XLOOKUP($B114,'ELC TECH'!$H:$H,'ELC TECH'!AM:AM)))</f>
        <v/>
      </c>
      <c r="U114" s="12" t="str">
        <f>IF(_xlfn.XLOOKUP($B114,'ELC TECH'!$H:$H,'ELC TECH'!$E:$E)&lt;&gt;"Storage","",IF(_xlfn.XLOOKUP($B114,'ELC TECH'!$H:$H,'ELC TECH'!AN:AN)="",0.8,_xlfn.XLOOKUP($B114,'ELC TECH'!$H:$H,'ELC TECH'!AN:AN)))</f>
        <v/>
      </c>
      <c r="V114" s="12" t="str">
        <f>IF(_xlfn.XLOOKUP($B114,'ELC TECH'!$H:$H,'ELC TECH'!$E:$E)&lt;&gt;"Storage","",IF(_xlfn.XLOOKUP($B114,'ELC TECH'!$H:$H,'ELC TECH'!AO:AO)="",0.8,_xlfn.XLOOKUP($B114,'ELC TECH'!$H:$H,'ELC TECH'!AO:AO)))</f>
        <v/>
      </c>
      <c r="W114" s="12" t="str">
        <f>IF(_xlfn.XLOOKUP($B114,'ELC TECH'!$H:$H,'ELC TECH'!$E:$E)&lt;&gt;"Storage","",IF(_xlfn.XLOOKUP($B114,'ELC TECH'!$H:$H,'ELC TECH'!AP:AP)="",0.8,_xlfn.XLOOKUP($B114,'ELC TECH'!$H:$H,'ELC TECH'!AP:AP)))</f>
        <v/>
      </c>
      <c r="X114" s="12" t="str">
        <f>IF(_xlfn.XLOOKUP($B114,'ELC TECH'!$H:$H,'ELC TECH'!$E:$E)&lt;&gt;"Storage","",IF(_xlfn.XLOOKUP($B114,'ELC TECH'!$H:$H,'ELC TECH'!AQ:AQ)="",0.8,_xlfn.XLOOKUP($B114,'ELC TECH'!$H:$H,'ELC TECH'!AQ:AQ)))</f>
        <v/>
      </c>
      <c r="Y114" s="12" t="str">
        <f>IF(_xlfn.XLOOKUP($B114,'ELC TECH'!$H:$H,'ELC TECH'!$E:$E)&lt;&gt;"Storage","",IF(_xlfn.XLOOKUP($B114,'ELC TECH'!$H:$H,'ELC TECH'!AR:AR)="",0.8,_xlfn.XLOOKUP($B114,'ELC TECH'!$H:$H,'ELC TECH'!AR:AR)))</f>
        <v/>
      </c>
      <c r="Z114" s="15">
        <f>_xlfn.XLOOKUP($B114,'ELC TECH'!$H:$H,'ELC TECH'!M:M)</f>
        <v>13283.75798017331</v>
      </c>
      <c r="AA114" s="15">
        <f>_xlfn.XLOOKUP($B114,'ELC TECH'!$H:$H,'ELC TECH'!N:N)</f>
        <v>9637.6059771330474</v>
      </c>
      <c r="AB114" s="15">
        <f>_xlfn.XLOOKUP($B114,'ELC TECH'!$H:$H,'ELC TECH'!O:O)</f>
        <v>8095.172880334916</v>
      </c>
      <c r="AC114" s="15">
        <f>_xlfn.XLOOKUP($B114,'ELC TECH'!$H:$H,'ELC TECH'!P:P)</f>
        <v>7384.1475554604731</v>
      </c>
      <c r="AD114" s="15">
        <f>_xlfn.XLOOKUP($B114,'ELC TECH'!$H:$H,'ELC TECH'!Q:Q)</f>
        <v>7201.3806963307652</v>
      </c>
      <c r="AE114" s="15">
        <f>_xlfn.XLOOKUP($B114,'ELC TECH'!$H:$H,'ELC TECH'!R:R)</f>
        <v>7023.1375448525223</v>
      </c>
      <c r="AF114" s="15">
        <f>_xlfn.XLOOKUP($B114,'ELC TECH'!$H:$H,'ELC TECH'!S:S)</f>
        <v>6849.306133620843</v>
      </c>
      <c r="AG114" s="15">
        <f>_xlfn.XLOOKUP($B114,'ELC TECH'!$H:$H,'ELC TECH'!T:T)</f>
        <v>6849.306133620843</v>
      </c>
      <c r="AH114" s="15">
        <f>_xlfn.XLOOKUP($B114,'ELC TECH'!$H:$H,'ELC TECH'!U:U)</f>
        <v>226.85138225857901</v>
      </c>
      <c r="AI114" s="15">
        <f>_xlfn.XLOOKUP($B114,'ELC TECH'!$H:$H,'ELC TECH'!V:V)</f>
        <v>206.9459378176189</v>
      </c>
      <c r="AJ114" s="15">
        <f>_xlfn.XLOOKUP($B114,'ELC TECH'!$H:$H,'ELC TECH'!W:W)</f>
        <v>182.06413226641871</v>
      </c>
      <c r="AK114" s="15">
        <f>_xlfn.XLOOKUP($B114,'ELC TECH'!$H:$H,'ELC TECH'!X:X)</f>
        <v>157.18232671521861</v>
      </c>
      <c r="AL114" s="15">
        <f>_xlfn.XLOOKUP($B114,'ELC TECH'!$H:$H,'ELC TECH'!Y:Y)</f>
        <v>157.18232671521861</v>
      </c>
      <c r="AM114" s="15">
        <f>_xlfn.XLOOKUP($B114,'ELC TECH'!$H:$H,'ELC TECH'!Z:Z)</f>
        <v>157.18232671521861</v>
      </c>
      <c r="AN114" s="15">
        <f>_xlfn.XLOOKUP($B114,'ELC TECH'!$H:$H,'ELC TECH'!AA:AA)</f>
        <v>157.18232671521861</v>
      </c>
      <c r="AO114" s="15">
        <f>_xlfn.XLOOKUP($B114,'ELC TECH'!$H:$H,'ELC TECH'!AB:AB)</f>
        <v>157.18232671521861</v>
      </c>
      <c r="AP114" s="15">
        <f>_xlfn.XLOOKUP($B114,'ELC TECH'!$H:$H,'ELC TECH'!AC:AC)</f>
        <v>0</v>
      </c>
      <c r="AQ114" s="15">
        <f>_xlfn.XLOOKUP($B114,'ELC TECH'!$H:$H,'ELC TECH'!AD:AD)</f>
        <v>0</v>
      </c>
      <c r="AR114" s="15">
        <f>_xlfn.XLOOKUP($B114,'ELC TECH'!$H:$H,'ELC TECH'!AE:AE)</f>
        <v>0</v>
      </c>
      <c r="AS114" s="15">
        <f>_xlfn.XLOOKUP($B114,'ELC TECH'!$H:$H,'ELC TECH'!AF:AF)</f>
        <v>0</v>
      </c>
      <c r="AT114" s="15">
        <f>_xlfn.XLOOKUP($B114,'ELC TECH'!$H:$H,'ELC TECH'!AG:AG)</f>
        <v>0</v>
      </c>
      <c r="AU114" s="15">
        <f>_xlfn.XLOOKUP($B114,'ELC TECH'!$H:$H,'ELC TECH'!AH:AH)</f>
        <v>0</v>
      </c>
      <c r="AV114" s="15">
        <f>_xlfn.XLOOKUP($B114,'ELC TECH'!$H:$H,'ELC TECH'!AI:AI)</f>
        <v>0</v>
      </c>
      <c r="AW114" s="15">
        <f>_xlfn.XLOOKUP($B114,'ELC TECH'!$H:$H,'ELC TECH'!AJ:AJ)</f>
        <v>0</v>
      </c>
      <c r="AX114" s="12">
        <f>IF(_xlfn.XLOOKUP($B114,'ELC TECH'!$H:$H,'ELC TECH'!$E:$E)="Storage","",_xlfn.XLOOKUP($B114,'ELC TECH'!$H:$H,'ELC TECH'!AS:AS))</f>
        <v>0.9</v>
      </c>
      <c r="AY114" s="12">
        <f>IF(_xlfn.XLOOKUP($B114,'ELC TECH'!$H:$H,'ELC TECH'!$E:$E)="Storage","",_xlfn.XLOOKUP($B114,'ELC TECH'!$H:$H,'ELC TECH'!AT:AT))</f>
        <v>0.9</v>
      </c>
      <c r="AZ114" s="12">
        <f>IF(_xlfn.XLOOKUP($B114,'ELC TECH'!$H:$H,'ELC TECH'!$E:$E)="Storage","",_xlfn.XLOOKUP($B114,'ELC TECH'!$H:$H,'ELC TECH'!AU:AU))</f>
        <v>0.9</v>
      </c>
      <c r="BA114" s="12">
        <f>IF(_xlfn.XLOOKUP($B114,'ELC TECH'!$H:$H,'ELC TECH'!$E:$E)="Storage","",_xlfn.XLOOKUP($B114,'ELC TECH'!$H:$H,'ELC TECH'!AV:AV))</f>
        <v>0.9</v>
      </c>
      <c r="BB114" s="12">
        <f>IF(_xlfn.XLOOKUP($B114,'ELC TECH'!$H:$H,'ELC TECH'!$E:$E)="Storage","",_xlfn.XLOOKUP($B114,'ELC TECH'!$H:$H,'ELC TECH'!AW:AW))</f>
        <v>0.9</v>
      </c>
      <c r="BC114" s="12">
        <f>IF(_xlfn.XLOOKUP($B114,'ELC TECH'!$H:$H,'ELC TECH'!$E:$E)="Storage","",_xlfn.XLOOKUP($B114,'ELC TECH'!$H:$H,'ELC TECH'!AX:AX))</f>
        <v>0.9</v>
      </c>
      <c r="BD114" s="12">
        <f>IF(_xlfn.XLOOKUP($B114,'ELC TECH'!$H:$H,'ELC TECH'!$E:$E)="Storage","",_xlfn.XLOOKUP($B114,'ELC TECH'!$H:$H,'ELC TECH'!AY:AY))</f>
        <v>0.9</v>
      </c>
      <c r="BE114" s="12">
        <f>IF(_xlfn.XLOOKUP($B114,'ELC TECH'!$H:$H,'ELC TECH'!$E:$E)="Storage","",_xlfn.XLOOKUP($B114,'ELC TECH'!$H:$H,'ELC TECH'!AZ:AZ))</f>
        <v>0.9</v>
      </c>
      <c r="BF114" s="12" t="str">
        <f>IF(_xlfn.XLOOKUP($B114,'ELC TECH'!$H:$H,'ELC TECH'!$E:$E)="Storage",_xlfn.XLOOKUP($B114,'ELC TECH'!$H:$H,'ELC TECH'!AS:AS),"")</f>
        <v/>
      </c>
      <c r="BG114" s="12" t="str">
        <f>IF(_xlfn.XLOOKUP($B114,'ELC TECH'!$H:$H,'ELC TECH'!$E:$E)="Storage",_xlfn.XLOOKUP($B114,'ELC TECH'!$H:$H,'ELC TECH'!AT:AT),"")</f>
        <v/>
      </c>
      <c r="BH114" s="12" t="str">
        <f>IF(_xlfn.XLOOKUP($B114,'ELC TECH'!$H:$H,'ELC TECH'!$E:$E)="Storage",_xlfn.XLOOKUP($B114,'ELC TECH'!$H:$H,'ELC TECH'!AU:AU),"")</f>
        <v/>
      </c>
      <c r="BI114" s="12" t="str">
        <f>IF(_xlfn.XLOOKUP($B114,'ELC TECH'!$H:$H,'ELC TECH'!$E:$E)="Storage",_xlfn.XLOOKUP($B114,'ELC TECH'!$H:$H,'ELC TECH'!AV:AV),"")</f>
        <v/>
      </c>
      <c r="BJ114" s="12" t="str">
        <f>IF(_xlfn.XLOOKUP($B114,'ELC TECH'!$H:$H,'ELC TECH'!$E:$E)="Storage",_xlfn.XLOOKUP($B114,'ELC TECH'!$H:$H,'ELC TECH'!AW:AW),"")</f>
        <v/>
      </c>
      <c r="BK114" s="12" t="str">
        <f>IF(_xlfn.XLOOKUP($B114,'ELC TECH'!$H:$H,'ELC TECH'!$E:$E)="Storage",_xlfn.XLOOKUP($B114,'ELC TECH'!$H:$H,'ELC TECH'!AX:AX),"")</f>
        <v/>
      </c>
      <c r="BL114" s="12" t="str">
        <f>IF(_xlfn.XLOOKUP($B114,'ELC TECH'!$H:$H,'ELC TECH'!$E:$E)="Storage",_xlfn.XLOOKUP($B114,'ELC TECH'!$H:$H,'ELC TECH'!AY:AY),"")</f>
        <v/>
      </c>
      <c r="BM114" s="12" t="str">
        <f>IF(_xlfn.XLOOKUP($B114,'ELC TECH'!$H:$H,'ELC TECH'!$E:$E)="Storage",_xlfn.XLOOKUP($B114,'ELC TECH'!$H:$H,'ELC TECH'!AZ:AZ),"")</f>
        <v/>
      </c>
      <c r="BN114" s="8" t="str">
        <f>IF(_xlfn.XLOOKUP($B114,'ELC TECH'!$H:$H,'ELC TECH'!$E:$E)="Non Dispatchable",IFERROR($AX114*_xlfn.XLOOKUP($C114,$BM$1:$BM$3,BN$1:BN$3)/SUMPRODUCT(_xlfn.XLOOKUP($C114,$BM$1:$BM$3,$BN$1:$BY$3),$BN$4:$BY$4),""),
"")</f>
        <v/>
      </c>
      <c r="BO114" s="8" t="str">
        <f>IF(_xlfn.XLOOKUP($B114,'ELC TECH'!$H:$H,'ELC TECH'!$E:$E)="Non Dispatchable",IFERROR($AX114*_xlfn.XLOOKUP($C114,$BM$1:$BM$3,BO$1:BO$3)/SUMPRODUCT(_xlfn.XLOOKUP($C114,$BM$1:$BM$3,$BN$1:$BY$3),$BN$4:$BY$4),""),
"")</f>
        <v/>
      </c>
      <c r="BP114" s="8" t="str">
        <f>IF(_xlfn.XLOOKUP($B114,'ELC TECH'!$H:$H,'ELC TECH'!$E:$E)="Non Dispatchable",IFERROR($AX114*_xlfn.XLOOKUP($C114,$BM$1:$BM$3,BP$1:BP$3)/SUMPRODUCT(_xlfn.XLOOKUP($C114,$BM$1:$BM$3,$BN$1:$BY$3),$BN$4:$BY$4),""),
"")</f>
        <v/>
      </c>
      <c r="BQ114" s="8" t="str">
        <f>IF(_xlfn.XLOOKUP($B114,'ELC TECH'!$H:$H,'ELC TECH'!$E:$E)="Non Dispatchable",IFERROR($AX114*_xlfn.XLOOKUP($C114,$BM$1:$BM$3,BQ$1:BQ$3)/SUMPRODUCT(_xlfn.XLOOKUP($C114,$BM$1:$BM$3,$BN$1:$BY$3),$BN$4:$BY$4),""),
"")</f>
        <v/>
      </c>
      <c r="BR114" s="8" t="str">
        <f>IF(_xlfn.XLOOKUP($B114,'ELC TECH'!$H:$H,'ELC TECH'!$E:$E)="Non Dispatchable",IFERROR($AX114*_xlfn.XLOOKUP($C114,$BM$1:$BM$3,BR$1:BR$3)/SUMPRODUCT(_xlfn.XLOOKUP($C114,$BM$1:$BM$3,$BN$1:$BY$3),$BN$4:$BY$4),""),
"")</f>
        <v/>
      </c>
      <c r="BS114" s="8" t="str">
        <f>IF(_xlfn.XLOOKUP($B114,'ELC TECH'!$H:$H,'ELC TECH'!$E:$E)="Non Dispatchable",IFERROR($AX114*_xlfn.XLOOKUP($C114,$BM$1:$BM$3,BS$1:BS$3)/SUMPRODUCT(_xlfn.XLOOKUP($C114,$BM$1:$BM$3,$BN$1:$BY$3),$BN$4:$BY$4),""),
"")</f>
        <v/>
      </c>
      <c r="BT114" s="8" t="str">
        <f>IF(_xlfn.XLOOKUP($B114,'ELC TECH'!$H:$H,'ELC TECH'!$E:$E)="Non Dispatchable",IFERROR($AX114*_xlfn.XLOOKUP($C114,$BM$1:$BM$3,BT$1:BT$3)/SUMPRODUCT(_xlfn.XLOOKUP($C114,$BM$1:$BM$3,$BN$1:$BY$3),$BN$4:$BY$4),""),
"")</f>
        <v/>
      </c>
      <c r="BU114" s="8" t="str">
        <f>IF(_xlfn.XLOOKUP($B114,'ELC TECH'!$H:$H,'ELC TECH'!$E:$E)="Non Dispatchable",IFERROR($AX114*_xlfn.XLOOKUP($C114,$BM$1:$BM$3,BU$1:BU$3)/SUMPRODUCT(_xlfn.XLOOKUP($C114,$BM$1:$BM$3,$BN$1:$BY$3),$BN$4:$BY$4),""),
"")</f>
        <v/>
      </c>
      <c r="BV114" s="8" t="str">
        <f>IF(_xlfn.XLOOKUP($B114,'ELC TECH'!$H:$H,'ELC TECH'!$E:$E)="Non Dispatchable",IFERROR($AX114*_xlfn.XLOOKUP($C114,$BM$1:$BM$3,BV$1:BV$3)/SUMPRODUCT(_xlfn.XLOOKUP($C114,$BM$1:$BM$3,$BN$1:$BY$3),$BN$4:$BY$4),""),
"")</f>
        <v/>
      </c>
      <c r="BW114" s="8" t="str">
        <f>IF(_xlfn.XLOOKUP($B114,'ELC TECH'!$H:$H,'ELC TECH'!$E:$E)="Non Dispatchable",IFERROR($AX114*_xlfn.XLOOKUP($C114,$BM$1:$BM$3,BW$1:BW$3)/SUMPRODUCT(_xlfn.XLOOKUP($C114,$BM$1:$BM$3,$BN$1:$BY$3),$BN$4:$BY$4),""),
"")</f>
        <v/>
      </c>
      <c r="BX114" s="8" t="str">
        <f>IF(_xlfn.XLOOKUP($B114,'ELC TECH'!$H:$H,'ELC TECH'!$E:$E)="Non Dispatchable",IFERROR($AX114*_xlfn.XLOOKUP($C114,$BM$1:$BM$3,BX$1:BX$3)/SUMPRODUCT(_xlfn.XLOOKUP($C114,$BM$1:$BM$3,$BN$1:$BY$3),$BN$4:$BY$4),""),
"")</f>
        <v/>
      </c>
      <c r="BY114" s="8" t="str">
        <f>IF(_xlfn.XLOOKUP($B114,'ELC TECH'!$H:$H,'ELC TECH'!$E:$E)="Non Dispatchable",IFERROR($AX114*_xlfn.XLOOKUP($C114,$BM$1:$BM$3,BY$1:BY$3)/SUMPRODUCT(_xlfn.XLOOKUP($C114,$BM$1:$BM$3,$BN$1:$BY$3),$BN$4:$BY$4),""),
"")</f>
        <v/>
      </c>
      <c r="BZ114" s="8" t="str">
        <f>IF(_xlfn.XLOOKUP($B114,'ELC TECH'!$H:$H,'ELC TECH'!$E:$E)="Non Dispatchable",IFERROR($AX114*_xlfn.XLOOKUP($C114,$BM$1:$BM$3,BZ$1:BZ$3)/SUMPRODUCT(_xlfn.XLOOKUP($C114,$BM$1:$BM$3,$BN$1:$BY$3),$BN$4:$BY$4),""),
"")</f>
        <v/>
      </c>
      <c r="CA114" s="8" t="str">
        <f>IF(_xlfn.XLOOKUP($B114,'ELC TECH'!$H:$H,'ELC TECH'!$E:$E)="Non Dispatchable",IFERROR($AX114*_xlfn.XLOOKUP($C114,$BM$1:$BM$3,CA$1:CA$3)/SUMPRODUCT(_xlfn.XLOOKUP($C114,$BM$1:$BM$3,$BN$1:$BY$3),$BN$4:$BY$4),""),
"")</f>
        <v/>
      </c>
      <c r="CB114" s="8" t="str">
        <f>IF(_xlfn.XLOOKUP($B114,'ELC TECH'!$H:$H,'ELC TECH'!$E:$E)="Non Dispatchable",IFERROR($AX114*_xlfn.XLOOKUP($C114,$BM$1:$BM$3,CB$1:CB$3)/SUMPRODUCT(_xlfn.XLOOKUP($C114,$BM$1:$BM$3,$BN$1:$BY$3),$BN$4:$BY$4),""),
"")</f>
        <v/>
      </c>
      <c r="CC114" s="8" t="str">
        <f>IF(_xlfn.XLOOKUP($B114,'ELC TECH'!$H:$H,'ELC TECH'!$E:$E)="Non Dispatchable",IFERROR($AX114*_xlfn.XLOOKUP($C114,$BM$1:$BM$3,CC$1:CC$3)/SUMPRODUCT(_xlfn.XLOOKUP($C114,$BM$1:$BM$3,$BN$1:$BY$3),$BN$4:$BY$4),""),
"")</f>
        <v/>
      </c>
      <c r="CD114" s="8" t="str">
        <f>IF(_xlfn.XLOOKUP($B114,'ELC TECH'!$H:$H,'ELC TECH'!$E:$E)="Non Dispatchable",IFERROR($AX114*_xlfn.XLOOKUP($C114,$BM$1:$BM$3,CD$1:CD$3)/SUMPRODUCT(_xlfn.XLOOKUP($C114,$BM$1:$BM$3,$BN$1:$BY$3),$BN$4:$BY$4),""),
"")</f>
        <v/>
      </c>
      <c r="CE114" s="8" t="str">
        <f>IF(_xlfn.XLOOKUP($B114,'ELC TECH'!$H:$H,'ELC TECH'!$E:$E)="Non Dispatchable",IFERROR($AX114*_xlfn.XLOOKUP($C114,$BM$1:$BM$3,CE$1:CE$3)/SUMPRODUCT(_xlfn.XLOOKUP($C114,$BM$1:$BM$3,$BN$1:$BY$3),$BN$4:$BY$4),""),
"")</f>
        <v/>
      </c>
      <c r="CF114" s="8" t="str">
        <f>IF(_xlfn.XLOOKUP($B114,'ELC TECH'!$H:$H,'ELC TECH'!$E:$E)="Non Dispatchable",IFERROR($AX114*_xlfn.XLOOKUP($C114,$BM$1:$BM$3,CF$1:CF$3)/SUMPRODUCT(_xlfn.XLOOKUP($C114,$BM$1:$BM$3,$BN$1:$BY$3),$BN$4:$BY$4),""),
"")</f>
        <v/>
      </c>
      <c r="CG114" s="8" t="str">
        <f>IF(_xlfn.XLOOKUP($B114,'ELC TECH'!$H:$H,'ELC TECH'!$E:$E)="Non Dispatchable",IFERROR($AX114*_xlfn.XLOOKUP($C114,$BM$1:$BM$3,CG$1:CG$3)/SUMPRODUCT(_xlfn.XLOOKUP($C114,$BM$1:$BM$3,$BN$1:$BY$3),$BN$4:$BY$4),""),
"")</f>
        <v/>
      </c>
      <c r="CH114" s="8" t="str">
        <f>IF(_xlfn.XLOOKUP($B114,'ELC TECH'!$H:$H,'ELC TECH'!$E:$E)="Non Dispatchable",IFERROR($AX114*_xlfn.XLOOKUP($C114,$BM$1:$BM$3,CH$1:CH$3)/SUMPRODUCT(_xlfn.XLOOKUP($C114,$BM$1:$BM$3,$BN$1:$BY$3),$BN$4:$BY$4),""),
"")</f>
        <v/>
      </c>
      <c r="CI114" s="8" t="str">
        <f>IF(_xlfn.XLOOKUP($B114,'ELC TECH'!$H:$H,'ELC TECH'!$E:$E)="Non Dispatchable",IFERROR($AX114*_xlfn.XLOOKUP($C114,$BM$1:$BM$3,CI$1:CI$3)/SUMPRODUCT(_xlfn.XLOOKUP($C114,$BM$1:$BM$3,$BN$1:$BY$3),$BN$4:$BY$4),""),
"")</f>
        <v/>
      </c>
      <c r="CJ114" s="8" t="str">
        <f>IF(_xlfn.XLOOKUP($B114,'ELC TECH'!$H:$H,'ELC TECH'!$E:$E)="Non Dispatchable",IFERROR($AX114*_xlfn.XLOOKUP($C114,$BM$1:$BM$3,CJ$1:CJ$3)/SUMPRODUCT(_xlfn.XLOOKUP($C114,$BM$1:$BM$3,$BN$1:$BY$3),$BN$4:$BY$4),""),
"")</f>
        <v/>
      </c>
      <c r="CK114" s="8" t="str">
        <f>IF(_xlfn.XLOOKUP($B114,'ELC TECH'!$H:$H,'ELC TECH'!$E:$E)="Non Dispatchable",IFERROR($AX114*_xlfn.XLOOKUP($C114,$BM$1:$BM$3,CK$1:CK$3)/SUMPRODUCT(_xlfn.XLOOKUP($C114,$BM$1:$BM$3,$BN$1:$BY$3),$BN$4:$BY$4),""),
"")</f>
        <v/>
      </c>
      <c r="CL114" s="8" t="str">
        <f>IF(_xlfn.XLOOKUP($B114,'ELC TECH'!$H:$H,'ELC TECH'!$E:$E)="Storage",CL$4*$BF114,"")</f>
        <v/>
      </c>
      <c r="CM114" s="8" t="str">
        <f>IF(_xlfn.XLOOKUP($B114,'ELC TECH'!$H:$H,'ELC TECH'!$E:$E)="Storage",CM$4*$BF114,"")</f>
        <v/>
      </c>
      <c r="CN114" s="8" t="str">
        <f>IF(_xlfn.XLOOKUP($B114,'ELC TECH'!$H:$H,'ELC TECH'!$E:$E)="Storage",CN$4*$BF114,"")</f>
        <v/>
      </c>
      <c r="CO114" s="8" t="str">
        <f>IF(_xlfn.XLOOKUP($B114,'ELC TECH'!$H:$H,'ELC TECH'!$E:$E)="Storage",CO$4*$BF114,"")</f>
        <v/>
      </c>
      <c r="CP114" s="8" t="str">
        <f>IF(_xlfn.XLOOKUP($B114,'ELC TECH'!$H:$H,'ELC TECH'!$E:$E)="Storage",CP$4*$BF114,"")</f>
        <v/>
      </c>
      <c r="CQ114" s="8" t="str">
        <f>IF(_xlfn.XLOOKUP($B114,'ELC TECH'!$H:$H,'ELC TECH'!$E:$E)="Storage",CQ$4*$BF114,"")</f>
        <v/>
      </c>
      <c r="CR114" s="8" t="str">
        <f>IF(_xlfn.XLOOKUP($B114,'ELC TECH'!$H:$H,'ELC TECH'!$E:$E)="Storage",CR$4*$BF114,"")</f>
        <v/>
      </c>
      <c r="CS114" s="8" t="str">
        <f>IF(_xlfn.XLOOKUP($B114,'ELC TECH'!$H:$H,'ELC TECH'!$E:$E)="Storage",CS$4*$BF114,"")</f>
        <v/>
      </c>
      <c r="CT114" s="8" t="str">
        <f>IF(_xlfn.XLOOKUP($B114,'ELC TECH'!$H:$H,'ELC TECH'!$E:$E)="Storage",CT$4*$BF114,"")</f>
        <v/>
      </c>
      <c r="CU114" s="8" t="str">
        <f>IF(_xlfn.XLOOKUP($B114,'ELC TECH'!$H:$H,'ELC TECH'!$E:$E)="Storage",CU$4*$BF114,"")</f>
        <v/>
      </c>
      <c r="CV114" s="8" t="str">
        <f>IF(_xlfn.XLOOKUP($B114,'ELC TECH'!$H:$H,'ELC TECH'!$E:$E)="Storage",CV$4*$BF114,"")</f>
        <v/>
      </c>
      <c r="CW114" s="8" t="str">
        <f>IF(_xlfn.XLOOKUP($B114,'ELC TECH'!$H:$H,'ELC TECH'!$E:$E)="Storage",CW$4*$BF114,"")</f>
        <v/>
      </c>
      <c r="CX114" s="8" t="str">
        <f>IF(_xlfn.XLOOKUP($B114,'ELC TECH'!$H:$H,'ELC TECH'!$E:$E)="Storage",CX$4*$BF114,"")</f>
        <v/>
      </c>
      <c r="CY114" s="8" t="str">
        <f>IF(_xlfn.XLOOKUP($B114,'ELC TECH'!$H:$H,'ELC TECH'!$E:$E)="Storage",CY$4*$BF114,"")</f>
        <v/>
      </c>
      <c r="CZ114" s="8" t="str">
        <f>IF(_xlfn.XLOOKUP($B114,'ELC TECH'!$H:$H,'ELC TECH'!$E:$E)="Storage",CZ$4*$BF114,"")</f>
        <v/>
      </c>
      <c r="DA114" s="8" t="str">
        <f>IF(_xlfn.XLOOKUP($B114,'ELC TECH'!$H:$H,'ELC TECH'!$E:$E)="Storage",DA$4*$BF114,"")</f>
        <v/>
      </c>
      <c r="DB114" s="8" t="str">
        <f>IF(_xlfn.XLOOKUP($B114,'ELC TECH'!$H:$H,'ELC TECH'!$E:$E)="Storage",DB$4*$BF114,"")</f>
        <v/>
      </c>
      <c r="DC114" s="8" t="str">
        <f>IF(_xlfn.XLOOKUP($B114,'ELC TECH'!$H:$H,'ELC TECH'!$E:$E)="Storage",DC$4*$BF114,"")</f>
        <v/>
      </c>
      <c r="DD114" s="8" t="str">
        <f>IF(_xlfn.XLOOKUP($B114,'ELC TECH'!$H:$H,'ELC TECH'!$E:$E)="Storage",DD$4*$BF114,"")</f>
        <v/>
      </c>
      <c r="DE114" s="8" t="str">
        <f>IF(_xlfn.XLOOKUP($B114,'ELC TECH'!$H:$H,'ELC TECH'!$E:$E)="Storage",DE$4*$BF114,"")</f>
        <v/>
      </c>
      <c r="DF114" s="8" t="str">
        <f>IF(_xlfn.XLOOKUP($B114,'ELC TECH'!$H:$H,'ELC TECH'!$E:$E)="Storage",DF$4*$BF114,"")</f>
        <v/>
      </c>
      <c r="DG114" s="8" t="str">
        <f>IF(_xlfn.XLOOKUP($B114,'ELC TECH'!$H:$H,'ELC TECH'!$E:$E)="Storage",DG$4*$BF114,"")</f>
        <v/>
      </c>
      <c r="DH114" s="8" t="str">
        <f>IF(_xlfn.XLOOKUP($B114,'ELC TECH'!$H:$H,'ELC TECH'!$E:$E)="Storage",DH$4*$BF114,"")</f>
        <v/>
      </c>
      <c r="DI114" s="8" t="str">
        <f>IF(_xlfn.XLOOKUP($B114,'ELC TECH'!$H:$H,'ELC TECH'!$E:$E)="Storage",DI$4*$BF114,"")</f>
        <v/>
      </c>
    </row>
    <row r="115" spans="2:113" x14ac:dyDescent="0.25">
      <c r="B115" t="str">
        <f>IF('ELC TECH'!I108=0,"*",'ELC TECH'!H108)</f>
        <v>ELCGEOGRDHYDB20</v>
      </c>
      <c r="C115" t="str">
        <f>IF(_xlfn.XLOOKUP(_xlfn.XLOOKUP(B115,'ELC TECH'!$H:$H,'ELC TECH'!$G:$G),List!C:C,List!B:B)="STG",D115,"ELC"&amp;_xlfn.XLOOKUP(_xlfn.XLOOKUP(B115,'ELC TECH'!H:H,'ELC TECH'!G:G),List!C:C,List!B:B))</f>
        <v>ELCGEO</v>
      </c>
      <c r="D115" t="s">
        <v>544</v>
      </c>
      <c r="E115">
        <f>_xlfn.XLOOKUP(B115,'ELC TECH'!H:H,'ELC TECH'!D:D)</f>
        <v>2020</v>
      </c>
      <c r="F115">
        <f>_xlfn.XLOOKUP(B115,'ELC TECH'!H:H,'ELC TECH'!K:K)</f>
        <v>30</v>
      </c>
      <c r="G115">
        <f t="shared" si="7"/>
        <v>31.535999999999998</v>
      </c>
      <c r="H115">
        <f>IF(_xlfn.XLOOKUP(B115,'ELC TECH'!$H:$H,'ELC TECH'!$E:$E)="Storage",0.3,IF(_xlfn.XLOOKUP(B115,'ELC TECH'!$H:$H,'ELC TECH'!$E:$E)="Baseload",0.9,IF(_xlfn.XLOOKUP(B115,'ELC TECH'!$H:$H,'ELC TECH'!$E:$E)="Non Dispatchable",0.05,IF(_xlfn.XLOOKUP(B115,'ELC TECH'!$H:$H,'ELC TECH'!$E:$E)="Dispatchable",0.9,1))))</f>
        <v>0.9</v>
      </c>
      <c r="I115" s="13">
        <f>IF(_xlfn.XLOOKUP(B115,'ELC TECH'!H:H,'ELC TECH'!J:J)="","",_xlfn.XLOOKUP(B115,'ELC TECH'!H:H,'ELC TECH'!J:J))</f>
        <v>0</v>
      </c>
      <c r="J115" s="12">
        <f>IF(_xlfn.XLOOKUP($B115,'ELC TECH'!$H:$H,'ELC TECH'!$E:$E)="Storage","",IF(_xlfn.XLOOKUP($B115,'ELC TECH'!$H:$H,'ELC TECH'!AK:AK)="",1,_xlfn.XLOOKUP($B115,'ELC TECH'!$H:$H,'ELC TECH'!AK:AK)))</f>
        <v>1</v>
      </c>
      <c r="K115" s="12">
        <f>IF(_xlfn.XLOOKUP($B115,'ELC TECH'!$H:$H,'ELC TECH'!$E:$E)="Storage","",IF(_xlfn.XLOOKUP($B115,'ELC TECH'!$H:$H,'ELC TECH'!AL:AL)="",1,_xlfn.XLOOKUP($B115,'ELC TECH'!$H:$H,'ELC TECH'!AL:AL)))</f>
        <v>1</v>
      </c>
      <c r="L115" s="12">
        <f>IF(_xlfn.XLOOKUP($B115,'ELC TECH'!$H:$H,'ELC TECH'!$E:$E)="Storage","",IF(_xlfn.XLOOKUP($B115,'ELC TECH'!$H:$H,'ELC TECH'!AM:AM)="",1,_xlfn.XLOOKUP($B115,'ELC TECH'!$H:$H,'ELC TECH'!AM:AM)))</f>
        <v>1</v>
      </c>
      <c r="M115" s="12">
        <f>IF(_xlfn.XLOOKUP($B115,'ELC TECH'!$H:$H,'ELC TECH'!$E:$E)="Storage","",IF(_xlfn.XLOOKUP($B115,'ELC TECH'!$H:$H,'ELC TECH'!AN:AN)="",1,_xlfn.XLOOKUP($B115,'ELC TECH'!$H:$H,'ELC TECH'!AN:AN)))</f>
        <v>1</v>
      </c>
      <c r="N115" s="12">
        <f>IF(_xlfn.XLOOKUP($B115,'ELC TECH'!$H:$H,'ELC TECH'!$E:$E)="Storage","",IF(_xlfn.XLOOKUP($B115,'ELC TECH'!$H:$H,'ELC TECH'!AO:AO)="",1,_xlfn.XLOOKUP($B115,'ELC TECH'!$H:$H,'ELC TECH'!AO:AO)))</f>
        <v>1</v>
      </c>
      <c r="O115" s="12">
        <f>IF(_xlfn.XLOOKUP($B115,'ELC TECH'!$H:$H,'ELC TECH'!$E:$E)="Storage","",IF(_xlfn.XLOOKUP($B115,'ELC TECH'!$H:$H,'ELC TECH'!AP:AP)="",1,_xlfn.XLOOKUP($B115,'ELC TECH'!$H:$H,'ELC TECH'!AP:AP)))</f>
        <v>1</v>
      </c>
      <c r="P115" s="12">
        <f>IF(_xlfn.XLOOKUP($B115,'ELC TECH'!$H:$H,'ELC TECH'!$E:$E)="Storage","",IF(_xlfn.XLOOKUP($B115,'ELC TECH'!$H:$H,'ELC TECH'!AQ:AQ)="",1,_xlfn.XLOOKUP($B115,'ELC TECH'!$H:$H,'ELC TECH'!AQ:AQ)))</f>
        <v>1</v>
      </c>
      <c r="Q115" s="12">
        <f>IF(_xlfn.XLOOKUP($B115,'ELC TECH'!$H:$H,'ELC TECH'!$E:$E)="Storage","",IF(_xlfn.XLOOKUP($B115,'ELC TECH'!$H:$H,'ELC TECH'!AR:AR)="",1,_xlfn.XLOOKUP($B115,'ELC TECH'!$H:$H,'ELC TECH'!AR:AR)))</f>
        <v>1</v>
      </c>
      <c r="R115" s="12" t="str">
        <f>IF(_xlfn.XLOOKUP($B115,'ELC TECH'!$H:$H,'ELC TECH'!$E:$E)&lt;&gt;"Storage","",IF(_xlfn.XLOOKUP($B115,'ELC TECH'!$H:$H,'ELC TECH'!AK:AK)="",0.8,_xlfn.XLOOKUP($B115,'ELC TECH'!$H:$H,'ELC TECH'!AK:AK)))</f>
        <v/>
      </c>
      <c r="S115" s="12" t="str">
        <f>IF(_xlfn.XLOOKUP($B115,'ELC TECH'!$H:$H,'ELC TECH'!$E:$E)&lt;&gt;"Storage","",IF(_xlfn.XLOOKUP($B115,'ELC TECH'!$H:$H,'ELC TECH'!AL:AL)="",0.8,_xlfn.XLOOKUP($B115,'ELC TECH'!$H:$H,'ELC TECH'!AL:AL)))</f>
        <v/>
      </c>
      <c r="T115" s="12" t="str">
        <f>IF(_xlfn.XLOOKUP($B115,'ELC TECH'!$H:$H,'ELC TECH'!$E:$E)&lt;&gt;"Storage","",IF(_xlfn.XLOOKUP($B115,'ELC TECH'!$H:$H,'ELC TECH'!AM:AM)="",0.8,_xlfn.XLOOKUP($B115,'ELC TECH'!$H:$H,'ELC TECH'!AM:AM)))</f>
        <v/>
      </c>
      <c r="U115" s="12" t="str">
        <f>IF(_xlfn.XLOOKUP($B115,'ELC TECH'!$H:$H,'ELC TECH'!$E:$E)&lt;&gt;"Storage","",IF(_xlfn.XLOOKUP($B115,'ELC TECH'!$H:$H,'ELC TECH'!AN:AN)="",0.8,_xlfn.XLOOKUP($B115,'ELC TECH'!$H:$H,'ELC TECH'!AN:AN)))</f>
        <v/>
      </c>
      <c r="V115" s="12" t="str">
        <f>IF(_xlfn.XLOOKUP($B115,'ELC TECH'!$H:$H,'ELC TECH'!$E:$E)&lt;&gt;"Storage","",IF(_xlfn.XLOOKUP($B115,'ELC TECH'!$H:$H,'ELC TECH'!AO:AO)="",0.8,_xlfn.XLOOKUP($B115,'ELC TECH'!$H:$H,'ELC TECH'!AO:AO)))</f>
        <v/>
      </c>
      <c r="W115" s="12" t="str">
        <f>IF(_xlfn.XLOOKUP($B115,'ELC TECH'!$H:$H,'ELC TECH'!$E:$E)&lt;&gt;"Storage","",IF(_xlfn.XLOOKUP($B115,'ELC TECH'!$H:$H,'ELC TECH'!AP:AP)="",0.8,_xlfn.XLOOKUP($B115,'ELC TECH'!$H:$H,'ELC TECH'!AP:AP)))</f>
        <v/>
      </c>
      <c r="X115" s="12" t="str">
        <f>IF(_xlfn.XLOOKUP($B115,'ELC TECH'!$H:$H,'ELC TECH'!$E:$E)&lt;&gt;"Storage","",IF(_xlfn.XLOOKUP($B115,'ELC TECH'!$H:$H,'ELC TECH'!AQ:AQ)="",0.8,_xlfn.XLOOKUP($B115,'ELC TECH'!$H:$H,'ELC TECH'!AQ:AQ)))</f>
        <v/>
      </c>
      <c r="Y115" s="12" t="str">
        <f>IF(_xlfn.XLOOKUP($B115,'ELC TECH'!$H:$H,'ELC TECH'!$E:$E)&lt;&gt;"Storage","",IF(_xlfn.XLOOKUP($B115,'ELC TECH'!$H:$H,'ELC TECH'!AR:AR)="",0.8,_xlfn.XLOOKUP($B115,'ELC TECH'!$H:$H,'ELC TECH'!AR:AR)))</f>
        <v/>
      </c>
      <c r="Z115" s="15">
        <f>_xlfn.XLOOKUP($B115,'ELC TECH'!$H:$H,'ELC TECH'!M:M)</f>
        <v>6833.3612776205246</v>
      </c>
      <c r="AA115" s="15">
        <f>_xlfn.XLOOKUP($B115,'ELC TECH'!$H:$H,'ELC TECH'!N:N)</f>
        <v>6494.2398550813741</v>
      </c>
      <c r="AB115" s="15">
        <f>_xlfn.XLOOKUP($B115,'ELC TECH'!$H:$H,'ELC TECH'!O:O)</f>
        <v>5926.5816393206178</v>
      </c>
      <c r="AC115" s="15">
        <f>_xlfn.XLOOKUP($B115,'ELC TECH'!$H:$H,'ELC TECH'!P:P)</f>
        <v>5566.8367612057764</v>
      </c>
      <c r="AD115" s="15">
        <f>_xlfn.XLOOKUP($B115,'ELC TECH'!$H:$H,'ELC TECH'!Q:Q)</f>
        <v>5429.0506101989558</v>
      </c>
      <c r="AE115" s="15">
        <f>_xlfn.XLOOKUP($B115,'ELC TECH'!$H:$H,'ELC TECH'!R:R)</f>
        <v>5294.6748382320866</v>
      </c>
      <c r="AF115" s="15">
        <f>_xlfn.XLOOKUP($B115,'ELC TECH'!$H:$H,'ELC TECH'!S:S)</f>
        <v>5163.6250341716059</v>
      </c>
      <c r="AG115" s="15">
        <f>_xlfn.XLOOKUP($B115,'ELC TECH'!$H:$H,'ELC TECH'!T:T)</f>
        <v>5163.6250341716059</v>
      </c>
      <c r="AH115" s="15">
        <f>_xlfn.XLOOKUP($B115,'ELC TECH'!$H:$H,'ELC TECH'!U:U)</f>
        <v>170.8099129312339</v>
      </c>
      <c r="AI115" s="15">
        <f>_xlfn.XLOOKUP($B115,'ELC TECH'!$H:$H,'ELC TECH'!V:V)</f>
        <v>162.09987547196229</v>
      </c>
      <c r="AJ115" s="15">
        <f>_xlfn.XLOOKUP($B115,'ELC TECH'!$H:$H,'ELC TECH'!W:W)</f>
        <v>151.21232864787319</v>
      </c>
      <c r="AK115" s="15">
        <f>_xlfn.XLOOKUP($B115,'ELC TECH'!$H:$H,'ELC TECH'!X:X)</f>
        <v>140.32478182378409</v>
      </c>
      <c r="AL115" s="15">
        <f>_xlfn.XLOOKUP($B115,'ELC TECH'!$H:$H,'ELC TECH'!Y:Y)</f>
        <v>140.32478182378409</v>
      </c>
      <c r="AM115" s="15">
        <f>_xlfn.XLOOKUP($B115,'ELC TECH'!$H:$H,'ELC TECH'!Z:Z)</f>
        <v>140.32478182378409</v>
      </c>
      <c r="AN115" s="15">
        <f>_xlfn.XLOOKUP($B115,'ELC TECH'!$H:$H,'ELC TECH'!AA:AA)</f>
        <v>140.32478182378409</v>
      </c>
      <c r="AO115" s="15">
        <f>_xlfn.XLOOKUP($B115,'ELC TECH'!$H:$H,'ELC TECH'!AB:AB)</f>
        <v>140.32478182378409</v>
      </c>
      <c r="AP115" s="15">
        <f>_xlfn.XLOOKUP($B115,'ELC TECH'!$H:$H,'ELC TECH'!AC:AC)</f>
        <v>0</v>
      </c>
      <c r="AQ115" s="15">
        <f>_xlfn.XLOOKUP($B115,'ELC TECH'!$H:$H,'ELC TECH'!AD:AD)</f>
        <v>0</v>
      </c>
      <c r="AR115" s="15">
        <f>_xlfn.XLOOKUP($B115,'ELC TECH'!$H:$H,'ELC TECH'!AE:AE)</f>
        <v>0</v>
      </c>
      <c r="AS115" s="15">
        <f>_xlfn.XLOOKUP($B115,'ELC TECH'!$H:$H,'ELC TECH'!AF:AF)</f>
        <v>0</v>
      </c>
      <c r="AT115" s="15">
        <f>_xlfn.XLOOKUP($B115,'ELC TECH'!$H:$H,'ELC TECH'!AG:AG)</f>
        <v>0</v>
      </c>
      <c r="AU115" s="15">
        <f>_xlfn.XLOOKUP($B115,'ELC TECH'!$H:$H,'ELC TECH'!AH:AH)</f>
        <v>0</v>
      </c>
      <c r="AV115" s="15">
        <f>_xlfn.XLOOKUP($B115,'ELC TECH'!$H:$H,'ELC TECH'!AI:AI)</f>
        <v>0</v>
      </c>
      <c r="AW115" s="15">
        <f>_xlfn.XLOOKUP($B115,'ELC TECH'!$H:$H,'ELC TECH'!AJ:AJ)</f>
        <v>0</v>
      </c>
      <c r="AX115" s="12">
        <f>IF(_xlfn.XLOOKUP($B115,'ELC TECH'!$H:$H,'ELC TECH'!$E:$E)="Storage","",_xlfn.XLOOKUP($B115,'ELC TECH'!$H:$H,'ELC TECH'!AS:AS))</f>
        <v>0.8</v>
      </c>
      <c r="AY115" s="12">
        <f>IF(_xlfn.XLOOKUP($B115,'ELC TECH'!$H:$H,'ELC TECH'!$E:$E)="Storage","",_xlfn.XLOOKUP($B115,'ELC TECH'!$H:$H,'ELC TECH'!AT:AT))</f>
        <v>0.8</v>
      </c>
      <c r="AZ115" s="12">
        <f>IF(_xlfn.XLOOKUP($B115,'ELC TECH'!$H:$H,'ELC TECH'!$E:$E)="Storage","",_xlfn.XLOOKUP($B115,'ELC TECH'!$H:$H,'ELC TECH'!AU:AU))</f>
        <v>0.8</v>
      </c>
      <c r="BA115" s="12">
        <f>IF(_xlfn.XLOOKUP($B115,'ELC TECH'!$H:$H,'ELC TECH'!$E:$E)="Storage","",_xlfn.XLOOKUP($B115,'ELC TECH'!$H:$H,'ELC TECH'!AV:AV))</f>
        <v>0.8</v>
      </c>
      <c r="BB115" s="12">
        <f>IF(_xlfn.XLOOKUP($B115,'ELC TECH'!$H:$H,'ELC TECH'!$E:$E)="Storage","",_xlfn.XLOOKUP($B115,'ELC TECH'!$H:$H,'ELC TECH'!AW:AW))</f>
        <v>0.8</v>
      </c>
      <c r="BC115" s="12">
        <f>IF(_xlfn.XLOOKUP($B115,'ELC TECH'!$H:$H,'ELC TECH'!$E:$E)="Storage","",_xlfn.XLOOKUP($B115,'ELC TECH'!$H:$H,'ELC TECH'!AX:AX))</f>
        <v>0.8</v>
      </c>
      <c r="BD115" s="12">
        <f>IF(_xlfn.XLOOKUP($B115,'ELC TECH'!$H:$H,'ELC TECH'!$E:$E)="Storage","",_xlfn.XLOOKUP($B115,'ELC TECH'!$H:$H,'ELC TECH'!AY:AY))</f>
        <v>0.8</v>
      </c>
      <c r="BE115" s="12">
        <f>IF(_xlfn.XLOOKUP($B115,'ELC TECH'!$H:$H,'ELC TECH'!$E:$E)="Storage","",_xlfn.XLOOKUP($B115,'ELC TECH'!$H:$H,'ELC TECH'!AZ:AZ))</f>
        <v>0.8</v>
      </c>
      <c r="BF115" s="12" t="str">
        <f>IF(_xlfn.XLOOKUP($B115,'ELC TECH'!$H:$H,'ELC TECH'!$E:$E)="Storage",_xlfn.XLOOKUP($B115,'ELC TECH'!$H:$H,'ELC TECH'!AS:AS),"")</f>
        <v/>
      </c>
      <c r="BG115" s="12" t="str">
        <f>IF(_xlfn.XLOOKUP($B115,'ELC TECH'!$H:$H,'ELC TECH'!$E:$E)="Storage",_xlfn.XLOOKUP($B115,'ELC TECH'!$H:$H,'ELC TECH'!AT:AT),"")</f>
        <v/>
      </c>
      <c r="BH115" s="12" t="str">
        <f>IF(_xlfn.XLOOKUP($B115,'ELC TECH'!$H:$H,'ELC TECH'!$E:$E)="Storage",_xlfn.XLOOKUP($B115,'ELC TECH'!$H:$H,'ELC TECH'!AU:AU),"")</f>
        <v/>
      </c>
      <c r="BI115" s="12" t="str">
        <f>IF(_xlfn.XLOOKUP($B115,'ELC TECH'!$H:$H,'ELC TECH'!$E:$E)="Storage",_xlfn.XLOOKUP($B115,'ELC TECH'!$H:$H,'ELC TECH'!AV:AV),"")</f>
        <v/>
      </c>
      <c r="BJ115" s="12" t="str">
        <f>IF(_xlfn.XLOOKUP($B115,'ELC TECH'!$H:$H,'ELC TECH'!$E:$E)="Storage",_xlfn.XLOOKUP($B115,'ELC TECH'!$H:$H,'ELC TECH'!AW:AW),"")</f>
        <v/>
      </c>
      <c r="BK115" s="12" t="str">
        <f>IF(_xlfn.XLOOKUP($B115,'ELC TECH'!$H:$H,'ELC TECH'!$E:$E)="Storage",_xlfn.XLOOKUP($B115,'ELC TECH'!$H:$H,'ELC TECH'!AX:AX),"")</f>
        <v/>
      </c>
      <c r="BL115" s="12" t="str">
        <f>IF(_xlfn.XLOOKUP($B115,'ELC TECH'!$H:$H,'ELC TECH'!$E:$E)="Storage",_xlfn.XLOOKUP($B115,'ELC TECH'!$H:$H,'ELC TECH'!AY:AY),"")</f>
        <v/>
      </c>
      <c r="BM115" s="12" t="str">
        <f>IF(_xlfn.XLOOKUP($B115,'ELC TECH'!$H:$H,'ELC TECH'!$E:$E)="Storage",_xlfn.XLOOKUP($B115,'ELC TECH'!$H:$H,'ELC TECH'!AZ:AZ),"")</f>
        <v/>
      </c>
      <c r="BN115" s="8" t="str">
        <f>IF(_xlfn.XLOOKUP($B115,'ELC TECH'!$H:$H,'ELC TECH'!$E:$E)="Non Dispatchable",IFERROR($AX115*_xlfn.XLOOKUP($C115,$BM$1:$BM$3,BN$1:BN$3)/SUMPRODUCT(_xlfn.XLOOKUP($C115,$BM$1:$BM$3,$BN$1:$BY$3),$BN$4:$BY$4),""),
"")</f>
        <v/>
      </c>
      <c r="BO115" s="8" t="str">
        <f>IF(_xlfn.XLOOKUP($B115,'ELC TECH'!$H:$H,'ELC TECH'!$E:$E)="Non Dispatchable",IFERROR($AX115*_xlfn.XLOOKUP($C115,$BM$1:$BM$3,BO$1:BO$3)/SUMPRODUCT(_xlfn.XLOOKUP($C115,$BM$1:$BM$3,$BN$1:$BY$3),$BN$4:$BY$4),""),
"")</f>
        <v/>
      </c>
      <c r="BP115" s="8" t="str">
        <f>IF(_xlfn.XLOOKUP($B115,'ELC TECH'!$H:$H,'ELC TECH'!$E:$E)="Non Dispatchable",IFERROR($AX115*_xlfn.XLOOKUP($C115,$BM$1:$BM$3,BP$1:BP$3)/SUMPRODUCT(_xlfn.XLOOKUP($C115,$BM$1:$BM$3,$BN$1:$BY$3),$BN$4:$BY$4),""),
"")</f>
        <v/>
      </c>
      <c r="BQ115" s="8" t="str">
        <f>IF(_xlfn.XLOOKUP($B115,'ELC TECH'!$H:$H,'ELC TECH'!$E:$E)="Non Dispatchable",IFERROR($AX115*_xlfn.XLOOKUP($C115,$BM$1:$BM$3,BQ$1:BQ$3)/SUMPRODUCT(_xlfn.XLOOKUP($C115,$BM$1:$BM$3,$BN$1:$BY$3),$BN$4:$BY$4),""),
"")</f>
        <v/>
      </c>
      <c r="BR115" s="8" t="str">
        <f>IF(_xlfn.XLOOKUP($B115,'ELC TECH'!$H:$H,'ELC TECH'!$E:$E)="Non Dispatchable",IFERROR($AX115*_xlfn.XLOOKUP($C115,$BM$1:$BM$3,BR$1:BR$3)/SUMPRODUCT(_xlfn.XLOOKUP($C115,$BM$1:$BM$3,$BN$1:$BY$3),$BN$4:$BY$4),""),
"")</f>
        <v/>
      </c>
      <c r="BS115" s="8" t="str">
        <f>IF(_xlfn.XLOOKUP($B115,'ELC TECH'!$H:$H,'ELC TECH'!$E:$E)="Non Dispatchable",IFERROR($AX115*_xlfn.XLOOKUP($C115,$BM$1:$BM$3,BS$1:BS$3)/SUMPRODUCT(_xlfn.XLOOKUP($C115,$BM$1:$BM$3,$BN$1:$BY$3),$BN$4:$BY$4),""),
"")</f>
        <v/>
      </c>
      <c r="BT115" s="8" t="str">
        <f>IF(_xlfn.XLOOKUP($B115,'ELC TECH'!$H:$H,'ELC TECH'!$E:$E)="Non Dispatchable",IFERROR($AX115*_xlfn.XLOOKUP($C115,$BM$1:$BM$3,BT$1:BT$3)/SUMPRODUCT(_xlfn.XLOOKUP($C115,$BM$1:$BM$3,$BN$1:$BY$3),$BN$4:$BY$4),""),
"")</f>
        <v/>
      </c>
      <c r="BU115" s="8" t="str">
        <f>IF(_xlfn.XLOOKUP($B115,'ELC TECH'!$H:$H,'ELC TECH'!$E:$E)="Non Dispatchable",IFERROR($AX115*_xlfn.XLOOKUP($C115,$BM$1:$BM$3,BU$1:BU$3)/SUMPRODUCT(_xlfn.XLOOKUP($C115,$BM$1:$BM$3,$BN$1:$BY$3),$BN$4:$BY$4),""),
"")</f>
        <v/>
      </c>
      <c r="BV115" s="8" t="str">
        <f>IF(_xlfn.XLOOKUP($B115,'ELC TECH'!$H:$H,'ELC TECH'!$E:$E)="Non Dispatchable",IFERROR($AX115*_xlfn.XLOOKUP($C115,$BM$1:$BM$3,BV$1:BV$3)/SUMPRODUCT(_xlfn.XLOOKUP($C115,$BM$1:$BM$3,$BN$1:$BY$3),$BN$4:$BY$4),""),
"")</f>
        <v/>
      </c>
      <c r="BW115" s="8" t="str">
        <f>IF(_xlfn.XLOOKUP($B115,'ELC TECH'!$H:$H,'ELC TECH'!$E:$E)="Non Dispatchable",IFERROR($AX115*_xlfn.XLOOKUP($C115,$BM$1:$BM$3,BW$1:BW$3)/SUMPRODUCT(_xlfn.XLOOKUP($C115,$BM$1:$BM$3,$BN$1:$BY$3),$BN$4:$BY$4),""),
"")</f>
        <v/>
      </c>
      <c r="BX115" s="8" t="str">
        <f>IF(_xlfn.XLOOKUP($B115,'ELC TECH'!$H:$H,'ELC TECH'!$E:$E)="Non Dispatchable",IFERROR($AX115*_xlfn.XLOOKUP($C115,$BM$1:$BM$3,BX$1:BX$3)/SUMPRODUCT(_xlfn.XLOOKUP($C115,$BM$1:$BM$3,$BN$1:$BY$3),$BN$4:$BY$4),""),
"")</f>
        <v/>
      </c>
      <c r="BY115" s="8" t="str">
        <f>IF(_xlfn.XLOOKUP($B115,'ELC TECH'!$H:$H,'ELC TECH'!$E:$E)="Non Dispatchable",IFERROR($AX115*_xlfn.XLOOKUP($C115,$BM$1:$BM$3,BY$1:BY$3)/SUMPRODUCT(_xlfn.XLOOKUP($C115,$BM$1:$BM$3,$BN$1:$BY$3),$BN$4:$BY$4),""),
"")</f>
        <v/>
      </c>
      <c r="BZ115" s="8" t="str">
        <f>IF(_xlfn.XLOOKUP($B115,'ELC TECH'!$H:$H,'ELC TECH'!$E:$E)="Non Dispatchable",IFERROR($AX115*_xlfn.XLOOKUP($C115,$BM$1:$BM$3,BZ$1:BZ$3)/SUMPRODUCT(_xlfn.XLOOKUP($C115,$BM$1:$BM$3,$BN$1:$BY$3),$BN$4:$BY$4),""),
"")</f>
        <v/>
      </c>
      <c r="CA115" s="8" t="str">
        <f>IF(_xlfn.XLOOKUP($B115,'ELC TECH'!$H:$H,'ELC TECH'!$E:$E)="Non Dispatchable",IFERROR($AX115*_xlfn.XLOOKUP($C115,$BM$1:$BM$3,CA$1:CA$3)/SUMPRODUCT(_xlfn.XLOOKUP($C115,$BM$1:$BM$3,$BN$1:$BY$3),$BN$4:$BY$4),""),
"")</f>
        <v/>
      </c>
      <c r="CB115" s="8" t="str">
        <f>IF(_xlfn.XLOOKUP($B115,'ELC TECH'!$H:$H,'ELC TECH'!$E:$E)="Non Dispatchable",IFERROR($AX115*_xlfn.XLOOKUP($C115,$BM$1:$BM$3,CB$1:CB$3)/SUMPRODUCT(_xlfn.XLOOKUP($C115,$BM$1:$BM$3,$BN$1:$BY$3),$BN$4:$BY$4),""),
"")</f>
        <v/>
      </c>
      <c r="CC115" s="8" t="str">
        <f>IF(_xlfn.XLOOKUP($B115,'ELC TECH'!$H:$H,'ELC TECH'!$E:$E)="Non Dispatchable",IFERROR($AX115*_xlfn.XLOOKUP($C115,$BM$1:$BM$3,CC$1:CC$3)/SUMPRODUCT(_xlfn.XLOOKUP($C115,$BM$1:$BM$3,$BN$1:$BY$3),$BN$4:$BY$4),""),
"")</f>
        <v/>
      </c>
      <c r="CD115" s="8" t="str">
        <f>IF(_xlfn.XLOOKUP($B115,'ELC TECH'!$H:$H,'ELC TECH'!$E:$E)="Non Dispatchable",IFERROR($AX115*_xlfn.XLOOKUP($C115,$BM$1:$BM$3,CD$1:CD$3)/SUMPRODUCT(_xlfn.XLOOKUP($C115,$BM$1:$BM$3,$BN$1:$BY$3),$BN$4:$BY$4),""),
"")</f>
        <v/>
      </c>
      <c r="CE115" s="8" t="str">
        <f>IF(_xlfn.XLOOKUP($B115,'ELC TECH'!$H:$H,'ELC TECH'!$E:$E)="Non Dispatchable",IFERROR($AX115*_xlfn.XLOOKUP($C115,$BM$1:$BM$3,CE$1:CE$3)/SUMPRODUCT(_xlfn.XLOOKUP($C115,$BM$1:$BM$3,$BN$1:$BY$3),$BN$4:$BY$4),""),
"")</f>
        <v/>
      </c>
      <c r="CF115" s="8" t="str">
        <f>IF(_xlfn.XLOOKUP($B115,'ELC TECH'!$H:$H,'ELC TECH'!$E:$E)="Non Dispatchable",IFERROR($AX115*_xlfn.XLOOKUP($C115,$BM$1:$BM$3,CF$1:CF$3)/SUMPRODUCT(_xlfn.XLOOKUP($C115,$BM$1:$BM$3,$BN$1:$BY$3),$BN$4:$BY$4),""),
"")</f>
        <v/>
      </c>
      <c r="CG115" s="8" t="str">
        <f>IF(_xlfn.XLOOKUP($B115,'ELC TECH'!$H:$H,'ELC TECH'!$E:$E)="Non Dispatchable",IFERROR($AX115*_xlfn.XLOOKUP($C115,$BM$1:$BM$3,CG$1:CG$3)/SUMPRODUCT(_xlfn.XLOOKUP($C115,$BM$1:$BM$3,$BN$1:$BY$3),$BN$4:$BY$4),""),
"")</f>
        <v/>
      </c>
      <c r="CH115" s="8" t="str">
        <f>IF(_xlfn.XLOOKUP($B115,'ELC TECH'!$H:$H,'ELC TECH'!$E:$E)="Non Dispatchable",IFERROR($AX115*_xlfn.XLOOKUP($C115,$BM$1:$BM$3,CH$1:CH$3)/SUMPRODUCT(_xlfn.XLOOKUP($C115,$BM$1:$BM$3,$BN$1:$BY$3),$BN$4:$BY$4),""),
"")</f>
        <v/>
      </c>
      <c r="CI115" s="8" t="str">
        <f>IF(_xlfn.XLOOKUP($B115,'ELC TECH'!$H:$H,'ELC TECH'!$E:$E)="Non Dispatchable",IFERROR($AX115*_xlfn.XLOOKUP($C115,$BM$1:$BM$3,CI$1:CI$3)/SUMPRODUCT(_xlfn.XLOOKUP($C115,$BM$1:$BM$3,$BN$1:$BY$3),$BN$4:$BY$4),""),
"")</f>
        <v/>
      </c>
      <c r="CJ115" s="8" t="str">
        <f>IF(_xlfn.XLOOKUP($B115,'ELC TECH'!$H:$H,'ELC TECH'!$E:$E)="Non Dispatchable",IFERROR($AX115*_xlfn.XLOOKUP($C115,$BM$1:$BM$3,CJ$1:CJ$3)/SUMPRODUCT(_xlfn.XLOOKUP($C115,$BM$1:$BM$3,$BN$1:$BY$3),$BN$4:$BY$4),""),
"")</f>
        <v/>
      </c>
      <c r="CK115" s="8" t="str">
        <f>IF(_xlfn.XLOOKUP($B115,'ELC TECH'!$H:$H,'ELC TECH'!$E:$E)="Non Dispatchable",IFERROR($AX115*_xlfn.XLOOKUP($C115,$BM$1:$BM$3,CK$1:CK$3)/SUMPRODUCT(_xlfn.XLOOKUP($C115,$BM$1:$BM$3,$BN$1:$BY$3),$BN$4:$BY$4),""),
"")</f>
        <v/>
      </c>
      <c r="CL115" s="8" t="str">
        <f>IF(_xlfn.XLOOKUP($B115,'ELC TECH'!$H:$H,'ELC TECH'!$E:$E)="Storage",CL$4*$BF115,"")</f>
        <v/>
      </c>
      <c r="CM115" s="8" t="str">
        <f>IF(_xlfn.XLOOKUP($B115,'ELC TECH'!$H:$H,'ELC TECH'!$E:$E)="Storage",CM$4*$BF115,"")</f>
        <v/>
      </c>
      <c r="CN115" s="8" t="str">
        <f>IF(_xlfn.XLOOKUP($B115,'ELC TECH'!$H:$H,'ELC TECH'!$E:$E)="Storage",CN$4*$BF115,"")</f>
        <v/>
      </c>
      <c r="CO115" s="8" t="str">
        <f>IF(_xlfn.XLOOKUP($B115,'ELC TECH'!$H:$H,'ELC TECH'!$E:$E)="Storage",CO$4*$BF115,"")</f>
        <v/>
      </c>
      <c r="CP115" s="8" t="str">
        <f>IF(_xlfn.XLOOKUP($B115,'ELC TECH'!$H:$H,'ELC TECH'!$E:$E)="Storage",CP$4*$BF115,"")</f>
        <v/>
      </c>
      <c r="CQ115" s="8" t="str">
        <f>IF(_xlfn.XLOOKUP($B115,'ELC TECH'!$H:$H,'ELC TECH'!$E:$E)="Storage",CQ$4*$BF115,"")</f>
        <v/>
      </c>
      <c r="CR115" s="8" t="str">
        <f>IF(_xlfn.XLOOKUP($B115,'ELC TECH'!$H:$H,'ELC TECH'!$E:$E)="Storage",CR$4*$BF115,"")</f>
        <v/>
      </c>
      <c r="CS115" s="8" t="str">
        <f>IF(_xlfn.XLOOKUP($B115,'ELC TECH'!$H:$H,'ELC TECH'!$E:$E)="Storage",CS$4*$BF115,"")</f>
        <v/>
      </c>
      <c r="CT115" s="8" t="str">
        <f>IF(_xlfn.XLOOKUP($B115,'ELC TECH'!$H:$H,'ELC TECH'!$E:$E)="Storage",CT$4*$BF115,"")</f>
        <v/>
      </c>
      <c r="CU115" s="8" t="str">
        <f>IF(_xlfn.XLOOKUP($B115,'ELC TECH'!$H:$H,'ELC TECH'!$E:$E)="Storage",CU$4*$BF115,"")</f>
        <v/>
      </c>
      <c r="CV115" s="8" t="str">
        <f>IF(_xlfn.XLOOKUP($B115,'ELC TECH'!$H:$H,'ELC TECH'!$E:$E)="Storage",CV$4*$BF115,"")</f>
        <v/>
      </c>
      <c r="CW115" s="8" t="str">
        <f>IF(_xlfn.XLOOKUP($B115,'ELC TECH'!$H:$H,'ELC TECH'!$E:$E)="Storage",CW$4*$BF115,"")</f>
        <v/>
      </c>
      <c r="CX115" s="8" t="str">
        <f>IF(_xlfn.XLOOKUP($B115,'ELC TECH'!$H:$H,'ELC TECH'!$E:$E)="Storage",CX$4*$BF115,"")</f>
        <v/>
      </c>
      <c r="CY115" s="8" t="str">
        <f>IF(_xlfn.XLOOKUP($B115,'ELC TECH'!$H:$H,'ELC TECH'!$E:$E)="Storage",CY$4*$BF115,"")</f>
        <v/>
      </c>
      <c r="CZ115" s="8" t="str">
        <f>IF(_xlfn.XLOOKUP($B115,'ELC TECH'!$H:$H,'ELC TECH'!$E:$E)="Storage",CZ$4*$BF115,"")</f>
        <v/>
      </c>
      <c r="DA115" s="8" t="str">
        <f>IF(_xlfn.XLOOKUP($B115,'ELC TECH'!$H:$H,'ELC TECH'!$E:$E)="Storage",DA$4*$BF115,"")</f>
        <v/>
      </c>
      <c r="DB115" s="8" t="str">
        <f>IF(_xlfn.XLOOKUP($B115,'ELC TECH'!$H:$H,'ELC TECH'!$E:$E)="Storage",DB$4*$BF115,"")</f>
        <v/>
      </c>
      <c r="DC115" s="8" t="str">
        <f>IF(_xlfn.XLOOKUP($B115,'ELC TECH'!$H:$H,'ELC TECH'!$E:$E)="Storage",DC$4*$BF115,"")</f>
        <v/>
      </c>
      <c r="DD115" s="8" t="str">
        <f>IF(_xlfn.XLOOKUP($B115,'ELC TECH'!$H:$H,'ELC TECH'!$E:$E)="Storage",DD$4*$BF115,"")</f>
        <v/>
      </c>
      <c r="DE115" s="8" t="str">
        <f>IF(_xlfn.XLOOKUP($B115,'ELC TECH'!$H:$H,'ELC TECH'!$E:$E)="Storage",DE$4*$BF115,"")</f>
        <v/>
      </c>
      <c r="DF115" s="8" t="str">
        <f>IF(_xlfn.XLOOKUP($B115,'ELC TECH'!$H:$H,'ELC TECH'!$E:$E)="Storage",DF$4*$BF115,"")</f>
        <v/>
      </c>
      <c r="DG115" s="8" t="str">
        <f>IF(_xlfn.XLOOKUP($B115,'ELC TECH'!$H:$H,'ELC TECH'!$E:$E)="Storage",DG$4*$BF115,"")</f>
        <v/>
      </c>
      <c r="DH115" s="8" t="str">
        <f>IF(_xlfn.XLOOKUP($B115,'ELC TECH'!$H:$H,'ELC TECH'!$E:$E)="Storage",DH$4*$BF115,"")</f>
        <v/>
      </c>
      <c r="DI115" s="8" t="str">
        <f>IF(_xlfn.XLOOKUP($B115,'ELC TECH'!$H:$H,'ELC TECH'!$E:$E)="Storage",DI$4*$BF115,"")</f>
        <v/>
      </c>
    </row>
    <row r="116" spans="2:113" x14ac:dyDescent="0.25">
      <c r="B116" t="str">
        <f>IF('ELC TECH'!I109=0,"*",'ELC TECH'!H109)</f>
        <v>ELCGEOGRDHYDF20</v>
      </c>
      <c r="C116" t="str">
        <f>IF(_xlfn.XLOOKUP(_xlfn.XLOOKUP(B116,'ELC TECH'!$H:$H,'ELC TECH'!$G:$G),List!C:C,List!B:B)="STG",D116,"ELC"&amp;_xlfn.XLOOKUP(_xlfn.XLOOKUP(B116,'ELC TECH'!H:H,'ELC TECH'!G:G),List!C:C,List!B:B))</f>
        <v>ELCGEO</v>
      </c>
      <c r="D116" t="s">
        <v>544</v>
      </c>
      <c r="E116">
        <f>_xlfn.XLOOKUP(B116,'ELC TECH'!H:H,'ELC TECH'!D:D)</f>
        <v>2020</v>
      </c>
      <c r="F116">
        <f>_xlfn.XLOOKUP(B116,'ELC TECH'!H:H,'ELC TECH'!K:K)</f>
        <v>30</v>
      </c>
      <c r="G116">
        <f t="shared" si="7"/>
        <v>31.535999999999998</v>
      </c>
      <c r="H116">
        <f>IF(_xlfn.XLOOKUP(B116,'ELC TECH'!$H:$H,'ELC TECH'!$E:$E)="Storage",0.3,IF(_xlfn.XLOOKUP(B116,'ELC TECH'!$H:$H,'ELC TECH'!$E:$E)="Baseload",0.9,IF(_xlfn.XLOOKUP(B116,'ELC TECH'!$H:$H,'ELC TECH'!$E:$E)="Non Dispatchable",0.05,IF(_xlfn.XLOOKUP(B116,'ELC TECH'!$H:$H,'ELC TECH'!$E:$E)="Dispatchable",0.9,1))))</f>
        <v>0.9</v>
      </c>
      <c r="I116" s="13">
        <f>IF(_xlfn.XLOOKUP(B116,'ELC TECH'!H:H,'ELC TECH'!J:J)="","",_xlfn.XLOOKUP(B116,'ELC TECH'!H:H,'ELC TECH'!J:J))</f>
        <v>0</v>
      </c>
      <c r="J116" s="12">
        <f>IF(_xlfn.XLOOKUP($B116,'ELC TECH'!$H:$H,'ELC TECH'!$E:$E)="Storage","",IF(_xlfn.XLOOKUP($B116,'ELC TECH'!$H:$H,'ELC TECH'!AK:AK)="",1,_xlfn.XLOOKUP($B116,'ELC TECH'!$H:$H,'ELC TECH'!AK:AK)))</f>
        <v>1</v>
      </c>
      <c r="K116" s="12">
        <f>IF(_xlfn.XLOOKUP($B116,'ELC TECH'!$H:$H,'ELC TECH'!$E:$E)="Storage","",IF(_xlfn.XLOOKUP($B116,'ELC TECH'!$H:$H,'ELC TECH'!AL:AL)="",1,_xlfn.XLOOKUP($B116,'ELC TECH'!$H:$H,'ELC TECH'!AL:AL)))</f>
        <v>1</v>
      </c>
      <c r="L116" s="12">
        <f>IF(_xlfn.XLOOKUP($B116,'ELC TECH'!$H:$H,'ELC TECH'!$E:$E)="Storage","",IF(_xlfn.XLOOKUP($B116,'ELC TECH'!$H:$H,'ELC TECH'!AM:AM)="",1,_xlfn.XLOOKUP($B116,'ELC TECH'!$H:$H,'ELC TECH'!AM:AM)))</f>
        <v>1</v>
      </c>
      <c r="M116" s="12">
        <f>IF(_xlfn.XLOOKUP($B116,'ELC TECH'!$H:$H,'ELC TECH'!$E:$E)="Storage","",IF(_xlfn.XLOOKUP($B116,'ELC TECH'!$H:$H,'ELC TECH'!AN:AN)="",1,_xlfn.XLOOKUP($B116,'ELC TECH'!$H:$H,'ELC TECH'!AN:AN)))</f>
        <v>1</v>
      </c>
      <c r="N116" s="12">
        <f>IF(_xlfn.XLOOKUP($B116,'ELC TECH'!$H:$H,'ELC TECH'!$E:$E)="Storage","",IF(_xlfn.XLOOKUP($B116,'ELC TECH'!$H:$H,'ELC TECH'!AO:AO)="",1,_xlfn.XLOOKUP($B116,'ELC TECH'!$H:$H,'ELC TECH'!AO:AO)))</f>
        <v>1</v>
      </c>
      <c r="O116" s="12">
        <f>IF(_xlfn.XLOOKUP($B116,'ELC TECH'!$H:$H,'ELC TECH'!$E:$E)="Storage","",IF(_xlfn.XLOOKUP($B116,'ELC TECH'!$H:$H,'ELC TECH'!AP:AP)="",1,_xlfn.XLOOKUP($B116,'ELC TECH'!$H:$H,'ELC TECH'!AP:AP)))</f>
        <v>1</v>
      </c>
      <c r="P116" s="12">
        <f>IF(_xlfn.XLOOKUP($B116,'ELC TECH'!$H:$H,'ELC TECH'!$E:$E)="Storage","",IF(_xlfn.XLOOKUP($B116,'ELC TECH'!$H:$H,'ELC TECH'!AQ:AQ)="",1,_xlfn.XLOOKUP($B116,'ELC TECH'!$H:$H,'ELC TECH'!AQ:AQ)))</f>
        <v>1</v>
      </c>
      <c r="Q116" s="12">
        <f>IF(_xlfn.XLOOKUP($B116,'ELC TECH'!$H:$H,'ELC TECH'!$E:$E)="Storage","",IF(_xlfn.XLOOKUP($B116,'ELC TECH'!$H:$H,'ELC TECH'!AR:AR)="",1,_xlfn.XLOOKUP($B116,'ELC TECH'!$H:$H,'ELC TECH'!AR:AR)))</f>
        <v>1</v>
      </c>
      <c r="R116" s="12" t="str">
        <f>IF(_xlfn.XLOOKUP($B116,'ELC TECH'!$H:$H,'ELC TECH'!$E:$E)&lt;&gt;"Storage","",IF(_xlfn.XLOOKUP($B116,'ELC TECH'!$H:$H,'ELC TECH'!AK:AK)="",0.8,_xlfn.XLOOKUP($B116,'ELC TECH'!$H:$H,'ELC TECH'!AK:AK)))</f>
        <v/>
      </c>
      <c r="S116" s="12" t="str">
        <f>IF(_xlfn.XLOOKUP($B116,'ELC TECH'!$H:$H,'ELC TECH'!$E:$E)&lt;&gt;"Storage","",IF(_xlfn.XLOOKUP($B116,'ELC TECH'!$H:$H,'ELC TECH'!AL:AL)="",0.8,_xlfn.XLOOKUP($B116,'ELC TECH'!$H:$H,'ELC TECH'!AL:AL)))</f>
        <v/>
      </c>
      <c r="T116" s="12" t="str">
        <f>IF(_xlfn.XLOOKUP($B116,'ELC TECH'!$H:$H,'ELC TECH'!$E:$E)&lt;&gt;"Storage","",IF(_xlfn.XLOOKUP($B116,'ELC TECH'!$H:$H,'ELC TECH'!AM:AM)="",0.8,_xlfn.XLOOKUP($B116,'ELC TECH'!$H:$H,'ELC TECH'!AM:AM)))</f>
        <v/>
      </c>
      <c r="U116" s="12" t="str">
        <f>IF(_xlfn.XLOOKUP($B116,'ELC TECH'!$H:$H,'ELC TECH'!$E:$E)&lt;&gt;"Storage","",IF(_xlfn.XLOOKUP($B116,'ELC TECH'!$H:$H,'ELC TECH'!AN:AN)="",0.8,_xlfn.XLOOKUP($B116,'ELC TECH'!$H:$H,'ELC TECH'!AN:AN)))</f>
        <v/>
      </c>
      <c r="V116" s="12" t="str">
        <f>IF(_xlfn.XLOOKUP($B116,'ELC TECH'!$H:$H,'ELC TECH'!$E:$E)&lt;&gt;"Storage","",IF(_xlfn.XLOOKUP($B116,'ELC TECH'!$H:$H,'ELC TECH'!AO:AO)="",0.8,_xlfn.XLOOKUP($B116,'ELC TECH'!$H:$H,'ELC TECH'!AO:AO)))</f>
        <v/>
      </c>
      <c r="W116" s="12" t="str">
        <f>IF(_xlfn.XLOOKUP($B116,'ELC TECH'!$H:$H,'ELC TECH'!$E:$E)&lt;&gt;"Storage","",IF(_xlfn.XLOOKUP($B116,'ELC TECH'!$H:$H,'ELC TECH'!AP:AP)="",0.8,_xlfn.XLOOKUP($B116,'ELC TECH'!$H:$H,'ELC TECH'!AP:AP)))</f>
        <v/>
      </c>
      <c r="X116" s="12" t="str">
        <f>IF(_xlfn.XLOOKUP($B116,'ELC TECH'!$H:$H,'ELC TECH'!$E:$E)&lt;&gt;"Storage","",IF(_xlfn.XLOOKUP($B116,'ELC TECH'!$H:$H,'ELC TECH'!AQ:AQ)="",0.8,_xlfn.XLOOKUP($B116,'ELC TECH'!$H:$H,'ELC TECH'!AQ:AQ)))</f>
        <v/>
      </c>
      <c r="Y116" s="12" t="str">
        <f>IF(_xlfn.XLOOKUP($B116,'ELC TECH'!$H:$H,'ELC TECH'!$E:$E)&lt;&gt;"Storage","",IF(_xlfn.XLOOKUP($B116,'ELC TECH'!$H:$H,'ELC TECH'!AR:AR)="",0.8,_xlfn.XLOOKUP($B116,'ELC TECH'!$H:$H,'ELC TECH'!AR:AR)))</f>
        <v/>
      </c>
      <c r="Z116" s="15">
        <f>_xlfn.XLOOKUP($B116,'ELC TECH'!$H:$H,'ELC TECH'!M:M)</f>
        <v>5141.5939435054142</v>
      </c>
      <c r="AA116" s="15">
        <f>_xlfn.XLOOKUP($B116,'ELC TECH'!$H:$H,'ELC TECH'!N:N)</f>
        <v>4951.1172552179423</v>
      </c>
      <c r="AB116" s="15">
        <f>_xlfn.XLOOKUP($B116,'ELC TECH'!$H:$H,'ELC TECH'!O:O)</f>
        <v>4562.0372121705796</v>
      </c>
      <c r="AC116" s="15">
        <f>_xlfn.XLOOKUP($B116,'ELC TECH'!$H:$H,'ELC TECH'!P:P)</f>
        <v>4305.0128616851307</v>
      </c>
      <c r="AD116" s="15">
        <f>_xlfn.XLOOKUP($B116,'ELC TECH'!$H:$H,'ELC TECH'!Q:Q)</f>
        <v>4198.4584255320578</v>
      </c>
      <c r="AE116" s="15">
        <f>_xlfn.XLOOKUP($B116,'ELC TECH'!$H:$H,'ELC TECH'!R:R)</f>
        <v>4094.5413445341692</v>
      </c>
      <c r="AF116" s="15">
        <f>_xlfn.XLOOKUP($B116,'ELC TECH'!$H:$H,'ELC TECH'!S:S)</f>
        <v>3993.1963408629158</v>
      </c>
      <c r="AG116" s="15">
        <f>_xlfn.XLOOKUP($B116,'ELC TECH'!$H:$H,'ELC TECH'!T:T)</f>
        <v>3993.1963408629158</v>
      </c>
      <c r="AH116" s="15">
        <f>_xlfn.XLOOKUP($B116,'ELC TECH'!$H:$H,'ELC TECH'!U:U)</f>
        <v>128.4796870790527</v>
      </c>
      <c r="AI116" s="15">
        <f>_xlfn.XLOOKUP($B116,'ELC TECH'!$H:$H,'ELC TECH'!V:V)</f>
        <v>125.2302476581271</v>
      </c>
      <c r="AJ116" s="15">
        <f>_xlfn.XLOOKUP($B116,'ELC TECH'!$H:$H,'ELC TECH'!W:W)</f>
        <v>121.1684483819723</v>
      </c>
      <c r="AK116" s="15">
        <f>_xlfn.XLOOKUP($B116,'ELC TECH'!$H:$H,'ELC TECH'!X:X)</f>
        <v>117.1066491058164</v>
      </c>
      <c r="AL116" s="15">
        <f>_xlfn.XLOOKUP($B116,'ELC TECH'!$H:$H,'ELC TECH'!Y:Y)</f>
        <v>117.1066491058164</v>
      </c>
      <c r="AM116" s="15">
        <f>_xlfn.XLOOKUP($B116,'ELC TECH'!$H:$H,'ELC TECH'!Z:Z)</f>
        <v>117.1066491058164</v>
      </c>
      <c r="AN116" s="15">
        <f>_xlfn.XLOOKUP($B116,'ELC TECH'!$H:$H,'ELC TECH'!AA:AA)</f>
        <v>117.1066491058164</v>
      </c>
      <c r="AO116" s="15">
        <f>_xlfn.XLOOKUP($B116,'ELC TECH'!$H:$H,'ELC TECH'!AB:AB)</f>
        <v>117.1066491058164</v>
      </c>
      <c r="AP116" s="15">
        <f>_xlfn.XLOOKUP($B116,'ELC TECH'!$H:$H,'ELC TECH'!AC:AC)</f>
        <v>0</v>
      </c>
      <c r="AQ116" s="15">
        <f>_xlfn.XLOOKUP($B116,'ELC TECH'!$H:$H,'ELC TECH'!AD:AD)</f>
        <v>0</v>
      </c>
      <c r="AR116" s="15">
        <f>_xlfn.XLOOKUP($B116,'ELC TECH'!$H:$H,'ELC TECH'!AE:AE)</f>
        <v>0</v>
      </c>
      <c r="AS116" s="15">
        <f>_xlfn.XLOOKUP($B116,'ELC TECH'!$H:$H,'ELC TECH'!AF:AF)</f>
        <v>0</v>
      </c>
      <c r="AT116" s="15">
        <f>_xlfn.XLOOKUP($B116,'ELC TECH'!$H:$H,'ELC TECH'!AG:AG)</f>
        <v>0</v>
      </c>
      <c r="AU116" s="15">
        <f>_xlfn.XLOOKUP($B116,'ELC TECH'!$H:$H,'ELC TECH'!AH:AH)</f>
        <v>0</v>
      </c>
      <c r="AV116" s="15">
        <f>_xlfn.XLOOKUP($B116,'ELC TECH'!$H:$H,'ELC TECH'!AI:AI)</f>
        <v>0</v>
      </c>
      <c r="AW116" s="15">
        <f>_xlfn.XLOOKUP($B116,'ELC TECH'!$H:$H,'ELC TECH'!AJ:AJ)</f>
        <v>0</v>
      </c>
      <c r="AX116" s="12">
        <f>IF(_xlfn.XLOOKUP($B116,'ELC TECH'!$H:$H,'ELC TECH'!$E:$E)="Storage","",_xlfn.XLOOKUP($B116,'ELC TECH'!$H:$H,'ELC TECH'!AS:AS))</f>
        <v>0.9</v>
      </c>
      <c r="AY116" s="12">
        <f>IF(_xlfn.XLOOKUP($B116,'ELC TECH'!$H:$H,'ELC TECH'!$E:$E)="Storage","",_xlfn.XLOOKUP($B116,'ELC TECH'!$H:$H,'ELC TECH'!AT:AT))</f>
        <v>0.9</v>
      </c>
      <c r="AZ116" s="12">
        <f>IF(_xlfn.XLOOKUP($B116,'ELC TECH'!$H:$H,'ELC TECH'!$E:$E)="Storage","",_xlfn.XLOOKUP($B116,'ELC TECH'!$H:$H,'ELC TECH'!AU:AU))</f>
        <v>0.9</v>
      </c>
      <c r="BA116" s="12">
        <f>IF(_xlfn.XLOOKUP($B116,'ELC TECH'!$H:$H,'ELC TECH'!$E:$E)="Storage","",_xlfn.XLOOKUP($B116,'ELC TECH'!$H:$H,'ELC TECH'!AV:AV))</f>
        <v>0.9</v>
      </c>
      <c r="BB116" s="12">
        <f>IF(_xlfn.XLOOKUP($B116,'ELC TECH'!$H:$H,'ELC TECH'!$E:$E)="Storage","",_xlfn.XLOOKUP($B116,'ELC TECH'!$H:$H,'ELC TECH'!AW:AW))</f>
        <v>0.9</v>
      </c>
      <c r="BC116" s="12">
        <f>IF(_xlfn.XLOOKUP($B116,'ELC TECH'!$H:$H,'ELC TECH'!$E:$E)="Storage","",_xlfn.XLOOKUP($B116,'ELC TECH'!$H:$H,'ELC TECH'!AX:AX))</f>
        <v>0.9</v>
      </c>
      <c r="BD116" s="12">
        <f>IF(_xlfn.XLOOKUP($B116,'ELC TECH'!$H:$H,'ELC TECH'!$E:$E)="Storage","",_xlfn.XLOOKUP($B116,'ELC TECH'!$H:$H,'ELC TECH'!AY:AY))</f>
        <v>0.9</v>
      </c>
      <c r="BE116" s="12">
        <f>IF(_xlfn.XLOOKUP($B116,'ELC TECH'!$H:$H,'ELC TECH'!$E:$E)="Storage","",_xlfn.XLOOKUP($B116,'ELC TECH'!$H:$H,'ELC TECH'!AZ:AZ))</f>
        <v>0.9</v>
      </c>
      <c r="BF116" s="12" t="str">
        <f>IF(_xlfn.XLOOKUP($B116,'ELC TECH'!$H:$H,'ELC TECH'!$E:$E)="Storage",_xlfn.XLOOKUP($B116,'ELC TECH'!$H:$H,'ELC TECH'!AS:AS),"")</f>
        <v/>
      </c>
      <c r="BG116" s="12" t="str">
        <f>IF(_xlfn.XLOOKUP($B116,'ELC TECH'!$H:$H,'ELC TECH'!$E:$E)="Storage",_xlfn.XLOOKUP($B116,'ELC TECH'!$H:$H,'ELC TECH'!AT:AT),"")</f>
        <v/>
      </c>
      <c r="BH116" s="12" t="str">
        <f>IF(_xlfn.XLOOKUP($B116,'ELC TECH'!$H:$H,'ELC TECH'!$E:$E)="Storage",_xlfn.XLOOKUP($B116,'ELC TECH'!$H:$H,'ELC TECH'!AU:AU),"")</f>
        <v/>
      </c>
      <c r="BI116" s="12" t="str">
        <f>IF(_xlfn.XLOOKUP($B116,'ELC TECH'!$H:$H,'ELC TECH'!$E:$E)="Storage",_xlfn.XLOOKUP($B116,'ELC TECH'!$H:$H,'ELC TECH'!AV:AV),"")</f>
        <v/>
      </c>
      <c r="BJ116" s="12" t="str">
        <f>IF(_xlfn.XLOOKUP($B116,'ELC TECH'!$H:$H,'ELC TECH'!$E:$E)="Storage",_xlfn.XLOOKUP($B116,'ELC TECH'!$H:$H,'ELC TECH'!AW:AW),"")</f>
        <v/>
      </c>
      <c r="BK116" s="12" t="str">
        <f>IF(_xlfn.XLOOKUP($B116,'ELC TECH'!$H:$H,'ELC TECH'!$E:$E)="Storage",_xlfn.XLOOKUP($B116,'ELC TECH'!$H:$H,'ELC TECH'!AX:AX),"")</f>
        <v/>
      </c>
      <c r="BL116" s="12" t="str">
        <f>IF(_xlfn.XLOOKUP($B116,'ELC TECH'!$H:$H,'ELC TECH'!$E:$E)="Storage",_xlfn.XLOOKUP($B116,'ELC TECH'!$H:$H,'ELC TECH'!AY:AY),"")</f>
        <v/>
      </c>
      <c r="BM116" s="12" t="str">
        <f>IF(_xlfn.XLOOKUP($B116,'ELC TECH'!$H:$H,'ELC TECH'!$E:$E)="Storage",_xlfn.XLOOKUP($B116,'ELC TECH'!$H:$H,'ELC TECH'!AZ:AZ),"")</f>
        <v/>
      </c>
      <c r="BN116" s="8" t="str">
        <f>IF(_xlfn.XLOOKUP($B116,'ELC TECH'!$H:$H,'ELC TECH'!$E:$E)="Non Dispatchable",IFERROR($AX116*_xlfn.XLOOKUP($C116,$BM$1:$BM$3,BN$1:BN$3)/SUMPRODUCT(_xlfn.XLOOKUP($C116,$BM$1:$BM$3,$BN$1:$BY$3),$BN$4:$BY$4),""),
"")</f>
        <v/>
      </c>
      <c r="BO116" s="8" t="str">
        <f>IF(_xlfn.XLOOKUP($B116,'ELC TECH'!$H:$H,'ELC TECH'!$E:$E)="Non Dispatchable",IFERROR($AX116*_xlfn.XLOOKUP($C116,$BM$1:$BM$3,BO$1:BO$3)/SUMPRODUCT(_xlfn.XLOOKUP($C116,$BM$1:$BM$3,$BN$1:$BY$3),$BN$4:$BY$4),""),
"")</f>
        <v/>
      </c>
      <c r="BP116" s="8" t="str">
        <f>IF(_xlfn.XLOOKUP($B116,'ELC TECH'!$H:$H,'ELC TECH'!$E:$E)="Non Dispatchable",IFERROR($AX116*_xlfn.XLOOKUP($C116,$BM$1:$BM$3,BP$1:BP$3)/SUMPRODUCT(_xlfn.XLOOKUP($C116,$BM$1:$BM$3,$BN$1:$BY$3),$BN$4:$BY$4),""),
"")</f>
        <v/>
      </c>
      <c r="BQ116" s="8" t="str">
        <f>IF(_xlfn.XLOOKUP($B116,'ELC TECH'!$H:$H,'ELC TECH'!$E:$E)="Non Dispatchable",IFERROR($AX116*_xlfn.XLOOKUP($C116,$BM$1:$BM$3,BQ$1:BQ$3)/SUMPRODUCT(_xlfn.XLOOKUP($C116,$BM$1:$BM$3,$BN$1:$BY$3),$BN$4:$BY$4),""),
"")</f>
        <v/>
      </c>
      <c r="BR116" s="8" t="str">
        <f>IF(_xlfn.XLOOKUP($B116,'ELC TECH'!$H:$H,'ELC TECH'!$E:$E)="Non Dispatchable",IFERROR($AX116*_xlfn.XLOOKUP($C116,$BM$1:$BM$3,BR$1:BR$3)/SUMPRODUCT(_xlfn.XLOOKUP($C116,$BM$1:$BM$3,$BN$1:$BY$3),$BN$4:$BY$4),""),
"")</f>
        <v/>
      </c>
      <c r="BS116" s="8" t="str">
        <f>IF(_xlfn.XLOOKUP($B116,'ELC TECH'!$H:$H,'ELC TECH'!$E:$E)="Non Dispatchable",IFERROR($AX116*_xlfn.XLOOKUP($C116,$BM$1:$BM$3,BS$1:BS$3)/SUMPRODUCT(_xlfn.XLOOKUP($C116,$BM$1:$BM$3,$BN$1:$BY$3),$BN$4:$BY$4),""),
"")</f>
        <v/>
      </c>
      <c r="BT116" s="8" t="str">
        <f>IF(_xlfn.XLOOKUP($B116,'ELC TECH'!$H:$H,'ELC TECH'!$E:$E)="Non Dispatchable",IFERROR($AX116*_xlfn.XLOOKUP($C116,$BM$1:$BM$3,BT$1:BT$3)/SUMPRODUCT(_xlfn.XLOOKUP($C116,$BM$1:$BM$3,$BN$1:$BY$3),$BN$4:$BY$4),""),
"")</f>
        <v/>
      </c>
      <c r="BU116" s="8" t="str">
        <f>IF(_xlfn.XLOOKUP($B116,'ELC TECH'!$H:$H,'ELC TECH'!$E:$E)="Non Dispatchable",IFERROR($AX116*_xlfn.XLOOKUP($C116,$BM$1:$BM$3,BU$1:BU$3)/SUMPRODUCT(_xlfn.XLOOKUP($C116,$BM$1:$BM$3,$BN$1:$BY$3),$BN$4:$BY$4),""),
"")</f>
        <v/>
      </c>
      <c r="BV116" s="8" t="str">
        <f>IF(_xlfn.XLOOKUP($B116,'ELC TECH'!$H:$H,'ELC TECH'!$E:$E)="Non Dispatchable",IFERROR($AX116*_xlfn.XLOOKUP($C116,$BM$1:$BM$3,BV$1:BV$3)/SUMPRODUCT(_xlfn.XLOOKUP($C116,$BM$1:$BM$3,$BN$1:$BY$3),$BN$4:$BY$4),""),
"")</f>
        <v/>
      </c>
      <c r="BW116" s="8" t="str">
        <f>IF(_xlfn.XLOOKUP($B116,'ELC TECH'!$H:$H,'ELC TECH'!$E:$E)="Non Dispatchable",IFERROR($AX116*_xlfn.XLOOKUP($C116,$BM$1:$BM$3,BW$1:BW$3)/SUMPRODUCT(_xlfn.XLOOKUP($C116,$BM$1:$BM$3,$BN$1:$BY$3),$BN$4:$BY$4),""),
"")</f>
        <v/>
      </c>
      <c r="BX116" s="8" t="str">
        <f>IF(_xlfn.XLOOKUP($B116,'ELC TECH'!$H:$H,'ELC TECH'!$E:$E)="Non Dispatchable",IFERROR($AX116*_xlfn.XLOOKUP($C116,$BM$1:$BM$3,BX$1:BX$3)/SUMPRODUCT(_xlfn.XLOOKUP($C116,$BM$1:$BM$3,$BN$1:$BY$3),$BN$4:$BY$4),""),
"")</f>
        <v/>
      </c>
      <c r="BY116" s="8" t="str">
        <f>IF(_xlfn.XLOOKUP($B116,'ELC TECH'!$H:$H,'ELC TECH'!$E:$E)="Non Dispatchable",IFERROR($AX116*_xlfn.XLOOKUP($C116,$BM$1:$BM$3,BY$1:BY$3)/SUMPRODUCT(_xlfn.XLOOKUP($C116,$BM$1:$BM$3,$BN$1:$BY$3),$BN$4:$BY$4),""),
"")</f>
        <v/>
      </c>
      <c r="BZ116" s="8" t="str">
        <f>IF(_xlfn.XLOOKUP($B116,'ELC TECH'!$H:$H,'ELC TECH'!$E:$E)="Non Dispatchable",IFERROR($AX116*_xlfn.XLOOKUP($C116,$BM$1:$BM$3,BZ$1:BZ$3)/SUMPRODUCT(_xlfn.XLOOKUP($C116,$BM$1:$BM$3,$BN$1:$BY$3),$BN$4:$BY$4),""),
"")</f>
        <v/>
      </c>
      <c r="CA116" s="8" t="str">
        <f>IF(_xlfn.XLOOKUP($B116,'ELC TECH'!$H:$H,'ELC TECH'!$E:$E)="Non Dispatchable",IFERROR($AX116*_xlfn.XLOOKUP($C116,$BM$1:$BM$3,CA$1:CA$3)/SUMPRODUCT(_xlfn.XLOOKUP($C116,$BM$1:$BM$3,$BN$1:$BY$3),$BN$4:$BY$4),""),
"")</f>
        <v/>
      </c>
      <c r="CB116" s="8" t="str">
        <f>IF(_xlfn.XLOOKUP($B116,'ELC TECH'!$H:$H,'ELC TECH'!$E:$E)="Non Dispatchable",IFERROR($AX116*_xlfn.XLOOKUP($C116,$BM$1:$BM$3,CB$1:CB$3)/SUMPRODUCT(_xlfn.XLOOKUP($C116,$BM$1:$BM$3,$BN$1:$BY$3),$BN$4:$BY$4),""),
"")</f>
        <v/>
      </c>
      <c r="CC116" s="8" t="str">
        <f>IF(_xlfn.XLOOKUP($B116,'ELC TECH'!$H:$H,'ELC TECH'!$E:$E)="Non Dispatchable",IFERROR($AX116*_xlfn.XLOOKUP($C116,$BM$1:$BM$3,CC$1:CC$3)/SUMPRODUCT(_xlfn.XLOOKUP($C116,$BM$1:$BM$3,$BN$1:$BY$3),$BN$4:$BY$4),""),
"")</f>
        <v/>
      </c>
      <c r="CD116" s="8" t="str">
        <f>IF(_xlfn.XLOOKUP($B116,'ELC TECH'!$H:$H,'ELC TECH'!$E:$E)="Non Dispatchable",IFERROR($AX116*_xlfn.XLOOKUP($C116,$BM$1:$BM$3,CD$1:CD$3)/SUMPRODUCT(_xlfn.XLOOKUP($C116,$BM$1:$BM$3,$BN$1:$BY$3),$BN$4:$BY$4),""),
"")</f>
        <v/>
      </c>
      <c r="CE116" s="8" t="str">
        <f>IF(_xlfn.XLOOKUP($B116,'ELC TECH'!$H:$H,'ELC TECH'!$E:$E)="Non Dispatchable",IFERROR($AX116*_xlfn.XLOOKUP($C116,$BM$1:$BM$3,CE$1:CE$3)/SUMPRODUCT(_xlfn.XLOOKUP($C116,$BM$1:$BM$3,$BN$1:$BY$3),$BN$4:$BY$4),""),
"")</f>
        <v/>
      </c>
      <c r="CF116" s="8" t="str">
        <f>IF(_xlfn.XLOOKUP($B116,'ELC TECH'!$H:$H,'ELC TECH'!$E:$E)="Non Dispatchable",IFERROR($AX116*_xlfn.XLOOKUP($C116,$BM$1:$BM$3,CF$1:CF$3)/SUMPRODUCT(_xlfn.XLOOKUP($C116,$BM$1:$BM$3,$BN$1:$BY$3),$BN$4:$BY$4),""),
"")</f>
        <v/>
      </c>
      <c r="CG116" s="8" t="str">
        <f>IF(_xlfn.XLOOKUP($B116,'ELC TECH'!$H:$H,'ELC TECH'!$E:$E)="Non Dispatchable",IFERROR($AX116*_xlfn.XLOOKUP($C116,$BM$1:$BM$3,CG$1:CG$3)/SUMPRODUCT(_xlfn.XLOOKUP($C116,$BM$1:$BM$3,$BN$1:$BY$3),$BN$4:$BY$4),""),
"")</f>
        <v/>
      </c>
      <c r="CH116" s="8" t="str">
        <f>IF(_xlfn.XLOOKUP($B116,'ELC TECH'!$H:$H,'ELC TECH'!$E:$E)="Non Dispatchable",IFERROR($AX116*_xlfn.XLOOKUP($C116,$BM$1:$BM$3,CH$1:CH$3)/SUMPRODUCT(_xlfn.XLOOKUP($C116,$BM$1:$BM$3,$BN$1:$BY$3),$BN$4:$BY$4),""),
"")</f>
        <v/>
      </c>
      <c r="CI116" s="8" t="str">
        <f>IF(_xlfn.XLOOKUP($B116,'ELC TECH'!$H:$H,'ELC TECH'!$E:$E)="Non Dispatchable",IFERROR($AX116*_xlfn.XLOOKUP($C116,$BM$1:$BM$3,CI$1:CI$3)/SUMPRODUCT(_xlfn.XLOOKUP($C116,$BM$1:$BM$3,$BN$1:$BY$3),$BN$4:$BY$4),""),
"")</f>
        <v/>
      </c>
      <c r="CJ116" s="8" t="str">
        <f>IF(_xlfn.XLOOKUP($B116,'ELC TECH'!$H:$H,'ELC TECH'!$E:$E)="Non Dispatchable",IFERROR($AX116*_xlfn.XLOOKUP($C116,$BM$1:$BM$3,CJ$1:CJ$3)/SUMPRODUCT(_xlfn.XLOOKUP($C116,$BM$1:$BM$3,$BN$1:$BY$3),$BN$4:$BY$4),""),
"")</f>
        <v/>
      </c>
      <c r="CK116" s="8" t="str">
        <f>IF(_xlfn.XLOOKUP($B116,'ELC TECH'!$H:$H,'ELC TECH'!$E:$E)="Non Dispatchable",IFERROR($AX116*_xlfn.XLOOKUP($C116,$BM$1:$BM$3,CK$1:CK$3)/SUMPRODUCT(_xlfn.XLOOKUP($C116,$BM$1:$BM$3,$BN$1:$BY$3),$BN$4:$BY$4),""),
"")</f>
        <v/>
      </c>
      <c r="CL116" s="8" t="str">
        <f>IF(_xlfn.XLOOKUP($B116,'ELC TECH'!$H:$H,'ELC TECH'!$E:$E)="Storage",CL$4*$BF116,"")</f>
        <v/>
      </c>
      <c r="CM116" s="8" t="str">
        <f>IF(_xlfn.XLOOKUP($B116,'ELC TECH'!$H:$H,'ELC TECH'!$E:$E)="Storage",CM$4*$BF116,"")</f>
        <v/>
      </c>
      <c r="CN116" s="8" t="str">
        <f>IF(_xlfn.XLOOKUP($B116,'ELC TECH'!$H:$H,'ELC TECH'!$E:$E)="Storage",CN$4*$BF116,"")</f>
        <v/>
      </c>
      <c r="CO116" s="8" t="str">
        <f>IF(_xlfn.XLOOKUP($B116,'ELC TECH'!$H:$H,'ELC TECH'!$E:$E)="Storage",CO$4*$BF116,"")</f>
        <v/>
      </c>
      <c r="CP116" s="8" t="str">
        <f>IF(_xlfn.XLOOKUP($B116,'ELC TECH'!$H:$H,'ELC TECH'!$E:$E)="Storage",CP$4*$BF116,"")</f>
        <v/>
      </c>
      <c r="CQ116" s="8" t="str">
        <f>IF(_xlfn.XLOOKUP($B116,'ELC TECH'!$H:$H,'ELC TECH'!$E:$E)="Storage",CQ$4*$BF116,"")</f>
        <v/>
      </c>
      <c r="CR116" s="8" t="str">
        <f>IF(_xlfn.XLOOKUP($B116,'ELC TECH'!$H:$H,'ELC TECH'!$E:$E)="Storage",CR$4*$BF116,"")</f>
        <v/>
      </c>
      <c r="CS116" s="8" t="str">
        <f>IF(_xlfn.XLOOKUP($B116,'ELC TECH'!$H:$H,'ELC TECH'!$E:$E)="Storage",CS$4*$BF116,"")</f>
        <v/>
      </c>
      <c r="CT116" s="8" t="str">
        <f>IF(_xlfn.XLOOKUP($B116,'ELC TECH'!$H:$H,'ELC TECH'!$E:$E)="Storage",CT$4*$BF116,"")</f>
        <v/>
      </c>
      <c r="CU116" s="8" t="str">
        <f>IF(_xlfn.XLOOKUP($B116,'ELC TECH'!$H:$H,'ELC TECH'!$E:$E)="Storage",CU$4*$BF116,"")</f>
        <v/>
      </c>
      <c r="CV116" s="8" t="str">
        <f>IF(_xlfn.XLOOKUP($B116,'ELC TECH'!$H:$H,'ELC TECH'!$E:$E)="Storage",CV$4*$BF116,"")</f>
        <v/>
      </c>
      <c r="CW116" s="8" t="str">
        <f>IF(_xlfn.XLOOKUP($B116,'ELC TECH'!$H:$H,'ELC TECH'!$E:$E)="Storage",CW$4*$BF116,"")</f>
        <v/>
      </c>
      <c r="CX116" s="8" t="str">
        <f>IF(_xlfn.XLOOKUP($B116,'ELC TECH'!$H:$H,'ELC TECH'!$E:$E)="Storage",CX$4*$BF116,"")</f>
        <v/>
      </c>
      <c r="CY116" s="8" t="str">
        <f>IF(_xlfn.XLOOKUP($B116,'ELC TECH'!$H:$H,'ELC TECH'!$E:$E)="Storage",CY$4*$BF116,"")</f>
        <v/>
      </c>
      <c r="CZ116" s="8" t="str">
        <f>IF(_xlfn.XLOOKUP($B116,'ELC TECH'!$H:$H,'ELC TECH'!$E:$E)="Storage",CZ$4*$BF116,"")</f>
        <v/>
      </c>
      <c r="DA116" s="8" t="str">
        <f>IF(_xlfn.XLOOKUP($B116,'ELC TECH'!$H:$H,'ELC TECH'!$E:$E)="Storage",DA$4*$BF116,"")</f>
        <v/>
      </c>
      <c r="DB116" s="8" t="str">
        <f>IF(_xlfn.XLOOKUP($B116,'ELC TECH'!$H:$H,'ELC TECH'!$E:$E)="Storage",DB$4*$BF116,"")</f>
        <v/>
      </c>
      <c r="DC116" s="8" t="str">
        <f>IF(_xlfn.XLOOKUP($B116,'ELC TECH'!$H:$H,'ELC TECH'!$E:$E)="Storage",DC$4*$BF116,"")</f>
        <v/>
      </c>
      <c r="DD116" s="8" t="str">
        <f>IF(_xlfn.XLOOKUP($B116,'ELC TECH'!$H:$H,'ELC TECH'!$E:$E)="Storage",DD$4*$BF116,"")</f>
        <v/>
      </c>
      <c r="DE116" s="8" t="str">
        <f>IF(_xlfn.XLOOKUP($B116,'ELC TECH'!$H:$H,'ELC TECH'!$E:$E)="Storage",DE$4*$BF116,"")</f>
        <v/>
      </c>
      <c r="DF116" s="8" t="str">
        <f>IF(_xlfn.XLOOKUP($B116,'ELC TECH'!$H:$H,'ELC TECH'!$E:$E)="Storage",DF$4*$BF116,"")</f>
        <v/>
      </c>
      <c r="DG116" s="8" t="str">
        <f>IF(_xlfn.XLOOKUP($B116,'ELC TECH'!$H:$H,'ELC TECH'!$E:$E)="Storage",DG$4*$BF116,"")</f>
        <v/>
      </c>
      <c r="DH116" s="8" t="str">
        <f>IF(_xlfn.XLOOKUP($B116,'ELC TECH'!$H:$H,'ELC TECH'!$E:$E)="Storage",DH$4*$BF116,"")</f>
        <v/>
      </c>
      <c r="DI116" s="8" t="str">
        <f>IF(_xlfn.XLOOKUP($B116,'ELC TECH'!$H:$H,'ELC TECH'!$E:$E)="Storage",DI$4*$BF116,"")</f>
        <v/>
      </c>
    </row>
    <row r="117" spans="2:113" x14ac:dyDescent="0.25">
      <c r="B117" t="str">
        <f>IF('ELC TECH'!I110=0,"*",'ELC TECH'!H110)</f>
        <v>ELCGEOGRDNEGSB20</v>
      </c>
      <c r="C117" t="str">
        <f>IF(_xlfn.XLOOKUP(_xlfn.XLOOKUP(B117,'ELC TECH'!$H:$H,'ELC TECH'!$G:$G),List!C:C,List!B:B)="STG",D117,"ELC"&amp;_xlfn.XLOOKUP(_xlfn.XLOOKUP(B117,'ELC TECH'!H:H,'ELC TECH'!G:G),List!C:C,List!B:B))</f>
        <v>ELCGEO</v>
      </c>
      <c r="D117" t="s">
        <v>544</v>
      </c>
      <c r="E117">
        <f>_xlfn.XLOOKUP(B117,'ELC TECH'!H:H,'ELC TECH'!D:D)</f>
        <v>2020</v>
      </c>
      <c r="F117">
        <f>_xlfn.XLOOKUP(B117,'ELC TECH'!H:H,'ELC TECH'!K:K)</f>
        <v>30</v>
      </c>
      <c r="G117">
        <f t="shared" si="7"/>
        <v>31.535999999999998</v>
      </c>
      <c r="H117">
        <f>IF(_xlfn.XLOOKUP(B117,'ELC TECH'!$H:$H,'ELC TECH'!$E:$E)="Storage",0.3,IF(_xlfn.XLOOKUP(B117,'ELC TECH'!$H:$H,'ELC TECH'!$E:$E)="Baseload",0.9,IF(_xlfn.XLOOKUP(B117,'ELC TECH'!$H:$H,'ELC TECH'!$E:$E)="Non Dispatchable",0.05,IF(_xlfn.XLOOKUP(B117,'ELC TECH'!$H:$H,'ELC TECH'!$E:$E)="Dispatchable",0.9,1))))</f>
        <v>0.9</v>
      </c>
      <c r="I117" s="13">
        <f>IF(_xlfn.XLOOKUP(B117,'ELC TECH'!H:H,'ELC TECH'!J:J)="","",_xlfn.XLOOKUP(B117,'ELC TECH'!H:H,'ELC TECH'!J:J))</f>
        <v>0</v>
      </c>
      <c r="J117" s="12">
        <f>IF(_xlfn.XLOOKUP($B117,'ELC TECH'!$H:$H,'ELC TECH'!$E:$E)="Storage","",IF(_xlfn.XLOOKUP($B117,'ELC TECH'!$H:$H,'ELC TECH'!AK:AK)="",1,_xlfn.XLOOKUP($B117,'ELC TECH'!$H:$H,'ELC TECH'!AK:AK)))</f>
        <v>1</v>
      </c>
      <c r="K117" s="12">
        <f>IF(_xlfn.XLOOKUP($B117,'ELC TECH'!$H:$H,'ELC TECH'!$E:$E)="Storage","",IF(_xlfn.XLOOKUP($B117,'ELC TECH'!$H:$H,'ELC TECH'!AL:AL)="",1,_xlfn.XLOOKUP($B117,'ELC TECH'!$H:$H,'ELC TECH'!AL:AL)))</f>
        <v>1</v>
      </c>
      <c r="L117" s="12">
        <f>IF(_xlfn.XLOOKUP($B117,'ELC TECH'!$H:$H,'ELC TECH'!$E:$E)="Storage","",IF(_xlfn.XLOOKUP($B117,'ELC TECH'!$H:$H,'ELC TECH'!AM:AM)="",1,_xlfn.XLOOKUP($B117,'ELC TECH'!$H:$H,'ELC TECH'!AM:AM)))</f>
        <v>1</v>
      </c>
      <c r="M117" s="12">
        <f>IF(_xlfn.XLOOKUP($B117,'ELC TECH'!$H:$H,'ELC TECH'!$E:$E)="Storage","",IF(_xlfn.XLOOKUP($B117,'ELC TECH'!$H:$H,'ELC TECH'!AN:AN)="",1,_xlfn.XLOOKUP($B117,'ELC TECH'!$H:$H,'ELC TECH'!AN:AN)))</f>
        <v>1</v>
      </c>
      <c r="N117" s="12">
        <f>IF(_xlfn.XLOOKUP($B117,'ELC TECH'!$H:$H,'ELC TECH'!$E:$E)="Storage","",IF(_xlfn.XLOOKUP($B117,'ELC TECH'!$H:$H,'ELC TECH'!AO:AO)="",1,_xlfn.XLOOKUP($B117,'ELC TECH'!$H:$H,'ELC TECH'!AO:AO)))</f>
        <v>1</v>
      </c>
      <c r="O117" s="12">
        <f>IF(_xlfn.XLOOKUP($B117,'ELC TECH'!$H:$H,'ELC TECH'!$E:$E)="Storage","",IF(_xlfn.XLOOKUP($B117,'ELC TECH'!$H:$H,'ELC TECH'!AP:AP)="",1,_xlfn.XLOOKUP($B117,'ELC TECH'!$H:$H,'ELC TECH'!AP:AP)))</f>
        <v>1</v>
      </c>
      <c r="P117" s="12">
        <f>IF(_xlfn.XLOOKUP($B117,'ELC TECH'!$H:$H,'ELC TECH'!$E:$E)="Storage","",IF(_xlfn.XLOOKUP($B117,'ELC TECH'!$H:$H,'ELC TECH'!AQ:AQ)="",1,_xlfn.XLOOKUP($B117,'ELC TECH'!$H:$H,'ELC TECH'!AQ:AQ)))</f>
        <v>1</v>
      </c>
      <c r="Q117" s="12">
        <f>IF(_xlfn.XLOOKUP($B117,'ELC TECH'!$H:$H,'ELC TECH'!$E:$E)="Storage","",IF(_xlfn.XLOOKUP($B117,'ELC TECH'!$H:$H,'ELC TECH'!AR:AR)="",1,_xlfn.XLOOKUP($B117,'ELC TECH'!$H:$H,'ELC TECH'!AR:AR)))</f>
        <v>1</v>
      </c>
      <c r="R117" s="12" t="str">
        <f>IF(_xlfn.XLOOKUP($B117,'ELC TECH'!$H:$H,'ELC TECH'!$E:$E)&lt;&gt;"Storage","",IF(_xlfn.XLOOKUP($B117,'ELC TECH'!$H:$H,'ELC TECH'!AK:AK)="",0.8,_xlfn.XLOOKUP($B117,'ELC TECH'!$H:$H,'ELC TECH'!AK:AK)))</f>
        <v/>
      </c>
      <c r="S117" s="12" t="str">
        <f>IF(_xlfn.XLOOKUP($B117,'ELC TECH'!$H:$H,'ELC TECH'!$E:$E)&lt;&gt;"Storage","",IF(_xlfn.XLOOKUP($B117,'ELC TECH'!$H:$H,'ELC TECH'!AL:AL)="",0.8,_xlfn.XLOOKUP($B117,'ELC TECH'!$H:$H,'ELC TECH'!AL:AL)))</f>
        <v/>
      </c>
      <c r="T117" s="12" t="str">
        <f>IF(_xlfn.XLOOKUP($B117,'ELC TECH'!$H:$H,'ELC TECH'!$E:$E)&lt;&gt;"Storage","",IF(_xlfn.XLOOKUP($B117,'ELC TECH'!$H:$H,'ELC TECH'!AM:AM)="",0.8,_xlfn.XLOOKUP($B117,'ELC TECH'!$H:$H,'ELC TECH'!AM:AM)))</f>
        <v/>
      </c>
      <c r="U117" s="12" t="str">
        <f>IF(_xlfn.XLOOKUP($B117,'ELC TECH'!$H:$H,'ELC TECH'!$E:$E)&lt;&gt;"Storage","",IF(_xlfn.XLOOKUP($B117,'ELC TECH'!$H:$H,'ELC TECH'!AN:AN)="",0.8,_xlfn.XLOOKUP($B117,'ELC TECH'!$H:$H,'ELC TECH'!AN:AN)))</f>
        <v/>
      </c>
      <c r="V117" s="12" t="str">
        <f>IF(_xlfn.XLOOKUP($B117,'ELC TECH'!$H:$H,'ELC TECH'!$E:$E)&lt;&gt;"Storage","",IF(_xlfn.XLOOKUP($B117,'ELC TECH'!$H:$H,'ELC TECH'!AO:AO)="",0.8,_xlfn.XLOOKUP($B117,'ELC TECH'!$H:$H,'ELC TECH'!AO:AO)))</f>
        <v/>
      </c>
      <c r="W117" s="12" t="str">
        <f>IF(_xlfn.XLOOKUP($B117,'ELC TECH'!$H:$H,'ELC TECH'!$E:$E)&lt;&gt;"Storage","",IF(_xlfn.XLOOKUP($B117,'ELC TECH'!$H:$H,'ELC TECH'!AP:AP)="",0.8,_xlfn.XLOOKUP($B117,'ELC TECH'!$H:$H,'ELC TECH'!AP:AP)))</f>
        <v/>
      </c>
      <c r="X117" s="12" t="str">
        <f>IF(_xlfn.XLOOKUP($B117,'ELC TECH'!$H:$H,'ELC TECH'!$E:$E)&lt;&gt;"Storage","",IF(_xlfn.XLOOKUP($B117,'ELC TECH'!$H:$H,'ELC TECH'!AQ:AQ)="",0.8,_xlfn.XLOOKUP($B117,'ELC TECH'!$H:$H,'ELC TECH'!AQ:AQ)))</f>
        <v/>
      </c>
      <c r="Y117" s="12" t="str">
        <f>IF(_xlfn.XLOOKUP($B117,'ELC TECH'!$H:$H,'ELC TECH'!$E:$E)&lt;&gt;"Storage","",IF(_xlfn.XLOOKUP($B117,'ELC TECH'!$H:$H,'ELC TECH'!AR:AR)="",0.8,_xlfn.XLOOKUP($B117,'ELC TECH'!$H:$H,'ELC TECH'!AR:AR)))</f>
        <v/>
      </c>
      <c r="Z117" s="15">
        <f>_xlfn.XLOOKUP($B117,'ELC TECH'!$H:$H,'ELC TECH'!M:M)</f>
        <v>21992.323802462361</v>
      </c>
      <c r="AA117" s="15">
        <f>_xlfn.XLOOKUP($B117,'ELC TECH'!$H:$H,'ELC TECH'!N:N)</f>
        <v>12255.16090351395</v>
      </c>
      <c r="AB117" s="15">
        <f>_xlfn.XLOOKUP($B117,'ELC TECH'!$H:$H,'ELC TECH'!O:O)</f>
        <v>9454.5181275553841</v>
      </c>
      <c r="AC117" s="15">
        <f>_xlfn.XLOOKUP($B117,'ELC TECH'!$H:$H,'ELC TECH'!P:P)</f>
        <v>8270.162478708824</v>
      </c>
      <c r="AD117" s="15">
        <f>_xlfn.XLOOKUP($B117,'ELC TECH'!$H:$H,'ELC TECH'!Q:Q)</f>
        <v>8065.4656454760998</v>
      </c>
      <c r="AE117" s="15">
        <f>_xlfn.XLOOKUP($B117,'ELC TECH'!$H:$H,'ELC TECH'!R:R)</f>
        <v>7865.8353140978816</v>
      </c>
      <c r="AF117" s="15">
        <f>_xlfn.XLOOKUP($B117,'ELC TECH'!$H:$H,'ELC TECH'!S:S)</f>
        <v>7671.1460823359639</v>
      </c>
      <c r="AG117" s="15">
        <f>_xlfn.XLOOKUP($B117,'ELC TECH'!$H:$H,'ELC TECH'!T:T)</f>
        <v>7671.1460823359639</v>
      </c>
      <c r="AH117" s="15">
        <f>_xlfn.XLOOKUP($B117,'ELC TECH'!$H:$H,'ELC TECH'!U:U)</f>
        <v>511.69245686870539</v>
      </c>
      <c r="AI117" s="15">
        <f>_xlfn.XLOOKUP($B117,'ELC TECH'!$H:$H,'ELC TECH'!V:V)</f>
        <v>423.21671746731522</v>
      </c>
      <c r="AJ117" s="15">
        <f>_xlfn.XLOOKUP($B117,'ELC TECH'!$H:$H,'ELC TECH'!W:W)</f>
        <v>312.62204321557658</v>
      </c>
      <c r="AK117" s="15">
        <f>_xlfn.XLOOKUP($B117,'ELC TECH'!$H:$H,'ELC TECH'!X:X)</f>
        <v>202.02736896383919</v>
      </c>
      <c r="AL117" s="15">
        <f>_xlfn.XLOOKUP($B117,'ELC TECH'!$H:$H,'ELC TECH'!Y:Y)</f>
        <v>202.02736896383919</v>
      </c>
      <c r="AM117" s="15">
        <f>_xlfn.XLOOKUP($B117,'ELC TECH'!$H:$H,'ELC TECH'!Z:Z)</f>
        <v>202.02736896383919</v>
      </c>
      <c r="AN117" s="15">
        <f>_xlfn.XLOOKUP($B117,'ELC TECH'!$H:$H,'ELC TECH'!AA:AA)</f>
        <v>202.02736896383919</v>
      </c>
      <c r="AO117" s="15">
        <f>_xlfn.XLOOKUP($B117,'ELC TECH'!$H:$H,'ELC TECH'!AB:AB)</f>
        <v>202.02736896383919</v>
      </c>
      <c r="AP117" s="15">
        <f>_xlfn.XLOOKUP($B117,'ELC TECH'!$H:$H,'ELC TECH'!AC:AC)</f>
        <v>0</v>
      </c>
      <c r="AQ117" s="15">
        <f>_xlfn.XLOOKUP($B117,'ELC TECH'!$H:$H,'ELC TECH'!AD:AD)</f>
        <v>0</v>
      </c>
      <c r="AR117" s="15">
        <f>_xlfn.XLOOKUP($B117,'ELC TECH'!$H:$H,'ELC TECH'!AE:AE)</f>
        <v>0</v>
      </c>
      <c r="AS117" s="15">
        <f>_xlfn.XLOOKUP($B117,'ELC TECH'!$H:$H,'ELC TECH'!AF:AF)</f>
        <v>0</v>
      </c>
      <c r="AT117" s="15">
        <f>_xlfn.XLOOKUP($B117,'ELC TECH'!$H:$H,'ELC TECH'!AG:AG)</f>
        <v>0</v>
      </c>
      <c r="AU117" s="15">
        <f>_xlfn.XLOOKUP($B117,'ELC TECH'!$H:$H,'ELC TECH'!AH:AH)</f>
        <v>0</v>
      </c>
      <c r="AV117" s="15">
        <f>_xlfn.XLOOKUP($B117,'ELC TECH'!$H:$H,'ELC TECH'!AI:AI)</f>
        <v>0</v>
      </c>
      <c r="AW117" s="15">
        <f>_xlfn.XLOOKUP($B117,'ELC TECH'!$H:$H,'ELC TECH'!AJ:AJ)</f>
        <v>0</v>
      </c>
      <c r="AX117" s="12">
        <f>IF(_xlfn.XLOOKUP($B117,'ELC TECH'!$H:$H,'ELC TECH'!$E:$E)="Storage","",_xlfn.XLOOKUP($B117,'ELC TECH'!$H:$H,'ELC TECH'!AS:AS))</f>
        <v>0.8</v>
      </c>
      <c r="AY117" s="12">
        <f>IF(_xlfn.XLOOKUP($B117,'ELC TECH'!$H:$H,'ELC TECH'!$E:$E)="Storage","",_xlfn.XLOOKUP($B117,'ELC TECH'!$H:$H,'ELC TECH'!AT:AT))</f>
        <v>0.8</v>
      </c>
      <c r="AZ117" s="12">
        <f>IF(_xlfn.XLOOKUP($B117,'ELC TECH'!$H:$H,'ELC TECH'!$E:$E)="Storage","",_xlfn.XLOOKUP($B117,'ELC TECH'!$H:$H,'ELC TECH'!AU:AU))</f>
        <v>0.8</v>
      </c>
      <c r="BA117" s="12">
        <f>IF(_xlfn.XLOOKUP($B117,'ELC TECH'!$H:$H,'ELC TECH'!$E:$E)="Storage","",_xlfn.XLOOKUP($B117,'ELC TECH'!$H:$H,'ELC TECH'!AV:AV))</f>
        <v>0.8</v>
      </c>
      <c r="BB117" s="12">
        <f>IF(_xlfn.XLOOKUP($B117,'ELC TECH'!$H:$H,'ELC TECH'!$E:$E)="Storage","",_xlfn.XLOOKUP($B117,'ELC TECH'!$H:$H,'ELC TECH'!AW:AW))</f>
        <v>0.8</v>
      </c>
      <c r="BC117" s="12">
        <f>IF(_xlfn.XLOOKUP($B117,'ELC TECH'!$H:$H,'ELC TECH'!$E:$E)="Storage","",_xlfn.XLOOKUP($B117,'ELC TECH'!$H:$H,'ELC TECH'!AX:AX))</f>
        <v>0.8</v>
      </c>
      <c r="BD117" s="12">
        <f>IF(_xlfn.XLOOKUP($B117,'ELC TECH'!$H:$H,'ELC TECH'!$E:$E)="Storage","",_xlfn.XLOOKUP($B117,'ELC TECH'!$H:$H,'ELC TECH'!AY:AY))</f>
        <v>0.8</v>
      </c>
      <c r="BE117" s="12">
        <f>IF(_xlfn.XLOOKUP($B117,'ELC TECH'!$H:$H,'ELC TECH'!$E:$E)="Storage","",_xlfn.XLOOKUP($B117,'ELC TECH'!$H:$H,'ELC TECH'!AZ:AZ))</f>
        <v>0.8</v>
      </c>
      <c r="BF117" s="12" t="str">
        <f>IF(_xlfn.XLOOKUP($B117,'ELC TECH'!$H:$H,'ELC TECH'!$E:$E)="Storage",_xlfn.XLOOKUP($B117,'ELC TECH'!$H:$H,'ELC TECH'!AS:AS),"")</f>
        <v/>
      </c>
      <c r="BG117" s="12" t="str">
        <f>IF(_xlfn.XLOOKUP($B117,'ELC TECH'!$H:$H,'ELC TECH'!$E:$E)="Storage",_xlfn.XLOOKUP($B117,'ELC TECH'!$H:$H,'ELC TECH'!AT:AT),"")</f>
        <v/>
      </c>
      <c r="BH117" s="12" t="str">
        <f>IF(_xlfn.XLOOKUP($B117,'ELC TECH'!$H:$H,'ELC TECH'!$E:$E)="Storage",_xlfn.XLOOKUP($B117,'ELC TECH'!$H:$H,'ELC TECH'!AU:AU),"")</f>
        <v/>
      </c>
      <c r="BI117" s="12" t="str">
        <f>IF(_xlfn.XLOOKUP($B117,'ELC TECH'!$H:$H,'ELC TECH'!$E:$E)="Storage",_xlfn.XLOOKUP($B117,'ELC TECH'!$H:$H,'ELC TECH'!AV:AV),"")</f>
        <v/>
      </c>
      <c r="BJ117" s="12" t="str">
        <f>IF(_xlfn.XLOOKUP($B117,'ELC TECH'!$H:$H,'ELC TECH'!$E:$E)="Storage",_xlfn.XLOOKUP($B117,'ELC TECH'!$H:$H,'ELC TECH'!AW:AW),"")</f>
        <v/>
      </c>
      <c r="BK117" s="12" t="str">
        <f>IF(_xlfn.XLOOKUP($B117,'ELC TECH'!$H:$H,'ELC TECH'!$E:$E)="Storage",_xlfn.XLOOKUP($B117,'ELC TECH'!$H:$H,'ELC TECH'!AX:AX),"")</f>
        <v/>
      </c>
      <c r="BL117" s="12" t="str">
        <f>IF(_xlfn.XLOOKUP($B117,'ELC TECH'!$H:$H,'ELC TECH'!$E:$E)="Storage",_xlfn.XLOOKUP($B117,'ELC TECH'!$H:$H,'ELC TECH'!AY:AY),"")</f>
        <v/>
      </c>
      <c r="BM117" s="12" t="str">
        <f>IF(_xlfn.XLOOKUP($B117,'ELC TECH'!$H:$H,'ELC TECH'!$E:$E)="Storage",_xlfn.XLOOKUP($B117,'ELC TECH'!$H:$H,'ELC TECH'!AZ:AZ),"")</f>
        <v/>
      </c>
      <c r="BN117" s="8" t="str">
        <f>IF(_xlfn.XLOOKUP($B117,'ELC TECH'!$H:$H,'ELC TECH'!$E:$E)="Non Dispatchable",IFERROR($AX117*_xlfn.XLOOKUP($C117,$BM$1:$BM$3,BN$1:BN$3)/SUMPRODUCT(_xlfn.XLOOKUP($C117,$BM$1:$BM$3,$BN$1:$BY$3),$BN$4:$BY$4),""),
"")</f>
        <v/>
      </c>
      <c r="BO117" s="8" t="str">
        <f>IF(_xlfn.XLOOKUP($B117,'ELC TECH'!$H:$H,'ELC TECH'!$E:$E)="Non Dispatchable",IFERROR($AX117*_xlfn.XLOOKUP($C117,$BM$1:$BM$3,BO$1:BO$3)/SUMPRODUCT(_xlfn.XLOOKUP($C117,$BM$1:$BM$3,$BN$1:$BY$3),$BN$4:$BY$4),""),
"")</f>
        <v/>
      </c>
      <c r="BP117" s="8" t="str">
        <f>IF(_xlfn.XLOOKUP($B117,'ELC TECH'!$H:$H,'ELC TECH'!$E:$E)="Non Dispatchable",IFERROR($AX117*_xlfn.XLOOKUP($C117,$BM$1:$BM$3,BP$1:BP$3)/SUMPRODUCT(_xlfn.XLOOKUP($C117,$BM$1:$BM$3,$BN$1:$BY$3),$BN$4:$BY$4),""),
"")</f>
        <v/>
      </c>
      <c r="BQ117" s="8" t="str">
        <f>IF(_xlfn.XLOOKUP($B117,'ELC TECH'!$H:$H,'ELC TECH'!$E:$E)="Non Dispatchable",IFERROR($AX117*_xlfn.XLOOKUP($C117,$BM$1:$BM$3,BQ$1:BQ$3)/SUMPRODUCT(_xlfn.XLOOKUP($C117,$BM$1:$BM$3,$BN$1:$BY$3),$BN$4:$BY$4),""),
"")</f>
        <v/>
      </c>
      <c r="BR117" s="8" t="str">
        <f>IF(_xlfn.XLOOKUP($B117,'ELC TECH'!$H:$H,'ELC TECH'!$E:$E)="Non Dispatchable",IFERROR($AX117*_xlfn.XLOOKUP($C117,$BM$1:$BM$3,BR$1:BR$3)/SUMPRODUCT(_xlfn.XLOOKUP($C117,$BM$1:$BM$3,$BN$1:$BY$3),$BN$4:$BY$4),""),
"")</f>
        <v/>
      </c>
      <c r="BS117" s="8" t="str">
        <f>IF(_xlfn.XLOOKUP($B117,'ELC TECH'!$H:$H,'ELC TECH'!$E:$E)="Non Dispatchable",IFERROR($AX117*_xlfn.XLOOKUP($C117,$BM$1:$BM$3,BS$1:BS$3)/SUMPRODUCT(_xlfn.XLOOKUP($C117,$BM$1:$BM$3,$BN$1:$BY$3),$BN$4:$BY$4),""),
"")</f>
        <v/>
      </c>
      <c r="BT117" s="8" t="str">
        <f>IF(_xlfn.XLOOKUP($B117,'ELC TECH'!$H:$H,'ELC TECH'!$E:$E)="Non Dispatchable",IFERROR($AX117*_xlfn.XLOOKUP($C117,$BM$1:$BM$3,BT$1:BT$3)/SUMPRODUCT(_xlfn.XLOOKUP($C117,$BM$1:$BM$3,$BN$1:$BY$3),$BN$4:$BY$4),""),
"")</f>
        <v/>
      </c>
      <c r="BU117" s="8" t="str">
        <f>IF(_xlfn.XLOOKUP($B117,'ELC TECH'!$H:$H,'ELC TECH'!$E:$E)="Non Dispatchable",IFERROR($AX117*_xlfn.XLOOKUP($C117,$BM$1:$BM$3,BU$1:BU$3)/SUMPRODUCT(_xlfn.XLOOKUP($C117,$BM$1:$BM$3,$BN$1:$BY$3),$BN$4:$BY$4),""),
"")</f>
        <v/>
      </c>
      <c r="BV117" s="8" t="str">
        <f>IF(_xlfn.XLOOKUP($B117,'ELC TECH'!$H:$H,'ELC TECH'!$E:$E)="Non Dispatchable",IFERROR($AX117*_xlfn.XLOOKUP($C117,$BM$1:$BM$3,BV$1:BV$3)/SUMPRODUCT(_xlfn.XLOOKUP($C117,$BM$1:$BM$3,$BN$1:$BY$3),$BN$4:$BY$4),""),
"")</f>
        <v/>
      </c>
      <c r="BW117" s="8" t="str">
        <f>IF(_xlfn.XLOOKUP($B117,'ELC TECH'!$H:$H,'ELC TECH'!$E:$E)="Non Dispatchable",IFERROR($AX117*_xlfn.XLOOKUP($C117,$BM$1:$BM$3,BW$1:BW$3)/SUMPRODUCT(_xlfn.XLOOKUP($C117,$BM$1:$BM$3,$BN$1:$BY$3),$BN$4:$BY$4),""),
"")</f>
        <v/>
      </c>
      <c r="BX117" s="8" t="str">
        <f>IF(_xlfn.XLOOKUP($B117,'ELC TECH'!$H:$H,'ELC TECH'!$E:$E)="Non Dispatchable",IFERROR($AX117*_xlfn.XLOOKUP($C117,$BM$1:$BM$3,BX$1:BX$3)/SUMPRODUCT(_xlfn.XLOOKUP($C117,$BM$1:$BM$3,$BN$1:$BY$3),$BN$4:$BY$4),""),
"")</f>
        <v/>
      </c>
      <c r="BY117" s="8" t="str">
        <f>IF(_xlfn.XLOOKUP($B117,'ELC TECH'!$H:$H,'ELC TECH'!$E:$E)="Non Dispatchable",IFERROR($AX117*_xlfn.XLOOKUP($C117,$BM$1:$BM$3,BY$1:BY$3)/SUMPRODUCT(_xlfn.XLOOKUP($C117,$BM$1:$BM$3,$BN$1:$BY$3),$BN$4:$BY$4),""),
"")</f>
        <v/>
      </c>
      <c r="BZ117" s="8" t="str">
        <f>IF(_xlfn.XLOOKUP($B117,'ELC TECH'!$H:$H,'ELC TECH'!$E:$E)="Non Dispatchable",IFERROR($AX117*_xlfn.XLOOKUP($C117,$BM$1:$BM$3,BZ$1:BZ$3)/SUMPRODUCT(_xlfn.XLOOKUP($C117,$BM$1:$BM$3,$BN$1:$BY$3),$BN$4:$BY$4),""),
"")</f>
        <v/>
      </c>
      <c r="CA117" s="8" t="str">
        <f>IF(_xlfn.XLOOKUP($B117,'ELC TECH'!$H:$H,'ELC TECH'!$E:$E)="Non Dispatchable",IFERROR($AX117*_xlfn.XLOOKUP($C117,$BM$1:$BM$3,CA$1:CA$3)/SUMPRODUCT(_xlfn.XLOOKUP($C117,$BM$1:$BM$3,$BN$1:$BY$3),$BN$4:$BY$4),""),
"")</f>
        <v/>
      </c>
      <c r="CB117" s="8" t="str">
        <f>IF(_xlfn.XLOOKUP($B117,'ELC TECH'!$H:$H,'ELC TECH'!$E:$E)="Non Dispatchable",IFERROR($AX117*_xlfn.XLOOKUP($C117,$BM$1:$BM$3,CB$1:CB$3)/SUMPRODUCT(_xlfn.XLOOKUP($C117,$BM$1:$BM$3,$BN$1:$BY$3),$BN$4:$BY$4),""),
"")</f>
        <v/>
      </c>
      <c r="CC117" s="8" t="str">
        <f>IF(_xlfn.XLOOKUP($B117,'ELC TECH'!$H:$H,'ELC TECH'!$E:$E)="Non Dispatchable",IFERROR($AX117*_xlfn.XLOOKUP($C117,$BM$1:$BM$3,CC$1:CC$3)/SUMPRODUCT(_xlfn.XLOOKUP($C117,$BM$1:$BM$3,$BN$1:$BY$3),$BN$4:$BY$4),""),
"")</f>
        <v/>
      </c>
      <c r="CD117" s="8" t="str">
        <f>IF(_xlfn.XLOOKUP($B117,'ELC TECH'!$H:$H,'ELC TECH'!$E:$E)="Non Dispatchable",IFERROR($AX117*_xlfn.XLOOKUP($C117,$BM$1:$BM$3,CD$1:CD$3)/SUMPRODUCT(_xlfn.XLOOKUP($C117,$BM$1:$BM$3,$BN$1:$BY$3),$BN$4:$BY$4),""),
"")</f>
        <v/>
      </c>
      <c r="CE117" s="8" t="str">
        <f>IF(_xlfn.XLOOKUP($B117,'ELC TECH'!$H:$H,'ELC TECH'!$E:$E)="Non Dispatchable",IFERROR($AX117*_xlfn.XLOOKUP($C117,$BM$1:$BM$3,CE$1:CE$3)/SUMPRODUCT(_xlfn.XLOOKUP($C117,$BM$1:$BM$3,$BN$1:$BY$3),$BN$4:$BY$4),""),
"")</f>
        <v/>
      </c>
      <c r="CF117" s="8" t="str">
        <f>IF(_xlfn.XLOOKUP($B117,'ELC TECH'!$H:$H,'ELC TECH'!$E:$E)="Non Dispatchable",IFERROR($AX117*_xlfn.XLOOKUP($C117,$BM$1:$BM$3,CF$1:CF$3)/SUMPRODUCT(_xlfn.XLOOKUP($C117,$BM$1:$BM$3,$BN$1:$BY$3),$BN$4:$BY$4),""),
"")</f>
        <v/>
      </c>
      <c r="CG117" s="8" t="str">
        <f>IF(_xlfn.XLOOKUP($B117,'ELC TECH'!$H:$H,'ELC TECH'!$E:$E)="Non Dispatchable",IFERROR($AX117*_xlfn.XLOOKUP($C117,$BM$1:$BM$3,CG$1:CG$3)/SUMPRODUCT(_xlfn.XLOOKUP($C117,$BM$1:$BM$3,$BN$1:$BY$3),$BN$4:$BY$4),""),
"")</f>
        <v/>
      </c>
      <c r="CH117" s="8" t="str">
        <f>IF(_xlfn.XLOOKUP($B117,'ELC TECH'!$H:$H,'ELC TECH'!$E:$E)="Non Dispatchable",IFERROR($AX117*_xlfn.XLOOKUP($C117,$BM$1:$BM$3,CH$1:CH$3)/SUMPRODUCT(_xlfn.XLOOKUP($C117,$BM$1:$BM$3,$BN$1:$BY$3),$BN$4:$BY$4),""),
"")</f>
        <v/>
      </c>
      <c r="CI117" s="8" t="str">
        <f>IF(_xlfn.XLOOKUP($B117,'ELC TECH'!$H:$H,'ELC TECH'!$E:$E)="Non Dispatchable",IFERROR($AX117*_xlfn.XLOOKUP($C117,$BM$1:$BM$3,CI$1:CI$3)/SUMPRODUCT(_xlfn.XLOOKUP($C117,$BM$1:$BM$3,$BN$1:$BY$3),$BN$4:$BY$4),""),
"")</f>
        <v/>
      </c>
      <c r="CJ117" s="8" t="str">
        <f>IF(_xlfn.XLOOKUP($B117,'ELC TECH'!$H:$H,'ELC TECH'!$E:$E)="Non Dispatchable",IFERROR($AX117*_xlfn.XLOOKUP($C117,$BM$1:$BM$3,CJ$1:CJ$3)/SUMPRODUCT(_xlfn.XLOOKUP($C117,$BM$1:$BM$3,$BN$1:$BY$3),$BN$4:$BY$4),""),
"")</f>
        <v/>
      </c>
      <c r="CK117" s="8" t="str">
        <f>IF(_xlfn.XLOOKUP($B117,'ELC TECH'!$H:$H,'ELC TECH'!$E:$E)="Non Dispatchable",IFERROR($AX117*_xlfn.XLOOKUP($C117,$BM$1:$BM$3,CK$1:CK$3)/SUMPRODUCT(_xlfn.XLOOKUP($C117,$BM$1:$BM$3,$BN$1:$BY$3),$BN$4:$BY$4),""),
"")</f>
        <v/>
      </c>
      <c r="CL117" s="8" t="str">
        <f>IF(_xlfn.XLOOKUP($B117,'ELC TECH'!$H:$H,'ELC TECH'!$E:$E)="Storage",CL$4*$BF117,"")</f>
        <v/>
      </c>
      <c r="CM117" s="8" t="str">
        <f>IF(_xlfn.XLOOKUP($B117,'ELC TECH'!$H:$H,'ELC TECH'!$E:$E)="Storage",CM$4*$BF117,"")</f>
        <v/>
      </c>
      <c r="CN117" s="8" t="str">
        <f>IF(_xlfn.XLOOKUP($B117,'ELC TECH'!$H:$H,'ELC TECH'!$E:$E)="Storage",CN$4*$BF117,"")</f>
        <v/>
      </c>
      <c r="CO117" s="8" t="str">
        <f>IF(_xlfn.XLOOKUP($B117,'ELC TECH'!$H:$H,'ELC TECH'!$E:$E)="Storage",CO$4*$BF117,"")</f>
        <v/>
      </c>
      <c r="CP117" s="8" t="str">
        <f>IF(_xlfn.XLOOKUP($B117,'ELC TECH'!$H:$H,'ELC TECH'!$E:$E)="Storage",CP$4*$BF117,"")</f>
        <v/>
      </c>
      <c r="CQ117" s="8" t="str">
        <f>IF(_xlfn.XLOOKUP($B117,'ELC TECH'!$H:$H,'ELC TECH'!$E:$E)="Storage",CQ$4*$BF117,"")</f>
        <v/>
      </c>
      <c r="CR117" s="8" t="str">
        <f>IF(_xlfn.XLOOKUP($B117,'ELC TECH'!$H:$H,'ELC TECH'!$E:$E)="Storage",CR$4*$BF117,"")</f>
        <v/>
      </c>
      <c r="CS117" s="8" t="str">
        <f>IF(_xlfn.XLOOKUP($B117,'ELC TECH'!$H:$H,'ELC TECH'!$E:$E)="Storage",CS$4*$BF117,"")</f>
        <v/>
      </c>
      <c r="CT117" s="8" t="str">
        <f>IF(_xlfn.XLOOKUP($B117,'ELC TECH'!$H:$H,'ELC TECH'!$E:$E)="Storage",CT$4*$BF117,"")</f>
        <v/>
      </c>
      <c r="CU117" s="8" t="str">
        <f>IF(_xlfn.XLOOKUP($B117,'ELC TECH'!$H:$H,'ELC TECH'!$E:$E)="Storage",CU$4*$BF117,"")</f>
        <v/>
      </c>
      <c r="CV117" s="8" t="str">
        <f>IF(_xlfn.XLOOKUP($B117,'ELC TECH'!$H:$H,'ELC TECH'!$E:$E)="Storage",CV$4*$BF117,"")</f>
        <v/>
      </c>
      <c r="CW117" s="8" t="str">
        <f>IF(_xlfn.XLOOKUP($B117,'ELC TECH'!$H:$H,'ELC TECH'!$E:$E)="Storage",CW$4*$BF117,"")</f>
        <v/>
      </c>
      <c r="CX117" s="8" t="str">
        <f>IF(_xlfn.XLOOKUP($B117,'ELC TECH'!$H:$H,'ELC TECH'!$E:$E)="Storage",CX$4*$BF117,"")</f>
        <v/>
      </c>
      <c r="CY117" s="8" t="str">
        <f>IF(_xlfn.XLOOKUP($B117,'ELC TECH'!$H:$H,'ELC TECH'!$E:$E)="Storage",CY$4*$BF117,"")</f>
        <v/>
      </c>
      <c r="CZ117" s="8" t="str">
        <f>IF(_xlfn.XLOOKUP($B117,'ELC TECH'!$H:$H,'ELC TECH'!$E:$E)="Storage",CZ$4*$BF117,"")</f>
        <v/>
      </c>
      <c r="DA117" s="8" t="str">
        <f>IF(_xlfn.XLOOKUP($B117,'ELC TECH'!$H:$H,'ELC TECH'!$E:$E)="Storage",DA$4*$BF117,"")</f>
        <v/>
      </c>
      <c r="DB117" s="8" t="str">
        <f>IF(_xlfn.XLOOKUP($B117,'ELC TECH'!$H:$H,'ELC TECH'!$E:$E)="Storage",DB$4*$BF117,"")</f>
        <v/>
      </c>
      <c r="DC117" s="8" t="str">
        <f>IF(_xlfn.XLOOKUP($B117,'ELC TECH'!$H:$H,'ELC TECH'!$E:$E)="Storage",DC$4*$BF117,"")</f>
        <v/>
      </c>
      <c r="DD117" s="8" t="str">
        <f>IF(_xlfn.XLOOKUP($B117,'ELC TECH'!$H:$H,'ELC TECH'!$E:$E)="Storage",DD$4*$BF117,"")</f>
        <v/>
      </c>
      <c r="DE117" s="8" t="str">
        <f>IF(_xlfn.XLOOKUP($B117,'ELC TECH'!$H:$H,'ELC TECH'!$E:$E)="Storage",DE$4*$BF117,"")</f>
        <v/>
      </c>
      <c r="DF117" s="8" t="str">
        <f>IF(_xlfn.XLOOKUP($B117,'ELC TECH'!$H:$H,'ELC TECH'!$E:$E)="Storage",DF$4*$BF117,"")</f>
        <v/>
      </c>
      <c r="DG117" s="8" t="str">
        <f>IF(_xlfn.XLOOKUP($B117,'ELC TECH'!$H:$H,'ELC TECH'!$E:$E)="Storage",DG$4*$BF117,"")</f>
        <v/>
      </c>
      <c r="DH117" s="8" t="str">
        <f>IF(_xlfn.XLOOKUP($B117,'ELC TECH'!$H:$H,'ELC TECH'!$E:$E)="Storage",DH$4*$BF117,"")</f>
        <v/>
      </c>
      <c r="DI117" s="8" t="str">
        <f>IF(_xlfn.XLOOKUP($B117,'ELC TECH'!$H:$H,'ELC TECH'!$E:$E)="Storage",DI$4*$BF117,"")</f>
        <v/>
      </c>
    </row>
    <row r="118" spans="2:113" x14ac:dyDescent="0.25">
      <c r="B118" t="str">
        <f>IF('ELC TECH'!I111=0,"*",'ELC TECH'!H111)</f>
        <v>ELCGEOGRDNEGSF20</v>
      </c>
      <c r="C118" t="str">
        <f>IF(_xlfn.XLOOKUP(_xlfn.XLOOKUP(B118,'ELC TECH'!$H:$H,'ELC TECH'!$G:$G),List!C:C,List!B:B)="STG",D118,"ELC"&amp;_xlfn.XLOOKUP(_xlfn.XLOOKUP(B118,'ELC TECH'!H:H,'ELC TECH'!G:G),List!C:C,List!B:B))</f>
        <v>ELCGEO</v>
      </c>
      <c r="D118" t="s">
        <v>544</v>
      </c>
      <c r="E118">
        <f>_xlfn.XLOOKUP(B118,'ELC TECH'!H:H,'ELC TECH'!D:D)</f>
        <v>2020</v>
      </c>
      <c r="F118">
        <f>_xlfn.XLOOKUP(B118,'ELC TECH'!H:H,'ELC TECH'!K:K)</f>
        <v>30</v>
      </c>
      <c r="G118">
        <f t="shared" si="7"/>
        <v>31.535999999999998</v>
      </c>
      <c r="H118">
        <f>IF(_xlfn.XLOOKUP(B118,'ELC TECH'!$H:$H,'ELC TECH'!$E:$E)="Storage",0.3,IF(_xlfn.XLOOKUP(B118,'ELC TECH'!$H:$H,'ELC TECH'!$E:$E)="Baseload",0.9,IF(_xlfn.XLOOKUP(B118,'ELC TECH'!$H:$H,'ELC TECH'!$E:$E)="Non Dispatchable",0.05,IF(_xlfn.XLOOKUP(B118,'ELC TECH'!$H:$H,'ELC TECH'!$E:$E)="Dispatchable",0.9,1))))</f>
        <v>0.9</v>
      </c>
      <c r="I118" s="13">
        <f>IF(_xlfn.XLOOKUP(B118,'ELC TECH'!H:H,'ELC TECH'!J:J)="","",_xlfn.XLOOKUP(B118,'ELC TECH'!H:H,'ELC TECH'!J:J))</f>
        <v>0</v>
      </c>
      <c r="J118" s="12">
        <f>IF(_xlfn.XLOOKUP($B118,'ELC TECH'!$H:$H,'ELC TECH'!$E:$E)="Storage","",IF(_xlfn.XLOOKUP($B118,'ELC TECH'!$H:$H,'ELC TECH'!AK:AK)="",1,_xlfn.XLOOKUP($B118,'ELC TECH'!$H:$H,'ELC TECH'!AK:AK)))</f>
        <v>1</v>
      </c>
      <c r="K118" s="12">
        <f>IF(_xlfn.XLOOKUP($B118,'ELC TECH'!$H:$H,'ELC TECH'!$E:$E)="Storage","",IF(_xlfn.XLOOKUP($B118,'ELC TECH'!$H:$H,'ELC TECH'!AL:AL)="",1,_xlfn.XLOOKUP($B118,'ELC TECH'!$H:$H,'ELC TECH'!AL:AL)))</f>
        <v>1</v>
      </c>
      <c r="L118" s="12">
        <f>IF(_xlfn.XLOOKUP($B118,'ELC TECH'!$H:$H,'ELC TECH'!$E:$E)="Storage","",IF(_xlfn.XLOOKUP($B118,'ELC TECH'!$H:$H,'ELC TECH'!AM:AM)="",1,_xlfn.XLOOKUP($B118,'ELC TECH'!$H:$H,'ELC TECH'!AM:AM)))</f>
        <v>1</v>
      </c>
      <c r="M118" s="12">
        <f>IF(_xlfn.XLOOKUP($B118,'ELC TECH'!$H:$H,'ELC TECH'!$E:$E)="Storage","",IF(_xlfn.XLOOKUP($B118,'ELC TECH'!$H:$H,'ELC TECH'!AN:AN)="",1,_xlfn.XLOOKUP($B118,'ELC TECH'!$H:$H,'ELC TECH'!AN:AN)))</f>
        <v>1</v>
      </c>
      <c r="N118" s="12">
        <f>IF(_xlfn.XLOOKUP($B118,'ELC TECH'!$H:$H,'ELC TECH'!$E:$E)="Storage","",IF(_xlfn.XLOOKUP($B118,'ELC TECH'!$H:$H,'ELC TECH'!AO:AO)="",1,_xlfn.XLOOKUP($B118,'ELC TECH'!$H:$H,'ELC TECH'!AO:AO)))</f>
        <v>1</v>
      </c>
      <c r="O118" s="12">
        <f>IF(_xlfn.XLOOKUP($B118,'ELC TECH'!$H:$H,'ELC TECH'!$E:$E)="Storage","",IF(_xlfn.XLOOKUP($B118,'ELC TECH'!$H:$H,'ELC TECH'!AP:AP)="",1,_xlfn.XLOOKUP($B118,'ELC TECH'!$H:$H,'ELC TECH'!AP:AP)))</f>
        <v>1</v>
      </c>
      <c r="P118" s="12">
        <f>IF(_xlfn.XLOOKUP($B118,'ELC TECH'!$H:$H,'ELC TECH'!$E:$E)="Storage","",IF(_xlfn.XLOOKUP($B118,'ELC TECH'!$H:$H,'ELC TECH'!AQ:AQ)="",1,_xlfn.XLOOKUP($B118,'ELC TECH'!$H:$H,'ELC TECH'!AQ:AQ)))</f>
        <v>1</v>
      </c>
      <c r="Q118" s="12">
        <f>IF(_xlfn.XLOOKUP($B118,'ELC TECH'!$H:$H,'ELC TECH'!$E:$E)="Storage","",IF(_xlfn.XLOOKUP($B118,'ELC TECH'!$H:$H,'ELC TECH'!AR:AR)="",1,_xlfn.XLOOKUP($B118,'ELC TECH'!$H:$H,'ELC TECH'!AR:AR)))</f>
        <v>1</v>
      </c>
      <c r="R118" s="12" t="str">
        <f>IF(_xlfn.XLOOKUP($B118,'ELC TECH'!$H:$H,'ELC TECH'!$E:$E)&lt;&gt;"Storage","",IF(_xlfn.XLOOKUP($B118,'ELC TECH'!$H:$H,'ELC TECH'!AK:AK)="",0.8,_xlfn.XLOOKUP($B118,'ELC TECH'!$H:$H,'ELC TECH'!AK:AK)))</f>
        <v/>
      </c>
      <c r="S118" s="12" t="str">
        <f>IF(_xlfn.XLOOKUP($B118,'ELC TECH'!$H:$H,'ELC TECH'!$E:$E)&lt;&gt;"Storage","",IF(_xlfn.XLOOKUP($B118,'ELC TECH'!$H:$H,'ELC TECH'!AL:AL)="",0.8,_xlfn.XLOOKUP($B118,'ELC TECH'!$H:$H,'ELC TECH'!AL:AL)))</f>
        <v/>
      </c>
      <c r="T118" s="12" t="str">
        <f>IF(_xlfn.XLOOKUP($B118,'ELC TECH'!$H:$H,'ELC TECH'!$E:$E)&lt;&gt;"Storage","",IF(_xlfn.XLOOKUP($B118,'ELC TECH'!$H:$H,'ELC TECH'!AM:AM)="",0.8,_xlfn.XLOOKUP($B118,'ELC TECH'!$H:$H,'ELC TECH'!AM:AM)))</f>
        <v/>
      </c>
      <c r="U118" s="12" t="str">
        <f>IF(_xlfn.XLOOKUP($B118,'ELC TECH'!$H:$H,'ELC TECH'!$E:$E)&lt;&gt;"Storage","",IF(_xlfn.XLOOKUP($B118,'ELC TECH'!$H:$H,'ELC TECH'!AN:AN)="",0.8,_xlfn.XLOOKUP($B118,'ELC TECH'!$H:$H,'ELC TECH'!AN:AN)))</f>
        <v/>
      </c>
      <c r="V118" s="12" t="str">
        <f>IF(_xlfn.XLOOKUP($B118,'ELC TECH'!$H:$H,'ELC TECH'!$E:$E)&lt;&gt;"Storage","",IF(_xlfn.XLOOKUP($B118,'ELC TECH'!$H:$H,'ELC TECH'!AO:AO)="",0.8,_xlfn.XLOOKUP($B118,'ELC TECH'!$H:$H,'ELC TECH'!AO:AO)))</f>
        <v/>
      </c>
      <c r="W118" s="12" t="str">
        <f>IF(_xlfn.XLOOKUP($B118,'ELC TECH'!$H:$H,'ELC TECH'!$E:$E)&lt;&gt;"Storage","",IF(_xlfn.XLOOKUP($B118,'ELC TECH'!$H:$H,'ELC TECH'!AP:AP)="",0.8,_xlfn.XLOOKUP($B118,'ELC TECH'!$H:$H,'ELC TECH'!AP:AP)))</f>
        <v/>
      </c>
      <c r="X118" s="12" t="str">
        <f>IF(_xlfn.XLOOKUP($B118,'ELC TECH'!$H:$H,'ELC TECH'!$E:$E)&lt;&gt;"Storage","",IF(_xlfn.XLOOKUP($B118,'ELC TECH'!$H:$H,'ELC TECH'!AQ:AQ)="",0.8,_xlfn.XLOOKUP($B118,'ELC TECH'!$H:$H,'ELC TECH'!AQ:AQ)))</f>
        <v/>
      </c>
      <c r="Y118" s="12" t="str">
        <f>IF(_xlfn.XLOOKUP($B118,'ELC TECH'!$H:$H,'ELC TECH'!$E:$E)&lt;&gt;"Storage","",IF(_xlfn.XLOOKUP($B118,'ELC TECH'!$H:$H,'ELC TECH'!AR:AR)="",0.8,_xlfn.XLOOKUP($B118,'ELC TECH'!$H:$H,'ELC TECH'!AR:AR)))</f>
        <v/>
      </c>
      <c r="Z118" s="15">
        <f>_xlfn.XLOOKUP($B118,'ELC TECH'!$H:$H,'ELC TECH'!M:M)</f>
        <v>10912.238665283079</v>
      </c>
      <c r="AA118" s="15">
        <f>_xlfn.XLOOKUP($B118,'ELC TECH'!$H:$H,'ELC TECH'!N:N)</f>
        <v>8830.3734012651621</v>
      </c>
      <c r="AB118" s="15">
        <f>_xlfn.XLOOKUP($B118,'ELC TECH'!$H:$H,'ELC TECH'!O:O)</f>
        <v>7281.7718478756387</v>
      </c>
      <c r="AC118" s="15">
        <f>_xlfn.XLOOKUP($B118,'ELC TECH'!$H:$H,'ELC TECH'!P:P)</f>
        <v>6496.013413542506</v>
      </c>
      <c r="AD118" s="15">
        <f>_xlfn.XLOOKUP($B118,'ELC TECH'!$H:$H,'ELC TECH'!Q:Q)</f>
        <v>6335.2289818203126</v>
      </c>
      <c r="AE118" s="15">
        <f>_xlfn.XLOOKUP($B118,'ELC TECH'!$H:$H,'ELC TECH'!R:R)</f>
        <v>6178.4241652618221</v>
      </c>
      <c r="AF118" s="15">
        <f>_xlfn.XLOOKUP($B118,'ELC TECH'!$H:$H,'ELC TECH'!S:S)</f>
        <v>6025.5004634296538</v>
      </c>
      <c r="AG118" s="15">
        <f>_xlfn.XLOOKUP($B118,'ELC TECH'!$H:$H,'ELC TECH'!T:T)</f>
        <v>6025.5004634296538</v>
      </c>
      <c r="AH118" s="15">
        <f>_xlfn.XLOOKUP($B118,'ELC TECH'!$H:$H,'ELC TECH'!U:U)</f>
        <v>229.03184523140851</v>
      </c>
      <c r="AI118" s="15">
        <f>_xlfn.XLOOKUP($B118,'ELC TECH'!$H:$H,'ELC TECH'!V:V)</f>
        <v>208.8187313876694</v>
      </c>
      <c r="AJ118" s="15">
        <f>_xlfn.XLOOKUP($B118,'ELC TECH'!$H:$H,'ELC TECH'!W:W)</f>
        <v>183.55233908299559</v>
      </c>
      <c r="AK118" s="15">
        <f>_xlfn.XLOOKUP($B118,'ELC TECH'!$H:$H,'ELC TECH'!X:X)</f>
        <v>158.2859467783218</v>
      </c>
      <c r="AL118" s="15">
        <f>_xlfn.XLOOKUP($B118,'ELC TECH'!$H:$H,'ELC TECH'!Y:Y)</f>
        <v>158.2859467783218</v>
      </c>
      <c r="AM118" s="15">
        <f>_xlfn.XLOOKUP($B118,'ELC TECH'!$H:$H,'ELC TECH'!Z:Z)</f>
        <v>158.2859467783218</v>
      </c>
      <c r="AN118" s="15">
        <f>_xlfn.XLOOKUP($B118,'ELC TECH'!$H:$H,'ELC TECH'!AA:AA)</f>
        <v>158.2859467783218</v>
      </c>
      <c r="AO118" s="15">
        <f>_xlfn.XLOOKUP($B118,'ELC TECH'!$H:$H,'ELC TECH'!AB:AB)</f>
        <v>158.2859467783218</v>
      </c>
      <c r="AP118" s="15">
        <f>_xlfn.XLOOKUP($B118,'ELC TECH'!$H:$H,'ELC TECH'!AC:AC)</f>
        <v>0</v>
      </c>
      <c r="AQ118" s="15">
        <f>_xlfn.XLOOKUP($B118,'ELC TECH'!$H:$H,'ELC TECH'!AD:AD)</f>
        <v>0</v>
      </c>
      <c r="AR118" s="15">
        <f>_xlfn.XLOOKUP($B118,'ELC TECH'!$H:$H,'ELC TECH'!AE:AE)</f>
        <v>0</v>
      </c>
      <c r="AS118" s="15">
        <f>_xlfn.XLOOKUP($B118,'ELC TECH'!$H:$H,'ELC TECH'!AF:AF)</f>
        <v>0</v>
      </c>
      <c r="AT118" s="15">
        <f>_xlfn.XLOOKUP($B118,'ELC TECH'!$H:$H,'ELC TECH'!AG:AG)</f>
        <v>0</v>
      </c>
      <c r="AU118" s="15">
        <f>_xlfn.XLOOKUP($B118,'ELC TECH'!$H:$H,'ELC TECH'!AH:AH)</f>
        <v>0</v>
      </c>
      <c r="AV118" s="15">
        <f>_xlfn.XLOOKUP($B118,'ELC TECH'!$H:$H,'ELC TECH'!AI:AI)</f>
        <v>0</v>
      </c>
      <c r="AW118" s="15">
        <f>_xlfn.XLOOKUP($B118,'ELC TECH'!$H:$H,'ELC TECH'!AJ:AJ)</f>
        <v>0</v>
      </c>
      <c r="AX118" s="12">
        <f>IF(_xlfn.XLOOKUP($B118,'ELC TECH'!$H:$H,'ELC TECH'!$E:$E)="Storage","",_xlfn.XLOOKUP($B118,'ELC TECH'!$H:$H,'ELC TECH'!AS:AS))</f>
        <v>0.9</v>
      </c>
      <c r="AY118" s="12">
        <f>IF(_xlfn.XLOOKUP($B118,'ELC TECH'!$H:$H,'ELC TECH'!$E:$E)="Storage","",_xlfn.XLOOKUP($B118,'ELC TECH'!$H:$H,'ELC TECH'!AT:AT))</f>
        <v>0.9</v>
      </c>
      <c r="AZ118" s="12">
        <f>IF(_xlfn.XLOOKUP($B118,'ELC TECH'!$H:$H,'ELC TECH'!$E:$E)="Storage","",_xlfn.XLOOKUP($B118,'ELC TECH'!$H:$H,'ELC TECH'!AU:AU))</f>
        <v>0.9</v>
      </c>
      <c r="BA118" s="12">
        <f>IF(_xlfn.XLOOKUP($B118,'ELC TECH'!$H:$H,'ELC TECH'!$E:$E)="Storage","",_xlfn.XLOOKUP($B118,'ELC TECH'!$H:$H,'ELC TECH'!AV:AV))</f>
        <v>0.9</v>
      </c>
      <c r="BB118" s="12">
        <f>IF(_xlfn.XLOOKUP($B118,'ELC TECH'!$H:$H,'ELC TECH'!$E:$E)="Storage","",_xlfn.XLOOKUP($B118,'ELC TECH'!$H:$H,'ELC TECH'!AW:AW))</f>
        <v>0.9</v>
      </c>
      <c r="BC118" s="12">
        <f>IF(_xlfn.XLOOKUP($B118,'ELC TECH'!$H:$H,'ELC TECH'!$E:$E)="Storage","",_xlfn.XLOOKUP($B118,'ELC TECH'!$H:$H,'ELC TECH'!AX:AX))</f>
        <v>0.9</v>
      </c>
      <c r="BD118" s="12">
        <f>IF(_xlfn.XLOOKUP($B118,'ELC TECH'!$H:$H,'ELC TECH'!$E:$E)="Storage","",_xlfn.XLOOKUP($B118,'ELC TECH'!$H:$H,'ELC TECH'!AY:AY))</f>
        <v>0.9</v>
      </c>
      <c r="BE118" s="12">
        <f>IF(_xlfn.XLOOKUP($B118,'ELC TECH'!$H:$H,'ELC TECH'!$E:$E)="Storage","",_xlfn.XLOOKUP($B118,'ELC TECH'!$H:$H,'ELC TECH'!AZ:AZ))</f>
        <v>0.9</v>
      </c>
      <c r="BF118" s="12" t="str">
        <f>IF(_xlfn.XLOOKUP($B118,'ELC TECH'!$H:$H,'ELC TECH'!$E:$E)="Storage",_xlfn.XLOOKUP($B118,'ELC TECH'!$H:$H,'ELC TECH'!AS:AS),"")</f>
        <v/>
      </c>
      <c r="BG118" s="12" t="str">
        <f>IF(_xlfn.XLOOKUP($B118,'ELC TECH'!$H:$H,'ELC TECH'!$E:$E)="Storage",_xlfn.XLOOKUP($B118,'ELC TECH'!$H:$H,'ELC TECH'!AT:AT),"")</f>
        <v/>
      </c>
      <c r="BH118" s="12" t="str">
        <f>IF(_xlfn.XLOOKUP($B118,'ELC TECH'!$H:$H,'ELC TECH'!$E:$E)="Storage",_xlfn.XLOOKUP($B118,'ELC TECH'!$H:$H,'ELC TECH'!AU:AU),"")</f>
        <v/>
      </c>
      <c r="BI118" s="12" t="str">
        <f>IF(_xlfn.XLOOKUP($B118,'ELC TECH'!$H:$H,'ELC TECH'!$E:$E)="Storage",_xlfn.XLOOKUP($B118,'ELC TECH'!$H:$H,'ELC TECH'!AV:AV),"")</f>
        <v/>
      </c>
      <c r="BJ118" s="12" t="str">
        <f>IF(_xlfn.XLOOKUP($B118,'ELC TECH'!$H:$H,'ELC TECH'!$E:$E)="Storage",_xlfn.XLOOKUP($B118,'ELC TECH'!$H:$H,'ELC TECH'!AW:AW),"")</f>
        <v/>
      </c>
      <c r="BK118" s="12" t="str">
        <f>IF(_xlfn.XLOOKUP($B118,'ELC TECH'!$H:$H,'ELC TECH'!$E:$E)="Storage",_xlfn.XLOOKUP($B118,'ELC TECH'!$H:$H,'ELC TECH'!AX:AX),"")</f>
        <v/>
      </c>
      <c r="BL118" s="12" t="str">
        <f>IF(_xlfn.XLOOKUP($B118,'ELC TECH'!$H:$H,'ELC TECH'!$E:$E)="Storage",_xlfn.XLOOKUP($B118,'ELC TECH'!$H:$H,'ELC TECH'!AY:AY),"")</f>
        <v/>
      </c>
      <c r="BM118" s="12" t="str">
        <f>IF(_xlfn.XLOOKUP($B118,'ELC TECH'!$H:$H,'ELC TECH'!$E:$E)="Storage",_xlfn.XLOOKUP($B118,'ELC TECH'!$H:$H,'ELC TECH'!AZ:AZ),"")</f>
        <v/>
      </c>
      <c r="BN118" s="8" t="str">
        <f>IF(_xlfn.XLOOKUP($B118,'ELC TECH'!$H:$H,'ELC TECH'!$E:$E)="Non Dispatchable",IFERROR($AX118*_xlfn.XLOOKUP($C118,$BM$1:$BM$3,BN$1:BN$3)/SUMPRODUCT(_xlfn.XLOOKUP($C118,$BM$1:$BM$3,$BN$1:$BY$3),$BN$4:$BY$4),""),
"")</f>
        <v/>
      </c>
      <c r="BO118" s="8" t="str">
        <f>IF(_xlfn.XLOOKUP($B118,'ELC TECH'!$H:$H,'ELC TECH'!$E:$E)="Non Dispatchable",IFERROR($AX118*_xlfn.XLOOKUP($C118,$BM$1:$BM$3,BO$1:BO$3)/SUMPRODUCT(_xlfn.XLOOKUP($C118,$BM$1:$BM$3,$BN$1:$BY$3),$BN$4:$BY$4),""),
"")</f>
        <v/>
      </c>
      <c r="BP118" s="8" t="str">
        <f>IF(_xlfn.XLOOKUP($B118,'ELC TECH'!$H:$H,'ELC TECH'!$E:$E)="Non Dispatchable",IFERROR($AX118*_xlfn.XLOOKUP($C118,$BM$1:$BM$3,BP$1:BP$3)/SUMPRODUCT(_xlfn.XLOOKUP($C118,$BM$1:$BM$3,$BN$1:$BY$3),$BN$4:$BY$4),""),
"")</f>
        <v/>
      </c>
      <c r="BQ118" s="8" t="str">
        <f>IF(_xlfn.XLOOKUP($B118,'ELC TECH'!$H:$H,'ELC TECH'!$E:$E)="Non Dispatchable",IFERROR($AX118*_xlfn.XLOOKUP($C118,$BM$1:$BM$3,BQ$1:BQ$3)/SUMPRODUCT(_xlfn.XLOOKUP($C118,$BM$1:$BM$3,$BN$1:$BY$3),$BN$4:$BY$4),""),
"")</f>
        <v/>
      </c>
      <c r="BR118" s="8" t="str">
        <f>IF(_xlfn.XLOOKUP($B118,'ELC TECH'!$H:$H,'ELC TECH'!$E:$E)="Non Dispatchable",IFERROR($AX118*_xlfn.XLOOKUP($C118,$BM$1:$BM$3,BR$1:BR$3)/SUMPRODUCT(_xlfn.XLOOKUP($C118,$BM$1:$BM$3,$BN$1:$BY$3),$BN$4:$BY$4),""),
"")</f>
        <v/>
      </c>
      <c r="BS118" s="8" t="str">
        <f>IF(_xlfn.XLOOKUP($B118,'ELC TECH'!$H:$H,'ELC TECH'!$E:$E)="Non Dispatchable",IFERROR($AX118*_xlfn.XLOOKUP($C118,$BM$1:$BM$3,BS$1:BS$3)/SUMPRODUCT(_xlfn.XLOOKUP($C118,$BM$1:$BM$3,$BN$1:$BY$3),$BN$4:$BY$4),""),
"")</f>
        <v/>
      </c>
      <c r="BT118" s="8" t="str">
        <f>IF(_xlfn.XLOOKUP($B118,'ELC TECH'!$H:$H,'ELC TECH'!$E:$E)="Non Dispatchable",IFERROR($AX118*_xlfn.XLOOKUP($C118,$BM$1:$BM$3,BT$1:BT$3)/SUMPRODUCT(_xlfn.XLOOKUP($C118,$BM$1:$BM$3,$BN$1:$BY$3),$BN$4:$BY$4),""),
"")</f>
        <v/>
      </c>
      <c r="BU118" s="8" t="str">
        <f>IF(_xlfn.XLOOKUP($B118,'ELC TECH'!$H:$H,'ELC TECH'!$E:$E)="Non Dispatchable",IFERROR($AX118*_xlfn.XLOOKUP($C118,$BM$1:$BM$3,BU$1:BU$3)/SUMPRODUCT(_xlfn.XLOOKUP($C118,$BM$1:$BM$3,$BN$1:$BY$3),$BN$4:$BY$4),""),
"")</f>
        <v/>
      </c>
      <c r="BV118" s="8" t="str">
        <f>IF(_xlfn.XLOOKUP($B118,'ELC TECH'!$H:$H,'ELC TECH'!$E:$E)="Non Dispatchable",IFERROR($AX118*_xlfn.XLOOKUP($C118,$BM$1:$BM$3,BV$1:BV$3)/SUMPRODUCT(_xlfn.XLOOKUP($C118,$BM$1:$BM$3,$BN$1:$BY$3),$BN$4:$BY$4),""),
"")</f>
        <v/>
      </c>
      <c r="BW118" s="8" t="str">
        <f>IF(_xlfn.XLOOKUP($B118,'ELC TECH'!$H:$H,'ELC TECH'!$E:$E)="Non Dispatchable",IFERROR($AX118*_xlfn.XLOOKUP($C118,$BM$1:$BM$3,BW$1:BW$3)/SUMPRODUCT(_xlfn.XLOOKUP($C118,$BM$1:$BM$3,$BN$1:$BY$3),$BN$4:$BY$4),""),
"")</f>
        <v/>
      </c>
      <c r="BX118" s="8" t="str">
        <f>IF(_xlfn.XLOOKUP($B118,'ELC TECH'!$H:$H,'ELC TECH'!$E:$E)="Non Dispatchable",IFERROR($AX118*_xlfn.XLOOKUP($C118,$BM$1:$BM$3,BX$1:BX$3)/SUMPRODUCT(_xlfn.XLOOKUP($C118,$BM$1:$BM$3,$BN$1:$BY$3),$BN$4:$BY$4),""),
"")</f>
        <v/>
      </c>
      <c r="BY118" s="8" t="str">
        <f>IF(_xlfn.XLOOKUP($B118,'ELC TECH'!$H:$H,'ELC TECH'!$E:$E)="Non Dispatchable",IFERROR($AX118*_xlfn.XLOOKUP($C118,$BM$1:$BM$3,BY$1:BY$3)/SUMPRODUCT(_xlfn.XLOOKUP($C118,$BM$1:$BM$3,$BN$1:$BY$3),$BN$4:$BY$4),""),
"")</f>
        <v/>
      </c>
      <c r="BZ118" s="8" t="str">
        <f>IF(_xlfn.XLOOKUP($B118,'ELC TECH'!$H:$H,'ELC TECH'!$E:$E)="Non Dispatchable",IFERROR($AX118*_xlfn.XLOOKUP($C118,$BM$1:$BM$3,BZ$1:BZ$3)/SUMPRODUCT(_xlfn.XLOOKUP($C118,$BM$1:$BM$3,$BN$1:$BY$3),$BN$4:$BY$4),""),
"")</f>
        <v/>
      </c>
      <c r="CA118" s="8" t="str">
        <f>IF(_xlfn.XLOOKUP($B118,'ELC TECH'!$H:$H,'ELC TECH'!$E:$E)="Non Dispatchable",IFERROR($AX118*_xlfn.XLOOKUP($C118,$BM$1:$BM$3,CA$1:CA$3)/SUMPRODUCT(_xlfn.XLOOKUP($C118,$BM$1:$BM$3,$BN$1:$BY$3),$BN$4:$BY$4),""),
"")</f>
        <v/>
      </c>
      <c r="CB118" s="8" t="str">
        <f>IF(_xlfn.XLOOKUP($B118,'ELC TECH'!$H:$H,'ELC TECH'!$E:$E)="Non Dispatchable",IFERROR($AX118*_xlfn.XLOOKUP($C118,$BM$1:$BM$3,CB$1:CB$3)/SUMPRODUCT(_xlfn.XLOOKUP($C118,$BM$1:$BM$3,$BN$1:$BY$3),$BN$4:$BY$4),""),
"")</f>
        <v/>
      </c>
      <c r="CC118" s="8" t="str">
        <f>IF(_xlfn.XLOOKUP($B118,'ELC TECH'!$H:$H,'ELC TECH'!$E:$E)="Non Dispatchable",IFERROR($AX118*_xlfn.XLOOKUP($C118,$BM$1:$BM$3,CC$1:CC$3)/SUMPRODUCT(_xlfn.XLOOKUP($C118,$BM$1:$BM$3,$BN$1:$BY$3),$BN$4:$BY$4),""),
"")</f>
        <v/>
      </c>
      <c r="CD118" s="8" t="str">
        <f>IF(_xlfn.XLOOKUP($B118,'ELC TECH'!$H:$H,'ELC TECH'!$E:$E)="Non Dispatchable",IFERROR($AX118*_xlfn.XLOOKUP($C118,$BM$1:$BM$3,CD$1:CD$3)/SUMPRODUCT(_xlfn.XLOOKUP($C118,$BM$1:$BM$3,$BN$1:$BY$3),$BN$4:$BY$4),""),
"")</f>
        <v/>
      </c>
      <c r="CE118" s="8" t="str">
        <f>IF(_xlfn.XLOOKUP($B118,'ELC TECH'!$H:$H,'ELC TECH'!$E:$E)="Non Dispatchable",IFERROR($AX118*_xlfn.XLOOKUP($C118,$BM$1:$BM$3,CE$1:CE$3)/SUMPRODUCT(_xlfn.XLOOKUP($C118,$BM$1:$BM$3,$BN$1:$BY$3),$BN$4:$BY$4),""),
"")</f>
        <v/>
      </c>
      <c r="CF118" s="8" t="str">
        <f>IF(_xlfn.XLOOKUP($B118,'ELC TECH'!$H:$H,'ELC TECH'!$E:$E)="Non Dispatchable",IFERROR($AX118*_xlfn.XLOOKUP($C118,$BM$1:$BM$3,CF$1:CF$3)/SUMPRODUCT(_xlfn.XLOOKUP($C118,$BM$1:$BM$3,$BN$1:$BY$3),$BN$4:$BY$4),""),
"")</f>
        <v/>
      </c>
      <c r="CG118" s="8" t="str">
        <f>IF(_xlfn.XLOOKUP($B118,'ELC TECH'!$H:$H,'ELC TECH'!$E:$E)="Non Dispatchable",IFERROR($AX118*_xlfn.XLOOKUP($C118,$BM$1:$BM$3,CG$1:CG$3)/SUMPRODUCT(_xlfn.XLOOKUP($C118,$BM$1:$BM$3,$BN$1:$BY$3),$BN$4:$BY$4),""),
"")</f>
        <v/>
      </c>
      <c r="CH118" s="8" t="str">
        <f>IF(_xlfn.XLOOKUP($B118,'ELC TECH'!$H:$H,'ELC TECH'!$E:$E)="Non Dispatchable",IFERROR($AX118*_xlfn.XLOOKUP($C118,$BM$1:$BM$3,CH$1:CH$3)/SUMPRODUCT(_xlfn.XLOOKUP($C118,$BM$1:$BM$3,$BN$1:$BY$3),$BN$4:$BY$4),""),
"")</f>
        <v/>
      </c>
      <c r="CI118" s="8" t="str">
        <f>IF(_xlfn.XLOOKUP($B118,'ELC TECH'!$H:$H,'ELC TECH'!$E:$E)="Non Dispatchable",IFERROR($AX118*_xlfn.XLOOKUP($C118,$BM$1:$BM$3,CI$1:CI$3)/SUMPRODUCT(_xlfn.XLOOKUP($C118,$BM$1:$BM$3,$BN$1:$BY$3),$BN$4:$BY$4),""),
"")</f>
        <v/>
      </c>
      <c r="CJ118" s="8" t="str">
        <f>IF(_xlfn.XLOOKUP($B118,'ELC TECH'!$H:$H,'ELC TECH'!$E:$E)="Non Dispatchable",IFERROR($AX118*_xlfn.XLOOKUP($C118,$BM$1:$BM$3,CJ$1:CJ$3)/SUMPRODUCT(_xlfn.XLOOKUP($C118,$BM$1:$BM$3,$BN$1:$BY$3),$BN$4:$BY$4),""),
"")</f>
        <v/>
      </c>
      <c r="CK118" s="8" t="str">
        <f>IF(_xlfn.XLOOKUP($B118,'ELC TECH'!$H:$H,'ELC TECH'!$E:$E)="Non Dispatchable",IFERROR($AX118*_xlfn.XLOOKUP($C118,$BM$1:$BM$3,CK$1:CK$3)/SUMPRODUCT(_xlfn.XLOOKUP($C118,$BM$1:$BM$3,$BN$1:$BY$3),$BN$4:$BY$4),""),
"")</f>
        <v/>
      </c>
      <c r="CL118" s="8" t="str">
        <f>IF(_xlfn.XLOOKUP($B118,'ELC TECH'!$H:$H,'ELC TECH'!$E:$E)="Storage",CL$4*$BF118,"")</f>
        <v/>
      </c>
      <c r="CM118" s="8" t="str">
        <f>IF(_xlfn.XLOOKUP($B118,'ELC TECH'!$H:$H,'ELC TECH'!$E:$E)="Storage",CM$4*$BF118,"")</f>
        <v/>
      </c>
      <c r="CN118" s="8" t="str">
        <f>IF(_xlfn.XLOOKUP($B118,'ELC TECH'!$H:$H,'ELC TECH'!$E:$E)="Storage",CN$4*$BF118,"")</f>
        <v/>
      </c>
      <c r="CO118" s="8" t="str">
        <f>IF(_xlfn.XLOOKUP($B118,'ELC TECH'!$H:$H,'ELC TECH'!$E:$E)="Storage",CO$4*$BF118,"")</f>
        <v/>
      </c>
      <c r="CP118" s="8" t="str">
        <f>IF(_xlfn.XLOOKUP($B118,'ELC TECH'!$H:$H,'ELC TECH'!$E:$E)="Storage",CP$4*$BF118,"")</f>
        <v/>
      </c>
      <c r="CQ118" s="8" t="str">
        <f>IF(_xlfn.XLOOKUP($B118,'ELC TECH'!$H:$H,'ELC TECH'!$E:$E)="Storage",CQ$4*$BF118,"")</f>
        <v/>
      </c>
      <c r="CR118" s="8" t="str">
        <f>IF(_xlfn.XLOOKUP($B118,'ELC TECH'!$H:$H,'ELC TECH'!$E:$E)="Storage",CR$4*$BF118,"")</f>
        <v/>
      </c>
      <c r="CS118" s="8" t="str">
        <f>IF(_xlfn.XLOOKUP($B118,'ELC TECH'!$H:$H,'ELC TECH'!$E:$E)="Storage",CS$4*$BF118,"")</f>
        <v/>
      </c>
      <c r="CT118" s="8" t="str">
        <f>IF(_xlfn.XLOOKUP($B118,'ELC TECH'!$H:$H,'ELC TECH'!$E:$E)="Storage",CT$4*$BF118,"")</f>
        <v/>
      </c>
      <c r="CU118" s="8" t="str">
        <f>IF(_xlfn.XLOOKUP($B118,'ELC TECH'!$H:$H,'ELC TECH'!$E:$E)="Storage",CU$4*$BF118,"")</f>
        <v/>
      </c>
      <c r="CV118" s="8" t="str">
        <f>IF(_xlfn.XLOOKUP($B118,'ELC TECH'!$H:$H,'ELC TECH'!$E:$E)="Storage",CV$4*$BF118,"")</f>
        <v/>
      </c>
      <c r="CW118" s="8" t="str">
        <f>IF(_xlfn.XLOOKUP($B118,'ELC TECH'!$H:$H,'ELC TECH'!$E:$E)="Storage",CW$4*$BF118,"")</f>
        <v/>
      </c>
      <c r="CX118" s="8" t="str">
        <f>IF(_xlfn.XLOOKUP($B118,'ELC TECH'!$H:$H,'ELC TECH'!$E:$E)="Storage",CX$4*$BF118,"")</f>
        <v/>
      </c>
      <c r="CY118" s="8" t="str">
        <f>IF(_xlfn.XLOOKUP($B118,'ELC TECH'!$H:$H,'ELC TECH'!$E:$E)="Storage",CY$4*$BF118,"")</f>
        <v/>
      </c>
      <c r="CZ118" s="8" t="str">
        <f>IF(_xlfn.XLOOKUP($B118,'ELC TECH'!$H:$H,'ELC TECH'!$E:$E)="Storage",CZ$4*$BF118,"")</f>
        <v/>
      </c>
      <c r="DA118" s="8" t="str">
        <f>IF(_xlfn.XLOOKUP($B118,'ELC TECH'!$H:$H,'ELC TECH'!$E:$E)="Storage",DA$4*$BF118,"")</f>
        <v/>
      </c>
      <c r="DB118" s="8" t="str">
        <f>IF(_xlfn.XLOOKUP($B118,'ELC TECH'!$H:$H,'ELC TECH'!$E:$E)="Storage",DB$4*$BF118,"")</f>
        <v/>
      </c>
      <c r="DC118" s="8" t="str">
        <f>IF(_xlfn.XLOOKUP($B118,'ELC TECH'!$H:$H,'ELC TECH'!$E:$E)="Storage",DC$4*$BF118,"")</f>
        <v/>
      </c>
      <c r="DD118" s="8" t="str">
        <f>IF(_xlfn.XLOOKUP($B118,'ELC TECH'!$H:$H,'ELC TECH'!$E:$E)="Storage",DD$4*$BF118,"")</f>
        <v/>
      </c>
      <c r="DE118" s="8" t="str">
        <f>IF(_xlfn.XLOOKUP($B118,'ELC TECH'!$H:$H,'ELC TECH'!$E:$E)="Storage",DE$4*$BF118,"")</f>
        <v/>
      </c>
      <c r="DF118" s="8" t="str">
        <f>IF(_xlfn.XLOOKUP($B118,'ELC TECH'!$H:$H,'ELC TECH'!$E:$E)="Storage",DF$4*$BF118,"")</f>
        <v/>
      </c>
      <c r="DG118" s="8" t="str">
        <f>IF(_xlfn.XLOOKUP($B118,'ELC TECH'!$H:$H,'ELC TECH'!$E:$E)="Storage",DG$4*$BF118,"")</f>
        <v/>
      </c>
      <c r="DH118" s="8" t="str">
        <f>IF(_xlfn.XLOOKUP($B118,'ELC TECH'!$H:$H,'ELC TECH'!$E:$E)="Storage",DH$4*$BF118,"")</f>
        <v/>
      </c>
      <c r="DI118" s="8" t="str">
        <f>IF(_xlfn.XLOOKUP($B118,'ELC TECH'!$H:$H,'ELC TECH'!$E:$E)="Storage",DI$4*$BF118,"")</f>
        <v/>
      </c>
    </row>
    <row r="119" spans="2:113" x14ac:dyDescent="0.25">
      <c r="B119" t="str">
        <f>IF('ELC TECH'!I112=0,"*",'ELC TECH'!H112)</f>
        <v>ELCURNGRDNUCPP20</v>
      </c>
      <c r="C119" t="str">
        <f>IF(_xlfn.XLOOKUP(_xlfn.XLOOKUP(B119,'ELC TECH'!$H:$H,'ELC TECH'!$G:$G),List!C:C,List!B:B)="STG",D119,"ELC"&amp;_xlfn.XLOOKUP(_xlfn.XLOOKUP(B119,'ELC TECH'!H:H,'ELC TECH'!G:G),List!C:C,List!B:B))</f>
        <v>ELCURN</v>
      </c>
      <c r="D119" t="s">
        <v>544</v>
      </c>
      <c r="E119">
        <f>_xlfn.XLOOKUP(B119,'ELC TECH'!H:H,'ELC TECH'!D:D)</f>
        <v>2020</v>
      </c>
      <c r="F119">
        <f>_xlfn.XLOOKUP(B119,'ELC TECH'!H:H,'ELC TECH'!K:K)</f>
        <v>60</v>
      </c>
      <c r="G119">
        <f t="shared" si="7"/>
        <v>31.535999999999998</v>
      </c>
      <c r="H119">
        <f>IF(_xlfn.XLOOKUP(B119,'ELC TECH'!$H:$H,'ELC TECH'!$E:$E)="Storage",0.3,IF(_xlfn.XLOOKUP(B119,'ELC TECH'!$H:$H,'ELC TECH'!$E:$E)="Baseload",0.9,IF(_xlfn.XLOOKUP(B119,'ELC TECH'!$H:$H,'ELC TECH'!$E:$E)="Non Dispatchable",0.05,IF(_xlfn.XLOOKUP(B119,'ELC TECH'!$H:$H,'ELC TECH'!$E:$E)="Dispatchable",0.9,1))))</f>
        <v>0.9</v>
      </c>
      <c r="I119" s="13" t="str">
        <f>IF(_xlfn.XLOOKUP(B119,'ELC TECH'!H:H,'ELC TECH'!J:J)="","",_xlfn.XLOOKUP(B119,'ELC TECH'!H:H,'ELC TECH'!J:J))</f>
        <v/>
      </c>
      <c r="J119" s="12">
        <f>IF(_xlfn.XLOOKUP($B119,'ELC TECH'!$H:$H,'ELC TECH'!$E:$E)="Storage","",IF(_xlfn.XLOOKUP($B119,'ELC TECH'!$H:$H,'ELC TECH'!AK:AK)="",1,_xlfn.XLOOKUP($B119,'ELC TECH'!$H:$H,'ELC TECH'!AK:AK)))</f>
        <v>0.32661449618084121</v>
      </c>
      <c r="K119" s="12">
        <f>IF(_xlfn.XLOOKUP($B119,'ELC TECH'!$H:$H,'ELC TECH'!$E:$E)="Storage","",IF(_xlfn.XLOOKUP($B119,'ELC TECH'!$H:$H,'ELC TECH'!AL:AL)="",1,_xlfn.XLOOKUP($B119,'ELC TECH'!$H:$H,'ELC TECH'!AL:AL)))</f>
        <v>0.32661449618084121</v>
      </c>
      <c r="L119" s="12">
        <f>IF(_xlfn.XLOOKUP($B119,'ELC TECH'!$H:$H,'ELC TECH'!$E:$E)="Storage","",IF(_xlfn.XLOOKUP($B119,'ELC TECH'!$H:$H,'ELC TECH'!AM:AM)="",1,_xlfn.XLOOKUP($B119,'ELC TECH'!$H:$H,'ELC TECH'!AM:AM)))</f>
        <v>0.32661449618084121</v>
      </c>
      <c r="M119" s="12">
        <f>IF(_xlfn.XLOOKUP($B119,'ELC TECH'!$H:$H,'ELC TECH'!$E:$E)="Storage","",IF(_xlfn.XLOOKUP($B119,'ELC TECH'!$H:$H,'ELC TECH'!AN:AN)="",1,_xlfn.XLOOKUP($B119,'ELC TECH'!$H:$H,'ELC TECH'!AN:AN)))</f>
        <v>0.32661449618084121</v>
      </c>
      <c r="N119" s="12">
        <f>IF(_xlfn.XLOOKUP($B119,'ELC TECH'!$H:$H,'ELC TECH'!$E:$E)="Storage","",IF(_xlfn.XLOOKUP($B119,'ELC TECH'!$H:$H,'ELC TECH'!AO:AO)="",1,_xlfn.XLOOKUP($B119,'ELC TECH'!$H:$H,'ELC TECH'!AO:AO)))</f>
        <v>0.32661449618084121</v>
      </c>
      <c r="O119" s="12">
        <f>IF(_xlfn.XLOOKUP($B119,'ELC TECH'!$H:$H,'ELC TECH'!$E:$E)="Storage","",IF(_xlfn.XLOOKUP($B119,'ELC TECH'!$H:$H,'ELC TECH'!AP:AP)="",1,_xlfn.XLOOKUP($B119,'ELC TECH'!$H:$H,'ELC TECH'!AP:AP)))</f>
        <v>0.32661449618084121</v>
      </c>
      <c r="P119" s="12">
        <f>IF(_xlfn.XLOOKUP($B119,'ELC TECH'!$H:$H,'ELC TECH'!$E:$E)="Storage","",IF(_xlfn.XLOOKUP($B119,'ELC TECH'!$H:$H,'ELC TECH'!AQ:AQ)="",1,_xlfn.XLOOKUP($B119,'ELC TECH'!$H:$H,'ELC TECH'!AQ:AQ)))</f>
        <v>0.32661449618084121</v>
      </c>
      <c r="Q119" s="12">
        <f>IF(_xlfn.XLOOKUP($B119,'ELC TECH'!$H:$H,'ELC TECH'!$E:$E)="Storage","",IF(_xlfn.XLOOKUP($B119,'ELC TECH'!$H:$H,'ELC TECH'!AR:AR)="",1,_xlfn.XLOOKUP($B119,'ELC TECH'!$H:$H,'ELC TECH'!AR:AR)))</f>
        <v>0.32661449618084121</v>
      </c>
      <c r="R119" s="12" t="str">
        <f>IF(_xlfn.XLOOKUP($B119,'ELC TECH'!$H:$H,'ELC TECH'!$E:$E)&lt;&gt;"Storage","",IF(_xlfn.XLOOKUP($B119,'ELC TECH'!$H:$H,'ELC TECH'!AK:AK)="",0.8,_xlfn.XLOOKUP($B119,'ELC TECH'!$H:$H,'ELC TECH'!AK:AK)))</f>
        <v/>
      </c>
      <c r="S119" s="12" t="str">
        <f>IF(_xlfn.XLOOKUP($B119,'ELC TECH'!$H:$H,'ELC TECH'!$E:$E)&lt;&gt;"Storage","",IF(_xlfn.XLOOKUP($B119,'ELC TECH'!$H:$H,'ELC TECH'!AL:AL)="",0.8,_xlfn.XLOOKUP($B119,'ELC TECH'!$H:$H,'ELC TECH'!AL:AL)))</f>
        <v/>
      </c>
      <c r="T119" s="12" t="str">
        <f>IF(_xlfn.XLOOKUP($B119,'ELC TECH'!$H:$H,'ELC TECH'!$E:$E)&lt;&gt;"Storage","",IF(_xlfn.XLOOKUP($B119,'ELC TECH'!$H:$H,'ELC TECH'!AM:AM)="",0.8,_xlfn.XLOOKUP($B119,'ELC TECH'!$H:$H,'ELC TECH'!AM:AM)))</f>
        <v/>
      </c>
      <c r="U119" s="12" t="str">
        <f>IF(_xlfn.XLOOKUP($B119,'ELC TECH'!$H:$H,'ELC TECH'!$E:$E)&lt;&gt;"Storage","",IF(_xlfn.XLOOKUP($B119,'ELC TECH'!$H:$H,'ELC TECH'!AN:AN)="",0.8,_xlfn.XLOOKUP($B119,'ELC TECH'!$H:$H,'ELC TECH'!AN:AN)))</f>
        <v/>
      </c>
      <c r="V119" s="12" t="str">
        <f>IF(_xlfn.XLOOKUP($B119,'ELC TECH'!$H:$H,'ELC TECH'!$E:$E)&lt;&gt;"Storage","",IF(_xlfn.XLOOKUP($B119,'ELC TECH'!$H:$H,'ELC TECH'!AO:AO)="",0.8,_xlfn.XLOOKUP($B119,'ELC TECH'!$H:$H,'ELC TECH'!AO:AO)))</f>
        <v/>
      </c>
      <c r="W119" s="12" t="str">
        <f>IF(_xlfn.XLOOKUP($B119,'ELC TECH'!$H:$H,'ELC TECH'!$E:$E)&lt;&gt;"Storage","",IF(_xlfn.XLOOKUP($B119,'ELC TECH'!$H:$H,'ELC TECH'!AP:AP)="",0.8,_xlfn.XLOOKUP($B119,'ELC TECH'!$H:$H,'ELC TECH'!AP:AP)))</f>
        <v/>
      </c>
      <c r="X119" s="12" t="str">
        <f>IF(_xlfn.XLOOKUP($B119,'ELC TECH'!$H:$H,'ELC TECH'!$E:$E)&lt;&gt;"Storage","",IF(_xlfn.XLOOKUP($B119,'ELC TECH'!$H:$H,'ELC TECH'!AQ:AQ)="",0.8,_xlfn.XLOOKUP($B119,'ELC TECH'!$H:$H,'ELC TECH'!AQ:AQ)))</f>
        <v/>
      </c>
      <c r="Y119" s="12" t="str">
        <f>IF(_xlfn.XLOOKUP($B119,'ELC TECH'!$H:$H,'ELC TECH'!$E:$E)&lt;&gt;"Storage","",IF(_xlfn.XLOOKUP($B119,'ELC TECH'!$H:$H,'ELC TECH'!AR:AR)="",0.8,_xlfn.XLOOKUP($B119,'ELC TECH'!$H:$H,'ELC TECH'!AR:AR)))</f>
        <v/>
      </c>
      <c r="Z119" s="15">
        <f>_xlfn.XLOOKUP($B119,'ELC TECH'!$H:$H,'ELC TECH'!M:M)</f>
        <v>8444.1992650031334</v>
      </c>
      <c r="AA119" s="15">
        <f>_xlfn.XLOOKUP($B119,'ELC TECH'!$H:$H,'ELC TECH'!N:N)</f>
        <v>7250.832397359708</v>
      </c>
      <c r="AB119" s="15">
        <f>_xlfn.XLOOKUP($B119,'ELC TECH'!$H:$H,'ELC TECH'!O:O)</f>
        <v>6914.1113115917906</v>
      </c>
      <c r="AC119" s="15">
        <f>_xlfn.XLOOKUP($B119,'ELC TECH'!$H:$H,'ELC TECH'!P:P)</f>
        <v>6684.4877455526803</v>
      </c>
      <c r="AD119" s="15">
        <f>_xlfn.XLOOKUP($B119,'ELC TECH'!$H:$H,'ELC TECH'!Q:Q)</f>
        <v>6448.5118235884092</v>
      </c>
      <c r="AE119" s="15">
        <f>_xlfn.XLOOKUP($B119,'ELC TECH'!$H:$H,'ELC TECH'!R:R)</f>
        <v>6226.991405897541</v>
      </c>
      <c r="AF119" s="15">
        <f>_xlfn.XLOOKUP($B119,'ELC TECH'!$H:$H,'ELC TECH'!S:S)</f>
        <v>5964.6351733857236</v>
      </c>
      <c r="AG119" s="15">
        <f>_xlfn.XLOOKUP($B119,'ELC TECH'!$H:$H,'ELC TECH'!T:T)</f>
        <v>5964.6351733857236</v>
      </c>
      <c r="AH119" s="15">
        <f>_xlfn.XLOOKUP($B119,'ELC TECH'!$H:$H,'ELC TECH'!U:U)</f>
        <v>172.01215270850639</v>
      </c>
      <c r="AI119" s="15">
        <f>_xlfn.XLOOKUP($B119,'ELC TECH'!$H:$H,'ELC TECH'!V:V)</f>
        <v>172.01215270850639</v>
      </c>
      <c r="AJ119" s="15">
        <f>_xlfn.XLOOKUP($B119,'ELC TECH'!$H:$H,'ELC TECH'!W:W)</f>
        <v>172.01215270850639</v>
      </c>
      <c r="AK119" s="15">
        <f>_xlfn.XLOOKUP($B119,'ELC TECH'!$H:$H,'ELC TECH'!X:X)</f>
        <v>172.01215270850639</v>
      </c>
      <c r="AL119" s="15">
        <f>_xlfn.XLOOKUP($B119,'ELC TECH'!$H:$H,'ELC TECH'!Y:Y)</f>
        <v>172.01215270850639</v>
      </c>
      <c r="AM119" s="15">
        <f>_xlfn.XLOOKUP($B119,'ELC TECH'!$H:$H,'ELC TECH'!Z:Z)</f>
        <v>172.01215270850639</v>
      </c>
      <c r="AN119" s="15">
        <f>_xlfn.XLOOKUP($B119,'ELC TECH'!$H:$H,'ELC TECH'!AA:AA)</f>
        <v>172.01215270850639</v>
      </c>
      <c r="AO119" s="15">
        <f>_xlfn.XLOOKUP($B119,'ELC TECH'!$H:$H,'ELC TECH'!AB:AB)</f>
        <v>172.01215270850639</v>
      </c>
      <c r="AP119" s="15">
        <f>_xlfn.XLOOKUP($B119,'ELC TECH'!$H:$H,'ELC TECH'!AC:AC)</f>
        <v>0.7758312465122762</v>
      </c>
      <c r="AQ119" s="15">
        <f>_xlfn.XLOOKUP($B119,'ELC TECH'!$H:$H,'ELC TECH'!AD:AD)</f>
        <v>0.7758312465122762</v>
      </c>
      <c r="AR119" s="15">
        <f>_xlfn.XLOOKUP($B119,'ELC TECH'!$H:$H,'ELC TECH'!AE:AE)</f>
        <v>0.7758312465122762</v>
      </c>
      <c r="AS119" s="15">
        <f>_xlfn.XLOOKUP($B119,'ELC TECH'!$H:$H,'ELC TECH'!AF:AF)</f>
        <v>0.7758312465122762</v>
      </c>
      <c r="AT119" s="15">
        <f>_xlfn.XLOOKUP($B119,'ELC TECH'!$H:$H,'ELC TECH'!AG:AG)</f>
        <v>0.7758312465122762</v>
      </c>
      <c r="AU119" s="15">
        <f>_xlfn.XLOOKUP($B119,'ELC TECH'!$H:$H,'ELC TECH'!AH:AH)</f>
        <v>0.7758312465122762</v>
      </c>
      <c r="AV119" s="15">
        <f>_xlfn.XLOOKUP($B119,'ELC TECH'!$H:$H,'ELC TECH'!AI:AI)</f>
        <v>0.7758312465122762</v>
      </c>
      <c r="AW119" s="15">
        <f>_xlfn.XLOOKUP($B119,'ELC TECH'!$H:$H,'ELC TECH'!AJ:AJ)</f>
        <v>0.7758312465122762</v>
      </c>
      <c r="AX119" s="12">
        <f>IF(_xlfn.XLOOKUP($B119,'ELC TECH'!$H:$H,'ELC TECH'!$E:$E)="Storage","",_xlfn.XLOOKUP($B119,'ELC TECH'!$H:$H,'ELC TECH'!AS:AS))</f>
        <v>0.92699999999999994</v>
      </c>
      <c r="AY119" s="12">
        <f>IF(_xlfn.XLOOKUP($B119,'ELC TECH'!$H:$H,'ELC TECH'!$E:$E)="Storage","",_xlfn.XLOOKUP($B119,'ELC TECH'!$H:$H,'ELC TECH'!AT:AT))</f>
        <v>0.92699999999999994</v>
      </c>
      <c r="AZ119" s="12">
        <f>IF(_xlfn.XLOOKUP($B119,'ELC TECH'!$H:$H,'ELC TECH'!$E:$E)="Storage","",_xlfn.XLOOKUP($B119,'ELC TECH'!$H:$H,'ELC TECH'!AU:AU))</f>
        <v>0.92699999999999994</v>
      </c>
      <c r="BA119" s="12">
        <f>IF(_xlfn.XLOOKUP($B119,'ELC TECH'!$H:$H,'ELC TECH'!$E:$E)="Storage","",_xlfn.XLOOKUP($B119,'ELC TECH'!$H:$H,'ELC TECH'!AV:AV))</f>
        <v>0.92699999999999994</v>
      </c>
      <c r="BB119" s="12">
        <f>IF(_xlfn.XLOOKUP($B119,'ELC TECH'!$H:$H,'ELC TECH'!$E:$E)="Storage","",_xlfn.XLOOKUP($B119,'ELC TECH'!$H:$H,'ELC TECH'!AW:AW))</f>
        <v>0.92699999999999994</v>
      </c>
      <c r="BC119" s="12">
        <f>IF(_xlfn.XLOOKUP($B119,'ELC TECH'!$H:$H,'ELC TECH'!$E:$E)="Storage","",_xlfn.XLOOKUP($B119,'ELC TECH'!$H:$H,'ELC TECH'!AX:AX))</f>
        <v>0.92699999999999994</v>
      </c>
      <c r="BD119" s="12">
        <f>IF(_xlfn.XLOOKUP($B119,'ELC TECH'!$H:$H,'ELC TECH'!$E:$E)="Storage","",_xlfn.XLOOKUP($B119,'ELC TECH'!$H:$H,'ELC TECH'!AY:AY))</f>
        <v>0.92699999999999994</v>
      </c>
      <c r="BE119" s="12">
        <f>IF(_xlfn.XLOOKUP($B119,'ELC TECH'!$H:$H,'ELC TECH'!$E:$E)="Storage","",_xlfn.XLOOKUP($B119,'ELC TECH'!$H:$H,'ELC TECH'!AZ:AZ))</f>
        <v>0.92699999999999994</v>
      </c>
      <c r="BF119" s="12" t="str">
        <f>IF(_xlfn.XLOOKUP($B119,'ELC TECH'!$H:$H,'ELC TECH'!$E:$E)="Storage",_xlfn.XLOOKUP($B119,'ELC TECH'!$H:$H,'ELC TECH'!AS:AS),"")</f>
        <v/>
      </c>
      <c r="BG119" s="12" t="str">
        <f>IF(_xlfn.XLOOKUP($B119,'ELC TECH'!$H:$H,'ELC TECH'!$E:$E)="Storage",_xlfn.XLOOKUP($B119,'ELC TECH'!$H:$H,'ELC TECH'!AT:AT),"")</f>
        <v/>
      </c>
      <c r="BH119" s="12" t="str">
        <f>IF(_xlfn.XLOOKUP($B119,'ELC TECH'!$H:$H,'ELC TECH'!$E:$E)="Storage",_xlfn.XLOOKUP($B119,'ELC TECH'!$H:$H,'ELC TECH'!AU:AU),"")</f>
        <v/>
      </c>
      <c r="BI119" s="12" t="str">
        <f>IF(_xlfn.XLOOKUP($B119,'ELC TECH'!$H:$H,'ELC TECH'!$E:$E)="Storage",_xlfn.XLOOKUP($B119,'ELC TECH'!$H:$H,'ELC TECH'!AV:AV),"")</f>
        <v/>
      </c>
      <c r="BJ119" s="12" t="str">
        <f>IF(_xlfn.XLOOKUP($B119,'ELC TECH'!$H:$H,'ELC TECH'!$E:$E)="Storage",_xlfn.XLOOKUP($B119,'ELC TECH'!$H:$H,'ELC TECH'!AW:AW),"")</f>
        <v/>
      </c>
      <c r="BK119" s="12" t="str">
        <f>IF(_xlfn.XLOOKUP($B119,'ELC TECH'!$H:$H,'ELC TECH'!$E:$E)="Storage",_xlfn.XLOOKUP($B119,'ELC TECH'!$H:$H,'ELC TECH'!AX:AX),"")</f>
        <v/>
      </c>
      <c r="BL119" s="12" t="str">
        <f>IF(_xlfn.XLOOKUP($B119,'ELC TECH'!$H:$H,'ELC TECH'!$E:$E)="Storage",_xlfn.XLOOKUP($B119,'ELC TECH'!$H:$H,'ELC TECH'!AY:AY),"")</f>
        <v/>
      </c>
      <c r="BM119" s="12" t="str">
        <f>IF(_xlfn.XLOOKUP($B119,'ELC TECH'!$H:$H,'ELC TECH'!$E:$E)="Storage",_xlfn.XLOOKUP($B119,'ELC TECH'!$H:$H,'ELC TECH'!AZ:AZ),"")</f>
        <v/>
      </c>
      <c r="BN119" s="8" t="str">
        <f>IF(_xlfn.XLOOKUP($B119,'ELC TECH'!$H:$H,'ELC TECH'!$E:$E)="Non Dispatchable",IFERROR($AX119*_xlfn.XLOOKUP($C119,$BM$1:$BM$3,BN$1:BN$3)/SUMPRODUCT(_xlfn.XLOOKUP($C119,$BM$1:$BM$3,$BN$1:$BY$3),$BN$4:$BY$4),""),
"")</f>
        <v/>
      </c>
      <c r="BO119" s="8" t="str">
        <f>IF(_xlfn.XLOOKUP($B119,'ELC TECH'!$H:$H,'ELC TECH'!$E:$E)="Non Dispatchable",IFERROR($AX119*_xlfn.XLOOKUP($C119,$BM$1:$BM$3,BO$1:BO$3)/SUMPRODUCT(_xlfn.XLOOKUP($C119,$BM$1:$BM$3,$BN$1:$BY$3),$BN$4:$BY$4),""),
"")</f>
        <v/>
      </c>
      <c r="BP119" s="8" t="str">
        <f>IF(_xlfn.XLOOKUP($B119,'ELC TECH'!$H:$H,'ELC TECH'!$E:$E)="Non Dispatchable",IFERROR($AX119*_xlfn.XLOOKUP($C119,$BM$1:$BM$3,BP$1:BP$3)/SUMPRODUCT(_xlfn.XLOOKUP($C119,$BM$1:$BM$3,$BN$1:$BY$3),$BN$4:$BY$4),""),
"")</f>
        <v/>
      </c>
      <c r="BQ119" s="8" t="str">
        <f>IF(_xlfn.XLOOKUP($B119,'ELC TECH'!$H:$H,'ELC TECH'!$E:$E)="Non Dispatchable",IFERROR($AX119*_xlfn.XLOOKUP($C119,$BM$1:$BM$3,BQ$1:BQ$3)/SUMPRODUCT(_xlfn.XLOOKUP($C119,$BM$1:$BM$3,$BN$1:$BY$3),$BN$4:$BY$4),""),
"")</f>
        <v/>
      </c>
      <c r="BR119" s="8" t="str">
        <f>IF(_xlfn.XLOOKUP($B119,'ELC TECH'!$H:$H,'ELC TECH'!$E:$E)="Non Dispatchable",IFERROR($AX119*_xlfn.XLOOKUP($C119,$BM$1:$BM$3,BR$1:BR$3)/SUMPRODUCT(_xlfn.XLOOKUP($C119,$BM$1:$BM$3,$BN$1:$BY$3),$BN$4:$BY$4),""),
"")</f>
        <v/>
      </c>
      <c r="BS119" s="8" t="str">
        <f>IF(_xlfn.XLOOKUP($B119,'ELC TECH'!$H:$H,'ELC TECH'!$E:$E)="Non Dispatchable",IFERROR($AX119*_xlfn.XLOOKUP($C119,$BM$1:$BM$3,BS$1:BS$3)/SUMPRODUCT(_xlfn.XLOOKUP($C119,$BM$1:$BM$3,$BN$1:$BY$3),$BN$4:$BY$4),""),
"")</f>
        <v/>
      </c>
      <c r="BT119" s="8" t="str">
        <f>IF(_xlfn.XLOOKUP($B119,'ELC TECH'!$H:$H,'ELC TECH'!$E:$E)="Non Dispatchable",IFERROR($AX119*_xlfn.XLOOKUP($C119,$BM$1:$BM$3,BT$1:BT$3)/SUMPRODUCT(_xlfn.XLOOKUP($C119,$BM$1:$BM$3,$BN$1:$BY$3),$BN$4:$BY$4),""),
"")</f>
        <v/>
      </c>
      <c r="BU119" s="8" t="str">
        <f>IF(_xlfn.XLOOKUP($B119,'ELC TECH'!$H:$H,'ELC TECH'!$E:$E)="Non Dispatchable",IFERROR($AX119*_xlfn.XLOOKUP($C119,$BM$1:$BM$3,BU$1:BU$3)/SUMPRODUCT(_xlfn.XLOOKUP($C119,$BM$1:$BM$3,$BN$1:$BY$3),$BN$4:$BY$4),""),
"")</f>
        <v/>
      </c>
      <c r="BV119" s="8" t="str">
        <f>IF(_xlfn.XLOOKUP($B119,'ELC TECH'!$H:$H,'ELC TECH'!$E:$E)="Non Dispatchable",IFERROR($AX119*_xlfn.XLOOKUP($C119,$BM$1:$BM$3,BV$1:BV$3)/SUMPRODUCT(_xlfn.XLOOKUP($C119,$BM$1:$BM$3,$BN$1:$BY$3),$BN$4:$BY$4),""),
"")</f>
        <v/>
      </c>
      <c r="BW119" s="8" t="str">
        <f>IF(_xlfn.XLOOKUP($B119,'ELC TECH'!$H:$H,'ELC TECH'!$E:$E)="Non Dispatchable",IFERROR($AX119*_xlfn.XLOOKUP($C119,$BM$1:$BM$3,BW$1:BW$3)/SUMPRODUCT(_xlfn.XLOOKUP($C119,$BM$1:$BM$3,$BN$1:$BY$3),$BN$4:$BY$4),""),
"")</f>
        <v/>
      </c>
      <c r="BX119" s="8" t="str">
        <f>IF(_xlfn.XLOOKUP($B119,'ELC TECH'!$H:$H,'ELC TECH'!$E:$E)="Non Dispatchable",IFERROR($AX119*_xlfn.XLOOKUP($C119,$BM$1:$BM$3,BX$1:BX$3)/SUMPRODUCT(_xlfn.XLOOKUP($C119,$BM$1:$BM$3,$BN$1:$BY$3),$BN$4:$BY$4),""),
"")</f>
        <v/>
      </c>
      <c r="BY119" s="8" t="str">
        <f>IF(_xlfn.XLOOKUP($B119,'ELC TECH'!$H:$H,'ELC TECH'!$E:$E)="Non Dispatchable",IFERROR($AX119*_xlfn.XLOOKUP($C119,$BM$1:$BM$3,BY$1:BY$3)/SUMPRODUCT(_xlfn.XLOOKUP($C119,$BM$1:$BM$3,$BN$1:$BY$3),$BN$4:$BY$4),""),
"")</f>
        <v/>
      </c>
      <c r="BZ119" s="8" t="str">
        <f>IF(_xlfn.XLOOKUP($B119,'ELC TECH'!$H:$H,'ELC TECH'!$E:$E)="Non Dispatchable",IFERROR($AX119*_xlfn.XLOOKUP($C119,$BM$1:$BM$3,BZ$1:BZ$3)/SUMPRODUCT(_xlfn.XLOOKUP($C119,$BM$1:$BM$3,$BN$1:$BY$3),$BN$4:$BY$4),""),
"")</f>
        <v/>
      </c>
      <c r="CA119" s="8" t="str">
        <f>IF(_xlfn.XLOOKUP($B119,'ELC TECH'!$H:$H,'ELC TECH'!$E:$E)="Non Dispatchable",IFERROR($AX119*_xlfn.XLOOKUP($C119,$BM$1:$BM$3,CA$1:CA$3)/SUMPRODUCT(_xlfn.XLOOKUP($C119,$BM$1:$BM$3,$BN$1:$BY$3),$BN$4:$BY$4),""),
"")</f>
        <v/>
      </c>
      <c r="CB119" s="8" t="str">
        <f>IF(_xlfn.XLOOKUP($B119,'ELC TECH'!$H:$H,'ELC TECH'!$E:$E)="Non Dispatchable",IFERROR($AX119*_xlfn.XLOOKUP($C119,$BM$1:$BM$3,CB$1:CB$3)/SUMPRODUCT(_xlfn.XLOOKUP($C119,$BM$1:$BM$3,$BN$1:$BY$3),$BN$4:$BY$4),""),
"")</f>
        <v/>
      </c>
      <c r="CC119" s="8" t="str">
        <f>IF(_xlfn.XLOOKUP($B119,'ELC TECH'!$H:$H,'ELC TECH'!$E:$E)="Non Dispatchable",IFERROR($AX119*_xlfn.XLOOKUP($C119,$BM$1:$BM$3,CC$1:CC$3)/SUMPRODUCT(_xlfn.XLOOKUP($C119,$BM$1:$BM$3,$BN$1:$BY$3),$BN$4:$BY$4),""),
"")</f>
        <v/>
      </c>
      <c r="CD119" s="8" t="str">
        <f>IF(_xlfn.XLOOKUP($B119,'ELC TECH'!$H:$H,'ELC TECH'!$E:$E)="Non Dispatchable",IFERROR($AX119*_xlfn.XLOOKUP($C119,$BM$1:$BM$3,CD$1:CD$3)/SUMPRODUCT(_xlfn.XLOOKUP($C119,$BM$1:$BM$3,$BN$1:$BY$3),$BN$4:$BY$4),""),
"")</f>
        <v/>
      </c>
      <c r="CE119" s="8" t="str">
        <f>IF(_xlfn.XLOOKUP($B119,'ELC TECH'!$H:$H,'ELC TECH'!$E:$E)="Non Dispatchable",IFERROR($AX119*_xlfn.XLOOKUP($C119,$BM$1:$BM$3,CE$1:CE$3)/SUMPRODUCT(_xlfn.XLOOKUP($C119,$BM$1:$BM$3,$BN$1:$BY$3),$BN$4:$BY$4),""),
"")</f>
        <v/>
      </c>
      <c r="CF119" s="8" t="str">
        <f>IF(_xlfn.XLOOKUP($B119,'ELC TECH'!$H:$H,'ELC TECH'!$E:$E)="Non Dispatchable",IFERROR($AX119*_xlfn.XLOOKUP($C119,$BM$1:$BM$3,CF$1:CF$3)/SUMPRODUCT(_xlfn.XLOOKUP($C119,$BM$1:$BM$3,$BN$1:$BY$3),$BN$4:$BY$4),""),
"")</f>
        <v/>
      </c>
      <c r="CG119" s="8" t="str">
        <f>IF(_xlfn.XLOOKUP($B119,'ELC TECH'!$H:$H,'ELC TECH'!$E:$E)="Non Dispatchable",IFERROR($AX119*_xlfn.XLOOKUP($C119,$BM$1:$BM$3,CG$1:CG$3)/SUMPRODUCT(_xlfn.XLOOKUP($C119,$BM$1:$BM$3,$BN$1:$BY$3),$BN$4:$BY$4),""),
"")</f>
        <v/>
      </c>
      <c r="CH119" s="8" t="str">
        <f>IF(_xlfn.XLOOKUP($B119,'ELC TECH'!$H:$H,'ELC TECH'!$E:$E)="Non Dispatchable",IFERROR($AX119*_xlfn.XLOOKUP($C119,$BM$1:$BM$3,CH$1:CH$3)/SUMPRODUCT(_xlfn.XLOOKUP($C119,$BM$1:$BM$3,$BN$1:$BY$3),$BN$4:$BY$4),""),
"")</f>
        <v/>
      </c>
      <c r="CI119" s="8" t="str">
        <f>IF(_xlfn.XLOOKUP($B119,'ELC TECH'!$H:$H,'ELC TECH'!$E:$E)="Non Dispatchable",IFERROR($AX119*_xlfn.XLOOKUP($C119,$BM$1:$BM$3,CI$1:CI$3)/SUMPRODUCT(_xlfn.XLOOKUP($C119,$BM$1:$BM$3,$BN$1:$BY$3),$BN$4:$BY$4),""),
"")</f>
        <v/>
      </c>
      <c r="CJ119" s="8" t="str">
        <f>IF(_xlfn.XLOOKUP($B119,'ELC TECH'!$H:$H,'ELC TECH'!$E:$E)="Non Dispatchable",IFERROR($AX119*_xlfn.XLOOKUP($C119,$BM$1:$BM$3,CJ$1:CJ$3)/SUMPRODUCT(_xlfn.XLOOKUP($C119,$BM$1:$BM$3,$BN$1:$BY$3),$BN$4:$BY$4),""),
"")</f>
        <v/>
      </c>
      <c r="CK119" s="8" t="str">
        <f>IF(_xlfn.XLOOKUP($B119,'ELC TECH'!$H:$H,'ELC TECH'!$E:$E)="Non Dispatchable",IFERROR($AX119*_xlfn.XLOOKUP($C119,$BM$1:$BM$3,CK$1:CK$3)/SUMPRODUCT(_xlfn.XLOOKUP($C119,$BM$1:$BM$3,$BN$1:$BY$3),$BN$4:$BY$4),""),
"")</f>
        <v/>
      </c>
      <c r="CL119" s="8" t="str">
        <f>IF(_xlfn.XLOOKUP($B119,'ELC TECH'!$H:$H,'ELC TECH'!$E:$E)="Storage",CL$4*$BF119,"")</f>
        <v/>
      </c>
      <c r="CM119" s="8" t="str">
        <f>IF(_xlfn.XLOOKUP($B119,'ELC TECH'!$H:$H,'ELC TECH'!$E:$E)="Storage",CM$4*$BF119,"")</f>
        <v/>
      </c>
      <c r="CN119" s="8" t="str">
        <f>IF(_xlfn.XLOOKUP($B119,'ELC TECH'!$H:$H,'ELC TECH'!$E:$E)="Storage",CN$4*$BF119,"")</f>
        <v/>
      </c>
      <c r="CO119" s="8" t="str">
        <f>IF(_xlfn.XLOOKUP($B119,'ELC TECH'!$H:$H,'ELC TECH'!$E:$E)="Storage",CO$4*$BF119,"")</f>
        <v/>
      </c>
      <c r="CP119" s="8" t="str">
        <f>IF(_xlfn.XLOOKUP($B119,'ELC TECH'!$H:$H,'ELC TECH'!$E:$E)="Storage",CP$4*$BF119,"")</f>
        <v/>
      </c>
      <c r="CQ119" s="8" t="str">
        <f>IF(_xlfn.XLOOKUP($B119,'ELC TECH'!$H:$H,'ELC TECH'!$E:$E)="Storage",CQ$4*$BF119,"")</f>
        <v/>
      </c>
      <c r="CR119" s="8" t="str">
        <f>IF(_xlfn.XLOOKUP($B119,'ELC TECH'!$H:$H,'ELC TECH'!$E:$E)="Storage",CR$4*$BF119,"")</f>
        <v/>
      </c>
      <c r="CS119" s="8" t="str">
        <f>IF(_xlfn.XLOOKUP($B119,'ELC TECH'!$H:$H,'ELC TECH'!$E:$E)="Storage",CS$4*$BF119,"")</f>
        <v/>
      </c>
      <c r="CT119" s="8" t="str">
        <f>IF(_xlfn.XLOOKUP($B119,'ELC TECH'!$H:$H,'ELC TECH'!$E:$E)="Storage",CT$4*$BF119,"")</f>
        <v/>
      </c>
      <c r="CU119" s="8" t="str">
        <f>IF(_xlfn.XLOOKUP($B119,'ELC TECH'!$H:$H,'ELC TECH'!$E:$E)="Storage",CU$4*$BF119,"")</f>
        <v/>
      </c>
      <c r="CV119" s="8" t="str">
        <f>IF(_xlfn.XLOOKUP($B119,'ELC TECH'!$H:$H,'ELC TECH'!$E:$E)="Storage",CV$4*$BF119,"")</f>
        <v/>
      </c>
      <c r="CW119" s="8" t="str">
        <f>IF(_xlfn.XLOOKUP($B119,'ELC TECH'!$H:$H,'ELC TECH'!$E:$E)="Storage",CW$4*$BF119,"")</f>
        <v/>
      </c>
      <c r="CX119" s="8" t="str">
        <f>IF(_xlfn.XLOOKUP($B119,'ELC TECH'!$H:$H,'ELC TECH'!$E:$E)="Storage",CX$4*$BF119,"")</f>
        <v/>
      </c>
      <c r="CY119" s="8" t="str">
        <f>IF(_xlfn.XLOOKUP($B119,'ELC TECH'!$H:$H,'ELC TECH'!$E:$E)="Storage",CY$4*$BF119,"")</f>
        <v/>
      </c>
      <c r="CZ119" s="8" t="str">
        <f>IF(_xlfn.XLOOKUP($B119,'ELC TECH'!$H:$H,'ELC TECH'!$E:$E)="Storage",CZ$4*$BF119,"")</f>
        <v/>
      </c>
      <c r="DA119" s="8" t="str">
        <f>IF(_xlfn.XLOOKUP($B119,'ELC TECH'!$H:$H,'ELC TECH'!$E:$E)="Storage",DA$4*$BF119,"")</f>
        <v/>
      </c>
      <c r="DB119" s="8" t="str">
        <f>IF(_xlfn.XLOOKUP($B119,'ELC TECH'!$H:$H,'ELC TECH'!$E:$E)="Storage",DB$4*$BF119,"")</f>
        <v/>
      </c>
      <c r="DC119" s="8" t="str">
        <f>IF(_xlfn.XLOOKUP($B119,'ELC TECH'!$H:$H,'ELC TECH'!$E:$E)="Storage",DC$4*$BF119,"")</f>
        <v/>
      </c>
      <c r="DD119" s="8" t="str">
        <f>IF(_xlfn.XLOOKUP($B119,'ELC TECH'!$H:$H,'ELC TECH'!$E:$E)="Storage",DD$4*$BF119,"")</f>
        <v/>
      </c>
      <c r="DE119" s="8" t="str">
        <f>IF(_xlfn.XLOOKUP($B119,'ELC TECH'!$H:$H,'ELC TECH'!$E:$E)="Storage",DE$4*$BF119,"")</f>
        <v/>
      </c>
      <c r="DF119" s="8" t="str">
        <f>IF(_xlfn.XLOOKUP($B119,'ELC TECH'!$H:$H,'ELC TECH'!$E:$E)="Storage",DF$4*$BF119,"")</f>
        <v/>
      </c>
      <c r="DG119" s="8" t="str">
        <f>IF(_xlfn.XLOOKUP($B119,'ELC TECH'!$H:$H,'ELC TECH'!$E:$E)="Storage",DG$4*$BF119,"")</f>
        <v/>
      </c>
      <c r="DH119" s="8" t="str">
        <f>IF(_xlfn.XLOOKUP($B119,'ELC TECH'!$H:$H,'ELC TECH'!$E:$E)="Storage",DH$4*$BF119,"")</f>
        <v/>
      </c>
      <c r="DI119" s="8" t="str">
        <f>IF(_xlfn.XLOOKUP($B119,'ELC TECH'!$H:$H,'ELC TECH'!$E:$E)="Storage",DI$4*$BF119,"")</f>
        <v/>
      </c>
    </row>
    <row r="120" spans="2:113" x14ac:dyDescent="0.25">
      <c r="B120" t="str">
        <f>IF('ELC TECH'!I113=0,"*",'ELC TECH'!H113)</f>
        <v>ELCURNGRDSMRPP20</v>
      </c>
      <c r="C120" t="str">
        <f>IF(_xlfn.XLOOKUP(_xlfn.XLOOKUP(B120,'ELC TECH'!$H:$H,'ELC TECH'!$G:$G),List!C:C,List!B:B)="STG",D120,"ELC"&amp;_xlfn.XLOOKUP(_xlfn.XLOOKUP(B120,'ELC TECH'!H:H,'ELC TECH'!G:G),List!C:C,List!B:B))</f>
        <v>ELCURN</v>
      </c>
      <c r="D120" t="s">
        <v>544</v>
      </c>
      <c r="E120">
        <f>_xlfn.XLOOKUP(B120,'ELC TECH'!H:H,'ELC TECH'!D:D)</f>
        <v>2020</v>
      </c>
      <c r="F120">
        <f>_xlfn.XLOOKUP(B120,'ELC TECH'!H:H,'ELC TECH'!K:K)</f>
        <v>45</v>
      </c>
      <c r="G120">
        <f t="shared" si="7"/>
        <v>31.535999999999998</v>
      </c>
      <c r="H120">
        <f>IF(_xlfn.XLOOKUP(B120,'ELC TECH'!$H:$H,'ELC TECH'!$E:$E)="Storage",0.3,IF(_xlfn.XLOOKUP(B120,'ELC TECH'!$H:$H,'ELC TECH'!$E:$E)="Baseload",0.9,IF(_xlfn.XLOOKUP(B120,'ELC TECH'!$H:$H,'ELC TECH'!$E:$E)="Non Dispatchable",0.05,IF(_xlfn.XLOOKUP(B120,'ELC TECH'!$H:$H,'ELC TECH'!$E:$E)="Dispatchable",0.9,1))))</f>
        <v>0.9</v>
      </c>
      <c r="I120" s="13" t="str">
        <f>IF(_xlfn.XLOOKUP(B120,'ELC TECH'!H:H,'ELC TECH'!J:J)="","",_xlfn.XLOOKUP(B120,'ELC TECH'!H:H,'ELC TECH'!J:J))</f>
        <v/>
      </c>
      <c r="J120" s="12">
        <f>IF(_xlfn.XLOOKUP($B120,'ELC TECH'!$H:$H,'ELC TECH'!$E:$E)="Storage","",IF(_xlfn.XLOOKUP($B120,'ELC TECH'!$H:$H,'ELC TECH'!AK:AK)="",1,_xlfn.XLOOKUP($B120,'ELC TECH'!$H:$H,'ELC TECH'!AK:AK)))</f>
        <v>0.32661449618084121</v>
      </c>
      <c r="K120" s="12">
        <f>IF(_xlfn.XLOOKUP($B120,'ELC TECH'!$H:$H,'ELC TECH'!$E:$E)="Storage","",IF(_xlfn.XLOOKUP($B120,'ELC TECH'!$H:$H,'ELC TECH'!AL:AL)="",1,_xlfn.XLOOKUP($B120,'ELC TECH'!$H:$H,'ELC TECH'!AL:AL)))</f>
        <v>0.32661449618084121</v>
      </c>
      <c r="L120" s="12">
        <f>IF(_xlfn.XLOOKUP($B120,'ELC TECH'!$H:$H,'ELC TECH'!$E:$E)="Storage","",IF(_xlfn.XLOOKUP($B120,'ELC TECH'!$H:$H,'ELC TECH'!AM:AM)="",1,_xlfn.XLOOKUP($B120,'ELC TECH'!$H:$H,'ELC TECH'!AM:AM)))</f>
        <v>0.32661449618084121</v>
      </c>
      <c r="M120" s="12">
        <f>IF(_xlfn.XLOOKUP($B120,'ELC TECH'!$H:$H,'ELC TECH'!$E:$E)="Storage","",IF(_xlfn.XLOOKUP($B120,'ELC TECH'!$H:$H,'ELC TECH'!AN:AN)="",1,_xlfn.XLOOKUP($B120,'ELC TECH'!$H:$H,'ELC TECH'!AN:AN)))</f>
        <v>0.32661449618084121</v>
      </c>
      <c r="N120" s="12">
        <f>IF(_xlfn.XLOOKUP($B120,'ELC TECH'!$H:$H,'ELC TECH'!$E:$E)="Storage","",IF(_xlfn.XLOOKUP($B120,'ELC TECH'!$H:$H,'ELC TECH'!AO:AO)="",1,_xlfn.XLOOKUP($B120,'ELC TECH'!$H:$H,'ELC TECH'!AO:AO)))</f>
        <v>0.32661449618084121</v>
      </c>
      <c r="O120" s="12">
        <f>IF(_xlfn.XLOOKUP($B120,'ELC TECH'!$H:$H,'ELC TECH'!$E:$E)="Storage","",IF(_xlfn.XLOOKUP($B120,'ELC TECH'!$H:$H,'ELC TECH'!AP:AP)="",1,_xlfn.XLOOKUP($B120,'ELC TECH'!$H:$H,'ELC TECH'!AP:AP)))</f>
        <v>0.32661449618084121</v>
      </c>
      <c r="P120" s="12">
        <f>IF(_xlfn.XLOOKUP($B120,'ELC TECH'!$H:$H,'ELC TECH'!$E:$E)="Storage","",IF(_xlfn.XLOOKUP($B120,'ELC TECH'!$H:$H,'ELC TECH'!AQ:AQ)="",1,_xlfn.XLOOKUP($B120,'ELC TECH'!$H:$H,'ELC TECH'!AQ:AQ)))</f>
        <v>0.32661449618084121</v>
      </c>
      <c r="Q120" s="12">
        <f>IF(_xlfn.XLOOKUP($B120,'ELC TECH'!$H:$H,'ELC TECH'!$E:$E)="Storage","",IF(_xlfn.XLOOKUP($B120,'ELC TECH'!$H:$H,'ELC TECH'!AR:AR)="",1,_xlfn.XLOOKUP($B120,'ELC TECH'!$H:$H,'ELC TECH'!AR:AR)))</f>
        <v>0.32661449618084121</v>
      </c>
      <c r="R120" s="12" t="str">
        <f>IF(_xlfn.XLOOKUP($B120,'ELC TECH'!$H:$H,'ELC TECH'!$E:$E)&lt;&gt;"Storage","",IF(_xlfn.XLOOKUP($B120,'ELC TECH'!$H:$H,'ELC TECH'!AK:AK)="",0.8,_xlfn.XLOOKUP($B120,'ELC TECH'!$H:$H,'ELC TECH'!AK:AK)))</f>
        <v/>
      </c>
      <c r="S120" s="12" t="str">
        <f>IF(_xlfn.XLOOKUP($B120,'ELC TECH'!$H:$H,'ELC TECH'!$E:$E)&lt;&gt;"Storage","",IF(_xlfn.XLOOKUP($B120,'ELC TECH'!$H:$H,'ELC TECH'!AL:AL)="",0.8,_xlfn.XLOOKUP($B120,'ELC TECH'!$H:$H,'ELC TECH'!AL:AL)))</f>
        <v/>
      </c>
      <c r="T120" s="12" t="str">
        <f>IF(_xlfn.XLOOKUP($B120,'ELC TECH'!$H:$H,'ELC TECH'!$E:$E)&lt;&gt;"Storage","",IF(_xlfn.XLOOKUP($B120,'ELC TECH'!$H:$H,'ELC TECH'!AM:AM)="",0.8,_xlfn.XLOOKUP($B120,'ELC TECH'!$H:$H,'ELC TECH'!AM:AM)))</f>
        <v/>
      </c>
      <c r="U120" s="12" t="str">
        <f>IF(_xlfn.XLOOKUP($B120,'ELC TECH'!$H:$H,'ELC TECH'!$E:$E)&lt;&gt;"Storage","",IF(_xlfn.XLOOKUP($B120,'ELC TECH'!$H:$H,'ELC TECH'!AN:AN)="",0.8,_xlfn.XLOOKUP($B120,'ELC TECH'!$H:$H,'ELC TECH'!AN:AN)))</f>
        <v/>
      </c>
      <c r="V120" s="12" t="str">
        <f>IF(_xlfn.XLOOKUP($B120,'ELC TECH'!$H:$H,'ELC TECH'!$E:$E)&lt;&gt;"Storage","",IF(_xlfn.XLOOKUP($B120,'ELC TECH'!$H:$H,'ELC TECH'!AO:AO)="",0.8,_xlfn.XLOOKUP($B120,'ELC TECH'!$H:$H,'ELC TECH'!AO:AO)))</f>
        <v/>
      </c>
      <c r="W120" s="12" t="str">
        <f>IF(_xlfn.XLOOKUP($B120,'ELC TECH'!$H:$H,'ELC TECH'!$E:$E)&lt;&gt;"Storage","",IF(_xlfn.XLOOKUP($B120,'ELC TECH'!$H:$H,'ELC TECH'!AP:AP)="",0.8,_xlfn.XLOOKUP($B120,'ELC TECH'!$H:$H,'ELC TECH'!AP:AP)))</f>
        <v/>
      </c>
      <c r="X120" s="12" t="str">
        <f>IF(_xlfn.XLOOKUP($B120,'ELC TECH'!$H:$H,'ELC TECH'!$E:$E)&lt;&gt;"Storage","",IF(_xlfn.XLOOKUP($B120,'ELC TECH'!$H:$H,'ELC TECH'!AQ:AQ)="",0.8,_xlfn.XLOOKUP($B120,'ELC TECH'!$H:$H,'ELC TECH'!AQ:AQ)))</f>
        <v/>
      </c>
      <c r="Y120" s="12" t="str">
        <f>IF(_xlfn.XLOOKUP($B120,'ELC TECH'!$H:$H,'ELC TECH'!$E:$E)&lt;&gt;"Storage","",IF(_xlfn.XLOOKUP($B120,'ELC TECH'!$H:$H,'ELC TECH'!AR:AR)="",0.8,_xlfn.XLOOKUP($B120,'ELC TECH'!$H:$H,'ELC TECH'!AR:AR)))</f>
        <v/>
      </c>
      <c r="Z120" s="15">
        <f>_xlfn.XLOOKUP($B120,'ELC TECH'!$H:$H,'ELC TECH'!M:M)</f>
        <v>9065.3830319337758</v>
      </c>
      <c r="AA120" s="15">
        <f>_xlfn.XLOOKUP($B120,'ELC TECH'!$H:$H,'ELC TECH'!N:N)</f>
        <v>7918.8504407839764</v>
      </c>
      <c r="AB120" s="15">
        <f>_xlfn.XLOOKUP($B120,'ELC TECH'!$H:$H,'ELC TECH'!O:O)</f>
        <v>7552.3337746519737</v>
      </c>
      <c r="AC120" s="15">
        <f>_xlfn.XLOOKUP($B120,'ELC TECH'!$H:$H,'ELC TECH'!P:P)</f>
        <v>7302.7832260803443</v>
      </c>
      <c r="AD120" s="15">
        <f>_xlfn.XLOOKUP($B120,'ELC TECH'!$H:$H,'ELC TECH'!Q:Q)</f>
        <v>7046.2922342573784</v>
      </c>
      <c r="AE120" s="15">
        <f>_xlfn.XLOOKUP($B120,'ELC TECH'!$H:$H,'ELC TECH'!R:R)</f>
        <v>6805.5983868030689</v>
      </c>
      <c r="AF120" s="15">
        <f>_xlfn.XLOOKUP($B120,'ELC TECH'!$H:$H,'ELC TECH'!S:S)</f>
        <v>6520.2689090899366</v>
      </c>
      <c r="AG120" s="15">
        <f>_xlfn.XLOOKUP($B120,'ELC TECH'!$H:$H,'ELC TECH'!T:T)</f>
        <v>6520.2689090899366</v>
      </c>
      <c r="AH120" s="15">
        <f>_xlfn.XLOOKUP($B120,'ELC TECH'!$H:$H,'ELC TECH'!U:U)</f>
        <v>134.33502328274099</v>
      </c>
      <c r="AI120" s="15">
        <f>_xlfn.XLOOKUP($B120,'ELC TECH'!$H:$H,'ELC TECH'!V:V)</f>
        <v>134.33502328274099</v>
      </c>
      <c r="AJ120" s="15">
        <f>_xlfn.XLOOKUP($B120,'ELC TECH'!$H:$H,'ELC TECH'!W:W)</f>
        <v>134.33502328274099</v>
      </c>
      <c r="AK120" s="15">
        <f>_xlfn.XLOOKUP($B120,'ELC TECH'!$H:$H,'ELC TECH'!X:X)</f>
        <v>134.33502328274099</v>
      </c>
      <c r="AL120" s="15">
        <f>_xlfn.XLOOKUP($B120,'ELC TECH'!$H:$H,'ELC TECH'!Y:Y)</f>
        <v>134.33502328274099</v>
      </c>
      <c r="AM120" s="15">
        <f>_xlfn.XLOOKUP($B120,'ELC TECH'!$H:$H,'ELC TECH'!Z:Z)</f>
        <v>134.33502328274099</v>
      </c>
      <c r="AN120" s="15">
        <f>_xlfn.XLOOKUP($B120,'ELC TECH'!$H:$H,'ELC TECH'!AA:AA)</f>
        <v>134.33502328274099</v>
      </c>
      <c r="AO120" s="15">
        <f>_xlfn.XLOOKUP($B120,'ELC TECH'!$H:$H,'ELC TECH'!AB:AB)</f>
        <v>134.33502328274099</v>
      </c>
      <c r="AP120" s="15">
        <f>_xlfn.XLOOKUP($B120,'ELC TECH'!$H:$H,'ELC TECH'!AC:AC)</f>
        <v>0.9831383812078639</v>
      </c>
      <c r="AQ120" s="15">
        <f>_xlfn.XLOOKUP($B120,'ELC TECH'!$H:$H,'ELC TECH'!AD:AD)</f>
        <v>0.9831383812078639</v>
      </c>
      <c r="AR120" s="15">
        <f>_xlfn.XLOOKUP($B120,'ELC TECH'!$H:$H,'ELC TECH'!AE:AE)</f>
        <v>0.9831383812078639</v>
      </c>
      <c r="AS120" s="15">
        <f>_xlfn.XLOOKUP($B120,'ELC TECH'!$H:$H,'ELC TECH'!AF:AF)</f>
        <v>0.9831383812078639</v>
      </c>
      <c r="AT120" s="15">
        <f>_xlfn.XLOOKUP($B120,'ELC TECH'!$H:$H,'ELC TECH'!AG:AG)</f>
        <v>0.9831383812078639</v>
      </c>
      <c r="AU120" s="15">
        <f>_xlfn.XLOOKUP($B120,'ELC TECH'!$H:$H,'ELC TECH'!AH:AH)</f>
        <v>0.9831383812078639</v>
      </c>
      <c r="AV120" s="15">
        <f>_xlfn.XLOOKUP($B120,'ELC TECH'!$H:$H,'ELC TECH'!AI:AI)</f>
        <v>0.9831383812078639</v>
      </c>
      <c r="AW120" s="15">
        <f>_xlfn.XLOOKUP($B120,'ELC TECH'!$H:$H,'ELC TECH'!AJ:AJ)</f>
        <v>0.9831383812078639</v>
      </c>
      <c r="AX120" s="12">
        <f>IF(_xlfn.XLOOKUP($B120,'ELC TECH'!$H:$H,'ELC TECH'!$E:$E)="Storage","",_xlfn.XLOOKUP($B120,'ELC TECH'!$H:$H,'ELC TECH'!AS:AS))</f>
        <v>0.92699999999999994</v>
      </c>
      <c r="AY120" s="12">
        <f>IF(_xlfn.XLOOKUP($B120,'ELC TECH'!$H:$H,'ELC TECH'!$E:$E)="Storage","",_xlfn.XLOOKUP($B120,'ELC TECH'!$H:$H,'ELC TECH'!AT:AT))</f>
        <v>0.92699999999999994</v>
      </c>
      <c r="AZ120" s="12">
        <f>IF(_xlfn.XLOOKUP($B120,'ELC TECH'!$H:$H,'ELC TECH'!$E:$E)="Storage","",_xlfn.XLOOKUP($B120,'ELC TECH'!$H:$H,'ELC TECH'!AU:AU))</f>
        <v>0.92699999999999994</v>
      </c>
      <c r="BA120" s="12">
        <f>IF(_xlfn.XLOOKUP($B120,'ELC TECH'!$H:$H,'ELC TECH'!$E:$E)="Storage","",_xlfn.XLOOKUP($B120,'ELC TECH'!$H:$H,'ELC TECH'!AV:AV))</f>
        <v>0.92699999999999994</v>
      </c>
      <c r="BB120" s="12">
        <f>IF(_xlfn.XLOOKUP($B120,'ELC TECH'!$H:$H,'ELC TECH'!$E:$E)="Storage","",_xlfn.XLOOKUP($B120,'ELC TECH'!$H:$H,'ELC TECH'!AW:AW))</f>
        <v>0.92699999999999994</v>
      </c>
      <c r="BC120" s="12">
        <f>IF(_xlfn.XLOOKUP($B120,'ELC TECH'!$H:$H,'ELC TECH'!$E:$E)="Storage","",_xlfn.XLOOKUP($B120,'ELC TECH'!$H:$H,'ELC TECH'!AX:AX))</f>
        <v>0.92699999999999994</v>
      </c>
      <c r="BD120" s="12">
        <f>IF(_xlfn.XLOOKUP($B120,'ELC TECH'!$H:$H,'ELC TECH'!$E:$E)="Storage","",_xlfn.XLOOKUP($B120,'ELC TECH'!$H:$H,'ELC TECH'!AY:AY))</f>
        <v>0.92699999999999994</v>
      </c>
      <c r="BE120" s="12">
        <f>IF(_xlfn.XLOOKUP($B120,'ELC TECH'!$H:$H,'ELC TECH'!$E:$E)="Storage","",_xlfn.XLOOKUP($B120,'ELC TECH'!$H:$H,'ELC TECH'!AZ:AZ))</f>
        <v>0.92699999999999994</v>
      </c>
      <c r="BF120" s="12" t="str">
        <f>IF(_xlfn.XLOOKUP($B120,'ELC TECH'!$H:$H,'ELC TECH'!$E:$E)="Storage",_xlfn.XLOOKUP($B120,'ELC TECH'!$H:$H,'ELC TECH'!AS:AS),"")</f>
        <v/>
      </c>
      <c r="BG120" s="12" t="str">
        <f>IF(_xlfn.XLOOKUP($B120,'ELC TECH'!$H:$H,'ELC TECH'!$E:$E)="Storage",_xlfn.XLOOKUP($B120,'ELC TECH'!$H:$H,'ELC TECH'!AT:AT),"")</f>
        <v/>
      </c>
      <c r="BH120" s="12" t="str">
        <f>IF(_xlfn.XLOOKUP($B120,'ELC TECH'!$H:$H,'ELC TECH'!$E:$E)="Storage",_xlfn.XLOOKUP($B120,'ELC TECH'!$H:$H,'ELC TECH'!AU:AU),"")</f>
        <v/>
      </c>
      <c r="BI120" s="12" t="str">
        <f>IF(_xlfn.XLOOKUP($B120,'ELC TECH'!$H:$H,'ELC TECH'!$E:$E)="Storage",_xlfn.XLOOKUP($B120,'ELC TECH'!$H:$H,'ELC TECH'!AV:AV),"")</f>
        <v/>
      </c>
      <c r="BJ120" s="12" t="str">
        <f>IF(_xlfn.XLOOKUP($B120,'ELC TECH'!$H:$H,'ELC TECH'!$E:$E)="Storage",_xlfn.XLOOKUP($B120,'ELC TECH'!$H:$H,'ELC TECH'!AW:AW),"")</f>
        <v/>
      </c>
      <c r="BK120" s="12" t="str">
        <f>IF(_xlfn.XLOOKUP($B120,'ELC TECH'!$H:$H,'ELC TECH'!$E:$E)="Storage",_xlfn.XLOOKUP($B120,'ELC TECH'!$H:$H,'ELC TECH'!AX:AX),"")</f>
        <v/>
      </c>
      <c r="BL120" s="12" t="str">
        <f>IF(_xlfn.XLOOKUP($B120,'ELC TECH'!$H:$H,'ELC TECH'!$E:$E)="Storage",_xlfn.XLOOKUP($B120,'ELC TECH'!$H:$H,'ELC TECH'!AY:AY),"")</f>
        <v/>
      </c>
      <c r="BM120" s="12" t="str">
        <f>IF(_xlfn.XLOOKUP($B120,'ELC TECH'!$H:$H,'ELC TECH'!$E:$E)="Storage",_xlfn.XLOOKUP($B120,'ELC TECH'!$H:$H,'ELC TECH'!AZ:AZ),"")</f>
        <v/>
      </c>
      <c r="BN120" s="8" t="str">
        <f>IF(_xlfn.XLOOKUP($B120,'ELC TECH'!$H:$H,'ELC TECH'!$E:$E)="Non Dispatchable",IFERROR($AX120*_xlfn.XLOOKUP($C120,$BM$1:$BM$3,BN$1:BN$3)/SUMPRODUCT(_xlfn.XLOOKUP($C120,$BM$1:$BM$3,$BN$1:$BY$3),$BN$4:$BY$4),""),
"")</f>
        <v/>
      </c>
      <c r="BO120" s="8" t="str">
        <f>IF(_xlfn.XLOOKUP($B120,'ELC TECH'!$H:$H,'ELC TECH'!$E:$E)="Non Dispatchable",IFERROR($AX120*_xlfn.XLOOKUP($C120,$BM$1:$BM$3,BO$1:BO$3)/SUMPRODUCT(_xlfn.XLOOKUP($C120,$BM$1:$BM$3,$BN$1:$BY$3),$BN$4:$BY$4),""),
"")</f>
        <v/>
      </c>
      <c r="BP120" s="8" t="str">
        <f>IF(_xlfn.XLOOKUP($B120,'ELC TECH'!$H:$H,'ELC TECH'!$E:$E)="Non Dispatchable",IFERROR($AX120*_xlfn.XLOOKUP($C120,$BM$1:$BM$3,BP$1:BP$3)/SUMPRODUCT(_xlfn.XLOOKUP($C120,$BM$1:$BM$3,$BN$1:$BY$3),$BN$4:$BY$4),""),
"")</f>
        <v/>
      </c>
      <c r="BQ120" s="8" t="str">
        <f>IF(_xlfn.XLOOKUP($B120,'ELC TECH'!$H:$H,'ELC TECH'!$E:$E)="Non Dispatchable",IFERROR($AX120*_xlfn.XLOOKUP($C120,$BM$1:$BM$3,BQ$1:BQ$3)/SUMPRODUCT(_xlfn.XLOOKUP($C120,$BM$1:$BM$3,$BN$1:$BY$3),$BN$4:$BY$4),""),
"")</f>
        <v/>
      </c>
      <c r="BR120" s="8" t="str">
        <f>IF(_xlfn.XLOOKUP($B120,'ELC TECH'!$H:$H,'ELC TECH'!$E:$E)="Non Dispatchable",IFERROR($AX120*_xlfn.XLOOKUP($C120,$BM$1:$BM$3,BR$1:BR$3)/SUMPRODUCT(_xlfn.XLOOKUP($C120,$BM$1:$BM$3,$BN$1:$BY$3),$BN$4:$BY$4),""),
"")</f>
        <v/>
      </c>
      <c r="BS120" s="8" t="str">
        <f>IF(_xlfn.XLOOKUP($B120,'ELC TECH'!$H:$H,'ELC TECH'!$E:$E)="Non Dispatchable",IFERROR($AX120*_xlfn.XLOOKUP($C120,$BM$1:$BM$3,BS$1:BS$3)/SUMPRODUCT(_xlfn.XLOOKUP($C120,$BM$1:$BM$3,$BN$1:$BY$3),$BN$4:$BY$4),""),
"")</f>
        <v/>
      </c>
      <c r="BT120" s="8" t="str">
        <f>IF(_xlfn.XLOOKUP($B120,'ELC TECH'!$H:$H,'ELC TECH'!$E:$E)="Non Dispatchable",IFERROR($AX120*_xlfn.XLOOKUP($C120,$BM$1:$BM$3,BT$1:BT$3)/SUMPRODUCT(_xlfn.XLOOKUP($C120,$BM$1:$BM$3,$BN$1:$BY$3),$BN$4:$BY$4),""),
"")</f>
        <v/>
      </c>
      <c r="BU120" s="8" t="str">
        <f>IF(_xlfn.XLOOKUP($B120,'ELC TECH'!$H:$H,'ELC TECH'!$E:$E)="Non Dispatchable",IFERROR($AX120*_xlfn.XLOOKUP($C120,$BM$1:$BM$3,BU$1:BU$3)/SUMPRODUCT(_xlfn.XLOOKUP($C120,$BM$1:$BM$3,$BN$1:$BY$3),$BN$4:$BY$4),""),
"")</f>
        <v/>
      </c>
      <c r="BV120" s="8" t="str">
        <f>IF(_xlfn.XLOOKUP($B120,'ELC TECH'!$H:$H,'ELC TECH'!$E:$E)="Non Dispatchable",IFERROR($AX120*_xlfn.XLOOKUP($C120,$BM$1:$BM$3,BV$1:BV$3)/SUMPRODUCT(_xlfn.XLOOKUP($C120,$BM$1:$BM$3,$BN$1:$BY$3),$BN$4:$BY$4),""),
"")</f>
        <v/>
      </c>
      <c r="BW120" s="8" t="str">
        <f>IF(_xlfn.XLOOKUP($B120,'ELC TECH'!$H:$H,'ELC TECH'!$E:$E)="Non Dispatchable",IFERROR($AX120*_xlfn.XLOOKUP($C120,$BM$1:$BM$3,BW$1:BW$3)/SUMPRODUCT(_xlfn.XLOOKUP($C120,$BM$1:$BM$3,$BN$1:$BY$3),$BN$4:$BY$4),""),
"")</f>
        <v/>
      </c>
      <c r="BX120" s="8" t="str">
        <f>IF(_xlfn.XLOOKUP($B120,'ELC TECH'!$H:$H,'ELC TECH'!$E:$E)="Non Dispatchable",IFERROR($AX120*_xlfn.XLOOKUP($C120,$BM$1:$BM$3,BX$1:BX$3)/SUMPRODUCT(_xlfn.XLOOKUP($C120,$BM$1:$BM$3,$BN$1:$BY$3),$BN$4:$BY$4),""),
"")</f>
        <v/>
      </c>
      <c r="BY120" s="8" t="str">
        <f>IF(_xlfn.XLOOKUP($B120,'ELC TECH'!$H:$H,'ELC TECH'!$E:$E)="Non Dispatchable",IFERROR($AX120*_xlfn.XLOOKUP($C120,$BM$1:$BM$3,BY$1:BY$3)/SUMPRODUCT(_xlfn.XLOOKUP($C120,$BM$1:$BM$3,$BN$1:$BY$3),$BN$4:$BY$4),""),
"")</f>
        <v/>
      </c>
      <c r="BZ120" s="8" t="str">
        <f>IF(_xlfn.XLOOKUP($B120,'ELC TECH'!$H:$H,'ELC TECH'!$E:$E)="Non Dispatchable",IFERROR($AX120*_xlfn.XLOOKUP($C120,$BM$1:$BM$3,BZ$1:BZ$3)/SUMPRODUCT(_xlfn.XLOOKUP($C120,$BM$1:$BM$3,$BN$1:$BY$3),$BN$4:$BY$4),""),
"")</f>
        <v/>
      </c>
      <c r="CA120" s="8" t="str">
        <f>IF(_xlfn.XLOOKUP($B120,'ELC TECH'!$H:$H,'ELC TECH'!$E:$E)="Non Dispatchable",IFERROR($AX120*_xlfn.XLOOKUP($C120,$BM$1:$BM$3,CA$1:CA$3)/SUMPRODUCT(_xlfn.XLOOKUP($C120,$BM$1:$BM$3,$BN$1:$BY$3),$BN$4:$BY$4),""),
"")</f>
        <v/>
      </c>
      <c r="CB120" s="8" t="str">
        <f>IF(_xlfn.XLOOKUP($B120,'ELC TECH'!$H:$H,'ELC TECH'!$E:$E)="Non Dispatchable",IFERROR($AX120*_xlfn.XLOOKUP($C120,$BM$1:$BM$3,CB$1:CB$3)/SUMPRODUCT(_xlfn.XLOOKUP($C120,$BM$1:$BM$3,$BN$1:$BY$3),$BN$4:$BY$4),""),
"")</f>
        <v/>
      </c>
      <c r="CC120" s="8" t="str">
        <f>IF(_xlfn.XLOOKUP($B120,'ELC TECH'!$H:$H,'ELC TECH'!$E:$E)="Non Dispatchable",IFERROR($AX120*_xlfn.XLOOKUP($C120,$BM$1:$BM$3,CC$1:CC$3)/SUMPRODUCT(_xlfn.XLOOKUP($C120,$BM$1:$BM$3,$BN$1:$BY$3),$BN$4:$BY$4),""),
"")</f>
        <v/>
      </c>
      <c r="CD120" s="8" t="str">
        <f>IF(_xlfn.XLOOKUP($B120,'ELC TECH'!$H:$H,'ELC TECH'!$E:$E)="Non Dispatchable",IFERROR($AX120*_xlfn.XLOOKUP($C120,$BM$1:$BM$3,CD$1:CD$3)/SUMPRODUCT(_xlfn.XLOOKUP($C120,$BM$1:$BM$3,$BN$1:$BY$3),$BN$4:$BY$4),""),
"")</f>
        <v/>
      </c>
      <c r="CE120" s="8" t="str">
        <f>IF(_xlfn.XLOOKUP($B120,'ELC TECH'!$H:$H,'ELC TECH'!$E:$E)="Non Dispatchable",IFERROR($AX120*_xlfn.XLOOKUP($C120,$BM$1:$BM$3,CE$1:CE$3)/SUMPRODUCT(_xlfn.XLOOKUP($C120,$BM$1:$BM$3,$BN$1:$BY$3),$BN$4:$BY$4),""),
"")</f>
        <v/>
      </c>
      <c r="CF120" s="8" t="str">
        <f>IF(_xlfn.XLOOKUP($B120,'ELC TECH'!$H:$H,'ELC TECH'!$E:$E)="Non Dispatchable",IFERROR($AX120*_xlfn.XLOOKUP($C120,$BM$1:$BM$3,CF$1:CF$3)/SUMPRODUCT(_xlfn.XLOOKUP($C120,$BM$1:$BM$3,$BN$1:$BY$3),$BN$4:$BY$4),""),
"")</f>
        <v/>
      </c>
      <c r="CG120" s="8" t="str">
        <f>IF(_xlfn.XLOOKUP($B120,'ELC TECH'!$H:$H,'ELC TECH'!$E:$E)="Non Dispatchable",IFERROR($AX120*_xlfn.XLOOKUP($C120,$BM$1:$BM$3,CG$1:CG$3)/SUMPRODUCT(_xlfn.XLOOKUP($C120,$BM$1:$BM$3,$BN$1:$BY$3),$BN$4:$BY$4),""),
"")</f>
        <v/>
      </c>
      <c r="CH120" s="8" t="str">
        <f>IF(_xlfn.XLOOKUP($B120,'ELC TECH'!$H:$H,'ELC TECH'!$E:$E)="Non Dispatchable",IFERROR($AX120*_xlfn.XLOOKUP($C120,$BM$1:$BM$3,CH$1:CH$3)/SUMPRODUCT(_xlfn.XLOOKUP($C120,$BM$1:$BM$3,$BN$1:$BY$3),$BN$4:$BY$4),""),
"")</f>
        <v/>
      </c>
      <c r="CI120" s="8" t="str">
        <f>IF(_xlfn.XLOOKUP($B120,'ELC TECH'!$H:$H,'ELC TECH'!$E:$E)="Non Dispatchable",IFERROR($AX120*_xlfn.XLOOKUP($C120,$BM$1:$BM$3,CI$1:CI$3)/SUMPRODUCT(_xlfn.XLOOKUP($C120,$BM$1:$BM$3,$BN$1:$BY$3),$BN$4:$BY$4),""),
"")</f>
        <v/>
      </c>
      <c r="CJ120" s="8" t="str">
        <f>IF(_xlfn.XLOOKUP($B120,'ELC TECH'!$H:$H,'ELC TECH'!$E:$E)="Non Dispatchable",IFERROR($AX120*_xlfn.XLOOKUP($C120,$BM$1:$BM$3,CJ$1:CJ$3)/SUMPRODUCT(_xlfn.XLOOKUP($C120,$BM$1:$BM$3,$BN$1:$BY$3),$BN$4:$BY$4),""),
"")</f>
        <v/>
      </c>
      <c r="CK120" s="8" t="str">
        <f>IF(_xlfn.XLOOKUP($B120,'ELC TECH'!$H:$H,'ELC TECH'!$E:$E)="Non Dispatchable",IFERROR($AX120*_xlfn.XLOOKUP($C120,$BM$1:$BM$3,CK$1:CK$3)/SUMPRODUCT(_xlfn.XLOOKUP($C120,$BM$1:$BM$3,$BN$1:$BY$3),$BN$4:$BY$4),""),
"")</f>
        <v/>
      </c>
      <c r="CL120" s="8" t="str">
        <f>IF(_xlfn.XLOOKUP($B120,'ELC TECH'!$H:$H,'ELC TECH'!$E:$E)="Storage",CL$4*$BF120,"")</f>
        <v/>
      </c>
      <c r="CM120" s="8" t="str">
        <f>IF(_xlfn.XLOOKUP($B120,'ELC TECH'!$H:$H,'ELC TECH'!$E:$E)="Storage",CM$4*$BF120,"")</f>
        <v/>
      </c>
      <c r="CN120" s="8" t="str">
        <f>IF(_xlfn.XLOOKUP($B120,'ELC TECH'!$H:$H,'ELC TECH'!$E:$E)="Storage",CN$4*$BF120,"")</f>
        <v/>
      </c>
      <c r="CO120" s="8" t="str">
        <f>IF(_xlfn.XLOOKUP($B120,'ELC TECH'!$H:$H,'ELC TECH'!$E:$E)="Storage",CO$4*$BF120,"")</f>
        <v/>
      </c>
      <c r="CP120" s="8" t="str">
        <f>IF(_xlfn.XLOOKUP($B120,'ELC TECH'!$H:$H,'ELC TECH'!$E:$E)="Storage",CP$4*$BF120,"")</f>
        <v/>
      </c>
      <c r="CQ120" s="8" t="str">
        <f>IF(_xlfn.XLOOKUP($B120,'ELC TECH'!$H:$H,'ELC TECH'!$E:$E)="Storage",CQ$4*$BF120,"")</f>
        <v/>
      </c>
      <c r="CR120" s="8" t="str">
        <f>IF(_xlfn.XLOOKUP($B120,'ELC TECH'!$H:$H,'ELC TECH'!$E:$E)="Storage",CR$4*$BF120,"")</f>
        <v/>
      </c>
      <c r="CS120" s="8" t="str">
        <f>IF(_xlfn.XLOOKUP($B120,'ELC TECH'!$H:$H,'ELC TECH'!$E:$E)="Storage",CS$4*$BF120,"")</f>
        <v/>
      </c>
      <c r="CT120" s="8" t="str">
        <f>IF(_xlfn.XLOOKUP($B120,'ELC TECH'!$H:$H,'ELC TECH'!$E:$E)="Storage",CT$4*$BF120,"")</f>
        <v/>
      </c>
      <c r="CU120" s="8" t="str">
        <f>IF(_xlfn.XLOOKUP($B120,'ELC TECH'!$H:$H,'ELC TECH'!$E:$E)="Storage",CU$4*$BF120,"")</f>
        <v/>
      </c>
      <c r="CV120" s="8" t="str">
        <f>IF(_xlfn.XLOOKUP($B120,'ELC TECH'!$H:$H,'ELC TECH'!$E:$E)="Storage",CV$4*$BF120,"")</f>
        <v/>
      </c>
      <c r="CW120" s="8" t="str">
        <f>IF(_xlfn.XLOOKUP($B120,'ELC TECH'!$H:$H,'ELC TECH'!$E:$E)="Storage",CW$4*$BF120,"")</f>
        <v/>
      </c>
      <c r="CX120" s="8" t="str">
        <f>IF(_xlfn.XLOOKUP($B120,'ELC TECH'!$H:$H,'ELC TECH'!$E:$E)="Storage",CX$4*$BF120,"")</f>
        <v/>
      </c>
      <c r="CY120" s="8" t="str">
        <f>IF(_xlfn.XLOOKUP($B120,'ELC TECH'!$H:$H,'ELC TECH'!$E:$E)="Storage",CY$4*$BF120,"")</f>
        <v/>
      </c>
      <c r="CZ120" s="8" t="str">
        <f>IF(_xlfn.XLOOKUP($B120,'ELC TECH'!$H:$H,'ELC TECH'!$E:$E)="Storage",CZ$4*$BF120,"")</f>
        <v/>
      </c>
      <c r="DA120" s="8" t="str">
        <f>IF(_xlfn.XLOOKUP($B120,'ELC TECH'!$H:$H,'ELC TECH'!$E:$E)="Storage",DA$4*$BF120,"")</f>
        <v/>
      </c>
      <c r="DB120" s="8" t="str">
        <f>IF(_xlfn.XLOOKUP($B120,'ELC TECH'!$H:$H,'ELC TECH'!$E:$E)="Storage",DB$4*$BF120,"")</f>
        <v/>
      </c>
      <c r="DC120" s="8" t="str">
        <f>IF(_xlfn.XLOOKUP($B120,'ELC TECH'!$H:$H,'ELC TECH'!$E:$E)="Storage",DC$4*$BF120,"")</f>
        <v/>
      </c>
      <c r="DD120" s="8" t="str">
        <f>IF(_xlfn.XLOOKUP($B120,'ELC TECH'!$H:$H,'ELC TECH'!$E:$E)="Storage",DD$4*$BF120,"")</f>
        <v/>
      </c>
      <c r="DE120" s="8" t="str">
        <f>IF(_xlfn.XLOOKUP($B120,'ELC TECH'!$H:$H,'ELC TECH'!$E:$E)="Storage",DE$4*$BF120,"")</f>
        <v/>
      </c>
      <c r="DF120" s="8" t="str">
        <f>IF(_xlfn.XLOOKUP($B120,'ELC TECH'!$H:$H,'ELC TECH'!$E:$E)="Storage",DF$4*$BF120,"")</f>
        <v/>
      </c>
      <c r="DG120" s="8" t="str">
        <f>IF(_xlfn.XLOOKUP($B120,'ELC TECH'!$H:$H,'ELC TECH'!$E:$E)="Storage",DG$4*$BF120,"")</f>
        <v/>
      </c>
      <c r="DH120" s="8" t="str">
        <f>IF(_xlfn.XLOOKUP($B120,'ELC TECH'!$H:$H,'ELC TECH'!$E:$E)="Storage",DH$4*$BF120,"")</f>
        <v/>
      </c>
      <c r="DI120" s="8" t="str">
        <f>IF(_xlfn.XLOOKUP($B120,'ELC TECH'!$H:$H,'ELC TECH'!$E:$E)="Storage",DI$4*$BF120,"")</f>
        <v/>
      </c>
    </row>
    <row r="121" spans="2:113" x14ac:dyDescent="0.25">
      <c r="B121" t="str">
        <f>IF('ELC TECH'!I114=0,"*",'ELC TECH'!H114)</f>
        <v>ELCBIOGRDBIODPP20</v>
      </c>
      <c r="C121" t="str">
        <f>IF(_xlfn.XLOOKUP(_xlfn.XLOOKUP(B121,'ELC TECH'!$H:$H,'ELC TECH'!$G:$G),List!C:C,List!B:B)="STG",D121,"ELC"&amp;_xlfn.XLOOKUP(_xlfn.XLOOKUP(B121,'ELC TECH'!H:H,'ELC TECH'!G:G),List!C:C,List!B:B))</f>
        <v>ELCBIO</v>
      </c>
      <c r="D121" t="s">
        <v>544</v>
      </c>
      <c r="E121">
        <f>_xlfn.XLOOKUP(B121,'ELC TECH'!H:H,'ELC TECH'!D:D)</f>
        <v>2020</v>
      </c>
      <c r="F121">
        <f>_xlfn.XLOOKUP(B121,'ELC TECH'!H:H,'ELC TECH'!K:K)</f>
        <v>15</v>
      </c>
      <c r="G121">
        <f t="shared" si="7"/>
        <v>31.535999999999998</v>
      </c>
      <c r="H121">
        <f>IF(_xlfn.XLOOKUP(B121,'ELC TECH'!$H:$H,'ELC TECH'!$E:$E)="Storage",0.3,IF(_xlfn.XLOOKUP(B121,'ELC TECH'!$H:$H,'ELC TECH'!$E:$E)="Baseload",0.9,IF(_xlfn.XLOOKUP(B121,'ELC TECH'!$H:$H,'ELC TECH'!$E:$E)="Non Dispatchable",0.05,IF(_xlfn.XLOOKUP(B121,'ELC TECH'!$H:$H,'ELC TECH'!$E:$E)="Dispatchable",0.9,1))))</f>
        <v>0.9</v>
      </c>
      <c r="I121" s="13" t="str">
        <f>IF(_xlfn.XLOOKUP(B121,'ELC TECH'!H:H,'ELC TECH'!J:J)="","",_xlfn.XLOOKUP(B121,'ELC TECH'!H:H,'ELC TECH'!J:J))</f>
        <v/>
      </c>
      <c r="J121" s="12">
        <f>IF(_xlfn.XLOOKUP($B121,'ELC TECH'!$H:$H,'ELC TECH'!$E:$E)="Storage","",IF(_xlfn.XLOOKUP($B121,'ELC TECH'!$H:$H,'ELC TECH'!AK:AK)="",1,_xlfn.XLOOKUP($B121,'ELC TECH'!$H:$H,'ELC TECH'!AK:AK)))</f>
        <v>0.25275123271120348</v>
      </c>
      <c r="K121" s="12">
        <f>IF(_xlfn.XLOOKUP($B121,'ELC TECH'!$H:$H,'ELC TECH'!$E:$E)="Storage","",IF(_xlfn.XLOOKUP($B121,'ELC TECH'!$H:$H,'ELC TECH'!AL:AL)="",1,_xlfn.XLOOKUP($B121,'ELC TECH'!$H:$H,'ELC TECH'!AL:AL)))</f>
        <v>0.25275123271120348</v>
      </c>
      <c r="L121" s="12">
        <f>IF(_xlfn.XLOOKUP($B121,'ELC TECH'!$H:$H,'ELC TECH'!$E:$E)="Storage","",IF(_xlfn.XLOOKUP($B121,'ELC TECH'!$H:$H,'ELC TECH'!AM:AM)="",1,_xlfn.XLOOKUP($B121,'ELC TECH'!$H:$H,'ELC TECH'!AM:AM)))</f>
        <v>0.25275123271120348</v>
      </c>
      <c r="M121" s="12">
        <f>IF(_xlfn.XLOOKUP($B121,'ELC TECH'!$H:$H,'ELC TECH'!$E:$E)="Storage","",IF(_xlfn.XLOOKUP($B121,'ELC TECH'!$H:$H,'ELC TECH'!AN:AN)="",1,_xlfn.XLOOKUP($B121,'ELC TECH'!$H:$H,'ELC TECH'!AN:AN)))</f>
        <v>0.25275123271120348</v>
      </c>
      <c r="N121" s="12">
        <f>IF(_xlfn.XLOOKUP($B121,'ELC TECH'!$H:$H,'ELC TECH'!$E:$E)="Storage","",IF(_xlfn.XLOOKUP($B121,'ELC TECH'!$H:$H,'ELC TECH'!AO:AO)="",1,_xlfn.XLOOKUP($B121,'ELC TECH'!$H:$H,'ELC TECH'!AO:AO)))</f>
        <v>0.25275123271120348</v>
      </c>
      <c r="O121" s="12">
        <f>IF(_xlfn.XLOOKUP($B121,'ELC TECH'!$H:$H,'ELC TECH'!$E:$E)="Storage","",IF(_xlfn.XLOOKUP($B121,'ELC TECH'!$H:$H,'ELC TECH'!AP:AP)="",1,_xlfn.XLOOKUP($B121,'ELC TECH'!$H:$H,'ELC TECH'!AP:AP)))</f>
        <v>0.25275123271120348</v>
      </c>
      <c r="P121" s="12">
        <f>IF(_xlfn.XLOOKUP($B121,'ELC TECH'!$H:$H,'ELC TECH'!$E:$E)="Storage","",IF(_xlfn.XLOOKUP($B121,'ELC TECH'!$H:$H,'ELC TECH'!AQ:AQ)="",1,_xlfn.XLOOKUP($B121,'ELC TECH'!$H:$H,'ELC TECH'!AQ:AQ)))</f>
        <v>0.25275123271120348</v>
      </c>
      <c r="Q121" s="12">
        <f>IF(_xlfn.XLOOKUP($B121,'ELC TECH'!$H:$H,'ELC TECH'!$E:$E)="Storage","",IF(_xlfn.XLOOKUP($B121,'ELC TECH'!$H:$H,'ELC TECH'!AR:AR)="",1,_xlfn.XLOOKUP($B121,'ELC TECH'!$H:$H,'ELC TECH'!AR:AR)))</f>
        <v>0.25275123271120348</v>
      </c>
      <c r="R121" s="12" t="str">
        <f>IF(_xlfn.XLOOKUP($B121,'ELC TECH'!$H:$H,'ELC TECH'!$E:$E)&lt;&gt;"Storage","",IF(_xlfn.XLOOKUP($B121,'ELC TECH'!$H:$H,'ELC TECH'!AK:AK)="",0.8,_xlfn.XLOOKUP($B121,'ELC TECH'!$H:$H,'ELC TECH'!AK:AK)))</f>
        <v/>
      </c>
      <c r="S121" s="12" t="str">
        <f>IF(_xlfn.XLOOKUP($B121,'ELC TECH'!$H:$H,'ELC TECH'!$E:$E)&lt;&gt;"Storage","",IF(_xlfn.XLOOKUP($B121,'ELC TECH'!$H:$H,'ELC TECH'!AL:AL)="",0.8,_xlfn.XLOOKUP($B121,'ELC TECH'!$H:$H,'ELC TECH'!AL:AL)))</f>
        <v/>
      </c>
      <c r="T121" s="12" t="str">
        <f>IF(_xlfn.XLOOKUP($B121,'ELC TECH'!$H:$H,'ELC TECH'!$E:$E)&lt;&gt;"Storage","",IF(_xlfn.XLOOKUP($B121,'ELC TECH'!$H:$H,'ELC TECH'!AM:AM)="",0.8,_xlfn.XLOOKUP($B121,'ELC TECH'!$H:$H,'ELC TECH'!AM:AM)))</f>
        <v/>
      </c>
      <c r="U121" s="12" t="str">
        <f>IF(_xlfn.XLOOKUP($B121,'ELC TECH'!$H:$H,'ELC TECH'!$E:$E)&lt;&gt;"Storage","",IF(_xlfn.XLOOKUP($B121,'ELC TECH'!$H:$H,'ELC TECH'!AN:AN)="",0.8,_xlfn.XLOOKUP($B121,'ELC TECH'!$H:$H,'ELC TECH'!AN:AN)))</f>
        <v/>
      </c>
      <c r="V121" s="12" t="str">
        <f>IF(_xlfn.XLOOKUP($B121,'ELC TECH'!$H:$H,'ELC TECH'!$E:$E)&lt;&gt;"Storage","",IF(_xlfn.XLOOKUP($B121,'ELC TECH'!$H:$H,'ELC TECH'!AO:AO)="",0.8,_xlfn.XLOOKUP($B121,'ELC TECH'!$H:$H,'ELC TECH'!AO:AO)))</f>
        <v/>
      </c>
      <c r="W121" s="12" t="str">
        <f>IF(_xlfn.XLOOKUP($B121,'ELC TECH'!$H:$H,'ELC TECH'!$E:$E)&lt;&gt;"Storage","",IF(_xlfn.XLOOKUP($B121,'ELC TECH'!$H:$H,'ELC TECH'!AP:AP)="",0.8,_xlfn.XLOOKUP($B121,'ELC TECH'!$H:$H,'ELC TECH'!AP:AP)))</f>
        <v/>
      </c>
      <c r="X121" s="12" t="str">
        <f>IF(_xlfn.XLOOKUP($B121,'ELC TECH'!$H:$H,'ELC TECH'!$E:$E)&lt;&gt;"Storage","",IF(_xlfn.XLOOKUP($B121,'ELC TECH'!$H:$H,'ELC TECH'!AQ:AQ)="",0.8,_xlfn.XLOOKUP($B121,'ELC TECH'!$H:$H,'ELC TECH'!AQ:AQ)))</f>
        <v/>
      </c>
      <c r="Y121" s="12" t="str">
        <f>IF(_xlfn.XLOOKUP($B121,'ELC TECH'!$H:$H,'ELC TECH'!$E:$E)&lt;&gt;"Storage","",IF(_xlfn.XLOOKUP($B121,'ELC TECH'!$H:$H,'ELC TECH'!AR:AR)="",0.8,_xlfn.XLOOKUP($B121,'ELC TECH'!$H:$H,'ELC TECH'!AR:AR)))</f>
        <v/>
      </c>
      <c r="Z121" s="15">
        <f>_xlfn.XLOOKUP($B121,'ELC TECH'!$H:$H,'ELC TECH'!M:M)</f>
        <v>5427.3482633967596</v>
      </c>
      <c r="AA121" s="15">
        <f>_xlfn.XLOOKUP($B121,'ELC TECH'!$H:$H,'ELC TECH'!N:N)</f>
        <v>4740.3000529735318</v>
      </c>
      <c r="AB121" s="15">
        <f>_xlfn.XLOOKUP($B121,'ELC TECH'!$H:$H,'ELC TECH'!O:O)</f>
        <v>4519.7512335657912</v>
      </c>
      <c r="AC121" s="15">
        <f>_xlfn.XLOOKUP($B121,'ELC TECH'!$H:$H,'ELC TECH'!P:P)</f>
        <v>4369.1119571391573</v>
      </c>
      <c r="AD121" s="15">
        <f>_xlfn.XLOOKUP($B121,'ELC TECH'!$H:$H,'ELC TECH'!Q:Q)</f>
        <v>4214.7719944325481</v>
      </c>
      <c r="AE121" s="15">
        <f>_xlfn.XLOOKUP($B121,'ELC TECH'!$H:$H,'ELC TECH'!R:R)</f>
        <v>4069.880088046621</v>
      </c>
      <c r="AF121" s="15">
        <f>_xlfn.XLOOKUP($B121,'ELC TECH'!$H:$H,'ELC TECH'!S:S)</f>
        <v>3897.2529782515348</v>
      </c>
      <c r="AG121" s="15">
        <f>_xlfn.XLOOKUP($B121,'ELC TECH'!$H:$H,'ELC TECH'!T:T)</f>
        <v>3897.2529782515348</v>
      </c>
      <c r="AH121" s="15">
        <f>_xlfn.XLOOKUP($B121,'ELC TECH'!$H:$H,'ELC TECH'!U:U)</f>
        <v>177.77906027367459</v>
      </c>
      <c r="AI121" s="15">
        <f>_xlfn.XLOOKUP($B121,'ELC TECH'!$H:$H,'ELC TECH'!V:V)</f>
        <v>177.77906027367459</v>
      </c>
      <c r="AJ121" s="15">
        <f>_xlfn.XLOOKUP($B121,'ELC TECH'!$H:$H,'ELC TECH'!W:W)</f>
        <v>177.77906027367459</v>
      </c>
      <c r="AK121" s="15">
        <f>_xlfn.XLOOKUP($B121,'ELC TECH'!$H:$H,'ELC TECH'!X:X)</f>
        <v>177.77906027367459</v>
      </c>
      <c r="AL121" s="15">
        <f>_xlfn.XLOOKUP($B121,'ELC TECH'!$H:$H,'ELC TECH'!Y:Y)</f>
        <v>177.77906027367459</v>
      </c>
      <c r="AM121" s="15">
        <f>_xlfn.XLOOKUP($B121,'ELC TECH'!$H:$H,'ELC TECH'!Z:Z)</f>
        <v>177.77906027367459</v>
      </c>
      <c r="AN121" s="15">
        <f>_xlfn.XLOOKUP($B121,'ELC TECH'!$H:$H,'ELC TECH'!AA:AA)</f>
        <v>177.77906027367459</v>
      </c>
      <c r="AO121" s="15">
        <f>_xlfn.XLOOKUP($B121,'ELC TECH'!$H:$H,'ELC TECH'!AB:AB)</f>
        <v>177.77906027367459</v>
      </c>
      <c r="AP121" s="15">
        <f>_xlfn.XLOOKUP($B121,'ELC TECH'!$H:$H,'ELC TECH'!AC:AC)</f>
        <v>1.5830726649481259</v>
      </c>
      <c r="AQ121" s="15">
        <f>_xlfn.XLOOKUP($B121,'ELC TECH'!$H:$H,'ELC TECH'!AD:AD)</f>
        <v>1.5830726649481259</v>
      </c>
      <c r="AR121" s="15">
        <f>_xlfn.XLOOKUP($B121,'ELC TECH'!$H:$H,'ELC TECH'!AE:AE)</f>
        <v>1.5830726649481259</v>
      </c>
      <c r="AS121" s="15">
        <f>_xlfn.XLOOKUP($B121,'ELC TECH'!$H:$H,'ELC TECH'!AF:AF)</f>
        <v>1.5830726649481259</v>
      </c>
      <c r="AT121" s="15">
        <f>_xlfn.XLOOKUP($B121,'ELC TECH'!$H:$H,'ELC TECH'!AG:AG)</f>
        <v>1.5830726649481259</v>
      </c>
      <c r="AU121" s="15">
        <f>_xlfn.XLOOKUP($B121,'ELC TECH'!$H:$H,'ELC TECH'!AH:AH)</f>
        <v>1.5830726649481259</v>
      </c>
      <c r="AV121" s="15">
        <f>_xlfn.XLOOKUP($B121,'ELC TECH'!$H:$H,'ELC TECH'!AI:AI)</f>
        <v>1.5830726649481259</v>
      </c>
      <c r="AW121" s="15">
        <f>_xlfn.XLOOKUP($B121,'ELC TECH'!$H:$H,'ELC TECH'!AJ:AJ)</f>
        <v>1.5830726649481259</v>
      </c>
      <c r="AX121" s="12">
        <f>IF(_xlfn.XLOOKUP($B121,'ELC TECH'!$H:$H,'ELC TECH'!$E:$E)="Storage","",_xlfn.XLOOKUP($B121,'ELC TECH'!$H:$H,'ELC TECH'!AS:AS))</f>
        <v>0.6349999999999999</v>
      </c>
      <c r="AY121" s="12">
        <f>IF(_xlfn.XLOOKUP($B121,'ELC TECH'!$H:$H,'ELC TECH'!$E:$E)="Storage","",_xlfn.XLOOKUP($B121,'ELC TECH'!$H:$H,'ELC TECH'!AT:AT))</f>
        <v>0.6349999999999999</v>
      </c>
      <c r="AZ121" s="12">
        <f>IF(_xlfn.XLOOKUP($B121,'ELC TECH'!$H:$H,'ELC TECH'!$E:$E)="Storage","",_xlfn.XLOOKUP($B121,'ELC TECH'!$H:$H,'ELC TECH'!AU:AU))</f>
        <v>0.6349999999999999</v>
      </c>
      <c r="BA121" s="12">
        <f>IF(_xlfn.XLOOKUP($B121,'ELC TECH'!$H:$H,'ELC TECH'!$E:$E)="Storage","",_xlfn.XLOOKUP($B121,'ELC TECH'!$H:$H,'ELC TECH'!AV:AV))</f>
        <v>0.6349999999999999</v>
      </c>
      <c r="BB121" s="12">
        <f>IF(_xlfn.XLOOKUP($B121,'ELC TECH'!$H:$H,'ELC TECH'!$E:$E)="Storage","",_xlfn.XLOOKUP($B121,'ELC TECH'!$H:$H,'ELC TECH'!AW:AW))</f>
        <v>0.6349999999999999</v>
      </c>
      <c r="BC121" s="12">
        <f>IF(_xlfn.XLOOKUP($B121,'ELC TECH'!$H:$H,'ELC TECH'!$E:$E)="Storage","",_xlfn.XLOOKUP($B121,'ELC TECH'!$H:$H,'ELC TECH'!AX:AX))</f>
        <v>0.6349999999999999</v>
      </c>
      <c r="BD121" s="12">
        <f>IF(_xlfn.XLOOKUP($B121,'ELC TECH'!$H:$H,'ELC TECH'!$E:$E)="Storage","",_xlfn.XLOOKUP($B121,'ELC TECH'!$H:$H,'ELC TECH'!AY:AY))</f>
        <v>0.6349999999999999</v>
      </c>
      <c r="BE121" s="12">
        <f>IF(_xlfn.XLOOKUP($B121,'ELC TECH'!$H:$H,'ELC TECH'!$E:$E)="Storage","",_xlfn.XLOOKUP($B121,'ELC TECH'!$H:$H,'ELC TECH'!AZ:AZ))</f>
        <v>0.6349999999999999</v>
      </c>
      <c r="BF121" s="12" t="str">
        <f>IF(_xlfn.XLOOKUP($B121,'ELC TECH'!$H:$H,'ELC TECH'!$E:$E)="Storage",_xlfn.XLOOKUP($B121,'ELC TECH'!$H:$H,'ELC TECH'!AS:AS),"")</f>
        <v/>
      </c>
      <c r="BG121" s="12" t="str">
        <f>IF(_xlfn.XLOOKUP($B121,'ELC TECH'!$H:$H,'ELC TECH'!$E:$E)="Storage",_xlfn.XLOOKUP($B121,'ELC TECH'!$H:$H,'ELC TECH'!AT:AT),"")</f>
        <v/>
      </c>
      <c r="BH121" s="12" t="str">
        <f>IF(_xlfn.XLOOKUP($B121,'ELC TECH'!$H:$H,'ELC TECH'!$E:$E)="Storage",_xlfn.XLOOKUP($B121,'ELC TECH'!$H:$H,'ELC TECH'!AU:AU),"")</f>
        <v/>
      </c>
      <c r="BI121" s="12" t="str">
        <f>IF(_xlfn.XLOOKUP($B121,'ELC TECH'!$H:$H,'ELC TECH'!$E:$E)="Storage",_xlfn.XLOOKUP($B121,'ELC TECH'!$H:$H,'ELC TECH'!AV:AV),"")</f>
        <v/>
      </c>
      <c r="BJ121" s="12" t="str">
        <f>IF(_xlfn.XLOOKUP($B121,'ELC TECH'!$H:$H,'ELC TECH'!$E:$E)="Storage",_xlfn.XLOOKUP($B121,'ELC TECH'!$H:$H,'ELC TECH'!AW:AW),"")</f>
        <v/>
      </c>
      <c r="BK121" s="12" t="str">
        <f>IF(_xlfn.XLOOKUP($B121,'ELC TECH'!$H:$H,'ELC TECH'!$E:$E)="Storage",_xlfn.XLOOKUP($B121,'ELC TECH'!$H:$H,'ELC TECH'!AX:AX),"")</f>
        <v/>
      </c>
      <c r="BL121" s="12" t="str">
        <f>IF(_xlfn.XLOOKUP($B121,'ELC TECH'!$H:$H,'ELC TECH'!$E:$E)="Storage",_xlfn.XLOOKUP($B121,'ELC TECH'!$H:$H,'ELC TECH'!AY:AY),"")</f>
        <v/>
      </c>
      <c r="BM121" s="12" t="str">
        <f>IF(_xlfn.XLOOKUP($B121,'ELC TECH'!$H:$H,'ELC TECH'!$E:$E)="Storage",_xlfn.XLOOKUP($B121,'ELC TECH'!$H:$H,'ELC TECH'!AZ:AZ),"")</f>
        <v/>
      </c>
      <c r="BN121" s="8" t="str">
        <f>IF(_xlfn.XLOOKUP($B121,'ELC TECH'!$H:$H,'ELC TECH'!$E:$E)="Non Dispatchable",IFERROR($AX121*_xlfn.XLOOKUP($C121,$BM$1:$BM$3,BN$1:BN$3)/SUMPRODUCT(_xlfn.XLOOKUP($C121,$BM$1:$BM$3,$BN$1:$BY$3),$BN$4:$BY$4),""),
"")</f>
        <v/>
      </c>
      <c r="BO121" s="8" t="str">
        <f>IF(_xlfn.XLOOKUP($B121,'ELC TECH'!$H:$H,'ELC TECH'!$E:$E)="Non Dispatchable",IFERROR($AX121*_xlfn.XLOOKUP($C121,$BM$1:$BM$3,BO$1:BO$3)/SUMPRODUCT(_xlfn.XLOOKUP($C121,$BM$1:$BM$3,$BN$1:$BY$3),$BN$4:$BY$4),""),
"")</f>
        <v/>
      </c>
      <c r="BP121" s="8" t="str">
        <f>IF(_xlfn.XLOOKUP($B121,'ELC TECH'!$H:$H,'ELC TECH'!$E:$E)="Non Dispatchable",IFERROR($AX121*_xlfn.XLOOKUP($C121,$BM$1:$BM$3,BP$1:BP$3)/SUMPRODUCT(_xlfn.XLOOKUP($C121,$BM$1:$BM$3,$BN$1:$BY$3),$BN$4:$BY$4),""),
"")</f>
        <v/>
      </c>
      <c r="BQ121" s="8" t="str">
        <f>IF(_xlfn.XLOOKUP($B121,'ELC TECH'!$H:$H,'ELC TECH'!$E:$E)="Non Dispatchable",IFERROR($AX121*_xlfn.XLOOKUP($C121,$BM$1:$BM$3,BQ$1:BQ$3)/SUMPRODUCT(_xlfn.XLOOKUP($C121,$BM$1:$BM$3,$BN$1:$BY$3),$BN$4:$BY$4),""),
"")</f>
        <v/>
      </c>
      <c r="BR121" s="8" t="str">
        <f>IF(_xlfn.XLOOKUP($B121,'ELC TECH'!$H:$H,'ELC TECH'!$E:$E)="Non Dispatchable",IFERROR($AX121*_xlfn.XLOOKUP($C121,$BM$1:$BM$3,BR$1:BR$3)/SUMPRODUCT(_xlfn.XLOOKUP($C121,$BM$1:$BM$3,$BN$1:$BY$3),$BN$4:$BY$4),""),
"")</f>
        <v/>
      </c>
      <c r="BS121" s="8" t="str">
        <f>IF(_xlfn.XLOOKUP($B121,'ELC TECH'!$H:$H,'ELC TECH'!$E:$E)="Non Dispatchable",IFERROR($AX121*_xlfn.XLOOKUP($C121,$BM$1:$BM$3,BS$1:BS$3)/SUMPRODUCT(_xlfn.XLOOKUP($C121,$BM$1:$BM$3,$BN$1:$BY$3),$BN$4:$BY$4),""),
"")</f>
        <v/>
      </c>
      <c r="BT121" s="8" t="str">
        <f>IF(_xlfn.XLOOKUP($B121,'ELC TECH'!$H:$H,'ELC TECH'!$E:$E)="Non Dispatchable",IFERROR($AX121*_xlfn.XLOOKUP($C121,$BM$1:$BM$3,BT$1:BT$3)/SUMPRODUCT(_xlfn.XLOOKUP($C121,$BM$1:$BM$3,$BN$1:$BY$3),$BN$4:$BY$4),""),
"")</f>
        <v/>
      </c>
      <c r="BU121" s="8" t="str">
        <f>IF(_xlfn.XLOOKUP($B121,'ELC TECH'!$H:$H,'ELC TECH'!$E:$E)="Non Dispatchable",IFERROR($AX121*_xlfn.XLOOKUP($C121,$BM$1:$BM$3,BU$1:BU$3)/SUMPRODUCT(_xlfn.XLOOKUP($C121,$BM$1:$BM$3,$BN$1:$BY$3),$BN$4:$BY$4),""),
"")</f>
        <v/>
      </c>
      <c r="BV121" s="8" t="str">
        <f>IF(_xlfn.XLOOKUP($B121,'ELC TECH'!$H:$H,'ELC TECH'!$E:$E)="Non Dispatchable",IFERROR($AX121*_xlfn.XLOOKUP($C121,$BM$1:$BM$3,BV$1:BV$3)/SUMPRODUCT(_xlfn.XLOOKUP($C121,$BM$1:$BM$3,$BN$1:$BY$3),$BN$4:$BY$4),""),
"")</f>
        <v/>
      </c>
      <c r="BW121" s="8" t="str">
        <f>IF(_xlfn.XLOOKUP($B121,'ELC TECH'!$H:$H,'ELC TECH'!$E:$E)="Non Dispatchable",IFERROR($AX121*_xlfn.XLOOKUP($C121,$BM$1:$BM$3,BW$1:BW$3)/SUMPRODUCT(_xlfn.XLOOKUP($C121,$BM$1:$BM$3,$BN$1:$BY$3),$BN$4:$BY$4),""),
"")</f>
        <v/>
      </c>
      <c r="BX121" s="8" t="str">
        <f>IF(_xlfn.XLOOKUP($B121,'ELC TECH'!$H:$H,'ELC TECH'!$E:$E)="Non Dispatchable",IFERROR($AX121*_xlfn.XLOOKUP($C121,$BM$1:$BM$3,BX$1:BX$3)/SUMPRODUCT(_xlfn.XLOOKUP($C121,$BM$1:$BM$3,$BN$1:$BY$3),$BN$4:$BY$4),""),
"")</f>
        <v/>
      </c>
      <c r="BY121" s="8" t="str">
        <f>IF(_xlfn.XLOOKUP($B121,'ELC TECH'!$H:$H,'ELC TECH'!$E:$E)="Non Dispatchable",IFERROR($AX121*_xlfn.XLOOKUP($C121,$BM$1:$BM$3,BY$1:BY$3)/SUMPRODUCT(_xlfn.XLOOKUP($C121,$BM$1:$BM$3,$BN$1:$BY$3),$BN$4:$BY$4),""),
"")</f>
        <v/>
      </c>
      <c r="BZ121" s="8" t="str">
        <f>IF(_xlfn.XLOOKUP($B121,'ELC TECH'!$H:$H,'ELC TECH'!$E:$E)="Non Dispatchable",IFERROR($AX121*_xlfn.XLOOKUP($C121,$BM$1:$BM$3,BZ$1:BZ$3)/SUMPRODUCT(_xlfn.XLOOKUP($C121,$BM$1:$BM$3,$BN$1:$BY$3),$BN$4:$BY$4),""),
"")</f>
        <v/>
      </c>
      <c r="CA121" s="8" t="str">
        <f>IF(_xlfn.XLOOKUP($B121,'ELC TECH'!$H:$H,'ELC TECH'!$E:$E)="Non Dispatchable",IFERROR($AX121*_xlfn.XLOOKUP($C121,$BM$1:$BM$3,CA$1:CA$3)/SUMPRODUCT(_xlfn.XLOOKUP($C121,$BM$1:$BM$3,$BN$1:$BY$3),$BN$4:$BY$4),""),
"")</f>
        <v/>
      </c>
      <c r="CB121" s="8" t="str">
        <f>IF(_xlfn.XLOOKUP($B121,'ELC TECH'!$H:$H,'ELC TECH'!$E:$E)="Non Dispatchable",IFERROR($AX121*_xlfn.XLOOKUP($C121,$BM$1:$BM$3,CB$1:CB$3)/SUMPRODUCT(_xlfn.XLOOKUP($C121,$BM$1:$BM$3,$BN$1:$BY$3),$BN$4:$BY$4),""),
"")</f>
        <v/>
      </c>
      <c r="CC121" s="8" t="str">
        <f>IF(_xlfn.XLOOKUP($B121,'ELC TECH'!$H:$H,'ELC TECH'!$E:$E)="Non Dispatchable",IFERROR($AX121*_xlfn.XLOOKUP($C121,$BM$1:$BM$3,CC$1:CC$3)/SUMPRODUCT(_xlfn.XLOOKUP($C121,$BM$1:$BM$3,$BN$1:$BY$3),$BN$4:$BY$4),""),
"")</f>
        <v/>
      </c>
      <c r="CD121" s="8" t="str">
        <f>IF(_xlfn.XLOOKUP($B121,'ELC TECH'!$H:$H,'ELC TECH'!$E:$E)="Non Dispatchable",IFERROR($AX121*_xlfn.XLOOKUP($C121,$BM$1:$BM$3,CD$1:CD$3)/SUMPRODUCT(_xlfn.XLOOKUP($C121,$BM$1:$BM$3,$BN$1:$BY$3),$BN$4:$BY$4),""),
"")</f>
        <v/>
      </c>
      <c r="CE121" s="8" t="str">
        <f>IF(_xlfn.XLOOKUP($B121,'ELC TECH'!$H:$H,'ELC TECH'!$E:$E)="Non Dispatchable",IFERROR($AX121*_xlfn.XLOOKUP($C121,$BM$1:$BM$3,CE$1:CE$3)/SUMPRODUCT(_xlfn.XLOOKUP($C121,$BM$1:$BM$3,$BN$1:$BY$3),$BN$4:$BY$4),""),
"")</f>
        <v/>
      </c>
      <c r="CF121" s="8" t="str">
        <f>IF(_xlfn.XLOOKUP($B121,'ELC TECH'!$H:$H,'ELC TECH'!$E:$E)="Non Dispatchable",IFERROR($AX121*_xlfn.XLOOKUP($C121,$BM$1:$BM$3,CF$1:CF$3)/SUMPRODUCT(_xlfn.XLOOKUP($C121,$BM$1:$BM$3,$BN$1:$BY$3),$BN$4:$BY$4),""),
"")</f>
        <v/>
      </c>
      <c r="CG121" s="8" t="str">
        <f>IF(_xlfn.XLOOKUP($B121,'ELC TECH'!$H:$H,'ELC TECH'!$E:$E)="Non Dispatchable",IFERROR($AX121*_xlfn.XLOOKUP($C121,$BM$1:$BM$3,CG$1:CG$3)/SUMPRODUCT(_xlfn.XLOOKUP($C121,$BM$1:$BM$3,$BN$1:$BY$3),$BN$4:$BY$4),""),
"")</f>
        <v/>
      </c>
      <c r="CH121" s="8" t="str">
        <f>IF(_xlfn.XLOOKUP($B121,'ELC TECH'!$H:$H,'ELC TECH'!$E:$E)="Non Dispatchable",IFERROR($AX121*_xlfn.XLOOKUP($C121,$BM$1:$BM$3,CH$1:CH$3)/SUMPRODUCT(_xlfn.XLOOKUP($C121,$BM$1:$BM$3,$BN$1:$BY$3),$BN$4:$BY$4),""),
"")</f>
        <v/>
      </c>
      <c r="CI121" s="8" t="str">
        <f>IF(_xlfn.XLOOKUP($B121,'ELC TECH'!$H:$H,'ELC TECH'!$E:$E)="Non Dispatchable",IFERROR($AX121*_xlfn.XLOOKUP($C121,$BM$1:$BM$3,CI$1:CI$3)/SUMPRODUCT(_xlfn.XLOOKUP($C121,$BM$1:$BM$3,$BN$1:$BY$3),$BN$4:$BY$4),""),
"")</f>
        <v/>
      </c>
      <c r="CJ121" s="8" t="str">
        <f>IF(_xlfn.XLOOKUP($B121,'ELC TECH'!$H:$H,'ELC TECH'!$E:$E)="Non Dispatchable",IFERROR($AX121*_xlfn.XLOOKUP($C121,$BM$1:$BM$3,CJ$1:CJ$3)/SUMPRODUCT(_xlfn.XLOOKUP($C121,$BM$1:$BM$3,$BN$1:$BY$3),$BN$4:$BY$4),""),
"")</f>
        <v/>
      </c>
      <c r="CK121" s="8" t="str">
        <f>IF(_xlfn.XLOOKUP($B121,'ELC TECH'!$H:$H,'ELC TECH'!$E:$E)="Non Dispatchable",IFERROR($AX121*_xlfn.XLOOKUP($C121,$BM$1:$BM$3,CK$1:CK$3)/SUMPRODUCT(_xlfn.XLOOKUP($C121,$BM$1:$BM$3,$BN$1:$BY$3),$BN$4:$BY$4),""),
"")</f>
        <v/>
      </c>
      <c r="CL121" s="8" t="str">
        <f>IF(_xlfn.XLOOKUP($B121,'ELC TECH'!$H:$H,'ELC TECH'!$E:$E)="Storage",CL$4*$BF121,"")</f>
        <v/>
      </c>
      <c r="CM121" s="8" t="str">
        <f>IF(_xlfn.XLOOKUP($B121,'ELC TECH'!$H:$H,'ELC TECH'!$E:$E)="Storage",CM$4*$BF121,"")</f>
        <v/>
      </c>
      <c r="CN121" s="8" t="str">
        <f>IF(_xlfn.XLOOKUP($B121,'ELC TECH'!$H:$H,'ELC TECH'!$E:$E)="Storage",CN$4*$BF121,"")</f>
        <v/>
      </c>
      <c r="CO121" s="8" t="str">
        <f>IF(_xlfn.XLOOKUP($B121,'ELC TECH'!$H:$H,'ELC TECH'!$E:$E)="Storage",CO$4*$BF121,"")</f>
        <v/>
      </c>
      <c r="CP121" s="8" t="str">
        <f>IF(_xlfn.XLOOKUP($B121,'ELC TECH'!$H:$H,'ELC TECH'!$E:$E)="Storage",CP$4*$BF121,"")</f>
        <v/>
      </c>
      <c r="CQ121" s="8" t="str">
        <f>IF(_xlfn.XLOOKUP($B121,'ELC TECH'!$H:$H,'ELC TECH'!$E:$E)="Storage",CQ$4*$BF121,"")</f>
        <v/>
      </c>
      <c r="CR121" s="8" t="str">
        <f>IF(_xlfn.XLOOKUP($B121,'ELC TECH'!$H:$H,'ELC TECH'!$E:$E)="Storage",CR$4*$BF121,"")</f>
        <v/>
      </c>
      <c r="CS121" s="8" t="str">
        <f>IF(_xlfn.XLOOKUP($B121,'ELC TECH'!$H:$H,'ELC TECH'!$E:$E)="Storage",CS$4*$BF121,"")</f>
        <v/>
      </c>
      <c r="CT121" s="8" t="str">
        <f>IF(_xlfn.XLOOKUP($B121,'ELC TECH'!$H:$H,'ELC TECH'!$E:$E)="Storage",CT$4*$BF121,"")</f>
        <v/>
      </c>
      <c r="CU121" s="8" t="str">
        <f>IF(_xlfn.XLOOKUP($B121,'ELC TECH'!$H:$H,'ELC TECH'!$E:$E)="Storage",CU$4*$BF121,"")</f>
        <v/>
      </c>
      <c r="CV121" s="8" t="str">
        <f>IF(_xlfn.XLOOKUP($B121,'ELC TECH'!$H:$H,'ELC TECH'!$E:$E)="Storage",CV$4*$BF121,"")</f>
        <v/>
      </c>
      <c r="CW121" s="8" t="str">
        <f>IF(_xlfn.XLOOKUP($B121,'ELC TECH'!$H:$H,'ELC TECH'!$E:$E)="Storage",CW$4*$BF121,"")</f>
        <v/>
      </c>
      <c r="CX121" s="8" t="str">
        <f>IF(_xlfn.XLOOKUP($B121,'ELC TECH'!$H:$H,'ELC TECH'!$E:$E)="Storage",CX$4*$BF121,"")</f>
        <v/>
      </c>
      <c r="CY121" s="8" t="str">
        <f>IF(_xlfn.XLOOKUP($B121,'ELC TECH'!$H:$H,'ELC TECH'!$E:$E)="Storage",CY$4*$BF121,"")</f>
        <v/>
      </c>
      <c r="CZ121" s="8" t="str">
        <f>IF(_xlfn.XLOOKUP($B121,'ELC TECH'!$H:$H,'ELC TECH'!$E:$E)="Storage",CZ$4*$BF121,"")</f>
        <v/>
      </c>
      <c r="DA121" s="8" t="str">
        <f>IF(_xlfn.XLOOKUP($B121,'ELC TECH'!$H:$H,'ELC TECH'!$E:$E)="Storage",DA$4*$BF121,"")</f>
        <v/>
      </c>
      <c r="DB121" s="8" t="str">
        <f>IF(_xlfn.XLOOKUP($B121,'ELC TECH'!$H:$H,'ELC TECH'!$E:$E)="Storage",DB$4*$BF121,"")</f>
        <v/>
      </c>
      <c r="DC121" s="8" t="str">
        <f>IF(_xlfn.XLOOKUP($B121,'ELC TECH'!$H:$H,'ELC TECH'!$E:$E)="Storage",DC$4*$BF121,"")</f>
        <v/>
      </c>
      <c r="DD121" s="8" t="str">
        <f>IF(_xlfn.XLOOKUP($B121,'ELC TECH'!$H:$H,'ELC TECH'!$E:$E)="Storage",DD$4*$BF121,"")</f>
        <v/>
      </c>
      <c r="DE121" s="8" t="str">
        <f>IF(_xlfn.XLOOKUP($B121,'ELC TECH'!$H:$H,'ELC TECH'!$E:$E)="Storage",DE$4*$BF121,"")</f>
        <v/>
      </c>
      <c r="DF121" s="8" t="str">
        <f>IF(_xlfn.XLOOKUP($B121,'ELC TECH'!$H:$H,'ELC TECH'!$E:$E)="Storage",DF$4*$BF121,"")</f>
        <v/>
      </c>
      <c r="DG121" s="8" t="str">
        <f>IF(_xlfn.XLOOKUP($B121,'ELC TECH'!$H:$H,'ELC TECH'!$E:$E)="Storage",DG$4*$BF121,"")</f>
        <v/>
      </c>
      <c r="DH121" s="8" t="str">
        <f>IF(_xlfn.XLOOKUP($B121,'ELC TECH'!$H:$H,'ELC TECH'!$E:$E)="Storage",DH$4*$BF121,"")</f>
        <v/>
      </c>
      <c r="DI121" s="8" t="str">
        <f>IF(_xlfn.XLOOKUP($B121,'ELC TECH'!$H:$H,'ELC TECH'!$E:$E)="Storage",DI$4*$BF121,"")</f>
        <v/>
      </c>
    </row>
    <row r="122" spans="2:113" x14ac:dyDescent="0.25">
      <c r="B122" t="str">
        <f>IF('ELC TECH'!I115=0,"*",'ELC TECH'!H115)</f>
        <v>ELCSTGGRDUBES10H20</v>
      </c>
      <c r="C122" t="str">
        <f>IF(_xlfn.XLOOKUP(_xlfn.XLOOKUP(B122,'ELC TECH'!$H:$H,'ELC TECH'!$G:$G),List!C:C,List!B:B)="STG",D122,"ELC"&amp;_xlfn.XLOOKUP(_xlfn.XLOOKUP(B122,'ELC TECH'!H:H,'ELC TECH'!G:G),List!C:C,List!B:B))</f>
        <v>CELC</v>
      </c>
      <c r="D122" t="s">
        <v>544</v>
      </c>
      <c r="E122">
        <f>_xlfn.XLOOKUP(B122,'ELC TECH'!H:H,'ELC TECH'!D:D)</f>
        <v>2020</v>
      </c>
      <c r="F122">
        <f>_xlfn.XLOOKUP(B122,'ELC TECH'!H:H,'ELC TECH'!K:K)</f>
        <v>15</v>
      </c>
      <c r="G122">
        <f t="shared" si="7"/>
        <v>31.535999999999998</v>
      </c>
      <c r="H122">
        <f>IF(_xlfn.XLOOKUP(B122,'ELC TECH'!$H:$H,'ELC TECH'!$E:$E)="Storage",0.3,IF(_xlfn.XLOOKUP(B122,'ELC TECH'!$H:$H,'ELC TECH'!$E:$E)="Baseload",0.9,IF(_xlfn.XLOOKUP(B122,'ELC TECH'!$H:$H,'ELC TECH'!$E:$E)="Non Dispatchable",0.05,IF(_xlfn.XLOOKUP(B122,'ELC TECH'!$H:$H,'ELC TECH'!$E:$E)="Dispatchable",0.9,1))))</f>
        <v>0.3</v>
      </c>
      <c r="I122" s="13" t="str">
        <f>IF(_xlfn.XLOOKUP(B122,'ELC TECH'!H:H,'ELC TECH'!J:J)="","",_xlfn.XLOOKUP(B122,'ELC TECH'!H:H,'ELC TECH'!J:J))</f>
        <v/>
      </c>
      <c r="J122" s="12" t="str">
        <f>IF(_xlfn.XLOOKUP($B122,'ELC TECH'!$H:$H,'ELC TECH'!$E:$E)="Storage","",IF(_xlfn.XLOOKUP($B122,'ELC TECH'!$H:$H,'ELC TECH'!AK:AK)="",1,_xlfn.XLOOKUP($B122,'ELC TECH'!$H:$H,'ELC TECH'!AK:AK)))</f>
        <v/>
      </c>
      <c r="K122" s="12" t="str">
        <f>IF(_xlfn.XLOOKUP($B122,'ELC TECH'!$H:$H,'ELC TECH'!$E:$E)="Storage","",IF(_xlfn.XLOOKUP($B122,'ELC TECH'!$H:$H,'ELC TECH'!AL:AL)="",1,_xlfn.XLOOKUP($B122,'ELC TECH'!$H:$H,'ELC TECH'!AL:AL)))</f>
        <v/>
      </c>
      <c r="L122" s="12" t="str">
        <f>IF(_xlfn.XLOOKUP($B122,'ELC TECH'!$H:$H,'ELC TECH'!$E:$E)="Storage","",IF(_xlfn.XLOOKUP($B122,'ELC TECH'!$H:$H,'ELC TECH'!AM:AM)="",1,_xlfn.XLOOKUP($B122,'ELC TECH'!$H:$H,'ELC TECH'!AM:AM)))</f>
        <v/>
      </c>
      <c r="M122" s="12" t="str">
        <f>IF(_xlfn.XLOOKUP($B122,'ELC TECH'!$H:$H,'ELC TECH'!$E:$E)="Storage","",IF(_xlfn.XLOOKUP($B122,'ELC TECH'!$H:$H,'ELC TECH'!AN:AN)="",1,_xlfn.XLOOKUP($B122,'ELC TECH'!$H:$H,'ELC TECH'!AN:AN)))</f>
        <v/>
      </c>
      <c r="N122" s="12" t="str">
        <f>IF(_xlfn.XLOOKUP($B122,'ELC TECH'!$H:$H,'ELC TECH'!$E:$E)="Storage","",IF(_xlfn.XLOOKUP($B122,'ELC TECH'!$H:$H,'ELC TECH'!AO:AO)="",1,_xlfn.XLOOKUP($B122,'ELC TECH'!$H:$H,'ELC TECH'!AO:AO)))</f>
        <v/>
      </c>
      <c r="O122" s="12" t="str">
        <f>IF(_xlfn.XLOOKUP($B122,'ELC TECH'!$H:$H,'ELC TECH'!$E:$E)="Storage","",IF(_xlfn.XLOOKUP($B122,'ELC TECH'!$H:$H,'ELC TECH'!AP:AP)="",1,_xlfn.XLOOKUP($B122,'ELC TECH'!$H:$H,'ELC TECH'!AP:AP)))</f>
        <v/>
      </c>
      <c r="P122" s="12" t="str">
        <f>IF(_xlfn.XLOOKUP($B122,'ELC TECH'!$H:$H,'ELC TECH'!$E:$E)="Storage","",IF(_xlfn.XLOOKUP($B122,'ELC TECH'!$H:$H,'ELC TECH'!AQ:AQ)="",1,_xlfn.XLOOKUP($B122,'ELC TECH'!$H:$H,'ELC TECH'!AQ:AQ)))</f>
        <v/>
      </c>
      <c r="Q122" s="12" t="str">
        <f>IF(_xlfn.XLOOKUP($B122,'ELC TECH'!$H:$H,'ELC TECH'!$E:$E)="Storage","",IF(_xlfn.XLOOKUP($B122,'ELC TECH'!$H:$H,'ELC TECH'!AR:AR)="",1,_xlfn.XLOOKUP($B122,'ELC TECH'!$H:$H,'ELC TECH'!AR:AR)))</f>
        <v/>
      </c>
      <c r="R122" s="12">
        <f>IF(_xlfn.XLOOKUP($B122,'ELC TECH'!$H:$H,'ELC TECH'!$E:$E)&lt;&gt;"Storage","",IF(_xlfn.XLOOKUP($B122,'ELC TECH'!$H:$H,'ELC TECH'!AK:AK)="",0.8,_xlfn.XLOOKUP($B122,'ELC TECH'!$H:$H,'ELC TECH'!AK:AK)))</f>
        <v>0.8</v>
      </c>
      <c r="S122" s="12">
        <f>IF(_xlfn.XLOOKUP($B122,'ELC TECH'!$H:$H,'ELC TECH'!$E:$E)&lt;&gt;"Storage","",IF(_xlfn.XLOOKUP($B122,'ELC TECH'!$H:$H,'ELC TECH'!AL:AL)="",0.8,_xlfn.XLOOKUP($B122,'ELC TECH'!$H:$H,'ELC TECH'!AL:AL)))</f>
        <v>0.8</v>
      </c>
      <c r="T122" s="12">
        <f>IF(_xlfn.XLOOKUP($B122,'ELC TECH'!$H:$H,'ELC TECH'!$E:$E)&lt;&gt;"Storage","",IF(_xlfn.XLOOKUP($B122,'ELC TECH'!$H:$H,'ELC TECH'!AM:AM)="",0.8,_xlfn.XLOOKUP($B122,'ELC TECH'!$H:$H,'ELC TECH'!AM:AM)))</f>
        <v>0.8</v>
      </c>
      <c r="U122" s="12">
        <f>IF(_xlfn.XLOOKUP($B122,'ELC TECH'!$H:$H,'ELC TECH'!$E:$E)&lt;&gt;"Storage","",IF(_xlfn.XLOOKUP($B122,'ELC TECH'!$H:$H,'ELC TECH'!AN:AN)="",0.8,_xlfn.XLOOKUP($B122,'ELC TECH'!$H:$H,'ELC TECH'!AN:AN)))</f>
        <v>0.8</v>
      </c>
      <c r="V122" s="12">
        <f>IF(_xlfn.XLOOKUP($B122,'ELC TECH'!$H:$H,'ELC TECH'!$E:$E)&lt;&gt;"Storage","",IF(_xlfn.XLOOKUP($B122,'ELC TECH'!$H:$H,'ELC TECH'!AO:AO)="",0.8,_xlfn.XLOOKUP($B122,'ELC TECH'!$H:$H,'ELC TECH'!AO:AO)))</f>
        <v>0.8</v>
      </c>
      <c r="W122" s="12">
        <f>IF(_xlfn.XLOOKUP($B122,'ELC TECH'!$H:$H,'ELC TECH'!$E:$E)&lt;&gt;"Storage","",IF(_xlfn.XLOOKUP($B122,'ELC TECH'!$H:$H,'ELC TECH'!AP:AP)="",0.8,_xlfn.XLOOKUP($B122,'ELC TECH'!$H:$H,'ELC TECH'!AP:AP)))</f>
        <v>0.8</v>
      </c>
      <c r="X122" s="12">
        <f>IF(_xlfn.XLOOKUP($B122,'ELC TECH'!$H:$H,'ELC TECH'!$E:$E)&lt;&gt;"Storage","",IF(_xlfn.XLOOKUP($B122,'ELC TECH'!$H:$H,'ELC TECH'!AQ:AQ)="",0.8,_xlfn.XLOOKUP($B122,'ELC TECH'!$H:$H,'ELC TECH'!AQ:AQ)))</f>
        <v>0.8</v>
      </c>
      <c r="Y122" s="12">
        <f>IF(_xlfn.XLOOKUP($B122,'ELC TECH'!$H:$H,'ELC TECH'!$E:$E)&lt;&gt;"Storage","",IF(_xlfn.XLOOKUP($B122,'ELC TECH'!$H:$H,'ELC TECH'!AR:AR)="",0.8,_xlfn.XLOOKUP($B122,'ELC TECH'!$H:$H,'ELC TECH'!AR:AR)))</f>
        <v>0.8</v>
      </c>
      <c r="Z122" s="15">
        <f>_xlfn.XLOOKUP($B122,'ELC TECH'!$H:$H,'ELC TECH'!M:M)</f>
        <v>3979.7975262002992</v>
      </c>
      <c r="AA122" s="15">
        <f>_xlfn.XLOOKUP($B122,'ELC TECH'!$H:$H,'ELC TECH'!N:N)</f>
        <v>3570.95885713092</v>
      </c>
      <c r="AB122" s="15">
        <f>_xlfn.XLOOKUP($B122,'ELC TECH'!$H:$H,'ELC TECH'!O:O)</f>
        <v>2904.7141442618358</v>
      </c>
      <c r="AC122" s="15">
        <f>_xlfn.XLOOKUP($B122,'ELC TECH'!$H:$H,'ELC TECH'!P:P)</f>
        <v>2659.4796578177579</v>
      </c>
      <c r="AD122" s="15">
        <f>_xlfn.XLOOKUP($B122,'ELC TECH'!$H:$H,'ELC TECH'!Q:Q)</f>
        <v>2415.0338331035132</v>
      </c>
      <c r="AE122" s="15">
        <f>_xlfn.XLOOKUP($B122,'ELC TECH'!$H:$H,'ELC TECH'!R:R)</f>
        <v>2171.5586569045131</v>
      </c>
      <c r="AF122" s="15">
        <f>_xlfn.XLOOKUP($B122,'ELC TECH'!$H:$H,'ELC TECH'!S:S)</f>
        <v>1929.2967739077051</v>
      </c>
      <c r="AG122" s="15">
        <f>_xlfn.XLOOKUP($B122,'ELC TECH'!$H:$H,'ELC TECH'!T:T)</f>
        <v>1929.2967739077051</v>
      </c>
      <c r="AH122" s="15">
        <f>_xlfn.XLOOKUP($B122,'ELC TECH'!$H:$H,'ELC TECH'!U:U)</f>
        <v>99.494938155007475</v>
      </c>
      <c r="AI122" s="15">
        <f>_xlfn.XLOOKUP($B122,'ELC TECH'!$H:$H,'ELC TECH'!V:V)</f>
        <v>89.273971428273015</v>
      </c>
      <c r="AJ122" s="15">
        <f>_xlfn.XLOOKUP($B122,'ELC TECH'!$H:$H,'ELC TECH'!W:W)</f>
        <v>72.617853606545964</v>
      </c>
      <c r="AK122" s="15">
        <f>_xlfn.XLOOKUP($B122,'ELC TECH'!$H:$H,'ELC TECH'!X:X)</f>
        <v>66.486991445444076</v>
      </c>
      <c r="AL122" s="15">
        <f>_xlfn.XLOOKUP($B122,'ELC TECH'!$H:$H,'ELC TECH'!Y:Y)</f>
        <v>60.375845827587987</v>
      </c>
      <c r="AM122" s="15">
        <f>_xlfn.XLOOKUP($B122,'ELC TECH'!$H:$H,'ELC TECH'!Z:Z)</f>
        <v>54.288966422612823</v>
      </c>
      <c r="AN122" s="15">
        <f>_xlfn.XLOOKUP($B122,'ELC TECH'!$H:$H,'ELC TECH'!AA:AA)</f>
        <v>48.232419347692897</v>
      </c>
      <c r="AO122" s="15">
        <f>_xlfn.XLOOKUP($B122,'ELC TECH'!$H:$H,'ELC TECH'!AB:AB)</f>
        <v>48.232419347692897</v>
      </c>
      <c r="AP122" s="15">
        <f>_xlfn.XLOOKUP($B122,'ELC TECH'!$H:$H,'ELC TECH'!AC:AC)</f>
        <v>0</v>
      </c>
      <c r="AQ122" s="15">
        <f>_xlfn.XLOOKUP($B122,'ELC TECH'!$H:$H,'ELC TECH'!AD:AD)</f>
        <v>0</v>
      </c>
      <c r="AR122" s="15">
        <f>_xlfn.XLOOKUP($B122,'ELC TECH'!$H:$H,'ELC TECH'!AE:AE)</f>
        <v>0</v>
      </c>
      <c r="AS122" s="15">
        <f>_xlfn.XLOOKUP($B122,'ELC TECH'!$H:$H,'ELC TECH'!AF:AF)</f>
        <v>0</v>
      </c>
      <c r="AT122" s="15">
        <f>_xlfn.XLOOKUP($B122,'ELC TECH'!$H:$H,'ELC TECH'!AG:AG)</f>
        <v>0</v>
      </c>
      <c r="AU122" s="15">
        <f>_xlfn.XLOOKUP($B122,'ELC TECH'!$H:$H,'ELC TECH'!AH:AH)</f>
        <v>0</v>
      </c>
      <c r="AV122" s="15">
        <f>_xlfn.XLOOKUP($B122,'ELC TECH'!$H:$H,'ELC TECH'!AI:AI)</f>
        <v>0</v>
      </c>
      <c r="AW122" s="15">
        <f>_xlfn.XLOOKUP($B122,'ELC TECH'!$H:$H,'ELC TECH'!AJ:AJ)</f>
        <v>0</v>
      </c>
      <c r="AX122" s="12" t="str">
        <f>IF(_xlfn.XLOOKUP($B122,'ELC TECH'!$H:$H,'ELC TECH'!$E:$E)="Storage","",_xlfn.XLOOKUP($B122,'ELC TECH'!$H:$H,'ELC TECH'!AS:AS))</f>
        <v/>
      </c>
      <c r="AY122" s="12" t="str">
        <f>IF(_xlfn.XLOOKUP($B122,'ELC TECH'!$H:$H,'ELC TECH'!$E:$E)="Storage","",_xlfn.XLOOKUP($B122,'ELC TECH'!$H:$H,'ELC TECH'!AT:AT))</f>
        <v/>
      </c>
      <c r="AZ122" s="12" t="str">
        <f>IF(_xlfn.XLOOKUP($B122,'ELC TECH'!$H:$H,'ELC TECH'!$E:$E)="Storage","",_xlfn.XLOOKUP($B122,'ELC TECH'!$H:$H,'ELC TECH'!AU:AU))</f>
        <v/>
      </c>
      <c r="BA122" s="12" t="str">
        <f>IF(_xlfn.XLOOKUP($B122,'ELC TECH'!$H:$H,'ELC TECH'!$E:$E)="Storage","",_xlfn.XLOOKUP($B122,'ELC TECH'!$H:$H,'ELC TECH'!AV:AV))</f>
        <v/>
      </c>
      <c r="BB122" s="12" t="str">
        <f>IF(_xlfn.XLOOKUP($B122,'ELC TECH'!$H:$H,'ELC TECH'!$E:$E)="Storage","",_xlfn.XLOOKUP($B122,'ELC TECH'!$H:$H,'ELC TECH'!AW:AW))</f>
        <v/>
      </c>
      <c r="BC122" s="12" t="str">
        <f>IF(_xlfn.XLOOKUP($B122,'ELC TECH'!$H:$H,'ELC TECH'!$E:$E)="Storage","",_xlfn.XLOOKUP($B122,'ELC TECH'!$H:$H,'ELC TECH'!AX:AX))</f>
        <v/>
      </c>
      <c r="BD122" s="12" t="str">
        <f>IF(_xlfn.XLOOKUP($B122,'ELC TECH'!$H:$H,'ELC TECH'!$E:$E)="Storage","",_xlfn.XLOOKUP($B122,'ELC TECH'!$H:$H,'ELC TECH'!AY:AY))</f>
        <v/>
      </c>
      <c r="BE122" s="12" t="str">
        <f>IF(_xlfn.XLOOKUP($B122,'ELC TECH'!$H:$H,'ELC TECH'!$E:$E)="Storage","",_xlfn.XLOOKUP($B122,'ELC TECH'!$H:$H,'ELC TECH'!AZ:AZ))</f>
        <v/>
      </c>
      <c r="BF122" s="12">
        <f>IF(_xlfn.XLOOKUP($B122,'ELC TECH'!$H:$H,'ELC TECH'!$E:$E)="Storage",_xlfn.XLOOKUP($B122,'ELC TECH'!$H:$H,'ELC TECH'!AS:AS),"")</f>
        <v>0.41666666666666669</v>
      </c>
      <c r="BG122" s="12">
        <f>IF(_xlfn.XLOOKUP($B122,'ELC TECH'!$H:$H,'ELC TECH'!$E:$E)="Storage",_xlfn.XLOOKUP($B122,'ELC TECH'!$H:$H,'ELC TECH'!AT:AT),"")</f>
        <v>0.41666666666666669</v>
      </c>
      <c r="BH122" s="12">
        <f>IF(_xlfn.XLOOKUP($B122,'ELC TECH'!$H:$H,'ELC TECH'!$E:$E)="Storage",_xlfn.XLOOKUP($B122,'ELC TECH'!$H:$H,'ELC TECH'!AU:AU),"")</f>
        <v>0.41666666666666669</v>
      </c>
      <c r="BI122" s="12">
        <f>IF(_xlfn.XLOOKUP($B122,'ELC TECH'!$H:$H,'ELC TECH'!$E:$E)="Storage",_xlfn.XLOOKUP($B122,'ELC TECH'!$H:$H,'ELC TECH'!AV:AV),"")</f>
        <v>0.41666666666666669</v>
      </c>
      <c r="BJ122" s="12">
        <f>IF(_xlfn.XLOOKUP($B122,'ELC TECH'!$H:$H,'ELC TECH'!$E:$E)="Storage",_xlfn.XLOOKUP($B122,'ELC TECH'!$H:$H,'ELC TECH'!AW:AW),"")</f>
        <v>0.41666666666666669</v>
      </c>
      <c r="BK122" s="12">
        <f>IF(_xlfn.XLOOKUP($B122,'ELC TECH'!$H:$H,'ELC TECH'!$E:$E)="Storage",_xlfn.XLOOKUP($B122,'ELC TECH'!$H:$H,'ELC TECH'!AX:AX),"")</f>
        <v>0.41666666666666669</v>
      </c>
      <c r="BL122" s="12">
        <f>IF(_xlfn.XLOOKUP($B122,'ELC TECH'!$H:$H,'ELC TECH'!$E:$E)="Storage",_xlfn.XLOOKUP($B122,'ELC TECH'!$H:$H,'ELC TECH'!AY:AY),"")</f>
        <v>0.41666666666666669</v>
      </c>
      <c r="BM122" s="12">
        <f>IF(_xlfn.XLOOKUP($B122,'ELC TECH'!$H:$H,'ELC TECH'!$E:$E)="Storage",_xlfn.XLOOKUP($B122,'ELC TECH'!$H:$H,'ELC TECH'!AZ:AZ),"")</f>
        <v>0.41666666666666669</v>
      </c>
      <c r="BN122" s="8" t="str">
        <f>IF(_xlfn.XLOOKUP($B122,'ELC TECH'!$H:$H,'ELC TECH'!$E:$E)="Non Dispatchable",IFERROR($AX122*_xlfn.XLOOKUP($C122,$BM$1:$BM$3,BN$1:BN$3)/SUMPRODUCT(_xlfn.XLOOKUP($C122,$BM$1:$BM$3,$BN$1:$BY$3),$BN$4:$BY$4),""),
"")</f>
        <v/>
      </c>
      <c r="BO122" s="8" t="str">
        <f>IF(_xlfn.XLOOKUP($B122,'ELC TECH'!$H:$H,'ELC TECH'!$E:$E)="Non Dispatchable",IFERROR($AX122*_xlfn.XLOOKUP($C122,$BM$1:$BM$3,BO$1:BO$3)/SUMPRODUCT(_xlfn.XLOOKUP($C122,$BM$1:$BM$3,$BN$1:$BY$3),$BN$4:$BY$4),""),
"")</f>
        <v/>
      </c>
      <c r="BP122" s="8" t="str">
        <f>IF(_xlfn.XLOOKUP($B122,'ELC TECH'!$H:$H,'ELC TECH'!$E:$E)="Non Dispatchable",IFERROR($AX122*_xlfn.XLOOKUP($C122,$BM$1:$BM$3,BP$1:BP$3)/SUMPRODUCT(_xlfn.XLOOKUP($C122,$BM$1:$BM$3,$BN$1:$BY$3),$BN$4:$BY$4),""),
"")</f>
        <v/>
      </c>
      <c r="BQ122" s="8" t="str">
        <f>IF(_xlfn.XLOOKUP($B122,'ELC TECH'!$H:$H,'ELC TECH'!$E:$E)="Non Dispatchable",IFERROR($AX122*_xlfn.XLOOKUP($C122,$BM$1:$BM$3,BQ$1:BQ$3)/SUMPRODUCT(_xlfn.XLOOKUP($C122,$BM$1:$BM$3,$BN$1:$BY$3),$BN$4:$BY$4),""),
"")</f>
        <v/>
      </c>
      <c r="BR122" s="8" t="str">
        <f>IF(_xlfn.XLOOKUP($B122,'ELC TECH'!$H:$H,'ELC TECH'!$E:$E)="Non Dispatchable",IFERROR($AX122*_xlfn.XLOOKUP($C122,$BM$1:$BM$3,BR$1:BR$3)/SUMPRODUCT(_xlfn.XLOOKUP($C122,$BM$1:$BM$3,$BN$1:$BY$3),$BN$4:$BY$4),""),
"")</f>
        <v/>
      </c>
      <c r="BS122" s="8" t="str">
        <f>IF(_xlfn.XLOOKUP($B122,'ELC TECH'!$H:$H,'ELC TECH'!$E:$E)="Non Dispatchable",IFERROR($AX122*_xlfn.XLOOKUP($C122,$BM$1:$BM$3,BS$1:BS$3)/SUMPRODUCT(_xlfn.XLOOKUP($C122,$BM$1:$BM$3,$BN$1:$BY$3),$BN$4:$BY$4),""),
"")</f>
        <v/>
      </c>
      <c r="BT122" s="8" t="str">
        <f>IF(_xlfn.XLOOKUP($B122,'ELC TECH'!$H:$H,'ELC TECH'!$E:$E)="Non Dispatchable",IFERROR($AX122*_xlfn.XLOOKUP($C122,$BM$1:$BM$3,BT$1:BT$3)/SUMPRODUCT(_xlfn.XLOOKUP($C122,$BM$1:$BM$3,$BN$1:$BY$3),$BN$4:$BY$4),""),
"")</f>
        <v/>
      </c>
      <c r="BU122" s="8" t="str">
        <f>IF(_xlfn.XLOOKUP($B122,'ELC TECH'!$H:$H,'ELC TECH'!$E:$E)="Non Dispatchable",IFERROR($AX122*_xlfn.XLOOKUP($C122,$BM$1:$BM$3,BU$1:BU$3)/SUMPRODUCT(_xlfn.XLOOKUP($C122,$BM$1:$BM$3,$BN$1:$BY$3),$BN$4:$BY$4),""),
"")</f>
        <v/>
      </c>
      <c r="BV122" s="8" t="str">
        <f>IF(_xlfn.XLOOKUP($B122,'ELC TECH'!$H:$H,'ELC TECH'!$E:$E)="Non Dispatchable",IFERROR($AX122*_xlfn.XLOOKUP($C122,$BM$1:$BM$3,BV$1:BV$3)/SUMPRODUCT(_xlfn.XLOOKUP($C122,$BM$1:$BM$3,$BN$1:$BY$3),$BN$4:$BY$4),""),
"")</f>
        <v/>
      </c>
      <c r="BW122" s="8" t="str">
        <f>IF(_xlfn.XLOOKUP($B122,'ELC TECH'!$H:$H,'ELC TECH'!$E:$E)="Non Dispatchable",IFERROR($AX122*_xlfn.XLOOKUP($C122,$BM$1:$BM$3,BW$1:BW$3)/SUMPRODUCT(_xlfn.XLOOKUP($C122,$BM$1:$BM$3,$BN$1:$BY$3),$BN$4:$BY$4),""),
"")</f>
        <v/>
      </c>
      <c r="BX122" s="8" t="str">
        <f>IF(_xlfn.XLOOKUP($B122,'ELC TECH'!$H:$H,'ELC TECH'!$E:$E)="Non Dispatchable",IFERROR($AX122*_xlfn.XLOOKUP($C122,$BM$1:$BM$3,BX$1:BX$3)/SUMPRODUCT(_xlfn.XLOOKUP($C122,$BM$1:$BM$3,$BN$1:$BY$3),$BN$4:$BY$4),""),
"")</f>
        <v/>
      </c>
      <c r="BY122" s="8" t="str">
        <f>IF(_xlfn.XLOOKUP($B122,'ELC TECH'!$H:$H,'ELC TECH'!$E:$E)="Non Dispatchable",IFERROR($AX122*_xlfn.XLOOKUP($C122,$BM$1:$BM$3,BY$1:BY$3)/SUMPRODUCT(_xlfn.XLOOKUP($C122,$BM$1:$BM$3,$BN$1:$BY$3),$BN$4:$BY$4),""),
"")</f>
        <v/>
      </c>
      <c r="BZ122" s="8" t="str">
        <f>IF(_xlfn.XLOOKUP($B122,'ELC TECH'!$H:$H,'ELC TECH'!$E:$E)="Non Dispatchable",IFERROR($AX122*_xlfn.XLOOKUP($C122,$BM$1:$BM$3,BZ$1:BZ$3)/SUMPRODUCT(_xlfn.XLOOKUP($C122,$BM$1:$BM$3,$BN$1:$BY$3),$BN$4:$BY$4),""),
"")</f>
        <v/>
      </c>
      <c r="CA122" s="8" t="str">
        <f>IF(_xlfn.XLOOKUP($B122,'ELC TECH'!$H:$H,'ELC TECH'!$E:$E)="Non Dispatchable",IFERROR($AX122*_xlfn.XLOOKUP($C122,$BM$1:$BM$3,CA$1:CA$3)/SUMPRODUCT(_xlfn.XLOOKUP($C122,$BM$1:$BM$3,$BN$1:$BY$3),$BN$4:$BY$4),""),
"")</f>
        <v/>
      </c>
      <c r="CB122" s="8" t="str">
        <f>IF(_xlfn.XLOOKUP($B122,'ELC TECH'!$H:$H,'ELC TECH'!$E:$E)="Non Dispatchable",IFERROR($AX122*_xlfn.XLOOKUP($C122,$BM$1:$BM$3,CB$1:CB$3)/SUMPRODUCT(_xlfn.XLOOKUP($C122,$BM$1:$BM$3,$BN$1:$BY$3),$BN$4:$BY$4),""),
"")</f>
        <v/>
      </c>
      <c r="CC122" s="8" t="str">
        <f>IF(_xlfn.XLOOKUP($B122,'ELC TECH'!$H:$H,'ELC TECH'!$E:$E)="Non Dispatchable",IFERROR($AX122*_xlfn.XLOOKUP($C122,$BM$1:$BM$3,CC$1:CC$3)/SUMPRODUCT(_xlfn.XLOOKUP($C122,$BM$1:$BM$3,$BN$1:$BY$3),$BN$4:$BY$4),""),
"")</f>
        <v/>
      </c>
      <c r="CD122" s="8" t="str">
        <f>IF(_xlfn.XLOOKUP($B122,'ELC TECH'!$H:$H,'ELC TECH'!$E:$E)="Non Dispatchable",IFERROR($AX122*_xlfn.XLOOKUP($C122,$BM$1:$BM$3,CD$1:CD$3)/SUMPRODUCT(_xlfn.XLOOKUP($C122,$BM$1:$BM$3,$BN$1:$BY$3),$BN$4:$BY$4),""),
"")</f>
        <v/>
      </c>
      <c r="CE122" s="8" t="str">
        <f>IF(_xlfn.XLOOKUP($B122,'ELC TECH'!$H:$H,'ELC TECH'!$E:$E)="Non Dispatchable",IFERROR($AX122*_xlfn.XLOOKUP($C122,$BM$1:$BM$3,CE$1:CE$3)/SUMPRODUCT(_xlfn.XLOOKUP($C122,$BM$1:$BM$3,$BN$1:$BY$3),$BN$4:$BY$4),""),
"")</f>
        <v/>
      </c>
      <c r="CF122" s="8" t="str">
        <f>IF(_xlfn.XLOOKUP($B122,'ELC TECH'!$H:$H,'ELC TECH'!$E:$E)="Non Dispatchable",IFERROR($AX122*_xlfn.XLOOKUP($C122,$BM$1:$BM$3,CF$1:CF$3)/SUMPRODUCT(_xlfn.XLOOKUP($C122,$BM$1:$BM$3,$BN$1:$BY$3),$BN$4:$BY$4),""),
"")</f>
        <v/>
      </c>
      <c r="CG122" s="8" t="str">
        <f>IF(_xlfn.XLOOKUP($B122,'ELC TECH'!$H:$H,'ELC TECH'!$E:$E)="Non Dispatchable",IFERROR($AX122*_xlfn.XLOOKUP($C122,$BM$1:$BM$3,CG$1:CG$3)/SUMPRODUCT(_xlfn.XLOOKUP($C122,$BM$1:$BM$3,$BN$1:$BY$3),$BN$4:$BY$4),""),
"")</f>
        <v/>
      </c>
      <c r="CH122" s="8" t="str">
        <f>IF(_xlfn.XLOOKUP($B122,'ELC TECH'!$H:$H,'ELC TECH'!$E:$E)="Non Dispatchable",IFERROR($AX122*_xlfn.XLOOKUP($C122,$BM$1:$BM$3,CH$1:CH$3)/SUMPRODUCT(_xlfn.XLOOKUP($C122,$BM$1:$BM$3,$BN$1:$BY$3),$BN$4:$BY$4),""),
"")</f>
        <v/>
      </c>
      <c r="CI122" s="8" t="str">
        <f>IF(_xlfn.XLOOKUP($B122,'ELC TECH'!$H:$H,'ELC TECH'!$E:$E)="Non Dispatchable",IFERROR($AX122*_xlfn.XLOOKUP($C122,$BM$1:$BM$3,CI$1:CI$3)/SUMPRODUCT(_xlfn.XLOOKUP($C122,$BM$1:$BM$3,$BN$1:$BY$3),$BN$4:$BY$4),""),
"")</f>
        <v/>
      </c>
      <c r="CJ122" s="8" t="str">
        <f>IF(_xlfn.XLOOKUP($B122,'ELC TECH'!$H:$H,'ELC TECH'!$E:$E)="Non Dispatchable",IFERROR($AX122*_xlfn.XLOOKUP($C122,$BM$1:$BM$3,CJ$1:CJ$3)/SUMPRODUCT(_xlfn.XLOOKUP($C122,$BM$1:$BM$3,$BN$1:$BY$3),$BN$4:$BY$4),""),
"")</f>
        <v/>
      </c>
      <c r="CK122" s="8" t="str">
        <f>IF(_xlfn.XLOOKUP($B122,'ELC TECH'!$H:$H,'ELC TECH'!$E:$E)="Non Dispatchable",IFERROR($AX122*_xlfn.XLOOKUP($C122,$BM$1:$BM$3,CK$1:CK$3)/SUMPRODUCT(_xlfn.XLOOKUP($C122,$BM$1:$BM$3,$BN$1:$BY$3),$BN$4:$BY$4),""),
"")</f>
        <v/>
      </c>
      <c r="CL122" s="8">
        <f>IF(_xlfn.XLOOKUP($B122,'ELC TECH'!$H:$H,'ELC TECH'!$E:$E)="Storage",CL$4*$BF122,"")</f>
        <v>3.4250000000000003E-2</v>
      </c>
      <c r="CM122" s="8">
        <f>IF(_xlfn.XLOOKUP($B122,'ELC TECH'!$H:$H,'ELC TECH'!$E:$E)="Storage",CM$4*$BF122,"")</f>
        <v>3.9875000000000001E-2</v>
      </c>
      <c r="CN122" s="8">
        <f>IF(_xlfn.XLOOKUP($B122,'ELC TECH'!$H:$H,'ELC TECH'!$E:$E)="Storage",CN$4*$BF122,"")</f>
        <v>6.3833333333333339E-2</v>
      </c>
      <c r="CO122" s="8">
        <f>IF(_xlfn.XLOOKUP($B122,'ELC TECH'!$H:$H,'ELC TECH'!$E:$E)="Storage",CO$4*$BF122,"")</f>
        <v>1.3333333333333335E-3</v>
      </c>
      <c r="CP122" s="8">
        <f>IF(_xlfn.XLOOKUP($B122,'ELC TECH'!$H:$H,'ELC TECH'!$E:$E)="Storage",CP$4*$BF122,"")</f>
        <v>3.3958333333333333E-2</v>
      </c>
      <c r="CQ122" s="8">
        <f>IF(_xlfn.XLOOKUP($B122,'ELC TECH'!$H:$H,'ELC TECH'!$E:$E)="Storage",CQ$4*$BF122,"")</f>
        <v>4.5291666666666668E-2</v>
      </c>
      <c r="CR122" s="8">
        <f>IF(_xlfn.XLOOKUP($B122,'ELC TECH'!$H:$H,'ELC TECH'!$E:$E)="Storage",CR$4*$BF122,"")</f>
        <v>5.7541666666666672E-2</v>
      </c>
      <c r="CS122" s="8">
        <f>IF(_xlfn.XLOOKUP($B122,'ELC TECH'!$H:$H,'ELC TECH'!$E:$E)="Storage",CS$4*$BF122,"")</f>
        <v>1.3333333333333335E-3</v>
      </c>
      <c r="CT122" s="8">
        <f>IF(_xlfn.XLOOKUP($B122,'ELC TECH'!$H:$H,'ELC TECH'!$E:$E)="Storage",CT$4*$BF122,"")</f>
        <v>4.0625000000000001E-2</v>
      </c>
      <c r="CU122" s="8">
        <f>IF(_xlfn.XLOOKUP($B122,'ELC TECH'!$H:$H,'ELC TECH'!$E:$E)="Storage",CU$4*$BF122,"")</f>
        <v>4.5291666666666668E-2</v>
      </c>
      <c r="CV122" s="8">
        <f>IF(_xlfn.XLOOKUP($B122,'ELC TECH'!$H:$H,'ELC TECH'!$E:$E)="Storage",CV$4*$BF122,"")</f>
        <v>5.2208333333333336E-2</v>
      </c>
      <c r="CW122" s="8">
        <f>IF(_xlfn.XLOOKUP($B122,'ELC TECH'!$H:$H,'ELC TECH'!$E:$E)="Storage",CW$4*$BF122,"")</f>
        <v>1.1250000000000001E-3</v>
      </c>
      <c r="CX122" s="8">
        <f>IF(_xlfn.XLOOKUP($B122,'ELC TECH'!$H:$H,'ELC TECH'!$E:$E)="Storage",CX$4*$BF122,"")</f>
        <v>3.4250000000000003E-2</v>
      </c>
      <c r="CY122" s="8">
        <f>IF(_xlfn.XLOOKUP($B122,'ELC TECH'!$H:$H,'ELC TECH'!$E:$E)="Storage",CY$4*$BF122,"")</f>
        <v>3.9875000000000001E-2</v>
      </c>
      <c r="CZ122" s="8">
        <f>IF(_xlfn.XLOOKUP($B122,'ELC TECH'!$H:$H,'ELC TECH'!$E:$E)="Storage",CZ$4*$BF122,"")</f>
        <v>6.3833333333333339E-2</v>
      </c>
      <c r="DA122" s="8">
        <f>IF(_xlfn.XLOOKUP($B122,'ELC TECH'!$H:$H,'ELC TECH'!$E:$E)="Storage",DA$4*$BF122,"")</f>
        <v>1.3333333333333335E-3</v>
      </c>
      <c r="DB122" s="8">
        <f>IF(_xlfn.XLOOKUP($B122,'ELC TECH'!$H:$H,'ELC TECH'!$E:$E)="Storage",DB$4*$BF122,"")</f>
        <v>3.3958333333333333E-2</v>
      </c>
      <c r="DC122" s="8">
        <f>IF(_xlfn.XLOOKUP($B122,'ELC TECH'!$H:$H,'ELC TECH'!$E:$E)="Storage",DC$4*$BF122,"")</f>
        <v>4.5291666666666668E-2</v>
      </c>
      <c r="DD122" s="8">
        <f>IF(_xlfn.XLOOKUP($B122,'ELC TECH'!$H:$H,'ELC TECH'!$E:$E)="Storage",DD$4*$BF122,"")</f>
        <v>5.7541666666666672E-2</v>
      </c>
      <c r="DE122" s="8">
        <f>IF(_xlfn.XLOOKUP($B122,'ELC TECH'!$H:$H,'ELC TECH'!$E:$E)="Storage",DE$4*$BF122,"")</f>
        <v>1.3333333333333335E-3</v>
      </c>
      <c r="DF122" s="8">
        <f>IF(_xlfn.XLOOKUP($B122,'ELC TECH'!$H:$H,'ELC TECH'!$E:$E)="Storage",DF$4*$BF122,"")</f>
        <v>4.0625000000000001E-2</v>
      </c>
      <c r="DG122" s="8">
        <f>IF(_xlfn.XLOOKUP($B122,'ELC TECH'!$H:$H,'ELC TECH'!$E:$E)="Storage",DG$4*$BF122,"")</f>
        <v>4.5291666666666668E-2</v>
      </c>
      <c r="DH122" s="8">
        <f>IF(_xlfn.XLOOKUP($B122,'ELC TECH'!$H:$H,'ELC TECH'!$E:$E)="Storage",DH$4*$BF122,"")</f>
        <v>5.2208333333333336E-2</v>
      </c>
      <c r="DI122" s="8">
        <f>IF(_xlfn.XLOOKUP($B122,'ELC TECH'!$H:$H,'ELC TECH'!$E:$E)="Storage",DI$4*$BF122,"")</f>
        <v>1.1250000000000001E-3</v>
      </c>
    </row>
    <row r="123" spans="2:113" x14ac:dyDescent="0.25">
      <c r="B123" t="str">
        <f>IF('ELC TECH'!I116=0,"*",'ELC TECH'!H116)</f>
        <v>ELCSTGGRDUBES2H20</v>
      </c>
      <c r="C123" t="str">
        <f>IF(_xlfn.XLOOKUP(_xlfn.XLOOKUP(B123,'ELC TECH'!$H:$H,'ELC TECH'!$G:$G),List!C:C,List!B:B)="STG",D123,"ELC"&amp;_xlfn.XLOOKUP(_xlfn.XLOOKUP(B123,'ELC TECH'!H:H,'ELC TECH'!G:G),List!C:C,List!B:B))</f>
        <v>CELC</v>
      </c>
      <c r="D123" t="s">
        <v>544</v>
      </c>
      <c r="E123">
        <f>_xlfn.XLOOKUP(B123,'ELC TECH'!H:H,'ELC TECH'!D:D)</f>
        <v>2020</v>
      </c>
      <c r="F123">
        <f>_xlfn.XLOOKUP(B123,'ELC TECH'!H:H,'ELC TECH'!K:K)</f>
        <v>15</v>
      </c>
      <c r="G123">
        <f t="shared" si="7"/>
        <v>31.535999999999998</v>
      </c>
      <c r="H123">
        <f>IF(_xlfn.XLOOKUP(B123,'ELC TECH'!$H:$H,'ELC TECH'!$E:$E)="Storage",0.3,IF(_xlfn.XLOOKUP(B123,'ELC TECH'!$H:$H,'ELC TECH'!$E:$E)="Baseload",0.9,IF(_xlfn.XLOOKUP(B123,'ELC TECH'!$H:$H,'ELC TECH'!$E:$E)="Non Dispatchable",0.05,IF(_xlfn.XLOOKUP(B123,'ELC TECH'!$H:$H,'ELC TECH'!$E:$E)="Dispatchable",0.9,1))))</f>
        <v>0.3</v>
      </c>
      <c r="I123" s="13" t="str">
        <f>IF(_xlfn.XLOOKUP(B123,'ELC TECH'!H:H,'ELC TECH'!J:J)="","",_xlfn.XLOOKUP(B123,'ELC TECH'!H:H,'ELC TECH'!J:J))</f>
        <v/>
      </c>
      <c r="J123" s="12" t="str">
        <f>IF(_xlfn.XLOOKUP($B123,'ELC TECH'!$H:$H,'ELC TECH'!$E:$E)="Storage","",IF(_xlfn.XLOOKUP($B123,'ELC TECH'!$H:$H,'ELC TECH'!AK:AK)="",1,_xlfn.XLOOKUP($B123,'ELC TECH'!$H:$H,'ELC TECH'!AK:AK)))</f>
        <v/>
      </c>
      <c r="K123" s="12" t="str">
        <f>IF(_xlfn.XLOOKUP($B123,'ELC TECH'!$H:$H,'ELC TECH'!$E:$E)="Storage","",IF(_xlfn.XLOOKUP($B123,'ELC TECH'!$H:$H,'ELC TECH'!AL:AL)="",1,_xlfn.XLOOKUP($B123,'ELC TECH'!$H:$H,'ELC TECH'!AL:AL)))</f>
        <v/>
      </c>
      <c r="L123" s="12" t="str">
        <f>IF(_xlfn.XLOOKUP($B123,'ELC TECH'!$H:$H,'ELC TECH'!$E:$E)="Storage","",IF(_xlfn.XLOOKUP($B123,'ELC TECH'!$H:$H,'ELC TECH'!AM:AM)="",1,_xlfn.XLOOKUP($B123,'ELC TECH'!$H:$H,'ELC TECH'!AM:AM)))</f>
        <v/>
      </c>
      <c r="M123" s="12" t="str">
        <f>IF(_xlfn.XLOOKUP($B123,'ELC TECH'!$H:$H,'ELC TECH'!$E:$E)="Storage","",IF(_xlfn.XLOOKUP($B123,'ELC TECH'!$H:$H,'ELC TECH'!AN:AN)="",1,_xlfn.XLOOKUP($B123,'ELC TECH'!$H:$H,'ELC TECH'!AN:AN)))</f>
        <v/>
      </c>
      <c r="N123" s="12" t="str">
        <f>IF(_xlfn.XLOOKUP($B123,'ELC TECH'!$H:$H,'ELC TECH'!$E:$E)="Storage","",IF(_xlfn.XLOOKUP($B123,'ELC TECH'!$H:$H,'ELC TECH'!AO:AO)="",1,_xlfn.XLOOKUP($B123,'ELC TECH'!$H:$H,'ELC TECH'!AO:AO)))</f>
        <v/>
      </c>
      <c r="O123" s="12" t="str">
        <f>IF(_xlfn.XLOOKUP($B123,'ELC TECH'!$H:$H,'ELC TECH'!$E:$E)="Storage","",IF(_xlfn.XLOOKUP($B123,'ELC TECH'!$H:$H,'ELC TECH'!AP:AP)="",1,_xlfn.XLOOKUP($B123,'ELC TECH'!$H:$H,'ELC TECH'!AP:AP)))</f>
        <v/>
      </c>
      <c r="P123" s="12" t="str">
        <f>IF(_xlfn.XLOOKUP($B123,'ELC TECH'!$H:$H,'ELC TECH'!$E:$E)="Storage","",IF(_xlfn.XLOOKUP($B123,'ELC TECH'!$H:$H,'ELC TECH'!AQ:AQ)="",1,_xlfn.XLOOKUP($B123,'ELC TECH'!$H:$H,'ELC TECH'!AQ:AQ)))</f>
        <v/>
      </c>
      <c r="Q123" s="12" t="str">
        <f>IF(_xlfn.XLOOKUP($B123,'ELC TECH'!$H:$H,'ELC TECH'!$E:$E)="Storage","",IF(_xlfn.XLOOKUP($B123,'ELC TECH'!$H:$H,'ELC TECH'!AR:AR)="",1,_xlfn.XLOOKUP($B123,'ELC TECH'!$H:$H,'ELC TECH'!AR:AR)))</f>
        <v/>
      </c>
      <c r="R123" s="12">
        <f>IF(_xlfn.XLOOKUP($B123,'ELC TECH'!$H:$H,'ELC TECH'!$E:$E)&lt;&gt;"Storage","",IF(_xlfn.XLOOKUP($B123,'ELC TECH'!$H:$H,'ELC TECH'!AK:AK)="",0.8,_xlfn.XLOOKUP($B123,'ELC TECH'!$H:$H,'ELC TECH'!AK:AK)))</f>
        <v>0.8</v>
      </c>
      <c r="S123" s="12">
        <f>IF(_xlfn.XLOOKUP($B123,'ELC TECH'!$H:$H,'ELC TECH'!$E:$E)&lt;&gt;"Storage","",IF(_xlfn.XLOOKUP($B123,'ELC TECH'!$H:$H,'ELC TECH'!AL:AL)="",0.8,_xlfn.XLOOKUP($B123,'ELC TECH'!$H:$H,'ELC TECH'!AL:AL)))</f>
        <v>0.8</v>
      </c>
      <c r="T123" s="12">
        <f>IF(_xlfn.XLOOKUP($B123,'ELC TECH'!$H:$H,'ELC TECH'!$E:$E)&lt;&gt;"Storage","",IF(_xlfn.XLOOKUP($B123,'ELC TECH'!$H:$H,'ELC TECH'!AM:AM)="",0.8,_xlfn.XLOOKUP($B123,'ELC TECH'!$H:$H,'ELC TECH'!AM:AM)))</f>
        <v>0.8</v>
      </c>
      <c r="U123" s="12">
        <f>IF(_xlfn.XLOOKUP($B123,'ELC TECH'!$H:$H,'ELC TECH'!$E:$E)&lt;&gt;"Storage","",IF(_xlfn.XLOOKUP($B123,'ELC TECH'!$H:$H,'ELC TECH'!AN:AN)="",0.8,_xlfn.XLOOKUP($B123,'ELC TECH'!$H:$H,'ELC TECH'!AN:AN)))</f>
        <v>0.8</v>
      </c>
      <c r="V123" s="12">
        <f>IF(_xlfn.XLOOKUP($B123,'ELC TECH'!$H:$H,'ELC TECH'!$E:$E)&lt;&gt;"Storage","",IF(_xlfn.XLOOKUP($B123,'ELC TECH'!$H:$H,'ELC TECH'!AO:AO)="",0.8,_xlfn.XLOOKUP($B123,'ELC TECH'!$H:$H,'ELC TECH'!AO:AO)))</f>
        <v>0.8</v>
      </c>
      <c r="W123" s="12">
        <f>IF(_xlfn.XLOOKUP($B123,'ELC TECH'!$H:$H,'ELC TECH'!$E:$E)&lt;&gt;"Storage","",IF(_xlfn.XLOOKUP($B123,'ELC TECH'!$H:$H,'ELC TECH'!AP:AP)="",0.8,_xlfn.XLOOKUP($B123,'ELC TECH'!$H:$H,'ELC TECH'!AP:AP)))</f>
        <v>0.8</v>
      </c>
      <c r="X123" s="12">
        <f>IF(_xlfn.XLOOKUP($B123,'ELC TECH'!$H:$H,'ELC TECH'!$E:$E)&lt;&gt;"Storage","",IF(_xlfn.XLOOKUP($B123,'ELC TECH'!$H:$H,'ELC TECH'!AQ:AQ)="",0.8,_xlfn.XLOOKUP($B123,'ELC TECH'!$H:$H,'ELC TECH'!AQ:AQ)))</f>
        <v>0.8</v>
      </c>
      <c r="Y123" s="12">
        <f>IF(_xlfn.XLOOKUP($B123,'ELC TECH'!$H:$H,'ELC TECH'!$E:$E)&lt;&gt;"Storage","",IF(_xlfn.XLOOKUP($B123,'ELC TECH'!$H:$H,'ELC TECH'!AR:AR)="",0.8,_xlfn.XLOOKUP($B123,'ELC TECH'!$H:$H,'ELC TECH'!AR:AR)))</f>
        <v>0.8</v>
      </c>
      <c r="Z123" s="15">
        <f>_xlfn.XLOOKUP($B123,'ELC TECH'!$H:$H,'ELC TECH'!M:M)</f>
        <v>1066.482018489656</v>
      </c>
      <c r="AA123" s="15">
        <f>_xlfn.XLOOKUP($B123,'ELC TECH'!$H:$H,'ELC TECH'!N:N)</f>
        <v>974.98776505193177</v>
      </c>
      <c r="AB123" s="15">
        <f>_xlfn.XLOOKUP($B123,'ELC TECH'!$H:$H,'ELC TECH'!O:O)</f>
        <v>846.78511114459968</v>
      </c>
      <c r="AC123" s="15">
        <f>_xlfn.XLOOKUP($B123,'ELC TECH'!$H:$H,'ELC TECH'!P:P)</f>
        <v>788.57210787219162</v>
      </c>
      <c r="AD123" s="15">
        <f>_xlfn.XLOOKUP($B123,'ELC TECH'!$H:$H,'ELC TECH'!Q:Q)</f>
        <v>730.12180374793365</v>
      </c>
      <c r="AE123" s="15">
        <f>_xlfn.XLOOKUP($B123,'ELC TECH'!$H:$H,'ELC TECH'!R:R)</f>
        <v>671.37944067013586</v>
      </c>
      <c r="AF123" s="15">
        <f>_xlfn.XLOOKUP($B123,'ELC TECH'!$H:$H,'ELC TECH'!S:S)</f>
        <v>612.27200914849584</v>
      </c>
      <c r="AG123" s="15">
        <f>_xlfn.XLOOKUP($B123,'ELC TECH'!$H:$H,'ELC TECH'!T:T)</f>
        <v>612.27200914849584</v>
      </c>
      <c r="AH123" s="15">
        <f>_xlfn.XLOOKUP($B123,'ELC TECH'!$H:$H,'ELC TECH'!U:U)</f>
        <v>26.6620504622414</v>
      </c>
      <c r="AI123" s="15">
        <f>_xlfn.XLOOKUP($B123,'ELC TECH'!$H:$H,'ELC TECH'!V:V)</f>
        <v>24.374694126298269</v>
      </c>
      <c r="AJ123" s="15">
        <f>_xlfn.XLOOKUP($B123,'ELC TECH'!$H:$H,'ELC TECH'!W:W)</f>
        <v>21.169627778614931</v>
      </c>
      <c r="AK123" s="15">
        <f>_xlfn.XLOOKUP($B123,'ELC TECH'!$H:$H,'ELC TECH'!X:X)</f>
        <v>19.71430269680479</v>
      </c>
      <c r="AL123" s="15">
        <f>_xlfn.XLOOKUP($B123,'ELC TECH'!$H:$H,'ELC TECH'!Y:Y)</f>
        <v>18.253045093698258</v>
      </c>
      <c r="AM123" s="15">
        <f>_xlfn.XLOOKUP($B123,'ELC TECH'!$H:$H,'ELC TECH'!Z:Z)</f>
        <v>16.784486016753341</v>
      </c>
      <c r="AN123" s="15">
        <f>_xlfn.XLOOKUP($B123,'ELC TECH'!$H:$H,'ELC TECH'!AA:AA)</f>
        <v>15.306800228712341</v>
      </c>
      <c r="AO123" s="15">
        <f>_xlfn.XLOOKUP($B123,'ELC TECH'!$H:$H,'ELC TECH'!AB:AB)</f>
        <v>15.306800228712341</v>
      </c>
      <c r="AP123" s="15">
        <f>_xlfn.XLOOKUP($B123,'ELC TECH'!$H:$H,'ELC TECH'!AC:AC)</f>
        <v>0</v>
      </c>
      <c r="AQ123" s="15">
        <f>_xlfn.XLOOKUP($B123,'ELC TECH'!$H:$H,'ELC TECH'!AD:AD)</f>
        <v>0</v>
      </c>
      <c r="AR123" s="15">
        <f>_xlfn.XLOOKUP($B123,'ELC TECH'!$H:$H,'ELC TECH'!AE:AE)</f>
        <v>0</v>
      </c>
      <c r="AS123" s="15">
        <f>_xlfn.XLOOKUP($B123,'ELC TECH'!$H:$H,'ELC TECH'!AF:AF)</f>
        <v>0</v>
      </c>
      <c r="AT123" s="15">
        <f>_xlfn.XLOOKUP($B123,'ELC TECH'!$H:$H,'ELC TECH'!AG:AG)</f>
        <v>0</v>
      </c>
      <c r="AU123" s="15">
        <f>_xlfn.XLOOKUP($B123,'ELC TECH'!$H:$H,'ELC TECH'!AH:AH)</f>
        <v>0</v>
      </c>
      <c r="AV123" s="15">
        <f>_xlfn.XLOOKUP($B123,'ELC TECH'!$H:$H,'ELC TECH'!AI:AI)</f>
        <v>0</v>
      </c>
      <c r="AW123" s="15">
        <f>_xlfn.XLOOKUP($B123,'ELC TECH'!$H:$H,'ELC TECH'!AJ:AJ)</f>
        <v>0</v>
      </c>
      <c r="AX123" s="12" t="str">
        <f>IF(_xlfn.XLOOKUP($B123,'ELC TECH'!$H:$H,'ELC TECH'!$E:$E)="Storage","",_xlfn.XLOOKUP($B123,'ELC TECH'!$H:$H,'ELC TECH'!AS:AS))</f>
        <v/>
      </c>
      <c r="AY123" s="12" t="str">
        <f>IF(_xlfn.XLOOKUP($B123,'ELC TECH'!$H:$H,'ELC TECH'!$E:$E)="Storage","",_xlfn.XLOOKUP($B123,'ELC TECH'!$H:$H,'ELC TECH'!AT:AT))</f>
        <v/>
      </c>
      <c r="AZ123" s="12" t="str">
        <f>IF(_xlfn.XLOOKUP($B123,'ELC TECH'!$H:$H,'ELC TECH'!$E:$E)="Storage","",_xlfn.XLOOKUP($B123,'ELC TECH'!$H:$H,'ELC TECH'!AU:AU))</f>
        <v/>
      </c>
      <c r="BA123" s="12" t="str">
        <f>IF(_xlfn.XLOOKUP($B123,'ELC TECH'!$H:$H,'ELC TECH'!$E:$E)="Storage","",_xlfn.XLOOKUP($B123,'ELC TECH'!$H:$H,'ELC TECH'!AV:AV))</f>
        <v/>
      </c>
      <c r="BB123" s="12" t="str">
        <f>IF(_xlfn.XLOOKUP($B123,'ELC TECH'!$H:$H,'ELC TECH'!$E:$E)="Storage","",_xlfn.XLOOKUP($B123,'ELC TECH'!$H:$H,'ELC TECH'!AW:AW))</f>
        <v/>
      </c>
      <c r="BC123" s="12" t="str">
        <f>IF(_xlfn.XLOOKUP($B123,'ELC TECH'!$H:$H,'ELC TECH'!$E:$E)="Storage","",_xlfn.XLOOKUP($B123,'ELC TECH'!$H:$H,'ELC TECH'!AX:AX))</f>
        <v/>
      </c>
      <c r="BD123" s="12" t="str">
        <f>IF(_xlfn.XLOOKUP($B123,'ELC TECH'!$H:$H,'ELC TECH'!$E:$E)="Storage","",_xlfn.XLOOKUP($B123,'ELC TECH'!$H:$H,'ELC TECH'!AY:AY))</f>
        <v/>
      </c>
      <c r="BE123" s="12" t="str">
        <f>IF(_xlfn.XLOOKUP($B123,'ELC TECH'!$H:$H,'ELC TECH'!$E:$E)="Storage","",_xlfn.XLOOKUP($B123,'ELC TECH'!$H:$H,'ELC TECH'!AZ:AZ))</f>
        <v/>
      </c>
      <c r="BF123" s="12">
        <f>IF(_xlfn.XLOOKUP($B123,'ELC TECH'!$H:$H,'ELC TECH'!$E:$E)="Storage",_xlfn.XLOOKUP($B123,'ELC TECH'!$H:$H,'ELC TECH'!AS:AS),"")</f>
        <v>8.3333333333333329E-2</v>
      </c>
      <c r="BG123" s="12">
        <f>IF(_xlfn.XLOOKUP($B123,'ELC TECH'!$H:$H,'ELC TECH'!$E:$E)="Storage",_xlfn.XLOOKUP($B123,'ELC TECH'!$H:$H,'ELC TECH'!AT:AT),"")</f>
        <v>8.3333333333333329E-2</v>
      </c>
      <c r="BH123" s="12">
        <f>IF(_xlfn.XLOOKUP($B123,'ELC TECH'!$H:$H,'ELC TECH'!$E:$E)="Storage",_xlfn.XLOOKUP($B123,'ELC TECH'!$H:$H,'ELC TECH'!AU:AU),"")</f>
        <v>8.3333333333333329E-2</v>
      </c>
      <c r="BI123" s="12">
        <f>IF(_xlfn.XLOOKUP($B123,'ELC TECH'!$H:$H,'ELC TECH'!$E:$E)="Storage",_xlfn.XLOOKUP($B123,'ELC TECH'!$H:$H,'ELC TECH'!AV:AV),"")</f>
        <v>8.3333333333333329E-2</v>
      </c>
      <c r="BJ123" s="12">
        <f>IF(_xlfn.XLOOKUP($B123,'ELC TECH'!$H:$H,'ELC TECH'!$E:$E)="Storage",_xlfn.XLOOKUP($B123,'ELC TECH'!$H:$H,'ELC TECH'!AW:AW),"")</f>
        <v>8.3333333333333329E-2</v>
      </c>
      <c r="BK123" s="12">
        <f>IF(_xlfn.XLOOKUP($B123,'ELC TECH'!$H:$H,'ELC TECH'!$E:$E)="Storage",_xlfn.XLOOKUP($B123,'ELC TECH'!$H:$H,'ELC TECH'!AX:AX),"")</f>
        <v>8.3333333333333329E-2</v>
      </c>
      <c r="BL123" s="12">
        <f>IF(_xlfn.XLOOKUP($B123,'ELC TECH'!$H:$H,'ELC TECH'!$E:$E)="Storage",_xlfn.XLOOKUP($B123,'ELC TECH'!$H:$H,'ELC TECH'!AY:AY),"")</f>
        <v>8.3333333333333329E-2</v>
      </c>
      <c r="BM123" s="12">
        <f>IF(_xlfn.XLOOKUP($B123,'ELC TECH'!$H:$H,'ELC TECH'!$E:$E)="Storage",_xlfn.XLOOKUP($B123,'ELC TECH'!$H:$H,'ELC TECH'!AZ:AZ),"")</f>
        <v>8.3333333333333329E-2</v>
      </c>
      <c r="BN123" s="8" t="str">
        <f>IF(_xlfn.XLOOKUP($B123,'ELC TECH'!$H:$H,'ELC TECH'!$E:$E)="Non Dispatchable",IFERROR($AX123*_xlfn.XLOOKUP($C123,$BM$1:$BM$3,BN$1:BN$3)/SUMPRODUCT(_xlfn.XLOOKUP($C123,$BM$1:$BM$3,$BN$1:$BY$3),$BN$4:$BY$4),""),
"")</f>
        <v/>
      </c>
      <c r="BO123" s="8" t="str">
        <f>IF(_xlfn.XLOOKUP($B123,'ELC TECH'!$H:$H,'ELC TECH'!$E:$E)="Non Dispatchable",IFERROR($AX123*_xlfn.XLOOKUP($C123,$BM$1:$BM$3,BO$1:BO$3)/SUMPRODUCT(_xlfn.XLOOKUP($C123,$BM$1:$BM$3,$BN$1:$BY$3),$BN$4:$BY$4),""),
"")</f>
        <v/>
      </c>
      <c r="BP123" s="8" t="str">
        <f>IF(_xlfn.XLOOKUP($B123,'ELC TECH'!$H:$H,'ELC TECH'!$E:$E)="Non Dispatchable",IFERROR($AX123*_xlfn.XLOOKUP($C123,$BM$1:$BM$3,BP$1:BP$3)/SUMPRODUCT(_xlfn.XLOOKUP($C123,$BM$1:$BM$3,$BN$1:$BY$3),$BN$4:$BY$4),""),
"")</f>
        <v/>
      </c>
      <c r="BQ123" s="8" t="str">
        <f>IF(_xlfn.XLOOKUP($B123,'ELC TECH'!$H:$H,'ELC TECH'!$E:$E)="Non Dispatchable",IFERROR($AX123*_xlfn.XLOOKUP($C123,$BM$1:$BM$3,BQ$1:BQ$3)/SUMPRODUCT(_xlfn.XLOOKUP($C123,$BM$1:$BM$3,$BN$1:$BY$3),$BN$4:$BY$4),""),
"")</f>
        <v/>
      </c>
      <c r="BR123" s="8" t="str">
        <f>IF(_xlfn.XLOOKUP($B123,'ELC TECH'!$H:$H,'ELC TECH'!$E:$E)="Non Dispatchable",IFERROR($AX123*_xlfn.XLOOKUP($C123,$BM$1:$BM$3,BR$1:BR$3)/SUMPRODUCT(_xlfn.XLOOKUP($C123,$BM$1:$BM$3,$BN$1:$BY$3),$BN$4:$BY$4),""),
"")</f>
        <v/>
      </c>
      <c r="BS123" s="8" t="str">
        <f>IF(_xlfn.XLOOKUP($B123,'ELC TECH'!$H:$H,'ELC TECH'!$E:$E)="Non Dispatchable",IFERROR($AX123*_xlfn.XLOOKUP($C123,$BM$1:$BM$3,BS$1:BS$3)/SUMPRODUCT(_xlfn.XLOOKUP($C123,$BM$1:$BM$3,$BN$1:$BY$3),$BN$4:$BY$4),""),
"")</f>
        <v/>
      </c>
      <c r="BT123" s="8" t="str">
        <f>IF(_xlfn.XLOOKUP($B123,'ELC TECH'!$H:$H,'ELC TECH'!$E:$E)="Non Dispatchable",IFERROR($AX123*_xlfn.XLOOKUP($C123,$BM$1:$BM$3,BT$1:BT$3)/SUMPRODUCT(_xlfn.XLOOKUP($C123,$BM$1:$BM$3,$BN$1:$BY$3),$BN$4:$BY$4),""),
"")</f>
        <v/>
      </c>
      <c r="BU123" s="8" t="str">
        <f>IF(_xlfn.XLOOKUP($B123,'ELC TECH'!$H:$H,'ELC TECH'!$E:$E)="Non Dispatchable",IFERROR($AX123*_xlfn.XLOOKUP($C123,$BM$1:$BM$3,BU$1:BU$3)/SUMPRODUCT(_xlfn.XLOOKUP($C123,$BM$1:$BM$3,$BN$1:$BY$3),$BN$4:$BY$4),""),
"")</f>
        <v/>
      </c>
      <c r="BV123" s="8" t="str">
        <f>IF(_xlfn.XLOOKUP($B123,'ELC TECH'!$H:$H,'ELC TECH'!$E:$E)="Non Dispatchable",IFERROR($AX123*_xlfn.XLOOKUP($C123,$BM$1:$BM$3,BV$1:BV$3)/SUMPRODUCT(_xlfn.XLOOKUP($C123,$BM$1:$BM$3,$BN$1:$BY$3),$BN$4:$BY$4),""),
"")</f>
        <v/>
      </c>
      <c r="BW123" s="8" t="str">
        <f>IF(_xlfn.XLOOKUP($B123,'ELC TECH'!$H:$H,'ELC TECH'!$E:$E)="Non Dispatchable",IFERROR($AX123*_xlfn.XLOOKUP($C123,$BM$1:$BM$3,BW$1:BW$3)/SUMPRODUCT(_xlfn.XLOOKUP($C123,$BM$1:$BM$3,$BN$1:$BY$3),$BN$4:$BY$4),""),
"")</f>
        <v/>
      </c>
      <c r="BX123" s="8" t="str">
        <f>IF(_xlfn.XLOOKUP($B123,'ELC TECH'!$H:$H,'ELC TECH'!$E:$E)="Non Dispatchable",IFERROR($AX123*_xlfn.XLOOKUP($C123,$BM$1:$BM$3,BX$1:BX$3)/SUMPRODUCT(_xlfn.XLOOKUP($C123,$BM$1:$BM$3,$BN$1:$BY$3),$BN$4:$BY$4),""),
"")</f>
        <v/>
      </c>
      <c r="BY123" s="8" t="str">
        <f>IF(_xlfn.XLOOKUP($B123,'ELC TECH'!$H:$H,'ELC TECH'!$E:$E)="Non Dispatchable",IFERROR($AX123*_xlfn.XLOOKUP($C123,$BM$1:$BM$3,BY$1:BY$3)/SUMPRODUCT(_xlfn.XLOOKUP($C123,$BM$1:$BM$3,$BN$1:$BY$3),$BN$4:$BY$4),""),
"")</f>
        <v/>
      </c>
      <c r="BZ123" s="8" t="str">
        <f>IF(_xlfn.XLOOKUP($B123,'ELC TECH'!$H:$H,'ELC TECH'!$E:$E)="Non Dispatchable",IFERROR($AX123*_xlfn.XLOOKUP($C123,$BM$1:$BM$3,BZ$1:BZ$3)/SUMPRODUCT(_xlfn.XLOOKUP($C123,$BM$1:$BM$3,$BN$1:$BY$3),$BN$4:$BY$4),""),
"")</f>
        <v/>
      </c>
      <c r="CA123" s="8" t="str">
        <f>IF(_xlfn.XLOOKUP($B123,'ELC TECH'!$H:$H,'ELC TECH'!$E:$E)="Non Dispatchable",IFERROR($AX123*_xlfn.XLOOKUP($C123,$BM$1:$BM$3,CA$1:CA$3)/SUMPRODUCT(_xlfn.XLOOKUP($C123,$BM$1:$BM$3,$BN$1:$BY$3),$BN$4:$BY$4),""),
"")</f>
        <v/>
      </c>
      <c r="CB123" s="8" t="str">
        <f>IF(_xlfn.XLOOKUP($B123,'ELC TECH'!$H:$H,'ELC TECH'!$E:$E)="Non Dispatchable",IFERROR($AX123*_xlfn.XLOOKUP($C123,$BM$1:$BM$3,CB$1:CB$3)/SUMPRODUCT(_xlfn.XLOOKUP($C123,$BM$1:$BM$3,$BN$1:$BY$3),$BN$4:$BY$4),""),
"")</f>
        <v/>
      </c>
      <c r="CC123" s="8" t="str">
        <f>IF(_xlfn.XLOOKUP($B123,'ELC TECH'!$H:$H,'ELC TECH'!$E:$E)="Non Dispatchable",IFERROR($AX123*_xlfn.XLOOKUP($C123,$BM$1:$BM$3,CC$1:CC$3)/SUMPRODUCT(_xlfn.XLOOKUP($C123,$BM$1:$BM$3,$BN$1:$BY$3),$BN$4:$BY$4),""),
"")</f>
        <v/>
      </c>
      <c r="CD123" s="8" t="str">
        <f>IF(_xlfn.XLOOKUP($B123,'ELC TECH'!$H:$H,'ELC TECH'!$E:$E)="Non Dispatchable",IFERROR($AX123*_xlfn.XLOOKUP($C123,$BM$1:$BM$3,CD$1:CD$3)/SUMPRODUCT(_xlfn.XLOOKUP($C123,$BM$1:$BM$3,$BN$1:$BY$3),$BN$4:$BY$4),""),
"")</f>
        <v/>
      </c>
      <c r="CE123" s="8" t="str">
        <f>IF(_xlfn.XLOOKUP($B123,'ELC TECH'!$H:$H,'ELC TECH'!$E:$E)="Non Dispatchable",IFERROR($AX123*_xlfn.XLOOKUP($C123,$BM$1:$BM$3,CE$1:CE$3)/SUMPRODUCT(_xlfn.XLOOKUP($C123,$BM$1:$BM$3,$BN$1:$BY$3),$BN$4:$BY$4),""),
"")</f>
        <v/>
      </c>
      <c r="CF123" s="8" t="str">
        <f>IF(_xlfn.XLOOKUP($B123,'ELC TECH'!$H:$H,'ELC TECH'!$E:$E)="Non Dispatchable",IFERROR($AX123*_xlfn.XLOOKUP($C123,$BM$1:$BM$3,CF$1:CF$3)/SUMPRODUCT(_xlfn.XLOOKUP($C123,$BM$1:$BM$3,$BN$1:$BY$3),$BN$4:$BY$4),""),
"")</f>
        <v/>
      </c>
      <c r="CG123" s="8" t="str">
        <f>IF(_xlfn.XLOOKUP($B123,'ELC TECH'!$H:$H,'ELC TECH'!$E:$E)="Non Dispatchable",IFERROR($AX123*_xlfn.XLOOKUP($C123,$BM$1:$BM$3,CG$1:CG$3)/SUMPRODUCT(_xlfn.XLOOKUP($C123,$BM$1:$BM$3,$BN$1:$BY$3),$BN$4:$BY$4),""),
"")</f>
        <v/>
      </c>
      <c r="CH123" s="8" t="str">
        <f>IF(_xlfn.XLOOKUP($B123,'ELC TECH'!$H:$H,'ELC TECH'!$E:$E)="Non Dispatchable",IFERROR($AX123*_xlfn.XLOOKUP($C123,$BM$1:$BM$3,CH$1:CH$3)/SUMPRODUCT(_xlfn.XLOOKUP($C123,$BM$1:$BM$3,$BN$1:$BY$3),$BN$4:$BY$4),""),
"")</f>
        <v/>
      </c>
      <c r="CI123" s="8" t="str">
        <f>IF(_xlfn.XLOOKUP($B123,'ELC TECH'!$H:$H,'ELC TECH'!$E:$E)="Non Dispatchable",IFERROR($AX123*_xlfn.XLOOKUP($C123,$BM$1:$BM$3,CI$1:CI$3)/SUMPRODUCT(_xlfn.XLOOKUP($C123,$BM$1:$BM$3,$BN$1:$BY$3),$BN$4:$BY$4),""),
"")</f>
        <v/>
      </c>
      <c r="CJ123" s="8" t="str">
        <f>IF(_xlfn.XLOOKUP($B123,'ELC TECH'!$H:$H,'ELC TECH'!$E:$E)="Non Dispatchable",IFERROR($AX123*_xlfn.XLOOKUP($C123,$BM$1:$BM$3,CJ$1:CJ$3)/SUMPRODUCT(_xlfn.XLOOKUP($C123,$BM$1:$BM$3,$BN$1:$BY$3),$BN$4:$BY$4),""),
"")</f>
        <v/>
      </c>
      <c r="CK123" s="8" t="str">
        <f>IF(_xlfn.XLOOKUP($B123,'ELC TECH'!$H:$H,'ELC TECH'!$E:$E)="Non Dispatchable",IFERROR($AX123*_xlfn.XLOOKUP($C123,$BM$1:$BM$3,CK$1:CK$3)/SUMPRODUCT(_xlfn.XLOOKUP($C123,$BM$1:$BM$3,$BN$1:$BY$3),$BN$4:$BY$4),""),
"")</f>
        <v/>
      </c>
      <c r="CL123" s="8">
        <f>IF(_xlfn.XLOOKUP($B123,'ELC TECH'!$H:$H,'ELC TECH'!$E:$E)="Storage",CL$4*$BF123,"")</f>
        <v>6.8499999999999993E-3</v>
      </c>
      <c r="CM123" s="8">
        <f>IF(_xlfn.XLOOKUP($B123,'ELC TECH'!$H:$H,'ELC TECH'!$E:$E)="Storage",CM$4*$BF123,"")</f>
        <v>7.9749999999999995E-3</v>
      </c>
      <c r="CN123" s="8">
        <f>IF(_xlfn.XLOOKUP($B123,'ELC TECH'!$H:$H,'ELC TECH'!$E:$E)="Storage",CN$4*$BF123,"")</f>
        <v>1.2766666666666666E-2</v>
      </c>
      <c r="CO123" s="8">
        <f>IF(_xlfn.XLOOKUP($B123,'ELC TECH'!$H:$H,'ELC TECH'!$E:$E)="Storage",CO$4*$BF123,"")</f>
        <v>2.6666666666666668E-4</v>
      </c>
      <c r="CP123" s="8">
        <f>IF(_xlfn.XLOOKUP($B123,'ELC TECH'!$H:$H,'ELC TECH'!$E:$E)="Storage",CP$4*$BF123,"")</f>
        <v>6.7916666666666663E-3</v>
      </c>
      <c r="CQ123" s="8">
        <f>IF(_xlfn.XLOOKUP($B123,'ELC TECH'!$H:$H,'ELC TECH'!$E:$E)="Storage",CQ$4*$BF123,"")</f>
        <v>9.0583333333333332E-3</v>
      </c>
      <c r="CR123" s="8">
        <f>IF(_xlfn.XLOOKUP($B123,'ELC TECH'!$H:$H,'ELC TECH'!$E:$E)="Storage",CR$4*$BF123,"")</f>
        <v>1.1508333333333332E-2</v>
      </c>
      <c r="CS123" s="8">
        <f>IF(_xlfn.XLOOKUP($B123,'ELC TECH'!$H:$H,'ELC TECH'!$E:$E)="Storage",CS$4*$BF123,"")</f>
        <v>2.6666666666666668E-4</v>
      </c>
      <c r="CT123" s="8">
        <f>IF(_xlfn.XLOOKUP($B123,'ELC TECH'!$H:$H,'ELC TECH'!$E:$E)="Storage",CT$4*$BF123,"")</f>
        <v>8.1250000000000003E-3</v>
      </c>
      <c r="CU123" s="8">
        <f>IF(_xlfn.XLOOKUP($B123,'ELC TECH'!$H:$H,'ELC TECH'!$E:$E)="Storage",CU$4*$BF123,"")</f>
        <v>9.0583333333333332E-3</v>
      </c>
      <c r="CV123" s="8">
        <f>IF(_xlfn.XLOOKUP($B123,'ELC TECH'!$H:$H,'ELC TECH'!$E:$E)="Storage",CV$4*$BF123,"")</f>
        <v>1.0441666666666665E-2</v>
      </c>
      <c r="CW123" s="8">
        <f>IF(_xlfn.XLOOKUP($B123,'ELC TECH'!$H:$H,'ELC TECH'!$E:$E)="Storage",CW$4*$BF123,"")</f>
        <v>2.2499999999999999E-4</v>
      </c>
      <c r="CX123" s="8">
        <f>IF(_xlfn.XLOOKUP($B123,'ELC TECH'!$H:$H,'ELC TECH'!$E:$E)="Storage",CX$4*$BF123,"")</f>
        <v>6.8499999999999993E-3</v>
      </c>
      <c r="CY123" s="8">
        <f>IF(_xlfn.XLOOKUP($B123,'ELC TECH'!$H:$H,'ELC TECH'!$E:$E)="Storage",CY$4*$BF123,"")</f>
        <v>7.9749999999999995E-3</v>
      </c>
      <c r="CZ123" s="8">
        <f>IF(_xlfn.XLOOKUP($B123,'ELC TECH'!$H:$H,'ELC TECH'!$E:$E)="Storage",CZ$4*$BF123,"")</f>
        <v>1.2766666666666666E-2</v>
      </c>
      <c r="DA123" s="8">
        <f>IF(_xlfn.XLOOKUP($B123,'ELC TECH'!$H:$H,'ELC TECH'!$E:$E)="Storage",DA$4*$BF123,"")</f>
        <v>2.6666666666666668E-4</v>
      </c>
      <c r="DB123" s="8">
        <f>IF(_xlfn.XLOOKUP($B123,'ELC TECH'!$H:$H,'ELC TECH'!$E:$E)="Storage",DB$4*$BF123,"")</f>
        <v>6.7916666666666663E-3</v>
      </c>
      <c r="DC123" s="8">
        <f>IF(_xlfn.XLOOKUP($B123,'ELC TECH'!$H:$H,'ELC TECH'!$E:$E)="Storage",DC$4*$BF123,"")</f>
        <v>9.0583333333333332E-3</v>
      </c>
      <c r="DD123" s="8">
        <f>IF(_xlfn.XLOOKUP($B123,'ELC TECH'!$H:$H,'ELC TECH'!$E:$E)="Storage",DD$4*$BF123,"")</f>
        <v>1.1508333333333332E-2</v>
      </c>
      <c r="DE123" s="8">
        <f>IF(_xlfn.XLOOKUP($B123,'ELC TECH'!$H:$H,'ELC TECH'!$E:$E)="Storage",DE$4*$BF123,"")</f>
        <v>2.6666666666666668E-4</v>
      </c>
      <c r="DF123" s="8">
        <f>IF(_xlfn.XLOOKUP($B123,'ELC TECH'!$H:$H,'ELC TECH'!$E:$E)="Storage",DF$4*$BF123,"")</f>
        <v>8.1250000000000003E-3</v>
      </c>
      <c r="DG123" s="8">
        <f>IF(_xlfn.XLOOKUP($B123,'ELC TECH'!$H:$H,'ELC TECH'!$E:$E)="Storage",DG$4*$BF123,"")</f>
        <v>9.0583333333333332E-3</v>
      </c>
      <c r="DH123" s="8">
        <f>IF(_xlfn.XLOOKUP($B123,'ELC TECH'!$H:$H,'ELC TECH'!$E:$E)="Storage",DH$4*$BF123,"")</f>
        <v>1.0441666666666665E-2</v>
      </c>
      <c r="DI123" s="8">
        <f>IF(_xlfn.XLOOKUP($B123,'ELC TECH'!$H:$H,'ELC TECH'!$E:$E)="Storage",DI$4*$BF123,"")</f>
        <v>2.2499999999999999E-4</v>
      </c>
    </row>
    <row r="124" spans="2:113" x14ac:dyDescent="0.25">
      <c r="B124" t="str">
        <f>IF('ELC TECH'!I117=0,"*",'ELC TECH'!H117)</f>
        <v>ELCSTGGRDUBES4H20</v>
      </c>
      <c r="C124" t="str">
        <f>IF(_xlfn.XLOOKUP(_xlfn.XLOOKUP(B124,'ELC TECH'!$H:$H,'ELC TECH'!$G:$G),List!C:C,List!B:B)="STG",D124,"ELC"&amp;_xlfn.XLOOKUP(_xlfn.XLOOKUP(B124,'ELC TECH'!H:H,'ELC TECH'!G:G),List!C:C,List!B:B))</f>
        <v>CELC</v>
      </c>
      <c r="D124" t="s">
        <v>544</v>
      </c>
      <c r="E124">
        <f>_xlfn.XLOOKUP(B124,'ELC TECH'!H:H,'ELC TECH'!D:D)</f>
        <v>2020</v>
      </c>
      <c r="F124">
        <f>_xlfn.XLOOKUP(B124,'ELC TECH'!H:H,'ELC TECH'!K:K)</f>
        <v>15</v>
      </c>
      <c r="G124">
        <f t="shared" si="7"/>
        <v>31.535999999999998</v>
      </c>
      <c r="H124">
        <f>IF(_xlfn.XLOOKUP(B124,'ELC TECH'!$H:$H,'ELC TECH'!$E:$E)="Storage",0.3,IF(_xlfn.XLOOKUP(B124,'ELC TECH'!$H:$H,'ELC TECH'!$E:$E)="Baseload",0.9,IF(_xlfn.XLOOKUP(B124,'ELC TECH'!$H:$H,'ELC TECH'!$E:$E)="Non Dispatchable",0.05,IF(_xlfn.XLOOKUP(B124,'ELC TECH'!$H:$H,'ELC TECH'!$E:$E)="Dispatchable",0.9,1))))</f>
        <v>0.3</v>
      </c>
      <c r="I124" s="13" t="str">
        <f>IF(_xlfn.XLOOKUP(B124,'ELC TECH'!H:H,'ELC TECH'!J:J)="","",_xlfn.XLOOKUP(B124,'ELC TECH'!H:H,'ELC TECH'!J:J))</f>
        <v/>
      </c>
      <c r="J124" s="12" t="str">
        <f>IF(_xlfn.XLOOKUP($B124,'ELC TECH'!$H:$H,'ELC TECH'!$E:$E)="Storage","",IF(_xlfn.XLOOKUP($B124,'ELC TECH'!$H:$H,'ELC TECH'!AK:AK)="",1,_xlfn.XLOOKUP($B124,'ELC TECH'!$H:$H,'ELC TECH'!AK:AK)))</f>
        <v/>
      </c>
      <c r="K124" s="12" t="str">
        <f>IF(_xlfn.XLOOKUP($B124,'ELC TECH'!$H:$H,'ELC TECH'!$E:$E)="Storage","",IF(_xlfn.XLOOKUP($B124,'ELC TECH'!$H:$H,'ELC TECH'!AL:AL)="",1,_xlfn.XLOOKUP($B124,'ELC TECH'!$H:$H,'ELC TECH'!AL:AL)))</f>
        <v/>
      </c>
      <c r="L124" s="12" t="str">
        <f>IF(_xlfn.XLOOKUP($B124,'ELC TECH'!$H:$H,'ELC TECH'!$E:$E)="Storage","",IF(_xlfn.XLOOKUP($B124,'ELC TECH'!$H:$H,'ELC TECH'!AM:AM)="",1,_xlfn.XLOOKUP($B124,'ELC TECH'!$H:$H,'ELC TECH'!AM:AM)))</f>
        <v/>
      </c>
      <c r="M124" s="12" t="str">
        <f>IF(_xlfn.XLOOKUP($B124,'ELC TECH'!$H:$H,'ELC TECH'!$E:$E)="Storage","",IF(_xlfn.XLOOKUP($B124,'ELC TECH'!$H:$H,'ELC TECH'!AN:AN)="",1,_xlfn.XLOOKUP($B124,'ELC TECH'!$H:$H,'ELC TECH'!AN:AN)))</f>
        <v/>
      </c>
      <c r="N124" s="12" t="str">
        <f>IF(_xlfn.XLOOKUP($B124,'ELC TECH'!$H:$H,'ELC TECH'!$E:$E)="Storage","",IF(_xlfn.XLOOKUP($B124,'ELC TECH'!$H:$H,'ELC TECH'!AO:AO)="",1,_xlfn.XLOOKUP($B124,'ELC TECH'!$H:$H,'ELC TECH'!AO:AO)))</f>
        <v/>
      </c>
      <c r="O124" s="12" t="str">
        <f>IF(_xlfn.XLOOKUP($B124,'ELC TECH'!$H:$H,'ELC TECH'!$E:$E)="Storage","",IF(_xlfn.XLOOKUP($B124,'ELC TECH'!$H:$H,'ELC TECH'!AP:AP)="",1,_xlfn.XLOOKUP($B124,'ELC TECH'!$H:$H,'ELC TECH'!AP:AP)))</f>
        <v/>
      </c>
      <c r="P124" s="12" t="str">
        <f>IF(_xlfn.XLOOKUP($B124,'ELC TECH'!$H:$H,'ELC TECH'!$E:$E)="Storage","",IF(_xlfn.XLOOKUP($B124,'ELC TECH'!$H:$H,'ELC TECH'!AQ:AQ)="",1,_xlfn.XLOOKUP($B124,'ELC TECH'!$H:$H,'ELC TECH'!AQ:AQ)))</f>
        <v/>
      </c>
      <c r="Q124" s="12" t="str">
        <f>IF(_xlfn.XLOOKUP($B124,'ELC TECH'!$H:$H,'ELC TECH'!$E:$E)="Storage","",IF(_xlfn.XLOOKUP($B124,'ELC TECH'!$H:$H,'ELC TECH'!AR:AR)="",1,_xlfn.XLOOKUP($B124,'ELC TECH'!$H:$H,'ELC TECH'!AR:AR)))</f>
        <v/>
      </c>
      <c r="R124" s="12">
        <f>IF(_xlfn.XLOOKUP($B124,'ELC TECH'!$H:$H,'ELC TECH'!$E:$E)&lt;&gt;"Storage","",IF(_xlfn.XLOOKUP($B124,'ELC TECH'!$H:$H,'ELC TECH'!AK:AK)="",0.8,_xlfn.XLOOKUP($B124,'ELC TECH'!$H:$H,'ELC TECH'!AK:AK)))</f>
        <v>0.8</v>
      </c>
      <c r="S124" s="12">
        <f>IF(_xlfn.XLOOKUP($B124,'ELC TECH'!$H:$H,'ELC TECH'!$E:$E)&lt;&gt;"Storage","",IF(_xlfn.XLOOKUP($B124,'ELC TECH'!$H:$H,'ELC TECH'!AL:AL)="",0.8,_xlfn.XLOOKUP($B124,'ELC TECH'!$H:$H,'ELC TECH'!AL:AL)))</f>
        <v>0.8</v>
      </c>
      <c r="T124" s="12">
        <f>IF(_xlfn.XLOOKUP($B124,'ELC TECH'!$H:$H,'ELC TECH'!$E:$E)&lt;&gt;"Storage","",IF(_xlfn.XLOOKUP($B124,'ELC TECH'!$H:$H,'ELC TECH'!AM:AM)="",0.8,_xlfn.XLOOKUP($B124,'ELC TECH'!$H:$H,'ELC TECH'!AM:AM)))</f>
        <v>0.8</v>
      </c>
      <c r="U124" s="12">
        <f>IF(_xlfn.XLOOKUP($B124,'ELC TECH'!$H:$H,'ELC TECH'!$E:$E)&lt;&gt;"Storage","",IF(_xlfn.XLOOKUP($B124,'ELC TECH'!$H:$H,'ELC TECH'!AN:AN)="",0.8,_xlfn.XLOOKUP($B124,'ELC TECH'!$H:$H,'ELC TECH'!AN:AN)))</f>
        <v>0.8</v>
      </c>
      <c r="V124" s="12">
        <f>IF(_xlfn.XLOOKUP($B124,'ELC TECH'!$H:$H,'ELC TECH'!$E:$E)&lt;&gt;"Storage","",IF(_xlfn.XLOOKUP($B124,'ELC TECH'!$H:$H,'ELC TECH'!AO:AO)="",0.8,_xlfn.XLOOKUP($B124,'ELC TECH'!$H:$H,'ELC TECH'!AO:AO)))</f>
        <v>0.8</v>
      </c>
      <c r="W124" s="12">
        <f>IF(_xlfn.XLOOKUP($B124,'ELC TECH'!$H:$H,'ELC TECH'!$E:$E)&lt;&gt;"Storage","",IF(_xlfn.XLOOKUP($B124,'ELC TECH'!$H:$H,'ELC TECH'!AP:AP)="",0.8,_xlfn.XLOOKUP($B124,'ELC TECH'!$H:$H,'ELC TECH'!AP:AP)))</f>
        <v>0.8</v>
      </c>
      <c r="X124" s="12">
        <f>IF(_xlfn.XLOOKUP($B124,'ELC TECH'!$H:$H,'ELC TECH'!$E:$E)&lt;&gt;"Storage","",IF(_xlfn.XLOOKUP($B124,'ELC TECH'!$H:$H,'ELC TECH'!AQ:AQ)="",0.8,_xlfn.XLOOKUP($B124,'ELC TECH'!$H:$H,'ELC TECH'!AQ:AQ)))</f>
        <v>0.8</v>
      </c>
      <c r="Y124" s="12">
        <f>IF(_xlfn.XLOOKUP($B124,'ELC TECH'!$H:$H,'ELC TECH'!$E:$E)&lt;&gt;"Storage","",IF(_xlfn.XLOOKUP($B124,'ELC TECH'!$H:$H,'ELC TECH'!AR:AR)="",0.8,_xlfn.XLOOKUP($B124,'ELC TECH'!$H:$H,'ELC TECH'!AR:AR)))</f>
        <v>0.8</v>
      </c>
      <c r="Z124" s="15">
        <f>_xlfn.XLOOKUP($B124,'ELC TECH'!$H:$H,'ELC TECH'!M:M)</f>
        <v>1794.810895417316</v>
      </c>
      <c r="AA124" s="15">
        <f>_xlfn.XLOOKUP($B124,'ELC TECH'!$H:$H,'ELC TECH'!N:N)</f>
        <v>1623.980538071678</v>
      </c>
      <c r="AB124" s="15">
        <f>_xlfn.XLOOKUP($B124,'ELC TECH'!$H:$H,'ELC TECH'!O:O)</f>
        <v>1361.2673694239049</v>
      </c>
      <c r="AC124" s="15">
        <f>_xlfn.XLOOKUP($B124,'ELC TECH'!$H:$H,'ELC TECH'!P:P)</f>
        <v>1256.298995358582</v>
      </c>
      <c r="AD124" s="15">
        <f>_xlfn.XLOOKUP($B124,'ELC TECH'!$H:$H,'ELC TECH'!Q:Q)</f>
        <v>1151.34981108683</v>
      </c>
      <c r="AE124" s="15">
        <f>_xlfn.XLOOKUP($B124,'ELC TECH'!$H:$H,'ELC TECH'!R:R)</f>
        <v>1046.4242447287311</v>
      </c>
      <c r="AF124" s="15">
        <f>_xlfn.XLOOKUP($B124,'ELC TECH'!$H:$H,'ELC TECH'!S:S)</f>
        <v>941.52820033830039</v>
      </c>
      <c r="AG124" s="15">
        <f>_xlfn.XLOOKUP($B124,'ELC TECH'!$H:$H,'ELC TECH'!T:T)</f>
        <v>941.52820033830039</v>
      </c>
      <c r="AH124" s="15">
        <f>_xlfn.XLOOKUP($B124,'ELC TECH'!$H:$H,'ELC TECH'!U:U)</f>
        <v>44.870272385432912</v>
      </c>
      <c r="AI124" s="15">
        <f>_xlfn.XLOOKUP($B124,'ELC TECH'!$H:$H,'ELC TECH'!V:V)</f>
        <v>40.599513451791957</v>
      </c>
      <c r="AJ124" s="15">
        <f>_xlfn.XLOOKUP($B124,'ELC TECH'!$H:$H,'ELC TECH'!W:W)</f>
        <v>34.031684235597687</v>
      </c>
      <c r="AK124" s="15">
        <f>_xlfn.XLOOKUP($B124,'ELC TECH'!$H:$H,'ELC TECH'!X:X)</f>
        <v>31.407474883964611</v>
      </c>
      <c r="AL124" s="15">
        <f>_xlfn.XLOOKUP($B124,'ELC TECH'!$H:$H,'ELC TECH'!Y:Y)</f>
        <v>28.783745277170748</v>
      </c>
      <c r="AM124" s="15">
        <f>_xlfn.XLOOKUP($B124,'ELC TECH'!$H:$H,'ELC TECH'!Z:Z)</f>
        <v>26.160606118218261</v>
      </c>
      <c r="AN124" s="15">
        <f>_xlfn.XLOOKUP($B124,'ELC TECH'!$H:$H,'ELC TECH'!AA:AA)</f>
        <v>23.538205008457481</v>
      </c>
      <c r="AO124" s="15">
        <f>_xlfn.XLOOKUP($B124,'ELC TECH'!$H:$H,'ELC TECH'!AB:AB)</f>
        <v>23.538205008457481</v>
      </c>
      <c r="AP124" s="15">
        <f>_xlfn.XLOOKUP($B124,'ELC TECH'!$H:$H,'ELC TECH'!AC:AC)</f>
        <v>0</v>
      </c>
      <c r="AQ124" s="15">
        <f>_xlfn.XLOOKUP($B124,'ELC TECH'!$H:$H,'ELC TECH'!AD:AD)</f>
        <v>0</v>
      </c>
      <c r="AR124" s="15">
        <f>_xlfn.XLOOKUP($B124,'ELC TECH'!$H:$H,'ELC TECH'!AE:AE)</f>
        <v>0</v>
      </c>
      <c r="AS124" s="15">
        <f>_xlfn.XLOOKUP($B124,'ELC TECH'!$H:$H,'ELC TECH'!AF:AF)</f>
        <v>0</v>
      </c>
      <c r="AT124" s="15">
        <f>_xlfn.XLOOKUP($B124,'ELC TECH'!$H:$H,'ELC TECH'!AG:AG)</f>
        <v>0</v>
      </c>
      <c r="AU124" s="15">
        <f>_xlfn.XLOOKUP($B124,'ELC TECH'!$H:$H,'ELC TECH'!AH:AH)</f>
        <v>0</v>
      </c>
      <c r="AV124" s="15">
        <f>_xlfn.XLOOKUP($B124,'ELC TECH'!$H:$H,'ELC TECH'!AI:AI)</f>
        <v>0</v>
      </c>
      <c r="AW124" s="15">
        <f>_xlfn.XLOOKUP($B124,'ELC TECH'!$H:$H,'ELC TECH'!AJ:AJ)</f>
        <v>0</v>
      </c>
      <c r="AX124" s="12" t="str">
        <f>IF(_xlfn.XLOOKUP($B124,'ELC TECH'!$H:$H,'ELC TECH'!$E:$E)="Storage","",_xlfn.XLOOKUP($B124,'ELC TECH'!$H:$H,'ELC TECH'!AS:AS))</f>
        <v/>
      </c>
      <c r="AY124" s="12" t="str">
        <f>IF(_xlfn.XLOOKUP($B124,'ELC TECH'!$H:$H,'ELC TECH'!$E:$E)="Storage","",_xlfn.XLOOKUP($B124,'ELC TECH'!$H:$H,'ELC TECH'!AT:AT))</f>
        <v/>
      </c>
      <c r="AZ124" s="12" t="str">
        <f>IF(_xlfn.XLOOKUP($B124,'ELC TECH'!$H:$H,'ELC TECH'!$E:$E)="Storage","",_xlfn.XLOOKUP($B124,'ELC TECH'!$H:$H,'ELC TECH'!AU:AU))</f>
        <v/>
      </c>
      <c r="BA124" s="12" t="str">
        <f>IF(_xlfn.XLOOKUP($B124,'ELC TECH'!$H:$H,'ELC TECH'!$E:$E)="Storage","",_xlfn.XLOOKUP($B124,'ELC TECH'!$H:$H,'ELC TECH'!AV:AV))</f>
        <v/>
      </c>
      <c r="BB124" s="12" t="str">
        <f>IF(_xlfn.XLOOKUP($B124,'ELC TECH'!$H:$H,'ELC TECH'!$E:$E)="Storage","",_xlfn.XLOOKUP($B124,'ELC TECH'!$H:$H,'ELC TECH'!AW:AW))</f>
        <v/>
      </c>
      <c r="BC124" s="12" t="str">
        <f>IF(_xlfn.XLOOKUP($B124,'ELC TECH'!$H:$H,'ELC TECH'!$E:$E)="Storage","",_xlfn.XLOOKUP($B124,'ELC TECH'!$H:$H,'ELC TECH'!AX:AX))</f>
        <v/>
      </c>
      <c r="BD124" s="12" t="str">
        <f>IF(_xlfn.XLOOKUP($B124,'ELC TECH'!$H:$H,'ELC TECH'!$E:$E)="Storage","",_xlfn.XLOOKUP($B124,'ELC TECH'!$H:$H,'ELC TECH'!AY:AY))</f>
        <v/>
      </c>
      <c r="BE124" s="12" t="str">
        <f>IF(_xlfn.XLOOKUP($B124,'ELC TECH'!$H:$H,'ELC TECH'!$E:$E)="Storage","",_xlfn.XLOOKUP($B124,'ELC TECH'!$H:$H,'ELC TECH'!AZ:AZ))</f>
        <v/>
      </c>
      <c r="BF124" s="12">
        <f>IF(_xlfn.XLOOKUP($B124,'ELC TECH'!$H:$H,'ELC TECH'!$E:$E)="Storage",_xlfn.XLOOKUP($B124,'ELC TECH'!$H:$H,'ELC TECH'!AS:AS),"")</f>
        <v>0.16666666666666671</v>
      </c>
      <c r="BG124" s="12">
        <f>IF(_xlfn.XLOOKUP($B124,'ELC TECH'!$H:$H,'ELC TECH'!$E:$E)="Storage",_xlfn.XLOOKUP($B124,'ELC TECH'!$H:$H,'ELC TECH'!AT:AT),"")</f>
        <v>0.16666666666666671</v>
      </c>
      <c r="BH124" s="12">
        <f>IF(_xlfn.XLOOKUP($B124,'ELC TECH'!$H:$H,'ELC TECH'!$E:$E)="Storage",_xlfn.XLOOKUP($B124,'ELC TECH'!$H:$H,'ELC TECH'!AU:AU),"")</f>
        <v>0.16666666666666671</v>
      </c>
      <c r="BI124" s="12">
        <f>IF(_xlfn.XLOOKUP($B124,'ELC TECH'!$H:$H,'ELC TECH'!$E:$E)="Storage",_xlfn.XLOOKUP($B124,'ELC TECH'!$H:$H,'ELC TECH'!AV:AV),"")</f>
        <v>0.16666666666666671</v>
      </c>
      <c r="BJ124" s="12">
        <f>IF(_xlfn.XLOOKUP($B124,'ELC TECH'!$H:$H,'ELC TECH'!$E:$E)="Storage",_xlfn.XLOOKUP($B124,'ELC TECH'!$H:$H,'ELC TECH'!AW:AW),"")</f>
        <v>0.16666666666666671</v>
      </c>
      <c r="BK124" s="12">
        <f>IF(_xlfn.XLOOKUP($B124,'ELC TECH'!$H:$H,'ELC TECH'!$E:$E)="Storage",_xlfn.XLOOKUP($B124,'ELC TECH'!$H:$H,'ELC TECH'!AX:AX),"")</f>
        <v>0.16666666666666671</v>
      </c>
      <c r="BL124" s="12">
        <f>IF(_xlfn.XLOOKUP($B124,'ELC TECH'!$H:$H,'ELC TECH'!$E:$E)="Storage",_xlfn.XLOOKUP($B124,'ELC TECH'!$H:$H,'ELC TECH'!AY:AY),"")</f>
        <v>0.16666666666666671</v>
      </c>
      <c r="BM124" s="12">
        <f>IF(_xlfn.XLOOKUP($B124,'ELC TECH'!$H:$H,'ELC TECH'!$E:$E)="Storage",_xlfn.XLOOKUP($B124,'ELC TECH'!$H:$H,'ELC TECH'!AZ:AZ),"")</f>
        <v>0.16666666666666671</v>
      </c>
      <c r="BN124" s="8" t="str">
        <f>IF(_xlfn.XLOOKUP($B124,'ELC TECH'!$H:$H,'ELC TECH'!$E:$E)="Non Dispatchable",IFERROR($AX124*_xlfn.XLOOKUP($C124,$BM$1:$BM$3,BN$1:BN$3)/SUMPRODUCT(_xlfn.XLOOKUP($C124,$BM$1:$BM$3,$BN$1:$BY$3),$BN$4:$BY$4),""),
"")</f>
        <v/>
      </c>
      <c r="BO124" s="8" t="str">
        <f>IF(_xlfn.XLOOKUP($B124,'ELC TECH'!$H:$H,'ELC TECH'!$E:$E)="Non Dispatchable",IFERROR($AX124*_xlfn.XLOOKUP($C124,$BM$1:$BM$3,BO$1:BO$3)/SUMPRODUCT(_xlfn.XLOOKUP($C124,$BM$1:$BM$3,$BN$1:$BY$3),$BN$4:$BY$4),""),
"")</f>
        <v/>
      </c>
      <c r="BP124" s="8" t="str">
        <f>IF(_xlfn.XLOOKUP($B124,'ELC TECH'!$H:$H,'ELC TECH'!$E:$E)="Non Dispatchable",IFERROR($AX124*_xlfn.XLOOKUP($C124,$BM$1:$BM$3,BP$1:BP$3)/SUMPRODUCT(_xlfn.XLOOKUP($C124,$BM$1:$BM$3,$BN$1:$BY$3),$BN$4:$BY$4),""),
"")</f>
        <v/>
      </c>
      <c r="BQ124" s="8" t="str">
        <f>IF(_xlfn.XLOOKUP($B124,'ELC TECH'!$H:$H,'ELC TECH'!$E:$E)="Non Dispatchable",IFERROR($AX124*_xlfn.XLOOKUP($C124,$BM$1:$BM$3,BQ$1:BQ$3)/SUMPRODUCT(_xlfn.XLOOKUP($C124,$BM$1:$BM$3,$BN$1:$BY$3),$BN$4:$BY$4),""),
"")</f>
        <v/>
      </c>
      <c r="BR124" s="8" t="str">
        <f>IF(_xlfn.XLOOKUP($B124,'ELC TECH'!$H:$H,'ELC TECH'!$E:$E)="Non Dispatchable",IFERROR($AX124*_xlfn.XLOOKUP($C124,$BM$1:$BM$3,BR$1:BR$3)/SUMPRODUCT(_xlfn.XLOOKUP($C124,$BM$1:$BM$3,$BN$1:$BY$3),$BN$4:$BY$4),""),
"")</f>
        <v/>
      </c>
      <c r="BS124" s="8" t="str">
        <f>IF(_xlfn.XLOOKUP($B124,'ELC TECH'!$H:$H,'ELC TECH'!$E:$E)="Non Dispatchable",IFERROR($AX124*_xlfn.XLOOKUP($C124,$BM$1:$BM$3,BS$1:BS$3)/SUMPRODUCT(_xlfn.XLOOKUP($C124,$BM$1:$BM$3,$BN$1:$BY$3),$BN$4:$BY$4),""),
"")</f>
        <v/>
      </c>
      <c r="BT124" s="8" t="str">
        <f>IF(_xlfn.XLOOKUP($B124,'ELC TECH'!$H:$H,'ELC TECH'!$E:$E)="Non Dispatchable",IFERROR($AX124*_xlfn.XLOOKUP($C124,$BM$1:$BM$3,BT$1:BT$3)/SUMPRODUCT(_xlfn.XLOOKUP($C124,$BM$1:$BM$3,$BN$1:$BY$3),$BN$4:$BY$4),""),
"")</f>
        <v/>
      </c>
      <c r="BU124" s="8" t="str">
        <f>IF(_xlfn.XLOOKUP($B124,'ELC TECH'!$H:$H,'ELC TECH'!$E:$E)="Non Dispatchable",IFERROR($AX124*_xlfn.XLOOKUP($C124,$BM$1:$BM$3,BU$1:BU$3)/SUMPRODUCT(_xlfn.XLOOKUP($C124,$BM$1:$BM$3,$BN$1:$BY$3),$BN$4:$BY$4),""),
"")</f>
        <v/>
      </c>
      <c r="BV124" s="8" t="str">
        <f>IF(_xlfn.XLOOKUP($B124,'ELC TECH'!$H:$H,'ELC TECH'!$E:$E)="Non Dispatchable",IFERROR($AX124*_xlfn.XLOOKUP($C124,$BM$1:$BM$3,BV$1:BV$3)/SUMPRODUCT(_xlfn.XLOOKUP($C124,$BM$1:$BM$3,$BN$1:$BY$3),$BN$4:$BY$4),""),
"")</f>
        <v/>
      </c>
      <c r="BW124" s="8" t="str">
        <f>IF(_xlfn.XLOOKUP($B124,'ELC TECH'!$H:$H,'ELC TECH'!$E:$E)="Non Dispatchable",IFERROR($AX124*_xlfn.XLOOKUP($C124,$BM$1:$BM$3,BW$1:BW$3)/SUMPRODUCT(_xlfn.XLOOKUP($C124,$BM$1:$BM$3,$BN$1:$BY$3),$BN$4:$BY$4),""),
"")</f>
        <v/>
      </c>
      <c r="BX124" s="8" t="str">
        <f>IF(_xlfn.XLOOKUP($B124,'ELC TECH'!$H:$H,'ELC TECH'!$E:$E)="Non Dispatchable",IFERROR($AX124*_xlfn.XLOOKUP($C124,$BM$1:$BM$3,BX$1:BX$3)/SUMPRODUCT(_xlfn.XLOOKUP($C124,$BM$1:$BM$3,$BN$1:$BY$3),$BN$4:$BY$4),""),
"")</f>
        <v/>
      </c>
      <c r="BY124" s="8" t="str">
        <f>IF(_xlfn.XLOOKUP($B124,'ELC TECH'!$H:$H,'ELC TECH'!$E:$E)="Non Dispatchable",IFERROR($AX124*_xlfn.XLOOKUP($C124,$BM$1:$BM$3,BY$1:BY$3)/SUMPRODUCT(_xlfn.XLOOKUP($C124,$BM$1:$BM$3,$BN$1:$BY$3),$BN$4:$BY$4),""),
"")</f>
        <v/>
      </c>
      <c r="BZ124" s="8" t="str">
        <f>IF(_xlfn.XLOOKUP($B124,'ELC TECH'!$H:$H,'ELC TECH'!$E:$E)="Non Dispatchable",IFERROR($AX124*_xlfn.XLOOKUP($C124,$BM$1:$BM$3,BZ$1:BZ$3)/SUMPRODUCT(_xlfn.XLOOKUP($C124,$BM$1:$BM$3,$BN$1:$BY$3),$BN$4:$BY$4),""),
"")</f>
        <v/>
      </c>
      <c r="CA124" s="8" t="str">
        <f>IF(_xlfn.XLOOKUP($B124,'ELC TECH'!$H:$H,'ELC TECH'!$E:$E)="Non Dispatchable",IFERROR($AX124*_xlfn.XLOOKUP($C124,$BM$1:$BM$3,CA$1:CA$3)/SUMPRODUCT(_xlfn.XLOOKUP($C124,$BM$1:$BM$3,$BN$1:$BY$3),$BN$4:$BY$4),""),
"")</f>
        <v/>
      </c>
      <c r="CB124" s="8" t="str">
        <f>IF(_xlfn.XLOOKUP($B124,'ELC TECH'!$H:$H,'ELC TECH'!$E:$E)="Non Dispatchable",IFERROR($AX124*_xlfn.XLOOKUP($C124,$BM$1:$BM$3,CB$1:CB$3)/SUMPRODUCT(_xlfn.XLOOKUP($C124,$BM$1:$BM$3,$BN$1:$BY$3),$BN$4:$BY$4),""),
"")</f>
        <v/>
      </c>
      <c r="CC124" s="8" t="str">
        <f>IF(_xlfn.XLOOKUP($B124,'ELC TECH'!$H:$H,'ELC TECH'!$E:$E)="Non Dispatchable",IFERROR($AX124*_xlfn.XLOOKUP($C124,$BM$1:$BM$3,CC$1:CC$3)/SUMPRODUCT(_xlfn.XLOOKUP($C124,$BM$1:$BM$3,$BN$1:$BY$3),$BN$4:$BY$4),""),
"")</f>
        <v/>
      </c>
      <c r="CD124" s="8" t="str">
        <f>IF(_xlfn.XLOOKUP($B124,'ELC TECH'!$H:$H,'ELC TECH'!$E:$E)="Non Dispatchable",IFERROR($AX124*_xlfn.XLOOKUP($C124,$BM$1:$BM$3,CD$1:CD$3)/SUMPRODUCT(_xlfn.XLOOKUP($C124,$BM$1:$BM$3,$BN$1:$BY$3),$BN$4:$BY$4),""),
"")</f>
        <v/>
      </c>
      <c r="CE124" s="8" t="str">
        <f>IF(_xlfn.XLOOKUP($B124,'ELC TECH'!$H:$H,'ELC TECH'!$E:$E)="Non Dispatchable",IFERROR($AX124*_xlfn.XLOOKUP($C124,$BM$1:$BM$3,CE$1:CE$3)/SUMPRODUCT(_xlfn.XLOOKUP($C124,$BM$1:$BM$3,$BN$1:$BY$3),$BN$4:$BY$4),""),
"")</f>
        <v/>
      </c>
      <c r="CF124" s="8" t="str">
        <f>IF(_xlfn.XLOOKUP($B124,'ELC TECH'!$H:$H,'ELC TECH'!$E:$E)="Non Dispatchable",IFERROR($AX124*_xlfn.XLOOKUP($C124,$BM$1:$BM$3,CF$1:CF$3)/SUMPRODUCT(_xlfn.XLOOKUP($C124,$BM$1:$BM$3,$BN$1:$BY$3),$BN$4:$BY$4),""),
"")</f>
        <v/>
      </c>
      <c r="CG124" s="8" t="str">
        <f>IF(_xlfn.XLOOKUP($B124,'ELC TECH'!$H:$H,'ELC TECH'!$E:$E)="Non Dispatchable",IFERROR($AX124*_xlfn.XLOOKUP($C124,$BM$1:$BM$3,CG$1:CG$3)/SUMPRODUCT(_xlfn.XLOOKUP($C124,$BM$1:$BM$3,$BN$1:$BY$3),$BN$4:$BY$4),""),
"")</f>
        <v/>
      </c>
      <c r="CH124" s="8" t="str">
        <f>IF(_xlfn.XLOOKUP($B124,'ELC TECH'!$H:$H,'ELC TECH'!$E:$E)="Non Dispatchable",IFERROR($AX124*_xlfn.XLOOKUP($C124,$BM$1:$BM$3,CH$1:CH$3)/SUMPRODUCT(_xlfn.XLOOKUP($C124,$BM$1:$BM$3,$BN$1:$BY$3),$BN$4:$BY$4),""),
"")</f>
        <v/>
      </c>
      <c r="CI124" s="8" t="str">
        <f>IF(_xlfn.XLOOKUP($B124,'ELC TECH'!$H:$H,'ELC TECH'!$E:$E)="Non Dispatchable",IFERROR($AX124*_xlfn.XLOOKUP($C124,$BM$1:$BM$3,CI$1:CI$3)/SUMPRODUCT(_xlfn.XLOOKUP($C124,$BM$1:$BM$3,$BN$1:$BY$3),$BN$4:$BY$4),""),
"")</f>
        <v/>
      </c>
      <c r="CJ124" s="8" t="str">
        <f>IF(_xlfn.XLOOKUP($B124,'ELC TECH'!$H:$H,'ELC TECH'!$E:$E)="Non Dispatchable",IFERROR($AX124*_xlfn.XLOOKUP($C124,$BM$1:$BM$3,CJ$1:CJ$3)/SUMPRODUCT(_xlfn.XLOOKUP($C124,$BM$1:$BM$3,$BN$1:$BY$3),$BN$4:$BY$4),""),
"")</f>
        <v/>
      </c>
      <c r="CK124" s="8" t="str">
        <f>IF(_xlfn.XLOOKUP($B124,'ELC TECH'!$H:$H,'ELC TECH'!$E:$E)="Non Dispatchable",IFERROR($AX124*_xlfn.XLOOKUP($C124,$BM$1:$BM$3,CK$1:CK$3)/SUMPRODUCT(_xlfn.XLOOKUP($C124,$BM$1:$BM$3,$BN$1:$BY$3),$BN$4:$BY$4),""),
"")</f>
        <v/>
      </c>
      <c r="CL124" s="8">
        <f>IF(_xlfn.XLOOKUP($B124,'ELC TECH'!$H:$H,'ELC TECH'!$E:$E)="Storage",CL$4*$BF124,"")</f>
        <v>1.3700000000000004E-2</v>
      </c>
      <c r="CM124" s="8">
        <f>IF(_xlfn.XLOOKUP($B124,'ELC TECH'!$H:$H,'ELC TECH'!$E:$E)="Storage",CM$4*$BF124,"")</f>
        <v>1.5950000000000002E-2</v>
      </c>
      <c r="CN124" s="8">
        <f>IF(_xlfn.XLOOKUP($B124,'ELC TECH'!$H:$H,'ELC TECH'!$E:$E)="Storage",CN$4*$BF124,"")</f>
        <v>2.5533333333333342E-2</v>
      </c>
      <c r="CO124" s="8">
        <f>IF(_xlfn.XLOOKUP($B124,'ELC TECH'!$H:$H,'ELC TECH'!$E:$E)="Storage",CO$4*$BF124,"")</f>
        <v>5.3333333333333347E-4</v>
      </c>
      <c r="CP124" s="8">
        <f>IF(_xlfn.XLOOKUP($B124,'ELC TECH'!$H:$H,'ELC TECH'!$E:$E)="Storage",CP$4*$BF124,"")</f>
        <v>1.3583333333333338E-2</v>
      </c>
      <c r="CQ124" s="8">
        <f>IF(_xlfn.XLOOKUP($B124,'ELC TECH'!$H:$H,'ELC TECH'!$E:$E)="Storage",CQ$4*$BF124,"")</f>
        <v>1.8116666666666673E-2</v>
      </c>
      <c r="CR124" s="8">
        <f>IF(_xlfn.XLOOKUP($B124,'ELC TECH'!$H:$H,'ELC TECH'!$E:$E)="Storage",CR$4*$BF124,"")</f>
        <v>2.3016666666666675E-2</v>
      </c>
      <c r="CS124" s="8">
        <f>IF(_xlfn.XLOOKUP($B124,'ELC TECH'!$H:$H,'ELC TECH'!$E:$E)="Storage",CS$4*$BF124,"")</f>
        <v>5.3333333333333347E-4</v>
      </c>
      <c r="CT124" s="8">
        <f>IF(_xlfn.XLOOKUP($B124,'ELC TECH'!$H:$H,'ELC TECH'!$E:$E)="Storage",CT$4*$BF124,"")</f>
        <v>1.6250000000000004E-2</v>
      </c>
      <c r="CU124" s="8">
        <f>IF(_xlfn.XLOOKUP($B124,'ELC TECH'!$H:$H,'ELC TECH'!$E:$E)="Storage",CU$4*$BF124,"")</f>
        <v>1.8116666666666673E-2</v>
      </c>
      <c r="CV124" s="8">
        <f>IF(_xlfn.XLOOKUP($B124,'ELC TECH'!$H:$H,'ELC TECH'!$E:$E)="Storage",CV$4*$BF124,"")</f>
        <v>2.0883333333333337E-2</v>
      </c>
      <c r="CW124" s="8">
        <f>IF(_xlfn.XLOOKUP($B124,'ELC TECH'!$H:$H,'ELC TECH'!$E:$E)="Storage",CW$4*$BF124,"")</f>
        <v>4.5000000000000015E-4</v>
      </c>
      <c r="CX124" s="8">
        <f>IF(_xlfn.XLOOKUP($B124,'ELC TECH'!$H:$H,'ELC TECH'!$E:$E)="Storage",CX$4*$BF124,"")</f>
        <v>1.3700000000000004E-2</v>
      </c>
      <c r="CY124" s="8">
        <f>IF(_xlfn.XLOOKUP($B124,'ELC TECH'!$H:$H,'ELC TECH'!$E:$E)="Storage",CY$4*$BF124,"")</f>
        <v>1.5950000000000002E-2</v>
      </c>
      <c r="CZ124" s="8">
        <f>IF(_xlfn.XLOOKUP($B124,'ELC TECH'!$H:$H,'ELC TECH'!$E:$E)="Storage",CZ$4*$BF124,"")</f>
        <v>2.5533333333333342E-2</v>
      </c>
      <c r="DA124" s="8">
        <f>IF(_xlfn.XLOOKUP($B124,'ELC TECH'!$H:$H,'ELC TECH'!$E:$E)="Storage",DA$4*$BF124,"")</f>
        <v>5.3333333333333347E-4</v>
      </c>
      <c r="DB124" s="8">
        <f>IF(_xlfn.XLOOKUP($B124,'ELC TECH'!$H:$H,'ELC TECH'!$E:$E)="Storage",DB$4*$BF124,"")</f>
        <v>1.3583333333333338E-2</v>
      </c>
      <c r="DC124" s="8">
        <f>IF(_xlfn.XLOOKUP($B124,'ELC TECH'!$H:$H,'ELC TECH'!$E:$E)="Storage",DC$4*$BF124,"")</f>
        <v>1.8116666666666673E-2</v>
      </c>
      <c r="DD124" s="8">
        <f>IF(_xlfn.XLOOKUP($B124,'ELC TECH'!$H:$H,'ELC TECH'!$E:$E)="Storage",DD$4*$BF124,"")</f>
        <v>2.3016666666666675E-2</v>
      </c>
      <c r="DE124" s="8">
        <f>IF(_xlfn.XLOOKUP($B124,'ELC TECH'!$H:$H,'ELC TECH'!$E:$E)="Storage",DE$4*$BF124,"")</f>
        <v>5.3333333333333347E-4</v>
      </c>
      <c r="DF124" s="8">
        <f>IF(_xlfn.XLOOKUP($B124,'ELC TECH'!$H:$H,'ELC TECH'!$E:$E)="Storage",DF$4*$BF124,"")</f>
        <v>1.6250000000000004E-2</v>
      </c>
      <c r="DG124" s="8">
        <f>IF(_xlfn.XLOOKUP($B124,'ELC TECH'!$H:$H,'ELC TECH'!$E:$E)="Storage",DG$4*$BF124,"")</f>
        <v>1.8116666666666673E-2</v>
      </c>
      <c r="DH124" s="8">
        <f>IF(_xlfn.XLOOKUP($B124,'ELC TECH'!$H:$H,'ELC TECH'!$E:$E)="Storage",DH$4*$BF124,"")</f>
        <v>2.0883333333333337E-2</v>
      </c>
      <c r="DI124" s="8">
        <f>IF(_xlfn.XLOOKUP($B124,'ELC TECH'!$H:$H,'ELC TECH'!$E:$E)="Storage",DI$4*$BF124,"")</f>
        <v>4.5000000000000015E-4</v>
      </c>
    </row>
    <row r="125" spans="2:113" x14ac:dyDescent="0.25">
      <c r="B125" t="str">
        <f>IF('ELC TECH'!I118=0,"*",'ELC TECH'!H118)</f>
        <v>ELCSTGGRDUBES6H20</v>
      </c>
      <c r="C125" t="str">
        <f>IF(_xlfn.XLOOKUP(_xlfn.XLOOKUP(B125,'ELC TECH'!$H:$H,'ELC TECH'!$G:$G),List!C:C,List!B:B)="STG",D125,"ELC"&amp;_xlfn.XLOOKUP(_xlfn.XLOOKUP(B125,'ELC TECH'!H:H,'ELC TECH'!G:G),List!C:C,List!B:B))</f>
        <v>CELC</v>
      </c>
      <c r="D125" t="s">
        <v>544</v>
      </c>
      <c r="E125">
        <f>_xlfn.XLOOKUP(B125,'ELC TECH'!H:H,'ELC TECH'!D:D)</f>
        <v>2020</v>
      </c>
      <c r="F125">
        <f>_xlfn.XLOOKUP(B125,'ELC TECH'!H:H,'ELC TECH'!K:K)</f>
        <v>15</v>
      </c>
      <c r="G125">
        <f t="shared" si="7"/>
        <v>31.535999999999998</v>
      </c>
      <c r="H125">
        <f>IF(_xlfn.XLOOKUP(B125,'ELC TECH'!$H:$H,'ELC TECH'!$E:$E)="Storage",0.3,IF(_xlfn.XLOOKUP(B125,'ELC TECH'!$H:$H,'ELC TECH'!$E:$E)="Baseload",0.9,IF(_xlfn.XLOOKUP(B125,'ELC TECH'!$H:$H,'ELC TECH'!$E:$E)="Non Dispatchable",0.05,IF(_xlfn.XLOOKUP(B125,'ELC TECH'!$H:$H,'ELC TECH'!$E:$E)="Dispatchable",0.9,1))))</f>
        <v>0.3</v>
      </c>
      <c r="I125" s="13" t="str">
        <f>IF(_xlfn.XLOOKUP(B125,'ELC TECH'!H:H,'ELC TECH'!J:J)="","",_xlfn.XLOOKUP(B125,'ELC TECH'!H:H,'ELC TECH'!J:J))</f>
        <v/>
      </c>
      <c r="J125" s="12" t="str">
        <f>IF(_xlfn.XLOOKUP($B125,'ELC TECH'!$H:$H,'ELC TECH'!$E:$E)="Storage","",IF(_xlfn.XLOOKUP($B125,'ELC TECH'!$H:$H,'ELC TECH'!AK:AK)="",1,_xlfn.XLOOKUP($B125,'ELC TECH'!$H:$H,'ELC TECH'!AK:AK)))</f>
        <v/>
      </c>
      <c r="K125" s="12" t="str">
        <f>IF(_xlfn.XLOOKUP($B125,'ELC TECH'!$H:$H,'ELC TECH'!$E:$E)="Storage","",IF(_xlfn.XLOOKUP($B125,'ELC TECH'!$H:$H,'ELC TECH'!AL:AL)="",1,_xlfn.XLOOKUP($B125,'ELC TECH'!$H:$H,'ELC TECH'!AL:AL)))</f>
        <v/>
      </c>
      <c r="L125" s="12" t="str">
        <f>IF(_xlfn.XLOOKUP($B125,'ELC TECH'!$H:$H,'ELC TECH'!$E:$E)="Storage","",IF(_xlfn.XLOOKUP($B125,'ELC TECH'!$H:$H,'ELC TECH'!AM:AM)="",1,_xlfn.XLOOKUP($B125,'ELC TECH'!$H:$H,'ELC TECH'!AM:AM)))</f>
        <v/>
      </c>
      <c r="M125" s="12" t="str">
        <f>IF(_xlfn.XLOOKUP($B125,'ELC TECH'!$H:$H,'ELC TECH'!$E:$E)="Storage","",IF(_xlfn.XLOOKUP($B125,'ELC TECH'!$H:$H,'ELC TECH'!AN:AN)="",1,_xlfn.XLOOKUP($B125,'ELC TECH'!$H:$H,'ELC TECH'!AN:AN)))</f>
        <v/>
      </c>
      <c r="N125" s="12" t="str">
        <f>IF(_xlfn.XLOOKUP($B125,'ELC TECH'!$H:$H,'ELC TECH'!$E:$E)="Storage","",IF(_xlfn.XLOOKUP($B125,'ELC TECH'!$H:$H,'ELC TECH'!AO:AO)="",1,_xlfn.XLOOKUP($B125,'ELC TECH'!$H:$H,'ELC TECH'!AO:AO)))</f>
        <v/>
      </c>
      <c r="O125" s="12" t="str">
        <f>IF(_xlfn.XLOOKUP($B125,'ELC TECH'!$H:$H,'ELC TECH'!$E:$E)="Storage","",IF(_xlfn.XLOOKUP($B125,'ELC TECH'!$H:$H,'ELC TECH'!AP:AP)="",1,_xlfn.XLOOKUP($B125,'ELC TECH'!$H:$H,'ELC TECH'!AP:AP)))</f>
        <v/>
      </c>
      <c r="P125" s="12" t="str">
        <f>IF(_xlfn.XLOOKUP($B125,'ELC TECH'!$H:$H,'ELC TECH'!$E:$E)="Storage","",IF(_xlfn.XLOOKUP($B125,'ELC TECH'!$H:$H,'ELC TECH'!AQ:AQ)="",1,_xlfn.XLOOKUP($B125,'ELC TECH'!$H:$H,'ELC TECH'!AQ:AQ)))</f>
        <v/>
      </c>
      <c r="Q125" s="12" t="str">
        <f>IF(_xlfn.XLOOKUP($B125,'ELC TECH'!$H:$H,'ELC TECH'!$E:$E)="Storage","",IF(_xlfn.XLOOKUP($B125,'ELC TECH'!$H:$H,'ELC TECH'!AR:AR)="",1,_xlfn.XLOOKUP($B125,'ELC TECH'!$H:$H,'ELC TECH'!AR:AR)))</f>
        <v/>
      </c>
      <c r="R125" s="12">
        <f>IF(_xlfn.XLOOKUP($B125,'ELC TECH'!$H:$H,'ELC TECH'!$E:$E)&lt;&gt;"Storage","",IF(_xlfn.XLOOKUP($B125,'ELC TECH'!$H:$H,'ELC TECH'!AK:AK)="",0.8,_xlfn.XLOOKUP($B125,'ELC TECH'!$H:$H,'ELC TECH'!AK:AK)))</f>
        <v>0.8</v>
      </c>
      <c r="S125" s="12">
        <f>IF(_xlfn.XLOOKUP($B125,'ELC TECH'!$H:$H,'ELC TECH'!$E:$E)&lt;&gt;"Storage","",IF(_xlfn.XLOOKUP($B125,'ELC TECH'!$H:$H,'ELC TECH'!AL:AL)="",0.8,_xlfn.XLOOKUP($B125,'ELC TECH'!$H:$H,'ELC TECH'!AL:AL)))</f>
        <v>0.8</v>
      </c>
      <c r="T125" s="12">
        <f>IF(_xlfn.XLOOKUP($B125,'ELC TECH'!$H:$H,'ELC TECH'!$E:$E)&lt;&gt;"Storage","",IF(_xlfn.XLOOKUP($B125,'ELC TECH'!$H:$H,'ELC TECH'!AM:AM)="",0.8,_xlfn.XLOOKUP($B125,'ELC TECH'!$H:$H,'ELC TECH'!AM:AM)))</f>
        <v>0.8</v>
      </c>
      <c r="U125" s="12">
        <f>IF(_xlfn.XLOOKUP($B125,'ELC TECH'!$H:$H,'ELC TECH'!$E:$E)&lt;&gt;"Storage","",IF(_xlfn.XLOOKUP($B125,'ELC TECH'!$H:$H,'ELC TECH'!AN:AN)="",0.8,_xlfn.XLOOKUP($B125,'ELC TECH'!$H:$H,'ELC TECH'!AN:AN)))</f>
        <v>0.8</v>
      </c>
      <c r="V125" s="12">
        <f>IF(_xlfn.XLOOKUP($B125,'ELC TECH'!$H:$H,'ELC TECH'!$E:$E)&lt;&gt;"Storage","",IF(_xlfn.XLOOKUP($B125,'ELC TECH'!$H:$H,'ELC TECH'!AO:AO)="",0.8,_xlfn.XLOOKUP($B125,'ELC TECH'!$H:$H,'ELC TECH'!AO:AO)))</f>
        <v>0.8</v>
      </c>
      <c r="W125" s="12">
        <f>IF(_xlfn.XLOOKUP($B125,'ELC TECH'!$H:$H,'ELC TECH'!$E:$E)&lt;&gt;"Storage","",IF(_xlfn.XLOOKUP($B125,'ELC TECH'!$H:$H,'ELC TECH'!AP:AP)="",0.8,_xlfn.XLOOKUP($B125,'ELC TECH'!$H:$H,'ELC TECH'!AP:AP)))</f>
        <v>0.8</v>
      </c>
      <c r="X125" s="12">
        <f>IF(_xlfn.XLOOKUP($B125,'ELC TECH'!$H:$H,'ELC TECH'!$E:$E)&lt;&gt;"Storage","",IF(_xlfn.XLOOKUP($B125,'ELC TECH'!$H:$H,'ELC TECH'!AQ:AQ)="",0.8,_xlfn.XLOOKUP($B125,'ELC TECH'!$H:$H,'ELC TECH'!AQ:AQ)))</f>
        <v>0.8</v>
      </c>
      <c r="Y125" s="12">
        <f>IF(_xlfn.XLOOKUP($B125,'ELC TECH'!$H:$H,'ELC TECH'!$E:$E)&lt;&gt;"Storage","",IF(_xlfn.XLOOKUP($B125,'ELC TECH'!$H:$H,'ELC TECH'!AR:AR)="",0.8,_xlfn.XLOOKUP($B125,'ELC TECH'!$H:$H,'ELC TECH'!AR:AR)))</f>
        <v>0.8</v>
      </c>
      <c r="Z125" s="15">
        <f>_xlfn.XLOOKUP($B125,'ELC TECH'!$H:$H,'ELC TECH'!M:M)</f>
        <v>2523.1397723449768</v>
      </c>
      <c r="AA125" s="15">
        <f>_xlfn.XLOOKUP($B125,'ELC TECH'!$H:$H,'ELC TECH'!N:N)</f>
        <v>2272.9733110914258</v>
      </c>
      <c r="AB125" s="15">
        <f>_xlfn.XLOOKUP($B125,'ELC TECH'!$H:$H,'ELC TECH'!O:O)</f>
        <v>1875.749627703216</v>
      </c>
      <c r="AC125" s="15">
        <f>_xlfn.XLOOKUP($B125,'ELC TECH'!$H:$H,'ELC TECH'!P:P)</f>
        <v>1724.025882844971</v>
      </c>
      <c r="AD125" s="15">
        <f>_xlfn.XLOOKUP($B125,'ELC TECH'!$H:$H,'ELC TECH'!Q:Q)</f>
        <v>1572.577818425721</v>
      </c>
      <c r="AE125" s="15">
        <f>_xlfn.XLOOKUP($B125,'ELC TECH'!$H:$H,'ELC TECH'!R:R)</f>
        <v>1421.469048787317</v>
      </c>
      <c r="AF125" s="15">
        <f>_xlfn.XLOOKUP($B125,'ELC TECH'!$H:$H,'ELC TECH'!S:S)</f>
        <v>1270.7843915281051</v>
      </c>
      <c r="AG125" s="15">
        <f>_xlfn.XLOOKUP($B125,'ELC TECH'!$H:$H,'ELC TECH'!T:T)</f>
        <v>1270.7843915281051</v>
      </c>
      <c r="AH125" s="15">
        <f>_xlfn.XLOOKUP($B125,'ELC TECH'!$H:$H,'ELC TECH'!U:U)</f>
        <v>63.078494308624443</v>
      </c>
      <c r="AI125" s="15">
        <f>_xlfn.XLOOKUP($B125,'ELC TECH'!$H:$H,'ELC TECH'!V:V)</f>
        <v>56.82433277728564</v>
      </c>
      <c r="AJ125" s="15">
        <f>_xlfn.XLOOKUP($B125,'ELC TECH'!$H:$H,'ELC TECH'!W:W)</f>
        <v>46.893740692580437</v>
      </c>
      <c r="AK125" s="15">
        <f>_xlfn.XLOOKUP($B125,'ELC TECH'!$H:$H,'ELC TECH'!X:X)</f>
        <v>43.100647071124428</v>
      </c>
      <c r="AL125" s="15">
        <f>_xlfn.XLOOKUP($B125,'ELC TECH'!$H:$H,'ELC TECH'!Y:Y)</f>
        <v>39.314445460643128</v>
      </c>
      <c r="AM125" s="15">
        <f>_xlfn.XLOOKUP($B125,'ELC TECH'!$H:$H,'ELC TECH'!Z:Z)</f>
        <v>35.536726219683082</v>
      </c>
      <c r="AN125" s="15">
        <f>_xlfn.XLOOKUP($B125,'ELC TECH'!$H:$H,'ELC TECH'!AA:AA)</f>
        <v>31.769609788202619</v>
      </c>
      <c r="AO125" s="15">
        <f>_xlfn.XLOOKUP($B125,'ELC TECH'!$H:$H,'ELC TECH'!AB:AB)</f>
        <v>31.769609788202619</v>
      </c>
      <c r="AP125" s="15">
        <f>_xlfn.XLOOKUP($B125,'ELC TECH'!$H:$H,'ELC TECH'!AC:AC)</f>
        <v>0</v>
      </c>
      <c r="AQ125" s="15">
        <f>_xlfn.XLOOKUP($B125,'ELC TECH'!$H:$H,'ELC TECH'!AD:AD)</f>
        <v>0</v>
      </c>
      <c r="AR125" s="15">
        <f>_xlfn.XLOOKUP($B125,'ELC TECH'!$H:$H,'ELC TECH'!AE:AE)</f>
        <v>0</v>
      </c>
      <c r="AS125" s="15">
        <f>_xlfn.XLOOKUP($B125,'ELC TECH'!$H:$H,'ELC TECH'!AF:AF)</f>
        <v>0</v>
      </c>
      <c r="AT125" s="15">
        <f>_xlfn.XLOOKUP($B125,'ELC TECH'!$H:$H,'ELC TECH'!AG:AG)</f>
        <v>0</v>
      </c>
      <c r="AU125" s="15">
        <f>_xlfn.XLOOKUP($B125,'ELC TECH'!$H:$H,'ELC TECH'!AH:AH)</f>
        <v>0</v>
      </c>
      <c r="AV125" s="15">
        <f>_xlfn.XLOOKUP($B125,'ELC TECH'!$H:$H,'ELC TECH'!AI:AI)</f>
        <v>0</v>
      </c>
      <c r="AW125" s="15">
        <f>_xlfn.XLOOKUP($B125,'ELC TECH'!$H:$H,'ELC TECH'!AJ:AJ)</f>
        <v>0</v>
      </c>
      <c r="AX125" s="12" t="str">
        <f>IF(_xlfn.XLOOKUP($B125,'ELC TECH'!$H:$H,'ELC TECH'!$E:$E)="Storage","",_xlfn.XLOOKUP($B125,'ELC TECH'!$H:$H,'ELC TECH'!AS:AS))</f>
        <v/>
      </c>
      <c r="AY125" s="12" t="str">
        <f>IF(_xlfn.XLOOKUP($B125,'ELC TECH'!$H:$H,'ELC TECH'!$E:$E)="Storage","",_xlfn.XLOOKUP($B125,'ELC TECH'!$H:$H,'ELC TECH'!AT:AT))</f>
        <v/>
      </c>
      <c r="AZ125" s="12" t="str">
        <f>IF(_xlfn.XLOOKUP($B125,'ELC TECH'!$H:$H,'ELC TECH'!$E:$E)="Storage","",_xlfn.XLOOKUP($B125,'ELC TECH'!$H:$H,'ELC TECH'!AU:AU))</f>
        <v/>
      </c>
      <c r="BA125" s="12" t="str">
        <f>IF(_xlfn.XLOOKUP($B125,'ELC TECH'!$H:$H,'ELC TECH'!$E:$E)="Storage","",_xlfn.XLOOKUP($B125,'ELC TECH'!$H:$H,'ELC TECH'!AV:AV))</f>
        <v/>
      </c>
      <c r="BB125" s="12" t="str">
        <f>IF(_xlfn.XLOOKUP($B125,'ELC TECH'!$H:$H,'ELC TECH'!$E:$E)="Storage","",_xlfn.XLOOKUP($B125,'ELC TECH'!$H:$H,'ELC TECH'!AW:AW))</f>
        <v/>
      </c>
      <c r="BC125" s="12" t="str">
        <f>IF(_xlfn.XLOOKUP($B125,'ELC TECH'!$H:$H,'ELC TECH'!$E:$E)="Storage","",_xlfn.XLOOKUP($B125,'ELC TECH'!$H:$H,'ELC TECH'!AX:AX))</f>
        <v/>
      </c>
      <c r="BD125" s="12" t="str">
        <f>IF(_xlfn.XLOOKUP($B125,'ELC TECH'!$H:$H,'ELC TECH'!$E:$E)="Storage","",_xlfn.XLOOKUP($B125,'ELC TECH'!$H:$H,'ELC TECH'!AY:AY))</f>
        <v/>
      </c>
      <c r="BE125" s="12" t="str">
        <f>IF(_xlfn.XLOOKUP($B125,'ELC TECH'!$H:$H,'ELC TECH'!$E:$E)="Storage","",_xlfn.XLOOKUP($B125,'ELC TECH'!$H:$H,'ELC TECH'!AZ:AZ))</f>
        <v/>
      </c>
      <c r="BF125" s="12">
        <f>IF(_xlfn.XLOOKUP($B125,'ELC TECH'!$H:$H,'ELC TECH'!$E:$E)="Storage",_xlfn.XLOOKUP($B125,'ELC TECH'!$H:$H,'ELC TECH'!AS:AS),"")</f>
        <v>0.25</v>
      </c>
      <c r="BG125" s="12">
        <f>IF(_xlfn.XLOOKUP($B125,'ELC TECH'!$H:$H,'ELC TECH'!$E:$E)="Storage",_xlfn.XLOOKUP($B125,'ELC TECH'!$H:$H,'ELC TECH'!AT:AT),"")</f>
        <v>0.25</v>
      </c>
      <c r="BH125" s="12">
        <f>IF(_xlfn.XLOOKUP($B125,'ELC TECH'!$H:$H,'ELC TECH'!$E:$E)="Storage",_xlfn.XLOOKUP($B125,'ELC TECH'!$H:$H,'ELC TECH'!AU:AU),"")</f>
        <v>0.25</v>
      </c>
      <c r="BI125" s="12">
        <f>IF(_xlfn.XLOOKUP($B125,'ELC TECH'!$H:$H,'ELC TECH'!$E:$E)="Storage",_xlfn.XLOOKUP($B125,'ELC TECH'!$H:$H,'ELC TECH'!AV:AV),"")</f>
        <v>0.25</v>
      </c>
      <c r="BJ125" s="12">
        <f>IF(_xlfn.XLOOKUP($B125,'ELC TECH'!$H:$H,'ELC TECH'!$E:$E)="Storage",_xlfn.XLOOKUP($B125,'ELC TECH'!$H:$H,'ELC TECH'!AW:AW),"")</f>
        <v>0.25</v>
      </c>
      <c r="BK125" s="12">
        <f>IF(_xlfn.XLOOKUP($B125,'ELC TECH'!$H:$H,'ELC TECH'!$E:$E)="Storage",_xlfn.XLOOKUP($B125,'ELC TECH'!$H:$H,'ELC TECH'!AX:AX),"")</f>
        <v>0.25</v>
      </c>
      <c r="BL125" s="12">
        <f>IF(_xlfn.XLOOKUP($B125,'ELC TECH'!$H:$H,'ELC TECH'!$E:$E)="Storage",_xlfn.XLOOKUP($B125,'ELC TECH'!$H:$H,'ELC TECH'!AY:AY),"")</f>
        <v>0.25</v>
      </c>
      <c r="BM125" s="12">
        <f>IF(_xlfn.XLOOKUP($B125,'ELC TECH'!$H:$H,'ELC TECH'!$E:$E)="Storage",_xlfn.XLOOKUP($B125,'ELC TECH'!$H:$H,'ELC TECH'!AZ:AZ),"")</f>
        <v>0.25</v>
      </c>
      <c r="BN125" s="8" t="str">
        <f>IF(_xlfn.XLOOKUP($B125,'ELC TECH'!$H:$H,'ELC TECH'!$E:$E)="Non Dispatchable",IFERROR($AX125*_xlfn.XLOOKUP($C125,$BM$1:$BM$3,BN$1:BN$3)/SUMPRODUCT(_xlfn.XLOOKUP($C125,$BM$1:$BM$3,$BN$1:$BY$3),$BN$4:$BY$4),""),
"")</f>
        <v/>
      </c>
      <c r="BO125" s="8" t="str">
        <f>IF(_xlfn.XLOOKUP($B125,'ELC TECH'!$H:$H,'ELC TECH'!$E:$E)="Non Dispatchable",IFERROR($AX125*_xlfn.XLOOKUP($C125,$BM$1:$BM$3,BO$1:BO$3)/SUMPRODUCT(_xlfn.XLOOKUP($C125,$BM$1:$BM$3,$BN$1:$BY$3),$BN$4:$BY$4),""),
"")</f>
        <v/>
      </c>
      <c r="BP125" s="8" t="str">
        <f>IF(_xlfn.XLOOKUP($B125,'ELC TECH'!$H:$H,'ELC TECH'!$E:$E)="Non Dispatchable",IFERROR($AX125*_xlfn.XLOOKUP($C125,$BM$1:$BM$3,BP$1:BP$3)/SUMPRODUCT(_xlfn.XLOOKUP($C125,$BM$1:$BM$3,$BN$1:$BY$3),$BN$4:$BY$4),""),
"")</f>
        <v/>
      </c>
      <c r="BQ125" s="8" t="str">
        <f>IF(_xlfn.XLOOKUP($B125,'ELC TECH'!$H:$H,'ELC TECH'!$E:$E)="Non Dispatchable",IFERROR($AX125*_xlfn.XLOOKUP($C125,$BM$1:$BM$3,BQ$1:BQ$3)/SUMPRODUCT(_xlfn.XLOOKUP($C125,$BM$1:$BM$3,$BN$1:$BY$3),$BN$4:$BY$4),""),
"")</f>
        <v/>
      </c>
      <c r="BR125" s="8" t="str">
        <f>IF(_xlfn.XLOOKUP($B125,'ELC TECH'!$H:$H,'ELC TECH'!$E:$E)="Non Dispatchable",IFERROR($AX125*_xlfn.XLOOKUP($C125,$BM$1:$BM$3,BR$1:BR$3)/SUMPRODUCT(_xlfn.XLOOKUP($C125,$BM$1:$BM$3,$BN$1:$BY$3),$BN$4:$BY$4),""),
"")</f>
        <v/>
      </c>
      <c r="BS125" s="8" t="str">
        <f>IF(_xlfn.XLOOKUP($B125,'ELC TECH'!$H:$H,'ELC TECH'!$E:$E)="Non Dispatchable",IFERROR($AX125*_xlfn.XLOOKUP($C125,$BM$1:$BM$3,BS$1:BS$3)/SUMPRODUCT(_xlfn.XLOOKUP($C125,$BM$1:$BM$3,$BN$1:$BY$3),$BN$4:$BY$4),""),
"")</f>
        <v/>
      </c>
      <c r="BT125" s="8" t="str">
        <f>IF(_xlfn.XLOOKUP($B125,'ELC TECH'!$H:$H,'ELC TECH'!$E:$E)="Non Dispatchable",IFERROR($AX125*_xlfn.XLOOKUP($C125,$BM$1:$BM$3,BT$1:BT$3)/SUMPRODUCT(_xlfn.XLOOKUP($C125,$BM$1:$BM$3,$BN$1:$BY$3),$BN$4:$BY$4),""),
"")</f>
        <v/>
      </c>
      <c r="BU125" s="8" t="str">
        <f>IF(_xlfn.XLOOKUP($B125,'ELC TECH'!$H:$H,'ELC TECH'!$E:$E)="Non Dispatchable",IFERROR($AX125*_xlfn.XLOOKUP($C125,$BM$1:$BM$3,BU$1:BU$3)/SUMPRODUCT(_xlfn.XLOOKUP($C125,$BM$1:$BM$3,$BN$1:$BY$3),$BN$4:$BY$4),""),
"")</f>
        <v/>
      </c>
      <c r="BV125" s="8" t="str">
        <f>IF(_xlfn.XLOOKUP($B125,'ELC TECH'!$H:$H,'ELC TECH'!$E:$E)="Non Dispatchable",IFERROR($AX125*_xlfn.XLOOKUP($C125,$BM$1:$BM$3,BV$1:BV$3)/SUMPRODUCT(_xlfn.XLOOKUP($C125,$BM$1:$BM$3,$BN$1:$BY$3),$BN$4:$BY$4),""),
"")</f>
        <v/>
      </c>
      <c r="BW125" s="8" t="str">
        <f>IF(_xlfn.XLOOKUP($B125,'ELC TECH'!$H:$H,'ELC TECH'!$E:$E)="Non Dispatchable",IFERROR($AX125*_xlfn.XLOOKUP($C125,$BM$1:$BM$3,BW$1:BW$3)/SUMPRODUCT(_xlfn.XLOOKUP($C125,$BM$1:$BM$3,$BN$1:$BY$3),$BN$4:$BY$4),""),
"")</f>
        <v/>
      </c>
      <c r="BX125" s="8" t="str">
        <f>IF(_xlfn.XLOOKUP($B125,'ELC TECH'!$H:$H,'ELC TECH'!$E:$E)="Non Dispatchable",IFERROR($AX125*_xlfn.XLOOKUP($C125,$BM$1:$BM$3,BX$1:BX$3)/SUMPRODUCT(_xlfn.XLOOKUP($C125,$BM$1:$BM$3,$BN$1:$BY$3),$BN$4:$BY$4),""),
"")</f>
        <v/>
      </c>
      <c r="BY125" s="8" t="str">
        <f>IF(_xlfn.XLOOKUP($B125,'ELC TECH'!$H:$H,'ELC TECH'!$E:$E)="Non Dispatchable",IFERROR($AX125*_xlfn.XLOOKUP($C125,$BM$1:$BM$3,BY$1:BY$3)/SUMPRODUCT(_xlfn.XLOOKUP($C125,$BM$1:$BM$3,$BN$1:$BY$3),$BN$4:$BY$4),""),
"")</f>
        <v/>
      </c>
      <c r="BZ125" s="8" t="str">
        <f>IF(_xlfn.XLOOKUP($B125,'ELC TECH'!$H:$H,'ELC TECH'!$E:$E)="Non Dispatchable",IFERROR($AX125*_xlfn.XLOOKUP($C125,$BM$1:$BM$3,BZ$1:BZ$3)/SUMPRODUCT(_xlfn.XLOOKUP($C125,$BM$1:$BM$3,$BN$1:$BY$3),$BN$4:$BY$4),""),
"")</f>
        <v/>
      </c>
      <c r="CA125" s="8" t="str">
        <f>IF(_xlfn.XLOOKUP($B125,'ELC TECH'!$H:$H,'ELC TECH'!$E:$E)="Non Dispatchable",IFERROR($AX125*_xlfn.XLOOKUP($C125,$BM$1:$BM$3,CA$1:CA$3)/SUMPRODUCT(_xlfn.XLOOKUP($C125,$BM$1:$BM$3,$BN$1:$BY$3),$BN$4:$BY$4),""),
"")</f>
        <v/>
      </c>
      <c r="CB125" s="8" t="str">
        <f>IF(_xlfn.XLOOKUP($B125,'ELC TECH'!$H:$H,'ELC TECH'!$E:$E)="Non Dispatchable",IFERROR($AX125*_xlfn.XLOOKUP($C125,$BM$1:$BM$3,CB$1:CB$3)/SUMPRODUCT(_xlfn.XLOOKUP($C125,$BM$1:$BM$3,$BN$1:$BY$3),$BN$4:$BY$4),""),
"")</f>
        <v/>
      </c>
      <c r="CC125" s="8" t="str">
        <f>IF(_xlfn.XLOOKUP($B125,'ELC TECH'!$H:$H,'ELC TECH'!$E:$E)="Non Dispatchable",IFERROR($AX125*_xlfn.XLOOKUP($C125,$BM$1:$BM$3,CC$1:CC$3)/SUMPRODUCT(_xlfn.XLOOKUP($C125,$BM$1:$BM$3,$BN$1:$BY$3),$BN$4:$BY$4),""),
"")</f>
        <v/>
      </c>
      <c r="CD125" s="8" t="str">
        <f>IF(_xlfn.XLOOKUP($B125,'ELC TECH'!$H:$H,'ELC TECH'!$E:$E)="Non Dispatchable",IFERROR($AX125*_xlfn.XLOOKUP($C125,$BM$1:$BM$3,CD$1:CD$3)/SUMPRODUCT(_xlfn.XLOOKUP($C125,$BM$1:$BM$3,$BN$1:$BY$3),$BN$4:$BY$4),""),
"")</f>
        <v/>
      </c>
      <c r="CE125" s="8" t="str">
        <f>IF(_xlfn.XLOOKUP($B125,'ELC TECH'!$H:$H,'ELC TECH'!$E:$E)="Non Dispatchable",IFERROR($AX125*_xlfn.XLOOKUP($C125,$BM$1:$BM$3,CE$1:CE$3)/SUMPRODUCT(_xlfn.XLOOKUP($C125,$BM$1:$BM$3,$BN$1:$BY$3),$BN$4:$BY$4),""),
"")</f>
        <v/>
      </c>
      <c r="CF125" s="8" t="str">
        <f>IF(_xlfn.XLOOKUP($B125,'ELC TECH'!$H:$H,'ELC TECH'!$E:$E)="Non Dispatchable",IFERROR($AX125*_xlfn.XLOOKUP($C125,$BM$1:$BM$3,CF$1:CF$3)/SUMPRODUCT(_xlfn.XLOOKUP($C125,$BM$1:$BM$3,$BN$1:$BY$3),$BN$4:$BY$4),""),
"")</f>
        <v/>
      </c>
      <c r="CG125" s="8" t="str">
        <f>IF(_xlfn.XLOOKUP($B125,'ELC TECH'!$H:$H,'ELC TECH'!$E:$E)="Non Dispatchable",IFERROR($AX125*_xlfn.XLOOKUP($C125,$BM$1:$BM$3,CG$1:CG$3)/SUMPRODUCT(_xlfn.XLOOKUP($C125,$BM$1:$BM$3,$BN$1:$BY$3),$BN$4:$BY$4),""),
"")</f>
        <v/>
      </c>
      <c r="CH125" s="8" t="str">
        <f>IF(_xlfn.XLOOKUP($B125,'ELC TECH'!$H:$H,'ELC TECH'!$E:$E)="Non Dispatchable",IFERROR($AX125*_xlfn.XLOOKUP($C125,$BM$1:$BM$3,CH$1:CH$3)/SUMPRODUCT(_xlfn.XLOOKUP($C125,$BM$1:$BM$3,$BN$1:$BY$3),$BN$4:$BY$4),""),
"")</f>
        <v/>
      </c>
      <c r="CI125" s="8" t="str">
        <f>IF(_xlfn.XLOOKUP($B125,'ELC TECH'!$H:$H,'ELC TECH'!$E:$E)="Non Dispatchable",IFERROR($AX125*_xlfn.XLOOKUP($C125,$BM$1:$BM$3,CI$1:CI$3)/SUMPRODUCT(_xlfn.XLOOKUP($C125,$BM$1:$BM$3,$BN$1:$BY$3),$BN$4:$BY$4),""),
"")</f>
        <v/>
      </c>
      <c r="CJ125" s="8" t="str">
        <f>IF(_xlfn.XLOOKUP($B125,'ELC TECH'!$H:$H,'ELC TECH'!$E:$E)="Non Dispatchable",IFERROR($AX125*_xlfn.XLOOKUP($C125,$BM$1:$BM$3,CJ$1:CJ$3)/SUMPRODUCT(_xlfn.XLOOKUP($C125,$BM$1:$BM$3,$BN$1:$BY$3),$BN$4:$BY$4),""),
"")</f>
        <v/>
      </c>
      <c r="CK125" s="8" t="str">
        <f>IF(_xlfn.XLOOKUP($B125,'ELC TECH'!$H:$H,'ELC TECH'!$E:$E)="Non Dispatchable",IFERROR($AX125*_xlfn.XLOOKUP($C125,$BM$1:$BM$3,CK$1:CK$3)/SUMPRODUCT(_xlfn.XLOOKUP($C125,$BM$1:$BM$3,$BN$1:$BY$3),$BN$4:$BY$4),""),
"")</f>
        <v/>
      </c>
      <c r="CL125" s="8">
        <f>IF(_xlfn.XLOOKUP($B125,'ELC TECH'!$H:$H,'ELC TECH'!$E:$E)="Storage",CL$4*$BF125,"")</f>
        <v>2.0549999999999999E-2</v>
      </c>
      <c r="CM125" s="8">
        <f>IF(_xlfn.XLOOKUP($B125,'ELC TECH'!$H:$H,'ELC TECH'!$E:$E)="Storage",CM$4*$BF125,"")</f>
        <v>2.3924999999999998E-2</v>
      </c>
      <c r="CN125" s="8">
        <f>IF(_xlfn.XLOOKUP($B125,'ELC TECH'!$H:$H,'ELC TECH'!$E:$E)="Storage",CN$4*$BF125,"")</f>
        <v>3.8300000000000001E-2</v>
      </c>
      <c r="CO125" s="8">
        <f>IF(_xlfn.XLOOKUP($B125,'ELC TECH'!$H:$H,'ELC TECH'!$E:$E)="Storage",CO$4*$BF125,"")</f>
        <v>8.0000000000000004E-4</v>
      </c>
      <c r="CP125" s="8">
        <f>IF(_xlfn.XLOOKUP($B125,'ELC TECH'!$H:$H,'ELC TECH'!$E:$E)="Storage",CP$4*$BF125,"")</f>
        <v>2.0375000000000001E-2</v>
      </c>
      <c r="CQ125" s="8">
        <f>IF(_xlfn.XLOOKUP($B125,'ELC TECH'!$H:$H,'ELC TECH'!$E:$E)="Storage",CQ$4*$BF125,"")</f>
        <v>2.7175000000000001E-2</v>
      </c>
      <c r="CR125" s="8">
        <f>IF(_xlfn.XLOOKUP($B125,'ELC TECH'!$H:$H,'ELC TECH'!$E:$E)="Storage",CR$4*$BF125,"")</f>
        <v>3.4525E-2</v>
      </c>
      <c r="CS125" s="8">
        <f>IF(_xlfn.XLOOKUP($B125,'ELC TECH'!$H:$H,'ELC TECH'!$E:$E)="Storage",CS$4*$BF125,"")</f>
        <v>8.0000000000000004E-4</v>
      </c>
      <c r="CT125" s="8">
        <f>IF(_xlfn.XLOOKUP($B125,'ELC TECH'!$H:$H,'ELC TECH'!$E:$E)="Storage",CT$4*$BF125,"")</f>
        <v>2.4375000000000001E-2</v>
      </c>
      <c r="CU125" s="8">
        <f>IF(_xlfn.XLOOKUP($B125,'ELC TECH'!$H:$H,'ELC TECH'!$E:$E)="Storage",CU$4*$BF125,"")</f>
        <v>2.7175000000000001E-2</v>
      </c>
      <c r="CV125" s="8">
        <f>IF(_xlfn.XLOOKUP($B125,'ELC TECH'!$H:$H,'ELC TECH'!$E:$E)="Storage",CV$4*$BF125,"")</f>
        <v>3.1324999999999999E-2</v>
      </c>
      <c r="CW125" s="8">
        <f>IF(_xlfn.XLOOKUP($B125,'ELC TECH'!$H:$H,'ELC TECH'!$E:$E)="Storage",CW$4*$BF125,"")</f>
        <v>6.7500000000000004E-4</v>
      </c>
      <c r="CX125" s="8">
        <f>IF(_xlfn.XLOOKUP($B125,'ELC TECH'!$H:$H,'ELC TECH'!$E:$E)="Storage",CX$4*$BF125,"")</f>
        <v>2.0549999999999999E-2</v>
      </c>
      <c r="CY125" s="8">
        <f>IF(_xlfn.XLOOKUP($B125,'ELC TECH'!$H:$H,'ELC TECH'!$E:$E)="Storage",CY$4*$BF125,"")</f>
        <v>2.3924999999999998E-2</v>
      </c>
      <c r="CZ125" s="8">
        <f>IF(_xlfn.XLOOKUP($B125,'ELC TECH'!$H:$H,'ELC TECH'!$E:$E)="Storage",CZ$4*$BF125,"")</f>
        <v>3.8300000000000001E-2</v>
      </c>
      <c r="DA125" s="8">
        <f>IF(_xlfn.XLOOKUP($B125,'ELC TECH'!$H:$H,'ELC TECH'!$E:$E)="Storage",DA$4*$BF125,"")</f>
        <v>8.0000000000000004E-4</v>
      </c>
      <c r="DB125" s="8">
        <f>IF(_xlfn.XLOOKUP($B125,'ELC TECH'!$H:$H,'ELC TECH'!$E:$E)="Storage",DB$4*$BF125,"")</f>
        <v>2.0375000000000001E-2</v>
      </c>
      <c r="DC125" s="8">
        <f>IF(_xlfn.XLOOKUP($B125,'ELC TECH'!$H:$H,'ELC TECH'!$E:$E)="Storage",DC$4*$BF125,"")</f>
        <v>2.7175000000000001E-2</v>
      </c>
      <c r="DD125" s="8">
        <f>IF(_xlfn.XLOOKUP($B125,'ELC TECH'!$H:$H,'ELC TECH'!$E:$E)="Storage",DD$4*$BF125,"")</f>
        <v>3.4525E-2</v>
      </c>
      <c r="DE125" s="8">
        <f>IF(_xlfn.XLOOKUP($B125,'ELC TECH'!$H:$H,'ELC TECH'!$E:$E)="Storage",DE$4*$BF125,"")</f>
        <v>8.0000000000000004E-4</v>
      </c>
      <c r="DF125" s="8">
        <f>IF(_xlfn.XLOOKUP($B125,'ELC TECH'!$H:$H,'ELC TECH'!$E:$E)="Storage",DF$4*$BF125,"")</f>
        <v>2.4375000000000001E-2</v>
      </c>
      <c r="DG125" s="8">
        <f>IF(_xlfn.XLOOKUP($B125,'ELC TECH'!$H:$H,'ELC TECH'!$E:$E)="Storage",DG$4*$BF125,"")</f>
        <v>2.7175000000000001E-2</v>
      </c>
      <c r="DH125" s="8">
        <f>IF(_xlfn.XLOOKUP($B125,'ELC TECH'!$H:$H,'ELC TECH'!$E:$E)="Storage",DH$4*$BF125,"")</f>
        <v>3.1324999999999999E-2</v>
      </c>
      <c r="DI125" s="8">
        <f>IF(_xlfn.XLOOKUP($B125,'ELC TECH'!$H:$H,'ELC TECH'!$E:$E)="Storage",DI$4*$BF125,"")</f>
        <v>6.7500000000000004E-4</v>
      </c>
    </row>
    <row r="126" spans="2:113" x14ac:dyDescent="0.25">
      <c r="B126" t="str">
        <f>IF('ELC TECH'!I119=0,"*",'ELC TECH'!H119)</f>
        <v>ELCSTGGRDUBES8H20</v>
      </c>
      <c r="C126" t="str">
        <f>IF(_xlfn.XLOOKUP(_xlfn.XLOOKUP(B126,'ELC TECH'!$H:$H,'ELC TECH'!$G:$G),List!C:C,List!B:B)="STG",D126,"ELC"&amp;_xlfn.XLOOKUP(_xlfn.XLOOKUP(B126,'ELC TECH'!H:H,'ELC TECH'!G:G),List!C:C,List!B:B))</f>
        <v>CELC</v>
      </c>
      <c r="D126" t="s">
        <v>544</v>
      </c>
      <c r="E126">
        <f>_xlfn.XLOOKUP(B126,'ELC TECH'!H:H,'ELC TECH'!D:D)</f>
        <v>2020</v>
      </c>
      <c r="F126">
        <f>_xlfn.XLOOKUP(B126,'ELC TECH'!H:H,'ELC TECH'!K:K)</f>
        <v>15</v>
      </c>
      <c r="G126">
        <f t="shared" si="7"/>
        <v>31.535999999999998</v>
      </c>
      <c r="H126">
        <f>IF(_xlfn.XLOOKUP(B126,'ELC TECH'!$H:$H,'ELC TECH'!$E:$E)="Storage",0.3,IF(_xlfn.XLOOKUP(B126,'ELC TECH'!$H:$H,'ELC TECH'!$E:$E)="Baseload",0.9,IF(_xlfn.XLOOKUP(B126,'ELC TECH'!$H:$H,'ELC TECH'!$E:$E)="Non Dispatchable",0.05,IF(_xlfn.XLOOKUP(B126,'ELC TECH'!$H:$H,'ELC TECH'!$E:$E)="Dispatchable",0.9,1))))</f>
        <v>0.3</v>
      </c>
      <c r="I126" s="13" t="str">
        <f>IF(_xlfn.XLOOKUP(B126,'ELC TECH'!H:H,'ELC TECH'!J:J)="","",_xlfn.XLOOKUP(B126,'ELC TECH'!H:H,'ELC TECH'!J:J))</f>
        <v/>
      </c>
      <c r="J126" s="12" t="str">
        <f>IF(_xlfn.XLOOKUP($B126,'ELC TECH'!$H:$H,'ELC TECH'!$E:$E)="Storage","",IF(_xlfn.XLOOKUP($B126,'ELC TECH'!$H:$H,'ELC TECH'!AK:AK)="",1,_xlfn.XLOOKUP($B126,'ELC TECH'!$H:$H,'ELC TECH'!AK:AK)))</f>
        <v/>
      </c>
      <c r="K126" s="12" t="str">
        <f>IF(_xlfn.XLOOKUP($B126,'ELC TECH'!$H:$H,'ELC TECH'!$E:$E)="Storage","",IF(_xlfn.XLOOKUP($B126,'ELC TECH'!$H:$H,'ELC TECH'!AL:AL)="",1,_xlfn.XLOOKUP($B126,'ELC TECH'!$H:$H,'ELC TECH'!AL:AL)))</f>
        <v/>
      </c>
      <c r="L126" s="12" t="str">
        <f>IF(_xlfn.XLOOKUP($B126,'ELC TECH'!$H:$H,'ELC TECH'!$E:$E)="Storage","",IF(_xlfn.XLOOKUP($B126,'ELC TECH'!$H:$H,'ELC TECH'!AM:AM)="",1,_xlfn.XLOOKUP($B126,'ELC TECH'!$H:$H,'ELC TECH'!AM:AM)))</f>
        <v/>
      </c>
      <c r="M126" s="12" t="str">
        <f>IF(_xlfn.XLOOKUP($B126,'ELC TECH'!$H:$H,'ELC TECH'!$E:$E)="Storage","",IF(_xlfn.XLOOKUP($B126,'ELC TECH'!$H:$H,'ELC TECH'!AN:AN)="",1,_xlfn.XLOOKUP($B126,'ELC TECH'!$H:$H,'ELC TECH'!AN:AN)))</f>
        <v/>
      </c>
      <c r="N126" s="12" t="str">
        <f>IF(_xlfn.XLOOKUP($B126,'ELC TECH'!$H:$H,'ELC TECH'!$E:$E)="Storage","",IF(_xlfn.XLOOKUP($B126,'ELC TECH'!$H:$H,'ELC TECH'!AO:AO)="",1,_xlfn.XLOOKUP($B126,'ELC TECH'!$H:$H,'ELC TECH'!AO:AO)))</f>
        <v/>
      </c>
      <c r="O126" s="12" t="str">
        <f>IF(_xlfn.XLOOKUP($B126,'ELC TECH'!$H:$H,'ELC TECH'!$E:$E)="Storage","",IF(_xlfn.XLOOKUP($B126,'ELC TECH'!$H:$H,'ELC TECH'!AP:AP)="",1,_xlfn.XLOOKUP($B126,'ELC TECH'!$H:$H,'ELC TECH'!AP:AP)))</f>
        <v/>
      </c>
      <c r="P126" s="12" t="str">
        <f>IF(_xlfn.XLOOKUP($B126,'ELC TECH'!$H:$H,'ELC TECH'!$E:$E)="Storage","",IF(_xlfn.XLOOKUP($B126,'ELC TECH'!$H:$H,'ELC TECH'!AQ:AQ)="",1,_xlfn.XLOOKUP($B126,'ELC TECH'!$H:$H,'ELC TECH'!AQ:AQ)))</f>
        <v/>
      </c>
      <c r="Q126" s="12" t="str">
        <f>IF(_xlfn.XLOOKUP($B126,'ELC TECH'!$H:$H,'ELC TECH'!$E:$E)="Storage","",IF(_xlfn.XLOOKUP($B126,'ELC TECH'!$H:$H,'ELC TECH'!AR:AR)="",1,_xlfn.XLOOKUP($B126,'ELC TECH'!$H:$H,'ELC TECH'!AR:AR)))</f>
        <v/>
      </c>
      <c r="R126" s="12">
        <f>IF(_xlfn.XLOOKUP($B126,'ELC TECH'!$H:$H,'ELC TECH'!$E:$E)&lt;&gt;"Storage","",IF(_xlfn.XLOOKUP($B126,'ELC TECH'!$H:$H,'ELC TECH'!AK:AK)="",0.8,_xlfn.XLOOKUP($B126,'ELC TECH'!$H:$H,'ELC TECH'!AK:AK)))</f>
        <v>0.8</v>
      </c>
      <c r="S126" s="12">
        <f>IF(_xlfn.XLOOKUP($B126,'ELC TECH'!$H:$H,'ELC TECH'!$E:$E)&lt;&gt;"Storage","",IF(_xlfn.XLOOKUP($B126,'ELC TECH'!$H:$H,'ELC TECH'!AL:AL)="",0.8,_xlfn.XLOOKUP($B126,'ELC TECH'!$H:$H,'ELC TECH'!AL:AL)))</f>
        <v>0.8</v>
      </c>
      <c r="T126" s="12">
        <f>IF(_xlfn.XLOOKUP($B126,'ELC TECH'!$H:$H,'ELC TECH'!$E:$E)&lt;&gt;"Storage","",IF(_xlfn.XLOOKUP($B126,'ELC TECH'!$H:$H,'ELC TECH'!AM:AM)="",0.8,_xlfn.XLOOKUP($B126,'ELC TECH'!$H:$H,'ELC TECH'!AM:AM)))</f>
        <v>0.8</v>
      </c>
      <c r="U126" s="12">
        <f>IF(_xlfn.XLOOKUP($B126,'ELC TECH'!$H:$H,'ELC TECH'!$E:$E)&lt;&gt;"Storage","",IF(_xlfn.XLOOKUP($B126,'ELC TECH'!$H:$H,'ELC TECH'!AN:AN)="",0.8,_xlfn.XLOOKUP($B126,'ELC TECH'!$H:$H,'ELC TECH'!AN:AN)))</f>
        <v>0.8</v>
      </c>
      <c r="V126" s="12">
        <f>IF(_xlfn.XLOOKUP($B126,'ELC TECH'!$H:$H,'ELC TECH'!$E:$E)&lt;&gt;"Storage","",IF(_xlfn.XLOOKUP($B126,'ELC TECH'!$H:$H,'ELC TECH'!AO:AO)="",0.8,_xlfn.XLOOKUP($B126,'ELC TECH'!$H:$H,'ELC TECH'!AO:AO)))</f>
        <v>0.8</v>
      </c>
      <c r="W126" s="12">
        <f>IF(_xlfn.XLOOKUP($B126,'ELC TECH'!$H:$H,'ELC TECH'!$E:$E)&lt;&gt;"Storage","",IF(_xlfn.XLOOKUP($B126,'ELC TECH'!$H:$H,'ELC TECH'!AP:AP)="",0.8,_xlfn.XLOOKUP($B126,'ELC TECH'!$H:$H,'ELC TECH'!AP:AP)))</f>
        <v>0.8</v>
      </c>
      <c r="X126" s="12">
        <f>IF(_xlfn.XLOOKUP($B126,'ELC TECH'!$H:$H,'ELC TECH'!$E:$E)&lt;&gt;"Storage","",IF(_xlfn.XLOOKUP($B126,'ELC TECH'!$H:$H,'ELC TECH'!AQ:AQ)="",0.8,_xlfn.XLOOKUP($B126,'ELC TECH'!$H:$H,'ELC TECH'!AQ:AQ)))</f>
        <v>0.8</v>
      </c>
      <c r="Y126" s="12">
        <f>IF(_xlfn.XLOOKUP($B126,'ELC TECH'!$H:$H,'ELC TECH'!$E:$E)&lt;&gt;"Storage","",IF(_xlfn.XLOOKUP($B126,'ELC TECH'!$H:$H,'ELC TECH'!AR:AR)="",0.8,_xlfn.XLOOKUP($B126,'ELC TECH'!$H:$H,'ELC TECH'!AR:AR)))</f>
        <v>0.8</v>
      </c>
      <c r="Z126" s="15">
        <f>_xlfn.XLOOKUP($B126,'ELC TECH'!$H:$H,'ELC TECH'!M:M)</f>
        <v>3251.4686492726378</v>
      </c>
      <c r="AA126" s="15">
        <f>_xlfn.XLOOKUP($B126,'ELC TECH'!$H:$H,'ELC TECH'!N:N)</f>
        <v>2921.9660841111731</v>
      </c>
      <c r="AB126" s="15">
        <f>_xlfn.XLOOKUP($B126,'ELC TECH'!$H:$H,'ELC TECH'!O:O)</f>
        <v>2390.2318859825259</v>
      </c>
      <c r="AC126" s="15">
        <f>_xlfn.XLOOKUP($B126,'ELC TECH'!$H:$H,'ELC TECH'!P:P)</f>
        <v>2191.7527703313699</v>
      </c>
      <c r="AD126" s="15">
        <f>_xlfn.XLOOKUP($B126,'ELC TECH'!$H:$H,'ELC TECH'!Q:Q)</f>
        <v>1993.8058257646221</v>
      </c>
      <c r="AE126" s="15">
        <f>_xlfn.XLOOKUP($B126,'ELC TECH'!$H:$H,'ELC TECH'!R:R)</f>
        <v>1796.513852845909</v>
      </c>
      <c r="AF126" s="15">
        <f>_xlfn.XLOOKUP($B126,'ELC TECH'!$H:$H,'ELC TECH'!S:S)</f>
        <v>1600.0405827179111</v>
      </c>
      <c r="AG126" s="15">
        <f>_xlfn.XLOOKUP($B126,'ELC TECH'!$H:$H,'ELC TECH'!T:T)</f>
        <v>1600.0405827179111</v>
      </c>
      <c r="AH126" s="15">
        <f>_xlfn.XLOOKUP($B126,'ELC TECH'!$H:$H,'ELC TECH'!U:U)</f>
        <v>81.286716231815959</v>
      </c>
      <c r="AI126" s="15">
        <f>_xlfn.XLOOKUP($B126,'ELC TECH'!$H:$H,'ELC TECH'!V:V)</f>
        <v>73.049152102779317</v>
      </c>
      <c r="AJ126" s="15">
        <f>_xlfn.XLOOKUP($B126,'ELC TECH'!$H:$H,'ELC TECH'!W:W)</f>
        <v>59.755797149563207</v>
      </c>
      <c r="AK126" s="15">
        <f>_xlfn.XLOOKUP($B126,'ELC TECH'!$H:$H,'ELC TECH'!X:X)</f>
        <v>54.793819258284259</v>
      </c>
      <c r="AL126" s="15">
        <f>_xlfn.XLOOKUP($B126,'ELC TECH'!$H:$H,'ELC TECH'!Y:Y)</f>
        <v>49.845145644115611</v>
      </c>
      <c r="AM126" s="15">
        <f>_xlfn.XLOOKUP($B126,'ELC TECH'!$H:$H,'ELC TECH'!Z:Z)</f>
        <v>44.912846321147903</v>
      </c>
      <c r="AN126" s="15">
        <f>_xlfn.XLOOKUP($B126,'ELC TECH'!$H:$H,'ELC TECH'!AA:AA)</f>
        <v>40.001014567947763</v>
      </c>
      <c r="AO126" s="15">
        <f>_xlfn.XLOOKUP($B126,'ELC TECH'!$H:$H,'ELC TECH'!AB:AB)</f>
        <v>40.001014567947763</v>
      </c>
      <c r="AP126" s="15">
        <f>_xlfn.XLOOKUP($B126,'ELC TECH'!$H:$H,'ELC TECH'!AC:AC)</f>
        <v>0</v>
      </c>
      <c r="AQ126" s="15">
        <f>_xlfn.XLOOKUP($B126,'ELC TECH'!$H:$H,'ELC TECH'!AD:AD)</f>
        <v>0</v>
      </c>
      <c r="AR126" s="15">
        <f>_xlfn.XLOOKUP($B126,'ELC TECH'!$H:$H,'ELC TECH'!AE:AE)</f>
        <v>0</v>
      </c>
      <c r="AS126" s="15">
        <f>_xlfn.XLOOKUP($B126,'ELC TECH'!$H:$H,'ELC TECH'!AF:AF)</f>
        <v>0</v>
      </c>
      <c r="AT126" s="15">
        <f>_xlfn.XLOOKUP($B126,'ELC TECH'!$H:$H,'ELC TECH'!AG:AG)</f>
        <v>0</v>
      </c>
      <c r="AU126" s="15">
        <f>_xlfn.XLOOKUP($B126,'ELC TECH'!$H:$H,'ELC TECH'!AH:AH)</f>
        <v>0</v>
      </c>
      <c r="AV126" s="15">
        <f>_xlfn.XLOOKUP($B126,'ELC TECH'!$H:$H,'ELC TECH'!AI:AI)</f>
        <v>0</v>
      </c>
      <c r="AW126" s="15">
        <f>_xlfn.XLOOKUP($B126,'ELC TECH'!$H:$H,'ELC TECH'!AJ:AJ)</f>
        <v>0</v>
      </c>
      <c r="AX126" s="12" t="str">
        <f>IF(_xlfn.XLOOKUP($B126,'ELC TECH'!$H:$H,'ELC TECH'!$E:$E)="Storage","",_xlfn.XLOOKUP($B126,'ELC TECH'!$H:$H,'ELC TECH'!AS:AS))</f>
        <v/>
      </c>
      <c r="AY126" s="12" t="str">
        <f>IF(_xlfn.XLOOKUP($B126,'ELC TECH'!$H:$H,'ELC TECH'!$E:$E)="Storage","",_xlfn.XLOOKUP($B126,'ELC TECH'!$H:$H,'ELC TECH'!AT:AT))</f>
        <v/>
      </c>
      <c r="AZ126" s="12" t="str">
        <f>IF(_xlfn.XLOOKUP($B126,'ELC TECH'!$H:$H,'ELC TECH'!$E:$E)="Storage","",_xlfn.XLOOKUP($B126,'ELC TECH'!$H:$H,'ELC TECH'!AU:AU))</f>
        <v/>
      </c>
      <c r="BA126" s="12" t="str">
        <f>IF(_xlfn.XLOOKUP($B126,'ELC TECH'!$H:$H,'ELC TECH'!$E:$E)="Storage","",_xlfn.XLOOKUP($B126,'ELC TECH'!$H:$H,'ELC TECH'!AV:AV))</f>
        <v/>
      </c>
      <c r="BB126" s="12" t="str">
        <f>IF(_xlfn.XLOOKUP($B126,'ELC TECH'!$H:$H,'ELC TECH'!$E:$E)="Storage","",_xlfn.XLOOKUP($B126,'ELC TECH'!$H:$H,'ELC TECH'!AW:AW))</f>
        <v/>
      </c>
      <c r="BC126" s="12" t="str">
        <f>IF(_xlfn.XLOOKUP($B126,'ELC TECH'!$H:$H,'ELC TECH'!$E:$E)="Storage","",_xlfn.XLOOKUP($B126,'ELC TECH'!$H:$H,'ELC TECH'!AX:AX))</f>
        <v/>
      </c>
      <c r="BD126" s="12" t="str">
        <f>IF(_xlfn.XLOOKUP($B126,'ELC TECH'!$H:$H,'ELC TECH'!$E:$E)="Storage","",_xlfn.XLOOKUP($B126,'ELC TECH'!$H:$H,'ELC TECH'!AY:AY))</f>
        <v/>
      </c>
      <c r="BE126" s="12" t="str">
        <f>IF(_xlfn.XLOOKUP($B126,'ELC TECH'!$H:$H,'ELC TECH'!$E:$E)="Storage","",_xlfn.XLOOKUP($B126,'ELC TECH'!$H:$H,'ELC TECH'!AZ:AZ))</f>
        <v/>
      </c>
      <c r="BF126" s="12">
        <f>IF(_xlfn.XLOOKUP($B126,'ELC TECH'!$H:$H,'ELC TECH'!$E:$E)="Storage",_xlfn.XLOOKUP($B126,'ELC TECH'!$H:$H,'ELC TECH'!AS:AS),"")</f>
        <v>0.33333333333333331</v>
      </c>
      <c r="BG126" s="12">
        <f>IF(_xlfn.XLOOKUP($B126,'ELC TECH'!$H:$H,'ELC TECH'!$E:$E)="Storage",_xlfn.XLOOKUP($B126,'ELC TECH'!$H:$H,'ELC TECH'!AT:AT),"")</f>
        <v>0.33333333333333331</v>
      </c>
      <c r="BH126" s="12">
        <f>IF(_xlfn.XLOOKUP($B126,'ELC TECH'!$H:$H,'ELC TECH'!$E:$E)="Storage",_xlfn.XLOOKUP($B126,'ELC TECH'!$H:$H,'ELC TECH'!AU:AU),"")</f>
        <v>0.33333333333333331</v>
      </c>
      <c r="BI126" s="12">
        <f>IF(_xlfn.XLOOKUP($B126,'ELC TECH'!$H:$H,'ELC TECH'!$E:$E)="Storage",_xlfn.XLOOKUP($B126,'ELC TECH'!$H:$H,'ELC TECH'!AV:AV),"")</f>
        <v>0.33333333333333331</v>
      </c>
      <c r="BJ126" s="12">
        <f>IF(_xlfn.XLOOKUP($B126,'ELC TECH'!$H:$H,'ELC TECH'!$E:$E)="Storage",_xlfn.XLOOKUP($B126,'ELC TECH'!$H:$H,'ELC TECH'!AW:AW),"")</f>
        <v>0.33333333333333331</v>
      </c>
      <c r="BK126" s="12">
        <f>IF(_xlfn.XLOOKUP($B126,'ELC TECH'!$H:$H,'ELC TECH'!$E:$E)="Storage",_xlfn.XLOOKUP($B126,'ELC TECH'!$H:$H,'ELC TECH'!AX:AX),"")</f>
        <v>0.33333333333333331</v>
      </c>
      <c r="BL126" s="12">
        <f>IF(_xlfn.XLOOKUP($B126,'ELC TECH'!$H:$H,'ELC TECH'!$E:$E)="Storage",_xlfn.XLOOKUP($B126,'ELC TECH'!$H:$H,'ELC TECH'!AY:AY),"")</f>
        <v>0.33333333333333331</v>
      </c>
      <c r="BM126" s="12">
        <f>IF(_xlfn.XLOOKUP($B126,'ELC TECH'!$H:$H,'ELC TECH'!$E:$E)="Storage",_xlfn.XLOOKUP($B126,'ELC TECH'!$H:$H,'ELC TECH'!AZ:AZ),"")</f>
        <v>0.33333333333333331</v>
      </c>
      <c r="BN126" s="8" t="str">
        <f>IF(_xlfn.XLOOKUP($B126,'ELC TECH'!$H:$H,'ELC TECH'!$E:$E)="Non Dispatchable",IFERROR($AX126*_xlfn.XLOOKUP($C126,$BM$1:$BM$3,BN$1:BN$3)/SUMPRODUCT(_xlfn.XLOOKUP($C126,$BM$1:$BM$3,$BN$1:$BY$3),$BN$4:$BY$4),""),
"")</f>
        <v/>
      </c>
      <c r="BO126" s="8" t="str">
        <f>IF(_xlfn.XLOOKUP($B126,'ELC TECH'!$H:$H,'ELC TECH'!$E:$E)="Non Dispatchable",IFERROR($AX126*_xlfn.XLOOKUP($C126,$BM$1:$BM$3,BO$1:BO$3)/SUMPRODUCT(_xlfn.XLOOKUP($C126,$BM$1:$BM$3,$BN$1:$BY$3),$BN$4:$BY$4),""),
"")</f>
        <v/>
      </c>
      <c r="BP126" s="8" t="str">
        <f>IF(_xlfn.XLOOKUP($B126,'ELC TECH'!$H:$H,'ELC TECH'!$E:$E)="Non Dispatchable",IFERROR($AX126*_xlfn.XLOOKUP($C126,$BM$1:$BM$3,BP$1:BP$3)/SUMPRODUCT(_xlfn.XLOOKUP($C126,$BM$1:$BM$3,$BN$1:$BY$3),$BN$4:$BY$4),""),
"")</f>
        <v/>
      </c>
      <c r="BQ126" s="8" t="str">
        <f>IF(_xlfn.XLOOKUP($B126,'ELC TECH'!$H:$H,'ELC TECH'!$E:$E)="Non Dispatchable",IFERROR($AX126*_xlfn.XLOOKUP($C126,$BM$1:$BM$3,BQ$1:BQ$3)/SUMPRODUCT(_xlfn.XLOOKUP($C126,$BM$1:$BM$3,$BN$1:$BY$3),$BN$4:$BY$4),""),
"")</f>
        <v/>
      </c>
      <c r="BR126" s="8" t="str">
        <f>IF(_xlfn.XLOOKUP($B126,'ELC TECH'!$H:$H,'ELC TECH'!$E:$E)="Non Dispatchable",IFERROR($AX126*_xlfn.XLOOKUP($C126,$BM$1:$BM$3,BR$1:BR$3)/SUMPRODUCT(_xlfn.XLOOKUP($C126,$BM$1:$BM$3,$BN$1:$BY$3),$BN$4:$BY$4),""),
"")</f>
        <v/>
      </c>
      <c r="BS126" s="8" t="str">
        <f>IF(_xlfn.XLOOKUP($B126,'ELC TECH'!$H:$H,'ELC TECH'!$E:$E)="Non Dispatchable",IFERROR($AX126*_xlfn.XLOOKUP($C126,$BM$1:$BM$3,BS$1:BS$3)/SUMPRODUCT(_xlfn.XLOOKUP($C126,$BM$1:$BM$3,$BN$1:$BY$3),$BN$4:$BY$4),""),
"")</f>
        <v/>
      </c>
      <c r="BT126" s="8" t="str">
        <f>IF(_xlfn.XLOOKUP($B126,'ELC TECH'!$H:$H,'ELC TECH'!$E:$E)="Non Dispatchable",IFERROR($AX126*_xlfn.XLOOKUP($C126,$BM$1:$BM$3,BT$1:BT$3)/SUMPRODUCT(_xlfn.XLOOKUP($C126,$BM$1:$BM$3,$BN$1:$BY$3),$BN$4:$BY$4),""),
"")</f>
        <v/>
      </c>
      <c r="BU126" s="8" t="str">
        <f>IF(_xlfn.XLOOKUP($B126,'ELC TECH'!$H:$H,'ELC TECH'!$E:$E)="Non Dispatchable",IFERROR($AX126*_xlfn.XLOOKUP($C126,$BM$1:$BM$3,BU$1:BU$3)/SUMPRODUCT(_xlfn.XLOOKUP($C126,$BM$1:$BM$3,$BN$1:$BY$3),$BN$4:$BY$4),""),
"")</f>
        <v/>
      </c>
      <c r="BV126" s="8" t="str">
        <f>IF(_xlfn.XLOOKUP($B126,'ELC TECH'!$H:$H,'ELC TECH'!$E:$E)="Non Dispatchable",IFERROR($AX126*_xlfn.XLOOKUP($C126,$BM$1:$BM$3,BV$1:BV$3)/SUMPRODUCT(_xlfn.XLOOKUP($C126,$BM$1:$BM$3,$BN$1:$BY$3),$BN$4:$BY$4),""),
"")</f>
        <v/>
      </c>
      <c r="BW126" s="8" t="str">
        <f>IF(_xlfn.XLOOKUP($B126,'ELC TECH'!$H:$H,'ELC TECH'!$E:$E)="Non Dispatchable",IFERROR($AX126*_xlfn.XLOOKUP($C126,$BM$1:$BM$3,BW$1:BW$3)/SUMPRODUCT(_xlfn.XLOOKUP($C126,$BM$1:$BM$3,$BN$1:$BY$3),$BN$4:$BY$4),""),
"")</f>
        <v/>
      </c>
      <c r="BX126" s="8" t="str">
        <f>IF(_xlfn.XLOOKUP($B126,'ELC TECH'!$H:$H,'ELC TECH'!$E:$E)="Non Dispatchable",IFERROR($AX126*_xlfn.XLOOKUP($C126,$BM$1:$BM$3,BX$1:BX$3)/SUMPRODUCT(_xlfn.XLOOKUP($C126,$BM$1:$BM$3,$BN$1:$BY$3),$BN$4:$BY$4),""),
"")</f>
        <v/>
      </c>
      <c r="BY126" s="8" t="str">
        <f>IF(_xlfn.XLOOKUP($B126,'ELC TECH'!$H:$H,'ELC TECH'!$E:$E)="Non Dispatchable",IFERROR($AX126*_xlfn.XLOOKUP($C126,$BM$1:$BM$3,BY$1:BY$3)/SUMPRODUCT(_xlfn.XLOOKUP($C126,$BM$1:$BM$3,$BN$1:$BY$3),$BN$4:$BY$4),""),
"")</f>
        <v/>
      </c>
      <c r="BZ126" s="8" t="str">
        <f>IF(_xlfn.XLOOKUP($B126,'ELC TECH'!$H:$H,'ELC TECH'!$E:$E)="Non Dispatchable",IFERROR($AX126*_xlfn.XLOOKUP($C126,$BM$1:$BM$3,BZ$1:BZ$3)/SUMPRODUCT(_xlfn.XLOOKUP($C126,$BM$1:$BM$3,$BN$1:$BY$3),$BN$4:$BY$4),""),
"")</f>
        <v/>
      </c>
      <c r="CA126" s="8" t="str">
        <f>IF(_xlfn.XLOOKUP($B126,'ELC TECH'!$H:$H,'ELC TECH'!$E:$E)="Non Dispatchable",IFERROR($AX126*_xlfn.XLOOKUP($C126,$BM$1:$BM$3,CA$1:CA$3)/SUMPRODUCT(_xlfn.XLOOKUP($C126,$BM$1:$BM$3,$BN$1:$BY$3),$BN$4:$BY$4),""),
"")</f>
        <v/>
      </c>
      <c r="CB126" s="8" t="str">
        <f>IF(_xlfn.XLOOKUP($B126,'ELC TECH'!$H:$H,'ELC TECH'!$E:$E)="Non Dispatchable",IFERROR($AX126*_xlfn.XLOOKUP($C126,$BM$1:$BM$3,CB$1:CB$3)/SUMPRODUCT(_xlfn.XLOOKUP($C126,$BM$1:$BM$3,$BN$1:$BY$3),$BN$4:$BY$4),""),
"")</f>
        <v/>
      </c>
      <c r="CC126" s="8" t="str">
        <f>IF(_xlfn.XLOOKUP($B126,'ELC TECH'!$H:$H,'ELC TECH'!$E:$E)="Non Dispatchable",IFERROR($AX126*_xlfn.XLOOKUP($C126,$BM$1:$BM$3,CC$1:CC$3)/SUMPRODUCT(_xlfn.XLOOKUP($C126,$BM$1:$BM$3,$BN$1:$BY$3),$BN$4:$BY$4),""),
"")</f>
        <v/>
      </c>
      <c r="CD126" s="8" t="str">
        <f>IF(_xlfn.XLOOKUP($B126,'ELC TECH'!$H:$H,'ELC TECH'!$E:$E)="Non Dispatchable",IFERROR($AX126*_xlfn.XLOOKUP($C126,$BM$1:$BM$3,CD$1:CD$3)/SUMPRODUCT(_xlfn.XLOOKUP($C126,$BM$1:$BM$3,$BN$1:$BY$3),$BN$4:$BY$4),""),
"")</f>
        <v/>
      </c>
      <c r="CE126" s="8" t="str">
        <f>IF(_xlfn.XLOOKUP($B126,'ELC TECH'!$H:$H,'ELC TECH'!$E:$E)="Non Dispatchable",IFERROR($AX126*_xlfn.XLOOKUP($C126,$BM$1:$BM$3,CE$1:CE$3)/SUMPRODUCT(_xlfn.XLOOKUP($C126,$BM$1:$BM$3,$BN$1:$BY$3),$BN$4:$BY$4),""),
"")</f>
        <v/>
      </c>
      <c r="CF126" s="8" t="str">
        <f>IF(_xlfn.XLOOKUP($B126,'ELC TECH'!$H:$H,'ELC TECH'!$E:$E)="Non Dispatchable",IFERROR($AX126*_xlfn.XLOOKUP($C126,$BM$1:$BM$3,CF$1:CF$3)/SUMPRODUCT(_xlfn.XLOOKUP($C126,$BM$1:$BM$3,$BN$1:$BY$3),$BN$4:$BY$4),""),
"")</f>
        <v/>
      </c>
      <c r="CG126" s="8" t="str">
        <f>IF(_xlfn.XLOOKUP($B126,'ELC TECH'!$H:$H,'ELC TECH'!$E:$E)="Non Dispatchable",IFERROR($AX126*_xlfn.XLOOKUP($C126,$BM$1:$BM$3,CG$1:CG$3)/SUMPRODUCT(_xlfn.XLOOKUP($C126,$BM$1:$BM$3,$BN$1:$BY$3),$BN$4:$BY$4),""),
"")</f>
        <v/>
      </c>
      <c r="CH126" s="8" t="str">
        <f>IF(_xlfn.XLOOKUP($B126,'ELC TECH'!$H:$H,'ELC TECH'!$E:$E)="Non Dispatchable",IFERROR($AX126*_xlfn.XLOOKUP($C126,$BM$1:$BM$3,CH$1:CH$3)/SUMPRODUCT(_xlfn.XLOOKUP($C126,$BM$1:$BM$3,$BN$1:$BY$3),$BN$4:$BY$4),""),
"")</f>
        <v/>
      </c>
      <c r="CI126" s="8" t="str">
        <f>IF(_xlfn.XLOOKUP($B126,'ELC TECH'!$H:$H,'ELC TECH'!$E:$E)="Non Dispatchable",IFERROR($AX126*_xlfn.XLOOKUP($C126,$BM$1:$BM$3,CI$1:CI$3)/SUMPRODUCT(_xlfn.XLOOKUP($C126,$BM$1:$BM$3,$BN$1:$BY$3),$BN$4:$BY$4),""),
"")</f>
        <v/>
      </c>
      <c r="CJ126" s="8" t="str">
        <f>IF(_xlfn.XLOOKUP($B126,'ELC TECH'!$H:$H,'ELC TECH'!$E:$E)="Non Dispatchable",IFERROR($AX126*_xlfn.XLOOKUP($C126,$BM$1:$BM$3,CJ$1:CJ$3)/SUMPRODUCT(_xlfn.XLOOKUP($C126,$BM$1:$BM$3,$BN$1:$BY$3),$BN$4:$BY$4),""),
"")</f>
        <v/>
      </c>
      <c r="CK126" s="8" t="str">
        <f>IF(_xlfn.XLOOKUP($B126,'ELC TECH'!$H:$H,'ELC TECH'!$E:$E)="Non Dispatchable",IFERROR($AX126*_xlfn.XLOOKUP($C126,$BM$1:$BM$3,CK$1:CK$3)/SUMPRODUCT(_xlfn.XLOOKUP($C126,$BM$1:$BM$3,$BN$1:$BY$3),$BN$4:$BY$4),""),
"")</f>
        <v/>
      </c>
      <c r="CL126" s="8">
        <f>IF(_xlfn.XLOOKUP($B126,'ELC TECH'!$H:$H,'ELC TECH'!$E:$E)="Storage",CL$4*$BF126,"")</f>
        <v>2.7399999999999997E-2</v>
      </c>
      <c r="CM126" s="8">
        <f>IF(_xlfn.XLOOKUP($B126,'ELC TECH'!$H:$H,'ELC TECH'!$E:$E)="Storage",CM$4*$BF126,"")</f>
        <v>3.1899999999999998E-2</v>
      </c>
      <c r="CN126" s="8">
        <f>IF(_xlfn.XLOOKUP($B126,'ELC TECH'!$H:$H,'ELC TECH'!$E:$E)="Storage",CN$4*$BF126,"")</f>
        <v>5.1066666666666663E-2</v>
      </c>
      <c r="CO126" s="8">
        <f>IF(_xlfn.XLOOKUP($B126,'ELC TECH'!$H:$H,'ELC TECH'!$E:$E)="Storage",CO$4*$BF126,"")</f>
        <v>1.0666666666666667E-3</v>
      </c>
      <c r="CP126" s="8">
        <f>IF(_xlfn.XLOOKUP($B126,'ELC TECH'!$H:$H,'ELC TECH'!$E:$E)="Storage",CP$4*$BF126,"")</f>
        <v>2.7166666666666665E-2</v>
      </c>
      <c r="CQ126" s="8">
        <f>IF(_xlfn.XLOOKUP($B126,'ELC TECH'!$H:$H,'ELC TECH'!$E:$E)="Storage",CQ$4*$BF126,"")</f>
        <v>3.6233333333333333E-2</v>
      </c>
      <c r="CR126" s="8">
        <f>IF(_xlfn.XLOOKUP($B126,'ELC TECH'!$H:$H,'ELC TECH'!$E:$E)="Storage",CR$4*$BF126,"")</f>
        <v>4.6033333333333329E-2</v>
      </c>
      <c r="CS126" s="8">
        <f>IF(_xlfn.XLOOKUP($B126,'ELC TECH'!$H:$H,'ELC TECH'!$E:$E)="Storage",CS$4*$BF126,"")</f>
        <v>1.0666666666666667E-3</v>
      </c>
      <c r="CT126" s="8">
        <f>IF(_xlfn.XLOOKUP($B126,'ELC TECH'!$H:$H,'ELC TECH'!$E:$E)="Storage",CT$4*$BF126,"")</f>
        <v>3.2500000000000001E-2</v>
      </c>
      <c r="CU126" s="8">
        <f>IF(_xlfn.XLOOKUP($B126,'ELC TECH'!$H:$H,'ELC TECH'!$E:$E)="Storage",CU$4*$BF126,"")</f>
        <v>3.6233333333333333E-2</v>
      </c>
      <c r="CV126" s="8">
        <f>IF(_xlfn.XLOOKUP($B126,'ELC TECH'!$H:$H,'ELC TECH'!$E:$E)="Storage",CV$4*$BF126,"")</f>
        <v>4.176666666666666E-2</v>
      </c>
      <c r="CW126" s="8">
        <f>IF(_xlfn.XLOOKUP($B126,'ELC TECH'!$H:$H,'ELC TECH'!$E:$E)="Storage",CW$4*$BF126,"")</f>
        <v>8.9999999999999998E-4</v>
      </c>
      <c r="CX126" s="8">
        <f>IF(_xlfn.XLOOKUP($B126,'ELC TECH'!$H:$H,'ELC TECH'!$E:$E)="Storage",CX$4*$BF126,"")</f>
        <v>2.7399999999999997E-2</v>
      </c>
      <c r="CY126" s="8">
        <f>IF(_xlfn.XLOOKUP($B126,'ELC TECH'!$H:$H,'ELC TECH'!$E:$E)="Storage",CY$4*$BF126,"")</f>
        <v>3.1899999999999998E-2</v>
      </c>
      <c r="CZ126" s="8">
        <f>IF(_xlfn.XLOOKUP($B126,'ELC TECH'!$H:$H,'ELC TECH'!$E:$E)="Storage",CZ$4*$BF126,"")</f>
        <v>5.1066666666666663E-2</v>
      </c>
      <c r="DA126" s="8">
        <f>IF(_xlfn.XLOOKUP($B126,'ELC TECH'!$H:$H,'ELC TECH'!$E:$E)="Storage",DA$4*$BF126,"")</f>
        <v>1.0666666666666667E-3</v>
      </c>
      <c r="DB126" s="8">
        <f>IF(_xlfn.XLOOKUP($B126,'ELC TECH'!$H:$H,'ELC TECH'!$E:$E)="Storage",DB$4*$BF126,"")</f>
        <v>2.7166666666666665E-2</v>
      </c>
      <c r="DC126" s="8">
        <f>IF(_xlfn.XLOOKUP($B126,'ELC TECH'!$H:$H,'ELC TECH'!$E:$E)="Storage",DC$4*$BF126,"")</f>
        <v>3.6233333333333333E-2</v>
      </c>
      <c r="DD126" s="8">
        <f>IF(_xlfn.XLOOKUP($B126,'ELC TECH'!$H:$H,'ELC TECH'!$E:$E)="Storage",DD$4*$BF126,"")</f>
        <v>4.6033333333333329E-2</v>
      </c>
      <c r="DE126" s="8">
        <f>IF(_xlfn.XLOOKUP($B126,'ELC TECH'!$H:$H,'ELC TECH'!$E:$E)="Storage",DE$4*$BF126,"")</f>
        <v>1.0666666666666667E-3</v>
      </c>
      <c r="DF126" s="8">
        <f>IF(_xlfn.XLOOKUP($B126,'ELC TECH'!$H:$H,'ELC TECH'!$E:$E)="Storage",DF$4*$BF126,"")</f>
        <v>3.2500000000000001E-2</v>
      </c>
      <c r="DG126" s="8">
        <f>IF(_xlfn.XLOOKUP($B126,'ELC TECH'!$H:$H,'ELC TECH'!$E:$E)="Storage",DG$4*$BF126,"")</f>
        <v>3.6233333333333333E-2</v>
      </c>
      <c r="DH126" s="8">
        <f>IF(_xlfn.XLOOKUP($B126,'ELC TECH'!$H:$H,'ELC TECH'!$E:$E)="Storage",DH$4*$BF126,"")</f>
        <v>4.176666666666666E-2</v>
      </c>
      <c r="DI126" s="8">
        <f>IF(_xlfn.XLOOKUP($B126,'ELC TECH'!$H:$H,'ELC TECH'!$E:$E)="Storage",DI$4*$BF126,"")</f>
        <v>8.9999999999999998E-4</v>
      </c>
    </row>
    <row r="127" spans="2:113" x14ac:dyDescent="0.25">
      <c r="B127" t="str">
        <f>IF('ELC TECH'!I120=0,"*",'ELC TECH'!H120)</f>
        <v>ELCCOAGRD95CCS20</v>
      </c>
      <c r="C127" t="str">
        <f>IF(_xlfn.XLOOKUP(_xlfn.XLOOKUP(B127,'ELC TECH'!$H:$H,'ELC TECH'!$G:$G),List!C:C,List!B:B)="STG",D127,"ELC"&amp;_xlfn.XLOOKUP(_xlfn.XLOOKUP(B127,'ELC TECH'!H:H,'ELC TECH'!G:G),List!C:C,List!B:B))</f>
        <v>ELCCOA</v>
      </c>
      <c r="D127" t="s">
        <v>544</v>
      </c>
      <c r="E127">
        <f>_xlfn.XLOOKUP(B127,'ELC TECH'!H:H,'ELC TECH'!D:D)</f>
        <v>2020</v>
      </c>
      <c r="F127">
        <f>_xlfn.XLOOKUP(B127,'ELC TECH'!H:H,'ELC TECH'!K:K)</f>
        <v>30</v>
      </c>
      <c r="G127">
        <f t="shared" si="7"/>
        <v>31.535999999999998</v>
      </c>
      <c r="H127">
        <f>IF(_xlfn.XLOOKUP(B127,'ELC TECH'!$H:$H,'ELC TECH'!$E:$E)="Storage",0.3,IF(_xlfn.XLOOKUP(B127,'ELC TECH'!$H:$H,'ELC TECH'!$E:$E)="Baseload",0.9,IF(_xlfn.XLOOKUP(B127,'ELC TECH'!$H:$H,'ELC TECH'!$E:$E)="Non Dispatchable",0.05,IF(_xlfn.XLOOKUP(B127,'ELC TECH'!$H:$H,'ELC TECH'!$E:$E)="Dispatchable",0.9,1))))</f>
        <v>0.9</v>
      </c>
      <c r="I127" s="13" t="str">
        <f>IF(_xlfn.XLOOKUP(B127,'ELC TECH'!H:H,'ELC TECH'!J:J)="","",_xlfn.XLOOKUP(B127,'ELC TECH'!H:H,'ELC TECH'!J:J))</f>
        <v/>
      </c>
      <c r="J127" s="12">
        <f>IF(_xlfn.XLOOKUP($B127,'ELC TECH'!$H:$H,'ELC TECH'!$E:$E)="Storage","",IF(_xlfn.XLOOKUP($B127,'ELC TECH'!$H:$H,'ELC TECH'!AK:AK)="",1,_xlfn.XLOOKUP($B127,'ELC TECH'!$H:$H,'ELC TECH'!AK:AK)))</f>
        <v>0.3119529750961097</v>
      </c>
      <c r="K127" s="12">
        <f>IF(_xlfn.XLOOKUP($B127,'ELC TECH'!$H:$H,'ELC TECH'!$E:$E)="Storage","",IF(_xlfn.XLOOKUP($B127,'ELC TECH'!$H:$H,'ELC TECH'!AL:AL)="",1,_xlfn.XLOOKUP($B127,'ELC TECH'!$H:$H,'ELC TECH'!AL:AL)))</f>
        <v>0.31684851347397602</v>
      </c>
      <c r="L127" s="12">
        <f>IF(_xlfn.XLOOKUP($B127,'ELC TECH'!$H:$H,'ELC TECH'!$E:$E)="Storage","",IF(_xlfn.XLOOKUP($B127,'ELC TECH'!$H:$H,'ELC TECH'!AM:AM)="",1,_xlfn.XLOOKUP($B127,'ELC TECH'!$H:$H,'ELC TECH'!AM:AM)))</f>
        <v>0.32533768512597722</v>
      </c>
      <c r="M127" s="12">
        <f>IF(_xlfn.XLOOKUP($B127,'ELC TECH'!$H:$H,'ELC TECH'!$E:$E)="Storage","",IF(_xlfn.XLOOKUP($B127,'ELC TECH'!$H:$H,'ELC TECH'!AN:AN)="",1,_xlfn.XLOOKUP($B127,'ELC TECH'!$H:$H,'ELC TECH'!AN:AN)))</f>
        <v>0.33429427271492579</v>
      </c>
      <c r="N127" s="12">
        <f>IF(_xlfn.XLOOKUP($B127,'ELC TECH'!$H:$H,'ELC TECH'!$E:$E)="Storage","",IF(_xlfn.XLOOKUP($B127,'ELC TECH'!$H:$H,'ELC TECH'!AO:AO)="",1,_xlfn.XLOOKUP($B127,'ELC TECH'!$H:$H,'ELC TECH'!AO:AO)))</f>
        <v>0.33429427271492579</v>
      </c>
      <c r="O127" s="12">
        <f>IF(_xlfn.XLOOKUP($B127,'ELC TECH'!$H:$H,'ELC TECH'!$E:$E)="Storage","",IF(_xlfn.XLOOKUP($B127,'ELC TECH'!$H:$H,'ELC TECH'!AP:AP)="",1,_xlfn.XLOOKUP($B127,'ELC TECH'!$H:$H,'ELC TECH'!AP:AP)))</f>
        <v>0.33429427271492579</v>
      </c>
      <c r="P127" s="12">
        <f>IF(_xlfn.XLOOKUP($B127,'ELC TECH'!$H:$H,'ELC TECH'!$E:$E)="Storage","",IF(_xlfn.XLOOKUP($B127,'ELC TECH'!$H:$H,'ELC TECH'!AQ:AQ)="",1,_xlfn.XLOOKUP($B127,'ELC TECH'!$H:$H,'ELC TECH'!AQ:AQ)))</f>
        <v>0.33429427271492579</v>
      </c>
      <c r="Q127" s="12">
        <f>IF(_xlfn.XLOOKUP($B127,'ELC TECH'!$H:$H,'ELC TECH'!$E:$E)="Storage","",IF(_xlfn.XLOOKUP($B127,'ELC TECH'!$H:$H,'ELC TECH'!AR:AR)="",1,_xlfn.XLOOKUP($B127,'ELC TECH'!$H:$H,'ELC TECH'!AR:AR)))</f>
        <v>0.33429427271492579</v>
      </c>
      <c r="R127" s="12" t="str">
        <f>IF(_xlfn.XLOOKUP($B127,'ELC TECH'!$H:$H,'ELC TECH'!$E:$E)&lt;&gt;"Storage","",IF(_xlfn.XLOOKUP($B127,'ELC TECH'!$H:$H,'ELC TECH'!AK:AK)="",0.8,_xlfn.XLOOKUP($B127,'ELC TECH'!$H:$H,'ELC TECH'!AK:AK)))</f>
        <v/>
      </c>
      <c r="S127" s="12" t="str">
        <f>IF(_xlfn.XLOOKUP($B127,'ELC TECH'!$H:$H,'ELC TECH'!$E:$E)&lt;&gt;"Storage","",IF(_xlfn.XLOOKUP($B127,'ELC TECH'!$H:$H,'ELC TECH'!AL:AL)="",0.8,_xlfn.XLOOKUP($B127,'ELC TECH'!$H:$H,'ELC TECH'!AL:AL)))</f>
        <v/>
      </c>
      <c r="T127" s="12" t="str">
        <f>IF(_xlfn.XLOOKUP($B127,'ELC TECH'!$H:$H,'ELC TECH'!$E:$E)&lt;&gt;"Storage","",IF(_xlfn.XLOOKUP($B127,'ELC TECH'!$H:$H,'ELC TECH'!AM:AM)="",0.8,_xlfn.XLOOKUP($B127,'ELC TECH'!$H:$H,'ELC TECH'!AM:AM)))</f>
        <v/>
      </c>
      <c r="U127" s="12" t="str">
        <f>IF(_xlfn.XLOOKUP($B127,'ELC TECH'!$H:$H,'ELC TECH'!$E:$E)&lt;&gt;"Storage","",IF(_xlfn.XLOOKUP($B127,'ELC TECH'!$H:$H,'ELC TECH'!AN:AN)="",0.8,_xlfn.XLOOKUP($B127,'ELC TECH'!$H:$H,'ELC TECH'!AN:AN)))</f>
        <v/>
      </c>
      <c r="V127" s="12" t="str">
        <f>IF(_xlfn.XLOOKUP($B127,'ELC TECH'!$H:$H,'ELC TECH'!$E:$E)&lt;&gt;"Storage","",IF(_xlfn.XLOOKUP($B127,'ELC TECH'!$H:$H,'ELC TECH'!AO:AO)="",0.8,_xlfn.XLOOKUP($B127,'ELC TECH'!$H:$H,'ELC TECH'!AO:AO)))</f>
        <v/>
      </c>
      <c r="W127" s="12" t="str">
        <f>IF(_xlfn.XLOOKUP($B127,'ELC TECH'!$H:$H,'ELC TECH'!$E:$E)&lt;&gt;"Storage","",IF(_xlfn.XLOOKUP($B127,'ELC TECH'!$H:$H,'ELC TECH'!AP:AP)="",0.8,_xlfn.XLOOKUP($B127,'ELC TECH'!$H:$H,'ELC TECH'!AP:AP)))</f>
        <v/>
      </c>
      <c r="X127" s="12" t="str">
        <f>IF(_xlfn.XLOOKUP($B127,'ELC TECH'!$H:$H,'ELC TECH'!$E:$E)&lt;&gt;"Storage","",IF(_xlfn.XLOOKUP($B127,'ELC TECH'!$H:$H,'ELC TECH'!AQ:AQ)="",0.8,_xlfn.XLOOKUP($B127,'ELC TECH'!$H:$H,'ELC TECH'!AQ:AQ)))</f>
        <v/>
      </c>
      <c r="Y127" s="12" t="str">
        <f>IF(_xlfn.XLOOKUP($B127,'ELC TECH'!$H:$H,'ELC TECH'!$E:$E)&lt;&gt;"Storage","",IF(_xlfn.XLOOKUP($B127,'ELC TECH'!$H:$H,'ELC TECH'!AR:AR)="",0.8,_xlfn.XLOOKUP($B127,'ELC TECH'!$H:$H,'ELC TECH'!AR:AR)))</f>
        <v/>
      </c>
      <c r="Z127" s="15">
        <f>_xlfn.XLOOKUP($B127,'ELC TECH'!$H:$H,'ELC TECH'!M:M)</f>
        <v>5365.9378744605992</v>
      </c>
      <c r="AA127" s="15">
        <f>_xlfn.XLOOKUP($B127,'ELC TECH'!$H:$H,'ELC TECH'!N:N)</f>
        <v>5176.1953079046734</v>
      </c>
      <c r="AB127" s="15">
        <f>_xlfn.XLOOKUP($B127,'ELC TECH'!$H:$H,'ELC TECH'!O:O)</f>
        <v>4859.8069281528979</v>
      </c>
      <c r="AC127" s="15">
        <f>_xlfn.XLOOKUP($B127,'ELC TECH'!$H:$H,'ELC TECH'!P:P)</f>
        <v>4543.5316250200467</v>
      </c>
      <c r="AD127" s="15">
        <f>_xlfn.XLOOKUP($B127,'ELC TECH'!$H:$H,'ELC TECH'!Q:Q)</f>
        <v>4295.7807529556649</v>
      </c>
      <c r="AE127" s="15">
        <f>_xlfn.XLOOKUP($B127,'ELC TECH'!$H:$H,'ELC TECH'!R:R)</f>
        <v>4048.029880891283</v>
      </c>
      <c r="AF127" s="15">
        <f>_xlfn.XLOOKUP($B127,'ELC TECH'!$H:$H,'ELC TECH'!S:S)</f>
        <v>3800.2790088269021</v>
      </c>
      <c r="AG127" s="15">
        <f>_xlfn.XLOOKUP($B127,'ELC TECH'!$H:$H,'ELC TECH'!T:T)</f>
        <v>3800.2790088269021</v>
      </c>
      <c r="AH127" s="15">
        <f>_xlfn.XLOOKUP($B127,'ELC TECH'!$H:$H,'ELC TECH'!U:U)</f>
        <v>138.0665517072616</v>
      </c>
      <c r="AI127" s="15">
        <f>_xlfn.XLOOKUP($B127,'ELC TECH'!$H:$H,'ELC TECH'!V:V)</f>
        <v>135.23963623413991</v>
      </c>
      <c r="AJ127" s="15">
        <f>_xlfn.XLOOKUP($B127,'ELC TECH'!$H:$H,'ELC TECH'!W:W)</f>
        <v>127.88965600402361</v>
      </c>
      <c r="AK127" s="15">
        <f>_xlfn.XLOOKUP($B127,'ELC TECH'!$H:$H,'ELC TECH'!X:X)</f>
        <v>120.6527523928322</v>
      </c>
      <c r="AL127" s="15">
        <f>_xlfn.XLOOKUP($B127,'ELC TECH'!$H:$H,'ELC TECH'!Y:Y)</f>
        <v>114.885844827664</v>
      </c>
      <c r="AM127" s="15">
        <f>_xlfn.XLOOKUP($B127,'ELC TECH'!$H:$H,'ELC TECH'!Z:Z)</f>
        <v>109.11893726249581</v>
      </c>
      <c r="AN127" s="15">
        <f>_xlfn.XLOOKUP($B127,'ELC TECH'!$H:$H,'ELC TECH'!AA:AA)</f>
        <v>103.35202969732769</v>
      </c>
      <c r="AO127" s="15">
        <f>_xlfn.XLOOKUP($B127,'ELC TECH'!$H:$H,'ELC TECH'!AB:AB)</f>
        <v>103.35202969732769</v>
      </c>
      <c r="AP127" s="15">
        <f>_xlfn.XLOOKUP($B127,'ELC TECH'!$H:$H,'ELC TECH'!AC:AC)</f>
        <v>4.6141542555730108</v>
      </c>
      <c r="AQ127" s="15">
        <f>_xlfn.XLOOKUP($B127,'ELC TECH'!$H:$H,'ELC TECH'!AD:AD)</f>
        <v>4.488513567878714</v>
      </c>
      <c r="AR127" s="15">
        <f>_xlfn.XLOOKUP($B127,'ELC TECH'!$H:$H,'ELC TECH'!AE:AE)</f>
        <v>4.2780654159907696</v>
      </c>
      <c r="AS127" s="15">
        <f>_xlfn.XLOOKUP($B127,'ELC TECH'!$H:$H,'ELC TECH'!AF:AF)</f>
        <v>4.0707582812951824</v>
      </c>
      <c r="AT127" s="15">
        <f>_xlfn.XLOOKUP($B127,'ELC TECH'!$H:$H,'ELC TECH'!AG:AG)</f>
        <v>3.998514885870962</v>
      </c>
      <c r="AU127" s="15">
        <f>_xlfn.XLOOKUP($B127,'ELC TECH'!$H:$H,'ELC TECH'!AH:AH)</f>
        <v>3.923130473254385</v>
      </c>
      <c r="AV127" s="15">
        <f>_xlfn.XLOOKUP($B127,'ELC TECH'!$H:$H,'ELC TECH'!AI:AI)</f>
        <v>3.8508870778301638</v>
      </c>
      <c r="AW127" s="15">
        <f>_xlfn.XLOOKUP($B127,'ELC TECH'!$H:$H,'ELC TECH'!AJ:AJ)</f>
        <v>3.8508870778301638</v>
      </c>
      <c r="AX127" s="12">
        <f>IF(_xlfn.XLOOKUP($B127,'ELC TECH'!$H:$H,'ELC TECH'!$E:$E)="Storage","",_xlfn.XLOOKUP($B127,'ELC TECH'!$H:$H,'ELC TECH'!AS:AS))</f>
        <v>0.9</v>
      </c>
      <c r="AY127" s="12">
        <f>IF(_xlfn.XLOOKUP($B127,'ELC TECH'!$H:$H,'ELC TECH'!$E:$E)="Storage","",_xlfn.XLOOKUP($B127,'ELC TECH'!$H:$H,'ELC TECH'!AT:AT))</f>
        <v>0.9</v>
      </c>
      <c r="AZ127" s="12">
        <f>IF(_xlfn.XLOOKUP($B127,'ELC TECH'!$H:$H,'ELC TECH'!$E:$E)="Storage","",_xlfn.XLOOKUP($B127,'ELC TECH'!$H:$H,'ELC TECH'!AU:AU))</f>
        <v>0.9</v>
      </c>
      <c r="BA127" s="12">
        <f>IF(_xlfn.XLOOKUP($B127,'ELC TECH'!$H:$H,'ELC TECH'!$E:$E)="Storage","",_xlfn.XLOOKUP($B127,'ELC TECH'!$H:$H,'ELC TECH'!AV:AV))</f>
        <v>0.9</v>
      </c>
      <c r="BB127" s="12">
        <f>IF(_xlfn.XLOOKUP($B127,'ELC TECH'!$H:$H,'ELC TECH'!$E:$E)="Storage","",_xlfn.XLOOKUP($B127,'ELC TECH'!$H:$H,'ELC TECH'!AW:AW))</f>
        <v>0.9</v>
      </c>
      <c r="BC127" s="12">
        <f>IF(_xlfn.XLOOKUP($B127,'ELC TECH'!$H:$H,'ELC TECH'!$E:$E)="Storage","",_xlfn.XLOOKUP($B127,'ELC TECH'!$H:$H,'ELC TECH'!AX:AX))</f>
        <v>0.9</v>
      </c>
      <c r="BD127" s="12">
        <f>IF(_xlfn.XLOOKUP($B127,'ELC TECH'!$H:$H,'ELC TECH'!$E:$E)="Storage","",_xlfn.XLOOKUP($B127,'ELC TECH'!$H:$H,'ELC TECH'!AY:AY))</f>
        <v>0.9</v>
      </c>
      <c r="BE127" s="12">
        <f>IF(_xlfn.XLOOKUP($B127,'ELC TECH'!$H:$H,'ELC TECH'!$E:$E)="Storage","",_xlfn.XLOOKUP($B127,'ELC TECH'!$H:$H,'ELC TECH'!AZ:AZ))</f>
        <v>0.9</v>
      </c>
      <c r="BF127" s="12" t="str">
        <f>IF(_xlfn.XLOOKUP($B127,'ELC TECH'!$H:$H,'ELC TECH'!$E:$E)="Storage",_xlfn.XLOOKUP($B127,'ELC TECH'!$H:$H,'ELC TECH'!AS:AS),"")</f>
        <v/>
      </c>
      <c r="BG127" s="12" t="str">
        <f>IF(_xlfn.XLOOKUP($B127,'ELC TECH'!$H:$H,'ELC TECH'!$E:$E)="Storage",_xlfn.XLOOKUP($B127,'ELC TECH'!$H:$H,'ELC TECH'!AT:AT),"")</f>
        <v/>
      </c>
      <c r="BH127" s="12" t="str">
        <f>IF(_xlfn.XLOOKUP($B127,'ELC TECH'!$H:$H,'ELC TECH'!$E:$E)="Storage",_xlfn.XLOOKUP($B127,'ELC TECH'!$H:$H,'ELC TECH'!AU:AU),"")</f>
        <v/>
      </c>
      <c r="BI127" s="12" t="str">
        <f>IF(_xlfn.XLOOKUP($B127,'ELC TECH'!$H:$H,'ELC TECH'!$E:$E)="Storage",_xlfn.XLOOKUP($B127,'ELC TECH'!$H:$H,'ELC TECH'!AV:AV),"")</f>
        <v/>
      </c>
      <c r="BJ127" s="12" t="str">
        <f>IF(_xlfn.XLOOKUP($B127,'ELC TECH'!$H:$H,'ELC TECH'!$E:$E)="Storage",_xlfn.XLOOKUP($B127,'ELC TECH'!$H:$H,'ELC TECH'!AW:AW),"")</f>
        <v/>
      </c>
      <c r="BK127" s="12" t="str">
        <f>IF(_xlfn.XLOOKUP($B127,'ELC TECH'!$H:$H,'ELC TECH'!$E:$E)="Storage",_xlfn.XLOOKUP($B127,'ELC TECH'!$H:$H,'ELC TECH'!AX:AX),"")</f>
        <v/>
      </c>
      <c r="BL127" s="12" t="str">
        <f>IF(_xlfn.XLOOKUP($B127,'ELC TECH'!$H:$H,'ELC TECH'!$E:$E)="Storage",_xlfn.XLOOKUP($B127,'ELC TECH'!$H:$H,'ELC TECH'!AY:AY),"")</f>
        <v/>
      </c>
      <c r="BM127" s="12" t="str">
        <f>IF(_xlfn.XLOOKUP($B127,'ELC TECH'!$H:$H,'ELC TECH'!$E:$E)="Storage",_xlfn.XLOOKUP($B127,'ELC TECH'!$H:$H,'ELC TECH'!AZ:AZ),"")</f>
        <v/>
      </c>
      <c r="BN127" s="8" t="str">
        <f>IF(_xlfn.XLOOKUP($B127,'ELC TECH'!$H:$H,'ELC TECH'!$E:$E)="Non Dispatchable",IFERROR($AX127*_xlfn.XLOOKUP($C127,$BM$1:$BM$3,BN$1:BN$3)/SUMPRODUCT(_xlfn.XLOOKUP($C127,$BM$1:$BM$3,$BN$1:$BY$3),$BN$4:$BY$4),""),
"")</f>
        <v/>
      </c>
      <c r="BO127" s="8" t="str">
        <f>IF(_xlfn.XLOOKUP($B127,'ELC TECH'!$H:$H,'ELC TECH'!$E:$E)="Non Dispatchable",IFERROR($AX127*_xlfn.XLOOKUP($C127,$BM$1:$BM$3,BO$1:BO$3)/SUMPRODUCT(_xlfn.XLOOKUP($C127,$BM$1:$BM$3,$BN$1:$BY$3),$BN$4:$BY$4),""),
"")</f>
        <v/>
      </c>
      <c r="BP127" s="8" t="str">
        <f>IF(_xlfn.XLOOKUP($B127,'ELC TECH'!$H:$H,'ELC TECH'!$E:$E)="Non Dispatchable",IFERROR($AX127*_xlfn.XLOOKUP($C127,$BM$1:$BM$3,BP$1:BP$3)/SUMPRODUCT(_xlfn.XLOOKUP($C127,$BM$1:$BM$3,$BN$1:$BY$3),$BN$4:$BY$4),""),
"")</f>
        <v/>
      </c>
      <c r="BQ127" s="8" t="str">
        <f>IF(_xlfn.XLOOKUP($B127,'ELC TECH'!$H:$H,'ELC TECH'!$E:$E)="Non Dispatchable",IFERROR($AX127*_xlfn.XLOOKUP($C127,$BM$1:$BM$3,BQ$1:BQ$3)/SUMPRODUCT(_xlfn.XLOOKUP($C127,$BM$1:$BM$3,$BN$1:$BY$3),$BN$4:$BY$4),""),
"")</f>
        <v/>
      </c>
      <c r="BR127" s="8" t="str">
        <f>IF(_xlfn.XLOOKUP($B127,'ELC TECH'!$H:$H,'ELC TECH'!$E:$E)="Non Dispatchable",IFERROR($AX127*_xlfn.XLOOKUP($C127,$BM$1:$BM$3,BR$1:BR$3)/SUMPRODUCT(_xlfn.XLOOKUP($C127,$BM$1:$BM$3,$BN$1:$BY$3),$BN$4:$BY$4),""),
"")</f>
        <v/>
      </c>
      <c r="BS127" s="8" t="str">
        <f>IF(_xlfn.XLOOKUP($B127,'ELC TECH'!$H:$H,'ELC TECH'!$E:$E)="Non Dispatchable",IFERROR($AX127*_xlfn.XLOOKUP($C127,$BM$1:$BM$3,BS$1:BS$3)/SUMPRODUCT(_xlfn.XLOOKUP($C127,$BM$1:$BM$3,$BN$1:$BY$3),$BN$4:$BY$4),""),
"")</f>
        <v/>
      </c>
      <c r="BT127" s="8" t="str">
        <f>IF(_xlfn.XLOOKUP($B127,'ELC TECH'!$H:$H,'ELC TECH'!$E:$E)="Non Dispatchable",IFERROR($AX127*_xlfn.XLOOKUP($C127,$BM$1:$BM$3,BT$1:BT$3)/SUMPRODUCT(_xlfn.XLOOKUP($C127,$BM$1:$BM$3,$BN$1:$BY$3),$BN$4:$BY$4),""),
"")</f>
        <v/>
      </c>
      <c r="BU127" s="8" t="str">
        <f>IF(_xlfn.XLOOKUP($B127,'ELC TECH'!$H:$H,'ELC TECH'!$E:$E)="Non Dispatchable",IFERROR($AX127*_xlfn.XLOOKUP($C127,$BM$1:$BM$3,BU$1:BU$3)/SUMPRODUCT(_xlfn.XLOOKUP($C127,$BM$1:$BM$3,$BN$1:$BY$3),$BN$4:$BY$4),""),
"")</f>
        <v/>
      </c>
      <c r="BV127" s="8" t="str">
        <f>IF(_xlfn.XLOOKUP($B127,'ELC TECH'!$H:$H,'ELC TECH'!$E:$E)="Non Dispatchable",IFERROR($AX127*_xlfn.XLOOKUP($C127,$BM$1:$BM$3,BV$1:BV$3)/SUMPRODUCT(_xlfn.XLOOKUP($C127,$BM$1:$BM$3,$BN$1:$BY$3),$BN$4:$BY$4),""),
"")</f>
        <v/>
      </c>
      <c r="BW127" s="8" t="str">
        <f>IF(_xlfn.XLOOKUP($B127,'ELC TECH'!$H:$H,'ELC TECH'!$E:$E)="Non Dispatchable",IFERROR($AX127*_xlfn.XLOOKUP($C127,$BM$1:$BM$3,BW$1:BW$3)/SUMPRODUCT(_xlfn.XLOOKUP($C127,$BM$1:$BM$3,$BN$1:$BY$3),$BN$4:$BY$4),""),
"")</f>
        <v/>
      </c>
      <c r="BX127" s="8" t="str">
        <f>IF(_xlfn.XLOOKUP($B127,'ELC TECH'!$H:$H,'ELC TECH'!$E:$E)="Non Dispatchable",IFERROR($AX127*_xlfn.XLOOKUP($C127,$BM$1:$BM$3,BX$1:BX$3)/SUMPRODUCT(_xlfn.XLOOKUP($C127,$BM$1:$BM$3,$BN$1:$BY$3),$BN$4:$BY$4),""),
"")</f>
        <v/>
      </c>
      <c r="BY127" s="8" t="str">
        <f>IF(_xlfn.XLOOKUP($B127,'ELC TECH'!$H:$H,'ELC TECH'!$E:$E)="Non Dispatchable",IFERROR($AX127*_xlfn.XLOOKUP($C127,$BM$1:$BM$3,BY$1:BY$3)/SUMPRODUCT(_xlfn.XLOOKUP($C127,$BM$1:$BM$3,$BN$1:$BY$3),$BN$4:$BY$4),""),
"")</f>
        <v/>
      </c>
      <c r="BZ127" s="8" t="str">
        <f>IF(_xlfn.XLOOKUP($B127,'ELC TECH'!$H:$H,'ELC TECH'!$E:$E)="Non Dispatchable",IFERROR($AX127*_xlfn.XLOOKUP($C127,$BM$1:$BM$3,BZ$1:BZ$3)/SUMPRODUCT(_xlfn.XLOOKUP($C127,$BM$1:$BM$3,$BN$1:$BY$3),$BN$4:$BY$4),""),
"")</f>
        <v/>
      </c>
      <c r="CA127" s="8" t="str">
        <f>IF(_xlfn.XLOOKUP($B127,'ELC TECH'!$H:$H,'ELC TECH'!$E:$E)="Non Dispatchable",IFERROR($AX127*_xlfn.XLOOKUP($C127,$BM$1:$BM$3,CA$1:CA$3)/SUMPRODUCT(_xlfn.XLOOKUP($C127,$BM$1:$BM$3,$BN$1:$BY$3),$BN$4:$BY$4),""),
"")</f>
        <v/>
      </c>
      <c r="CB127" s="8" t="str">
        <f>IF(_xlfn.XLOOKUP($B127,'ELC TECH'!$H:$H,'ELC TECH'!$E:$E)="Non Dispatchable",IFERROR($AX127*_xlfn.XLOOKUP($C127,$BM$1:$BM$3,CB$1:CB$3)/SUMPRODUCT(_xlfn.XLOOKUP($C127,$BM$1:$BM$3,$BN$1:$BY$3),$BN$4:$BY$4),""),
"")</f>
        <v/>
      </c>
      <c r="CC127" s="8" t="str">
        <f>IF(_xlfn.XLOOKUP($B127,'ELC TECH'!$H:$H,'ELC TECH'!$E:$E)="Non Dispatchable",IFERROR($AX127*_xlfn.XLOOKUP($C127,$BM$1:$BM$3,CC$1:CC$3)/SUMPRODUCT(_xlfn.XLOOKUP($C127,$BM$1:$BM$3,$BN$1:$BY$3),$BN$4:$BY$4),""),
"")</f>
        <v/>
      </c>
      <c r="CD127" s="8" t="str">
        <f>IF(_xlfn.XLOOKUP($B127,'ELC TECH'!$H:$H,'ELC TECH'!$E:$E)="Non Dispatchable",IFERROR($AX127*_xlfn.XLOOKUP($C127,$BM$1:$BM$3,CD$1:CD$3)/SUMPRODUCT(_xlfn.XLOOKUP($C127,$BM$1:$BM$3,$BN$1:$BY$3),$BN$4:$BY$4),""),
"")</f>
        <v/>
      </c>
      <c r="CE127" s="8" t="str">
        <f>IF(_xlfn.XLOOKUP($B127,'ELC TECH'!$H:$H,'ELC TECH'!$E:$E)="Non Dispatchable",IFERROR($AX127*_xlfn.XLOOKUP($C127,$BM$1:$BM$3,CE$1:CE$3)/SUMPRODUCT(_xlfn.XLOOKUP($C127,$BM$1:$BM$3,$BN$1:$BY$3),$BN$4:$BY$4),""),
"")</f>
        <v/>
      </c>
      <c r="CF127" s="8" t="str">
        <f>IF(_xlfn.XLOOKUP($B127,'ELC TECH'!$H:$H,'ELC TECH'!$E:$E)="Non Dispatchable",IFERROR($AX127*_xlfn.XLOOKUP($C127,$BM$1:$BM$3,CF$1:CF$3)/SUMPRODUCT(_xlfn.XLOOKUP($C127,$BM$1:$BM$3,$BN$1:$BY$3),$BN$4:$BY$4),""),
"")</f>
        <v/>
      </c>
      <c r="CG127" s="8" t="str">
        <f>IF(_xlfn.XLOOKUP($B127,'ELC TECH'!$H:$H,'ELC TECH'!$E:$E)="Non Dispatchable",IFERROR($AX127*_xlfn.XLOOKUP($C127,$BM$1:$BM$3,CG$1:CG$3)/SUMPRODUCT(_xlfn.XLOOKUP($C127,$BM$1:$BM$3,$BN$1:$BY$3),$BN$4:$BY$4),""),
"")</f>
        <v/>
      </c>
      <c r="CH127" s="8" t="str">
        <f>IF(_xlfn.XLOOKUP($B127,'ELC TECH'!$H:$H,'ELC TECH'!$E:$E)="Non Dispatchable",IFERROR($AX127*_xlfn.XLOOKUP($C127,$BM$1:$BM$3,CH$1:CH$3)/SUMPRODUCT(_xlfn.XLOOKUP($C127,$BM$1:$BM$3,$BN$1:$BY$3),$BN$4:$BY$4),""),
"")</f>
        <v/>
      </c>
      <c r="CI127" s="8" t="str">
        <f>IF(_xlfn.XLOOKUP($B127,'ELC TECH'!$H:$H,'ELC TECH'!$E:$E)="Non Dispatchable",IFERROR($AX127*_xlfn.XLOOKUP($C127,$BM$1:$BM$3,CI$1:CI$3)/SUMPRODUCT(_xlfn.XLOOKUP($C127,$BM$1:$BM$3,$BN$1:$BY$3),$BN$4:$BY$4),""),
"")</f>
        <v/>
      </c>
      <c r="CJ127" s="8" t="str">
        <f>IF(_xlfn.XLOOKUP($B127,'ELC TECH'!$H:$H,'ELC TECH'!$E:$E)="Non Dispatchable",IFERROR($AX127*_xlfn.XLOOKUP($C127,$BM$1:$BM$3,CJ$1:CJ$3)/SUMPRODUCT(_xlfn.XLOOKUP($C127,$BM$1:$BM$3,$BN$1:$BY$3),$BN$4:$BY$4),""),
"")</f>
        <v/>
      </c>
      <c r="CK127" s="8" t="str">
        <f>IF(_xlfn.XLOOKUP($B127,'ELC TECH'!$H:$H,'ELC TECH'!$E:$E)="Non Dispatchable",IFERROR($AX127*_xlfn.XLOOKUP($C127,$BM$1:$BM$3,CK$1:CK$3)/SUMPRODUCT(_xlfn.XLOOKUP($C127,$BM$1:$BM$3,$BN$1:$BY$3),$BN$4:$BY$4),""),
"")</f>
        <v/>
      </c>
      <c r="CL127" s="8" t="str">
        <f>IF(_xlfn.XLOOKUP($B127,'ELC TECH'!$H:$H,'ELC TECH'!$E:$E)="Storage",CL$4*$BF127,"")</f>
        <v/>
      </c>
      <c r="CM127" s="8" t="str">
        <f>IF(_xlfn.XLOOKUP($B127,'ELC TECH'!$H:$H,'ELC TECH'!$E:$E)="Storage",CM$4*$BF127,"")</f>
        <v/>
      </c>
      <c r="CN127" s="8" t="str">
        <f>IF(_xlfn.XLOOKUP($B127,'ELC TECH'!$H:$H,'ELC TECH'!$E:$E)="Storage",CN$4*$BF127,"")</f>
        <v/>
      </c>
      <c r="CO127" s="8" t="str">
        <f>IF(_xlfn.XLOOKUP($B127,'ELC TECH'!$H:$H,'ELC TECH'!$E:$E)="Storage",CO$4*$BF127,"")</f>
        <v/>
      </c>
      <c r="CP127" s="8" t="str">
        <f>IF(_xlfn.XLOOKUP($B127,'ELC TECH'!$H:$H,'ELC TECH'!$E:$E)="Storage",CP$4*$BF127,"")</f>
        <v/>
      </c>
      <c r="CQ127" s="8" t="str">
        <f>IF(_xlfn.XLOOKUP($B127,'ELC TECH'!$H:$H,'ELC TECH'!$E:$E)="Storage",CQ$4*$BF127,"")</f>
        <v/>
      </c>
      <c r="CR127" s="8" t="str">
        <f>IF(_xlfn.XLOOKUP($B127,'ELC TECH'!$H:$H,'ELC TECH'!$E:$E)="Storage",CR$4*$BF127,"")</f>
        <v/>
      </c>
      <c r="CS127" s="8" t="str">
        <f>IF(_xlfn.XLOOKUP($B127,'ELC TECH'!$H:$H,'ELC TECH'!$E:$E)="Storage",CS$4*$BF127,"")</f>
        <v/>
      </c>
      <c r="CT127" s="8" t="str">
        <f>IF(_xlfn.XLOOKUP($B127,'ELC TECH'!$H:$H,'ELC TECH'!$E:$E)="Storage",CT$4*$BF127,"")</f>
        <v/>
      </c>
      <c r="CU127" s="8" t="str">
        <f>IF(_xlfn.XLOOKUP($B127,'ELC TECH'!$H:$H,'ELC TECH'!$E:$E)="Storage",CU$4*$BF127,"")</f>
        <v/>
      </c>
      <c r="CV127" s="8" t="str">
        <f>IF(_xlfn.XLOOKUP($B127,'ELC TECH'!$H:$H,'ELC TECH'!$E:$E)="Storage",CV$4*$BF127,"")</f>
        <v/>
      </c>
      <c r="CW127" s="8" t="str">
        <f>IF(_xlfn.XLOOKUP($B127,'ELC TECH'!$H:$H,'ELC TECH'!$E:$E)="Storage",CW$4*$BF127,"")</f>
        <v/>
      </c>
      <c r="CX127" s="8" t="str">
        <f>IF(_xlfn.XLOOKUP($B127,'ELC TECH'!$H:$H,'ELC TECH'!$E:$E)="Storage",CX$4*$BF127,"")</f>
        <v/>
      </c>
      <c r="CY127" s="8" t="str">
        <f>IF(_xlfn.XLOOKUP($B127,'ELC TECH'!$H:$H,'ELC TECH'!$E:$E)="Storage",CY$4*$BF127,"")</f>
        <v/>
      </c>
      <c r="CZ127" s="8" t="str">
        <f>IF(_xlfn.XLOOKUP($B127,'ELC TECH'!$H:$H,'ELC TECH'!$E:$E)="Storage",CZ$4*$BF127,"")</f>
        <v/>
      </c>
      <c r="DA127" s="8" t="str">
        <f>IF(_xlfn.XLOOKUP($B127,'ELC TECH'!$H:$H,'ELC TECH'!$E:$E)="Storage",DA$4*$BF127,"")</f>
        <v/>
      </c>
      <c r="DB127" s="8" t="str">
        <f>IF(_xlfn.XLOOKUP($B127,'ELC TECH'!$H:$H,'ELC TECH'!$E:$E)="Storage",DB$4*$BF127,"")</f>
        <v/>
      </c>
      <c r="DC127" s="8" t="str">
        <f>IF(_xlfn.XLOOKUP($B127,'ELC TECH'!$H:$H,'ELC TECH'!$E:$E)="Storage",DC$4*$BF127,"")</f>
        <v/>
      </c>
      <c r="DD127" s="8" t="str">
        <f>IF(_xlfn.XLOOKUP($B127,'ELC TECH'!$H:$H,'ELC TECH'!$E:$E)="Storage",DD$4*$BF127,"")</f>
        <v/>
      </c>
      <c r="DE127" s="8" t="str">
        <f>IF(_xlfn.XLOOKUP($B127,'ELC TECH'!$H:$H,'ELC TECH'!$E:$E)="Storage",DE$4*$BF127,"")</f>
        <v/>
      </c>
      <c r="DF127" s="8" t="str">
        <f>IF(_xlfn.XLOOKUP($B127,'ELC TECH'!$H:$H,'ELC TECH'!$E:$E)="Storage",DF$4*$BF127,"")</f>
        <v/>
      </c>
      <c r="DG127" s="8" t="str">
        <f>IF(_xlfn.XLOOKUP($B127,'ELC TECH'!$H:$H,'ELC TECH'!$E:$E)="Storage",DG$4*$BF127,"")</f>
        <v/>
      </c>
      <c r="DH127" s="8" t="str">
        <f>IF(_xlfn.XLOOKUP($B127,'ELC TECH'!$H:$H,'ELC TECH'!$E:$E)="Storage",DH$4*$BF127,"")</f>
        <v/>
      </c>
      <c r="DI127" s="8" t="str">
        <f>IF(_xlfn.XLOOKUP($B127,'ELC TECH'!$H:$H,'ELC TECH'!$E:$E)="Storage",DI$4*$BF127,"")</f>
        <v/>
      </c>
    </row>
    <row r="128" spans="2:113" x14ac:dyDescent="0.25">
      <c r="B128" t="str">
        <f>IF('ELC TECH'!I121=0,"*",'ELC TECH'!H121)</f>
        <v>ELCCOAGRD99CCS20</v>
      </c>
      <c r="C128" t="str">
        <f>IF(_xlfn.XLOOKUP(_xlfn.XLOOKUP(B128,'ELC TECH'!$H:$H,'ELC TECH'!$G:$G),List!C:C,List!B:B)="STG",D128,"ELC"&amp;_xlfn.XLOOKUP(_xlfn.XLOOKUP(B128,'ELC TECH'!H:H,'ELC TECH'!G:G),List!C:C,List!B:B))</f>
        <v>ELCCOA</v>
      </c>
      <c r="D128" t="s">
        <v>544</v>
      </c>
      <c r="E128">
        <f>_xlfn.XLOOKUP(B128,'ELC TECH'!H:H,'ELC TECH'!D:D)</f>
        <v>2020</v>
      </c>
      <c r="F128">
        <f>_xlfn.XLOOKUP(B128,'ELC TECH'!H:H,'ELC TECH'!K:K)</f>
        <v>30</v>
      </c>
      <c r="G128">
        <f t="shared" si="7"/>
        <v>31.535999999999998</v>
      </c>
      <c r="H128">
        <f>IF(_xlfn.XLOOKUP(B128,'ELC TECH'!$H:$H,'ELC TECH'!$E:$E)="Storage",0.3,IF(_xlfn.XLOOKUP(B128,'ELC TECH'!$H:$H,'ELC TECH'!$E:$E)="Baseload",0.9,IF(_xlfn.XLOOKUP(B128,'ELC TECH'!$H:$H,'ELC TECH'!$E:$E)="Non Dispatchable",0.05,IF(_xlfn.XLOOKUP(B128,'ELC TECH'!$H:$H,'ELC TECH'!$E:$E)="Dispatchable",0.9,1))))</f>
        <v>0.9</v>
      </c>
      <c r="I128" s="13" t="str">
        <f>IF(_xlfn.XLOOKUP(B128,'ELC TECH'!H:H,'ELC TECH'!J:J)="","",_xlfn.XLOOKUP(B128,'ELC TECH'!H:H,'ELC TECH'!J:J))</f>
        <v/>
      </c>
      <c r="J128" s="12">
        <f>IF(_xlfn.XLOOKUP($B128,'ELC TECH'!$H:$H,'ELC TECH'!$E:$E)="Storage","",IF(_xlfn.XLOOKUP($B128,'ELC TECH'!$H:$H,'ELC TECH'!AK:AK)="",1,_xlfn.XLOOKUP($B128,'ELC TECH'!$H:$H,'ELC TECH'!AK:AK)))</f>
        <v>0.30695768636211301</v>
      </c>
      <c r="K128" s="12">
        <f>IF(_xlfn.XLOOKUP($B128,'ELC TECH'!$H:$H,'ELC TECH'!$E:$E)="Storage","",IF(_xlfn.XLOOKUP($B128,'ELC TECH'!$H:$H,'ELC TECH'!AL:AL)="",1,_xlfn.XLOOKUP($B128,'ELC TECH'!$H:$H,'ELC TECH'!AL:AL)))</f>
        <v>0.3119529750961097</v>
      </c>
      <c r="L128" s="12">
        <f>IF(_xlfn.XLOOKUP($B128,'ELC TECH'!$H:$H,'ELC TECH'!$E:$E)="Storage","",IF(_xlfn.XLOOKUP($B128,'ELC TECH'!$H:$H,'ELC TECH'!AM:AM)="",1,_xlfn.XLOOKUP($B128,'ELC TECH'!$H:$H,'ELC TECH'!AM:AM)))</f>
        <v>0.32059960928321413</v>
      </c>
      <c r="M128" s="12">
        <f>IF(_xlfn.XLOOKUP($B128,'ELC TECH'!$H:$H,'ELC TECH'!$E:$E)="Storage","",IF(_xlfn.XLOOKUP($B128,'ELC TECH'!$H:$H,'ELC TECH'!AN:AN)="",1,_xlfn.XLOOKUP($B128,'ELC TECH'!$H:$H,'ELC TECH'!AN:AN)))</f>
        <v>0.3297392386549331</v>
      </c>
      <c r="N128" s="12">
        <f>IF(_xlfn.XLOOKUP($B128,'ELC TECH'!$H:$H,'ELC TECH'!$E:$E)="Storage","",IF(_xlfn.XLOOKUP($B128,'ELC TECH'!$H:$H,'ELC TECH'!AO:AO)="",1,_xlfn.XLOOKUP($B128,'ELC TECH'!$H:$H,'ELC TECH'!AO:AO)))</f>
        <v>0.3297392386549331</v>
      </c>
      <c r="O128" s="12">
        <f>IF(_xlfn.XLOOKUP($B128,'ELC TECH'!$H:$H,'ELC TECH'!$E:$E)="Storage","",IF(_xlfn.XLOOKUP($B128,'ELC TECH'!$H:$H,'ELC TECH'!AP:AP)="",1,_xlfn.XLOOKUP($B128,'ELC TECH'!$H:$H,'ELC TECH'!AP:AP)))</f>
        <v>0.3297392386549331</v>
      </c>
      <c r="P128" s="12">
        <f>IF(_xlfn.XLOOKUP($B128,'ELC TECH'!$H:$H,'ELC TECH'!$E:$E)="Storage","",IF(_xlfn.XLOOKUP($B128,'ELC TECH'!$H:$H,'ELC TECH'!AQ:AQ)="",1,_xlfn.XLOOKUP($B128,'ELC TECH'!$H:$H,'ELC TECH'!AQ:AQ)))</f>
        <v>0.3297392386549331</v>
      </c>
      <c r="Q128" s="12">
        <f>IF(_xlfn.XLOOKUP($B128,'ELC TECH'!$H:$H,'ELC TECH'!$E:$E)="Storage","",IF(_xlfn.XLOOKUP($B128,'ELC TECH'!$H:$H,'ELC TECH'!AR:AR)="",1,_xlfn.XLOOKUP($B128,'ELC TECH'!$H:$H,'ELC TECH'!AR:AR)))</f>
        <v>0.3297392386549331</v>
      </c>
      <c r="R128" s="12" t="str">
        <f>IF(_xlfn.XLOOKUP($B128,'ELC TECH'!$H:$H,'ELC TECH'!$E:$E)&lt;&gt;"Storage","",IF(_xlfn.XLOOKUP($B128,'ELC TECH'!$H:$H,'ELC TECH'!AK:AK)="",0.8,_xlfn.XLOOKUP($B128,'ELC TECH'!$H:$H,'ELC TECH'!AK:AK)))</f>
        <v/>
      </c>
      <c r="S128" s="12" t="str">
        <f>IF(_xlfn.XLOOKUP($B128,'ELC TECH'!$H:$H,'ELC TECH'!$E:$E)&lt;&gt;"Storage","",IF(_xlfn.XLOOKUP($B128,'ELC TECH'!$H:$H,'ELC TECH'!AL:AL)="",0.8,_xlfn.XLOOKUP($B128,'ELC TECH'!$H:$H,'ELC TECH'!AL:AL)))</f>
        <v/>
      </c>
      <c r="T128" s="12" t="str">
        <f>IF(_xlfn.XLOOKUP($B128,'ELC TECH'!$H:$H,'ELC TECH'!$E:$E)&lt;&gt;"Storage","",IF(_xlfn.XLOOKUP($B128,'ELC TECH'!$H:$H,'ELC TECH'!AM:AM)="",0.8,_xlfn.XLOOKUP($B128,'ELC TECH'!$H:$H,'ELC TECH'!AM:AM)))</f>
        <v/>
      </c>
      <c r="U128" s="12" t="str">
        <f>IF(_xlfn.XLOOKUP($B128,'ELC TECH'!$H:$H,'ELC TECH'!$E:$E)&lt;&gt;"Storage","",IF(_xlfn.XLOOKUP($B128,'ELC TECH'!$H:$H,'ELC TECH'!AN:AN)="",0.8,_xlfn.XLOOKUP($B128,'ELC TECH'!$H:$H,'ELC TECH'!AN:AN)))</f>
        <v/>
      </c>
      <c r="V128" s="12" t="str">
        <f>IF(_xlfn.XLOOKUP($B128,'ELC TECH'!$H:$H,'ELC TECH'!$E:$E)&lt;&gt;"Storage","",IF(_xlfn.XLOOKUP($B128,'ELC TECH'!$H:$H,'ELC TECH'!AO:AO)="",0.8,_xlfn.XLOOKUP($B128,'ELC TECH'!$H:$H,'ELC TECH'!AO:AO)))</f>
        <v/>
      </c>
      <c r="W128" s="12" t="str">
        <f>IF(_xlfn.XLOOKUP($B128,'ELC TECH'!$H:$H,'ELC TECH'!$E:$E)&lt;&gt;"Storage","",IF(_xlfn.XLOOKUP($B128,'ELC TECH'!$H:$H,'ELC TECH'!AP:AP)="",0.8,_xlfn.XLOOKUP($B128,'ELC TECH'!$H:$H,'ELC TECH'!AP:AP)))</f>
        <v/>
      </c>
      <c r="X128" s="12" t="str">
        <f>IF(_xlfn.XLOOKUP($B128,'ELC TECH'!$H:$H,'ELC TECH'!$E:$E)&lt;&gt;"Storage","",IF(_xlfn.XLOOKUP($B128,'ELC TECH'!$H:$H,'ELC TECH'!AQ:AQ)="",0.8,_xlfn.XLOOKUP($B128,'ELC TECH'!$H:$H,'ELC TECH'!AQ:AQ)))</f>
        <v/>
      </c>
      <c r="Y128" s="12" t="str">
        <f>IF(_xlfn.XLOOKUP($B128,'ELC TECH'!$H:$H,'ELC TECH'!$E:$E)&lt;&gt;"Storage","",IF(_xlfn.XLOOKUP($B128,'ELC TECH'!$H:$H,'ELC TECH'!AR:AR)="",0.8,_xlfn.XLOOKUP($B128,'ELC TECH'!$H:$H,'ELC TECH'!AR:AR)))</f>
        <v/>
      </c>
      <c r="Z128" s="15">
        <f>_xlfn.XLOOKUP($B128,'ELC TECH'!$H:$H,'ELC TECH'!M:M)</f>
        <v>5490.0960020401017</v>
      </c>
      <c r="AA128" s="15">
        <f>_xlfn.XLOOKUP($B128,'ELC TECH'!$H:$H,'ELC TECH'!N:N)</f>
        <v>5291.7596124458869</v>
      </c>
      <c r="AB128" s="15">
        <f>_xlfn.XLOOKUP($B128,'ELC TECH'!$H:$H,'ELC TECH'!O:O)</f>
        <v>4961.1235787095784</v>
      </c>
      <c r="AC128" s="15">
        <f>_xlfn.XLOOKUP($B128,'ELC TECH'!$H:$H,'ELC TECH'!P:P)</f>
        <v>4630.487544973269</v>
      </c>
      <c r="AD128" s="15">
        <f>_xlfn.XLOOKUP($B128,'ELC TECH'!$H:$H,'ELC TECH'!Q:Q)</f>
        <v>4377.9874549140432</v>
      </c>
      <c r="AE128" s="15">
        <f>_xlfn.XLOOKUP($B128,'ELC TECH'!$H:$H,'ELC TECH'!R:R)</f>
        <v>4125.6004414737417</v>
      </c>
      <c r="AF128" s="15">
        <f>_xlfn.XLOOKUP($B128,'ELC TECH'!$H:$H,'ELC TECH'!S:S)</f>
        <v>3873.1003514145159</v>
      </c>
      <c r="AG128" s="15">
        <f>_xlfn.XLOOKUP($B128,'ELC TECH'!$H:$H,'ELC TECH'!T:T)</f>
        <v>3873.1003514145159</v>
      </c>
      <c r="AH128" s="15">
        <f>_xlfn.XLOOKUP($B128,'ELC TECH'!$H:$H,'ELC TECH'!U:U)</f>
        <v>140.89346718038331</v>
      </c>
      <c r="AI128" s="15">
        <f>_xlfn.XLOOKUP($B128,'ELC TECH'!$H:$H,'ELC TECH'!V:V)</f>
        <v>137.84039846941181</v>
      </c>
      <c r="AJ128" s="15">
        <f>_xlfn.XLOOKUP($B128,'ELC TECH'!$H:$H,'ELC TECH'!W:W)</f>
        <v>130.26426500144581</v>
      </c>
      <c r="AK128" s="15">
        <f>_xlfn.XLOOKUP($B128,'ELC TECH'!$H:$H,'ELC TECH'!X:X)</f>
        <v>122.5750549145549</v>
      </c>
      <c r="AL128" s="15">
        <f>_xlfn.XLOOKUP($B128,'ELC TECH'!$H:$H,'ELC TECH'!Y:Y)</f>
        <v>116.69507073046189</v>
      </c>
      <c r="AM128" s="15">
        <f>_xlfn.XLOOKUP($B128,'ELC TECH'!$H:$H,'ELC TECH'!Z:Z)</f>
        <v>110.9281631652937</v>
      </c>
      <c r="AN128" s="15">
        <f>_xlfn.XLOOKUP($B128,'ELC TECH'!$H:$H,'ELC TECH'!AA:AA)</f>
        <v>105.04817898120061</v>
      </c>
      <c r="AO128" s="15">
        <f>_xlfn.XLOOKUP($B128,'ELC TECH'!$H:$H,'ELC TECH'!AB:AB)</f>
        <v>105.04817898120061</v>
      </c>
      <c r="AP128" s="15">
        <f>_xlfn.XLOOKUP($B128,'ELC TECH'!$H:$H,'ELC TECH'!AC:AC)</f>
        <v>4.7272308744978773</v>
      </c>
      <c r="AQ128" s="15">
        <f>_xlfn.XLOOKUP($B128,'ELC TECH'!$H:$H,'ELC TECH'!AD:AD)</f>
        <v>4.5953081524188661</v>
      </c>
      <c r="AR128" s="15">
        <f>_xlfn.XLOOKUP($B128,'ELC TECH'!$H:$H,'ELC TECH'!AE:AE)</f>
        <v>4.3754369489538494</v>
      </c>
      <c r="AS128" s="15">
        <f>_xlfn.XLOOKUP($B128,'ELC TECH'!$H:$H,'ELC TECH'!AF:AF)</f>
        <v>4.1587067626811889</v>
      </c>
      <c r="AT128" s="15">
        <f>_xlfn.XLOOKUP($B128,'ELC TECH'!$H:$H,'ELC TECH'!AG:AG)</f>
        <v>4.083322350064611</v>
      </c>
      <c r="AU128" s="15">
        <f>_xlfn.XLOOKUP($B128,'ELC TECH'!$H:$H,'ELC TECH'!AH:AH)</f>
        <v>4.0079379374480339</v>
      </c>
      <c r="AV128" s="15">
        <f>_xlfn.XLOOKUP($B128,'ELC TECH'!$H:$H,'ELC TECH'!AI:AI)</f>
        <v>3.932553524831456</v>
      </c>
      <c r="AW128" s="15">
        <f>_xlfn.XLOOKUP($B128,'ELC TECH'!$H:$H,'ELC TECH'!AJ:AJ)</f>
        <v>3.932553524831456</v>
      </c>
      <c r="AX128" s="12">
        <f>IF(_xlfn.XLOOKUP($B128,'ELC TECH'!$H:$H,'ELC TECH'!$E:$E)="Storage","",_xlfn.XLOOKUP($B128,'ELC TECH'!$H:$H,'ELC TECH'!AS:AS))</f>
        <v>0.9</v>
      </c>
      <c r="AY128" s="12">
        <f>IF(_xlfn.XLOOKUP($B128,'ELC TECH'!$H:$H,'ELC TECH'!$E:$E)="Storage","",_xlfn.XLOOKUP($B128,'ELC TECH'!$H:$H,'ELC TECH'!AT:AT))</f>
        <v>0.9</v>
      </c>
      <c r="AZ128" s="12">
        <f>IF(_xlfn.XLOOKUP($B128,'ELC TECH'!$H:$H,'ELC TECH'!$E:$E)="Storage","",_xlfn.XLOOKUP($B128,'ELC TECH'!$H:$H,'ELC TECH'!AU:AU))</f>
        <v>0.9</v>
      </c>
      <c r="BA128" s="12">
        <f>IF(_xlfn.XLOOKUP($B128,'ELC TECH'!$H:$H,'ELC TECH'!$E:$E)="Storage","",_xlfn.XLOOKUP($B128,'ELC TECH'!$H:$H,'ELC TECH'!AV:AV))</f>
        <v>0.9</v>
      </c>
      <c r="BB128" s="12">
        <f>IF(_xlfn.XLOOKUP($B128,'ELC TECH'!$H:$H,'ELC TECH'!$E:$E)="Storage","",_xlfn.XLOOKUP($B128,'ELC TECH'!$H:$H,'ELC TECH'!AW:AW))</f>
        <v>0.9</v>
      </c>
      <c r="BC128" s="12">
        <f>IF(_xlfn.XLOOKUP($B128,'ELC TECH'!$H:$H,'ELC TECH'!$E:$E)="Storage","",_xlfn.XLOOKUP($B128,'ELC TECH'!$H:$H,'ELC TECH'!AX:AX))</f>
        <v>0.9</v>
      </c>
      <c r="BD128" s="12">
        <f>IF(_xlfn.XLOOKUP($B128,'ELC TECH'!$H:$H,'ELC TECH'!$E:$E)="Storage","",_xlfn.XLOOKUP($B128,'ELC TECH'!$H:$H,'ELC TECH'!AY:AY))</f>
        <v>0.9</v>
      </c>
      <c r="BE128" s="12">
        <f>IF(_xlfn.XLOOKUP($B128,'ELC TECH'!$H:$H,'ELC TECH'!$E:$E)="Storage","",_xlfn.XLOOKUP($B128,'ELC TECH'!$H:$H,'ELC TECH'!AZ:AZ))</f>
        <v>0.9</v>
      </c>
      <c r="BF128" s="12" t="str">
        <f>IF(_xlfn.XLOOKUP($B128,'ELC TECH'!$H:$H,'ELC TECH'!$E:$E)="Storage",_xlfn.XLOOKUP($B128,'ELC TECH'!$H:$H,'ELC TECH'!AS:AS),"")</f>
        <v/>
      </c>
      <c r="BG128" s="12" t="str">
        <f>IF(_xlfn.XLOOKUP($B128,'ELC TECH'!$H:$H,'ELC TECH'!$E:$E)="Storage",_xlfn.XLOOKUP($B128,'ELC TECH'!$H:$H,'ELC TECH'!AT:AT),"")</f>
        <v/>
      </c>
      <c r="BH128" s="12" t="str">
        <f>IF(_xlfn.XLOOKUP($B128,'ELC TECH'!$H:$H,'ELC TECH'!$E:$E)="Storage",_xlfn.XLOOKUP($B128,'ELC TECH'!$H:$H,'ELC TECH'!AU:AU),"")</f>
        <v/>
      </c>
      <c r="BI128" s="12" t="str">
        <f>IF(_xlfn.XLOOKUP($B128,'ELC TECH'!$H:$H,'ELC TECH'!$E:$E)="Storage",_xlfn.XLOOKUP($B128,'ELC TECH'!$H:$H,'ELC TECH'!AV:AV),"")</f>
        <v/>
      </c>
      <c r="BJ128" s="12" t="str">
        <f>IF(_xlfn.XLOOKUP($B128,'ELC TECH'!$H:$H,'ELC TECH'!$E:$E)="Storage",_xlfn.XLOOKUP($B128,'ELC TECH'!$H:$H,'ELC TECH'!AW:AW),"")</f>
        <v/>
      </c>
      <c r="BK128" s="12" t="str">
        <f>IF(_xlfn.XLOOKUP($B128,'ELC TECH'!$H:$H,'ELC TECH'!$E:$E)="Storage",_xlfn.XLOOKUP($B128,'ELC TECH'!$H:$H,'ELC TECH'!AX:AX),"")</f>
        <v/>
      </c>
      <c r="BL128" s="12" t="str">
        <f>IF(_xlfn.XLOOKUP($B128,'ELC TECH'!$H:$H,'ELC TECH'!$E:$E)="Storage",_xlfn.XLOOKUP($B128,'ELC TECH'!$H:$H,'ELC TECH'!AY:AY),"")</f>
        <v/>
      </c>
      <c r="BM128" s="12" t="str">
        <f>IF(_xlfn.XLOOKUP($B128,'ELC TECH'!$H:$H,'ELC TECH'!$E:$E)="Storage",_xlfn.XLOOKUP($B128,'ELC TECH'!$H:$H,'ELC TECH'!AZ:AZ),"")</f>
        <v/>
      </c>
      <c r="BN128" s="8" t="str">
        <f>IF(_xlfn.XLOOKUP($B128,'ELC TECH'!$H:$H,'ELC TECH'!$E:$E)="Non Dispatchable",IFERROR($AX128*_xlfn.XLOOKUP($C128,$BM$1:$BM$3,BN$1:BN$3)/SUMPRODUCT(_xlfn.XLOOKUP($C128,$BM$1:$BM$3,$BN$1:$BY$3),$BN$4:$BY$4),""),
"")</f>
        <v/>
      </c>
      <c r="BO128" s="8" t="str">
        <f>IF(_xlfn.XLOOKUP($B128,'ELC TECH'!$H:$H,'ELC TECH'!$E:$E)="Non Dispatchable",IFERROR($AX128*_xlfn.XLOOKUP($C128,$BM$1:$BM$3,BO$1:BO$3)/SUMPRODUCT(_xlfn.XLOOKUP($C128,$BM$1:$BM$3,$BN$1:$BY$3),$BN$4:$BY$4),""),
"")</f>
        <v/>
      </c>
      <c r="BP128" s="8" t="str">
        <f>IF(_xlfn.XLOOKUP($B128,'ELC TECH'!$H:$H,'ELC TECH'!$E:$E)="Non Dispatchable",IFERROR($AX128*_xlfn.XLOOKUP($C128,$BM$1:$BM$3,BP$1:BP$3)/SUMPRODUCT(_xlfn.XLOOKUP($C128,$BM$1:$BM$3,$BN$1:$BY$3),$BN$4:$BY$4),""),
"")</f>
        <v/>
      </c>
      <c r="BQ128" s="8" t="str">
        <f>IF(_xlfn.XLOOKUP($B128,'ELC TECH'!$H:$H,'ELC TECH'!$E:$E)="Non Dispatchable",IFERROR($AX128*_xlfn.XLOOKUP($C128,$BM$1:$BM$3,BQ$1:BQ$3)/SUMPRODUCT(_xlfn.XLOOKUP($C128,$BM$1:$BM$3,$BN$1:$BY$3),$BN$4:$BY$4),""),
"")</f>
        <v/>
      </c>
      <c r="BR128" s="8" t="str">
        <f>IF(_xlfn.XLOOKUP($B128,'ELC TECH'!$H:$H,'ELC TECH'!$E:$E)="Non Dispatchable",IFERROR($AX128*_xlfn.XLOOKUP($C128,$BM$1:$BM$3,BR$1:BR$3)/SUMPRODUCT(_xlfn.XLOOKUP($C128,$BM$1:$BM$3,$BN$1:$BY$3),$BN$4:$BY$4),""),
"")</f>
        <v/>
      </c>
      <c r="BS128" s="8" t="str">
        <f>IF(_xlfn.XLOOKUP($B128,'ELC TECH'!$H:$H,'ELC TECH'!$E:$E)="Non Dispatchable",IFERROR($AX128*_xlfn.XLOOKUP($C128,$BM$1:$BM$3,BS$1:BS$3)/SUMPRODUCT(_xlfn.XLOOKUP($C128,$BM$1:$BM$3,$BN$1:$BY$3),$BN$4:$BY$4),""),
"")</f>
        <v/>
      </c>
      <c r="BT128" s="8" t="str">
        <f>IF(_xlfn.XLOOKUP($B128,'ELC TECH'!$H:$H,'ELC TECH'!$E:$E)="Non Dispatchable",IFERROR($AX128*_xlfn.XLOOKUP($C128,$BM$1:$BM$3,BT$1:BT$3)/SUMPRODUCT(_xlfn.XLOOKUP($C128,$BM$1:$BM$3,$BN$1:$BY$3),$BN$4:$BY$4),""),
"")</f>
        <v/>
      </c>
      <c r="BU128" s="8" t="str">
        <f>IF(_xlfn.XLOOKUP($B128,'ELC TECH'!$H:$H,'ELC TECH'!$E:$E)="Non Dispatchable",IFERROR($AX128*_xlfn.XLOOKUP($C128,$BM$1:$BM$3,BU$1:BU$3)/SUMPRODUCT(_xlfn.XLOOKUP($C128,$BM$1:$BM$3,$BN$1:$BY$3),$BN$4:$BY$4),""),
"")</f>
        <v/>
      </c>
      <c r="BV128" s="8" t="str">
        <f>IF(_xlfn.XLOOKUP($B128,'ELC TECH'!$H:$H,'ELC TECH'!$E:$E)="Non Dispatchable",IFERROR($AX128*_xlfn.XLOOKUP($C128,$BM$1:$BM$3,BV$1:BV$3)/SUMPRODUCT(_xlfn.XLOOKUP($C128,$BM$1:$BM$3,$BN$1:$BY$3),$BN$4:$BY$4),""),
"")</f>
        <v/>
      </c>
      <c r="BW128" s="8" t="str">
        <f>IF(_xlfn.XLOOKUP($B128,'ELC TECH'!$H:$H,'ELC TECH'!$E:$E)="Non Dispatchable",IFERROR($AX128*_xlfn.XLOOKUP($C128,$BM$1:$BM$3,BW$1:BW$3)/SUMPRODUCT(_xlfn.XLOOKUP($C128,$BM$1:$BM$3,$BN$1:$BY$3),$BN$4:$BY$4),""),
"")</f>
        <v/>
      </c>
      <c r="BX128" s="8" t="str">
        <f>IF(_xlfn.XLOOKUP($B128,'ELC TECH'!$H:$H,'ELC TECH'!$E:$E)="Non Dispatchable",IFERROR($AX128*_xlfn.XLOOKUP($C128,$BM$1:$BM$3,BX$1:BX$3)/SUMPRODUCT(_xlfn.XLOOKUP($C128,$BM$1:$BM$3,$BN$1:$BY$3),$BN$4:$BY$4),""),
"")</f>
        <v/>
      </c>
      <c r="BY128" s="8" t="str">
        <f>IF(_xlfn.XLOOKUP($B128,'ELC TECH'!$H:$H,'ELC TECH'!$E:$E)="Non Dispatchable",IFERROR($AX128*_xlfn.XLOOKUP($C128,$BM$1:$BM$3,BY$1:BY$3)/SUMPRODUCT(_xlfn.XLOOKUP($C128,$BM$1:$BM$3,$BN$1:$BY$3),$BN$4:$BY$4),""),
"")</f>
        <v/>
      </c>
      <c r="BZ128" s="8" t="str">
        <f>IF(_xlfn.XLOOKUP($B128,'ELC TECH'!$H:$H,'ELC TECH'!$E:$E)="Non Dispatchable",IFERROR($AX128*_xlfn.XLOOKUP($C128,$BM$1:$BM$3,BZ$1:BZ$3)/SUMPRODUCT(_xlfn.XLOOKUP($C128,$BM$1:$BM$3,$BN$1:$BY$3),$BN$4:$BY$4),""),
"")</f>
        <v/>
      </c>
      <c r="CA128" s="8" t="str">
        <f>IF(_xlfn.XLOOKUP($B128,'ELC TECH'!$H:$H,'ELC TECH'!$E:$E)="Non Dispatchable",IFERROR($AX128*_xlfn.XLOOKUP($C128,$BM$1:$BM$3,CA$1:CA$3)/SUMPRODUCT(_xlfn.XLOOKUP($C128,$BM$1:$BM$3,$BN$1:$BY$3),$BN$4:$BY$4),""),
"")</f>
        <v/>
      </c>
      <c r="CB128" s="8" t="str">
        <f>IF(_xlfn.XLOOKUP($B128,'ELC TECH'!$H:$H,'ELC TECH'!$E:$E)="Non Dispatchable",IFERROR($AX128*_xlfn.XLOOKUP($C128,$BM$1:$BM$3,CB$1:CB$3)/SUMPRODUCT(_xlfn.XLOOKUP($C128,$BM$1:$BM$3,$BN$1:$BY$3),$BN$4:$BY$4),""),
"")</f>
        <v/>
      </c>
      <c r="CC128" s="8" t="str">
        <f>IF(_xlfn.XLOOKUP($B128,'ELC TECH'!$H:$H,'ELC TECH'!$E:$E)="Non Dispatchable",IFERROR($AX128*_xlfn.XLOOKUP($C128,$BM$1:$BM$3,CC$1:CC$3)/SUMPRODUCT(_xlfn.XLOOKUP($C128,$BM$1:$BM$3,$BN$1:$BY$3),$BN$4:$BY$4),""),
"")</f>
        <v/>
      </c>
      <c r="CD128" s="8" t="str">
        <f>IF(_xlfn.XLOOKUP($B128,'ELC TECH'!$H:$H,'ELC TECH'!$E:$E)="Non Dispatchable",IFERROR($AX128*_xlfn.XLOOKUP($C128,$BM$1:$BM$3,CD$1:CD$3)/SUMPRODUCT(_xlfn.XLOOKUP($C128,$BM$1:$BM$3,$BN$1:$BY$3),$BN$4:$BY$4),""),
"")</f>
        <v/>
      </c>
      <c r="CE128" s="8" t="str">
        <f>IF(_xlfn.XLOOKUP($B128,'ELC TECH'!$H:$H,'ELC TECH'!$E:$E)="Non Dispatchable",IFERROR($AX128*_xlfn.XLOOKUP($C128,$BM$1:$BM$3,CE$1:CE$3)/SUMPRODUCT(_xlfn.XLOOKUP($C128,$BM$1:$BM$3,$BN$1:$BY$3),$BN$4:$BY$4),""),
"")</f>
        <v/>
      </c>
      <c r="CF128" s="8" t="str">
        <f>IF(_xlfn.XLOOKUP($B128,'ELC TECH'!$H:$H,'ELC TECH'!$E:$E)="Non Dispatchable",IFERROR($AX128*_xlfn.XLOOKUP($C128,$BM$1:$BM$3,CF$1:CF$3)/SUMPRODUCT(_xlfn.XLOOKUP($C128,$BM$1:$BM$3,$BN$1:$BY$3),$BN$4:$BY$4),""),
"")</f>
        <v/>
      </c>
      <c r="CG128" s="8" t="str">
        <f>IF(_xlfn.XLOOKUP($B128,'ELC TECH'!$H:$H,'ELC TECH'!$E:$E)="Non Dispatchable",IFERROR($AX128*_xlfn.XLOOKUP($C128,$BM$1:$BM$3,CG$1:CG$3)/SUMPRODUCT(_xlfn.XLOOKUP($C128,$BM$1:$BM$3,$BN$1:$BY$3),$BN$4:$BY$4),""),
"")</f>
        <v/>
      </c>
      <c r="CH128" s="8" t="str">
        <f>IF(_xlfn.XLOOKUP($B128,'ELC TECH'!$H:$H,'ELC TECH'!$E:$E)="Non Dispatchable",IFERROR($AX128*_xlfn.XLOOKUP($C128,$BM$1:$BM$3,CH$1:CH$3)/SUMPRODUCT(_xlfn.XLOOKUP($C128,$BM$1:$BM$3,$BN$1:$BY$3),$BN$4:$BY$4),""),
"")</f>
        <v/>
      </c>
      <c r="CI128" s="8" t="str">
        <f>IF(_xlfn.XLOOKUP($B128,'ELC TECH'!$H:$H,'ELC TECH'!$E:$E)="Non Dispatchable",IFERROR($AX128*_xlfn.XLOOKUP($C128,$BM$1:$BM$3,CI$1:CI$3)/SUMPRODUCT(_xlfn.XLOOKUP($C128,$BM$1:$BM$3,$BN$1:$BY$3),$BN$4:$BY$4),""),
"")</f>
        <v/>
      </c>
      <c r="CJ128" s="8" t="str">
        <f>IF(_xlfn.XLOOKUP($B128,'ELC TECH'!$H:$H,'ELC TECH'!$E:$E)="Non Dispatchable",IFERROR($AX128*_xlfn.XLOOKUP($C128,$BM$1:$BM$3,CJ$1:CJ$3)/SUMPRODUCT(_xlfn.XLOOKUP($C128,$BM$1:$BM$3,$BN$1:$BY$3),$BN$4:$BY$4),""),
"")</f>
        <v/>
      </c>
      <c r="CK128" s="8" t="str">
        <f>IF(_xlfn.XLOOKUP($B128,'ELC TECH'!$H:$H,'ELC TECH'!$E:$E)="Non Dispatchable",IFERROR($AX128*_xlfn.XLOOKUP($C128,$BM$1:$BM$3,CK$1:CK$3)/SUMPRODUCT(_xlfn.XLOOKUP($C128,$BM$1:$BM$3,$BN$1:$BY$3),$BN$4:$BY$4),""),
"")</f>
        <v/>
      </c>
      <c r="CL128" s="8" t="str">
        <f>IF(_xlfn.XLOOKUP($B128,'ELC TECH'!$H:$H,'ELC TECH'!$E:$E)="Storage",CL$4*$BF128,"")</f>
        <v/>
      </c>
      <c r="CM128" s="8" t="str">
        <f>IF(_xlfn.XLOOKUP($B128,'ELC TECH'!$H:$H,'ELC TECH'!$E:$E)="Storage",CM$4*$BF128,"")</f>
        <v/>
      </c>
      <c r="CN128" s="8" t="str">
        <f>IF(_xlfn.XLOOKUP($B128,'ELC TECH'!$H:$H,'ELC TECH'!$E:$E)="Storage",CN$4*$BF128,"")</f>
        <v/>
      </c>
      <c r="CO128" s="8" t="str">
        <f>IF(_xlfn.XLOOKUP($B128,'ELC TECH'!$H:$H,'ELC TECH'!$E:$E)="Storage",CO$4*$BF128,"")</f>
        <v/>
      </c>
      <c r="CP128" s="8" t="str">
        <f>IF(_xlfn.XLOOKUP($B128,'ELC TECH'!$H:$H,'ELC TECH'!$E:$E)="Storage",CP$4*$BF128,"")</f>
        <v/>
      </c>
      <c r="CQ128" s="8" t="str">
        <f>IF(_xlfn.XLOOKUP($B128,'ELC TECH'!$H:$H,'ELC TECH'!$E:$E)="Storage",CQ$4*$BF128,"")</f>
        <v/>
      </c>
      <c r="CR128" s="8" t="str">
        <f>IF(_xlfn.XLOOKUP($B128,'ELC TECH'!$H:$H,'ELC TECH'!$E:$E)="Storage",CR$4*$BF128,"")</f>
        <v/>
      </c>
      <c r="CS128" s="8" t="str">
        <f>IF(_xlfn.XLOOKUP($B128,'ELC TECH'!$H:$H,'ELC TECH'!$E:$E)="Storage",CS$4*$BF128,"")</f>
        <v/>
      </c>
      <c r="CT128" s="8" t="str">
        <f>IF(_xlfn.XLOOKUP($B128,'ELC TECH'!$H:$H,'ELC TECH'!$E:$E)="Storage",CT$4*$BF128,"")</f>
        <v/>
      </c>
      <c r="CU128" s="8" t="str">
        <f>IF(_xlfn.XLOOKUP($B128,'ELC TECH'!$H:$H,'ELC TECH'!$E:$E)="Storage",CU$4*$BF128,"")</f>
        <v/>
      </c>
      <c r="CV128" s="8" t="str">
        <f>IF(_xlfn.XLOOKUP($B128,'ELC TECH'!$H:$H,'ELC TECH'!$E:$E)="Storage",CV$4*$BF128,"")</f>
        <v/>
      </c>
      <c r="CW128" s="8" t="str">
        <f>IF(_xlfn.XLOOKUP($B128,'ELC TECH'!$H:$H,'ELC TECH'!$E:$E)="Storage",CW$4*$BF128,"")</f>
        <v/>
      </c>
      <c r="CX128" s="8" t="str">
        <f>IF(_xlfn.XLOOKUP($B128,'ELC TECH'!$H:$H,'ELC TECH'!$E:$E)="Storage",CX$4*$BF128,"")</f>
        <v/>
      </c>
      <c r="CY128" s="8" t="str">
        <f>IF(_xlfn.XLOOKUP($B128,'ELC TECH'!$H:$H,'ELC TECH'!$E:$E)="Storage",CY$4*$BF128,"")</f>
        <v/>
      </c>
      <c r="CZ128" s="8" t="str">
        <f>IF(_xlfn.XLOOKUP($B128,'ELC TECH'!$H:$H,'ELC TECH'!$E:$E)="Storage",CZ$4*$BF128,"")</f>
        <v/>
      </c>
      <c r="DA128" s="8" t="str">
        <f>IF(_xlfn.XLOOKUP($B128,'ELC TECH'!$H:$H,'ELC TECH'!$E:$E)="Storage",DA$4*$BF128,"")</f>
        <v/>
      </c>
      <c r="DB128" s="8" t="str">
        <f>IF(_xlfn.XLOOKUP($B128,'ELC TECH'!$H:$H,'ELC TECH'!$E:$E)="Storage",DB$4*$BF128,"")</f>
        <v/>
      </c>
      <c r="DC128" s="8" t="str">
        <f>IF(_xlfn.XLOOKUP($B128,'ELC TECH'!$H:$H,'ELC TECH'!$E:$E)="Storage",DC$4*$BF128,"")</f>
        <v/>
      </c>
      <c r="DD128" s="8" t="str">
        <f>IF(_xlfn.XLOOKUP($B128,'ELC TECH'!$H:$H,'ELC TECH'!$E:$E)="Storage",DD$4*$BF128,"")</f>
        <v/>
      </c>
      <c r="DE128" s="8" t="str">
        <f>IF(_xlfn.XLOOKUP($B128,'ELC TECH'!$H:$H,'ELC TECH'!$E:$E)="Storage",DE$4*$BF128,"")</f>
        <v/>
      </c>
      <c r="DF128" s="8" t="str">
        <f>IF(_xlfn.XLOOKUP($B128,'ELC TECH'!$H:$H,'ELC TECH'!$E:$E)="Storage",DF$4*$BF128,"")</f>
        <v/>
      </c>
      <c r="DG128" s="8" t="str">
        <f>IF(_xlfn.XLOOKUP($B128,'ELC TECH'!$H:$H,'ELC TECH'!$E:$E)="Storage",DG$4*$BF128,"")</f>
        <v/>
      </c>
      <c r="DH128" s="8" t="str">
        <f>IF(_xlfn.XLOOKUP($B128,'ELC TECH'!$H:$H,'ELC TECH'!$E:$E)="Storage",DH$4*$BF128,"")</f>
        <v/>
      </c>
      <c r="DI128" s="8" t="str">
        <f>IF(_xlfn.XLOOKUP($B128,'ELC TECH'!$H:$H,'ELC TECH'!$E:$E)="Storage",DI$4*$BF128,"")</f>
        <v/>
      </c>
    </row>
    <row r="129" spans="2:113" x14ac:dyDescent="0.25">
      <c r="B129" t="str">
        <f>IF('ELC TECH'!I122=0,"*",'ELC TECH'!H122)</f>
        <v>ELCCOAGRDCONV20</v>
      </c>
      <c r="C129" t="str">
        <f>IF(_xlfn.XLOOKUP(_xlfn.XLOOKUP(B129,'ELC TECH'!$H:$H,'ELC TECH'!$G:$G),List!C:C,List!B:B)="STG",D129,"ELC"&amp;_xlfn.XLOOKUP(_xlfn.XLOOKUP(B129,'ELC TECH'!H:H,'ELC TECH'!G:G),List!C:C,List!B:B))</f>
        <v>ELCCOA</v>
      </c>
      <c r="D129" t="s">
        <v>544</v>
      </c>
      <c r="E129">
        <f>_xlfn.XLOOKUP(B129,'ELC TECH'!H:H,'ELC TECH'!D:D)</f>
        <v>2020</v>
      </c>
      <c r="F129">
        <f>_xlfn.XLOOKUP(B129,'ELC TECH'!H:H,'ELC TECH'!K:K)</f>
        <v>30</v>
      </c>
      <c r="G129">
        <f t="shared" si="7"/>
        <v>31.535999999999998</v>
      </c>
      <c r="H129">
        <f>IF(_xlfn.XLOOKUP(B129,'ELC TECH'!$H:$H,'ELC TECH'!$E:$E)="Storage",0.3,IF(_xlfn.XLOOKUP(B129,'ELC TECH'!$H:$H,'ELC TECH'!$E:$E)="Baseload",0.9,IF(_xlfn.XLOOKUP(B129,'ELC TECH'!$H:$H,'ELC TECH'!$E:$E)="Non Dispatchable",0.05,IF(_xlfn.XLOOKUP(B129,'ELC TECH'!$H:$H,'ELC TECH'!$E:$E)="Dispatchable",0.9,1))))</f>
        <v>0.9</v>
      </c>
      <c r="I129" s="13" t="str">
        <f>IF(_xlfn.XLOOKUP(B129,'ELC TECH'!H:H,'ELC TECH'!J:J)="","",_xlfn.XLOOKUP(B129,'ELC TECH'!H:H,'ELC TECH'!J:J))</f>
        <v/>
      </c>
      <c r="J129" s="12">
        <f>IF(_xlfn.XLOOKUP($B129,'ELC TECH'!$H:$H,'ELC TECH'!$E:$E)="Storage","",IF(_xlfn.XLOOKUP($B129,'ELC TECH'!$H:$H,'ELC TECH'!AK:AK)="",1,_xlfn.XLOOKUP($B129,'ELC TECH'!$H:$H,'ELC TECH'!AK:AK)))</f>
        <v>0.40190125342770883</v>
      </c>
      <c r="K129" s="12">
        <f>IF(_xlfn.XLOOKUP($B129,'ELC TECH'!$H:$H,'ELC TECH'!$E:$E)="Storage","",IF(_xlfn.XLOOKUP($B129,'ELC TECH'!$H:$H,'ELC TECH'!AL:AL)="",1,_xlfn.XLOOKUP($B129,'ELC TECH'!$H:$H,'ELC TECH'!AL:AL)))</f>
        <v>0.40529060952622031</v>
      </c>
      <c r="L129" s="12">
        <f>IF(_xlfn.XLOOKUP($B129,'ELC TECH'!$H:$H,'ELC TECH'!$E:$E)="Storage","",IF(_xlfn.XLOOKUP($B129,'ELC TECH'!$H:$H,'ELC TECH'!AM:AM)="",1,_xlfn.XLOOKUP($B129,'ELC TECH'!$H:$H,'ELC TECH'!AM:AM)))</f>
        <v>0.41110140260256012</v>
      </c>
      <c r="M129" s="12">
        <f>IF(_xlfn.XLOOKUP($B129,'ELC TECH'!$H:$H,'ELC TECH'!$E:$E)="Storage","",IF(_xlfn.XLOOKUP($B129,'ELC TECH'!$H:$H,'ELC TECH'!AN:AN)="",1,_xlfn.XLOOKUP($B129,'ELC TECH'!$H:$H,'ELC TECH'!AN:AN)))</f>
        <v>0.41703026663422721</v>
      </c>
      <c r="N129" s="12">
        <f>IF(_xlfn.XLOOKUP($B129,'ELC TECH'!$H:$H,'ELC TECH'!$E:$E)="Storage","",IF(_xlfn.XLOOKUP($B129,'ELC TECH'!$H:$H,'ELC TECH'!AO:AO)="",1,_xlfn.XLOOKUP($B129,'ELC TECH'!$H:$H,'ELC TECH'!AO:AO)))</f>
        <v>0.41703026663422721</v>
      </c>
      <c r="O129" s="12">
        <f>IF(_xlfn.XLOOKUP($B129,'ELC TECH'!$H:$H,'ELC TECH'!$E:$E)="Storage","",IF(_xlfn.XLOOKUP($B129,'ELC TECH'!$H:$H,'ELC TECH'!AP:AP)="",1,_xlfn.XLOOKUP($B129,'ELC TECH'!$H:$H,'ELC TECH'!AP:AP)))</f>
        <v>0.41703026663422721</v>
      </c>
      <c r="P129" s="12">
        <f>IF(_xlfn.XLOOKUP($B129,'ELC TECH'!$H:$H,'ELC TECH'!$E:$E)="Storage","",IF(_xlfn.XLOOKUP($B129,'ELC TECH'!$H:$H,'ELC TECH'!AQ:AQ)="",1,_xlfn.XLOOKUP($B129,'ELC TECH'!$H:$H,'ELC TECH'!AQ:AQ)))</f>
        <v>0.41703026663422721</v>
      </c>
      <c r="Q129" s="12">
        <f>IF(_xlfn.XLOOKUP($B129,'ELC TECH'!$H:$H,'ELC TECH'!$E:$E)="Storage","",IF(_xlfn.XLOOKUP($B129,'ELC TECH'!$H:$H,'ELC TECH'!AR:AR)="",1,_xlfn.XLOOKUP($B129,'ELC TECH'!$H:$H,'ELC TECH'!AR:AR)))</f>
        <v>0.41703026663422721</v>
      </c>
      <c r="R129" s="12" t="str">
        <f>IF(_xlfn.XLOOKUP($B129,'ELC TECH'!$H:$H,'ELC TECH'!$E:$E)&lt;&gt;"Storage","",IF(_xlfn.XLOOKUP($B129,'ELC TECH'!$H:$H,'ELC TECH'!AK:AK)="",0.8,_xlfn.XLOOKUP($B129,'ELC TECH'!$H:$H,'ELC TECH'!AK:AK)))</f>
        <v/>
      </c>
      <c r="S129" s="12" t="str">
        <f>IF(_xlfn.XLOOKUP($B129,'ELC TECH'!$H:$H,'ELC TECH'!$E:$E)&lt;&gt;"Storage","",IF(_xlfn.XLOOKUP($B129,'ELC TECH'!$H:$H,'ELC TECH'!AL:AL)="",0.8,_xlfn.XLOOKUP($B129,'ELC TECH'!$H:$H,'ELC TECH'!AL:AL)))</f>
        <v/>
      </c>
      <c r="T129" s="12" t="str">
        <f>IF(_xlfn.XLOOKUP($B129,'ELC TECH'!$H:$H,'ELC TECH'!$E:$E)&lt;&gt;"Storage","",IF(_xlfn.XLOOKUP($B129,'ELC TECH'!$H:$H,'ELC TECH'!AM:AM)="",0.8,_xlfn.XLOOKUP($B129,'ELC TECH'!$H:$H,'ELC TECH'!AM:AM)))</f>
        <v/>
      </c>
      <c r="U129" s="12" t="str">
        <f>IF(_xlfn.XLOOKUP($B129,'ELC TECH'!$H:$H,'ELC TECH'!$E:$E)&lt;&gt;"Storage","",IF(_xlfn.XLOOKUP($B129,'ELC TECH'!$H:$H,'ELC TECH'!AN:AN)="",0.8,_xlfn.XLOOKUP($B129,'ELC TECH'!$H:$H,'ELC TECH'!AN:AN)))</f>
        <v/>
      </c>
      <c r="V129" s="12" t="str">
        <f>IF(_xlfn.XLOOKUP($B129,'ELC TECH'!$H:$H,'ELC TECH'!$E:$E)&lt;&gt;"Storage","",IF(_xlfn.XLOOKUP($B129,'ELC TECH'!$H:$H,'ELC TECH'!AO:AO)="",0.8,_xlfn.XLOOKUP($B129,'ELC TECH'!$H:$H,'ELC TECH'!AO:AO)))</f>
        <v/>
      </c>
      <c r="W129" s="12" t="str">
        <f>IF(_xlfn.XLOOKUP($B129,'ELC TECH'!$H:$H,'ELC TECH'!$E:$E)&lt;&gt;"Storage","",IF(_xlfn.XLOOKUP($B129,'ELC TECH'!$H:$H,'ELC TECH'!AP:AP)="",0.8,_xlfn.XLOOKUP($B129,'ELC TECH'!$H:$H,'ELC TECH'!AP:AP)))</f>
        <v/>
      </c>
      <c r="X129" s="12" t="str">
        <f>IF(_xlfn.XLOOKUP($B129,'ELC TECH'!$H:$H,'ELC TECH'!$E:$E)&lt;&gt;"Storage","",IF(_xlfn.XLOOKUP($B129,'ELC TECH'!$H:$H,'ELC TECH'!AQ:AQ)="",0.8,_xlfn.XLOOKUP($B129,'ELC TECH'!$H:$H,'ELC TECH'!AQ:AQ)))</f>
        <v/>
      </c>
      <c r="Y129" s="12" t="str">
        <f>IF(_xlfn.XLOOKUP($B129,'ELC TECH'!$H:$H,'ELC TECH'!$E:$E)&lt;&gt;"Storage","",IF(_xlfn.XLOOKUP($B129,'ELC TECH'!$H:$H,'ELC TECH'!AR:AR)="",0.8,_xlfn.XLOOKUP($B129,'ELC TECH'!$H:$H,'ELC TECH'!AR:AR)))</f>
        <v/>
      </c>
      <c r="Z129" s="15">
        <f>_xlfn.XLOOKUP($B129,'ELC TECH'!$H:$H,'ELC TECH'!M:M)</f>
        <v>3230.2597728266519</v>
      </c>
      <c r="AA129" s="15">
        <f>_xlfn.XLOOKUP($B129,'ELC TECH'!$H:$H,'ELC TECH'!N:N)</f>
        <v>3177.4529917887389</v>
      </c>
      <c r="AB129" s="15">
        <f>_xlfn.XLOOKUP($B129,'ELC TECH'!$H:$H,'ELC TECH'!O:O)</f>
        <v>3089.5924588841181</v>
      </c>
      <c r="AC129" s="15">
        <f>_xlfn.XLOOKUP($B129,'ELC TECH'!$H:$H,'ELC TECH'!P:P)</f>
        <v>3001.6188493605719</v>
      </c>
      <c r="AD129" s="15">
        <f>_xlfn.XLOOKUP($B129,'ELC TECH'!$H:$H,'ELC TECH'!Q:Q)</f>
        <v>2857.6723134692179</v>
      </c>
      <c r="AE129" s="15">
        <f>_xlfn.XLOOKUP($B129,'ELC TECH'!$H:$H,'ELC TECH'!R:R)</f>
        <v>2713.8388541967879</v>
      </c>
      <c r="AF129" s="15">
        <f>_xlfn.XLOOKUP($B129,'ELC TECH'!$H:$H,'ELC TECH'!S:S)</f>
        <v>2569.892318305433</v>
      </c>
      <c r="AG129" s="15">
        <f>_xlfn.XLOOKUP($B129,'ELC TECH'!$H:$H,'ELC TECH'!T:T)</f>
        <v>2569.892318305433</v>
      </c>
      <c r="AH129" s="15">
        <f>_xlfn.XLOOKUP($B129,'ELC TECH'!$H:$H,'ELC TECH'!U:U)</f>
        <v>87.747456285696146</v>
      </c>
      <c r="AI129" s="15">
        <f>_xlfn.XLOOKUP($B129,'ELC TECH'!$H:$H,'ELC TECH'!V:V)</f>
        <v>86.8428433342972</v>
      </c>
      <c r="AJ129" s="15">
        <f>_xlfn.XLOOKUP($B129,'ELC TECH'!$H:$H,'ELC TECH'!W:W)</f>
        <v>84.920540812574487</v>
      </c>
      <c r="AK129" s="15">
        <f>_xlfn.XLOOKUP($B129,'ELC TECH'!$H:$H,'ELC TECH'!X:X)</f>
        <v>82.885161671926895</v>
      </c>
      <c r="AL129" s="15">
        <f>_xlfn.XLOOKUP($B129,'ELC TECH'!$H:$H,'ELC TECH'!Y:Y)</f>
        <v>79.492863104180898</v>
      </c>
      <c r="AM129" s="15">
        <f>_xlfn.XLOOKUP($B129,'ELC TECH'!$H:$H,'ELC TECH'!Z:Z)</f>
        <v>76.213641155359781</v>
      </c>
      <c r="AN129" s="15">
        <f>_xlfn.XLOOKUP($B129,'ELC TECH'!$H:$H,'ELC TECH'!AA:AA)</f>
        <v>72.821342587613799</v>
      </c>
      <c r="AO129" s="15">
        <f>_xlfn.XLOOKUP($B129,'ELC TECH'!$H:$H,'ELC TECH'!AB:AB)</f>
        <v>72.821342587613799</v>
      </c>
      <c r="AP129" s="15">
        <f>_xlfn.XLOOKUP($B129,'ELC TECH'!$H:$H,'ELC TECH'!AC:AC)</f>
        <v>2.6573005447343552</v>
      </c>
      <c r="AQ129" s="15">
        <f>_xlfn.XLOOKUP($B129,'ELC TECH'!$H:$H,'ELC TECH'!AD:AD)</f>
        <v>2.625890372810781</v>
      </c>
      <c r="AR129" s="15">
        <f>_xlfn.XLOOKUP($B129,'ELC TECH'!$H:$H,'ELC TECH'!AE:AE)</f>
        <v>2.5693520633483482</v>
      </c>
      <c r="AS129" s="15">
        <f>_xlfn.XLOOKUP($B129,'ELC TECH'!$H:$H,'ELC TECH'!AF:AF)</f>
        <v>2.5159547710782721</v>
      </c>
      <c r="AT129" s="15">
        <f>_xlfn.XLOOKUP($B129,'ELC TECH'!$H:$H,'ELC TECH'!AG:AG)</f>
        <v>2.471980530385268</v>
      </c>
      <c r="AU129" s="15">
        <f>_xlfn.XLOOKUP($B129,'ELC TECH'!$H:$H,'ELC TECH'!AH:AH)</f>
        <v>2.4311473068846232</v>
      </c>
      <c r="AV129" s="15">
        <f>_xlfn.XLOOKUP($B129,'ELC TECH'!$H:$H,'ELC TECH'!AI:AI)</f>
        <v>2.3871730661916191</v>
      </c>
      <c r="AW129" s="15">
        <f>_xlfn.XLOOKUP($B129,'ELC TECH'!$H:$H,'ELC TECH'!AJ:AJ)</f>
        <v>2.3871730661916191</v>
      </c>
      <c r="AX129" s="12">
        <f>IF(_xlfn.XLOOKUP($B129,'ELC TECH'!$H:$H,'ELC TECH'!$E:$E)="Storage","",_xlfn.XLOOKUP($B129,'ELC TECH'!$H:$H,'ELC TECH'!AS:AS))</f>
        <v>0.9</v>
      </c>
      <c r="AY129" s="12">
        <f>IF(_xlfn.XLOOKUP($B129,'ELC TECH'!$H:$H,'ELC TECH'!$E:$E)="Storage","",_xlfn.XLOOKUP($B129,'ELC TECH'!$H:$H,'ELC TECH'!AT:AT))</f>
        <v>0.9</v>
      </c>
      <c r="AZ129" s="12">
        <f>IF(_xlfn.XLOOKUP($B129,'ELC TECH'!$H:$H,'ELC TECH'!$E:$E)="Storage","",_xlfn.XLOOKUP($B129,'ELC TECH'!$H:$H,'ELC TECH'!AU:AU))</f>
        <v>0.9</v>
      </c>
      <c r="BA129" s="12">
        <f>IF(_xlfn.XLOOKUP($B129,'ELC TECH'!$H:$H,'ELC TECH'!$E:$E)="Storage","",_xlfn.XLOOKUP($B129,'ELC TECH'!$H:$H,'ELC TECH'!AV:AV))</f>
        <v>0.9</v>
      </c>
      <c r="BB129" s="12">
        <f>IF(_xlfn.XLOOKUP($B129,'ELC TECH'!$H:$H,'ELC TECH'!$E:$E)="Storage","",_xlfn.XLOOKUP($B129,'ELC TECH'!$H:$H,'ELC TECH'!AW:AW))</f>
        <v>0.9</v>
      </c>
      <c r="BC129" s="12">
        <f>IF(_xlfn.XLOOKUP($B129,'ELC TECH'!$H:$H,'ELC TECH'!$E:$E)="Storage","",_xlfn.XLOOKUP($B129,'ELC TECH'!$H:$H,'ELC TECH'!AX:AX))</f>
        <v>0.9</v>
      </c>
      <c r="BD129" s="12">
        <f>IF(_xlfn.XLOOKUP($B129,'ELC TECH'!$H:$H,'ELC TECH'!$E:$E)="Storage","",_xlfn.XLOOKUP($B129,'ELC TECH'!$H:$H,'ELC TECH'!AY:AY))</f>
        <v>0.9</v>
      </c>
      <c r="BE129" s="12">
        <f>IF(_xlfn.XLOOKUP($B129,'ELC TECH'!$H:$H,'ELC TECH'!$E:$E)="Storage","",_xlfn.XLOOKUP($B129,'ELC TECH'!$H:$H,'ELC TECH'!AZ:AZ))</f>
        <v>0.9</v>
      </c>
      <c r="BF129" s="12" t="str">
        <f>IF(_xlfn.XLOOKUP($B129,'ELC TECH'!$H:$H,'ELC TECH'!$E:$E)="Storage",_xlfn.XLOOKUP($B129,'ELC TECH'!$H:$H,'ELC TECH'!AS:AS),"")</f>
        <v/>
      </c>
      <c r="BG129" s="12" t="str">
        <f>IF(_xlfn.XLOOKUP($B129,'ELC TECH'!$H:$H,'ELC TECH'!$E:$E)="Storage",_xlfn.XLOOKUP($B129,'ELC TECH'!$H:$H,'ELC TECH'!AT:AT),"")</f>
        <v/>
      </c>
      <c r="BH129" s="12" t="str">
        <f>IF(_xlfn.XLOOKUP($B129,'ELC TECH'!$H:$H,'ELC TECH'!$E:$E)="Storage",_xlfn.XLOOKUP($B129,'ELC TECH'!$H:$H,'ELC TECH'!AU:AU),"")</f>
        <v/>
      </c>
      <c r="BI129" s="12" t="str">
        <f>IF(_xlfn.XLOOKUP($B129,'ELC TECH'!$H:$H,'ELC TECH'!$E:$E)="Storage",_xlfn.XLOOKUP($B129,'ELC TECH'!$H:$H,'ELC TECH'!AV:AV),"")</f>
        <v/>
      </c>
      <c r="BJ129" s="12" t="str">
        <f>IF(_xlfn.XLOOKUP($B129,'ELC TECH'!$H:$H,'ELC TECH'!$E:$E)="Storage",_xlfn.XLOOKUP($B129,'ELC TECH'!$H:$H,'ELC TECH'!AW:AW),"")</f>
        <v/>
      </c>
      <c r="BK129" s="12" t="str">
        <f>IF(_xlfn.XLOOKUP($B129,'ELC TECH'!$H:$H,'ELC TECH'!$E:$E)="Storage",_xlfn.XLOOKUP($B129,'ELC TECH'!$H:$H,'ELC TECH'!AX:AX),"")</f>
        <v/>
      </c>
      <c r="BL129" s="12" t="str">
        <f>IF(_xlfn.XLOOKUP($B129,'ELC TECH'!$H:$H,'ELC TECH'!$E:$E)="Storage",_xlfn.XLOOKUP($B129,'ELC TECH'!$H:$H,'ELC TECH'!AY:AY),"")</f>
        <v/>
      </c>
      <c r="BM129" s="12" t="str">
        <f>IF(_xlfn.XLOOKUP($B129,'ELC TECH'!$H:$H,'ELC TECH'!$E:$E)="Storage",_xlfn.XLOOKUP($B129,'ELC TECH'!$H:$H,'ELC TECH'!AZ:AZ),"")</f>
        <v/>
      </c>
      <c r="BN129" s="8" t="str">
        <f>IF(_xlfn.XLOOKUP($B129,'ELC TECH'!$H:$H,'ELC TECH'!$E:$E)="Non Dispatchable",IFERROR($AX129*_xlfn.XLOOKUP($C129,$BM$1:$BM$3,BN$1:BN$3)/SUMPRODUCT(_xlfn.XLOOKUP($C129,$BM$1:$BM$3,$BN$1:$BY$3),$BN$4:$BY$4),""),
"")</f>
        <v/>
      </c>
      <c r="BO129" s="8" t="str">
        <f>IF(_xlfn.XLOOKUP($B129,'ELC TECH'!$H:$H,'ELC TECH'!$E:$E)="Non Dispatchable",IFERROR($AX129*_xlfn.XLOOKUP($C129,$BM$1:$BM$3,BO$1:BO$3)/SUMPRODUCT(_xlfn.XLOOKUP($C129,$BM$1:$BM$3,$BN$1:$BY$3),$BN$4:$BY$4),""),
"")</f>
        <v/>
      </c>
      <c r="BP129" s="8" t="str">
        <f>IF(_xlfn.XLOOKUP($B129,'ELC TECH'!$H:$H,'ELC TECH'!$E:$E)="Non Dispatchable",IFERROR($AX129*_xlfn.XLOOKUP($C129,$BM$1:$BM$3,BP$1:BP$3)/SUMPRODUCT(_xlfn.XLOOKUP($C129,$BM$1:$BM$3,$BN$1:$BY$3),$BN$4:$BY$4),""),
"")</f>
        <v/>
      </c>
      <c r="BQ129" s="8" t="str">
        <f>IF(_xlfn.XLOOKUP($B129,'ELC TECH'!$H:$H,'ELC TECH'!$E:$E)="Non Dispatchable",IFERROR($AX129*_xlfn.XLOOKUP($C129,$BM$1:$BM$3,BQ$1:BQ$3)/SUMPRODUCT(_xlfn.XLOOKUP($C129,$BM$1:$BM$3,$BN$1:$BY$3),$BN$4:$BY$4),""),
"")</f>
        <v/>
      </c>
      <c r="BR129" s="8" t="str">
        <f>IF(_xlfn.XLOOKUP($B129,'ELC TECH'!$H:$H,'ELC TECH'!$E:$E)="Non Dispatchable",IFERROR($AX129*_xlfn.XLOOKUP($C129,$BM$1:$BM$3,BR$1:BR$3)/SUMPRODUCT(_xlfn.XLOOKUP($C129,$BM$1:$BM$3,$BN$1:$BY$3),$BN$4:$BY$4),""),
"")</f>
        <v/>
      </c>
      <c r="BS129" s="8" t="str">
        <f>IF(_xlfn.XLOOKUP($B129,'ELC TECH'!$H:$H,'ELC TECH'!$E:$E)="Non Dispatchable",IFERROR($AX129*_xlfn.XLOOKUP($C129,$BM$1:$BM$3,BS$1:BS$3)/SUMPRODUCT(_xlfn.XLOOKUP($C129,$BM$1:$BM$3,$BN$1:$BY$3),$BN$4:$BY$4),""),
"")</f>
        <v/>
      </c>
      <c r="BT129" s="8" t="str">
        <f>IF(_xlfn.XLOOKUP($B129,'ELC TECH'!$H:$H,'ELC TECH'!$E:$E)="Non Dispatchable",IFERROR($AX129*_xlfn.XLOOKUP($C129,$BM$1:$BM$3,BT$1:BT$3)/SUMPRODUCT(_xlfn.XLOOKUP($C129,$BM$1:$BM$3,$BN$1:$BY$3),$BN$4:$BY$4),""),
"")</f>
        <v/>
      </c>
      <c r="BU129" s="8" t="str">
        <f>IF(_xlfn.XLOOKUP($B129,'ELC TECH'!$H:$H,'ELC TECH'!$E:$E)="Non Dispatchable",IFERROR($AX129*_xlfn.XLOOKUP($C129,$BM$1:$BM$3,BU$1:BU$3)/SUMPRODUCT(_xlfn.XLOOKUP($C129,$BM$1:$BM$3,$BN$1:$BY$3),$BN$4:$BY$4),""),
"")</f>
        <v/>
      </c>
      <c r="BV129" s="8" t="str">
        <f>IF(_xlfn.XLOOKUP($B129,'ELC TECH'!$H:$H,'ELC TECH'!$E:$E)="Non Dispatchable",IFERROR($AX129*_xlfn.XLOOKUP($C129,$BM$1:$BM$3,BV$1:BV$3)/SUMPRODUCT(_xlfn.XLOOKUP($C129,$BM$1:$BM$3,$BN$1:$BY$3),$BN$4:$BY$4),""),
"")</f>
        <v/>
      </c>
      <c r="BW129" s="8" t="str">
        <f>IF(_xlfn.XLOOKUP($B129,'ELC TECH'!$H:$H,'ELC TECH'!$E:$E)="Non Dispatchable",IFERROR($AX129*_xlfn.XLOOKUP($C129,$BM$1:$BM$3,BW$1:BW$3)/SUMPRODUCT(_xlfn.XLOOKUP($C129,$BM$1:$BM$3,$BN$1:$BY$3),$BN$4:$BY$4),""),
"")</f>
        <v/>
      </c>
      <c r="BX129" s="8" t="str">
        <f>IF(_xlfn.XLOOKUP($B129,'ELC TECH'!$H:$H,'ELC TECH'!$E:$E)="Non Dispatchable",IFERROR($AX129*_xlfn.XLOOKUP($C129,$BM$1:$BM$3,BX$1:BX$3)/SUMPRODUCT(_xlfn.XLOOKUP($C129,$BM$1:$BM$3,$BN$1:$BY$3),$BN$4:$BY$4),""),
"")</f>
        <v/>
      </c>
      <c r="BY129" s="8" t="str">
        <f>IF(_xlfn.XLOOKUP($B129,'ELC TECH'!$H:$H,'ELC TECH'!$E:$E)="Non Dispatchable",IFERROR($AX129*_xlfn.XLOOKUP($C129,$BM$1:$BM$3,BY$1:BY$3)/SUMPRODUCT(_xlfn.XLOOKUP($C129,$BM$1:$BM$3,$BN$1:$BY$3),$BN$4:$BY$4),""),
"")</f>
        <v/>
      </c>
      <c r="BZ129" s="8" t="str">
        <f>IF(_xlfn.XLOOKUP($B129,'ELC TECH'!$H:$H,'ELC TECH'!$E:$E)="Non Dispatchable",IFERROR($AX129*_xlfn.XLOOKUP($C129,$BM$1:$BM$3,BZ$1:BZ$3)/SUMPRODUCT(_xlfn.XLOOKUP($C129,$BM$1:$BM$3,$BN$1:$BY$3),$BN$4:$BY$4),""),
"")</f>
        <v/>
      </c>
      <c r="CA129" s="8" t="str">
        <f>IF(_xlfn.XLOOKUP($B129,'ELC TECH'!$H:$H,'ELC TECH'!$E:$E)="Non Dispatchable",IFERROR($AX129*_xlfn.XLOOKUP($C129,$BM$1:$BM$3,CA$1:CA$3)/SUMPRODUCT(_xlfn.XLOOKUP($C129,$BM$1:$BM$3,$BN$1:$BY$3),$BN$4:$BY$4),""),
"")</f>
        <v/>
      </c>
      <c r="CB129" s="8" t="str">
        <f>IF(_xlfn.XLOOKUP($B129,'ELC TECH'!$H:$H,'ELC TECH'!$E:$E)="Non Dispatchable",IFERROR($AX129*_xlfn.XLOOKUP($C129,$BM$1:$BM$3,CB$1:CB$3)/SUMPRODUCT(_xlfn.XLOOKUP($C129,$BM$1:$BM$3,$BN$1:$BY$3),$BN$4:$BY$4),""),
"")</f>
        <v/>
      </c>
      <c r="CC129" s="8" t="str">
        <f>IF(_xlfn.XLOOKUP($B129,'ELC TECH'!$H:$H,'ELC TECH'!$E:$E)="Non Dispatchable",IFERROR($AX129*_xlfn.XLOOKUP($C129,$BM$1:$BM$3,CC$1:CC$3)/SUMPRODUCT(_xlfn.XLOOKUP($C129,$BM$1:$BM$3,$BN$1:$BY$3),$BN$4:$BY$4),""),
"")</f>
        <v/>
      </c>
      <c r="CD129" s="8" t="str">
        <f>IF(_xlfn.XLOOKUP($B129,'ELC TECH'!$H:$H,'ELC TECH'!$E:$E)="Non Dispatchable",IFERROR($AX129*_xlfn.XLOOKUP($C129,$BM$1:$BM$3,CD$1:CD$3)/SUMPRODUCT(_xlfn.XLOOKUP($C129,$BM$1:$BM$3,$BN$1:$BY$3),$BN$4:$BY$4),""),
"")</f>
        <v/>
      </c>
      <c r="CE129" s="8" t="str">
        <f>IF(_xlfn.XLOOKUP($B129,'ELC TECH'!$H:$H,'ELC TECH'!$E:$E)="Non Dispatchable",IFERROR($AX129*_xlfn.XLOOKUP($C129,$BM$1:$BM$3,CE$1:CE$3)/SUMPRODUCT(_xlfn.XLOOKUP($C129,$BM$1:$BM$3,$BN$1:$BY$3),$BN$4:$BY$4),""),
"")</f>
        <v/>
      </c>
      <c r="CF129" s="8" t="str">
        <f>IF(_xlfn.XLOOKUP($B129,'ELC TECH'!$H:$H,'ELC TECH'!$E:$E)="Non Dispatchable",IFERROR($AX129*_xlfn.XLOOKUP($C129,$BM$1:$BM$3,CF$1:CF$3)/SUMPRODUCT(_xlfn.XLOOKUP($C129,$BM$1:$BM$3,$BN$1:$BY$3),$BN$4:$BY$4),""),
"")</f>
        <v/>
      </c>
      <c r="CG129" s="8" t="str">
        <f>IF(_xlfn.XLOOKUP($B129,'ELC TECH'!$H:$H,'ELC TECH'!$E:$E)="Non Dispatchable",IFERROR($AX129*_xlfn.XLOOKUP($C129,$BM$1:$BM$3,CG$1:CG$3)/SUMPRODUCT(_xlfn.XLOOKUP($C129,$BM$1:$BM$3,$BN$1:$BY$3),$BN$4:$BY$4),""),
"")</f>
        <v/>
      </c>
      <c r="CH129" s="8" t="str">
        <f>IF(_xlfn.XLOOKUP($B129,'ELC TECH'!$H:$H,'ELC TECH'!$E:$E)="Non Dispatchable",IFERROR($AX129*_xlfn.XLOOKUP($C129,$BM$1:$BM$3,CH$1:CH$3)/SUMPRODUCT(_xlfn.XLOOKUP($C129,$BM$1:$BM$3,$BN$1:$BY$3),$BN$4:$BY$4),""),
"")</f>
        <v/>
      </c>
      <c r="CI129" s="8" t="str">
        <f>IF(_xlfn.XLOOKUP($B129,'ELC TECH'!$H:$H,'ELC TECH'!$E:$E)="Non Dispatchable",IFERROR($AX129*_xlfn.XLOOKUP($C129,$BM$1:$BM$3,CI$1:CI$3)/SUMPRODUCT(_xlfn.XLOOKUP($C129,$BM$1:$BM$3,$BN$1:$BY$3),$BN$4:$BY$4),""),
"")</f>
        <v/>
      </c>
      <c r="CJ129" s="8" t="str">
        <f>IF(_xlfn.XLOOKUP($B129,'ELC TECH'!$H:$H,'ELC TECH'!$E:$E)="Non Dispatchable",IFERROR($AX129*_xlfn.XLOOKUP($C129,$BM$1:$BM$3,CJ$1:CJ$3)/SUMPRODUCT(_xlfn.XLOOKUP($C129,$BM$1:$BM$3,$BN$1:$BY$3),$BN$4:$BY$4),""),
"")</f>
        <v/>
      </c>
      <c r="CK129" s="8" t="str">
        <f>IF(_xlfn.XLOOKUP($B129,'ELC TECH'!$H:$H,'ELC TECH'!$E:$E)="Non Dispatchable",IFERROR($AX129*_xlfn.XLOOKUP($C129,$BM$1:$BM$3,CK$1:CK$3)/SUMPRODUCT(_xlfn.XLOOKUP($C129,$BM$1:$BM$3,$BN$1:$BY$3),$BN$4:$BY$4),""),
"")</f>
        <v/>
      </c>
      <c r="CL129" s="8" t="str">
        <f>IF(_xlfn.XLOOKUP($B129,'ELC TECH'!$H:$H,'ELC TECH'!$E:$E)="Storage",CL$4*$BF129,"")</f>
        <v/>
      </c>
      <c r="CM129" s="8" t="str">
        <f>IF(_xlfn.XLOOKUP($B129,'ELC TECH'!$H:$H,'ELC TECH'!$E:$E)="Storage",CM$4*$BF129,"")</f>
        <v/>
      </c>
      <c r="CN129" s="8" t="str">
        <f>IF(_xlfn.XLOOKUP($B129,'ELC TECH'!$H:$H,'ELC TECH'!$E:$E)="Storage",CN$4*$BF129,"")</f>
        <v/>
      </c>
      <c r="CO129" s="8" t="str">
        <f>IF(_xlfn.XLOOKUP($B129,'ELC TECH'!$H:$H,'ELC TECH'!$E:$E)="Storage",CO$4*$BF129,"")</f>
        <v/>
      </c>
      <c r="CP129" s="8" t="str">
        <f>IF(_xlfn.XLOOKUP($B129,'ELC TECH'!$H:$H,'ELC TECH'!$E:$E)="Storage",CP$4*$BF129,"")</f>
        <v/>
      </c>
      <c r="CQ129" s="8" t="str">
        <f>IF(_xlfn.XLOOKUP($B129,'ELC TECH'!$H:$H,'ELC TECH'!$E:$E)="Storage",CQ$4*$BF129,"")</f>
        <v/>
      </c>
      <c r="CR129" s="8" t="str">
        <f>IF(_xlfn.XLOOKUP($B129,'ELC TECH'!$H:$H,'ELC TECH'!$E:$E)="Storage",CR$4*$BF129,"")</f>
        <v/>
      </c>
      <c r="CS129" s="8" t="str">
        <f>IF(_xlfn.XLOOKUP($B129,'ELC TECH'!$H:$H,'ELC TECH'!$E:$E)="Storage",CS$4*$BF129,"")</f>
        <v/>
      </c>
      <c r="CT129" s="8" t="str">
        <f>IF(_xlfn.XLOOKUP($B129,'ELC TECH'!$H:$H,'ELC TECH'!$E:$E)="Storage",CT$4*$BF129,"")</f>
        <v/>
      </c>
      <c r="CU129" s="8" t="str">
        <f>IF(_xlfn.XLOOKUP($B129,'ELC TECH'!$H:$H,'ELC TECH'!$E:$E)="Storage",CU$4*$BF129,"")</f>
        <v/>
      </c>
      <c r="CV129" s="8" t="str">
        <f>IF(_xlfn.XLOOKUP($B129,'ELC TECH'!$H:$H,'ELC TECH'!$E:$E)="Storage",CV$4*$BF129,"")</f>
        <v/>
      </c>
      <c r="CW129" s="8" t="str">
        <f>IF(_xlfn.XLOOKUP($B129,'ELC TECH'!$H:$H,'ELC TECH'!$E:$E)="Storage",CW$4*$BF129,"")</f>
        <v/>
      </c>
      <c r="CX129" s="8" t="str">
        <f>IF(_xlfn.XLOOKUP($B129,'ELC TECH'!$H:$H,'ELC TECH'!$E:$E)="Storage",CX$4*$BF129,"")</f>
        <v/>
      </c>
      <c r="CY129" s="8" t="str">
        <f>IF(_xlfn.XLOOKUP($B129,'ELC TECH'!$H:$H,'ELC TECH'!$E:$E)="Storage",CY$4*$BF129,"")</f>
        <v/>
      </c>
      <c r="CZ129" s="8" t="str">
        <f>IF(_xlfn.XLOOKUP($B129,'ELC TECH'!$H:$H,'ELC TECH'!$E:$E)="Storage",CZ$4*$BF129,"")</f>
        <v/>
      </c>
      <c r="DA129" s="8" t="str">
        <f>IF(_xlfn.XLOOKUP($B129,'ELC TECH'!$H:$H,'ELC TECH'!$E:$E)="Storage",DA$4*$BF129,"")</f>
        <v/>
      </c>
      <c r="DB129" s="8" t="str">
        <f>IF(_xlfn.XLOOKUP($B129,'ELC TECH'!$H:$H,'ELC TECH'!$E:$E)="Storage",DB$4*$BF129,"")</f>
        <v/>
      </c>
      <c r="DC129" s="8" t="str">
        <f>IF(_xlfn.XLOOKUP($B129,'ELC TECH'!$H:$H,'ELC TECH'!$E:$E)="Storage",DC$4*$BF129,"")</f>
        <v/>
      </c>
      <c r="DD129" s="8" t="str">
        <f>IF(_xlfn.XLOOKUP($B129,'ELC TECH'!$H:$H,'ELC TECH'!$E:$E)="Storage",DD$4*$BF129,"")</f>
        <v/>
      </c>
      <c r="DE129" s="8" t="str">
        <f>IF(_xlfn.XLOOKUP($B129,'ELC TECH'!$H:$H,'ELC TECH'!$E:$E)="Storage",DE$4*$BF129,"")</f>
        <v/>
      </c>
      <c r="DF129" s="8" t="str">
        <f>IF(_xlfn.XLOOKUP($B129,'ELC TECH'!$H:$H,'ELC TECH'!$E:$E)="Storage",DF$4*$BF129,"")</f>
        <v/>
      </c>
      <c r="DG129" s="8" t="str">
        <f>IF(_xlfn.XLOOKUP($B129,'ELC TECH'!$H:$H,'ELC TECH'!$E:$E)="Storage",DG$4*$BF129,"")</f>
        <v/>
      </c>
      <c r="DH129" s="8" t="str">
        <f>IF(_xlfn.XLOOKUP($B129,'ELC TECH'!$H:$H,'ELC TECH'!$E:$E)="Storage",DH$4*$BF129,"")</f>
        <v/>
      </c>
      <c r="DI129" s="8" t="str">
        <f>IF(_xlfn.XLOOKUP($B129,'ELC TECH'!$H:$H,'ELC TECH'!$E:$E)="Storage",DI$4*$BF129,"")</f>
        <v/>
      </c>
    </row>
    <row r="130" spans="2:113" x14ac:dyDescent="0.25">
      <c r="B130" t="str">
        <f>IF('ELC TECH'!I123=0,"*",'ELC TECH'!H123)</f>
        <v>ELCCOAGRDIGCC20</v>
      </c>
      <c r="C130" t="str">
        <f>IF(_xlfn.XLOOKUP(_xlfn.XLOOKUP(B130,'ELC TECH'!$H:$H,'ELC TECH'!$G:$G),List!C:C,List!B:B)="STG",D130,"ELC"&amp;_xlfn.XLOOKUP(_xlfn.XLOOKUP(B130,'ELC TECH'!H:H,'ELC TECH'!G:G),List!C:C,List!B:B))</f>
        <v>ELCCOA</v>
      </c>
      <c r="D130" t="s">
        <v>544</v>
      </c>
      <c r="E130">
        <f>_xlfn.XLOOKUP(B130,'ELC TECH'!H:H,'ELC TECH'!D:D)</f>
        <v>2020</v>
      </c>
      <c r="F130">
        <f>_xlfn.XLOOKUP(B130,'ELC TECH'!H:H,'ELC TECH'!K:K)</f>
        <v>30</v>
      </c>
      <c r="G130">
        <f t="shared" si="7"/>
        <v>31.535999999999998</v>
      </c>
      <c r="H130">
        <f>IF(_xlfn.XLOOKUP(B130,'ELC TECH'!$H:$H,'ELC TECH'!$E:$E)="Storage",0.3,IF(_xlfn.XLOOKUP(B130,'ELC TECH'!$H:$H,'ELC TECH'!$E:$E)="Baseload",0.9,IF(_xlfn.XLOOKUP(B130,'ELC TECH'!$H:$H,'ELC TECH'!$E:$E)="Non Dispatchable",0.05,IF(_xlfn.XLOOKUP(B130,'ELC TECH'!$H:$H,'ELC TECH'!$E:$E)="Dispatchable",0.9,1))))</f>
        <v>0.9</v>
      </c>
      <c r="I130" s="13" t="str">
        <f>IF(_xlfn.XLOOKUP(B130,'ELC TECH'!H:H,'ELC TECH'!J:J)="","",_xlfn.XLOOKUP(B130,'ELC TECH'!H:H,'ELC TECH'!J:J))</f>
        <v/>
      </c>
      <c r="J130" s="12">
        <f>IF(_xlfn.XLOOKUP($B130,'ELC TECH'!$H:$H,'ELC TECH'!$E:$E)="Storage","",IF(_xlfn.XLOOKUP($B130,'ELC TECH'!$H:$H,'ELC TECH'!AK:AK)="",1,_xlfn.XLOOKUP($B130,'ELC TECH'!$H:$H,'ELC TECH'!AK:AK)))</f>
        <v>0.41070554183934138</v>
      </c>
      <c r="K130" s="12">
        <f>IF(_xlfn.XLOOKUP($B130,'ELC TECH'!$H:$H,'ELC TECH'!$E:$E)="Storage","",IF(_xlfn.XLOOKUP($B130,'ELC TECH'!$H:$H,'ELC TECH'!AL:AL)="",1,_xlfn.XLOOKUP($B130,'ELC TECH'!$H:$H,'ELC TECH'!AL:AL)))</f>
        <v>0.41070554183934138</v>
      </c>
      <c r="L130" s="12">
        <f>IF(_xlfn.XLOOKUP($B130,'ELC TECH'!$H:$H,'ELC TECH'!$E:$E)="Storage","",IF(_xlfn.XLOOKUP($B130,'ELC TECH'!$H:$H,'ELC TECH'!AM:AM)="",1,_xlfn.XLOOKUP($B130,'ELC TECH'!$H:$H,'ELC TECH'!AM:AM)))</f>
        <v>0.41070554183934138</v>
      </c>
      <c r="M130" s="12">
        <f>IF(_xlfn.XLOOKUP($B130,'ELC TECH'!$H:$H,'ELC TECH'!$E:$E)="Storage","",IF(_xlfn.XLOOKUP($B130,'ELC TECH'!$H:$H,'ELC TECH'!AN:AN)="",1,_xlfn.XLOOKUP($B130,'ELC TECH'!$H:$H,'ELC TECH'!AN:AN)))</f>
        <v>0.41070554183934138</v>
      </c>
      <c r="N130" s="12">
        <f>IF(_xlfn.XLOOKUP($B130,'ELC TECH'!$H:$H,'ELC TECH'!$E:$E)="Storage","",IF(_xlfn.XLOOKUP($B130,'ELC TECH'!$H:$H,'ELC TECH'!AO:AO)="",1,_xlfn.XLOOKUP($B130,'ELC TECH'!$H:$H,'ELC TECH'!AO:AO)))</f>
        <v>0.41070554183934138</v>
      </c>
      <c r="O130" s="12">
        <f>IF(_xlfn.XLOOKUP($B130,'ELC TECH'!$H:$H,'ELC TECH'!$E:$E)="Storage","",IF(_xlfn.XLOOKUP($B130,'ELC TECH'!$H:$H,'ELC TECH'!AP:AP)="",1,_xlfn.XLOOKUP($B130,'ELC TECH'!$H:$H,'ELC TECH'!AP:AP)))</f>
        <v>0.41070554183934138</v>
      </c>
      <c r="P130" s="12">
        <f>IF(_xlfn.XLOOKUP($B130,'ELC TECH'!$H:$H,'ELC TECH'!$E:$E)="Storage","",IF(_xlfn.XLOOKUP($B130,'ELC TECH'!$H:$H,'ELC TECH'!AQ:AQ)="",1,_xlfn.XLOOKUP($B130,'ELC TECH'!$H:$H,'ELC TECH'!AQ:AQ)))</f>
        <v>0.41070554183934138</v>
      </c>
      <c r="Q130" s="12">
        <f>IF(_xlfn.XLOOKUP($B130,'ELC TECH'!$H:$H,'ELC TECH'!$E:$E)="Storage","",IF(_xlfn.XLOOKUP($B130,'ELC TECH'!$H:$H,'ELC TECH'!AR:AR)="",1,_xlfn.XLOOKUP($B130,'ELC TECH'!$H:$H,'ELC TECH'!AR:AR)))</f>
        <v>0.41070554183934138</v>
      </c>
      <c r="R130" s="12" t="str">
        <f>IF(_xlfn.XLOOKUP($B130,'ELC TECH'!$H:$H,'ELC TECH'!$E:$E)&lt;&gt;"Storage","",IF(_xlfn.XLOOKUP($B130,'ELC TECH'!$H:$H,'ELC TECH'!AK:AK)="",0.8,_xlfn.XLOOKUP($B130,'ELC TECH'!$H:$H,'ELC TECH'!AK:AK)))</f>
        <v/>
      </c>
      <c r="S130" s="12" t="str">
        <f>IF(_xlfn.XLOOKUP($B130,'ELC TECH'!$H:$H,'ELC TECH'!$E:$E)&lt;&gt;"Storage","",IF(_xlfn.XLOOKUP($B130,'ELC TECH'!$H:$H,'ELC TECH'!AL:AL)="",0.8,_xlfn.XLOOKUP($B130,'ELC TECH'!$H:$H,'ELC TECH'!AL:AL)))</f>
        <v/>
      </c>
      <c r="T130" s="12" t="str">
        <f>IF(_xlfn.XLOOKUP($B130,'ELC TECH'!$H:$H,'ELC TECH'!$E:$E)&lt;&gt;"Storage","",IF(_xlfn.XLOOKUP($B130,'ELC TECH'!$H:$H,'ELC TECH'!AM:AM)="",0.8,_xlfn.XLOOKUP($B130,'ELC TECH'!$H:$H,'ELC TECH'!AM:AM)))</f>
        <v/>
      </c>
      <c r="U130" s="12" t="str">
        <f>IF(_xlfn.XLOOKUP($B130,'ELC TECH'!$H:$H,'ELC TECH'!$E:$E)&lt;&gt;"Storage","",IF(_xlfn.XLOOKUP($B130,'ELC TECH'!$H:$H,'ELC TECH'!AN:AN)="",0.8,_xlfn.XLOOKUP($B130,'ELC TECH'!$H:$H,'ELC TECH'!AN:AN)))</f>
        <v/>
      </c>
      <c r="V130" s="12" t="str">
        <f>IF(_xlfn.XLOOKUP($B130,'ELC TECH'!$H:$H,'ELC TECH'!$E:$E)&lt;&gt;"Storage","",IF(_xlfn.XLOOKUP($B130,'ELC TECH'!$H:$H,'ELC TECH'!AO:AO)="",0.8,_xlfn.XLOOKUP($B130,'ELC TECH'!$H:$H,'ELC TECH'!AO:AO)))</f>
        <v/>
      </c>
      <c r="W130" s="12" t="str">
        <f>IF(_xlfn.XLOOKUP($B130,'ELC TECH'!$H:$H,'ELC TECH'!$E:$E)&lt;&gt;"Storage","",IF(_xlfn.XLOOKUP($B130,'ELC TECH'!$H:$H,'ELC TECH'!AP:AP)="",0.8,_xlfn.XLOOKUP($B130,'ELC TECH'!$H:$H,'ELC TECH'!AP:AP)))</f>
        <v/>
      </c>
      <c r="X130" s="12" t="str">
        <f>IF(_xlfn.XLOOKUP($B130,'ELC TECH'!$H:$H,'ELC TECH'!$E:$E)&lt;&gt;"Storage","",IF(_xlfn.XLOOKUP($B130,'ELC TECH'!$H:$H,'ELC TECH'!AQ:AQ)="",0.8,_xlfn.XLOOKUP($B130,'ELC TECH'!$H:$H,'ELC TECH'!AQ:AQ)))</f>
        <v/>
      </c>
      <c r="Y130" s="12" t="str">
        <f>IF(_xlfn.XLOOKUP($B130,'ELC TECH'!$H:$H,'ELC TECH'!$E:$E)&lt;&gt;"Storage","",IF(_xlfn.XLOOKUP($B130,'ELC TECH'!$H:$H,'ELC TECH'!AR:AR)="",0.8,_xlfn.XLOOKUP($B130,'ELC TECH'!$H:$H,'ELC TECH'!AR:AR)))</f>
        <v/>
      </c>
      <c r="Z130" s="15">
        <f>_xlfn.XLOOKUP($B130,'ELC TECH'!$H:$H,'ELC TECH'!M:M)</f>
        <v>5656.5447850975052</v>
      </c>
      <c r="AA130" s="15">
        <f>_xlfn.XLOOKUP($B130,'ELC TECH'!$H:$H,'ELC TECH'!N:N)</f>
        <v>5623.0741058957447</v>
      </c>
      <c r="AB130" s="15">
        <f>_xlfn.XLOOKUP($B130,'ELC TECH'!$H:$H,'ELC TECH'!O:O)</f>
        <v>5567.3273327657853</v>
      </c>
      <c r="AC130" s="15">
        <f>_xlfn.XLOOKUP($B130,'ELC TECH'!$H:$H,'ELC TECH'!P:P)</f>
        <v>5511.6936362547513</v>
      </c>
      <c r="AD130" s="15">
        <f>_xlfn.XLOOKUP($B130,'ELC TECH'!$H:$H,'ELC TECH'!Q:Q)</f>
        <v>5455.9468631247919</v>
      </c>
      <c r="AE130" s="15">
        <f>_xlfn.XLOOKUP($B130,'ELC TECH'!$H:$H,'ELC TECH'!R:R)</f>
        <v>5400.3131666137579</v>
      </c>
      <c r="AF130" s="15">
        <f>_xlfn.XLOOKUP($B130,'ELC TECH'!$H:$H,'ELC TECH'!S:S)</f>
        <v>5344.5663934837976</v>
      </c>
      <c r="AG130" s="15">
        <f>_xlfn.XLOOKUP($B130,'ELC TECH'!$H:$H,'ELC TECH'!T:T)</f>
        <v>5344.5663934837976</v>
      </c>
      <c r="AH130" s="15">
        <f>_xlfn.XLOOKUP($B130,'ELC TECH'!$H:$H,'ELC TECH'!U:U)</f>
        <v>169.72800500622409</v>
      </c>
      <c r="AI130" s="15">
        <f>_xlfn.XLOOKUP($B130,'ELC TECH'!$H:$H,'ELC TECH'!V:V)</f>
        <v>169.16262191159981</v>
      </c>
      <c r="AJ130" s="15">
        <f>_xlfn.XLOOKUP($B130,'ELC TECH'!$H:$H,'ELC TECH'!W:W)</f>
        <v>167.6926258655765</v>
      </c>
      <c r="AK130" s="15">
        <f>_xlfn.XLOOKUP($B130,'ELC TECH'!$H:$H,'ELC TECH'!X:X)</f>
        <v>166.1095532006284</v>
      </c>
      <c r="AL130" s="15">
        <f>_xlfn.XLOOKUP($B130,'ELC TECH'!$H:$H,'ELC TECH'!Y:Y)</f>
        <v>164.63955715460509</v>
      </c>
      <c r="AM130" s="15">
        <f>_xlfn.XLOOKUP($B130,'ELC TECH'!$H:$H,'ELC TECH'!Z:Z)</f>
        <v>163.05648448965701</v>
      </c>
      <c r="AN130" s="15">
        <f>_xlfn.XLOOKUP($B130,'ELC TECH'!$H:$H,'ELC TECH'!AA:AA)</f>
        <v>161.58648844363381</v>
      </c>
      <c r="AO130" s="15">
        <f>_xlfn.XLOOKUP($B130,'ELC TECH'!$H:$H,'ELC TECH'!AB:AB)</f>
        <v>161.58648844363381</v>
      </c>
      <c r="AP130" s="15">
        <f>_xlfn.XLOOKUP($B130,'ELC TECH'!$H:$H,'ELC TECH'!AC:AC)</f>
        <v>4.639282393111869</v>
      </c>
      <c r="AQ130" s="15">
        <f>_xlfn.XLOOKUP($B130,'ELC TECH'!$H:$H,'ELC TECH'!AD:AD)</f>
        <v>4.6172952727653689</v>
      </c>
      <c r="AR130" s="15">
        <f>_xlfn.XLOOKUP($B130,'ELC TECH'!$H:$H,'ELC TECH'!AE:AE)</f>
        <v>4.5827440836494384</v>
      </c>
      <c r="AS130" s="15">
        <f>_xlfn.XLOOKUP($B130,'ELC TECH'!$H:$H,'ELC TECH'!AF:AF)</f>
        <v>4.5481928945335062</v>
      </c>
      <c r="AT130" s="15">
        <f>_xlfn.XLOOKUP($B130,'ELC TECH'!$H:$H,'ELC TECH'!AG:AG)</f>
        <v>4.5105006882252159</v>
      </c>
      <c r="AU130" s="15">
        <f>_xlfn.XLOOKUP($B130,'ELC TECH'!$H:$H,'ELC TECH'!AH:AH)</f>
        <v>4.4759494991092863</v>
      </c>
      <c r="AV130" s="15">
        <f>_xlfn.XLOOKUP($B130,'ELC TECH'!$H:$H,'ELC TECH'!AI:AI)</f>
        <v>4.4413983099933541</v>
      </c>
      <c r="AW130" s="15">
        <f>_xlfn.XLOOKUP($B130,'ELC TECH'!$H:$H,'ELC TECH'!AJ:AJ)</f>
        <v>4.4413983099933541</v>
      </c>
      <c r="AX130" s="12">
        <f>IF(_xlfn.XLOOKUP($B130,'ELC TECH'!$H:$H,'ELC TECH'!$E:$E)="Storage","",_xlfn.XLOOKUP($B130,'ELC TECH'!$H:$H,'ELC TECH'!AS:AS))</f>
        <v>0.9</v>
      </c>
      <c r="AY130" s="12">
        <f>IF(_xlfn.XLOOKUP($B130,'ELC TECH'!$H:$H,'ELC TECH'!$E:$E)="Storage","",_xlfn.XLOOKUP($B130,'ELC TECH'!$H:$H,'ELC TECH'!AT:AT))</f>
        <v>0.9</v>
      </c>
      <c r="AZ130" s="12">
        <f>IF(_xlfn.XLOOKUP($B130,'ELC TECH'!$H:$H,'ELC TECH'!$E:$E)="Storage","",_xlfn.XLOOKUP($B130,'ELC TECH'!$H:$H,'ELC TECH'!AU:AU))</f>
        <v>0.9</v>
      </c>
      <c r="BA130" s="12">
        <f>IF(_xlfn.XLOOKUP($B130,'ELC TECH'!$H:$H,'ELC TECH'!$E:$E)="Storage","",_xlfn.XLOOKUP($B130,'ELC TECH'!$H:$H,'ELC TECH'!AV:AV))</f>
        <v>0.9</v>
      </c>
      <c r="BB130" s="12">
        <f>IF(_xlfn.XLOOKUP($B130,'ELC TECH'!$H:$H,'ELC TECH'!$E:$E)="Storage","",_xlfn.XLOOKUP($B130,'ELC TECH'!$H:$H,'ELC TECH'!AW:AW))</f>
        <v>0.9</v>
      </c>
      <c r="BC130" s="12">
        <f>IF(_xlfn.XLOOKUP($B130,'ELC TECH'!$H:$H,'ELC TECH'!$E:$E)="Storage","",_xlfn.XLOOKUP($B130,'ELC TECH'!$H:$H,'ELC TECH'!AX:AX))</f>
        <v>0.9</v>
      </c>
      <c r="BD130" s="12">
        <f>IF(_xlfn.XLOOKUP($B130,'ELC TECH'!$H:$H,'ELC TECH'!$E:$E)="Storage","",_xlfn.XLOOKUP($B130,'ELC TECH'!$H:$H,'ELC TECH'!AY:AY))</f>
        <v>0.9</v>
      </c>
      <c r="BE130" s="12">
        <f>IF(_xlfn.XLOOKUP($B130,'ELC TECH'!$H:$H,'ELC TECH'!$E:$E)="Storage","",_xlfn.XLOOKUP($B130,'ELC TECH'!$H:$H,'ELC TECH'!AZ:AZ))</f>
        <v>0.9</v>
      </c>
      <c r="BF130" s="12" t="str">
        <f>IF(_xlfn.XLOOKUP($B130,'ELC TECH'!$H:$H,'ELC TECH'!$E:$E)="Storage",_xlfn.XLOOKUP($B130,'ELC TECH'!$H:$H,'ELC TECH'!AS:AS),"")</f>
        <v/>
      </c>
      <c r="BG130" s="12" t="str">
        <f>IF(_xlfn.XLOOKUP($B130,'ELC TECH'!$H:$H,'ELC TECH'!$E:$E)="Storage",_xlfn.XLOOKUP($B130,'ELC TECH'!$H:$H,'ELC TECH'!AT:AT),"")</f>
        <v/>
      </c>
      <c r="BH130" s="12" t="str">
        <f>IF(_xlfn.XLOOKUP($B130,'ELC TECH'!$H:$H,'ELC TECH'!$E:$E)="Storage",_xlfn.XLOOKUP($B130,'ELC TECH'!$H:$H,'ELC TECH'!AU:AU),"")</f>
        <v/>
      </c>
      <c r="BI130" s="12" t="str">
        <f>IF(_xlfn.XLOOKUP($B130,'ELC TECH'!$H:$H,'ELC TECH'!$E:$E)="Storage",_xlfn.XLOOKUP($B130,'ELC TECH'!$H:$H,'ELC TECH'!AV:AV),"")</f>
        <v/>
      </c>
      <c r="BJ130" s="12" t="str">
        <f>IF(_xlfn.XLOOKUP($B130,'ELC TECH'!$H:$H,'ELC TECH'!$E:$E)="Storage",_xlfn.XLOOKUP($B130,'ELC TECH'!$H:$H,'ELC TECH'!AW:AW),"")</f>
        <v/>
      </c>
      <c r="BK130" s="12" t="str">
        <f>IF(_xlfn.XLOOKUP($B130,'ELC TECH'!$H:$H,'ELC TECH'!$E:$E)="Storage",_xlfn.XLOOKUP($B130,'ELC TECH'!$H:$H,'ELC TECH'!AX:AX),"")</f>
        <v/>
      </c>
      <c r="BL130" s="12" t="str">
        <f>IF(_xlfn.XLOOKUP($B130,'ELC TECH'!$H:$H,'ELC TECH'!$E:$E)="Storage",_xlfn.XLOOKUP($B130,'ELC TECH'!$H:$H,'ELC TECH'!AY:AY),"")</f>
        <v/>
      </c>
      <c r="BM130" s="12" t="str">
        <f>IF(_xlfn.XLOOKUP($B130,'ELC TECH'!$H:$H,'ELC TECH'!$E:$E)="Storage",_xlfn.XLOOKUP($B130,'ELC TECH'!$H:$H,'ELC TECH'!AZ:AZ),"")</f>
        <v/>
      </c>
      <c r="BN130" s="8" t="str">
        <f>IF(_xlfn.XLOOKUP($B130,'ELC TECH'!$H:$H,'ELC TECH'!$E:$E)="Non Dispatchable",IFERROR($AX130*_xlfn.XLOOKUP($C130,$BM$1:$BM$3,BN$1:BN$3)/SUMPRODUCT(_xlfn.XLOOKUP($C130,$BM$1:$BM$3,$BN$1:$BY$3),$BN$4:$BY$4),""),
"")</f>
        <v/>
      </c>
      <c r="BO130" s="8" t="str">
        <f>IF(_xlfn.XLOOKUP($B130,'ELC TECH'!$H:$H,'ELC TECH'!$E:$E)="Non Dispatchable",IFERROR($AX130*_xlfn.XLOOKUP($C130,$BM$1:$BM$3,BO$1:BO$3)/SUMPRODUCT(_xlfn.XLOOKUP($C130,$BM$1:$BM$3,$BN$1:$BY$3),$BN$4:$BY$4),""),
"")</f>
        <v/>
      </c>
      <c r="BP130" s="8" t="str">
        <f>IF(_xlfn.XLOOKUP($B130,'ELC TECH'!$H:$H,'ELC TECH'!$E:$E)="Non Dispatchable",IFERROR($AX130*_xlfn.XLOOKUP($C130,$BM$1:$BM$3,BP$1:BP$3)/SUMPRODUCT(_xlfn.XLOOKUP($C130,$BM$1:$BM$3,$BN$1:$BY$3),$BN$4:$BY$4),""),
"")</f>
        <v/>
      </c>
      <c r="BQ130" s="8" t="str">
        <f>IF(_xlfn.XLOOKUP($B130,'ELC TECH'!$H:$H,'ELC TECH'!$E:$E)="Non Dispatchable",IFERROR($AX130*_xlfn.XLOOKUP($C130,$BM$1:$BM$3,BQ$1:BQ$3)/SUMPRODUCT(_xlfn.XLOOKUP($C130,$BM$1:$BM$3,$BN$1:$BY$3),$BN$4:$BY$4),""),
"")</f>
        <v/>
      </c>
      <c r="BR130" s="8" t="str">
        <f>IF(_xlfn.XLOOKUP($B130,'ELC TECH'!$H:$H,'ELC TECH'!$E:$E)="Non Dispatchable",IFERROR($AX130*_xlfn.XLOOKUP($C130,$BM$1:$BM$3,BR$1:BR$3)/SUMPRODUCT(_xlfn.XLOOKUP($C130,$BM$1:$BM$3,$BN$1:$BY$3),$BN$4:$BY$4),""),
"")</f>
        <v/>
      </c>
      <c r="BS130" s="8" t="str">
        <f>IF(_xlfn.XLOOKUP($B130,'ELC TECH'!$H:$H,'ELC TECH'!$E:$E)="Non Dispatchable",IFERROR($AX130*_xlfn.XLOOKUP($C130,$BM$1:$BM$3,BS$1:BS$3)/SUMPRODUCT(_xlfn.XLOOKUP($C130,$BM$1:$BM$3,$BN$1:$BY$3),$BN$4:$BY$4),""),
"")</f>
        <v/>
      </c>
      <c r="BT130" s="8" t="str">
        <f>IF(_xlfn.XLOOKUP($B130,'ELC TECH'!$H:$H,'ELC TECH'!$E:$E)="Non Dispatchable",IFERROR($AX130*_xlfn.XLOOKUP($C130,$BM$1:$BM$3,BT$1:BT$3)/SUMPRODUCT(_xlfn.XLOOKUP($C130,$BM$1:$BM$3,$BN$1:$BY$3),$BN$4:$BY$4),""),
"")</f>
        <v/>
      </c>
      <c r="BU130" s="8" t="str">
        <f>IF(_xlfn.XLOOKUP($B130,'ELC TECH'!$H:$H,'ELC TECH'!$E:$E)="Non Dispatchable",IFERROR($AX130*_xlfn.XLOOKUP($C130,$BM$1:$BM$3,BU$1:BU$3)/SUMPRODUCT(_xlfn.XLOOKUP($C130,$BM$1:$BM$3,$BN$1:$BY$3),$BN$4:$BY$4),""),
"")</f>
        <v/>
      </c>
      <c r="BV130" s="8" t="str">
        <f>IF(_xlfn.XLOOKUP($B130,'ELC TECH'!$H:$H,'ELC TECH'!$E:$E)="Non Dispatchable",IFERROR($AX130*_xlfn.XLOOKUP($C130,$BM$1:$BM$3,BV$1:BV$3)/SUMPRODUCT(_xlfn.XLOOKUP($C130,$BM$1:$BM$3,$BN$1:$BY$3),$BN$4:$BY$4),""),
"")</f>
        <v/>
      </c>
      <c r="BW130" s="8" t="str">
        <f>IF(_xlfn.XLOOKUP($B130,'ELC TECH'!$H:$H,'ELC TECH'!$E:$E)="Non Dispatchable",IFERROR($AX130*_xlfn.XLOOKUP($C130,$BM$1:$BM$3,BW$1:BW$3)/SUMPRODUCT(_xlfn.XLOOKUP($C130,$BM$1:$BM$3,$BN$1:$BY$3),$BN$4:$BY$4),""),
"")</f>
        <v/>
      </c>
      <c r="BX130" s="8" t="str">
        <f>IF(_xlfn.XLOOKUP($B130,'ELC TECH'!$H:$H,'ELC TECH'!$E:$E)="Non Dispatchable",IFERROR($AX130*_xlfn.XLOOKUP($C130,$BM$1:$BM$3,BX$1:BX$3)/SUMPRODUCT(_xlfn.XLOOKUP($C130,$BM$1:$BM$3,$BN$1:$BY$3),$BN$4:$BY$4),""),
"")</f>
        <v/>
      </c>
      <c r="BY130" s="8" t="str">
        <f>IF(_xlfn.XLOOKUP($B130,'ELC TECH'!$H:$H,'ELC TECH'!$E:$E)="Non Dispatchable",IFERROR($AX130*_xlfn.XLOOKUP($C130,$BM$1:$BM$3,BY$1:BY$3)/SUMPRODUCT(_xlfn.XLOOKUP($C130,$BM$1:$BM$3,$BN$1:$BY$3),$BN$4:$BY$4),""),
"")</f>
        <v/>
      </c>
      <c r="BZ130" s="8" t="str">
        <f>IF(_xlfn.XLOOKUP($B130,'ELC TECH'!$H:$H,'ELC TECH'!$E:$E)="Non Dispatchable",IFERROR($AX130*_xlfn.XLOOKUP($C130,$BM$1:$BM$3,BZ$1:BZ$3)/SUMPRODUCT(_xlfn.XLOOKUP($C130,$BM$1:$BM$3,$BN$1:$BY$3),$BN$4:$BY$4),""),
"")</f>
        <v/>
      </c>
      <c r="CA130" s="8" t="str">
        <f>IF(_xlfn.XLOOKUP($B130,'ELC TECH'!$H:$H,'ELC TECH'!$E:$E)="Non Dispatchable",IFERROR($AX130*_xlfn.XLOOKUP($C130,$BM$1:$BM$3,CA$1:CA$3)/SUMPRODUCT(_xlfn.XLOOKUP($C130,$BM$1:$BM$3,$BN$1:$BY$3),$BN$4:$BY$4),""),
"")</f>
        <v/>
      </c>
      <c r="CB130" s="8" t="str">
        <f>IF(_xlfn.XLOOKUP($B130,'ELC TECH'!$H:$H,'ELC TECH'!$E:$E)="Non Dispatchable",IFERROR($AX130*_xlfn.XLOOKUP($C130,$BM$1:$BM$3,CB$1:CB$3)/SUMPRODUCT(_xlfn.XLOOKUP($C130,$BM$1:$BM$3,$BN$1:$BY$3),$BN$4:$BY$4),""),
"")</f>
        <v/>
      </c>
      <c r="CC130" s="8" t="str">
        <f>IF(_xlfn.XLOOKUP($B130,'ELC TECH'!$H:$H,'ELC TECH'!$E:$E)="Non Dispatchable",IFERROR($AX130*_xlfn.XLOOKUP($C130,$BM$1:$BM$3,CC$1:CC$3)/SUMPRODUCT(_xlfn.XLOOKUP($C130,$BM$1:$BM$3,$BN$1:$BY$3),$BN$4:$BY$4),""),
"")</f>
        <v/>
      </c>
      <c r="CD130" s="8" t="str">
        <f>IF(_xlfn.XLOOKUP($B130,'ELC TECH'!$H:$H,'ELC TECH'!$E:$E)="Non Dispatchable",IFERROR($AX130*_xlfn.XLOOKUP($C130,$BM$1:$BM$3,CD$1:CD$3)/SUMPRODUCT(_xlfn.XLOOKUP($C130,$BM$1:$BM$3,$BN$1:$BY$3),$BN$4:$BY$4),""),
"")</f>
        <v/>
      </c>
      <c r="CE130" s="8" t="str">
        <f>IF(_xlfn.XLOOKUP($B130,'ELC TECH'!$H:$H,'ELC TECH'!$E:$E)="Non Dispatchable",IFERROR($AX130*_xlfn.XLOOKUP($C130,$BM$1:$BM$3,CE$1:CE$3)/SUMPRODUCT(_xlfn.XLOOKUP($C130,$BM$1:$BM$3,$BN$1:$BY$3),$BN$4:$BY$4),""),
"")</f>
        <v/>
      </c>
      <c r="CF130" s="8" t="str">
        <f>IF(_xlfn.XLOOKUP($B130,'ELC TECH'!$H:$H,'ELC TECH'!$E:$E)="Non Dispatchable",IFERROR($AX130*_xlfn.XLOOKUP($C130,$BM$1:$BM$3,CF$1:CF$3)/SUMPRODUCT(_xlfn.XLOOKUP($C130,$BM$1:$BM$3,$BN$1:$BY$3),$BN$4:$BY$4),""),
"")</f>
        <v/>
      </c>
      <c r="CG130" s="8" t="str">
        <f>IF(_xlfn.XLOOKUP($B130,'ELC TECH'!$H:$H,'ELC TECH'!$E:$E)="Non Dispatchable",IFERROR($AX130*_xlfn.XLOOKUP($C130,$BM$1:$BM$3,CG$1:CG$3)/SUMPRODUCT(_xlfn.XLOOKUP($C130,$BM$1:$BM$3,$BN$1:$BY$3),$BN$4:$BY$4),""),
"")</f>
        <v/>
      </c>
      <c r="CH130" s="8" t="str">
        <f>IF(_xlfn.XLOOKUP($B130,'ELC TECH'!$H:$H,'ELC TECH'!$E:$E)="Non Dispatchable",IFERROR($AX130*_xlfn.XLOOKUP($C130,$BM$1:$BM$3,CH$1:CH$3)/SUMPRODUCT(_xlfn.XLOOKUP($C130,$BM$1:$BM$3,$BN$1:$BY$3),$BN$4:$BY$4),""),
"")</f>
        <v/>
      </c>
      <c r="CI130" s="8" t="str">
        <f>IF(_xlfn.XLOOKUP($B130,'ELC TECH'!$H:$H,'ELC TECH'!$E:$E)="Non Dispatchable",IFERROR($AX130*_xlfn.XLOOKUP($C130,$BM$1:$BM$3,CI$1:CI$3)/SUMPRODUCT(_xlfn.XLOOKUP($C130,$BM$1:$BM$3,$BN$1:$BY$3),$BN$4:$BY$4),""),
"")</f>
        <v/>
      </c>
      <c r="CJ130" s="8" t="str">
        <f>IF(_xlfn.XLOOKUP($B130,'ELC TECH'!$H:$H,'ELC TECH'!$E:$E)="Non Dispatchable",IFERROR($AX130*_xlfn.XLOOKUP($C130,$BM$1:$BM$3,CJ$1:CJ$3)/SUMPRODUCT(_xlfn.XLOOKUP($C130,$BM$1:$BM$3,$BN$1:$BY$3),$BN$4:$BY$4),""),
"")</f>
        <v/>
      </c>
      <c r="CK130" s="8" t="str">
        <f>IF(_xlfn.XLOOKUP($B130,'ELC TECH'!$H:$H,'ELC TECH'!$E:$E)="Non Dispatchable",IFERROR($AX130*_xlfn.XLOOKUP($C130,$BM$1:$BM$3,CK$1:CK$3)/SUMPRODUCT(_xlfn.XLOOKUP($C130,$BM$1:$BM$3,$BN$1:$BY$3),$BN$4:$BY$4),""),
"")</f>
        <v/>
      </c>
      <c r="CL130" s="8" t="str">
        <f>IF(_xlfn.XLOOKUP($B130,'ELC TECH'!$H:$H,'ELC TECH'!$E:$E)="Storage",CL$4*$BF130,"")</f>
        <v/>
      </c>
      <c r="CM130" s="8" t="str">
        <f>IF(_xlfn.XLOOKUP($B130,'ELC TECH'!$H:$H,'ELC TECH'!$E:$E)="Storage",CM$4*$BF130,"")</f>
        <v/>
      </c>
      <c r="CN130" s="8" t="str">
        <f>IF(_xlfn.XLOOKUP($B130,'ELC TECH'!$H:$H,'ELC TECH'!$E:$E)="Storage",CN$4*$BF130,"")</f>
        <v/>
      </c>
      <c r="CO130" s="8" t="str">
        <f>IF(_xlfn.XLOOKUP($B130,'ELC TECH'!$H:$H,'ELC TECH'!$E:$E)="Storage",CO$4*$BF130,"")</f>
        <v/>
      </c>
      <c r="CP130" s="8" t="str">
        <f>IF(_xlfn.XLOOKUP($B130,'ELC TECH'!$H:$H,'ELC TECH'!$E:$E)="Storage",CP$4*$BF130,"")</f>
        <v/>
      </c>
      <c r="CQ130" s="8" t="str">
        <f>IF(_xlfn.XLOOKUP($B130,'ELC TECH'!$H:$H,'ELC TECH'!$E:$E)="Storage",CQ$4*$BF130,"")</f>
        <v/>
      </c>
      <c r="CR130" s="8" t="str">
        <f>IF(_xlfn.XLOOKUP($B130,'ELC TECH'!$H:$H,'ELC TECH'!$E:$E)="Storage",CR$4*$BF130,"")</f>
        <v/>
      </c>
      <c r="CS130" s="8" t="str">
        <f>IF(_xlfn.XLOOKUP($B130,'ELC TECH'!$H:$H,'ELC TECH'!$E:$E)="Storage",CS$4*$BF130,"")</f>
        <v/>
      </c>
      <c r="CT130" s="8" t="str">
        <f>IF(_xlfn.XLOOKUP($B130,'ELC TECH'!$H:$H,'ELC TECH'!$E:$E)="Storage",CT$4*$BF130,"")</f>
        <v/>
      </c>
      <c r="CU130" s="8" t="str">
        <f>IF(_xlfn.XLOOKUP($B130,'ELC TECH'!$H:$H,'ELC TECH'!$E:$E)="Storage",CU$4*$BF130,"")</f>
        <v/>
      </c>
      <c r="CV130" s="8" t="str">
        <f>IF(_xlfn.XLOOKUP($B130,'ELC TECH'!$H:$H,'ELC TECH'!$E:$E)="Storage",CV$4*$BF130,"")</f>
        <v/>
      </c>
      <c r="CW130" s="8" t="str">
        <f>IF(_xlfn.XLOOKUP($B130,'ELC TECH'!$H:$H,'ELC TECH'!$E:$E)="Storage",CW$4*$BF130,"")</f>
        <v/>
      </c>
      <c r="CX130" s="8" t="str">
        <f>IF(_xlfn.XLOOKUP($B130,'ELC TECH'!$H:$H,'ELC TECH'!$E:$E)="Storage",CX$4*$BF130,"")</f>
        <v/>
      </c>
      <c r="CY130" s="8" t="str">
        <f>IF(_xlfn.XLOOKUP($B130,'ELC TECH'!$H:$H,'ELC TECH'!$E:$E)="Storage",CY$4*$BF130,"")</f>
        <v/>
      </c>
      <c r="CZ130" s="8" t="str">
        <f>IF(_xlfn.XLOOKUP($B130,'ELC TECH'!$H:$H,'ELC TECH'!$E:$E)="Storage",CZ$4*$BF130,"")</f>
        <v/>
      </c>
      <c r="DA130" s="8" t="str">
        <f>IF(_xlfn.XLOOKUP($B130,'ELC TECH'!$H:$H,'ELC TECH'!$E:$E)="Storage",DA$4*$BF130,"")</f>
        <v/>
      </c>
      <c r="DB130" s="8" t="str">
        <f>IF(_xlfn.XLOOKUP($B130,'ELC TECH'!$H:$H,'ELC TECH'!$E:$E)="Storage",DB$4*$BF130,"")</f>
        <v/>
      </c>
      <c r="DC130" s="8" t="str">
        <f>IF(_xlfn.XLOOKUP($B130,'ELC TECH'!$H:$H,'ELC TECH'!$E:$E)="Storage",DC$4*$BF130,"")</f>
        <v/>
      </c>
      <c r="DD130" s="8" t="str">
        <f>IF(_xlfn.XLOOKUP($B130,'ELC TECH'!$H:$H,'ELC TECH'!$E:$E)="Storage",DD$4*$BF130,"")</f>
        <v/>
      </c>
      <c r="DE130" s="8" t="str">
        <f>IF(_xlfn.XLOOKUP($B130,'ELC TECH'!$H:$H,'ELC TECH'!$E:$E)="Storage",DE$4*$BF130,"")</f>
        <v/>
      </c>
      <c r="DF130" s="8" t="str">
        <f>IF(_xlfn.XLOOKUP($B130,'ELC TECH'!$H:$H,'ELC TECH'!$E:$E)="Storage",DF$4*$BF130,"")</f>
        <v/>
      </c>
      <c r="DG130" s="8" t="str">
        <f>IF(_xlfn.XLOOKUP($B130,'ELC TECH'!$H:$H,'ELC TECH'!$E:$E)="Storage",DG$4*$BF130,"")</f>
        <v/>
      </c>
      <c r="DH130" s="8" t="str">
        <f>IF(_xlfn.XLOOKUP($B130,'ELC TECH'!$H:$H,'ELC TECH'!$E:$E)="Storage",DH$4*$BF130,"")</f>
        <v/>
      </c>
      <c r="DI130" s="8" t="str">
        <f>IF(_xlfn.XLOOKUP($B130,'ELC TECH'!$H:$H,'ELC TECH'!$E:$E)="Storage",DI$4*$BF130,"")</f>
        <v/>
      </c>
    </row>
    <row r="131" spans="2:113" x14ac:dyDescent="0.25">
      <c r="B131" t="str">
        <f>IF('ELC TECH'!I124=0,"*",'ELC TECH'!H124)</f>
        <v>ELCCOAGRD90RCCS20</v>
      </c>
      <c r="C131" t="str">
        <f>IF(_xlfn.XLOOKUP(_xlfn.XLOOKUP(B131,'ELC TECH'!$H:$H,'ELC TECH'!$G:$G),List!C:C,List!B:B)="STG",D131,"ELC"&amp;_xlfn.XLOOKUP(_xlfn.XLOOKUP(B131,'ELC TECH'!H:H,'ELC TECH'!G:G),List!C:C,List!B:B))</f>
        <v>ELCCOA</v>
      </c>
      <c r="D131" t="s">
        <v>544</v>
      </c>
      <c r="E131">
        <f>_xlfn.XLOOKUP(B131,'ELC TECH'!H:H,'ELC TECH'!D:D)</f>
        <v>2020</v>
      </c>
      <c r="F131">
        <f>_xlfn.XLOOKUP(B131,'ELC TECH'!H:H,'ELC TECH'!K:K)</f>
        <v>30</v>
      </c>
      <c r="G131">
        <f t="shared" si="7"/>
        <v>31.535999999999998</v>
      </c>
      <c r="H131">
        <f>IF(_xlfn.XLOOKUP(B131,'ELC TECH'!$H:$H,'ELC TECH'!$E:$E)="Storage",0.3,IF(_xlfn.XLOOKUP(B131,'ELC TECH'!$H:$H,'ELC TECH'!$E:$E)="Baseload",0.9,IF(_xlfn.XLOOKUP(B131,'ELC TECH'!$H:$H,'ELC TECH'!$E:$E)="Non Dispatchable",0.05,IF(_xlfn.XLOOKUP(B131,'ELC TECH'!$H:$H,'ELC TECH'!$E:$E)="Dispatchable",0.9,1))))</f>
        <v>0.9</v>
      </c>
      <c r="I131" s="13" t="str">
        <f>IF(_xlfn.XLOOKUP(B131,'ELC TECH'!H:H,'ELC TECH'!J:J)="","",_xlfn.XLOOKUP(B131,'ELC TECH'!H:H,'ELC TECH'!J:J))</f>
        <v/>
      </c>
      <c r="J131" s="12">
        <f>IF(_xlfn.XLOOKUP($B131,'ELC TECH'!$H:$H,'ELC TECH'!$E:$E)="Storage","",IF(_xlfn.XLOOKUP($B131,'ELC TECH'!$H:$H,'ELC TECH'!AK:AK)="",1,_xlfn.XLOOKUP($B131,'ELC TECH'!$H:$H,'ELC TECH'!AK:AK)))</f>
        <v>0.29384616272831959</v>
      </c>
      <c r="K131" s="12">
        <f>IF(_xlfn.XLOOKUP($B131,'ELC TECH'!$H:$H,'ELC TECH'!$E:$E)="Storage","",IF(_xlfn.XLOOKUP($B131,'ELC TECH'!$H:$H,'ELC TECH'!AL:AL)="",1,_xlfn.XLOOKUP($B131,'ELC TECH'!$H:$H,'ELC TECH'!AL:AL)))</f>
        <v>0.29603866402925982</v>
      </c>
      <c r="L131" s="12">
        <f>IF(_xlfn.XLOOKUP($B131,'ELC TECH'!$H:$H,'ELC TECH'!$E:$E)="Storage","",IF(_xlfn.XLOOKUP($B131,'ELC TECH'!$H:$H,'ELC TECH'!AM:AM)="",1,_xlfn.XLOOKUP($B131,'ELC TECH'!$H:$H,'ELC TECH'!AM:AM)))</f>
        <v>0.29973134588907657</v>
      </c>
      <c r="M131" s="12">
        <f>IF(_xlfn.XLOOKUP($B131,'ELC TECH'!$H:$H,'ELC TECH'!$E:$E)="Storage","",IF(_xlfn.XLOOKUP($B131,'ELC TECH'!$H:$H,'ELC TECH'!AN:AN)="",1,_xlfn.XLOOKUP($B131,'ELC TECH'!$H:$H,'ELC TECH'!AN:AN)))</f>
        <v>0.30354431470520837</v>
      </c>
      <c r="N131" s="12">
        <f>IF(_xlfn.XLOOKUP($B131,'ELC TECH'!$H:$H,'ELC TECH'!$E:$E)="Storage","",IF(_xlfn.XLOOKUP($B131,'ELC TECH'!$H:$H,'ELC TECH'!AO:AO)="",1,_xlfn.XLOOKUP($B131,'ELC TECH'!$H:$H,'ELC TECH'!AO:AO)))</f>
        <v>0.30354431470520837</v>
      </c>
      <c r="O131" s="12">
        <f>IF(_xlfn.XLOOKUP($B131,'ELC TECH'!$H:$H,'ELC TECH'!$E:$E)="Storage","",IF(_xlfn.XLOOKUP($B131,'ELC TECH'!$H:$H,'ELC TECH'!AP:AP)="",1,_xlfn.XLOOKUP($B131,'ELC TECH'!$H:$H,'ELC TECH'!AP:AP)))</f>
        <v>0.30354431470520837</v>
      </c>
      <c r="P131" s="12">
        <f>IF(_xlfn.XLOOKUP($B131,'ELC TECH'!$H:$H,'ELC TECH'!$E:$E)="Storage","",IF(_xlfn.XLOOKUP($B131,'ELC TECH'!$H:$H,'ELC TECH'!AQ:AQ)="",1,_xlfn.XLOOKUP($B131,'ELC TECH'!$H:$H,'ELC TECH'!AQ:AQ)))</f>
        <v>0.30354431470520837</v>
      </c>
      <c r="Q131" s="12">
        <f>IF(_xlfn.XLOOKUP($B131,'ELC TECH'!$H:$H,'ELC TECH'!$E:$E)="Storage","",IF(_xlfn.XLOOKUP($B131,'ELC TECH'!$H:$H,'ELC TECH'!AR:AR)="",1,_xlfn.XLOOKUP($B131,'ELC TECH'!$H:$H,'ELC TECH'!AR:AR)))</f>
        <v>0.30354431470520837</v>
      </c>
      <c r="R131" s="12" t="str">
        <f>IF(_xlfn.XLOOKUP($B131,'ELC TECH'!$H:$H,'ELC TECH'!$E:$E)&lt;&gt;"Storage","",IF(_xlfn.XLOOKUP($B131,'ELC TECH'!$H:$H,'ELC TECH'!AK:AK)="",0.8,_xlfn.XLOOKUP($B131,'ELC TECH'!$H:$H,'ELC TECH'!AK:AK)))</f>
        <v/>
      </c>
      <c r="S131" s="12" t="str">
        <f>IF(_xlfn.XLOOKUP($B131,'ELC TECH'!$H:$H,'ELC TECH'!$E:$E)&lt;&gt;"Storage","",IF(_xlfn.XLOOKUP($B131,'ELC TECH'!$H:$H,'ELC TECH'!AL:AL)="",0.8,_xlfn.XLOOKUP($B131,'ELC TECH'!$H:$H,'ELC TECH'!AL:AL)))</f>
        <v/>
      </c>
      <c r="T131" s="12" t="str">
        <f>IF(_xlfn.XLOOKUP($B131,'ELC TECH'!$H:$H,'ELC TECH'!$E:$E)&lt;&gt;"Storage","",IF(_xlfn.XLOOKUP($B131,'ELC TECH'!$H:$H,'ELC TECH'!AM:AM)="",0.8,_xlfn.XLOOKUP($B131,'ELC TECH'!$H:$H,'ELC TECH'!AM:AM)))</f>
        <v/>
      </c>
      <c r="U131" s="12" t="str">
        <f>IF(_xlfn.XLOOKUP($B131,'ELC TECH'!$H:$H,'ELC TECH'!$E:$E)&lt;&gt;"Storage","",IF(_xlfn.XLOOKUP($B131,'ELC TECH'!$H:$H,'ELC TECH'!AN:AN)="",0.8,_xlfn.XLOOKUP($B131,'ELC TECH'!$H:$H,'ELC TECH'!AN:AN)))</f>
        <v/>
      </c>
      <c r="V131" s="12" t="str">
        <f>IF(_xlfn.XLOOKUP($B131,'ELC TECH'!$H:$H,'ELC TECH'!$E:$E)&lt;&gt;"Storage","",IF(_xlfn.XLOOKUP($B131,'ELC TECH'!$H:$H,'ELC TECH'!AO:AO)="",0.8,_xlfn.XLOOKUP($B131,'ELC TECH'!$H:$H,'ELC TECH'!AO:AO)))</f>
        <v/>
      </c>
      <c r="W131" s="12" t="str">
        <f>IF(_xlfn.XLOOKUP($B131,'ELC TECH'!$H:$H,'ELC TECH'!$E:$E)&lt;&gt;"Storage","",IF(_xlfn.XLOOKUP($B131,'ELC TECH'!$H:$H,'ELC TECH'!AP:AP)="",0.8,_xlfn.XLOOKUP($B131,'ELC TECH'!$H:$H,'ELC TECH'!AP:AP)))</f>
        <v/>
      </c>
      <c r="X131" s="12" t="str">
        <f>IF(_xlfn.XLOOKUP($B131,'ELC TECH'!$H:$H,'ELC TECH'!$E:$E)&lt;&gt;"Storage","",IF(_xlfn.XLOOKUP($B131,'ELC TECH'!$H:$H,'ELC TECH'!AQ:AQ)="",0.8,_xlfn.XLOOKUP($B131,'ELC TECH'!$H:$H,'ELC TECH'!AQ:AQ)))</f>
        <v/>
      </c>
      <c r="Y131" s="12" t="str">
        <f>IF(_xlfn.XLOOKUP($B131,'ELC TECH'!$H:$H,'ELC TECH'!$E:$E)&lt;&gt;"Storage","",IF(_xlfn.XLOOKUP($B131,'ELC TECH'!$H:$H,'ELC TECH'!AR:AR)="",0.8,_xlfn.XLOOKUP($B131,'ELC TECH'!$H:$H,'ELC TECH'!AR:AR)))</f>
        <v/>
      </c>
      <c r="Z131" s="15">
        <f>_xlfn.XLOOKUP($B131,'ELC TECH'!$H:$H,'ELC TECH'!M:M)</f>
        <v>2270.1262015356128</v>
      </c>
      <c r="AA131" s="15">
        <f>_xlfn.XLOOKUP($B131,'ELC TECH'!$H:$H,'ELC TECH'!N:N)</f>
        <v>2135.451948396098</v>
      </c>
      <c r="AB131" s="15">
        <f>_xlfn.XLOOKUP($B131,'ELC TECH'!$H:$H,'ELC TECH'!O:O)</f>
        <v>1910.7687065923881</v>
      </c>
      <c r="AC131" s="15">
        <f>_xlfn.XLOOKUP($B131,'ELC TECH'!$H:$H,'ELC TECH'!P:P)</f>
        <v>1686.1985414076039</v>
      </c>
      <c r="AD131" s="15">
        <f>_xlfn.XLOOKUP($B131,'ELC TECH'!$H:$H,'ELC TECH'!Q:Q)</f>
        <v>1593.701867127063</v>
      </c>
      <c r="AE131" s="15">
        <f>_xlfn.XLOOKUP($B131,'ELC TECH'!$H:$H,'ELC TECH'!R:R)</f>
        <v>1501.0921162275979</v>
      </c>
      <c r="AF131" s="15">
        <f>_xlfn.XLOOKUP($B131,'ELC TECH'!$H:$H,'ELC TECH'!S:S)</f>
        <v>1408.5954419470579</v>
      </c>
      <c r="AG131" s="15">
        <f>_xlfn.XLOOKUP($B131,'ELC TECH'!$H:$H,'ELC TECH'!T:T)</f>
        <v>1408.5954419470579</v>
      </c>
      <c r="AH131" s="15">
        <f>_xlfn.XLOOKUP($B131,'ELC TECH'!$H:$H,'ELC TECH'!U:U)</f>
        <v>162.37802477610779</v>
      </c>
      <c r="AI131" s="15">
        <f>_xlfn.XLOOKUP($B131,'ELC TECH'!$H:$H,'ELC TECH'!V:V)</f>
        <v>158.7595729705121</v>
      </c>
      <c r="AJ131" s="15">
        <f>_xlfn.XLOOKUP($B131,'ELC TECH'!$H:$H,'ELC TECH'!W:W)</f>
        <v>152.65343554856929</v>
      </c>
      <c r="AK131" s="15">
        <f>_xlfn.XLOOKUP($B131,'ELC TECH'!$H:$H,'ELC TECH'!X:X)</f>
        <v>146.43422150770169</v>
      </c>
      <c r="AL131" s="15">
        <f>_xlfn.XLOOKUP($B131,'ELC TECH'!$H:$H,'ELC TECH'!Y:Y)</f>
        <v>141.23269703715781</v>
      </c>
      <c r="AM131" s="15">
        <f>_xlfn.XLOOKUP($B131,'ELC TECH'!$H:$H,'ELC TECH'!Z:Z)</f>
        <v>135.9180959476891</v>
      </c>
      <c r="AN131" s="15">
        <f>_xlfn.XLOOKUP($B131,'ELC TECH'!$H:$H,'ELC TECH'!AA:AA)</f>
        <v>130.71657147714529</v>
      </c>
      <c r="AO131" s="15">
        <f>_xlfn.XLOOKUP($B131,'ELC TECH'!$H:$H,'ELC TECH'!AB:AB)</f>
        <v>130.71657147714529</v>
      </c>
      <c r="AP131" s="15">
        <f>_xlfn.XLOOKUP($B131,'ELC TECH'!$H:$H,'ELC TECH'!AC:AC)</f>
        <v>5.0287685249641871</v>
      </c>
      <c r="AQ131" s="15">
        <f>_xlfn.XLOOKUP($B131,'ELC TECH'!$H:$H,'ELC TECH'!AD:AD)</f>
        <v>4.9376790263858226</v>
      </c>
      <c r="AR131" s="15">
        <f>_xlfn.XLOOKUP($B131,'ELC TECH'!$H:$H,'ELC TECH'!AE:AE)</f>
        <v>4.7837691839603096</v>
      </c>
      <c r="AS131" s="15">
        <f>_xlfn.XLOOKUP($B131,'ELC TECH'!$H:$H,'ELC TECH'!AF:AF)</f>
        <v>4.6330003587271564</v>
      </c>
      <c r="AT131" s="15">
        <f>_xlfn.XLOOKUP($B131,'ELC TECH'!$H:$H,'ELC TECH'!AG:AG)</f>
        <v>4.5670389976876491</v>
      </c>
      <c r="AU131" s="15">
        <f>_xlfn.XLOOKUP($B131,'ELC TECH'!$H:$H,'ELC TECH'!AH:AH)</f>
        <v>4.4979366194557873</v>
      </c>
      <c r="AV131" s="15">
        <f>_xlfn.XLOOKUP($B131,'ELC TECH'!$H:$H,'ELC TECH'!AI:AI)</f>
        <v>4.4319752584162817</v>
      </c>
      <c r="AW131" s="15">
        <f>_xlfn.XLOOKUP($B131,'ELC TECH'!$H:$H,'ELC TECH'!AJ:AJ)</f>
        <v>4.4319752584162817</v>
      </c>
      <c r="AX131" s="12">
        <f>IF(_xlfn.XLOOKUP($B131,'ELC TECH'!$H:$H,'ELC TECH'!$E:$E)="Storage","",_xlfn.XLOOKUP($B131,'ELC TECH'!$H:$H,'ELC TECH'!AS:AS))</f>
        <v>0.9</v>
      </c>
      <c r="AY131" s="12">
        <f>IF(_xlfn.XLOOKUP($B131,'ELC TECH'!$H:$H,'ELC TECH'!$E:$E)="Storage","",_xlfn.XLOOKUP($B131,'ELC TECH'!$H:$H,'ELC TECH'!AT:AT))</f>
        <v>0.9</v>
      </c>
      <c r="AZ131" s="12">
        <f>IF(_xlfn.XLOOKUP($B131,'ELC TECH'!$H:$H,'ELC TECH'!$E:$E)="Storage","",_xlfn.XLOOKUP($B131,'ELC TECH'!$H:$H,'ELC TECH'!AU:AU))</f>
        <v>0.9</v>
      </c>
      <c r="BA131" s="12">
        <f>IF(_xlfn.XLOOKUP($B131,'ELC TECH'!$H:$H,'ELC TECH'!$E:$E)="Storage","",_xlfn.XLOOKUP($B131,'ELC TECH'!$H:$H,'ELC TECH'!AV:AV))</f>
        <v>0.9</v>
      </c>
      <c r="BB131" s="12">
        <f>IF(_xlfn.XLOOKUP($B131,'ELC TECH'!$H:$H,'ELC TECH'!$E:$E)="Storage","",_xlfn.XLOOKUP($B131,'ELC TECH'!$H:$H,'ELC TECH'!AW:AW))</f>
        <v>0.9</v>
      </c>
      <c r="BC131" s="12">
        <f>IF(_xlfn.XLOOKUP($B131,'ELC TECH'!$H:$H,'ELC TECH'!$E:$E)="Storage","",_xlfn.XLOOKUP($B131,'ELC TECH'!$H:$H,'ELC TECH'!AX:AX))</f>
        <v>0.9</v>
      </c>
      <c r="BD131" s="12">
        <f>IF(_xlfn.XLOOKUP($B131,'ELC TECH'!$H:$H,'ELC TECH'!$E:$E)="Storage","",_xlfn.XLOOKUP($B131,'ELC TECH'!$H:$H,'ELC TECH'!AY:AY))</f>
        <v>0.9</v>
      </c>
      <c r="BE131" s="12">
        <f>IF(_xlfn.XLOOKUP($B131,'ELC TECH'!$H:$H,'ELC TECH'!$E:$E)="Storage","",_xlfn.XLOOKUP($B131,'ELC TECH'!$H:$H,'ELC TECH'!AZ:AZ))</f>
        <v>0.9</v>
      </c>
      <c r="BF131" s="12" t="str">
        <f>IF(_xlfn.XLOOKUP($B131,'ELC TECH'!$H:$H,'ELC TECH'!$E:$E)="Storage",_xlfn.XLOOKUP($B131,'ELC TECH'!$H:$H,'ELC TECH'!AS:AS),"")</f>
        <v/>
      </c>
      <c r="BG131" s="12" t="str">
        <f>IF(_xlfn.XLOOKUP($B131,'ELC TECH'!$H:$H,'ELC TECH'!$E:$E)="Storage",_xlfn.XLOOKUP($B131,'ELC TECH'!$H:$H,'ELC TECH'!AT:AT),"")</f>
        <v/>
      </c>
      <c r="BH131" s="12" t="str">
        <f>IF(_xlfn.XLOOKUP($B131,'ELC TECH'!$H:$H,'ELC TECH'!$E:$E)="Storage",_xlfn.XLOOKUP($B131,'ELC TECH'!$H:$H,'ELC TECH'!AU:AU),"")</f>
        <v/>
      </c>
      <c r="BI131" s="12" t="str">
        <f>IF(_xlfn.XLOOKUP($B131,'ELC TECH'!$H:$H,'ELC TECH'!$E:$E)="Storage",_xlfn.XLOOKUP($B131,'ELC TECH'!$H:$H,'ELC TECH'!AV:AV),"")</f>
        <v/>
      </c>
      <c r="BJ131" s="12" t="str">
        <f>IF(_xlfn.XLOOKUP($B131,'ELC TECH'!$H:$H,'ELC TECH'!$E:$E)="Storage",_xlfn.XLOOKUP($B131,'ELC TECH'!$H:$H,'ELC TECH'!AW:AW),"")</f>
        <v/>
      </c>
      <c r="BK131" s="12" t="str">
        <f>IF(_xlfn.XLOOKUP($B131,'ELC TECH'!$H:$H,'ELC TECH'!$E:$E)="Storage",_xlfn.XLOOKUP($B131,'ELC TECH'!$H:$H,'ELC TECH'!AX:AX),"")</f>
        <v/>
      </c>
      <c r="BL131" s="12" t="str">
        <f>IF(_xlfn.XLOOKUP($B131,'ELC TECH'!$H:$H,'ELC TECH'!$E:$E)="Storage",_xlfn.XLOOKUP($B131,'ELC TECH'!$H:$H,'ELC TECH'!AY:AY),"")</f>
        <v/>
      </c>
      <c r="BM131" s="12" t="str">
        <f>IF(_xlfn.XLOOKUP($B131,'ELC TECH'!$H:$H,'ELC TECH'!$E:$E)="Storage",_xlfn.XLOOKUP($B131,'ELC TECH'!$H:$H,'ELC TECH'!AZ:AZ),"")</f>
        <v/>
      </c>
      <c r="BN131" s="8" t="str">
        <f>IF(_xlfn.XLOOKUP($B131,'ELC TECH'!$H:$H,'ELC TECH'!$E:$E)="Non Dispatchable",IFERROR($AX131*_xlfn.XLOOKUP($C131,$BM$1:$BM$3,BN$1:BN$3)/SUMPRODUCT(_xlfn.XLOOKUP($C131,$BM$1:$BM$3,$BN$1:$BY$3),$BN$4:$BY$4),""),
"")</f>
        <v/>
      </c>
      <c r="BO131" s="8" t="str">
        <f>IF(_xlfn.XLOOKUP($B131,'ELC TECH'!$H:$H,'ELC TECH'!$E:$E)="Non Dispatchable",IFERROR($AX131*_xlfn.XLOOKUP($C131,$BM$1:$BM$3,BO$1:BO$3)/SUMPRODUCT(_xlfn.XLOOKUP($C131,$BM$1:$BM$3,$BN$1:$BY$3),$BN$4:$BY$4),""),
"")</f>
        <v/>
      </c>
      <c r="BP131" s="8" t="str">
        <f>IF(_xlfn.XLOOKUP($B131,'ELC TECH'!$H:$H,'ELC TECH'!$E:$E)="Non Dispatchable",IFERROR($AX131*_xlfn.XLOOKUP($C131,$BM$1:$BM$3,BP$1:BP$3)/SUMPRODUCT(_xlfn.XLOOKUP($C131,$BM$1:$BM$3,$BN$1:$BY$3),$BN$4:$BY$4),""),
"")</f>
        <v/>
      </c>
      <c r="BQ131" s="8" t="str">
        <f>IF(_xlfn.XLOOKUP($B131,'ELC TECH'!$H:$H,'ELC TECH'!$E:$E)="Non Dispatchable",IFERROR($AX131*_xlfn.XLOOKUP($C131,$BM$1:$BM$3,BQ$1:BQ$3)/SUMPRODUCT(_xlfn.XLOOKUP($C131,$BM$1:$BM$3,$BN$1:$BY$3),$BN$4:$BY$4),""),
"")</f>
        <v/>
      </c>
      <c r="BR131" s="8" t="str">
        <f>IF(_xlfn.XLOOKUP($B131,'ELC TECH'!$H:$H,'ELC TECH'!$E:$E)="Non Dispatchable",IFERROR($AX131*_xlfn.XLOOKUP($C131,$BM$1:$BM$3,BR$1:BR$3)/SUMPRODUCT(_xlfn.XLOOKUP($C131,$BM$1:$BM$3,$BN$1:$BY$3),$BN$4:$BY$4),""),
"")</f>
        <v/>
      </c>
      <c r="BS131" s="8" t="str">
        <f>IF(_xlfn.XLOOKUP($B131,'ELC TECH'!$H:$H,'ELC TECH'!$E:$E)="Non Dispatchable",IFERROR($AX131*_xlfn.XLOOKUP($C131,$BM$1:$BM$3,BS$1:BS$3)/SUMPRODUCT(_xlfn.XLOOKUP($C131,$BM$1:$BM$3,$BN$1:$BY$3),$BN$4:$BY$4),""),
"")</f>
        <v/>
      </c>
      <c r="BT131" s="8" t="str">
        <f>IF(_xlfn.XLOOKUP($B131,'ELC TECH'!$H:$H,'ELC TECH'!$E:$E)="Non Dispatchable",IFERROR($AX131*_xlfn.XLOOKUP($C131,$BM$1:$BM$3,BT$1:BT$3)/SUMPRODUCT(_xlfn.XLOOKUP($C131,$BM$1:$BM$3,$BN$1:$BY$3),$BN$4:$BY$4),""),
"")</f>
        <v/>
      </c>
      <c r="BU131" s="8" t="str">
        <f>IF(_xlfn.XLOOKUP($B131,'ELC TECH'!$H:$H,'ELC TECH'!$E:$E)="Non Dispatchable",IFERROR($AX131*_xlfn.XLOOKUP($C131,$BM$1:$BM$3,BU$1:BU$3)/SUMPRODUCT(_xlfn.XLOOKUP($C131,$BM$1:$BM$3,$BN$1:$BY$3),$BN$4:$BY$4),""),
"")</f>
        <v/>
      </c>
      <c r="BV131" s="8" t="str">
        <f>IF(_xlfn.XLOOKUP($B131,'ELC TECH'!$H:$H,'ELC TECH'!$E:$E)="Non Dispatchable",IFERROR($AX131*_xlfn.XLOOKUP($C131,$BM$1:$BM$3,BV$1:BV$3)/SUMPRODUCT(_xlfn.XLOOKUP($C131,$BM$1:$BM$3,$BN$1:$BY$3),$BN$4:$BY$4),""),
"")</f>
        <v/>
      </c>
      <c r="BW131" s="8" t="str">
        <f>IF(_xlfn.XLOOKUP($B131,'ELC TECH'!$H:$H,'ELC TECH'!$E:$E)="Non Dispatchable",IFERROR($AX131*_xlfn.XLOOKUP($C131,$BM$1:$BM$3,BW$1:BW$3)/SUMPRODUCT(_xlfn.XLOOKUP($C131,$BM$1:$BM$3,$BN$1:$BY$3),$BN$4:$BY$4),""),
"")</f>
        <v/>
      </c>
      <c r="BX131" s="8" t="str">
        <f>IF(_xlfn.XLOOKUP($B131,'ELC TECH'!$H:$H,'ELC TECH'!$E:$E)="Non Dispatchable",IFERROR($AX131*_xlfn.XLOOKUP($C131,$BM$1:$BM$3,BX$1:BX$3)/SUMPRODUCT(_xlfn.XLOOKUP($C131,$BM$1:$BM$3,$BN$1:$BY$3),$BN$4:$BY$4),""),
"")</f>
        <v/>
      </c>
      <c r="BY131" s="8" t="str">
        <f>IF(_xlfn.XLOOKUP($B131,'ELC TECH'!$H:$H,'ELC TECH'!$E:$E)="Non Dispatchable",IFERROR($AX131*_xlfn.XLOOKUP($C131,$BM$1:$BM$3,BY$1:BY$3)/SUMPRODUCT(_xlfn.XLOOKUP($C131,$BM$1:$BM$3,$BN$1:$BY$3),$BN$4:$BY$4),""),
"")</f>
        <v/>
      </c>
      <c r="BZ131" s="8" t="str">
        <f>IF(_xlfn.XLOOKUP($B131,'ELC TECH'!$H:$H,'ELC TECH'!$E:$E)="Non Dispatchable",IFERROR($AX131*_xlfn.XLOOKUP($C131,$BM$1:$BM$3,BZ$1:BZ$3)/SUMPRODUCT(_xlfn.XLOOKUP($C131,$BM$1:$BM$3,$BN$1:$BY$3),$BN$4:$BY$4),""),
"")</f>
        <v/>
      </c>
      <c r="CA131" s="8" t="str">
        <f>IF(_xlfn.XLOOKUP($B131,'ELC TECH'!$H:$H,'ELC TECH'!$E:$E)="Non Dispatchable",IFERROR($AX131*_xlfn.XLOOKUP($C131,$BM$1:$BM$3,CA$1:CA$3)/SUMPRODUCT(_xlfn.XLOOKUP($C131,$BM$1:$BM$3,$BN$1:$BY$3),$BN$4:$BY$4),""),
"")</f>
        <v/>
      </c>
      <c r="CB131" s="8" t="str">
        <f>IF(_xlfn.XLOOKUP($B131,'ELC TECH'!$H:$H,'ELC TECH'!$E:$E)="Non Dispatchable",IFERROR($AX131*_xlfn.XLOOKUP($C131,$BM$1:$BM$3,CB$1:CB$3)/SUMPRODUCT(_xlfn.XLOOKUP($C131,$BM$1:$BM$3,$BN$1:$BY$3),$BN$4:$BY$4),""),
"")</f>
        <v/>
      </c>
      <c r="CC131" s="8" t="str">
        <f>IF(_xlfn.XLOOKUP($B131,'ELC TECH'!$H:$H,'ELC TECH'!$E:$E)="Non Dispatchable",IFERROR($AX131*_xlfn.XLOOKUP($C131,$BM$1:$BM$3,CC$1:CC$3)/SUMPRODUCT(_xlfn.XLOOKUP($C131,$BM$1:$BM$3,$BN$1:$BY$3),$BN$4:$BY$4),""),
"")</f>
        <v/>
      </c>
      <c r="CD131" s="8" t="str">
        <f>IF(_xlfn.XLOOKUP($B131,'ELC TECH'!$H:$H,'ELC TECH'!$E:$E)="Non Dispatchable",IFERROR($AX131*_xlfn.XLOOKUP($C131,$BM$1:$BM$3,CD$1:CD$3)/SUMPRODUCT(_xlfn.XLOOKUP($C131,$BM$1:$BM$3,$BN$1:$BY$3),$BN$4:$BY$4),""),
"")</f>
        <v/>
      </c>
      <c r="CE131" s="8" t="str">
        <f>IF(_xlfn.XLOOKUP($B131,'ELC TECH'!$H:$H,'ELC TECH'!$E:$E)="Non Dispatchable",IFERROR($AX131*_xlfn.XLOOKUP($C131,$BM$1:$BM$3,CE$1:CE$3)/SUMPRODUCT(_xlfn.XLOOKUP($C131,$BM$1:$BM$3,$BN$1:$BY$3),$BN$4:$BY$4),""),
"")</f>
        <v/>
      </c>
      <c r="CF131" s="8" t="str">
        <f>IF(_xlfn.XLOOKUP($B131,'ELC TECH'!$H:$H,'ELC TECH'!$E:$E)="Non Dispatchable",IFERROR($AX131*_xlfn.XLOOKUP($C131,$BM$1:$BM$3,CF$1:CF$3)/SUMPRODUCT(_xlfn.XLOOKUP($C131,$BM$1:$BM$3,$BN$1:$BY$3),$BN$4:$BY$4),""),
"")</f>
        <v/>
      </c>
      <c r="CG131" s="8" t="str">
        <f>IF(_xlfn.XLOOKUP($B131,'ELC TECH'!$H:$H,'ELC TECH'!$E:$E)="Non Dispatchable",IFERROR($AX131*_xlfn.XLOOKUP($C131,$BM$1:$BM$3,CG$1:CG$3)/SUMPRODUCT(_xlfn.XLOOKUP($C131,$BM$1:$BM$3,$BN$1:$BY$3),$BN$4:$BY$4),""),
"")</f>
        <v/>
      </c>
      <c r="CH131" s="8" t="str">
        <f>IF(_xlfn.XLOOKUP($B131,'ELC TECH'!$H:$H,'ELC TECH'!$E:$E)="Non Dispatchable",IFERROR($AX131*_xlfn.XLOOKUP($C131,$BM$1:$BM$3,CH$1:CH$3)/SUMPRODUCT(_xlfn.XLOOKUP($C131,$BM$1:$BM$3,$BN$1:$BY$3),$BN$4:$BY$4),""),
"")</f>
        <v/>
      </c>
      <c r="CI131" s="8" t="str">
        <f>IF(_xlfn.XLOOKUP($B131,'ELC TECH'!$H:$H,'ELC TECH'!$E:$E)="Non Dispatchable",IFERROR($AX131*_xlfn.XLOOKUP($C131,$BM$1:$BM$3,CI$1:CI$3)/SUMPRODUCT(_xlfn.XLOOKUP($C131,$BM$1:$BM$3,$BN$1:$BY$3),$BN$4:$BY$4),""),
"")</f>
        <v/>
      </c>
      <c r="CJ131" s="8" t="str">
        <f>IF(_xlfn.XLOOKUP($B131,'ELC TECH'!$H:$H,'ELC TECH'!$E:$E)="Non Dispatchable",IFERROR($AX131*_xlfn.XLOOKUP($C131,$BM$1:$BM$3,CJ$1:CJ$3)/SUMPRODUCT(_xlfn.XLOOKUP($C131,$BM$1:$BM$3,$BN$1:$BY$3),$BN$4:$BY$4),""),
"")</f>
        <v/>
      </c>
      <c r="CK131" s="8" t="str">
        <f>IF(_xlfn.XLOOKUP($B131,'ELC TECH'!$H:$H,'ELC TECH'!$E:$E)="Non Dispatchable",IFERROR($AX131*_xlfn.XLOOKUP($C131,$BM$1:$BM$3,CK$1:CK$3)/SUMPRODUCT(_xlfn.XLOOKUP($C131,$BM$1:$BM$3,$BN$1:$BY$3),$BN$4:$BY$4),""),
"")</f>
        <v/>
      </c>
      <c r="CL131" s="8" t="str">
        <f>IF(_xlfn.XLOOKUP($B131,'ELC TECH'!$H:$H,'ELC TECH'!$E:$E)="Storage",CL$4*$BF131,"")</f>
        <v/>
      </c>
      <c r="CM131" s="8" t="str">
        <f>IF(_xlfn.XLOOKUP($B131,'ELC TECH'!$H:$H,'ELC TECH'!$E:$E)="Storage",CM$4*$BF131,"")</f>
        <v/>
      </c>
      <c r="CN131" s="8" t="str">
        <f>IF(_xlfn.XLOOKUP($B131,'ELC TECH'!$H:$H,'ELC TECH'!$E:$E)="Storage",CN$4*$BF131,"")</f>
        <v/>
      </c>
      <c r="CO131" s="8" t="str">
        <f>IF(_xlfn.XLOOKUP($B131,'ELC TECH'!$H:$H,'ELC TECH'!$E:$E)="Storage",CO$4*$BF131,"")</f>
        <v/>
      </c>
      <c r="CP131" s="8" t="str">
        <f>IF(_xlfn.XLOOKUP($B131,'ELC TECH'!$H:$H,'ELC TECH'!$E:$E)="Storage",CP$4*$BF131,"")</f>
        <v/>
      </c>
      <c r="CQ131" s="8" t="str">
        <f>IF(_xlfn.XLOOKUP($B131,'ELC TECH'!$H:$H,'ELC TECH'!$E:$E)="Storage",CQ$4*$BF131,"")</f>
        <v/>
      </c>
      <c r="CR131" s="8" t="str">
        <f>IF(_xlfn.XLOOKUP($B131,'ELC TECH'!$H:$H,'ELC TECH'!$E:$E)="Storage",CR$4*$BF131,"")</f>
        <v/>
      </c>
      <c r="CS131" s="8" t="str">
        <f>IF(_xlfn.XLOOKUP($B131,'ELC TECH'!$H:$H,'ELC TECH'!$E:$E)="Storage",CS$4*$BF131,"")</f>
        <v/>
      </c>
      <c r="CT131" s="8" t="str">
        <f>IF(_xlfn.XLOOKUP($B131,'ELC TECH'!$H:$H,'ELC TECH'!$E:$E)="Storage",CT$4*$BF131,"")</f>
        <v/>
      </c>
      <c r="CU131" s="8" t="str">
        <f>IF(_xlfn.XLOOKUP($B131,'ELC TECH'!$H:$H,'ELC TECH'!$E:$E)="Storage",CU$4*$BF131,"")</f>
        <v/>
      </c>
      <c r="CV131" s="8" t="str">
        <f>IF(_xlfn.XLOOKUP($B131,'ELC TECH'!$H:$H,'ELC TECH'!$E:$E)="Storage",CV$4*$BF131,"")</f>
        <v/>
      </c>
      <c r="CW131" s="8" t="str">
        <f>IF(_xlfn.XLOOKUP($B131,'ELC TECH'!$H:$H,'ELC TECH'!$E:$E)="Storage",CW$4*$BF131,"")</f>
        <v/>
      </c>
      <c r="CX131" s="8" t="str">
        <f>IF(_xlfn.XLOOKUP($B131,'ELC TECH'!$H:$H,'ELC TECH'!$E:$E)="Storage",CX$4*$BF131,"")</f>
        <v/>
      </c>
      <c r="CY131" s="8" t="str">
        <f>IF(_xlfn.XLOOKUP($B131,'ELC TECH'!$H:$H,'ELC TECH'!$E:$E)="Storage",CY$4*$BF131,"")</f>
        <v/>
      </c>
      <c r="CZ131" s="8" t="str">
        <f>IF(_xlfn.XLOOKUP($B131,'ELC TECH'!$H:$H,'ELC TECH'!$E:$E)="Storage",CZ$4*$BF131,"")</f>
        <v/>
      </c>
      <c r="DA131" s="8" t="str">
        <f>IF(_xlfn.XLOOKUP($B131,'ELC TECH'!$H:$H,'ELC TECH'!$E:$E)="Storage",DA$4*$BF131,"")</f>
        <v/>
      </c>
      <c r="DB131" s="8" t="str">
        <f>IF(_xlfn.XLOOKUP($B131,'ELC TECH'!$H:$H,'ELC TECH'!$E:$E)="Storage",DB$4*$BF131,"")</f>
        <v/>
      </c>
      <c r="DC131" s="8" t="str">
        <f>IF(_xlfn.XLOOKUP($B131,'ELC TECH'!$H:$H,'ELC TECH'!$E:$E)="Storage",DC$4*$BF131,"")</f>
        <v/>
      </c>
      <c r="DD131" s="8" t="str">
        <f>IF(_xlfn.XLOOKUP($B131,'ELC TECH'!$H:$H,'ELC TECH'!$E:$E)="Storage",DD$4*$BF131,"")</f>
        <v/>
      </c>
      <c r="DE131" s="8" t="str">
        <f>IF(_xlfn.XLOOKUP($B131,'ELC TECH'!$H:$H,'ELC TECH'!$E:$E)="Storage",DE$4*$BF131,"")</f>
        <v/>
      </c>
      <c r="DF131" s="8" t="str">
        <f>IF(_xlfn.XLOOKUP($B131,'ELC TECH'!$H:$H,'ELC TECH'!$E:$E)="Storage",DF$4*$BF131,"")</f>
        <v/>
      </c>
      <c r="DG131" s="8" t="str">
        <f>IF(_xlfn.XLOOKUP($B131,'ELC TECH'!$H:$H,'ELC TECH'!$E:$E)="Storage",DG$4*$BF131,"")</f>
        <v/>
      </c>
      <c r="DH131" s="8" t="str">
        <f>IF(_xlfn.XLOOKUP($B131,'ELC TECH'!$H:$H,'ELC TECH'!$E:$E)="Storage",DH$4*$BF131,"")</f>
        <v/>
      </c>
      <c r="DI131" s="8" t="str">
        <f>IF(_xlfn.XLOOKUP($B131,'ELC TECH'!$H:$H,'ELC TECH'!$E:$E)="Storage",DI$4*$BF131,"")</f>
        <v/>
      </c>
    </row>
    <row r="132" spans="2:113" x14ac:dyDescent="0.25">
      <c r="B132" t="str">
        <f>IF('ELC TECH'!I125=0,"*",'ELC TECH'!H125)</f>
        <v>ELCCOAGRD95RCCS20</v>
      </c>
      <c r="C132" t="str">
        <f>IF(_xlfn.XLOOKUP(_xlfn.XLOOKUP(B132,'ELC TECH'!$H:$H,'ELC TECH'!$G:$G),List!C:C,List!B:B)="STG",D132,"ELC"&amp;_xlfn.XLOOKUP(_xlfn.XLOOKUP(B132,'ELC TECH'!H:H,'ELC TECH'!G:G),List!C:C,List!B:B))</f>
        <v>ELCCOA</v>
      </c>
      <c r="D132" t="s">
        <v>544</v>
      </c>
      <c r="E132">
        <f>_xlfn.XLOOKUP(B132,'ELC TECH'!H:H,'ELC TECH'!D:D)</f>
        <v>2020</v>
      </c>
      <c r="F132">
        <f>_xlfn.XLOOKUP(B132,'ELC TECH'!H:H,'ELC TECH'!K:K)</f>
        <v>30</v>
      </c>
      <c r="G132">
        <f t="shared" si="7"/>
        <v>31.535999999999998</v>
      </c>
      <c r="H132">
        <f>IF(_xlfn.XLOOKUP(B132,'ELC TECH'!$H:$H,'ELC TECH'!$E:$E)="Storage",0.3,IF(_xlfn.XLOOKUP(B132,'ELC TECH'!$H:$H,'ELC TECH'!$E:$E)="Baseload",0.9,IF(_xlfn.XLOOKUP(B132,'ELC TECH'!$H:$H,'ELC TECH'!$E:$E)="Non Dispatchable",0.05,IF(_xlfn.XLOOKUP(B132,'ELC TECH'!$H:$H,'ELC TECH'!$E:$E)="Dispatchable",0.9,1))))</f>
        <v>0.9</v>
      </c>
      <c r="I132" s="13" t="str">
        <f>IF(_xlfn.XLOOKUP(B132,'ELC TECH'!H:H,'ELC TECH'!J:J)="","",_xlfn.XLOOKUP(B132,'ELC TECH'!H:H,'ELC TECH'!J:J))</f>
        <v/>
      </c>
      <c r="J132" s="12">
        <f>IF(_xlfn.XLOOKUP($B132,'ELC TECH'!$H:$H,'ELC TECH'!$E:$E)="Storage","",IF(_xlfn.XLOOKUP($B132,'ELC TECH'!$H:$H,'ELC TECH'!AK:AK)="",1,_xlfn.XLOOKUP($B132,'ELC TECH'!$H:$H,'ELC TECH'!AK:AK)))</f>
        <v>0.28933618600875499</v>
      </c>
      <c r="K132" s="12">
        <f>IF(_xlfn.XLOOKUP($B132,'ELC TECH'!$H:$H,'ELC TECH'!$E:$E)="Storage","",IF(_xlfn.XLOOKUP($B132,'ELC TECH'!$H:$H,'ELC TECH'!AL:AL)="",1,_xlfn.XLOOKUP($B132,'ELC TECH'!$H:$H,'ELC TECH'!AL:AL)))</f>
        <v>0.2916360377436964</v>
      </c>
      <c r="L132" s="12">
        <f>IF(_xlfn.XLOOKUP($B132,'ELC TECH'!$H:$H,'ELC TECH'!$E:$E)="Storage","",IF(_xlfn.XLOOKUP($B132,'ELC TECH'!$H:$H,'ELC TECH'!AM:AM)="",1,_xlfn.XLOOKUP($B132,'ELC TECH'!$H:$H,'ELC TECH'!AM:AM)))</f>
        <v>0.29552586537339759</v>
      </c>
      <c r="M132" s="12">
        <f>IF(_xlfn.XLOOKUP($B132,'ELC TECH'!$H:$H,'ELC TECH'!$E:$E)="Storage","",IF(_xlfn.XLOOKUP($B132,'ELC TECH'!$H:$H,'ELC TECH'!AN:AN)="",1,_xlfn.XLOOKUP($B132,'ELC TECH'!$H:$H,'ELC TECH'!AN:AN)))</f>
        <v>0.29952086039336812</v>
      </c>
      <c r="N132" s="12">
        <f>IF(_xlfn.XLOOKUP($B132,'ELC TECH'!$H:$H,'ELC TECH'!$E:$E)="Storage","",IF(_xlfn.XLOOKUP($B132,'ELC TECH'!$H:$H,'ELC TECH'!AO:AO)="",1,_xlfn.XLOOKUP($B132,'ELC TECH'!$H:$H,'ELC TECH'!AO:AO)))</f>
        <v>0.29952086039336812</v>
      </c>
      <c r="O132" s="12">
        <f>IF(_xlfn.XLOOKUP($B132,'ELC TECH'!$H:$H,'ELC TECH'!$E:$E)="Storage","",IF(_xlfn.XLOOKUP($B132,'ELC TECH'!$H:$H,'ELC TECH'!AP:AP)="",1,_xlfn.XLOOKUP($B132,'ELC TECH'!$H:$H,'ELC TECH'!AP:AP)))</f>
        <v>0.29952086039336812</v>
      </c>
      <c r="P132" s="12">
        <f>IF(_xlfn.XLOOKUP($B132,'ELC TECH'!$H:$H,'ELC TECH'!$E:$E)="Storage","",IF(_xlfn.XLOOKUP($B132,'ELC TECH'!$H:$H,'ELC TECH'!AQ:AQ)="",1,_xlfn.XLOOKUP($B132,'ELC TECH'!$H:$H,'ELC TECH'!AQ:AQ)))</f>
        <v>0.29952086039336812</v>
      </c>
      <c r="Q132" s="12">
        <f>IF(_xlfn.XLOOKUP($B132,'ELC TECH'!$H:$H,'ELC TECH'!$E:$E)="Storage","",IF(_xlfn.XLOOKUP($B132,'ELC TECH'!$H:$H,'ELC TECH'!AR:AR)="",1,_xlfn.XLOOKUP($B132,'ELC TECH'!$H:$H,'ELC TECH'!AR:AR)))</f>
        <v>0.29952086039336812</v>
      </c>
      <c r="R132" s="12" t="str">
        <f>IF(_xlfn.XLOOKUP($B132,'ELC TECH'!$H:$H,'ELC TECH'!$E:$E)&lt;&gt;"Storage","",IF(_xlfn.XLOOKUP($B132,'ELC TECH'!$H:$H,'ELC TECH'!AK:AK)="",0.8,_xlfn.XLOOKUP($B132,'ELC TECH'!$H:$H,'ELC TECH'!AK:AK)))</f>
        <v/>
      </c>
      <c r="S132" s="12" t="str">
        <f>IF(_xlfn.XLOOKUP($B132,'ELC TECH'!$H:$H,'ELC TECH'!$E:$E)&lt;&gt;"Storage","",IF(_xlfn.XLOOKUP($B132,'ELC TECH'!$H:$H,'ELC TECH'!AL:AL)="",0.8,_xlfn.XLOOKUP($B132,'ELC TECH'!$H:$H,'ELC TECH'!AL:AL)))</f>
        <v/>
      </c>
      <c r="T132" s="12" t="str">
        <f>IF(_xlfn.XLOOKUP($B132,'ELC TECH'!$H:$H,'ELC TECH'!$E:$E)&lt;&gt;"Storage","",IF(_xlfn.XLOOKUP($B132,'ELC TECH'!$H:$H,'ELC TECH'!AM:AM)="",0.8,_xlfn.XLOOKUP($B132,'ELC TECH'!$H:$H,'ELC TECH'!AM:AM)))</f>
        <v/>
      </c>
      <c r="U132" s="12" t="str">
        <f>IF(_xlfn.XLOOKUP($B132,'ELC TECH'!$H:$H,'ELC TECH'!$E:$E)&lt;&gt;"Storage","",IF(_xlfn.XLOOKUP($B132,'ELC TECH'!$H:$H,'ELC TECH'!AN:AN)="",0.8,_xlfn.XLOOKUP($B132,'ELC TECH'!$H:$H,'ELC TECH'!AN:AN)))</f>
        <v/>
      </c>
      <c r="V132" s="12" t="str">
        <f>IF(_xlfn.XLOOKUP($B132,'ELC TECH'!$H:$H,'ELC TECH'!$E:$E)&lt;&gt;"Storage","",IF(_xlfn.XLOOKUP($B132,'ELC TECH'!$H:$H,'ELC TECH'!AO:AO)="",0.8,_xlfn.XLOOKUP($B132,'ELC TECH'!$H:$H,'ELC TECH'!AO:AO)))</f>
        <v/>
      </c>
      <c r="W132" s="12" t="str">
        <f>IF(_xlfn.XLOOKUP($B132,'ELC TECH'!$H:$H,'ELC TECH'!$E:$E)&lt;&gt;"Storage","",IF(_xlfn.XLOOKUP($B132,'ELC TECH'!$H:$H,'ELC TECH'!AP:AP)="",0.8,_xlfn.XLOOKUP($B132,'ELC TECH'!$H:$H,'ELC TECH'!AP:AP)))</f>
        <v/>
      </c>
      <c r="X132" s="12" t="str">
        <f>IF(_xlfn.XLOOKUP($B132,'ELC TECH'!$H:$H,'ELC TECH'!$E:$E)&lt;&gt;"Storage","",IF(_xlfn.XLOOKUP($B132,'ELC TECH'!$H:$H,'ELC TECH'!AQ:AQ)="",0.8,_xlfn.XLOOKUP($B132,'ELC TECH'!$H:$H,'ELC TECH'!AQ:AQ)))</f>
        <v/>
      </c>
      <c r="Y132" s="12" t="str">
        <f>IF(_xlfn.XLOOKUP($B132,'ELC TECH'!$H:$H,'ELC TECH'!$E:$E)&lt;&gt;"Storage","",IF(_xlfn.XLOOKUP($B132,'ELC TECH'!$H:$H,'ELC TECH'!AR:AR)="",0.8,_xlfn.XLOOKUP($B132,'ELC TECH'!$H:$H,'ELC TECH'!AR:AR)))</f>
        <v/>
      </c>
      <c r="Z132" s="15">
        <f>_xlfn.XLOOKUP($B132,'ELC TECH'!$H:$H,'ELC TECH'!M:M)</f>
        <v>2372.347465043692</v>
      </c>
      <c r="AA132" s="15">
        <f>_xlfn.XLOOKUP($B132,'ELC TECH'!$H:$H,'ELC TECH'!N:N)</f>
        <v>2230.77553814976</v>
      </c>
      <c r="AB132" s="15">
        <f>_xlfn.XLOOKUP($B132,'ELC TECH'!$H:$H,'ELC TECH'!O:O)</f>
        <v>1994.6715578346391</v>
      </c>
      <c r="AC132" s="15">
        <f>_xlfn.XLOOKUP($B132,'ELC TECH'!$H:$H,'ELC TECH'!P:P)</f>
        <v>1758.6806541384431</v>
      </c>
      <c r="AD132" s="15">
        <f>_xlfn.XLOOKUP($B132,'ELC TECH'!$H:$H,'ELC TECH'!Q:Q)</f>
        <v>1662.113221576607</v>
      </c>
      <c r="AE132" s="15">
        <f>_xlfn.XLOOKUP($B132,'ELC TECH'!$H:$H,'ELC TECH'!R:R)</f>
        <v>1565.6588656336969</v>
      </c>
      <c r="AF132" s="15">
        <f>_xlfn.XLOOKUP($B132,'ELC TECH'!$H:$H,'ELC TECH'!S:S)</f>
        <v>1469.2045096907859</v>
      </c>
      <c r="AG132" s="15">
        <f>_xlfn.XLOOKUP($B132,'ELC TECH'!$H:$H,'ELC TECH'!T:T)</f>
        <v>1469.2045096907859</v>
      </c>
      <c r="AH132" s="15">
        <f>_xlfn.XLOOKUP($B132,'ELC TECH'!$H:$H,'ELC TECH'!U:U)</f>
        <v>166.3357064384781</v>
      </c>
      <c r="AI132" s="15">
        <f>_xlfn.XLOOKUP($B132,'ELC TECH'!$H:$H,'ELC TECH'!V:V)</f>
        <v>162.4911013950327</v>
      </c>
      <c r="AJ132" s="15">
        <f>_xlfn.XLOOKUP($B132,'ELC TECH'!$H:$H,'ELC TECH'!W:W)</f>
        <v>155.93265749739041</v>
      </c>
      <c r="AK132" s="15">
        <f>_xlfn.XLOOKUP($B132,'ELC TECH'!$H:$H,'ELC TECH'!X:X)</f>
        <v>149.48729021867311</v>
      </c>
      <c r="AL132" s="15">
        <f>_xlfn.XLOOKUP($B132,'ELC TECH'!$H:$H,'ELC TECH'!Y:Y)</f>
        <v>144.05961251027949</v>
      </c>
      <c r="AM132" s="15">
        <f>_xlfn.XLOOKUP($B132,'ELC TECH'!$H:$H,'ELC TECH'!Z:Z)</f>
        <v>138.74501142081081</v>
      </c>
      <c r="AN132" s="15">
        <f>_xlfn.XLOOKUP($B132,'ELC TECH'!$H:$H,'ELC TECH'!AA:AA)</f>
        <v>133.3173337124172</v>
      </c>
      <c r="AO132" s="15">
        <f>_xlfn.XLOOKUP($B132,'ELC TECH'!$H:$H,'ELC TECH'!AB:AB)</f>
        <v>133.3173337124172</v>
      </c>
      <c r="AP132" s="15">
        <f>_xlfn.XLOOKUP($B132,'ELC TECH'!$H:$H,'ELC TECH'!AC:AC)</f>
        <v>5.1449861610814098</v>
      </c>
      <c r="AQ132" s="15">
        <f>_xlfn.XLOOKUP($B132,'ELC TECH'!$H:$H,'ELC TECH'!AD:AD)</f>
        <v>5.0507556453106881</v>
      </c>
      <c r="AR132" s="15">
        <f>_xlfn.XLOOKUP($B132,'ELC TECH'!$H:$H,'ELC TECH'!AE:AE)</f>
        <v>4.8905637685004608</v>
      </c>
      <c r="AS132" s="15">
        <f>_xlfn.XLOOKUP($B132,'ELC TECH'!$H:$H,'ELC TECH'!AF:AF)</f>
        <v>4.7303718916902344</v>
      </c>
      <c r="AT132" s="15">
        <f>_xlfn.XLOOKUP($B132,'ELC TECH'!$H:$H,'ELC TECH'!AG:AG)</f>
        <v>4.6612695134583726</v>
      </c>
      <c r="AU132" s="15">
        <f>_xlfn.XLOOKUP($B132,'ELC TECH'!$H:$H,'ELC TECH'!AH:AH)</f>
        <v>4.592167135226509</v>
      </c>
      <c r="AV132" s="15">
        <f>_xlfn.XLOOKUP($B132,'ELC TECH'!$H:$H,'ELC TECH'!AI:AI)</f>
        <v>4.5230647569946463</v>
      </c>
      <c r="AW132" s="15">
        <f>_xlfn.XLOOKUP($B132,'ELC TECH'!$H:$H,'ELC TECH'!AJ:AJ)</f>
        <v>4.5230647569946463</v>
      </c>
      <c r="AX132" s="12">
        <f>IF(_xlfn.XLOOKUP($B132,'ELC TECH'!$H:$H,'ELC TECH'!$E:$E)="Storage","",_xlfn.XLOOKUP($B132,'ELC TECH'!$H:$H,'ELC TECH'!AS:AS))</f>
        <v>0.9</v>
      </c>
      <c r="AY132" s="12">
        <f>IF(_xlfn.XLOOKUP($B132,'ELC TECH'!$H:$H,'ELC TECH'!$E:$E)="Storage","",_xlfn.XLOOKUP($B132,'ELC TECH'!$H:$H,'ELC TECH'!AT:AT))</f>
        <v>0.9</v>
      </c>
      <c r="AZ132" s="12">
        <f>IF(_xlfn.XLOOKUP($B132,'ELC TECH'!$H:$H,'ELC TECH'!$E:$E)="Storage","",_xlfn.XLOOKUP($B132,'ELC TECH'!$H:$H,'ELC TECH'!AU:AU))</f>
        <v>0.9</v>
      </c>
      <c r="BA132" s="12">
        <f>IF(_xlfn.XLOOKUP($B132,'ELC TECH'!$H:$H,'ELC TECH'!$E:$E)="Storage","",_xlfn.XLOOKUP($B132,'ELC TECH'!$H:$H,'ELC TECH'!AV:AV))</f>
        <v>0.9</v>
      </c>
      <c r="BB132" s="12">
        <f>IF(_xlfn.XLOOKUP($B132,'ELC TECH'!$H:$H,'ELC TECH'!$E:$E)="Storage","",_xlfn.XLOOKUP($B132,'ELC TECH'!$H:$H,'ELC TECH'!AW:AW))</f>
        <v>0.9</v>
      </c>
      <c r="BC132" s="12">
        <f>IF(_xlfn.XLOOKUP($B132,'ELC TECH'!$H:$H,'ELC TECH'!$E:$E)="Storage","",_xlfn.XLOOKUP($B132,'ELC TECH'!$H:$H,'ELC TECH'!AX:AX))</f>
        <v>0.9</v>
      </c>
      <c r="BD132" s="12">
        <f>IF(_xlfn.XLOOKUP($B132,'ELC TECH'!$H:$H,'ELC TECH'!$E:$E)="Storage","",_xlfn.XLOOKUP($B132,'ELC TECH'!$H:$H,'ELC TECH'!AY:AY))</f>
        <v>0.9</v>
      </c>
      <c r="BE132" s="12">
        <f>IF(_xlfn.XLOOKUP($B132,'ELC TECH'!$H:$H,'ELC TECH'!$E:$E)="Storage","",_xlfn.XLOOKUP($B132,'ELC TECH'!$H:$H,'ELC TECH'!AZ:AZ))</f>
        <v>0.9</v>
      </c>
      <c r="BF132" s="12" t="str">
        <f>IF(_xlfn.XLOOKUP($B132,'ELC TECH'!$H:$H,'ELC TECH'!$E:$E)="Storage",_xlfn.XLOOKUP($B132,'ELC TECH'!$H:$H,'ELC TECH'!AS:AS),"")</f>
        <v/>
      </c>
      <c r="BG132" s="12" t="str">
        <f>IF(_xlfn.XLOOKUP($B132,'ELC TECH'!$H:$H,'ELC TECH'!$E:$E)="Storage",_xlfn.XLOOKUP($B132,'ELC TECH'!$H:$H,'ELC TECH'!AT:AT),"")</f>
        <v/>
      </c>
      <c r="BH132" s="12" t="str">
        <f>IF(_xlfn.XLOOKUP($B132,'ELC TECH'!$H:$H,'ELC TECH'!$E:$E)="Storage",_xlfn.XLOOKUP($B132,'ELC TECH'!$H:$H,'ELC TECH'!AU:AU),"")</f>
        <v/>
      </c>
      <c r="BI132" s="12" t="str">
        <f>IF(_xlfn.XLOOKUP($B132,'ELC TECH'!$H:$H,'ELC TECH'!$E:$E)="Storage",_xlfn.XLOOKUP($B132,'ELC TECH'!$H:$H,'ELC TECH'!AV:AV),"")</f>
        <v/>
      </c>
      <c r="BJ132" s="12" t="str">
        <f>IF(_xlfn.XLOOKUP($B132,'ELC TECH'!$H:$H,'ELC TECH'!$E:$E)="Storage",_xlfn.XLOOKUP($B132,'ELC TECH'!$H:$H,'ELC TECH'!AW:AW),"")</f>
        <v/>
      </c>
      <c r="BK132" s="12" t="str">
        <f>IF(_xlfn.XLOOKUP($B132,'ELC TECH'!$H:$H,'ELC TECH'!$E:$E)="Storage",_xlfn.XLOOKUP($B132,'ELC TECH'!$H:$H,'ELC TECH'!AX:AX),"")</f>
        <v/>
      </c>
      <c r="BL132" s="12" t="str">
        <f>IF(_xlfn.XLOOKUP($B132,'ELC TECH'!$H:$H,'ELC TECH'!$E:$E)="Storage",_xlfn.XLOOKUP($B132,'ELC TECH'!$H:$H,'ELC TECH'!AY:AY),"")</f>
        <v/>
      </c>
      <c r="BM132" s="12" t="str">
        <f>IF(_xlfn.XLOOKUP($B132,'ELC TECH'!$H:$H,'ELC TECH'!$E:$E)="Storage",_xlfn.XLOOKUP($B132,'ELC TECH'!$H:$H,'ELC TECH'!AZ:AZ),"")</f>
        <v/>
      </c>
      <c r="BN132" s="8" t="str">
        <f>IF(_xlfn.XLOOKUP($B132,'ELC TECH'!$H:$H,'ELC TECH'!$E:$E)="Non Dispatchable",IFERROR($AX132*_xlfn.XLOOKUP($C132,$BM$1:$BM$3,BN$1:BN$3)/SUMPRODUCT(_xlfn.XLOOKUP($C132,$BM$1:$BM$3,$BN$1:$BY$3),$BN$4:$BY$4),""),
"")</f>
        <v/>
      </c>
      <c r="BO132" s="8" t="str">
        <f>IF(_xlfn.XLOOKUP($B132,'ELC TECH'!$H:$H,'ELC TECH'!$E:$E)="Non Dispatchable",IFERROR($AX132*_xlfn.XLOOKUP($C132,$BM$1:$BM$3,BO$1:BO$3)/SUMPRODUCT(_xlfn.XLOOKUP($C132,$BM$1:$BM$3,$BN$1:$BY$3),$BN$4:$BY$4),""),
"")</f>
        <v/>
      </c>
      <c r="BP132" s="8" t="str">
        <f>IF(_xlfn.XLOOKUP($B132,'ELC TECH'!$H:$H,'ELC TECH'!$E:$E)="Non Dispatchable",IFERROR($AX132*_xlfn.XLOOKUP($C132,$BM$1:$BM$3,BP$1:BP$3)/SUMPRODUCT(_xlfn.XLOOKUP($C132,$BM$1:$BM$3,$BN$1:$BY$3),$BN$4:$BY$4),""),
"")</f>
        <v/>
      </c>
      <c r="BQ132" s="8" t="str">
        <f>IF(_xlfn.XLOOKUP($B132,'ELC TECH'!$H:$H,'ELC TECH'!$E:$E)="Non Dispatchable",IFERROR($AX132*_xlfn.XLOOKUP($C132,$BM$1:$BM$3,BQ$1:BQ$3)/SUMPRODUCT(_xlfn.XLOOKUP($C132,$BM$1:$BM$3,$BN$1:$BY$3),$BN$4:$BY$4),""),
"")</f>
        <v/>
      </c>
      <c r="BR132" s="8" t="str">
        <f>IF(_xlfn.XLOOKUP($B132,'ELC TECH'!$H:$H,'ELC TECH'!$E:$E)="Non Dispatchable",IFERROR($AX132*_xlfn.XLOOKUP($C132,$BM$1:$BM$3,BR$1:BR$3)/SUMPRODUCT(_xlfn.XLOOKUP($C132,$BM$1:$BM$3,$BN$1:$BY$3),$BN$4:$BY$4),""),
"")</f>
        <v/>
      </c>
      <c r="BS132" s="8" t="str">
        <f>IF(_xlfn.XLOOKUP($B132,'ELC TECH'!$H:$H,'ELC TECH'!$E:$E)="Non Dispatchable",IFERROR($AX132*_xlfn.XLOOKUP($C132,$BM$1:$BM$3,BS$1:BS$3)/SUMPRODUCT(_xlfn.XLOOKUP($C132,$BM$1:$BM$3,$BN$1:$BY$3),$BN$4:$BY$4),""),
"")</f>
        <v/>
      </c>
      <c r="BT132" s="8" t="str">
        <f>IF(_xlfn.XLOOKUP($B132,'ELC TECH'!$H:$H,'ELC TECH'!$E:$E)="Non Dispatchable",IFERROR($AX132*_xlfn.XLOOKUP($C132,$BM$1:$BM$3,BT$1:BT$3)/SUMPRODUCT(_xlfn.XLOOKUP($C132,$BM$1:$BM$3,$BN$1:$BY$3),$BN$4:$BY$4),""),
"")</f>
        <v/>
      </c>
      <c r="BU132" s="8" t="str">
        <f>IF(_xlfn.XLOOKUP($B132,'ELC TECH'!$H:$H,'ELC TECH'!$E:$E)="Non Dispatchable",IFERROR($AX132*_xlfn.XLOOKUP($C132,$BM$1:$BM$3,BU$1:BU$3)/SUMPRODUCT(_xlfn.XLOOKUP($C132,$BM$1:$BM$3,$BN$1:$BY$3),$BN$4:$BY$4),""),
"")</f>
        <v/>
      </c>
      <c r="BV132" s="8" t="str">
        <f>IF(_xlfn.XLOOKUP($B132,'ELC TECH'!$H:$H,'ELC TECH'!$E:$E)="Non Dispatchable",IFERROR($AX132*_xlfn.XLOOKUP($C132,$BM$1:$BM$3,BV$1:BV$3)/SUMPRODUCT(_xlfn.XLOOKUP($C132,$BM$1:$BM$3,$BN$1:$BY$3),$BN$4:$BY$4),""),
"")</f>
        <v/>
      </c>
      <c r="BW132" s="8" t="str">
        <f>IF(_xlfn.XLOOKUP($B132,'ELC TECH'!$H:$H,'ELC TECH'!$E:$E)="Non Dispatchable",IFERROR($AX132*_xlfn.XLOOKUP($C132,$BM$1:$BM$3,BW$1:BW$3)/SUMPRODUCT(_xlfn.XLOOKUP($C132,$BM$1:$BM$3,$BN$1:$BY$3),$BN$4:$BY$4),""),
"")</f>
        <v/>
      </c>
      <c r="BX132" s="8" t="str">
        <f>IF(_xlfn.XLOOKUP($B132,'ELC TECH'!$H:$H,'ELC TECH'!$E:$E)="Non Dispatchable",IFERROR($AX132*_xlfn.XLOOKUP($C132,$BM$1:$BM$3,BX$1:BX$3)/SUMPRODUCT(_xlfn.XLOOKUP($C132,$BM$1:$BM$3,$BN$1:$BY$3),$BN$4:$BY$4),""),
"")</f>
        <v/>
      </c>
      <c r="BY132" s="8" t="str">
        <f>IF(_xlfn.XLOOKUP($B132,'ELC TECH'!$H:$H,'ELC TECH'!$E:$E)="Non Dispatchable",IFERROR($AX132*_xlfn.XLOOKUP($C132,$BM$1:$BM$3,BY$1:BY$3)/SUMPRODUCT(_xlfn.XLOOKUP($C132,$BM$1:$BM$3,$BN$1:$BY$3),$BN$4:$BY$4),""),
"")</f>
        <v/>
      </c>
      <c r="BZ132" s="8" t="str">
        <f>IF(_xlfn.XLOOKUP($B132,'ELC TECH'!$H:$H,'ELC TECH'!$E:$E)="Non Dispatchable",IFERROR($AX132*_xlfn.XLOOKUP($C132,$BM$1:$BM$3,BZ$1:BZ$3)/SUMPRODUCT(_xlfn.XLOOKUP($C132,$BM$1:$BM$3,$BN$1:$BY$3),$BN$4:$BY$4),""),
"")</f>
        <v/>
      </c>
      <c r="CA132" s="8" t="str">
        <f>IF(_xlfn.XLOOKUP($B132,'ELC TECH'!$H:$H,'ELC TECH'!$E:$E)="Non Dispatchable",IFERROR($AX132*_xlfn.XLOOKUP($C132,$BM$1:$BM$3,CA$1:CA$3)/SUMPRODUCT(_xlfn.XLOOKUP($C132,$BM$1:$BM$3,$BN$1:$BY$3),$BN$4:$BY$4),""),
"")</f>
        <v/>
      </c>
      <c r="CB132" s="8" t="str">
        <f>IF(_xlfn.XLOOKUP($B132,'ELC TECH'!$H:$H,'ELC TECH'!$E:$E)="Non Dispatchable",IFERROR($AX132*_xlfn.XLOOKUP($C132,$BM$1:$BM$3,CB$1:CB$3)/SUMPRODUCT(_xlfn.XLOOKUP($C132,$BM$1:$BM$3,$BN$1:$BY$3),$BN$4:$BY$4),""),
"")</f>
        <v/>
      </c>
      <c r="CC132" s="8" t="str">
        <f>IF(_xlfn.XLOOKUP($B132,'ELC TECH'!$H:$H,'ELC TECH'!$E:$E)="Non Dispatchable",IFERROR($AX132*_xlfn.XLOOKUP($C132,$BM$1:$BM$3,CC$1:CC$3)/SUMPRODUCT(_xlfn.XLOOKUP($C132,$BM$1:$BM$3,$BN$1:$BY$3),$BN$4:$BY$4),""),
"")</f>
        <v/>
      </c>
      <c r="CD132" s="8" t="str">
        <f>IF(_xlfn.XLOOKUP($B132,'ELC TECH'!$H:$H,'ELC TECH'!$E:$E)="Non Dispatchable",IFERROR($AX132*_xlfn.XLOOKUP($C132,$BM$1:$BM$3,CD$1:CD$3)/SUMPRODUCT(_xlfn.XLOOKUP($C132,$BM$1:$BM$3,$BN$1:$BY$3),$BN$4:$BY$4),""),
"")</f>
        <v/>
      </c>
      <c r="CE132" s="8" t="str">
        <f>IF(_xlfn.XLOOKUP($B132,'ELC TECH'!$H:$H,'ELC TECH'!$E:$E)="Non Dispatchable",IFERROR($AX132*_xlfn.XLOOKUP($C132,$BM$1:$BM$3,CE$1:CE$3)/SUMPRODUCT(_xlfn.XLOOKUP($C132,$BM$1:$BM$3,$BN$1:$BY$3),$BN$4:$BY$4),""),
"")</f>
        <v/>
      </c>
      <c r="CF132" s="8" t="str">
        <f>IF(_xlfn.XLOOKUP($B132,'ELC TECH'!$H:$H,'ELC TECH'!$E:$E)="Non Dispatchable",IFERROR($AX132*_xlfn.XLOOKUP($C132,$BM$1:$BM$3,CF$1:CF$3)/SUMPRODUCT(_xlfn.XLOOKUP($C132,$BM$1:$BM$3,$BN$1:$BY$3),$BN$4:$BY$4),""),
"")</f>
        <v/>
      </c>
      <c r="CG132" s="8" t="str">
        <f>IF(_xlfn.XLOOKUP($B132,'ELC TECH'!$H:$H,'ELC TECH'!$E:$E)="Non Dispatchable",IFERROR($AX132*_xlfn.XLOOKUP($C132,$BM$1:$BM$3,CG$1:CG$3)/SUMPRODUCT(_xlfn.XLOOKUP($C132,$BM$1:$BM$3,$BN$1:$BY$3),$BN$4:$BY$4),""),
"")</f>
        <v/>
      </c>
      <c r="CH132" s="8" t="str">
        <f>IF(_xlfn.XLOOKUP($B132,'ELC TECH'!$H:$H,'ELC TECH'!$E:$E)="Non Dispatchable",IFERROR($AX132*_xlfn.XLOOKUP($C132,$BM$1:$BM$3,CH$1:CH$3)/SUMPRODUCT(_xlfn.XLOOKUP($C132,$BM$1:$BM$3,$BN$1:$BY$3),$BN$4:$BY$4),""),
"")</f>
        <v/>
      </c>
      <c r="CI132" s="8" t="str">
        <f>IF(_xlfn.XLOOKUP($B132,'ELC TECH'!$H:$H,'ELC TECH'!$E:$E)="Non Dispatchable",IFERROR($AX132*_xlfn.XLOOKUP($C132,$BM$1:$BM$3,CI$1:CI$3)/SUMPRODUCT(_xlfn.XLOOKUP($C132,$BM$1:$BM$3,$BN$1:$BY$3),$BN$4:$BY$4),""),
"")</f>
        <v/>
      </c>
      <c r="CJ132" s="8" t="str">
        <f>IF(_xlfn.XLOOKUP($B132,'ELC TECH'!$H:$H,'ELC TECH'!$E:$E)="Non Dispatchable",IFERROR($AX132*_xlfn.XLOOKUP($C132,$BM$1:$BM$3,CJ$1:CJ$3)/SUMPRODUCT(_xlfn.XLOOKUP($C132,$BM$1:$BM$3,$BN$1:$BY$3),$BN$4:$BY$4),""),
"")</f>
        <v/>
      </c>
      <c r="CK132" s="8" t="str">
        <f>IF(_xlfn.XLOOKUP($B132,'ELC TECH'!$H:$H,'ELC TECH'!$E:$E)="Non Dispatchable",IFERROR($AX132*_xlfn.XLOOKUP($C132,$BM$1:$BM$3,CK$1:CK$3)/SUMPRODUCT(_xlfn.XLOOKUP($C132,$BM$1:$BM$3,$BN$1:$BY$3),$BN$4:$BY$4),""),
"")</f>
        <v/>
      </c>
      <c r="CL132" s="8" t="str">
        <f>IF(_xlfn.XLOOKUP($B132,'ELC TECH'!$H:$H,'ELC TECH'!$E:$E)="Storage",CL$4*$BF132,"")</f>
        <v/>
      </c>
      <c r="CM132" s="8" t="str">
        <f>IF(_xlfn.XLOOKUP($B132,'ELC TECH'!$H:$H,'ELC TECH'!$E:$E)="Storage",CM$4*$BF132,"")</f>
        <v/>
      </c>
      <c r="CN132" s="8" t="str">
        <f>IF(_xlfn.XLOOKUP($B132,'ELC TECH'!$H:$H,'ELC TECH'!$E:$E)="Storage",CN$4*$BF132,"")</f>
        <v/>
      </c>
      <c r="CO132" s="8" t="str">
        <f>IF(_xlfn.XLOOKUP($B132,'ELC TECH'!$H:$H,'ELC TECH'!$E:$E)="Storage",CO$4*$BF132,"")</f>
        <v/>
      </c>
      <c r="CP132" s="8" t="str">
        <f>IF(_xlfn.XLOOKUP($B132,'ELC TECH'!$H:$H,'ELC TECH'!$E:$E)="Storage",CP$4*$BF132,"")</f>
        <v/>
      </c>
      <c r="CQ132" s="8" t="str">
        <f>IF(_xlfn.XLOOKUP($B132,'ELC TECH'!$H:$H,'ELC TECH'!$E:$E)="Storage",CQ$4*$BF132,"")</f>
        <v/>
      </c>
      <c r="CR132" s="8" t="str">
        <f>IF(_xlfn.XLOOKUP($B132,'ELC TECH'!$H:$H,'ELC TECH'!$E:$E)="Storage",CR$4*$BF132,"")</f>
        <v/>
      </c>
      <c r="CS132" s="8" t="str">
        <f>IF(_xlfn.XLOOKUP($B132,'ELC TECH'!$H:$H,'ELC TECH'!$E:$E)="Storage",CS$4*$BF132,"")</f>
        <v/>
      </c>
      <c r="CT132" s="8" t="str">
        <f>IF(_xlfn.XLOOKUP($B132,'ELC TECH'!$H:$H,'ELC TECH'!$E:$E)="Storage",CT$4*$BF132,"")</f>
        <v/>
      </c>
      <c r="CU132" s="8" t="str">
        <f>IF(_xlfn.XLOOKUP($B132,'ELC TECH'!$H:$H,'ELC TECH'!$E:$E)="Storage",CU$4*$BF132,"")</f>
        <v/>
      </c>
      <c r="CV132" s="8" t="str">
        <f>IF(_xlfn.XLOOKUP($B132,'ELC TECH'!$H:$H,'ELC TECH'!$E:$E)="Storage",CV$4*$BF132,"")</f>
        <v/>
      </c>
      <c r="CW132" s="8" t="str">
        <f>IF(_xlfn.XLOOKUP($B132,'ELC TECH'!$H:$H,'ELC TECH'!$E:$E)="Storage",CW$4*$BF132,"")</f>
        <v/>
      </c>
      <c r="CX132" s="8" t="str">
        <f>IF(_xlfn.XLOOKUP($B132,'ELC TECH'!$H:$H,'ELC TECH'!$E:$E)="Storage",CX$4*$BF132,"")</f>
        <v/>
      </c>
      <c r="CY132" s="8" t="str">
        <f>IF(_xlfn.XLOOKUP($B132,'ELC TECH'!$H:$H,'ELC TECH'!$E:$E)="Storage",CY$4*$BF132,"")</f>
        <v/>
      </c>
      <c r="CZ132" s="8" t="str">
        <f>IF(_xlfn.XLOOKUP($B132,'ELC TECH'!$H:$H,'ELC TECH'!$E:$E)="Storage",CZ$4*$BF132,"")</f>
        <v/>
      </c>
      <c r="DA132" s="8" t="str">
        <f>IF(_xlfn.XLOOKUP($B132,'ELC TECH'!$H:$H,'ELC TECH'!$E:$E)="Storage",DA$4*$BF132,"")</f>
        <v/>
      </c>
      <c r="DB132" s="8" t="str">
        <f>IF(_xlfn.XLOOKUP($B132,'ELC TECH'!$H:$H,'ELC TECH'!$E:$E)="Storage",DB$4*$BF132,"")</f>
        <v/>
      </c>
      <c r="DC132" s="8" t="str">
        <f>IF(_xlfn.XLOOKUP($B132,'ELC TECH'!$H:$H,'ELC TECH'!$E:$E)="Storage",DC$4*$BF132,"")</f>
        <v/>
      </c>
      <c r="DD132" s="8" t="str">
        <f>IF(_xlfn.XLOOKUP($B132,'ELC TECH'!$H:$H,'ELC TECH'!$E:$E)="Storage",DD$4*$BF132,"")</f>
        <v/>
      </c>
      <c r="DE132" s="8" t="str">
        <f>IF(_xlfn.XLOOKUP($B132,'ELC TECH'!$H:$H,'ELC TECH'!$E:$E)="Storage",DE$4*$BF132,"")</f>
        <v/>
      </c>
      <c r="DF132" s="8" t="str">
        <f>IF(_xlfn.XLOOKUP($B132,'ELC TECH'!$H:$H,'ELC TECH'!$E:$E)="Storage",DF$4*$BF132,"")</f>
        <v/>
      </c>
      <c r="DG132" s="8" t="str">
        <f>IF(_xlfn.XLOOKUP($B132,'ELC TECH'!$H:$H,'ELC TECH'!$E:$E)="Storage",DG$4*$BF132,"")</f>
        <v/>
      </c>
      <c r="DH132" s="8" t="str">
        <f>IF(_xlfn.XLOOKUP($B132,'ELC TECH'!$H:$H,'ELC TECH'!$E:$E)="Storage",DH$4*$BF132,"")</f>
        <v/>
      </c>
      <c r="DI132" s="8" t="str">
        <f>IF(_xlfn.XLOOKUP($B132,'ELC TECH'!$H:$H,'ELC TECH'!$E:$E)="Storage",DI$4*$BF132,"")</f>
        <v/>
      </c>
    </row>
    <row r="133" spans="2:113" x14ac:dyDescent="0.25">
      <c r="B133" t="str">
        <f>IF('ELC TECH'!I126=0,"*",'ELC TECH'!H126)</f>
        <v>ELCNGAGRDFFCT20</v>
      </c>
      <c r="C133" t="str">
        <f>IF(_xlfn.XLOOKUP(_xlfn.XLOOKUP(B133,'ELC TECH'!$H:$H,'ELC TECH'!$G:$G),List!C:C,List!B:B)="STG",D133,"ELC"&amp;_xlfn.XLOOKUP(_xlfn.XLOOKUP(B133,'ELC TECH'!H:H,'ELC TECH'!G:G),List!C:C,List!B:B))</f>
        <v>ELCNGA</v>
      </c>
      <c r="D133" t="s">
        <v>544</v>
      </c>
      <c r="E133">
        <f>_xlfn.XLOOKUP(B133,'ELC TECH'!H:H,'ELC TECH'!D:D)</f>
        <v>2020</v>
      </c>
      <c r="F133">
        <f>_xlfn.XLOOKUP(B133,'ELC TECH'!H:H,'ELC TECH'!K:K)</f>
        <v>30</v>
      </c>
      <c r="G133">
        <f t="shared" si="7"/>
        <v>31.535999999999998</v>
      </c>
      <c r="H133">
        <f>IF(_xlfn.XLOOKUP(B133,'ELC TECH'!$H:$H,'ELC TECH'!$E:$E)="Storage",0.3,IF(_xlfn.XLOOKUP(B133,'ELC TECH'!$H:$H,'ELC TECH'!$E:$E)="Baseload",0.9,IF(_xlfn.XLOOKUP(B133,'ELC TECH'!$H:$H,'ELC TECH'!$E:$E)="Non Dispatchable",0.05,IF(_xlfn.XLOOKUP(B133,'ELC TECH'!$H:$H,'ELC TECH'!$E:$E)="Dispatchable",0.9,1))))</f>
        <v>0.9</v>
      </c>
      <c r="I133" s="13" t="str">
        <f>IF(_xlfn.XLOOKUP(B133,'ELC TECH'!H:H,'ELC TECH'!J:J)="","",_xlfn.XLOOKUP(B133,'ELC TECH'!H:H,'ELC TECH'!J:J))</f>
        <v/>
      </c>
      <c r="J133" s="12">
        <f>IF(_xlfn.XLOOKUP($B133,'ELC TECH'!$H:$H,'ELC TECH'!$E:$E)="Storage","",IF(_xlfn.XLOOKUP($B133,'ELC TECH'!$H:$H,'ELC TECH'!AK:AK)="",1,_xlfn.XLOOKUP($B133,'ELC TECH'!$H:$H,'ELC TECH'!AK:AK)))</f>
        <v>0.35115175893807221</v>
      </c>
      <c r="K133" s="12">
        <f>IF(_xlfn.XLOOKUP($B133,'ELC TECH'!$H:$H,'ELC TECH'!$E:$E)="Storage","",IF(_xlfn.XLOOKUP($B133,'ELC TECH'!$H:$H,'ELC TECH'!AL:AL)="",1,_xlfn.XLOOKUP($B133,'ELC TECH'!$H:$H,'ELC TECH'!AL:AL)))</f>
        <v>0.35115175893807221</v>
      </c>
      <c r="L133" s="12">
        <f>IF(_xlfn.XLOOKUP($B133,'ELC TECH'!$H:$H,'ELC TECH'!$E:$E)="Storage","",IF(_xlfn.XLOOKUP($B133,'ELC TECH'!$H:$H,'ELC TECH'!AM:AM)="",1,_xlfn.XLOOKUP($B133,'ELC TECH'!$H:$H,'ELC TECH'!AM:AM)))</f>
        <v>0.35115175893807221</v>
      </c>
      <c r="M133" s="12">
        <f>IF(_xlfn.XLOOKUP($B133,'ELC TECH'!$H:$H,'ELC TECH'!$E:$E)="Storage","",IF(_xlfn.XLOOKUP($B133,'ELC TECH'!$H:$H,'ELC TECH'!AN:AN)="",1,_xlfn.XLOOKUP($B133,'ELC TECH'!$H:$H,'ELC TECH'!AN:AN)))</f>
        <v>0.35115175893807221</v>
      </c>
      <c r="N133" s="12">
        <f>IF(_xlfn.XLOOKUP($B133,'ELC TECH'!$H:$H,'ELC TECH'!$E:$E)="Storage","",IF(_xlfn.XLOOKUP($B133,'ELC TECH'!$H:$H,'ELC TECH'!AO:AO)="",1,_xlfn.XLOOKUP($B133,'ELC TECH'!$H:$H,'ELC TECH'!AO:AO)))</f>
        <v>0.35115175893807221</v>
      </c>
      <c r="O133" s="12">
        <f>IF(_xlfn.XLOOKUP($B133,'ELC TECH'!$H:$H,'ELC TECH'!$E:$E)="Storage","",IF(_xlfn.XLOOKUP($B133,'ELC TECH'!$H:$H,'ELC TECH'!AP:AP)="",1,_xlfn.XLOOKUP($B133,'ELC TECH'!$H:$H,'ELC TECH'!AP:AP)))</f>
        <v>0.35115175893807221</v>
      </c>
      <c r="P133" s="12">
        <f>IF(_xlfn.XLOOKUP($B133,'ELC TECH'!$H:$H,'ELC TECH'!$E:$E)="Storage","",IF(_xlfn.XLOOKUP($B133,'ELC TECH'!$H:$H,'ELC TECH'!AQ:AQ)="",1,_xlfn.XLOOKUP($B133,'ELC TECH'!$H:$H,'ELC TECH'!AQ:AQ)))</f>
        <v>0.35115175893807221</v>
      </c>
      <c r="Q133" s="12">
        <f>IF(_xlfn.XLOOKUP($B133,'ELC TECH'!$H:$H,'ELC TECH'!$E:$E)="Storage","",IF(_xlfn.XLOOKUP($B133,'ELC TECH'!$H:$H,'ELC TECH'!AR:AR)="",1,_xlfn.XLOOKUP($B133,'ELC TECH'!$H:$H,'ELC TECH'!AR:AR)))</f>
        <v>0.35115175893807221</v>
      </c>
      <c r="R133" s="12" t="str">
        <f>IF(_xlfn.XLOOKUP($B133,'ELC TECH'!$H:$H,'ELC TECH'!$E:$E)&lt;&gt;"Storage","",IF(_xlfn.XLOOKUP($B133,'ELC TECH'!$H:$H,'ELC TECH'!AK:AK)="",0.8,_xlfn.XLOOKUP($B133,'ELC TECH'!$H:$H,'ELC TECH'!AK:AK)))</f>
        <v/>
      </c>
      <c r="S133" s="12" t="str">
        <f>IF(_xlfn.XLOOKUP($B133,'ELC TECH'!$H:$H,'ELC TECH'!$E:$E)&lt;&gt;"Storage","",IF(_xlfn.XLOOKUP($B133,'ELC TECH'!$H:$H,'ELC TECH'!AL:AL)="",0.8,_xlfn.XLOOKUP($B133,'ELC TECH'!$H:$H,'ELC TECH'!AL:AL)))</f>
        <v/>
      </c>
      <c r="T133" s="12" t="str">
        <f>IF(_xlfn.XLOOKUP($B133,'ELC TECH'!$H:$H,'ELC TECH'!$E:$E)&lt;&gt;"Storage","",IF(_xlfn.XLOOKUP($B133,'ELC TECH'!$H:$H,'ELC TECH'!AM:AM)="",0.8,_xlfn.XLOOKUP($B133,'ELC TECH'!$H:$H,'ELC TECH'!AM:AM)))</f>
        <v/>
      </c>
      <c r="U133" s="12" t="str">
        <f>IF(_xlfn.XLOOKUP($B133,'ELC TECH'!$H:$H,'ELC TECH'!$E:$E)&lt;&gt;"Storage","",IF(_xlfn.XLOOKUP($B133,'ELC TECH'!$H:$H,'ELC TECH'!AN:AN)="",0.8,_xlfn.XLOOKUP($B133,'ELC TECH'!$H:$H,'ELC TECH'!AN:AN)))</f>
        <v/>
      </c>
      <c r="V133" s="12" t="str">
        <f>IF(_xlfn.XLOOKUP($B133,'ELC TECH'!$H:$H,'ELC TECH'!$E:$E)&lt;&gt;"Storage","",IF(_xlfn.XLOOKUP($B133,'ELC TECH'!$H:$H,'ELC TECH'!AO:AO)="",0.8,_xlfn.XLOOKUP($B133,'ELC TECH'!$H:$H,'ELC TECH'!AO:AO)))</f>
        <v/>
      </c>
      <c r="W133" s="12" t="str">
        <f>IF(_xlfn.XLOOKUP($B133,'ELC TECH'!$H:$H,'ELC TECH'!$E:$E)&lt;&gt;"Storage","",IF(_xlfn.XLOOKUP($B133,'ELC TECH'!$H:$H,'ELC TECH'!AP:AP)="",0.8,_xlfn.XLOOKUP($B133,'ELC TECH'!$H:$H,'ELC TECH'!AP:AP)))</f>
        <v/>
      </c>
      <c r="X133" s="12" t="str">
        <f>IF(_xlfn.XLOOKUP($B133,'ELC TECH'!$H:$H,'ELC TECH'!$E:$E)&lt;&gt;"Storage","",IF(_xlfn.XLOOKUP($B133,'ELC TECH'!$H:$H,'ELC TECH'!AQ:AQ)="",0.8,_xlfn.XLOOKUP($B133,'ELC TECH'!$H:$H,'ELC TECH'!AQ:AQ)))</f>
        <v/>
      </c>
      <c r="Y133" s="12" t="str">
        <f>IF(_xlfn.XLOOKUP($B133,'ELC TECH'!$H:$H,'ELC TECH'!$E:$E)&lt;&gt;"Storage","",IF(_xlfn.XLOOKUP($B133,'ELC TECH'!$H:$H,'ELC TECH'!AR:AR)="",0.8,_xlfn.XLOOKUP($B133,'ELC TECH'!$H:$H,'ELC TECH'!AR:AR)))</f>
        <v/>
      </c>
      <c r="Z133" s="15">
        <f>_xlfn.XLOOKUP($B133,'ELC TECH'!$H:$H,'ELC TECH'!M:M)</f>
        <v>1133.7061813407081</v>
      </c>
      <c r="AA133" s="15">
        <f>_xlfn.XLOOKUP($B133,'ELC TECH'!$H:$H,'ELC TECH'!N:N)</f>
        <v>1106.7939460365899</v>
      </c>
      <c r="AB133" s="15">
        <f>_xlfn.XLOOKUP($B133,'ELC TECH'!$H:$H,'ELC TECH'!O:O)</f>
        <v>1062.0156049423431</v>
      </c>
      <c r="AC133" s="15">
        <f>_xlfn.XLOOKUP($B133,'ELC TECH'!$H:$H,'ELC TECH'!P:P)</f>
        <v>1017.2372638480959</v>
      </c>
      <c r="AD133" s="15">
        <f>_xlfn.XLOOKUP($B133,'ELC TECH'!$H:$H,'ELC TECH'!Q:Q)</f>
        <v>972.34584613492405</v>
      </c>
      <c r="AE133" s="15">
        <f>_xlfn.XLOOKUP($B133,'ELC TECH'!$H:$H,'ELC TECH'!R:R)</f>
        <v>927.56750504067713</v>
      </c>
      <c r="AF133" s="15">
        <f>_xlfn.XLOOKUP($B133,'ELC TECH'!$H:$H,'ELC TECH'!S:S)</f>
        <v>882.78916394642999</v>
      </c>
      <c r="AG133" s="15">
        <f>_xlfn.XLOOKUP($B133,'ELC TECH'!$H:$H,'ELC TECH'!T:T)</f>
        <v>882.78916394642999</v>
      </c>
      <c r="AH133" s="15">
        <f>_xlfn.XLOOKUP($B133,'ELC TECH'!$H:$H,'ELC TECH'!U:U)</f>
        <v>27.138388541967881</v>
      </c>
      <c r="AI133" s="15">
        <f>_xlfn.XLOOKUP($B133,'ELC TECH'!$H:$H,'ELC TECH'!V:V)</f>
        <v>26.686082066268408</v>
      </c>
      <c r="AJ133" s="15">
        <f>_xlfn.XLOOKUP($B133,'ELC TECH'!$H:$H,'ELC TECH'!W:W)</f>
        <v>25.894545733794349</v>
      </c>
      <c r="AK133" s="15">
        <f>_xlfn.XLOOKUP($B133,'ELC TECH'!$H:$H,'ELC TECH'!X:X)</f>
        <v>25.21608602024515</v>
      </c>
      <c r="AL133" s="15">
        <f>_xlfn.XLOOKUP($B133,'ELC TECH'!$H:$H,'ELC TECH'!Y:Y)</f>
        <v>24.424549687771091</v>
      </c>
      <c r="AM133" s="15">
        <f>_xlfn.XLOOKUP($B133,'ELC TECH'!$H:$H,'ELC TECH'!Z:Z)</f>
        <v>23.633013355297031</v>
      </c>
      <c r="AN133" s="15">
        <f>_xlfn.XLOOKUP($B133,'ELC TECH'!$H:$H,'ELC TECH'!AA:AA)</f>
        <v>22.954553641747829</v>
      </c>
      <c r="AO133" s="15">
        <f>_xlfn.XLOOKUP($B133,'ELC TECH'!$H:$H,'ELC TECH'!AB:AB)</f>
        <v>22.954553641747829</v>
      </c>
      <c r="AP133" s="15">
        <f>_xlfn.XLOOKUP($B133,'ELC TECH'!$H:$H,'ELC TECH'!AC:AC)</f>
        <v>2.0228150718781621</v>
      </c>
      <c r="AQ133" s="15">
        <f>_xlfn.XLOOKUP($B133,'ELC TECH'!$H:$H,'ELC TECH'!AD:AD)</f>
        <v>2.0228150718781621</v>
      </c>
      <c r="AR133" s="15">
        <f>_xlfn.XLOOKUP($B133,'ELC TECH'!$H:$H,'ELC TECH'!AE:AE)</f>
        <v>2.0228150718781621</v>
      </c>
      <c r="AS133" s="15">
        <f>_xlfn.XLOOKUP($B133,'ELC TECH'!$H:$H,'ELC TECH'!AF:AF)</f>
        <v>2.0228150718781621</v>
      </c>
      <c r="AT133" s="15">
        <f>_xlfn.XLOOKUP($B133,'ELC TECH'!$H:$H,'ELC TECH'!AG:AG)</f>
        <v>2.0228150718781621</v>
      </c>
      <c r="AU133" s="15">
        <f>_xlfn.XLOOKUP($B133,'ELC TECH'!$H:$H,'ELC TECH'!AH:AH)</f>
        <v>2.0228150718781621</v>
      </c>
      <c r="AV133" s="15">
        <f>_xlfn.XLOOKUP($B133,'ELC TECH'!$H:$H,'ELC TECH'!AI:AI)</f>
        <v>2.0228150718781621</v>
      </c>
      <c r="AW133" s="15">
        <f>_xlfn.XLOOKUP($B133,'ELC TECH'!$H:$H,'ELC TECH'!AJ:AJ)</f>
        <v>2.0228150718781621</v>
      </c>
      <c r="AX133" s="12">
        <f>IF(_xlfn.XLOOKUP($B133,'ELC TECH'!$H:$H,'ELC TECH'!$E:$E)="Storage","",_xlfn.XLOOKUP($B133,'ELC TECH'!$H:$H,'ELC TECH'!AS:AS))</f>
        <v>0.9</v>
      </c>
      <c r="AY133" s="12">
        <f>IF(_xlfn.XLOOKUP($B133,'ELC TECH'!$H:$H,'ELC TECH'!$E:$E)="Storage","",_xlfn.XLOOKUP($B133,'ELC TECH'!$H:$H,'ELC TECH'!AT:AT))</f>
        <v>0.9</v>
      </c>
      <c r="AZ133" s="12">
        <f>IF(_xlfn.XLOOKUP($B133,'ELC TECH'!$H:$H,'ELC TECH'!$E:$E)="Storage","",_xlfn.XLOOKUP($B133,'ELC TECH'!$H:$H,'ELC TECH'!AU:AU))</f>
        <v>0.9</v>
      </c>
      <c r="BA133" s="12">
        <f>IF(_xlfn.XLOOKUP($B133,'ELC TECH'!$H:$H,'ELC TECH'!$E:$E)="Storage","",_xlfn.XLOOKUP($B133,'ELC TECH'!$H:$H,'ELC TECH'!AV:AV))</f>
        <v>0.9</v>
      </c>
      <c r="BB133" s="12">
        <f>IF(_xlfn.XLOOKUP($B133,'ELC TECH'!$H:$H,'ELC TECH'!$E:$E)="Storage","",_xlfn.XLOOKUP($B133,'ELC TECH'!$H:$H,'ELC TECH'!AW:AW))</f>
        <v>0.9</v>
      </c>
      <c r="BC133" s="12">
        <f>IF(_xlfn.XLOOKUP($B133,'ELC TECH'!$H:$H,'ELC TECH'!$E:$E)="Storage","",_xlfn.XLOOKUP($B133,'ELC TECH'!$H:$H,'ELC TECH'!AX:AX))</f>
        <v>0.9</v>
      </c>
      <c r="BD133" s="12">
        <f>IF(_xlfn.XLOOKUP($B133,'ELC TECH'!$H:$H,'ELC TECH'!$E:$E)="Storage","",_xlfn.XLOOKUP($B133,'ELC TECH'!$H:$H,'ELC TECH'!AY:AY))</f>
        <v>0.9</v>
      </c>
      <c r="BE133" s="12">
        <f>IF(_xlfn.XLOOKUP($B133,'ELC TECH'!$H:$H,'ELC TECH'!$E:$E)="Storage","",_xlfn.XLOOKUP($B133,'ELC TECH'!$H:$H,'ELC TECH'!AZ:AZ))</f>
        <v>0.9</v>
      </c>
      <c r="BF133" s="12" t="str">
        <f>IF(_xlfn.XLOOKUP($B133,'ELC TECH'!$H:$H,'ELC TECH'!$E:$E)="Storage",_xlfn.XLOOKUP($B133,'ELC TECH'!$H:$H,'ELC TECH'!AS:AS),"")</f>
        <v/>
      </c>
      <c r="BG133" s="12" t="str">
        <f>IF(_xlfn.XLOOKUP($B133,'ELC TECH'!$H:$H,'ELC TECH'!$E:$E)="Storage",_xlfn.XLOOKUP($B133,'ELC TECH'!$H:$H,'ELC TECH'!AT:AT),"")</f>
        <v/>
      </c>
      <c r="BH133" s="12" t="str">
        <f>IF(_xlfn.XLOOKUP($B133,'ELC TECH'!$H:$H,'ELC TECH'!$E:$E)="Storage",_xlfn.XLOOKUP($B133,'ELC TECH'!$H:$H,'ELC TECH'!AU:AU),"")</f>
        <v/>
      </c>
      <c r="BI133" s="12" t="str">
        <f>IF(_xlfn.XLOOKUP($B133,'ELC TECH'!$H:$H,'ELC TECH'!$E:$E)="Storage",_xlfn.XLOOKUP($B133,'ELC TECH'!$H:$H,'ELC TECH'!AV:AV),"")</f>
        <v/>
      </c>
      <c r="BJ133" s="12" t="str">
        <f>IF(_xlfn.XLOOKUP($B133,'ELC TECH'!$H:$H,'ELC TECH'!$E:$E)="Storage",_xlfn.XLOOKUP($B133,'ELC TECH'!$H:$H,'ELC TECH'!AW:AW),"")</f>
        <v/>
      </c>
      <c r="BK133" s="12" t="str">
        <f>IF(_xlfn.XLOOKUP($B133,'ELC TECH'!$H:$H,'ELC TECH'!$E:$E)="Storage",_xlfn.XLOOKUP($B133,'ELC TECH'!$H:$H,'ELC TECH'!AX:AX),"")</f>
        <v/>
      </c>
      <c r="BL133" s="12" t="str">
        <f>IF(_xlfn.XLOOKUP($B133,'ELC TECH'!$H:$H,'ELC TECH'!$E:$E)="Storage",_xlfn.XLOOKUP($B133,'ELC TECH'!$H:$H,'ELC TECH'!AY:AY),"")</f>
        <v/>
      </c>
      <c r="BM133" s="12" t="str">
        <f>IF(_xlfn.XLOOKUP($B133,'ELC TECH'!$H:$H,'ELC TECH'!$E:$E)="Storage",_xlfn.XLOOKUP($B133,'ELC TECH'!$H:$H,'ELC TECH'!AZ:AZ),"")</f>
        <v/>
      </c>
      <c r="BN133" s="8" t="str">
        <f>IF(_xlfn.XLOOKUP($B133,'ELC TECH'!$H:$H,'ELC TECH'!$E:$E)="Non Dispatchable",IFERROR($AX133*_xlfn.XLOOKUP($C133,$BM$1:$BM$3,BN$1:BN$3)/SUMPRODUCT(_xlfn.XLOOKUP($C133,$BM$1:$BM$3,$BN$1:$BY$3),$BN$4:$BY$4),""),
"")</f>
        <v/>
      </c>
      <c r="BO133" s="8" t="str">
        <f>IF(_xlfn.XLOOKUP($B133,'ELC TECH'!$H:$H,'ELC TECH'!$E:$E)="Non Dispatchable",IFERROR($AX133*_xlfn.XLOOKUP($C133,$BM$1:$BM$3,BO$1:BO$3)/SUMPRODUCT(_xlfn.XLOOKUP($C133,$BM$1:$BM$3,$BN$1:$BY$3),$BN$4:$BY$4),""),
"")</f>
        <v/>
      </c>
      <c r="BP133" s="8" t="str">
        <f>IF(_xlfn.XLOOKUP($B133,'ELC TECH'!$H:$H,'ELC TECH'!$E:$E)="Non Dispatchable",IFERROR($AX133*_xlfn.XLOOKUP($C133,$BM$1:$BM$3,BP$1:BP$3)/SUMPRODUCT(_xlfn.XLOOKUP($C133,$BM$1:$BM$3,$BN$1:$BY$3),$BN$4:$BY$4),""),
"")</f>
        <v/>
      </c>
      <c r="BQ133" s="8" t="str">
        <f>IF(_xlfn.XLOOKUP($B133,'ELC TECH'!$H:$H,'ELC TECH'!$E:$E)="Non Dispatchable",IFERROR($AX133*_xlfn.XLOOKUP($C133,$BM$1:$BM$3,BQ$1:BQ$3)/SUMPRODUCT(_xlfn.XLOOKUP($C133,$BM$1:$BM$3,$BN$1:$BY$3),$BN$4:$BY$4),""),
"")</f>
        <v/>
      </c>
      <c r="BR133" s="8" t="str">
        <f>IF(_xlfn.XLOOKUP($B133,'ELC TECH'!$H:$H,'ELC TECH'!$E:$E)="Non Dispatchable",IFERROR($AX133*_xlfn.XLOOKUP($C133,$BM$1:$BM$3,BR$1:BR$3)/SUMPRODUCT(_xlfn.XLOOKUP($C133,$BM$1:$BM$3,$BN$1:$BY$3),$BN$4:$BY$4),""),
"")</f>
        <v/>
      </c>
      <c r="BS133" s="8" t="str">
        <f>IF(_xlfn.XLOOKUP($B133,'ELC TECH'!$H:$H,'ELC TECH'!$E:$E)="Non Dispatchable",IFERROR($AX133*_xlfn.XLOOKUP($C133,$BM$1:$BM$3,BS$1:BS$3)/SUMPRODUCT(_xlfn.XLOOKUP($C133,$BM$1:$BM$3,$BN$1:$BY$3),$BN$4:$BY$4),""),
"")</f>
        <v/>
      </c>
      <c r="BT133" s="8" t="str">
        <f>IF(_xlfn.XLOOKUP($B133,'ELC TECH'!$H:$H,'ELC TECH'!$E:$E)="Non Dispatchable",IFERROR($AX133*_xlfn.XLOOKUP($C133,$BM$1:$BM$3,BT$1:BT$3)/SUMPRODUCT(_xlfn.XLOOKUP($C133,$BM$1:$BM$3,$BN$1:$BY$3),$BN$4:$BY$4),""),
"")</f>
        <v/>
      </c>
      <c r="BU133" s="8" t="str">
        <f>IF(_xlfn.XLOOKUP($B133,'ELC TECH'!$H:$H,'ELC TECH'!$E:$E)="Non Dispatchable",IFERROR($AX133*_xlfn.XLOOKUP($C133,$BM$1:$BM$3,BU$1:BU$3)/SUMPRODUCT(_xlfn.XLOOKUP($C133,$BM$1:$BM$3,$BN$1:$BY$3),$BN$4:$BY$4),""),
"")</f>
        <v/>
      </c>
      <c r="BV133" s="8" t="str">
        <f>IF(_xlfn.XLOOKUP($B133,'ELC TECH'!$H:$H,'ELC TECH'!$E:$E)="Non Dispatchable",IFERROR($AX133*_xlfn.XLOOKUP($C133,$BM$1:$BM$3,BV$1:BV$3)/SUMPRODUCT(_xlfn.XLOOKUP($C133,$BM$1:$BM$3,$BN$1:$BY$3),$BN$4:$BY$4),""),
"")</f>
        <v/>
      </c>
      <c r="BW133" s="8" t="str">
        <f>IF(_xlfn.XLOOKUP($B133,'ELC TECH'!$H:$H,'ELC TECH'!$E:$E)="Non Dispatchable",IFERROR($AX133*_xlfn.XLOOKUP($C133,$BM$1:$BM$3,BW$1:BW$3)/SUMPRODUCT(_xlfn.XLOOKUP($C133,$BM$1:$BM$3,$BN$1:$BY$3),$BN$4:$BY$4),""),
"")</f>
        <v/>
      </c>
      <c r="BX133" s="8" t="str">
        <f>IF(_xlfn.XLOOKUP($B133,'ELC TECH'!$H:$H,'ELC TECH'!$E:$E)="Non Dispatchable",IFERROR($AX133*_xlfn.XLOOKUP($C133,$BM$1:$BM$3,BX$1:BX$3)/SUMPRODUCT(_xlfn.XLOOKUP($C133,$BM$1:$BM$3,$BN$1:$BY$3),$BN$4:$BY$4),""),
"")</f>
        <v/>
      </c>
      <c r="BY133" s="8" t="str">
        <f>IF(_xlfn.XLOOKUP($B133,'ELC TECH'!$H:$H,'ELC TECH'!$E:$E)="Non Dispatchable",IFERROR($AX133*_xlfn.XLOOKUP($C133,$BM$1:$BM$3,BY$1:BY$3)/SUMPRODUCT(_xlfn.XLOOKUP($C133,$BM$1:$BM$3,$BN$1:$BY$3),$BN$4:$BY$4),""),
"")</f>
        <v/>
      </c>
      <c r="BZ133" s="8" t="str">
        <f>IF(_xlfn.XLOOKUP($B133,'ELC TECH'!$H:$H,'ELC TECH'!$E:$E)="Non Dispatchable",IFERROR($AX133*_xlfn.XLOOKUP($C133,$BM$1:$BM$3,BZ$1:BZ$3)/SUMPRODUCT(_xlfn.XLOOKUP($C133,$BM$1:$BM$3,$BN$1:$BY$3),$BN$4:$BY$4),""),
"")</f>
        <v/>
      </c>
      <c r="CA133" s="8" t="str">
        <f>IF(_xlfn.XLOOKUP($B133,'ELC TECH'!$H:$H,'ELC TECH'!$E:$E)="Non Dispatchable",IFERROR($AX133*_xlfn.XLOOKUP($C133,$BM$1:$BM$3,CA$1:CA$3)/SUMPRODUCT(_xlfn.XLOOKUP($C133,$BM$1:$BM$3,$BN$1:$BY$3),$BN$4:$BY$4),""),
"")</f>
        <v/>
      </c>
      <c r="CB133" s="8" t="str">
        <f>IF(_xlfn.XLOOKUP($B133,'ELC TECH'!$H:$H,'ELC TECH'!$E:$E)="Non Dispatchable",IFERROR($AX133*_xlfn.XLOOKUP($C133,$BM$1:$BM$3,CB$1:CB$3)/SUMPRODUCT(_xlfn.XLOOKUP($C133,$BM$1:$BM$3,$BN$1:$BY$3),$BN$4:$BY$4),""),
"")</f>
        <v/>
      </c>
      <c r="CC133" s="8" t="str">
        <f>IF(_xlfn.XLOOKUP($B133,'ELC TECH'!$H:$H,'ELC TECH'!$E:$E)="Non Dispatchable",IFERROR($AX133*_xlfn.XLOOKUP($C133,$BM$1:$BM$3,CC$1:CC$3)/SUMPRODUCT(_xlfn.XLOOKUP($C133,$BM$1:$BM$3,$BN$1:$BY$3),$BN$4:$BY$4),""),
"")</f>
        <v/>
      </c>
      <c r="CD133" s="8" t="str">
        <f>IF(_xlfn.XLOOKUP($B133,'ELC TECH'!$H:$H,'ELC TECH'!$E:$E)="Non Dispatchable",IFERROR($AX133*_xlfn.XLOOKUP($C133,$BM$1:$BM$3,CD$1:CD$3)/SUMPRODUCT(_xlfn.XLOOKUP($C133,$BM$1:$BM$3,$BN$1:$BY$3),$BN$4:$BY$4),""),
"")</f>
        <v/>
      </c>
      <c r="CE133" s="8" t="str">
        <f>IF(_xlfn.XLOOKUP($B133,'ELC TECH'!$H:$H,'ELC TECH'!$E:$E)="Non Dispatchable",IFERROR($AX133*_xlfn.XLOOKUP($C133,$BM$1:$BM$3,CE$1:CE$3)/SUMPRODUCT(_xlfn.XLOOKUP($C133,$BM$1:$BM$3,$BN$1:$BY$3),$BN$4:$BY$4),""),
"")</f>
        <v/>
      </c>
      <c r="CF133" s="8" t="str">
        <f>IF(_xlfn.XLOOKUP($B133,'ELC TECH'!$H:$H,'ELC TECH'!$E:$E)="Non Dispatchable",IFERROR($AX133*_xlfn.XLOOKUP($C133,$BM$1:$BM$3,CF$1:CF$3)/SUMPRODUCT(_xlfn.XLOOKUP($C133,$BM$1:$BM$3,$BN$1:$BY$3),$BN$4:$BY$4),""),
"")</f>
        <v/>
      </c>
      <c r="CG133" s="8" t="str">
        <f>IF(_xlfn.XLOOKUP($B133,'ELC TECH'!$H:$H,'ELC TECH'!$E:$E)="Non Dispatchable",IFERROR($AX133*_xlfn.XLOOKUP($C133,$BM$1:$BM$3,CG$1:CG$3)/SUMPRODUCT(_xlfn.XLOOKUP($C133,$BM$1:$BM$3,$BN$1:$BY$3),$BN$4:$BY$4),""),
"")</f>
        <v/>
      </c>
      <c r="CH133" s="8" t="str">
        <f>IF(_xlfn.XLOOKUP($B133,'ELC TECH'!$H:$H,'ELC TECH'!$E:$E)="Non Dispatchable",IFERROR($AX133*_xlfn.XLOOKUP($C133,$BM$1:$BM$3,CH$1:CH$3)/SUMPRODUCT(_xlfn.XLOOKUP($C133,$BM$1:$BM$3,$BN$1:$BY$3),$BN$4:$BY$4),""),
"")</f>
        <v/>
      </c>
      <c r="CI133" s="8" t="str">
        <f>IF(_xlfn.XLOOKUP($B133,'ELC TECH'!$H:$H,'ELC TECH'!$E:$E)="Non Dispatchable",IFERROR($AX133*_xlfn.XLOOKUP($C133,$BM$1:$BM$3,CI$1:CI$3)/SUMPRODUCT(_xlfn.XLOOKUP($C133,$BM$1:$BM$3,$BN$1:$BY$3),$BN$4:$BY$4),""),
"")</f>
        <v/>
      </c>
      <c r="CJ133" s="8" t="str">
        <f>IF(_xlfn.XLOOKUP($B133,'ELC TECH'!$H:$H,'ELC TECH'!$E:$E)="Non Dispatchable",IFERROR($AX133*_xlfn.XLOOKUP($C133,$BM$1:$BM$3,CJ$1:CJ$3)/SUMPRODUCT(_xlfn.XLOOKUP($C133,$BM$1:$BM$3,$BN$1:$BY$3),$BN$4:$BY$4),""),
"")</f>
        <v/>
      </c>
      <c r="CK133" s="8" t="str">
        <f>IF(_xlfn.XLOOKUP($B133,'ELC TECH'!$H:$H,'ELC TECH'!$E:$E)="Non Dispatchable",IFERROR($AX133*_xlfn.XLOOKUP($C133,$BM$1:$BM$3,CK$1:CK$3)/SUMPRODUCT(_xlfn.XLOOKUP($C133,$BM$1:$BM$3,$BN$1:$BY$3),$BN$4:$BY$4),""),
"")</f>
        <v/>
      </c>
      <c r="CL133" s="8" t="str">
        <f>IF(_xlfn.XLOOKUP($B133,'ELC TECH'!$H:$H,'ELC TECH'!$E:$E)="Storage",CL$4*$BF133,"")</f>
        <v/>
      </c>
      <c r="CM133" s="8" t="str">
        <f>IF(_xlfn.XLOOKUP($B133,'ELC TECH'!$H:$H,'ELC TECH'!$E:$E)="Storage",CM$4*$BF133,"")</f>
        <v/>
      </c>
      <c r="CN133" s="8" t="str">
        <f>IF(_xlfn.XLOOKUP($B133,'ELC TECH'!$H:$H,'ELC TECH'!$E:$E)="Storage",CN$4*$BF133,"")</f>
        <v/>
      </c>
      <c r="CO133" s="8" t="str">
        <f>IF(_xlfn.XLOOKUP($B133,'ELC TECH'!$H:$H,'ELC TECH'!$E:$E)="Storage",CO$4*$BF133,"")</f>
        <v/>
      </c>
      <c r="CP133" s="8" t="str">
        <f>IF(_xlfn.XLOOKUP($B133,'ELC TECH'!$H:$H,'ELC TECH'!$E:$E)="Storage",CP$4*$BF133,"")</f>
        <v/>
      </c>
      <c r="CQ133" s="8" t="str">
        <f>IF(_xlfn.XLOOKUP($B133,'ELC TECH'!$H:$H,'ELC TECH'!$E:$E)="Storage",CQ$4*$BF133,"")</f>
        <v/>
      </c>
      <c r="CR133" s="8" t="str">
        <f>IF(_xlfn.XLOOKUP($B133,'ELC TECH'!$H:$H,'ELC TECH'!$E:$E)="Storage",CR$4*$BF133,"")</f>
        <v/>
      </c>
      <c r="CS133" s="8" t="str">
        <f>IF(_xlfn.XLOOKUP($B133,'ELC TECH'!$H:$H,'ELC TECH'!$E:$E)="Storage",CS$4*$BF133,"")</f>
        <v/>
      </c>
      <c r="CT133" s="8" t="str">
        <f>IF(_xlfn.XLOOKUP($B133,'ELC TECH'!$H:$H,'ELC TECH'!$E:$E)="Storage",CT$4*$BF133,"")</f>
        <v/>
      </c>
      <c r="CU133" s="8" t="str">
        <f>IF(_xlfn.XLOOKUP($B133,'ELC TECH'!$H:$H,'ELC TECH'!$E:$E)="Storage",CU$4*$BF133,"")</f>
        <v/>
      </c>
      <c r="CV133" s="8" t="str">
        <f>IF(_xlfn.XLOOKUP($B133,'ELC TECH'!$H:$H,'ELC TECH'!$E:$E)="Storage",CV$4*$BF133,"")</f>
        <v/>
      </c>
      <c r="CW133" s="8" t="str">
        <f>IF(_xlfn.XLOOKUP($B133,'ELC TECH'!$H:$H,'ELC TECH'!$E:$E)="Storage",CW$4*$BF133,"")</f>
        <v/>
      </c>
      <c r="CX133" s="8" t="str">
        <f>IF(_xlfn.XLOOKUP($B133,'ELC TECH'!$H:$H,'ELC TECH'!$E:$E)="Storage",CX$4*$BF133,"")</f>
        <v/>
      </c>
      <c r="CY133" s="8" t="str">
        <f>IF(_xlfn.XLOOKUP($B133,'ELC TECH'!$H:$H,'ELC TECH'!$E:$E)="Storage",CY$4*$BF133,"")</f>
        <v/>
      </c>
      <c r="CZ133" s="8" t="str">
        <f>IF(_xlfn.XLOOKUP($B133,'ELC TECH'!$H:$H,'ELC TECH'!$E:$E)="Storage",CZ$4*$BF133,"")</f>
        <v/>
      </c>
      <c r="DA133" s="8" t="str">
        <f>IF(_xlfn.XLOOKUP($B133,'ELC TECH'!$H:$H,'ELC TECH'!$E:$E)="Storage",DA$4*$BF133,"")</f>
        <v/>
      </c>
      <c r="DB133" s="8" t="str">
        <f>IF(_xlfn.XLOOKUP($B133,'ELC TECH'!$H:$H,'ELC TECH'!$E:$E)="Storage",DB$4*$BF133,"")</f>
        <v/>
      </c>
      <c r="DC133" s="8" t="str">
        <f>IF(_xlfn.XLOOKUP($B133,'ELC TECH'!$H:$H,'ELC TECH'!$E:$E)="Storage",DC$4*$BF133,"")</f>
        <v/>
      </c>
      <c r="DD133" s="8" t="str">
        <f>IF(_xlfn.XLOOKUP($B133,'ELC TECH'!$H:$H,'ELC TECH'!$E:$E)="Storage",DD$4*$BF133,"")</f>
        <v/>
      </c>
      <c r="DE133" s="8" t="str">
        <f>IF(_xlfn.XLOOKUP($B133,'ELC TECH'!$H:$H,'ELC TECH'!$E:$E)="Storage",DE$4*$BF133,"")</f>
        <v/>
      </c>
      <c r="DF133" s="8" t="str">
        <f>IF(_xlfn.XLOOKUP($B133,'ELC TECH'!$H:$H,'ELC TECH'!$E:$E)="Storage",DF$4*$BF133,"")</f>
        <v/>
      </c>
      <c r="DG133" s="8" t="str">
        <f>IF(_xlfn.XLOOKUP($B133,'ELC TECH'!$H:$H,'ELC TECH'!$E:$E)="Storage",DG$4*$BF133,"")</f>
        <v/>
      </c>
      <c r="DH133" s="8" t="str">
        <f>IF(_xlfn.XLOOKUP($B133,'ELC TECH'!$H:$H,'ELC TECH'!$E:$E)="Storage",DH$4*$BF133,"")</f>
        <v/>
      </c>
      <c r="DI133" s="8" t="str">
        <f>IF(_xlfn.XLOOKUP($B133,'ELC TECH'!$H:$H,'ELC TECH'!$E:$E)="Storage",DI$4*$BF133,"")</f>
        <v/>
      </c>
    </row>
    <row r="134" spans="2:113" x14ac:dyDescent="0.25">
      <c r="B134" t="str">
        <f>IF('ELC TECH'!I127=0,"*",'ELC TECH'!H127)</f>
        <v>ELCNGAGRDFFCC20</v>
      </c>
      <c r="C134" t="str">
        <f>IF(_xlfn.XLOOKUP(_xlfn.XLOOKUP(B134,'ELC TECH'!$H:$H,'ELC TECH'!$G:$G),List!C:C,List!B:B)="STG",D134,"ELC"&amp;_xlfn.XLOOKUP(_xlfn.XLOOKUP(B134,'ELC TECH'!H:H,'ELC TECH'!G:G),List!C:C,List!B:B))</f>
        <v>ELCNGA</v>
      </c>
      <c r="D134" t="s">
        <v>544</v>
      </c>
      <c r="E134">
        <f>_xlfn.XLOOKUP(B134,'ELC TECH'!H:H,'ELC TECH'!D:D)</f>
        <v>2020</v>
      </c>
      <c r="F134">
        <f>_xlfn.XLOOKUP(B134,'ELC TECH'!H:H,'ELC TECH'!K:K)</f>
        <v>30</v>
      </c>
      <c r="G134">
        <f t="shared" si="7"/>
        <v>31.535999999999998</v>
      </c>
      <c r="H134">
        <f>IF(_xlfn.XLOOKUP(B134,'ELC TECH'!$H:$H,'ELC TECH'!$E:$E)="Storage",0.3,IF(_xlfn.XLOOKUP(B134,'ELC TECH'!$H:$H,'ELC TECH'!$E:$E)="Baseload",0.9,IF(_xlfn.XLOOKUP(B134,'ELC TECH'!$H:$H,'ELC TECH'!$E:$E)="Non Dispatchable",0.05,IF(_xlfn.XLOOKUP(B134,'ELC TECH'!$H:$H,'ELC TECH'!$E:$E)="Dispatchable",0.9,1))))</f>
        <v>0.9</v>
      </c>
      <c r="I134" s="13" t="str">
        <f>IF(_xlfn.XLOOKUP(B134,'ELC TECH'!H:H,'ELC TECH'!J:J)="","",_xlfn.XLOOKUP(B134,'ELC TECH'!H:H,'ELC TECH'!J:J))</f>
        <v/>
      </c>
      <c r="J134" s="12">
        <f>IF(_xlfn.XLOOKUP($B134,'ELC TECH'!$H:$H,'ELC TECH'!$E:$E)="Storage","",IF(_xlfn.XLOOKUP($B134,'ELC TECH'!$H:$H,'ELC TECH'!AK:AK)="",1,_xlfn.XLOOKUP($B134,'ELC TECH'!$H:$H,'ELC TECH'!AK:AK)))</f>
        <v>0.5362473112684657</v>
      </c>
      <c r="K134" s="12">
        <f>IF(_xlfn.XLOOKUP($B134,'ELC TECH'!$H:$H,'ELC TECH'!$E:$E)="Storage","",IF(_xlfn.XLOOKUP($B134,'ELC TECH'!$H:$H,'ELC TECH'!AL:AL)="",1,_xlfn.XLOOKUP($B134,'ELC TECH'!$H:$H,'ELC TECH'!AL:AL)))</f>
        <v>0.54023775199513113</v>
      </c>
      <c r="L134" s="12">
        <f>IF(_xlfn.XLOOKUP($B134,'ELC TECH'!$H:$H,'ELC TECH'!$E:$E)="Storage","",IF(_xlfn.XLOOKUP($B134,'ELC TECH'!$H:$H,'ELC TECH'!AM:AM)="",1,_xlfn.XLOOKUP($B134,'ELC TECH'!$H:$H,'ELC TECH'!AM:AM)))</f>
        <v>0.54699288900308551</v>
      </c>
      <c r="M134" s="12">
        <f>IF(_xlfn.XLOOKUP($B134,'ELC TECH'!$H:$H,'ELC TECH'!$E:$E)="Storage","",IF(_xlfn.XLOOKUP($B134,'ELC TECH'!$H:$H,'ELC TECH'!AN:AN)="",1,_xlfn.XLOOKUP($B134,'ELC TECH'!$H:$H,'ELC TECH'!AN:AN)))</f>
        <v>0.55400903419406522</v>
      </c>
      <c r="N134" s="12">
        <f>IF(_xlfn.XLOOKUP($B134,'ELC TECH'!$H:$H,'ELC TECH'!$E:$E)="Storage","",IF(_xlfn.XLOOKUP($B134,'ELC TECH'!$H:$H,'ELC TECH'!AO:AO)="",1,_xlfn.XLOOKUP($B134,'ELC TECH'!$H:$H,'ELC TECH'!AO:AO)))</f>
        <v>0.55400903419406522</v>
      </c>
      <c r="O134" s="12">
        <f>IF(_xlfn.XLOOKUP($B134,'ELC TECH'!$H:$H,'ELC TECH'!$E:$E)="Storage","",IF(_xlfn.XLOOKUP($B134,'ELC TECH'!$H:$H,'ELC TECH'!AP:AP)="",1,_xlfn.XLOOKUP($B134,'ELC TECH'!$H:$H,'ELC TECH'!AP:AP)))</f>
        <v>0.55400903419406522</v>
      </c>
      <c r="P134" s="12">
        <f>IF(_xlfn.XLOOKUP($B134,'ELC TECH'!$H:$H,'ELC TECH'!$E:$E)="Storage","",IF(_xlfn.XLOOKUP($B134,'ELC TECH'!$H:$H,'ELC TECH'!AQ:AQ)="",1,_xlfn.XLOOKUP($B134,'ELC TECH'!$H:$H,'ELC TECH'!AQ:AQ)))</f>
        <v>0.55400903419406522</v>
      </c>
      <c r="Q134" s="12">
        <f>IF(_xlfn.XLOOKUP($B134,'ELC TECH'!$H:$H,'ELC TECH'!$E:$E)="Storage","",IF(_xlfn.XLOOKUP($B134,'ELC TECH'!$H:$H,'ELC TECH'!AR:AR)="",1,_xlfn.XLOOKUP($B134,'ELC TECH'!$H:$H,'ELC TECH'!AR:AR)))</f>
        <v>0.55400903419406522</v>
      </c>
      <c r="R134" s="12" t="str">
        <f>IF(_xlfn.XLOOKUP($B134,'ELC TECH'!$H:$H,'ELC TECH'!$E:$E)&lt;&gt;"Storage","",IF(_xlfn.XLOOKUP($B134,'ELC TECH'!$H:$H,'ELC TECH'!AK:AK)="",0.8,_xlfn.XLOOKUP($B134,'ELC TECH'!$H:$H,'ELC TECH'!AK:AK)))</f>
        <v/>
      </c>
      <c r="S134" s="12" t="str">
        <f>IF(_xlfn.XLOOKUP($B134,'ELC TECH'!$H:$H,'ELC TECH'!$E:$E)&lt;&gt;"Storage","",IF(_xlfn.XLOOKUP($B134,'ELC TECH'!$H:$H,'ELC TECH'!AL:AL)="",0.8,_xlfn.XLOOKUP($B134,'ELC TECH'!$H:$H,'ELC TECH'!AL:AL)))</f>
        <v/>
      </c>
      <c r="T134" s="12" t="str">
        <f>IF(_xlfn.XLOOKUP($B134,'ELC TECH'!$H:$H,'ELC TECH'!$E:$E)&lt;&gt;"Storage","",IF(_xlfn.XLOOKUP($B134,'ELC TECH'!$H:$H,'ELC TECH'!AM:AM)="",0.8,_xlfn.XLOOKUP($B134,'ELC TECH'!$H:$H,'ELC TECH'!AM:AM)))</f>
        <v/>
      </c>
      <c r="U134" s="12" t="str">
        <f>IF(_xlfn.XLOOKUP($B134,'ELC TECH'!$H:$H,'ELC TECH'!$E:$E)&lt;&gt;"Storage","",IF(_xlfn.XLOOKUP($B134,'ELC TECH'!$H:$H,'ELC TECH'!AN:AN)="",0.8,_xlfn.XLOOKUP($B134,'ELC TECH'!$H:$H,'ELC TECH'!AN:AN)))</f>
        <v/>
      </c>
      <c r="V134" s="12" t="str">
        <f>IF(_xlfn.XLOOKUP($B134,'ELC TECH'!$H:$H,'ELC TECH'!$E:$E)&lt;&gt;"Storage","",IF(_xlfn.XLOOKUP($B134,'ELC TECH'!$H:$H,'ELC TECH'!AO:AO)="",0.8,_xlfn.XLOOKUP($B134,'ELC TECH'!$H:$H,'ELC TECH'!AO:AO)))</f>
        <v/>
      </c>
      <c r="W134" s="12" t="str">
        <f>IF(_xlfn.XLOOKUP($B134,'ELC TECH'!$H:$H,'ELC TECH'!$E:$E)&lt;&gt;"Storage","",IF(_xlfn.XLOOKUP($B134,'ELC TECH'!$H:$H,'ELC TECH'!AP:AP)="",0.8,_xlfn.XLOOKUP($B134,'ELC TECH'!$H:$H,'ELC TECH'!AP:AP)))</f>
        <v/>
      </c>
      <c r="X134" s="12" t="str">
        <f>IF(_xlfn.XLOOKUP($B134,'ELC TECH'!$H:$H,'ELC TECH'!$E:$E)&lt;&gt;"Storage","",IF(_xlfn.XLOOKUP($B134,'ELC TECH'!$H:$H,'ELC TECH'!AQ:AQ)="",0.8,_xlfn.XLOOKUP($B134,'ELC TECH'!$H:$H,'ELC TECH'!AQ:AQ)))</f>
        <v/>
      </c>
      <c r="Y134" s="12" t="str">
        <f>IF(_xlfn.XLOOKUP($B134,'ELC TECH'!$H:$H,'ELC TECH'!$E:$E)&lt;&gt;"Storage","",IF(_xlfn.XLOOKUP($B134,'ELC TECH'!$H:$H,'ELC TECH'!AR:AR)="",0.8,_xlfn.XLOOKUP($B134,'ELC TECH'!$H:$H,'ELC TECH'!AR:AR)))</f>
        <v/>
      </c>
      <c r="Z134" s="15">
        <f>_xlfn.XLOOKUP($B134,'ELC TECH'!$H:$H,'ELC TECH'!M:M)</f>
        <v>1262.3873736772059</v>
      </c>
      <c r="AA134" s="15">
        <f>_xlfn.XLOOKUP($B134,'ELC TECH'!$H:$H,'ELC TECH'!N:N)</f>
        <v>1229.70823080792</v>
      </c>
      <c r="AB134" s="15">
        <f>_xlfn.XLOOKUP($B134,'ELC TECH'!$H:$H,'ELC TECH'!O:O)</f>
        <v>1175.2053004861341</v>
      </c>
      <c r="AC134" s="15">
        <f>_xlfn.XLOOKUP($B134,'ELC TECH'!$H:$H,'ELC TECH'!P:P)</f>
        <v>1120.7023701643479</v>
      </c>
      <c r="AD134" s="15">
        <f>_xlfn.XLOOKUP($B134,'ELC TECH'!$H:$H,'ELC TECH'!Q:Q)</f>
        <v>1074.5671096430031</v>
      </c>
      <c r="AE134" s="15">
        <f>_xlfn.XLOOKUP($B134,'ELC TECH'!$H:$H,'ELC TECH'!R:R)</f>
        <v>1028.4318491216579</v>
      </c>
      <c r="AF134" s="15">
        <f>_xlfn.XLOOKUP($B134,'ELC TECH'!$H:$H,'ELC TECH'!S:S)</f>
        <v>982.40966521923724</v>
      </c>
      <c r="AG134" s="15">
        <f>_xlfn.XLOOKUP($B134,'ELC TECH'!$H:$H,'ELC TECH'!T:T)</f>
        <v>982.40966521923724</v>
      </c>
      <c r="AH134" s="15">
        <f>_xlfn.XLOOKUP($B134,'ELC TECH'!$H:$H,'ELC TECH'!U:U)</f>
        <v>35.166828485633367</v>
      </c>
      <c r="AI134" s="15">
        <f>_xlfn.XLOOKUP($B134,'ELC TECH'!$H:$H,'ELC TECH'!V:V)</f>
        <v>34.149138915309578</v>
      </c>
      <c r="AJ134" s="15">
        <f>_xlfn.XLOOKUP($B134,'ELC TECH'!$H:$H,'ELC TECH'!W:W)</f>
        <v>32.452989631436587</v>
      </c>
      <c r="AK134" s="15">
        <f>_xlfn.XLOOKUP($B134,'ELC TECH'!$H:$H,'ELC TECH'!X:X)</f>
        <v>30.643763728638721</v>
      </c>
      <c r="AL134" s="15">
        <f>_xlfn.XLOOKUP($B134,'ELC TECH'!$H:$H,'ELC TECH'!Y:Y)</f>
        <v>29.51299753939006</v>
      </c>
      <c r="AM134" s="15">
        <f>_xlfn.XLOOKUP($B134,'ELC TECH'!$H:$H,'ELC TECH'!Z:Z)</f>
        <v>28.382231350141399</v>
      </c>
      <c r="AN134" s="15">
        <f>_xlfn.XLOOKUP($B134,'ELC TECH'!$H:$H,'ELC TECH'!AA:AA)</f>
        <v>27.251465160892739</v>
      </c>
      <c r="AO134" s="15">
        <f>_xlfn.XLOOKUP($B134,'ELC TECH'!$H:$H,'ELC TECH'!AB:AB)</f>
        <v>27.251465160892739</v>
      </c>
      <c r="AP134" s="15">
        <f>_xlfn.XLOOKUP($B134,'ELC TECH'!$H:$H,'ELC TECH'!AC:AC)</f>
        <v>0.61563936970204913</v>
      </c>
      <c r="AQ134" s="15">
        <f>_xlfn.XLOOKUP($B134,'ELC TECH'!$H:$H,'ELC TECH'!AD:AD)</f>
        <v>0.59993428374026214</v>
      </c>
      <c r="AR134" s="15">
        <f>_xlfn.XLOOKUP($B134,'ELC TECH'!$H:$H,'ELC TECH'!AE:AE)</f>
        <v>0.5779471633937604</v>
      </c>
      <c r="AS134" s="15">
        <f>_xlfn.XLOOKUP($B134,'ELC TECH'!$H:$H,'ELC TECH'!AF:AF)</f>
        <v>0.55596004304725855</v>
      </c>
      <c r="AT134" s="15">
        <f>_xlfn.XLOOKUP($B134,'ELC TECH'!$H:$H,'ELC TECH'!AG:AG)</f>
        <v>0.54025495708547167</v>
      </c>
      <c r="AU134" s="15">
        <f>_xlfn.XLOOKUP($B134,'ELC TECH'!$H:$H,'ELC TECH'!AH:AH)</f>
        <v>0.52454987112368467</v>
      </c>
      <c r="AV134" s="15">
        <f>_xlfn.XLOOKUP($B134,'ELC TECH'!$H:$H,'ELC TECH'!AI:AI)</f>
        <v>0.50884478516189779</v>
      </c>
      <c r="AW134" s="15">
        <f>_xlfn.XLOOKUP($B134,'ELC TECH'!$H:$H,'ELC TECH'!AJ:AJ)</f>
        <v>0.50884478516189779</v>
      </c>
      <c r="AX134" s="12">
        <f>IF(_xlfn.XLOOKUP($B134,'ELC TECH'!$H:$H,'ELC TECH'!$E:$E)="Storage","",_xlfn.XLOOKUP($B134,'ELC TECH'!$H:$H,'ELC TECH'!AS:AS))</f>
        <v>0.9</v>
      </c>
      <c r="AY134" s="12">
        <f>IF(_xlfn.XLOOKUP($B134,'ELC TECH'!$H:$H,'ELC TECH'!$E:$E)="Storage","",_xlfn.XLOOKUP($B134,'ELC TECH'!$H:$H,'ELC TECH'!AT:AT))</f>
        <v>0.9</v>
      </c>
      <c r="AZ134" s="12">
        <f>IF(_xlfn.XLOOKUP($B134,'ELC TECH'!$H:$H,'ELC TECH'!$E:$E)="Storage","",_xlfn.XLOOKUP($B134,'ELC TECH'!$H:$H,'ELC TECH'!AU:AU))</f>
        <v>0.9</v>
      </c>
      <c r="BA134" s="12">
        <f>IF(_xlfn.XLOOKUP($B134,'ELC TECH'!$H:$H,'ELC TECH'!$E:$E)="Storage","",_xlfn.XLOOKUP($B134,'ELC TECH'!$H:$H,'ELC TECH'!AV:AV))</f>
        <v>0.9</v>
      </c>
      <c r="BB134" s="12">
        <f>IF(_xlfn.XLOOKUP($B134,'ELC TECH'!$H:$H,'ELC TECH'!$E:$E)="Storage","",_xlfn.XLOOKUP($B134,'ELC TECH'!$H:$H,'ELC TECH'!AW:AW))</f>
        <v>0.9</v>
      </c>
      <c r="BC134" s="12">
        <f>IF(_xlfn.XLOOKUP($B134,'ELC TECH'!$H:$H,'ELC TECH'!$E:$E)="Storage","",_xlfn.XLOOKUP($B134,'ELC TECH'!$H:$H,'ELC TECH'!AX:AX))</f>
        <v>0.9</v>
      </c>
      <c r="BD134" s="12">
        <f>IF(_xlfn.XLOOKUP($B134,'ELC TECH'!$H:$H,'ELC TECH'!$E:$E)="Storage","",_xlfn.XLOOKUP($B134,'ELC TECH'!$H:$H,'ELC TECH'!AY:AY))</f>
        <v>0.9</v>
      </c>
      <c r="BE134" s="12">
        <f>IF(_xlfn.XLOOKUP($B134,'ELC TECH'!$H:$H,'ELC TECH'!$E:$E)="Storage","",_xlfn.XLOOKUP($B134,'ELC TECH'!$H:$H,'ELC TECH'!AZ:AZ))</f>
        <v>0.9</v>
      </c>
      <c r="BF134" s="12" t="str">
        <f>IF(_xlfn.XLOOKUP($B134,'ELC TECH'!$H:$H,'ELC TECH'!$E:$E)="Storage",_xlfn.XLOOKUP($B134,'ELC TECH'!$H:$H,'ELC TECH'!AS:AS),"")</f>
        <v/>
      </c>
      <c r="BG134" s="12" t="str">
        <f>IF(_xlfn.XLOOKUP($B134,'ELC TECH'!$H:$H,'ELC TECH'!$E:$E)="Storage",_xlfn.XLOOKUP($B134,'ELC TECH'!$H:$H,'ELC TECH'!AT:AT),"")</f>
        <v/>
      </c>
      <c r="BH134" s="12" t="str">
        <f>IF(_xlfn.XLOOKUP($B134,'ELC TECH'!$H:$H,'ELC TECH'!$E:$E)="Storage",_xlfn.XLOOKUP($B134,'ELC TECH'!$H:$H,'ELC TECH'!AU:AU),"")</f>
        <v/>
      </c>
      <c r="BI134" s="12" t="str">
        <f>IF(_xlfn.XLOOKUP($B134,'ELC TECH'!$H:$H,'ELC TECH'!$E:$E)="Storage",_xlfn.XLOOKUP($B134,'ELC TECH'!$H:$H,'ELC TECH'!AV:AV),"")</f>
        <v/>
      </c>
      <c r="BJ134" s="12" t="str">
        <f>IF(_xlfn.XLOOKUP($B134,'ELC TECH'!$H:$H,'ELC TECH'!$E:$E)="Storage",_xlfn.XLOOKUP($B134,'ELC TECH'!$H:$H,'ELC TECH'!AW:AW),"")</f>
        <v/>
      </c>
      <c r="BK134" s="12" t="str">
        <f>IF(_xlfn.XLOOKUP($B134,'ELC TECH'!$H:$H,'ELC TECH'!$E:$E)="Storage",_xlfn.XLOOKUP($B134,'ELC TECH'!$H:$H,'ELC TECH'!AX:AX),"")</f>
        <v/>
      </c>
      <c r="BL134" s="12" t="str">
        <f>IF(_xlfn.XLOOKUP($B134,'ELC TECH'!$H:$H,'ELC TECH'!$E:$E)="Storage",_xlfn.XLOOKUP($B134,'ELC TECH'!$H:$H,'ELC TECH'!AY:AY),"")</f>
        <v/>
      </c>
      <c r="BM134" s="12" t="str">
        <f>IF(_xlfn.XLOOKUP($B134,'ELC TECH'!$H:$H,'ELC TECH'!$E:$E)="Storage",_xlfn.XLOOKUP($B134,'ELC TECH'!$H:$H,'ELC TECH'!AZ:AZ),"")</f>
        <v/>
      </c>
      <c r="BN134" s="8" t="str">
        <f>IF(_xlfn.XLOOKUP($B134,'ELC TECH'!$H:$H,'ELC TECH'!$E:$E)="Non Dispatchable",IFERROR($AX134*_xlfn.XLOOKUP($C134,$BM$1:$BM$3,BN$1:BN$3)/SUMPRODUCT(_xlfn.XLOOKUP($C134,$BM$1:$BM$3,$BN$1:$BY$3),$BN$4:$BY$4),""),
"")</f>
        <v/>
      </c>
      <c r="BO134" s="8" t="str">
        <f>IF(_xlfn.XLOOKUP($B134,'ELC TECH'!$H:$H,'ELC TECH'!$E:$E)="Non Dispatchable",IFERROR($AX134*_xlfn.XLOOKUP($C134,$BM$1:$BM$3,BO$1:BO$3)/SUMPRODUCT(_xlfn.XLOOKUP($C134,$BM$1:$BM$3,$BN$1:$BY$3),$BN$4:$BY$4),""),
"")</f>
        <v/>
      </c>
      <c r="BP134" s="8" t="str">
        <f>IF(_xlfn.XLOOKUP($B134,'ELC TECH'!$H:$H,'ELC TECH'!$E:$E)="Non Dispatchable",IFERROR($AX134*_xlfn.XLOOKUP($C134,$BM$1:$BM$3,BP$1:BP$3)/SUMPRODUCT(_xlfn.XLOOKUP($C134,$BM$1:$BM$3,$BN$1:$BY$3),$BN$4:$BY$4),""),
"")</f>
        <v/>
      </c>
      <c r="BQ134" s="8" t="str">
        <f>IF(_xlfn.XLOOKUP($B134,'ELC TECH'!$H:$H,'ELC TECH'!$E:$E)="Non Dispatchable",IFERROR($AX134*_xlfn.XLOOKUP($C134,$BM$1:$BM$3,BQ$1:BQ$3)/SUMPRODUCT(_xlfn.XLOOKUP($C134,$BM$1:$BM$3,$BN$1:$BY$3),$BN$4:$BY$4),""),
"")</f>
        <v/>
      </c>
      <c r="BR134" s="8" t="str">
        <f>IF(_xlfn.XLOOKUP($B134,'ELC TECH'!$H:$H,'ELC TECH'!$E:$E)="Non Dispatchable",IFERROR($AX134*_xlfn.XLOOKUP($C134,$BM$1:$BM$3,BR$1:BR$3)/SUMPRODUCT(_xlfn.XLOOKUP($C134,$BM$1:$BM$3,$BN$1:$BY$3),$BN$4:$BY$4),""),
"")</f>
        <v/>
      </c>
      <c r="BS134" s="8" t="str">
        <f>IF(_xlfn.XLOOKUP($B134,'ELC TECH'!$H:$H,'ELC TECH'!$E:$E)="Non Dispatchable",IFERROR($AX134*_xlfn.XLOOKUP($C134,$BM$1:$BM$3,BS$1:BS$3)/SUMPRODUCT(_xlfn.XLOOKUP($C134,$BM$1:$BM$3,$BN$1:$BY$3),$BN$4:$BY$4),""),
"")</f>
        <v/>
      </c>
      <c r="BT134" s="8" t="str">
        <f>IF(_xlfn.XLOOKUP($B134,'ELC TECH'!$H:$H,'ELC TECH'!$E:$E)="Non Dispatchable",IFERROR($AX134*_xlfn.XLOOKUP($C134,$BM$1:$BM$3,BT$1:BT$3)/SUMPRODUCT(_xlfn.XLOOKUP($C134,$BM$1:$BM$3,$BN$1:$BY$3),$BN$4:$BY$4),""),
"")</f>
        <v/>
      </c>
      <c r="BU134" s="8" t="str">
        <f>IF(_xlfn.XLOOKUP($B134,'ELC TECH'!$H:$H,'ELC TECH'!$E:$E)="Non Dispatchable",IFERROR($AX134*_xlfn.XLOOKUP($C134,$BM$1:$BM$3,BU$1:BU$3)/SUMPRODUCT(_xlfn.XLOOKUP($C134,$BM$1:$BM$3,$BN$1:$BY$3),$BN$4:$BY$4),""),
"")</f>
        <v/>
      </c>
      <c r="BV134" s="8" t="str">
        <f>IF(_xlfn.XLOOKUP($B134,'ELC TECH'!$H:$H,'ELC TECH'!$E:$E)="Non Dispatchable",IFERROR($AX134*_xlfn.XLOOKUP($C134,$BM$1:$BM$3,BV$1:BV$3)/SUMPRODUCT(_xlfn.XLOOKUP($C134,$BM$1:$BM$3,$BN$1:$BY$3),$BN$4:$BY$4),""),
"")</f>
        <v/>
      </c>
      <c r="BW134" s="8" t="str">
        <f>IF(_xlfn.XLOOKUP($B134,'ELC TECH'!$H:$H,'ELC TECH'!$E:$E)="Non Dispatchable",IFERROR($AX134*_xlfn.XLOOKUP($C134,$BM$1:$BM$3,BW$1:BW$3)/SUMPRODUCT(_xlfn.XLOOKUP($C134,$BM$1:$BM$3,$BN$1:$BY$3),$BN$4:$BY$4),""),
"")</f>
        <v/>
      </c>
      <c r="BX134" s="8" t="str">
        <f>IF(_xlfn.XLOOKUP($B134,'ELC TECH'!$H:$H,'ELC TECH'!$E:$E)="Non Dispatchable",IFERROR($AX134*_xlfn.XLOOKUP($C134,$BM$1:$BM$3,BX$1:BX$3)/SUMPRODUCT(_xlfn.XLOOKUP($C134,$BM$1:$BM$3,$BN$1:$BY$3),$BN$4:$BY$4),""),
"")</f>
        <v/>
      </c>
      <c r="BY134" s="8" t="str">
        <f>IF(_xlfn.XLOOKUP($B134,'ELC TECH'!$H:$H,'ELC TECH'!$E:$E)="Non Dispatchable",IFERROR($AX134*_xlfn.XLOOKUP($C134,$BM$1:$BM$3,BY$1:BY$3)/SUMPRODUCT(_xlfn.XLOOKUP($C134,$BM$1:$BM$3,$BN$1:$BY$3),$BN$4:$BY$4),""),
"")</f>
        <v/>
      </c>
      <c r="BZ134" s="8" t="str">
        <f>IF(_xlfn.XLOOKUP($B134,'ELC TECH'!$H:$H,'ELC TECH'!$E:$E)="Non Dispatchable",IFERROR($AX134*_xlfn.XLOOKUP($C134,$BM$1:$BM$3,BZ$1:BZ$3)/SUMPRODUCT(_xlfn.XLOOKUP($C134,$BM$1:$BM$3,$BN$1:$BY$3),$BN$4:$BY$4),""),
"")</f>
        <v/>
      </c>
      <c r="CA134" s="8" t="str">
        <f>IF(_xlfn.XLOOKUP($B134,'ELC TECH'!$H:$H,'ELC TECH'!$E:$E)="Non Dispatchable",IFERROR($AX134*_xlfn.XLOOKUP($C134,$BM$1:$BM$3,CA$1:CA$3)/SUMPRODUCT(_xlfn.XLOOKUP($C134,$BM$1:$BM$3,$BN$1:$BY$3),$BN$4:$BY$4),""),
"")</f>
        <v/>
      </c>
      <c r="CB134" s="8" t="str">
        <f>IF(_xlfn.XLOOKUP($B134,'ELC TECH'!$H:$H,'ELC TECH'!$E:$E)="Non Dispatchable",IFERROR($AX134*_xlfn.XLOOKUP($C134,$BM$1:$BM$3,CB$1:CB$3)/SUMPRODUCT(_xlfn.XLOOKUP($C134,$BM$1:$BM$3,$BN$1:$BY$3),$BN$4:$BY$4),""),
"")</f>
        <v/>
      </c>
      <c r="CC134" s="8" t="str">
        <f>IF(_xlfn.XLOOKUP($B134,'ELC TECH'!$H:$H,'ELC TECH'!$E:$E)="Non Dispatchable",IFERROR($AX134*_xlfn.XLOOKUP($C134,$BM$1:$BM$3,CC$1:CC$3)/SUMPRODUCT(_xlfn.XLOOKUP($C134,$BM$1:$BM$3,$BN$1:$BY$3),$BN$4:$BY$4),""),
"")</f>
        <v/>
      </c>
      <c r="CD134" s="8" t="str">
        <f>IF(_xlfn.XLOOKUP($B134,'ELC TECH'!$H:$H,'ELC TECH'!$E:$E)="Non Dispatchable",IFERROR($AX134*_xlfn.XLOOKUP($C134,$BM$1:$BM$3,CD$1:CD$3)/SUMPRODUCT(_xlfn.XLOOKUP($C134,$BM$1:$BM$3,$BN$1:$BY$3),$BN$4:$BY$4),""),
"")</f>
        <v/>
      </c>
      <c r="CE134" s="8" t="str">
        <f>IF(_xlfn.XLOOKUP($B134,'ELC TECH'!$H:$H,'ELC TECH'!$E:$E)="Non Dispatchable",IFERROR($AX134*_xlfn.XLOOKUP($C134,$BM$1:$BM$3,CE$1:CE$3)/SUMPRODUCT(_xlfn.XLOOKUP($C134,$BM$1:$BM$3,$BN$1:$BY$3),$BN$4:$BY$4),""),
"")</f>
        <v/>
      </c>
      <c r="CF134" s="8" t="str">
        <f>IF(_xlfn.XLOOKUP($B134,'ELC TECH'!$H:$H,'ELC TECH'!$E:$E)="Non Dispatchable",IFERROR($AX134*_xlfn.XLOOKUP($C134,$BM$1:$BM$3,CF$1:CF$3)/SUMPRODUCT(_xlfn.XLOOKUP($C134,$BM$1:$BM$3,$BN$1:$BY$3),$BN$4:$BY$4),""),
"")</f>
        <v/>
      </c>
      <c r="CG134" s="8" t="str">
        <f>IF(_xlfn.XLOOKUP($B134,'ELC TECH'!$H:$H,'ELC TECH'!$E:$E)="Non Dispatchable",IFERROR($AX134*_xlfn.XLOOKUP($C134,$BM$1:$BM$3,CG$1:CG$3)/SUMPRODUCT(_xlfn.XLOOKUP($C134,$BM$1:$BM$3,$BN$1:$BY$3),$BN$4:$BY$4),""),
"")</f>
        <v/>
      </c>
      <c r="CH134" s="8" t="str">
        <f>IF(_xlfn.XLOOKUP($B134,'ELC TECH'!$H:$H,'ELC TECH'!$E:$E)="Non Dispatchable",IFERROR($AX134*_xlfn.XLOOKUP($C134,$BM$1:$BM$3,CH$1:CH$3)/SUMPRODUCT(_xlfn.XLOOKUP($C134,$BM$1:$BM$3,$BN$1:$BY$3),$BN$4:$BY$4),""),
"")</f>
        <v/>
      </c>
      <c r="CI134" s="8" t="str">
        <f>IF(_xlfn.XLOOKUP($B134,'ELC TECH'!$H:$H,'ELC TECH'!$E:$E)="Non Dispatchable",IFERROR($AX134*_xlfn.XLOOKUP($C134,$BM$1:$BM$3,CI$1:CI$3)/SUMPRODUCT(_xlfn.XLOOKUP($C134,$BM$1:$BM$3,$BN$1:$BY$3),$BN$4:$BY$4),""),
"")</f>
        <v/>
      </c>
      <c r="CJ134" s="8" t="str">
        <f>IF(_xlfn.XLOOKUP($B134,'ELC TECH'!$H:$H,'ELC TECH'!$E:$E)="Non Dispatchable",IFERROR($AX134*_xlfn.XLOOKUP($C134,$BM$1:$BM$3,CJ$1:CJ$3)/SUMPRODUCT(_xlfn.XLOOKUP($C134,$BM$1:$BM$3,$BN$1:$BY$3),$BN$4:$BY$4),""),
"")</f>
        <v/>
      </c>
      <c r="CK134" s="8" t="str">
        <f>IF(_xlfn.XLOOKUP($B134,'ELC TECH'!$H:$H,'ELC TECH'!$E:$E)="Non Dispatchable",IFERROR($AX134*_xlfn.XLOOKUP($C134,$BM$1:$BM$3,CK$1:CK$3)/SUMPRODUCT(_xlfn.XLOOKUP($C134,$BM$1:$BM$3,$BN$1:$BY$3),$BN$4:$BY$4),""),
"")</f>
        <v/>
      </c>
      <c r="CL134" s="8" t="str">
        <f>IF(_xlfn.XLOOKUP($B134,'ELC TECH'!$H:$H,'ELC TECH'!$E:$E)="Storage",CL$4*$BF134,"")</f>
        <v/>
      </c>
      <c r="CM134" s="8" t="str">
        <f>IF(_xlfn.XLOOKUP($B134,'ELC TECH'!$H:$H,'ELC TECH'!$E:$E)="Storage",CM$4*$BF134,"")</f>
        <v/>
      </c>
      <c r="CN134" s="8" t="str">
        <f>IF(_xlfn.XLOOKUP($B134,'ELC TECH'!$H:$H,'ELC TECH'!$E:$E)="Storage",CN$4*$BF134,"")</f>
        <v/>
      </c>
      <c r="CO134" s="8" t="str">
        <f>IF(_xlfn.XLOOKUP($B134,'ELC TECH'!$H:$H,'ELC TECH'!$E:$E)="Storage",CO$4*$BF134,"")</f>
        <v/>
      </c>
      <c r="CP134" s="8" t="str">
        <f>IF(_xlfn.XLOOKUP($B134,'ELC TECH'!$H:$H,'ELC TECH'!$E:$E)="Storage",CP$4*$BF134,"")</f>
        <v/>
      </c>
      <c r="CQ134" s="8" t="str">
        <f>IF(_xlfn.XLOOKUP($B134,'ELC TECH'!$H:$H,'ELC TECH'!$E:$E)="Storage",CQ$4*$BF134,"")</f>
        <v/>
      </c>
      <c r="CR134" s="8" t="str">
        <f>IF(_xlfn.XLOOKUP($B134,'ELC TECH'!$H:$H,'ELC TECH'!$E:$E)="Storage",CR$4*$BF134,"")</f>
        <v/>
      </c>
      <c r="CS134" s="8" t="str">
        <f>IF(_xlfn.XLOOKUP($B134,'ELC TECH'!$H:$H,'ELC TECH'!$E:$E)="Storage",CS$4*$BF134,"")</f>
        <v/>
      </c>
      <c r="CT134" s="8" t="str">
        <f>IF(_xlfn.XLOOKUP($B134,'ELC TECH'!$H:$H,'ELC TECH'!$E:$E)="Storage",CT$4*$BF134,"")</f>
        <v/>
      </c>
      <c r="CU134" s="8" t="str">
        <f>IF(_xlfn.XLOOKUP($B134,'ELC TECH'!$H:$H,'ELC TECH'!$E:$E)="Storage",CU$4*$BF134,"")</f>
        <v/>
      </c>
      <c r="CV134" s="8" t="str">
        <f>IF(_xlfn.XLOOKUP($B134,'ELC TECH'!$H:$H,'ELC TECH'!$E:$E)="Storage",CV$4*$BF134,"")</f>
        <v/>
      </c>
      <c r="CW134" s="8" t="str">
        <f>IF(_xlfn.XLOOKUP($B134,'ELC TECH'!$H:$H,'ELC TECH'!$E:$E)="Storage",CW$4*$BF134,"")</f>
        <v/>
      </c>
      <c r="CX134" s="8" t="str">
        <f>IF(_xlfn.XLOOKUP($B134,'ELC TECH'!$H:$H,'ELC TECH'!$E:$E)="Storage",CX$4*$BF134,"")</f>
        <v/>
      </c>
      <c r="CY134" s="8" t="str">
        <f>IF(_xlfn.XLOOKUP($B134,'ELC TECH'!$H:$H,'ELC TECH'!$E:$E)="Storage",CY$4*$BF134,"")</f>
        <v/>
      </c>
      <c r="CZ134" s="8" t="str">
        <f>IF(_xlfn.XLOOKUP($B134,'ELC TECH'!$H:$H,'ELC TECH'!$E:$E)="Storage",CZ$4*$BF134,"")</f>
        <v/>
      </c>
      <c r="DA134" s="8" t="str">
        <f>IF(_xlfn.XLOOKUP($B134,'ELC TECH'!$H:$H,'ELC TECH'!$E:$E)="Storage",DA$4*$BF134,"")</f>
        <v/>
      </c>
      <c r="DB134" s="8" t="str">
        <f>IF(_xlfn.XLOOKUP($B134,'ELC TECH'!$H:$H,'ELC TECH'!$E:$E)="Storage",DB$4*$BF134,"")</f>
        <v/>
      </c>
      <c r="DC134" s="8" t="str">
        <f>IF(_xlfn.XLOOKUP($B134,'ELC TECH'!$H:$H,'ELC TECH'!$E:$E)="Storage",DC$4*$BF134,"")</f>
        <v/>
      </c>
      <c r="DD134" s="8" t="str">
        <f>IF(_xlfn.XLOOKUP($B134,'ELC TECH'!$H:$H,'ELC TECH'!$E:$E)="Storage",DD$4*$BF134,"")</f>
        <v/>
      </c>
      <c r="DE134" s="8" t="str">
        <f>IF(_xlfn.XLOOKUP($B134,'ELC TECH'!$H:$H,'ELC TECH'!$E:$E)="Storage",DE$4*$BF134,"")</f>
        <v/>
      </c>
      <c r="DF134" s="8" t="str">
        <f>IF(_xlfn.XLOOKUP($B134,'ELC TECH'!$H:$H,'ELC TECH'!$E:$E)="Storage",DF$4*$BF134,"")</f>
        <v/>
      </c>
      <c r="DG134" s="8" t="str">
        <f>IF(_xlfn.XLOOKUP($B134,'ELC TECH'!$H:$H,'ELC TECH'!$E:$E)="Storage",DG$4*$BF134,"")</f>
        <v/>
      </c>
      <c r="DH134" s="8" t="str">
        <f>IF(_xlfn.XLOOKUP($B134,'ELC TECH'!$H:$H,'ELC TECH'!$E:$E)="Storage",DH$4*$BF134,"")</f>
        <v/>
      </c>
      <c r="DI134" s="8" t="str">
        <f>IF(_xlfn.XLOOKUP($B134,'ELC TECH'!$H:$H,'ELC TECH'!$E:$E)="Storage",DI$4*$BF134,"")</f>
        <v/>
      </c>
    </row>
    <row r="135" spans="2:113" x14ac:dyDescent="0.25">
      <c r="B135" t="str">
        <f>IF('ELC TECH'!I128=0,"*",'ELC TECH'!H128)</f>
        <v>ELCNGAGRDFFCC95CCS20</v>
      </c>
      <c r="C135" t="str">
        <f>IF(_xlfn.XLOOKUP(_xlfn.XLOOKUP(B135,'ELC TECH'!$H:$H,'ELC TECH'!$G:$G),List!C:C,List!B:B)="STG",D135,"ELC"&amp;_xlfn.XLOOKUP(_xlfn.XLOOKUP(B135,'ELC TECH'!H:H,'ELC TECH'!G:G),List!C:C,List!B:B))</f>
        <v>ELCNGA</v>
      </c>
      <c r="D135" t="s">
        <v>544</v>
      </c>
      <c r="E135">
        <f>_xlfn.XLOOKUP(B135,'ELC TECH'!H:H,'ELC TECH'!D:D)</f>
        <v>2020</v>
      </c>
      <c r="F135">
        <f>_xlfn.XLOOKUP(B135,'ELC TECH'!H:H,'ELC TECH'!K:K)</f>
        <v>30</v>
      </c>
      <c r="G135">
        <f t="shared" si="7"/>
        <v>31.535999999999998</v>
      </c>
      <c r="H135">
        <f>IF(_xlfn.XLOOKUP(B135,'ELC TECH'!$H:$H,'ELC TECH'!$E:$E)="Storage",0.3,IF(_xlfn.XLOOKUP(B135,'ELC TECH'!$H:$H,'ELC TECH'!$E:$E)="Baseload",0.9,IF(_xlfn.XLOOKUP(B135,'ELC TECH'!$H:$H,'ELC TECH'!$E:$E)="Non Dispatchable",0.05,IF(_xlfn.XLOOKUP(B135,'ELC TECH'!$H:$H,'ELC TECH'!$E:$E)="Dispatchable",0.9,1))))</f>
        <v>0.9</v>
      </c>
      <c r="I135" s="13" t="str">
        <f>IF(_xlfn.XLOOKUP(B135,'ELC TECH'!H:H,'ELC TECH'!J:J)="","",_xlfn.XLOOKUP(B135,'ELC TECH'!H:H,'ELC TECH'!J:J))</f>
        <v/>
      </c>
      <c r="J135" s="12">
        <f>IF(_xlfn.XLOOKUP($B135,'ELC TECH'!$H:$H,'ELC TECH'!$E:$E)="Storage","",IF(_xlfn.XLOOKUP($B135,'ELC TECH'!$H:$H,'ELC TECH'!AK:AK)="",1,_xlfn.XLOOKUP($B135,'ELC TECH'!$H:$H,'ELC TECH'!AK:AK)))</f>
        <v>0.47259579523562989</v>
      </c>
      <c r="K135" s="12">
        <f>IF(_xlfn.XLOOKUP($B135,'ELC TECH'!$H:$H,'ELC TECH'!$E:$E)="Storage","",IF(_xlfn.XLOOKUP($B135,'ELC TECH'!$H:$H,'ELC TECH'!AL:AL)="",1,_xlfn.XLOOKUP($B135,'ELC TECH'!$H:$H,'ELC TECH'!AL:AL)))</f>
        <v>0.47829291303633981</v>
      </c>
      <c r="L135" s="12">
        <f>IF(_xlfn.XLOOKUP($B135,'ELC TECH'!$H:$H,'ELC TECH'!$E:$E)="Storage","",IF(_xlfn.XLOOKUP($B135,'ELC TECH'!$H:$H,'ELC TECH'!AM:AM)="",1,_xlfn.XLOOKUP($B135,'ELC TECH'!$H:$H,'ELC TECH'!AM:AM)))</f>
        <v>0.48814615759674501</v>
      </c>
      <c r="M135" s="12">
        <f>IF(_xlfn.XLOOKUP($B135,'ELC TECH'!$H:$H,'ELC TECH'!$E:$E)="Storage","",IF(_xlfn.XLOOKUP($B135,'ELC TECH'!$H:$H,'ELC TECH'!AN:AN)="",1,_xlfn.XLOOKUP($B135,'ELC TECH'!$H:$H,'ELC TECH'!AN:AN)))</f>
        <v>0.49834111897199468</v>
      </c>
      <c r="N135" s="12">
        <f>IF(_xlfn.XLOOKUP($B135,'ELC TECH'!$H:$H,'ELC TECH'!$E:$E)="Storage","",IF(_xlfn.XLOOKUP($B135,'ELC TECH'!$H:$H,'ELC TECH'!AO:AO)="",1,_xlfn.XLOOKUP($B135,'ELC TECH'!$H:$H,'ELC TECH'!AO:AO)))</f>
        <v>0.49834111897199468</v>
      </c>
      <c r="O135" s="12">
        <f>IF(_xlfn.XLOOKUP($B135,'ELC TECH'!$H:$H,'ELC TECH'!$E:$E)="Storage","",IF(_xlfn.XLOOKUP($B135,'ELC TECH'!$H:$H,'ELC TECH'!AP:AP)="",1,_xlfn.XLOOKUP($B135,'ELC TECH'!$H:$H,'ELC TECH'!AP:AP)))</f>
        <v>0.49834111897199468</v>
      </c>
      <c r="P135" s="12">
        <f>IF(_xlfn.XLOOKUP($B135,'ELC TECH'!$H:$H,'ELC TECH'!$E:$E)="Storage","",IF(_xlfn.XLOOKUP($B135,'ELC TECH'!$H:$H,'ELC TECH'!AQ:AQ)="",1,_xlfn.XLOOKUP($B135,'ELC TECH'!$H:$H,'ELC TECH'!AQ:AQ)))</f>
        <v>0.49834111897199468</v>
      </c>
      <c r="Q135" s="12">
        <f>IF(_xlfn.XLOOKUP($B135,'ELC TECH'!$H:$H,'ELC TECH'!$E:$E)="Storage","",IF(_xlfn.XLOOKUP($B135,'ELC TECH'!$H:$H,'ELC TECH'!AR:AR)="",1,_xlfn.XLOOKUP($B135,'ELC TECH'!$H:$H,'ELC TECH'!AR:AR)))</f>
        <v>0.49834111897199468</v>
      </c>
      <c r="R135" s="12" t="str">
        <f>IF(_xlfn.XLOOKUP($B135,'ELC TECH'!$H:$H,'ELC TECH'!$E:$E)&lt;&gt;"Storage","",IF(_xlfn.XLOOKUP($B135,'ELC TECH'!$H:$H,'ELC TECH'!AK:AK)="",0.8,_xlfn.XLOOKUP($B135,'ELC TECH'!$H:$H,'ELC TECH'!AK:AK)))</f>
        <v/>
      </c>
      <c r="S135" s="12" t="str">
        <f>IF(_xlfn.XLOOKUP($B135,'ELC TECH'!$H:$H,'ELC TECH'!$E:$E)&lt;&gt;"Storage","",IF(_xlfn.XLOOKUP($B135,'ELC TECH'!$H:$H,'ELC TECH'!AL:AL)="",0.8,_xlfn.XLOOKUP($B135,'ELC TECH'!$H:$H,'ELC TECH'!AL:AL)))</f>
        <v/>
      </c>
      <c r="T135" s="12" t="str">
        <f>IF(_xlfn.XLOOKUP($B135,'ELC TECH'!$H:$H,'ELC TECH'!$E:$E)&lt;&gt;"Storage","",IF(_xlfn.XLOOKUP($B135,'ELC TECH'!$H:$H,'ELC TECH'!AM:AM)="",0.8,_xlfn.XLOOKUP($B135,'ELC TECH'!$H:$H,'ELC TECH'!AM:AM)))</f>
        <v/>
      </c>
      <c r="U135" s="12" t="str">
        <f>IF(_xlfn.XLOOKUP($B135,'ELC TECH'!$H:$H,'ELC TECH'!$E:$E)&lt;&gt;"Storage","",IF(_xlfn.XLOOKUP($B135,'ELC TECH'!$H:$H,'ELC TECH'!AN:AN)="",0.8,_xlfn.XLOOKUP($B135,'ELC TECH'!$H:$H,'ELC TECH'!AN:AN)))</f>
        <v/>
      </c>
      <c r="V135" s="12" t="str">
        <f>IF(_xlfn.XLOOKUP($B135,'ELC TECH'!$H:$H,'ELC TECH'!$E:$E)&lt;&gt;"Storage","",IF(_xlfn.XLOOKUP($B135,'ELC TECH'!$H:$H,'ELC TECH'!AO:AO)="",0.8,_xlfn.XLOOKUP($B135,'ELC TECH'!$H:$H,'ELC TECH'!AO:AO)))</f>
        <v/>
      </c>
      <c r="W135" s="12" t="str">
        <f>IF(_xlfn.XLOOKUP($B135,'ELC TECH'!$H:$H,'ELC TECH'!$E:$E)&lt;&gt;"Storage","",IF(_xlfn.XLOOKUP($B135,'ELC TECH'!$H:$H,'ELC TECH'!AP:AP)="",0.8,_xlfn.XLOOKUP($B135,'ELC TECH'!$H:$H,'ELC TECH'!AP:AP)))</f>
        <v/>
      </c>
      <c r="X135" s="12" t="str">
        <f>IF(_xlfn.XLOOKUP($B135,'ELC TECH'!$H:$H,'ELC TECH'!$E:$E)&lt;&gt;"Storage","",IF(_xlfn.XLOOKUP($B135,'ELC TECH'!$H:$H,'ELC TECH'!AQ:AQ)="",0.8,_xlfn.XLOOKUP($B135,'ELC TECH'!$H:$H,'ELC TECH'!AQ:AQ)))</f>
        <v/>
      </c>
      <c r="Y135" s="12" t="str">
        <f>IF(_xlfn.XLOOKUP($B135,'ELC TECH'!$H:$H,'ELC TECH'!$E:$E)&lt;&gt;"Storage","",IF(_xlfn.XLOOKUP($B135,'ELC TECH'!$H:$H,'ELC TECH'!AR:AR)="",0.8,_xlfn.XLOOKUP($B135,'ELC TECH'!$H:$H,'ELC TECH'!AR:AR)))</f>
        <v/>
      </c>
      <c r="Z135" s="15">
        <f>_xlfn.XLOOKUP($B135,'ELC TECH'!$H:$H,'ELC TECH'!M:M)</f>
        <v>2692.919679695688</v>
      </c>
      <c r="AA135" s="15">
        <f>_xlfn.XLOOKUP($B135,'ELC TECH'!$H:$H,'ELC TECH'!N:N)</f>
        <v>2538.796248101095</v>
      </c>
      <c r="AB135" s="15">
        <f>_xlfn.XLOOKUP($B135,'ELC TECH'!$H:$H,'ELC TECH'!O:O)</f>
        <v>2281.8861699037989</v>
      </c>
      <c r="AC135" s="15">
        <f>_xlfn.XLOOKUP($B135,'ELC TECH'!$H:$H,'ELC TECH'!P:P)</f>
        <v>2024.976091706503</v>
      </c>
      <c r="AD135" s="15">
        <f>_xlfn.XLOOKUP($B135,'ELC TECH'!$H:$H,'ELC TECH'!Q:Q)</f>
        <v>1909.2987105463651</v>
      </c>
      <c r="AE135" s="15">
        <f>_xlfn.XLOOKUP($B135,'ELC TECH'!$H:$H,'ELC TECH'!R:R)</f>
        <v>1793.7344060051521</v>
      </c>
      <c r="AF135" s="15">
        <f>_xlfn.XLOOKUP($B135,'ELC TECH'!$H:$H,'ELC TECH'!S:S)</f>
        <v>1678.1701014639391</v>
      </c>
      <c r="AG135" s="15">
        <f>_xlfn.XLOOKUP($B135,'ELC TECH'!$H:$H,'ELC TECH'!T:T)</f>
        <v>1678.1701014639391</v>
      </c>
      <c r="AH135" s="15">
        <f>_xlfn.XLOOKUP($B135,'ELC TECH'!$H:$H,'ELC TECH'!U:U)</f>
        <v>72.029806255139732</v>
      </c>
      <c r="AI135" s="15">
        <f>_xlfn.XLOOKUP($B135,'ELC TECH'!$H:$H,'ELC TECH'!V:V)</f>
        <v>67.959047973844562</v>
      </c>
      <c r="AJ135" s="15">
        <f>_xlfn.XLOOKUP($B135,'ELC TECH'!$H:$H,'ELC TECH'!W:W)</f>
        <v>61.061374219427726</v>
      </c>
      <c r="AK135" s="15">
        <f>_xlfn.XLOOKUP($B135,'ELC TECH'!$H:$H,'ELC TECH'!X:X)</f>
        <v>54.163700465010891</v>
      </c>
      <c r="AL135" s="15">
        <f>_xlfn.XLOOKUP($B135,'ELC TECH'!$H:$H,'ELC TECH'!Y:Y)</f>
        <v>51.336784991889232</v>
      </c>
      <c r="AM135" s="15">
        <f>_xlfn.XLOOKUP($B135,'ELC TECH'!$H:$H,'ELC TECH'!Z:Z)</f>
        <v>48.50986951876758</v>
      </c>
      <c r="AN135" s="15">
        <f>_xlfn.XLOOKUP($B135,'ELC TECH'!$H:$H,'ELC TECH'!AA:AA)</f>
        <v>45.682954045645928</v>
      </c>
      <c r="AO135" s="15">
        <f>_xlfn.XLOOKUP($B135,'ELC TECH'!$H:$H,'ELC TECH'!AB:AB)</f>
        <v>45.682954045645928</v>
      </c>
      <c r="AP135" s="15">
        <f>_xlfn.XLOOKUP($B135,'ELC TECH'!$H:$H,'ELC TECH'!AC:AC)</f>
        <v>1.4542909600614731</v>
      </c>
      <c r="AQ135" s="15">
        <f>_xlfn.XLOOKUP($B135,'ELC TECH'!$H:$H,'ELC TECH'!AD:AD)</f>
        <v>1.388329599021968</v>
      </c>
      <c r="AR135" s="15">
        <f>_xlfn.XLOOKUP($B135,'ELC TECH'!$H:$H,'ELC TECH'!AE:AE)</f>
        <v>1.275252980097102</v>
      </c>
      <c r="AS135" s="15">
        <f>_xlfn.XLOOKUP($B135,'ELC TECH'!$H:$H,'ELC TECH'!AF:AF)</f>
        <v>1.1653173783645929</v>
      </c>
      <c r="AT135" s="15">
        <f>_xlfn.XLOOKUP($B135,'ELC TECH'!$H:$H,'ELC TECH'!AG:AG)</f>
        <v>1.124484154863947</v>
      </c>
      <c r="AU135" s="15">
        <f>_xlfn.XLOOKUP($B135,'ELC TECH'!$H:$H,'ELC TECH'!AH:AH)</f>
        <v>1.0836509313633009</v>
      </c>
      <c r="AV135" s="15">
        <f>_xlfn.XLOOKUP($B135,'ELC TECH'!$H:$H,'ELC TECH'!AI:AI)</f>
        <v>1.042817707862655</v>
      </c>
      <c r="AW135" s="15">
        <f>_xlfn.XLOOKUP($B135,'ELC TECH'!$H:$H,'ELC TECH'!AJ:AJ)</f>
        <v>1.042817707862655</v>
      </c>
      <c r="AX135" s="12">
        <f>IF(_xlfn.XLOOKUP($B135,'ELC TECH'!$H:$H,'ELC TECH'!$E:$E)="Storage","",_xlfn.XLOOKUP($B135,'ELC TECH'!$H:$H,'ELC TECH'!AS:AS))</f>
        <v>0.9</v>
      </c>
      <c r="AY135" s="12">
        <f>IF(_xlfn.XLOOKUP($B135,'ELC TECH'!$H:$H,'ELC TECH'!$E:$E)="Storage","",_xlfn.XLOOKUP($B135,'ELC TECH'!$H:$H,'ELC TECH'!AT:AT))</f>
        <v>0.9</v>
      </c>
      <c r="AZ135" s="12">
        <f>IF(_xlfn.XLOOKUP($B135,'ELC TECH'!$H:$H,'ELC TECH'!$E:$E)="Storage","",_xlfn.XLOOKUP($B135,'ELC TECH'!$H:$H,'ELC TECH'!AU:AU))</f>
        <v>0.9</v>
      </c>
      <c r="BA135" s="12">
        <f>IF(_xlfn.XLOOKUP($B135,'ELC TECH'!$H:$H,'ELC TECH'!$E:$E)="Storage","",_xlfn.XLOOKUP($B135,'ELC TECH'!$H:$H,'ELC TECH'!AV:AV))</f>
        <v>0.9</v>
      </c>
      <c r="BB135" s="12">
        <f>IF(_xlfn.XLOOKUP($B135,'ELC TECH'!$H:$H,'ELC TECH'!$E:$E)="Storage","",_xlfn.XLOOKUP($B135,'ELC TECH'!$H:$H,'ELC TECH'!AW:AW))</f>
        <v>0.9</v>
      </c>
      <c r="BC135" s="12">
        <f>IF(_xlfn.XLOOKUP($B135,'ELC TECH'!$H:$H,'ELC TECH'!$E:$E)="Storage","",_xlfn.XLOOKUP($B135,'ELC TECH'!$H:$H,'ELC TECH'!AX:AX))</f>
        <v>0.9</v>
      </c>
      <c r="BD135" s="12">
        <f>IF(_xlfn.XLOOKUP($B135,'ELC TECH'!$H:$H,'ELC TECH'!$E:$E)="Storage","",_xlfn.XLOOKUP($B135,'ELC TECH'!$H:$H,'ELC TECH'!AY:AY))</f>
        <v>0.9</v>
      </c>
      <c r="BE135" s="12">
        <f>IF(_xlfn.XLOOKUP($B135,'ELC TECH'!$H:$H,'ELC TECH'!$E:$E)="Storage","",_xlfn.XLOOKUP($B135,'ELC TECH'!$H:$H,'ELC TECH'!AZ:AZ))</f>
        <v>0.9</v>
      </c>
      <c r="BF135" s="12" t="str">
        <f>IF(_xlfn.XLOOKUP($B135,'ELC TECH'!$H:$H,'ELC TECH'!$E:$E)="Storage",_xlfn.XLOOKUP($B135,'ELC TECH'!$H:$H,'ELC TECH'!AS:AS),"")</f>
        <v/>
      </c>
      <c r="BG135" s="12" t="str">
        <f>IF(_xlfn.XLOOKUP($B135,'ELC TECH'!$H:$H,'ELC TECH'!$E:$E)="Storage",_xlfn.XLOOKUP($B135,'ELC TECH'!$H:$H,'ELC TECH'!AT:AT),"")</f>
        <v/>
      </c>
      <c r="BH135" s="12" t="str">
        <f>IF(_xlfn.XLOOKUP($B135,'ELC TECH'!$H:$H,'ELC TECH'!$E:$E)="Storage",_xlfn.XLOOKUP($B135,'ELC TECH'!$H:$H,'ELC TECH'!AU:AU),"")</f>
        <v/>
      </c>
      <c r="BI135" s="12" t="str">
        <f>IF(_xlfn.XLOOKUP($B135,'ELC TECH'!$H:$H,'ELC TECH'!$E:$E)="Storage",_xlfn.XLOOKUP($B135,'ELC TECH'!$H:$H,'ELC TECH'!AV:AV),"")</f>
        <v/>
      </c>
      <c r="BJ135" s="12" t="str">
        <f>IF(_xlfn.XLOOKUP($B135,'ELC TECH'!$H:$H,'ELC TECH'!$E:$E)="Storage",_xlfn.XLOOKUP($B135,'ELC TECH'!$H:$H,'ELC TECH'!AW:AW),"")</f>
        <v/>
      </c>
      <c r="BK135" s="12" t="str">
        <f>IF(_xlfn.XLOOKUP($B135,'ELC TECH'!$H:$H,'ELC TECH'!$E:$E)="Storage",_xlfn.XLOOKUP($B135,'ELC TECH'!$H:$H,'ELC TECH'!AX:AX),"")</f>
        <v/>
      </c>
      <c r="BL135" s="12" t="str">
        <f>IF(_xlfn.XLOOKUP($B135,'ELC TECH'!$H:$H,'ELC TECH'!$E:$E)="Storage",_xlfn.XLOOKUP($B135,'ELC TECH'!$H:$H,'ELC TECH'!AY:AY),"")</f>
        <v/>
      </c>
      <c r="BM135" s="12" t="str">
        <f>IF(_xlfn.XLOOKUP($B135,'ELC TECH'!$H:$H,'ELC TECH'!$E:$E)="Storage",_xlfn.XLOOKUP($B135,'ELC TECH'!$H:$H,'ELC TECH'!AZ:AZ),"")</f>
        <v/>
      </c>
      <c r="BN135" s="8" t="str">
        <f>IF(_xlfn.XLOOKUP($B135,'ELC TECH'!$H:$H,'ELC TECH'!$E:$E)="Non Dispatchable",IFERROR($AX135*_xlfn.XLOOKUP($C135,$BM$1:$BM$3,BN$1:BN$3)/SUMPRODUCT(_xlfn.XLOOKUP($C135,$BM$1:$BM$3,$BN$1:$BY$3),$BN$4:$BY$4),""),
"")</f>
        <v/>
      </c>
      <c r="BO135" s="8" t="str">
        <f>IF(_xlfn.XLOOKUP($B135,'ELC TECH'!$H:$H,'ELC TECH'!$E:$E)="Non Dispatchable",IFERROR($AX135*_xlfn.XLOOKUP($C135,$BM$1:$BM$3,BO$1:BO$3)/SUMPRODUCT(_xlfn.XLOOKUP($C135,$BM$1:$BM$3,$BN$1:$BY$3),$BN$4:$BY$4),""),
"")</f>
        <v/>
      </c>
      <c r="BP135" s="8" t="str">
        <f>IF(_xlfn.XLOOKUP($B135,'ELC TECH'!$H:$H,'ELC TECH'!$E:$E)="Non Dispatchable",IFERROR($AX135*_xlfn.XLOOKUP($C135,$BM$1:$BM$3,BP$1:BP$3)/SUMPRODUCT(_xlfn.XLOOKUP($C135,$BM$1:$BM$3,$BN$1:$BY$3),$BN$4:$BY$4),""),
"")</f>
        <v/>
      </c>
      <c r="BQ135" s="8" t="str">
        <f>IF(_xlfn.XLOOKUP($B135,'ELC TECH'!$H:$H,'ELC TECH'!$E:$E)="Non Dispatchable",IFERROR($AX135*_xlfn.XLOOKUP($C135,$BM$1:$BM$3,BQ$1:BQ$3)/SUMPRODUCT(_xlfn.XLOOKUP($C135,$BM$1:$BM$3,$BN$1:$BY$3),$BN$4:$BY$4),""),
"")</f>
        <v/>
      </c>
      <c r="BR135" s="8" t="str">
        <f>IF(_xlfn.XLOOKUP($B135,'ELC TECH'!$H:$H,'ELC TECH'!$E:$E)="Non Dispatchable",IFERROR($AX135*_xlfn.XLOOKUP($C135,$BM$1:$BM$3,BR$1:BR$3)/SUMPRODUCT(_xlfn.XLOOKUP($C135,$BM$1:$BM$3,$BN$1:$BY$3),$BN$4:$BY$4),""),
"")</f>
        <v/>
      </c>
      <c r="BS135" s="8" t="str">
        <f>IF(_xlfn.XLOOKUP($B135,'ELC TECH'!$H:$H,'ELC TECH'!$E:$E)="Non Dispatchable",IFERROR($AX135*_xlfn.XLOOKUP($C135,$BM$1:$BM$3,BS$1:BS$3)/SUMPRODUCT(_xlfn.XLOOKUP($C135,$BM$1:$BM$3,$BN$1:$BY$3),$BN$4:$BY$4),""),
"")</f>
        <v/>
      </c>
      <c r="BT135" s="8" t="str">
        <f>IF(_xlfn.XLOOKUP($B135,'ELC TECH'!$H:$H,'ELC TECH'!$E:$E)="Non Dispatchable",IFERROR($AX135*_xlfn.XLOOKUP($C135,$BM$1:$BM$3,BT$1:BT$3)/SUMPRODUCT(_xlfn.XLOOKUP($C135,$BM$1:$BM$3,$BN$1:$BY$3),$BN$4:$BY$4),""),
"")</f>
        <v/>
      </c>
      <c r="BU135" s="8" t="str">
        <f>IF(_xlfn.XLOOKUP($B135,'ELC TECH'!$H:$H,'ELC TECH'!$E:$E)="Non Dispatchable",IFERROR($AX135*_xlfn.XLOOKUP($C135,$BM$1:$BM$3,BU$1:BU$3)/SUMPRODUCT(_xlfn.XLOOKUP($C135,$BM$1:$BM$3,$BN$1:$BY$3),$BN$4:$BY$4),""),
"")</f>
        <v/>
      </c>
      <c r="BV135" s="8" t="str">
        <f>IF(_xlfn.XLOOKUP($B135,'ELC TECH'!$H:$H,'ELC TECH'!$E:$E)="Non Dispatchable",IFERROR($AX135*_xlfn.XLOOKUP($C135,$BM$1:$BM$3,BV$1:BV$3)/SUMPRODUCT(_xlfn.XLOOKUP($C135,$BM$1:$BM$3,$BN$1:$BY$3),$BN$4:$BY$4),""),
"")</f>
        <v/>
      </c>
      <c r="BW135" s="8" t="str">
        <f>IF(_xlfn.XLOOKUP($B135,'ELC TECH'!$H:$H,'ELC TECH'!$E:$E)="Non Dispatchable",IFERROR($AX135*_xlfn.XLOOKUP($C135,$BM$1:$BM$3,BW$1:BW$3)/SUMPRODUCT(_xlfn.XLOOKUP($C135,$BM$1:$BM$3,$BN$1:$BY$3),$BN$4:$BY$4),""),
"")</f>
        <v/>
      </c>
      <c r="BX135" s="8" t="str">
        <f>IF(_xlfn.XLOOKUP($B135,'ELC TECH'!$H:$H,'ELC TECH'!$E:$E)="Non Dispatchable",IFERROR($AX135*_xlfn.XLOOKUP($C135,$BM$1:$BM$3,BX$1:BX$3)/SUMPRODUCT(_xlfn.XLOOKUP($C135,$BM$1:$BM$3,$BN$1:$BY$3),$BN$4:$BY$4),""),
"")</f>
        <v/>
      </c>
      <c r="BY135" s="8" t="str">
        <f>IF(_xlfn.XLOOKUP($B135,'ELC TECH'!$H:$H,'ELC TECH'!$E:$E)="Non Dispatchable",IFERROR($AX135*_xlfn.XLOOKUP($C135,$BM$1:$BM$3,BY$1:BY$3)/SUMPRODUCT(_xlfn.XLOOKUP($C135,$BM$1:$BM$3,$BN$1:$BY$3),$BN$4:$BY$4),""),
"")</f>
        <v/>
      </c>
      <c r="BZ135" s="8" t="str">
        <f>IF(_xlfn.XLOOKUP($B135,'ELC TECH'!$H:$H,'ELC TECH'!$E:$E)="Non Dispatchable",IFERROR($AX135*_xlfn.XLOOKUP($C135,$BM$1:$BM$3,BZ$1:BZ$3)/SUMPRODUCT(_xlfn.XLOOKUP($C135,$BM$1:$BM$3,$BN$1:$BY$3),$BN$4:$BY$4),""),
"")</f>
        <v/>
      </c>
      <c r="CA135" s="8" t="str">
        <f>IF(_xlfn.XLOOKUP($B135,'ELC TECH'!$H:$H,'ELC TECH'!$E:$E)="Non Dispatchable",IFERROR($AX135*_xlfn.XLOOKUP($C135,$BM$1:$BM$3,CA$1:CA$3)/SUMPRODUCT(_xlfn.XLOOKUP($C135,$BM$1:$BM$3,$BN$1:$BY$3),$BN$4:$BY$4),""),
"")</f>
        <v/>
      </c>
      <c r="CB135" s="8" t="str">
        <f>IF(_xlfn.XLOOKUP($B135,'ELC TECH'!$H:$H,'ELC TECH'!$E:$E)="Non Dispatchable",IFERROR($AX135*_xlfn.XLOOKUP($C135,$BM$1:$BM$3,CB$1:CB$3)/SUMPRODUCT(_xlfn.XLOOKUP($C135,$BM$1:$BM$3,$BN$1:$BY$3),$BN$4:$BY$4),""),
"")</f>
        <v/>
      </c>
      <c r="CC135" s="8" t="str">
        <f>IF(_xlfn.XLOOKUP($B135,'ELC TECH'!$H:$H,'ELC TECH'!$E:$E)="Non Dispatchable",IFERROR($AX135*_xlfn.XLOOKUP($C135,$BM$1:$BM$3,CC$1:CC$3)/SUMPRODUCT(_xlfn.XLOOKUP($C135,$BM$1:$BM$3,$BN$1:$BY$3),$BN$4:$BY$4),""),
"")</f>
        <v/>
      </c>
      <c r="CD135" s="8" t="str">
        <f>IF(_xlfn.XLOOKUP($B135,'ELC TECH'!$H:$H,'ELC TECH'!$E:$E)="Non Dispatchable",IFERROR($AX135*_xlfn.XLOOKUP($C135,$BM$1:$BM$3,CD$1:CD$3)/SUMPRODUCT(_xlfn.XLOOKUP($C135,$BM$1:$BM$3,$BN$1:$BY$3),$BN$4:$BY$4),""),
"")</f>
        <v/>
      </c>
      <c r="CE135" s="8" t="str">
        <f>IF(_xlfn.XLOOKUP($B135,'ELC TECH'!$H:$H,'ELC TECH'!$E:$E)="Non Dispatchable",IFERROR($AX135*_xlfn.XLOOKUP($C135,$BM$1:$BM$3,CE$1:CE$3)/SUMPRODUCT(_xlfn.XLOOKUP($C135,$BM$1:$BM$3,$BN$1:$BY$3),$BN$4:$BY$4),""),
"")</f>
        <v/>
      </c>
      <c r="CF135" s="8" t="str">
        <f>IF(_xlfn.XLOOKUP($B135,'ELC TECH'!$H:$H,'ELC TECH'!$E:$E)="Non Dispatchable",IFERROR($AX135*_xlfn.XLOOKUP($C135,$BM$1:$BM$3,CF$1:CF$3)/SUMPRODUCT(_xlfn.XLOOKUP($C135,$BM$1:$BM$3,$BN$1:$BY$3),$BN$4:$BY$4),""),
"")</f>
        <v/>
      </c>
      <c r="CG135" s="8" t="str">
        <f>IF(_xlfn.XLOOKUP($B135,'ELC TECH'!$H:$H,'ELC TECH'!$E:$E)="Non Dispatchable",IFERROR($AX135*_xlfn.XLOOKUP($C135,$BM$1:$BM$3,CG$1:CG$3)/SUMPRODUCT(_xlfn.XLOOKUP($C135,$BM$1:$BM$3,$BN$1:$BY$3),$BN$4:$BY$4),""),
"")</f>
        <v/>
      </c>
      <c r="CH135" s="8" t="str">
        <f>IF(_xlfn.XLOOKUP($B135,'ELC TECH'!$H:$H,'ELC TECH'!$E:$E)="Non Dispatchable",IFERROR($AX135*_xlfn.XLOOKUP($C135,$BM$1:$BM$3,CH$1:CH$3)/SUMPRODUCT(_xlfn.XLOOKUP($C135,$BM$1:$BM$3,$BN$1:$BY$3),$BN$4:$BY$4),""),
"")</f>
        <v/>
      </c>
      <c r="CI135" s="8" t="str">
        <f>IF(_xlfn.XLOOKUP($B135,'ELC TECH'!$H:$H,'ELC TECH'!$E:$E)="Non Dispatchable",IFERROR($AX135*_xlfn.XLOOKUP($C135,$BM$1:$BM$3,CI$1:CI$3)/SUMPRODUCT(_xlfn.XLOOKUP($C135,$BM$1:$BM$3,$BN$1:$BY$3),$BN$4:$BY$4),""),
"")</f>
        <v/>
      </c>
      <c r="CJ135" s="8" t="str">
        <f>IF(_xlfn.XLOOKUP($B135,'ELC TECH'!$H:$H,'ELC TECH'!$E:$E)="Non Dispatchable",IFERROR($AX135*_xlfn.XLOOKUP($C135,$BM$1:$BM$3,CJ$1:CJ$3)/SUMPRODUCT(_xlfn.XLOOKUP($C135,$BM$1:$BM$3,$BN$1:$BY$3),$BN$4:$BY$4),""),
"")</f>
        <v/>
      </c>
      <c r="CK135" s="8" t="str">
        <f>IF(_xlfn.XLOOKUP($B135,'ELC TECH'!$H:$H,'ELC TECH'!$E:$E)="Non Dispatchable",IFERROR($AX135*_xlfn.XLOOKUP($C135,$BM$1:$BM$3,CK$1:CK$3)/SUMPRODUCT(_xlfn.XLOOKUP($C135,$BM$1:$BM$3,$BN$1:$BY$3),$BN$4:$BY$4),""),
"")</f>
        <v/>
      </c>
      <c r="CL135" s="8" t="str">
        <f>IF(_xlfn.XLOOKUP($B135,'ELC TECH'!$H:$H,'ELC TECH'!$E:$E)="Storage",CL$4*$BF135,"")</f>
        <v/>
      </c>
      <c r="CM135" s="8" t="str">
        <f>IF(_xlfn.XLOOKUP($B135,'ELC TECH'!$H:$H,'ELC TECH'!$E:$E)="Storage",CM$4*$BF135,"")</f>
        <v/>
      </c>
      <c r="CN135" s="8" t="str">
        <f>IF(_xlfn.XLOOKUP($B135,'ELC TECH'!$H:$H,'ELC TECH'!$E:$E)="Storage",CN$4*$BF135,"")</f>
        <v/>
      </c>
      <c r="CO135" s="8" t="str">
        <f>IF(_xlfn.XLOOKUP($B135,'ELC TECH'!$H:$H,'ELC TECH'!$E:$E)="Storage",CO$4*$BF135,"")</f>
        <v/>
      </c>
      <c r="CP135" s="8" t="str">
        <f>IF(_xlfn.XLOOKUP($B135,'ELC TECH'!$H:$H,'ELC TECH'!$E:$E)="Storage",CP$4*$BF135,"")</f>
        <v/>
      </c>
      <c r="CQ135" s="8" t="str">
        <f>IF(_xlfn.XLOOKUP($B135,'ELC TECH'!$H:$H,'ELC TECH'!$E:$E)="Storage",CQ$4*$BF135,"")</f>
        <v/>
      </c>
      <c r="CR135" s="8" t="str">
        <f>IF(_xlfn.XLOOKUP($B135,'ELC TECH'!$H:$H,'ELC TECH'!$E:$E)="Storage",CR$4*$BF135,"")</f>
        <v/>
      </c>
      <c r="CS135" s="8" t="str">
        <f>IF(_xlfn.XLOOKUP($B135,'ELC TECH'!$H:$H,'ELC TECH'!$E:$E)="Storage",CS$4*$BF135,"")</f>
        <v/>
      </c>
      <c r="CT135" s="8" t="str">
        <f>IF(_xlfn.XLOOKUP($B135,'ELC TECH'!$H:$H,'ELC TECH'!$E:$E)="Storage",CT$4*$BF135,"")</f>
        <v/>
      </c>
      <c r="CU135" s="8" t="str">
        <f>IF(_xlfn.XLOOKUP($B135,'ELC TECH'!$H:$H,'ELC TECH'!$E:$E)="Storage",CU$4*$BF135,"")</f>
        <v/>
      </c>
      <c r="CV135" s="8" t="str">
        <f>IF(_xlfn.XLOOKUP($B135,'ELC TECH'!$H:$H,'ELC TECH'!$E:$E)="Storage",CV$4*$BF135,"")</f>
        <v/>
      </c>
      <c r="CW135" s="8" t="str">
        <f>IF(_xlfn.XLOOKUP($B135,'ELC TECH'!$H:$H,'ELC TECH'!$E:$E)="Storage",CW$4*$BF135,"")</f>
        <v/>
      </c>
      <c r="CX135" s="8" t="str">
        <f>IF(_xlfn.XLOOKUP($B135,'ELC TECH'!$H:$H,'ELC TECH'!$E:$E)="Storage",CX$4*$BF135,"")</f>
        <v/>
      </c>
      <c r="CY135" s="8" t="str">
        <f>IF(_xlfn.XLOOKUP($B135,'ELC TECH'!$H:$H,'ELC TECH'!$E:$E)="Storage",CY$4*$BF135,"")</f>
        <v/>
      </c>
      <c r="CZ135" s="8" t="str">
        <f>IF(_xlfn.XLOOKUP($B135,'ELC TECH'!$H:$H,'ELC TECH'!$E:$E)="Storage",CZ$4*$BF135,"")</f>
        <v/>
      </c>
      <c r="DA135" s="8" t="str">
        <f>IF(_xlfn.XLOOKUP($B135,'ELC TECH'!$H:$H,'ELC TECH'!$E:$E)="Storage",DA$4*$BF135,"")</f>
        <v/>
      </c>
      <c r="DB135" s="8" t="str">
        <f>IF(_xlfn.XLOOKUP($B135,'ELC TECH'!$H:$H,'ELC TECH'!$E:$E)="Storage",DB$4*$BF135,"")</f>
        <v/>
      </c>
      <c r="DC135" s="8" t="str">
        <f>IF(_xlfn.XLOOKUP($B135,'ELC TECH'!$H:$H,'ELC TECH'!$E:$E)="Storage",DC$4*$BF135,"")</f>
        <v/>
      </c>
      <c r="DD135" s="8" t="str">
        <f>IF(_xlfn.XLOOKUP($B135,'ELC TECH'!$H:$H,'ELC TECH'!$E:$E)="Storage",DD$4*$BF135,"")</f>
        <v/>
      </c>
      <c r="DE135" s="8" t="str">
        <f>IF(_xlfn.XLOOKUP($B135,'ELC TECH'!$H:$H,'ELC TECH'!$E:$E)="Storage",DE$4*$BF135,"")</f>
        <v/>
      </c>
      <c r="DF135" s="8" t="str">
        <f>IF(_xlfn.XLOOKUP($B135,'ELC TECH'!$H:$H,'ELC TECH'!$E:$E)="Storage",DF$4*$BF135,"")</f>
        <v/>
      </c>
      <c r="DG135" s="8" t="str">
        <f>IF(_xlfn.XLOOKUP($B135,'ELC TECH'!$H:$H,'ELC TECH'!$E:$E)="Storage",DG$4*$BF135,"")</f>
        <v/>
      </c>
      <c r="DH135" s="8" t="str">
        <f>IF(_xlfn.XLOOKUP($B135,'ELC TECH'!$H:$H,'ELC TECH'!$E:$E)="Storage",DH$4*$BF135,"")</f>
        <v/>
      </c>
      <c r="DI135" s="8" t="str">
        <f>IF(_xlfn.XLOOKUP($B135,'ELC TECH'!$H:$H,'ELC TECH'!$E:$E)="Storage",DI$4*$BF135,"")</f>
        <v/>
      </c>
    </row>
    <row r="136" spans="2:113" x14ac:dyDescent="0.25">
      <c r="B136" t="str">
        <f>IF('ELC TECH'!I129=0,"*",'ELC TECH'!H129)</f>
        <v>ELCNGAGRDFFCC97CCS20</v>
      </c>
      <c r="C136" t="str">
        <f>IF(_xlfn.XLOOKUP(_xlfn.XLOOKUP(B136,'ELC TECH'!$H:$H,'ELC TECH'!$G:$G),List!C:C,List!B:B)="STG",D136,"ELC"&amp;_xlfn.XLOOKUP(_xlfn.XLOOKUP(B136,'ELC TECH'!H:H,'ELC TECH'!G:G),List!C:C,List!B:B))</f>
        <v>ELCNGA</v>
      </c>
      <c r="D136" t="s">
        <v>544</v>
      </c>
      <c r="E136">
        <f>_xlfn.XLOOKUP(B136,'ELC TECH'!H:H,'ELC TECH'!D:D)</f>
        <v>2020</v>
      </c>
      <c r="F136">
        <f>_xlfn.XLOOKUP(B136,'ELC TECH'!H:H,'ELC TECH'!K:K)</f>
        <v>30</v>
      </c>
      <c r="G136">
        <f t="shared" si="7"/>
        <v>31.535999999999998</v>
      </c>
      <c r="H136">
        <f>IF(_xlfn.XLOOKUP(B136,'ELC TECH'!$H:$H,'ELC TECH'!$E:$E)="Storage",0.3,IF(_xlfn.XLOOKUP(B136,'ELC TECH'!$H:$H,'ELC TECH'!$E:$E)="Baseload",0.9,IF(_xlfn.XLOOKUP(B136,'ELC TECH'!$H:$H,'ELC TECH'!$E:$E)="Non Dispatchable",0.05,IF(_xlfn.XLOOKUP(B136,'ELC TECH'!$H:$H,'ELC TECH'!$E:$E)="Dispatchable",0.9,1))))</f>
        <v>0.9</v>
      </c>
      <c r="I136" s="13" t="str">
        <f>IF(_xlfn.XLOOKUP(B136,'ELC TECH'!H:H,'ELC TECH'!J:J)="","",_xlfn.XLOOKUP(B136,'ELC TECH'!H:H,'ELC TECH'!J:J))</f>
        <v/>
      </c>
      <c r="J136" s="12">
        <f>IF(_xlfn.XLOOKUP($B136,'ELC TECH'!$H:$H,'ELC TECH'!$E:$E)="Storage","",IF(_xlfn.XLOOKUP($B136,'ELC TECH'!$H:$H,'ELC TECH'!AK:AK)="",1,_xlfn.XLOOKUP($B136,'ELC TECH'!$H:$H,'ELC TECH'!AK:AK)))</f>
        <v>0.46999196165306462</v>
      </c>
      <c r="K136" s="12">
        <f>IF(_xlfn.XLOOKUP($B136,'ELC TECH'!$H:$H,'ELC TECH'!$E:$E)="Storage","",IF(_xlfn.XLOOKUP($B136,'ELC TECH'!$H:$H,'ELC TECH'!AL:AL)="",1,_xlfn.XLOOKUP($B136,'ELC TECH'!$H:$H,'ELC TECH'!AL:AL)))</f>
        <v>0.47582507901286403</v>
      </c>
      <c r="L136" s="12">
        <f>IF(_xlfn.XLOOKUP($B136,'ELC TECH'!$H:$H,'ELC TECH'!$E:$E)="Storage","",IF(_xlfn.XLOOKUP($B136,'ELC TECH'!$H:$H,'ELC TECH'!AM:AM)="",1,_xlfn.XLOOKUP($B136,'ELC TECH'!$H:$H,'ELC TECH'!AM:AM)))</f>
        <v>0.48571411268345172</v>
      </c>
      <c r="M136" s="12">
        <f>IF(_xlfn.XLOOKUP($B136,'ELC TECH'!$H:$H,'ELC TECH'!$E:$E)="Storage","",IF(_xlfn.XLOOKUP($B136,'ELC TECH'!$H:$H,'ELC TECH'!AN:AN)="",1,_xlfn.XLOOKUP($B136,'ELC TECH'!$H:$H,'ELC TECH'!AN:AN)))</f>
        <v>0.4960950336727607</v>
      </c>
      <c r="N136" s="12">
        <f>IF(_xlfn.XLOOKUP($B136,'ELC TECH'!$H:$H,'ELC TECH'!$E:$E)="Storage","",IF(_xlfn.XLOOKUP($B136,'ELC TECH'!$H:$H,'ELC TECH'!AO:AO)="",1,_xlfn.XLOOKUP($B136,'ELC TECH'!$H:$H,'ELC TECH'!AO:AO)))</f>
        <v>0.4960950336727607</v>
      </c>
      <c r="O136" s="12">
        <f>IF(_xlfn.XLOOKUP($B136,'ELC TECH'!$H:$H,'ELC TECH'!$E:$E)="Storage","",IF(_xlfn.XLOOKUP($B136,'ELC TECH'!$H:$H,'ELC TECH'!AP:AP)="",1,_xlfn.XLOOKUP($B136,'ELC TECH'!$H:$H,'ELC TECH'!AP:AP)))</f>
        <v>0.4960950336727607</v>
      </c>
      <c r="P136" s="12">
        <f>IF(_xlfn.XLOOKUP($B136,'ELC TECH'!$H:$H,'ELC TECH'!$E:$E)="Storage","",IF(_xlfn.XLOOKUP($B136,'ELC TECH'!$H:$H,'ELC TECH'!AQ:AQ)="",1,_xlfn.XLOOKUP($B136,'ELC TECH'!$H:$H,'ELC TECH'!AQ:AQ)))</f>
        <v>0.4960950336727607</v>
      </c>
      <c r="Q136" s="12">
        <f>IF(_xlfn.XLOOKUP($B136,'ELC TECH'!$H:$H,'ELC TECH'!$E:$E)="Storage","",IF(_xlfn.XLOOKUP($B136,'ELC TECH'!$H:$H,'ELC TECH'!AR:AR)="",1,_xlfn.XLOOKUP($B136,'ELC TECH'!$H:$H,'ELC TECH'!AR:AR)))</f>
        <v>0.4960950336727607</v>
      </c>
      <c r="R136" s="12" t="str">
        <f>IF(_xlfn.XLOOKUP($B136,'ELC TECH'!$H:$H,'ELC TECH'!$E:$E)&lt;&gt;"Storage","",IF(_xlfn.XLOOKUP($B136,'ELC TECH'!$H:$H,'ELC TECH'!AK:AK)="",0.8,_xlfn.XLOOKUP($B136,'ELC TECH'!$H:$H,'ELC TECH'!AK:AK)))</f>
        <v/>
      </c>
      <c r="S136" s="12" t="str">
        <f>IF(_xlfn.XLOOKUP($B136,'ELC TECH'!$H:$H,'ELC TECH'!$E:$E)&lt;&gt;"Storage","",IF(_xlfn.XLOOKUP($B136,'ELC TECH'!$H:$H,'ELC TECH'!AL:AL)="",0.8,_xlfn.XLOOKUP($B136,'ELC TECH'!$H:$H,'ELC TECH'!AL:AL)))</f>
        <v/>
      </c>
      <c r="T136" s="12" t="str">
        <f>IF(_xlfn.XLOOKUP($B136,'ELC TECH'!$H:$H,'ELC TECH'!$E:$E)&lt;&gt;"Storage","",IF(_xlfn.XLOOKUP($B136,'ELC TECH'!$H:$H,'ELC TECH'!AM:AM)="",0.8,_xlfn.XLOOKUP($B136,'ELC TECH'!$H:$H,'ELC TECH'!AM:AM)))</f>
        <v/>
      </c>
      <c r="U136" s="12" t="str">
        <f>IF(_xlfn.XLOOKUP($B136,'ELC TECH'!$H:$H,'ELC TECH'!$E:$E)&lt;&gt;"Storage","",IF(_xlfn.XLOOKUP($B136,'ELC TECH'!$H:$H,'ELC TECH'!AN:AN)="",0.8,_xlfn.XLOOKUP($B136,'ELC TECH'!$H:$H,'ELC TECH'!AN:AN)))</f>
        <v/>
      </c>
      <c r="V136" s="12" t="str">
        <f>IF(_xlfn.XLOOKUP($B136,'ELC TECH'!$H:$H,'ELC TECH'!$E:$E)&lt;&gt;"Storage","",IF(_xlfn.XLOOKUP($B136,'ELC TECH'!$H:$H,'ELC TECH'!AO:AO)="",0.8,_xlfn.XLOOKUP($B136,'ELC TECH'!$H:$H,'ELC TECH'!AO:AO)))</f>
        <v/>
      </c>
      <c r="W136" s="12" t="str">
        <f>IF(_xlfn.XLOOKUP($B136,'ELC TECH'!$H:$H,'ELC TECH'!$E:$E)&lt;&gt;"Storage","",IF(_xlfn.XLOOKUP($B136,'ELC TECH'!$H:$H,'ELC TECH'!AP:AP)="",0.8,_xlfn.XLOOKUP($B136,'ELC TECH'!$H:$H,'ELC TECH'!AP:AP)))</f>
        <v/>
      </c>
      <c r="X136" s="12" t="str">
        <f>IF(_xlfn.XLOOKUP($B136,'ELC TECH'!$H:$H,'ELC TECH'!$E:$E)&lt;&gt;"Storage","",IF(_xlfn.XLOOKUP($B136,'ELC TECH'!$H:$H,'ELC TECH'!AQ:AQ)="",0.8,_xlfn.XLOOKUP($B136,'ELC TECH'!$H:$H,'ELC TECH'!AQ:AQ)))</f>
        <v/>
      </c>
      <c r="Y136" s="12" t="str">
        <f>IF(_xlfn.XLOOKUP($B136,'ELC TECH'!$H:$H,'ELC TECH'!$E:$E)&lt;&gt;"Storage","",IF(_xlfn.XLOOKUP($B136,'ELC TECH'!$H:$H,'ELC TECH'!AR:AR)="",0.8,_xlfn.XLOOKUP($B136,'ELC TECH'!$H:$H,'ELC TECH'!AR:AR)))</f>
        <v/>
      </c>
      <c r="Z136" s="15">
        <f>_xlfn.XLOOKUP($B136,'ELC TECH'!$H:$H,'ELC TECH'!M:M)</f>
        <v>2734.0795689843389</v>
      </c>
      <c r="AA136" s="15">
        <f>_xlfn.XLOOKUP($B136,'ELC TECH'!$H:$H,'ELC TECH'!N:N)</f>
        <v>2576.3376855841511</v>
      </c>
      <c r="AB136" s="15">
        <f>_xlfn.XLOOKUP($B136,'ELC TECH'!$H:$H,'ELC TECH'!O:O)</f>
        <v>2313.434546583836</v>
      </c>
      <c r="AC136" s="15">
        <f>_xlfn.XLOOKUP($B136,'ELC TECH'!$H:$H,'ELC TECH'!P:P)</f>
        <v>2050.5314075835231</v>
      </c>
      <c r="AD136" s="15">
        <f>_xlfn.XLOOKUP($B136,'ELC TECH'!$H:$H,'ELC TECH'!Q:Q)</f>
        <v>1933.497106996286</v>
      </c>
      <c r="AE136" s="15">
        <f>_xlfn.XLOOKUP($B136,'ELC TECH'!$H:$H,'ELC TECH'!R:R)</f>
        <v>1816.46280640905</v>
      </c>
      <c r="AF136" s="15">
        <f>_xlfn.XLOOKUP($B136,'ELC TECH'!$H:$H,'ELC TECH'!S:S)</f>
        <v>1699.315429202888</v>
      </c>
      <c r="AG136" s="15">
        <f>_xlfn.XLOOKUP($B136,'ELC TECH'!$H:$H,'ELC TECH'!T:T)</f>
        <v>1699.315429202888</v>
      </c>
      <c r="AH136" s="15">
        <f>_xlfn.XLOOKUP($B136,'ELC TECH'!$H:$H,'ELC TECH'!U:U)</f>
        <v>73.047495825463542</v>
      </c>
      <c r="AI136" s="15">
        <f>_xlfn.XLOOKUP($B136,'ELC TECH'!$H:$H,'ELC TECH'!V:V)</f>
        <v>68.863660925243494</v>
      </c>
      <c r="AJ136" s="15">
        <f>_xlfn.XLOOKUP($B136,'ELC TECH'!$H:$H,'ELC TECH'!W:W)</f>
        <v>61.852910551901793</v>
      </c>
      <c r="AK136" s="15">
        <f>_xlfn.XLOOKUP($B136,'ELC TECH'!$H:$H,'ELC TECH'!X:X)</f>
        <v>54.842160178560093</v>
      </c>
      <c r="AL136" s="15">
        <f>_xlfn.XLOOKUP($B136,'ELC TECH'!$H:$H,'ELC TECH'!Y:Y)</f>
        <v>52.015244705438427</v>
      </c>
      <c r="AM136" s="15">
        <f>_xlfn.XLOOKUP($B136,'ELC TECH'!$H:$H,'ELC TECH'!Z:Z)</f>
        <v>49.07525261339191</v>
      </c>
      <c r="AN136" s="15">
        <f>_xlfn.XLOOKUP($B136,'ELC TECH'!$H:$H,'ELC TECH'!AA:AA)</f>
        <v>46.248337140270259</v>
      </c>
      <c r="AO136" s="15">
        <f>_xlfn.XLOOKUP($B136,'ELC TECH'!$H:$H,'ELC TECH'!AB:AB)</f>
        <v>46.248337140270259</v>
      </c>
      <c r="AP136" s="15">
        <f>_xlfn.XLOOKUP($B136,'ELC TECH'!$H:$H,'ELC TECH'!AC:AC)</f>
        <v>1.4794190976003321</v>
      </c>
      <c r="AQ136" s="15">
        <f>_xlfn.XLOOKUP($B136,'ELC TECH'!$H:$H,'ELC TECH'!AD:AD)</f>
        <v>1.41031671936847</v>
      </c>
      <c r="AR136" s="15">
        <f>_xlfn.XLOOKUP($B136,'ELC TECH'!$H:$H,'ELC TECH'!AE:AE)</f>
        <v>1.2972401004436029</v>
      </c>
      <c r="AS136" s="15">
        <f>_xlfn.XLOOKUP($B136,'ELC TECH'!$H:$H,'ELC TECH'!AF:AF)</f>
        <v>1.184163481518737</v>
      </c>
      <c r="AT136" s="15">
        <f>_xlfn.XLOOKUP($B136,'ELC TECH'!$H:$H,'ELC TECH'!AG:AG)</f>
        <v>1.1433302580180911</v>
      </c>
      <c r="AU136" s="15">
        <f>_xlfn.XLOOKUP($B136,'ELC TECH'!$H:$H,'ELC TECH'!AH:AH)</f>
        <v>1.102497034517445</v>
      </c>
      <c r="AV136" s="15">
        <f>_xlfn.XLOOKUP($B136,'ELC TECH'!$H:$H,'ELC TECH'!AI:AI)</f>
        <v>1.0616638110167991</v>
      </c>
      <c r="AW136" s="15">
        <f>_xlfn.XLOOKUP($B136,'ELC TECH'!$H:$H,'ELC TECH'!AJ:AJ)</f>
        <v>1.0616638110167991</v>
      </c>
      <c r="AX136" s="12">
        <f>IF(_xlfn.XLOOKUP($B136,'ELC TECH'!$H:$H,'ELC TECH'!$E:$E)="Storage","",_xlfn.XLOOKUP($B136,'ELC TECH'!$H:$H,'ELC TECH'!AS:AS))</f>
        <v>0.9</v>
      </c>
      <c r="AY136" s="12">
        <f>IF(_xlfn.XLOOKUP($B136,'ELC TECH'!$H:$H,'ELC TECH'!$E:$E)="Storage","",_xlfn.XLOOKUP($B136,'ELC TECH'!$H:$H,'ELC TECH'!AT:AT))</f>
        <v>0.9</v>
      </c>
      <c r="AZ136" s="12">
        <f>IF(_xlfn.XLOOKUP($B136,'ELC TECH'!$H:$H,'ELC TECH'!$E:$E)="Storage","",_xlfn.XLOOKUP($B136,'ELC TECH'!$H:$H,'ELC TECH'!AU:AU))</f>
        <v>0.9</v>
      </c>
      <c r="BA136" s="12">
        <f>IF(_xlfn.XLOOKUP($B136,'ELC TECH'!$H:$H,'ELC TECH'!$E:$E)="Storage","",_xlfn.XLOOKUP($B136,'ELC TECH'!$H:$H,'ELC TECH'!AV:AV))</f>
        <v>0.9</v>
      </c>
      <c r="BB136" s="12">
        <f>IF(_xlfn.XLOOKUP($B136,'ELC TECH'!$H:$H,'ELC TECH'!$E:$E)="Storage","",_xlfn.XLOOKUP($B136,'ELC TECH'!$H:$H,'ELC TECH'!AW:AW))</f>
        <v>0.9</v>
      </c>
      <c r="BC136" s="12">
        <f>IF(_xlfn.XLOOKUP($B136,'ELC TECH'!$H:$H,'ELC TECH'!$E:$E)="Storage","",_xlfn.XLOOKUP($B136,'ELC TECH'!$H:$H,'ELC TECH'!AX:AX))</f>
        <v>0.9</v>
      </c>
      <c r="BD136" s="12">
        <f>IF(_xlfn.XLOOKUP($B136,'ELC TECH'!$H:$H,'ELC TECH'!$E:$E)="Storage","",_xlfn.XLOOKUP($B136,'ELC TECH'!$H:$H,'ELC TECH'!AY:AY))</f>
        <v>0.9</v>
      </c>
      <c r="BE136" s="12">
        <f>IF(_xlfn.XLOOKUP($B136,'ELC TECH'!$H:$H,'ELC TECH'!$E:$E)="Storage","",_xlfn.XLOOKUP($B136,'ELC TECH'!$H:$H,'ELC TECH'!AZ:AZ))</f>
        <v>0.9</v>
      </c>
      <c r="BF136" s="12" t="str">
        <f>IF(_xlfn.XLOOKUP($B136,'ELC TECH'!$H:$H,'ELC TECH'!$E:$E)="Storage",_xlfn.XLOOKUP($B136,'ELC TECH'!$H:$H,'ELC TECH'!AS:AS),"")</f>
        <v/>
      </c>
      <c r="BG136" s="12" t="str">
        <f>IF(_xlfn.XLOOKUP($B136,'ELC TECH'!$H:$H,'ELC TECH'!$E:$E)="Storage",_xlfn.XLOOKUP($B136,'ELC TECH'!$H:$H,'ELC TECH'!AT:AT),"")</f>
        <v/>
      </c>
      <c r="BH136" s="12" t="str">
        <f>IF(_xlfn.XLOOKUP($B136,'ELC TECH'!$H:$H,'ELC TECH'!$E:$E)="Storage",_xlfn.XLOOKUP($B136,'ELC TECH'!$H:$H,'ELC TECH'!AU:AU),"")</f>
        <v/>
      </c>
      <c r="BI136" s="12" t="str">
        <f>IF(_xlfn.XLOOKUP($B136,'ELC TECH'!$H:$H,'ELC TECH'!$E:$E)="Storage",_xlfn.XLOOKUP($B136,'ELC TECH'!$H:$H,'ELC TECH'!AV:AV),"")</f>
        <v/>
      </c>
      <c r="BJ136" s="12" t="str">
        <f>IF(_xlfn.XLOOKUP($B136,'ELC TECH'!$H:$H,'ELC TECH'!$E:$E)="Storage",_xlfn.XLOOKUP($B136,'ELC TECH'!$H:$H,'ELC TECH'!AW:AW),"")</f>
        <v/>
      </c>
      <c r="BK136" s="12" t="str">
        <f>IF(_xlfn.XLOOKUP($B136,'ELC TECH'!$H:$H,'ELC TECH'!$E:$E)="Storage",_xlfn.XLOOKUP($B136,'ELC TECH'!$H:$H,'ELC TECH'!AX:AX),"")</f>
        <v/>
      </c>
      <c r="BL136" s="12" t="str">
        <f>IF(_xlfn.XLOOKUP($B136,'ELC TECH'!$H:$H,'ELC TECH'!$E:$E)="Storage",_xlfn.XLOOKUP($B136,'ELC TECH'!$H:$H,'ELC TECH'!AY:AY),"")</f>
        <v/>
      </c>
      <c r="BM136" s="12" t="str">
        <f>IF(_xlfn.XLOOKUP($B136,'ELC TECH'!$H:$H,'ELC TECH'!$E:$E)="Storage",_xlfn.XLOOKUP($B136,'ELC TECH'!$H:$H,'ELC TECH'!AZ:AZ),"")</f>
        <v/>
      </c>
      <c r="BN136" s="8" t="str">
        <f>IF(_xlfn.XLOOKUP($B136,'ELC TECH'!$H:$H,'ELC TECH'!$E:$E)="Non Dispatchable",IFERROR($AX136*_xlfn.XLOOKUP($C136,$BM$1:$BM$3,BN$1:BN$3)/SUMPRODUCT(_xlfn.XLOOKUP($C136,$BM$1:$BM$3,$BN$1:$BY$3),$BN$4:$BY$4),""),
"")</f>
        <v/>
      </c>
      <c r="BO136" s="8" t="str">
        <f>IF(_xlfn.XLOOKUP($B136,'ELC TECH'!$H:$H,'ELC TECH'!$E:$E)="Non Dispatchable",IFERROR($AX136*_xlfn.XLOOKUP($C136,$BM$1:$BM$3,BO$1:BO$3)/SUMPRODUCT(_xlfn.XLOOKUP($C136,$BM$1:$BM$3,$BN$1:$BY$3),$BN$4:$BY$4),""),
"")</f>
        <v/>
      </c>
      <c r="BP136" s="8" t="str">
        <f>IF(_xlfn.XLOOKUP($B136,'ELC TECH'!$H:$H,'ELC TECH'!$E:$E)="Non Dispatchable",IFERROR($AX136*_xlfn.XLOOKUP($C136,$BM$1:$BM$3,BP$1:BP$3)/SUMPRODUCT(_xlfn.XLOOKUP($C136,$BM$1:$BM$3,$BN$1:$BY$3),$BN$4:$BY$4),""),
"")</f>
        <v/>
      </c>
      <c r="BQ136" s="8" t="str">
        <f>IF(_xlfn.XLOOKUP($B136,'ELC TECH'!$H:$H,'ELC TECH'!$E:$E)="Non Dispatchable",IFERROR($AX136*_xlfn.XLOOKUP($C136,$BM$1:$BM$3,BQ$1:BQ$3)/SUMPRODUCT(_xlfn.XLOOKUP($C136,$BM$1:$BM$3,$BN$1:$BY$3),$BN$4:$BY$4),""),
"")</f>
        <v/>
      </c>
      <c r="BR136" s="8" t="str">
        <f>IF(_xlfn.XLOOKUP($B136,'ELC TECH'!$H:$H,'ELC TECH'!$E:$E)="Non Dispatchable",IFERROR($AX136*_xlfn.XLOOKUP($C136,$BM$1:$BM$3,BR$1:BR$3)/SUMPRODUCT(_xlfn.XLOOKUP($C136,$BM$1:$BM$3,$BN$1:$BY$3),$BN$4:$BY$4),""),
"")</f>
        <v/>
      </c>
      <c r="BS136" s="8" t="str">
        <f>IF(_xlfn.XLOOKUP($B136,'ELC TECH'!$H:$H,'ELC TECH'!$E:$E)="Non Dispatchable",IFERROR($AX136*_xlfn.XLOOKUP($C136,$BM$1:$BM$3,BS$1:BS$3)/SUMPRODUCT(_xlfn.XLOOKUP($C136,$BM$1:$BM$3,$BN$1:$BY$3),$BN$4:$BY$4),""),
"")</f>
        <v/>
      </c>
      <c r="BT136" s="8" t="str">
        <f>IF(_xlfn.XLOOKUP($B136,'ELC TECH'!$H:$H,'ELC TECH'!$E:$E)="Non Dispatchable",IFERROR($AX136*_xlfn.XLOOKUP($C136,$BM$1:$BM$3,BT$1:BT$3)/SUMPRODUCT(_xlfn.XLOOKUP($C136,$BM$1:$BM$3,$BN$1:$BY$3),$BN$4:$BY$4),""),
"")</f>
        <v/>
      </c>
      <c r="BU136" s="8" t="str">
        <f>IF(_xlfn.XLOOKUP($B136,'ELC TECH'!$H:$H,'ELC TECH'!$E:$E)="Non Dispatchable",IFERROR($AX136*_xlfn.XLOOKUP($C136,$BM$1:$BM$3,BU$1:BU$3)/SUMPRODUCT(_xlfn.XLOOKUP($C136,$BM$1:$BM$3,$BN$1:$BY$3),$BN$4:$BY$4),""),
"")</f>
        <v/>
      </c>
      <c r="BV136" s="8" t="str">
        <f>IF(_xlfn.XLOOKUP($B136,'ELC TECH'!$H:$H,'ELC TECH'!$E:$E)="Non Dispatchable",IFERROR($AX136*_xlfn.XLOOKUP($C136,$BM$1:$BM$3,BV$1:BV$3)/SUMPRODUCT(_xlfn.XLOOKUP($C136,$BM$1:$BM$3,$BN$1:$BY$3),$BN$4:$BY$4),""),
"")</f>
        <v/>
      </c>
      <c r="BW136" s="8" t="str">
        <f>IF(_xlfn.XLOOKUP($B136,'ELC TECH'!$H:$H,'ELC TECH'!$E:$E)="Non Dispatchable",IFERROR($AX136*_xlfn.XLOOKUP($C136,$BM$1:$BM$3,BW$1:BW$3)/SUMPRODUCT(_xlfn.XLOOKUP($C136,$BM$1:$BM$3,$BN$1:$BY$3),$BN$4:$BY$4),""),
"")</f>
        <v/>
      </c>
      <c r="BX136" s="8" t="str">
        <f>IF(_xlfn.XLOOKUP($B136,'ELC TECH'!$H:$H,'ELC TECH'!$E:$E)="Non Dispatchable",IFERROR($AX136*_xlfn.XLOOKUP($C136,$BM$1:$BM$3,BX$1:BX$3)/SUMPRODUCT(_xlfn.XLOOKUP($C136,$BM$1:$BM$3,$BN$1:$BY$3),$BN$4:$BY$4),""),
"")</f>
        <v/>
      </c>
      <c r="BY136" s="8" t="str">
        <f>IF(_xlfn.XLOOKUP($B136,'ELC TECH'!$H:$H,'ELC TECH'!$E:$E)="Non Dispatchable",IFERROR($AX136*_xlfn.XLOOKUP($C136,$BM$1:$BM$3,BY$1:BY$3)/SUMPRODUCT(_xlfn.XLOOKUP($C136,$BM$1:$BM$3,$BN$1:$BY$3),$BN$4:$BY$4),""),
"")</f>
        <v/>
      </c>
      <c r="BZ136" s="8" t="str">
        <f>IF(_xlfn.XLOOKUP($B136,'ELC TECH'!$H:$H,'ELC TECH'!$E:$E)="Non Dispatchable",IFERROR($AX136*_xlfn.XLOOKUP($C136,$BM$1:$BM$3,BZ$1:BZ$3)/SUMPRODUCT(_xlfn.XLOOKUP($C136,$BM$1:$BM$3,$BN$1:$BY$3),$BN$4:$BY$4),""),
"")</f>
        <v/>
      </c>
      <c r="CA136" s="8" t="str">
        <f>IF(_xlfn.XLOOKUP($B136,'ELC TECH'!$H:$H,'ELC TECH'!$E:$E)="Non Dispatchable",IFERROR($AX136*_xlfn.XLOOKUP($C136,$BM$1:$BM$3,CA$1:CA$3)/SUMPRODUCT(_xlfn.XLOOKUP($C136,$BM$1:$BM$3,$BN$1:$BY$3),$BN$4:$BY$4),""),
"")</f>
        <v/>
      </c>
      <c r="CB136" s="8" t="str">
        <f>IF(_xlfn.XLOOKUP($B136,'ELC TECH'!$H:$H,'ELC TECH'!$E:$E)="Non Dispatchable",IFERROR($AX136*_xlfn.XLOOKUP($C136,$BM$1:$BM$3,CB$1:CB$3)/SUMPRODUCT(_xlfn.XLOOKUP($C136,$BM$1:$BM$3,$BN$1:$BY$3),$BN$4:$BY$4),""),
"")</f>
        <v/>
      </c>
      <c r="CC136" s="8" t="str">
        <f>IF(_xlfn.XLOOKUP($B136,'ELC TECH'!$H:$H,'ELC TECH'!$E:$E)="Non Dispatchable",IFERROR($AX136*_xlfn.XLOOKUP($C136,$BM$1:$BM$3,CC$1:CC$3)/SUMPRODUCT(_xlfn.XLOOKUP($C136,$BM$1:$BM$3,$BN$1:$BY$3),$BN$4:$BY$4),""),
"")</f>
        <v/>
      </c>
      <c r="CD136" s="8" t="str">
        <f>IF(_xlfn.XLOOKUP($B136,'ELC TECH'!$H:$H,'ELC TECH'!$E:$E)="Non Dispatchable",IFERROR($AX136*_xlfn.XLOOKUP($C136,$BM$1:$BM$3,CD$1:CD$3)/SUMPRODUCT(_xlfn.XLOOKUP($C136,$BM$1:$BM$3,$BN$1:$BY$3),$BN$4:$BY$4),""),
"")</f>
        <v/>
      </c>
      <c r="CE136" s="8" t="str">
        <f>IF(_xlfn.XLOOKUP($B136,'ELC TECH'!$H:$H,'ELC TECH'!$E:$E)="Non Dispatchable",IFERROR($AX136*_xlfn.XLOOKUP($C136,$BM$1:$BM$3,CE$1:CE$3)/SUMPRODUCT(_xlfn.XLOOKUP($C136,$BM$1:$BM$3,$BN$1:$BY$3),$BN$4:$BY$4),""),
"")</f>
        <v/>
      </c>
      <c r="CF136" s="8" t="str">
        <f>IF(_xlfn.XLOOKUP($B136,'ELC TECH'!$H:$H,'ELC TECH'!$E:$E)="Non Dispatchable",IFERROR($AX136*_xlfn.XLOOKUP($C136,$BM$1:$BM$3,CF$1:CF$3)/SUMPRODUCT(_xlfn.XLOOKUP($C136,$BM$1:$BM$3,$BN$1:$BY$3),$BN$4:$BY$4),""),
"")</f>
        <v/>
      </c>
      <c r="CG136" s="8" t="str">
        <f>IF(_xlfn.XLOOKUP($B136,'ELC TECH'!$H:$H,'ELC TECH'!$E:$E)="Non Dispatchable",IFERROR($AX136*_xlfn.XLOOKUP($C136,$BM$1:$BM$3,CG$1:CG$3)/SUMPRODUCT(_xlfn.XLOOKUP($C136,$BM$1:$BM$3,$BN$1:$BY$3),$BN$4:$BY$4),""),
"")</f>
        <v/>
      </c>
      <c r="CH136" s="8" t="str">
        <f>IF(_xlfn.XLOOKUP($B136,'ELC TECH'!$H:$H,'ELC TECH'!$E:$E)="Non Dispatchable",IFERROR($AX136*_xlfn.XLOOKUP($C136,$BM$1:$BM$3,CH$1:CH$3)/SUMPRODUCT(_xlfn.XLOOKUP($C136,$BM$1:$BM$3,$BN$1:$BY$3),$BN$4:$BY$4),""),
"")</f>
        <v/>
      </c>
      <c r="CI136" s="8" t="str">
        <f>IF(_xlfn.XLOOKUP($B136,'ELC TECH'!$H:$H,'ELC TECH'!$E:$E)="Non Dispatchable",IFERROR($AX136*_xlfn.XLOOKUP($C136,$BM$1:$BM$3,CI$1:CI$3)/SUMPRODUCT(_xlfn.XLOOKUP($C136,$BM$1:$BM$3,$BN$1:$BY$3),$BN$4:$BY$4),""),
"")</f>
        <v/>
      </c>
      <c r="CJ136" s="8" t="str">
        <f>IF(_xlfn.XLOOKUP($B136,'ELC TECH'!$H:$H,'ELC TECH'!$E:$E)="Non Dispatchable",IFERROR($AX136*_xlfn.XLOOKUP($C136,$BM$1:$BM$3,CJ$1:CJ$3)/SUMPRODUCT(_xlfn.XLOOKUP($C136,$BM$1:$BM$3,$BN$1:$BY$3),$BN$4:$BY$4),""),
"")</f>
        <v/>
      </c>
      <c r="CK136" s="8" t="str">
        <f>IF(_xlfn.XLOOKUP($B136,'ELC TECH'!$H:$H,'ELC TECH'!$E:$E)="Non Dispatchable",IFERROR($AX136*_xlfn.XLOOKUP($C136,$BM$1:$BM$3,CK$1:CK$3)/SUMPRODUCT(_xlfn.XLOOKUP($C136,$BM$1:$BM$3,$BN$1:$BY$3),$BN$4:$BY$4),""),
"")</f>
        <v/>
      </c>
      <c r="CL136" s="8" t="str">
        <f>IF(_xlfn.XLOOKUP($B136,'ELC TECH'!$H:$H,'ELC TECH'!$E:$E)="Storage",CL$4*$BF136,"")</f>
        <v/>
      </c>
      <c r="CM136" s="8" t="str">
        <f>IF(_xlfn.XLOOKUP($B136,'ELC TECH'!$H:$H,'ELC TECH'!$E:$E)="Storage",CM$4*$BF136,"")</f>
        <v/>
      </c>
      <c r="CN136" s="8" t="str">
        <f>IF(_xlfn.XLOOKUP($B136,'ELC TECH'!$H:$H,'ELC TECH'!$E:$E)="Storage",CN$4*$BF136,"")</f>
        <v/>
      </c>
      <c r="CO136" s="8" t="str">
        <f>IF(_xlfn.XLOOKUP($B136,'ELC TECH'!$H:$H,'ELC TECH'!$E:$E)="Storage",CO$4*$BF136,"")</f>
        <v/>
      </c>
      <c r="CP136" s="8" t="str">
        <f>IF(_xlfn.XLOOKUP($B136,'ELC TECH'!$H:$H,'ELC TECH'!$E:$E)="Storage",CP$4*$BF136,"")</f>
        <v/>
      </c>
      <c r="CQ136" s="8" t="str">
        <f>IF(_xlfn.XLOOKUP($B136,'ELC TECH'!$H:$H,'ELC TECH'!$E:$E)="Storage",CQ$4*$BF136,"")</f>
        <v/>
      </c>
      <c r="CR136" s="8" t="str">
        <f>IF(_xlfn.XLOOKUP($B136,'ELC TECH'!$H:$H,'ELC TECH'!$E:$E)="Storage",CR$4*$BF136,"")</f>
        <v/>
      </c>
      <c r="CS136" s="8" t="str">
        <f>IF(_xlfn.XLOOKUP($B136,'ELC TECH'!$H:$H,'ELC TECH'!$E:$E)="Storage",CS$4*$BF136,"")</f>
        <v/>
      </c>
      <c r="CT136" s="8" t="str">
        <f>IF(_xlfn.XLOOKUP($B136,'ELC TECH'!$H:$H,'ELC TECH'!$E:$E)="Storage",CT$4*$BF136,"")</f>
        <v/>
      </c>
      <c r="CU136" s="8" t="str">
        <f>IF(_xlfn.XLOOKUP($B136,'ELC TECH'!$H:$H,'ELC TECH'!$E:$E)="Storage",CU$4*$BF136,"")</f>
        <v/>
      </c>
      <c r="CV136" s="8" t="str">
        <f>IF(_xlfn.XLOOKUP($B136,'ELC TECH'!$H:$H,'ELC TECH'!$E:$E)="Storage",CV$4*$BF136,"")</f>
        <v/>
      </c>
      <c r="CW136" s="8" t="str">
        <f>IF(_xlfn.XLOOKUP($B136,'ELC TECH'!$H:$H,'ELC TECH'!$E:$E)="Storage",CW$4*$BF136,"")</f>
        <v/>
      </c>
      <c r="CX136" s="8" t="str">
        <f>IF(_xlfn.XLOOKUP($B136,'ELC TECH'!$H:$H,'ELC TECH'!$E:$E)="Storage",CX$4*$BF136,"")</f>
        <v/>
      </c>
      <c r="CY136" s="8" t="str">
        <f>IF(_xlfn.XLOOKUP($B136,'ELC TECH'!$H:$H,'ELC TECH'!$E:$E)="Storage",CY$4*$BF136,"")</f>
        <v/>
      </c>
      <c r="CZ136" s="8" t="str">
        <f>IF(_xlfn.XLOOKUP($B136,'ELC TECH'!$H:$H,'ELC TECH'!$E:$E)="Storage",CZ$4*$BF136,"")</f>
        <v/>
      </c>
      <c r="DA136" s="8" t="str">
        <f>IF(_xlfn.XLOOKUP($B136,'ELC TECH'!$H:$H,'ELC TECH'!$E:$E)="Storage",DA$4*$BF136,"")</f>
        <v/>
      </c>
      <c r="DB136" s="8" t="str">
        <f>IF(_xlfn.XLOOKUP($B136,'ELC TECH'!$H:$H,'ELC TECH'!$E:$E)="Storage",DB$4*$BF136,"")</f>
        <v/>
      </c>
      <c r="DC136" s="8" t="str">
        <f>IF(_xlfn.XLOOKUP($B136,'ELC TECH'!$H:$H,'ELC TECH'!$E:$E)="Storage",DC$4*$BF136,"")</f>
        <v/>
      </c>
      <c r="DD136" s="8" t="str">
        <f>IF(_xlfn.XLOOKUP($B136,'ELC TECH'!$H:$H,'ELC TECH'!$E:$E)="Storage",DD$4*$BF136,"")</f>
        <v/>
      </c>
      <c r="DE136" s="8" t="str">
        <f>IF(_xlfn.XLOOKUP($B136,'ELC TECH'!$H:$H,'ELC TECH'!$E:$E)="Storage",DE$4*$BF136,"")</f>
        <v/>
      </c>
      <c r="DF136" s="8" t="str">
        <f>IF(_xlfn.XLOOKUP($B136,'ELC TECH'!$H:$H,'ELC TECH'!$E:$E)="Storage",DF$4*$BF136,"")</f>
        <v/>
      </c>
      <c r="DG136" s="8" t="str">
        <f>IF(_xlfn.XLOOKUP($B136,'ELC TECH'!$H:$H,'ELC TECH'!$E:$E)="Storage",DG$4*$BF136,"")</f>
        <v/>
      </c>
      <c r="DH136" s="8" t="str">
        <f>IF(_xlfn.XLOOKUP($B136,'ELC TECH'!$H:$H,'ELC TECH'!$E:$E)="Storage",DH$4*$BF136,"")</f>
        <v/>
      </c>
      <c r="DI136" s="8" t="str">
        <f>IF(_xlfn.XLOOKUP($B136,'ELC TECH'!$H:$H,'ELC TECH'!$E:$E)="Storage",DI$4*$BF136,"")</f>
        <v/>
      </c>
    </row>
    <row r="137" spans="2:113" x14ac:dyDescent="0.25">
      <c r="B137" t="str">
        <f>IF('ELC TECH'!I130=0,"*",'ELC TECH'!H130)</f>
        <v>ELCNGAGRDFFCC90RCCS20</v>
      </c>
      <c r="C137" t="str">
        <f>IF(_xlfn.XLOOKUP(_xlfn.XLOOKUP(B137,'ELC TECH'!$H:$H,'ELC TECH'!$G:$G),List!C:C,List!B:B)="STG",D137,"ELC"&amp;_xlfn.XLOOKUP(_xlfn.XLOOKUP(B137,'ELC TECH'!H:H,'ELC TECH'!G:G),List!C:C,List!B:B))</f>
        <v>ELCNGA</v>
      </c>
      <c r="D137" t="s">
        <v>544</v>
      </c>
      <c r="E137">
        <f>_xlfn.XLOOKUP(B137,'ELC TECH'!H:H,'ELC TECH'!D:D)</f>
        <v>2020</v>
      </c>
      <c r="F137">
        <f>_xlfn.XLOOKUP(B137,'ELC TECH'!H:H,'ELC TECH'!K:K)</f>
        <v>30</v>
      </c>
      <c r="G137">
        <f t="shared" si="7"/>
        <v>31.535999999999998</v>
      </c>
      <c r="H137">
        <f>IF(_xlfn.XLOOKUP(B137,'ELC TECH'!$H:$H,'ELC TECH'!$E:$E)="Storage",0.3,IF(_xlfn.XLOOKUP(B137,'ELC TECH'!$H:$H,'ELC TECH'!$E:$E)="Baseload",0.9,IF(_xlfn.XLOOKUP(B137,'ELC TECH'!$H:$H,'ELC TECH'!$E:$E)="Non Dispatchable",0.05,IF(_xlfn.XLOOKUP(B137,'ELC TECH'!$H:$H,'ELC TECH'!$E:$E)="Dispatchable",0.9,1))))</f>
        <v>0.9</v>
      </c>
      <c r="I137" s="13" t="str">
        <f>IF(_xlfn.XLOOKUP(B137,'ELC TECH'!H:H,'ELC TECH'!J:J)="","",_xlfn.XLOOKUP(B137,'ELC TECH'!H:H,'ELC TECH'!J:J))</f>
        <v/>
      </c>
      <c r="J137" s="12">
        <f>IF(_xlfn.XLOOKUP($B137,'ELC TECH'!$H:$H,'ELC TECH'!$E:$E)="Storage","",IF(_xlfn.XLOOKUP($B137,'ELC TECH'!$H:$H,'ELC TECH'!AK:AK)="",1,_xlfn.XLOOKUP($B137,'ELC TECH'!$H:$H,'ELC TECH'!AK:AK)))</f>
        <v>0.47272674447232571</v>
      </c>
      <c r="K137" s="12">
        <f>IF(_xlfn.XLOOKUP($B137,'ELC TECH'!$H:$H,'ELC TECH'!$E:$E)="Storage","",IF(_xlfn.XLOOKUP($B137,'ELC TECH'!$H:$H,'ELC TECH'!AL:AL)="",1,_xlfn.XLOOKUP($B137,'ELC TECH'!$H:$H,'ELC TECH'!AL:AL)))</f>
        <v>0.47456768311561159</v>
      </c>
      <c r="L137" s="12">
        <f>IF(_xlfn.XLOOKUP($B137,'ELC TECH'!$H:$H,'ELC TECH'!$E:$E)="Storage","",IF(_xlfn.XLOOKUP($B137,'ELC TECH'!$H:$H,'ELC TECH'!AM:AM)="",1,_xlfn.XLOOKUP($B137,'ELC TECH'!$H:$H,'ELC TECH'!AM:AM)))</f>
        <v>0.47769027601865438</v>
      </c>
      <c r="M137" s="12">
        <f>IF(_xlfn.XLOOKUP($B137,'ELC TECH'!$H:$H,'ELC TECH'!$E:$E)="Storage","",IF(_xlfn.XLOOKUP($B137,'ELC TECH'!$H:$H,'ELC TECH'!AN:AN)="",1,_xlfn.XLOOKUP($B137,'ELC TECH'!$H:$H,'ELC TECH'!AN:AN)))</f>
        <v>0.48078647901947968</v>
      </c>
      <c r="N137" s="12">
        <f>IF(_xlfn.XLOOKUP($B137,'ELC TECH'!$H:$H,'ELC TECH'!$E:$E)="Storage","",IF(_xlfn.XLOOKUP($B137,'ELC TECH'!$H:$H,'ELC TECH'!AO:AO)="",1,_xlfn.XLOOKUP($B137,'ELC TECH'!$H:$H,'ELC TECH'!AO:AO)))</f>
        <v>0.48078647901947968</v>
      </c>
      <c r="O137" s="12">
        <f>IF(_xlfn.XLOOKUP($B137,'ELC TECH'!$H:$H,'ELC TECH'!$E:$E)="Storage","",IF(_xlfn.XLOOKUP($B137,'ELC TECH'!$H:$H,'ELC TECH'!AP:AP)="",1,_xlfn.XLOOKUP($B137,'ELC TECH'!$H:$H,'ELC TECH'!AP:AP)))</f>
        <v>0.48078647901947968</v>
      </c>
      <c r="P137" s="12">
        <f>IF(_xlfn.XLOOKUP($B137,'ELC TECH'!$H:$H,'ELC TECH'!$E:$E)="Storage","",IF(_xlfn.XLOOKUP($B137,'ELC TECH'!$H:$H,'ELC TECH'!AQ:AQ)="",1,_xlfn.XLOOKUP($B137,'ELC TECH'!$H:$H,'ELC TECH'!AQ:AQ)))</f>
        <v>0.48078647901947968</v>
      </c>
      <c r="Q137" s="12">
        <f>IF(_xlfn.XLOOKUP($B137,'ELC TECH'!$H:$H,'ELC TECH'!$E:$E)="Storage","",IF(_xlfn.XLOOKUP($B137,'ELC TECH'!$H:$H,'ELC TECH'!AR:AR)="",1,_xlfn.XLOOKUP($B137,'ELC TECH'!$H:$H,'ELC TECH'!AR:AR)))</f>
        <v>0.48078647901947968</v>
      </c>
      <c r="R137" s="12" t="str">
        <f>IF(_xlfn.XLOOKUP($B137,'ELC TECH'!$H:$H,'ELC TECH'!$E:$E)&lt;&gt;"Storage","",IF(_xlfn.XLOOKUP($B137,'ELC TECH'!$H:$H,'ELC TECH'!AK:AK)="",0.8,_xlfn.XLOOKUP($B137,'ELC TECH'!$H:$H,'ELC TECH'!AK:AK)))</f>
        <v/>
      </c>
      <c r="S137" s="12" t="str">
        <f>IF(_xlfn.XLOOKUP($B137,'ELC TECH'!$H:$H,'ELC TECH'!$E:$E)&lt;&gt;"Storage","",IF(_xlfn.XLOOKUP($B137,'ELC TECH'!$H:$H,'ELC TECH'!AL:AL)="",0.8,_xlfn.XLOOKUP($B137,'ELC TECH'!$H:$H,'ELC TECH'!AL:AL)))</f>
        <v/>
      </c>
      <c r="T137" s="12" t="str">
        <f>IF(_xlfn.XLOOKUP($B137,'ELC TECH'!$H:$H,'ELC TECH'!$E:$E)&lt;&gt;"Storage","",IF(_xlfn.XLOOKUP($B137,'ELC TECH'!$H:$H,'ELC TECH'!AM:AM)="",0.8,_xlfn.XLOOKUP($B137,'ELC TECH'!$H:$H,'ELC TECH'!AM:AM)))</f>
        <v/>
      </c>
      <c r="U137" s="12" t="str">
        <f>IF(_xlfn.XLOOKUP($B137,'ELC TECH'!$H:$H,'ELC TECH'!$E:$E)&lt;&gt;"Storage","",IF(_xlfn.XLOOKUP($B137,'ELC TECH'!$H:$H,'ELC TECH'!AN:AN)="",0.8,_xlfn.XLOOKUP($B137,'ELC TECH'!$H:$H,'ELC TECH'!AN:AN)))</f>
        <v/>
      </c>
      <c r="V137" s="12" t="str">
        <f>IF(_xlfn.XLOOKUP($B137,'ELC TECH'!$H:$H,'ELC TECH'!$E:$E)&lt;&gt;"Storage","",IF(_xlfn.XLOOKUP($B137,'ELC TECH'!$H:$H,'ELC TECH'!AO:AO)="",0.8,_xlfn.XLOOKUP($B137,'ELC TECH'!$H:$H,'ELC TECH'!AO:AO)))</f>
        <v/>
      </c>
      <c r="W137" s="12" t="str">
        <f>IF(_xlfn.XLOOKUP($B137,'ELC TECH'!$H:$H,'ELC TECH'!$E:$E)&lt;&gt;"Storage","",IF(_xlfn.XLOOKUP($B137,'ELC TECH'!$H:$H,'ELC TECH'!AP:AP)="",0.8,_xlfn.XLOOKUP($B137,'ELC TECH'!$H:$H,'ELC TECH'!AP:AP)))</f>
        <v/>
      </c>
      <c r="X137" s="12" t="str">
        <f>IF(_xlfn.XLOOKUP($B137,'ELC TECH'!$H:$H,'ELC TECH'!$E:$E)&lt;&gt;"Storage","",IF(_xlfn.XLOOKUP($B137,'ELC TECH'!$H:$H,'ELC TECH'!AQ:AQ)="",0.8,_xlfn.XLOOKUP($B137,'ELC TECH'!$H:$H,'ELC TECH'!AQ:AQ)))</f>
        <v/>
      </c>
      <c r="Y137" s="12" t="str">
        <f>IF(_xlfn.XLOOKUP($B137,'ELC TECH'!$H:$H,'ELC TECH'!$E:$E)&lt;&gt;"Storage","",IF(_xlfn.XLOOKUP($B137,'ELC TECH'!$H:$H,'ELC TECH'!AR:AR)="",0.8,_xlfn.XLOOKUP($B137,'ELC TECH'!$H:$H,'ELC TECH'!AR:AR)))</f>
        <v/>
      </c>
      <c r="Z137" s="15">
        <f>_xlfn.XLOOKUP($B137,'ELC TECH'!$H:$H,'ELC TECH'!M:M)</f>
        <v>1410.630821087705</v>
      </c>
      <c r="AA137" s="15">
        <f>_xlfn.XLOOKUP($B137,'ELC TECH'!$H:$H,'ELC TECH'!N:N)</f>
        <v>1322.9964414209339</v>
      </c>
      <c r="AB137" s="15">
        <f>_xlfn.XLOOKUP($B137,'ELC TECH'!$H:$H,'ELC TECH'!O:O)</f>
        <v>1176.901449770007</v>
      </c>
      <c r="AC137" s="15">
        <f>_xlfn.XLOOKUP($B137,'ELC TECH'!$H:$H,'ELC TECH'!P:P)</f>
        <v>1030.8064581190799</v>
      </c>
      <c r="AD137" s="15">
        <f>_xlfn.XLOOKUP($B137,'ELC TECH'!$H:$H,'ELC TECH'!Q:Q)</f>
        <v>971.78046304029976</v>
      </c>
      <c r="AE137" s="15">
        <f>_xlfn.XLOOKUP($B137,'ELC TECH'!$H:$H,'ELC TECH'!R:R)</f>
        <v>912.86754458044459</v>
      </c>
      <c r="AF137" s="15">
        <f>_xlfn.XLOOKUP($B137,'ELC TECH'!$H:$H,'ELC TECH'!S:S)</f>
        <v>853.84154950166442</v>
      </c>
      <c r="AG137" s="15">
        <f>_xlfn.XLOOKUP($B137,'ELC TECH'!$H:$H,'ELC TECH'!T:T)</f>
        <v>853.84154950166442</v>
      </c>
      <c r="AH137" s="15">
        <f>_xlfn.XLOOKUP($B137,'ELC TECH'!$H:$H,'ELC TECH'!U:U)</f>
        <v>72.934419206538678</v>
      </c>
      <c r="AI137" s="15">
        <f>_xlfn.XLOOKUP($B137,'ELC TECH'!$H:$H,'ELC TECH'!V:V)</f>
        <v>70.446733590191627</v>
      </c>
      <c r="AJ137" s="15">
        <f>_xlfn.XLOOKUP($B137,'ELC TECH'!$H:$H,'ELC TECH'!W:W)</f>
        <v>66.262898689971564</v>
      </c>
      <c r="AK137" s="15">
        <f>_xlfn.XLOOKUP($B137,'ELC TECH'!$H:$H,'ELC TECH'!X:X)</f>
        <v>62.192140408676387</v>
      </c>
      <c r="AL137" s="15">
        <f>_xlfn.XLOOKUP($B137,'ELC TECH'!$H:$H,'ELC TECH'!Y:Y)</f>
        <v>59.252148316629857</v>
      </c>
      <c r="AM137" s="15">
        <f>_xlfn.XLOOKUP($B137,'ELC TECH'!$H:$H,'ELC TECH'!Z:Z)</f>
        <v>56.312156224583347</v>
      </c>
      <c r="AN137" s="15">
        <f>_xlfn.XLOOKUP($B137,'ELC TECH'!$H:$H,'ELC TECH'!AA:AA)</f>
        <v>53.372164132536817</v>
      </c>
      <c r="AO137" s="15">
        <f>_xlfn.XLOOKUP($B137,'ELC TECH'!$H:$H,'ELC TECH'!AB:AB)</f>
        <v>53.372164132536817</v>
      </c>
      <c r="AP137" s="15">
        <f>_xlfn.XLOOKUP($B137,'ELC TECH'!$H:$H,'ELC TECH'!AC:AC)</f>
        <v>1.4542909600614731</v>
      </c>
      <c r="AQ137" s="15">
        <f>_xlfn.XLOOKUP($B137,'ELC TECH'!$H:$H,'ELC TECH'!AD:AD)</f>
        <v>1.41031671936847</v>
      </c>
      <c r="AR137" s="15">
        <f>_xlfn.XLOOKUP($B137,'ELC TECH'!$H:$H,'ELC TECH'!AE:AE)</f>
        <v>1.338073323944249</v>
      </c>
      <c r="AS137" s="15">
        <f>_xlfn.XLOOKUP($B137,'ELC TECH'!$H:$H,'ELC TECH'!AF:AF)</f>
        <v>1.268970945712387</v>
      </c>
      <c r="AT137" s="15">
        <f>_xlfn.XLOOKUP($B137,'ELC TECH'!$H:$H,'ELC TECH'!AG:AG)</f>
        <v>1.2249967050193831</v>
      </c>
      <c r="AU137" s="15">
        <f>_xlfn.XLOOKUP($B137,'ELC TECH'!$H:$H,'ELC TECH'!AH:AH)</f>
        <v>1.184163481518737</v>
      </c>
      <c r="AV137" s="15">
        <f>_xlfn.XLOOKUP($B137,'ELC TECH'!$H:$H,'ELC TECH'!AI:AI)</f>
        <v>1.140189240825733</v>
      </c>
      <c r="AW137" s="15">
        <f>_xlfn.XLOOKUP($B137,'ELC TECH'!$H:$H,'ELC TECH'!AJ:AJ)</f>
        <v>1.140189240825733</v>
      </c>
      <c r="AX137" s="12">
        <f>IF(_xlfn.XLOOKUP($B137,'ELC TECH'!$H:$H,'ELC TECH'!$E:$E)="Storage","",_xlfn.XLOOKUP($B137,'ELC TECH'!$H:$H,'ELC TECH'!AS:AS))</f>
        <v>0.9</v>
      </c>
      <c r="AY137" s="12">
        <f>IF(_xlfn.XLOOKUP($B137,'ELC TECH'!$H:$H,'ELC TECH'!$E:$E)="Storage","",_xlfn.XLOOKUP($B137,'ELC TECH'!$H:$H,'ELC TECH'!AT:AT))</f>
        <v>0.9</v>
      </c>
      <c r="AZ137" s="12">
        <f>IF(_xlfn.XLOOKUP($B137,'ELC TECH'!$H:$H,'ELC TECH'!$E:$E)="Storage","",_xlfn.XLOOKUP($B137,'ELC TECH'!$H:$H,'ELC TECH'!AU:AU))</f>
        <v>0.9</v>
      </c>
      <c r="BA137" s="12">
        <f>IF(_xlfn.XLOOKUP($B137,'ELC TECH'!$H:$H,'ELC TECH'!$E:$E)="Storage","",_xlfn.XLOOKUP($B137,'ELC TECH'!$H:$H,'ELC TECH'!AV:AV))</f>
        <v>0.9</v>
      </c>
      <c r="BB137" s="12">
        <f>IF(_xlfn.XLOOKUP($B137,'ELC TECH'!$H:$H,'ELC TECH'!$E:$E)="Storage","",_xlfn.XLOOKUP($B137,'ELC TECH'!$H:$H,'ELC TECH'!AW:AW))</f>
        <v>0.9</v>
      </c>
      <c r="BC137" s="12">
        <f>IF(_xlfn.XLOOKUP($B137,'ELC TECH'!$H:$H,'ELC TECH'!$E:$E)="Storage","",_xlfn.XLOOKUP($B137,'ELC TECH'!$H:$H,'ELC TECH'!AX:AX))</f>
        <v>0.9</v>
      </c>
      <c r="BD137" s="12">
        <f>IF(_xlfn.XLOOKUP($B137,'ELC TECH'!$H:$H,'ELC TECH'!$E:$E)="Storage","",_xlfn.XLOOKUP($B137,'ELC TECH'!$H:$H,'ELC TECH'!AY:AY))</f>
        <v>0.9</v>
      </c>
      <c r="BE137" s="12">
        <f>IF(_xlfn.XLOOKUP($B137,'ELC TECH'!$H:$H,'ELC TECH'!$E:$E)="Storage","",_xlfn.XLOOKUP($B137,'ELC TECH'!$H:$H,'ELC TECH'!AZ:AZ))</f>
        <v>0.9</v>
      </c>
      <c r="BF137" s="12" t="str">
        <f>IF(_xlfn.XLOOKUP($B137,'ELC TECH'!$H:$H,'ELC TECH'!$E:$E)="Storage",_xlfn.XLOOKUP($B137,'ELC TECH'!$H:$H,'ELC TECH'!AS:AS),"")</f>
        <v/>
      </c>
      <c r="BG137" s="12" t="str">
        <f>IF(_xlfn.XLOOKUP($B137,'ELC TECH'!$H:$H,'ELC TECH'!$E:$E)="Storage",_xlfn.XLOOKUP($B137,'ELC TECH'!$H:$H,'ELC TECH'!AT:AT),"")</f>
        <v/>
      </c>
      <c r="BH137" s="12" t="str">
        <f>IF(_xlfn.XLOOKUP($B137,'ELC TECH'!$H:$H,'ELC TECH'!$E:$E)="Storage",_xlfn.XLOOKUP($B137,'ELC TECH'!$H:$H,'ELC TECH'!AU:AU),"")</f>
        <v/>
      </c>
      <c r="BI137" s="12" t="str">
        <f>IF(_xlfn.XLOOKUP($B137,'ELC TECH'!$H:$H,'ELC TECH'!$E:$E)="Storage",_xlfn.XLOOKUP($B137,'ELC TECH'!$H:$H,'ELC TECH'!AV:AV),"")</f>
        <v/>
      </c>
      <c r="BJ137" s="12" t="str">
        <f>IF(_xlfn.XLOOKUP($B137,'ELC TECH'!$H:$H,'ELC TECH'!$E:$E)="Storage",_xlfn.XLOOKUP($B137,'ELC TECH'!$H:$H,'ELC TECH'!AW:AW),"")</f>
        <v/>
      </c>
      <c r="BK137" s="12" t="str">
        <f>IF(_xlfn.XLOOKUP($B137,'ELC TECH'!$H:$H,'ELC TECH'!$E:$E)="Storage",_xlfn.XLOOKUP($B137,'ELC TECH'!$H:$H,'ELC TECH'!AX:AX),"")</f>
        <v/>
      </c>
      <c r="BL137" s="12" t="str">
        <f>IF(_xlfn.XLOOKUP($B137,'ELC TECH'!$H:$H,'ELC TECH'!$E:$E)="Storage",_xlfn.XLOOKUP($B137,'ELC TECH'!$H:$H,'ELC TECH'!AY:AY),"")</f>
        <v/>
      </c>
      <c r="BM137" s="12" t="str">
        <f>IF(_xlfn.XLOOKUP($B137,'ELC TECH'!$H:$H,'ELC TECH'!$E:$E)="Storage",_xlfn.XLOOKUP($B137,'ELC TECH'!$H:$H,'ELC TECH'!AZ:AZ),"")</f>
        <v/>
      </c>
      <c r="BN137" s="8" t="str">
        <f>IF(_xlfn.XLOOKUP($B137,'ELC TECH'!$H:$H,'ELC TECH'!$E:$E)="Non Dispatchable",IFERROR($AX137*_xlfn.XLOOKUP($C137,$BM$1:$BM$3,BN$1:BN$3)/SUMPRODUCT(_xlfn.XLOOKUP($C137,$BM$1:$BM$3,$BN$1:$BY$3),$BN$4:$BY$4),""),
"")</f>
        <v/>
      </c>
      <c r="BO137" s="8" t="str">
        <f>IF(_xlfn.XLOOKUP($B137,'ELC TECH'!$H:$H,'ELC TECH'!$E:$E)="Non Dispatchable",IFERROR($AX137*_xlfn.XLOOKUP($C137,$BM$1:$BM$3,BO$1:BO$3)/SUMPRODUCT(_xlfn.XLOOKUP($C137,$BM$1:$BM$3,$BN$1:$BY$3),$BN$4:$BY$4),""),
"")</f>
        <v/>
      </c>
      <c r="BP137" s="8" t="str">
        <f>IF(_xlfn.XLOOKUP($B137,'ELC TECH'!$H:$H,'ELC TECH'!$E:$E)="Non Dispatchable",IFERROR($AX137*_xlfn.XLOOKUP($C137,$BM$1:$BM$3,BP$1:BP$3)/SUMPRODUCT(_xlfn.XLOOKUP($C137,$BM$1:$BM$3,$BN$1:$BY$3),$BN$4:$BY$4),""),
"")</f>
        <v/>
      </c>
      <c r="BQ137" s="8" t="str">
        <f>IF(_xlfn.XLOOKUP($B137,'ELC TECH'!$H:$H,'ELC TECH'!$E:$E)="Non Dispatchable",IFERROR($AX137*_xlfn.XLOOKUP($C137,$BM$1:$BM$3,BQ$1:BQ$3)/SUMPRODUCT(_xlfn.XLOOKUP($C137,$BM$1:$BM$3,$BN$1:$BY$3),$BN$4:$BY$4),""),
"")</f>
        <v/>
      </c>
      <c r="BR137" s="8" t="str">
        <f>IF(_xlfn.XLOOKUP($B137,'ELC TECH'!$H:$H,'ELC TECH'!$E:$E)="Non Dispatchable",IFERROR($AX137*_xlfn.XLOOKUP($C137,$BM$1:$BM$3,BR$1:BR$3)/SUMPRODUCT(_xlfn.XLOOKUP($C137,$BM$1:$BM$3,$BN$1:$BY$3),$BN$4:$BY$4),""),
"")</f>
        <v/>
      </c>
      <c r="BS137" s="8" t="str">
        <f>IF(_xlfn.XLOOKUP($B137,'ELC TECH'!$H:$H,'ELC TECH'!$E:$E)="Non Dispatchable",IFERROR($AX137*_xlfn.XLOOKUP($C137,$BM$1:$BM$3,BS$1:BS$3)/SUMPRODUCT(_xlfn.XLOOKUP($C137,$BM$1:$BM$3,$BN$1:$BY$3),$BN$4:$BY$4),""),
"")</f>
        <v/>
      </c>
      <c r="BT137" s="8" t="str">
        <f>IF(_xlfn.XLOOKUP($B137,'ELC TECH'!$H:$H,'ELC TECH'!$E:$E)="Non Dispatchable",IFERROR($AX137*_xlfn.XLOOKUP($C137,$BM$1:$BM$3,BT$1:BT$3)/SUMPRODUCT(_xlfn.XLOOKUP($C137,$BM$1:$BM$3,$BN$1:$BY$3),$BN$4:$BY$4),""),
"")</f>
        <v/>
      </c>
      <c r="BU137" s="8" t="str">
        <f>IF(_xlfn.XLOOKUP($B137,'ELC TECH'!$H:$H,'ELC TECH'!$E:$E)="Non Dispatchable",IFERROR($AX137*_xlfn.XLOOKUP($C137,$BM$1:$BM$3,BU$1:BU$3)/SUMPRODUCT(_xlfn.XLOOKUP($C137,$BM$1:$BM$3,$BN$1:$BY$3),$BN$4:$BY$4),""),
"")</f>
        <v/>
      </c>
      <c r="BV137" s="8" t="str">
        <f>IF(_xlfn.XLOOKUP($B137,'ELC TECH'!$H:$H,'ELC TECH'!$E:$E)="Non Dispatchable",IFERROR($AX137*_xlfn.XLOOKUP($C137,$BM$1:$BM$3,BV$1:BV$3)/SUMPRODUCT(_xlfn.XLOOKUP($C137,$BM$1:$BM$3,$BN$1:$BY$3),$BN$4:$BY$4),""),
"")</f>
        <v/>
      </c>
      <c r="BW137" s="8" t="str">
        <f>IF(_xlfn.XLOOKUP($B137,'ELC TECH'!$H:$H,'ELC TECH'!$E:$E)="Non Dispatchable",IFERROR($AX137*_xlfn.XLOOKUP($C137,$BM$1:$BM$3,BW$1:BW$3)/SUMPRODUCT(_xlfn.XLOOKUP($C137,$BM$1:$BM$3,$BN$1:$BY$3),$BN$4:$BY$4),""),
"")</f>
        <v/>
      </c>
      <c r="BX137" s="8" t="str">
        <f>IF(_xlfn.XLOOKUP($B137,'ELC TECH'!$H:$H,'ELC TECH'!$E:$E)="Non Dispatchable",IFERROR($AX137*_xlfn.XLOOKUP($C137,$BM$1:$BM$3,BX$1:BX$3)/SUMPRODUCT(_xlfn.XLOOKUP($C137,$BM$1:$BM$3,$BN$1:$BY$3),$BN$4:$BY$4),""),
"")</f>
        <v/>
      </c>
      <c r="BY137" s="8" t="str">
        <f>IF(_xlfn.XLOOKUP($B137,'ELC TECH'!$H:$H,'ELC TECH'!$E:$E)="Non Dispatchable",IFERROR($AX137*_xlfn.XLOOKUP($C137,$BM$1:$BM$3,BY$1:BY$3)/SUMPRODUCT(_xlfn.XLOOKUP($C137,$BM$1:$BM$3,$BN$1:$BY$3),$BN$4:$BY$4),""),
"")</f>
        <v/>
      </c>
      <c r="BZ137" s="8" t="str">
        <f>IF(_xlfn.XLOOKUP($B137,'ELC TECH'!$H:$H,'ELC TECH'!$E:$E)="Non Dispatchable",IFERROR($AX137*_xlfn.XLOOKUP($C137,$BM$1:$BM$3,BZ$1:BZ$3)/SUMPRODUCT(_xlfn.XLOOKUP($C137,$BM$1:$BM$3,$BN$1:$BY$3),$BN$4:$BY$4),""),
"")</f>
        <v/>
      </c>
      <c r="CA137" s="8" t="str">
        <f>IF(_xlfn.XLOOKUP($B137,'ELC TECH'!$H:$H,'ELC TECH'!$E:$E)="Non Dispatchable",IFERROR($AX137*_xlfn.XLOOKUP($C137,$BM$1:$BM$3,CA$1:CA$3)/SUMPRODUCT(_xlfn.XLOOKUP($C137,$BM$1:$BM$3,$BN$1:$BY$3),$BN$4:$BY$4),""),
"")</f>
        <v/>
      </c>
      <c r="CB137" s="8" t="str">
        <f>IF(_xlfn.XLOOKUP($B137,'ELC TECH'!$H:$H,'ELC TECH'!$E:$E)="Non Dispatchable",IFERROR($AX137*_xlfn.XLOOKUP($C137,$BM$1:$BM$3,CB$1:CB$3)/SUMPRODUCT(_xlfn.XLOOKUP($C137,$BM$1:$BM$3,$BN$1:$BY$3),$BN$4:$BY$4),""),
"")</f>
        <v/>
      </c>
      <c r="CC137" s="8" t="str">
        <f>IF(_xlfn.XLOOKUP($B137,'ELC TECH'!$H:$H,'ELC TECH'!$E:$E)="Non Dispatchable",IFERROR($AX137*_xlfn.XLOOKUP($C137,$BM$1:$BM$3,CC$1:CC$3)/SUMPRODUCT(_xlfn.XLOOKUP($C137,$BM$1:$BM$3,$BN$1:$BY$3),$BN$4:$BY$4),""),
"")</f>
        <v/>
      </c>
      <c r="CD137" s="8" t="str">
        <f>IF(_xlfn.XLOOKUP($B137,'ELC TECH'!$H:$H,'ELC TECH'!$E:$E)="Non Dispatchable",IFERROR($AX137*_xlfn.XLOOKUP($C137,$BM$1:$BM$3,CD$1:CD$3)/SUMPRODUCT(_xlfn.XLOOKUP($C137,$BM$1:$BM$3,$BN$1:$BY$3),$BN$4:$BY$4),""),
"")</f>
        <v/>
      </c>
      <c r="CE137" s="8" t="str">
        <f>IF(_xlfn.XLOOKUP($B137,'ELC TECH'!$H:$H,'ELC TECH'!$E:$E)="Non Dispatchable",IFERROR($AX137*_xlfn.XLOOKUP($C137,$BM$1:$BM$3,CE$1:CE$3)/SUMPRODUCT(_xlfn.XLOOKUP($C137,$BM$1:$BM$3,$BN$1:$BY$3),$BN$4:$BY$4),""),
"")</f>
        <v/>
      </c>
      <c r="CF137" s="8" t="str">
        <f>IF(_xlfn.XLOOKUP($B137,'ELC TECH'!$H:$H,'ELC TECH'!$E:$E)="Non Dispatchable",IFERROR($AX137*_xlfn.XLOOKUP($C137,$BM$1:$BM$3,CF$1:CF$3)/SUMPRODUCT(_xlfn.XLOOKUP($C137,$BM$1:$BM$3,$BN$1:$BY$3),$BN$4:$BY$4),""),
"")</f>
        <v/>
      </c>
      <c r="CG137" s="8" t="str">
        <f>IF(_xlfn.XLOOKUP($B137,'ELC TECH'!$H:$H,'ELC TECH'!$E:$E)="Non Dispatchable",IFERROR($AX137*_xlfn.XLOOKUP($C137,$BM$1:$BM$3,CG$1:CG$3)/SUMPRODUCT(_xlfn.XLOOKUP($C137,$BM$1:$BM$3,$BN$1:$BY$3),$BN$4:$BY$4),""),
"")</f>
        <v/>
      </c>
      <c r="CH137" s="8" t="str">
        <f>IF(_xlfn.XLOOKUP($B137,'ELC TECH'!$H:$H,'ELC TECH'!$E:$E)="Non Dispatchable",IFERROR($AX137*_xlfn.XLOOKUP($C137,$BM$1:$BM$3,CH$1:CH$3)/SUMPRODUCT(_xlfn.XLOOKUP($C137,$BM$1:$BM$3,$BN$1:$BY$3),$BN$4:$BY$4),""),
"")</f>
        <v/>
      </c>
      <c r="CI137" s="8" t="str">
        <f>IF(_xlfn.XLOOKUP($B137,'ELC TECH'!$H:$H,'ELC TECH'!$E:$E)="Non Dispatchable",IFERROR($AX137*_xlfn.XLOOKUP($C137,$BM$1:$BM$3,CI$1:CI$3)/SUMPRODUCT(_xlfn.XLOOKUP($C137,$BM$1:$BM$3,$BN$1:$BY$3),$BN$4:$BY$4),""),
"")</f>
        <v/>
      </c>
      <c r="CJ137" s="8" t="str">
        <f>IF(_xlfn.XLOOKUP($B137,'ELC TECH'!$H:$H,'ELC TECH'!$E:$E)="Non Dispatchable",IFERROR($AX137*_xlfn.XLOOKUP($C137,$BM$1:$BM$3,CJ$1:CJ$3)/SUMPRODUCT(_xlfn.XLOOKUP($C137,$BM$1:$BM$3,$BN$1:$BY$3),$BN$4:$BY$4),""),
"")</f>
        <v/>
      </c>
      <c r="CK137" s="8" t="str">
        <f>IF(_xlfn.XLOOKUP($B137,'ELC TECH'!$H:$H,'ELC TECH'!$E:$E)="Non Dispatchable",IFERROR($AX137*_xlfn.XLOOKUP($C137,$BM$1:$BM$3,CK$1:CK$3)/SUMPRODUCT(_xlfn.XLOOKUP($C137,$BM$1:$BM$3,$BN$1:$BY$3),$BN$4:$BY$4),""),
"")</f>
        <v/>
      </c>
      <c r="CL137" s="8" t="str">
        <f>IF(_xlfn.XLOOKUP($B137,'ELC TECH'!$H:$H,'ELC TECH'!$E:$E)="Storage",CL$4*$BF137,"")</f>
        <v/>
      </c>
      <c r="CM137" s="8" t="str">
        <f>IF(_xlfn.XLOOKUP($B137,'ELC TECH'!$H:$H,'ELC TECH'!$E:$E)="Storage",CM$4*$BF137,"")</f>
        <v/>
      </c>
      <c r="CN137" s="8" t="str">
        <f>IF(_xlfn.XLOOKUP($B137,'ELC TECH'!$H:$H,'ELC TECH'!$E:$E)="Storage",CN$4*$BF137,"")</f>
        <v/>
      </c>
      <c r="CO137" s="8" t="str">
        <f>IF(_xlfn.XLOOKUP($B137,'ELC TECH'!$H:$H,'ELC TECH'!$E:$E)="Storage",CO$4*$BF137,"")</f>
        <v/>
      </c>
      <c r="CP137" s="8" t="str">
        <f>IF(_xlfn.XLOOKUP($B137,'ELC TECH'!$H:$H,'ELC TECH'!$E:$E)="Storage",CP$4*$BF137,"")</f>
        <v/>
      </c>
      <c r="CQ137" s="8" t="str">
        <f>IF(_xlfn.XLOOKUP($B137,'ELC TECH'!$H:$H,'ELC TECH'!$E:$E)="Storage",CQ$4*$BF137,"")</f>
        <v/>
      </c>
      <c r="CR137" s="8" t="str">
        <f>IF(_xlfn.XLOOKUP($B137,'ELC TECH'!$H:$H,'ELC TECH'!$E:$E)="Storage",CR$4*$BF137,"")</f>
        <v/>
      </c>
      <c r="CS137" s="8" t="str">
        <f>IF(_xlfn.XLOOKUP($B137,'ELC TECH'!$H:$H,'ELC TECH'!$E:$E)="Storage",CS$4*$BF137,"")</f>
        <v/>
      </c>
      <c r="CT137" s="8" t="str">
        <f>IF(_xlfn.XLOOKUP($B137,'ELC TECH'!$H:$H,'ELC TECH'!$E:$E)="Storage",CT$4*$BF137,"")</f>
        <v/>
      </c>
      <c r="CU137" s="8" t="str">
        <f>IF(_xlfn.XLOOKUP($B137,'ELC TECH'!$H:$H,'ELC TECH'!$E:$E)="Storage",CU$4*$BF137,"")</f>
        <v/>
      </c>
      <c r="CV137" s="8" t="str">
        <f>IF(_xlfn.XLOOKUP($B137,'ELC TECH'!$H:$H,'ELC TECH'!$E:$E)="Storage",CV$4*$BF137,"")</f>
        <v/>
      </c>
      <c r="CW137" s="8" t="str">
        <f>IF(_xlfn.XLOOKUP($B137,'ELC TECH'!$H:$H,'ELC TECH'!$E:$E)="Storage",CW$4*$BF137,"")</f>
        <v/>
      </c>
      <c r="CX137" s="8" t="str">
        <f>IF(_xlfn.XLOOKUP($B137,'ELC TECH'!$H:$H,'ELC TECH'!$E:$E)="Storage",CX$4*$BF137,"")</f>
        <v/>
      </c>
      <c r="CY137" s="8" t="str">
        <f>IF(_xlfn.XLOOKUP($B137,'ELC TECH'!$H:$H,'ELC TECH'!$E:$E)="Storage",CY$4*$BF137,"")</f>
        <v/>
      </c>
      <c r="CZ137" s="8" t="str">
        <f>IF(_xlfn.XLOOKUP($B137,'ELC TECH'!$H:$H,'ELC TECH'!$E:$E)="Storage",CZ$4*$BF137,"")</f>
        <v/>
      </c>
      <c r="DA137" s="8" t="str">
        <f>IF(_xlfn.XLOOKUP($B137,'ELC TECH'!$H:$H,'ELC TECH'!$E:$E)="Storage",DA$4*$BF137,"")</f>
        <v/>
      </c>
      <c r="DB137" s="8" t="str">
        <f>IF(_xlfn.XLOOKUP($B137,'ELC TECH'!$H:$H,'ELC TECH'!$E:$E)="Storage",DB$4*$BF137,"")</f>
        <v/>
      </c>
      <c r="DC137" s="8" t="str">
        <f>IF(_xlfn.XLOOKUP($B137,'ELC TECH'!$H:$H,'ELC TECH'!$E:$E)="Storage",DC$4*$BF137,"")</f>
        <v/>
      </c>
      <c r="DD137" s="8" t="str">
        <f>IF(_xlfn.XLOOKUP($B137,'ELC TECH'!$H:$H,'ELC TECH'!$E:$E)="Storage",DD$4*$BF137,"")</f>
        <v/>
      </c>
      <c r="DE137" s="8" t="str">
        <f>IF(_xlfn.XLOOKUP($B137,'ELC TECH'!$H:$H,'ELC TECH'!$E:$E)="Storage",DE$4*$BF137,"")</f>
        <v/>
      </c>
      <c r="DF137" s="8" t="str">
        <f>IF(_xlfn.XLOOKUP($B137,'ELC TECH'!$H:$H,'ELC TECH'!$E:$E)="Storage",DF$4*$BF137,"")</f>
        <v/>
      </c>
      <c r="DG137" s="8" t="str">
        <f>IF(_xlfn.XLOOKUP($B137,'ELC TECH'!$H:$H,'ELC TECH'!$E:$E)="Storage",DG$4*$BF137,"")</f>
        <v/>
      </c>
      <c r="DH137" s="8" t="str">
        <f>IF(_xlfn.XLOOKUP($B137,'ELC TECH'!$H:$H,'ELC TECH'!$E:$E)="Storage",DH$4*$BF137,"")</f>
        <v/>
      </c>
      <c r="DI137" s="8" t="str">
        <f>IF(_xlfn.XLOOKUP($B137,'ELC TECH'!$H:$H,'ELC TECH'!$E:$E)="Storage",DI$4*$BF137,"")</f>
        <v/>
      </c>
    </row>
    <row r="138" spans="2:113" x14ac:dyDescent="0.25">
      <c r="B138" t="str">
        <f>IF('ELC TECH'!I131=0,"*",'ELC TECH'!H131)</f>
        <v>ELCNGAGRDFFCC95RCCS20</v>
      </c>
      <c r="C138" t="str">
        <f>IF(_xlfn.XLOOKUP(_xlfn.XLOOKUP(B138,'ELC TECH'!$H:$H,'ELC TECH'!$G:$G),List!C:C,List!B:B)="STG",D138,"ELC"&amp;_xlfn.XLOOKUP(_xlfn.XLOOKUP(B138,'ELC TECH'!H:H,'ELC TECH'!G:G),List!C:C,List!B:B))</f>
        <v>ELCNGA</v>
      </c>
      <c r="D138" t="s">
        <v>544</v>
      </c>
      <c r="E138">
        <f>_xlfn.XLOOKUP(B138,'ELC TECH'!H:H,'ELC TECH'!D:D)</f>
        <v>2020</v>
      </c>
      <c r="F138">
        <f>_xlfn.XLOOKUP(B138,'ELC TECH'!H:H,'ELC TECH'!K:K)</f>
        <v>30</v>
      </c>
      <c r="G138">
        <f t="shared" si="7"/>
        <v>31.535999999999998</v>
      </c>
      <c r="H138">
        <f>IF(_xlfn.XLOOKUP(B138,'ELC TECH'!$H:$H,'ELC TECH'!$E:$E)="Storage",0.3,IF(_xlfn.XLOOKUP(B138,'ELC TECH'!$H:$H,'ELC TECH'!$E:$E)="Baseload",0.9,IF(_xlfn.XLOOKUP(B138,'ELC TECH'!$H:$H,'ELC TECH'!$E:$E)="Non Dispatchable",0.05,IF(_xlfn.XLOOKUP(B138,'ELC TECH'!$H:$H,'ELC TECH'!$E:$E)="Dispatchable",0.9,1))))</f>
        <v>0.9</v>
      </c>
      <c r="I138" s="13" t="str">
        <f>IF(_xlfn.XLOOKUP(B138,'ELC TECH'!H:H,'ELC TECH'!J:J)="","",_xlfn.XLOOKUP(B138,'ELC TECH'!H:H,'ELC TECH'!J:J))</f>
        <v/>
      </c>
      <c r="J138" s="12">
        <f>IF(_xlfn.XLOOKUP($B138,'ELC TECH'!$H:$H,'ELC TECH'!$E:$E)="Storage","",IF(_xlfn.XLOOKUP($B138,'ELC TECH'!$H:$H,'ELC TECH'!AK:AK)="",1,_xlfn.XLOOKUP($B138,'ELC TECH'!$H:$H,'ELC TECH'!AK:AK)))</f>
        <v>0.46934548027527501</v>
      </c>
      <c r="K138" s="12">
        <f>IF(_xlfn.XLOOKUP($B138,'ELC TECH'!$H:$H,'ELC TECH'!$E:$E)="Storage","",IF(_xlfn.XLOOKUP($B138,'ELC TECH'!$H:$H,'ELC TECH'!AL:AL)="",1,_xlfn.XLOOKUP($B138,'ELC TECH'!$H:$H,'ELC TECH'!AL:AL)))</f>
        <v>0.47122519563613419</v>
      </c>
      <c r="L138" s="12">
        <f>IF(_xlfn.XLOOKUP($B138,'ELC TECH'!$H:$H,'ELC TECH'!$E:$E)="Storage","",IF(_xlfn.XLOOKUP($B138,'ELC TECH'!$H:$H,'ELC TECH'!AM:AM)="",1,_xlfn.XLOOKUP($B138,'ELC TECH'!$H:$H,'ELC TECH'!AM:AM)))</f>
        <v>0.47450168844406182</v>
      </c>
      <c r="M138" s="12">
        <f>IF(_xlfn.XLOOKUP($B138,'ELC TECH'!$H:$H,'ELC TECH'!$E:$E)="Storage","",IF(_xlfn.XLOOKUP($B138,'ELC TECH'!$H:$H,'ELC TECH'!AN:AN)="",1,_xlfn.XLOOKUP($B138,'ELC TECH'!$H:$H,'ELC TECH'!AN:AN)))</f>
        <v>0.47782406408083578</v>
      </c>
      <c r="N138" s="12">
        <f>IF(_xlfn.XLOOKUP($B138,'ELC TECH'!$H:$H,'ELC TECH'!$E:$E)="Storage","",IF(_xlfn.XLOOKUP($B138,'ELC TECH'!$H:$H,'ELC TECH'!AO:AO)="",1,_xlfn.XLOOKUP($B138,'ELC TECH'!$H:$H,'ELC TECH'!AO:AO)))</f>
        <v>0.47782406408083578</v>
      </c>
      <c r="O138" s="12">
        <f>IF(_xlfn.XLOOKUP($B138,'ELC TECH'!$H:$H,'ELC TECH'!$E:$E)="Storage","",IF(_xlfn.XLOOKUP($B138,'ELC TECH'!$H:$H,'ELC TECH'!AP:AP)="",1,_xlfn.XLOOKUP($B138,'ELC TECH'!$H:$H,'ELC TECH'!AP:AP)))</f>
        <v>0.47782406408083578</v>
      </c>
      <c r="P138" s="12">
        <f>IF(_xlfn.XLOOKUP($B138,'ELC TECH'!$H:$H,'ELC TECH'!$E:$E)="Storage","",IF(_xlfn.XLOOKUP($B138,'ELC TECH'!$H:$H,'ELC TECH'!AQ:AQ)="",1,_xlfn.XLOOKUP($B138,'ELC TECH'!$H:$H,'ELC TECH'!AQ:AQ)))</f>
        <v>0.47782406408083578</v>
      </c>
      <c r="Q138" s="12">
        <f>IF(_xlfn.XLOOKUP($B138,'ELC TECH'!$H:$H,'ELC TECH'!$E:$E)="Storage","",IF(_xlfn.XLOOKUP($B138,'ELC TECH'!$H:$H,'ELC TECH'!AR:AR)="",1,_xlfn.XLOOKUP($B138,'ELC TECH'!$H:$H,'ELC TECH'!AR:AR)))</f>
        <v>0.47782406408083578</v>
      </c>
      <c r="R138" s="12" t="str">
        <f>IF(_xlfn.XLOOKUP($B138,'ELC TECH'!$H:$H,'ELC TECH'!$E:$E)&lt;&gt;"Storage","",IF(_xlfn.XLOOKUP($B138,'ELC TECH'!$H:$H,'ELC TECH'!AK:AK)="",0.8,_xlfn.XLOOKUP($B138,'ELC TECH'!$H:$H,'ELC TECH'!AK:AK)))</f>
        <v/>
      </c>
      <c r="S138" s="12" t="str">
        <f>IF(_xlfn.XLOOKUP($B138,'ELC TECH'!$H:$H,'ELC TECH'!$E:$E)&lt;&gt;"Storage","",IF(_xlfn.XLOOKUP($B138,'ELC TECH'!$H:$H,'ELC TECH'!AL:AL)="",0.8,_xlfn.XLOOKUP($B138,'ELC TECH'!$H:$H,'ELC TECH'!AL:AL)))</f>
        <v/>
      </c>
      <c r="T138" s="12" t="str">
        <f>IF(_xlfn.XLOOKUP($B138,'ELC TECH'!$H:$H,'ELC TECH'!$E:$E)&lt;&gt;"Storage","",IF(_xlfn.XLOOKUP($B138,'ELC TECH'!$H:$H,'ELC TECH'!AM:AM)="",0.8,_xlfn.XLOOKUP($B138,'ELC TECH'!$H:$H,'ELC TECH'!AM:AM)))</f>
        <v/>
      </c>
      <c r="U138" s="12" t="str">
        <f>IF(_xlfn.XLOOKUP($B138,'ELC TECH'!$H:$H,'ELC TECH'!$E:$E)&lt;&gt;"Storage","",IF(_xlfn.XLOOKUP($B138,'ELC TECH'!$H:$H,'ELC TECH'!AN:AN)="",0.8,_xlfn.XLOOKUP($B138,'ELC TECH'!$H:$H,'ELC TECH'!AN:AN)))</f>
        <v/>
      </c>
      <c r="V138" s="12" t="str">
        <f>IF(_xlfn.XLOOKUP($B138,'ELC TECH'!$H:$H,'ELC TECH'!$E:$E)&lt;&gt;"Storage","",IF(_xlfn.XLOOKUP($B138,'ELC TECH'!$H:$H,'ELC TECH'!AO:AO)="",0.8,_xlfn.XLOOKUP($B138,'ELC TECH'!$H:$H,'ELC TECH'!AO:AO)))</f>
        <v/>
      </c>
      <c r="W138" s="12" t="str">
        <f>IF(_xlfn.XLOOKUP($B138,'ELC TECH'!$H:$H,'ELC TECH'!$E:$E)&lt;&gt;"Storage","",IF(_xlfn.XLOOKUP($B138,'ELC TECH'!$H:$H,'ELC TECH'!AP:AP)="",0.8,_xlfn.XLOOKUP($B138,'ELC TECH'!$H:$H,'ELC TECH'!AP:AP)))</f>
        <v/>
      </c>
      <c r="X138" s="12" t="str">
        <f>IF(_xlfn.XLOOKUP($B138,'ELC TECH'!$H:$H,'ELC TECH'!$E:$E)&lt;&gt;"Storage","",IF(_xlfn.XLOOKUP($B138,'ELC TECH'!$H:$H,'ELC TECH'!AQ:AQ)="",0.8,_xlfn.XLOOKUP($B138,'ELC TECH'!$H:$H,'ELC TECH'!AQ:AQ)))</f>
        <v/>
      </c>
      <c r="Y138" s="12" t="str">
        <f>IF(_xlfn.XLOOKUP($B138,'ELC TECH'!$H:$H,'ELC TECH'!$E:$E)&lt;&gt;"Storage","",IF(_xlfn.XLOOKUP($B138,'ELC TECH'!$H:$H,'ELC TECH'!AR:AR)="",0.8,_xlfn.XLOOKUP($B138,'ELC TECH'!$H:$H,'ELC TECH'!AR:AR)))</f>
        <v/>
      </c>
      <c r="Z138" s="15">
        <f>_xlfn.XLOOKUP($B138,'ELC TECH'!$H:$H,'ELC TECH'!M:M)</f>
        <v>1473.2752679720811</v>
      </c>
      <c r="AA138" s="15">
        <f>_xlfn.XLOOKUP($B138,'ELC TECH'!$H:$H,'ELC TECH'!N:N)</f>
        <v>1381.23090016724</v>
      </c>
      <c r="AB138" s="15">
        <f>_xlfn.XLOOKUP($B138,'ELC TECH'!$H:$H,'ELC TECH'!O:O)</f>
        <v>1227.899004905122</v>
      </c>
      <c r="AC138" s="15">
        <f>_xlfn.XLOOKUP($B138,'ELC TECH'!$H:$H,'ELC TECH'!P:P)</f>
        <v>1074.4540330240779</v>
      </c>
      <c r="AD138" s="15">
        <f>_xlfn.XLOOKUP($B138,'ELC TECH'!$H:$H,'ELC TECH'!Q:Q)</f>
        <v>1012.940352328951</v>
      </c>
      <c r="AE138" s="15">
        <f>_xlfn.XLOOKUP($B138,'ELC TECH'!$H:$H,'ELC TECH'!R:R)</f>
        <v>951.53974825274872</v>
      </c>
      <c r="AF138" s="15">
        <f>_xlfn.XLOOKUP($B138,'ELC TECH'!$H:$H,'ELC TECH'!S:S)</f>
        <v>890.02606755762156</v>
      </c>
      <c r="AG138" s="15">
        <f>_xlfn.XLOOKUP($B138,'ELC TECH'!$H:$H,'ELC TECH'!T:T)</f>
        <v>890.02606755762156</v>
      </c>
      <c r="AH138" s="15">
        <f>_xlfn.XLOOKUP($B138,'ELC TECH'!$H:$H,'ELC TECH'!U:U)</f>
        <v>74.630568490411662</v>
      </c>
      <c r="AI138" s="15">
        <f>_xlfn.XLOOKUP($B138,'ELC TECH'!$H:$H,'ELC TECH'!V:V)</f>
        <v>72.029806255139732</v>
      </c>
      <c r="AJ138" s="15">
        <f>_xlfn.XLOOKUP($B138,'ELC TECH'!$H:$H,'ELC TECH'!W:W)</f>
        <v>67.732894735994833</v>
      </c>
      <c r="AK138" s="15">
        <f>_xlfn.XLOOKUP($B138,'ELC TECH'!$H:$H,'ELC TECH'!X:X)</f>
        <v>63.435983216849912</v>
      </c>
      <c r="AL138" s="15">
        <f>_xlfn.XLOOKUP($B138,'ELC TECH'!$H:$H,'ELC TECH'!Y:Y)</f>
        <v>60.382914505878517</v>
      </c>
      <c r="AM138" s="15">
        <f>_xlfn.XLOOKUP($B138,'ELC TECH'!$H:$H,'ELC TECH'!Z:Z)</f>
        <v>57.329845794907143</v>
      </c>
      <c r="AN138" s="15">
        <f>_xlfn.XLOOKUP($B138,'ELC TECH'!$H:$H,'ELC TECH'!AA:AA)</f>
        <v>54.38985370286062</v>
      </c>
      <c r="AO138" s="15">
        <f>_xlfn.XLOOKUP($B138,'ELC TECH'!$H:$H,'ELC TECH'!AB:AB)</f>
        <v>54.38985370286062</v>
      </c>
      <c r="AP138" s="15">
        <f>_xlfn.XLOOKUP($B138,'ELC TECH'!$H:$H,'ELC TECH'!AC:AC)</f>
        <v>1.491983166369762</v>
      </c>
      <c r="AQ138" s="15">
        <f>_xlfn.XLOOKUP($B138,'ELC TECH'!$H:$H,'ELC TECH'!AD:AD)</f>
        <v>1.4480089256767581</v>
      </c>
      <c r="AR138" s="15">
        <f>_xlfn.XLOOKUP($B138,'ELC TECH'!$H:$H,'ELC TECH'!AE:AE)</f>
        <v>1.3726245130601811</v>
      </c>
      <c r="AS138" s="15">
        <f>_xlfn.XLOOKUP($B138,'ELC TECH'!$H:$H,'ELC TECH'!AF:AF)</f>
        <v>1.2972401004436029</v>
      </c>
      <c r="AT138" s="15">
        <f>_xlfn.XLOOKUP($B138,'ELC TECH'!$H:$H,'ELC TECH'!AG:AG)</f>
        <v>1.2564068769429571</v>
      </c>
      <c r="AU138" s="15">
        <f>_xlfn.XLOOKUP($B138,'ELC TECH'!$H:$H,'ELC TECH'!AH:AH)</f>
        <v>1.212432636249954</v>
      </c>
      <c r="AV138" s="15">
        <f>_xlfn.XLOOKUP($B138,'ELC TECH'!$H:$H,'ELC TECH'!AI:AI)</f>
        <v>1.1684583955569501</v>
      </c>
      <c r="AW138" s="15">
        <f>_xlfn.XLOOKUP($B138,'ELC TECH'!$H:$H,'ELC TECH'!AJ:AJ)</f>
        <v>1.1684583955569501</v>
      </c>
      <c r="AX138" s="12">
        <f>IF(_xlfn.XLOOKUP($B138,'ELC TECH'!$H:$H,'ELC TECH'!$E:$E)="Storage","",_xlfn.XLOOKUP($B138,'ELC TECH'!$H:$H,'ELC TECH'!AS:AS))</f>
        <v>0.9</v>
      </c>
      <c r="AY138" s="12">
        <f>IF(_xlfn.XLOOKUP($B138,'ELC TECH'!$H:$H,'ELC TECH'!$E:$E)="Storage","",_xlfn.XLOOKUP($B138,'ELC TECH'!$H:$H,'ELC TECH'!AT:AT))</f>
        <v>0.9</v>
      </c>
      <c r="AZ138" s="12">
        <f>IF(_xlfn.XLOOKUP($B138,'ELC TECH'!$H:$H,'ELC TECH'!$E:$E)="Storage","",_xlfn.XLOOKUP($B138,'ELC TECH'!$H:$H,'ELC TECH'!AU:AU))</f>
        <v>0.9</v>
      </c>
      <c r="BA138" s="12">
        <f>IF(_xlfn.XLOOKUP($B138,'ELC TECH'!$H:$H,'ELC TECH'!$E:$E)="Storage","",_xlfn.XLOOKUP($B138,'ELC TECH'!$H:$H,'ELC TECH'!AV:AV))</f>
        <v>0.9</v>
      </c>
      <c r="BB138" s="12">
        <f>IF(_xlfn.XLOOKUP($B138,'ELC TECH'!$H:$H,'ELC TECH'!$E:$E)="Storage","",_xlfn.XLOOKUP($B138,'ELC TECH'!$H:$H,'ELC TECH'!AW:AW))</f>
        <v>0.9</v>
      </c>
      <c r="BC138" s="12">
        <f>IF(_xlfn.XLOOKUP($B138,'ELC TECH'!$H:$H,'ELC TECH'!$E:$E)="Storage","",_xlfn.XLOOKUP($B138,'ELC TECH'!$H:$H,'ELC TECH'!AX:AX))</f>
        <v>0.9</v>
      </c>
      <c r="BD138" s="12">
        <f>IF(_xlfn.XLOOKUP($B138,'ELC TECH'!$H:$H,'ELC TECH'!$E:$E)="Storage","",_xlfn.XLOOKUP($B138,'ELC TECH'!$H:$H,'ELC TECH'!AY:AY))</f>
        <v>0.9</v>
      </c>
      <c r="BE138" s="12">
        <f>IF(_xlfn.XLOOKUP($B138,'ELC TECH'!$H:$H,'ELC TECH'!$E:$E)="Storage","",_xlfn.XLOOKUP($B138,'ELC TECH'!$H:$H,'ELC TECH'!AZ:AZ))</f>
        <v>0.9</v>
      </c>
      <c r="BF138" s="12" t="str">
        <f>IF(_xlfn.XLOOKUP($B138,'ELC TECH'!$H:$H,'ELC TECH'!$E:$E)="Storage",_xlfn.XLOOKUP($B138,'ELC TECH'!$H:$H,'ELC TECH'!AS:AS),"")</f>
        <v/>
      </c>
      <c r="BG138" s="12" t="str">
        <f>IF(_xlfn.XLOOKUP($B138,'ELC TECH'!$H:$H,'ELC TECH'!$E:$E)="Storage",_xlfn.XLOOKUP($B138,'ELC TECH'!$H:$H,'ELC TECH'!AT:AT),"")</f>
        <v/>
      </c>
      <c r="BH138" s="12" t="str">
        <f>IF(_xlfn.XLOOKUP($B138,'ELC TECH'!$H:$H,'ELC TECH'!$E:$E)="Storage",_xlfn.XLOOKUP($B138,'ELC TECH'!$H:$H,'ELC TECH'!AU:AU),"")</f>
        <v/>
      </c>
      <c r="BI138" s="12" t="str">
        <f>IF(_xlfn.XLOOKUP($B138,'ELC TECH'!$H:$H,'ELC TECH'!$E:$E)="Storage",_xlfn.XLOOKUP($B138,'ELC TECH'!$H:$H,'ELC TECH'!AV:AV),"")</f>
        <v/>
      </c>
      <c r="BJ138" s="12" t="str">
        <f>IF(_xlfn.XLOOKUP($B138,'ELC TECH'!$H:$H,'ELC TECH'!$E:$E)="Storage",_xlfn.XLOOKUP($B138,'ELC TECH'!$H:$H,'ELC TECH'!AW:AW),"")</f>
        <v/>
      </c>
      <c r="BK138" s="12" t="str">
        <f>IF(_xlfn.XLOOKUP($B138,'ELC TECH'!$H:$H,'ELC TECH'!$E:$E)="Storage",_xlfn.XLOOKUP($B138,'ELC TECH'!$H:$H,'ELC TECH'!AX:AX),"")</f>
        <v/>
      </c>
      <c r="BL138" s="12" t="str">
        <f>IF(_xlfn.XLOOKUP($B138,'ELC TECH'!$H:$H,'ELC TECH'!$E:$E)="Storage",_xlfn.XLOOKUP($B138,'ELC TECH'!$H:$H,'ELC TECH'!AY:AY),"")</f>
        <v/>
      </c>
      <c r="BM138" s="12" t="str">
        <f>IF(_xlfn.XLOOKUP($B138,'ELC TECH'!$H:$H,'ELC TECH'!$E:$E)="Storage",_xlfn.XLOOKUP($B138,'ELC TECH'!$H:$H,'ELC TECH'!AZ:AZ),"")</f>
        <v/>
      </c>
      <c r="BN138" s="8" t="str">
        <f>IF(_xlfn.XLOOKUP($B138,'ELC TECH'!$H:$H,'ELC TECH'!$E:$E)="Non Dispatchable",IFERROR($AX138*_xlfn.XLOOKUP($C138,$BM$1:$BM$3,BN$1:BN$3)/SUMPRODUCT(_xlfn.XLOOKUP($C138,$BM$1:$BM$3,$BN$1:$BY$3),$BN$4:$BY$4),""),
"")</f>
        <v/>
      </c>
      <c r="BO138" s="8" t="str">
        <f>IF(_xlfn.XLOOKUP($B138,'ELC TECH'!$H:$H,'ELC TECH'!$E:$E)="Non Dispatchable",IFERROR($AX138*_xlfn.XLOOKUP($C138,$BM$1:$BM$3,BO$1:BO$3)/SUMPRODUCT(_xlfn.XLOOKUP($C138,$BM$1:$BM$3,$BN$1:$BY$3),$BN$4:$BY$4),""),
"")</f>
        <v/>
      </c>
      <c r="BP138" s="8" t="str">
        <f>IF(_xlfn.XLOOKUP($B138,'ELC TECH'!$H:$H,'ELC TECH'!$E:$E)="Non Dispatchable",IFERROR($AX138*_xlfn.XLOOKUP($C138,$BM$1:$BM$3,BP$1:BP$3)/SUMPRODUCT(_xlfn.XLOOKUP($C138,$BM$1:$BM$3,$BN$1:$BY$3),$BN$4:$BY$4),""),
"")</f>
        <v/>
      </c>
      <c r="BQ138" s="8" t="str">
        <f>IF(_xlfn.XLOOKUP($B138,'ELC TECH'!$H:$H,'ELC TECH'!$E:$E)="Non Dispatchable",IFERROR($AX138*_xlfn.XLOOKUP($C138,$BM$1:$BM$3,BQ$1:BQ$3)/SUMPRODUCT(_xlfn.XLOOKUP($C138,$BM$1:$BM$3,$BN$1:$BY$3),$BN$4:$BY$4),""),
"")</f>
        <v/>
      </c>
      <c r="BR138" s="8" t="str">
        <f>IF(_xlfn.XLOOKUP($B138,'ELC TECH'!$H:$H,'ELC TECH'!$E:$E)="Non Dispatchable",IFERROR($AX138*_xlfn.XLOOKUP($C138,$BM$1:$BM$3,BR$1:BR$3)/SUMPRODUCT(_xlfn.XLOOKUP($C138,$BM$1:$BM$3,$BN$1:$BY$3),$BN$4:$BY$4),""),
"")</f>
        <v/>
      </c>
      <c r="BS138" s="8" t="str">
        <f>IF(_xlfn.XLOOKUP($B138,'ELC TECH'!$H:$H,'ELC TECH'!$E:$E)="Non Dispatchable",IFERROR($AX138*_xlfn.XLOOKUP($C138,$BM$1:$BM$3,BS$1:BS$3)/SUMPRODUCT(_xlfn.XLOOKUP($C138,$BM$1:$BM$3,$BN$1:$BY$3),$BN$4:$BY$4),""),
"")</f>
        <v/>
      </c>
      <c r="BT138" s="8" t="str">
        <f>IF(_xlfn.XLOOKUP($B138,'ELC TECH'!$H:$H,'ELC TECH'!$E:$E)="Non Dispatchable",IFERROR($AX138*_xlfn.XLOOKUP($C138,$BM$1:$BM$3,BT$1:BT$3)/SUMPRODUCT(_xlfn.XLOOKUP($C138,$BM$1:$BM$3,$BN$1:$BY$3),$BN$4:$BY$4),""),
"")</f>
        <v/>
      </c>
      <c r="BU138" s="8" t="str">
        <f>IF(_xlfn.XLOOKUP($B138,'ELC TECH'!$H:$H,'ELC TECH'!$E:$E)="Non Dispatchable",IFERROR($AX138*_xlfn.XLOOKUP($C138,$BM$1:$BM$3,BU$1:BU$3)/SUMPRODUCT(_xlfn.XLOOKUP($C138,$BM$1:$BM$3,$BN$1:$BY$3),$BN$4:$BY$4),""),
"")</f>
        <v/>
      </c>
      <c r="BV138" s="8" t="str">
        <f>IF(_xlfn.XLOOKUP($B138,'ELC TECH'!$H:$H,'ELC TECH'!$E:$E)="Non Dispatchable",IFERROR($AX138*_xlfn.XLOOKUP($C138,$BM$1:$BM$3,BV$1:BV$3)/SUMPRODUCT(_xlfn.XLOOKUP($C138,$BM$1:$BM$3,$BN$1:$BY$3),$BN$4:$BY$4),""),
"")</f>
        <v/>
      </c>
      <c r="BW138" s="8" t="str">
        <f>IF(_xlfn.XLOOKUP($B138,'ELC TECH'!$H:$H,'ELC TECH'!$E:$E)="Non Dispatchable",IFERROR($AX138*_xlfn.XLOOKUP($C138,$BM$1:$BM$3,BW$1:BW$3)/SUMPRODUCT(_xlfn.XLOOKUP($C138,$BM$1:$BM$3,$BN$1:$BY$3),$BN$4:$BY$4),""),
"")</f>
        <v/>
      </c>
      <c r="BX138" s="8" t="str">
        <f>IF(_xlfn.XLOOKUP($B138,'ELC TECH'!$H:$H,'ELC TECH'!$E:$E)="Non Dispatchable",IFERROR($AX138*_xlfn.XLOOKUP($C138,$BM$1:$BM$3,BX$1:BX$3)/SUMPRODUCT(_xlfn.XLOOKUP($C138,$BM$1:$BM$3,$BN$1:$BY$3),$BN$4:$BY$4),""),
"")</f>
        <v/>
      </c>
      <c r="BY138" s="8" t="str">
        <f>IF(_xlfn.XLOOKUP($B138,'ELC TECH'!$H:$H,'ELC TECH'!$E:$E)="Non Dispatchable",IFERROR($AX138*_xlfn.XLOOKUP($C138,$BM$1:$BM$3,BY$1:BY$3)/SUMPRODUCT(_xlfn.XLOOKUP($C138,$BM$1:$BM$3,$BN$1:$BY$3),$BN$4:$BY$4),""),
"")</f>
        <v/>
      </c>
      <c r="BZ138" s="8" t="str">
        <f>IF(_xlfn.XLOOKUP($B138,'ELC TECH'!$H:$H,'ELC TECH'!$E:$E)="Non Dispatchable",IFERROR($AX138*_xlfn.XLOOKUP($C138,$BM$1:$BM$3,BZ$1:BZ$3)/SUMPRODUCT(_xlfn.XLOOKUP($C138,$BM$1:$BM$3,$BN$1:$BY$3),$BN$4:$BY$4),""),
"")</f>
        <v/>
      </c>
      <c r="CA138" s="8" t="str">
        <f>IF(_xlfn.XLOOKUP($B138,'ELC TECH'!$H:$H,'ELC TECH'!$E:$E)="Non Dispatchable",IFERROR($AX138*_xlfn.XLOOKUP($C138,$BM$1:$BM$3,CA$1:CA$3)/SUMPRODUCT(_xlfn.XLOOKUP($C138,$BM$1:$BM$3,$BN$1:$BY$3),$BN$4:$BY$4),""),
"")</f>
        <v/>
      </c>
      <c r="CB138" s="8" t="str">
        <f>IF(_xlfn.XLOOKUP($B138,'ELC TECH'!$H:$H,'ELC TECH'!$E:$E)="Non Dispatchable",IFERROR($AX138*_xlfn.XLOOKUP($C138,$BM$1:$BM$3,CB$1:CB$3)/SUMPRODUCT(_xlfn.XLOOKUP($C138,$BM$1:$BM$3,$BN$1:$BY$3),$BN$4:$BY$4),""),
"")</f>
        <v/>
      </c>
      <c r="CC138" s="8" t="str">
        <f>IF(_xlfn.XLOOKUP($B138,'ELC TECH'!$H:$H,'ELC TECH'!$E:$E)="Non Dispatchable",IFERROR($AX138*_xlfn.XLOOKUP($C138,$BM$1:$BM$3,CC$1:CC$3)/SUMPRODUCT(_xlfn.XLOOKUP($C138,$BM$1:$BM$3,$BN$1:$BY$3),$BN$4:$BY$4),""),
"")</f>
        <v/>
      </c>
      <c r="CD138" s="8" t="str">
        <f>IF(_xlfn.XLOOKUP($B138,'ELC TECH'!$H:$H,'ELC TECH'!$E:$E)="Non Dispatchable",IFERROR($AX138*_xlfn.XLOOKUP($C138,$BM$1:$BM$3,CD$1:CD$3)/SUMPRODUCT(_xlfn.XLOOKUP($C138,$BM$1:$BM$3,$BN$1:$BY$3),$BN$4:$BY$4),""),
"")</f>
        <v/>
      </c>
      <c r="CE138" s="8" t="str">
        <f>IF(_xlfn.XLOOKUP($B138,'ELC TECH'!$H:$H,'ELC TECH'!$E:$E)="Non Dispatchable",IFERROR($AX138*_xlfn.XLOOKUP($C138,$BM$1:$BM$3,CE$1:CE$3)/SUMPRODUCT(_xlfn.XLOOKUP($C138,$BM$1:$BM$3,$BN$1:$BY$3),$BN$4:$BY$4),""),
"")</f>
        <v/>
      </c>
      <c r="CF138" s="8" t="str">
        <f>IF(_xlfn.XLOOKUP($B138,'ELC TECH'!$H:$H,'ELC TECH'!$E:$E)="Non Dispatchable",IFERROR($AX138*_xlfn.XLOOKUP($C138,$BM$1:$BM$3,CF$1:CF$3)/SUMPRODUCT(_xlfn.XLOOKUP($C138,$BM$1:$BM$3,$BN$1:$BY$3),$BN$4:$BY$4),""),
"")</f>
        <v/>
      </c>
      <c r="CG138" s="8" t="str">
        <f>IF(_xlfn.XLOOKUP($B138,'ELC TECH'!$H:$H,'ELC TECH'!$E:$E)="Non Dispatchable",IFERROR($AX138*_xlfn.XLOOKUP($C138,$BM$1:$BM$3,CG$1:CG$3)/SUMPRODUCT(_xlfn.XLOOKUP($C138,$BM$1:$BM$3,$BN$1:$BY$3),$BN$4:$BY$4),""),
"")</f>
        <v/>
      </c>
      <c r="CH138" s="8" t="str">
        <f>IF(_xlfn.XLOOKUP($B138,'ELC TECH'!$H:$H,'ELC TECH'!$E:$E)="Non Dispatchable",IFERROR($AX138*_xlfn.XLOOKUP($C138,$BM$1:$BM$3,CH$1:CH$3)/SUMPRODUCT(_xlfn.XLOOKUP($C138,$BM$1:$BM$3,$BN$1:$BY$3),$BN$4:$BY$4),""),
"")</f>
        <v/>
      </c>
      <c r="CI138" s="8" t="str">
        <f>IF(_xlfn.XLOOKUP($B138,'ELC TECH'!$H:$H,'ELC TECH'!$E:$E)="Non Dispatchable",IFERROR($AX138*_xlfn.XLOOKUP($C138,$BM$1:$BM$3,CI$1:CI$3)/SUMPRODUCT(_xlfn.XLOOKUP($C138,$BM$1:$BM$3,$BN$1:$BY$3),$BN$4:$BY$4),""),
"")</f>
        <v/>
      </c>
      <c r="CJ138" s="8" t="str">
        <f>IF(_xlfn.XLOOKUP($B138,'ELC TECH'!$H:$H,'ELC TECH'!$E:$E)="Non Dispatchable",IFERROR($AX138*_xlfn.XLOOKUP($C138,$BM$1:$BM$3,CJ$1:CJ$3)/SUMPRODUCT(_xlfn.XLOOKUP($C138,$BM$1:$BM$3,$BN$1:$BY$3),$BN$4:$BY$4),""),
"")</f>
        <v/>
      </c>
      <c r="CK138" s="8" t="str">
        <f>IF(_xlfn.XLOOKUP($B138,'ELC TECH'!$H:$H,'ELC TECH'!$E:$E)="Non Dispatchable",IFERROR($AX138*_xlfn.XLOOKUP($C138,$BM$1:$BM$3,CK$1:CK$3)/SUMPRODUCT(_xlfn.XLOOKUP($C138,$BM$1:$BM$3,$BN$1:$BY$3),$BN$4:$BY$4),""),
"")</f>
        <v/>
      </c>
      <c r="CL138" s="8" t="str">
        <f>IF(_xlfn.XLOOKUP($B138,'ELC TECH'!$H:$H,'ELC TECH'!$E:$E)="Storage",CL$4*$BF138,"")</f>
        <v/>
      </c>
      <c r="CM138" s="8" t="str">
        <f>IF(_xlfn.XLOOKUP($B138,'ELC TECH'!$H:$H,'ELC TECH'!$E:$E)="Storage",CM$4*$BF138,"")</f>
        <v/>
      </c>
      <c r="CN138" s="8" t="str">
        <f>IF(_xlfn.XLOOKUP($B138,'ELC TECH'!$H:$H,'ELC TECH'!$E:$E)="Storage",CN$4*$BF138,"")</f>
        <v/>
      </c>
      <c r="CO138" s="8" t="str">
        <f>IF(_xlfn.XLOOKUP($B138,'ELC TECH'!$H:$H,'ELC TECH'!$E:$E)="Storage",CO$4*$BF138,"")</f>
        <v/>
      </c>
      <c r="CP138" s="8" t="str">
        <f>IF(_xlfn.XLOOKUP($B138,'ELC TECH'!$H:$H,'ELC TECH'!$E:$E)="Storage",CP$4*$BF138,"")</f>
        <v/>
      </c>
      <c r="CQ138" s="8" t="str">
        <f>IF(_xlfn.XLOOKUP($B138,'ELC TECH'!$H:$H,'ELC TECH'!$E:$E)="Storage",CQ$4*$BF138,"")</f>
        <v/>
      </c>
      <c r="CR138" s="8" t="str">
        <f>IF(_xlfn.XLOOKUP($B138,'ELC TECH'!$H:$H,'ELC TECH'!$E:$E)="Storage",CR$4*$BF138,"")</f>
        <v/>
      </c>
      <c r="CS138" s="8" t="str">
        <f>IF(_xlfn.XLOOKUP($B138,'ELC TECH'!$H:$H,'ELC TECH'!$E:$E)="Storage",CS$4*$BF138,"")</f>
        <v/>
      </c>
      <c r="CT138" s="8" t="str">
        <f>IF(_xlfn.XLOOKUP($B138,'ELC TECH'!$H:$H,'ELC TECH'!$E:$E)="Storage",CT$4*$BF138,"")</f>
        <v/>
      </c>
      <c r="CU138" s="8" t="str">
        <f>IF(_xlfn.XLOOKUP($B138,'ELC TECH'!$H:$H,'ELC TECH'!$E:$E)="Storage",CU$4*$BF138,"")</f>
        <v/>
      </c>
      <c r="CV138" s="8" t="str">
        <f>IF(_xlfn.XLOOKUP($B138,'ELC TECH'!$H:$H,'ELC TECH'!$E:$E)="Storage",CV$4*$BF138,"")</f>
        <v/>
      </c>
      <c r="CW138" s="8" t="str">
        <f>IF(_xlfn.XLOOKUP($B138,'ELC TECH'!$H:$H,'ELC TECH'!$E:$E)="Storage",CW$4*$BF138,"")</f>
        <v/>
      </c>
      <c r="CX138" s="8" t="str">
        <f>IF(_xlfn.XLOOKUP($B138,'ELC TECH'!$H:$H,'ELC TECH'!$E:$E)="Storage",CX$4*$BF138,"")</f>
        <v/>
      </c>
      <c r="CY138" s="8" t="str">
        <f>IF(_xlfn.XLOOKUP($B138,'ELC TECH'!$H:$H,'ELC TECH'!$E:$E)="Storage",CY$4*$BF138,"")</f>
        <v/>
      </c>
      <c r="CZ138" s="8" t="str">
        <f>IF(_xlfn.XLOOKUP($B138,'ELC TECH'!$H:$H,'ELC TECH'!$E:$E)="Storage",CZ$4*$BF138,"")</f>
        <v/>
      </c>
      <c r="DA138" s="8" t="str">
        <f>IF(_xlfn.XLOOKUP($B138,'ELC TECH'!$H:$H,'ELC TECH'!$E:$E)="Storage",DA$4*$BF138,"")</f>
        <v/>
      </c>
      <c r="DB138" s="8" t="str">
        <f>IF(_xlfn.XLOOKUP($B138,'ELC TECH'!$H:$H,'ELC TECH'!$E:$E)="Storage",DB$4*$BF138,"")</f>
        <v/>
      </c>
      <c r="DC138" s="8" t="str">
        <f>IF(_xlfn.XLOOKUP($B138,'ELC TECH'!$H:$H,'ELC TECH'!$E:$E)="Storage",DC$4*$BF138,"")</f>
        <v/>
      </c>
      <c r="DD138" s="8" t="str">
        <f>IF(_xlfn.XLOOKUP($B138,'ELC TECH'!$H:$H,'ELC TECH'!$E:$E)="Storage",DD$4*$BF138,"")</f>
        <v/>
      </c>
      <c r="DE138" s="8" t="str">
        <f>IF(_xlfn.XLOOKUP($B138,'ELC TECH'!$H:$H,'ELC TECH'!$E:$E)="Storage",DE$4*$BF138,"")</f>
        <v/>
      </c>
      <c r="DF138" s="8" t="str">
        <f>IF(_xlfn.XLOOKUP($B138,'ELC TECH'!$H:$H,'ELC TECH'!$E:$E)="Storage",DF$4*$BF138,"")</f>
        <v/>
      </c>
      <c r="DG138" s="8" t="str">
        <f>IF(_xlfn.XLOOKUP($B138,'ELC TECH'!$H:$H,'ELC TECH'!$E:$E)="Storage",DG$4*$BF138,"")</f>
        <v/>
      </c>
      <c r="DH138" s="8" t="str">
        <f>IF(_xlfn.XLOOKUP($B138,'ELC TECH'!$H:$H,'ELC TECH'!$E:$E)="Storage",DH$4*$BF138,"")</f>
        <v/>
      </c>
      <c r="DI138" s="8" t="str">
        <f>IF(_xlfn.XLOOKUP($B138,'ELC TECH'!$H:$H,'ELC TECH'!$E:$E)="Storage",DI$4*$BF138,"")</f>
        <v/>
      </c>
    </row>
    <row r="139" spans="2:113" x14ac:dyDescent="0.25">
      <c r="B139" t="str">
        <f>IF('ELC TECH'!I132=0,"*",'ELC TECH'!H132)</f>
        <v>ELCNGAGRDHFCC20</v>
      </c>
      <c r="C139" t="str">
        <f>IF(_xlfn.XLOOKUP(_xlfn.XLOOKUP(B139,'ELC TECH'!$H:$H,'ELC TECH'!$G:$G),List!C:C,List!B:B)="STG",D139,"ELC"&amp;_xlfn.XLOOKUP(_xlfn.XLOOKUP(B139,'ELC TECH'!H:H,'ELC TECH'!G:G),List!C:C,List!B:B))</f>
        <v>ELCNGA</v>
      </c>
      <c r="D139" t="s">
        <v>544</v>
      </c>
      <c r="E139">
        <f>_xlfn.XLOOKUP(B139,'ELC TECH'!H:H,'ELC TECH'!D:D)</f>
        <v>2020</v>
      </c>
      <c r="F139">
        <f>_xlfn.XLOOKUP(B139,'ELC TECH'!H:H,'ELC TECH'!K:K)</f>
        <v>30</v>
      </c>
      <c r="G139">
        <f t="shared" ref="G139:G170" si="8">8760*0.0036</f>
        <v>31.535999999999998</v>
      </c>
      <c r="H139">
        <f>IF(_xlfn.XLOOKUP(B139,'ELC TECH'!$H:$H,'ELC TECH'!$E:$E)="Storage",0.3,IF(_xlfn.XLOOKUP(B139,'ELC TECH'!$H:$H,'ELC TECH'!$E:$E)="Baseload",0.9,IF(_xlfn.XLOOKUP(B139,'ELC TECH'!$H:$H,'ELC TECH'!$E:$E)="Non Dispatchable",0.05,IF(_xlfn.XLOOKUP(B139,'ELC TECH'!$H:$H,'ELC TECH'!$E:$E)="Dispatchable",0.9,1))))</f>
        <v>0.9</v>
      </c>
      <c r="I139" s="13" t="str">
        <f>IF(_xlfn.XLOOKUP(B139,'ELC TECH'!H:H,'ELC TECH'!J:J)="","",_xlfn.XLOOKUP(B139,'ELC TECH'!H:H,'ELC TECH'!J:J))</f>
        <v/>
      </c>
      <c r="J139" s="12">
        <f>IF(_xlfn.XLOOKUP($B139,'ELC TECH'!$H:$H,'ELC TECH'!$E:$E)="Storage","",IF(_xlfn.XLOOKUP($B139,'ELC TECH'!$H:$H,'ELC TECH'!AK:AK)="",1,_xlfn.XLOOKUP($B139,'ELC TECH'!$H:$H,'ELC TECH'!AK:AK)))</f>
        <v>0.55070071684978195</v>
      </c>
      <c r="K139" s="12">
        <f>IF(_xlfn.XLOOKUP($B139,'ELC TECH'!$H:$H,'ELC TECH'!$E:$E)="Storage","",IF(_xlfn.XLOOKUP($B139,'ELC TECH'!$H:$H,'ELC TECH'!AL:AL)="",1,_xlfn.XLOOKUP($B139,'ELC TECH'!$H:$H,'ELC TECH'!AL:AL)))</f>
        <v>0.55320065525312057</v>
      </c>
      <c r="L139" s="12">
        <f>IF(_xlfn.XLOOKUP($B139,'ELC TECH'!$H:$H,'ELC TECH'!$E:$E)="Storage","",IF(_xlfn.XLOOKUP($B139,'ELC TECH'!$H:$H,'ELC TECH'!AM:AM)="",1,_xlfn.XLOOKUP($B139,'ELC TECH'!$H:$H,'ELC TECH'!AM:AM)))</f>
        <v>0.5573573409998771</v>
      </c>
      <c r="M139" s="12">
        <f>IF(_xlfn.XLOOKUP($B139,'ELC TECH'!$H:$H,'ELC TECH'!$E:$E)="Storage","",IF(_xlfn.XLOOKUP($B139,'ELC TECH'!$H:$H,'ELC TECH'!AN:AN)="",1,_xlfn.XLOOKUP($B139,'ELC TECH'!$H:$H,'ELC TECH'!AN:AN)))</f>
        <v>0.56166940602489668</v>
      </c>
      <c r="N139" s="12">
        <f>IF(_xlfn.XLOOKUP($B139,'ELC TECH'!$H:$H,'ELC TECH'!$E:$E)="Storage","",IF(_xlfn.XLOOKUP($B139,'ELC TECH'!$H:$H,'ELC TECH'!AO:AO)="",1,_xlfn.XLOOKUP($B139,'ELC TECH'!$H:$H,'ELC TECH'!AO:AO)))</f>
        <v>0.56166940602489668</v>
      </c>
      <c r="O139" s="12">
        <f>IF(_xlfn.XLOOKUP($B139,'ELC TECH'!$H:$H,'ELC TECH'!$E:$E)="Storage","",IF(_xlfn.XLOOKUP($B139,'ELC TECH'!$H:$H,'ELC TECH'!AP:AP)="",1,_xlfn.XLOOKUP($B139,'ELC TECH'!$H:$H,'ELC TECH'!AP:AP)))</f>
        <v>0.56166940602489668</v>
      </c>
      <c r="P139" s="12">
        <f>IF(_xlfn.XLOOKUP($B139,'ELC TECH'!$H:$H,'ELC TECH'!$E:$E)="Storage","",IF(_xlfn.XLOOKUP($B139,'ELC TECH'!$H:$H,'ELC TECH'!AQ:AQ)="",1,_xlfn.XLOOKUP($B139,'ELC TECH'!$H:$H,'ELC TECH'!AQ:AQ)))</f>
        <v>0.56166940602489668</v>
      </c>
      <c r="Q139" s="12">
        <f>IF(_xlfn.XLOOKUP($B139,'ELC TECH'!$H:$H,'ELC TECH'!$E:$E)="Storage","",IF(_xlfn.XLOOKUP($B139,'ELC TECH'!$H:$H,'ELC TECH'!AR:AR)="",1,_xlfn.XLOOKUP($B139,'ELC TECH'!$H:$H,'ELC TECH'!AR:AR)))</f>
        <v>0.56166940602489668</v>
      </c>
      <c r="R139" s="12" t="str">
        <f>IF(_xlfn.XLOOKUP($B139,'ELC TECH'!$H:$H,'ELC TECH'!$E:$E)&lt;&gt;"Storage","",IF(_xlfn.XLOOKUP($B139,'ELC TECH'!$H:$H,'ELC TECH'!AK:AK)="",0.8,_xlfn.XLOOKUP($B139,'ELC TECH'!$H:$H,'ELC TECH'!AK:AK)))</f>
        <v/>
      </c>
      <c r="S139" s="12" t="str">
        <f>IF(_xlfn.XLOOKUP($B139,'ELC TECH'!$H:$H,'ELC TECH'!$E:$E)&lt;&gt;"Storage","",IF(_xlfn.XLOOKUP($B139,'ELC TECH'!$H:$H,'ELC TECH'!AL:AL)="",0.8,_xlfn.XLOOKUP($B139,'ELC TECH'!$H:$H,'ELC TECH'!AL:AL)))</f>
        <v/>
      </c>
      <c r="T139" s="12" t="str">
        <f>IF(_xlfn.XLOOKUP($B139,'ELC TECH'!$H:$H,'ELC TECH'!$E:$E)&lt;&gt;"Storage","",IF(_xlfn.XLOOKUP($B139,'ELC TECH'!$H:$H,'ELC TECH'!AM:AM)="",0.8,_xlfn.XLOOKUP($B139,'ELC TECH'!$H:$H,'ELC TECH'!AM:AM)))</f>
        <v/>
      </c>
      <c r="U139" s="12" t="str">
        <f>IF(_xlfn.XLOOKUP($B139,'ELC TECH'!$H:$H,'ELC TECH'!$E:$E)&lt;&gt;"Storage","",IF(_xlfn.XLOOKUP($B139,'ELC TECH'!$H:$H,'ELC TECH'!AN:AN)="",0.8,_xlfn.XLOOKUP($B139,'ELC TECH'!$H:$H,'ELC TECH'!AN:AN)))</f>
        <v/>
      </c>
      <c r="V139" s="12" t="str">
        <f>IF(_xlfn.XLOOKUP($B139,'ELC TECH'!$H:$H,'ELC TECH'!$E:$E)&lt;&gt;"Storage","",IF(_xlfn.XLOOKUP($B139,'ELC TECH'!$H:$H,'ELC TECH'!AO:AO)="",0.8,_xlfn.XLOOKUP($B139,'ELC TECH'!$H:$H,'ELC TECH'!AO:AO)))</f>
        <v/>
      </c>
      <c r="W139" s="12" t="str">
        <f>IF(_xlfn.XLOOKUP($B139,'ELC TECH'!$H:$H,'ELC TECH'!$E:$E)&lt;&gt;"Storage","",IF(_xlfn.XLOOKUP($B139,'ELC TECH'!$H:$H,'ELC TECH'!AP:AP)="",0.8,_xlfn.XLOOKUP($B139,'ELC TECH'!$H:$H,'ELC TECH'!AP:AP)))</f>
        <v/>
      </c>
      <c r="X139" s="12" t="str">
        <f>IF(_xlfn.XLOOKUP($B139,'ELC TECH'!$H:$H,'ELC TECH'!$E:$E)&lt;&gt;"Storage","",IF(_xlfn.XLOOKUP($B139,'ELC TECH'!$H:$H,'ELC TECH'!AQ:AQ)="",0.8,_xlfn.XLOOKUP($B139,'ELC TECH'!$H:$H,'ELC TECH'!AQ:AQ)))</f>
        <v/>
      </c>
      <c r="Y139" s="12" t="str">
        <f>IF(_xlfn.XLOOKUP($B139,'ELC TECH'!$H:$H,'ELC TECH'!$E:$E)&lt;&gt;"Storage","",IF(_xlfn.XLOOKUP($B139,'ELC TECH'!$H:$H,'ELC TECH'!AR:AR)="",0.8,_xlfn.XLOOKUP($B139,'ELC TECH'!$H:$H,'ELC TECH'!AR:AR)))</f>
        <v/>
      </c>
      <c r="Z139" s="15">
        <f>_xlfn.XLOOKUP($B139,'ELC TECH'!$H:$H,'ELC TECH'!M:M)</f>
        <v>1298.3457384953131</v>
      </c>
      <c r="AA139" s="15">
        <f>_xlfn.XLOOKUP($B139,'ELC TECH'!$H:$H,'ELC TECH'!N:N)</f>
        <v>1261.143530869032</v>
      </c>
      <c r="AB139" s="15">
        <f>_xlfn.XLOOKUP($B139,'ELC TECH'!$H:$H,'ELC TECH'!O:O)</f>
        <v>1199.064467079281</v>
      </c>
      <c r="AC139" s="15">
        <f>_xlfn.XLOOKUP($B139,'ELC TECH'!$H:$H,'ELC TECH'!P:P)</f>
        <v>1137.098479908454</v>
      </c>
      <c r="AD139" s="15">
        <f>_xlfn.XLOOKUP($B139,'ELC TECH'!$H:$H,'ELC TECH'!Q:Q)</f>
        <v>1090.397836292484</v>
      </c>
      <c r="AE139" s="15">
        <f>_xlfn.XLOOKUP($B139,'ELC TECH'!$H:$H,'ELC TECH'!R:R)</f>
        <v>1043.5841160575901</v>
      </c>
      <c r="AF139" s="15">
        <f>_xlfn.XLOOKUP($B139,'ELC TECH'!$H:$H,'ELC TECH'!S:S)</f>
        <v>996.88347244162003</v>
      </c>
      <c r="AG139" s="15">
        <f>_xlfn.XLOOKUP($B139,'ELC TECH'!$H:$H,'ELC TECH'!T:T)</f>
        <v>996.88347244162003</v>
      </c>
      <c r="AH139" s="15">
        <f>_xlfn.XLOOKUP($B139,'ELC TECH'!$H:$H,'ELC TECH'!U:U)</f>
        <v>34.82759862885878</v>
      </c>
      <c r="AI139" s="15">
        <f>_xlfn.XLOOKUP($B139,'ELC TECH'!$H:$H,'ELC TECH'!V:V)</f>
        <v>33.809909058534977</v>
      </c>
      <c r="AJ139" s="15">
        <f>_xlfn.XLOOKUP($B139,'ELC TECH'!$H:$H,'ELC TECH'!W:W)</f>
        <v>32.113759774661993</v>
      </c>
      <c r="AK139" s="15">
        <f>_xlfn.XLOOKUP($B139,'ELC TECH'!$H:$H,'ELC TECH'!X:X)</f>
        <v>30.417610490788999</v>
      </c>
      <c r="AL139" s="15">
        <f>_xlfn.XLOOKUP($B139,'ELC TECH'!$H:$H,'ELC TECH'!Y:Y)</f>
        <v>29.286844301540341</v>
      </c>
      <c r="AM139" s="15">
        <f>_xlfn.XLOOKUP($B139,'ELC TECH'!$H:$H,'ELC TECH'!Z:Z)</f>
        <v>28.156078112291681</v>
      </c>
      <c r="AN139" s="15">
        <f>_xlfn.XLOOKUP($B139,'ELC TECH'!$H:$H,'ELC TECH'!AA:AA)</f>
        <v>27.025311923043009</v>
      </c>
      <c r="AO139" s="15">
        <f>_xlfn.XLOOKUP($B139,'ELC TECH'!$H:$H,'ELC TECH'!AB:AB)</f>
        <v>27.025311923043009</v>
      </c>
      <c r="AP139" s="15">
        <f>_xlfn.XLOOKUP($B139,'ELC TECH'!$H:$H,'ELC TECH'!AC:AC)</f>
        <v>0.61563936970204913</v>
      </c>
      <c r="AQ139" s="15">
        <f>_xlfn.XLOOKUP($B139,'ELC TECH'!$H:$H,'ELC TECH'!AD:AD)</f>
        <v>0.59993428374026214</v>
      </c>
      <c r="AR139" s="15">
        <f>_xlfn.XLOOKUP($B139,'ELC TECH'!$H:$H,'ELC TECH'!AE:AE)</f>
        <v>0.5779471633937604</v>
      </c>
      <c r="AS139" s="15">
        <f>_xlfn.XLOOKUP($B139,'ELC TECH'!$H:$H,'ELC TECH'!AF:AF)</f>
        <v>0.55596004304725855</v>
      </c>
      <c r="AT139" s="15">
        <f>_xlfn.XLOOKUP($B139,'ELC TECH'!$H:$H,'ELC TECH'!AG:AG)</f>
        <v>0.54025495708547167</v>
      </c>
      <c r="AU139" s="15">
        <f>_xlfn.XLOOKUP($B139,'ELC TECH'!$H:$H,'ELC TECH'!AH:AH)</f>
        <v>0.5214088539313273</v>
      </c>
      <c r="AV139" s="15">
        <f>_xlfn.XLOOKUP($B139,'ELC TECH'!$H:$H,'ELC TECH'!AI:AI)</f>
        <v>0.50570376796954042</v>
      </c>
      <c r="AW139" s="15">
        <f>_xlfn.XLOOKUP($B139,'ELC TECH'!$H:$H,'ELC TECH'!AJ:AJ)</f>
        <v>0.50570376796954042</v>
      </c>
      <c r="AX139" s="12">
        <f>IF(_xlfn.XLOOKUP($B139,'ELC TECH'!$H:$H,'ELC TECH'!$E:$E)="Storage","",_xlfn.XLOOKUP($B139,'ELC TECH'!$H:$H,'ELC TECH'!AS:AS))</f>
        <v>0.9</v>
      </c>
      <c r="AY139" s="12">
        <f>IF(_xlfn.XLOOKUP($B139,'ELC TECH'!$H:$H,'ELC TECH'!$E:$E)="Storage","",_xlfn.XLOOKUP($B139,'ELC TECH'!$H:$H,'ELC TECH'!AT:AT))</f>
        <v>0.9</v>
      </c>
      <c r="AZ139" s="12">
        <f>IF(_xlfn.XLOOKUP($B139,'ELC TECH'!$H:$H,'ELC TECH'!$E:$E)="Storage","",_xlfn.XLOOKUP($B139,'ELC TECH'!$H:$H,'ELC TECH'!AU:AU))</f>
        <v>0.9</v>
      </c>
      <c r="BA139" s="12">
        <f>IF(_xlfn.XLOOKUP($B139,'ELC TECH'!$H:$H,'ELC TECH'!$E:$E)="Storage","",_xlfn.XLOOKUP($B139,'ELC TECH'!$H:$H,'ELC TECH'!AV:AV))</f>
        <v>0.9</v>
      </c>
      <c r="BB139" s="12">
        <f>IF(_xlfn.XLOOKUP($B139,'ELC TECH'!$H:$H,'ELC TECH'!$E:$E)="Storage","",_xlfn.XLOOKUP($B139,'ELC TECH'!$H:$H,'ELC TECH'!AW:AW))</f>
        <v>0.9</v>
      </c>
      <c r="BC139" s="12">
        <f>IF(_xlfn.XLOOKUP($B139,'ELC TECH'!$H:$H,'ELC TECH'!$E:$E)="Storage","",_xlfn.XLOOKUP($B139,'ELC TECH'!$H:$H,'ELC TECH'!AX:AX))</f>
        <v>0.9</v>
      </c>
      <c r="BD139" s="12">
        <f>IF(_xlfn.XLOOKUP($B139,'ELC TECH'!$H:$H,'ELC TECH'!$E:$E)="Storage","",_xlfn.XLOOKUP($B139,'ELC TECH'!$H:$H,'ELC TECH'!AY:AY))</f>
        <v>0.9</v>
      </c>
      <c r="BE139" s="12">
        <f>IF(_xlfn.XLOOKUP($B139,'ELC TECH'!$H:$H,'ELC TECH'!$E:$E)="Storage","",_xlfn.XLOOKUP($B139,'ELC TECH'!$H:$H,'ELC TECH'!AZ:AZ))</f>
        <v>0.9</v>
      </c>
      <c r="BF139" s="12" t="str">
        <f>IF(_xlfn.XLOOKUP($B139,'ELC TECH'!$H:$H,'ELC TECH'!$E:$E)="Storage",_xlfn.XLOOKUP($B139,'ELC TECH'!$H:$H,'ELC TECH'!AS:AS),"")</f>
        <v/>
      </c>
      <c r="BG139" s="12" t="str">
        <f>IF(_xlfn.XLOOKUP($B139,'ELC TECH'!$H:$H,'ELC TECH'!$E:$E)="Storage",_xlfn.XLOOKUP($B139,'ELC TECH'!$H:$H,'ELC TECH'!AT:AT),"")</f>
        <v/>
      </c>
      <c r="BH139" s="12" t="str">
        <f>IF(_xlfn.XLOOKUP($B139,'ELC TECH'!$H:$H,'ELC TECH'!$E:$E)="Storage",_xlfn.XLOOKUP($B139,'ELC TECH'!$H:$H,'ELC TECH'!AU:AU),"")</f>
        <v/>
      </c>
      <c r="BI139" s="12" t="str">
        <f>IF(_xlfn.XLOOKUP($B139,'ELC TECH'!$H:$H,'ELC TECH'!$E:$E)="Storage",_xlfn.XLOOKUP($B139,'ELC TECH'!$H:$H,'ELC TECH'!AV:AV),"")</f>
        <v/>
      </c>
      <c r="BJ139" s="12" t="str">
        <f>IF(_xlfn.XLOOKUP($B139,'ELC TECH'!$H:$H,'ELC TECH'!$E:$E)="Storage",_xlfn.XLOOKUP($B139,'ELC TECH'!$H:$H,'ELC TECH'!AW:AW),"")</f>
        <v/>
      </c>
      <c r="BK139" s="12" t="str">
        <f>IF(_xlfn.XLOOKUP($B139,'ELC TECH'!$H:$H,'ELC TECH'!$E:$E)="Storage",_xlfn.XLOOKUP($B139,'ELC TECH'!$H:$H,'ELC TECH'!AX:AX),"")</f>
        <v/>
      </c>
      <c r="BL139" s="12" t="str">
        <f>IF(_xlfn.XLOOKUP($B139,'ELC TECH'!$H:$H,'ELC TECH'!$E:$E)="Storage",_xlfn.XLOOKUP($B139,'ELC TECH'!$H:$H,'ELC TECH'!AY:AY),"")</f>
        <v/>
      </c>
      <c r="BM139" s="12" t="str">
        <f>IF(_xlfn.XLOOKUP($B139,'ELC TECH'!$H:$H,'ELC TECH'!$E:$E)="Storage",_xlfn.XLOOKUP($B139,'ELC TECH'!$H:$H,'ELC TECH'!AZ:AZ),"")</f>
        <v/>
      </c>
      <c r="BN139" s="8" t="str">
        <f>IF(_xlfn.XLOOKUP($B139,'ELC TECH'!$H:$H,'ELC TECH'!$E:$E)="Non Dispatchable",IFERROR($AX139*_xlfn.XLOOKUP($C139,$BM$1:$BM$3,BN$1:BN$3)/SUMPRODUCT(_xlfn.XLOOKUP($C139,$BM$1:$BM$3,$BN$1:$BY$3),$BN$4:$BY$4),""),
"")</f>
        <v/>
      </c>
      <c r="BO139" s="8" t="str">
        <f>IF(_xlfn.XLOOKUP($B139,'ELC TECH'!$H:$H,'ELC TECH'!$E:$E)="Non Dispatchable",IFERROR($AX139*_xlfn.XLOOKUP($C139,$BM$1:$BM$3,BO$1:BO$3)/SUMPRODUCT(_xlfn.XLOOKUP($C139,$BM$1:$BM$3,$BN$1:$BY$3),$BN$4:$BY$4),""),
"")</f>
        <v/>
      </c>
      <c r="BP139" s="8" t="str">
        <f>IF(_xlfn.XLOOKUP($B139,'ELC TECH'!$H:$H,'ELC TECH'!$E:$E)="Non Dispatchable",IFERROR($AX139*_xlfn.XLOOKUP($C139,$BM$1:$BM$3,BP$1:BP$3)/SUMPRODUCT(_xlfn.XLOOKUP($C139,$BM$1:$BM$3,$BN$1:$BY$3),$BN$4:$BY$4),""),
"")</f>
        <v/>
      </c>
      <c r="BQ139" s="8" t="str">
        <f>IF(_xlfn.XLOOKUP($B139,'ELC TECH'!$H:$H,'ELC TECH'!$E:$E)="Non Dispatchable",IFERROR($AX139*_xlfn.XLOOKUP($C139,$BM$1:$BM$3,BQ$1:BQ$3)/SUMPRODUCT(_xlfn.XLOOKUP($C139,$BM$1:$BM$3,$BN$1:$BY$3),$BN$4:$BY$4),""),
"")</f>
        <v/>
      </c>
      <c r="BR139" s="8" t="str">
        <f>IF(_xlfn.XLOOKUP($B139,'ELC TECH'!$H:$H,'ELC TECH'!$E:$E)="Non Dispatchable",IFERROR($AX139*_xlfn.XLOOKUP($C139,$BM$1:$BM$3,BR$1:BR$3)/SUMPRODUCT(_xlfn.XLOOKUP($C139,$BM$1:$BM$3,$BN$1:$BY$3),$BN$4:$BY$4),""),
"")</f>
        <v/>
      </c>
      <c r="BS139" s="8" t="str">
        <f>IF(_xlfn.XLOOKUP($B139,'ELC TECH'!$H:$H,'ELC TECH'!$E:$E)="Non Dispatchable",IFERROR($AX139*_xlfn.XLOOKUP($C139,$BM$1:$BM$3,BS$1:BS$3)/SUMPRODUCT(_xlfn.XLOOKUP($C139,$BM$1:$BM$3,$BN$1:$BY$3),$BN$4:$BY$4),""),
"")</f>
        <v/>
      </c>
      <c r="BT139" s="8" t="str">
        <f>IF(_xlfn.XLOOKUP($B139,'ELC TECH'!$H:$H,'ELC TECH'!$E:$E)="Non Dispatchable",IFERROR($AX139*_xlfn.XLOOKUP($C139,$BM$1:$BM$3,BT$1:BT$3)/SUMPRODUCT(_xlfn.XLOOKUP($C139,$BM$1:$BM$3,$BN$1:$BY$3),$BN$4:$BY$4),""),
"")</f>
        <v/>
      </c>
      <c r="BU139" s="8" t="str">
        <f>IF(_xlfn.XLOOKUP($B139,'ELC TECH'!$H:$H,'ELC TECH'!$E:$E)="Non Dispatchable",IFERROR($AX139*_xlfn.XLOOKUP($C139,$BM$1:$BM$3,BU$1:BU$3)/SUMPRODUCT(_xlfn.XLOOKUP($C139,$BM$1:$BM$3,$BN$1:$BY$3),$BN$4:$BY$4),""),
"")</f>
        <v/>
      </c>
      <c r="BV139" s="8" t="str">
        <f>IF(_xlfn.XLOOKUP($B139,'ELC TECH'!$H:$H,'ELC TECH'!$E:$E)="Non Dispatchable",IFERROR($AX139*_xlfn.XLOOKUP($C139,$BM$1:$BM$3,BV$1:BV$3)/SUMPRODUCT(_xlfn.XLOOKUP($C139,$BM$1:$BM$3,$BN$1:$BY$3),$BN$4:$BY$4),""),
"")</f>
        <v/>
      </c>
      <c r="BW139" s="8" t="str">
        <f>IF(_xlfn.XLOOKUP($B139,'ELC TECH'!$H:$H,'ELC TECH'!$E:$E)="Non Dispatchable",IFERROR($AX139*_xlfn.XLOOKUP($C139,$BM$1:$BM$3,BW$1:BW$3)/SUMPRODUCT(_xlfn.XLOOKUP($C139,$BM$1:$BM$3,$BN$1:$BY$3),$BN$4:$BY$4),""),
"")</f>
        <v/>
      </c>
      <c r="BX139" s="8" t="str">
        <f>IF(_xlfn.XLOOKUP($B139,'ELC TECH'!$H:$H,'ELC TECH'!$E:$E)="Non Dispatchable",IFERROR($AX139*_xlfn.XLOOKUP($C139,$BM$1:$BM$3,BX$1:BX$3)/SUMPRODUCT(_xlfn.XLOOKUP($C139,$BM$1:$BM$3,$BN$1:$BY$3),$BN$4:$BY$4),""),
"")</f>
        <v/>
      </c>
      <c r="BY139" s="8" t="str">
        <f>IF(_xlfn.XLOOKUP($B139,'ELC TECH'!$H:$H,'ELC TECH'!$E:$E)="Non Dispatchable",IFERROR($AX139*_xlfn.XLOOKUP($C139,$BM$1:$BM$3,BY$1:BY$3)/SUMPRODUCT(_xlfn.XLOOKUP($C139,$BM$1:$BM$3,$BN$1:$BY$3),$BN$4:$BY$4),""),
"")</f>
        <v/>
      </c>
      <c r="BZ139" s="8" t="str">
        <f>IF(_xlfn.XLOOKUP($B139,'ELC TECH'!$H:$H,'ELC TECH'!$E:$E)="Non Dispatchable",IFERROR($AX139*_xlfn.XLOOKUP($C139,$BM$1:$BM$3,BZ$1:BZ$3)/SUMPRODUCT(_xlfn.XLOOKUP($C139,$BM$1:$BM$3,$BN$1:$BY$3),$BN$4:$BY$4),""),
"")</f>
        <v/>
      </c>
      <c r="CA139" s="8" t="str">
        <f>IF(_xlfn.XLOOKUP($B139,'ELC TECH'!$H:$H,'ELC TECH'!$E:$E)="Non Dispatchable",IFERROR($AX139*_xlfn.XLOOKUP($C139,$BM$1:$BM$3,CA$1:CA$3)/SUMPRODUCT(_xlfn.XLOOKUP($C139,$BM$1:$BM$3,$BN$1:$BY$3),$BN$4:$BY$4),""),
"")</f>
        <v/>
      </c>
      <c r="CB139" s="8" t="str">
        <f>IF(_xlfn.XLOOKUP($B139,'ELC TECH'!$H:$H,'ELC TECH'!$E:$E)="Non Dispatchable",IFERROR($AX139*_xlfn.XLOOKUP($C139,$BM$1:$BM$3,CB$1:CB$3)/SUMPRODUCT(_xlfn.XLOOKUP($C139,$BM$1:$BM$3,$BN$1:$BY$3),$BN$4:$BY$4),""),
"")</f>
        <v/>
      </c>
      <c r="CC139" s="8" t="str">
        <f>IF(_xlfn.XLOOKUP($B139,'ELC TECH'!$H:$H,'ELC TECH'!$E:$E)="Non Dispatchable",IFERROR($AX139*_xlfn.XLOOKUP($C139,$BM$1:$BM$3,CC$1:CC$3)/SUMPRODUCT(_xlfn.XLOOKUP($C139,$BM$1:$BM$3,$BN$1:$BY$3),$BN$4:$BY$4),""),
"")</f>
        <v/>
      </c>
      <c r="CD139" s="8" t="str">
        <f>IF(_xlfn.XLOOKUP($B139,'ELC TECH'!$H:$H,'ELC TECH'!$E:$E)="Non Dispatchable",IFERROR($AX139*_xlfn.XLOOKUP($C139,$BM$1:$BM$3,CD$1:CD$3)/SUMPRODUCT(_xlfn.XLOOKUP($C139,$BM$1:$BM$3,$BN$1:$BY$3),$BN$4:$BY$4),""),
"")</f>
        <v/>
      </c>
      <c r="CE139" s="8" t="str">
        <f>IF(_xlfn.XLOOKUP($B139,'ELC TECH'!$H:$H,'ELC TECH'!$E:$E)="Non Dispatchable",IFERROR($AX139*_xlfn.XLOOKUP($C139,$BM$1:$BM$3,CE$1:CE$3)/SUMPRODUCT(_xlfn.XLOOKUP($C139,$BM$1:$BM$3,$BN$1:$BY$3),$BN$4:$BY$4),""),
"")</f>
        <v/>
      </c>
      <c r="CF139" s="8" t="str">
        <f>IF(_xlfn.XLOOKUP($B139,'ELC TECH'!$H:$H,'ELC TECH'!$E:$E)="Non Dispatchable",IFERROR($AX139*_xlfn.XLOOKUP($C139,$BM$1:$BM$3,CF$1:CF$3)/SUMPRODUCT(_xlfn.XLOOKUP($C139,$BM$1:$BM$3,$BN$1:$BY$3),$BN$4:$BY$4),""),
"")</f>
        <v/>
      </c>
      <c r="CG139" s="8" t="str">
        <f>IF(_xlfn.XLOOKUP($B139,'ELC TECH'!$H:$H,'ELC TECH'!$E:$E)="Non Dispatchable",IFERROR($AX139*_xlfn.XLOOKUP($C139,$BM$1:$BM$3,CG$1:CG$3)/SUMPRODUCT(_xlfn.XLOOKUP($C139,$BM$1:$BM$3,$BN$1:$BY$3),$BN$4:$BY$4),""),
"")</f>
        <v/>
      </c>
      <c r="CH139" s="8" t="str">
        <f>IF(_xlfn.XLOOKUP($B139,'ELC TECH'!$H:$H,'ELC TECH'!$E:$E)="Non Dispatchable",IFERROR($AX139*_xlfn.XLOOKUP($C139,$BM$1:$BM$3,CH$1:CH$3)/SUMPRODUCT(_xlfn.XLOOKUP($C139,$BM$1:$BM$3,$BN$1:$BY$3),$BN$4:$BY$4),""),
"")</f>
        <v/>
      </c>
      <c r="CI139" s="8" t="str">
        <f>IF(_xlfn.XLOOKUP($B139,'ELC TECH'!$H:$H,'ELC TECH'!$E:$E)="Non Dispatchable",IFERROR($AX139*_xlfn.XLOOKUP($C139,$BM$1:$BM$3,CI$1:CI$3)/SUMPRODUCT(_xlfn.XLOOKUP($C139,$BM$1:$BM$3,$BN$1:$BY$3),$BN$4:$BY$4),""),
"")</f>
        <v/>
      </c>
      <c r="CJ139" s="8" t="str">
        <f>IF(_xlfn.XLOOKUP($B139,'ELC TECH'!$H:$H,'ELC TECH'!$E:$E)="Non Dispatchable",IFERROR($AX139*_xlfn.XLOOKUP($C139,$BM$1:$BM$3,CJ$1:CJ$3)/SUMPRODUCT(_xlfn.XLOOKUP($C139,$BM$1:$BM$3,$BN$1:$BY$3),$BN$4:$BY$4),""),
"")</f>
        <v/>
      </c>
      <c r="CK139" s="8" t="str">
        <f>IF(_xlfn.XLOOKUP($B139,'ELC TECH'!$H:$H,'ELC TECH'!$E:$E)="Non Dispatchable",IFERROR($AX139*_xlfn.XLOOKUP($C139,$BM$1:$BM$3,CK$1:CK$3)/SUMPRODUCT(_xlfn.XLOOKUP($C139,$BM$1:$BM$3,$BN$1:$BY$3),$BN$4:$BY$4),""),
"")</f>
        <v/>
      </c>
      <c r="CL139" s="8" t="str">
        <f>IF(_xlfn.XLOOKUP($B139,'ELC TECH'!$H:$H,'ELC TECH'!$E:$E)="Storage",CL$4*$BF139,"")</f>
        <v/>
      </c>
      <c r="CM139" s="8" t="str">
        <f>IF(_xlfn.XLOOKUP($B139,'ELC TECH'!$H:$H,'ELC TECH'!$E:$E)="Storage",CM$4*$BF139,"")</f>
        <v/>
      </c>
      <c r="CN139" s="8" t="str">
        <f>IF(_xlfn.XLOOKUP($B139,'ELC TECH'!$H:$H,'ELC TECH'!$E:$E)="Storage",CN$4*$BF139,"")</f>
        <v/>
      </c>
      <c r="CO139" s="8" t="str">
        <f>IF(_xlfn.XLOOKUP($B139,'ELC TECH'!$H:$H,'ELC TECH'!$E:$E)="Storage",CO$4*$BF139,"")</f>
        <v/>
      </c>
      <c r="CP139" s="8" t="str">
        <f>IF(_xlfn.XLOOKUP($B139,'ELC TECH'!$H:$H,'ELC TECH'!$E:$E)="Storage",CP$4*$BF139,"")</f>
        <v/>
      </c>
      <c r="CQ139" s="8" t="str">
        <f>IF(_xlfn.XLOOKUP($B139,'ELC TECH'!$H:$H,'ELC TECH'!$E:$E)="Storage",CQ$4*$BF139,"")</f>
        <v/>
      </c>
      <c r="CR139" s="8" t="str">
        <f>IF(_xlfn.XLOOKUP($B139,'ELC TECH'!$H:$H,'ELC TECH'!$E:$E)="Storage",CR$4*$BF139,"")</f>
        <v/>
      </c>
      <c r="CS139" s="8" t="str">
        <f>IF(_xlfn.XLOOKUP($B139,'ELC TECH'!$H:$H,'ELC TECH'!$E:$E)="Storage",CS$4*$BF139,"")</f>
        <v/>
      </c>
      <c r="CT139" s="8" t="str">
        <f>IF(_xlfn.XLOOKUP($B139,'ELC TECH'!$H:$H,'ELC TECH'!$E:$E)="Storage",CT$4*$BF139,"")</f>
        <v/>
      </c>
      <c r="CU139" s="8" t="str">
        <f>IF(_xlfn.XLOOKUP($B139,'ELC TECH'!$H:$H,'ELC TECH'!$E:$E)="Storage",CU$4*$BF139,"")</f>
        <v/>
      </c>
      <c r="CV139" s="8" t="str">
        <f>IF(_xlfn.XLOOKUP($B139,'ELC TECH'!$H:$H,'ELC TECH'!$E:$E)="Storage",CV$4*$BF139,"")</f>
        <v/>
      </c>
      <c r="CW139" s="8" t="str">
        <f>IF(_xlfn.XLOOKUP($B139,'ELC TECH'!$H:$H,'ELC TECH'!$E:$E)="Storage",CW$4*$BF139,"")</f>
        <v/>
      </c>
      <c r="CX139" s="8" t="str">
        <f>IF(_xlfn.XLOOKUP($B139,'ELC TECH'!$H:$H,'ELC TECH'!$E:$E)="Storage",CX$4*$BF139,"")</f>
        <v/>
      </c>
      <c r="CY139" s="8" t="str">
        <f>IF(_xlfn.XLOOKUP($B139,'ELC TECH'!$H:$H,'ELC TECH'!$E:$E)="Storage",CY$4*$BF139,"")</f>
        <v/>
      </c>
      <c r="CZ139" s="8" t="str">
        <f>IF(_xlfn.XLOOKUP($B139,'ELC TECH'!$H:$H,'ELC TECH'!$E:$E)="Storage",CZ$4*$BF139,"")</f>
        <v/>
      </c>
      <c r="DA139" s="8" t="str">
        <f>IF(_xlfn.XLOOKUP($B139,'ELC TECH'!$H:$H,'ELC TECH'!$E:$E)="Storage",DA$4*$BF139,"")</f>
        <v/>
      </c>
      <c r="DB139" s="8" t="str">
        <f>IF(_xlfn.XLOOKUP($B139,'ELC TECH'!$H:$H,'ELC TECH'!$E:$E)="Storage",DB$4*$BF139,"")</f>
        <v/>
      </c>
      <c r="DC139" s="8" t="str">
        <f>IF(_xlfn.XLOOKUP($B139,'ELC TECH'!$H:$H,'ELC TECH'!$E:$E)="Storage",DC$4*$BF139,"")</f>
        <v/>
      </c>
      <c r="DD139" s="8" t="str">
        <f>IF(_xlfn.XLOOKUP($B139,'ELC TECH'!$H:$H,'ELC TECH'!$E:$E)="Storage",DD$4*$BF139,"")</f>
        <v/>
      </c>
      <c r="DE139" s="8" t="str">
        <f>IF(_xlfn.XLOOKUP($B139,'ELC TECH'!$H:$H,'ELC TECH'!$E:$E)="Storage",DE$4*$BF139,"")</f>
        <v/>
      </c>
      <c r="DF139" s="8" t="str">
        <f>IF(_xlfn.XLOOKUP($B139,'ELC TECH'!$H:$H,'ELC TECH'!$E:$E)="Storage",DF$4*$BF139,"")</f>
        <v/>
      </c>
      <c r="DG139" s="8" t="str">
        <f>IF(_xlfn.XLOOKUP($B139,'ELC TECH'!$H:$H,'ELC TECH'!$E:$E)="Storage",DG$4*$BF139,"")</f>
        <v/>
      </c>
      <c r="DH139" s="8" t="str">
        <f>IF(_xlfn.XLOOKUP($B139,'ELC TECH'!$H:$H,'ELC TECH'!$E:$E)="Storage",DH$4*$BF139,"")</f>
        <v/>
      </c>
      <c r="DI139" s="8" t="str">
        <f>IF(_xlfn.XLOOKUP($B139,'ELC TECH'!$H:$H,'ELC TECH'!$E:$E)="Storage",DI$4*$BF139,"")</f>
        <v/>
      </c>
    </row>
    <row r="140" spans="2:113" x14ac:dyDescent="0.25">
      <c r="B140" t="str">
        <f>IF('ELC TECH'!I133=0,"*",'ELC TECH'!H133)</f>
        <v>ELCNGAGRDHFCC95CCS20</v>
      </c>
      <c r="C140" t="str">
        <f>IF(_xlfn.XLOOKUP(_xlfn.XLOOKUP(B140,'ELC TECH'!$H:$H,'ELC TECH'!$G:$G),List!C:C,List!B:B)="STG",D140,"ELC"&amp;_xlfn.XLOOKUP(_xlfn.XLOOKUP(B140,'ELC TECH'!H:H,'ELC TECH'!G:G),List!C:C,List!B:B))</f>
        <v>ELCNGA</v>
      </c>
      <c r="D140" t="s">
        <v>544</v>
      </c>
      <c r="E140">
        <f>_xlfn.XLOOKUP(B140,'ELC TECH'!H:H,'ELC TECH'!D:D)</f>
        <v>2020</v>
      </c>
      <c r="F140">
        <f>_xlfn.XLOOKUP(B140,'ELC TECH'!H:H,'ELC TECH'!K:K)</f>
        <v>30</v>
      </c>
      <c r="G140">
        <f t="shared" si="8"/>
        <v>31.535999999999998</v>
      </c>
      <c r="H140">
        <f>IF(_xlfn.XLOOKUP(B140,'ELC TECH'!$H:$H,'ELC TECH'!$E:$E)="Storage",0.3,IF(_xlfn.XLOOKUP(B140,'ELC TECH'!$H:$H,'ELC TECH'!$E:$E)="Baseload",0.9,IF(_xlfn.XLOOKUP(B140,'ELC TECH'!$H:$H,'ELC TECH'!$E:$E)="Non Dispatchable",0.05,IF(_xlfn.XLOOKUP(B140,'ELC TECH'!$H:$H,'ELC TECH'!$E:$E)="Dispatchable",0.9,1))))</f>
        <v>0.9</v>
      </c>
      <c r="I140" s="13" t="str">
        <f>IF(_xlfn.XLOOKUP(B140,'ELC TECH'!H:H,'ELC TECH'!J:J)="","",_xlfn.XLOOKUP(B140,'ELC TECH'!H:H,'ELC TECH'!J:J))</f>
        <v/>
      </c>
      <c r="J140" s="12">
        <f>IF(_xlfn.XLOOKUP($B140,'ELC TECH'!$H:$H,'ELC TECH'!$E:$E)="Storage","",IF(_xlfn.XLOOKUP($B140,'ELC TECH'!$H:$H,'ELC TECH'!AK:AK)="",1,_xlfn.XLOOKUP($B140,'ELC TECH'!$H:$H,'ELC TECH'!AK:AK)))</f>
        <v>0.4869618440989365</v>
      </c>
      <c r="K140" s="12">
        <f>IF(_xlfn.XLOOKUP($B140,'ELC TECH'!$H:$H,'ELC TECH'!$E:$E)="Storage","",IF(_xlfn.XLOOKUP($B140,'ELC TECH'!$H:$H,'ELC TECH'!AL:AL)="",1,_xlfn.XLOOKUP($B140,'ELC TECH'!$H:$H,'ELC TECH'!AL:AL)))</f>
        <v>0.49130909166324671</v>
      </c>
      <c r="L140" s="12">
        <f>IF(_xlfn.XLOOKUP($B140,'ELC TECH'!$H:$H,'ELC TECH'!$E:$E)="Storage","",IF(_xlfn.XLOOKUP($B140,'ELC TECH'!$H:$H,'ELC TECH'!AM:AM)="",1,_xlfn.XLOOKUP($B140,'ELC TECH'!$H:$H,'ELC TECH'!AM:AM)))</f>
        <v>0.49863241876388242</v>
      </c>
      <c r="M140" s="12">
        <f>IF(_xlfn.XLOOKUP($B140,'ELC TECH'!$H:$H,'ELC TECH'!$E:$E)="Storage","",IF(_xlfn.XLOOKUP($B140,'ELC TECH'!$H:$H,'ELC TECH'!AN:AN)="",1,_xlfn.XLOOKUP($B140,'ELC TECH'!$H:$H,'ELC TECH'!AN:AN)))</f>
        <v>0.50625246908030386</v>
      </c>
      <c r="N140" s="12">
        <f>IF(_xlfn.XLOOKUP($B140,'ELC TECH'!$H:$H,'ELC TECH'!$E:$E)="Storage","",IF(_xlfn.XLOOKUP($B140,'ELC TECH'!$H:$H,'ELC TECH'!AO:AO)="",1,_xlfn.XLOOKUP($B140,'ELC TECH'!$H:$H,'ELC TECH'!AO:AO)))</f>
        <v>0.50625246908030386</v>
      </c>
      <c r="O140" s="12">
        <f>IF(_xlfn.XLOOKUP($B140,'ELC TECH'!$H:$H,'ELC TECH'!$E:$E)="Storage","",IF(_xlfn.XLOOKUP($B140,'ELC TECH'!$H:$H,'ELC TECH'!AP:AP)="",1,_xlfn.XLOOKUP($B140,'ELC TECH'!$H:$H,'ELC TECH'!AP:AP)))</f>
        <v>0.50625246908030386</v>
      </c>
      <c r="P140" s="12">
        <f>IF(_xlfn.XLOOKUP($B140,'ELC TECH'!$H:$H,'ELC TECH'!$E:$E)="Storage","",IF(_xlfn.XLOOKUP($B140,'ELC TECH'!$H:$H,'ELC TECH'!AQ:AQ)="",1,_xlfn.XLOOKUP($B140,'ELC TECH'!$H:$H,'ELC TECH'!AQ:AQ)))</f>
        <v>0.50625246908030386</v>
      </c>
      <c r="Q140" s="12">
        <f>IF(_xlfn.XLOOKUP($B140,'ELC TECH'!$H:$H,'ELC TECH'!$E:$E)="Storage","",IF(_xlfn.XLOOKUP($B140,'ELC TECH'!$H:$H,'ELC TECH'!AR:AR)="",1,_xlfn.XLOOKUP($B140,'ELC TECH'!$H:$H,'ELC TECH'!AR:AR)))</f>
        <v>0.50625246908030386</v>
      </c>
      <c r="R140" s="12" t="str">
        <f>IF(_xlfn.XLOOKUP($B140,'ELC TECH'!$H:$H,'ELC TECH'!$E:$E)&lt;&gt;"Storage","",IF(_xlfn.XLOOKUP($B140,'ELC TECH'!$H:$H,'ELC TECH'!AK:AK)="",0.8,_xlfn.XLOOKUP($B140,'ELC TECH'!$H:$H,'ELC TECH'!AK:AK)))</f>
        <v/>
      </c>
      <c r="S140" s="12" t="str">
        <f>IF(_xlfn.XLOOKUP($B140,'ELC TECH'!$H:$H,'ELC TECH'!$E:$E)&lt;&gt;"Storage","",IF(_xlfn.XLOOKUP($B140,'ELC TECH'!$H:$H,'ELC TECH'!AL:AL)="",0.8,_xlfn.XLOOKUP($B140,'ELC TECH'!$H:$H,'ELC TECH'!AL:AL)))</f>
        <v/>
      </c>
      <c r="T140" s="12" t="str">
        <f>IF(_xlfn.XLOOKUP($B140,'ELC TECH'!$H:$H,'ELC TECH'!$E:$E)&lt;&gt;"Storage","",IF(_xlfn.XLOOKUP($B140,'ELC TECH'!$H:$H,'ELC TECH'!AM:AM)="",0.8,_xlfn.XLOOKUP($B140,'ELC TECH'!$H:$H,'ELC TECH'!AM:AM)))</f>
        <v/>
      </c>
      <c r="U140" s="12" t="str">
        <f>IF(_xlfn.XLOOKUP($B140,'ELC TECH'!$H:$H,'ELC TECH'!$E:$E)&lt;&gt;"Storage","",IF(_xlfn.XLOOKUP($B140,'ELC TECH'!$H:$H,'ELC TECH'!AN:AN)="",0.8,_xlfn.XLOOKUP($B140,'ELC TECH'!$H:$H,'ELC TECH'!AN:AN)))</f>
        <v/>
      </c>
      <c r="V140" s="12" t="str">
        <f>IF(_xlfn.XLOOKUP($B140,'ELC TECH'!$H:$H,'ELC TECH'!$E:$E)&lt;&gt;"Storage","",IF(_xlfn.XLOOKUP($B140,'ELC TECH'!$H:$H,'ELC TECH'!AO:AO)="",0.8,_xlfn.XLOOKUP($B140,'ELC TECH'!$H:$H,'ELC TECH'!AO:AO)))</f>
        <v/>
      </c>
      <c r="W140" s="12" t="str">
        <f>IF(_xlfn.XLOOKUP($B140,'ELC TECH'!$H:$H,'ELC TECH'!$E:$E)&lt;&gt;"Storage","",IF(_xlfn.XLOOKUP($B140,'ELC TECH'!$H:$H,'ELC TECH'!AP:AP)="",0.8,_xlfn.XLOOKUP($B140,'ELC TECH'!$H:$H,'ELC TECH'!AP:AP)))</f>
        <v/>
      </c>
      <c r="X140" s="12" t="str">
        <f>IF(_xlfn.XLOOKUP($B140,'ELC TECH'!$H:$H,'ELC TECH'!$E:$E)&lt;&gt;"Storage","",IF(_xlfn.XLOOKUP($B140,'ELC TECH'!$H:$H,'ELC TECH'!AQ:AQ)="",0.8,_xlfn.XLOOKUP($B140,'ELC TECH'!$H:$H,'ELC TECH'!AQ:AQ)))</f>
        <v/>
      </c>
      <c r="Y140" s="12" t="str">
        <f>IF(_xlfn.XLOOKUP($B140,'ELC TECH'!$H:$H,'ELC TECH'!$E:$E)&lt;&gt;"Storage","",IF(_xlfn.XLOOKUP($B140,'ELC TECH'!$H:$H,'ELC TECH'!AR:AR)="",0.8,_xlfn.XLOOKUP($B140,'ELC TECH'!$H:$H,'ELC TECH'!AR:AR)))</f>
        <v/>
      </c>
      <c r="Z140" s="15">
        <f>_xlfn.XLOOKUP($B140,'ELC TECH'!$H:$H,'ELC TECH'!M:M)</f>
        <v>2561.5246485049929</v>
      </c>
      <c r="AA140" s="15">
        <f>_xlfn.XLOOKUP($B140,'ELC TECH'!$H:$H,'ELC TECH'!N:N)</f>
        <v>2424.3627097491299</v>
      </c>
      <c r="AB140" s="15">
        <f>_xlfn.XLOOKUP($B140,'ELC TECH'!$H:$H,'ELC TECH'!O:O)</f>
        <v>2195.8348629019761</v>
      </c>
      <c r="AC140" s="15">
        <f>_xlfn.XLOOKUP($B140,'ELC TECH'!$H:$H,'ELC TECH'!P:P)</f>
        <v>1967.420092673746</v>
      </c>
      <c r="AD140" s="15">
        <f>_xlfn.XLOOKUP($B140,'ELC TECH'!$H:$H,'ELC TECH'!Q:Q)</f>
        <v>1854.9088568435041</v>
      </c>
      <c r="AE140" s="15">
        <f>_xlfn.XLOOKUP($B140,'ELC TECH'!$H:$H,'ELC TECH'!R:R)</f>
        <v>1742.397621013263</v>
      </c>
      <c r="AF140" s="15">
        <f>_xlfn.XLOOKUP($B140,'ELC TECH'!$H:$H,'ELC TECH'!S:S)</f>
        <v>1629.886385183021</v>
      </c>
      <c r="AG140" s="15">
        <f>_xlfn.XLOOKUP($B140,'ELC TECH'!$H:$H,'ELC TECH'!T:T)</f>
        <v>1629.886385183021</v>
      </c>
      <c r="AH140" s="15">
        <f>_xlfn.XLOOKUP($B140,'ELC TECH'!$H:$H,'ELC TECH'!U:U)</f>
        <v>67.054435022445631</v>
      </c>
      <c r="AI140" s="15">
        <f>_xlfn.XLOOKUP($B140,'ELC TECH'!$H:$H,'ELC TECH'!V:V)</f>
        <v>63.549059835774777</v>
      </c>
      <c r="AJ140" s="15">
        <f>_xlfn.XLOOKUP($B140,'ELC TECH'!$H:$H,'ELC TECH'!W:W)</f>
        <v>57.782152270606609</v>
      </c>
      <c r="AK140" s="15">
        <f>_xlfn.XLOOKUP($B140,'ELC TECH'!$H:$H,'ELC TECH'!X:X)</f>
        <v>51.902168086513562</v>
      </c>
      <c r="AL140" s="15">
        <f>_xlfn.XLOOKUP($B140,'ELC TECH'!$H:$H,'ELC TECH'!Y:Y)</f>
        <v>49.188329232316782</v>
      </c>
      <c r="AM140" s="15">
        <f>_xlfn.XLOOKUP($B140,'ELC TECH'!$H:$H,'ELC TECH'!Z:Z)</f>
        <v>46.361413759195123</v>
      </c>
      <c r="AN140" s="15">
        <f>_xlfn.XLOOKUP($B140,'ELC TECH'!$H:$H,'ELC TECH'!AA:AA)</f>
        <v>43.647574904998343</v>
      </c>
      <c r="AO140" s="15">
        <f>_xlfn.XLOOKUP($B140,'ELC TECH'!$H:$H,'ELC TECH'!AB:AB)</f>
        <v>43.647574904998343</v>
      </c>
      <c r="AP140" s="15">
        <f>_xlfn.XLOOKUP($B140,'ELC TECH'!$H:$H,'ELC TECH'!AC:AC)</f>
        <v>1.382047564637253</v>
      </c>
      <c r="AQ140" s="15">
        <f>_xlfn.XLOOKUP($B140,'ELC TECH'!$H:$H,'ELC TECH'!AD:AD)</f>
        <v>1.32550925517482</v>
      </c>
      <c r="AR140" s="15">
        <f>_xlfn.XLOOKUP($B140,'ELC TECH'!$H:$H,'ELC TECH'!AE:AE)</f>
        <v>1.2281377222117409</v>
      </c>
      <c r="AS140" s="15">
        <f>_xlfn.XLOOKUP($B140,'ELC TECH'!$H:$H,'ELC TECH'!AF:AF)</f>
        <v>1.1339072064410189</v>
      </c>
      <c r="AT140" s="15">
        <f>_xlfn.XLOOKUP($B140,'ELC TECH'!$H:$H,'ELC TECH'!AG:AG)</f>
        <v>1.0930739829403731</v>
      </c>
      <c r="AU140" s="15">
        <f>_xlfn.XLOOKUP($B140,'ELC TECH'!$H:$H,'ELC TECH'!AH:AH)</f>
        <v>1.0522407594397269</v>
      </c>
      <c r="AV140" s="15">
        <f>_xlfn.XLOOKUP($B140,'ELC TECH'!$H:$H,'ELC TECH'!AI:AI)</f>
        <v>1.014548553131438</v>
      </c>
      <c r="AW140" s="15">
        <f>_xlfn.XLOOKUP($B140,'ELC TECH'!$H:$H,'ELC TECH'!AJ:AJ)</f>
        <v>1.014548553131438</v>
      </c>
      <c r="AX140" s="12">
        <f>IF(_xlfn.XLOOKUP($B140,'ELC TECH'!$H:$H,'ELC TECH'!$E:$E)="Storage","",_xlfn.XLOOKUP($B140,'ELC TECH'!$H:$H,'ELC TECH'!AS:AS))</f>
        <v>0.9</v>
      </c>
      <c r="AY140" s="12">
        <f>IF(_xlfn.XLOOKUP($B140,'ELC TECH'!$H:$H,'ELC TECH'!$E:$E)="Storage","",_xlfn.XLOOKUP($B140,'ELC TECH'!$H:$H,'ELC TECH'!AT:AT))</f>
        <v>0.9</v>
      </c>
      <c r="AZ140" s="12">
        <f>IF(_xlfn.XLOOKUP($B140,'ELC TECH'!$H:$H,'ELC TECH'!$E:$E)="Storage","",_xlfn.XLOOKUP($B140,'ELC TECH'!$H:$H,'ELC TECH'!AU:AU))</f>
        <v>0.9</v>
      </c>
      <c r="BA140" s="12">
        <f>IF(_xlfn.XLOOKUP($B140,'ELC TECH'!$H:$H,'ELC TECH'!$E:$E)="Storage","",_xlfn.XLOOKUP($B140,'ELC TECH'!$H:$H,'ELC TECH'!AV:AV))</f>
        <v>0.9</v>
      </c>
      <c r="BB140" s="12">
        <f>IF(_xlfn.XLOOKUP($B140,'ELC TECH'!$H:$H,'ELC TECH'!$E:$E)="Storage","",_xlfn.XLOOKUP($B140,'ELC TECH'!$H:$H,'ELC TECH'!AW:AW))</f>
        <v>0.9</v>
      </c>
      <c r="BC140" s="12">
        <f>IF(_xlfn.XLOOKUP($B140,'ELC TECH'!$H:$H,'ELC TECH'!$E:$E)="Storage","",_xlfn.XLOOKUP($B140,'ELC TECH'!$H:$H,'ELC TECH'!AX:AX))</f>
        <v>0.9</v>
      </c>
      <c r="BD140" s="12">
        <f>IF(_xlfn.XLOOKUP($B140,'ELC TECH'!$H:$H,'ELC TECH'!$E:$E)="Storage","",_xlfn.XLOOKUP($B140,'ELC TECH'!$H:$H,'ELC TECH'!AY:AY))</f>
        <v>0.9</v>
      </c>
      <c r="BE140" s="12">
        <f>IF(_xlfn.XLOOKUP($B140,'ELC TECH'!$H:$H,'ELC TECH'!$E:$E)="Storage","",_xlfn.XLOOKUP($B140,'ELC TECH'!$H:$H,'ELC TECH'!AZ:AZ))</f>
        <v>0.9</v>
      </c>
      <c r="BF140" s="12" t="str">
        <f>IF(_xlfn.XLOOKUP($B140,'ELC TECH'!$H:$H,'ELC TECH'!$E:$E)="Storage",_xlfn.XLOOKUP($B140,'ELC TECH'!$H:$H,'ELC TECH'!AS:AS),"")</f>
        <v/>
      </c>
      <c r="BG140" s="12" t="str">
        <f>IF(_xlfn.XLOOKUP($B140,'ELC TECH'!$H:$H,'ELC TECH'!$E:$E)="Storage",_xlfn.XLOOKUP($B140,'ELC TECH'!$H:$H,'ELC TECH'!AT:AT),"")</f>
        <v/>
      </c>
      <c r="BH140" s="12" t="str">
        <f>IF(_xlfn.XLOOKUP($B140,'ELC TECH'!$H:$H,'ELC TECH'!$E:$E)="Storage",_xlfn.XLOOKUP($B140,'ELC TECH'!$H:$H,'ELC TECH'!AU:AU),"")</f>
        <v/>
      </c>
      <c r="BI140" s="12" t="str">
        <f>IF(_xlfn.XLOOKUP($B140,'ELC TECH'!$H:$H,'ELC TECH'!$E:$E)="Storage",_xlfn.XLOOKUP($B140,'ELC TECH'!$H:$H,'ELC TECH'!AV:AV),"")</f>
        <v/>
      </c>
      <c r="BJ140" s="12" t="str">
        <f>IF(_xlfn.XLOOKUP($B140,'ELC TECH'!$H:$H,'ELC TECH'!$E:$E)="Storage",_xlfn.XLOOKUP($B140,'ELC TECH'!$H:$H,'ELC TECH'!AW:AW),"")</f>
        <v/>
      </c>
      <c r="BK140" s="12" t="str">
        <f>IF(_xlfn.XLOOKUP($B140,'ELC TECH'!$H:$H,'ELC TECH'!$E:$E)="Storage",_xlfn.XLOOKUP($B140,'ELC TECH'!$H:$H,'ELC TECH'!AX:AX),"")</f>
        <v/>
      </c>
      <c r="BL140" s="12" t="str">
        <f>IF(_xlfn.XLOOKUP($B140,'ELC TECH'!$H:$H,'ELC TECH'!$E:$E)="Storage",_xlfn.XLOOKUP($B140,'ELC TECH'!$H:$H,'ELC TECH'!AY:AY),"")</f>
        <v/>
      </c>
      <c r="BM140" s="12" t="str">
        <f>IF(_xlfn.XLOOKUP($B140,'ELC TECH'!$H:$H,'ELC TECH'!$E:$E)="Storage",_xlfn.XLOOKUP($B140,'ELC TECH'!$H:$H,'ELC TECH'!AZ:AZ),"")</f>
        <v/>
      </c>
      <c r="BN140" s="8" t="str">
        <f>IF(_xlfn.XLOOKUP($B140,'ELC TECH'!$H:$H,'ELC TECH'!$E:$E)="Non Dispatchable",IFERROR($AX140*_xlfn.XLOOKUP($C140,$BM$1:$BM$3,BN$1:BN$3)/SUMPRODUCT(_xlfn.XLOOKUP($C140,$BM$1:$BM$3,$BN$1:$BY$3),$BN$4:$BY$4),""),
"")</f>
        <v/>
      </c>
      <c r="BO140" s="8" t="str">
        <f>IF(_xlfn.XLOOKUP($B140,'ELC TECH'!$H:$H,'ELC TECH'!$E:$E)="Non Dispatchable",IFERROR($AX140*_xlfn.XLOOKUP($C140,$BM$1:$BM$3,BO$1:BO$3)/SUMPRODUCT(_xlfn.XLOOKUP($C140,$BM$1:$BM$3,$BN$1:$BY$3),$BN$4:$BY$4),""),
"")</f>
        <v/>
      </c>
      <c r="BP140" s="8" t="str">
        <f>IF(_xlfn.XLOOKUP($B140,'ELC TECH'!$H:$H,'ELC TECH'!$E:$E)="Non Dispatchable",IFERROR($AX140*_xlfn.XLOOKUP($C140,$BM$1:$BM$3,BP$1:BP$3)/SUMPRODUCT(_xlfn.XLOOKUP($C140,$BM$1:$BM$3,$BN$1:$BY$3),$BN$4:$BY$4),""),
"")</f>
        <v/>
      </c>
      <c r="BQ140" s="8" t="str">
        <f>IF(_xlfn.XLOOKUP($B140,'ELC TECH'!$H:$H,'ELC TECH'!$E:$E)="Non Dispatchable",IFERROR($AX140*_xlfn.XLOOKUP($C140,$BM$1:$BM$3,BQ$1:BQ$3)/SUMPRODUCT(_xlfn.XLOOKUP($C140,$BM$1:$BM$3,$BN$1:$BY$3),$BN$4:$BY$4),""),
"")</f>
        <v/>
      </c>
      <c r="BR140" s="8" t="str">
        <f>IF(_xlfn.XLOOKUP($B140,'ELC TECH'!$H:$H,'ELC TECH'!$E:$E)="Non Dispatchable",IFERROR($AX140*_xlfn.XLOOKUP($C140,$BM$1:$BM$3,BR$1:BR$3)/SUMPRODUCT(_xlfn.XLOOKUP($C140,$BM$1:$BM$3,$BN$1:$BY$3),$BN$4:$BY$4),""),
"")</f>
        <v/>
      </c>
      <c r="BS140" s="8" t="str">
        <f>IF(_xlfn.XLOOKUP($B140,'ELC TECH'!$H:$H,'ELC TECH'!$E:$E)="Non Dispatchable",IFERROR($AX140*_xlfn.XLOOKUP($C140,$BM$1:$BM$3,BS$1:BS$3)/SUMPRODUCT(_xlfn.XLOOKUP($C140,$BM$1:$BM$3,$BN$1:$BY$3),$BN$4:$BY$4),""),
"")</f>
        <v/>
      </c>
      <c r="BT140" s="8" t="str">
        <f>IF(_xlfn.XLOOKUP($B140,'ELC TECH'!$H:$H,'ELC TECH'!$E:$E)="Non Dispatchable",IFERROR($AX140*_xlfn.XLOOKUP($C140,$BM$1:$BM$3,BT$1:BT$3)/SUMPRODUCT(_xlfn.XLOOKUP($C140,$BM$1:$BM$3,$BN$1:$BY$3),$BN$4:$BY$4),""),
"")</f>
        <v/>
      </c>
      <c r="BU140" s="8" t="str">
        <f>IF(_xlfn.XLOOKUP($B140,'ELC TECH'!$H:$H,'ELC TECH'!$E:$E)="Non Dispatchable",IFERROR($AX140*_xlfn.XLOOKUP($C140,$BM$1:$BM$3,BU$1:BU$3)/SUMPRODUCT(_xlfn.XLOOKUP($C140,$BM$1:$BM$3,$BN$1:$BY$3),$BN$4:$BY$4),""),
"")</f>
        <v/>
      </c>
      <c r="BV140" s="8" t="str">
        <f>IF(_xlfn.XLOOKUP($B140,'ELC TECH'!$H:$H,'ELC TECH'!$E:$E)="Non Dispatchable",IFERROR($AX140*_xlfn.XLOOKUP($C140,$BM$1:$BM$3,BV$1:BV$3)/SUMPRODUCT(_xlfn.XLOOKUP($C140,$BM$1:$BM$3,$BN$1:$BY$3),$BN$4:$BY$4),""),
"")</f>
        <v/>
      </c>
      <c r="BW140" s="8" t="str">
        <f>IF(_xlfn.XLOOKUP($B140,'ELC TECH'!$H:$H,'ELC TECH'!$E:$E)="Non Dispatchable",IFERROR($AX140*_xlfn.XLOOKUP($C140,$BM$1:$BM$3,BW$1:BW$3)/SUMPRODUCT(_xlfn.XLOOKUP($C140,$BM$1:$BM$3,$BN$1:$BY$3),$BN$4:$BY$4),""),
"")</f>
        <v/>
      </c>
      <c r="BX140" s="8" t="str">
        <f>IF(_xlfn.XLOOKUP($B140,'ELC TECH'!$H:$H,'ELC TECH'!$E:$E)="Non Dispatchable",IFERROR($AX140*_xlfn.XLOOKUP($C140,$BM$1:$BM$3,BX$1:BX$3)/SUMPRODUCT(_xlfn.XLOOKUP($C140,$BM$1:$BM$3,$BN$1:$BY$3),$BN$4:$BY$4),""),
"")</f>
        <v/>
      </c>
      <c r="BY140" s="8" t="str">
        <f>IF(_xlfn.XLOOKUP($B140,'ELC TECH'!$H:$H,'ELC TECH'!$E:$E)="Non Dispatchable",IFERROR($AX140*_xlfn.XLOOKUP($C140,$BM$1:$BM$3,BY$1:BY$3)/SUMPRODUCT(_xlfn.XLOOKUP($C140,$BM$1:$BM$3,$BN$1:$BY$3),$BN$4:$BY$4),""),
"")</f>
        <v/>
      </c>
      <c r="BZ140" s="8" t="str">
        <f>IF(_xlfn.XLOOKUP($B140,'ELC TECH'!$H:$H,'ELC TECH'!$E:$E)="Non Dispatchable",IFERROR($AX140*_xlfn.XLOOKUP($C140,$BM$1:$BM$3,BZ$1:BZ$3)/SUMPRODUCT(_xlfn.XLOOKUP($C140,$BM$1:$BM$3,$BN$1:$BY$3),$BN$4:$BY$4),""),
"")</f>
        <v/>
      </c>
      <c r="CA140" s="8" t="str">
        <f>IF(_xlfn.XLOOKUP($B140,'ELC TECH'!$H:$H,'ELC TECH'!$E:$E)="Non Dispatchable",IFERROR($AX140*_xlfn.XLOOKUP($C140,$BM$1:$BM$3,CA$1:CA$3)/SUMPRODUCT(_xlfn.XLOOKUP($C140,$BM$1:$BM$3,$BN$1:$BY$3),$BN$4:$BY$4),""),
"")</f>
        <v/>
      </c>
      <c r="CB140" s="8" t="str">
        <f>IF(_xlfn.XLOOKUP($B140,'ELC TECH'!$H:$H,'ELC TECH'!$E:$E)="Non Dispatchable",IFERROR($AX140*_xlfn.XLOOKUP($C140,$BM$1:$BM$3,CB$1:CB$3)/SUMPRODUCT(_xlfn.XLOOKUP($C140,$BM$1:$BM$3,$BN$1:$BY$3),$BN$4:$BY$4),""),
"")</f>
        <v/>
      </c>
      <c r="CC140" s="8" t="str">
        <f>IF(_xlfn.XLOOKUP($B140,'ELC TECH'!$H:$H,'ELC TECH'!$E:$E)="Non Dispatchable",IFERROR($AX140*_xlfn.XLOOKUP($C140,$BM$1:$BM$3,CC$1:CC$3)/SUMPRODUCT(_xlfn.XLOOKUP($C140,$BM$1:$BM$3,$BN$1:$BY$3),$BN$4:$BY$4),""),
"")</f>
        <v/>
      </c>
      <c r="CD140" s="8" t="str">
        <f>IF(_xlfn.XLOOKUP($B140,'ELC TECH'!$H:$H,'ELC TECH'!$E:$E)="Non Dispatchable",IFERROR($AX140*_xlfn.XLOOKUP($C140,$BM$1:$BM$3,CD$1:CD$3)/SUMPRODUCT(_xlfn.XLOOKUP($C140,$BM$1:$BM$3,$BN$1:$BY$3),$BN$4:$BY$4),""),
"")</f>
        <v/>
      </c>
      <c r="CE140" s="8" t="str">
        <f>IF(_xlfn.XLOOKUP($B140,'ELC TECH'!$H:$H,'ELC TECH'!$E:$E)="Non Dispatchable",IFERROR($AX140*_xlfn.XLOOKUP($C140,$BM$1:$BM$3,CE$1:CE$3)/SUMPRODUCT(_xlfn.XLOOKUP($C140,$BM$1:$BM$3,$BN$1:$BY$3),$BN$4:$BY$4),""),
"")</f>
        <v/>
      </c>
      <c r="CF140" s="8" t="str">
        <f>IF(_xlfn.XLOOKUP($B140,'ELC TECH'!$H:$H,'ELC TECH'!$E:$E)="Non Dispatchable",IFERROR($AX140*_xlfn.XLOOKUP($C140,$BM$1:$BM$3,CF$1:CF$3)/SUMPRODUCT(_xlfn.XLOOKUP($C140,$BM$1:$BM$3,$BN$1:$BY$3),$BN$4:$BY$4),""),
"")</f>
        <v/>
      </c>
      <c r="CG140" s="8" t="str">
        <f>IF(_xlfn.XLOOKUP($B140,'ELC TECH'!$H:$H,'ELC TECH'!$E:$E)="Non Dispatchable",IFERROR($AX140*_xlfn.XLOOKUP($C140,$BM$1:$BM$3,CG$1:CG$3)/SUMPRODUCT(_xlfn.XLOOKUP($C140,$BM$1:$BM$3,$BN$1:$BY$3),$BN$4:$BY$4),""),
"")</f>
        <v/>
      </c>
      <c r="CH140" s="8" t="str">
        <f>IF(_xlfn.XLOOKUP($B140,'ELC TECH'!$H:$H,'ELC TECH'!$E:$E)="Non Dispatchable",IFERROR($AX140*_xlfn.XLOOKUP($C140,$BM$1:$BM$3,CH$1:CH$3)/SUMPRODUCT(_xlfn.XLOOKUP($C140,$BM$1:$BM$3,$BN$1:$BY$3),$BN$4:$BY$4),""),
"")</f>
        <v/>
      </c>
      <c r="CI140" s="8" t="str">
        <f>IF(_xlfn.XLOOKUP($B140,'ELC TECH'!$H:$H,'ELC TECH'!$E:$E)="Non Dispatchable",IFERROR($AX140*_xlfn.XLOOKUP($C140,$BM$1:$BM$3,CI$1:CI$3)/SUMPRODUCT(_xlfn.XLOOKUP($C140,$BM$1:$BM$3,$BN$1:$BY$3),$BN$4:$BY$4),""),
"")</f>
        <v/>
      </c>
      <c r="CJ140" s="8" t="str">
        <f>IF(_xlfn.XLOOKUP($B140,'ELC TECH'!$H:$H,'ELC TECH'!$E:$E)="Non Dispatchable",IFERROR($AX140*_xlfn.XLOOKUP($C140,$BM$1:$BM$3,CJ$1:CJ$3)/SUMPRODUCT(_xlfn.XLOOKUP($C140,$BM$1:$BM$3,$BN$1:$BY$3),$BN$4:$BY$4),""),
"")</f>
        <v/>
      </c>
      <c r="CK140" s="8" t="str">
        <f>IF(_xlfn.XLOOKUP($B140,'ELC TECH'!$H:$H,'ELC TECH'!$E:$E)="Non Dispatchable",IFERROR($AX140*_xlfn.XLOOKUP($C140,$BM$1:$BM$3,CK$1:CK$3)/SUMPRODUCT(_xlfn.XLOOKUP($C140,$BM$1:$BM$3,$BN$1:$BY$3),$BN$4:$BY$4),""),
"")</f>
        <v/>
      </c>
      <c r="CL140" s="8" t="str">
        <f>IF(_xlfn.XLOOKUP($B140,'ELC TECH'!$H:$H,'ELC TECH'!$E:$E)="Storage",CL$4*$BF140,"")</f>
        <v/>
      </c>
      <c r="CM140" s="8" t="str">
        <f>IF(_xlfn.XLOOKUP($B140,'ELC TECH'!$H:$H,'ELC TECH'!$E:$E)="Storage",CM$4*$BF140,"")</f>
        <v/>
      </c>
      <c r="CN140" s="8" t="str">
        <f>IF(_xlfn.XLOOKUP($B140,'ELC TECH'!$H:$H,'ELC TECH'!$E:$E)="Storage",CN$4*$BF140,"")</f>
        <v/>
      </c>
      <c r="CO140" s="8" t="str">
        <f>IF(_xlfn.XLOOKUP($B140,'ELC TECH'!$H:$H,'ELC TECH'!$E:$E)="Storage",CO$4*$BF140,"")</f>
        <v/>
      </c>
      <c r="CP140" s="8" t="str">
        <f>IF(_xlfn.XLOOKUP($B140,'ELC TECH'!$H:$H,'ELC TECH'!$E:$E)="Storage",CP$4*$BF140,"")</f>
        <v/>
      </c>
      <c r="CQ140" s="8" t="str">
        <f>IF(_xlfn.XLOOKUP($B140,'ELC TECH'!$H:$H,'ELC TECH'!$E:$E)="Storage",CQ$4*$BF140,"")</f>
        <v/>
      </c>
      <c r="CR140" s="8" t="str">
        <f>IF(_xlfn.XLOOKUP($B140,'ELC TECH'!$H:$H,'ELC TECH'!$E:$E)="Storage",CR$4*$BF140,"")</f>
        <v/>
      </c>
      <c r="CS140" s="8" t="str">
        <f>IF(_xlfn.XLOOKUP($B140,'ELC TECH'!$H:$H,'ELC TECH'!$E:$E)="Storage",CS$4*$BF140,"")</f>
        <v/>
      </c>
      <c r="CT140" s="8" t="str">
        <f>IF(_xlfn.XLOOKUP($B140,'ELC TECH'!$H:$H,'ELC TECH'!$E:$E)="Storage",CT$4*$BF140,"")</f>
        <v/>
      </c>
      <c r="CU140" s="8" t="str">
        <f>IF(_xlfn.XLOOKUP($B140,'ELC TECH'!$H:$H,'ELC TECH'!$E:$E)="Storage",CU$4*$BF140,"")</f>
        <v/>
      </c>
      <c r="CV140" s="8" t="str">
        <f>IF(_xlfn.XLOOKUP($B140,'ELC TECH'!$H:$H,'ELC TECH'!$E:$E)="Storage",CV$4*$BF140,"")</f>
        <v/>
      </c>
      <c r="CW140" s="8" t="str">
        <f>IF(_xlfn.XLOOKUP($B140,'ELC TECH'!$H:$H,'ELC TECH'!$E:$E)="Storage",CW$4*$BF140,"")</f>
        <v/>
      </c>
      <c r="CX140" s="8" t="str">
        <f>IF(_xlfn.XLOOKUP($B140,'ELC TECH'!$H:$H,'ELC TECH'!$E:$E)="Storage",CX$4*$BF140,"")</f>
        <v/>
      </c>
      <c r="CY140" s="8" t="str">
        <f>IF(_xlfn.XLOOKUP($B140,'ELC TECH'!$H:$H,'ELC TECH'!$E:$E)="Storage",CY$4*$BF140,"")</f>
        <v/>
      </c>
      <c r="CZ140" s="8" t="str">
        <f>IF(_xlfn.XLOOKUP($B140,'ELC TECH'!$H:$H,'ELC TECH'!$E:$E)="Storage",CZ$4*$BF140,"")</f>
        <v/>
      </c>
      <c r="DA140" s="8" t="str">
        <f>IF(_xlfn.XLOOKUP($B140,'ELC TECH'!$H:$H,'ELC TECH'!$E:$E)="Storage",DA$4*$BF140,"")</f>
        <v/>
      </c>
      <c r="DB140" s="8" t="str">
        <f>IF(_xlfn.XLOOKUP($B140,'ELC TECH'!$H:$H,'ELC TECH'!$E:$E)="Storage",DB$4*$BF140,"")</f>
        <v/>
      </c>
      <c r="DC140" s="8" t="str">
        <f>IF(_xlfn.XLOOKUP($B140,'ELC TECH'!$H:$H,'ELC TECH'!$E:$E)="Storage",DC$4*$BF140,"")</f>
        <v/>
      </c>
      <c r="DD140" s="8" t="str">
        <f>IF(_xlfn.XLOOKUP($B140,'ELC TECH'!$H:$H,'ELC TECH'!$E:$E)="Storage",DD$4*$BF140,"")</f>
        <v/>
      </c>
      <c r="DE140" s="8" t="str">
        <f>IF(_xlfn.XLOOKUP($B140,'ELC TECH'!$H:$H,'ELC TECH'!$E:$E)="Storage",DE$4*$BF140,"")</f>
        <v/>
      </c>
      <c r="DF140" s="8" t="str">
        <f>IF(_xlfn.XLOOKUP($B140,'ELC TECH'!$H:$H,'ELC TECH'!$E:$E)="Storage",DF$4*$BF140,"")</f>
        <v/>
      </c>
      <c r="DG140" s="8" t="str">
        <f>IF(_xlfn.XLOOKUP($B140,'ELC TECH'!$H:$H,'ELC TECH'!$E:$E)="Storage",DG$4*$BF140,"")</f>
        <v/>
      </c>
      <c r="DH140" s="8" t="str">
        <f>IF(_xlfn.XLOOKUP($B140,'ELC TECH'!$H:$H,'ELC TECH'!$E:$E)="Storage",DH$4*$BF140,"")</f>
        <v/>
      </c>
      <c r="DI140" s="8" t="str">
        <f>IF(_xlfn.XLOOKUP($B140,'ELC TECH'!$H:$H,'ELC TECH'!$E:$E)="Storage",DI$4*$BF140,"")</f>
        <v/>
      </c>
    </row>
    <row r="141" spans="2:113" x14ac:dyDescent="0.25">
      <c r="B141" t="str">
        <f>IF('ELC TECH'!I134=0,"*",'ELC TECH'!H134)</f>
        <v>ELCNGAGRDHFCC97CCS20</v>
      </c>
      <c r="C141" t="str">
        <f>IF(_xlfn.XLOOKUP(_xlfn.XLOOKUP(B141,'ELC TECH'!$H:$H,'ELC TECH'!$G:$G),List!C:C,List!B:B)="STG",D141,"ELC"&amp;_xlfn.XLOOKUP(_xlfn.XLOOKUP(B141,'ELC TECH'!H:H,'ELC TECH'!G:G),List!C:C,List!B:B))</f>
        <v>ELCNGA</v>
      </c>
      <c r="D141" t="s">
        <v>544</v>
      </c>
      <c r="E141">
        <f>_xlfn.XLOOKUP(B141,'ELC TECH'!H:H,'ELC TECH'!D:D)</f>
        <v>2020</v>
      </c>
      <c r="F141">
        <f>_xlfn.XLOOKUP(B141,'ELC TECH'!H:H,'ELC TECH'!K:K)</f>
        <v>30</v>
      </c>
      <c r="G141">
        <f t="shared" si="8"/>
        <v>31.535999999999998</v>
      </c>
      <c r="H141">
        <f>IF(_xlfn.XLOOKUP(B141,'ELC TECH'!$H:$H,'ELC TECH'!$E:$E)="Storage",0.3,IF(_xlfn.XLOOKUP(B141,'ELC TECH'!$H:$H,'ELC TECH'!$E:$E)="Baseload",0.9,IF(_xlfn.XLOOKUP(B141,'ELC TECH'!$H:$H,'ELC TECH'!$E:$E)="Non Dispatchable",0.05,IF(_xlfn.XLOOKUP(B141,'ELC TECH'!$H:$H,'ELC TECH'!$E:$E)="Dispatchable",0.9,1))))</f>
        <v>0.9</v>
      </c>
      <c r="I141" s="13" t="str">
        <f>IF(_xlfn.XLOOKUP(B141,'ELC TECH'!H:H,'ELC TECH'!J:J)="","",_xlfn.XLOOKUP(B141,'ELC TECH'!H:H,'ELC TECH'!J:J))</f>
        <v/>
      </c>
      <c r="J141" s="12">
        <f>IF(_xlfn.XLOOKUP($B141,'ELC TECH'!$H:$H,'ELC TECH'!$E:$E)="Storage","",IF(_xlfn.XLOOKUP($B141,'ELC TECH'!$H:$H,'ELC TECH'!AK:AK)="",1,_xlfn.XLOOKUP($B141,'ELC TECH'!$H:$H,'ELC TECH'!AK:AK)))</f>
        <v>0.48433522237065257</v>
      </c>
      <c r="K141" s="12">
        <f>IF(_xlfn.XLOOKUP($B141,'ELC TECH'!$H:$H,'ELC TECH'!$E:$E)="Storage","",IF(_xlfn.XLOOKUP($B141,'ELC TECH'!$H:$H,'ELC TECH'!AL:AL)="",1,_xlfn.XLOOKUP($B141,'ELC TECH'!$H:$H,'ELC TECH'!AL:AL)))</f>
        <v>0.48870547717004409</v>
      </c>
      <c r="L141" s="12">
        <f>IF(_xlfn.XLOOKUP($B141,'ELC TECH'!$H:$H,'ELC TECH'!$E:$E)="Storage","",IF(_xlfn.XLOOKUP($B141,'ELC TECH'!$H:$H,'ELC TECH'!AM:AM)="",1,_xlfn.XLOOKUP($B141,'ELC TECH'!$H:$H,'ELC TECH'!AM:AM)))</f>
        <v>0.496239331239274</v>
      </c>
      <c r="M141" s="12">
        <f>IF(_xlfn.XLOOKUP($B141,'ELC TECH'!$H:$H,'ELC TECH'!$E:$E)="Storage","",IF(_xlfn.XLOOKUP($B141,'ELC TECH'!$H:$H,'ELC TECH'!AN:AN)="",1,_xlfn.XLOOKUP($B141,'ELC TECH'!$H:$H,'ELC TECH'!AN:AN)))</f>
        <v>0.50393466867541692</v>
      </c>
      <c r="N141" s="12">
        <f>IF(_xlfn.XLOOKUP($B141,'ELC TECH'!$H:$H,'ELC TECH'!$E:$E)="Storage","",IF(_xlfn.XLOOKUP($B141,'ELC TECH'!$H:$H,'ELC TECH'!AO:AO)="",1,_xlfn.XLOOKUP($B141,'ELC TECH'!$H:$H,'ELC TECH'!AO:AO)))</f>
        <v>0.50393466867541692</v>
      </c>
      <c r="O141" s="12">
        <f>IF(_xlfn.XLOOKUP($B141,'ELC TECH'!$H:$H,'ELC TECH'!$E:$E)="Storage","",IF(_xlfn.XLOOKUP($B141,'ELC TECH'!$H:$H,'ELC TECH'!AP:AP)="",1,_xlfn.XLOOKUP($B141,'ELC TECH'!$H:$H,'ELC TECH'!AP:AP)))</f>
        <v>0.50393466867541692</v>
      </c>
      <c r="P141" s="12">
        <f>IF(_xlfn.XLOOKUP($B141,'ELC TECH'!$H:$H,'ELC TECH'!$E:$E)="Storage","",IF(_xlfn.XLOOKUP($B141,'ELC TECH'!$H:$H,'ELC TECH'!AQ:AQ)="",1,_xlfn.XLOOKUP($B141,'ELC TECH'!$H:$H,'ELC TECH'!AQ:AQ)))</f>
        <v>0.50393466867541692</v>
      </c>
      <c r="Q141" s="12">
        <f>IF(_xlfn.XLOOKUP($B141,'ELC TECH'!$H:$H,'ELC TECH'!$E:$E)="Storage","",IF(_xlfn.XLOOKUP($B141,'ELC TECH'!$H:$H,'ELC TECH'!AR:AR)="",1,_xlfn.XLOOKUP($B141,'ELC TECH'!$H:$H,'ELC TECH'!AR:AR)))</f>
        <v>0.50393466867541692</v>
      </c>
      <c r="R141" s="12" t="str">
        <f>IF(_xlfn.XLOOKUP($B141,'ELC TECH'!$H:$H,'ELC TECH'!$E:$E)&lt;&gt;"Storage","",IF(_xlfn.XLOOKUP($B141,'ELC TECH'!$H:$H,'ELC TECH'!AK:AK)="",0.8,_xlfn.XLOOKUP($B141,'ELC TECH'!$H:$H,'ELC TECH'!AK:AK)))</f>
        <v/>
      </c>
      <c r="S141" s="12" t="str">
        <f>IF(_xlfn.XLOOKUP($B141,'ELC TECH'!$H:$H,'ELC TECH'!$E:$E)&lt;&gt;"Storage","",IF(_xlfn.XLOOKUP($B141,'ELC TECH'!$H:$H,'ELC TECH'!AL:AL)="",0.8,_xlfn.XLOOKUP($B141,'ELC TECH'!$H:$H,'ELC TECH'!AL:AL)))</f>
        <v/>
      </c>
      <c r="T141" s="12" t="str">
        <f>IF(_xlfn.XLOOKUP($B141,'ELC TECH'!$H:$H,'ELC TECH'!$E:$E)&lt;&gt;"Storage","",IF(_xlfn.XLOOKUP($B141,'ELC TECH'!$H:$H,'ELC TECH'!AM:AM)="",0.8,_xlfn.XLOOKUP($B141,'ELC TECH'!$H:$H,'ELC TECH'!AM:AM)))</f>
        <v/>
      </c>
      <c r="U141" s="12" t="str">
        <f>IF(_xlfn.XLOOKUP($B141,'ELC TECH'!$H:$H,'ELC TECH'!$E:$E)&lt;&gt;"Storage","",IF(_xlfn.XLOOKUP($B141,'ELC TECH'!$H:$H,'ELC TECH'!AN:AN)="",0.8,_xlfn.XLOOKUP($B141,'ELC TECH'!$H:$H,'ELC TECH'!AN:AN)))</f>
        <v/>
      </c>
      <c r="V141" s="12" t="str">
        <f>IF(_xlfn.XLOOKUP($B141,'ELC TECH'!$H:$H,'ELC TECH'!$E:$E)&lt;&gt;"Storage","",IF(_xlfn.XLOOKUP($B141,'ELC TECH'!$H:$H,'ELC TECH'!AO:AO)="",0.8,_xlfn.XLOOKUP($B141,'ELC TECH'!$H:$H,'ELC TECH'!AO:AO)))</f>
        <v/>
      </c>
      <c r="W141" s="12" t="str">
        <f>IF(_xlfn.XLOOKUP($B141,'ELC TECH'!$H:$H,'ELC TECH'!$E:$E)&lt;&gt;"Storage","",IF(_xlfn.XLOOKUP($B141,'ELC TECH'!$H:$H,'ELC TECH'!AP:AP)="",0.8,_xlfn.XLOOKUP($B141,'ELC TECH'!$H:$H,'ELC TECH'!AP:AP)))</f>
        <v/>
      </c>
      <c r="X141" s="12" t="str">
        <f>IF(_xlfn.XLOOKUP($B141,'ELC TECH'!$H:$H,'ELC TECH'!$E:$E)&lt;&gt;"Storage","",IF(_xlfn.XLOOKUP($B141,'ELC TECH'!$H:$H,'ELC TECH'!AQ:AQ)="",0.8,_xlfn.XLOOKUP($B141,'ELC TECH'!$H:$H,'ELC TECH'!AQ:AQ)))</f>
        <v/>
      </c>
      <c r="Y141" s="12" t="str">
        <f>IF(_xlfn.XLOOKUP($B141,'ELC TECH'!$H:$H,'ELC TECH'!$E:$E)&lt;&gt;"Storage","",IF(_xlfn.XLOOKUP($B141,'ELC TECH'!$H:$H,'ELC TECH'!AR:AR)="",0.8,_xlfn.XLOOKUP($B141,'ELC TECH'!$H:$H,'ELC TECH'!AR:AR)))</f>
        <v/>
      </c>
      <c r="Z141" s="15">
        <f>_xlfn.XLOOKUP($B141,'ELC TECH'!$H:$H,'ELC TECH'!M:M)</f>
        <v>2598.16147303665</v>
      </c>
      <c r="AA141" s="15">
        <f>_xlfn.XLOOKUP($B141,'ELC TECH'!$H:$H,'ELC TECH'!N:N)</f>
        <v>2458.0595421887401</v>
      </c>
      <c r="AB141" s="15">
        <f>_xlfn.XLOOKUP($B141,'ELC TECH'!$H:$H,'ELC TECH'!O:O)</f>
        <v>2224.5563241088921</v>
      </c>
      <c r="AC141" s="15">
        <f>_xlfn.XLOOKUP($B141,'ELC TECH'!$H:$H,'ELC TECH'!P:P)</f>
        <v>1991.053106029043</v>
      </c>
      <c r="AD141" s="15">
        <f>_xlfn.XLOOKUP($B141,'ELC TECH'!$H:$H,'ELC TECH'!Q:Q)</f>
        <v>1877.1849507717029</v>
      </c>
      <c r="AE141" s="15">
        <f>_xlfn.XLOOKUP($B141,'ELC TECH'!$H:$H,'ELC TECH'!R:R)</f>
        <v>1763.3167955143631</v>
      </c>
      <c r="AF141" s="15">
        <f>_xlfn.XLOOKUP($B141,'ELC TECH'!$H:$H,'ELC TECH'!S:S)</f>
        <v>1649.561716875947</v>
      </c>
      <c r="AG141" s="15">
        <f>_xlfn.XLOOKUP($B141,'ELC TECH'!$H:$H,'ELC TECH'!T:T)</f>
        <v>1649.561716875947</v>
      </c>
      <c r="AH141" s="15">
        <f>_xlfn.XLOOKUP($B141,'ELC TECH'!$H:$H,'ELC TECH'!U:U)</f>
        <v>67.959047973844562</v>
      </c>
      <c r="AI141" s="15">
        <f>_xlfn.XLOOKUP($B141,'ELC TECH'!$H:$H,'ELC TECH'!V:V)</f>
        <v>64.453672787173716</v>
      </c>
      <c r="AJ141" s="15">
        <f>_xlfn.XLOOKUP($B141,'ELC TECH'!$H:$H,'ELC TECH'!W:W)</f>
        <v>58.460611984155797</v>
      </c>
      <c r="AK141" s="15">
        <f>_xlfn.XLOOKUP($B141,'ELC TECH'!$H:$H,'ELC TECH'!X:X)</f>
        <v>52.467551181137893</v>
      </c>
      <c r="AL141" s="15">
        <f>_xlfn.XLOOKUP($B141,'ELC TECH'!$H:$H,'ELC TECH'!Y:Y)</f>
        <v>49.753712326941113</v>
      </c>
      <c r="AM141" s="15">
        <f>_xlfn.XLOOKUP($B141,'ELC TECH'!$H:$H,'ELC TECH'!Z:Z)</f>
        <v>46.926796853819447</v>
      </c>
      <c r="AN141" s="15">
        <f>_xlfn.XLOOKUP($B141,'ELC TECH'!$H:$H,'ELC TECH'!AA:AA)</f>
        <v>44.099881380697802</v>
      </c>
      <c r="AO141" s="15">
        <f>_xlfn.XLOOKUP($B141,'ELC TECH'!$H:$H,'ELC TECH'!AB:AB)</f>
        <v>44.099881380697802</v>
      </c>
      <c r="AP141" s="15">
        <f>_xlfn.XLOOKUP($B141,'ELC TECH'!$H:$H,'ELC TECH'!AC:AC)</f>
        <v>1.407175702176112</v>
      </c>
      <c r="AQ141" s="15">
        <f>_xlfn.XLOOKUP($B141,'ELC TECH'!$H:$H,'ELC TECH'!AD:AD)</f>
        <v>1.3474963755213221</v>
      </c>
      <c r="AR141" s="15">
        <f>_xlfn.XLOOKUP($B141,'ELC TECH'!$H:$H,'ELC TECH'!AE:AE)</f>
        <v>1.250124842558243</v>
      </c>
      <c r="AS141" s="15">
        <f>_xlfn.XLOOKUP($B141,'ELC TECH'!$H:$H,'ELC TECH'!AF:AF)</f>
        <v>1.149612292402806</v>
      </c>
      <c r="AT141" s="15">
        <f>_xlfn.XLOOKUP($B141,'ELC TECH'!$H:$H,'ELC TECH'!AG:AG)</f>
        <v>1.1119200860945171</v>
      </c>
      <c r="AU141" s="15">
        <f>_xlfn.XLOOKUP($B141,'ELC TECH'!$H:$H,'ELC TECH'!AH:AH)</f>
        <v>1.071086862593871</v>
      </c>
      <c r="AV141" s="15">
        <f>_xlfn.XLOOKUP($B141,'ELC TECH'!$H:$H,'ELC TECH'!AI:AI)</f>
        <v>1.0302536390932251</v>
      </c>
      <c r="AW141" s="15">
        <f>_xlfn.XLOOKUP($B141,'ELC TECH'!$H:$H,'ELC TECH'!AJ:AJ)</f>
        <v>1.0302536390932251</v>
      </c>
      <c r="AX141" s="12">
        <f>IF(_xlfn.XLOOKUP($B141,'ELC TECH'!$H:$H,'ELC TECH'!$E:$E)="Storage","",_xlfn.XLOOKUP($B141,'ELC TECH'!$H:$H,'ELC TECH'!AS:AS))</f>
        <v>0.9</v>
      </c>
      <c r="AY141" s="12">
        <f>IF(_xlfn.XLOOKUP($B141,'ELC TECH'!$H:$H,'ELC TECH'!$E:$E)="Storage","",_xlfn.XLOOKUP($B141,'ELC TECH'!$H:$H,'ELC TECH'!AT:AT))</f>
        <v>0.9</v>
      </c>
      <c r="AZ141" s="12">
        <f>IF(_xlfn.XLOOKUP($B141,'ELC TECH'!$H:$H,'ELC TECH'!$E:$E)="Storage","",_xlfn.XLOOKUP($B141,'ELC TECH'!$H:$H,'ELC TECH'!AU:AU))</f>
        <v>0.9</v>
      </c>
      <c r="BA141" s="12">
        <f>IF(_xlfn.XLOOKUP($B141,'ELC TECH'!$H:$H,'ELC TECH'!$E:$E)="Storage","",_xlfn.XLOOKUP($B141,'ELC TECH'!$H:$H,'ELC TECH'!AV:AV))</f>
        <v>0.9</v>
      </c>
      <c r="BB141" s="12">
        <f>IF(_xlfn.XLOOKUP($B141,'ELC TECH'!$H:$H,'ELC TECH'!$E:$E)="Storage","",_xlfn.XLOOKUP($B141,'ELC TECH'!$H:$H,'ELC TECH'!AW:AW))</f>
        <v>0.9</v>
      </c>
      <c r="BC141" s="12">
        <f>IF(_xlfn.XLOOKUP($B141,'ELC TECH'!$H:$H,'ELC TECH'!$E:$E)="Storage","",_xlfn.XLOOKUP($B141,'ELC TECH'!$H:$H,'ELC TECH'!AX:AX))</f>
        <v>0.9</v>
      </c>
      <c r="BD141" s="12">
        <f>IF(_xlfn.XLOOKUP($B141,'ELC TECH'!$H:$H,'ELC TECH'!$E:$E)="Storage","",_xlfn.XLOOKUP($B141,'ELC TECH'!$H:$H,'ELC TECH'!AY:AY))</f>
        <v>0.9</v>
      </c>
      <c r="BE141" s="12">
        <f>IF(_xlfn.XLOOKUP($B141,'ELC TECH'!$H:$H,'ELC TECH'!$E:$E)="Storage","",_xlfn.XLOOKUP($B141,'ELC TECH'!$H:$H,'ELC TECH'!AZ:AZ))</f>
        <v>0.9</v>
      </c>
      <c r="BF141" s="12" t="str">
        <f>IF(_xlfn.XLOOKUP($B141,'ELC TECH'!$H:$H,'ELC TECH'!$E:$E)="Storage",_xlfn.XLOOKUP($B141,'ELC TECH'!$H:$H,'ELC TECH'!AS:AS),"")</f>
        <v/>
      </c>
      <c r="BG141" s="12" t="str">
        <f>IF(_xlfn.XLOOKUP($B141,'ELC TECH'!$H:$H,'ELC TECH'!$E:$E)="Storage",_xlfn.XLOOKUP($B141,'ELC TECH'!$H:$H,'ELC TECH'!AT:AT),"")</f>
        <v/>
      </c>
      <c r="BH141" s="12" t="str">
        <f>IF(_xlfn.XLOOKUP($B141,'ELC TECH'!$H:$H,'ELC TECH'!$E:$E)="Storage",_xlfn.XLOOKUP($B141,'ELC TECH'!$H:$H,'ELC TECH'!AU:AU),"")</f>
        <v/>
      </c>
      <c r="BI141" s="12" t="str">
        <f>IF(_xlfn.XLOOKUP($B141,'ELC TECH'!$H:$H,'ELC TECH'!$E:$E)="Storage",_xlfn.XLOOKUP($B141,'ELC TECH'!$H:$H,'ELC TECH'!AV:AV),"")</f>
        <v/>
      </c>
      <c r="BJ141" s="12" t="str">
        <f>IF(_xlfn.XLOOKUP($B141,'ELC TECH'!$H:$H,'ELC TECH'!$E:$E)="Storage",_xlfn.XLOOKUP($B141,'ELC TECH'!$H:$H,'ELC TECH'!AW:AW),"")</f>
        <v/>
      </c>
      <c r="BK141" s="12" t="str">
        <f>IF(_xlfn.XLOOKUP($B141,'ELC TECH'!$H:$H,'ELC TECH'!$E:$E)="Storage",_xlfn.XLOOKUP($B141,'ELC TECH'!$H:$H,'ELC TECH'!AX:AX),"")</f>
        <v/>
      </c>
      <c r="BL141" s="12" t="str">
        <f>IF(_xlfn.XLOOKUP($B141,'ELC TECH'!$H:$H,'ELC TECH'!$E:$E)="Storage",_xlfn.XLOOKUP($B141,'ELC TECH'!$H:$H,'ELC TECH'!AY:AY),"")</f>
        <v/>
      </c>
      <c r="BM141" s="12" t="str">
        <f>IF(_xlfn.XLOOKUP($B141,'ELC TECH'!$H:$H,'ELC TECH'!$E:$E)="Storage",_xlfn.XLOOKUP($B141,'ELC TECH'!$H:$H,'ELC TECH'!AZ:AZ),"")</f>
        <v/>
      </c>
      <c r="BN141" s="8" t="str">
        <f>IF(_xlfn.XLOOKUP($B141,'ELC TECH'!$H:$H,'ELC TECH'!$E:$E)="Non Dispatchable",IFERROR($AX141*_xlfn.XLOOKUP($C141,$BM$1:$BM$3,BN$1:BN$3)/SUMPRODUCT(_xlfn.XLOOKUP($C141,$BM$1:$BM$3,$BN$1:$BY$3),$BN$4:$BY$4),""),
"")</f>
        <v/>
      </c>
      <c r="BO141" s="8" t="str">
        <f>IF(_xlfn.XLOOKUP($B141,'ELC TECH'!$H:$H,'ELC TECH'!$E:$E)="Non Dispatchable",IFERROR($AX141*_xlfn.XLOOKUP($C141,$BM$1:$BM$3,BO$1:BO$3)/SUMPRODUCT(_xlfn.XLOOKUP($C141,$BM$1:$BM$3,$BN$1:$BY$3),$BN$4:$BY$4),""),
"")</f>
        <v/>
      </c>
      <c r="BP141" s="8" t="str">
        <f>IF(_xlfn.XLOOKUP($B141,'ELC TECH'!$H:$H,'ELC TECH'!$E:$E)="Non Dispatchable",IFERROR($AX141*_xlfn.XLOOKUP($C141,$BM$1:$BM$3,BP$1:BP$3)/SUMPRODUCT(_xlfn.XLOOKUP($C141,$BM$1:$BM$3,$BN$1:$BY$3),$BN$4:$BY$4),""),
"")</f>
        <v/>
      </c>
      <c r="BQ141" s="8" t="str">
        <f>IF(_xlfn.XLOOKUP($B141,'ELC TECH'!$H:$H,'ELC TECH'!$E:$E)="Non Dispatchable",IFERROR($AX141*_xlfn.XLOOKUP($C141,$BM$1:$BM$3,BQ$1:BQ$3)/SUMPRODUCT(_xlfn.XLOOKUP($C141,$BM$1:$BM$3,$BN$1:$BY$3),$BN$4:$BY$4),""),
"")</f>
        <v/>
      </c>
      <c r="BR141" s="8" t="str">
        <f>IF(_xlfn.XLOOKUP($B141,'ELC TECH'!$H:$H,'ELC TECH'!$E:$E)="Non Dispatchable",IFERROR($AX141*_xlfn.XLOOKUP($C141,$BM$1:$BM$3,BR$1:BR$3)/SUMPRODUCT(_xlfn.XLOOKUP($C141,$BM$1:$BM$3,$BN$1:$BY$3),$BN$4:$BY$4),""),
"")</f>
        <v/>
      </c>
      <c r="BS141" s="8" t="str">
        <f>IF(_xlfn.XLOOKUP($B141,'ELC TECH'!$H:$H,'ELC TECH'!$E:$E)="Non Dispatchable",IFERROR($AX141*_xlfn.XLOOKUP($C141,$BM$1:$BM$3,BS$1:BS$3)/SUMPRODUCT(_xlfn.XLOOKUP($C141,$BM$1:$BM$3,$BN$1:$BY$3),$BN$4:$BY$4),""),
"")</f>
        <v/>
      </c>
      <c r="BT141" s="8" t="str">
        <f>IF(_xlfn.XLOOKUP($B141,'ELC TECH'!$H:$H,'ELC TECH'!$E:$E)="Non Dispatchable",IFERROR($AX141*_xlfn.XLOOKUP($C141,$BM$1:$BM$3,BT$1:BT$3)/SUMPRODUCT(_xlfn.XLOOKUP($C141,$BM$1:$BM$3,$BN$1:$BY$3),$BN$4:$BY$4),""),
"")</f>
        <v/>
      </c>
      <c r="BU141" s="8" t="str">
        <f>IF(_xlfn.XLOOKUP($B141,'ELC TECH'!$H:$H,'ELC TECH'!$E:$E)="Non Dispatchable",IFERROR($AX141*_xlfn.XLOOKUP($C141,$BM$1:$BM$3,BU$1:BU$3)/SUMPRODUCT(_xlfn.XLOOKUP($C141,$BM$1:$BM$3,$BN$1:$BY$3),$BN$4:$BY$4),""),
"")</f>
        <v/>
      </c>
      <c r="BV141" s="8" t="str">
        <f>IF(_xlfn.XLOOKUP($B141,'ELC TECH'!$H:$H,'ELC TECH'!$E:$E)="Non Dispatchable",IFERROR($AX141*_xlfn.XLOOKUP($C141,$BM$1:$BM$3,BV$1:BV$3)/SUMPRODUCT(_xlfn.XLOOKUP($C141,$BM$1:$BM$3,$BN$1:$BY$3),$BN$4:$BY$4),""),
"")</f>
        <v/>
      </c>
      <c r="BW141" s="8" t="str">
        <f>IF(_xlfn.XLOOKUP($B141,'ELC TECH'!$H:$H,'ELC TECH'!$E:$E)="Non Dispatchable",IFERROR($AX141*_xlfn.XLOOKUP($C141,$BM$1:$BM$3,BW$1:BW$3)/SUMPRODUCT(_xlfn.XLOOKUP($C141,$BM$1:$BM$3,$BN$1:$BY$3),$BN$4:$BY$4),""),
"")</f>
        <v/>
      </c>
      <c r="BX141" s="8" t="str">
        <f>IF(_xlfn.XLOOKUP($B141,'ELC TECH'!$H:$H,'ELC TECH'!$E:$E)="Non Dispatchable",IFERROR($AX141*_xlfn.XLOOKUP($C141,$BM$1:$BM$3,BX$1:BX$3)/SUMPRODUCT(_xlfn.XLOOKUP($C141,$BM$1:$BM$3,$BN$1:$BY$3),$BN$4:$BY$4),""),
"")</f>
        <v/>
      </c>
      <c r="BY141" s="8" t="str">
        <f>IF(_xlfn.XLOOKUP($B141,'ELC TECH'!$H:$H,'ELC TECH'!$E:$E)="Non Dispatchable",IFERROR($AX141*_xlfn.XLOOKUP($C141,$BM$1:$BM$3,BY$1:BY$3)/SUMPRODUCT(_xlfn.XLOOKUP($C141,$BM$1:$BM$3,$BN$1:$BY$3),$BN$4:$BY$4),""),
"")</f>
        <v/>
      </c>
      <c r="BZ141" s="8" t="str">
        <f>IF(_xlfn.XLOOKUP($B141,'ELC TECH'!$H:$H,'ELC TECH'!$E:$E)="Non Dispatchable",IFERROR($AX141*_xlfn.XLOOKUP($C141,$BM$1:$BM$3,BZ$1:BZ$3)/SUMPRODUCT(_xlfn.XLOOKUP($C141,$BM$1:$BM$3,$BN$1:$BY$3),$BN$4:$BY$4),""),
"")</f>
        <v/>
      </c>
      <c r="CA141" s="8" t="str">
        <f>IF(_xlfn.XLOOKUP($B141,'ELC TECH'!$H:$H,'ELC TECH'!$E:$E)="Non Dispatchable",IFERROR($AX141*_xlfn.XLOOKUP($C141,$BM$1:$BM$3,CA$1:CA$3)/SUMPRODUCT(_xlfn.XLOOKUP($C141,$BM$1:$BM$3,$BN$1:$BY$3),$BN$4:$BY$4),""),
"")</f>
        <v/>
      </c>
      <c r="CB141" s="8" t="str">
        <f>IF(_xlfn.XLOOKUP($B141,'ELC TECH'!$H:$H,'ELC TECH'!$E:$E)="Non Dispatchable",IFERROR($AX141*_xlfn.XLOOKUP($C141,$BM$1:$BM$3,CB$1:CB$3)/SUMPRODUCT(_xlfn.XLOOKUP($C141,$BM$1:$BM$3,$BN$1:$BY$3),$BN$4:$BY$4),""),
"")</f>
        <v/>
      </c>
      <c r="CC141" s="8" t="str">
        <f>IF(_xlfn.XLOOKUP($B141,'ELC TECH'!$H:$H,'ELC TECH'!$E:$E)="Non Dispatchable",IFERROR($AX141*_xlfn.XLOOKUP($C141,$BM$1:$BM$3,CC$1:CC$3)/SUMPRODUCT(_xlfn.XLOOKUP($C141,$BM$1:$BM$3,$BN$1:$BY$3),$BN$4:$BY$4),""),
"")</f>
        <v/>
      </c>
      <c r="CD141" s="8" t="str">
        <f>IF(_xlfn.XLOOKUP($B141,'ELC TECH'!$H:$H,'ELC TECH'!$E:$E)="Non Dispatchable",IFERROR($AX141*_xlfn.XLOOKUP($C141,$BM$1:$BM$3,CD$1:CD$3)/SUMPRODUCT(_xlfn.XLOOKUP($C141,$BM$1:$BM$3,$BN$1:$BY$3),$BN$4:$BY$4),""),
"")</f>
        <v/>
      </c>
      <c r="CE141" s="8" t="str">
        <f>IF(_xlfn.XLOOKUP($B141,'ELC TECH'!$H:$H,'ELC TECH'!$E:$E)="Non Dispatchable",IFERROR($AX141*_xlfn.XLOOKUP($C141,$BM$1:$BM$3,CE$1:CE$3)/SUMPRODUCT(_xlfn.XLOOKUP($C141,$BM$1:$BM$3,$BN$1:$BY$3),$BN$4:$BY$4),""),
"")</f>
        <v/>
      </c>
      <c r="CF141" s="8" t="str">
        <f>IF(_xlfn.XLOOKUP($B141,'ELC TECH'!$H:$H,'ELC TECH'!$E:$E)="Non Dispatchable",IFERROR($AX141*_xlfn.XLOOKUP($C141,$BM$1:$BM$3,CF$1:CF$3)/SUMPRODUCT(_xlfn.XLOOKUP($C141,$BM$1:$BM$3,$BN$1:$BY$3),$BN$4:$BY$4),""),
"")</f>
        <v/>
      </c>
      <c r="CG141" s="8" t="str">
        <f>IF(_xlfn.XLOOKUP($B141,'ELC TECH'!$H:$H,'ELC TECH'!$E:$E)="Non Dispatchable",IFERROR($AX141*_xlfn.XLOOKUP($C141,$BM$1:$BM$3,CG$1:CG$3)/SUMPRODUCT(_xlfn.XLOOKUP($C141,$BM$1:$BM$3,$BN$1:$BY$3),$BN$4:$BY$4),""),
"")</f>
        <v/>
      </c>
      <c r="CH141" s="8" t="str">
        <f>IF(_xlfn.XLOOKUP($B141,'ELC TECH'!$H:$H,'ELC TECH'!$E:$E)="Non Dispatchable",IFERROR($AX141*_xlfn.XLOOKUP($C141,$BM$1:$BM$3,CH$1:CH$3)/SUMPRODUCT(_xlfn.XLOOKUP($C141,$BM$1:$BM$3,$BN$1:$BY$3),$BN$4:$BY$4),""),
"")</f>
        <v/>
      </c>
      <c r="CI141" s="8" t="str">
        <f>IF(_xlfn.XLOOKUP($B141,'ELC TECH'!$H:$H,'ELC TECH'!$E:$E)="Non Dispatchable",IFERROR($AX141*_xlfn.XLOOKUP($C141,$BM$1:$BM$3,CI$1:CI$3)/SUMPRODUCT(_xlfn.XLOOKUP($C141,$BM$1:$BM$3,$BN$1:$BY$3),$BN$4:$BY$4),""),
"")</f>
        <v/>
      </c>
      <c r="CJ141" s="8" t="str">
        <f>IF(_xlfn.XLOOKUP($B141,'ELC TECH'!$H:$H,'ELC TECH'!$E:$E)="Non Dispatchable",IFERROR($AX141*_xlfn.XLOOKUP($C141,$BM$1:$BM$3,CJ$1:CJ$3)/SUMPRODUCT(_xlfn.XLOOKUP($C141,$BM$1:$BM$3,$BN$1:$BY$3),$BN$4:$BY$4),""),
"")</f>
        <v/>
      </c>
      <c r="CK141" s="8" t="str">
        <f>IF(_xlfn.XLOOKUP($B141,'ELC TECH'!$H:$H,'ELC TECH'!$E:$E)="Non Dispatchable",IFERROR($AX141*_xlfn.XLOOKUP($C141,$BM$1:$BM$3,CK$1:CK$3)/SUMPRODUCT(_xlfn.XLOOKUP($C141,$BM$1:$BM$3,$BN$1:$BY$3),$BN$4:$BY$4),""),
"")</f>
        <v/>
      </c>
      <c r="CL141" s="8" t="str">
        <f>IF(_xlfn.XLOOKUP($B141,'ELC TECH'!$H:$H,'ELC TECH'!$E:$E)="Storage",CL$4*$BF141,"")</f>
        <v/>
      </c>
      <c r="CM141" s="8" t="str">
        <f>IF(_xlfn.XLOOKUP($B141,'ELC TECH'!$H:$H,'ELC TECH'!$E:$E)="Storage",CM$4*$BF141,"")</f>
        <v/>
      </c>
      <c r="CN141" s="8" t="str">
        <f>IF(_xlfn.XLOOKUP($B141,'ELC TECH'!$H:$H,'ELC TECH'!$E:$E)="Storage",CN$4*$BF141,"")</f>
        <v/>
      </c>
      <c r="CO141" s="8" t="str">
        <f>IF(_xlfn.XLOOKUP($B141,'ELC TECH'!$H:$H,'ELC TECH'!$E:$E)="Storage",CO$4*$BF141,"")</f>
        <v/>
      </c>
      <c r="CP141" s="8" t="str">
        <f>IF(_xlfn.XLOOKUP($B141,'ELC TECH'!$H:$H,'ELC TECH'!$E:$E)="Storage",CP$4*$BF141,"")</f>
        <v/>
      </c>
      <c r="CQ141" s="8" t="str">
        <f>IF(_xlfn.XLOOKUP($B141,'ELC TECH'!$H:$H,'ELC TECH'!$E:$E)="Storage",CQ$4*$BF141,"")</f>
        <v/>
      </c>
      <c r="CR141" s="8" t="str">
        <f>IF(_xlfn.XLOOKUP($B141,'ELC TECH'!$H:$H,'ELC TECH'!$E:$E)="Storage",CR$4*$BF141,"")</f>
        <v/>
      </c>
      <c r="CS141" s="8" t="str">
        <f>IF(_xlfn.XLOOKUP($B141,'ELC TECH'!$H:$H,'ELC TECH'!$E:$E)="Storage",CS$4*$BF141,"")</f>
        <v/>
      </c>
      <c r="CT141" s="8" t="str">
        <f>IF(_xlfn.XLOOKUP($B141,'ELC TECH'!$H:$H,'ELC TECH'!$E:$E)="Storage",CT$4*$BF141,"")</f>
        <v/>
      </c>
      <c r="CU141" s="8" t="str">
        <f>IF(_xlfn.XLOOKUP($B141,'ELC TECH'!$H:$H,'ELC TECH'!$E:$E)="Storage",CU$4*$BF141,"")</f>
        <v/>
      </c>
      <c r="CV141" s="8" t="str">
        <f>IF(_xlfn.XLOOKUP($B141,'ELC TECH'!$H:$H,'ELC TECH'!$E:$E)="Storage",CV$4*$BF141,"")</f>
        <v/>
      </c>
      <c r="CW141" s="8" t="str">
        <f>IF(_xlfn.XLOOKUP($B141,'ELC TECH'!$H:$H,'ELC TECH'!$E:$E)="Storage",CW$4*$BF141,"")</f>
        <v/>
      </c>
      <c r="CX141" s="8" t="str">
        <f>IF(_xlfn.XLOOKUP($B141,'ELC TECH'!$H:$H,'ELC TECH'!$E:$E)="Storage",CX$4*$BF141,"")</f>
        <v/>
      </c>
      <c r="CY141" s="8" t="str">
        <f>IF(_xlfn.XLOOKUP($B141,'ELC TECH'!$H:$H,'ELC TECH'!$E:$E)="Storage",CY$4*$BF141,"")</f>
        <v/>
      </c>
      <c r="CZ141" s="8" t="str">
        <f>IF(_xlfn.XLOOKUP($B141,'ELC TECH'!$H:$H,'ELC TECH'!$E:$E)="Storage",CZ$4*$BF141,"")</f>
        <v/>
      </c>
      <c r="DA141" s="8" t="str">
        <f>IF(_xlfn.XLOOKUP($B141,'ELC TECH'!$H:$H,'ELC TECH'!$E:$E)="Storage",DA$4*$BF141,"")</f>
        <v/>
      </c>
      <c r="DB141" s="8" t="str">
        <f>IF(_xlfn.XLOOKUP($B141,'ELC TECH'!$H:$H,'ELC TECH'!$E:$E)="Storage",DB$4*$BF141,"")</f>
        <v/>
      </c>
      <c r="DC141" s="8" t="str">
        <f>IF(_xlfn.XLOOKUP($B141,'ELC TECH'!$H:$H,'ELC TECH'!$E:$E)="Storage",DC$4*$BF141,"")</f>
        <v/>
      </c>
      <c r="DD141" s="8" t="str">
        <f>IF(_xlfn.XLOOKUP($B141,'ELC TECH'!$H:$H,'ELC TECH'!$E:$E)="Storage",DD$4*$BF141,"")</f>
        <v/>
      </c>
      <c r="DE141" s="8" t="str">
        <f>IF(_xlfn.XLOOKUP($B141,'ELC TECH'!$H:$H,'ELC TECH'!$E:$E)="Storage",DE$4*$BF141,"")</f>
        <v/>
      </c>
      <c r="DF141" s="8" t="str">
        <f>IF(_xlfn.XLOOKUP($B141,'ELC TECH'!$H:$H,'ELC TECH'!$E:$E)="Storage",DF$4*$BF141,"")</f>
        <v/>
      </c>
      <c r="DG141" s="8" t="str">
        <f>IF(_xlfn.XLOOKUP($B141,'ELC TECH'!$H:$H,'ELC TECH'!$E:$E)="Storage",DG$4*$BF141,"")</f>
        <v/>
      </c>
      <c r="DH141" s="8" t="str">
        <f>IF(_xlfn.XLOOKUP($B141,'ELC TECH'!$H:$H,'ELC TECH'!$E:$E)="Storage",DH$4*$BF141,"")</f>
        <v/>
      </c>
      <c r="DI141" s="8" t="str">
        <f>IF(_xlfn.XLOOKUP($B141,'ELC TECH'!$H:$H,'ELC TECH'!$E:$E)="Storage",DI$4*$BF141,"")</f>
        <v/>
      </c>
    </row>
    <row r="142" spans="2:113" x14ac:dyDescent="0.25">
      <c r="B142" t="str">
        <f>IF('ELC TECH'!I135=0,"*",'ELC TECH'!H135)</f>
        <v>ELCNGAGRDHFCC90RCCS20</v>
      </c>
      <c r="C142" t="str">
        <f>IF(_xlfn.XLOOKUP(_xlfn.XLOOKUP(B142,'ELC TECH'!$H:$H,'ELC TECH'!$G:$G),List!C:C,List!B:B)="STG",D142,"ELC"&amp;_xlfn.XLOOKUP(_xlfn.XLOOKUP(B142,'ELC TECH'!H:H,'ELC TECH'!G:G),List!C:C,List!B:B))</f>
        <v>ELCNGA</v>
      </c>
      <c r="D142" t="s">
        <v>544</v>
      </c>
      <c r="E142">
        <f>_xlfn.XLOOKUP(B142,'ELC TECH'!H:H,'ELC TECH'!D:D)</f>
        <v>2020</v>
      </c>
      <c r="F142">
        <f>_xlfn.XLOOKUP(B142,'ELC TECH'!H:H,'ELC TECH'!K:K)</f>
        <v>30</v>
      </c>
      <c r="G142">
        <f t="shared" si="8"/>
        <v>31.535999999999998</v>
      </c>
      <c r="H142">
        <f>IF(_xlfn.XLOOKUP(B142,'ELC TECH'!$H:$H,'ELC TECH'!$E:$E)="Storage",0.3,IF(_xlfn.XLOOKUP(B142,'ELC TECH'!$H:$H,'ELC TECH'!$E:$E)="Baseload",0.9,IF(_xlfn.XLOOKUP(B142,'ELC TECH'!$H:$H,'ELC TECH'!$E:$E)="Non Dispatchable",0.05,IF(_xlfn.XLOOKUP(B142,'ELC TECH'!$H:$H,'ELC TECH'!$E:$E)="Dispatchable",0.9,1))))</f>
        <v>0.9</v>
      </c>
      <c r="I142" s="13" t="str">
        <f>IF(_xlfn.XLOOKUP(B142,'ELC TECH'!H:H,'ELC TECH'!J:J)="","",_xlfn.XLOOKUP(B142,'ELC TECH'!H:H,'ELC TECH'!J:J))</f>
        <v/>
      </c>
      <c r="J142" s="12">
        <f>IF(_xlfn.XLOOKUP($B142,'ELC TECH'!$H:$H,'ELC TECH'!$E:$E)="Storage","",IF(_xlfn.XLOOKUP($B142,'ELC TECH'!$H:$H,'ELC TECH'!AK:AK)="",1,_xlfn.XLOOKUP($B142,'ELC TECH'!$H:$H,'ELC TECH'!AK:AK)))</f>
        <v>0.48737918034584321</v>
      </c>
      <c r="K142" s="12">
        <f>IF(_xlfn.XLOOKUP($B142,'ELC TECH'!$H:$H,'ELC TECH'!$E:$E)="Storage","",IF(_xlfn.XLOOKUP($B142,'ELC TECH'!$H:$H,'ELC TECH'!AL:AL)="",1,_xlfn.XLOOKUP($B142,'ELC TECH'!$H:$H,'ELC TECH'!AL:AL)))</f>
        <v>0.48926607995429411</v>
      </c>
      <c r="L142" s="12">
        <f>IF(_xlfn.XLOOKUP($B142,'ELC TECH'!$H:$H,'ELC TECH'!$E:$E)="Storage","",IF(_xlfn.XLOOKUP($B142,'ELC TECH'!$H:$H,'ELC TECH'!AM:AM)="",1,_xlfn.XLOOKUP($B142,'ELC TECH'!$H:$H,'ELC TECH'!AM:AM)))</f>
        <v>0.49244359093682322</v>
      </c>
      <c r="M142" s="12">
        <f>IF(_xlfn.XLOOKUP($B142,'ELC TECH'!$H:$H,'ELC TECH'!$E:$E)="Storage","",IF(_xlfn.XLOOKUP($B142,'ELC TECH'!$H:$H,'ELC TECH'!AN:AN)="",1,_xlfn.XLOOKUP($B142,'ELC TECH'!$H:$H,'ELC TECH'!AN:AN)))</f>
        <v>0.49566264404434163</v>
      </c>
      <c r="N142" s="12">
        <f>IF(_xlfn.XLOOKUP($B142,'ELC TECH'!$H:$H,'ELC TECH'!$E:$E)="Storage","",IF(_xlfn.XLOOKUP($B142,'ELC TECH'!$H:$H,'ELC TECH'!AO:AO)="",1,_xlfn.XLOOKUP($B142,'ELC TECH'!$H:$H,'ELC TECH'!AO:AO)))</f>
        <v>0.49566264404434163</v>
      </c>
      <c r="O142" s="12">
        <f>IF(_xlfn.XLOOKUP($B142,'ELC TECH'!$H:$H,'ELC TECH'!$E:$E)="Storage","",IF(_xlfn.XLOOKUP($B142,'ELC TECH'!$H:$H,'ELC TECH'!AP:AP)="",1,_xlfn.XLOOKUP($B142,'ELC TECH'!$H:$H,'ELC TECH'!AP:AP)))</f>
        <v>0.49566264404434163</v>
      </c>
      <c r="P142" s="12">
        <f>IF(_xlfn.XLOOKUP($B142,'ELC TECH'!$H:$H,'ELC TECH'!$E:$E)="Storage","",IF(_xlfn.XLOOKUP($B142,'ELC TECH'!$H:$H,'ELC TECH'!AQ:AQ)="",1,_xlfn.XLOOKUP($B142,'ELC TECH'!$H:$H,'ELC TECH'!AQ:AQ)))</f>
        <v>0.49566264404434163</v>
      </c>
      <c r="Q142" s="12">
        <f>IF(_xlfn.XLOOKUP($B142,'ELC TECH'!$H:$H,'ELC TECH'!$E:$E)="Storage","",IF(_xlfn.XLOOKUP($B142,'ELC TECH'!$H:$H,'ELC TECH'!AR:AR)="",1,_xlfn.XLOOKUP($B142,'ELC TECH'!$H:$H,'ELC TECH'!AR:AR)))</f>
        <v>0.49566264404434163</v>
      </c>
      <c r="R142" s="12" t="str">
        <f>IF(_xlfn.XLOOKUP($B142,'ELC TECH'!$H:$H,'ELC TECH'!$E:$E)&lt;&gt;"Storage","",IF(_xlfn.XLOOKUP($B142,'ELC TECH'!$H:$H,'ELC TECH'!AK:AK)="",0.8,_xlfn.XLOOKUP($B142,'ELC TECH'!$H:$H,'ELC TECH'!AK:AK)))</f>
        <v/>
      </c>
      <c r="S142" s="12" t="str">
        <f>IF(_xlfn.XLOOKUP($B142,'ELC TECH'!$H:$H,'ELC TECH'!$E:$E)&lt;&gt;"Storage","",IF(_xlfn.XLOOKUP($B142,'ELC TECH'!$H:$H,'ELC TECH'!AL:AL)="",0.8,_xlfn.XLOOKUP($B142,'ELC TECH'!$H:$H,'ELC TECH'!AL:AL)))</f>
        <v/>
      </c>
      <c r="T142" s="12" t="str">
        <f>IF(_xlfn.XLOOKUP($B142,'ELC TECH'!$H:$H,'ELC TECH'!$E:$E)&lt;&gt;"Storage","",IF(_xlfn.XLOOKUP($B142,'ELC TECH'!$H:$H,'ELC TECH'!AM:AM)="",0.8,_xlfn.XLOOKUP($B142,'ELC TECH'!$H:$H,'ELC TECH'!AM:AM)))</f>
        <v/>
      </c>
      <c r="U142" s="12" t="str">
        <f>IF(_xlfn.XLOOKUP($B142,'ELC TECH'!$H:$H,'ELC TECH'!$E:$E)&lt;&gt;"Storage","",IF(_xlfn.XLOOKUP($B142,'ELC TECH'!$H:$H,'ELC TECH'!AN:AN)="",0.8,_xlfn.XLOOKUP($B142,'ELC TECH'!$H:$H,'ELC TECH'!AN:AN)))</f>
        <v/>
      </c>
      <c r="V142" s="12" t="str">
        <f>IF(_xlfn.XLOOKUP($B142,'ELC TECH'!$H:$H,'ELC TECH'!$E:$E)&lt;&gt;"Storage","",IF(_xlfn.XLOOKUP($B142,'ELC TECH'!$H:$H,'ELC TECH'!AO:AO)="",0.8,_xlfn.XLOOKUP($B142,'ELC TECH'!$H:$H,'ELC TECH'!AO:AO)))</f>
        <v/>
      </c>
      <c r="W142" s="12" t="str">
        <f>IF(_xlfn.XLOOKUP($B142,'ELC TECH'!$H:$H,'ELC TECH'!$E:$E)&lt;&gt;"Storage","",IF(_xlfn.XLOOKUP($B142,'ELC TECH'!$H:$H,'ELC TECH'!AP:AP)="",0.8,_xlfn.XLOOKUP($B142,'ELC TECH'!$H:$H,'ELC TECH'!AP:AP)))</f>
        <v/>
      </c>
      <c r="X142" s="12" t="str">
        <f>IF(_xlfn.XLOOKUP($B142,'ELC TECH'!$H:$H,'ELC TECH'!$E:$E)&lt;&gt;"Storage","",IF(_xlfn.XLOOKUP($B142,'ELC TECH'!$H:$H,'ELC TECH'!AQ:AQ)="",0.8,_xlfn.XLOOKUP($B142,'ELC TECH'!$H:$H,'ELC TECH'!AQ:AQ)))</f>
        <v/>
      </c>
      <c r="Y142" s="12" t="str">
        <f>IF(_xlfn.XLOOKUP($B142,'ELC TECH'!$H:$H,'ELC TECH'!$E:$E)&lt;&gt;"Storage","",IF(_xlfn.XLOOKUP($B142,'ELC TECH'!$H:$H,'ELC TECH'!AR:AR)="",0.8,_xlfn.XLOOKUP($B142,'ELC TECH'!$H:$H,'ELC TECH'!AR:AR)))</f>
        <v/>
      </c>
      <c r="Z142" s="15">
        <f>_xlfn.XLOOKUP($B142,'ELC TECH'!$H:$H,'ELC TECH'!M:M)</f>
        <v>1226.0897790023239</v>
      </c>
      <c r="AA142" s="15">
        <f>_xlfn.XLOOKUP($B142,'ELC TECH'!$H:$H,'ELC TECH'!N:N)</f>
        <v>1149.9892144658891</v>
      </c>
      <c r="AB142" s="15">
        <f>_xlfn.XLOOKUP($B142,'ELC TECH'!$H:$H,'ELC TECH'!O:O)</f>
        <v>1023.230324651114</v>
      </c>
      <c r="AC142" s="15">
        <f>_xlfn.XLOOKUP($B142,'ELC TECH'!$H:$H,'ELC TECH'!P:P)</f>
        <v>896.47143483633897</v>
      </c>
      <c r="AD142" s="15">
        <f>_xlfn.XLOOKUP($B142,'ELC TECH'!$H:$H,'ELC TECH'!Q:Q)</f>
        <v>845.13464984444965</v>
      </c>
      <c r="AE142" s="15">
        <f>_xlfn.XLOOKUP($B142,'ELC TECH'!$H:$H,'ELC TECH'!R:R)</f>
        <v>793.79786485256045</v>
      </c>
      <c r="AF142" s="15">
        <f>_xlfn.XLOOKUP($B142,'ELC TECH'!$H:$H,'ELC TECH'!S:S)</f>
        <v>742.46107986067125</v>
      </c>
      <c r="AG142" s="15">
        <f>_xlfn.XLOOKUP($B142,'ELC TECH'!$H:$H,'ELC TECH'!T:T)</f>
        <v>742.46107986067125</v>
      </c>
      <c r="AH142" s="15">
        <f>_xlfn.XLOOKUP($B142,'ELC TECH'!$H:$H,'ELC TECH'!U:U)</f>
        <v>67.845971354919698</v>
      </c>
      <c r="AI142" s="15">
        <f>_xlfn.XLOOKUP($B142,'ELC TECH'!$H:$H,'ELC TECH'!V:V)</f>
        <v>65.584438976422376</v>
      </c>
      <c r="AJ142" s="15">
        <f>_xlfn.XLOOKUP($B142,'ELC TECH'!$H:$H,'ELC TECH'!W:W)</f>
        <v>61.965987170826658</v>
      </c>
      <c r="AK142" s="15">
        <f>_xlfn.XLOOKUP($B142,'ELC TECH'!$H:$H,'ELC TECH'!X:X)</f>
        <v>58.234458746306068</v>
      </c>
      <c r="AL142" s="15">
        <f>_xlfn.XLOOKUP($B142,'ELC TECH'!$H:$H,'ELC TECH'!Y:Y)</f>
        <v>55.407543273184423</v>
      </c>
      <c r="AM142" s="15">
        <f>_xlfn.XLOOKUP($B142,'ELC TECH'!$H:$H,'ELC TECH'!Z:Z)</f>
        <v>52.580627800062757</v>
      </c>
      <c r="AN142" s="15">
        <f>_xlfn.XLOOKUP($B142,'ELC TECH'!$H:$H,'ELC TECH'!AA:AA)</f>
        <v>49.753712326941113</v>
      </c>
      <c r="AO142" s="15">
        <f>_xlfn.XLOOKUP($B142,'ELC TECH'!$H:$H,'ELC TECH'!AB:AB)</f>
        <v>49.753712326941113</v>
      </c>
      <c r="AP142" s="15">
        <f>_xlfn.XLOOKUP($B142,'ELC TECH'!$H:$H,'ELC TECH'!AC:AC)</f>
        <v>1.382047564637253</v>
      </c>
      <c r="AQ142" s="15">
        <f>_xlfn.XLOOKUP($B142,'ELC TECH'!$H:$H,'ELC TECH'!AD:AD)</f>
        <v>1.344355358328964</v>
      </c>
      <c r="AR142" s="15">
        <f>_xlfn.XLOOKUP($B142,'ELC TECH'!$H:$H,'ELC TECH'!AE:AE)</f>
        <v>1.2783939972894589</v>
      </c>
      <c r="AS142" s="15">
        <f>_xlfn.XLOOKUP($B142,'ELC TECH'!$H:$H,'ELC TECH'!AF:AF)</f>
        <v>1.212432636249954</v>
      </c>
      <c r="AT142" s="15">
        <f>_xlfn.XLOOKUP($B142,'ELC TECH'!$H:$H,'ELC TECH'!AG:AG)</f>
        <v>1.1715994127493079</v>
      </c>
      <c r="AU142" s="15">
        <f>_xlfn.XLOOKUP($B142,'ELC TECH'!$H:$H,'ELC TECH'!AH:AH)</f>
        <v>1.130766189248662</v>
      </c>
      <c r="AV142" s="15">
        <f>_xlfn.XLOOKUP($B142,'ELC TECH'!$H:$H,'ELC TECH'!AI:AI)</f>
        <v>1.089932965748015</v>
      </c>
      <c r="AW142" s="15">
        <f>_xlfn.XLOOKUP($B142,'ELC TECH'!$H:$H,'ELC TECH'!AJ:AJ)</f>
        <v>1.089932965748015</v>
      </c>
      <c r="AX142" s="12">
        <f>IF(_xlfn.XLOOKUP($B142,'ELC TECH'!$H:$H,'ELC TECH'!$E:$E)="Storage","",_xlfn.XLOOKUP($B142,'ELC TECH'!$H:$H,'ELC TECH'!AS:AS))</f>
        <v>0.9</v>
      </c>
      <c r="AY142" s="12">
        <f>IF(_xlfn.XLOOKUP($B142,'ELC TECH'!$H:$H,'ELC TECH'!$E:$E)="Storage","",_xlfn.XLOOKUP($B142,'ELC TECH'!$H:$H,'ELC TECH'!AT:AT))</f>
        <v>0.9</v>
      </c>
      <c r="AZ142" s="12">
        <f>IF(_xlfn.XLOOKUP($B142,'ELC TECH'!$H:$H,'ELC TECH'!$E:$E)="Storage","",_xlfn.XLOOKUP($B142,'ELC TECH'!$H:$H,'ELC TECH'!AU:AU))</f>
        <v>0.9</v>
      </c>
      <c r="BA142" s="12">
        <f>IF(_xlfn.XLOOKUP($B142,'ELC TECH'!$H:$H,'ELC TECH'!$E:$E)="Storage","",_xlfn.XLOOKUP($B142,'ELC TECH'!$H:$H,'ELC TECH'!AV:AV))</f>
        <v>0.9</v>
      </c>
      <c r="BB142" s="12">
        <f>IF(_xlfn.XLOOKUP($B142,'ELC TECH'!$H:$H,'ELC TECH'!$E:$E)="Storage","",_xlfn.XLOOKUP($B142,'ELC TECH'!$H:$H,'ELC TECH'!AW:AW))</f>
        <v>0.9</v>
      </c>
      <c r="BC142" s="12">
        <f>IF(_xlfn.XLOOKUP($B142,'ELC TECH'!$H:$H,'ELC TECH'!$E:$E)="Storage","",_xlfn.XLOOKUP($B142,'ELC TECH'!$H:$H,'ELC TECH'!AX:AX))</f>
        <v>0.9</v>
      </c>
      <c r="BD142" s="12">
        <f>IF(_xlfn.XLOOKUP($B142,'ELC TECH'!$H:$H,'ELC TECH'!$E:$E)="Storage","",_xlfn.XLOOKUP($B142,'ELC TECH'!$H:$H,'ELC TECH'!AY:AY))</f>
        <v>0.9</v>
      </c>
      <c r="BE142" s="12">
        <f>IF(_xlfn.XLOOKUP($B142,'ELC TECH'!$H:$H,'ELC TECH'!$E:$E)="Storage","",_xlfn.XLOOKUP($B142,'ELC TECH'!$H:$H,'ELC TECH'!AZ:AZ))</f>
        <v>0.9</v>
      </c>
      <c r="BF142" s="12" t="str">
        <f>IF(_xlfn.XLOOKUP($B142,'ELC TECH'!$H:$H,'ELC TECH'!$E:$E)="Storage",_xlfn.XLOOKUP($B142,'ELC TECH'!$H:$H,'ELC TECH'!AS:AS),"")</f>
        <v/>
      </c>
      <c r="BG142" s="12" t="str">
        <f>IF(_xlfn.XLOOKUP($B142,'ELC TECH'!$H:$H,'ELC TECH'!$E:$E)="Storage",_xlfn.XLOOKUP($B142,'ELC TECH'!$H:$H,'ELC TECH'!AT:AT),"")</f>
        <v/>
      </c>
      <c r="BH142" s="12" t="str">
        <f>IF(_xlfn.XLOOKUP($B142,'ELC TECH'!$H:$H,'ELC TECH'!$E:$E)="Storage",_xlfn.XLOOKUP($B142,'ELC TECH'!$H:$H,'ELC TECH'!AU:AU),"")</f>
        <v/>
      </c>
      <c r="BI142" s="12" t="str">
        <f>IF(_xlfn.XLOOKUP($B142,'ELC TECH'!$H:$H,'ELC TECH'!$E:$E)="Storage",_xlfn.XLOOKUP($B142,'ELC TECH'!$H:$H,'ELC TECH'!AV:AV),"")</f>
        <v/>
      </c>
      <c r="BJ142" s="12" t="str">
        <f>IF(_xlfn.XLOOKUP($B142,'ELC TECH'!$H:$H,'ELC TECH'!$E:$E)="Storage",_xlfn.XLOOKUP($B142,'ELC TECH'!$H:$H,'ELC TECH'!AW:AW),"")</f>
        <v/>
      </c>
      <c r="BK142" s="12" t="str">
        <f>IF(_xlfn.XLOOKUP($B142,'ELC TECH'!$H:$H,'ELC TECH'!$E:$E)="Storage",_xlfn.XLOOKUP($B142,'ELC TECH'!$H:$H,'ELC TECH'!AX:AX),"")</f>
        <v/>
      </c>
      <c r="BL142" s="12" t="str">
        <f>IF(_xlfn.XLOOKUP($B142,'ELC TECH'!$H:$H,'ELC TECH'!$E:$E)="Storage",_xlfn.XLOOKUP($B142,'ELC TECH'!$H:$H,'ELC TECH'!AY:AY),"")</f>
        <v/>
      </c>
      <c r="BM142" s="12" t="str">
        <f>IF(_xlfn.XLOOKUP($B142,'ELC TECH'!$H:$H,'ELC TECH'!$E:$E)="Storage",_xlfn.XLOOKUP($B142,'ELC TECH'!$H:$H,'ELC TECH'!AZ:AZ),"")</f>
        <v/>
      </c>
      <c r="BN142" s="8" t="str">
        <f>IF(_xlfn.XLOOKUP($B142,'ELC TECH'!$H:$H,'ELC TECH'!$E:$E)="Non Dispatchable",IFERROR($AX142*_xlfn.XLOOKUP($C142,$BM$1:$BM$3,BN$1:BN$3)/SUMPRODUCT(_xlfn.XLOOKUP($C142,$BM$1:$BM$3,$BN$1:$BY$3),$BN$4:$BY$4),""),
"")</f>
        <v/>
      </c>
      <c r="BO142" s="8" t="str">
        <f>IF(_xlfn.XLOOKUP($B142,'ELC TECH'!$H:$H,'ELC TECH'!$E:$E)="Non Dispatchable",IFERROR($AX142*_xlfn.XLOOKUP($C142,$BM$1:$BM$3,BO$1:BO$3)/SUMPRODUCT(_xlfn.XLOOKUP($C142,$BM$1:$BM$3,$BN$1:$BY$3),$BN$4:$BY$4),""),
"")</f>
        <v/>
      </c>
      <c r="BP142" s="8" t="str">
        <f>IF(_xlfn.XLOOKUP($B142,'ELC TECH'!$H:$H,'ELC TECH'!$E:$E)="Non Dispatchable",IFERROR($AX142*_xlfn.XLOOKUP($C142,$BM$1:$BM$3,BP$1:BP$3)/SUMPRODUCT(_xlfn.XLOOKUP($C142,$BM$1:$BM$3,$BN$1:$BY$3),$BN$4:$BY$4),""),
"")</f>
        <v/>
      </c>
      <c r="BQ142" s="8" t="str">
        <f>IF(_xlfn.XLOOKUP($B142,'ELC TECH'!$H:$H,'ELC TECH'!$E:$E)="Non Dispatchable",IFERROR($AX142*_xlfn.XLOOKUP($C142,$BM$1:$BM$3,BQ$1:BQ$3)/SUMPRODUCT(_xlfn.XLOOKUP($C142,$BM$1:$BM$3,$BN$1:$BY$3),$BN$4:$BY$4),""),
"")</f>
        <v/>
      </c>
      <c r="BR142" s="8" t="str">
        <f>IF(_xlfn.XLOOKUP($B142,'ELC TECH'!$H:$H,'ELC TECH'!$E:$E)="Non Dispatchable",IFERROR($AX142*_xlfn.XLOOKUP($C142,$BM$1:$BM$3,BR$1:BR$3)/SUMPRODUCT(_xlfn.XLOOKUP($C142,$BM$1:$BM$3,$BN$1:$BY$3),$BN$4:$BY$4),""),
"")</f>
        <v/>
      </c>
      <c r="BS142" s="8" t="str">
        <f>IF(_xlfn.XLOOKUP($B142,'ELC TECH'!$H:$H,'ELC TECH'!$E:$E)="Non Dispatchable",IFERROR($AX142*_xlfn.XLOOKUP($C142,$BM$1:$BM$3,BS$1:BS$3)/SUMPRODUCT(_xlfn.XLOOKUP($C142,$BM$1:$BM$3,$BN$1:$BY$3),$BN$4:$BY$4),""),
"")</f>
        <v/>
      </c>
      <c r="BT142" s="8" t="str">
        <f>IF(_xlfn.XLOOKUP($B142,'ELC TECH'!$H:$H,'ELC TECH'!$E:$E)="Non Dispatchable",IFERROR($AX142*_xlfn.XLOOKUP($C142,$BM$1:$BM$3,BT$1:BT$3)/SUMPRODUCT(_xlfn.XLOOKUP($C142,$BM$1:$BM$3,$BN$1:$BY$3),$BN$4:$BY$4),""),
"")</f>
        <v/>
      </c>
      <c r="BU142" s="8" t="str">
        <f>IF(_xlfn.XLOOKUP($B142,'ELC TECH'!$H:$H,'ELC TECH'!$E:$E)="Non Dispatchable",IFERROR($AX142*_xlfn.XLOOKUP($C142,$BM$1:$BM$3,BU$1:BU$3)/SUMPRODUCT(_xlfn.XLOOKUP($C142,$BM$1:$BM$3,$BN$1:$BY$3),$BN$4:$BY$4),""),
"")</f>
        <v/>
      </c>
      <c r="BV142" s="8" t="str">
        <f>IF(_xlfn.XLOOKUP($B142,'ELC TECH'!$H:$H,'ELC TECH'!$E:$E)="Non Dispatchable",IFERROR($AX142*_xlfn.XLOOKUP($C142,$BM$1:$BM$3,BV$1:BV$3)/SUMPRODUCT(_xlfn.XLOOKUP($C142,$BM$1:$BM$3,$BN$1:$BY$3),$BN$4:$BY$4),""),
"")</f>
        <v/>
      </c>
      <c r="BW142" s="8" t="str">
        <f>IF(_xlfn.XLOOKUP($B142,'ELC TECH'!$H:$H,'ELC TECH'!$E:$E)="Non Dispatchable",IFERROR($AX142*_xlfn.XLOOKUP($C142,$BM$1:$BM$3,BW$1:BW$3)/SUMPRODUCT(_xlfn.XLOOKUP($C142,$BM$1:$BM$3,$BN$1:$BY$3),$BN$4:$BY$4),""),
"")</f>
        <v/>
      </c>
      <c r="BX142" s="8" t="str">
        <f>IF(_xlfn.XLOOKUP($B142,'ELC TECH'!$H:$H,'ELC TECH'!$E:$E)="Non Dispatchable",IFERROR($AX142*_xlfn.XLOOKUP($C142,$BM$1:$BM$3,BX$1:BX$3)/SUMPRODUCT(_xlfn.XLOOKUP($C142,$BM$1:$BM$3,$BN$1:$BY$3),$BN$4:$BY$4),""),
"")</f>
        <v/>
      </c>
      <c r="BY142" s="8" t="str">
        <f>IF(_xlfn.XLOOKUP($B142,'ELC TECH'!$H:$H,'ELC TECH'!$E:$E)="Non Dispatchable",IFERROR($AX142*_xlfn.XLOOKUP($C142,$BM$1:$BM$3,BY$1:BY$3)/SUMPRODUCT(_xlfn.XLOOKUP($C142,$BM$1:$BM$3,$BN$1:$BY$3),$BN$4:$BY$4),""),
"")</f>
        <v/>
      </c>
      <c r="BZ142" s="8" t="str">
        <f>IF(_xlfn.XLOOKUP($B142,'ELC TECH'!$H:$H,'ELC TECH'!$E:$E)="Non Dispatchable",IFERROR($AX142*_xlfn.XLOOKUP($C142,$BM$1:$BM$3,BZ$1:BZ$3)/SUMPRODUCT(_xlfn.XLOOKUP($C142,$BM$1:$BM$3,$BN$1:$BY$3),$BN$4:$BY$4),""),
"")</f>
        <v/>
      </c>
      <c r="CA142" s="8" t="str">
        <f>IF(_xlfn.XLOOKUP($B142,'ELC TECH'!$H:$H,'ELC TECH'!$E:$E)="Non Dispatchable",IFERROR($AX142*_xlfn.XLOOKUP($C142,$BM$1:$BM$3,CA$1:CA$3)/SUMPRODUCT(_xlfn.XLOOKUP($C142,$BM$1:$BM$3,$BN$1:$BY$3),$BN$4:$BY$4),""),
"")</f>
        <v/>
      </c>
      <c r="CB142" s="8" t="str">
        <f>IF(_xlfn.XLOOKUP($B142,'ELC TECH'!$H:$H,'ELC TECH'!$E:$E)="Non Dispatchable",IFERROR($AX142*_xlfn.XLOOKUP($C142,$BM$1:$BM$3,CB$1:CB$3)/SUMPRODUCT(_xlfn.XLOOKUP($C142,$BM$1:$BM$3,$BN$1:$BY$3),$BN$4:$BY$4),""),
"")</f>
        <v/>
      </c>
      <c r="CC142" s="8" t="str">
        <f>IF(_xlfn.XLOOKUP($B142,'ELC TECH'!$H:$H,'ELC TECH'!$E:$E)="Non Dispatchable",IFERROR($AX142*_xlfn.XLOOKUP($C142,$BM$1:$BM$3,CC$1:CC$3)/SUMPRODUCT(_xlfn.XLOOKUP($C142,$BM$1:$BM$3,$BN$1:$BY$3),$BN$4:$BY$4),""),
"")</f>
        <v/>
      </c>
      <c r="CD142" s="8" t="str">
        <f>IF(_xlfn.XLOOKUP($B142,'ELC TECH'!$H:$H,'ELC TECH'!$E:$E)="Non Dispatchable",IFERROR($AX142*_xlfn.XLOOKUP($C142,$BM$1:$BM$3,CD$1:CD$3)/SUMPRODUCT(_xlfn.XLOOKUP($C142,$BM$1:$BM$3,$BN$1:$BY$3),$BN$4:$BY$4),""),
"")</f>
        <v/>
      </c>
      <c r="CE142" s="8" t="str">
        <f>IF(_xlfn.XLOOKUP($B142,'ELC TECH'!$H:$H,'ELC TECH'!$E:$E)="Non Dispatchable",IFERROR($AX142*_xlfn.XLOOKUP($C142,$BM$1:$BM$3,CE$1:CE$3)/SUMPRODUCT(_xlfn.XLOOKUP($C142,$BM$1:$BM$3,$BN$1:$BY$3),$BN$4:$BY$4),""),
"")</f>
        <v/>
      </c>
      <c r="CF142" s="8" t="str">
        <f>IF(_xlfn.XLOOKUP($B142,'ELC TECH'!$H:$H,'ELC TECH'!$E:$E)="Non Dispatchable",IFERROR($AX142*_xlfn.XLOOKUP($C142,$BM$1:$BM$3,CF$1:CF$3)/SUMPRODUCT(_xlfn.XLOOKUP($C142,$BM$1:$BM$3,$BN$1:$BY$3),$BN$4:$BY$4),""),
"")</f>
        <v/>
      </c>
      <c r="CG142" s="8" t="str">
        <f>IF(_xlfn.XLOOKUP($B142,'ELC TECH'!$H:$H,'ELC TECH'!$E:$E)="Non Dispatchable",IFERROR($AX142*_xlfn.XLOOKUP($C142,$BM$1:$BM$3,CG$1:CG$3)/SUMPRODUCT(_xlfn.XLOOKUP($C142,$BM$1:$BM$3,$BN$1:$BY$3),$BN$4:$BY$4),""),
"")</f>
        <v/>
      </c>
      <c r="CH142" s="8" t="str">
        <f>IF(_xlfn.XLOOKUP($B142,'ELC TECH'!$H:$H,'ELC TECH'!$E:$E)="Non Dispatchable",IFERROR($AX142*_xlfn.XLOOKUP($C142,$BM$1:$BM$3,CH$1:CH$3)/SUMPRODUCT(_xlfn.XLOOKUP($C142,$BM$1:$BM$3,$BN$1:$BY$3),$BN$4:$BY$4),""),
"")</f>
        <v/>
      </c>
      <c r="CI142" s="8" t="str">
        <f>IF(_xlfn.XLOOKUP($B142,'ELC TECH'!$H:$H,'ELC TECH'!$E:$E)="Non Dispatchable",IFERROR($AX142*_xlfn.XLOOKUP($C142,$BM$1:$BM$3,CI$1:CI$3)/SUMPRODUCT(_xlfn.XLOOKUP($C142,$BM$1:$BM$3,$BN$1:$BY$3),$BN$4:$BY$4),""),
"")</f>
        <v/>
      </c>
      <c r="CJ142" s="8" t="str">
        <f>IF(_xlfn.XLOOKUP($B142,'ELC TECH'!$H:$H,'ELC TECH'!$E:$E)="Non Dispatchable",IFERROR($AX142*_xlfn.XLOOKUP($C142,$BM$1:$BM$3,CJ$1:CJ$3)/SUMPRODUCT(_xlfn.XLOOKUP($C142,$BM$1:$BM$3,$BN$1:$BY$3),$BN$4:$BY$4),""),
"")</f>
        <v/>
      </c>
      <c r="CK142" s="8" t="str">
        <f>IF(_xlfn.XLOOKUP($B142,'ELC TECH'!$H:$H,'ELC TECH'!$E:$E)="Non Dispatchable",IFERROR($AX142*_xlfn.XLOOKUP($C142,$BM$1:$BM$3,CK$1:CK$3)/SUMPRODUCT(_xlfn.XLOOKUP($C142,$BM$1:$BM$3,$BN$1:$BY$3),$BN$4:$BY$4),""),
"")</f>
        <v/>
      </c>
      <c r="CL142" s="8" t="str">
        <f>IF(_xlfn.XLOOKUP($B142,'ELC TECH'!$H:$H,'ELC TECH'!$E:$E)="Storage",CL$4*$BF142,"")</f>
        <v/>
      </c>
      <c r="CM142" s="8" t="str">
        <f>IF(_xlfn.XLOOKUP($B142,'ELC TECH'!$H:$H,'ELC TECH'!$E:$E)="Storage",CM$4*$BF142,"")</f>
        <v/>
      </c>
      <c r="CN142" s="8" t="str">
        <f>IF(_xlfn.XLOOKUP($B142,'ELC TECH'!$H:$H,'ELC TECH'!$E:$E)="Storage",CN$4*$BF142,"")</f>
        <v/>
      </c>
      <c r="CO142" s="8" t="str">
        <f>IF(_xlfn.XLOOKUP($B142,'ELC TECH'!$H:$H,'ELC TECH'!$E:$E)="Storage",CO$4*$BF142,"")</f>
        <v/>
      </c>
      <c r="CP142" s="8" t="str">
        <f>IF(_xlfn.XLOOKUP($B142,'ELC TECH'!$H:$H,'ELC TECH'!$E:$E)="Storage",CP$4*$BF142,"")</f>
        <v/>
      </c>
      <c r="CQ142" s="8" t="str">
        <f>IF(_xlfn.XLOOKUP($B142,'ELC TECH'!$H:$H,'ELC TECH'!$E:$E)="Storage",CQ$4*$BF142,"")</f>
        <v/>
      </c>
      <c r="CR142" s="8" t="str">
        <f>IF(_xlfn.XLOOKUP($B142,'ELC TECH'!$H:$H,'ELC TECH'!$E:$E)="Storage",CR$4*$BF142,"")</f>
        <v/>
      </c>
      <c r="CS142" s="8" t="str">
        <f>IF(_xlfn.XLOOKUP($B142,'ELC TECH'!$H:$H,'ELC TECH'!$E:$E)="Storage",CS$4*$BF142,"")</f>
        <v/>
      </c>
      <c r="CT142" s="8" t="str">
        <f>IF(_xlfn.XLOOKUP($B142,'ELC TECH'!$H:$H,'ELC TECH'!$E:$E)="Storage",CT$4*$BF142,"")</f>
        <v/>
      </c>
      <c r="CU142" s="8" t="str">
        <f>IF(_xlfn.XLOOKUP($B142,'ELC TECH'!$H:$H,'ELC TECH'!$E:$E)="Storage",CU$4*$BF142,"")</f>
        <v/>
      </c>
      <c r="CV142" s="8" t="str">
        <f>IF(_xlfn.XLOOKUP($B142,'ELC TECH'!$H:$H,'ELC TECH'!$E:$E)="Storage",CV$4*$BF142,"")</f>
        <v/>
      </c>
      <c r="CW142" s="8" t="str">
        <f>IF(_xlfn.XLOOKUP($B142,'ELC TECH'!$H:$H,'ELC TECH'!$E:$E)="Storage",CW$4*$BF142,"")</f>
        <v/>
      </c>
      <c r="CX142" s="8" t="str">
        <f>IF(_xlfn.XLOOKUP($B142,'ELC TECH'!$H:$H,'ELC TECH'!$E:$E)="Storage",CX$4*$BF142,"")</f>
        <v/>
      </c>
      <c r="CY142" s="8" t="str">
        <f>IF(_xlfn.XLOOKUP($B142,'ELC TECH'!$H:$H,'ELC TECH'!$E:$E)="Storage",CY$4*$BF142,"")</f>
        <v/>
      </c>
      <c r="CZ142" s="8" t="str">
        <f>IF(_xlfn.XLOOKUP($B142,'ELC TECH'!$H:$H,'ELC TECH'!$E:$E)="Storage",CZ$4*$BF142,"")</f>
        <v/>
      </c>
      <c r="DA142" s="8" t="str">
        <f>IF(_xlfn.XLOOKUP($B142,'ELC TECH'!$H:$H,'ELC TECH'!$E:$E)="Storage",DA$4*$BF142,"")</f>
        <v/>
      </c>
      <c r="DB142" s="8" t="str">
        <f>IF(_xlfn.XLOOKUP($B142,'ELC TECH'!$H:$H,'ELC TECH'!$E:$E)="Storage",DB$4*$BF142,"")</f>
        <v/>
      </c>
      <c r="DC142" s="8" t="str">
        <f>IF(_xlfn.XLOOKUP($B142,'ELC TECH'!$H:$H,'ELC TECH'!$E:$E)="Storage",DC$4*$BF142,"")</f>
        <v/>
      </c>
      <c r="DD142" s="8" t="str">
        <f>IF(_xlfn.XLOOKUP($B142,'ELC TECH'!$H:$H,'ELC TECH'!$E:$E)="Storage",DD$4*$BF142,"")</f>
        <v/>
      </c>
      <c r="DE142" s="8" t="str">
        <f>IF(_xlfn.XLOOKUP($B142,'ELC TECH'!$H:$H,'ELC TECH'!$E:$E)="Storage",DE$4*$BF142,"")</f>
        <v/>
      </c>
      <c r="DF142" s="8" t="str">
        <f>IF(_xlfn.XLOOKUP($B142,'ELC TECH'!$H:$H,'ELC TECH'!$E:$E)="Storage",DF$4*$BF142,"")</f>
        <v/>
      </c>
      <c r="DG142" s="8" t="str">
        <f>IF(_xlfn.XLOOKUP($B142,'ELC TECH'!$H:$H,'ELC TECH'!$E:$E)="Storage",DG$4*$BF142,"")</f>
        <v/>
      </c>
      <c r="DH142" s="8" t="str">
        <f>IF(_xlfn.XLOOKUP($B142,'ELC TECH'!$H:$H,'ELC TECH'!$E:$E)="Storage",DH$4*$BF142,"")</f>
        <v/>
      </c>
      <c r="DI142" s="8" t="str">
        <f>IF(_xlfn.XLOOKUP($B142,'ELC TECH'!$H:$H,'ELC TECH'!$E:$E)="Storage",DI$4*$BF142,"")</f>
        <v/>
      </c>
    </row>
    <row r="143" spans="2:113" x14ac:dyDescent="0.25">
      <c r="B143" t="str">
        <f>IF('ELC TECH'!I136=0,"*",'ELC TECH'!H136)</f>
        <v>ELCNGAGRDHFCC95RCCS20</v>
      </c>
      <c r="C143" t="str">
        <f>IF(_xlfn.XLOOKUP(_xlfn.XLOOKUP(B143,'ELC TECH'!$H:$H,'ELC TECH'!$G:$G),List!C:C,List!B:B)="STG",D143,"ELC"&amp;_xlfn.XLOOKUP(_xlfn.XLOOKUP(B143,'ELC TECH'!H:H,'ELC TECH'!G:G),List!C:C,List!B:B))</f>
        <v>ELCNGA</v>
      </c>
      <c r="D143" t="s">
        <v>544</v>
      </c>
      <c r="E143">
        <f>_xlfn.XLOOKUP(B143,'ELC TECH'!H:H,'ELC TECH'!D:D)</f>
        <v>2020</v>
      </c>
      <c r="F143">
        <f>_xlfn.XLOOKUP(B143,'ELC TECH'!H:H,'ELC TECH'!K:K)</f>
        <v>30</v>
      </c>
      <c r="G143">
        <f t="shared" si="8"/>
        <v>31.535999999999998</v>
      </c>
      <c r="H143">
        <f>IF(_xlfn.XLOOKUP(B143,'ELC TECH'!$H:$H,'ELC TECH'!$E:$E)="Storage",0.3,IF(_xlfn.XLOOKUP(B143,'ELC TECH'!$H:$H,'ELC TECH'!$E:$E)="Baseload",0.9,IF(_xlfn.XLOOKUP(B143,'ELC TECH'!$H:$H,'ELC TECH'!$E:$E)="Non Dispatchable",0.05,IF(_xlfn.XLOOKUP(B143,'ELC TECH'!$H:$H,'ELC TECH'!$E:$E)="Dispatchable",0.9,1))))</f>
        <v>0.9</v>
      </c>
      <c r="I143" s="13" t="str">
        <f>IF(_xlfn.XLOOKUP(B143,'ELC TECH'!H:H,'ELC TECH'!J:J)="","",_xlfn.XLOOKUP(B143,'ELC TECH'!H:H,'ELC TECH'!J:J))</f>
        <v/>
      </c>
      <c r="J143" s="12">
        <f>IF(_xlfn.XLOOKUP($B143,'ELC TECH'!$H:$H,'ELC TECH'!$E:$E)="Storage","",IF(_xlfn.XLOOKUP($B143,'ELC TECH'!$H:$H,'ELC TECH'!AK:AK)="",1,_xlfn.XLOOKUP($B143,'ELC TECH'!$H:$H,'ELC TECH'!AK:AK)))</f>
        <v>0.48392308064122069</v>
      </c>
      <c r="K143" s="12">
        <f>IF(_xlfn.XLOOKUP($B143,'ELC TECH'!$H:$H,'ELC TECH'!$E:$E)="Storage","",IF(_xlfn.XLOOKUP($B143,'ELC TECH'!$H:$H,'ELC TECH'!AL:AL)="",1,_xlfn.XLOOKUP($B143,'ELC TECH'!$H:$H,'ELC TECH'!AL:AL)))</f>
        <v>0.48592162369713021</v>
      </c>
      <c r="L143" s="12">
        <f>IF(_xlfn.XLOOKUP($B143,'ELC TECH'!$H:$H,'ELC TECH'!$E:$E)="Storage","",IF(_xlfn.XLOOKUP($B143,'ELC TECH'!$H:$H,'ELC TECH'!AM:AM)="",1,_xlfn.XLOOKUP($B143,'ELC TECH'!$H:$H,'ELC TECH'!AM:AM)))</f>
        <v>0.48926607995429411</v>
      </c>
      <c r="M143" s="12">
        <f>IF(_xlfn.XLOOKUP($B143,'ELC TECH'!$H:$H,'ELC TECH'!$E:$E)="Storage","",IF(_xlfn.XLOOKUP($B143,'ELC TECH'!$H:$H,'ELC TECH'!AN:AN)="",1,_xlfn.XLOOKUP($B143,'ELC TECH'!$H:$H,'ELC TECH'!AN:AN)))</f>
        <v>0.49272803488826677</v>
      </c>
      <c r="N143" s="12">
        <f>IF(_xlfn.XLOOKUP($B143,'ELC TECH'!$H:$H,'ELC TECH'!$E:$E)="Storage","",IF(_xlfn.XLOOKUP($B143,'ELC TECH'!$H:$H,'ELC TECH'!AO:AO)="",1,_xlfn.XLOOKUP($B143,'ELC TECH'!$H:$H,'ELC TECH'!AO:AO)))</f>
        <v>0.49272803488826677</v>
      </c>
      <c r="O143" s="12">
        <f>IF(_xlfn.XLOOKUP($B143,'ELC TECH'!$H:$H,'ELC TECH'!$E:$E)="Storage","",IF(_xlfn.XLOOKUP($B143,'ELC TECH'!$H:$H,'ELC TECH'!AP:AP)="",1,_xlfn.XLOOKUP($B143,'ELC TECH'!$H:$H,'ELC TECH'!AP:AP)))</f>
        <v>0.49272803488826677</v>
      </c>
      <c r="P143" s="12">
        <f>IF(_xlfn.XLOOKUP($B143,'ELC TECH'!$H:$H,'ELC TECH'!$E:$E)="Storage","",IF(_xlfn.XLOOKUP($B143,'ELC TECH'!$H:$H,'ELC TECH'!AQ:AQ)="",1,_xlfn.XLOOKUP($B143,'ELC TECH'!$H:$H,'ELC TECH'!AQ:AQ)))</f>
        <v>0.49272803488826677</v>
      </c>
      <c r="Q143" s="12">
        <f>IF(_xlfn.XLOOKUP($B143,'ELC TECH'!$H:$H,'ELC TECH'!$E:$E)="Storage","",IF(_xlfn.XLOOKUP($B143,'ELC TECH'!$H:$H,'ELC TECH'!AR:AR)="",1,_xlfn.XLOOKUP($B143,'ELC TECH'!$H:$H,'ELC TECH'!AR:AR)))</f>
        <v>0.49272803488826677</v>
      </c>
      <c r="R143" s="12" t="str">
        <f>IF(_xlfn.XLOOKUP($B143,'ELC TECH'!$H:$H,'ELC TECH'!$E:$E)&lt;&gt;"Storage","",IF(_xlfn.XLOOKUP($B143,'ELC TECH'!$H:$H,'ELC TECH'!AK:AK)="",0.8,_xlfn.XLOOKUP($B143,'ELC TECH'!$H:$H,'ELC TECH'!AK:AK)))</f>
        <v/>
      </c>
      <c r="S143" s="12" t="str">
        <f>IF(_xlfn.XLOOKUP($B143,'ELC TECH'!$H:$H,'ELC TECH'!$E:$E)&lt;&gt;"Storage","",IF(_xlfn.XLOOKUP($B143,'ELC TECH'!$H:$H,'ELC TECH'!AL:AL)="",0.8,_xlfn.XLOOKUP($B143,'ELC TECH'!$H:$H,'ELC TECH'!AL:AL)))</f>
        <v/>
      </c>
      <c r="T143" s="12" t="str">
        <f>IF(_xlfn.XLOOKUP($B143,'ELC TECH'!$H:$H,'ELC TECH'!$E:$E)&lt;&gt;"Storage","",IF(_xlfn.XLOOKUP($B143,'ELC TECH'!$H:$H,'ELC TECH'!AM:AM)="",0.8,_xlfn.XLOOKUP($B143,'ELC TECH'!$H:$H,'ELC TECH'!AM:AM)))</f>
        <v/>
      </c>
      <c r="U143" s="12" t="str">
        <f>IF(_xlfn.XLOOKUP($B143,'ELC TECH'!$H:$H,'ELC TECH'!$E:$E)&lt;&gt;"Storage","",IF(_xlfn.XLOOKUP($B143,'ELC TECH'!$H:$H,'ELC TECH'!AN:AN)="",0.8,_xlfn.XLOOKUP($B143,'ELC TECH'!$H:$H,'ELC TECH'!AN:AN)))</f>
        <v/>
      </c>
      <c r="V143" s="12" t="str">
        <f>IF(_xlfn.XLOOKUP($B143,'ELC TECH'!$H:$H,'ELC TECH'!$E:$E)&lt;&gt;"Storage","",IF(_xlfn.XLOOKUP($B143,'ELC TECH'!$H:$H,'ELC TECH'!AO:AO)="",0.8,_xlfn.XLOOKUP($B143,'ELC TECH'!$H:$H,'ELC TECH'!AO:AO)))</f>
        <v/>
      </c>
      <c r="W143" s="12" t="str">
        <f>IF(_xlfn.XLOOKUP($B143,'ELC TECH'!$H:$H,'ELC TECH'!$E:$E)&lt;&gt;"Storage","",IF(_xlfn.XLOOKUP($B143,'ELC TECH'!$H:$H,'ELC TECH'!AP:AP)="",0.8,_xlfn.XLOOKUP($B143,'ELC TECH'!$H:$H,'ELC TECH'!AP:AP)))</f>
        <v/>
      </c>
      <c r="X143" s="12" t="str">
        <f>IF(_xlfn.XLOOKUP($B143,'ELC TECH'!$H:$H,'ELC TECH'!$E:$E)&lt;&gt;"Storage","",IF(_xlfn.XLOOKUP($B143,'ELC TECH'!$H:$H,'ELC TECH'!AQ:AQ)="",0.8,_xlfn.XLOOKUP($B143,'ELC TECH'!$H:$H,'ELC TECH'!AQ:AQ)))</f>
        <v/>
      </c>
      <c r="Y143" s="12" t="str">
        <f>IF(_xlfn.XLOOKUP($B143,'ELC TECH'!$H:$H,'ELC TECH'!$E:$E)&lt;&gt;"Storage","",IF(_xlfn.XLOOKUP($B143,'ELC TECH'!$H:$H,'ELC TECH'!AR:AR)="",0.8,_xlfn.XLOOKUP($B143,'ELC TECH'!$H:$H,'ELC TECH'!AR:AR)))</f>
        <v/>
      </c>
      <c r="Z143" s="15">
        <f>_xlfn.XLOOKUP($B143,'ELC TECH'!$H:$H,'ELC TECH'!M:M)</f>
        <v>1280.8188625619589</v>
      </c>
      <c r="AA143" s="15">
        <f>_xlfn.XLOOKUP($B143,'ELC TECH'!$H:$H,'ELC TECH'!N:N)</f>
        <v>1200.8736929820791</v>
      </c>
      <c r="AB143" s="15">
        <f>_xlfn.XLOOKUP($B143,'ELC TECH'!$H:$H,'ELC TECH'!O:O)</f>
        <v>1067.6694358885859</v>
      </c>
      <c r="AC143" s="15">
        <f>_xlfn.XLOOKUP($B143,'ELC TECH'!$H:$H,'ELC TECH'!P:P)</f>
        <v>934.46517879509395</v>
      </c>
      <c r="AD143" s="15">
        <f>_xlfn.XLOOKUP($B143,'ELC TECH'!$H:$H,'ELC TECH'!Q:Q)</f>
        <v>880.97993804363227</v>
      </c>
      <c r="AE143" s="15">
        <f>_xlfn.XLOOKUP($B143,'ELC TECH'!$H:$H,'ELC TECH'!R:R)</f>
        <v>827.4946972921706</v>
      </c>
      <c r="AF143" s="15">
        <f>_xlfn.XLOOKUP($B143,'ELC TECH'!$H:$H,'ELC TECH'!S:S)</f>
        <v>774.00945654070881</v>
      </c>
      <c r="AG143" s="15">
        <f>_xlfn.XLOOKUP($B143,'ELC TECH'!$H:$H,'ELC TECH'!T:T)</f>
        <v>774.00945654070881</v>
      </c>
      <c r="AH143" s="15">
        <f>_xlfn.XLOOKUP($B143,'ELC TECH'!$H:$H,'ELC TECH'!U:U)</f>
        <v>69.315967400942952</v>
      </c>
      <c r="AI143" s="15">
        <f>_xlfn.XLOOKUP($B143,'ELC TECH'!$H:$H,'ELC TECH'!V:V)</f>
        <v>67.054435022445631</v>
      </c>
      <c r="AJ143" s="15">
        <f>_xlfn.XLOOKUP($B143,'ELC TECH'!$H:$H,'ELC TECH'!W:W)</f>
        <v>63.209829979000183</v>
      </c>
      <c r="AK143" s="15">
        <f>_xlfn.XLOOKUP($B143,'ELC TECH'!$H:$H,'ELC TECH'!X:X)</f>
        <v>59.365224935554743</v>
      </c>
      <c r="AL143" s="15">
        <f>_xlfn.XLOOKUP($B143,'ELC TECH'!$H:$H,'ELC TECH'!Y:Y)</f>
        <v>56.425232843508212</v>
      </c>
      <c r="AM143" s="15">
        <f>_xlfn.XLOOKUP($B143,'ELC TECH'!$H:$H,'ELC TECH'!Z:Z)</f>
        <v>53.598317370386553</v>
      </c>
      <c r="AN143" s="15">
        <f>_xlfn.XLOOKUP($B143,'ELC TECH'!$H:$H,'ELC TECH'!AA:AA)</f>
        <v>50.658325278340037</v>
      </c>
      <c r="AO143" s="15">
        <f>_xlfn.XLOOKUP($B143,'ELC TECH'!$H:$H,'ELC TECH'!AB:AB)</f>
        <v>50.658325278340037</v>
      </c>
      <c r="AP143" s="15">
        <f>_xlfn.XLOOKUP($B143,'ELC TECH'!$H:$H,'ELC TECH'!AC:AC)</f>
        <v>1.4165987537531839</v>
      </c>
      <c r="AQ143" s="15">
        <f>_xlfn.XLOOKUP($B143,'ELC TECH'!$H:$H,'ELC TECH'!AD:AD)</f>
        <v>1.375765530252538</v>
      </c>
      <c r="AR143" s="15">
        <f>_xlfn.XLOOKUP($B143,'ELC TECH'!$H:$H,'ELC TECH'!AE:AE)</f>
        <v>1.3098041692130331</v>
      </c>
      <c r="AS143" s="15">
        <f>_xlfn.XLOOKUP($B143,'ELC TECH'!$H:$H,'ELC TECH'!AF:AF)</f>
        <v>1.2407017909811699</v>
      </c>
      <c r="AT143" s="15">
        <f>_xlfn.XLOOKUP($B143,'ELC TECH'!$H:$H,'ELC TECH'!AG:AG)</f>
        <v>1.1998685674805241</v>
      </c>
      <c r="AU143" s="15">
        <f>_xlfn.XLOOKUP($B143,'ELC TECH'!$H:$H,'ELC TECH'!AH:AH)</f>
        <v>1.159035343979878</v>
      </c>
      <c r="AV143" s="15">
        <f>_xlfn.XLOOKUP($B143,'ELC TECH'!$H:$H,'ELC TECH'!AI:AI)</f>
        <v>1.1182021204792321</v>
      </c>
      <c r="AW143" s="15">
        <f>_xlfn.XLOOKUP($B143,'ELC TECH'!$H:$H,'ELC TECH'!AJ:AJ)</f>
        <v>1.1182021204792321</v>
      </c>
      <c r="AX143" s="12">
        <f>IF(_xlfn.XLOOKUP($B143,'ELC TECH'!$H:$H,'ELC TECH'!$E:$E)="Storage","",_xlfn.XLOOKUP($B143,'ELC TECH'!$H:$H,'ELC TECH'!AS:AS))</f>
        <v>0.9</v>
      </c>
      <c r="AY143" s="12">
        <f>IF(_xlfn.XLOOKUP($B143,'ELC TECH'!$H:$H,'ELC TECH'!$E:$E)="Storage","",_xlfn.XLOOKUP($B143,'ELC TECH'!$H:$H,'ELC TECH'!AT:AT))</f>
        <v>0.9</v>
      </c>
      <c r="AZ143" s="12">
        <f>IF(_xlfn.XLOOKUP($B143,'ELC TECH'!$H:$H,'ELC TECH'!$E:$E)="Storage","",_xlfn.XLOOKUP($B143,'ELC TECH'!$H:$H,'ELC TECH'!AU:AU))</f>
        <v>0.9</v>
      </c>
      <c r="BA143" s="12">
        <f>IF(_xlfn.XLOOKUP($B143,'ELC TECH'!$H:$H,'ELC TECH'!$E:$E)="Storage","",_xlfn.XLOOKUP($B143,'ELC TECH'!$H:$H,'ELC TECH'!AV:AV))</f>
        <v>0.9</v>
      </c>
      <c r="BB143" s="12">
        <f>IF(_xlfn.XLOOKUP($B143,'ELC TECH'!$H:$H,'ELC TECH'!$E:$E)="Storage","",_xlfn.XLOOKUP($B143,'ELC TECH'!$H:$H,'ELC TECH'!AW:AW))</f>
        <v>0.9</v>
      </c>
      <c r="BC143" s="12">
        <f>IF(_xlfn.XLOOKUP($B143,'ELC TECH'!$H:$H,'ELC TECH'!$E:$E)="Storage","",_xlfn.XLOOKUP($B143,'ELC TECH'!$H:$H,'ELC TECH'!AX:AX))</f>
        <v>0.9</v>
      </c>
      <c r="BD143" s="12">
        <f>IF(_xlfn.XLOOKUP($B143,'ELC TECH'!$H:$H,'ELC TECH'!$E:$E)="Storage","",_xlfn.XLOOKUP($B143,'ELC TECH'!$H:$H,'ELC TECH'!AY:AY))</f>
        <v>0.9</v>
      </c>
      <c r="BE143" s="12">
        <f>IF(_xlfn.XLOOKUP($B143,'ELC TECH'!$H:$H,'ELC TECH'!$E:$E)="Storage","",_xlfn.XLOOKUP($B143,'ELC TECH'!$H:$H,'ELC TECH'!AZ:AZ))</f>
        <v>0.9</v>
      </c>
      <c r="BF143" s="12" t="str">
        <f>IF(_xlfn.XLOOKUP($B143,'ELC TECH'!$H:$H,'ELC TECH'!$E:$E)="Storage",_xlfn.XLOOKUP($B143,'ELC TECH'!$H:$H,'ELC TECH'!AS:AS),"")</f>
        <v/>
      </c>
      <c r="BG143" s="12" t="str">
        <f>IF(_xlfn.XLOOKUP($B143,'ELC TECH'!$H:$H,'ELC TECH'!$E:$E)="Storage",_xlfn.XLOOKUP($B143,'ELC TECH'!$H:$H,'ELC TECH'!AT:AT),"")</f>
        <v/>
      </c>
      <c r="BH143" s="12" t="str">
        <f>IF(_xlfn.XLOOKUP($B143,'ELC TECH'!$H:$H,'ELC TECH'!$E:$E)="Storage",_xlfn.XLOOKUP($B143,'ELC TECH'!$H:$H,'ELC TECH'!AU:AU),"")</f>
        <v/>
      </c>
      <c r="BI143" s="12" t="str">
        <f>IF(_xlfn.XLOOKUP($B143,'ELC TECH'!$H:$H,'ELC TECH'!$E:$E)="Storage",_xlfn.XLOOKUP($B143,'ELC TECH'!$H:$H,'ELC TECH'!AV:AV),"")</f>
        <v/>
      </c>
      <c r="BJ143" s="12" t="str">
        <f>IF(_xlfn.XLOOKUP($B143,'ELC TECH'!$H:$H,'ELC TECH'!$E:$E)="Storage",_xlfn.XLOOKUP($B143,'ELC TECH'!$H:$H,'ELC TECH'!AW:AW),"")</f>
        <v/>
      </c>
      <c r="BK143" s="12" t="str">
        <f>IF(_xlfn.XLOOKUP($B143,'ELC TECH'!$H:$H,'ELC TECH'!$E:$E)="Storage",_xlfn.XLOOKUP($B143,'ELC TECH'!$H:$H,'ELC TECH'!AX:AX),"")</f>
        <v/>
      </c>
      <c r="BL143" s="12" t="str">
        <f>IF(_xlfn.XLOOKUP($B143,'ELC TECH'!$H:$H,'ELC TECH'!$E:$E)="Storage",_xlfn.XLOOKUP($B143,'ELC TECH'!$H:$H,'ELC TECH'!AY:AY),"")</f>
        <v/>
      </c>
      <c r="BM143" s="12" t="str">
        <f>IF(_xlfn.XLOOKUP($B143,'ELC TECH'!$H:$H,'ELC TECH'!$E:$E)="Storage",_xlfn.XLOOKUP($B143,'ELC TECH'!$H:$H,'ELC TECH'!AZ:AZ),"")</f>
        <v/>
      </c>
      <c r="BN143" s="8" t="str">
        <f>IF(_xlfn.XLOOKUP($B143,'ELC TECH'!$H:$H,'ELC TECH'!$E:$E)="Non Dispatchable",IFERROR($AX143*_xlfn.XLOOKUP($C143,$BM$1:$BM$3,BN$1:BN$3)/SUMPRODUCT(_xlfn.XLOOKUP($C143,$BM$1:$BM$3,$BN$1:$BY$3),$BN$4:$BY$4),""),
"")</f>
        <v/>
      </c>
      <c r="BO143" s="8" t="str">
        <f>IF(_xlfn.XLOOKUP($B143,'ELC TECH'!$H:$H,'ELC TECH'!$E:$E)="Non Dispatchable",IFERROR($AX143*_xlfn.XLOOKUP($C143,$BM$1:$BM$3,BO$1:BO$3)/SUMPRODUCT(_xlfn.XLOOKUP($C143,$BM$1:$BM$3,$BN$1:$BY$3),$BN$4:$BY$4),""),
"")</f>
        <v/>
      </c>
      <c r="BP143" s="8" t="str">
        <f>IF(_xlfn.XLOOKUP($B143,'ELC TECH'!$H:$H,'ELC TECH'!$E:$E)="Non Dispatchable",IFERROR($AX143*_xlfn.XLOOKUP($C143,$BM$1:$BM$3,BP$1:BP$3)/SUMPRODUCT(_xlfn.XLOOKUP($C143,$BM$1:$BM$3,$BN$1:$BY$3),$BN$4:$BY$4),""),
"")</f>
        <v/>
      </c>
      <c r="BQ143" s="8" t="str">
        <f>IF(_xlfn.XLOOKUP($B143,'ELC TECH'!$H:$H,'ELC TECH'!$E:$E)="Non Dispatchable",IFERROR($AX143*_xlfn.XLOOKUP($C143,$BM$1:$BM$3,BQ$1:BQ$3)/SUMPRODUCT(_xlfn.XLOOKUP($C143,$BM$1:$BM$3,$BN$1:$BY$3),$BN$4:$BY$4),""),
"")</f>
        <v/>
      </c>
      <c r="BR143" s="8" t="str">
        <f>IF(_xlfn.XLOOKUP($B143,'ELC TECH'!$H:$H,'ELC TECH'!$E:$E)="Non Dispatchable",IFERROR($AX143*_xlfn.XLOOKUP($C143,$BM$1:$BM$3,BR$1:BR$3)/SUMPRODUCT(_xlfn.XLOOKUP($C143,$BM$1:$BM$3,$BN$1:$BY$3),$BN$4:$BY$4),""),
"")</f>
        <v/>
      </c>
      <c r="BS143" s="8" t="str">
        <f>IF(_xlfn.XLOOKUP($B143,'ELC TECH'!$H:$H,'ELC TECH'!$E:$E)="Non Dispatchable",IFERROR($AX143*_xlfn.XLOOKUP($C143,$BM$1:$BM$3,BS$1:BS$3)/SUMPRODUCT(_xlfn.XLOOKUP($C143,$BM$1:$BM$3,$BN$1:$BY$3),$BN$4:$BY$4),""),
"")</f>
        <v/>
      </c>
      <c r="BT143" s="8" t="str">
        <f>IF(_xlfn.XLOOKUP($B143,'ELC TECH'!$H:$H,'ELC TECH'!$E:$E)="Non Dispatchable",IFERROR($AX143*_xlfn.XLOOKUP($C143,$BM$1:$BM$3,BT$1:BT$3)/SUMPRODUCT(_xlfn.XLOOKUP($C143,$BM$1:$BM$3,$BN$1:$BY$3),$BN$4:$BY$4),""),
"")</f>
        <v/>
      </c>
      <c r="BU143" s="8" t="str">
        <f>IF(_xlfn.XLOOKUP($B143,'ELC TECH'!$H:$H,'ELC TECH'!$E:$E)="Non Dispatchable",IFERROR($AX143*_xlfn.XLOOKUP($C143,$BM$1:$BM$3,BU$1:BU$3)/SUMPRODUCT(_xlfn.XLOOKUP($C143,$BM$1:$BM$3,$BN$1:$BY$3),$BN$4:$BY$4),""),
"")</f>
        <v/>
      </c>
      <c r="BV143" s="8" t="str">
        <f>IF(_xlfn.XLOOKUP($B143,'ELC TECH'!$H:$H,'ELC TECH'!$E:$E)="Non Dispatchable",IFERROR($AX143*_xlfn.XLOOKUP($C143,$BM$1:$BM$3,BV$1:BV$3)/SUMPRODUCT(_xlfn.XLOOKUP($C143,$BM$1:$BM$3,$BN$1:$BY$3),$BN$4:$BY$4),""),
"")</f>
        <v/>
      </c>
      <c r="BW143" s="8" t="str">
        <f>IF(_xlfn.XLOOKUP($B143,'ELC TECH'!$H:$H,'ELC TECH'!$E:$E)="Non Dispatchable",IFERROR($AX143*_xlfn.XLOOKUP($C143,$BM$1:$BM$3,BW$1:BW$3)/SUMPRODUCT(_xlfn.XLOOKUP($C143,$BM$1:$BM$3,$BN$1:$BY$3),$BN$4:$BY$4),""),
"")</f>
        <v/>
      </c>
      <c r="BX143" s="8" t="str">
        <f>IF(_xlfn.XLOOKUP($B143,'ELC TECH'!$H:$H,'ELC TECH'!$E:$E)="Non Dispatchable",IFERROR($AX143*_xlfn.XLOOKUP($C143,$BM$1:$BM$3,BX$1:BX$3)/SUMPRODUCT(_xlfn.XLOOKUP($C143,$BM$1:$BM$3,$BN$1:$BY$3),$BN$4:$BY$4),""),
"")</f>
        <v/>
      </c>
      <c r="BY143" s="8" t="str">
        <f>IF(_xlfn.XLOOKUP($B143,'ELC TECH'!$H:$H,'ELC TECH'!$E:$E)="Non Dispatchable",IFERROR($AX143*_xlfn.XLOOKUP($C143,$BM$1:$BM$3,BY$1:BY$3)/SUMPRODUCT(_xlfn.XLOOKUP($C143,$BM$1:$BM$3,$BN$1:$BY$3),$BN$4:$BY$4),""),
"")</f>
        <v/>
      </c>
      <c r="BZ143" s="8" t="str">
        <f>IF(_xlfn.XLOOKUP($B143,'ELC TECH'!$H:$H,'ELC TECH'!$E:$E)="Non Dispatchable",IFERROR($AX143*_xlfn.XLOOKUP($C143,$BM$1:$BM$3,BZ$1:BZ$3)/SUMPRODUCT(_xlfn.XLOOKUP($C143,$BM$1:$BM$3,$BN$1:$BY$3),$BN$4:$BY$4),""),
"")</f>
        <v/>
      </c>
      <c r="CA143" s="8" t="str">
        <f>IF(_xlfn.XLOOKUP($B143,'ELC TECH'!$H:$H,'ELC TECH'!$E:$E)="Non Dispatchable",IFERROR($AX143*_xlfn.XLOOKUP($C143,$BM$1:$BM$3,CA$1:CA$3)/SUMPRODUCT(_xlfn.XLOOKUP($C143,$BM$1:$BM$3,$BN$1:$BY$3),$BN$4:$BY$4),""),
"")</f>
        <v/>
      </c>
      <c r="CB143" s="8" t="str">
        <f>IF(_xlfn.XLOOKUP($B143,'ELC TECH'!$H:$H,'ELC TECH'!$E:$E)="Non Dispatchable",IFERROR($AX143*_xlfn.XLOOKUP($C143,$BM$1:$BM$3,CB$1:CB$3)/SUMPRODUCT(_xlfn.XLOOKUP($C143,$BM$1:$BM$3,$BN$1:$BY$3),$BN$4:$BY$4),""),
"")</f>
        <v/>
      </c>
      <c r="CC143" s="8" t="str">
        <f>IF(_xlfn.XLOOKUP($B143,'ELC TECH'!$H:$H,'ELC TECH'!$E:$E)="Non Dispatchable",IFERROR($AX143*_xlfn.XLOOKUP($C143,$BM$1:$BM$3,CC$1:CC$3)/SUMPRODUCT(_xlfn.XLOOKUP($C143,$BM$1:$BM$3,$BN$1:$BY$3),$BN$4:$BY$4),""),
"")</f>
        <v/>
      </c>
      <c r="CD143" s="8" t="str">
        <f>IF(_xlfn.XLOOKUP($B143,'ELC TECH'!$H:$H,'ELC TECH'!$E:$E)="Non Dispatchable",IFERROR($AX143*_xlfn.XLOOKUP($C143,$BM$1:$BM$3,CD$1:CD$3)/SUMPRODUCT(_xlfn.XLOOKUP($C143,$BM$1:$BM$3,$BN$1:$BY$3),$BN$4:$BY$4),""),
"")</f>
        <v/>
      </c>
      <c r="CE143" s="8" t="str">
        <f>IF(_xlfn.XLOOKUP($B143,'ELC TECH'!$H:$H,'ELC TECH'!$E:$E)="Non Dispatchable",IFERROR($AX143*_xlfn.XLOOKUP($C143,$BM$1:$BM$3,CE$1:CE$3)/SUMPRODUCT(_xlfn.XLOOKUP($C143,$BM$1:$BM$3,$BN$1:$BY$3),$BN$4:$BY$4),""),
"")</f>
        <v/>
      </c>
      <c r="CF143" s="8" t="str">
        <f>IF(_xlfn.XLOOKUP($B143,'ELC TECH'!$H:$H,'ELC TECH'!$E:$E)="Non Dispatchable",IFERROR($AX143*_xlfn.XLOOKUP($C143,$BM$1:$BM$3,CF$1:CF$3)/SUMPRODUCT(_xlfn.XLOOKUP($C143,$BM$1:$BM$3,$BN$1:$BY$3),$BN$4:$BY$4),""),
"")</f>
        <v/>
      </c>
      <c r="CG143" s="8" t="str">
        <f>IF(_xlfn.XLOOKUP($B143,'ELC TECH'!$H:$H,'ELC TECH'!$E:$E)="Non Dispatchable",IFERROR($AX143*_xlfn.XLOOKUP($C143,$BM$1:$BM$3,CG$1:CG$3)/SUMPRODUCT(_xlfn.XLOOKUP($C143,$BM$1:$BM$3,$BN$1:$BY$3),$BN$4:$BY$4),""),
"")</f>
        <v/>
      </c>
      <c r="CH143" s="8" t="str">
        <f>IF(_xlfn.XLOOKUP($B143,'ELC TECH'!$H:$H,'ELC TECH'!$E:$E)="Non Dispatchable",IFERROR($AX143*_xlfn.XLOOKUP($C143,$BM$1:$BM$3,CH$1:CH$3)/SUMPRODUCT(_xlfn.XLOOKUP($C143,$BM$1:$BM$3,$BN$1:$BY$3),$BN$4:$BY$4),""),
"")</f>
        <v/>
      </c>
      <c r="CI143" s="8" t="str">
        <f>IF(_xlfn.XLOOKUP($B143,'ELC TECH'!$H:$H,'ELC TECH'!$E:$E)="Non Dispatchable",IFERROR($AX143*_xlfn.XLOOKUP($C143,$BM$1:$BM$3,CI$1:CI$3)/SUMPRODUCT(_xlfn.XLOOKUP($C143,$BM$1:$BM$3,$BN$1:$BY$3),$BN$4:$BY$4),""),
"")</f>
        <v/>
      </c>
      <c r="CJ143" s="8" t="str">
        <f>IF(_xlfn.XLOOKUP($B143,'ELC TECH'!$H:$H,'ELC TECH'!$E:$E)="Non Dispatchable",IFERROR($AX143*_xlfn.XLOOKUP($C143,$BM$1:$BM$3,CJ$1:CJ$3)/SUMPRODUCT(_xlfn.XLOOKUP($C143,$BM$1:$BM$3,$BN$1:$BY$3),$BN$4:$BY$4),""),
"")</f>
        <v/>
      </c>
      <c r="CK143" s="8" t="str">
        <f>IF(_xlfn.XLOOKUP($B143,'ELC TECH'!$H:$H,'ELC TECH'!$E:$E)="Non Dispatchable",IFERROR($AX143*_xlfn.XLOOKUP($C143,$BM$1:$BM$3,CK$1:CK$3)/SUMPRODUCT(_xlfn.XLOOKUP($C143,$BM$1:$BM$3,$BN$1:$BY$3),$BN$4:$BY$4),""),
"")</f>
        <v/>
      </c>
      <c r="CL143" s="8" t="str">
        <f>IF(_xlfn.XLOOKUP($B143,'ELC TECH'!$H:$H,'ELC TECH'!$E:$E)="Storage",CL$4*$BF143,"")</f>
        <v/>
      </c>
      <c r="CM143" s="8" t="str">
        <f>IF(_xlfn.XLOOKUP($B143,'ELC TECH'!$H:$H,'ELC TECH'!$E:$E)="Storage",CM$4*$BF143,"")</f>
        <v/>
      </c>
      <c r="CN143" s="8" t="str">
        <f>IF(_xlfn.XLOOKUP($B143,'ELC TECH'!$H:$H,'ELC TECH'!$E:$E)="Storage",CN$4*$BF143,"")</f>
        <v/>
      </c>
      <c r="CO143" s="8" t="str">
        <f>IF(_xlfn.XLOOKUP($B143,'ELC TECH'!$H:$H,'ELC TECH'!$E:$E)="Storage",CO$4*$BF143,"")</f>
        <v/>
      </c>
      <c r="CP143" s="8" t="str">
        <f>IF(_xlfn.XLOOKUP($B143,'ELC TECH'!$H:$H,'ELC TECH'!$E:$E)="Storage",CP$4*$BF143,"")</f>
        <v/>
      </c>
      <c r="CQ143" s="8" t="str">
        <f>IF(_xlfn.XLOOKUP($B143,'ELC TECH'!$H:$H,'ELC TECH'!$E:$E)="Storage",CQ$4*$BF143,"")</f>
        <v/>
      </c>
      <c r="CR143" s="8" t="str">
        <f>IF(_xlfn.XLOOKUP($B143,'ELC TECH'!$H:$H,'ELC TECH'!$E:$E)="Storage",CR$4*$BF143,"")</f>
        <v/>
      </c>
      <c r="CS143" s="8" t="str">
        <f>IF(_xlfn.XLOOKUP($B143,'ELC TECH'!$H:$H,'ELC TECH'!$E:$E)="Storage",CS$4*$BF143,"")</f>
        <v/>
      </c>
      <c r="CT143" s="8" t="str">
        <f>IF(_xlfn.XLOOKUP($B143,'ELC TECH'!$H:$H,'ELC TECH'!$E:$E)="Storage",CT$4*$BF143,"")</f>
        <v/>
      </c>
      <c r="CU143" s="8" t="str">
        <f>IF(_xlfn.XLOOKUP($B143,'ELC TECH'!$H:$H,'ELC TECH'!$E:$E)="Storage",CU$4*$BF143,"")</f>
        <v/>
      </c>
      <c r="CV143" s="8" t="str">
        <f>IF(_xlfn.XLOOKUP($B143,'ELC TECH'!$H:$H,'ELC TECH'!$E:$E)="Storage",CV$4*$BF143,"")</f>
        <v/>
      </c>
      <c r="CW143" s="8" t="str">
        <f>IF(_xlfn.XLOOKUP($B143,'ELC TECH'!$H:$H,'ELC TECH'!$E:$E)="Storage",CW$4*$BF143,"")</f>
        <v/>
      </c>
      <c r="CX143" s="8" t="str">
        <f>IF(_xlfn.XLOOKUP($B143,'ELC TECH'!$H:$H,'ELC TECH'!$E:$E)="Storage",CX$4*$BF143,"")</f>
        <v/>
      </c>
      <c r="CY143" s="8" t="str">
        <f>IF(_xlfn.XLOOKUP($B143,'ELC TECH'!$H:$H,'ELC TECH'!$E:$E)="Storage",CY$4*$BF143,"")</f>
        <v/>
      </c>
      <c r="CZ143" s="8" t="str">
        <f>IF(_xlfn.XLOOKUP($B143,'ELC TECH'!$H:$H,'ELC TECH'!$E:$E)="Storage",CZ$4*$BF143,"")</f>
        <v/>
      </c>
      <c r="DA143" s="8" t="str">
        <f>IF(_xlfn.XLOOKUP($B143,'ELC TECH'!$H:$H,'ELC TECH'!$E:$E)="Storage",DA$4*$BF143,"")</f>
        <v/>
      </c>
      <c r="DB143" s="8" t="str">
        <f>IF(_xlfn.XLOOKUP($B143,'ELC TECH'!$H:$H,'ELC TECH'!$E:$E)="Storage",DB$4*$BF143,"")</f>
        <v/>
      </c>
      <c r="DC143" s="8" t="str">
        <f>IF(_xlfn.XLOOKUP($B143,'ELC TECH'!$H:$H,'ELC TECH'!$E:$E)="Storage",DC$4*$BF143,"")</f>
        <v/>
      </c>
      <c r="DD143" s="8" t="str">
        <f>IF(_xlfn.XLOOKUP($B143,'ELC TECH'!$H:$H,'ELC TECH'!$E:$E)="Storage",DD$4*$BF143,"")</f>
        <v/>
      </c>
      <c r="DE143" s="8" t="str">
        <f>IF(_xlfn.XLOOKUP($B143,'ELC TECH'!$H:$H,'ELC TECH'!$E:$E)="Storage",DE$4*$BF143,"")</f>
        <v/>
      </c>
      <c r="DF143" s="8" t="str">
        <f>IF(_xlfn.XLOOKUP($B143,'ELC TECH'!$H:$H,'ELC TECH'!$E:$E)="Storage",DF$4*$BF143,"")</f>
        <v/>
      </c>
      <c r="DG143" s="8" t="str">
        <f>IF(_xlfn.XLOOKUP($B143,'ELC TECH'!$H:$H,'ELC TECH'!$E:$E)="Storage",DG$4*$BF143,"")</f>
        <v/>
      </c>
      <c r="DH143" s="8" t="str">
        <f>IF(_xlfn.XLOOKUP($B143,'ELC TECH'!$H:$H,'ELC TECH'!$E:$E)="Storage",DH$4*$BF143,"")</f>
        <v/>
      </c>
      <c r="DI143" s="8" t="str">
        <f>IF(_xlfn.XLOOKUP($B143,'ELC TECH'!$H:$H,'ELC TECH'!$E:$E)="Storage",DI$4*$BF143,"")</f>
        <v/>
      </c>
    </row>
    <row r="144" spans="2:113" x14ac:dyDescent="0.25">
      <c r="B144" t="str">
        <f>IF('ELC TECH'!I137=0,"*",'ELC TECH'!H137)</f>
        <v>ELCWNDDCECDWC1020</v>
      </c>
      <c r="C144" t="str">
        <f>IF(_xlfn.XLOOKUP(_xlfn.XLOOKUP(B144,'ELC TECH'!$H:$H,'ELC TECH'!$G:$G),List!C:C,List!B:B)="STG",D144,"ELC"&amp;_xlfn.XLOOKUP(_xlfn.XLOOKUP(B144,'ELC TECH'!H:H,'ELC TECH'!G:G),List!C:C,List!B:B))</f>
        <v>ELCWND</v>
      </c>
      <c r="D144" t="s">
        <v>544</v>
      </c>
      <c r="E144">
        <f>_xlfn.XLOOKUP(B144,'ELC TECH'!H:H,'ELC TECH'!D:D)</f>
        <v>2020</v>
      </c>
      <c r="F144">
        <f>_xlfn.XLOOKUP(B144,'ELC TECH'!H:H,'ELC TECH'!K:K)</f>
        <v>30</v>
      </c>
      <c r="G144">
        <f t="shared" si="8"/>
        <v>31.535999999999998</v>
      </c>
      <c r="H144">
        <f>IF(_xlfn.XLOOKUP(B144,'ELC TECH'!$H:$H,'ELC TECH'!$E:$E)="Storage",0.3,IF(_xlfn.XLOOKUP(B144,'ELC TECH'!$H:$H,'ELC TECH'!$E:$E)="Baseload",0.9,IF(_xlfn.XLOOKUP(B144,'ELC TECH'!$H:$H,'ELC TECH'!$E:$E)="Non Dispatchable",0.05,IF(_xlfn.XLOOKUP(B144,'ELC TECH'!$H:$H,'ELC TECH'!$E:$E)="Dispatchable",0.9,1))))</f>
        <v>0.05</v>
      </c>
      <c r="I144" s="13">
        <f>IF(_xlfn.XLOOKUP(B144,'ELC TECH'!H:H,'ELC TECH'!J:J)="","",_xlfn.XLOOKUP(B144,'ELC TECH'!H:H,'ELC TECH'!J:J))</f>
        <v>233.39318333333341</v>
      </c>
      <c r="J144" s="12">
        <f>IF(_xlfn.XLOOKUP($B144,'ELC TECH'!$H:$H,'ELC TECH'!$E:$E)="Storage","",IF(_xlfn.XLOOKUP($B144,'ELC TECH'!$H:$H,'ELC TECH'!AK:AK)="",1,_xlfn.XLOOKUP($B144,'ELC TECH'!$H:$H,'ELC TECH'!AK:AK)))</f>
        <v>1</v>
      </c>
      <c r="K144" s="12">
        <f>IF(_xlfn.XLOOKUP($B144,'ELC TECH'!$H:$H,'ELC TECH'!$E:$E)="Storage","",IF(_xlfn.XLOOKUP($B144,'ELC TECH'!$H:$H,'ELC TECH'!AL:AL)="",1,_xlfn.XLOOKUP($B144,'ELC TECH'!$H:$H,'ELC TECH'!AL:AL)))</f>
        <v>1</v>
      </c>
      <c r="L144" s="12">
        <f>IF(_xlfn.XLOOKUP($B144,'ELC TECH'!$H:$H,'ELC TECH'!$E:$E)="Storage","",IF(_xlfn.XLOOKUP($B144,'ELC TECH'!$H:$H,'ELC TECH'!AM:AM)="",1,_xlfn.XLOOKUP($B144,'ELC TECH'!$H:$H,'ELC TECH'!AM:AM)))</f>
        <v>1</v>
      </c>
      <c r="M144" s="12">
        <f>IF(_xlfn.XLOOKUP($B144,'ELC TECH'!$H:$H,'ELC TECH'!$E:$E)="Storage","",IF(_xlfn.XLOOKUP($B144,'ELC TECH'!$H:$H,'ELC TECH'!AN:AN)="",1,_xlfn.XLOOKUP($B144,'ELC TECH'!$H:$H,'ELC TECH'!AN:AN)))</f>
        <v>1</v>
      </c>
      <c r="N144" s="12">
        <f>IF(_xlfn.XLOOKUP($B144,'ELC TECH'!$H:$H,'ELC TECH'!$E:$E)="Storage","",IF(_xlfn.XLOOKUP($B144,'ELC TECH'!$H:$H,'ELC TECH'!AO:AO)="",1,_xlfn.XLOOKUP($B144,'ELC TECH'!$H:$H,'ELC TECH'!AO:AO)))</f>
        <v>1</v>
      </c>
      <c r="O144" s="12">
        <f>IF(_xlfn.XLOOKUP($B144,'ELC TECH'!$H:$H,'ELC TECH'!$E:$E)="Storage","",IF(_xlfn.XLOOKUP($B144,'ELC TECH'!$H:$H,'ELC TECH'!AP:AP)="",1,_xlfn.XLOOKUP($B144,'ELC TECH'!$H:$H,'ELC TECH'!AP:AP)))</f>
        <v>1</v>
      </c>
      <c r="P144" s="12">
        <f>IF(_xlfn.XLOOKUP($B144,'ELC TECH'!$H:$H,'ELC TECH'!$E:$E)="Storage","",IF(_xlfn.XLOOKUP($B144,'ELC TECH'!$H:$H,'ELC TECH'!AQ:AQ)="",1,_xlfn.XLOOKUP($B144,'ELC TECH'!$H:$H,'ELC TECH'!AQ:AQ)))</f>
        <v>1</v>
      </c>
      <c r="Q144" s="12">
        <f>IF(_xlfn.XLOOKUP($B144,'ELC TECH'!$H:$H,'ELC TECH'!$E:$E)="Storage","",IF(_xlfn.XLOOKUP($B144,'ELC TECH'!$H:$H,'ELC TECH'!AR:AR)="",1,_xlfn.XLOOKUP($B144,'ELC TECH'!$H:$H,'ELC TECH'!AR:AR)))</f>
        <v>1</v>
      </c>
      <c r="R144" s="12" t="str">
        <f>IF(_xlfn.XLOOKUP($B144,'ELC TECH'!$H:$H,'ELC TECH'!$E:$E)&lt;&gt;"Storage","",IF(_xlfn.XLOOKUP($B144,'ELC TECH'!$H:$H,'ELC TECH'!AK:AK)="",0.8,_xlfn.XLOOKUP($B144,'ELC TECH'!$H:$H,'ELC TECH'!AK:AK)))</f>
        <v/>
      </c>
      <c r="S144" s="12" t="str">
        <f>IF(_xlfn.XLOOKUP($B144,'ELC TECH'!$H:$H,'ELC TECH'!$E:$E)&lt;&gt;"Storage","",IF(_xlfn.XLOOKUP($B144,'ELC TECH'!$H:$H,'ELC TECH'!AL:AL)="",0.8,_xlfn.XLOOKUP($B144,'ELC TECH'!$H:$H,'ELC TECH'!AL:AL)))</f>
        <v/>
      </c>
      <c r="T144" s="12" t="str">
        <f>IF(_xlfn.XLOOKUP($B144,'ELC TECH'!$H:$H,'ELC TECH'!$E:$E)&lt;&gt;"Storage","",IF(_xlfn.XLOOKUP($B144,'ELC TECH'!$H:$H,'ELC TECH'!AM:AM)="",0.8,_xlfn.XLOOKUP($B144,'ELC TECH'!$H:$H,'ELC TECH'!AM:AM)))</f>
        <v/>
      </c>
      <c r="U144" s="12" t="str">
        <f>IF(_xlfn.XLOOKUP($B144,'ELC TECH'!$H:$H,'ELC TECH'!$E:$E)&lt;&gt;"Storage","",IF(_xlfn.XLOOKUP($B144,'ELC TECH'!$H:$H,'ELC TECH'!AN:AN)="",0.8,_xlfn.XLOOKUP($B144,'ELC TECH'!$H:$H,'ELC TECH'!AN:AN)))</f>
        <v/>
      </c>
      <c r="V144" s="12" t="str">
        <f>IF(_xlfn.XLOOKUP($B144,'ELC TECH'!$H:$H,'ELC TECH'!$E:$E)&lt;&gt;"Storage","",IF(_xlfn.XLOOKUP($B144,'ELC TECH'!$H:$H,'ELC TECH'!AO:AO)="",0.8,_xlfn.XLOOKUP($B144,'ELC TECH'!$H:$H,'ELC TECH'!AO:AO)))</f>
        <v/>
      </c>
      <c r="W144" s="12" t="str">
        <f>IF(_xlfn.XLOOKUP($B144,'ELC TECH'!$H:$H,'ELC TECH'!$E:$E)&lt;&gt;"Storage","",IF(_xlfn.XLOOKUP($B144,'ELC TECH'!$H:$H,'ELC TECH'!AP:AP)="",0.8,_xlfn.XLOOKUP($B144,'ELC TECH'!$H:$H,'ELC TECH'!AP:AP)))</f>
        <v/>
      </c>
      <c r="X144" s="12" t="str">
        <f>IF(_xlfn.XLOOKUP($B144,'ELC TECH'!$H:$H,'ELC TECH'!$E:$E)&lt;&gt;"Storage","",IF(_xlfn.XLOOKUP($B144,'ELC TECH'!$H:$H,'ELC TECH'!AQ:AQ)="",0.8,_xlfn.XLOOKUP($B144,'ELC TECH'!$H:$H,'ELC TECH'!AQ:AQ)))</f>
        <v/>
      </c>
      <c r="Y144" s="12" t="str">
        <f>IF(_xlfn.XLOOKUP($B144,'ELC TECH'!$H:$H,'ELC TECH'!$E:$E)&lt;&gt;"Storage","",IF(_xlfn.XLOOKUP($B144,'ELC TECH'!$H:$H,'ELC TECH'!AR:AR)="",0.8,_xlfn.XLOOKUP($B144,'ELC TECH'!$H:$H,'ELC TECH'!AR:AR)))</f>
        <v/>
      </c>
      <c r="Z144" s="15">
        <f>_xlfn.XLOOKUP($B144,'ELC TECH'!$H:$H,'ELC TECH'!M:M)</f>
        <v>4917.4184525969313</v>
      </c>
      <c r="AA144" s="15">
        <f>_xlfn.XLOOKUP($B144,'ELC TECH'!$H:$H,'ELC TECH'!N:N)</f>
        <v>4821.6848284228936</v>
      </c>
      <c r="AB144" s="15">
        <f>_xlfn.XLOOKUP($B144,'ELC TECH'!$H:$H,'ELC TECH'!O:O)</f>
        <v>2984.1897708938181</v>
      </c>
      <c r="AC144" s="15">
        <f>_xlfn.XLOOKUP($B144,'ELC TECH'!$H:$H,'ELC TECH'!P:P)</f>
        <v>2539.1896953994678</v>
      </c>
      <c r="AD144" s="15">
        <f>_xlfn.XLOOKUP($B144,'ELC TECH'!$H:$H,'ELC TECH'!Q:Q)</f>
        <v>2093.9800186842722</v>
      </c>
      <c r="AE144" s="15">
        <f>_xlfn.XLOOKUP($B144,'ELC TECH'!$H:$H,'ELC TECH'!R:R)</f>
        <v>1896.095935565756</v>
      </c>
      <c r="AF144" s="15">
        <f>_xlfn.XLOOKUP($B144,'ELC TECH'!$H:$H,'ELC TECH'!S:S)</f>
        <v>1698.211852447241</v>
      </c>
      <c r="AG144" s="15">
        <f>_xlfn.XLOOKUP($B144,'ELC TECH'!$H:$H,'ELC TECH'!T:T)</f>
        <v>1698.211852447241</v>
      </c>
      <c r="AH144" s="15">
        <f>_xlfn.XLOOKUP($B144,'ELC TECH'!$H:$H,'ELC TECH'!U:U)</f>
        <v>41.27117929699714</v>
      </c>
      <c r="AI144" s="15">
        <f>_xlfn.XLOOKUP($B144,'ELC TECH'!$H:$H,'ELC TECH'!V:V)</f>
        <v>40.608188464916751</v>
      </c>
      <c r="AJ144" s="15">
        <f>_xlfn.XLOOKUP($B144,'ELC TECH'!$H:$H,'ELC TECH'!W:W)</f>
        <v>39.779449924816397</v>
      </c>
      <c r="AK144" s="15">
        <f>_xlfn.XLOOKUP($B144,'ELC TECH'!$H:$H,'ELC TECH'!X:X)</f>
        <v>39.157896019741258</v>
      </c>
      <c r="AL144" s="15">
        <f>_xlfn.XLOOKUP($B144,'ELC TECH'!$H:$H,'ELC TECH'!Y:Y)</f>
        <v>38.536342114665999</v>
      </c>
      <c r="AM144" s="15">
        <f>_xlfn.XLOOKUP($B144,'ELC TECH'!$H:$H,'ELC TECH'!Z:Z)</f>
        <v>37.914788209590739</v>
      </c>
      <c r="AN144" s="15">
        <f>_xlfn.XLOOKUP($B144,'ELC TECH'!$H:$H,'ELC TECH'!AA:AA)</f>
        <v>37.293234304515479</v>
      </c>
      <c r="AO144" s="15">
        <f>_xlfn.XLOOKUP($B144,'ELC TECH'!$H:$H,'ELC TECH'!AB:AB)</f>
        <v>37.293234304515479</v>
      </c>
      <c r="AP144" s="15">
        <f>_xlfn.XLOOKUP($B144,'ELC TECH'!$H:$H,'ELC TECH'!AC:AC)</f>
        <v>0</v>
      </c>
      <c r="AQ144" s="15">
        <f>_xlfn.XLOOKUP($B144,'ELC TECH'!$H:$H,'ELC TECH'!AD:AD)</f>
        <v>0</v>
      </c>
      <c r="AR144" s="15">
        <f>_xlfn.XLOOKUP($B144,'ELC TECH'!$H:$H,'ELC TECH'!AE:AE)</f>
        <v>0</v>
      </c>
      <c r="AS144" s="15">
        <f>_xlfn.XLOOKUP($B144,'ELC TECH'!$H:$H,'ELC TECH'!AF:AF)</f>
        <v>0</v>
      </c>
      <c r="AT144" s="15">
        <f>_xlfn.XLOOKUP($B144,'ELC TECH'!$H:$H,'ELC TECH'!AG:AG)</f>
        <v>0</v>
      </c>
      <c r="AU144" s="15">
        <f>_xlfn.XLOOKUP($B144,'ELC TECH'!$H:$H,'ELC TECH'!AH:AH)</f>
        <v>0</v>
      </c>
      <c r="AV144" s="15">
        <f>_xlfn.XLOOKUP($B144,'ELC TECH'!$H:$H,'ELC TECH'!AI:AI)</f>
        <v>0</v>
      </c>
      <c r="AW144" s="15">
        <f>_xlfn.XLOOKUP($B144,'ELC TECH'!$H:$H,'ELC TECH'!AJ:AJ)</f>
        <v>0</v>
      </c>
      <c r="AX144" s="12">
        <f>IF(_xlfn.XLOOKUP($B144,'ELC TECH'!$H:$H,'ELC TECH'!$E:$E)="Storage","",_xlfn.XLOOKUP($B144,'ELC TECH'!$H:$H,'ELC TECH'!AS:AS))</f>
        <v>0.1269585</v>
      </c>
      <c r="AY144" s="12">
        <f>IF(_xlfn.XLOOKUP($B144,'ELC TECH'!$H:$H,'ELC TECH'!$E:$E)="Storage","",_xlfn.XLOOKUP($B144,'ELC TECH'!$H:$H,'ELC TECH'!AT:AT))</f>
        <v>0.1691445</v>
      </c>
      <c r="AZ144" s="12">
        <f>IF(_xlfn.XLOOKUP($B144,'ELC TECH'!$H:$H,'ELC TECH'!$E:$E)="Storage","",_xlfn.XLOOKUP($B144,'ELC TECH'!$H:$H,'ELC TECH'!AU:AU))</f>
        <v>0.22187699999999999</v>
      </c>
      <c r="BA144" s="12">
        <f>IF(_xlfn.XLOOKUP($B144,'ELC TECH'!$H:$H,'ELC TECH'!$E:$E)="Storage","",_xlfn.XLOOKUP($B144,'ELC TECH'!$H:$H,'ELC TECH'!AV:AV))</f>
        <v>0.22187699999999999</v>
      </c>
      <c r="BB144" s="12">
        <f>IF(_xlfn.XLOOKUP($B144,'ELC TECH'!$H:$H,'ELC TECH'!$E:$E)="Storage","",_xlfn.XLOOKUP($B144,'ELC TECH'!$H:$H,'ELC TECH'!AW:AW))</f>
        <v>0.22187699999999999</v>
      </c>
      <c r="BC144" s="12">
        <f>IF(_xlfn.XLOOKUP($B144,'ELC TECH'!$H:$H,'ELC TECH'!$E:$E)="Storage","",_xlfn.XLOOKUP($B144,'ELC TECH'!$H:$H,'ELC TECH'!AX:AX))</f>
        <v>0.22187699999999999</v>
      </c>
      <c r="BD144" s="12">
        <f>IF(_xlfn.XLOOKUP($B144,'ELC TECH'!$H:$H,'ELC TECH'!$E:$E)="Storage","",_xlfn.XLOOKUP($B144,'ELC TECH'!$H:$H,'ELC TECH'!AY:AY))</f>
        <v>0.22187699999999999</v>
      </c>
      <c r="BE144" s="12">
        <f>IF(_xlfn.XLOOKUP($B144,'ELC TECH'!$H:$H,'ELC TECH'!$E:$E)="Storage","",_xlfn.XLOOKUP($B144,'ELC TECH'!$H:$H,'ELC TECH'!AZ:AZ))</f>
        <v>0.22187699999999999</v>
      </c>
      <c r="BF144" s="12" t="str">
        <f>IF(_xlfn.XLOOKUP($B144,'ELC TECH'!$H:$H,'ELC TECH'!$E:$E)="Storage",_xlfn.XLOOKUP($B144,'ELC TECH'!$H:$H,'ELC TECH'!AS:AS),"")</f>
        <v/>
      </c>
      <c r="BG144" s="12" t="str">
        <f>IF(_xlfn.XLOOKUP($B144,'ELC TECH'!$H:$H,'ELC TECH'!$E:$E)="Storage",_xlfn.XLOOKUP($B144,'ELC TECH'!$H:$H,'ELC TECH'!AT:AT),"")</f>
        <v/>
      </c>
      <c r="BH144" s="12" t="str">
        <f>IF(_xlfn.XLOOKUP($B144,'ELC TECH'!$H:$H,'ELC TECH'!$E:$E)="Storage",_xlfn.XLOOKUP($B144,'ELC TECH'!$H:$H,'ELC TECH'!AU:AU),"")</f>
        <v/>
      </c>
      <c r="BI144" s="12" t="str">
        <f>IF(_xlfn.XLOOKUP($B144,'ELC TECH'!$H:$H,'ELC TECH'!$E:$E)="Storage",_xlfn.XLOOKUP($B144,'ELC TECH'!$H:$H,'ELC TECH'!AV:AV),"")</f>
        <v/>
      </c>
      <c r="BJ144" s="12" t="str">
        <f>IF(_xlfn.XLOOKUP($B144,'ELC TECH'!$H:$H,'ELC TECH'!$E:$E)="Storage",_xlfn.XLOOKUP($B144,'ELC TECH'!$H:$H,'ELC TECH'!AW:AW),"")</f>
        <v/>
      </c>
      <c r="BK144" s="12" t="str">
        <f>IF(_xlfn.XLOOKUP($B144,'ELC TECH'!$H:$H,'ELC TECH'!$E:$E)="Storage",_xlfn.XLOOKUP($B144,'ELC TECH'!$H:$H,'ELC TECH'!AX:AX),"")</f>
        <v/>
      </c>
      <c r="BL144" s="12" t="str">
        <f>IF(_xlfn.XLOOKUP($B144,'ELC TECH'!$H:$H,'ELC TECH'!$E:$E)="Storage",_xlfn.XLOOKUP($B144,'ELC TECH'!$H:$H,'ELC TECH'!AY:AY),"")</f>
        <v/>
      </c>
      <c r="BM144" s="12" t="str">
        <f>IF(_xlfn.XLOOKUP($B144,'ELC TECH'!$H:$H,'ELC TECH'!$E:$E)="Storage",_xlfn.XLOOKUP($B144,'ELC TECH'!$H:$H,'ELC TECH'!AZ:AZ),"")</f>
        <v/>
      </c>
      <c r="BN144" s="8">
        <f>IF(_xlfn.XLOOKUP($B144,'ELC TECH'!$H:$H,'ELC TECH'!$E:$E)="Non Dispatchable",IFERROR($AX144*_xlfn.XLOOKUP($C144,$BM$1:$BM$3,BN$1:BN$3)/SUMPRODUCT(_xlfn.XLOOKUP($C144,$BM$1:$BM$3,$BN$1:$BY$3),$BN$4:$BY$4),""),
"")</f>
        <v>0.22293931664489414</v>
      </c>
      <c r="BO144" s="8">
        <f>IF(_xlfn.XLOOKUP($B144,'ELC TECH'!$H:$H,'ELC TECH'!$E:$E)="Non Dispatchable",IFERROR($AX144*_xlfn.XLOOKUP($C144,$BM$1:$BM$3,BO$1:BO$3)/SUMPRODUCT(_xlfn.XLOOKUP($C144,$BM$1:$BM$3,$BN$1:$BY$3),$BN$4:$BY$4),""),
"")</f>
        <v>0.22293931664489414</v>
      </c>
      <c r="BP144" s="8">
        <f>IF(_xlfn.XLOOKUP($B144,'ELC TECH'!$H:$H,'ELC TECH'!$E:$E)="Non Dispatchable",IFERROR($AX144*_xlfn.XLOOKUP($C144,$BM$1:$BM$3,BP$1:BP$3)/SUMPRODUCT(_xlfn.XLOOKUP($C144,$BM$1:$BM$3,$BN$1:$BY$3),$BN$4:$BY$4),""),
"")</f>
        <v>2.2293931664489414E-2</v>
      </c>
      <c r="BQ144" s="8">
        <f>IF(_xlfn.XLOOKUP($B144,'ELC TECH'!$H:$H,'ELC TECH'!$E:$E)="Non Dispatchable",IFERROR($AX144*_xlfn.XLOOKUP($C144,$BM$1:$BM$3,BQ$1:BQ$3)/SUMPRODUCT(_xlfn.XLOOKUP($C144,$BM$1:$BM$3,$BN$1:$BY$3),$BN$4:$BY$4),""),
"")</f>
        <v>0.17863188012930517</v>
      </c>
      <c r="BR144" s="8">
        <f>IF(_xlfn.XLOOKUP($B144,'ELC TECH'!$H:$H,'ELC TECH'!$E:$E)="Non Dispatchable",IFERROR($AX144*_xlfn.XLOOKUP($C144,$BM$1:$BM$3,BR$1:BR$3)/SUMPRODUCT(_xlfn.XLOOKUP($C144,$BM$1:$BM$3,$BN$1:$BY$3),$BN$4:$BY$4),""),
"")</f>
        <v>0.25942029573224051</v>
      </c>
      <c r="BS144" s="8">
        <f>IF(_xlfn.XLOOKUP($B144,'ELC TECH'!$H:$H,'ELC TECH'!$E:$E)="Non Dispatchable",IFERROR($AX144*_xlfn.XLOOKUP($C144,$BM$1:$BM$3,BS$1:BS$3)/SUMPRODUCT(_xlfn.XLOOKUP($C144,$BM$1:$BM$3,$BN$1:$BY$3),$BN$4:$BY$4),""),
"")</f>
        <v>0.25942029573224051</v>
      </c>
      <c r="BT144" s="8">
        <f>IF(_xlfn.XLOOKUP($B144,'ELC TECH'!$H:$H,'ELC TECH'!$E:$E)="Non Dispatchable",IFERROR($AX144*_xlfn.XLOOKUP($C144,$BM$1:$BM$3,BT$1:BT$3)/SUMPRODUCT(_xlfn.XLOOKUP($C144,$BM$1:$BM$3,$BN$1:$BY$3),$BN$4:$BY$4),""),
"")</f>
        <v>2.594202957322405E-2</v>
      </c>
      <c r="BU144" s="8">
        <f>IF(_xlfn.XLOOKUP($B144,'ELC TECH'!$H:$H,'ELC TECH'!$E:$E)="Non Dispatchable",IFERROR($AX144*_xlfn.XLOOKUP($C144,$BM$1:$BM$3,BU$1:BU$3)/SUMPRODUCT(_xlfn.XLOOKUP($C144,$BM$1:$BM$3,$BN$1:$BY$3),$BN$4:$BY$4),""),
"")</f>
        <v>0.22986370180628857</v>
      </c>
      <c r="BV144" s="8">
        <f>IF(_xlfn.XLOOKUP($B144,'ELC TECH'!$H:$H,'ELC TECH'!$E:$E)="Non Dispatchable",IFERROR($AX144*_xlfn.XLOOKUP($C144,$BM$1:$BM$3,BV$1:BV$3)/SUMPRODUCT(_xlfn.XLOOKUP($C144,$BM$1:$BM$3,$BN$1:$BY$3),$BN$4:$BY$4),""),
"")</f>
        <v>0.13434601490705381</v>
      </c>
      <c r="BW144" s="8">
        <f>IF(_xlfn.XLOOKUP($B144,'ELC TECH'!$H:$H,'ELC TECH'!$E:$E)="Non Dispatchable",IFERROR($AX144*_xlfn.XLOOKUP($C144,$BM$1:$BM$3,BW$1:BW$3)/SUMPRODUCT(_xlfn.XLOOKUP($C144,$BM$1:$BM$3,$BN$1:$BY$3),$BN$4:$BY$4),""),
"")</f>
        <v>0.13434601490705381</v>
      </c>
      <c r="BX144" s="8">
        <f>IF(_xlfn.XLOOKUP($B144,'ELC TECH'!$H:$H,'ELC TECH'!$E:$E)="Non Dispatchable",IFERROR($AX144*_xlfn.XLOOKUP($C144,$BM$1:$BM$3,BX$1:BX$3)/SUMPRODUCT(_xlfn.XLOOKUP($C144,$BM$1:$BM$3,$BN$1:$BY$3),$BN$4:$BY$4),""),
"")</f>
        <v>1.343460149070538E-2</v>
      </c>
      <c r="BY144" s="8">
        <f>IF(_xlfn.XLOOKUP($B144,'ELC TECH'!$H:$H,'ELC TECH'!$E:$E)="Non Dispatchable",IFERROR($AX144*_xlfn.XLOOKUP($C144,$BM$1:$BM$3,BY$1:BY$3)/SUMPRODUCT(_xlfn.XLOOKUP($C144,$BM$1:$BM$3,$BN$1:$BY$3),$BN$4:$BY$4),""),
"")</f>
        <v>9.8200371379774998E-2</v>
      </c>
      <c r="BZ144" s="8">
        <f>IF(_xlfn.XLOOKUP($B144,'ELC TECH'!$H:$H,'ELC TECH'!$E:$E)="Non Dispatchable",IFERROR($AX144*_xlfn.XLOOKUP($C144,$BM$1:$BM$3,BZ$1:BZ$3)/SUMPRODUCT(_xlfn.XLOOKUP($C144,$BM$1:$BM$3,$BN$1:$BY$3),$BN$4:$BY$4),""),
"")</f>
        <v>0.22293931664489414</v>
      </c>
      <c r="CA144" s="8">
        <f>IF(_xlfn.XLOOKUP($B144,'ELC TECH'!$H:$H,'ELC TECH'!$E:$E)="Non Dispatchable",IFERROR($AX144*_xlfn.XLOOKUP($C144,$BM$1:$BM$3,CA$1:CA$3)/SUMPRODUCT(_xlfn.XLOOKUP($C144,$BM$1:$BM$3,$BN$1:$BY$3),$BN$4:$BY$4),""),
"")</f>
        <v>0.22293931664489414</v>
      </c>
      <c r="CB144" s="8">
        <f>IF(_xlfn.XLOOKUP($B144,'ELC TECH'!$H:$H,'ELC TECH'!$E:$E)="Non Dispatchable",IFERROR($AX144*_xlfn.XLOOKUP($C144,$BM$1:$BM$3,CB$1:CB$3)/SUMPRODUCT(_xlfn.XLOOKUP($C144,$BM$1:$BM$3,$BN$1:$BY$3),$BN$4:$BY$4),""),
"")</f>
        <v>2.2293931664489414E-2</v>
      </c>
      <c r="CC144" s="8">
        <f>IF(_xlfn.XLOOKUP($B144,'ELC TECH'!$H:$H,'ELC TECH'!$E:$E)="Non Dispatchable",IFERROR($AX144*_xlfn.XLOOKUP($C144,$BM$1:$BM$3,CC$1:CC$3)/SUMPRODUCT(_xlfn.XLOOKUP($C144,$BM$1:$BM$3,$BN$1:$BY$3),$BN$4:$BY$4),""),
"")</f>
        <v>0.17863188012930517</v>
      </c>
      <c r="CD144" s="8">
        <f>IF(_xlfn.XLOOKUP($B144,'ELC TECH'!$H:$H,'ELC TECH'!$E:$E)="Non Dispatchable",IFERROR($AX144*_xlfn.XLOOKUP($C144,$BM$1:$BM$3,CD$1:CD$3)/SUMPRODUCT(_xlfn.XLOOKUP($C144,$BM$1:$BM$3,$BN$1:$BY$3),$BN$4:$BY$4),""),
"")</f>
        <v>0.25942029573224051</v>
      </c>
      <c r="CE144" s="8">
        <f>IF(_xlfn.XLOOKUP($B144,'ELC TECH'!$H:$H,'ELC TECH'!$E:$E)="Non Dispatchable",IFERROR($AX144*_xlfn.XLOOKUP($C144,$BM$1:$BM$3,CE$1:CE$3)/SUMPRODUCT(_xlfn.XLOOKUP($C144,$BM$1:$BM$3,$BN$1:$BY$3),$BN$4:$BY$4),""),
"")</f>
        <v>0.25942029573224051</v>
      </c>
      <c r="CF144" s="8">
        <f>IF(_xlfn.XLOOKUP($B144,'ELC TECH'!$H:$H,'ELC TECH'!$E:$E)="Non Dispatchable",IFERROR($AX144*_xlfn.XLOOKUP($C144,$BM$1:$BM$3,CF$1:CF$3)/SUMPRODUCT(_xlfn.XLOOKUP($C144,$BM$1:$BM$3,$BN$1:$BY$3),$BN$4:$BY$4),""),
"")</f>
        <v>2.594202957322405E-2</v>
      </c>
      <c r="CG144" s="8">
        <f>IF(_xlfn.XLOOKUP($B144,'ELC TECH'!$H:$H,'ELC TECH'!$E:$E)="Non Dispatchable",IFERROR($AX144*_xlfn.XLOOKUP($C144,$BM$1:$BM$3,CG$1:CG$3)/SUMPRODUCT(_xlfn.XLOOKUP($C144,$BM$1:$BM$3,$BN$1:$BY$3),$BN$4:$BY$4),""),
"")</f>
        <v>0.22986370180628857</v>
      </c>
      <c r="CH144" s="8">
        <f>IF(_xlfn.XLOOKUP($B144,'ELC TECH'!$H:$H,'ELC TECH'!$E:$E)="Non Dispatchable",IFERROR($AX144*_xlfn.XLOOKUP($C144,$BM$1:$BM$3,CH$1:CH$3)/SUMPRODUCT(_xlfn.XLOOKUP($C144,$BM$1:$BM$3,$BN$1:$BY$3),$BN$4:$BY$4),""),
"")</f>
        <v>0.13434601490705381</v>
      </c>
      <c r="CI144" s="8">
        <f>IF(_xlfn.XLOOKUP($B144,'ELC TECH'!$H:$H,'ELC TECH'!$E:$E)="Non Dispatchable",IFERROR($AX144*_xlfn.XLOOKUP($C144,$BM$1:$BM$3,CI$1:CI$3)/SUMPRODUCT(_xlfn.XLOOKUP($C144,$BM$1:$BM$3,$BN$1:$BY$3),$BN$4:$BY$4),""),
"")</f>
        <v>0.13434601490705381</v>
      </c>
      <c r="CJ144" s="8">
        <f>IF(_xlfn.XLOOKUP($B144,'ELC TECH'!$H:$H,'ELC TECH'!$E:$E)="Non Dispatchable",IFERROR($AX144*_xlfn.XLOOKUP($C144,$BM$1:$BM$3,CJ$1:CJ$3)/SUMPRODUCT(_xlfn.XLOOKUP($C144,$BM$1:$BM$3,$BN$1:$BY$3),$BN$4:$BY$4),""),
"")</f>
        <v>1.343460149070538E-2</v>
      </c>
      <c r="CK144" s="8">
        <f>IF(_xlfn.XLOOKUP($B144,'ELC TECH'!$H:$H,'ELC TECH'!$E:$E)="Non Dispatchable",IFERROR($AX144*_xlfn.XLOOKUP($C144,$BM$1:$BM$3,CK$1:CK$3)/SUMPRODUCT(_xlfn.XLOOKUP($C144,$BM$1:$BM$3,$BN$1:$BY$3),$BN$4:$BY$4),""),
"")</f>
        <v>9.8200371379774998E-2</v>
      </c>
      <c r="CL144" s="8" t="str">
        <f>IF(_xlfn.XLOOKUP($B144,'ELC TECH'!$H:$H,'ELC TECH'!$E:$E)="Storage",CL$4*$BF144,"")</f>
        <v/>
      </c>
      <c r="CM144" s="8" t="str">
        <f>IF(_xlfn.XLOOKUP($B144,'ELC TECH'!$H:$H,'ELC TECH'!$E:$E)="Storage",CM$4*$BF144,"")</f>
        <v/>
      </c>
      <c r="CN144" s="8" t="str">
        <f>IF(_xlfn.XLOOKUP($B144,'ELC TECH'!$H:$H,'ELC TECH'!$E:$E)="Storage",CN$4*$BF144,"")</f>
        <v/>
      </c>
      <c r="CO144" s="8" t="str">
        <f>IF(_xlfn.XLOOKUP($B144,'ELC TECH'!$H:$H,'ELC TECH'!$E:$E)="Storage",CO$4*$BF144,"")</f>
        <v/>
      </c>
      <c r="CP144" s="8" t="str">
        <f>IF(_xlfn.XLOOKUP($B144,'ELC TECH'!$H:$H,'ELC TECH'!$E:$E)="Storage",CP$4*$BF144,"")</f>
        <v/>
      </c>
      <c r="CQ144" s="8" t="str">
        <f>IF(_xlfn.XLOOKUP($B144,'ELC TECH'!$H:$H,'ELC TECH'!$E:$E)="Storage",CQ$4*$BF144,"")</f>
        <v/>
      </c>
      <c r="CR144" s="8" t="str">
        <f>IF(_xlfn.XLOOKUP($B144,'ELC TECH'!$H:$H,'ELC TECH'!$E:$E)="Storage",CR$4*$BF144,"")</f>
        <v/>
      </c>
      <c r="CS144" s="8" t="str">
        <f>IF(_xlfn.XLOOKUP($B144,'ELC TECH'!$H:$H,'ELC TECH'!$E:$E)="Storage",CS$4*$BF144,"")</f>
        <v/>
      </c>
      <c r="CT144" s="8" t="str">
        <f>IF(_xlfn.XLOOKUP($B144,'ELC TECH'!$H:$H,'ELC TECH'!$E:$E)="Storage",CT$4*$BF144,"")</f>
        <v/>
      </c>
      <c r="CU144" s="8" t="str">
        <f>IF(_xlfn.XLOOKUP($B144,'ELC TECH'!$H:$H,'ELC TECH'!$E:$E)="Storage",CU$4*$BF144,"")</f>
        <v/>
      </c>
      <c r="CV144" s="8" t="str">
        <f>IF(_xlfn.XLOOKUP($B144,'ELC TECH'!$H:$H,'ELC TECH'!$E:$E)="Storage",CV$4*$BF144,"")</f>
        <v/>
      </c>
      <c r="CW144" s="8" t="str">
        <f>IF(_xlfn.XLOOKUP($B144,'ELC TECH'!$H:$H,'ELC TECH'!$E:$E)="Storage",CW$4*$BF144,"")</f>
        <v/>
      </c>
      <c r="CX144" s="8" t="str">
        <f>IF(_xlfn.XLOOKUP($B144,'ELC TECH'!$H:$H,'ELC TECH'!$E:$E)="Storage",CX$4*$BF144,"")</f>
        <v/>
      </c>
      <c r="CY144" s="8" t="str">
        <f>IF(_xlfn.XLOOKUP($B144,'ELC TECH'!$H:$H,'ELC TECH'!$E:$E)="Storage",CY$4*$BF144,"")</f>
        <v/>
      </c>
      <c r="CZ144" s="8" t="str">
        <f>IF(_xlfn.XLOOKUP($B144,'ELC TECH'!$H:$H,'ELC TECH'!$E:$E)="Storage",CZ$4*$BF144,"")</f>
        <v/>
      </c>
      <c r="DA144" s="8" t="str">
        <f>IF(_xlfn.XLOOKUP($B144,'ELC TECH'!$H:$H,'ELC TECH'!$E:$E)="Storage",DA$4*$BF144,"")</f>
        <v/>
      </c>
      <c r="DB144" s="8" t="str">
        <f>IF(_xlfn.XLOOKUP($B144,'ELC TECH'!$H:$H,'ELC TECH'!$E:$E)="Storage",DB$4*$BF144,"")</f>
        <v/>
      </c>
      <c r="DC144" s="8" t="str">
        <f>IF(_xlfn.XLOOKUP($B144,'ELC TECH'!$H:$H,'ELC TECH'!$E:$E)="Storage",DC$4*$BF144,"")</f>
        <v/>
      </c>
      <c r="DD144" s="8" t="str">
        <f>IF(_xlfn.XLOOKUP($B144,'ELC TECH'!$H:$H,'ELC TECH'!$E:$E)="Storage",DD$4*$BF144,"")</f>
        <v/>
      </c>
      <c r="DE144" s="8" t="str">
        <f>IF(_xlfn.XLOOKUP($B144,'ELC TECH'!$H:$H,'ELC TECH'!$E:$E)="Storage",DE$4*$BF144,"")</f>
        <v/>
      </c>
      <c r="DF144" s="8" t="str">
        <f>IF(_xlfn.XLOOKUP($B144,'ELC TECH'!$H:$H,'ELC TECH'!$E:$E)="Storage",DF$4*$BF144,"")</f>
        <v/>
      </c>
      <c r="DG144" s="8" t="str">
        <f>IF(_xlfn.XLOOKUP($B144,'ELC TECH'!$H:$H,'ELC TECH'!$E:$E)="Storage",DG$4*$BF144,"")</f>
        <v/>
      </c>
      <c r="DH144" s="8" t="str">
        <f>IF(_xlfn.XLOOKUP($B144,'ELC TECH'!$H:$H,'ELC TECH'!$E:$E)="Storage",DH$4*$BF144,"")</f>
        <v/>
      </c>
      <c r="DI144" s="8" t="str">
        <f>IF(_xlfn.XLOOKUP($B144,'ELC TECH'!$H:$H,'ELC TECH'!$E:$E)="Storage",DI$4*$BF144,"")</f>
        <v/>
      </c>
    </row>
    <row r="145" spans="2:113" x14ac:dyDescent="0.25">
      <c r="B145" t="str">
        <f>IF('ELC TECH'!I138=0,"*",'ELC TECH'!H138)</f>
        <v>ELCWNDDCECDWC120</v>
      </c>
      <c r="C145" t="str">
        <f>IF(_xlfn.XLOOKUP(_xlfn.XLOOKUP(B145,'ELC TECH'!$H:$H,'ELC TECH'!$G:$G),List!C:C,List!B:B)="STG",D145,"ELC"&amp;_xlfn.XLOOKUP(_xlfn.XLOOKUP(B145,'ELC TECH'!H:H,'ELC TECH'!G:G),List!C:C,List!B:B))</f>
        <v>ELCWND</v>
      </c>
      <c r="D145" t="s">
        <v>544</v>
      </c>
      <c r="E145">
        <f>_xlfn.XLOOKUP(B145,'ELC TECH'!H:H,'ELC TECH'!D:D)</f>
        <v>2020</v>
      </c>
      <c r="F145">
        <f>_xlfn.XLOOKUP(B145,'ELC TECH'!H:H,'ELC TECH'!K:K)</f>
        <v>30</v>
      </c>
      <c r="G145">
        <f t="shared" si="8"/>
        <v>31.535999999999998</v>
      </c>
      <c r="H145">
        <f>IF(_xlfn.XLOOKUP(B145,'ELC TECH'!$H:$H,'ELC TECH'!$E:$E)="Storage",0.3,IF(_xlfn.XLOOKUP(B145,'ELC TECH'!$H:$H,'ELC TECH'!$E:$E)="Baseload",0.9,IF(_xlfn.XLOOKUP(B145,'ELC TECH'!$H:$H,'ELC TECH'!$E:$E)="Non Dispatchable",0.05,IF(_xlfn.XLOOKUP(B145,'ELC TECH'!$H:$H,'ELC TECH'!$E:$E)="Dispatchable",0.9,1))))</f>
        <v>0.05</v>
      </c>
      <c r="I145" s="13">
        <f>IF(_xlfn.XLOOKUP(B145,'ELC TECH'!H:H,'ELC TECH'!J:J)="","",_xlfn.XLOOKUP(B145,'ELC TECH'!H:H,'ELC TECH'!J:J))</f>
        <v>233.39318333333341</v>
      </c>
      <c r="J145" s="12">
        <f>IF(_xlfn.XLOOKUP($B145,'ELC TECH'!$H:$H,'ELC TECH'!$E:$E)="Storage","",IF(_xlfn.XLOOKUP($B145,'ELC TECH'!$H:$H,'ELC TECH'!AK:AK)="",1,_xlfn.XLOOKUP($B145,'ELC TECH'!$H:$H,'ELC TECH'!AK:AK)))</f>
        <v>1</v>
      </c>
      <c r="K145" s="12">
        <f>IF(_xlfn.XLOOKUP($B145,'ELC TECH'!$H:$H,'ELC TECH'!$E:$E)="Storage","",IF(_xlfn.XLOOKUP($B145,'ELC TECH'!$H:$H,'ELC TECH'!AL:AL)="",1,_xlfn.XLOOKUP($B145,'ELC TECH'!$H:$H,'ELC TECH'!AL:AL)))</f>
        <v>1</v>
      </c>
      <c r="L145" s="12">
        <f>IF(_xlfn.XLOOKUP($B145,'ELC TECH'!$H:$H,'ELC TECH'!$E:$E)="Storage","",IF(_xlfn.XLOOKUP($B145,'ELC TECH'!$H:$H,'ELC TECH'!AM:AM)="",1,_xlfn.XLOOKUP($B145,'ELC TECH'!$H:$H,'ELC TECH'!AM:AM)))</f>
        <v>1</v>
      </c>
      <c r="M145" s="12">
        <f>IF(_xlfn.XLOOKUP($B145,'ELC TECH'!$H:$H,'ELC TECH'!$E:$E)="Storage","",IF(_xlfn.XLOOKUP($B145,'ELC TECH'!$H:$H,'ELC TECH'!AN:AN)="",1,_xlfn.XLOOKUP($B145,'ELC TECH'!$H:$H,'ELC TECH'!AN:AN)))</f>
        <v>1</v>
      </c>
      <c r="N145" s="12">
        <f>IF(_xlfn.XLOOKUP($B145,'ELC TECH'!$H:$H,'ELC TECH'!$E:$E)="Storage","",IF(_xlfn.XLOOKUP($B145,'ELC TECH'!$H:$H,'ELC TECH'!AO:AO)="",1,_xlfn.XLOOKUP($B145,'ELC TECH'!$H:$H,'ELC TECH'!AO:AO)))</f>
        <v>1</v>
      </c>
      <c r="O145" s="12">
        <f>IF(_xlfn.XLOOKUP($B145,'ELC TECH'!$H:$H,'ELC TECH'!$E:$E)="Storage","",IF(_xlfn.XLOOKUP($B145,'ELC TECH'!$H:$H,'ELC TECH'!AP:AP)="",1,_xlfn.XLOOKUP($B145,'ELC TECH'!$H:$H,'ELC TECH'!AP:AP)))</f>
        <v>1</v>
      </c>
      <c r="P145" s="12">
        <f>IF(_xlfn.XLOOKUP($B145,'ELC TECH'!$H:$H,'ELC TECH'!$E:$E)="Storage","",IF(_xlfn.XLOOKUP($B145,'ELC TECH'!$H:$H,'ELC TECH'!AQ:AQ)="",1,_xlfn.XLOOKUP($B145,'ELC TECH'!$H:$H,'ELC TECH'!AQ:AQ)))</f>
        <v>1</v>
      </c>
      <c r="Q145" s="12">
        <f>IF(_xlfn.XLOOKUP($B145,'ELC TECH'!$H:$H,'ELC TECH'!$E:$E)="Storage","",IF(_xlfn.XLOOKUP($B145,'ELC TECH'!$H:$H,'ELC TECH'!AR:AR)="",1,_xlfn.XLOOKUP($B145,'ELC TECH'!$H:$H,'ELC TECH'!AR:AR)))</f>
        <v>1</v>
      </c>
      <c r="R145" s="12" t="str">
        <f>IF(_xlfn.XLOOKUP($B145,'ELC TECH'!$H:$H,'ELC TECH'!$E:$E)&lt;&gt;"Storage","",IF(_xlfn.XLOOKUP($B145,'ELC TECH'!$H:$H,'ELC TECH'!AK:AK)="",0.8,_xlfn.XLOOKUP($B145,'ELC TECH'!$H:$H,'ELC TECH'!AK:AK)))</f>
        <v/>
      </c>
      <c r="S145" s="12" t="str">
        <f>IF(_xlfn.XLOOKUP($B145,'ELC TECH'!$H:$H,'ELC TECH'!$E:$E)&lt;&gt;"Storage","",IF(_xlfn.XLOOKUP($B145,'ELC TECH'!$H:$H,'ELC TECH'!AL:AL)="",0.8,_xlfn.XLOOKUP($B145,'ELC TECH'!$H:$H,'ELC TECH'!AL:AL)))</f>
        <v/>
      </c>
      <c r="T145" s="12" t="str">
        <f>IF(_xlfn.XLOOKUP($B145,'ELC TECH'!$H:$H,'ELC TECH'!$E:$E)&lt;&gt;"Storage","",IF(_xlfn.XLOOKUP($B145,'ELC TECH'!$H:$H,'ELC TECH'!AM:AM)="",0.8,_xlfn.XLOOKUP($B145,'ELC TECH'!$H:$H,'ELC TECH'!AM:AM)))</f>
        <v/>
      </c>
      <c r="U145" s="12" t="str">
        <f>IF(_xlfn.XLOOKUP($B145,'ELC TECH'!$H:$H,'ELC TECH'!$E:$E)&lt;&gt;"Storage","",IF(_xlfn.XLOOKUP($B145,'ELC TECH'!$H:$H,'ELC TECH'!AN:AN)="",0.8,_xlfn.XLOOKUP($B145,'ELC TECH'!$H:$H,'ELC TECH'!AN:AN)))</f>
        <v/>
      </c>
      <c r="V145" s="12" t="str">
        <f>IF(_xlfn.XLOOKUP($B145,'ELC TECH'!$H:$H,'ELC TECH'!$E:$E)&lt;&gt;"Storage","",IF(_xlfn.XLOOKUP($B145,'ELC TECH'!$H:$H,'ELC TECH'!AO:AO)="",0.8,_xlfn.XLOOKUP($B145,'ELC TECH'!$H:$H,'ELC TECH'!AO:AO)))</f>
        <v/>
      </c>
      <c r="W145" s="12" t="str">
        <f>IF(_xlfn.XLOOKUP($B145,'ELC TECH'!$H:$H,'ELC TECH'!$E:$E)&lt;&gt;"Storage","",IF(_xlfn.XLOOKUP($B145,'ELC TECH'!$H:$H,'ELC TECH'!AP:AP)="",0.8,_xlfn.XLOOKUP($B145,'ELC TECH'!$H:$H,'ELC TECH'!AP:AP)))</f>
        <v/>
      </c>
      <c r="X145" s="12" t="str">
        <f>IF(_xlfn.XLOOKUP($B145,'ELC TECH'!$H:$H,'ELC TECH'!$E:$E)&lt;&gt;"Storage","",IF(_xlfn.XLOOKUP($B145,'ELC TECH'!$H:$H,'ELC TECH'!AQ:AQ)="",0.8,_xlfn.XLOOKUP($B145,'ELC TECH'!$H:$H,'ELC TECH'!AQ:AQ)))</f>
        <v/>
      </c>
      <c r="Y145" s="12" t="str">
        <f>IF(_xlfn.XLOOKUP($B145,'ELC TECH'!$H:$H,'ELC TECH'!$E:$E)&lt;&gt;"Storage","",IF(_xlfn.XLOOKUP($B145,'ELC TECH'!$H:$H,'ELC TECH'!AR:AR)="",0.8,_xlfn.XLOOKUP($B145,'ELC TECH'!$H:$H,'ELC TECH'!AR:AR)))</f>
        <v/>
      </c>
      <c r="Z145" s="15">
        <f>_xlfn.XLOOKUP($B145,'ELC TECH'!$H:$H,'ELC TECH'!M:M)</f>
        <v>4917.4184525969313</v>
      </c>
      <c r="AA145" s="15">
        <f>_xlfn.XLOOKUP($B145,'ELC TECH'!$H:$H,'ELC TECH'!N:N)</f>
        <v>4821.6848284228936</v>
      </c>
      <c r="AB145" s="15">
        <f>_xlfn.XLOOKUP($B145,'ELC TECH'!$H:$H,'ELC TECH'!O:O)</f>
        <v>2984.1897708938181</v>
      </c>
      <c r="AC145" s="15">
        <f>_xlfn.XLOOKUP($B145,'ELC TECH'!$H:$H,'ELC TECH'!P:P)</f>
        <v>2539.1896953994678</v>
      </c>
      <c r="AD145" s="15">
        <f>_xlfn.XLOOKUP($B145,'ELC TECH'!$H:$H,'ELC TECH'!Q:Q)</f>
        <v>2093.9800186842722</v>
      </c>
      <c r="AE145" s="15">
        <f>_xlfn.XLOOKUP($B145,'ELC TECH'!$H:$H,'ELC TECH'!R:R)</f>
        <v>1896.095935565756</v>
      </c>
      <c r="AF145" s="15">
        <f>_xlfn.XLOOKUP($B145,'ELC TECH'!$H:$H,'ELC TECH'!S:S)</f>
        <v>1698.211852447241</v>
      </c>
      <c r="AG145" s="15">
        <f>_xlfn.XLOOKUP($B145,'ELC TECH'!$H:$H,'ELC TECH'!T:T)</f>
        <v>1698.211852447241</v>
      </c>
      <c r="AH145" s="15">
        <f>_xlfn.XLOOKUP($B145,'ELC TECH'!$H:$H,'ELC TECH'!U:U)</f>
        <v>41.27117929699714</v>
      </c>
      <c r="AI145" s="15">
        <f>_xlfn.XLOOKUP($B145,'ELC TECH'!$H:$H,'ELC TECH'!V:V)</f>
        <v>40.608188464916751</v>
      </c>
      <c r="AJ145" s="15">
        <f>_xlfn.XLOOKUP($B145,'ELC TECH'!$H:$H,'ELC TECH'!W:W)</f>
        <v>39.779449924816397</v>
      </c>
      <c r="AK145" s="15">
        <f>_xlfn.XLOOKUP($B145,'ELC TECH'!$H:$H,'ELC TECH'!X:X)</f>
        <v>39.157896019741258</v>
      </c>
      <c r="AL145" s="15">
        <f>_xlfn.XLOOKUP($B145,'ELC TECH'!$H:$H,'ELC TECH'!Y:Y)</f>
        <v>38.536342114665999</v>
      </c>
      <c r="AM145" s="15">
        <f>_xlfn.XLOOKUP($B145,'ELC TECH'!$H:$H,'ELC TECH'!Z:Z)</f>
        <v>37.914788209590739</v>
      </c>
      <c r="AN145" s="15">
        <f>_xlfn.XLOOKUP($B145,'ELC TECH'!$H:$H,'ELC TECH'!AA:AA)</f>
        <v>37.293234304515479</v>
      </c>
      <c r="AO145" s="15">
        <f>_xlfn.XLOOKUP($B145,'ELC TECH'!$H:$H,'ELC TECH'!AB:AB)</f>
        <v>37.293234304515479</v>
      </c>
      <c r="AP145" s="15">
        <f>_xlfn.XLOOKUP($B145,'ELC TECH'!$H:$H,'ELC TECH'!AC:AC)</f>
        <v>0</v>
      </c>
      <c r="AQ145" s="15">
        <f>_xlfn.XLOOKUP($B145,'ELC TECH'!$H:$H,'ELC TECH'!AD:AD)</f>
        <v>0</v>
      </c>
      <c r="AR145" s="15">
        <f>_xlfn.XLOOKUP($B145,'ELC TECH'!$H:$H,'ELC TECH'!AE:AE)</f>
        <v>0</v>
      </c>
      <c r="AS145" s="15">
        <f>_xlfn.XLOOKUP($B145,'ELC TECH'!$H:$H,'ELC TECH'!AF:AF)</f>
        <v>0</v>
      </c>
      <c r="AT145" s="15">
        <f>_xlfn.XLOOKUP($B145,'ELC TECH'!$H:$H,'ELC TECH'!AG:AG)</f>
        <v>0</v>
      </c>
      <c r="AU145" s="15">
        <f>_xlfn.XLOOKUP($B145,'ELC TECH'!$H:$H,'ELC TECH'!AH:AH)</f>
        <v>0</v>
      </c>
      <c r="AV145" s="15">
        <f>_xlfn.XLOOKUP($B145,'ELC TECH'!$H:$H,'ELC TECH'!AI:AI)</f>
        <v>0</v>
      </c>
      <c r="AW145" s="15">
        <f>_xlfn.XLOOKUP($B145,'ELC TECH'!$H:$H,'ELC TECH'!AJ:AJ)</f>
        <v>0</v>
      </c>
      <c r="AX145" s="12">
        <f>IF(_xlfn.XLOOKUP($B145,'ELC TECH'!$H:$H,'ELC TECH'!$E:$E)="Storage","",_xlfn.XLOOKUP($B145,'ELC TECH'!$H:$H,'ELC TECH'!AS:AS))</f>
        <v>0.45205770000000001</v>
      </c>
      <c r="AY145" s="12">
        <f>IF(_xlfn.XLOOKUP($B145,'ELC TECH'!$H:$H,'ELC TECH'!$E:$E)="Storage","",_xlfn.XLOOKUP($B145,'ELC TECH'!$H:$H,'ELC TECH'!AT:AT))</f>
        <v>0.50556449999999997</v>
      </c>
      <c r="AZ145" s="12">
        <f>IF(_xlfn.XLOOKUP($B145,'ELC TECH'!$H:$H,'ELC TECH'!$E:$E)="Storage","",_xlfn.XLOOKUP($B145,'ELC TECH'!$H:$H,'ELC TECH'!AU:AU))</f>
        <v>0.57244799999999996</v>
      </c>
      <c r="BA145" s="12">
        <f>IF(_xlfn.XLOOKUP($B145,'ELC TECH'!$H:$H,'ELC TECH'!$E:$E)="Storage","",_xlfn.XLOOKUP($B145,'ELC TECH'!$H:$H,'ELC TECH'!AV:AV))</f>
        <v>0.57244799999999996</v>
      </c>
      <c r="BB145" s="12">
        <f>IF(_xlfn.XLOOKUP($B145,'ELC TECH'!$H:$H,'ELC TECH'!$E:$E)="Storage","",_xlfn.XLOOKUP($B145,'ELC TECH'!$H:$H,'ELC TECH'!AW:AW))</f>
        <v>0.57244799999999996</v>
      </c>
      <c r="BC145" s="12">
        <f>IF(_xlfn.XLOOKUP($B145,'ELC TECH'!$H:$H,'ELC TECH'!$E:$E)="Storage","",_xlfn.XLOOKUP($B145,'ELC TECH'!$H:$H,'ELC TECH'!AX:AX))</f>
        <v>0.57244799999999996</v>
      </c>
      <c r="BD145" s="12">
        <f>IF(_xlfn.XLOOKUP($B145,'ELC TECH'!$H:$H,'ELC TECH'!$E:$E)="Storage","",_xlfn.XLOOKUP($B145,'ELC TECH'!$H:$H,'ELC TECH'!AY:AY))</f>
        <v>0.57244799999999996</v>
      </c>
      <c r="BE145" s="12">
        <f>IF(_xlfn.XLOOKUP($B145,'ELC TECH'!$H:$H,'ELC TECH'!$E:$E)="Storage","",_xlfn.XLOOKUP($B145,'ELC TECH'!$H:$H,'ELC TECH'!AZ:AZ))</f>
        <v>0.57244799999999996</v>
      </c>
      <c r="BF145" s="12" t="str">
        <f>IF(_xlfn.XLOOKUP($B145,'ELC TECH'!$H:$H,'ELC TECH'!$E:$E)="Storage",_xlfn.XLOOKUP($B145,'ELC TECH'!$H:$H,'ELC TECH'!AS:AS),"")</f>
        <v/>
      </c>
      <c r="BG145" s="12" t="str">
        <f>IF(_xlfn.XLOOKUP($B145,'ELC TECH'!$H:$H,'ELC TECH'!$E:$E)="Storage",_xlfn.XLOOKUP($B145,'ELC TECH'!$H:$H,'ELC TECH'!AT:AT),"")</f>
        <v/>
      </c>
      <c r="BH145" s="12" t="str">
        <f>IF(_xlfn.XLOOKUP($B145,'ELC TECH'!$H:$H,'ELC TECH'!$E:$E)="Storage",_xlfn.XLOOKUP($B145,'ELC TECH'!$H:$H,'ELC TECH'!AU:AU),"")</f>
        <v/>
      </c>
      <c r="BI145" s="12" t="str">
        <f>IF(_xlfn.XLOOKUP($B145,'ELC TECH'!$H:$H,'ELC TECH'!$E:$E)="Storage",_xlfn.XLOOKUP($B145,'ELC TECH'!$H:$H,'ELC TECH'!AV:AV),"")</f>
        <v/>
      </c>
      <c r="BJ145" s="12" t="str">
        <f>IF(_xlfn.XLOOKUP($B145,'ELC TECH'!$H:$H,'ELC TECH'!$E:$E)="Storage",_xlfn.XLOOKUP($B145,'ELC TECH'!$H:$H,'ELC TECH'!AW:AW),"")</f>
        <v/>
      </c>
      <c r="BK145" s="12" t="str">
        <f>IF(_xlfn.XLOOKUP($B145,'ELC TECH'!$H:$H,'ELC TECH'!$E:$E)="Storage",_xlfn.XLOOKUP($B145,'ELC TECH'!$H:$H,'ELC TECH'!AX:AX),"")</f>
        <v/>
      </c>
      <c r="BL145" s="12" t="str">
        <f>IF(_xlfn.XLOOKUP($B145,'ELC TECH'!$H:$H,'ELC TECH'!$E:$E)="Storage",_xlfn.XLOOKUP($B145,'ELC TECH'!$H:$H,'ELC TECH'!AY:AY),"")</f>
        <v/>
      </c>
      <c r="BM145" s="12" t="str">
        <f>IF(_xlfn.XLOOKUP($B145,'ELC TECH'!$H:$H,'ELC TECH'!$E:$E)="Storage",_xlfn.XLOOKUP($B145,'ELC TECH'!$H:$H,'ELC TECH'!AZ:AZ),"")</f>
        <v/>
      </c>
      <c r="BN145" s="8">
        <f>IF(_xlfn.XLOOKUP($B145,'ELC TECH'!$H:$H,'ELC TECH'!$E:$E)="Non Dispatchable",IFERROR($AX145*_xlfn.XLOOKUP($C145,$BM$1:$BM$3,BN$1:BN$3)/SUMPRODUCT(_xlfn.XLOOKUP($C145,$BM$1:$BM$3,$BN$1:$BY$3),$BN$4:$BY$4),""),
"")</f>
        <v>0.7938140000241225</v>
      </c>
      <c r="BO145" s="8">
        <f>IF(_xlfn.XLOOKUP($B145,'ELC TECH'!$H:$H,'ELC TECH'!$E:$E)="Non Dispatchable",IFERROR($AX145*_xlfn.XLOOKUP($C145,$BM$1:$BM$3,BO$1:BO$3)/SUMPRODUCT(_xlfn.XLOOKUP($C145,$BM$1:$BM$3,$BN$1:$BY$3),$BN$4:$BY$4),""),
"")</f>
        <v>0.7938140000241225</v>
      </c>
      <c r="BP145" s="8">
        <f>IF(_xlfn.XLOOKUP($B145,'ELC TECH'!$H:$H,'ELC TECH'!$E:$E)="Non Dispatchable",IFERROR($AX145*_xlfn.XLOOKUP($C145,$BM$1:$BM$3,BP$1:BP$3)/SUMPRODUCT(_xlfn.XLOOKUP($C145,$BM$1:$BM$3,$BN$1:$BY$3),$BN$4:$BY$4),""),
"")</f>
        <v>7.9381400002412256E-2</v>
      </c>
      <c r="BQ145" s="8">
        <f>IF(_xlfn.XLOOKUP($B145,'ELC TECH'!$H:$H,'ELC TECH'!$E:$E)="Non Dispatchable",IFERROR($AX145*_xlfn.XLOOKUP($C145,$BM$1:$BM$3,BQ$1:BQ$3)/SUMPRODUCT(_xlfn.XLOOKUP($C145,$BM$1:$BM$3,$BN$1:$BY$3),$BN$4:$BY$4),""),
"")</f>
        <v>0.63604970819542928</v>
      </c>
      <c r="BR145" s="8">
        <f>IF(_xlfn.XLOOKUP($B145,'ELC TECH'!$H:$H,'ELC TECH'!$E:$E)="Non Dispatchable",IFERROR($AX145*_xlfn.XLOOKUP($C145,$BM$1:$BM$3,BR$1:BR$3)/SUMPRODUCT(_xlfn.XLOOKUP($C145,$BM$1:$BM$3,$BN$1:$BY$3),$BN$4:$BY$4),""),
"")</f>
        <v>0.92371083639170637</v>
      </c>
      <c r="BS145" s="8">
        <f>IF(_xlfn.XLOOKUP($B145,'ELC TECH'!$H:$H,'ELC TECH'!$E:$E)="Non Dispatchable",IFERROR($AX145*_xlfn.XLOOKUP($C145,$BM$1:$BM$3,BS$1:BS$3)/SUMPRODUCT(_xlfn.XLOOKUP($C145,$BM$1:$BM$3,$BN$1:$BY$3),$BN$4:$BY$4),""),
"")</f>
        <v>0.92371083639170637</v>
      </c>
      <c r="BT145" s="8">
        <f>IF(_xlfn.XLOOKUP($B145,'ELC TECH'!$H:$H,'ELC TECH'!$E:$E)="Non Dispatchable",IFERROR($AX145*_xlfn.XLOOKUP($C145,$BM$1:$BM$3,BT$1:BT$3)/SUMPRODUCT(_xlfn.XLOOKUP($C145,$BM$1:$BM$3,$BN$1:$BY$3),$BN$4:$BY$4),""),
"")</f>
        <v>9.237108363917064E-2</v>
      </c>
      <c r="BU145" s="8">
        <f>IF(_xlfn.XLOOKUP($B145,'ELC TECH'!$H:$H,'ELC TECH'!$E:$E)="Non Dispatchable",IFERROR($AX145*_xlfn.XLOOKUP($C145,$BM$1:$BM$3,BU$1:BU$3)/SUMPRODUCT(_xlfn.XLOOKUP($C145,$BM$1:$BM$3,$BN$1:$BY$3),$BN$4:$BY$4),""),
"")</f>
        <v>0.81846947114243362</v>
      </c>
      <c r="BV145" s="8">
        <f>IF(_xlfn.XLOOKUP($B145,'ELC TECH'!$H:$H,'ELC TECH'!$E:$E)="Non Dispatchable",IFERROR($AX145*_xlfn.XLOOKUP($C145,$BM$1:$BM$3,BV$1:BV$3)/SUMPRODUCT(_xlfn.XLOOKUP($C145,$BM$1:$BM$3,$BN$1:$BY$3),$BN$4:$BY$4),""),
"")</f>
        <v>0.4783622246879764</v>
      </c>
      <c r="BW145" s="8">
        <f>IF(_xlfn.XLOOKUP($B145,'ELC TECH'!$H:$H,'ELC TECH'!$E:$E)="Non Dispatchable",IFERROR($AX145*_xlfn.XLOOKUP($C145,$BM$1:$BM$3,BW$1:BW$3)/SUMPRODUCT(_xlfn.XLOOKUP($C145,$BM$1:$BM$3,$BN$1:$BY$3),$BN$4:$BY$4),""),
"")</f>
        <v>0.4783622246879764</v>
      </c>
      <c r="BX145" s="8">
        <f>IF(_xlfn.XLOOKUP($B145,'ELC TECH'!$H:$H,'ELC TECH'!$E:$E)="Non Dispatchable",IFERROR($AX145*_xlfn.XLOOKUP($C145,$BM$1:$BM$3,BX$1:BX$3)/SUMPRODUCT(_xlfn.XLOOKUP($C145,$BM$1:$BM$3,$BN$1:$BY$3),$BN$4:$BY$4),""),
"")</f>
        <v>4.7836222468797644E-2</v>
      </c>
      <c r="BY145" s="8">
        <f>IF(_xlfn.XLOOKUP($B145,'ELC TECH'!$H:$H,'ELC TECH'!$E:$E)="Non Dispatchable",IFERROR($AX145*_xlfn.XLOOKUP($C145,$BM$1:$BM$3,BY$1:BY$3)/SUMPRODUCT(_xlfn.XLOOKUP($C145,$BM$1:$BM$3,$BN$1:$BY$3),$BN$4:$BY$4),""),
"")</f>
        <v>0.34965940858695488</v>
      </c>
      <c r="BZ145" s="8">
        <f>IF(_xlfn.XLOOKUP($B145,'ELC TECH'!$H:$H,'ELC TECH'!$E:$E)="Non Dispatchable",IFERROR($AX145*_xlfn.XLOOKUP($C145,$BM$1:$BM$3,BZ$1:BZ$3)/SUMPRODUCT(_xlfn.XLOOKUP($C145,$BM$1:$BM$3,$BN$1:$BY$3),$BN$4:$BY$4),""),
"")</f>
        <v>0.7938140000241225</v>
      </c>
      <c r="CA145" s="8">
        <f>IF(_xlfn.XLOOKUP($B145,'ELC TECH'!$H:$H,'ELC TECH'!$E:$E)="Non Dispatchable",IFERROR($AX145*_xlfn.XLOOKUP($C145,$BM$1:$BM$3,CA$1:CA$3)/SUMPRODUCT(_xlfn.XLOOKUP($C145,$BM$1:$BM$3,$BN$1:$BY$3),$BN$4:$BY$4),""),
"")</f>
        <v>0.7938140000241225</v>
      </c>
      <c r="CB145" s="8">
        <f>IF(_xlfn.XLOOKUP($B145,'ELC TECH'!$H:$H,'ELC TECH'!$E:$E)="Non Dispatchable",IFERROR($AX145*_xlfn.XLOOKUP($C145,$BM$1:$BM$3,CB$1:CB$3)/SUMPRODUCT(_xlfn.XLOOKUP($C145,$BM$1:$BM$3,$BN$1:$BY$3),$BN$4:$BY$4),""),
"")</f>
        <v>7.9381400002412256E-2</v>
      </c>
      <c r="CC145" s="8">
        <f>IF(_xlfn.XLOOKUP($B145,'ELC TECH'!$H:$H,'ELC TECH'!$E:$E)="Non Dispatchable",IFERROR($AX145*_xlfn.XLOOKUP($C145,$BM$1:$BM$3,CC$1:CC$3)/SUMPRODUCT(_xlfn.XLOOKUP($C145,$BM$1:$BM$3,$BN$1:$BY$3),$BN$4:$BY$4),""),
"")</f>
        <v>0.63604970819542928</v>
      </c>
      <c r="CD145" s="8">
        <f>IF(_xlfn.XLOOKUP($B145,'ELC TECH'!$H:$H,'ELC TECH'!$E:$E)="Non Dispatchable",IFERROR($AX145*_xlfn.XLOOKUP($C145,$BM$1:$BM$3,CD$1:CD$3)/SUMPRODUCT(_xlfn.XLOOKUP($C145,$BM$1:$BM$3,$BN$1:$BY$3),$BN$4:$BY$4),""),
"")</f>
        <v>0.92371083639170637</v>
      </c>
      <c r="CE145" s="8">
        <f>IF(_xlfn.XLOOKUP($B145,'ELC TECH'!$H:$H,'ELC TECH'!$E:$E)="Non Dispatchable",IFERROR($AX145*_xlfn.XLOOKUP($C145,$BM$1:$BM$3,CE$1:CE$3)/SUMPRODUCT(_xlfn.XLOOKUP($C145,$BM$1:$BM$3,$BN$1:$BY$3),$BN$4:$BY$4),""),
"")</f>
        <v>0.92371083639170637</v>
      </c>
      <c r="CF145" s="8">
        <f>IF(_xlfn.XLOOKUP($B145,'ELC TECH'!$H:$H,'ELC TECH'!$E:$E)="Non Dispatchable",IFERROR($AX145*_xlfn.XLOOKUP($C145,$BM$1:$BM$3,CF$1:CF$3)/SUMPRODUCT(_xlfn.XLOOKUP($C145,$BM$1:$BM$3,$BN$1:$BY$3),$BN$4:$BY$4),""),
"")</f>
        <v>9.237108363917064E-2</v>
      </c>
      <c r="CG145" s="8">
        <f>IF(_xlfn.XLOOKUP($B145,'ELC TECH'!$H:$H,'ELC TECH'!$E:$E)="Non Dispatchable",IFERROR($AX145*_xlfn.XLOOKUP($C145,$BM$1:$BM$3,CG$1:CG$3)/SUMPRODUCT(_xlfn.XLOOKUP($C145,$BM$1:$BM$3,$BN$1:$BY$3),$BN$4:$BY$4),""),
"")</f>
        <v>0.81846947114243362</v>
      </c>
      <c r="CH145" s="8">
        <f>IF(_xlfn.XLOOKUP($B145,'ELC TECH'!$H:$H,'ELC TECH'!$E:$E)="Non Dispatchable",IFERROR($AX145*_xlfn.XLOOKUP($C145,$BM$1:$BM$3,CH$1:CH$3)/SUMPRODUCT(_xlfn.XLOOKUP($C145,$BM$1:$BM$3,$BN$1:$BY$3),$BN$4:$BY$4),""),
"")</f>
        <v>0.4783622246879764</v>
      </c>
      <c r="CI145" s="8">
        <f>IF(_xlfn.XLOOKUP($B145,'ELC TECH'!$H:$H,'ELC TECH'!$E:$E)="Non Dispatchable",IFERROR($AX145*_xlfn.XLOOKUP($C145,$BM$1:$BM$3,CI$1:CI$3)/SUMPRODUCT(_xlfn.XLOOKUP($C145,$BM$1:$BM$3,$BN$1:$BY$3),$BN$4:$BY$4),""),
"")</f>
        <v>0.4783622246879764</v>
      </c>
      <c r="CJ145" s="8">
        <f>IF(_xlfn.XLOOKUP($B145,'ELC TECH'!$H:$H,'ELC TECH'!$E:$E)="Non Dispatchable",IFERROR($AX145*_xlfn.XLOOKUP($C145,$BM$1:$BM$3,CJ$1:CJ$3)/SUMPRODUCT(_xlfn.XLOOKUP($C145,$BM$1:$BM$3,$BN$1:$BY$3),$BN$4:$BY$4),""),
"")</f>
        <v>4.7836222468797644E-2</v>
      </c>
      <c r="CK145" s="8">
        <f>IF(_xlfn.XLOOKUP($B145,'ELC TECH'!$H:$H,'ELC TECH'!$E:$E)="Non Dispatchable",IFERROR($AX145*_xlfn.XLOOKUP($C145,$BM$1:$BM$3,CK$1:CK$3)/SUMPRODUCT(_xlfn.XLOOKUP($C145,$BM$1:$BM$3,$BN$1:$BY$3),$BN$4:$BY$4),""),
"")</f>
        <v>0.34965940858695488</v>
      </c>
      <c r="CL145" s="8" t="str">
        <f>IF(_xlfn.XLOOKUP($B145,'ELC TECH'!$H:$H,'ELC TECH'!$E:$E)="Storage",CL$4*$BF145,"")</f>
        <v/>
      </c>
      <c r="CM145" s="8" t="str">
        <f>IF(_xlfn.XLOOKUP($B145,'ELC TECH'!$H:$H,'ELC TECH'!$E:$E)="Storage",CM$4*$BF145,"")</f>
        <v/>
      </c>
      <c r="CN145" s="8" t="str">
        <f>IF(_xlfn.XLOOKUP($B145,'ELC TECH'!$H:$H,'ELC TECH'!$E:$E)="Storage",CN$4*$BF145,"")</f>
        <v/>
      </c>
      <c r="CO145" s="8" t="str">
        <f>IF(_xlfn.XLOOKUP($B145,'ELC TECH'!$H:$H,'ELC TECH'!$E:$E)="Storage",CO$4*$BF145,"")</f>
        <v/>
      </c>
      <c r="CP145" s="8" t="str">
        <f>IF(_xlfn.XLOOKUP($B145,'ELC TECH'!$H:$H,'ELC TECH'!$E:$E)="Storage",CP$4*$BF145,"")</f>
        <v/>
      </c>
      <c r="CQ145" s="8" t="str">
        <f>IF(_xlfn.XLOOKUP($B145,'ELC TECH'!$H:$H,'ELC TECH'!$E:$E)="Storage",CQ$4*$BF145,"")</f>
        <v/>
      </c>
      <c r="CR145" s="8" t="str">
        <f>IF(_xlfn.XLOOKUP($B145,'ELC TECH'!$H:$H,'ELC TECH'!$E:$E)="Storage",CR$4*$BF145,"")</f>
        <v/>
      </c>
      <c r="CS145" s="8" t="str">
        <f>IF(_xlfn.XLOOKUP($B145,'ELC TECH'!$H:$H,'ELC TECH'!$E:$E)="Storage",CS$4*$BF145,"")</f>
        <v/>
      </c>
      <c r="CT145" s="8" t="str">
        <f>IF(_xlfn.XLOOKUP($B145,'ELC TECH'!$H:$H,'ELC TECH'!$E:$E)="Storage",CT$4*$BF145,"")</f>
        <v/>
      </c>
      <c r="CU145" s="8" t="str">
        <f>IF(_xlfn.XLOOKUP($B145,'ELC TECH'!$H:$H,'ELC TECH'!$E:$E)="Storage",CU$4*$BF145,"")</f>
        <v/>
      </c>
      <c r="CV145" s="8" t="str">
        <f>IF(_xlfn.XLOOKUP($B145,'ELC TECH'!$H:$H,'ELC TECH'!$E:$E)="Storage",CV$4*$BF145,"")</f>
        <v/>
      </c>
      <c r="CW145" s="8" t="str">
        <f>IF(_xlfn.XLOOKUP($B145,'ELC TECH'!$H:$H,'ELC TECH'!$E:$E)="Storage",CW$4*$BF145,"")</f>
        <v/>
      </c>
      <c r="CX145" s="8" t="str">
        <f>IF(_xlfn.XLOOKUP($B145,'ELC TECH'!$H:$H,'ELC TECH'!$E:$E)="Storage",CX$4*$BF145,"")</f>
        <v/>
      </c>
      <c r="CY145" s="8" t="str">
        <f>IF(_xlfn.XLOOKUP($B145,'ELC TECH'!$H:$H,'ELC TECH'!$E:$E)="Storage",CY$4*$BF145,"")</f>
        <v/>
      </c>
      <c r="CZ145" s="8" t="str">
        <f>IF(_xlfn.XLOOKUP($B145,'ELC TECH'!$H:$H,'ELC TECH'!$E:$E)="Storage",CZ$4*$BF145,"")</f>
        <v/>
      </c>
      <c r="DA145" s="8" t="str">
        <f>IF(_xlfn.XLOOKUP($B145,'ELC TECH'!$H:$H,'ELC TECH'!$E:$E)="Storage",DA$4*$BF145,"")</f>
        <v/>
      </c>
      <c r="DB145" s="8" t="str">
        <f>IF(_xlfn.XLOOKUP($B145,'ELC TECH'!$H:$H,'ELC TECH'!$E:$E)="Storage",DB$4*$BF145,"")</f>
        <v/>
      </c>
      <c r="DC145" s="8" t="str">
        <f>IF(_xlfn.XLOOKUP($B145,'ELC TECH'!$H:$H,'ELC TECH'!$E:$E)="Storage",DC$4*$BF145,"")</f>
        <v/>
      </c>
      <c r="DD145" s="8" t="str">
        <f>IF(_xlfn.XLOOKUP($B145,'ELC TECH'!$H:$H,'ELC TECH'!$E:$E)="Storage",DD$4*$BF145,"")</f>
        <v/>
      </c>
      <c r="DE145" s="8" t="str">
        <f>IF(_xlfn.XLOOKUP($B145,'ELC TECH'!$H:$H,'ELC TECH'!$E:$E)="Storage",DE$4*$BF145,"")</f>
        <v/>
      </c>
      <c r="DF145" s="8" t="str">
        <f>IF(_xlfn.XLOOKUP($B145,'ELC TECH'!$H:$H,'ELC TECH'!$E:$E)="Storage",DF$4*$BF145,"")</f>
        <v/>
      </c>
      <c r="DG145" s="8" t="str">
        <f>IF(_xlfn.XLOOKUP($B145,'ELC TECH'!$H:$H,'ELC TECH'!$E:$E)="Storage",DG$4*$BF145,"")</f>
        <v/>
      </c>
      <c r="DH145" s="8" t="str">
        <f>IF(_xlfn.XLOOKUP($B145,'ELC TECH'!$H:$H,'ELC TECH'!$E:$E)="Storage",DH$4*$BF145,"")</f>
        <v/>
      </c>
      <c r="DI145" s="8" t="str">
        <f>IF(_xlfn.XLOOKUP($B145,'ELC TECH'!$H:$H,'ELC TECH'!$E:$E)="Storage",DI$4*$BF145,"")</f>
        <v/>
      </c>
    </row>
    <row r="146" spans="2:113" x14ac:dyDescent="0.25">
      <c r="B146" t="str">
        <f>IF('ELC TECH'!I139=0,"*",'ELC TECH'!H139)</f>
        <v>ELCWNDDCECDWC220</v>
      </c>
      <c r="C146" t="str">
        <f>IF(_xlfn.XLOOKUP(_xlfn.XLOOKUP(B146,'ELC TECH'!$H:$H,'ELC TECH'!$G:$G),List!C:C,List!B:B)="STG",D146,"ELC"&amp;_xlfn.XLOOKUP(_xlfn.XLOOKUP(B146,'ELC TECH'!H:H,'ELC TECH'!G:G),List!C:C,List!B:B))</f>
        <v>ELCWND</v>
      </c>
      <c r="D146" t="s">
        <v>544</v>
      </c>
      <c r="E146">
        <f>_xlfn.XLOOKUP(B146,'ELC TECH'!H:H,'ELC TECH'!D:D)</f>
        <v>2020</v>
      </c>
      <c r="F146">
        <f>_xlfn.XLOOKUP(B146,'ELC TECH'!H:H,'ELC TECH'!K:K)</f>
        <v>30</v>
      </c>
      <c r="G146">
        <f t="shared" si="8"/>
        <v>31.535999999999998</v>
      </c>
      <c r="H146">
        <f>IF(_xlfn.XLOOKUP(B146,'ELC TECH'!$H:$H,'ELC TECH'!$E:$E)="Storage",0.3,IF(_xlfn.XLOOKUP(B146,'ELC TECH'!$H:$H,'ELC TECH'!$E:$E)="Baseload",0.9,IF(_xlfn.XLOOKUP(B146,'ELC TECH'!$H:$H,'ELC TECH'!$E:$E)="Non Dispatchable",0.05,IF(_xlfn.XLOOKUP(B146,'ELC TECH'!$H:$H,'ELC TECH'!$E:$E)="Dispatchable",0.9,1))))</f>
        <v>0.05</v>
      </c>
      <c r="I146" s="13">
        <f>IF(_xlfn.XLOOKUP(B146,'ELC TECH'!H:H,'ELC TECH'!J:J)="","",_xlfn.XLOOKUP(B146,'ELC TECH'!H:H,'ELC TECH'!J:J))</f>
        <v>233.39318333333341</v>
      </c>
      <c r="J146" s="12">
        <f>IF(_xlfn.XLOOKUP($B146,'ELC TECH'!$H:$H,'ELC TECH'!$E:$E)="Storage","",IF(_xlfn.XLOOKUP($B146,'ELC TECH'!$H:$H,'ELC TECH'!AK:AK)="",1,_xlfn.XLOOKUP($B146,'ELC TECH'!$H:$H,'ELC TECH'!AK:AK)))</f>
        <v>1</v>
      </c>
      <c r="K146" s="12">
        <f>IF(_xlfn.XLOOKUP($B146,'ELC TECH'!$H:$H,'ELC TECH'!$E:$E)="Storage","",IF(_xlfn.XLOOKUP($B146,'ELC TECH'!$H:$H,'ELC TECH'!AL:AL)="",1,_xlfn.XLOOKUP($B146,'ELC TECH'!$H:$H,'ELC TECH'!AL:AL)))</f>
        <v>1</v>
      </c>
      <c r="L146" s="12">
        <f>IF(_xlfn.XLOOKUP($B146,'ELC TECH'!$H:$H,'ELC TECH'!$E:$E)="Storage","",IF(_xlfn.XLOOKUP($B146,'ELC TECH'!$H:$H,'ELC TECH'!AM:AM)="",1,_xlfn.XLOOKUP($B146,'ELC TECH'!$H:$H,'ELC TECH'!AM:AM)))</f>
        <v>1</v>
      </c>
      <c r="M146" s="12">
        <f>IF(_xlfn.XLOOKUP($B146,'ELC TECH'!$H:$H,'ELC TECH'!$E:$E)="Storage","",IF(_xlfn.XLOOKUP($B146,'ELC TECH'!$H:$H,'ELC TECH'!AN:AN)="",1,_xlfn.XLOOKUP($B146,'ELC TECH'!$H:$H,'ELC TECH'!AN:AN)))</f>
        <v>1</v>
      </c>
      <c r="N146" s="12">
        <f>IF(_xlfn.XLOOKUP($B146,'ELC TECH'!$H:$H,'ELC TECH'!$E:$E)="Storage","",IF(_xlfn.XLOOKUP($B146,'ELC TECH'!$H:$H,'ELC TECH'!AO:AO)="",1,_xlfn.XLOOKUP($B146,'ELC TECH'!$H:$H,'ELC TECH'!AO:AO)))</f>
        <v>1</v>
      </c>
      <c r="O146" s="12">
        <f>IF(_xlfn.XLOOKUP($B146,'ELC TECH'!$H:$H,'ELC TECH'!$E:$E)="Storage","",IF(_xlfn.XLOOKUP($B146,'ELC TECH'!$H:$H,'ELC TECH'!AP:AP)="",1,_xlfn.XLOOKUP($B146,'ELC TECH'!$H:$H,'ELC TECH'!AP:AP)))</f>
        <v>1</v>
      </c>
      <c r="P146" s="12">
        <f>IF(_xlfn.XLOOKUP($B146,'ELC TECH'!$H:$H,'ELC TECH'!$E:$E)="Storage","",IF(_xlfn.XLOOKUP($B146,'ELC TECH'!$H:$H,'ELC TECH'!AQ:AQ)="",1,_xlfn.XLOOKUP($B146,'ELC TECH'!$H:$H,'ELC TECH'!AQ:AQ)))</f>
        <v>1</v>
      </c>
      <c r="Q146" s="12">
        <f>IF(_xlfn.XLOOKUP($B146,'ELC TECH'!$H:$H,'ELC TECH'!$E:$E)="Storage","",IF(_xlfn.XLOOKUP($B146,'ELC TECH'!$H:$H,'ELC TECH'!AR:AR)="",1,_xlfn.XLOOKUP($B146,'ELC TECH'!$H:$H,'ELC TECH'!AR:AR)))</f>
        <v>1</v>
      </c>
      <c r="R146" s="12" t="str">
        <f>IF(_xlfn.XLOOKUP($B146,'ELC TECH'!$H:$H,'ELC TECH'!$E:$E)&lt;&gt;"Storage","",IF(_xlfn.XLOOKUP($B146,'ELC TECH'!$H:$H,'ELC TECH'!AK:AK)="",0.8,_xlfn.XLOOKUP($B146,'ELC TECH'!$H:$H,'ELC TECH'!AK:AK)))</f>
        <v/>
      </c>
      <c r="S146" s="12" t="str">
        <f>IF(_xlfn.XLOOKUP($B146,'ELC TECH'!$H:$H,'ELC TECH'!$E:$E)&lt;&gt;"Storage","",IF(_xlfn.XLOOKUP($B146,'ELC TECH'!$H:$H,'ELC TECH'!AL:AL)="",0.8,_xlfn.XLOOKUP($B146,'ELC TECH'!$H:$H,'ELC TECH'!AL:AL)))</f>
        <v/>
      </c>
      <c r="T146" s="12" t="str">
        <f>IF(_xlfn.XLOOKUP($B146,'ELC TECH'!$H:$H,'ELC TECH'!$E:$E)&lt;&gt;"Storage","",IF(_xlfn.XLOOKUP($B146,'ELC TECH'!$H:$H,'ELC TECH'!AM:AM)="",0.8,_xlfn.XLOOKUP($B146,'ELC TECH'!$H:$H,'ELC TECH'!AM:AM)))</f>
        <v/>
      </c>
      <c r="U146" s="12" t="str">
        <f>IF(_xlfn.XLOOKUP($B146,'ELC TECH'!$H:$H,'ELC TECH'!$E:$E)&lt;&gt;"Storage","",IF(_xlfn.XLOOKUP($B146,'ELC TECH'!$H:$H,'ELC TECH'!AN:AN)="",0.8,_xlfn.XLOOKUP($B146,'ELC TECH'!$H:$H,'ELC TECH'!AN:AN)))</f>
        <v/>
      </c>
      <c r="V146" s="12" t="str">
        <f>IF(_xlfn.XLOOKUP($B146,'ELC TECH'!$H:$H,'ELC TECH'!$E:$E)&lt;&gt;"Storage","",IF(_xlfn.XLOOKUP($B146,'ELC TECH'!$H:$H,'ELC TECH'!AO:AO)="",0.8,_xlfn.XLOOKUP($B146,'ELC TECH'!$H:$H,'ELC TECH'!AO:AO)))</f>
        <v/>
      </c>
      <c r="W146" s="12" t="str">
        <f>IF(_xlfn.XLOOKUP($B146,'ELC TECH'!$H:$H,'ELC TECH'!$E:$E)&lt;&gt;"Storage","",IF(_xlfn.XLOOKUP($B146,'ELC TECH'!$H:$H,'ELC TECH'!AP:AP)="",0.8,_xlfn.XLOOKUP($B146,'ELC TECH'!$H:$H,'ELC TECH'!AP:AP)))</f>
        <v/>
      </c>
      <c r="X146" s="12" t="str">
        <f>IF(_xlfn.XLOOKUP($B146,'ELC TECH'!$H:$H,'ELC TECH'!$E:$E)&lt;&gt;"Storage","",IF(_xlfn.XLOOKUP($B146,'ELC TECH'!$H:$H,'ELC TECH'!AQ:AQ)="",0.8,_xlfn.XLOOKUP($B146,'ELC TECH'!$H:$H,'ELC TECH'!AQ:AQ)))</f>
        <v/>
      </c>
      <c r="Y146" s="12" t="str">
        <f>IF(_xlfn.XLOOKUP($B146,'ELC TECH'!$H:$H,'ELC TECH'!$E:$E)&lt;&gt;"Storage","",IF(_xlfn.XLOOKUP($B146,'ELC TECH'!$H:$H,'ELC TECH'!AR:AR)="",0.8,_xlfn.XLOOKUP($B146,'ELC TECH'!$H:$H,'ELC TECH'!AR:AR)))</f>
        <v/>
      </c>
      <c r="Z146" s="15">
        <f>_xlfn.XLOOKUP($B146,'ELC TECH'!$H:$H,'ELC TECH'!M:M)</f>
        <v>4917.4184525969313</v>
      </c>
      <c r="AA146" s="15">
        <f>_xlfn.XLOOKUP($B146,'ELC TECH'!$H:$H,'ELC TECH'!N:N)</f>
        <v>4821.6848284228936</v>
      </c>
      <c r="AB146" s="15">
        <f>_xlfn.XLOOKUP($B146,'ELC TECH'!$H:$H,'ELC TECH'!O:O)</f>
        <v>2984.1897708938181</v>
      </c>
      <c r="AC146" s="15">
        <f>_xlfn.XLOOKUP($B146,'ELC TECH'!$H:$H,'ELC TECH'!P:P)</f>
        <v>2539.1896953994678</v>
      </c>
      <c r="AD146" s="15">
        <f>_xlfn.XLOOKUP($B146,'ELC TECH'!$H:$H,'ELC TECH'!Q:Q)</f>
        <v>2093.9800186842722</v>
      </c>
      <c r="AE146" s="15">
        <f>_xlfn.XLOOKUP($B146,'ELC TECH'!$H:$H,'ELC TECH'!R:R)</f>
        <v>1896.095935565756</v>
      </c>
      <c r="AF146" s="15">
        <f>_xlfn.XLOOKUP($B146,'ELC TECH'!$H:$H,'ELC TECH'!S:S)</f>
        <v>1698.211852447241</v>
      </c>
      <c r="AG146" s="15">
        <f>_xlfn.XLOOKUP($B146,'ELC TECH'!$H:$H,'ELC TECH'!T:T)</f>
        <v>1698.211852447241</v>
      </c>
      <c r="AH146" s="15">
        <f>_xlfn.XLOOKUP($B146,'ELC TECH'!$H:$H,'ELC TECH'!U:U)</f>
        <v>41.27117929699714</v>
      </c>
      <c r="AI146" s="15">
        <f>_xlfn.XLOOKUP($B146,'ELC TECH'!$H:$H,'ELC TECH'!V:V)</f>
        <v>40.608188464916751</v>
      </c>
      <c r="AJ146" s="15">
        <f>_xlfn.XLOOKUP($B146,'ELC TECH'!$H:$H,'ELC TECH'!W:W)</f>
        <v>39.779449924816397</v>
      </c>
      <c r="AK146" s="15">
        <f>_xlfn.XLOOKUP($B146,'ELC TECH'!$H:$H,'ELC TECH'!X:X)</f>
        <v>39.157896019741258</v>
      </c>
      <c r="AL146" s="15">
        <f>_xlfn.XLOOKUP($B146,'ELC TECH'!$H:$H,'ELC TECH'!Y:Y)</f>
        <v>38.536342114665999</v>
      </c>
      <c r="AM146" s="15">
        <f>_xlfn.XLOOKUP($B146,'ELC TECH'!$H:$H,'ELC TECH'!Z:Z)</f>
        <v>37.914788209590739</v>
      </c>
      <c r="AN146" s="15">
        <f>_xlfn.XLOOKUP($B146,'ELC TECH'!$H:$H,'ELC TECH'!AA:AA)</f>
        <v>37.293234304515479</v>
      </c>
      <c r="AO146" s="15">
        <f>_xlfn.XLOOKUP($B146,'ELC TECH'!$H:$H,'ELC TECH'!AB:AB)</f>
        <v>37.293234304515479</v>
      </c>
      <c r="AP146" s="15">
        <f>_xlfn.XLOOKUP($B146,'ELC TECH'!$H:$H,'ELC TECH'!AC:AC)</f>
        <v>0</v>
      </c>
      <c r="AQ146" s="15">
        <f>_xlfn.XLOOKUP($B146,'ELC TECH'!$H:$H,'ELC TECH'!AD:AD)</f>
        <v>0</v>
      </c>
      <c r="AR146" s="15">
        <f>_xlfn.XLOOKUP($B146,'ELC TECH'!$H:$H,'ELC TECH'!AE:AE)</f>
        <v>0</v>
      </c>
      <c r="AS146" s="15">
        <f>_xlfn.XLOOKUP($B146,'ELC TECH'!$H:$H,'ELC TECH'!AF:AF)</f>
        <v>0</v>
      </c>
      <c r="AT146" s="15">
        <f>_xlfn.XLOOKUP($B146,'ELC TECH'!$H:$H,'ELC TECH'!AG:AG)</f>
        <v>0</v>
      </c>
      <c r="AU146" s="15">
        <f>_xlfn.XLOOKUP($B146,'ELC TECH'!$H:$H,'ELC TECH'!AH:AH)</f>
        <v>0</v>
      </c>
      <c r="AV146" s="15">
        <f>_xlfn.XLOOKUP($B146,'ELC TECH'!$H:$H,'ELC TECH'!AI:AI)</f>
        <v>0</v>
      </c>
      <c r="AW146" s="15">
        <f>_xlfn.XLOOKUP($B146,'ELC TECH'!$H:$H,'ELC TECH'!AJ:AJ)</f>
        <v>0</v>
      </c>
      <c r="AX146" s="12">
        <f>IF(_xlfn.XLOOKUP($B146,'ELC TECH'!$H:$H,'ELC TECH'!$E:$E)="Storage","",_xlfn.XLOOKUP($B146,'ELC TECH'!$H:$H,'ELC TECH'!AS:AS))</f>
        <v>0.41202549999999999</v>
      </c>
      <c r="AY146" s="12">
        <f>IF(_xlfn.XLOOKUP($B146,'ELC TECH'!$H:$H,'ELC TECH'!$E:$E)="Storage","",_xlfn.XLOOKUP($B146,'ELC TECH'!$H:$H,'ELC TECH'!AT:AT))</f>
        <v>0.46773949999999997</v>
      </c>
      <c r="AZ146" s="12">
        <f>IF(_xlfn.XLOOKUP($B146,'ELC TECH'!$H:$H,'ELC TECH'!$E:$E)="Storage","",_xlfn.XLOOKUP($B146,'ELC TECH'!$H:$H,'ELC TECH'!AU:AU))</f>
        <v>0.53738200000000003</v>
      </c>
      <c r="BA146" s="12">
        <f>IF(_xlfn.XLOOKUP($B146,'ELC TECH'!$H:$H,'ELC TECH'!$E:$E)="Storage","",_xlfn.XLOOKUP($B146,'ELC TECH'!$H:$H,'ELC TECH'!AV:AV))</f>
        <v>0.53738200000000003</v>
      </c>
      <c r="BB146" s="12">
        <f>IF(_xlfn.XLOOKUP($B146,'ELC TECH'!$H:$H,'ELC TECH'!$E:$E)="Storage","",_xlfn.XLOOKUP($B146,'ELC TECH'!$H:$H,'ELC TECH'!AW:AW))</f>
        <v>0.53738200000000003</v>
      </c>
      <c r="BC146" s="12">
        <f>IF(_xlfn.XLOOKUP($B146,'ELC TECH'!$H:$H,'ELC TECH'!$E:$E)="Storage","",_xlfn.XLOOKUP($B146,'ELC TECH'!$H:$H,'ELC TECH'!AX:AX))</f>
        <v>0.53738200000000003</v>
      </c>
      <c r="BD146" s="12">
        <f>IF(_xlfn.XLOOKUP($B146,'ELC TECH'!$H:$H,'ELC TECH'!$E:$E)="Storage","",_xlfn.XLOOKUP($B146,'ELC TECH'!$H:$H,'ELC TECH'!AY:AY))</f>
        <v>0.53738200000000003</v>
      </c>
      <c r="BE146" s="12">
        <f>IF(_xlfn.XLOOKUP($B146,'ELC TECH'!$H:$H,'ELC TECH'!$E:$E)="Storage","",_xlfn.XLOOKUP($B146,'ELC TECH'!$H:$H,'ELC TECH'!AZ:AZ))</f>
        <v>0.53738200000000003</v>
      </c>
      <c r="BF146" s="12" t="str">
        <f>IF(_xlfn.XLOOKUP($B146,'ELC TECH'!$H:$H,'ELC TECH'!$E:$E)="Storage",_xlfn.XLOOKUP($B146,'ELC TECH'!$H:$H,'ELC TECH'!AS:AS),"")</f>
        <v/>
      </c>
      <c r="BG146" s="12" t="str">
        <f>IF(_xlfn.XLOOKUP($B146,'ELC TECH'!$H:$H,'ELC TECH'!$E:$E)="Storage",_xlfn.XLOOKUP($B146,'ELC TECH'!$H:$H,'ELC TECH'!AT:AT),"")</f>
        <v/>
      </c>
      <c r="BH146" s="12" t="str">
        <f>IF(_xlfn.XLOOKUP($B146,'ELC TECH'!$H:$H,'ELC TECH'!$E:$E)="Storage",_xlfn.XLOOKUP($B146,'ELC TECH'!$H:$H,'ELC TECH'!AU:AU),"")</f>
        <v/>
      </c>
      <c r="BI146" s="12" t="str">
        <f>IF(_xlfn.XLOOKUP($B146,'ELC TECH'!$H:$H,'ELC TECH'!$E:$E)="Storage",_xlfn.XLOOKUP($B146,'ELC TECH'!$H:$H,'ELC TECH'!AV:AV),"")</f>
        <v/>
      </c>
      <c r="BJ146" s="12" t="str">
        <f>IF(_xlfn.XLOOKUP($B146,'ELC TECH'!$H:$H,'ELC TECH'!$E:$E)="Storage",_xlfn.XLOOKUP($B146,'ELC TECH'!$H:$H,'ELC TECH'!AW:AW),"")</f>
        <v/>
      </c>
      <c r="BK146" s="12" t="str">
        <f>IF(_xlfn.XLOOKUP($B146,'ELC TECH'!$H:$H,'ELC TECH'!$E:$E)="Storage",_xlfn.XLOOKUP($B146,'ELC TECH'!$H:$H,'ELC TECH'!AX:AX),"")</f>
        <v/>
      </c>
      <c r="BL146" s="12" t="str">
        <f>IF(_xlfn.XLOOKUP($B146,'ELC TECH'!$H:$H,'ELC TECH'!$E:$E)="Storage",_xlfn.XLOOKUP($B146,'ELC TECH'!$H:$H,'ELC TECH'!AY:AY),"")</f>
        <v/>
      </c>
      <c r="BM146" s="12" t="str">
        <f>IF(_xlfn.XLOOKUP($B146,'ELC TECH'!$H:$H,'ELC TECH'!$E:$E)="Storage",_xlfn.XLOOKUP($B146,'ELC TECH'!$H:$H,'ELC TECH'!AZ:AZ),"")</f>
        <v/>
      </c>
      <c r="BN146" s="8">
        <f>IF(_xlfn.XLOOKUP($B146,'ELC TECH'!$H:$H,'ELC TECH'!$E:$E)="Non Dispatchable",IFERROR($AX146*_xlfn.XLOOKUP($C146,$BM$1:$BM$3,BN$1:BN$3)/SUMPRODUCT(_xlfn.XLOOKUP($C146,$BM$1:$BM$3,$BN$1:$BY$3),$BN$4:$BY$4),""),
"")</f>
        <v>0.72351739671050641</v>
      </c>
      <c r="BO146" s="8">
        <f>IF(_xlfn.XLOOKUP($B146,'ELC TECH'!$H:$H,'ELC TECH'!$E:$E)="Non Dispatchable",IFERROR($AX146*_xlfn.XLOOKUP($C146,$BM$1:$BM$3,BO$1:BO$3)/SUMPRODUCT(_xlfn.XLOOKUP($C146,$BM$1:$BM$3,$BN$1:$BY$3),$BN$4:$BY$4),""),
"")</f>
        <v>0.72351739671050641</v>
      </c>
      <c r="BP146" s="8">
        <f>IF(_xlfn.XLOOKUP($B146,'ELC TECH'!$H:$H,'ELC TECH'!$E:$E)="Non Dispatchable",IFERROR($AX146*_xlfn.XLOOKUP($C146,$BM$1:$BM$3,BP$1:BP$3)/SUMPRODUCT(_xlfn.XLOOKUP($C146,$BM$1:$BM$3,$BN$1:$BY$3),$BN$4:$BY$4),""),
"")</f>
        <v>7.2351739671050644E-2</v>
      </c>
      <c r="BQ146" s="8">
        <f>IF(_xlfn.XLOOKUP($B146,'ELC TECH'!$H:$H,'ELC TECH'!$E:$E)="Non Dispatchable",IFERROR($AX146*_xlfn.XLOOKUP($C146,$BM$1:$BM$3,BQ$1:BQ$3)/SUMPRODUCT(_xlfn.XLOOKUP($C146,$BM$1:$BM$3,$BN$1:$BY$3),$BN$4:$BY$4),""),
"")</f>
        <v>0.57972400214414188</v>
      </c>
      <c r="BR146" s="8">
        <f>IF(_xlfn.XLOOKUP($B146,'ELC TECH'!$H:$H,'ELC TECH'!$E:$E)="Non Dispatchable",IFERROR($AX146*_xlfn.XLOOKUP($C146,$BM$1:$BM$3,BR$1:BR$3)/SUMPRODUCT(_xlfn.XLOOKUP($C146,$BM$1:$BM$3,$BN$1:$BY$3),$BN$4:$BY$4),""),
"")</f>
        <v>0.84191115253586213</v>
      </c>
      <c r="BS146" s="8">
        <f>IF(_xlfn.XLOOKUP($B146,'ELC TECH'!$H:$H,'ELC TECH'!$E:$E)="Non Dispatchable",IFERROR($AX146*_xlfn.XLOOKUP($C146,$BM$1:$BM$3,BS$1:BS$3)/SUMPRODUCT(_xlfn.XLOOKUP($C146,$BM$1:$BM$3,$BN$1:$BY$3),$BN$4:$BY$4),""),
"")</f>
        <v>0.84191115253586213</v>
      </c>
      <c r="BT146" s="8">
        <f>IF(_xlfn.XLOOKUP($B146,'ELC TECH'!$H:$H,'ELC TECH'!$E:$E)="Non Dispatchable",IFERROR($AX146*_xlfn.XLOOKUP($C146,$BM$1:$BM$3,BT$1:BT$3)/SUMPRODUCT(_xlfn.XLOOKUP($C146,$BM$1:$BM$3,$BN$1:$BY$3),$BN$4:$BY$4),""),
"")</f>
        <v>8.4191115253586218E-2</v>
      </c>
      <c r="BU146" s="8">
        <f>IF(_xlfn.XLOOKUP($B146,'ELC TECH'!$H:$H,'ELC TECH'!$E:$E)="Non Dispatchable",IFERROR($AX146*_xlfn.XLOOKUP($C146,$BM$1:$BM$3,BU$1:BU$3)/SUMPRODUCT(_xlfn.XLOOKUP($C146,$BM$1:$BM$3,$BN$1:$BY$3),$BN$4:$BY$4),""),
"")</f>
        <v>0.74598949001907666</v>
      </c>
      <c r="BV146" s="8">
        <f>IF(_xlfn.XLOOKUP($B146,'ELC TECH'!$H:$H,'ELC TECH'!$E:$E)="Non Dispatchable",IFERROR($AX146*_xlfn.XLOOKUP($C146,$BM$1:$BM$3,BV$1:BV$3)/SUMPRODUCT(_xlfn.XLOOKUP($C146,$BM$1:$BM$3,$BN$1:$BY$3),$BN$4:$BY$4),""),
"")</f>
        <v>0.43600061409898744</v>
      </c>
      <c r="BW146" s="8">
        <f>IF(_xlfn.XLOOKUP($B146,'ELC TECH'!$H:$H,'ELC TECH'!$E:$E)="Non Dispatchable",IFERROR($AX146*_xlfn.XLOOKUP($C146,$BM$1:$BM$3,BW$1:BW$3)/SUMPRODUCT(_xlfn.XLOOKUP($C146,$BM$1:$BM$3,$BN$1:$BY$3),$BN$4:$BY$4),""),
"")</f>
        <v>0.43600061409898744</v>
      </c>
      <c r="BX146" s="8">
        <f>IF(_xlfn.XLOOKUP($B146,'ELC TECH'!$H:$H,'ELC TECH'!$E:$E)="Non Dispatchable",IFERROR($AX146*_xlfn.XLOOKUP($C146,$BM$1:$BM$3,BX$1:BX$3)/SUMPRODUCT(_xlfn.XLOOKUP($C146,$BM$1:$BM$3,$BN$1:$BY$3),$BN$4:$BY$4),""),
"")</f>
        <v>4.3600061409898742E-2</v>
      </c>
      <c r="BY146" s="8">
        <f>IF(_xlfn.XLOOKUP($B146,'ELC TECH'!$H:$H,'ELC TECH'!$E:$E)="Non Dispatchable",IFERROR($AX146*_xlfn.XLOOKUP($C146,$BM$1:$BM$3,BY$1:BY$3)/SUMPRODUCT(_xlfn.XLOOKUP($C146,$BM$1:$BM$3,$BN$1:$BY$3),$BN$4:$BY$4),""),
"")</f>
        <v>0.31869514146699496</v>
      </c>
      <c r="BZ146" s="8">
        <f>IF(_xlfn.XLOOKUP($B146,'ELC TECH'!$H:$H,'ELC TECH'!$E:$E)="Non Dispatchable",IFERROR($AX146*_xlfn.XLOOKUP($C146,$BM$1:$BM$3,BZ$1:BZ$3)/SUMPRODUCT(_xlfn.XLOOKUP($C146,$BM$1:$BM$3,$BN$1:$BY$3),$BN$4:$BY$4),""),
"")</f>
        <v>0.72351739671050641</v>
      </c>
      <c r="CA146" s="8">
        <f>IF(_xlfn.XLOOKUP($B146,'ELC TECH'!$H:$H,'ELC TECH'!$E:$E)="Non Dispatchable",IFERROR($AX146*_xlfn.XLOOKUP($C146,$BM$1:$BM$3,CA$1:CA$3)/SUMPRODUCT(_xlfn.XLOOKUP($C146,$BM$1:$BM$3,$BN$1:$BY$3),$BN$4:$BY$4),""),
"")</f>
        <v>0.72351739671050641</v>
      </c>
      <c r="CB146" s="8">
        <f>IF(_xlfn.XLOOKUP($B146,'ELC TECH'!$H:$H,'ELC TECH'!$E:$E)="Non Dispatchable",IFERROR($AX146*_xlfn.XLOOKUP($C146,$BM$1:$BM$3,CB$1:CB$3)/SUMPRODUCT(_xlfn.XLOOKUP($C146,$BM$1:$BM$3,$BN$1:$BY$3),$BN$4:$BY$4),""),
"")</f>
        <v>7.2351739671050644E-2</v>
      </c>
      <c r="CC146" s="8">
        <f>IF(_xlfn.XLOOKUP($B146,'ELC TECH'!$H:$H,'ELC TECH'!$E:$E)="Non Dispatchable",IFERROR($AX146*_xlfn.XLOOKUP($C146,$BM$1:$BM$3,CC$1:CC$3)/SUMPRODUCT(_xlfn.XLOOKUP($C146,$BM$1:$BM$3,$BN$1:$BY$3),$BN$4:$BY$4),""),
"")</f>
        <v>0.57972400214414188</v>
      </c>
      <c r="CD146" s="8">
        <f>IF(_xlfn.XLOOKUP($B146,'ELC TECH'!$H:$H,'ELC TECH'!$E:$E)="Non Dispatchable",IFERROR($AX146*_xlfn.XLOOKUP($C146,$BM$1:$BM$3,CD$1:CD$3)/SUMPRODUCT(_xlfn.XLOOKUP($C146,$BM$1:$BM$3,$BN$1:$BY$3),$BN$4:$BY$4),""),
"")</f>
        <v>0.84191115253586213</v>
      </c>
      <c r="CE146" s="8">
        <f>IF(_xlfn.XLOOKUP($B146,'ELC TECH'!$H:$H,'ELC TECH'!$E:$E)="Non Dispatchable",IFERROR($AX146*_xlfn.XLOOKUP($C146,$BM$1:$BM$3,CE$1:CE$3)/SUMPRODUCT(_xlfn.XLOOKUP($C146,$BM$1:$BM$3,$BN$1:$BY$3),$BN$4:$BY$4),""),
"")</f>
        <v>0.84191115253586213</v>
      </c>
      <c r="CF146" s="8">
        <f>IF(_xlfn.XLOOKUP($B146,'ELC TECH'!$H:$H,'ELC TECH'!$E:$E)="Non Dispatchable",IFERROR($AX146*_xlfn.XLOOKUP($C146,$BM$1:$BM$3,CF$1:CF$3)/SUMPRODUCT(_xlfn.XLOOKUP($C146,$BM$1:$BM$3,$BN$1:$BY$3),$BN$4:$BY$4),""),
"")</f>
        <v>8.4191115253586218E-2</v>
      </c>
      <c r="CG146" s="8">
        <f>IF(_xlfn.XLOOKUP($B146,'ELC TECH'!$H:$H,'ELC TECH'!$E:$E)="Non Dispatchable",IFERROR($AX146*_xlfn.XLOOKUP($C146,$BM$1:$BM$3,CG$1:CG$3)/SUMPRODUCT(_xlfn.XLOOKUP($C146,$BM$1:$BM$3,$BN$1:$BY$3),$BN$4:$BY$4),""),
"")</f>
        <v>0.74598949001907666</v>
      </c>
      <c r="CH146" s="8">
        <f>IF(_xlfn.XLOOKUP($B146,'ELC TECH'!$H:$H,'ELC TECH'!$E:$E)="Non Dispatchable",IFERROR($AX146*_xlfn.XLOOKUP($C146,$BM$1:$BM$3,CH$1:CH$3)/SUMPRODUCT(_xlfn.XLOOKUP($C146,$BM$1:$BM$3,$BN$1:$BY$3),$BN$4:$BY$4),""),
"")</f>
        <v>0.43600061409898744</v>
      </c>
      <c r="CI146" s="8">
        <f>IF(_xlfn.XLOOKUP($B146,'ELC TECH'!$H:$H,'ELC TECH'!$E:$E)="Non Dispatchable",IFERROR($AX146*_xlfn.XLOOKUP($C146,$BM$1:$BM$3,CI$1:CI$3)/SUMPRODUCT(_xlfn.XLOOKUP($C146,$BM$1:$BM$3,$BN$1:$BY$3),$BN$4:$BY$4),""),
"")</f>
        <v>0.43600061409898744</v>
      </c>
      <c r="CJ146" s="8">
        <f>IF(_xlfn.XLOOKUP($B146,'ELC TECH'!$H:$H,'ELC TECH'!$E:$E)="Non Dispatchable",IFERROR($AX146*_xlfn.XLOOKUP($C146,$BM$1:$BM$3,CJ$1:CJ$3)/SUMPRODUCT(_xlfn.XLOOKUP($C146,$BM$1:$BM$3,$BN$1:$BY$3),$BN$4:$BY$4),""),
"")</f>
        <v>4.3600061409898742E-2</v>
      </c>
      <c r="CK146" s="8">
        <f>IF(_xlfn.XLOOKUP($B146,'ELC TECH'!$H:$H,'ELC TECH'!$E:$E)="Non Dispatchable",IFERROR($AX146*_xlfn.XLOOKUP($C146,$BM$1:$BM$3,CK$1:CK$3)/SUMPRODUCT(_xlfn.XLOOKUP($C146,$BM$1:$BM$3,$BN$1:$BY$3),$BN$4:$BY$4),""),
"")</f>
        <v>0.31869514146699496</v>
      </c>
      <c r="CL146" s="8" t="str">
        <f>IF(_xlfn.XLOOKUP($B146,'ELC TECH'!$H:$H,'ELC TECH'!$E:$E)="Storage",CL$4*$BF146,"")</f>
        <v/>
      </c>
      <c r="CM146" s="8" t="str">
        <f>IF(_xlfn.XLOOKUP($B146,'ELC TECH'!$H:$H,'ELC TECH'!$E:$E)="Storage",CM$4*$BF146,"")</f>
        <v/>
      </c>
      <c r="CN146" s="8" t="str">
        <f>IF(_xlfn.XLOOKUP($B146,'ELC TECH'!$H:$H,'ELC TECH'!$E:$E)="Storage",CN$4*$BF146,"")</f>
        <v/>
      </c>
      <c r="CO146" s="8" t="str">
        <f>IF(_xlfn.XLOOKUP($B146,'ELC TECH'!$H:$H,'ELC TECH'!$E:$E)="Storage",CO$4*$BF146,"")</f>
        <v/>
      </c>
      <c r="CP146" s="8" t="str">
        <f>IF(_xlfn.XLOOKUP($B146,'ELC TECH'!$H:$H,'ELC TECH'!$E:$E)="Storage",CP$4*$BF146,"")</f>
        <v/>
      </c>
      <c r="CQ146" s="8" t="str">
        <f>IF(_xlfn.XLOOKUP($B146,'ELC TECH'!$H:$H,'ELC TECH'!$E:$E)="Storage",CQ$4*$BF146,"")</f>
        <v/>
      </c>
      <c r="CR146" s="8" t="str">
        <f>IF(_xlfn.XLOOKUP($B146,'ELC TECH'!$H:$H,'ELC TECH'!$E:$E)="Storage",CR$4*$BF146,"")</f>
        <v/>
      </c>
      <c r="CS146" s="8" t="str">
        <f>IF(_xlfn.XLOOKUP($B146,'ELC TECH'!$H:$H,'ELC TECH'!$E:$E)="Storage",CS$4*$BF146,"")</f>
        <v/>
      </c>
      <c r="CT146" s="8" t="str">
        <f>IF(_xlfn.XLOOKUP($B146,'ELC TECH'!$H:$H,'ELC TECH'!$E:$E)="Storage",CT$4*$BF146,"")</f>
        <v/>
      </c>
      <c r="CU146" s="8" t="str">
        <f>IF(_xlfn.XLOOKUP($B146,'ELC TECH'!$H:$H,'ELC TECH'!$E:$E)="Storage",CU$4*$BF146,"")</f>
        <v/>
      </c>
      <c r="CV146" s="8" t="str">
        <f>IF(_xlfn.XLOOKUP($B146,'ELC TECH'!$H:$H,'ELC TECH'!$E:$E)="Storage",CV$4*$BF146,"")</f>
        <v/>
      </c>
      <c r="CW146" s="8" t="str">
        <f>IF(_xlfn.XLOOKUP($B146,'ELC TECH'!$H:$H,'ELC TECH'!$E:$E)="Storage",CW$4*$BF146,"")</f>
        <v/>
      </c>
      <c r="CX146" s="8" t="str">
        <f>IF(_xlfn.XLOOKUP($B146,'ELC TECH'!$H:$H,'ELC TECH'!$E:$E)="Storage",CX$4*$BF146,"")</f>
        <v/>
      </c>
      <c r="CY146" s="8" t="str">
        <f>IF(_xlfn.XLOOKUP($B146,'ELC TECH'!$H:$H,'ELC TECH'!$E:$E)="Storage",CY$4*$BF146,"")</f>
        <v/>
      </c>
      <c r="CZ146" s="8" t="str">
        <f>IF(_xlfn.XLOOKUP($B146,'ELC TECH'!$H:$H,'ELC TECH'!$E:$E)="Storage",CZ$4*$BF146,"")</f>
        <v/>
      </c>
      <c r="DA146" s="8" t="str">
        <f>IF(_xlfn.XLOOKUP($B146,'ELC TECH'!$H:$H,'ELC TECH'!$E:$E)="Storage",DA$4*$BF146,"")</f>
        <v/>
      </c>
      <c r="DB146" s="8" t="str">
        <f>IF(_xlfn.XLOOKUP($B146,'ELC TECH'!$H:$H,'ELC TECH'!$E:$E)="Storage",DB$4*$BF146,"")</f>
        <v/>
      </c>
      <c r="DC146" s="8" t="str">
        <f>IF(_xlfn.XLOOKUP($B146,'ELC TECH'!$H:$H,'ELC TECH'!$E:$E)="Storage",DC$4*$BF146,"")</f>
        <v/>
      </c>
      <c r="DD146" s="8" t="str">
        <f>IF(_xlfn.XLOOKUP($B146,'ELC TECH'!$H:$H,'ELC TECH'!$E:$E)="Storage",DD$4*$BF146,"")</f>
        <v/>
      </c>
      <c r="DE146" s="8" t="str">
        <f>IF(_xlfn.XLOOKUP($B146,'ELC TECH'!$H:$H,'ELC TECH'!$E:$E)="Storage",DE$4*$BF146,"")</f>
        <v/>
      </c>
      <c r="DF146" s="8" t="str">
        <f>IF(_xlfn.XLOOKUP($B146,'ELC TECH'!$H:$H,'ELC TECH'!$E:$E)="Storage",DF$4*$BF146,"")</f>
        <v/>
      </c>
      <c r="DG146" s="8" t="str">
        <f>IF(_xlfn.XLOOKUP($B146,'ELC TECH'!$H:$H,'ELC TECH'!$E:$E)="Storage",DG$4*$BF146,"")</f>
        <v/>
      </c>
      <c r="DH146" s="8" t="str">
        <f>IF(_xlfn.XLOOKUP($B146,'ELC TECH'!$H:$H,'ELC TECH'!$E:$E)="Storage",DH$4*$BF146,"")</f>
        <v/>
      </c>
      <c r="DI146" s="8" t="str">
        <f>IF(_xlfn.XLOOKUP($B146,'ELC TECH'!$H:$H,'ELC TECH'!$E:$E)="Storage",DI$4*$BF146,"")</f>
        <v/>
      </c>
    </row>
    <row r="147" spans="2:113" x14ac:dyDescent="0.25">
      <c r="B147" t="str">
        <f>IF('ELC TECH'!I140=0,"*",'ELC TECH'!H140)</f>
        <v>ELCWNDDCECDWC320</v>
      </c>
      <c r="C147" t="str">
        <f>IF(_xlfn.XLOOKUP(_xlfn.XLOOKUP(B147,'ELC TECH'!$H:$H,'ELC TECH'!$G:$G),List!C:C,List!B:B)="STG",D147,"ELC"&amp;_xlfn.XLOOKUP(_xlfn.XLOOKUP(B147,'ELC TECH'!H:H,'ELC TECH'!G:G),List!C:C,List!B:B))</f>
        <v>ELCWND</v>
      </c>
      <c r="D147" t="s">
        <v>544</v>
      </c>
      <c r="E147">
        <f>_xlfn.XLOOKUP(B147,'ELC TECH'!H:H,'ELC TECH'!D:D)</f>
        <v>2020</v>
      </c>
      <c r="F147">
        <f>_xlfn.XLOOKUP(B147,'ELC TECH'!H:H,'ELC TECH'!K:K)</f>
        <v>30</v>
      </c>
      <c r="G147">
        <f t="shared" si="8"/>
        <v>31.535999999999998</v>
      </c>
      <c r="H147">
        <f>IF(_xlfn.XLOOKUP(B147,'ELC TECH'!$H:$H,'ELC TECH'!$E:$E)="Storage",0.3,IF(_xlfn.XLOOKUP(B147,'ELC TECH'!$H:$H,'ELC TECH'!$E:$E)="Baseload",0.9,IF(_xlfn.XLOOKUP(B147,'ELC TECH'!$H:$H,'ELC TECH'!$E:$E)="Non Dispatchable",0.05,IF(_xlfn.XLOOKUP(B147,'ELC TECH'!$H:$H,'ELC TECH'!$E:$E)="Dispatchable",0.9,1))))</f>
        <v>0.05</v>
      </c>
      <c r="I147" s="13">
        <f>IF(_xlfn.XLOOKUP(B147,'ELC TECH'!H:H,'ELC TECH'!J:J)="","",_xlfn.XLOOKUP(B147,'ELC TECH'!H:H,'ELC TECH'!J:J))</f>
        <v>233.39318333333341</v>
      </c>
      <c r="J147" s="12">
        <f>IF(_xlfn.XLOOKUP($B147,'ELC TECH'!$H:$H,'ELC TECH'!$E:$E)="Storage","",IF(_xlfn.XLOOKUP($B147,'ELC TECH'!$H:$H,'ELC TECH'!AK:AK)="",1,_xlfn.XLOOKUP($B147,'ELC TECH'!$H:$H,'ELC TECH'!AK:AK)))</f>
        <v>1</v>
      </c>
      <c r="K147" s="12">
        <f>IF(_xlfn.XLOOKUP($B147,'ELC TECH'!$H:$H,'ELC TECH'!$E:$E)="Storage","",IF(_xlfn.XLOOKUP($B147,'ELC TECH'!$H:$H,'ELC TECH'!AL:AL)="",1,_xlfn.XLOOKUP($B147,'ELC TECH'!$H:$H,'ELC TECH'!AL:AL)))</f>
        <v>1</v>
      </c>
      <c r="L147" s="12">
        <f>IF(_xlfn.XLOOKUP($B147,'ELC TECH'!$H:$H,'ELC TECH'!$E:$E)="Storage","",IF(_xlfn.XLOOKUP($B147,'ELC TECH'!$H:$H,'ELC TECH'!AM:AM)="",1,_xlfn.XLOOKUP($B147,'ELC TECH'!$H:$H,'ELC TECH'!AM:AM)))</f>
        <v>1</v>
      </c>
      <c r="M147" s="12">
        <f>IF(_xlfn.XLOOKUP($B147,'ELC TECH'!$H:$H,'ELC TECH'!$E:$E)="Storage","",IF(_xlfn.XLOOKUP($B147,'ELC TECH'!$H:$H,'ELC TECH'!AN:AN)="",1,_xlfn.XLOOKUP($B147,'ELC TECH'!$H:$H,'ELC TECH'!AN:AN)))</f>
        <v>1</v>
      </c>
      <c r="N147" s="12">
        <f>IF(_xlfn.XLOOKUP($B147,'ELC TECH'!$H:$H,'ELC TECH'!$E:$E)="Storage","",IF(_xlfn.XLOOKUP($B147,'ELC TECH'!$H:$H,'ELC TECH'!AO:AO)="",1,_xlfn.XLOOKUP($B147,'ELC TECH'!$H:$H,'ELC TECH'!AO:AO)))</f>
        <v>1</v>
      </c>
      <c r="O147" s="12">
        <f>IF(_xlfn.XLOOKUP($B147,'ELC TECH'!$H:$H,'ELC TECH'!$E:$E)="Storage","",IF(_xlfn.XLOOKUP($B147,'ELC TECH'!$H:$H,'ELC TECH'!AP:AP)="",1,_xlfn.XLOOKUP($B147,'ELC TECH'!$H:$H,'ELC TECH'!AP:AP)))</f>
        <v>1</v>
      </c>
      <c r="P147" s="12">
        <f>IF(_xlfn.XLOOKUP($B147,'ELC TECH'!$H:$H,'ELC TECH'!$E:$E)="Storage","",IF(_xlfn.XLOOKUP($B147,'ELC TECH'!$H:$H,'ELC TECH'!AQ:AQ)="",1,_xlfn.XLOOKUP($B147,'ELC TECH'!$H:$H,'ELC TECH'!AQ:AQ)))</f>
        <v>1</v>
      </c>
      <c r="Q147" s="12">
        <f>IF(_xlfn.XLOOKUP($B147,'ELC TECH'!$H:$H,'ELC TECH'!$E:$E)="Storage","",IF(_xlfn.XLOOKUP($B147,'ELC TECH'!$H:$H,'ELC TECH'!AR:AR)="",1,_xlfn.XLOOKUP($B147,'ELC TECH'!$H:$H,'ELC TECH'!AR:AR)))</f>
        <v>1</v>
      </c>
      <c r="R147" s="12" t="str">
        <f>IF(_xlfn.XLOOKUP($B147,'ELC TECH'!$H:$H,'ELC TECH'!$E:$E)&lt;&gt;"Storage","",IF(_xlfn.XLOOKUP($B147,'ELC TECH'!$H:$H,'ELC TECH'!AK:AK)="",0.8,_xlfn.XLOOKUP($B147,'ELC TECH'!$H:$H,'ELC TECH'!AK:AK)))</f>
        <v/>
      </c>
      <c r="S147" s="12" t="str">
        <f>IF(_xlfn.XLOOKUP($B147,'ELC TECH'!$H:$H,'ELC TECH'!$E:$E)&lt;&gt;"Storage","",IF(_xlfn.XLOOKUP($B147,'ELC TECH'!$H:$H,'ELC TECH'!AL:AL)="",0.8,_xlfn.XLOOKUP($B147,'ELC TECH'!$H:$H,'ELC TECH'!AL:AL)))</f>
        <v/>
      </c>
      <c r="T147" s="12" t="str">
        <f>IF(_xlfn.XLOOKUP($B147,'ELC TECH'!$H:$H,'ELC TECH'!$E:$E)&lt;&gt;"Storage","",IF(_xlfn.XLOOKUP($B147,'ELC TECH'!$H:$H,'ELC TECH'!AM:AM)="",0.8,_xlfn.XLOOKUP($B147,'ELC TECH'!$H:$H,'ELC TECH'!AM:AM)))</f>
        <v/>
      </c>
      <c r="U147" s="12" t="str">
        <f>IF(_xlfn.XLOOKUP($B147,'ELC TECH'!$H:$H,'ELC TECH'!$E:$E)&lt;&gt;"Storage","",IF(_xlfn.XLOOKUP($B147,'ELC TECH'!$H:$H,'ELC TECH'!AN:AN)="",0.8,_xlfn.XLOOKUP($B147,'ELC TECH'!$H:$H,'ELC TECH'!AN:AN)))</f>
        <v/>
      </c>
      <c r="V147" s="12" t="str">
        <f>IF(_xlfn.XLOOKUP($B147,'ELC TECH'!$H:$H,'ELC TECH'!$E:$E)&lt;&gt;"Storage","",IF(_xlfn.XLOOKUP($B147,'ELC TECH'!$H:$H,'ELC TECH'!AO:AO)="",0.8,_xlfn.XLOOKUP($B147,'ELC TECH'!$H:$H,'ELC TECH'!AO:AO)))</f>
        <v/>
      </c>
      <c r="W147" s="12" t="str">
        <f>IF(_xlfn.XLOOKUP($B147,'ELC TECH'!$H:$H,'ELC TECH'!$E:$E)&lt;&gt;"Storage","",IF(_xlfn.XLOOKUP($B147,'ELC TECH'!$H:$H,'ELC TECH'!AP:AP)="",0.8,_xlfn.XLOOKUP($B147,'ELC TECH'!$H:$H,'ELC TECH'!AP:AP)))</f>
        <v/>
      </c>
      <c r="X147" s="12" t="str">
        <f>IF(_xlfn.XLOOKUP($B147,'ELC TECH'!$H:$H,'ELC TECH'!$E:$E)&lt;&gt;"Storage","",IF(_xlfn.XLOOKUP($B147,'ELC TECH'!$H:$H,'ELC TECH'!AQ:AQ)="",0.8,_xlfn.XLOOKUP($B147,'ELC TECH'!$H:$H,'ELC TECH'!AQ:AQ)))</f>
        <v/>
      </c>
      <c r="Y147" s="12" t="str">
        <f>IF(_xlfn.XLOOKUP($B147,'ELC TECH'!$H:$H,'ELC TECH'!$E:$E)&lt;&gt;"Storage","",IF(_xlfn.XLOOKUP($B147,'ELC TECH'!$H:$H,'ELC TECH'!AR:AR)="",0.8,_xlfn.XLOOKUP($B147,'ELC TECH'!$H:$H,'ELC TECH'!AR:AR)))</f>
        <v/>
      </c>
      <c r="Z147" s="15">
        <f>_xlfn.XLOOKUP($B147,'ELC TECH'!$H:$H,'ELC TECH'!M:M)</f>
        <v>4917.4184525969313</v>
      </c>
      <c r="AA147" s="15">
        <f>_xlfn.XLOOKUP($B147,'ELC TECH'!$H:$H,'ELC TECH'!N:N)</f>
        <v>4821.6848284228936</v>
      </c>
      <c r="AB147" s="15">
        <f>_xlfn.XLOOKUP($B147,'ELC TECH'!$H:$H,'ELC TECH'!O:O)</f>
        <v>2984.1897708938181</v>
      </c>
      <c r="AC147" s="15">
        <f>_xlfn.XLOOKUP($B147,'ELC TECH'!$H:$H,'ELC TECH'!P:P)</f>
        <v>2539.1896953994678</v>
      </c>
      <c r="AD147" s="15">
        <f>_xlfn.XLOOKUP($B147,'ELC TECH'!$H:$H,'ELC TECH'!Q:Q)</f>
        <v>2093.9800186842722</v>
      </c>
      <c r="AE147" s="15">
        <f>_xlfn.XLOOKUP($B147,'ELC TECH'!$H:$H,'ELC TECH'!R:R)</f>
        <v>1896.095935565756</v>
      </c>
      <c r="AF147" s="15">
        <f>_xlfn.XLOOKUP($B147,'ELC TECH'!$H:$H,'ELC TECH'!S:S)</f>
        <v>1698.211852447241</v>
      </c>
      <c r="AG147" s="15">
        <f>_xlfn.XLOOKUP($B147,'ELC TECH'!$H:$H,'ELC TECH'!T:T)</f>
        <v>1698.211852447241</v>
      </c>
      <c r="AH147" s="15">
        <f>_xlfn.XLOOKUP($B147,'ELC TECH'!$H:$H,'ELC TECH'!U:U)</f>
        <v>41.27117929699714</v>
      </c>
      <c r="AI147" s="15">
        <f>_xlfn.XLOOKUP($B147,'ELC TECH'!$H:$H,'ELC TECH'!V:V)</f>
        <v>40.608188464916751</v>
      </c>
      <c r="AJ147" s="15">
        <f>_xlfn.XLOOKUP($B147,'ELC TECH'!$H:$H,'ELC TECH'!W:W)</f>
        <v>39.779449924816397</v>
      </c>
      <c r="AK147" s="15">
        <f>_xlfn.XLOOKUP($B147,'ELC TECH'!$H:$H,'ELC TECH'!X:X)</f>
        <v>39.157896019741258</v>
      </c>
      <c r="AL147" s="15">
        <f>_xlfn.XLOOKUP($B147,'ELC TECH'!$H:$H,'ELC TECH'!Y:Y)</f>
        <v>38.536342114665999</v>
      </c>
      <c r="AM147" s="15">
        <f>_xlfn.XLOOKUP($B147,'ELC TECH'!$H:$H,'ELC TECH'!Z:Z)</f>
        <v>37.914788209590739</v>
      </c>
      <c r="AN147" s="15">
        <f>_xlfn.XLOOKUP($B147,'ELC TECH'!$H:$H,'ELC TECH'!AA:AA)</f>
        <v>37.293234304515479</v>
      </c>
      <c r="AO147" s="15">
        <f>_xlfn.XLOOKUP($B147,'ELC TECH'!$H:$H,'ELC TECH'!AB:AB)</f>
        <v>37.293234304515479</v>
      </c>
      <c r="AP147" s="15">
        <f>_xlfn.XLOOKUP($B147,'ELC TECH'!$H:$H,'ELC TECH'!AC:AC)</f>
        <v>0</v>
      </c>
      <c r="AQ147" s="15">
        <f>_xlfn.XLOOKUP($B147,'ELC TECH'!$H:$H,'ELC TECH'!AD:AD)</f>
        <v>0</v>
      </c>
      <c r="AR147" s="15">
        <f>_xlfn.XLOOKUP($B147,'ELC TECH'!$H:$H,'ELC TECH'!AE:AE)</f>
        <v>0</v>
      </c>
      <c r="AS147" s="15">
        <f>_xlfn.XLOOKUP($B147,'ELC TECH'!$H:$H,'ELC TECH'!AF:AF)</f>
        <v>0</v>
      </c>
      <c r="AT147" s="15">
        <f>_xlfn.XLOOKUP($B147,'ELC TECH'!$H:$H,'ELC TECH'!AG:AG)</f>
        <v>0</v>
      </c>
      <c r="AU147" s="15">
        <f>_xlfn.XLOOKUP($B147,'ELC TECH'!$H:$H,'ELC TECH'!AH:AH)</f>
        <v>0</v>
      </c>
      <c r="AV147" s="15">
        <f>_xlfn.XLOOKUP($B147,'ELC TECH'!$H:$H,'ELC TECH'!AI:AI)</f>
        <v>0</v>
      </c>
      <c r="AW147" s="15">
        <f>_xlfn.XLOOKUP($B147,'ELC TECH'!$H:$H,'ELC TECH'!AJ:AJ)</f>
        <v>0</v>
      </c>
      <c r="AX147" s="12">
        <f>IF(_xlfn.XLOOKUP($B147,'ELC TECH'!$H:$H,'ELC TECH'!$E:$E)="Storage","",_xlfn.XLOOKUP($B147,'ELC TECH'!$H:$H,'ELC TECH'!AS:AS))</f>
        <v>0.3982038</v>
      </c>
      <c r="AY147" s="12">
        <f>IF(_xlfn.XLOOKUP($B147,'ELC TECH'!$H:$H,'ELC TECH'!$E:$E)="Storage","",_xlfn.XLOOKUP($B147,'ELC TECH'!$H:$H,'ELC TECH'!AT:AT))</f>
        <v>0.45452299999999901</v>
      </c>
      <c r="AZ147" s="12">
        <f>IF(_xlfn.XLOOKUP($B147,'ELC TECH'!$H:$H,'ELC TECH'!$E:$E)="Storage","",_xlfn.XLOOKUP($B147,'ELC TECH'!$H:$H,'ELC TECH'!AU:AU))</f>
        <v>0.524922</v>
      </c>
      <c r="BA147" s="12">
        <f>IF(_xlfn.XLOOKUP($B147,'ELC TECH'!$H:$H,'ELC TECH'!$E:$E)="Storage","",_xlfn.XLOOKUP($B147,'ELC TECH'!$H:$H,'ELC TECH'!AV:AV))</f>
        <v>0.524922</v>
      </c>
      <c r="BB147" s="12">
        <f>IF(_xlfn.XLOOKUP($B147,'ELC TECH'!$H:$H,'ELC TECH'!$E:$E)="Storage","",_xlfn.XLOOKUP($B147,'ELC TECH'!$H:$H,'ELC TECH'!AW:AW))</f>
        <v>0.524922</v>
      </c>
      <c r="BC147" s="12">
        <f>IF(_xlfn.XLOOKUP($B147,'ELC TECH'!$H:$H,'ELC TECH'!$E:$E)="Storage","",_xlfn.XLOOKUP($B147,'ELC TECH'!$H:$H,'ELC TECH'!AX:AX))</f>
        <v>0.524922</v>
      </c>
      <c r="BD147" s="12">
        <f>IF(_xlfn.XLOOKUP($B147,'ELC TECH'!$H:$H,'ELC TECH'!$E:$E)="Storage","",_xlfn.XLOOKUP($B147,'ELC TECH'!$H:$H,'ELC TECH'!AY:AY))</f>
        <v>0.524922</v>
      </c>
      <c r="BE147" s="12">
        <f>IF(_xlfn.XLOOKUP($B147,'ELC TECH'!$H:$H,'ELC TECH'!$E:$E)="Storage","",_xlfn.XLOOKUP($B147,'ELC TECH'!$H:$H,'ELC TECH'!AZ:AZ))</f>
        <v>0.524922</v>
      </c>
      <c r="BF147" s="12" t="str">
        <f>IF(_xlfn.XLOOKUP($B147,'ELC TECH'!$H:$H,'ELC TECH'!$E:$E)="Storage",_xlfn.XLOOKUP($B147,'ELC TECH'!$H:$H,'ELC TECH'!AS:AS),"")</f>
        <v/>
      </c>
      <c r="BG147" s="12" t="str">
        <f>IF(_xlfn.XLOOKUP($B147,'ELC TECH'!$H:$H,'ELC TECH'!$E:$E)="Storage",_xlfn.XLOOKUP($B147,'ELC TECH'!$H:$H,'ELC TECH'!AT:AT),"")</f>
        <v/>
      </c>
      <c r="BH147" s="12" t="str">
        <f>IF(_xlfn.XLOOKUP($B147,'ELC TECH'!$H:$H,'ELC TECH'!$E:$E)="Storage",_xlfn.XLOOKUP($B147,'ELC TECH'!$H:$H,'ELC TECH'!AU:AU),"")</f>
        <v/>
      </c>
      <c r="BI147" s="12" t="str">
        <f>IF(_xlfn.XLOOKUP($B147,'ELC TECH'!$H:$H,'ELC TECH'!$E:$E)="Storage",_xlfn.XLOOKUP($B147,'ELC TECH'!$H:$H,'ELC TECH'!AV:AV),"")</f>
        <v/>
      </c>
      <c r="BJ147" s="12" t="str">
        <f>IF(_xlfn.XLOOKUP($B147,'ELC TECH'!$H:$H,'ELC TECH'!$E:$E)="Storage",_xlfn.XLOOKUP($B147,'ELC TECH'!$H:$H,'ELC TECH'!AW:AW),"")</f>
        <v/>
      </c>
      <c r="BK147" s="12" t="str">
        <f>IF(_xlfn.XLOOKUP($B147,'ELC TECH'!$H:$H,'ELC TECH'!$E:$E)="Storage",_xlfn.XLOOKUP($B147,'ELC TECH'!$H:$H,'ELC TECH'!AX:AX),"")</f>
        <v/>
      </c>
      <c r="BL147" s="12" t="str">
        <f>IF(_xlfn.XLOOKUP($B147,'ELC TECH'!$H:$H,'ELC TECH'!$E:$E)="Storage",_xlfn.XLOOKUP($B147,'ELC TECH'!$H:$H,'ELC TECH'!AY:AY),"")</f>
        <v/>
      </c>
      <c r="BM147" s="12" t="str">
        <f>IF(_xlfn.XLOOKUP($B147,'ELC TECH'!$H:$H,'ELC TECH'!$E:$E)="Storage",_xlfn.XLOOKUP($B147,'ELC TECH'!$H:$H,'ELC TECH'!AZ:AZ),"")</f>
        <v/>
      </c>
      <c r="BN147" s="8">
        <f>IF(_xlfn.XLOOKUP($B147,'ELC TECH'!$H:$H,'ELC TECH'!$E:$E)="Non Dispatchable",IFERROR($AX147*_xlfn.XLOOKUP($C147,$BM$1:$BM$3,BN$1:BN$3)/SUMPRODUCT(_xlfn.XLOOKUP($C147,$BM$1:$BM$3,$BN$1:$BY$3),$BN$4:$BY$4),""),
"")</f>
        <v>0.69924647075540514</v>
      </c>
      <c r="BO147" s="8">
        <f>IF(_xlfn.XLOOKUP($B147,'ELC TECH'!$H:$H,'ELC TECH'!$E:$E)="Non Dispatchable",IFERROR($AX147*_xlfn.XLOOKUP($C147,$BM$1:$BM$3,BO$1:BO$3)/SUMPRODUCT(_xlfn.XLOOKUP($C147,$BM$1:$BM$3,$BN$1:$BY$3),$BN$4:$BY$4),""),
"")</f>
        <v>0.69924647075540514</v>
      </c>
      <c r="BP147" s="8">
        <f>IF(_xlfn.XLOOKUP($B147,'ELC TECH'!$H:$H,'ELC TECH'!$E:$E)="Non Dispatchable",IFERROR($AX147*_xlfn.XLOOKUP($C147,$BM$1:$BM$3,BP$1:BP$3)/SUMPRODUCT(_xlfn.XLOOKUP($C147,$BM$1:$BM$3,$BN$1:$BY$3),$BN$4:$BY$4),""),
"")</f>
        <v>6.9924647075540511E-2</v>
      </c>
      <c r="BQ147" s="8">
        <f>IF(_xlfn.XLOOKUP($B147,'ELC TECH'!$H:$H,'ELC TECH'!$E:$E)="Non Dispatchable",IFERROR($AX147*_xlfn.XLOOKUP($C147,$BM$1:$BM$3,BQ$1:BQ$3)/SUMPRODUCT(_xlfn.XLOOKUP($C147,$BM$1:$BM$3,$BN$1:$BY$3),$BN$4:$BY$4),""),
"")</f>
        <v>0.56027673191345051</v>
      </c>
      <c r="BR147" s="8">
        <f>IF(_xlfn.XLOOKUP($B147,'ELC TECH'!$H:$H,'ELC TECH'!$E:$E)="Non Dispatchable",IFERROR($AX147*_xlfn.XLOOKUP($C147,$BM$1:$BM$3,BR$1:BR$3)/SUMPRODUCT(_xlfn.XLOOKUP($C147,$BM$1:$BM$3,$BN$1:$BY$3),$BN$4:$BY$4),""),
"")</f>
        <v>0.81366862051538058</v>
      </c>
      <c r="BS147" s="8">
        <f>IF(_xlfn.XLOOKUP($B147,'ELC TECH'!$H:$H,'ELC TECH'!$E:$E)="Non Dispatchable",IFERROR($AX147*_xlfn.XLOOKUP($C147,$BM$1:$BM$3,BS$1:BS$3)/SUMPRODUCT(_xlfn.XLOOKUP($C147,$BM$1:$BM$3,$BN$1:$BY$3),$BN$4:$BY$4),""),
"")</f>
        <v>0.81366862051538058</v>
      </c>
      <c r="BT147" s="8">
        <f>IF(_xlfn.XLOOKUP($B147,'ELC TECH'!$H:$H,'ELC TECH'!$E:$E)="Non Dispatchable",IFERROR($AX147*_xlfn.XLOOKUP($C147,$BM$1:$BM$3,BT$1:BT$3)/SUMPRODUCT(_xlfn.XLOOKUP($C147,$BM$1:$BM$3,$BN$1:$BY$3),$BN$4:$BY$4),""),
"")</f>
        <v>8.1366862051538064E-2</v>
      </c>
      <c r="BU147" s="8">
        <f>IF(_xlfn.XLOOKUP($B147,'ELC TECH'!$H:$H,'ELC TECH'!$E:$E)="Non Dispatchable",IFERROR($AX147*_xlfn.XLOOKUP($C147,$BM$1:$BM$3,BU$1:BU$3)/SUMPRODUCT(_xlfn.XLOOKUP($C147,$BM$1:$BM$3,$BN$1:$BY$3),$BN$4:$BY$4),""),
"")</f>
        <v>0.72096472108075449</v>
      </c>
      <c r="BV147" s="8">
        <f>IF(_xlfn.XLOOKUP($B147,'ELC TECH'!$H:$H,'ELC TECH'!$E:$E)="Non Dispatchable",IFERROR($AX147*_xlfn.XLOOKUP($C147,$BM$1:$BM$3,BV$1:BV$3)/SUMPRODUCT(_xlfn.XLOOKUP($C147,$BM$1:$BM$3,$BN$1:$BY$3),$BN$4:$BY$4),""),
"")</f>
        <v>0.42137465117219775</v>
      </c>
      <c r="BW147" s="8">
        <f>IF(_xlfn.XLOOKUP($B147,'ELC TECH'!$H:$H,'ELC TECH'!$E:$E)="Non Dispatchable",IFERROR($AX147*_xlfn.XLOOKUP($C147,$BM$1:$BM$3,BW$1:BW$3)/SUMPRODUCT(_xlfn.XLOOKUP($C147,$BM$1:$BM$3,$BN$1:$BY$3),$BN$4:$BY$4),""),
"")</f>
        <v>0.42137465117219775</v>
      </c>
      <c r="BX147" s="8">
        <f>IF(_xlfn.XLOOKUP($B147,'ELC TECH'!$H:$H,'ELC TECH'!$E:$E)="Non Dispatchable",IFERROR($AX147*_xlfn.XLOOKUP($C147,$BM$1:$BM$3,BX$1:BX$3)/SUMPRODUCT(_xlfn.XLOOKUP($C147,$BM$1:$BM$3,$BN$1:$BY$3),$BN$4:$BY$4),""),
"")</f>
        <v>4.2137465117219775E-2</v>
      </c>
      <c r="BY147" s="8">
        <f>IF(_xlfn.XLOOKUP($B147,'ELC TECH'!$H:$H,'ELC TECH'!$E:$E)="Non Dispatchable",IFERROR($AX147*_xlfn.XLOOKUP($C147,$BM$1:$BM$3,BY$1:BY$3)/SUMPRODUCT(_xlfn.XLOOKUP($C147,$BM$1:$BM$3,$BN$1:$BY$3),$BN$4:$BY$4),""),
"")</f>
        <v>0.30800427734131736</v>
      </c>
      <c r="BZ147" s="8">
        <f>IF(_xlfn.XLOOKUP($B147,'ELC TECH'!$H:$H,'ELC TECH'!$E:$E)="Non Dispatchable",IFERROR($AX147*_xlfn.XLOOKUP($C147,$BM$1:$BM$3,BZ$1:BZ$3)/SUMPRODUCT(_xlfn.XLOOKUP($C147,$BM$1:$BM$3,$BN$1:$BY$3),$BN$4:$BY$4),""),
"")</f>
        <v>0.69924647075540514</v>
      </c>
      <c r="CA147" s="8">
        <f>IF(_xlfn.XLOOKUP($B147,'ELC TECH'!$H:$H,'ELC TECH'!$E:$E)="Non Dispatchable",IFERROR($AX147*_xlfn.XLOOKUP($C147,$BM$1:$BM$3,CA$1:CA$3)/SUMPRODUCT(_xlfn.XLOOKUP($C147,$BM$1:$BM$3,$BN$1:$BY$3),$BN$4:$BY$4),""),
"")</f>
        <v>0.69924647075540514</v>
      </c>
      <c r="CB147" s="8">
        <f>IF(_xlfn.XLOOKUP($B147,'ELC TECH'!$H:$H,'ELC TECH'!$E:$E)="Non Dispatchable",IFERROR($AX147*_xlfn.XLOOKUP($C147,$BM$1:$BM$3,CB$1:CB$3)/SUMPRODUCT(_xlfn.XLOOKUP($C147,$BM$1:$BM$3,$BN$1:$BY$3),$BN$4:$BY$4),""),
"")</f>
        <v>6.9924647075540511E-2</v>
      </c>
      <c r="CC147" s="8">
        <f>IF(_xlfn.XLOOKUP($B147,'ELC TECH'!$H:$H,'ELC TECH'!$E:$E)="Non Dispatchable",IFERROR($AX147*_xlfn.XLOOKUP($C147,$BM$1:$BM$3,CC$1:CC$3)/SUMPRODUCT(_xlfn.XLOOKUP($C147,$BM$1:$BM$3,$BN$1:$BY$3),$BN$4:$BY$4),""),
"")</f>
        <v>0.56027673191345051</v>
      </c>
      <c r="CD147" s="8">
        <f>IF(_xlfn.XLOOKUP($B147,'ELC TECH'!$H:$H,'ELC TECH'!$E:$E)="Non Dispatchable",IFERROR($AX147*_xlfn.XLOOKUP($C147,$BM$1:$BM$3,CD$1:CD$3)/SUMPRODUCT(_xlfn.XLOOKUP($C147,$BM$1:$BM$3,$BN$1:$BY$3),$BN$4:$BY$4),""),
"")</f>
        <v>0.81366862051538058</v>
      </c>
      <c r="CE147" s="8">
        <f>IF(_xlfn.XLOOKUP($B147,'ELC TECH'!$H:$H,'ELC TECH'!$E:$E)="Non Dispatchable",IFERROR($AX147*_xlfn.XLOOKUP($C147,$BM$1:$BM$3,CE$1:CE$3)/SUMPRODUCT(_xlfn.XLOOKUP($C147,$BM$1:$BM$3,$BN$1:$BY$3),$BN$4:$BY$4),""),
"")</f>
        <v>0.81366862051538058</v>
      </c>
      <c r="CF147" s="8">
        <f>IF(_xlfn.XLOOKUP($B147,'ELC TECH'!$H:$H,'ELC TECH'!$E:$E)="Non Dispatchable",IFERROR($AX147*_xlfn.XLOOKUP($C147,$BM$1:$BM$3,CF$1:CF$3)/SUMPRODUCT(_xlfn.XLOOKUP($C147,$BM$1:$BM$3,$BN$1:$BY$3),$BN$4:$BY$4),""),
"")</f>
        <v>8.1366862051538064E-2</v>
      </c>
      <c r="CG147" s="8">
        <f>IF(_xlfn.XLOOKUP($B147,'ELC TECH'!$H:$H,'ELC TECH'!$E:$E)="Non Dispatchable",IFERROR($AX147*_xlfn.XLOOKUP($C147,$BM$1:$BM$3,CG$1:CG$3)/SUMPRODUCT(_xlfn.XLOOKUP($C147,$BM$1:$BM$3,$BN$1:$BY$3),$BN$4:$BY$4),""),
"")</f>
        <v>0.72096472108075449</v>
      </c>
      <c r="CH147" s="8">
        <f>IF(_xlfn.XLOOKUP($B147,'ELC TECH'!$H:$H,'ELC TECH'!$E:$E)="Non Dispatchable",IFERROR($AX147*_xlfn.XLOOKUP($C147,$BM$1:$BM$3,CH$1:CH$3)/SUMPRODUCT(_xlfn.XLOOKUP($C147,$BM$1:$BM$3,$BN$1:$BY$3),$BN$4:$BY$4),""),
"")</f>
        <v>0.42137465117219775</v>
      </c>
      <c r="CI147" s="8">
        <f>IF(_xlfn.XLOOKUP($B147,'ELC TECH'!$H:$H,'ELC TECH'!$E:$E)="Non Dispatchable",IFERROR($AX147*_xlfn.XLOOKUP($C147,$BM$1:$BM$3,CI$1:CI$3)/SUMPRODUCT(_xlfn.XLOOKUP($C147,$BM$1:$BM$3,$BN$1:$BY$3),$BN$4:$BY$4),""),
"")</f>
        <v>0.42137465117219775</v>
      </c>
      <c r="CJ147" s="8">
        <f>IF(_xlfn.XLOOKUP($B147,'ELC TECH'!$H:$H,'ELC TECH'!$E:$E)="Non Dispatchable",IFERROR($AX147*_xlfn.XLOOKUP($C147,$BM$1:$BM$3,CJ$1:CJ$3)/SUMPRODUCT(_xlfn.XLOOKUP($C147,$BM$1:$BM$3,$BN$1:$BY$3),$BN$4:$BY$4),""),
"")</f>
        <v>4.2137465117219775E-2</v>
      </c>
      <c r="CK147" s="8">
        <f>IF(_xlfn.XLOOKUP($B147,'ELC TECH'!$H:$H,'ELC TECH'!$E:$E)="Non Dispatchable",IFERROR($AX147*_xlfn.XLOOKUP($C147,$BM$1:$BM$3,CK$1:CK$3)/SUMPRODUCT(_xlfn.XLOOKUP($C147,$BM$1:$BM$3,$BN$1:$BY$3),$BN$4:$BY$4),""),
"")</f>
        <v>0.30800427734131736</v>
      </c>
      <c r="CL147" s="8" t="str">
        <f>IF(_xlfn.XLOOKUP($B147,'ELC TECH'!$H:$H,'ELC TECH'!$E:$E)="Storage",CL$4*$BF147,"")</f>
        <v/>
      </c>
      <c r="CM147" s="8" t="str">
        <f>IF(_xlfn.XLOOKUP($B147,'ELC TECH'!$H:$H,'ELC TECH'!$E:$E)="Storage",CM$4*$BF147,"")</f>
        <v/>
      </c>
      <c r="CN147" s="8" t="str">
        <f>IF(_xlfn.XLOOKUP($B147,'ELC TECH'!$H:$H,'ELC TECH'!$E:$E)="Storage",CN$4*$BF147,"")</f>
        <v/>
      </c>
      <c r="CO147" s="8" t="str">
        <f>IF(_xlfn.XLOOKUP($B147,'ELC TECH'!$H:$H,'ELC TECH'!$E:$E)="Storage",CO$4*$BF147,"")</f>
        <v/>
      </c>
      <c r="CP147" s="8" t="str">
        <f>IF(_xlfn.XLOOKUP($B147,'ELC TECH'!$H:$H,'ELC TECH'!$E:$E)="Storage",CP$4*$BF147,"")</f>
        <v/>
      </c>
      <c r="CQ147" s="8" t="str">
        <f>IF(_xlfn.XLOOKUP($B147,'ELC TECH'!$H:$H,'ELC TECH'!$E:$E)="Storage",CQ$4*$BF147,"")</f>
        <v/>
      </c>
      <c r="CR147" s="8" t="str">
        <f>IF(_xlfn.XLOOKUP($B147,'ELC TECH'!$H:$H,'ELC TECH'!$E:$E)="Storage",CR$4*$BF147,"")</f>
        <v/>
      </c>
      <c r="CS147" s="8" t="str">
        <f>IF(_xlfn.XLOOKUP($B147,'ELC TECH'!$H:$H,'ELC TECH'!$E:$E)="Storage",CS$4*$BF147,"")</f>
        <v/>
      </c>
      <c r="CT147" s="8" t="str">
        <f>IF(_xlfn.XLOOKUP($B147,'ELC TECH'!$H:$H,'ELC TECH'!$E:$E)="Storage",CT$4*$BF147,"")</f>
        <v/>
      </c>
      <c r="CU147" s="8" t="str">
        <f>IF(_xlfn.XLOOKUP($B147,'ELC TECH'!$H:$H,'ELC TECH'!$E:$E)="Storage",CU$4*$BF147,"")</f>
        <v/>
      </c>
      <c r="CV147" s="8" t="str">
        <f>IF(_xlfn.XLOOKUP($B147,'ELC TECH'!$H:$H,'ELC TECH'!$E:$E)="Storage",CV$4*$BF147,"")</f>
        <v/>
      </c>
      <c r="CW147" s="8" t="str">
        <f>IF(_xlfn.XLOOKUP($B147,'ELC TECH'!$H:$H,'ELC TECH'!$E:$E)="Storage",CW$4*$BF147,"")</f>
        <v/>
      </c>
      <c r="CX147" s="8" t="str">
        <f>IF(_xlfn.XLOOKUP($B147,'ELC TECH'!$H:$H,'ELC TECH'!$E:$E)="Storage",CX$4*$BF147,"")</f>
        <v/>
      </c>
      <c r="CY147" s="8" t="str">
        <f>IF(_xlfn.XLOOKUP($B147,'ELC TECH'!$H:$H,'ELC TECH'!$E:$E)="Storage",CY$4*$BF147,"")</f>
        <v/>
      </c>
      <c r="CZ147" s="8" t="str">
        <f>IF(_xlfn.XLOOKUP($B147,'ELC TECH'!$H:$H,'ELC TECH'!$E:$E)="Storage",CZ$4*$BF147,"")</f>
        <v/>
      </c>
      <c r="DA147" s="8" t="str">
        <f>IF(_xlfn.XLOOKUP($B147,'ELC TECH'!$H:$H,'ELC TECH'!$E:$E)="Storage",DA$4*$BF147,"")</f>
        <v/>
      </c>
      <c r="DB147" s="8" t="str">
        <f>IF(_xlfn.XLOOKUP($B147,'ELC TECH'!$H:$H,'ELC TECH'!$E:$E)="Storage",DB$4*$BF147,"")</f>
        <v/>
      </c>
      <c r="DC147" s="8" t="str">
        <f>IF(_xlfn.XLOOKUP($B147,'ELC TECH'!$H:$H,'ELC TECH'!$E:$E)="Storage",DC$4*$BF147,"")</f>
        <v/>
      </c>
      <c r="DD147" s="8" t="str">
        <f>IF(_xlfn.XLOOKUP($B147,'ELC TECH'!$H:$H,'ELC TECH'!$E:$E)="Storage",DD$4*$BF147,"")</f>
        <v/>
      </c>
      <c r="DE147" s="8" t="str">
        <f>IF(_xlfn.XLOOKUP($B147,'ELC TECH'!$H:$H,'ELC TECH'!$E:$E)="Storage",DE$4*$BF147,"")</f>
        <v/>
      </c>
      <c r="DF147" s="8" t="str">
        <f>IF(_xlfn.XLOOKUP($B147,'ELC TECH'!$H:$H,'ELC TECH'!$E:$E)="Storage",DF$4*$BF147,"")</f>
        <v/>
      </c>
      <c r="DG147" s="8" t="str">
        <f>IF(_xlfn.XLOOKUP($B147,'ELC TECH'!$H:$H,'ELC TECH'!$E:$E)="Storage",DG$4*$BF147,"")</f>
        <v/>
      </c>
      <c r="DH147" s="8" t="str">
        <f>IF(_xlfn.XLOOKUP($B147,'ELC TECH'!$H:$H,'ELC TECH'!$E:$E)="Storage",DH$4*$BF147,"")</f>
        <v/>
      </c>
      <c r="DI147" s="8" t="str">
        <f>IF(_xlfn.XLOOKUP($B147,'ELC TECH'!$H:$H,'ELC TECH'!$E:$E)="Storage",DI$4*$BF147,"")</f>
        <v/>
      </c>
    </row>
    <row r="148" spans="2:113" x14ac:dyDescent="0.25">
      <c r="B148" t="str">
        <f>IF('ELC TECH'!I141=0,"*",'ELC TECH'!H141)</f>
        <v>ELCWNDDCECDWC420</v>
      </c>
      <c r="C148" t="str">
        <f>IF(_xlfn.XLOOKUP(_xlfn.XLOOKUP(B148,'ELC TECH'!$H:$H,'ELC TECH'!$G:$G),List!C:C,List!B:B)="STG",D148,"ELC"&amp;_xlfn.XLOOKUP(_xlfn.XLOOKUP(B148,'ELC TECH'!H:H,'ELC TECH'!G:G),List!C:C,List!B:B))</f>
        <v>ELCWND</v>
      </c>
      <c r="D148" t="s">
        <v>544</v>
      </c>
      <c r="E148">
        <f>_xlfn.XLOOKUP(B148,'ELC TECH'!H:H,'ELC TECH'!D:D)</f>
        <v>2020</v>
      </c>
      <c r="F148">
        <f>_xlfn.XLOOKUP(B148,'ELC TECH'!H:H,'ELC TECH'!K:K)</f>
        <v>30</v>
      </c>
      <c r="G148">
        <f t="shared" si="8"/>
        <v>31.535999999999998</v>
      </c>
      <c r="H148">
        <f>IF(_xlfn.XLOOKUP(B148,'ELC TECH'!$H:$H,'ELC TECH'!$E:$E)="Storage",0.3,IF(_xlfn.XLOOKUP(B148,'ELC TECH'!$H:$H,'ELC TECH'!$E:$E)="Baseload",0.9,IF(_xlfn.XLOOKUP(B148,'ELC TECH'!$H:$H,'ELC TECH'!$E:$E)="Non Dispatchable",0.05,IF(_xlfn.XLOOKUP(B148,'ELC TECH'!$H:$H,'ELC TECH'!$E:$E)="Dispatchable",0.9,1))))</f>
        <v>0.05</v>
      </c>
      <c r="I148" s="13">
        <f>IF(_xlfn.XLOOKUP(B148,'ELC TECH'!H:H,'ELC TECH'!J:J)="","",_xlfn.XLOOKUP(B148,'ELC TECH'!H:H,'ELC TECH'!J:J))</f>
        <v>233.39318333333341</v>
      </c>
      <c r="J148" s="12">
        <f>IF(_xlfn.XLOOKUP($B148,'ELC TECH'!$H:$H,'ELC TECH'!$E:$E)="Storage","",IF(_xlfn.XLOOKUP($B148,'ELC TECH'!$H:$H,'ELC TECH'!AK:AK)="",1,_xlfn.XLOOKUP($B148,'ELC TECH'!$H:$H,'ELC TECH'!AK:AK)))</f>
        <v>1</v>
      </c>
      <c r="K148" s="12">
        <f>IF(_xlfn.XLOOKUP($B148,'ELC TECH'!$H:$H,'ELC TECH'!$E:$E)="Storage","",IF(_xlfn.XLOOKUP($B148,'ELC TECH'!$H:$H,'ELC TECH'!AL:AL)="",1,_xlfn.XLOOKUP($B148,'ELC TECH'!$H:$H,'ELC TECH'!AL:AL)))</f>
        <v>1</v>
      </c>
      <c r="L148" s="12">
        <f>IF(_xlfn.XLOOKUP($B148,'ELC TECH'!$H:$H,'ELC TECH'!$E:$E)="Storage","",IF(_xlfn.XLOOKUP($B148,'ELC TECH'!$H:$H,'ELC TECH'!AM:AM)="",1,_xlfn.XLOOKUP($B148,'ELC TECH'!$H:$H,'ELC TECH'!AM:AM)))</f>
        <v>1</v>
      </c>
      <c r="M148" s="12">
        <f>IF(_xlfn.XLOOKUP($B148,'ELC TECH'!$H:$H,'ELC TECH'!$E:$E)="Storage","",IF(_xlfn.XLOOKUP($B148,'ELC TECH'!$H:$H,'ELC TECH'!AN:AN)="",1,_xlfn.XLOOKUP($B148,'ELC TECH'!$H:$H,'ELC TECH'!AN:AN)))</f>
        <v>1</v>
      </c>
      <c r="N148" s="12">
        <f>IF(_xlfn.XLOOKUP($B148,'ELC TECH'!$H:$H,'ELC TECH'!$E:$E)="Storage","",IF(_xlfn.XLOOKUP($B148,'ELC TECH'!$H:$H,'ELC TECH'!AO:AO)="",1,_xlfn.XLOOKUP($B148,'ELC TECH'!$H:$H,'ELC TECH'!AO:AO)))</f>
        <v>1</v>
      </c>
      <c r="O148" s="12">
        <f>IF(_xlfn.XLOOKUP($B148,'ELC TECH'!$H:$H,'ELC TECH'!$E:$E)="Storage","",IF(_xlfn.XLOOKUP($B148,'ELC TECH'!$H:$H,'ELC TECH'!AP:AP)="",1,_xlfn.XLOOKUP($B148,'ELC TECH'!$H:$H,'ELC TECH'!AP:AP)))</f>
        <v>1</v>
      </c>
      <c r="P148" s="12">
        <f>IF(_xlfn.XLOOKUP($B148,'ELC TECH'!$H:$H,'ELC TECH'!$E:$E)="Storage","",IF(_xlfn.XLOOKUP($B148,'ELC TECH'!$H:$H,'ELC TECH'!AQ:AQ)="",1,_xlfn.XLOOKUP($B148,'ELC TECH'!$H:$H,'ELC TECH'!AQ:AQ)))</f>
        <v>1</v>
      </c>
      <c r="Q148" s="12">
        <f>IF(_xlfn.XLOOKUP($B148,'ELC TECH'!$H:$H,'ELC TECH'!$E:$E)="Storage","",IF(_xlfn.XLOOKUP($B148,'ELC TECH'!$H:$H,'ELC TECH'!AR:AR)="",1,_xlfn.XLOOKUP($B148,'ELC TECH'!$H:$H,'ELC TECH'!AR:AR)))</f>
        <v>1</v>
      </c>
      <c r="R148" s="12" t="str">
        <f>IF(_xlfn.XLOOKUP($B148,'ELC TECH'!$H:$H,'ELC TECH'!$E:$E)&lt;&gt;"Storage","",IF(_xlfn.XLOOKUP($B148,'ELC TECH'!$H:$H,'ELC TECH'!AK:AK)="",0.8,_xlfn.XLOOKUP($B148,'ELC TECH'!$H:$H,'ELC TECH'!AK:AK)))</f>
        <v/>
      </c>
      <c r="S148" s="12" t="str">
        <f>IF(_xlfn.XLOOKUP($B148,'ELC TECH'!$H:$H,'ELC TECH'!$E:$E)&lt;&gt;"Storage","",IF(_xlfn.XLOOKUP($B148,'ELC TECH'!$H:$H,'ELC TECH'!AL:AL)="",0.8,_xlfn.XLOOKUP($B148,'ELC TECH'!$H:$H,'ELC TECH'!AL:AL)))</f>
        <v/>
      </c>
      <c r="T148" s="12" t="str">
        <f>IF(_xlfn.XLOOKUP($B148,'ELC TECH'!$H:$H,'ELC TECH'!$E:$E)&lt;&gt;"Storage","",IF(_xlfn.XLOOKUP($B148,'ELC TECH'!$H:$H,'ELC TECH'!AM:AM)="",0.8,_xlfn.XLOOKUP($B148,'ELC TECH'!$H:$H,'ELC TECH'!AM:AM)))</f>
        <v/>
      </c>
      <c r="U148" s="12" t="str">
        <f>IF(_xlfn.XLOOKUP($B148,'ELC TECH'!$H:$H,'ELC TECH'!$E:$E)&lt;&gt;"Storage","",IF(_xlfn.XLOOKUP($B148,'ELC TECH'!$H:$H,'ELC TECH'!AN:AN)="",0.8,_xlfn.XLOOKUP($B148,'ELC TECH'!$H:$H,'ELC TECH'!AN:AN)))</f>
        <v/>
      </c>
      <c r="V148" s="12" t="str">
        <f>IF(_xlfn.XLOOKUP($B148,'ELC TECH'!$H:$H,'ELC TECH'!$E:$E)&lt;&gt;"Storage","",IF(_xlfn.XLOOKUP($B148,'ELC TECH'!$H:$H,'ELC TECH'!AO:AO)="",0.8,_xlfn.XLOOKUP($B148,'ELC TECH'!$H:$H,'ELC TECH'!AO:AO)))</f>
        <v/>
      </c>
      <c r="W148" s="12" t="str">
        <f>IF(_xlfn.XLOOKUP($B148,'ELC TECH'!$H:$H,'ELC TECH'!$E:$E)&lt;&gt;"Storage","",IF(_xlfn.XLOOKUP($B148,'ELC TECH'!$H:$H,'ELC TECH'!AP:AP)="",0.8,_xlfn.XLOOKUP($B148,'ELC TECH'!$H:$H,'ELC TECH'!AP:AP)))</f>
        <v/>
      </c>
      <c r="X148" s="12" t="str">
        <f>IF(_xlfn.XLOOKUP($B148,'ELC TECH'!$H:$H,'ELC TECH'!$E:$E)&lt;&gt;"Storage","",IF(_xlfn.XLOOKUP($B148,'ELC TECH'!$H:$H,'ELC TECH'!AQ:AQ)="",0.8,_xlfn.XLOOKUP($B148,'ELC TECH'!$H:$H,'ELC TECH'!AQ:AQ)))</f>
        <v/>
      </c>
      <c r="Y148" s="12" t="str">
        <f>IF(_xlfn.XLOOKUP($B148,'ELC TECH'!$H:$H,'ELC TECH'!$E:$E)&lt;&gt;"Storage","",IF(_xlfn.XLOOKUP($B148,'ELC TECH'!$H:$H,'ELC TECH'!AR:AR)="",0.8,_xlfn.XLOOKUP($B148,'ELC TECH'!$H:$H,'ELC TECH'!AR:AR)))</f>
        <v/>
      </c>
      <c r="Z148" s="15">
        <f>_xlfn.XLOOKUP($B148,'ELC TECH'!$H:$H,'ELC TECH'!M:M)</f>
        <v>4917.4184525969313</v>
      </c>
      <c r="AA148" s="15">
        <f>_xlfn.XLOOKUP($B148,'ELC TECH'!$H:$H,'ELC TECH'!N:N)</f>
        <v>4878.2231378853267</v>
      </c>
      <c r="AB148" s="15">
        <f>_xlfn.XLOOKUP($B148,'ELC TECH'!$H:$H,'ELC TECH'!O:O)</f>
        <v>3372.023929972745</v>
      </c>
      <c r="AC148" s="15">
        <f>_xlfn.XLOOKUP($B148,'ELC TECH'!$H:$H,'ELC TECH'!P:P)</f>
        <v>2767.0640187247109</v>
      </c>
      <c r="AD148" s="15">
        <f>_xlfn.XLOOKUP($B148,'ELC TECH'!$H:$H,'ELC TECH'!Q:Q)</f>
        <v>2154.1095905186999</v>
      </c>
      <c r="AE148" s="15">
        <f>_xlfn.XLOOKUP($B148,'ELC TECH'!$H:$H,'ELC TECH'!R:R)</f>
        <v>1956.2255074001851</v>
      </c>
      <c r="AF148" s="15">
        <f>_xlfn.XLOOKUP($B148,'ELC TECH'!$H:$H,'ELC TECH'!S:S)</f>
        <v>1758.3414242816691</v>
      </c>
      <c r="AG148" s="15">
        <f>_xlfn.XLOOKUP($B148,'ELC TECH'!$H:$H,'ELC TECH'!T:T)</f>
        <v>1758.3414242816691</v>
      </c>
      <c r="AH148" s="15">
        <f>_xlfn.XLOOKUP($B148,'ELC TECH'!$H:$H,'ELC TECH'!U:U)</f>
        <v>41.27117929699714</v>
      </c>
      <c r="AI148" s="15">
        <f>_xlfn.XLOOKUP($B148,'ELC TECH'!$H:$H,'ELC TECH'!V:V)</f>
        <v>40.608188464916751</v>
      </c>
      <c r="AJ148" s="15">
        <f>_xlfn.XLOOKUP($B148,'ELC TECH'!$H:$H,'ELC TECH'!W:W)</f>
        <v>39.779449924816397</v>
      </c>
      <c r="AK148" s="15">
        <f>_xlfn.XLOOKUP($B148,'ELC TECH'!$H:$H,'ELC TECH'!X:X)</f>
        <v>39.157896019741258</v>
      </c>
      <c r="AL148" s="15">
        <f>_xlfn.XLOOKUP($B148,'ELC TECH'!$H:$H,'ELC TECH'!Y:Y)</f>
        <v>38.536342114665999</v>
      </c>
      <c r="AM148" s="15">
        <f>_xlfn.XLOOKUP($B148,'ELC TECH'!$H:$H,'ELC TECH'!Z:Z)</f>
        <v>37.914788209590739</v>
      </c>
      <c r="AN148" s="15">
        <f>_xlfn.XLOOKUP($B148,'ELC TECH'!$H:$H,'ELC TECH'!AA:AA)</f>
        <v>37.293234304515479</v>
      </c>
      <c r="AO148" s="15">
        <f>_xlfn.XLOOKUP($B148,'ELC TECH'!$H:$H,'ELC TECH'!AB:AB)</f>
        <v>37.293234304515479</v>
      </c>
      <c r="AP148" s="15">
        <f>_xlfn.XLOOKUP($B148,'ELC TECH'!$H:$H,'ELC TECH'!AC:AC)</f>
        <v>0</v>
      </c>
      <c r="AQ148" s="15">
        <f>_xlfn.XLOOKUP($B148,'ELC TECH'!$H:$H,'ELC TECH'!AD:AD)</f>
        <v>0</v>
      </c>
      <c r="AR148" s="15">
        <f>_xlfn.XLOOKUP($B148,'ELC TECH'!$H:$H,'ELC TECH'!AE:AE)</f>
        <v>0</v>
      </c>
      <c r="AS148" s="15">
        <f>_xlfn.XLOOKUP($B148,'ELC TECH'!$H:$H,'ELC TECH'!AF:AF)</f>
        <v>0</v>
      </c>
      <c r="AT148" s="15">
        <f>_xlfn.XLOOKUP($B148,'ELC TECH'!$H:$H,'ELC TECH'!AG:AG)</f>
        <v>0</v>
      </c>
      <c r="AU148" s="15">
        <f>_xlfn.XLOOKUP($B148,'ELC TECH'!$H:$H,'ELC TECH'!AH:AH)</f>
        <v>0</v>
      </c>
      <c r="AV148" s="15">
        <f>_xlfn.XLOOKUP($B148,'ELC TECH'!$H:$H,'ELC TECH'!AI:AI)</f>
        <v>0</v>
      </c>
      <c r="AW148" s="15">
        <f>_xlfn.XLOOKUP($B148,'ELC TECH'!$H:$H,'ELC TECH'!AJ:AJ)</f>
        <v>0</v>
      </c>
      <c r="AX148" s="12">
        <f>IF(_xlfn.XLOOKUP($B148,'ELC TECH'!$H:$H,'ELC TECH'!$E:$E)="Storage","",_xlfn.XLOOKUP($B148,'ELC TECH'!$H:$H,'ELC TECH'!AS:AS))</f>
        <v>0.38391930000000002</v>
      </c>
      <c r="AY148" s="12">
        <f>IF(_xlfn.XLOOKUP($B148,'ELC TECH'!$H:$H,'ELC TECH'!$E:$E)="Storage","",_xlfn.XLOOKUP($B148,'ELC TECH'!$H:$H,'ELC TECH'!AT:AT))</f>
        <v>0.44077250000000001</v>
      </c>
      <c r="AZ148" s="12">
        <f>IF(_xlfn.XLOOKUP($B148,'ELC TECH'!$H:$H,'ELC TECH'!$E:$E)="Storage","",_xlfn.XLOOKUP($B148,'ELC TECH'!$H:$H,'ELC TECH'!AU:AU))</f>
        <v>0.51183899999999904</v>
      </c>
      <c r="BA148" s="12">
        <f>IF(_xlfn.XLOOKUP($B148,'ELC TECH'!$H:$H,'ELC TECH'!$E:$E)="Storage","",_xlfn.XLOOKUP($B148,'ELC TECH'!$H:$H,'ELC TECH'!AV:AV))</f>
        <v>0.51183899999999904</v>
      </c>
      <c r="BB148" s="12">
        <f>IF(_xlfn.XLOOKUP($B148,'ELC TECH'!$H:$H,'ELC TECH'!$E:$E)="Storage","",_xlfn.XLOOKUP($B148,'ELC TECH'!$H:$H,'ELC TECH'!AW:AW))</f>
        <v>0.51183899999999904</v>
      </c>
      <c r="BC148" s="12">
        <f>IF(_xlfn.XLOOKUP($B148,'ELC TECH'!$H:$H,'ELC TECH'!$E:$E)="Storage","",_xlfn.XLOOKUP($B148,'ELC TECH'!$H:$H,'ELC TECH'!AX:AX))</f>
        <v>0.51183899999999904</v>
      </c>
      <c r="BD148" s="12">
        <f>IF(_xlfn.XLOOKUP($B148,'ELC TECH'!$H:$H,'ELC TECH'!$E:$E)="Storage","",_xlfn.XLOOKUP($B148,'ELC TECH'!$H:$H,'ELC TECH'!AY:AY))</f>
        <v>0.51183899999999904</v>
      </c>
      <c r="BE148" s="12">
        <f>IF(_xlfn.XLOOKUP($B148,'ELC TECH'!$H:$H,'ELC TECH'!$E:$E)="Storage","",_xlfn.XLOOKUP($B148,'ELC TECH'!$H:$H,'ELC TECH'!AZ:AZ))</f>
        <v>0.51183899999999904</v>
      </c>
      <c r="BF148" s="12" t="str">
        <f>IF(_xlfn.XLOOKUP($B148,'ELC TECH'!$H:$H,'ELC TECH'!$E:$E)="Storage",_xlfn.XLOOKUP($B148,'ELC TECH'!$H:$H,'ELC TECH'!AS:AS),"")</f>
        <v/>
      </c>
      <c r="BG148" s="12" t="str">
        <f>IF(_xlfn.XLOOKUP($B148,'ELC TECH'!$H:$H,'ELC TECH'!$E:$E)="Storage",_xlfn.XLOOKUP($B148,'ELC TECH'!$H:$H,'ELC TECH'!AT:AT),"")</f>
        <v/>
      </c>
      <c r="BH148" s="12" t="str">
        <f>IF(_xlfn.XLOOKUP($B148,'ELC TECH'!$H:$H,'ELC TECH'!$E:$E)="Storage",_xlfn.XLOOKUP($B148,'ELC TECH'!$H:$H,'ELC TECH'!AU:AU),"")</f>
        <v/>
      </c>
      <c r="BI148" s="12" t="str">
        <f>IF(_xlfn.XLOOKUP($B148,'ELC TECH'!$H:$H,'ELC TECH'!$E:$E)="Storage",_xlfn.XLOOKUP($B148,'ELC TECH'!$H:$H,'ELC TECH'!AV:AV),"")</f>
        <v/>
      </c>
      <c r="BJ148" s="12" t="str">
        <f>IF(_xlfn.XLOOKUP($B148,'ELC TECH'!$H:$H,'ELC TECH'!$E:$E)="Storage",_xlfn.XLOOKUP($B148,'ELC TECH'!$H:$H,'ELC TECH'!AW:AW),"")</f>
        <v/>
      </c>
      <c r="BK148" s="12" t="str">
        <f>IF(_xlfn.XLOOKUP($B148,'ELC TECH'!$H:$H,'ELC TECH'!$E:$E)="Storage",_xlfn.XLOOKUP($B148,'ELC TECH'!$H:$H,'ELC TECH'!AX:AX),"")</f>
        <v/>
      </c>
      <c r="BL148" s="12" t="str">
        <f>IF(_xlfn.XLOOKUP($B148,'ELC TECH'!$H:$H,'ELC TECH'!$E:$E)="Storage",_xlfn.XLOOKUP($B148,'ELC TECH'!$H:$H,'ELC TECH'!AY:AY),"")</f>
        <v/>
      </c>
      <c r="BM148" s="12" t="str">
        <f>IF(_xlfn.XLOOKUP($B148,'ELC TECH'!$H:$H,'ELC TECH'!$E:$E)="Storage",_xlfn.XLOOKUP($B148,'ELC TECH'!$H:$H,'ELC TECH'!AZ:AZ),"")</f>
        <v/>
      </c>
      <c r="BN148" s="8">
        <f>IF(_xlfn.XLOOKUP($B148,'ELC TECH'!$H:$H,'ELC TECH'!$E:$E)="Non Dispatchable",IFERROR($AX148*_xlfn.XLOOKUP($C148,$BM$1:$BM$3,BN$1:BN$3)/SUMPRODUCT(_xlfn.XLOOKUP($C148,$BM$1:$BM$3,$BN$1:$BY$3),$BN$4:$BY$4),""),
"")</f>
        <v>0.67416286730534869</v>
      </c>
      <c r="BO148" s="8">
        <f>IF(_xlfn.XLOOKUP($B148,'ELC TECH'!$H:$H,'ELC TECH'!$E:$E)="Non Dispatchable",IFERROR($AX148*_xlfn.XLOOKUP($C148,$BM$1:$BM$3,BO$1:BO$3)/SUMPRODUCT(_xlfn.XLOOKUP($C148,$BM$1:$BM$3,$BN$1:$BY$3),$BN$4:$BY$4),""),
"")</f>
        <v>0.67416286730534869</v>
      </c>
      <c r="BP148" s="8">
        <f>IF(_xlfn.XLOOKUP($B148,'ELC TECH'!$H:$H,'ELC TECH'!$E:$E)="Non Dispatchable",IFERROR($AX148*_xlfn.XLOOKUP($C148,$BM$1:$BM$3,BP$1:BP$3)/SUMPRODUCT(_xlfn.XLOOKUP($C148,$BM$1:$BM$3,$BN$1:$BY$3),$BN$4:$BY$4),""),
"")</f>
        <v>6.7416286730534875E-2</v>
      </c>
      <c r="BQ148" s="8">
        <f>IF(_xlfn.XLOOKUP($B148,'ELC TECH'!$H:$H,'ELC TECH'!$E:$E)="Non Dispatchable",IFERROR($AX148*_xlfn.XLOOKUP($C148,$BM$1:$BM$3,BQ$1:BQ$3)/SUMPRODUCT(_xlfn.XLOOKUP($C148,$BM$1:$BM$3,$BN$1:$BY$3),$BN$4:$BY$4),""),
"")</f>
        <v>0.54017829745095247</v>
      </c>
      <c r="BR148" s="8">
        <f>IF(_xlfn.XLOOKUP($B148,'ELC TECH'!$H:$H,'ELC TECH'!$E:$E)="Non Dispatchable",IFERROR($AX148*_xlfn.XLOOKUP($C148,$BM$1:$BM$3,BR$1:BR$3)/SUMPRODUCT(_xlfn.XLOOKUP($C148,$BM$1:$BM$3,$BN$1:$BY$3),$BN$4:$BY$4),""),
"")</f>
        <v>0.78448042740986046</v>
      </c>
      <c r="BS148" s="8">
        <f>IF(_xlfn.XLOOKUP($B148,'ELC TECH'!$H:$H,'ELC TECH'!$E:$E)="Non Dispatchable",IFERROR($AX148*_xlfn.XLOOKUP($C148,$BM$1:$BM$3,BS$1:BS$3)/SUMPRODUCT(_xlfn.XLOOKUP($C148,$BM$1:$BM$3,$BN$1:$BY$3),$BN$4:$BY$4),""),
"")</f>
        <v>0.78448042740986046</v>
      </c>
      <c r="BT148" s="8">
        <f>IF(_xlfn.XLOOKUP($B148,'ELC TECH'!$H:$H,'ELC TECH'!$E:$E)="Non Dispatchable",IFERROR($AX148*_xlfn.XLOOKUP($C148,$BM$1:$BM$3,BT$1:BT$3)/SUMPRODUCT(_xlfn.XLOOKUP($C148,$BM$1:$BM$3,$BN$1:$BY$3),$BN$4:$BY$4),""),
"")</f>
        <v>7.8448042740986046E-2</v>
      </c>
      <c r="BU148" s="8">
        <f>IF(_xlfn.XLOOKUP($B148,'ELC TECH'!$H:$H,'ELC TECH'!$E:$E)="Non Dispatchable",IFERROR($AX148*_xlfn.XLOOKUP($C148,$BM$1:$BM$3,BU$1:BU$3)/SUMPRODUCT(_xlfn.XLOOKUP($C148,$BM$1:$BM$3,$BN$1:$BY$3),$BN$4:$BY$4),""),
"")</f>
        <v>0.69510203328551479</v>
      </c>
      <c r="BV148" s="8">
        <f>IF(_xlfn.XLOOKUP($B148,'ELC TECH'!$H:$H,'ELC TECH'!$E:$E)="Non Dispatchable",IFERROR($AX148*_xlfn.XLOOKUP($C148,$BM$1:$BM$3,BV$1:BV$3)/SUMPRODUCT(_xlfn.XLOOKUP($C148,$BM$1:$BM$3,$BN$1:$BY$3),$BN$4:$BY$4),""),
"")</f>
        <v>0.40625895864322331</v>
      </c>
      <c r="BW148" s="8">
        <f>IF(_xlfn.XLOOKUP($B148,'ELC TECH'!$H:$H,'ELC TECH'!$E:$E)="Non Dispatchable",IFERROR($AX148*_xlfn.XLOOKUP($C148,$BM$1:$BM$3,BW$1:BW$3)/SUMPRODUCT(_xlfn.XLOOKUP($C148,$BM$1:$BM$3,$BN$1:$BY$3),$BN$4:$BY$4),""),
"")</f>
        <v>0.40625895864322331</v>
      </c>
      <c r="BX148" s="8">
        <f>IF(_xlfn.XLOOKUP($B148,'ELC TECH'!$H:$H,'ELC TECH'!$E:$E)="Non Dispatchable",IFERROR($AX148*_xlfn.XLOOKUP($C148,$BM$1:$BM$3,BX$1:BX$3)/SUMPRODUCT(_xlfn.XLOOKUP($C148,$BM$1:$BM$3,$BN$1:$BY$3),$BN$4:$BY$4),""),
"")</f>
        <v>4.0625895864322331E-2</v>
      </c>
      <c r="BY148" s="8">
        <f>IF(_xlfn.XLOOKUP($B148,'ELC TECH'!$H:$H,'ELC TECH'!$E:$E)="Non Dispatchable",IFERROR($AX148*_xlfn.XLOOKUP($C148,$BM$1:$BM$3,BY$1:BY$3)/SUMPRODUCT(_xlfn.XLOOKUP($C148,$BM$1:$BM$3,$BN$1:$BY$3),$BN$4:$BY$4),""),
"")</f>
        <v>0.29695544480962871</v>
      </c>
      <c r="BZ148" s="8">
        <f>IF(_xlfn.XLOOKUP($B148,'ELC TECH'!$H:$H,'ELC TECH'!$E:$E)="Non Dispatchable",IFERROR($AX148*_xlfn.XLOOKUP($C148,$BM$1:$BM$3,BZ$1:BZ$3)/SUMPRODUCT(_xlfn.XLOOKUP($C148,$BM$1:$BM$3,$BN$1:$BY$3),$BN$4:$BY$4),""),
"")</f>
        <v>0.67416286730534869</v>
      </c>
      <c r="CA148" s="8">
        <f>IF(_xlfn.XLOOKUP($B148,'ELC TECH'!$H:$H,'ELC TECH'!$E:$E)="Non Dispatchable",IFERROR($AX148*_xlfn.XLOOKUP($C148,$BM$1:$BM$3,CA$1:CA$3)/SUMPRODUCT(_xlfn.XLOOKUP($C148,$BM$1:$BM$3,$BN$1:$BY$3),$BN$4:$BY$4),""),
"")</f>
        <v>0.67416286730534869</v>
      </c>
      <c r="CB148" s="8">
        <f>IF(_xlfn.XLOOKUP($B148,'ELC TECH'!$H:$H,'ELC TECH'!$E:$E)="Non Dispatchable",IFERROR($AX148*_xlfn.XLOOKUP($C148,$BM$1:$BM$3,CB$1:CB$3)/SUMPRODUCT(_xlfn.XLOOKUP($C148,$BM$1:$BM$3,$BN$1:$BY$3),$BN$4:$BY$4),""),
"")</f>
        <v>6.7416286730534875E-2</v>
      </c>
      <c r="CC148" s="8">
        <f>IF(_xlfn.XLOOKUP($B148,'ELC TECH'!$H:$H,'ELC TECH'!$E:$E)="Non Dispatchable",IFERROR($AX148*_xlfn.XLOOKUP($C148,$BM$1:$BM$3,CC$1:CC$3)/SUMPRODUCT(_xlfn.XLOOKUP($C148,$BM$1:$BM$3,$BN$1:$BY$3),$BN$4:$BY$4),""),
"")</f>
        <v>0.54017829745095247</v>
      </c>
      <c r="CD148" s="8">
        <f>IF(_xlfn.XLOOKUP($B148,'ELC TECH'!$H:$H,'ELC TECH'!$E:$E)="Non Dispatchable",IFERROR($AX148*_xlfn.XLOOKUP($C148,$BM$1:$BM$3,CD$1:CD$3)/SUMPRODUCT(_xlfn.XLOOKUP($C148,$BM$1:$BM$3,$BN$1:$BY$3),$BN$4:$BY$4),""),
"")</f>
        <v>0.78448042740986046</v>
      </c>
      <c r="CE148" s="8">
        <f>IF(_xlfn.XLOOKUP($B148,'ELC TECH'!$H:$H,'ELC TECH'!$E:$E)="Non Dispatchable",IFERROR($AX148*_xlfn.XLOOKUP($C148,$BM$1:$BM$3,CE$1:CE$3)/SUMPRODUCT(_xlfn.XLOOKUP($C148,$BM$1:$BM$3,$BN$1:$BY$3),$BN$4:$BY$4),""),
"")</f>
        <v>0.78448042740986046</v>
      </c>
      <c r="CF148" s="8">
        <f>IF(_xlfn.XLOOKUP($B148,'ELC TECH'!$H:$H,'ELC TECH'!$E:$E)="Non Dispatchable",IFERROR($AX148*_xlfn.XLOOKUP($C148,$BM$1:$BM$3,CF$1:CF$3)/SUMPRODUCT(_xlfn.XLOOKUP($C148,$BM$1:$BM$3,$BN$1:$BY$3),$BN$4:$BY$4),""),
"")</f>
        <v>7.8448042740986046E-2</v>
      </c>
      <c r="CG148" s="8">
        <f>IF(_xlfn.XLOOKUP($B148,'ELC TECH'!$H:$H,'ELC TECH'!$E:$E)="Non Dispatchable",IFERROR($AX148*_xlfn.XLOOKUP($C148,$BM$1:$BM$3,CG$1:CG$3)/SUMPRODUCT(_xlfn.XLOOKUP($C148,$BM$1:$BM$3,$BN$1:$BY$3),$BN$4:$BY$4),""),
"")</f>
        <v>0.69510203328551479</v>
      </c>
      <c r="CH148" s="8">
        <f>IF(_xlfn.XLOOKUP($B148,'ELC TECH'!$H:$H,'ELC TECH'!$E:$E)="Non Dispatchable",IFERROR($AX148*_xlfn.XLOOKUP($C148,$BM$1:$BM$3,CH$1:CH$3)/SUMPRODUCT(_xlfn.XLOOKUP($C148,$BM$1:$BM$3,$BN$1:$BY$3),$BN$4:$BY$4),""),
"")</f>
        <v>0.40625895864322331</v>
      </c>
      <c r="CI148" s="8">
        <f>IF(_xlfn.XLOOKUP($B148,'ELC TECH'!$H:$H,'ELC TECH'!$E:$E)="Non Dispatchable",IFERROR($AX148*_xlfn.XLOOKUP($C148,$BM$1:$BM$3,CI$1:CI$3)/SUMPRODUCT(_xlfn.XLOOKUP($C148,$BM$1:$BM$3,$BN$1:$BY$3),$BN$4:$BY$4),""),
"")</f>
        <v>0.40625895864322331</v>
      </c>
      <c r="CJ148" s="8">
        <f>IF(_xlfn.XLOOKUP($B148,'ELC TECH'!$H:$H,'ELC TECH'!$E:$E)="Non Dispatchable",IFERROR($AX148*_xlfn.XLOOKUP($C148,$BM$1:$BM$3,CJ$1:CJ$3)/SUMPRODUCT(_xlfn.XLOOKUP($C148,$BM$1:$BM$3,$BN$1:$BY$3),$BN$4:$BY$4),""),
"")</f>
        <v>4.0625895864322331E-2</v>
      </c>
      <c r="CK148" s="8">
        <f>IF(_xlfn.XLOOKUP($B148,'ELC TECH'!$H:$H,'ELC TECH'!$E:$E)="Non Dispatchable",IFERROR($AX148*_xlfn.XLOOKUP($C148,$BM$1:$BM$3,CK$1:CK$3)/SUMPRODUCT(_xlfn.XLOOKUP($C148,$BM$1:$BM$3,$BN$1:$BY$3),$BN$4:$BY$4),""),
"")</f>
        <v>0.29695544480962871</v>
      </c>
      <c r="CL148" s="8" t="str">
        <f>IF(_xlfn.XLOOKUP($B148,'ELC TECH'!$H:$H,'ELC TECH'!$E:$E)="Storage",CL$4*$BF148,"")</f>
        <v/>
      </c>
      <c r="CM148" s="8" t="str">
        <f>IF(_xlfn.XLOOKUP($B148,'ELC TECH'!$H:$H,'ELC TECH'!$E:$E)="Storage",CM$4*$BF148,"")</f>
        <v/>
      </c>
      <c r="CN148" s="8" t="str">
        <f>IF(_xlfn.XLOOKUP($B148,'ELC TECH'!$H:$H,'ELC TECH'!$E:$E)="Storage",CN$4*$BF148,"")</f>
        <v/>
      </c>
      <c r="CO148" s="8" t="str">
        <f>IF(_xlfn.XLOOKUP($B148,'ELC TECH'!$H:$H,'ELC TECH'!$E:$E)="Storage",CO$4*$BF148,"")</f>
        <v/>
      </c>
      <c r="CP148" s="8" t="str">
        <f>IF(_xlfn.XLOOKUP($B148,'ELC TECH'!$H:$H,'ELC TECH'!$E:$E)="Storage",CP$4*$BF148,"")</f>
        <v/>
      </c>
      <c r="CQ148" s="8" t="str">
        <f>IF(_xlfn.XLOOKUP($B148,'ELC TECH'!$H:$H,'ELC TECH'!$E:$E)="Storage",CQ$4*$BF148,"")</f>
        <v/>
      </c>
      <c r="CR148" s="8" t="str">
        <f>IF(_xlfn.XLOOKUP($B148,'ELC TECH'!$H:$H,'ELC TECH'!$E:$E)="Storage",CR$4*$BF148,"")</f>
        <v/>
      </c>
      <c r="CS148" s="8" t="str">
        <f>IF(_xlfn.XLOOKUP($B148,'ELC TECH'!$H:$H,'ELC TECH'!$E:$E)="Storage",CS$4*$BF148,"")</f>
        <v/>
      </c>
      <c r="CT148" s="8" t="str">
        <f>IF(_xlfn.XLOOKUP($B148,'ELC TECH'!$H:$H,'ELC TECH'!$E:$E)="Storage",CT$4*$BF148,"")</f>
        <v/>
      </c>
      <c r="CU148" s="8" t="str">
        <f>IF(_xlfn.XLOOKUP($B148,'ELC TECH'!$H:$H,'ELC TECH'!$E:$E)="Storage",CU$4*$BF148,"")</f>
        <v/>
      </c>
      <c r="CV148" s="8" t="str">
        <f>IF(_xlfn.XLOOKUP($B148,'ELC TECH'!$H:$H,'ELC TECH'!$E:$E)="Storage",CV$4*$BF148,"")</f>
        <v/>
      </c>
      <c r="CW148" s="8" t="str">
        <f>IF(_xlfn.XLOOKUP($B148,'ELC TECH'!$H:$H,'ELC TECH'!$E:$E)="Storage",CW$4*$BF148,"")</f>
        <v/>
      </c>
      <c r="CX148" s="8" t="str">
        <f>IF(_xlfn.XLOOKUP($B148,'ELC TECH'!$H:$H,'ELC TECH'!$E:$E)="Storage",CX$4*$BF148,"")</f>
        <v/>
      </c>
      <c r="CY148" s="8" t="str">
        <f>IF(_xlfn.XLOOKUP($B148,'ELC TECH'!$H:$H,'ELC TECH'!$E:$E)="Storage",CY$4*$BF148,"")</f>
        <v/>
      </c>
      <c r="CZ148" s="8" t="str">
        <f>IF(_xlfn.XLOOKUP($B148,'ELC TECH'!$H:$H,'ELC TECH'!$E:$E)="Storage",CZ$4*$BF148,"")</f>
        <v/>
      </c>
      <c r="DA148" s="8" t="str">
        <f>IF(_xlfn.XLOOKUP($B148,'ELC TECH'!$H:$H,'ELC TECH'!$E:$E)="Storage",DA$4*$BF148,"")</f>
        <v/>
      </c>
      <c r="DB148" s="8" t="str">
        <f>IF(_xlfn.XLOOKUP($B148,'ELC TECH'!$H:$H,'ELC TECH'!$E:$E)="Storage",DB$4*$BF148,"")</f>
        <v/>
      </c>
      <c r="DC148" s="8" t="str">
        <f>IF(_xlfn.XLOOKUP($B148,'ELC TECH'!$H:$H,'ELC TECH'!$E:$E)="Storage",DC$4*$BF148,"")</f>
        <v/>
      </c>
      <c r="DD148" s="8" t="str">
        <f>IF(_xlfn.XLOOKUP($B148,'ELC TECH'!$H:$H,'ELC TECH'!$E:$E)="Storage",DD$4*$BF148,"")</f>
        <v/>
      </c>
      <c r="DE148" s="8" t="str">
        <f>IF(_xlfn.XLOOKUP($B148,'ELC TECH'!$H:$H,'ELC TECH'!$E:$E)="Storage",DE$4*$BF148,"")</f>
        <v/>
      </c>
      <c r="DF148" s="8" t="str">
        <f>IF(_xlfn.XLOOKUP($B148,'ELC TECH'!$H:$H,'ELC TECH'!$E:$E)="Storage",DF$4*$BF148,"")</f>
        <v/>
      </c>
      <c r="DG148" s="8" t="str">
        <f>IF(_xlfn.XLOOKUP($B148,'ELC TECH'!$H:$H,'ELC TECH'!$E:$E)="Storage",DG$4*$BF148,"")</f>
        <v/>
      </c>
      <c r="DH148" s="8" t="str">
        <f>IF(_xlfn.XLOOKUP($B148,'ELC TECH'!$H:$H,'ELC TECH'!$E:$E)="Storage",DH$4*$BF148,"")</f>
        <v/>
      </c>
      <c r="DI148" s="8" t="str">
        <f>IF(_xlfn.XLOOKUP($B148,'ELC TECH'!$H:$H,'ELC TECH'!$E:$E)="Storage",DI$4*$BF148,"")</f>
        <v/>
      </c>
    </row>
    <row r="149" spans="2:113" x14ac:dyDescent="0.25">
      <c r="B149" t="str">
        <f>IF('ELC TECH'!I142=0,"*",'ELC TECH'!H142)</f>
        <v>ELCWNDDCECDWC520</v>
      </c>
      <c r="C149" t="str">
        <f>IF(_xlfn.XLOOKUP(_xlfn.XLOOKUP(B149,'ELC TECH'!$H:$H,'ELC TECH'!$G:$G),List!C:C,List!B:B)="STG",D149,"ELC"&amp;_xlfn.XLOOKUP(_xlfn.XLOOKUP(B149,'ELC TECH'!H:H,'ELC TECH'!G:G),List!C:C,List!B:B))</f>
        <v>ELCWND</v>
      </c>
      <c r="D149" t="s">
        <v>544</v>
      </c>
      <c r="E149">
        <f>_xlfn.XLOOKUP(B149,'ELC TECH'!H:H,'ELC TECH'!D:D)</f>
        <v>2020</v>
      </c>
      <c r="F149">
        <f>_xlfn.XLOOKUP(B149,'ELC TECH'!H:H,'ELC TECH'!K:K)</f>
        <v>30</v>
      </c>
      <c r="G149">
        <f t="shared" si="8"/>
        <v>31.535999999999998</v>
      </c>
      <c r="H149">
        <f>IF(_xlfn.XLOOKUP(B149,'ELC TECH'!$H:$H,'ELC TECH'!$E:$E)="Storage",0.3,IF(_xlfn.XLOOKUP(B149,'ELC TECH'!$H:$H,'ELC TECH'!$E:$E)="Baseload",0.9,IF(_xlfn.XLOOKUP(B149,'ELC TECH'!$H:$H,'ELC TECH'!$E:$E)="Non Dispatchable",0.05,IF(_xlfn.XLOOKUP(B149,'ELC TECH'!$H:$H,'ELC TECH'!$E:$E)="Dispatchable",0.9,1))))</f>
        <v>0.05</v>
      </c>
      <c r="I149" s="13">
        <f>IF(_xlfn.XLOOKUP(B149,'ELC TECH'!H:H,'ELC TECH'!J:J)="","",_xlfn.XLOOKUP(B149,'ELC TECH'!H:H,'ELC TECH'!J:J))</f>
        <v>233.39318333333341</v>
      </c>
      <c r="J149" s="12">
        <f>IF(_xlfn.XLOOKUP($B149,'ELC TECH'!$H:$H,'ELC TECH'!$E:$E)="Storage","",IF(_xlfn.XLOOKUP($B149,'ELC TECH'!$H:$H,'ELC TECH'!AK:AK)="",1,_xlfn.XLOOKUP($B149,'ELC TECH'!$H:$H,'ELC TECH'!AK:AK)))</f>
        <v>1</v>
      </c>
      <c r="K149" s="12">
        <f>IF(_xlfn.XLOOKUP($B149,'ELC TECH'!$H:$H,'ELC TECH'!$E:$E)="Storage","",IF(_xlfn.XLOOKUP($B149,'ELC TECH'!$H:$H,'ELC TECH'!AL:AL)="",1,_xlfn.XLOOKUP($B149,'ELC TECH'!$H:$H,'ELC TECH'!AL:AL)))</f>
        <v>1</v>
      </c>
      <c r="L149" s="12">
        <f>IF(_xlfn.XLOOKUP($B149,'ELC TECH'!$H:$H,'ELC TECH'!$E:$E)="Storage","",IF(_xlfn.XLOOKUP($B149,'ELC TECH'!$H:$H,'ELC TECH'!AM:AM)="",1,_xlfn.XLOOKUP($B149,'ELC TECH'!$H:$H,'ELC TECH'!AM:AM)))</f>
        <v>1</v>
      </c>
      <c r="M149" s="12">
        <f>IF(_xlfn.XLOOKUP($B149,'ELC TECH'!$H:$H,'ELC TECH'!$E:$E)="Storage","",IF(_xlfn.XLOOKUP($B149,'ELC TECH'!$H:$H,'ELC TECH'!AN:AN)="",1,_xlfn.XLOOKUP($B149,'ELC TECH'!$H:$H,'ELC TECH'!AN:AN)))</f>
        <v>1</v>
      </c>
      <c r="N149" s="12">
        <f>IF(_xlfn.XLOOKUP($B149,'ELC TECH'!$H:$H,'ELC TECH'!$E:$E)="Storage","",IF(_xlfn.XLOOKUP($B149,'ELC TECH'!$H:$H,'ELC TECH'!AO:AO)="",1,_xlfn.XLOOKUP($B149,'ELC TECH'!$H:$H,'ELC TECH'!AO:AO)))</f>
        <v>1</v>
      </c>
      <c r="O149" s="12">
        <f>IF(_xlfn.XLOOKUP($B149,'ELC TECH'!$H:$H,'ELC TECH'!$E:$E)="Storage","",IF(_xlfn.XLOOKUP($B149,'ELC TECH'!$H:$H,'ELC TECH'!AP:AP)="",1,_xlfn.XLOOKUP($B149,'ELC TECH'!$H:$H,'ELC TECH'!AP:AP)))</f>
        <v>1</v>
      </c>
      <c r="P149" s="12">
        <f>IF(_xlfn.XLOOKUP($B149,'ELC TECH'!$H:$H,'ELC TECH'!$E:$E)="Storage","",IF(_xlfn.XLOOKUP($B149,'ELC TECH'!$H:$H,'ELC TECH'!AQ:AQ)="",1,_xlfn.XLOOKUP($B149,'ELC TECH'!$H:$H,'ELC TECH'!AQ:AQ)))</f>
        <v>1</v>
      </c>
      <c r="Q149" s="12">
        <f>IF(_xlfn.XLOOKUP($B149,'ELC TECH'!$H:$H,'ELC TECH'!$E:$E)="Storage","",IF(_xlfn.XLOOKUP($B149,'ELC TECH'!$H:$H,'ELC TECH'!AR:AR)="",1,_xlfn.XLOOKUP($B149,'ELC TECH'!$H:$H,'ELC TECH'!AR:AR)))</f>
        <v>1</v>
      </c>
      <c r="R149" s="12" t="str">
        <f>IF(_xlfn.XLOOKUP($B149,'ELC TECH'!$H:$H,'ELC TECH'!$E:$E)&lt;&gt;"Storage","",IF(_xlfn.XLOOKUP($B149,'ELC TECH'!$H:$H,'ELC TECH'!AK:AK)="",0.8,_xlfn.XLOOKUP($B149,'ELC TECH'!$H:$H,'ELC TECH'!AK:AK)))</f>
        <v/>
      </c>
      <c r="S149" s="12" t="str">
        <f>IF(_xlfn.XLOOKUP($B149,'ELC TECH'!$H:$H,'ELC TECH'!$E:$E)&lt;&gt;"Storage","",IF(_xlfn.XLOOKUP($B149,'ELC TECH'!$H:$H,'ELC TECH'!AL:AL)="",0.8,_xlfn.XLOOKUP($B149,'ELC TECH'!$H:$H,'ELC TECH'!AL:AL)))</f>
        <v/>
      </c>
      <c r="T149" s="12" t="str">
        <f>IF(_xlfn.XLOOKUP($B149,'ELC TECH'!$H:$H,'ELC TECH'!$E:$E)&lt;&gt;"Storage","",IF(_xlfn.XLOOKUP($B149,'ELC TECH'!$H:$H,'ELC TECH'!AM:AM)="",0.8,_xlfn.XLOOKUP($B149,'ELC TECH'!$H:$H,'ELC TECH'!AM:AM)))</f>
        <v/>
      </c>
      <c r="U149" s="12" t="str">
        <f>IF(_xlfn.XLOOKUP($B149,'ELC TECH'!$H:$H,'ELC TECH'!$E:$E)&lt;&gt;"Storage","",IF(_xlfn.XLOOKUP($B149,'ELC TECH'!$H:$H,'ELC TECH'!AN:AN)="",0.8,_xlfn.XLOOKUP($B149,'ELC TECH'!$H:$H,'ELC TECH'!AN:AN)))</f>
        <v/>
      </c>
      <c r="V149" s="12" t="str">
        <f>IF(_xlfn.XLOOKUP($B149,'ELC TECH'!$H:$H,'ELC TECH'!$E:$E)&lt;&gt;"Storage","",IF(_xlfn.XLOOKUP($B149,'ELC TECH'!$H:$H,'ELC TECH'!AO:AO)="",0.8,_xlfn.XLOOKUP($B149,'ELC TECH'!$H:$H,'ELC TECH'!AO:AO)))</f>
        <v/>
      </c>
      <c r="W149" s="12" t="str">
        <f>IF(_xlfn.XLOOKUP($B149,'ELC TECH'!$H:$H,'ELC TECH'!$E:$E)&lt;&gt;"Storage","",IF(_xlfn.XLOOKUP($B149,'ELC TECH'!$H:$H,'ELC TECH'!AP:AP)="",0.8,_xlfn.XLOOKUP($B149,'ELC TECH'!$H:$H,'ELC TECH'!AP:AP)))</f>
        <v/>
      </c>
      <c r="X149" s="12" t="str">
        <f>IF(_xlfn.XLOOKUP($B149,'ELC TECH'!$H:$H,'ELC TECH'!$E:$E)&lt;&gt;"Storage","",IF(_xlfn.XLOOKUP($B149,'ELC TECH'!$H:$H,'ELC TECH'!AQ:AQ)="",0.8,_xlfn.XLOOKUP($B149,'ELC TECH'!$H:$H,'ELC TECH'!AQ:AQ)))</f>
        <v/>
      </c>
      <c r="Y149" s="12" t="str">
        <f>IF(_xlfn.XLOOKUP($B149,'ELC TECH'!$H:$H,'ELC TECH'!$E:$E)&lt;&gt;"Storage","",IF(_xlfn.XLOOKUP($B149,'ELC TECH'!$H:$H,'ELC TECH'!AR:AR)="",0.8,_xlfn.XLOOKUP($B149,'ELC TECH'!$H:$H,'ELC TECH'!AR:AR)))</f>
        <v/>
      </c>
      <c r="Z149" s="15">
        <f>_xlfn.XLOOKUP($B149,'ELC TECH'!$H:$H,'ELC TECH'!M:M)</f>
        <v>4917.4184525969313</v>
      </c>
      <c r="AA149" s="15">
        <f>_xlfn.XLOOKUP($B149,'ELC TECH'!$H:$H,'ELC TECH'!N:N)</f>
        <v>4821.6848284228936</v>
      </c>
      <c r="AB149" s="15">
        <f>_xlfn.XLOOKUP($B149,'ELC TECH'!$H:$H,'ELC TECH'!O:O)</f>
        <v>2984.1897708938181</v>
      </c>
      <c r="AC149" s="15">
        <f>_xlfn.XLOOKUP($B149,'ELC TECH'!$H:$H,'ELC TECH'!P:P)</f>
        <v>2539.1896953994678</v>
      </c>
      <c r="AD149" s="15">
        <f>_xlfn.XLOOKUP($B149,'ELC TECH'!$H:$H,'ELC TECH'!Q:Q)</f>
        <v>2093.9800186842722</v>
      </c>
      <c r="AE149" s="15">
        <f>_xlfn.XLOOKUP($B149,'ELC TECH'!$H:$H,'ELC TECH'!R:R)</f>
        <v>1896.095935565756</v>
      </c>
      <c r="AF149" s="15">
        <f>_xlfn.XLOOKUP($B149,'ELC TECH'!$H:$H,'ELC TECH'!S:S)</f>
        <v>1698.211852447241</v>
      </c>
      <c r="AG149" s="15">
        <f>_xlfn.XLOOKUP($B149,'ELC TECH'!$H:$H,'ELC TECH'!T:T)</f>
        <v>1698.211852447241</v>
      </c>
      <c r="AH149" s="15">
        <f>_xlfn.XLOOKUP($B149,'ELC TECH'!$H:$H,'ELC TECH'!U:U)</f>
        <v>41.27117929699714</v>
      </c>
      <c r="AI149" s="15">
        <f>_xlfn.XLOOKUP($B149,'ELC TECH'!$H:$H,'ELC TECH'!V:V)</f>
        <v>40.608188464916751</v>
      </c>
      <c r="AJ149" s="15">
        <f>_xlfn.XLOOKUP($B149,'ELC TECH'!$H:$H,'ELC TECH'!W:W)</f>
        <v>39.779449924816397</v>
      </c>
      <c r="AK149" s="15">
        <f>_xlfn.XLOOKUP($B149,'ELC TECH'!$H:$H,'ELC TECH'!X:X)</f>
        <v>39.157896019741258</v>
      </c>
      <c r="AL149" s="15">
        <f>_xlfn.XLOOKUP($B149,'ELC TECH'!$H:$H,'ELC TECH'!Y:Y)</f>
        <v>38.536342114665999</v>
      </c>
      <c r="AM149" s="15">
        <f>_xlfn.XLOOKUP($B149,'ELC TECH'!$H:$H,'ELC TECH'!Z:Z)</f>
        <v>37.914788209590739</v>
      </c>
      <c r="AN149" s="15">
        <f>_xlfn.XLOOKUP($B149,'ELC TECH'!$H:$H,'ELC TECH'!AA:AA)</f>
        <v>37.293234304515479</v>
      </c>
      <c r="AO149" s="15">
        <f>_xlfn.XLOOKUP($B149,'ELC TECH'!$H:$H,'ELC TECH'!AB:AB)</f>
        <v>37.293234304515479</v>
      </c>
      <c r="AP149" s="15">
        <f>_xlfn.XLOOKUP($B149,'ELC TECH'!$H:$H,'ELC TECH'!AC:AC)</f>
        <v>0</v>
      </c>
      <c r="AQ149" s="15">
        <f>_xlfn.XLOOKUP($B149,'ELC TECH'!$H:$H,'ELC TECH'!AD:AD)</f>
        <v>0</v>
      </c>
      <c r="AR149" s="15">
        <f>_xlfn.XLOOKUP($B149,'ELC TECH'!$H:$H,'ELC TECH'!AE:AE)</f>
        <v>0</v>
      </c>
      <c r="AS149" s="15">
        <f>_xlfn.XLOOKUP($B149,'ELC TECH'!$H:$H,'ELC TECH'!AF:AF)</f>
        <v>0</v>
      </c>
      <c r="AT149" s="15">
        <f>_xlfn.XLOOKUP($B149,'ELC TECH'!$H:$H,'ELC TECH'!AG:AG)</f>
        <v>0</v>
      </c>
      <c r="AU149" s="15">
        <f>_xlfn.XLOOKUP($B149,'ELC TECH'!$H:$H,'ELC TECH'!AH:AH)</f>
        <v>0</v>
      </c>
      <c r="AV149" s="15">
        <f>_xlfn.XLOOKUP($B149,'ELC TECH'!$H:$H,'ELC TECH'!AI:AI)</f>
        <v>0</v>
      </c>
      <c r="AW149" s="15">
        <f>_xlfn.XLOOKUP($B149,'ELC TECH'!$H:$H,'ELC TECH'!AJ:AJ)</f>
        <v>0</v>
      </c>
      <c r="AX149" s="12">
        <f>IF(_xlfn.XLOOKUP($B149,'ELC TECH'!$H:$H,'ELC TECH'!$E:$E)="Storage","",_xlfn.XLOOKUP($B149,'ELC TECH'!$H:$H,'ELC TECH'!AS:AS))</f>
        <v>0.3663418</v>
      </c>
      <c r="AY149" s="12">
        <f>IF(_xlfn.XLOOKUP($B149,'ELC TECH'!$H:$H,'ELC TECH'!$E:$E)="Storage","",_xlfn.XLOOKUP($B149,'ELC TECH'!$H:$H,'ELC TECH'!AT:AT))</f>
        <v>0.42372900000000002</v>
      </c>
      <c r="AZ149" s="12">
        <f>IF(_xlfn.XLOOKUP($B149,'ELC TECH'!$H:$H,'ELC TECH'!$E:$E)="Storage","",_xlfn.XLOOKUP($B149,'ELC TECH'!$H:$H,'ELC TECH'!AU:AU))</f>
        <v>0.49546299999999999</v>
      </c>
      <c r="BA149" s="12">
        <f>IF(_xlfn.XLOOKUP($B149,'ELC TECH'!$H:$H,'ELC TECH'!$E:$E)="Storage","",_xlfn.XLOOKUP($B149,'ELC TECH'!$H:$H,'ELC TECH'!AV:AV))</f>
        <v>0.49546299999999999</v>
      </c>
      <c r="BB149" s="12">
        <f>IF(_xlfn.XLOOKUP($B149,'ELC TECH'!$H:$H,'ELC TECH'!$E:$E)="Storage","",_xlfn.XLOOKUP($B149,'ELC TECH'!$H:$H,'ELC TECH'!AW:AW))</f>
        <v>0.49546299999999999</v>
      </c>
      <c r="BC149" s="12">
        <f>IF(_xlfn.XLOOKUP($B149,'ELC TECH'!$H:$H,'ELC TECH'!$E:$E)="Storage","",_xlfn.XLOOKUP($B149,'ELC TECH'!$H:$H,'ELC TECH'!AX:AX))</f>
        <v>0.49546299999999999</v>
      </c>
      <c r="BD149" s="12">
        <f>IF(_xlfn.XLOOKUP($B149,'ELC TECH'!$H:$H,'ELC TECH'!$E:$E)="Storage","",_xlfn.XLOOKUP($B149,'ELC TECH'!$H:$H,'ELC TECH'!AY:AY))</f>
        <v>0.49546299999999999</v>
      </c>
      <c r="BE149" s="12">
        <f>IF(_xlfn.XLOOKUP($B149,'ELC TECH'!$H:$H,'ELC TECH'!$E:$E)="Storage","",_xlfn.XLOOKUP($B149,'ELC TECH'!$H:$H,'ELC TECH'!AZ:AZ))</f>
        <v>0.49546299999999999</v>
      </c>
      <c r="BF149" s="12" t="str">
        <f>IF(_xlfn.XLOOKUP($B149,'ELC TECH'!$H:$H,'ELC TECH'!$E:$E)="Storage",_xlfn.XLOOKUP($B149,'ELC TECH'!$H:$H,'ELC TECH'!AS:AS),"")</f>
        <v/>
      </c>
      <c r="BG149" s="12" t="str">
        <f>IF(_xlfn.XLOOKUP($B149,'ELC TECH'!$H:$H,'ELC TECH'!$E:$E)="Storage",_xlfn.XLOOKUP($B149,'ELC TECH'!$H:$H,'ELC TECH'!AT:AT),"")</f>
        <v/>
      </c>
      <c r="BH149" s="12" t="str">
        <f>IF(_xlfn.XLOOKUP($B149,'ELC TECH'!$H:$H,'ELC TECH'!$E:$E)="Storage",_xlfn.XLOOKUP($B149,'ELC TECH'!$H:$H,'ELC TECH'!AU:AU),"")</f>
        <v/>
      </c>
      <c r="BI149" s="12" t="str">
        <f>IF(_xlfn.XLOOKUP($B149,'ELC TECH'!$H:$H,'ELC TECH'!$E:$E)="Storage",_xlfn.XLOOKUP($B149,'ELC TECH'!$H:$H,'ELC TECH'!AV:AV),"")</f>
        <v/>
      </c>
      <c r="BJ149" s="12" t="str">
        <f>IF(_xlfn.XLOOKUP($B149,'ELC TECH'!$H:$H,'ELC TECH'!$E:$E)="Storage",_xlfn.XLOOKUP($B149,'ELC TECH'!$H:$H,'ELC TECH'!AW:AW),"")</f>
        <v/>
      </c>
      <c r="BK149" s="12" t="str">
        <f>IF(_xlfn.XLOOKUP($B149,'ELC TECH'!$H:$H,'ELC TECH'!$E:$E)="Storage",_xlfn.XLOOKUP($B149,'ELC TECH'!$H:$H,'ELC TECH'!AX:AX),"")</f>
        <v/>
      </c>
      <c r="BL149" s="12" t="str">
        <f>IF(_xlfn.XLOOKUP($B149,'ELC TECH'!$H:$H,'ELC TECH'!$E:$E)="Storage",_xlfn.XLOOKUP($B149,'ELC TECH'!$H:$H,'ELC TECH'!AY:AY),"")</f>
        <v/>
      </c>
      <c r="BM149" s="12" t="str">
        <f>IF(_xlfn.XLOOKUP($B149,'ELC TECH'!$H:$H,'ELC TECH'!$E:$E)="Storage",_xlfn.XLOOKUP($B149,'ELC TECH'!$H:$H,'ELC TECH'!AZ:AZ),"")</f>
        <v/>
      </c>
      <c r="BN149" s="8">
        <f>IF(_xlfn.XLOOKUP($B149,'ELC TECH'!$H:$H,'ELC TECH'!$E:$E)="Non Dispatchable",IFERROR($AX149*_xlfn.XLOOKUP($C149,$BM$1:$BM$3,BN$1:BN$3)/SUMPRODUCT(_xlfn.XLOOKUP($C149,$BM$1:$BM$3,$BN$1:$BY$3),$BN$4:$BY$4),""),
"")</f>
        <v>0.64329675091041938</v>
      </c>
      <c r="BO149" s="8">
        <f>IF(_xlfn.XLOOKUP($B149,'ELC TECH'!$H:$H,'ELC TECH'!$E:$E)="Non Dispatchable",IFERROR($AX149*_xlfn.XLOOKUP($C149,$BM$1:$BM$3,BO$1:BO$3)/SUMPRODUCT(_xlfn.XLOOKUP($C149,$BM$1:$BM$3,$BN$1:$BY$3),$BN$4:$BY$4),""),
"")</f>
        <v>0.64329675091041938</v>
      </c>
      <c r="BP149" s="8">
        <f>IF(_xlfn.XLOOKUP($B149,'ELC TECH'!$H:$H,'ELC TECH'!$E:$E)="Non Dispatchable",IFERROR($AX149*_xlfn.XLOOKUP($C149,$BM$1:$BM$3,BP$1:BP$3)/SUMPRODUCT(_xlfn.XLOOKUP($C149,$BM$1:$BM$3,$BN$1:$BY$3),$BN$4:$BY$4),""),
"")</f>
        <v>6.4329675091041941E-2</v>
      </c>
      <c r="BQ149" s="8">
        <f>IF(_xlfn.XLOOKUP($B149,'ELC TECH'!$H:$H,'ELC TECH'!$E:$E)="Non Dispatchable",IFERROR($AX149*_xlfn.XLOOKUP($C149,$BM$1:$BM$3,BQ$1:BQ$3)/SUMPRODUCT(_xlfn.XLOOKUP($C149,$BM$1:$BM$3,$BN$1:$BY$3),$BN$4:$BY$4),""),
"")</f>
        <v>0.5154465790313677</v>
      </c>
      <c r="BR149" s="8">
        <f>IF(_xlfn.XLOOKUP($B149,'ELC TECH'!$H:$H,'ELC TECH'!$E:$E)="Non Dispatchable",IFERROR($AX149*_xlfn.XLOOKUP($C149,$BM$1:$BM$3,BR$1:BR$3)/SUMPRODUCT(_xlfn.XLOOKUP($C149,$BM$1:$BM$3,$BN$1:$BY$3),$BN$4:$BY$4),""),
"")</f>
        <v>0.74856349196848815</v>
      </c>
      <c r="BS149" s="8">
        <f>IF(_xlfn.XLOOKUP($B149,'ELC TECH'!$H:$H,'ELC TECH'!$E:$E)="Non Dispatchable",IFERROR($AX149*_xlfn.XLOOKUP($C149,$BM$1:$BM$3,BS$1:BS$3)/SUMPRODUCT(_xlfn.XLOOKUP($C149,$BM$1:$BM$3,$BN$1:$BY$3),$BN$4:$BY$4),""),
"")</f>
        <v>0.74856349196848815</v>
      </c>
      <c r="BT149" s="8">
        <f>IF(_xlfn.XLOOKUP($B149,'ELC TECH'!$H:$H,'ELC TECH'!$E:$E)="Non Dispatchable",IFERROR($AX149*_xlfn.XLOOKUP($C149,$BM$1:$BM$3,BT$1:BT$3)/SUMPRODUCT(_xlfn.XLOOKUP($C149,$BM$1:$BM$3,$BN$1:$BY$3),$BN$4:$BY$4),""),
"")</f>
        <v>7.4856349196848818E-2</v>
      </c>
      <c r="BU149" s="8">
        <f>IF(_xlfn.XLOOKUP($B149,'ELC TECH'!$H:$H,'ELC TECH'!$E:$E)="Non Dispatchable",IFERROR($AX149*_xlfn.XLOOKUP($C149,$BM$1:$BM$3,BU$1:BU$3)/SUMPRODUCT(_xlfn.XLOOKUP($C149,$BM$1:$BM$3,$BN$1:$BY$3),$BN$4:$BY$4),""),
"")</f>
        <v>0.66327723054682441</v>
      </c>
      <c r="BV149" s="8">
        <f>IF(_xlfn.XLOOKUP($B149,'ELC TECH'!$H:$H,'ELC TECH'!$E:$E)="Non Dispatchable",IFERROR($AX149*_xlfn.XLOOKUP($C149,$BM$1:$BM$3,BV$1:BV$3)/SUMPRODUCT(_xlfn.XLOOKUP($C149,$BM$1:$BM$3,$BN$1:$BY$3),$BN$4:$BY$4),""),
"")</f>
        <v>0.38765865163716429</v>
      </c>
      <c r="BW149" s="8">
        <f>IF(_xlfn.XLOOKUP($B149,'ELC TECH'!$H:$H,'ELC TECH'!$E:$E)="Non Dispatchable",IFERROR($AX149*_xlfn.XLOOKUP($C149,$BM$1:$BM$3,BW$1:BW$3)/SUMPRODUCT(_xlfn.XLOOKUP($C149,$BM$1:$BM$3,$BN$1:$BY$3),$BN$4:$BY$4),""),
"")</f>
        <v>0.38765865163716429</v>
      </c>
      <c r="BX149" s="8">
        <f>IF(_xlfn.XLOOKUP($B149,'ELC TECH'!$H:$H,'ELC TECH'!$E:$E)="Non Dispatchable",IFERROR($AX149*_xlfn.XLOOKUP($C149,$BM$1:$BM$3,BX$1:BX$3)/SUMPRODUCT(_xlfn.XLOOKUP($C149,$BM$1:$BM$3,$BN$1:$BY$3),$BN$4:$BY$4),""),
"")</f>
        <v>3.8765865163716426E-2</v>
      </c>
      <c r="BY149" s="8">
        <f>IF(_xlfn.XLOOKUP($B149,'ELC TECH'!$H:$H,'ELC TECH'!$E:$E)="Non Dispatchable",IFERROR($AX149*_xlfn.XLOOKUP($C149,$BM$1:$BM$3,BY$1:BY$3)/SUMPRODUCT(_xlfn.XLOOKUP($C149,$BM$1:$BM$3,$BN$1:$BY$3),$BN$4:$BY$4),""),
"")</f>
        <v>0.28335952938901493</v>
      </c>
      <c r="BZ149" s="8">
        <f>IF(_xlfn.XLOOKUP($B149,'ELC TECH'!$H:$H,'ELC TECH'!$E:$E)="Non Dispatchable",IFERROR($AX149*_xlfn.XLOOKUP($C149,$BM$1:$BM$3,BZ$1:BZ$3)/SUMPRODUCT(_xlfn.XLOOKUP($C149,$BM$1:$BM$3,$BN$1:$BY$3),$BN$4:$BY$4),""),
"")</f>
        <v>0.64329675091041938</v>
      </c>
      <c r="CA149" s="8">
        <f>IF(_xlfn.XLOOKUP($B149,'ELC TECH'!$H:$H,'ELC TECH'!$E:$E)="Non Dispatchable",IFERROR($AX149*_xlfn.XLOOKUP($C149,$BM$1:$BM$3,CA$1:CA$3)/SUMPRODUCT(_xlfn.XLOOKUP($C149,$BM$1:$BM$3,$BN$1:$BY$3),$BN$4:$BY$4),""),
"")</f>
        <v>0.64329675091041938</v>
      </c>
      <c r="CB149" s="8">
        <f>IF(_xlfn.XLOOKUP($B149,'ELC TECH'!$H:$H,'ELC TECH'!$E:$E)="Non Dispatchable",IFERROR($AX149*_xlfn.XLOOKUP($C149,$BM$1:$BM$3,CB$1:CB$3)/SUMPRODUCT(_xlfn.XLOOKUP($C149,$BM$1:$BM$3,$BN$1:$BY$3),$BN$4:$BY$4),""),
"")</f>
        <v>6.4329675091041941E-2</v>
      </c>
      <c r="CC149" s="8">
        <f>IF(_xlfn.XLOOKUP($B149,'ELC TECH'!$H:$H,'ELC TECH'!$E:$E)="Non Dispatchable",IFERROR($AX149*_xlfn.XLOOKUP($C149,$BM$1:$BM$3,CC$1:CC$3)/SUMPRODUCT(_xlfn.XLOOKUP($C149,$BM$1:$BM$3,$BN$1:$BY$3),$BN$4:$BY$4),""),
"")</f>
        <v>0.5154465790313677</v>
      </c>
      <c r="CD149" s="8">
        <f>IF(_xlfn.XLOOKUP($B149,'ELC TECH'!$H:$H,'ELC TECH'!$E:$E)="Non Dispatchable",IFERROR($AX149*_xlfn.XLOOKUP($C149,$BM$1:$BM$3,CD$1:CD$3)/SUMPRODUCT(_xlfn.XLOOKUP($C149,$BM$1:$BM$3,$BN$1:$BY$3),$BN$4:$BY$4),""),
"")</f>
        <v>0.74856349196848815</v>
      </c>
      <c r="CE149" s="8">
        <f>IF(_xlfn.XLOOKUP($B149,'ELC TECH'!$H:$H,'ELC TECH'!$E:$E)="Non Dispatchable",IFERROR($AX149*_xlfn.XLOOKUP($C149,$BM$1:$BM$3,CE$1:CE$3)/SUMPRODUCT(_xlfn.XLOOKUP($C149,$BM$1:$BM$3,$BN$1:$BY$3),$BN$4:$BY$4),""),
"")</f>
        <v>0.74856349196848815</v>
      </c>
      <c r="CF149" s="8">
        <f>IF(_xlfn.XLOOKUP($B149,'ELC TECH'!$H:$H,'ELC TECH'!$E:$E)="Non Dispatchable",IFERROR($AX149*_xlfn.XLOOKUP($C149,$BM$1:$BM$3,CF$1:CF$3)/SUMPRODUCT(_xlfn.XLOOKUP($C149,$BM$1:$BM$3,$BN$1:$BY$3),$BN$4:$BY$4),""),
"")</f>
        <v>7.4856349196848818E-2</v>
      </c>
      <c r="CG149" s="8">
        <f>IF(_xlfn.XLOOKUP($B149,'ELC TECH'!$H:$H,'ELC TECH'!$E:$E)="Non Dispatchable",IFERROR($AX149*_xlfn.XLOOKUP($C149,$BM$1:$BM$3,CG$1:CG$3)/SUMPRODUCT(_xlfn.XLOOKUP($C149,$BM$1:$BM$3,$BN$1:$BY$3),$BN$4:$BY$4),""),
"")</f>
        <v>0.66327723054682441</v>
      </c>
      <c r="CH149" s="8">
        <f>IF(_xlfn.XLOOKUP($B149,'ELC TECH'!$H:$H,'ELC TECH'!$E:$E)="Non Dispatchable",IFERROR($AX149*_xlfn.XLOOKUP($C149,$BM$1:$BM$3,CH$1:CH$3)/SUMPRODUCT(_xlfn.XLOOKUP($C149,$BM$1:$BM$3,$BN$1:$BY$3),$BN$4:$BY$4),""),
"")</f>
        <v>0.38765865163716429</v>
      </c>
      <c r="CI149" s="8">
        <f>IF(_xlfn.XLOOKUP($B149,'ELC TECH'!$H:$H,'ELC TECH'!$E:$E)="Non Dispatchable",IFERROR($AX149*_xlfn.XLOOKUP($C149,$BM$1:$BM$3,CI$1:CI$3)/SUMPRODUCT(_xlfn.XLOOKUP($C149,$BM$1:$BM$3,$BN$1:$BY$3),$BN$4:$BY$4),""),
"")</f>
        <v>0.38765865163716429</v>
      </c>
      <c r="CJ149" s="8">
        <f>IF(_xlfn.XLOOKUP($B149,'ELC TECH'!$H:$H,'ELC TECH'!$E:$E)="Non Dispatchable",IFERROR($AX149*_xlfn.XLOOKUP($C149,$BM$1:$BM$3,CJ$1:CJ$3)/SUMPRODUCT(_xlfn.XLOOKUP($C149,$BM$1:$BM$3,$BN$1:$BY$3),$BN$4:$BY$4),""),
"")</f>
        <v>3.8765865163716426E-2</v>
      </c>
      <c r="CK149" s="8">
        <f>IF(_xlfn.XLOOKUP($B149,'ELC TECH'!$H:$H,'ELC TECH'!$E:$E)="Non Dispatchable",IFERROR($AX149*_xlfn.XLOOKUP($C149,$BM$1:$BM$3,CK$1:CK$3)/SUMPRODUCT(_xlfn.XLOOKUP($C149,$BM$1:$BM$3,$BN$1:$BY$3),$BN$4:$BY$4),""),
"")</f>
        <v>0.28335952938901493</v>
      </c>
      <c r="CL149" s="8" t="str">
        <f>IF(_xlfn.XLOOKUP($B149,'ELC TECH'!$H:$H,'ELC TECH'!$E:$E)="Storage",CL$4*$BF149,"")</f>
        <v/>
      </c>
      <c r="CM149" s="8" t="str">
        <f>IF(_xlfn.XLOOKUP($B149,'ELC TECH'!$H:$H,'ELC TECH'!$E:$E)="Storage",CM$4*$BF149,"")</f>
        <v/>
      </c>
      <c r="CN149" s="8" t="str">
        <f>IF(_xlfn.XLOOKUP($B149,'ELC TECH'!$H:$H,'ELC TECH'!$E:$E)="Storage",CN$4*$BF149,"")</f>
        <v/>
      </c>
      <c r="CO149" s="8" t="str">
        <f>IF(_xlfn.XLOOKUP($B149,'ELC TECH'!$H:$H,'ELC TECH'!$E:$E)="Storage",CO$4*$BF149,"")</f>
        <v/>
      </c>
      <c r="CP149" s="8" t="str">
        <f>IF(_xlfn.XLOOKUP($B149,'ELC TECH'!$H:$H,'ELC TECH'!$E:$E)="Storage",CP$4*$BF149,"")</f>
        <v/>
      </c>
      <c r="CQ149" s="8" t="str">
        <f>IF(_xlfn.XLOOKUP($B149,'ELC TECH'!$H:$H,'ELC TECH'!$E:$E)="Storage",CQ$4*$BF149,"")</f>
        <v/>
      </c>
      <c r="CR149" s="8" t="str">
        <f>IF(_xlfn.XLOOKUP($B149,'ELC TECH'!$H:$H,'ELC TECH'!$E:$E)="Storage",CR$4*$BF149,"")</f>
        <v/>
      </c>
      <c r="CS149" s="8" t="str">
        <f>IF(_xlfn.XLOOKUP($B149,'ELC TECH'!$H:$H,'ELC TECH'!$E:$E)="Storage",CS$4*$BF149,"")</f>
        <v/>
      </c>
      <c r="CT149" s="8" t="str">
        <f>IF(_xlfn.XLOOKUP($B149,'ELC TECH'!$H:$H,'ELC TECH'!$E:$E)="Storage",CT$4*$BF149,"")</f>
        <v/>
      </c>
      <c r="CU149" s="8" t="str">
        <f>IF(_xlfn.XLOOKUP($B149,'ELC TECH'!$H:$H,'ELC TECH'!$E:$E)="Storage",CU$4*$BF149,"")</f>
        <v/>
      </c>
      <c r="CV149" s="8" t="str">
        <f>IF(_xlfn.XLOOKUP($B149,'ELC TECH'!$H:$H,'ELC TECH'!$E:$E)="Storage",CV$4*$BF149,"")</f>
        <v/>
      </c>
      <c r="CW149" s="8" t="str">
        <f>IF(_xlfn.XLOOKUP($B149,'ELC TECH'!$H:$H,'ELC TECH'!$E:$E)="Storage",CW$4*$BF149,"")</f>
        <v/>
      </c>
      <c r="CX149" s="8" t="str">
        <f>IF(_xlfn.XLOOKUP($B149,'ELC TECH'!$H:$H,'ELC TECH'!$E:$E)="Storage",CX$4*$BF149,"")</f>
        <v/>
      </c>
      <c r="CY149" s="8" t="str">
        <f>IF(_xlfn.XLOOKUP($B149,'ELC TECH'!$H:$H,'ELC TECH'!$E:$E)="Storage",CY$4*$BF149,"")</f>
        <v/>
      </c>
      <c r="CZ149" s="8" t="str">
        <f>IF(_xlfn.XLOOKUP($B149,'ELC TECH'!$H:$H,'ELC TECH'!$E:$E)="Storage",CZ$4*$BF149,"")</f>
        <v/>
      </c>
      <c r="DA149" s="8" t="str">
        <f>IF(_xlfn.XLOOKUP($B149,'ELC TECH'!$H:$H,'ELC TECH'!$E:$E)="Storage",DA$4*$BF149,"")</f>
        <v/>
      </c>
      <c r="DB149" s="8" t="str">
        <f>IF(_xlfn.XLOOKUP($B149,'ELC TECH'!$H:$H,'ELC TECH'!$E:$E)="Storage",DB$4*$BF149,"")</f>
        <v/>
      </c>
      <c r="DC149" s="8" t="str">
        <f>IF(_xlfn.XLOOKUP($B149,'ELC TECH'!$H:$H,'ELC TECH'!$E:$E)="Storage",DC$4*$BF149,"")</f>
        <v/>
      </c>
      <c r="DD149" s="8" t="str">
        <f>IF(_xlfn.XLOOKUP($B149,'ELC TECH'!$H:$H,'ELC TECH'!$E:$E)="Storage",DD$4*$BF149,"")</f>
        <v/>
      </c>
      <c r="DE149" s="8" t="str">
        <f>IF(_xlfn.XLOOKUP($B149,'ELC TECH'!$H:$H,'ELC TECH'!$E:$E)="Storage",DE$4*$BF149,"")</f>
        <v/>
      </c>
      <c r="DF149" s="8" t="str">
        <f>IF(_xlfn.XLOOKUP($B149,'ELC TECH'!$H:$H,'ELC TECH'!$E:$E)="Storage",DF$4*$BF149,"")</f>
        <v/>
      </c>
      <c r="DG149" s="8" t="str">
        <f>IF(_xlfn.XLOOKUP($B149,'ELC TECH'!$H:$H,'ELC TECH'!$E:$E)="Storage",DG$4*$BF149,"")</f>
        <v/>
      </c>
      <c r="DH149" s="8" t="str">
        <f>IF(_xlfn.XLOOKUP($B149,'ELC TECH'!$H:$H,'ELC TECH'!$E:$E)="Storage",DH$4*$BF149,"")</f>
        <v/>
      </c>
      <c r="DI149" s="8" t="str">
        <f>IF(_xlfn.XLOOKUP($B149,'ELC TECH'!$H:$H,'ELC TECH'!$E:$E)="Storage",DI$4*$BF149,"")</f>
        <v/>
      </c>
    </row>
    <row r="150" spans="2:113" x14ac:dyDescent="0.25">
      <c r="B150" t="str">
        <f>IF('ELC TECH'!I143=0,"*",'ELC TECH'!H143)</f>
        <v>ELCWNDDCECDWC620</v>
      </c>
      <c r="C150" t="str">
        <f>IF(_xlfn.XLOOKUP(_xlfn.XLOOKUP(B150,'ELC TECH'!$H:$H,'ELC TECH'!$G:$G),List!C:C,List!B:B)="STG",D150,"ELC"&amp;_xlfn.XLOOKUP(_xlfn.XLOOKUP(B150,'ELC TECH'!H:H,'ELC TECH'!G:G),List!C:C,List!B:B))</f>
        <v>ELCWND</v>
      </c>
      <c r="D150" t="s">
        <v>544</v>
      </c>
      <c r="E150">
        <f>_xlfn.XLOOKUP(B150,'ELC TECH'!H:H,'ELC TECH'!D:D)</f>
        <v>2020</v>
      </c>
      <c r="F150">
        <f>_xlfn.XLOOKUP(B150,'ELC TECH'!H:H,'ELC TECH'!K:K)</f>
        <v>30</v>
      </c>
      <c r="G150">
        <f t="shared" si="8"/>
        <v>31.535999999999998</v>
      </c>
      <c r="H150">
        <f>IF(_xlfn.XLOOKUP(B150,'ELC TECH'!$H:$H,'ELC TECH'!$E:$E)="Storage",0.3,IF(_xlfn.XLOOKUP(B150,'ELC TECH'!$H:$H,'ELC TECH'!$E:$E)="Baseload",0.9,IF(_xlfn.XLOOKUP(B150,'ELC TECH'!$H:$H,'ELC TECH'!$E:$E)="Non Dispatchable",0.05,IF(_xlfn.XLOOKUP(B150,'ELC TECH'!$H:$H,'ELC TECH'!$E:$E)="Dispatchable",0.9,1))))</f>
        <v>0.05</v>
      </c>
      <c r="I150" s="13">
        <f>IF(_xlfn.XLOOKUP(B150,'ELC TECH'!H:H,'ELC TECH'!J:J)="","",_xlfn.XLOOKUP(B150,'ELC TECH'!H:H,'ELC TECH'!J:J))</f>
        <v>233.39318333333341</v>
      </c>
      <c r="J150" s="12">
        <f>IF(_xlfn.XLOOKUP($B150,'ELC TECH'!$H:$H,'ELC TECH'!$E:$E)="Storage","",IF(_xlfn.XLOOKUP($B150,'ELC TECH'!$H:$H,'ELC TECH'!AK:AK)="",1,_xlfn.XLOOKUP($B150,'ELC TECH'!$H:$H,'ELC TECH'!AK:AK)))</f>
        <v>1</v>
      </c>
      <c r="K150" s="12">
        <f>IF(_xlfn.XLOOKUP($B150,'ELC TECH'!$H:$H,'ELC TECH'!$E:$E)="Storage","",IF(_xlfn.XLOOKUP($B150,'ELC TECH'!$H:$H,'ELC TECH'!AL:AL)="",1,_xlfn.XLOOKUP($B150,'ELC TECH'!$H:$H,'ELC TECH'!AL:AL)))</f>
        <v>1</v>
      </c>
      <c r="L150" s="12">
        <f>IF(_xlfn.XLOOKUP($B150,'ELC TECH'!$H:$H,'ELC TECH'!$E:$E)="Storage","",IF(_xlfn.XLOOKUP($B150,'ELC TECH'!$H:$H,'ELC TECH'!AM:AM)="",1,_xlfn.XLOOKUP($B150,'ELC TECH'!$H:$H,'ELC TECH'!AM:AM)))</f>
        <v>1</v>
      </c>
      <c r="M150" s="12">
        <f>IF(_xlfn.XLOOKUP($B150,'ELC TECH'!$H:$H,'ELC TECH'!$E:$E)="Storage","",IF(_xlfn.XLOOKUP($B150,'ELC TECH'!$H:$H,'ELC TECH'!AN:AN)="",1,_xlfn.XLOOKUP($B150,'ELC TECH'!$H:$H,'ELC TECH'!AN:AN)))</f>
        <v>1</v>
      </c>
      <c r="N150" s="12">
        <f>IF(_xlfn.XLOOKUP($B150,'ELC TECH'!$H:$H,'ELC TECH'!$E:$E)="Storage","",IF(_xlfn.XLOOKUP($B150,'ELC TECH'!$H:$H,'ELC TECH'!AO:AO)="",1,_xlfn.XLOOKUP($B150,'ELC TECH'!$H:$H,'ELC TECH'!AO:AO)))</f>
        <v>1</v>
      </c>
      <c r="O150" s="12">
        <f>IF(_xlfn.XLOOKUP($B150,'ELC TECH'!$H:$H,'ELC TECH'!$E:$E)="Storage","",IF(_xlfn.XLOOKUP($B150,'ELC TECH'!$H:$H,'ELC TECH'!AP:AP)="",1,_xlfn.XLOOKUP($B150,'ELC TECH'!$H:$H,'ELC TECH'!AP:AP)))</f>
        <v>1</v>
      </c>
      <c r="P150" s="12">
        <f>IF(_xlfn.XLOOKUP($B150,'ELC TECH'!$H:$H,'ELC TECH'!$E:$E)="Storage","",IF(_xlfn.XLOOKUP($B150,'ELC TECH'!$H:$H,'ELC TECH'!AQ:AQ)="",1,_xlfn.XLOOKUP($B150,'ELC TECH'!$H:$H,'ELC TECH'!AQ:AQ)))</f>
        <v>1</v>
      </c>
      <c r="Q150" s="12">
        <f>IF(_xlfn.XLOOKUP($B150,'ELC TECH'!$H:$H,'ELC TECH'!$E:$E)="Storage","",IF(_xlfn.XLOOKUP($B150,'ELC TECH'!$H:$H,'ELC TECH'!AR:AR)="",1,_xlfn.XLOOKUP($B150,'ELC TECH'!$H:$H,'ELC TECH'!AR:AR)))</f>
        <v>1</v>
      </c>
      <c r="R150" s="12" t="str">
        <f>IF(_xlfn.XLOOKUP($B150,'ELC TECH'!$H:$H,'ELC TECH'!$E:$E)&lt;&gt;"Storage","",IF(_xlfn.XLOOKUP($B150,'ELC TECH'!$H:$H,'ELC TECH'!AK:AK)="",0.8,_xlfn.XLOOKUP($B150,'ELC TECH'!$H:$H,'ELC TECH'!AK:AK)))</f>
        <v/>
      </c>
      <c r="S150" s="12" t="str">
        <f>IF(_xlfn.XLOOKUP($B150,'ELC TECH'!$H:$H,'ELC TECH'!$E:$E)&lt;&gt;"Storage","",IF(_xlfn.XLOOKUP($B150,'ELC TECH'!$H:$H,'ELC TECH'!AL:AL)="",0.8,_xlfn.XLOOKUP($B150,'ELC TECH'!$H:$H,'ELC TECH'!AL:AL)))</f>
        <v/>
      </c>
      <c r="T150" s="12" t="str">
        <f>IF(_xlfn.XLOOKUP($B150,'ELC TECH'!$H:$H,'ELC TECH'!$E:$E)&lt;&gt;"Storage","",IF(_xlfn.XLOOKUP($B150,'ELC TECH'!$H:$H,'ELC TECH'!AM:AM)="",0.8,_xlfn.XLOOKUP($B150,'ELC TECH'!$H:$H,'ELC TECH'!AM:AM)))</f>
        <v/>
      </c>
      <c r="U150" s="12" t="str">
        <f>IF(_xlfn.XLOOKUP($B150,'ELC TECH'!$H:$H,'ELC TECH'!$E:$E)&lt;&gt;"Storage","",IF(_xlfn.XLOOKUP($B150,'ELC TECH'!$H:$H,'ELC TECH'!AN:AN)="",0.8,_xlfn.XLOOKUP($B150,'ELC TECH'!$H:$H,'ELC TECH'!AN:AN)))</f>
        <v/>
      </c>
      <c r="V150" s="12" t="str">
        <f>IF(_xlfn.XLOOKUP($B150,'ELC TECH'!$H:$H,'ELC TECH'!$E:$E)&lt;&gt;"Storage","",IF(_xlfn.XLOOKUP($B150,'ELC TECH'!$H:$H,'ELC TECH'!AO:AO)="",0.8,_xlfn.XLOOKUP($B150,'ELC TECH'!$H:$H,'ELC TECH'!AO:AO)))</f>
        <v/>
      </c>
      <c r="W150" s="12" t="str">
        <f>IF(_xlfn.XLOOKUP($B150,'ELC TECH'!$H:$H,'ELC TECH'!$E:$E)&lt;&gt;"Storage","",IF(_xlfn.XLOOKUP($B150,'ELC TECH'!$H:$H,'ELC TECH'!AP:AP)="",0.8,_xlfn.XLOOKUP($B150,'ELC TECH'!$H:$H,'ELC TECH'!AP:AP)))</f>
        <v/>
      </c>
      <c r="X150" s="12" t="str">
        <f>IF(_xlfn.XLOOKUP($B150,'ELC TECH'!$H:$H,'ELC TECH'!$E:$E)&lt;&gt;"Storage","",IF(_xlfn.XLOOKUP($B150,'ELC TECH'!$H:$H,'ELC TECH'!AQ:AQ)="",0.8,_xlfn.XLOOKUP($B150,'ELC TECH'!$H:$H,'ELC TECH'!AQ:AQ)))</f>
        <v/>
      </c>
      <c r="Y150" s="12" t="str">
        <f>IF(_xlfn.XLOOKUP($B150,'ELC TECH'!$H:$H,'ELC TECH'!$E:$E)&lt;&gt;"Storage","",IF(_xlfn.XLOOKUP($B150,'ELC TECH'!$H:$H,'ELC TECH'!AR:AR)="",0.8,_xlfn.XLOOKUP($B150,'ELC TECH'!$H:$H,'ELC TECH'!AR:AR)))</f>
        <v/>
      </c>
      <c r="Z150" s="15">
        <f>_xlfn.XLOOKUP($B150,'ELC TECH'!$H:$H,'ELC TECH'!M:M)</f>
        <v>4917.4184525969313</v>
      </c>
      <c r="AA150" s="15">
        <f>_xlfn.XLOOKUP($B150,'ELC TECH'!$H:$H,'ELC TECH'!N:N)</f>
        <v>4821.6848284228936</v>
      </c>
      <c r="AB150" s="15">
        <f>_xlfn.XLOOKUP($B150,'ELC TECH'!$H:$H,'ELC TECH'!O:O)</f>
        <v>2984.1897708938181</v>
      </c>
      <c r="AC150" s="15">
        <f>_xlfn.XLOOKUP($B150,'ELC TECH'!$H:$H,'ELC TECH'!P:P)</f>
        <v>2539.1896953994678</v>
      </c>
      <c r="AD150" s="15">
        <f>_xlfn.XLOOKUP($B150,'ELC TECH'!$H:$H,'ELC TECH'!Q:Q)</f>
        <v>2093.9800186842722</v>
      </c>
      <c r="AE150" s="15">
        <f>_xlfn.XLOOKUP($B150,'ELC TECH'!$H:$H,'ELC TECH'!R:R)</f>
        <v>1896.095935565756</v>
      </c>
      <c r="AF150" s="15">
        <f>_xlfn.XLOOKUP($B150,'ELC TECH'!$H:$H,'ELC TECH'!S:S)</f>
        <v>1698.211852447241</v>
      </c>
      <c r="AG150" s="15">
        <f>_xlfn.XLOOKUP($B150,'ELC TECH'!$H:$H,'ELC TECH'!T:T)</f>
        <v>1698.211852447241</v>
      </c>
      <c r="AH150" s="15">
        <f>_xlfn.XLOOKUP($B150,'ELC TECH'!$H:$H,'ELC TECH'!U:U)</f>
        <v>41.27117929699714</v>
      </c>
      <c r="AI150" s="15">
        <f>_xlfn.XLOOKUP($B150,'ELC TECH'!$H:$H,'ELC TECH'!V:V)</f>
        <v>40.608188464916751</v>
      </c>
      <c r="AJ150" s="15">
        <f>_xlfn.XLOOKUP($B150,'ELC TECH'!$H:$H,'ELC TECH'!W:W)</f>
        <v>39.779449924816397</v>
      </c>
      <c r="AK150" s="15">
        <f>_xlfn.XLOOKUP($B150,'ELC TECH'!$H:$H,'ELC TECH'!X:X)</f>
        <v>39.157896019741258</v>
      </c>
      <c r="AL150" s="15">
        <f>_xlfn.XLOOKUP($B150,'ELC TECH'!$H:$H,'ELC TECH'!Y:Y)</f>
        <v>38.536342114665999</v>
      </c>
      <c r="AM150" s="15">
        <f>_xlfn.XLOOKUP($B150,'ELC TECH'!$H:$H,'ELC TECH'!Z:Z)</f>
        <v>37.914788209590739</v>
      </c>
      <c r="AN150" s="15">
        <f>_xlfn.XLOOKUP($B150,'ELC TECH'!$H:$H,'ELC TECH'!AA:AA)</f>
        <v>37.293234304515479</v>
      </c>
      <c r="AO150" s="15">
        <f>_xlfn.XLOOKUP($B150,'ELC TECH'!$H:$H,'ELC TECH'!AB:AB)</f>
        <v>37.293234304515479</v>
      </c>
      <c r="AP150" s="15">
        <f>_xlfn.XLOOKUP($B150,'ELC TECH'!$H:$H,'ELC TECH'!AC:AC)</f>
        <v>0</v>
      </c>
      <c r="AQ150" s="15">
        <f>_xlfn.XLOOKUP($B150,'ELC TECH'!$H:$H,'ELC TECH'!AD:AD)</f>
        <v>0</v>
      </c>
      <c r="AR150" s="15">
        <f>_xlfn.XLOOKUP($B150,'ELC TECH'!$H:$H,'ELC TECH'!AE:AE)</f>
        <v>0</v>
      </c>
      <c r="AS150" s="15">
        <f>_xlfn.XLOOKUP($B150,'ELC TECH'!$H:$H,'ELC TECH'!AF:AF)</f>
        <v>0</v>
      </c>
      <c r="AT150" s="15">
        <f>_xlfn.XLOOKUP($B150,'ELC TECH'!$H:$H,'ELC TECH'!AG:AG)</f>
        <v>0</v>
      </c>
      <c r="AU150" s="15">
        <f>_xlfn.XLOOKUP($B150,'ELC TECH'!$H:$H,'ELC TECH'!AH:AH)</f>
        <v>0</v>
      </c>
      <c r="AV150" s="15">
        <f>_xlfn.XLOOKUP($B150,'ELC TECH'!$H:$H,'ELC TECH'!AI:AI)</f>
        <v>0</v>
      </c>
      <c r="AW150" s="15">
        <f>_xlfn.XLOOKUP($B150,'ELC TECH'!$H:$H,'ELC TECH'!AJ:AJ)</f>
        <v>0</v>
      </c>
      <c r="AX150" s="12">
        <f>IF(_xlfn.XLOOKUP($B150,'ELC TECH'!$H:$H,'ELC TECH'!$E:$E)="Storage","",_xlfn.XLOOKUP($B150,'ELC TECH'!$H:$H,'ELC TECH'!AS:AS))</f>
        <v>0.34020249999999902</v>
      </c>
      <c r="AY150" s="12">
        <f>IF(_xlfn.XLOOKUP($B150,'ELC TECH'!$H:$H,'ELC TECH'!$E:$E)="Storage","",_xlfn.XLOOKUP($B150,'ELC TECH'!$H:$H,'ELC TECH'!AT:AT))</f>
        <v>0.39805249999999898</v>
      </c>
      <c r="AZ150" s="12">
        <f>IF(_xlfn.XLOOKUP($B150,'ELC TECH'!$H:$H,'ELC TECH'!$E:$E)="Storage","",_xlfn.XLOOKUP($B150,'ELC TECH'!$H:$H,'ELC TECH'!AU:AU))</f>
        <v>0.47036499999999998</v>
      </c>
      <c r="BA150" s="12">
        <f>IF(_xlfn.XLOOKUP($B150,'ELC TECH'!$H:$H,'ELC TECH'!$E:$E)="Storage","",_xlfn.XLOOKUP($B150,'ELC TECH'!$H:$H,'ELC TECH'!AV:AV))</f>
        <v>0.47036499999999998</v>
      </c>
      <c r="BB150" s="12">
        <f>IF(_xlfn.XLOOKUP($B150,'ELC TECH'!$H:$H,'ELC TECH'!$E:$E)="Storage","",_xlfn.XLOOKUP($B150,'ELC TECH'!$H:$H,'ELC TECH'!AW:AW))</f>
        <v>0.47036499999999998</v>
      </c>
      <c r="BC150" s="12">
        <f>IF(_xlfn.XLOOKUP($B150,'ELC TECH'!$H:$H,'ELC TECH'!$E:$E)="Storage","",_xlfn.XLOOKUP($B150,'ELC TECH'!$H:$H,'ELC TECH'!AX:AX))</f>
        <v>0.47036499999999998</v>
      </c>
      <c r="BD150" s="12">
        <f>IF(_xlfn.XLOOKUP($B150,'ELC TECH'!$H:$H,'ELC TECH'!$E:$E)="Storage","",_xlfn.XLOOKUP($B150,'ELC TECH'!$H:$H,'ELC TECH'!AY:AY))</f>
        <v>0.47036499999999998</v>
      </c>
      <c r="BE150" s="12">
        <f>IF(_xlfn.XLOOKUP($B150,'ELC TECH'!$H:$H,'ELC TECH'!$E:$E)="Storage","",_xlfn.XLOOKUP($B150,'ELC TECH'!$H:$H,'ELC TECH'!AZ:AZ))</f>
        <v>0.47036499999999998</v>
      </c>
      <c r="BF150" s="12" t="str">
        <f>IF(_xlfn.XLOOKUP($B150,'ELC TECH'!$H:$H,'ELC TECH'!$E:$E)="Storage",_xlfn.XLOOKUP($B150,'ELC TECH'!$H:$H,'ELC TECH'!AS:AS),"")</f>
        <v/>
      </c>
      <c r="BG150" s="12" t="str">
        <f>IF(_xlfn.XLOOKUP($B150,'ELC TECH'!$H:$H,'ELC TECH'!$E:$E)="Storage",_xlfn.XLOOKUP($B150,'ELC TECH'!$H:$H,'ELC TECH'!AT:AT),"")</f>
        <v/>
      </c>
      <c r="BH150" s="12" t="str">
        <f>IF(_xlfn.XLOOKUP($B150,'ELC TECH'!$H:$H,'ELC TECH'!$E:$E)="Storage",_xlfn.XLOOKUP($B150,'ELC TECH'!$H:$H,'ELC TECH'!AU:AU),"")</f>
        <v/>
      </c>
      <c r="BI150" s="12" t="str">
        <f>IF(_xlfn.XLOOKUP($B150,'ELC TECH'!$H:$H,'ELC TECH'!$E:$E)="Storage",_xlfn.XLOOKUP($B150,'ELC TECH'!$H:$H,'ELC TECH'!AV:AV),"")</f>
        <v/>
      </c>
      <c r="BJ150" s="12" t="str">
        <f>IF(_xlfn.XLOOKUP($B150,'ELC TECH'!$H:$H,'ELC TECH'!$E:$E)="Storage",_xlfn.XLOOKUP($B150,'ELC TECH'!$H:$H,'ELC TECH'!AW:AW),"")</f>
        <v/>
      </c>
      <c r="BK150" s="12" t="str">
        <f>IF(_xlfn.XLOOKUP($B150,'ELC TECH'!$H:$H,'ELC TECH'!$E:$E)="Storage",_xlfn.XLOOKUP($B150,'ELC TECH'!$H:$H,'ELC TECH'!AX:AX),"")</f>
        <v/>
      </c>
      <c r="BL150" s="12" t="str">
        <f>IF(_xlfn.XLOOKUP($B150,'ELC TECH'!$H:$H,'ELC TECH'!$E:$E)="Storage",_xlfn.XLOOKUP($B150,'ELC TECH'!$H:$H,'ELC TECH'!AY:AY),"")</f>
        <v/>
      </c>
      <c r="BM150" s="12" t="str">
        <f>IF(_xlfn.XLOOKUP($B150,'ELC TECH'!$H:$H,'ELC TECH'!$E:$E)="Storage",_xlfn.XLOOKUP($B150,'ELC TECH'!$H:$H,'ELC TECH'!AZ:AZ),"")</f>
        <v/>
      </c>
      <c r="BN150" s="8">
        <f>IF(_xlfn.XLOOKUP($B150,'ELC TECH'!$H:$H,'ELC TECH'!$E:$E)="Non Dispatchable",IFERROR($AX150*_xlfn.XLOOKUP($C150,$BM$1:$BM$3,BN$1:BN$3)/SUMPRODUCT(_xlfn.XLOOKUP($C150,$BM$1:$BM$3,$BN$1:$BY$3),$BN$4:$BY$4),""),
"")</f>
        <v>0.59739610085881911</v>
      </c>
      <c r="BO150" s="8">
        <f>IF(_xlfn.XLOOKUP($B150,'ELC TECH'!$H:$H,'ELC TECH'!$E:$E)="Non Dispatchable",IFERROR($AX150*_xlfn.XLOOKUP($C150,$BM$1:$BM$3,BO$1:BO$3)/SUMPRODUCT(_xlfn.XLOOKUP($C150,$BM$1:$BM$3,$BN$1:$BY$3),$BN$4:$BY$4),""),
"")</f>
        <v>0.59739610085881911</v>
      </c>
      <c r="BP150" s="8">
        <f>IF(_xlfn.XLOOKUP($B150,'ELC TECH'!$H:$H,'ELC TECH'!$E:$E)="Non Dispatchable",IFERROR($AX150*_xlfn.XLOOKUP($C150,$BM$1:$BM$3,BP$1:BP$3)/SUMPRODUCT(_xlfn.XLOOKUP($C150,$BM$1:$BM$3,$BN$1:$BY$3),$BN$4:$BY$4),""),
"")</f>
        <v>5.9739610085881904E-2</v>
      </c>
      <c r="BQ150" s="8">
        <f>IF(_xlfn.XLOOKUP($B150,'ELC TECH'!$H:$H,'ELC TECH'!$E:$E)="Non Dispatchable",IFERROR($AX150*_xlfn.XLOOKUP($C150,$BM$1:$BM$3,BQ$1:BQ$3)/SUMPRODUCT(_xlfn.XLOOKUP($C150,$BM$1:$BM$3,$BN$1:$BY$3),$BN$4:$BY$4),""),
"")</f>
        <v>0.47866832232335582</v>
      </c>
      <c r="BR150" s="8">
        <f>IF(_xlfn.XLOOKUP($B150,'ELC TECH'!$H:$H,'ELC TECH'!$E:$E)="Non Dispatchable",IFERROR($AX150*_xlfn.XLOOKUP($C150,$BM$1:$BM$3,BR$1:BR$3)/SUMPRODUCT(_xlfn.XLOOKUP($C150,$BM$1:$BM$3,$BN$1:$BY$3),$BN$4:$BY$4),""),
"")</f>
        <v>0.69515182645389861</v>
      </c>
      <c r="BS150" s="8">
        <f>IF(_xlfn.XLOOKUP($B150,'ELC TECH'!$H:$H,'ELC TECH'!$E:$E)="Non Dispatchable",IFERROR($AX150*_xlfn.XLOOKUP($C150,$BM$1:$BM$3,BS$1:BS$3)/SUMPRODUCT(_xlfn.XLOOKUP($C150,$BM$1:$BM$3,$BN$1:$BY$3),$BN$4:$BY$4),""),
"")</f>
        <v>0.69515182645389861</v>
      </c>
      <c r="BT150" s="8">
        <f>IF(_xlfn.XLOOKUP($B150,'ELC TECH'!$H:$H,'ELC TECH'!$E:$E)="Non Dispatchable",IFERROR($AX150*_xlfn.XLOOKUP($C150,$BM$1:$BM$3,BT$1:BT$3)/SUMPRODUCT(_xlfn.XLOOKUP($C150,$BM$1:$BM$3,$BN$1:$BY$3),$BN$4:$BY$4),""),
"")</f>
        <v>6.9515182645389875E-2</v>
      </c>
      <c r="BU150" s="8">
        <f>IF(_xlfn.XLOOKUP($B150,'ELC TECH'!$H:$H,'ELC TECH'!$E:$E)="Non Dispatchable",IFERROR($AX150*_xlfn.XLOOKUP($C150,$BM$1:$BM$3,BU$1:BU$3)/SUMPRODUCT(_xlfn.XLOOKUP($C150,$BM$1:$BM$3,$BN$1:$BY$3),$BN$4:$BY$4),""),
"")</f>
        <v>0.61595092895515979</v>
      </c>
      <c r="BV150" s="8">
        <f>IF(_xlfn.XLOOKUP($B150,'ELC TECH'!$H:$H,'ELC TECH'!$E:$E)="Non Dispatchable",IFERROR($AX150*_xlfn.XLOOKUP($C150,$BM$1:$BM$3,BV$1:BV$3)/SUMPRODUCT(_xlfn.XLOOKUP($C150,$BM$1:$BM$3,$BN$1:$BY$3),$BN$4:$BY$4),""),
"")</f>
        <v>0.35999834699068467</v>
      </c>
      <c r="BW150" s="8">
        <f>IF(_xlfn.XLOOKUP($B150,'ELC TECH'!$H:$H,'ELC TECH'!$E:$E)="Non Dispatchable",IFERROR($AX150*_xlfn.XLOOKUP($C150,$BM$1:$BM$3,BW$1:BW$3)/SUMPRODUCT(_xlfn.XLOOKUP($C150,$BM$1:$BM$3,$BN$1:$BY$3),$BN$4:$BY$4),""),
"")</f>
        <v>0.35999834699068467</v>
      </c>
      <c r="BX150" s="8">
        <f>IF(_xlfn.XLOOKUP($B150,'ELC TECH'!$H:$H,'ELC TECH'!$E:$E)="Non Dispatchable",IFERROR($AX150*_xlfn.XLOOKUP($C150,$BM$1:$BM$3,BX$1:BX$3)/SUMPRODUCT(_xlfn.XLOOKUP($C150,$BM$1:$BM$3,$BN$1:$BY$3),$BN$4:$BY$4),""),
"")</f>
        <v>3.5999834699068471E-2</v>
      </c>
      <c r="BY150" s="8">
        <f>IF(_xlfn.XLOOKUP($B150,'ELC TECH'!$H:$H,'ELC TECH'!$E:$E)="Non Dispatchable",IFERROR($AX150*_xlfn.XLOOKUP($C150,$BM$1:$BM$3,BY$1:BY$3)/SUMPRODUCT(_xlfn.XLOOKUP($C150,$BM$1:$BM$3,$BN$1:$BY$3),$BN$4:$BY$4),""),
"")</f>
        <v>0.26314119845719508</v>
      </c>
      <c r="BZ150" s="8">
        <f>IF(_xlfn.XLOOKUP($B150,'ELC TECH'!$H:$H,'ELC TECH'!$E:$E)="Non Dispatchable",IFERROR($AX150*_xlfn.XLOOKUP($C150,$BM$1:$BM$3,BZ$1:BZ$3)/SUMPRODUCT(_xlfn.XLOOKUP($C150,$BM$1:$BM$3,$BN$1:$BY$3),$BN$4:$BY$4),""),
"")</f>
        <v>0.59739610085881911</v>
      </c>
      <c r="CA150" s="8">
        <f>IF(_xlfn.XLOOKUP($B150,'ELC TECH'!$H:$H,'ELC TECH'!$E:$E)="Non Dispatchable",IFERROR($AX150*_xlfn.XLOOKUP($C150,$BM$1:$BM$3,CA$1:CA$3)/SUMPRODUCT(_xlfn.XLOOKUP($C150,$BM$1:$BM$3,$BN$1:$BY$3),$BN$4:$BY$4),""),
"")</f>
        <v>0.59739610085881911</v>
      </c>
      <c r="CB150" s="8">
        <f>IF(_xlfn.XLOOKUP($B150,'ELC TECH'!$H:$H,'ELC TECH'!$E:$E)="Non Dispatchable",IFERROR($AX150*_xlfn.XLOOKUP($C150,$BM$1:$BM$3,CB$1:CB$3)/SUMPRODUCT(_xlfn.XLOOKUP($C150,$BM$1:$BM$3,$BN$1:$BY$3),$BN$4:$BY$4),""),
"")</f>
        <v>5.9739610085881904E-2</v>
      </c>
      <c r="CC150" s="8">
        <f>IF(_xlfn.XLOOKUP($B150,'ELC TECH'!$H:$H,'ELC TECH'!$E:$E)="Non Dispatchable",IFERROR($AX150*_xlfn.XLOOKUP($C150,$BM$1:$BM$3,CC$1:CC$3)/SUMPRODUCT(_xlfn.XLOOKUP($C150,$BM$1:$BM$3,$BN$1:$BY$3),$BN$4:$BY$4),""),
"")</f>
        <v>0.47866832232335582</v>
      </c>
      <c r="CD150" s="8">
        <f>IF(_xlfn.XLOOKUP($B150,'ELC TECH'!$H:$H,'ELC TECH'!$E:$E)="Non Dispatchable",IFERROR($AX150*_xlfn.XLOOKUP($C150,$BM$1:$BM$3,CD$1:CD$3)/SUMPRODUCT(_xlfn.XLOOKUP($C150,$BM$1:$BM$3,$BN$1:$BY$3),$BN$4:$BY$4),""),
"")</f>
        <v>0.69515182645389861</v>
      </c>
      <c r="CE150" s="8">
        <f>IF(_xlfn.XLOOKUP($B150,'ELC TECH'!$H:$H,'ELC TECH'!$E:$E)="Non Dispatchable",IFERROR($AX150*_xlfn.XLOOKUP($C150,$BM$1:$BM$3,CE$1:CE$3)/SUMPRODUCT(_xlfn.XLOOKUP($C150,$BM$1:$BM$3,$BN$1:$BY$3),$BN$4:$BY$4),""),
"")</f>
        <v>0.69515182645389861</v>
      </c>
      <c r="CF150" s="8">
        <f>IF(_xlfn.XLOOKUP($B150,'ELC TECH'!$H:$H,'ELC TECH'!$E:$E)="Non Dispatchable",IFERROR($AX150*_xlfn.XLOOKUP($C150,$BM$1:$BM$3,CF$1:CF$3)/SUMPRODUCT(_xlfn.XLOOKUP($C150,$BM$1:$BM$3,$BN$1:$BY$3),$BN$4:$BY$4),""),
"")</f>
        <v>6.9515182645389875E-2</v>
      </c>
      <c r="CG150" s="8">
        <f>IF(_xlfn.XLOOKUP($B150,'ELC TECH'!$H:$H,'ELC TECH'!$E:$E)="Non Dispatchable",IFERROR($AX150*_xlfn.XLOOKUP($C150,$BM$1:$BM$3,CG$1:CG$3)/SUMPRODUCT(_xlfn.XLOOKUP($C150,$BM$1:$BM$3,$BN$1:$BY$3),$BN$4:$BY$4),""),
"")</f>
        <v>0.61595092895515979</v>
      </c>
      <c r="CH150" s="8">
        <f>IF(_xlfn.XLOOKUP($B150,'ELC TECH'!$H:$H,'ELC TECH'!$E:$E)="Non Dispatchable",IFERROR($AX150*_xlfn.XLOOKUP($C150,$BM$1:$BM$3,CH$1:CH$3)/SUMPRODUCT(_xlfn.XLOOKUP($C150,$BM$1:$BM$3,$BN$1:$BY$3),$BN$4:$BY$4),""),
"")</f>
        <v>0.35999834699068467</v>
      </c>
      <c r="CI150" s="8">
        <f>IF(_xlfn.XLOOKUP($B150,'ELC TECH'!$H:$H,'ELC TECH'!$E:$E)="Non Dispatchable",IFERROR($AX150*_xlfn.XLOOKUP($C150,$BM$1:$BM$3,CI$1:CI$3)/SUMPRODUCT(_xlfn.XLOOKUP($C150,$BM$1:$BM$3,$BN$1:$BY$3),$BN$4:$BY$4),""),
"")</f>
        <v>0.35999834699068467</v>
      </c>
      <c r="CJ150" s="8">
        <f>IF(_xlfn.XLOOKUP($B150,'ELC TECH'!$H:$H,'ELC TECH'!$E:$E)="Non Dispatchable",IFERROR($AX150*_xlfn.XLOOKUP($C150,$BM$1:$BM$3,CJ$1:CJ$3)/SUMPRODUCT(_xlfn.XLOOKUP($C150,$BM$1:$BM$3,$BN$1:$BY$3),$BN$4:$BY$4),""),
"")</f>
        <v>3.5999834699068471E-2</v>
      </c>
      <c r="CK150" s="8">
        <f>IF(_xlfn.XLOOKUP($B150,'ELC TECH'!$H:$H,'ELC TECH'!$E:$E)="Non Dispatchable",IFERROR($AX150*_xlfn.XLOOKUP($C150,$BM$1:$BM$3,CK$1:CK$3)/SUMPRODUCT(_xlfn.XLOOKUP($C150,$BM$1:$BM$3,$BN$1:$BY$3),$BN$4:$BY$4),""),
"")</f>
        <v>0.26314119845719508</v>
      </c>
      <c r="CL150" s="8" t="str">
        <f>IF(_xlfn.XLOOKUP($B150,'ELC TECH'!$H:$H,'ELC TECH'!$E:$E)="Storage",CL$4*$BF150,"")</f>
        <v/>
      </c>
      <c r="CM150" s="8" t="str">
        <f>IF(_xlfn.XLOOKUP($B150,'ELC TECH'!$H:$H,'ELC TECH'!$E:$E)="Storage",CM$4*$BF150,"")</f>
        <v/>
      </c>
      <c r="CN150" s="8" t="str">
        <f>IF(_xlfn.XLOOKUP($B150,'ELC TECH'!$H:$H,'ELC TECH'!$E:$E)="Storage",CN$4*$BF150,"")</f>
        <v/>
      </c>
      <c r="CO150" s="8" t="str">
        <f>IF(_xlfn.XLOOKUP($B150,'ELC TECH'!$H:$H,'ELC TECH'!$E:$E)="Storage",CO$4*$BF150,"")</f>
        <v/>
      </c>
      <c r="CP150" s="8" t="str">
        <f>IF(_xlfn.XLOOKUP($B150,'ELC TECH'!$H:$H,'ELC TECH'!$E:$E)="Storage",CP$4*$BF150,"")</f>
        <v/>
      </c>
      <c r="CQ150" s="8" t="str">
        <f>IF(_xlfn.XLOOKUP($B150,'ELC TECH'!$H:$H,'ELC TECH'!$E:$E)="Storage",CQ$4*$BF150,"")</f>
        <v/>
      </c>
      <c r="CR150" s="8" t="str">
        <f>IF(_xlfn.XLOOKUP($B150,'ELC TECH'!$H:$H,'ELC TECH'!$E:$E)="Storage",CR$4*$BF150,"")</f>
        <v/>
      </c>
      <c r="CS150" s="8" t="str">
        <f>IF(_xlfn.XLOOKUP($B150,'ELC TECH'!$H:$H,'ELC TECH'!$E:$E)="Storage",CS$4*$BF150,"")</f>
        <v/>
      </c>
      <c r="CT150" s="8" t="str">
        <f>IF(_xlfn.XLOOKUP($B150,'ELC TECH'!$H:$H,'ELC TECH'!$E:$E)="Storage",CT$4*$BF150,"")</f>
        <v/>
      </c>
      <c r="CU150" s="8" t="str">
        <f>IF(_xlfn.XLOOKUP($B150,'ELC TECH'!$H:$H,'ELC TECH'!$E:$E)="Storage",CU$4*$BF150,"")</f>
        <v/>
      </c>
      <c r="CV150" s="8" t="str">
        <f>IF(_xlfn.XLOOKUP($B150,'ELC TECH'!$H:$H,'ELC TECH'!$E:$E)="Storage",CV$4*$BF150,"")</f>
        <v/>
      </c>
      <c r="CW150" s="8" t="str">
        <f>IF(_xlfn.XLOOKUP($B150,'ELC TECH'!$H:$H,'ELC TECH'!$E:$E)="Storage",CW$4*$BF150,"")</f>
        <v/>
      </c>
      <c r="CX150" s="8" t="str">
        <f>IF(_xlfn.XLOOKUP($B150,'ELC TECH'!$H:$H,'ELC TECH'!$E:$E)="Storage",CX$4*$BF150,"")</f>
        <v/>
      </c>
      <c r="CY150" s="8" t="str">
        <f>IF(_xlfn.XLOOKUP($B150,'ELC TECH'!$H:$H,'ELC TECH'!$E:$E)="Storage",CY$4*$BF150,"")</f>
        <v/>
      </c>
      <c r="CZ150" s="8" t="str">
        <f>IF(_xlfn.XLOOKUP($B150,'ELC TECH'!$H:$H,'ELC TECH'!$E:$E)="Storage",CZ$4*$BF150,"")</f>
        <v/>
      </c>
      <c r="DA150" s="8" t="str">
        <f>IF(_xlfn.XLOOKUP($B150,'ELC TECH'!$H:$H,'ELC TECH'!$E:$E)="Storage",DA$4*$BF150,"")</f>
        <v/>
      </c>
      <c r="DB150" s="8" t="str">
        <f>IF(_xlfn.XLOOKUP($B150,'ELC TECH'!$H:$H,'ELC TECH'!$E:$E)="Storage",DB$4*$BF150,"")</f>
        <v/>
      </c>
      <c r="DC150" s="8" t="str">
        <f>IF(_xlfn.XLOOKUP($B150,'ELC TECH'!$H:$H,'ELC TECH'!$E:$E)="Storage",DC$4*$BF150,"")</f>
        <v/>
      </c>
      <c r="DD150" s="8" t="str">
        <f>IF(_xlfn.XLOOKUP($B150,'ELC TECH'!$H:$H,'ELC TECH'!$E:$E)="Storage",DD$4*$BF150,"")</f>
        <v/>
      </c>
      <c r="DE150" s="8" t="str">
        <f>IF(_xlfn.XLOOKUP($B150,'ELC TECH'!$H:$H,'ELC TECH'!$E:$E)="Storage",DE$4*$BF150,"")</f>
        <v/>
      </c>
      <c r="DF150" s="8" t="str">
        <f>IF(_xlfn.XLOOKUP($B150,'ELC TECH'!$H:$H,'ELC TECH'!$E:$E)="Storage",DF$4*$BF150,"")</f>
        <v/>
      </c>
      <c r="DG150" s="8" t="str">
        <f>IF(_xlfn.XLOOKUP($B150,'ELC TECH'!$H:$H,'ELC TECH'!$E:$E)="Storage",DG$4*$BF150,"")</f>
        <v/>
      </c>
      <c r="DH150" s="8" t="str">
        <f>IF(_xlfn.XLOOKUP($B150,'ELC TECH'!$H:$H,'ELC TECH'!$E:$E)="Storage",DH$4*$BF150,"")</f>
        <v/>
      </c>
      <c r="DI150" s="8" t="str">
        <f>IF(_xlfn.XLOOKUP($B150,'ELC TECH'!$H:$H,'ELC TECH'!$E:$E)="Storage",DI$4*$BF150,"")</f>
        <v/>
      </c>
    </row>
    <row r="151" spans="2:113" x14ac:dyDescent="0.25">
      <c r="B151" t="str">
        <f>IF('ELC TECH'!I144=0,"*",'ELC TECH'!H144)</f>
        <v>ELCWNDDCECDWC720</v>
      </c>
      <c r="C151" t="str">
        <f>IF(_xlfn.XLOOKUP(_xlfn.XLOOKUP(B151,'ELC TECH'!$H:$H,'ELC TECH'!$G:$G),List!C:C,List!B:B)="STG",D151,"ELC"&amp;_xlfn.XLOOKUP(_xlfn.XLOOKUP(B151,'ELC TECH'!H:H,'ELC TECH'!G:G),List!C:C,List!B:B))</f>
        <v>ELCWND</v>
      </c>
      <c r="D151" t="s">
        <v>544</v>
      </c>
      <c r="E151">
        <f>_xlfn.XLOOKUP(B151,'ELC TECH'!H:H,'ELC TECH'!D:D)</f>
        <v>2020</v>
      </c>
      <c r="F151">
        <f>_xlfn.XLOOKUP(B151,'ELC TECH'!H:H,'ELC TECH'!K:K)</f>
        <v>30</v>
      </c>
      <c r="G151">
        <f t="shared" si="8"/>
        <v>31.535999999999998</v>
      </c>
      <c r="H151">
        <f>IF(_xlfn.XLOOKUP(B151,'ELC TECH'!$H:$H,'ELC TECH'!$E:$E)="Storage",0.3,IF(_xlfn.XLOOKUP(B151,'ELC TECH'!$H:$H,'ELC TECH'!$E:$E)="Baseload",0.9,IF(_xlfn.XLOOKUP(B151,'ELC TECH'!$H:$H,'ELC TECH'!$E:$E)="Non Dispatchable",0.05,IF(_xlfn.XLOOKUP(B151,'ELC TECH'!$H:$H,'ELC TECH'!$E:$E)="Dispatchable",0.9,1))))</f>
        <v>0.05</v>
      </c>
      <c r="I151" s="13">
        <f>IF(_xlfn.XLOOKUP(B151,'ELC TECH'!H:H,'ELC TECH'!J:J)="","",_xlfn.XLOOKUP(B151,'ELC TECH'!H:H,'ELC TECH'!J:J))</f>
        <v>233.39318333333341</v>
      </c>
      <c r="J151" s="12">
        <f>IF(_xlfn.XLOOKUP($B151,'ELC TECH'!$H:$H,'ELC TECH'!$E:$E)="Storage","",IF(_xlfn.XLOOKUP($B151,'ELC TECH'!$H:$H,'ELC TECH'!AK:AK)="",1,_xlfn.XLOOKUP($B151,'ELC TECH'!$H:$H,'ELC TECH'!AK:AK)))</f>
        <v>1</v>
      </c>
      <c r="K151" s="12">
        <f>IF(_xlfn.XLOOKUP($B151,'ELC TECH'!$H:$H,'ELC TECH'!$E:$E)="Storage","",IF(_xlfn.XLOOKUP($B151,'ELC TECH'!$H:$H,'ELC TECH'!AL:AL)="",1,_xlfn.XLOOKUP($B151,'ELC TECH'!$H:$H,'ELC TECH'!AL:AL)))</f>
        <v>1</v>
      </c>
      <c r="L151" s="12">
        <f>IF(_xlfn.XLOOKUP($B151,'ELC TECH'!$H:$H,'ELC TECH'!$E:$E)="Storage","",IF(_xlfn.XLOOKUP($B151,'ELC TECH'!$H:$H,'ELC TECH'!AM:AM)="",1,_xlfn.XLOOKUP($B151,'ELC TECH'!$H:$H,'ELC TECH'!AM:AM)))</f>
        <v>1</v>
      </c>
      <c r="M151" s="12">
        <f>IF(_xlfn.XLOOKUP($B151,'ELC TECH'!$H:$H,'ELC TECH'!$E:$E)="Storage","",IF(_xlfn.XLOOKUP($B151,'ELC TECH'!$H:$H,'ELC TECH'!AN:AN)="",1,_xlfn.XLOOKUP($B151,'ELC TECH'!$H:$H,'ELC TECH'!AN:AN)))</f>
        <v>1</v>
      </c>
      <c r="N151" s="12">
        <f>IF(_xlfn.XLOOKUP($B151,'ELC TECH'!$H:$H,'ELC TECH'!$E:$E)="Storage","",IF(_xlfn.XLOOKUP($B151,'ELC TECH'!$H:$H,'ELC TECH'!AO:AO)="",1,_xlfn.XLOOKUP($B151,'ELC TECH'!$H:$H,'ELC TECH'!AO:AO)))</f>
        <v>1</v>
      </c>
      <c r="O151" s="12">
        <f>IF(_xlfn.XLOOKUP($B151,'ELC TECH'!$H:$H,'ELC TECH'!$E:$E)="Storage","",IF(_xlfn.XLOOKUP($B151,'ELC TECH'!$H:$H,'ELC TECH'!AP:AP)="",1,_xlfn.XLOOKUP($B151,'ELC TECH'!$H:$H,'ELC TECH'!AP:AP)))</f>
        <v>1</v>
      </c>
      <c r="P151" s="12">
        <f>IF(_xlfn.XLOOKUP($B151,'ELC TECH'!$H:$H,'ELC TECH'!$E:$E)="Storage","",IF(_xlfn.XLOOKUP($B151,'ELC TECH'!$H:$H,'ELC TECH'!AQ:AQ)="",1,_xlfn.XLOOKUP($B151,'ELC TECH'!$H:$H,'ELC TECH'!AQ:AQ)))</f>
        <v>1</v>
      </c>
      <c r="Q151" s="12">
        <f>IF(_xlfn.XLOOKUP($B151,'ELC TECH'!$H:$H,'ELC TECH'!$E:$E)="Storage","",IF(_xlfn.XLOOKUP($B151,'ELC TECH'!$H:$H,'ELC TECH'!AR:AR)="",1,_xlfn.XLOOKUP($B151,'ELC TECH'!$H:$H,'ELC TECH'!AR:AR)))</f>
        <v>1</v>
      </c>
      <c r="R151" s="12" t="str">
        <f>IF(_xlfn.XLOOKUP($B151,'ELC TECH'!$H:$H,'ELC TECH'!$E:$E)&lt;&gt;"Storage","",IF(_xlfn.XLOOKUP($B151,'ELC TECH'!$H:$H,'ELC TECH'!AK:AK)="",0.8,_xlfn.XLOOKUP($B151,'ELC TECH'!$H:$H,'ELC TECH'!AK:AK)))</f>
        <v/>
      </c>
      <c r="S151" s="12" t="str">
        <f>IF(_xlfn.XLOOKUP($B151,'ELC TECH'!$H:$H,'ELC TECH'!$E:$E)&lt;&gt;"Storage","",IF(_xlfn.XLOOKUP($B151,'ELC TECH'!$H:$H,'ELC TECH'!AL:AL)="",0.8,_xlfn.XLOOKUP($B151,'ELC TECH'!$H:$H,'ELC TECH'!AL:AL)))</f>
        <v/>
      </c>
      <c r="T151" s="12" t="str">
        <f>IF(_xlfn.XLOOKUP($B151,'ELC TECH'!$H:$H,'ELC TECH'!$E:$E)&lt;&gt;"Storage","",IF(_xlfn.XLOOKUP($B151,'ELC TECH'!$H:$H,'ELC TECH'!AM:AM)="",0.8,_xlfn.XLOOKUP($B151,'ELC TECH'!$H:$H,'ELC TECH'!AM:AM)))</f>
        <v/>
      </c>
      <c r="U151" s="12" t="str">
        <f>IF(_xlfn.XLOOKUP($B151,'ELC TECH'!$H:$H,'ELC TECH'!$E:$E)&lt;&gt;"Storage","",IF(_xlfn.XLOOKUP($B151,'ELC TECH'!$H:$H,'ELC TECH'!AN:AN)="",0.8,_xlfn.XLOOKUP($B151,'ELC TECH'!$H:$H,'ELC TECH'!AN:AN)))</f>
        <v/>
      </c>
      <c r="V151" s="12" t="str">
        <f>IF(_xlfn.XLOOKUP($B151,'ELC TECH'!$H:$H,'ELC TECH'!$E:$E)&lt;&gt;"Storage","",IF(_xlfn.XLOOKUP($B151,'ELC TECH'!$H:$H,'ELC TECH'!AO:AO)="",0.8,_xlfn.XLOOKUP($B151,'ELC TECH'!$H:$H,'ELC TECH'!AO:AO)))</f>
        <v/>
      </c>
      <c r="W151" s="12" t="str">
        <f>IF(_xlfn.XLOOKUP($B151,'ELC TECH'!$H:$H,'ELC TECH'!$E:$E)&lt;&gt;"Storage","",IF(_xlfn.XLOOKUP($B151,'ELC TECH'!$H:$H,'ELC TECH'!AP:AP)="",0.8,_xlfn.XLOOKUP($B151,'ELC TECH'!$H:$H,'ELC TECH'!AP:AP)))</f>
        <v/>
      </c>
      <c r="X151" s="12" t="str">
        <f>IF(_xlfn.XLOOKUP($B151,'ELC TECH'!$H:$H,'ELC TECH'!$E:$E)&lt;&gt;"Storage","",IF(_xlfn.XLOOKUP($B151,'ELC TECH'!$H:$H,'ELC TECH'!AQ:AQ)="",0.8,_xlfn.XLOOKUP($B151,'ELC TECH'!$H:$H,'ELC TECH'!AQ:AQ)))</f>
        <v/>
      </c>
      <c r="Y151" s="12" t="str">
        <f>IF(_xlfn.XLOOKUP($B151,'ELC TECH'!$H:$H,'ELC TECH'!$E:$E)&lt;&gt;"Storage","",IF(_xlfn.XLOOKUP($B151,'ELC TECH'!$H:$H,'ELC TECH'!AR:AR)="",0.8,_xlfn.XLOOKUP($B151,'ELC TECH'!$H:$H,'ELC TECH'!AR:AR)))</f>
        <v/>
      </c>
      <c r="Z151" s="15">
        <f>_xlfn.XLOOKUP($B151,'ELC TECH'!$H:$H,'ELC TECH'!M:M)</f>
        <v>4917.4184525969313</v>
      </c>
      <c r="AA151" s="15">
        <f>_xlfn.XLOOKUP($B151,'ELC TECH'!$H:$H,'ELC TECH'!N:N)</f>
        <v>4821.6848284228936</v>
      </c>
      <c r="AB151" s="15">
        <f>_xlfn.XLOOKUP($B151,'ELC TECH'!$H:$H,'ELC TECH'!O:O)</f>
        <v>2984.1897708938181</v>
      </c>
      <c r="AC151" s="15">
        <f>_xlfn.XLOOKUP($B151,'ELC TECH'!$H:$H,'ELC TECH'!P:P)</f>
        <v>2539.1896953994678</v>
      </c>
      <c r="AD151" s="15">
        <f>_xlfn.XLOOKUP($B151,'ELC TECH'!$H:$H,'ELC TECH'!Q:Q)</f>
        <v>2093.9800186842722</v>
      </c>
      <c r="AE151" s="15">
        <f>_xlfn.XLOOKUP($B151,'ELC TECH'!$H:$H,'ELC TECH'!R:R)</f>
        <v>1896.095935565756</v>
      </c>
      <c r="AF151" s="15">
        <f>_xlfn.XLOOKUP($B151,'ELC TECH'!$H:$H,'ELC TECH'!S:S)</f>
        <v>1698.211852447241</v>
      </c>
      <c r="AG151" s="15">
        <f>_xlfn.XLOOKUP($B151,'ELC TECH'!$H:$H,'ELC TECH'!T:T)</f>
        <v>1698.211852447241</v>
      </c>
      <c r="AH151" s="15">
        <f>_xlfn.XLOOKUP($B151,'ELC TECH'!$H:$H,'ELC TECH'!U:U)</f>
        <v>41.27117929699714</v>
      </c>
      <c r="AI151" s="15">
        <f>_xlfn.XLOOKUP($B151,'ELC TECH'!$H:$H,'ELC TECH'!V:V)</f>
        <v>40.608188464916751</v>
      </c>
      <c r="AJ151" s="15">
        <f>_xlfn.XLOOKUP($B151,'ELC TECH'!$H:$H,'ELC TECH'!W:W)</f>
        <v>39.779449924816397</v>
      </c>
      <c r="AK151" s="15">
        <f>_xlfn.XLOOKUP($B151,'ELC TECH'!$H:$H,'ELC TECH'!X:X)</f>
        <v>39.157896019741258</v>
      </c>
      <c r="AL151" s="15">
        <f>_xlfn.XLOOKUP($B151,'ELC TECH'!$H:$H,'ELC TECH'!Y:Y)</f>
        <v>38.536342114665999</v>
      </c>
      <c r="AM151" s="15">
        <f>_xlfn.XLOOKUP($B151,'ELC TECH'!$H:$H,'ELC TECH'!Z:Z)</f>
        <v>37.914788209590739</v>
      </c>
      <c r="AN151" s="15">
        <f>_xlfn.XLOOKUP($B151,'ELC TECH'!$H:$H,'ELC TECH'!AA:AA)</f>
        <v>37.293234304515479</v>
      </c>
      <c r="AO151" s="15">
        <f>_xlfn.XLOOKUP($B151,'ELC TECH'!$H:$H,'ELC TECH'!AB:AB)</f>
        <v>37.293234304515479</v>
      </c>
      <c r="AP151" s="15">
        <f>_xlfn.XLOOKUP($B151,'ELC TECH'!$H:$H,'ELC TECH'!AC:AC)</f>
        <v>0</v>
      </c>
      <c r="AQ151" s="15">
        <f>_xlfn.XLOOKUP($B151,'ELC TECH'!$H:$H,'ELC TECH'!AD:AD)</f>
        <v>0</v>
      </c>
      <c r="AR151" s="15">
        <f>_xlfn.XLOOKUP($B151,'ELC TECH'!$H:$H,'ELC TECH'!AE:AE)</f>
        <v>0</v>
      </c>
      <c r="AS151" s="15">
        <f>_xlfn.XLOOKUP($B151,'ELC TECH'!$H:$H,'ELC TECH'!AF:AF)</f>
        <v>0</v>
      </c>
      <c r="AT151" s="15">
        <f>_xlfn.XLOOKUP($B151,'ELC TECH'!$H:$H,'ELC TECH'!AG:AG)</f>
        <v>0</v>
      </c>
      <c r="AU151" s="15">
        <f>_xlfn.XLOOKUP($B151,'ELC TECH'!$H:$H,'ELC TECH'!AH:AH)</f>
        <v>0</v>
      </c>
      <c r="AV151" s="15">
        <f>_xlfn.XLOOKUP($B151,'ELC TECH'!$H:$H,'ELC TECH'!AI:AI)</f>
        <v>0</v>
      </c>
      <c r="AW151" s="15">
        <f>_xlfn.XLOOKUP($B151,'ELC TECH'!$H:$H,'ELC TECH'!AJ:AJ)</f>
        <v>0</v>
      </c>
      <c r="AX151" s="12">
        <f>IF(_xlfn.XLOOKUP($B151,'ELC TECH'!$H:$H,'ELC TECH'!$E:$E)="Storage","",_xlfn.XLOOKUP($B151,'ELC TECH'!$H:$H,'ELC TECH'!AS:AS))</f>
        <v>0.30370360000000002</v>
      </c>
      <c r="AY151" s="12">
        <f>IF(_xlfn.XLOOKUP($B151,'ELC TECH'!$H:$H,'ELC TECH'!$E:$E)="Storage","",_xlfn.XLOOKUP($B151,'ELC TECH'!$H:$H,'ELC TECH'!AT:AT))</f>
        <v>0.36151799999999901</v>
      </c>
      <c r="AZ151" s="12">
        <f>IF(_xlfn.XLOOKUP($B151,'ELC TECH'!$H:$H,'ELC TECH'!$E:$E)="Storage","",_xlfn.XLOOKUP($B151,'ELC TECH'!$H:$H,'ELC TECH'!AU:AU))</f>
        <v>0.433786</v>
      </c>
      <c r="BA151" s="12">
        <f>IF(_xlfn.XLOOKUP($B151,'ELC TECH'!$H:$H,'ELC TECH'!$E:$E)="Storage","",_xlfn.XLOOKUP($B151,'ELC TECH'!$H:$H,'ELC TECH'!AV:AV))</f>
        <v>0.433786</v>
      </c>
      <c r="BB151" s="12">
        <f>IF(_xlfn.XLOOKUP($B151,'ELC TECH'!$H:$H,'ELC TECH'!$E:$E)="Storage","",_xlfn.XLOOKUP($B151,'ELC TECH'!$H:$H,'ELC TECH'!AW:AW))</f>
        <v>0.433786</v>
      </c>
      <c r="BC151" s="12">
        <f>IF(_xlfn.XLOOKUP($B151,'ELC TECH'!$H:$H,'ELC TECH'!$E:$E)="Storage","",_xlfn.XLOOKUP($B151,'ELC TECH'!$H:$H,'ELC TECH'!AX:AX))</f>
        <v>0.433786</v>
      </c>
      <c r="BD151" s="12">
        <f>IF(_xlfn.XLOOKUP($B151,'ELC TECH'!$H:$H,'ELC TECH'!$E:$E)="Storage","",_xlfn.XLOOKUP($B151,'ELC TECH'!$H:$H,'ELC TECH'!AY:AY))</f>
        <v>0.433786</v>
      </c>
      <c r="BE151" s="12">
        <f>IF(_xlfn.XLOOKUP($B151,'ELC TECH'!$H:$H,'ELC TECH'!$E:$E)="Storage","",_xlfn.XLOOKUP($B151,'ELC TECH'!$H:$H,'ELC TECH'!AZ:AZ))</f>
        <v>0.433786</v>
      </c>
      <c r="BF151" s="12" t="str">
        <f>IF(_xlfn.XLOOKUP($B151,'ELC TECH'!$H:$H,'ELC TECH'!$E:$E)="Storage",_xlfn.XLOOKUP($B151,'ELC TECH'!$H:$H,'ELC TECH'!AS:AS),"")</f>
        <v/>
      </c>
      <c r="BG151" s="12" t="str">
        <f>IF(_xlfn.XLOOKUP($B151,'ELC TECH'!$H:$H,'ELC TECH'!$E:$E)="Storage",_xlfn.XLOOKUP($B151,'ELC TECH'!$H:$H,'ELC TECH'!AT:AT),"")</f>
        <v/>
      </c>
      <c r="BH151" s="12" t="str">
        <f>IF(_xlfn.XLOOKUP($B151,'ELC TECH'!$H:$H,'ELC TECH'!$E:$E)="Storage",_xlfn.XLOOKUP($B151,'ELC TECH'!$H:$H,'ELC TECH'!AU:AU),"")</f>
        <v/>
      </c>
      <c r="BI151" s="12" t="str">
        <f>IF(_xlfn.XLOOKUP($B151,'ELC TECH'!$H:$H,'ELC TECH'!$E:$E)="Storage",_xlfn.XLOOKUP($B151,'ELC TECH'!$H:$H,'ELC TECH'!AV:AV),"")</f>
        <v/>
      </c>
      <c r="BJ151" s="12" t="str">
        <f>IF(_xlfn.XLOOKUP($B151,'ELC TECH'!$H:$H,'ELC TECH'!$E:$E)="Storage",_xlfn.XLOOKUP($B151,'ELC TECH'!$H:$H,'ELC TECH'!AW:AW),"")</f>
        <v/>
      </c>
      <c r="BK151" s="12" t="str">
        <f>IF(_xlfn.XLOOKUP($B151,'ELC TECH'!$H:$H,'ELC TECH'!$E:$E)="Storage",_xlfn.XLOOKUP($B151,'ELC TECH'!$H:$H,'ELC TECH'!AX:AX),"")</f>
        <v/>
      </c>
      <c r="BL151" s="12" t="str">
        <f>IF(_xlfn.XLOOKUP($B151,'ELC TECH'!$H:$H,'ELC TECH'!$E:$E)="Storage",_xlfn.XLOOKUP($B151,'ELC TECH'!$H:$H,'ELC TECH'!AY:AY),"")</f>
        <v/>
      </c>
      <c r="BM151" s="12" t="str">
        <f>IF(_xlfn.XLOOKUP($B151,'ELC TECH'!$H:$H,'ELC TECH'!$E:$E)="Storage",_xlfn.XLOOKUP($B151,'ELC TECH'!$H:$H,'ELC TECH'!AZ:AZ),"")</f>
        <v/>
      </c>
      <c r="BN151" s="8">
        <f>IF(_xlfn.XLOOKUP($B151,'ELC TECH'!$H:$H,'ELC TECH'!$E:$E)="Non Dispatchable",IFERROR($AX151*_xlfn.XLOOKUP($C151,$BM$1:$BM$3,BN$1:BN$3)/SUMPRODUCT(_xlfn.XLOOKUP($C151,$BM$1:$BM$3,$BN$1:$BY$3),$BN$4:$BY$4),""),
"")</f>
        <v>0.53330397765091964</v>
      </c>
      <c r="BO151" s="8">
        <f>IF(_xlfn.XLOOKUP($B151,'ELC TECH'!$H:$H,'ELC TECH'!$E:$E)="Non Dispatchable",IFERROR($AX151*_xlfn.XLOOKUP($C151,$BM$1:$BM$3,BO$1:BO$3)/SUMPRODUCT(_xlfn.XLOOKUP($C151,$BM$1:$BM$3,$BN$1:$BY$3),$BN$4:$BY$4),""),
"")</f>
        <v>0.53330397765091964</v>
      </c>
      <c r="BP151" s="8">
        <f>IF(_xlfn.XLOOKUP($B151,'ELC TECH'!$H:$H,'ELC TECH'!$E:$E)="Non Dispatchable",IFERROR($AX151*_xlfn.XLOOKUP($C151,$BM$1:$BM$3,BP$1:BP$3)/SUMPRODUCT(_xlfn.XLOOKUP($C151,$BM$1:$BM$3,$BN$1:$BY$3),$BN$4:$BY$4),""),
"")</f>
        <v>5.3330397765091964E-2</v>
      </c>
      <c r="BQ151" s="8">
        <f>IF(_xlfn.XLOOKUP($B151,'ELC TECH'!$H:$H,'ELC TECH'!$E:$E)="Non Dispatchable",IFERROR($AX151*_xlfn.XLOOKUP($C151,$BM$1:$BM$3,BQ$1:BQ$3)/SUMPRODUCT(_xlfn.XLOOKUP($C151,$BM$1:$BM$3,$BN$1:$BY$3),$BN$4:$BY$4),""),
"")</f>
        <v>0.42731400473413317</v>
      </c>
      <c r="BR151" s="8">
        <f>IF(_xlfn.XLOOKUP($B151,'ELC TECH'!$H:$H,'ELC TECH'!$E:$E)="Non Dispatchable",IFERROR($AX151*_xlfn.XLOOKUP($C151,$BM$1:$BM$3,BR$1:BR$3)/SUMPRODUCT(_xlfn.XLOOKUP($C151,$BM$1:$BM$3,$BN$1:$BY$3),$BN$4:$BY$4),""),
"")</f>
        <v>0.62057190126652462</v>
      </c>
      <c r="BS151" s="8">
        <f>IF(_xlfn.XLOOKUP($B151,'ELC TECH'!$H:$H,'ELC TECH'!$E:$E)="Non Dispatchable",IFERROR($AX151*_xlfn.XLOOKUP($C151,$BM$1:$BM$3,BS$1:BS$3)/SUMPRODUCT(_xlfn.XLOOKUP($C151,$BM$1:$BM$3,$BN$1:$BY$3),$BN$4:$BY$4),""),
"")</f>
        <v>0.62057190126652462</v>
      </c>
      <c r="BT151" s="8">
        <f>IF(_xlfn.XLOOKUP($B151,'ELC TECH'!$H:$H,'ELC TECH'!$E:$E)="Non Dispatchable",IFERROR($AX151*_xlfn.XLOOKUP($C151,$BM$1:$BM$3,BT$1:BT$3)/SUMPRODUCT(_xlfn.XLOOKUP($C151,$BM$1:$BM$3,$BN$1:$BY$3),$BN$4:$BY$4),""),
"")</f>
        <v>6.2057190126652478E-2</v>
      </c>
      <c r="BU151" s="8">
        <f>IF(_xlfn.XLOOKUP($B151,'ELC TECH'!$H:$H,'ELC TECH'!$E:$E)="Non Dispatchable",IFERROR($AX151*_xlfn.XLOOKUP($C151,$BM$1:$BM$3,BU$1:BU$3)/SUMPRODUCT(_xlfn.XLOOKUP($C151,$BM$1:$BM$3,$BN$1:$BY$3),$BN$4:$BY$4),""),
"")</f>
        <v>0.54986813602788576</v>
      </c>
      <c r="BV151" s="8">
        <f>IF(_xlfn.XLOOKUP($B151,'ELC TECH'!$H:$H,'ELC TECH'!$E:$E)="Non Dispatchable",IFERROR($AX151*_xlfn.XLOOKUP($C151,$BM$1:$BM$3,BV$1:BV$3)/SUMPRODUCT(_xlfn.XLOOKUP($C151,$BM$1:$BM$3,$BN$1:$BY$3),$BN$4:$BY$4),""),
"")</f>
        <v>0.32137563355683868</v>
      </c>
      <c r="BW151" s="8">
        <f>IF(_xlfn.XLOOKUP($B151,'ELC TECH'!$H:$H,'ELC TECH'!$E:$E)="Non Dispatchable",IFERROR($AX151*_xlfn.XLOOKUP($C151,$BM$1:$BM$3,BW$1:BW$3)/SUMPRODUCT(_xlfn.XLOOKUP($C151,$BM$1:$BM$3,$BN$1:$BY$3),$BN$4:$BY$4),""),
"")</f>
        <v>0.32137563355683868</v>
      </c>
      <c r="BX151" s="8">
        <f>IF(_xlfn.XLOOKUP($B151,'ELC TECH'!$H:$H,'ELC TECH'!$E:$E)="Non Dispatchable",IFERROR($AX151*_xlfn.XLOOKUP($C151,$BM$1:$BM$3,BX$1:BX$3)/SUMPRODUCT(_xlfn.XLOOKUP($C151,$BM$1:$BM$3,$BN$1:$BY$3),$BN$4:$BY$4),""),
"")</f>
        <v>3.2137563355683872E-2</v>
      </c>
      <c r="BY151" s="8">
        <f>IF(_xlfn.XLOOKUP($B151,'ELC TECH'!$H:$H,'ELC TECH'!$E:$E)="Non Dispatchable",IFERROR($AX151*_xlfn.XLOOKUP($C151,$BM$1:$BM$3,BY$1:BY$3)/SUMPRODUCT(_xlfn.XLOOKUP($C151,$BM$1:$BM$3,$BN$1:$BY$3),$BN$4:$BY$4),""),
"")</f>
        <v>0.23490988243697455</v>
      </c>
      <c r="BZ151" s="8">
        <f>IF(_xlfn.XLOOKUP($B151,'ELC TECH'!$H:$H,'ELC TECH'!$E:$E)="Non Dispatchable",IFERROR($AX151*_xlfn.XLOOKUP($C151,$BM$1:$BM$3,BZ$1:BZ$3)/SUMPRODUCT(_xlfn.XLOOKUP($C151,$BM$1:$BM$3,$BN$1:$BY$3),$BN$4:$BY$4),""),
"")</f>
        <v>0.53330397765091964</v>
      </c>
      <c r="CA151" s="8">
        <f>IF(_xlfn.XLOOKUP($B151,'ELC TECH'!$H:$H,'ELC TECH'!$E:$E)="Non Dispatchable",IFERROR($AX151*_xlfn.XLOOKUP($C151,$BM$1:$BM$3,CA$1:CA$3)/SUMPRODUCT(_xlfn.XLOOKUP($C151,$BM$1:$BM$3,$BN$1:$BY$3),$BN$4:$BY$4),""),
"")</f>
        <v>0.53330397765091964</v>
      </c>
      <c r="CB151" s="8">
        <f>IF(_xlfn.XLOOKUP($B151,'ELC TECH'!$H:$H,'ELC TECH'!$E:$E)="Non Dispatchable",IFERROR($AX151*_xlfn.XLOOKUP($C151,$BM$1:$BM$3,CB$1:CB$3)/SUMPRODUCT(_xlfn.XLOOKUP($C151,$BM$1:$BM$3,$BN$1:$BY$3),$BN$4:$BY$4),""),
"")</f>
        <v>5.3330397765091964E-2</v>
      </c>
      <c r="CC151" s="8">
        <f>IF(_xlfn.XLOOKUP($B151,'ELC TECH'!$H:$H,'ELC TECH'!$E:$E)="Non Dispatchable",IFERROR($AX151*_xlfn.XLOOKUP($C151,$BM$1:$BM$3,CC$1:CC$3)/SUMPRODUCT(_xlfn.XLOOKUP($C151,$BM$1:$BM$3,$BN$1:$BY$3),$BN$4:$BY$4),""),
"")</f>
        <v>0.42731400473413317</v>
      </c>
      <c r="CD151" s="8">
        <f>IF(_xlfn.XLOOKUP($B151,'ELC TECH'!$H:$H,'ELC TECH'!$E:$E)="Non Dispatchable",IFERROR($AX151*_xlfn.XLOOKUP($C151,$BM$1:$BM$3,CD$1:CD$3)/SUMPRODUCT(_xlfn.XLOOKUP($C151,$BM$1:$BM$3,$BN$1:$BY$3),$BN$4:$BY$4),""),
"")</f>
        <v>0.62057190126652462</v>
      </c>
      <c r="CE151" s="8">
        <f>IF(_xlfn.XLOOKUP($B151,'ELC TECH'!$H:$H,'ELC TECH'!$E:$E)="Non Dispatchable",IFERROR($AX151*_xlfn.XLOOKUP($C151,$BM$1:$BM$3,CE$1:CE$3)/SUMPRODUCT(_xlfn.XLOOKUP($C151,$BM$1:$BM$3,$BN$1:$BY$3),$BN$4:$BY$4),""),
"")</f>
        <v>0.62057190126652462</v>
      </c>
      <c r="CF151" s="8">
        <f>IF(_xlfn.XLOOKUP($B151,'ELC TECH'!$H:$H,'ELC TECH'!$E:$E)="Non Dispatchable",IFERROR($AX151*_xlfn.XLOOKUP($C151,$BM$1:$BM$3,CF$1:CF$3)/SUMPRODUCT(_xlfn.XLOOKUP($C151,$BM$1:$BM$3,$BN$1:$BY$3),$BN$4:$BY$4),""),
"")</f>
        <v>6.2057190126652478E-2</v>
      </c>
      <c r="CG151" s="8">
        <f>IF(_xlfn.XLOOKUP($B151,'ELC TECH'!$H:$H,'ELC TECH'!$E:$E)="Non Dispatchable",IFERROR($AX151*_xlfn.XLOOKUP($C151,$BM$1:$BM$3,CG$1:CG$3)/SUMPRODUCT(_xlfn.XLOOKUP($C151,$BM$1:$BM$3,$BN$1:$BY$3),$BN$4:$BY$4),""),
"")</f>
        <v>0.54986813602788576</v>
      </c>
      <c r="CH151" s="8">
        <f>IF(_xlfn.XLOOKUP($B151,'ELC TECH'!$H:$H,'ELC TECH'!$E:$E)="Non Dispatchable",IFERROR($AX151*_xlfn.XLOOKUP($C151,$BM$1:$BM$3,CH$1:CH$3)/SUMPRODUCT(_xlfn.XLOOKUP($C151,$BM$1:$BM$3,$BN$1:$BY$3),$BN$4:$BY$4),""),
"")</f>
        <v>0.32137563355683868</v>
      </c>
      <c r="CI151" s="8">
        <f>IF(_xlfn.XLOOKUP($B151,'ELC TECH'!$H:$H,'ELC TECH'!$E:$E)="Non Dispatchable",IFERROR($AX151*_xlfn.XLOOKUP($C151,$BM$1:$BM$3,CI$1:CI$3)/SUMPRODUCT(_xlfn.XLOOKUP($C151,$BM$1:$BM$3,$BN$1:$BY$3),$BN$4:$BY$4),""),
"")</f>
        <v>0.32137563355683868</v>
      </c>
      <c r="CJ151" s="8">
        <f>IF(_xlfn.XLOOKUP($B151,'ELC TECH'!$H:$H,'ELC TECH'!$E:$E)="Non Dispatchable",IFERROR($AX151*_xlfn.XLOOKUP($C151,$BM$1:$BM$3,CJ$1:CJ$3)/SUMPRODUCT(_xlfn.XLOOKUP($C151,$BM$1:$BM$3,$BN$1:$BY$3),$BN$4:$BY$4),""),
"")</f>
        <v>3.2137563355683872E-2</v>
      </c>
      <c r="CK151" s="8">
        <f>IF(_xlfn.XLOOKUP($B151,'ELC TECH'!$H:$H,'ELC TECH'!$E:$E)="Non Dispatchable",IFERROR($AX151*_xlfn.XLOOKUP($C151,$BM$1:$BM$3,CK$1:CK$3)/SUMPRODUCT(_xlfn.XLOOKUP($C151,$BM$1:$BM$3,$BN$1:$BY$3),$BN$4:$BY$4),""),
"")</f>
        <v>0.23490988243697455</v>
      </c>
      <c r="CL151" s="8" t="str">
        <f>IF(_xlfn.XLOOKUP($B151,'ELC TECH'!$H:$H,'ELC TECH'!$E:$E)="Storage",CL$4*$BF151,"")</f>
        <v/>
      </c>
      <c r="CM151" s="8" t="str">
        <f>IF(_xlfn.XLOOKUP($B151,'ELC TECH'!$H:$H,'ELC TECH'!$E:$E)="Storage",CM$4*$BF151,"")</f>
        <v/>
      </c>
      <c r="CN151" s="8" t="str">
        <f>IF(_xlfn.XLOOKUP($B151,'ELC TECH'!$H:$H,'ELC TECH'!$E:$E)="Storage",CN$4*$BF151,"")</f>
        <v/>
      </c>
      <c r="CO151" s="8" t="str">
        <f>IF(_xlfn.XLOOKUP($B151,'ELC TECH'!$H:$H,'ELC TECH'!$E:$E)="Storage",CO$4*$BF151,"")</f>
        <v/>
      </c>
      <c r="CP151" s="8" t="str">
        <f>IF(_xlfn.XLOOKUP($B151,'ELC TECH'!$H:$H,'ELC TECH'!$E:$E)="Storage",CP$4*$BF151,"")</f>
        <v/>
      </c>
      <c r="CQ151" s="8" t="str">
        <f>IF(_xlfn.XLOOKUP($B151,'ELC TECH'!$H:$H,'ELC TECH'!$E:$E)="Storage",CQ$4*$BF151,"")</f>
        <v/>
      </c>
      <c r="CR151" s="8" t="str">
        <f>IF(_xlfn.XLOOKUP($B151,'ELC TECH'!$H:$H,'ELC TECH'!$E:$E)="Storage",CR$4*$BF151,"")</f>
        <v/>
      </c>
      <c r="CS151" s="8" t="str">
        <f>IF(_xlfn.XLOOKUP($B151,'ELC TECH'!$H:$H,'ELC TECH'!$E:$E)="Storage",CS$4*$BF151,"")</f>
        <v/>
      </c>
      <c r="CT151" s="8" t="str">
        <f>IF(_xlfn.XLOOKUP($B151,'ELC TECH'!$H:$H,'ELC TECH'!$E:$E)="Storage",CT$4*$BF151,"")</f>
        <v/>
      </c>
      <c r="CU151" s="8" t="str">
        <f>IF(_xlfn.XLOOKUP($B151,'ELC TECH'!$H:$H,'ELC TECH'!$E:$E)="Storage",CU$4*$BF151,"")</f>
        <v/>
      </c>
      <c r="CV151" s="8" t="str">
        <f>IF(_xlfn.XLOOKUP($B151,'ELC TECH'!$H:$H,'ELC TECH'!$E:$E)="Storage",CV$4*$BF151,"")</f>
        <v/>
      </c>
      <c r="CW151" s="8" t="str">
        <f>IF(_xlfn.XLOOKUP($B151,'ELC TECH'!$H:$H,'ELC TECH'!$E:$E)="Storage",CW$4*$BF151,"")</f>
        <v/>
      </c>
      <c r="CX151" s="8" t="str">
        <f>IF(_xlfn.XLOOKUP($B151,'ELC TECH'!$H:$H,'ELC TECH'!$E:$E)="Storage",CX$4*$BF151,"")</f>
        <v/>
      </c>
      <c r="CY151" s="8" t="str">
        <f>IF(_xlfn.XLOOKUP($B151,'ELC TECH'!$H:$H,'ELC TECH'!$E:$E)="Storage",CY$4*$BF151,"")</f>
        <v/>
      </c>
      <c r="CZ151" s="8" t="str">
        <f>IF(_xlfn.XLOOKUP($B151,'ELC TECH'!$H:$H,'ELC TECH'!$E:$E)="Storage",CZ$4*$BF151,"")</f>
        <v/>
      </c>
      <c r="DA151" s="8" t="str">
        <f>IF(_xlfn.XLOOKUP($B151,'ELC TECH'!$H:$H,'ELC TECH'!$E:$E)="Storage",DA$4*$BF151,"")</f>
        <v/>
      </c>
      <c r="DB151" s="8" t="str">
        <f>IF(_xlfn.XLOOKUP($B151,'ELC TECH'!$H:$H,'ELC TECH'!$E:$E)="Storage",DB$4*$BF151,"")</f>
        <v/>
      </c>
      <c r="DC151" s="8" t="str">
        <f>IF(_xlfn.XLOOKUP($B151,'ELC TECH'!$H:$H,'ELC TECH'!$E:$E)="Storage",DC$4*$BF151,"")</f>
        <v/>
      </c>
      <c r="DD151" s="8" t="str">
        <f>IF(_xlfn.XLOOKUP($B151,'ELC TECH'!$H:$H,'ELC TECH'!$E:$E)="Storage",DD$4*$BF151,"")</f>
        <v/>
      </c>
      <c r="DE151" s="8" t="str">
        <f>IF(_xlfn.XLOOKUP($B151,'ELC TECH'!$H:$H,'ELC TECH'!$E:$E)="Storage",DE$4*$BF151,"")</f>
        <v/>
      </c>
      <c r="DF151" s="8" t="str">
        <f>IF(_xlfn.XLOOKUP($B151,'ELC TECH'!$H:$H,'ELC TECH'!$E:$E)="Storage",DF$4*$BF151,"")</f>
        <v/>
      </c>
      <c r="DG151" s="8" t="str">
        <f>IF(_xlfn.XLOOKUP($B151,'ELC TECH'!$H:$H,'ELC TECH'!$E:$E)="Storage",DG$4*$BF151,"")</f>
        <v/>
      </c>
      <c r="DH151" s="8" t="str">
        <f>IF(_xlfn.XLOOKUP($B151,'ELC TECH'!$H:$H,'ELC TECH'!$E:$E)="Storage",DH$4*$BF151,"")</f>
        <v/>
      </c>
      <c r="DI151" s="8" t="str">
        <f>IF(_xlfn.XLOOKUP($B151,'ELC TECH'!$H:$H,'ELC TECH'!$E:$E)="Storage",DI$4*$BF151,"")</f>
        <v/>
      </c>
    </row>
    <row r="152" spans="2:113" x14ac:dyDescent="0.25">
      <c r="B152" t="str">
        <f>IF('ELC TECH'!I145=0,"*",'ELC TECH'!H145)</f>
        <v>ELCWNDDCECDWC820</v>
      </c>
      <c r="C152" t="str">
        <f>IF(_xlfn.XLOOKUP(_xlfn.XLOOKUP(B152,'ELC TECH'!$H:$H,'ELC TECH'!$G:$G),List!C:C,List!B:B)="STG",D152,"ELC"&amp;_xlfn.XLOOKUP(_xlfn.XLOOKUP(B152,'ELC TECH'!H:H,'ELC TECH'!G:G),List!C:C,List!B:B))</f>
        <v>ELCWND</v>
      </c>
      <c r="D152" t="s">
        <v>544</v>
      </c>
      <c r="E152">
        <f>_xlfn.XLOOKUP(B152,'ELC TECH'!H:H,'ELC TECH'!D:D)</f>
        <v>2020</v>
      </c>
      <c r="F152">
        <f>_xlfn.XLOOKUP(B152,'ELC TECH'!H:H,'ELC TECH'!K:K)</f>
        <v>30</v>
      </c>
      <c r="G152">
        <f t="shared" si="8"/>
        <v>31.535999999999998</v>
      </c>
      <c r="H152">
        <f>IF(_xlfn.XLOOKUP(B152,'ELC TECH'!$H:$H,'ELC TECH'!$E:$E)="Storage",0.3,IF(_xlfn.XLOOKUP(B152,'ELC TECH'!$H:$H,'ELC TECH'!$E:$E)="Baseload",0.9,IF(_xlfn.XLOOKUP(B152,'ELC TECH'!$H:$H,'ELC TECH'!$E:$E)="Non Dispatchable",0.05,IF(_xlfn.XLOOKUP(B152,'ELC TECH'!$H:$H,'ELC TECH'!$E:$E)="Dispatchable",0.9,1))))</f>
        <v>0.05</v>
      </c>
      <c r="I152" s="13">
        <f>IF(_xlfn.XLOOKUP(B152,'ELC TECH'!H:H,'ELC TECH'!J:J)="","",_xlfn.XLOOKUP(B152,'ELC TECH'!H:H,'ELC TECH'!J:J))</f>
        <v>233.39318333333341</v>
      </c>
      <c r="J152" s="12">
        <f>IF(_xlfn.XLOOKUP($B152,'ELC TECH'!$H:$H,'ELC TECH'!$E:$E)="Storage","",IF(_xlfn.XLOOKUP($B152,'ELC TECH'!$H:$H,'ELC TECH'!AK:AK)="",1,_xlfn.XLOOKUP($B152,'ELC TECH'!$H:$H,'ELC TECH'!AK:AK)))</f>
        <v>1</v>
      </c>
      <c r="K152" s="12">
        <f>IF(_xlfn.XLOOKUP($B152,'ELC TECH'!$H:$H,'ELC TECH'!$E:$E)="Storage","",IF(_xlfn.XLOOKUP($B152,'ELC TECH'!$H:$H,'ELC TECH'!AL:AL)="",1,_xlfn.XLOOKUP($B152,'ELC TECH'!$H:$H,'ELC TECH'!AL:AL)))</f>
        <v>1</v>
      </c>
      <c r="L152" s="12">
        <f>IF(_xlfn.XLOOKUP($B152,'ELC TECH'!$H:$H,'ELC TECH'!$E:$E)="Storage","",IF(_xlfn.XLOOKUP($B152,'ELC TECH'!$H:$H,'ELC TECH'!AM:AM)="",1,_xlfn.XLOOKUP($B152,'ELC TECH'!$H:$H,'ELC TECH'!AM:AM)))</f>
        <v>1</v>
      </c>
      <c r="M152" s="12">
        <f>IF(_xlfn.XLOOKUP($B152,'ELC TECH'!$H:$H,'ELC TECH'!$E:$E)="Storage","",IF(_xlfn.XLOOKUP($B152,'ELC TECH'!$H:$H,'ELC TECH'!AN:AN)="",1,_xlfn.XLOOKUP($B152,'ELC TECH'!$H:$H,'ELC TECH'!AN:AN)))</f>
        <v>1</v>
      </c>
      <c r="N152" s="12">
        <f>IF(_xlfn.XLOOKUP($B152,'ELC TECH'!$H:$H,'ELC TECH'!$E:$E)="Storage","",IF(_xlfn.XLOOKUP($B152,'ELC TECH'!$H:$H,'ELC TECH'!AO:AO)="",1,_xlfn.XLOOKUP($B152,'ELC TECH'!$H:$H,'ELC TECH'!AO:AO)))</f>
        <v>1</v>
      </c>
      <c r="O152" s="12">
        <f>IF(_xlfn.XLOOKUP($B152,'ELC TECH'!$H:$H,'ELC TECH'!$E:$E)="Storage","",IF(_xlfn.XLOOKUP($B152,'ELC TECH'!$H:$H,'ELC TECH'!AP:AP)="",1,_xlfn.XLOOKUP($B152,'ELC TECH'!$H:$H,'ELC TECH'!AP:AP)))</f>
        <v>1</v>
      </c>
      <c r="P152" s="12">
        <f>IF(_xlfn.XLOOKUP($B152,'ELC TECH'!$H:$H,'ELC TECH'!$E:$E)="Storage","",IF(_xlfn.XLOOKUP($B152,'ELC TECH'!$H:$H,'ELC TECH'!AQ:AQ)="",1,_xlfn.XLOOKUP($B152,'ELC TECH'!$H:$H,'ELC TECH'!AQ:AQ)))</f>
        <v>1</v>
      </c>
      <c r="Q152" s="12">
        <f>IF(_xlfn.XLOOKUP($B152,'ELC TECH'!$H:$H,'ELC TECH'!$E:$E)="Storage","",IF(_xlfn.XLOOKUP($B152,'ELC TECH'!$H:$H,'ELC TECH'!AR:AR)="",1,_xlfn.XLOOKUP($B152,'ELC TECH'!$H:$H,'ELC TECH'!AR:AR)))</f>
        <v>1</v>
      </c>
      <c r="R152" s="12" t="str">
        <f>IF(_xlfn.XLOOKUP($B152,'ELC TECH'!$H:$H,'ELC TECH'!$E:$E)&lt;&gt;"Storage","",IF(_xlfn.XLOOKUP($B152,'ELC TECH'!$H:$H,'ELC TECH'!AK:AK)="",0.8,_xlfn.XLOOKUP($B152,'ELC TECH'!$H:$H,'ELC TECH'!AK:AK)))</f>
        <v/>
      </c>
      <c r="S152" s="12" t="str">
        <f>IF(_xlfn.XLOOKUP($B152,'ELC TECH'!$H:$H,'ELC TECH'!$E:$E)&lt;&gt;"Storage","",IF(_xlfn.XLOOKUP($B152,'ELC TECH'!$H:$H,'ELC TECH'!AL:AL)="",0.8,_xlfn.XLOOKUP($B152,'ELC TECH'!$H:$H,'ELC TECH'!AL:AL)))</f>
        <v/>
      </c>
      <c r="T152" s="12" t="str">
        <f>IF(_xlfn.XLOOKUP($B152,'ELC TECH'!$H:$H,'ELC TECH'!$E:$E)&lt;&gt;"Storage","",IF(_xlfn.XLOOKUP($B152,'ELC TECH'!$H:$H,'ELC TECH'!AM:AM)="",0.8,_xlfn.XLOOKUP($B152,'ELC TECH'!$H:$H,'ELC TECH'!AM:AM)))</f>
        <v/>
      </c>
      <c r="U152" s="12" t="str">
        <f>IF(_xlfn.XLOOKUP($B152,'ELC TECH'!$H:$H,'ELC TECH'!$E:$E)&lt;&gt;"Storage","",IF(_xlfn.XLOOKUP($B152,'ELC TECH'!$H:$H,'ELC TECH'!AN:AN)="",0.8,_xlfn.XLOOKUP($B152,'ELC TECH'!$H:$H,'ELC TECH'!AN:AN)))</f>
        <v/>
      </c>
      <c r="V152" s="12" t="str">
        <f>IF(_xlfn.XLOOKUP($B152,'ELC TECH'!$H:$H,'ELC TECH'!$E:$E)&lt;&gt;"Storage","",IF(_xlfn.XLOOKUP($B152,'ELC TECH'!$H:$H,'ELC TECH'!AO:AO)="",0.8,_xlfn.XLOOKUP($B152,'ELC TECH'!$H:$H,'ELC TECH'!AO:AO)))</f>
        <v/>
      </c>
      <c r="W152" s="12" t="str">
        <f>IF(_xlfn.XLOOKUP($B152,'ELC TECH'!$H:$H,'ELC TECH'!$E:$E)&lt;&gt;"Storage","",IF(_xlfn.XLOOKUP($B152,'ELC TECH'!$H:$H,'ELC TECH'!AP:AP)="",0.8,_xlfn.XLOOKUP($B152,'ELC TECH'!$H:$H,'ELC TECH'!AP:AP)))</f>
        <v/>
      </c>
      <c r="X152" s="12" t="str">
        <f>IF(_xlfn.XLOOKUP($B152,'ELC TECH'!$H:$H,'ELC TECH'!$E:$E)&lt;&gt;"Storage","",IF(_xlfn.XLOOKUP($B152,'ELC TECH'!$H:$H,'ELC TECH'!AQ:AQ)="",0.8,_xlfn.XLOOKUP($B152,'ELC TECH'!$H:$H,'ELC TECH'!AQ:AQ)))</f>
        <v/>
      </c>
      <c r="Y152" s="12" t="str">
        <f>IF(_xlfn.XLOOKUP($B152,'ELC TECH'!$H:$H,'ELC TECH'!$E:$E)&lt;&gt;"Storage","",IF(_xlfn.XLOOKUP($B152,'ELC TECH'!$H:$H,'ELC TECH'!AR:AR)="",0.8,_xlfn.XLOOKUP($B152,'ELC TECH'!$H:$H,'ELC TECH'!AR:AR)))</f>
        <v/>
      </c>
      <c r="Z152" s="15">
        <f>_xlfn.XLOOKUP($B152,'ELC TECH'!$H:$H,'ELC TECH'!M:M)</f>
        <v>4917.4184525969313</v>
      </c>
      <c r="AA152" s="15">
        <f>_xlfn.XLOOKUP($B152,'ELC TECH'!$H:$H,'ELC TECH'!N:N)</f>
        <v>4821.6848284228936</v>
      </c>
      <c r="AB152" s="15">
        <f>_xlfn.XLOOKUP($B152,'ELC TECH'!$H:$H,'ELC TECH'!O:O)</f>
        <v>2984.1897708938181</v>
      </c>
      <c r="AC152" s="15">
        <f>_xlfn.XLOOKUP($B152,'ELC TECH'!$H:$H,'ELC TECH'!P:P)</f>
        <v>2539.1896953994678</v>
      </c>
      <c r="AD152" s="15">
        <f>_xlfn.XLOOKUP($B152,'ELC TECH'!$H:$H,'ELC TECH'!Q:Q)</f>
        <v>2093.9800186842722</v>
      </c>
      <c r="AE152" s="15">
        <f>_xlfn.XLOOKUP($B152,'ELC TECH'!$H:$H,'ELC TECH'!R:R)</f>
        <v>1896.095935565756</v>
      </c>
      <c r="AF152" s="15">
        <f>_xlfn.XLOOKUP($B152,'ELC TECH'!$H:$H,'ELC TECH'!S:S)</f>
        <v>1698.211852447241</v>
      </c>
      <c r="AG152" s="15">
        <f>_xlfn.XLOOKUP($B152,'ELC TECH'!$H:$H,'ELC TECH'!T:T)</f>
        <v>1698.211852447241</v>
      </c>
      <c r="AH152" s="15">
        <f>_xlfn.XLOOKUP($B152,'ELC TECH'!$H:$H,'ELC TECH'!U:U)</f>
        <v>41.27117929699714</v>
      </c>
      <c r="AI152" s="15">
        <f>_xlfn.XLOOKUP($B152,'ELC TECH'!$H:$H,'ELC TECH'!V:V)</f>
        <v>40.608188464916751</v>
      </c>
      <c r="AJ152" s="15">
        <f>_xlfn.XLOOKUP($B152,'ELC TECH'!$H:$H,'ELC TECH'!W:W)</f>
        <v>39.779449924816397</v>
      </c>
      <c r="AK152" s="15">
        <f>_xlfn.XLOOKUP($B152,'ELC TECH'!$H:$H,'ELC TECH'!X:X)</f>
        <v>39.157896019741258</v>
      </c>
      <c r="AL152" s="15">
        <f>_xlfn.XLOOKUP($B152,'ELC TECH'!$H:$H,'ELC TECH'!Y:Y)</f>
        <v>38.536342114665999</v>
      </c>
      <c r="AM152" s="15">
        <f>_xlfn.XLOOKUP($B152,'ELC TECH'!$H:$H,'ELC TECH'!Z:Z)</f>
        <v>37.914788209590739</v>
      </c>
      <c r="AN152" s="15">
        <f>_xlfn.XLOOKUP($B152,'ELC TECH'!$H:$H,'ELC TECH'!AA:AA)</f>
        <v>37.293234304515479</v>
      </c>
      <c r="AO152" s="15">
        <f>_xlfn.XLOOKUP($B152,'ELC TECH'!$H:$H,'ELC TECH'!AB:AB)</f>
        <v>37.293234304515479</v>
      </c>
      <c r="AP152" s="15">
        <f>_xlfn.XLOOKUP($B152,'ELC TECH'!$H:$H,'ELC TECH'!AC:AC)</f>
        <v>0</v>
      </c>
      <c r="AQ152" s="15">
        <f>_xlfn.XLOOKUP($B152,'ELC TECH'!$H:$H,'ELC TECH'!AD:AD)</f>
        <v>0</v>
      </c>
      <c r="AR152" s="15">
        <f>_xlfn.XLOOKUP($B152,'ELC TECH'!$H:$H,'ELC TECH'!AE:AE)</f>
        <v>0</v>
      </c>
      <c r="AS152" s="15">
        <f>_xlfn.XLOOKUP($B152,'ELC TECH'!$H:$H,'ELC TECH'!AF:AF)</f>
        <v>0</v>
      </c>
      <c r="AT152" s="15">
        <f>_xlfn.XLOOKUP($B152,'ELC TECH'!$H:$H,'ELC TECH'!AG:AG)</f>
        <v>0</v>
      </c>
      <c r="AU152" s="15">
        <f>_xlfn.XLOOKUP($B152,'ELC TECH'!$H:$H,'ELC TECH'!AH:AH)</f>
        <v>0</v>
      </c>
      <c r="AV152" s="15">
        <f>_xlfn.XLOOKUP($B152,'ELC TECH'!$H:$H,'ELC TECH'!AI:AI)</f>
        <v>0</v>
      </c>
      <c r="AW152" s="15">
        <f>_xlfn.XLOOKUP($B152,'ELC TECH'!$H:$H,'ELC TECH'!AJ:AJ)</f>
        <v>0</v>
      </c>
      <c r="AX152" s="12">
        <f>IF(_xlfn.XLOOKUP($B152,'ELC TECH'!$H:$H,'ELC TECH'!$E:$E)="Storage","",_xlfn.XLOOKUP($B152,'ELC TECH'!$H:$H,'ELC TECH'!AS:AS))</f>
        <v>0.25940829999999998</v>
      </c>
      <c r="AY152" s="12">
        <f>IF(_xlfn.XLOOKUP($B152,'ELC TECH'!$H:$H,'ELC TECH'!$E:$E)="Storage","",_xlfn.XLOOKUP($B152,'ELC TECH'!$H:$H,'ELC TECH'!AT:AT))</f>
        <v>0.3166175</v>
      </c>
      <c r="AZ152" s="12">
        <f>IF(_xlfn.XLOOKUP($B152,'ELC TECH'!$H:$H,'ELC TECH'!$E:$E)="Storage","",_xlfn.XLOOKUP($B152,'ELC TECH'!$H:$H,'ELC TECH'!AU:AU))</f>
        <v>0.388129</v>
      </c>
      <c r="BA152" s="12">
        <f>IF(_xlfn.XLOOKUP($B152,'ELC TECH'!$H:$H,'ELC TECH'!$E:$E)="Storage","",_xlfn.XLOOKUP($B152,'ELC TECH'!$H:$H,'ELC TECH'!AV:AV))</f>
        <v>0.388129</v>
      </c>
      <c r="BB152" s="12">
        <f>IF(_xlfn.XLOOKUP($B152,'ELC TECH'!$H:$H,'ELC TECH'!$E:$E)="Storage","",_xlfn.XLOOKUP($B152,'ELC TECH'!$H:$H,'ELC TECH'!AW:AW))</f>
        <v>0.388129</v>
      </c>
      <c r="BC152" s="12">
        <f>IF(_xlfn.XLOOKUP($B152,'ELC TECH'!$H:$H,'ELC TECH'!$E:$E)="Storage","",_xlfn.XLOOKUP($B152,'ELC TECH'!$H:$H,'ELC TECH'!AX:AX))</f>
        <v>0.388129</v>
      </c>
      <c r="BD152" s="12">
        <f>IF(_xlfn.XLOOKUP($B152,'ELC TECH'!$H:$H,'ELC TECH'!$E:$E)="Storage","",_xlfn.XLOOKUP($B152,'ELC TECH'!$H:$H,'ELC TECH'!AY:AY))</f>
        <v>0.388129</v>
      </c>
      <c r="BE152" s="12">
        <f>IF(_xlfn.XLOOKUP($B152,'ELC TECH'!$H:$H,'ELC TECH'!$E:$E)="Storage","",_xlfn.XLOOKUP($B152,'ELC TECH'!$H:$H,'ELC TECH'!AZ:AZ))</f>
        <v>0.388129</v>
      </c>
      <c r="BF152" s="12" t="str">
        <f>IF(_xlfn.XLOOKUP($B152,'ELC TECH'!$H:$H,'ELC TECH'!$E:$E)="Storage",_xlfn.XLOOKUP($B152,'ELC TECH'!$H:$H,'ELC TECH'!AS:AS),"")</f>
        <v/>
      </c>
      <c r="BG152" s="12" t="str">
        <f>IF(_xlfn.XLOOKUP($B152,'ELC TECH'!$H:$H,'ELC TECH'!$E:$E)="Storage",_xlfn.XLOOKUP($B152,'ELC TECH'!$H:$H,'ELC TECH'!AT:AT),"")</f>
        <v/>
      </c>
      <c r="BH152" s="12" t="str">
        <f>IF(_xlfn.XLOOKUP($B152,'ELC TECH'!$H:$H,'ELC TECH'!$E:$E)="Storage",_xlfn.XLOOKUP($B152,'ELC TECH'!$H:$H,'ELC TECH'!AU:AU),"")</f>
        <v/>
      </c>
      <c r="BI152" s="12" t="str">
        <f>IF(_xlfn.XLOOKUP($B152,'ELC TECH'!$H:$H,'ELC TECH'!$E:$E)="Storage",_xlfn.XLOOKUP($B152,'ELC TECH'!$H:$H,'ELC TECH'!AV:AV),"")</f>
        <v/>
      </c>
      <c r="BJ152" s="12" t="str">
        <f>IF(_xlfn.XLOOKUP($B152,'ELC TECH'!$H:$H,'ELC TECH'!$E:$E)="Storage",_xlfn.XLOOKUP($B152,'ELC TECH'!$H:$H,'ELC TECH'!AW:AW),"")</f>
        <v/>
      </c>
      <c r="BK152" s="12" t="str">
        <f>IF(_xlfn.XLOOKUP($B152,'ELC TECH'!$H:$H,'ELC TECH'!$E:$E)="Storage",_xlfn.XLOOKUP($B152,'ELC TECH'!$H:$H,'ELC TECH'!AX:AX),"")</f>
        <v/>
      </c>
      <c r="BL152" s="12" t="str">
        <f>IF(_xlfn.XLOOKUP($B152,'ELC TECH'!$H:$H,'ELC TECH'!$E:$E)="Storage",_xlfn.XLOOKUP($B152,'ELC TECH'!$H:$H,'ELC TECH'!AY:AY),"")</f>
        <v/>
      </c>
      <c r="BM152" s="12" t="str">
        <f>IF(_xlfn.XLOOKUP($B152,'ELC TECH'!$H:$H,'ELC TECH'!$E:$E)="Storage",_xlfn.XLOOKUP($B152,'ELC TECH'!$H:$H,'ELC TECH'!AZ:AZ),"")</f>
        <v/>
      </c>
      <c r="BN152" s="8">
        <f>IF(_xlfn.XLOOKUP($B152,'ELC TECH'!$H:$H,'ELC TECH'!$E:$E)="Non Dispatchable",IFERROR($AX152*_xlfn.XLOOKUP($C152,$BM$1:$BM$3,BN$1:BN$3)/SUMPRODUCT(_xlfn.XLOOKUP($C152,$BM$1:$BM$3,$BN$1:$BY$3),$BN$4:$BY$4),""),
"")</f>
        <v>0.45552136433569773</v>
      </c>
      <c r="BO152" s="8">
        <f>IF(_xlfn.XLOOKUP($B152,'ELC TECH'!$H:$H,'ELC TECH'!$E:$E)="Non Dispatchable",IFERROR($AX152*_xlfn.XLOOKUP($C152,$BM$1:$BM$3,BO$1:BO$3)/SUMPRODUCT(_xlfn.XLOOKUP($C152,$BM$1:$BM$3,$BN$1:$BY$3),$BN$4:$BY$4),""),
"")</f>
        <v>0.45552136433569773</v>
      </c>
      <c r="BP152" s="8">
        <f>IF(_xlfn.XLOOKUP($B152,'ELC TECH'!$H:$H,'ELC TECH'!$E:$E)="Non Dispatchable",IFERROR($AX152*_xlfn.XLOOKUP($C152,$BM$1:$BM$3,BP$1:BP$3)/SUMPRODUCT(_xlfn.XLOOKUP($C152,$BM$1:$BM$3,$BN$1:$BY$3),$BN$4:$BY$4),""),
"")</f>
        <v>4.5552136433569777E-2</v>
      </c>
      <c r="BQ152" s="8">
        <f>IF(_xlfn.XLOOKUP($B152,'ELC TECH'!$H:$H,'ELC TECH'!$E:$E)="Non Dispatchable",IFERROR($AX152*_xlfn.XLOOKUP($C152,$BM$1:$BM$3,BQ$1:BQ$3)/SUMPRODUCT(_xlfn.XLOOKUP($C152,$BM$1:$BM$3,$BN$1:$BY$3),$BN$4:$BY$4),""),
"")</f>
        <v>0.36499007431677932</v>
      </c>
      <c r="BR152" s="8">
        <f>IF(_xlfn.XLOOKUP($B152,'ELC TECH'!$H:$H,'ELC TECH'!$E:$E)="Non Dispatchable",IFERROR($AX152*_xlfn.XLOOKUP($C152,$BM$1:$BM$3,BR$1:BR$3)/SUMPRODUCT(_xlfn.XLOOKUP($C152,$BM$1:$BM$3,$BN$1:$BY$3),$BN$4:$BY$4),""),
"")</f>
        <v>0.53006122395426658</v>
      </c>
      <c r="BS152" s="8">
        <f>IF(_xlfn.XLOOKUP($B152,'ELC TECH'!$H:$H,'ELC TECH'!$E:$E)="Non Dispatchable",IFERROR($AX152*_xlfn.XLOOKUP($C152,$BM$1:$BM$3,BS$1:BS$3)/SUMPRODUCT(_xlfn.XLOOKUP($C152,$BM$1:$BM$3,$BN$1:$BY$3),$BN$4:$BY$4),""),
"")</f>
        <v>0.53006122395426658</v>
      </c>
      <c r="BT152" s="8">
        <f>IF(_xlfn.XLOOKUP($B152,'ELC TECH'!$H:$H,'ELC TECH'!$E:$E)="Non Dispatchable",IFERROR($AX152*_xlfn.XLOOKUP($C152,$BM$1:$BM$3,BT$1:BT$3)/SUMPRODUCT(_xlfn.XLOOKUP($C152,$BM$1:$BM$3,$BN$1:$BY$3),$BN$4:$BY$4),""),
"")</f>
        <v>5.3006122395426666E-2</v>
      </c>
      <c r="BU152" s="8">
        <f>IF(_xlfn.XLOOKUP($B152,'ELC TECH'!$H:$H,'ELC TECH'!$E:$E)="Non Dispatchable",IFERROR($AX152*_xlfn.XLOOKUP($C152,$BM$1:$BM$3,BU$1:BU$3)/SUMPRODUCT(_xlfn.XLOOKUP($C152,$BM$1:$BM$3,$BN$1:$BY$3),$BN$4:$BY$4),""),
"")</f>
        <v>0.46966963312638571</v>
      </c>
      <c r="BV152" s="8">
        <f>IF(_xlfn.XLOOKUP($B152,'ELC TECH'!$H:$H,'ELC TECH'!$E:$E)="Non Dispatchable",IFERROR($AX152*_xlfn.XLOOKUP($C152,$BM$1:$BM$3,BV$1:BV$3)/SUMPRODUCT(_xlfn.XLOOKUP($C152,$BM$1:$BM$3,$BN$1:$BY$3),$BN$4:$BY$4),""),
"")</f>
        <v>0.27450285990157008</v>
      </c>
      <c r="BW152" s="8">
        <f>IF(_xlfn.XLOOKUP($B152,'ELC TECH'!$H:$H,'ELC TECH'!$E:$E)="Non Dispatchable",IFERROR($AX152*_xlfn.XLOOKUP($C152,$BM$1:$BM$3,BW$1:BW$3)/SUMPRODUCT(_xlfn.XLOOKUP($C152,$BM$1:$BM$3,$BN$1:$BY$3),$BN$4:$BY$4),""),
"")</f>
        <v>0.27450285990157008</v>
      </c>
      <c r="BX152" s="8">
        <f>IF(_xlfn.XLOOKUP($B152,'ELC TECH'!$H:$H,'ELC TECH'!$E:$E)="Non Dispatchable",IFERROR($AX152*_xlfn.XLOOKUP($C152,$BM$1:$BM$3,BX$1:BX$3)/SUMPRODUCT(_xlfn.XLOOKUP($C152,$BM$1:$BM$3,$BN$1:$BY$3),$BN$4:$BY$4),""),
"")</f>
        <v>2.7450285990157006E-2</v>
      </c>
      <c r="BY152" s="8">
        <f>IF(_xlfn.XLOOKUP($B152,'ELC TECH'!$H:$H,'ELC TECH'!$E:$E)="Non Dispatchable",IFERROR($AX152*_xlfn.XLOOKUP($C152,$BM$1:$BM$3,BY$1:BY$3)/SUMPRODUCT(_xlfn.XLOOKUP($C152,$BM$1:$BM$3,$BN$1:$BY$3),$BN$4:$BY$4),""),
"")</f>
        <v>0.2006481755770278</v>
      </c>
      <c r="BZ152" s="8">
        <f>IF(_xlfn.XLOOKUP($B152,'ELC TECH'!$H:$H,'ELC TECH'!$E:$E)="Non Dispatchable",IFERROR($AX152*_xlfn.XLOOKUP($C152,$BM$1:$BM$3,BZ$1:BZ$3)/SUMPRODUCT(_xlfn.XLOOKUP($C152,$BM$1:$BM$3,$BN$1:$BY$3),$BN$4:$BY$4),""),
"")</f>
        <v>0.45552136433569773</v>
      </c>
      <c r="CA152" s="8">
        <f>IF(_xlfn.XLOOKUP($B152,'ELC TECH'!$H:$H,'ELC TECH'!$E:$E)="Non Dispatchable",IFERROR($AX152*_xlfn.XLOOKUP($C152,$BM$1:$BM$3,CA$1:CA$3)/SUMPRODUCT(_xlfn.XLOOKUP($C152,$BM$1:$BM$3,$BN$1:$BY$3),$BN$4:$BY$4),""),
"")</f>
        <v>0.45552136433569773</v>
      </c>
      <c r="CB152" s="8">
        <f>IF(_xlfn.XLOOKUP($B152,'ELC TECH'!$H:$H,'ELC TECH'!$E:$E)="Non Dispatchable",IFERROR($AX152*_xlfn.XLOOKUP($C152,$BM$1:$BM$3,CB$1:CB$3)/SUMPRODUCT(_xlfn.XLOOKUP($C152,$BM$1:$BM$3,$BN$1:$BY$3),$BN$4:$BY$4),""),
"")</f>
        <v>4.5552136433569777E-2</v>
      </c>
      <c r="CC152" s="8">
        <f>IF(_xlfn.XLOOKUP($B152,'ELC TECH'!$H:$H,'ELC TECH'!$E:$E)="Non Dispatchable",IFERROR($AX152*_xlfn.XLOOKUP($C152,$BM$1:$BM$3,CC$1:CC$3)/SUMPRODUCT(_xlfn.XLOOKUP($C152,$BM$1:$BM$3,$BN$1:$BY$3),$BN$4:$BY$4),""),
"")</f>
        <v>0.36499007431677932</v>
      </c>
      <c r="CD152" s="8">
        <f>IF(_xlfn.XLOOKUP($B152,'ELC TECH'!$H:$H,'ELC TECH'!$E:$E)="Non Dispatchable",IFERROR($AX152*_xlfn.XLOOKUP($C152,$BM$1:$BM$3,CD$1:CD$3)/SUMPRODUCT(_xlfn.XLOOKUP($C152,$BM$1:$BM$3,$BN$1:$BY$3),$BN$4:$BY$4),""),
"")</f>
        <v>0.53006122395426658</v>
      </c>
      <c r="CE152" s="8">
        <f>IF(_xlfn.XLOOKUP($B152,'ELC TECH'!$H:$H,'ELC TECH'!$E:$E)="Non Dispatchable",IFERROR($AX152*_xlfn.XLOOKUP($C152,$BM$1:$BM$3,CE$1:CE$3)/SUMPRODUCT(_xlfn.XLOOKUP($C152,$BM$1:$BM$3,$BN$1:$BY$3),$BN$4:$BY$4),""),
"")</f>
        <v>0.53006122395426658</v>
      </c>
      <c r="CF152" s="8">
        <f>IF(_xlfn.XLOOKUP($B152,'ELC TECH'!$H:$H,'ELC TECH'!$E:$E)="Non Dispatchable",IFERROR($AX152*_xlfn.XLOOKUP($C152,$BM$1:$BM$3,CF$1:CF$3)/SUMPRODUCT(_xlfn.XLOOKUP($C152,$BM$1:$BM$3,$BN$1:$BY$3),$BN$4:$BY$4),""),
"")</f>
        <v>5.3006122395426666E-2</v>
      </c>
      <c r="CG152" s="8">
        <f>IF(_xlfn.XLOOKUP($B152,'ELC TECH'!$H:$H,'ELC TECH'!$E:$E)="Non Dispatchable",IFERROR($AX152*_xlfn.XLOOKUP($C152,$BM$1:$BM$3,CG$1:CG$3)/SUMPRODUCT(_xlfn.XLOOKUP($C152,$BM$1:$BM$3,$BN$1:$BY$3),$BN$4:$BY$4),""),
"")</f>
        <v>0.46966963312638571</v>
      </c>
      <c r="CH152" s="8">
        <f>IF(_xlfn.XLOOKUP($B152,'ELC TECH'!$H:$H,'ELC TECH'!$E:$E)="Non Dispatchable",IFERROR($AX152*_xlfn.XLOOKUP($C152,$BM$1:$BM$3,CH$1:CH$3)/SUMPRODUCT(_xlfn.XLOOKUP($C152,$BM$1:$BM$3,$BN$1:$BY$3),$BN$4:$BY$4),""),
"")</f>
        <v>0.27450285990157008</v>
      </c>
      <c r="CI152" s="8">
        <f>IF(_xlfn.XLOOKUP($B152,'ELC TECH'!$H:$H,'ELC TECH'!$E:$E)="Non Dispatchable",IFERROR($AX152*_xlfn.XLOOKUP($C152,$BM$1:$BM$3,CI$1:CI$3)/SUMPRODUCT(_xlfn.XLOOKUP($C152,$BM$1:$BM$3,$BN$1:$BY$3),$BN$4:$BY$4),""),
"")</f>
        <v>0.27450285990157008</v>
      </c>
      <c r="CJ152" s="8">
        <f>IF(_xlfn.XLOOKUP($B152,'ELC TECH'!$H:$H,'ELC TECH'!$E:$E)="Non Dispatchable",IFERROR($AX152*_xlfn.XLOOKUP($C152,$BM$1:$BM$3,CJ$1:CJ$3)/SUMPRODUCT(_xlfn.XLOOKUP($C152,$BM$1:$BM$3,$BN$1:$BY$3),$BN$4:$BY$4),""),
"")</f>
        <v>2.7450285990157006E-2</v>
      </c>
      <c r="CK152" s="8">
        <f>IF(_xlfn.XLOOKUP($B152,'ELC TECH'!$H:$H,'ELC TECH'!$E:$E)="Non Dispatchable",IFERROR($AX152*_xlfn.XLOOKUP($C152,$BM$1:$BM$3,CK$1:CK$3)/SUMPRODUCT(_xlfn.XLOOKUP($C152,$BM$1:$BM$3,$BN$1:$BY$3),$BN$4:$BY$4),""),
"")</f>
        <v>0.2006481755770278</v>
      </c>
      <c r="CL152" s="8" t="str">
        <f>IF(_xlfn.XLOOKUP($B152,'ELC TECH'!$H:$H,'ELC TECH'!$E:$E)="Storage",CL$4*$BF152,"")</f>
        <v/>
      </c>
      <c r="CM152" s="8" t="str">
        <f>IF(_xlfn.XLOOKUP($B152,'ELC TECH'!$H:$H,'ELC TECH'!$E:$E)="Storage",CM$4*$BF152,"")</f>
        <v/>
      </c>
      <c r="CN152" s="8" t="str">
        <f>IF(_xlfn.XLOOKUP($B152,'ELC TECH'!$H:$H,'ELC TECH'!$E:$E)="Storage",CN$4*$BF152,"")</f>
        <v/>
      </c>
      <c r="CO152" s="8" t="str">
        <f>IF(_xlfn.XLOOKUP($B152,'ELC TECH'!$H:$H,'ELC TECH'!$E:$E)="Storage",CO$4*$BF152,"")</f>
        <v/>
      </c>
      <c r="CP152" s="8" t="str">
        <f>IF(_xlfn.XLOOKUP($B152,'ELC TECH'!$H:$H,'ELC TECH'!$E:$E)="Storage",CP$4*$BF152,"")</f>
        <v/>
      </c>
      <c r="CQ152" s="8" t="str">
        <f>IF(_xlfn.XLOOKUP($B152,'ELC TECH'!$H:$H,'ELC TECH'!$E:$E)="Storage",CQ$4*$BF152,"")</f>
        <v/>
      </c>
      <c r="CR152" s="8" t="str">
        <f>IF(_xlfn.XLOOKUP($B152,'ELC TECH'!$H:$H,'ELC TECH'!$E:$E)="Storage",CR$4*$BF152,"")</f>
        <v/>
      </c>
      <c r="CS152" s="8" t="str">
        <f>IF(_xlfn.XLOOKUP($B152,'ELC TECH'!$H:$H,'ELC TECH'!$E:$E)="Storage",CS$4*$BF152,"")</f>
        <v/>
      </c>
      <c r="CT152" s="8" t="str">
        <f>IF(_xlfn.XLOOKUP($B152,'ELC TECH'!$H:$H,'ELC TECH'!$E:$E)="Storage",CT$4*$BF152,"")</f>
        <v/>
      </c>
      <c r="CU152" s="8" t="str">
        <f>IF(_xlfn.XLOOKUP($B152,'ELC TECH'!$H:$H,'ELC TECH'!$E:$E)="Storage",CU$4*$BF152,"")</f>
        <v/>
      </c>
      <c r="CV152" s="8" t="str">
        <f>IF(_xlfn.XLOOKUP($B152,'ELC TECH'!$H:$H,'ELC TECH'!$E:$E)="Storage",CV$4*$BF152,"")</f>
        <v/>
      </c>
      <c r="CW152" s="8" t="str">
        <f>IF(_xlfn.XLOOKUP($B152,'ELC TECH'!$H:$H,'ELC TECH'!$E:$E)="Storage",CW$4*$BF152,"")</f>
        <v/>
      </c>
      <c r="CX152" s="8" t="str">
        <f>IF(_xlfn.XLOOKUP($B152,'ELC TECH'!$H:$H,'ELC TECH'!$E:$E)="Storage",CX$4*$BF152,"")</f>
        <v/>
      </c>
      <c r="CY152" s="8" t="str">
        <f>IF(_xlfn.XLOOKUP($B152,'ELC TECH'!$H:$H,'ELC TECH'!$E:$E)="Storage",CY$4*$BF152,"")</f>
        <v/>
      </c>
      <c r="CZ152" s="8" t="str">
        <f>IF(_xlfn.XLOOKUP($B152,'ELC TECH'!$H:$H,'ELC TECH'!$E:$E)="Storage",CZ$4*$BF152,"")</f>
        <v/>
      </c>
      <c r="DA152" s="8" t="str">
        <f>IF(_xlfn.XLOOKUP($B152,'ELC TECH'!$H:$H,'ELC TECH'!$E:$E)="Storage",DA$4*$BF152,"")</f>
        <v/>
      </c>
      <c r="DB152" s="8" t="str">
        <f>IF(_xlfn.XLOOKUP($B152,'ELC TECH'!$H:$H,'ELC TECH'!$E:$E)="Storage",DB$4*$BF152,"")</f>
        <v/>
      </c>
      <c r="DC152" s="8" t="str">
        <f>IF(_xlfn.XLOOKUP($B152,'ELC TECH'!$H:$H,'ELC TECH'!$E:$E)="Storage",DC$4*$BF152,"")</f>
        <v/>
      </c>
      <c r="DD152" s="8" t="str">
        <f>IF(_xlfn.XLOOKUP($B152,'ELC TECH'!$H:$H,'ELC TECH'!$E:$E)="Storage",DD$4*$BF152,"")</f>
        <v/>
      </c>
      <c r="DE152" s="8" t="str">
        <f>IF(_xlfn.XLOOKUP($B152,'ELC TECH'!$H:$H,'ELC TECH'!$E:$E)="Storage",DE$4*$BF152,"")</f>
        <v/>
      </c>
      <c r="DF152" s="8" t="str">
        <f>IF(_xlfn.XLOOKUP($B152,'ELC TECH'!$H:$H,'ELC TECH'!$E:$E)="Storage",DF$4*$BF152,"")</f>
        <v/>
      </c>
      <c r="DG152" s="8" t="str">
        <f>IF(_xlfn.XLOOKUP($B152,'ELC TECH'!$H:$H,'ELC TECH'!$E:$E)="Storage",DG$4*$BF152,"")</f>
        <v/>
      </c>
      <c r="DH152" s="8" t="str">
        <f>IF(_xlfn.XLOOKUP($B152,'ELC TECH'!$H:$H,'ELC TECH'!$E:$E)="Storage",DH$4*$BF152,"")</f>
        <v/>
      </c>
      <c r="DI152" s="8" t="str">
        <f>IF(_xlfn.XLOOKUP($B152,'ELC TECH'!$H:$H,'ELC TECH'!$E:$E)="Storage",DI$4*$BF152,"")</f>
        <v/>
      </c>
    </row>
    <row r="153" spans="2:113" x14ac:dyDescent="0.25">
      <c r="B153" t="str">
        <f>IF('ELC TECH'!I146=0,"*",'ELC TECH'!H146)</f>
        <v>ELCWNDDCECDWC920</v>
      </c>
      <c r="C153" t="str">
        <f>IF(_xlfn.XLOOKUP(_xlfn.XLOOKUP(B153,'ELC TECH'!$H:$H,'ELC TECH'!$G:$G),List!C:C,List!B:B)="STG",D153,"ELC"&amp;_xlfn.XLOOKUP(_xlfn.XLOOKUP(B153,'ELC TECH'!H:H,'ELC TECH'!G:G),List!C:C,List!B:B))</f>
        <v>ELCWND</v>
      </c>
      <c r="D153" t="s">
        <v>544</v>
      </c>
      <c r="E153">
        <f>_xlfn.XLOOKUP(B153,'ELC TECH'!H:H,'ELC TECH'!D:D)</f>
        <v>2020</v>
      </c>
      <c r="F153">
        <f>_xlfn.XLOOKUP(B153,'ELC TECH'!H:H,'ELC TECH'!K:K)</f>
        <v>30</v>
      </c>
      <c r="G153">
        <f t="shared" si="8"/>
        <v>31.535999999999998</v>
      </c>
      <c r="H153">
        <f>IF(_xlfn.XLOOKUP(B153,'ELC TECH'!$H:$H,'ELC TECH'!$E:$E)="Storage",0.3,IF(_xlfn.XLOOKUP(B153,'ELC TECH'!$H:$H,'ELC TECH'!$E:$E)="Baseload",0.9,IF(_xlfn.XLOOKUP(B153,'ELC TECH'!$H:$H,'ELC TECH'!$E:$E)="Non Dispatchable",0.05,IF(_xlfn.XLOOKUP(B153,'ELC TECH'!$H:$H,'ELC TECH'!$E:$E)="Dispatchable",0.9,1))))</f>
        <v>0.05</v>
      </c>
      <c r="I153" s="13">
        <f>IF(_xlfn.XLOOKUP(B153,'ELC TECH'!H:H,'ELC TECH'!J:J)="","",_xlfn.XLOOKUP(B153,'ELC TECH'!H:H,'ELC TECH'!J:J))</f>
        <v>233.39318333333341</v>
      </c>
      <c r="J153" s="12">
        <f>IF(_xlfn.XLOOKUP($B153,'ELC TECH'!$H:$H,'ELC TECH'!$E:$E)="Storage","",IF(_xlfn.XLOOKUP($B153,'ELC TECH'!$H:$H,'ELC TECH'!AK:AK)="",1,_xlfn.XLOOKUP($B153,'ELC TECH'!$H:$H,'ELC TECH'!AK:AK)))</f>
        <v>1</v>
      </c>
      <c r="K153" s="12">
        <f>IF(_xlfn.XLOOKUP($B153,'ELC TECH'!$H:$H,'ELC TECH'!$E:$E)="Storage","",IF(_xlfn.XLOOKUP($B153,'ELC TECH'!$H:$H,'ELC TECH'!AL:AL)="",1,_xlfn.XLOOKUP($B153,'ELC TECH'!$H:$H,'ELC TECH'!AL:AL)))</f>
        <v>1</v>
      </c>
      <c r="L153" s="12">
        <f>IF(_xlfn.XLOOKUP($B153,'ELC TECH'!$H:$H,'ELC TECH'!$E:$E)="Storage","",IF(_xlfn.XLOOKUP($B153,'ELC TECH'!$H:$H,'ELC TECH'!AM:AM)="",1,_xlfn.XLOOKUP($B153,'ELC TECH'!$H:$H,'ELC TECH'!AM:AM)))</f>
        <v>1</v>
      </c>
      <c r="M153" s="12">
        <f>IF(_xlfn.XLOOKUP($B153,'ELC TECH'!$H:$H,'ELC TECH'!$E:$E)="Storage","",IF(_xlfn.XLOOKUP($B153,'ELC TECH'!$H:$H,'ELC TECH'!AN:AN)="",1,_xlfn.XLOOKUP($B153,'ELC TECH'!$H:$H,'ELC TECH'!AN:AN)))</f>
        <v>1</v>
      </c>
      <c r="N153" s="12">
        <f>IF(_xlfn.XLOOKUP($B153,'ELC TECH'!$H:$H,'ELC TECH'!$E:$E)="Storage","",IF(_xlfn.XLOOKUP($B153,'ELC TECH'!$H:$H,'ELC TECH'!AO:AO)="",1,_xlfn.XLOOKUP($B153,'ELC TECH'!$H:$H,'ELC TECH'!AO:AO)))</f>
        <v>1</v>
      </c>
      <c r="O153" s="12">
        <f>IF(_xlfn.XLOOKUP($B153,'ELC TECH'!$H:$H,'ELC TECH'!$E:$E)="Storage","",IF(_xlfn.XLOOKUP($B153,'ELC TECH'!$H:$H,'ELC TECH'!AP:AP)="",1,_xlfn.XLOOKUP($B153,'ELC TECH'!$H:$H,'ELC TECH'!AP:AP)))</f>
        <v>1</v>
      </c>
      <c r="P153" s="12">
        <f>IF(_xlfn.XLOOKUP($B153,'ELC TECH'!$H:$H,'ELC TECH'!$E:$E)="Storage","",IF(_xlfn.XLOOKUP($B153,'ELC TECH'!$H:$H,'ELC TECH'!AQ:AQ)="",1,_xlfn.XLOOKUP($B153,'ELC TECH'!$H:$H,'ELC TECH'!AQ:AQ)))</f>
        <v>1</v>
      </c>
      <c r="Q153" s="12">
        <f>IF(_xlfn.XLOOKUP($B153,'ELC TECH'!$H:$H,'ELC TECH'!$E:$E)="Storage","",IF(_xlfn.XLOOKUP($B153,'ELC TECH'!$H:$H,'ELC TECH'!AR:AR)="",1,_xlfn.XLOOKUP($B153,'ELC TECH'!$H:$H,'ELC TECH'!AR:AR)))</f>
        <v>1</v>
      </c>
      <c r="R153" s="12" t="str">
        <f>IF(_xlfn.XLOOKUP($B153,'ELC TECH'!$H:$H,'ELC TECH'!$E:$E)&lt;&gt;"Storage","",IF(_xlfn.XLOOKUP($B153,'ELC TECH'!$H:$H,'ELC TECH'!AK:AK)="",0.8,_xlfn.XLOOKUP($B153,'ELC TECH'!$H:$H,'ELC TECH'!AK:AK)))</f>
        <v/>
      </c>
      <c r="S153" s="12" t="str">
        <f>IF(_xlfn.XLOOKUP($B153,'ELC TECH'!$H:$H,'ELC TECH'!$E:$E)&lt;&gt;"Storage","",IF(_xlfn.XLOOKUP($B153,'ELC TECH'!$H:$H,'ELC TECH'!AL:AL)="",0.8,_xlfn.XLOOKUP($B153,'ELC TECH'!$H:$H,'ELC TECH'!AL:AL)))</f>
        <v/>
      </c>
      <c r="T153" s="12" t="str">
        <f>IF(_xlfn.XLOOKUP($B153,'ELC TECH'!$H:$H,'ELC TECH'!$E:$E)&lt;&gt;"Storage","",IF(_xlfn.XLOOKUP($B153,'ELC TECH'!$H:$H,'ELC TECH'!AM:AM)="",0.8,_xlfn.XLOOKUP($B153,'ELC TECH'!$H:$H,'ELC TECH'!AM:AM)))</f>
        <v/>
      </c>
      <c r="U153" s="12" t="str">
        <f>IF(_xlfn.XLOOKUP($B153,'ELC TECH'!$H:$H,'ELC TECH'!$E:$E)&lt;&gt;"Storage","",IF(_xlfn.XLOOKUP($B153,'ELC TECH'!$H:$H,'ELC TECH'!AN:AN)="",0.8,_xlfn.XLOOKUP($B153,'ELC TECH'!$H:$H,'ELC TECH'!AN:AN)))</f>
        <v/>
      </c>
      <c r="V153" s="12" t="str">
        <f>IF(_xlfn.XLOOKUP($B153,'ELC TECH'!$H:$H,'ELC TECH'!$E:$E)&lt;&gt;"Storage","",IF(_xlfn.XLOOKUP($B153,'ELC TECH'!$H:$H,'ELC TECH'!AO:AO)="",0.8,_xlfn.XLOOKUP($B153,'ELC TECH'!$H:$H,'ELC TECH'!AO:AO)))</f>
        <v/>
      </c>
      <c r="W153" s="12" t="str">
        <f>IF(_xlfn.XLOOKUP($B153,'ELC TECH'!$H:$H,'ELC TECH'!$E:$E)&lt;&gt;"Storage","",IF(_xlfn.XLOOKUP($B153,'ELC TECH'!$H:$H,'ELC TECH'!AP:AP)="",0.8,_xlfn.XLOOKUP($B153,'ELC TECH'!$H:$H,'ELC TECH'!AP:AP)))</f>
        <v/>
      </c>
      <c r="X153" s="12" t="str">
        <f>IF(_xlfn.XLOOKUP($B153,'ELC TECH'!$H:$H,'ELC TECH'!$E:$E)&lt;&gt;"Storage","",IF(_xlfn.XLOOKUP($B153,'ELC TECH'!$H:$H,'ELC TECH'!AQ:AQ)="",0.8,_xlfn.XLOOKUP($B153,'ELC TECH'!$H:$H,'ELC TECH'!AQ:AQ)))</f>
        <v/>
      </c>
      <c r="Y153" s="12" t="str">
        <f>IF(_xlfn.XLOOKUP($B153,'ELC TECH'!$H:$H,'ELC TECH'!$E:$E)&lt;&gt;"Storage","",IF(_xlfn.XLOOKUP($B153,'ELC TECH'!$H:$H,'ELC TECH'!AR:AR)="",0.8,_xlfn.XLOOKUP($B153,'ELC TECH'!$H:$H,'ELC TECH'!AR:AR)))</f>
        <v/>
      </c>
      <c r="Z153" s="15">
        <f>_xlfn.XLOOKUP($B153,'ELC TECH'!$H:$H,'ELC TECH'!M:M)</f>
        <v>4917.4184525969313</v>
      </c>
      <c r="AA153" s="15">
        <f>_xlfn.XLOOKUP($B153,'ELC TECH'!$H:$H,'ELC TECH'!N:N)</f>
        <v>4821.6848284228936</v>
      </c>
      <c r="AB153" s="15">
        <f>_xlfn.XLOOKUP($B153,'ELC TECH'!$H:$H,'ELC TECH'!O:O)</f>
        <v>2984.1897708938181</v>
      </c>
      <c r="AC153" s="15">
        <f>_xlfn.XLOOKUP($B153,'ELC TECH'!$H:$H,'ELC TECH'!P:P)</f>
        <v>2539.1896953994678</v>
      </c>
      <c r="AD153" s="15">
        <f>_xlfn.XLOOKUP($B153,'ELC TECH'!$H:$H,'ELC TECH'!Q:Q)</f>
        <v>2093.9800186842722</v>
      </c>
      <c r="AE153" s="15">
        <f>_xlfn.XLOOKUP($B153,'ELC TECH'!$H:$H,'ELC TECH'!R:R)</f>
        <v>1896.095935565756</v>
      </c>
      <c r="AF153" s="15">
        <f>_xlfn.XLOOKUP($B153,'ELC TECH'!$H:$H,'ELC TECH'!S:S)</f>
        <v>1698.211852447241</v>
      </c>
      <c r="AG153" s="15">
        <f>_xlfn.XLOOKUP($B153,'ELC TECH'!$H:$H,'ELC TECH'!T:T)</f>
        <v>1698.211852447241</v>
      </c>
      <c r="AH153" s="15">
        <f>_xlfn.XLOOKUP($B153,'ELC TECH'!$H:$H,'ELC TECH'!U:U)</f>
        <v>41.27117929699714</v>
      </c>
      <c r="AI153" s="15">
        <f>_xlfn.XLOOKUP($B153,'ELC TECH'!$H:$H,'ELC TECH'!V:V)</f>
        <v>40.608188464916751</v>
      </c>
      <c r="AJ153" s="15">
        <f>_xlfn.XLOOKUP($B153,'ELC TECH'!$H:$H,'ELC TECH'!W:W)</f>
        <v>39.779449924816397</v>
      </c>
      <c r="AK153" s="15">
        <f>_xlfn.XLOOKUP($B153,'ELC TECH'!$H:$H,'ELC TECH'!X:X)</f>
        <v>39.157896019741258</v>
      </c>
      <c r="AL153" s="15">
        <f>_xlfn.XLOOKUP($B153,'ELC TECH'!$H:$H,'ELC TECH'!Y:Y)</f>
        <v>38.536342114665999</v>
      </c>
      <c r="AM153" s="15">
        <f>_xlfn.XLOOKUP($B153,'ELC TECH'!$H:$H,'ELC TECH'!Z:Z)</f>
        <v>37.914788209590739</v>
      </c>
      <c r="AN153" s="15">
        <f>_xlfn.XLOOKUP($B153,'ELC TECH'!$H:$H,'ELC TECH'!AA:AA)</f>
        <v>37.293234304515479</v>
      </c>
      <c r="AO153" s="15">
        <f>_xlfn.XLOOKUP($B153,'ELC TECH'!$H:$H,'ELC TECH'!AB:AB)</f>
        <v>37.293234304515479</v>
      </c>
      <c r="AP153" s="15">
        <f>_xlfn.XLOOKUP($B153,'ELC TECH'!$H:$H,'ELC TECH'!AC:AC)</f>
        <v>0</v>
      </c>
      <c r="AQ153" s="15">
        <f>_xlfn.XLOOKUP($B153,'ELC TECH'!$H:$H,'ELC TECH'!AD:AD)</f>
        <v>0</v>
      </c>
      <c r="AR153" s="15">
        <f>_xlfn.XLOOKUP($B153,'ELC TECH'!$H:$H,'ELC TECH'!AE:AE)</f>
        <v>0</v>
      </c>
      <c r="AS153" s="15">
        <f>_xlfn.XLOOKUP($B153,'ELC TECH'!$H:$H,'ELC TECH'!AF:AF)</f>
        <v>0</v>
      </c>
      <c r="AT153" s="15">
        <f>_xlfn.XLOOKUP($B153,'ELC TECH'!$H:$H,'ELC TECH'!AG:AG)</f>
        <v>0</v>
      </c>
      <c r="AU153" s="15">
        <f>_xlfn.XLOOKUP($B153,'ELC TECH'!$H:$H,'ELC TECH'!AH:AH)</f>
        <v>0</v>
      </c>
      <c r="AV153" s="15">
        <f>_xlfn.XLOOKUP($B153,'ELC TECH'!$H:$H,'ELC TECH'!AI:AI)</f>
        <v>0</v>
      </c>
      <c r="AW153" s="15">
        <f>_xlfn.XLOOKUP($B153,'ELC TECH'!$H:$H,'ELC TECH'!AJ:AJ)</f>
        <v>0</v>
      </c>
      <c r="AX153" s="12">
        <f>IF(_xlfn.XLOOKUP($B153,'ELC TECH'!$H:$H,'ELC TECH'!$E:$E)="Storage","",_xlfn.XLOOKUP($B153,'ELC TECH'!$H:$H,'ELC TECH'!AS:AS))</f>
        <v>0.2115263</v>
      </c>
      <c r="AY153" s="12">
        <f>IF(_xlfn.XLOOKUP($B153,'ELC TECH'!$H:$H,'ELC TECH'!$E:$E)="Storage","",_xlfn.XLOOKUP($B153,'ELC TECH'!$H:$H,'ELC TECH'!AT:AT))</f>
        <v>0.26517550000000001</v>
      </c>
      <c r="AZ153" s="12">
        <f>IF(_xlfn.XLOOKUP($B153,'ELC TECH'!$H:$H,'ELC TECH'!$E:$E)="Storage","",_xlfn.XLOOKUP($B153,'ELC TECH'!$H:$H,'ELC TECH'!AU:AU))</f>
        <v>0.332237</v>
      </c>
      <c r="BA153" s="12">
        <f>IF(_xlfn.XLOOKUP($B153,'ELC TECH'!$H:$H,'ELC TECH'!$E:$E)="Storage","",_xlfn.XLOOKUP($B153,'ELC TECH'!$H:$H,'ELC TECH'!AV:AV))</f>
        <v>0.332237</v>
      </c>
      <c r="BB153" s="12">
        <f>IF(_xlfn.XLOOKUP($B153,'ELC TECH'!$H:$H,'ELC TECH'!$E:$E)="Storage","",_xlfn.XLOOKUP($B153,'ELC TECH'!$H:$H,'ELC TECH'!AW:AW))</f>
        <v>0.332237</v>
      </c>
      <c r="BC153" s="12">
        <f>IF(_xlfn.XLOOKUP($B153,'ELC TECH'!$H:$H,'ELC TECH'!$E:$E)="Storage","",_xlfn.XLOOKUP($B153,'ELC TECH'!$H:$H,'ELC TECH'!AX:AX))</f>
        <v>0.332237</v>
      </c>
      <c r="BD153" s="12">
        <f>IF(_xlfn.XLOOKUP($B153,'ELC TECH'!$H:$H,'ELC TECH'!$E:$E)="Storage","",_xlfn.XLOOKUP($B153,'ELC TECH'!$H:$H,'ELC TECH'!AY:AY))</f>
        <v>0.332237</v>
      </c>
      <c r="BE153" s="12">
        <f>IF(_xlfn.XLOOKUP($B153,'ELC TECH'!$H:$H,'ELC TECH'!$E:$E)="Storage","",_xlfn.XLOOKUP($B153,'ELC TECH'!$H:$H,'ELC TECH'!AZ:AZ))</f>
        <v>0.332237</v>
      </c>
      <c r="BF153" s="12" t="str">
        <f>IF(_xlfn.XLOOKUP($B153,'ELC TECH'!$H:$H,'ELC TECH'!$E:$E)="Storage",_xlfn.XLOOKUP($B153,'ELC TECH'!$H:$H,'ELC TECH'!AS:AS),"")</f>
        <v/>
      </c>
      <c r="BG153" s="12" t="str">
        <f>IF(_xlfn.XLOOKUP($B153,'ELC TECH'!$H:$H,'ELC TECH'!$E:$E)="Storage",_xlfn.XLOOKUP($B153,'ELC TECH'!$H:$H,'ELC TECH'!AT:AT),"")</f>
        <v/>
      </c>
      <c r="BH153" s="12" t="str">
        <f>IF(_xlfn.XLOOKUP($B153,'ELC TECH'!$H:$H,'ELC TECH'!$E:$E)="Storage",_xlfn.XLOOKUP($B153,'ELC TECH'!$H:$H,'ELC TECH'!AU:AU),"")</f>
        <v/>
      </c>
      <c r="BI153" s="12" t="str">
        <f>IF(_xlfn.XLOOKUP($B153,'ELC TECH'!$H:$H,'ELC TECH'!$E:$E)="Storage",_xlfn.XLOOKUP($B153,'ELC TECH'!$H:$H,'ELC TECH'!AV:AV),"")</f>
        <v/>
      </c>
      <c r="BJ153" s="12" t="str">
        <f>IF(_xlfn.XLOOKUP($B153,'ELC TECH'!$H:$H,'ELC TECH'!$E:$E)="Storage",_xlfn.XLOOKUP($B153,'ELC TECH'!$H:$H,'ELC TECH'!AW:AW),"")</f>
        <v/>
      </c>
      <c r="BK153" s="12" t="str">
        <f>IF(_xlfn.XLOOKUP($B153,'ELC TECH'!$H:$H,'ELC TECH'!$E:$E)="Storage",_xlfn.XLOOKUP($B153,'ELC TECH'!$H:$H,'ELC TECH'!AX:AX),"")</f>
        <v/>
      </c>
      <c r="BL153" s="12" t="str">
        <f>IF(_xlfn.XLOOKUP($B153,'ELC TECH'!$H:$H,'ELC TECH'!$E:$E)="Storage",_xlfn.XLOOKUP($B153,'ELC TECH'!$H:$H,'ELC TECH'!AY:AY),"")</f>
        <v/>
      </c>
      <c r="BM153" s="12" t="str">
        <f>IF(_xlfn.XLOOKUP($B153,'ELC TECH'!$H:$H,'ELC TECH'!$E:$E)="Storage",_xlfn.XLOOKUP($B153,'ELC TECH'!$H:$H,'ELC TECH'!AZ:AZ),"")</f>
        <v/>
      </c>
      <c r="BN153" s="8">
        <f>IF(_xlfn.XLOOKUP($B153,'ELC TECH'!$H:$H,'ELC TECH'!$E:$E)="Non Dispatchable",IFERROR($AX153*_xlfn.XLOOKUP($C153,$BM$1:$BM$3,BN$1:BN$3)/SUMPRODUCT(_xlfn.XLOOKUP($C153,$BM$1:$BM$3,$BN$1:$BY$3),$BN$4:$BY$4),""),
"")</f>
        <v>0.37144050043457405</v>
      </c>
      <c r="BO153" s="8">
        <f>IF(_xlfn.XLOOKUP($B153,'ELC TECH'!$H:$H,'ELC TECH'!$E:$E)="Non Dispatchable",IFERROR($AX153*_xlfn.XLOOKUP($C153,$BM$1:$BM$3,BO$1:BO$3)/SUMPRODUCT(_xlfn.XLOOKUP($C153,$BM$1:$BM$3,$BN$1:$BY$3),$BN$4:$BY$4),""),
"")</f>
        <v>0.37144050043457405</v>
      </c>
      <c r="BP153" s="8">
        <f>IF(_xlfn.XLOOKUP($B153,'ELC TECH'!$H:$H,'ELC TECH'!$E:$E)="Non Dispatchable",IFERROR($AX153*_xlfn.XLOOKUP($C153,$BM$1:$BM$3,BP$1:BP$3)/SUMPRODUCT(_xlfn.XLOOKUP($C153,$BM$1:$BM$3,$BN$1:$BY$3),$BN$4:$BY$4),""),
"")</f>
        <v>3.7144050043457402E-2</v>
      </c>
      <c r="BQ153" s="8">
        <f>IF(_xlfn.XLOOKUP($B153,'ELC TECH'!$H:$H,'ELC TECH'!$E:$E)="Non Dispatchable",IFERROR($AX153*_xlfn.XLOOKUP($C153,$BM$1:$BM$3,BQ$1:BQ$3)/SUMPRODUCT(_xlfn.XLOOKUP($C153,$BM$1:$BM$3,$BN$1:$BY$3),$BN$4:$BY$4),""),
"")</f>
        <v>0.29761962110292295</v>
      </c>
      <c r="BR153" s="8">
        <f>IF(_xlfn.XLOOKUP($B153,'ELC TECH'!$H:$H,'ELC TECH'!$E:$E)="Non Dispatchable",IFERROR($AX153*_xlfn.XLOOKUP($C153,$BM$1:$BM$3,BR$1:BR$3)/SUMPRODUCT(_xlfn.XLOOKUP($C153,$BM$1:$BM$3,$BN$1:$BY$3),$BN$4:$BY$4),""),
"")</f>
        <v>0.43222167323295901</v>
      </c>
      <c r="BS153" s="8">
        <f>IF(_xlfn.XLOOKUP($B153,'ELC TECH'!$H:$H,'ELC TECH'!$E:$E)="Non Dispatchable",IFERROR($AX153*_xlfn.XLOOKUP($C153,$BM$1:$BM$3,BS$1:BS$3)/SUMPRODUCT(_xlfn.XLOOKUP($C153,$BM$1:$BM$3,$BN$1:$BY$3),$BN$4:$BY$4),""),
"")</f>
        <v>0.43222167323295901</v>
      </c>
      <c r="BT153" s="8">
        <f>IF(_xlfn.XLOOKUP($B153,'ELC TECH'!$H:$H,'ELC TECH'!$E:$E)="Non Dispatchable",IFERROR($AX153*_xlfn.XLOOKUP($C153,$BM$1:$BM$3,BT$1:BT$3)/SUMPRODUCT(_xlfn.XLOOKUP($C153,$BM$1:$BM$3,$BN$1:$BY$3),$BN$4:$BY$4),""),
"")</f>
        <v>4.3222167323295903E-2</v>
      </c>
      <c r="BU153" s="8">
        <f>IF(_xlfn.XLOOKUP($B153,'ELC TECH'!$H:$H,'ELC TECH'!$E:$E)="Non Dispatchable",IFERROR($AX153*_xlfn.XLOOKUP($C153,$BM$1:$BM$3,BU$1:BU$3)/SUMPRODUCT(_xlfn.XLOOKUP($C153,$BM$1:$BM$3,$BN$1:$BY$3),$BN$4:$BY$4),""),
"")</f>
        <v>0.38297725908377567</v>
      </c>
      <c r="BV153" s="8">
        <f>IF(_xlfn.XLOOKUP($B153,'ELC TECH'!$H:$H,'ELC TECH'!$E:$E)="Non Dispatchable",IFERROR($AX153*_xlfn.XLOOKUP($C153,$BM$1:$BM$3,BV$1:BV$3)/SUMPRODUCT(_xlfn.XLOOKUP($C153,$BM$1:$BM$3,$BN$1:$BY$3),$BN$4:$BY$4),""),
"")</f>
        <v>0.22383468182936894</v>
      </c>
      <c r="BW153" s="8">
        <f>IF(_xlfn.XLOOKUP($B153,'ELC TECH'!$H:$H,'ELC TECH'!$E:$E)="Non Dispatchable",IFERROR($AX153*_xlfn.XLOOKUP($C153,$BM$1:$BM$3,BW$1:BW$3)/SUMPRODUCT(_xlfn.XLOOKUP($C153,$BM$1:$BM$3,$BN$1:$BY$3),$BN$4:$BY$4),""),
"")</f>
        <v>0.22383468182936894</v>
      </c>
      <c r="BX153" s="8">
        <f>IF(_xlfn.XLOOKUP($B153,'ELC TECH'!$H:$H,'ELC TECH'!$E:$E)="Non Dispatchable",IFERROR($AX153*_xlfn.XLOOKUP($C153,$BM$1:$BM$3,BX$1:BX$3)/SUMPRODUCT(_xlfn.XLOOKUP($C153,$BM$1:$BM$3,$BN$1:$BY$3),$BN$4:$BY$4),""),
"")</f>
        <v>2.2383468182936895E-2</v>
      </c>
      <c r="BY153" s="8">
        <f>IF(_xlfn.XLOOKUP($B153,'ELC TECH'!$H:$H,'ELC TECH'!$E:$E)="Non Dispatchable",IFERROR($AX153*_xlfn.XLOOKUP($C153,$BM$1:$BM$3,BY$1:BY$3)/SUMPRODUCT(_xlfn.XLOOKUP($C153,$BM$1:$BM$3,$BN$1:$BY$3),$BN$4:$BY$4),""),
"")</f>
        <v>0.16361221357049505</v>
      </c>
      <c r="BZ153" s="8">
        <f>IF(_xlfn.XLOOKUP($B153,'ELC TECH'!$H:$H,'ELC TECH'!$E:$E)="Non Dispatchable",IFERROR($AX153*_xlfn.XLOOKUP($C153,$BM$1:$BM$3,BZ$1:BZ$3)/SUMPRODUCT(_xlfn.XLOOKUP($C153,$BM$1:$BM$3,$BN$1:$BY$3),$BN$4:$BY$4),""),
"")</f>
        <v>0.37144050043457405</v>
      </c>
      <c r="CA153" s="8">
        <f>IF(_xlfn.XLOOKUP($B153,'ELC TECH'!$H:$H,'ELC TECH'!$E:$E)="Non Dispatchable",IFERROR($AX153*_xlfn.XLOOKUP($C153,$BM$1:$BM$3,CA$1:CA$3)/SUMPRODUCT(_xlfn.XLOOKUP($C153,$BM$1:$BM$3,$BN$1:$BY$3),$BN$4:$BY$4),""),
"")</f>
        <v>0.37144050043457405</v>
      </c>
      <c r="CB153" s="8">
        <f>IF(_xlfn.XLOOKUP($B153,'ELC TECH'!$H:$H,'ELC TECH'!$E:$E)="Non Dispatchable",IFERROR($AX153*_xlfn.XLOOKUP($C153,$BM$1:$BM$3,CB$1:CB$3)/SUMPRODUCT(_xlfn.XLOOKUP($C153,$BM$1:$BM$3,$BN$1:$BY$3),$BN$4:$BY$4),""),
"")</f>
        <v>3.7144050043457402E-2</v>
      </c>
      <c r="CC153" s="8">
        <f>IF(_xlfn.XLOOKUP($B153,'ELC TECH'!$H:$H,'ELC TECH'!$E:$E)="Non Dispatchable",IFERROR($AX153*_xlfn.XLOOKUP($C153,$BM$1:$BM$3,CC$1:CC$3)/SUMPRODUCT(_xlfn.XLOOKUP($C153,$BM$1:$BM$3,$BN$1:$BY$3),$BN$4:$BY$4),""),
"")</f>
        <v>0.29761962110292295</v>
      </c>
      <c r="CD153" s="8">
        <f>IF(_xlfn.XLOOKUP($B153,'ELC TECH'!$H:$H,'ELC TECH'!$E:$E)="Non Dispatchable",IFERROR($AX153*_xlfn.XLOOKUP($C153,$BM$1:$BM$3,CD$1:CD$3)/SUMPRODUCT(_xlfn.XLOOKUP($C153,$BM$1:$BM$3,$BN$1:$BY$3),$BN$4:$BY$4),""),
"")</f>
        <v>0.43222167323295901</v>
      </c>
      <c r="CE153" s="8">
        <f>IF(_xlfn.XLOOKUP($B153,'ELC TECH'!$H:$H,'ELC TECH'!$E:$E)="Non Dispatchable",IFERROR($AX153*_xlfn.XLOOKUP($C153,$BM$1:$BM$3,CE$1:CE$3)/SUMPRODUCT(_xlfn.XLOOKUP($C153,$BM$1:$BM$3,$BN$1:$BY$3),$BN$4:$BY$4),""),
"")</f>
        <v>0.43222167323295901</v>
      </c>
      <c r="CF153" s="8">
        <f>IF(_xlfn.XLOOKUP($B153,'ELC TECH'!$H:$H,'ELC TECH'!$E:$E)="Non Dispatchable",IFERROR($AX153*_xlfn.XLOOKUP($C153,$BM$1:$BM$3,CF$1:CF$3)/SUMPRODUCT(_xlfn.XLOOKUP($C153,$BM$1:$BM$3,$BN$1:$BY$3),$BN$4:$BY$4),""),
"")</f>
        <v>4.3222167323295903E-2</v>
      </c>
      <c r="CG153" s="8">
        <f>IF(_xlfn.XLOOKUP($B153,'ELC TECH'!$H:$H,'ELC TECH'!$E:$E)="Non Dispatchable",IFERROR($AX153*_xlfn.XLOOKUP($C153,$BM$1:$BM$3,CG$1:CG$3)/SUMPRODUCT(_xlfn.XLOOKUP($C153,$BM$1:$BM$3,$BN$1:$BY$3),$BN$4:$BY$4),""),
"")</f>
        <v>0.38297725908377567</v>
      </c>
      <c r="CH153" s="8">
        <f>IF(_xlfn.XLOOKUP($B153,'ELC TECH'!$H:$H,'ELC TECH'!$E:$E)="Non Dispatchable",IFERROR($AX153*_xlfn.XLOOKUP($C153,$BM$1:$BM$3,CH$1:CH$3)/SUMPRODUCT(_xlfn.XLOOKUP($C153,$BM$1:$BM$3,$BN$1:$BY$3),$BN$4:$BY$4),""),
"")</f>
        <v>0.22383468182936894</v>
      </c>
      <c r="CI153" s="8">
        <f>IF(_xlfn.XLOOKUP($B153,'ELC TECH'!$H:$H,'ELC TECH'!$E:$E)="Non Dispatchable",IFERROR($AX153*_xlfn.XLOOKUP($C153,$BM$1:$BM$3,CI$1:CI$3)/SUMPRODUCT(_xlfn.XLOOKUP($C153,$BM$1:$BM$3,$BN$1:$BY$3),$BN$4:$BY$4),""),
"")</f>
        <v>0.22383468182936894</v>
      </c>
      <c r="CJ153" s="8">
        <f>IF(_xlfn.XLOOKUP($B153,'ELC TECH'!$H:$H,'ELC TECH'!$E:$E)="Non Dispatchable",IFERROR($AX153*_xlfn.XLOOKUP($C153,$BM$1:$BM$3,CJ$1:CJ$3)/SUMPRODUCT(_xlfn.XLOOKUP($C153,$BM$1:$BM$3,$BN$1:$BY$3),$BN$4:$BY$4),""),
"")</f>
        <v>2.2383468182936895E-2</v>
      </c>
      <c r="CK153" s="8">
        <f>IF(_xlfn.XLOOKUP($B153,'ELC TECH'!$H:$H,'ELC TECH'!$E:$E)="Non Dispatchable",IFERROR($AX153*_xlfn.XLOOKUP($C153,$BM$1:$BM$3,CK$1:CK$3)/SUMPRODUCT(_xlfn.XLOOKUP($C153,$BM$1:$BM$3,$BN$1:$BY$3),$BN$4:$BY$4),""),
"")</f>
        <v>0.16361221357049505</v>
      </c>
      <c r="CL153" s="8" t="str">
        <f>IF(_xlfn.XLOOKUP($B153,'ELC TECH'!$H:$H,'ELC TECH'!$E:$E)="Storage",CL$4*$BF153,"")</f>
        <v/>
      </c>
      <c r="CM153" s="8" t="str">
        <f>IF(_xlfn.XLOOKUP($B153,'ELC TECH'!$H:$H,'ELC TECH'!$E:$E)="Storage",CM$4*$BF153,"")</f>
        <v/>
      </c>
      <c r="CN153" s="8" t="str">
        <f>IF(_xlfn.XLOOKUP($B153,'ELC TECH'!$H:$H,'ELC TECH'!$E:$E)="Storage",CN$4*$BF153,"")</f>
        <v/>
      </c>
      <c r="CO153" s="8" t="str">
        <f>IF(_xlfn.XLOOKUP($B153,'ELC TECH'!$H:$H,'ELC TECH'!$E:$E)="Storage",CO$4*$BF153,"")</f>
        <v/>
      </c>
      <c r="CP153" s="8" t="str">
        <f>IF(_xlfn.XLOOKUP($B153,'ELC TECH'!$H:$H,'ELC TECH'!$E:$E)="Storage",CP$4*$BF153,"")</f>
        <v/>
      </c>
      <c r="CQ153" s="8" t="str">
        <f>IF(_xlfn.XLOOKUP($B153,'ELC TECH'!$H:$H,'ELC TECH'!$E:$E)="Storage",CQ$4*$BF153,"")</f>
        <v/>
      </c>
      <c r="CR153" s="8" t="str">
        <f>IF(_xlfn.XLOOKUP($B153,'ELC TECH'!$H:$H,'ELC TECH'!$E:$E)="Storage",CR$4*$BF153,"")</f>
        <v/>
      </c>
      <c r="CS153" s="8" t="str">
        <f>IF(_xlfn.XLOOKUP($B153,'ELC TECH'!$H:$H,'ELC TECH'!$E:$E)="Storage",CS$4*$BF153,"")</f>
        <v/>
      </c>
      <c r="CT153" s="8" t="str">
        <f>IF(_xlfn.XLOOKUP($B153,'ELC TECH'!$H:$H,'ELC TECH'!$E:$E)="Storage",CT$4*$BF153,"")</f>
        <v/>
      </c>
      <c r="CU153" s="8" t="str">
        <f>IF(_xlfn.XLOOKUP($B153,'ELC TECH'!$H:$H,'ELC TECH'!$E:$E)="Storage",CU$4*$BF153,"")</f>
        <v/>
      </c>
      <c r="CV153" s="8" t="str">
        <f>IF(_xlfn.XLOOKUP($B153,'ELC TECH'!$H:$H,'ELC TECH'!$E:$E)="Storage",CV$4*$BF153,"")</f>
        <v/>
      </c>
      <c r="CW153" s="8" t="str">
        <f>IF(_xlfn.XLOOKUP($B153,'ELC TECH'!$H:$H,'ELC TECH'!$E:$E)="Storage",CW$4*$BF153,"")</f>
        <v/>
      </c>
      <c r="CX153" s="8" t="str">
        <f>IF(_xlfn.XLOOKUP($B153,'ELC TECH'!$H:$H,'ELC TECH'!$E:$E)="Storage",CX$4*$BF153,"")</f>
        <v/>
      </c>
      <c r="CY153" s="8" t="str">
        <f>IF(_xlfn.XLOOKUP($B153,'ELC TECH'!$H:$H,'ELC TECH'!$E:$E)="Storage",CY$4*$BF153,"")</f>
        <v/>
      </c>
      <c r="CZ153" s="8" t="str">
        <f>IF(_xlfn.XLOOKUP($B153,'ELC TECH'!$H:$H,'ELC TECH'!$E:$E)="Storage",CZ$4*$BF153,"")</f>
        <v/>
      </c>
      <c r="DA153" s="8" t="str">
        <f>IF(_xlfn.XLOOKUP($B153,'ELC TECH'!$H:$H,'ELC TECH'!$E:$E)="Storage",DA$4*$BF153,"")</f>
        <v/>
      </c>
      <c r="DB153" s="8" t="str">
        <f>IF(_xlfn.XLOOKUP($B153,'ELC TECH'!$H:$H,'ELC TECH'!$E:$E)="Storage",DB$4*$BF153,"")</f>
        <v/>
      </c>
      <c r="DC153" s="8" t="str">
        <f>IF(_xlfn.XLOOKUP($B153,'ELC TECH'!$H:$H,'ELC TECH'!$E:$E)="Storage",DC$4*$BF153,"")</f>
        <v/>
      </c>
      <c r="DD153" s="8" t="str">
        <f>IF(_xlfn.XLOOKUP($B153,'ELC TECH'!$H:$H,'ELC TECH'!$E:$E)="Storage",DD$4*$BF153,"")</f>
        <v/>
      </c>
      <c r="DE153" s="8" t="str">
        <f>IF(_xlfn.XLOOKUP($B153,'ELC TECH'!$H:$H,'ELC TECH'!$E:$E)="Storage",DE$4*$BF153,"")</f>
        <v/>
      </c>
      <c r="DF153" s="8" t="str">
        <f>IF(_xlfn.XLOOKUP($B153,'ELC TECH'!$H:$H,'ELC TECH'!$E:$E)="Storage",DF$4*$BF153,"")</f>
        <v/>
      </c>
      <c r="DG153" s="8" t="str">
        <f>IF(_xlfn.XLOOKUP($B153,'ELC TECH'!$H:$H,'ELC TECH'!$E:$E)="Storage",DG$4*$BF153,"")</f>
        <v/>
      </c>
      <c r="DH153" s="8" t="str">
        <f>IF(_xlfn.XLOOKUP($B153,'ELC TECH'!$H:$H,'ELC TECH'!$E:$E)="Storage",DH$4*$BF153,"")</f>
        <v/>
      </c>
      <c r="DI153" s="8" t="str">
        <f>IF(_xlfn.XLOOKUP($B153,'ELC TECH'!$H:$H,'ELC TECH'!$E:$E)="Storage",DI$4*$BF153,"")</f>
        <v/>
      </c>
    </row>
    <row r="154" spans="2:113" x14ac:dyDescent="0.25">
      <c r="B154" t="str">
        <f>IF('ELC TECH'!I147=0,"*",'ELC TECH'!H147)</f>
        <v>ELCWNDDCERDWC1020</v>
      </c>
      <c r="C154" t="str">
        <f>IF(_xlfn.XLOOKUP(_xlfn.XLOOKUP(B154,'ELC TECH'!$H:$H,'ELC TECH'!$G:$G),List!C:C,List!B:B)="STG",D154,"ELC"&amp;_xlfn.XLOOKUP(_xlfn.XLOOKUP(B154,'ELC TECH'!H:H,'ELC TECH'!G:G),List!C:C,List!B:B))</f>
        <v>ELCWND</v>
      </c>
      <c r="D154" t="s">
        <v>544</v>
      </c>
      <c r="E154">
        <f>_xlfn.XLOOKUP(B154,'ELC TECH'!H:H,'ELC TECH'!D:D)</f>
        <v>2020</v>
      </c>
      <c r="F154">
        <f>_xlfn.XLOOKUP(B154,'ELC TECH'!H:H,'ELC TECH'!K:K)</f>
        <v>30</v>
      </c>
      <c r="G154">
        <f t="shared" si="8"/>
        <v>31.535999999999998</v>
      </c>
      <c r="H154">
        <f>IF(_xlfn.XLOOKUP(B154,'ELC TECH'!$H:$H,'ELC TECH'!$E:$E)="Storage",0.3,IF(_xlfn.XLOOKUP(B154,'ELC TECH'!$H:$H,'ELC TECH'!$E:$E)="Baseload",0.9,IF(_xlfn.XLOOKUP(B154,'ELC TECH'!$H:$H,'ELC TECH'!$E:$E)="Non Dispatchable",0.05,IF(_xlfn.XLOOKUP(B154,'ELC TECH'!$H:$H,'ELC TECH'!$E:$E)="Dispatchable",0.9,1))))</f>
        <v>0.05</v>
      </c>
      <c r="I154" s="13">
        <f>IF(_xlfn.XLOOKUP(B154,'ELC TECH'!H:H,'ELC TECH'!J:J)="","",_xlfn.XLOOKUP(B154,'ELC TECH'!H:H,'ELC TECH'!J:J))</f>
        <v>233.39318333333341</v>
      </c>
      <c r="J154" s="12">
        <f>IF(_xlfn.XLOOKUP($B154,'ELC TECH'!$H:$H,'ELC TECH'!$E:$E)="Storage","",IF(_xlfn.XLOOKUP($B154,'ELC TECH'!$H:$H,'ELC TECH'!AK:AK)="",1,_xlfn.XLOOKUP($B154,'ELC TECH'!$H:$H,'ELC TECH'!AK:AK)))</f>
        <v>1</v>
      </c>
      <c r="K154" s="12">
        <f>IF(_xlfn.XLOOKUP($B154,'ELC TECH'!$H:$H,'ELC TECH'!$E:$E)="Storage","",IF(_xlfn.XLOOKUP($B154,'ELC TECH'!$H:$H,'ELC TECH'!AL:AL)="",1,_xlfn.XLOOKUP($B154,'ELC TECH'!$H:$H,'ELC TECH'!AL:AL)))</f>
        <v>1</v>
      </c>
      <c r="L154" s="12">
        <f>IF(_xlfn.XLOOKUP($B154,'ELC TECH'!$H:$H,'ELC TECH'!$E:$E)="Storage","",IF(_xlfn.XLOOKUP($B154,'ELC TECH'!$H:$H,'ELC TECH'!AM:AM)="",1,_xlfn.XLOOKUP($B154,'ELC TECH'!$H:$H,'ELC TECH'!AM:AM)))</f>
        <v>1</v>
      </c>
      <c r="M154" s="12">
        <f>IF(_xlfn.XLOOKUP($B154,'ELC TECH'!$H:$H,'ELC TECH'!$E:$E)="Storage","",IF(_xlfn.XLOOKUP($B154,'ELC TECH'!$H:$H,'ELC TECH'!AN:AN)="",1,_xlfn.XLOOKUP($B154,'ELC TECH'!$H:$H,'ELC TECH'!AN:AN)))</f>
        <v>1</v>
      </c>
      <c r="N154" s="12">
        <f>IF(_xlfn.XLOOKUP($B154,'ELC TECH'!$H:$H,'ELC TECH'!$E:$E)="Storage","",IF(_xlfn.XLOOKUP($B154,'ELC TECH'!$H:$H,'ELC TECH'!AO:AO)="",1,_xlfn.XLOOKUP($B154,'ELC TECH'!$H:$H,'ELC TECH'!AO:AO)))</f>
        <v>1</v>
      </c>
      <c r="O154" s="12">
        <f>IF(_xlfn.XLOOKUP($B154,'ELC TECH'!$H:$H,'ELC TECH'!$E:$E)="Storage","",IF(_xlfn.XLOOKUP($B154,'ELC TECH'!$H:$H,'ELC TECH'!AP:AP)="",1,_xlfn.XLOOKUP($B154,'ELC TECH'!$H:$H,'ELC TECH'!AP:AP)))</f>
        <v>1</v>
      </c>
      <c r="P154" s="12">
        <f>IF(_xlfn.XLOOKUP($B154,'ELC TECH'!$H:$H,'ELC TECH'!$E:$E)="Storage","",IF(_xlfn.XLOOKUP($B154,'ELC TECH'!$H:$H,'ELC TECH'!AQ:AQ)="",1,_xlfn.XLOOKUP($B154,'ELC TECH'!$H:$H,'ELC TECH'!AQ:AQ)))</f>
        <v>1</v>
      </c>
      <c r="Q154" s="12">
        <f>IF(_xlfn.XLOOKUP($B154,'ELC TECH'!$H:$H,'ELC TECH'!$E:$E)="Storage","",IF(_xlfn.XLOOKUP($B154,'ELC TECH'!$H:$H,'ELC TECH'!AR:AR)="",1,_xlfn.XLOOKUP($B154,'ELC TECH'!$H:$H,'ELC TECH'!AR:AR)))</f>
        <v>1</v>
      </c>
      <c r="R154" s="12" t="str">
        <f>IF(_xlfn.XLOOKUP($B154,'ELC TECH'!$H:$H,'ELC TECH'!$E:$E)&lt;&gt;"Storage","",IF(_xlfn.XLOOKUP($B154,'ELC TECH'!$H:$H,'ELC TECH'!AK:AK)="",0.8,_xlfn.XLOOKUP($B154,'ELC TECH'!$H:$H,'ELC TECH'!AK:AK)))</f>
        <v/>
      </c>
      <c r="S154" s="12" t="str">
        <f>IF(_xlfn.XLOOKUP($B154,'ELC TECH'!$H:$H,'ELC TECH'!$E:$E)&lt;&gt;"Storage","",IF(_xlfn.XLOOKUP($B154,'ELC TECH'!$H:$H,'ELC TECH'!AL:AL)="",0.8,_xlfn.XLOOKUP($B154,'ELC TECH'!$H:$H,'ELC TECH'!AL:AL)))</f>
        <v/>
      </c>
      <c r="T154" s="12" t="str">
        <f>IF(_xlfn.XLOOKUP($B154,'ELC TECH'!$H:$H,'ELC TECH'!$E:$E)&lt;&gt;"Storage","",IF(_xlfn.XLOOKUP($B154,'ELC TECH'!$H:$H,'ELC TECH'!AM:AM)="",0.8,_xlfn.XLOOKUP($B154,'ELC TECH'!$H:$H,'ELC TECH'!AM:AM)))</f>
        <v/>
      </c>
      <c r="U154" s="12" t="str">
        <f>IF(_xlfn.XLOOKUP($B154,'ELC TECH'!$H:$H,'ELC TECH'!$E:$E)&lt;&gt;"Storage","",IF(_xlfn.XLOOKUP($B154,'ELC TECH'!$H:$H,'ELC TECH'!AN:AN)="",0.8,_xlfn.XLOOKUP($B154,'ELC TECH'!$H:$H,'ELC TECH'!AN:AN)))</f>
        <v/>
      </c>
      <c r="V154" s="12" t="str">
        <f>IF(_xlfn.XLOOKUP($B154,'ELC TECH'!$H:$H,'ELC TECH'!$E:$E)&lt;&gt;"Storage","",IF(_xlfn.XLOOKUP($B154,'ELC TECH'!$H:$H,'ELC TECH'!AO:AO)="",0.8,_xlfn.XLOOKUP($B154,'ELC TECH'!$H:$H,'ELC TECH'!AO:AO)))</f>
        <v/>
      </c>
      <c r="W154" s="12" t="str">
        <f>IF(_xlfn.XLOOKUP($B154,'ELC TECH'!$H:$H,'ELC TECH'!$E:$E)&lt;&gt;"Storage","",IF(_xlfn.XLOOKUP($B154,'ELC TECH'!$H:$H,'ELC TECH'!AP:AP)="",0.8,_xlfn.XLOOKUP($B154,'ELC TECH'!$H:$H,'ELC TECH'!AP:AP)))</f>
        <v/>
      </c>
      <c r="X154" s="12" t="str">
        <f>IF(_xlfn.XLOOKUP($B154,'ELC TECH'!$H:$H,'ELC TECH'!$E:$E)&lt;&gt;"Storage","",IF(_xlfn.XLOOKUP($B154,'ELC TECH'!$H:$H,'ELC TECH'!AQ:AQ)="",0.8,_xlfn.XLOOKUP($B154,'ELC TECH'!$H:$H,'ELC TECH'!AQ:AQ)))</f>
        <v/>
      </c>
      <c r="Y154" s="12" t="str">
        <f>IF(_xlfn.XLOOKUP($B154,'ELC TECH'!$H:$H,'ELC TECH'!$E:$E)&lt;&gt;"Storage","",IF(_xlfn.XLOOKUP($B154,'ELC TECH'!$H:$H,'ELC TECH'!AR:AR)="",0.8,_xlfn.XLOOKUP($B154,'ELC TECH'!$H:$H,'ELC TECH'!AR:AR)))</f>
        <v/>
      </c>
      <c r="Z154" s="15">
        <f>_xlfn.XLOOKUP($B154,'ELC TECH'!$H:$H,'ELC TECH'!M:M)</f>
        <v>6549.0142310829506</v>
      </c>
      <c r="AA154" s="15">
        <f>_xlfn.XLOOKUP($B154,'ELC TECH'!$H:$H,'ELC TECH'!N:N)</f>
        <v>6421.1425612343974</v>
      </c>
      <c r="AB154" s="15">
        <f>_xlfn.XLOOKUP($B154,'ELC TECH'!$H:$H,'ELC TECH'!O:O)</f>
        <v>3968.077175989039</v>
      </c>
      <c r="AC154" s="15">
        <f>_xlfn.XLOOKUP($B154,'ELC TECH'!$H:$H,'ELC TECH'!P:P)</f>
        <v>3222.0031734476329</v>
      </c>
      <c r="AD154" s="15">
        <f>_xlfn.XLOOKUP($B154,'ELC TECH'!$H:$H,'ELC TECH'!Q:Q)</f>
        <v>2629.692312978324</v>
      </c>
      <c r="AE154" s="15">
        <f>_xlfn.XLOOKUP($B154,'ELC TECH'!$H:$H,'ELC TECH'!R:R)</f>
        <v>2226.8699153391431</v>
      </c>
      <c r="AF154" s="15">
        <f>_xlfn.XLOOKUP($B154,'ELC TECH'!$H:$H,'ELC TECH'!S:S)</f>
        <v>1953.258376919596</v>
      </c>
      <c r="AG154" s="15">
        <f>_xlfn.XLOOKUP($B154,'ELC TECH'!$H:$H,'ELC TECH'!T:T)</f>
        <v>1953.258376919596</v>
      </c>
      <c r="AH154" s="15">
        <f>_xlfn.XLOOKUP($B154,'ELC TECH'!$H:$H,'ELC TECH'!U:U)</f>
        <v>41.27117929699714</v>
      </c>
      <c r="AI154" s="15">
        <f>_xlfn.XLOOKUP($B154,'ELC TECH'!$H:$H,'ELC TECH'!V:V)</f>
        <v>40.608188464916751</v>
      </c>
      <c r="AJ154" s="15">
        <f>_xlfn.XLOOKUP($B154,'ELC TECH'!$H:$H,'ELC TECH'!W:W)</f>
        <v>39.779449924816397</v>
      </c>
      <c r="AK154" s="15">
        <f>_xlfn.XLOOKUP($B154,'ELC TECH'!$H:$H,'ELC TECH'!X:X)</f>
        <v>39.157896019741258</v>
      </c>
      <c r="AL154" s="15">
        <f>_xlfn.XLOOKUP($B154,'ELC TECH'!$H:$H,'ELC TECH'!Y:Y)</f>
        <v>38.536342114665999</v>
      </c>
      <c r="AM154" s="15">
        <f>_xlfn.XLOOKUP($B154,'ELC TECH'!$H:$H,'ELC TECH'!Z:Z)</f>
        <v>37.914788209590739</v>
      </c>
      <c r="AN154" s="15">
        <f>_xlfn.XLOOKUP($B154,'ELC TECH'!$H:$H,'ELC TECH'!AA:AA)</f>
        <v>37.293234304515479</v>
      </c>
      <c r="AO154" s="15">
        <f>_xlfn.XLOOKUP($B154,'ELC TECH'!$H:$H,'ELC TECH'!AB:AB)</f>
        <v>37.293234304515479</v>
      </c>
      <c r="AP154" s="15">
        <f>_xlfn.XLOOKUP($B154,'ELC TECH'!$H:$H,'ELC TECH'!AC:AC)</f>
        <v>0</v>
      </c>
      <c r="AQ154" s="15">
        <f>_xlfn.XLOOKUP($B154,'ELC TECH'!$H:$H,'ELC TECH'!AD:AD)</f>
        <v>0</v>
      </c>
      <c r="AR154" s="15">
        <f>_xlfn.XLOOKUP($B154,'ELC TECH'!$H:$H,'ELC TECH'!AE:AE)</f>
        <v>0</v>
      </c>
      <c r="AS154" s="15">
        <f>_xlfn.XLOOKUP($B154,'ELC TECH'!$H:$H,'ELC TECH'!AF:AF)</f>
        <v>0</v>
      </c>
      <c r="AT154" s="15">
        <f>_xlfn.XLOOKUP($B154,'ELC TECH'!$H:$H,'ELC TECH'!AG:AG)</f>
        <v>0</v>
      </c>
      <c r="AU154" s="15">
        <f>_xlfn.XLOOKUP($B154,'ELC TECH'!$H:$H,'ELC TECH'!AH:AH)</f>
        <v>0</v>
      </c>
      <c r="AV154" s="15">
        <f>_xlfn.XLOOKUP($B154,'ELC TECH'!$H:$H,'ELC TECH'!AI:AI)</f>
        <v>0</v>
      </c>
      <c r="AW154" s="15">
        <f>_xlfn.XLOOKUP($B154,'ELC TECH'!$H:$H,'ELC TECH'!AJ:AJ)</f>
        <v>0</v>
      </c>
      <c r="AX154" s="12">
        <f>IF(_xlfn.XLOOKUP($B154,'ELC TECH'!$H:$H,'ELC TECH'!$E:$E)="Storage","",_xlfn.XLOOKUP($B154,'ELC TECH'!$H:$H,'ELC TECH'!AS:AS))</f>
        <v>0.18580307500000001</v>
      </c>
      <c r="AY154" s="12">
        <f>IF(_xlfn.XLOOKUP($B154,'ELC TECH'!$H:$H,'ELC TECH'!$E:$E)="Storage","",_xlfn.XLOOKUP($B154,'ELC TECH'!$H:$H,'ELC TECH'!AT:AT))</f>
        <v>0.19076037500000001</v>
      </c>
      <c r="AZ154" s="12">
        <f>IF(_xlfn.XLOOKUP($B154,'ELC TECH'!$H:$H,'ELC TECH'!$E:$E)="Storage","",_xlfn.XLOOKUP($B154,'ELC TECH'!$H:$H,'ELC TECH'!AU:AU))</f>
        <v>0.19695699999999999</v>
      </c>
      <c r="BA154" s="12">
        <f>IF(_xlfn.XLOOKUP($B154,'ELC TECH'!$H:$H,'ELC TECH'!$E:$E)="Storage","",_xlfn.XLOOKUP($B154,'ELC TECH'!$H:$H,'ELC TECH'!AV:AV))</f>
        <v>0.19695699999999999</v>
      </c>
      <c r="BB154" s="12">
        <f>IF(_xlfn.XLOOKUP($B154,'ELC TECH'!$H:$H,'ELC TECH'!$E:$E)="Storage","",_xlfn.XLOOKUP($B154,'ELC TECH'!$H:$H,'ELC TECH'!AW:AW))</f>
        <v>0.19695699999999999</v>
      </c>
      <c r="BC154" s="12">
        <f>IF(_xlfn.XLOOKUP($B154,'ELC TECH'!$H:$H,'ELC TECH'!$E:$E)="Storage","",_xlfn.XLOOKUP($B154,'ELC TECH'!$H:$H,'ELC TECH'!AX:AX))</f>
        <v>0.19695699999999999</v>
      </c>
      <c r="BD154" s="12">
        <f>IF(_xlfn.XLOOKUP($B154,'ELC TECH'!$H:$H,'ELC TECH'!$E:$E)="Storage","",_xlfn.XLOOKUP($B154,'ELC TECH'!$H:$H,'ELC TECH'!AY:AY))</f>
        <v>0.19695699999999999</v>
      </c>
      <c r="BE154" s="12">
        <f>IF(_xlfn.XLOOKUP($B154,'ELC TECH'!$H:$H,'ELC TECH'!$E:$E)="Storage","",_xlfn.XLOOKUP($B154,'ELC TECH'!$H:$H,'ELC TECH'!AZ:AZ))</f>
        <v>0.19695699999999999</v>
      </c>
      <c r="BF154" s="12" t="str">
        <f>IF(_xlfn.XLOOKUP($B154,'ELC TECH'!$H:$H,'ELC TECH'!$E:$E)="Storage",_xlfn.XLOOKUP($B154,'ELC TECH'!$H:$H,'ELC TECH'!AS:AS),"")</f>
        <v/>
      </c>
      <c r="BG154" s="12" t="str">
        <f>IF(_xlfn.XLOOKUP($B154,'ELC TECH'!$H:$H,'ELC TECH'!$E:$E)="Storage",_xlfn.XLOOKUP($B154,'ELC TECH'!$H:$H,'ELC TECH'!AT:AT),"")</f>
        <v/>
      </c>
      <c r="BH154" s="12" t="str">
        <f>IF(_xlfn.XLOOKUP($B154,'ELC TECH'!$H:$H,'ELC TECH'!$E:$E)="Storage",_xlfn.XLOOKUP($B154,'ELC TECH'!$H:$H,'ELC TECH'!AU:AU),"")</f>
        <v/>
      </c>
      <c r="BI154" s="12" t="str">
        <f>IF(_xlfn.XLOOKUP($B154,'ELC TECH'!$H:$H,'ELC TECH'!$E:$E)="Storage",_xlfn.XLOOKUP($B154,'ELC TECH'!$H:$H,'ELC TECH'!AV:AV),"")</f>
        <v/>
      </c>
      <c r="BJ154" s="12" t="str">
        <f>IF(_xlfn.XLOOKUP($B154,'ELC TECH'!$H:$H,'ELC TECH'!$E:$E)="Storage",_xlfn.XLOOKUP($B154,'ELC TECH'!$H:$H,'ELC TECH'!AW:AW),"")</f>
        <v/>
      </c>
      <c r="BK154" s="12" t="str">
        <f>IF(_xlfn.XLOOKUP($B154,'ELC TECH'!$H:$H,'ELC TECH'!$E:$E)="Storage",_xlfn.XLOOKUP($B154,'ELC TECH'!$H:$H,'ELC TECH'!AX:AX),"")</f>
        <v/>
      </c>
      <c r="BL154" s="12" t="str">
        <f>IF(_xlfn.XLOOKUP($B154,'ELC TECH'!$H:$H,'ELC TECH'!$E:$E)="Storage",_xlfn.XLOOKUP($B154,'ELC TECH'!$H:$H,'ELC TECH'!AY:AY),"")</f>
        <v/>
      </c>
      <c r="BM154" s="12" t="str">
        <f>IF(_xlfn.XLOOKUP($B154,'ELC TECH'!$H:$H,'ELC TECH'!$E:$E)="Storage",_xlfn.XLOOKUP($B154,'ELC TECH'!$H:$H,'ELC TECH'!AZ:AZ),"")</f>
        <v/>
      </c>
      <c r="BN154" s="8">
        <f>IF(_xlfn.XLOOKUP($B154,'ELC TECH'!$H:$H,'ELC TECH'!$E:$E)="Non Dispatchable",IFERROR($AX154*_xlfn.XLOOKUP($C154,$BM$1:$BM$3,BN$1:BN$3)/SUMPRODUCT(_xlfn.XLOOKUP($C154,$BM$1:$BM$3,$BN$1:$BY$3),$BN$4:$BY$4),""),
"")</f>
        <v>0.32627047870776682</v>
      </c>
      <c r="BO154" s="8">
        <f>IF(_xlfn.XLOOKUP($B154,'ELC TECH'!$H:$H,'ELC TECH'!$E:$E)="Non Dispatchable",IFERROR($AX154*_xlfn.XLOOKUP($C154,$BM$1:$BM$3,BO$1:BO$3)/SUMPRODUCT(_xlfn.XLOOKUP($C154,$BM$1:$BM$3,$BN$1:$BY$3),$BN$4:$BY$4),""),
"")</f>
        <v>0.32627047870776682</v>
      </c>
      <c r="BP154" s="8">
        <f>IF(_xlfn.XLOOKUP($B154,'ELC TECH'!$H:$H,'ELC TECH'!$E:$E)="Non Dispatchable",IFERROR($AX154*_xlfn.XLOOKUP($C154,$BM$1:$BM$3,BP$1:BP$3)/SUMPRODUCT(_xlfn.XLOOKUP($C154,$BM$1:$BM$3,$BN$1:$BY$3),$BN$4:$BY$4),""),
"")</f>
        <v>3.2627047870776686E-2</v>
      </c>
      <c r="BQ154" s="8">
        <f>IF(_xlfn.XLOOKUP($B154,'ELC TECH'!$H:$H,'ELC TECH'!$E:$E)="Non Dispatchable",IFERROR($AX154*_xlfn.XLOOKUP($C154,$BM$1:$BM$3,BQ$1:BQ$3)/SUMPRODUCT(_xlfn.XLOOKUP($C154,$BM$1:$BM$3,$BN$1:$BY$3),$BN$4:$BY$4),""),
"")</f>
        <v>0.26142678608408493</v>
      </c>
      <c r="BR154" s="8">
        <f>IF(_xlfn.XLOOKUP($B154,'ELC TECH'!$H:$H,'ELC TECH'!$E:$E)="Non Dispatchable",IFERROR($AX154*_xlfn.XLOOKUP($C154,$BM$1:$BM$3,BR$1:BR$3)/SUMPRODUCT(_xlfn.XLOOKUP($C154,$BM$1:$BM$3,$BN$1:$BY$3),$BN$4:$BY$4),""),
"")</f>
        <v>0.37966019340540147</v>
      </c>
      <c r="BS154" s="8">
        <f>IF(_xlfn.XLOOKUP($B154,'ELC TECH'!$H:$H,'ELC TECH'!$E:$E)="Non Dispatchable",IFERROR($AX154*_xlfn.XLOOKUP($C154,$BM$1:$BM$3,BS$1:BS$3)/SUMPRODUCT(_xlfn.XLOOKUP($C154,$BM$1:$BM$3,$BN$1:$BY$3),$BN$4:$BY$4),""),
"")</f>
        <v>0.37966019340540147</v>
      </c>
      <c r="BT154" s="8">
        <f>IF(_xlfn.XLOOKUP($B154,'ELC TECH'!$H:$H,'ELC TECH'!$E:$E)="Non Dispatchable",IFERROR($AX154*_xlfn.XLOOKUP($C154,$BM$1:$BM$3,BT$1:BT$3)/SUMPRODUCT(_xlfn.XLOOKUP($C154,$BM$1:$BM$3,$BN$1:$BY$3),$BN$4:$BY$4),""),
"")</f>
        <v>3.7966019340540148E-2</v>
      </c>
      <c r="BU154" s="8">
        <f>IF(_xlfn.XLOOKUP($B154,'ELC TECH'!$H:$H,'ELC TECH'!$E:$E)="Non Dispatchable",IFERROR($AX154*_xlfn.XLOOKUP($C154,$BM$1:$BM$3,BU$1:BU$3)/SUMPRODUCT(_xlfn.XLOOKUP($C154,$BM$1:$BM$3,$BN$1:$BY$3),$BN$4:$BY$4),""),
"")</f>
        <v>0.33640427877213003</v>
      </c>
      <c r="BV154" s="8">
        <f>IF(_xlfn.XLOOKUP($B154,'ELC TECH'!$H:$H,'ELC TECH'!$E:$E)="Non Dispatchable",IFERROR($AX154*_xlfn.XLOOKUP($C154,$BM$1:$BM$3,BV$1:BV$3)/SUMPRODUCT(_xlfn.XLOOKUP($C154,$BM$1:$BM$3,$BN$1:$BY$3),$BN$4:$BY$4),""),
"")</f>
        <v>0.19661466293100846</v>
      </c>
      <c r="BW154" s="8">
        <f>IF(_xlfn.XLOOKUP($B154,'ELC TECH'!$H:$H,'ELC TECH'!$E:$E)="Non Dispatchable",IFERROR($AX154*_xlfn.XLOOKUP($C154,$BM$1:$BM$3,BW$1:BW$3)/SUMPRODUCT(_xlfn.XLOOKUP($C154,$BM$1:$BM$3,$BN$1:$BY$3),$BN$4:$BY$4),""),
"")</f>
        <v>0.19661466293100846</v>
      </c>
      <c r="BX154" s="8">
        <f>IF(_xlfn.XLOOKUP($B154,'ELC TECH'!$H:$H,'ELC TECH'!$E:$E)="Non Dispatchable",IFERROR($AX154*_xlfn.XLOOKUP($C154,$BM$1:$BM$3,BX$1:BX$3)/SUMPRODUCT(_xlfn.XLOOKUP($C154,$BM$1:$BM$3,$BN$1:$BY$3),$BN$4:$BY$4),""),
"")</f>
        <v>1.9661466293100848E-2</v>
      </c>
      <c r="BY154" s="8">
        <f>IF(_xlfn.XLOOKUP($B154,'ELC TECH'!$H:$H,'ELC TECH'!$E:$E)="Non Dispatchable",IFERROR($AX154*_xlfn.XLOOKUP($C154,$BM$1:$BM$3,BY$1:BY$3)/SUMPRODUCT(_xlfn.XLOOKUP($C154,$BM$1:$BM$3,$BN$1:$BY$3),$BN$4:$BY$4),""),
"")</f>
        <v>0.14371571000369557</v>
      </c>
      <c r="BZ154" s="8">
        <f>IF(_xlfn.XLOOKUP($B154,'ELC TECH'!$H:$H,'ELC TECH'!$E:$E)="Non Dispatchable",IFERROR($AX154*_xlfn.XLOOKUP($C154,$BM$1:$BM$3,BZ$1:BZ$3)/SUMPRODUCT(_xlfn.XLOOKUP($C154,$BM$1:$BM$3,$BN$1:$BY$3),$BN$4:$BY$4),""),
"")</f>
        <v>0.32627047870776682</v>
      </c>
      <c r="CA154" s="8">
        <f>IF(_xlfn.XLOOKUP($B154,'ELC TECH'!$H:$H,'ELC TECH'!$E:$E)="Non Dispatchable",IFERROR($AX154*_xlfn.XLOOKUP($C154,$BM$1:$BM$3,CA$1:CA$3)/SUMPRODUCT(_xlfn.XLOOKUP($C154,$BM$1:$BM$3,$BN$1:$BY$3),$BN$4:$BY$4),""),
"")</f>
        <v>0.32627047870776682</v>
      </c>
      <c r="CB154" s="8">
        <f>IF(_xlfn.XLOOKUP($B154,'ELC TECH'!$H:$H,'ELC TECH'!$E:$E)="Non Dispatchable",IFERROR($AX154*_xlfn.XLOOKUP($C154,$BM$1:$BM$3,CB$1:CB$3)/SUMPRODUCT(_xlfn.XLOOKUP($C154,$BM$1:$BM$3,$BN$1:$BY$3),$BN$4:$BY$4),""),
"")</f>
        <v>3.2627047870776686E-2</v>
      </c>
      <c r="CC154" s="8">
        <f>IF(_xlfn.XLOOKUP($B154,'ELC TECH'!$H:$H,'ELC TECH'!$E:$E)="Non Dispatchable",IFERROR($AX154*_xlfn.XLOOKUP($C154,$BM$1:$BM$3,CC$1:CC$3)/SUMPRODUCT(_xlfn.XLOOKUP($C154,$BM$1:$BM$3,$BN$1:$BY$3),$BN$4:$BY$4),""),
"")</f>
        <v>0.26142678608408493</v>
      </c>
      <c r="CD154" s="8">
        <f>IF(_xlfn.XLOOKUP($B154,'ELC TECH'!$H:$H,'ELC TECH'!$E:$E)="Non Dispatchable",IFERROR($AX154*_xlfn.XLOOKUP($C154,$BM$1:$BM$3,CD$1:CD$3)/SUMPRODUCT(_xlfn.XLOOKUP($C154,$BM$1:$BM$3,$BN$1:$BY$3),$BN$4:$BY$4),""),
"")</f>
        <v>0.37966019340540147</v>
      </c>
      <c r="CE154" s="8">
        <f>IF(_xlfn.XLOOKUP($B154,'ELC TECH'!$H:$H,'ELC TECH'!$E:$E)="Non Dispatchable",IFERROR($AX154*_xlfn.XLOOKUP($C154,$BM$1:$BM$3,CE$1:CE$3)/SUMPRODUCT(_xlfn.XLOOKUP($C154,$BM$1:$BM$3,$BN$1:$BY$3),$BN$4:$BY$4),""),
"")</f>
        <v>0.37966019340540147</v>
      </c>
      <c r="CF154" s="8">
        <f>IF(_xlfn.XLOOKUP($B154,'ELC TECH'!$H:$H,'ELC TECH'!$E:$E)="Non Dispatchable",IFERROR($AX154*_xlfn.XLOOKUP($C154,$BM$1:$BM$3,CF$1:CF$3)/SUMPRODUCT(_xlfn.XLOOKUP($C154,$BM$1:$BM$3,$BN$1:$BY$3),$BN$4:$BY$4),""),
"")</f>
        <v>3.7966019340540148E-2</v>
      </c>
      <c r="CG154" s="8">
        <f>IF(_xlfn.XLOOKUP($B154,'ELC TECH'!$H:$H,'ELC TECH'!$E:$E)="Non Dispatchable",IFERROR($AX154*_xlfn.XLOOKUP($C154,$BM$1:$BM$3,CG$1:CG$3)/SUMPRODUCT(_xlfn.XLOOKUP($C154,$BM$1:$BM$3,$BN$1:$BY$3),$BN$4:$BY$4),""),
"")</f>
        <v>0.33640427877213003</v>
      </c>
      <c r="CH154" s="8">
        <f>IF(_xlfn.XLOOKUP($B154,'ELC TECH'!$H:$H,'ELC TECH'!$E:$E)="Non Dispatchable",IFERROR($AX154*_xlfn.XLOOKUP($C154,$BM$1:$BM$3,CH$1:CH$3)/SUMPRODUCT(_xlfn.XLOOKUP($C154,$BM$1:$BM$3,$BN$1:$BY$3),$BN$4:$BY$4),""),
"")</f>
        <v>0.19661466293100846</v>
      </c>
      <c r="CI154" s="8">
        <f>IF(_xlfn.XLOOKUP($B154,'ELC TECH'!$H:$H,'ELC TECH'!$E:$E)="Non Dispatchable",IFERROR($AX154*_xlfn.XLOOKUP($C154,$BM$1:$BM$3,CI$1:CI$3)/SUMPRODUCT(_xlfn.XLOOKUP($C154,$BM$1:$BM$3,$BN$1:$BY$3),$BN$4:$BY$4),""),
"")</f>
        <v>0.19661466293100846</v>
      </c>
      <c r="CJ154" s="8">
        <f>IF(_xlfn.XLOOKUP($B154,'ELC TECH'!$H:$H,'ELC TECH'!$E:$E)="Non Dispatchable",IFERROR($AX154*_xlfn.XLOOKUP($C154,$BM$1:$BM$3,CJ$1:CJ$3)/SUMPRODUCT(_xlfn.XLOOKUP($C154,$BM$1:$BM$3,$BN$1:$BY$3),$BN$4:$BY$4),""),
"")</f>
        <v>1.9661466293100848E-2</v>
      </c>
      <c r="CK154" s="8">
        <f>IF(_xlfn.XLOOKUP($B154,'ELC TECH'!$H:$H,'ELC TECH'!$E:$E)="Non Dispatchable",IFERROR($AX154*_xlfn.XLOOKUP($C154,$BM$1:$BM$3,CK$1:CK$3)/SUMPRODUCT(_xlfn.XLOOKUP($C154,$BM$1:$BM$3,$BN$1:$BY$3),$BN$4:$BY$4),""),
"")</f>
        <v>0.14371571000369557</v>
      </c>
      <c r="CL154" s="8" t="str">
        <f>IF(_xlfn.XLOOKUP($B154,'ELC TECH'!$H:$H,'ELC TECH'!$E:$E)="Storage",CL$4*$BF154,"")</f>
        <v/>
      </c>
      <c r="CM154" s="8" t="str">
        <f>IF(_xlfn.XLOOKUP($B154,'ELC TECH'!$H:$H,'ELC TECH'!$E:$E)="Storage",CM$4*$BF154,"")</f>
        <v/>
      </c>
      <c r="CN154" s="8" t="str">
        <f>IF(_xlfn.XLOOKUP($B154,'ELC TECH'!$H:$H,'ELC TECH'!$E:$E)="Storage",CN$4*$BF154,"")</f>
        <v/>
      </c>
      <c r="CO154" s="8" t="str">
        <f>IF(_xlfn.XLOOKUP($B154,'ELC TECH'!$H:$H,'ELC TECH'!$E:$E)="Storage",CO$4*$BF154,"")</f>
        <v/>
      </c>
      <c r="CP154" s="8" t="str">
        <f>IF(_xlfn.XLOOKUP($B154,'ELC TECH'!$H:$H,'ELC TECH'!$E:$E)="Storage",CP$4*$BF154,"")</f>
        <v/>
      </c>
      <c r="CQ154" s="8" t="str">
        <f>IF(_xlfn.XLOOKUP($B154,'ELC TECH'!$H:$H,'ELC TECH'!$E:$E)="Storage",CQ$4*$BF154,"")</f>
        <v/>
      </c>
      <c r="CR154" s="8" t="str">
        <f>IF(_xlfn.XLOOKUP($B154,'ELC TECH'!$H:$H,'ELC TECH'!$E:$E)="Storage",CR$4*$BF154,"")</f>
        <v/>
      </c>
      <c r="CS154" s="8" t="str">
        <f>IF(_xlfn.XLOOKUP($B154,'ELC TECH'!$H:$H,'ELC TECH'!$E:$E)="Storage",CS$4*$BF154,"")</f>
        <v/>
      </c>
      <c r="CT154" s="8" t="str">
        <f>IF(_xlfn.XLOOKUP($B154,'ELC TECH'!$H:$H,'ELC TECH'!$E:$E)="Storage",CT$4*$BF154,"")</f>
        <v/>
      </c>
      <c r="CU154" s="8" t="str">
        <f>IF(_xlfn.XLOOKUP($B154,'ELC TECH'!$H:$H,'ELC TECH'!$E:$E)="Storage",CU$4*$BF154,"")</f>
        <v/>
      </c>
      <c r="CV154" s="8" t="str">
        <f>IF(_xlfn.XLOOKUP($B154,'ELC TECH'!$H:$H,'ELC TECH'!$E:$E)="Storage",CV$4*$BF154,"")</f>
        <v/>
      </c>
      <c r="CW154" s="8" t="str">
        <f>IF(_xlfn.XLOOKUP($B154,'ELC TECH'!$H:$H,'ELC TECH'!$E:$E)="Storage",CW$4*$BF154,"")</f>
        <v/>
      </c>
      <c r="CX154" s="8" t="str">
        <f>IF(_xlfn.XLOOKUP($B154,'ELC TECH'!$H:$H,'ELC TECH'!$E:$E)="Storage",CX$4*$BF154,"")</f>
        <v/>
      </c>
      <c r="CY154" s="8" t="str">
        <f>IF(_xlfn.XLOOKUP($B154,'ELC TECH'!$H:$H,'ELC TECH'!$E:$E)="Storage",CY$4*$BF154,"")</f>
        <v/>
      </c>
      <c r="CZ154" s="8" t="str">
        <f>IF(_xlfn.XLOOKUP($B154,'ELC TECH'!$H:$H,'ELC TECH'!$E:$E)="Storage",CZ$4*$BF154,"")</f>
        <v/>
      </c>
      <c r="DA154" s="8" t="str">
        <f>IF(_xlfn.XLOOKUP($B154,'ELC TECH'!$H:$H,'ELC TECH'!$E:$E)="Storage",DA$4*$BF154,"")</f>
        <v/>
      </c>
      <c r="DB154" s="8" t="str">
        <f>IF(_xlfn.XLOOKUP($B154,'ELC TECH'!$H:$H,'ELC TECH'!$E:$E)="Storage",DB$4*$BF154,"")</f>
        <v/>
      </c>
      <c r="DC154" s="8" t="str">
        <f>IF(_xlfn.XLOOKUP($B154,'ELC TECH'!$H:$H,'ELC TECH'!$E:$E)="Storage",DC$4*$BF154,"")</f>
        <v/>
      </c>
      <c r="DD154" s="8" t="str">
        <f>IF(_xlfn.XLOOKUP($B154,'ELC TECH'!$H:$H,'ELC TECH'!$E:$E)="Storage",DD$4*$BF154,"")</f>
        <v/>
      </c>
      <c r="DE154" s="8" t="str">
        <f>IF(_xlfn.XLOOKUP($B154,'ELC TECH'!$H:$H,'ELC TECH'!$E:$E)="Storage",DE$4*$BF154,"")</f>
        <v/>
      </c>
      <c r="DF154" s="8" t="str">
        <f>IF(_xlfn.XLOOKUP($B154,'ELC TECH'!$H:$H,'ELC TECH'!$E:$E)="Storage",DF$4*$BF154,"")</f>
        <v/>
      </c>
      <c r="DG154" s="8" t="str">
        <f>IF(_xlfn.XLOOKUP($B154,'ELC TECH'!$H:$H,'ELC TECH'!$E:$E)="Storage",DG$4*$BF154,"")</f>
        <v/>
      </c>
      <c r="DH154" s="8" t="str">
        <f>IF(_xlfn.XLOOKUP($B154,'ELC TECH'!$H:$H,'ELC TECH'!$E:$E)="Storage",DH$4*$BF154,"")</f>
        <v/>
      </c>
      <c r="DI154" s="8" t="str">
        <f>IF(_xlfn.XLOOKUP($B154,'ELC TECH'!$H:$H,'ELC TECH'!$E:$E)="Storage",DI$4*$BF154,"")</f>
        <v/>
      </c>
    </row>
    <row r="155" spans="2:113" x14ac:dyDescent="0.25">
      <c r="B155" t="str">
        <f>IF('ELC TECH'!I148=0,"*",'ELC TECH'!H148)</f>
        <v>ELCWNDDCERDWC120</v>
      </c>
      <c r="C155" t="str">
        <f>IF(_xlfn.XLOOKUP(_xlfn.XLOOKUP(B155,'ELC TECH'!$H:$H,'ELC TECH'!$G:$G),List!C:C,List!B:B)="STG",D155,"ELC"&amp;_xlfn.XLOOKUP(_xlfn.XLOOKUP(B155,'ELC TECH'!H:H,'ELC TECH'!G:G),List!C:C,List!B:B))</f>
        <v>ELCWND</v>
      </c>
      <c r="D155" t="s">
        <v>544</v>
      </c>
      <c r="E155">
        <f>_xlfn.XLOOKUP(B155,'ELC TECH'!H:H,'ELC TECH'!D:D)</f>
        <v>2020</v>
      </c>
      <c r="F155">
        <f>_xlfn.XLOOKUP(B155,'ELC TECH'!H:H,'ELC TECH'!K:K)</f>
        <v>30</v>
      </c>
      <c r="G155">
        <f t="shared" si="8"/>
        <v>31.535999999999998</v>
      </c>
      <c r="H155">
        <f>IF(_xlfn.XLOOKUP(B155,'ELC TECH'!$H:$H,'ELC TECH'!$E:$E)="Storage",0.3,IF(_xlfn.XLOOKUP(B155,'ELC TECH'!$H:$H,'ELC TECH'!$E:$E)="Baseload",0.9,IF(_xlfn.XLOOKUP(B155,'ELC TECH'!$H:$H,'ELC TECH'!$E:$E)="Non Dispatchable",0.05,IF(_xlfn.XLOOKUP(B155,'ELC TECH'!$H:$H,'ELC TECH'!$E:$E)="Dispatchable",0.9,1))))</f>
        <v>0.05</v>
      </c>
      <c r="I155" s="13">
        <f>IF(_xlfn.XLOOKUP(B155,'ELC TECH'!H:H,'ELC TECH'!J:J)="","",_xlfn.XLOOKUP(B155,'ELC TECH'!H:H,'ELC TECH'!J:J))</f>
        <v>233.39318333333341</v>
      </c>
      <c r="J155" s="12">
        <f>IF(_xlfn.XLOOKUP($B155,'ELC TECH'!$H:$H,'ELC TECH'!$E:$E)="Storage","",IF(_xlfn.XLOOKUP($B155,'ELC TECH'!$H:$H,'ELC TECH'!AK:AK)="",1,_xlfn.XLOOKUP($B155,'ELC TECH'!$H:$H,'ELC TECH'!AK:AK)))</f>
        <v>1</v>
      </c>
      <c r="K155" s="12">
        <f>IF(_xlfn.XLOOKUP($B155,'ELC TECH'!$H:$H,'ELC TECH'!$E:$E)="Storage","",IF(_xlfn.XLOOKUP($B155,'ELC TECH'!$H:$H,'ELC TECH'!AL:AL)="",1,_xlfn.XLOOKUP($B155,'ELC TECH'!$H:$H,'ELC TECH'!AL:AL)))</f>
        <v>1</v>
      </c>
      <c r="L155" s="12">
        <f>IF(_xlfn.XLOOKUP($B155,'ELC TECH'!$H:$H,'ELC TECH'!$E:$E)="Storage","",IF(_xlfn.XLOOKUP($B155,'ELC TECH'!$H:$H,'ELC TECH'!AM:AM)="",1,_xlfn.XLOOKUP($B155,'ELC TECH'!$H:$H,'ELC TECH'!AM:AM)))</f>
        <v>1</v>
      </c>
      <c r="M155" s="12">
        <f>IF(_xlfn.XLOOKUP($B155,'ELC TECH'!$H:$H,'ELC TECH'!$E:$E)="Storage","",IF(_xlfn.XLOOKUP($B155,'ELC TECH'!$H:$H,'ELC TECH'!AN:AN)="",1,_xlfn.XLOOKUP($B155,'ELC TECH'!$H:$H,'ELC TECH'!AN:AN)))</f>
        <v>1</v>
      </c>
      <c r="N155" s="12">
        <f>IF(_xlfn.XLOOKUP($B155,'ELC TECH'!$H:$H,'ELC TECH'!$E:$E)="Storage","",IF(_xlfn.XLOOKUP($B155,'ELC TECH'!$H:$H,'ELC TECH'!AO:AO)="",1,_xlfn.XLOOKUP($B155,'ELC TECH'!$H:$H,'ELC TECH'!AO:AO)))</f>
        <v>1</v>
      </c>
      <c r="O155" s="12">
        <f>IF(_xlfn.XLOOKUP($B155,'ELC TECH'!$H:$H,'ELC TECH'!$E:$E)="Storage","",IF(_xlfn.XLOOKUP($B155,'ELC TECH'!$H:$H,'ELC TECH'!AP:AP)="",1,_xlfn.XLOOKUP($B155,'ELC TECH'!$H:$H,'ELC TECH'!AP:AP)))</f>
        <v>1</v>
      </c>
      <c r="P155" s="12">
        <f>IF(_xlfn.XLOOKUP($B155,'ELC TECH'!$H:$H,'ELC TECH'!$E:$E)="Storage","",IF(_xlfn.XLOOKUP($B155,'ELC TECH'!$H:$H,'ELC TECH'!AQ:AQ)="",1,_xlfn.XLOOKUP($B155,'ELC TECH'!$H:$H,'ELC TECH'!AQ:AQ)))</f>
        <v>1</v>
      </c>
      <c r="Q155" s="12">
        <f>IF(_xlfn.XLOOKUP($B155,'ELC TECH'!$H:$H,'ELC TECH'!$E:$E)="Storage","",IF(_xlfn.XLOOKUP($B155,'ELC TECH'!$H:$H,'ELC TECH'!AR:AR)="",1,_xlfn.XLOOKUP($B155,'ELC TECH'!$H:$H,'ELC TECH'!AR:AR)))</f>
        <v>1</v>
      </c>
      <c r="R155" s="12" t="str">
        <f>IF(_xlfn.XLOOKUP($B155,'ELC TECH'!$H:$H,'ELC TECH'!$E:$E)&lt;&gt;"Storage","",IF(_xlfn.XLOOKUP($B155,'ELC TECH'!$H:$H,'ELC TECH'!AK:AK)="",0.8,_xlfn.XLOOKUP($B155,'ELC TECH'!$H:$H,'ELC TECH'!AK:AK)))</f>
        <v/>
      </c>
      <c r="S155" s="12" t="str">
        <f>IF(_xlfn.XLOOKUP($B155,'ELC TECH'!$H:$H,'ELC TECH'!$E:$E)&lt;&gt;"Storage","",IF(_xlfn.XLOOKUP($B155,'ELC TECH'!$H:$H,'ELC TECH'!AL:AL)="",0.8,_xlfn.XLOOKUP($B155,'ELC TECH'!$H:$H,'ELC TECH'!AL:AL)))</f>
        <v/>
      </c>
      <c r="T155" s="12" t="str">
        <f>IF(_xlfn.XLOOKUP($B155,'ELC TECH'!$H:$H,'ELC TECH'!$E:$E)&lt;&gt;"Storage","",IF(_xlfn.XLOOKUP($B155,'ELC TECH'!$H:$H,'ELC TECH'!AM:AM)="",0.8,_xlfn.XLOOKUP($B155,'ELC TECH'!$H:$H,'ELC TECH'!AM:AM)))</f>
        <v/>
      </c>
      <c r="U155" s="12" t="str">
        <f>IF(_xlfn.XLOOKUP($B155,'ELC TECH'!$H:$H,'ELC TECH'!$E:$E)&lt;&gt;"Storage","",IF(_xlfn.XLOOKUP($B155,'ELC TECH'!$H:$H,'ELC TECH'!AN:AN)="",0.8,_xlfn.XLOOKUP($B155,'ELC TECH'!$H:$H,'ELC TECH'!AN:AN)))</f>
        <v/>
      </c>
      <c r="V155" s="12" t="str">
        <f>IF(_xlfn.XLOOKUP($B155,'ELC TECH'!$H:$H,'ELC TECH'!$E:$E)&lt;&gt;"Storage","",IF(_xlfn.XLOOKUP($B155,'ELC TECH'!$H:$H,'ELC TECH'!AO:AO)="",0.8,_xlfn.XLOOKUP($B155,'ELC TECH'!$H:$H,'ELC TECH'!AO:AO)))</f>
        <v/>
      </c>
      <c r="W155" s="12" t="str">
        <f>IF(_xlfn.XLOOKUP($B155,'ELC TECH'!$H:$H,'ELC TECH'!$E:$E)&lt;&gt;"Storage","",IF(_xlfn.XLOOKUP($B155,'ELC TECH'!$H:$H,'ELC TECH'!AP:AP)="",0.8,_xlfn.XLOOKUP($B155,'ELC TECH'!$H:$H,'ELC TECH'!AP:AP)))</f>
        <v/>
      </c>
      <c r="X155" s="12" t="str">
        <f>IF(_xlfn.XLOOKUP($B155,'ELC TECH'!$H:$H,'ELC TECH'!$E:$E)&lt;&gt;"Storage","",IF(_xlfn.XLOOKUP($B155,'ELC TECH'!$H:$H,'ELC TECH'!AQ:AQ)="",0.8,_xlfn.XLOOKUP($B155,'ELC TECH'!$H:$H,'ELC TECH'!AQ:AQ)))</f>
        <v/>
      </c>
      <c r="Y155" s="12" t="str">
        <f>IF(_xlfn.XLOOKUP($B155,'ELC TECH'!$H:$H,'ELC TECH'!$E:$E)&lt;&gt;"Storage","",IF(_xlfn.XLOOKUP($B155,'ELC TECH'!$H:$H,'ELC TECH'!AR:AR)="",0.8,_xlfn.XLOOKUP($B155,'ELC TECH'!$H:$H,'ELC TECH'!AR:AR)))</f>
        <v/>
      </c>
      <c r="Z155" s="15">
        <f>_xlfn.XLOOKUP($B155,'ELC TECH'!$H:$H,'ELC TECH'!M:M)</f>
        <v>6549.0142310829506</v>
      </c>
      <c r="AA155" s="15">
        <f>_xlfn.XLOOKUP($B155,'ELC TECH'!$H:$H,'ELC TECH'!N:N)</f>
        <v>6421.1425612343974</v>
      </c>
      <c r="AB155" s="15">
        <f>_xlfn.XLOOKUP($B155,'ELC TECH'!$H:$H,'ELC TECH'!O:O)</f>
        <v>3968.077175989039</v>
      </c>
      <c r="AC155" s="15">
        <f>_xlfn.XLOOKUP($B155,'ELC TECH'!$H:$H,'ELC TECH'!P:P)</f>
        <v>3222.0031734476329</v>
      </c>
      <c r="AD155" s="15">
        <f>_xlfn.XLOOKUP($B155,'ELC TECH'!$H:$H,'ELC TECH'!Q:Q)</f>
        <v>2629.692312978324</v>
      </c>
      <c r="AE155" s="15">
        <f>_xlfn.XLOOKUP($B155,'ELC TECH'!$H:$H,'ELC TECH'!R:R)</f>
        <v>2226.8699153391431</v>
      </c>
      <c r="AF155" s="15">
        <f>_xlfn.XLOOKUP($B155,'ELC TECH'!$H:$H,'ELC TECH'!S:S)</f>
        <v>1953.258376919596</v>
      </c>
      <c r="AG155" s="15">
        <f>_xlfn.XLOOKUP($B155,'ELC TECH'!$H:$H,'ELC TECH'!T:T)</f>
        <v>1953.258376919596</v>
      </c>
      <c r="AH155" s="15">
        <f>_xlfn.XLOOKUP($B155,'ELC TECH'!$H:$H,'ELC TECH'!U:U)</f>
        <v>41.27117929699714</v>
      </c>
      <c r="AI155" s="15">
        <f>_xlfn.XLOOKUP($B155,'ELC TECH'!$H:$H,'ELC TECH'!V:V)</f>
        <v>40.608188464916751</v>
      </c>
      <c r="AJ155" s="15">
        <f>_xlfn.XLOOKUP($B155,'ELC TECH'!$H:$H,'ELC TECH'!W:W)</f>
        <v>39.779449924816397</v>
      </c>
      <c r="AK155" s="15">
        <f>_xlfn.XLOOKUP($B155,'ELC TECH'!$H:$H,'ELC TECH'!X:X)</f>
        <v>39.157896019741258</v>
      </c>
      <c r="AL155" s="15">
        <f>_xlfn.XLOOKUP($B155,'ELC TECH'!$H:$H,'ELC TECH'!Y:Y)</f>
        <v>38.536342114665999</v>
      </c>
      <c r="AM155" s="15">
        <f>_xlfn.XLOOKUP($B155,'ELC TECH'!$H:$H,'ELC TECH'!Z:Z)</f>
        <v>37.914788209590739</v>
      </c>
      <c r="AN155" s="15">
        <f>_xlfn.XLOOKUP($B155,'ELC TECH'!$H:$H,'ELC TECH'!AA:AA)</f>
        <v>37.293234304515479</v>
      </c>
      <c r="AO155" s="15">
        <f>_xlfn.XLOOKUP($B155,'ELC TECH'!$H:$H,'ELC TECH'!AB:AB)</f>
        <v>37.293234304515479</v>
      </c>
      <c r="AP155" s="15">
        <f>_xlfn.XLOOKUP($B155,'ELC TECH'!$H:$H,'ELC TECH'!AC:AC)</f>
        <v>0</v>
      </c>
      <c r="AQ155" s="15">
        <f>_xlfn.XLOOKUP($B155,'ELC TECH'!$H:$H,'ELC TECH'!AD:AD)</f>
        <v>0</v>
      </c>
      <c r="AR155" s="15">
        <f>_xlfn.XLOOKUP($B155,'ELC TECH'!$H:$H,'ELC TECH'!AE:AE)</f>
        <v>0</v>
      </c>
      <c r="AS155" s="15">
        <f>_xlfn.XLOOKUP($B155,'ELC TECH'!$H:$H,'ELC TECH'!AF:AF)</f>
        <v>0</v>
      </c>
      <c r="AT155" s="15">
        <f>_xlfn.XLOOKUP($B155,'ELC TECH'!$H:$H,'ELC TECH'!AG:AG)</f>
        <v>0</v>
      </c>
      <c r="AU155" s="15">
        <f>_xlfn.XLOOKUP($B155,'ELC TECH'!$H:$H,'ELC TECH'!AH:AH)</f>
        <v>0</v>
      </c>
      <c r="AV155" s="15">
        <f>_xlfn.XLOOKUP($B155,'ELC TECH'!$H:$H,'ELC TECH'!AI:AI)</f>
        <v>0</v>
      </c>
      <c r="AW155" s="15">
        <f>_xlfn.XLOOKUP($B155,'ELC TECH'!$H:$H,'ELC TECH'!AJ:AJ)</f>
        <v>0</v>
      </c>
      <c r="AX155" s="12">
        <f>IF(_xlfn.XLOOKUP($B155,'ELC TECH'!$H:$H,'ELC TECH'!$E:$E)="Storage","",_xlfn.XLOOKUP($B155,'ELC TECH'!$H:$H,'ELC TECH'!AS:AS))</f>
        <v>0.39758969999999999</v>
      </c>
      <c r="AY155" s="12">
        <f>IF(_xlfn.XLOOKUP($B155,'ELC TECH'!$H:$H,'ELC TECH'!$E:$E)="Storage","",_xlfn.XLOOKUP($B155,'ELC TECH'!$H:$H,'ELC TECH'!AT:AT))</f>
        <v>0.44041649999999999</v>
      </c>
      <c r="AZ155" s="12">
        <f>IF(_xlfn.XLOOKUP($B155,'ELC TECH'!$H:$H,'ELC TECH'!$E:$E)="Storage","",_xlfn.XLOOKUP($B155,'ELC TECH'!$H:$H,'ELC TECH'!AU:AU))</f>
        <v>0.49395</v>
      </c>
      <c r="BA155" s="12">
        <f>IF(_xlfn.XLOOKUP($B155,'ELC TECH'!$H:$H,'ELC TECH'!$E:$E)="Storage","",_xlfn.XLOOKUP($B155,'ELC TECH'!$H:$H,'ELC TECH'!AV:AV))</f>
        <v>0.49395</v>
      </c>
      <c r="BB155" s="12">
        <f>IF(_xlfn.XLOOKUP($B155,'ELC TECH'!$H:$H,'ELC TECH'!$E:$E)="Storage","",_xlfn.XLOOKUP($B155,'ELC TECH'!$H:$H,'ELC TECH'!AW:AW))</f>
        <v>0.49395</v>
      </c>
      <c r="BC155" s="12">
        <f>IF(_xlfn.XLOOKUP($B155,'ELC TECH'!$H:$H,'ELC TECH'!$E:$E)="Storage","",_xlfn.XLOOKUP($B155,'ELC TECH'!$H:$H,'ELC TECH'!AX:AX))</f>
        <v>0.49395</v>
      </c>
      <c r="BD155" s="12">
        <f>IF(_xlfn.XLOOKUP($B155,'ELC TECH'!$H:$H,'ELC TECH'!$E:$E)="Storage","",_xlfn.XLOOKUP($B155,'ELC TECH'!$H:$H,'ELC TECH'!AY:AY))</f>
        <v>0.49395</v>
      </c>
      <c r="BE155" s="12">
        <f>IF(_xlfn.XLOOKUP($B155,'ELC TECH'!$H:$H,'ELC TECH'!$E:$E)="Storage","",_xlfn.XLOOKUP($B155,'ELC TECH'!$H:$H,'ELC TECH'!AZ:AZ))</f>
        <v>0.49395</v>
      </c>
      <c r="BF155" s="12" t="str">
        <f>IF(_xlfn.XLOOKUP($B155,'ELC TECH'!$H:$H,'ELC TECH'!$E:$E)="Storage",_xlfn.XLOOKUP($B155,'ELC TECH'!$H:$H,'ELC TECH'!AS:AS),"")</f>
        <v/>
      </c>
      <c r="BG155" s="12" t="str">
        <f>IF(_xlfn.XLOOKUP($B155,'ELC TECH'!$H:$H,'ELC TECH'!$E:$E)="Storage",_xlfn.XLOOKUP($B155,'ELC TECH'!$H:$H,'ELC TECH'!AT:AT),"")</f>
        <v/>
      </c>
      <c r="BH155" s="12" t="str">
        <f>IF(_xlfn.XLOOKUP($B155,'ELC TECH'!$H:$H,'ELC TECH'!$E:$E)="Storage",_xlfn.XLOOKUP($B155,'ELC TECH'!$H:$H,'ELC TECH'!AU:AU),"")</f>
        <v/>
      </c>
      <c r="BI155" s="12" t="str">
        <f>IF(_xlfn.XLOOKUP($B155,'ELC TECH'!$H:$H,'ELC TECH'!$E:$E)="Storage",_xlfn.XLOOKUP($B155,'ELC TECH'!$H:$H,'ELC TECH'!AV:AV),"")</f>
        <v/>
      </c>
      <c r="BJ155" s="12" t="str">
        <f>IF(_xlfn.XLOOKUP($B155,'ELC TECH'!$H:$H,'ELC TECH'!$E:$E)="Storage",_xlfn.XLOOKUP($B155,'ELC TECH'!$H:$H,'ELC TECH'!AW:AW),"")</f>
        <v/>
      </c>
      <c r="BK155" s="12" t="str">
        <f>IF(_xlfn.XLOOKUP($B155,'ELC TECH'!$H:$H,'ELC TECH'!$E:$E)="Storage",_xlfn.XLOOKUP($B155,'ELC TECH'!$H:$H,'ELC TECH'!AX:AX),"")</f>
        <v/>
      </c>
      <c r="BL155" s="12" t="str">
        <f>IF(_xlfn.XLOOKUP($B155,'ELC TECH'!$H:$H,'ELC TECH'!$E:$E)="Storage",_xlfn.XLOOKUP($B155,'ELC TECH'!$H:$H,'ELC TECH'!AY:AY),"")</f>
        <v/>
      </c>
      <c r="BM155" s="12" t="str">
        <f>IF(_xlfn.XLOOKUP($B155,'ELC TECH'!$H:$H,'ELC TECH'!$E:$E)="Storage",_xlfn.XLOOKUP($B155,'ELC TECH'!$H:$H,'ELC TECH'!AZ:AZ),"")</f>
        <v/>
      </c>
      <c r="BN155" s="8">
        <f>IF(_xlfn.XLOOKUP($B155,'ELC TECH'!$H:$H,'ELC TECH'!$E:$E)="Non Dispatchable",IFERROR($AX155*_xlfn.XLOOKUP($C155,$BM$1:$BM$3,BN$1:BN$3)/SUMPRODUCT(_xlfn.XLOOKUP($C155,$BM$1:$BM$3,$BN$1:$BY$3),$BN$4:$BY$4),""),
"")</f>
        <v>0.6981681102332532</v>
      </c>
      <c r="BO155" s="8">
        <f>IF(_xlfn.XLOOKUP($B155,'ELC TECH'!$H:$H,'ELC TECH'!$E:$E)="Non Dispatchable",IFERROR($AX155*_xlfn.XLOOKUP($C155,$BM$1:$BM$3,BO$1:BO$3)/SUMPRODUCT(_xlfn.XLOOKUP($C155,$BM$1:$BM$3,$BN$1:$BY$3),$BN$4:$BY$4),""),
"")</f>
        <v>0.6981681102332532</v>
      </c>
      <c r="BP155" s="8">
        <f>IF(_xlfn.XLOOKUP($B155,'ELC TECH'!$H:$H,'ELC TECH'!$E:$E)="Non Dispatchable",IFERROR($AX155*_xlfn.XLOOKUP($C155,$BM$1:$BM$3,BP$1:BP$3)/SUMPRODUCT(_xlfn.XLOOKUP($C155,$BM$1:$BM$3,$BN$1:$BY$3),$BN$4:$BY$4),""),
"")</f>
        <v>6.9816811023325306E-2</v>
      </c>
      <c r="BQ155" s="8">
        <f>IF(_xlfn.XLOOKUP($B155,'ELC TECH'!$H:$H,'ELC TECH'!$E:$E)="Non Dispatchable",IFERROR($AX155*_xlfn.XLOOKUP($C155,$BM$1:$BM$3,BQ$1:BQ$3)/SUMPRODUCT(_xlfn.XLOOKUP($C155,$BM$1:$BM$3,$BN$1:$BY$3),$BN$4:$BY$4),""),
"")</f>
        <v>0.55941268706739922</v>
      </c>
      <c r="BR155" s="8">
        <f>IF(_xlfn.XLOOKUP($B155,'ELC TECH'!$H:$H,'ELC TECH'!$E:$E)="Non Dispatchable",IFERROR($AX155*_xlfn.XLOOKUP($C155,$BM$1:$BM$3,BR$1:BR$3)/SUMPRODUCT(_xlfn.XLOOKUP($C155,$BM$1:$BM$3,$BN$1:$BY$3),$BN$4:$BY$4),""),
"")</f>
        <v>0.81241380099869465</v>
      </c>
      <c r="BS155" s="8">
        <f>IF(_xlfn.XLOOKUP($B155,'ELC TECH'!$H:$H,'ELC TECH'!$E:$E)="Non Dispatchable",IFERROR($AX155*_xlfn.XLOOKUP($C155,$BM$1:$BM$3,BS$1:BS$3)/SUMPRODUCT(_xlfn.XLOOKUP($C155,$BM$1:$BM$3,$BN$1:$BY$3),$BN$4:$BY$4),""),
"")</f>
        <v>0.81241380099869465</v>
      </c>
      <c r="BT155" s="8">
        <f>IF(_xlfn.XLOOKUP($B155,'ELC TECH'!$H:$H,'ELC TECH'!$E:$E)="Non Dispatchable",IFERROR($AX155*_xlfn.XLOOKUP($C155,$BM$1:$BM$3,BT$1:BT$3)/SUMPRODUCT(_xlfn.XLOOKUP($C155,$BM$1:$BM$3,$BN$1:$BY$3),$BN$4:$BY$4),""),
"")</f>
        <v>8.1241380099869476E-2</v>
      </c>
      <c r="BU155" s="8">
        <f>IF(_xlfn.XLOOKUP($B155,'ELC TECH'!$H:$H,'ELC TECH'!$E:$E)="Non Dispatchable",IFERROR($AX155*_xlfn.XLOOKUP($C155,$BM$1:$BM$3,BU$1:BU$3)/SUMPRODUCT(_xlfn.XLOOKUP($C155,$BM$1:$BM$3,$BN$1:$BY$3),$BN$4:$BY$4),""),
"")</f>
        <v>0.71985286721292163</v>
      </c>
      <c r="BV155" s="8">
        <f>IF(_xlfn.XLOOKUP($B155,'ELC TECH'!$H:$H,'ELC TECH'!$E:$E)="Non Dispatchable",IFERROR($AX155*_xlfn.XLOOKUP($C155,$BM$1:$BM$3,BV$1:BV$3)/SUMPRODUCT(_xlfn.XLOOKUP($C155,$BM$1:$BM$3,$BN$1:$BY$3),$BN$4:$BY$4),""),
"")</f>
        <v>0.42072481766160635</v>
      </c>
      <c r="BW155" s="8">
        <f>IF(_xlfn.XLOOKUP($B155,'ELC TECH'!$H:$H,'ELC TECH'!$E:$E)="Non Dispatchable",IFERROR($AX155*_xlfn.XLOOKUP($C155,$BM$1:$BM$3,BW$1:BW$3)/SUMPRODUCT(_xlfn.XLOOKUP($C155,$BM$1:$BM$3,$BN$1:$BY$3),$BN$4:$BY$4),""),
"")</f>
        <v>0.42072481766160635</v>
      </c>
      <c r="BX155" s="8">
        <f>IF(_xlfn.XLOOKUP($B155,'ELC TECH'!$H:$H,'ELC TECH'!$E:$E)="Non Dispatchable",IFERROR($AX155*_xlfn.XLOOKUP($C155,$BM$1:$BM$3,BX$1:BX$3)/SUMPRODUCT(_xlfn.XLOOKUP($C155,$BM$1:$BM$3,$BN$1:$BY$3),$BN$4:$BY$4),""),
"")</f>
        <v>4.207248176616063E-2</v>
      </c>
      <c r="BY155" s="8">
        <f>IF(_xlfn.XLOOKUP($B155,'ELC TECH'!$H:$H,'ELC TECH'!$E:$E)="Non Dispatchable",IFERROR($AX155*_xlfn.XLOOKUP($C155,$BM$1:$BM$3,BY$1:BY$3)/SUMPRODUCT(_xlfn.XLOOKUP($C155,$BM$1:$BM$3,$BN$1:$BY$3),$BN$4:$BY$4),""),
"")</f>
        <v>0.30752928080257186</v>
      </c>
      <c r="BZ155" s="8">
        <f>IF(_xlfn.XLOOKUP($B155,'ELC TECH'!$H:$H,'ELC TECH'!$E:$E)="Non Dispatchable",IFERROR($AX155*_xlfn.XLOOKUP($C155,$BM$1:$BM$3,BZ$1:BZ$3)/SUMPRODUCT(_xlfn.XLOOKUP($C155,$BM$1:$BM$3,$BN$1:$BY$3),$BN$4:$BY$4),""),
"")</f>
        <v>0.6981681102332532</v>
      </c>
      <c r="CA155" s="8">
        <f>IF(_xlfn.XLOOKUP($B155,'ELC TECH'!$H:$H,'ELC TECH'!$E:$E)="Non Dispatchable",IFERROR($AX155*_xlfn.XLOOKUP($C155,$BM$1:$BM$3,CA$1:CA$3)/SUMPRODUCT(_xlfn.XLOOKUP($C155,$BM$1:$BM$3,$BN$1:$BY$3),$BN$4:$BY$4),""),
"")</f>
        <v>0.6981681102332532</v>
      </c>
      <c r="CB155" s="8">
        <f>IF(_xlfn.XLOOKUP($B155,'ELC TECH'!$H:$H,'ELC TECH'!$E:$E)="Non Dispatchable",IFERROR($AX155*_xlfn.XLOOKUP($C155,$BM$1:$BM$3,CB$1:CB$3)/SUMPRODUCT(_xlfn.XLOOKUP($C155,$BM$1:$BM$3,$BN$1:$BY$3),$BN$4:$BY$4),""),
"")</f>
        <v>6.9816811023325306E-2</v>
      </c>
      <c r="CC155" s="8">
        <f>IF(_xlfn.XLOOKUP($B155,'ELC TECH'!$H:$H,'ELC TECH'!$E:$E)="Non Dispatchable",IFERROR($AX155*_xlfn.XLOOKUP($C155,$BM$1:$BM$3,CC$1:CC$3)/SUMPRODUCT(_xlfn.XLOOKUP($C155,$BM$1:$BM$3,$BN$1:$BY$3),$BN$4:$BY$4),""),
"")</f>
        <v>0.55941268706739922</v>
      </c>
      <c r="CD155" s="8">
        <f>IF(_xlfn.XLOOKUP($B155,'ELC TECH'!$H:$H,'ELC TECH'!$E:$E)="Non Dispatchable",IFERROR($AX155*_xlfn.XLOOKUP($C155,$BM$1:$BM$3,CD$1:CD$3)/SUMPRODUCT(_xlfn.XLOOKUP($C155,$BM$1:$BM$3,$BN$1:$BY$3),$BN$4:$BY$4),""),
"")</f>
        <v>0.81241380099869465</v>
      </c>
      <c r="CE155" s="8">
        <f>IF(_xlfn.XLOOKUP($B155,'ELC TECH'!$H:$H,'ELC TECH'!$E:$E)="Non Dispatchable",IFERROR($AX155*_xlfn.XLOOKUP($C155,$BM$1:$BM$3,CE$1:CE$3)/SUMPRODUCT(_xlfn.XLOOKUP($C155,$BM$1:$BM$3,$BN$1:$BY$3),$BN$4:$BY$4),""),
"")</f>
        <v>0.81241380099869465</v>
      </c>
      <c r="CF155" s="8">
        <f>IF(_xlfn.XLOOKUP($B155,'ELC TECH'!$H:$H,'ELC TECH'!$E:$E)="Non Dispatchable",IFERROR($AX155*_xlfn.XLOOKUP($C155,$BM$1:$BM$3,CF$1:CF$3)/SUMPRODUCT(_xlfn.XLOOKUP($C155,$BM$1:$BM$3,$BN$1:$BY$3),$BN$4:$BY$4),""),
"")</f>
        <v>8.1241380099869476E-2</v>
      </c>
      <c r="CG155" s="8">
        <f>IF(_xlfn.XLOOKUP($B155,'ELC TECH'!$H:$H,'ELC TECH'!$E:$E)="Non Dispatchable",IFERROR($AX155*_xlfn.XLOOKUP($C155,$BM$1:$BM$3,CG$1:CG$3)/SUMPRODUCT(_xlfn.XLOOKUP($C155,$BM$1:$BM$3,$BN$1:$BY$3),$BN$4:$BY$4),""),
"")</f>
        <v>0.71985286721292163</v>
      </c>
      <c r="CH155" s="8">
        <f>IF(_xlfn.XLOOKUP($B155,'ELC TECH'!$H:$H,'ELC TECH'!$E:$E)="Non Dispatchable",IFERROR($AX155*_xlfn.XLOOKUP($C155,$BM$1:$BM$3,CH$1:CH$3)/SUMPRODUCT(_xlfn.XLOOKUP($C155,$BM$1:$BM$3,$BN$1:$BY$3),$BN$4:$BY$4),""),
"")</f>
        <v>0.42072481766160635</v>
      </c>
      <c r="CI155" s="8">
        <f>IF(_xlfn.XLOOKUP($B155,'ELC TECH'!$H:$H,'ELC TECH'!$E:$E)="Non Dispatchable",IFERROR($AX155*_xlfn.XLOOKUP($C155,$BM$1:$BM$3,CI$1:CI$3)/SUMPRODUCT(_xlfn.XLOOKUP($C155,$BM$1:$BM$3,$BN$1:$BY$3),$BN$4:$BY$4),""),
"")</f>
        <v>0.42072481766160635</v>
      </c>
      <c r="CJ155" s="8">
        <f>IF(_xlfn.XLOOKUP($B155,'ELC TECH'!$H:$H,'ELC TECH'!$E:$E)="Non Dispatchable",IFERROR($AX155*_xlfn.XLOOKUP($C155,$BM$1:$BM$3,CJ$1:CJ$3)/SUMPRODUCT(_xlfn.XLOOKUP($C155,$BM$1:$BM$3,$BN$1:$BY$3),$BN$4:$BY$4),""),
"")</f>
        <v>4.207248176616063E-2</v>
      </c>
      <c r="CK155" s="8">
        <f>IF(_xlfn.XLOOKUP($B155,'ELC TECH'!$H:$H,'ELC TECH'!$E:$E)="Non Dispatchable",IFERROR($AX155*_xlfn.XLOOKUP($C155,$BM$1:$BM$3,CK$1:CK$3)/SUMPRODUCT(_xlfn.XLOOKUP($C155,$BM$1:$BM$3,$BN$1:$BY$3),$BN$4:$BY$4),""),
"")</f>
        <v>0.30752928080257186</v>
      </c>
      <c r="CL155" s="8" t="str">
        <f>IF(_xlfn.XLOOKUP($B155,'ELC TECH'!$H:$H,'ELC TECH'!$E:$E)="Storage",CL$4*$BF155,"")</f>
        <v/>
      </c>
      <c r="CM155" s="8" t="str">
        <f>IF(_xlfn.XLOOKUP($B155,'ELC TECH'!$H:$H,'ELC TECH'!$E:$E)="Storage",CM$4*$BF155,"")</f>
        <v/>
      </c>
      <c r="CN155" s="8" t="str">
        <f>IF(_xlfn.XLOOKUP($B155,'ELC TECH'!$H:$H,'ELC TECH'!$E:$E)="Storage",CN$4*$BF155,"")</f>
        <v/>
      </c>
      <c r="CO155" s="8" t="str">
        <f>IF(_xlfn.XLOOKUP($B155,'ELC TECH'!$H:$H,'ELC TECH'!$E:$E)="Storage",CO$4*$BF155,"")</f>
        <v/>
      </c>
      <c r="CP155" s="8" t="str">
        <f>IF(_xlfn.XLOOKUP($B155,'ELC TECH'!$H:$H,'ELC TECH'!$E:$E)="Storage",CP$4*$BF155,"")</f>
        <v/>
      </c>
      <c r="CQ155" s="8" t="str">
        <f>IF(_xlfn.XLOOKUP($B155,'ELC TECH'!$H:$H,'ELC TECH'!$E:$E)="Storage",CQ$4*$BF155,"")</f>
        <v/>
      </c>
      <c r="CR155" s="8" t="str">
        <f>IF(_xlfn.XLOOKUP($B155,'ELC TECH'!$H:$H,'ELC TECH'!$E:$E)="Storage",CR$4*$BF155,"")</f>
        <v/>
      </c>
      <c r="CS155" s="8" t="str">
        <f>IF(_xlfn.XLOOKUP($B155,'ELC TECH'!$H:$H,'ELC TECH'!$E:$E)="Storage",CS$4*$BF155,"")</f>
        <v/>
      </c>
      <c r="CT155" s="8" t="str">
        <f>IF(_xlfn.XLOOKUP($B155,'ELC TECH'!$H:$H,'ELC TECH'!$E:$E)="Storage",CT$4*$BF155,"")</f>
        <v/>
      </c>
      <c r="CU155" s="8" t="str">
        <f>IF(_xlfn.XLOOKUP($B155,'ELC TECH'!$H:$H,'ELC TECH'!$E:$E)="Storage",CU$4*$BF155,"")</f>
        <v/>
      </c>
      <c r="CV155" s="8" t="str">
        <f>IF(_xlfn.XLOOKUP($B155,'ELC TECH'!$H:$H,'ELC TECH'!$E:$E)="Storage",CV$4*$BF155,"")</f>
        <v/>
      </c>
      <c r="CW155" s="8" t="str">
        <f>IF(_xlfn.XLOOKUP($B155,'ELC TECH'!$H:$H,'ELC TECH'!$E:$E)="Storage",CW$4*$BF155,"")</f>
        <v/>
      </c>
      <c r="CX155" s="8" t="str">
        <f>IF(_xlfn.XLOOKUP($B155,'ELC TECH'!$H:$H,'ELC TECH'!$E:$E)="Storage",CX$4*$BF155,"")</f>
        <v/>
      </c>
      <c r="CY155" s="8" t="str">
        <f>IF(_xlfn.XLOOKUP($B155,'ELC TECH'!$H:$H,'ELC TECH'!$E:$E)="Storage",CY$4*$BF155,"")</f>
        <v/>
      </c>
      <c r="CZ155" s="8" t="str">
        <f>IF(_xlfn.XLOOKUP($B155,'ELC TECH'!$H:$H,'ELC TECH'!$E:$E)="Storage",CZ$4*$BF155,"")</f>
        <v/>
      </c>
      <c r="DA155" s="8" t="str">
        <f>IF(_xlfn.XLOOKUP($B155,'ELC TECH'!$H:$H,'ELC TECH'!$E:$E)="Storage",DA$4*$BF155,"")</f>
        <v/>
      </c>
      <c r="DB155" s="8" t="str">
        <f>IF(_xlfn.XLOOKUP($B155,'ELC TECH'!$H:$H,'ELC TECH'!$E:$E)="Storage",DB$4*$BF155,"")</f>
        <v/>
      </c>
      <c r="DC155" s="8" t="str">
        <f>IF(_xlfn.XLOOKUP($B155,'ELC TECH'!$H:$H,'ELC TECH'!$E:$E)="Storage",DC$4*$BF155,"")</f>
        <v/>
      </c>
      <c r="DD155" s="8" t="str">
        <f>IF(_xlfn.XLOOKUP($B155,'ELC TECH'!$H:$H,'ELC TECH'!$E:$E)="Storage",DD$4*$BF155,"")</f>
        <v/>
      </c>
      <c r="DE155" s="8" t="str">
        <f>IF(_xlfn.XLOOKUP($B155,'ELC TECH'!$H:$H,'ELC TECH'!$E:$E)="Storage",DE$4*$BF155,"")</f>
        <v/>
      </c>
      <c r="DF155" s="8" t="str">
        <f>IF(_xlfn.XLOOKUP($B155,'ELC TECH'!$H:$H,'ELC TECH'!$E:$E)="Storage",DF$4*$BF155,"")</f>
        <v/>
      </c>
      <c r="DG155" s="8" t="str">
        <f>IF(_xlfn.XLOOKUP($B155,'ELC TECH'!$H:$H,'ELC TECH'!$E:$E)="Storage",DG$4*$BF155,"")</f>
        <v/>
      </c>
      <c r="DH155" s="8" t="str">
        <f>IF(_xlfn.XLOOKUP($B155,'ELC TECH'!$H:$H,'ELC TECH'!$E:$E)="Storage",DH$4*$BF155,"")</f>
        <v/>
      </c>
      <c r="DI155" s="8" t="str">
        <f>IF(_xlfn.XLOOKUP($B155,'ELC TECH'!$H:$H,'ELC TECH'!$E:$E)="Storage",DI$4*$BF155,"")</f>
        <v/>
      </c>
    </row>
    <row r="156" spans="2:113" x14ac:dyDescent="0.25">
      <c r="B156" t="str">
        <f>IF('ELC TECH'!I149=0,"*",'ELC TECH'!H149)</f>
        <v>ELCWNDDCERDWC220</v>
      </c>
      <c r="C156" t="str">
        <f>IF(_xlfn.XLOOKUP(_xlfn.XLOOKUP(B156,'ELC TECH'!$H:$H,'ELC TECH'!$G:$G),List!C:C,List!B:B)="STG",D156,"ELC"&amp;_xlfn.XLOOKUP(_xlfn.XLOOKUP(B156,'ELC TECH'!H:H,'ELC TECH'!G:G),List!C:C,List!B:B))</f>
        <v>ELCWND</v>
      </c>
      <c r="D156" t="s">
        <v>544</v>
      </c>
      <c r="E156">
        <f>_xlfn.XLOOKUP(B156,'ELC TECH'!H:H,'ELC TECH'!D:D)</f>
        <v>2020</v>
      </c>
      <c r="F156">
        <f>_xlfn.XLOOKUP(B156,'ELC TECH'!H:H,'ELC TECH'!K:K)</f>
        <v>30</v>
      </c>
      <c r="G156">
        <f t="shared" si="8"/>
        <v>31.535999999999998</v>
      </c>
      <c r="H156">
        <f>IF(_xlfn.XLOOKUP(B156,'ELC TECH'!$H:$H,'ELC TECH'!$E:$E)="Storage",0.3,IF(_xlfn.XLOOKUP(B156,'ELC TECH'!$H:$H,'ELC TECH'!$E:$E)="Baseload",0.9,IF(_xlfn.XLOOKUP(B156,'ELC TECH'!$H:$H,'ELC TECH'!$E:$E)="Non Dispatchable",0.05,IF(_xlfn.XLOOKUP(B156,'ELC TECH'!$H:$H,'ELC TECH'!$E:$E)="Dispatchable",0.9,1))))</f>
        <v>0.05</v>
      </c>
      <c r="I156" s="13">
        <f>IF(_xlfn.XLOOKUP(B156,'ELC TECH'!H:H,'ELC TECH'!J:J)="","",_xlfn.XLOOKUP(B156,'ELC TECH'!H:H,'ELC TECH'!J:J))</f>
        <v>233.39318333333341</v>
      </c>
      <c r="J156" s="12">
        <f>IF(_xlfn.XLOOKUP($B156,'ELC TECH'!$H:$H,'ELC TECH'!$E:$E)="Storage","",IF(_xlfn.XLOOKUP($B156,'ELC TECH'!$H:$H,'ELC TECH'!AK:AK)="",1,_xlfn.XLOOKUP($B156,'ELC TECH'!$H:$H,'ELC TECH'!AK:AK)))</f>
        <v>1</v>
      </c>
      <c r="K156" s="12">
        <f>IF(_xlfn.XLOOKUP($B156,'ELC TECH'!$H:$H,'ELC TECH'!$E:$E)="Storage","",IF(_xlfn.XLOOKUP($B156,'ELC TECH'!$H:$H,'ELC TECH'!AL:AL)="",1,_xlfn.XLOOKUP($B156,'ELC TECH'!$H:$H,'ELC TECH'!AL:AL)))</f>
        <v>1</v>
      </c>
      <c r="L156" s="12">
        <f>IF(_xlfn.XLOOKUP($B156,'ELC TECH'!$H:$H,'ELC TECH'!$E:$E)="Storage","",IF(_xlfn.XLOOKUP($B156,'ELC TECH'!$H:$H,'ELC TECH'!AM:AM)="",1,_xlfn.XLOOKUP($B156,'ELC TECH'!$H:$H,'ELC TECH'!AM:AM)))</f>
        <v>1</v>
      </c>
      <c r="M156" s="12">
        <f>IF(_xlfn.XLOOKUP($B156,'ELC TECH'!$H:$H,'ELC TECH'!$E:$E)="Storage","",IF(_xlfn.XLOOKUP($B156,'ELC TECH'!$H:$H,'ELC TECH'!AN:AN)="",1,_xlfn.XLOOKUP($B156,'ELC TECH'!$H:$H,'ELC TECH'!AN:AN)))</f>
        <v>1</v>
      </c>
      <c r="N156" s="12">
        <f>IF(_xlfn.XLOOKUP($B156,'ELC TECH'!$H:$H,'ELC TECH'!$E:$E)="Storage","",IF(_xlfn.XLOOKUP($B156,'ELC TECH'!$H:$H,'ELC TECH'!AO:AO)="",1,_xlfn.XLOOKUP($B156,'ELC TECH'!$H:$H,'ELC TECH'!AO:AO)))</f>
        <v>1</v>
      </c>
      <c r="O156" s="12">
        <f>IF(_xlfn.XLOOKUP($B156,'ELC TECH'!$H:$H,'ELC TECH'!$E:$E)="Storage","",IF(_xlfn.XLOOKUP($B156,'ELC TECH'!$H:$H,'ELC TECH'!AP:AP)="",1,_xlfn.XLOOKUP($B156,'ELC TECH'!$H:$H,'ELC TECH'!AP:AP)))</f>
        <v>1</v>
      </c>
      <c r="P156" s="12">
        <f>IF(_xlfn.XLOOKUP($B156,'ELC TECH'!$H:$H,'ELC TECH'!$E:$E)="Storage","",IF(_xlfn.XLOOKUP($B156,'ELC TECH'!$H:$H,'ELC TECH'!AQ:AQ)="",1,_xlfn.XLOOKUP($B156,'ELC TECH'!$H:$H,'ELC TECH'!AQ:AQ)))</f>
        <v>1</v>
      </c>
      <c r="Q156" s="12">
        <f>IF(_xlfn.XLOOKUP($B156,'ELC TECH'!$H:$H,'ELC TECH'!$E:$E)="Storage","",IF(_xlfn.XLOOKUP($B156,'ELC TECH'!$H:$H,'ELC TECH'!AR:AR)="",1,_xlfn.XLOOKUP($B156,'ELC TECH'!$H:$H,'ELC TECH'!AR:AR)))</f>
        <v>1</v>
      </c>
      <c r="R156" s="12" t="str">
        <f>IF(_xlfn.XLOOKUP($B156,'ELC TECH'!$H:$H,'ELC TECH'!$E:$E)&lt;&gt;"Storage","",IF(_xlfn.XLOOKUP($B156,'ELC TECH'!$H:$H,'ELC TECH'!AK:AK)="",0.8,_xlfn.XLOOKUP($B156,'ELC TECH'!$H:$H,'ELC TECH'!AK:AK)))</f>
        <v/>
      </c>
      <c r="S156" s="12" t="str">
        <f>IF(_xlfn.XLOOKUP($B156,'ELC TECH'!$H:$H,'ELC TECH'!$E:$E)&lt;&gt;"Storage","",IF(_xlfn.XLOOKUP($B156,'ELC TECH'!$H:$H,'ELC TECH'!AL:AL)="",0.8,_xlfn.XLOOKUP($B156,'ELC TECH'!$H:$H,'ELC TECH'!AL:AL)))</f>
        <v/>
      </c>
      <c r="T156" s="12" t="str">
        <f>IF(_xlfn.XLOOKUP($B156,'ELC TECH'!$H:$H,'ELC TECH'!$E:$E)&lt;&gt;"Storage","",IF(_xlfn.XLOOKUP($B156,'ELC TECH'!$H:$H,'ELC TECH'!AM:AM)="",0.8,_xlfn.XLOOKUP($B156,'ELC TECH'!$H:$H,'ELC TECH'!AM:AM)))</f>
        <v/>
      </c>
      <c r="U156" s="12" t="str">
        <f>IF(_xlfn.XLOOKUP($B156,'ELC TECH'!$H:$H,'ELC TECH'!$E:$E)&lt;&gt;"Storage","",IF(_xlfn.XLOOKUP($B156,'ELC TECH'!$H:$H,'ELC TECH'!AN:AN)="",0.8,_xlfn.XLOOKUP($B156,'ELC TECH'!$H:$H,'ELC TECH'!AN:AN)))</f>
        <v/>
      </c>
      <c r="V156" s="12" t="str">
        <f>IF(_xlfn.XLOOKUP($B156,'ELC TECH'!$H:$H,'ELC TECH'!$E:$E)&lt;&gt;"Storage","",IF(_xlfn.XLOOKUP($B156,'ELC TECH'!$H:$H,'ELC TECH'!AO:AO)="",0.8,_xlfn.XLOOKUP($B156,'ELC TECH'!$H:$H,'ELC TECH'!AO:AO)))</f>
        <v/>
      </c>
      <c r="W156" s="12" t="str">
        <f>IF(_xlfn.XLOOKUP($B156,'ELC TECH'!$H:$H,'ELC TECH'!$E:$E)&lt;&gt;"Storage","",IF(_xlfn.XLOOKUP($B156,'ELC TECH'!$H:$H,'ELC TECH'!AP:AP)="",0.8,_xlfn.XLOOKUP($B156,'ELC TECH'!$H:$H,'ELC TECH'!AP:AP)))</f>
        <v/>
      </c>
      <c r="X156" s="12" t="str">
        <f>IF(_xlfn.XLOOKUP($B156,'ELC TECH'!$H:$H,'ELC TECH'!$E:$E)&lt;&gt;"Storage","",IF(_xlfn.XLOOKUP($B156,'ELC TECH'!$H:$H,'ELC TECH'!AQ:AQ)="",0.8,_xlfn.XLOOKUP($B156,'ELC TECH'!$H:$H,'ELC TECH'!AQ:AQ)))</f>
        <v/>
      </c>
      <c r="Y156" s="12" t="str">
        <f>IF(_xlfn.XLOOKUP($B156,'ELC TECH'!$H:$H,'ELC TECH'!$E:$E)&lt;&gt;"Storage","",IF(_xlfn.XLOOKUP($B156,'ELC TECH'!$H:$H,'ELC TECH'!AR:AR)="",0.8,_xlfn.XLOOKUP($B156,'ELC TECH'!$H:$H,'ELC TECH'!AR:AR)))</f>
        <v/>
      </c>
      <c r="Z156" s="15">
        <f>_xlfn.XLOOKUP($B156,'ELC TECH'!$H:$H,'ELC TECH'!M:M)</f>
        <v>6549.0142310829506</v>
      </c>
      <c r="AA156" s="15">
        <f>_xlfn.XLOOKUP($B156,'ELC TECH'!$H:$H,'ELC TECH'!N:N)</f>
        <v>6421.1425612343974</v>
      </c>
      <c r="AB156" s="15">
        <f>_xlfn.XLOOKUP($B156,'ELC TECH'!$H:$H,'ELC TECH'!O:O)</f>
        <v>3968.077175989039</v>
      </c>
      <c r="AC156" s="15">
        <f>_xlfn.XLOOKUP($B156,'ELC TECH'!$H:$H,'ELC TECH'!P:P)</f>
        <v>3222.0031734476329</v>
      </c>
      <c r="AD156" s="15">
        <f>_xlfn.XLOOKUP($B156,'ELC TECH'!$H:$H,'ELC TECH'!Q:Q)</f>
        <v>2629.692312978324</v>
      </c>
      <c r="AE156" s="15">
        <f>_xlfn.XLOOKUP($B156,'ELC TECH'!$H:$H,'ELC TECH'!R:R)</f>
        <v>2226.8699153391431</v>
      </c>
      <c r="AF156" s="15">
        <f>_xlfn.XLOOKUP($B156,'ELC TECH'!$H:$H,'ELC TECH'!S:S)</f>
        <v>1953.258376919596</v>
      </c>
      <c r="AG156" s="15">
        <f>_xlfn.XLOOKUP($B156,'ELC TECH'!$H:$H,'ELC TECH'!T:T)</f>
        <v>1953.258376919596</v>
      </c>
      <c r="AH156" s="15">
        <f>_xlfn.XLOOKUP($B156,'ELC TECH'!$H:$H,'ELC TECH'!U:U)</f>
        <v>41.27117929699714</v>
      </c>
      <c r="AI156" s="15">
        <f>_xlfn.XLOOKUP($B156,'ELC TECH'!$H:$H,'ELC TECH'!V:V)</f>
        <v>40.608188464916751</v>
      </c>
      <c r="AJ156" s="15">
        <f>_xlfn.XLOOKUP($B156,'ELC TECH'!$H:$H,'ELC TECH'!W:W)</f>
        <v>39.779449924816397</v>
      </c>
      <c r="AK156" s="15">
        <f>_xlfn.XLOOKUP($B156,'ELC TECH'!$H:$H,'ELC TECH'!X:X)</f>
        <v>39.157896019741258</v>
      </c>
      <c r="AL156" s="15">
        <f>_xlfn.XLOOKUP($B156,'ELC TECH'!$H:$H,'ELC TECH'!Y:Y)</f>
        <v>38.536342114665999</v>
      </c>
      <c r="AM156" s="15">
        <f>_xlfn.XLOOKUP($B156,'ELC TECH'!$H:$H,'ELC TECH'!Z:Z)</f>
        <v>37.914788209590739</v>
      </c>
      <c r="AN156" s="15">
        <f>_xlfn.XLOOKUP($B156,'ELC TECH'!$H:$H,'ELC TECH'!AA:AA)</f>
        <v>37.293234304515479</v>
      </c>
      <c r="AO156" s="15">
        <f>_xlfn.XLOOKUP($B156,'ELC TECH'!$H:$H,'ELC TECH'!AB:AB)</f>
        <v>37.293234304515479</v>
      </c>
      <c r="AP156" s="15">
        <f>_xlfn.XLOOKUP($B156,'ELC TECH'!$H:$H,'ELC TECH'!AC:AC)</f>
        <v>0</v>
      </c>
      <c r="AQ156" s="15">
        <f>_xlfn.XLOOKUP($B156,'ELC TECH'!$H:$H,'ELC TECH'!AD:AD)</f>
        <v>0</v>
      </c>
      <c r="AR156" s="15">
        <f>_xlfn.XLOOKUP($B156,'ELC TECH'!$H:$H,'ELC TECH'!AE:AE)</f>
        <v>0</v>
      </c>
      <c r="AS156" s="15">
        <f>_xlfn.XLOOKUP($B156,'ELC TECH'!$H:$H,'ELC TECH'!AF:AF)</f>
        <v>0</v>
      </c>
      <c r="AT156" s="15">
        <f>_xlfn.XLOOKUP($B156,'ELC TECH'!$H:$H,'ELC TECH'!AG:AG)</f>
        <v>0</v>
      </c>
      <c r="AU156" s="15">
        <f>_xlfn.XLOOKUP($B156,'ELC TECH'!$H:$H,'ELC TECH'!AH:AH)</f>
        <v>0</v>
      </c>
      <c r="AV156" s="15">
        <f>_xlfn.XLOOKUP($B156,'ELC TECH'!$H:$H,'ELC TECH'!AI:AI)</f>
        <v>0</v>
      </c>
      <c r="AW156" s="15">
        <f>_xlfn.XLOOKUP($B156,'ELC TECH'!$H:$H,'ELC TECH'!AJ:AJ)</f>
        <v>0</v>
      </c>
      <c r="AX156" s="12">
        <f>IF(_xlfn.XLOOKUP($B156,'ELC TECH'!$H:$H,'ELC TECH'!$E:$E)="Storage","",_xlfn.XLOOKUP($B156,'ELC TECH'!$H:$H,'ELC TECH'!AS:AS))</f>
        <v>0.3663151</v>
      </c>
      <c r="AY156" s="12">
        <f>IF(_xlfn.XLOOKUP($B156,'ELC TECH'!$H:$H,'ELC TECH'!$E:$E)="Storage","",_xlfn.XLOOKUP($B156,'ELC TECH'!$H:$H,'ELC TECH'!AT:AT))</f>
        <v>0.40899950000000002</v>
      </c>
      <c r="AZ156" s="12">
        <f>IF(_xlfn.XLOOKUP($B156,'ELC TECH'!$H:$H,'ELC TECH'!$E:$E)="Storage","",_xlfn.XLOOKUP($B156,'ELC TECH'!$H:$H,'ELC TECH'!AU:AU))</f>
        <v>0.46235500000000002</v>
      </c>
      <c r="BA156" s="12">
        <f>IF(_xlfn.XLOOKUP($B156,'ELC TECH'!$H:$H,'ELC TECH'!$E:$E)="Storage","",_xlfn.XLOOKUP($B156,'ELC TECH'!$H:$H,'ELC TECH'!AV:AV))</f>
        <v>0.46235500000000002</v>
      </c>
      <c r="BB156" s="12">
        <f>IF(_xlfn.XLOOKUP($B156,'ELC TECH'!$H:$H,'ELC TECH'!$E:$E)="Storage","",_xlfn.XLOOKUP($B156,'ELC TECH'!$H:$H,'ELC TECH'!AW:AW))</f>
        <v>0.46235500000000002</v>
      </c>
      <c r="BC156" s="12">
        <f>IF(_xlfn.XLOOKUP($B156,'ELC TECH'!$H:$H,'ELC TECH'!$E:$E)="Storage","",_xlfn.XLOOKUP($B156,'ELC TECH'!$H:$H,'ELC TECH'!AX:AX))</f>
        <v>0.46235500000000002</v>
      </c>
      <c r="BD156" s="12">
        <f>IF(_xlfn.XLOOKUP($B156,'ELC TECH'!$H:$H,'ELC TECH'!$E:$E)="Storage","",_xlfn.XLOOKUP($B156,'ELC TECH'!$H:$H,'ELC TECH'!AY:AY))</f>
        <v>0.46235500000000002</v>
      </c>
      <c r="BE156" s="12">
        <f>IF(_xlfn.XLOOKUP($B156,'ELC TECH'!$H:$H,'ELC TECH'!$E:$E)="Storage","",_xlfn.XLOOKUP($B156,'ELC TECH'!$H:$H,'ELC TECH'!AZ:AZ))</f>
        <v>0.46235500000000002</v>
      </c>
      <c r="BF156" s="12" t="str">
        <f>IF(_xlfn.XLOOKUP($B156,'ELC TECH'!$H:$H,'ELC TECH'!$E:$E)="Storage",_xlfn.XLOOKUP($B156,'ELC TECH'!$H:$H,'ELC TECH'!AS:AS),"")</f>
        <v/>
      </c>
      <c r="BG156" s="12" t="str">
        <f>IF(_xlfn.XLOOKUP($B156,'ELC TECH'!$H:$H,'ELC TECH'!$E:$E)="Storage",_xlfn.XLOOKUP($B156,'ELC TECH'!$H:$H,'ELC TECH'!AT:AT),"")</f>
        <v/>
      </c>
      <c r="BH156" s="12" t="str">
        <f>IF(_xlfn.XLOOKUP($B156,'ELC TECH'!$H:$H,'ELC TECH'!$E:$E)="Storage",_xlfn.XLOOKUP($B156,'ELC TECH'!$H:$H,'ELC TECH'!AU:AU),"")</f>
        <v/>
      </c>
      <c r="BI156" s="12" t="str">
        <f>IF(_xlfn.XLOOKUP($B156,'ELC TECH'!$H:$H,'ELC TECH'!$E:$E)="Storage",_xlfn.XLOOKUP($B156,'ELC TECH'!$H:$H,'ELC TECH'!AV:AV),"")</f>
        <v/>
      </c>
      <c r="BJ156" s="12" t="str">
        <f>IF(_xlfn.XLOOKUP($B156,'ELC TECH'!$H:$H,'ELC TECH'!$E:$E)="Storage",_xlfn.XLOOKUP($B156,'ELC TECH'!$H:$H,'ELC TECH'!AW:AW),"")</f>
        <v/>
      </c>
      <c r="BK156" s="12" t="str">
        <f>IF(_xlfn.XLOOKUP($B156,'ELC TECH'!$H:$H,'ELC TECH'!$E:$E)="Storage",_xlfn.XLOOKUP($B156,'ELC TECH'!$H:$H,'ELC TECH'!AX:AX),"")</f>
        <v/>
      </c>
      <c r="BL156" s="12" t="str">
        <f>IF(_xlfn.XLOOKUP($B156,'ELC TECH'!$H:$H,'ELC TECH'!$E:$E)="Storage",_xlfn.XLOOKUP($B156,'ELC TECH'!$H:$H,'ELC TECH'!AY:AY),"")</f>
        <v/>
      </c>
      <c r="BM156" s="12" t="str">
        <f>IF(_xlfn.XLOOKUP($B156,'ELC TECH'!$H:$H,'ELC TECH'!$E:$E)="Storage",_xlfn.XLOOKUP($B156,'ELC TECH'!$H:$H,'ELC TECH'!AZ:AZ),"")</f>
        <v/>
      </c>
      <c r="BN156" s="8">
        <f>IF(_xlfn.XLOOKUP($B156,'ELC TECH'!$H:$H,'ELC TECH'!$E:$E)="Non Dispatchable",IFERROR($AX156*_xlfn.XLOOKUP($C156,$BM$1:$BM$3,BN$1:BN$3)/SUMPRODUCT(_xlfn.XLOOKUP($C156,$BM$1:$BM$3,$BN$1:$BY$3),$BN$4:$BY$4),""),
"")</f>
        <v>0.64324986567032583</v>
      </c>
      <c r="BO156" s="8">
        <f>IF(_xlfn.XLOOKUP($B156,'ELC TECH'!$H:$H,'ELC TECH'!$E:$E)="Non Dispatchable",IFERROR($AX156*_xlfn.XLOOKUP($C156,$BM$1:$BM$3,BO$1:BO$3)/SUMPRODUCT(_xlfn.XLOOKUP($C156,$BM$1:$BM$3,$BN$1:$BY$3),$BN$4:$BY$4),""),
"")</f>
        <v>0.64324986567032583</v>
      </c>
      <c r="BP156" s="8">
        <f>IF(_xlfn.XLOOKUP($B156,'ELC TECH'!$H:$H,'ELC TECH'!$E:$E)="Non Dispatchable",IFERROR($AX156*_xlfn.XLOOKUP($C156,$BM$1:$BM$3,BP$1:BP$3)/SUMPRODUCT(_xlfn.XLOOKUP($C156,$BM$1:$BM$3,$BN$1:$BY$3),$BN$4:$BY$4),""),
"")</f>
        <v>6.4324986567032574E-2</v>
      </c>
      <c r="BQ156" s="8">
        <f>IF(_xlfn.XLOOKUP($B156,'ELC TECH'!$H:$H,'ELC TECH'!$E:$E)="Non Dispatchable",IFERROR($AX156*_xlfn.XLOOKUP($C156,$BM$1:$BM$3,BQ$1:BQ$3)/SUMPRODUCT(_xlfn.XLOOKUP($C156,$BM$1:$BM$3,$BN$1:$BY$3),$BN$4:$BY$4),""),
"")</f>
        <v>0.515409011864148</v>
      </c>
      <c r="BR156" s="8">
        <f>IF(_xlfn.XLOOKUP($B156,'ELC TECH'!$H:$H,'ELC TECH'!$E:$E)="Non Dispatchable",IFERROR($AX156*_xlfn.XLOOKUP($C156,$BM$1:$BM$3,BR$1:BR$3)/SUMPRODUCT(_xlfn.XLOOKUP($C156,$BM$1:$BM$3,$BN$1:$BY$3),$BN$4:$BY$4),""),
"")</f>
        <v>0.74850893459819745</v>
      </c>
      <c r="BS156" s="8">
        <f>IF(_xlfn.XLOOKUP($B156,'ELC TECH'!$H:$H,'ELC TECH'!$E:$E)="Non Dispatchable",IFERROR($AX156*_xlfn.XLOOKUP($C156,$BM$1:$BM$3,BS$1:BS$3)/SUMPRODUCT(_xlfn.XLOOKUP($C156,$BM$1:$BM$3,$BN$1:$BY$3),$BN$4:$BY$4),""),
"")</f>
        <v>0.74850893459819745</v>
      </c>
      <c r="BT156" s="8">
        <f>IF(_xlfn.XLOOKUP($B156,'ELC TECH'!$H:$H,'ELC TECH'!$E:$E)="Non Dispatchable",IFERROR($AX156*_xlfn.XLOOKUP($C156,$BM$1:$BM$3,BT$1:BT$3)/SUMPRODUCT(_xlfn.XLOOKUP($C156,$BM$1:$BM$3,$BN$1:$BY$3),$BN$4:$BY$4),""),
"")</f>
        <v>7.4850893459819753E-2</v>
      </c>
      <c r="BU156" s="8">
        <f>IF(_xlfn.XLOOKUP($B156,'ELC TECH'!$H:$H,'ELC TECH'!$E:$E)="Non Dispatchable",IFERROR($AX156*_xlfn.XLOOKUP($C156,$BM$1:$BM$3,BU$1:BU$3)/SUMPRODUCT(_xlfn.XLOOKUP($C156,$BM$1:$BM$3,$BN$1:$BY$3),$BN$4:$BY$4),""),
"")</f>
        <v>0.66322888907430988</v>
      </c>
      <c r="BV156" s="8">
        <f>IF(_xlfn.XLOOKUP($B156,'ELC TECH'!$H:$H,'ELC TECH'!$E:$E)="Non Dispatchable",IFERROR($AX156*_xlfn.XLOOKUP($C156,$BM$1:$BM$3,BV$1:BV$3)/SUMPRODUCT(_xlfn.XLOOKUP($C156,$BM$1:$BM$3,$BN$1:$BY$3),$BN$4:$BY$4),""),
"")</f>
        <v>0.38763039800626903</v>
      </c>
      <c r="BW156" s="8">
        <f>IF(_xlfn.XLOOKUP($B156,'ELC TECH'!$H:$H,'ELC TECH'!$E:$E)="Non Dispatchable",IFERROR($AX156*_xlfn.XLOOKUP($C156,$BM$1:$BM$3,BW$1:BW$3)/SUMPRODUCT(_xlfn.XLOOKUP($C156,$BM$1:$BM$3,$BN$1:$BY$3),$BN$4:$BY$4),""),
"")</f>
        <v>0.38763039800626903</v>
      </c>
      <c r="BX156" s="8">
        <f>IF(_xlfn.XLOOKUP($B156,'ELC TECH'!$H:$H,'ELC TECH'!$E:$E)="Non Dispatchable",IFERROR($AX156*_xlfn.XLOOKUP($C156,$BM$1:$BM$3,BX$1:BX$3)/SUMPRODUCT(_xlfn.XLOOKUP($C156,$BM$1:$BM$3,$BN$1:$BY$3),$BN$4:$BY$4),""),
"")</f>
        <v>3.8763039800626904E-2</v>
      </c>
      <c r="BY156" s="8">
        <f>IF(_xlfn.XLOOKUP($B156,'ELC TECH'!$H:$H,'ELC TECH'!$E:$E)="Non Dispatchable",IFERROR($AX156*_xlfn.XLOOKUP($C156,$BM$1:$BM$3,BY$1:BY$3)/SUMPRODUCT(_xlfn.XLOOKUP($C156,$BM$1:$BM$3,$BN$1:$BY$3),$BN$4:$BY$4),""),
"")</f>
        <v>0.28333887736559121</v>
      </c>
      <c r="BZ156" s="8">
        <f>IF(_xlfn.XLOOKUP($B156,'ELC TECH'!$H:$H,'ELC TECH'!$E:$E)="Non Dispatchable",IFERROR($AX156*_xlfn.XLOOKUP($C156,$BM$1:$BM$3,BZ$1:BZ$3)/SUMPRODUCT(_xlfn.XLOOKUP($C156,$BM$1:$BM$3,$BN$1:$BY$3),$BN$4:$BY$4),""),
"")</f>
        <v>0.64324986567032583</v>
      </c>
      <c r="CA156" s="8">
        <f>IF(_xlfn.XLOOKUP($B156,'ELC TECH'!$H:$H,'ELC TECH'!$E:$E)="Non Dispatchable",IFERROR($AX156*_xlfn.XLOOKUP($C156,$BM$1:$BM$3,CA$1:CA$3)/SUMPRODUCT(_xlfn.XLOOKUP($C156,$BM$1:$BM$3,$BN$1:$BY$3),$BN$4:$BY$4),""),
"")</f>
        <v>0.64324986567032583</v>
      </c>
      <c r="CB156" s="8">
        <f>IF(_xlfn.XLOOKUP($B156,'ELC TECH'!$H:$H,'ELC TECH'!$E:$E)="Non Dispatchable",IFERROR($AX156*_xlfn.XLOOKUP($C156,$BM$1:$BM$3,CB$1:CB$3)/SUMPRODUCT(_xlfn.XLOOKUP($C156,$BM$1:$BM$3,$BN$1:$BY$3),$BN$4:$BY$4),""),
"")</f>
        <v>6.4324986567032574E-2</v>
      </c>
      <c r="CC156" s="8">
        <f>IF(_xlfn.XLOOKUP($B156,'ELC TECH'!$H:$H,'ELC TECH'!$E:$E)="Non Dispatchable",IFERROR($AX156*_xlfn.XLOOKUP($C156,$BM$1:$BM$3,CC$1:CC$3)/SUMPRODUCT(_xlfn.XLOOKUP($C156,$BM$1:$BM$3,$BN$1:$BY$3),$BN$4:$BY$4),""),
"")</f>
        <v>0.515409011864148</v>
      </c>
      <c r="CD156" s="8">
        <f>IF(_xlfn.XLOOKUP($B156,'ELC TECH'!$H:$H,'ELC TECH'!$E:$E)="Non Dispatchable",IFERROR($AX156*_xlfn.XLOOKUP($C156,$BM$1:$BM$3,CD$1:CD$3)/SUMPRODUCT(_xlfn.XLOOKUP($C156,$BM$1:$BM$3,$BN$1:$BY$3),$BN$4:$BY$4),""),
"")</f>
        <v>0.74850893459819745</v>
      </c>
      <c r="CE156" s="8">
        <f>IF(_xlfn.XLOOKUP($B156,'ELC TECH'!$H:$H,'ELC TECH'!$E:$E)="Non Dispatchable",IFERROR($AX156*_xlfn.XLOOKUP($C156,$BM$1:$BM$3,CE$1:CE$3)/SUMPRODUCT(_xlfn.XLOOKUP($C156,$BM$1:$BM$3,$BN$1:$BY$3),$BN$4:$BY$4),""),
"")</f>
        <v>0.74850893459819745</v>
      </c>
      <c r="CF156" s="8">
        <f>IF(_xlfn.XLOOKUP($B156,'ELC TECH'!$H:$H,'ELC TECH'!$E:$E)="Non Dispatchable",IFERROR($AX156*_xlfn.XLOOKUP($C156,$BM$1:$BM$3,CF$1:CF$3)/SUMPRODUCT(_xlfn.XLOOKUP($C156,$BM$1:$BM$3,$BN$1:$BY$3),$BN$4:$BY$4),""),
"")</f>
        <v>7.4850893459819753E-2</v>
      </c>
      <c r="CG156" s="8">
        <f>IF(_xlfn.XLOOKUP($B156,'ELC TECH'!$H:$H,'ELC TECH'!$E:$E)="Non Dispatchable",IFERROR($AX156*_xlfn.XLOOKUP($C156,$BM$1:$BM$3,CG$1:CG$3)/SUMPRODUCT(_xlfn.XLOOKUP($C156,$BM$1:$BM$3,$BN$1:$BY$3),$BN$4:$BY$4),""),
"")</f>
        <v>0.66322888907430988</v>
      </c>
      <c r="CH156" s="8">
        <f>IF(_xlfn.XLOOKUP($B156,'ELC TECH'!$H:$H,'ELC TECH'!$E:$E)="Non Dispatchable",IFERROR($AX156*_xlfn.XLOOKUP($C156,$BM$1:$BM$3,CH$1:CH$3)/SUMPRODUCT(_xlfn.XLOOKUP($C156,$BM$1:$BM$3,$BN$1:$BY$3),$BN$4:$BY$4),""),
"")</f>
        <v>0.38763039800626903</v>
      </c>
      <c r="CI156" s="8">
        <f>IF(_xlfn.XLOOKUP($B156,'ELC TECH'!$H:$H,'ELC TECH'!$E:$E)="Non Dispatchable",IFERROR($AX156*_xlfn.XLOOKUP($C156,$BM$1:$BM$3,CI$1:CI$3)/SUMPRODUCT(_xlfn.XLOOKUP($C156,$BM$1:$BM$3,$BN$1:$BY$3),$BN$4:$BY$4),""),
"")</f>
        <v>0.38763039800626903</v>
      </c>
      <c r="CJ156" s="8">
        <f>IF(_xlfn.XLOOKUP($B156,'ELC TECH'!$H:$H,'ELC TECH'!$E:$E)="Non Dispatchable",IFERROR($AX156*_xlfn.XLOOKUP($C156,$BM$1:$BM$3,CJ$1:CJ$3)/SUMPRODUCT(_xlfn.XLOOKUP($C156,$BM$1:$BM$3,$BN$1:$BY$3),$BN$4:$BY$4),""),
"")</f>
        <v>3.8763039800626904E-2</v>
      </c>
      <c r="CK156" s="8">
        <f>IF(_xlfn.XLOOKUP($B156,'ELC TECH'!$H:$H,'ELC TECH'!$E:$E)="Non Dispatchable",IFERROR($AX156*_xlfn.XLOOKUP($C156,$BM$1:$BM$3,CK$1:CK$3)/SUMPRODUCT(_xlfn.XLOOKUP($C156,$BM$1:$BM$3,$BN$1:$BY$3),$BN$4:$BY$4),""),
"")</f>
        <v>0.28333887736559121</v>
      </c>
      <c r="CL156" s="8" t="str">
        <f>IF(_xlfn.XLOOKUP($B156,'ELC TECH'!$H:$H,'ELC TECH'!$E:$E)="Storage",CL$4*$BF156,"")</f>
        <v/>
      </c>
      <c r="CM156" s="8" t="str">
        <f>IF(_xlfn.XLOOKUP($B156,'ELC TECH'!$H:$H,'ELC TECH'!$E:$E)="Storage",CM$4*$BF156,"")</f>
        <v/>
      </c>
      <c r="CN156" s="8" t="str">
        <f>IF(_xlfn.XLOOKUP($B156,'ELC TECH'!$H:$H,'ELC TECH'!$E:$E)="Storage",CN$4*$BF156,"")</f>
        <v/>
      </c>
      <c r="CO156" s="8" t="str">
        <f>IF(_xlfn.XLOOKUP($B156,'ELC TECH'!$H:$H,'ELC TECH'!$E:$E)="Storage",CO$4*$BF156,"")</f>
        <v/>
      </c>
      <c r="CP156" s="8" t="str">
        <f>IF(_xlfn.XLOOKUP($B156,'ELC TECH'!$H:$H,'ELC TECH'!$E:$E)="Storage",CP$4*$BF156,"")</f>
        <v/>
      </c>
      <c r="CQ156" s="8" t="str">
        <f>IF(_xlfn.XLOOKUP($B156,'ELC TECH'!$H:$H,'ELC TECH'!$E:$E)="Storage",CQ$4*$BF156,"")</f>
        <v/>
      </c>
      <c r="CR156" s="8" t="str">
        <f>IF(_xlfn.XLOOKUP($B156,'ELC TECH'!$H:$H,'ELC TECH'!$E:$E)="Storage",CR$4*$BF156,"")</f>
        <v/>
      </c>
      <c r="CS156" s="8" t="str">
        <f>IF(_xlfn.XLOOKUP($B156,'ELC TECH'!$H:$H,'ELC TECH'!$E:$E)="Storage",CS$4*$BF156,"")</f>
        <v/>
      </c>
      <c r="CT156" s="8" t="str">
        <f>IF(_xlfn.XLOOKUP($B156,'ELC TECH'!$H:$H,'ELC TECH'!$E:$E)="Storage",CT$4*$BF156,"")</f>
        <v/>
      </c>
      <c r="CU156" s="8" t="str">
        <f>IF(_xlfn.XLOOKUP($B156,'ELC TECH'!$H:$H,'ELC TECH'!$E:$E)="Storage",CU$4*$BF156,"")</f>
        <v/>
      </c>
      <c r="CV156" s="8" t="str">
        <f>IF(_xlfn.XLOOKUP($B156,'ELC TECH'!$H:$H,'ELC TECH'!$E:$E)="Storage",CV$4*$BF156,"")</f>
        <v/>
      </c>
      <c r="CW156" s="8" t="str">
        <f>IF(_xlfn.XLOOKUP($B156,'ELC TECH'!$H:$H,'ELC TECH'!$E:$E)="Storage",CW$4*$BF156,"")</f>
        <v/>
      </c>
      <c r="CX156" s="8" t="str">
        <f>IF(_xlfn.XLOOKUP($B156,'ELC TECH'!$H:$H,'ELC TECH'!$E:$E)="Storage",CX$4*$BF156,"")</f>
        <v/>
      </c>
      <c r="CY156" s="8" t="str">
        <f>IF(_xlfn.XLOOKUP($B156,'ELC TECH'!$H:$H,'ELC TECH'!$E:$E)="Storage",CY$4*$BF156,"")</f>
        <v/>
      </c>
      <c r="CZ156" s="8" t="str">
        <f>IF(_xlfn.XLOOKUP($B156,'ELC TECH'!$H:$H,'ELC TECH'!$E:$E)="Storage",CZ$4*$BF156,"")</f>
        <v/>
      </c>
      <c r="DA156" s="8" t="str">
        <f>IF(_xlfn.XLOOKUP($B156,'ELC TECH'!$H:$H,'ELC TECH'!$E:$E)="Storage",DA$4*$BF156,"")</f>
        <v/>
      </c>
      <c r="DB156" s="8" t="str">
        <f>IF(_xlfn.XLOOKUP($B156,'ELC TECH'!$H:$H,'ELC TECH'!$E:$E)="Storage",DB$4*$BF156,"")</f>
        <v/>
      </c>
      <c r="DC156" s="8" t="str">
        <f>IF(_xlfn.XLOOKUP($B156,'ELC TECH'!$H:$H,'ELC TECH'!$E:$E)="Storage",DC$4*$BF156,"")</f>
        <v/>
      </c>
      <c r="DD156" s="8" t="str">
        <f>IF(_xlfn.XLOOKUP($B156,'ELC TECH'!$H:$H,'ELC TECH'!$E:$E)="Storage",DD$4*$BF156,"")</f>
        <v/>
      </c>
      <c r="DE156" s="8" t="str">
        <f>IF(_xlfn.XLOOKUP($B156,'ELC TECH'!$H:$H,'ELC TECH'!$E:$E)="Storage",DE$4*$BF156,"")</f>
        <v/>
      </c>
      <c r="DF156" s="8" t="str">
        <f>IF(_xlfn.XLOOKUP($B156,'ELC TECH'!$H:$H,'ELC TECH'!$E:$E)="Storage",DF$4*$BF156,"")</f>
        <v/>
      </c>
      <c r="DG156" s="8" t="str">
        <f>IF(_xlfn.XLOOKUP($B156,'ELC TECH'!$H:$H,'ELC TECH'!$E:$E)="Storage",DG$4*$BF156,"")</f>
        <v/>
      </c>
      <c r="DH156" s="8" t="str">
        <f>IF(_xlfn.XLOOKUP($B156,'ELC TECH'!$H:$H,'ELC TECH'!$E:$E)="Storage",DH$4*$BF156,"")</f>
        <v/>
      </c>
      <c r="DI156" s="8" t="str">
        <f>IF(_xlfn.XLOOKUP($B156,'ELC TECH'!$H:$H,'ELC TECH'!$E:$E)="Storage",DI$4*$BF156,"")</f>
        <v/>
      </c>
    </row>
    <row r="157" spans="2:113" x14ac:dyDescent="0.25">
      <c r="B157" t="str">
        <f>IF('ELC TECH'!I150=0,"*",'ELC TECH'!H150)</f>
        <v>ELCWNDDCERDWC320</v>
      </c>
      <c r="C157" t="str">
        <f>IF(_xlfn.XLOOKUP(_xlfn.XLOOKUP(B157,'ELC TECH'!$H:$H,'ELC TECH'!$G:$G),List!C:C,List!B:B)="STG",D157,"ELC"&amp;_xlfn.XLOOKUP(_xlfn.XLOOKUP(B157,'ELC TECH'!H:H,'ELC TECH'!G:G),List!C:C,List!B:B))</f>
        <v>ELCWND</v>
      </c>
      <c r="D157" t="s">
        <v>544</v>
      </c>
      <c r="E157">
        <f>_xlfn.XLOOKUP(B157,'ELC TECH'!H:H,'ELC TECH'!D:D)</f>
        <v>2020</v>
      </c>
      <c r="F157">
        <f>_xlfn.XLOOKUP(B157,'ELC TECH'!H:H,'ELC TECH'!K:K)</f>
        <v>30</v>
      </c>
      <c r="G157">
        <f t="shared" si="8"/>
        <v>31.535999999999998</v>
      </c>
      <c r="H157">
        <f>IF(_xlfn.XLOOKUP(B157,'ELC TECH'!$H:$H,'ELC TECH'!$E:$E)="Storage",0.3,IF(_xlfn.XLOOKUP(B157,'ELC TECH'!$H:$H,'ELC TECH'!$E:$E)="Baseload",0.9,IF(_xlfn.XLOOKUP(B157,'ELC TECH'!$H:$H,'ELC TECH'!$E:$E)="Non Dispatchable",0.05,IF(_xlfn.XLOOKUP(B157,'ELC TECH'!$H:$H,'ELC TECH'!$E:$E)="Dispatchable",0.9,1))))</f>
        <v>0.05</v>
      </c>
      <c r="I157" s="13">
        <f>IF(_xlfn.XLOOKUP(B157,'ELC TECH'!H:H,'ELC TECH'!J:J)="","",_xlfn.XLOOKUP(B157,'ELC TECH'!H:H,'ELC TECH'!J:J))</f>
        <v>233.39318333333341</v>
      </c>
      <c r="J157" s="12">
        <f>IF(_xlfn.XLOOKUP($B157,'ELC TECH'!$H:$H,'ELC TECH'!$E:$E)="Storage","",IF(_xlfn.XLOOKUP($B157,'ELC TECH'!$H:$H,'ELC TECH'!AK:AK)="",1,_xlfn.XLOOKUP($B157,'ELC TECH'!$H:$H,'ELC TECH'!AK:AK)))</f>
        <v>1</v>
      </c>
      <c r="K157" s="12">
        <f>IF(_xlfn.XLOOKUP($B157,'ELC TECH'!$H:$H,'ELC TECH'!$E:$E)="Storage","",IF(_xlfn.XLOOKUP($B157,'ELC TECH'!$H:$H,'ELC TECH'!AL:AL)="",1,_xlfn.XLOOKUP($B157,'ELC TECH'!$H:$H,'ELC TECH'!AL:AL)))</f>
        <v>1</v>
      </c>
      <c r="L157" s="12">
        <f>IF(_xlfn.XLOOKUP($B157,'ELC TECH'!$H:$H,'ELC TECH'!$E:$E)="Storage","",IF(_xlfn.XLOOKUP($B157,'ELC TECH'!$H:$H,'ELC TECH'!AM:AM)="",1,_xlfn.XLOOKUP($B157,'ELC TECH'!$H:$H,'ELC TECH'!AM:AM)))</f>
        <v>1</v>
      </c>
      <c r="M157" s="12">
        <f>IF(_xlfn.XLOOKUP($B157,'ELC TECH'!$H:$H,'ELC TECH'!$E:$E)="Storage","",IF(_xlfn.XLOOKUP($B157,'ELC TECH'!$H:$H,'ELC TECH'!AN:AN)="",1,_xlfn.XLOOKUP($B157,'ELC TECH'!$H:$H,'ELC TECH'!AN:AN)))</f>
        <v>1</v>
      </c>
      <c r="N157" s="12">
        <f>IF(_xlfn.XLOOKUP($B157,'ELC TECH'!$H:$H,'ELC TECH'!$E:$E)="Storage","",IF(_xlfn.XLOOKUP($B157,'ELC TECH'!$H:$H,'ELC TECH'!AO:AO)="",1,_xlfn.XLOOKUP($B157,'ELC TECH'!$H:$H,'ELC TECH'!AO:AO)))</f>
        <v>1</v>
      </c>
      <c r="O157" s="12">
        <f>IF(_xlfn.XLOOKUP($B157,'ELC TECH'!$H:$H,'ELC TECH'!$E:$E)="Storage","",IF(_xlfn.XLOOKUP($B157,'ELC TECH'!$H:$H,'ELC TECH'!AP:AP)="",1,_xlfn.XLOOKUP($B157,'ELC TECH'!$H:$H,'ELC TECH'!AP:AP)))</f>
        <v>1</v>
      </c>
      <c r="P157" s="12">
        <f>IF(_xlfn.XLOOKUP($B157,'ELC TECH'!$H:$H,'ELC TECH'!$E:$E)="Storage","",IF(_xlfn.XLOOKUP($B157,'ELC TECH'!$H:$H,'ELC TECH'!AQ:AQ)="",1,_xlfn.XLOOKUP($B157,'ELC TECH'!$H:$H,'ELC TECH'!AQ:AQ)))</f>
        <v>1</v>
      </c>
      <c r="Q157" s="12">
        <f>IF(_xlfn.XLOOKUP($B157,'ELC TECH'!$H:$H,'ELC TECH'!$E:$E)="Storage","",IF(_xlfn.XLOOKUP($B157,'ELC TECH'!$H:$H,'ELC TECH'!AR:AR)="",1,_xlfn.XLOOKUP($B157,'ELC TECH'!$H:$H,'ELC TECH'!AR:AR)))</f>
        <v>1</v>
      </c>
      <c r="R157" s="12" t="str">
        <f>IF(_xlfn.XLOOKUP($B157,'ELC TECH'!$H:$H,'ELC TECH'!$E:$E)&lt;&gt;"Storage","",IF(_xlfn.XLOOKUP($B157,'ELC TECH'!$H:$H,'ELC TECH'!AK:AK)="",0.8,_xlfn.XLOOKUP($B157,'ELC TECH'!$H:$H,'ELC TECH'!AK:AK)))</f>
        <v/>
      </c>
      <c r="S157" s="12" t="str">
        <f>IF(_xlfn.XLOOKUP($B157,'ELC TECH'!$H:$H,'ELC TECH'!$E:$E)&lt;&gt;"Storage","",IF(_xlfn.XLOOKUP($B157,'ELC TECH'!$H:$H,'ELC TECH'!AL:AL)="",0.8,_xlfn.XLOOKUP($B157,'ELC TECH'!$H:$H,'ELC TECH'!AL:AL)))</f>
        <v/>
      </c>
      <c r="T157" s="12" t="str">
        <f>IF(_xlfn.XLOOKUP($B157,'ELC TECH'!$H:$H,'ELC TECH'!$E:$E)&lt;&gt;"Storage","",IF(_xlfn.XLOOKUP($B157,'ELC TECH'!$H:$H,'ELC TECH'!AM:AM)="",0.8,_xlfn.XLOOKUP($B157,'ELC TECH'!$H:$H,'ELC TECH'!AM:AM)))</f>
        <v/>
      </c>
      <c r="U157" s="12" t="str">
        <f>IF(_xlfn.XLOOKUP($B157,'ELC TECH'!$H:$H,'ELC TECH'!$E:$E)&lt;&gt;"Storage","",IF(_xlfn.XLOOKUP($B157,'ELC TECH'!$H:$H,'ELC TECH'!AN:AN)="",0.8,_xlfn.XLOOKUP($B157,'ELC TECH'!$H:$H,'ELC TECH'!AN:AN)))</f>
        <v/>
      </c>
      <c r="V157" s="12" t="str">
        <f>IF(_xlfn.XLOOKUP($B157,'ELC TECH'!$H:$H,'ELC TECH'!$E:$E)&lt;&gt;"Storage","",IF(_xlfn.XLOOKUP($B157,'ELC TECH'!$H:$H,'ELC TECH'!AO:AO)="",0.8,_xlfn.XLOOKUP($B157,'ELC TECH'!$H:$H,'ELC TECH'!AO:AO)))</f>
        <v/>
      </c>
      <c r="W157" s="12" t="str">
        <f>IF(_xlfn.XLOOKUP($B157,'ELC TECH'!$H:$H,'ELC TECH'!$E:$E)&lt;&gt;"Storage","",IF(_xlfn.XLOOKUP($B157,'ELC TECH'!$H:$H,'ELC TECH'!AP:AP)="",0.8,_xlfn.XLOOKUP($B157,'ELC TECH'!$H:$H,'ELC TECH'!AP:AP)))</f>
        <v/>
      </c>
      <c r="X157" s="12" t="str">
        <f>IF(_xlfn.XLOOKUP($B157,'ELC TECH'!$H:$H,'ELC TECH'!$E:$E)&lt;&gt;"Storage","",IF(_xlfn.XLOOKUP($B157,'ELC TECH'!$H:$H,'ELC TECH'!AQ:AQ)="",0.8,_xlfn.XLOOKUP($B157,'ELC TECH'!$H:$H,'ELC TECH'!AQ:AQ)))</f>
        <v/>
      </c>
      <c r="Y157" s="12" t="str">
        <f>IF(_xlfn.XLOOKUP($B157,'ELC TECH'!$H:$H,'ELC TECH'!$E:$E)&lt;&gt;"Storage","",IF(_xlfn.XLOOKUP($B157,'ELC TECH'!$H:$H,'ELC TECH'!AR:AR)="",0.8,_xlfn.XLOOKUP($B157,'ELC TECH'!$H:$H,'ELC TECH'!AR:AR)))</f>
        <v/>
      </c>
      <c r="Z157" s="15">
        <f>_xlfn.XLOOKUP($B157,'ELC TECH'!$H:$H,'ELC TECH'!M:M)</f>
        <v>6549.0142310829506</v>
      </c>
      <c r="AA157" s="15">
        <f>_xlfn.XLOOKUP($B157,'ELC TECH'!$H:$H,'ELC TECH'!N:N)</f>
        <v>6421.1425612343974</v>
      </c>
      <c r="AB157" s="15">
        <f>_xlfn.XLOOKUP($B157,'ELC TECH'!$H:$H,'ELC TECH'!O:O)</f>
        <v>3968.077175989039</v>
      </c>
      <c r="AC157" s="15">
        <f>_xlfn.XLOOKUP($B157,'ELC TECH'!$H:$H,'ELC TECH'!P:P)</f>
        <v>3222.0031734476329</v>
      </c>
      <c r="AD157" s="15">
        <f>_xlfn.XLOOKUP($B157,'ELC TECH'!$H:$H,'ELC TECH'!Q:Q)</f>
        <v>2629.692312978324</v>
      </c>
      <c r="AE157" s="15">
        <f>_xlfn.XLOOKUP($B157,'ELC TECH'!$H:$H,'ELC TECH'!R:R)</f>
        <v>2226.8699153391431</v>
      </c>
      <c r="AF157" s="15">
        <f>_xlfn.XLOOKUP($B157,'ELC TECH'!$H:$H,'ELC TECH'!S:S)</f>
        <v>1953.258376919596</v>
      </c>
      <c r="AG157" s="15">
        <f>_xlfn.XLOOKUP($B157,'ELC TECH'!$H:$H,'ELC TECH'!T:T)</f>
        <v>1953.258376919596</v>
      </c>
      <c r="AH157" s="15">
        <f>_xlfn.XLOOKUP($B157,'ELC TECH'!$H:$H,'ELC TECH'!U:U)</f>
        <v>41.27117929699714</v>
      </c>
      <c r="AI157" s="15">
        <f>_xlfn.XLOOKUP($B157,'ELC TECH'!$H:$H,'ELC TECH'!V:V)</f>
        <v>40.608188464916751</v>
      </c>
      <c r="AJ157" s="15">
        <f>_xlfn.XLOOKUP($B157,'ELC TECH'!$H:$H,'ELC TECH'!W:W)</f>
        <v>39.779449924816397</v>
      </c>
      <c r="AK157" s="15">
        <f>_xlfn.XLOOKUP($B157,'ELC TECH'!$H:$H,'ELC TECH'!X:X)</f>
        <v>39.157896019741258</v>
      </c>
      <c r="AL157" s="15">
        <f>_xlfn.XLOOKUP($B157,'ELC TECH'!$H:$H,'ELC TECH'!Y:Y)</f>
        <v>38.536342114665999</v>
      </c>
      <c r="AM157" s="15">
        <f>_xlfn.XLOOKUP($B157,'ELC TECH'!$H:$H,'ELC TECH'!Z:Z)</f>
        <v>37.914788209590739</v>
      </c>
      <c r="AN157" s="15">
        <f>_xlfn.XLOOKUP($B157,'ELC TECH'!$H:$H,'ELC TECH'!AA:AA)</f>
        <v>37.293234304515479</v>
      </c>
      <c r="AO157" s="15">
        <f>_xlfn.XLOOKUP($B157,'ELC TECH'!$H:$H,'ELC TECH'!AB:AB)</f>
        <v>37.293234304515479</v>
      </c>
      <c r="AP157" s="15">
        <f>_xlfn.XLOOKUP($B157,'ELC TECH'!$H:$H,'ELC TECH'!AC:AC)</f>
        <v>0</v>
      </c>
      <c r="AQ157" s="15">
        <f>_xlfn.XLOOKUP($B157,'ELC TECH'!$H:$H,'ELC TECH'!AD:AD)</f>
        <v>0</v>
      </c>
      <c r="AR157" s="15">
        <f>_xlfn.XLOOKUP($B157,'ELC TECH'!$H:$H,'ELC TECH'!AE:AE)</f>
        <v>0</v>
      </c>
      <c r="AS157" s="15">
        <f>_xlfn.XLOOKUP($B157,'ELC TECH'!$H:$H,'ELC TECH'!AF:AF)</f>
        <v>0</v>
      </c>
      <c r="AT157" s="15">
        <f>_xlfn.XLOOKUP($B157,'ELC TECH'!$H:$H,'ELC TECH'!AG:AG)</f>
        <v>0</v>
      </c>
      <c r="AU157" s="15">
        <f>_xlfn.XLOOKUP($B157,'ELC TECH'!$H:$H,'ELC TECH'!AH:AH)</f>
        <v>0</v>
      </c>
      <c r="AV157" s="15">
        <f>_xlfn.XLOOKUP($B157,'ELC TECH'!$H:$H,'ELC TECH'!AI:AI)</f>
        <v>0</v>
      </c>
      <c r="AW157" s="15">
        <f>_xlfn.XLOOKUP($B157,'ELC TECH'!$H:$H,'ELC TECH'!AJ:AJ)</f>
        <v>0</v>
      </c>
      <c r="AX157" s="12">
        <f>IF(_xlfn.XLOOKUP($B157,'ELC TECH'!$H:$H,'ELC TECH'!$E:$E)="Storage","",_xlfn.XLOOKUP($B157,'ELC TECH'!$H:$H,'ELC TECH'!AS:AS))</f>
        <v>0.35520233750000002</v>
      </c>
      <c r="AY157" s="12">
        <f>IF(_xlfn.XLOOKUP($B157,'ELC TECH'!$H:$H,'ELC TECH'!$E:$E)="Storage","",_xlfn.XLOOKUP($B157,'ELC TECH'!$H:$H,'ELC TECH'!AT:AT))</f>
        <v>0.39815818749999998</v>
      </c>
      <c r="AZ157" s="12">
        <f>IF(_xlfn.XLOOKUP($B157,'ELC TECH'!$H:$H,'ELC TECH'!$E:$E)="Storage","",_xlfn.XLOOKUP($B157,'ELC TECH'!$H:$H,'ELC TECH'!AU:AU))</f>
        <v>0.451853</v>
      </c>
      <c r="BA157" s="12">
        <f>IF(_xlfn.XLOOKUP($B157,'ELC TECH'!$H:$H,'ELC TECH'!$E:$E)="Storage","",_xlfn.XLOOKUP($B157,'ELC TECH'!$H:$H,'ELC TECH'!AV:AV))</f>
        <v>0.451853</v>
      </c>
      <c r="BB157" s="12">
        <f>IF(_xlfn.XLOOKUP($B157,'ELC TECH'!$H:$H,'ELC TECH'!$E:$E)="Storage","",_xlfn.XLOOKUP($B157,'ELC TECH'!$H:$H,'ELC TECH'!AW:AW))</f>
        <v>0.451853</v>
      </c>
      <c r="BC157" s="12">
        <f>IF(_xlfn.XLOOKUP($B157,'ELC TECH'!$H:$H,'ELC TECH'!$E:$E)="Storage","",_xlfn.XLOOKUP($B157,'ELC TECH'!$H:$H,'ELC TECH'!AX:AX))</f>
        <v>0.451853</v>
      </c>
      <c r="BD157" s="12">
        <f>IF(_xlfn.XLOOKUP($B157,'ELC TECH'!$H:$H,'ELC TECH'!$E:$E)="Storage","",_xlfn.XLOOKUP($B157,'ELC TECH'!$H:$H,'ELC TECH'!AY:AY))</f>
        <v>0.451853</v>
      </c>
      <c r="BE157" s="12">
        <f>IF(_xlfn.XLOOKUP($B157,'ELC TECH'!$H:$H,'ELC TECH'!$E:$E)="Storage","",_xlfn.XLOOKUP($B157,'ELC TECH'!$H:$H,'ELC TECH'!AZ:AZ))</f>
        <v>0.451853</v>
      </c>
      <c r="BF157" s="12" t="str">
        <f>IF(_xlfn.XLOOKUP($B157,'ELC TECH'!$H:$H,'ELC TECH'!$E:$E)="Storage",_xlfn.XLOOKUP($B157,'ELC TECH'!$H:$H,'ELC TECH'!AS:AS),"")</f>
        <v/>
      </c>
      <c r="BG157" s="12" t="str">
        <f>IF(_xlfn.XLOOKUP($B157,'ELC TECH'!$H:$H,'ELC TECH'!$E:$E)="Storage",_xlfn.XLOOKUP($B157,'ELC TECH'!$H:$H,'ELC TECH'!AT:AT),"")</f>
        <v/>
      </c>
      <c r="BH157" s="12" t="str">
        <f>IF(_xlfn.XLOOKUP($B157,'ELC TECH'!$H:$H,'ELC TECH'!$E:$E)="Storage",_xlfn.XLOOKUP($B157,'ELC TECH'!$H:$H,'ELC TECH'!AU:AU),"")</f>
        <v/>
      </c>
      <c r="BI157" s="12" t="str">
        <f>IF(_xlfn.XLOOKUP($B157,'ELC TECH'!$H:$H,'ELC TECH'!$E:$E)="Storage",_xlfn.XLOOKUP($B157,'ELC TECH'!$H:$H,'ELC TECH'!AV:AV),"")</f>
        <v/>
      </c>
      <c r="BJ157" s="12" t="str">
        <f>IF(_xlfn.XLOOKUP($B157,'ELC TECH'!$H:$H,'ELC TECH'!$E:$E)="Storage",_xlfn.XLOOKUP($B157,'ELC TECH'!$H:$H,'ELC TECH'!AW:AW),"")</f>
        <v/>
      </c>
      <c r="BK157" s="12" t="str">
        <f>IF(_xlfn.XLOOKUP($B157,'ELC TECH'!$H:$H,'ELC TECH'!$E:$E)="Storage",_xlfn.XLOOKUP($B157,'ELC TECH'!$H:$H,'ELC TECH'!AX:AX),"")</f>
        <v/>
      </c>
      <c r="BL157" s="12" t="str">
        <f>IF(_xlfn.XLOOKUP($B157,'ELC TECH'!$H:$H,'ELC TECH'!$E:$E)="Storage",_xlfn.XLOOKUP($B157,'ELC TECH'!$H:$H,'ELC TECH'!AY:AY),"")</f>
        <v/>
      </c>
      <c r="BM157" s="12" t="str">
        <f>IF(_xlfn.XLOOKUP($B157,'ELC TECH'!$H:$H,'ELC TECH'!$E:$E)="Storage",_xlfn.XLOOKUP($B157,'ELC TECH'!$H:$H,'ELC TECH'!AZ:AZ),"")</f>
        <v/>
      </c>
      <c r="BN157" s="8">
        <f>IF(_xlfn.XLOOKUP($B157,'ELC TECH'!$H:$H,'ELC TECH'!$E:$E)="Non Dispatchable",IFERROR($AX157*_xlfn.XLOOKUP($C157,$BM$1:$BM$3,BN$1:BN$3)/SUMPRODUCT(_xlfn.XLOOKUP($C157,$BM$1:$BM$3,$BN$1:$BY$3),$BN$4:$BY$4),""),
"")</f>
        <v>0.62373583803305066</v>
      </c>
      <c r="BO157" s="8">
        <f>IF(_xlfn.XLOOKUP($B157,'ELC TECH'!$H:$H,'ELC TECH'!$E:$E)="Non Dispatchable",IFERROR($AX157*_xlfn.XLOOKUP($C157,$BM$1:$BM$3,BO$1:BO$3)/SUMPRODUCT(_xlfn.XLOOKUP($C157,$BM$1:$BM$3,$BN$1:$BY$3),$BN$4:$BY$4),""),
"")</f>
        <v>0.62373583803305066</v>
      </c>
      <c r="BP157" s="8">
        <f>IF(_xlfn.XLOOKUP($B157,'ELC TECH'!$H:$H,'ELC TECH'!$E:$E)="Non Dispatchable",IFERROR($AX157*_xlfn.XLOOKUP($C157,$BM$1:$BM$3,BP$1:BP$3)/SUMPRODUCT(_xlfn.XLOOKUP($C157,$BM$1:$BM$3,$BN$1:$BY$3),$BN$4:$BY$4),""),
"")</f>
        <v>6.2373583803305072E-2</v>
      </c>
      <c r="BQ157" s="8">
        <f>IF(_xlfn.XLOOKUP($B157,'ELC TECH'!$H:$H,'ELC TECH'!$E:$E)="Non Dispatchable",IFERROR($AX157*_xlfn.XLOOKUP($C157,$BM$1:$BM$3,BQ$1:BQ$3)/SUMPRODUCT(_xlfn.XLOOKUP($C157,$BM$1:$BM$3,$BN$1:$BY$3),$BN$4:$BY$4),""),
"")</f>
        <v>0.4997732438076144</v>
      </c>
      <c r="BR157" s="8">
        <f>IF(_xlfn.XLOOKUP($B157,'ELC TECH'!$H:$H,'ELC TECH'!$E:$E)="Non Dispatchable",IFERROR($AX157*_xlfn.XLOOKUP($C157,$BM$1:$BM$3,BR$1:BR$3)/SUMPRODUCT(_xlfn.XLOOKUP($C157,$BM$1:$BM$3,$BN$1:$BY$3),$BN$4:$BY$4),""),
"")</f>
        <v>0.7258017024384591</v>
      </c>
      <c r="BS157" s="8">
        <f>IF(_xlfn.XLOOKUP($B157,'ELC TECH'!$H:$H,'ELC TECH'!$E:$E)="Non Dispatchable",IFERROR($AX157*_xlfn.XLOOKUP($C157,$BM$1:$BM$3,BS$1:BS$3)/SUMPRODUCT(_xlfn.XLOOKUP($C157,$BM$1:$BM$3,$BN$1:$BY$3),$BN$4:$BY$4),""),
"")</f>
        <v>0.7258017024384591</v>
      </c>
      <c r="BT157" s="8">
        <f>IF(_xlfn.XLOOKUP($B157,'ELC TECH'!$H:$H,'ELC TECH'!$E:$E)="Non Dispatchable",IFERROR($AX157*_xlfn.XLOOKUP($C157,$BM$1:$BM$3,BT$1:BT$3)/SUMPRODUCT(_xlfn.XLOOKUP($C157,$BM$1:$BM$3,$BN$1:$BY$3),$BN$4:$BY$4),""),
"")</f>
        <v>7.2580170243845915E-2</v>
      </c>
      <c r="BU157" s="8">
        <f>IF(_xlfn.XLOOKUP($B157,'ELC TECH'!$H:$H,'ELC TECH'!$E:$E)="Non Dispatchable",IFERROR($AX157*_xlfn.XLOOKUP($C157,$BM$1:$BM$3,BU$1:BU$3)/SUMPRODUCT(_xlfn.XLOOKUP($C157,$BM$1:$BM$3,$BN$1:$BY$3),$BN$4:$BY$4),""),
"")</f>
        <v>0.64310876536818462</v>
      </c>
      <c r="BV157" s="8">
        <f>IF(_xlfn.XLOOKUP($B157,'ELC TECH'!$H:$H,'ELC TECH'!$E:$E)="Non Dispatchable",IFERROR($AX157*_xlfn.XLOOKUP($C157,$BM$1:$BM$3,BV$1:BV$3)/SUMPRODUCT(_xlfn.XLOOKUP($C157,$BM$1:$BM$3,$BN$1:$BY$3),$BN$4:$BY$4),""),
"")</f>
        <v>0.3758710013807296</v>
      </c>
      <c r="BW157" s="8">
        <f>IF(_xlfn.XLOOKUP($B157,'ELC TECH'!$H:$H,'ELC TECH'!$E:$E)="Non Dispatchable",IFERROR($AX157*_xlfn.XLOOKUP($C157,$BM$1:$BM$3,BW$1:BW$3)/SUMPRODUCT(_xlfn.XLOOKUP($C157,$BM$1:$BM$3,$BN$1:$BY$3),$BN$4:$BY$4),""),
"")</f>
        <v>0.3758710013807296</v>
      </c>
      <c r="BX157" s="8">
        <f>IF(_xlfn.XLOOKUP($B157,'ELC TECH'!$H:$H,'ELC TECH'!$E:$E)="Non Dispatchable",IFERROR($AX157*_xlfn.XLOOKUP($C157,$BM$1:$BM$3,BX$1:BX$3)/SUMPRODUCT(_xlfn.XLOOKUP($C157,$BM$1:$BM$3,$BN$1:$BY$3),$BN$4:$BY$4),""),
"")</f>
        <v>3.7587100138072961E-2</v>
      </c>
      <c r="BY157" s="8">
        <f>IF(_xlfn.XLOOKUP($B157,'ELC TECH'!$H:$H,'ELC TECH'!$E:$E)="Non Dispatchable",IFERROR($AX157*_xlfn.XLOOKUP($C157,$BM$1:$BM$3,BY$1:BY$3)/SUMPRODUCT(_xlfn.XLOOKUP($C157,$BM$1:$BM$3,$BN$1:$BY$3),$BN$4:$BY$4),""),
"")</f>
        <v>0.27474333311644494</v>
      </c>
      <c r="BZ157" s="8">
        <f>IF(_xlfn.XLOOKUP($B157,'ELC TECH'!$H:$H,'ELC TECH'!$E:$E)="Non Dispatchable",IFERROR($AX157*_xlfn.XLOOKUP($C157,$BM$1:$BM$3,BZ$1:BZ$3)/SUMPRODUCT(_xlfn.XLOOKUP($C157,$BM$1:$BM$3,$BN$1:$BY$3),$BN$4:$BY$4),""),
"")</f>
        <v>0.62373583803305066</v>
      </c>
      <c r="CA157" s="8">
        <f>IF(_xlfn.XLOOKUP($B157,'ELC TECH'!$H:$H,'ELC TECH'!$E:$E)="Non Dispatchable",IFERROR($AX157*_xlfn.XLOOKUP($C157,$BM$1:$BM$3,CA$1:CA$3)/SUMPRODUCT(_xlfn.XLOOKUP($C157,$BM$1:$BM$3,$BN$1:$BY$3),$BN$4:$BY$4),""),
"")</f>
        <v>0.62373583803305066</v>
      </c>
      <c r="CB157" s="8">
        <f>IF(_xlfn.XLOOKUP($B157,'ELC TECH'!$H:$H,'ELC TECH'!$E:$E)="Non Dispatchable",IFERROR($AX157*_xlfn.XLOOKUP($C157,$BM$1:$BM$3,CB$1:CB$3)/SUMPRODUCT(_xlfn.XLOOKUP($C157,$BM$1:$BM$3,$BN$1:$BY$3),$BN$4:$BY$4),""),
"")</f>
        <v>6.2373583803305072E-2</v>
      </c>
      <c r="CC157" s="8">
        <f>IF(_xlfn.XLOOKUP($B157,'ELC TECH'!$H:$H,'ELC TECH'!$E:$E)="Non Dispatchable",IFERROR($AX157*_xlfn.XLOOKUP($C157,$BM$1:$BM$3,CC$1:CC$3)/SUMPRODUCT(_xlfn.XLOOKUP($C157,$BM$1:$BM$3,$BN$1:$BY$3),$BN$4:$BY$4),""),
"")</f>
        <v>0.4997732438076144</v>
      </c>
      <c r="CD157" s="8">
        <f>IF(_xlfn.XLOOKUP($B157,'ELC TECH'!$H:$H,'ELC TECH'!$E:$E)="Non Dispatchable",IFERROR($AX157*_xlfn.XLOOKUP($C157,$BM$1:$BM$3,CD$1:CD$3)/SUMPRODUCT(_xlfn.XLOOKUP($C157,$BM$1:$BM$3,$BN$1:$BY$3),$BN$4:$BY$4),""),
"")</f>
        <v>0.7258017024384591</v>
      </c>
      <c r="CE157" s="8">
        <f>IF(_xlfn.XLOOKUP($B157,'ELC TECH'!$H:$H,'ELC TECH'!$E:$E)="Non Dispatchable",IFERROR($AX157*_xlfn.XLOOKUP($C157,$BM$1:$BM$3,CE$1:CE$3)/SUMPRODUCT(_xlfn.XLOOKUP($C157,$BM$1:$BM$3,$BN$1:$BY$3),$BN$4:$BY$4),""),
"")</f>
        <v>0.7258017024384591</v>
      </c>
      <c r="CF157" s="8">
        <f>IF(_xlfn.XLOOKUP($B157,'ELC TECH'!$H:$H,'ELC TECH'!$E:$E)="Non Dispatchable",IFERROR($AX157*_xlfn.XLOOKUP($C157,$BM$1:$BM$3,CF$1:CF$3)/SUMPRODUCT(_xlfn.XLOOKUP($C157,$BM$1:$BM$3,$BN$1:$BY$3),$BN$4:$BY$4),""),
"")</f>
        <v>7.2580170243845915E-2</v>
      </c>
      <c r="CG157" s="8">
        <f>IF(_xlfn.XLOOKUP($B157,'ELC TECH'!$H:$H,'ELC TECH'!$E:$E)="Non Dispatchable",IFERROR($AX157*_xlfn.XLOOKUP($C157,$BM$1:$BM$3,CG$1:CG$3)/SUMPRODUCT(_xlfn.XLOOKUP($C157,$BM$1:$BM$3,$BN$1:$BY$3),$BN$4:$BY$4),""),
"")</f>
        <v>0.64310876536818462</v>
      </c>
      <c r="CH157" s="8">
        <f>IF(_xlfn.XLOOKUP($B157,'ELC TECH'!$H:$H,'ELC TECH'!$E:$E)="Non Dispatchable",IFERROR($AX157*_xlfn.XLOOKUP($C157,$BM$1:$BM$3,CH$1:CH$3)/SUMPRODUCT(_xlfn.XLOOKUP($C157,$BM$1:$BM$3,$BN$1:$BY$3),$BN$4:$BY$4),""),
"")</f>
        <v>0.3758710013807296</v>
      </c>
      <c r="CI157" s="8">
        <f>IF(_xlfn.XLOOKUP($B157,'ELC TECH'!$H:$H,'ELC TECH'!$E:$E)="Non Dispatchable",IFERROR($AX157*_xlfn.XLOOKUP($C157,$BM$1:$BM$3,CI$1:CI$3)/SUMPRODUCT(_xlfn.XLOOKUP($C157,$BM$1:$BM$3,$BN$1:$BY$3),$BN$4:$BY$4),""),
"")</f>
        <v>0.3758710013807296</v>
      </c>
      <c r="CJ157" s="8">
        <f>IF(_xlfn.XLOOKUP($B157,'ELC TECH'!$H:$H,'ELC TECH'!$E:$E)="Non Dispatchable",IFERROR($AX157*_xlfn.XLOOKUP($C157,$BM$1:$BM$3,CJ$1:CJ$3)/SUMPRODUCT(_xlfn.XLOOKUP($C157,$BM$1:$BM$3,$BN$1:$BY$3),$BN$4:$BY$4),""),
"")</f>
        <v>3.7587100138072961E-2</v>
      </c>
      <c r="CK157" s="8">
        <f>IF(_xlfn.XLOOKUP($B157,'ELC TECH'!$H:$H,'ELC TECH'!$E:$E)="Non Dispatchable",IFERROR($AX157*_xlfn.XLOOKUP($C157,$BM$1:$BM$3,CK$1:CK$3)/SUMPRODUCT(_xlfn.XLOOKUP($C157,$BM$1:$BM$3,$BN$1:$BY$3),$BN$4:$BY$4),""),
"")</f>
        <v>0.27474333311644494</v>
      </c>
      <c r="CL157" s="8" t="str">
        <f>IF(_xlfn.XLOOKUP($B157,'ELC TECH'!$H:$H,'ELC TECH'!$E:$E)="Storage",CL$4*$BF157,"")</f>
        <v/>
      </c>
      <c r="CM157" s="8" t="str">
        <f>IF(_xlfn.XLOOKUP($B157,'ELC TECH'!$H:$H,'ELC TECH'!$E:$E)="Storage",CM$4*$BF157,"")</f>
        <v/>
      </c>
      <c r="CN157" s="8" t="str">
        <f>IF(_xlfn.XLOOKUP($B157,'ELC TECH'!$H:$H,'ELC TECH'!$E:$E)="Storage",CN$4*$BF157,"")</f>
        <v/>
      </c>
      <c r="CO157" s="8" t="str">
        <f>IF(_xlfn.XLOOKUP($B157,'ELC TECH'!$H:$H,'ELC TECH'!$E:$E)="Storage",CO$4*$BF157,"")</f>
        <v/>
      </c>
      <c r="CP157" s="8" t="str">
        <f>IF(_xlfn.XLOOKUP($B157,'ELC TECH'!$H:$H,'ELC TECH'!$E:$E)="Storage",CP$4*$BF157,"")</f>
        <v/>
      </c>
      <c r="CQ157" s="8" t="str">
        <f>IF(_xlfn.XLOOKUP($B157,'ELC TECH'!$H:$H,'ELC TECH'!$E:$E)="Storage",CQ$4*$BF157,"")</f>
        <v/>
      </c>
      <c r="CR157" s="8" t="str">
        <f>IF(_xlfn.XLOOKUP($B157,'ELC TECH'!$H:$H,'ELC TECH'!$E:$E)="Storage",CR$4*$BF157,"")</f>
        <v/>
      </c>
      <c r="CS157" s="8" t="str">
        <f>IF(_xlfn.XLOOKUP($B157,'ELC TECH'!$H:$H,'ELC TECH'!$E:$E)="Storage",CS$4*$BF157,"")</f>
        <v/>
      </c>
      <c r="CT157" s="8" t="str">
        <f>IF(_xlfn.XLOOKUP($B157,'ELC TECH'!$H:$H,'ELC TECH'!$E:$E)="Storage",CT$4*$BF157,"")</f>
        <v/>
      </c>
      <c r="CU157" s="8" t="str">
        <f>IF(_xlfn.XLOOKUP($B157,'ELC TECH'!$H:$H,'ELC TECH'!$E:$E)="Storage",CU$4*$BF157,"")</f>
        <v/>
      </c>
      <c r="CV157" s="8" t="str">
        <f>IF(_xlfn.XLOOKUP($B157,'ELC TECH'!$H:$H,'ELC TECH'!$E:$E)="Storage",CV$4*$BF157,"")</f>
        <v/>
      </c>
      <c r="CW157" s="8" t="str">
        <f>IF(_xlfn.XLOOKUP($B157,'ELC TECH'!$H:$H,'ELC TECH'!$E:$E)="Storage",CW$4*$BF157,"")</f>
        <v/>
      </c>
      <c r="CX157" s="8" t="str">
        <f>IF(_xlfn.XLOOKUP($B157,'ELC TECH'!$H:$H,'ELC TECH'!$E:$E)="Storage",CX$4*$BF157,"")</f>
        <v/>
      </c>
      <c r="CY157" s="8" t="str">
        <f>IF(_xlfn.XLOOKUP($B157,'ELC TECH'!$H:$H,'ELC TECH'!$E:$E)="Storage",CY$4*$BF157,"")</f>
        <v/>
      </c>
      <c r="CZ157" s="8" t="str">
        <f>IF(_xlfn.XLOOKUP($B157,'ELC TECH'!$H:$H,'ELC TECH'!$E:$E)="Storage",CZ$4*$BF157,"")</f>
        <v/>
      </c>
      <c r="DA157" s="8" t="str">
        <f>IF(_xlfn.XLOOKUP($B157,'ELC TECH'!$H:$H,'ELC TECH'!$E:$E)="Storage",DA$4*$BF157,"")</f>
        <v/>
      </c>
      <c r="DB157" s="8" t="str">
        <f>IF(_xlfn.XLOOKUP($B157,'ELC TECH'!$H:$H,'ELC TECH'!$E:$E)="Storage",DB$4*$BF157,"")</f>
        <v/>
      </c>
      <c r="DC157" s="8" t="str">
        <f>IF(_xlfn.XLOOKUP($B157,'ELC TECH'!$H:$H,'ELC TECH'!$E:$E)="Storage",DC$4*$BF157,"")</f>
        <v/>
      </c>
      <c r="DD157" s="8" t="str">
        <f>IF(_xlfn.XLOOKUP($B157,'ELC TECH'!$H:$H,'ELC TECH'!$E:$E)="Storage",DD$4*$BF157,"")</f>
        <v/>
      </c>
      <c r="DE157" s="8" t="str">
        <f>IF(_xlfn.XLOOKUP($B157,'ELC TECH'!$H:$H,'ELC TECH'!$E:$E)="Storage",DE$4*$BF157,"")</f>
        <v/>
      </c>
      <c r="DF157" s="8" t="str">
        <f>IF(_xlfn.XLOOKUP($B157,'ELC TECH'!$H:$H,'ELC TECH'!$E:$E)="Storage",DF$4*$BF157,"")</f>
        <v/>
      </c>
      <c r="DG157" s="8" t="str">
        <f>IF(_xlfn.XLOOKUP($B157,'ELC TECH'!$H:$H,'ELC TECH'!$E:$E)="Storage",DG$4*$BF157,"")</f>
        <v/>
      </c>
      <c r="DH157" s="8" t="str">
        <f>IF(_xlfn.XLOOKUP($B157,'ELC TECH'!$H:$H,'ELC TECH'!$E:$E)="Storage",DH$4*$BF157,"")</f>
        <v/>
      </c>
      <c r="DI157" s="8" t="str">
        <f>IF(_xlfn.XLOOKUP($B157,'ELC TECH'!$H:$H,'ELC TECH'!$E:$E)="Storage",DI$4*$BF157,"")</f>
        <v/>
      </c>
    </row>
    <row r="158" spans="2:113" x14ac:dyDescent="0.25">
      <c r="B158" t="str">
        <f>IF('ELC TECH'!I151=0,"*",'ELC TECH'!H151)</f>
        <v>ELCWNDDCERDWC420</v>
      </c>
      <c r="C158" t="str">
        <f>IF(_xlfn.XLOOKUP(_xlfn.XLOOKUP(B158,'ELC TECH'!$H:$H,'ELC TECH'!$G:$G),List!C:C,List!B:B)="STG",D158,"ELC"&amp;_xlfn.XLOOKUP(_xlfn.XLOOKUP(B158,'ELC TECH'!H:H,'ELC TECH'!G:G),List!C:C,List!B:B))</f>
        <v>ELCWND</v>
      </c>
      <c r="D158" t="s">
        <v>544</v>
      </c>
      <c r="E158">
        <f>_xlfn.XLOOKUP(B158,'ELC TECH'!H:H,'ELC TECH'!D:D)</f>
        <v>2020</v>
      </c>
      <c r="F158">
        <f>_xlfn.XLOOKUP(B158,'ELC TECH'!H:H,'ELC TECH'!K:K)</f>
        <v>30</v>
      </c>
      <c r="G158">
        <f t="shared" si="8"/>
        <v>31.535999999999998</v>
      </c>
      <c r="H158">
        <f>IF(_xlfn.XLOOKUP(B158,'ELC TECH'!$H:$H,'ELC TECH'!$E:$E)="Storage",0.3,IF(_xlfn.XLOOKUP(B158,'ELC TECH'!$H:$H,'ELC TECH'!$E:$E)="Baseload",0.9,IF(_xlfn.XLOOKUP(B158,'ELC TECH'!$H:$H,'ELC TECH'!$E:$E)="Non Dispatchable",0.05,IF(_xlfn.XLOOKUP(B158,'ELC TECH'!$H:$H,'ELC TECH'!$E:$E)="Dispatchable",0.9,1))))</f>
        <v>0.05</v>
      </c>
      <c r="I158" s="13">
        <f>IF(_xlfn.XLOOKUP(B158,'ELC TECH'!H:H,'ELC TECH'!J:J)="","",_xlfn.XLOOKUP(B158,'ELC TECH'!H:H,'ELC TECH'!J:J))</f>
        <v>233.39318333333341</v>
      </c>
      <c r="J158" s="12">
        <f>IF(_xlfn.XLOOKUP($B158,'ELC TECH'!$H:$H,'ELC TECH'!$E:$E)="Storage","",IF(_xlfn.XLOOKUP($B158,'ELC TECH'!$H:$H,'ELC TECH'!AK:AK)="",1,_xlfn.XLOOKUP($B158,'ELC TECH'!$H:$H,'ELC TECH'!AK:AK)))</f>
        <v>1</v>
      </c>
      <c r="K158" s="12">
        <f>IF(_xlfn.XLOOKUP($B158,'ELC TECH'!$H:$H,'ELC TECH'!$E:$E)="Storage","",IF(_xlfn.XLOOKUP($B158,'ELC TECH'!$H:$H,'ELC TECH'!AL:AL)="",1,_xlfn.XLOOKUP($B158,'ELC TECH'!$H:$H,'ELC TECH'!AL:AL)))</f>
        <v>1</v>
      </c>
      <c r="L158" s="12">
        <f>IF(_xlfn.XLOOKUP($B158,'ELC TECH'!$H:$H,'ELC TECH'!$E:$E)="Storage","",IF(_xlfn.XLOOKUP($B158,'ELC TECH'!$H:$H,'ELC TECH'!AM:AM)="",1,_xlfn.XLOOKUP($B158,'ELC TECH'!$H:$H,'ELC TECH'!AM:AM)))</f>
        <v>1</v>
      </c>
      <c r="M158" s="12">
        <f>IF(_xlfn.XLOOKUP($B158,'ELC TECH'!$H:$H,'ELC TECH'!$E:$E)="Storage","",IF(_xlfn.XLOOKUP($B158,'ELC TECH'!$H:$H,'ELC TECH'!AN:AN)="",1,_xlfn.XLOOKUP($B158,'ELC TECH'!$H:$H,'ELC TECH'!AN:AN)))</f>
        <v>1</v>
      </c>
      <c r="N158" s="12">
        <f>IF(_xlfn.XLOOKUP($B158,'ELC TECH'!$H:$H,'ELC TECH'!$E:$E)="Storage","",IF(_xlfn.XLOOKUP($B158,'ELC TECH'!$H:$H,'ELC TECH'!AO:AO)="",1,_xlfn.XLOOKUP($B158,'ELC TECH'!$H:$H,'ELC TECH'!AO:AO)))</f>
        <v>1</v>
      </c>
      <c r="O158" s="12">
        <f>IF(_xlfn.XLOOKUP($B158,'ELC TECH'!$H:$H,'ELC TECH'!$E:$E)="Storage","",IF(_xlfn.XLOOKUP($B158,'ELC TECH'!$H:$H,'ELC TECH'!AP:AP)="",1,_xlfn.XLOOKUP($B158,'ELC TECH'!$H:$H,'ELC TECH'!AP:AP)))</f>
        <v>1</v>
      </c>
      <c r="P158" s="12">
        <f>IF(_xlfn.XLOOKUP($B158,'ELC TECH'!$H:$H,'ELC TECH'!$E:$E)="Storage","",IF(_xlfn.XLOOKUP($B158,'ELC TECH'!$H:$H,'ELC TECH'!AQ:AQ)="",1,_xlfn.XLOOKUP($B158,'ELC TECH'!$H:$H,'ELC TECH'!AQ:AQ)))</f>
        <v>1</v>
      </c>
      <c r="Q158" s="12">
        <f>IF(_xlfn.XLOOKUP($B158,'ELC TECH'!$H:$H,'ELC TECH'!$E:$E)="Storage","",IF(_xlfn.XLOOKUP($B158,'ELC TECH'!$H:$H,'ELC TECH'!AR:AR)="",1,_xlfn.XLOOKUP($B158,'ELC TECH'!$H:$H,'ELC TECH'!AR:AR)))</f>
        <v>1</v>
      </c>
      <c r="R158" s="12" t="str">
        <f>IF(_xlfn.XLOOKUP($B158,'ELC TECH'!$H:$H,'ELC TECH'!$E:$E)&lt;&gt;"Storage","",IF(_xlfn.XLOOKUP($B158,'ELC TECH'!$H:$H,'ELC TECH'!AK:AK)="",0.8,_xlfn.XLOOKUP($B158,'ELC TECH'!$H:$H,'ELC TECH'!AK:AK)))</f>
        <v/>
      </c>
      <c r="S158" s="12" t="str">
        <f>IF(_xlfn.XLOOKUP($B158,'ELC TECH'!$H:$H,'ELC TECH'!$E:$E)&lt;&gt;"Storage","",IF(_xlfn.XLOOKUP($B158,'ELC TECH'!$H:$H,'ELC TECH'!AL:AL)="",0.8,_xlfn.XLOOKUP($B158,'ELC TECH'!$H:$H,'ELC TECH'!AL:AL)))</f>
        <v/>
      </c>
      <c r="T158" s="12" t="str">
        <f>IF(_xlfn.XLOOKUP($B158,'ELC TECH'!$H:$H,'ELC TECH'!$E:$E)&lt;&gt;"Storage","",IF(_xlfn.XLOOKUP($B158,'ELC TECH'!$H:$H,'ELC TECH'!AM:AM)="",0.8,_xlfn.XLOOKUP($B158,'ELC TECH'!$H:$H,'ELC TECH'!AM:AM)))</f>
        <v/>
      </c>
      <c r="U158" s="12" t="str">
        <f>IF(_xlfn.XLOOKUP($B158,'ELC TECH'!$H:$H,'ELC TECH'!$E:$E)&lt;&gt;"Storage","",IF(_xlfn.XLOOKUP($B158,'ELC TECH'!$H:$H,'ELC TECH'!AN:AN)="",0.8,_xlfn.XLOOKUP($B158,'ELC TECH'!$H:$H,'ELC TECH'!AN:AN)))</f>
        <v/>
      </c>
      <c r="V158" s="12" t="str">
        <f>IF(_xlfn.XLOOKUP($B158,'ELC TECH'!$H:$H,'ELC TECH'!$E:$E)&lt;&gt;"Storage","",IF(_xlfn.XLOOKUP($B158,'ELC TECH'!$H:$H,'ELC TECH'!AO:AO)="",0.8,_xlfn.XLOOKUP($B158,'ELC TECH'!$H:$H,'ELC TECH'!AO:AO)))</f>
        <v/>
      </c>
      <c r="W158" s="12" t="str">
        <f>IF(_xlfn.XLOOKUP($B158,'ELC TECH'!$H:$H,'ELC TECH'!$E:$E)&lt;&gt;"Storage","",IF(_xlfn.XLOOKUP($B158,'ELC TECH'!$H:$H,'ELC TECH'!AP:AP)="",0.8,_xlfn.XLOOKUP($B158,'ELC TECH'!$H:$H,'ELC TECH'!AP:AP)))</f>
        <v/>
      </c>
      <c r="X158" s="12" t="str">
        <f>IF(_xlfn.XLOOKUP($B158,'ELC TECH'!$H:$H,'ELC TECH'!$E:$E)&lt;&gt;"Storage","",IF(_xlfn.XLOOKUP($B158,'ELC TECH'!$H:$H,'ELC TECH'!AQ:AQ)="",0.8,_xlfn.XLOOKUP($B158,'ELC TECH'!$H:$H,'ELC TECH'!AQ:AQ)))</f>
        <v/>
      </c>
      <c r="Y158" s="12" t="str">
        <f>IF(_xlfn.XLOOKUP($B158,'ELC TECH'!$H:$H,'ELC TECH'!$E:$E)&lt;&gt;"Storage","",IF(_xlfn.XLOOKUP($B158,'ELC TECH'!$H:$H,'ELC TECH'!AR:AR)="",0.8,_xlfn.XLOOKUP($B158,'ELC TECH'!$H:$H,'ELC TECH'!AR:AR)))</f>
        <v/>
      </c>
      <c r="Z158" s="15">
        <f>_xlfn.XLOOKUP($B158,'ELC TECH'!$H:$H,'ELC TECH'!M:M)</f>
        <v>6549.0142310829506</v>
      </c>
      <c r="AA158" s="15">
        <f>_xlfn.XLOOKUP($B158,'ELC TECH'!$H:$H,'ELC TECH'!N:N)</f>
        <v>6421.1425612343974</v>
      </c>
      <c r="AB158" s="15">
        <f>_xlfn.XLOOKUP($B158,'ELC TECH'!$H:$H,'ELC TECH'!O:O)</f>
        <v>3968.077175989039</v>
      </c>
      <c r="AC158" s="15">
        <f>_xlfn.XLOOKUP($B158,'ELC TECH'!$H:$H,'ELC TECH'!P:P)</f>
        <v>3222.0031734476329</v>
      </c>
      <c r="AD158" s="15">
        <f>_xlfn.XLOOKUP($B158,'ELC TECH'!$H:$H,'ELC TECH'!Q:Q)</f>
        <v>2629.692312978324</v>
      </c>
      <c r="AE158" s="15">
        <f>_xlfn.XLOOKUP($B158,'ELC TECH'!$H:$H,'ELC TECH'!R:R)</f>
        <v>2226.8699153391431</v>
      </c>
      <c r="AF158" s="15">
        <f>_xlfn.XLOOKUP($B158,'ELC TECH'!$H:$H,'ELC TECH'!S:S)</f>
        <v>1953.258376919596</v>
      </c>
      <c r="AG158" s="15">
        <f>_xlfn.XLOOKUP($B158,'ELC TECH'!$H:$H,'ELC TECH'!T:T)</f>
        <v>1953.258376919596</v>
      </c>
      <c r="AH158" s="15">
        <f>_xlfn.XLOOKUP($B158,'ELC TECH'!$H:$H,'ELC TECH'!U:U)</f>
        <v>41.27117929699714</v>
      </c>
      <c r="AI158" s="15">
        <f>_xlfn.XLOOKUP($B158,'ELC TECH'!$H:$H,'ELC TECH'!V:V)</f>
        <v>40.608188464916751</v>
      </c>
      <c r="AJ158" s="15">
        <f>_xlfn.XLOOKUP($B158,'ELC TECH'!$H:$H,'ELC TECH'!W:W)</f>
        <v>39.779449924816397</v>
      </c>
      <c r="AK158" s="15">
        <f>_xlfn.XLOOKUP($B158,'ELC TECH'!$H:$H,'ELC TECH'!X:X)</f>
        <v>39.157896019741258</v>
      </c>
      <c r="AL158" s="15">
        <f>_xlfn.XLOOKUP($B158,'ELC TECH'!$H:$H,'ELC TECH'!Y:Y)</f>
        <v>38.536342114665999</v>
      </c>
      <c r="AM158" s="15">
        <f>_xlfn.XLOOKUP($B158,'ELC TECH'!$H:$H,'ELC TECH'!Z:Z)</f>
        <v>37.914788209590739</v>
      </c>
      <c r="AN158" s="15">
        <f>_xlfn.XLOOKUP($B158,'ELC TECH'!$H:$H,'ELC TECH'!AA:AA)</f>
        <v>37.293234304515479</v>
      </c>
      <c r="AO158" s="15">
        <f>_xlfn.XLOOKUP($B158,'ELC TECH'!$H:$H,'ELC TECH'!AB:AB)</f>
        <v>37.293234304515479</v>
      </c>
      <c r="AP158" s="15">
        <f>_xlfn.XLOOKUP($B158,'ELC TECH'!$H:$H,'ELC TECH'!AC:AC)</f>
        <v>0</v>
      </c>
      <c r="AQ158" s="15">
        <f>_xlfn.XLOOKUP($B158,'ELC TECH'!$H:$H,'ELC TECH'!AD:AD)</f>
        <v>0</v>
      </c>
      <c r="AR158" s="15">
        <f>_xlfn.XLOOKUP($B158,'ELC TECH'!$H:$H,'ELC TECH'!AE:AE)</f>
        <v>0</v>
      </c>
      <c r="AS158" s="15">
        <f>_xlfn.XLOOKUP($B158,'ELC TECH'!$H:$H,'ELC TECH'!AF:AF)</f>
        <v>0</v>
      </c>
      <c r="AT158" s="15">
        <f>_xlfn.XLOOKUP($B158,'ELC TECH'!$H:$H,'ELC TECH'!AG:AG)</f>
        <v>0</v>
      </c>
      <c r="AU158" s="15">
        <f>_xlfn.XLOOKUP($B158,'ELC TECH'!$H:$H,'ELC TECH'!AH:AH)</f>
        <v>0</v>
      </c>
      <c r="AV158" s="15">
        <f>_xlfn.XLOOKUP($B158,'ELC TECH'!$H:$H,'ELC TECH'!AI:AI)</f>
        <v>0</v>
      </c>
      <c r="AW158" s="15">
        <f>_xlfn.XLOOKUP($B158,'ELC TECH'!$H:$H,'ELC TECH'!AJ:AJ)</f>
        <v>0</v>
      </c>
      <c r="AX158" s="12">
        <f>IF(_xlfn.XLOOKUP($B158,'ELC TECH'!$H:$H,'ELC TECH'!$E:$E)="Storage","",_xlfn.XLOOKUP($B158,'ELC TECH'!$H:$H,'ELC TECH'!AS:AS))</f>
        <v>0.34360675000000002</v>
      </c>
      <c r="AY158" s="12">
        <f>IF(_xlfn.XLOOKUP($B158,'ELC TECH'!$H:$H,'ELC TECH'!$E:$E)="Storage","",_xlfn.XLOOKUP($B158,'ELC TECH'!$H:$H,'ELC TECH'!AT:AT))</f>
        <v>0.38677175000000003</v>
      </c>
      <c r="AZ158" s="12">
        <f>IF(_xlfn.XLOOKUP($B158,'ELC TECH'!$H:$H,'ELC TECH'!$E:$E)="Storage","",_xlfn.XLOOKUP($B158,'ELC TECH'!$H:$H,'ELC TECH'!AU:AU))</f>
        <v>0.44072800000000001</v>
      </c>
      <c r="BA158" s="12">
        <f>IF(_xlfn.XLOOKUP($B158,'ELC TECH'!$H:$H,'ELC TECH'!$E:$E)="Storage","",_xlfn.XLOOKUP($B158,'ELC TECH'!$H:$H,'ELC TECH'!AV:AV))</f>
        <v>0.44072800000000001</v>
      </c>
      <c r="BB158" s="12">
        <f>IF(_xlfn.XLOOKUP($B158,'ELC TECH'!$H:$H,'ELC TECH'!$E:$E)="Storage","",_xlfn.XLOOKUP($B158,'ELC TECH'!$H:$H,'ELC TECH'!AW:AW))</f>
        <v>0.44072800000000001</v>
      </c>
      <c r="BC158" s="12">
        <f>IF(_xlfn.XLOOKUP($B158,'ELC TECH'!$H:$H,'ELC TECH'!$E:$E)="Storage","",_xlfn.XLOOKUP($B158,'ELC TECH'!$H:$H,'ELC TECH'!AX:AX))</f>
        <v>0.44072800000000001</v>
      </c>
      <c r="BD158" s="12">
        <f>IF(_xlfn.XLOOKUP($B158,'ELC TECH'!$H:$H,'ELC TECH'!$E:$E)="Storage","",_xlfn.XLOOKUP($B158,'ELC TECH'!$H:$H,'ELC TECH'!AY:AY))</f>
        <v>0.44072800000000001</v>
      </c>
      <c r="BE158" s="12">
        <f>IF(_xlfn.XLOOKUP($B158,'ELC TECH'!$H:$H,'ELC TECH'!$E:$E)="Storage","",_xlfn.XLOOKUP($B158,'ELC TECH'!$H:$H,'ELC TECH'!AZ:AZ))</f>
        <v>0.44072800000000001</v>
      </c>
      <c r="BF158" s="12" t="str">
        <f>IF(_xlfn.XLOOKUP($B158,'ELC TECH'!$H:$H,'ELC TECH'!$E:$E)="Storage",_xlfn.XLOOKUP($B158,'ELC TECH'!$H:$H,'ELC TECH'!AS:AS),"")</f>
        <v/>
      </c>
      <c r="BG158" s="12" t="str">
        <f>IF(_xlfn.XLOOKUP($B158,'ELC TECH'!$H:$H,'ELC TECH'!$E:$E)="Storage",_xlfn.XLOOKUP($B158,'ELC TECH'!$H:$H,'ELC TECH'!AT:AT),"")</f>
        <v/>
      </c>
      <c r="BH158" s="12" t="str">
        <f>IF(_xlfn.XLOOKUP($B158,'ELC TECH'!$H:$H,'ELC TECH'!$E:$E)="Storage",_xlfn.XLOOKUP($B158,'ELC TECH'!$H:$H,'ELC TECH'!AU:AU),"")</f>
        <v/>
      </c>
      <c r="BI158" s="12" t="str">
        <f>IF(_xlfn.XLOOKUP($B158,'ELC TECH'!$H:$H,'ELC TECH'!$E:$E)="Storage",_xlfn.XLOOKUP($B158,'ELC TECH'!$H:$H,'ELC TECH'!AV:AV),"")</f>
        <v/>
      </c>
      <c r="BJ158" s="12" t="str">
        <f>IF(_xlfn.XLOOKUP($B158,'ELC TECH'!$H:$H,'ELC TECH'!$E:$E)="Storage",_xlfn.XLOOKUP($B158,'ELC TECH'!$H:$H,'ELC TECH'!AW:AW),"")</f>
        <v/>
      </c>
      <c r="BK158" s="12" t="str">
        <f>IF(_xlfn.XLOOKUP($B158,'ELC TECH'!$H:$H,'ELC TECH'!$E:$E)="Storage",_xlfn.XLOOKUP($B158,'ELC TECH'!$H:$H,'ELC TECH'!AX:AX),"")</f>
        <v/>
      </c>
      <c r="BL158" s="12" t="str">
        <f>IF(_xlfn.XLOOKUP($B158,'ELC TECH'!$H:$H,'ELC TECH'!$E:$E)="Storage",_xlfn.XLOOKUP($B158,'ELC TECH'!$H:$H,'ELC TECH'!AY:AY),"")</f>
        <v/>
      </c>
      <c r="BM158" s="12" t="str">
        <f>IF(_xlfn.XLOOKUP($B158,'ELC TECH'!$H:$H,'ELC TECH'!$E:$E)="Storage",_xlfn.XLOOKUP($B158,'ELC TECH'!$H:$H,'ELC TECH'!AZ:AZ),"")</f>
        <v/>
      </c>
      <c r="BN158" s="8">
        <f>IF(_xlfn.XLOOKUP($B158,'ELC TECH'!$H:$H,'ELC TECH'!$E:$E)="Non Dispatchable",IFERROR($AX158*_xlfn.XLOOKUP($C158,$BM$1:$BM$3,BN$1:BN$3)/SUMPRODUCT(_xlfn.XLOOKUP($C158,$BM$1:$BM$3,$BN$1:$BY$3),$BN$4:$BY$4),""),
"")</f>
        <v>0.60337396897075013</v>
      </c>
      <c r="BO158" s="8">
        <f>IF(_xlfn.XLOOKUP($B158,'ELC TECH'!$H:$H,'ELC TECH'!$E:$E)="Non Dispatchable",IFERROR($AX158*_xlfn.XLOOKUP($C158,$BM$1:$BM$3,BO$1:BO$3)/SUMPRODUCT(_xlfn.XLOOKUP($C158,$BM$1:$BM$3,$BN$1:$BY$3),$BN$4:$BY$4),""),
"")</f>
        <v>0.60337396897075013</v>
      </c>
      <c r="BP158" s="8">
        <f>IF(_xlfn.XLOOKUP($B158,'ELC TECH'!$H:$H,'ELC TECH'!$E:$E)="Non Dispatchable",IFERROR($AX158*_xlfn.XLOOKUP($C158,$BM$1:$BM$3,BP$1:BP$3)/SUMPRODUCT(_xlfn.XLOOKUP($C158,$BM$1:$BM$3,$BN$1:$BY$3),$BN$4:$BY$4),""),
"")</f>
        <v>6.033739689707502E-2</v>
      </c>
      <c r="BQ158" s="8">
        <f>IF(_xlfn.XLOOKUP($B158,'ELC TECH'!$H:$H,'ELC TECH'!$E:$E)="Non Dispatchable",IFERROR($AX158*_xlfn.XLOOKUP($C158,$BM$1:$BM$3,BQ$1:BQ$3)/SUMPRODUCT(_xlfn.XLOOKUP($C158,$BM$1:$BM$3,$BN$1:$BY$3),$BN$4:$BY$4),""),
"")</f>
        <v>0.48345813614385913</v>
      </c>
      <c r="BR158" s="8">
        <f>IF(_xlfn.XLOOKUP($B158,'ELC TECH'!$H:$H,'ELC TECH'!$E:$E)="Non Dispatchable",IFERROR($AX158*_xlfn.XLOOKUP($C158,$BM$1:$BM$3,BR$1:BR$3)/SUMPRODUCT(_xlfn.XLOOKUP($C158,$BM$1:$BM$3,$BN$1:$BY$3),$BN$4:$BY$4),""),
"")</f>
        <v>0.70210789116596384</v>
      </c>
      <c r="BS158" s="8">
        <f>IF(_xlfn.XLOOKUP($B158,'ELC TECH'!$H:$H,'ELC TECH'!$E:$E)="Non Dispatchable",IFERROR($AX158*_xlfn.XLOOKUP($C158,$BM$1:$BM$3,BS$1:BS$3)/SUMPRODUCT(_xlfn.XLOOKUP($C158,$BM$1:$BM$3,$BN$1:$BY$3),$BN$4:$BY$4),""),
"")</f>
        <v>0.70210789116596384</v>
      </c>
      <c r="BT158" s="8">
        <f>IF(_xlfn.XLOOKUP($B158,'ELC TECH'!$H:$H,'ELC TECH'!$E:$E)="Non Dispatchable",IFERROR($AX158*_xlfn.XLOOKUP($C158,$BM$1:$BM$3,BT$1:BT$3)/SUMPRODUCT(_xlfn.XLOOKUP($C158,$BM$1:$BM$3,$BN$1:$BY$3),$BN$4:$BY$4),""),
"")</f>
        <v>7.0210789116596395E-2</v>
      </c>
      <c r="BU158" s="8">
        <f>IF(_xlfn.XLOOKUP($B158,'ELC TECH'!$H:$H,'ELC TECH'!$E:$E)="Non Dispatchable",IFERROR($AX158*_xlfn.XLOOKUP($C158,$BM$1:$BM$3,BU$1:BU$3)/SUMPRODUCT(_xlfn.XLOOKUP($C158,$BM$1:$BM$3,$BN$1:$BY$3),$BN$4:$BY$4),""),
"")</f>
        <v>0.6221144667007561</v>
      </c>
      <c r="BV158" s="8">
        <f>IF(_xlfn.XLOOKUP($B158,'ELC TECH'!$H:$H,'ELC TECH'!$E:$E)="Non Dispatchable",IFERROR($AX158*_xlfn.XLOOKUP($C158,$BM$1:$BM$3,BV$1:BV$3)/SUMPRODUCT(_xlfn.XLOOKUP($C158,$BM$1:$BM$3,$BN$1:$BY$3),$BN$4:$BY$4),""),
"")</f>
        <v>0.36360068492983383</v>
      </c>
      <c r="BW158" s="8">
        <f>IF(_xlfn.XLOOKUP($B158,'ELC TECH'!$H:$H,'ELC TECH'!$E:$E)="Non Dispatchable",IFERROR($AX158*_xlfn.XLOOKUP($C158,$BM$1:$BM$3,BW$1:BW$3)/SUMPRODUCT(_xlfn.XLOOKUP($C158,$BM$1:$BM$3,$BN$1:$BY$3),$BN$4:$BY$4),""),
"")</f>
        <v>0.36360068492983383</v>
      </c>
      <c r="BX158" s="8">
        <f>IF(_xlfn.XLOOKUP($B158,'ELC TECH'!$H:$H,'ELC TECH'!$E:$E)="Non Dispatchable",IFERROR($AX158*_xlfn.XLOOKUP($C158,$BM$1:$BM$3,BX$1:BX$3)/SUMPRODUCT(_xlfn.XLOOKUP($C158,$BM$1:$BM$3,$BN$1:$BY$3),$BN$4:$BY$4),""),
"")</f>
        <v>3.6360068492983386E-2</v>
      </c>
      <c r="BY158" s="8">
        <f>IF(_xlfn.XLOOKUP($B158,'ELC TECH'!$H:$H,'ELC TECH'!$E:$E)="Non Dispatchable",IFERROR($AX158*_xlfn.XLOOKUP($C158,$BM$1:$BM$3,BY$1:BY$3)/SUMPRODUCT(_xlfn.XLOOKUP($C158,$BM$1:$BM$3,$BN$1:$BY$3),$BN$4:$BY$4),""),
"")</f>
        <v>0.26577433144371981</v>
      </c>
      <c r="BZ158" s="8">
        <f>IF(_xlfn.XLOOKUP($B158,'ELC TECH'!$H:$H,'ELC TECH'!$E:$E)="Non Dispatchable",IFERROR($AX158*_xlfn.XLOOKUP($C158,$BM$1:$BM$3,BZ$1:BZ$3)/SUMPRODUCT(_xlfn.XLOOKUP($C158,$BM$1:$BM$3,$BN$1:$BY$3),$BN$4:$BY$4),""),
"")</f>
        <v>0.60337396897075013</v>
      </c>
      <c r="CA158" s="8">
        <f>IF(_xlfn.XLOOKUP($B158,'ELC TECH'!$H:$H,'ELC TECH'!$E:$E)="Non Dispatchable",IFERROR($AX158*_xlfn.XLOOKUP($C158,$BM$1:$BM$3,CA$1:CA$3)/SUMPRODUCT(_xlfn.XLOOKUP($C158,$BM$1:$BM$3,$BN$1:$BY$3),$BN$4:$BY$4),""),
"")</f>
        <v>0.60337396897075013</v>
      </c>
      <c r="CB158" s="8">
        <f>IF(_xlfn.XLOOKUP($B158,'ELC TECH'!$H:$H,'ELC TECH'!$E:$E)="Non Dispatchable",IFERROR($AX158*_xlfn.XLOOKUP($C158,$BM$1:$BM$3,CB$1:CB$3)/SUMPRODUCT(_xlfn.XLOOKUP($C158,$BM$1:$BM$3,$BN$1:$BY$3),$BN$4:$BY$4),""),
"")</f>
        <v>6.033739689707502E-2</v>
      </c>
      <c r="CC158" s="8">
        <f>IF(_xlfn.XLOOKUP($B158,'ELC TECH'!$H:$H,'ELC TECH'!$E:$E)="Non Dispatchable",IFERROR($AX158*_xlfn.XLOOKUP($C158,$BM$1:$BM$3,CC$1:CC$3)/SUMPRODUCT(_xlfn.XLOOKUP($C158,$BM$1:$BM$3,$BN$1:$BY$3),$BN$4:$BY$4),""),
"")</f>
        <v>0.48345813614385913</v>
      </c>
      <c r="CD158" s="8">
        <f>IF(_xlfn.XLOOKUP($B158,'ELC TECH'!$H:$H,'ELC TECH'!$E:$E)="Non Dispatchable",IFERROR($AX158*_xlfn.XLOOKUP($C158,$BM$1:$BM$3,CD$1:CD$3)/SUMPRODUCT(_xlfn.XLOOKUP($C158,$BM$1:$BM$3,$BN$1:$BY$3),$BN$4:$BY$4),""),
"")</f>
        <v>0.70210789116596384</v>
      </c>
      <c r="CE158" s="8">
        <f>IF(_xlfn.XLOOKUP($B158,'ELC TECH'!$H:$H,'ELC TECH'!$E:$E)="Non Dispatchable",IFERROR($AX158*_xlfn.XLOOKUP($C158,$BM$1:$BM$3,CE$1:CE$3)/SUMPRODUCT(_xlfn.XLOOKUP($C158,$BM$1:$BM$3,$BN$1:$BY$3),$BN$4:$BY$4),""),
"")</f>
        <v>0.70210789116596384</v>
      </c>
      <c r="CF158" s="8">
        <f>IF(_xlfn.XLOOKUP($B158,'ELC TECH'!$H:$H,'ELC TECH'!$E:$E)="Non Dispatchable",IFERROR($AX158*_xlfn.XLOOKUP($C158,$BM$1:$BM$3,CF$1:CF$3)/SUMPRODUCT(_xlfn.XLOOKUP($C158,$BM$1:$BM$3,$BN$1:$BY$3),$BN$4:$BY$4),""),
"")</f>
        <v>7.0210789116596395E-2</v>
      </c>
      <c r="CG158" s="8">
        <f>IF(_xlfn.XLOOKUP($B158,'ELC TECH'!$H:$H,'ELC TECH'!$E:$E)="Non Dispatchable",IFERROR($AX158*_xlfn.XLOOKUP($C158,$BM$1:$BM$3,CG$1:CG$3)/SUMPRODUCT(_xlfn.XLOOKUP($C158,$BM$1:$BM$3,$BN$1:$BY$3),$BN$4:$BY$4),""),
"")</f>
        <v>0.6221144667007561</v>
      </c>
      <c r="CH158" s="8">
        <f>IF(_xlfn.XLOOKUP($B158,'ELC TECH'!$H:$H,'ELC TECH'!$E:$E)="Non Dispatchable",IFERROR($AX158*_xlfn.XLOOKUP($C158,$BM$1:$BM$3,CH$1:CH$3)/SUMPRODUCT(_xlfn.XLOOKUP($C158,$BM$1:$BM$3,$BN$1:$BY$3),$BN$4:$BY$4),""),
"")</f>
        <v>0.36360068492983383</v>
      </c>
      <c r="CI158" s="8">
        <f>IF(_xlfn.XLOOKUP($B158,'ELC TECH'!$H:$H,'ELC TECH'!$E:$E)="Non Dispatchable",IFERROR($AX158*_xlfn.XLOOKUP($C158,$BM$1:$BM$3,CI$1:CI$3)/SUMPRODUCT(_xlfn.XLOOKUP($C158,$BM$1:$BM$3,$BN$1:$BY$3),$BN$4:$BY$4),""),
"")</f>
        <v>0.36360068492983383</v>
      </c>
      <c r="CJ158" s="8">
        <f>IF(_xlfn.XLOOKUP($B158,'ELC TECH'!$H:$H,'ELC TECH'!$E:$E)="Non Dispatchable",IFERROR($AX158*_xlfn.XLOOKUP($C158,$BM$1:$BM$3,CJ$1:CJ$3)/SUMPRODUCT(_xlfn.XLOOKUP($C158,$BM$1:$BM$3,$BN$1:$BY$3),$BN$4:$BY$4),""),
"")</f>
        <v>3.6360068492983386E-2</v>
      </c>
      <c r="CK158" s="8">
        <f>IF(_xlfn.XLOOKUP($B158,'ELC TECH'!$H:$H,'ELC TECH'!$E:$E)="Non Dispatchable",IFERROR($AX158*_xlfn.XLOOKUP($C158,$BM$1:$BM$3,CK$1:CK$3)/SUMPRODUCT(_xlfn.XLOOKUP($C158,$BM$1:$BM$3,$BN$1:$BY$3),$BN$4:$BY$4),""),
"")</f>
        <v>0.26577433144371981</v>
      </c>
      <c r="CL158" s="8" t="str">
        <f>IF(_xlfn.XLOOKUP($B158,'ELC TECH'!$H:$H,'ELC TECH'!$E:$E)="Storage",CL$4*$BF158,"")</f>
        <v/>
      </c>
      <c r="CM158" s="8" t="str">
        <f>IF(_xlfn.XLOOKUP($B158,'ELC TECH'!$H:$H,'ELC TECH'!$E:$E)="Storage",CM$4*$BF158,"")</f>
        <v/>
      </c>
      <c r="CN158" s="8" t="str">
        <f>IF(_xlfn.XLOOKUP($B158,'ELC TECH'!$H:$H,'ELC TECH'!$E:$E)="Storage",CN$4*$BF158,"")</f>
        <v/>
      </c>
      <c r="CO158" s="8" t="str">
        <f>IF(_xlfn.XLOOKUP($B158,'ELC TECH'!$H:$H,'ELC TECH'!$E:$E)="Storage",CO$4*$BF158,"")</f>
        <v/>
      </c>
      <c r="CP158" s="8" t="str">
        <f>IF(_xlfn.XLOOKUP($B158,'ELC TECH'!$H:$H,'ELC TECH'!$E:$E)="Storage",CP$4*$BF158,"")</f>
        <v/>
      </c>
      <c r="CQ158" s="8" t="str">
        <f>IF(_xlfn.XLOOKUP($B158,'ELC TECH'!$H:$H,'ELC TECH'!$E:$E)="Storage",CQ$4*$BF158,"")</f>
        <v/>
      </c>
      <c r="CR158" s="8" t="str">
        <f>IF(_xlfn.XLOOKUP($B158,'ELC TECH'!$H:$H,'ELC TECH'!$E:$E)="Storage",CR$4*$BF158,"")</f>
        <v/>
      </c>
      <c r="CS158" s="8" t="str">
        <f>IF(_xlfn.XLOOKUP($B158,'ELC TECH'!$H:$H,'ELC TECH'!$E:$E)="Storage",CS$4*$BF158,"")</f>
        <v/>
      </c>
      <c r="CT158" s="8" t="str">
        <f>IF(_xlfn.XLOOKUP($B158,'ELC TECH'!$H:$H,'ELC TECH'!$E:$E)="Storage",CT$4*$BF158,"")</f>
        <v/>
      </c>
      <c r="CU158" s="8" t="str">
        <f>IF(_xlfn.XLOOKUP($B158,'ELC TECH'!$H:$H,'ELC TECH'!$E:$E)="Storage",CU$4*$BF158,"")</f>
        <v/>
      </c>
      <c r="CV158" s="8" t="str">
        <f>IF(_xlfn.XLOOKUP($B158,'ELC TECH'!$H:$H,'ELC TECH'!$E:$E)="Storage",CV$4*$BF158,"")</f>
        <v/>
      </c>
      <c r="CW158" s="8" t="str">
        <f>IF(_xlfn.XLOOKUP($B158,'ELC TECH'!$H:$H,'ELC TECH'!$E:$E)="Storage",CW$4*$BF158,"")</f>
        <v/>
      </c>
      <c r="CX158" s="8" t="str">
        <f>IF(_xlfn.XLOOKUP($B158,'ELC TECH'!$H:$H,'ELC TECH'!$E:$E)="Storage",CX$4*$BF158,"")</f>
        <v/>
      </c>
      <c r="CY158" s="8" t="str">
        <f>IF(_xlfn.XLOOKUP($B158,'ELC TECH'!$H:$H,'ELC TECH'!$E:$E)="Storage",CY$4*$BF158,"")</f>
        <v/>
      </c>
      <c r="CZ158" s="8" t="str">
        <f>IF(_xlfn.XLOOKUP($B158,'ELC TECH'!$H:$H,'ELC TECH'!$E:$E)="Storage",CZ$4*$BF158,"")</f>
        <v/>
      </c>
      <c r="DA158" s="8" t="str">
        <f>IF(_xlfn.XLOOKUP($B158,'ELC TECH'!$H:$H,'ELC TECH'!$E:$E)="Storage",DA$4*$BF158,"")</f>
        <v/>
      </c>
      <c r="DB158" s="8" t="str">
        <f>IF(_xlfn.XLOOKUP($B158,'ELC TECH'!$H:$H,'ELC TECH'!$E:$E)="Storage",DB$4*$BF158,"")</f>
        <v/>
      </c>
      <c r="DC158" s="8" t="str">
        <f>IF(_xlfn.XLOOKUP($B158,'ELC TECH'!$H:$H,'ELC TECH'!$E:$E)="Storage",DC$4*$BF158,"")</f>
        <v/>
      </c>
      <c r="DD158" s="8" t="str">
        <f>IF(_xlfn.XLOOKUP($B158,'ELC TECH'!$H:$H,'ELC TECH'!$E:$E)="Storage",DD$4*$BF158,"")</f>
        <v/>
      </c>
      <c r="DE158" s="8" t="str">
        <f>IF(_xlfn.XLOOKUP($B158,'ELC TECH'!$H:$H,'ELC TECH'!$E:$E)="Storage",DE$4*$BF158,"")</f>
        <v/>
      </c>
      <c r="DF158" s="8" t="str">
        <f>IF(_xlfn.XLOOKUP($B158,'ELC TECH'!$H:$H,'ELC TECH'!$E:$E)="Storage",DF$4*$BF158,"")</f>
        <v/>
      </c>
      <c r="DG158" s="8" t="str">
        <f>IF(_xlfn.XLOOKUP($B158,'ELC TECH'!$H:$H,'ELC TECH'!$E:$E)="Storage",DG$4*$BF158,"")</f>
        <v/>
      </c>
      <c r="DH158" s="8" t="str">
        <f>IF(_xlfn.XLOOKUP($B158,'ELC TECH'!$H:$H,'ELC TECH'!$E:$E)="Storage",DH$4*$BF158,"")</f>
        <v/>
      </c>
      <c r="DI158" s="8" t="str">
        <f>IF(_xlfn.XLOOKUP($B158,'ELC TECH'!$H:$H,'ELC TECH'!$E:$E)="Storage",DI$4*$BF158,"")</f>
        <v/>
      </c>
    </row>
    <row r="159" spans="2:113" x14ac:dyDescent="0.25">
      <c r="B159" t="str">
        <f>IF('ELC TECH'!I152=0,"*",'ELC TECH'!H152)</f>
        <v>ELCWNDDCERDWC520</v>
      </c>
      <c r="C159" t="str">
        <f>IF(_xlfn.XLOOKUP(_xlfn.XLOOKUP(B159,'ELC TECH'!$H:$H,'ELC TECH'!$G:$G),List!C:C,List!B:B)="STG",D159,"ELC"&amp;_xlfn.XLOOKUP(_xlfn.XLOOKUP(B159,'ELC TECH'!H:H,'ELC TECH'!G:G),List!C:C,List!B:B))</f>
        <v>ELCWND</v>
      </c>
      <c r="D159" t="s">
        <v>544</v>
      </c>
      <c r="E159">
        <f>_xlfn.XLOOKUP(B159,'ELC TECH'!H:H,'ELC TECH'!D:D)</f>
        <v>2020</v>
      </c>
      <c r="F159">
        <f>_xlfn.XLOOKUP(B159,'ELC TECH'!H:H,'ELC TECH'!K:K)</f>
        <v>30</v>
      </c>
      <c r="G159">
        <f t="shared" si="8"/>
        <v>31.535999999999998</v>
      </c>
      <c r="H159">
        <f>IF(_xlfn.XLOOKUP(B159,'ELC TECH'!$H:$H,'ELC TECH'!$E:$E)="Storage",0.3,IF(_xlfn.XLOOKUP(B159,'ELC TECH'!$H:$H,'ELC TECH'!$E:$E)="Baseload",0.9,IF(_xlfn.XLOOKUP(B159,'ELC TECH'!$H:$H,'ELC TECH'!$E:$E)="Non Dispatchable",0.05,IF(_xlfn.XLOOKUP(B159,'ELC TECH'!$H:$H,'ELC TECH'!$E:$E)="Dispatchable",0.9,1))))</f>
        <v>0.05</v>
      </c>
      <c r="I159" s="13">
        <f>IF(_xlfn.XLOOKUP(B159,'ELC TECH'!H:H,'ELC TECH'!J:J)="","",_xlfn.XLOOKUP(B159,'ELC TECH'!H:H,'ELC TECH'!J:J))</f>
        <v>233.39318333333341</v>
      </c>
      <c r="J159" s="12">
        <f>IF(_xlfn.XLOOKUP($B159,'ELC TECH'!$H:$H,'ELC TECH'!$E:$E)="Storage","",IF(_xlfn.XLOOKUP($B159,'ELC TECH'!$H:$H,'ELC TECH'!AK:AK)="",1,_xlfn.XLOOKUP($B159,'ELC TECH'!$H:$H,'ELC TECH'!AK:AK)))</f>
        <v>1</v>
      </c>
      <c r="K159" s="12">
        <f>IF(_xlfn.XLOOKUP($B159,'ELC TECH'!$H:$H,'ELC TECH'!$E:$E)="Storage","",IF(_xlfn.XLOOKUP($B159,'ELC TECH'!$H:$H,'ELC TECH'!AL:AL)="",1,_xlfn.XLOOKUP($B159,'ELC TECH'!$H:$H,'ELC TECH'!AL:AL)))</f>
        <v>1</v>
      </c>
      <c r="L159" s="12">
        <f>IF(_xlfn.XLOOKUP($B159,'ELC TECH'!$H:$H,'ELC TECH'!$E:$E)="Storage","",IF(_xlfn.XLOOKUP($B159,'ELC TECH'!$H:$H,'ELC TECH'!AM:AM)="",1,_xlfn.XLOOKUP($B159,'ELC TECH'!$H:$H,'ELC TECH'!AM:AM)))</f>
        <v>1</v>
      </c>
      <c r="M159" s="12">
        <f>IF(_xlfn.XLOOKUP($B159,'ELC TECH'!$H:$H,'ELC TECH'!$E:$E)="Storage","",IF(_xlfn.XLOOKUP($B159,'ELC TECH'!$H:$H,'ELC TECH'!AN:AN)="",1,_xlfn.XLOOKUP($B159,'ELC TECH'!$H:$H,'ELC TECH'!AN:AN)))</f>
        <v>1</v>
      </c>
      <c r="N159" s="12">
        <f>IF(_xlfn.XLOOKUP($B159,'ELC TECH'!$H:$H,'ELC TECH'!$E:$E)="Storage","",IF(_xlfn.XLOOKUP($B159,'ELC TECH'!$H:$H,'ELC TECH'!AO:AO)="",1,_xlfn.XLOOKUP($B159,'ELC TECH'!$H:$H,'ELC TECH'!AO:AO)))</f>
        <v>1</v>
      </c>
      <c r="O159" s="12">
        <f>IF(_xlfn.XLOOKUP($B159,'ELC TECH'!$H:$H,'ELC TECH'!$E:$E)="Storage","",IF(_xlfn.XLOOKUP($B159,'ELC TECH'!$H:$H,'ELC TECH'!AP:AP)="",1,_xlfn.XLOOKUP($B159,'ELC TECH'!$H:$H,'ELC TECH'!AP:AP)))</f>
        <v>1</v>
      </c>
      <c r="P159" s="12">
        <f>IF(_xlfn.XLOOKUP($B159,'ELC TECH'!$H:$H,'ELC TECH'!$E:$E)="Storage","",IF(_xlfn.XLOOKUP($B159,'ELC TECH'!$H:$H,'ELC TECH'!AQ:AQ)="",1,_xlfn.XLOOKUP($B159,'ELC TECH'!$H:$H,'ELC TECH'!AQ:AQ)))</f>
        <v>1</v>
      </c>
      <c r="Q159" s="12">
        <f>IF(_xlfn.XLOOKUP($B159,'ELC TECH'!$H:$H,'ELC TECH'!$E:$E)="Storage","",IF(_xlfn.XLOOKUP($B159,'ELC TECH'!$H:$H,'ELC TECH'!AR:AR)="",1,_xlfn.XLOOKUP($B159,'ELC TECH'!$H:$H,'ELC TECH'!AR:AR)))</f>
        <v>1</v>
      </c>
      <c r="R159" s="12" t="str">
        <f>IF(_xlfn.XLOOKUP($B159,'ELC TECH'!$H:$H,'ELC TECH'!$E:$E)&lt;&gt;"Storage","",IF(_xlfn.XLOOKUP($B159,'ELC TECH'!$H:$H,'ELC TECH'!AK:AK)="",0.8,_xlfn.XLOOKUP($B159,'ELC TECH'!$H:$H,'ELC TECH'!AK:AK)))</f>
        <v/>
      </c>
      <c r="S159" s="12" t="str">
        <f>IF(_xlfn.XLOOKUP($B159,'ELC TECH'!$H:$H,'ELC TECH'!$E:$E)&lt;&gt;"Storage","",IF(_xlfn.XLOOKUP($B159,'ELC TECH'!$H:$H,'ELC TECH'!AL:AL)="",0.8,_xlfn.XLOOKUP($B159,'ELC TECH'!$H:$H,'ELC TECH'!AL:AL)))</f>
        <v/>
      </c>
      <c r="T159" s="12" t="str">
        <f>IF(_xlfn.XLOOKUP($B159,'ELC TECH'!$H:$H,'ELC TECH'!$E:$E)&lt;&gt;"Storage","",IF(_xlfn.XLOOKUP($B159,'ELC TECH'!$H:$H,'ELC TECH'!AM:AM)="",0.8,_xlfn.XLOOKUP($B159,'ELC TECH'!$H:$H,'ELC TECH'!AM:AM)))</f>
        <v/>
      </c>
      <c r="U159" s="12" t="str">
        <f>IF(_xlfn.XLOOKUP($B159,'ELC TECH'!$H:$H,'ELC TECH'!$E:$E)&lt;&gt;"Storage","",IF(_xlfn.XLOOKUP($B159,'ELC TECH'!$H:$H,'ELC TECH'!AN:AN)="",0.8,_xlfn.XLOOKUP($B159,'ELC TECH'!$H:$H,'ELC TECH'!AN:AN)))</f>
        <v/>
      </c>
      <c r="V159" s="12" t="str">
        <f>IF(_xlfn.XLOOKUP($B159,'ELC TECH'!$H:$H,'ELC TECH'!$E:$E)&lt;&gt;"Storage","",IF(_xlfn.XLOOKUP($B159,'ELC TECH'!$H:$H,'ELC TECH'!AO:AO)="",0.8,_xlfn.XLOOKUP($B159,'ELC TECH'!$H:$H,'ELC TECH'!AO:AO)))</f>
        <v/>
      </c>
      <c r="W159" s="12" t="str">
        <f>IF(_xlfn.XLOOKUP($B159,'ELC TECH'!$H:$H,'ELC TECH'!$E:$E)&lt;&gt;"Storage","",IF(_xlfn.XLOOKUP($B159,'ELC TECH'!$H:$H,'ELC TECH'!AP:AP)="",0.8,_xlfn.XLOOKUP($B159,'ELC TECH'!$H:$H,'ELC TECH'!AP:AP)))</f>
        <v/>
      </c>
      <c r="X159" s="12" t="str">
        <f>IF(_xlfn.XLOOKUP($B159,'ELC TECH'!$H:$H,'ELC TECH'!$E:$E)&lt;&gt;"Storage","",IF(_xlfn.XLOOKUP($B159,'ELC TECH'!$H:$H,'ELC TECH'!AQ:AQ)="",0.8,_xlfn.XLOOKUP($B159,'ELC TECH'!$H:$H,'ELC TECH'!AQ:AQ)))</f>
        <v/>
      </c>
      <c r="Y159" s="12" t="str">
        <f>IF(_xlfn.XLOOKUP($B159,'ELC TECH'!$H:$H,'ELC TECH'!$E:$E)&lt;&gt;"Storage","",IF(_xlfn.XLOOKUP($B159,'ELC TECH'!$H:$H,'ELC TECH'!AR:AR)="",0.8,_xlfn.XLOOKUP($B159,'ELC TECH'!$H:$H,'ELC TECH'!AR:AR)))</f>
        <v/>
      </c>
      <c r="Z159" s="15">
        <f>_xlfn.XLOOKUP($B159,'ELC TECH'!$H:$H,'ELC TECH'!M:M)</f>
        <v>6549.0142310829506</v>
      </c>
      <c r="AA159" s="15">
        <f>_xlfn.XLOOKUP($B159,'ELC TECH'!$H:$H,'ELC TECH'!N:N)</f>
        <v>6421.1425612343974</v>
      </c>
      <c r="AB159" s="15">
        <f>_xlfn.XLOOKUP($B159,'ELC TECH'!$H:$H,'ELC TECH'!O:O)</f>
        <v>3968.077175989039</v>
      </c>
      <c r="AC159" s="15">
        <f>_xlfn.XLOOKUP($B159,'ELC TECH'!$H:$H,'ELC TECH'!P:P)</f>
        <v>3222.0031734476329</v>
      </c>
      <c r="AD159" s="15">
        <f>_xlfn.XLOOKUP($B159,'ELC TECH'!$H:$H,'ELC TECH'!Q:Q)</f>
        <v>2629.692312978324</v>
      </c>
      <c r="AE159" s="15">
        <f>_xlfn.XLOOKUP($B159,'ELC TECH'!$H:$H,'ELC TECH'!R:R)</f>
        <v>2226.8699153391431</v>
      </c>
      <c r="AF159" s="15">
        <f>_xlfn.XLOOKUP($B159,'ELC TECH'!$H:$H,'ELC TECH'!S:S)</f>
        <v>1953.258376919596</v>
      </c>
      <c r="AG159" s="15">
        <f>_xlfn.XLOOKUP($B159,'ELC TECH'!$H:$H,'ELC TECH'!T:T)</f>
        <v>1953.258376919596</v>
      </c>
      <c r="AH159" s="15">
        <f>_xlfn.XLOOKUP($B159,'ELC TECH'!$H:$H,'ELC TECH'!U:U)</f>
        <v>41.27117929699714</v>
      </c>
      <c r="AI159" s="15">
        <f>_xlfn.XLOOKUP($B159,'ELC TECH'!$H:$H,'ELC TECH'!V:V)</f>
        <v>40.608188464916751</v>
      </c>
      <c r="AJ159" s="15">
        <f>_xlfn.XLOOKUP($B159,'ELC TECH'!$H:$H,'ELC TECH'!W:W)</f>
        <v>39.779449924816397</v>
      </c>
      <c r="AK159" s="15">
        <f>_xlfn.XLOOKUP($B159,'ELC TECH'!$H:$H,'ELC TECH'!X:X)</f>
        <v>39.157896019741258</v>
      </c>
      <c r="AL159" s="15">
        <f>_xlfn.XLOOKUP($B159,'ELC TECH'!$H:$H,'ELC TECH'!Y:Y)</f>
        <v>38.536342114665999</v>
      </c>
      <c r="AM159" s="15">
        <f>_xlfn.XLOOKUP($B159,'ELC TECH'!$H:$H,'ELC TECH'!Z:Z)</f>
        <v>37.914788209590739</v>
      </c>
      <c r="AN159" s="15">
        <f>_xlfn.XLOOKUP($B159,'ELC TECH'!$H:$H,'ELC TECH'!AA:AA)</f>
        <v>37.293234304515479</v>
      </c>
      <c r="AO159" s="15">
        <f>_xlfn.XLOOKUP($B159,'ELC TECH'!$H:$H,'ELC TECH'!AB:AB)</f>
        <v>37.293234304515479</v>
      </c>
      <c r="AP159" s="15">
        <f>_xlfn.XLOOKUP($B159,'ELC TECH'!$H:$H,'ELC TECH'!AC:AC)</f>
        <v>0</v>
      </c>
      <c r="AQ159" s="15">
        <f>_xlfn.XLOOKUP($B159,'ELC TECH'!$H:$H,'ELC TECH'!AD:AD)</f>
        <v>0</v>
      </c>
      <c r="AR159" s="15">
        <f>_xlfn.XLOOKUP($B159,'ELC TECH'!$H:$H,'ELC TECH'!AE:AE)</f>
        <v>0</v>
      </c>
      <c r="AS159" s="15">
        <f>_xlfn.XLOOKUP($B159,'ELC TECH'!$H:$H,'ELC TECH'!AF:AF)</f>
        <v>0</v>
      </c>
      <c r="AT159" s="15">
        <f>_xlfn.XLOOKUP($B159,'ELC TECH'!$H:$H,'ELC TECH'!AG:AG)</f>
        <v>0</v>
      </c>
      <c r="AU159" s="15">
        <f>_xlfn.XLOOKUP($B159,'ELC TECH'!$H:$H,'ELC TECH'!AH:AH)</f>
        <v>0</v>
      </c>
      <c r="AV159" s="15">
        <f>_xlfn.XLOOKUP($B159,'ELC TECH'!$H:$H,'ELC TECH'!AI:AI)</f>
        <v>0</v>
      </c>
      <c r="AW159" s="15">
        <f>_xlfn.XLOOKUP($B159,'ELC TECH'!$H:$H,'ELC TECH'!AJ:AJ)</f>
        <v>0</v>
      </c>
      <c r="AX159" s="12">
        <f>IF(_xlfn.XLOOKUP($B159,'ELC TECH'!$H:$H,'ELC TECH'!$E:$E)="Storage","",_xlfn.XLOOKUP($B159,'ELC TECH'!$H:$H,'ELC TECH'!AS:AS))</f>
        <v>0.32920654999999999</v>
      </c>
      <c r="AY159" s="12">
        <f>IF(_xlfn.XLOOKUP($B159,'ELC TECH'!$H:$H,'ELC TECH'!$E:$E)="Storage","",_xlfn.XLOOKUP($B159,'ELC TECH'!$H:$H,'ELC TECH'!AT:AT))</f>
        <v>0.37244274999999999</v>
      </c>
      <c r="AZ159" s="12">
        <f>IF(_xlfn.XLOOKUP($B159,'ELC TECH'!$H:$H,'ELC TECH'!$E:$E)="Storage","",_xlfn.XLOOKUP($B159,'ELC TECH'!$H:$H,'ELC TECH'!AU:AU))</f>
        <v>0.42648799999999998</v>
      </c>
      <c r="BA159" s="12">
        <f>IF(_xlfn.XLOOKUP($B159,'ELC TECH'!$H:$H,'ELC TECH'!$E:$E)="Storage","",_xlfn.XLOOKUP($B159,'ELC TECH'!$H:$H,'ELC TECH'!AV:AV))</f>
        <v>0.42648799999999998</v>
      </c>
      <c r="BB159" s="12">
        <f>IF(_xlfn.XLOOKUP($B159,'ELC TECH'!$H:$H,'ELC TECH'!$E:$E)="Storage","",_xlfn.XLOOKUP($B159,'ELC TECH'!$H:$H,'ELC TECH'!AW:AW))</f>
        <v>0.42648799999999998</v>
      </c>
      <c r="BC159" s="12">
        <f>IF(_xlfn.XLOOKUP($B159,'ELC TECH'!$H:$H,'ELC TECH'!$E:$E)="Storage","",_xlfn.XLOOKUP($B159,'ELC TECH'!$H:$H,'ELC TECH'!AX:AX))</f>
        <v>0.42648799999999998</v>
      </c>
      <c r="BD159" s="12">
        <f>IF(_xlfn.XLOOKUP($B159,'ELC TECH'!$H:$H,'ELC TECH'!$E:$E)="Storage","",_xlfn.XLOOKUP($B159,'ELC TECH'!$H:$H,'ELC TECH'!AY:AY))</f>
        <v>0.42648799999999998</v>
      </c>
      <c r="BE159" s="12">
        <f>IF(_xlfn.XLOOKUP($B159,'ELC TECH'!$H:$H,'ELC TECH'!$E:$E)="Storage","",_xlfn.XLOOKUP($B159,'ELC TECH'!$H:$H,'ELC TECH'!AZ:AZ))</f>
        <v>0.42648799999999998</v>
      </c>
      <c r="BF159" s="12" t="str">
        <f>IF(_xlfn.XLOOKUP($B159,'ELC TECH'!$H:$H,'ELC TECH'!$E:$E)="Storage",_xlfn.XLOOKUP($B159,'ELC TECH'!$H:$H,'ELC TECH'!AS:AS),"")</f>
        <v/>
      </c>
      <c r="BG159" s="12" t="str">
        <f>IF(_xlfn.XLOOKUP($B159,'ELC TECH'!$H:$H,'ELC TECH'!$E:$E)="Storage",_xlfn.XLOOKUP($B159,'ELC TECH'!$H:$H,'ELC TECH'!AT:AT),"")</f>
        <v/>
      </c>
      <c r="BH159" s="12" t="str">
        <f>IF(_xlfn.XLOOKUP($B159,'ELC TECH'!$H:$H,'ELC TECH'!$E:$E)="Storage",_xlfn.XLOOKUP($B159,'ELC TECH'!$H:$H,'ELC TECH'!AU:AU),"")</f>
        <v/>
      </c>
      <c r="BI159" s="12" t="str">
        <f>IF(_xlfn.XLOOKUP($B159,'ELC TECH'!$H:$H,'ELC TECH'!$E:$E)="Storage",_xlfn.XLOOKUP($B159,'ELC TECH'!$H:$H,'ELC TECH'!AV:AV),"")</f>
        <v/>
      </c>
      <c r="BJ159" s="12" t="str">
        <f>IF(_xlfn.XLOOKUP($B159,'ELC TECH'!$H:$H,'ELC TECH'!$E:$E)="Storage",_xlfn.XLOOKUP($B159,'ELC TECH'!$H:$H,'ELC TECH'!AW:AW),"")</f>
        <v/>
      </c>
      <c r="BK159" s="12" t="str">
        <f>IF(_xlfn.XLOOKUP($B159,'ELC TECH'!$H:$H,'ELC TECH'!$E:$E)="Storage",_xlfn.XLOOKUP($B159,'ELC TECH'!$H:$H,'ELC TECH'!AX:AX),"")</f>
        <v/>
      </c>
      <c r="BL159" s="12" t="str">
        <f>IF(_xlfn.XLOOKUP($B159,'ELC TECH'!$H:$H,'ELC TECH'!$E:$E)="Storage",_xlfn.XLOOKUP($B159,'ELC TECH'!$H:$H,'ELC TECH'!AY:AY),"")</f>
        <v/>
      </c>
      <c r="BM159" s="12" t="str">
        <f>IF(_xlfn.XLOOKUP($B159,'ELC TECH'!$H:$H,'ELC TECH'!$E:$E)="Storage",_xlfn.XLOOKUP($B159,'ELC TECH'!$H:$H,'ELC TECH'!AZ:AZ),"")</f>
        <v/>
      </c>
      <c r="BN159" s="8">
        <f>IF(_xlfn.XLOOKUP($B159,'ELC TECH'!$H:$H,'ELC TECH'!$E:$E)="Non Dispatchable",IFERROR($AX159*_xlfn.XLOOKUP($C159,$BM$1:$BM$3,BN$1:BN$3)/SUMPRODUCT(_xlfn.XLOOKUP($C159,$BM$1:$BM$3,$BN$1:$BY$3),$BN$4:$BY$4),""),
"")</f>
        <v>0.57808719614695481</v>
      </c>
      <c r="BO159" s="8">
        <f>IF(_xlfn.XLOOKUP($B159,'ELC TECH'!$H:$H,'ELC TECH'!$E:$E)="Non Dispatchable",IFERROR($AX159*_xlfn.XLOOKUP($C159,$BM$1:$BM$3,BO$1:BO$3)/SUMPRODUCT(_xlfn.XLOOKUP($C159,$BM$1:$BM$3,$BN$1:$BY$3),$BN$4:$BY$4),""),
"")</f>
        <v>0.57808719614695481</v>
      </c>
      <c r="BP159" s="8">
        <f>IF(_xlfn.XLOOKUP($B159,'ELC TECH'!$H:$H,'ELC TECH'!$E:$E)="Non Dispatchable",IFERROR($AX159*_xlfn.XLOOKUP($C159,$BM$1:$BM$3,BP$1:BP$3)/SUMPRODUCT(_xlfn.XLOOKUP($C159,$BM$1:$BM$3,$BN$1:$BY$3),$BN$4:$BY$4),""),
"")</f>
        <v>5.780871961469549E-2</v>
      </c>
      <c r="BQ159" s="8">
        <f>IF(_xlfn.XLOOKUP($B159,'ELC TECH'!$H:$H,'ELC TECH'!$E:$E)="Non Dispatchable",IFERROR($AX159*_xlfn.XLOOKUP($C159,$BM$1:$BM$3,BQ$1:BQ$3)/SUMPRODUCT(_xlfn.XLOOKUP($C159,$BM$1:$BM$3,$BN$1:$BY$3),$BN$4:$BY$4),""),
"")</f>
        <v>0.46319691062340929</v>
      </c>
      <c r="BR159" s="8">
        <f>IF(_xlfn.XLOOKUP($B159,'ELC TECH'!$H:$H,'ELC TECH'!$E:$E)="Non Dispatchable",IFERROR($AX159*_xlfn.XLOOKUP($C159,$BM$1:$BM$3,BR$1:BR$3)/SUMPRODUCT(_xlfn.XLOOKUP($C159,$BM$1:$BM$3,$BN$1:$BY$3),$BN$4:$BY$4),""),
"")</f>
        <v>0.67268328278918399</v>
      </c>
      <c r="BS159" s="8">
        <f>IF(_xlfn.XLOOKUP($B159,'ELC TECH'!$H:$H,'ELC TECH'!$E:$E)="Non Dispatchable",IFERROR($AX159*_xlfn.XLOOKUP($C159,$BM$1:$BM$3,BS$1:BS$3)/SUMPRODUCT(_xlfn.XLOOKUP($C159,$BM$1:$BM$3,$BN$1:$BY$3),$BN$4:$BY$4),""),
"")</f>
        <v>0.67268328278918399</v>
      </c>
      <c r="BT159" s="8">
        <f>IF(_xlfn.XLOOKUP($B159,'ELC TECH'!$H:$H,'ELC TECH'!$E:$E)="Non Dispatchable",IFERROR($AX159*_xlfn.XLOOKUP($C159,$BM$1:$BM$3,BT$1:BT$3)/SUMPRODUCT(_xlfn.XLOOKUP($C159,$BM$1:$BM$3,$BN$1:$BY$3),$BN$4:$BY$4),""),
"")</f>
        <v>6.7268328278918404E-2</v>
      </c>
      <c r="BU159" s="8">
        <f>IF(_xlfn.XLOOKUP($B159,'ELC TECH'!$H:$H,'ELC TECH'!$E:$E)="Non Dispatchable",IFERROR($AX159*_xlfn.XLOOKUP($C159,$BM$1:$BM$3,BU$1:BU$3)/SUMPRODUCT(_xlfn.XLOOKUP($C159,$BM$1:$BM$3,$BN$1:$BY$3),$BN$4:$BY$4),""),
"")</f>
        <v>0.59604229919128704</v>
      </c>
      <c r="BV159" s="8">
        <f>IF(_xlfn.XLOOKUP($B159,'ELC TECH'!$H:$H,'ELC TECH'!$E:$E)="Non Dispatchable",IFERROR($AX159*_xlfn.XLOOKUP($C159,$BM$1:$BM$3,BV$1:BV$3)/SUMPRODUCT(_xlfn.XLOOKUP($C159,$BM$1:$BM$3,$BN$1:$BY$3),$BN$4:$BY$4),""),
"")</f>
        <v>0.34836256000031313</v>
      </c>
      <c r="BW159" s="8">
        <f>IF(_xlfn.XLOOKUP($B159,'ELC TECH'!$H:$H,'ELC TECH'!$E:$E)="Non Dispatchable",IFERROR($AX159*_xlfn.XLOOKUP($C159,$BM$1:$BM$3,BW$1:BW$3)/SUMPRODUCT(_xlfn.XLOOKUP($C159,$BM$1:$BM$3,$BN$1:$BY$3),$BN$4:$BY$4),""),
"")</f>
        <v>0.34836256000031313</v>
      </c>
      <c r="BX159" s="8">
        <f>IF(_xlfn.XLOOKUP($B159,'ELC TECH'!$H:$H,'ELC TECH'!$E:$E)="Non Dispatchable",IFERROR($AX159*_xlfn.XLOOKUP($C159,$BM$1:$BM$3,BX$1:BX$3)/SUMPRODUCT(_xlfn.XLOOKUP($C159,$BM$1:$BM$3,$BN$1:$BY$3),$BN$4:$BY$4),""),
"")</f>
        <v>3.4836256000031311E-2</v>
      </c>
      <c r="BY159" s="8">
        <f>IF(_xlfn.XLOOKUP($B159,'ELC TECH'!$H:$H,'ELC TECH'!$E:$E)="Non Dispatchable",IFERROR($AX159*_xlfn.XLOOKUP($C159,$BM$1:$BM$3,BY$1:BY$3)/SUMPRODUCT(_xlfn.XLOOKUP($C159,$BM$1:$BM$3,$BN$1:$BY$3),$BN$4:$BY$4),""),
"")</f>
        <v>0.25463600681052834</v>
      </c>
      <c r="BZ159" s="8">
        <f>IF(_xlfn.XLOOKUP($B159,'ELC TECH'!$H:$H,'ELC TECH'!$E:$E)="Non Dispatchable",IFERROR($AX159*_xlfn.XLOOKUP($C159,$BM$1:$BM$3,BZ$1:BZ$3)/SUMPRODUCT(_xlfn.XLOOKUP($C159,$BM$1:$BM$3,$BN$1:$BY$3),$BN$4:$BY$4),""),
"")</f>
        <v>0.57808719614695481</v>
      </c>
      <c r="CA159" s="8">
        <f>IF(_xlfn.XLOOKUP($B159,'ELC TECH'!$H:$H,'ELC TECH'!$E:$E)="Non Dispatchable",IFERROR($AX159*_xlfn.XLOOKUP($C159,$BM$1:$BM$3,CA$1:CA$3)/SUMPRODUCT(_xlfn.XLOOKUP($C159,$BM$1:$BM$3,$BN$1:$BY$3),$BN$4:$BY$4),""),
"")</f>
        <v>0.57808719614695481</v>
      </c>
      <c r="CB159" s="8">
        <f>IF(_xlfn.XLOOKUP($B159,'ELC TECH'!$H:$H,'ELC TECH'!$E:$E)="Non Dispatchable",IFERROR($AX159*_xlfn.XLOOKUP($C159,$BM$1:$BM$3,CB$1:CB$3)/SUMPRODUCT(_xlfn.XLOOKUP($C159,$BM$1:$BM$3,$BN$1:$BY$3),$BN$4:$BY$4),""),
"")</f>
        <v>5.780871961469549E-2</v>
      </c>
      <c r="CC159" s="8">
        <f>IF(_xlfn.XLOOKUP($B159,'ELC TECH'!$H:$H,'ELC TECH'!$E:$E)="Non Dispatchable",IFERROR($AX159*_xlfn.XLOOKUP($C159,$BM$1:$BM$3,CC$1:CC$3)/SUMPRODUCT(_xlfn.XLOOKUP($C159,$BM$1:$BM$3,$BN$1:$BY$3),$BN$4:$BY$4),""),
"")</f>
        <v>0.46319691062340929</v>
      </c>
      <c r="CD159" s="8">
        <f>IF(_xlfn.XLOOKUP($B159,'ELC TECH'!$H:$H,'ELC TECH'!$E:$E)="Non Dispatchable",IFERROR($AX159*_xlfn.XLOOKUP($C159,$BM$1:$BM$3,CD$1:CD$3)/SUMPRODUCT(_xlfn.XLOOKUP($C159,$BM$1:$BM$3,$BN$1:$BY$3),$BN$4:$BY$4),""),
"")</f>
        <v>0.67268328278918399</v>
      </c>
      <c r="CE159" s="8">
        <f>IF(_xlfn.XLOOKUP($B159,'ELC TECH'!$H:$H,'ELC TECH'!$E:$E)="Non Dispatchable",IFERROR($AX159*_xlfn.XLOOKUP($C159,$BM$1:$BM$3,CE$1:CE$3)/SUMPRODUCT(_xlfn.XLOOKUP($C159,$BM$1:$BM$3,$BN$1:$BY$3),$BN$4:$BY$4),""),
"")</f>
        <v>0.67268328278918399</v>
      </c>
      <c r="CF159" s="8">
        <f>IF(_xlfn.XLOOKUP($B159,'ELC TECH'!$H:$H,'ELC TECH'!$E:$E)="Non Dispatchable",IFERROR($AX159*_xlfn.XLOOKUP($C159,$BM$1:$BM$3,CF$1:CF$3)/SUMPRODUCT(_xlfn.XLOOKUP($C159,$BM$1:$BM$3,$BN$1:$BY$3),$BN$4:$BY$4),""),
"")</f>
        <v>6.7268328278918404E-2</v>
      </c>
      <c r="CG159" s="8">
        <f>IF(_xlfn.XLOOKUP($B159,'ELC TECH'!$H:$H,'ELC TECH'!$E:$E)="Non Dispatchable",IFERROR($AX159*_xlfn.XLOOKUP($C159,$BM$1:$BM$3,CG$1:CG$3)/SUMPRODUCT(_xlfn.XLOOKUP($C159,$BM$1:$BM$3,$BN$1:$BY$3),$BN$4:$BY$4),""),
"")</f>
        <v>0.59604229919128704</v>
      </c>
      <c r="CH159" s="8">
        <f>IF(_xlfn.XLOOKUP($B159,'ELC TECH'!$H:$H,'ELC TECH'!$E:$E)="Non Dispatchable",IFERROR($AX159*_xlfn.XLOOKUP($C159,$BM$1:$BM$3,CH$1:CH$3)/SUMPRODUCT(_xlfn.XLOOKUP($C159,$BM$1:$BM$3,$BN$1:$BY$3),$BN$4:$BY$4),""),
"")</f>
        <v>0.34836256000031313</v>
      </c>
      <c r="CI159" s="8">
        <f>IF(_xlfn.XLOOKUP($B159,'ELC TECH'!$H:$H,'ELC TECH'!$E:$E)="Non Dispatchable",IFERROR($AX159*_xlfn.XLOOKUP($C159,$BM$1:$BM$3,CI$1:CI$3)/SUMPRODUCT(_xlfn.XLOOKUP($C159,$BM$1:$BM$3,$BN$1:$BY$3),$BN$4:$BY$4),""),
"")</f>
        <v>0.34836256000031313</v>
      </c>
      <c r="CJ159" s="8">
        <f>IF(_xlfn.XLOOKUP($B159,'ELC TECH'!$H:$H,'ELC TECH'!$E:$E)="Non Dispatchable",IFERROR($AX159*_xlfn.XLOOKUP($C159,$BM$1:$BM$3,CJ$1:CJ$3)/SUMPRODUCT(_xlfn.XLOOKUP($C159,$BM$1:$BM$3,$BN$1:$BY$3),$BN$4:$BY$4),""),
"")</f>
        <v>3.4836256000031311E-2</v>
      </c>
      <c r="CK159" s="8">
        <f>IF(_xlfn.XLOOKUP($B159,'ELC TECH'!$H:$H,'ELC TECH'!$E:$E)="Non Dispatchable",IFERROR($AX159*_xlfn.XLOOKUP($C159,$BM$1:$BM$3,CK$1:CK$3)/SUMPRODUCT(_xlfn.XLOOKUP($C159,$BM$1:$BM$3,$BN$1:$BY$3),$BN$4:$BY$4),""),
"")</f>
        <v>0.25463600681052834</v>
      </c>
      <c r="CL159" s="8" t="str">
        <f>IF(_xlfn.XLOOKUP($B159,'ELC TECH'!$H:$H,'ELC TECH'!$E:$E)="Storage",CL$4*$BF159,"")</f>
        <v/>
      </c>
      <c r="CM159" s="8" t="str">
        <f>IF(_xlfn.XLOOKUP($B159,'ELC TECH'!$H:$H,'ELC TECH'!$E:$E)="Storage",CM$4*$BF159,"")</f>
        <v/>
      </c>
      <c r="CN159" s="8" t="str">
        <f>IF(_xlfn.XLOOKUP($B159,'ELC TECH'!$H:$H,'ELC TECH'!$E:$E)="Storage",CN$4*$BF159,"")</f>
        <v/>
      </c>
      <c r="CO159" s="8" t="str">
        <f>IF(_xlfn.XLOOKUP($B159,'ELC TECH'!$H:$H,'ELC TECH'!$E:$E)="Storage",CO$4*$BF159,"")</f>
        <v/>
      </c>
      <c r="CP159" s="8" t="str">
        <f>IF(_xlfn.XLOOKUP($B159,'ELC TECH'!$H:$H,'ELC TECH'!$E:$E)="Storage",CP$4*$BF159,"")</f>
        <v/>
      </c>
      <c r="CQ159" s="8" t="str">
        <f>IF(_xlfn.XLOOKUP($B159,'ELC TECH'!$H:$H,'ELC TECH'!$E:$E)="Storage",CQ$4*$BF159,"")</f>
        <v/>
      </c>
      <c r="CR159" s="8" t="str">
        <f>IF(_xlfn.XLOOKUP($B159,'ELC TECH'!$H:$H,'ELC TECH'!$E:$E)="Storage",CR$4*$BF159,"")</f>
        <v/>
      </c>
      <c r="CS159" s="8" t="str">
        <f>IF(_xlfn.XLOOKUP($B159,'ELC TECH'!$H:$H,'ELC TECH'!$E:$E)="Storage",CS$4*$BF159,"")</f>
        <v/>
      </c>
      <c r="CT159" s="8" t="str">
        <f>IF(_xlfn.XLOOKUP($B159,'ELC TECH'!$H:$H,'ELC TECH'!$E:$E)="Storage",CT$4*$BF159,"")</f>
        <v/>
      </c>
      <c r="CU159" s="8" t="str">
        <f>IF(_xlfn.XLOOKUP($B159,'ELC TECH'!$H:$H,'ELC TECH'!$E:$E)="Storage",CU$4*$BF159,"")</f>
        <v/>
      </c>
      <c r="CV159" s="8" t="str">
        <f>IF(_xlfn.XLOOKUP($B159,'ELC TECH'!$H:$H,'ELC TECH'!$E:$E)="Storage",CV$4*$BF159,"")</f>
        <v/>
      </c>
      <c r="CW159" s="8" t="str">
        <f>IF(_xlfn.XLOOKUP($B159,'ELC TECH'!$H:$H,'ELC TECH'!$E:$E)="Storage",CW$4*$BF159,"")</f>
        <v/>
      </c>
      <c r="CX159" s="8" t="str">
        <f>IF(_xlfn.XLOOKUP($B159,'ELC TECH'!$H:$H,'ELC TECH'!$E:$E)="Storage",CX$4*$BF159,"")</f>
        <v/>
      </c>
      <c r="CY159" s="8" t="str">
        <f>IF(_xlfn.XLOOKUP($B159,'ELC TECH'!$H:$H,'ELC TECH'!$E:$E)="Storage",CY$4*$BF159,"")</f>
        <v/>
      </c>
      <c r="CZ159" s="8" t="str">
        <f>IF(_xlfn.XLOOKUP($B159,'ELC TECH'!$H:$H,'ELC TECH'!$E:$E)="Storage",CZ$4*$BF159,"")</f>
        <v/>
      </c>
      <c r="DA159" s="8" t="str">
        <f>IF(_xlfn.XLOOKUP($B159,'ELC TECH'!$H:$H,'ELC TECH'!$E:$E)="Storage",DA$4*$BF159,"")</f>
        <v/>
      </c>
      <c r="DB159" s="8" t="str">
        <f>IF(_xlfn.XLOOKUP($B159,'ELC TECH'!$H:$H,'ELC TECH'!$E:$E)="Storage",DB$4*$BF159,"")</f>
        <v/>
      </c>
      <c r="DC159" s="8" t="str">
        <f>IF(_xlfn.XLOOKUP($B159,'ELC TECH'!$H:$H,'ELC TECH'!$E:$E)="Storage",DC$4*$BF159,"")</f>
        <v/>
      </c>
      <c r="DD159" s="8" t="str">
        <f>IF(_xlfn.XLOOKUP($B159,'ELC TECH'!$H:$H,'ELC TECH'!$E:$E)="Storage",DD$4*$BF159,"")</f>
        <v/>
      </c>
      <c r="DE159" s="8" t="str">
        <f>IF(_xlfn.XLOOKUP($B159,'ELC TECH'!$H:$H,'ELC TECH'!$E:$E)="Storage",DE$4*$BF159,"")</f>
        <v/>
      </c>
      <c r="DF159" s="8" t="str">
        <f>IF(_xlfn.XLOOKUP($B159,'ELC TECH'!$H:$H,'ELC TECH'!$E:$E)="Storage",DF$4*$BF159,"")</f>
        <v/>
      </c>
      <c r="DG159" s="8" t="str">
        <f>IF(_xlfn.XLOOKUP($B159,'ELC TECH'!$H:$H,'ELC TECH'!$E:$E)="Storage",DG$4*$BF159,"")</f>
        <v/>
      </c>
      <c r="DH159" s="8" t="str">
        <f>IF(_xlfn.XLOOKUP($B159,'ELC TECH'!$H:$H,'ELC TECH'!$E:$E)="Storage",DH$4*$BF159,"")</f>
        <v/>
      </c>
      <c r="DI159" s="8" t="str">
        <f>IF(_xlfn.XLOOKUP($B159,'ELC TECH'!$H:$H,'ELC TECH'!$E:$E)="Storage",DI$4*$BF159,"")</f>
        <v/>
      </c>
    </row>
    <row r="160" spans="2:113" x14ac:dyDescent="0.25">
      <c r="B160" t="str">
        <f>IF('ELC TECH'!I153=0,"*",'ELC TECH'!H153)</f>
        <v>ELCWNDDCERDWC620</v>
      </c>
      <c r="C160" t="str">
        <f>IF(_xlfn.XLOOKUP(_xlfn.XLOOKUP(B160,'ELC TECH'!$H:$H,'ELC TECH'!$G:$G),List!C:C,List!B:B)="STG",D160,"ELC"&amp;_xlfn.XLOOKUP(_xlfn.XLOOKUP(B160,'ELC TECH'!H:H,'ELC TECH'!G:G),List!C:C,List!B:B))</f>
        <v>ELCWND</v>
      </c>
      <c r="D160" t="s">
        <v>544</v>
      </c>
      <c r="E160">
        <f>_xlfn.XLOOKUP(B160,'ELC TECH'!H:H,'ELC TECH'!D:D)</f>
        <v>2020</v>
      </c>
      <c r="F160">
        <f>_xlfn.XLOOKUP(B160,'ELC TECH'!H:H,'ELC TECH'!K:K)</f>
        <v>30</v>
      </c>
      <c r="G160">
        <f t="shared" si="8"/>
        <v>31.535999999999998</v>
      </c>
      <c r="H160">
        <f>IF(_xlfn.XLOOKUP(B160,'ELC TECH'!$H:$H,'ELC TECH'!$E:$E)="Storage",0.3,IF(_xlfn.XLOOKUP(B160,'ELC TECH'!$H:$H,'ELC TECH'!$E:$E)="Baseload",0.9,IF(_xlfn.XLOOKUP(B160,'ELC TECH'!$H:$H,'ELC TECH'!$E:$E)="Non Dispatchable",0.05,IF(_xlfn.XLOOKUP(B160,'ELC TECH'!$H:$H,'ELC TECH'!$E:$E)="Dispatchable",0.9,1))))</f>
        <v>0.05</v>
      </c>
      <c r="I160" s="13">
        <f>IF(_xlfn.XLOOKUP(B160,'ELC TECH'!H:H,'ELC TECH'!J:J)="","",_xlfn.XLOOKUP(B160,'ELC TECH'!H:H,'ELC TECH'!J:J))</f>
        <v>233.39318333333341</v>
      </c>
      <c r="J160" s="12">
        <f>IF(_xlfn.XLOOKUP($B160,'ELC TECH'!$H:$H,'ELC TECH'!$E:$E)="Storage","",IF(_xlfn.XLOOKUP($B160,'ELC TECH'!$H:$H,'ELC TECH'!AK:AK)="",1,_xlfn.XLOOKUP($B160,'ELC TECH'!$H:$H,'ELC TECH'!AK:AK)))</f>
        <v>1</v>
      </c>
      <c r="K160" s="12">
        <f>IF(_xlfn.XLOOKUP($B160,'ELC TECH'!$H:$H,'ELC TECH'!$E:$E)="Storage","",IF(_xlfn.XLOOKUP($B160,'ELC TECH'!$H:$H,'ELC TECH'!AL:AL)="",1,_xlfn.XLOOKUP($B160,'ELC TECH'!$H:$H,'ELC TECH'!AL:AL)))</f>
        <v>1</v>
      </c>
      <c r="L160" s="12">
        <f>IF(_xlfn.XLOOKUP($B160,'ELC TECH'!$H:$H,'ELC TECH'!$E:$E)="Storage","",IF(_xlfn.XLOOKUP($B160,'ELC TECH'!$H:$H,'ELC TECH'!AM:AM)="",1,_xlfn.XLOOKUP($B160,'ELC TECH'!$H:$H,'ELC TECH'!AM:AM)))</f>
        <v>1</v>
      </c>
      <c r="M160" s="12">
        <f>IF(_xlfn.XLOOKUP($B160,'ELC TECH'!$H:$H,'ELC TECH'!$E:$E)="Storage","",IF(_xlfn.XLOOKUP($B160,'ELC TECH'!$H:$H,'ELC TECH'!AN:AN)="",1,_xlfn.XLOOKUP($B160,'ELC TECH'!$H:$H,'ELC TECH'!AN:AN)))</f>
        <v>1</v>
      </c>
      <c r="N160" s="12">
        <f>IF(_xlfn.XLOOKUP($B160,'ELC TECH'!$H:$H,'ELC TECH'!$E:$E)="Storage","",IF(_xlfn.XLOOKUP($B160,'ELC TECH'!$H:$H,'ELC TECH'!AO:AO)="",1,_xlfn.XLOOKUP($B160,'ELC TECH'!$H:$H,'ELC TECH'!AO:AO)))</f>
        <v>1</v>
      </c>
      <c r="O160" s="12">
        <f>IF(_xlfn.XLOOKUP($B160,'ELC TECH'!$H:$H,'ELC TECH'!$E:$E)="Storage","",IF(_xlfn.XLOOKUP($B160,'ELC TECH'!$H:$H,'ELC TECH'!AP:AP)="",1,_xlfn.XLOOKUP($B160,'ELC TECH'!$H:$H,'ELC TECH'!AP:AP)))</f>
        <v>1</v>
      </c>
      <c r="P160" s="12">
        <f>IF(_xlfn.XLOOKUP($B160,'ELC TECH'!$H:$H,'ELC TECH'!$E:$E)="Storage","",IF(_xlfn.XLOOKUP($B160,'ELC TECH'!$H:$H,'ELC TECH'!AQ:AQ)="",1,_xlfn.XLOOKUP($B160,'ELC TECH'!$H:$H,'ELC TECH'!AQ:AQ)))</f>
        <v>1</v>
      </c>
      <c r="Q160" s="12">
        <f>IF(_xlfn.XLOOKUP($B160,'ELC TECH'!$H:$H,'ELC TECH'!$E:$E)="Storage","",IF(_xlfn.XLOOKUP($B160,'ELC TECH'!$H:$H,'ELC TECH'!AR:AR)="",1,_xlfn.XLOOKUP($B160,'ELC TECH'!$H:$H,'ELC TECH'!AR:AR)))</f>
        <v>1</v>
      </c>
      <c r="R160" s="12" t="str">
        <f>IF(_xlfn.XLOOKUP($B160,'ELC TECH'!$H:$H,'ELC TECH'!$E:$E)&lt;&gt;"Storage","",IF(_xlfn.XLOOKUP($B160,'ELC TECH'!$H:$H,'ELC TECH'!AK:AK)="",0.8,_xlfn.XLOOKUP($B160,'ELC TECH'!$H:$H,'ELC TECH'!AK:AK)))</f>
        <v/>
      </c>
      <c r="S160" s="12" t="str">
        <f>IF(_xlfn.XLOOKUP($B160,'ELC TECH'!$H:$H,'ELC TECH'!$E:$E)&lt;&gt;"Storage","",IF(_xlfn.XLOOKUP($B160,'ELC TECH'!$H:$H,'ELC TECH'!AL:AL)="",0.8,_xlfn.XLOOKUP($B160,'ELC TECH'!$H:$H,'ELC TECH'!AL:AL)))</f>
        <v/>
      </c>
      <c r="T160" s="12" t="str">
        <f>IF(_xlfn.XLOOKUP($B160,'ELC TECH'!$H:$H,'ELC TECH'!$E:$E)&lt;&gt;"Storage","",IF(_xlfn.XLOOKUP($B160,'ELC TECH'!$H:$H,'ELC TECH'!AM:AM)="",0.8,_xlfn.XLOOKUP($B160,'ELC TECH'!$H:$H,'ELC TECH'!AM:AM)))</f>
        <v/>
      </c>
      <c r="U160" s="12" t="str">
        <f>IF(_xlfn.XLOOKUP($B160,'ELC TECH'!$H:$H,'ELC TECH'!$E:$E)&lt;&gt;"Storage","",IF(_xlfn.XLOOKUP($B160,'ELC TECH'!$H:$H,'ELC TECH'!AN:AN)="",0.8,_xlfn.XLOOKUP($B160,'ELC TECH'!$H:$H,'ELC TECH'!AN:AN)))</f>
        <v/>
      </c>
      <c r="V160" s="12" t="str">
        <f>IF(_xlfn.XLOOKUP($B160,'ELC TECH'!$H:$H,'ELC TECH'!$E:$E)&lt;&gt;"Storage","",IF(_xlfn.XLOOKUP($B160,'ELC TECH'!$H:$H,'ELC TECH'!AO:AO)="",0.8,_xlfn.XLOOKUP($B160,'ELC TECH'!$H:$H,'ELC TECH'!AO:AO)))</f>
        <v/>
      </c>
      <c r="W160" s="12" t="str">
        <f>IF(_xlfn.XLOOKUP($B160,'ELC TECH'!$H:$H,'ELC TECH'!$E:$E)&lt;&gt;"Storage","",IF(_xlfn.XLOOKUP($B160,'ELC TECH'!$H:$H,'ELC TECH'!AP:AP)="",0.8,_xlfn.XLOOKUP($B160,'ELC TECH'!$H:$H,'ELC TECH'!AP:AP)))</f>
        <v/>
      </c>
      <c r="X160" s="12" t="str">
        <f>IF(_xlfn.XLOOKUP($B160,'ELC TECH'!$H:$H,'ELC TECH'!$E:$E)&lt;&gt;"Storage","",IF(_xlfn.XLOOKUP($B160,'ELC TECH'!$H:$H,'ELC TECH'!AQ:AQ)="",0.8,_xlfn.XLOOKUP($B160,'ELC TECH'!$H:$H,'ELC TECH'!AQ:AQ)))</f>
        <v/>
      </c>
      <c r="Y160" s="12" t="str">
        <f>IF(_xlfn.XLOOKUP($B160,'ELC TECH'!$H:$H,'ELC TECH'!$E:$E)&lt;&gt;"Storage","",IF(_xlfn.XLOOKUP($B160,'ELC TECH'!$H:$H,'ELC TECH'!AR:AR)="",0.8,_xlfn.XLOOKUP($B160,'ELC TECH'!$H:$H,'ELC TECH'!AR:AR)))</f>
        <v/>
      </c>
      <c r="Z160" s="15">
        <f>_xlfn.XLOOKUP($B160,'ELC TECH'!$H:$H,'ELC TECH'!M:M)</f>
        <v>6549.0142310829506</v>
      </c>
      <c r="AA160" s="15">
        <f>_xlfn.XLOOKUP($B160,'ELC TECH'!$H:$H,'ELC TECH'!N:N)</f>
        <v>6421.1425612343974</v>
      </c>
      <c r="AB160" s="15">
        <f>_xlfn.XLOOKUP($B160,'ELC TECH'!$H:$H,'ELC TECH'!O:O)</f>
        <v>3968.077175989039</v>
      </c>
      <c r="AC160" s="15">
        <f>_xlfn.XLOOKUP($B160,'ELC TECH'!$H:$H,'ELC TECH'!P:P)</f>
        <v>3222.0031734476329</v>
      </c>
      <c r="AD160" s="15">
        <f>_xlfn.XLOOKUP($B160,'ELC TECH'!$H:$H,'ELC TECH'!Q:Q)</f>
        <v>2629.692312978324</v>
      </c>
      <c r="AE160" s="15">
        <f>_xlfn.XLOOKUP($B160,'ELC TECH'!$H:$H,'ELC TECH'!R:R)</f>
        <v>2226.8699153391431</v>
      </c>
      <c r="AF160" s="15">
        <f>_xlfn.XLOOKUP($B160,'ELC TECH'!$H:$H,'ELC TECH'!S:S)</f>
        <v>1953.258376919596</v>
      </c>
      <c r="AG160" s="15">
        <f>_xlfn.XLOOKUP($B160,'ELC TECH'!$H:$H,'ELC TECH'!T:T)</f>
        <v>1953.258376919596</v>
      </c>
      <c r="AH160" s="15">
        <f>_xlfn.XLOOKUP($B160,'ELC TECH'!$H:$H,'ELC TECH'!U:U)</f>
        <v>41.27117929699714</v>
      </c>
      <c r="AI160" s="15">
        <f>_xlfn.XLOOKUP($B160,'ELC TECH'!$H:$H,'ELC TECH'!V:V)</f>
        <v>40.608188464916751</v>
      </c>
      <c r="AJ160" s="15">
        <f>_xlfn.XLOOKUP($B160,'ELC TECH'!$H:$H,'ELC TECH'!W:W)</f>
        <v>39.779449924816397</v>
      </c>
      <c r="AK160" s="15">
        <f>_xlfn.XLOOKUP($B160,'ELC TECH'!$H:$H,'ELC TECH'!X:X)</f>
        <v>39.157896019741258</v>
      </c>
      <c r="AL160" s="15">
        <f>_xlfn.XLOOKUP($B160,'ELC TECH'!$H:$H,'ELC TECH'!Y:Y)</f>
        <v>38.536342114665999</v>
      </c>
      <c r="AM160" s="15">
        <f>_xlfn.XLOOKUP($B160,'ELC TECH'!$H:$H,'ELC TECH'!Z:Z)</f>
        <v>37.914788209590739</v>
      </c>
      <c r="AN160" s="15">
        <f>_xlfn.XLOOKUP($B160,'ELC TECH'!$H:$H,'ELC TECH'!AA:AA)</f>
        <v>37.293234304515479</v>
      </c>
      <c r="AO160" s="15">
        <f>_xlfn.XLOOKUP($B160,'ELC TECH'!$H:$H,'ELC TECH'!AB:AB)</f>
        <v>37.293234304515479</v>
      </c>
      <c r="AP160" s="15">
        <f>_xlfn.XLOOKUP($B160,'ELC TECH'!$H:$H,'ELC TECH'!AC:AC)</f>
        <v>0</v>
      </c>
      <c r="AQ160" s="15">
        <f>_xlfn.XLOOKUP($B160,'ELC TECH'!$H:$H,'ELC TECH'!AD:AD)</f>
        <v>0</v>
      </c>
      <c r="AR160" s="15">
        <f>_xlfn.XLOOKUP($B160,'ELC TECH'!$H:$H,'ELC TECH'!AE:AE)</f>
        <v>0</v>
      </c>
      <c r="AS160" s="15">
        <f>_xlfn.XLOOKUP($B160,'ELC TECH'!$H:$H,'ELC TECH'!AF:AF)</f>
        <v>0</v>
      </c>
      <c r="AT160" s="15">
        <f>_xlfn.XLOOKUP($B160,'ELC TECH'!$H:$H,'ELC TECH'!AG:AG)</f>
        <v>0</v>
      </c>
      <c r="AU160" s="15">
        <f>_xlfn.XLOOKUP($B160,'ELC TECH'!$H:$H,'ELC TECH'!AH:AH)</f>
        <v>0</v>
      </c>
      <c r="AV160" s="15">
        <f>_xlfn.XLOOKUP($B160,'ELC TECH'!$H:$H,'ELC TECH'!AI:AI)</f>
        <v>0</v>
      </c>
      <c r="AW160" s="15">
        <f>_xlfn.XLOOKUP($B160,'ELC TECH'!$H:$H,'ELC TECH'!AJ:AJ)</f>
        <v>0</v>
      </c>
      <c r="AX160" s="12">
        <f>IF(_xlfn.XLOOKUP($B160,'ELC TECH'!$H:$H,'ELC TECH'!$E:$E)="Storage","",_xlfn.XLOOKUP($B160,'ELC TECH'!$H:$H,'ELC TECH'!AS:AS))</f>
        <v>0.30730364999999998</v>
      </c>
      <c r="AY160" s="12">
        <f>IF(_xlfn.XLOOKUP($B160,'ELC TECH'!$H:$H,'ELC TECH'!$E:$E)="Storage","",_xlfn.XLOOKUP($B160,'ELC TECH'!$H:$H,'ELC TECH'!AT:AT))</f>
        <v>0.35050425000000002</v>
      </c>
      <c r="AZ160" s="12">
        <f>IF(_xlfn.XLOOKUP($B160,'ELC TECH'!$H:$H,'ELC TECH'!$E:$E)="Storage","",_xlfn.XLOOKUP($B160,'ELC TECH'!$H:$H,'ELC TECH'!AU:AU))</f>
        <v>0.404505</v>
      </c>
      <c r="BA160" s="12">
        <f>IF(_xlfn.XLOOKUP($B160,'ELC TECH'!$H:$H,'ELC TECH'!$E:$E)="Storage","",_xlfn.XLOOKUP($B160,'ELC TECH'!$H:$H,'ELC TECH'!AV:AV))</f>
        <v>0.404505</v>
      </c>
      <c r="BB160" s="12">
        <f>IF(_xlfn.XLOOKUP($B160,'ELC TECH'!$H:$H,'ELC TECH'!$E:$E)="Storage","",_xlfn.XLOOKUP($B160,'ELC TECH'!$H:$H,'ELC TECH'!AW:AW))</f>
        <v>0.404505</v>
      </c>
      <c r="BC160" s="12">
        <f>IF(_xlfn.XLOOKUP($B160,'ELC TECH'!$H:$H,'ELC TECH'!$E:$E)="Storage","",_xlfn.XLOOKUP($B160,'ELC TECH'!$H:$H,'ELC TECH'!AX:AX))</f>
        <v>0.404505</v>
      </c>
      <c r="BD160" s="12">
        <f>IF(_xlfn.XLOOKUP($B160,'ELC TECH'!$H:$H,'ELC TECH'!$E:$E)="Storage","",_xlfn.XLOOKUP($B160,'ELC TECH'!$H:$H,'ELC TECH'!AY:AY))</f>
        <v>0.404505</v>
      </c>
      <c r="BE160" s="12">
        <f>IF(_xlfn.XLOOKUP($B160,'ELC TECH'!$H:$H,'ELC TECH'!$E:$E)="Storage","",_xlfn.XLOOKUP($B160,'ELC TECH'!$H:$H,'ELC TECH'!AZ:AZ))</f>
        <v>0.404505</v>
      </c>
      <c r="BF160" s="12" t="str">
        <f>IF(_xlfn.XLOOKUP($B160,'ELC TECH'!$H:$H,'ELC TECH'!$E:$E)="Storage",_xlfn.XLOOKUP($B160,'ELC TECH'!$H:$H,'ELC TECH'!AS:AS),"")</f>
        <v/>
      </c>
      <c r="BG160" s="12" t="str">
        <f>IF(_xlfn.XLOOKUP($B160,'ELC TECH'!$H:$H,'ELC TECH'!$E:$E)="Storage",_xlfn.XLOOKUP($B160,'ELC TECH'!$H:$H,'ELC TECH'!AT:AT),"")</f>
        <v/>
      </c>
      <c r="BH160" s="12" t="str">
        <f>IF(_xlfn.XLOOKUP($B160,'ELC TECH'!$H:$H,'ELC TECH'!$E:$E)="Storage",_xlfn.XLOOKUP($B160,'ELC TECH'!$H:$H,'ELC TECH'!AU:AU),"")</f>
        <v/>
      </c>
      <c r="BI160" s="12" t="str">
        <f>IF(_xlfn.XLOOKUP($B160,'ELC TECH'!$H:$H,'ELC TECH'!$E:$E)="Storage",_xlfn.XLOOKUP($B160,'ELC TECH'!$H:$H,'ELC TECH'!AV:AV),"")</f>
        <v/>
      </c>
      <c r="BJ160" s="12" t="str">
        <f>IF(_xlfn.XLOOKUP($B160,'ELC TECH'!$H:$H,'ELC TECH'!$E:$E)="Storage",_xlfn.XLOOKUP($B160,'ELC TECH'!$H:$H,'ELC TECH'!AW:AW),"")</f>
        <v/>
      </c>
      <c r="BK160" s="12" t="str">
        <f>IF(_xlfn.XLOOKUP($B160,'ELC TECH'!$H:$H,'ELC TECH'!$E:$E)="Storage",_xlfn.XLOOKUP($B160,'ELC TECH'!$H:$H,'ELC TECH'!AX:AX),"")</f>
        <v/>
      </c>
      <c r="BL160" s="12" t="str">
        <f>IF(_xlfn.XLOOKUP($B160,'ELC TECH'!$H:$H,'ELC TECH'!$E:$E)="Storage",_xlfn.XLOOKUP($B160,'ELC TECH'!$H:$H,'ELC TECH'!AY:AY),"")</f>
        <v/>
      </c>
      <c r="BM160" s="12" t="str">
        <f>IF(_xlfn.XLOOKUP($B160,'ELC TECH'!$H:$H,'ELC TECH'!$E:$E)="Storage",_xlfn.XLOOKUP($B160,'ELC TECH'!$H:$H,'ELC TECH'!AZ:AZ),"")</f>
        <v/>
      </c>
      <c r="BN160" s="8">
        <f>IF(_xlfn.XLOOKUP($B160,'ELC TECH'!$H:$H,'ELC TECH'!$E:$E)="Non Dispatchable",IFERROR($AX160*_xlfn.XLOOKUP($C160,$BM$1:$BM$3,BN$1:BN$3)/SUMPRODUCT(_xlfn.XLOOKUP($C160,$BM$1:$BM$3,$BN$1:$BY$3),$BN$4:$BY$4),""),
"")</f>
        <v>0.5396256708568683</v>
      </c>
      <c r="BO160" s="8">
        <f>IF(_xlfn.XLOOKUP($B160,'ELC TECH'!$H:$H,'ELC TECH'!$E:$E)="Non Dispatchable",IFERROR($AX160*_xlfn.XLOOKUP($C160,$BM$1:$BM$3,BO$1:BO$3)/SUMPRODUCT(_xlfn.XLOOKUP($C160,$BM$1:$BM$3,$BN$1:$BY$3),$BN$4:$BY$4),""),
"")</f>
        <v>0.5396256708568683</v>
      </c>
      <c r="BP160" s="8">
        <f>IF(_xlfn.XLOOKUP($B160,'ELC TECH'!$H:$H,'ELC TECH'!$E:$E)="Non Dispatchable",IFERROR($AX160*_xlfn.XLOOKUP($C160,$BM$1:$BM$3,BP$1:BP$3)/SUMPRODUCT(_xlfn.XLOOKUP($C160,$BM$1:$BM$3,$BN$1:$BY$3),$BN$4:$BY$4),""),
"")</f>
        <v>5.3962567085686829E-2</v>
      </c>
      <c r="BQ160" s="8">
        <f>IF(_xlfn.XLOOKUP($B160,'ELC TECH'!$H:$H,'ELC TECH'!$E:$E)="Non Dispatchable",IFERROR($AX160*_xlfn.XLOOKUP($C160,$BM$1:$BM$3,BQ$1:BQ$3)/SUMPRODUCT(_xlfn.XLOOKUP($C160,$BM$1:$BM$3,$BN$1:$BY$3),$BN$4:$BY$4),""),
"")</f>
        <v>0.4323793111142456</v>
      </c>
      <c r="BR160" s="8">
        <f>IF(_xlfn.XLOOKUP($B160,'ELC TECH'!$H:$H,'ELC TECH'!$E:$E)="Non Dispatchable",IFERROR($AX160*_xlfn.XLOOKUP($C160,$BM$1:$BM$3,BR$1:BR$3)/SUMPRODUCT(_xlfn.XLOOKUP($C160,$BM$1:$BM$3,$BN$1:$BY$3),$BN$4:$BY$4),""),
"")</f>
        <v>0.62792805336071955</v>
      </c>
      <c r="BS160" s="8">
        <f>IF(_xlfn.XLOOKUP($B160,'ELC TECH'!$H:$H,'ELC TECH'!$E:$E)="Non Dispatchable",IFERROR($AX160*_xlfn.XLOOKUP($C160,$BM$1:$BM$3,BS$1:BS$3)/SUMPRODUCT(_xlfn.XLOOKUP($C160,$BM$1:$BM$3,$BN$1:$BY$3),$BN$4:$BY$4),""),
"")</f>
        <v>0.62792805336071955</v>
      </c>
      <c r="BT160" s="8">
        <f>IF(_xlfn.XLOOKUP($B160,'ELC TECH'!$H:$H,'ELC TECH'!$E:$E)="Non Dispatchable",IFERROR($AX160*_xlfn.XLOOKUP($C160,$BM$1:$BM$3,BT$1:BT$3)/SUMPRODUCT(_xlfn.XLOOKUP($C160,$BM$1:$BM$3,$BN$1:$BY$3),$BN$4:$BY$4),""),
"")</f>
        <v>6.2792805336071969E-2</v>
      </c>
      <c r="BU160" s="8">
        <f>IF(_xlfn.XLOOKUP($B160,'ELC TECH'!$H:$H,'ELC TECH'!$E:$E)="Non Dispatchable",IFERROR($AX160*_xlfn.XLOOKUP($C160,$BM$1:$BM$3,BU$1:BU$3)/SUMPRODUCT(_xlfn.XLOOKUP($C160,$BM$1:$BM$3,$BN$1:$BY$3),$BN$4:$BY$4),""),
"")</f>
        <v>0.55638617790525291</v>
      </c>
      <c r="BV160" s="8">
        <f>IF(_xlfn.XLOOKUP($B160,'ELC TECH'!$H:$H,'ELC TECH'!$E:$E)="Non Dispatchable",IFERROR($AX160*_xlfn.XLOOKUP($C160,$BM$1:$BM$3,BV$1:BV$3)/SUMPRODUCT(_xlfn.XLOOKUP($C160,$BM$1:$BM$3,$BN$1:$BY$3),$BN$4:$BY$4),""),
"")</f>
        <v>0.32518516478921888</v>
      </c>
      <c r="BW160" s="8">
        <f>IF(_xlfn.XLOOKUP($B160,'ELC TECH'!$H:$H,'ELC TECH'!$E:$E)="Non Dispatchable",IFERROR($AX160*_xlfn.XLOOKUP($C160,$BM$1:$BM$3,BW$1:BW$3)/SUMPRODUCT(_xlfn.XLOOKUP($C160,$BM$1:$BM$3,$BN$1:$BY$3),$BN$4:$BY$4),""),
"")</f>
        <v>0.32518516478921888</v>
      </c>
      <c r="BX160" s="8">
        <f>IF(_xlfn.XLOOKUP($B160,'ELC TECH'!$H:$H,'ELC TECH'!$E:$E)="Non Dispatchable",IFERROR($AX160*_xlfn.XLOOKUP($C160,$BM$1:$BM$3,BX$1:BX$3)/SUMPRODUCT(_xlfn.XLOOKUP($C160,$BM$1:$BM$3,$BN$1:$BY$3),$BN$4:$BY$4),""),
"")</f>
        <v>3.2518516478921893E-2</v>
      </c>
      <c r="BY160" s="8">
        <f>IF(_xlfn.XLOOKUP($B160,'ELC TECH'!$H:$H,'ELC TECH'!$E:$E)="Non Dispatchable",IFERROR($AX160*_xlfn.XLOOKUP($C160,$BM$1:$BM$3,BY$1:BY$3)/SUMPRODUCT(_xlfn.XLOOKUP($C160,$BM$1:$BM$3,$BN$1:$BY$3),$BN$4:$BY$4),""),
"")</f>
        <v>0.23769446359527235</v>
      </c>
      <c r="BZ160" s="8">
        <f>IF(_xlfn.XLOOKUP($B160,'ELC TECH'!$H:$H,'ELC TECH'!$E:$E)="Non Dispatchable",IFERROR($AX160*_xlfn.XLOOKUP($C160,$BM$1:$BM$3,BZ$1:BZ$3)/SUMPRODUCT(_xlfn.XLOOKUP($C160,$BM$1:$BM$3,$BN$1:$BY$3),$BN$4:$BY$4),""),
"")</f>
        <v>0.5396256708568683</v>
      </c>
      <c r="CA160" s="8">
        <f>IF(_xlfn.XLOOKUP($B160,'ELC TECH'!$H:$H,'ELC TECH'!$E:$E)="Non Dispatchable",IFERROR($AX160*_xlfn.XLOOKUP($C160,$BM$1:$BM$3,CA$1:CA$3)/SUMPRODUCT(_xlfn.XLOOKUP($C160,$BM$1:$BM$3,$BN$1:$BY$3),$BN$4:$BY$4),""),
"")</f>
        <v>0.5396256708568683</v>
      </c>
      <c r="CB160" s="8">
        <f>IF(_xlfn.XLOOKUP($B160,'ELC TECH'!$H:$H,'ELC TECH'!$E:$E)="Non Dispatchable",IFERROR($AX160*_xlfn.XLOOKUP($C160,$BM$1:$BM$3,CB$1:CB$3)/SUMPRODUCT(_xlfn.XLOOKUP($C160,$BM$1:$BM$3,$BN$1:$BY$3),$BN$4:$BY$4),""),
"")</f>
        <v>5.3962567085686829E-2</v>
      </c>
      <c r="CC160" s="8">
        <f>IF(_xlfn.XLOOKUP($B160,'ELC TECH'!$H:$H,'ELC TECH'!$E:$E)="Non Dispatchable",IFERROR($AX160*_xlfn.XLOOKUP($C160,$BM$1:$BM$3,CC$1:CC$3)/SUMPRODUCT(_xlfn.XLOOKUP($C160,$BM$1:$BM$3,$BN$1:$BY$3),$BN$4:$BY$4),""),
"")</f>
        <v>0.4323793111142456</v>
      </c>
      <c r="CD160" s="8">
        <f>IF(_xlfn.XLOOKUP($B160,'ELC TECH'!$H:$H,'ELC TECH'!$E:$E)="Non Dispatchable",IFERROR($AX160*_xlfn.XLOOKUP($C160,$BM$1:$BM$3,CD$1:CD$3)/SUMPRODUCT(_xlfn.XLOOKUP($C160,$BM$1:$BM$3,$BN$1:$BY$3),$BN$4:$BY$4),""),
"")</f>
        <v>0.62792805336071955</v>
      </c>
      <c r="CE160" s="8">
        <f>IF(_xlfn.XLOOKUP($B160,'ELC TECH'!$H:$H,'ELC TECH'!$E:$E)="Non Dispatchable",IFERROR($AX160*_xlfn.XLOOKUP($C160,$BM$1:$BM$3,CE$1:CE$3)/SUMPRODUCT(_xlfn.XLOOKUP($C160,$BM$1:$BM$3,$BN$1:$BY$3),$BN$4:$BY$4),""),
"")</f>
        <v>0.62792805336071955</v>
      </c>
      <c r="CF160" s="8">
        <f>IF(_xlfn.XLOOKUP($B160,'ELC TECH'!$H:$H,'ELC TECH'!$E:$E)="Non Dispatchable",IFERROR($AX160*_xlfn.XLOOKUP($C160,$BM$1:$BM$3,CF$1:CF$3)/SUMPRODUCT(_xlfn.XLOOKUP($C160,$BM$1:$BM$3,$BN$1:$BY$3),$BN$4:$BY$4),""),
"")</f>
        <v>6.2792805336071969E-2</v>
      </c>
      <c r="CG160" s="8">
        <f>IF(_xlfn.XLOOKUP($B160,'ELC TECH'!$H:$H,'ELC TECH'!$E:$E)="Non Dispatchable",IFERROR($AX160*_xlfn.XLOOKUP($C160,$BM$1:$BM$3,CG$1:CG$3)/SUMPRODUCT(_xlfn.XLOOKUP($C160,$BM$1:$BM$3,$BN$1:$BY$3),$BN$4:$BY$4),""),
"")</f>
        <v>0.55638617790525291</v>
      </c>
      <c r="CH160" s="8">
        <f>IF(_xlfn.XLOOKUP($B160,'ELC TECH'!$H:$H,'ELC TECH'!$E:$E)="Non Dispatchable",IFERROR($AX160*_xlfn.XLOOKUP($C160,$BM$1:$BM$3,CH$1:CH$3)/SUMPRODUCT(_xlfn.XLOOKUP($C160,$BM$1:$BM$3,$BN$1:$BY$3),$BN$4:$BY$4),""),
"")</f>
        <v>0.32518516478921888</v>
      </c>
      <c r="CI160" s="8">
        <f>IF(_xlfn.XLOOKUP($B160,'ELC TECH'!$H:$H,'ELC TECH'!$E:$E)="Non Dispatchable",IFERROR($AX160*_xlfn.XLOOKUP($C160,$BM$1:$BM$3,CI$1:CI$3)/SUMPRODUCT(_xlfn.XLOOKUP($C160,$BM$1:$BM$3,$BN$1:$BY$3),$BN$4:$BY$4),""),
"")</f>
        <v>0.32518516478921888</v>
      </c>
      <c r="CJ160" s="8">
        <f>IF(_xlfn.XLOOKUP($B160,'ELC TECH'!$H:$H,'ELC TECH'!$E:$E)="Non Dispatchable",IFERROR($AX160*_xlfn.XLOOKUP($C160,$BM$1:$BM$3,CJ$1:CJ$3)/SUMPRODUCT(_xlfn.XLOOKUP($C160,$BM$1:$BM$3,$BN$1:$BY$3),$BN$4:$BY$4),""),
"")</f>
        <v>3.2518516478921893E-2</v>
      </c>
      <c r="CK160" s="8">
        <f>IF(_xlfn.XLOOKUP($B160,'ELC TECH'!$H:$H,'ELC TECH'!$E:$E)="Non Dispatchable",IFERROR($AX160*_xlfn.XLOOKUP($C160,$BM$1:$BM$3,CK$1:CK$3)/SUMPRODUCT(_xlfn.XLOOKUP($C160,$BM$1:$BM$3,$BN$1:$BY$3),$BN$4:$BY$4),""),
"")</f>
        <v>0.23769446359527235</v>
      </c>
      <c r="CL160" s="8" t="str">
        <f>IF(_xlfn.XLOOKUP($B160,'ELC TECH'!$H:$H,'ELC TECH'!$E:$E)="Storage",CL$4*$BF160,"")</f>
        <v/>
      </c>
      <c r="CM160" s="8" t="str">
        <f>IF(_xlfn.XLOOKUP($B160,'ELC TECH'!$H:$H,'ELC TECH'!$E:$E)="Storage",CM$4*$BF160,"")</f>
        <v/>
      </c>
      <c r="CN160" s="8" t="str">
        <f>IF(_xlfn.XLOOKUP($B160,'ELC TECH'!$H:$H,'ELC TECH'!$E:$E)="Storage",CN$4*$BF160,"")</f>
        <v/>
      </c>
      <c r="CO160" s="8" t="str">
        <f>IF(_xlfn.XLOOKUP($B160,'ELC TECH'!$H:$H,'ELC TECH'!$E:$E)="Storage",CO$4*$BF160,"")</f>
        <v/>
      </c>
      <c r="CP160" s="8" t="str">
        <f>IF(_xlfn.XLOOKUP($B160,'ELC TECH'!$H:$H,'ELC TECH'!$E:$E)="Storage",CP$4*$BF160,"")</f>
        <v/>
      </c>
      <c r="CQ160" s="8" t="str">
        <f>IF(_xlfn.XLOOKUP($B160,'ELC TECH'!$H:$H,'ELC TECH'!$E:$E)="Storage",CQ$4*$BF160,"")</f>
        <v/>
      </c>
      <c r="CR160" s="8" t="str">
        <f>IF(_xlfn.XLOOKUP($B160,'ELC TECH'!$H:$H,'ELC TECH'!$E:$E)="Storage",CR$4*$BF160,"")</f>
        <v/>
      </c>
      <c r="CS160" s="8" t="str">
        <f>IF(_xlfn.XLOOKUP($B160,'ELC TECH'!$H:$H,'ELC TECH'!$E:$E)="Storage",CS$4*$BF160,"")</f>
        <v/>
      </c>
      <c r="CT160" s="8" t="str">
        <f>IF(_xlfn.XLOOKUP($B160,'ELC TECH'!$H:$H,'ELC TECH'!$E:$E)="Storage",CT$4*$BF160,"")</f>
        <v/>
      </c>
      <c r="CU160" s="8" t="str">
        <f>IF(_xlfn.XLOOKUP($B160,'ELC TECH'!$H:$H,'ELC TECH'!$E:$E)="Storage",CU$4*$BF160,"")</f>
        <v/>
      </c>
      <c r="CV160" s="8" t="str">
        <f>IF(_xlfn.XLOOKUP($B160,'ELC TECH'!$H:$H,'ELC TECH'!$E:$E)="Storage",CV$4*$BF160,"")</f>
        <v/>
      </c>
      <c r="CW160" s="8" t="str">
        <f>IF(_xlfn.XLOOKUP($B160,'ELC TECH'!$H:$H,'ELC TECH'!$E:$E)="Storage",CW$4*$BF160,"")</f>
        <v/>
      </c>
      <c r="CX160" s="8" t="str">
        <f>IF(_xlfn.XLOOKUP($B160,'ELC TECH'!$H:$H,'ELC TECH'!$E:$E)="Storage",CX$4*$BF160,"")</f>
        <v/>
      </c>
      <c r="CY160" s="8" t="str">
        <f>IF(_xlfn.XLOOKUP($B160,'ELC TECH'!$H:$H,'ELC TECH'!$E:$E)="Storage",CY$4*$BF160,"")</f>
        <v/>
      </c>
      <c r="CZ160" s="8" t="str">
        <f>IF(_xlfn.XLOOKUP($B160,'ELC TECH'!$H:$H,'ELC TECH'!$E:$E)="Storage",CZ$4*$BF160,"")</f>
        <v/>
      </c>
      <c r="DA160" s="8" t="str">
        <f>IF(_xlfn.XLOOKUP($B160,'ELC TECH'!$H:$H,'ELC TECH'!$E:$E)="Storage",DA$4*$BF160,"")</f>
        <v/>
      </c>
      <c r="DB160" s="8" t="str">
        <f>IF(_xlfn.XLOOKUP($B160,'ELC TECH'!$H:$H,'ELC TECH'!$E:$E)="Storage",DB$4*$BF160,"")</f>
        <v/>
      </c>
      <c r="DC160" s="8" t="str">
        <f>IF(_xlfn.XLOOKUP($B160,'ELC TECH'!$H:$H,'ELC TECH'!$E:$E)="Storage",DC$4*$BF160,"")</f>
        <v/>
      </c>
      <c r="DD160" s="8" t="str">
        <f>IF(_xlfn.XLOOKUP($B160,'ELC TECH'!$H:$H,'ELC TECH'!$E:$E)="Storage",DD$4*$BF160,"")</f>
        <v/>
      </c>
      <c r="DE160" s="8" t="str">
        <f>IF(_xlfn.XLOOKUP($B160,'ELC TECH'!$H:$H,'ELC TECH'!$E:$E)="Storage",DE$4*$BF160,"")</f>
        <v/>
      </c>
      <c r="DF160" s="8" t="str">
        <f>IF(_xlfn.XLOOKUP($B160,'ELC TECH'!$H:$H,'ELC TECH'!$E:$E)="Storage",DF$4*$BF160,"")</f>
        <v/>
      </c>
      <c r="DG160" s="8" t="str">
        <f>IF(_xlfn.XLOOKUP($B160,'ELC TECH'!$H:$H,'ELC TECH'!$E:$E)="Storage",DG$4*$BF160,"")</f>
        <v/>
      </c>
      <c r="DH160" s="8" t="str">
        <f>IF(_xlfn.XLOOKUP($B160,'ELC TECH'!$H:$H,'ELC TECH'!$E:$E)="Storage",DH$4*$BF160,"")</f>
        <v/>
      </c>
      <c r="DI160" s="8" t="str">
        <f>IF(_xlfn.XLOOKUP($B160,'ELC TECH'!$H:$H,'ELC TECH'!$E:$E)="Storage",DI$4*$BF160,"")</f>
        <v/>
      </c>
    </row>
    <row r="161" spans="2:113" x14ac:dyDescent="0.25">
      <c r="B161" t="str">
        <f>IF('ELC TECH'!I154=0,"*",'ELC TECH'!H154)</f>
        <v>ELCWNDDCERDWC720</v>
      </c>
      <c r="C161" t="str">
        <f>IF(_xlfn.XLOOKUP(_xlfn.XLOOKUP(B161,'ELC TECH'!$H:$H,'ELC TECH'!$G:$G),List!C:C,List!B:B)="STG",D161,"ELC"&amp;_xlfn.XLOOKUP(_xlfn.XLOOKUP(B161,'ELC TECH'!H:H,'ELC TECH'!G:G),List!C:C,List!B:B))</f>
        <v>ELCWND</v>
      </c>
      <c r="D161" t="s">
        <v>544</v>
      </c>
      <c r="E161">
        <f>_xlfn.XLOOKUP(B161,'ELC TECH'!H:H,'ELC TECH'!D:D)</f>
        <v>2020</v>
      </c>
      <c r="F161">
        <f>_xlfn.XLOOKUP(B161,'ELC TECH'!H:H,'ELC TECH'!K:K)</f>
        <v>30</v>
      </c>
      <c r="G161">
        <f t="shared" si="8"/>
        <v>31.535999999999998</v>
      </c>
      <c r="H161">
        <f>IF(_xlfn.XLOOKUP(B161,'ELC TECH'!$H:$H,'ELC TECH'!$E:$E)="Storage",0.3,IF(_xlfn.XLOOKUP(B161,'ELC TECH'!$H:$H,'ELC TECH'!$E:$E)="Baseload",0.9,IF(_xlfn.XLOOKUP(B161,'ELC TECH'!$H:$H,'ELC TECH'!$E:$E)="Non Dispatchable",0.05,IF(_xlfn.XLOOKUP(B161,'ELC TECH'!$H:$H,'ELC TECH'!$E:$E)="Dispatchable",0.9,1))))</f>
        <v>0.05</v>
      </c>
      <c r="I161" s="13">
        <f>IF(_xlfn.XLOOKUP(B161,'ELC TECH'!H:H,'ELC TECH'!J:J)="","",_xlfn.XLOOKUP(B161,'ELC TECH'!H:H,'ELC TECH'!J:J))</f>
        <v>233.39318333333341</v>
      </c>
      <c r="J161" s="12">
        <f>IF(_xlfn.XLOOKUP($B161,'ELC TECH'!$H:$H,'ELC TECH'!$E:$E)="Storage","",IF(_xlfn.XLOOKUP($B161,'ELC TECH'!$H:$H,'ELC TECH'!AK:AK)="",1,_xlfn.XLOOKUP($B161,'ELC TECH'!$H:$H,'ELC TECH'!AK:AK)))</f>
        <v>1</v>
      </c>
      <c r="K161" s="12">
        <f>IF(_xlfn.XLOOKUP($B161,'ELC TECH'!$H:$H,'ELC TECH'!$E:$E)="Storage","",IF(_xlfn.XLOOKUP($B161,'ELC TECH'!$H:$H,'ELC TECH'!AL:AL)="",1,_xlfn.XLOOKUP($B161,'ELC TECH'!$H:$H,'ELC TECH'!AL:AL)))</f>
        <v>1</v>
      </c>
      <c r="L161" s="12">
        <f>IF(_xlfn.XLOOKUP($B161,'ELC TECH'!$H:$H,'ELC TECH'!$E:$E)="Storage","",IF(_xlfn.XLOOKUP($B161,'ELC TECH'!$H:$H,'ELC TECH'!AM:AM)="",1,_xlfn.XLOOKUP($B161,'ELC TECH'!$H:$H,'ELC TECH'!AM:AM)))</f>
        <v>1</v>
      </c>
      <c r="M161" s="12">
        <f>IF(_xlfn.XLOOKUP($B161,'ELC TECH'!$H:$H,'ELC TECH'!$E:$E)="Storage","",IF(_xlfn.XLOOKUP($B161,'ELC TECH'!$H:$H,'ELC TECH'!AN:AN)="",1,_xlfn.XLOOKUP($B161,'ELC TECH'!$H:$H,'ELC TECH'!AN:AN)))</f>
        <v>1</v>
      </c>
      <c r="N161" s="12">
        <f>IF(_xlfn.XLOOKUP($B161,'ELC TECH'!$H:$H,'ELC TECH'!$E:$E)="Storage","",IF(_xlfn.XLOOKUP($B161,'ELC TECH'!$H:$H,'ELC TECH'!AO:AO)="",1,_xlfn.XLOOKUP($B161,'ELC TECH'!$H:$H,'ELC TECH'!AO:AO)))</f>
        <v>1</v>
      </c>
      <c r="O161" s="12">
        <f>IF(_xlfn.XLOOKUP($B161,'ELC TECH'!$H:$H,'ELC TECH'!$E:$E)="Storage","",IF(_xlfn.XLOOKUP($B161,'ELC TECH'!$H:$H,'ELC TECH'!AP:AP)="",1,_xlfn.XLOOKUP($B161,'ELC TECH'!$H:$H,'ELC TECH'!AP:AP)))</f>
        <v>1</v>
      </c>
      <c r="P161" s="12">
        <f>IF(_xlfn.XLOOKUP($B161,'ELC TECH'!$H:$H,'ELC TECH'!$E:$E)="Storage","",IF(_xlfn.XLOOKUP($B161,'ELC TECH'!$H:$H,'ELC TECH'!AQ:AQ)="",1,_xlfn.XLOOKUP($B161,'ELC TECH'!$H:$H,'ELC TECH'!AQ:AQ)))</f>
        <v>1</v>
      </c>
      <c r="Q161" s="12">
        <f>IF(_xlfn.XLOOKUP($B161,'ELC TECH'!$H:$H,'ELC TECH'!$E:$E)="Storage","",IF(_xlfn.XLOOKUP($B161,'ELC TECH'!$H:$H,'ELC TECH'!AR:AR)="",1,_xlfn.XLOOKUP($B161,'ELC TECH'!$H:$H,'ELC TECH'!AR:AR)))</f>
        <v>1</v>
      </c>
      <c r="R161" s="12" t="str">
        <f>IF(_xlfn.XLOOKUP($B161,'ELC TECH'!$H:$H,'ELC TECH'!$E:$E)&lt;&gt;"Storage","",IF(_xlfn.XLOOKUP($B161,'ELC TECH'!$H:$H,'ELC TECH'!AK:AK)="",0.8,_xlfn.XLOOKUP($B161,'ELC TECH'!$H:$H,'ELC TECH'!AK:AK)))</f>
        <v/>
      </c>
      <c r="S161" s="12" t="str">
        <f>IF(_xlfn.XLOOKUP($B161,'ELC TECH'!$H:$H,'ELC TECH'!$E:$E)&lt;&gt;"Storage","",IF(_xlfn.XLOOKUP($B161,'ELC TECH'!$H:$H,'ELC TECH'!AL:AL)="",0.8,_xlfn.XLOOKUP($B161,'ELC TECH'!$H:$H,'ELC TECH'!AL:AL)))</f>
        <v/>
      </c>
      <c r="T161" s="12" t="str">
        <f>IF(_xlfn.XLOOKUP($B161,'ELC TECH'!$H:$H,'ELC TECH'!$E:$E)&lt;&gt;"Storage","",IF(_xlfn.XLOOKUP($B161,'ELC TECH'!$H:$H,'ELC TECH'!AM:AM)="",0.8,_xlfn.XLOOKUP($B161,'ELC TECH'!$H:$H,'ELC TECH'!AM:AM)))</f>
        <v/>
      </c>
      <c r="U161" s="12" t="str">
        <f>IF(_xlfn.XLOOKUP($B161,'ELC TECH'!$H:$H,'ELC TECH'!$E:$E)&lt;&gt;"Storage","",IF(_xlfn.XLOOKUP($B161,'ELC TECH'!$H:$H,'ELC TECH'!AN:AN)="",0.8,_xlfn.XLOOKUP($B161,'ELC TECH'!$H:$H,'ELC TECH'!AN:AN)))</f>
        <v/>
      </c>
      <c r="V161" s="12" t="str">
        <f>IF(_xlfn.XLOOKUP($B161,'ELC TECH'!$H:$H,'ELC TECH'!$E:$E)&lt;&gt;"Storage","",IF(_xlfn.XLOOKUP($B161,'ELC TECH'!$H:$H,'ELC TECH'!AO:AO)="",0.8,_xlfn.XLOOKUP($B161,'ELC TECH'!$H:$H,'ELC TECH'!AO:AO)))</f>
        <v/>
      </c>
      <c r="W161" s="12" t="str">
        <f>IF(_xlfn.XLOOKUP($B161,'ELC TECH'!$H:$H,'ELC TECH'!$E:$E)&lt;&gt;"Storage","",IF(_xlfn.XLOOKUP($B161,'ELC TECH'!$H:$H,'ELC TECH'!AP:AP)="",0.8,_xlfn.XLOOKUP($B161,'ELC TECH'!$H:$H,'ELC TECH'!AP:AP)))</f>
        <v/>
      </c>
      <c r="X161" s="12" t="str">
        <f>IF(_xlfn.XLOOKUP($B161,'ELC TECH'!$H:$H,'ELC TECH'!$E:$E)&lt;&gt;"Storage","",IF(_xlfn.XLOOKUP($B161,'ELC TECH'!$H:$H,'ELC TECH'!AQ:AQ)="",0.8,_xlfn.XLOOKUP($B161,'ELC TECH'!$H:$H,'ELC TECH'!AQ:AQ)))</f>
        <v/>
      </c>
      <c r="Y161" s="12" t="str">
        <f>IF(_xlfn.XLOOKUP($B161,'ELC TECH'!$H:$H,'ELC TECH'!$E:$E)&lt;&gt;"Storage","",IF(_xlfn.XLOOKUP($B161,'ELC TECH'!$H:$H,'ELC TECH'!AR:AR)="",0.8,_xlfn.XLOOKUP($B161,'ELC TECH'!$H:$H,'ELC TECH'!AR:AR)))</f>
        <v/>
      </c>
      <c r="Z161" s="15">
        <f>_xlfn.XLOOKUP($B161,'ELC TECH'!$H:$H,'ELC TECH'!M:M)</f>
        <v>6549.0142310829506</v>
      </c>
      <c r="AA161" s="15">
        <f>_xlfn.XLOOKUP($B161,'ELC TECH'!$H:$H,'ELC TECH'!N:N)</f>
        <v>6421.1425612343974</v>
      </c>
      <c r="AB161" s="15">
        <f>_xlfn.XLOOKUP($B161,'ELC TECH'!$H:$H,'ELC TECH'!O:O)</f>
        <v>3968.077175989039</v>
      </c>
      <c r="AC161" s="15">
        <f>_xlfn.XLOOKUP($B161,'ELC TECH'!$H:$H,'ELC TECH'!P:P)</f>
        <v>3222.0031734476329</v>
      </c>
      <c r="AD161" s="15">
        <f>_xlfn.XLOOKUP($B161,'ELC TECH'!$H:$H,'ELC TECH'!Q:Q)</f>
        <v>2629.692312978324</v>
      </c>
      <c r="AE161" s="15">
        <f>_xlfn.XLOOKUP($B161,'ELC TECH'!$H:$H,'ELC TECH'!R:R)</f>
        <v>2226.8699153391431</v>
      </c>
      <c r="AF161" s="15">
        <f>_xlfn.XLOOKUP($B161,'ELC TECH'!$H:$H,'ELC TECH'!S:S)</f>
        <v>1953.258376919596</v>
      </c>
      <c r="AG161" s="15">
        <f>_xlfn.XLOOKUP($B161,'ELC TECH'!$H:$H,'ELC TECH'!T:T)</f>
        <v>1953.258376919596</v>
      </c>
      <c r="AH161" s="15">
        <f>_xlfn.XLOOKUP($B161,'ELC TECH'!$H:$H,'ELC TECH'!U:U)</f>
        <v>41.27117929699714</v>
      </c>
      <c r="AI161" s="15">
        <f>_xlfn.XLOOKUP($B161,'ELC TECH'!$H:$H,'ELC TECH'!V:V)</f>
        <v>40.608188464916751</v>
      </c>
      <c r="AJ161" s="15">
        <f>_xlfn.XLOOKUP($B161,'ELC TECH'!$H:$H,'ELC TECH'!W:W)</f>
        <v>39.779449924816397</v>
      </c>
      <c r="AK161" s="15">
        <f>_xlfn.XLOOKUP($B161,'ELC TECH'!$H:$H,'ELC TECH'!X:X)</f>
        <v>39.157896019741258</v>
      </c>
      <c r="AL161" s="15">
        <f>_xlfn.XLOOKUP($B161,'ELC TECH'!$H:$H,'ELC TECH'!Y:Y)</f>
        <v>38.536342114665999</v>
      </c>
      <c r="AM161" s="15">
        <f>_xlfn.XLOOKUP($B161,'ELC TECH'!$H:$H,'ELC TECH'!Z:Z)</f>
        <v>37.914788209590739</v>
      </c>
      <c r="AN161" s="15">
        <f>_xlfn.XLOOKUP($B161,'ELC TECH'!$H:$H,'ELC TECH'!AA:AA)</f>
        <v>37.293234304515479</v>
      </c>
      <c r="AO161" s="15">
        <f>_xlfn.XLOOKUP($B161,'ELC TECH'!$H:$H,'ELC TECH'!AB:AB)</f>
        <v>37.293234304515479</v>
      </c>
      <c r="AP161" s="15">
        <f>_xlfn.XLOOKUP($B161,'ELC TECH'!$H:$H,'ELC TECH'!AC:AC)</f>
        <v>0</v>
      </c>
      <c r="AQ161" s="15">
        <f>_xlfn.XLOOKUP($B161,'ELC TECH'!$H:$H,'ELC TECH'!AD:AD)</f>
        <v>0</v>
      </c>
      <c r="AR161" s="15">
        <f>_xlfn.XLOOKUP($B161,'ELC TECH'!$H:$H,'ELC TECH'!AE:AE)</f>
        <v>0</v>
      </c>
      <c r="AS161" s="15">
        <f>_xlfn.XLOOKUP($B161,'ELC TECH'!$H:$H,'ELC TECH'!AF:AF)</f>
        <v>0</v>
      </c>
      <c r="AT161" s="15">
        <f>_xlfn.XLOOKUP($B161,'ELC TECH'!$H:$H,'ELC TECH'!AG:AG)</f>
        <v>0</v>
      </c>
      <c r="AU161" s="15">
        <f>_xlfn.XLOOKUP($B161,'ELC TECH'!$H:$H,'ELC TECH'!AH:AH)</f>
        <v>0</v>
      </c>
      <c r="AV161" s="15">
        <f>_xlfn.XLOOKUP($B161,'ELC TECH'!$H:$H,'ELC TECH'!AI:AI)</f>
        <v>0</v>
      </c>
      <c r="AW161" s="15">
        <f>_xlfn.XLOOKUP($B161,'ELC TECH'!$H:$H,'ELC TECH'!AJ:AJ)</f>
        <v>0</v>
      </c>
      <c r="AX161" s="12">
        <f>IF(_xlfn.XLOOKUP($B161,'ELC TECH'!$H:$H,'ELC TECH'!$E:$E)="Storage","",_xlfn.XLOOKUP($B161,'ELC TECH'!$H:$H,'ELC TECH'!AS:AS))</f>
        <v>0.27663647499999999</v>
      </c>
      <c r="AY161" s="12">
        <f>IF(_xlfn.XLOOKUP($B161,'ELC TECH'!$H:$H,'ELC TECH'!$E:$E)="Storage","",_xlfn.XLOOKUP($B161,'ELC TECH'!$H:$H,'ELC TECH'!AT:AT))</f>
        <v>0.319187374999999</v>
      </c>
      <c r="AZ161" s="12">
        <f>IF(_xlfn.XLOOKUP($B161,'ELC TECH'!$H:$H,'ELC TECH'!$E:$E)="Storage","",_xlfn.XLOOKUP($B161,'ELC TECH'!$H:$H,'ELC TECH'!AU:AU))</f>
        <v>0.37237599999999998</v>
      </c>
      <c r="BA161" s="12">
        <f>IF(_xlfn.XLOOKUP($B161,'ELC TECH'!$H:$H,'ELC TECH'!$E:$E)="Storage","",_xlfn.XLOOKUP($B161,'ELC TECH'!$H:$H,'ELC TECH'!AV:AV))</f>
        <v>0.37237599999999998</v>
      </c>
      <c r="BB161" s="12">
        <f>IF(_xlfn.XLOOKUP($B161,'ELC TECH'!$H:$H,'ELC TECH'!$E:$E)="Storage","",_xlfn.XLOOKUP($B161,'ELC TECH'!$H:$H,'ELC TECH'!AW:AW))</f>
        <v>0.37237599999999998</v>
      </c>
      <c r="BC161" s="12">
        <f>IF(_xlfn.XLOOKUP($B161,'ELC TECH'!$H:$H,'ELC TECH'!$E:$E)="Storage","",_xlfn.XLOOKUP($B161,'ELC TECH'!$H:$H,'ELC TECH'!AX:AX))</f>
        <v>0.37237599999999998</v>
      </c>
      <c r="BD161" s="12">
        <f>IF(_xlfn.XLOOKUP($B161,'ELC TECH'!$H:$H,'ELC TECH'!$E:$E)="Storage","",_xlfn.XLOOKUP($B161,'ELC TECH'!$H:$H,'ELC TECH'!AY:AY))</f>
        <v>0.37237599999999998</v>
      </c>
      <c r="BE161" s="12">
        <f>IF(_xlfn.XLOOKUP($B161,'ELC TECH'!$H:$H,'ELC TECH'!$E:$E)="Storage","",_xlfn.XLOOKUP($B161,'ELC TECH'!$H:$H,'ELC TECH'!AZ:AZ))</f>
        <v>0.37237599999999998</v>
      </c>
      <c r="BF161" s="12" t="str">
        <f>IF(_xlfn.XLOOKUP($B161,'ELC TECH'!$H:$H,'ELC TECH'!$E:$E)="Storage",_xlfn.XLOOKUP($B161,'ELC TECH'!$H:$H,'ELC TECH'!AS:AS),"")</f>
        <v/>
      </c>
      <c r="BG161" s="12" t="str">
        <f>IF(_xlfn.XLOOKUP($B161,'ELC TECH'!$H:$H,'ELC TECH'!$E:$E)="Storage",_xlfn.XLOOKUP($B161,'ELC TECH'!$H:$H,'ELC TECH'!AT:AT),"")</f>
        <v/>
      </c>
      <c r="BH161" s="12" t="str">
        <f>IF(_xlfn.XLOOKUP($B161,'ELC TECH'!$H:$H,'ELC TECH'!$E:$E)="Storage",_xlfn.XLOOKUP($B161,'ELC TECH'!$H:$H,'ELC TECH'!AU:AU),"")</f>
        <v/>
      </c>
      <c r="BI161" s="12" t="str">
        <f>IF(_xlfn.XLOOKUP($B161,'ELC TECH'!$H:$H,'ELC TECH'!$E:$E)="Storage",_xlfn.XLOOKUP($B161,'ELC TECH'!$H:$H,'ELC TECH'!AV:AV),"")</f>
        <v/>
      </c>
      <c r="BJ161" s="12" t="str">
        <f>IF(_xlfn.XLOOKUP($B161,'ELC TECH'!$H:$H,'ELC TECH'!$E:$E)="Storage",_xlfn.XLOOKUP($B161,'ELC TECH'!$H:$H,'ELC TECH'!AW:AW),"")</f>
        <v/>
      </c>
      <c r="BK161" s="12" t="str">
        <f>IF(_xlfn.XLOOKUP($B161,'ELC TECH'!$H:$H,'ELC TECH'!$E:$E)="Storage",_xlfn.XLOOKUP($B161,'ELC TECH'!$H:$H,'ELC TECH'!AX:AX),"")</f>
        <v/>
      </c>
      <c r="BL161" s="12" t="str">
        <f>IF(_xlfn.XLOOKUP($B161,'ELC TECH'!$H:$H,'ELC TECH'!$E:$E)="Storage",_xlfn.XLOOKUP($B161,'ELC TECH'!$H:$H,'ELC TECH'!AY:AY),"")</f>
        <v/>
      </c>
      <c r="BM161" s="12" t="str">
        <f>IF(_xlfn.XLOOKUP($B161,'ELC TECH'!$H:$H,'ELC TECH'!$E:$E)="Storage",_xlfn.XLOOKUP($B161,'ELC TECH'!$H:$H,'ELC TECH'!AZ:AZ),"")</f>
        <v/>
      </c>
      <c r="BN161" s="8">
        <f>IF(_xlfn.XLOOKUP($B161,'ELC TECH'!$H:$H,'ELC TECH'!$E:$E)="Non Dispatchable",IFERROR($AX161*_xlfn.XLOOKUP($C161,$BM$1:$BM$3,BN$1:BN$3)/SUMPRODUCT(_xlfn.XLOOKUP($C161,$BM$1:$BM$3,$BN$1:$BY$3),$BN$4:$BY$4),""),
"")</f>
        <v>0.48577406550606955</v>
      </c>
      <c r="BO161" s="8">
        <f>IF(_xlfn.XLOOKUP($B161,'ELC TECH'!$H:$H,'ELC TECH'!$E:$E)="Non Dispatchable",IFERROR($AX161*_xlfn.XLOOKUP($C161,$BM$1:$BM$3,BO$1:BO$3)/SUMPRODUCT(_xlfn.XLOOKUP($C161,$BM$1:$BM$3,$BN$1:$BY$3),$BN$4:$BY$4),""),
"")</f>
        <v>0.48577406550606955</v>
      </c>
      <c r="BP161" s="8">
        <f>IF(_xlfn.XLOOKUP($B161,'ELC TECH'!$H:$H,'ELC TECH'!$E:$E)="Non Dispatchable",IFERROR($AX161*_xlfn.XLOOKUP($C161,$BM$1:$BM$3,BP$1:BP$3)/SUMPRODUCT(_xlfn.XLOOKUP($C161,$BM$1:$BM$3,$BN$1:$BY$3),$BN$4:$BY$4),""),
"")</f>
        <v>4.8577406550606959E-2</v>
      </c>
      <c r="BQ161" s="8">
        <f>IF(_xlfn.XLOOKUP($B161,'ELC TECH'!$H:$H,'ELC TECH'!$E:$E)="Non Dispatchable",IFERROR($AX161*_xlfn.XLOOKUP($C161,$BM$1:$BM$3,BQ$1:BQ$3)/SUMPRODUCT(_xlfn.XLOOKUP($C161,$BM$1:$BM$3,$BN$1:$BY$3),$BN$4:$BY$4),""),
"")</f>
        <v>0.38923028896524081</v>
      </c>
      <c r="BR161" s="8">
        <f>IF(_xlfn.XLOOKUP($B161,'ELC TECH'!$H:$H,'ELC TECH'!$E:$E)="Non Dispatchable",IFERROR($AX161*_xlfn.XLOOKUP($C161,$BM$1:$BM$3,BR$1:BR$3)/SUMPRODUCT(_xlfn.XLOOKUP($C161,$BM$1:$BM$3,$BN$1:$BY$3),$BN$4:$BY$4),""),
"")</f>
        <v>0.56526436713433559</v>
      </c>
      <c r="BS161" s="8">
        <f>IF(_xlfn.XLOOKUP($B161,'ELC TECH'!$H:$H,'ELC TECH'!$E:$E)="Non Dispatchable",IFERROR($AX161*_xlfn.XLOOKUP($C161,$BM$1:$BM$3,BS$1:BS$3)/SUMPRODUCT(_xlfn.XLOOKUP($C161,$BM$1:$BM$3,$BN$1:$BY$3),$BN$4:$BY$4),""),
"")</f>
        <v>0.56526436713433559</v>
      </c>
      <c r="BT161" s="8">
        <f>IF(_xlfn.XLOOKUP($B161,'ELC TECH'!$H:$H,'ELC TECH'!$E:$E)="Non Dispatchable",IFERROR($AX161*_xlfn.XLOOKUP($C161,$BM$1:$BM$3,BT$1:BT$3)/SUMPRODUCT(_xlfn.XLOOKUP($C161,$BM$1:$BM$3,$BN$1:$BY$3),$BN$4:$BY$4),""),
"")</f>
        <v>5.6526436713433562E-2</v>
      </c>
      <c r="BU161" s="8">
        <f>IF(_xlfn.XLOOKUP($B161,'ELC TECH'!$H:$H,'ELC TECH'!$E:$E)="Non Dispatchable",IFERROR($AX161*_xlfn.XLOOKUP($C161,$BM$1:$BM$3,BU$1:BU$3)/SUMPRODUCT(_xlfn.XLOOKUP($C161,$BM$1:$BM$3,$BN$1:$BY$3),$BN$4:$BY$4),""),
"")</f>
        <v>0.50086196826634521</v>
      </c>
      <c r="BV161" s="8">
        <f>IF(_xlfn.XLOOKUP($B161,'ELC TECH'!$H:$H,'ELC TECH'!$E:$E)="Non Dispatchable",IFERROR($AX161*_xlfn.XLOOKUP($C161,$BM$1:$BM$3,BV$1:BV$3)/SUMPRODUCT(_xlfn.XLOOKUP($C161,$BM$1:$BM$3,$BN$1:$BY$3),$BN$4:$BY$4),""),
"")</f>
        <v>0.29273351523674918</v>
      </c>
      <c r="BW161" s="8">
        <f>IF(_xlfn.XLOOKUP($B161,'ELC TECH'!$H:$H,'ELC TECH'!$E:$E)="Non Dispatchable",IFERROR($AX161*_xlfn.XLOOKUP($C161,$BM$1:$BM$3,BW$1:BW$3)/SUMPRODUCT(_xlfn.XLOOKUP($C161,$BM$1:$BM$3,$BN$1:$BY$3),$BN$4:$BY$4),""),
"")</f>
        <v>0.29273351523674918</v>
      </c>
      <c r="BX161" s="8">
        <f>IF(_xlfn.XLOOKUP($B161,'ELC TECH'!$H:$H,'ELC TECH'!$E:$E)="Non Dispatchable",IFERROR($AX161*_xlfn.XLOOKUP($C161,$BM$1:$BM$3,BX$1:BX$3)/SUMPRODUCT(_xlfn.XLOOKUP($C161,$BM$1:$BM$3,$BN$1:$BY$3),$BN$4:$BY$4),""),
"")</f>
        <v>2.9273351523674912E-2</v>
      </c>
      <c r="BY161" s="8">
        <f>IF(_xlfn.XLOOKUP($B161,'ELC TECH'!$H:$H,'ELC TECH'!$E:$E)="Non Dispatchable",IFERROR($AX161*_xlfn.XLOOKUP($C161,$BM$1:$BM$3,BY$1:BY$3)/SUMPRODUCT(_xlfn.XLOOKUP($C161,$BM$1:$BM$3,$BN$1:$BY$3),$BN$4:$BY$4),""),
"")</f>
        <v>0.21397389369118128</v>
      </c>
      <c r="BZ161" s="8">
        <f>IF(_xlfn.XLOOKUP($B161,'ELC TECH'!$H:$H,'ELC TECH'!$E:$E)="Non Dispatchable",IFERROR($AX161*_xlfn.XLOOKUP($C161,$BM$1:$BM$3,BZ$1:BZ$3)/SUMPRODUCT(_xlfn.XLOOKUP($C161,$BM$1:$BM$3,$BN$1:$BY$3),$BN$4:$BY$4),""),
"")</f>
        <v>0.48577406550606955</v>
      </c>
      <c r="CA161" s="8">
        <f>IF(_xlfn.XLOOKUP($B161,'ELC TECH'!$H:$H,'ELC TECH'!$E:$E)="Non Dispatchable",IFERROR($AX161*_xlfn.XLOOKUP($C161,$BM$1:$BM$3,CA$1:CA$3)/SUMPRODUCT(_xlfn.XLOOKUP($C161,$BM$1:$BM$3,$BN$1:$BY$3),$BN$4:$BY$4),""),
"")</f>
        <v>0.48577406550606955</v>
      </c>
      <c r="CB161" s="8">
        <f>IF(_xlfn.XLOOKUP($B161,'ELC TECH'!$H:$H,'ELC TECH'!$E:$E)="Non Dispatchable",IFERROR($AX161*_xlfn.XLOOKUP($C161,$BM$1:$BM$3,CB$1:CB$3)/SUMPRODUCT(_xlfn.XLOOKUP($C161,$BM$1:$BM$3,$BN$1:$BY$3),$BN$4:$BY$4),""),
"")</f>
        <v>4.8577406550606959E-2</v>
      </c>
      <c r="CC161" s="8">
        <f>IF(_xlfn.XLOOKUP($B161,'ELC TECH'!$H:$H,'ELC TECH'!$E:$E)="Non Dispatchable",IFERROR($AX161*_xlfn.XLOOKUP($C161,$BM$1:$BM$3,CC$1:CC$3)/SUMPRODUCT(_xlfn.XLOOKUP($C161,$BM$1:$BM$3,$BN$1:$BY$3),$BN$4:$BY$4),""),
"")</f>
        <v>0.38923028896524081</v>
      </c>
      <c r="CD161" s="8">
        <f>IF(_xlfn.XLOOKUP($B161,'ELC TECH'!$H:$H,'ELC TECH'!$E:$E)="Non Dispatchable",IFERROR($AX161*_xlfn.XLOOKUP($C161,$BM$1:$BM$3,CD$1:CD$3)/SUMPRODUCT(_xlfn.XLOOKUP($C161,$BM$1:$BM$3,$BN$1:$BY$3),$BN$4:$BY$4),""),
"")</f>
        <v>0.56526436713433559</v>
      </c>
      <c r="CE161" s="8">
        <f>IF(_xlfn.XLOOKUP($B161,'ELC TECH'!$H:$H,'ELC TECH'!$E:$E)="Non Dispatchable",IFERROR($AX161*_xlfn.XLOOKUP($C161,$BM$1:$BM$3,CE$1:CE$3)/SUMPRODUCT(_xlfn.XLOOKUP($C161,$BM$1:$BM$3,$BN$1:$BY$3),$BN$4:$BY$4),""),
"")</f>
        <v>0.56526436713433559</v>
      </c>
      <c r="CF161" s="8">
        <f>IF(_xlfn.XLOOKUP($B161,'ELC TECH'!$H:$H,'ELC TECH'!$E:$E)="Non Dispatchable",IFERROR($AX161*_xlfn.XLOOKUP($C161,$BM$1:$BM$3,CF$1:CF$3)/SUMPRODUCT(_xlfn.XLOOKUP($C161,$BM$1:$BM$3,$BN$1:$BY$3),$BN$4:$BY$4),""),
"")</f>
        <v>5.6526436713433562E-2</v>
      </c>
      <c r="CG161" s="8">
        <f>IF(_xlfn.XLOOKUP($B161,'ELC TECH'!$H:$H,'ELC TECH'!$E:$E)="Non Dispatchable",IFERROR($AX161*_xlfn.XLOOKUP($C161,$BM$1:$BM$3,CG$1:CG$3)/SUMPRODUCT(_xlfn.XLOOKUP($C161,$BM$1:$BM$3,$BN$1:$BY$3),$BN$4:$BY$4),""),
"")</f>
        <v>0.50086196826634521</v>
      </c>
      <c r="CH161" s="8">
        <f>IF(_xlfn.XLOOKUP($B161,'ELC TECH'!$H:$H,'ELC TECH'!$E:$E)="Non Dispatchable",IFERROR($AX161*_xlfn.XLOOKUP($C161,$BM$1:$BM$3,CH$1:CH$3)/SUMPRODUCT(_xlfn.XLOOKUP($C161,$BM$1:$BM$3,$BN$1:$BY$3),$BN$4:$BY$4),""),
"")</f>
        <v>0.29273351523674918</v>
      </c>
      <c r="CI161" s="8">
        <f>IF(_xlfn.XLOOKUP($B161,'ELC TECH'!$H:$H,'ELC TECH'!$E:$E)="Non Dispatchable",IFERROR($AX161*_xlfn.XLOOKUP($C161,$BM$1:$BM$3,CI$1:CI$3)/SUMPRODUCT(_xlfn.XLOOKUP($C161,$BM$1:$BM$3,$BN$1:$BY$3),$BN$4:$BY$4),""),
"")</f>
        <v>0.29273351523674918</v>
      </c>
      <c r="CJ161" s="8">
        <f>IF(_xlfn.XLOOKUP($B161,'ELC TECH'!$H:$H,'ELC TECH'!$E:$E)="Non Dispatchable",IFERROR($AX161*_xlfn.XLOOKUP($C161,$BM$1:$BM$3,CJ$1:CJ$3)/SUMPRODUCT(_xlfn.XLOOKUP($C161,$BM$1:$BM$3,$BN$1:$BY$3),$BN$4:$BY$4),""),
"")</f>
        <v>2.9273351523674912E-2</v>
      </c>
      <c r="CK161" s="8">
        <f>IF(_xlfn.XLOOKUP($B161,'ELC TECH'!$H:$H,'ELC TECH'!$E:$E)="Non Dispatchable",IFERROR($AX161*_xlfn.XLOOKUP($C161,$BM$1:$BM$3,CK$1:CK$3)/SUMPRODUCT(_xlfn.XLOOKUP($C161,$BM$1:$BM$3,$BN$1:$BY$3),$BN$4:$BY$4),""),
"")</f>
        <v>0.21397389369118128</v>
      </c>
      <c r="CL161" s="8" t="str">
        <f>IF(_xlfn.XLOOKUP($B161,'ELC TECH'!$H:$H,'ELC TECH'!$E:$E)="Storage",CL$4*$BF161,"")</f>
        <v/>
      </c>
      <c r="CM161" s="8" t="str">
        <f>IF(_xlfn.XLOOKUP($B161,'ELC TECH'!$H:$H,'ELC TECH'!$E:$E)="Storage",CM$4*$BF161,"")</f>
        <v/>
      </c>
      <c r="CN161" s="8" t="str">
        <f>IF(_xlfn.XLOOKUP($B161,'ELC TECH'!$H:$H,'ELC TECH'!$E:$E)="Storage",CN$4*$BF161,"")</f>
        <v/>
      </c>
      <c r="CO161" s="8" t="str">
        <f>IF(_xlfn.XLOOKUP($B161,'ELC TECH'!$H:$H,'ELC TECH'!$E:$E)="Storage",CO$4*$BF161,"")</f>
        <v/>
      </c>
      <c r="CP161" s="8" t="str">
        <f>IF(_xlfn.XLOOKUP($B161,'ELC TECH'!$H:$H,'ELC TECH'!$E:$E)="Storage",CP$4*$BF161,"")</f>
        <v/>
      </c>
      <c r="CQ161" s="8" t="str">
        <f>IF(_xlfn.XLOOKUP($B161,'ELC TECH'!$H:$H,'ELC TECH'!$E:$E)="Storage",CQ$4*$BF161,"")</f>
        <v/>
      </c>
      <c r="CR161" s="8" t="str">
        <f>IF(_xlfn.XLOOKUP($B161,'ELC TECH'!$H:$H,'ELC TECH'!$E:$E)="Storage",CR$4*$BF161,"")</f>
        <v/>
      </c>
      <c r="CS161" s="8" t="str">
        <f>IF(_xlfn.XLOOKUP($B161,'ELC TECH'!$H:$H,'ELC TECH'!$E:$E)="Storage",CS$4*$BF161,"")</f>
        <v/>
      </c>
      <c r="CT161" s="8" t="str">
        <f>IF(_xlfn.XLOOKUP($B161,'ELC TECH'!$H:$H,'ELC TECH'!$E:$E)="Storage",CT$4*$BF161,"")</f>
        <v/>
      </c>
      <c r="CU161" s="8" t="str">
        <f>IF(_xlfn.XLOOKUP($B161,'ELC TECH'!$H:$H,'ELC TECH'!$E:$E)="Storage",CU$4*$BF161,"")</f>
        <v/>
      </c>
      <c r="CV161" s="8" t="str">
        <f>IF(_xlfn.XLOOKUP($B161,'ELC TECH'!$H:$H,'ELC TECH'!$E:$E)="Storage",CV$4*$BF161,"")</f>
        <v/>
      </c>
      <c r="CW161" s="8" t="str">
        <f>IF(_xlfn.XLOOKUP($B161,'ELC TECH'!$H:$H,'ELC TECH'!$E:$E)="Storage",CW$4*$BF161,"")</f>
        <v/>
      </c>
      <c r="CX161" s="8" t="str">
        <f>IF(_xlfn.XLOOKUP($B161,'ELC TECH'!$H:$H,'ELC TECH'!$E:$E)="Storage",CX$4*$BF161,"")</f>
        <v/>
      </c>
      <c r="CY161" s="8" t="str">
        <f>IF(_xlfn.XLOOKUP($B161,'ELC TECH'!$H:$H,'ELC TECH'!$E:$E)="Storage",CY$4*$BF161,"")</f>
        <v/>
      </c>
      <c r="CZ161" s="8" t="str">
        <f>IF(_xlfn.XLOOKUP($B161,'ELC TECH'!$H:$H,'ELC TECH'!$E:$E)="Storage",CZ$4*$BF161,"")</f>
        <v/>
      </c>
      <c r="DA161" s="8" t="str">
        <f>IF(_xlfn.XLOOKUP($B161,'ELC TECH'!$H:$H,'ELC TECH'!$E:$E)="Storage",DA$4*$BF161,"")</f>
        <v/>
      </c>
      <c r="DB161" s="8" t="str">
        <f>IF(_xlfn.XLOOKUP($B161,'ELC TECH'!$H:$H,'ELC TECH'!$E:$E)="Storage",DB$4*$BF161,"")</f>
        <v/>
      </c>
      <c r="DC161" s="8" t="str">
        <f>IF(_xlfn.XLOOKUP($B161,'ELC TECH'!$H:$H,'ELC TECH'!$E:$E)="Storage",DC$4*$BF161,"")</f>
        <v/>
      </c>
      <c r="DD161" s="8" t="str">
        <f>IF(_xlfn.XLOOKUP($B161,'ELC TECH'!$H:$H,'ELC TECH'!$E:$E)="Storage",DD$4*$BF161,"")</f>
        <v/>
      </c>
      <c r="DE161" s="8" t="str">
        <f>IF(_xlfn.XLOOKUP($B161,'ELC TECH'!$H:$H,'ELC TECH'!$E:$E)="Storage",DE$4*$BF161,"")</f>
        <v/>
      </c>
      <c r="DF161" s="8" t="str">
        <f>IF(_xlfn.XLOOKUP($B161,'ELC TECH'!$H:$H,'ELC TECH'!$E:$E)="Storage",DF$4*$BF161,"")</f>
        <v/>
      </c>
      <c r="DG161" s="8" t="str">
        <f>IF(_xlfn.XLOOKUP($B161,'ELC TECH'!$H:$H,'ELC TECH'!$E:$E)="Storage",DG$4*$BF161,"")</f>
        <v/>
      </c>
      <c r="DH161" s="8" t="str">
        <f>IF(_xlfn.XLOOKUP($B161,'ELC TECH'!$H:$H,'ELC TECH'!$E:$E)="Storage",DH$4*$BF161,"")</f>
        <v/>
      </c>
      <c r="DI161" s="8" t="str">
        <f>IF(_xlfn.XLOOKUP($B161,'ELC TECH'!$H:$H,'ELC TECH'!$E:$E)="Storage",DI$4*$BF161,"")</f>
        <v/>
      </c>
    </row>
    <row r="162" spans="2:113" x14ac:dyDescent="0.25">
      <c r="B162" t="str">
        <f>IF('ELC TECH'!I155=0,"*",'ELC TECH'!H155)</f>
        <v>ELCWNDDCERDWC820</v>
      </c>
      <c r="C162" t="str">
        <f>IF(_xlfn.XLOOKUP(_xlfn.XLOOKUP(B162,'ELC TECH'!$H:$H,'ELC TECH'!$G:$G),List!C:C,List!B:B)="STG",D162,"ELC"&amp;_xlfn.XLOOKUP(_xlfn.XLOOKUP(B162,'ELC TECH'!H:H,'ELC TECH'!G:G),List!C:C,List!B:B))</f>
        <v>ELCWND</v>
      </c>
      <c r="D162" t="s">
        <v>544</v>
      </c>
      <c r="E162">
        <f>_xlfn.XLOOKUP(B162,'ELC TECH'!H:H,'ELC TECH'!D:D)</f>
        <v>2020</v>
      </c>
      <c r="F162">
        <f>_xlfn.XLOOKUP(B162,'ELC TECH'!H:H,'ELC TECH'!K:K)</f>
        <v>30</v>
      </c>
      <c r="G162">
        <f t="shared" si="8"/>
        <v>31.535999999999998</v>
      </c>
      <c r="H162">
        <f>IF(_xlfn.XLOOKUP(B162,'ELC TECH'!$H:$H,'ELC TECH'!$E:$E)="Storage",0.3,IF(_xlfn.XLOOKUP(B162,'ELC TECH'!$H:$H,'ELC TECH'!$E:$E)="Baseload",0.9,IF(_xlfn.XLOOKUP(B162,'ELC TECH'!$H:$H,'ELC TECH'!$E:$E)="Non Dispatchable",0.05,IF(_xlfn.XLOOKUP(B162,'ELC TECH'!$H:$H,'ELC TECH'!$E:$E)="Dispatchable",0.9,1))))</f>
        <v>0.05</v>
      </c>
      <c r="I162" s="13">
        <f>IF(_xlfn.XLOOKUP(B162,'ELC TECH'!H:H,'ELC TECH'!J:J)="","",_xlfn.XLOOKUP(B162,'ELC TECH'!H:H,'ELC TECH'!J:J))</f>
        <v>233.39318333333341</v>
      </c>
      <c r="J162" s="12">
        <f>IF(_xlfn.XLOOKUP($B162,'ELC TECH'!$H:$H,'ELC TECH'!$E:$E)="Storage","",IF(_xlfn.XLOOKUP($B162,'ELC TECH'!$H:$H,'ELC TECH'!AK:AK)="",1,_xlfn.XLOOKUP($B162,'ELC TECH'!$H:$H,'ELC TECH'!AK:AK)))</f>
        <v>1</v>
      </c>
      <c r="K162" s="12">
        <f>IF(_xlfn.XLOOKUP($B162,'ELC TECH'!$H:$H,'ELC TECH'!$E:$E)="Storage","",IF(_xlfn.XLOOKUP($B162,'ELC TECH'!$H:$H,'ELC TECH'!AL:AL)="",1,_xlfn.XLOOKUP($B162,'ELC TECH'!$H:$H,'ELC TECH'!AL:AL)))</f>
        <v>1</v>
      </c>
      <c r="L162" s="12">
        <f>IF(_xlfn.XLOOKUP($B162,'ELC TECH'!$H:$H,'ELC TECH'!$E:$E)="Storage","",IF(_xlfn.XLOOKUP($B162,'ELC TECH'!$H:$H,'ELC TECH'!AM:AM)="",1,_xlfn.XLOOKUP($B162,'ELC TECH'!$H:$H,'ELC TECH'!AM:AM)))</f>
        <v>1</v>
      </c>
      <c r="M162" s="12">
        <f>IF(_xlfn.XLOOKUP($B162,'ELC TECH'!$H:$H,'ELC TECH'!$E:$E)="Storage","",IF(_xlfn.XLOOKUP($B162,'ELC TECH'!$H:$H,'ELC TECH'!AN:AN)="",1,_xlfn.XLOOKUP($B162,'ELC TECH'!$H:$H,'ELC TECH'!AN:AN)))</f>
        <v>1</v>
      </c>
      <c r="N162" s="12">
        <f>IF(_xlfn.XLOOKUP($B162,'ELC TECH'!$H:$H,'ELC TECH'!$E:$E)="Storage","",IF(_xlfn.XLOOKUP($B162,'ELC TECH'!$H:$H,'ELC TECH'!AO:AO)="",1,_xlfn.XLOOKUP($B162,'ELC TECH'!$H:$H,'ELC TECH'!AO:AO)))</f>
        <v>1</v>
      </c>
      <c r="O162" s="12">
        <f>IF(_xlfn.XLOOKUP($B162,'ELC TECH'!$H:$H,'ELC TECH'!$E:$E)="Storage","",IF(_xlfn.XLOOKUP($B162,'ELC TECH'!$H:$H,'ELC TECH'!AP:AP)="",1,_xlfn.XLOOKUP($B162,'ELC TECH'!$H:$H,'ELC TECH'!AP:AP)))</f>
        <v>1</v>
      </c>
      <c r="P162" s="12">
        <f>IF(_xlfn.XLOOKUP($B162,'ELC TECH'!$H:$H,'ELC TECH'!$E:$E)="Storage","",IF(_xlfn.XLOOKUP($B162,'ELC TECH'!$H:$H,'ELC TECH'!AQ:AQ)="",1,_xlfn.XLOOKUP($B162,'ELC TECH'!$H:$H,'ELC TECH'!AQ:AQ)))</f>
        <v>1</v>
      </c>
      <c r="Q162" s="12">
        <f>IF(_xlfn.XLOOKUP($B162,'ELC TECH'!$H:$H,'ELC TECH'!$E:$E)="Storage","",IF(_xlfn.XLOOKUP($B162,'ELC TECH'!$H:$H,'ELC TECH'!AR:AR)="",1,_xlfn.XLOOKUP($B162,'ELC TECH'!$H:$H,'ELC TECH'!AR:AR)))</f>
        <v>1</v>
      </c>
      <c r="R162" s="12" t="str">
        <f>IF(_xlfn.XLOOKUP($B162,'ELC TECH'!$H:$H,'ELC TECH'!$E:$E)&lt;&gt;"Storage","",IF(_xlfn.XLOOKUP($B162,'ELC TECH'!$H:$H,'ELC TECH'!AK:AK)="",0.8,_xlfn.XLOOKUP($B162,'ELC TECH'!$H:$H,'ELC TECH'!AK:AK)))</f>
        <v/>
      </c>
      <c r="S162" s="12" t="str">
        <f>IF(_xlfn.XLOOKUP($B162,'ELC TECH'!$H:$H,'ELC TECH'!$E:$E)&lt;&gt;"Storage","",IF(_xlfn.XLOOKUP($B162,'ELC TECH'!$H:$H,'ELC TECH'!AL:AL)="",0.8,_xlfn.XLOOKUP($B162,'ELC TECH'!$H:$H,'ELC TECH'!AL:AL)))</f>
        <v/>
      </c>
      <c r="T162" s="12" t="str">
        <f>IF(_xlfn.XLOOKUP($B162,'ELC TECH'!$H:$H,'ELC TECH'!$E:$E)&lt;&gt;"Storage","",IF(_xlfn.XLOOKUP($B162,'ELC TECH'!$H:$H,'ELC TECH'!AM:AM)="",0.8,_xlfn.XLOOKUP($B162,'ELC TECH'!$H:$H,'ELC TECH'!AM:AM)))</f>
        <v/>
      </c>
      <c r="U162" s="12" t="str">
        <f>IF(_xlfn.XLOOKUP($B162,'ELC TECH'!$H:$H,'ELC TECH'!$E:$E)&lt;&gt;"Storage","",IF(_xlfn.XLOOKUP($B162,'ELC TECH'!$H:$H,'ELC TECH'!AN:AN)="",0.8,_xlfn.XLOOKUP($B162,'ELC TECH'!$H:$H,'ELC TECH'!AN:AN)))</f>
        <v/>
      </c>
      <c r="V162" s="12" t="str">
        <f>IF(_xlfn.XLOOKUP($B162,'ELC TECH'!$H:$H,'ELC TECH'!$E:$E)&lt;&gt;"Storage","",IF(_xlfn.XLOOKUP($B162,'ELC TECH'!$H:$H,'ELC TECH'!AO:AO)="",0.8,_xlfn.XLOOKUP($B162,'ELC TECH'!$H:$H,'ELC TECH'!AO:AO)))</f>
        <v/>
      </c>
      <c r="W162" s="12" t="str">
        <f>IF(_xlfn.XLOOKUP($B162,'ELC TECH'!$H:$H,'ELC TECH'!$E:$E)&lt;&gt;"Storage","",IF(_xlfn.XLOOKUP($B162,'ELC TECH'!$H:$H,'ELC TECH'!AP:AP)="",0.8,_xlfn.XLOOKUP($B162,'ELC TECH'!$H:$H,'ELC TECH'!AP:AP)))</f>
        <v/>
      </c>
      <c r="X162" s="12" t="str">
        <f>IF(_xlfn.XLOOKUP($B162,'ELC TECH'!$H:$H,'ELC TECH'!$E:$E)&lt;&gt;"Storage","",IF(_xlfn.XLOOKUP($B162,'ELC TECH'!$H:$H,'ELC TECH'!AQ:AQ)="",0.8,_xlfn.XLOOKUP($B162,'ELC TECH'!$H:$H,'ELC TECH'!AQ:AQ)))</f>
        <v/>
      </c>
      <c r="Y162" s="12" t="str">
        <f>IF(_xlfn.XLOOKUP($B162,'ELC TECH'!$H:$H,'ELC TECH'!$E:$E)&lt;&gt;"Storage","",IF(_xlfn.XLOOKUP($B162,'ELC TECH'!$H:$H,'ELC TECH'!AR:AR)="",0.8,_xlfn.XLOOKUP($B162,'ELC TECH'!$H:$H,'ELC TECH'!AR:AR)))</f>
        <v/>
      </c>
      <c r="Z162" s="15">
        <f>_xlfn.XLOOKUP($B162,'ELC TECH'!$H:$H,'ELC TECH'!M:M)</f>
        <v>6549.0142310829506</v>
      </c>
      <c r="AA162" s="15">
        <f>_xlfn.XLOOKUP($B162,'ELC TECH'!$H:$H,'ELC TECH'!N:N)</f>
        <v>6421.1425612343974</v>
      </c>
      <c r="AB162" s="15">
        <f>_xlfn.XLOOKUP($B162,'ELC TECH'!$H:$H,'ELC TECH'!O:O)</f>
        <v>3968.077175989039</v>
      </c>
      <c r="AC162" s="15">
        <f>_xlfn.XLOOKUP($B162,'ELC TECH'!$H:$H,'ELC TECH'!P:P)</f>
        <v>3222.0031734476329</v>
      </c>
      <c r="AD162" s="15">
        <f>_xlfn.XLOOKUP($B162,'ELC TECH'!$H:$H,'ELC TECH'!Q:Q)</f>
        <v>2629.692312978324</v>
      </c>
      <c r="AE162" s="15">
        <f>_xlfn.XLOOKUP($B162,'ELC TECH'!$H:$H,'ELC TECH'!R:R)</f>
        <v>2226.8699153391431</v>
      </c>
      <c r="AF162" s="15">
        <f>_xlfn.XLOOKUP($B162,'ELC TECH'!$H:$H,'ELC TECH'!S:S)</f>
        <v>1953.258376919596</v>
      </c>
      <c r="AG162" s="15">
        <f>_xlfn.XLOOKUP($B162,'ELC TECH'!$H:$H,'ELC TECH'!T:T)</f>
        <v>1953.258376919596</v>
      </c>
      <c r="AH162" s="15">
        <f>_xlfn.XLOOKUP($B162,'ELC TECH'!$H:$H,'ELC TECH'!U:U)</f>
        <v>41.27117929699714</v>
      </c>
      <c r="AI162" s="15">
        <f>_xlfn.XLOOKUP($B162,'ELC TECH'!$H:$H,'ELC TECH'!V:V)</f>
        <v>40.608188464916751</v>
      </c>
      <c r="AJ162" s="15">
        <f>_xlfn.XLOOKUP($B162,'ELC TECH'!$H:$H,'ELC TECH'!W:W)</f>
        <v>39.779449924816397</v>
      </c>
      <c r="AK162" s="15">
        <f>_xlfn.XLOOKUP($B162,'ELC TECH'!$H:$H,'ELC TECH'!X:X)</f>
        <v>39.157896019741258</v>
      </c>
      <c r="AL162" s="15">
        <f>_xlfn.XLOOKUP($B162,'ELC TECH'!$H:$H,'ELC TECH'!Y:Y)</f>
        <v>38.536342114665999</v>
      </c>
      <c r="AM162" s="15">
        <f>_xlfn.XLOOKUP($B162,'ELC TECH'!$H:$H,'ELC TECH'!Z:Z)</f>
        <v>37.914788209590739</v>
      </c>
      <c r="AN162" s="15">
        <f>_xlfn.XLOOKUP($B162,'ELC TECH'!$H:$H,'ELC TECH'!AA:AA)</f>
        <v>37.293234304515479</v>
      </c>
      <c r="AO162" s="15">
        <f>_xlfn.XLOOKUP($B162,'ELC TECH'!$H:$H,'ELC TECH'!AB:AB)</f>
        <v>37.293234304515479</v>
      </c>
      <c r="AP162" s="15">
        <f>_xlfn.XLOOKUP($B162,'ELC TECH'!$H:$H,'ELC TECH'!AC:AC)</f>
        <v>0</v>
      </c>
      <c r="AQ162" s="15">
        <f>_xlfn.XLOOKUP($B162,'ELC TECH'!$H:$H,'ELC TECH'!AD:AD)</f>
        <v>0</v>
      </c>
      <c r="AR162" s="15">
        <f>_xlfn.XLOOKUP($B162,'ELC TECH'!$H:$H,'ELC TECH'!AE:AE)</f>
        <v>0</v>
      </c>
      <c r="AS162" s="15">
        <f>_xlfn.XLOOKUP($B162,'ELC TECH'!$H:$H,'ELC TECH'!AF:AF)</f>
        <v>0</v>
      </c>
      <c r="AT162" s="15">
        <f>_xlfn.XLOOKUP($B162,'ELC TECH'!$H:$H,'ELC TECH'!AG:AG)</f>
        <v>0</v>
      </c>
      <c r="AU162" s="15">
        <f>_xlfn.XLOOKUP($B162,'ELC TECH'!$H:$H,'ELC TECH'!AH:AH)</f>
        <v>0</v>
      </c>
      <c r="AV162" s="15">
        <f>_xlfn.XLOOKUP($B162,'ELC TECH'!$H:$H,'ELC TECH'!AI:AI)</f>
        <v>0</v>
      </c>
      <c r="AW162" s="15">
        <f>_xlfn.XLOOKUP($B162,'ELC TECH'!$H:$H,'ELC TECH'!AJ:AJ)</f>
        <v>0</v>
      </c>
      <c r="AX162" s="12">
        <f>IF(_xlfn.XLOOKUP($B162,'ELC TECH'!$H:$H,'ELC TECH'!$E:$E)="Storage","",_xlfn.XLOOKUP($B162,'ELC TECH'!$H:$H,'ELC TECH'!AS:AS))</f>
        <v>0.23932990000000001</v>
      </c>
      <c r="AY162" s="12">
        <f>IF(_xlfn.XLOOKUP($B162,'ELC TECH'!$H:$H,'ELC TECH'!$E:$E)="Storage","",_xlfn.XLOOKUP($B162,'ELC TECH'!$H:$H,'ELC TECH'!AT:AT))</f>
        <v>0.28030549999999999</v>
      </c>
      <c r="AZ162" s="12">
        <f>IF(_xlfn.XLOOKUP($B162,'ELC TECH'!$H:$H,'ELC TECH'!$E:$E)="Storage","",_xlfn.XLOOKUP($B162,'ELC TECH'!$H:$H,'ELC TECH'!AU:AU))</f>
        <v>0.33152500000000001</v>
      </c>
      <c r="BA162" s="12">
        <f>IF(_xlfn.XLOOKUP($B162,'ELC TECH'!$H:$H,'ELC TECH'!$E:$E)="Storage","",_xlfn.XLOOKUP($B162,'ELC TECH'!$H:$H,'ELC TECH'!AV:AV))</f>
        <v>0.33152500000000001</v>
      </c>
      <c r="BB162" s="12">
        <f>IF(_xlfn.XLOOKUP($B162,'ELC TECH'!$H:$H,'ELC TECH'!$E:$E)="Storage","",_xlfn.XLOOKUP($B162,'ELC TECH'!$H:$H,'ELC TECH'!AW:AW))</f>
        <v>0.33152500000000001</v>
      </c>
      <c r="BC162" s="12">
        <f>IF(_xlfn.XLOOKUP($B162,'ELC TECH'!$H:$H,'ELC TECH'!$E:$E)="Storage","",_xlfn.XLOOKUP($B162,'ELC TECH'!$H:$H,'ELC TECH'!AX:AX))</f>
        <v>0.33152500000000001</v>
      </c>
      <c r="BD162" s="12">
        <f>IF(_xlfn.XLOOKUP($B162,'ELC TECH'!$H:$H,'ELC TECH'!$E:$E)="Storage","",_xlfn.XLOOKUP($B162,'ELC TECH'!$H:$H,'ELC TECH'!AY:AY))</f>
        <v>0.33152500000000001</v>
      </c>
      <c r="BE162" s="12">
        <f>IF(_xlfn.XLOOKUP($B162,'ELC TECH'!$H:$H,'ELC TECH'!$E:$E)="Storage","",_xlfn.XLOOKUP($B162,'ELC TECH'!$H:$H,'ELC TECH'!AZ:AZ))</f>
        <v>0.33152500000000001</v>
      </c>
      <c r="BF162" s="12" t="str">
        <f>IF(_xlfn.XLOOKUP($B162,'ELC TECH'!$H:$H,'ELC TECH'!$E:$E)="Storage",_xlfn.XLOOKUP($B162,'ELC TECH'!$H:$H,'ELC TECH'!AS:AS),"")</f>
        <v/>
      </c>
      <c r="BG162" s="12" t="str">
        <f>IF(_xlfn.XLOOKUP($B162,'ELC TECH'!$H:$H,'ELC TECH'!$E:$E)="Storage",_xlfn.XLOOKUP($B162,'ELC TECH'!$H:$H,'ELC TECH'!AT:AT),"")</f>
        <v/>
      </c>
      <c r="BH162" s="12" t="str">
        <f>IF(_xlfn.XLOOKUP($B162,'ELC TECH'!$H:$H,'ELC TECH'!$E:$E)="Storage",_xlfn.XLOOKUP($B162,'ELC TECH'!$H:$H,'ELC TECH'!AU:AU),"")</f>
        <v/>
      </c>
      <c r="BI162" s="12" t="str">
        <f>IF(_xlfn.XLOOKUP($B162,'ELC TECH'!$H:$H,'ELC TECH'!$E:$E)="Storage",_xlfn.XLOOKUP($B162,'ELC TECH'!$H:$H,'ELC TECH'!AV:AV),"")</f>
        <v/>
      </c>
      <c r="BJ162" s="12" t="str">
        <f>IF(_xlfn.XLOOKUP($B162,'ELC TECH'!$H:$H,'ELC TECH'!$E:$E)="Storage",_xlfn.XLOOKUP($B162,'ELC TECH'!$H:$H,'ELC TECH'!AW:AW),"")</f>
        <v/>
      </c>
      <c r="BK162" s="12" t="str">
        <f>IF(_xlfn.XLOOKUP($B162,'ELC TECH'!$H:$H,'ELC TECH'!$E:$E)="Storage",_xlfn.XLOOKUP($B162,'ELC TECH'!$H:$H,'ELC TECH'!AX:AX),"")</f>
        <v/>
      </c>
      <c r="BL162" s="12" t="str">
        <f>IF(_xlfn.XLOOKUP($B162,'ELC TECH'!$H:$H,'ELC TECH'!$E:$E)="Storage",_xlfn.XLOOKUP($B162,'ELC TECH'!$H:$H,'ELC TECH'!AY:AY),"")</f>
        <v/>
      </c>
      <c r="BM162" s="12" t="str">
        <f>IF(_xlfn.XLOOKUP($B162,'ELC TECH'!$H:$H,'ELC TECH'!$E:$E)="Storage",_xlfn.XLOOKUP($B162,'ELC TECH'!$H:$H,'ELC TECH'!AZ:AZ),"")</f>
        <v/>
      </c>
      <c r="BN162" s="8">
        <f>IF(_xlfn.XLOOKUP($B162,'ELC TECH'!$H:$H,'ELC TECH'!$E:$E)="Non Dispatchable",IFERROR($AX162*_xlfn.XLOOKUP($C162,$BM$1:$BM$3,BN$1:BN$3)/SUMPRODUCT(_xlfn.XLOOKUP($C162,$BM$1:$BM$3,$BN$1:$BY$3),$BN$4:$BY$4),""),
"")</f>
        <v>0.42026366378533814</v>
      </c>
      <c r="BO162" s="8">
        <f>IF(_xlfn.XLOOKUP($B162,'ELC TECH'!$H:$H,'ELC TECH'!$E:$E)="Non Dispatchable",IFERROR($AX162*_xlfn.XLOOKUP($C162,$BM$1:$BM$3,BO$1:BO$3)/SUMPRODUCT(_xlfn.XLOOKUP($C162,$BM$1:$BM$3,$BN$1:$BY$3),$BN$4:$BY$4),""),
"")</f>
        <v>0.42026366378533814</v>
      </c>
      <c r="BP162" s="8">
        <f>IF(_xlfn.XLOOKUP($B162,'ELC TECH'!$H:$H,'ELC TECH'!$E:$E)="Non Dispatchable",IFERROR($AX162*_xlfn.XLOOKUP($C162,$BM$1:$BM$3,BP$1:BP$3)/SUMPRODUCT(_xlfn.XLOOKUP($C162,$BM$1:$BM$3,$BN$1:$BY$3),$BN$4:$BY$4),""),
"")</f>
        <v>4.2026366378533811E-2</v>
      </c>
      <c r="BQ162" s="8">
        <f>IF(_xlfn.XLOOKUP($B162,'ELC TECH'!$H:$H,'ELC TECH'!$E:$E)="Non Dispatchable",IFERROR($AX162*_xlfn.XLOOKUP($C162,$BM$1:$BM$3,BQ$1:BQ$3)/SUMPRODUCT(_xlfn.XLOOKUP($C162,$BM$1:$BM$3,$BN$1:$BY$3),$BN$4:$BY$4),""),
"")</f>
        <v>0.33673956456762322</v>
      </c>
      <c r="BR162" s="8">
        <f>IF(_xlfn.XLOOKUP($B162,'ELC TECH'!$H:$H,'ELC TECH'!$E:$E)="Non Dispatchable",IFERROR($AX162*_xlfn.XLOOKUP($C162,$BM$1:$BM$3,BR$1:BR$3)/SUMPRODUCT(_xlfn.XLOOKUP($C162,$BM$1:$BM$3,$BN$1:$BY$3),$BN$4:$BY$4),""),
"")</f>
        <v>0.48903408149566624</v>
      </c>
      <c r="BS162" s="8">
        <f>IF(_xlfn.XLOOKUP($B162,'ELC TECH'!$H:$H,'ELC TECH'!$E:$E)="Non Dispatchable",IFERROR($AX162*_xlfn.XLOOKUP($C162,$BM$1:$BM$3,BS$1:BS$3)/SUMPRODUCT(_xlfn.XLOOKUP($C162,$BM$1:$BM$3,$BN$1:$BY$3),$BN$4:$BY$4),""),
"")</f>
        <v>0.48903408149566624</v>
      </c>
      <c r="BT162" s="8">
        <f>IF(_xlfn.XLOOKUP($B162,'ELC TECH'!$H:$H,'ELC TECH'!$E:$E)="Non Dispatchable",IFERROR($AX162*_xlfn.XLOOKUP($C162,$BM$1:$BM$3,BT$1:BT$3)/SUMPRODUCT(_xlfn.XLOOKUP($C162,$BM$1:$BM$3,$BN$1:$BY$3),$BN$4:$BY$4),""),
"")</f>
        <v>4.8903408149566632E-2</v>
      </c>
      <c r="BU162" s="8">
        <f>IF(_xlfn.XLOOKUP($B162,'ELC TECH'!$H:$H,'ELC TECH'!$E:$E)="Non Dispatchable",IFERROR($AX162*_xlfn.XLOOKUP($C162,$BM$1:$BM$3,BU$1:BU$3)/SUMPRODUCT(_xlfn.XLOOKUP($C162,$BM$1:$BM$3,$BN$1:$BY$3),$BN$4:$BY$4),""),
"")</f>
        <v>0.43331684579550689</v>
      </c>
      <c r="BV162" s="8">
        <f>IF(_xlfn.XLOOKUP($B162,'ELC TECH'!$H:$H,'ELC TECH'!$E:$E)="Non Dispatchable",IFERROR($AX162*_xlfn.XLOOKUP($C162,$BM$1:$BM$3,BV$1:BV$3)/SUMPRODUCT(_xlfn.XLOOKUP($C162,$BM$1:$BM$3,$BN$1:$BY$3),$BN$4:$BY$4),""),
"")</f>
        <v>0.25325612946831999</v>
      </c>
      <c r="BW162" s="8">
        <f>IF(_xlfn.XLOOKUP($B162,'ELC TECH'!$H:$H,'ELC TECH'!$E:$E)="Non Dispatchable",IFERROR($AX162*_xlfn.XLOOKUP($C162,$BM$1:$BM$3,BW$1:BW$3)/SUMPRODUCT(_xlfn.XLOOKUP($C162,$BM$1:$BM$3,$BN$1:$BY$3),$BN$4:$BY$4),""),
"")</f>
        <v>0.25325612946831999</v>
      </c>
      <c r="BX162" s="8">
        <f>IF(_xlfn.XLOOKUP($B162,'ELC TECH'!$H:$H,'ELC TECH'!$E:$E)="Non Dispatchable",IFERROR($AX162*_xlfn.XLOOKUP($C162,$BM$1:$BM$3,BX$1:BX$3)/SUMPRODUCT(_xlfn.XLOOKUP($C162,$BM$1:$BM$3,$BN$1:$BY$3),$BN$4:$BY$4),""),
"")</f>
        <v>2.5325612946831996E-2</v>
      </c>
      <c r="BY162" s="8">
        <f>IF(_xlfn.XLOOKUP($B162,'ELC TECH'!$H:$H,'ELC TECH'!$E:$E)="Non Dispatchable",IFERROR($AX162*_xlfn.XLOOKUP($C162,$BM$1:$BM$3,BY$1:BY$3)/SUMPRODUCT(_xlfn.XLOOKUP($C162,$BM$1:$BM$3,$BN$1:$BY$3),$BN$4:$BY$4),""),
"")</f>
        <v>0.18511785396239253</v>
      </c>
      <c r="BZ162" s="8">
        <f>IF(_xlfn.XLOOKUP($B162,'ELC TECH'!$H:$H,'ELC TECH'!$E:$E)="Non Dispatchable",IFERROR($AX162*_xlfn.XLOOKUP($C162,$BM$1:$BM$3,BZ$1:BZ$3)/SUMPRODUCT(_xlfn.XLOOKUP($C162,$BM$1:$BM$3,$BN$1:$BY$3),$BN$4:$BY$4),""),
"")</f>
        <v>0.42026366378533814</v>
      </c>
      <c r="CA162" s="8">
        <f>IF(_xlfn.XLOOKUP($B162,'ELC TECH'!$H:$H,'ELC TECH'!$E:$E)="Non Dispatchable",IFERROR($AX162*_xlfn.XLOOKUP($C162,$BM$1:$BM$3,CA$1:CA$3)/SUMPRODUCT(_xlfn.XLOOKUP($C162,$BM$1:$BM$3,$BN$1:$BY$3),$BN$4:$BY$4),""),
"")</f>
        <v>0.42026366378533814</v>
      </c>
      <c r="CB162" s="8">
        <f>IF(_xlfn.XLOOKUP($B162,'ELC TECH'!$H:$H,'ELC TECH'!$E:$E)="Non Dispatchable",IFERROR($AX162*_xlfn.XLOOKUP($C162,$BM$1:$BM$3,CB$1:CB$3)/SUMPRODUCT(_xlfn.XLOOKUP($C162,$BM$1:$BM$3,$BN$1:$BY$3),$BN$4:$BY$4),""),
"")</f>
        <v>4.2026366378533811E-2</v>
      </c>
      <c r="CC162" s="8">
        <f>IF(_xlfn.XLOOKUP($B162,'ELC TECH'!$H:$H,'ELC TECH'!$E:$E)="Non Dispatchable",IFERROR($AX162*_xlfn.XLOOKUP($C162,$BM$1:$BM$3,CC$1:CC$3)/SUMPRODUCT(_xlfn.XLOOKUP($C162,$BM$1:$BM$3,$BN$1:$BY$3),$BN$4:$BY$4),""),
"")</f>
        <v>0.33673956456762322</v>
      </c>
      <c r="CD162" s="8">
        <f>IF(_xlfn.XLOOKUP($B162,'ELC TECH'!$H:$H,'ELC TECH'!$E:$E)="Non Dispatchable",IFERROR($AX162*_xlfn.XLOOKUP($C162,$BM$1:$BM$3,CD$1:CD$3)/SUMPRODUCT(_xlfn.XLOOKUP($C162,$BM$1:$BM$3,$BN$1:$BY$3),$BN$4:$BY$4),""),
"")</f>
        <v>0.48903408149566624</v>
      </c>
      <c r="CE162" s="8">
        <f>IF(_xlfn.XLOOKUP($B162,'ELC TECH'!$H:$H,'ELC TECH'!$E:$E)="Non Dispatchable",IFERROR($AX162*_xlfn.XLOOKUP($C162,$BM$1:$BM$3,CE$1:CE$3)/SUMPRODUCT(_xlfn.XLOOKUP($C162,$BM$1:$BM$3,$BN$1:$BY$3),$BN$4:$BY$4),""),
"")</f>
        <v>0.48903408149566624</v>
      </c>
      <c r="CF162" s="8">
        <f>IF(_xlfn.XLOOKUP($B162,'ELC TECH'!$H:$H,'ELC TECH'!$E:$E)="Non Dispatchable",IFERROR($AX162*_xlfn.XLOOKUP($C162,$BM$1:$BM$3,CF$1:CF$3)/SUMPRODUCT(_xlfn.XLOOKUP($C162,$BM$1:$BM$3,$BN$1:$BY$3),$BN$4:$BY$4),""),
"")</f>
        <v>4.8903408149566632E-2</v>
      </c>
      <c r="CG162" s="8">
        <f>IF(_xlfn.XLOOKUP($B162,'ELC TECH'!$H:$H,'ELC TECH'!$E:$E)="Non Dispatchable",IFERROR($AX162*_xlfn.XLOOKUP($C162,$BM$1:$BM$3,CG$1:CG$3)/SUMPRODUCT(_xlfn.XLOOKUP($C162,$BM$1:$BM$3,$BN$1:$BY$3),$BN$4:$BY$4),""),
"")</f>
        <v>0.43331684579550689</v>
      </c>
      <c r="CH162" s="8">
        <f>IF(_xlfn.XLOOKUP($B162,'ELC TECH'!$H:$H,'ELC TECH'!$E:$E)="Non Dispatchable",IFERROR($AX162*_xlfn.XLOOKUP($C162,$BM$1:$BM$3,CH$1:CH$3)/SUMPRODUCT(_xlfn.XLOOKUP($C162,$BM$1:$BM$3,$BN$1:$BY$3),$BN$4:$BY$4),""),
"")</f>
        <v>0.25325612946831999</v>
      </c>
      <c r="CI162" s="8">
        <f>IF(_xlfn.XLOOKUP($B162,'ELC TECH'!$H:$H,'ELC TECH'!$E:$E)="Non Dispatchable",IFERROR($AX162*_xlfn.XLOOKUP($C162,$BM$1:$BM$3,CI$1:CI$3)/SUMPRODUCT(_xlfn.XLOOKUP($C162,$BM$1:$BM$3,$BN$1:$BY$3),$BN$4:$BY$4),""),
"")</f>
        <v>0.25325612946831999</v>
      </c>
      <c r="CJ162" s="8">
        <f>IF(_xlfn.XLOOKUP($B162,'ELC TECH'!$H:$H,'ELC TECH'!$E:$E)="Non Dispatchable",IFERROR($AX162*_xlfn.XLOOKUP($C162,$BM$1:$BM$3,CJ$1:CJ$3)/SUMPRODUCT(_xlfn.XLOOKUP($C162,$BM$1:$BM$3,$BN$1:$BY$3),$BN$4:$BY$4),""),
"")</f>
        <v>2.5325612946831996E-2</v>
      </c>
      <c r="CK162" s="8">
        <f>IF(_xlfn.XLOOKUP($B162,'ELC TECH'!$H:$H,'ELC TECH'!$E:$E)="Non Dispatchable",IFERROR($AX162*_xlfn.XLOOKUP($C162,$BM$1:$BM$3,CK$1:CK$3)/SUMPRODUCT(_xlfn.XLOOKUP($C162,$BM$1:$BM$3,$BN$1:$BY$3),$BN$4:$BY$4),""),
"")</f>
        <v>0.18511785396239253</v>
      </c>
      <c r="CL162" s="8" t="str">
        <f>IF(_xlfn.XLOOKUP($B162,'ELC TECH'!$H:$H,'ELC TECH'!$E:$E)="Storage",CL$4*$BF162,"")</f>
        <v/>
      </c>
      <c r="CM162" s="8" t="str">
        <f>IF(_xlfn.XLOOKUP($B162,'ELC TECH'!$H:$H,'ELC TECH'!$E:$E)="Storage",CM$4*$BF162,"")</f>
        <v/>
      </c>
      <c r="CN162" s="8" t="str">
        <f>IF(_xlfn.XLOOKUP($B162,'ELC TECH'!$H:$H,'ELC TECH'!$E:$E)="Storage",CN$4*$BF162,"")</f>
        <v/>
      </c>
      <c r="CO162" s="8" t="str">
        <f>IF(_xlfn.XLOOKUP($B162,'ELC TECH'!$H:$H,'ELC TECH'!$E:$E)="Storage",CO$4*$BF162,"")</f>
        <v/>
      </c>
      <c r="CP162" s="8" t="str">
        <f>IF(_xlfn.XLOOKUP($B162,'ELC TECH'!$H:$H,'ELC TECH'!$E:$E)="Storage",CP$4*$BF162,"")</f>
        <v/>
      </c>
      <c r="CQ162" s="8" t="str">
        <f>IF(_xlfn.XLOOKUP($B162,'ELC TECH'!$H:$H,'ELC TECH'!$E:$E)="Storage",CQ$4*$BF162,"")</f>
        <v/>
      </c>
      <c r="CR162" s="8" t="str">
        <f>IF(_xlfn.XLOOKUP($B162,'ELC TECH'!$H:$H,'ELC TECH'!$E:$E)="Storage",CR$4*$BF162,"")</f>
        <v/>
      </c>
      <c r="CS162" s="8" t="str">
        <f>IF(_xlfn.XLOOKUP($B162,'ELC TECH'!$H:$H,'ELC TECH'!$E:$E)="Storage",CS$4*$BF162,"")</f>
        <v/>
      </c>
      <c r="CT162" s="8" t="str">
        <f>IF(_xlfn.XLOOKUP($B162,'ELC TECH'!$H:$H,'ELC TECH'!$E:$E)="Storage",CT$4*$BF162,"")</f>
        <v/>
      </c>
      <c r="CU162" s="8" t="str">
        <f>IF(_xlfn.XLOOKUP($B162,'ELC TECH'!$H:$H,'ELC TECH'!$E:$E)="Storage",CU$4*$BF162,"")</f>
        <v/>
      </c>
      <c r="CV162" s="8" t="str">
        <f>IF(_xlfn.XLOOKUP($B162,'ELC TECH'!$H:$H,'ELC TECH'!$E:$E)="Storage",CV$4*$BF162,"")</f>
        <v/>
      </c>
      <c r="CW162" s="8" t="str">
        <f>IF(_xlfn.XLOOKUP($B162,'ELC TECH'!$H:$H,'ELC TECH'!$E:$E)="Storage",CW$4*$BF162,"")</f>
        <v/>
      </c>
      <c r="CX162" s="8" t="str">
        <f>IF(_xlfn.XLOOKUP($B162,'ELC TECH'!$H:$H,'ELC TECH'!$E:$E)="Storage",CX$4*$BF162,"")</f>
        <v/>
      </c>
      <c r="CY162" s="8" t="str">
        <f>IF(_xlfn.XLOOKUP($B162,'ELC TECH'!$H:$H,'ELC TECH'!$E:$E)="Storage",CY$4*$BF162,"")</f>
        <v/>
      </c>
      <c r="CZ162" s="8" t="str">
        <f>IF(_xlfn.XLOOKUP($B162,'ELC TECH'!$H:$H,'ELC TECH'!$E:$E)="Storage",CZ$4*$BF162,"")</f>
        <v/>
      </c>
      <c r="DA162" s="8" t="str">
        <f>IF(_xlfn.XLOOKUP($B162,'ELC TECH'!$H:$H,'ELC TECH'!$E:$E)="Storage",DA$4*$BF162,"")</f>
        <v/>
      </c>
      <c r="DB162" s="8" t="str">
        <f>IF(_xlfn.XLOOKUP($B162,'ELC TECH'!$H:$H,'ELC TECH'!$E:$E)="Storage",DB$4*$BF162,"")</f>
        <v/>
      </c>
      <c r="DC162" s="8" t="str">
        <f>IF(_xlfn.XLOOKUP($B162,'ELC TECH'!$H:$H,'ELC TECH'!$E:$E)="Storage",DC$4*$BF162,"")</f>
        <v/>
      </c>
      <c r="DD162" s="8" t="str">
        <f>IF(_xlfn.XLOOKUP($B162,'ELC TECH'!$H:$H,'ELC TECH'!$E:$E)="Storage",DD$4*$BF162,"")</f>
        <v/>
      </c>
      <c r="DE162" s="8" t="str">
        <f>IF(_xlfn.XLOOKUP($B162,'ELC TECH'!$H:$H,'ELC TECH'!$E:$E)="Storage",DE$4*$BF162,"")</f>
        <v/>
      </c>
      <c r="DF162" s="8" t="str">
        <f>IF(_xlfn.XLOOKUP($B162,'ELC TECH'!$H:$H,'ELC TECH'!$E:$E)="Storage",DF$4*$BF162,"")</f>
        <v/>
      </c>
      <c r="DG162" s="8" t="str">
        <f>IF(_xlfn.XLOOKUP($B162,'ELC TECH'!$H:$H,'ELC TECH'!$E:$E)="Storage",DG$4*$BF162,"")</f>
        <v/>
      </c>
      <c r="DH162" s="8" t="str">
        <f>IF(_xlfn.XLOOKUP($B162,'ELC TECH'!$H:$H,'ELC TECH'!$E:$E)="Storage",DH$4*$BF162,"")</f>
        <v/>
      </c>
      <c r="DI162" s="8" t="str">
        <f>IF(_xlfn.XLOOKUP($B162,'ELC TECH'!$H:$H,'ELC TECH'!$E:$E)="Storage",DI$4*$BF162,"")</f>
        <v/>
      </c>
    </row>
    <row r="163" spans="2:113" x14ac:dyDescent="0.25">
      <c r="B163" t="str">
        <f>IF('ELC TECH'!I156=0,"*",'ELC TECH'!H156)</f>
        <v>ELCWNDDCERDWC920</v>
      </c>
      <c r="C163" t="str">
        <f>IF(_xlfn.XLOOKUP(_xlfn.XLOOKUP(B163,'ELC TECH'!$H:$H,'ELC TECH'!$G:$G),List!C:C,List!B:B)="STG",D163,"ELC"&amp;_xlfn.XLOOKUP(_xlfn.XLOOKUP(B163,'ELC TECH'!H:H,'ELC TECH'!G:G),List!C:C,List!B:B))</f>
        <v>ELCWND</v>
      </c>
      <c r="D163" t="s">
        <v>544</v>
      </c>
      <c r="E163">
        <f>_xlfn.XLOOKUP(B163,'ELC TECH'!H:H,'ELC TECH'!D:D)</f>
        <v>2020</v>
      </c>
      <c r="F163">
        <f>_xlfn.XLOOKUP(B163,'ELC TECH'!H:H,'ELC TECH'!K:K)</f>
        <v>30</v>
      </c>
      <c r="G163">
        <f t="shared" si="8"/>
        <v>31.535999999999998</v>
      </c>
      <c r="H163">
        <f>IF(_xlfn.XLOOKUP(B163,'ELC TECH'!$H:$H,'ELC TECH'!$E:$E)="Storage",0.3,IF(_xlfn.XLOOKUP(B163,'ELC TECH'!$H:$H,'ELC TECH'!$E:$E)="Baseload",0.9,IF(_xlfn.XLOOKUP(B163,'ELC TECH'!$H:$H,'ELC TECH'!$E:$E)="Non Dispatchable",0.05,IF(_xlfn.XLOOKUP(B163,'ELC TECH'!$H:$H,'ELC TECH'!$E:$E)="Dispatchable",0.9,1))))</f>
        <v>0.05</v>
      </c>
      <c r="I163" s="13">
        <f>IF(_xlfn.XLOOKUP(B163,'ELC TECH'!H:H,'ELC TECH'!J:J)="","",_xlfn.XLOOKUP(B163,'ELC TECH'!H:H,'ELC TECH'!J:J))</f>
        <v>233.39318333333341</v>
      </c>
      <c r="J163" s="12">
        <f>IF(_xlfn.XLOOKUP($B163,'ELC TECH'!$H:$H,'ELC TECH'!$E:$E)="Storage","",IF(_xlfn.XLOOKUP($B163,'ELC TECH'!$H:$H,'ELC TECH'!AK:AK)="",1,_xlfn.XLOOKUP($B163,'ELC TECH'!$H:$H,'ELC TECH'!AK:AK)))</f>
        <v>1</v>
      </c>
      <c r="K163" s="12">
        <f>IF(_xlfn.XLOOKUP($B163,'ELC TECH'!$H:$H,'ELC TECH'!$E:$E)="Storage","",IF(_xlfn.XLOOKUP($B163,'ELC TECH'!$H:$H,'ELC TECH'!AL:AL)="",1,_xlfn.XLOOKUP($B163,'ELC TECH'!$H:$H,'ELC TECH'!AL:AL)))</f>
        <v>1</v>
      </c>
      <c r="L163" s="12">
        <f>IF(_xlfn.XLOOKUP($B163,'ELC TECH'!$H:$H,'ELC TECH'!$E:$E)="Storage","",IF(_xlfn.XLOOKUP($B163,'ELC TECH'!$H:$H,'ELC TECH'!AM:AM)="",1,_xlfn.XLOOKUP($B163,'ELC TECH'!$H:$H,'ELC TECH'!AM:AM)))</f>
        <v>1</v>
      </c>
      <c r="M163" s="12">
        <f>IF(_xlfn.XLOOKUP($B163,'ELC TECH'!$H:$H,'ELC TECH'!$E:$E)="Storage","",IF(_xlfn.XLOOKUP($B163,'ELC TECH'!$H:$H,'ELC TECH'!AN:AN)="",1,_xlfn.XLOOKUP($B163,'ELC TECH'!$H:$H,'ELC TECH'!AN:AN)))</f>
        <v>1</v>
      </c>
      <c r="N163" s="12">
        <f>IF(_xlfn.XLOOKUP($B163,'ELC TECH'!$H:$H,'ELC TECH'!$E:$E)="Storage","",IF(_xlfn.XLOOKUP($B163,'ELC TECH'!$H:$H,'ELC TECH'!AO:AO)="",1,_xlfn.XLOOKUP($B163,'ELC TECH'!$H:$H,'ELC TECH'!AO:AO)))</f>
        <v>1</v>
      </c>
      <c r="O163" s="12">
        <f>IF(_xlfn.XLOOKUP($B163,'ELC TECH'!$H:$H,'ELC TECH'!$E:$E)="Storage","",IF(_xlfn.XLOOKUP($B163,'ELC TECH'!$H:$H,'ELC TECH'!AP:AP)="",1,_xlfn.XLOOKUP($B163,'ELC TECH'!$H:$H,'ELC TECH'!AP:AP)))</f>
        <v>1</v>
      </c>
      <c r="P163" s="12">
        <f>IF(_xlfn.XLOOKUP($B163,'ELC TECH'!$H:$H,'ELC TECH'!$E:$E)="Storage","",IF(_xlfn.XLOOKUP($B163,'ELC TECH'!$H:$H,'ELC TECH'!AQ:AQ)="",1,_xlfn.XLOOKUP($B163,'ELC TECH'!$H:$H,'ELC TECH'!AQ:AQ)))</f>
        <v>1</v>
      </c>
      <c r="Q163" s="12">
        <f>IF(_xlfn.XLOOKUP($B163,'ELC TECH'!$H:$H,'ELC TECH'!$E:$E)="Storage","",IF(_xlfn.XLOOKUP($B163,'ELC TECH'!$H:$H,'ELC TECH'!AR:AR)="",1,_xlfn.XLOOKUP($B163,'ELC TECH'!$H:$H,'ELC TECH'!AR:AR)))</f>
        <v>1</v>
      </c>
      <c r="R163" s="12" t="str">
        <f>IF(_xlfn.XLOOKUP($B163,'ELC TECH'!$H:$H,'ELC TECH'!$E:$E)&lt;&gt;"Storage","",IF(_xlfn.XLOOKUP($B163,'ELC TECH'!$H:$H,'ELC TECH'!AK:AK)="",0.8,_xlfn.XLOOKUP($B163,'ELC TECH'!$H:$H,'ELC TECH'!AK:AK)))</f>
        <v/>
      </c>
      <c r="S163" s="12" t="str">
        <f>IF(_xlfn.XLOOKUP($B163,'ELC TECH'!$H:$H,'ELC TECH'!$E:$E)&lt;&gt;"Storage","",IF(_xlfn.XLOOKUP($B163,'ELC TECH'!$H:$H,'ELC TECH'!AL:AL)="",0.8,_xlfn.XLOOKUP($B163,'ELC TECH'!$H:$H,'ELC TECH'!AL:AL)))</f>
        <v/>
      </c>
      <c r="T163" s="12" t="str">
        <f>IF(_xlfn.XLOOKUP($B163,'ELC TECH'!$H:$H,'ELC TECH'!$E:$E)&lt;&gt;"Storage","",IF(_xlfn.XLOOKUP($B163,'ELC TECH'!$H:$H,'ELC TECH'!AM:AM)="",0.8,_xlfn.XLOOKUP($B163,'ELC TECH'!$H:$H,'ELC TECH'!AM:AM)))</f>
        <v/>
      </c>
      <c r="U163" s="12" t="str">
        <f>IF(_xlfn.XLOOKUP($B163,'ELC TECH'!$H:$H,'ELC TECH'!$E:$E)&lt;&gt;"Storage","",IF(_xlfn.XLOOKUP($B163,'ELC TECH'!$H:$H,'ELC TECH'!AN:AN)="",0.8,_xlfn.XLOOKUP($B163,'ELC TECH'!$H:$H,'ELC TECH'!AN:AN)))</f>
        <v/>
      </c>
      <c r="V163" s="12" t="str">
        <f>IF(_xlfn.XLOOKUP($B163,'ELC TECH'!$H:$H,'ELC TECH'!$E:$E)&lt;&gt;"Storage","",IF(_xlfn.XLOOKUP($B163,'ELC TECH'!$H:$H,'ELC TECH'!AO:AO)="",0.8,_xlfn.XLOOKUP($B163,'ELC TECH'!$H:$H,'ELC TECH'!AO:AO)))</f>
        <v/>
      </c>
      <c r="W163" s="12" t="str">
        <f>IF(_xlfn.XLOOKUP($B163,'ELC TECH'!$H:$H,'ELC TECH'!$E:$E)&lt;&gt;"Storage","",IF(_xlfn.XLOOKUP($B163,'ELC TECH'!$H:$H,'ELC TECH'!AP:AP)="",0.8,_xlfn.XLOOKUP($B163,'ELC TECH'!$H:$H,'ELC TECH'!AP:AP)))</f>
        <v/>
      </c>
      <c r="X163" s="12" t="str">
        <f>IF(_xlfn.XLOOKUP($B163,'ELC TECH'!$H:$H,'ELC TECH'!$E:$E)&lt;&gt;"Storage","",IF(_xlfn.XLOOKUP($B163,'ELC TECH'!$H:$H,'ELC TECH'!AQ:AQ)="",0.8,_xlfn.XLOOKUP($B163,'ELC TECH'!$H:$H,'ELC TECH'!AQ:AQ)))</f>
        <v/>
      </c>
      <c r="Y163" s="12" t="str">
        <f>IF(_xlfn.XLOOKUP($B163,'ELC TECH'!$H:$H,'ELC TECH'!$E:$E)&lt;&gt;"Storage","",IF(_xlfn.XLOOKUP($B163,'ELC TECH'!$H:$H,'ELC TECH'!AR:AR)="",0.8,_xlfn.XLOOKUP($B163,'ELC TECH'!$H:$H,'ELC TECH'!AR:AR)))</f>
        <v/>
      </c>
      <c r="Z163" s="15">
        <f>_xlfn.XLOOKUP($B163,'ELC TECH'!$H:$H,'ELC TECH'!M:M)</f>
        <v>6549.0142310829506</v>
      </c>
      <c r="AA163" s="15">
        <f>_xlfn.XLOOKUP($B163,'ELC TECH'!$H:$H,'ELC TECH'!N:N)</f>
        <v>6421.1425612343974</v>
      </c>
      <c r="AB163" s="15">
        <f>_xlfn.XLOOKUP($B163,'ELC TECH'!$H:$H,'ELC TECH'!O:O)</f>
        <v>3968.077175989039</v>
      </c>
      <c r="AC163" s="15">
        <f>_xlfn.XLOOKUP($B163,'ELC TECH'!$H:$H,'ELC TECH'!P:P)</f>
        <v>3222.0031734476329</v>
      </c>
      <c r="AD163" s="15">
        <f>_xlfn.XLOOKUP($B163,'ELC TECH'!$H:$H,'ELC TECH'!Q:Q)</f>
        <v>2629.692312978324</v>
      </c>
      <c r="AE163" s="15">
        <f>_xlfn.XLOOKUP($B163,'ELC TECH'!$H:$H,'ELC TECH'!R:R)</f>
        <v>2226.8699153391431</v>
      </c>
      <c r="AF163" s="15">
        <f>_xlfn.XLOOKUP($B163,'ELC TECH'!$H:$H,'ELC TECH'!S:S)</f>
        <v>1953.258376919596</v>
      </c>
      <c r="AG163" s="15">
        <f>_xlfn.XLOOKUP($B163,'ELC TECH'!$H:$H,'ELC TECH'!T:T)</f>
        <v>1953.258376919596</v>
      </c>
      <c r="AH163" s="15">
        <f>_xlfn.XLOOKUP($B163,'ELC TECH'!$H:$H,'ELC TECH'!U:U)</f>
        <v>41.27117929699714</v>
      </c>
      <c r="AI163" s="15">
        <f>_xlfn.XLOOKUP($B163,'ELC TECH'!$H:$H,'ELC TECH'!V:V)</f>
        <v>40.608188464916751</v>
      </c>
      <c r="AJ163" s="15">
        <f>_xlfn.XLOOKUP($B163,'ELC TECH'!$H:$H,'ELC TECH'!W:W)</f>
        <v>39.779449924816397</v>
      </c>
      <c r="AK163" s="15">
        <f>_xlfn.XLOOKUP($B163,'ELC TECH'!$H:$H,'ELC TECH'!X:X)</f>
        <v>39.157896019741258</v>
      </c>
      <c r="AL163" s="15">
        <f>_xlfn.XLOOKUP($B163,'ELC TECH'!$H:$H,'ELC TECH'!Y:Y)</f>
        <v>38.536342114665999</v>
      </c>
      <c r="AM163" s="15">
        <f>_xlfn.XLOOKUP($B163,'ELC TECH'!$H:$H,'ELC TECH'!Z:Z)</f>
        <v>37.914788209590739</v>
      </c>
      <c r="AN163" s="15">
        <f>_xlfn.XLOOKUP($B163,'ELC TECH'!$H:$H,'ELC TECH'!AA:AA)</f>
        <v>37.293234304515479</v>
      </c>
      <c r="AO163" s="15">
        <f>_xlfn.XLOOKUP($B163,'ELC TECH'!$H:$H,'ELC TECH'!AB:AB)</f>
        <v>37.293234304515479</v>
      </c>
      <c r="AP163" s="15">
        <f>_xlfn.XLOOKUP($B163,'ELC TECH'!$H:$H,'ELC TECH'!AC:AC)</f>
        <v>0</v>
      </c>
      <c r="AQ163" s="15">
        <f>_xlfn.XLOOKUP($B163,'ELC TECH'!$H:$H,'ELC TECH'!AD:AD)</f>
        <v>0</v>
      </c>
      <c r="AR163" s="15">
        <f>_xlfn.XLOOKUP($B163,'ELC TECH'!$H:$H,'ELC TECH'!AE:AE)</f>
        <v>0</v>
      </c>
      <c r="AS163" s="15">
        <f>_xlfn.XLOOKUP($B163,'ELC TECH'!$H:$H,'ELC TECH'!AF:AF)</f>
        <v>0</v>
      </c>
      <c r="AT163" s="15">
        <f>_xlfn.XLOOKUP($B163,'ELC TECH'!$H:$H,'ELC TECH'!AG:AG)</f>
        <v>0</v>
      </c>
      <c r="AU163" s="15">
        <f>_xlfn.XLOOKUP($B163,'ELC TECH'!$H:$H,'ELC TECH'!AH:AH)</f>
        <v>0</v>
      </c>
      <c r="AV163" s="15">
        <f>_xlfn.XLOOKUP($B163,'ELC TECH'!$H:$H,'ELC TECH'!AI:AI)</f>
        <v>0</v>
      </c>
      <c r="AW163" s="15">
        <f>_xlfn.XLOOKUP($B163,'ELC TECH'!$H:$H,'ELC TECH'!AJ:AJ)</f>
        <v>0</v>
      </c>
      <c r="AX163" s="12">
        <f>IF(_xlfn.XLOOKUP($B163,'ELC TECH'!$H:$H,'ELC TECH'!$E:$E)="Storage","",_xlfn.XLOOKUP($B163,'ELC TECH'!$H:$H,'ELC TECH'!AS:AS))</f>
        <v>0.199386699999999</v>
      </c>
      <c r="AY163" s="12">
        <f>IF(_xlfn.XLOOKUP($B163,'ELC TECH'!$H:$H,'ELC TECH'!$E:$E)="Storage","",_xlfn.XLOOKUP($B163,'ELC TECH'!$H:$H,'ELC TECH'!AT:AT))</f>
        <v>0.23758550000000001</v>
      </c>
      <c r="AZ163" s="12">
        <f>IF(_xlfn.XLOOKUP($B163,'ELC TECH'!$H:$H,'ELC TECH'!$E:$E)="Storage","",_xlfn.XLOOKUP($B163,'ELC TECH'!$H:$H,'ELC TECH'!AU:AU))</f>
        <v>0.28533399999999998</v>
      </c>
      <c r="BA163" s="12">
        <f>IF(_xlfn.XLOOKUP($B163,'ELC TECH'!$H:$H,'ELC TECH'!$E:$E)="Storage","",_xlfn.XLOOKUP($B163,'ELC TECH'!$H:$H,'ELC TECH'!AV:AV))</f>
        <v>0.28533399999999998</v>
      </c>
      <c r="BB163" s="12">
        <f>IF(_xlfn.XLOOKUP($B163,'ELC TECH'!$H:$H,'ELC TECH'!$E:$E)="Storage","",_xlfn.XLOOKUP($B163,'ELC TECH'!$H:$H,'ELC TECH'!AW:AW))</f>
        <v>0.28533399999999998</v>
      </c>
      <c r="BC163" s="12">
        <f>IF(_xlfn.XLOOKUP($B163,'ELC TECH'!$H:$H,'ELC TECH'!$E:$E)="Storage","",_xlfn.XLOOKUP($B163,'ELC TECH'!$H:$H,'ELC TECH'!AX:AX))</f>
        <v>0.28533399999999998</v>
      </c>
      <c r="BD163" s="12">
        <f>IF(_xlfn.XLOOKUP($B163,'ELC TECH'!$H:$H,'ELC TECH'!$E:$E)="Storage","",_xlfn.XLOOKUP($B163,'ELC TECH'!$H:$H,'ELC TECH'!AY:AY))</f>
        <v>0.28533399999999998</v>
      </c>
      <c r="BE163" s="12">
        <f>IF(_xlfn.XLOOKUP($B163,'ELC TECH'!$H:$H,'ELC TECH'!$E:$E)="Storage","",_xlfn.XLOOKUP($B163,'ELC TECH'!$H:$H,'ELC TECH'!AZ:AZ))</f>
        <v>0.28533399999999998</v>
      </c>
      <c r="BF163" s="12" t="str">
        <f>IF(_xlfn.XLOOKUP($B163,'ELC TECH'!$H:$H,'ELC TECH'!$E:$E)="Storage",_xlfn.XLOOKUP($B163,'ELC TECH'!$H:$H,'ELC TECH'!AS:AS),"")</f>
        <v/>
      </c>
      <c r="BG163" s="12" t="str">
        <f>IF(_xlfn.XLOOKUP($B163,'ELC TECH'!$H:$H,'ELC TECH'!$E:$E)="Storage",_xlfn.XLOOKUP($B163,'ELC TECH'!$H:$H,'ELC TECH'!AT:AT),"")</f>
        <v/>
      </c>
      <c r="BH163" s="12" t="str">
        <f>IF(_xlfn.XLOOKUP($B163,'ELC TECH'!$H:$H,'ELC TECH'!$E:$E)="Storage",_xlfn.XLOOKUP($B163,'ELC TECH'!$H:$H,'ELC TECH'!AU:AU),"")</f>
        <v/>
      </c>
      <c r="BI163" s="12" t="str">
        <f>IF(_xlfn.XLOOKUP($B163,'ELC TECH'!$H:$H,'ELC TECH'!$E:$E)="Storage",_xlfn.XLOOKUP($B163,'ELC TECH'!$H:$H,'ELC TECH'!AV:AV),"")</f>
        <v/>
      </c>
      <c r="BJ163" s="12" t="str">
        <f>IF(_xlfn.XLOOKUP($B163,'ELC TECH'!$H:$H,'ELC TECH'!$E:$E)="Storage",_xlfn.XLOOKUP($B163,'ELC TECH'!$H:$H,'ELC TECH'!AW:AW),"")</f>
        <v/>
      </c>
      <c r="BK163" s="12" t="str">
        <f>IF(_xlfn.XLOOKUP($B163,'ELC TECH'!$H:$H,'ELC TECH'!$E:$E)="Storage",_xlfn.XLOOKUP($B163,'ELC TECH'!$H:$H,'ELC TECH'!AX:AX),"")</f>
        <v/>
      </c>
      <c r="BL163" s="12" t="str">
        <f>IF(_xlfn.XLOOKUP($B163,'ELC TECH'!$H:$H,'ELC TECH'!$E:$E)="Storage",_xlfn.XLOOKUP($B163,'ELC TECH'!$H:$H,'ELC TECH'!AY:AY),"")</f>
        <v/>
      </c>
      <c r="BM163" s="12" t="str">
        <f>IF(_xlfn.XLOOKUP($B163,'ELC TECH'!$H:$H,'ELC TECH'!$E:$E)="Storage",_xlfn.XLOOKUP($B163,'ELC TECH'!$H:$H,'ELC TECH'!AZ:AZ),"")</f>
        <v/>
      </c>
      <c r="BN163" s="8">
        <f>IF(_xlfn.XLOOKUP($B163,'ELC TECH'!$H:$H,'ELC TECH'!$E:$E)="Non Dispatchable",IFERROR($AX163*_xlfn.XLOOKUP($C163,$BM$1:$BM$3,BN$1:BN$3)/SUMPRODUCT(_xlfn.XLOOKUP($C163,$BM$1:$BM$3,$BN$1:$BY$3),$BN$4:$BY$4),""),
"")</f>
        <v>0.35012334460536548</v>
      </c>
      <c r="BO163" s="8">
        <f>IF(_xlfn.XLOOKUP($B163,'ELC TECH'!$H:$H,'ELC TECH'!$E:$E)="Non Dispatchable",IFERROR($AX163*_xlfn.XLOOKUP($C163,$BM$1:$BM$3,BO$1:BO$3)/SUMPRODUCT(_xlfn.XLOOKUP($C163,$BM$1:$BM$3,$BN$1:$BY$3),$BN$4:$BY$4),""),
"")</f>
        <v>0.35012334460536548</v>
      </c>
      <c r="BP163" s="8">
        <f>IF(_xlfn.XLOOKUP($B163,'ELC TECH'!$H:$H,'ELC TECH'!$E:$E)="Non Dispatchable",IFERROR($AX163*_xlfn.XLOOKUP($C163,$BM$1:$BM$3,BP$1:BP$3)/SUMPRODUCT(_xlfn.XLOOKUP($C163,$BM$1:$BM$3,$BN$1:$BY$3),$BN$4:$BY$4),""),
"")</f>
        <v>3.5012334460536546E-2</v>
      </c>
      <c r="BQ163" s="8">
        <f>IF(_xlfn.XLOOKUP($B163,'ELC TECH'!$H:$H,'ELC TECH'!$E:$E)="Non Dispatchable",IFERROR($AX163*_xlfn.XLOOKUP($C163,$BM$1:$BM$3,BQ$1:BQ$3)/SUMPRODUCT(_xlfn.XLOOKUP($C163,$BM$1:$BM$3,$BN$1:$BY$3),$BN$4:$BY$4),""),
"")</f>
        <v>0.28053908240706649</v>
      </c>
      <c r="BR163" s="8">
        <f>IF(_xlfn.XLOOKUP($B163,'ELC TECH'!$H:$H,'ELC TECH'!$E:$E)="Non Dispatchable",IFERROR($AX163*_xlfn.XLOOKUP($C163,$BM$1:$BM$3,BR$1:BR$3)/SUMPRODUCT(_xlfn.XLOOKUP($C163,$BM$1:$BM$3,$BN$1:$BY$3),$BN$4:$BY$4),""),
"")</f>
        <v>0.40741625554078897</v>
      </c>
      <c r="BS163" s="8">
        <f>IF(_xlfn.XLOOKUP($B163,'ELC TECH'!$H:$H,'ELC TECH'!$E:$E)="Non Dispatchable",IFERROR($AX163*_xlfn.XLOOKUP($C163,$BM$1:$BM$3,BS$1:BS$3)/SUMPRODUCT(_xlfn.XLOOKUP($C163,$BM$1:$BM$3,$BN$1:$BY$3),$BN$4:$BY$4),""),
"")</f>
        <v>0.40741625554078897</v>
      </c>
      <c r="BT163" s="8">
        <f>IF(_xlfn.XLOOKUP($B163,'ELC TECH'!$H:$H,'ELC TECH'!$E:$E)="Non Dispatchable",IFERROR($AX163*_xlfn.XLOOKUP($C163,$BM$1:$BM$3,BT$1:BT$3)/SUMPRODUCT(_xlfn.XLOOKUP($C163,$BM$1:$BM$3,$BN$1:$BY$3),$BN$4:$BY$4),""),
"")</f>
        <v>4.0741625554078904E-2</v>
      </c>
      <c r="BU163" s="8">
        <f>IF(_xlfn.XLOOKUP($B163,'ELC TECH'!$H:$H,'ELC TECH'!$E:$E)="Non Dispatchable",IFERROR($AX163*_xlfn.XLOOKUP($C163,$BM$1:$BM$3,BU$1:BU$3)/SUMPRODUCT(_xlfn.XLOOKUP($C163,$BM$1:$BM$3,$BN$1:$BY$3),$BN$4:$BY$4),""),
"")</f>
        <v>0.36099800291386308</v>
      </c>
      <c r="BV163" s="8">
        <f>IF(_xlfn.XLOOKUP($B163,'ELC TECH'!$H:$H,'ELC TECH'!$E:$E)="Non Dispatchable",IFERROR($AX163*_xlfn.XLOOKUP($C163,$BM$1:$BM$3,BV$1:BV$3)/SUMPRODUCT(_xlfn.XLOOKUP($C163,$BM$1:$BM$3,$BN$1:$BY$3),$BN$4:$BY$4),""),
"")</f>
        <v>0.21098869764898082</v>
      </c>
      <c r="BW163" s="8">
        <f>IF(_xlfn.XLOOKUP($B163,'ELC TECH'!$H:$H,'ELC TECH'!$E:$E)="Non Dispatchable",IFERROR($AX163*_xlfn.XLOOKUP($C163,$BM$1:$BM$3,BW$1:BW$3)/SUMPRODUCT(_xlfn.XLOOKUP($C163,$BM$1:$BM$3,$BN$1:$BY$3),$BN$4:$BY$4),""),
"")</f>
        <v>0.21098869764898082</v>
      </c>
      <c r="BX163" s="8">
        <f>IF(_xlfn.XLOOKUP($B163,'ELC TECH'!$H:$H,'ELC TECH'!$E:$E)="Non Dispatchable",IFERROR($AX163*_xlfn.XLOOKUP($C163,$BM$1:$BM$3,BX$1:BX$3)/SUMPRODUCT(_xlfn.XLOOKUP($C163,$BM$1:$BM$3,$BN$1:$BY$3),$BN$4:$BY$4),""),
"")</f>
        <v>2.1098869764898082E-2</v>
      </c>
      <c r="BY163" s="8">
        <f>IF(_xlfn.XLOOKUP($B163,'ELC TECH'!$H:$H,'ELC TECH'!$E:$E)="Non Dispatchable",IFERROR($AX163*_xlfn.XLOOKUP($C163,$BM$1:$BM$3,BY$1:BY$3)/SUMPRODUCT(_xlfn.XLOOKUP($C163,$BM$1:$BM$3,$BN$1:$BY$3),$BN$4:$BY$4),""),
"")</f>
        <v>0.15422242692051091</v>
      </c>
      <c r="BZ163" s="8">
        <f>IF(_xlfn.XLOOKUP($B163,'ELC TECH'!$H:$H,'ELC TECH'!$E:$E)="Non Dispatchable",IFERROR($AX163*_xlfn.XLOOKUP($C163,$BM$1:$BM$3,BZ$1:BZ$3)/SUMPRODUCT(_xlfn.XLOOKUP($C163,$BM$1:$BM$3,$BN$1:$BY$3),$BN$4:$BY$4),""),
"")</f>
        <v>0.35012334460536548</v>
      </c>
      <c r="CA163" s="8">
        <f>IF(_xlfn.XLOOKUP($B163,'ELC TECH'!$H:$H,'ELC TECH'!$E:$E)="Non Dispatchable",IFERROR($AX163*_xlfn.XLOOKUP($C163,$BM$1:$BM$3,CA$1:CA$3)/SUMPRODUCT(_xlfn.XLOOKUP($C163,$BM$1:$BM$3,$BN$1:$BY$3),$BN$4:$BY$4),""),
"")</f>
        <v>0.35012334460536548</v>
      </c>
      <c r="CB163" s="8">
        <f>IF(_xlfn.XLOOKUP($B163,'ELC TECH'!$H:$H,'ELC TECH'!$E:$E)="Non Dispatchable",IFERROR($AX163*_xlfn.XLOOKUP($C163,$BM$1:$BM$3,CB$1:CB$3)/SUMPRODUCT(_xlfn.XLOOKUP($C163,$BM$1:$BM$3,$BN$1:$BY$3),$BN$4:$BY$4),""),
"")</f>
        <v>3.5012334460536546E-2</v>
      </c>
      <c r="CC163" s="8">
        <f>IF(_xlfn.XLOOKUP($B163,'ELC TECH'!$H:$H,'ELC TECH'!$E:$E)="Non Dispatchable",IFERROR($AX163*_xlfn.XLOOKUP($C163,$BM$1:$BM$3,CC$1:CC$3)/SUMPRODUCT(_xlfn.XLOOKUP($C163,$BM$1:$BM$3,$BN$1:$BY$3),$BN$4:$BY$4),""),
"")</f>
        <v>0.28053908240706649</v>
      </c>
      <c r="CD163" s="8">
        <f>IF(_xlfn.XLOOKUP($B163,'ELC TECH'!$H:$H,'ELC TECH'!$E:$E)="Non Dispatchable",IFERROR($AX163*_xlfn.XLOOKUP($C163,$BM$1:$BM$3,CD$1:CD$3)/SUMPRODUCT(_xlfn.XLOOKUP($C163,$BM$1:$BM$3,$BN$1:$BY$3),$BN$4:$BY$4),""),
"")</f>
        <v>0.40741625554078897</v>
      </c>
      <c r="CE163" s="8">
        <f>IF(_xlfn.XLOOKUP($B163,'ELC TECH'!$H:$H,'ELC TECH'!$E:$E)="Non Dispatchable",IFERROR($AX163*_xlfn.XLOOKUP($C163,$BM$1:$BM$3,CE$1:CE$3)/SUMPRODUCT(_xlfn.XLOOKUP($C163,$BM$1:$BM$3,$BN$1:$BY$3),$BN$4:$BY$4),""),
"")</f>
        <v>0.40741625554078897</v>
      </c>
      <c r="CF163" s="8">
        <f>IF(_xlfn.XLOOKUP($B163,'ELC TECH'!$H:$H,'ELC TECH'!$E:$E)="Non Dispatchable",IFERROR($AX163*_xlfn.XLOOKUP($C163,$BM$1:$BM$3,CF$1:CF$3)/SUMPRODUCT(_xlfn.XLOOKUP($C163,$BM$1:$BM$3,$BN$1:$BY$3),$BN$4:$BY$4),""),
"")</f>
        <v>4.0741625554078904E-2</v>
      </c>
      <c r="CG163" s="8">
        <f>IF(_xlfn.XLOOKUP($B163,'ELC TECH'!$H:$H,'ELC TECH'!$E:$E)="Non Dispatchable",IFERROR($AX163*_xlfn.XLOOKUP($C163,$BM$1:$BM$3,CG$1:CG$3)/SUMPRODUCT(_xlfn.XLOOKUP($C163,$BM$1:$BM$3,$BN$1:$BY$3),$BN$4:$BY$4),""),
"")</f>
        <v>0.36099800291386308</v>
      </c>
      <c r="CH163" s="8">
        <f>IF(_xlfn.XLOOKUP($B163,'ELC TECH'!$H:$H,'ELC TECH'!$E:$E)="Non Dispatchable",IFERROR($AX163*_xlfn.XLOOKUP($C163,$BM$1:$BM$3,CH$1:CH$3)/SUMPRODUCT(_xlfn.XLOOKUP($C163,$BM$1:$BM$3,$BN$1:$BY$3),$BN$4:$BY$4),""),
"")</f>
        <v>0.21098869764898082</v>
      </c>
      <c r="CI163" s="8">
        <f>IF(_xlfn.XLOOKUP($B163,'ELC TECH'!$H:$H,'ELC TECH'!$E:$E)="Non Dispatchable",IFERROR($AX163*_xlfn.XLOOKUP($C163,$BM$1:$BM$3,CI$1:CI$3)/SUMPRODUCT(_xlfn.XLOOKUP($C163,$BM$1:$BM$3,$BN$1:$BY$3),$BN$4:$BY$4),""),
"")</f>
        <v>0.21098869764898082</v>
      </c>
      <c r="CJ163" s="8">
        <f>IF(_xlfn.XLOOKUP($B163,'ELC TECH'!$H:$H,'ELC TECH'!$E:$E)="Non Dispatchable",IFERROR($AX163*_xlfn.XLOOKUP($C163,$BM$1:$BM$3,CJ$1:CJ$3)/SUMPRODUCT(_xlfn.XLOOKUP($C163,$BM$1:$BM$3,$BN$1:$BY$3),$BN$4:$BY$4),""),
"")</f>
        <v>2.1098869764898082E-2</v>
      </c>
      <c r="CK163" s="8">
        <f>IF(_xlfn.XLOOKUP($B163,'ELC TECH'!$H:$H,'ELC TECH'!$E:$E)="Non Dispatchable",IFERROR($AX163*_xlfn.XLOOKUP($C163,$BM$1:$BM$3,CK$1:CK$3)/SUMPRODUCT(_xlfn.XLOOKUP($C163,$BM$1:$BM$3,$BN$1:$BY$3),$BN$4:$BY$4),""),
"")</f>
        <v>0.15422242692051091</v>
      </c>
      <c r="CL163" s="8" t="str">
        <f>IF(_xlfn.XLOOKUP($B163,'ELC TECH'!$H:$H,'ELC TECH'!$E:$E)="Storage",CL$4*$BF163,"")</f>
        <v/>
      </c>
      <c r="CM163" s="8" t="str">
        <f>IF(_xlfn.XLOOKUP($B163,'ELC TECH'!$H:$H,'ELC TECH'!$E:$E)="Storage",CM$4*$BF163,"")</f>
        <v/>
      </c>
      <c r="CN163" s="8" t="str">
        <f>IF(_xlfn.XLOOKUP($B163,'ELC TECH'!$H:$H,'ELC TECH'!$E:$E)="Storage",CN$4*$BF163,"")</f>
        <v/>
      </c>
      <c r="CO163" s="8" t="str">
        <f>IF(_xlfn.XLOOKUP($B163,'ELC TECH'!$H:$H,'ELC TECH'!$E:$E)="Storage",CO$4*$BF163,"")</f>
        <v/>
      </c>
      <c r="CP163" s="8" t="str">
        <f>IF(_xlfn.XLOOKUP($B163,'ELC TECH'!$H:$H,'ELC TECH'!$E:$E)="Storage",CP$4*$BF163,"")</f>
        <v/>
      </c>
      <c r="CQ163" s="8" t="str">
        <f>IF(_xlfn.XLOOKUP($B163,'ELC TECH'!$H:$H,'ELC TECH'!$E:$E)="Storage",CQ$4*$BF163,"")</f>
        <v/>
      </c>
      <c r="CR163" s="8" t="str">
        <f>IF(_xlfn.XLOOKUP($B163,'ELC TECH'!$H:$H,'ELC TECH'!$E:$E)="Storage",CR$4*$BF163,"")</f>
        <v/>
      </c>
      <c r="CS163" s="8" t="str">
        <f>IF(_xlfn.XLOOKUP($B163,'ELC TECH'!$H:$H,'ELC TECH'!$E:$E)="Storage",CS$4*$BF163,"")</f>
        <v/>
      </c>
      <c r="CT163" s="8" t="str">
        <f>IF(_xlfn.XLOOKUP($B163,'ELC TECH'!$H:$H,'ELC TECH'!$E:$E)="Storage",CT$4*$BF163,"")</f>
        <v/>
      </c>
      <c r="CU163" s="8" t="str">
        <f>IF(_xlfn.XLOOKUP($B163,'ELC TECH'!$H:$H,'ELC TECH'!$E:$E)="Storage",CU$4*$BF163,"")</f>
        <v/>
      </c>
      <c r="CV163" s="8" t="str">
        <f>IF(_xlfn.XLOOKUP($B163,'ELC TECH'!$H:$H,'ELC TECH'!$E:$E)="Storage",CV$4*$BF163,"")</f>
        <v/>
      </c>
      <c r="CW163" s="8" t="str">
        <f>IF(_xlfn.XLOOKUP($B163,'ELC TECH'!$H:$H,'ELC TECH'!$E:$E)="Storage",CW$4*$BF163,"")</f>
        <v/>
      </c>
      <c r="CX163" s="8" t="str">
        <f>IF(_xlfn.XLOOKUP($B163,'ELC TECH'!$H:$H,'ELC TECH'!$E:$E)="Storage",CX$4*$BF163,"")</f>
        <v/>
      </c>
      <c r="CY163" s="8" t="str">
        <f>IF(_xlfn.XLOOKUP($B163,'ELC TECH'!$H:$H,'ELC TECH'!$E:$E)="Storage",CY$4*$BF163,"")</f>
        <v/>
      </c>
      <c r="CZ163" s="8" t="str">
        <f>IF(_xlfn.XLOOKUP($B163,'ELC TECH'!$H:$H,'ELC TECH'!$E:$E)="Storage",CZ$4*$BF163,"")</f>
        <v/>
      </c>
      <c r="DA163" s="8" t="str">
        <f>IF(_xlfn.XLOOKUP($B163,'ELC TECH'!$H:$H,'ELC TECH'!$E:$E)="Storage",DA$4*$BF163,"")</f>
        <v/>
      </c>
      <c r="DB163" s="8" t="str">
        <f>IF(_xlfn.XLOOKUP($B163,'ELC TECH'!$H:$H,'ELC TECH'!$E:$E)="Storage",DB$4*$BF163,"")</f>
        <v/>
      </c>
      <c r="DC163" s="8" t="str">
        <f>IF(_xlfn.XLOOKUP($B163,'ELC TECH'!$H:$H,'ELC TECH'!$E:$E)="Storage",DC$4*$BF163,"")</f>
        <v/>
      </c>
      <c r="DD163" s="8" t="str">
        <f>IF(_xlfn.XLOOKUP($B163,'ELC TECH'!$H:$H,'ELC TECH'!$E:$E)="Storage",DD$4*$BF163,"")</f>
        <v/>
      </c>
      <c r="DE163" s="8" t="str">
        <f>IF(_xlfn.XLOOKUP($B163,'ELC TECH'!$H:$H,'ELC TECH'!$E:$E)="Storage",DE$4*$BF163,"")</f>
        <v/>
      </c>
      <c r="DF163" s="8" t="str">
        <f>IF(_xlfn.XLOOKUP($B163,'ELC TECH'!$H:$H,'ELC TECH'!$E:$E)="Storage",DF$4*$BF163,"")</f>
        <v/>
      </c>
      <c r="DG163" s="8" t="str">
        <f>IF(_xlfn.XLOOKUP($B163,'ELC TECH'!$H:$H,'ELC TECH'!$E:$E)="Storage",DG$4*$BF163,"")</f>
        <v/>
      </c>
      <c r="DH163" s="8" t="str">
        <f>IF(_xlfn.XLOOKUP($B163,'ELC TECH'!$H:$H,'ELC TECH'!$E:$E)="Storage",DH$4*$BF163,"")</f>
        <v/>
      </c>
      <c r="DI163" s="8" t="str">
        <f>IF(_xlfn.XLOOKUP($B163,'ELC TECH'!$H:$H,'ELC TECH'!$E:$E)="Storage",DI$4*$BF163,"")</f>
        <v/>
      </c>
    </row>
    <row r="164" spans="2:113" x14ac:dyDescent="0.25">
      <c r="B164" t="str">
        <f>IF('ELC TECH'!I157=0,"*",'ELC TECH'!H157)</f>
        <v>ELCSOLDCERDPV1020</v>
      </c>
      <c r="C164" t="str">
        <f>IF(_xlfn.XLOOKUP(_xlfn.XLOOKUP(B164,'ELC TECH'!$H:$H,'ELC TECH'!$G:$G),List!C:C,List!B:B)="STG",D164,"ELC"&amp;_xlfn.XLOOKUP(_xlfn.XLOOKUP(B164,'ELC TECH'!H:H,'ELC TECH'!G:G),List!C:C,List!B:B))</f>
        <v>ELCSOL</v>
      </c>
      <c r="D164" t="s">
        <v>545</v>
      </c>
      <c r="E164">
        <f>_xlfn.XLOOKUP(B164,'ELC TECH'!H:H,'ELC TECH'!D:D)</f>
        <v>2020</v>
      </c>
      <c r="F164">
        <f>_xlfn.XLOOKUP(B164,'ELC TECH'!H:H,'ELC TECH'!K:K)</f>
        <v>30</v>
      </c>
      <c r="G164">
        <f t="shared" si="8"/>
        <v>31.535999999999998</v>
      </c>
      <c r="H164">
        <f>IF(_xlfn.XLOOKUP(B164,'ELC TECH'!$H:$H,'ELC TECH'!$E:$E)="Storage",0.3,IF(_xlfn.XLOOKUP(B164,'ELC TECH'!$H:$H,'ELC TECH'!$E:$E)="Baseload",0.9,IF(_xlfn.XLOOKUP(B164,'ELC TECH'!$H:$H,'ELC TECH'!$E:$E)="Non Dispatchable",0.05,IF(_xlfn.XLOOKUP(B164,'ELC TECH'!$H:$H,'ELC TECH'!$E:$E)="Dispatchable",0.9,1))))</f>
        <v>0.05</v>
      </c>
      <c r="I164" s="13">
        <f>IF(_xlfn.XLOOKUP(B164,'ELC TECH'!H:H,'ELC TECH'!J:J)="","",_xlfn.XLOOKUP(B164,'ELC TECH'!H:H,'ELC TECH'!J:J))</f>
        <v>700.17955000000006</v>
      </c>
      <c r="J164" s="12">
        <f>IF(_xlfn.XLOOKUP($B164,'ELC TECH'!$H:$H,'ELC TECH'!$E:$E)="Storage","",IF(_xlfn.XLOOKUP($B164,'ELC TECH'!$H:$H,'ELC TECH'!AK:AK)="",1,_xlfn.XLOOKUP($B164,'ELC TECH'!$H:$H,'ELC TECH'!AK:AK)))</f>
        <v>1</v>
      </c>
      <c r="K164" s="12">
        <f>IF(_xlfn.XLOOKUP($B164,'ELC TECH'!$H:$H,'ELC TECH'!$E:$E)="Storage","",IF(_xlfn.XLOOKUP($B164,'ELC TECH'!$H:$H,'ELC TECH'!AL:AL)="",1,_xlfn.XLOOKUP($B164,'ELC TECH'!$H:$H,'ELC TECH'!AL:AL)))</f>
        <v>1</v>
      </c>
      <c r="L164" s="12">
        <f>IF(_xlfn.XLOOKUP($B164,'ELC TECH'!$H:$H,'ELC TECH'!$E:$E)="Storage","",IF(_xlfn.XLOOKUP($B164,'ELC TECH'!$H:$H,'ELC TECH'!AM:AM)="",1,_xlfn.XLOOKUP($B164,'ELC TECH'!$H:$H,'ELC TECH'!AM:AM)))</f>
        <v>1</v>
      </c>
      <c r="M164" s="12">
        <f>IF(_xlfn.XLOOKUP($B164,'ELC TECH'!$H:$H,'ELC TECH'!$E:$E)="Storage","",IF(_xlfn.XLOOKUP($B164,'ELC TECH'!$H:$H,'ELC TECH'!AN:AN)="",1,_xlfn.XLOOKUP($B164,'ELC TECH'!$H:$H,'ELC TECH'!AN:AN)))</f>
        <v>1</v>
      </c>
      <c r="N164" s="12">
        <f>IF(_xlfn.XLOOKUP($B164,'ELC TECH'!$H:$H,'ELC TECH'!$E:$E)="Storage","",IF(_xlfn.XLOOKUP($B164,'ELC TECH'!$H:$H,'ELC TECH'!AO:AO)="",1,_xlfn.XLOOKUP($B164,'ELC TECH'!$H:$H,'ELC TECH'!AO:AO)))</f>
        <v>1</v>
      </c>
      <c r="O164" s="12">
        <f>IF(_xlfn.XLOOKUP($B164,'ELC TECH'!$H:$H,'ELC TECH'!$E:$E)="Storage","",IF(_xlfn.XLOOKUP($B164,'ELC TECH'!$H:$H,'ELC TECH'!AP:AP)="",1,_xlfn.XLOOKUP($B164,'ELC TECH'!$H:$H,'ELC TECH'!AP:AP)))</f>
        <v>1</v>
      </c>
      <c r="P164" s="12">
        <f>IF(_xlfn.XLOOKUP($B164,'ELC TECH'!$H:$H,'ELC TECH'!$E:$E)="Storage","",IF(_xlfn.XLOOKUP($B164,'ELC TECH'!$H:$H,'ELC TECH'!AQ:AQ)="",1,_xlfn.XLOOKUP($B164,'ELC TECH'!$H:$H,'ELC TECH'!AQ:AQ)))</f>
        <v>1</v>
      </c>
      <c r="Q164" s="12">
        <f>IF(_xlfn.XLOOKUP($B164,'ELC TECH'!$H:$H,'ELC TECH'!$E:$E)="Storage","",IF(_xlfn.XLOOKUP($B164,'ELC TECH'!$H:$H,'ELC TECH'!AR:AR)="",1,_xlfn.XLOOKUP($B164,'ELC TECH'!$H:$H,'ELC TECH'!AR:AR)))</f>
        <v>1</v>
      </c>
      <c r="R164" s="12" t="str">
        <f>IF(_xlfn.XLOOKUP($B164,'ELC TECH'!$H:$H,'ELC TECH'!$E:$E)&lt;&gt;"Storage","",IF(_xlfn.XLOOKUP($B164,'ELC TECH'!$H:$H,'ELC TECH'!AK:AK)="",0.8,_xlfn.XLOOKUP($B164,'ELC TECH'!$H:$H,'ELC TECH'!AK:AK)))</f>
        <v/>
      </c>
      <c r="S164" s="12" t="str">
        <f>IF(_xlfn.XLOOKUP($B164,'ELC TECH'!$H:$H,'ELC TECH'!$E:$E)&lt;&gt;"Storage","",IF(_xlfn.XLOOKUP($B164,'ELC TECH'!$H:$H,'ELC TECH'!AL:AL)="",0.8,_xlfn.XLOOKUP($B164,'ELC TECH'!$H:$H,'ELC TECH'!AL:AL)))</f>
        <v/>
      </c>
      <c r="T164" s="12" t="str">
        <f>IF(_xlfn.XLOOKUP($B164,'ELC TECH'!$H:$H,'ELC TECH'!$E:$E)&lt;&gt;"Storage","",IF(_xlfn.XLOOKUP($B164,'ELC TECH'!$H:$H,'ELC TECH'!AM:AM)="",0.8,_xlfn.XLOOKUP($B164,'ELC TECH'!$H:$H,'ELC TECH'!AM:AM)))</f>
        <v/>
      </c>
      <c r="U164" s="12" t="str">
        <f>IF(_xlfn.XLOOKUP($B164,'ELC TECH'!$H:$H,'ELC TECH'!$E:$E)&lt;&gt;"Storage","",IF(_xlfn.XLOOKUP($B164,'ELC TECH'!$H:$H,'ELC TECH'!AN:AN)="",0.8,_xlfn.XLOOKUP($B164,'ELC TECH'!$H:$H,'ELC TECH'!AN:AN)))</f>
        <v/>
      </c>
      <c r="V164" s="12" t="str">
        <f>IF(_xlfn.XLOOKUP($B164,'ELC TECH'!$H:$H,'ELC TECH'!$E:$E)&lt;&gt;"Storage","",IF(_xlfn.XLOOKUP($B164,'ELC TECH'!$H:$H,'ELC TECH'!AO:AO)="",0.8,_xlfn.XLOOKUP($B164,'ELC TECH'!$H:$H,'ELC TECH'!AO:AO)))</f>
        <v/>
      </c>
      <c r="W164" s="12" t="str">
        <f>IF(_xlfn.XLOOKUP($B164,'ELC TECH'!$H:$H,'ELC TECH'!$E:$E)&lt;&gt;"Storage","",IF(_xlfn.XLOOKUP($B164,'ELC TECH'!$H:$H,'ELC TECH'!AP:AP)="",0.8,_xlfn.XLOOKUP($B164,'ELC TECH'!$H:$H,'ELC TECH'!AP:AP)))</f>
        <v/>
      </c>
      <c r="X164" s="12" t="str">
        <f>IF(_xlfn.XLOOKUP($B164,'ELC TECH'!$H:$H,'ELC TECH'!$E:$E)&lt;&gt;"Storage","",IF(_xlfn.XLOOKUP($B164,'ELC TECH'!$H:$H,'ELC TECH'!AQ:AQ)="",0.8,_xlfn.XLOOKUP($B164,'ELC TECH'!$H:$H,'ELC TECH'!AQ:AQ)))</f>
        <v/>
      </c>
      <c r="Y164" s="12" t="str">
        <f>IF(_xlfn.XLOOKUP($B164,'ELC TECH'!$H:$H,'ELC TECH'!$E:$E)&lt;&gt;"Storage","",IF(_xlfn.XLOOKUP($B164,'ELC TECH'!$H:$H,'ELC TECH'!AR:AR)="",0.8,_xlfn.XLOOKUP($B164,'ELC TECH'!$H:$H,'ELC TECH'!AR:AR)))</f>
        <v/>
      </c>
      <c r="Z164" s="15">
        <f>_xlfn.XLOOKUP($B164,'ELC TECH'!$H:$H,'ELC TECH'!M:M)</f>
        <v>3232.554589138178</v>
      </c>
      <c r="AA164" s="15">
        <f>_xlfn.XLOOKUP($B164,'ELC TECH'!$H:$H,'ELC TECH'!N:N)</f>
        <v>2974.9201081634578</v>
      </c>
      <c r="AB164" s="15">
        <f>_xlfn.XLOOKUP($B164,'ELC TECH'!$H:$H,'ELC TECH'!O:O)</f>
        <v>2378.9027813256071</v>
      </c>
      <c r="AC164" s="15">
        <f>_xlfn.XLOOKUP($B164,'ELC TECH'!$H:$H,'ELC TECH'!P:P)</f>
        <v>1782.885454487767</v>
      </c>
      <c r="AD164" s="15">
        <f>_xlfn.XLOOKUP($B164,'ELC TECH'!$H:$H,'ELC TECH'!Q:Q)</f>
        <v>1610.1995746889211</v>
      </c>
      <c r="AE164" s="15">
        <f>_xlfn.XLOOKUP($B164,'ELC TECH'!$H:$H,'ELC TECH'!R:R)</f>
        <v>1437.5136948900749</v>
      </c>
      <c r="AF164" s="15">
        <f>_xlfn.XLOOKUP($B164,'ELC TECH'!$H:$H,'ELC TECH'!S:S)</f>
        <v>1264.827815091229</v>
      </c>
      <c r="AG164" s="15">
        <f>_xlfn.XLOOKUP($B164,'ELC TECH'!$H:$H,'ELC TECH'!T:T)</f>
        <v>1264.827815091229</v>
      </c>
      <c r="AH164" s="15">
        <f>_xlfn.XLOOKUP($B164,'ELC TECH'!$H:$H,'ELC TECH'!U:U)</f>
        <v>34.293446157052799</v>
      </c>
      <c r="AI164" s="15">
        <f>_xlfn.XLOOKUP($B164,'ELC TECH'!$H:$H,'ELC TECH'!V:V)</f>
        <v>31.784509373254991</v>
      </c>
      <c r="AJ164" s="15">
        <f>_xlfn.XLOOKUP($B164,'ELC TECH'!$H:$H,'ELC TECH'!W:W)</f>
        <v>26.108139740981851</v>
      </c>
      <c r="AK164" s="15">
        <f>_xlfn.XLOOKUP($B164,'ELC TECH'!$H:$H,'ELC TECH'!X:X)</f>
        <v>20.431770108708822</v>
      </c>
      <c r="AL164" s="15">
        <f>_xlfn.XLOOKUP($B164,'ELC TECH'!$H:$H,'ELC TECH'!Y:Y)</f>
        <v>18.787138585640339</v>
      </c>
      <c r="AM164" s="15">
        <f>_xlfn.XLOOKUP($B164,'ELC TECH'!$H:$H,'ELC TECH'!Z:Z)</f>
        <v>17.142507062571742</v>
      </c>
      <c r="AN164" s="15">
        <f>_xlfn.XLOOKUP($B164,'ELC TECH'!$H:$H,'ELC TECH'!AA:AA)</f>
        <v>15.49787553950326</v>
      </c>
      <c r="AO164" s="15">
        <f>_xlfn.XLOOKUP($B164,'ELC TECH'!$H:$H,'ELC TECH'!AB:AB)</f>
        <v>15.49787553950326</v>
      </c>
      <c r="AP164" s="15">
        <f>_xlfn.XLOOKUP($B164,'ELC TECH'!$H:$H,'ELC TECH'!AC:AC)</f>
        <v>0</v>
      </c>
      <c r="AQ164" s="15">
        <f>_xlfn.XLOOKUP($B164,'ELC TECH'!$H:$H,'ELC TECH'!AD:AD)</f>
        <v>0</v>
      </c>
      <c r="AR164" s="15">
        <f>_xlfn.XLOOKUP($B164,'ELC TECH'!$H:$H,'ELC TECH'!AE:AE)</f>
        <v>0</v>
      </c>
      <c r="AS164" s="15">
        <f>_xlfn.XLOOKUP($B164,'ELC TECH'!$H:$H,'ELC TECH'!AF:AF)</f>
        <v>0</v>
      </c>
      <c r="AT164" s="15">
        <f>_xlfn.XLOOKUP($B164,'ELC TECH'!$H:$H,'ELC TECH'!AG:AG)</f>
        <v>0</v>
      </c>
      <c r="AU164" s="15">
        <f>_xlfn.XLOOKUP($B164,'ELC TECH'!$H:$H,'ELC TECH'!AH:AH)</f>
        <v>0</v>
      </c>
      <c r="AV164" s="15">
        <f>_xlfn.XLOOKUP($B164,'ELC TECH'!$H:$H,'ELC TECH'!AI:AI)</f>
        <v>0</v>
      </c>
      <c r="AW164" s="15">
        <f>_xlfn.XLOOKUP($B164,'ELC TECH'!$H:$H,'ELC TECH'!AJ:AJ)</f>
        <v>0</v>
      </c>
      <c r="AX164" s="12">
        <f>IF(_xlfn.XLOOKUP($B164,'ELC TECH'!$H:$H,'ELC TECH'!$E:$E)="Storage","",_xlfn.XLOOKUP($B164,'ELC TECH'!$H:$H,'ELC TECH'!AS:AS))</f>
        <v>0.11991511872812199</v>
      </c>
      <c r="AY164" s="12">
        <f>IF(_xlfn.XLOOKUP($B164,'ELC TECH'!$H:$H,'ELC TECH'!$E:$E)="Storage","",_xlfn.XLOOKUP($B164,'ELC TECH'!$H:$H,'ELC TECH'!AT:AT))</f>
        <v>0.120424240971688</v>
      </c>
      <c r="AZ164" s="12">
        <f>IF(_xlfn.XLOOKUP($B164,'ELC TECH'!$H:$H,'ELC TECH'!$E:$E)="Storage","",_xlfn.XLOOKUP($B164,'ELC TECH'!$H:$H,'ELC TECH'!AU:AU))</f>
        <v>0.121060643776146</v>
      </c>
      <c r="BA164" s="12">
        <f>IF(_xlfn.XLOOKUP($B164,'ELC TECH'!$H:$H,'ELC TECH'!$E:$E)="Storage","",_xlfn.XLOOKUP($B164,'ELC TECH'!$H:$H,'ELC TECH'!AV:AV))</f>
        <v>0.121697046580603</v>
      </c>
      <c r="BB164" s="12">
        <f>IF(_xlfn.XLOOKUP($B164,'ELC TECH'!$H:$H,'ELC TECH'!$E:$E)="Storage","",_xlfn.XLOOKUP($B164,'ELC TECH'!$H:$H,'ELC TECH'!AW:AW))</f>
        <v>0.12274461548711101</v>
      </c>
      <c r="BC164" s="12">
        <f>IF(_xlfn.XLOOKUP($B164,'ELC TECH'!$H:$H,'ELC TECH'!$E:$E)="Storage","",_xlfn.XLOOKUP($B164,'ELC TECH'!$H:$H,'ELC TECH'!AX:AX))</f>
        <v>0.123792184393619</v>
      </c>
      <c r="BD164" s="12">
        <f>IF(_xlfn.XLOOKUP($B164,'ELC TECH'!$H:$H,'ELC TECH'!$E:$E)="Storage","",_xlfn.XLOOKUP($B164,'ELC TECH'!$H:$H,'ELC TECH'!AY:AY))</f>
        <v>0.12483975330012601</v>
      </c>
      <c r="BE164" s="12">
        <f>IF(_xlfn.XLOOKUP($B164,'ELC TECH'!$H:$H,'ELC TECH'!$E:$E)="Storage","",_xlfn.XLOOKUP($B164,'ELC TECH'!$H:$H,'ELC TECH'!AZ:AZ))</f>
        <v>0.12483975330012601</v>
      </c>
      <c r="BF164" s="12" t="str">
        <f>IF(_xlfn.XLOOKUP($B164,'ELC TECH'!$H:$H,'ELC TECH'!$E:$E)="Storage",_xlfn.XLOOKUP($B164,'ELC TECH'!$H:$H,'ELC TECH'!AS:AS),"")</f>
        <v/>
      </c>
      <c r="BG164" s="12" t="str">
        <f>IF(_xlfn.XLOOKUP($B164,'ELC TECH'!$H:$H,'ELC TECH'!$E:$E)="Storage",_xlfn.XLOOKUP($B164,'ELC TECH'!$H:$H,'ELC TECH'!AT:AT),"")</f>
        <v/>
      </c>
      <c r="BH164" s="12" t="str">
        <f>IF(_xlfn.XLOOKUP($B164,'ELC TECH'!$H:$H,'ELC TECH'!$E:$E)="Storage",_xlfn.XLOOKUP($B164,'ELC TECH'!$H:$H,'ELC TECH'!AU:AU),"")</f>
        <v/>
      </c>
      <c r="BI164" s="12" t="str">
        <f>IF(_xlfn.XLOOKUP($B164,'ELC TECH'!$H:$H,'ELC TECH'!$E:$E)="Storage",_xlfn.XLOOKUP($B164,'ELC TECH'!$H:$H,'ELC TECH'!AV:AV),"")</f>
        <v/>
      </c>
      <c r="BJ164" s="12" t="str">
        <f>IF(_xlfn.XLOOKUP($B164,'ELC TECH'!$H:$H,'ELC TECH'!$E:$E)="Storage",_xlfn.XLOOKUP($B164,'ELC TECH'!$H:$H,'ELC TECH'!AW:AW),"")</f>
        <v/>
      </c>
      <c r="BK164" s="12" t="str">
        <f>IF(_xlfn.XLOOKUP($B164,'ELC TECH'!$H:$H,'ELC TECH'!$E:$E)="Storage",_xlfn.XLOOKUP($B164,'ELC TECH'!$H:$H,'ELC TECH'!AX:AX),"")</f>
        <v/>
      </c>
      <c r="BL164" s="12" t="str">
        <f>IF(_xlfn.XLOOKUP($B164,'ELC TECH'!$H:$H,'ELC TECH'!$E:$E)="Storage",_xlfn.XLOOKUP($B164,'ELC TECH'!$H:$H,'ELC TECH'!AY:AY),"")</f>
        <v/>
      </c>
      <c r="BM164" s="12" t="str">
        <f>IF(_xlfn.XLOOKUP($B164,'ELC TECH'!$H:$H,'ELC TECH'!$E:$E)="Storage",_xlfn.XLOOKUP($B164,'ELC TECH'!$H:$H,'ELC TECH'!AZ:AZ),"")</f>
        <v/>
      </c>
      <c r="BN164" s="8">
        <f>IF(_xlfn.XLOOKUP($B164,'ELC TECH'!$H:$H,'ELC TECH'!$E:$E)="Non Dispatchable",IFERROR($AX164*_xlfn.XLOOKUP($C164,$BM$1:$BM$3,BN$1:BN$3)/SUMPRODUCT(_xlfn.XLOOKUP($C164,$BM$1:$BM$3,$BN$1:$BY$3),$BN$4:$BY$4),""),
"")</f>
        <v>0.18767943648679103</v>
      </c>
      <c r="BO164" s="8">
        <f>IF(_xlfn.XLOOKUP($B164,'ELC TECH'!$H:$H,'ELC TECH'!$E:$E)="Non Dispatchable",IFERROR($AX164*_xlfn.XLOOKUP($C164,$BM$1:$BM$3,BO$1:BO$3)/SUMPRODUCT(_xlfn.XLOOKUP($C164,$BM$1:$BM$3,$BN$1:$BY$3),$BN$4:$BY$4),""),
"")</f>
        <v>0.18767943648679103</v>
      </c>
      <c r="BP164" s="8">
        <f>IF(_xlfn.XLOOKUP($B164,'ELC TECH'!$H:$H,'ELC TECH'!$E:$E)="Non Dispatchable",IFERROR($AX164*_xlfn.XLOOKUP($C164,$BM$1:$BM$3,BP$1:BP$3)/SUMPRODUCT(_xlfn.XLOOKUP($C164,$BM$1:$BM$3,$BN$1:$BY$3),$BN$4:$BY$4),""),
"")</f>
        <v>1.8767943648679102E-2</v>
      </c>
      <c r="BQ164" s="8">
        <f>IF(_xlfn.XLOOKUP($B164,'ELC TECH'!$H:$H,'ELC TECH'!$E:$E)="Non Dispatchable",IFERROR($AX164*_xlfn.XLOOKUP($C164,$BM$1:$BM$3,BQ$1:BQ$3)/SUMPRODUCT(_xlfn.XLOOKUP($C164,$BM$1:$BM$3,$BN$1:$BY$3),$BN$4:$BY$4),""),
"")</f>
        <v>0</v>
      </c>
      <c r="BR164" s="8">
        <f>IF(_xlfn.XLOOKUP($B164,'ELC TECH'!$H:$H,'ELC TECH'!$E:$E)="Non Dispatchable",IFERROR($AX164*_xlfn.XLOOKUP($C164,$BM$1:$BM$3,BR$1:BR$3)/SUMPRODUCT(_xlfn.XLOOKUP($C164,$BM$1:$BM$3,$BN$1:$BY$3),$BN$4:$BY$4),""),
"")</f>
        <v>0.21615614432059935</v>
      </c>
      <c r="BS164" s="8">
        <f>IF(_xlfn.XLOOKUP($B164,'ELC TECH'!$H:$H,'ELC TECH'!$E:$E)="Non Dispatchable",IFERROR($AX164*_xlfn.XLOOKUP($C164,$BM$1:$BM$3,BS$1:BS$3)/SUMPRODUCT(_xlfn.XLOOKUP($C164,$BM$1:$BM$3,$BN$1:$BY$3),$BN$4:$BY$4),""),
"")</f>
        <v>0.21615614432059935</v>
      </c>
      <c r="BT164" s="8">
        <f>IF(_xlfn.XLOOKUP($B164,'ELC TECH'!$H:$H,'ELC TECH'!$E:$E)="Non Dispatchable",IFERROR($AX164*_xlfn.XLOOKUP($C164,$BM$1:$BM$3,BT$1:BT$3)/SUMPRODUCT(_xlfn.XLOOKUP($C164,$BM$1:$BM$3,$BN$1:$BY$3),$BN$4:$BY$4),""),
"")</f>
        <v>2.1615614432059938E-2</v>
      </c>
      <c r="BU164" s="8">
        <f>IF(_xlfn.XLOOKUP($B164,'ELC TECH'!$H:$H,'ELC TECH'!$E:$E)="Non Dispatchable",IFERROR($AX164*_xlfn.XLOOKUP($C164,$BM$1:$BM$3,BU$1:BU$3)/SUMPRODUCT(_xlfn.XLOOKUP($C164,$BM$1:$BM$3,$BN$1:$BY$3),$BN$4:$BY$4),""),
"")</f>
        <v>0</v>
      </c>
      <c r="BV164" s="8">
        <f>IF(_xlfn.XLOOKUP($B164,'ELC TECH'!$H:$H,'ELC TECH'!$E:$E)="Non Dispatchable",IFERROR($AX164*_xlfn.XLOOKUP($C164,$BM$1:$BM$3,BV$1:BV$3)/SUMPRODUCT(_xlfn.XLOOKUP($C164,$BM$1:$BM$3,$BN$1:$BY$3),$BN$4:$BY$4),""),
"")</f>
        <v>0.18083336994147473</v>
      </c>
      <c r="BW164" s="8">
        <f>IF(_xlfn.XLOOKUP($B164,'ELC TECH'!$H:$H,'ELC TECH'!$E:$E)="Non Dispatchable",IFERROR($AX164*_xlfn.XLOOKUP($C164,$BM$1:$BM$3,BW$1:BW$3)/SUMPRODUCT(_xlfn.XLOOKUP($C164,$BM$1:$BM$3,$BN$1:$BY$3),$BN$4:$BY$4),""),
"")</f>
        <v>0.18083336994147473</v>
      </c>
      <c r="BX164" s="8">
        <f>IF(_xlfn.XLOOKUP($B164,'ELC TECH'!$H:$H,'ELC TECH'!$E:$E)="Non Dispatchable",IFERROR($AX164*_xlfn.XLOOKUP($C164,$BM$1:$BM$3,BX$1:BX$3)/SUMPRODUCT(_xlfn.XLOOKUP($C164,$BM$1:$BM$3,$BN$1:$BY$3),$BN$4:$BY$4),""),
"")</f>
        <v>1.8083336994147475E-2</v>
      </c>
      <c r="BY164" s="8">
        <f>IF(_xlfn.XLOOKUP($B164,'ELC TECH'!$H:$H,'ELC TECH'!$E:$E)="Non Dispatchable",IFERROR($AX164*_xlfn.XLOOKUP($C164,$BM$1:$BM$3,BY$1:BY$3)/SUMPRODUCT(_xlfn.XLOOKUP($C164,$BM$1:$BM$3,$BN$1:$BY$3),$BN$4:$BY$4),""),
"")</f>
        <v>0</v>
      </c>
      <c r="BZ164" s="8">
        <f>IF(_xlfn.XLOOKUP($B164,'ELC TECH'!$H:$H,'ELC TECH'!$E:$E)="Non Dispatchable",IFERROR($AX164*_xlfn.XLOOKUP($C164,$BM$1:$BM$3,BZ$1:BZ$3)/SUMPRODUCT(_xlfn.XLOOKUP($C164,$BM$1:$BM$3,$BN$1:$BY$3),$BN$4:$BY$4),""),
"")</f>
        <v>0.18767943648679103</v>
      </c>
      <c r="CA164" s="8">
        <f>IF(_xlfn.XLOOKUP($B164,'ELC TECH'!$H:$H,'ELC TECH'!$E:$E)="Non Dispatchable",IFERROR($AX164*_xlfn.XLOOKUP($C164,$BM$1:$BM$3,CA$1:CA$3)/SUMPRODUCT(_xlfn.XLOOKUP($C164,$BM$1:$BM$3,$BN$1:$BY$3),$BN$4:$BY$4),""),
"")</f>
        <v>0.18767943648679103</v>
      </c>
      <c r="CB164" s="8">
        <f>IF(_xlfn.XLOOKUP($B164,'ELC TECH'!$H:$H,'ELC TECH'!$E:$E)="Non Dispatchable",IFERROR($AX164*_xlfn.XLOOKUP($C164,$BM$1:$BM$3,CB$1:CB$3)/SUMPRODUCT(_xlfn.XLOOKUP($C164,$BM$1:$BM$3,$BN$1:$BY$3),$BN$4:$BY$4),""),
"")</f>
        <v>1.8767943648679102E-2</v>
      </c>
      <c r="CC164" s="8">
        <f>IF(_xlfn.XLOOKUP($B164,'ELC TECH'!$H:$H,'ELC TECH'!$E:$E)="Non Dispatchable",IFERROR($AX164*_xlfn.XLOOKUP($C164,$BM$1:$BM$3,CC$1:CC$3)/SUMPRODUCT(_xlfn.XLOOKUP($C164,$BM$1:$BM$3,$BN$1:$BY$3),$BN$4:$BY$4),""),
"")</f>
        <v>0</v>
      </c>
      <c r="CD164" s="8">
        <f>IF(_xlfn.XLOOKUP($B164,'ELC TECH'!$H:$H,'ELC TECH'!$E:$E)="Non Dispatchable",IFERROR($AX164*_xlfn.XLOOKUP($C164,$BM$1:$BM$3,CD$1:CD$3)/SUMPRODUCT(_xlfn.XLOOKUP($C164,$BM$1:$BM$3,$BN$1:$BY$3),$BN$4:$BY$4),""),
"")</f>
        <v>0.21615614432059935</v>
      </c>
      <c r="CE164" s="8">
        <f>IF(_xlfn.XLOOKUP($B164,'ELC TECH'!$H:$H,'ELC TECH'!$E:$E)="Non Dispatchable",IFERROR($AX164*_xlfn.XLOOKUP($C164,$BM$1:$BM$3,CE$1:CE$3)/SUMPRODUCT(_xlfn.XLOOKUP($C164,$BM$1:$BM$3,$BN$1:$BY$3),$BN$4:$BY$4),""),
"")</f>
        <v>0.21615614432059935</v>
      </c>
      <c r="CF164" s="8">
        <f>IF(_xlfn.XLOOKUP($B164,'ELC TECH'!$H:$H,'ELC TECH'!$E:$E)="Non Dispatchable",IFERROR($AX164*_xlfn.XLOOKUP($C164,$BM$1:$BM$3,CF$1:CF$3)/SUMPRODUCT(_xlfn.XLOOKUP($C164,$BM$1:$BM$3,$BN$1:$BY$3),$BN$4:$BY$4),""),
"")</f>
        <v>2.1615614432059938E-2</v>
      </c>
      <c r="CG164" s="8">
        <f>IF(_xlfn.XLOOKUP($B164,'ELC TECH'!$H:$H,'ELC TECH'!$E:$E)="Non Dispatchable",IFERROR($AX164*_xlfn.XLOOKUP($C164,$BM$1:$BM$3,CG$1:CG$3)/SUMPRODUCT(_xlfn.XLOOKUP($C164,$BM$1:$BM$3,$BN$1:$BY$3),$BN$4:$BY$4),""),
"")</f>
        <v>0</v>
      </c>
      <c r="CH164" s="8">
        <f>IF(_xlfn.XLOOKUP($B164,'ELC TECH'!$H:$H,'ELC TECH'!$E:$E)="Non Dispatchable",IFERROR($AX164*_xlfn.XLOOKUP($C164,$BM$1:$BM$3,CH$1:CH$3)/SUMPRODUCT(_xlfn.XLOOKUP($C164,$BM$1:$BM$3,$BN$1:$BY$3),$BN$4:$BY$4),""),
"")</f>
        <v>0.18083336994147473</v>
      </c>
      <c r="CI164" s="8">
        <f>IF(_xlfn.XLOOKUP($B164,'ELC TECH'!$H:$H,'ELC TECH'!$E:$E)="Non Dispatchable",IFERROR($AX164*_xlfn.XLOOKUP($C164,$BM$1:$BM$3,CI$1:CI$3)/SUMPRODUCT(_xlfn.XLOOKUP($C164,$BM$1:$BM$3,$BN$1:$BY$3),$BN$4:$BY$4),""),
"")</f>
        <v>0.18083336994147473</v>
      </c>
      <c r="CJ164" s="8">
        <f>IF(_xlfn.XLOOKUP($B164,'ELC TECH'!$H:$H,'ELC TECH'!$E:$E)="Non Dispatchable",IFERROR($AX164*_xlfn.XLOOKUP($C164,$BM$1:$BM$3,CJ$1:CJ$3)/SUMPRODUCT(_xlfn.XLOOKUP($C164,$BM$1:$BM$3,$BN$1:$BY$3),$BN$4:$BY$4),""),
"")</f>
        <v>1.8083336994147475E-2</v>
      </c>
      <c r="CK164" s="8">
        <f>IF(_xlfn.XLOOKUP($B164,'ELC TECH'!$H:$H,'ELC TECH'!$E:$E)="Non Dispatchable",IFERROR($AX164*_xlfn.XLOOKUP($C164,$BM$1:$BM$3,CK$1:CK$3)/SUMPRODUCT(_xlfn.XLOOKUP($C164,$BM$1:$BM$3,$BN$1:$BY$3),$BN$4:$BY$4),""),
"")</f>
        <v>0</v>
      </c>
      <c r="CL164" s="8" t="str">
        <f>IF(_xlfn.XLOOKUP($B164,'ELC TECH'!$H:$H,'ELC TECH'!$E:$E)="Storage",CL$4*$BF164,"")</f>
        <v/>
      </c>
      <c r="CM164" s="8" t="str">
        <f>IF(_xlfn.XLOOKUP($B164,'ELC TECH'!$H:$H,'ELC TECH'!$E:$E)="Storage",CM$4*$BF164,"")</f>
        <v/>
      </c>
      <c r="CN164" s="8" t="str">
        <f>IF(_xlfn.XLOOKUP($B164,'ELC TECH'!$H:$H,'ELC TECH'!$E:$E)="Storage",CN$4*$BF164,"")</f>
        <v/>
      </c>
      <c r="CO164" s="8" t="str">
        <f>IF(_xlfn.XLOOKUP($B164,'ELC TECH'!$H:$H,'ELC TECH'!$E:$E)="Storage",CO$4*$BF164,"")</f>
        <v/>
      </c>
      <c r="CP164" s="8" t="str">
        <f>IF(_xlfn.XLOOKUP($B164,'ELC TECH'!$H:$H,'ELC TECH'!$E:$E)="Storage",CP$4*$BF164,"")</f>
        <v/>
      </c>
      <c r="CQ164" s="8" t="str">
        <f>IF(_xlfn.XLOOKUP($B164,'ELC TECH'!$H:$H,'ELC TECH'!$E:$E)="Storage",CQ$4*$BF164,"")</f>
        <v/>
      </c>
      <c r="CR164" s="8" t="str">
        <f>IF(_xlfn.XLOOKUP($B164,'ELC TECH'!$H:$H,'ELC TECH'!$E:$E)="Storage",CR$4*$BF164,"")</f>
        <v/>
      </c>
      <c r="CS164" s="8" t="str">
        <f>IF(_xlfn.XLOOKUP($B164,'ELC TECH'!$H:$H,'ELC TECH'!$E:$E)="Storage",CS$4*$BF164,"")</f>
        <v/>
      </c>
      <c r="CT164" s="8" t="str">
        <f>IF(_xlfn.XLOOKUP($B164,'ELC TECH'!$H:$H,'ELC TECH'!$E:$E)="Storage",CT$4*$BF164,"")</f>
        <v/>
      </c>
      <c r="CU164" s="8" t="str">
        <f>IF(_xlfn.XLOOKUP($B164,'ELC TECH'!$H:$H,'ELC TECH'!$E:$E)="Storage",CU$4*$BF164,"")</f>
        <v/>
      </c>
      <c r="CV164" s="8" t="str">
        <f>IF(_xlfn.XLOOKUP($B164,'ELC TECH'!$H:$H,'ELC TECH'!$E:$E)="Storage",CV$4*$BF164,"")</f>
        <v/>
      </c>
      <c r="CW164" s="8" t="str">
        <f>IF(_xlfn.XLOOKUP($B164,'ELC TECH'!$H:$H,'ELC TECH'!$E:$E)="Storage",CW$4*$BF164,"")</f>
        <v/>
      </c>
      <c r="CX164" s="8" t="str">
        <f>IF(_xlfn.XLOOKUP($B164,'ELC TECH'!$H:$H,'ELC TECH'!$E:$E)="Storage",CX$4*$BF164,"")</f>
        <v/>
      </c>
      <c r="CY164" s="8" t="str">
        <f>IF(_xlfn.XLOOKUP($B164,'ELC TECH'!$H:$H,'ELC TECH'!$E:$E)="Storage",CY$4*$BF164,"")</f>
        <v/>
      </c>
      <c r="CZ164" s="8" t="str">
        <f>IF(_xlfn.XLOOKUP($B164,'ELC TECH'!$H:$H,'ELC TECH'!$E:$E)="Storage",CZ$4*$BF164,"")</f>
        <v/>
      </c>
      <c r="DA164" s="8" t="str">
        <f>IF(_xlfn.XLOOKUP($B164,'ELC TECH'!$H:$H,'ELC TECH'!$E:$E)="Storage",DA$4*$BF164,"")</f>
        <v/>
      </c>
      <c r="DB164" s="8" t="str">
        <f>IF(_xlfn.XLOOKUP($B164,'ELC TECH'!$H:$H,'ELC TECH'!$E:$E)="Storage",DB$4*$BF164,"")</f>
        <v/>
      </c>
      <c r="DC164" s="8" t="str">
        <f>IF(_xlfn.XLOOKUP($B164,'ELC TECH'!$H:$H,'ELC TECH'!$E:$E)="Storage",DC$4*$BF164,"")</f>
        <v/>
      </c>
      <c r="DD164" s="8" t="str">
        <f>IF(_xlfn.XLOOKUP($B164,'ELC TECH'!$H:$H,'ELC TECH'!$E:$E)="Storage",DD$4*$BF164,"")</f>
        <v/>
      </c>
      <c r="DE164" s="8" t="str">
        <f>IF(_xlfn.XLOOKUP($B164,'ELC TECH'!$H:$H,'ELC TECH'!$E:$E)="Storage",DE$4*$BF164,"")</f>
        <v/>
      </c>
      <c r="DF164" s="8" t="str">
        <f>IF(_xlfn.XLOOKUP($B164,'ELC TECH'!$H:$H,'ELC TECH'!$E:$E)="Storage",DF$4*$BF164,"")</f>
        <v/>
      </c>
      <c r="DG164" s="8" t="str">
        <f>IF(_xlfn.XLOOKUP($B164,'ELC TECH'!$H:$H,'ELC TECH'!$E:$E)="Storage",DG$4*$BF164,"")</f>
        <v/>
      </c>
      <c r="DH164" s="8" t="str">
        <f>IF(_xlfn.XLOOKUP($B164,'ELC TECH'!$H:$H,'ELC TECH'!$E:$E)="Storage",DH$4*$BF164,"")</f>
        <v/>
      </c>
      <c r="DI164" s="8" t="str">
        <f>IF(_xlfn.XLOOKUP($B164,'ELC TECH'!$H:$H,'ELC TECH'!$E:$E)="Storage",DI$4*$BF164,"")</f>
        <v/>
      </c>
    </row>
    <row r="165" spans="2:113" x14ac:dyDescent="0.25">
      <c r="B165" t="str">
        <f>IF('ELC TECH'!I158=0,"*",'ELC TECH'!H158)</f>
        <v>ELCSOLDCERDPV120</v>
      </c>
      <c r="C165" t="str">
        <f>IF(_xlfn.XLOOKUP(_xlfn.XLOOKUP(B165,'ELC TECH'!$H:$H,'ELC TECH'!$G:$G),List!C:C,List!B:B)="STG",D165,"ELC"&amp;_xlfn.XLOOKUP(_xlfn.XLOOKUP(B165,'ELC TECH'!H:H,'ELC TECH'!G:G),List!C:C,List!B:B))</f>
        <v>ELCSOL</v>
      </c>
      <c r="D165" t="s">
        <v>545</v>
      </c>
      <c r="E165">
        <f>_xlfn.XLOOKUP(B165,'ELC TECH'!H:H,'ELC TECH'!D:D)</f>
        <v>2020</v>
      </c>
      <c r="F165">
        <f>_xlfn.XLOOKUP(B165,'ELC TECH'!H:H,'ELC TECH'!K:K)</f>
        <v>30</v>
      </c>
      <c r="G165">
        <f t="shared" si="8"/>
        <v>31.535999999999998</v>
      </c>
      <c r="H165">
        <f>IF(_xlfn.XLOOKUP(B165,'ELC TECH'!$H:$H,'ELC TECH'!$E:$E)="Storage",0.3,IF(_xlfn.XLOOKUP(B165,'ELC TECH'!$H:$H,'ELC TECH'!$E:$E)="Baseload",0.9,IF(_xlfn.XLOOKUP(B165,'ELC TECH'!$H:$H,'ELC TECH'!$E:$E)="Non Dispatchable",0.05,IF(_xlfn.XLOOKUP(B165,'ELC TECH'!$H:$H,'ELC TECH'!$E:$E)="Dispatchable",0.9,1))))</f>
        <v>0.05</v>
      </c>
      <c r="I165" s="13">
        <f>IF(_xlfn.XLOOKUP(B165,'ELC TECH'!H:H,'ELC TECH'!J:J)="","",_xlfn.XLOOKUP(B165,'ELC TECH'!H:H,'ELC TECH'!J:J))</f>
        <v>700.17955000000006</v>
      </c>
      <c r="J165" s="12">
        <f>IF(_xlfn.XLOOKUP($B165,'ELC TECH'!$H:$H,'ELC TECH'!$E:$E)="Storage","",IF(_xlfn.XLOOKUP($B165,'ELC TECH'!$H:$H,'ELC TECH'!AK:AK)="",1,_xlfn.XLOOKUP($B165,'ELC TECH'!$H:$H,'ELC TECH'!AK:AK)))</f>
        <v>1</v>
      </c>
      <c r="K165" s="12">
        <f>IF(_xlfn.XLOOKUP($B165,'ELC TECH'!$H:$H,'ELC TECH'!$E:$E)="Storage","",IF(_xlfn.XLOOKUP($B165,'ELC TECH'!$H:$H,'ELC TECH'!AL:AL)="",1,_xlfn.XLOOKUP($B165,'ELC TECH'!$H:$H,'ELC TECH'!AL:AL)))</f>
        <v>1</v>
      </c>
      <c r="L165" s="12">
        <f>IF(_xlfn.XLOOKUP($B165,'ELC TECH'!$H:$H,'ELC TECH'!$E:$E)="Storage","",IF(_xlfn.XLOOKUP($B165,'ELC TECH'!$H:$H,'ELC TECH'!AM:AM)="",1,_xlfn.XLOOKUP($B165,'ELC TECH'!$H:$H,'ELC TECH'!AM:AM)))</f>
        <v>1</v>
      </c>
      <c r="M165" s="12">
        <f>IF(_xlfn.XLOOKUP($B165,'ELC TECH'!$H:$H,'ELC TECH'!$E:$E)="Storage","",IF(_xlfn.XLOOKUP($B165,'ELC TECH'!$H:$H,'ELC TECH'!AN:AN)="",1,_xlfn.XLOOKUP($B165,'ELC TECH'!$H:$H,'ELC TECH'!AN:AN)))</f>
        <v>1</v>
      </c>
      <c r="N165" s="12">
        <f>IF(_xlfn.XLOOKUP($B165,'ELC TECH'!$H:$H,'ELC TECH'!$E:$E)="Storage","",IF(_xlfn.XLOOKUP($B165,'ELC TECH'!$H:$H,'ELC TECH'!AO:AO)="",1,_xlfn.XLOOKUP($B165,'ELC TECH'!$H:$H,'ELC TECH'!AO:AO)))</f>
        <v>1</v>
      </c>
      <c r="O165" s="12">
        <f>IF(_xlfn.XLOOKUP($B165,'ELC TECH'!$H:$H,'ELC TECH'!$E:$E)="Storage","",IF(_xlfn.XLOOKUP($B165,'ELC TECH'!$H:$H,'ELC TECH'!AP:AP)="",1,_xlfn.XLOOKUP($B165,'ELC TECH'!$H:$H,'ELC TECH'!AP:AP)))</f>
        <v>1</v>
      </c>
      <c r="P165" s="12">
        <f>IF(_xlfn.XLOOKUP($B165,'ELC TECH'!$H:$H,'ELC TECH'!$E:$E)="Storage","",IF(_xlfn.XLOOKUP($B165,'ELC TECH'!$H:$H,'ELC TECH'!AQ:AQ)="",1,_xlfn.XLOOKUP($B165,'ELC TECH'!$H:$H,'ELC TECH'!AQ:AQ)))</f>
        <v>1</v>
      </c>
      <c r="Q165" s="12">
        <f>IF(_xlfn.XLOOKUP($B165,'ELC TECH'!$H:$H,'ELC TECH'!$E:$E)="Storage","",IF(_xlfn.XLOOKUP($B165,'ELC TECH'!$H:$H,'ELC TECH'!AR:AR)="",1,_xlfn.XLOOKUP($B165,'ELC TECH'!$H:$H,'ELC TECH'!AR:AR)))</f>
        <v>1</v>
      </c>
      <c r="R165" s="12" t="str">
        <f>IF(_xlfn.XLOOKUP($B165,'ELC TECH'!$H:$H,'ELC TECH'!$E:$E)&lt;&gt;"Storage","",IF(_xlfn.XLOOKUP($B165,'ELC TECH'!$H:$H,'ELC TECH'!AK:AK)="",0.8,_xlfn.XLOOKUP($B165,'ELC TECH'!$H:$H,'ELC TECH'!AK:AK)))</f>
        <v/>
      </c>
      <c r="S165" s="12" t="str">
        <f>IF(_xlfn.XLOOKUP($B165,'ELC TECH'!$H:$H,'ELC TECH'!$E:$E)&lt;&gt;"Storage","",IF(_xlfn.XLOOKUP($B165,'ELC TECH'!$H:$H,'ELC TECH'!AL:AL)="",0.8,_xlfn.XLOOKUP($B165,'ELC TECH'!$H:$H,'ELC TECH'!AL:AL)))</f>
        <v/>
      </c>
      <c r="T165" s="12" t="str">
        <f>IF(_xlfn.XLOOKUP($B165,'ELC TECH'!$H:$H,'ELC TECH'!$E:$E)&lt;&gt;"Storage","",IF(_xlfn.XLOOKUP($B165,'ELC TECH'!$H:$H,'ELC TECH'!AM:AM)="",0.8,_xlfn.XLOOKUP($B165,'ELC TECH'!$H:$H,'ELC TECH'!AM:AM)))</f>
        <v/>
      </c>
      <c r="U165" s="12" t="str">
        <f>IF(_xlfn.XLOOKUP($B165,'ELC TECH'!$H:$H,'ELC TECH'!$E:$E)&lt;&gt;"Storage","",IF(_xlfn.XLOOKUP($B165,'ELC TECH'!$H:$H,'ELC TECH'!AN:AN)="",0.8,_xlfn.XLOOKUP($B165,'ELC TECH'!$H:$H,'ELC TECH'!AN:AN)))</f>
        <v/>
      </c>
      <c r="V165" s="12" t="str">
        <f>IF(_xlfn.XLOOKUP($B165,'ELC TECH'!$H:$H,'ELC TECH'!$E:$E)&lt;&gt;"Storage","",IF(_xlfn.XLOOKUP($B165,'ELC TECH'!$H:$H,'ELC TECH'!AO:AO)="",0.8,_xlfn.XLOOKUP($B165,'ELC TECH'!$H:$H,'ELC TECH'!AO:AO)))</f>
        <v/>
      </c>
      <c r="W165" s="12" t="str">
        <f>IF(_xlfn.XLOOKUP($B165,'ELC TECH'!$H:$H,'ELC TECH'!$E:$E)&lt;&gt;"Storage","",IF(_xlfn.XLOOKUP($B165,'ELC TECH'!$H:$H,'ELC TECH'!AP:AP)="",0.8,_xlfn.XLOOKUP($B165,'ELC TECH'!$H:$H,'ELC TECH'!AP:AP)))</f>
        <v/>
      </c>
      <c r="X165" s="12" t="str">
        <f>IF(_xlfn.XLOOKUP($B165,'ELC TECH'!$H:$H,'ELC TECH'!$E:$E)&lt;&gt;"Storage","",IF(_xlfn.XLOOKUP($B165,'ELC TECH'!$H:$H,'ELC TECH'!AQ:AQ)="",0.8,_xlfn.XLOOKUP($B165,'ELC TECH'!$H:$H,'ELC TECH'!AQ:AQ)))</f>
        <v/>
      </c>
      <c r="Y165" s="12" t="str">
        <f>IF(_xlfn.XLOOKUP($B165,'ELC TECH'!$H:$H,'ELC TECH'!$E:$E)&lt;&gt;"Storage","",IF(_xlfn.XLOOKUP($B165,'ELC TECH'!$H:$H,'ELC TECH'!AR:AR)="",0.8,_xlfn.XLOOKUP($B165,'ELC TECH'!$H:$H,'ELC TECH'!AR:AR)))</f>
        <v/>
      </c>
      <c r="Z165" s="15">
        <f>_xlfn.XLOOKUP($B165,'ELC TECH'!$H:$H,'ELC TECH'!M:M)</f>
        <v>3232.554589138178</v>
      </c>
      <c r="AA165" s="15">
        <f>_xlfn.XLOOKUP($B165,'ELC TECH'!$H:$H,'ELC TECH'!N:N)</f>
        <v>2974.9201081634578</v>
      </c>
      <c r="AB165" s="15">
        <f>_xlfn.XLOOKUP($B165,'ELC TECH'!$H:$H,'ELC TECH'!O:O)</f>
        <v>2378.9027813256071</v>
      </c>
      <c r="AC165" s="15">
        <f>_xlfn.XLOOKUP($B165,'ELC TECH'!$H:$H,'ELC TECH'!P:P)</f>
        <v>1782.885454487767</v>
      </c>
      <c r="AD165" s="15">
        <f>_xlfn.XLOOKUP($B165,'ELC TECH'!$H:$H,'ELC TECH'!Q:Q)</f>
        <v>1610.1995746889211</v>
      </c>
      <c r="AE165" s="15">
        <f>_xlfn.XLOOKUP($B165,'ELC TECH'!$H:$H,'ELC TECH'!R:R)</f>
        <v>1437.5136948900749</v>
      </c>
      <c r="AF165" s="15">
        <f>_xlfn.XLOOKUP($B165,'ELC TECH'!$H:$H,'ELC TECH'!S:S)</f>
        <v>1264.827815091229</v>
      </c>
      <c r="AG165" s="15">
        <f>_xlfn.XLOOKUP($B165,'ELC TECH'!$H:$H,'ELC TECH'!T:T)</f>
        <v>1264.827815091229</v>
      </c>
      <c r="AH165" s="15">
        <f>_xlfn.XLOOKUP($B165,'ELC TECH'!$H:$H,'ELC TECH'!U:U)</f>
        <v>34.293446157052799</v>
      </c>
      <c r="AI165" s="15">
        <f>_xlfn.XLOOKUP($B165,'ELC TECH'!$H:$H,'ELC TECH'!V:V)</f>
        <v>31.784509373254991</v>
      </c>
      <c r="AJ165" s="15">
        <f>_xlfn.XLOOKUP($B165,'ELC TECH'!$H:$H,'ELC TECH'!W:W)</f>
        <v>26.108139740981851</v>
      </c>
      <c r="AK165" s="15">
        <f>_xlfn.XLOOKUP($B165,'ELC TECH'!$H:$H,'ELC TECH'!X:X)</f>
        <v>20.431770108708822</v>
      </c>
      <c r="AL165" s="15">
        <f>_xlfn.XLOOKUP($B165,'ELC TECH'!$H:$H,'ELC TECH'!Y:Y)</f>
        <v>18.787138585640339</v>
      </c>
      <c r="AM165" s="15">
        <f>_xlfn.XLOOKUP($B165,'ELC TECH'!$H:$H,'ELC TECH'!Z:Z)</f>
        <v>17.142507062571742</v>
      </c>
      <c r="AN165" s="15">
        <f>_xlfn.XLOOKUP($B165,'ELC TECH'!$H:$H,'ELC TECH'!AA:AA)</f>
        <v>15.49787553950326</v>
      </c>
      <c r="AO165" s="15">
        <f>_xlfn.XLOOKUP($B165,'ELC TECH'!$H:$H,'ELC TECH'!AB:AB)</f>
        <v>15.49787553950326</v>
      </c>
      <c r="AP165" s="15">
        <f>_xlfn.XLOOKUP($B165,'ELC TECH'!$H:$H,'ELC TECH'!AC:AC)</f>
        <v>0</v>
      </c>
      <c r="AQ165" s="15">
        <f>_xlfn.XLOOKUP($B165,'ELC TECH'!$H:$H,'ELC TECH'!AD:AD)</f>
        <v>0</v>
      </c>
      <c r="AR165" s="15">
        <f>_xlfn.XLOOKUP($B165,'ELC TECH'!$H:$H,'ELC TECH'!AE:AE)</f>
        <v>0</v>
      </c>
      <c r="AS165" s="15">
        <f>_xlfn.XLOOKUP($B165,'ELC TECH'!$H:$H,'ELC TECH'!AF:AF)</f>
        <v>0</v>
      </c>
      <c r="AT165" s="15">
        <f>_xlfn.XLOOKUP($B165,'ELC TECH'!$H:$H,'ELC TECH'!AG:AG)</f>
        <v>0</v>
      </c>
      <c r="AU165" s="15">
        <f>_xlfn.XLOOKUP($B165,'ELC TECH'!$H:$H,'ELC TECH'!AH:AH)</f>
        <v>0</v>
      </c>
      <c r="AV165" s="15">
        <f>_xlfn.XLOOKUP($B165,'ELC TECH'!$H:$H,'ELC TECH'!AI:AI)</f>
        <v>0</v>
      </c>
      <c r="AW165" s="15">
        <f>_xlfn.XLOOKUP($B165,'ELC TECH'!$H:$H,'ELC TECH'!AJ:AJ)</f>
        <v>0</v>
      </c>
      <c r="AX165" s="12">
        <f>IF(_xlfn.XLOOKUP($B165,'ELC TECH'!$H:$H,'ELC TECH'!$E:$E)="Storage","",_xlfn.XLOOKUP($B165,'ELC TECH'!$H:$H,'ELC TECH'!AS:AS))</f>
        <v>0.18503063549930401</v>
      </c>
      <c r="AY165" s="12">
        <f>IF(_xlfn.XLOOKUP($B165,'ELC TECH'!$H:$H,'ELC TECH'!$E:$E)="Storage","",_xlfn.XLOOKUP($B165,'ELC TECH'!$H:$H,'ELC TECH'!AT:AT))</f>
        <v>0.18581621794522901</v>
      </c>
      <c r="AZ165" s="12">
        <f>IF(_xlfn.XLOOKUP($B165,'ELC TECH'!$H:$H,'ELC TECH'!$E:$E)="Storage","",_xlfn.XLOOKUP($B165,'ELC TECH'!$H:$H,'ELC TECH'!AU:AU))</f>
        <v>0.186798196002635</v>
      </c>
      <c r="BA165" s="12">
        <f>IF(_xlfn.XLOOKUP($B165,'ELC TECH'!$H:$H,'ELC TECH'!$E:$E)="Storage","",_xlfn.XLOOKUP($B165,'ELC TECH'!$H:$H,'ELC TECH'!AV:AV))</f>
        <v>0.18778017406004199</v>
      </c>
      <c r="BB165" s="12">
        <f>IF(_xlfn.XLOOKUP($B165,'ELC TECH'!$H:$H,'ELC TECH'!$E:$E)="Storage","",_xlfn.XLOOKUP($B165,'ELC TECH'!$H:$H,'ELC TECH'!AW:AW))</f>
        <v>0.18939658692404299</v>
      </c>
      <c r="BC165" s="12">
        <f>IF(_xlfn.XLOOKUP($B165,'ELC TECH'!$H:$H,'ELC TECH'!$E:$E)="Storage","",_xlfn.XLOOKUP($B165,'ELC TECH'!$H:$H,'ELC TECH'!AX:AX))</f>
        <v>0.19101299978804501</v>
      </c>
      <c r="BD165" s="12">
        <f>IF(_xlfn.XLOOKUP($B165,'ELC TECH'!$H:$H,'ELC TECH'!$E:$E)="Storage","",_xlfn.XLOOKUP($B165,'ELC TECH'!$H:$H,'ELC TECH'!AY:AY))</f>
        <v>0.192629412652047</v>
      </c>
      <c r="BE165" s="12">
        <f>IF(_xlfn.XLOOKUP($B165,'ELC TECH'!$H:$H,'ELC TECH'!$E:$E)="Storage","",_xlfn.XLOOKUP($B165,'ELC TECH'!$H:$H,'ELC TECH'!AZ:AZ))</f>
        <v>0.192629412652047</v>
      </c>
      <c r="BF165" s="12" t="str">
        <f>IF(_xlfn.XLOOKUP($B165,'ELC TECH'!$H:$H,'ELC TECH'!$E:$E)="Storage",_xlfn.XLOOKUP($B165,'ELC TECH'!$H:$H,'ELC TECH'!AS:AS),"")</f>
        <v/>
      </c>
      <c r="BG165" s="12" t="str">
        <f>IF(_xlfn.XLOOKUP($B165,'ELC TECH'!$H:$H,'ELC TECH'!$E:$E)="Storage",_xlfn.XLOOKUP($B165,'ELC TECH'!$H:$H,'ELC TECH'!AT:AT),"")</f>
        <v/>
      </c>
      <c r="BH165" s="12" t="str">
        <f>IF(_xlfn.XLOOKUP($B165,'ELC TECH'!$H:$H,'ELC TECH'!$E:$E)="Storage",_xlfn.XLOOKUP($B165,'ELC TECH'!$H:$H,'ELC TECH'!AU:AU),"")</f>
        <v/>
      </c>
      <c r="BI165" s="12" t="str">
        <f>IF(_xlfn.XLOOKUP($B165,'ELC TECH'!$H:$H,'ELC TECH'!$E:$E)="Storage",_xlfn.XLOOKUP($B165,'ELC TECH'!$H:$H,'ELC TECH'!AV:AV),"")</f>
        <v/>
      </c>
      <c r="BJ165" s="12" t="str">
        <f>IF(_xlfn.XLOOKUP($B165,'ELC TECH'!$H:$H,'ELC TECH'!$E:$E)="Storage",_xlfn.XLOOKUP($B165,'ELC TECH'!$H:$H,'ELC TECH'!AW:AW),"")</f>
        <v/>
      </c>
      <c r="BK165" s="12" t="str">
        <f>IF(_xlfn.XLOOKUP($B165,'ELC TECH'!$H:$H,'ELC TECH'!$E:$E)="Storage",_xlfn.XLOOKUP($B165,'ELC TECH'!$H:$H,'ELC TECH'!AX:AX),"")</f>
        <v/>
      </c>
      <c r="BL165" s="12" t="str">
        <f>IF(_xlfn.XLOOKUP($B165,'ELC TECH'!$H:$H,'ELC TECH'!$E:$E)="Storage",_xlfn.XLOOKUP($B165,'ELC TECH'!$H:$H,'ELC TECH'!AY:AY),"")</f>
        <v/>
      </c>
      <c r="BM165" s="12" t="str">
        <f>IF(_xlfn.XLOOKUP($B165,'ELC TECH'!$H:$H,'ELC TECH'!$E:$E)="Storage",_xlfn.XLOOKUP($B165,'ELC TECH'!$H:$H,'ELC TECH'!AZ:AZ),"")</f>
        <v/>
      </c>
      <c r="BN165" s="8">
        <f>IF(_xlfn.XLOOKUP($B165,'ELC TECH'!$H:$H,'ELC TECH'!$E:$E)="Non Dispatchable",IFERROR($AX165*_xlfn.XLOOKUP($C165,$BM$1:$BM$3,BN$1:BN$3)/SUMPRODUCT(_xlfn.XLOOKUP($C165,$BM$1:$BM$3,$BN$1:$BY$3),$BN$4:$BY$4),""),
"")</f>
        <v>0.28959188609099301</v>
      </c>
      <c r="BO165" s="8">
        <f>IF(_xlfn.XLOOKUP($B165,'ELC TECH'!$H:$H,'ELC TECH'!$E:$E)="Non Dispatchable",IFERROR($AX165*_xlfn.XLOOKUP($C165,$BM$1:$BM$3,BO$1:BO$3)/SUMPRODUCT(_xlfn.XLOOKUP($C165,$BM$1:$BM$3,$BN$1:$BY$3),$BN$4:$BY$4),""),
"")</f>
        <v>0.28959188609099301</v>
      </c>
      <c r="BP165" s="8">
        <f>IF(_xlfn.XLOOKUP($B165,'ELC TECH'!$H:$H,'ELC TECH'!$E:$E)="Non Dispatchable",IFERROR($AX165*_xlfn.XLOOKUP($C165,$BM$1:$BM$3,BP$1:BP$3)/SUMPRODUCT(_xlfn.XLOOKUP($C165,$BM$1:$BM$3,$BN$1:$BY$3),$BN$4:$BY$4),""),
"")</f>
        <v>2.8959188609099303E-2</v>
      </c>
      <c r="BQ165" s="8">
        <f>IF(_xlfn.XLOOKUP($B165,'ELC TECH'!$H:$H,'ELC TECH'!$E:$E)="Non Dispatchable",IFERROR($AX165*_xlfn.XLOOKUP($C165,$BM$1:$BM$3,BQ$1:BQ$3)/SUMPRODUCT(_xlfn.XLOOKUP($C165,$BM$1:$BM$3,$BN$1:$BY$3),$BN$4:$BY$4),""),
"")</f>
        <v>0</v>
      </c>
      <c r="BR165" s="8">
        <f>IF(_xlfn.XLOOKUP($B165,'ELC TECH'!$H:$H,'ELC TECH'!$E:$E)="Non Dispatchable",IFERROR($AX165*_xlfn.XLOOKUP($C165,$BM$1:$BM$3,BR$1:BR$3)/SUMPRODUCT(_xlfn.XLOOKUP($C165,$BM$1:$BM$3,$BN$1:$BY$3),$BN$4:$BY$4),""),
"")</f>
        <v>0.33353182797074771</v>
      </c>
      <c r="BS165" s="8">
        <f>IF(_xlfn.XLOOKUP($B165,'ELC TECH'!$H:$H,'ELC TECH'!$E:$E)="Non Dispatchable",IFERROR($AX165*_xlfn.XLOOKUP($C165,$BM$1:$BM$3,BS$1:BS$3)/SUMPRODUCT(_xlfn.XLOOKUP($C165,$BM$1:$BM$3,$BN$1:$BY$3),$BN$4:$BY$4),""),
"")</f>
        <v>0.33353182797074771</v>
      </c>
      <c r="BT165" s="8">
        <f>IF(_xlfn.XLOOKUP($B165,'ELC TECH'!$H:$H,'ELC TECH'!$E:$E)="Non Dispatchable",IFERROR($AX165*_xlfn.XLOOKUP($C165,$BM$1:$BM$3,BT$1:BT$3)/SUMPRODUCT(_xlfn.XLOOKUP($C165,$BM$1:$BM$3,$BN$1:$BY$3),$BN$4:$BY$4),""),
"")</f>
        <v>3.3353182797074776E-2</v>
      </c>
      <c r="BU165" s="8">
        <f>IF(_xlfn.XLOOKUP($B165,'ELC TECH'!$H:$H,'ELC TECH'!$E:$E)="Non Dispatchable",IFERROR($AX165*_xlfn.XLOOKUP($C165,$BM$1:$BM$3,BU$1:BU$3)/SUMPRODUCT(_xlfn.XLOOKUP($C165,$BM$1:$BM$3,$BN$1:$BY$3),$BN$4:$BY$4),""),
"")</f>
        <v>0</v>
      </c>
      <c r="BV165" s="8">
        <f>IF(_xlfn.XLOOKUP($B165,'ELC TECH'!$H:$H,'ELC TECH'!$E:$E)="Non Dispatchable",IFERROR($AX165*_xlfn.XLOOKUP($C165,$BM$1:$BM$3,BV$1:BV$3)/SUMPRODUCT(_xlfn.XLOOKUP($C165,$BM$1:$BM$3,$BN$1:$BY$3),$BN$4:$BY$4),""),
"")</f>
        <v>0.27902831364920272</v>
      </c>
      <c r="BW165" s="8">
        <f>IF(_xlfn.XLOOKUP($B165,'ELC TECH'!$H:$H,'ELC TECH'!$E:$E)="Non Dispatchable",IFERROR($AX165*_xlfn.XLOOKUP($C165,$BM$1:$BM$3,BW$1:BW$3)/SUMPRODUCT(_xlfn.XLOOKUP($C165,$BM$1:$BM$3,$BN$1:$BY$3),$BN$4:$BY$4),""),
"")</f>
        <v>0.27902831364920272</v>
      </c>
      <c r="BX165" s="8">
        <f>IF(_xlfn.XLOOKUP($B165,'ELC TECH'!$H:$H,'ELC TECH'!$E:$E)="Non Dispatchable",IFERROR($AX165*_xlfn.XLOOKUP($C165,$BM$1:$BM$3,BX$1:BX$3)/SUMPRODUCT(_xlfn.XLOOKUP($C165,$BM$1:$BM$3,$BN$1:$BY$3),$BN$4:$BY$4),""),
"")</f>
        <v>2.7902831364920277E-2</v>
      </c>
      <c r="BY165" s="8">
        <f>IF(_xlfn.XLOOKUP($B165,'ELC TECH'!$H:$H,'ELC TECH'!$E:$E)="Non Dispatchable",IFERROR($AX165*_xlfn.XLOOKUP($C165,$BM$1:$BM$3,BY$1:BY$3)/SUMPRODUCT(_xlfn.XLOOKUP($C165,$BM$1:$BM$3,$BN$1:$BY$3),$BN$4:$BY$4),""),
"")</f>
        <v>0</v>
      </c>
      <c r="BZ165" s="8">
        <f>IF(_xlfn.XLOOKUP($B165,'ELC TECH'!$H:$H,'ELC TECH'!$E:$E)="Non Dispatchable",IFERROR($AX165*_xlfn.XLOOKUP($C165,$BM$1:$BM$3,BZ$1:BZ$3)/SUMPRODUCT(_xlfn.XLOOKUP($C165,$BM$1:$BM$3,$BN$1:$BY$3),$BN$4:$BY$4),""),
"")</f>
        <v>0.28959188609099301</v>
      </c>
      <c r="CA165" s="8">
        <f>IF(_xlfn.XLOOKUP($B165,'ELC TECH'!$H:$H,'ELC TECH'!$E:$E)="Non Dispatchable",IFERROR($AX165*_xlfn.XLOOKUP($C165,$BM$1:$BM$3,CA$1:CA$3)/SUMPRODUCT(_xlfn.XLOOKUP($C165,$BM$1:$BM$3,$BN$1:$BY$3),$BN$4:$BY$4),""),
"")</f>
        <v>0.28959188609099301</v>
      </c>
      <c r="CB165" s="8">
        <f>IF(_xlfn.XLOOKUP($B165,'ELC TECH'!$H:$H,'ELC TECH'!$E:$E)="Non Dispatchable",IFERROR($AX165*_xlfn.XLOOKUP($C165,$BM$1:$BM$3,CB$1:CB$3)/SUMPRODUCT(_xlfn.XLOOKUP($C165,$BM$1:$BM$3,$BN$1:$BY$3),$BN$4:$BY$4),""),
"")</f>
        <v>2.8959188609099303E-2</v>
      </c>
      <c r="CC165" s="8">
        <f>IF(_xlfn.XLOOKUP($B165,'ELC TECH'!$H:$H,'ELC TECH'!$E:$E)="Non Dispatchable",IFERROR($AX165*_xlfn.XLOOKUP($C165,$BM$1:$BM$3,CC$1:CC$3)/SUMPRODUCT(_xlfn.XLOOKUP($C165,$BM$1:$BM$3,$BN$1:$BY$3),$BN$4:$BY$4),""),
"")</f>
        <v>0</v>
      </c>
      <c r="CD165" s="8">
        <f>IF(_xlfn.XLOOKUP($B165,'ELC TECH'!$H:$H,'ELC TECH'!$E:$E)="Non Dispatchable",IFERROR($AX165*_xlfn.XLOOKUP($C165,$BM$1:$BM$3,CD$1:CD$3)/SUMPRODUCT(_xlfn.XLOOKUP($C165,$BM$1:$BM$3,$BN$1:$BY$3),$BN$4:$BY$4),""),
"")</f>
        <v>0.33353182797074771</v>
      </c>
      <c r="CE165" s="8">
        <f>IF(_xlfn.XLOOKUP($B165,'ELC TECH'!$H:$H,'ELC TECH'!$E:$E)="Non Dispatchable",IFERROR($AX165*_xlfn.XLOOKUP($C165,$BM$1:$BM$3,CE$1:CE$3)/SUMPRODUCT(_xlfn.XLOOKUP($C165,$BM$1:$BM$3,$BN$1:$BY$3),$BN$4:$BY$4),""),
"")</f>
        <v>0.33353182797074771</v>
      </c>
      <c r="CF165" s="8">
        <f>IF(_xlfn.XLOOKUP($B165,'ELC TECH'!$H:$H,'ELC TECH'!$E:$E)="Non Dispatchable",IFERROR($AX165*_xlfn.XLOOKUP($C165,$BM$1:$BM$3,CF$1:CF$3)/SUMPRODUCT(_xlfn.XLOOKUP($C165,$BM$1:$BM$3,$BN$1:$BY$3),$BN$4:$BY$4),""),
"")</f>
        <v>3.3353182797074776E-2</v>
      </c>
      <c r="CG165" s="8">
        <f>IF(_xlfn.XLOOKUP($B165,'ELC TECH'!$H:$H,'ELC TECH'!$E:$E)="Non Dispatchable",IFERROR($AX165*_xlfn.XLOOKUP($C165,$BM$1:$BM$3,CG$1:CG$3)/SUMPRODUCT(_xlfn.XLOOKUP($C165,$BM$1:$BM$3,$BN$1:$BY$3),$BN$4:$BY$4),""),
"")</f>
        <v>0</v>
      </c>
      <c r="CH165" s="8">
        <f>IF(_xlfn.XLOOKUP($B165,'ELC TECH'!$H:$H,'ELC TECH'!$E:$E)="Non Dispatchable",IFERROR($AX165*_xlfn.XLOOKUP($C165,$BM$1:$BM$3,CH$1:CH$3)/SUMPRODUCT(_xlfn.XLOOKUP($C165,$BM$1:$BM$3,$BN$1:$BY$3),$BN$4:$BY$4),""),
"")</f>
        <v>0.27902831364920272</v>
      </c>
      <c r="CI165" s="8">
        <f>IF(_xlfn.XLOOKUP($B165,'ELC TECH'!$H:$H,'ELC TECH'!$E:$E)="Non Dispatchable",IFERROR($AX165*_xlfn.XLOOKUP($C165,$BM$1:$BM$3,CI$1:CI$3)/SUMPRODUCT(_xlfn.XLOOKUP($C165,$BM$1:$BM$3,$BN$1:$BY$3),$BN$4:$BY$4),""),
"")</f>
        <v>0.27902831364920272</v>
      </c>
      <c r="CJ165" s="8">
        <f>IF(_xlfn.XLOOKUP($B165,'ELC TECH'!$H:$H,'ELC TECH'!$E:$E)="Non Dispatchable",IFERROR($AX165*_xlfn.XLOOKUP($C165,$BM$1:$BM$3,CJ$1:CJ$3)/SUMPRODUCT(_xlfn.XLOOKUP($C165,$BM$1:$BM$3,$BN$1:$BY$3),$BN$4:$BY$4),""),
"")</f>
        <v>2.7902831364920277E-2</v>
      </c>
      <c r="CK165" s="8">
        <f>IF(_xlfn.XLOOKUP($B165,'ELC TECH'!$H:$H,'ELC TECH'!$E:$E)="Non Dispatchable",IFERROR($AX165*_xlfn.XLOOKUP($C165,$BM$1:$BM$3,CK$1:CK$3)/SUMPRODUCT(_xlfn.XLOOKUP($C165,$BM$1:$BM$3,$BN$1:$BY$3),$BN$4:$BY$4),""),
"")</f>
        <v>0</v>
      </c>
      <c r="CL165" s="8" t="str">
        <f>IF(_xlfn.XLOOKUP($B165,'ELC TECH'!$H:$H,'ELC TECH'!$E:$E)="Storage",CL$4*$BF165,"")</f>
        <v/>
      </c>
      <c r="CM165" s="8" t="str">
        <f>IF(_xlfn.XLOOKUP($B165,'ELC TECH'!$H:$H,'ELC TECH'!$E:$E)="Storage",CM$4*$BF165,"")</f>
        <v/>
      </c>
      <c r="CN165" s="8" t="str">
        <f>IF(_xlfn.XLOOKUP($B165,'ELC TECH'!$H:$H,'ELC TECH'!$E:$E)="Storage",CN$4*$BF165,"")</f>
        <v/>
      </c>
      <c r="CO165" s="8" t="str">
        <f>IF(_xlfn.XLOOKUP($B165,'ELC TECH'!$H:$H,'ELC TECH'!$E:$E)="Storage",CO$4*$BF165,"")</f>
        <v/>
      </c>
      <c r="CP165" s="8" t="str">
        <f>IF(_xlfn.XLOOKUP($B165,'ELC TECH'!$H:$H,'ELC TECH'!$E:$E)="Storage",CP$4*$BF165,"")</f>
        <v/>
      </c>
      <c r="CQ165" s="8" t="str">
        <f>IF(_xlfn.XLOOKUP($B165,'ELC TECH'!$H:$H,'ELC TECH'!$E:$E)="Storage",CQ$4*$BF165,"")</f>
        <v/>
      </c>
      <c r="CR165" s="8" t="str">
        <f>IF(_xlfn.XLOOKUP($B165,'ELC TECH'!$H:$H,'ELC TECH'!$E:$E)="Storage",CR$4*$BF165,"")</f>
        <v/>
      </c>
      <c r="CS165" s="8" t="str">
        <f>IF(_xlfn.XLOOKUP($B165,'ELC TECH'!$H:$H,'ELC TECH'!$E:$E)="Storage",CS$4*$BF165,"")</f>
        <v/>
      </c>
      <c r="CT165" s="8" t="str">
        <f>IF(_xlfn.XLOOKUP($B165,'ELC TECH'!$H:$H,'ELC TECH'!$E:$E)="Storage",CT$4*$BF165,"")</f>
        <v/>
      </c>
      <c r="CU165" s="8" t="str">
        <f>IF(_xlfn.XLOOKUP($B165,'ELC TECH'!$H:$H,'ELC TECH'!$E:$E)="Storage",CU$4*$BF165,"")</f>
        <v/>
      </c>
      <c r="CV165" s="8" t="str">
        <f>IF(_xlfn.XLOOKUP($B165,'ELC TECH'!$H:$H,'ELC TECH'!$E:$E)="Storage",CV$4*$BF165,"")</f>
        <v/>
      </c>
      <c r="CW165" s="8" t="str">
        <f>IF(_xlfn.XLOOKUP($B165,'ELC TECH'!$H:$H,'ELC TECH'!$E:$E)="Storage",CW$4*$BF165,"")</f>
        <v/>
      </c>
      <c r="CX165" s="8" t="str">
        <f>IF(_xlfn.XLOOKUP($B165,'ELC TECH'!$H:$H,'ELC TECH'!$E:$E)="Storage",CX$4*$BF165,"")</f>
        <v/>
      </c>
      <c r="CY165" s="8" t="str">
        <f>IF(_xlfn.XLOOKUP($B165,'ELC TECH'!$H:$H,'ELC TECH'!$E:$E)="Storage",CY$4*$BF165,"")</f>
        <v/>
      </c>
      <c r="CZ165" s="8" t="str">
        <f>IF(_xlfn.XLOOKUP($B165,'ELC TECH'!$H:$H,'ELC TECH'!$E:$E)="Storage",CZ$4*$BF165,"")</f>
        <v/>
      </c>
      <c r="DA165" s="8" t="str">
        <f>IF(_xlfn.XLOOKUP($B165,'ELC TECH'!$H:$H,'ELC TECH'!$E:$E)="Storage",DA$4*$BF165,"")</f>
        <v/>
      </c>
      <c r="DB165" s="8" t="str">
        <f>IF(_xlfn.XLOOKUP($B165,'ELC TECH'!$H:$H,'ELC TECH'!$E:$E)="Storage",DB$4*$BF165,"")</f>
        <v/>
      </c>
      <c r="DC165" s="8" t="str">
        <f>IF(_xlfn.XLOOKUP($B165,'ELC TECH'!$H:$H,'ELC TECH'!$E:$E)="Storage",DC$4*$BF165,"")</f>
        <v/>
      </c>
      <c r="DD165" s="8" t="str">
        <f>IF(_xlfn.XLOOKUP($B165,'ELC TECH'!$H:$H,'ELC TECH'!$E:$E)="Storage",DD$4*$BF165,"")</f>
        <v/>
      </c>
      <c r="DE165" s="8" t="str">
        <f>IF(_xlfn.XLOOKUP($B165,'ELC TECH'!$H:$H,'ELC TECH'!$E:$E)="Storage",DE$4*$BF165,"")</f>
        <v/>
      </c>
      <c r="DF165" s="8" t="str">
        <f>IF(_xlfn.XLOOKUP($B165,'ELC TECH'!$H:$H,'ELC TECH'!$E:$E)="Storage",DF$4*$BF165,"")</f>
        <v/>
      </c>
      <c r="DG165" s="8" t="str">
        <f>IF(_xlfn.XLOOKUP($B165,'ELC TECH'!$H:$H,'ELC TECH'!$E:$E)="Storage",DG$4*$BF165,"")</f>
        <v/>
      </c>
      <c r="DH165" s="8" t="str">
        <f>IF(_xlfn.XLOOKUP($B165,'ELC TECH'!$H:$H,'ELC TECH'!$E:$E)="Storage",DH$4*$BF165,"")</f>
        <v/>
      </c>
      <c r="DI165" s="8" t="str">
        <f>IF(_xlfn.XLOOKUP($B165,'ELC TECH'!$H:$H,'ELC TECH'!$E:$E)="Storage",DI$4*$BF165,"")</f>
        <v/>
      </c>
    </row>
    <row r="166" spans="2:113" x14ac:dyDescent="0.25">
      <c r="B166" t="str">
        <f>IF('ELC TECH'!I159=0,"*",'ELC TECH'!H159)</f>
        <v>ELCSOLDCERDPV220</v>
      </c>
      <c r="C166" t="str">
        <f>IF(_xlfn.XLOOKUP(_xlfn.XLOOKUP(B166,'ELC TECH'!$H:$H,'ELC TECH'!$G:$G),List!C:C,List!B:B)="STG",D166,"ELC"&amp;_xlfn.XLOOKUP(_xlfn.XLOOKUP(B166,'ELC TECH'!H:H,'ELC TECH'!G:G),List!C:C,List!B:B))</f>
        <v>ELCSOL</v>
      </c>
      <c r="D166" t="s">
        <v>545</v>
      </c>
      <c r="E166">
        <f>_xlfn.XLOOKUP(B166,'ELC TECH'!H:H,'ELC TECH'!D:D)</f>
        <v>2020</v>
      </c>
      <c r="F166">
        <f>_xlfn.XLOOKUP(B166,'ELC TECH'!H:H,'ELC TECH'!K:K)</f>
        <v>30</v>
      </c>
      <c r="G166">
        <f t="shared" si="8"/>
        <v>31.535999999999998</v>
      </c>
      <c r="H166">
        <f>IF(_xlfn.XLOOKUP(B166,'ELC TECH'!$H:$H,'ELC TECH'!$E:$E)="Storage",0.3,IF(_xlfn.XLOOKUP(B166,'ELC TECH'!$H:$H,'ELC TECH'!$E:$E)="Baseload",0.9,IF(_xlfn.XLOOKUP(B166,'ELC TECH'!$H:$H,'ELC TECH'!$E:$E)="Non Dispatchable",0.05,IF(_xlfn.XLOOKUP(B166,'ELC TECH'!$H:$H,'ELC TECH'!$E:$E)="Dispatchable",0.9,1))))</f>
        <v>0.05</v>
      </c>
      <c r="I166" s="13">
        <f>IF(_xlfn.XLOOKUP(B166,'ELC TECH'!H:H,'ELC TECH'!J:J)="","",_xlfn.XLOOKUP(B166,'ELC TECH'!H:H,'ELC TECH'!J:J))</f>
        <v>700.17955000000006</v>
      </c>
      <c r="J166" s="12">
        <f>IF(_xlfn.XLOOKUP($B166,'ELC TECH'!$H:$H,'ELC TECH'!$E:$E)="Storage","",IF(_xlfn.XLOOKUP($B166,'ELC TECH'!$H:$H,'ELC TECH'!AK:AK)="",1,_xlfn.XLOOKUP($B166,'ELC TECH'!$H:$H,'ELC TECH'!AK:AK)))</f>
        <v>1</v>
      </c>
      <c r="K166" s="12">
        <f>IF(_xlfn.XLOOKUP($B166,'ELC TECH'!$H:$H,'ELC TECH'!$E:$E)="Storage","",IF(_xlfn.XLOOKUP($B166,'ELC TECH'!$H:$H,'ELC TECH'!AL:AL)="",1,_xlfn.XLOOKUP($B166,'ELC TECH'!$H:$H,'ELC TECH'!AL:AL)))</f>
        <v>1</v>
      </c>
      <c r="L166" s="12">
        <f>IF(_xlfn.XLOOKUP($B166,'ELC TECH'!$H:$H,'ELC TECH'!$E:$E)="Storage","",IF(_xlfn.XLOOKUP($B166,'ELC TECH'!$H:$H,'ELC TECH'!AM:AM)="",1,_xlfn.XLOOKUP($B166,'ELC TECH'!$H:$H,'ELC TECH'!AM:AM)))</f>
        <v>1</v>
      </c>
      <c r="M166" s="12">
        <f>IF(_xlfn.XLOOKUP($B166,'ELC TECH'!$H:$H,'ELC TECH'!$E:$E)="Storage","",IF(_xlfn.XLOOKUP($B166,'ELC TECH'!$H:$H,'ELC TECH'!AN:AN)="",1,_xlfn.XLOOKUP($B166,'ELC TECH'!$H:$H,'ELC TECH'!AN:AN)))</f>
        <v>1</v>
      </c>
      <c r="N166" s="12">
        <f>IF(_xlfn.XLOOKUP($B166,'ELC TECH'!$H:$H,'ELC TECH'!$E:$E)="Storage","",IF(_xlfn.XLOOKUP($B166,'ELC TECH'!$H:$H,'ELC TECH'!AO:AO)="",1,_xlfn.XLOOKUP($B166,'ELC TECH'!$H:$H,'ELC TECH'!AO:AO)))</f>
        <v>1</v>
      </c>
      <c r="O166" s="12">
        <f>IF(_xlfn.XLOOKUP($B166,'ELC TECH'!$H:$H,'ELC TECH'!$E:$E)="Storage","",IF(_xlfn.XLOOKUP($B166,'ELC TECH'!$H:$H,'ELC TECH'!AP:AP)="",1,_xlfn.XLOOKUP($B166,'ELC TECH'!$H:$H,'ELC TECH'!AP:AP)))</f>
        <v>1</v>
      </c>
      <c r="P166" s="12">
        <f>IF(_xlfn.XLOOKUP($B166,'ELC TECH'!$H:$H,'ELC TECH'!$E:$E)="Storage","",IF(_xlfn.XLOOKUP($B166,'ELC TECH'!$H:$H,'ELC TECH'!AQ:AQ)="",1,_xlfn.XLOOKUP($B166,'ELC TECH'!$H:$H,'ELC TECH'!AQ:AQ)))</f>
        <v>1</v>
      </c>
      <c r="Q166" s="12">
        <f>IF(_xlfn.XLOOKUP($B166,'ELC TECH'!$H:$H,'ELC TECH'!$E:$E)="Storage","",IF(_xlfn.XLOOKUP($B166,'ELC TECH'!$H:$H,'ELC TECH'!AR:AR)="",1,_xlfn.XLOOKUP($B166,'ELC TECH'!$H:$H,'ELC TECH'!AR:AR)))</f>
        <v>1</v>
      </c>
      <c r="R166" s="12" t="str">
        <f>IF(_xlfn.XLOOKUP($B166,'ELC TECH'!$H:$H,'ELC TECH'!$E:$E)&lt;&gt;"Storage","",IF(_xlfn.XLOOKUP($B166,'ELC TECH'!$H:$H,'ELC TECH'!AK:AK)="",0.8,_xlfn.XLOOKUP($B166,'ELC TECH'!$H:$H,'ELC TECH'!AK:AK)))</f>
        <v/>
      </c>
      <c r="S166" s="12" t="str">
        <f>IF(_xlfn.XLOOKUP($B166,'ELC TECH'!$H:$H,'ELC TECH'!$E:$E)&lt;&gt;"Storage","",IF(_xlfn.XLOOKUP($B166,'ELC TECH'!$H:$H,'ELC TECH'!AL:AL)="",0.8,_xlfn.XLOOKUP($B166,'ELC TECH'!$H:$H,'ELC TECH'!AL:AL)))</f>
        <v/>
      </c>
      <c r="T166" s="12" t="str">
        <f>IF(_xlfn.XLOOKUP($B166,'ELC TECH'!$H:$H,'ELC TECH'!$E:$E)&lt;&gt;"Storage","",IF(_xlfn.XLOOKUP($B166,'ELC TECH'!$H:$H,'ELC TECH'!AM:AM)="",0.8,_xlfn.XLOOKUP($B166,'ELC TECH'!$H:$H,'ELC TECH'!AM:AM)))</f>
        <v/>
      </c>
      <c r="U166" s="12" t="str">
        <f>IF(_xlfn.XLOOKUP($B166,'ELC TECH'!$H:$H,'ELC TECH'!$E:$E)&lt;&gt;"Storage","",IF(_xlfn.XLOOKUP($B166,'ELC TECH'!$H:$H,'ELC TECH'!AN:AN)="",0.8,_xlfn.XLOOKUP($B166,'ELC TECH'!$H:$H,'ELC TECH'!AN:AN)))</f>
        <v/>
      </c>
      <c r="V166" s="12" t="str">
        <f>IF(_xlfn.XLOOKUP($B166,'ELC TECH'!$H:$H,'ELC TECH'!$E:$E)&lt;&gt;"Storage","",IF(_xlfn.XLOOKUP($B166,'ELC TECH'!$H:$H,'ELC TECH'!AO:AO)="",0.8,_xlfn.XLOOKUP($B166,'ELC TECH'!$H:$H,'ELC TECH'!AO:AO)))</f>
        <v/>
      </c>
      <c r="W166" s="12" t="str">
        <f>IF(_xlfn.XLOOKUP($B166,'ELC TECH'!$H:$H,'ELC TECH'!$E:$E)&lt;&gt;"Storage","",IF(_xlfn.XLOOKUP($B166,'ELC TECH'!$H:$H,'ELC TECH'!AP:AP)="",0.8,_xlfn.XLOOKUP($B166,'ELC TECH'!$H:$H,'ELC TECH'!AP:AP)))</f>
        <v/>
      </c>
      <c r="X166" s="12" t="str">
        <f>IF(_xlfn.XLOOKUP($B166,'ELC TECH'!$H:$H,'ELC TECH'!$E:$E)&lt;&gt;"Storage","",IF(_xlfn.XLOOKUP($B166,'ELC TECH'!$H:$H,'ELC TECH'!AQ:AQ)="",0.8,_xlfn.XLOOKUP($B166,'ELC TECH'!$H:$H,'ELC TECH'!AQ:AQ)))</f>
        <v/>
      </c>
      <c r="Y166" s="12" t="str">
        <f>IF(_xlfn.XLOOKUP($B166,'ELC TECH'!$H:$H,'ELC TECH'!$E:$E)&lt;&gt;"Storage","",IF(_xlfn.XLOOKUP($B166,'ELC TECH'!$H:$H,'ELC TECH'!AR:AR)="",0.8,_xlfn.XLOOKUP($B166,'ELC TECH'!$H:$H,'ELC TECH'!AR:AR)))</f>
        <v/>
      </c>
      <c r="Z166" s="15">
        <f>_xlfn.XLOOKUP($B166,'ELC TECH'!$H:$H,'ELC TECH'!M:M)</f>
        <v>3232.554589138178</v>
      </c>
      <c r="AA166" s="15">
        <f>_xlfn.XLOOKUP($B166,'ELC TECH'!$H:$H,'ELC TECH'!N:N)</f>
        <v>2974.9201081634578</v>
      </c>
      <c r="AB166" s="15">
        <f>_xlfn.XLOOKUP($B166,'ELC TECH'!$H:$H,'ELC TECH'!O:O)</f>
        <v>2378.9027813256071</v>
      </c>
      <c r="AC166" s="15">
        <f>_xlfn.XLOOKUP($B166,'ELC TECH'!$H:$H,'ELC TECH'!P:P)</f>
        <v>1782.885454487767</v>
      </c>
      <c r="AD166" s="15">
        <f>_xlfn.XLOOKUP($B166,'ELC TECH'!$H:$H,'ELC TECH'!Q:Q)</f>
        <v>1610.1995746889211</v>
      </c>
      <c r="AE166" s="15">
        <f>_xlfn.XLOOKUP($B166,'ELC TECH'!$H:$H,'ELC TECH'!R:R)</f>
        <v>1437.5136948900749</v>
      </c>
      <c r="AF166" s="15">
        <f>_xlfn.XLOOKUP($B166,'ELC TECH'!$H:$H,'ELC TECH'!S:S)</f>
        <v>1264.827815091229</v>
      </c>
      <c r="AG166" s="15">
        <f>_xlfn.XLOOKUP($B166,'ELC TECH'!$H:$H,'ELC TECH'!T:T)</f>
        <v>1264.827815091229</v>
      </c>
      <c r="AH166" s="15">
        <f>_xlfn.XLOOKUP($B166,'ELC TECH'!$H:$H,'ELC TECH'!U:U)</f>
        <v>34.293446157052799</v>
      </c>
      <c r="AI166" s="15">
        <f>_xlfn.XLOOKUP($B166,'ELC TECH'!$H:$H,'ELC TECH'!V:V)</f>
        <v>31.784509373254991</v>
      </c>
      <c r="AJ166" s="15">
        <f>_xlfn.XLOOKUP($B166,'ELC TECH'!$H:$H,'ELC TECH'!W:W)</f>
        <v>26.108139740981851</v>
      </c>
      <c r="AK166" s="15">
        <f>_xlfn.XLOOKUP($B166,'ELC TECH'!$H:$H,'ELC TECH'!X:X)</f>
        <v>20.431770108708822</v>
      </c>
      <c r="AL166" s="15">
        <f>_xlfn.XLOOKUP($B166,'ELC TECH'!$H:$H,'ELC TECH'!Y:Y)</f>
        <v>18.787138585640339</v>
      </c>
      <c r="AM166" s="15">
        <f>_xlfn.XLOOKUP($B166,'ELC TECH'!$H:$H,'ELC TECH'!Z:Z)</f>
        <v>17.142507062571742</v>
      </c>
      <c r="AN166" s="15">
        <f>_xlfn.XLOOKUP($B166,'ELC TECH'!$H:$H,'ELC TECH'!AA:AA)</f>
        <v>15.49787553950326</v>
      </c>
      <c r="AO166" s="15">
        <f>_xlfn.XLOOKUP($B166,'ELC TECH'!$H:$H,'ELC TECH'!AB:AB)</f>
        <v>15.49787553950326</v>
      </c>
      <c r="AP166" s="15">
        <f>_xlfn.XLOOKUP($B166,'ELC TECH'!$H:$H,'ELC TECH'!AC:AC)</f>
        <v>0</v>
      </c>
      <c r="AQ166" s="15">
        <f>_xlfn.XLOOKUP($B166,'ELC TECH'!$H:$H,'ELC TECH'!AD:AD)</f>
        <v>0</v>
      </c>
      <c r="AR166" s="15">
        <f>_xlfn.XLOOKUP($B166,'ELC TECH'!$H:$H,'ELC TECH'!AE:AE)</f>
        <v>0</v>
      </c>
      <c r="AS166" s="15">
        <f>_xlfn.XLOOKUP($B166,'ELC TECH'!$H:$H,'ELC TECH'!AF:AF)</f>
        <v>0</v>
      </c>
      <c r="AT166" s="15">
        <f>_xlfn.XLOOKUP($B166,'ELC TECH'!$H:$H,'ELC TECH'!AG:AG)</f>
        <v>0</v>
      </c>
      <c r="AU166" s="15">
        <f>_xlfn.XLOOKUP($B166,'ELC TECH'!$H:$H,'ELC TECH'!AH:AH)</f>
        <v>0</v>
      </c>
      <c r="AV166" s="15">
        <f>_xlfn.XLOOKUP($B166,'ELC TECH'!$H:$H,'ELC TECH'!AI:AI)</f>
        <v>0</v>
      </c>
      <c r="AW166" s="15">
        <f>_xlfn.XLOOKUP($B166,'ELC TECH'!$H:$H,'ELC TECH'!AJ:AJ)</f>
        <v>0</v>
      </c>
      <c r="AX166" s="12">
        <f>IF(_xlfn.XLOOKUP($B166,'ELC TECH'!$H:$H,'ELC TECH'!$E:$E)="Storage","",_xlfn.XLOOKUP($B166,'ELC TECH'!$H:$H,'ELC TECH'!AS:AS))</f>
        <v>0.18216811758946999</v>
      </c>
      <c r="AY166" s="12">
        <f>IF(_xlfn.XLOOKUP($B166,'ELC TECH'!$H:$H,'ELC TECH'!$E:$E)="Storage","",_xlfn.XLOOKUP($B166,'ELC TECH'!$H:$H,'ELC TECH'!AT:AT))</f>
        <v>0.182941546675952</v>
      </c>
      <c r="AZ166" s="12">
        <f>IF(_xlfn.XLOOKUP($B166,'ELC TECH'!$H:$H,'ELC TECH'!$E:$E)="Storage","",_xlfn.XLOOKUP($B166,'ELC TECH'!$H:$H,'ELC TECH'!AU:AU))</f>
        <v>0.18390833303405599</v>
      </c>
      <c r="BA166" s="12">
        <f>IF(_xlfn.XLOOKUP($B166,'ELC TECH'!$H:$H,'ELC TECH'!$E:$E)="Storage","",_xlfn.XLOOKUP($B166,'ELC TECH'!$H:$H,'ELC TECH'!AV:AV))</f>
        <v>0.184875119392159</v>
      </c>
      <c r="BB166" s="12">
        <f>IF(_xlfn.XLOOKUP($B166,'ELC TECH'!$H:$H,'ELC TECH'!$E:$E)="Storage","",_xlfn.XLOOKUP($B166,'ELC TECH'!$H:$H,'ELC TECH'!AW:AW))</f>
        <v>0.18646652552816401</v>
      </c>
      <c r="BC166" s="12">
        <f>IF(_xlfn.XLOOKUP($B166,'ELC TECH'!$H:$H,'ELC TECH'!$E:$E)="Storage","",_xlfn.XLOOKUP($B166,'ELC TECH'!$H:$H,'ELC TECH'!AX:AX))</f>
        <v>0.18805793166417001</v>
      </c>
      <c r="BD166" s="12">
        <f>IF(_xlfn.XLOOKUP($B166,'ELC TECH'!$H:$H,'ELC TECH'!$E:$E)="Storage","",_xlfn.XLOOKUP($B166,'ELC TECH'!$H:$H,'ELC TECH'!AY:AY))</f>
        <v>0.18964933780017501</v>
      </c>
      <c r="BE166" s="12">
        <f>IF(_xlfn.XLOOKUP($B166,'ELC TECH'!$H:$H,'ELC TECH'!$E:$E)="Storage","",_xlfn.XLOOKUP($B166,'ELC TECH'!$H:$H,'ELC TECH'!AZ:AZ))</f>
        <v>0.18964933780017501</v>
      </c>
      <c r="BF166" s="12" t="str">
        <f>IF(_xlfn.XLOOKUP($B166,'ELC TECH'!$H:$H,'ELC TECH'!$E:$E)="Storage",_xlfn.XLOOKUP($B166,'ELC TECH'!$H:$H,'ELC TECH'!AS:AS),"")</f>
        <v/>
      </c>
      <c r="BG166" s="12" t="str">
        <f>IF(_xlfn.XLOOKUP($B166,'ELC TECH'!$H:$H,'ELC TECH'!$E:$E)="Storage",_xlfn.XLOOKUP($B166,'ELC TECH'!$H:$H,'ELC TECH'!AT:AT),"")</f>
        <v/>
      </c>
      <c r="BH166" s="12" t="str">
        <f>IF(_xlfn.XLOOKUP($B166,'ELC TECH'!$H:$H,'ELC TECH'!$E:$E)="Storage",_xlfn.XLOOKUP($B166,'ELC TECH'!$H:$H,'ELC TECH'!AU:AU),"")</f>
        <v/>
      </c>
      <c r="BI166" s="12" t="str">
        <f>IF(_xlfn.XLOOKUP($B166,'ELC TECH'!$H:$H,'ELC TECH'!$E:$E)="Storage",_xlfn.XLOOKUP($B166,'ELC TECH'!$H:$H,'ELC TECH'!AV:AV),"")</f>
        <v/>
      </c>
      <c r="BJ166" s="12" t="str">
        <f>IF(_xlfn.XLOOKUP($B166,'ELC TECH'!$H:$H,'ELC TECH'!$E:$E)="Storage",_xlfn.XLOOKUP($B166,'ELC TECH'!$H:$H,'ELC TECH'!AW:AW),"")</f>
        <v/>
      </c>
      <c r="BK166" s="12" t="str">
        <f>IF(_xlfn.XLOOKUP($B166,'ELC TECH'!$H:$H,'ELC TECH'!$E:$E)="Storage",_xlfn.XLOOKUP($B166,'ELC TECH'!$H:$H,'ELC TECH'!AX:AX),"")</f>
        <v/>
      </c>
      <c r="BL166" s="12" t="str">
        <f>IF(_xlfn.XLOOKUP($B166,'ELC TECH'!$H:$H,'ELC TECH'!$E:$E)="Storage",_xlfn.XLOOKUP($B166,'ELC TECH'!$H:$H,'ELC TECH'!AY:AY),"")</f>
        <v/>
      </c>
      <c r="BM166" s="12" t="str">
        <f>IF(_xlfn.XLOOKUP($B166,'ELC TECH'!$H:$H,'ELC TECH'!$E:$E)="Storage",_xlfn.XLOOKUP($B166,'ELC TECH'!$H:$H,'ELC TECH'!AZ:AZ),"")</f>
        <v/>
      </c>
      <c r="BN166" s="8">
        <f>IF(_xlfn.XLOOKUP($B166,'ELC TECH'!$H:$H,'ELC TECH'!$E:$E)="Non Dispatchable",IFERROR($AX166*_xlfn.XLOOKUP($C166,$BM$1:$BM$3,BN$1:BN$3)/SUMPRODUCT(_xlfn.XLOOKUP($C166,$BM$1:$BM$3,$BN$1:$BY$3),$BN$4:$BY$4),""),
"")</f>
        <v>0.28511175252694221</v>
      </c>
      <c r="BO166" s="8">
        <f>IF(_xlfn.XLOOKUP($B166,'ELC TECH'!$H:$H,'ELC TECH'!$E:$E)="Non Dispatchable",IFERROR($AX166*_xlfn.XLOOKUP($C166,$BM$1:$BM$3,BO$1:BO$3)/SUMPRODUCT(_xlfn.XLOOKUP($C166,$BM$1:$BM$3,$BN$1:$BY$3),$BN$4:$BY$4),""),
"")</f>
        <v>0.28511175252694221</v>
      </c>
      <c r="BP166" s="8">
        <f>IF(_xlfn.XLOOKUP($B166,'ELC TECH'!$H:$H,'ELC TECH'!$E:$E)="Non Dispatchable",IFERROR($AX166*_xlfn.XLOOKUP($C166,$BM$1:$BM$3,BP$1:BP$3)/SUMPRODUCT(_xlfn.XLOOKUP($C166,$BM$1:$BM$3,$BN$1:$BY$3),$BN$4:$BY$4),""),
"")</f>
        <v>2.8511175252694219E-2</v>
      </c>
      <c r="BQ166" s="8">
        <f>IF(_xlfn.XLOOKUP($B166,'ELC TECH'!$H:$H,'ELC TECH'!$E:$E)="Non Dispatchable",IFERROR($AX166*_xlfn.XLOOKUP($C166,$BM$1:$BM$3,BQ$1:BQ$3)/SUMPRODUCT(_xlfn.XLOOKUP($C166,$BM$1:$BM$3,$BN$1:$BY$3),$BN$4:$BY$4),""),
"")</f>
        <v>0</v>
      </c>
      <c r="BR166" s="8">
        <f>IF(_xlfn.XLOOKUP($B166,'ELC TECH'!$H:$H,'ELC TECH'!$E:$E)="Non Dispatchable",IFERROR($AX166*_xlfn.XLOOKUP($C166,$BM$1:$BM$3,BR$1:BR$3)/SUMPRODUCT(_xlfn.XLOOKUP($C166,$BM$1:$BM$3,$BN$1:$BY$3),$BN$4:$BY$4),""),
"")</f>
        <v>0.32837192118834063</v>
      </c>
      <c r="BS166" s="8">
        <f>IF(_xlfn.XLOOKUP($B166,'ELC TECH'!$H:$H,'ELC TECH'!$E:$E)="Non Dispatchable",IFERROR($AX166*_xlfn.XLOOKUP($C166,$BM$1:$BM$3,BS$1:BS$3)/SUMPRODUCT(_xlfn.XLOOKUP($C166,$BM$1:$BM$3,$BN$1:$BY$3),$BN$4:$BY$4),""),
"")</f>
        <v>0.32837192118834063</v>
      </c>
      <c r="BT166" s="8">
        <f>IF(_xlfn.XLOOKUP($B166,'ELC TECH'!$H:$H,'ELC TECH'!$E:$E)="Non Dispatchable",IFERROR($AX166*_xlfn.XLOOKUP($C166,$BM$1:$BM$3,BT$1:BT$3)/SUMPRODUCT(_xlfn.XLOOKUP($C166,$BM$1:$BM$3,$BN$1:$BY$3),$BN$4:$BY$4),""),
"")</f>
        <v>3.2837192118834069E-2</v>
      </c>
      <c r="BU166" s="8">
        <f>IF(_xlfn.XLOOKUP($B166,'ELC TECH'!$H:$H,'ELC TECH'!$E:$E)="Non Dispatchable",IFERROR($AX166*_xlfn.XLOOKUP($C166,$BM$1:$BM$3,BU$1:BU$3)/SUMPRODUCT(_xlfn.XLOOKUP($C166,$BM$1:$BM$3,$BN$1:$BY$3),$BN$4:$BY$4),""),
"")</f>
        <v>0</v>
      </c>
      <c r="BV166" s="8">
        <f>IF(_xlfn.XLOOKUP($B166,'ELC TECH'!$H:$H,'ELC TECH'!$E:$E)="Non Dispatchable",IFERROR($AX166*_xlfn.XLOOKUP($C166,$BM$1:$BM$3,BV$1:BV$3)/SUMPRODUCT(_xlfn.XLOOKUP($C166,$BM$1:$BM$3,$BN$1:$BY$3),$BN$4:$BY$4),""),
"")</f>
        <v>0.27471160391615623</v>
      </c>
      <c r="BW166" s="8">
        <f>IF(_xlfn.XLOOKUP($B166,'ELC TECH'!$H:$H,'ELC TECH'!$E:$E)="Non Dispatchable",IFERROR($AX166*_xlfn.XLOOKUP($C166,$BM$1:$BM$3,BW$1:BW$3)/SUMPRODUCT(_xlfn.XLOOKUP($C166,$BM$1:$BM$3,$BN$1:$BY$3),$BN$4:$BY$4),""),
"")</f>
        <v>0.27471160391615623</v>
      </c>
      <c r="BX166" s="8">
        <f>IF(_xlfn.XLOOKUP($B166,'ELC TECH'!$H:$H,'ELC TECH'!$E:$E)="Non Dispatchable",IFERROR($AX166*_xlfn.XLOOKUP($C166,$BM$1:$BM$3,BX$1:BX$3)/SUMPRODUCT(_xlfn.XLOOKUP($C166,$BM$1:$BM$3,$BN$1:$BY$3),$BN$4:$BY$4),""),
"")</f>
        <v>2.7471160391615623E-2</v>
      </c>
      <c r="BY166" s="8">
        <f>IF(_xlfn.XLOOKUP($B166,'ELC TECH'!$H:$H,'ELC TECH'!$E:$E)="Non Dispatchable",IFERROR($AX166*_xlfn.XLOOKUP($C166,$BM$1:$BM$3,BY$1:BY$3)/SUMPRODUCT(_xlfn.XLOOKUP($C166,$BM$1:$BM$3,$BN$1:$BY$3),$BN$4:$BY$4),""),
"")</f>
        <v>0</v>
      </c>
      <c r="BZ166" s="8">
        <f>IF(_xlfn.XLOOKUP($B166,'ELC TECH'!$H:$H,'ELC TECH'!$E:$E)="Non Dispatchable",IFERROR($AX166*_xlfn.XLOOKUP($C166,$BM$1:$BM$3,BZ$1:BZ$3)/SUMPRODUCT(_xlfn.XLOOKUP($C166,$BM$1:$BM$3,$BN$1:$BY$3),$BN$4:$BY$4),""),
"")</f>
        <v>0.28511175252694221</v>
      </c>
      <c r="CA166" s="8">
        <f>IF(_xlfn.XLOOKUP($B166,'ELC TECH'!$H:$H,'ELC TECH'!$E:$E)="Non Dispatchable",IFERROR($AX166*_xlfn.XLOOKUP($C166,$BM$1:$BM$3,CA$1:CA$3)/SUMPRODUCT(_xlfn.XLOOKUP($C166,$BM$1:$BM$3,$BN$1:$BY$3),$BN$4:$BY$4),""),
"")</f>
        <v>0.28511175252694221</v>
      </c>
      <c r="CB166" s="8">
        <f>IF(_xlfn.XLOOKUP($B166,'ELC TECH'!$H:$H,'ELC TECH'!$E:$E)="Non Dispatchable",IFERROR($AX166*_xlfn.XLOOKUP($C166,$BM$1:$BM$3,CB$1:CB$3)/SUMPRODUCT(_xlfn.XLOOKUP($C166,$BM$1:$BM$3,$BN$1:$BY$3),$BN$4:$BY$4),""),
"")</f>
        <v>2.8511175252694219E-2</v>
      </c>
      <c r="CC166" s="8">
        <f>IF(_xlfn.XLOOKUP($B166,'ELC TECH'!$H:$H,'ELC TECH'!$E:$E)="Non Dispatchable",IFERROR($AX166*_xlfn.XLOOKUP($C166,$BM$1:$BM$3,CC$1:CC$3)/SUMPRODUCT(_xlfn.XLOOKUP($C166,$BM$1:$BM$3,$BN$1:$BY$3),$BN$4:$BY$4),""),
"")</f>
        <v>0</v>
      </c>
      <c r="CD166" s="8">
        <f>IF(_xlfn.XLOOKUP($B166,'ELC TECH'!$H:$H,'ELC TECH'!$E:$E)="Non Dispatchable",IFERROR($AX166*_xlfn.XLOOKUP($C166,$BM$1:$BM$3,CD$1:CD$3)/SUMPRODUCT(_xlfn.XLOOKUP($C166,$BM$1:$BM$3,$BN$1:$BY$3),$BN$4:$BY$4),""),
"")</f>
        <v>0.32837192118834063</v>
      </c>
      <c r="CE166" s="8">
        <f>IF(_xlfn.XLOOKUP($B166,'ELC TECH'!$H:$H,'ELC TECH'!$E:$E)="Non Dispatchable",IFERROR($AX166*_xlfn.XLOOKUP($C166,$BM$1:$BM$3,CE$1:CE$3)/SUMPRODUCT(_xlfn.XLOOKUP($C166,$BM$1:$BM$3,$BN$1:$BY$3),$BN$4:$BY$4),""),
"")</f>
        <v>0.32837192118834063</v>
      </c>
      <c r="CF166" s="8">
        <f>IF(_xlfn.XLOOKUP($B166,'ELC TECH'!$H:$H,'ELC TECH'!$E:$E)="Non Dispatchable",IFERROR($AX166*_xlfn.XLOOKUP($C166,$BM$1:$BM$3,CF$1:CF$3)/SUMPRODUCT(_xlfn.XLOOKUP($C166,$BM$1:$BM$3,$BN$1:$BY$3),$BN$4:$BY$4),""),
"")</f>
        <v>3.2837192118834069E-2</v>
      </c>
      <c r="CG166" s="8">
        <f>IF(_xlfn.XLOOKUP($B166,'ELC TECH'!$H:$H,'ELC TECH'!$E:$E)="Non Dispatchable",IFERROR($AX166*_xlfn.XLOOKUP($C166,$BM$1:$BM$3,CG$1:CG$3)/SUMPRODUCT(_xlfn.XLOOKUP($C166,$BM$1:$BM$3,$BN$1:$BY$3),$BN$4:$BY$4),""),
"")</f>
        <v>0</v>
      </c>
      <c r="CH166" s="8">
        <f>IF(_xlfn.XLOOKUP($B166,'ELC TECH'!$H:$H,'ELC TECH'!$E:$E)="Non Dispatchable",IFERROR($AX166*_xlfn.XLOOKUP($C166,$BM$1:$BM$3,CH$1:CH$3)/SUMPRODUCT(_xlfn.XLOOKUP($C166,$BM$1:$BM$3,$BN$1:$BY$3),$BN$4:$BY$4),""),
"")</f>
        <v>0.27471160391615623</v>
      </c>
      <c r="CI166" s="8">
        <f>IF(_xlfn.XLOOKUP($B166,'ELC TECH'!$H:$H,'ELC TECH'!$E:$E)="Non Dispatchable",IFERROR($AX166*_xlfn.XLOOKUP($C166,$BM$1:$BM$3,CI$1:CI$3)/SUMPRODUCT(_xlfn.XLOOKUP($C166,$BM$1:$BM$3,$BN$1:$BY$3),$BN$4:$BY$4),""),
"")</f>
        <v>0.27471160391615623</v>
      </c>
      <c r="CJ166" s="8">
        <f>IF(_xlfn.XLOOKUP($B166,'ELC TECH'!$H:$H,'ELC TECH'!$E:$E)="Non Dispatchable",IFERROR($AX166*_xlfn.XLOOKUP($C166,$BM$1:$BM$3,CJ$1:CJ$3)/SUMPRODUCT(_xlfn.XLOOKUP($C166,$BM$1:$BM$3,$BN$1:$BY$3),$BN$4:$BY$4),""),
"")</f>
        <v>2.7471160391615623E-2</v>
      </c>
      <c r="CK166" s="8">
        <f>IF(_xlfn.XLOOKUP($B166,'ELC TECH'!$H:$H,'ELC TECH'!$E:$E)="Non Dispatchable",IFERROR($AX166*_xlfn.XLOOKUP($C166,$BM$1:$BM$3,CK$1:CK$3)/SUMPRODUCT(_xlfn.XLOOKUP($C166,$BM$1:$BM$3,$BN$1:$BY$3),$BN$4:$BY$4),""),
"")</f>
        <v>0</v>
      </c>
      <c r="CL166" s="8" t="str">
        <f>IF(_xlfn.XLOOKUP($B166,'ELC TECH'!$H:$H,'ELC TECH'!$E:$E)="Storage",CL$4*$BF166,"")</f>
        <v/>
      </c>
      <c r="CM166" s="8" t="str">
        <f>IF(_xlfn.XLOOKUP($B166,'ELC TECH'!$H:$H,'ELC TECH'!$E:$E)="Storage",CM$4*$BF166,"")</f>
        <v/>
      </c>
      <c r="CN166" s="8" t="str">
        <f>IF(_xlfn.XLOOKUP($B166,'ELC TECH'!$H:$H,'ELC TECH'!$E:$E)="Storage",CN$4*$BF166,"")</f>
        <v/>
      </c>
      <c r="CO166" s="8" t="str">
        <f>IF(_xlfn.XLOOKUP($B166,'ELC TECH'!$H:$H,'ELC TECH'!$E:$E)="Storage",CO$4*$BF166,"")</f>
        <v/>
      </c>
      <c r="CP166" s="8" t="str">
        <f>IF(_xlfn.XLOOKUP($B166,'ELC TECH'!$H:$H,'ELC TECH'!$E:$E)="Storage",CP$4*$BF166,"")</f>
        <v/>
      </c>
      <c r="CQ166" s="8" t="str">
        <f>IF(_xlfn.XLOOKUP($B166,'ELC TECH'!$H:$H,'ELC TECH'!$E:$E)="Storage",CQ$4*$BF166,"")</f>
        <v/>
      </c>
      <c r="CR166" s="8" t="str">
        <f>IF(_xlfn.XLOOKUP($B166,'ELC TECH'!$H:$H,'ELC TECH'!$E:$E)="Storage",CR$4*$BF166,"")</f>
        <v/>
      </c>
      <c r="CS166" s="8" t="str">
        <f>IF(_xlfn.XLOOKUP($B166,'ELC TECH'!$H:$H,'ELC TECH'!$E:$E)="Storage",CS$4*$BF166,"")</f>
        <v/>
      </c>
      <c r="CT166" s="8" t="str">
        <f>IF(_xlfn.XLOOKUP($B166,'ELC TECH'!$H:$H,'ELC TECH'!$E:$E)="Storage",CT$4*$BF166,"")</f>
        <v/>
      </c>
      <c r="CU166" s="8" t="str">
        <f>IF(_xlfn.XLOOKUP($B166,'ELC TECH'!$H:$H,'ELC TECH'!$E:$E)="Storage",CU$4*$BF166,"")</f>
        <v/>
      </c>
      <c r="CV166" s="8" t="str">
        <f>IF(_xlfn.XLOOKUP($B166,'ELC TECH'!$H:$H,'ELC TECH'!$E:$E)="Storage",CV$4*$BF166,"")</f>
        <v/>
      </c>
      <c r="CW166" s="8" t="str">
        <f>IF(_xlfn.XLOOKUP($B166,'ELC TECH'!$H:$H,'ELC TECH'!$E:$E)="Storage",CW$4*$BF166,"")</f>
        <v/>
      </c>
      <c r="CX166" s="8" t="str">
        <f>IF(_xlfn.XLOOKUP($B166,'ELC TECH'!$H:$H,'ELC TECH'!$E:$E)="Storage",CX$4*$BF166,"")</f>
        <v/>
      </c>
      <c r="CY166" s="8" t="str">
        <f>IF(_xlfn.XLOOKUP($B166,'ELC TECH'!$H:$H,'ELC TECH'!$E:$E)="Storage",CY$4*$BF166,"")</f>
        <v/>
      </c>
      <c r="CZ166" s="8" t="str">
        <f>IF(_xlfn.XLOOKUP($B166,'ELC TECH'!$H:$H,'ELC TECH'!$E:$E)="Storage",CZ$4*$BF166,"")</f>
        <v/>
      </c>
      <c r="DA166" s="8" t="str">
        <f>IF(_xlfn.XLOOKUP($B166,'ELC TECH'!$H:$H,'ELC TECH'!$E:$E)="Storage",DA$4*$BF166,"")</f>
        <v/>
      </c>
      <c r="DB166" s="8" t="str">
        <f>IF(_xlfn.XLOOKUP($B166,'ELC TECH'!$H:$H,'ELC TECH'!$E:$E)="Storage",DB$4*$BF166,"")</f>
        <v/>
      </c>
      <c r="DC166" s="8" t="str">
        <f>IF(_xlfn.XLOOKUP($B166,'ELC TECH'!$H:$H,'ELC TECH'!$E:$E)="Storage",DC$4*$BF166,"")</f>
        <v/>
      </c>
      <c r="DD166" s="8" t="str">
        <f>IF(_xlfn.XLOOKUP($B166,'ELC TECH'!$H:$H,'ELC TECH'!$E:$E)="Storage",DD$4*$BF166,"")</f>
        <v/>
      </c>
      <c r="DE166" s="8" t="str">
        <f>IF(_xlfn.XLOOKUP($B166,'ELC TECH'!$H:$H,'ELC TECH'!$E:$E)="Storage",DE$4*$BF166,"")</f>
        <v/>
      </c>
      <c r="DF166" s="8" t="str">
        <f>IF(_xlfn.XLOOKUP($B166,'ELC TECH'!$H:$H,'ELC TECH'!$E:$E)="Storage",DF$4*$BF166,"")</f>
        <v/>
      </c>
      <c r="DG166" s="8" t="str">
        <f>IF(_xlfn.XLOOKUP($B166,'ELC TECH'!$H:$H,'ELC TECH'!$E:$E)="Storage",DG$4*$BF166,"")</f>
        <v/>
      </c>
      <c r="DH166" s="8" t="str">
        <f>IF(_xlfn.XLOOKUP($B166,'ELC TECH'!$H:$H,'ELC TECH'!$E:$E)="Storage",DH$4*$BF166,"")</f>
        <v/>
      </c>
      <c r="DI166" s="8" t="str">
        <f>IF(_xlfn.XLOOKUP($B166,'ELC TECH'!$H:$H,'ELC TECH'!$E:$E)="Storage",DI$4*$BF166,"")</f>
        <v/>
      </c>
    </row>
    <row r="167" spans="2:113" x14ac:dyDescent="0.25">
      <c r="B167" t="str">
        <f>IF('ELC TECH'!I160=0,"*",'ELC TECH'!H160)</f>
        <v>ELCSOLDCERDPV320</v>
      </c>
      <c r="C167" t="str">
        <f>IF(_xlfn.XLOOKUP(_xlfn.XLOOKUP(B167,'ELC TECH'!$H:$H,'ELC TECH'!$G:$G),List!C:C,List!B:B)="STG",D167,"ELC"&amp;_xlfn.XLOOKUP(_xlfn.XLOOKUP(B167,'ELC TECH'!H:H,'ELC TECH'!G:G),List!C:C,List!B:B))</f>
        <v>ELCSOL</v>
      </c>
      <c r="D167" t="s">
        <v>545</v>
      </c>
      <c r="E167">
        <f>_xlfn.XLOOKUP(B167,'ELC TECH'!H:H,'ELC TECH'!D:D)</f>
        <v>2020</v>
      </c>
      <c r="F167">
        <f>_xlfn.XLOOKUP(B167,'ELC TECH'!H:H,'ELC TECH'!K:K)</f>
        <v>30</v>
      </c>
      <c r="G167">
        <f t="shared" si="8"/>
        <v>31.535999999999998</v>
      </c>
      <c r="H167">
        <f>IF(_xlfn.XLOOKUP(B167,'ELC TECH'!$H:$H,'ELC TECH'!$E:$E)="Storage",0.3,IF(_xlfn.XLOOKUP(B167,'ELC TECH'!$H:$H,'ELC TECH'!$E:$E)="Baseload",0.9,IF(_xlfn.XLOOKUP(B167,'ELC TECH'!$H:$H,'ELC TECH'!$E:$E)="Non Dispatchable",0.05,IF(_xlfn.XLOOKUP(B167,'ELC TECH'!$H:$H,'ELC TECH'!$E:$E)="Dispatchable",0.9,1))))</f>
        <v>0.05</v>
      </c>
      <c r="I167" s="13">
        <f>IF(_xlfn.XLOOKUP(B167,'ELC TECH'!H:H,'ELC TECH'!J:J)="","",_xlfn.XLOOKUP(B167,'ELC TECH'!H:H,'ELC TECH'!J:J))</f>
        <v>700.17955000000006</v>
      </c>
      <c r="J167" s="12">
        <f>IF(_xlfn.XLOOKUP($B167,'ELC TECH'!$H:$H,'ELC TECH'!$E:$E)="Storage","",IF(_xlfn.XLOOKUP($B167,'ELC TECH'!$H:$H,'ELC TECH'!AK:AK)="",1,_xlfn.XLOOKUP($B167,'ELC TECH'!$H:$H,'ELC TECH'!AK:AK)))</f>
        <v>1</v>
      </c>
      <c r="K167" s="12">
        <f>IF(_xlfn.XLOOKUP($B167,'ELC TECH'!$H:$H,'ELC TECH'!$E:$E)="Storage","",IF(_xlfn.XLOOKUP($B167,'ELC TECH'!$H:$H,'ELC TECH'!AL:AL)="",1,_xlfn.XLOOKUP($B167,'ELC TECH'!$H:$H,'ELC TECH'!AL:AL)))</f>
        <v>1</v>
      </c>
      <c r="L167" s="12">
        <f>IF(_xlfn.XLOOKUP($B167,'ELC TECH'!$H:$H,'ELC TECH'!$E:$E)="Storage","",IF(_xlfn.XLOOKUP($B167,'ELC TECH'!$H:$H,'ELC TECH'!AM:AM)="",1,_xlfn.XLOOKUP($B167,'ELC TECH'!$H:$H,'ELC TECH'!AM:AM)))</f>
        <v>1</v>
      </c>
      <c r="M167" s="12">
        <f>IF(_xlfn.XLOOKUP($B167,'ELC TECH'!$H:$H,'ELC TECH'!$E:$E)="Storage","",IF(_xlfn.XLOOKUP($B167,'ELC TECH'!$H:$H,'ELC TECH'!AN:AN)="",1,_xlfn.XLOOKUP($B167,'ELC TECH'!$H:$H,'ELC TECH'!AN:AN)))</f>
        <v>1</v>
      </c>
      <c r="N167" s="12">
        <f>IF(_xlfn.XLOOKUP($B167,'ELC TECH'!$H:$H,'ELC TECH'!$E:$E)="Storage","",IF(_xlfn.XLOOKUP($B167,'ELC TECH'!$H:$H,'ELC TECH'!AO:AO)="",1,_xlfn.XLOOKUP($B167,'ELC TECH'!$H:$H,'ELC TECH'!AO:AO)))</f>
        <v>1</v>
      </c>
      <c r="O167" s="12">
        <f>IF(_xlfn.XLOOKUP($B167,'ELC TECH'!$H:$H,'ELC TECH'!$E:$E)="Storage","",IF(_xlfn.XLOOKUP($B167,'ELC TECH'!$H:$H,'ELC TECH'!AP:AP)="",1,_xlfn.XLOOKUP($B167,'ELC TECH'!$H:$H,'ELC TECH'!AP:AP)))</f>
        <v>1</v>
      </c>
      <c r="P167" s="12">
        <f>IF(_xlfn.XLOOKUP($B167,'ELC TECH'!$H:$H,'ELC TECH'!$E:$E)="Storage","",IF(_xlfn.XLOOKUP($B167,'ELC TECH'!$H:$H,'ELC TECH'!AQ:AQ)="",1,_xlfn.XLOOKUP($B167,'ELC TECH'!$H:$H,'ELC TECH'!AQ:AQ)))</f>
        <v>1</v>
      </c>
      <c r="Q167" s="12">
        <f>IF(_xlfn.XLOOKUP($B167,'ELC TECH'!$H:$H,'ELC TECH'!$E:$E)="Storage","",IF(_xlfn.XLOOKUP($B167,'ELC TECH'!$H:$H,'ELC TECH'!AR:AR)="",1,_xlfn.XLOOKUP($B167,'ELC TECH'!$H:$H,'ELC TECH'!AR:AR)))</f>
        <v>1</v>
      </c>
      <c r="R167" s="12" t="str">
        <f>IF(_xlfn.XLOOKUP($B167,'ELC TECH'!$H:$H,'ELC TECH'!$E:$E)&lt;&gt;"Storage","",IF(_xlfn.XLOOKUP($B167,'ELC TECH'!$H:$H,'ELC TECH'!AK:AK)="",0.8,_xlfn.XLOOKUP($B167,'ELC TECH'!$H:$H,'ELC TECH'!AK:AK)))</f>
        <v/>
      </c>
      <c r="S167" s="12" t="str">
        <f>IF(_xlfn.XLOOKUP($B167,'ELC TECH'!$H:$H,'ELC TECH'!$E:$E)&lt;&gt;"Storage","",IF(_xlfn.XLOOKUP($B167,'ELC TECH'!$H:$H,'ELC TECH'!AL:AL)="",0.8,_xlfn.XLOOKUP($B167,'ELC TECH'!$H:$H,'ELC TECH'!AL:AL)))</f>
        <v/>
      </c>
      <c r="T167" s="12" t="str">
        <f>IF(_xlfn.XLOOKUP($B167,'ELC TECH'!$H:$H,'ELC TECH'!$E:$E)&lt;&gt;"Storage","",IF(_xlfn.XLOOKUP($B167,'ELC TECH'!$H:$H,'ELC TECH'!AM:AM)="",0.8,_xlfn.XLOOKUP($B167,'ELC TECH'!$H:$H,'ELC TECH'!AM:AM)))</f>
        <v/>
      </c>
      <c r="U167" s="12" t="str">
        <f>IF(_xlfn.XLOOKUP($B167,'ELC TECH'!$H:$H,'ELC TECH'!$E:$E)&lt;&gt;"Storage","",IF(_xlfn.XLOOKUP($B167,'ELC TECH'!$H:$H,'ELC TECH'!AN:AN)="",0.8,_xlfn.XLOOKUP($B167,'ELC TECH'!$H:$H,'ELC TECH'!AN:AN)))</f>
        <v/>
      </c>
      <c r="V167" s="12" t="str">
        <f>IF(_xlfn.XLOOKUP($B167,'ELC TECH'!$H:$H,'ELC TECH'!$E:$E)&lt;&gt;"Storage","",IF(_xlfn.XLOOKUP($B167,'ELC TECH'!$H:$H,'ELC TECH'!AO:AO)="",0.8,_xlfn.XLOOKUP($B167,'ELC TECH'!$H:$H,'ELC TECH'!AO:AO)))</f>
        <v/>
      </c>
      <c r="W167" s="12" t="str">
        <f>IF(_xlfn.XLOOKUP($B167,'ELC TECH'!$H:$H,'ELC TECH'!$E:$E)&lt;&gt;"Storage","",IF(_xlfn.XLOOKUP($B167,'ELC TECH'!$H:$H,'ELC TECH'!AP:AP)="",0.8,_xlfn.XLOOKUP($B167,'ELC TECH'!$H:$H,'ELC TECH'!AP:AP)))</f>
        <v/>
      </c>
      <c r="X167" s="12" t="str">
        <f>IF(_xlfn.XLOOKUP($B167,'ELC TECH'!$H:$H,'ELC TECH'!$E:$E)&lt;&gt;"Storage","",IF(_xlfn.XLOOKUP($B167,'ELC TECH'!$H:$H,'ELC TECH'!AQ:AQ)="",0.8,_xlfn.XLOOKUP($B167,'ELC TECH'!$H:$H,'ELC TECH'!AQ:AQ)))</f>
        <v/>
      </c>
      <c r="Y167" s="12" t="str">
        <f>IF(_xlfn.XLOOKUP($B167,'ELC TECH'!$H:$H,'ELC TECH'!$E:$E)&lt;&gt;"Storage","",IF(_xlfn.XLOOKUP($B167,'ELC TECH'!$H:$H,'ELC TECH'!AR:AR)="",0.8,_xlfn.XLOOKUP($B167,'ELC TECH'!$H:$H,'ELC TECH'!AR:AR)))</f>
        <v/>
      </c>
      <c r="Z167" s="15">
        <f>_xlfn.XLOOKUP($B167,'ELC TECH'!$H:$H,'ELC TECH'!M:M)</f>
        <v>3232.554589138178</v>
      </c>
      <c r="AA167" s="15">
        <f>_xlfn.XLOOKUP($B167,'ELC TECH'!$H:$H,'ELC TECH'!N:N)</f>
        <v>2974.9201081634578</v>
      </c>
      <c r="AB167" s="15">
        <f>_xlfn.XLOOKUP($B167,'ELC TECH'!$H:$H,'ELC TECH'!O:O)</f>
        <v>2378.9027813256071</v>
      </c>
      <c r="AC167" s="15">
        <f>_xlfn.XLOOKUP($B167,'ELC TECH'!$H:$H,'ELC TECH'!P:P)</f>
        <v>1782.885454487767</v>
      </c>
      <c r="AD167" s="15">
        <f>_xlfn.XLOOKUP($B167,'ELC TECH'!$H:$H,'ELC TECH'!Q:Q)</f>
        <v>1610.1995746889211</v>
      </c>
      <c r="AE167" s="15">
        <f>_xlfn.XLOOKUP($B167,'ELC TECH'!$H:$H,'ELC TECH'!R:R)</f>
        <v>1437.5136948900749</v>
      </c>
      <c r="AF167" s="15">
        <f>_xlfn.XLOOKUP($B167,'ELC TECH'!$H:$H,'ELC TECH'!S:S)</f>
        <v>1264.827815091229</v>
      </c>
      <c r="AG167" s="15">
        <f>_xlfn.XLOOKUP($B167,'ELC TECH'!$H:$H,'ELC TECH'!T:T)</f>
        <v>1264.827815091229</v>
      </c>
      <c r="AH167" s="15">
        <f>_xlfn.XLOOKUP($B167,'ELC TECH'!$H:$H,'ELC TECH'!U:U)</f>
        <v>34.293446157052799</v>
      </c>
      <c r="AI167" s="15">
        <f>_xlfn.XLOOKUP($B167,'ELC TECH'!$H:$H,'ELC TECH'!V:V)</f>
        <v>31.784509373254991</v>
      </c>
      <c r="AJ167" s="15">
        <f>_xlfn.XLOOKUP($B167,'ELC TECH'!$H:$H,'ELC TECH'!W:W)</f>
        <v>26.108139740981851</v>
      </c>
      <c r="AK167" s="15">
        <f>_xlfn.XLOOKUP($B167,'ELC TECH'!$H:$H,'ELC TECH'!X:X)</f>
        <v>20.431770108708822</v>
      </c>
      <c r="AL167" s="15">
        <f>_xlfn.XLOOKUP($B167,'ELC TECH'!$H:$H,'ELC TECH'!Y:Y)</f>
        <v>18.787138585640339</v>
      </c>
      <c r="AM167" s="15">
        <f>_xlfn.XLOOKUP($B167,'ELC TECH'!$H:$H,'ELC TECH'!Z:Z)</f>
        <v>17.142507062571742</v>
      </c>
      <c r="AN167" s="15">
        <f>_xlfn.XLOOKUP($B167,'ELC TECH'!$H:$H,'ELC TECH'!AA:AA)</f>
        <v>15.49787553950326</v>
      </c>
      <c r="AO167" s="15">
        <f>_xlfn.XLOOKUP($B167,'ELC TECH'!$H:$H,'ELC TECH'!AB:AB)</f>
        <v>15.49787553950326</v>
      </c>
      <c r="AP167" s="15">
        <f>_xlfn.XLOOKUP($B167,'ELC TECH'!$H:$H,'ELC TECH'!AC:AC)</f>
        <v>0</v>
      </c>
      <c r="AQ167" s="15">
        <f>_xlfn.XLOOKUP($B167,'ELC TECH'!$H:$H,'ELC TECH'!AD:AD)</f>
        <v>0</v>
      </c>
      <c r="AR167" s="15">
        <f>_xlfn.XLOOKUP($B167,'ELC TECH'!$H:$H,'ELC TECH'!AE:AE)</f>
        <v>0</v>
      </c>
      <c r="AS167" s="15">
        <f>_xlfn.XLOOKUP($B167,'ELC TECH'!$H:$H,'ELC TECH'!AF:AF)</f>
        <v>0</v>
      </c>
      <c r="AT167" s="15">
        <f>_xlfn.XLOOKUP($B167,'ELC TECH'!$H:$H,'ELC TECH'!AG:AG)</f>
        <v>0</v>
      </c>
      <c r="AU167" s="15">
        <f>_xlfn.XLOOKUP($B167,'ELC TECH'!$H:$H,'ELC TECH'!AH:AH)</f>
        <v>0</v>
      </c>
      <c r="AV167" s="15">
        <f>_xlfn.XLOOKUP($B167,'ELC TECH'!$H:$H,'ELC TECH'!AI:AI)</f>
        <v>0</v>
      </c>
      <c r="AW167" s="15">
        <f>_xlfn.XLOOKUP($B167,'ELC TECH'!$H:$H,'ELC TECH'!AJ:AJ)</f>
        <v>0</v>
      </c>
      <c r="AX167" s="12">
        <f>IF(_xlfn.XLOOKUP($B167,'ELC TECH'!$H:$H,'ELC TECH'!$E:$E)="Storage","",_xlfn.XLOOKUP($B167,'ELC TECH'!$H:$H,'ELC TECH'!AS:AS))</f>
        <v>0.16994680900089701</v>
      </c>
      <c r="AY167" s="12">
        <f>IF(_xlfn.XLOOKUP($B167,'ELC TECH'!$H:$H,'ELC TECH'!$E:$E)="Storage","",_xlfn.XLOOKUP($B167,'ELC TECH'!$H:$H,'ELC TECH'!AT:AT))</f>
        <v>0.17066835021774401</v>
      </c>
      <c r="AZ167" s="12">
        <f>IF(_xlfn.XLOOKUP($B167,'ELC TECH'!$H:$H,'ELC TECH'!$E:$E)="Storage","",_xlfn.XLOOKUP($B167,'ELC TECH'!$H:$H,'ELC TECH'!AU:AU))</f>
        <v>0.17157027673880201</v>
      </c>
      <c r="BA167" s="12">
        <f>IF(_xlfn.XLOOKUP($B167,'ELC TECH'!$H:$H,'ELC TECH'!$E:$E)="Storage","",_xlfn.XLOOKUP($B167,'ELC TECH'!$H:$H,'ELC TECH'!AV:AV))</f>
        <v>0.17247220325986101</v>
      </c>
      <c r="BB167" s="12">
        <f>IF(_xlfn.XLOOKUP($B167,'ELC TECH'!$H:$H,'ELC TECH'!$E:$E)="Storage","",_xlfn.XLOOKUP($B167,'ELC TECH'!$H:$H,'ELC TECH'!AW:AW))</f>
        <v>0.173956845019447</v>
      </c>
      <c r="BC167" s="12">
        <f>IF(_xlfn.XLOOKUP($B167,'ELC TECH'!$H:$H,'ELC TECH'!$E:$E)="Storage","",_xlfn.XLOOKUP($B167,'ELC TECH'!$H:$H,'ELC TECH'!AX:AX))</f>
        <v>0.17544148677903401</v>
      </c>
      <c r="BD167" s="12">
        <f>IF(_xlfn.XLOOKUP($B167,'ELC TECH'!$H:$H,'ELC TECH'!$E:$E)="Storage","",_xlfn.XLOOKUP($B167,'ELC TECH'!$H:$H,'ELC TECH'!AY:AY))</f>
        <v>0.17692612853862</v>
      </c>
      <c r="BE167" s="12">
        <f>IF(_xlfn.XLOOKUP($B167,'ELC TECH'!$H:$H,'ELC TECH'!$E:$E)="Storage","",_xlfn.XLOOKUP($B167,'ELC TECH'!$H:$H,'ELC TECH'!AZ:AZ))</f>
        <v>0.17692612853862</v>
      </c>
      <c r="BF167" s="12" t="str">
        <f>IF(_xlfn.XLOOKUP($B167,'ELC TECH'!$H:$H,'ELC TECH'!$E:$E)="Storage",_xlfn.XLOOKUP($B167,'ELC TECH'!$H:$H,'ELC TECH'!AS:AS),"")</f>
        <v/>
      </c>
      <c r="BG167" s="12" t="str">
        <f>IF(_xlfn.XLOOKUP($B167,'ELC TECH'!$H:$H,'ELC TECH'!$E:$E)="Storage",_xlfn.XLOOKUP($B167,'ELC TECH'!$H:$H,'ELC TECH'!AT:AT),"")</f>
        <v/>
      </c>
      <c r="BH167" s="12" t="str">
        <f>IF(_xlfn.XLOOKUP($B167,'ELC TECH'!$H:$H,'ELC TECH'!$E:$E)="Storage",_xlfn.XLOOKUP($B167,'ELC TECH'!$H:$H,'ELC TECH'!AU:AU),"")</f>
        <v/>
      </c>
      <c r="BI167" s="12" t="str">
        <f>IF(_xlfn.XLOOKUP($B167,'ELC TECH'!$H:$H,'ELC TECH'!$E:$E)="Storage",_xlfn.XLOOKUP($B167,'ELC TECH'!$H:$H,'ELC TECH'!AV:AV),"")</f>
        <v/>
      </c>
      <c r="BJ167" s="12" t="str">
        <f>IF(_xlfn.XLOOKUP($B167,'ELC TECH'!$H:$H,'ELC TECH'!$E:$E)="Storage",_xlfn.XLOOKUP($B167,'ELC TECH'!$H:$H,'ELC TECH'!AW:AW),"")</f>
        <v/>
      </c>
      <c r="BK167" s="12" t="str">
        <f>IF(_xlfn.XLOOKUP($B167,'ELC TECH'!$H:$H,'ELC TECH'!$E:$E)="Storage",_xlfn.XLOOKUP($B167,'ELC TECH'!$H:$H,'ELC TECH'!AX:AX),"")</f>
        <v/>
      </c>
      <c r="BL167" s="12" t="str">
        <f>IF(_xlfn.XLOOKUP($B167,'ELC TECH'!$H:$H,'ELC TECH'!$E:$E)="Storage",_xlfn.XLOOKUP($B167,'ELC TECH'!$H:$H,'ELC TECH'!AY:AY),"")</f>
        <v/>
      </c>
      <c r="BM167" s="12" t="str">
        <f>IF(_xlfn.XLOOKUP($B167,'ELC TECH'!$H:$H,'ELC TECH'!$E:$E)="Storage",_xlfn.XLOOKUP($B167,'ELC TECH'!$H:$H,'ELC TECH'!AZ:AZ),"")</f>
        <v/>
      </c>
      <c r="BN167" s="8">
        <f>IF(_xlfn.XLOOKUP($B167,'ELC TECH'!$H:$H,'ELC TECH'!$E:$E)="Non Dispatchable",IFERROR($AX167*_xlfn.XLOOKUP($C167,$BM$1:$BM$3,BN$1:BN$3)/SUMPRODUCT(_xlfn.XLOOKUP($C167,$BM$1:$BM$3,$BN$1:$BY$3),$BN$4:$BY$4),""),
"")</f>
        <v>0.26598415349387172</v>
      </c>
      <c r="BO167" s="8">
        <f>IF(_xlfn.XLOOKUP($B167,'ELC TECH'!$H:$H,'ELC TECH'!$E:$E)="Non Dispatchable",IFERROR($AX167*_xlfn.XLOOKUP($C167,$BM$1:$BM$3,BO$1:BO$3)/SUMPRODUCT(_xlfn.XLOOKUP($C167,$BM$1:$BM$3,$BN$1:$BY$3),$BN$4:$BY$4),""),
"")</f>
        <v>0.26598415349387172</v>
      </c>
      <c r="BP167" s="8">
        <f>IF(_xlfn.XLOOKUP($B167,'ELC TECH'!$H:$H,'ELC TECH'!$E:$E)="Non Dispatchable",IFERROR($AX167*_xlfn.XLOOKUP($C167,$BM$1:$BM$3,BP$1:BP$3)/SUMPRODUCT(_xlfn.XLOOKUP($C167,$BM$1:$BM$3,$BN$1:$BY$3),$BN$4:$BY$4),""),
"")</f>
        <v>2.6598415349387176E-2</v>
      </c>
      <c r="BQ167" s="8">
        <f>IF(_xlfn.XLOOKUP($B167,'ELC TECH'!$H:$H,'ELC TECH'!$E:$E)="Non Dispatchable",IFERROR($AX167*_xlfn.XLOOKUP($C167,$BM$1:$BM$3,BQ$1:BQ$3)/SUMPRODUCT(_xlfn.XLOOKUP($C167,$BM$1:$BM$3,$BN$1:$BY$3),$BN$4:$BY$4),""),
"")</f>
        <v>0</v>
      </c>
      <c r="BR167" s="8">
        <f>IF(_xlfn.XLOOKUP($B167,'ELC TECH'!$H:$H,'ELC TECH'!$E:$E)="Non Dispatchable",IFERROR($AX167*_xlfn.XLOOKUP($C167,$BM$1:$BM$3,BR$1:BR$3)/SUMPRODUCT(_xlfn.XLOOKUP($C167,$BM$1:$BM$3,$BN$1:$BY$3),$BN$4:$BY$4),""),
"")</f>
        <v>0.30634208065549179</v>
      </c>
      <c r="BS167" s="8">
        <f>IF(_xlfn.XLOOKUP($B167,'ELC TECH'!$H:$H,'ELC TECH'!$E:$E)="Non Dispatchable",IFERROR($AX167*_xlfn.XLOOKUP($C167,$BM$1:$BM$3,BS$1:BS$3)/SUMPRODUCT(_xlfn.XLOOKUP($C167,$BM$1:$BM$3,$BN$1:$BY$3),$BN$4:$BY$4),""),
"")</f>
        <v>0.30634208065549179</v>
      </c>
      <c r="BT167" s="8">
        <f>IF(_xlfn.XLOOKUP($B167,'ELC TECH'!$H:$H,'ELC TECH'!$E:$E)="Non Dispatchable",IFERROR($AX167*_xlfn.XLOOKUP($C167,$BM$1:$BM$3,BT$1:BT$3)/SUMPRODUCT(_xlfn.XLOOKUP($C167,$BM$1:$BM$3,$BN$1:$BY$3),$BN$4:$BY$4),""),
"")</f>
        <v>3.0634208065549184E-2</v>
      </c>
      <c r="BU167" s="8">
        <f>IF(_xlfn.XLOOKUP($B167,'ELC TECH'!$H:$H,'ELC TECH'!$E:$E)="Non Dispatchable",IFERROR($AX167*_xlfn.XLOOKUP($C167,$BM$1:$BM$3,BU$1:BU$3)/SUMPRODUCT(_xlfn.XLOOKUP($C167,$BM$1:$BM$3,$BN$1:$BY$3),$BN$4:$BY$4),""),
"")</f>
        <v>0</v>
      </c>
      <c r="BV167" s="8">
        <f>IF(_xlfn.XLOOKUP($B167,'ELC TECH'!$H:$H,'ELC TECH'!$E:$E)="Non Dispatchable",IFERROR($AX167*_xlfn.XLOOKUP($C167,$BM$1:$BM$3,BV$1:BV$3)/SUMPRODUCT(_xlfn.XLOOKUP($C167,$BM$1:$BM$3,$BN$1:$BY$3),$BN$4:$BY$4),""),
"")</f>
        <v>0.25628173084754829</v>
      </c>
      <c r="BW167" s="8">
        <f>IF(_xlfn.XLOOKUP($B167,'ELC TECH'!$H:$H,'ELC TECH'!$E:$E)="Non Dispatchable",IFERROR($AX167*_xlfn.XLOOKUP($C167,$BM$1:$BM$3,BW$1:BW$3)/SUMPRODUCT(_xlfn.XLOOKUP($C167,$BM$1:$BM$3,$BN$1:$BY$3),$BN$4:$BY$4),""),
"")</f>
        <v>0.25628173084754829</v>
      </c>
      <c r="BX167" s="8">
        <f>IF(_xlfn.XLOOKUP($B167,'ELC TECH'!$H:$H,'ELC TECH'!$E:$E)="Non Dispatchable",IFERROR($AX167*_xlfn.XLOOKUP($C167,$BM$1:$BM$3,BX$1:BX$3)/SUMPRODUCT(_xlfn.XLOOKUP($C167,$BM$1:$BM$3,$BN$1:$BY$3),$BN$4:$BY$4),""),
"")</f>
        <v>2.5628173084754829E-2</v>
      </c>
      <c r="BY167" s="8">
        <f>IF(_xlfn.XLOOKUP($B167,'ELC TECH'!$H:$H,'ELC TECH'!$E:$E)="Non Dispatchable",IFERROR($AX167*_xlfn.XLOOKUP($C167,$BM$1:$BM$3,BY$1:BY$3)/SUMPRODUCT(_xlfn.XLOOKUP($C167,$BM$1:$BM$3,$BN$1:$BY$3),$BN$4:$BY$4),""),
"")</f>
        <v>0</v>
      </c>
      <c r="BZ167" s="8">
        <f>IF(_xlfn.XLOOKUP($B167,'ELC TECH'!$H:$H,'ELC TECH'!$E:$E)="Non Dispatchable",IFERROR($AX167*_xlfn.XLOOKUP($C167,$BM$1:$BM$3,BZ$1:BZ$3)/SUMPRODUCT(_xlfn.XLOOKUP($C167,$BM$1:$BM$3,$BN$1:$BY$3),$BN$4:$BY$4),""),
"")</f>
        <v>0.26598415349387172</v>
      </c>
      <c r="CA167" s="8">
        <f>IF(_xlfn.XLOOKUP($B167,'ELC TECH'!$H:$H,'ELC TECH'!$E:$E)="Non Dispatchable",IFERROR($AX167*_xlfn.XLOOKUP($C167,$BM$1:$BM$3,CA$1:CA$3)/SUMPRODUCT(_xlfn.XLOOKUP($C167,$BM$1:$BM$3,$BN$1:$BY$3),$BN$4:$BY$4),""),
"")</f>
        <v>0.26598415349387172</v>
      </c>
      <c r="CB167" s="8">
        <f>IF(_xlfn.XLOOKUP($B167,'ELC TECH'!$H:$H,'ELC TECH'!$E:$E)="Non Dispatchable",IFERROR($AX167*_xlfn.XLOOKUP($C167,$BM$1:$BM$3,CB$1:CB$3)/SUMPRODUCT(_xlfn.XLOOKUP($C167,$BM$1:$BM$3,$BN$1:$BY$3),$BN$4:$BY$4),""),
"")</f>
        <v>2.6598415349387176E-2</v>
      </c>
      <c r="CC167" s="8">
        <f>IF(_xlfn.XLOOKUP($B167,'ELC TECH'!$H:$H,'ELC TECH'!$E:$E)="Non Dispatchable",IFERROR($AX167*_xlfn.XLOOKUP($C167,$BM$1:$BM$3,CC$1:CC$3)/SUMPRODUCT(_xlfn.XLOOKUP($C167,$BM$1:$BM$3,$BN$1:$BY$3),$BN$4:$BY$4),""),
"")</f>
        <v>0</v>
      </c>
      <c r="CD167" s="8">
        <f>IF(_xlfn.XLOOKUP($B167,'ELC TECH'!$H:$H,'ELC TECH'!$E:$E)="Non Dispatchable",IFERROR($AX167*_xlfn.XLOOKUP($C167,$BM$1:$BM$3,CD$1:CD$3)/SUMPRODUCT(_xlfn.XLOOKUP($C167,$BM$1:$BM$3,$BN$1:$BY$3),$BN$4:$BY$4),""),
"")</f>
        <v>0.30634208065549179</v>
      </c>
      <c r="CE167" s="8">
        <f>IF(_xlfn.XLOOKUP($B167,'ELC TECH'!$H:$H,'ELC TECH'!$E:$E)="Non Dispatchable",IFERROR($AX167*_xlfn.XLOOKUP($C167,$BM$1:$BM$3,CE$1:CE$3)/SUMPRODUCT(_xlfn.XLOOKUP($C167,$BM$1:$BM$3,$BN$1:$BY$3),$BN$4:$BY$4),""),
"")</f>
        <v>0.30634208065549179</v>
      </c>
      <c r="CF167" s="8">
        <f>IF(_xlfn.XLOOKUP($B167,'ELC TECH'!$H:$H,'ELC TECH'!$E:$E)="Non Dispatchable",IFERROR($AX167*_xlfn.XLOOKUP($C167,$BM$1:$BM$3,CF$1:CF$3)/SUMPRODUCT(_xlfn.XLOOKUP($C167,$BM$1:$BM$3,$BN$1:$BY$3),$BN$4:$BY$4),""),
"")</f>
        <v>3.0634208065549184E-2</v>
      </c>
      <c r="CG167" s="8">
        <f>IF(_xlfn.XLOOKUP($B167,'ELC TECH'!$H:$H,'ELC TECH'!$E:$E)="Non Dispatchable",IFERROR($AX167*_xlfn.XLOOKUP($C167,$BM$1:$BM$3,CG$1:CG$3)/SUMPRODUCT(_xlfn.XLOOKUP($C167,$BM$1:$BM$3,$BN$1:$BY$3),$BN$4:$BY$4),""),
"")</f>
        <v>0</v>
      </c>
      <c r="CH167" s="8">
        <f>IF(_xlfn.XLOOKUP($B167,'ELC TECH'!$H:$H,'ELC TECH'!$E:$E)="Non Dispatchable",IFERROR($AX167*_xlfn.XLOOKUP($C167,$BM$1:$BM$3,CH$1:CH$3)/SUMPRODUCT(_xlfn.XLOOKUP($C167,$BM$1:$BM$3,$BN$1:$BY$3),$BN$4:$BY$4),""),
"")</f>
        <v>0.25628173084754829</v>
      </c>
      <c r="CI167" s="8">
        <f>IF(_xlfn.XLOOKUP($B167,'ELC TECH'!$H:$H,'ELC TECH'!$E:$E)="Non Dispatchable",IFERROR($AX167*_xlfn.XLOOKUP($C167,$BM$1:$BM$3,CI$1:CI$3)/SUMPRODUCT(_xlfn.XLOOKUP($C167,$BM$1:$BM$3,$BN$1:$BY$3),$BN$4:$BY$4),""),
"")</f>
        <v>0.25628173084754829</v>
      </c>
      <c r="CJ167" s="8">
        <f>IF(_xlfn.XLOOKUP($B167,'ELC TECH'!$H:$H,'ELC TECH'!$E:$E)="Non Dispatchable",IFERROR($AX167*_xlfn.XLOOKUP($C167,$BM$1:$BM$3,CJ$1:CJ$3)/SUMPRODUCT(_xlfn.XLOOKUP($C167,$BM$1:$BM$3,$BN$1:$BY$3),$BN$4:$BY$4),""),
"")</f>
        <v>2.5628173084754829E-2</v>
      </c>
      <c r="CK167" s="8">
        <f>IF(_xlfn.XLOOKUP($B167,'ELC TECH'!$H:$H,'ELC TECH'!$E:$E)="Non Dispatchable",IFERROR($AX167*_xlfn.XLOOKUP($C167,$BM$1:$BM$3,CK$1:CK$3)/SUMPRODUCT(_xlfn.XLOOKUP($C167,$BM$1:$BM$3,$BN$1:$BY$3),$BN$4:$BY$4),""),
"")</f>
        <v>0</v>
      </c>
      <c r="CL167" s="8" t="str">
        <f>IF(_xlfn.XLOOKUP($B167,'ELC TECH'!$H:$H,'ELC TECH'!$E:$E)="Storage",CL$4*$BF167,"")</f>
        <v/>
      </c>
      <c r="CM167" s="8" t="str">
        <f>IF(_xlfn.XLOOKUP($B167,'ELC TECH'!$H:$H,'ELC TECH'!$E:$E)="Storage",CM$4*$BF167,"")</f>
        <v/>
      </c>
      <c r="CN167" s="8" t="str">
        <f>IF(_xlfn.XLOOKUP($B167,'ELC TECH'!$H:$H,'ELC TECH'!$E:$E)="Storage",CN$4*$BF167,"")</f>
        <v/>
      </c>
      <c r="CO167" s="8" t="str">
        <f>IF(_xlfn.XLOOKUP($B167,'ELC TECH'!$H:$H,'ELC TECH'!$E:$E)="Storage",CO$4*$BF167,"")</f>
        <v/>
      </c>
      <c r="CP167" s="8" t="str">
        <f>IF(_xlfn.XLOOKUP($B167,'ELC TECH'!$H:$H,'ELC TECH'!$E:$E)="Storage",CP$4*$BF167,"")</f>
        <v/>
      </c>
      <c r="CQ167" s="8" t="str">
        <f>IF(_xlfn.XLOOKUP($B167,'ELC TECH'!$H:$H,'ELC TECH'!$E:$E)="Storage",CQ$4*$BF167,"")</f>
        <v/>
      </c>
      <c r="CR167" s="8" t="str">
        <f>IF(_xlfn.XLOOKUP($B167,'ELC TECH'!$H:$H,'ELC TECH'!$E:$E)="Storage",CR$4*$BF167,"")</f>
        <v/>
      </c>
      <c r="CS167" s="8" t="str">
        <f>IF(_xlfn.XLOOKUP($B167,'ELC TECH'!$H:$H,'ELC TECH'!$E:$E)="Storage",CS$4*$BF167,"")</f>
        <v/>
      </c>
      <c r="CT167" s="8" t="str">
        <f>IF(_xlfn.XLOOKUP($B167,'ELC TECH'!$H:$H,'ELC TECH'!$E:$E)="Storage",CT$4*$BF167,"")</f>
        <v/>
      </c>
      <c r="CU167" s="8" t="str">
        <f>IF(_xlfn.XLOOKUP($B167,'ELC TECH'!$H:$H,'ELC TECH'!$E:$E)="Storage",CU$4*$BF167,"")</f>
        <v/>
      </c>
      <c r="CV167" s="8" t="str">
        <f>IF(_xlfn.XLOOKUP($B167,'ELC TECH'!$H:$H,'ELC TECH'!$E:$E)="Storage",CV$4*$BF167,"")</f>
        <v/>
      </c>
      <c r="CW167" s="8" t="str">
        <f>IF(_xlfn.XLOOKUP($B167,'ELC TECH'!$H:$H,'ELC TECH'!$E:$E)="Storage",CW$4*$BF167,"")</f>
        <v/>
      </c>
      <c r="CX167" s="8" t="str">
        <f>IF(_xlfn.XLOOKUP($B167,'ELC TECH'!$H:$H,'ELC TECH'!$E:$E)="Storage",CX$4*$BF167,"")</f>
        <v/>
      </c>
      <c r="CY167" s="8" t="str">
        <f>IF(_xlfn.XLOOKUP($B167,'ELC TECH'!$H:$H,'ELC TECH'!$E:$E)="Storage",CY$4*$BF167,"")</f>
        <v/>
      </c>
      <c r="CZ167" s="8" t="str">
        <f>IF(_xlfn.XLOOKUP($B167,'ELC TECH'!$H:$H,'ELC TECH'!$E:$E)="Storage",CZ$4*$BF167,"")</f>
        <v/>
      </c>
      <c r="DA167" s="8" t="str">
        <f>IF(_xlfn.XLOOKUP($B167,'ELC TECH'!$H:$H,'ELC TECH'!$E:$E)="Storage",DA$4*$BF167,"")</f>
        <v/>
      </c>
      <c r="DB167" s="8" t="str">
        <f>IF(_xlfn.XLOOKUP($B167,'ELC TECH'!$H:$H,'ELC TECH'!$E:$E)="Storage",DB$4*$BF167,"")</f>
        <v/>
      </c>
      <c r="DC167" s="8" t="str">
        <f>IF(_xlfn.XLOOKUP($B167,'ELC TECH'!$H:$H,'ELC TECH'!$E:$E)="Storage",DC$4*$BF167,"")</f>
        <v/>
      </c>
      <c r="DD167" s="8" t="str">
        <f>IF(_xlfn.XLOOKUP($B167,'ELC TECH'!$H:$H,'ELC TECH'!$E:$E)="Storage",DD$4*$BF167,"")</f>
        <v/>
      </c>
      <c r="DE167" s="8" t="str">
        <f>IF(_xlfn.XLOOKUP($B167,'ELC TECH'!$H:$H,'ELC TECH'!$E:$E)="Storage",DE$4*$BF167,"")</f>
        <v/>
      </c>
      <c r="DF167" s="8" t="str">
        <f>IF(_xlfn.XLOOKUP($B167,'ELC TECH'!$H:$H,'ELC TECH'!$E:$E)="Storage",DF$4*$BF167,"")</f>
        <v/>
      </c>
      <c r="DG167" s="8" t="str">
        <f>IF(_xlfn.XLOOKUP($B167,'ELC TECH'!$H:$H,'ELC TECH'!$E:$E)="Storage",DG$4*$BF167,"")</f>
        <v/>
      </c>
      <c r="DH167" s="8" t="str">
        <f>IF(_xlfn.XLOOKUP($B167,'ELC TECH'!$H:$H,'ELC TECH'!$E:$E)="Storage",DH$4*$BF167,"")</f>
        <v/>
      </c>
      <c r="DI167" s="8" t="str">
        <f>IF(_xlfn.XLOOKUP($B167,'ELC TECH'!$H:$H,'ELC TECH'!$E:$E)="Storage",DI$4*$BF167,"")</f>
        <v/>
      </c>
    </row>
    <row r="168" spans="2:113" x14ac:dyDescent="0.25">
      <c r="B168" t="str">
        <f>IF('ELC TECH'!I161=0,"*",'ELC TECH'!H161)</f>
        <v>ELCSOLDCERDPV420</v>
      </c>
      <c r="C168" t="str">
        <f>IF(_xlfn.XLOOKUP(_xlfn.XLOOKUP(B168,'ELC TECH'!$H:$H,'ELC TECH'!$G:$G),List!C:C,List!B:B)="STG",D168,"ELC"&amp;_xlfn.XLOOKUP(_xlfn.XLOOKUP(B168,'ELC TECH'!H:H,'ELC TECH'!G:G),List!C:C,List!B:B))</f>
        <v>ELCSOL</v>
      </c>
      <c r="D168" t="s">
        <v>545</v>
      </c>
      <c r="E168">
        <f>_xlfn.XLOOKUP(B168,'ELC TECH'!H:H,'ELC TECH'!D:D)</f>
        <v>2020</v>
      </c>
      <c r="F168">
        <f>_xlfn.XLOOKUP(B168,'ELC TECH'!H:H,'ELC TECH'!K:K)</f>
        <v>30</v>
      </c>
      <c r="G168">
        <f t="shared" si="8"/>
        <v>31.535999999999998</v>
      </c>
      <c r="H168">
        <f>IF(_xlfn.XLOOKUP(B168,'ELC TECH'!$H:$H,'ELC TECH'!$E:$E)="Storage",0.3,IF(_xlfn.XLOOKUP(B168,'ELC TECH'!$H:$H,'ELC TECH'!$E:$E)="Baseload",0.9,IF(_xlfn.XLOOKUP(B168,'ELC TECH'!$H:$H,'ELC TECH'!$E:$E)="Non Dispatchable",0.05,IF(_xlfn.XLOOKUP(B168,'ELC TECH'!$H:$H,'ELC TECH'!$E:$E)="Dispatchable",0.9,1))))</f>
        <v>0.05</v>
      </c>
      <c r="I168" s="13">
        <f>IF(_xlfn.XLOOKUP(B168,'ELC TECH'!H:H,'ELC TECH'!J:J)="","",_xlfn.XLOOKUP(B168,'ELC TECH'!H:H,'ELC TECH'!J:J))</f>
        <v>700.17955000000006</v>
      </c>
      <c r="J168" s="12">
        <f>IF(_xlfn.XLOOKUP($B168,'ELC TECH'!$H:$H,'ELC TECH'!$E:$E)="Storage","",IF(_xlfn.XLOOKUP($B168,'ELC TECH'!$H:$H,'ELC TECH'!AK:AK)="",1,_xlfn.XLOOKUP($B168,'ELC TECH'!$H:$H,'ELC TECH'!AK:AK)))</f>
        <v>1</v>
      </c>
      <c r="K168" s="12">
        <f>IF(_xlfn.XLOOKUP($B168,'ELC TECH'!$H:$H,'ELC TECH'!$E:$E)="Storage","",IF(_xlfn.XLOOKUP($B168,'ELC TECH'!$H:$H,'ELC TECH'!AL:AL)="",1,_xlfn.XLOOKUP($B168,'ELC TECH'!$H:$H,'ELC TECH'!AL:AL)))</f>
        <v>1</v>
      </c>
      <c r="L168" s="12">
        <f>IF(_xlfn.XLOOKUP($B168,'ELC TECH'!$H:$H,'ELC TECH'!$E:$E)="Storage","",IF(_xlfn.XLOOKUP($B168,'ELC TECH'!$H:$H,'ELC TECH'!AM:AM)="",1,_xlfn.XLOOKUP($B168,'ELC TECH'!$H:$H,'ELC TECH'!AM:AM)))</f>
        <v>1</v>
      </c>
      <c r="M168" s="12">
        <f>IF(_xlfn.XLOOKUP($B168,'ELC TECH'!$H:$H,'ELC TECH'!$E:$E)="Storage","",IF(_xlfn.XLOOKUP($B168,'ELC TECH'!$H:$H,'ELC TECH'!AN:AN)="",1,_xlfn.XLOOKUP($B168,'ELC TECH'!$H:$H,'ELC TECH'!AN:AN)))</f>
        <v>1</v>
      </c>
      <c r="N168" s="12">
        <f>IF(_xlfn.XLOOKUP($B168,'ELC TECH'!$H:$H,'ELC TECH'!$E:$E)="Storage","",IF(_xlfn.XLOOKUP($B168,'ELC TECH'!$H:$H,'ELC TECH'!AO:AO)="",1,_xlfn.XLOOKUP($B168,'ELC TECH'!$H:$H,'ELC TECH'!AO:AO)))</f>
        <v>1</v>
      </c>
      <c r="O168" s="12">
        <f>IF(_xlfn.XLOOKUP($B168,'ELC TECH'!$H:$H,'ELC TECH'!$E:$E)="Storage","",IF(_xlfn.XLOOKUP($B168,'ELC TECH'!$H:$H,'ELC TECH'!AP:AP)="",1,_xlfn.XLOOKUP($B168,'ELC TECH'!$H:$H,'ELC TECH'!AP:AP)))</f>
        <v>1</v>
      </c>
      <c r="P168" s="12">
        <f>IF(_xlfn.XLOOKUP($B168,'ELC TECH'!$H:$H,'ELC TECH'!$E:$E)="Storage","",IF(_xlfn.XLOOKUP($B168,'ELC TECH'!$H:$H,'ELC TECH'!AQ:AQ)="",1,_xlfn.XLOOKUP($B168,'ELC TECH'!$H:$H,'ELC TECH'!AQ:AQ)))</f>
        <v>1</v>
      </c>
      <c r="Q168" s="12">
        <f>IF(_xlfn.XLOOKUP($B168,'ELC TECH'!$H:$H,'ELC TECH'!$E:$E)="Storage","",IF(_xlfn.XLOOKUP($B168,'ELC TECH'!$H:$H,'ELC TECH'!AR:AR)="",1,_xlfn.XLOOKUP($B168,'ELC TECH'!$H:$H,'ELC TECH'!AR:AR)))</f>
        <v>1</v>
      </c>
      <c r="R168" s="12" t="str">
        <f>IF(_xlfn.XLOOKUP($B168,'ELC TECH'!$H:$H,'ELC TECH'!$E:$E)&lt;&gt;"Storage","",IF(_xlfn.XLOOKUP($B168,'ELC TECH'!$H:$H,'ELC TECH'!AK:AK)="",0.8,_xlfn.XLOOKUP($B168,'ELC TECH'!$H:$H,'ELC TECH'!AK:AK)))</f>
        <v/>
      </c>
      <c r="S168" s="12" t="str">
        <f>IF(_xlfn.XLOOKUP($B168,'ELC TECH'!$H:$H,'ELC TECH'!$E:$E)&lt;&gt;"Storage","",IF(_xlfn.XLOOKUP($B168,'ELC TECH'!$H:$H,'ELC TECH'!AL:AL)="",0.8,_xlfn.XLOOKUP($B168,'ELC TECH'!$H:$H,'ELC TECH'!AL:AL)))</f>
        <v/>
      </c>
      <c r="T168" s="12" t="str">
        <f>IF(_xlfn.XLOOKUP($B168,'ELC TECH'!$H:$H,'ELC TECH'!$E:$E)&lt;&gt;"Storage","",IF(_xlfn.XLOOKUP($B168,'ELC TECH'!$H:$H,'ELC TECH'!AM:AM)="",0.8,_xlfn.XLOOKUP($B168,'ELC TECH'!$H:$H,'ELC TECH'!AM:AM)))</f>
        <v/>
      </c>
      <c r="U168" s="12" t="str">
        <f>IF(_xlfn.XLOOKUP($B168,'ELC TECH'!$H:$H,'ELC TECH'!$E:$E)&lt;&gt;"Storage","",IF(_xlfn.XLOOKUP($B168,'ELC TECH'!$H:$H,'ELC TECH'!AN:AN)="",0.8,_xlfn.XLOOKUP($B168,'ELC TECH'!$H:$H,'ELC TECH'!AN:AN)))</f>
        <v/>
      </c>
      <c r="V168" s="12" t="str">
        <f>IF(_xlfn.XLOOKUP($B168,'ELC TECH'!$H:$H,'ELC TECH'!$E:$E)&lt;&gt;"Storage","",IF(_xlfn.XLOOKUP($B168,'ELC TECH'!$H:$H,'ELC TECH'!AO:AO)="",0.8,_xlfn.XLOOKUP($B168,'ELC TECH'!$H:$H,'ELC TECH'!AO:AO)))</f>
        <v/>
      </c>
      <c r="W168" s="12" t="str">
        <f>IF(_xlfn.XLOOKUP($B168,'ELC TECH'!$H:$H,'ELC TECH'!$E:$E)&lt;&gt;"Storage","",IF(_xlfn.XLOOKUP($B168,'ELC TECH'!$H:$H,'ELC TECH'!AP:AP)="",0.8,_xlfn.XLOOKUP($B168,'ELC TECH'!$H:$H,'ELC TECH'!AP:AP)))</f>
        <v/>
      </c>
      <c r="X168" s="12" t="str">
        <f>IF(_xlfn.XLOOKUP($B168,'ELC TECH'!$H:$H,'ELC TECH'!$E:$E)&lt;&gt;"Storage","",IF(_xlfn.XLOOKUP($B168,'ELC TECH'!$H:$H,'ELC TECH'!AQ:AQ)="",0.8,_xlfn.XLOOKUP($B168,'ELC TECH'!$H:$H,'ELC TECH'!AQ:AQ)))</f>
        <v/>
      </c>
      <c r="Y168" s="12" t="str">
        <f>IF(_xlfn.XLOOKUP($B168,'ELC TECH'!$H:$H,'ELC TECH'!$E:$E)&lt;&gt;"Storage","",IF(_xlfn.XLOOKUP($B168,'ELC TECH'!$H:$H,'ELC TECH'!AR:AR)="",0.8,_xlfn.XLOOKUP($B168,'ELC TECH'!$H:$H,'ELC TECH'!AR:AR)))</f>
        <v/>
      </c>
      <c r="Z168" s="15">
        <f>_xlfn.XLOOKUP($B168,'ELC TECH'!$H:$H,'ELC TECH'!M:M)</f>
        <v>3232.554589138178</v>
      </c>
      <c r="AA168" s="15">
        <f>_xlfn.XLOOKUP($B168,'ELC TECH'!$H:$H,'ELC TECH'!N:N)</f>
        <v>2974.9201081634578</v>
      </c>
      <c r="AB168" s="15">
        <f>_xlfn.XLOOKUP($B168,'ELC TECH'!$H:$H,'ELC TECH'!O:O)</f>
        <v>2378.9027813256071</v>
      </c>
      <c r="AC168" s="15">
        <f>_xlfn.XLOOKUP($B168,'ELC TECH'!$H:$H,'ELC TECH'!P:P)</f>
        <v>1782.885454487767</v>
      </c>
      <c r="AD168" s="15">
        <f>_xlfn.XLOOKUP($B168,'ELC TECH'!$H:$H,'ELC TECH'!Q:Q)</f>
        <v>1610.1995746889211</v>
      </c>
      <c r="AE168" s="15">
        <f>_xlfn.XLOOKUP($B168,'ELC TECH'!$H:$H,'ELC TECH'!R:R)</f>
        <v>1437.5136948900749</v>
      </c>
      <c r="AF168" s="15">
        <f>_xlfn.XLOOKUP($B168,'ELC TECH'!$H:$H,'ELC TECH'!S:S)</f>
        <v>1264.827815091229</v>
      </c>
      <c r="AG168" s="15">
        <f>_xlfn.XLOOKUP($B168,'ELC TECH'!$H:$H,'ELC TECH'!T:T)</f>
        <v>1264.827815091229</v>
      </c>
      <c r="AH168" s="15">
        <f>_xlfn.XLOOKUP($B168,'ELC TECH'!$H:$H,'ELC TECH'!U:U)</f>
        <v>34.293446157052799</v>
      </c>
      <c r="AI168" s="15">
        <f>_xlfn.XLOOKUP($B168,'ELC TECH'!$H:$H,'ELC TECH'!V:V)</f>
        <v>31.784509373254991</v>
      </c>
      <c r="AJ168" s="15">
        <f>_xlfn.XLOOKUP($B168,'ELC TECH'!$H:$H,'ELC TECH'!W:W)</f>
        <v>26.108139740981851</v>
      </c>
      <c r="AK168" s="15">
        <f>_xlfn.XLOOKUP($B168,'ELC TECH'!$H:$H,'ELC TECH'!X:X)</f>
        <v>20.431770108708822</v>
      </c>
      <c r="AL168" s="15">
        <f>_xlfn.XLOOKUP($B168,'ELC TECH'!$H:$H,'ELC TECH'!Y:Y)</f>
        <v>18.787138585640339</v>
      </c>
      <c r="AM168" s="15">
        <f>_xlfn.XLOOKUP($B168,'ELC TECH'!$H:$H,'ELC TECH'!Z:Z)</f>
        <v>17.142507062571742</v>
      </c>
      <c r="AN168" s="15">
        <f>_xlfn.XLOOKUP($B168,'ELC TECH'!$H:$H,'ELC TECH'!AA:AA)</f>
        <v>15.49787553950326</v>
      </c>
      <c r="AO168" s="15">
        <f>_xlfn.XLOOKUP($B168,'ELC TECH'!$H:$H,'ELC TECH'!AB:AB)</f>
        <v>15.49787553950326</v>
      </c>
      <c r="AP168" s="15">
        <f>_xlfn.XLOOKUP($B168,'ELC TECH'!$H:$H,'ELC TECH'!AC:AC)</f>
        <v>0</v>
      </c>
      <c r="AQ168" s="15">
        <f>_xlfn.XLOOKUP($B168,'ELC TECH'!$H:$H,'ELC TECH'!AD:AD)</f>
        <v>0</v>
      </c>
      <c r="AR168" s="15">
        <f>_xlfn.XLOOKUP($B168,'ELC TECH'!$H:$H,'ELC TECH'!AE:AE)</f>
        <v>0</v>
      </c>
      <c r="AS168" s="15">
        <f>_xlfn.XLOOKUP($B168,'ELC TECH'!$H:$H,'ELC TECH'!AF:AF)</f>
        <v>0</v>
      </c>
      <c r="AT168" s="15">
        <f>_xlfn.XLOOKUP($B168,'ELC TECH'!$H:$H,'ELC TECH'!AG:AG)</f>
        <v>0</v>
      </c>
      <c r="AU168" s="15">
        <f>_xlfn.XLOOKUP($B168,'ELC TECH'!$H:$H,'ELC TECH'!AH:AH)</f>
        <v>0</v>
      </c>
      <c r="AV168" s="15">
        <f>_xlfn.XLOOKUP($B168,'ELC TECH'!$H:$H,'ELC TECH'!AI:AI)</f>
        <v>0</v>
      </c>
      <c r="AW168" s="15">
        <f>_xlfn.XLOOKUP($B168,'ELC TECH'!$H:$H,'ELC TECH'!AJ:AJ)</f>
        <v>0</v>
      </c>
      <c r="AX168" s="12">
        <f>IF(_xlfn.XLOOKUP($B168,'ELC TECH'!$H:$H,'ELC TECH'!$E:$E)="Storage","",_xlfn.XLOOKUP($B168,'ELC TECH'!$H:$H,'ELC TECH'!AS:AS))</f>
        <v>0.16059540108645801</v>
      </c>
      <c r="AY168" s="12">
        <f>IF(_xlfn.XLOOKUP($B168,'ELC TECH'!$H:$H,'ELC TECH'!$E:$E)="Storage","",_xlfn.XLOOKUP($B168,'ELC TECH'!$H:$H,'ELC TECH'!AT:AT))</f>
        <v>0.16127723913802999</v>
      </c>
      <c r="AZ168" s="12">
        <f>IF(_xlfn.XLOOKUP($B168,'ELC TECH'!$H:$H,'ELC TECH'!$E:$E)="Storage","",_xlfn.XLOOKUP($B168,'ELC TECH'!$H:$H,'ELC TECH'!AU:AU))</f>
        <v>0.162129536702494</v>
      </c>
      <c r="BA168" s="12">
        <f>IF(_xlfn.XLOOKUP($B168,'ELC TECH'!$H:$H,'ELC TECH'!$E:$E)="Storage","",_xlfn.XLOOKUP($B168,'ELC TECH'!$H:$H,'ELC TECH'!AV:AV))</f>
        <v>0.162981834266958</v>
      </c>
      <c r="BB168" s="12">
        <f>IF(_xlfn.XLOOKUP($B168,'ELC TECH'!$H:$H,'ELC TECH'!$E:$E)="Storage","",_xlfn.XLOOKUP($B168,'ELC TECH'!$H:$H,'ELC TECH'!AW:AW))</f>
        <v>0.164384782873361</v>
      </c>
      <c r="BC168" s="12">
        <f>IF(_xlfn.XLOOKUP($B168,'ELC TECH'!$H:$H,'ELC TECH'!$E:$E)="Storage","",_xlfn.XLOOKUP($B168,'ELC TECH'!$H:$H,'ELC TECH'!AX:AX))</f>
        <v>0.165787731479764</v>
      </c>
      <c r="BD168" s="12">
        <f>IF(_xlfn.XLOOKUP($B168,'ELC TECH'!$H:$H,'ELC TECH'!$E:$E)="Storage","",_xlfn.XLOOKUP($B168,'ELC TECH'!$H:$H,'ELC TECH'!AY:AY))</f>
        <v>0.167190680086168</v>
      </c>
      <c r="BE168" s="12">
        <f>IF(_xlfn.XLOOKUP($B168,'ELC TECH'!$H:$H,'ELC TECH'!$E:$E)="Storage","",_xlfn.XLOOKUP($B168,'ELC TECH'!$H:$H,'ELC TECH'!AZ:AZ))</f>
        <v>0.167190680086168</v>
      </c>
      <c r="BF168" s="12" t="str">
        <f>IF(_xlfn.XLOOKUP($B168,'ELC TECH'!$H:$H,'ELC TECH'!$E:$E)="Storage",_xlfn.XLOOKUP($B168,'ELC TECH'!$H:$H,'ELC TECH'!AS:AS),"")</f>
        <v/>
      </c>
      <c r="BG168" s="12" t="str">
        <f>IF(_xlfn.XLOOKUP($B168,'ELC TECH'!$H:$H,'ELC TECH'!$E:$E)="Storage",_xlfn.XLOOKUP($B168,'ELC TECH'!$H:$H,'ELC TECH'!AT:AT),"")</f>
        <v/>
      </c>
      <c r="BH168" s="12" t="str">
        <f>IF(_xlfn.XLOOKUP($B168,'ELC TECH'!$H:$H,'ELC TECH'!$E:$E)="Storage",_xlfn.XLOOKUP($B168,'ELC TECH'!$H:$H,'ELC TECH'!AU:AU),"")</f>
        <v/>
      </c>
      <c r="BI168" s="12" t="str">
        <f>IF(_xlfn.XLOOKUP($B168,'ELC TECH'!$H:$H,'ELC TECH'!$E:$E)="Storage",_xlfn.XLOOKUP($B168,'ELC TECH'!$H:$H,'ELC TECH'!AV:AV),"")</f>
        <v/>
      </c>
      <c r="BJ168" s="12" t="str">
        <f>IF(_xlfn.XLOOKUP($B168,'ELC TECH'!$H:$H,'ELC TECH'!$E:$E)="Storage",_xlfn.XLOOKUP($B168,'ELC TECH'!$H:$H,'ELC TECH'!AW:AW),"")</f>
        <v/>
      </c>
      <c r="BK168" s="12" t="str">
        <f>IF(_xlfn.XLOOKUP($B168,'ELC TECH'!$H:$H,'ELC TECH'!$E:$E)="Storage",_xlfn.XLOOKUP($B168,'ELC TECH'!$H:$H,'ELC TECH'!AX:AX),"")</f>
        <v/>
      </c>
      <c r="BL168" s="12" t="str">
        <f>IF(_xlfn.XLOOKUP($B168,'ELC TECH'!$H:$H,'ELC TECH'!$E:$E)="Storage",_xlfn.XLOOKUP($B168,'ELC TECH'!$H:$H,'ELC TECH'!AY:AY),"")</f>
        <v/>
      </c>
      <c r="BM168" s="12" t="str">
        <f>IF(_xlfn.XLOOKUP($B168,'ELC TECH'!$H:$H,'ELC TECH'!$E:$E)="Storage",_xlfn.XLOOKUP($B168,'ELC TECH'!$H:$H,'ELC TECH'!AZ:AZ),"")</f>
        <v/>
      </c>
      <c r="BN168" s="8">
        <f>IF(_xlfn.XLOOKUP($B168,'ELC TECH'!$H:$H,'ELC TECH'!$E:$E)="Non Dispatchable",IFERROR($AX168*_xlfn.XLOOKUP($C168,$BM$1:$BM$3,BN$1:BN$3)/SUMPRODUCT(_xlfn.XLOOKUP($C168,$BM$1:$BM$3,$BN$1:$BY$3),$BN$4:$BY$4),""),
"")</f>
        <v>0.25134824280675305</v>
      </c>
      <c r="BO168" s="8">
        <f>IF(_xlfn.XLOOKUP($B168,'ELC TECH'!$H:$H,'ELC TECH'!$E:$E)="Non Dispatchable",IFERROR($AX168*_xlfn.XLOOKUP($C168,$BM$1:$BM$3,BO$1:BO$3)/SUMPRODUCT(_xlfn.XLOOKUP($C168,$BM$1:$BM$3,$BN$1:$BY$3),$BN$4:$BY$4),""),
"")</f>
        <v>0.25134824280675305</v>
      </c>
      <c r="BP168" s="8">
        <f>IF(_xlfn.XLOOKUP($B168,'ELC TECH'!$H:$H,'ELC TECH'!$E:$E)="Non Dispatchable",IFERROR($AX168*_xlfn.XLOOKUP($C168,$BM$1:$BM$3,BP$1:BP$3)/SUMPRODUCT(_xlfn.XLOOKUP($C168,$BM$1:$BM$3,$BN$1:$BY$3),$BN$4:$BY$4),""),
"")</f>
        <v>2.5134824280675306E-2</v>
      </c>
      <c r="BQ168" s="8">
        <f>IF(_xlfn.XLOOKUP($B168,'ELC TECH'!$H:$H,'ELC TECH'!$E:$E)="Non Dispatchable",IFERROR($AX168*_xlfn.XLOOKUP($C168,$BM$1:$BM$3,BQ$1:BQ$3)/SUMPRODUCT(_xlfn.XLOOKUP($C168,$BM$1:$BM$3,$BN$1:$BY$3),$BN$4:$BY$4),""),
"")</f>
        <v>0</v>
      </c>
      <c r="BR168" s="8">
        <f>IF(_xlfn.XLOOKUP($B168,'ELC TECH'!$H:$H,'ELC TECH'!$E:$E)="Non Dispatchable",IFERROR($AX168*_xlfn.XLOOKUP($C168,$BM$1:$BM$3,BR$1:BR$3)/SUMPRODUCT(_xlfn.XLOOKUP($C168,$BM$1:$BM$3,$BN$1:$BY$3),$BN$4:$BY$4),""),
"")</f>
        <v>0.28948545490059246</v>
      </c>
      <c r="BS168" s="8">
        <f>IF(_xlfn.XLOOKUP($B168,'ELC TECH'!$H:$H,'ELC TECH'!$E:$E)="Non Dispatchable",IFERROR($AX168*_xlfn.XLOOKUP($C168,$BM$1:$BM$3,BS$1:BS$3)/SUMPRODUCT(_xlfn.XLOOKUP($C168,$BM$1:$BM$3,$BN$1:$BY$3),$BN$4:$BY$4),""),
"")</f>
        <v>0.28948545490059246</v>
      </c>
      <c r="BT168" s="8">
        <f>IF(_xlfn.XLOOKUP($B168,'ELC TECH'!$H:$H,'ELC TECH'!$E:$E)="Non Dispatchable",IFERROR($AX168*_xlfn.XLOOKUP($C168,$BM$1:$BM$3,BT$1:BT$3)/SUMPRODUCT(_xlfn.XLOOKUP($C168,$BM$1:$BM$3,$BN$1:$BY$3),$BN$4:$BY$4),""),
"")</f>
        <v>2.8948545490059249E-2</v>
      </c>
      <c r="BU168" s="8">
        <f>IF(_xlfn.XLOOKUP($B168,'ELC TECH'!$H:$H,'ELC TECH'!$E:$E)="Non Dispatchable",IFERROR($AX168*_xlfn.XLOOKUP($C168,$BM$1:$BM$3,BU$1:BU$3)/SUMPRODUCT(_xlfn.XLOOKUP($C168,$BM$1:$BM$3,$BN$1:$BY$3),$BN$4:$BY$4),""),
"")</f>
        <v>0</v>
      </c>
      <c r="BV168" s="8">
        <f>IF(_xlfn.XLOOKUP($B168,'ELC TECH'!$H:$H,'ELC TECH'!$E:$E)="Non Dispatchable",IFERROR($AX168*_xlfn.XLOOKUP($C168,$BM$1:$BM$3,BV$1:BV$3)/SUMPRODUCT(_xlfn.XLOOKUP($C168,$BM$1:$BM$3,$BN$1:$BY$3),$BN$4:$BY$4),""),
"")</f>
        <v>0.24217970080495277</v>
      </c>
      <c r="BW168" s="8">
        <f>IF(_xlfn.XLOOKUP($B168,'ELC TECH'!$H:$H,'ELC TECH'!$E:$E)="Non Dispatchable",IFERROR($AX168*_xlfn.XLOOKUP($C168,$BM$1:$BM$3,BW$1:BW$3)/SUMPRODUCT(_xlfn.XLOOKUP($C168,$BM$1:$BM$3,$BN$1:$BY$3),$BN$4:$BY$4),""),
"")</f>
        <v>0.24217970080495277</v>
      </c>
      <c r="BX168" s="8">
        <f>IF(_xlfn.XLOOKUP($B168,'ELC TECH'!$H:$H,'ELC TECH'!$E:$E)="Non Dispatchable",IFERROR($AX168*_xlfn.XLOOKUP($C168,$BM$1:$BM$3,BX$1:BX$3)/SUMPRODUCT(_xlfn.XLOOKUP($C168,$BM$1:$BM$3,$BN$1:$BY$3),$BN$4:$BY$4),""),
"")</f>
        <v>2.4217970080495275E-2</v>
      </c>
      <c r="BY168" s="8">
        <f>IF(_xlfn.XLOOKUP($B168,'ELC TECH'!$H:$H,'ELC TECH'!$E:$E)="Non Dispatchable",IFERROR($AX168*_xlfn.XLOOKUP($C168,$BM$1:$BM$3,BY$1:BY$3)/SUMPRODUCT(_xlfn.XLOOKUP($C168,$BM$1:$BM$3,$BN$1:$BY$3),$BN$4:$BY$4),""),
"")</f>
        <v>0</v>
      </c>
      <c r="BZ168" s="8">
        <f>IF(_xlfn.XLOOKUP($B168,'ELC TECH'!$H:$H,'ELC TECH'!$E:$E)="Non Dispatchable",IFERROR($AX168*_xlfn.XLOOKUP($C168,$BM$1:$BM$3,BZ$1:BZ$3)/SUMPRODUCT(_xlfn.XLOOKUP($C168,$BM$1:$BM$3,$BN$1:$BY$3),$BN$4:$BY$4),""),
"")</f>
        <v>0.25134824280675305</v>
      </c>
      <c r="CA168" s="8">
        <f>IF(_xlfn.XLOOKUP($B168,'ELC TECH'!$H:$H,'ELC TECH'!$E:$E)="Non Dispatchable",IFERROR($AX168*_xlfn.XLOOKUP($C168,$BM$1:$BM$3,CA$1:CA$3)/SUMPRODUCT(_xlfn.XLOOKUP($C168,$BM$1:$BM$3,$BN$1:$BY$3),$BN$4:$BY$4),""),
"")</f>
        <v>0.25134824280675305</v>
      </c>
      <c r="CB168" s="8">
        <f>IF(_xlfn.XLOOKUP($B168,'ELC TECH'!$H:$H,'ELC TECH'!$E:$E)="Non Dispatchable",IFERROR($AX168*_xlfn.XLOOKUP($C168,$BM$1:$BM$3,CB$1:CB$3)/SUMPRODUCT(_xlfn.XLOOKUP($C168,$BM$1:$BM$3,$BN$1:$BY$3),$BN$4:$BY$4),""),
"")</f>
        <v>2.5134824280675306E-2</v>
      </c>
      <c r="CC168" s="8">
        <f>IF(_xlfn.XLOOKUP($B168,'ELC TECH'!$H:$H,'ELC TECH'!$E:$E)="Non Dispatchable",IFERROR($AX168*_xlfn.XLOOKUP($C168,$BM$1:$BM$3,CC$1:CC$3)/SUMPRODUCT(_xlfn.XLOOKUP($C168,$BM$1:$BM$3,$BN$1:$BY$3),$BN$4:$BY$4),""),
"")</f>
        <v>0</v>
      </c>
      <c r="CD168" s="8">
        <f>IF(_xlfn.XLOOKUP($B168,'ELC TECH'!$H:$H,'ELC TECH'!$E:$E)="Non Dispatchable",IFERROR($AX168*_xlfn.XLOOKUP($C168,$BM$1:$BM$3,CD$1:CD$3)/SUMPRODUCT(_xlfn.XLOOKUP($C168,$BM$1:$BM$3,$BN$1:$BY$3),$BN$4:$BY$4),""),
"")</f>
        <v>0.28948545490059246</v>
      </c>
      <c r="CE168" s="8">
        <f>IF(_xlfn.XLOOKUP($B168,'ELC TECH'!$H:$H,'ELC TECH'!$E:$E)="Non Dispatchable",IFERROR($AX168*_xlfn.XLOOKUP($C168,$BM$1:$BM$3,CE$1:CE$3)/SUMPRODUCT(_xlfn.XLOOKUP($C168,$BM$1:$BM$3,$BN$1:$BY$3),$BN$4:$BY$4),""),
"")</f>
        <v>0.28948545490059246</v>
      </c>
      <c r="CF168" s="8">
        <f>IF(_xlfn.XLOOKUP($B168,'ELC TECH'!$H:$H,'ELC TECH'!$E:$E)="Non Dispatchable",IFERROR($AX168*_xlfn.XLOOKUP($C168,$BM$1:$BM$3,CF$1:CF$3)/SUMPRODUCT(_xlfn.XLOOKUP($C168,$BM$1:$BM$3,$BN$1:$BY$3),$BN$4:$BY$4),""),
"")</f>
        <v>2.8948545490059249E-2</v>
      </c>
      <c r="CG168" s="8">
        <f>IF(_xlfn.XLOOKUP($B168,'ELC TECH'!$H:$H,'ELC TECH'!$E:$E)="Non Dispatchable",IFERROR($AX168*_xlfn.XLOOKUP($C168,$BM$1:$BM$3,CG$1:CG$3)/SUMPRODUCT(_xlfn.XLOOKUP($C168,$BM$1:$BM$3,$BN$1:$BY$3),$BN$4:$BY$4),""),
"")</f>
        <v>0</v>
      </c>
      <c r="CH168" s="8">
        <f>IF(_xlfn.XLOOKUP($B168,'ELC TECH'!$H:$H,'ELC TECH'!$E:$E)="Non Dispatchable",IFERROR($AX168*_xlfn.XLOOKUP($C168,$BM$1:$BM$3,CH$1:CH$3)/SUMPRODUCT(_xlfn.XLOOKUP($C168,$BM$1:$BM$3,$BN$1:$BY$3),$BN$4:$BY$4),""),
"")</f>
        <v>0.24217970080495277</v>
      </c>
      <c r="CI168" s="8">
        <f>IF(_xlfn.XLOOKUP($B168,'ELC TECH'!$H:$H,'ELC TECH'!$E:$E)="Non Dispatchable",IFERROR($AX168*_xlfn.XLOOKUP($C168,$BM$1:$BM$3,CI$1:CI$3)/SUMPRODUCT(_xlfn.XLOOKUP($C168,$BM$1:$BM$3,$BN$1:$BY$3),$BN$4:$BY$4),""),
"")</f>
        <v>0.24217970080495277</v>
      </c>
      <c r="CJ168" s="8">
        <f>IF(_xlfn.XLOOKUP($B168,'ELC TECH'!$H:$H,'ELC TECH'!$E:$E)="Non Dispatchable",IFERROR($AX168*_xlfn.XLOOKUP($C168,$BM$1:$BM$3,CJ$1:CJ$3)/SUMPRODUCT(_xlfn.XLOOKUP($C168,$BM$1:$BM$3,$BN$1:$BY$3),$BN$4:$BY$4),""),
"")</f>
        <v>2.4217970080495275E-2</v>
      </c>
      <c r="CK168" s="8">
        <f>IF(_xlfn.XLOOKUP($B168,'ELC TECH'!$H:$H,'ELC TECH'!$E:$E)="Non Dispatchable",IFERROR($AX168*_xlfn.XLOOKUP($C168,$BM$1:$BM$3,CK$1:CK$3)/SUMPRODUCT(_xlfn.XLOOKUP($C168,$BM$1:$BM$3,$BN$1:$BY$3),$BN$4:$BY$4),""),
"")</f>
        <v>0</v>
      </c>
      <c r="CL168" s="8" t="str">
        <f>IF(_xlfn.XLOOKUP($B168,'ELC TECH'!$H:$H,'ELC TECH'!$E:$E)="Storage",CL$4*$BF168,"")</f>
        <v/>
      </c>
      <c r="CM168" s="8" t="str">
        <f>IF(_xlfn.XLOOKUP($B168,'ELC TECH'!$H:$H,'ELC TECH'!$E:$E)="Storage",CM$4*$BF168,"")</f>
        <v/>
      </c>
      <c r="CN168" s="8" t="str">
        <f>IF(_xlfn.XLOOKUP($B168,'ELC TECH'!$H:$H,'ELC TECH'!$E:$E)="Storage",CN$4*$BF168,"")</f>
        <v/>
      </c>
      <c r="CO168" s="8" t="str">
        <f>IF(_xlfn.XLOOKUP($B168,'ELC TECH'!$H:$H,'ELC TECH'!$E:$E)="Storage",CO$4*$BF168,"")</f>
        <v/>
      </c>
      <c r="CP168" s="8" t="str">
        <f>IF(_xlfn.XLOOKUP($B168,'ELC TECH'!$H:$H,'ELC TECH'!$E:$E)="Storage",CP$4*$BF168,"")</f>
        <v/>
      </c>
      <c r="CQ168" s="8" t="str">
        <f>IF(_xlfn.XLOOKUP($B168,'ELC TECH'!$H:$H,'ELC TECH'!$E:$E)="Storage",CQ$4*$BF168,"")</f>
        <v/>
      </c>
      <c r="CR168" s="8" t="str">
        <f>IF(_xlfn.XLOOKUP($B168,'ELC TECH'!$H:$H,'ELC TECH'!$E:$E)="Storage",CR$4*$BF168,"")</f>
        <v/>
      </c>
      <c r="CS168" s="8" t="str">
        <f>IF(_xlfn.XLOOKUP($B168,'ELC TECH'!$H:$H,'ELC TECH'!$E:$E)="Storage",CS$4*$BF168,"")</f>
        <v/>
      </c>
      <c r="CT168" s="8" t="str">
        <f>IF(_xlfn.XLOOKUP($B168,'ELC TECH'!$H:$H,'ELC TECH'!$E:$E)="Storage",CT$4*$BF168,"")</f>
        <v/>
      </c>
      <c r="CU168" s="8" t="str">
        <f>IF(_xlfn.XLOOKUP($B168,'ELC TECH'!$H:$H,'ELC TECH'!$E:$E)="Storage",CU$4*$BF168,"")</f>
        <v/>
      </c>
      <c r="CV168" s="8" t="str">
        <f>IF(_xlfn.XLOOKUP($B168,'ELC TECH'!$H:$H,'ELC TECH'!$E:$E)="Storage",CV$4*$BF168,"")</f>
        <v/>
      </c>
      <c r="CW168" s="8" t="str">
        <f>IF(_xlfn.XLOOKUP($B168,'ELC TECH'!$H:$H,'ELC TECH'!$E:$E)="Storage",CW$4*$BF168,"")</f>
        <v/>
      </c>
      <c r="CX168" s="8" t="str">
        <f>IF(_xlfn.XLOOKUP($B168,'ELC TECH'!$H:$H,'ELC TECH'!$E:$E)="Storage",CX$4*$BF168,"")</f>
        <v/>
      </c>
      <c r="CY168" s="8" t="str">
        <f>IF(_xlfn.XLOOKUP($B168,'ELC TECH'!$H:$H,'ELC TECH'!$E:$E)="Storage",CY$4*$BF168,"")</f>
        <v/>
      </c>
      <c r="CZ168" s="8" t="str">
        <f>IF(_xlfn.XLOOKUP($B168,'ELC TECH'!$H:$H,'ELC TECH'!$E:$E)="Storage",CZ$4*$BF168,"")</f>
        <v/>
      </c>
      <c r="DA168" s="8" t="str">
        <f>IF(_xlfn.XLOOKUP($B168,'ELC TECH'!$H:$H,'ELC TECH'!$E:$E)="Storage",DA$4*$BF168,"")</f>
        <v/>
      </c>
      <c r="DB168" s="8" t="str">
        <f>IF(_xlfn.XLOOKUP($B168,'ELC TECH'!$H:$H,'ELC TECH'!$E:$E)="Storage",DB$4*$BF168,"")</f>
        <v/>
      </c>
      <c r="DC168" s="8" t="str">
        <f>IF(_xlfn.XLOOKUP($B168,'ELC TECH'!$H:$H,'ELC TECH'!$E:$E)="Storage",DC$4*$BF168,"")</f>
        <v/>
      </c>
      <c r="DD168" s="8" t="str">
        <f>IF(_xlfn.XLOOKUP($B168,'ELC TECH'!$H:$H,'ELC TECH'!$E:$E)="Storage",DD$4*$BF168,"")</f>
        <v/>
      </c>
      <c r="DE168" s="8" t="str">
        <f>IF(_xlfn.XLOOKUP($B168,'ELC TECH'!$H:$H,'ELC TECH'!$E:$E)="Storage",DE$4*$BF168,"")</f>
        <v/>
      </c>
      <c r="DF168" s="8" t="str">
        <f>IF(_xlfn.XLOOKUP($B168,'ELC TECH'!$H:$H,'ELC TECH'!$E:$E)="Storage",DF$4*$BF168,"")</f>
        <v/>
      </c>
      <c r="DG168" s="8" t="str">
        <f>IF(_xlfn.XLOOKUP($B168,'ELC TECH'!$H:$H,'ELC TECH'!$E:$E)="Storage",DG$4*$BF168,"")</f>
        <v/>
      </c>
      <c r="DH168" s="8" t="str">
        <f>IF(_xlfn.XLOOKUP($B168,'ELC TECH'!$H:$H,'ELC TECH'!$E:$E)="Storage",DH$4*$BF168,"")</f>
        <v/>
      </c>
      <c r="DI168" s="8" t="str">
        <f>IF(_xlfn.XLOOKUP($B168,'ELC TECH'!$H:$H,'ELC TECH'!$E:$E)="Storage",DI$4*$BF168,"")</f>
        <v/>
      </c>
    </row>
    <row r="169" spans="2:113" x14ac:dyDescent="0.25">
      <c r="B169" t="str">
        <f>IF('ELC TECH'!I162=0,"*",'ELC TECH'!H162)</f>
        <v>ELCSOLDCERDPV520</v>
      </c>
      <c r="C169" t="str">
        <f>IF(_xlfn.XLOOKUP(_xlfn.XLOOKUP(B169,'ELC TECH'!$H:$H,'ELC TECH'!$G:$G),List!C:C,List!B:B)="STG",D169,"ELC"&amp;_xlfn.XLOOKUP(_xlfn.XLOOKUP(B169,'ELC TECH'!H:H,'ELC TECH'!G:G),List!C:C,List!B:B))</f>
        <v>ELCSOL</v>
      </c>
      <c r="D169" t="s">
        <v>545</v>
      </c>
      <c r="E169">
        <f>_xlfn.XLOOKUP(B169,'ELC TECH'!H:H,'ELC TECH'!D:D)</f>
        <v>2020</v>
      </c>
      <c r="F169">
        <f>_xlfn.XLOOKUP(B169,'ELC TECH'!H:H,'ELC TECH'!K:K)</f>
        <v>30</v>
      </c>
      <c r="G169">
        <f t="shared" si="8"/>
        <v>31.535999999999998</v>
      </c>
      <c r="H169">
        <f>IF(_xlfn.XLOOKUP(B169,'ELC TECH'!$H:$H,'ELC TECH'!$E:$E)="Storage",0.3,IF(_xlfn.XLOOKUP(B169,'ELC TECH'!$H:$H,'ELC TECH'!$E:$E)="Baseload",0.9,IF(_xlfn.XLOOKUP(B169,'ELC TECH'!$H:$H,'ELC TECH'!$E:$E)="Non Dispatchable",0.05,IF(_xlfn.XLOOKUP(B169,'ELC TECH'!$H:$H,'ELC TECH'!$E:$E)="Dispatchable",0.9,1))))</f>
        <v>0.05</v>
      </c>
      <c r="I169" s="13">
        <f>IF(_xlfn.XLOOKUP(B169,'ELC TECH'!H:H,'ELC TECH'!J:J)="","",_xlfn.XLOOKUP(B169,'ELC TECH'!H:H,'ELC TECH'!J:J))</f>
        <v>700.17955000000006</v>
      </c>
      <c r="J169" s="12">
        <f>IF(_xlfn.XLOOKUP($B169,'ELC TECH'!$H:$H,'ELC TECH'!$E:$E)="Storage","",IF(_xlfn.XLOOKUP($B169,'ELC TECH'!$H:$H,'ELC TECH'!AK:AK)="",1,_xlfn.XLOOKUP($B169,'ELC TECH'!$H:$H,'ELC TECH'!AK:AK)))</f>
        <v>1</v>
      </c>
      <c r="K169" s="12">
        <f>IF(_xlfn.XLOOKUP($B169,'ELC TECH'!$H:$H,'ELC TECH'!$E:$E)="Storage","",IF(_xlfn.XLOOKUP($B169,'ELC TECH'!$H:$H,'ELC TECH'!AL:AL)="",1,_xlfn.XLOOKUP($B169,'ELC TECH'!$H:$H,'ELC TECH'!AL:AL)))</f>
        <v>1</v>
      </c>
      <c r="L169" s="12">
        <f>IF(_xlfn.XLOOKUP($B169,'ELC TECH'!$H:$H,'ELC TECH'!$E:$E)="Storage","",IF(_xlfn.XLOOKUP($B169,'ELC TECH'!$H:$H,'ELC TECH'!AM:AM)="",1,_xlfn.XLOOKUP($B169,'ELC TECH'!$H:$H,'ELC TECH'!AM:AM)))</f>
        <v>1</v>
      </c>
      <c r="M169" s="12">
        <f>IF(_xlfn.XLOOKUP($B169,'ELC TECH'!$H:$H,'ELC TECH'!$E:$E)="Storage","",IF(_xlfn.XLOOKUP($B169,'ELC TECH'!$H:$H,'ELC TECH'!AN:AN)="",1,_xlfn.XLOOKUP($B169,'ELC TECH'!$H:$H,'ELC TECH'!AN:AN)))</f>
        <v>1</v>
      </c>
      <c r="N169" s="12">
        <f>IF(_xlfn.XLOOKUP($B169,'ELC TECH'!$H:$H,'ELC TECH'!$E:$E)="Storage","",IF(_xlfn.XLOOKUP($B169,'ELC TECH'!$H:$H,'ELC TECH'!AO:AO)="",1,_xlfn.XLOOKUP($B169,'ELC TECH'!$H:$H,'ELC TECH'!AO:AO)))</f>
        <v>1</v>
      </c>
      <c r="O169" s="12">
        <f>IF(_xlfn.XLOOKUP($B169,'ELC TECH'!$H:$H,'ELC TECH'!$E:$E)="Storage","",IF(_xlfn.XLOOKUP($B169,'ELC TECH'!$H:$H,'ELC TECH'!AP:AP)="",1,_xlfn.XLOOKUP($B169,'ELC TECH'!$H:$H,'ELC TECH'!AP:AP)))</f>
        <v>1</v>
      </c>
      <c r="P169" s="12">
        <f>IF(_xlfn.XLOOKUP($B169,'ELC TECH'!$H:$H,'ELC TECH'!$E:$E)="Storage","",IF(_xlfn.XLOOKUP($B169,'ELC TECH'!$H:$H,'ELC TECH'!AQ:AQ)="",1,_xlfn.XLOOKUP($B169,'ELC TECH'!$H:$H,'ELC TECH'!AQ:AQ)))</f>
        <v>1</v>
      </c>
      <c r="Q169" s="12">
        <f>IF(_xlfn.XLOOKUP($B169,'ELC TECH'!$H:$H,'ELC TECH'!$E:$E)="Storage","",IF(_xlfn.XLOOKUP($B169,'ELC TECH'!$H:$H,'ELC TECH'!AR:AR)="",1,_xlfn.XLOOKUP($B169,'ELC TECH'!$H:$H,'ELC TECH'!AR:AR)))</f>
        <v>1</v>
      </c>
      <c r="R169" s="12" t="str">
        <f>IF(_xlfn.XLOOKUP($B169,'ELC TECH'!$H:$H,'ELC TECH'!$E:$E)&lt;&gt;"Storage","",IF(_xlfn.XLOOKUP($B169,'ELC TECH'!$H:$H,'ELC TECH'!AK:AK)="",0.8,_xlfn.XLOOKUP($B169,'ELC TECH'!$H:$H,'ELC TECH'!AK:AK)))</f>
        <v/>
      </c>
      <c r="S169" s="12" t="str">
        <f>IF(_xlfn.XLOOKUP($B169,'ELC TECH'!$H:$H,'ELC TECH'!$E:$E)&lt;&gt;"Storage","",IF(_xlfn.XLOOKUP($B169,'ELC TECH'!$H:$H,'ELC TECH'!AL:AL)="",0.8,_xlfn.XLOOKUP($B169,'ELC TECH'!$H:$H,'ELC TECH'!AL:AL)))</f>
        <v/>
      </c>
      <c r="T169" s="12" t="str">
        <f>IF(_xlfn.XLOOKUP($B169,'ELC TECH'!$H:$H,'ELC TECH'!$E:$E)&lt;&gt;"Storage","",IF(_xlfn.XLOOKUP($B169,'ELC TECH'!$H:$H,'ELC TECH'!AM:AM)="",0.8,_xlfn.XLOOKUP($B169,'ELC TECH'!$H:$H,'ELC TECH'!AM:AM)))</f>
        <v/>
      </c>
      <c r="U169" s="12" t="str">
        <f>IF(_xlfn.XLOOKUP($B169,'ELC TECH'!$H:$H,'ELC TECH'!$E:$E)&lt;&gt;"Storage","",IF(_xlfn.XLOOKUP($B169,'ELC TECH'!$H:$H,'ELC TECH'!AN:AN)="",0.8,_xlfn.XLOOKUP($B169,'ELC TECH'!$H:$H,'ELC TECH'!AN:AN)))</f>
        <v/>
      </c>
      <c r="V169" s="12" t="str">
        <f>IF(_xlfn.XLOOKUP($B169,'ELC TECH'!$H:$H,'ELC TECH'!$E:$E)&lt;&gt;"Storage","",IF(_xlfn.XLOOKUP($B169,'ELC TECH'!$H:$H,'ELC TECH'!AO:AO)="",0.8,_xlfn.XLOOKUP($B169,'ELC TECH'!$H:$H,'ELC TECH'!AO:AO)))</f>
        <v/>
      </c>
      <c r="W169" s="12" t="str">
        <f>IF(_xlfn.XLOOKUP($B169,'ELC TECH'!$H:$H,'ELC TECH'!$E:$E)&lt;&gt;"Storage","",IF(_xlfn.XLOOKUP($B169,'ELC TECH'!$H:$H,'ELC TECH'!AP:AP)="",0.8,_xlfn.XLOOKUP($B169,'ELC TECH'!$H:$H,'ELC TECH'!AP:AP)))</f>
        <v/>
      </c>
      <c r="X169" s="12" t="str">
        <f>IF(_xlfn.XLOOKUP($B169,'ELC TECH'!$H:$H,'ELC TECH'!$E:$E)&lt;&gt;"Storage","",IF(_xlfn.XLOOKUP($B169,'ELC TECH'!$H:$H,'ELC TECH'!AQ:AQ)="",0.8,_xlfn.XLOOKUP($B169,'ELC TECH'!$H:$H,'ELC TECH'!AQ:AQ)))</f>
        <v/>
      </c>
      <c r="Y169" s="12" t="str">
        <f>IF(_xlfn.XLOOKUP($B169,'ELC TECH'!$H:$H,'ELC TECH'!$E:$E)&lt;&gt;"Storage","",IF(_xlfn.XLOOKUP($B169,'ELC TECH'!$H:$H,'ELC TECH'!AR:AR)="",0.8,_xlfn.XLOOKUP($B169,'ELC TECH'!$H:$H,'ELC TECH'!AR:AR)))</f>
        <v/>
      </c>
      <c r="Z169" s="15">
        <f>_xlfn.XLOOKUP($B169,'ELC TECH'!$H:$H,'ELC TECH'!M:M)</f>
        <v>3232.554589138178</v>
      </c>
      <c r="AA169" s="15">
        <f>_xlfn.XLOOKUP($B169,'ELC TECH'!$H:$H,'ELC TECH'!N:N)</f>
        <v>2974.9201081634578</v>
      </c>
      <c r="AB169" s="15">
        <f>_xlfn.XLOOKUP($B169,'ELC TECH'!$H:$H,'ELC TECH'!O:O)</f>
        <v>2378.9027813256071</v>
      </c>
      <c r="AC169" s="15">
        <f>_xlfn.XLOOKUP($B169,'ELC TECH'!$H:$H,'ELC TECH'!P:P)</f>
        <v>1782.885454487767</v>
      </c>
      <c r="AD169" s="15">
        <f>_xlfn.XLOOKUP($B169,'ELC TECH'!$H:$H,'ELC TECH'!Q:Q)</f>
        <v>1610.1995746889211</v>
      </c>
      <c r="AE169" s="15">
        <f>_xlfn.XLOOKUP($B169,'ELC TECH'!$H:$H,'ELC TECH'!R:R)</f>
        <v>1437.5136948900749</v>
      </c>
      <c r="AF169" s="15">
        <f>_xlfn.XLOOKUP($B169,'ELC TECH'!$H:$H,'ELC TECH'!S:S)</f>
        <v>1264.827815091229</v>
      </c>
      <c r="AG169" s="15">
        <f>_xlfn.XLOOKUP($B169,'ELC TECH'!$H:$H,'ELC TECH'!T:T)</f>
        <v>1264.827815091229</v>
      </c>
      <c r="AH169" s="15">
        <f>_xlfn.XLOOKUP($B169,'ELC TECH'!$H:$H,'ELC TECH'!U:U)</f>
        <v>34.293446157052799</v>
      </c>
      <c r="AI169" s="15">
        <f>_xlfn.XLOOKUP($B169,'ELC TECH'!$H:$H,'ELC TECH'!V:V)</f>
        <v>31.784509373254991</v>
      </c>
      <c r="AJ169" s="15">
        <f>_xlfn.XLOOKUP($B169,'ELC TECH'!$H:$H,'ELC TECH'!W:W)</f>
        <v>26.108139740981851</v>
      </c>
      <c r="AK169" s="15">
        <f>_xlfn.XLOOKUP($B169,'ELC TECH'!$H:$H,'ELC TECH'!X:X)</f>
        <v>20.431770108708822</v>
      </c>
      <c r="AL169" s="15">
        <f>_xlfn.XLOOKUP($B169,'ELC TECH'!$H:$H,'ELC TECH'!Y:Y)</f>
        <v>18.787138585640339</v>
      </c>
      <c r="AM169" s="15">
        <f>_xlfn.XLOOKUP($B169,'ELC TECH'!$H:$H,'ELC TECH'!Z:Z)</f>
        <v>17.142507062571742</v>
      </c>
      <c r="AN169" s="15">
        <f>_xlfn.XLOOKUP($B169,'ELC TECH'!$H:$H,'ELC TECH'!AA:AA)</f>
        <v>15.49787553950326</v>
      </c>
      <c r="AO169" s="15">
        <f>_xlfn.XLOOKUP($B169,'ELC TECH'!$H:$H,'ELC TECH'!AB:AB)</f>
        <v>15.49787553950326</v>
      </c>
      <c r="AP169" s="15">
        <f>_xlfn.XLOOKUP($B169,'ELC TECH'!$H:$H,'ELC TECH'!AC:AC)</f>
        <v>0</v>
      </c>
      <c r="AQ169" s="15">
        <f>_xlfn.XLOOKUP($B169,'ELC TECH'!$H:$H,'ELC TECH'!AD:AD)</f>
        <v>0</v>
      </c>
      <c r="AR169" s="15">
        <f>_xlfn.XLOOKUP($B169,'ELC TECH'!$H:$H,'ELC TECH'!AE:AE)</f>
        <v>0</v>
      </c>
      <c r="AS169" s="15">
        <f>_xlfn.XLOOKUP($B169,'ELC TECH'!$H:$H,'ELC TECH'!AF:AF)</f>
        <v>0</v>
      </c>
      <c r="AT169" s="15">
        <f>_xlfn.XLOOKUP($B169,'ELC TECH'!$H:$H,'ELC TECH'!AG:AG)</f>
        <v>0</v>
      </c>
      <c r="AU169" s="15">
        <f>_xlfn.XLOOKUP($B169,'ELC TECH'!$H:$H,'ELC TECH'!AH:AH)</f>
        <v>0</v>
      </c>
      <c r="AV169" s="15">
        <f>_xlfn.XLOOKUP($B169,'ELC TECH'!$H:$H,'ELC TECH'!AI:AI)</f>
        <v>0</v>
      </c>
      <c r="AW169" s="15">
        <f>_xlfn.XLOOKUP($B169,'ELC TECH'!$H:$H,'ELC TECH'!AJ:AJ)</f>
        <v>0</v>
      </c>
      <c r="AX169" s="12">
        <f>IF(_xlfn.XLOOKUP($B169,'ELC TECH'!$H:$H,'ELC TECH'!$E:$E)="Storage","",_xlfn.XLOOKUP($B169,'ELC TECH'!$H:$H,'ELC TECH'!AS:AS))</f>
        <v>0.152109734046392</v>
      </c>
      <c r="AY169" s="12">
        <f>IF(_xlfn.XLOOKUP($B169,'ELC TECH'!$H:$H,'ELC TECH'!$E:$E)="Storage","",_xlfn.XLOOKUP($B169,'ELC TECH'!$H:$H,'ELC TECH'!AT:AT))</f>
        <v>0.15275554459878399</v>
      </c>
      <c r="AZ169" s="12">
        <f>IF(_xlfn.XLOOKUP($B169,'ELC TECH'!$H:$H,'ELC TECH'!$E:$E)="Storage","",_xlfn.XLOOKUP($B169,'ELC TECH'!$H:$H,'ELC TECH'!AU:AU))</f>
        <v>0.153562807789274</v>
      </c>
      <c r="BA169" s="12">
        <f>IF(_xlfn.XLOOKUP($B169,'ELC TECH'!$H:$H,'ELC TECH'!$E:$E)="Storage","",_xlfn.XLOOKUP($B169,'ELC TECH'!$H:$H,'ELC TECH'!AV:AV))</f>
        <v>0.15437007097976299</v>
      </c>
      <c r="BB169" s="12">
        <f>IF(_xlfn.XLOOKUP($B169,'ELC TECH'!$H:$H,'ELC TECH'!$E:$E)="Storage","",_xlfn.XLOOKUP($B169,'ELC TECH'!$H:$H,'ELC TECH'!AW:AW))</f>
        <v>0.155698889476165</v>
      </c>
      <c r="BC169" s="12">
        <f>IF(_xlfn.XLOOKUP($B169,'ELC TECH'!$H:$H,'ELC TECH'!$E:$E)="Storage","",_xlfn.XLOOKUP($B169,'ELC TECH'!$H:$H,'ELC TECH'!AX:AX))</f>
        <v>0.15702770797256699</v>
      </c>
      <c r="BD169" s="12">
        <f>IF(_xlfn.XLOOKUP($B169,'ELC TECH'!$H:$H,'ELC TECH'!$E:$E)="Storage","",_xlfn.XLOOKUP($B169,'ELC TECH'!$H:$H,'ELC TECH'!AY:AY))</f>
        <v>0.158356526468969</v>
      </c>
      <c r="BE169" s="12">
        <f>IF(_xlfn.XLOOKUP($B169,'ELC TECH'!$H:$H,'ELC TECH'!$E:$E)="Storage","",_xlfn.XLOOKUP($B169,'ELC TECH'!$H:$H,'ELC TECH'!AZ:AZ))</f>
        <v>0.158356526468969</v>
      </c>
      <c r="BF169" s="12" t="str">
        <f>IF(_xlfn.XLOOKUP($B169,'ELC TECH'!$H:$H,'ELC TECH'!$E:$E)="Storage",_xlfn.XLOOKUP($B169,'ELC TECH'!$H:$H,'ELC TECH'!AS:AS),"")</f>
        <v/>
      </c>
      <c r="BG169" s="12" t="str">
        <f>IF(_xlfn.XLOOKUP($B169,'ELC TECH'!$H:$H,'ELC TECH'!$E:$E)="Storage",_xlfn.XLOOKUP($B169,'ELC TECH'!$H:$H,'ELC TECH'!AT:AT),"")</f>
        <v/>
      </c>
      <c r="BH169" s="12" t="str">
        <f>IF(_xlfn.XLOOKUP($B169,'ELC TECH'!$H:$H,'ELC TECH'!$E:$E)="Storage",_xlfn.XLOOKUP($B169,'ELC TECH'!$H:$H,'ELC TECH'!AU:AU),"")</f>
        <v/>
      </c>
      <c r="BI169" s="12" t="str">
        <f>IF(_xlfn.XLOOKUP($B169,'ELC TECH'!$H:$H,'ELC TECH'!$E:$E)="Storage",_xlfn.XLOOKUP($B169,'ELC TECH'!$H:$H,'ELC TECH'!AV:AV),"")</f>
        <v/>
      </c>
      <c r="BJ169" s="12" t="str">
        <f>IF(_xlfn.XLOOKUP($B169,'ELC TECH'!$H:$H,'ELC TECH'!$E:$E)="Storage",_xlfn.XLOOKUP($B169,'ELC TECH'!$H:$H,'ELC TECH'!AW:AW),"")</f>
        <v/>
      </c>
      <c r="BK169" s="12" t="str">
        <f>IF(_xlfn.XLOOKUP($B169,'ELC TECH'!$H:$H,'ELC TECH'!$E:$E)="Storage",_xlfn.XLOOKUP($B169,'ELC TECH'!$H:$H,'ELC TECH'!AX:AX),"")</f>
        <v/>
      </c>
      <c r="BL169" s="12" t="str">
        <f>IF(_xlfn.XLOOKUP($B169,'ELC TECH'!$H:$H,'ELC TECH'!$E:$E)="Storage",_xlfn.XLOOKUP($B169,'ELC TECH'!$H:$H,'ELC TECH'!AY:AY),"")</f>
        <v/>
      </c>
      <c r="BM169" s="12" t="str">
        <f>IF(_xlfn.XLOOKUP($B169,'ELC TECH'!$H:$H,'ELC TECH'!$E:$E)="Storage",_xlfn.XLOOKUP($B169,'ELC TECH'!$H:$H,'ELC TECH'!AZ:AZ),"")</f>
        <v/>
      </c>
      <c r="BN169" s="8">
        <f>IF(_xlfn.XLOOKUP($B169,'ELC TECH'!$H:$H,'ELC TECH'!$E:$E)="Non Dispatchable",IFERROR($AX169*_xlfn.XLOOKUP($C169,$BM$1:$BM$3,BN$1:BN$3)/SUMPRODUCT(_xlfn.XLOOKUP($C169,$BM$1:$BM$3,$BN$1:$BY$3),$BN$4:$BY$4),""),
"")</f>
        <v>0.23806730521368005</v>
      </c>
      <c r="BO169" s="8">
        <f>IF(_xlfn.XLOOKUP($B169,'ELC TECH'!$H:$H,'ELC TECH'!$E:$E)="Non Dispatchable",IFERROR($AX169*_xlfn.XLOOKUP($C169,$BM$1:$BM$3,BO$1:BO$3)/SUMPRODUCT(_xlfn.XLOOKUP($C169,$BM$1:$BM$3,$BN$1:$BY$3),$BN$4:$BY$4),""),
"")</f>
        <v>0.23806730521368005</v>
      </c>
      <c r="BP169" s="8">
        <f>IF(_xlfn.XLOOKUP($B169,'ELC TECH'!$H:$H,'ELC TECH'!$E:$E)="Non Dispatchable",IFERROR($AX169*_xlfn.XLOOKUP($C169,$BM$1:$BM$3,BP$1:BP$3)/SUMPRODUCT(_xlfn.XLOOKUP($C169,$BM$1:$BM$3,$BN$1:$BY$3),$BN$4:$BY$4),""),
"")</f>
        <v>2.3806730521368009E-2</v>
      </c>
      <c r="BQ169" s="8">
        <f>IF(_xlfn.XLOOKUP($B169,'ELC TECH'!$H:$H,'ELC TECH'!$E:$E)="Non Dispatchable",IFERROR($AX169*_xlfn.XLOOKUP($C169,$BM$1:$BM$3,BQ$1:BQ$3)/SUMPRODUCT(_xlfn.XLOOKUP($C169,$BM$1:$BM$3,$BN$1:$BY$3),$BN$4:$BY$4),""),
"")</f>
        <v>0</v>
      </c>
      <c r="BR169" s="8">
        <f>IF(_xlfn.XLOOKUP($B169,'ELC TECH'!$H:$H,'ELC TECH'!$E:$E)="Non Dispatchable",IFERROR($AX169*_xlfn.XLOOKUP($C169,$BM$1:$BM$3,BR$1:BR$3)/SUMPRODUCT(_xlfn.XLOOKUP($C169,$BM$1:$BM$3,$BN$1:$BY$3),$BN$4:$BY$4),""),
"")</f>
        <v>0.27418939307933271</v>
      </c>
      <c r="BS169" s="8">
        <f>IF(_xlfn.XLOOKUP($B169,'ELC TECH'!$H:$H,'ELC TECH'!$E:$E)="Non Dispatchable",IFERROR($AX169*_xlfn.XLOOKUP($C169,$BM$1:$BM$3,BS$1:BS$3)/SUMPRODUCT(_xlfn.XLOOKUP($C169,$BM$1:$BM$3,$BN$1:$BY$3),$BN$4:$BY$4),""),
"")</f>
        <v>0.27418939307933271</v>
      </c>
      <c r="BT169" s="8">
        <f>IF(_xlfn.XLOOKUP($B169,'ELC TECH'!$H:$H,'ELC TECH'!$E:$E)="Non Dispatchable",IFERROR($AX169*_xlfn.XLOOKUP($C169,$BM$1:$BM$3,BT$1:BT$3)/SUMPRODUCT(_xlfn.XLOOKUP($C169,$BM$1:$BM$3,$BN$1:$BY$3),$BN$4:$BY$4),""),
"")</f>
        <v>2.7418939307933272E-2</v>
      </c>
      <c r="BU169" s="8">
        <f>IF(_xlfn.XLOOKUP($B169,'ELC TECH'!$H:$H,'ELC TECH'!$E:$E)="Non Dispatchable",IFERROR($AX169*_xlfn.XLOOKUP($C169,$BM$1:$BM$3,BU$1:BU$3)/SUMPRODUCT(_xlfn.XLOOKUP($C169,$BM$1:$BM$3,$BN$1:$BY$3),$BN$4:$BY$4),""),
"")</f>
        <v>0</v>
      </c>
      <c r="BV169" s="8">
        <f>IF(_xlfn.XLOOKUP($B169,'ELC TECH'!$H:$H,'ELC TECH'!$E:$E)="Non Dispatchable",IFERROR($AX169*_xlfn.XLOOKUP($C169,$BM$1:$BM$3,BV$1:BV$3)/SUMPRODUCT(_xlfn.XLOOKUP($C169,$BM$1:$BM$3,$BN$1:$BY$3),$BN$4:$BY$4),""),
"")</f>
        <v>0.22938321789827676</v>
      </c>
      <c r="BW169" s="8">
        <f>IF(_xlfn.XLOOKUP($B169,'ELC TECH'!$H:$H,'ELC TECH'!$E:$E)="Non Dispatchable",IFERROR($AX169*_xlfn.XLOOKUP($C169,$BM$1:$BM$3,BW$1:BW$3)/SUMPRODUCT(_xlfn.XLOOKUP($C169,$BM$1:$BM$3,$BN$1:$BY$3),$BN$4:$BY$4),""),
"")</f>
        <v>0.22938321789827676</v>
      </c>
      <c r="BX169" s="8">
        <f>IF(_xlfn.XLOOKUP($B169,'ELC TECH'!$H:$H,'ELC TECH'!$E:$E)="Non Dispatchable",IFERROR($AX169*_xlfn.XLOOKUP($C169,$BM$1:$BM$3,BX$1:BX$3)/SUMPRODUCT(_xlfn.XLOOKUP($C169,$BM$1:$BM$3,$BN$1:$BY$3),$BN$4:$BY$4),""),
"")</f>
        <v>2.293832178982768E-2</v>
      </c>
      <c r="BY169" s="8">
        <f>IF(_xlfn.XLOOKUP($B169,'ELC TECH'!$H:$H,'ELC TECH'!$E:$E)="Non Dispatchable",IFERROR($AX169*_xlfn.XLOOKUP($C169,$BM$1:$BM$3,BY$1:BY$3)/SUMPRODUCT(_xlfn.XLOOKUP($C169,$BM$1:$BM$3,$BN$1:$BY$3),$BN$4:$BY$4),""),
"")</f>
        <v>0</v>
      </c>
      <c r="BZ169" s="8">
        <f>IF(_xlfn.XLOOKUP($B169,'ELC TECH'!$H:$H,'ELC TECH'!$E:$E)="Non Dispatchable",IFERROR($AX169*_xlfn.XLOOKUP($C169,$BM$1:$BM$3,BZ$1:BZ$3)/SUMPRODUCT(_xlfn.XLOOKUP($C169,$BM$1:$BM$3,$BN$1:$BY$3),$BN$4:$BY$4),""),
"")</f>
        <v>0.23806730521368005</v>
      </c>
      <c r="CA169" s="8">
        <f>IF(_xlfn.XLOOKUP($B169,'ELC TECH'!$H:$H,'ELC TECH'!$E:$E)="Non Dispatchable",IFERROR($AX169*_xlfn.XLOOKUP($C169,$BM$1:$BM$3,CA$1:CA$3)/SUMPRODUCT(_xlfn.XLOOKUP($C169,$BM$1:$BM$3,$BN$1:$BY$3),$BN$4:$BY$4),""),
"")</f>
        <v>0.23806730521368005</v>
      </c>
      <c r="CB169" s="8">
        <f>IF(_xlfn.XLOOKUP($B169,'ELC TECH'!$H:$H,'ELC TECH'!$E:$E)="Non Dispatchable",IFERROR($AX169*_xlfn.XLOOKUP($C169,$BM$1:$BM$3,CB$1:CB$3)/SUMPRODUCT(_xlfn.XLOOKUP($C169,$BM$1:$BM$3,$BN$1:$BY$3),$BN$4:$BY$4),""),
"")</f>
        <v>2.3806730521368009E-2</v>
      </c>
      <c r="CC169" s="8">
        <f>IF(_xlfn.XLOOKUP($B169,'ELC TECH'!$H:$H,'ELC TECH'!$E:$E)="Non Dispatchable",IFERROR($AX169*_xlfn.XLOOKUP($C169,$BM$1:$BM$3,CC$1:CC$3)/SUMPRODUCT(_xlfn.XLOOKUP($C169,$BM$1:$BM$3,$BN$1:$BY$3),$BN$4:$BY$4),""),
"")</f>
        <v>0</v>
      </c>
      <c r="CD169" s="8">
        <f>IF(_xlfn.XLOOKUP($B169,'ELC TECH'!$H:$H,'ELC TECH'!$E:$E)="Non Dispatchable",IFERROR($AX169*_xlfn.XLOOKUP($C169,$BM$1:$BM$3,CD$1:CD$3)/SUMPRODUCT(_xlfn.XLOOKUP($C169,$BM$1:$BM$3,$BN$1:$BY$3),$BN$4:$BY$4),""),
"")</f>
        <v>0.27418939307933271</v>
      </c>
      <c r="CE169" s="8">
        <f>IF(_xlfn.XLOOKUP($B169,'ELC TECH'!$H:$H,'ELC TECH'!$E:$E)="Non Dispatchable",IFERROR($AX169*_xlfn.XLOOKUP($C169,$BM$1:$BM$3,CE$1:CE$3)/SUMPRODUCT(_xlfn.XLOOKUP($C169,$BM$1:$BM$3,$BN$1:$BY$3),$BN$4:$BY$4),""),
"")</f>
        <v>0.27418939307933271</v>
      </c>
      <c r="CF169" s="8">
        <f>IF(_xlfn.XLOOKUP($B169,'ELC TECH'!$H:$H,'ELC TECH'!$E:$E)="Non Dispatchable",IFERROR($AX169*_xlfn.XLOOKUP($C169,$BM$1:$BM$3,CF$1:CF$3)/SUMPRODUCT(_xlfn.XLOOKUP($C169,$BM$1:$BM$3,$BN$1:$BY$3),$BN$4:$BY$4),""),
"")</f>
        <v>2.7418939307933272E-2</v>
      </c>
      <c r="CG169" s="8">
        <f>IF(_xlfn.XLOOKUP($B169,'ELC TECH'!$H:$H,'ELC TECH'!$E:$E)="Non Dispatchable",IFERROR($AX169*_xlfn.XLOOKUP($C169,$BM$1:$BM$3,CG$1:CG$3)/SUMPRODUCT(_xlfn.XLOOKUP($C169,$BM$1:$BM$3,$BN$1:$BY$3),$BN$4:$BY$4),""),
"")</f>
        <v>0</v>
      </c>
      <c r="CH169" s="8">
        <f>IF(_xlfn.XLOOKUP($B169,'ELC TECH'!$H:$H,'ELC TECH'!$E:$E)="Non Dispatchable",IFERROR($AX169*_xlfn.XLOOKUP($C169,$BM$1:$BM$3,CH$1:CH$3)/SUMPRODUCT(_xlfn.XLOOKUP($C169,$BM$1:$BM$3,$BN$1:$BY$3),$BN$4:$BY$4),""),
"")</f>
        <v>0.22938321789827676</v>
      </c>
      <c r="CI169" s="8">
        <f>IF(_xlfn.XLOOKUP($B169,'ELC TECH'!$H:$H,'ELC TECH'!$E:$E)="Non Dispatchable",IFERROR($AX169*_xlfn.XLOOKUP($C169,$BM$1:$BM$3,CI$1:CI$3)/SUMPRODUCT(_xlfn.XLOOKUP($C169,$BM$1:$BM$3,$BN$1:$BY$3),$BN$4:$BY$4),""),
"")</f>
        <v>0.22938321789827676</v>
      </c>
      <c r="CJ169" s="8">
        <f>IF(_xlfn.XLOOKUP($B169,'ELC TECH'!$H:$H,'ELC TECH'!$E:$E)="Non Dispatchable",IFERROR($AX169*_xlfn.XLOOKUP($C169,$BM$1:$BM$3,CJ$1:CJ$3)/SUMPRODUCT(_xlfn.XLOOKUP($C169,$BM$1:$BM$3,$BN$1:$BY$3),$BN$4:$BY$4),""),
"")</f>
        <v>2.293832178982768E-2</v>
      </c>
      <c r="CK169" s="8">
        <f>IF(_xlfn.XLOOKUP($B169,'ELC TECH'!$H:$H,'ELC TECH'!$E:$E)="Non Dispatchable",IFERROR($AX169*_xlfn.XLOOKUP($C169,$BM$1:$BM$3,CK$1:CK$3)/SUMPRODUCT(_xlfn.XLOOKUP($C169,$BM$1:$BM$3,$BN$1:$BY$3),$BN$4:$BY$4),""),
"")</f>
        <v>0</v>
      </c>
      <c r="CL169" s="8" t="str">
        <f>IF(_xlfn.XLOOKUP($B169,'ELC TECH'!$H:$H,'ELC TECH'!$E:$E)="Storage",CL$4*$BF169,"")</f>
        <v/>
      </c>
      <c r="CM169" s="8" t="str">
        <f>IF(_xlfn.XLOOKUP($B169,'ELC TECH'!$H:$H,'ELC TECH'!$E:$E)="Storage",CM$4*$BF169,"")</f>
        <v/>
      </c>
      <c r="CN169" s="8" t="str">
        <f>IF(_xlfn.XLOOKUP($B169,'ELC TECH'!$H:$H,'ELC TECH'!$E:$E)="Storage",CN$4*$BF169,"")</f>
        <v/>
      </c>
      <c r="CO169" s="8" t="str">
        <f>IF(_xlfn.XLOOKUP($B169,'ELC TECH'!$H:$H,'ELC TECH'!$E:$E)="Storage",CO$4*$BF169,"")</f>
        <v/>
      </c>
      <c r="CP169" s="8" t="str">
        <f>IF(_xlfn.XLOOKUP($B169,'ELC TECH'!$H:$H,'ELC TECH'!$E:$E)="Storage",CP$4*$BF169,"")</f>
        <v/>
      </c>
      <c r="CQ169" s="8" t="str">
        <f>IF(_xlfn.XLOOKUP($B169,'ELC TECH'!$H:$H,'ELC TECH'!$E:$E)="Storage",CQ$4*$BF169,"")</f>
        <v/>
      </c>
      <c r="CR169" s="8" t="str">
        <f>IF(_xlfn.XLOOKUP($B169,'ELC TECH'!$H:$H,'ELC TECH'!$E:$E)="Storage",CR$4*$BF169,"")</f>
        <v/>
      </c>
      <c r="CS169" s="8" t="str">
        <f>IF(_xlfn.XLOOKUP($B169,'ELC TECH'!$H:$H,'ELC TECH'!$E:$E)="Storage",CS$4*$BF169,"")</f>
        <v/>
      </c>
      <c r="CT169" s="8" t="str">
        <f>IF(_xlfn.XLOOKUP($B169,'ELC TECH'!$H:$H,'ELC TECH'!$E:$E)="Storage",CT$4*$BF169,"")</f>
        <v/>
      </c>
      <c r="CU169" s="8" t="str">
        <f>IF(_xlfn.XLOOKUP($B169,'ELC TECH'!$H:$H,'ELC TECH'!$E:$E)="Storage",CU$4*$BF169,"")</f>
        <v/>
      </c>
      <c r="CV169" s="8" t="str">
        <f>IF(_xlfn.XLOOKUP($B169,'ELC TECH'!$H:$H,'ELC TECH'!$E:$E)="Storage",CV$4*$BF169,"")</f>
        <v/>
      </c>
      <c r="CW169" s="8" t="str">
        <f>IF(_xlfn.XLOOKUP($B169,'ELC TECH'!$H:$H,'ELC TECH'!$E:$E)="Storage",CW$4*$BF169,"")</f>
        <v/>
      </c>
      <c r="CX169" s="8" t="str">
        <f>IF(_xlfn.XLOOKUP($B169,'ELC TECH'!$H:$H,'ELC TECH'!$E:$E)="Storage",CX$4*$BF169,"")</f>
        <v/>
      </c>
      <c r="CY169" s="8" t="str">
        <f>IF(_xlfn.XLOOKUP($B169,'ELC TECH'!$H:$H,'ELC TECH'!$E:$E)="Storage",CY$4*$BF169,"")</f>
        <v/>
      </c>
      <c r="CZ169" s="8" t="str">
        <f>IF(_xlfn.XLOOKUP($B169,'ELC TECH'!$H:$H,'ELC TECH'!$E:$E)="Storage",CZ$4*$BF169,"")</f>
        <v/>
      </c>
      <c r="DA169" s="8" t="str">
        <f>IF(_xlfn.XLOOKUP($B169,'ELC TECH'!$H:$H,'ELC TECH'!$E:$E)="Storage",DA$4*$BF169,"")</f>
        <v/>
      </c>
      <c r="DB169" s="8" t="str">
        <f>IF(_xlfn.XLOOKUP($B169,'ELC TECH'!$H:$H,'ELC TECH'!$E:$E)="Storage",DB$4*$BF169,"")</f>
        <v/>
      </c>
      <c r="DC169" s="8" t="str">
        <f>IF(_xlfn.XLOOKUP($B169,'ELC TECH'!$H:$H,'ELC TECH'!$E:$E)="Storage",DC$4*$BF169,"")</f>
        <v/>
      </c>
      <c r="DD169" s="8" t="str">
        <f>IF(_xlfn.XLOOKUP($B169,'ELC TECH'!$H:$H,'ELC TECH'!$E:$E)="Storage",DD$4*$BF169,"")</f>
        <v/>
      </c>
      <c r="DE169" s="8" t="str">
        <f>IF(_xlfn.XLOOKUP($B169,'ELC TECH'!$H:$H,'ELC TECH'!$E:$E)="Storage",DE$4*$BF169,"")</f>
        <v/>
      </c>
      <c r="DF169" s="8" t="str">
        <f>IF(_xlfn.XLOOKUP($B169,'ELC TECH'!$H:$H,'ELC TECH'!$E:$E)="Storage",DF$4*$BF169,"")</f>
        <v/>
      </c>
      <c r="DG169" s="8" t="str">
        <f>IF(_xlfn.XLOOKUP($B169,'ELC TECH'!$H:$H,'ELC TECH'!$E:$E)="Storage",DG$4*$BF169,"")</f>
        <v/>
      </c>
      <c r="DH169" s="8" t="str">
        <f>IF(_xlfn.XLOOKUP($B169,'ELC TECH'!$H:$H,'ELC TECH'!$E:$E)="Storage",DH$4*$BF169,"")</f>
        <v/>
      </c>
      <c r="DI169" s="8" t="str">
        <f>IF(_xlfn.XLOOKUP($B169,'ELC TECH'!$H:$H,'ELC TECH'!$E:$E)="Storage",DI$4*$BF169,"")</f>
        <v/>
      </c>
    </row>
    <row r="170" spans="2:113" x14ac:dyDescent="0.25">
      <c r="B170" t="str">
        <f>IF('ELC TECH'!I163=0,"*",'ELC TECH'!H163)</f>
        <v>ELCSOLDCERDPV620</v>
      </c>
      <c r="C170" t="str">
        <f>IF(_xlfn.XLOOKUP(_xlfn.XLOOKUP(B170,'ELC TECH'!$H:$H,'ELC TECH'!$G:$G),List!C:C,List!B:B)="STG",D170,"ELC"&amp;_xlfn.XLOOKUP(_xlfn.XLOOKUP(B170,'ELC TECH'!H:H,'ELC TECH'!G:G),List!C:C,List!B:B))</f>
        <v>ELCSOL</v>
      </c>
      <c r="D170" t="s">
        <v>545</v>
      </c>
      <c r="E170">
        <f>_xlfn.XLOOKUP(B170,'ELC TECH'!H:H,'ELC TECH'!D:D)</f>
        <v>2020</v>
      </c>
      <c r="F170">
        <f>_xlfn.XLOOKUP(B170,'ELC TECH'!H:H,'ELC TECH'!K:K)</f>
        <v>30</v>
      </c>
      <c r="G170">
        <f t="shared" si="8"/>
        <v>31.535999999999998</v>
      </c>
      <c r="H170">
        <f>IF(_xlfn.XLOOKUP(B170,'ELC TECH'!$H:$H,'ELC TECH'!$E:$E)="Storage",0.3,IF(_xlfn.XLOOKUP(B170,'ELC TECH'!$H:$H,'ELC TECH'!$E:$E)="Baseload",0.9,IF(_xlfn.XLOOKUP(B170,'ELC TECH'!$H:$H,'ELC TECH'!$E:$E)="Non Dispatchable",0.05,IF(_xlfn.XLOOKUP(B170,'ELC TECH'!$H:$H,'ELC TECH'!$E:$E)="Dispatchable",0.9,1))))</f>
        <v>0.05</v>
      </c>
      <c r="I170" s="13">
        <f>IF(_xlfn.XLOOKUP(B170,'ELC TECH'!H:H,'ELC TECH'!J:J)="","",_xlfn.XLOOKUP(B170,'ELC TECH'!H:H,'ELC TECH'!J:J))</f>
        <v>700.17955000000006</v>
      </c>
      <c r="J170" s="12">
        <f>IF(_xlfn.XLOOKUP($B170,'ELC TECH'!$H:$H,'ELC TECH'!$E:$E)="Storage","",IF(_xlfn.XLOOKUP($B170,'ELC TECH'!$H:$H,'ELC TECH'!AK:AK)="",1,_xlfn.XLOOKUP($B170,'ELC TECH'!$H:$H,'ELC TECH'!AK:AK)))</f>
        <v>1</v>
      </c>
      <c r="K170" s="12">
        <f>IF(_xlfn.XLOOKUP($B170,'ELC TECH'!$H:$H,'ELC TECH'!$E:$E)="Storage","",IF(_xlfn.XLOOKUP($B170,'ELC TECH'!$H:$H,'ELC TECH'!AL:AL)="",1,_xlfn.XLOOKUP($B170,'ELC TECH'!$H:$H,'ELC TECH'!AL:AL)))</f>
        <v>1</v>
      </c>
      <c r="L170" s="12">
        <f>IF(_xlfn.XLOOKUP($B170,'ELC TECH'!$H:$H,'ELC TECH'!$E:$E)="Storage","",IF(_xlfn.XLOOKUP($B170,'ELC TECH'!$H:$H,'ELC TECH'!AM:AM)="",1,_xlfn.XLOOKUP($B170,'ELC TECH'!$H:$H,'ELC TECH'!AM:AM)))</f>
        <v>1</v>
      </c>
      <c r="M170" s="12">
        <f>IF(_xlfn.XLOOKUP($B170,'ELC TECH'!$H:$H,'ELC TECH'!$E:$E)="Storage","",IF(_xlfn.XLOOKUP($B170,'ELC TECH'!$H:$H,'ELC TECH'!AN:AN)="",1,_xlfn.XLOOKUP($B170,'ELC TECH'!$H:$H,'ELC TECH'!AN:AN)))</f>
        <v>1</v>
      </c>
      <c r="N170" s="12">
        <f>IF(_xlfn.XLOOKUP($B170,'ELC TECH'!$H:$H,'ELC TECH'!$E:$E)="Storage","",IF(_xlfn.XLOOKUP($B170,'ELC TECH'!$H:$H,'ELC TECH'!AO:AO)="",1,_xlfn.XLOOKUP($B170,'ELC TECH'!$H:$H,'ELC TECH'!AO:AO)))</f>
        <v>1</v>
      </c>
      <c r="O170" s="12">
        <f>IF(_xlfn.XLOOKUP($B170,'ELC TECH'!$H:$H,'ELC TECH'!$E:$E)="Storage","",IF(_xlfn.XLOOKUP($B170,'ELC TECH'!$H:$H,'ELC TECH'!AP:AP)="",1,_xlfn.XLOOKUP($B170,'ELC TECH'!$H:$H,'ELC TECH'!AP:AP)))</f>
        <v>1</v>
      </c>
      <c r="P170" s="12">
        <f>IF(_xlfn.XLOOKUP($B170,'ELC TECH'!$H:$H,'ELC TECH'!$E:$E)="Storage","",IF(_xlfn.XLOOKUP($B170,'ELC TECH'!$H:$H,'ELC TECH'!AQ:AQ)="",1,_xlfn.XLOOKUP($B170,'ELC TECH'!$H:$H,'ELC TECH'!AQ:AQ)))</f>
        <v>1</v>
      </c>
      <c r="Q170" s="12">
        <f>IF(_xlfn.XLOOKUP($B170,'ELC TECH'!$H:$H,'ELC TECH'!$E:$E)="Storage","",IF(_xlfn.XLOOKUP($B170,'ELC TECH'!$H:$H,'ELC TECH'!AR:AR)="",1,_xlfn.XLOOKUP($B170,'ELC TECH'!$H:$H,'ELC TECH'!AR:AR)))</f>
        <v>1</v>
      </c>
      <c r="R170" s="12" t="str">
        <f>IF(_xlfn.XLOOKUP($B170,'ELC TECH'!$H:$H,'ELC TECH'!$E:$E)&lt;&gt;"Storage","",IF(_xlfn.XLOOKUP($B170,'ELC TECH'!$H:$H,'ELC TECH'!AK:AK)="",0.8,_xlfn.XLOOKUP($B170,'ELC TECH'!$H:$H,'ELC TECH'!AK:AK)))</f>
        <v/>
      </c>
      <c r="S170" s="12" t="str">
        <f>IF(_xlfn.XLOOKUP($B170,'ELC TECH'!$H:$H,'ELC TECH'!$E:$E)&lt;&gt;"Storage","",IF(_xlfn.XLOOKUP($B170,'ELC TECH'!$H:$H,'ELC TECH'!AL:AL)="",0.8,_xlfn.XLOOKUP($B170,'ELC TECH'!$H:$H,'ELC TECH'!AL:AL)))</f>
        <v/>
      </c>
      <c r="T170" s="12" t="str">
        <f>IF(_xlfn.XLOOKUP($B170,'ELC TECH'!$H:$H,'ELC TECH'!$E:$E)&lt;&gt;"Storage","",IF(_xlfn.XLOOKUP($B170,'ELC TECH'!$H:$H,'ELC TECH'!AM:AM)="",0.8,_xlfn.XLOOKUP($B170,'ELC TECH'!$H:$H,'ELC TECH'!AM:AM)))</f>
        <v/>
      </c>
      <c r="U170" s="12" t="str">
        <f>IF(_xlfn.XLOOKUP($B170,'ELC TECH'!$H:$H,'ELC TECH'!$E:$E)&lt;&gt;"Storage","",IF(_xlfn.XLOOKUP($B170,'ELC TECH'!$H:$H,'ELC TECH'!AN:AN)="",0.8,_xlfn.XLOOKUP($B170,'ELC TECH'!$H:$H,'ELC TECH'!AN:AN)))</f>
        <v/>
      </c>
      <c r="V170" s="12" t="str">
        <f>IF(_xlfn.XLOOKUP($B170,'ELC TECH'!$H:$H,'ELC TECH'!$E:$E)&lt;&gt;"Storage","",IF(_xlfn.XLOOKUP($B170,'ELC TECH'!$H:$H,'ELC TECH'!AO:AO)="",0.8,_xlfn.XLOOKUP($B170,'ELC TECH'!$H:$H,'ELC TECH'!AO:AO)))</f>
        <v/>
      </c>
      <c r="W170" s="12" t="str">
        <f>IF(_xlfn.XLOOKUP($B170,'ELC TECH'!$H:$H,'ELC TECH'!$E:$E)&lt;&gt;"Storage","",IF(_xlfn.XLOOKUP($B170,'ELC TECH'!$H:$H,'ELC TECH'!AP:AP)="",0.8,_xlfn.XLOOKUP($B170,'ELC TECH'!$H:$H,'ELC TECH'!AP:AP)))</f>
        <v/>
      </c>
      <c r="X170" s="12" t="str">
        <f>IF(_xlfn.XLOOKUP($B170,'ELC TECH'!$H:$H,'ELC TECH'!$E:$E)&lt;&gt;"Storage","",IF(_xlfn.XLOOKUP($B170,'ELC TECH'!$H:$H,'ELC TECH'!AQ:AQ)="",0.8,_xlfn.XLOOKUP($B170,'ELC TECH'!$H:$H,'ELC TECH'!AQ:AQ)))</f>
        <v/>
      </c>
      <c r="Y170" s="12" t="str">
        <f>IF(_xlfn.XLOOKUP($B170,'ELC TECH'!$H:$H,'ELC TECH'!$E:$E)&lt;&gt;"Storage","",IF(_xlfn.XLOOKUP($B170,'ELC TECH'!$H:$H,'ELC TECH'!AR:AR)="",0.8,_xlfn.XLOOKUP($B170,'ELC TECH'!$H:$H,'ELC TECH'!AR:AR)))</f>
        <v/>
      </c>
      <c r="Z170" s="15">
        <f>_xlfn.XLOOKUP($B170,'ELC TECH'!$H:$H,'ELC TECH'!M:M)</f>
        <v>3232.554589138178</v>
      </c>
      <c r="AA170" s="15">
        <f>_xlfn.XLOOKUP($B170,'ELC TECH'!$H:$H,'ELC TECH'!N:N)</f>
        <v>2974.9201081634578</v>
      </c>
      <c r="AB170" s="15">
        <f>_xlfn.XLOOKUP($B170,'ELC TECH'!$H:$H,'ELC TECH'!O:O)</f>
        <v>2378.9027813256071</v>
      </c>
      <c r="AC170" s="15">
        <f>_xlfn.XLOOKUP($B170,'ELC TECH'!$H:$H,'ELC TECH'!P:P)</f>
        <v>1782.885454487767</v>
      </c>
      <c r="AD170" s="15">
        <f>_xlfn.XLOOKUP($B170,'ELC TECH'!$H:$H,'ELC TECH'!Q:Q)</f>
        <v>1610.1995746889211</v>
      </c>
      <c r="AE170" s="15">
        <f>_xlfn.XLOOKUP($B170,'ELC TECH'!$H:$H,'ELC TECH'!R:R)</f>
        <v>1437.5136948900749</v>
      </c>
      <c r="AF170" s="15">
        <f>_xlfn.XLOOKUP($B170,'ELC TECH'!$H:$H,'ELC TECH'!S:S)</f>
        <v>1264.827815091229</v>
      </c>
      <c r="AG170" s="15">
        <f>_xlfn.XLOOKUP($B170,'ELC TECH'!$H:$H,'ELC TECH'!T:T)</f>
        <v>1264.827815091229</v>
      </c>
      <c r="AH170" s="15">
        <f>_xlfn.XLOOKUP($B170,'ELC TECH'!$H:$H,'ELC TECH'!U:U)</f>
        <v>34.293446157052799</v>
      </c>
      <c r="AI170" s="15">
        <f>_xlfn.XLOOKUP($B170,'ELC TECH'!$H:$H,'ELC TECH'!V:V)</f>
        <v>31.784509373254991</v>
      </c>
      <c r="AJ170" s="15">
        <f>_xlfn.XLOOKUP($B170,'ELC TECH'!$H:$H,'ELC TECH'!W:W)</f>
        <v>26.108139740981851</v>
      </c>
      <c r="AK170" s="15">
        <f>_xlfn.XLOOKUP($B170,'ELC TECH'!$H:$H,'ELC TECH'!X:X)</f>
        <v>20.431770108708822</v>
      </c>
      <c r="AL170" s="15">
        <f>_xlfn.XLOOKUP($B170,'ELC TECH'!$H:$H,'ELC TECH'!Y:Y)</f>
        <v>18.787138585640339</v>
      </c>
      <c r="AM170" s="15">
        <f>_xlfn.XLOOKUP($B170,'ELC TECH'!$H:$H,'ELC TECH'!Z:Z)</f>
        <v>17.142507062571742</v>
      </c>
      <c r="AN170" s="15">
        <f>_xlfn.XLOOKUP($B170,'ELC TECH'!$H:$H,'ELC TECH'!AA:AA)</f>
        <v>15.49787553950326</v>
      </c>
      <c r="AO170" s="15">
        <f>_xlfn.XLOOKUP($B170,'ELC TECH'!$H:$H,'ELC TECH'!AB:AB)</f>
        <v>15.49787553950326</v>
      </c>
      <c r="AP170" s="15">
        <f>_xlfn.XLOOKUP($B170,'ELC TECH'!$H:$H,'ELC TECH'!AC:AC)</f>
        <v>0</v>
      </c>
      <c r="AQ170" s="15">
        <f>_xlfn.XLOOKUP($B170,'ELC TECH'!$H:$H,'ELC TECH'!AD:AD)</f>
        <v>0</v>
      </c>
      <c r="AR170" s="15">
        <f>_xlfn.XLOOKUP($B170,'ELC TECH'!$H:$H,'ELC TECH'!AE:AE)</f>
        <v>0</v>
      </c>
      <c r="AS170" s="15">
        <f>_xlfn.XLOOKUP($B170,'ELC TECH'!$H:$H,'ELC TECH'!AF:AF)</f>
        <v>0</v>
      </c>
      <c r="AT170" s="15">
        <f>_xlfn.XLOOKUP($B170,'ELC TECH'!$H:$H,'ELC TECH'!AG:AG)</f>
        <v>0</v>
      </c>
      <c r="AU170" s="15">
        <f>_xlfn.XLOOKUP($B170,'ELC TECH'!$H:$H,'ELC TECH'!AH:AH)</f>
        <v>0</v>
      </c>
      <c r="AV170" s="15">
        <f>_xlfn.XLOOKUP($B170,'ELC TECH'!$H:$H,'ELC TECH'!AI:AI)</f>
        <v>0</v>
      </c>
      <c r="AW170" s="15">
        <f>_xlfn.XLOOKUP($B170,'ELC TECH'!$H:$H,'ELC TECH'!AJ:AJ)</f>
        <v>0</v>
      </c>
      <c r="AX170" s="12">
        <f>IF(_xlfn.XLOOKUP($B170,'ELC TECH'!$H:$H,'ELC TECH'!$E:$E)="Storage","",_xlfn.XLOOKUP($B170,'ELC TECH'!$H:$H,'ELC TECH'!AS:AS))</f>
        <v>0.15022218240747401</v>
      </c>
      <c r="AY170" s="12">
        <f>IF(_xlfn.XLOOKUP($B170,'ELC TECH'!$H:$H,'ELC TECH'!$E:$E)="Storage","",_xlfn.XLOOKUP($B170,'ELC TECH'!$H:$H,'ELC TECH'!AT:AT))</f>
        <v>0.15085997900353201</v>
      </c>
      <c r="AZ170" s="12">
        <f>IF(_xlfn.XLOOKUP($B170,'ELC TECH'!$H:$H,'ELC TECH'!$E:$E)="Storage","",_xlfn.XLOOKUP($B170,'ELC TECH'!$H:$H,'ELC TECH'!AU:AU))</f>
        <v>0.15165722474860399</v>
      </c>
      <c r="BA170" s="12">
        <f>IF(_xlfn.XLOOKUP($B170,'ELC TECH'!$H:$H,'ELC TECH'!$E:$E)="Storage","",_xlfn.XLOOKUP($B170,'ELC TECH'!$H:$H,'ELC TECH'!AV:AV))</f>
        <v>0.152454470493676</v>
      </c>
      <c r="BB170" s="12">
        <f>IF(_xlfn.XLOOKUP($B170,'ELC TECH'!$H:$H,'ELC TECH'!$E:$E)="Storage","",_xlfn.XLOOKUP($B170,'ELC TECH'!$H:$H,'ELC TECH'!AW:AW))</f>
        <v>0.15376679948961</v>
      </c>
      <c r="BC170" s="12">
        <f>IF(_xlfn.XLOOKUP($B170,'ELC TECH'!$H:$H,'ELC TECH'!$E:$E)="Storage","",_xlfn.XLOOKUP($B170,'ELC TECH'!$H:$H,'ELC TECH'!AX:AX))</f>
        <v>0.155079128485545</v>
      </c>
      <c r="BD170" s="12">
        <f>IF(_xlfn.XLOOKUP($B170,'ELC TECH'!$H:$H,'ELC TECH'!$E:$E)="Storage","",_xlfn.XLOOKUP($B170,'ELC TECH'!$H:$H,'ELC TECH'!AY:AY))</f>
        <v>0.15639145748147901</v>
      </c>
      <c r="BE170" s="12">
        <f>IF(_xlfn.XLOOKUP($B170,'ELC TECH'!$H:$H,'ELC TECH'!$E:$E)="Storage","",_xlfn.XLOOKUP($B170,'ELC TECH'!$H:$H,'ELC TECH'!AZ:AZ))</f>
        <v>0.15639145748147901</v>
      </c>
      <c r="BF170" s="12" t="str">
        <f>IF(_xlfn.XLOOKUP($B170,'ELC TECH'!$H:$H,'ELC TECH'!$E:$E)="Storage",_xlfn.XLOOKUP($B170,'ELC TECH'!$H:$H,'ELC TECH'!AS:AS),"")</f>
        <v/>
      </c>
      <c r="BG170" s="12" t="str">
        <f>IF(_xlfn.XLOOKUP($B170,'ELC TECH'!$H:$H,'ELC TECH'!$E:$E)="Storage",_xlfn.XLOOKUP($B170,'ELC TECH'!$H:$H,'ELC TECH'!AT:AT),"")</f>
        <v/>
      </c>
      <c r="BH170" s="12" t="str">
        <f>IF(_xlfn.XLOOKUP($B170,'ELC TECH'!$H:$H,'ELC TECH'!$E:$E)="Storage",_xlfn.XLOOKUP($B170,'ELC TECH'!$H:$H,'ELC TECH'!AU:AU),"")</f>
        <v/>
      </c>
      <c r="BI170" s="12" t="str">
        <f>IF(_xlfn.XLOOKUP($B170,'ELC TECH'!$H:$H,'ELC TECH'!$E:$E)="Storage",_xlfn.XLOOKUP($B170,'ELC TECH'!$H:$H,'ELC TECH'!AV:AV),"")</f>
        <v/>
      </c>
      <c r="BJ170" s="12" t="str">
        <f>IF(_xlfn.XLOOKUP($B170,'ELC TECH'!$H:$H,'ELC TECH'!$E:$E)="Storage",_xlfn.XLOOKUP($B170,'ELC TECH'!$H:$H,'ELC TECH'!AW:AW),"")</f>
        <v/>
      </c>
      <c r="BK170" s="12" t="str">
        <f>IF(_xlfn.XLOOKUP($B170,'ELC TECH'!$H:$H,'ELC TECH'!$E:$E)="Storage",_xlfn.XLOOKUP($B170,'ELC TECH'!$H:$H,'ELC TECH'!AX:AX),"")</f>
        <v/>
      </c>
      <c r="BL170" s="12" t="str">
        <f>IF(_xlfn.XLOOKUP($B170,'ELC TECH'!$H:$H,'ELC TECH'!$E:$E)="Storage",_xlfn.XLOOKUP($B170,'ELC TECH'!$H:$H,'ELC TECH'!AY:AY),"")</f>
        <v/>
      </c>
      <c r="BM170" s="12" t="str">
        <f>IF(_xlfn.XLOOKUP($B170,'ELC TECH'!$H:$H,'ELC TECH'!$E:$E)="Storage",_xlfn.XLOOKUP($B170,'ELC TECH'!$H:$H,'ELC TECH'!AZ:AZ),"")</f>
        <v/>
      </c>
      <c r="BN170" s="8">
        <f>IF(_xlfn.XLOOKUP($B170,'ELC TECH'!$H:$H,'ELC TECH'!$E:$E)="Non Dispatchable",IFERROR($AX170*_xlfn.XLOOKUP($C170,$BM$1:$BM$3,BN$1:BN$3)/SUMPRODUCT(_xlfn.XLOOKUP($C170,$BM$1:$BM$3,$BN$1:$BY$3),$BN$4:$BY$4),""),
"")</f>
        <v>0.23511309367063826</v>
      </c>
      <c r="BO170" s="8">
        <f>IF(_xlfn.XLOOKUP($B170,'ELC TECH'!$H:$H,'ELC TECH'!$E:$E)="Non Dispatchable",IFERROR($AX170*_xlfn.XLOOKUP($C170,$BM$1:$BM$3,BO$1:BO$3)/SUMPRODUCT(_xlfn.XLOOKUP($C170,$BM$1:$BM$3,$BN$1:$BY$3),$BN$4:$BY$4),""),
"")</f>
        <v>0.23511309367063826</v>
      </c>
      <c r="BP170" s="8">
        <f>IF(_xlfn.XLOOKUP($B170,'ELC TECH'!$H:$H,'ELC TECH'!$E:$E)="Non Dispatchable",IFERROR($AX170*_xlfn.XLOOKUP($C170,$BM$1:$BM$3,BP$1:BP$3)/SUMPRODUCT(_xlfn.XLOOKUP($C170,$BM$1:$BM$3,$BN$1:$BY$3),$BN$4:$BY$4),""),
"")</f>
        <v>2.3511309367063825E-2</v>
      </c>
      <c r="BQ170" s="8">
        <f>IF(_xlfn.XLOOKUP($B170,'ELC TECH'!$H:$H,'ELC TECH'!$E:$E)="Non Dispatchable",IFERROR($AX170*_xlfn.XLOOKUP($C170,$BM$1:$BM$3,BQ$1:BQ$3)/SUMPRODUCT(_xlfn.XLOOKUP($C170,$BM$1:$BM$3,$BN$1:$BY$3),$BN$4:$BY$4),""),
"")</f>
        <v>0</v>
      </c>
      <c r="BR170" s="8">
        <f>IF(_xlfn.XLOOKUP($B170,'ELC TECH'!$H:$H,'ELC TECH'!$E:$E)="Non Dispatchable",IFERROR($AX170*_xlfn.XLOOKUP($C170,$BM$1:$BM$3,BR$1:BR$3)/SUMPRODUCT(_xlfn.XLOOKUP($C170,$BM$1:$BM$3,$BN$1:$BY$3),$BN$4:$BY$4),""),
"")</f>
        <v>0.27078693733561959</v>
      </c>
      <c r="BS170" s="8">
        <f>IF(_xlfn.XLOOKUP($B170,'ELC TECH'!$H:$H,'ELC TECH'!$E:$E)="Non Dispatchable",IFERROR($AX170*_xlfn.XLOOKUP($C170,$BM$1:$BM$3,BS$1:BS$3)/SUMPRODUCT(_xlfn.XLOOKUP($C170,$BM$1:$BM$3,$BN$1:$BY$3),$BN$4:$BY$4),""),
"")</f>
        <v>0.27078693733561959</v>
      </c>
      <c r="BT170" s="8">
        <f>IF(_xlfn.XLOOKUP($B170,'ELC TECH'!$H:$H,'ELC TECH'!$E:$E)="Non Dispatchable",IFERROR($AX170*_xlfn.XLOOKUP($C170,$BM$1:$BM$3,BT$1:BT$3)/SUMPRODUCT(_xlfn.XLOOKUP($C170,$BM$1:$BM$3,$BN$1:$BY$3),$BN$4:$BY$4),""),
"")</f>
        <v>2.7078693733561955E-2</v>
      </c>
      <c r="BU170" s="8">
        <f>IF(_xlfn.XLOOKUP($B170,'ELC TECH'!$H:$H,'ELC TECH'!$E:$E)="Non Dispatchable",IFERROR($AX170*_xlfn.XLOOKUP($C170,$BM$1:$BM$3,BU$1:BU$3)/SUMPRODUCT(_xlfn.XLOOKUP($C170,$BM$1:$BM$3,$BN$1:$BY$3),$BN$4:$BY$4),""),
"")</f>
        <v>0</v>
      </c>
      <c r="BV170" s="8">
        <f>IF(_xlfn.XLOOKUP($B170,'ELC TECH'!$H:$H,'ELC TECH'!$E:$E)="Non Dispatchable",IFERROR($AX170*_xlfn.XLOOKUP($C170,$BM$1:$BM$3,BV$1:BV$3)/SUMPRODUCT(_xlfn.XLOOKUP($C170,$BM$1:$BM$3,$BN$1:$BY$3),$BN$4:$BY$4),""),
"")</f>
        <v>0.22653676844782855</v>
      </c>
      <c r="BW170" s="8">
        <f>IF(_xlfn.XLOOKUP($B170,'ELC TECH'!$H:$H,'ELC TECH'!$E:$E)="Non Dispatchable",IFERROR($AX170*_xlfn.XLOOKUP($C170,$BM$1:$BM$3,BW$1:BW$3)/SUMPRODUCT(_xlfn.XLOOKUP($C170,$BM$1:$BM$3,$BN$1:$BY$3),$BN$4:$BY$4),""),
"")</f>
        <v>0.22653676844782855</v>
      </c>
      <c r="BX170" s="8">
        <f>IF(_xlfn.XLOOKUP($B170,'ELC TECH'!$H:$H,'ELC TECH'!$E:$E)="Non Dispatchable",IFERROR($AX170*_xlfn.XLOOKUP($C170,$BM$1:$BM$3,BX$1:BX$3)/SUMPRODUCT(_xlfn.XLOOKUP($C170,$BM$1:$BM$3,$BN$1:$BY$3),$BN$4:$BY$4),""),
"")</f>
        <v>2.2653676844782859E-2</v>
      </c>
      <c r="BY170" s="8">
        <f>IF(_xlfn.XLOOKUP($B170,'ELC TECH'!$H:$H,'ELC TECH'!$E:$E)="Non Dispatchable",IFERROR($AX170*_xlfn.XLOOKUP($C170,$BM$1:$BM$3,BY$1:BY$3)/SUMPRODUCT(_xlfn.XLOOKUP($C170,$BM$1:$BM$3,$BN$1:$BY$3),$BN$4:$BY$4),""),
"")</f>
        <v>0</v>
      </c>
      <c r="BZ170" s="8">
        <f>IF(_xlfn.XLOOKUP($B170,'ELC TECH'!$H:$H,'ELC TECH'!$E:$E)="Non Dispatchable",IFERROR($AX170*_xlfn.XLOOKUP($C170,$BM$1:$BM$3,BZ$1:BZ$3)/SUMPRODUCT(_xlfn.XLOOKUP($C170,$BM$1:$BM$3,$BN$1:$BY$3),$BN$4:$BY$4),""),
"")</f>
        <v>0.23511309367063826</v>
      </c>
      <c r="CA170" s="8">
        <f>IF(_xlfn.XLOOKUP($B170,'ELC TECH'!$H:$H,'ELC TECH'!$E:$E)="Non Dispatchable",IFERROR($AX170*_xlfn.XLOOKUP($C170,$BM$1:$BM$3,CA$1:CA$3)/SUMPRODUCT(_xlfn.XLOOKUP($C170,$BM$1:$BM$3,$BN$1:$BY$3),$BN$4:$BY$4),""),
"")</f>
        <v>0.23511309367063826</v>
      </c>
      <c r="CB170" s="8">
        <f>IF(_xlfn.XLOOKUP($B170,'ELC TECH'!$H:$H,'ELC TECH'!$E:$E)="Non Dispatchable",IFERROR($AX170*_xlfn.XLOOKUP($C170,$BM$1:$BM$3,CB$1:CB$3)/SUMPRODUCT(_xlfn.XLOOKUP($C170,$BM$1:$BM$3,$BN$1:$BY$3),$BN$4:$BY$4),""),
"")</f>
        <v>2.3511309367063825E-2</v>
      </c>
      <c r="CC170" s="8">
        <f>IF(_xlfn.XLOOKUP($B170,'ELC TECH'!$H:$H,'ELC TECH'!$E:$E)="Non Dispatchable",IFERROR($AX170*_xlfn.XLOOKUP($C170,$BM$1:$BM$3,CC$1:CC$3)/SUMPRODUCT(_xlfn.XLOOKUP($C170,$BM$1:$BM$3,$BN$1:$BY$3),$BN$4:$BY$4),""),
"")</f>
        <v>0</v>
      </c>
      <c r="CD170" s="8">
        <f>IF(_xlfn.XLOOKUP($B170,'ELC TECH'!$H:$H,'ELC TECH'!$E:$E)="Non Dispatchable",IFERROR($AX170*_xlfn.XLOOKUP($C170,$BM$1:$BM$3,CD$1:CD$3)/SUMPRODUCT(_xlfn.XLOOKUP($C170,$BM$1:$BM$3,$BN$1:$BY$3),$BN$4:$BY$4),""),
"")</f>
        <v>0.27078693733561959</v>
      </c>
      <c r="CE170" s="8">
        <f>IF(_xlfn.XLOOKUP($B170,'ELC TECH'!$H:$H,'ELC TECH'!$E:$E)="Non Dispatchable",IFERROR($AX170*_xlfn.XLOOKUP($C170,$BM$1:$BM$3,CE$1:CE$3)/SUMPRODUCT(_xlfn.XLOOKUP($C170,$BM$1:$BM$3,$BN$1:$BY$3),$BN$4:$BY$4),""),
"")</f>
        <v>0.27078693733561959</v>
      </c>
      <c r="CF170" s="8">
        <f>IF(_xlfn.XLOOKUP($B170,'ELC TECH'!$H:$H,'ELC TECH'!$E:$E)="Non Dispatchable",IFERROR($AX170*_xlfn.XLOOKUP($C170,$BM$1:$BM$3,CF$1:CF$3)/SUMPRODUCT(_xlfn.XLOOKUP($C170,$BM$1:$BM$3,$BN$1:$BY$3),$BN$4:$BY$4),""),
"")</f>
        <v>2.7078693733561955E-2</v>
      </c>
      <c r="CG170" s="8">
        <f>IF(_xlfn.XLOOKUP($B170,'ELC TECH'!$H:$H,'ELC TECH'!$E:$E)="Non Dispatchable",IFERROR($AX170*_xlfn.XLOOKUP($C170,$BM$1:$BM$3,CG$1:CG$3)/SUMPRODUCT(_xlfn.XLOOKUP($C170,$BM$1:$BM$3,$BN$1:$BY$3),$BN$4:$BY$4),""),
"")</f>
        <v>0</v>
      </c>
      <c r="CH170" s="8">
        <f>IF(_xlfn.XLOOKUP($B170,'ELC TECH'!$H:$H,'ELC TECH'!$E:$E)="Non Dispatchable",IFERROR($AX170*_xlfn.XLOOKUP($C170,$BM$1:$BM$3,CH$1:CH$3)/SUMPRODUCT(_xlfn.XLOOKUP($C170,$BM$1:$BM$3,$BN$1:$BY$3),$BN$4:$BY$4),""),
"")</f>
        <v>0.22653676844782855</v>
      </c>
      <c r="CI170" s="8">
        <f>IF(_xlfn.XLOOKUP($B170,'ELC TECH'!$H:$H,'ELC TECH'!$E:$E)="Non Dispatchable",IFERROR($AX170*_xlfn.XLOOKUP($C170,$BM$1:$BM$3,CI$1:CI$3)/SUMPRODUCT(_xlfn.XLOOKUP($C170,$BM$1:$BM$3,$BN$1:$BY$3),$BN$4:$BY$4),""),
"")</f>
        <v>0.22653676844782855</v>
      </c>
      <c r="CJ170" s="8">
        <f>IF(_xlfn.XLOOKUP($B170,'ELC TECH'!$H:$H,'ELC TECH'!$E:$E)="Non Dispatchable",IFERROR($AX170*_xlfn.XLOOKUP($C170,$BM$1:$BM$3,CJ$1:CJ$3)/SUMPRODUCT(_xlfn.XLOOKUP($C170,$BM$1:$BM$3,$BN$1:$BY$3),$BN$4:$BY$4),""),
"")</f>
        <v>2.2653676844782859E-2</v>
      </c>
      <c r="CK170" s="8">
        <f>IF(_xlfn.XLOOKUP($B170,'ELC TECH'!$H:$H,'ELC TECH'!$E:$E)="Non Dispatchable",IFERROR($AX170*_xlfn.XLOOKUP($C170,$BM$1:$BM$3,CK$1:CK$3)/SUMPRODUCT(_xlfn.XLOOKUP($C170,$BM$1:$BM$3,$BN$1:$BY$3),$BN$4:$BY$4),""),
"")</f>
        <v>0</v>
      </c>
      <c r="CL170" s="8" t="str">
        <f>IF(_xlfn.XLOOKUP($B170,'ELC TECH'!$H:$H,'ELC TECH'!$E:$E)="Storage",CL$4*$BF170,"")</f>
        <v/>
      </c>
      <c r="CM170" s="8" t="str">
        <f>IF(_xlfn.XLOOKUP($B170,'ELC TECH'!$H:$H,'ELC TECH'!$E:$E)="Storage",CM$4*$BF170,"")</f>
        <v/>
      </c>
      <c r="CN170" s="8" t="str">
        <f>IF(_xlfn.XLOOKUP($B170,'ELC TECH'!$H:$H,'ELC TECH'!$E:$E)="Storage",CN$4*$BF170,"")</f>
        <v/>
      </c>
      <c r="CO170" s="8" t="str">
        <f>IF(_xlfn.XLOOKUP($B170,'ELC TECH'!$H:$H,'ELC TECH'!$E:$E)="Storage",CO$4*$BF170,"")</f>
        <v/>
      </c>
      <c r="CP170" s="8" t="str">
        <f>IF(_xlfn.XLOOKUP($B170,'ELC TECH'!$H:$H,'ELC TECH'!$E:$E)="Storage",CP$4*$BF170,"")</f>
        <v/>
      </c>
      <c r="CQ170" s="8" t="str">
        <f>IF(_xlfn.XLOOKUP($B170,'ELC TECH'!$H:$H,'ELC TECH'!$E:$E)="Storage",CQ$4*$BF170,"")</f>
        <v/>
      </c>
      <c r="CR170" s="8" t="str">
        <f>IF(_xlfn.XLOOKUP($B170,'ELC TECH'!$H:$H,'ELC TECH'!$E:$E)="Storage",CR$4*$BF170,"")</f>
        <v/>
      </c>
      <c r="CS170" s="8" t="str">
        <f>IF(_xlfn.XLOOKUP($B170,'ELC TECH'!$H:$H,'ELC TECH'!$E:$E)="Storage",CS$4*$BF170,"")</f>
        <v/>
      </c>
      <c r="CT170" s="8" t="str">
        <f>IF(_xlfn.XLOOKUP($B170,'ELC TECH'!$H:$H,'ELC TECH'!$E:$E)="Storage",CT$4*$BF170,"")</f>
        <v/>
      </c>
      <c r="CU170" s="8" t="str">
        <f>IF(_xlfn.XLOOKUP($B170,'ELC TECH'!$H:$H,'ELC TECH'!$E:$E)="Storage",CU$4*$BF170,"")</f>
        <v/>
      </c>
      <c r="CV170" s="8" t="str">
        <f>IF(_xlfn.XLOOKUP($B170,'ELC TECH'!$H:$H,'ELC TECH'!$E:$E)="Storage",CV$4*$BF170,"")</f>
        <v/>
      </c>
      <c r="CW170" s="8" t="str">
        <f>IF(_xlfn.XLOOKUP($B170,'ELC TECH'!$H:$H,'ELC TECH'!$E:$E)="Storage",CW$4*$BF170,"")</f>
        <v/>
      </c>
      <c r="CX170" s="8" t="str">
        <f>IF(_xlfn.XLOOKUP($B170,'ELC TECH'!$H:$H,'ELC TECH'!$E:$E)="Storage",CX$4*$BF170,"")</f>
        <v/>
      </c>
      <c r="CY170" s="8" t="str">
        <f>IF(_xlfn.XLOOKUP($B170,'ELC TECH'!$H:$H,'ELC TECH'!$E:$E)="Storage",CY$4*$BF170,"")</f>
        <v/>
      </c>
      <c r="CZ170" s="8" t="str">
        <f>IF(_xlfn.XLOOKUP($B170,'ELC TECH'!$H:$H,'ELC TECH'!$E:$E)="Storage",CZ$4*$BF170,"")</f>
        <v/>
      </c>
      <c r="DA170" s="8" t="str">
        <f>IF(_xlfn.XLOOKUP($B170,'ELC TECH'!$H:$H,'ELC TECH'!$E:$E)="Storage",DA$4*$BF170,"")</f>
        <v/>
      </c>
      <c r="DB170" s="8" t="str">
        <f>IF(_xlfn.XLOOKUP($B170,'ELC TECH'!$H:$H,'ELC TECH'!$E:$E)="Storage",DB$4*$BF170,"")</f>
        <v/>
      </c>
      <c r="DC170" s="8" t="str">
        <f>IF(_xlfn.XLOOKUP($B170,'ELC TECH'!$H:$H,'ELC TECH'!$E:$E)="Storage",DC$4*$BF170,"")</f>
        <v/>
      </c>
      <c r="DD170" s="8" t="str">
        <f>IF(_xlfn.XLOOKUP($B170,'ELC TECH'!$H:$H,'ELC TECH'!$E:$E)="Storage",DD$4*$BF170,"")</f>
        <v/>
      </c>
      <c r="DE170" s="8" t="str">
        <f>IF(_xlfn.XLOOKUP($B170,'ELC TECH'!$H:$H,'ELC TECH'!$E:$E)="Storage",DE$4*$BF170,"")</f>
        <v/>
      </c>
      <c r="DF170" s="8" t="str">
        <f>IF(_xlfn.XLOOKUP($B170,'ELC TECH'!$H:$H,'ELC TECH'!$E:$E)="Storage",DF$4*$BF170,"")</f>
        <v/>
      </c>
      <c r="DG170" s="8" t="str">
        <f>IF(_xlfn.XLOOKUP($B170,'ELC TECH'!$H:$H,'ELC TECH'!$E:$E)="Storage",DG$4*$BF170,"")</f>
        <v/>
      </c>
      <c r="DH170" s="8" t="str">
        <f>IF(_xlfn.XLOOKUP($B170,'ELC TECH'!$H:$H,'ELC TECH'!$E:$E)="Storage",DH$4*$BF170,"")</f>
        <v/>
      </c>
      <c r="DI170" s="8" t="str">
        <f>IF(_xlfn.XLOOKUP($B170,'ELC TECH'!$H:$H,'ELC TECH'!$E:$E)="Storage",DI$4*$BF170,"")</f>
        <v/>
      </c>
    </row>
    <row r="171" spans="2:113" x14ac:dyDescent="0.25">
      <c r="B171" t="str">
        <f>IF('ELC TECH'!I164=0,"*",'ELC TECH'!H164)</f>
        <v>ELCSOLDCERDPV720</v>
      </c>
      <c r="C171" t="str">
        <f>IF(_xlfn.XLOOKUP(_xlfn.XLOOKUP(B171,'ELC TECH'!$H:$H,'ELC TECH'!$G:$G),List!C:C,List!B:B)="STG",D171,"ELC"&amp;_xlfn.XLOOKUP(_xlfn.XLOOKUP(B171,'ELC TECH'!H:H,'ELC TECH'!G:G),List!C:C,List!B:B))</f>
        <v>ELCSOL</v>
      </c>
      <c r="D171" t="s">
        <v>545</v>
      </c>
      <c r="E171">
        <f>_xlfn.XLOOKUP(B171,'ELC TECH'!H:H,'ELC TECH'!D:D)</f>
        <v>2020</v>
      </c>
      <c r="F171">
        <f>_xlfn.XLOOKUP(B171,'ELC TECH'!H:H,'ELC TECH'!K:K)</f>
        <v>30</v>
      </c>
      <c r="G171">
        <f t="shared" ref="G171:G190" si="9">8760*0.0036</f>
        <v>31.535999999999998</v>
      </c>
      <c r="H171">
        <f>IF(_xlfn.XLOOKUP(B171,'ELC TECH'!$H:$H,'ELC TECH'!$E:$E)="Storage",0.3,IF(_xlfn.XLOOKUP(B171,'ELC TECH'!$H:$H,'ELC TECH'!$E:$E)="Baseload",0.9,IF(_xlfn.XLOOKUP(B171,'ELC TECH'!$H:$H,'ELC TECH'!$E:$E)="Non Dispatchable",0.05,IF(_xlfn.XLOOKUP(B171,'ELC TECH'!$H:$H,'ELC TECH'!$E:$E)="Dispatchable",0.9,1))))</f>
        <v>0.05</v>
      </c>
      <c r="I171" s="13">
        <f>IF(_xlfn.XLOOKUP(B171,'ELC TECH'!H:H,'ELC TECH'!J:J)="","",_xlfn.XLOOKUP(B171,'ELC TECH'!H:H,'ELC TECH'!J:J))</f>
        <v>700.17955000000006</v>
      </c>
      <c r="J171" s="12">
        <f>IF(_xlfn.XLOOKUP($B171,'ELC TECH'!$H:$H,'ELC TECH'!$E:$E)="Storage","",IF(_xlfn.XLOOKUP($B171,'ELC TECH'!$H:$H,'ELC TECH'!AK:AK)="",1,_xlfn.XLOOKUP($B171,'ELC TECH'!$H:$H,'ELC TECH'!AK:AK)))</f>
        <v>1</v>
      </c>
      <c r="K171" s="12">
        <f>IF(_xlfn.XLOOKUP($B171,'ELC TECH'!$H:$H,'ELC TECH'!$E:$E)="Storage","",IF(_xlfn.XLOOKUP($B171,'ELC TECH'!$H:$H,'ELC TECH'!AL:AL)="",1,_xlfn.XLOOKUP($B171,'ELC TECH'!$H:$H,'ELC TECH'!AL:AL)))</f>
        <v>1</v>
      </c>
      <c r="L171" s="12">
        <f>IF(_xlfn.XLOOKUP($B171,'ELC TECH'!$H:$H,'ELC TECH'!$E:$E)="Storage","",IF(_xlfn.XLOOKUP($B171,'ELC TECH'!$H:$H,'ELC TECH'!AM:AM)="",1,_xlfn.XLOOKUP($B171,'ELC TECH'!$H:$H,'ELC TECH'!AM:AM)))</f>
        <v>1</v>
      </c>
      <c r="M171" s="12">
        <f>IF(_xlfn.XLOOKUP($B171,'ELC TECH'!$H:$H,'ELC TECH'!$E:$E)="Storage","",IF(_xlfn.XLOOKUP($B171,'ELC TECH'!$H:$H,'ELC TECH'!AN:AN)="",1,_xlfn.XLOOKUP($B171,'ELC TECH'!$H:$H,'ELC TECH'!AN:AN)))</f>
        <v>1</v>
      </c>
      <c r="N171" s="12">
        <f>IF(_xlfn.XLOOKUP($B171,'ELC TECH'!$H:$H,'ELC TECH'!$E:$E)="Storage","",IF(_xlfn.XLOOKUP($B171,'ELC TECH'!$H:$H,'ELC TECH'!AO:AO)="",1,_xlfn.XLOOKUP($B171,'ELC TECH'!$H:$H,'ELC TECH'!AO:AO)))</f>
        <v>1</v>
      </c>
      <c r="O171" s="12">
        <f>IF(_xlfn.XLOOKUP($B171,'ELC TECH'!$H:$H,'ELC TECH'!$E:$E)="Storage","",IF(_xlfn.XLOOKUP($B171,'ELC TECH'!$H:$H,'ELC TECH'!AP:AP)="",1,_xlfn.XLOOKUP($B171,'ELC TECH'!$H:$H,'ELC TECH'!AP:AP)))</f>
        <v>1</v>
      </c>
      <c r="P171" s="12">
        <f>IF(_xlfn.XLOOKUP($B171,'ELC TECH'!$H:$H,'ELC TECH'!$E:$E)="Storage","",IF(_xlfn.XLOOKUP($B171,'ELC TECH'!$H:$H,'ELC TECH'!AQ:AQ)="",1,_xlfn.XLOOKUP($B171,'ELC TECH'!$H:$H,'ELC TECH'!AQ:AQ)))</f>
        <v>1</v>
      </c>
      <c r="Q171" s="12">
        <f>IF(_xlfn.XLOOKUP($B171,'ELC TECH'!$H:$H,'ELC TECH'!$E:$E)="Storage","",IF(_xlfn.XLOOKUP($B171,'ELC TECH'!$H:$H,'ELC TECH'!AR:AR)="",1,_xlfn.XLOOKUP($B171,'ELC TECH'!$H:$H,'ELC TECH'!AR:AR)))</f>
        <v>1</v>
      </c>
      <c r="R171" s="12" t="str">
        <f>IF(_xlfn.XLOOKUP($B171,'ELC TECH'!$H:$H,'ELC TECH'!$E:$E)&lt;&gt;"Storage","",IF(_xlfn.XLOOKUP($B171,'ELC TECH'!$H:$H,'ELC TECH'!AK:AK)="",0.8,_xlfn.XLOOKUP($B171,'ELC TECH'!$H:$H,'ELC TECH'!AK:AK)))</f>
        <v/>
      </c>
      <c r="S171" s="12" t="str">
        <f>IF(_xlfn.XLOOKUP($B171,'ELC TECH'!$H:$H,'ELC TECH'!$E:$E)&lt;&gt;"Storage","",IF(_xlfn.XLOOKUP($B171,'ELC TECH'!$H:$H,'ELC TECH'!AL:AL)="",0.8,_xlfn.XLOOKUP($B171,'ELC TECH'!$H:$H,'ELC TECH'!AL:AL)))</f>
        <v/>
      </c>
      <c r="T171" s="12" t="str">
        <f>IF(_xlfn.XLOOKUP($B171,'ELC TECH'!$H:$H,'ELC TECH'!$E:$E)&lt;&gt;"Storage","",IF(_xlfn.XLOOKUP($B171,'ELC TECH'!$H:$H,'ELC TECH'!AM:AM)="",0.8,_xlfn.XLOOKUP($B171,'ELC TECH'!$H:$H,'ELC TECH'!AM:AM)))</f>
        <v/>
      </c>
      <c r="U171" s="12" t="str">
        <f>IF(_xlfn.XLOOKUP($B171,'ELC TECH'!$H:$H,'ELC TECH'!$E:$E)&lt;&gt;"Storage","",IF(_xlfn.XLOOKUP($B171,'ELC TECH'!$H:$H,'ELC TECH'!AN:AN)="",0.8,_xlfn.XLOOKUP($B171,'ELC TECH'!$H:$H,'ELC TECH'!AN:AN)))</f>
        <v/>
      </c>
      <c r="V171" s="12" t="str">
        <f>IF(_xlfn.XLOOKUP($B171,'ELC TECH'!$H:$H,'ELC TECH'!$E:$E)&lt;&gt;"Storage","",IF(_xlfn.XLOOKUP($B171,'ELC TECH'!$H:$H,'ELC TECH'!AO:AO)="",0.8,_xlfn.XLOOKUP($B171,'ELC TECH'!$H:$H,'ELC TECH'!AO:AO)))</f>
        <v/>
      </c>
      <c r="W171" s="12" t="str">
        <f>IF(_xlfn.XLOOKUP($B171,'ELC TECH'!$H:$H,'ELC TECH'!$E:$E)&lt;&gt;"Storage","",IF(_xlfn.XLOOKUP($B171,'ELC TECH'!$H:$H,'ELC TECH'!AP:AP)="",0.8,_xlfn.XLOOKUP($B171,'ELC TECH'!$H:$H,'ELC TECH'!AP:AP)))</f>
        <v/>
      </c>
      <c r="X171" s="12" t="str">
        <f>IF(_xlfn.XLOOKUP($B171,'ELC TECH'!$H:$H,'ELC TECH'!$E:$E)&lt;&gt;"Storage","",IF(_xlfn.XLOOKUP($B171,'ELC TECH'!$H:$H,'ELC TECH'!AQ:AQ)="",0.8,_xlfn.XLOOKUP($B171,'ELC TECH'!$H:$H,'ELC TECH'!AQ:AQ)))</f>
        <v/>
      </c>
      <c r="Y171" s="12" t="str">
        <f>IF(_xlfn.XLOOKUP($B171,'ELC TECH'!$H:$H,'ELC TECH'!$E:$E)&lt;&gt;"Storage","",IF(_xlfn.XLOOKUP($B171,'ELC TECH'!$H:$H,'ELC TECH'!AR:AR)="",0.8,_xlfn.XLOOKUP($B171,'ELC TECH'!$H:$H,'ELC TECH'!AR:AR)))</f>
        <v/>
      </c>
      <c r="Z171" s="15">
        <f>_xlfn.XLOOKUP($B171,'ELC TECH'!$H:$H,'ELC TECH'!M:M)</f>
        <v>3232.554589138178</v>
      </c>
      <c r="AA171" s="15">
        <f>_xlfn.XLOOKUP($B171,'ELC TECH'!$H:$H,'ELC TECH'!N:N)</f>
        <v>2974.9201081634578</v>
      </c>
      <c r="AB171" s="15">
        <f>_xlfn.XLOOKUP($B171,'ELC TECH'!$H:$H,'ELC TECH'!O:O)</f>
        <v>2378.9027813256071</v>
      </c>
      <c r="AC171" s="15">
        <f>_xlfn.XLOOKUP($B171,'ELC TECH'!$H:$H,'ELC TECH'!P:P)</f>
        <v>1782.885454487767</v>
      </c>
      <c r="AD171" s="15">
        <f>_xlfn.XLOOKUP($B171,'ELC TECH'!$H:$H,'ELC TECH'!Q:Q)</f>
        <v>1610.1995746889211</v>
      </c>
      <c r="AE171" s="15">
        <f>_xlfn.XLOOKUP($B171,'ELC TECH'!$H:$H,'ELC TECH'!R:R)</f>
        <v>1437.5136948900749</v>
      </c>
      <c r="AF171" s="15">
        <f>_xlfn.XLOOKUP($B171,'ELC TECH'!$H:$H,'ELC TECH'!S:S)</f>
        <v>1264.827815091229</v>
      </c>
      <c r="AG171" s="15">
        <f>_xlfn.XLOOKUP($B171,'ELC TECH'!$H:$H,'ELC TECH'!T:T)</f>
        <v>1264.827815091229</v>
      </c>
      <c r="AH171" s="15">
        <f>_xlfn.XLOOKUP($B171,'ELC TECH'!$H:$H,'ELC TECH'!U:U)</f>
        <v>34.293446157052799</v>
      </c>
      <c r="AI171" s="15">
        <f>_xlfn.XLOOKUP($B171,'ELC TECH'!$H:$H,'ELC TECH'!V:V)</f>
        <v>31.784509373254991</v>
      </c>
      <c r="AJ171" s="15">
        <f>_xlfn.XLOOKUP($B171,'ELC TECH'!$H:$H,'ELC TECH'!W:W)</f>
        <v>26.108139740981851</v>
      </c>
      <c r="AK171" s="15">
        <f>_xlfn.XLOOKUP($B171,'ELC TECH'!$H:$H,'ELC TECH'!X:X)</f>
        <v>20.431770108708822</v>
      </c>
      <c r="AL171" s="15">
        <f>_xlfn.XLOOKUP($B171,'ELC TECH'!$H:$H,'ELC TECH'!Y:Y)</f>
        <v>18.787138585640339</v>
      </c>
      <c r="AM171" s="15">
        <f>_xlfn.XLOOKUP($B171,'ELC TECH'!$H:$H,'ELC TECH'!Z:Z)</f>
        <v>17.142507062571742</v>
      </c>
      <c r="AN171" s="15">
        <f>_xlfn.XLOOKUP($B171,'ELC TECH'!$H:$H,'ELC TECH'!AA:AA)</f>
        <v>15.49787553950326</v>
      </c>
      <c r="AO171" s="15">
        <f>_xlfn.XLOOKUP($B171,'ELC TECH'!$H:$H,'ELC TECH'!AB:AB)</f>
        <v>15.49787553950326</v>
      </c>
      <c r="AP171" s="15">
        <f>_xlfn.XLOOKUP($B171,'ELC TECH'!$H:$H,'ELC TECH'!AC:AC)</f>
        <v>0</v>
      </c>
      <c r="AQ171" s="15">
        <f>_xlfn.XLOOKUP($B171,'ELC TECH'!$H:$H,'ELC TECH'!AD:AD)</f>
        <v>0</v>
      </c>
      <c r="AR171" s="15">
        <f>_xlfn.XLOOKUP($B171,'ELC TECH'!$H:$H,'ELC TECH'!AE:AE)</f>
        <v>0</v>
      </c>
      <c r="AS171" s="15">
        <f>_xlfn.XLOOKUP($B171,'ELC TECH'!$H:$H,'ELC TECH'!AF:AF)</f>
        <v>0</v>
      </c>
      <c r="AT171" s="15">
        <f>_xlfn.XLOOKUP($B171,'ELC TECH'!$H:$H,'ELC TECH'!AG:AG)</f>
        <v>0</v>
      </c>
      <c r="AU171" s="15">
        <f>_xlfn.XLOOKUP($B171,'ELC TECH'!$H:$H,'ELC TECH'!AH:AH)</f>
        <v>0</v>
      </c>
      <c r="AV171" s="15">
        <f>_xlfn.XLOOKUP($B171,'ELC TECH'!$H:$H,'ELC TECH'!AI:AI)</f>
        <v>0</v>
      </c>
      <c r="AW171" s="15">
        <f>_xlfn.XLOOKUP($B171,'ELC TECH'!$H:$H,'ELC TECH'!AJ:AJ)</f>
        <v>0</v>
      </c>
      <c r="AX171" s="12">
        <f>IF(_xlfn.XLOOKUP($B171,'ELC TECH'!$H:$H,'ELC TECH'!$E:$E)="Storage","",_xlfn.XLOOKUP($B171,'ELC TECH'!$H:$H,'ELC TECH'!AS:AS))</f>
        <v>0.14359938576070599</v>
      </c>
      <c r="AY171" s="12">
        <f>IF(_xlfn.XLOOKUP($B171,'ELC TECH'!$H:$H,'ELC TECH'!$E:$E)="Storage","",_xlfn.XLOOKUP($B171,'ELC TECH'!$H:$H,'ELC TECH'!AT:AT))</f>
        <v>0.144209064025037</v>
      </c>
      <c r="AZ171" s="12">
        <f>IF(_xlfn.XLOOKUP($B171,'ELC TECH'!$H:$H,'ELC TECH'!$E:$E)="Storage","",_xlfn.XLOOKUP($B171,'ELC TECH'!$H:$H,'ELC TECH'!AU:AU))</f>
        <v>0.14497116185545</v>
      </c>
      <c r="BA171" s="12">
        <f>IF(_xlfn.XLOOKUP($B171,'ELC TECH'!$H:$H,'ELC TECH'!$E:$E)="Storage","",_xlfn.XLOOKUP($B171,'ELC TECH'!$H:$H,'ELC TECH'!AV:AV))</f>
        <v>0.14573325968586401</v>
      </c>
      <c r="BB171" s="12">
        <f>IF(_xlfn.XLOOKUP($B171,'ELC TECH'!$H:$H,'ELC TECH'!$E:$E)="Storage","",_xlfn.XLOOKUP($B171,'ELC TECH'!$H:$H,'ELC TECH'!AW:AW))</f>
        <v>0.14698773245887201</v>
      </c>
      <c r="BC171" s="12">
        <f>IF(_xlfn.XLOOKUP($B171,'ELC TECH'!$H:$H,'ELC TECH'!$E:$E)="Storage","",_xlfn.XLOOKUP($B171,'ELC TECH'!$H:$H,'ELC TECH'!AX:AX))</f>
        <v>0.148242205231881</v>
      </c>
      <c r="BD171" s="12">
        <f>IF(_xlfn.XLOOKUP($B171,'ELC TECH'!$H:$H,'ELC TECH'!$E:$E)="Storage","",_xlfn.XLOOKUP($B171,'ELC TECH'!$H:$H,'ELC TECH'!AY:AY))</f>
        <v>0.149496678004889</v>
      </c>
      <c r="BE171" s="12">
        <f>IF(_xlfn.XLOOKUP($B171,'ELC TECH'!$H:$H,'ELC TECH'!$E:$E)="Storage","",_xlfn.XLOOKUP($B171,'ELC TECH'!$H:$H,'ELC TECH'!AZ:AZ))</f>
        <v>0.149496678004889</v>
      </c>
      <c r="BF171" s="12" t="str">
        <f>IF(_xlfn.XLOOKUP($B171,'ELC TECH'!$H:$H,'ELC TECH'!$E:$E)="Storage",_xlfn.XLOOKUP($B171,'ELC TECH'!$H:$H,'ELC TECH'!AS:AS),"")</f>
        <v/>
      </c>
      <c r="BG171" s="12" t="str">
        <f>IF(_xlfn.XLOOKUP($B171,'ELC TECH'!$H:$H,'ELC TECH'!$E:$E)="Storage",_xlfn.XLOOKUP($B171,'ELC TECH'!$H:$H,'ELC TECH'!AT:AT),"")</f>
        <v/>
      </c>
      <c r="BH171" s="12" t="str">
        <f>IF(_xlfn.XLOOKUP($B171,'ELC TECH'!$H:$H,'ELC TECH'!$E:$E)="Storage",_xlfn.XLOOKUP($B171,'ELC TECH'!$H:$H,'ELC TECH'!AU:AU),"")</f>
        <v/>
      </c>
      <c r="BI171" s="12" t="str">
        <f>IF(_xlfn.XLOOKUP($B171,'ELC TECH'!$H:$H,'ELC TECH'!$E:$E)="Storage",_xlfn.XLOOKUP($B171,'ELC TECH'!$H:$H,'ELC TECH'!AV:AV),"")</f>
        <v/>
      </c>
      <c r="BJ171" s="12" t="str">
        <f>IF(_xlfn.XLOOKUP($B171,'ELC TECH'!$H:$H,'ELC TECH'!$E:$E)="Storage",_xlfn.XLOOKUP($B171,'ELC TECH'!$H:$H,'ELC TECH'!AW:AW),"")</f>
        <v/>
      </c>
      <c r="BK171" s="12" t="str">
        <f>IF(_xlfn.XLOOKUP($B171,'ELC TECH'!$H:$H,'ELC TECH'!$E:$E)="Storage",_xlfn.XLOOKUP($B171,'ELC TECH'!$H:$H,'ELC TECH'!AX:AX),"")</f>
        <v/>
      </c>
      <c r="BL171" s="12" t="str">
        <f>IF(_xlfn.XLOOKUP($B171,'ELC TECH'!$H:$H,'ELC TECH'!$E:$E)="Storage",_xlfn.XLOOKUP($B171,'ELC TECH'!$H:$H,'ELC TECH'!AY:AY),"")</f>
        <v/>
      </c>
      <c r="BM171" s="12" t="str">
        <f>IF(_xlfn.XLOOKUP($B171,'ELC TECH'!$H:$H,'ELC TECH'!$E:$E)="Storage",_xlfn.XLOOKUP($B171,'ELC TECH'!$H:$H,'ELC TECH'!AZ:AZ),"")</f>
        <v/>
      </c>
      <c r="BN171" s="8">
        <f>IF(_xlfn.XLOOKUP($B171,'ELC TECH'!$H:$H,'ELC TECH'!$E:$E)="Non Dispatchable",IFERROR($AX171*_xlfn.XLOOKUP($C171,$BM$1:$BM$3,BN$1:BN$3)/SUMPRODUCT(_xlfn.XLOOKUP($C171,$BM$1:$BM$3,$BN$1:$BY$3),$BN$4:$BY$4),""),
"")</f>
        <v>0.22474773894459954</v>
      </c>
      <c r="BO171" s="8">
        <f>IF(_xlfn.XLOOKUP($B171,'ELC TECH'!$H:$H,'ELC TECH'!$E:$E)="Non Dispatchable",IFERROR($AX171*_xlfn.XLOOKUP($C171,$BM$1:$BM$3,BO$1:BO$3)/SUMPRODUCT(_xlfn.XLOOKUP($C171,$BM$1:$BM$3,$BN$1:$BY$3),$BN$4:$BY$4),""),
"")</f>
        <v>0.22474773894459954</v>
      </c>
      <c r="BP171" s="8">
        <f>IF(_xlfn.XLOOKUP($B171,'ELC TECH'!$H:$H,'ELC TECH'!$E:$E)="Non Dispatchable",IFERROR($AX171*_xlfn.XLOOKUP($C171,$BM$1:$BM$3,BP$1:BP$3)/SUMPRODUCT(_xlfn.XLOOKUP($C171,$BM$1:$BM$3,$BN$1:$BY$3),$BN$4:$BY$4),""),
"")</f>
        <v>2.2474773894459957E-2</v>
      </c>
      <c r="BQ171" s="8">
        <f>IF(_xlfn.XLOOKUP($B171,'ELC TECH'!$H:$H,'ELC TECH'!$E:$E)="Non Dispatchable",IFERROR($AX171*_xlfn.XLOOKUP($C171,$BM$1:$BM$3,BQ$1:BQ$3)/SUMPRODUCT(_xlfn.XLOOKUP($C171,$BM$1:$BM$3,$BN$1:$BY$3),$BN$4:$BY$4),""),
"")</f>
        <v>0</v>
      </c>
      <c r="BR171" s="8">
        <f>IF(_xlfn.XLOOKUP($B171,'ELC TECH'!$H:$H,'ELC TECH'!$E:$E)="Non Dispatchable",IFERROR($AX171*_xlfn.XLOOKUP($C171,$BM$1:$BM$3,BR$1:BR$3)/SUMPRODUCT(_xlfn.XLOOKUP($C171,$BM$1:$BM$3,$BN$1:$BY$3),$BN$4:$BY$4),""),
"")</f>
        <v>0.25884884143104497</v>
      </c>
      <c r="BS171" s="8">
        <f>IF(_xlfn.XLOOKUP($B171,'ELC TECH'!$H:$H,'ELC TECH'!$E:$E)="Non Dispatchable",IFERROR($AX171*_xlfn.XLOOKUP($C171,$BM$1:$BM$3,BS$1:BS$3)/SUMPRODUCT(_xlfn.XLOOKUP($C171,$BM$1:$BM$3,$BN$1:$BY$3),$BN$4:$BY$4),""),
"")</f>
        <v>0.25884884143104497</v>
      </c>
      <c r="BT171" s="8">
        <f>IF(_xlfn.XLOOKUP($B171,'ELC TECH'!$H:$H,'ELC TECH'!$E:$E)="Non Dispatchable",IFERROR($AX171*_xlfn.XLOOKUP($C171,$BM$1:$BM$3,BT$1:BT$3)/SUMPRODUCT(_xlfn.XLOOKUP($C171,$BM$1:$BM$3,$BN$1:$BY$3),$BN$4:$BY$4),""),
"")</f>
        <v>2.5884884143104501E-2</v>
      </c>
      <c r="BU171" s="8">
        <f>IF(_xlfn.XLOOKUP($B171,'ELC TECH'!$H:$H,'ELC TECH'!$E:$E)="Non Dispatchable",IFERROR($AX171*_xlfn.XLOOKUP($C171,$BM$1:$BM$3,BU$1:BU$3)/SUMPRODUCT(_xlfn.XLOOKUP($C171,$BM$1:$BM$3,$BN$1:$BY$3),$BN$4:$BY$4),""),
"")</f>
        <v>0</v>
      </c>
      <c r="BV171" s="8">
        <f>IF(_xlfn.XLOOKUP($B171,'ELC TECH'!$H:$H,'ELC TECH'!$E:$E)="Non Dispatchable",IFERROR($AX171*_xlfn.XLOOKUP($C171,$BM$1:$BM$3,BV$1:BV$3)/SUMPRODUCT(_xlfn.XLOOKUP($C171,$BM$1:$BM$3,$BN$1:$BY$3),$BN$4:$BY$4),""),
"")</f>
        <v>0.21654951539104367</v>
      </c>
      <c r="BW171" s="8">
        <f>IF(_xlfn.XLOOKUP($B171,'ELC TECH'!$H:$H,'ELC TECH'!$E:$E)="Non Dispatchable",IFERROR($AX171*_xlfn.XLOOKUP($C171,$BM$1:$BM$3,BW$1:BW$3)/SUMPRODUCT(_xlfn.XLOOKUP($C171,$BM$1:$BM$3,$BN$1:$BY$3),$BN$4:$BY$4),""),
"")</f>
        <v>0.21654951539104367</v>
      </c>
      <c r="BX171" s="8">
        <f>IF(_xlfn.XLOOKUP($B171,'ELC TECH'!$H:$H,'ELC TECH'!$E:$E)="Non Dispatchable",IFERROR($AX171*_xlfn.XLOOKUP($C171,$BM$1:$BM$3,BX$1:BX$3)/SUMPRODUCT(_xlfn.XLOOKUP($C171,$BM$1:$BM$3,$BN$1:$BY$3),$BN$4:$BY$4),""),
"")</f>
        <v>2.1654951539104367E-2</v>
      </c>
      <c r="BY171" s="8">
        <f>IF(_xlfn.XLOOKUP($B171,'ELC TECH'!$H:$H,'ELC TECH'!$E:$E)="Non Dispatchable",IFERROR($AX171*_xlfn.XLOOKUP($C171,$BM$1:$BM$3,BY$1:BY$3)/SUMPRODUCT(_xlfn.XLOOKUP($C171,$BM$1:$BM$3,$BN$1:$BY$3),$BN$4:$BY$4),""),
"")</f>
        <v>0</v>
      </c>
      <c r="BZ171" s="8">
        <f>IF(_xlfn.XLOOKUP($B171,'ELC TECH'!$H:$H,'ELC TECH'!$E:$E)="Non Dispatchable",IFERROR($AX171*_xlfn.XLOOKUP($C171,$BM$1:$BM$3,BZ$1:BZ$3)/SUMPRODUCT(_xlfn.XLOOKUP($C171,$BM$1:$BM$3,$BN$1:$BY$3),$BN$4:$BY$4),""),
"")</f>
        <v>0.22474773894459954</v>
      </c>
      <c r="CA171" s="8">
        <f>IF(_xlfn.XLOOKUP($B171,'ELC TECH'!$H:$H,'ELC TECH'!$E:$E)="Non Dispatchable",IFERROR($AX171*_xlfn.XLOOKUP($C171,$BM$1:$BM$3,CA$1:CA$3)/SUMPRODUCT(_xlfn.XLOOKUP($C171,$BM$1:$BM$3,$BN$1:$BY$3),$BN$4:$BY$4),""),
"")</f>
        <v>0.22474773894459954</v>
      </c>
      <c r="CB171" s="8">
        <f>IF(_xlfn.XLOOKUP($B171,'ELC TECH'!$H:$H,'ELC TECH'!$E:$E)="Non Dispatchable",IFERROR($AX171*_xlfn.XLOOKUP($C171,$BM$1:$BM$3,CB$1:CB$3)/SUMPRODUCT(_xlfn.XLOOKUP($C171,$BM$1:$BM$3,$BN$1:$BY$3),$BN$4:$BY$4),""),
"")</f>
        <v>2.2474773894459957E-2</v>
      </c>
      <c r="CC171" s="8">
        <f>IF(_xlfn.XLOOKUP($B171,'ELC TECH'!$H:$H,'ELC TECH'!$E:$E)="Non Dispatchable",IFERROR($AX171*_xlfn.XLOOKUP($C171,$BM$1:$BM$3,CC$1:CC$3)/SUMPRODUCT(_xlfn.XLOOKUP($C171,$BM$1:$BM$3,$BN$1:$BY$3),$BN$4:$BY$4),""),
"")</f>
        <v>0</v>
      </c>
      <c r="CD171" s="8">
        <f>IF(_xlfn.XLOOKUP($B171,'ELC TECH'!$H:$H,'ELC TECH'!$E:$E)="Non Dispatchable",IFERROR($AX171*_xlfn.XLOOKUP($C171,$BM$1:$BM$3,CD$1:CD$3)/SUMPRODUCT(_xlfn.XLOOKUP($C171,$BM$1:$BM$3,$BN$1:$BY$3),$BN$4:$BY$4),""),
"")</f>
        <v>0.25884884143104497</v>
      </c>
      <c r="CE171" s="8">
        <f>IF(_xlfn.XLOOKUP($B171,'ELC TECH'!$H:$H,'ELC TECH'!$E:$E)="Non Dispatchable",IFERROR($AX171*_xlfn.XLOOKUP($C171,$BM$1:$BM$3,CE$1:CE$3)/SUMPRODUCT(_xlfn.XLOOKUP($C171,$BM$1:$BM$3,$BN$1:$BY$3),$BN$4:$BY$4),""),
"")</f>
        <v>0.25884884143104497</v>
      </c>
      <c r="CF171" s="8">
        <f>IF(_xlfn.XLOOKUP($B171,'ELC TECH'!$H:$H,'ELC TECH'!$E:$E)="Non Dispatchable",IFERROR($AX171*_xlfn.XLOOKUP($C171,$BM$1:$BM$3,CF$1:CF$3)/SUMPRODUCT(_xlfn.XLOOKUP($C171,$BM$1:$BM$3,$BN$1:$BY$3),$BN$4:$BY$4),""),
"")</f>
        <v>2.5884884143104501E-2</v>
      </c>
      <c r="CG171" s="8">
        <f>IF(_xlfn.XLOOKUP($B171,'ELC TECH'!$H:$H,'ELC TECH'!$E:$E)="Non Dispatchable",IFERROR($AX171*_xlfn.XLOOKUP($C171,$BM$1:$BM$3,CG$1:CG$3)/SUMPRODUCT(_xlfn.XLOOKUP($C171,$BM$1:$BM$3,$BN$1:$BY$3),$BN$4:$BY$4),""),
"")</f>
        <v>0</v>
      </c>
      <c r="CH171" s="8">
        <f>IF(_xlfn.XLOOKUP($B171,'ELC TECH'!$H:$H,'ELC TECH'!$E:$E)="Non Dispatchable",IFERROR($AX171*_xlfn.XLOOKUP($C171,$BM$1:$BM$3,CH$1:CH$3)/SUMPRODUCT(_xlfn.XLOOKUP($C171,$BM$1:$BM$3,$BN$1:$BY$3),$BN$4:$BY$4),""),
"")</f>
        <v>0.21654951539104367</v>
      </c>
      <c r="CI171" s="8">
        <f>IF(_xlfn.XLOOKUP($B171,'ELC TECH'!$H:$H,'ELC TECH'!$E:$E)="Non Dispatchable",IFERROR($AX171*_xlfn.XLOOKUP($C171,$BM$1:$BM$3,CI$1:CI$3)/SUMPRODUCT(_xlfn.XLOOKUP($C171,$BM$1:$BM$3,$BN$1:$BY$3),$BN$4:$BY$4),""),
"")</f>
        <v>0.21654951539104367</v>
      </c>
      <c r="CJ171" s="8">
        <f>IF(_xlfn.XLOOKUP($B171,'ELC TECH'!$H:$H,'ELC TECH'!$E:$E)="Non Dispatchable",IFERROR($AX171*_xlfn.XLOOKUP($C171,$BM$1:$BM$3,CJ$1:CJ$3)/SUMPRODUCT(_xlfn.XLOOKUP($C171,$BM$1:$BM$3,$BN$1:$BY$3),$BN$4:$BY$4),""),
"")</f>
        <v>2.1654951539104367E-2</v>
      </c>
      <c r="CK171" s="8">
        <f>IF(_xlfn.XLOOKUP($B171,'ELC TECH'!$H:$H,'ELC TECH'!$E:$E)="Non Dispatchable",IFERROR($AX171*_xlfn.XLOOKUP($C171,$BM$1:$BM$3,CK$1:CK$3)/SUMPRODUCT(_xlfn.XLOOKUP($C171,$BM$1:$BM$3,$BN$1:$BY$3),$BN$4:$BY$4),""),
"")</f>
        <v>0</v>
      </c>
      <c r="CL171" s="8" t="str">
        <f>IF(_xlfn.XLOOKUP($B171,'ELC TECH'!$H:$H,'ELC TECH'!$E:$E)="Storage",CL$4*$BF171,"")</f>
        <v/>
      </c>
      <c r="CM171" s="8" t="str">
        <f>IF(_xlfn.XLOOKUP($B171,'ELC TECH'!$H:$H,'ELC TECH'!$E:$E)="Storage",CM$4*$BF171,"")</f>
        <v/>
      </c>
      <c r="CN171" s="8" t="str">
        <f>IF(_xlfn.XLOOKUP($B171,'ELC TECH'!$H:$H,'ELC TECH'!$E:$E)="Storage",CN$4*$BF171,"")</f>
        <v/>
      </c>
      <c r="CO171" s="8" t="str">
        <f>IF(_xlfn.XLOOKUP($B171,'ELC TECH'!$H:$H,'ELC TECH'!$E:$E)="Storage",CO$4*$BF171,"")</f>
        <v/>
      </c>
      <c r="CP171" s="8" t="str">
        <f>IF(_xlfn.XLOOKUP($B171,'ELC TECH'!$H:$H,'ELC TECH'!$E:$E)="Storage",CP$4*$BF171,"")</f>
        <v/>
      </c>
      <c r="CQ171" s="8" t="str">
        <f>IF(_xlfn.XLOOKUP($B171,'ELC TECH'!$H:$H,'ELC TECH'!$E:$E)="Storage",CQ$4*$BF171,"")</f>
        <v/>
      </c>
      <c r="CR171" s="8" t="str">
        <f>IF(_xlfn.XLOOKUP($B171,'ELC TECH'!$H:$H,'ELC TECH'!$E:$E)="Storage",CR$4*$BF171,"")</f>
        <v/>
      </c>
      <c r="CS171" s="8" t="str">
        <f>IF(_xlfn.XLOOKUP($B171,'ELC TECH'!$H:$H,'ELC TECH'!$E:$E)="Storage",CS$4*$BF171,"")</f>
        <v/>
      </c>
      <c r="CT171" s="8" t="str">
        <f>IF(_xlfn.XLOOKUP($B171,'ELC TECH'!$H:$H,'ELC TECH'!$E:$E)="Storage",CT$4*$BF171,"")</f>
        <v/>
      </c>
      <c r="CU171" s="8" t="str">
        <f>IF(_xlfn.XLOOKUP($B171,'ELC TECH'!$H:$H,'ELC TECH'!$E:$E)="Storage",CU$4*$BF171,"")</f>
        <v/>
      </c>
      <c r="CV171" s="8" t="str">
        <f>IF(_xlfn.XLOOKUP($B171,'ELC TECH'!$H:$H,'ELC TECH'!$E:$E)="Storage",CV$4*$BF171,"")</f>
        <v/>
      </c>
      <c r="CW171" s="8" t="str">
        <f>IF(_xlfn.XLOOKUP($B171,'ELC TECH'!$H:$H,'ELC TECH'!$E:$E)="Storage",CW$4*$BF171,"")</f>
        <v/>
      </c>
      <c r="CX171" s="8" t="str">
        <f>IF(_xlfn.XLOOKUP($B171,'ELC TECH'!$H:$H,'ELC TECH'!$E:$E)="Storage",CX$4*$BF171,"")</f>
        <v/>
      </c>
      <c r="CY171" s="8" t="str">
        <f>IF(_xlfn.XLOOKUP($B171,'ELC TECH'!$H:$H,'ELC TECH'!$E:$E)="Storage",CY$4*$BF171,"")</f>
        <v/>
      </c>
      <c r="CZ171" s="8" t="str">
        <f>IF(_xlfn.XLOOKUP($B171,'ELC TECH'!$H:$H,'ELC TECH'!$E:$E)="Storage",CZ$4*$BF171,"")</f>
        <v/>
      </c>
      <c r="DA171" s="8" t="str">
        <f>IF(_xlfn.XLOOKUP($B171,'ELC TECH'!$H:$H,'ELC TECH'!$E:$E)="Storage",DA$4*$BF171,"")</f>
        <v/>
      </c>
      <c r="DB171" s="8" t="str">
        <f>IF(_xlfn.XLOOKUP($B171,'ELC TECH'!$H:$H,'ELC TECH'!$E:$E)="Storage",DB$4*$BF171,"")</f>
        <v/>
      </c>
      <c r="DC171" s="8" t="str">
        <f>IF(_xlfn.XLOOKUP($B171,'ELC TECH'!$H:$H,'ELC TECH'!$E:$E)="Storage",DC$4*$BF171,"")</f>
        <v/>
      </c>
      <c r="DD171" s="8" t="str">
        <f>IF(_xlfn.XLOOKUP($B171,'ELC TECH'!$H:$H,'ELC TECH'!$E:$E)="Storage",DD$4*$BF171,"")</f>
        <v/>
      </c>
      <c r="DE171" s="8" t="str">
        <f>IF(_xlfn.XLOOKUP($B171,'ELC TECH'!$H:$H,'ELC TECH'!$E:$E)="Storage",DE$4*$BF171,"")</f>
        <v/>
      </c>
      <c r="DF171" s="8" t="str">
        <f>IF(_xlfn.XLOOKUP($B171,'ELC TECH'!$H:$H,'ELC TECH'!$E:$E)="Storage",DF$4*$BF171,"")</f>
        <v/>
      </c>
      <c r="DG171" s="8" t="str">
        <f>IF(_xlfn.XLOOKUP($B171,'ELC TECH'!$H:$H,'ELC TECH'!$E:$E)="Storage",DG$4*$BF171,"")</f>
        <v/>
      </c>
      <c r="DH171" s="8" t="str">
        <f>IF(_xlfn.XLOOKUP($B171,'ELC TECH'!$H:$H,'ELC TECH'!$E:$E)="Storage",DH$4*$BF171,"")</f>
        <v/>
      </c>
      <c r="DI171" s="8" t="str">
        <f>IF(_xlfn.XLOOKUP($B171,'ELC TECH'!$H:$H,'ELC TECH'!$E:$E)="Storage",DI$4*$BF171,"")</f>
        <v/>
      </c>
    </row>
    <row r="172" spans="2:113" x14ac:dyDescent="0.25">
      <c r="B172" t="str">
        <f>IF('ELC TECH'!I165=0,"*",'ELC TECH'!H165)</f>
        <v>ELCSOLDCERDPV820</v>
      </c>
      <c r="C172" t="str">
        <f>IF(_xlfn.XLOOKUP(_xlfn.XLOOKUP(B172,'ELC TECH'!$H:$H,'ELC TECH'!$G:$G),List!C:C,List!B:B)="STG",D172,"ELC"&amp;_xlfn.XLOOKUP(_xlfn.XLOOKUP(B172,'ELC TECH'!H:H,'ELC TECH'!G:G),List!C:C,List!B:B))</f>
        <v>ELCSOL</v>
      </c>
      <c r="D172" t="s">
        <v>545</v>
      </c>
      <c r="E172">
        <f>_xlfn.XLOOKUP(B172,'ELC TECH'!H:H,'ELC TECH'!D:D)</f>
        <v>2020</v>
      </c>
      <c r="F172">
        <f>_xlfn.XLOOKUP(B172,'ELC TECH'!H:H,'ELC TECH'!K:K)</f>
        <v>30</v>
      </c>
      <c r="G172">
        <f t="shared" si="9"/>
        <v>31.535999999999998</v>
      </c>
      <c r="H172">
        <f>IF(_xlfn.XLOOKUP(B172,'ELC TECH'!$H:$H,'ELC TECH'!$E:$E)="Storage",0.3,IF(_xlfn.XLOOKUP(B172,'ELC TECH'!$H:$H,'ELC TECH'!$E:$E)="Baseload",0.9,IF(_xlfn.XLOOKUP(B172,'ELC TECH'!$H:$H,'ELC TECH'!$E:$E)="Non Dispatchable",0.05,IF(_xlfn.XLOOKUP(B172,'ELC TECH'!$H:$H,'ELC TECH'!$E:$E)="Dispatchable",0.9,1))))</f>
        <v>0.05</v>
      </c>
      <c r="I172" s="13">
        <f>IF(_xlfn.XLOOKUP(B172,'ELC TECH'!H:H,'ELC TECH'!J:J)="","",_xlfn.XLOOKUP(B172,'ELC TECH'!H:H,'ELC TECH'!J:J))</f>
        <v>700.17955000000006</v>
      </c>
      <c r="J172" s="12">
        <f>IF(_xlfn.XLOOKUP($B172,'ELC TECH'!$H:$H,'ELC TECH'!$E:$E)="Storage","",IF(_xlfn.XLOOKUP($B172,'ELC TECH'!$H:$H,'ELC TECH'!AK:AK)="",1,_xlfn.XLOOKUP($B172,'ELC TECH'!$H:$H,'ELC TECH'!AK:AK)))</f>
        <v>1</v>
      </c>
      <c r="K172" s="12">
        <f>IF(_xlfn.XLOOKUP($B172,'ELC TECH'!$H:$H,'ELC TECH'!$E:$E)="Storage","",IF(_xlfn.XLOOKUP($B172,'ELC TECH'!$H:$H,'ELC TECH'!AL:AL)="",1,_xlfn.XLOOKUP($B172,'ELC TECH'!$H:$H,'ELC TECH'!AL:AL)))</f>
        <v>1</v>
      </c>
      <c r="L172" s="12">
        <f>IF(_xlfn.XLOOKUP($B172,'ELC TECH'!$H:$H,'ELC TECH'!$E:$E)="Storage","",IF(_xlfn.XLOOKUP($B172,'ELC TECH'!$H:$H,'ELC TECH'!AM:AM)="",1,_xlfn.XLOOKUP($B172,'ELC TECH'!$H:$H,'ELC TECH'!AM:AM)))</f>
        <v>1</v>
      </c>
      <c r="M172" s="12">
        <f>IF(_xlfn.XLOOKUP($B172,'ELC TECH'!$H:$H,'ELC TECH'!$E:$E)="Storage","",IF(_xlfn.XLOOKUP($B172,'ELC TECH'!$H:$H,'ELC TECH'!AN:AN)="",1,_xlfn.XLOOKUP($B172,'ELC TECH'!$H:$H,'ELC TECH'!AN:AN)))</f>
        <v>1</v>
      </c>
      <c r="N172" s="12">
        <f>IF(_xlfn.XLOOKUP($B172,'ELC TECH'!$H:$H,'ELC TECH'!$E:$E)="Storage","",IF(_xlfn.XLOOKUP($B172,'ELC TECH'!$H:$H,'ELC TECH'!AO:AO)="",1,_xlfn.XLOOKUP($B172,'ELC TECH'!$H:$H,'ELC TECH'!AO:AO)))</f>
        <v>1</v>
      </c>
      <c r="O172" s="12">
        <f>IF(_xlfn.XLOOKUP($B172,'ELC TECH'!$H:$H,'ELC TECH'!$E:$E)="Storage","",IF(_xlfn.XLOOKUP($B172,'ELC TECH'!$H:$H,'ELC TECH'!AP:AP)="",1,_xlfn.XLOOKUP($B172,'ELC TECH'!$H:$H,'ELC TECH'!AP:AP)))</f>
        <v>1</v>
      </c>
      <c r="P172" s="12">
        <f>IF(_xlfn.XLOOKUP($B172,'ELC TECH'!$H:$H,'ELC TECH'!$E:$E)="Storage","",IF(_xlfn.XLOOKUP($B172,'ELC TECH'!$H:$H,'ELC TECH'!AQ:AQ)="",1,_xlfn.XLOOKUP($B172,'ELC TECH'!$H:$H,'ELC TECH'!AQ:AQ)))</f>
        <v>1</v>
      </c>
      <c r="Q172" s="12">
        <f>IF(_xlfn.XLOOKUP($B172,'ELC TECH'!$H:$H,'ELC TECH'!$E:$E)="Storage","",IF(_xlfn.XLOOKUP($B172,'ELC TECH'!$H:$H,'ELC TECH'!AR:AR)="",1,_xlfn.XLOOKUP($B172,'ELC TECH'!$H:$H,'ELC TECH'!AR:AR)))</f>
        <v>1</v>
      </c>
      <c r="R172" s="12" t="str">
        <f>IF(_xlfn.XLOOKUP($B172,'ELC TECH'!$H:$H,'ELC TECH'!$E:$E)&lt;&gt;"Storage","",IF(_xlfn.XLOOKUP($B172,'ELC TECH'!$H:$H,'ELC TECH'!AK:AK)="",0.8,_xlfn.XLOOKUP($B172,'ELC TECH'!$H:$H,'ELC TECH'!AK:AK)))</f>
        <v/>
      </c>
      <c r="S172" s="12" t="str">
        <f>IF(_xlfn.XLOOKUP($B172,'ELC TECH'!$H:$H,'ELC TECH'!$E:$E)&lt;&gt;"Storage","",IF(_xlfn.XLOOKUP($B172,'ELC TECH'!$H:$H,'ELC TECH'!AL:AL)="",0.8,_xlfn.XLOOKUP($B172,'ELC TECH'!$H:$H,'ELC TECH'!AL:AL)))</f>
        <v/>
      </c>
      <c r="T172" s="12" t="str">
        <f>IF(_xlfn.XLOOKUP($B172,'ELC TECH'!$H:$H,'ELC TECH'!$E:$E)&lt;&gt;"Storage","",IF(_xlfn.XLOOKUP($B172,'ELC TECH'!$H:$H,'ELC TECH'!AM:AM)="",0.8,_xlfn.XLOOKUP($B172,'ELC TECH'!$H:$H,'ELC TECH'!AM:AM)))</f>
        <v/>
      </c>
      <c r="U172" s="12" t="str">
        <f>IF(_xlfn.XLOOKUP($B172,'ELC TECH'!$H:$H,'ELC TECH'!$E:$E)&lt;&gt;"Storage","",IF(_xlfn.XLOOKUP($B172,'ELC TECH'!$H:$H,'ELC TECH'!AN:AN)="",0.8,_xlfn.XLOOKUP($B172,'ELC TECH'!$H:$H,'ELC TECH'!AN:AN)))</f>
        <v/>
      </c>
      <c r="V172" s="12" t="str">
        <f>IF(_xlfn.XLOOKUP($B172,'ELC TECH'!$H:$H,'ELC TECH'!$E:$E)&lt;&gt;"Storage","",IF(_xlfn.XLOOKUP($B172,'ELC TECH'!$H:$H,'ELC TECH'!AO:AO)="",0.8,_xlfn.XLOOKUP($B172,'ELC TECH'!$H:$H,'ELC TECH'!AO:AO)))</f>
        <v/>
      </c>
      <c r="W172" s="12" t="str">
        <f>IF(_xlfn.XLOOKUP($B172,'ELC TECH'!$H:$H,'ELC TECH'!$E:$E)&lt;&gt;"Storage","",IF(_xlfn.XLOOKUP($B172,'ELC TECH'!$H:$H,'ELC TECH'!AP:AP)="",0.8,_xlfn.XLOOKUP($B172,'ELC TECH'!$H:$H,'ELC TECH'!AP:AP)))</f>
        <v/>
      </c>
      <c r="X172" s="12" t="str">
        <f>IF(_xlfn.XLOOKUP($B172,'ELC TECH'!$H:$H,'ELC TECH'!$E:$E)&lt;&gt;"Storage","",IF(_xlfn.XLOOKUP($B172,'ELC TECH'!$H:$H,'ELC TECH'!AQ:AQ)="",0.8,_xlfn.XLOOKUP($B172,'ELC TECH'!$H:$H,'ELC TECH'!AQ:AQ)))</f>
        <v/>
      </c>
      <c r="Y172" s="12" t="str">
        <f>IF(_xlfn.XLOOKUP($B172,'ELC TECH'!$H:$H,'ELC TECH'!$E:$E)&lt;&gt;"Storage","",IF(_xlfn.XLOOKUP($B172,'ELC TECH'!$H:$H,'ELC TECH'!AR:AR)="",0.8,_xlfn.XLOOKUP($B172,'ELC TECH'!$H:$H,'ELC TECH'!AR:AR)))</f>
        <v/>
      </c>
      <c r="Z172" s="15">
        <f>_xlfn.XLOOKUP($B172,'ELC TECH'!$H:$H,'ELC TECH'!M:M)</f>
        <v>3232.554589138178</v>
      </c>
      <c r="AA172" s="15">
        <f>_xlfn.XLOOKUP($B172,'ELC TECH'!$H:$H,'ELC TECH'!N:N)</f>
        <v>2974.9201081634578</v>
      </c>
      <c r="AB172" s="15">
        <f>_xlfn.XLOOKUP($B172,'ELC TECH'!$H:$H,'ELC TECH'!O:O)</f>
        <v>2378.9027813256071</v>
      </c>
      <c r="AC172" s="15">
        <f>_xlfn.XLOOKUP($B172,'ELC TECH'!$H:$H,'ELC TECH'!P:P)</f>
        <v>1782.885454487767</v>
      </c>
      <c r="AD172" s="15">
        <f>_xlfn.XLOOKUP($B172,'ELC TECH'!$H:$H,'ELC TECH'!Q:Q)</f>
        <v>1610.1995746889211</v>
      </c>
      <c r="AE172" s="15">
        <f>_xlfn.XLOOKUP($B172,'ELC TECH'!$H:$H,'ELC TECH'!R:R)</f>
        <v>1437.5136948900749</v>
      </c>
      <c r="AF172" s="15">
        <f>_xlfn.XLOOKUP($B172,'ELC TECH'!$H:$H,'ELC TECH'!S:S)</f>
        <v>1264.827815091229</v>
      </c>
      <c r="AG172" s="15">
        <f>_xlfn.XLOOKUP($B172,'ELC TECH'!$H:$H,'ELC TECH'!T:T)</f>
        <v>1264.827815091229</v>
      </c>
      <c r="AH172" s="15">
        <f>_xlfn.XLOOKUP($B172,'ELC TECH'!$H:$H,'ELC TECH'!U:U)</f>
        <v>34.293446157052799</v>
      </c>
      <c r="AI172" s="15">
        <f>_xlfn.XLOOKUP($B172,'ELC TECH'!$H:$H,'ELC TECH'!V:V)</f>
        <v>31.784509373254991</v>
      </c>
      <c r="AJ172" s="15">
        <f>_xlfn.XLOOKUP($B172,'ELC TECH'!$H:$H,'ELC TECH'!W:W)</f>
        <v>26.108139740981851</v>
      </c>
      <c r="AK172" s="15">
        <f>_xlfn.XLOOKUP($B172,'ELC TECH'!$H:$H,'ELC TECH'!X:X)</f>
        <v>20.431770108708822</v>
      </c>
      <c r="AL172" s="15">
        <f>_xlfn.XLOOKUP($B172,'ELC TECH'!$H:$H,'ELC TECH'!Y:Y)</f>
        <v>18.787138585640339</v>
      </c>
      <c r="AM172" s="15">
        <f>_xlfn.XLOOKUP($B172,'ELC TECH'!$H:$H,'ELC TECH'!Z:Z)</f>
        <v>17.142507062571742</v>
      </c>
      <c r="AN172" s="15">
        <f>_xlfn.XLOOKUP($B172,'ELC TECH'!$H:$H,'ELC TECH'!AA:AA)</f>
        <v>15.49787553950326</v>
      </c>
      <c r="AO172" s="15">
        <f>_xlfn.XLOOKUP($B172,'ELC TECH'!$H:$H,'ELC TECH'!AB:AB)</f>
        <v>15.49787553950326</v>
      </c>
      <c r="AP172" s="15">
        <f>_xlfn.XLOOKUP($B172,'ELC TECH'!$H:$H,'ELC TECH'!AC:AC)</f>
        <v>0</v>
      </c>
      <c r="AQ172" s="15">
        <f>_xlfn.XLOOKUP($B172,'ELC TECH'!$H:$H,'ELC TECH'!AD:AD)</f>
        <v>0</v>
      </c>
      <c r="AR172" s="15">
        <f>_xlfn.XLOOKUP($B172,'ELC TECH'!$H:$H,'ELC TECH'!AE:AE)</f>
        <v>0</v>
      </c>
      <c r="AS172" s="15">
        <f>_xlfn.XLOOKUP($B172,'ELC TECH'!$H:$H,'ELC TECH'!AF:AF)</f>
        <v>0</v>
      </c>
      <c r="AT172" s="15">
        <f>_xlfn.XLOOKUP($B172,'ELC TECH'!$H:$H,'ELC TECH'!AG:AG)</f>
        <v>0</v>
      </c>
      <c r="AU172" s="15">
        <f>_xlfn.XLOOKUP($B172,'ELC TECH'!$H:$H,'ELC TECH'!AH:AH)</f>
        <v>0</v>
      </c>
      <c r="AV172" s="15">
        <f>_xlfn.XLOOKUP($B172,'ELC TECH'!$H:$H,'ELC TECH'!AI:AI)</f>
        <v>0</v>
      </c>
      <c r="AW172" s="15">
        <f>_xlfn.XLOOKUP($B172,'ELC TECH'!$H:$H,'ELC TECH'!AJ:AJ)</f>
        <v>0</v>
      </c>
      <c r="AX172" s="12">
        <f>IF(_xlfn.XLOOKUP($B172,'ELC TECH'!$H:$H,'ELC TECH'!$E:$E)="Storage","",_xlfn.XLOOKUP($B172,'ELC TECH'!$H:$H,'ELC TECH'!AS:AS))</f>
        <v>0.136792993704728</v>
      </c>
      <c r="AY172" s="12">
        <f>IF(_xlfn.XLOOKUP($B172,'ELC TECH'!$H:$H,'ELC TECH'!$E:$E)="Storage","",_xlfn.XLOOKUP($B172,'ELC TECH'!$H:$H,'ELC TECH'!AT:AT))</f>
        <v>0.13737377414841001</v>
      </c>
      <c r="AZ172" s="12">
        <f>IF(_xlfn.XLOOKUP($B172,'ELC TECH'!$H:$H,'ELC TECH'!$E:$E)="Storage","",_xlfn.XLOOKUP($B172,'ELC TECH'!$H:$H,'ELC TECH'!AU:AU))</f>
        <v>0.138099749703012</v>
      </c>
      <c r="BA172" s="12">
        <f>IF(_xlfn.XLOOKUP($B172,'ELC TECH'!$H:$H,'ELC TECH'!$E:$E)="Storage","",_xlfn.XLOOKUP($B172,'ELC TECH'!$H:$H,'ELC TECH'!AV:AV))</f>
        <v>0.138825725257614</v>
      </c>
      <c r="BB172" s="12">
        <f>IF(_xlfn.XLOOKUP($B172,'ELC TECH'!$H:$H,'ELC TECH'!$E:$E)="Storage","",_xlfn.XLOOKUP($B172,'ELC TECH'!$H:$H,'ELC TECH'!AW:AW))</f>
        <v>0.14002073793285499</v>
      </c>
      <c r="BC172" s="12">
        <f>IF(_xlfn.XLOOKUP($B172,'ELC TECH'!$H:$H,'ELC TECH'!$E:$E)="Storage","",_xlfn.XLOOKUP($B172,'ELC TECH'!$H:$H,'ELC TECH'!AX:AX))</f>
        <v>0.14121575060809699</v>
      </c>
      <c r="BD172" s="12">
        <f>IF(_xlfn.XLOOKUP($B172,'ELC TECH'!$H:$H,'ELC TECH'!$E:$E)="Storage","",_xlfn.XLOOKUP($B172,'ELC TECH'!$H:$H,'ELC TECH'!AY:AY))</f>
        <v>0.14241076328333799</v>
      </c>
      <c r="BE172" s="12">
        <f>IF(_xlfn.XLOOKUP($B172,'ELC TECH'!$H:$H,'ELC TECH'!$E:$E)="Storage","",_xlfn.XLOOKUP($B172,'ELC TECH'!$H:$H,'ELC TECH'!AZ:AZ))</f>
        <v>0.14241076328333799</v>
      </c>
      <c r="BF172" s="12" t="str">
        <f>IF(_xlfn.XLOOKUP($B172,'ELC TECH'!$H:$H,'ELC TECH'!$E:$E)="Storage",_xlfn.XLOOKUP($B172,'ELC TECH'!$H:$H,'ELC TECH'!AS:AS),"")</f>
        <v/>
      </c>
      <c r="BG172" s="12" t="str">
        <f>IF(_xlfn.XLOOKUP($B172,'ELC TECH'!$H:$H,'ELC TECH'!$E:$E)="Storage",_xlfn.XLOOKUP($B172,'ELC TECH'!$H:$H,'ELC TECH'!AT:AT),"")</f>
        <v/>
      </c>
      <c r="BH172" s="12" t="str">
        <f>IF(_xlfn.XLOOKUP($B172,'ELC TECH'!$H:$H,'ELC TECH'!$E:$E)="Storage",_xlfn.XLOOKUP($B172,'ELC TECH'!$H:$H,'ELC TECH'!AU:AU),"")</f>
        <v/>
      </c>
      <c r="BI172" s="12" t="str">
        <f>IF(_xlfn.XLOOKUP($B172,'ELC TECH'!$H:$H,'ELC TECH'!$E:$E)="Storage",_xlfn.XLOOKUP($B172,'ELC TECH'!$H:$H,'ELC TECH'!AV:AV),"")</f>
        <v/>
      </c>
      <c r="BJ172" s="12" t="str">
        <f>IF(_xlfn.XLOOKUP($B172,'ELC TECH'!$H:$H,'ELC TECH'!$E:$E)="Storage",_xlfn.XLOOKUP($B172,'ELC TECH'!$H:$H,'ELC TECH'!AW:AW),"")</f>
        <v/>
      </c>
      <c r="BK172" s="12" t="str">
        <f>IF(_xlfn.XLOOKUP($B172,'ELC TECH'!$H:$H,'ELC TECH'!$E:$E)="Storage",_xlfn.XLOOKUP($B172,'ELC TECH'!$H:$H,'ELC TECH'!AX:AX),"")</f>
        <v/>
      </c>
      <c r="BL172" s="12" t="str">
        <f>IF(_xlfn.XLOOKUP($B172,'ELC TECH'!$H:$H,'ELC TECH'!$E:$E)="Storage",_xlfn.XLOOKUP($B172,'ELC TECH'!$H:$H,'ELC TECH'!AY:AY),"")</f>
        <v/>
      </c>
      <c r="BM172" s="12" t="str">
        <f>IF(_xlfn.XLOOKUP($B172,'ELC TECH'!$H:$H,'ELC TECH'!$E:$E)="Storage",_xlfn.XLOOKUP($B172,'ELC TECH'!$H:$H,'ELC TECH'!AZ:AZ),"")</f>
        <v/>
      </c>
      <c r="BN172" s="8">
        <f>IF(_xlfn.XLOOKUP($B172,'ELC TECH'!$H:$H,'ELC TECH'!$E:$E)="Non Dispatchable",IFERROR($AX172*_xlfn.XLOOKUP($C172,$BM$1:$BM$3,BN$1:BN$3)/SUMPRODUCT(_xlfn.XLOOKUP($C172,$BM$1:$BM$3,$BN$1:$BY$3),$BN$4:$BY$4),""),
"")</f>
        <v>0.21409503860853638</v>
      </c>
      <c r="BO172" s="8">
        <f>IF(_xlfn.XLOOKUP($B172,'ELC TECH'!$H:$H,'ELC TECH'!$E:$E)="Non Dispatchable",IFERROR($AX172*_xlfn.XLOOKUP($C172,$BM$1:$BM$3,BO$1:BO$3)/SUMPRODUCT(_xlfn.XLOOKUP($C172,$BM$1:$BM$3,$BN$1:$BY$3),$BN$4:$BY$4),""),
"")</f>
        <v>0.21409503860853638</v>
      </c>
      <c r="BP172" s="8">
        <f>IF(_xlfn.XLOOKUP($B172,'ELC TECH'!$H:$H,'ELC TECH'!$E:$E)="Non Dispatchable",IFERROR($AX172*_xlfn.XLOOKUP($C172,$BM$1:$BM$3,BP$1:BP$3)/SUMPRODUCT(_xlfn.XLOOKUP($C172,$BM$1:$BM$3,$BN$1:$BY$3),$BN$4:$BY$4),""),
"")</f>
        <v>2.1409503860853638E-2</v>
      </c>
      <c r="BQ172" s="8">
        <f>IF(_xlfn.XLOOKUP($B172,'ELC TECH'!$H:$H,'ELC TECH'!$E:$E)="Non Dispatchable",IFERROR($AX172*_xlfn.XLOOKUP($C172,$BM$1:$BM$3,BQ$1:BQ$3)/SUMPRODUCT(_xlfn.XLOOKUP($C172,$BM$1:$BM$3,$BN$1:$BY$3),$BN$4:$BY$4),""),
"")</f>
        <v>0</v>
      </c>
      <c r="BR172" s="8">
        <f>IF(_xlfn.XLOOKUP($B172,'ELC TECH'!$H:$H,'ELC TECH'!$E:$E)="Non Dispatchable",IFERROR($AX172*_xlfn.XLOOKUP($C172,$BM$1:$BM$3,BR$1:BR$3)/SUMPRODUCT(_xlfn.XLOOKUP($C172,$BM$1:$BM$3,$BN$1:$BY$3),$BN$4:$BY$4),""),
"")</f>
        <v>0.24657980080331357</v>
      </c>
      <c r="BS172" s="8">
        <f>IF(_xlfn.XLOOKUP($B172,'ELC TECH'!$H:$H,'ELC TECH'!$E:$E)="Non Dispatchable",IFERROR($AX172*_xlfn.XLOOKUP($C172,$BM$1:$BM$3,BS$1:BS$3)/SUMPRODUCT(_xlfn.XLOOKUP($C172,$BM$1:$BM$3,$BN$1:$BY$3),$BN$4:$BY$4),""),
"")</f>
        <v>0.24657980080331357</v>
      </c>
      <c r="BT172" s="8">
        <f>IF(_xlfn.XLOOKUP($B172,'ELC TECH'!$H:$H,'ELC TECH'!$E:$E)="Non Dispatchable",IFERROR($AX172*_xlfn.XLOOKUP($C172,$BM$1:$BM$3,BT$1:BT$3)/SUMPRODUCT(_xlfn.XLOOKUP($C172,$BM$1:$BM$3,$BN$1:$BY$3),$BN$4:$BY$4),""),
"")</f>
        <v>2.4657980080331363E-2</v>
      </c>
      <c r="BU172" s="8">
        <f>IF(_xlfn.XLOOKUP($B172,'ELC TECH'!$H:$H,'ELC TECH'!$E:$E)="Non Dispatchable",IFERROR($AX172*_xlfn.XLOOKUP($C172,$BM$1:$BM$3,BU$1:BU$3)/SUMPRODUCT(_xlfn.XLOOKUP($C172,$BM$1:$BM$3,$BN$1:$BY$3),$BN$4:$BY$4),""),
"")</f>
        <v>0</v>
      </c>
      <c r="BV172" s="8">
        <f>IF(_xlfn.XLOOKUP($B172,'ELC TECH'!$H:$H,'ELC TECH'!$E:$E)="Non Dispatchable",IFERROR($AX172*_xlfn.XLOOKUP($C172,$BM$1:$BM$3,BV$1:BV$3)/SUMPRODUCT(_xlfn.XLOOKUP($C172,$BM$1:$BM$3,$BN$1:$BY$3),$BN$4:$BY$4),""),
"")</f>
        <v>0.20628539835826179</v>
      </c>
      <c r="BW172" s="8">
        <f>IF(_xlfn.XLOOKUP($B172,'ELC TECH'!$H:$H,'ELC TECH'!$E:$E)="Non Dispatchable",IFERROR($AX172*_xlfn.XLOOKUP($C172,$BM$1:$BM$3,BW$1:BW$3)/SUMPRODUCT(_xlfn.XLOOKUP($C172,$BM$1:$BM$3,$BN$1:$BY$3),$BN$4:$BY$4),""),
"")</f>
        <v>0.20628539835826179</v>
      </c>
      <c r="BX172" s="8">
        <f>IF(_xlfn.XLOOKUP($B172,'ELC TECH'!$H:$H,'ELC TECH'!$E:$E)="Non Dispatchable",IFERROR($AX172*_xlfn.XLOOKUP($C172,$BM$1:$BM$3,BX$1:BX$3)/SUMPRODUCT(_xlfn.XLOOKUP($C172,$BM$1:$BM$3,$BN$1:$BY$3),$BN$4:$BY$4),""),
"")</f>
        <v>2.0628539835826177E-2</v>
      </c>
      <c r="BY172" s="8">
        <f>IF(_xlfn.XLOOKUP($B172,'ELC TECH'!$H:$H,'ELC TECH'!$E:$E)="Non Dispatchable",IFERROR($AX172*_xlfn.XLOOKUP($C172,$BM$1:$BM$3,BY$1:BY$3)/SUMPRODUCT(_xlfn.XLOOKUP($C172,$BM$1:$BM$3,$BN$1:$BY$3),$BN$4:$BY$4),""),
"")</f>
        <v>0</v>
      </c>
      <c r="BZ172" s="8">
        <f>IF(_xlfn.XLOOKUP($B172,'ELC TECH'!$H:$H,'ELC TECH'!$E:$E)="Non Dispatchable",IFERROR($AX172*_xlfn.XLOOKUP($C172,$BM$1:$BM$3,BZ$1:BZ$3)/SUMPRODUCT(_xlfn.XLOOKUP($C172,$BM$1:$BM$3,$BN$1:$BY$3),$BN$4:$BY$4),""),
"")</f>
        <v>0.21409503860853638</v>
      </c>
      <c r="CA172" s="8">
        <f>IF(_xlfn.XLOOKUP($B172,'ELC TECH'!$H:$H,'ELC TECH'!$E:$E)="Non Dispatchable",IFERROR($AX172*_xlfn.XLOOKUP($C172,$BM$1:$BM$3,CA$1:CA$3)/SUMPRODUCT(_xlfn.XLOOKUP($C172,$BM$1:$BM$3,$BN$1:$BY$3),$BN$4:$BY$4),""),
"")</f>
        <v>0.21409503860853638</v>
      </c>
      <c r="CB172" s="8">
        <f>IF(_xlfn.XLOOKUP($B172,'ELC TECH'!$H:$H,'ELC TECH'!$E:$E)="Non Dispatchable",IFERROR($AX172*_xlfn.XLOOKUP($C172,$BM$1:$BM$3,CB$1:CB$3)/SUMPRODUCT(_xlfn.XLOOKUP($C172,$BM$1:$BM$3,$BN$1:$BY$3),$BN$4:$BY$4),""),
"")</f>
        <v>2.1409503860853638E-2</v>
      </c>
      <c r="CC172" s="8">
        <f>IF(_xlfn.XLOOKUP($B172,'ELC TECH'!$H:$H,'ELC TECH'!$E:$E)="Non Dispatchable",IFERROR($AX172*_xlfn.XLOOKUP($C172,$BM$1:$BM$3,CC$1:CC$3)/SUMPRODUCT(_xlfn.XLOOKUP($C172,$BM$1:$BM$3,$BN$1:$BY$3),$BN$4:$BY$4),""),
"")</f>
        <v>0</v>
      </c>
      <c r="CD172" s="8">
        <f>IF(_xlfn.XLOOKUP($B172,'ELC TECH'!$H:$H,'ELC TECH'!$E:$E)="Non Dispatchable",IFERROR($AX172*_xlfn.XLOOKUP($C172,$BM$1:$BM$3,CD$1:CD$3)/SUMPRODUCT(_xlfn.XLOOKUP($C172,$BM$1:$BM$3,$BN$1:$BY$3),$BN$4:$BY$4),""),
"")</f>
        <v>0.24657980080331357</v>
      </c>
      <c r="CE172" s="8">
        <f>IF(_xlfn.XLOOKUP($B172,'ELC TECH'!$H:$H,'ELC TECH'!$E:$E)="Non Dispatchable",IFERROR($AX172*_xlfn.XLOOKUP($C172,$BM$1:$BM$3,CE$1:CE$3)/SUMPRODUCT(_xlfn.XLOOKUP($C172,$BM$1:$BM$3,$BN$1:$BY$3),$BN$4:$BY$4),""),
"")</f>
        <v>0.24657980080331357</v>
      </c>
      <c r="CF172" s="8">
        <f>IF(_xlfn.XLOOKUP($B172,'ELC TECH'!$H:$H,'ELC TECH'!$E:$E)="Non Dispatchable",IFERROR($AX172*_xlfn.XLOOKUP($C172,$BM$1:$BM$3,CF$1:CF$3)/SUMPRODUCT(_xlfn.XLOOKUP($C172,$BM$1:$BM$3,$BN$1:$BY$3),$BN$4:$BY$4),""),
"")</f>
        <v>2.4657980080331363E-2</v>
      </c>
      <c r="CG172" s="8">
        <f>IF(_xlfn.XLOOKUP($B172,'ELC TECH'!$H:$H,'ELC TECH'!$E:$E)="Non Dispatchable",IFERROR($AX172*_xlfn.XLOOKUP($C172,$BM$1:$BM$3,CG$1:CG$3)/SUMPRODUCT(_xlfn.XLOOKUP($C172,$BM$1:$BM$3,$BN$1:$BY$3),$BN$4:$BY$4),""),
"")</f>
        <v>0</v>
      </c>
      <c r="CH172" s="8">
        <f>IF(_xlfn.XLOOKUP($B172,'ELC TECH'!$H:$H,'ELC TECH'!$E:$E)="Non Dispatchable",IFERROR($AX172*_xlfn.XLOOKUP($C172,$BM$1:$BM$3,CH$1:CH$3)/SUMPRODUCT(_xlfn.XLOOKUP($C172,$BM$1:$BM$3,$BN$1:$BY$3),$BN$4:$BY$4),""),
"")</f>
        <v>0.20628539835826179</v>
      </c>
      <c r="CI172" s="8">
        <f>IF(_xlfn.XLOOKUP($B172,'ELC TECH'!$H:$H,'ELC TECH'!$E:$E)="Non Dispatchable",IFERROR($AX172*_xlfn.XLOOKUP($C172,$BM$1:$BM$3,CI$1:CI$3)/SUMPRODUCT(_xlfn.XLOOKUP($C172,$BM$1:$BM$3,$BN$1:$BY$3),$BN$4:$BY$4),""),
"")</f>
        <v>0.20628539835826179</v>
      </c>
      <c r="CJ172" s="8">
        <f>IF(_xlfn.XLOOKUP($B172,'ELC TECH'!$H:$H,'ELC TECH'!$E:$E)="Non Dispatchable",IFERROR($AX172*_xlfn.XLOOKUP($C172,$BM$1:$BM$3,CJ$1:CJ$3)/SUMPRODUCT(_xlfn.XLOOKUP($C172,$BM$1:$BM$3,$BN$1:$BY$3),$BN$4:$BY$4),""),
"")</f>
        <v>2.0628539835826177E-2</v>
      </c>
      <c r="CK172" s="8">
        <f>IF(_xlfn.XLOOKUP($B172,'ELC TECH'!$H:$H,'ELC TECH'!$E:$E)="Non Dispatchable",IFERROR($AX172*_xlfn.XLOOKUP($C172,$BM$1:$BM$3,CK$1:CK$3)/SUMPRODUCT(_xlfn.XLOOKUP($C172,$BM$1:$BM$3,$BN$1:$BY$3),$BN$4:$BY$4),""),
"")</f>
        <v>0</v>
      </c>
      <c r="CL172" s="8" t="str">
        <f>IF(_xlfn.XLOOKUP($B172,'ELC TECH'!$H:$H,'ELC TECH'!$E:$E)="Storage",CL$4*$BF172,"")</f>
        <v/>
      </c>
      <c r="CM172" s="8" t="str">
        <f>IF(_xlfn.XLOOKUP($B172,'ELC TECH'!$H:$H,'ELC TECH'!$E:$E)="Storage",CM$4*$BF172,"")</f>
        <v/>
      </c>
      <c r="CN172" s="8" t="str">
        <f>IF(_xlfn.XLOOKUP($B172,'ELC TECH'!$H:$H,'ELC TECH'!$E:$E)="Storage",CN$4*$BF172,"")</f>
        <v/>
      </c>
      <c r="CO172" s="8" t="str">
        <f>IF(_xlfn.XLOOKUP($B172,'ELC TECH'!$H:$H,'ELC TECH'!$E:$E)="Storage",CO$4*$BF172,"")</f>
        <v/>
      </c>
      <c r="CP172" s="8" t="str">
        <f>IF(_xlfn.XLOOKUP($B172,'ELC TECH'!$H:$H,'ELC TECH'!$E:$E)="Storage",CP$4*$BF172,"")</f>
        <v/>
      </c>
      <c r="CQ172" s="8" t="str">
        <f>IF(_xlfn.XLOOKUP($B172,'ELC TECH'!$H:$H,'ELC TECH'!$E:$E)="Storage",CQ$4*$BF172,"")</f>
        <v/>
      </c>
      <c r="CR172" s="8" t="str">
        <f>IF(_xlfn.XLOOKUP($B172,'ELC TECH'!$H:$H,'ELC TECH'!$E:$E)="Storage",CR$4*$BF172,"")</f>
        <v/>
      </c>
      <c r="CS172" s="8" t="str">
        <f>IF(_xlfn.XLOOKUP($B172,'ELC TECH'!$H:$H,'ELC TECH'!$E:$E)="Storage",CS$4*$BF172,"")</f>
        <v/>
      </c>
      <c r="CT172" s="8" t="str">
        <f>IF(_xlfn.XLOOKUP($B172,'ELC TECH'!$H:$H,'ELC TECH'!$E:$E)="Storage",CT$4*$BF172,"")</f>
        <v/>
      </c>
      <c r="CU172" s="8" t="str">
        <f>IF(_xlfn.XLOOKUP($B172,'ELC TECH'!$H:$H,'ELC TECH'!$E:$E)="Storage",CU$4*$BF172,"")</f>
        <v/>
      </c>
      <c r="CV172" s="8" t="str">
        <f>IF(_xlfn.XLOOKUP($B172,'ELC TECH'!$H:$H,'ELC TECH'!$E:$E)="Storage",CV$4*$BF172,"")</f>
        <v/>
      </c>
      <c r="CW172" s="8" t="str">
        <f>IF(_xlfn.XLOOKUP($B172,'ELC TECH'!$H:$H,'ELC TECH'!$E:$E)="Storage",CW$4*$BF172,"")</f>
        <v/>
      </c>
      <c r="CX172" s="8" t="str">
        <f>IF(_xlfn.XLOOKUP($B172,'ELC TECH'!$H:$H,'ELC TECH'!$E:$E)="Storage",CX$4*$BF172,"")</f>
        <v/>
      </c>
      <c r="CY172" s="8" t="str">
        <f>IF(_xlfn.XLOOKUP($B172,'ELC TECH'!$H:$H,'ELC TECH'!$E:$E)="Storage",CY$4*$BF172,"")</f>
        <v/>
      </c>
      <c r="CZ172" s="8" t="str">
        <f>IF(_xlfn.XLOOKUP($B172,'ELC TECH'!$H:$H,'ELC TECH'!$E:$E)="Storage",CZ$4*$BF172,"")</f>
        <v/>
      </c>
      <c r="DA172" s="8" t="str">
        <f>IF(_xlfn.XLOOKUP($B172,'ELC TECH'!$H:$H,'ELC TECH'!$E:$E)="Storage",DA$4*$BF172,"")</f>
        <v/>
      </c>
      <c r="DB172" s="8" t="str">
        <f>IF(_xlfn.XLOOKUP($B172,'ELC TECH'!$H:$H,'ELC TECH'!$E:$E)="Storage",DB$4*$BF172,"")</f>
        <v/>
      </c>
      <c r="DC172" s="8" t="str">
        <f>IF(_xlfn.XLOOKUP($B172,'ELC TECH'!$H:$H,'ELC TECH'!$E:$E)="Storage",DC$4*$BF172,"")</f>
        <v/>
      </c>
      <c r="DD172" s="8" t="str">
        <f>IF(_xlfn.XLOOKUP($B172,'ELC TECH'!$H:$H,'ELC TECH'!$E:$E)="Storage",DD$4*$BF172,"")</f>
        <v/>
      </c>
      <c r="DE172" s="8" t="str">
        <f>IF(_xlfn.XLOOKUP($B172,'ELC TECH'!$H:$H,'ELC TECH'!$E:$E)="Storage",DE$4*$BF172,"")</f>
        <v/>
      </c>
      <c r="DF172" s="8" t="str">
        <f>IF(_xlfn.XLOOKUP($B172,'ELC TECH'!$H:$H,'ELC TECH'!$E:$E)="Storage",DF$4*$BF172,"")</f>
        <v/>
      </c>
      <c r="DG172" s="8" t="str">
        <f>IF(_xlfn.XLOOKUP($B172,'ELC TECH'!$H:$H,'ELC TECH'!$E:$E)="Storage",DG$4*$BF172,"")</f>
        <v/>
      </c>
      <c r="DH172" s="8" t="str">
        <f>IF(_xlfn.XLOOKUP($B172,'ELC TECH'!$H:$H,'ELC TECH'!$E:$E)="Storage",DH$4*$BF172,"")</f>
        <v/>
      </c>
      <c r="DI172" s="8" t="str">
        <f>IF(_xlfn.XLOOKUP($B172,'ELC TECH'!$H:$H,'ELC TECH'!$E:$E)="Storage",DI$4*$BF172,"")</f>
        <v/>
      </c>
    </row>
    <row r="173" spans="2:113" x14ac:dyDescent="0.25">
      <c r="B173" t="str">
        <f>IF('ELC TECH'!I166=0,"*",'ELC TECH'!H166)</f>
        <v>ELCSOLDCERDPV920</v>
      </c>
      <c r="C173" t="str">
        <f>IF(_xlfn.XLOOKUP(_xlfn.XLOOKUP(B173,'ELC TECH'!$H:$H,'ELC TECH'!$G:$G),List!C:C,List!B:B)="STG",D173,"ELC"&amp;_xlfn.XLOOKUP(_xlfn.XLOOKUP(B173,'ELC TECH'!H:H,'ELC TECH'!G:G),List!C:C,List!B:B))</f>
        <v>ELCSOL</v>
      </c>
      <c r="D173" t="s">
        <v>545</v>
      </c>
      <c r="E173">
        <f>_xlfn.XLOOKUP(B173,'ELC TECH'!H:H,'ELC TECH'!D:D)</f>
        <v>2020</v>
      </c>
      <c r="F173">
        <f>_xlfn.XLOOKUP(B173,'ELC TECH'!H:H,'ELC TECH'!K:K)</f>
        <v>30</v>
      </c>
      <c r="G173">
        <f t="shared" si="9"/>
        <v>31.535999999999998</v>
      </c>
      <c r="H173">
        <f>IF(_xlfn.XLOOKUP(B173,'ELC TECH'!$H:$H,'ELC TECH'!$E:$E)="Storage",0.3,IF(_xlfn.XLOOKUP(B173,'ELC TECH'!$H:$H,'ELC TECH'!$E:$E)="Baseload",0.9,IF(_xlfn.XLOOKUP(B173,'ELC TECH'!$H:$H,'ELC TECH'!$E:$E)="Non Dispatchable",0.05,IF(_xlfn.XLOOKUP(B173,'ELC TECH'!$H:$H,'ELC TECH'!$E:$E)="Dispatchable",0.9,1))))</f>
        <v>0.05</v>
      </c>
      <c r="I173" s="13">
        <f>IF(_xlfn.XLOOKUP(B173,'ELC TECH'!H:H,'ELC TECH'!J:J)="","",_xlfn.XLOOKUP(B173,'ELC TECH'!H:H,'ELC TECH'!J:J))</f>
        <v>700.17955000000006</v>
      </c>
      <c r="J173" s="12">
        <f>IF(_xlfn.XLOOKUP($B173,'ELC TECH'!$H:$H,'ELC TECH'!$E:$E)="Storage","",IF(_xlfn.XLOOKUP($B173,'ELC TECH'!$H:$H,'ELC TECH'!AK:AK)="",1,_xlfn.XLOOKUP($B173,'ELC TECH'!$H:$H,'ELC TECH'!AK:AK)))</f>
        <v>1</v>
      </c>
      <c r="K173" s="12">
        <f>IF(_xlfn.XLOOKUP($B173,'ELC TECH'!$H:$H,'ELC TECH'!$E:$E)="Storage","",IF(_xlfn.XLOOKUP($B173,'ELC TECH'!$H:$H,'ELC TECH'!AL:AL)="",1,_xlfn.XLOOKUP($B173,'ELC TECH'!$H:$H,'ELC TECH'!AL:AL)))</f>
        <v>1</v>
      </c>
      <c r="L173" s="12">
        <f>IF(_xlfn.XLOOKUP($B173,'ELC TECH'!$H:$H,'ELC TECH'!$E:$E)="Storage","",IF(_xlfn.XLOOKUP($B173,'ELC TECH'!$H:$H,'ELC TECH'!AM:AM)="",1,_xlfn.XLOOKUP($B173,'ELC TECH'!$H:$H,'ELC TECH'!AM:AM)))</f>
        <v>1</v>
      </c>
      <c r="M173" s="12">
        <f>IF(_xlfn.XLOOKUP($B173,'ELC TECH'!$H:$H,'ELC TECH'!$E:$E)="Storage","",IF(_xlfn.XLOOKUP($B173,'ELC TECH'!$H:$H,'ELC TECH'!AN:AN)="",1,_xlfn.XLOOKUP($B173,'ELC TECH'!$H:$H,'ELC TECH'!AN:AN)))</f>
        <v>1</v>
      </c>
      <c r="N173" s="12">
        <f>IF(_xlfn.XLOOKUP($B173,'ELC TECH'!$H:$H,'ELC TECH'!$E:$E)="Storage","",IF(_xlfn.XLOOKUP($B173,'ELC TECH'!$H:$H,'ELC TECH'!AO:AO)="",1,_xlfn.XLOOKUP($B173,'ELC TECH'!$H:$H,'ELC TECH'!AO:AO)))</f>
        <v>1</v>
      </c>
      <c r="O173" s="12">
        <f>IF(_xlfn.XLOOKUP($B173,'ELC TECH'!$H:$H,'ELC TECH'!$E:$E)="Storage","",IF(_xlfn.XLOOKUP($B173,'ELC TECH'!$H:$H,'ELC TECH'!AP:AP)="",1,_xlfn.XLOOKUP($B173,'ELC TECH'!$H:$H,'ELC TECH'!AP:AP)))</f>
        <v>1</v>
      </c>
      <c r="P173" s="12">
        <f>IF(_xlfn.XLOOKUP($B173,'ELC TECH'!$H:$H,'ELC TECH'!$E:$E)="Storage","",IF(_xlfn.XLOOKUP($B173,'ELC TECH'!$H:$H,'ELC TECH'!AQ:AQ)="",1,_xlfn.XLOOKUP($B173,'ELC TECH'!$H:$H,'ELC TECH'!AQ:AQ)))</f>
        <v>1</v>
      </c>
      <c r="Q173" s="12">
        <f>IF(_xlfn.XLOOKUP($B173,'ELC TECH'!$H:$H,'ELC TECH'!$E:$E)="Storage","",IF(_xlfn.XLOOKUP($B173,'ELC TECH'!$H:$H,'ELC TECH'!AR:AR)="",1,_xlfn.XLOOKUP($B173,'ELC TECH'!$H:$H,'ELC TECH'!AR:AR)))</f>
        <v>1</v>
      </c>
      <c r="R173" s="12" t="str">
        <f>IF(_xlfn.XLOOKUP($B173,'ELC TECH'!$H:$H,'ELC TECH'!$E:$E)&lt;&gt;"Storage","",IF(_xlfn.XLOOKUP($B173,'ELC TECH'!$H:$H,'ELC TECH'!AK:AK)="",0.8,_xlfn.XLOOKUP($B173,'ELC TECH'!$H:$H,'ELC TECH'!AK:AK)))</f>
        <v/>
      </c>
      <c r="S173" s="12" t="str">
        <f>IF(_xlfn.XLOOKUP($B173,'ELC TECH'!$H:$H,'ELC TECH'!$E:$E)&lt;&gt;"Storage","",IF(_xlfn.XLOOKUP($B173,'ELC TECH'!$H:$H,'ELC TECH'!AL:AL)="",0.8,_xlfn.XLOOKUP($B173,'ELC TECH'!$H:$H,'ELC TECH'!AL:AL)))</f>
        <v/>
      </c>
      <c r="T173" s="12" t="str">
        <f>IF(_xlfn.XLOOKUP($B173,'ELC TECH'!$H:$H,'ELC TECH'!$E:$E)&lt;&gt;"Storage","",IF(_xlfn.XLOOKUP($B173,'ELC TECH'!$H:$H,'ELC TECH'!AM:AM)="",0.8,_xlfn.XLOOKUP($B173,'ELC TECH'!$H:$H,'ELC TECH'!AM:AM)))</f>
        <v/>
      </c>
      <c r="U173" s="12" t="str">
        <f>IF(_xlfn.XLOOKUP($B173,'ELC TECH'!$H:$H,'ELC TECH'!$E:$E)&lt;&gt;"Storage","",IF(_xlfn.XLOOKUP($B173,'ELC TECH'!$H:$H,'ELC TECH'!AN:AN)="",0.8,_xlfn.XLOOKUP($B173,'ELC TECH'!$H:$H,'ELC TECH'!AN:AN)))</f>
        <v/>
      </c>
      <c r="V173" s="12" t="str">
        <f>IF(_xlfn.XLOOKUP($B173,'ELC TECH'!$H:$H,'ELC TECH'!$E:$E)&lt;&gt;"Storage","",IF(_xlfn.XLOOKUP($B173,'ELC TECH'!$H:$H,'ELC TECH'!AO:AO)="",0.8,_xlfn.XLOOKUP($B173,'ELC TECH'!$H:$H,'ELC TECH'!AO:AO)))</f>
        <v/>
      </c>
      <c r="W173" s="12" t="str">
        <f>IF(_xlfn.XLOOKUP($B173,'ELC TECH'!$H:$H,'ELC TECH'!$E:$E)&lt;&gt;"Storage","",IF(_xlfn.XLOOKUP($B173,'ELC TECH'!$H:$H,'ELC TECH'!AP:AP)="",0.8,_xlfn.XLOOKUP($B173,'ELC TECH'!$H:$H,'ELC TECH'!AP:AP)))</f>
        <v/>
      </c>
      <c r="X173" s="12" t="str">
        <f>IF(_xlfn.XLOOKUP($B173,'ELC TECH'!$H:$H,'ELC TECH'!$E:$E)&lt;&gt;"Storage","",IF(_xlfn.XLOOKUP($B173,'ELC TECH'!$H:$H,'ELC TECH'!AQ:AQ)="",0.8,_xlfn.XLOOKUP($B173,'ELC TECH'!$H:$H,'ELC TECH'!AQ:AQ)))</f>
        <v/>
      </c>
      <c r="Y173" s="12" t="str">
        <f>IF(_xlfn.XLOOKUP($B173,'ELC TECH'!$H:$H,'ELC TECH'!$E:$E)&lt;&gt;"Storage","",IF(_xlfn.XLOOKUP($B173,'ELC TECH'!$H:$H,'ELC TECH'!AR:AR)="",0.8,_xlfn.XLOOKUP($B173,'ELC TECH'!$H:$H,'ELC TECH'!AR:AR)))</f>
        <v/>
      </c>
      <c r="Z173" s="15">
        <f>_xlfn.XLOOKUP($B173,'ELC TECH'!$H:$H,'ELC TECH'!M:M)</f>
        <v>3232.554589138178</v>
      </c>
      <c r="AA173" s="15">
        <f>_xlfn.XLOOKUP($B173,'ELC TECH'!$H:$H,'ELC TECH'!N:N)</f>
        <v>2974.9201081634578</v>
      </c>
      <c r="AB173" s="15">
        <f>_xlfn.XLOOKUP($B173,'ELC TECH'!$H:$H,'ELC TECH'!O:O)</f>
        <v>2378.9027813256071</v>
      </c>
      <c r="AC173" s="15">
        <f>_xlfn.XLOOKUP($B173,'ELC TECH'!$H:$H,'ELC TECH'!P:P)</f>
        <v>1782.885454487767</v>
      </c>
      <c r="AD173" s="15">
        <f>_xlfn.XLOOKUP($B173,'ELC TECH'!$H:$H,'ELC TECH'!Q:Q)</f>
        <v>1610.1995746889211</v>
      </c>
      <c r="AE173" s="15">
        <f>_xlfn.XLOOKUP($B173,'ELC TECH'!$H:$H,'ELC TECH'!R:R)</f>
        <v>1437.5136948900749</v>
      </c>
      <c r="AF173" s="15">
        <f>_xlfn.XLOOKUP($B173,'ELC TECH'!$H:$H,'ELC TECH'!S:S)</f>
        <v>1264.827815091229</v>
      </c>
      <c r="AG173" s="15">
        <f>_xlfn.XLOOKUP($B173,'ELC TECH'!$H:$H,'ELC TECH'!T:T)</f>
        <v>1264.827815091229</v>
      </c>
      <c r="AH173" s="15">
        <f>_xlfn.XLOOKUP($B173,'ELC TECH'!$H:$H,'ELC TECH'!U:U)</f>
        <v>34.293446157052799</v>
      </c>
      <c r="AI173" s="15">
        <f>_xlfn.XLOOKUP($B173,'ELC TECH'!$H:$H,'ELC TECH'!V:V)</f>
        <v>31.784509373254991</v>
      </c>
      <c r="AJ173" s="15">
        <f>_xlfn.XLOOKUP($B173,'ELC TECH'!$H:$H,'ELC TECH'!W:W)</f>
        <v>26.108139740981851</v>
      </c>
      <c r="AK173" s="15">
        <f>_xlfn.XLOOKUP($B173,'ELC TECH'!$H:$H,'ELC TECH'!X:X)</f>
        <v>20.431770108708822</v>
      </c>
      <c r="AL173" s="15">
        <f>_xlfn.XLOOKUP($B173,'ELC TECH'!$H:$H,'ELC TECH'!Y:Y)</f>
        <v>18.787138585640339</v>
      </c>
      <c r="AM173" s="15">
        <f>_xlfn.XLOOKUP($B173,'ELC TECH'!$H:$H,'ELC TECH'!Z:Z)</f>
        <v>17.142507062571742</v>
      </c>
      <c r="AN173" s="15">
        <f>_xlfn.XLOOKUP($B173,'ELC TECH'!$H:$H,'ELC TECH'!AA:AA)</f>
        <v>15.49787553950326</v>
      </c>
      <c r="AO173" s="15">
        <f>_xlfn.XLOOKUP($B173,'ELC TECH'!$H:$H,'ELC TECH'!AB:AB)</f>
        <v>15.49787553950326</v>
      </c>
      <c r="AP173" s="15">
        <f>_xlfn.XLOOKUP($B173,'ELC TECH'!$H:$H,'ELC TECH'!AC:AC)</f>
        <v>0</v>
      </c>
      <c r="AQ173" s="15">
        <f>_xlfn.XLOOKUP($B173,'ELC TECH'!$H:$H,'ELC TECH'!AD:AD)</f>
        <v>0</v>
      </c>
      <c r="AR173" s="15">
        <f>_xlfn.XLOOKUP($B173,'ELC TECH'!$H:$H,'ELC TECH'!AE:AE)</f>
        <v>0</v>
      </c>
      <c r="AS173" s="15">
        <f>_xlfn.XLOOKUP($B173,'ELC TECH'!$H:$H,'ELC TECH'!AF:AF)</f>
        <v>0</v>
      </c>
      <c r="AT173" s="15">
        <f>_xlfn.XLOOKUP($B173,'ELC TECH'!$H:$H,'ELC TECH'!AG:AG)</f>
        <v>0</v>
      </c>
      <c r="AU173" s="15">
        <f>_xlfn.XLOOKUP($B173,'ELC TECH'!$H:$H,'ELC TECH'!AH:AH)</f>
        <v>0</v>
      </c>
      <c r="AV173" s="15">
        <f>_xlfn.XLOOKUP($B173,'ELC TECH'!$H:$H,'ELC TECH'!AI:AI)</f>
        <v>0</v>
      </c>
      <c r="AW173" s="15">
        <f>_xlfn.XLOOKUP($B173,'ELC TECH'!$H:$H,'ELC TECH'!AJ:AJ)</f>
        <v>0</v>
      </c>
      <c r="AX173" s="12">
        <f>IF(_xlfn.XLOOKUP($B173,'ELC TECH'!$H:$H,'ELC TECH'!$E:$E)="Storage","",_xlfn.XLOOKUP($B173,'ELC TECH'!$H:$H,'ELC TECH'!AS:AS))</f>
        <v>0.13134788521027199</v>
      </c>
      <c r="AY173" s="12">
        <f>IF(_xlfn.XLOOKUP($B173,'ELC TECH'!$H:$H,'ELC TECH'!$E:$E)="Storage","",_xlfn.XLOOKUP($B173,'ELC TECH'!$H:$H,'ELC TECH'!AT:AT))</f>
        <v>0.13190554741930099</v>
      </c>
      <c r="AZ173" s="12">
        <f>IF(_xlfn.XLOOKUP($B173,'ELC TECH'!$H:$H,'ELC TECH'!$E:$E)="Storage","",_xlfn.XLOOKUP($B173,'ELC TECH'!$H:$H,'ELC TECH'!AU:AU))</f>
        <v>0.13260262518058699</v>
      </c>
      <c r="BA173" s="12">
        <f>IF(_xlfn.XLOOKUP($B173,'ELC TECH'!$H:$H,'ELC TECH'!$E:$E)="Storage","",_xlfn.XLOOKUP($B173,'ELC TECH'!$H:$H,'ELC TECH'!AV:AV))</f>
        <v>0.13329970294187399</v>
      </c>
      <c r="BB173" s="12">
        <f>IF(_xlfn.XLOOKUP($B173,'ELC TECH'!$H:$H,'ELC TECH'!$E:$E)="Storage","",_xlfn.XLOOKUP($B173,'ELC TECH'!$H:$H,'ELC TECH'!AW:AW))</f>
        <v>0.13444714758389401</v>
      </c>
      <c r="BC173" s="12">
        <f>IF(_xlfn.XLOOKUP($B173,'ELC TECH'!$H:$H,'ELC TECH'!$E:$E)="Storage","",_xlfn.XLOOKUP($B173,'ELC TECH'!$H:$H,'ELC TECH'!AX:AX))</f>
        <v>0.135594592225914</v>
      </c>
      <c r="BD173" s="12">
        <f>IF(_xlfn.XLOOKUP($B173,'ELC TECH'!$H:$H,'ELC TECH'!$E:$E)="Storage","",_xlfn.XLOOKUP($B173,'ELC TECH'!$H:$H,'ELC TECH'!AY:AY))</f>
        <v>0.13674203686793501</v>
      </c>
      <c r="BE173" s="12">
        <f>IF(_xlfn.XLOOKUP($B173,'ELC TECH'!$H:$H,'ELC TECH'!$E:$E)="Storage","",_xlfn.XLOOKUP($B173,'ELC TECH'!$H:$H,'ELC TECH'!AZ:AZ))</f>
        <v>0.13674203686793501</v>
      </c>
      <c r="BF173" s="12" t="str">
        <f>IF(_xlfn.XLOOKUP($B173,'ELC TECH'!$H:$H,'ELC TECH'!$E:$E)="Storage",_xlfn.XLOOKUP($B173,'ELC TECH'!$H:$H,'ELC TECH'!AS:AS),"")</f>
        <v/>
      </c>
      <c r="BG173" s="12" t="str">
        <f>IF(_xlfn.XLOOKUP($B173,'ELC TECH'!$H:$H,'ELC TECH'!$E:$E)="Storage",_xlfn.XLOOKUP($B173,'ELC TECH'!$H:$H,'ELC TECH'!AT:AT),"")</f>
        <v/>
      </c>
      <c r="BH173" s="12" t="str">
        <f>IF(_xlfn.XLOOKUP($B173,'ELC TECH'!$H:$H,'ELC TECH'!$E:$E)="Storage",_xlfn.XLOOKUP($B173,'ELC TECH'!$H:$H,'ELC TECH'!AU:AU),"")</f>
        <v/>
      </c>
      <c r="BI173" s="12" t="str">
        <f>IF(_xlfn.XLOOKUP($B173,'ELC TECH'!$H:$H,'ELC TECH'!$E:$E)="Storage",_xlfn.XLOOKUP($B173,'ELC TECH'!$H:$H,'ELC TECH'!AV:AV),"")</f>
        <v/>
      </c>
      <c r="BJ173" s="12" t="str">
        <f>IF(_xlfn.XLOOKUP($B173,'ELC TECH'!$H:$H,'ELC TECH'!$E:$E)="Storage",_xlfn.XLOOKUP($B173,'ELC TECH'!$H:$H,'ELC TECH'!AW:AW),"")</f>
        <v/>
      </c>
      <c r="BK173" s="12" t="str">
        <f>IF(_xlfn.XLOOKUP($B173,'ELC TECH'!$H:$H,'ELC TECH'!$E:$E)="Storage",_xlfn.XLOOKUP($B173,'ELC TECH'!$H:$H,'ELC TECH'!AX:AX),"")</f>
        <v/>
      </c>
      <c r="BL173" s="12" t="str">
        <f>IF(_xlfn.XLOOKUP($B173,'ELC TECH'!$H:$H,'ELC TECH'!$E:$E)="Storage",_xlfn.XLOOKUP($B173,'ELC TECH'!$H:$H,'ELC TECH'!AY:AY),"")</f>
        <v/>
      </c>
      <c r="BM173" s="12" t="str">
        <f>IF(_xlfn.XLOOKUP($B173,'ELC TECH'!$H:$H,'ELC TECH'!$E:$E)="Storage",_xlfn.XLOOKUP($B173,'ELC TECH'!$H:$H,'ELC TECH'!AZ:AZ),"")</f>
        <v/>
      </c>
      <c r="BN173" s="8">
        <f>IF(_xlfn.XLOOKUP($B173,'ELC TECH'!$H:$H,'ELC TECH'!$E:$E)="Non Dispatchable",IFERROR($AX173*_xlfn.XLOOKUP($C173,$BM$1:$BM$3,BN$1:BN$3)/SUMPRODUCT(_xlfn.XLOOKUP($C173,$BM$1:$BM$3,$BN$1:$BY$3),$BN$4:$BY$4),""),
"")</f>
        <v>0.20557288640047386</v>
      </c>
      <c r="BO173" s="8">
        <f>IF(_xlfn.XLOOKUP($B173,'ELC TECH'!$H:$H,'ELC TECH'!$E:$E)="Non Dispatchable",IFERROR($AX173*_xlfn.XLOOKUP($C173,$BM$1:$BM$3,BO$1:BO$3)/SUMPRODUCT(_xlfn.XLOOKUP($C173,$BM$1:$BM$3,$BN$1:$BY$3),$BN$4:$BY$4),""),
"")</f>
        <v>0.20557288640047386</v>
      </c>
      <c r="BP173" s="8">
        <f>IF(_xlfn.XLOOKUP($B173,'ELC TECH'!$H:$H,'ELC TECH'!$E:$E)="Non Dispatchable",IFERROR($AX173*_xlfn.XLOOKUP($C173,$BM$1:$BM$3,BP$1:BP$3)/SUMPRODUCT(_xlfn.XLOOKUP($C173,$BM$1:$BM$3,$BN$1:$BY$3),$BN$4:$BY$4),""),
"")</f>
        <v>2.0557288640047387E-2</v>
      </c>
      <c r="BQ173" s="8">
        <f>IF(_xlfn.XLOOKUP($B173,'ELC TECH'!$H:$H,'ELC TECH'!$E:$E)="Non Dispatchable",IFERROR($AX173*_xlfn.XLOOKUP($C173,$BM$1:$BM$3,BQ$1:BQ$3)/SUMPRODUCT(_xlfn.XLOOKUP($C173,$BM$1:$BM$3,$BN$1:$BY$3),$BN$4:$BY$4),""),
"")</f>
        <v>0</v>
      </c>
      <c r="BR173" s="8">
        <f>IF(_xlfn.XLOOKUP($B173,'ELC TECH'!$H:$H,'ELC TECH'!$E:$E)="Non Dispatchable",IFERROR($AX173*_xlfn.XLOOKUP($C173,$BM$1:$BM$3,BR$1:BR$3)/SUMPRODUCT(_xlfn.XLOOKUP($C173,$BM$1:$BM$3,$BN$1:$BY$3),$BN$4:$BY$4),""),
"")</f>
        <v>0.23676457758498451</v>
      </c>
      <c r="BS173" s="8">
        <f>IF(_xlfn.XLOOKUP($B173,'ELC TECH'!$H:$H,'ELC TECH'!$E:$E)="Non Dispatchable",IFERROR($AX173*_xlfn.XLOOKUP($C173,$BM$1:$BM$3,BS$1:BS$3)/SUMPRODUCT(_xlfn.XLOOKUP($C173,$BM$1:$BM$3,$BN$1:$BY$3),$BN$4:$BY$4),""),
"")</f>
        <v>0.23676457758498451</v>
      </c>
      <c r="BT173" s="8">
        <f>IF(_xlfn.XLOOKUP($B173,'ELC TECH'!$H:$H,'ELC TECH'!$E:$E)="Non Dispatchable",IFERROR($AX173*_xlfn.XLOOKUP($C173,$BM$1:$BM$3,BT$1:BT$3)/SUMPRODUCT(_xlfn.XLOOKUP($C173,$BM$1:$BM$3,$BN$1:$BY$3),$BN$4:$BY$4),""),
"")</f>
        <v>2.367645775849845E-2</v>
      </c>
      <c r="BU173" s="8">
        <f>IF(_xlfn.XLOOKUP($B173,'ELC TECH'!$H:$H,'ELC TECH'!$E:$E)="Non Dispatchable",IFERROR($AX173*_xlfn.XLOOKUP($C173,$BM$1:$BM$3,BU$1:BU$3)/SUMPRODUCT(_xlfn.XLOOKUP($C173,$BM$1:$BM$3,$BN$1:$BY$3),$BN$4:$BY$4),""),
"")</f>
        <v>0</v>
      </c>
      <c r="BV173" s="8">
        <f>IF(_xlfn.XLOOKUP($B173,'ELC TECH'!$H:$H,'ELC TECH'!$E:$E)="Non Dispatchable",IFERROR($AX173*_xlfn.XLOOKUP($C173,$BM$1:$BM$3,BV$1:BV$3)/SUMPRODUCT(_xlfn.XLOOKUP($C173,$BM$1:$BM$3,$BN$1:$BY$3),$BN$4:$BY$4),""),
"")</f>
        <v>0.19807411249878731</v>
      </c>
      <c r="BW173" s="8">
        <f>IF(_xlfn.XLOOKUP($B173,'ELC TECH'!$H:$H,'ELC TECH'!$E:$E)="Non Dispatchable",IFERROR($AX173*_xlfn.XLOOKUP($C173,$BM$1:$BM$3,BW$1:BW$3)/SUMPRODUCT(_xlfn.XLOOKUP($C173,$BM$1:$BM$3,$BN$1:$BY$3),$BN$4:$BY$4),""),
"")</f>
        <v>0.19807411249878731</v>
      </c>
      <c r="BX173" s="8">
        <f>IF(_xlfn.XLOOKUP($B173,'ELC TECH'!$H:$H,'ELC TECH'!$E:$E)="Non Dispatchable",IFERROR($AX173*_xlfn.XLOOKUP($C173,$BM$1:$BM$3,BX$1:BX$3)/SUMPRODUCT(_xlfn.XLOOKUP($C173,$BM$1:$BM$3,$BN$1:$BY$3),$BN$4:$BY$4),""),
"")</f>
        <v>1.9807411249878733E-2</v>
      </c>
      <c r="BY173" s="8">
        <f>IF(_xlfn.XLOOKUP($B173,'ELC TECH'!$H:$H,'ELC TECH'!$E:$E)="Non Dispatchable",IFERROR($AX173*_xlfn.XLOOKUP($C173,$BM$1:$BM$3,BY$1:BY$3)/SUMPRODUCT(_xlfn.XLOOKUP($C173,$BM$1:$BM$3,$BN$1:$BY$3),$BN$4:$BY$4),""),
"")</f>
        <v>0</v>
      </c>
      <c r="BZ173" s="8">
        <f>IF(_xlfn.XLOOKUP($B173,'ELC TECH'!$H:$H,'ELC TECH'!$E:$E)="Non Dispatchable",IFERROR($AX173*_xlfn.XLOOKUP($C173,$BM$1:$BM$3,BZ$1:BZ$3)/SUMPRODUCT(_xlfn.XLOOKUP($C173,$BM$1:$BM$3,$BN$1:$BY$3),$BN$4:$BY$4),""),
"")</f>
        <v>0.20557288640047386</v>
      </c>
      <c r="CA173" s="8">
        <f>IF(_xlfn.XLOOKUP($B173,'ELC TECH'!$H:$H,'ELC TECH'!$E:$E)="Non Dispatchable",IFERROR($AX173*_xlfn.XLOOKUP($C173,$BM$1:$BM$3,CA$1:CA$3)/SUMPRODUCT(_xlfn.XLOOKUP($C173,$BM$1:$BM$3,$BN$1:$BY$3),$BN$4:$BY$4),""),
"")</f>
        <v>0.20557288640047386</v>
      </c>
      <c r="CB173" s="8">
        <f>IF(_xlfn.XLOOKUP($B173,'ELC TECH'!$H:$H,'ELC TECH'!$E:$E)="Non Dispatchable",IFERROR($AX173*_xlfn.XLOOKUP($C173,$BM$1:$BM$3,CB$1:CB$3)/SUMPRODUCT(_xlfn.XLOOKUP($C173,$BM$1:$BM$3,$BN$1:$BY$3),$BN$4:$BY$4),""),
"")</f>
        <v>2.0557288640047387E-2</v>
      </c>
      <c r="CC173" s="8">
        <f>IF(_xlfn.XLOOKUP($B173,'ELC TECH'!$H:$H,'ELC TECH'!$E:$E)="Non Dispatchable",IFERROR($AX173*_xlfn.XLOOKUP($C173,$BM$1:$BM$3,CC$1:CC$3)/SUMPRODUCT(_xlfn.XLOOKUP($C173,$BM$1:$BM$3,$BN$1:$BY$3),$BN$4:$BY$4),""),
"")</f>
        <v>0</v>
      </c>
      <c r="CD173" s="8">
        <f>IF(_xlfn.XLOOKUP($B173,'ELC TECH'!$H:$H,'ELC TECH'!$E:$E)="Non Dispatchable",IFERROR($AX173*_xlfn.XLOOKUP($C173,$BM$1:$BM$3,CD$1:CD$3)/SUMPRODUCT(_xlfn.XLOOKUP($C173,$BM$1:$BM$3,$BN$1:$BY$3),$BN$4:$BY$4),""),
"")</f>
        <v>0.23676457758498451</v>
      </c>
      <c r="CE173" s="8">
        <f>IF(_xlfn.XLOOKUP($B173,'ELC TECH'!$H:$H,'ELC TECH'!$E:$E)="Non Dispatchable",IFERROR($AX173*_xlfn.XLOOKUP($C173,$BM$1:$BM$3,CE$1:CE$3)/SUMPRODUCT(_xlfn.XLOOKUP($C173,$BM$1:$BM$3,$BN$1:$BY$3),$BN$4:$BY$4),""),
"")</f>
        <v>0.23676457758498451</v>
      </c>
      <c r="CF173" s="8">
        <f>IF(_xlfn.XLOOKUP($B173,'ELC TECH'!$H:$H,'ELC TECH'!$E:$E)="Non Dispatchable",IFERROR($AX173*_xlfn.XLOOKUP($C173,$BM$1:$BM$3,CF$1:CF$3)/SUMPRODUCT(_xlfn.XLOOKUP($C173,$BM$1:$BM$3,$BN$1:$BY$3),$BN$4:$BY$4),""),
"")</f>
        <v>2.367645775849845E-2</v>
      </c>
      <c r="CG173" s="8">
        <f>IF(_xlfn.XLOOKUP($B173,'ELC TECH'!$H:$H,'ELC TECH'!$E:$E)="Non Dispatchable",IFERROR($AX173*_xlfn.XLOOKUP($C173,$BM$1:$BM$3,CG$1:CG$3)/SUMPRODUCT(_xlfn.XLOOKUP($C173,$BM$1:$BM$3,$BN$1:$BY$3),$BN$4:$BY$4),""),
"")</f>
        <v>0</v>
      </c>
      <c r="CH173" s="8">
        <f>IF(_xlfn.XLOOKUP($B173,'ELC TECH'!$H:$H,'ELC TECH'!$E:$E)="Non Dispatchable",IFERROR($AX173*_xlfn.XLOOKUP($C173,$BM$1:$BM$3,CH$1:CH$3)/SUMPRODUCT(_xlfn.XLOOKUP($C173,$BM$1:$BM$3,$BN$1:$BY$3),$BN$4:$BY$4),""),
"")</f>
        <v>0.19807411249878731</v>
      </c>
      <c r="CI173" s="8">
        <f>IF(_xlfn.XLOOKUP($B173,'ELC TECH'!$H:$H,'ELC TECH'!$E:$E)="Non Dispatchable",IFERROR($AX173*_xlfn.XLOOKUP($C173,$BM$1:$BM$3,CI$1:CI$3)/SUMPRODUCT(_xlfn.XLOOKUP($C173,$BM$1:$BM$3,$BN$1:$BY$3),$BN$4:$BY$4),""),
"")</f>
        <v>0.19807411249878731</v>
      </c>
      <c r="CJ173" s="8">
        <f>IF(_xlfn.XLOOKUP($B173,'ELC TECH'!$H:$H,'ELC TECH'!$E:$E)="Non Dispatchable",IFERROR($AX173*_xlfn.XLOOKUP($C173,$BM$1:$BM$3,CJ$1:CJ$3)/SUMPRODUCT(_xlfn.XLOOKUP($C173,$BM$1:$BM$3,$BN$1:$BY$3),$BN$4:$BY$4),""),
"")</f>
        <v>1.9807411249878733E-2</v>
      </c>
      <c r="CK173" s="8">
        <f>IF(_xlfn.XLOOKUP($B173,'ELC TECH'!$H:$H,'ELC TECH'!$E:$E)="Non Dispatchable",IFERROR($AX173*_xlfn.XLOOKUP($C173,$BM$1:$BM$3,CK$1:CK$3)/SUMPRODUCT(_xlfn.XLOOKUP($C173,$BM$1:$BM$3,$BN$1:$BY$3),$BN$4:$BY$4),""),
"")</f>
        <v>0</v>
      </c>
      <c r="CL173" s="8" t="str">
        <f>IF(_xlfn.XLOOKUP($B173,'ELC TECH'!$H:$H,'ELC TECH'!$E:$E)="Storage",CL$4*$BF173,"")</f>
        <v/>
      </c>
      <c r="CM173" s="8" t="str">
        <f>IF(_xlfn.XLOOKUP($B173,'ELC TECH'!$H:$H,'ELC TECH'!$E:$E)="Storage",CM$4*$BF173,"")</f>
        <v/>
      </c>
      <c r="CN173" s="8" t="str">
        <f>IF(_xlfn.XLOOKUP($B173,'ELC TECH'!$H:$H,'ELC TECH'!$E:$E)="Storage",CN$4*$BF173,"")</f>
        <v/>
      </c>
      <c r="CO173" s="8" t="str">
        <f>IF(_xlfn.XLOOKUP($B173,'ELC TECH'!$H:$H,'ELC TECH'!$E:$E)="Storage",CO$4*$BF173,"")</f>
        <v/>
      </c>
      <c r="CP173" s="8" t="str">
        <f>IF(_xlfn.XLOOKUP($B173,'ELC TECH'!$H:$H,'ELC TECH'!$E:$E)="Storage",CP$4*$BF173,"")</f>
        <v/>
      </c>
      <c r="CQ173" s="8" t="str">
        <f>IF(_xlfn.XLOOKUP($B173,'ELC TECH'!$H:$H,'ELC TECH'!$E:$E)="Storage",CQ$4*$BF173,"")</f>
        <v/>
      </c>
      <c r="CR173" s="8" t="str">
        <f>IF(_xlfn.XLOOKUP($B173,'ELC TECH'!$H:$H,'ELC TECH'!$E:$E)="Storage",CR$4*$BF173,"")</f>
        <v/>
      </c>
      <c r="CS173" s="8" t="str">
        <f>IF(_xlfn.XLOOKUP($B173,'ELC TECH'!$H:$H,'ELC TECH'!$E:$E)="Storage",CS$4*$BF173,"")</f>
        <v/>
      </c>
      <c r="CT173" s="8" t="str">
        <f>IF(_xlfn.XLOOKUP($B173,'ELC TECH'!$H:$H,'ELC TECH'!$E:$E)="Storage",CT$4*$BF173,"")</f>
        <v/>
      </c>
      <c r="CU173" s="8" t="str">
        <f>IF(_xlfn.XLOOKUP($B173,'ELC TECH'!$H:$H,'ELC TECH'!$E:$E)="Storage",CU$4*$BF173,"")</f>
        <v/>
      </c>
      <c r="CV173" s="8" t="str">
        <f>IF(_xlfn.XLOOKUP($B173,'ELC TECH'!$H:$H,'ELC TECH'!$E:$E)="Storage",CV$4*$BF173,"")</f>
        <v/>
      </c>
      <c r="CW173" s="8" t="str">
        <f>IF(_xlfn.XLOOKUP($B173,'ELC TECH'!$H:$H,'ELC TECH'!$E:$E)="Storage",CW$4*$BF173,"")</f>
        <v/>
      </c>
      <c r="CX173" s="8" t="str">
        <f>IF(_xlfn.XLOOKUP($B173,'ELC TECH'!$H:$H,'ELC TECH'!$E:$E)="Storage",CX$4*$BF173,"")</f>
        <v/>
      </c>
      <c r="CY173" s="8" t="str">
        <f>IF(_xlfn.XLOOKUP($B173,'ELC TECH'!$H:$H,'ELC TECH'!$E:$E)="Storage",CY$4*$BF173,"")</f>
        <v/>
      </c>
      <c r="CZ173" s="8" t="str">
        <f>IF(_xlfn.XLOOKUP($B173,'ELC TECH'!$H:$H,'ELC TECH'!$E:$E)="Storage",CZ$4*$BF173,"")</f>
        <v/>
      </c>
      <c r="DA173" s="8" t="str">
        <f>IF(_xlfn.XLOOKUP($B173,'ELC TECH'!$H:$H,'ELC TECH'!$E:$E)="Storage",DA$4*$BF173,"")</f>
        <v/>
      </c>
      <c r="DB173" s="8" t="str">
        <f>IF(_xlfn.XLOOKUP($B173,'ELC TECH'!$H:$H,'ELC TECH'!$E:$E)="Storage",DB$4*$BF173,"")</f>
        <v/>
      </c>
      <c r="DC173" s="8" t="str">
        <f>IF(_xlfn.XLOOKUP($B173,'ELC TECH'!$H:$H,'ELC TECH'!$E:$E)="Storage",DC$4*$BF173,"")</f>
        <v/>
      </c>
      <c r="DD173" s="8" t="str">
        <f>IF(_xlfn.XLOOKUP($B173,'ELC TECH'!$H:$H,'ELC TECH'!$E:$E)="Storage",DD$4*$BF173,"")</f>
        <v/>
      </c>
      <c r="DE173" s="8" t="str">
        <f>IF(_xlfn.XLOOKUP($B173,'ELC TECH'!$H:$H,'ELC TECH'!$E:$E)="Storage",DE$4*$BF173,"")</f>
        <v/>
      </c>
      <c r="DF173" s="8" t="str">
        <f>IF(_xlfn.XLOOKUP($B173,'ELC TECH'!$H:$H,'ELC TECH'!$E:$E)="Storage",DF$4*$BF173,"")</f>
        <v/>
      </c>
      <c r="DG173" s="8" t="str">
        <f>IF(_xlfn.XLOOKUP($B173,'ELC TECH'!$H:$H,'ELC TECH'!$E:$E)="Storage",DG$4*$BF173,"")</f>
        <v/>
      </c>
      <c r="DH173" s="8" t="str">
        <f>IF(_xlfn.XLOOKUP($B173,'ELC TECH'!$H:$H,'ELC TECH'!$E:$E)="Storage",DH$4*$BF173,"")</f>
        <v/>
      </c>
      <c r="DI173" s="8" t="str">
        <f>IF(_xlfn.XLOOKUP($B173,'ELC TECH'!$H:$H,'ELC TECH'!$E:$E)="Storage",DI$4*$BF173,"")</f>
        <v/>
      </c>
    </row>
    <row r="174" spans="2:113" x14ac:dyDescent="0.25">
      <c r="B174" t="str">
        <f>IF('ELC TECH'!I167=0,"*",'ELC TECH'!H167)</f>
        <v>ELCSOLDCECPV1020</v>
      </c>
      <c r="C174" t="str">
        <f>IF(_xlfn.XLOOKUP(_xlfn.XLOOKUP(B174,'ELC TECH'!$H:$H,'ELC TECH'!$G:$G),List!C:C,List!B:B)="STG",D174,"ELC"&amp;_xlfn.XLOOKUP(_xlfn.XLOOKUP(B174,'ELC TECH'!H:H,'ELC TECH'!G:G),List!C:C,List!B:B))</f>
        <v>ELCSOL</v>
      </c>
      <c r="D174" t="s">
        <v>546</v>
      </c>
      <c r="E174">
        <f>_xlfn.XLOOKUP(B174,'ELC TECH'!H:H,'ELC TECH'!D:D)</f>
        <v>2020</v>
      </c>
      <c r="F174">
        <f>_xlfn.XLOOKUP(B174,'ELC TECH'!H:H,'ELC TECH'!K:K)</f>
        <v>30</v>
      </c>
      <c r="G174">
        <f t="shared" si="9"/>
        <v>31.535999999999998</v>
      </c>
      <c r="H174">
        <f>IF(_xlfn.XLOOKUP(B174,'ELC TECH'!$H:$H,'ELC TECH'!$E:$E)="Storage",0.3,IF(_xlfn.XLOOKUP(B174,'ELC TECH'!$H:$H,'ELC TECH'!$E:$E)="Baseload",0.9,IF(_xlfn.XLOOKUP(B174,'ELC TECH'!$H:$H,'ELC TECH'!$E:$E)="Non Dispatchable",0.05,IF(_xlfn.XLOOKUP(B174,'ELC TECH'!$H:$H,'ELC TECH'!$E:$E)="Dispatchable",0.9,1))))</f>
        <v>0.05</v>
      </c>
      <c r="I174" s="13">
        <f>IF(_xlfn.XLOOKUP(B174,'ELC TECH'!H:H,'ELC TECH'!J:J)="","",_xlfn.XLOOKUP(B174,'ELC TECH'!H:H,'ELC TECH'!J:J))</f>
        <v>700.17955000000006</v>
      </c>
      <c r="J174" s="12">
        <f>IF(_xlfn.XLOOKUP($B174,'ELC TECH'!$H:$H,'ELC TECH'!$E:$E)="Storage","",IF(_xlfn.XLOOKUP($B174,'ELC TECH'!$H:$H,'ELC TECH'!AK:AK)="",1,_xlfn.XLOOKUP($B174,'ELC TECH'!$H:$H,'ELC TECH'!AK:AK)))</f>
        <v>1</v>
      </c>
      <c r="K174" s="12">
        <f>IF(_xlfn.XLOOKUP($B174,'ELC TECH'!$H:$H,'ELC TECH'!$E:$E)="Storage","",IF(_xlfn.XLOOKUP($B174,'ELC TECH'!$H:$H,'ELC TECH'!AL:AL)="",1,_xlfn.XLOOKUP($B174,'ELC TECH'!$H:$H,'ELC TECH'!AL:AL)))</f>
        <v>1</v>
      </c>
      <c r="L174" s="12">
        <f>IF(_xlfn.XLOOKUP($B174,'ELC TECH'!$H:$H,'ELC TECH'!$E:$E)="Storage","",IF(_xlfn.XLOOKUP($B174,'ELC TECH'!$H:$H,'ELC TECH'!AM:AM)="",1,_xlfn.XLOOKUP($B174,'ELC TECH'!$H:$H,'ELC TECH'!AM:AM)))</f>
        <v>1</v>
      </c>
      <c r="M174" s="12">
        <f>IF(_xlfn.XLOOKUP($B174,'ELC TECH'!$H:$H,'ELC TECH'!$E:$E)="Storage","",IF(_xlfn.XLOOKUP($B174,'ELC TECH'!$H:$H,'ELC TECH'!AN:AN)="",1,_xlfn.XLOOKUP($B174,'ELC TECH'!$H:$H,'ELC TECH'!AN:AN)))</f>
        <v>1</v>
      </c>
      <c r="N174" s="12">
        <f>IF(_xlfn.XLOOKUP($B174,'ELC TECH'!$H:$H,'ELC TECH'!$E:$E)="Storage","",IF(_xlfn.XLOOKUP($B174,'ELC TECH'!$H:$H,'ELC TECH'!AO:AO)="",1,_xlfn.XLOOKUP($B174,'ELC TECH'!$H:$H,'ELC TECH'!AO:AO)))</f>
        <v>1</v>
      </c>
      <c r="O174" s="12">
        <f>IF(_xlfn.XLOOKUP($B174,'ELC TECH'!$H:$H,'ELC TECH'!$E:$E)="Storage","",IF(_xlfn.XLOOKUP($B174,'ELC TECH'!$H:$H,'ELC TECH'!AP:AP)="",1,_xlfn.XLOOKUP($B174,'ELC TECH'!$H:$H,'ELC TECH'!AP:AP)))</f>
        <v>1</v>
      </c>
      <c r="P174" s="12">
        <f>IF(_xlfn.XLOOKUP($B174,'ELC TECH'!$H:$H,'ELC TECH'!$E:$E)="Storage","",IF(_xlfn.XLOOKUP($B174,'ELC TECH'!$H:$H,'ELC TECH'!AQ:AQ)="",1,_xlfn.XLOOKUP($B174,'ELC TECH'!$H:$H,'ELC TECH'!AQ:AQ)))</f>
        <v>1</v>
      </c>
      <c r="Q174" s="12">
        <f>IF(_xlfn.XLOOKUP($B174,'ELC TECH'!$H:$H,'ELC TECH'!$E:$E)="Storage","",IF(_xlfn.XLOOKUP($B174,'ELC TECH'!$H:$H,'ELC TECH'!AR:AR)="",1,_xlfn.XLOOKUP($B174,'ELC TECH'!$H:$H,'ELC TECH'!AR:AR)))</f>
        <v>1</v>
      </c>
      <c r="R174" s="12" t="str">
        <f>IF(_xlfn.XLOOKUP($B174,'ELC TECH'!$H:$H,'ELC TECH'!$E:$E)&lt;&gt;"Storage","",IF(_xlfn.XLOOKUP($B174,'ELC TECH'!$H:$H,'ELC TECH'!AK:AK)="",0.8,_xlfn.XLOOKUP($B174,'ELC TECH'!$H:$H,'ELC TECH'!AK:AK)))</f>
        <v/>
      </c>
      <c r="S174" s="12" t="str">
        <f>IF(_xlfn.XLOOKUP($B174,'ELC TECH'!$H:$H,'ELC TECH'!$E:$E)&lt;&gt;"Storage","",IF(_xlfn.XLOOKUP($B174,'ELC TECH'!$H:$H,'ELC TECH'!AL:AL)="",0.8,_xlfn.XLOOKUP($B174,'ELC TECH'!$H:$H,'ELC TECH'!AL:AL)))</f>
        <v/>
      </c>
      <c r="T174" s="12" t="str">
        <f>IF(_xlfn.XLOOKUP($B174,'ELC TECH'!$H:$H,'ELC TECH'!$E:$E)&lt;&gt;"Storage","",IF(_xlfn.XLOOKUP($B174,'ELC TECH'!$H:$H,'ELC TECH'!AM:AM)="",0.8,_xlfn.XLOOKUP($B174,'ELC TECH'!$H:$H,'ELC TECH'!AM:AM)))</f>
        <v/>
      </c>
      <c r="U174" s="12" t="str">
        <f>IF(_xlfn.XLOOKUP($B174,'ELC TECH'!$H:$H,'ELC TECH'!$E:$E)&lt;&gt;"Storage","",IF(_xlfn.XLOOKUP($B174,'ELC TECH'!$H:$H,'ELC TECH'!AN:AN)="",0.8,_xlfn.XLOOKUP($B174,'ELC TECH'!$H:$H,'ELC TECH'!AN:AN)))</f>
        <v/>
      </c>
      <c r="V174" s="12" t="str">
        <f>IF(_xlfn.XLOOKUP($B174,'ELC TECH'!$H:$H,'ELC TECH'!$E:$E)&lt;&gt;"Storage","",IF(_xlfn.XLOOKUP($B174,'ELC TECH'!$H:$H,'ELC TECH'!AO:AO)="",0.8,_xlfn.XLOOKUP($B174,'ELC TECH'!$H:$H,'ELC TECH'!AO:AO)))</f>
        <v/>
      </c>
      <c r="W174" s="12" t="str">
        <f>IF(_xlfn.XLOOKUP($B174,'ELC TECH'!$H:$H,'ELC TECH'!$E:$E)&lt;&gt;"Storage","",IF(_xlfn.XLOOKUP($B174,'ELC TECH'!$H:$H,'ELC TECH'!AP:AP)="",0.8,_xlfn.XLOOKUP($B174,'ELC TECH'!$H:$H,'ELC TECH'!AP:AP)))</f>
        <v/>
      </c>
      <c r="X174" s="12" t="str">
        <f>IF(_xlfn.XLOOKUP($B174,'ELC TECH'!$H:$H,'ELC TECH'!$E:$E)&lt;&gt;"Storage","",IF(_xlfn.XLOOKUP($B174,'ELC TECH'!$H:$H,'ELC TECH'!AQ:AQ)="",0.8,_xlfn.XLOOKUP($B174,'ELC TECH'!$H:$H,'ELC TECH'!AQ:AQ)))</f>
        <v/>
      </c>
      <c r="Y174" s="12" t="str">
        <f>IF(_xlfn.XLOOKUP($B174,'ELC TECH'!$H:$H,'ELC TECH'!$E:$E)&lt;&gt;"Storage","",IF(_xlfn.XLOOKUP($B174,'ELC TECH'!$H:$H,'ELC TECH'!AR:AR)="",0.8,_xlfn.XLOOKUP($B174,'ELC TECH'!$H:$H,'ELC TECH'!AR:AR)))</f>
        <v/>
      </c>
      <c r="Z174" s="15">
        <f>_xlfn.XLOOKUP($B174,'ELC TECH'!$H:$H,'ELC TECH'!M:M)</f>
        <v>1912.264310519447</v>
      </c>
      <c r="AA174" s="15">
        <f>_xlfn.XLOOKUP($B174,'ELC TECH'!$H:$H,'ELC TECH'!N:N)</f>
        <v>1887.703407882211</v>
      </c>
      <c r="AB174" s="15">
        <f>_xlfn.XLOOKUP($B174,'ELC TECH'!$H:$H,'ELC TECH'!O:O)</f>
        <v>1569.6288150057401</v>
      </c>
      <c r="AC174" s="15">
        <f>_xlfn.XLOOKUP($B174,'ELC TECH'!$H:$H,'ELC TECH'!P:P)</f>
        <v>1251.5542221292801</v>
      </c>
      <c r="AD174" s="15">
        <f>_xlfn.XLOOKUP($B174,'ELC TECH'!$H:$H,'ELC TECH'!Q:Q)</f>
        <v>1147.154572863142</v>
      </c>
      <c r="AE174" s="15">
        <f>_xlfn.XLOOKUP($B174,'ELC TECH'!$H:$H,'ELC TECH'!R:R)</f>
        <v>1042.7549235970189</v>
      </c>
      <c r="AF174" s="15">
        <f>_xlfn.XLOOKUP($B174,'ELC TECH'!$H:$H,'ELC TECH'!S:S)</f>
        <v>938.35527433088987</v>
      </c>
      <c r="AG174" s="15">
        <f>_xlfn.XLOOKUP($B174,'ELC TECH'!$H:$H,'ELC TECH'!T:T)</f>
        <v>938.35527433088987</v>
      </c>
      <c r="AH174" s="15">
        <f>_xlfn.XLOOKUP($B174,'ELC TECH'!$H:$H,'ELC TECH'!U:U)</f>
        <v>20.242248163120561</v>
      </c>
      <c r="AI174" s="15">
        <f>_xlfn.XLOOKUP($B174,'ELC TECH'!$H:$H,'ELC TECH'!V:V)</f>
        <v>19.891925366567069</v>
      </c>
      <c r="AJ174" s="15">
        <f>_xlfn.XLOOKUP($B174,'ELC TECH'!$H:$H,'ELC TECH'!W:W)</f>
        <v>17.127058056750311</v>
      </c>
      <c r="AK174" s="15">
        <f>_xlfn.XLOOKUP($B174,'ELC TECH'!$H:$H,'ELC TECH'!X:X)</f>
        <v>14.36219074693344</v>
      </c>
      <c r="AL174" s="15">
        <f>_xlfn.XLOOKUP($B174,'ELC TECH'!$H:$H,'ELC TECH'!Y:Y)</f>
        <v>13.45469551192622</v>
      </c>
      <c r="AM174" s="15">
        <f>_xlfn.XLOOKUP($B174,'ELC TECH'!$H:$H,'ELC TECH'!Z:Z)</f>
        <v>12.547200276919</v>
      </c>
      <c r="AN174" s="15">
        <f>_xlfn.XLOOKUP($B174,'ELC TECH'!$H:$H,'ELC TECH'!AA:AA)</f>
        <v>11.63970504191178</v>
      </c>
      <c r="AO174" s="15">
        <f>_xlfn.XLOOKUP($B174,'ELC TECH'!$H:$H,'ELC TECH'!AB:AB)</f>
        <v>11.63970504191178</v>
      </c>
      <c r="AP174" s="15">
        <f>_xlfn.XLOOKUP($B174,'ELC TECH'!$H:$H,'ELC TECH'!AC:AC)</f>
        <v>0</v>
      </c>
      <c r="AQ174" s="15">
        <f>_xlfn.XLOOKUP($B174,'ELC TECH'!$H:$H,'ELC TECH'!AD:AD)</f>
        <v>0</v>
      </c>
      <c r="AR174" s="15">
        <f>_xlfn.XLOOKUP($B174,'ELC TECH'!$H:$H,'ELC TECH'!AE:AE)</f>
        <v>0</v>
      </c>
      <c r="AS174" s="15">
        <f>_xlfn.XLOOKUP($B174,'ELC TECH'!$H:$H,'ELC TECH'!AF:AF)</f>
        <v>0</v>
      </c>
      <c r="AT174" s="15">
        <f>_xlfn.XLOOKUP($B174,'ELC TECH'!$H:$H,'ELC TECH'!AG:AG)</f>
        <v>0</v>
      </c>
      <c r="AU174" s="15">
        <f>_xlfn.XLOOKUP($B174,'ELC TECH'!$H:$H,'ELC TECH'!AH:AH)</f>
        <v>0</v>
      </c>
      <c r="AV174" s="15">
        <f>_xlfn.XLOOKUP($B174,'ELC TECH'!$H:$H,'ELC TECH'!AI:AI)</f>
        <v>0</v>
      </c>
      <c r="AW174" s="15">
        <f>_xlfn.XLOOKUP($B174,'ELC TECH'!$H:$H,'ELC TECH'!AJ:AJ)</f>
        <v>0</v>
      </c>
      <c r="AX174" s="12">
        <f>IF(_xlfn.XLOOKUP($B174,'ELC TECH'!$H:$H,'ELC TECH'!$E:$E)="Storage","",_xlfn.XLOOKUP($B174,'ELC TECH'!$H:$H,'ELC TECH'!AS:AS))</f>
        <v>0.12096965050148401</v>
      </c>
      <c r="AY174" s="12">
        <f>IF(_xlfn.XLOOKUP($B174,'ELC TECH'!$H:$H,'ELC TECH'!$E:$E)="Storage","",_xlfn.XLOOKUP($B174,'ELC TECH'!$H:$H,'ELC TECH'!AT:AT))</f>
        <v>0.123418852376513</v>
      </c>
      <c r="AZ174" s="12">
        <f>IF(_xlfn.XLOOKUP($B174,'ELC TECH'!$H:$H,'ELC TECH'!$E:$E)="Storage","",_xlfn.XLOOKUP($B174,'ELC TECH'!$H:$H,'ELC TECH'!AU:AU))</f>
        <v>0.1264803547203</v>
      </c>
      <c r="BA174" s="12">
        <f>IF(_xlfn.XLOOKUP($B174,'ELC TECH'!$H:$H,'ELC TECH'!$E:$E)="Storage","",_xlfn.XLOOKUP($B174,'ELC TECH'!$H:$H,'ELC TECH'!AV:AV))</f>
        <v>0.129541857064086</v>
      </c>
      <c r="BB174" s="12">
        <f>IF(_xlfn.XLOOKUP($B174,'ELC TECH'!$H:$H,'ELC TECH'!$E:$E)="Storage","",_xlfn.XLOOKUP($B174,'ELC TECH'!$H:$H,'ELC TECH'!AW:AW))</f>
        <v>0.13168729284127201</v>
      </c>
      <c r="BC174" s="12">
        <f>IF(_xlfn.XLOOKUP($B174,'ELC TECH'!$H:$H,'ELC TECH'!$E:$E)="Storage","",_xlfn.XLOOKUP($B174,'ELC TECH'!$H:$H,'ELC TECH'!AX:AX))</f>
        <v>0.13383272861845799</v>
      </c>
      <c r="BD174" s="12">
        <f>IF(_xlfn.XLOOKUP($B174,'ELC TECH'!$H:$H,'ELC TECH'!$E:$E)="Storage","",_xlfn.XLOOKUP($B174,'ELC TECH'!$H:$H,'ELC TECH'!AY:AY))</f>
        <v>0.135978164395645</v>
      </c>
      <c r="BE174" s="12">
        <f>IF(_xlfn.XLOOKUP($B174,'ELC TECH'!$H:$H,'ELC TECH'!$E:$E)="Storage","",_xlfn.XLOOKUP($B174,'ELC TECH'!$H:$H,'ELC TECH'!AZ:AZ))</f>
        <v>0.135978164395645</v>
      </c>
      <c r="BF174" s="12" t="str">
        <f>IF(_xlfn.XLOOKUP($B174,'ELC TECH'!$H:$H,'ELC TECH'!$E:$E)="Storage",_xlfn.XLOOKUP($B174,'ELC TECH'!$H:$H,'ELC TECH'!AS:AS),"")</f>
        <v/>
      </c>
      <c r="BG174" s="12" t="str">
        <f>IF(_xlfn.XLOOKUP($B174,'ELC TECH'!$H:$H,'ELC TECH'!$E:$E)="Storage",_xlfn.XLOOKUP($B174,'ELC TECH'!$H:$H,'ELC TECH'!AT:AT),"")</f>
        <v/>
      </c>
      <c r="BH174" s="12" t="str">
        <f>IF(_xlfn.XLOOKUP($B174,'ELC TECH'!$H:$H,'ELC TECH'!$E:$E)="Storage",_xlfn.XLOOKUP($B174,'ELC TECH'!$H:$H,'ELC TECH'!AU:AU),"")</f>
        <v/>
      </c>
      <c r="BI174" s="12" t="str">
        <f>IF(_xlfn.XLOOKUP($B174,'ELC TECH'!$H:$H,'ELC TECH'!$E:$E)="Storage",_xlfn.XLOOKUP($B174,'ELC TECH'!$H:$H,'ELC TECH'!AV:AV),"")</f>
        <v/>
      </c>
      <c r="BJ174" s="12" t="str">
        <f>IF(_xlfn.XLOOKUP($B174,'ELC TECH'!$H:$H,'ELC TECH'!$E:$E)="Storage",_xlfn.XLOOKUP($B174,'ELC TECH'!$H:$H,'ELC TECH'!AW:AW),"")</f>
        <v/>
      </c>
      <c r="BK174" s="12" t="str">
        <f>IF(_xlfn.XLOOKUP($B174,'ELC TECH'!$H:$H,'ELC TECH'!$E:$E)="Storage",_xlfn.XLOOKUP($B174,'ELC TECH'!$H:$H,'ELC TECH'!AX:AX),"")</f>
        <v/>
      </c>
      <c r="BL174" s="12" t="str">
        <f>IF(_xlfn.XLOOKUP($B174,'ELC TECH'!$H:$H,'ELC TECH'!$E:$E)="Storage",_xlfn.XLOOKUP($B174,'ELC TECH'!$H:$H,'ELC TECH'!AY:AY),"")</f>
        <v/>
      </c>
      <c r="BM174" s="12" t="str">
        <f>IF(_xlfn.XLOOKUP($B174,'ELC TECH'!$H:$H,'ELC TECH'!$E:$E)="Storage",_xlfn.XLOOKUP($B174,'ELC TECH'!$H:$H,'ELC TECH'!AZ:AZ),"")</f>
        <v/>
      </c>
      <c r="BN174" s="8">
        <f>IF(_xlfn.XLOOKUP($B174,'ELC TECH'!$H:$H,'ELC TECH'!$E:$E)="Non Dispatchable",IFERROR($AX174*_xlfn.XLOOKUP($C174,$BM$1:$BM$3,BN$1:BN$3)/SUMPRODUCT(_xlfn.XLOOKUP($C174,$BM$1:$BM$3,$BN$1:$BY$3),$BN$4:$BY$4),""),
"")</f>
        <v>0.18932988666422626</v>
      </c>
      <c r="BO174" s="8">
        <f>IF(_xlfn.XLOOKUP($B174,'ELC TECH'!$H:$H,'ELC TECH'!$E:$E)="Non Dispatchable",IFERROR($AX174*_xlfn.XLOOKUP($C174,$BM$1:$BM$3,BO$1:BO$3)/SUMPRODUCT(_xlfn.XLOOKUP($C174,$BM$1:$BM$3,$BN$1:$BY$3),$BN$4:$BY$4),""),
"")</f>
        <v>0.18932988666422626</v>
      </c>
      <c r="BP174" s="8">
        <f>IF(_xlfn.XLOOKUP($B174,'ELC TECH'!$H:$H,'ELC TECH'!$E:$E)="Non Dispatchable",IFERROR($AX174*_xlfn.XLOOKUP($C174,$BM$1:$BM$3,BP$1:BP$3)/SUMPRODUCT(_xlfn.XLOOKUP($C174,$BM$1:$BM$3,$BN$1:$BY$3),$BN$4:$BY$4),""),
"")</f>
        <v>1.8932988666422627E-2</v>
      </c>
      <c r="BQ174" s="8">
        <f>IF(_xlfn.XLOOKUP($B174,'ELC TECH'!$H:$H,'ELC TECH'!$E:$E)="Non Dispatchable",IFERROR($AX174*_xlfn.XLOOKUP($C174,$BM$1:$BM$3,BQ$1:BQ$3)/SUMPRODUCT(_xlfn.XLOOKUP($C174,$BM$1:$BM$3,$BN$1:$BY$3),$BN$4:$BY$4),""),
"")</f>
        <v>0</v>
      </c>
      <c r="BR174" s="8">
        <f>IF(_xlfn.XLOOKUP($B174,'ELC TECH'!$H:$H,'ELC TECH'!$E:$E)="Non Dispatchable",IFERROR($AX174*_xlfn.XLOOKUP($C174,$BM$1:$BM$3,BR$1:BR$3)/SUMPRODUCT(_xlfn.XLOOKUP($C174,$BM$1:$BM$3,$BN$1:$BY$3),$BN$4:$BY$4),""),
"")</f>
        <v>0.21805701824384752</v>
      </c>
      <c r="BS174" s="8">
        <f>IF(_xlfn.XLOOKUP($B174,'ELC TECH'!$H:$H,'ELC TECH'!$E:$E)="Non Dispatchable",IFERROR($AX174*_xlfn.XLOOKUP($C174,$BM$1:$BM$3,BS$1:BS$3)/SUMPRODUCT(_xlfn.XLOOKUP($C174,$BM$1:$BM$3,$BN$1:$BY$3),$BN$4:$BY$4),""),
"")</f>
        <v>0.21805701824384752</v>
      </c>
      <c r="BT174" s="8">
        <f>IF(_xlfn.XLOOKUP($B174,'ELC TECH'!$H:$H,'ELC TECH'!$E:$E)="Non Dispatchable",IFERROR($AX174*_xlfn.XLOOKUP($C174,$BM$1:$BM$3,BT$1:BT$3)/SUMPRODUCT(_xlfn.XLOOKUP($C174,$BM$1:$BM$3,$BN$1:$BY$3),$BN$4:$BY$4),""),
"")</f>
        <v>2.1805701824384752E-2</v>
      </c>
      <c r="BU174" s="8">
        <f>IF(_xlfn.XLOOKUP($B174,'ELC TECH'!$H:$H,'ELC TECH'!$E:$E)="Non Dispatchable",IFERROR($AX174*_xlfn.XLOOKUP($C174,$BM$1:$BM$3,BU$1:BU$3)/SUMPRODUCT(_xlfn.XLOOKUP($C174,$BM$1:$BM$3,$BN$1:$BY$3),$BN$4:$BY$4),""),
"")</f>
        <v>0</v>
      </c>
      <c r="BV174" s="8">
        <f>IF(_xlfn.XLOOKUP($B174,'ELC TECH'!$H:$H,'ELC TECH'!$E:$E)="Non Dispatchable",IFERROR($AX174*_xlfn.XLOOKUP($C174,$BM$1:$BM$3,BV$1:BV$3)/SUMPRODUCT(_xlfn.XLOOKUP($C174,$BM$1:$BM$3,$BN$1:$BY$3),$BN$4:$BY$4),""),
"")</f>
        <v>0.18242361591137418</v>
      </c>
      <c r="BW174" s="8">
        <f>IF(_xlfn.XLOOKUP($B174,'ELC TECH'!$H:$H,'ELC TECH'!$E:$E)="Non Dispatchable",IFERROR($AX174*_xlfn.XLOOKUP($C174,$BM$1:$BM$3,BW$1:BW$3)/SUMPRODUCT(_xlfn.XLOOKUP($C174,$BM$1:$BM$3,$BN$1:$BY$3),$BN$4:$BY$4),""),
"")</f>
        <v>0.18242361591137418</v>
      </c>
      <c r="BX174" s="8">
        <f>IF(_xlfn.XLOOKUP($B174,'ELC TECH'!$H:$H,'ELC TECH'!$E:$E)="Non Dispatchable",IFERROR($AX174*_xlfn.XLOOKUP($C174,$BM$1:$BM$3,BX$1:BX$3)/SUMPRODUCT(_xlfn.XLOOKUP($C174,$BM$1:$BM$3,$BN$1:$BY$3),$BN$4:$BY$4),""),
"")</f>
        <v>1.8242361591137419E-2</v>
      </c>
      <c r="BY174" s="8">
        <f>IF(_xlfn.XLOOKUP($B174,'ELC TECH'!$H:$H,'ELC TECH'!$E:$E)="Non Dispatchable",IFERROR($AX174*_xlfn.XLOOKUP($C174,$BM$1:$BM$3,BY$1:BY$3)/SUMPRODUCT(_xlfn.XLOOKUP($C174,$BM$1:$BM$3,$BN$1:$BY$3),$BN$4:$BY$4),""),
"")</f>
        <v>0</v>
      </c>
      <c r="BZ174" s="8">
        <f>IF(_xlfn.XLOOKUP($B174,'ELC TECH'!$H:$H,'ELC TECH'!$E:$E)="Non Dispatchable",IFERROR($AX174*_xlfn.XLOOKUP($C174,$BM$1:$BM$3,BZ$1:BZ$3)/SUMPRODUCT(_xlfn.XLOOKUP($C174,$BM$1:$BM$3,$BN$1:$BY$3),$BN$4:$BY$4),""),
"")</f>
        <v>0.18932988666422626</v>
      </c>
      <c r="CA174" s="8">
        <f>IF(_xlfn.XLOOKUP($B174,'ELC TECH'!$H:$H,'ELC TECH'!$E:$E)="Non Dispatchable",IFERROR($AX174*_xlfn.XLOOKUP($C174,$BM$1:$BM$3,CA$1:CA$3)/SUMPRODUCT(_xlfn.XLOOKUP($C174,$BM$1:$BM$3,$BN$1:$BY$3),$BN$4:$BY$4),""),
"")</f>
        <v>0.18932988666422626</v>
      </c>
      <c r="CB174" s="8">
        <f>IF(_xlfn.XLOOKUP($B174,'ELC TECH'!$H:$H,'ELC TECH'!$E:$E)="Non Dispatchable",IFERROR($AX174*_xlfn.XLOOKUP($C174,$BM$1:$BM$3,CB$1:CB$3)/SUMPRODUCT(_xlfn.XLOOKUP($C174,$BM$1:$BM$3,$BN$1:$BY$3),$BN$4:$BY$4),""),
"")</f>
        <v>1.8932988666422627E-2</v>
      </c>
      <c r="CC174" s="8">
        <f>IF(_xlfn.XLOOKUP($B174,'ELC TECH'!$H:$H,'ELC TECH'!$E:$E)="Non Dispatchable",IFERROR($AX174*_xlfn.XLOOKUP($C174,$BM$1:$BM$3,CC$1:CC$3)/SUMPRODUCT(_xlfn.XLOOKUP($C174,$BM$1:$BM$3,$BN$1:$BY$3),$BN$4:$BY$4),""),
"")</f>
        <v>0</v>
      </c>
      <c r="CD174" s="8">
        <f>IF(_xlfn.XLOOKUP($B174,'ELC TECH'!$H:$H,'ELC TECH'!$E:$E)="Non Dispatchable",IFERROR($AX174*_xlfn.XLOOKUP($C174,$BM$1:$BM$3,CD$1:CD$3)/SUMPRODUCT(_xlfn.XLOOKUP($C174,$BM$1:$BM$3,$BN$1:$BY$3),$BN$4:$BY$4),""),
"")</f>
        <v>0.21805701824384752</v>
      </c>
      <c r="CE174" s="8">
        <f>IF(_xlfn.XLOOKUP($B174,'ELC TECH'!$H:$H,'ELC TECH'!$E:$E)="Non Dispatchable",IFERROR($AX174*_xlfn.XLOOKUP($C174,$BM$1:$BM$3,CE$1:CE$3)/SUMPRODUCT(_xlfn.XLOOKUP($C174,$BM$1:$BM$3,$BN$1:$BY$3),$BN$4:$BY$4),""),
"")</f>
        <v>0.21805701824384752</v>
      </c>
      <c r="CF174" s="8">
        <f>IF(_xlfn.XLOOKUP($B174,'ELC TECH'!$H:$H,'ELC TECH'!$E:$E)="Non Dispatchable",IFERROR($AX174*_xlfn.XLOOKUP($C174,$BM$1:$BM$3,CF$1:CF$3)/SUMPRODUCT(_xlfn.XLOOKUP($C174,$BM$1:$BM$3,$BN$1:$BY$3),$BN$4:$BY$4),""),
"")</f>
        <v>2.1805701824384752E-2</v>
      </c>
      <c r="CG174" s="8">
        <f>IF(_xlfn.XLOOKUP($B174,'ELC TECH'!$H:$H,'ELC TECH'!$E:$E)="Non Dispatchable",IFERROR($AX174*_xlfn.XLOOKUP($C174,$BM$1:$BM$3,CG$1:CG$3)/SUMPRODUCT(_xlfn.XLOOKUP($C174,$BM$1:$BM$3,$BN$1:$BY$3),$BN$4:$BY$4),""),
"")</f>
        <v>0</v>
      </c>
      <c r="CH174" s="8">
        <f>IF(_xlfn.XLOOKUP($B174,'ELC TECH'!$H:$H,'ELC TECH'!$E:$E)="Non Dispatchable",IFERROR($AX174*_xlfn.XLOOKUP($C174,$BM$1:$BM$3,CH$1:CH$3)/SUMPRODUCT(_xlfn.XLOOKUP($C174,$BM$1:$BM$3,$BN$1:$BY$3),$BN$4:$BY$4),""),
"")</f>
        <v>0.18242361591137418</v>
      </c>
      <c r="CI174" s="8">
        <f>IF(_xlfn.XLOOKUP($B174,'ELC TECH'!$H:$H,'ELC TECH'!$E:$E)="Non Dispatchable",IFERROR($AX174*_xlfn.XLOOKUP($C174,$BM$1:$BM$3,CI$1:CI$3)/SUMPRODUCT(_xlfn.XLOOKUP($C174,$BM$1:$BM$3,$BN$1:$BY$3),$BN$4:$BY$4),""),
"")</f>
        <v>0.18242361591137418</v>
      </c>
      <c r="CJ174" s="8">
        <f>IF(_xlfn.XLOOKUP($B174,'ELC TECH'!$H:$H,'ELC TECH'!$E:$E)="Non Dispatchable",IFERROR($AX174*_xlfn.XLOOKUP($C174,$BM$1:$BM$3,CJ$1:CJ$3)/SUMPRODUCT(_xlfn.XLOOKUP($C174,$BM$1:$BM$3,$BN$1:$BY$3),$BN$4:$BY$4),""),
"")</f>
        <v>1.8242361591137419E-2</v>
      </c>
      <c r="CK174" s="8">
        <f>IF(_xlfn.XLOOKUP($B174,'ELC TECH'!$H:$H,'ELC TECH'!$E:$E)="Non Dispatchable",IFERROR($AX174*_xlfn.XLOOKUP($C174,$BM$1:$BM$3,CK$1:CK$3)/SUMPRODUCT(_xlfn.XLOOKUP($C174,$BM$1:$BM$3,$BN$1:$BY$3),$BN$4:$BY$4),""),
"")</f>
        <v>0</v>
      </c>
      <c r="CL174" s="8" t="str">
        <f>IF(_xlfn.XLOOKUP($B174,'ELC TECH'!$H:$H,'ELC TECH'!$E:$E)="Storage",CL$4*$BF174,"")</f>
        <v/>
      </c>
      <c r="CM174" s="8" t="str">
        <f>IF(_xlfn.XLOOKUP($B174,'ELC TECH'!$H:$H,'ELC TECH'!$E:$E)="Storage",CM$4*$BF174,"")</f>
        <v/>
      </c>
      <c r="CN174" s="8" t="str">
        <f>IF(_xlfn.XLOOKUP($B174,'ELC TECH'!$H:$H,'ELC TECH'!$E:$E)="Storage",CN$4*$BF174,"")</f>
        <v/>
      </c>
      <c r="CO174" s="8" t="str">
        <f>IF(_xlfn.XLOOKUP($B174,'ELC TECH'!$H:$H,'ELC TECH'!$E:$E)="Storage",CO$4*$BF174,"")</f>
        <v/>
      </c>
      <c r="CP174" s="8" t="str">
        <f>IF(_xlfn.XLOOKUP($B174,'ELC TECH'!$H:$H,'ELC TECH'!$E:$E)="Storage",CP$4*$BF174,"")</f>
        <v/>
      </c>
      <c r="CQ174" s="8" t="str">
        <f>IF(_xlfn.XLOOKUP($B174,'ELC TECH'!$H:$H,'ELC TECH'!$E:$E)="Storage",CQ$4*$BF174,"")</f>
        <v/>
      </c>
      <c r="CR174" s="8" t="str">
        <f>IF(_xlfn.XLOOKUP($B174,'ELC TECH'!$H:$H,'ELC TECH'!$E:$E)="Storage",CR$4*$BF174,"")</f>
        <v/>
      </c>
      <c r="CS174" s="8" t="str">
        <f>IF(_xlfn.XLOOKUP($B174,'ELC TECH'!$H:$H,'ELC TECH'!$E:$E)="Storage",CS$4*$BF174,"")</f>
        <v/>
      </c>
      <c r="CT174" s="8" t="str">
        <f>IF(_xlfn.XLOOKUP($B174,'ELC TECH'!$H:$H,'ELC TECH'!$E:$E)="Storage",CT$4*$BF174,"")</f>
        <v/>
      </c>
      <c r="CU174" s="8" t="str">
        <f>IF(_xlfn.XLOOKUP($B174,'ELC TECH'!$H:$H,'ELC TECH'!$E:$E)="Storage",CU$4*$BF174,"")</f>
        <v/>
      </c>
      <c r="CV174" s="8" t="str">
        <f>IF(_xlfn.XLOOKUP($B174,'ELC TECH'!$H:$H,'ELC TECH'!$E:$E)="Storage",CV$4*$BF174,"")</f>
        <v/>
      </c>
      <c r="CW174" s="8" t="str">
        <f>IF(_xlfn.XLOOKUP($B174,'ELC TECH'!$H:$H,'ELC TECH'!$E:$E)="Storage",CW$4*$BF174,"")</f>
        <v/>
      </c>
      <c r="CX174" s="8" t="str">
        <f>IF(_xlfn.XLOOKUP($B174,'ELC TECH'!$H:$H,'ELC TECH'!$E:$E)="Storage",CX$4*$BF174,"")</f>
        <v/>
      </c>
      <c r="CY174" s="8" t="str">
        <f>IF(_xlfn.XLOOKUP($B174,'ELC TECH'!$H:$H,'ELC TECH'!$E:$E)="Storage",CY$4*$BF174,"")</f>
        <v/>
      </c>
      <c r="CZ174" s="8" t="str">
        <f>IF(_xlfn.XLOOKUP($B174,'ELC TECH'!$H:$H,'ELC TECH'!$E:$E)="Storage",CZ$4*$BF174,"")</f>
        <v/>
      </c>
      <c r="DA174" s="8" t="str">
        <f>IF(_xlfn.XLOOKUP($B174,'ELC TECH'!$H:$H,'ELC TECH'!$E:$E)="Storage",DA$4*$BF174,"")</f>
        <v/>
      </c>
      <c r="DB174" s="8" t="str">
        <f>IF(_xlfn.XLOOKUP($B174,'ELC TECH'!$H:$H,'ELC TECH'!$E:$E)="Storage",DB$4*$BF174,"")</f>
        <v/>
      </c>
      <c r="DC174" s="8" t="str">
        <f>IF(_xlfn.XLOOKUP($B174,'ELC TECH'!$H:$H,'ELC TECH'!$E:$E)="Storage",DC$4*$BF174,"")</f>
        <v/>
      </c>
      <c r="DD174" s="8" t="str">
        <f>IF(_xlfn.XLOOKUP($B174,'ELC TECH'!$H:$H,'ELC TECH'!$E:$E)="Storage",DD$4*$BF174,"")</f>
        <v/>
      </c>
      <c r="DE174" s="8" t="str">
        <f>IF(_xlfn.XLOOKUP($B174,'ELC TECH'!$H:$H,'ELC TECH'!$E:$E)="Storage",DE$4*$BF174,"")</f>
        <v/>
      </c>
      <c r="DF174" s="8" t="str">
        <f>IF(_xlfn.XLOOKUP($B174,'ELC TECH'!$H:$H,'ELC TECH'!$E:$E)="Storage",DF$4*$BF174,"")</f>
        <v/>
      </c>
      <c r="DG174" s="8" t="str">
        <f>IF(_xlfn.XLOOKUP($B174,'ELC TECH'!$H:$H,'ELC TECH'!$E:$E)="Storage",DG$4*$BF174,"")</f>
        <v/>
      </c>
      <c r="DH174" s="8" t="str">
        <f>IF(_xlfn.XLOOKUP($B174,'ELC TECH'!$H:$H,'ELC TECH'!$E:$E)="Storage",DH$4*$BF174,"")</f>
        <v/>
      </c>
      <c r="DI174" s="8" t="str">
        <f>IF(_xlfn.XLOOKUP($B174,'ELC TECH'!$H:$H,'ELC TECH'!$E:$E)="Storage",DI$4*$BF174,"")</f>
        <v/>
      </c>
    </row>
    <row r="175" spans="2:113" x14ac:dyDescent="0.25">
      <c r="B175" t="str">
        <f>IF('ELC TECH'!I168=0,"*",'ELC TECH'!H168)</f>
        <v>ELCSOLDCECDPV120</v>
      </c>
      <c r="C175" t="str">
        <f>IF(_xlfn.XLOOKUP(_xlfn.XLOOKUP(B175,'ELC TECH'!$H:$H,'ELC TECH'!$G:$G),List!C:C,List!B:B)="STG",D175,"ELC"&amp;_xlfn.XLOOKUP(_xlfn.XLOOKUP(B175,'ELC TECH'!H:H,'ELC TECH'!G:G),List!C:C,List!B:B))</f>
        <v>ELCSOL</v>
      </c>
      <c r="D175" t="s">
        <v>546</v>
      </c>
      <c r="E175">
        <f>_xlfn.XLOOKUP(B175,'ELC TECH'!H:H,'ELC TECH'!D:D)</f>
        <v>2020</v>
      </c>
      <c r="F175">
        <f>_xlfn.XLOOKUP(B175,'ELC TECH'!H:H,'ELC TECH'!K:K)</f>
        <v>30</v>
      </c>
      <c r="G175">
        <f t="shared" si="9"/>
        <v>31.535999999999998</v>
      </c>
      <c r="H175">
        <f>IF(_xlfn.XLOOKUP(B175,'ELC TECH'!$H:$H,'ELC TECH'!$E:$E)="Storage",0.3,IF(_xlfn.XLOOKUP(B175,'ELC TECH'!$H:$H,'ELC TECH'!$E:$E)="Baseload",0.9,IF(_xlfn.XLOOKUP(B175,'ELC TECH'!$H:$H,'ELC TECH'!$E:$E)="Non Dispatchable",0.05,IF(_xlfn.XLOOKUP(B175,'ELC TECH'!$H:$H,'ELC TECH'!$E:$E)="Dispatchable",0.9,1))))</f>
        <v>0.05</v>
      </c>
      <c r="I175" s="13">
        <f>IF(_xlfn.XLOOKUP(B175,'ELC TECH'!H:H,'ELC TECH'!J:J)="","",_xlfn.XLOOKUP(B175,'ELC TECH'!H:H,'ELC TECH'!J:J))</f>
        <v>700.17955000000006</v>
      </c>
      <c r="J175" s="12">
        <f>IF(_xlfn.XLOOKUP($B175,'ELC TECH'!$H:$H,'ELC TECH'!$E:$E)="Storage","",IF(_xlfn.XLOOKUP($B175,'ELC TECH'!$H:$H,'ELC TECH'!AK:AK)="",1,_xlfn.XLOOKUP($B175,'ELC TECH'!$H:$H,'ELC TECH'!AK:AK)))</f>
        <v>1</v>
      </c>
      <c r="K175" s="12">
        <f>IF(_xlfn.XLOOKUP($B175,'ELC TECH'!$H:$H,'ELC TECH'!$E:$E)="Storage","",IF(_xlfn.XLOOKUP($B175,'ELC TECH'!$H:$H,'ELC TECH'!AL:AL)="",1,_xlfn.XLOOKUP($B175,'ELC TECH'!$H:$H,'ELC TECH'!AL:AL)))</f>
        <v>1</v>
      </c>
      <c r="L175" s="12">
        <f>IF(_xlfn.XLOOKUP($B175,'ELC TECH'!$H:$H,'ELC TECH'!$E:$E)="Storage","",IF(_xlfn.XLOOKUP($B175,'ELC TECH'!$H:$H,'ELC TECH'!AM:AM)="",1,_xlfn.XLOOKUP($B175,'ELC TECH'!$H:$H,'ELC TECH'!AM:AM)))</f>
        <v>1</v>
      </c>
      <c r="M175" s="12">
        <f>IF(_xlfn.XLOOKUP($B175,'ELC TECH'!$H:$H,'ELC TECH'!$E:$E)="Storage","",IF(_xlfn.XLOOKUP($B175,'ELC TECH'!$H:$H,'ELC TECH'!AN:AN)="",1,_xlfn.XLOOKUP($B175,'ELC TECH'!$H:$H,'ELC TECH'!AN:AN)))</f>
        <v>1</v>
      </c>
      <c r="N175" s="12">
        <f>IF(_xlfn.XLOOKUP($B175,'ELC TECH'!$H:$H,'ELC TECH'!$E:$E)="Storage","",IF(_xlfn.XLOOKUP($B175,'ELC TECH'!$H:$H,'ELC TECH'!AO:AO)="",1,_xlfn.XLOOKUP($B175,'ELC TECH'!$H:$H,'ELC TECH'!AO:AO)))</f>
        <v>1</v>
      </c>
      <c r="O175" s="12">
        <f>IF(_xlfn.XLOOKUP($B175,'ELC TECH'!$H:$H,'ELC TECH'!$E:$E)="Storage","",IF(_xlfn.XLOOKUP($B175,'ELC TECH'!$H:$H,'ELC TECH'!AP:AP)="",1,_xlfn.XLOOKUP($B175,'ELC TECH'!$H:$H,'ELC TECH'!AP:AP)))</f>
        <v>1</v>
      </c>
      <c r="P175" s="12">
        <f>IF(_xlfn.XLOOKUP($B175,'ELC TECH'!$H:$H,'ELC TECH'!$E:$E)="Storage","",IF(_xlfn.XLOOKUP($B175,'ELC TECH'!$H:$H,'ELC TECH'!AQ:AQ)="",1,_xlfn.XLOOKUP($B175,'ELC TECH'!$H:$H,'ELC TECH'!AQ:AQ)))</f>
        <v>1</v>
      </c>
      <c r="Q175" s="12">
        <f>IF(_xlfn.XLOOKUP($B175,'ELC TECH'!$H:$H,'ELC TECH'!$E:$E)="Storage","",IF(_xlfn.XLOOKUP($B175,'ELC TECH'!$H:$H,'ELC TECH'!AR:AR)="",1,_xlfn.XLOOKUP($B175,'ELC TECH'!$H:$H,'ELC TECH'!AR:AR)))</f>
        <v>1</v>
      </c>
      <c r="R175" s="12" t="str">
        <f>IF(_xlfn.XLOOKUP($B175,'ELC TECH'!$H:$H,'ELC TECH'!$E:$E)&lt;&gt;"Storage","",IF(_xlfn.XLOOKUP($B175,'ELC TECH'!$H:$H,'ELC TECH'!AK:AK)="",0.8,_xlfn.XLOOKUP($B175,'ELC TECH'!$H:$H,'ELC TECH'!AK:AK)))</f>
        <v/>
      </c>
      <c r="S175" s="12" t="str">
        <f>IF(_xlfn.XLOOKUP($B175,'ELC TECH'!$H:$H,'ELC TECH'!$E:$E)&lt;&gt;"Storage","",IF(_xlfn.XLOOKUP($B175,'ELC TECH'!$H:$H,'ELC TECH'!AL:AL)="",0.8,_xlfn.XLOOKUP($B175,'ELC TECH'!$H:$H,'ELC TECH'!AL:AL)))</f>
        <v/>
      </c>
      <c r="T175" s="12" t="str">
        <f>IF(_xlfn.XLOOKUP($B175,'ELC TECH'!$H:$H,'ELC TECH'!$E:$E)&lt;&gt;"Storage","",IF(_xlfn.XLOOKUP($B175,'ELC TECH'!$H:$H,'ELC TECH'!AM:AM)="",0.8,_xlfn.XLOOKUP($B175,'ELC TECH'!$H:$H,'ELC TECH'!AM:AM)))</f>
        <v/>
      </c>
      <c r="U175" s="12" t="str">
        <f>IF(_xlfn.XLOOKUP($B175,'ELC TECH'!$H:$H,'ELC TECH'!$E:$E)&lt;&gt;"Storage","",IF(_xlfn.XLOOKUP($B175,'ELC TECH'!$H:$H,'ELC TECH'!AN:AN)="",0.8,_xlfn.XLOOKUP($B175,'ELC TECH'!$H:$H,'ELC TECH'!AN:AN)))</f>
        <v/>
      </c>
      <c r="V175" s="12" t="str">
        <f>IF(_xlfn.XLOOKUP($B175,'ELC TECH'!$H:$H,'ELC TECH'!$E:$E)&lt;&gt;"Storage","",IF(_xlfn.XLOOKUP($B175,'ELC TECH'!$H:$H,'ELC TECH'!AO:AO)="",0.8,_xlfn.XLOOKUP($B175,'ELC TECH'!$H:$H,'ELC TECH'!AO:AO)))</f>
        <v/>
      </c>
      <c r="W175" s="12" t="str">
        <f>IF(_xlfn.XLOOKUP($B175,'ELC TECH'!$H:$H,'ELC TECH'!$E:$E)&lt;&gt;"Storage","",IF(_xlfn.XLOOKUP($B175,'ELC TECH'!$H:$H,'ELC TECH'!AP:AP)="",0.8,_xlfn.XLOOKUP($B175,'ELC TECH'!$H:$H,'ELC TECH'!AP:AP)))</f>
        <v/>
      </c>
      <c r="X175" s="12" t="str">
        <f>IF(_xlfn.XLOOKUP($B175,'ELC TECH'!$H:$H,'ELC TECH'!$E:$E)&lt;&gt;"Storage","",IF(_xlfn.XLOOKUP($B175,'ELC TECH'!$H:$H,'ELC TECH'!AQ:AQ)="",0.8,_xlfn.XLOOKUP($B175,'ELC TECH'!$H:$H,'ELC TECH'!AQ:AQ)))</f>
        <v/>
      </c>
      <c r="Y175" s="12" t="str">
        <f>IF(_xlfn.XLOOKUP($B175,'ELC TECH'!$H:$H,'ELC TECH'!$E:$E)&lt;&gt;"Storage","",IF(_xlfn.XLOOKUP($B175,'ELC TECH'!$H:$H,'ELC TECH'!AR:AR)="",0.8,_xlfn.XLOOKUP($B175,'ELC TECH'!$H:$H,'ELC TECH'!AR:AR)))</f>
        <v/>
      </c>
      <c r="Z175" s="15">
        <f>_xlfn.XLOOKUP($B175,'ELC TECH'!$H:$H,'ELC TECH'!M:M)</f>
        <v>1912.264310519447</v>
      </c>
      <c r="AA175" s="15">
        <f>_xlfn.XLOOKUP($B175,'ELC TECH'!$H:$H,'ELC TECH'!N:N)</f>
        <v>1887.703407882211</v>
      </c>
      <c r="AB175" s="15">
        <f>_xlfn.XLOOKUP($B175,'ELC TECH'!$H:$H,'ELC TECH'!O:O)</f>
        <v>1569.6288150057401</v>
      </c>
      <c r="AC175" s="15">
        <f>_xlfn.XLOOKUP($B175,'ELC TECH'!$H:$H,'ELC TECH'!P:P)</f>
        <v>1251.5542221292801</v>
      </c>
      <c r="AD175" s="15">
        <f>_xlfn.XLOOKUP($B175,'ELC TECH'!$H:$H,'ELC TECH'!Q:Q)</f>
        <v>1147.154572863142</v>
      </c>
      <c r="AE175" s="15">
        <f>_xlfn.XLOOKUP($B175,'ELC TECH'!$H:$H,'ELC TECH'!R:R)</f>
        <v>1042.7549235970189</v>
      </c>
      <c r="AF175" s="15">
        <f>_xlfn.XLOOKUP($B175,'ELC TECH'!$H:$H,'ELC TECH'!S:S)</f>
        <v>938.35527433088987</v>
      </c>
      <c r="AG175" s="15">
        <f>_xlfn.XLOOKUP($B175,'ELC TECH'!$H:$H,'ELC TECH'!T:T)</f>
        <v>938.35527433088987</v>
      </c>
      <c r="AH175" s="15">
        <f>_xlfn.XLOOKUP($B175,'ELC TECH'!$H:$H,'ELC TECH'!U:U)</f>
        <v>20.242248163120561</v>
      </c>
      <c r="AI175" s="15">
        <f>_xlfn.XLOOKUP($B175,'ELC TECH'!$H:$H,'ELC TECH'!V:V)</f>
        <v>19.891925366567069</v>
      </c>
      <c r="AJ175" s="15">
        <f>_xlfn.XLOOKUP($B175,'ELC TECH'!$H:$H,'ELC TECH'!W:W)</f>
        <v>17.127058056750311</v>
      </c>
      <c r="AK175" s="15">
        <f>_xlfn.XLOOKUP($B175,'ELC TECH'!$H:$H,'ELC TECH'!X:X)</f>
        <v>14.36219074693344</v>
      </c>
      <c r="AL175" s="15">
        <f>_xlfn.XLOOKUP($B175,'ELC TECH'!$H:$H,'ELC TECH'!Y:Y)</f>
        <v>13.45469551192622</v>
      </c>
      <c r="AM175" s="15">
        <f>_xlfn.XLOOKUP($B175,'ELC TECH'!$H:$H,'ELC TECH'!Z:Z)</f>
        <v>12.547200276919</v>
      </c>
      <c r="AN175" s="15">
        <f>_xlfn.XLOOKUP($B175,'ELC TECH'!$H:$H,'ELC TECH'!AA:AA)</f>
        <v>11.63970504191178</v>
      </c>
      <c r="AO175" s="15">
        <f>_xlfn.XLOOKUP($B175,'ELC TECH'!$H:$H,'ELC TECH'!AB:AB)</f>
        <v>11.63970504191178</v>
      </c>
      <c r="AP175" s="15">
        <f>_xlfn.XLOOKUP($B175,'ELC TECH'!$H:$H,'ELC TECH'!AC:AC)</f>
        <v>0</v>
      </c>
      <c r="AQ175" s="15">
        <f>_xlfn.XLOOKUP($B175,'ELC TECH'!$H:$H,'ELC TECH'!AD:AD)</f>
        <v>0</v>
      </c>
      <c r="AR175" s="15">
        <f>_xlfn.XLOOKUP($B175,'ELC TECH'!$H:$H,'ELC TECH'!AE:AE)</f>
        <v>0</v>
      </c>
      <c r="AS175" s="15">
        <f>_xlfn.XLOOKUP($B175,'ELC TECH'!$H:$H,'ELC TECH'!AF:AF)</f>
        <v>0</v>
      </c>
      <c r="AT175" s="15">
        <f>_xlfn.XLOOKUP($B175,'ELC TECH'!$H:$H,'ELC TECH'!AG:AG)</f>
        <v>0</v>
      </c>
      <c r="AU175" s="15">
        <f>_xlfn.XLOOKUP($B175,'ELC TECH'!$H:$H,'ELC TECH'!AH:AH)</f>
        <v>0</v>
      </c>
      <c r="AV175" s="15">
        <f>_xlfn.XLOOKUP($B175,'ELC TECH'!$H:$H,'ELC TECH'!AI:AI)</f>
        <v>0</v>
      </c>
      <c r="AW175" s="15">
        <f>_xlfn.XLOOKUP($B175,'ELC TECH'!$H:$H,'ELC TECH'!AJ:AJ)</f>
        <v>0</v>
      </c>
      <c r="AX175" s="12">
        <f>IF(_xlfn.XLOOKUP($B175,'ELC TECH'!$H:$H,'ELC TECH'!$E:$E)="Storage","",_xlfn.XLOOKUP($B175,'ELC TECH'!$H:$H,'ELC TECH'!AS:AS))</f>
        <v>0.18816672532975201</v>
      </c>
      <c r="AY175" s="12">
        <f>IF(_xlfn.XLOOKUP($B175,'ELC TECH'!$H:$H,'ELC TECH'!$E:$E)="Storage","",_xlfn.XLOOKUP($B175,'ELC TECH'!$H:$H,'ELC TECH'!AT:AT))</f>
        <v>0.19197642713995999</v>
      </c>
      <c r="AZ175" s="12">
        <f>IF(_xlfn.XLOOKUP($B175,'ELC TECH'!$H:$H,'ELC TECH'!$E:$E)="Storage","",_xlfn.XLOOKUP($B175,'ELC TECH'!$H:$H,'ELC TECH'!AU:AU))</f>
        <v>0.19673855440272101</v>
      </c>
      <c r="BA175" s="12">
        <f>IF(_xlfn.XLOOKUP($B175,'ELC TECH'!$H:$H,'ELC TECH'!$E:$E)="Storage","",_xlfn.XLOOKUP($B175,'ELC TECH'!$H:$H,'ELC TECH'!AV:AV))</f>
        <v>0.20150068166548099</v>
      </c>
      <c r="BB175" s="12">
        <f>IF(_xlfn.XLOOKUP($B175,'ELC TECH'!$H:$H,'ELC TECH'!$E:$E)="Storage","",_xlfn.XLOOKUP($B175,'ELC TECH'!$H:$H,'ELC TECH'!AW:AW))</f>
        <v>0.20483787924293001</v>
      </c>
      <c r="BC175" s="12">
        <f>IF(_xlfn.XLOOKUP($B175,'ELC TECH'!$H:$H,'ELC TECH'!$E:$E)="Storage","",_xlfn.XLOOKUP($B175,'ELC TECH'!$H:$H,'ELC TECH'!AX:AX))</f>
        <v>0.208175076820379</v>
      </c>
      <c r="BD175" s="12">
        <f>IF(_xlfn.XLOOKUP($B175,'ELC TECH'!$H:$H,'ELC TECH'!$E:$E)="Storage","",_xlfn.XLOOKUP($B175,'ELC TECH'!$H:$H,'ELC TECH'!AY:AY))</f>
        <v>0.21151227439782799</v>
      </c>
      <c r="BE175" s="12">
        <f>IF(_xlfn.XLOOKUP($B175,'ELC TECH'!$H:$H,'ELC TECH'!$E:$E)="Storage","",_xlfn.XLOOKUP($B175,'ELC TECH'!$H:$H,'ELC TECH'!AZ:AZ))</f>
        <v>0.21151227439782799</v>
      </c>
      <c r="BF175" s="12" t="str">
        <f>IF(_xlfn.XLOOKUP($B175,'ELC TECH'!$H:$H,'ELC TECH'!$E:$E)="Storage",_xlfn.XLOOKUP($B175,'ELC TECH'!$H:$H,'ELC TECH'!AS:AS),"")</f>
        <v/>
      </c>
      <c r="BG175" s="12" t="str">
        <f>IF(_xlfn.XLOOKUP($B175,'ELC TECH'!$H:$H,'ELC TECH'!$E:$E)="Storage",_xlfn.XLOOKUP($B175,'ELC TECH'!$H:$H,'ELC TECH'!AT:AT),"")</f>
        <v/>
      </c>
      <c r="BH175" s="12" t="str">
        <f>IF(_xlfn.XLOOKUP($B175,'ELC TECH'!$H:$H,'ELC TECH'!$E:$E)="Storage",_xlfn.XLOOKUP($B175,'ELC TECH'!$H:$H,'ELC TECH'!AU:AU),"")</f>
        <v/>
      </c>
      <c r="BI175" s="12" t="str">
        <f>IF(_xlfn.XLOOKUP($B175,'ELC TECH'!$H:$H,'ELC TECH'!$E:$E)="Storage",_xlfn.XLOOKUP($B175,'ELC TECH'!$H:$H,'ELC TECH'!AV:AV),"")</f>
        <v/>
      </c>
      <c r="BJ175" s="12" t="str">
        <f>IF(_xlfn.XLOOKUP($B175,'ELC TECH'!$H:$H,'ELC TECH'!$E:$E)="Storage",_xlfn.XLOOKUP($B175,'ELC TECH'!$H:$H,'ELC TECH'!AW:AW),"")</f>
        <v/>
      </c>
      <c r="BK175" s="12" t="str">
        <f>IF(_xlfn.XLOOKUP($B175,'ELC TECH'!$H:$H,'ELC TECH'!$E:$E)="Storage",_xlfn.XLOOKUP($B175,'ELC TECH'!$H:$H,'ELC TECH'!AX:AX),"")</f>
        <v/>
      </c>
      <c r="BL175" s="12" t="str">
        <f>IF(_xlfn.XLOOKUP($B175,'ELC TECH'!$H:$H,'ELC TECH'!$E:$E)="Storage",_xlfn.XLOOKUP($B175,'ELC TECH'!$H:$H,'ELC TECH'!AY:AY),"")</f>
        <v/>
      </c>
      <c r="BM175" s="12" t="str">
        <f>IF(_xlfn.XLOOKUP($B175,'ELC TECH'!$H:$H,'ELC TECH'!$E:$E)="Storage",_xlfn.XLOOKUP($B175,'ELC TECH'!$H:$H,'ELC TECH'!AZ:AZ),"")</f>
        <v/>
      </c>
      <c r="BN175" s="8">
        <f>IF(_xlfn.XLOOKUP($B175,'ELC TECH'!$H:$H,'ELC TECH'!$E:$E)="Non Dispatchable",IFERROR($AX175*_xlfn.XLOOKUP($C175,$BM$1:$BM$3,BN$1:BN$3)/SUMPRODUCT(_xlfn.XLOOKUP($C175,$BM$1:$BM$3,$BN$1:$BY$3),$BN$4:$BY$4),""),
"")</f>
        <v>0.29450018771628594</v>
      </c>
      <c r="BO175" s="8">
        <f>IF(_xlfn.XLOOKUP($B175,'ELC TECH'!$H:$H,'ELC TECH'!$E:$E)="Non Dispatchable",IFERROR($AX175*_xlfn.XLOOKUP($C175,$BM$1:$BM$3,BO$1:BO$3)/SUMPRODUCT(_xlfn.XLOOKUP($C175,$BM$1:$BM$3,$BN$1:$BY$3),$BN$4:$BY$4),""),
"")</f>
        <v>0.29450018771628594</v>
      </c>
      <c r="BP175" s="8">
        <f>IF(_xlfn.XLOOKUP($B175,'ELC TECH'!$H:$H,'ELC TECH'!$E:$E)="Non Dispatchable",IFERROR($AX175*_xlfn.XLOOKUP($C175,$BM$1:$BM$3,BP$1:BP$3)/SUMPRODUCT(_xlfn.XLOOKUP($C175,$BM$1:$BM$3,$BN$1:$BY$3),$BN$4:$BY$4),""),
"")</f>
        <v>2.9450018771628596E-2</v>
      </c>
      <c r="BQ175" s="8">
        <f>IF(_xlfn.XLOOKUP($B175,'ELC TECH'!$H:$H,'ELC TECH'!$E:$E)="Non Dispatchable",IFERROR($AX175*_xlfn.XLOOKUP($C175,$BM$1:$BM$3,BQ$1:BQ$3)/SUMPRODUCT(_xlfn.XLOOKUP($C175,$BM$1:$BM$3,$BN$1:$BY$3),$BN$4:$BY$4),""),
"")</f>
        <v>0</v>
      </c>
      <c r="BR175" s="8">
        <f>IF(_xlfn.XLOOKUP($B175,'ELC TECH'!$H:$H,'ELC TECH'!$E:$E)="Non Dispatchable",IFERROR($AX175*_xlfn.XLOOKUP($C175,$BM$1:$BM$3,BR$1:BR$3)/SUMPRODUCT(_xlfn.XLOOKUP($C175,$BM$1:$BM$3,$BN$1:$BY$3),$BN$4:$BY$4),""),
"")</f>
        <v>0.33918486899829003</v>
      </c>
      <c r="BS175" s="8">
        <f>IF(_xlfn.XLOOKUP($B175,'ELC TECH'!$H:$H,'ELC TECH'!$E:$E)="Non Dispatchable",IFERROR($AX175*_xlfn.XLOOKUP($C175,$BM$1:$BM$3,BS$1:BS$3)/SUMPRODUCT(_xlfn.XLOOKUP($C175,$BM$1:$BM$3,$BN$1:$BY$3),$BN$4:$BY$4),""),
"")</f>
        <v>0.33918486899829003</v>
      </c>
      <c r="BT175" s="8">
        <f>IF(_xlfn.XLOOKUP($B175,'ELC TECH'!$H:$H,'ELC TECH'!$E:$E)="Non Dispatchable",IFERROR($AX175*_xlfn.XLOOKUP($C175,$BM$1:$BM$3,BT$1:BT$3)/SUMPRODUCT(_xlfn.XLOOKUP($C175,$BM$1:$BM$3,$BN$1:$BY$3),$BN$4:$BY$4),""),
"")</f>
        <v>3.3918486899829008E-2</v>
      </c>
      <c r="BU175" s="8">
        <f>IF(_xlfn.XLOOKUP($B175,'ELC TECH'!$H:$H,'ELC TECH'!$E:$E)="Non Dispatchable",IFERROR($AX175*_xlfn.XLOOKUP($C175,$BM$1:$BM$3,BU$1:BU$3)/SUMPRODUCT(_xlfn.XLOOKUP($C175,$BM$1:$BM$3,$BN$1:$BY$3),$BN$4:$BY$4),""),
"")</f>
        <v>0</v>
      </c>
      <c r="BV175" s="8">
        <f>IF(_xlfn.XLOOKUP($B175,'ELC TECH'!$H:$H,'ELC TECH'!$E:$E)="Non Dispatchable",IFERROR($AX175*_xlfn.XLOOKUP($C175,$BM$1:$BM$3,BV$1:BV$3)/SUMPRODUCT(_xlfn.XLOOKUP($C175,$BM$1:$BM$3,$BN$1:$BY$3),$BN$4:$BY$4),""),
"")</f>
        <v>0.2837575729660774</v>
      </c>
      <c r="BW175" s="8">
        <f>IF(_xlfn.XLOOKUP($B175,'ELC TECH'!$H:$H,'ELC TECH'!$E:$E)="Non Dispatchable",IFERROR($AX175*_xlfn.XLOOKUP($C175,$BM$1:$BM$3,BW$1:BW$3)/SUMPRODUCT(_xlfn.XLOOKUP($C175,$BM$1:$BM$3,$BN$1:$BY$3),$BN$4:$BY$4),""),
"")</f>
        <v>0.2837575729660774</v>
      </c>
      <c r="BX175" s="8">
        <f>IF(_xlfn.XLOOKUP($B175,'ELC TECH'!$H:$H,'ELC TECH'!$E:$E)="Non Dispatchable",IFERROR($AX175*_xlfn.XLOOKUP($C175,$BM$1:$BM$3,BX$1:BX$3)/SUMPRODUCT(_xlfn.XLOOKUP($C175,$BM$1:$BM$3,$BN$1:$BY$3),$BN$4:$BY$4),""),
"")</f>
        <v>2.8375757296607736E-2</v>
      </c>
      <c r="BY175" s="8">
        <f>IF(_xlfn.XLOOKUP($B175,'ELC TECH'!$H:$H,'ELC TECH'!$E:$E)="Non Dispatchable",IFERROR($AX175*_xlfn.XLOOKUP($C175,$BM$1:$BM$3,BY$1:BY$3)/SUMPRODUCT(_xlfn.XLOOKUP($C175,$BM$1:$BM$3,$BN$1:$BY$3),$BN$4:$BY$4),""),
"")</f>
        <v>0</v>
      </c>
      <c r="BZ175" s="8">
        <f>IF(_xlfn.XLOOKUP($B175,'ELC TECH'!$H:$H,'ELC TECH'!$E:$E)="Non Dispatchable",IFERROR($AX175*_xlfn.XLOOKUP($C175,$BM$1:$BM$3,BZ$1:BZ$3)/SUMPRODUCT(_xlfn.XLOOKUP($C175,$BM$1:$BM$3,$BN$1:$BY$3),$BN$4:$BY$4),""),
"")</f>
        <v>0.29450018771628594</v>
      </c>
      <c r="CA175" s="8">
        <f>IF(_xlfn.XLOOKUP($B175,'ELC TECH'!$H:$H,'ELC TECH'!$E:$E)="Non Dispatchable",IFERROR($AX175*_xlfn.XLOOKUP($C175,$BM$1:$BM$3,CA$1:CA$3)/SUMPRODUCT(_xlfn.XLOOKUP($C175,$BM$1:$BM$3,$BN$1:$BY$3),$BN$4:$BY$4),""),
"")</f>
        <v>0.29450018771628594</v>
      </c>
      <c r="CB175" s="8">
        <f>IF(_xlfn.XLOOKUP($B175,'ELC TECH'!$H:$H,'ELC TECH'!$E:$E)="Non Dispatchable",IFERROR($AX175*_xlfn.XLOOKUP($C175,$BM$1:$BM$3,CB$1:CB$3)/SUMPRODUCT(_xlfn.XLOOKUP($C175,$BM$1:$BM$3,$BN$1:$BY$3),$BN$4:$BY$4),""),
"")</f>
        <v>2.9450018771628596E-2</v>
      </c>
      <c r="CC175" s="8">
        <f>IF(_xlfn.XLOOKUP($B175,'ELC TECH'!$H:$H,'ELC TECH'!$E:$E)="Non Dispatchable",IFERROR($AX175*_xlfn.XLOOKUP($C175,$BM$1:$BM$3,CC$1:CC$3)/SUMPRODUCT(_xlfn.XLOOKUP($C175,$BM$1:$BM$3,$BN$1:$BY$3),$BN$4:$BY$4),""),
"")</f>
        <v>0</v>
      </c>
      <c r="CD175" s="8">
        <f>IF(_xlfn.XLOOKUP($B175,'ELC TECH'!$H:$H,'ELC TECH'!$E:$E)="Non Dispatchable",IFERROR($AX175*_xlfn.XLOOKUP($C175,$BM$1:$BM$3,CD$1:CD$3)/SUMPRODUCT(_xlfn.XLOOKUP($C175,$BM$1:$BM$3,$BN$1:$BY$3),$BN$4:$BY$4),""),
"")</f>
        <v>0.33918486899829003</v>
      </c>
      <c r="CE175" s="8">
        <f>IF(_xlfn.XLOOKUP($B175,'ELC TECH'!$H:$H,'ELC TECH'!$E:$E)="Non Dispatchable",IFERROR($AX175*_xlfn.XLOOKUP($C175,$BM$1:$BM$3,CE$1:CE$3)/SUMPRODUCT(_xlfn.XLOOKUP($C175,$BM$1:$BM$3,$BN$1:$BY$3),$BN$4:$BY$4),""),
"")</f>
        <v>0.33918486899829003</v>
      </c>
      <c r="CF175" s="8">
        <f>IF(_xlfn.XLOOKUP($B175,'ELC TECH'!$H:$H,'ELC TECH'!$E:$E)="Non Dispatchable",IFERROR($AX175*_xlfn.XLOOKUP($C175,$BM$1:$BM$3,CF$1:CF$3)/SUMPRODUCT(_xlfn.XLOOKUP($C175,$BM$1:$BM$3,$BN$1:$BY$3),$BN$4:$BY$4),""),
"")</f>
        <v>3.3918486899829008E-2</v>
      </c>
      <c r="CG175" s="8">
        <f>IF(_xlfn.XLOOKUP($B175,'ELC TECH'!$H:$H,'ELC TECH'!$E:$E)="Non Dispatchable",IFERROR($AX175*_xlfn.XLOOKUP($C175,$BM$1:$BM$3,CG$1:CG$3)/SUMPRODUCT(_xlfn.XLOOKUP($C175,$BM$1:$BM$3,$BN$1:$BY$3),$BN$4:$BY$4),""),
"")</f>
        <v>0</v>
      </c>
      <c r="CH175" s="8">
        <f>IF(_xlfn.XLOOKUP($B175,'ELC TECH'!$H:$H,'ELC TECH'!$E:$E)="Non Dispatchable",IFERROR($AX175*_xlfn.XLOOKUP($C175,$BM$1:$BM$3,CH$1:CH$3)/SUMPRODUCT(_xlfn.XLOOKUP($C175,$BM$1:$BM$3,$BN$1:$BY$3),$BN$4:$BY$4),""),
"")</f>
        <v>0.2837575729660774</v>
      </c>
      <c r="CI175" s="8">
        <f>IF(_xlfn.XLOOKUP($B175,'ELC TECH'!$H:$H,'ELC TECH'!$E:$E)="Non Dispatchable",IFERROR($AX175*_xlfn.XLOOKUP($C175,$BM$1:$BM$3,CI$1:CI$3)/SUMPRODUCT(_xlfn.XLOOKUP($C175,$BM$1:$BM$3,$BN$1:$BY$3),$BN$4:$BY$4),""),
"")</f>
        <v>0.2837575729660774</v>
      </c>
      <c r="CJ175" s="8">
        <f>IF(_xlfn.XLOOKUP($B175,'ELC TECH'!$H:$H,'ELC TECH'!$E:$E)="Non Dispatchable",IFERROR($AX175*_xlfn.XLOOKUP($C175,$BM$1:$BM$3,CJ$1:CJ$3)/SUMPRODUCT(_xlfn.XLOOKUP($C175,$BM$1:$BM$3,$BN$1:$BY$3),$BN$4:$BY$4),""),
"")</f>
        <v>2.8375757296607736E-2</v>
      </c>
      <c r="CK175" s="8">
        <f>IF(_xlfn.XLOOKUP($B175,'ELC TECH'!$H:$H,'ELC TECH'!$E:$E)="Non Dispatchable",IFERROR($AX175*_xlfn.XLOOKUP($C175,$BM$1:$BM$3,CK$1:CK$3)/SUMPRODUCT(_xlfn.XLOOKUP($C175,$BM$1:$BM$3,$BN$1:$BY$3),$BN$4:$BY$4),""),
"")</f>
        <v>0</v>
      </c>
      <c r="CL175" s="8" t="str">
        <f>IF(_xlfn.XLOOKUP($B175,'ELC TECH'!$H:$H,'ELC TECH'!$E:$E)="Storage",CL$4*$BF175,"")</f>
        <v/>
      </c>
      <c r="CM175" s="8" t="str">
        <f>IF(_xlfn.XLOOKUP($B175,'ELC TECH'!$H:$H,'ELC TECH'!$E:$E)="Storage",CM$4*$BF175,"")</f>
        <v/>
      </c>
      <c r="CN175" s="8" t="str">
        <f>IF(_xlfn.XLOOKUP($B175,'ELC TECH'!$H:$H,'ELC TECH'!$E:$E)="Storage",CN$4*$BF175,"")</f>
        <v/>
      </c>
      <c r="CO175" s="8" t="str">
        <f>IF(_xlfn.XLOOKUP($B175,'ELC TECH'!$H:$H,'ELC TECH'!$E:$E)="Storage",CO$4*$BF175,"")</f>
        <v/>
      </c>
      <c r="CP175" s="8" t="str">
        <f>IF(_xlfn.XLOOKUP($B175,'ELC TECH'!$H:$H,'ELC TECH'!$E:$E)="Storage",CP$4*$BF175,"")</f>
        <v/>
      </c>
      <c r="CQ175" s="8" t="str">
        <f>IF(_xlfn.XLOOKUP($B175,'ELC TECH'!$H:$H,'ELC TECH'!$E:$E)="Storage",CQ$4*$BF175,"")</f>
        <v/>
      </c>
      <c r="CR175" s="8" t="str">
        <f>IF(_xlfn.XLOOKUP($B175,'ELC TECH'!$H:$H,'ELC TECH'!$E:$E)="Storage",CR$4*$BF175,"")</f>
        <v/>
      </c>
      <c r="CS175" s="8" t="str">
        <f>IF(_xlfn.XLOOKUP($B175,'ELC TECH'!$H:$H,'ELC TECH'!$E:$E)="Storage",CS$4*$BF175,"")</f>
        <v/>
      </c>
      <c r="CT175" s="8" t="str">
        <f>IF(_xlfn.XLOOKUP($B175,'ELC TECH'!$H:$H,'ELC TECH'!$E:$E)="Storage",CT$4*$BF175,"")</f>
        <v/>
      </c>
      <c r="CU175" s="8" t="str">
        <f>IF(_xlfn.XLOOKUP($B175,'ELC TECH'!$H:$H,'ELC TECH'!$E:$E)="Storage",CU$4*$BF175,"")</f>
        <v/>
      </c>
      <c r="CV175" s="8" t="str">
        <f>IF(_xlfn.XLOOKUP($B175,'ELC TECH'!$H:$H,'ELC TECH'!$E:$E)="Storage",CV$4*$BF175,"")</f>
        <v/>
      </c>
      <c r="CW175" s="8" t="str">
        <f>IF(_xlfn.XLOOKUP($B175,'ELC TECH'!$H:$H,'ELC TECH'!$E:$E)="Storage",CW$4*$BF175,"")</f>
        <v/>
      </c>
      <c r="CX175" s="8" t="str">
        <f>IF(_xlfn.XLOOKUP($B175,'ELC TECH'!$H:$H,'ELC TECH'!$E:$E)="Storage",CX$4*$BF175,"")</f>
        <v/>
      </c>
      <c r="CY175" s="8" t="str">
        <f>IF(_xlfn.XLOOKUP($B175,'ELC TECH'!$H:$H,'ELC TECH'!$E:$E)="Storage",CY$4*$BF175,"")</f>
        <v/>
      </c>
      <c r="CZ175" s="8" t="str">
        <f>IF(_xlfn.XLOOKUP($B175,'ELC TECH'!$H:$H,'ELC TECH'!$E:$E)="Storage",CZ$4*$BF175,"")</f>
        <v/>
      </c>
      <c r="DA175" s="8" t="str">
        <f>IF(_xlfn.XLOOKUP($B175,'ELC TECH'!$H:$H,'ELC TECH'!$E:$E)="Storage",DA$4*$BF175,"")</f>
        <v/>
      </c>
      <c r="DB175" s="8" t="str">
        <f>IF(_xlfn.XLOOKUP($B175,'ELC TECH'!$H:$H,'ELC TECH'!$E:$E)="Storage",DB$4*$BF175,"")</f>
        <v/>
      </c>
      <c r="DC175" s="8" t="str">
        <f>IF(_xlfn.XLOOKUP($B175,'ELC TECH'!$H:$H,'ELC TECH'!$E:$E)="Storage",DC$4*$BF175,"")</f>
        <v/>
      </c>
      <c r="DD175" s="8" t="str">
        <f>IF(_xlfn.XLOOKUP($B175,'ELC TECH'!$H:$H,'ELC TECH'!$E:$E)="Storage",DD$4*$BF175,"")</f>
        <v/>
      </c>
      <c r="DE175" s="8" t="str">
        <f>IF(_xlfn.XLOOKUP($B175,'ELC TECH'!$H:$H,'ELC TECH'!$E:$E)="Storage",DE$4*$BF175,"")</f>
        <v/>
      </c>
      <c r="DF175" s="8" t="str">
        <f>IF(_xlfn.XLOOKUP($B175,'ELC TECH'!$H:$H,'ELC TECH'!$E:$E)="Storage",DF$4*$BF175,"")</f>
        <v/>
      </c>
      <c r="DG175" s="8" t="str">
        <f>IF(_xlfn.XLOOKUP($B175,'ELC TECH'!$H:$H,'ELC TECH'!$E:$E)="Storage",DG$4*$BF175,"")</f>
        <v/>
      </c>
      <c r="DH175" s="8" t="str">
        <f>IF(_xlfn.XLOOKUP($B175,'ELC TECH'!$H:$H,'ELC TECH'!$E:$E)="Storage",DH$4*$BF175,"")</f>
        <v/>
      </c>
      <c r="DI175" s="8" t="str">
        <f>IF(_xlfn.XLOOKUP($B175,'ELC TECH'!$H:$H,'ELC TECH'!$E:$E)="Storage",DI$4*$BF175,"")</f>
        <v/>
      </c>
    </row>
    <row r="176" spans="2:113" x14ac:dyDescent="0.25">
      <c r="B176" t="str">
        <f>IF('ELC TECH'!I169=0,"*",'ELC TECH'!H169)</f>
        <v>ELCSOLDCECDPV220</v>
      </c>
      <c r="C176" t="str">
        <f>IF(_xlfn.XLOOKUP(_xlfn.XLOOKUP(B176,'ELC TECH'!$H:$H,'ELC TECH'!$G:$G),List!C:C,List!B:B)="STG",D176,"ELC"&amp;_xlfn.XLOOKUP(_xlfn.XLOOKUP(B176,'ELC TECH'!H:H,'ELC TECH'!G:G),List!C:C,List!B:B))</f>
        <v>ELCSOL</v>
      </c>
      <c r="D176" t="s">
        <v>546</v>
      </c>
      <c r="E176">
        <f>_xlfn.XLOOKUP(B176,'ELC TECH'!H:H,'ELC TECH'!D:D)</f>
        <v>2020</v>
      </c>
      <c r="F176">
        <f>_xlfn.XLOOKUP(B176,'ELC TECH'!H:H,'ELC TECH'!K:K)</f>
        <v>30</v>
      </c>
      <c r="G176">
        <f t="shared" si="9"/>
        <v>31.535999999999998</v>
      </c>
      <c r="H176">
        <f>IF(_xlfn.XLOOKUP(B176,'ELC TECH'!$H:$H,'ELC TECH'!$E:$E)="Storage",0.3,IF(_xlfn.XLOOKUP(B176,'ELC TECH'!$H:$H,'ELC TECH'!$E:$E)="Baseload",0.9,IF(_xlfn.XLOOKUP(B176,'ELC TECH'!$H:$H,'ELC TECH'!$E:$E)="Non Dispatchable",0.05,IF(_xlfn.XLOOKUP(B176,'ELC TECH'!$H:$H,'ELC TECH'!$E:$E)="Dispatchable",0.9,1))))</f>
        <v>0.05</v>
      </c>
      <c r="I176" s="13">
        <f>IF(_xlfn.XLOOKUP(B176,'ELC TECH'!H:H,'ELC TECH'!J:J)="","",_xlfn.XLOOKUP(B176,'ELC TECH'!H:H,'ELC TECH'!J:J))</f>
        <v>700.17955000000006</v>
      </c>
      <c r="J176" s="12">
        <f>IF(_xlfn.XLOOKUP($B176,'ELC TECH'!$H:$H,'ELC TECH'!$E:$E)="Storage","",IF(_xlfn.XLOOKUP($B176,'ELC TECH'!$H:$H,'ELC TECH'!AK:AK)="",1,_xlfn.XLOOKUP($B176,'ELC TECH'!$H:$H,'ELC TECH'!AK:AK)))</f>
        <v>1</v>
      </c>
      <c r="K176" s="12">
        <f>IF(_xlfn.XLOOKUP($B176,'ELC TECH'!$H:$H,'ELC TECH'!$E:$E)="Storage","",IF(_xlfn.XLOOKUP($B176,'ELC TECH'!$H:$H,'ELC TECH'!AL:AL)="",1,_xlfn.XLOOKUP($B176,'ELC TECH'!$H:$H,'ELC TECH'!AL:AL)))</f>
        <v>1</v>
      </c>
      <c r="L176" s="12">
        <f>IF(_xlfn.XLOOKUP($B176,'ELC TECH'!$H:$H,'ELC TECH'!$E:$E)="Storage","",IF(_xlfn.XLOOKUP($B176,'ELC TECH'!$H:$H,'ELC TECH'!AM:AM)="",1,_xlfn.XLOOKUP($B176,'ELC TECH'!$H:$H,'ELC TECH'!AM:AM)))</f>
        <v>1</v>
      </c>
      <c r="M176" s="12">
        <f>IF(_xlfn.XLOOKUP($B176,'ELC TECH'!$H:$H,'ELC TECH'!$E:$E)="Storage","",IF(_xlfn.XLOOKUP($B176,'ELC TECH'!$H:$H,'ELC TECH'!AN:AN)="",1,_xlfn.XLOOKUP($B176,'ELC TECH'!$H:$H,'ELC TECH'!AN:AN)))</f>
        <v>1</v>
      </c>
      <c r="N176" s="12">
        <f>IF(_xlfn.XLOOKUP($B176,'ELC TECH'!$H:$H,'ELC TECH'!$E:$E)="Storage","",IF(_xlfn.XLOOKUP($B176,'ELC TECH'!$H:$H,'ELC TECH'!AO:AO)="",1,_xlfn.XLOOKUP($B176,'ELC TECH'!$H:$H,'ELC TECH'!AO:AO)))</f>
        <v>1</v>
      </c>
      <c r="O176" s="12">
        <f>IF(_xlfn.XLOOKUP($B176,'ELC TECH'!$H:$H,'ELC TECH'!$E:$E)="Storage","",IF(_xlfn.XLOOKUP($B176,'ELC TECH'!$H:$H,'ELC TECH'!AP:AP)="",1,_xlfn.XLOOKUP($B176,'ELC TECH'!$H:$H,'ELC TECH'!AP:AP)))</f>
        <v>1</v>
      </c>
      <c r="P176" s="12">
        <f>IF(_xlfn.XLOOKUP($B176,'ELC TECH'!$H:$H,'ELC TECH'!$E:$E)="Storage","",IF(_xlfn.XLOOKUP($B176,'ELC TECH'!$H:$H,'ELC TECH'!AQ:AQ)="",1,_xlfn.XLOOKUP($B176,'ELC TECH'!$H:$H,'ELC TECH'!AQ:AQ)))</f>
        <v>1</v>
      </c>
      <c r="Q176" s="12">
        <f>IF(_xlfn.XLOOKUP($B176,'ELC TECH'!$H:$H,'ELC TECH'!$E:$E)="Storage","",IF(_xlfn.XLOOKUP($B176,'ELC TECH'!$H:$H,'ELC TECH'!AR:AR)="",1,_xlfn.XLOOKUP($B176,'ELC TECH'!$H:$H,'ELC TECH'!AR:AR)))</f>
        <v>1</v>
      </c>
      <c r="R176" s="12" t="str">
        <f>IF(_xlfn.XLOOKUP($B176,'ELC TECH'!$H:$H,'ELC TECH'!$E:$E)&lt;&gt;"Storage","",IF(_xlfn.XLOOKUP($B176,'ELC TECH'!$H:$H,'ELC TECH'!AK:AK)="",0.8,_xlfn.XLOOKUP($B176,'ELC TECH'!$H:$H,'ELC TECH'!AK:AK)))</f>
        <v/>
      </c>
      <c r="S176" s="12" t="str">
        <f>IF(_xlfn.XLOOKUP($B176,'ELC TECH'!$H:$H,'ELC TECH'!$E:$E)&lt;&gt;"Storage","",IF(_xlfn.XLOOKUP($B176,'ELC TECH'!$H:$H,'ELC TECH'!AL:AL)="",0.8,_xlfn.XLOOKUP($B176,'ELC TECH'!$H:$H,'ELC TECH'!AL:AL)))</f>
        <v/>
      </c>
      <c r="T176" s="12" t="str">
        <f>IF(_xlfn.XLOOKUP($B176,'ELC TECH'!$H:$H,'ELC TECH'!$E:$E)&lt;&gt;"Storage","",IF(_xlfn.XLOOKUP($B176,'ELC TECH'!$H:$H,'ELC TECH'!AM:AM)="",0.8,_xlfn.XLOOKUP($B176,'ELC TECH'!$H:$H,'ELC TECH'!AM:AM)))</f>
        <v/>
      </c>
      <c r="U176" s="12" t="str">
        <f>IF(_xlfn.XLOOKUP($B176,'ELC TECH'!$H:$H,'ELC TECH'!$E:$E)&lt;&gt;"Storage","",IF(_xlfn.XLOOKUP($B176,'ELC TECH'!$H:$H,'ELC TECH'!AN:AN)="",0.8,_xlfn.XLOOKUP($B176,'ELC TECH'!$H:$H,'ELC TECH'!AN:AN)))</f>
        <v/>
      </c>
      <c r="V176" s="12" t="str">
        <f>IF(_xlfn.XLOOKUP($B176,'ELC TECH'!$H:$H,'ELC TECH'!$E:$E)&lt;&gt;"Storage","",IF(_xlfn.XLOOKUP($B176,'ELC TECH'!$H:$H,'ELC TECH'!AO:AO)="",0.8,_xlfn.XLOOKUP($B176,'ELC TECH'!$H:$H,'ELC TECH'!AO:AO)))</f>
        <v/>
      </c>
      <c r="W176" s="12" t="str">
        <f>IF(_xlfn.XLOOKUP($B176,'ELC TECH'!$H:$H,'ELC TECH'!$E:$E)&lt;&gt;"Storage","",IF(_xlfn.XLOOKUP($B176,'ELC TECH'!$H:$H,'ELC TECH'!AP:AP)="",0.8,_xlfn.XLOOKUP($B176,'ELC TECH'!$H:$H,'ELC TECH'!AP:AP)))</f>
        <v/>
      </c>
      <c r="X176" s="12" t="str">
        <f>IF(_xlfn.XLOOKUP($B176,'ELC TECH'!$H:$H,'ELC TECH'!$E:$E)&lt;&gt;"Storage","",IF(_xlfn.XLOOKUP($B176,'ELC TECH'!$H:$H,'ELC TECH'!AQ:AQ)="",0.8,_xlfn.XLOOKUP($B176,'ELC TECH'!$H:$H,'ELC TECH'!AQ:AQ)))</f>
        <v/>
      </c>
      <c r="Y176" s="12" t="str">
        <f>IF(_xlfn.XLOOKUP($B176,'ELC TECH'!$H:$H,'ELC TECH'!$E:$E)&lt;&gt;"Storage","",IF(_xlfn.XLOOKUP($B176,'ELC TECH'!$H:$H,'ELC TECH'!AR:AR)="",0.8,_xlfn.XLOOKUP($B176,'ELC TECH'!$H:$H,'ELC TECH'!AR:AR)))</f>
        <v/>
      </c>
      <c r="Z176" s="15">
        <f>_xlfn.XLOOKUP($B176,'ELC TECH'!$H:$H,'ELC TECH'!M:M)</f>
        <v>1912.264310519447</v>
      </c>
      <c r="AA176" s="15">
        <f>_xlfn.XLOOKUP($B176,'ELC TECH'!$H:$H,'ELC TECH'!N:N)</f>
        <v>1887.703407882211</v>
      </c>
      <c r="AB176" s="15">
        <f>_xlfn.XLOOKUP($B176,'ELC TECH'!$H:$H,'ELC TECH'!O:O)</f>
        <v>1569.6288150057401</v>
      </c>
      <c r="AC176" s="15">
        <f>_xlfn.XLOOKUP($B176,'ELC TECH'!$H:$H,'ELC TECH'!P:P)</f>
        <v>1251.5542221292801</v>
      </c>
      <c r="AD176" s="15">
        <f>_xlfn.XLOOKUP($B176,'ELC TECH'!$H:$H,'ELC TECH'!Q:Q)</f>
        <v>1147.154572863142</v>
      </c>
      <c r="AE176" s="15">
        <f>_xlfn.XLOOKUP($B176,'ELC TECH'!$H:$H,'ELC TECH'!R:R)</f>
        <v>1042.7549235970189</v>
      </c>
      <c r="AF176" s="15">
        <f>_xlfn.XLOOKUP($B176,'ELC TECH'!$H:$H,'ELC TECH'!S:S)</f>
        <v>938.35527433088987</v>
      </c>
      <c r="AG176" s="15">
        <f>_xlfn.XLOOKUP($B176,'ELC TECH'!$H:$H,'ELC TECH'!T:T)</f>
        <v>938.35527433088987</v>
      </c>
      <c r="AH176" s="15">
        <f>_xlfn.XLOOKUP($B176,'ELC TECH'!$H:$H,'ELC TECH'!U:U)</f>
        <v>20.242248163120561</v>
      </c>
      <c r="AI176" s="15">
        <f>_xlfn.XLOOKUP($B176,'ELC TECH'!$H:$H,'ELC TECH'!V:V)</f>
        <v>19.891925366567069</v>
      </c>
      <c r="AJ176" s="15">
        <f>_xlfn.XLOOKUP($B176,'ELC TECH'!$H:$H,'ELC TECH'!W:W)</f>
        <v>17.127058056750311</v>
      </c>
      <c r="AK176" s="15">
        <f>_xlfn.XLOOKUP($B176,'ELC TECH'!$H:$H,'ELC TECH'!X:X)</f>
        <v>14.36219074693344</v>
      </c>
      <c r="AL176" s="15">
        <f>_xlfn.XLOOKUP($B176,'ELC TECH'!$H:$H,'ELC TECH'!Y:Y)</f>
        <v>13.45469551192622</v>
      </c>
      <c r="AM176" s="15">
        <f>_xlfn.XLOOKUP($B176,'ELC TECH'!$H:$H,'ELC TECH'!Z:Z)</f>
        <v>12.547200276919</v>
      </c>
      <c r="AN176" s="15">
        <f>_xlfn.XLOOKUP($B176,'ELC TECH'!$H:$H,'ELC TECH'!AA:AA)</f>
        <v>11.63970504191178</v>
      </c>
      <c r="AO176" s="15">
        <f>_xlfn.XLOOKUP($B176,'ELC TECH'!$H:$H,'ELC TECH'!AB:AB)</f>
        <v>11.63970504191178</v>
      </c>
      <c r="AP176" s="15">
        <f>_xlfn.XLOOKUP($B176,'ELC TECH'!$H:$H,'ELC TECH'!AC:AC)</f>
        <v>0</v>
      </c>
      <c r="AQ176" s="15">
        <f>_xlfn.XLOOKUP($B176,'ELC TECH'!$H:$H,'ELC TECH'!AD:AD)</f>
        <v>0</v>
      </c>
      <c r="AR176" s="15">
        <f>_xlfn.XLOOKUP($B176,'ELC TECH'!$H:$H,'ELC TECH'!AE:AE)</f>
        <v>0</v>
      </c>
      <c r="AS176" s="15">
        <f>_xlfn.XLOOKUP($B176,'ELC TECH'!$H:$H,'ELC TECH'!AF:AF)</f>
        <v>0</v>
      </c>
      <c r="AT176" s="15">
        <f>_xlfn.XLOOKUP($B176,'ELC TECH'!$H:$H,'ELC TECH'!AG:AG)</f>
        <v>0</v>
      </c>
      <c r="AU176" s="15">
        <f>_xlfn.XLOOKUP($B176,'ELC TECH'!$H:$H,'ELC TECH'!AH:AH)</f>
        <v>0</v>
      </c>
      <c r="AV176" s="15">
        <f>_xlfn.XLOOKUP($B176,'ELC TECH'!$H:$H,'ELC TECH'!AI:AI)</f>
        <v>0</v>
      </c>
      <c r="AW176" s="15">
        <f>_xlfn.XLOOKUP($B176,'ELC TECH'!$H:$H,'ELC TECH'!AJ:AJ)</f>
        <v>0</v>
      </c>
      <c r="AX176" s="12">
        <f>IF(_xlfn.XLOOKUP($B176,'ELC TECH'!$H:$H,'ELC TECH'!$E:$E)="Storage","",_xlfn.XLOOKUP($B176,'ELC TECH'!$H:$H,'ELC TECH'!AS:AS))</f>
        <v>0.18134325755257399</v>
      </c>
      <c r="AY176" s="12">
        <f>IF(_xlfn.XLOOKUP($B176,'ELC TECH'!$H:$H,'ELC TECH'!$E:$E)="Storage","",_xlfn.XLOOKUP($B176,'ELC TECH'!$H:$H,'ELC TECH'!AT:AT))</f>
        <v>0.185014808595174</v>
      </c>
      <c r="AZ176" s="12">
        <f>IF(_xlfn.XLOOKUP($B176,'ELC TECH'!$H:$H,'ELC TECH'!$E:$E)="Storage","",_xlfn.XLOOKUP($B176,'ELC TECH'!$H:$H,'ELC TECH'!AU:AU))</f>
        <v>0.18960424739842399</v>
      </c>
      <c r="BA176" s="12">
        <f>IF(_xlfn.XLOOKUP($B176,'ELC TECH'!$H:$H,'ELC TECH'!$E:$E)="Storage","",_xlfn.XLOOKUP($B176,'ELC TECH'!$H:$H,'ELC TECH'!AV:AV))</f>
        <v>0.19419368620167399</v>
      </c>
      <c r="BB176" s="12">
        <f>IF(_xlfn.XLOOKUP($B176,'ELC TECH'!$H:$H,'ELC TECH'!$E:$E)="Storage","",_xlfn.XLOOKUP($B176,'ELC TECH'!$H:$H,'ELC TECH'!AW:AW))</f>
        <v>0.197409867376802</v>
      </c>
      <c r="BC176" s="12">
        <f>IF(_xlfn.XLOOKUP($B176,'ELC TECH'!$H:$H,'ELC TECH'!$E:$E)="Storage","",_xlfn.XLOOKUP($B176,'ELC TECH'!$H:$H,'ELC TECH'!AX:AX))</f>
        <v>0.200626048551931</v>
      </c>
      <c r="BD176" s="12">
        <f>IF(_xlfn.XLOOKUP($B176,'ELC TECH'!$H:$H,'ELC TECH'!$E:$E)="Storage","",_xlfn.XLOOKUP($B176,'ELC TECH'!$H:$H,'ELC TECH'!AY:AY))</f>
        <v>0.20384222972706001</v>
      </c>
      <c r="BE176" s="12">
        <f>IF(_xlfn.XLOOKUP($B176,'ELC TECH'!$H:$H,'ELC TECH'!$E:$E)="Storage","",_xlfn.XLOOKUP($B176,'ELC TECH'!$H:$H,'ELC TECH'!AZ:AZ))</f>
        <v>0.20384222972706001</v>
      </c>
      <c r="BF176" s="12" t="str">
        <f>IF(_xlfn.XLOOKUP($B176,'ELC TECH'!$H:$H,'ELC TECH'!$E:$E)="Storage",_xlfn.XLOOKUP($B176,'ELC TECH'!$H:$H,'ELC TECH'!AS:AS),"")</f>
        <v/>
      </c>
      <c r="BG176" s="12" t="str">
        <f>IF(_xlfn.XLOOKUP($B176,'ELC TECH'!$H:$H,'ELC TECH'!$E:$E)="Storage",_xlfn.XLOOKUP($B176,'ELC TECH'!$H:$H,'ELC TECH'!AT:AT),"")</f>
        <v/>
      </c>
      <c r="BH176" s="12" t="str">
        <f>IF(_xlfn.XLOOKUP($B176,'ELC TECH'!$H:$H,'ELC TECH'!$E:$E)="Storage",_xlfn.XLOOKUP($B176,'ELC TECH'!$H:$H,'ELC TECH'!AU:AU),"")</f>
        <v/>
      </c>
      <c r="BI176" s="12" t="str">
        <f>IF(_xlfn.XLOOKUP($B176,'ELC TECH'!$H:$H,'ELC TECH'!$E:$E)="Storage",_xlfn.XLOOKUP($B176,'ELC TECH'!$H:$H,'ELC TECH'!AV:AV),"")</f>
        <v/>
      </c>
      <c r="BJ176" s="12" t="str">
        <f>IF(_xlfn.XLOOKUP($B176,'ELC TECH'!$H:$H,'ELC TECH'!$E:$E)="Storage",_xlfn.XLOOKUP($B176,'ELC TECH'!$H:$H,'ELC TECH'!AW:AW),"")</f>
        <v/>
      </c>
      <c r="BK176" s="12" t="str">
        <f>IF(_xlfn.XLOOKUP($B176,'ELC TECH'!$H:$H,'ELC TECH'!$E:$E)="Storage",_xlfn.XLOOKUP($B176,'ELC TECH'!$H:$H,'ELC TECH'!AX:AX),"")</f>
        <v/>
      </c>
      <c r="BL176" s="12" t="str">
        <f>IF(_xlfn.XLOOKUP($B176,'ELC TECH'!$H:$H,'ELC TECH'!$E:$E)="Storage",_xlfn.XLOOKUP($B176,'ELC TECH'!$H:$H,'ELC TECH'!AY:AY),"")</f>
        <v/>
      </c>
      <c r="BM176" s="12" t="str">
        <f>IF(_xlfn.XLOOKUP($B176,'ELC TECH'!$H:$H,'ELC TECH'!$E:$E)="Storage",_xlfn.XLOOKUP($B176,'ELC TECH'!$H:$H,'ELC TECH'!AZ:AZ),"")</f>
        <v/>
      </c>
      <c r="BN176" s="8">
        <f>IF(_xlfn.XLOOKUP($B176,'ELC TECH'!$H:$H,'ELC TECH'!$E:$E)="Non Dispatchable",IFERROR($AX176*_xlfn.XLOOKUP($C176,$BM$1:$BM$3,BN$1:BN$3)/SUMPRODUCT(_xlfn.XLOOKUP($C176,$BM$1:$BM$3,$BN$1:$BY$3),$BN$4:$BY$4),""),
"")</f>
        <v>0.28382076212850788</v>
      </c>
      <c r="BO176" s="8">
        <f>IF(_xlfn.XLOOKUP($B176,'ELC TECH'!$H:$H,'ELC TECH'!$E:$E)="Non Dispatchable",IFERROR($AX176*_xlfn.XLOOKUP($C176,$BM$1:$BM$3,BO$1:BO$3)/SUMPRODUCT(_xlfn.XLOOKUP($C176,$BM$1:$BM$3,$BN$1:$BY$3),$BN$4:$BY$4),""),
"")</f>
        <v>0.28382076212850788</v>
      </c>
      <c r="BP176" s="8">
        <f>IF(_xlfn.XLOOKUP($B176,'ELC TECH'!$H:$H,'ELC TECH'!$E:$E)="Non Dispatchable",IFERROR($AX176*_xlfn.XLOOKUP($C176,$BM$1:$BM$3,BP$1:BP$3)/SUMPRODUCT(_xlfn.XLOOKUP($C176,$BM$1:$BM$3,$BN$1:$BY$3),$BN$4:$BY$4),""),
"")</f>
        <v>2.8382076212850792E-2</v>
      </c>
      <c r="BQ176" s="8">
        <f>IF(_xlfn.XLOOKUP($B176,'ELC TECH'!$H:$H,'ELC TECH'!$E:$E)="Non Dispatchable",IFERROR($AX176*_xlfn.XLOOKUP($C176,$BM$1:$BM$3,BQ$1:BQ$3)/SUMPRODUCT(_xlfn.XLOOKUP($C176,$BM$1:$BM$3,$BN$1:$BY$3),$BN$4:$BY$4),""),
"")</f>
        <v>0</v>
      </c>
      <c r="BR176" s="8">
        <f>IF(_xlfn.XLOOKUP($B176,'ELC TECH'!$H:$H,'ELC TECH'!$E:$E)="Non Dispatchable",IFERROR($AX176*_xlfn.XLOOKUP($C176,$BM$1:$BM$3,BR$1:BR$3)/SUMPRODUCT(_xlfn.XLOOKUP($C176,$BM$1:$BM$3,$BN$1:$BY$3),$BN$4:$BY$4),""),
"")</f>
        <v>0.32688504808117363</v>
      </c>
      <c r="BS176" s="8">
        <f>IF(_xlfn.XLOOKUP($B176,'ELC TECH'!$H:$H,'ELC TECH'!$E:$E)="Non Dispatchable",IFERROR($AX176*_xlfn.XLOOKUP($C176,$BM$1:$BM$3,BS$1:BS$3)/SUMPRODUCT(_xlfn.XLOOKUP($C176,$BM$1:$BM$3,$BN$1:$BY$3),$BN$4:$BY$4),""),
"")</f>
        <v>0.32688504808117363</v>
      </c>
      <c r="BT176" s="8">
        <f>IF(_xlfn.XLOOKUP($B176,'ELC TECH'!$H:$H,'ELC TECH'!$E:$E)="Non Dispatchable",IFERROR($AX176*_xlfn.XLOOKUP($C176,$BM$1:$BM$3,BT$1:BT$3)/SUMPRODUCT(_xlfn.XLOOKUP($C176,$BM$1:$BM$3,$BN$1:$BY$3),$BN$4:$BY$4),""),
"")</f>
        <v>3.2688504808117365E-2</v>
      </c>
      <c r="BU176" s="8">
        <f>IF(_xlfn.XLOOKUP($B176,'ELC TECH'!$H:$H,'ELC TECH'!$E:$E)="Non Dispatchable",IFERROR($AX176*_xlfn.XLOOKUP($C176,$BM$1:$BM$3,BU$1:BU$3)/SUMPRODUCT(_xlfn.XLOOKUP($C176,$BM$1:$BM$3,$BN$1:$BY$3),$BN$4:$BY$4),""),
"")</f>
        <v>0</v>
      </c>
      <c r="BV176" s="8">
        <f>IF(_xlfn.XLOOKUP($B176,'ELC TECH'!$H:$H,'ELC TECH'!$E:$E)="Non Dispatchable",IFERROR($AX176*_xlfn.XLOOKUP($C176,$BM$1:$BM$3,BV$1:BV$3)/SUMPRODUCT(_xlfn.XLOOKUP($C176,$BM$1:$BM$3,$BN$1:$BY$3),$BN$4:$BY$4),""),
"")</f>
        <v>0.27346770555051192</v>
      </c>
      <c r="BW176" s="8">
        <f>IF(_xlfn.XLOOKUP($B176,'ELC TECH'!$H:$H,'ELC TECH'!$E:$E)="Non Dispatchable",IFERROR($AX176*_xlfn.XLOOKUP($C176,$BM$1:$BM$3,BW$1:BW$3)/SUMPRODUCT(_xlfn.XLOOKUP($C176,$BM$1:$BM$3,$BN$1:$BY$3),$BN$4:$BY$4),""),
"")</f>
        <v>0.27346770555051192</v>
      </c>
      <c r="BX176" s="8">
        <f>IF(_xlfn.XLOOKUP($B176,'ELC TECH'!$H:$H,'ELC TECH'!$E:$E)="Non Dispatchable",IFERROR($AX176*_xlfn.XLOOKUP($C176,$BM$1:$BM$3,BX$1:BX$3)/SUMPRODUCT(_xlfn.XLOOKUP($C176,$BM$1:$BM$3,$BN$1:$BY$3),$BN$4:$BY$4),""),
"")</f>
        <v>2.7346770555051192E-2</v>
      </c>
      <c r="BY176" s="8">
        <f>IF(_xlfn.XLOOKUP($B176,'ELC TECH'!$H:$H,'ELC TECH'!$E:$E)="Non Dispatchable",IFERROR($AX176*_xlfn.XLOOKUP($C176,$BM$1:$BM$3,BY$1:BY$3)/SUMPRODUCT(_xlfn.XLOOKUP($C176,$BM$1:$BM$3,$BN$1:$BY$3),$BN$4:$BY$4),""),
"")</f>
        <v>0</v>
      </c>
      <c r="BZ176" s="8">
        <f>IF(_xlfn.XLOOKUP($B176,'ELC TECH'!$H:$H,'ELC TECH'!$E:$E)="Non Dispatchable",IFERROR($AX176*_xlfn.XLOOKUP($C176,$BM$1:$BM$3,BZ$1:BZ$3)/SUMPRODUCT(_xlfn.XLOOKUP($C176,$BM$1:$BM$3,$BN$1:$BY$3),$BN$4:$BY$4),""),
"")</f>
        <v>0.28382076212850788</v>
      </c>
      <c r="CA176" s="8">
        <f>IF(_xlfn.XLOOKUP($B176,'ELC TECH'!$H:$H,'ELC TECH'!$E:$E)="Non Dispatchable",IFERROR($AX176*_xlfn.XLOOKUP($C176,$BM$1:$BM$3,CA$1:CA$3)/SUMPRODUCT(_xlfn.XLOOKUP($C176,$BM$1:$BM$3,$BN$1:$BY$3),$BN$4:$BY$4),""),
"")</f>
        <v>0.28382076212850788</v>
      </c>
      <c r="CB176" s="8">
        <f>IF(_xlfn.XLOOKUP($B176,'ELC TECH'!$H:$H,'ELC TECH'!$E:$E)="Non Dispatchable",IFERROR($AX176*_xlfn.XLOOKUP($C176,$BM$1:$BM$3,CB$1:CB$3)/SUMPRODUCT(_xlfn.XLOOKUP($C176,$BM$1:$BM$3,$BN$1:$BY$3),$BN$4:$BY$4),""),
"")</f>
        <v>2.8382076212850792E-2</v>
      </c>
      <c r="CC176" s="8">
        <f>IF(_xlfn.XLOOKUP($B176,'ELC TECH'!$H:$H,'ELC TECH'!$E:$E)="Non Dispatchable",IFERROR($AX176*_xlfn.XLOOKUP($C176,$BM$1:$BM$3,CC$1:CC$3)/SUMPRODUCT(_xlfn.XLOOKUP($C176,$BM$1:$BM$3,$BN$1:$BY$3),$BN$4:$BY$4),""),
"")</f>
        <v>0</v>
      </c>
      <c r="CD176" s="8">
        <f>IF(_xlfn.XLOOKUP($B176,'ELC TECH'!$H:$H,'ELC TECH'!$E:$E)="Non Dispatchable",IFERROR($AX176*_xlfn.XLOOKUP($C176,$BM$1:$BM$3,CD$1:CD$3)/SUMPRODUCT(_xlfn.XLOOKUP($C176,$BM$1:$BM$3,$BN$1:$BY$3),$BN$4:$BY$4),""),
"")</f>
        <v>0.32688504808117363</v>
      </c>
      <c r="CE176" s="8">
        <f>IF(_xlfn.XLOOKUP($B176,'ELC TECH'!$H:$H,'ELC TECH'!$E:$E)="Non Dispatchable",IFERROR($AX176*_xlfn.XLOOKUP($C176,$BM$1:$BM$3,CE$1:CE$3)/SUMPRODUCT(_xlfn.XLOOKUP($C176,$BM$1:$BM$3,$BN$1:$BY$3),$BN$4:$BY$4),""),
"")</f>
        <v>0.32688504808117363</v>
      </c>
      <c r="CF176" s="8">
        <f>IF(_xlfn.XLOOKUP($B176,'ELC TECH'!$H:$H,'ELC TECH'!$E:$E)="Non Dispatchable",IFERROR($AX176*_xlfn.XLOOKUP($C176,$BM$1:$BM$3,CF$1:CF$3)/SUMPRODUCT(_xlfn.XLOOKUP($C176,$BM$1:$BM$3,$BN$1:$BY$3),$BN$4:$BY$4),""),
"")</f>
        <v>3.2688504808117365E-2</v>
      </c>
      <c r="CG176" s="8">
        <f>IF(_xlfn.XLOOKUP($B176,'ELC TECH'!$H:$H,'ELC TECH'!$E:$E)="Non Dispatchable",IFERROR($AX176*_xlfn.XLOOKUP($C176,$BM$1:$BM$3,CG$1:CG$3)/SUMPRODUCT(_xlfn.XLOOKUP($C176,$BM$1:$BM$3,$BN$1:$BY$3),$BN$4:$BY$4),""),
"")</f>
        <v>0</v>
      </c>
      <c r="CH176" s="8">
        <f>IF(_xlfn.XLOOKUP($B176,'ELC TECH'!$H:$H,'ELC TECH'!$E:$E)="Non Dispatchable",IFERROR($AX176*_xlfn.XLOOKUP($C176,$BM$1:$BM$3,CH$1:CH$3)/SUMPRODUCT(_xlfn.XLOOKUP($C176,$BM$1:$BM$3,$BN$1:$BY$3),$BN$4:$BY$4),""),
"")</f>
        <v>0.27346770555051192</v>
      </c>
      <c r="CI176" s="8">
        <f>IF(_xlfn.XLOOKUP($B176,'ELC TECH'!$H:$H,'ELC TECH'!$E:$E)="Non Dispatchable",IFERROR($AX176*_xlfn.XLOOKUP($C176,$BM$1:$BM$3,CI$1:CI$3)/SUMPRODUCT(_xlfn.XLOOKUP($C176,$BM$1:$BM$3,$BN$1:$BY$3),$BN$4:$BY$4),""),
"")</f>
        <v>0.27346770555051192</v>
      </c>
      <c r="CJ176" s="8">
        <f>IF(_xlfn.XLOOKUP($B176,'ELC TECH'!$H:$H,'ELC TECH'!$E:$E)="Non Dispatchable",IFERROR($AX176*_xlfn.XLOOKUP($C176,$BM$1:$BM$3,CJ$1:CJ$3)/SUMPRODUCT(_xlfn.XLOOKUP($C176,$BM$1:$BM$3,$BN$1:$BY$3),$BN$4:$BY$4),""),
"")</f>
        <v>2.7346770555051192E-2</v>
      </c>
      <c r="CK176" s="8">
        <f>IF(_xlfn.XLOOKUP($B176,'ELC TECH'!$H:$H,'ELC TECH'!$E:$E)="Non Dispatchable",IFERROR($AX176*_xlfn.XLOOKUP($C176,$BM$1:$BM$3,CK$1:CK$3)/SUMPRODUCT(_xlfn.XLOOKUP($C176,$BM$1:$BM$3,$BN$1:$BY$3),$BN$4:$BY$4),""),
"")</f>
        <v>0</v>
      </c>
      <c r="CL176" s="8" t="str">
        <f>IF(_xlfn.XLOOKUP($B176,'ELC TECH'!$H:$H,'ELC TECH'!$E:$E)="Storage",CL$4*$BF176,"")</f>
        <v/>
      </c>
      <c r="CM176" s="8" t="str">
        <f>IF(_xlfn.XLOOKUP($B176,'ELC TECH'!$H:$H,'ELC TECH'!$E:$E)="Storage",CM$4*$BF176,"")</f>
        <v/>
      </c>
      <c r="CN176" s="8" t="str">
        <f>IF(_xlfn.XLOOKUP($B176,'ELC TECH'!$H:$H,'ELC TECH'!$E:$E)="Storage",CN$4*$BF176,"")</f>
        <v/>
      </c>
      <c r="CO176" s="8" t="str">
        <f>IF(_xlfn.XLOOKUP($B176,'ELC TECH'!$H:$H,'ELC TECH'!$E:$E)="Storage",CO$4*$BF176,"")</f>
        <v/>
      </c>
      <c r="CP176" s="8" t="str">
        <f>IF(_xlfn.XLOOKUP($B176,'ELC TECH'!$H:$H,'ELC TECH'!$E:$E)="Storage",CP$4*$BF176,"")</f>
        <v/>
      </c>
      <c r="CQ176" s="8" t="str">
        <f>IF(_xlfn.XLOOKUP($B176,'ELC TECH'!$H:$H,'ELC TECH'!$E:$E)="Storage",CQ$4*$BF176,"")</f>
        <v/>
      </c>
      <c r="CR176" s="8" t="str">
        <f>IF(_xlfn.XLOOKUP($B176,'ELC TECH'!$H:$H,'ELC TECH'!$E:$E)="Storage",CR$4*$BF176,"")</f>
        <v/>
      </c>
      <c r="CS176" s="8" t="str">
        <f>IF(_xlfn.XLOOKUP($B176,'ELC TECH'!$H:$H,'ELC TECH'!$E:$E)="Storage",CS$4*$BF176,"")</f>
        <v/>
      </c>
      <c r="CT176" s="8" t="str">
        <f>IF(_xlfn.XLOOKUP($B176,'ELC TECH'!$H:$H,'ELC TECH'!$E:$E)="Storage",CT$4*$BF176,"")</f>
        <v/>
      </c>
      <c r="CU176" s="8" t="str">
        <f>IF(_xlfn.XLOOKUP($B176,'ELC TECH'!$H:$H,'ELC TECH'!$E:$E)="Storage",CU$4*$BF176,"")</f>
        <v/>
      </c>
      <c r="CV176" s="8" t="str">
        <f>IF(_xlfn.XLOOKUP($B176,'ELC TECH'!$H:$H,'ELC TECH'!$E:$E)="Storage",CV$4*$BF176,"")</f>
        <v/>
      </c>
      <c r="CW176" s="8" t="str">
        <f>IF(_xlfn.XLOOKUP($B176,'ELC TECH'!$H:$H,'ELC TECH'!$E:$E)="Storage",CW$4*$BF176,"")</f>
        <v/>
      </c>
      <c r="CX176" s="8" t="str">
        <f>IF(_xlfn.XLOOKUP($B176,'ELC TECH'!$H:$H,'ELC TECH'!$E:$E)="Storage",CX$4*$BF176,"")</f>
        <v/>
      </c>
      <c r="CY176" s="8" t="str">
        <f>IF(_xlfn.XLOOKUP($B176,'ELC TECH'!$H:$H,'ELC TECH'!$E:$E)="Storage",CY$4*$BF176,"")</f>
        <v/>
      </c>
      <c r="CZ176" s="8" t="str">
        <f>IF(_xlfn.XLOOKUP($B176,'ELC TECH'!$H:$H,'ELC TECH'!$E:$E)="Storage",CZ$4*$BF176,"")</f>
        <v/>
      </c>
      <c r="DA176" s="8" t="str">
        <f>IF(_xlfn.XLOOKUP($B176,'ELC TECH'!$H:$H,'ELC TECH'!$E:$E)="Storage",DA$4*$BF176,"")</f>
        <v/>
      </c>
      <c r="DB176" s="8" t="str">
        <f>IF(_xlfn.XLOOKUP($B176,'ELC TECH'!$H:$H,'ELC TECH'!$E:$E)="Storage",DB$4*$BF176,"")</f>
        <v/>
      </c>
      <c r="DC176" s="8" t="str">
        <f>IF(_xlfn.XLOOKUP($B176,'ELC TECH'!$H:$H,'ELC TECH'!$E:$E)="Storage",DC$4*$BF176,"")</f>
        <v/>
      </c>
      <c r="DD176" s="8" t="str">
        <f>IF(_xlfn.XLOOKUP($B176,'ELC TECH'!$H:$H,'ELC TECH'!$E:$E)="Storage",DD$4*$BF176,"")</f>
        <v/>
      </c>
      <c r="DE176" s="8" t="str">
        <f>IF(_xlfn.XLOOKUP($B176,'ELC TECH'!$H:$H,'ELC TECH'!$E:$E)="Storage",DE$4*$BF176,"")</f>
        <v/>
      </c>
      <c r="DF176" s="8" t="str">
        <f>IF(_xlfn.XLOOKUP($B176,'ELC TECH'!$H:$H,'ELC TECH'!$E:$E)="Storage",DF$4*$BF176,"")</f>
        <v/>
      </c>
      <c r="DG176" s="8" t="str">
        <f>IF(_xlfn.XLOOKUP($B176,'ELC TECH'!$H:$H,'ELC TECH'!$E:$E)="Storage",DG$4*$BF176,"")</f>
        <v/>
      </c>
      <c r="DH176" s="8" t="str">
        <f>IF(_xlfn.XLOOKUP($B176,'ELC TECH'!$H:$H,'ELC TECH'!$E:$E)="Storage",DH$4*$BF176,"")</f>
        <v/>
      </c>
      <c r="DI176" s="8" t="str">
        <f>IF(_xlfn.XLOOKUP($B176,'ELC TECH'!$H:$H,'ELC TECH'!$E:$E)="Storage",DI$4*$BF176,"")</f>
        <v/>
      </c>
    </row>
    <row r="177" spans="2:113" x14ac:dyDescent="0.25">
      <c r="B177" t="str">
        <f>IF('ELC TECH'!I170=0,"*",'ELC TECH'!H170)</f>
        <v>ELCSOLDCECDPV320</v>
      </c>
      <c r="C177" t="str">
        <f>IF(_xlfn.XLOOKUP(_xlfn.XLOOKUP(B177,'ELC TECH'!$H:$H,'ELC TECH'!$G:$G),List!C:C,List!B:B)="STG",D177,"ELC"&amp;_xlfn.XLOOKUP(_xlfn.XLOOKUP(B177,'ELC TECH'!H:H,'ELC TECH'!G:G),List!C:C,List!B:B))</f>
        <v>ELCSOL</v>
      </c>
      <c r="D177" t="s">
        <v>546</v>
      </c>
      <c r="E177">
        <f>_xlfn.XLOOKUP(B177,'ELC TECH'!H:H,'ELC TECH'!D:D)</f>
        <v>2020</v>
      </c>
      <c r="F177">
        <f>_xlfn.XLOOKUP(B177,'ELC TECH'!H:H,'ELC TECH'!K:K)</f>
        <v>30</v>
      </c>
      <c r="G177">
        <f t="shared" si="9"/>
        <v>31.535999999999998</v>
      </c>
      <c r="H177">
        <f>IF(_xlfn.XLOOKUP(B177,'ELC TECH'!$H:$H,'ELC TECH'!$E:$E)="Storage",0.3,IF(_xlfn.XLOOKUP(B177,'ELC TECH'!$H:$H,'ELC TECH'!$E:$E)="Baseload",0.9,IF(_xlfn.XLOOKUP(B177,'ELC TECH'!$H:$H,'ELC TECH'!$E:$E)="Non Dispatchable",0.05,IF(_xlfn.XLOOKUP(B177,'ELC TECH'!$H:$H,'ELC TECH'!$E:$E)="Dispatchable",0.9,1))))</f>
        <v>0.05</v>
      </c>
      <c r="I177" s="13">
        <f>IF(_xlfn.XLOOKUP(B177,'ELC TECH'!H:H,'ELC TECH'!J:J)="","",_xlfn.XLOOKUP(B177,'ELC TECH'!H:H,'ELC TECH'!J:J))</f>
        <v>700.17955000000006</v>
      </c>
      <c r="J177" s="12">
        <f>IF(_xlfn.XLOOKUP($B177,'ELC TECH'!$H:$H,'ELC TECH'!$E:$E)="Storage","",IF(_xlfn.XLOOKUP($B177,'ELC TECH'!$H:$H,'ELC TECH'!AK:AK)="",1,_xlfn.XLOOKUP($B177,'ELC TECH'!$H:$H,'ELC TECH'!AK:AK)))</f>
        <v>1</v>
      </c>
      <c r="K177" s="12">
        <f>IF(_xlfn.XLOOKUP($B177,'ELC TECH'!$H:$H,'ELC TECH'!$E:$E)="Storage","",IF(_xlfn.XLOOKUP($B177,'ELC TECH'!$H:$H,'ELC TECH'!AL:AL)="",1,_xlfn.XLOOKUP($B177,'ELC TECH'!$H:$H,'ELC TECH'!AL:AL)))</f>
        <v>1</v>
      </c>
      <c r="L177" s="12">
        <f>IF(_xlfn.XLOOKUP($B177,'ELC TECH'!$H:$H,'ELC TECH'!$E:$E)="Storage","",IF(_xlfn.XLOOKUP($B177,'ELC TECH'!$H:$H,'ELC TECH'!AM:AM)="",1,_xlfn.XLOOKUP($B177,'ELC TECH'!$H:$H,'ELC TECH'!AM:AM)))</f>
        <v>1</v>
      </c>
      <c r="M177" s="12">
        <f>IF(_xlfn.XLOOKUP($B177,'ELC TECH'!$H:$H,'ELC TECH'!$E:$E)="Storage","",IF(_xlfn.XLOOKUP($B177,'ELC TECH'!$H:$H,'ELC TECH'!AN:AN)="",1,_xlfn.XLOOKUP($B177,'ELC TECH'!$H:$H,'ELC TECH'!AN:AN)))</f>
        <v>1</v>
      </c>
      <c r="N177" s="12">
        <f>IF(_xlfn.XLOOKUP($B177,'ELC TECH'!$H:$H,'ELC TECH'!$E:$E)="Storage","",IF(_xlfn.XLOOKUP($B177,'ELC TECH'!$H:$H,'ELC TECH'!AO:AO)="",1,_xlfn.XLOOKUP($B177,'ELC TECH'!$H:$H,'ELC TECH'!AO:AO)))</f>
        <v>1</v>
      </c>
      <c r="O177" s="12">
        <f>IF(_xlfn.XLOOKUP($B177,'ELC TECH'!$H:$H,'ELC TECH'!$E:$E)="Storage","",IF(_xlfn.XLOOKUP($B177,'ELC TECH'!$H:$H,'ELC TECH'!AP:AP)="",1,_xlfn.XLOOKUP($B177,'ELC TECH'!$H:$H,'ELC TECH'!AP:AP)))</f>
        <v>1</v>
      </c>
      <c r="P177" s="12">
        <f>IF(_xlfn.XLOOKUP($B177,'ELC TECH'!$H:$H,'ELC TECH'!$E:$E)="Storage","",IF(_xlfn.XLOOKUP($B177,'ELC TECH'!$H:$H,'ELC TECH'!AQ:AQ)="",1,_xlfn.XLOOKUP($B177,'ELC TECH'!$H:$H,'ELC TECH'!AQ:AQ)))</f>
        <v>1</v>
      </c>
      <c r="Q177" s="12">
        <f>IF(_xlfn.XLOOKUP($B177,'ELC TECH'!$H:$H,'ELC TECH'!$E:$E)="Storage","",IF(_xlfn.XLOOKUP($B177,'ELC TECH'!$H:$H,'ELC TECH'!AR:AR)="",1,_xlfn.XLOOKUP($B177,'ELC TECH'!$H:$H,'ELC TECH'!AR:AR)))</f>
        <v>1</v>
      </c>
      <c r="R177" s="12" t="str">
        <f>IF(_xlfn.XLOOKUP($B177,'ELC TECH'!$H:$H,'ELC TECH'!$E:$E)&lt;&gt;"Storage","",IF(_xlfn.XLOOKUP($B177,'ELC TECH'!$H:$H,'ELC TECH'!AK:AK)="",0.8,_xlfn.XLOOKUP($B177,'ELC TECH'!$H:$H,'ELC TECH'!AK:AK)))</f>
        <v/>
      </c>
      <c r="S177" s="12" t="str">
        <f>IF(_xlfn.XLOOKUP($B177,'ELC TECH'!$H:$H,'ELC TECH'!$E:$E)&lt;&gt;"Storage","",IF(_xlfn.XLOOKUP($B177,'ELC TECH'!$H:$H,'ELC TECH'!AL:AL)="",0.8,_xlfn.XLOOKUP($B177,'ELC TECH'!$H:$H,'ELC TECH'!AL:AL)))</f>
        <v/>
      </c>
      <c r="T177" s="12" t="str">
        <f>IF(_xlfn.XLOOKUP($B177,'ELC TECH'!$H:$H,'ELC TECH'!$E:$E)&lt;&gt;"Storage","",IF(_xlfn.XLOOKUP($B177,'ELC TECH'!$H:$H,'ELC TECH'!AM:AM)="",0.8,_xlfn.XLOOKUP($B177,'ELC TECH'!$H:$H,'ELC TECH'!AM:AM)))</f>
        <v/>
      </c>
      <c r="U177" s="12" t="str">
        <f>IF(_xlfn.XLOOKUP($B177,'ELC TECH'!$H:$H,'ELC TECH'!$E:$E)&lt;&gt;"Storage","",IF(_xlfn.XLOOKUP($B177,'ELC TECH'!$H:$H,'ELC TECH'!AN:AN)="",0.8,_xlfn.XLOOKUP($B177,'ELC TECH'!$H:$H,'ELC TECH'!AN:AN)))</f>
        <v/>
      </c>
      <c r="V177" s="12" t="str">
        <f>IF(_xlfn.XLOOKUP($B177,'ELC TECH'!$H:$H,'ELC TECH'!$E:$E)&lt;&gt;"Storage","",IF(_xlfn.XLOOKUP($B177,'ELC TECH'!$H:$H,'ELC TECH'!AO:AO)="",0.8,_xlfn.XLOOKUP($B177,'ELC TECH'!$H:$H,'ELC TECH'!AO:AO)))</f>
        <v/>
      </c>
      <c r="W177" s="12" t="str">
        <f>IF(_xlfn.XLOOKUP($B177,'ELC TECH'!$H:$H,'ELC TECH'!$E:$E)&lt;&gt;"Storage","",IF(_xlfn.XLOOKUP($B177,'ELC TECH'!$H:$H,'ELC TECH'!AP:AP)="",0.8,_xlfn.XLOOKUP($B177,'ELC TECH'!$H:$H,'ELC TECH'!AP:AP)))</f>
        <v/>
      </c>
      <c r="X177" s="12" t="str">
        <f>IF(_xlfn.XLOOKUP($B177,'ELC TECH'!$H:$H,'ELC TECH'!$E:$E)&lt;&gt;"Storage","",IF(_xlfn.XLOOKUP($B177,'ELC TECH'!$H:$H,'ELC TECH'!AQ:AQ)="",0.8,_xlfn.XLOOKUP($B177,'ELC TECH'!$H:$H,'ELC TECH'!AQ:AQ)))</f>
        <v/>
      </c>
      <c r="Y177" s="12" t="str">
        <f>IF(_xlfn.XLOOKUP($B177,'ELC TECH'!$H:$H,'ELC TECH'!$E:$E)&lt;&gt;"Storage","",IF(_xlfn.XLOOKUP($B177,'ELC TECH'!$H:$H,'ELC TECH'!AR:AR)="",0.8,_xlfn.XLOOKUP($B177,'ELC TECH'!$H:$H,'ELC TECH'!AR:AR)))</f>
        <v/>
      </c>
      <c r="Z177" s="15">
        <f>_xlfn.XLOOKUP($B177,'ELC TECH'!$H:$H,'ELC TECH'!M:M)</f>
        <v>1912.264310519447</v>
      </c>
      <c r="AA177" s="15">
        <f>_xlfn.XLOOKUP($B177,'ELC TECH'!$H:$H,'ELC TECH'!N:N)</f>
        <v>1887.703407882211</v>
      </c>
      <c r="AB177" s="15">
        <f>_xlfn.XLOOKUP($B177,'ELC TECH'!$H:$H,'ELC TECH'!O:O)</f>
        <v>1569.6288150057401</v>
      </c>
      <c r="AC177" s="15">
        <f>_xlfn.XLOOKUP($B177,'ELC TECH'!$H:$H,'ELC TECH'!P:P)</f>
        <v>1251.5542221292801</v>
      </c>
      <c r="AD177" s="15">
        <f>_xlfn.XLOOKUP($B177,'ELC TECH'!$H:$H,'ELC TECH'!Q:Q)</f>
        <v>1147.154572863142</v>
      </c>
      <c r="AE177" s="15">
        <f>_xlfn.XLOOKUP($B177,'ELC TECH'!$H:$H,'ELC TECH'!R:R)</f>
        <v>1042.7549235970189</v>
      </c>
      <c r="AF177" s="15">
        <f>_xlfn.XLOOKUP($B177,'ELC TECH'!$H:$H,'ELC TECH'!S:S)</f>
        <v>938.35527433088987</v>
      </c>
      <c r="AG177" s="15">
        <f>_xlfn.XLOOKUP($B177,'ELC TECH'!$H:$H,'ELC TECH'!T:T)</f>
        <v>938.35527433088987</v>
      </c>
      <c r="AH177" s="15">
        <f>_xlfn.XLOOKUP($B177,'ELC TECH'!$H:$H,'ELC TECH'!U:U)</f>
        <v>20.242248163120561</v>
      </c>
      <c r="AI177" s="15">
        <f>_xlfn.XLOOKUP($B177,'ELC TECH'!$H:$H,'ELC TECH'!V:V)</f>
        <v>19.891925366567069</v>
      </c>
      <c r="AJ177" s="15">
        <f>_xlfn.XLOOKUP($B177,'ELC TECH'!$H:$H,'ELC TECH'!W:W)</f>
        <v>17.127058056750311</v>
      </c>
      <c r="AK177" s="15">
        <f>_xlfn.XLOOKUP($B177,'ELC TECH'!$H:$H,'ELC TECH'!X:X)</f>
        <v>14.36219074693344</v>
      </c>
      <c r="AL177" s="15">
        <f>_xlfn.XLOOKUP($B177,'ELC TECH'!$H:$H,'ELC TECH'!Y:Y)</f>
        <v>13.45469551192622</v>
      </c>
      <c r="AM177" s="15">
        <f>_xlfn.XLOOKUP($B177,'ELC TECH'!$H:$H,'ELC TECH'!Z:Z)</f>
        <v>12.547200276919</v>
      </c>
      <c r="AN177" s="15">
        <f>_xlfn.XLOOKUP($B177,'ELC TECH'!$H:$H,'ELC TECH'!AA:AA)</f>
        <v>11.63970504191178</v>
      </c>
      <c r="AO177" s="15">
        <f>_xlfn.XLOOKUP($B177,'ELC TECH'!$H:$H,'ELC TECH'!AB:AB)</f>
        <v>11.63970504191178</v>
      </c>
      <c r="AP177" s="15">
        <f>_xlfn.XLOOKUP($B177,'ELC TECH'!$H:$H,'ELC TECH'!AC:AC)</f>
        <v>0</v>
      </c>
      <c r="AQ177" s="15">
        <f>_xlfn.XLOOKUP($B177,'ELC TECH'!$H:$H,'ELC TECH'!AD:AD)</f>
        <v>0</v>
      </c>
      <c r="AR177" s="15">
        <f>_xlfn.XLOOKUP($B177,'ELC TECH'!$H:$H,'ELC TECH'!AE:AE)</f>
        <v>0</v>
      </c>
      <c r="AS177" s="15">
        <f>_xlfn.XLOOKUP($B177,'ELC TECH'!$H:$H,'ELC TECH'!AF:AF)</f>
        <v>0</v>
      </c>
      <c r="AT177" s="15">
        <f>_xlfn.XLOOKUP($B177,'ELC TECH'!$H:$H,'ELC TECH'!AG:AG)</f>
        <v>0</v>
      </c>
      <c r="AU177" s="15">
        <f>_xlfn.XLOOKUP($B177,'ELC TECH'!$H:$H,'ELC TECH'!AH:AH)</f>
        <v>0</v>
      </c>
      <c r="AV177" s="15">
        <f>_xlfn.XLOOKUP($B177,'ELC TECH'!$H:$H,'ELC TECH'!AI:AI)</f>
        <v>0</v>
      </c>
      <c r="AW177" s="15">
        <f>_xlfn.XLOOKUP($B177,'ELC TECH'!$H:$H,'ELC TECH'!AJ:AJ)</f>
        <v>0</v>
      </c>
      <c r="AX177" s="12">
        <f>IF(_xlfn.XLOOKUP($B177,'ELC TECH'!$H:$H,'ELC TECH'!$E:$E)="Storage","",_xlfn.XLOOKUP($B177,'ELC TECH'!$H:$H,'ELC TECH'!AS:AS))</f>
        <v>0.17166269953272201</v>
      </c>
      <c r="AY177" s="12">
        <f>IF(_xlfn.XLOOKUP($B177,'ELC TECH'!$H:$H,'ELC TECH'!$E:$E)="Storage","",_xlfn.XLOOKUP($B177,'ELC TECH'!$H:$H,'ELC TECH'!AT:AT))</f>
        <v>0.17513825396993199</v>
      </c>
      <c r="AZ177" s="12">
        <f>IF(_xlfn.XLOOKUP($B177,'ELC TECH'!$H:$H,'ELC TECH'!$E:$E)="Storage","",_xlfn.XLOOKUP($B177,'ELC TECH'!$H:$H,'ELC TECH'!AU:AU))</f>
        <v>0.17948269701644401</v>
      </c>
      <c r="BA177" s="12">
        <f>IF(_xlfn.XLOOKUP($B177,'ELC TECH'!$H:$H,'ELC TECH'!$E:$E)="Storage","",_xlfn.XLOOKUP($B177,'ELC TECH'!$H:$H,'ELC TECH'!AV:AV))</f>
        <v>0.183827140062956</v>
      </c>
      <c r="BB177" s="12">
        <f>IF(_xlfn.XLOOKUP($B177,'ELC TECH'!$H:$H,'ELC TECH'!$E:$E)="Storage","",_xlfn.XLOOKUP($B177,'ELC TECH'!$H:$H,'ELC TECH'!AW:AW))</f>
        <v>0.186871633418596</v>
      </c>
      <c r="BC177" s="12">
        <f>IF(_xlfn.XLOOKUP($B177,'ELC TECH'!$H:$H,'ELC TECH'!$E:$E)="Storage","",_xlfn.XLOOKUP($B177,'ELC TECH'!$H:$H,'ELC TECH'!AX:AX))</f>
        <v>0.189916126774236</v>
      </c>
      <c r="BD177" s="12">
        <f>IF(_xlfn.XLOOKUP($B177,'ELC TECH'!$H:$H,'ELC TECH'!$E:$E)="Storage","",_xlfn.XLOOKUP($B177,'ELC TECH'!$H:$H,'ELC TECH'!AY:AY))</f>
        <v>0.192960620129876</v>
      </c>
      <c r="BE177" s="12">
        <f>IF(_xlfn.XLOOKUP($B177,'ELC TECH'!$H:$H,'ELC TECH'!$E:$E)="Storage","",_xlfn.XLOOKUP($B177,'ELC TECH'!$H:$H,'ELC TECH'!AZ:AZ))</f>
        <v>0.192960620129876</v>
      </c>
      <c r="BF177" s="12" t="str">
        <f>IF(_xlfn.XLOOKUP($B177,'ELC TECH'!$H:$H,'ELC TECH'!$E:$E)="Storage",_xlfn.XLOOKUP($B177,'ELC TECH'!$H:$H,'ELC TECH'!AS:AS),"")</f>
        <v/>
      </c>
      <c r="BG177" s="12" t="str">
        <f>IF(_xlfn.XLOOKUP($B177,'ELC TECH'!$H:$H,'ELC TECH'!$E:$E)="Storage",_xlfn.XLOOKUP($B177,'ELC TECH'!$H:$H,'ELC TECH'!AT:AT),"")</f>
        <v/>
      </c>
      <c r="BH177" s="12" t="str">
        <f>IF(_xlfn.XLOOKUP($B177,'ELC TECH'!$H:$H,'ELC TECH'!$E:$E)="Storage",_xlfn.XLOOKUP($B177,'ELC TECH'!$H:$H,'ELC TECH'!AU:AU),"")</f>
        <v/>
      </c>
      <c r="BI177" s="12" t="str">
        <f>IF(_xlfn.XLOOKUP($B177,'ELC TECH'!$H:$H,'ELC TECH'!$E:$E)="Storage",_xlfn.XLOOKUP($B177,'ELC TECH'!$H:$H,'ELC TECH'!AV:AV),"")</f>
        <v/>
      </c>
      <c r="BJ177" s="12" t="str">
        <f>IF(_xlfn.XLOOKUP($B177,'ELC TECH'!$H:$H,'ELC TECH'!$E:$E)="Storage",_xlfn.XLOOKUP($B177,'ELC TECH'!$H:$H,'ELC TECH'!AW:AW),"")</f>
        <v/>
      </c>
      <c r="BK177" s="12" t="str">
        <f>IF(_xlfn.XLOOKUP($B177,'ELC TECH'!$H:$H,'ELC TECH'!$E:$E)="Storage",_xlfn.XLOOKUP($B177,'ELC TECH'!$H:$H,'ELC TECH'!AX:AX),"")</f>
        <v/>
      </c>
      <c r="BL177" s="12" t="str">
        <f>IF(_xlfn.XLOOKUP($B177,'ELC TECH'!$H:$H,'ELC TECH'!$E:$E)="Storage",_xlfn.XLOOKUP($B177,'ELC TECH'!$H:$H,'ELC TECH'!AY:AY),"")</f>
        <v/>
      </c>
      <c r="BM177" s="12" t="str">
        <f>IF(_xlfn.XLOOKUP($B177,'ELC TECH'!$H:$H,'ELC TECH'!$E:$E)="Storage",_xlfn.XLOOKUP($B177,'ELC TECH'!$H:$H,'ELC TECH'!AZ:AZ),"")</f>
        <v/>
      </c>
      <c r="BN177" s="8">
        <f>IF(_xlfn.XLOOKUP($B177,'ELC TECH'!$H:$H,'ELC TECH'!$E:$E)="Non Dispatchable",IFERROR($AX177*_xlfn.XLOOKUP($C177,$BM$1:$BM$3,BN$1:BN$3)/SUMPRODUCT(_xlfn.XLOOKUP($C177,$BM$1:$BM$3,$BN$1:$BY$3),$BN$4:$BY$4),""),
"")</f>
        <v>0.26866969783141331</v>
      </c>
      <c r="BO177" s="8">
        <f>IF(_xlfn.XLOOKUP($B177,'ELC TECH'!$H:$H,'ELC TECH'!$E:$E)="Non Dispatchable",IFERROR($AX177*_xlfn.XLOOKUP($C177,$BM$1:$BM$3,BO$1:BO$3)/SUMPRODUCT(_xlfn.XLOOKUP($C177,$BM$1:$BM$3,$BN$1:$BY$3),$BN$4:$BY$4),""),
"")</f>
        <v>0.26866969783141331</v>
      </c>
      <c r="BP177" s="8">
        <f>IF(_xlfn.XLOOKUP($B177,'ELC TECH'!$H:$H,'ELC TECH'!$E:$E)="Non Dispatchable",IFERROR($AX177*_xlfn.XLOOKUP($C177,$BM$1:$BM$3,BP$1:BP$3)/SUMPRODUCT(_xlfn.XLOOKUP($C177,$BM$1:$BM$3,$BN$1:$BY$3),$BN$4:$BY$4),""),
"")</f>
        <v>2.6866969783141334E-2</v>
      </c>
      <c r="BQ177" s="8">
        <f>IF(_xlfn.XLOOKUP($B177,'ELC TECH'!$H:$H,'ELC TECH'!$E:$E)="Non Dispatchable",IFERROR($AX177*_xlfn.XLOOKUP($C177,$BM$1:$BM$3,BQ$1:BQ$3)/SUMPRODUCT(_xlfn.XLOOKUP($C177,$BM$1:$BM$3,$BN$1:$BY$3),$BN$4:$BY$4),""),
"")</f>
        <v>0</v>
      </c>
      <c r="BR177" s="8">
        <f>IF(_xlfn.XLOOKUP($B177,'ELC TECH'!$H:$H,'ELC TECH'!$E:$E)="Non Dispatchable",IFERROR($AX177*_xlfn.XLOOKUP($C177,$BM$1:$BM$3,BR$1:BR$3)/SUMPRODUCT(_xlfn.XLOOKUP($C177,$BM$1:$BM$3,$BN$1:$BY$3),$BN$4:$BY$4),""),
"")</f>
        <v>0.30943510416553344</v>
      </c>
      <c r="BS177" s="8">
        <f>IF(_xlfn.XLOOKUP($B177,'ELC TECH'!$H:$H,'ELC TECH'!$E:$E)="Non Dispatchable",IFERROR($AX177*_xlfn.XLOOKUP($C177,$BM$1:$BM$3,BS$1:BS$3)/SUMPRODUCT(_xlfn.XLOOKUP($C177,$BM$1:$BM$3,$BN$1:$BY$3),$BN$4:$BY$4),""),
"")</f>
        <v>0.30943510416553344</v>
      </c>
      <c r="BT177" s="8">
        <f>IF(_xlfn.XLOOKUP($B177,'ELC TECH'!$H:$H,'ELC TECH'!$E:$E)="Non Dispatchable",IFERROR($AX177*_xlfn.XLOOKUP($C177,$BM$1:$BM$3,BT$1:BT$3)/SUMPRODUCT(_xlfn.XLOOKUP($C177,$BM$1:$BM$3,$BN$1:$BY$3),$BN$4:$BY$4),""),
"")</f>
        <v>3.0943510416553348E-2</v>
      </c>
      <c r="BU177" s="8">
        <f>IF(_xlfn.XLOOKUP($B177,'ELC TECH'!$H:$H,'ELC TECH'!$E:$E)="Non Dispatchable",IFERROR($AX177*_xlfn.XLOOKUP($C177,$BM$1:$BM$3,BU$1:BU$3)/SUMPRODUCT(_xlfn.XLOOKUP($C177,$BM$1:$BM$3,$BN$1:$BY$3),$BN$4:$BY$4),""),
"")</f>
        <v>0</v>
      </c>
      <c r="BV177" s="8">
        <f>IF(_xlfn.XLOOKUP($B177,'ELC TECH'!$H:$H,'ELC TECH'!$E:$E)="Non Dispatchable",IFERROR($AX177*_xlfn.XLOOKUP($C177,$BM$1:$BM$3,BV$1:BV$3)/SUMPRODUCT(_xlfn.XLOOKUP($C177,$BM$1:$BM$3,$BN$1:$BY$3),$BN$4:$BY$4),""),
"")</f>
        <v>0.25886931338602776</v>
      </c>
      <c r="BW177" s="8">
        <f>IF(_xlfn.XLOOKUP($B177,'ELC TECH'!$H:$H,'ELC TECH'!$E:$E)="Non Dispatchable",IFERROR($AX177*_xlfn.XLOOKUP($C177,$BM$1:$BM$3,BW$1:BW$3)/SUMPRODUCT(_xlfn.XLOOKUP($C177,$BM$1:$BM$3,$BN$1:$BY$3),$BN$4:$BY$4),""),
"")</f>
        <v>0.25886931338602776</v>
      </c>
      <c r="BX177" s="8">
        <f>IF(_xlfn.XLOOKUP($B177,'ELC TECH'!$H:$H,'ELC TECH'!$E:$E)="Non Dispatchable",IFERROR($AX177*_xlfn.XLOOKUP($C177,$BM$1:$BM$3,BX$1:BX$3)/SUMPRODUCT(_xlfn.XLOOKUP($C177,$BM$1:$BM$3,$BN$1:$BY$3),$BN$4:$BY$4),""),
"")</f>
        <v>2.5886931338602776E-2</v>
      </c>
      <c r="BY177" s="8">
        <f>IF(_xlfn.XLOOKUP($B177,'ELC TECH'!$H:$H,'ELC TECH'!$E:$E)="Non Dispatchable",IFERROR($AX177*_xlfn.XLOOKUP($C177,$BM$1:$BM$3,BY$1:BY$3)/SUMPRODUCT(_xlfn.XLOOKUP($C177,$BM$1:$BM$3,$BN$1:$BY$3),$BN$4:$BY$4),""),
"")</f>
        <v>0</v>
      </c>
      <c r="BZ177" s="8">
        <f>IF(_xlfn.XLOOKUP($B177,'ELC TECH'!$H:$H,'ELC TECH'!$E:$E)="Non Dispatchable",IFERROR($AX177*_xlfn.XLOOKUP($C177,$BM$1:$BM$3,BZ$1:BZ$3)/SUMPRODUCT(_xlfn.XLOOKUP($C177,$BM$1:$BM$3,$BN$1:$BY$3),$BN$4:$BY$4),""),
"")</f>
        <v>0.26866969783141331</v>
      </c>
      <c r="CA177" s="8">
        <f>IF(_xlfn.XLOOKUP($B177,'ELC TECH'!$H:$H,'ELC TECH'!$E:$E)="Non Dispatchable",IFERROR($AX177*_xlfn.XLOOKUP($C177,$BM$1:$BM$3,CA$1:CA$3)/SUMPRODUCT(_xlfn.XLOOKUP($C177,$BM$1:$BM$3,$BN$1:$BY$3),$BN$4:$BY$4),""),
"")</f>
        <v>0.26866969783141331</v>
      </c>
      <c r="CB177" s="8">
        <f>IF(_xlfn.XLOOKUP($B177,'ELC TECH'!$H:$H,'ELC TECH'!$E:$E)="Non Dispatchable",IFERROR($AX177*_xlfn.XLOOKUP($C177,$BM$1:$BM$3,CB$1:CB$3)/SUMPRODUCT(_xlfn.XLOOKUP($C177,$BM$1:$BM$3,$BN$1:$BY$3),$BN$4:$BY$4),""),
"")</f>
        <v>2.6866969783141334E-2</v>
      </c>
      <c r="CC177" s="8">
        <f>IF(_xlfn.XLOOKUP($B177,'ELC TECH'!$H:$H,'ELC TECH'!$E:$E)="Non Dispatchable",IFERROR($AX177*_xlfn.XLOOKUP($C177,$BM$1:$BM$3,CC$1:CC$3)/SUMPRODUCT(_xlfn.XLOOKUP($C177,$BM$1:$BM$3,$BN$1:$BY$3),$BN$4:$BY$4),""),
"")</f>
        <v>0</v>
      </c>
      <c r="CD177" s="8">
        <f>IF(_xlfn.XLOOKUP($B177,'ELC TECH'!$H:$H,'ELC TECH'!$E:$E)="Non Dispatchable",IFERROR($AX177*_xlfn.XLOOKUP($C177,$BM$1:$BM$3,CD$1:CD$3)/SUMPRODUCT(_xlfn.XLOOKUP($C177,$BM$1:$BM$3,$BN$1:$BY$3),$BN$4:$BY$4),""),
"")</f>
        <v>0.30943510416553344</v>
      </c>
      <c r="CE177" s="8">
        <f>IF(_xlfn.XLOOKUP($B177,'ELC TECH'!$H:$H,'ELC TECH'!$E:$E)="Non Dispatchable",IFERROR($AX177*_xlfn.XLOOKUP($C177,$BM$1:$BM$3,CE$1:CE$3)/SUMPRODUCT(_xlfn.XLOOKUP($C177,$BM$1:$BM$3,$BN$1:$BY$3),$BN$4:$BY$4),""),
"")</f>
        <v>0.30943510416553344</v>
      </c>
      <c r="CF177" s="8">
        <f>IF(_xlfn.XLOOKUP($B177,'ELC TECH'!$H:$H,'ELC TECH'!$E:$E)="Non Dispatchable",IFERROR($AX177*_xlfn.XLOOKUP($C177,$BM$1:$BM$3,CF$1:CF$3)/SUMPRODUCT(_xlfn.XLOOKUP($C177,$BM$1:$BM$3,$BN$1:$BY$3),$BN$4:$BY$4),""),
"")</f>
        <v>3.0943510416553348E-2</v>
      </c>
      <c r="CG177" s="8">
        <f>IF(_xlfn.XLOOKUP($B177,'ELC TECH'!$H:$H,'ELC TECH'!$E:$E)="Non Dispatchable",IFERROR($AX177*_xlfn.XLOOKUP($C177,$BM$1:$BM$3,CG$1:CG$3)/SUMPRODUCT(_xlfn.XLOOKUP($C177,$BM$1:$BM$3,$BN$1:$BY$3),$BN$4:$BY$4),""),
"")</f>
        <v>0</v>
      </c>
      <c r="CH177" s="8">
        <f>IF(_xlfn.XLOOKUP($B177,'ELC TECH'!$H:$H,'ELC TECH'!$E:$E)="Non Dispatchable",IFERROR($AX177*_xlfn.XLOOKUP($C177,$BM$1:$BM$3,CH$1:CH$3)/SUMPRODUCT(_xlfn.XLOOKUP($C177,$BM$1:$BM$3,$BN$1:$BY$3),$BN$4:$BY$4),""),
"")</f>
        <v>0.25886931338602776</v>
      </c>
      <c r="CI177" s="8">
        <f>IF(_xlfn.XLOOKUP($B177,'ELC TECH'!$H:$H,'ELC TECH'!$E:$E)="Non Dispatchable",IFERROR($AX177*_xlfn.XLOOKUP($C177,$BM$1:$BM$3,CI$1:CI$3)/SUMPRODUCT(_xlfn.XLOOKUP($C177,$BM$1:$BM$3,$BN$1:$BY$3),$BN$4:$BY$4),""),
"")</f>
        <v>0.25886931338602776</v>
      </c>
      <c r="CJ177" s="8">
        <f>IF(_xlfn.XLOOKUP($B177,'ELC TECH'!$H:$H,'ELC TECH'!$E:$E)="Non Dispatchable",IFERROR($AX177*_xlfn.XLOOKUP($C177,$BM$1:$BM$3,CJ$1:CJ$3)/SUMPRODUCT(_xlfn.XLOOKUP($C177,$BM$1:$BM$3,$BN$1:$BY$3),$BN$4:$BY$4),""),
"")</f>
        <v>2.5886931338602776E-2</v>
      </c>
      <c r="CK177" s="8">
        <f>IF(_xlfn.XLOOKUP($B177,'ELC TECH'!$H:$H,'ELC TECH'!$E:$E)="Non Dispatchable",IFERROR($AX177*_xlfn.XLOOKUP($C177,$BM$1:$BM$3,CK$1:CK$3)/SUMPRODUCT(_xlfn.XLOOKUP($C177,$BM$1:$BM$3,$BN$1:$BY$3),$BN$4:$BY$4),""),
"")</f>
        <v>0</v>
      </c>
      <c r="CL177" s="8" t="str">
        <f>IF(_xlfn.XLOOKUP($B177,'ELC TECH'!$H:$H,'ELC TECH'!$E:$E)="Storage",CL$4*$BF177,"")</f>
        <v/>
      </c>
      <c r="CM177" s="8" t="str">
        <f>IF(_xlfn.XLOOKUP($B177,'ELC TECH'!$H:$H,'ELC TECH'!$E:$E)="Storage",CM$4*$BF177,"")</f>
        <v/>
      </c>
      <c r="CN177" s="8" t="str">
        <f>IF(_xlfn.XLOOKUP($B177,'ELC TECH'!$H:$H,'ELC TECH'!$E:$E)="Storage",CN$4*$BF177,"")</f>
        <v/>
      </c>
      <c r="CO177" s="8" t="str">
        <f>IF(_xlfn.XLOOKUP($B177,'ELC TECH'!$H:$H,'ELC TECH'!$E:$E)="Storage",CO$4*$BF177,"")</f>
        <v/>
      </c>
      <c r="CP177" s="8" t="str">
        <f>IF(_xlfn.XLOOKUP($B177,'ELC TECH'!$H:$H,'ELC TECH'!$E:$E)="Storage",CP$4*$BF177,"")</f>
        <v/>
      </c>
      <c r="CQ177" s="8" t="str">
        <f>IF(_xlfn.XLOOKUP($B177,'ELC TECH'!$H:$H,'ELC TECH'!$E:$E)="Storage",CQ$4*$BF177,"")</f>
        <v/>
      </c>
      <c r="CR177" s="8" t="str">
        <f>IF(_xlfn.XLOOKUP($B177,'ELC TECH'!$H:$H,'ELC TECH'!$E:$E)="Storage",CR$4*$BF177,"")</f>
        <v/>
      </c>
      <c r="CS177" s="8" t="str">
        <f>IF(_xlfn.XLOOKUP($B177,'ELC TECH'!$H:$H,'ELC TECH'!$E:$E)="Storage",CS$4*$BF177,"")</f>
        <v/>
      </c>
      <c r="CT177" s="8" t="str">
        <f>IF(_xlfn.XLOOKUP($B177,'ELC TECH'!$H:$H,'ELC TECH'!$E:$E)="Storage",CT$4*$BF177,"")</f>
        <v/>
      </c>
      <c r="CU177" s="8" t="str">
        <f>IF(_xlfn.XLOOKUP($B177,'ELC TECH'!$H:$H,'ELC TECH'!$E:$E)="Storage",CU$4*$BF177,"")</f>
        <v/>
      </c>
      <c r="CV177" s="8" t="str">
        <f>IF(_xlfn.XLOOKUP($B177,'ELC TECH'!$H:$H,'ELC TECH'!$E:$E)="Storage",CV$4*$BF177,"")</f>
        <v/>
      </c>
      <c r="CW177" s="8" t="str">
        <f>IF(_xlfn.XLOOKUP($B177,'ELC TECH'!$H:$H,'ELC TECH'!$E:$E)="Storage",CW$4*$BF177,"")</f>
        <v/>
      </c>
      <c r="CX177" s="8" t="str">
        <f>IF(_xlfn.XLOOKUP($B177,'ELC TECH'!$H:$H,'ELC TECH'!$E:$E)="Storage",CX$4*$BF177,"")</f>
        <v/>
      </c>
      <c r="CY177" s="8" t="str">
        <f>IF(_xlfn.XLOOKUP($B177,'ELC TECH'!$H:$H,'ELC TECH'!$E:$E)="Storage",CY$4*$BF177,"")</f>
        <v/>
      </c>
      <c r="CZ177" s="8" t="str">
        <f>IF(_xlfn.XLOOKUP($B177,'ELC TECH'!$H:$H,'ELC TECH'!$E:$E)="Storage",CZ$4*$BF177,"")</f>
        <v/>
      </c>
      <c r="DA177" s="8" t="str">
        <f>IF(_xlfn.XLOOKUP($B177,'ELC TECH'!$H:$H,'ELC TECH'!$E:$E)="Storage",DA$4*$BF177,"")</f>
        <v/>
      </c>
      <c r="DB177" s="8" t="str">
        <f>IF(_xlfn.XLOOKUP($B177,'ELC TECH'!$H:$H,'ELC TECH'!$E:$E)="Storage",DB$4*$BF177,"")</f>
        <v/>
      </c>
      <c r="DC177" s="8" t="str">
        <f>IF(_xlfn.XLOOKUP($B177,'ELC TECH'!$H:$H,'ELC TECH'!$E:$E)="Storage",DC$4*$BF177,"")</f>
        <v/>
      </c>
      <c r="DD177" s="8" t="str">
        <f>IF(_xlfn.XLOOKUP($B177,'ELC TECH'!$H:$H,'ELC TECH'!$E:$E)="Storage",DD$4*$BF177,"")</f>
        <v/>
      </c>
      <c r="DE177" s="8" t="str">
        <f>IF(_xlfn.XLOOKUP($B177,'ELC TECH'!$H:$H,'ELC TECH'!$E:$E)="Storage",DE$4*$BF177,"")</f>
        <v/>
      </c>
      <c r="DF177" s="8" t="str">
        <f>IF(_xlfn.XLOOKUP($B177,'ELC TECH'!$H:$H,'ELC TECH'!$E:$E)="Storage",DF$4*$BF177,"")</f>
        <v/>
      </c>
      <c r="DG177" s="8" t="str">
        <f>IF(_xlfn.XLOOKUP($B177,'ELC TECH'!$H:$H,'ELC TECH'!$E:$E)="Storage",DG$4*$BF177,"")</f>
        <v/>
      </c>
      <c r="DH177" s="8" t="str">
        <f>IF(_xlfn.XLOOKUP($B177,'ELC TECH'!$H:$H,'ELC TECH'!$E:$E)="Storage",DH$4*$BF177,"")</f>
        <v/>
      </c>
      <c r="DI177" s="8" t="str">
        <f>IF(_xlfn.XLOOKUP($B177,'ELC TECH'!$H:$H,'ELC TECH'!$E:$E)="Storage",DI$4*$BF177,"")</f>
        <v/>
      </c>
    </row>
    <row r="178" spans="2:113" x14ac:dyDescent="0.25">
      <c r="B178" t="str">
        <f>IF('ELC TECH'!I171=0,"*",'ELC TECH'!H171)</f>
        <v>ELCSOLDCECDPV420</v>
      </c>
      <c r="C178" t="str">
        <f>IF(_xlfn.XLOOKUP(_xlfn.XLOOKUP(B178,'ELC TECH'!$H:$H,'ELC TECH'!$G:$G),List!C:C,List!B:B)="STG",D178,"ELC"&amp;_xlfn.XLOOKUP(_xlfn.XLOOKUP(B178,'ELC TECH'!H:H,'ELC TECH'!G:G),List!C:C,List!B:B))</f>
        <v>ELCSOL</v>
      </c>
      <c r="D178" t="s">
        <v>546</v>
      </c>
      <c r="E178">
        <f>_xlfn.XLOOKUP(B178,'ELC TECH'!H:H,'ELC TECH'!D:D)</f>
        <v>2020</v>
      </c>
      <c r="F178">
        <f>_xlfn.XLOOKUP(B178,'ELC TECH'!H:H,'ELC TECH'!K:K)</f>
        <v>30</v>
      </c>
      <c r="G178">
        <f t="shared" si="9"/>
        <v>31.535999999999998</v>
      </c>
      <c r="H178">
        <f>IF(_xlfn.XLOOKUP(B178,'ELC TECH'!$H:$H,'ELC TECH'!$E:$E)="Storage",0.3,IF(_xlfn.XLOOKUP(B178,'ELC TECH'!$H:$H,'ELC TECH'!$E:$E)="Baseload",0.9,IF(_xlfn.XLOOKUP(B178,'ELC TECH'!$H:$H,'ELC TECH'!$E:$E)="Non Dispatchable",0.05,IF(_xlfn.XLOOKUP(B178,'ELC TECH'!$H:$H,'ELC TECH'!$E:$E)="Dispatchable",0.9,1))))</f>
        <v>0.05</v>
      </c>
      <c r="I178" s="13">
        <f>IF(_xlfn.XLOOKUP(B178,'ELC TECH'!H:H,'ELC TECH'!J:J)="","",_xlfn.XLOOKUP(B178,'ELC TECH'!H:H,'ELC TECH'!J:J))</f>
        <v>700.17955000000006</v>
      </c>
      <c r="J178" s="12">
        <f>IF(_xlfn.XLOOKUP($B178,'ELC TECH'!$H:$H,'ELC TECH'!$E:$E)="Storage","",IF(_xlfn.XLOOKUP($B178,'ELC TECH'!$H:$H,'ELC TECH'!AK:AK)="",1,_xlfn.XLOOKUP($B178,'ELC TECH'!$H:$H,'ELC TECH'!AK:AK)))</f>
        <v>1</v>
      </c>
      <c r="K178" s="12">
        <f>IF(_xlfn.XLOOKUP($B178,'ELC TECH'!$H:$H,'ELC TECH'!$E:$E)="Storage","",IF(_xlfn.XLOOKUP($B178,'ELC TECH'!$H:$H,'ELC TECH'!AL:AL)="",1,_xlfn.XLOOKUP($B178,'ELC TECH'!$H:$H,'ELC TECH'!AL:AL)))</f>
        <v>1</v>
      </c>
      <c r="L178" s="12">
        <f>IF(_xlfn.XLOOKUP($B178,'ELC TECH'!$H:$H,'ELC TECH'!$E:$E)="Storage","",IF(_xlfn.XLOOKUP($B178,'ELC TECH'!$H:$H,'ELC TECH'!AM:AM)="",1,_xlfn.XLOOKUP($B178,'ELC TECH'!$H:$H,'ELC TECH'!AM:AM)))</f>
        <v>1</v>
      </c>
      <c r="M178" s="12">
        <f>IF(_xlfn.XLOOKUP($B178,'ELC TECH'!$H:$H,'ELC TECH'!$E:$E)="Storage","",IF(_xlfn.XLOOKUP($B178,'ELC TECH'!$H:$H,'ELC TECH'!AN:AN)="",1,_xlfn.XLOOKUP($B178,'ELC TECH'!$H:$H,'ELC TECH'!AN:AN)))</f>
        <v>1</v>
      </c>
      <c r="N178" s="12">
        <f>IF(_xlfn.XLOOKUP($B178,'ELC TECH'!$H:$H,'ELC TECH'!$E:$E)="Storage","",IF(_xlfn.XLOOKUP($B178,'ELC TECH'!$H:$H,'ELC TECH'!AO:AO)="",1,_xlfn.XLOOKUP($B178,'ELC TECH'!$H:$H,'ELC TECH'!AO:AO)))</f>
        <v>1</v>
      </c>
      <c r="O178" s="12">
        <f>IF(_xlfn.XLOOKUP($B178,'ELC TECH'!$H:$H,'ELC TECH'!$E:$E)="Storage","",IF(_xlfn.XLOOKUP($B178,'ELC TECH'!$H:$H,'ELC TECH'!AP:AP)="",1,_xlfn.XLOOKUP($B178,'ELC TECH'!$H:$H,'ELC TECH'!AP:AP)))</f>
        <v>1</v>
      </c>
      <c r="P178" s="12">
        <f>IF(_xlfn.XLOOKUP($B178,'ELC TECH'!$H:$H,'ELC TECH'!$E:$E)="Storage","",IF(_xlfn.XLOOKUP($B178,'ELC TECH'!$H:$H,'ELC TECH'!AQ:AQ)="",1,_xlfn.XLOOKUP($B178,'ELC TECH'!$H:$H,'ELC TECH'!AQ:AQ)))</f>
        <v>1</v>
      </c>
      <c r="Q178" s="12">
        <f>IF(_xlfn.XLOOKUP($B178,'ELC TECH'!$H:$H,'ELC TECH'!$E:$E)="Storage","",IF(_xlfn.XLOOKUP($B178,'ELC TECH'!$H:$H,'ELC TECH'!AR:AR)="",1,_xlfn.XLOOKUP($B178,'ELC TECH'!$H:$H,'ELC TECH'!AR:AR)))</f>
        <v>1</v>
      </c>
      <c r="R178" s="12" t="str">
        <f>IF(_xlfn.XLOOKUP($B178,'ELC TECH'!$H:$H,'ELC TECH'!$E:$E)&lt;&gt;"Storage","",IF(_xlfn.XLOOKUP($B178,'ELC TECH'!$H:$H,'ELC TECH'!AK:AK)="",0.8,_xlfn.XLOOKUP($B178,'ELC TECH'!$H:$H,'ELC TECH'!AK:AK)))</f>
        <v/>
      </c>
      <c r="S178" s="12" t="str">
        <f>IF(_xlfn.XLOOKUP($B178,'ELC TECH'!$H:$H,'ELC TECH'!$E:$E)&lt;&gt;"Storage","",IF(_xlfn.XLOOKUP($B178,'ELC TECH'!$H:$H,'ELC TECH'!AL:AL)="",0.8,_xlfn.XLOOKUP($B178,'ELC TECH'!$H:$H,'ELC TECH'!AL:AL)))</f>
        <v/>
      </c>
      <c r="T178" s="12" t="str">
        <f>IF(_xlfn.XLOOKUP($B178,'ELC TECH'!$H:$H,'ELC TECH'!$E:$E)&lt;&gt;"Storage","",IF(_xlfn.XLOOKUP($B178,'ELC TECH'!$H:$H,'ELC TECH'!AM:AM)="",0.8,_xlfn.XLOOKUP($B178,'ELC TECH'!$H:$H,'ELC TECH'!AM:AM)))</f>
        <v/>
      </c>
      <c r="U178" s="12" t="str">
        <f>IF(_xlfn.XLOOKUP($B178,'ELC TECH'!$H:$H,'ELC TECH'!$E:$E)&lt;&gt;"Storage","",IF(_xlfn.XLOOKUP($B178,'ELC TECH'!$H:$H,'ELC TECH'!AN:AN)="",0.8,_xlfn.XLOOKUP($B178,'ELC TECH'!$H:$H,'ELC TECH'!AN:AN)))</f>
        <v/>
      </c>
      <c r="V178" s="12" t="str">
        <f>IF(_xlfn.XLOOKUP($B178,'ELC TECH'!$H:$H,'ELC TECH'!$E:$E)&lt;&gt;"Storage","",IF(_xlfn.XLOOKUP($B178,'ELC TECH'!$H:$H,'ELC TECH'!AO:AO)="",0.8,_xlfn.XLOOKUP($B178,'ELC TECH'!$H:$H,'ELC TECH'!AO:AO)))</f>
        <v/>
      </c>
      <c r="W178" s="12" t="str">
        <f>IF(_xlfn.XLOOKUP($B178,'ELC TECH'!$H:$H,'ELC TECH'!$E:$E)&lt;&gt;"Storage","",IF(_xlfn.XLOOKUP($B178,'ELC TECH'!$H:$H,'ELC TECH'!AP:AP)="",0.8,_xlfn.XLOOKUP($B178,'ELC TECH'!$H:$H,'ELC TECH'!AP:AP)))</f>
        <v/>
      </c>
      <c r="X178" s="12" t="str">
        <f>IF(_xlfn.XLOOKUP($B178,'ELC TECH'!$H:$H,'ELC TECH'!$E:$E)&lt;&gt;"Storage","",IF(_xlfn.XLOOKUP($B178,'ELC TECH'!$H:$H,'ELC TECH'!AQ:AQ)="",0.8,_xlfn.XLOOKUP($B178,'ELC TECH'!$H:$H,'ELC TECH'!AQ:AQ)))</f>
        <v/>
      </c>
      <c r="Y178" s="12" t="str">
        <f>IF(_xlfn.XLOOKUP($B178,'ELC TECH'!$H:$H,'ELC TECH'!$E:$E)&lt;&gt;"Storage","",IF(_xlfn.XLOOKUP($B178,'ELC TECH'!$H:$H,'ELC TECH'!AR:AR)="",0.8,_xlfn.XLOOKUP($B178,'ELC TECH'!$H:$H,'ELC TECH'!AR:AR)))</f>
        <v/>
      </c>
      <c r="Z178" s="15">
        <f>_xlfn.XLOOKUP($B178,'ELC TECH'!$H:$H,'ELC TECH'!M:M)</f>
        <v>1912.264310519447</v>
      </c>
      <c r="AA178" s="15">
        <f>_xlfn.XLOOKUP($B178,'ELC TECH'!$H:$H,'ELC TECH'!N:N)</f>
        <v>1887.703407882211</v>
      </c>
      <c r="AB178" s="15">
        <f>_xlfn.XLOOKUP($B178,'ELC TECH'!$H:$H,'ELC TECH'!O:O)</f>
        <v>1569.6288150057401</v>
      </c>
      <c r="AC178" s="15">
        <f>_xlfn.XLOOKUP($B178,'ELC TECH'!$H:$H,'ELC TECH'!P:P)</f>
        <v>1251.5542221292801</v>
      </c>
      <c r="AD178" s="15">
        <f>_xlfn.XLOOKUP($B178,'ELC TECH'!$H:$H,'ELC TECH'!Q:Q)</f>
        <v>1147.154572863142</v>
      </c>
      <c r="AE178" s="15">
        <f>_xlfn.XLOOKUP($B178,'ELC TECH'!$H:$H,'ELC TECH'!R:R)</f>
        <v>1042.7549235970189</v>
      </c>
      <c r="AF178" s="15">
        <f>_xlfn.XLOOKUP($B178,'ELC TECH'!$H:$H,'ELC TECH'!S:S)</f>
        <v>938.35527433088987</v>
      </c>
      <c r="AG178" s="15">
        <f>_xlfn.XLOOKUP($B178,'ELC TECH'!$H:$H,'ELC TECH'!T:T)</f>
        <v>938.35527433088987</v>
      </c>
      <c r="AH178" s="15">
        <f>_xlfn.XLOOKUP($B178,'ELC TECH'!$H:$H,'ELC TECH'!U:U)</f>
        <v>20.242248163120561</v>
      </c>
      <c r="AI178" s="15">
        <f>_xlfn.XLOOKUP($B178,'ELC TECH'!$H:$H,'ELC TECH'!V:V)</f>
        <v>19.891925366567069</v>
      </c>
      <c r="AJ178" s="15">
        <f>_xlfn.XLOOKUP($B178,'ELC TECH'!$H:$H,'ELC TECH'!W:W)</f>
        <v>17.127058056750311</v>
      </c>
      <c r="AK178" s="15">
        <f>_xlfn.XLOOKUP($B178,'ELC TECH'!$H:$H,'ELC TECH'!X:X)</f>
        <v>14.36219074693344</v>
      </c>
      <c r="AL178" s="15">
        <f>_xlfn.XLOOKUP($B178,'ELC TECH'!$H:$H,'ELC TECH'!Y:Y)</f>
        <v>13.45469551192622</v>
      </c>
      <c r="AM178" s="15">
        <f>_xlfn.XLOOKUP($B178,'ELC TECH'!$H:$H,'ELC TECH'!Z:Z)</f>
        <v>12.547200276919</v>
      </c>
      <c r="AN178" s="15">
        <f>_xlfn.XLOOKUP($B178,'ELC TECH'!$H:$H,'ELC TECH'!AA:AA)</f>
        <v>11.63970504191178</v>
      </c>
      <c r="AO178" s="15">
        <f>_xlfn.XLOOKUP($B178,'ELC TECH'!$H:$H,'ELC TECH'!AB:AB)</f>
        <v>11.63970504191178</v>
      </c>
      <c r="AP178" s="15">
        <f>_xlfn.XLOOKUP($B178,'ELC TECH'!$H:$H,'ELC TECH'!AC:AC)</f>
        <v>0</v>
      </c>
      <c r="AQ178" s="15">
        <f>_xlfn.XLOOKUP($B178,'ELC TECH'!$H:$H,'ELC TECH'!AD:AD)</f>
        <v>0</v>
      </c>
      <c r="AR178" s="15">
        <f>_xlfn.XLOOKUP($B178,'ELC TECH'!$H:$H,'ELC TECH'!AE:AE)</f>
        <v>0</v>
      </c>
      <c r="AS178" s="15">
        <f>_xlfn.XLOOKUP($B178,'ELC TECH'!$H:$H,'ELC TECH'!AF:AF)</f>
        <v>0</v>
      </c>
      <c r="AT178" s="15">
        <f>_xlfn.XLOOKUP($B178,'ELC TECH'!$H:$H,'ELC TECH'!AG:AG)</f>
        <v>0</v>
      </c>
      <c r="AU178" s="15">
        <f>_xlfn.XLOOKUP($B178,'ELC TECH'!$H:$H,'ELC TECH'!AH:AH)</f>
        <v>0</v>
      </c>
      <c r="AV178" s="15">
        <f>_xlfn.XLOOKUP($B178,'ELC TECH'!$H:$H,'ELC TECH'!AI:AI)</f>
        <v>0</v>
      </c>
      <c r="AW178" s="15">
        <f>_xlfn.XLOOKUP($B178,'ELC TECH'!$H:$H,'ELC TECH'!AJ:AJ)</f>
        <v>0</v>
      </c>
      <c r="AX178" s="12">
        <f>IF(_xlfn.XLOOKUP($B178,'ELC TECH'!$H:$H,'ELC TECH'!$E:$E)="Storage","",_xlfn.XLOOKUP($B178,'ELC TECH'!$H:$H,'ELC TECH'!AS:AS))</f>
        <v>0.162592000968006</v>
      </c>
      <c r="AY178" s="12">
        <f>IF(_xlfn.XLOOKUP($B178,'ELC TECH'!$H:$H,'ELC TECH'!$E:$E)="Storage","",_xlfn.XLOOKUP($B178,'ELC TECH'!$H:$H,'ELC TECH'!AT:AT))</f>
        <v>0.16588390626809399</v>
      </c>
      <c r="AZ178" s="12">
        <f>IF(_xlfn.XLOOKUP($B178,'ELC TECH'!$H:$H,'ELC TECH'!$E:$E)="Storage","",_xlfn.XLOOKUP($B178,'ELC TECH'!$H:$H,'ELC TECH'!AU:AU))</f>
        <v>0.169998787893204</v>
      </c>
      <c r="BA178" s="12">
        <f>IF(_xlfn.XLOOKUP($B178,'ELC TECH'!$H:$H,'ELC TECH'!$E:$E)="Storage","",_xlfn.XLOOKUP($B178,'ELC TECH'!$H:$H,'ELC TECH'!AV:AV))</f>
        <v>0.174113669518314</v>
      </c>
      <c r="BB178" s="12">
        <f>IF(_xlfn.XLOOKUP($B178,'ELC TECH'!$H:$H,'ELC TECH'!$E:$E)="Storage","",_xlfn.XLOOKUP($B178,'ELC TECH'!$H:$H,'ELC TECH'!AW:AW))</f>
        <v>0.17699729110864601</v>
      </c>
      <c r="BC178" s="12">
        <f>IF(_xlfn.XLOOKUP($B178,'ELC TECH'!$H:$H,'ELC TECH'!$E:$E)="Storage","",_xlfn.XLOOKUP($B178,'ELC TECH'!$H:$H,'ELC TECH'!AX:AX))</f>
        <v>0.17988091269897899</v>
      </c>
      <c r="BD178" s="12">
        <f>IF(_xlfn.XLOOKUP($B178,'ELC TECH'!$H:$H,'ELC TECH'!$E:$E)="Storage","",_xlfn.XLOOKUP($B178,'ELC TECH'!$H:$H,'ELC TECH'!AY:AY))</f>
        <v>0.182764534289311</v>
      </c>
      <c r="BE178" s="12">
        <f>IF(_xlfn.XLOOKUP($B178,'ELC TECH'!$H:$H,'ELC TECH'!$E:$E)="Storage","",_xlfn.XLOOKUP($B178,'ELC TECH'!$H:$H,'ELC TECH'!AZ:AZ))</f>
        <v>0.182764534289311</v>
      </c>
      <c r="BF178" s="12" t="str">
        <f>IF(_xlfn.XLOOKUP($B178,'ELC TECH'!$H:$H,'ELC TECH'!$E:$E)="Storage",_xlfn.XLOOKUP($B178,'ELC TECH'!$H:$H,'ELC TECH'!AS:AS),"")</f>
        <v/>
      </c>
      <c r="BG178" s="12" t="str">
        <f>IF(_xlfn.XLOOKUP($B178,'ELC TECH'!$H:$H,'ELC TECH'!$E:$E)="Storage",_xlfn.XLOOKUP($B178,'ELC TECH'!$H:$H,'ELC TECH'!AT:AT),"")</f>
        <v/>
      </c>
      <c r="BH178" s="12" t="str">
        <f>IF(_xlfn.XLOOKUP($B178,'ELC TECH'!$H:$H,'ELC TECH'!$E:$E)="Storage",_xlfn.XLOOKUP($B178,'ELC TECH'!$H:$H,'ELC TECH'!AU:AU),"")</f>
        <v/>
      </c>
      <c r="BI178" s="12" t="str">
        <f>IF(_xlfn.XLOOKUP($B178,'ELC TECH'!$H:$H,'ELC TECH'!$E:$E)="Storage",_xlfn.XLOOKUP($B178,'ELC TECH'!$H:$H,'ELC TECH'!AV:AV),"")</f>
        <v/>
      </c>
      <c r="BJ178" s="12" t="str">
        <f>IF(_xlfn.XLOOKUP($B178,'ELC TECH'!$H:$H,'ELC TECH'!$E:$E)="Storage",_xlfn.XLOOKUP($B178,'ELC TECH'!$H:$H,'ELC TECH'!AW:AW),"")</f>
        <v/>
      </c>
      <c r="BK178" s="12" t="str">
        <f>IF(_xlfn.XLOOKUP($B178,'ELC TECH'!$H:$H,'ELC TECH'!$E:$E)="Storage",_xlfn.XLOOKUP($B178,'ELC TECH'!$H:$H,'ELC TECH'!AX:AX),"")</f>
        <v/>
      </c>
      <c r="BL178" s="12" t="str">
        <f>IF(_xlfn.XLOOKUP($B178,'ELC TECH'!$H:$H,'ELC TECH'!$E:$E)="Storage",_xlfn.XLOOKUP($B178,'ELC TECH'!$H:$H,'ELC TECH'!AY:AY),"")</f>
        <v/>
      </c>
      <c r="BM178" s="12" t="str">
        <f>IF(_xlfn.XLOOKUP($B178,'ELC TECH'!$H:$H,'ELC TECH'!$E:$E)="Storage",_xlfn.XLOOKUP($B178,'ELC TECH'!$H:$H,'ELC TECH'!AZ:AZ),"")</f>
        <v/>
      </c>
      <c r="BN178" s="8">
        <f>IF(_xlfn.XLOOKUP($B178,'ELC TECH'!$H:$H,'ELC TECH'!$E:$E)="Non Dispatchable",IFERROR($AX178*_xlfn.XLOOKUP($C178,$BM$1:$BM$3,BN$1:BN$3)/SUMPRODUCT(_xlfn.XLOOKUP($C178,$BM$1:$BM$3,$BN$1:$BY$3),$BN$4:$BY$4),""),
"")</f>
        <v>0.25447312601274896</v>
      </c>
      <c r="BO178" s="8">
        <f>IF(_xlfn.XLOOKUP($B178,'ELC TECH'!$H:$H,'ELC TECH'!$E:$E)="Non Dispatchable",IFERROR($AX178*_xlfn.XLOOKUP($C178,$BM$1:$BM$3,BO$1:BO$3)/SUMPRODUCT(_xlfn.XLOOKUP($C178,$BM$1:$BM$3,$BN$1:$BY$3),$BN$4:$BY$4),""),
"")</f>
        <v>0.25447312601274896</v>
      </c>
      <c r="BP178" s="8">
        <f>IF(_xlfn.XLOOKUP($B178,'ELC TECH'!$H:$H,'ELC TECH'!$E:$E)="Non Dispatchable",IFERROR($AX178*_xlfn.XLOOKUP($C178,$BM$1:$BM$3,BP$1:BP$3)/SUMPRODUCT(_xlfn.XLOOKUP($C178,$BM$1:$BM$3,$BN$1:$BY$3),$BN$4:$BY$4),""),
"")</f>
        <v>2.5447312601274901E-2</v>
      </c>
      <c r="BQ178" s="8">
        <f>IF(_xlfn.XLOOKUP($B178,'ELC TECH'!$H:$H,'ELC TECH'!$E:$E)="Non Dispatchable",IFERROR($AX178*_xlfn.XLOOKUP($C178,$BM$1:$BM$3,BQ$1:BQ$3)/SUMPRODUCT(_xlfn.XLOOKUP($C178,$BM$1:$BM$3,$BN$1:$BY$3),$BN$4:$BY$4),""),
"")</f>
        <v>0</v>
      </c>
      <c r="BR178" s="8">
        <f>IF(_xlfn.XLOOKUP($B178,'ELC TECH'!$H:$H,'ELC TECH'!$E:$E)="Non Dispatchable",IFERROR($AX178*_xlfn.XLOOKUP($C178,$BM$1:$BM$3,BR$1:BR$3)/SUMPRODUCT(_xlfn.XLOOKUP($C178,$BM$1:$BM$3,$BN$1:$BY$3),$BN$4:$BY$4),""),
"")</f>
        <v>0.29308447841592483</v>
      </c>
      <c r="BS178" s="8">
        <f>IF(_xlfn.XLOOKUP($B178,'ELC TECH'!$H:$H,'ELC TECH'!$E:$E)="Non Dispatchable",IFERROR($AX178*_xlfn.XLOOKUP($C178,$BM$1:$BM$3,BS$1:BS$3)/SUMPRODUCT(_xlfn.XLOOKUP($C178,$BM$1:$BM$3,$BN$1:$BY$3),$BN$4:$BY$4),""),
"")</f>
        <v>0.29308447841592483</v>
      </c>
      <c r="BT178" s="8">
        <f>IF(_xlfn.XLOOKUP($B178,'ELC TECH'!$H:$H,'ELC TECH'!$E:$E)="Non Dispatchable",IFERROR($AX178*_xlfn.XLOOKUP($C178,$BM$1:$BM$3,BT$1:BT$3)/SUMPRODUCT(_xlfn.XLOOKUP($C178,$BM$1:$BM$3,$BN$1:$BY$3),$BN$4:$BY$4),""),
"")</f>
        <v>2.9308447841592481E-2</v>
      </c>
      <c r="BU178" s="8">
        <f>IF(_xlfn.XLOOKUP($B178,'ELC TECH'!$H:$H,'ELC TECH'!$E:$E)="Non Dispatchable",IFERROR($AX178*_xlfn.XLOOKUP($C178,$BM$1:$BM$3,BU$1:BU$3)/SUMPRODUCT(_xlfn.XLOOKUP($C178,$BM$1:$BM$3,$BN$1:$BY$3),$BN$4:$BY$4),""),
"")</f>
        <v>0</v>
      </c>
      <c r="BV178" s="8">
        <f>IF(_xlfn.XLOOKUP($B178,'ELC TECH'!$H:$H,'ELC TECH'!$E:$E)="Non Dispatchable",IFERROR($AX178*_xlfn.XLOOKUP($C178,$BM$1:$BM$3,BV$1:BV$3)/SUMPRODUCT(_xlfn.XLOOKUP($C178,$BM$1:$BM$3,$BN$1:$BY$3),$BN$4:$BY$4),""),
"")</f>
        <v>0.24519059625195364</v>
      </c>
      <c r="BW178" s="8">
        <f>IF(_xlfn.XLOOKUP($B178,'ELC TECH'!$H:$H,'ELC TECH'!$E:$E)="Non Dispatchable",IFERROR($AX178*_xlfn.XLOOKUP($C178,$BM$1:$BM$3,BW$1:BW$3)/SUMPRODUCT(_xlfn.XLOOKUP($C178,$BM$1:$BM$3,$BN$1:$BY$3),$BN$4:$BY$4),""),
"")</f>
        <v>0.24519059625195364</v>
      </c>
      <c r="BX178" s="8">
        <f>IF(_xlfn.XLOOKUP($B178,'ELC TECH'!$H:$H,'ELC TECH'!$E:$E)="Non Dispatchable",IFERROR($AX178*_xlfn.XLOOKUP($C178,$BM$1:$BM$3,BX$1:BX$3)/SUMPRODUCT(_xlfn.XLOOKUP($C178,$BM$1:$BM$3,$BN$1:$BY$3),$BN$4:$BY$4),""),
"")</f>
        <v>2.4519059625195367E-2</v>
      </c>
      <c r="BY178" s="8">
        <f>IF(_xlfn.XLOOKUP($B178,'ELC TECH'!$H:$H,'ELC TECH'!$E:$E)="Non Dispatchable",IFERROR($AX178*_xlfn.XLOOKUP($C178,$BM$1:$BM$3,BY$1:BY$3)/SUMPRODUCT(_xlfn.XLOOKUP($C178,$BM$1:$BM$3,$BN$1:$BY$3),$BN$4:$BY$4),""),
"")</f>
        <v>0</v>
      </c>
      <c r="BZ178" s="8">
        <f>IF(_xlfn.XLOOKUP($B178,'ELC TECH'!$H:$H,'ELC TECH'!$E:$E)="Non Dispatchable",IFERROR($AX178*_xlfn.XLOOKUP($C178,$BM$1:$BM$3,BZ$1:BZ$3)/SUMPRODUCT(_xlfn.XLOOKUP($C178,$BM$1:$BM$3,$BN$1:$BY$3),$BN$4:$BY$4),""),
"")</f>
        <v>0.25447312601274896</v>
      </c>
      <c r="CA178" s="8">
        <f>IF(_xlfn.XLOOKUP($B178,'ELC TECH'!$H:$H,'ELC TECH'!$E:$E)="Non Dispatchable",IFERROR($AX178*_xlfn.XLOOKUP($C178,$BM$1:$BM$3,CA$1:CA$3)/SUMPRODUCT(_xlfn.XLOOKUP($C178,$BM$1:$BM$3,$BN$1:$BY$3),$BN$4:$BY$4),""),
"")</f>
        <v>0.25447312601274896</v>
      </c>
      <c r="CB178" s="8">
        <f>IF(_xlfn.XLOOKUP($B178,'ELC TECH'!$H:$H,'ELC TECH'!$E:$E)="Non Dispatchable",IFERROR($AX178*_xlfn.XLOOKUP($C178,$BM$1:$BM$3,CB$1:CB$3)/SUMPRODUCT(_xlfn.XLOOKUP($C178,$BM$1:$BM$3,$BN$1:$BY$3),$BN$4:$BY$4),""),
"")</f>
        <v>2.5447312601274901E-2</v>
      </c>
      <c r="CC178" s="8">
        <f>IF(_xlfn.XLOOKUP($B178,'ELC TECH'!$H:$H,'ELC TECH'!$E:$E)="Non Dispatchable",IFERROR($AX178*_xlfn.XLOOKUP($C178,$BM$1:$BM$3,CC$1:CC$3)/SUMPRODUCT(_xlfn.XLOOKUP($C178,$BM$1:$BM$3,$BN$1:$BY$3),$BN$4:$BY$4),""),
"")</f>
        <v>0</v>
      </c>
      <c r="CD178" s="8">
        <f>IF(_xlfn.XLOOKUP($B178,'ELC TECH'!$H:$H,'ELC TECH'!$E:$E)="Non Dispatchable",IFERROR($AX178*_xlfn.XLOOKUP($C178,$BM$1:$BM$3,CD$1:CD$3)/SUMPRODUCT(_xlfn.XLOOKUP($C178,$BM$1:$BM$3,$BN$1:$BY$3),$BN$4:$BY$4),""),
"")</f>
        <v>0.29308447841592483</v>
      </c>
      <c r="CE178" s="8">
        <f>IF(_xlfn.XLOOKUP($B178,'ELC TECH'!$H:$H,'ELC TECH'!$E:$E)="Non Dispatchable",IFERROR($AX178*_xlfn.XLOOKUP($C178,$BM$1:$BM$3,CE$1:CE$3)/SUMPRODUCT(_xlfn.XLOOKUP($C178,$BM$1:$BM$3,$BN$1:$BY$3),$BN$4:$BY$4),""),
"")</f>
        <v>0.29308447841592483</v>
      </c>
      <c r="CF178" s="8">
        <f>IF(_xlfn.XLOOKUP($B178,'ELC TECH'!$H:$H,'ELC TECH'!$E:$E)="Non Dispatchable",IFERROR($AX178*_xlfn.XLOOKUP($C178,$BM$1:$BM$3,CF$1:CF$3)/SUMPRODUCT(_xlfn.XLOOKUP($C178,$BM$1:$BM$3,$BN$1:$BY$3),$BN$4:$BY$4),""),
"")</f>
        <v>2.9308447841592481E-2</v>
      </c>
      <c r="CG178" s="8">
        <f>IF(_xlfn.XLOOKUP($B178,'ELC TECH'!$H:$H,'ELC TECH'!$E:$E)="Non Dispatchable",IFERROR($AX178*_xlfn.XLOOKUP($C178,$BM$1:$BM$3,CG$1:CG$3)/SUMPRODUCT(_xlfn.XLOOKUP($C178,$BM$1:$BM$3,$BN$1:$BY$3),$BN$4:$BY$4),""),
"")</f>
        <v>0</v>
      </c>
      <c r="CH178" s="8">
        <f>IF(_xlfn.XLOOKUP($B178,'ELC TECH'!$H:$H,'ELC TECH'!$E:$E)="Non Dispatchable",IFERROR($AX178*_xlfn.XLOOKUP($C178,$BM$1:$BM$3,CH$1:CH$3)/SUMPRODUCT(_xlfn.XLOOKUP($C178,$BM$1:$BM$3,$BN$1:$BY$3),$BN$4:$BY$4),""),
"")</f>
        <v>0.24519059625195364</v>
      </c>
      <c r="CI178" s="8">
        <f>IF(_xlfn.XLOOKUP($B178,'ELC TECH'!$H:$H,'ELC TECH'!$E:$E)="Non Dispatchable",IFERROR($AX178*_xlfn.XLOOKUP($C178,$BM$1:$BM$3,CI$1:CI$3)/SUMPRODUCT(_xlfn.XLOOKUP($C178,$BM$1:$BM$3,$BN$1:$BY$3),$BN$4:$BY$4),""),
"")</f>
        <v>0.24519059625195364</v>
      </c>
      <c r="CJ178" s="8">
        <f>IF(_xlfn.XLOOKUP($B178,'ELC TECH'!$H:$H,'ELC TECH'!$E:$E)="Non Dispatchable",IFERROR($AX178*_xlfn.XLOOKUP($C178,$BM$1:$BM$3,CJ$1:CJ$3)/SUMPRODUCT(_xlfn.XLOOKUP($C178,$BM$1:$BM$3,$BN$1:$BY$3),$BN$4:$BY$4),""),
"")</f>
        <v>2.4519059625195367E-2</v>
      </c>
      <c r="CK178" s="8">
        <f>IF(_xlfn.XLOOKUP($B178,'ELC TECH'!$H:$H,'ELC TECH'!$E:$E)="Non Dispatchable",IFERROR($AX178*_xlfn.XLOOKUP($C178,$BM$1:$BM$3,CK$1:CK$3)/SUMPRODUCT(_xlfn.XLOOKUP($C178,$BM$1:$BM$3,$BN$1:$BY$3),$BN$4:$BY$4),""),
"")</f>
        <v>0</v>
      </c>
      <c r="CL178" s="8" t="str">
        <f>IF(_xlfn.XLOOKUP($B178,'ELC TECH'!$H:$H,'ELC TECH'!$E:$E)="Storage",CL$4*$BF178,"")</f>
        <v/>
      </c>
      <c r="CM178" s="8" t="str">
        <f>IF(_xlfn.XLOOKUP($B178,'ELC TECH'!$H:$H,'ELC TECH'!$E:$E)="Storage",CM$4*$BF178,"")</f>
        <v/>
      </c>
      <c r="CN178" s="8" t="str">
        <f>IF(_xlfn.XLOOKUP($B178,'ELC TECH'!$H:$H,'ELC TECH'!$E:$E)="Storage",CN$4*$BF178,"")</f>
        <v/>
      </c>
      <c r="CO178" s="8" t="str">
        <f>IF(_xlfn.XLOOKUP($B178,'ELC TECH'!$H:$H,'ELC TECH'!$E:$E)="Storage",CO$4*$BF178,"")</f>
        <v/>
      </c>
      <c r="CP178" s="8" t="str">
        <f>IF(_xlfn.XLOOKUP($B178,'ELC TECH'!$H:$H,'ELC TECH'!$E:$E)="Storage",CP$4*$BF178,"")</f>
        <v/>
      </c>
      <c r="CQ178" s="8" t="str">
        <f>IF(_xlfn.XLOOKUP($B178,'ELC TECH'!$H:$H,'ELC TECH'!$E:$E)="Storage",CQ$4*$BF178,"")</f>
        <v/>
      </c>
      <c r="CR178" s="8" t="str">
        <f>IF(_xlfn.XLOOKUP($B178,'ELC TECH'!$H:$H,'ELC TECH'!$E:$E)="Storage",CR$4*$BF178,"")</f>
        <v/>
      </c>
      <c r="CS178" s="8" t="str">
        <f>IF(_xlfn.XLOOKUP($B178,'ELC TECH'!$H:$H,'ELC TECH'!$E:$E)="Storage",CS$4*$BF178,"")</f>
        <v/>
      </c>
      <c r="CT178" s="8" t="str">
        <f>IF(_xlfn.XLOOKUP($B178,'ELC TECH'!$H:$H,'ELC TECH'!$E:$E)="Storage",CT$4*$BF178,"")</f>
        <v/>
      </c>
      <c r="CU178" s="8" t="str">
        <f>IF(_xlfn.XLOOKUP($B178,'ELC TECH'!$H:$H,'ELC TECH'!$E:$E)="Storage",CU$4*$BF178,"")</f>
        <v/>
      </c>
      <c r="CV178" s="8" t="str">
        <f>IF(_xlfn.XLOOKUP($B178,'ELC TECH'!$H:$H,'ELC TECH'!$E:$E)="Storage",CV$4*$BF178,"")</f>
        <v/>
      </c>
      <c r="CW178" s="8" t="str">
        <f>IF(_xlfn.XLOOKUP($B178,'ELC TECH'!$H:$H,'ELC TECH'!$E:$E)="Storage",CW$4*$BF178,"")</f>
        <v/>
      </c>
      <c r="CX178" s="8" t="str">
        <f>IF(_xlfn.XLOOKUP($B178,'ELC TECH'!$H:$H,'ELC TECH'!$E:$E)="Storage",CX$4*$BF178,"")</f>
        <v/>
      </c>
      <c r="CY178" s="8" t="str">
        <f>IF(_xlfn.XLOOKUP($B178,'ELC TECH'!$H:$H,'ELC TECH'!$E:$E)="Storage",CY$4*$BF178,"")</f>
        <v/>
      </c>
      <c r="CZ178" s="8" t="str">
        <f>IF(_xlfn.XLOOKUP($B178,'ELC TECH'!$H:$H,'ELC TECH'!$E:$E)="Storage",CZ$4*$BF178,"")</f>
        <v/>
      </c>
      <c r="DA178" s="8" t="str">
        <f>IF(_xlfn.XLOOKUP($B178,'ELC TECH'!$H:$H,'ELC TECH'!$E:$E)="Storage",DA$4*$BF178,"")</f>
        <v/>
      </c>
      <c r="DB178" s="8" t="str">
        <f>IF(_xlfn.XLOOKUP($B178,'ELC TECH'!$H:$H,'ELC TECH'!$E:$E)="Storage",DB$4*$BF178,"")</f>
        <v/>
      </c>
      <c r="DC178" s="8" t="str">
        <f>IF(_xlfn.XLOOKUP($B178,'ELC TECH'!$H:$H,'ELC TECH'!$E:$E)="Storage",DC$4*$BF178,"")</f>
        <v/>
      </c>
      <c r="DD178" s="8" t="str">
        <f>IF(_xlfn.XLOOKUP($B178,'ELC TECH'!$H:$H,'ELC TECH'!$E:$E)="Storage",DD$4*$BF178,"")</f>
        <v/>
      </c>
      <c r="DE178" s="8" t="str">
        <f>IF(_xlfn.XLOOKUP($B178,'ELC TECH'!$H:$H,'ELC TECH'!$E:$E)="Storage",DE$4*$BF178,"")</f>
        <v/>
      </c>
      <c r="DF178" s="8" t="str">
        <f>IF(_xlfn.XLOOKUP($B178,'ELC TECH'!$H:$H,'ELC TECH'!$E:$E)="Storage",DF$4*$BF178,"")</f>
        <v/>
      </c>
      <c r="DG178" s="8" t="str">
        <f>IF(_xlfn.XLOOKUP($B178,'ELC TECH'!$H:$H,'ELC TECH'!$E:$E)="Storage",DG$4*$BF178,"")</f>
        <v/>
      </c>
      <c r="DH178" s="8" t="str">
        <f>IF(_xlfn.XLOOKUP($B178,'ELC TECH'!$H:$H,'ELC TECH'!$E:$E)="Storage",DH$4*$BF178,"")</f>
        <v/>
      </c>
      <c r="DI178" s="8" t="str">
        <f>IF(_xlfn.XLOOKUP($B178,'ELC TECH'!$H:$H,'ELC TECH'!$E:$E)="Storage",DI$4*$BF178,"")</f>
        <v/>
      </c>
    </row>
    <row r="179" spans="2:113" x14ac:dyDescent="0.25">
      <c r="B179" t="str">
        <f>IF('ELC TECH'!I172=0,"*",'ELC TECH'!H172)</f>
        <v>ELCSOLDCECDPV520</v>
      </c>
      <c r="C179" t="str">
        <f>IF(_xlfn.XLOOKUP(_xlfn.XLOOKUP(B179,'ELC TECH'!$H:$H,'ELC TECH'!$G:$G),List!C:C,List!B:B)="STG",D179,"ELC"&amp;_xlfn.XLOOKUP(_xlfn.XLOOKUP(B179,'ELC TECH'!H:H,'ELC TECH'!G:G),List!C:C,List!B:B))</f>
        <v>ELCSOL</v>
      </c>
      <c r="D179" t="s">
        <v>546</v>
      </c>
      <c r="E179">
        <f>_xlfn.XLOOKUP(B179,'ELC TECH'!H:H,'ELC TECH'!D:D)</f>
        <v>2020</v>
      </c>
      <c r="F179">
        <f>_xlfn.XLOOKUP(B179,'ELC TECH'!H:H,'ELC TECH'!K:K)</f>
        <v>30</v>
      </c>
      <c r="G179">
        <f t="shared" si="9"/>
        <v>31.535999999999998</v>
      </c>
      <c r="H179">
        <f>IF(_xlfn.XLOOKUP(B179,'ELC TECH'!$H:$H,'ELC TECH'!$E:$E)="Storage",0.3,IF(_xlfn.XLOOKUP(B179,'ELC TECH'!$H:$H,'ELC TECH'!$E:$E)="Baseload",0.9,IF(_xlfn.XLOOKUP(B179,'ELC TECH'!$H:$H,'ELC TECH'!$E:$E)="Non Dispatchable",0.05,IF(_xlfn.XLOOKUP(B179,'ELC TECH'!$H:$H,'ELC TECH'!$E:$E)="Dispatchable",0.9,1))))</f>
        <v>0.05</v>
      </c>
      <c r="I179" s="13">
        <f>IF(_xlfn.XLOOKUP(B179,'ELC TECH'!H:H,'ELC TECH'!J:J)="","",_xlfn.XLOOKUP(B179,'ELC TECH'!H:H,'ELC TECH'!J:J))</f>
        <v>700.17955000000006</v>
      </c>
      <c r="J179" s="12">
        <f>IF(_xlfn.XLOOKUP($B179,'ELC TECH'!$H:$H,'ELC TECH'!$E:$E)="Storage","",IF(_xlfn.XLOOKUP($B179,'ELC TECH'!$H:$H,'ELC TECH'!AK:AK)="",1,_xlfn.XLOOKUP($B179,'ELC TECH'!$H:$H,'ELC TECH'!AK:AK)))</f>
        <v>1</v>
      </c>
      <c r="K179" s="12">
        <f>IF(_xlfn.XLOOKUP($B179,'ELC TECH'!$H:$H,'ELC TECH'!$E:$E)="Storage","",IF(_xlfn.XLOOKUP($B179,'ELC TECH'!$H:$H,'ELC TECH'!AL:AL)="",1,_xlfn.XLOOKUP($B179,'ELC TECH'!$H:$H,'ELC TECH'!AL:AL)))</f>
        <v>1</v>
      </c>
      <c r="L179" s="12">
        <f>IF(_xlfn.XLOOKUP($B179,'ELC TECH'!$H:$H,'ELC TECH'!$E:$E)="Storage","",IF(_xlfn.XLOOKUP($B179,'ELC TECH'!$H:$H,'ELC TECH'!AM:AM)="",1,_xlfn.XLOOKUP($B179,'ELC TECH'!$H:$H,'ELC TECH'!AM:AM)))</f>
        <v>1</v>
      </c>
      <c r="M179" s="12">
        <f>IF(_xlfn.XLOOKUP($B179,'ELC TECH'!$H:$H,'ELC TECH'!$E:$E)="Storage","",IF(_xlfn.XLOOKUP($B179,'ELC TECH'!$H:$H,'ELC TECH'!AN:AN)="",1,_xlfn.XLOOKUP($B179,'ELC TECH'!$H:$H,'ELC TECH'!AN:AN)))</f>
        <v>1</v>
      </c>
      <c r="N179" s="12">
        <f>IF(_xlfn.XLOOKUP($B179,'ELC TECH'!$H:$H,'ELC TECH'!$E:$E)="Storage","",IF(_xlfn.XLOOKUP($B179,'ELC TECH'!$H:$H,'ELC TECH'!AO:AO)="",1,_xlfn.XLOOKUP($B179,'ELC TECH'!$H:$H,'ELC TECH'!AO:AO)))</f>
        <v>1</v>
      </c>
      <c r="O179" s="12">
        <f>IF(_xlfn.XLOOKUP($B179,'ELC TECH'!$H:$H,'ELC TECH'!$E:$E)="Storage","",IF(_xlfn.XLOOKUP($B179,'ELC TECH'!$H:$H,'ELC TECH'!AP:AP)="",1,_xlfn.XLOOKUP($B179,'ELC TECH'!$H:$H,'ELC TECH'!AP:AP)))</f>
        <v>1</v>
      </c>
      <c r="P179" s="12">
        <f>IF(_xlfn.XLOOKUP($B179,'ELC TECH'!$H:$H,'ELC TECH'!$E:$E)="Storage","",IF(_xlfn.XLOOKUP($B179,'ELC TECH'!$H:$H,'ELC TECH'!AQ:AQ)="",1,_xlfn.XLOOKUP($B179,'ELC TECH'!$H:$H,'ELC TECH'!AQ:AQ)))</f>
        <v>1</v>
      </c>
      <c r="Q179" s="12">
        <f>IF(_xlfn.XLOOKUP($B179,'ELC TECH'!$H:$H,'ELC TECH'!$E:$E)="Storage","",IF(_xlfn.XLOOKUP($B179,'ELC TECH'!$H:$H,'ELC TECH'!AR:AR)="",1,_xlfn.XLOOKUP($B179,'ELC TECH'!$H:$H,'ELC TECH'!AR:AR)))</f>
        <v>1</v>
      </c>
      <c r="R179" s="12" t="str">
        <f>IF(_xlfn.XLOOKUP($B179,'ELC TECH'!$H:$H,'ELC TECH'!$E:$E)&lt;&gt;"Storage","",IF(_xlfn.XLOOKUP($B179,'ELC TECH'!$H:$H,'ELC TECH'!AK:AK)="",0.8,_xlfn.XLOOKUP($B179,'ELC TECH'!$H:$H,'ELC TECH'!AK:AK)))</f>
        <v/>
      </c>
      <c r="S179" s="12" t="str">
        <f>IF(_xlfn.XLOOKUP($B179,'ELC TECH'!$H:$H,'ELC TECH'!$E:$E)&lt;&gt;"Storage","",IF(_xlfn.XLOOKUP($B179,'ELC TECH'!$H:$H,'ELC TECH'!AL:AL)="",0.8,_xlfn.XLOOKUP($B179,'ELC TECH'!$H:$H,'ELC TECH'!AL:AL)))</f>
        <v/>
      </c>
      <c r="T179" s="12" t="str">
        <f>IF(_xlfn.XLOOKUP($B179,'ELC TECH'!$H:$H,'ELC TECH'!$E:$E)&lt;&gt;"Storage","",IF(_xlfn.XLOOKUP($B179,'ELC TECH'!$H:$H,'ELC TECH'!AM:AM)="",0.8,_xlfn.XLOOKUP($B179,'ELC TECH'!$H:$H,'ELC TECH'!AM:AM)))</f>
        <v/>
      </c>
      <c r="U179" s="12" t="str">
        <f>IF(_xlfn.XLOOKUP($B179,'ELC TECH'!$H:$H,'ELC TECH'!$E:$E)&lt;&gt;"Storage","",IF(_xlfn.XLOOKUP($B179,'ELC TECH'!$H:$H,'ELC TECH'!AN:AN)="",0.8,_xlfn.XLOOKUP($B179,'ELC TECH'!$H:$H,'ELC TECH'!AN:AN)))</f>
        <v/>
      </c>
      <c r="V179" s="12" t="str">
        <f>IF(_xlfn.XLOOKUP($B179,'ELC TECH'!$H:$H,'ELC TECH'!$E:$E)&lt;&gt;"Storage","",IF(_xlfn.XLOOKUP($B179,'ELC TECH'!$H:$H,'ELC TECH'!AO:AO)="",0.8,_xlfn.XLOOKUP($B179,'ELC TECH'!$H:$H,'ELC TECH'!AO:AO)))</f>
        <v/>
      </c>
      <c r="W179" s="12" t="str">
        <f>IF(_xlfn.XLOOKUP($B179,'ELC TECH'!$H:$H,'ELC TECH'!$E:$E)&lt;&gt;"Storage","",IF(_xlfn.XLOOKUP($B179,'ELC TECH'!$H:$H,'ELC TECH'!AP:AP)="",0.8,_xlfn.XLOOKUP($B179,'ELC TECH'!$H:$H,'ELC TECH'!AP:AP)))</f>
        <v/>
      </c>
      <c r="X179" s="12" t="str">
        <f>IF(_xlfn.XLOOKUP($B179,'ELC TECH'!$H:$H,'ELC TECH'!$E:$E)&lt;&gt;"Storage","",IF(_xlfn.XLOOKUP($B179,'ELC TECH'!$H:$H,'ELC TECH'!AQ:AQ)="",0.8,_xlfn.XLOOKUP($B179,'ELC TECH'!$H:$H,'ELC TECH'!AQ:AQ)))</f>
        <v/>
      </c>
      <c r="Y179" s="12" t="str">
        <f>IF(_xlfn.XLOOKUP($B179,'ELC TECH'!$H:$H,'ELC TECH'!$E:$E)&lt;&gt;"Storage","",IF(_xlfn.XLOOKUP($B179,'ELC TECH'!$H:$H,'ELC TECH'!AR:AR)="",0.8,_xlfn.XLOOKUP($B179,'ELC TECH'!$H:$H,'ELC TECH'!AR:AR)))</f>
        <v/>
      </c>
      <c r="Z179" s="15">
        <f>_xlfn.XLOOKUP($B179,'ELC TECH'!$H:$H,'ELC TECH'!M:M)</f>
        <v>1912.264310519447</v>
      </c>
      <c r="AA179" s="15">
        <f>_xlfn.XLOOKUP($B179,'ELC TECH'!$H:$H,'ELC TECH'!N:N)</f>
        <v>1887.703407882211</v>
      </c>
      <c r="AB179" s="15">
        <f>_xlfn.XLOOKUP($B179,'ELC TECH'!$H:$H,'ELC TECH'!O:O)</f>
        <v>1569.6288150057401</v>
      </c>
      <c r="AC179" s="15">
        <f>_xlfn.XLOOKUP($B179,'ELC TECH'!$H:$H,'ELC TECH'!P:P)</f>
        <v>1251.5542221292801</v>
      </c>
      <c r="AD179" s="15">
        <f>_xlfn.XLOOKUP($B179,'ELC TECH'!$H:$H,'ELC TECH'!Q:Q)</f>
        <v>1147.154572863142</v>
      </c>
      <c r="AE179" s="15">
        <f>_xlfn.XLOOKUP($B179,'ELC TECH'!$H:$H,'ELC TECH'!R:R)</f>
        <v>1042.7549235970189</v>
      </c>
      <c r="AF179" s="15">
        <f>_xlfn.XLOOKUP($B179,'ELC TECH'!$H:$H,'ELC TECH'!S:S)</f>
        <v>938.35527433088987</v>
      </c>
      <c r="AG179" s="15">
        <f>_xlfn.XLOOKUP($B179,'ELC TECH'!$H:$H,'ELC TECH'!T:T)</f>
        <v>938.35527433088987</v>
      </c>
      <c r="AH179" s="15">
        <f>_xlfn.XLOOKUP($B179,'ELC TECH'!$H:$H,'ELC TECH'!U:U)</f>
        <v>20.242248163120561</v>
      </c>
      <c r="AI179" s="15">
        <f>_xlfn.XLOOKUP($B179,'ELC TECH'!$H:$H,'ELC TECH'!V:V)</f>
        <v>19.891925366567069</v>
      </c>
      <c r="AJ179" s="15">
        <f>_xlfn.XLOOKUP($B179,'ELC TECH'!$H:$H,'ELC TECH'!W:W)</f>
        <v>17.127058056750311</v>
      </c>
      <c r="AK179" s="15">
        <f>_xlfn.XLOOKUP($B179,'ELC TECH'!$H:$H,'ELC TECH'!X:X)</f>
        <v>14.36219074693344</v>
      </c>
      <c r="AL179" s="15">
        <f>_xlfn.XLOOKUP($B179,'ELC TECH'!$H:$H,'ELC TECH'!Y:Y)</f>
        <v>13.45469551192622</v>
      </c>
      <c r="AM179" s="15">
        <f>_xlfn.XLOOKUP($B179,'ELC TECH'!$H:$H,'ELC TECH'!Z:Z)</f>
        <v>12.547200276919</v>
      </c>
      <c r="AN179" s="15">
        <f>_xlfn.XLOOKUP($B179,'ELC TECH'!$H:$H,'ELC TECH'!AA:AA)</f>
        <v>11.63970504191178</v>
      </c>
      <c r="AO179" s="15">
        <f>_xlfn.XLOOKUP($B179,'ELC TECH'!$H:$H,'ELC TECH'!AB:AB)</f>
        <v>11.63970504191178</v>
      </c>
      <c r="AP179" s="15">
        <f>_xlfn.XLOOKUP($B179,'ELC TECH'!$H:$H,'ELC TECH'!AC:AC)</f>
        <v>0</v>
      </c>
      <c r="AQ179" s="15">
        <f>_xlfn.XLOOKUP($B179,'ELC TECH'!$H:$H,'ELC TECH'!AD:AD)</f>
        <v>0</v>
      </c>
      <c r="AR179" s="15">
        <f>_xlfn.XLOOKUP($B179,'ELC TECH'!$H:$H,'ELC TECH'!AE:AE)</f>
        <v>0</v>
      </c>
      <c r="AS179" s="15">
        <f>_xlfn.XLOOKUP($B179,'ELC TECH'!$H:$H,'ELC TECH'!AF:AF)</f>
        <v>0</v>
      </c>
      <c r="AT179" s="15">
        <f>_xlfn.XLOOKUP($B179,'ELC TECH'!$H:$H,'ELC TECH'!AG:AG)</f>
        <v>0</v>
      </c>
      <c r="AU179" s="15">
        <f>_xlfn.XLOOKUP($B179,'ELC TECH'!$H:$H,'ELC TECH'!AH:AH)</f>
        <v>0</v>
      </c>
      <c r="AV179" s="15">
        <f>_xlfn.XLOOKUP($B179,'ELC TECH'!$H:$H,'ELC TECH'!AI:AI)</f>
        <v>0</v>
      </c>
      <c r="AW179" s="15">
        <f>_xlfn.XLOOKUP($B179,'ELC TECH'!$H:$H,'ELC TECH'!AJ:AJ)</f>
        <v>0</v>
      </c>
      <c r="AX179" s="12">
        <f>IF(_xlfn.XLOOKUP($B179,'ELC TECH'!$H:$H,'ELC TECH'!$E:$E)="Storage","",_xlfn.XLOOKUP($B179,'ELC TECH'!$H:$H,'ELC TECH'!AS:AS))</f>
        <v>0.15515839795587699</v>
      </c>
      <c r="AY179" s="12">
        <f>IF(_xlfn.XLOOKUP($B179,'ELC TECH'!$H:$H,'ELC TECH'!$E:$E)="Storage","",_xlfn.XLOOKUP($B179,'ELC TECH'!$H:$H,'ELC TECH'!AT:AT))</f>
        <v>0.15829979943653499</v>
      </c>
      <c r="AZ179" s="12">
        <f>IF(_xlfn.XLOOKUP($B179,'ELC TECH'!$H:$H,'ELC TECH'!$E:$E)="Storage","",_xlfn.XLOOKUP($B179,'ELC TECH'!$H:$H,'ELC TECH'!AU:AU))</f>
        <v>0.162226551287358</v>
      </c>
      <c r="BA179" s="12">
        <f>IF(_xlfn.XLOOKUP($B179,'ELC TECH'!$H:$H,'ELC TECH'!$E:$E)="Storage","",_xlfn.XLOOKUP($B179,'ELC TECH'!$H:$H,'ELC TECH'!AV:AV))</f>
        <v>0.166153303138181</v>
      </c>
      <c r="BB179" s="12">
        <f>IF(_xlfn.XLOOKUP($B179,'ELC TECH'!$H:$H,'ELC TECH'!$E:$E)="Storage","",_xlfn.XLOOKUP($B179,'ELC TECH'!$H:$H,'ELC TECH'!AW:AW))</f>
        <v>0.16890508738096799</v>
      </c>
      <c r="BC179" s="12">
        <f>IF(_xlfn.XLOOKUP($B179,'ELC TECH'!$H:$H,'ELC TECH'!$E:$E)="Storage","",_xlfn.XLOOKUP($B179,'ELC TECH'!$H:$H,'ELC TECH'!AX:AX))</f>
        <v>0.17165687162375501</v>
      </c>
      <c r="BD179" s="12">
        <f>IF(_xlfn.XLOOKUP($B179,'ELC TECH'!$H:$H,'ELC TECH'!$E:$E)="Storage","",_xlfn.XLOOKUP($B179,'ELC TECH'!$H:$H,'ELC TECH'!AY:AY))</f>
        <v>0.174408655866542</v>
      </c>
      <c r="BE179" s="12">
        <f>IF(_xlfn.XLOOKUP($B179,'ELC TECH'!$H:$H,'ELC TECH'!$E:$E)="Storage","",_xlfn.XLOOKUP($B179,'ELC TECH'!$H:$H,'ELC TECH'!AZ:AZ))</f>
        <v>0.174408655866542</v>
      </c>
      <c r="BF179" s="12" t="str">
        <f>IF(_xlfn.XLOOKUP($B179,'ELC TECH'!$H:$H,'ELC TECH'!$E:$E)="Storage",_xlfn.XLOOKUP($B179,'ELC TECH'!$H:$H,'ELC TECH'!AS:AS),"")</f>
        <v/>
      </c>
      <c r="BG179" s="12" t="str">
        <f>IF(_xlfn.XLOOKUP($B179,'ELC TECH'!$H:$H,'ELC TECH'!$E:$E)="Storage",_xlfn.XLOOKUP($B179,'ELC TECH'!$H:$H,'ELC TECH'!AT:AT),"")</f>
        <v/>
      </c>
      <c r="BH179" s="12" t="str">
        <f>IF(_xlfn.XLOOKUP($B179,'ELC TECH'!$H:$H,'ELC TECH'!$E:$E)="Storage",_xlfn.XLOOKUP($B179,'ELC TECH'!$H:$H,'ELC TECH'!AU:AU),"")</f>
        <v/>
      </c>
      <c r="BI179" s="12" t="str">
        <f>IF(_xlfn.XLOOKUP($B179,'ELC TECH'!$H:$H,'ELC TECH'!$E:$E)="Storage",_xlfn.XLOOKUP($B179,'ELC TECH'!$H:$H,'ELC TECH'!AV:AV),"")</f>
        <v/>
      </c>
      <c r="BJ179" s="12" t="str">
        <f>IF(_xlfn.XLOOKUP($B179,'ELC TECH'!$H:$H,'ELC TECH'!$E:$E)="Storage",_xlfn.XLOOKUP($B179,'ELC TECH'!$H:$H,'ELC TECH'!AW:AW),"")</f>
        <v/>
      </c>
      <c r="BK179" s="12" t="str">
        <f>IF(_xlfn.XLOOKUP($B179,'ELC TECH'!$H:$H,'ELC TECH'!$E:$E)="Storage",_xlfn.XLOOKUP($B179,'ELC TECH'!$H:$H,'ELC TECH'!AX:AX),"")</f>
        <v/>
      </c>
      <c r="BL179" s="12" t="str">
        <f>IF(_xlfn.XLOOKUP($B179,'ELC TECH'!$H:$H,'ELC TECH'!$E:$E)="Storage",_xlfn.XLOOKUP($B179,'ELC TECH'!$H:$H,'ELC TECH'!AY:AY),"")</f>
        <v/>
      </c>
      <c r="BM179" s="12" t="str">
        <f>IF(_xlfn.XLOOKUP($B179,'ELC TECH'!$H:$H,'ELC TECH'!$E:$E)="Storage",_xlfn.XLOOKUP($B179,'ELC TECH'!$H:$H,'ELC TECH'!AZ:AZ),"")</f>
        <v/>
      </c>
      <c r="BN179" s="8">
        <f>IF(_xlfn.XLOOKUP($B179,'ELC TECH'!$H:$H,'ELC TECH'!$E:$E)="Non Dispatchable",IFERROR($AX179*_xlfn.XLOOKUP($C179,$BM$1:$BM$3,BN$1:BN$3)/SUMPRODUCT(_xlfn.XLOOKUP($C179,$BM$1:$BM$3,$BN$1:$BY$3),$BN$4:$BY$4),""),
"")</f>
        <v>0.24283877632289871</v>
      </c>
      <c r="BO179" s="8">
        <f>IF(_xlfn.XLOOKUP($B179,'ELC TECH'!$H:$H,'ELC TECH'!$E:$E)="Non Dispatchable",IFERROR($AX179*_xlfn.XLOOKUP($C179,$BM$1:$BM$3,BO$1:BO$3)/SUMPRODUCT(_xlfn.XLOOKUP($C179,$BM$1:$BM$3,$BN$1:$BY$3),$BN$4:$BY$4),""),
"")</f>
        <v>0.24283877632289871</v>
      </c>
      <c r="BP179" s="8">
        <f>IF(_xlfn.XLOOKUP($B179,'ELC TECH'!$H:$H,'ELC TECH'!$E:$E)="Non Dispatchable",IFERROR($AX179*_xlfn.XLOOKUP($C179,$BM$1:$BM$3,BP$1:BP$3)/SUMPRODUCT(_xlfn.XLOOKUP($C179,$BM$1:$BM$3,$BN$1:$BY$3),$BN$4:$BY$4),""),
"")</f>
        <v>2.4283877632289872E-2</v>
      </c>
      <c r="BQ179" s="8">
        <f>IF(_xlfn.XLOOKUP($B179,'ELC TECH'!$H:$H,'ELC TECH'!$E:$E)="Non Dispatchable",IFERROR($AX179*_xlfn.XLOOKUP($C179,$BM$1:$BM$3,BQ$1:BQ$3)/SUMPRODUCT(_xlfn.XLOOKUP($C179,$BM$1:$BM$3,$BN$1:$BY$3),$BN$4:$BY$4),""),
"")</f>
        <v>0</v>
      </c>
      <c r="BR179" s="8">
        <f>IF(_xlfn.XLOOKUP($B179,'ELC TECH'!$H:$H,'ELC TECH'!$E:$E)="Non Dispatchable",IFERROR($AX179*_xlfn.XLOOKUP($C179,$BM$1:$BM$3,BR$1:BR$3)/SUMPRODUCT(_xlfn.XLOOKUP($C179,$BM$1:$BM$3,$BN$1:$BY$3),$BN$4:$BY$4),""),
"")</f>
        <v>0.27968484221863371</v>
      </c>
      <c r="BS179" s="8">
        <f>IF(_xlfn.XLOOKUP($B179,'ELC TECH'!$H:$H,'ELC TECH'!$E:$E)="Non Dispatchable",IFERROR($AX179*_xlfn.XLOOKUP($C179,$BM$1:$BM$3,BS$1:BS$3)/SUMPRODUCT(_xlfn.XLOOKUP($C179,$BM$1:$BM$3,$BN$1:$BY$3),$BN$4:$BY$4),""),
"")</f>
        <v>0.27968484221863371</v>
      </c>
      <c r="BT179" s="8">
        <f>IF(_xlfn.XLOOKUP($B179,'ELC TECH'!$H:$H,'ELC TECH'!$E:$E)="Non Dispatchable",IFERROR($AX179*_xlfn.XLOOKUP($C179,$BM$1:$BM$3,BT$1:BT$3)/SUMPRODUCT(_xlfn.XLOOKUP($C179,$BM$1:$BM$3,$BN$1:$BY$3),$BN$4:$BY$4),""),
"")</f>
        <v>2.7968484221863377E-2</v>
      </c>
      <c r="BU179" s="8">
        <f>IF(_xlfn.XLOOKUP($B179,'ELC TECH'!$H:$H,'ELC TECH'!$E:$E)="Non Dispatchable",IFERROR($AX179*_xlfn.XLOOKUP($C179,$BM$1:$BM$3,BU$1:BU$3)/SUMPRODUCT(_xlfn.XLOOKUP($C179,$BM$1:$BM$3,$BN$1:$BY$3),$BN$4:$BY$4),""),
"")</f>
        <v>0</v>
      </c>
      <c r="BV179" s="8">
        <f>IF(_xlfn.XLOOKUP($B179,'ELC TECH'!$H:$H,'ELC TECH'!$E:$E)="Non Dispatchable",IFERROR($AX179*_xlfn.XLOOKUP($C179,$BM$1:$BM$3,BV$1:BV$3)/SUMPRODUCT(_xlfn.XLOOKUP($C179,$BM$1:$BM$3,$BN$1:$BY$3),$BN$4:$BY$4),""),
"")</f>
        <v>0.23398063792686433</v>
      </c>
      <c r="BW179" s="8">
        <f>IF(_xlfn.XLOOKUP($B179,'ELC TECH'!$H:$H,'ELC TECH'!$E:$E)="Non Dispatchable",IFERROR($AX179*_xlfn.XLOOKUP($C179,$BM$1:$BM$3,BW$1:BW$3)/SUMPRODUCT(_xlfn.XLOOKUP($C179,$BM$1:$BM$3,$BN$1:$BY$3),$BN$4:$BY$4),""),
"")</f>
        <v>0.23398063792686433</v>
      </c>
      <c r="BX179" s="8">
        <f>IF(_xlfn.XLOOKUP($B179,'ELC TECH'!$H:$H,'ELC TECH'!$E:$E)="Non Dispatchable",IFERROR($AX179*_xlfn.XLOOKUP($C179,$BM$1:$BM$3,BX$1:BX$3)/SUMPRODUCT(_xlfn.XLOOKUP($C179,$BM$1:$BM$3,$BN$1:$BY$3),$BN$4:$BY$4),""),
"")</f>
        <v>2.3398063792686434E-2</v>
      </c>
      <c r="BY179" s="8">
        <f>IF(_xlfn.XLOOKUP($B179,'ELC TECH'!$H:$H,'ELC TECH'!$E:$E)="Non Dispatchable",IFERROR($AX179*_xlfn.XLOOKUP($C179,$BM$1:$BM$3,BY$1:BY$3)/SUMPRODUCT(_xlfn.XLOOKUP($C179,$BM$1:$BM$3,$BN$1:$BY$3),$BN$4:$BY$4),""),
"")</f>
        <v>0</v>
      </c>
      <c r="BZ179" s="8">
        <f>IF(_xlfn.XLOOKUP($B179,'ELC TECH'!$H:$H,'ELC TECH'!$E:$E)="Non Dispatchable",IFERROR($AX179*_xlfn.XLOOKUP($C179,$BM$1:$BM$3,BZ$1:BZ$3)/SUMPRODUCT(_xlfn.XLOOKUP($C179,$BM$1:$BM$3,$BN$1:$BY$3),$BN$4:$BY$4),""),
"")</f>
        <v>0.24283877632289871</v>
      </c>
      <c r="CA179" s="8">
        <f>IF(_xlfn.XLOOKUP($B179,'ELC TECH'!$H:$H,'ELC TECH'!$E:$E)="Non Dispatchable",IFERROR($AX179*_xlfn.XLOOKUP($C179,$BM$1:$BM$3,CA$1:CA$3)/SUMPRODUCT(_xlfn.XLOOKUP($C179,$BM$1:$BM$3,$BN$1:$BY$3),$BN$4:$BY$4),""),
"")</f>
        <v>0.24283877632289871</v>
      </c>
      <c r="CB179" s="8">
        <f>IF(_xlfn.XLOOKUP($B179,'ELC TECH'!$H:$H,'ELC TECH'!$E:$E)="Non Dispatchable",IFERROR($AX179*_xlfn.XLOOKUP($C179,$BM$1:$BM$3,CB$1:CB$3)/SUMPRODUCT(_xlfn.XLOOKUP($C179,$BM$1:$BM$3,$BN$1:$BY$3),$BN$4:$BY$4),""),
"")</f>
        <v>2.4283877632289872E-2</v>
      </c>
      <c r="CC179" s="8">
        <f>IF(_xlfn.XLOOKUP($B179,'ELC TECH'!$H:$H,'ELC TECH'!$E:$E)="Non Dispatchable",IFERROR($AX179*_xlfn.XLOOKUP($C179,$BM$1:$BM$3,CC$1:CC$3)/SUMPRODUCT(_xlfn.XLOOKUP($C179,$BM$1:$BM$3,$BN$1:$BY$3),$BN$4:$BY$4),""),
"")</f>
        <v>0</v>
      </c>
      <c r="CD179" s="8">
        <f>IF(_xlfn.XLOOKUP($B179,'ELC TECH'!$H:$H,'ELC TECH'!$E:$E)="Non Dispatchable",IFERROR($AX179*_xlfn.XLOOKUP($C179,$BM$1:$BM$3,CD$1:CD$3)/SUMPRODUCT(_xlfn.XLOOKUP($C179,$BM$1:$BM$3,$BN$1:$BY$3),$BN$4:$BY$4),""),
"")</f>
        <v>0.27968484221863371</v>
      </c>
      <c r="CE179" s="8">
        <f>IF(_xlfn.XLOOKUP($B179,'ELC TECH'!$H:$H,'ELC TECH'!$E:$E)="Non Dispatchable",IFERROR($AX179*_xlfn.XLOOKUP($C179,$BM$1:$BM$3,CE$1:CE$3)/SUMPRODUCT(_xlfn.XLOOKUP($C179,$BM$1:$BM$3,$BN$1:$BY$3),$BN$4:$BY$4),""),
"")</f>
        <v>0.27968484221863371</v>
      </c>
      <c r="CF179" s="8">
        <f>IF(_xlfn.XLOOKUP($B179,'ELC TECH'!$H:$H,'ELC TECH'!$E:$E)="Non Dispatchable",IFERROR($AX179*_xlfn.XLOOKUP($C179,$BM$1:$BM$3,CF$1:CF$3)/SUMPRODUCT(_xlfn.XLOOKUP($C179,$BM$1:$BM$3,$BN$1:$BY$3),$BN$4:$BY$4),""),
"")</f>
        <v>2.7968484221863377E-2</v>
      </c>
      <c r="CG179" s="8">
        <f>IF(_xlfn.XLOOKUP($B179,'ELC TECH'!$H:$H,'ELC TECH'!$E:$E)="Non Dispatchable",IFERROR($AX179*_xlfn.XLOOKUP($C179,$BM$1:$BM$3,CG$1:CG$3)/SUMPRODUCT(_xlfn.XLOOKUP($C179,$BM$1:$BM$3,$BN$1:$BY$3),$BN$4:$BY$4),""),
"")</f>
        <v>0</v>
      </c>
      <c r="CH179" s="8">
        <f>IF(_xlfn.XLOOKUP($B179,'ELC TECH'!$H:$H,'ELC TECH'!$E:$E)="Non Dispatchable",IFERROR($AX179*_xlfn.XLOOKUP($C179,$BM$1:$BM$3,CH$1:CH$3)/SUMPRODUCT(_xlfn.XLOOKUP($C179,$BM$1:$BM$3,$BN$1:$BY$3),$BN$4:$BY$4),""),
"")</f>
        <v>0.23398063792686433</v>
      </c>
      <c r="CI179" s="8">
        <f>IF(_xlfn.XLOOKUP($B179,'ELC TECH'!$H:$H,'ELC TECH'!$E:$E)="Non Dispatchable",IFERROR($AX179*_xlfn.XLOOKUP($C179,$BM$1:$BM$3,CI$1:CI$3)/SUMPRODUCT(_xlfn.XLOOKUP($C179,$BM$1:$BM$3,$BN$1:$BY$3),$BN$4:$BY$4),""),
"")</f>
        <v>0.23398063792686433</v>
      </c>
      <c r="CJ179" s="8">
        <f>IF(_xlfn.XLOOKUP($B179,'ELC TECH'!$H:$H,'ELC TECH'!$E:$E)="Non Dispatchable",IFERROR($AX179*_xlfn.XLOOKUP($C179,$BM$1:$BM$3,CJ$1:CJ$3)/SUMPRODUCT(_xlfn.XLOOKUP($C179,$BM$1:$BM$3,$BN$1:$BY$3),$BN$4:$BY$4),""),
"")</f>
        <v>2.3398063792686434E-2</v>
      </c>
      <c r="CK179" s="8">
        <f>IF(_xlfn.XLOOKUP($B179,'ELC TECH'!$H:$H,'ELC TECH'!$E:$E)="Non Dispatchable",IFERROR($AX179*_xlfn.XLOOKUP($C179,$BM$1:$BM$3,CK$1:CK$3)/SUMPRODUCT(_xlfn.XLOOKUP($C179,$BM$1:$BM$3,$BN$1:$BY$3),$BN$4:$BY$4),""),
"")</f>
        <v>0</v>
      </c>
      <c r="CL179" s="8" t="str">
        <f>IF(_xlfn.XLOOKUP($B179,'ELC TECH'!$H:$H,'ELC TECH'!$E:$E)="Storage",CL$4*$BF179,"")</f>
        <v/>
      </c>
      <c r="CM179" s="8" t="str">
        <f>IF(_xlfn.XLOOKUP($B179,'ELC TECH'!$H:$H,'ELC TECH'!$E:$E)="Storage",CM$4*$BF179,"")</f>
        <v/>
      </c>
      <c r="CN179" s="8" t="str">
        <f>IF(_xlfn.XLOOKUP($B179,'ELC TECH'!$H:$H,'ELC TECH'!$E:$E)="Storage",CN$4*$BF179,"")</f>
        <v/>
      </c>
      <c r="CO179" s="8" t="str">
        <f>IF(_xlfn.XLOOKUP($B179,'ELC TECH'!$H:$H,'ELC TECH'!$E:$E)="Storage",CO$4*$BF179,"")</f>
        <v/>
      </c>
      <c r="CP179" s="8" t="str">
        <f>IF(_xlfn.XLOOKUP($B179,'ELC TECH'!$H:$H,'ELC TECH'!$E:$E)="Storage",CP$4*$BF179,"")</f>
        <v/>
      </c>
      <c r="CQ179" s="8" t="str">
        <f>IF(_xlfn.XLOOKUP($B179,'ELC TECH'!$H:$H,'ELC TECH'!$E:$E)="Storage",CQ$4*$BF179,"")</f>
        <v/>
      </c>
      <c r="CR179" s="8" t="str">
        <f>IF(_xlfn.XLOOKUP($B179,'ELC TECH'!$H:$H,'ELC TECH'!$E:$E)="Storage",CR$4*$BF179,"")</f>
        <v/>
      </c>
      <c r="CS179" s="8" t="str">
        <f>IF(_xlfn.XLOOKUP($B179,'ELC TECH'!$H:$H,'ELC TECH'!$E:$E)="Storage",CS$4*$BF179,"")</f>
        <v/>
      </c>
      <c r="CT179" s="8" t="str">
        <f>IF(_xlfn.XLOOKUP($B179,'ELC TECH'!$H:$H,'ELC TECH'!$E:$E)="Storage",CT$4*$BF179,"")</f>
        <v/>
      </c>
      <c r="CU179" s="8" t="str">
        <f>IF(_xlfn.XLOOKUP($B179,'ELC TECH'!$H:$H,'ELC TECH'!$E:$E)="Storage",CU$4*$BF179,"")</f>
        <v/>
      </c>
      <c r="CV179" s="8" t="str">
        <f>IF(_xlfn.XLOOKUP($B179,'ELC TECH'!$H:$H,'ELC TECH'!$E:$E)="Storage",CV$4*$BF179,"")</f>
        <v/>
      </c>
      <c r="CW179" s="8" t="str">
        <f>IF(_xlfn.XLOOKUP($B179,'ELC TECH'!$H:$H,'ELC TECH'!$E:$E)="Storage",CW$4*$BF179,"")</f>
        <v/>
      </c>
      <c r="CX179" s="8" t="str">
        <f>IF(_xlfn.XLOOKUP($B179,'ELC TECH'!$H:$H,'ELC TECH'!$E:$E)="Storage",CX$4*$BF179,"")</f>
        <v/>
      </c>
      <c r="CY179" s="8" t="str">
        <f>IF(_xlfn.XLOOKUP($B179,'ELC TECH'!$H:$H,'ELC TECH'!$E:$E)="Storage",CY$4*$BF179,"")</f>
        <v/>
      </c>
      <c r="CZ179" s="8" t="str">
        <f>IF(_xlfn.XLOOKUP($B179,'ELC TECH'!$H:$H,'ELC TECH'!$E:$E)="Storage",CZ$4*$BF179,"")</f>
        <v/>
      </c>
      <c r="DA179" s="8" t="str">
        <f>IF(_xlfn.XLOOKUP($B179,'ELC TECH'!$H:$H,'ELC TECH'!$E:$E)="Storage",DA$4*$BF179,"")</f>
        <v/>
      </c>
      <c r="DB179" s="8" t="str">
        <f>IF(_xlfn.XLOOKUP($B179,'ELC TECH'!$H:$H,'ELC TECH'!$E:$E)="Storage",DB$4*$BF179,"")</f>
        <v/>
      </c>
      <c r="DC179" s="8" t="str">
        <f>IF(_xlfn.XLOOKUP($B179,'ELC TECH'!$H:$H,'ELC TECH'!$E:$E)="Storage",DC$4*$BF179,"")</f>
        <v/>
      </c>
      <c r="DD179" s="8" t="str">
        <f>IF(_xlfn.XLOOKUP($B179,'ELC TECH'!$H:$H,'ELC TECH'!$E:$E)="Storage",DD$4*$BF179,"")</f>
        <v/>
      </c>
      <c r="DE179" s="8" t="str">
        <f>IF(_xlfn.XLOOKUP($B179,'ELC TECH'!$H:$H,'ELC TECH'!$E:$E)="Storage",DE$4*$BF179,"")</f>
        <v/>
      </c>
      <c r="DF179" s="8" t="str">
        <f>IF(_xlfn.XLOOKUP($B179,'ELC TECH'!$H:$H,'ELC TECH'!$E:$E)="Storage",DF$4*$BF179,"")</f>
        <v/>
      </c>
      <c r="DG179" s="8" t="str">
        <f>IF(_xlfn.XLOOKUP($B179,'ELC TECH'!$H:$H,'ELC TECH'!$E:$E)="Storage",DG$4*$BF179,"")</f>
        <v/>
      </c>
      <c r="DH179" s="8" t="str">
        <f>IF(_xlfn.XLOOKUP($B179,'ELC TECH'!$H:$H,'ELC TECH'!$E:$E)="Storage",DH$4*$BF179,"")</f>
        <v/>
      </c>
      <c r="DI179" s="8" t="str">
        <f>IF(_xlfn.XLOOKUP($B179,'ELC TECH'!$H:$H,'ELC TECH'!$E:$E)="Storage",DI$4*$BF179,"")</f>
        <v/>
      </c>
    </row>
    <row r="180" spans="2:113" x14ac:dyDescent="0.25">
      <c r="B180" t="str">
        <f>IF('ELC TECH'!I173=0,"*",'ELC TECH'!H173)</f>
        <v>ELCSOLDCECDPV620</v>
      </c>
      <c r="C180" t="str">
        <f>IF(_xlfn.XLOOKUP(_xlfn.XLOOKUP(B180,'ELC TECH'!$H:$H,'ELC TECH'!$G:$G),List!C:C,List!B:B)="STG",D180,"ELC"&amp;_xlfn.XLOOKUP(_xlfn.XLOOKUP(B180,'ELC TECH'!H:H,'ELC TECH'!G:G),List!C:C,List!B:B))</f>
        <v>ELCSOL</v>
      </c>
      <c r="D180" t="s">
        <v>546</v>
      </c>
      <c r="E180">
        <f>_xlfn.XLOOKUP(B180,'ELC TECH'!H:H,'ELC TECH'!D:D)</f>
        <v>2020</v>
      </c>
      <c r="F180">
        <f>_xlfn.XLOOKUP(B180,'ELC TECH'!H:H,'ELC TECH'!K:K)</f>
        <v>30</v>
      </c>
      <c r="G180">
        <f t="shared" si="9"/>
        <v>31.535999999999998</v>
      </c>
      <c r="H180">
        <f>IF(_xlfn.XLOOKUP(B180,'ELC TECH'!$H:$H,'ELC TECH'!$E:$E)="Storage",0.3,IF(_xlfn.XLOOKUP(B180,'ELC TECH'!$H:$H,'ELC TECH'!$E:$E)="Baseload",0.9,IF(_xlfn.XLOOKUP(B180,'ELC TECH'!$H:$H,'ELC TECH'!$E:$E)="Non Dispatchable",0.05,IF(_xlfn.XLOOKUP(B180,'ELC TECH'!$H:$H,'ELC TECH'!$E:$E)="Dispatchable",0.9,1))))</f>
        <v>0.05</v>
      </c>
      <c r="I180" s="13">
        <f>IF(_xlfn.XLOOKUP(B180,'ELC TECH'!H:H,'ELC TECH'!J:J)="","",_xlfn.XLOOKUP(B180,'ELC TECH'!H:H,'ELC TECH'!J:J))</f>
        <v>700.17955000000006</v>
      </c>
      <c r="J180" s="12">
        <f>IF(_xlfn.XLOOKUP($B180,'ELC TECH'!$H:$H,'ELC TECH'!$E:$E)="Storage","",IF(_xlfn.XLOOKUP($B180,'ELC TECH'!$H:$H,'ELC TECH'!AK:AK)="",1,_xlfn.XLOOKUP($B180,'ELC TECH'!$H:$H,'ELC TECH'!AK:AK)))</f>
        <v>1</v>
      </c>
      <c r="K180" s="12">
        <f>IF(_xlfn.XLOOKUP($B180,'ELC TECH'!$H:$H,'ELC TECH'!$E:$E)="Storage","",IF(_xlfn.XLOOKUP($B180,'ELC TECH'!$H:$H,'ELC TECH'!AL:AL)="",1,_xlfn.XLOOKUP($B180,'ELC TECH'!$H:$H,'ELC TECH'!AL:AL)))</f>
        <v>1</v>
      </c>
      <c r="L180" s="12">
        <f>IF(_xlfn.XLOOKUP($B180,'ELC TECH'!$H:$H,'ELC TECH'!$E:$E)="Storage","",IF(_xlfn.XLOOKUP($B180,'ELC TECH'!$H:$H,'ELC TECH'!AM:AM)="",1,_xlfn.XLOOKUP($B180,'ELC TECH'!$H:$H,'ELC TECH'!AM:AM)))</f>
        <v>1</v>
      </c>
      <c r="M180" s="12">
        <f>IF(_xlfn.XLOOKUP($B180,'ELC TECH'!$H:$H,'ELC TECH'!$E:$E)="Storage","",IF(_xlfn.XLOOKUP($B180,'ELC TECH'!$H:$H,'ELC TECH'!AN:AN)="",1,_xlfn.XLOOKUP($B180,'ELC TECH'!$H:$H,'ELC TECH'!AN:AN)))</f>
        <v>1</v>
      </c>
      <c r="N180" s="12">
        <f>IF(_xlfn.XLOOKUP($B180,'ELC TECH'!$H:$H,'ELC TECH'!$E:$E)="Storage","",IF(_xlfn.XLOOKUP($B180,'ELC TECH'!$H:$H,'ELC TECH'!AO:AO)="",1,_xlfn.XLOOKUP($B180,'ELC TECH'!$H:$H,'ELC TECH'!AO:AO)))</f>
        <v>1</v>
      </c>
      <c r="O180" s="12">
        <f>IF(_xlfn.XLOOKUP($B180,'ELC TECH'!$H:$H,'ELC TECH'!$E:$E)="Storage","",IF(_xlfn.XLOOKUP($B180,'ELC TECH'!$H:$H,'ELC TECH'!AP:AP)="",1,_xlfn.XLOOKUP($B180,'ELC TECH'!$H:$H,'ELC TECH'!AP:AP)))</f>
        <v>1</v>
      </c>
      <c r="P180" s="12">
        <f>IF(_xlfn.XLOOKUP($B180,'ELC TECH'!$H:$H,'ELC TECH'!$E:$E)="Storage","",IF(_xlfn.XLOOKUP($B180,'ELC TECH'!$H:$H,'ELC TECH'!AQ:AQ)="",1,_xlfn.XLOOKUP($B180,'ELC TECH'!$H:$H,'ELC TECH'!AQ:AQ)))</f>
        <v>1</v>
      </c>
      <c r="Q180" s="12">
        <f>IF(_xlfn.XLOOKUP($B180,'ELC TECH'!$H:$H,'ELC TECH'!$E:$E)="Storage","",IF(_xlfn.XLOOKUP($B180,'ELC TECH'!$H:$H,'ELC TECH'!AR:AR)="",1,_xlfn.XLOOKUP($B180,'ELC TECH'!$H:$H,'ELC TECH'!AR:AR)))</f>
        <v>1</v>
      </c>
      <c r="R180" s="12" t="str">
        <f>IF(_xlfn.XLOOKUP($B180,'ELC TECH'!$H:$H,'ELC TECH'!$E:$E)&lt;&gt;"Storage","",IF(_xlfn.XLOOKUP($B180,'ELC TECH'!$H:$H,'ELC TECH'!AK:AK)="",0.8,_xlfn.XLOOKUP($B180,'ELC TECH'!$H:$H,'ELC TECH'!AK:AK)))</f>
        <v/>
      </c>
      <c r="S180" s="12" t="str">
        <f>IF(_xlfn.XLOOKUP($B180,'ELC TECH'!$H:$H,'ELC TECH'!$E:$E)&lt;&gt;"Storage","",IF(_xlfn.XLOOKUP($B180,'ELC TECH'!$H:$H,'ELC TECH'!AL:AL)="",0.8,_xlfn.XLOOKUP($B180,'ELC TECH'!$H:$H,'ELC TECH'!AL:AL)))</f>
        <v/>
      </c>
      <c r="T180" s="12" t="str">
        <f>IF(_xlfn.XLOOKUP($B180,'ELC TECH'!$H:$H,'ELC TECH'!$E:$E)&lt;&gt;"Storage","",IF(_xlfn.XLOOKUP($B180,'ELC TECH'!$H:$H,'ELC TECH'!AM:AM)="",0.8,_xlfn.XLOOKUP($B180,'ELC TECH'!$H:$H,'ELC TECH'!AM:AM)))</f>
        <v/>
      </c>
      <c r="U180" s="12" t="str">
        <f>IF(_xlfn.XLOOKUP($B180,'ELC TECH'!$H:$H,'ELC TECH'!$E:$E)&lt;&gt;"Storage","",IF(_xlfn.XLOOKUP($B180,'ELC TECH'!$H:$H,'ELC TECH'!AN:AN)="",0.8,_xlfn.XLOOKUP($B180,'ELC TECH'!$H:$H,'ELC TECH'!AN:AN)))</f>
        <v/>
      </c>
      <c r="V180" s="12" t="str">
        <f>IF(_xlfn.XLOOKUP($B180,'ELC TECH'!$H:$H,'ELC TECH'!$E:$E)&lt;&gt;"Storage","",IF(_xlfn.XLOOKUP($B180,'ELC TECH'!$H:$H,'ELC TECH'!AO:AO)="",0.8,_xlfn.XLOOKUP($B180,'ELC TECH'!$H:$H,'ELC TECH'!AO:AO)))</f>
        <v/>
      </c>
      <c r="W180" s="12" t="str">
        <f>IF(_xlfn.XLOOKUP($B180,'ELC TECH'!$H:$H,'ELC TECH'!$E:$E)&lt;&gt;"Storage","",IF(_xlfn.XLOOKUP($B180,'ELC TECH'!$H:$H,'ELC TECH'!AP:AP)="",0.8,_xlfn.XLOOKUP($B180,'ELC TECH'!$H:$H,'ELC TECH'!AP:AP)))</f>
        <v/>
      </c>
      <c r="X180" s="12" t="str">
        <f>IF(_xlfn.XLOOKUP($B180,'ELC TECH'!$H:$H,'ELC TECH'!$E:$E)&lt;&gt;"Storage","",IF(_xlfn.XLOOKUP($B180,'ELC TECH'!$H:$H,'ELC TECH'!AQ:AQ)="",0.8,_xlfn.XLOOKUP($B180,'ELC TECH'!$H:$H,'ELC TECH'!AQ:AQ)))</f>
        <v/>
      </c>
      <c r="Y180" s="12" t="str">
        <f>IF(_xlfn.XLOOKUP($B180,'ELC TECH'!$H:$H,'ELC TECH'!$E:$E)&lt;&gt;"Storage","",IF(_xlfn.XLOOKUP($B180,'ELC TECH'!$H:$H,'ELC TECH'!AR:AR)="",0.8,_xlfn.XLOOKUP($B180,'ELC TECH'!$H:$H,'ELC TECH'!AR:AR)))</f>
        <v/>
      </c>
      <c r="Z180" s="15">
        <f>_xlfn.XLOOKUP($B180,'ELC TECH'!$H:$H,'ELC TECH'!M:M)</f>
        <v>1912.264310519447</v>
      </c>
      <c r="AA180" s="15">
        <f>_xlfn.XLOOKUP($B180,'ELC TECH'!$H:$H,'ELC TECH'!N:N)</f>
        <v>1887.703407882211</v>
      </c>
      <c r="AB180" s="15">
        <f>_xlfn.XLOOKUP($B180,'ELC TECH'!$H:$H,'ELC TECH'!O:O)</f>
        <v>1569.6288150057401</v>
      </c>
      <c r="AC180" s="15">
        <f>_xlfn.XLOOKUP($B180,'ELC TECH'!$H:$H,'ELC TECH'!P:P)</f>
        <v>1251.5542221292801</v>
      </c>
      <c r="AD180" s="15">
        <f>_xlfn.XLOOKUP($B180,'ELC TECH'!$H:$H,'ELC TECH'!Q:Q)</f>
        <v>1147.154572863142</v>
      </c>
      <c r="AE180" s="15">
        <f>_xlfn.XLOOKUP($B180,'ELC TECH'!$H:$H,'ELC TECH'!R:R)</f>
        <v>1042.7549235970189</v>
      </c>
      <c r="AF180" s="15">
        <f>_xlfn.XLOOKUP($B180,'ELC TECH'!$H:$H,'ELC TECH'!S:S)</f>
        <v>938.35527433088987</v>
      </c>
      <c r="AG180" s="15">
        <f>_xlfn.XLOOKUP($B180,'ELC TECH'!$H:$H,'ELC TECH'!T:T)</f>
        <v>938.35527433088987</v>
      </c>
      <c r="AH180" s="15">
        <f>_xlfn.XLOOKUP($B180,'ELC TECH'!$H:$H,'ELC TECH'!U:U)</f>
        <v>20.242248163120561</v>
      </c>
      <c r="AI180" s="15">
        <f>_xlfn.XLOOKUP($B180,'ELC TECH'!$H:$H,'ELC TECH'!V:V)</f>
        <v>19.891925366567069</v>
      </c>
      <c r="AJ180" s="15">
        <f>_xlfn.XLOOKUP($B180,'ELC TECH'!$H:$H,'ELC TECH'!W:W)</f>
        <v>17.127058056750311</v>
      </c>
      <c r="AK180" s="15">
        <f>_xlfn.XLOOKUP($B180,'ELC TECH'!$H:$H,'ELC TECH'!X:X)</f>
        <v>14.36219074693344</v>
      </c>
      <c r="AL180" s="15">
        <f>_xlfn.XLOOKUP($B180,'ELC TECH'!$H:$H,'ELC TECH'!Y:Y)</f>
        <v>13.45469551192622</v>
      </c>
      <c r="AM180" s="15">
        <f>_xlfn.XLOOKUP($B180,'ELC TECH'!$H:$H,'ELC TECH'!Z:Z)</f>
        <v>12.547200276919</v>
      </c>
      <c r="AN180" s="15">
        <f>_xlfn.XLOOKUP($B180,'ELC TECH'!$H:$H,'ELC TECH'!AA:AA)</f>
        <v>11.63970504191178</v>
      </c>
      <c r="AO180" s="15">
        <f>_xlfn.XLOOKUP($B180,'ELC TECH'!$H:$H,'ELC TECH'!AB:AB)</f>
        <v>11.63970504191178</v>
      </c>
      <c r="AP180" s="15">
        <f>_xlfn.XLOOKUP($B180,'ELC TECH'!$H:$H,'ELC TECH'!AC:AC)</f>
        <v>0</v>
      </c>
      <c r="AQ180" s="15">
        <f>_xlfn.XLOOKUP($B180,'ELC TECH'!$H:$H,'ELC TECH'!AD:AD)</f>
        <v>0</v>
      </c>
      <c r="AR180" s="15">
        <f>_xlfn.XLOOKUP($B180,'ELC TECH'!$H:$H,'ELC TECH'!AE:AE)</f>
        <v>0</v>
      </c>
      <c r="AS180" s="15">
        <f>_xlfn.XLOOKUP($B180,'ELC TECH'!$H:$H,'ELC TECH'!AF:AF)</f>
        <v>0</v>
      </c>
      <c r="AT180" s="15">
        <f>_xlfn.XLOOKUP($B180,'ELC TECH'!$H:$H,'ELC TECH'!AG:AG)</f>
        <v>0</v>
      </c>
      <c r="AU180" s="15">
        <f>_xlfn.XLOOKUP($B180,'ELC TECH'!$H:$H,'ELC TECH'!AH:AH)</f>
        <v>0</v>
      </c>
      <c r="AV180" s="15">
        <f>_xlfn.XLOOKUP($B180,'ELC TECH'!$H:$H,'ELC TECH'!AI:AI)</f>
        <v>0</v>
      </c>
      <c r="AW180" s="15">
        <f>_xlfn.XLOOKUP($B180,'ELC TECH'!$H:$H,'ELC TECH'!AJ:AJ)</f>
        <v>0</v>
      </c>
      <c r="AX180" s="12">
        <f>IF(_xlfn.XLOOKUP($B180,'ELC TECH'!$H:$H,'ELC TECH'!$E:$E)="Storage","",_xlfn.XLOOKUP($B180,'ELC TECH'!$H:$H,'ELC TECH'!AS:AS))</f>
        <v>0.15310089877420299</v>
      </c>
      <c r="AY180" s="12">
        <f>IF(_xlfn.XLOOKUP($B180,'ELC TECH'!$H:$H,'ELC TECH'!$E:$E)="Storage","",_xlfn.XLOOKUP($B180,'ELC TECH'!$H:$H,'ELC TECH'!AT:AT))</f>
        <v>0.156200643270381</v>
      </c>
      <c r="AZ180" s="12">
        <f>IF(_xlfn.XLOOKUP($B180,'ELC TECH'!$H:$H,'ELC TECH'!$E:$E)="Storage","",_xlfn.XLOOKUP($B180,'ELC TECH'!$H:$H,'ELC TECH'!AU:AU))</f>
        <v>0.160075323890602</v>
      </c>
      <c r="BA180" s="12">
        <f>IF(_xlfn.XLOOKUP($B180,'ELC TECH'!$H:$H,'ELC TECH'!$E:$E)="Storage","",_xlfn.XLOOKUP($B180,'ELC TECH'!$H:$H,'ELC TECH'!AV:AV))</f>
        <v>0.16395000451082301</v>
      </c>
      <c r="BB180" s="12">
        <f>IF(_xlfn.XLOOKUP($B180,'ELC TECH'!$H:$H,'ELC TECH'!$E:$E)="Storage","",_xlfn.XLOOKUP($B180,'ELC TECH'!$H:$H,'ELC TECH'!AW:AW))</f>
        <v>0.166665298341862</v>
      </c>
      <c r="BC180" s="12">
        <f>IF(_xlfn.XLOOKUP($B180,'ELC TECH'!$H:$H,'ELC TECH'!$E:$E)="Storage","",_xlfn.XLOOKUP($B180,'ELC TECH'!$H:$H,'ELC TECH'!AX:AX))</f>
        <v>0.1693805921729</v>
      </c>
      <c r="BD180" s="12">
        <f>IF(_xlfn.XLOOKUP($B180,'ELC TECH'!$H:$H,'ELC TECH'!$E:$E)="Storage","",_xlfn.XLOOKUP($B180,'ELC TECH'!$H:$H,'ELC TECH'!AY:AY))</f>
        <v>0.17209588600393799</v>
      </c>
      <c r="BE180" s="12">
        <f>IF(_xlfn.XLOOKUP($B180,'ELC TECH'!$H:$H,'ELC TECH'!$E:$E)="Storage","",_xlfn.XLOOKUP($B180,'ELC TECH'!$H:$H,'ELC TECH'!AZ:AZ))</f>
        <v>0.17209588600393799</v>
      </c>
      <c r="BF180" s="12" t="str">
        <f>IF(_xlfn.XLOOKUP($B180,'ELC TECH'!$H:$H,'ELC TECH'!$E:$E)="Storage",_xlfn.XLOOKUP($B180,'ELC TECH'!$H:$H,'ELC TECH'!AS:AS),"")</f>
        <v/>
      </c>
      <c r="BG180" s="12" t="str">
        <f>IF(_xlfn.XLOOKUP($B180,'ELC TECH'!$H:$H,'ELC TECH'!$E:$E)="Storage",_xlfn.XLOOKUP($B180,'ELC TECH'!$H:$H,'ELC TECH'!AT:AT),"")</f>
        <v/>
      </c>
      <c r="BH180" s="12" t="str">
        <f>IF(_xlfn.XLOOKUP($B180,'ELC TECH'!$H:$H,'ELC TECH'!$E:$E)="Storage",_xlfn.XLOOKUP($B180,'ELC TECH'!$H:$H,'ELC TECH'!AU:AU),"")</f>
        <v/>
      </c>
      <c r="BI180" s="12" t="str">
        <f>IF(_xlfn.XLOOKUP($B180,'ELC TECH'!$H:$H,'ELC TECH'!$E:$E)="Storage",_xlfn.XLOOKUP($B180,'ELC TECH'!$H:$H,'ELC TECH'!AV:AV),"")</f>
        <v/>
      </c>
      <c r="BJ180" s="12" t="str">
        <f>IF(_xlfn.XLOOKUP($B180,'ELC TECH'!$H:$H,'ELC TECH'!$E:$E)="Storage",_xlfn.XLOOKUP($B180,'ELC TECH'!$H:$H,'ELC TECH'!AW:AW),"")</f>
        <v/>
      </c>
      <c r="BK180" s="12" t="str">
        <f>IF(_xlfn.XLOOKUP($B180,'ELC TECH'!$H:$H,'ELC TECH'!$E:$E)="Storage",_xlfn.XLOOKUP($B180,'ELC TECH'!$H:$H,'ELC TECH'!AX:AX),"")</f>
        <v/>
      </c>
      <c r="BL180" s="12" t="str">
        <f>IF(_xlfn.XLOOKUP($B180,'ELC TECH'!$H:$H,'ELC TECH'!$E:$E)="Storage",_xlfn.XLOOKUP($B180,'ELC TECH'!$H:$H,'ELC TECH'!AY:AY),"")</f>
        <v/>
      </c>
      <c r="BM180" s="12" t="str">
        <f>IF(_xlfn.XLOOKUP($B180,'ELC TECH'!$H:$H,'ELC TECH'!$E:$E)="Storage",_xlfn.XLOOKUP($B180,'ELC TECH'!$H:$H,'ELC TECH'!AZ:AZ),"")</f>
        <v/>
      </c>
      <c r="BN180" s="8">
        <f>IF(_xlfn.XLOOKUP($B180,'ELC TECH'!$H:$H,'ELC TECH'!$E:$E)="Non Dispatchable",IFERROR($AX180*_xlfn.XLOOKUP($C180,$BM$1:$BM$3,BN$1:BN$3)/SUMPRODUCT(_xlfn.XLOOKUP($C180,$BM$1:$BM$3,$BN$1:$BY$3),$BN$4:$BY$4),""),
"")</f>
        <v>0.23961857947796117</v>
      </c>
      <c r="BO180" s="8">
        <f>IF(_xlfn.XLOOKUP($B180,'ELC TECH'!$H:$H,'ELC TECH'!$E:$E)="Non Dispatchable",IFERROR($AX180*_xlfn.XLOOKUP($C180,$BM$1:$BM$3,BO$1:BO$3)/SUMPRODUCT(_xlfn.XLOOKUP($C180,$BM$1:$BM$3,$BN$1:$BY$3),$BN$4:$BY$4),""),
"")</f>
        <v>0.23961857947796117</v>
      </c>
      <c r="BP180" s="8">
        <f>IF(_xlfn.XLOOKUP($B180,'ELC TECH'!$H:$H,'ELC TECH'!$E:$E)="Non Dispatchable",IFERROR($AX180*_xlfn.XLOOKUP($C180,$BM$1:$BM$3,BP$1:BP$3)/SUMPRODUCT(_xlfn.XLOOKUP($C180,$BM$1:$BM$3,$BN$1:$BY$3),$BN$4:$BY$4),""),
"")</f>
        <v>2.3961857947796119E-2</v>
      </c>
      <c r="BQ180" s="8">
        <f>IF(_xlfn.XLOOKUP($B180,'ELC TECH'!$H:$H,'ELC TECH'!$E:$E)="Non Dispatchable",IFERROR($AX180*_xlfn.XLOOKUP($C180,$BM$1:$BM$3,BQ$1:BQ$3)/SUMPRODUCT(_xlfn.XLOOKUP($C180,$BM$1:$BM$3,$BN$1:$BY$3),$BN$4:$BY$4),""),
"")</f>
        <v>0</v>
      </c>
      <c r="BR180" s="8">
        <f>IF(_xlfn.XLOOKUP($B180,'ELC TECH'!$H:$H,'ELC TECH'!$E:$E)="Non Dispatchable",IFERROR($AX180*_xlfn.XLOOKUP($C180,$BM$1:$BM$3,BR$1:BR$3)/SUMPRODUCT(_xlfn.XLOOKUP($C180,$BM$1:$BM$3,$BN$1:$BY$3),$BN$4:$BY$4),""),
"")</f>
        <v>0.27597604307161555</v>
      </c>
      <c r="BS180" s="8">
        <f>IF(_xlfn.XLOOKUP($B180,'ELC TECH'!$H:$H,'ELC TECH'!$E:$E)="Non Dispatchable",IFERROR($AX180*_xlfn.XLOOKUP($C180,$BM$1:$BM$3,BS$1:BS$3)/SUMPRODUCT(_xlfn.XLOOKUP($C180,$BM$1:$BM$3,$BN$1:$BY$3),$BN$4:$BY$4),""),
"")</f>
        <v>0.27597604307161555</v>
      </c>
      <c r="BT180" s="8">
        <f>IF(_xlfn.XLOOKUP($B180,'ELC TECH'!$H:$H,'ELC TECH'!$E:$E)="Non Dispatchable",IFERROR($AX180*_xlfn.XLOOKUP($C180,$BM$1:$BM$3,BT$1:BT$3)/SUMPRODUCT(_xlfn.XLOOKUP($C180,$BM$1:$BM$3,$BN$1:$BY$3),$BN$4:$BY$4),""),
"")</f>
        <v>2.7597604307161558E-2</v>
      </c>
      <c r="BU180" s="8">
        <f>IF(_xlfn.XLOOKUP($B180,'ELC TECH'!$H:$H,'ELC TECH'!$E:$E)="Non Dispatchable",IFERROR($AX180*_xlfn.XLOOKUP($C180,$BM$1:$BM$3,BU$1:BU$3)/SUMPRODUCT(_xlfn.XLOOKUP($C180,$BM$1:$BM$3,$BN$1:$BY$3),$BN$4:$BY$4),""),
"")</f>
        <v>0</v>
      </c>
      <c r="BV180" s="8">
        <f>IF(_xlfn.XLOOKUP($B180,'ELC TECH'!$H:$H,'ELC TECH'!$E:$E)="Non Dispatchable",IFERROR($AX180*_xlfn.XLOOKUP($C180,$BM$1:$BM$3,BV$1:BV$3)/SUMPRODUCT(_xlfn.XLOOKUP($C180,$BM$1:$BM$3,$BN$1:$BY$3),$BN$4:$BY$4),""),
"")</f>
        <v>0.2308779056390575</v>
      </c>
      <c r="BW180" s="8">
        <f>IF(_xlfn.XLOOKUP($B180,'ELC TECH'!$H:$H,'ELC TECH'!$E:$E)="Non Dispatchable",IFERROR($AX180*_xlfn.XLOOKUP($C180,$BM$1:$BM$3,BW$1:BW$3)/SUMPRODUCT(_xlfn.XLOOKUP($C180,$BM$1:$BM$3,$BN$1:$BY$3),$BN$4:$BY$4),""),
"")</f>
        <v>0.2308779056390575</v>
      </c>
      <c r="BX180" s="8">
        <f>IF(_xlfn.XLOOKUP($B180,'ELC TECH'!$H:$H,'ELC TECH'!$E:$E)="Non Dispatchable",IFERROR($AX180*_xlfn.XLOOKUP($C180,$BM$1:$BM$3,BX$1:BX$3)/SUMPRODUCT(_xlfn.XLOOKUP($C180,$BM$1:$BM$3,$BN$1:$BY$3),$BN$4:$BY$4),""),
"")</f>
        <v>2.3087790563905749E-2</v>
      </c>
      <c r="BY180" s="8">
        <f>IF(_xlfn.XLOOKUP($B180,'ELC TECH'!$H:$H,'ELC TECH'!$E:$E)="Non Dispatchable",IFERROR($AX180*_xlfn.XLOOKUP($C180,$BM$1:$BM$3,BY$1:BY$3)/SUMPRODUCT(_xlfn.XLOOKUP($C180,$BM$1:$BM$3,$BN$1:$BY$3),$BN$4:$BY$4),""),
"")</f>
        <v>0</v>
      </c>
      <c r="BZ180" s="8">
        <f>IF(_xlfn.XLOOKUP($B180,'ELC TECH'!$H:$H,'ELC TECH'!$E:$E)="Non Dispatchable",IFERROR($AX180*_xlfn.XLOOKUP($C180,$BM$1:$BM$3,BZ$1:BZ$3)/SUMPRODUCT(_xlfn.XLOOKUP($C180,$BM$1:$BM$3,$BN$1:$BY$3),$BN$4:$BY$4),""),
"")</f>
        <v>0.23961857947796117</v>
      </c>
      <c r="CA180" s="8">
        <f>IF(_xlfn.XLOOKUP($B180,'ELC TECH'!$H:$H,'ELC TECH'!$E:$E)="Non Dispatchable",IFERROR($AX180*_xlfn.XLOOKUP($C180,$BM$1:$BM$3,CA$1:CA$3)/SUMPRODUCT(_xlfn.XLOOKUP($C180,$BM$1:$BM$3,$BN$1:$BY$3),$BN$4:$BY$4),""),
"")</f>
        <v>0.23961857947796117</v>
      </c>
      <c r="CB180" s="8">
        <f>IF(_xlfn.XLOOKUP($B180,'ELC TECH'!$H:$H,'ELC TECH'!$E:$E)="Non Dispatchable",IFERROR($AX180*_xlfn.XLOOKUP($C180,$BM$1:$BM$3,CB$1:CB$3)/SUMPRODUCT(_xlfn.XLOOKUP($C180,$BM$1:$BM$3,$BN$1:$BY$3),$BN$4:$BY$4),""),
"")</f>
        <v>2.3961857947796119E-2</v>
      </c>
      <c r="CC180" s="8">
        <f>IF(_xlfn.XLOOKUP($B180,'ELC TECH'!$H:$H,'ELC TECH'!$E:$E)="Non Dispatchable",IFERROR($AX180*_xlfn.XLOOKUP($C180,$BM$1:$BM$3,CC$1:CC$3)/SUMPRODUCT(_xlfn.XLOOKUP($C180,$BM$1:$BM$3,$BN$1:$BY$3),$BN$4:$BY$4),""),
"")</f>
        <v>0</v>
      </c>
      <c r="CD180" s="8">
        <f>IF(_xlfn.XLOOKUP($B180,'ELC TECH'!$H:$H,'ELC TECH'!$E:$E)="Non Dispatchable",IFERROR($AX180*_xlfn.XLOOKUP($C180,$BM$1:$BM$3,CD$1:CD$3)/SUMPRODUCT(_xlfn.XLOOKUP($C180,$BM$1:$BM$3,$BN$1:$BY$3),$BN$4:$BY$4),""),
"")</f>
        <v>0.27597604307161555</v>
      </c>
      <c r="CE180" s="8">
        <f>IF(_xlfn.XLOOKUP($B180,'ELC TECH'!$H:$H,'ELC TECH'!$E:$E)="Non Dispatchable",IFERROR($AX180*_xlfn.XLOOKUP($C180,$BM$1:$BM$3,CE$1:CE$3)/SUMPRODUCT(_xlfn.XLOOKUP($C180,$BM$1:$BM$3,$BN$1:$BY$3),$BN$4:$BY$4),""),
"")</f>
        <v>0.27597604307161555</v>
      </c>
      <c r="CF180" s="8">
        <f>IF(_xlfn.XLOOKUP($B180,'ELC TECH'!$H:$H,'ELC TECH'!$E:$E)="Non Dispatchable",IFERROR($AX180*_xlfn.XLOOKUP($C180,$BM$1:$BM$3,CF$1:CF$3)/SUMPRODUCT(_xlfn.XLOOKUP($C180,$BM$1:$BM$3,$BN$1:$BY$3),$BN$4:$BY$4),""),
"")</f>
        <v>2.7597604307161558E-2</v>
      </c>
      <c r="CG180" s="8">
        <f>IF(_xlfn.XLOOKUP($B180,'ELC TECH'!$H:$H,'ELC TECH'!$E:$E)="Non Dispatchable",IFERROR($AX180*_xlfn.XLOOKUP($C180,$BM$1:$BM$3,CG$1:CG$3)/SUMPRODUCT(_xlfn.XLOOKUP($C180,$BM$1:$BM$3,$BN$1:$BY$3),$BN$4:$BY$4),""),
"")</f>
        <v>0</v>
      </c>
      <c r="CH180" s="8">
        <f>IF(_xlfn.XLOOKUP($B180,'ELC TECH'!$H:$H,'ELC TECH'!$E:$E)="Non Dispatchable",IFERROR($AX180*_xlfn.XLOOKUP($C180,$BM$1:$BM$3,CH$1:CH$3)/SUMPRODUCT(_xlfn.XLOOKUP($C180,$BM$1:$BM$3,$BN$1:$BY$3),$BN$4:$BY$4),""),
"")</f>
        <v>0.2308779056390575</v>
      </c>
      <c r="CI180" s="8">
        <f>IF(_xlfn.XLOOKUP($B180,'ELC TECH'!$H:$H,'ELC TECH'!$E:$E)="Non Dispatchable",IFERROR($AX180*_xlfn.XLOOKUP($C180,$BM$1:$BM$3,CI$1:CI$3)/SUMPRODUCT(_xlfn.XLOOKUP($C180,$BM$1:$BM$3,$BN$1:$BY$3),$BN$4:$BY$4),""),
"")</f>
        <v>0.2308779056390575</v>
      </c>
      <c r="CJ180" s="8">
        <f>IF(_xlfn.XLOOKUP($B180,'ELC TECH'!$H:$H,'ELC TECH'!$E:$E)="Non Dispatchable",IFERROR($AX180*_xlfn.XLOOKUP($C180,$BM$1:$BM$3,CJ$1:CJ$3)/SUMPRODUCT(_xlfn.XLOOKUP($C180,$BM$1:$BM$3,$BN$1:$BY$3),$BN$4:$BY$4),""),
"")</f>
        <v>2.3087790563905749E-2</v>
      </c>
      <c r="CK180" s="8">
        <f>IF(_xlfn.XLOOKUP($B180,'ELC TECH'!$H:$H,'ELC TECH'!$E:$E)="Non Dispatchable",IFERROR($AX180*_xlfn.XLOOKUP($C180,$BM$1:$BM$3,CK$1:CK$3)/SUMPRODUCT(_xlfn.XLOOKUP($C180,$BM$1:$BM$3,$BN$1:$BY$3),$BN$4:$BY$4),""),
"")</f>
        <v>0</v>
      </c>
      <c r="CL180" s="8" t="str">
        <f>IF(_xlfn.XLOOKUP($B180,'ELC TECH'!$H:$H,'ELC TECH'!$E:$E)="Storage",CL$4*$BF180,"")</f>
        <v/>
      </c>
      <c r="CM180" s="8" t="str">
        <f>IF(_xlfn.XLOOKUP($B180,'ELC TECH'!$H:$H,'ELC TECH'!$E:$E)="Storage",CM$4*$BF180,"")</f>
        <v/>
      </c>
      <c r="CN180" s="8" t="str">
        <f>IF(_xlfn.XLOOKUP($B180,'ELC TECH'!$H:$H,'ELC TECH'!$E:$E)="Storage",CN$4*$BF180,"")</f>
        <v/>
      </c>
      <c r="CO180" s="8" t="str">
        <f>IF(_xlfn.XLOOKUP($B180,'ELC TECH'!$H:$H,'ELC TECH'!$E:$E)="Storage",CO$4*$BF180,"")</f>
        <v/>
      </c>
      <c r="CP180" s="8" t="str">
        <f>IF(_xlfn.XLOOKUP($B180,'ELC TECH'!$H:$H,'ELC TECH'!$E:$E)="Storage",CP$4*$BF180,"")</f>
        <v/>
      </c>
      <c r="CQ180" s="8" t="str">
        <f>IF(_xlfn.XLOOKUP($B180,'ELC TECH'!$H:$H,'ELC TECH'!$E:$E)="Storage",CQ$4*$BF180,"")</f>
        <v/>
      </c>
      <c r="CR180" s="8" t="str">
        <f>IF(_xlfn.XLOOKUP($B180,'ELC TECH'!$H:$H,'ELC TECH'!$E:$E)="Storage",CR$4*$BF180,"")</f>
        <v/>
      </c>
      <c r="CS180" s="8" t="str">
        <f>IF(_xlfn.XLOOKUP($B180,'ELC TECH'!$H:$H,'ELC TECH'!$E:$E)="Storage",CS$4*$BF180,"")</f>
        <v/>
      </c>
      <c r="CT180" s="8" t="str">
        <f>IF(_xlfn.XLOOKUP($B180,'ELC TECH'!$H:$H,'ELC TECH'!$E:$E)="Storage",CT$4*$BF180,"")</f>
        <v/>
      </c>
      <c r="CU180" s="8" t="str">
        <f>IF(_xlfn.XLOOKUP($B180,'ELC TECH'!$H:$H,'ELC TECH'!$E:$E)="Storage",CU$4*$BF180,"")</f>
        <v/>
      </c>
      <c r="CV180" s="8" t="str">
        <f>IF(_xlfn.XLOOKUP($B180,'ELC TECH'!$H:$H,'ELC TECH'!$E:$E)="Storage",CV$4*$BF180,"")</f>
        <v/>
      </c>
      <c r="CW180" s="8" t="str">
        <f>IF(_xlfn.XLOOKUP($B180,'ELC TECH'!$H:$H,'ELC TECH'!$E:$E)="Storage",CW$4*$BF180,"")</f>
        <v/>
      </c>
      <c r="CX180" s="8" t="str">
        <f>IF(_xlfn.XLOOKUP($B180,'ELC TECH'!$H:$H,'ELC TECH'!$E:$E)="Storage",CX$4*$BF180,"")</f>
        <v/>
      </c>
      <c r="CY180" s="8" t="str">
        <f>IF(_xlfn.XLOOKUP($B180,'ELC TECH'!$H:$H,'ELC TECH'!$E:$E)="Storage",CY$4*$BF180,"")</f>
        <v/>
      </c>
      <c r="CZ180" s="8" t="str">
        <f>IF(_xlfn.XLOOKUP($B180,'ELC TECH'!$H:$H,'ELC TECH'!$E:$E)="Storage",CZ$4*$BF180,"")</f>
        <v/>
      </c>
      <c r="DA180" s="8" t="str">
        <f>IF(_xlfn.XLOOKUP($B180,'ELC TECH'!$H:$H,'ELC TECH'!$E:$E)="Storage",DA$4*$BF180,"")</f>
        <v/>
      </c>
      <c r="DB180" s="8" t="str">
        <f>IF(_xlfn.XLOOKUP($B180,'ELC TECH'!$H:$H,'ELC TECH'!$E:$E)="Storage",DB$4*$BF180,"")</f>
        <v/>
      </c>
      <c r="DC180" s="8" t="str">
        <f>IF(_xlfn.XLOOKUP($B180,'ELC TECH'!$H:$H,'ELC TECH'!$E:$E)="Storage",DC$4*$BF180,"")</f>
        <v/>
      </c>
      <c r="DD180" s="8" t="str">
        <f>IF(_xlfn.XLOOKUP($B180,'ELC TECH'!$H:$H,'ELC TECH'!$E:$E)="Storage",DD$4*$BF180,"")</f>
        <v/>
      </c>
      <c r="DE180" s="8" t="str">
        <f>IF(_xlfn.XLOOKUP($B180,'ELC TECH'!$H:$H,'ELC TECH'!$E:$E)="Storage",DE$4*$BF180,"")</f>
        <v/>
      </c>
      <c r="DF180" s="8" t="str">
        <f>IF(_xlfn.XLOOKUP($B180,'ELC TECH'!$H:$H,'ELC TECH'!$E:$E)="Storage",DF$4*$BF180,"")</f>
        <v/>
      </c>
      <c r="DG180" s="8" t="str">
        <f>IF(_xlfn.XLOOKUP($B180,'ELC TECH'!$H:$H,'ELC TECH'!$E:$E)="Storage",DG$4*$BF180,"")</f>
        <v/>
      </c>
      <c r="DH180" s="8" t="str">
        <f>IF(_xlfn.XLOOKUP($B180,'ELC TECH'!$H:$H,'ELC TECH'!$E:$E)="Storage",DH$4*$BF180,"")</f>
        <v/>
      </c>
      <c r="DI180" s="8" t="str">
        <f>IF(_xlfn.XLOOKUP($B180,'ELC TECH'!$H:$H,'ELC TECH'!$E:$E)="Storage",DI$4*$BF180,"")</f>
        <v/>
      </c>
    </row>
    <row r="181" spans="2:113" x14ac:dyDescent="0.25">
      <c r="B181" t="str">
        <f>IF('ELC TECH'!I174=0,"*",'ELC TECH'!H174)</f>
        <v>ELCSOLDCECDPV720</v>
      </c>
      <c r="C181" t="str">
        <f>IF(_xlfn.XLOOKUP(_xlfn.XLOOKUP(B181,'ELC TECH'!$H:$H,'ELC TECH'!$G:$G),List!C:C,List!B:B)="STG",D181,"ELC"&amp;_xlfn.XLOOKUP(_xlfn.XLOOKUP(B181,'ELC TECH'!H:H,'ELC TECH'!G:G),List!C:C,List!B:B))</f>
        <v>ELCSOL</v>
      </c>
      <c r="D181" t="s">
        <v>546</v>
      </c>
      <c r="E181">
        <f>_xlfn.XLOOKUP(B181,'ELC TECH'!H:H,'ELC TECH'!D:D)</f>
        <v>2020</v>
      </c>
      <c r="F181">
        <f>_xlfn.XLOOKUP(B181,'ELC TECH'!H:H,'ELC TECH'!K:K)</f>
        <v>30</v>
      </c>
      <c r="G181">
        <f t="shared" si="9"/>
        <v>31.535999999999998</v>
      </c>
      <c r="H181">
        <f>IF(_xlfn.XLOOKUP(B181,'ELC TECH'!$H:$H,'ELC TECH'!$E:$E)="Storage",0.3,IF(_xlfn.XLOOKUP(B181,'ELC TECH'!$H:$H,'ELC TECH'!$E:$E)="Baseload",0.9,IF(_xlfn.XLOOKUP(B181,'ELC TECH'!$H:$H,'ELC TECH'!$E:$E)="Non Dispatchable",0.05,IF(_xlfn.XLOOKUP(B181,'ELC TECH'!$H:$H,'ELC TECH'!$E:$E)="Dispatchable",0.9,1))))</f>
        <v>0.05</v>
      </c>
      <c r="I181" s="13">
        <f>IF(_xlfn.XLOOKUP(B181,'ELC TECH'!H:H,'ELC TECH'!J:J)="","",_xlfn.XLOOKUP(B181,'ELC TECH'!H:H,'ELC TECH'!J:J))</f>
        <v>700.17955000000006</v>
      </c>
      <c r="J181" s="12">
        <f>IF(_xlfn.XLOOKUP($B181,'ELC TECH'!$H:$H,'ELC TECH'!$E:$E)="Storage","",IF(_xlfn.XLOOKUP($B181,'ELC TECH'!$H:$H,'ELC TECH'!AK:AK)="",1,_xlfn.XLOOKUP($B181,'ELC TECH'!$H:$H,'ELC TECH'!AK:AK)))</f>
        <v>1</v>
      </c>
      <c r="K181" s="12">
        <f>IF(_xlfn.XLOOKUP($B181,'ELC TECH'!$H:$H,'ELC TECH'!$E:$E)="Storage","",IF(_xlfn.XLOOKUP($B181,'ELC TECH'!$H:$H,'ELC TECH'!AL:AL)="",1,_xlfn.XLOOKUP($B181,'ELC TECH'!$H:$H,'ELC TECH'!AL:AL)))</f>
        <v>1</v>
      </c>
      <c r="L181" s="12">
        <f>IF(_xlfn.XLOOKUP($B181,'ELC TECH'!$H:$H,'ELC TECH'!$E:$E)="Storage","",IF(_xlfn.XLOOKUP($B181,'ELC TECH'!$H:$H,'ELC TECH'!AM:AM)="",1,_xlfn.XLOOKUP($B181,'ELC TECH'!$H:$H,'ELC TECH'!AM:AM)))</f>
        <v>1</v>
      </c>
      <c r="M181" s="12">
        <f>IF(_xlfn.XLOOKUP($B181,'ELC TECH'!$H:$H,'ELC TECH'!$E:$E)="Storage","",IF(_xlfn.XLOOKUP($B181,'ELC TECH'!$H:$H,'ELC TECH'!AN:AN)="",1,_xlfn.XLOOKUP($B181,'ELC TECH'!$H:$H,'ELC TECH'!AN:AN)))</f>
        <v>1</v>
      </c>
      <c r="N181" s="12">
        <f>IF(_xlfn.XLOOKUP($B181,'ELC TECH'!$H:$H,'ELC TECH'!$E:$E)="Storage","",IF(_xlfn.XLOOKUP($B181,'ELC TECH'!$H:$H,'ELC TECH'!AO:AO)="",1,_xlfn.XLOOKUP($B181,'ELC TECH'!$H:$H,'ELC TECH'!AO:AO)))</f>
        <v>1</v>
      </c>
      <c r="O181" s="12">
        <f>IF(_xlfn.XLOOKUP($B181,'ELC TECH'!$H:$H,'ELC TECH'!$E:$E)="Storage","",IF(_xlfn.XLOOKUP($B181,'ELC TECH'!$H:$H,'ELC TECH'!AP:AP)="",1,_xlfn.XLOOKUP($B181,'ELC TECH'!$H:$H,'ELC TECH'!AP:AP)))</f>
        <v>1</v>
      </c>
      <c r="P181" s="12">
        <f>IF(_xlfn.XLOOKUP($B181,'ELC TECH'!$H:$H,'ELC TECH'!$E:$E)="Storage","",IF(_xlfn.XLOOKUP($B181,'ELC TECH'!$H:$H,'ELC TECH'!AQ:AQ)="",1,_xlfn.XLOOKUP($B181,'ELC TECH'!$H:$H,'ELC TECH'!AQ:AQ)))</f>
        <v>1</v>
      </c>
      <c r="Q181" s="12">
        <f>IF(_xlfn.XLOOKUP($B181,'ELC TECH'!$H:$H,'ELC TECH'!$E:$E)="Storage","",IF(_xlfn.XLOOKUP($B181,'ELC TECH'!$H:$H,'ELC TECH'!AR:AR)="",1,_xlfn.XLOOKUP($B181,'ELC TECH'!$H:$H,'ELC TECH'!AR:AR)))</f>
        <v>1</v>
      </c>
      <c r="R181" s="12" t="str">
        <f>IF(_xlfn.XLOOKUP($B181,'ELC TECH'!$H:$H,'ELC TECH'!$E:$E)&lt;&gt;"Storage","",IF(_xlfn.XLOOKUP($B181,'ELC TECH'!$H:$H,'ELC TECH'!AK:AK)="",0.8,_xlfn.XLOOKUP($B181,'ELC TECH'!$H:$H,'ELC TECH'!AK:AK)))</f>
        <v/>
      </c>
      <c r="S181" s="12" t="str">
        <f>IF(_xlfn.XLOOKUP($B181,'ELC TECH'!$H:$H,'ELC TECH'!$E:$E)&lt;&gt;"Storage","",IF(_xlfn.XLOOKUP($B181,'ELC TECH'!$H:$H,'ELC TECH'!AL:AL)="",0.8,_xlfn.XLOOKUP($B181,'ELC TECH'!$H:$H,'ELC TECH'!AL:AL)))</f>
        <v/>
      </c>
      <c r="T181" s="12" t="str">
        <f>IF(_xlfn.XLOOKUP($B181,'ELC TECH'!$H:$H,'ELC TECH'!$E:$E)&lt;&gt;"Storage","",IF(_xlfn.XLOOKUP($B181,'ELC TECH'!$H:$H,'ELC TECH'!AM:AM)="",0.8,_xlfn.XLOOKUP($B181,'ELC TECH'!$H:$H,'ELC TECH'!AM:AM)))</f>
        <v/>
      </c>
      <c r="U181" s="12" t="str">
        <f>IF(_xlfn.XLOOKUP($B181,'ELC TECH'!$H:$H,'ELC TECH'!$E:$E)&lt;&gt;"Storage","",IF(_xlfn.XLOOKUP($B181,'ELC TECH'!$H:$H,'ELC TECH'!AN:AN)="",0.8,_xlfn.XLOOKUP($B181,'ELC TECH'!$H:$H,'ELC TECH'!AN:AN)))</f>
        <v/>
      </c>
      <c r="V181" s="12" t="str">
        <f>IF(_xlfn.XLOOKUP($B181,'ELC TECH'!$H:$H,'ELC TECH'!$E:$E)&lt;&gt;"Storage","",IF(_xlfn.XLOOKUP($B181,'ELC TECH'!$H:$H,'ELC TECH'!AO:AO)="",0.8,_xlfn.XLOOKUP($B181,'ELC TECH'!$H:$H,'ELC TECH'!AO:AO)))</f>
        <v/>
      </c>
      <c r="W181" s="12" t="str">
        <f>IF(_xlfn.XLOOKUP($B181,'ELC TECH'!$H:$H,'ELC TECH'!$E:$E)&lt;&gt;"Storage","",IF(_xlfn.XLOOKUP($B181,'ELC TECH'!$H:$H,'ELC TECH'!AP:AP)="",0.8,_xlfn.XLOOKUP($B181,'ELC TECH'!$H:$H,'ELC TECH'!AP:AP)))</f>
        <v/>
      </c>
      <c r="X181" s="12" t="str">
        <f>IF(_xlfn.XLOOKUP($B181,'ELC TECH'!$H:$H,'ELC TECH'!$E:$E)&lt;&gt;"Storage","",IF(_xlfn.XLOOKUP($B181,'ELC TECH'!$H:$H,'ELC TECH'!AQ:AQ)="",0.8,_xlfn.XLOOKUP($B181,'ELC TECH'!$H:$H,'ELC TECH'!AQ:AQ)))</f>
        <v/>
      </c>
      <c r="Y181" s="12" t="str">
        <f>IF(_xlfn.XLOOKUP($B181,'ELC TECH'!$H:$H,'ELC TECH'!$E:$E)&lt;&gt;"Storage","",IF(_xlfn.XLOOKUP($B181,'ELC TECH'!$H:$H,'ELC TECH'!AR:AR)="",0.8,_xlfn.XLOOKUP($B181,'ELC TECH'!$H:$H,'ELC TECH'!AR:AR)))</f>
        <v/>
      </c>
      <c r="Z181" s="15">
        <f>_xlfn.XLOOKUP($B181,'ELC TECH'!$H:$H,'ELC TECH'!M:M)</f>
        <v>1912.264310519447</v>
      </c>
      <c r="AA181" s="15">
        <f>_xlfn.XLOOKUP($B181,'ELC TECH'!$H:$H,'ELC TECH'!N:N)</f>
        <v>1887.703407882211</v>
      </c>
      <c r="AB181" s="15">
        <f>_xlfn.XLOOKUP($B181,'ELC TECH'!$H:$H,'ELC TECH'!O:O)</f>
        <v>1569.6288150057401</v>
      </c>
      <c r="AC181" s="15">
        <f>_xlfn.XLOOKUP($B181,'ELC TECH'!$H:$H,'ELC TECH'!P:P)</f>
        <v>1251.5542221292801</v>
      </c>
      <c r="AD181" s="15">
        <f>_xlfn.XLOOKUP($B181,'ELC TECH'!$H:$H,'ELC TECH'!Q:Q)</f>
        <v>1147.154572863142</v>
      </c>
      <c r="AE181" s="15">
        <f>_xlfn.XLOOKUP($B181,'ELC TECH'!$H:$H,'ELC TECH'!R:R)</f>
        <v>1042.7549235970189</v>
      </c>
      <c r="AF181" s="15">
        <f>_xlfn.XLOOKUP($B181,'ELC TECH'!$H:$H,'ELC TECH'!S:S)</f>
        <v>938.35527433088987</v>
      </c>
      <c r="AG181" s="15">
        <f>_xlfn.XLOOKUP($B181,'ELC TECH'!$H:$H,'ELC TECH'!T:T)</f>
        <v>938.35527433088987</v>
      </c>
      <c r="AH181" s="15">
        <f>_xlfn.XLOOKUP($B181,'ELC TECH'!$H:$H,'ELC TECH'!U:U)</f>
        <v>20.242248163120561</v>
      </c>
      <c r="AI181" s="15">
        <f>_xlfn.XLOOKUP($B181,'ELC TECH'!$H:$H,'ELC TECH'!V:V)</f>
        <v>19.891925366567069</v>
      </c>
      <c r="AJ181" s="15">
        <f>_xlfn.XLOOKUP($B181,'ELC TECH'!$H:$H,'ELC TECH'!W:W)</f>
        <v>17.127058056750311</v>
      </c>
      <c r="AK181" s="15">
        <f>_xlfn.XLOOKUP($B181,'ELC TECH'!$H:$H,'ELC TECH'!X:X)</f>
        <v>14.36219074693344</v>
      </c>
      <c r="AL181" s="15">
        <f>_xlfn.XLOOKUP($B181,'ELC TECH'!$H:$H,'ELC TECH'!Y:Y)</f>
        <v>13.45469551192622</v>
      </c>
      <c r="AM181" s="15">
        <f>_xlfn.XLOOKUP($B181,'ELC TECH'!$H:$H,'ELC TECH'!Z:Z)</f>
        <v>12.547200276919</v>
      </c>
      <c r="AN181" s="15">
        <f>_xlfn.XLOOKUP($B181,'ELC TECH'!$H:$H,'ELC TECH'!AA:AA)</f>
        <v>11.63970504191178</v>
      </c>
      <c r="AO181" s="15">
        <f>_xlfn.XLOOKUP($B181,'ELC TECH'!$H:$H,'ELC TECH'!AB:AB)</f>
        <v>11.63970504191178</v>
      </c>
      <c r="AP181" s="15">
        <f>_xlfn.XLOOKUP($B181,'ELC TECH'!$H:$H,'ELC TECH'!AC:AC)</f>
        <v>0</v>
      </c>
      <c r="AQ181" s="15">
        <f>_xlfn.XLOOKUP($B181,'ELC TECH'!$H:$H,'ELC TECH'!AD:AD)</f>
        <v>0</v>
      </c>
      <c r="AR181" s="15">
        <f>_xlfn.XLOOKUP($B181,'ELC TECH'!$H:$H,'ELC TECH'!AE:AE)</f>
        <v>0</v>
      </c>
      <c r="AS181" s="15">
        <f>_xlfn.XLOOKUP($B181,'ELC TECH'!$H:$H,'ELC TECH'!AF:AF)</f>
        <v>0</v>
      </c>
      <c r="AT181" s="15">
        <f>_xlfn.XLOOKUP($B181,'ELC TECH'!$H:$H,'ELC TECH'!AG:AG)</f>
        <v>0</v>
      </c>
      <c r="AU181" s="15">
        <f>_xlfn.XLOOKUP($B181,'ELC TECH'!$H:$H,'ELC TECH'!AH:AH)</f>
        <v>0</v>
      </c>
      <c r="AV181" s="15">
        <f>_xlfn.XLOOKUP($B181,'ELC TECH'!$H:$H,'ELC TECH'!AI:AI)</f>
        <v>0</v>
      </c>
      <c r="AW181" s="15">
        <f>_xlfn.XLOOKUP($B181,'ELC TECH'!$H:$H,'ELC TECH'!AJ:AJ)</f>
        <v>0</v>
      </c>
      <c r="AX181" s="12">
        <f>IF(_xlfn.XLOOKUP($B181,'ELC TECH'!$H:$H,'ELC TECH'!$E:$E)="Storage","",_xlfn.XLOOKUP($B181,'ELC TECH'!$H:$H,'ELC TECH'!AS:AS))</f>
        <v>0.145874546451563</v>
      </c>
      <c r="AY181" s="12">
        <f>IF(_xlfn.XLOOKUP($B181,'ELC TECH'!$H:$H,'ELC TECH'!$E:$E)="Storage","",_xlfn.XLOOKUP($B181,'ELC TECH'!$H:$H,'ELC TECH'!AT:AT))</f>
        <v>0.148827983211999</v>
      </c>
      <c r="AZ181" s="12">
        <f>IF(_xlfn.XLOOKUP($B181,'ELC TECH'!$H:$H,'ELC TECH'!$E:$E)="Storage","",_xlfn.XLOOKUP($B181,'ELC TECH'!$H:$H,'ELC TECH'!AU:AU))</f>
        <v>0.152519779162545</v>
      </c>
      <c r="BA181" s="12">
        <f>IF(_xlfn.XLOOKUP($B181,'ELC TECH'!$H:$H,'ELC TECH'!$E:$E)="Storage","",_xlfn.XLOOKUP($B181,'ELC TECH'!$H:$H,'ELC TECH'!AV:AV))</f>
        <v>0.15621157511309</v>
      </c>
      <c r="BB181" s="12">
        <f>IF(_xlfn.XLOOKUP($B181,'ELC TECH'!$H:$H,'ELC TECH'!$E:$E)="Storage","",_xlfn.XLOOKUP($B181,'ELC TECH'!$H:$H,'ELC TECH'!AW:AW))</f>
        <v>0.158798707254421</v>
      </c>
      <c r="BC181" s="12">
        <f>IF(_xlfn.XLOOKUP($B181,'ELC TECH'!$H:$H,'ELC TECH'!$E:$E)="Storage","",_xlfn.XLOOKUP($B181,'ELC TECH'!$H:$H,'ELC TECH'!AX:AX))</f>
        <v>0.16138583939575199</v>
      </c>
      <c r="BD181" s="12">
        <f>IF(_xlfn.XLOOKUP($B181,'ELC TECH'!$H:$H,'ELC TECH'!$E:$E)="Storage","",_xlfn.XLOOKUP($B181,'ELC TECH'!$H:$H,'ELC TECH'!AY:AY))</f>
        <v>0.16397297153708301</v>
      </c>
      <c r="BE181" s="12">
        <f>IF(_xlfn.XLOOKUP($B181,'ELC TECH'!$H:$H,'ELC TECH'!$E:$E)="Storage","",_xlfn.XLOOKUP($B181,'ELC TECH'!$H:$H,'ELC TECH'!AZ:AZ))</f>
        <v>0.16397297153708301</v>
      </c>
      <c r="BF181" s="12" t="str">
        <f>IF(_xlfn.XLOOKUP($B181,'ELC TECH'!$H:$H,'ELC TECH'!$E:$E)="Storage",_xlfn.XLOOKUP($B181,'ELC TECH'!$H:$H,'ELC TECH'!AS:AS),"")</f>
        <v/>
      </c>
      <c r="BG181" s="12" t="str">
        <f>IF(_xlfn.XLOOKUP($B181,'ELC TECH'!$H:$H,'ELC TECH'!$E:$E)="Storage",_xlfn.XLOOKUP($B181,'ELC TECH'!$H:$H,'ELC TECH'!AT:AT),"")</f>
        <v/>
      </c>
      <c r="BH181" s="12" t="str">
        <f>IF(_xlfn.XLOOKUP($B181,'ELC TECH'!$H:$H,'ELC TECH'!$E:$E)="Storage",_xlfn.XLOOKUP($B181,'ELC TECH'!$H:$H,'ELC TECH'!AU:AU),"")</f>
        <v/>
      </c>
      <c r="BI181" s="12" t="str">
        <f>IF(_xlfn.XLOOKUP($B181,'ELC TECH'!$H:$H,'ELC TECH'!$E:$E)="Storage",_xlfn.XLOOKUP($B181,'ELC TECH'!$H:$H,'ELC TECH'!AV:AV),"")</f>
        <v/>
      </c>
      <c r="BJ181" s="12" t="str">
        <f>IF(_xlfn.XLOOKUP($B181,'ELC TECH'!$H:$H,'ELC TECH'!$E:$E)="Storage",_xlfn.XLOOKUP($B181,'ELC TECH'!$H:$H,'ELC TECH'!AW:AW),"")</f>
        <v/>
      </c>
      <c r="BK181" s="12" t="str">
        <f>IF(_xlfn.XLOOKUP($B181,'ELC TECH'!$H:$H,'ELC TECH'!$E:$E)="Storage",_xlfn.XLOOKUP($B181,'ELC TECH'!$H:$H,'ELC TECH'!AX:AX),"")</f>
        <v/>
      </c>
      <c r="BL181" s="12" t="str">
        <f>IF(_xlfn.XLOOKUP($B181,'ELC TECH'!$H:$H,'ELC TECH'!$E:$E)="Storage",_xlfn.XLOOKUP($B181,'ELC TECH'!$H:$H,'ELC TECH'!AY:AY),"")</f>
        <v/>
      </c>
      <c r="BM181" s="12" t="str">
        <f>IF(_xlfn.XLOOKUP($B181,'ELC TECH'!$H:$H,'ELC TECH'!$E:$E)="Storage",_xlfn.XLOOKUP($B181,'ELC TECH'!$H:$H,'ELC TECH'!AZ:AZ),"")</f>
        <v/>
      </c>
      <c r="BN181" s="8">
        <f>IF(_xlfn.XLOOKUP($B181,'ELC TECH'!$H:$H,'ELC TECH'!$E:$E)="Non Dispatchable",IFERROR($AX181*_xlfn.XLOOKUP($C181,$BM$1:$BM$3,BN$1:BN$3)/SUMPRODUCT(_xlfn.XLOOKUP($C181,$BM$1:$BM$3,$BN$1:$BY$3),$BN$4:$BY$4),""),
"")</f>
        <v>0.22830859833335654</v>
      </c>
      <c r="BO181" s="8">
        <f>IF(_xlfn.XLOOKUP($B181,'ELC TECH'!$H:$H,'ELC TECH'!$E:$E)="Non Dispatchable",IFERROR($AX181*_xlfn.XLOOKUP($C181,$BM$1:$BM$3,BO$1:BO$3)/SUMPRODUCT(_xlfn.XLOOKUP($C181,$BM$1:$BM$3,$BN$1:$BY$3),$BN$4:$BY$4),""),
"")</f>
        <v>0.22830859833335654</v>
      </c>
      <c r="BP181" s="8">
        <f>IF(_xlfn.XLOOKUP($B181,'ELC TECH'!$H:$H,'ELC TECH'!$E:$E)="Non Dispatchable",IFERROR($AX181*_xlfn.XLOOKUP($C181,$BM$1:$BM$3,BP$1:BP$3)/SUMPRODUCT(_xlfn.XLOOKUP($C181,$BM$1:$BM$3,$BN$1:$BY$3),$BN$4:$BY$4),""),
"")</f>
        <v>2.2830859833335656E-2</v>
      </c>
      <c r="BQ181" s="8">
        <f>IF(_xlfn.XLOOKUP($B181,'ELC TECH'!$H:$H,'ELC TECH'!$E:$E)="Non Dispatchable",IFERROR($AX181*_xlfn.XLOOKUP($C181,$BM$1:$BM$3,BQ$1:BQ$3)/SUMPRODUCT(_xlfn.XLOOKUP($C181,$BM$1:$BM$3,$BN$1:$BY$3),$BN$4:$BY$4),""),
"")</f>
        <v>0</v>
      </c>
      <c r="BR181" s="8">
        <f>IF(_xlfn.XLOOKUP($B181,'ELC TECH'!$H:$H,'ELC TECH'!$E:$E)="Non Dispatchable",IFERROR($AX181*_xlfn.XLOOKUP($C181,$BM$1:$BM$3,BR$1:BR$3)/SUMPRODUCT(_xlfn.XLOOKUP($C181,$BM$1:$BM$3,$BN$1:$BY$3),$BN$4:$BY$4),""),
"")</f>
        <v>0.26294999204375841</v>
      </c>
      <c r="BS181" s="8">
        <f>IF(_xlfn.XLOOKUP($B181,'ELC TECH'!$H:$H,'ELC TECH'!$E:$E)="Non Dispatchable",IFERROR($AX181*_xlfn.XLOOKUP($C181,$BM$1:$BM$3,BS$1:BS$3)/SUMPRODUCT(_xlfn.XLOOKUP($C181,$BM$1:$BM$3,$BN$1:$BY$3),$BN$4:$BY$4),""),
"")</f>
        <v>0.26294999204375841</v>
      </c>
      <c r="BT181" s="8">
        <f>IF(_xlfn.XLOOKUP($B181,'ELC TECH'!$H:$H,'ELC TECH'!$E:$E)="Non Dispatchable",IFERROR($AX181*_xlfn.XLOOKUP($C181,$BM$1:$BM$3,BT$1:BT$3)/SUMPRODUCT(_xlfn.XLOOKUP($C181,$BM$1:$BM$3,$BN$1:$BY$3),$BN$4:$BY$4),""),
"")</f>
        <v>2.6294999204375842E-2</v>
      </c>
      <c r="BU181" s="8">
        <f>IF(_xlfn.XLOOKUP($B181,'ELC TECH'!$H:$H,'ELC TECH'!$E:$E)="Non Dispatchable",IFERROR($AX181*_xlfn.XLOOKUP($C181,$BM$1:$BM$3,BU$1:BU$3)/SUMPRODUCT(_xlfn.XLOOKUP($C181,$BM$1:$BM$3,$BN$1:$BY$3),$BN$4:$BY$4),""),
"")</f>
        <v>0</v>
      </c>
      <c r="BV181" s="8">
        <f>IF(_xlfn.XLOOKUP($B181,'ELC TECH'!$H:$H,'ELC TECH'!$E:$E)="Non Dispatchable",IFERROR($AX181*_xlfn.XLOOKUP($C181,$BM$1:$BM$3,BV$1:BV$3)/SUMPRODUCT(_xlfn.XLOOKUP($C181,$BM$1:$BM$3,$BN$1:$BY$3),$BN$4:$BY$4),""),
"")</f>
        <v>0.21998048372305903</v>
      </c>
      <c r="BW181" s="8">
        <f>IF(_xlfn.XLOOKUP($B181,'ELC TECH'!$H:$H,'ELC TECH'!$E:$E)="Non Dispatchable",IFERROR($AX181*_xlfn.XLOOKUP($C181,$BM$1:$BM$3,BW$1:BW$3)/SUMPRODUCT(_xlfn.XLOOKUP($C181,$BM$1:$BM$3,$BN$1:$BY$3),$BN$4:$BY$4),""),
"")</f>
        <v>0.21998048372305903</v>
      </c>
      <c r="BX181" s="8">
        <f>IF(_xlfn.XLOOKUP($B181,'ELC TECH'!$H:$H,'ELC TECH'!$E:$E)="Non Dispatchable",IFERROR($AX181*_xlfn.XLOOKUP($C181,$BM$1:$BM$3,BX$1:BX$3)/SUMPRODUCT(_xlfn.XLOOKUP($C181,$BM$1:$BM$3,$BN$1:$BY$3),$BN$4:$BY$4),""),
"")</f>
        <v>2.1998048372305904E-2</v>
      </c>
      <c r="BY181" s="8">
        <f>IF(_xlfn.XLOOKUP($B181,'ELC TECH'!$H:$H,'ELC TECH'!$E:$E)="Non Dispatchable",IFERROR($AX181*_xlfn.XLOOKUP($C181,$BM$1:$BM$3,BY$1:BY$3)/SUMPRODUCT(_xlfn.XLOOKUP($C181,$BM$1:$BM$3,$BN$1:$BY$3),$BN$4:$BY$4),""),
"")</f>
        <v>0</v>
      </c>
      <c r="BZ181" s="8">
        <f>IF(_xlfn.XLOOKUP($B181,'ELC TECH'!$H:$H,'ELC TECH'!$E:$E)="Non Dispatchable",IFERROR($AX181*_xlfn.XLOOKUP($C181,$BM$1:$BM$3,BZ$1:BZ$3)/SUMPRODUCT(_xlfn.XLOOKUP($C181,$BM$1:$BM$3,$BN$1:$BY$3),$BN$4:$BY$4),""),
"")</f>
        <v>0.22830859833335654</v>
      </c>
      <c r="CA181" s="8">
        <f>IF(_xlfn.XLOOKUP($B181,'ELC TECH'!$H:$H,'ELC TECH'!$E:$E)="Non Dispatchable",IFERROR($AX181*_xlfn.XLOOKUP($C181,$BM$1:$BM$3,CA$1:CA$3)/SUMPRODUCT(_xlfn.XLOOKUP($C181,$BM$1:$BM$3,$BN$1:$BY$3),$BN$4:$BY$4),""),
"")</f>
        <v>0.22830859833335654</v>
      </c>
      <c r="CB181" s="8">
        <f>IF(_xlfn.XLOOKUP($B181,'ELC TECH'!$H:$H,'ELC TECH'!$E:$E)="Non Dispatchable",IFERROR($AX181*_xlfn.XLOOKUP($C181,$BM$1:$BM$3,CB$1:CB$3)/SUMPRODUCT(_xlfn.XLOOKUP($C181,$BM$1:$BM$3,$BN$1:$BY$3),$BN$4:$BY$4),""),
"")</f>
        <v>2.2830859833335656E-2</v>
      </c>
      <c r="CC181" s="8">
        <f>IF(_xlfn.XLOOKUP($B181,'ELC TECH'!$H:$H,'ELC TECH'!$E:$E)="Non Dispatchable",IFERROR($AX181*_xlfn.XLOOKUP($C181,$BM$1:$BM$3,CC$1:CC$3)/SUMPRODUCT(_xlfn.XLOOKUP($C181,$BM$1:$BM$3,$BN$1:$BY$3),$BN$4:$BY$4),""),
"")</f>
        <v>0</v>
      </c>
      <c r="CD181" s="8">
        <f>IF(_xlfn.XLOOKUP($B181,'ELC TECH'!$H:$H,'ELC TECH'!$E:$E)="Non Dispatchable",IFERROR($AX181*_xlfn.XLOOKUP($C181,$BM$1:$BM$3,CD$1:CD$3)/SUMPRODUCT(_xlfn.XLOOKUP($C181,$BM$1:$BM$3,$BN$1:$BY$3),$BN$4:$BY$4),""),
"")</f>
        <v>0.26294999204375841</v>
      </c>
      <c r="CE181" s="8">
        <f>IF(_xlfn.XLOOKUP($B181,'ELC TECH'!$H:$H,'ELC TECH'!$E:$E)="Non Dispatchable",IFERROR($AX181*_xlfn.XLOOKUP($C181,$BM$1:$BM$3,CE$1:CE$3)/SUMPRODUCT(_xlfn.XLOOKUP($C181,$BM$1:$BM$3,$BN$1:$BY$3),$BN$4:$BY$4),""),
"")</f>
        <v>0.26294999204375841</v>
      </c>
      <c r="CF181" s="8">
        <f>IF(_xlfn.XLOOKUP($B181,'ELC TECH'!$H:$H,'ELC TECH'!$E:$E)="Non Dispatchable",IFERROR($AX181*_xlfn.XLOOKUP($C181,$BM$1:$BM$3,CF$1:CF$3)/SUMPRODUCT(_xlfn.XLOOKUP($C181,$BM$1:$BM$3,$BN$1:$BY$3),$BN$4:$BY$4),""),
"")</f>
        <v>2.6294999204375842E-2</v>
      </c>
      <c r="CG181" s="8">
        <f>IF(_xlfn.XLOOKUP($B181,'ELC TECH'!$H:$H,'ELC TECH'!$E:$E)="Non Dispatchable",IFERROR($AX181*_xlfn.XLOOKUP($C181,$BM$1:$BM$3,CG$1:CG$3)/SUMPRODUCT(_xlfn.XLOOKUP($C181,$BM$1:$BM$3,$BN$1:$BY$3),$BN$4:$BY$4),""),
"")</f>
        <v>0</v>
      </c>
      <c r="CH181" s="8">
        <f>IF(_xlfn.XLOOKUP($B181,'ELC TECH'!$H:$H,'ELC TECH'!$E:$E)="Non Dispatchable",IFERROR($AX181*_xlfn.XLOOKUP($C181,$BM$1:$BM$3,CH$1:CH$3)/SUMPRODUCT(_xlfn.XLOOKUP($C181,$BM$1:$BM$3,$BN$1:$BY$3),$BN$4:$BY$4),""),
"")</f>
        <v>0.21998048372305903</v>
      </c>
      <c r="CI181" s="8">
        <f>IF(_xlfn.XLOOKUP($B181,'ELC TECH'!$H:$H,'ELC TECH'!$E:$E)="Non Dispatchable",IFERROR($AX181*_xlfn.XLOOKUP($C181,$BM$1:$BM$3,CI$1:CI$3)/SUMPRODUCT(_xlfn.XLOOKUP($C181,$BM$1:$BM$3,$BN$1:$BY$3),$BN$4:$BY$4),""),
"")</f>
        <v>0.21998048372305903</v>
      </c>
      <c r="CJ181" s="8">
        <f>IF(_xlfn.XLOOKUP($B181,'ELC TECH'!$H:$H,'ELC TECH'!$E:$E)="Non Dispatchable",IFERROR($AX181*_xlfn.XLOOKUP($C181,$BM$1:$BM$3,CJ$1:CJ$3)/SUMPRODUCT(_xlfn.XLOOKUP($C181,$BM$1:$BM$3,$BN$1:$BY$3),$BN$4:$BY$4),""),
"")</f>
        <v>2.1998048372305904E-2</v>
      </c>
      <c r="CK181" s="8">
        <f>IF(_xlfn.XLOOKUP($B181,'ELC TECH'!$H:$H,'ELC TECH'!$E:$E)="Non Dispatchable",IFERROR($AX181*_xlfn.XLOOKUP($C181,$BM$1:$BM$3,CK$1:CK$3)/SUMPRODUCT(_xlfn.XLOOKUP($C181,$BM$1:$BM$3,$BN$1:$BY$3),$BN$4:$BY$4),""),
"")</f>
        <v>0</v>
      </c>
      <c r="CL181" s="8" t="str">
        <f>IF(_xlfn.XLOOKUP($B181,'ELC TECH'!$H:$H,'ELC TECH'!$E:$E)="Storage",CL$4*$BF181,"")</f>
        <v/>
      </c>
      <c r="CM181" s="8" t="str">
        <f>IF(_xlfn.XLOOKUP($B181,'ELC TECH'!$H:$H,'ELC TECH'!$E:$E)="Storage",CM$4*$BF181,"")</f>
        <v/>
      </c>
      <c r="CN181" s="8" t="str">
        <f>IF(_xlfn.XLOOKUP($B181,'ELC TECH'!$H:$H,'ELC TECH'!$E:$E)="Storage",CN$4*$BF181,"")</f>
        <v/>
      </c>
      <c r="CO181" s="8" t="str">
        <f>IF(_xlfn.XLOOKUP($B181,'ELC TECH'!$H:$H,'ELC TECH'!$E:$E)="Storage",CO$4*$BF181,"")</f>
        <v/>
      </c>
      <c r="CP181" s="8" t="str">
        <f>IF(_xlfn.XLOOKUP($B181,'ELC TECH'!$H:$H,'ELC TECH'!$E:$E)="Storage",CP$4*$BF181,"")</f>
        <v/>
      </c>
      <c r="CQ181" s="8" t="str">
        <f>IF(_xlfn.XLOOKUP($B181,'ELC TECH'!$H:$H,'ELC TECH'!$E:$E)="Storage",CQ$4*$BF181,"")</f>
        <v/>
      </c>
      <c r="CR181" s="8" t="str">
        <f>IF(_xlfn.XLOOKUP($B181,'ELC TECH'!$H:$H,'ELC TECH'!$E:$E)="Storage",CR$4*$BF181,"")</f>
        <v/>
      </c>
      <c r="CS181" s="8" t="str">
        <f>IF(_xlfn.XLOOKUP($B181,'ELC TECH'!$H:$H,'ELC TECH'!$E:$E)="Storage",CS$4*$BF181,"")</f>
        <v/>
      </c>
      <c r="CT181" s="8" t="str">
        <f>IF(_xlfn.XLOOKUP($B181,'ELC TECH'!$H:$H,'ELC TECH'!$E:$E)="Storage",CT$4*$BF181,"")</f>
        <v/>
      </c>
      <c r="CU181" s="8" t="str">
        <f>IF(_xlfn.XLOOKUP($B181,'ELC TECH'!$H:$H,'ELC TECH'!$E:$E)="Storage",CU$4*$BF181,"")</f>
        <v/>
      </c>
      <c r="CV181" s="8" t="str">
        <f>IF(_xlfn.XLOOKUP($B181,'ELC TECH'!$H:$H,'ELC TECH'!$E:$E)="Storage",CV$4*$BF181,"")</f>
        <v/>
      </c>
      <c r="CW181" s="8" t="str">
        <f>IF(_xlfn.XLOOKUP($B181,'ELC TECH'!$H:$H,'ELC TECH'!$E:$E)="Storage",CW$4*$BF181,"")</f>
        <v/>
      </c>
      <c r="CX181" s="8" t="str">
        <f>IF(_xlfn.XLOOKUP($B181,'ELC TECH'!$H:$H,'ELC TECH'!$E:$E)="Storage",CX$4*$BF181,"")</f>
        <v/>
      </c>
      <c r="CY181" s="8" t="str">
        <f>IF(_xlfn.XLOOKUP($B181,'ELC TECH'!$H:$H,'ELC TECH'!$E:$E)="Storage",CY$4*$BF181,"")</f>
        <v/>
      </c>
      <c r="CZ181" s="8" t="str">
        <f>IF(_xlfn.XLOOKUP($B181,'ELC TECH'!$H:$H,'ELC TECH'!$E:$E)="Storage",CZ$4*$BF181,"")</f>
        <v/>
      </c>
      <c r="DA181" s="8" t="str">
        <f>IF(_xlfn.XLOOKUP($B181,'ELC TECH'!$H:$H,'ELC TECH'!$E:$E)="Storage",DA$4*$BF181,"")</f>
        <v/>
      </c>
      <c r="DB181" s="8" t="str">
        <f>IF(_xlfn.XLOOKUP($B181,'ELC TECH'!$H:$H,'ELC TECH'!$E:$E)="Storage",DB$4*$BF181,"")</f>
        <v/>
      </c>
      <c r="DC181" s="8" t="str">
        <f>IF(_xlfn.XLOOKUP($B181,'ELC TECH'!$H:$H,'ELC TECH'!$E:$E)="Storage",DC$4*$BF181,"")</f>
        <v/>
      </c>
      <c r="DD181" s="8" t="str">
        <f>IF(_xlfn.XLOOKUP($B181,'ELC TECH'!$H:$H,'ELC TECH'!$E:$E)="Storage",DD$4*$BF181,"")</f>
        <v/>
      </c>
      <c r="DE181" s="8" t="str">
        <f>IF(_xlfn.XLOOKUP($B181,'ELC TECH'!$H:$H,'ELC TECH'!$E:$E)="Storage",DE$4*$BF181,"")</f>
        <v/>
      </c>
      <c r="DF181" s="8" t="str">
        <f>IF(_xlfn.XLOOKUP($B181,'ELC TECH'!$H:$H,'ELC TECH'!$E:$E)="Storage",DF$4*$BF181,"")</f>
        <v/>
      </c>
      <c r="DG181" s="8" t="str">
        <f>IF(_xlfn.XLOOKUP($B181,'ELC TECH'!$H:$H,'ELC TECH'!$E:$E)="Storage",DG$4*$BF181,"")</f>
        <v/>
      </c>
      <c r="DH181" s="8" t="str">
        <f>IF(_xlfn.XLOOKUP($B181,'ELC TECH'!$H:$H,'ELC TECH'!$E:$E)="Storage",DH$4*$BF181,"")</f>
        <v/>
      </c>
      <c r="DI181" s="8" t="str">
        <f>IF(_xlfn.XLOOKUP($B181,'ELC TECH'!$H:$H,'ELC TECH'!$E:$E)="Storage",DI$4*$BF181,"")</f>
        <v/>
      </c>
    </row>
    <row r="182" spans="2:113" x14ac:dyDescent="0.25">
      <c r="B182" t="str">
        <f>IF('ELC TECH'!I175=0,"*",'ELC TECH'!H175)</f>
        <v>ELCSOLDCECDPV820</v>
      </c>
      <c r="C182" t="str">
        <f>IF(_xlfn.XLOOKUP(_xlfn.XLOOKUP(B182,'ELC TECH'!$H:$H,'ELC TECH'!$G:$G),List!C:C,List!B:B)="STG",D182,"ELC"&amp;_xlfn.XLOOKUP(_xlfn.XLOOKUP(B182,'ELC TECH'!H:H,'ELC TECH'!G:G),List!C:C,List!B:B))</f>
        <v>ELCSOL</v>
      </c>
      <c r="D182" t="s">
        <v>546</v>
      </c>
      <c r="E182">
        <f>_xlfn.XLOOKUP(B182,'ELC TECH'!H:H,'ELC TECH'!D:D)</f>
        <v>2020</v>
      </c>
      <c r="F182">
        <f>_xlfn.XLOOKUP(B182,'ELC TECH'!H:H,'ELC TECH'!K:K)</f>
        <v>30</v>
      </c>
      <c r="G182">
        <f t="shared" si="9"/>
        <v>31.535999999999998</v>
      </c>
      <c r="H182">
        <f>IF(_xlfn.XLOOKUP(B182,'ELC TECH'!$H:$H,'ELC TECH'!$E:$E)="Storage",0.3,IF(_xlfn.XLOOKUP(B182,'ELC TECH'!$H:$H,'ELC TECH'!$E:$E)="Baseload",0.9,IF(_xlfn.XLOOKUP(B182,'ELC TECH'!$H:$H,'ELC TECH'!$E:$E)="Non Dispatchable",0.05,IF(_xlfn.XLOOKUP(B182,'ELC TECH'!$H:$H,'ELC TECH'!$E:$E)="Dispatchable",0.9,1))))</f>
        <v>0.05</v>
      </c>
      <c r="I182" s="13">
        <f>IF(_xlfn.XLOOKUP(B182,'ELC TECH'!H:H,'ELC TECH'!J:J)="","",_xlfn.XLOOKUP(B182,'ELC TECH'!H:H,'ELC TECH'!J:J))</f>
        <v>700.17955000000006</v>
      </c>
      <c r="J182" s="12">
        <f>IF(_xlfn.XLOOKUP($B182,'ELC TECH'!$H:$H,'ELC TECH'!$E:$E)="Storage","",IF(_xlfn.XLOOKUP($B182,'ELC TECH'!$H:$H,'ELC TECH'!AK:AK)="",1,_xlfn.XLOOKUP($B182,'ELC TECH'!$H:$H,'ELC TECH'!AK:AK)))</f>
        <v>1</v>
      </c>
      <c r="K182" s="12">
        <f>IF(_xlfn.XLOOKUP($B182,'ELC TECH'!$H:$H,'ELC TECH'!$E:$E)="Storage","",IF(_xlfn.XLOOKUP($B182,'ELC TECH'!$H:$H,'ELC TECH'!AL:AL)="",1,_xlfn.XLOOKUP($B182,'ELC TECH'!$H:$H,'ELC TECH'!AL:AL)))</f>
        <v>1</v>
      </c>
      <c r="L182" s="12">
        <f>IF(_xlfn.XLOOKUP($B182,'ELC TECH'!$H:$H,'ELC TECH'!$E:$E)="Storage","",IF(_xlfn.XLOOKUP($B182,'ELC TECH'!$H:$H,'ELC TECH'!AM:AM)="",1,_xlfn.XLOOKUP($B182,'ELC TECH'!$H:$H,'ELC TECH'!AM:AM)))</f>
        <v>1</v>
      </c>
      <c r="M182" s="12">
        <f>IF(_xlfn.XLOOKUP($B182,'ELC TECH'!$H:$H,'ELC TECH'!$E:$E)="Storage","",IF(_xlfn.XLOOKUP($B182,'ELC TECH'!$H:$H,'ELC TECH'!AN:AN)="",1,_xlfn.XLOOKUP($B182,'ELC TECH'!$H:$H,'ELC TECH'!AN:AN)))</f>
        <v>1</v>
      </c>
      <c r="N182" s="12">
        <f>IF(_xlfn.XLOOKUP($B182,'ELC TECH'!$H:$H,'ELC TECH'!$E:$E)="Storage","",IF(_xlfn.XLOOKUP($B182,'ELC TECH'!$H:$H,'ELC TECH'!AO:AO)="",1,_xlfn.XLOOKUP($B182,'ELC TECH'!$H:$H,'ELC TECH'!AO:AO)))</f>
        <v>1</v>
      </c>
      <c r="O182" s="12">
        <f>IF(_xlfn.XLOOKUP($B182,'ELC TECH'!$H:$H,'ELC TECH'!$E:$E)="Storage","",IF(_xlfn.XLOOKUP($B182,'ELC TECH'!$H:$H,'ELC TECH'!AP:AP)="",1,_xlfn.XLOOKUP($B182,'ELC TECH'!$H:$H,'ELC TECH'!AP:AP)))</f>
        <v>1</v>
      </c>
      <c r="P182" s="12">
        <f>IF(_xlfn.XLOOKUP($B182,'ELC TECH'!$H:$H,'ELC TECH'!$E:$E)="Storage","",IF(_xlfn.XLOOKUP($B182,'ELC TECH'!$H:$H,'ELC TECH'!AQ:AQ)="",1,_xlfn.XLOOKUP($B182,'ELC TECH'!$H:$H,'ELC TECH'!AQ:AQ)))</f>
        <v>1</v>
      </c>
      <c r="Q182" s="12">
        <f>IF(_xlfn.XLOOKUP($B182,'ELC TECH'!$H:$H,'ELC TECH'!$E:$E)="Storage","",IF(_xlfn.XLOOKUP($B182,'ELC TECH'!$H:$H,'ELC TECH'!AR:AR)="",1,_xlfn.XLOOKUP($B182,'ELC TECH'!$H:$H,'ELC TECH'!AR:AR)))</f>
        <v>1</v>
      </c>
      <c r="R182" s="12" t="str">
        <f>IF(_xlfn.XLOOKUP($B182,'ELC TECH'!$H:$H,'ELC TECH'!$E:$E)&lt;&gt;"Storage","",IF(_xlfn.XLOOKUP($B182,'ELC TECH'!$H:$H,'ELC TECH'!AK:AK)="",0.8,_xlfn.XLOOKUP($B182,'ELC TECH'!$H:$H,'ELC TECH'!AK:AK)))</f>
        <v/>
      </c>
      <c r="S182" s="12" t="str">
        <f>IF(_xlfn.XLOOKUP($B182,'ELC TECH'!$H:$H,'ELC TECH'!$E:$E)&lt;&gt;"Storage","",IF(_xlfn.XLOOKUP($B182,'ELC TECH'!$H:$H,'ELC TECH'!AL:AL)="",0.8,_xlfn.XLOOKUP($B182,'ELC TECH'!$H:$H,'ELC TECH'!AL:AL)))</f>
        <v/>
      </c>
      <c r="T182" s="12" t="str">
        <f>IF(_xlfn.XLOOKUP($B182,'ELC TECH'!$H:$H,'ELC TECH'!$E:$E)&lt;&gt;"Storage","",IF(_xlfn.XLOOKUP($B182,'ELC TECH'!$H:$H,'ELC TECH'!AM:AM)="",0.8,_xlfn.XLOOKUP($B182,'ELC TECH'!$H:$H,'ELC TECH'!AM:AM)))</f>
        <v/>
      </c>
      <c r="U182" s="12" t="str">
        <f>IF(_xlfn.XLOOKUP($B182,'ELC TECH'!$H:$H,'ELC TECH'!$E:$E)&lt;&gt;"Storage","",IF(_xlfn.XLOOKUP($B182,'ELC TECH'!$H:$H,'ELC TECH'!AN:AN)="",0.8,_xlfn.XLOOKUP($B182,'ELC TECH'!$H:$H,'ELC TECH'!AN:AN)))</f>
        <v/>
      </c>
      <c r="V182" s="12" t="str">
        <f>IF(_xlfn.XLOOKUP($B182,'ELC TECH'!$H:$H,'ELC TECH'!$E:$E)&lt;&gt;"Storage","",IF(_xlfn.XLOOKUP($B182,'ELC TECH'!$H:$H,'ELC TECH'!AO:AO)="",0.8,_xlfn.XLOOKUP($B182,'ELC TECH'!$H:$H,'ELC TECH'!AO:AO)))</f>
        <v/>
      </c>
      <c r="W182" s="12" t="str">
        <f>IF(_xlfn.XLOOKUP($B182,'ELC TECH'!$H:$H,'ELC TECH'!$E:$E)&lt;&gt;"Storage","",IF(_xlfn.XLOOKUP($B182,'ELC TECH'!$H:$H,'ELC TECH'!AP:AP)="",0.8,_xlfn.XLOOKUP($B182,'ELC TECH'!$H:$H,'ELC TECH'!AP:AP)))</f>
        <v/>
      </c>
      <c r="X182" s="12" t="str">
        <f>IF(_xlfn.XLOOKUP($B182,'ELC TECH'!$H:$H,'ELC TECH'!$E:$E)&lt;&gt;"Storage","",IF(_xlfn.XLOOKUP($B182,'ELC TECH'!$H:$H,'ELC TECH'!AQ:AQ)="",0.8,_xlfn.XLOOKUP($B182,'ELC TECH'!$H:$H,'ELC TECH'!AQ:AQ)))</f>
        <v/>
      </c>
      <c r="Y182" s="12" t="str">
        <f>IF(_xlfn.XLOOKUP($B182,'ELC TECH'!$H:$H,'ELC TECH'!$E:$E)&lt;&gt;"Storage","",IF(_xlfn.XLOOKUP($B182,'ELC TECH'!$H:$H,'ELC TECH'!AR:AR)="",0.8,_xlfn.XLOOKUP($B182,'ELC TECH'!$H:$H,'ELC TECH'!AR:AR)))</f>
        <v/>
      </c>
      <c r="Z182" s="15">
        <f>_xlfn.XLOOKUP($B182,'ELC TECH'!$H:$H,'ELC TECH'!M:M)</f>
        <v>1912.264310519447</v>
      </c>
      <c r="AA182" s="15">
        <f>_xlfn.XLOOKUP($B182,'ELC TECH'!$H:$H,'ELC TECH'!N:N)</f>
        <v>1887.703407882211</v>
      </c>
      <c r="AB182" s="15">
        <f>_xlfn.XLOOKUP($B182,'ELC TECH'!$H:$H,'ELC TECH'!O:O)</f>
        <v>1569.6288150057401</v>
      </c>
      <c r="AC182" s="15">
        <f>_xlfn.XLOOKUP($B182,'ELC TECH'!$H:$H,'ELC TECH'!P:P)</f>
        <v>1251.5542221292801</v>
      </c>
      <c r="AD182" s="15">
        <f>_xlfn.XLOOKUP($B182,'ELC TECH'!$H:$H,'ELC TECH'!Q:Q)</f>
        <v>1147.154572863142</v>
      </c>
      <c r="AE182" s="15">
        <f>_xlfn.XLOOKUP($B182,'ELC TECH'!$H:$H,'ELC TECH'!R:R)</f>
        <v>1042.7549235970189</v>
      </c>
      <c r="AF182" s="15">
        <f>_xlfn.XLOOKUP($B182,'ELC TECH'!$H:$H,'ELC TECH'!S:S)</f>
        <v>938.35527433088987</v>
      </c>
      <c r="AG182" s="15">
        <f>_xlfn.XLOOKUP($B182,'ELC TECH'!$H:$H,'ELC TECH'!T:T)</f>
        <v>938.35527433088987</v>
      </c>
      <c r="AH182" s="15">
        <f>_xlfn.XLOOKUP($B182,'ELC TECH'!$H:$H,'ELC TECH'!U:U)</f>
        <v>20.242248163120561</v>
      </c>
      <c r="AI182" s="15">
        <f>_xlfn.XLOOKUP($B182,'ELC TECH'!$H:$H,'ELC TECH'!V:V)</f>
        <v>19.891925366567069</v>
      </c>
      <c r="AJ182" s="15">
        <f>_xlfn.XLOOKUP($B182,'ELC TECH'!$H:$H,'ELC TECH'!W:W)</f>
        <v>17.127058056750311</v>
      </c>
      <c r="AK182" s="15">
        <f>_xlfn.XLOOKUP($B182,'ELC TECH'!$H:$H,'ELC TECH'!X:X)</f>
        <v>14.36219074693344</v>
      </c>
      <c r="AL182" s="15">
        <f>_xlfn.XLOOKUP($B182,'ELC TECH'!$H:$H,'ELC TECH'!Y:Y)</f>
        <v>13.45469551192622</v>
      </c>
      <c r="AM182" s="15">
        <f>_xlfn.XLOOKUP($B182,'ELC TECH'!$H:$H,'ELC TECH'!Z:Z)</f>
        <v>12.547200276919</v>
      </c>
      <c r="AN182" s="15">
        <f>_xlfn.XLOOKUP($B182,'ELC TECH'!$H:$H,'ELC TECH'!AA:AA)</f>
        <v>11.63970504191178</v>
      </c>
      <c r="AO182" s="15">
        <f>_xlfn.XLOOKUP($B182,'ELC TECH'!$H:$H,'ELC TECH'!AB:AB)</f>
        <v>11.63970504191178</v>
      </c>
      <c r="AP182" s="15">
        <f>_xlfn.XLOOKUP($B182,'ELC TECH'!$H:$H,'ELC TECH'!AC:AC)</f>
        <v>0</v>
      </c>
      <c r="AQ182" s="15">
        <f>_xlfn.XLOOKUP($B182,'ELC TECH'!$H:$H,'ELC TECH'!AD:AD)</f>
        <v>0</v>
      </c>
      <c r="AR182" s="15">
        <f>_xlfn.XLOOKUP($B182,'ELC TECH'!$H:$H,'ELC TECH'!AE:AE)</f>
        <v>0</v>
      </c>
      <c r="AS182" s="15">
        <f>_xlfn.XLOOKUP($B182,'ELC TECH'!$H:$H,'ELC TECH'!AF:AF)</f>
        <v>0</v>
      </c>
      <c r="AT182" s="15">
        <f>_xlfn.XLOOKUP($B182,'ELC TECH'!$H:$H,'ELC TECH'!AG:AG)</f>
        <v>0</v>
      </c>
      <c r="AU182" s="15">
        <f>_xlfn.XLOOKUP($B182,'ELC TECH'!$H:$H,'ELC TECH'!AH:AH)</f>
        <v>0</v>
      </c>
      <c r="AV182" s="15">
        <f>_xlfn.XLOOKUP($B182,'ELC TECH'!$H:$H,'ELC TECH'!AI:AI)</f>
        <v>0</v>
      </c>
      <c r="AW182" s="15">
        <f>_xlfn.XLOOKUP($B182,'ELC TECH'!$H:$H,'ELC TECH'!AJ:AJ)</f>
        <v>0</v>
      </c>
      <c r="AX182" s="12">
        <f>IF(_xlfn.XLOOKUP($B182,'ELC TECH'!$H:$H,'ELC TECH'!$E:$E)="Storage","",_xlfn.XLOOKUP($B182,'ELC TECH'!$H:$H,'ELC TECH'!AS:AS))</f>
        <v>0.13854170923496401</v>
      </c>
      <c r="AY182" s="12">
        <f>IF(_xlfn.XLOOKUP($B182,'ELC TECH'!$H:$H,'ELC TECH'!$E:$E)="Storage","",_xlfn.XLOOKUP($B182,'ELC TECH'!$H:$H,'ELC TECH'!AT:AT))</f>
        <v>0.141346682322192</v>
      </c>
      <c r="AZ182" s="12">
        <f>IF(_xlfn.XLOOKUP($B182,'ELC TECH'!$H:$H,'ELC TECH'!$E:$E)="Storage","",_xlfn.XLOOKUP($B182,'ELC TECH'!$H:$H,'ELC TECH'!AU:AU))</f>
        <v>0.144852898681227</v>
      </c>
      <c r="BA182" s="12">
        <f>IF(_xlfn.XLOOKUP($B182,'ELC TECH'!$H:$H,'ELC TECH'!$E:$E)="Storage","",_xlfn.XLOOKUP($B182,'ELC TECH'!$H:$H,'ELC TECH'!AV:AV))</f>
        <v>0.148359115040262</v>
      </c>
      <c r="BB182" s="12">
        <f>IF(_xlfn.XLOOKUP($B182,'ELC TECH'!$H:$H,'ELC TECH'!$E:$E)="Storage","",_xlfn.XLOOKUP($B182,'ELC TECH'!$H:$H,'ELC TECH'!AW:AW))</f>
        <v>0.15081619694793899</v>
      </c>
      <c r="BC182" s="12">
        <f>IF(_xlfn.XLOOKUP($B182,'ELC TECH'!$H:$H,'ELC TECH'!$E:$E)="Storage","",_xlfn.XLOOKUP($B182,'ELC TECH'!$H:$H,'ELC TECH'!AX:AX))</f>
        <v>0.15327327885561601</v>
      </c>
      <c r="BD182" s="12">
        <f>IF(_xlfn.XLOOKUP($B182,'ELC TECH'!$H:$H,'ELC TECH'!$E:$E)="Storage","",_xlfn.XLOOKUP($B182,'ELC TECH'!$H:$H,'ELC TECH'!AY:AY))</f>
        <v>0.155730360763293</v>
      </c>
      <c r="BE182" s="12">
        <f>IF(_xlfn.XLOOKUP($B182,'ELC TECH'!$H:$H,'ELC TECH'!$E:$E)="Storage","",_xlfn.XLOOKUP($B182,'ELC TECH'!$H:$H,'ELC TECH'!AZ:AZ))</f>
        <v>0.155730360763293</v>
      </c>
      <c r="BF182" s="12" t="str">
        <f>IF(_xlfn.XLOOKUP($B182,'ELC TECH'!$H:$H,'ELC TECH'!$E:$E)="Storage",_xlfn.XLOOKUP($B182,'ELC TECH'!$H:$H,'ELC TECH'!AS:AS),"")</f>
        <v/>
      </c>
      <c r="BG182" s="12" t="str">
        <f>IF(_xlfn.XLOOKUP($B182,'ELC TECH'!$H:$H,'ELC TECH'!$E:$E)="Storage",_xlfn.XLOOKUP($B182,'ELC TECH'!$H:$H,'ELC TECH'!AT:AT),"")</f>
        <v/>
      </c>
      <c r="BH182" s="12" t="str">
        <f>IF(_xlfn.XLOOKUP($B182,'ELC TECH'!$H:$H,'ELC TECH'!$E:$E)="Storage",_xlfn.XLOOKUP($B182,'ELC TECH'!$H:$H,'ELC TECH'!AU:AU),"")</f>
        <v/>
      </c>
      <c r="BI182" s="12" t="str">
        <f>IF(_xlfn.XLOOKUP($B182,'ELC TECH'!$H:$H,'ELC TECH'!$E:$E)="Storage",_xlfn.XLOOKUP($B182,'ELC TECH'!$H:$H,'ELC TECH'!AV:AV),"")</f>
        <v/>
      </c>
      <c r="BJ182" s="12" t="str">
        <f>IF(_xlfn.XLOOKUP($B182,'ELC TECH'!$H:$H,'ELC TECH'!$E:$E)="Storage",_xlfn.XLOOKUP($B182,'ELC TECH'!$H:$H,'ELC TECH'!AW:AW),"")</f>
        <v/>
      </c>
      <c r="BK182" s="12" t="str">
        <f>IF(_xlfn.XLOOKUP($B182,'ELC TECH'!$H:$H,'ELC TECH'!$E:$E)="Storage",_xlfn.XLOOKUP($B182,'ELC TECH'!$H:$H,'ELC TECH'!AX:AX),"")</f>
        <v/>
      </c>
      <c r="BL182" s="12" t="str">
        <f>IF(_xlfn.XLOOKUP($B182,'ELC TECH'!$H:$H,'ELC TECH'!$E:$E)="Storage",_xlfn.XLOOKUP($B182,'ELC TECH'!$H:$H,'ELC TECH'!AY:AY),"")</f>
        <v/>
      </c>
      <c r="BM182" s="12" t="str">
        <f>IF(_xlfn.XLOOKUP($B182,'ELC TECH'!$H:$H,'ELC TECH'!$E:$E)="Storage",_xlfn.XLOOKUP($B182,'ELC TECH'!$H:$H,'ELC TECH'!AZ:AZ),"")</f>
        <v/>
      </c>
      <c r="BN182" s="8">
        <f>IF(_xlfn.XLOOKUP($B182,'ELC TECH'!$H:$H,'ELC TECH'!$E:$E)="Non Dispatchable",IFERROR($AX182*_xlfn.XLOOKUP($C182,$BM$1:$BM$3,BN$1:BN$3)/SUMPRODUCT(_xlfn.XLOOKUP($C182,$BM$1:$BM$3,$BN$1:$BY$3),$BN$4:$BY$4),""),
"")</f>
        <v>0.21683195742887715</v>
      </c>
      <c r="BO182" s="8">
        <f>IF(_xlfn.XLOOKUP($B182,'ELC TECH'!$H:$H,'ELC TECH'!$E:$E)="Non Dispatchable",IFERROR($AX182*_xlfn.XLOOKUP($C182,$BM$1:$BM$3,BO$1:BO$3)/SUMPRODUCT(_xlfn.XLOOKUP($C182,$BM$1:$BM$3,$BN$1:$BY$3),$BN$4:$BY$4),""),
"")</f>
        <v>0.21683195742887715</v>
      </c>
      <c r="BP182" s="8">
        <f>IF(_xlfn.XLOOKUP($B182,'ELC TECH'!$H:$H,'ELC TECH'!$E:$E)="Non Dispatchable",IFERROR($AX182*_xlfn.XLOOKUP($C182,$BM$1:$BM$3,BP$1:BP$3)/SUMPRODUCT(_xlfn.XLOOKUP($C182,$BM$1:$BM$3,$BN$1:$BY$3),$BN$4:$BY$4),""),
"")</f>
        <v>2.1683195742887715E-2</v>
      </c>
      <c r="BQ182" s="8">
        <f>IF(_xlfn.XLOOKUP($B182,'ELC TECH'!$H:$H,'ELC TECH'!$E:$E)="Non Dispatchable",IFERROR($AX182*_xlfn.XLOOKUP($C182,$BM$1:$BM$3,BQ$1:BQ$3)/SUMPRODUCT(_xlfn.XLOOKUP($C182,$BM$1:$BM$3,$BN$1:$BY$3),$BN$4:$BY$4),""),
"")</f>
        <v>0</v>
      </c>
      <c r="BR182" s="8">
        <f>IF(_xlfn.XLOOKUP($B182,'ELC TECH'!$H:$H,'ELC TECH'!$E:$E)="Non Dispatchable",IFERROR($AX182*_xlfn.XLOOKUP($C182,$BM$1:$BM$3,BR$1:BR$3)/SUMPRODUCT(_xlfn.XLOOKUP($C182,$BM$1:$BM$3,$BN$1:$BY$3),$BN$4:$BY$4),""),
"")</f>
        <v>0.24973199387570158</v>
      </c>
      <c r="BS182" s="8">
        <f>IF(_xlfn.XLOOKUP($B182,'ELC TECH'!$H:$H,'ELC TECH'!$E:$E)="Non Dispatchable",IFERROR($AX182*_xlfn.XLOOKUP($C182,$BM$1:$BM$3,BS$1:BS$3)/SUMPRODUCT(_xlfn.XLOOKUP($C182,$BM$1:$BM$3,$BN$1:$BY$3),$BN$4:$BY$4),""),
"")</f>
        <v>0.24973199387570158</v>
      </c>
      <c r="BT182" s="8">
        <f>IF(_xlfn.XLOOKUP($B182,'ELC TECH'!$H:$H,'ELC TECH'!$E:$E)="Non Dispatchable",IFERROR($AX182*_xlfn.XLOOKUP($C182,$BM$1:$BM$3,BT$1:BT$3)/SUMPRODUCT(_xlfn.XLOOKUP($C182,$BM$1:$BM$3,$BN$1:$BY$3),$BN$4:$BY$4),""),
"")</f>
        <v>2.4973199387570158E-2</v>
      </c>
      <c r="BU182" s="8">
        <f>IF(_xlfn.XLOOKUP($B182,'ELC TECH'!$H:$H,'ELC TECH'!$E:$E)="Non Dispatchable",IFERROR($AX182*_xlfn.XLOOKUP($C182,$BM$1:$BM$3,BU$1:BU$3)/SUMPRODUCT(_xlfn.XLOOKUP($C182,$BM$1:$BM$3,$BN$1:$BY$3),$BN$4:$BY$4),""),
"")</f>
        <v>0</v>
      </c>
      <c r="BV182" s="8">
        <f>IF(_xlfn.XLOOKUP($B182,'ELC TECH'!$H:$H,'ELC TECH'!$E:$E)="Non Dispatchable",IFERROR($AX182*_xlfn.XLOOKUP($C182,$BM$1:$BM$3,BV$1:BV$3)/SUMPRODUCT(_xlfn.XLOOKUP($C182,$BM$1:$BM$3,$BN$1:$BY$3),$BN$4:$BY$4),""),
"")</f>
        <v>0.20892248136960859</v>
      </c>
      <c r="BW182" s="8">
        <f>IF(_xlfn.XLOOKUP($B182,'ELC TECH'!$H:$H,'ELC TECH'!$E:$E)="Non Dispatchable",IFERROR($AX182*_xlfn.XLOOKUP($C182,$BM$1:$BM$3,BW$1:BW$3)/SUMPRODUCT(_xlfn.XLOOKUP($C182,$BM$1:$BM$3,$BN$1:$BY$3),$BN$4:$BY$4),""),
"")</f>
        <v>0.20892248136960859</v>
      </c>
      <c r="BX182" s="8">
        <f>IF(_xlfn.XLOOKUP($B182,'ELC TECH'!$H:$H,'ELC TECH'!$E:$E)="Non Dispatchable",IFERROR($AX182*_xlfn.XLOOKUP($C182,$BM$1:$BM$3,BX$1:BX$3)/SUMPRODUCT(_xlfn.XLOOKUP($C182,$BM$1:$BM$3,$BN$1:$BY$3),$BN$4:$BY$4),""),
"")</f>
        <v>2.0892248136960861E-2</v>
      </c>
      <c r="BY182" s="8">
        <f>IF(_xlfn.XLOOKUP($B182,'ELC TECH'!$H:$H,'ELC TECH'!$E:$E)="Non Dispatchable",IFERROR($AX182*_xlfn.XLOOKUP($C182,$BM$1:$BM$3,BY$1:BY$3)/SUMPRODUCT(_xlfn.XLOOKUP($C182,$BM$1:$BM$3,$BN$1:$BY$3),$BN$4:$BY$4),""),
"")</f>
        <v>0</v>
      </c>
      <c r="BZ182" s="8">
        <f>IF(_xlfn.XLOOKUP($B182,'ELC TECH'!$H:$H,'ELC TECH'!$E:$E)="Non Dispatchable",IFERROR($AX182*_xlfn.XLOOKUP($C182,$BM$1:$BM$3,BZ$1:BZ$3)/SUMPRODUCT(_xlfn.XLOOKUP($C182,$BM$1:$BM$3,$BN$1:$BY$3),$BN$4:$BY$4),""),
"")</f>
        <v>0.21683195742887715</v>
      </c>
      <c r="CA182" s="8">
        <f>IF(_xlfn.XLOOKUP($B182,'ELC TECH'!$H:$H,'ELC TECH'!$E:$E)="Non Dispatchable",IFERROR($AX182*_xlfn.XLOOKUP($C182,$BM$1:$BM$3,CA$1:CA$3)/SUMPRODUCT(_xlfn.XLOOKUP($C182,$BM$1:$BM$3,$BN$1:$BY$3),$BN$4:$BY$4),""),
"")</f>
        <v>0.21683195742887715</v>
      </c>
      <c r="CB182" s="8">
        <f>IF(_xlfn.XLOOKUP($B182,'ELC TECH'!$H:$H,'ELC TECH'!$E:$E)="Non Dispatchable",IFERROR($AX182*_xlfn.XLOOKUP($C182,$BM$1:$BM$3,CB$1:CB$3)/SUMPRODUCT(_xlfn.XLOOKUP($C182,$BM$1:$BM$3,$BN$1:$BY$3),$BN$4:$BY$4),""),
"")</f>
        <v>2.1683195742887715E-2</v>
      </c>
      <c r="CC182" s="8">
        <f>IF(_xlfn.XLOOKUP($B182,'ELC TECH'!$H:$H,'ELC TECH'!$E:$E)="Non Dispatchable",IFERROR($AX182*_xlfn.XLOOKUP($C182,$BM$1:$BM$3,CC$1:CC$3)/SUMPRODUCT(_xlfn.XLOOKUP($C182,$BM$1:$BM$3,$BN$1:$BY$3),$BN$4:$BY$4),""),
"")</f>
        <v>0</v>
      </c>
      <c r="CD182" s="8">
        <f>IF(_xlfn.XLOOKUP($B182,'ELC TECH'!$H:$H,'ELC TECH'!$E:$E)="Non Dispatchable",IFERROR($AX182*_xlfn.XLOOKUP($C182,$BM$1:$BM$3,CD$1:CD$3)/SUMPRODUCT(_xlfn.XLOOKUP($C182,$BM$1:$BM$3,$BN$1:$BY$3),$BN$4:$BY$4),""),
"")</f>
        <v>0.24973199387570158</v>
      </c>
      <c r="CE182" s="8">
        <f>IF(_xlfn.XLOOKUP($B182,'ELC TECH'!$H:$H,'ELC TECH'!$E:$E)="Non Dispatchable",IFERROR($AX182*_xlfn.XLOOKUP($C182,$BM$1:$BM$3,CE$1:CE$3)/SUMPRODUCT(_xlfn.XLOOKUP($C182,$BM$1:$BM$3,$BN$1:$BY$3),$BN$4:$BY$4),""),
"")</f>
        <v>0.24973199387570158</v>
      </c>
      <c r="CF182" s="8">
        <f>IF(_xlfn.XLOOKUP($B182,'ELC TECH'!$H:$H,'ELC TECH'!$E:$E)="Non Dispatchable",IFERROR($AX182*_xlfn.XLOOKUP($C182,$BM$1:$BM$3,CF$1:CF$3)/SUMPRODUCT(_xlfn.XLOOKUP($C182,$BM$1:$BM$3,$BN$1:$BY$3),$BN$4:$BY$4),""),
"")</f>
        <v>2.4973199387570158E-2</v>
      </c>
      <c r="CG182" s="8">
        <f>IF(_xlfn.XLOOKUP($B182,'ELC TECH'!$H:$H,'ELC TECH'!$E:$E)="Non Dispatchable",IFERROR($AX182*_xlfn.XLOOKUP($C182,$BM$1:$BM$3,CG$1:CG$3)/SUMPRODUCT(_xlfn.XLOOKUP($C182,$BM$1:$BM$3,$BN$1:$BY$3),$BN$4:$BY$4),""),
"")</f>
        <v>0</v>
      </c>
      <c r="CH182" s="8">
        <f>IF(_xlfn.XLOOKUP($B182,'ELC TECH'!$H:$H,'ELC TECH'!$E:$E)="Non Dispatchable",IFERROR($AX182*_xlfn.XLOOKUP($C182,$BM$1:$BM$3,CH$1:CH$3)/SUMPRODUCT(_xlfn.XLOOKUP($C182,$BM$1:$BM$3,$BN$1:$BY$3),$BN$4:$BY$4),""),
"")</f>
        <v>0.20892248136960859</v>
      </c>
      <c r="CI182" s="8">
        <f>IF(_xlfn.XLOOKUP($B182,'ELC TECH'!$H:$H,'ELC TECH'!$E:$E)="Non Dispatchable",IFERROR($AX182*_xlfn.XLOOKUP($C182,$BM$1:$BM$3,CI$1:CI$3)/SUMPRODUCT(_xlfn.XLOOKUP($C182,$BM$1:$BM$3,$BN$1:$BY$3),$BN$4:$BY$4),""),
"")</f>
        <v>0.20892248136960859</v>
      </c>
      <c r="CJ182" s="8">
        <f>IF(_xlfn.XLOOKUP($B182,'ELC TECH'!$H:$H,'ELC TECH'!$E:$E)="Non Dispatchable",IFERROR($AX182*_xlfn.XLOOKUP($C182,$BM$1:$BM$3,CJ$1:CJ$3)/SUMPRODUCT(_xlfn.XLOOKUP($C182,$BM$1:$BM$3,$BN$1:$BY$3),$BN$4:$BY$4),""),
"")</f>
        <v>2.0892248136960861E-2</v>
      </c>
      <c r="CK182" s="8">
        <f>IF(_xlfn.XLOOKUP($B182,'ELC TECH'!$H:$H,'ELC TECH'!$E:$E)="Non Dispatchable",IFERROR($AX182*_xlfn.XLOOKUP($C182,$BM$1:$BM$3,CK$1:CK$3)/SUMPRODUCT(_xlfn.XLOOKUP($C182,$BM$1:$BM$3,$BN$1:$BY$3),$BN$4:$BY$4),""),
"")</f>
        <v>0</v>
      </c>
      <c r="CL182" s="8" t="str">
        <f>IF(_xlfn.XLOOKUP($B182,'ELC TECH'!$H:$H,'ELC TECH'!$E:$E)="Storage",CL$4*$BF182,"")</f>
        <v/>
      </c>
      <c r="CM182" s="8" t="str">
        <f>IF(_xlfn.XLOOKUP($B182,'ELC TECH'!$H:$H,'ELC TECH'!$E:$E)="Storage",CM$4*$BF182,"")</f>
        <v/>
      </c>
      <c r="CN182" s="8" t="str">
        <f>IF(_xlfn.XLOOKUP($B182,'ELC TECH'!$H:$H,'ELC TECH'!$E:$E)="Storage",CN$4*$BF182,"")</f>
        <v/>
      </c>
      <c r="CO182" s="8" t="str">
        <f>IF(_xlfn.XLOOKUP($B182,'ELC TECH'!$H:$H,'ELC TECH'!$E:$E)="Storage",CO$4*$BF182,"")</f>
        <v/>
      </c>
      <c r="CP182" s="8" t="str">
        <f>IF(_xlfn.XLOOKUP($B182,'ELC TECH'!$H:$H,'ELC TECH'!$E:$E)="Storage",CP$4*$BF182,"")</f>
        <v/>
      </c>
      <c r="CQ182" s="8" t="str">
        <f>IF(_xlfn.XLOOKUP($B182,'ELC TECH'!$H:$H,'ELC TECH'!$E:$E)="Storage",CQ$4*$BF182,"")</f>
        <v/>
      </c>
      <c r="CR182" s="8" t="str">
        <f>IF(_xlfn.XLOOKUP($B182,'ELC TECH'!$H:$H,'ELC TECH'!$E:$E)="Storage",CR$4*$BF182,"")</f>
        <v/>
      </c>
      <c r="CS182" s="8" t="str">
        <f>IF(_xlfn.XLOOKUP($B182,'ELC TECH'!$H:$H,'ELC TECH'!$E:$E)="Storage",CS$4*$BF182,"")</f>
        <v/>
      </c>
      <c r="CT182" s="8" t="str">
        <f>IF(_xlfn.XLOOKUP($B182,'ELC TECH'!$H:$H,'ELC TECH'!$E:$E)="Storage",CT$4*$BF182,"")</f>
        <v/>
      </c>
      <c r="CU182" s="8" t="str">
        <f>IF(_xlfn.XLOOKUP($B182,'ELC TECH'!$H:$H,'ELC TECH'!$E:$E)="Storage",CU$4*$BF182,"")</f>
        <v/>
      </c>
      <c r="CV182" s="8" t="str">
        <f>IF(_xlfn.XLOOKUP($B182,'ELC TECH'!$H:$H,'ELC TECH'!$E:$E)="Storage",CV$4*$BF182,"")</f>
        <v/>
      </c>
      <c r="CW182" s="8" t="str">
        <f>IF(_xlfn.XLOOKUP($B182,'ELC TECH'!$H:$H,'ELC TECH'!$E:$E)="Storage",CW$4*$BF182,"")</f>
        <v/>
      </c>
      <c r="CX182" s="8" t="str">
        <f>IF(_xlfn.XLOOKUP($B182,'ELC TECH'!$H:$H,'ELC TECH'!$E:$E)="Storage",CX$4*$BF182,"")</f>
        <v/>
      </c>
      <c r="CY182" s="8" t="str">
        <f>IF(_xlfn.XLOOKUP($B182,'ELC TECH'!$H:$H,'ELC TECH'!$E:$E)="Storage",CY$4*$BF182,"")</f>
        <v/>
      </c>
      <c r="CZ182" s="8" t="str">
        <f>IF(_xlfn.XLOOKUP($B182,'ELC TECH'!$H:$H,'ELC TECH'!$E:$E)="Storage",CZ$4*$BF182,"")</f>
        <v/>
      </c>
      <c r="DA182" s="8" t="str">
        <f>IF(_xlfn.XLOOKUP($B182,'ELC TECH'!$H:$H,'ELC TECH'!$E:$E)="Storage",DA$4*$BF182,"")</f>
        <v/>
      </c>
      <c r="DB182" s="8" t="str">
        <f>IF(_xlfn.XLOOKUP($B182,'ELC TECH'!$H:$H,'ELC TECH'!$E:$E)="Storage",DB$4*$BF182,"")</f>
        <v/>
      </c>
      <c r="DC182" s="8" t="str">
        <f>IF(_xlfn.XLOOKUP($B182,'ELC TECH'!$H:$H,'ELC TECH'!$E:$E)="Storage",DC$4*$BF182,"")</f>
        <v/>
      </c>
      <c r="DD182" s="8" t="str">
        <f>IF(_xlfn.XLOOKUP($B182,'ELC TECH'!$H:$H,'ELC TECH'!$E:$E)="Storage",DD$4*$BF182,"")</f>
        <v/>
      </c>
      <c r="DE182" s="8" t="str">
        <f>IF(_xlfn.XLOOKUP($B182,'ELC TECH'!$H:$H,'ELC TECH'!$E:$E)="Storage",DE$4*$BF182,"")</f>
        <v/>
      </c>
      <c r="DF182" s="8" t="str">
        <f>IF(_xlfn.XLOOKUP($B182,'ELC TECH'!$H:$H,'ELC TECH'!$E:$E)="Storage",DF$4*$BF182,"")</f>
        <v/>
      </c>
      <c r="DG182" s="8" t="str">
        <f>IF(_xlfn.XLOOKUP($B182,'ELC TECH'!$H:$H,'ELC TECH'!$E:$E)="Storage",DG$4*$BF182,"")</f>
        <v/>
      </c>
      <c r="DH182" s="8" t="str">
        <f>IF(_xlfn.XLOOKUP($B182,'ELC TECH'!$H:$H,'ELC TECH'!$E:$E)="Storage",DH$4*$BF182,"")</f>
        <v/>
      </c>
      <c r="DI182" s="8" t="str">
        <f>IF(_xlfn.XLOOKUP($B182,'ELC TECH'!$H:$H,'ELC TECH'!$E:$E)="Storage",DI$4*$BF182,"")</f>
        <v/>
      </c>
    </row>
    <row r="183" spans="2:113" x14ac:dyDescent="0.25">
      <c r="B183" t="str">
        <f>IF('ELC TECH'!I176=0,"*",'ELC TECH'!H176)</f>
        <v>ELCSOLDCECDPV920</v>
      </c>
      <c r="C183" t="str">
        <f>IF(_xlfn.XLOOKUP(_xlfn.XLOOKUP(B183,'ELC TECH'!$H:$H,'ELC TECH'!$G:$G),List!C:C,List!B:B)="STG",D183,"ELC"&amp;_xlfn.XLOOKUP(_xlfn.XLOOKUP(B183,'ELC TECH'!H:H,'ELC TECH'!G:G),List!C:C,List!B:B))</f>
        <v>ELCSOL</v>
      </c>
      <c r="D183" t="s">
        <v>546</v>
      </c>
      <c r="E183">
        <f>_xlfn.XLOOKUP(B183,'ELC TECH'!H:H,'ELC TECH'!D:D)</f>
        <v>2020</v>
      </c>
      <c r="F183">
        <f>_xlfn.XLOOKUP(B183,'ELC TECH'!H:H,'ELC TECH'!K:K)</f>
        <v>30</v>
      </c>
      <c r="G183">
        <f t="shared" si="9"/>
        <v>31.535999999999998</v>
      </c>
      <c r="H183">
        <f>IF(_xlfn.XLOOKUP(B183,'ELC TECH'!$H:$H,'ELC TECH'!$E:$E)="Storage",0.3,IF(_xlfn.XLOOKUP(B183,'ELC TECH'!$H:$H,'ELC TECH'!$E:$E)="Baseload",0.9,IF(_xlfn.XLOOKUP(B183,'ELC TECH'!$H:$H,'ELC TECH'!$E:$E)="Non Dispatchable",0.05,IF(_xlfn.XLOOKUP(B183,'ELC TECH'!$H:$H,'ELC TECH'!$E:$E)="Dispatchable",0.9,1))))</f>
        <v>0.05</v>
      </c>
      <c r="I183" s="13">
        <f>IF(_xlfn.XLOOKUP(B183,'ELC TECH'!H:H,'ELC TECH'!J:J)="","",_xlfn.XLOOKUP(B183,'ELC TECH'!H:H,'ELC TECH'!J:J))</f>
        <v>700.17955000000006</v>
      </c>
      <c r="J183" s="12">
        <f>IF(_xlfn.XLOOKUP($B183,'ELC TECH'!$H:$H,'ELC TECH'!$E:$E)="Storage","",IF(_xlfn.XLOOKUP($B183,'ELC TECH'!$H:$H,'ELC TECH'!AK:AK)="",1,_xlfn.XLOOKUP($B183,'ELC TECH'!$H:$H,'ELC TECH'!AK:AK)))</f>
        <v>1</v>
      </c>
      <c r="K183" s="12">
        <f>IF(_xlfn.XLOOKUP($B183,'ELC TECH'!$H:$H,'ELC TECH'!$E:$E)="Storage","",IF(_xlfn.XLOOKUP($B183,'ELC TECH'!$H:$H,'ELC TECH'!AL:AL)="",1,_xlfn.XLOOKUP($B183,'ELC TECH'!$H:$H,'ELC TECH'!AL:AL)))</f>
        <v>1</v>
      </c>
      <c r="L183" s="12">
        <f>IF(_xlfn.XLOOKUP($B183,'ELC TECH'!$H:$H,'ELC TECH'!$E:$E)="Storage","",IF(_xlfn.XLOOKUP($B183,'ELC TECH'!$H:$H,'ELC TECH'!AM:AM)="",1,_xlfn.XLOOKUP($B183,'ELC TECH'!$H:$H,'ELC TECH'!AM:AM)))</f>
        <v>1</v>
      </c>
      <c r="M183" s="12">
        <f>IF(_xlfn.XLOOKUP($B183,'ELC TECH'!$H:$H,'ELC TECH'!$E:$E)="Storage","",IF(_xlfn.XLOOKUP($B183,'ELC TECH'!$H:$H,'ELC TECH'!AN:AN)="",1,_xlfn.XLOOKUP($B183,'ELC TECH'!$H:$H,'ELC TECH'!AN:AN)))</f>
        <v>1</v>
      </c>
      <c r="N183" s="12">
        <f>IF(_xlfn.XLOOKUP($B183,'ELC TECH'!$H:$H,'ELC TECH'!$E:$E)="Storage","",IF(_xlfn.XLOOKUP($B183,'ELC TECH'!$H:$H,'ELC TECH'!AO:AO)="",1,_xlfn.XLOOKUP($B183,'ELC TECH'!$H:$H,'ELC TECH'!AO:AO)))</f>
        <v>1</v>
      </c>
      <c r="O183" s="12">
        <f>IF(_xlfn.XLOOKUP($B183,'ELC TECH'!$H:$H,'ELC TECH'!$E:$E)="Storage","",IF(_xlfn.XLOOKUP($B183,'ELC TECH'!$H:$H,'ELC TECH'!AP:AP)="",1,_xlfn.XLOOKUP($B183,'ELC TECH'!$H:$H,'ELC TECH'!AP:AP)))</f>
        <v>1</v>
      </c>
      <c r="P183" s="12">
        <f>IF(_xlfn.XLOOKUP($B183,'ELC TECH'!$H:$H,'ELC TECH'!$E:$E)="Storage","",IF(_xlfn.XLOOKUP($B183,'ELC TECH'!$H:$H,'ELC TECH'!AQ:AQ)="",1,_xlfn.XLOOKUP($B183,'ELC TECH'!$H:$H,'ELC TECH'!AQ:AQ)))</f>
        <v>1</v>
      </c>
      <c r="Q183" s="12">
        <f>IF(_xlfn.XLOOKUP($B183,'ELC TECH'!$H:$H,'ELC TECH'!$E:$E)="Storage","",IF(_xlfn.XLOOKUP($B183,'ELC TECH'!$H:$H,'ELC TECH'!AR:AR)="",1,_xlfn.XLOOKUP($B183,'ELC TECH'!$H:$H,'ELC TECH'!AR:AR)))</f>
        <v>1</v>
      </c>
      <c r="R183" s="12" t="str">
        <f>IF(_xlfn.XLOOKUP($B183,'ELC TECH'!$H:$H,'ELC TECH'!$E:$E)&lt;&gt;"Storage","",IF(_xlfn.XLOOKUP($B183,'ELC TECH'!$H:$H,'ELC TECH'!AK:AK)="",0.8,_xlfn.XLOOKUP($B183,'ELC TECH'!$H:$H,'ELC TECH'!AK:AK)))</f>
        <v/>
      </c>
      <c r="S183" s="12" t="str">
        <f>IF(_xlfn.XLOOKUP($B183,'ELC TECH'!$H:$H,'ELC TECH'!$E:$E)&lt;&gt;"Storage","",IF(_xlfn.XLOOKUP($B183,'ELC TECH'!$H:$H,'ELC TECH'!AL:AL)="",0.8,_xlfn.XLOOKUP($B183,'ELC TECH'!$H:$H,'ELC TECH'!AL:AL)))</f>
        <v/>
      </c>
      <c r="T183" s="12" t="str">
        <f>IF(_xlfn.XLOOKUP($B183,'ELC TECH'!$H:$H,'ELC TECH'!$E:$E)&lt;&gt;"Storage","",IF(_xlfn.XLOOKUP($B183,'ELC TECH'!$H:$H,'ELC TECH'!AM:AM)="",0.8,_xlfn.XLOOKUP($B183,'ELC TECH'!$H:$H,'ELC TECH'!AM:AM)))</f>
        <v/>
      </c>
      <c r="U183" s="12" t="str">
        <f>IF(_xlfn.XLOOKUP($B183,'ELC TECH'!$H:$H,'ELC TECH'!$E:$E)&lt;&gt;"Storage","",IF(_xlfn.XLOOKUP($B183,'ELC TECH'!$H:$H,'ELC TECH'!AN:AN)="",0.8,_xlfn.XLOOKUP($B183,'ELC TECH'!$H:$H,'ELC TECH'!AN:AN)))</f>
        <v/>
      </c>
      <c r="V183" s="12" t="str">
        <f>IF(_xlfn.XLOOKUP($B183,'ELC TECH'!$H:$H,'ELC TECH'!$E:$E)&lt;&gt;"Storage","",IF(_xlfn.XLOOKUP($B183,'ELC TECH'!$H:$H,'ELC TECH'!AO:AO)="",0.8,_xlfn.XLOOKUP($B183,'ELC TECH'!$H:$H,'ELC TECH'!AO:AO)))</f>
        <v/>
      </c>
      <c r="W183" s="12" t="str">
        <f>IF(_xlfn.XLOOKUP($B183,'ELC TECH'!$H:$H,'ELC TECH'!$E:$E)&lt;&gt;"Storage","",IF(_xlfn.XLOOKUP($B183,'ELC TECH'!$H:$H,'ELC TECH'!AP:AP)="",0.8,_xlfn.XLOOKUP($B183,'ELC TECH'!$H:$H,'ELC TECH'!AP:AP)))</f>
        <v/>
      </c>
      <c r="X183" s="12" t="str">
        <f>IF(_xlfn.XLOOKUP($B183,'ELC TECH'!$H:$H,'ELC TECH'!$E:$E)&lt;&gt;"Storage","",IF(_xlfn.XLOOKUP($B183,'ELC TECH'!$H:$H,'ELC TECH'!AQ:AQ)="",0.8,_xlfn.XLOOKUP($B183,'ELC TECH'!$H:$H,'ELC TECH'!AQ:AQ)))</f>
        <v/>
      </c>
      <c r="Y183" s="12" t="str">
        <f>IF(_xlfn.XLOOKUP($B183,'ELC TECH'!$H:$H,'ELC TECH'!$E:$E)&lt;&gt;"Storage","",IF(_xlfn.XLOOKUP($B183,'ELC TECH'!$H:$H,'ELC TECH'!AR:AR)="",0.8,_xlfn.XLOOKUP($B183,'ELC TECH'!$H:$H,'ELC TECH'!AR:AR)))</f>
        <v/>
      </c>
      <c r="Z183" s="15">
        <f>_xlfn.XLOOKUP($B183,'ELC TECH'!$H:$H,'ELC TECH'!M:M)</f>
        <v>1912.264310519447</v>
      </c>
      <c r="AA183" s="15">
        <f>_xlfn.XLOOKUP($B183,'ELC TECH'!$H:$H,'ELC TECH'!N:N)</f>
        <v>1887.703407882211</v>
      </c>
      <c r="AB183" s="15">
        <f>_xlfn.XLOOKUP($B183,'ELC TECH'!$H:$H,'ELC TECH'!O:O)</f>
        <v>1569.6288150057401</v>
      </c>
      <c r="AC183" s="15">
        <f>_xlfn.XLOOKUP($B183,'ELC TECH'!$H:$H,'ELC TECH'!P:P)</f>
        <v>1251.5542221292801</v>
      </c>
      <c r="AD183" s="15">
        <f>_xlfn.XLOOKUP($B183,'ELC TECH'!$H:$H,'ELC TECH'!Q:Q)</f>
        <v>1147.154572863142</v>
      </c>
      <c r="AE183" s="15">
        <f>_xlfn.XLOOKUP($B183,'ELC TECH'!$H:$H,'ELC TECH'!R:R)</f>
        <v>1042.7549235970189</v>
      </c>
      <c r="AF183" s="15">
        <f>_xlfn.XLOOKUP($B183,'ELC TECH'!$H:$H,'ELC TECH'!S:S)</f>
        <v>938.35527433088987</v>
      </c>
      <c r="AG183" s="15">
        <f>_xlfn.XLOOKUP($B183,'ELC TECH'!$H:$H,'ELC TECH'!T:T)</f>
        <v>938.35527433088987</v>
      </c>
      <c r="AH183" s="15">
        <f>_xlfn.XLOOKUP($B183,'ELC TECH'!$H:$H,'ELC TECH'!U:U)</f>
        <v>20.242248163120561</v>
      </c>
      <c r="AI183" s="15">
        <f>_xlfn.XLOOKUP($B183,'ELC TECH'!$H:$H,'ELC TECH'!V:V)</f>
        <v>19.891925366567069</v>
      </c>
      <c r="AJ183" s="15">
        <f>_xlfn.XLOOKUP($B183,'ELC TECH'!$H:$H,'ELC TECH'!W:W)</f>
        <v>17.127058056750311</v>
      </c>
      <c r="AK183" s="15">
        <f>_xlfn.XLOOKUP($B183,'ELC TECH'!$H:$H,'ELC TECH'!X:X)</f>
        <v>14.36219074693344</v>
      </c>
      <c r="AL183" s="15">
        <f>_xlfn.XLOOKUP($B183,'ELC TECH'!$H:$H,'ELC TECH'!Y:Y)</f>
        <v>13.45469551192622</v>
      </c>
      <c r="AM183" s="15">
        <f>_xlfn.XLOOKUP($B183,'ELC TECH'!$H:$H,'ELC TECH'!Z:Z)</f>
        <v>12.547200276919</v>
      </c>
      <c r="AN183" s="15">
        <f>_xlfn.XLOOKUP($B183,'ELC TECH'!$H:$H,'ELC TECH'!AA:AA)</f>
        <v>11.63970504191178</v>
      </c>
      <c r="AO183" s="15">
        <f>_xlfn.XLOOKUP($B183,'ELC TECH'!$H:$H,'ELC TECH'!AB:AB)</f>
        <v>11.63970504191178</v>
      </c>
      <c r="AP183" s="15">
        <f>_xlfn.XLOOKUP($B183,'ELC TECH'!$H:$H,'ELC TECH'!AC:AC)</f>
        <v>0</v>
      </c>
      <c r="AQ183" s="15">
        <f>_xlfn.XLOOKUP($B183,'ELC TECH'!$H:$H,'ELC TECH'!AD:AD)</f>
        <v>0</v>
      </c>
      <c r="AR183" s="15">
        <f>_xlfn.XLOOKUP($B183,'ELC TECH'!$H:$H,'ELC TECH'!AE:AE)</f>
        <v>0</v>
      </c>
      <c r="AS183" s="15">
        <f>_xlfn.XLOOKUP($B183,'ELC TECH'!$H:$H,'ELC TECH'!AF:AF)</f>
        <v>0</v>
      </c>
      <c r="AT183" s="15">
        <f>_xlfn.XLOOKUP($B183,'ELC TECH'!$H:$H,'ELC TECH'!AG:AG)</f>
        <v>0</v>
      </c>
      <c r="AU183" s="15">
        <f>_xlfn.XLOOKUP($B183,'ELC TECH'!$H:$H,'ELC TECH'!AH:AH)</f>
        <v>0</v>
      </c>
      <c r="AV183" s="15">
        <f>_xlfn.XLOOKUP($B183,'ELC TECH'!$H:$H,'ELC TECH'!AI:AI)</f>
        <v>0</v>
      </c>
      <c r="AW183" s="15">
        <f>_xlfn.XLOOKUP($B183,'ELC TECH'!$H:$H,'ELC TECH'!AJ:AJ)</f>
        <v>0</v>
      </c>
      <c r="AX183" s="12">
        <f>IF(_xlfn.XLOOKUP($B183,'ELC TECH'!$H:$H,'ELC TECH'!$E:$E)="Storage","",_xlfn.XLOOKUP($B183,'ELC TECH'!$H:$H,'ELC TECH'!AS:AS))</f>
        <v>0.132984854395686</v>
      </c>
      <c r="AY183" s="12">
        <f>IF(_xlfn.XLOOKUP($B183,'ELC TECH'!$H:$H,'ELC TECH'!$E:$E)="Storage","",_xlfn.XLOOKUP($B183,'ELC TECH'!$H:$H,'ELC TECH'!AT:AT))</f>
        <v>0.13567732108783701</v>
      </c>
      <c r="AZ183" s="12">
        <f>IF(_xlfn.XLOOKUP($B183,'ELC TECH'!$H:$H,'ELC TECH'!$E:$E)="Storage","",_xlfn.XLOOKUP($B183,'ELC TECH'!$H:$H,'ELC TECH'!AU:AU))</f>
        <v>0.139042904453026</v>
      </c>
      <c r="BA183" s="12">
        <f>IF(_xlfn.XLOOKUP($B183,'ELC TECH'!$H:$H,'ELC TECH'!$E:$E)="Storage","",_xlfn.XLOOKUP($B183,'ELC TECH'!$H:$H,'ELC TECH'!AV:AV))</f>
        <v>0.142408487818215</v>
      </c>
      <c r="BB183" s="12">
        <f>IF(_xlfn.XLOOKUP($B183,'ELC TECH'!$H:$H,'ELC TECH'!$E:$E)="Storage","",_xlfn.XLOOKUP($B183,'ELC TECH'!$H:$H,'ELC TECH'!AW:AW))</f>
        <v>0.144767017112642</v>
      </c>
      <c r="BC183" s="12">
        <f>IF(_xlfn.XLOOKUP($B183,'ELC TECH'!$H:$H,'ELC TECH'!$E:$E)="Storage","",_xlfn.XLOOKUP($B183,'ELC TECH'!$H:$H,'ELC TECH'!AX:AX))</f>
        <v>0.14712554640707001</v>
      </c>
      <c r="BD183" s="12">
        <f>IF(_xlfn.XLOOKUP($B183,'ELC TECH'!$H:$H,'ELC TECH'!$E:$E)="Storage","",_xlfn.XLOOKUP($B183,'ELC TECH'!$H:$H,'ELC TECH'!AY:AY))</f>
        <v>0.14948407570149699</v>
      </c>
      <c r="BE183" s="12">
        <f>IF(_xlfn.XLOOKUP($B183,'ELC TECH'!$H:$H,'ELC TECH'!$E:$E)="Storage","",_xlfn.XLOOKUP($B183,'ELC TECH'!$H:$H,'ELC TECH'!AZ:AZ))</f>
        <v>0.14948407570149699</v>
      </c>
      <c r="BF183" s="12" t="str">
        <f>IF(_xlfn.XLOOKUP($B183,'ELC TECH'!$H:$H,'ELC TECH'!$E:$E)="Storage",_xlfn.XLOOKUP($B183,'ELC TECH'!$H:$H,'ELC TECH'!AS:AS),"")</f>
        <v/>
      </c>
      <c r="BG183" s="12" t="str">
        <f>IF(_xlfn.XLOOKUP($B183,'ELC TECH'!$H:$H,'ELC TECH'!$E:$E)="Storage",_xlfn.XLOOKUP($B183,'ELC TECH'!$H:$H,'ELC TECH'!AT:AT),"")</f>
        <v/>
      </c>
      <c r="BH183" s="12" t="str">
        <f>IF(_xlfn.XLOOKUP($B183,'ELC TECH'!$H:$H,'ELC TECH'!$E:$E)="Storage",_xlfn.XLOOKUP($B183,'ELC TECH'!$H:$H,'ELC TECH'!AU:AU),"")</f>
        <v/>
      </c>
      <c r="BI183" s="12" t="str">
        <f>IF(_xlfn.XLOOKUP($B183,'ELC TECH'!$H:$H,'ELC TECH'!$E:$E)="Storage",_xlfn.XLOOKUP($B183,'ELC TECH'!$H:$H,'ELC TECH'!AV:AV),"")</f>
        <v/>
      </c>
      <c r="BJ183" s="12" t="str">
        <f>IF(_xlfn.XLOOKUP($B183,'ELC TECH'!$H:$H,'ELC TECH'!$E:$E)="Storage",_xlfn.XLOOKUP($B183,'ELC TECH'!$H:$H,'ELC TECH'!AW:AW),"")</f>
        <v/>
      </c>
      <c r="BK183" s="12" t="str">
        <f>IF(_xlfn.XLOOKUP($B183,'ELC TECH'!$H:$H,'ELC TECH'!$E:$E)="Storage",_xlfn.XLOOKUP($B183,'ELC TECH'!$H:$H,'ELC TECH'!AX:AX),"")</f>
        <v/>
      </c>
      <c r="BL183" s="12" t="str">
        <f>IF(_xlfn.XLOOKUP($B183,'ELC TECH'!$H:$H,'ELC TECH'!$E:$E)="Storage",_xlfn.XLOOKUP($B183,'ELC TECH'!$H:$H,'ELC TECH'!AY:AY),"")</f>
        <v/>
      </c>
      <c r="BM183" s="12" t="str">
        <f>IF(_xlfn.XLOOKUP($B183,'ELC TECH'!$H:$H,'ELC TECH'!$E:$E)="Storage",_xlfn.XLOOKUP($B183,'ELC TECH'!$H:$H,'ELC TECH'!AZ:AZ),"")</f>
        <v/>
      </c>
      <c r="BN183" s="8">
        <f>IF(_xlfn.XLOOKUP($B183,'ELC TECH'!$H:$H,'ELC TECH'!$E:$E)="Non Dispatchable",IFERROR($AX183*_xlfn.XLOOKUP($C183,$BM$1:$BM$3,BN$1:BN$3)/SUMPRODUCT(_xlfn.XLOOKUP($C183,$BM$1:$BM$3,$BN$1:$BY$3),$BN$4:$BY$4),""),
"")</f>
        <v>0.20813491075172602</v>
      </c>
      <c r="BO183" s="8">
        <f>IF(_xlfn.XLOOKUP($B183,'ELC TECH'!$H:$H,'ELC TECH'!$E:$E)="Non Dispatchable",IFERROR($AX183*_xlfn.XLOOKUP($C183,$BM$1:$BM$3,BO$1:BO$3)/SUMPRODUCT(_xlfn.XLOOKUP($C183,$BM$1:$BM$3,$BN$1:$BY$3),$BN$4:$BY$4),""),
"")</f>
        <v>0.20813491075172602</v>
      </c>
      <c r="BP183" s="8">
        <f>IF(_xlfn.XLOOKUP($B183,'ELC TECH'!$H:$H,'ELC TECH'!$E:$E)="Non Dispatchable",IFERROR($AX183*_xlfn.XLOOKUP($C183,$BM$1:$BM$3,BP$1:BP$3)/SUMPRODUCT(_xlfn.XLOOKUP($C183,$BM$1:$BM$3,$BN$1:$BY$3),$BN$4:$BY$4),""),
"")</f>
        <v>2.0813491075172604E-2</v>
      </c>
      <c r="BQ183" s="8">
        <f>IF(_xlfn.XLOOKUP($B183,'ELC TECH'!$H:$H,'ELC TECH'!$E:$E)="Non Dispatchable",IFERROR($AX183*_xlfn.XLOOKUP($C183,$BM$1:$BM$3,BQ$1:BQ$3)/SUMPRODUCT(_xlfn.XLOOKUP($C183,$BM$1:$BM$3,$BN$1:$BY$3),$BN$4:$BY$4),""),
"")</f>
        <v>0</v>
      </c>
      <c r="BR183" s="8">
        <f>IF(_xlfn.XLOOKUP($B183,'ELC TECH'!$H:$H,'ELC TECH'!$E:$E)="Non Dispatchable",IFERROR($AX183*_xlfn.XLOOKUP($C183,$BM$1:$BM$3,BR$1:BR$3)/SUMPRODUCT(_xlfn.XLOOKUP($C183,$BM$1:$BM$3,$BN$1:$BY$3),$BN$4:$BY$4),""),
"")</f>
        <v>0.239715339350838</v>
      </c>
      <c r="BS183" s="8">
        <f>IF(_xlfn.XLOOKUP($B183,'ELC TECH'!$H:$H,'ELC TECH'!$E:$E)="Non Dispatchable",IFERROR($AX183*_xlfn.XLOOKUP($C183,$BM$1:$BM$3,BS$1:BS$3)/SUMPRODUCT(_xlfn.XLOOKUP($C183,$BM$1:$BM$3,$BN$1:$BY$3),$BN$4:$BY$4),""),
"")</f>
        <v>0.239715339350838</v>
      </c>
      <c r="BT183" s="8">
        <f>IF(_xlfn.XLOOKUP($B183,'ELC TECH'!$H:$H,'ELC TECH'!$E:$E)="Non Dispatchable",IFERROR($AX183*_xlfn.XLOOKUP($C183,$BM$1:$BM$3,BT$1:BT$3)/SUMPRODUCT(_xlfn.XLOOKUP($C183,$BM$1:$BM$3,$BN$1:$BY$3),$BN$4:$BY$4),""),
"")</f>
        <v>2.3971533935083802E-2</v>
      </c>
      <c r="BU183" s="8">
        <f>IF(_xlfn.XLOOKUP($B183,'ELC TECH'!$H:$H,'ELC TECH'!$E:$E)="Non Dispatchable",IFERROR($AX183*_xlfn.XLOOKUP($C183,$BM$1:$BM$3,BU$1:BU$3)/SUMPRODUCT(_xlfn.XLOOKUP($C183,$BM$1:$BM$3,$BN$1:$BY$3),$BN$4:$BY$4),""),
"")</f>
        <v>0</v>
      </c>
      <c r="BV183" s="8">
        <f>IF(_xlfn.XLOOKUP($B183,'ELC TECH'!$H:$H,'ELC TECH'!$E:$E)="Non Dispatchable",IFERROR($AX183*_xlfn.XLOOKUP($C183,$BM$1:$BM$3,BV$1:BV$3)/SUMPRODUCT(_xlfn.XLOOKUP($C183,$BM$1:$BM$3,$BN$1:$BY$3),$BN$4:$BY$4),""),
"")</f>
        <v>0.20054268074463055</v>
      </c>
      <c r="BW183" s="8">
        <f>IF(_xlfn.XLOOKUP($B183,'ELC TECH'!$H:$H,'ELC TECH'!$E:$E)="Non Dispatchable",IFERROR($AX183*_xlfn.XLOOKUP($C183,$BM$1:$BM$3,BW$1:BW$3)/SUMPRODUCT(_xlfn.XLOOKUP($C183,$BM$1:$BM$3,$BN$1:$BY$3),$BN$4:$BY$4),""),
"")</f>
        <v>0.20054268074463055</v>
      </c>
      <c r="BX183" s="8">
        <f>IF(_xlfn.XLOOKUP($B183,'ELC TECH'!$H:$H,'ELC TECH'!$E:$E)="Non Dispatchable",IFERROR($AX183*_xlfn.XLOOKUP($C183,$BM$1:$BM$3,BX$1:BX$3)/SUMPRODUCT(_xlfn.XLOOKUP($C183,$BM$1:$BM$3,$BN$1:$BY$3),$BN$4:$BY$4),""),
"")</f>
        <v>2.0054268074463054E-2</v>
      </c>
      <c r="BY183" s="8">
        <f>IF(_xlfn.XLOOKUP($B183,'ELC TECH'!$H:$H,'ELC TECH'!$E:$E)="Non Dispatchable",IFERROR($AX183*_xlfn.XLOOKUP($C183,$BM$1:$BM$3,BY$1:BY$3)/SUMPRODUCT(_xlfn.XLOOKUP($C183,$BM$1:$BM$3,$BN$1:$BY$3),$BN$4:$BY$4),""),
"")</f>
        <v>0</v>
      </c>
      <c r="BZ183" s="8">
        <f>IF(_xlfn.XLOOKUP($B183,'ELC TECH'!$H:$H,'ELC TECH'!$E:$E)="Non Dispatchable",IFERROR($AX183*_xlfn.XLOOKUP($C183,$BM$1:$BM$3,BZ$1:BZ$3)/SUMPRODUCT(_xlfn.XLOOKUP($C183,$BM$1:$BM$3,$BN$1:$BY$3),$BN$4:$BY$4),""),
"")</f>
        <v>0.20813491075172602</v>
      </c>
      <c r="CA183" s="8">
        <f>IF(_xlfn.XLOOKUP($B183,'ELC TECH'!$H:$H,'ELC TECH'!$E:$E)="Non Dispatchable",IFERROR($AX183*_xlfn.XLOOKUP($C183,$BM$1:$BM$3,CA$1:CA$3)/SUMPRODUCT(_xlfn.XLOOKUP($C183,$BM$1:$BM$3,$BN$1:$BY$3),$BN$4:$BY$4),""),
"")</f>
        <v>0.20813491075172602</v>
      </c>
      <c r="CB183" s="8">
        <f>IF(_xlfn.XLOOKUP($B183,'ELC TECH'!$H:$H,'ELC TECH'!$E:$E)="Non Dispatchable",IFERROR($AX183*_xlfn.XLOOKUP($C183,$BM$1:$BM$3,CB$1:CB$3)/SUMPRODUCT(_xlfn.XLOOKUP($C183,$BM$1:$BM$3,$BN$1:$BY$3),$BN$4:$BY$4),""),
"")</f>
        <v>2.0813491075172604E-2</v>
      </c>
      <c r="CC183" s="8">
        <f>IF(_xlfn.XLOOKUP($B183,'ELC TECH'!$H:$H,'ELC TECH'!$E:$E)="Non Dispatchable",IFERROR($AX183*_xlfn.XLOOKUP($C183,$BM$1:$BM$3,CC$1:CC$3)/SUMPRODUCT(_xlfn.XLOOKUP($C183,$BM$1:$BM$3,$BN$1:$BY$3),$BN$4:$BY$4),""),
"")</f>
        <v>0</v>
      </c>
      <c r="CD183" s="8">
        <f>IF(_xlfn.XLOOKUP($B183,'ELC TECH'!$H:$H,'ELC TECH'!$E:$E)="Non Dispatchable",IFERROR($AX183*_xlfn.XLOOKUP($C183,$BM$1:$BM$3,CD$1:CD$3)/SUMPRODUCT(_xlfn.XLOOKUP($C183,$BM$1:$BM$3,$BN$1:$BY$3),$BN$4:$BY$4),""),
"")</f>
        <v>0.239715339350838</v>
      </c>
      <c r="CE183" s="8">
        <f>IF(_xlfn.XLOOKUP($B183,'ELC TECH'!$H:$H,'ELC TECH'!$E:$E)="Non Dispatchable",IFERROR($AX183*_xlfn.XLOOKUP($C183,$BM$1:$BM$3,CE$1:CE$3)/SUMPRODUCT(_xlfn.XLOOKUP($C183,$BM$1:$BM$3,$BN$1:$BY$3),$BN$4:$BY$4),""),
"")</f>
        <v>0.239715339350838</v>
      </c>
      <c r="CF183" s="8">
        <f>IF(_xlfn.XLOOKUP($B183,'ELC TECH'!$H:$H,'ELC TECH'!$E:$E)="Non Dispatchable",IFERROR($AX183*_xlfn.XLOOKUP($C183,$BM$1:$BM$3,CF$1:CF$3)/SUMPRODUCT(_xlfn.XLOOKUP($C183,$BM$1:$BM$3,$BN$1:$BY$3),$BN$4:$BY$4),""),
"")</f>
        <v>2.3971533935083802E-2</v>
      </c>
      <c r="CG183" s="8">
        <f>IF(_xlfn.XLOOKUP($B183,'ELC TECH'!$H:$H,'ELC TECH'!$E:$E)="Non Dispatchable",IFERROR($AX183*_xlfn.XLOOKUP($C183,$BM$1:$BM$3,CG$1:CG$3)/SUMPRODUCT(_xlfn.XLOOKUP($C183,$BM$1:$BM$3,$BN$1:$BY$3),$BN$4:$BY$4),""),
"")</f>
        <v>0</v>
      </c>
      <c r="CH183" s="8">
        <f>IF(_xlfn.XLOOKUP($B183,'ELC TECH'!$H:$H,'ELC TECH'!$E:$E)="Non Dispatchable",IFERROR($AX183*_xlfn.XLOOKUP($C183,$BM$1:$BM$3,CH$1:CH$3)/SUMPRODUCT(_xlfn.XLOOKUP($C183,$BM$1:$BM$3,$BN$1:$BY$3),$BN$4:$BY$4),""),
"")</f>
        <v>0.20054268074463055</v>
      </c>
      <c r="CI183" s="8">
        <f>IF(_xlfn.XLOOKUP($B183,'ELC TECH'!$H:$H,'ELC TECH'!$E:$E)="Non Dispatchable",IFERROR($AX183*_xlfn.XLOOKUP($C183,$BM$1:$BM$3,CI$1:CI$3)/SUMPRODUCT(_xlfn.XLOOKUP($C183,$BM$1:$BM$3,$BN$1:$BY$3),$BN$4:$BY$4),""),
"")</f>
        <v>0.20054268074463055</v>
      </c>
      <c r="CJ183" s="8">
        <f>IF(_xlfn.XLOOKUP($B183,'ELC TECH'!$H:$H,'ELC TECH'!$E:$E)="Non Dispatchable",IFERROR($AX183*_xlfn.XLOOKUP($C183,$BM$1:$BM$3,CJ$1:CJ$3)/SUMPRODUCT(_xlfn.XLOOKUP($C183,$BM$1:$BM$3,$BN$1:$BY$3),$BN$4:$BY$4),""),
"")</f>
        <v>2.0054268074463054E-2</v>
      </c>
      <c r="CK183" s="8">
        <f>IF(_xlfn.XLOOKUP($B183,'ELC TECH'!$H:$H,'ELC TECH'!$E:$E)="Non Dispatchable",IFERROR($AX183*_xlfn.XLOOKUP($C183,$BM$1:$BM$3,CK$1:CK$3)/SUMPRODUCT(_xlfn.XLOOKUP($C183,$BM$1:$BM$3,$BN$1:$BY$3),$BN$4:$BY$4),""),
"")</f>
        <v>0</v>
      </c>
      <c r="CL183" s="8" t="str">
        <f>IF(_xlfn.XLOOKUP($B183,'ELC TECH'!$H:$H,'ELC TECH'!$E:$E)="Storage",CL$4*$BF183,"")</f>
        <v/>
      </c>
      <c r="CM183" s="8" t="str">
        <f>IF(_xlfn.XLOOKUP($B183,'ELC TECH'!$H:$H,'ELC TECH'!$E:$E)="Storage",CM$4*$BF183,"")</f>
        <v/>
      </c>
      <c r="CN183" s="8" t="str">
        <f>IF(_xlfn.XLOOKUP($B183,'ELC TECH'!$H:$H,'ELC TECH'!$E:$E)="Storage",CN$4*$BF183,"")</f>
        <v/>
      </c>
      <c r="CO183" s="8" t="str">
        <f>IF(_xlfn.XLOOKUP($B183,'ELC TECH'!$H:$H,'ELC TECH'!$E:$E)="Storage",CO$4*$BF183,"")</f>
        <v/>
      </c>
      <c r="CP183" s="8" t="str">
        <f>IF(_xlfn.XLOOKUP($B183,'ELC TECH'!$H:$H,'ELC TECH'!$E:$E)="Storage",CP$4*$BF183,"")</f>
        <v/>
      </c>
      <c r="CQ183" s="8" t="str">
        <f>IF(_xlfn.XLOOKUP($B183,'ELC TECH'!$H:$H,'ELC TECH'!$E:$E)="Storage",CQ$4*$BF183,"")</f>
        <v/>
      </c>
      <c r="CR183" s="8" t="str">
        <f>IF(_xlfn.XLOOKUP($B183,'ELC TECH'!$H:$H,'ELC TECH'!$E:$E)="Storage",CR$4*$BF183,"")</f>
        <v/>
      </c>
      <c r="CS183" s="8" t="str">
        <f>IF(_xlfn.XLOOKUP($B183,'ELC TECH'!$H:$H,'ELC TECH'!$E:$E)="Storage",CS$4*$BF183,"")</f>
        <v/>
      </c>
      <c r="CT183" s="8" t="str">
        <f>IF(_xlfn.XLOOKUP($B183,'ELC TECH'!$H:$H,'ELC TECH'!$E:$E)="Storage",CT$4*$BF183,"")</f>
        <v/>
      </c>
      <c r="CU183" s="8" t="str">
        <f>IF(_xlfn.XLOOKUP($B183,'ELC TECH'!$H:$H,'ELC TECH'!$E:$E)="Storage",CU$4*$BF183,"")</f>
        <v/>
      </c>
      <c r="CV183" s="8" t="str">
        <f>IF(_xlfn.XLOOKUP($B183,'ELC TECH'!$H:$H,'ELC TECH'!$E:$E)="Storage",CV$4*$BF183,"")</f>
        <v/>
      </c>
      <c r="CW183" s="8" t="str">
        <f>IF(_xlfn.XLOOKUP($B183,'ELC TECH'!$H:$H,'ELC TECH'!$E:$E)="Storage",CW$4*$BF183,"")</f>
        <v/>
      </c>
      <c r="CX183" s="8" t="str">
        <f>IF(_xlfn.XLOOKUP($B183,'ELC TECH'!$H:$H,'ELC TECH'!$E:$E)="Storage",CX$4*$BF183,"")</f>
        <v/>
      </c>
      <c r="CY183" s="8" t="str">
        <f>IF(_xlfn.XLOOKUP($B183,'ELC TECH'!$H:$H,'ELC TECH'!$E:$E)="Storage",CY$4*$BF183,"")</f>
        <v/>
      </c>
      <c r="CZ183" s="8" t="str">
        <f>IF(_xlfn.XLOOKUP($B183,'ELC TECH'!$H:$H,'ELC TECH'!$E:$E)="Storage",CZ$4*$BF183,"")</f>
        <v/>
      </c>
      <c r="DA183" s="8" t="str">
        <f>IF(_xlfn.XLOOKUP($B183,'ELC TECH'!$H:$H,'ELC TECH'!$E:$E)="Storage",DA$4*$BF183,"")</f>
        <v/>
      </c>
      <c r="DB183" s="8" t="str">
        <f>IF(_xlfn.XLOOKUP($B183,'ELC TECH'!$H:$H,'ELC TECH'!$E:$E)="Storage",DB$4*$BF183,"")</f>
        <v/>
      </c>
      <c r="DC183" s="8" t="str">
        <f>IF(_xlfn.XLOOKUP($B183,'ELC TECH'!$H:$H,'ELC TECH'!$E:$E)="Storage",DC$4*$BF183,"")</f>
        <v/>
      </c>
      <c r="DD183" s="8" t="str">
        <f>IF(_xlfn.XLOOKUP($B183,'ELC TECH'!$H:$H,'ELC TECH'!$E:$E)="Storage",DD$4*$BF183,"")</f>
        <v/>
      </c>
      <c r="DE183" s="8" t="str">
        <f>IF(_xlfn.XLOOKUP($B183,'ELC TECH'!$H:$H,'ELC TECH'!$E:$E)="Storage",DE$4*$BF183,"")</f>
        <v/>
      </c>
      <c r="DF183" s="8" t="str">
        <f>IF(_xlfn.XLOOKUP($B183,'ELC TECH'!$H:$H,'ELC TECH'!$E:$E)="Storage",DF$4*$BF183,"")</f>
        <v/>
      </c>
      <c r="DG183" s="8" t="str">
        <f>IF(_xlfn.XLOOKUP($B183,'ELC TECH'!$H:$H,'ELC TECH'!$E:$E)="Storage",DG$4*$BF183,"")</f>
        <v/>
      </c>
      <c r="DH183" s="8" t="str">
        <f>IF(_xlfn.XLOOKUP($B183,'ELC TECH'!$H:$H,'ELC TECH'!$E:$E)="Storage",DH$4*$BF183,"")</f>
        <v/>
      </c>
      <c r="DI183" s="8" t="str">
        <f>IF(_xlfn.XLOOKUP($B183,'ELC TECH'!$H:$H,'ELC TECH'!$E:$E)="Storage",DI$4*$BF183,"")</f>
        <v/>
      </c>
    </row>
    <row r="184" spans="2:113" x14ac:dyDescent="0.25">
      <c r="B184" t="str">
        <f>IF('ELC TECH'!I177=0,"*",'ELC TECH'!H177)</f>
        <v>ELCSTGDCERBES2.5H20</v>
      </c>
      <c r="C184" t="str">
        <f>IF(_xlfn.XLOOKUP(_xlfn.XLOOKUP(B184,'ELC TECH'!$H:$H,'ELC TECH'!$G:$G),List!C:C,List!B:B)="STG",D184,"ELC"&amp;_xlfn.XLOOKUP(_xlfn.XLOOKUP(B184,'ELC TECH'!H:H,'ELC TECH'!G:G),List!C:C,List!B:B))</f>
        <v>RESELC</v>
      </c>
      <c r="D184" t="s">
        <v>545</v>
      </c>
      <c r="E184">
        <f>_xlfn.XLOOKUP(B184,'ELC TECH'!H:H,'ELC TECH'!D:D)</f>
        <v>2020</v>
      </c>
      <c r="F184">
        <f>_xlfn.XLOOKUP(B184,'ELC TECH'!H:H,'ELC TECH'!K:K)</f>
        <v>15</v>
      </c>
      <c r="G184">
        <f t="shared" si="9"/>
        <v>31.535999999999998</v>
      </c>
      <c r="H184">
        <f>IF(_xlfn.XLOOKUP(B184,'ELC TECH'!$H:$H,'ELC TECH'!$E:$E)="Storage",0.3,IF(_xlfn.XLOOKUP(B184,'ELC TECH'!$H:$H,'ELC TECH'!$E:$E)="Baseload",0.9,IF(_xlfn.XLOOKUP(B184,'ELC TECH'!$H:$H,'ELC TECH'!$E:$E)="Non Dispatchable",0.05,IF(_xlfn.XLOOKUP(B184,'ELC TECH'!$H:$H,'ELC TECH'!$E:$E)="Dispatchable",0.9,1))))</f>
        <v>0.3</v>
      </c>
      <c r="I184" s="13" t="str">
        <f>IF(_xlfn.XLOOKUP(B184,'ELC TECH'!H:H,'ELC TECH'!J:J)="","",_xlfn.XLOOKUP(B184,'ELC TECH'!H:H,'ELC TECH'!J:J))</f>
        <v/>
      </c>
      <c r="J184" s="12" t="str">
        <f>IF(_xlfn.XLOOKUP($B184,'ELC TECH'!$H:$H,'ELC TECH'!$E:$E)="Storage","",IF(_xlfn.XLOOKUP($B184,'ELC TECH'!$H:$H,'ELC TECH'!AK:AK)="",1,_xlfn.XLOOKUP($B184,'ELC TECH'!$H:$H,'ELC TECH'!AK:AK)))</f>
        <v/>
      </c>
      <c r="K184" s="12" t="str">
        <f>IF(_xlfn.XLOOKUP($B184,'ELC TECH'!$H:$H,'ELC TECH'!$E:$E)="Storage","",IF(_xlfn.XLOOKUP($B184,'ELC TECH'!$H:$H,'ELC TECH'!AL:AL)="",1,_xlfn.XLOOKUP($B184,'ELC TECH'!$H:$H,'ELC TECH'!AL:AL)))</f>
        <v/>
      </c>
      <c r="L184" s="12" t="str">
        <f>IF(_xlfn.XLOOKUP($B184,'ELC TECH'!$H:$H,'ELC TECH'!$E:$E)="Storage","",IF(_xlfn.XLOOKUP($B184,'ELC TECH'!$H:$H,'ELC TECH'!AM:AM)="",1,_xlfn.XLOOKUP($B184,'ELC TECH'!$H:$H,'ELC TECH'!AM:AM)))</f>
        <v/>
      </c>
      <c r="M184" s="12" t="str">
        <f>IF(_xlfn.XLOOKUP($B184,'ELC TECH'!$H:$H,'ELC TECH'!$E:$E)="Storage","",IF(_xlfn.XLOOKUP($B184,'ELC TECH'!$H:$H,'ELC TECH'!AN:AN)="",1,_xlfn.XLOOKUP($B184,'ELC TECH'!$H:$H,'ELC TECH'!AN:AN)))</f>
        <v/>
      </c>
      <c r="N184" s="12" t="str">
        <f>IF(_xlfn.XLOOKUP($B184,'ELC TECH'!$H:$H,'ELC TECH'!$E:$E)="Storage","",IF(_xlfn.XLOOKUP($B184,'ELC TECH'!$H:$H,'ELC TECH'!AO:AO)="",1,_xlfn.XLOOKUP($B184,'ELC TECH'!$H:$H,'ELC TECH'!AO:AO)))</f>
        <v/>
      </c>
      <c r="O184" s="12" t="str">
        <f>IF(_xlfn.XLOOKUP($B184,'ELC TECH'!$H:$H,'ELC TECH'!$E:$E)="Storage","",IF(_xlfn.XLOOKUP($B184,'ELC TECH'!$H:$H,'ELC TECH'!AP:AP)="",1,_xlfn.XLOOKUP($B184,'ELC TECH'!$H:$H,'ELC TECH'!AP:AP)))</f>
        <v/>
      </c>
      <c r="P184" s="12" t="str">
        <f>IF(_xlfn.XLOOKUP($B184,'ELC TECH'!$H:$H,'ELC TECH'!$E:$E)="Storage","",IF(_xlfn.XLOOKUP($B184,'ELC TECH'!$H:$H,'ELC TECH'!AQ:AQ)="",1,_xlfn.XLOOKUP($B184,'ELC TECH'!$H:$H,'ELC TECH'!AQ:AQ)))</f>
        <v/>
      </c>
      <c r="Q184" s="12" t="str">
        <f>IF(_xlfn.XLOOKUP($B184,'ELC TECH'!$H:$H,'ELC TECH'!$E:$E)="Storage","",IF(_xlfn.XLOOKUP($B184,'ELC TECH'!$H:$H,'ELC TECH'!AR:AR)="",1,_xlfn.XLOOKUP($B184,'ELC TECH'!$H:$H,'ELC TECH'!AR:AR)))</f>
        <v/>
      </c>
      <c r="R184" s="12">
        <f>IF(_xlfn.XLOOKUP($B184,'ELC TECH'!$H:$H,'ELC TECH'!$E:$E)&lt;&gt;"Storage","",IF(_xlfn.XLOOKUP($B184,'ELC TECH'!$H:$H,'ELC TECH'!AK:AK)="",0.8,_xlfn.XLOOKUP($B184,'ELC TECH'!$H:$H,'ELC TECH'!AK:AK)))</f>
        <v>0.8</v>
      </c>
      <c r="S184" s="12">
        <f>IF(_xlfn.XLOOKUP($B184,'ELC TECH'!$H:$H,'ELC TECH'!$E:$E)&lt;&gt;"Storage","",IF(_xlfn.XLOOKUP($B184,'ELC TECH'!$H:$H,'ELC TECH'!AL:AL)="",0.8,_xlfn.XLOOKUP($B184,'ELC TECH'!$H:$H,'ELC TECH'!AL:AL)))</f>
        <v>0.8</v>
      </c>
      <c r="T184" s="12">
        <f>IF(_xlfn.XLOOKUP($B184,'ELC TECH'!$H:$H,'ELC TECH'!$E:$E)&lt;&gt;"Storage","",IF(_xlfn.XLOOKUP($B184,'ELC TECH'!$H:$H,'ELC TECH'!AM:AM)="",0.8,_xlfn.XLOOKUP($B184,'ELC TECH'!$H:$H,'ELC TECH'!AM:AM)))</f>
        <v>0.8</v>
      </c>
      <c r="U184" s="12">
        <f>IF(_xlfn.XLOOKUP($B184,'ELC TECH'!$H:$H,'ELC TECH'!$E:$E)&lt;&gt;"Storage","",IF(_xlfn.XLOOKUP($B184,'ELC TECH'!$H:$H,'ELC TECH'!AN:AN)="",0.8,_xlfn.XLOOKUP($B184,'ELC TECH'!$H:$H,'ELC TECH'!AN:AN)))</f>
        <v>0.8</v>
      </c>
      <c r="V184" s="12">
        <f>IF(_xlfn.XLOOKUP($B184,'ELC TECH'!$H:$H,'ELC TECH'!$E:$E)&lt;&gt;"Storage","",IF(_xlfn.XLOOKUP($B184,'ELC TECH'!$H:$H,'ELC TECH'!AO:AO)="",0.8,_xlfn.XLOOKUP($B184,'ELC TECH'!$H:$H,'ELC TECH'!AO:AO)))</f>
        <v>0.8</v>
      </c>
      <c r="W184" s="12">
        <f>IF(_xlfn.XLOOKUP($B184,'ELC TECH'!$H:$H,'ELC TECH'!$E:$E)&lt;&gt;"Storage","",IF(_xlfn.XLOOKUP($B184,'ELC TECH'!$H:$H,'ELC TECH'!AP:AP)="",0.8,_xlfn.XLOOKUP($B184,'ELC TECH'!$H:$H,'ELC TECH'!AP:AP)))</f>
        <v>0.8</v>
      </c>
      <c r="X184" s="12">
        <f>IF(_xlfn.XLOOKUP($B184,'ELC TECH'!$H:$H,'ELC TECH'!$E:$E)&lt;&gt;"Storage","",IF(_xlfn.XLOOKUP($B184,'ELC TECH'!$H:$H,'ELC TECH'!AQ:AQ)="",0.8,_xlfn.XLOOKUP($B184,'ELC TECH'!$H:$H,'ELC TECH'!AQ:AQ)))</f>
        <v>0.8</v>
      </c>
      <c r="Y184" s="12">
        <f>IF(_xlfn.XLOOKUP($B184,'ELC TECH'!$H:$H,'ELC TECH'!$E:$E)&lt;&gt;"Storage","",IF(_xlfn.XLOOKUP($B184,'ELC TECH'!$H:$H,'ELC TECH'!AR:AR)="",0.8,_xlfn.XLOOKUP($B184,'ELC TECH'!$H:$H,'ELC TECH'!AR:AR)))</f>
        <v>0.8</v>
      </c>
      <c r="Z184" s="15">
        <f>_xlfn.XLOOKUP($B184,'ELC TECH'!$H:$H,'ELC TECH'!M:M)</f>
        <v>4162.5408273692674</v>
      </c>
      <c r="AA184" s="15">
        <f>_xlfn.XLOOKUP($B184,'ELC TECH'!$H:$H,'ELC TECH'!N:N)</f>
        <v>3570.678737809591</v>
      </c>
      <c r="AB184" s="15">
        <f>_xlfn.XLOOKUP($B184,'ELC TECH'!$H:$H,'ELC TECH'!O:O)</f>
        <v>3116.0248697709699</v>
      </c>
      <c r="AC184" s="15">
        <f>_xlfn.XLOOKUP($B184,'ELC TECH'!$H:$H,'ELC TECH'!P:P)</f>
        <v>2921.2733154102821</v>
      </c>
      <c r="AD184" s="15">
        <f>_xlfn.XLOOKUP($B184,'ELC TECH'!$H:$H,'ELC TECH'!Q:Q)</f>
        <v>2726.5217610496052</v>
      </c>
      <c r="AE184" s="15">
        <f>_xlfn.XLOOKUP($B184,'ELC TECH'!$H:$H,'ELC TECH'!R:R)</f>
        <v>2531.770206688916</v>
      </c>
      <c r="AF184" s="15">
        <f>_xlfn.XLOOKUP($B184,'ELC TECH'!$H:$H,'ELC TECH'!S:S)</f>
        <v>2337.0186523282282</v>
      </c>
      <c r="AG184" s="15">
        <f>_xlfn.XLOOKUP($B184,'ELC TECH'!$H:$H,'ELC TECH'!T:T)</f>
        <v>2337.0186523282282</v>
      </c>
      <c r="AH184" s="15">
        <f>_xlfn.XLOOKUP($B184,'ELC TECH'!$H:$H,'ELC TECH'!U:U)</f>
        <v>104.0635206842318</v>
      </c>
      <c r="AI184" s="15">
        <f>_xlfn.XLOOKUP($B184,'ELC TECH'!$H:$H,'ELC TECH'!V:V)</f>
        <v>89.266968445239712</v>
      </c>
      <c r="AJ184" s="15">
        <f>_xlfn.XLOOKUP($B184,'ELC TECH'!$H:$H,'ELC TECH'!W:W)</f>
        <v>77.90062174427436</v>
      </c>
      <c r="AK184" s="15">
        <f>_xlfn.XLOOKUP($B184,'ELC TECH'!$H:$H,'ELC TECH'!X:X)</f>
        <v>73.031832885257231</v>
      </c>
      <c r="AL184" s="15">
        <f>_xlfn.XLOOKUP($B184,'ELC TECH'!$H:$H,'ELC TECH'!Y:Y)</f>
        <v>68.163044026240058</v>
      </c>
      <c r="AM184" s="15">
        <f>_xlfn.XLOOKUP($B184,'ELC TECH'!$H:$H,'ELC TECH'!Z:Z)</f>
        <v>63.294255167222907</v>
      </c>
      <c r="AN184" s="15">
        <f>_xlfn.XLOOKUP($B184,'ELC TECH'!$H:$H,'ELC TECH'!AA:AA)</f>
        <v>58.425466308205749</v>
      </c>
      <c r="AO184" s="15">
        <f>_xlfn.XLOOKUP($B184,'ELC TECH'!$H:$H,'ELC TECH'!AB:AB)</f>
        <v>58.425466308205749</v>
      </c>
      <c r="AP184" s="15">
        <f>_xlfn.XLOOKUP($B184,'ELC TECH'!$H:$H,'ELC TECH'!AC:AC)</f>
        <v>0</v>
      </c>
      <c r="AQ184" s="15">
        <f>_xlfn.XLOOKUP($B184,'ELC TECH'!$H:$H,'ELC TECH'!AD:AD)</f>
        <v>0</v>
      </c>
      <c r="AR184" s="15">
        <f>_xlfn.XLOOKUP($B184,'ELC TECH'!$H:$H,'ELC TECH'!AE:AE)</f>
        <v>0</v>
      </c>
      <c r="AS184" s="15">
        <f>_xlfn.XLOOKUP($B184,'ELC TECH'!$H:$H,'ELC TECH'!AF:AF)</f>
        <v>0</v>
      </c>
      <c r="AT184" s="15">
        <f>_xlfn.XLOOKUP($B184,'ELC TECH'!$H:$H,'ELC TECH'!AG:AG)</f>
        <v>0</v>
      </c>
      <c r="AU184" s="15">
        <f>_xlfn.XLOOKUP($B184,'ELC TECH'!$H:$H,'ELC TECH'!AH:AH)</f>
        <v>0</v>
      </c>
      <c r="AV184" s="15">
        <f>_xlfn.XLOOKUP($B184,'ELC TECH'!$H:$H,'ELC TECH'!AI:AI)</f>
        <v>0</v>
      </c>
      <c r="AW184" s="15">
        <f>_xlfn.XLOOKUP($B184,'ELC TECH'!$H:$H,'ELC TECH'!AJ:AJ)</f>
        <v>0</v>
      </c>
      <c r="AX184" s="12" t="str">
        <f>IF(_xlfn.XLOOKUP($B184,'ELC TECH'!$H:$H,'ELC TECH'!$E:$E)="Storage","",_xlfn.XLOOKUP($B184,'ELC TECH'!$H:$H,'ELC TECH'!AS:AS))</f>
        <v/>
      </c>
      <c r="AY184" s="12" t="str">
        <f>IF(_xlfn.XLOOKUP($B184,'ELC TECH'!$H:$H,'ELC TECH'!$E:$E)="Storage","",_xlfn.XLOOKUP($B184,'ELC TECH'!$H:$H,'ELC TECH'!AT:AT))</f>
        <v/>
      </c>
      <c r="AZ184" s="12" t="str">
        <f>IF(_xlfn.XLOOKUP($B184,'ELC TECH'!$H:$H,'ELC TECH'!$E:$E)="Storage","",_xlfn.XLOOKUP($B184,'ELC TECH'!$H:$H,'ELC TECH'!AU:AU))</f>
        <v/>
      </c>
      <c r="BA184" s="12" t="str">
        <f>IF(_xlfn.XLOOKUP($B184,'ELC TECH'!$H:$H,'ELC TECH'!$E:$E)="Storage","",_xlfn.XLOOKUP($B184,'ELC TECH'!$H:$H,'ELC TECH'!AV:AV))</f>
        <v/>
      </c>
      <c r="BB184" s="12" t="str">
        <f>IF(_xlfn.XLOOKUP($B184,'ELC TECH'!$H:$H,'ELC TECH'!$E:$E)="Storage","",_xlfn.XLOOKUP($B184,'ELC TECH'!$H:$H,'ELC TECH'!AW:AW))</f>
        <v/>
      </c>
      <c r="BC184" s="12" t="str">
        <f>IF(_xlfn.XLOOKUP($B184,'ELC TECH'!$H:$H,'ELC TECH'!$E:$E)="Storage","",_xlfn.XLOOKUP($B184,'ELC TECH'!$H:$H,'ELC TECH'!AX:AX))</f>
        <v/>
      </c>
      <c r="BD184" s="12" t="str">
        <f>IF(_xlfn.XLOOKUP($B184,'ELC TECH'!$H:$H,'ELC TECH'!$E:$E)="Storage","",_xlfn.XLOOKUP($B184,'ELC TECH'!$H:$H,'ELC TECH'!AY:AY))</f>
        <v/>
      </c>
      <c r="BE184" s="12" t="str">
        <f>IF(_xlfn.XLOOKUP($B184,'ELC TECH'!$H:$H,'ELC TECH'!$E:$E)="Storage","",_xlfn.XLOOKUP($B184,'ELC TECH'!$H:$H,'ELC TECH'!AZ:AZ))</f>
        <v/>
      </c>
      <c r="BF184" s="12">
        <f>IF(_xlfn.XLOOKUP($B184,'ELC TECH'!$H:$H,'ELC TECH'!$E:$E)="Storage",_xlfn.XLOOKUP($B184,'ELC TECH'!$H:$H,'ELC TECH'!AS:AS),"")</f>
        <v>0.1041666666666667</v>
      </c>
      <c r="BG184" s="12">
        <f>IF(_xlfn.XLOOKUP($B184,'ELC TECH'!$H:$H,'ELC TECH'!$E:$E)="Storage",_xlfn.XLOOKUP($B184,'ELC TECH'!$H:$H,'ELC TECH'!AT:AT),"")</f>
        <v>0.1041666666666667</v>
      </c>
      <c r="BH184" s="12">
        <f>IF(_xlfn.XLOOKUP($B184,'ELC TECH'!$H:$H,'ELC TECH'!$E:$E)="Storage",_xlfn.XLOOKUP($B184,'ELC TECH'!$H:$H,'ELC TECH'!AU:AU),"")</f>
        <v>0.1041666666666667</v>
      </c>
      <c r="BI184" s="12">
        <f>IF(_xlfn.XLOOKUP($B184,'ELC TECH'!$H:$H,'ELC TECH'!$E:$E)="Storage",_xlfn.XLOOKUP($B184,'ELC TECH'!$H:$H,'ELC TECH'!AV:AV),"")</f>
        <v>0.1041666666666667</v>
      </c>
      <c r="BJ184" s="12">
        <f>IF(_xlfn.XLOOKUP($B184,'ELC TECH'!$H:$H,'ELC TECH'!$E:$E)="Storage",_xlfn.XLOOKUP($B184,'ELC TECH'!$H:$H,'ELC TECH'!AW:AW),"")</f>
        <v>0.1041666666666667</v>
      </c>
      <c r="BK184" s="12">
        <f>IF(_xlfn.XLOOKUP($B184,'ELC TECH'!$H:$H,'ELC TECH'!$E:$E)="Storage",_xlfn.XLOOKUP($B184,'ELC TECH'!$H:$H,'ELC TECH'!AX:AX),"")</f>
        <v>0.1041666666666667</v>
      </c>
      <c r="BL184" s="12">
        <f>IF(_xlfn.XLOOKUP($B184,'ELC TECH'!$H:$H,'ELC TECH'!$E:$E)="Storage",_xlfn.XLOOKUP($B184,'ELC TECH'!$H:$H,'ELC TECH'!AY:AY),"")</f>
        <v>0.1041666666666667</v>
      </c>
      <c r="BM184" s="12">
        <f>IF(_xlfn.XLOOKUP($B184,'ELC TECH'!$H:$H,'ELC TECH'!$E:$E)="Storage",_xlfn.XLOOKUP($B184,'ELC TECH'!$H:$H,'ELC TECH'!AZ:AZ),"")</f>
        <v>0.1041666666666667</v>
      </c>
      <c r="BN184" s="8" t="str">
        <f>IF(_xlfn.XLOOKUP($B184,'ELC TECH'!$H:$H,'ELC TECH'!$E:$E)="Non Dispatchable",IFERROR($AX184*_xlfn.XLOOKUP($C184,$BM$1:$BM$3,BN$1:BN$3)/SUMPRODUCT(_xlfn.XLOOKUP($C184,$BM$1:$BM$3,$BN$1:$BY$3),$BN$4:$BY$4),""),
"")</f>
        <v/>
      </c>
      <c r="BO184" s="8" t="str">
        <f>IF(_xlfn.XLOOKUP($B184,'ELC TECH'!$H:$H,'ELC TECH'!$E:$E)="Non Dispatchable",IFERROR($AX184*_xlfn.XLOOKUP($C184,$BM$1:$BM$3,BO$1:BO$3)/SUMPRODUCT(_xlfn.XLOOKUP($C184,$BM$1:$BM$3,$BN$1:$BY$3),$BN$4:$BY$4),""),
"")</f>
        <v/>
      </c>
      <c r="BP184" s="8" t="str">
        <f>IF(_xlfn.XLOOKUP($B184,'ELC TECH'!$H:$H,'ELC TECH'!$E:$E)="Non Dispatchable",IFERROR($AX184*_xlfn.XLOOKUP($C184,$BM$1:$BM$3,BP$1:BP$3)/SUMPRODUCT(_xlfn.XLOOKUP($C184,$BM$1:$BM$3,$BN$1:$BY$3),$BN$4:$BY$4),""),
"")</f>
        <v/>
      </c>
      <c r="BQ184" s="8" t="str">
        <f>IF(_xlfn.XLOOKUP($B184,'ELC TECH'!$H:$H,'ELC TECH'!$E:$E)="Non Dispatchable",IFERROR($AX184*_xlfn.XLOOKUP($C184,$BM$1:$BM$3,BQ$1:BQ$3)/SUMPRODUCT(_xlfn.XLOOKUP($C184,$BM$1:$BM$3,$BN$1:$BY$3),$BN$4:$BY$4),""),
"")</f>
        <v/>
      </c>
      <c r="BR184" s="8" t="str">
        <f>IF(_xlfn.XLOOKUP($B184,'ELC TECH'!$H:$H,'ELC TECH'!$E:$E)="Non Dispatchable",IFERROR($AX184*_xlfn.XLOOKUP($C184,$BM$1:$BM$3,BR$1:BR$3)/SUMPRODUCT(_xlfn.XLOOKUP($C184,$BM$1:$BM$3,$BN$1:$BY$3),$BN$4:$BY$4),""),
"")</f>
        <v/>
      </c>
      <c r="BS184" s="8" t="str">
        <f>IF(_xlfn.XLOOKUP($B184,'ELC TECH'!$H:$H,'ELC TECH'!$E:$E)="Non Dispatchable",IFERROR($AX184*_xlfn.XLOOKUP($C184,$BM$1:$BM$3,BS$1:BS$3)/SUMPRODUCT(_xlfn.XLOOKUP($C184,$BM$1:$BM$3,$BN$1:$BY$3),$BN$4:$BY$4),""),
"")</f>
        <v/>
      </c>
      <c r="BT184" s="8" t="str">
        <f>IF(_xlfn.XLOOKUP($B184,'ELC TECH'!$H:$H,'ELC TECH'!$E:$E)="Non Dispatchable",IFERROR($AX184*_xlfn.XLOOKUP($C184,$BM$1:$BM$3,BT$1:BT$3)/SUMPRODUCT(_xlfn.XLOOKUP($C184,$BM$1:$BM$3,$BN$1:$BY$3),$BN$4:$BY$4),""),
"")</f>
        <v/>
      </c>
      <c r="BU184" s="8" t="str">
        <f>IF(_xlfn.XLOOKUP($B184,'ELC TECH'!$H:$H,'ELC TECH'!$E:$E)="Non Dispatchable",IFERROR($AX184*_xlfn.XLOOKUP($C184,$BM$1:$BM$3,BU$1:BU$3)/SUMPRODUCT(_xlfn.XLOOKUP($C184,$BM$1:$BM$3,$BN$1:$BY$3),$BN$4:$BY$4),""),
"")</f>
        <v/>
      </c>
      <c r="BV184" s="8" t="str">
        <f>IF(_xlfn.XLOOKUP($B184,'ELC TECH'!$H:$H,'ELC TECH'!$E:$E)="Non Dispatchable",IFERROR($AX184*_xlfn.XLOOKUP($C184,$BM$1:$BM$3,BV$1:BV$3)/SUMPRODUCT(_xlfn.XLOOKUP($C184,$BM$1:$BM$3,$BN$1:$BY$3),$BN$4:$BY$4),""),
"")</f>
        <v/>
      </c>
      <c r="BW184" s="8" t="str">
        <f>IF(_xlfn.XLOOKUP($B184,'ELC TECH'!$H:$H,'ELC TECH'!$E:$E)="Non Dispatchable",IFERROR($AX184*_xlfn.XLOOKUP($C184,$BM$1:$BM$3,BW$1:BW$3)/SUMPRODUCT(_xlfn.XLOOKUP($C184,$BM$1:$BM$3,$BN$1:$BY$3),$BN$4:$BY$4),""),
"")</f>
        <v/>
      </c>
      <c r="BX184" s="8" t="str">
        <f>IF(_xlfn.XLOOKUP($B184,'ELC TECH'!$H:$H,'ELC TECH'!$E:$E)="Non Dispatchable",IFERROR($AX184*_xlfn.XLOOKUP($C184,$BM$1:$BM$3,BX$1:BX$3)/SUMPRODUCT(_xlfn.XLOOKUP($C184,$BM$1:$BM$3,$BN$1:$BY$3),$BN$4:$BY$4),""),
"")</f>
        <v/>
      </c>
      <c r="BY184" s="8" t="str">
        <f>IF(_xlfn.XLOOKUP($B184,'ELC TECH'!$H:$H,'ELC TECH'!$E:$E)="Non Dispatchable",IFERROR($AX184*_xlfn.XLOOKUP($C184,$BM$1:$BM$3,BY$1:BY$3)/SUMPRODUCT(_xlfn.XLOOKUP($C184,$BM$1:$BM$3,$BN$1:$BY$3),$BN$4:$BY$4),""),
"")</f>
        <v/>
      </c>
      <c r="BZ184" s="8" t="str">
        <f>IF(_xlfn.XLOOKUP($B184,'ELC TECH'!$H:$H,'ELC TECH'!$E:$E)="Non Dispatchable",IFERROR($AX184*_xlfn.XLOOKUP($C184,$BM$1:$BM$3,BZ$1:BZ$3)/SUMPRODUCT(_xlfn.XLOOKUP($C184,$BM$1:$BM$3,$BN$1:$BY$3),$BN$4:$BY$4),""),
"")</f>
        <v/>
      </c>
      <c r="CA184" s="8" t="str">
        <f>IF(_xlfn.XLOOKUP($B184,'ELC TECH'!$H:$H,'ELC TECH'!$E:$E)="Non Dispatchable",IFERROR($AX184*_xlfn.XLOOKUP($C184,$BM$1:$BM$3,CA$1:CA$3)/SUMPRODUCT(_xlfn.XLOOKUP($C184,$BM$1:$BM$3,$BN$1:$BY$3),$BN$4:$BY$4),""),
"")</f>
        <v/>
      </c>
      <c r="CB184" s="8" t="str">
        <f>IF(_xlfn.XLOOKUP($B184,'ELC TECH'!$H:$H,'ELC TECH'!$E:$E)="Non Dispatchable",IFERROR($AX184*_xlfn.XLOOKUP($C184,$BM$1:$BM$3,CB$1:CB$3)/SUMPRODUCT(_xlfn.XLOOKUP($C184,$BM$1:$BM$3,$BN$1:$BY$3),$BN$4:$BY$4),""),
"")</f>
        <v/>
      </c>
      <c r="CC184" s="8" t="str">
        <f>IF(_xlfn.XLOOKUP($B184,'ELC TECH'!$H:$H,'ELC TECH'!$E:$E)="Non Dispatchable",IFERROR($AX184*_xlfn.XLOOKUP($C184,$BM$1:$BM$3,CC$1:CC$3)/SUMPRODUCT(_xlfn.XLOOKUP($C184,$BM$1:$BM$3,$BN$1:$BY$3),$BN$4:$BY$4),""),
"")</f>
        <v/>
      </c>
      <c r="CD184" s="8" t="str">
        <f>IF(_xlfn.XLOOKUP($B184,'ELC TECH'!$H:$H,'ELC TECH'!$E:$E)="Non Dispatchable",IFERROR($AX184*_xlfn.XLOOKUP($C184,$BM$1:$BM$3,CD$1:CD$3)/SUMPRODUCT(_xlfn.XLOOKUP($C184,$BM$1:$BM$3,$BN$1:$BY$3),$BN$4:$BY$4),""),
"")</f>
        <v/>
      </c>
      <c r="CE184" s="8" t="str">
        <f>IF(_xlfn.XLOOKUP($B184,'ELC TECH'!$H:$H,'ELC TECH'!$E:$E)="Non Dispatchable",IFERROR($AX184*_xlfn.XLOOKUP($C184,$BM$1:$BM$3,CE$1:CE$3)/SUMPRODUCT(_xlfn.XLOOKUP($C184,$BM$1:$BM$3,$BN$1:$BY$3),$BN$4:$BY$4),""),
"")</f>
        <v/>
      </c>
      <c r="CF184" s="8" t="str">
        <f>IF(_xlfn.XLOOKUP($B184,'ELC TECH'!$H:$H,'ELC TECH'!$E:$E)="Non Dispatchable",IFERROR($AX184*_xlfn.XLOOKUP($C184,$BM$1:$BM$3,CF$1:CF$3)/SUMPRODUCT(_xlfn.XLOOKUP($C184,$BM$1:$BM$3,$BN$1:$BY$3),$BN$4:$BY$4),""),
"")</f>
        <v/>
      </c>
      <c r="CG184" s="8" t="str">
        <f>IF(_xlfn.XLOOKUP($B184,'ELC TECH'!$H:$H,'ELC TECH'!$E:$E)="Non Dispatchable",IFERROR($AX184*_xlfn.XLOOKUP($C184,$BM$1:$BM$3,CG$1:CG$3)/SUMPRODUCT(_xlfn.XLOOKUP($C184,$BM$1:$BM$3,$BN$1:$BY$3),$BN$4:$BY$4),""),
"")</f>
        <v/>
      </c>
      <c r="CH184" s="8" t="str">
        <f>IF(_xlfn.XLOOKUP($B184,'ELC TECH'!$H:$H,'ELC TECH'!$E:$E)="Non Dispatchable",IFERROR($AX184*_xlfn.XLOOKUP($C184,$BM$1:$BM$3,CH$1:CH$3)/SUMPRODUCT(_xlfn.XLOOKUP($C184,$BM$1:$BM$3,$BN$1:$BY$3),$BN$4:$BY$4),""),
"")</f>
        <v/>
      </c>
      <c r="CI184" s="8" t="str">
        <f>IF(_xlfn.XLOOKUP($B184,'ELC TECH'!$H:$H,'ELC TECH'!$E:$E)="Non Dispatchable",IFERROR($AX184*_xlfn.XLOOKUP($C184,$BM$1:$BM$3,CI$1:CI$3)/SUMPRODUCT(_xlfn.XLOOKUP($C184,$BM$1:$BM$3,$BN$1:$BY$3),$BN$4:$BY$4),""),
"")</f>
        <v/>
      </c>
      <c r="CJ184" s="8" t="str">
        <f>IF(_xlfn.XLOOKUP($B184,'ELC TECH'!$H:$H,'ELC TECH'!$E:$E)="Non Dispatchable",IFERROR($AX184*_xlfn.XLOOKUP($C184,$BM$1:$BM$3,CJ$1:CJ$3)/SUMPRODUCT(_xlfn.XLOOKUP($C184,$BM$1:$BM$3,$BN$1:$BY$3),$BN$4:$BY$4),""),
"")</f>
        <v/>
      </c>
      <c r="CK184" s="8" t="str">
        <f>IF(_xlfn.XLOOKUP($B184,'ELC TECH'!$H:$H,'ELC TECH'!$E:$E)="Non Dispatchable",IFERROR($AX184*_xlfn.XLOOKUP($C184,$BM$1:$BM$3,CK$1:CK$3)/SUMPRODUCT(_xlfn.XLOOKUP($C184,$BM$1:$BM$3,$BN$1:$BY$3),$BN$4:$BY$4),""),
"")</f>
        <v/>
      </c>
      <c r="CL184" s="8">
        <f>IF(_xlfn.XLOOKUP($B184,'ELC TECH'!$H:$H,'ELC TECH'!$E:$E)="Storage",CL$4*$BF184,"")</f>
        <v>8.5625000000000024E-3</v>
      </c>
      <c r="CM184" s="8">
        <f>IF(_xlfn.XLOOKUP($B184,'ELC TECH'!$H:$H,'ELC TECH'!$E:$E)="Storage",CM$4*$BF184,"")</f>
        <v>9.9687500000000019E-3</v>
      </c>
      <c r="CN184" s="8">
        <f>IF(_xlfn.XLOOKUP($B184,'ELC TECH'!$H:$H,'ELC TECH'!$E:$E)="Storage",CN$4*$BF184,"")</f>
        <v>1.5958333333333338E-2</v>
      </c>
      <c r="CO184" s="8">
        <f>IF(_xlfn.XLOOKUP($B184,'ELC TECH'!$H:$H,'ELC TECH'!$E:$E)="Storage",CO$4*$BF184,"")</f>
        <v>3.3333333333333343E-4</v>
      </c>
      <c r="CP184" s="8">
        <f>IF(_xlfn.XLOOKUP($B184,'ELC TECH'!$H:$H,'ELC TECH'!$E:$E)="Storage",CP$4*$BF184,"")</f>
        <v>8.4895833333333368E-3</v>
      </c>
      <c r="CQ184" s="8">
        <f>IF(_xlfn.XLOOKUP($B184,'ELC TECH'!$H:$H,'ELC TECH'!$E:$E)="Storage",CQ$4*$BF184,"")</f>
        <v>1.132291666666667E-2</v>
      </c>
      <c r="CR184" s="8">
        <f>IF(_xlfn.XLOOKUP($B184,'ELC TECH'!$H:$H,'ELC TECH'!$E:$E)="Storage",CR$4*$BF184,"")</f>
        <v>1.4385416666666671E-2</v>
      </c>
      <c r="CS184" s="8">
        <f>IF(_xlfn.XLOOKUP($B184,'ELC TECH'!$H:$H,'ELC TECH'!$E:$E)="Storage",CS$4*$BF184,"")</f>
        <v>3.3333333333333343E-4</v>
      </c>
      <c r="CT184" s="8">
        <f>IF(_xlfn.XLOOKUP($B184,'ELC TECH'!$H:$H,'ELC TECH'!$E:$E)="Storage",CT$4*$BF184,"")</f>
        <v>1.0156250000000004E-2</v>
      </c>
      <c r="CU184" s="8">
        <f>IF(_xlfn.XLOOKUP($B184,'ELC TECH'!$H:$H,'ELC TECH'!$E:$E)="Storage",CU$4*$BF184,"")</f>
        <v>1.132291666666667E-2</v>
      </c>
      <c r="CV184" s="8">
        <f>IF(_xlfn.XLOOKUP($B184,'ELC TECH'!$H:$H,'ELC TECH'!$E:$E)="Storage",CV$4*$BF184,"")</f>
        <v>1.3052083333333337E-2</v>
      </c>
      <c r="CW184" s="8">
        <f>IF(_xlfn.XLOOKUP($B184,'ELC TECH'!$H:$H,'ELC TECH'!$E:$E)="Storage",CW$4*$BF184,"")</f>
        <v>2.8125000000000009E-4</v>
      </c>
      <c r="CX184" s="8">
        <f>IF(_xlfn.XLOOKUP($B184,'ELC TECH'!$H:$H,'ELC TECH'!$E:$E)="Storage",CX$4*$BF184,"")</f>
        <v>8.5625000000000024E-3</v>
      </c>
      <c r="CY184" s="8">
        <f>IF(_xlfn.XLOOKUP($B184,'ELC TECH'!$H:$H,'ELC TECH'!$E:$E)="Storage",CY$4*$BF184,"")</f>
        <v>9.9687500000000019E-3</v>
      </c>
      <c r="CZ184" s="8">
        <f>IF(_xlfn.XLOOKUP($B184,'ELC TECH'!$H:$H,'ELC TECH'!$E:$E)="Storage",CZ$4*$BF184,"")</f>
        <v>1.5958333333333338E-2</v>
      </c>
      <c r="DA184" s="8">
        <f>IF(_xlfn.XLOOKUP($B184,'ELC TECH'!$H:$H,'ELC TECH'!$E:$E)="Storage",DA$4*$BF184,"")</f>
        <v>3.3333333333333343E-4</v>
      </c>
      <c r="DB184" s="8">
        <f>IF(_xlfn.XLOOKUP($B184,'ELC TECH'!$H:$H,'ELC TECH'!$E:$E)="Storage",DB$4*$BF184,"")</f>
        <v>8.4895833333333368E-3</v>
      </c>
      <c r="DC184" s="8">
        <f>IF(_xlfn.XLOOKUP($B184,'ELC TECH'!$H:$H,'ELC TECH'!$E:$E)="Storage",DC$4*$BF184,"")</f>
        <v>1.132291666666667E-2</v>
      </c>
      <c r="DD184" s="8">
        <f>IF(_xlfn.XLOOKUP($B184,'ELC TECH'!$H:$H,'ELC TECH'!$E:$E)="Storage",DD$4*$BF184,"")</f>
        <v>1.4385416666666671E-2</v>
      </c>
      <c r="DE184" s="8">
        <f>IF(_xlfn.XLOOKUP($B184,'ELC TECH'!$H:$H,'ELC TECH'!$E:$E)="Storage",DE$4*$BF184,"")</f>
        <v>3.3333333333333343E-4</v>
      </c>
      <c r="DF184" s="8">
        <f>IF(_xlfn.XLOOKUP($B184,'ELC TECH'!$H:$H,'ELC TECH'!$E:$E)="Storage",DF$4*$BF184,"")</f>
        <v>1.0156250000000004E-2</v>
      </c>
      <c r="DG184" s="8">
        <f>IF(_xlfn.XLOOKUP($B184,'ELC TECH'!$H:$H,'ELC TECH'!$E:$E)="Storage",DG$4*$BF184,"")</f>
        <v>1.132291666666667E-2</v>
      </c>
      <c r="DH184" s="8">
        <f>IF(_xlfn.XLOOKUP($B184,'ELC TECH'!$H:$H,'ELC TECH'!$E:$E)="Storage",DH$4*$BF184,"")</f>
        <v>1.3052083333333337E-2</v>
      </c>
      <c r="DI184" s="8">
        <f>IF(_xlfn.XLOOKUP($B184,'ELC TECH'!$H:$H,'ELC TECH'!$E:$E)="Storage",DI$4*$BF184,"")</f>
        <v>2.8125000000000009E-4</v>
      </c>
    </row>
    <row r="185" spans="2:113" x14ac:dyDescent="0.25">
      <c r="B185" t="str">
        <f>IF('ELC TECH'!I178=0,"*",'ELC TECH'!H178)</f>
        <v>ELCSTGDCERBES4H20</v>
      </c>
      <c r="C185" t="str">
        <f>IF(_xlfn.XLOOKUP(_xlfn.XLOOKUP(B185,'ELC TECH'!$H:$H,'ELC TECH'!$G:$G),List!C:C,List!B:B)="STG",D185,"ELC"&amp;_xlfn.XLOOKUP(_xlfn.XLOOKUP(B185,'ELC TECH'!H:H,'ELC TECH'!G:G),List!C:C,List!B:B))</f>
        <v>RESELC</v>
      </c>
      <c r="D185" t="s">
        <v>545</v>
      </c>
      <c r="E185">
        <f>_xlfn.XLOOKUP(B185,'ELC TECH'!H:H,'ELC TECH'!D:D)</f>
        <v>2020</v>
      </c>
      <c r="F185">
        <f>_xlfn.XLOOKUP(B185,'ELC TECH'!H:H,'ELC TECH'!K:K)</f>
        <v>15</v>
      </c>
      <c r="G185">
        <f t="shared" si="9"/>
        <v>31.535999999999998</v>
      </c>
      <c r="H185">
        <f>IF(_xlfn.XLOOKUP(B185,'ELC TECH'!$H:$H,'ELC TECH'!$E:$E)="Storage",0.3,IF(_xlfn.XLOOKUP(B185,'ELC TECH'!$H:$H,'ELC TECH'!$E:$E)="Baseload",0.9,IF(_xlfn.XLOOKUP(B185,'ELC TECH'!$H:$H,'ELC TECH'!$E:$E)="Non Dispatchable",0.05,IF(_xlfn.XLOOKUP(B185,'ELC TECH'!$H:$H,'ELC TECH'!$E:$E)="Dispatchable",0.9,1))))</f>
        <v>0.3</v>
      </c>
      <c r="I185" s="13" t="str">
        <f>IF(_xlfn.XLOOKUP(B185,'ELC TECH'!H:H,'ELC TECH'!J:J)="","",_xlfn.XLOOKUP(B185,'ELC TECH'!H:H,'ELC TECH'!J:J))</f>
        <v/>
      </c>
      <c r="J185" s="12" t="str">
        <f>IF(_xlfn.XLOOKUP($B185,'ELC TECH'!$H:$H,'ELC TECH'!$E:$E)="Storage","",IF(_xlfn.XLOOKUP($B185,'ELC TECH'!$H:$H,'ELC TECH'!AK:AK)="",1,_xlfn.XLOOKUP($B185,'ELC TECH'!$H:$H,'ELC TECH'!AK:AK)))</f>
        <v/>
      </c>
      <c r="K185" s="12" t="str">
        <f>IF(_xlfn.XLOOKUP($B185,'ELC TECH'!$H:$H,'ELC TECH'!$E:$E)="Storage","",IF(_xlfn.XLOOKUP($B185,'ELC TECH'!$H:$H,'ELC TECH'!AL:AL)="",1,_xlfn.XLOOKUP($B185,'ELC TECH'!$H:$H,'ELC TECH'!AL:AL)))</f>
        <v/>
      </c>
      <c r="L185" s="12" t="str">
        <f>IF(_xlfn.XLOOKUP($B185,'ELC TECH'!$H:$H,'ELC TECH'!$E:$E)="Storage","",IF(_xlfn.XLOOKUP($B185,'ELC TECH'!$H:$H,'ELC TECH'!AM:AM)="",1,_xlfn.XLOOKUP($B185,'ELC TECH'!$H:$H,'ELC TECH'!AM:AM)))</f>
        <v/>
      </c>
      <c r="M185" s="12" t="str">
        <f>IF(_xlfn.XLOOKUP($B185,'ELC TECH'!$H:$H,'ELC TECH'!$E:$E)="Storage","",IF(_xlfn.XLOOKUP($B185,'ELC TECH'!$H:$H,'ELC TECH'!AN:AN)="",1,_xlfn.XLOOKUP($B185,'ELC TECH'!$H:$H,'ELC TECH'!AN:AN)))</f>
        <v/>
      </c>
      <c r="N185" s="12" t="str">
        <f>IF(_xlfn.XLOOKUP($B185,'ELC TECH'!$H:$H,'ELC TECH'!$E:$E)="Storage","",IF(_xlfn.XLOOKUP($B185,'ELC TECH'!$H:$H,'ELC TECH'!AO:AO)="",1,_xlfn.XLOOKUP($B185,'ELC TECH'!$H:$H,'ELC TECH'!AO:AO)))</f>
        <v/>
      </c>
      <c r="O185" s="12" t="str">
        <f>IF(_xlfn.XLOOKUP($B185,'ELC TECH'!$H:$H,'ELC TECH'!$E:$E)="Storage","",IF(_xlfn.XLOOKUP($B185,'ELC TECH'!$H:$H,'ELC TECH'!AP:AP)="",1,_xlfn.XLOOKUP($B185,'ELC TECH'!$H:$H,'ELC TECH'!AP:AP)))</f>
        <v/>
      </c>
      <c r="P185" s="12" t="str">
        <f>IF(_xlfn.XLOOKUP($B185,'ELC TECH'!$H:$H,'ELC TECH'!$E:$E)="Storage","",IF(_xlfn.XLOOKUP($B185,'ELC TECH'!$H:$H,'ELC TECH'!AQ:AQ)="",1,_xlfn.XLOOKUP($B185,'ELC TECH'!$H:$H,'ELC TECH'!AQ:AQ)))</f>
        <v/>
      </c>
      <c r="Q185" s="12" t="str">
        <f>IF(_xlfn.XLOOKUP($B185,'ELC TECH'!$H:$H,'ELC TECH'!$E:$E)="Storage","",IF(_xlfn.XLOOKUP($B185,'ELC TECH'!$H:$H,'ELC TECH'!AR:AR)="",1,_xlfn.XLOOKUP($B185,'ELC TECH'!$H:$H,'ELC TECH'!AR:AR)))</f>
        <v/>
      </c>
      <c r="R185" s="12">
        <f>IF(_xlfn.XLOOKUP($B185,'ELC TECH'!$H:$H,'ELC TECH'!$E:$E)&lt;&gt;"Storage","",IF(_xlfn.XLOOKUP($B185,'ELC TECH'!$H:$H,'ELC TECH'!AK:AK)="",0.8,_xlfn.XLOOKUP($B185,'ELC TECH'!$H:$H,'ELC TECH'!AK:AK)))</f>
        <v>0.8</v>
      </c>
      <c r="S185" s="12">
        <f>IF(_xlfn.XLOOKUP($B185,'ELC TECH'!$H:$H,'ELC TECH'!$E:$E)&lt;&gt;"Storage","",IF(_xlfn.XLOOKUP($B185,'ELC TECH'!$H:$H,'ELC TECH'!AL:AL)="",0.8,_xlfn.XLOOKUP($B185,'ELC TECH'!$H:$H,'ELC TECH'!AL:AL)))</f>
        <v>0.8</v>
      </c>
      <c r="T185" s="12">
        <f>IF(_xlfn.XLOOKUP($B185,'ELC TECH'!$H:$H,'ELC TECH'!$E:$E)&lt;&gt;"Storage","",IF(_xlfn.XLOOKUP($B185,'ELC TECH'!$H:$H,'ELC TECH'!AM:AM)="",0.8,_xlfn.XLOOKUP($B185,'ELC TECH'!$H:$H,'ELC TECH'!AM:AM)))</f>
        <v>0.8</v>
      </c>
      <c r="U185" s="12">
        <f>IF(_xlfn.XLOOKUP($B185,'ELC TECH'!$H:$H,'ELC TECH'!$E:$E)&lt;&gt;"Storage","",IF(_xlfn.XLOOKUP($B185,'ELC TECH'!$H:$H,'ELC TECH'!AN:AN)="",0.8,_xlfn.XLOOKUP($B185,'ELC TECH'!$H:$H,'ELC TECH'!AN:AN)))</f>
        <v>0.8</v>
      </c>
      <c r="V185" s="12">
        <f>IF(_xlfn.XLOOKUP($B185,'ELC TECH'!$H:$H,'ELC TECH'!$E:$E)&lt;&gt;"Storage","",IF(_xlfn.XLOOKUP($B185,'ELC TECH'!$H:$H,'ELC TECH'!AO:AO)="",0.8,_xlfn.XLOOKUP($B185,'ELC TECH'!$H:$H,'ELC TECH'!AO:AO)))</f>
        <v>0.8</v>
      </c>
      <c r="W185" s="12">
        <f>IF(_xlfn.XLOOKUP($B185,'ELC TECH'!$H:$H,'ELC TECH'!$E:$E)&lt;&gt;"Storage","",IF(_xlfn.XLOOKUP($B185,'ELC TECH'!$H:$H,'ELC TECH'!AP:AP)="",0.8,_xlfn.XLOOKUP($B185,'ELC TECH'!$H:$H,'ELC TECH'!AP:AP)))</f>
        <v>0.8</v>
      </c>
      <c r="X185" s="12">
        <f>IF(_xlfn.XLOOKUP($B185,'ELC TECH'!$H:$H,'ELC TECH'!$E:$E)&lt;&gt;"Storage","",IF(_xlfn.XLOOKUP($B185,'ELC TECH'!$H:$H,'ELC TECH'!AQ:AQ)="",0.8,_xlfn.XLOOKUP($B185,'ELC TECH'!$H:$H,'ELC TECH'!AQ:AQ)))</f>
        <v>0.8</v>
      </c>
      <c r="Y185" s="12">
        <f>IF(_xlfn.XLOOKUP($B185,'ELC TECH'!$H:$H,'ELC TECH'!$E:$E)&lt;&gt;"Storage","",IF(_xlfn.XLOOKUP($B185,'ELC TECH'!$H:$H,'ELC TECH'!AR:AR)="",0.8,_xlfn.XLOOKUP($B185,'ELC TECH'!$H:$H,'ELC TECH'!AR:AR)))</f>
        <v>0.8</v>
      </c>
      <c r="Z185" s="15">
        <f>_xlfn.XLOOKUP($B185,'ELC TECH'!$H:$H,'ELC TECH'!M:M)</f>
        <v>5380.2809655973724</v>
      </c>
      <c r="AA185" s="15">
        <f>_xlfn.XLOOKUP($B185,'ELC TECH'!$H:$H,'ELC TECH'!N:N)</f>
        <v>4339.0574976486123</v>
      </c>
      <c r="AB185" s="15">
        <f>_xlfn.XLOOKUP($B185,'ELC TECH'!$H:$H,'ELC TECH'!O:O)</f>
        <v>3736.1579963465811</v>
      </c>
      <c r="AC185" s="15">
        <f>_xlfn.XLOOKUP($B185,'ELC TECH'!$H:$H,'ELC TECH'!P:P)</f>
        <v>3502.6481215749259</v>
      </c>
      <c r="AD185" s="15">
        <f>_xlfn.XLOOKUP($B185,'ELC TECH'!$H:$H,'ELC TECH'!Q:Q)</f>
        <v>3269.1382468032589</v>
      </c>
      <c r="AE185" s="15">
        <f>_xlfn.XLOOKUP($B185,'ELC TECH'!$H:$H,'ELC TECH'!R:R)</f>
        <v>3035.6283720316028</v>
      </c>
      <c r="AF185" s="15">
        <f>_xlfn.XLOOKUP($B185,'ELC TECH'!$H:$H,'ELC TECH'!S:S)</f>
        <v>2802.1184972599358</v>
      </c>
      <c r="AG185" s="15">
        <f>_xlfn.XLOOKUP($B185,'ELC TECH'!$H:$H,'ELC TECH'!T:T)</f>
        <v>2802.1184972599358</v>
      </c>
      <c r="AH185" s="15">
        <f>_xlfn.XLOOKUP($B185,'ELC TECH'!$H:$H,'ELC TECH'!U:U)</f>
        <v>134.50702413993429</v>
      </c>
      <c r="AI185" s="15">
        <f>_xlfn.XLOOKUP($B185,'ELC TECH'!$H:$H,'ELC TECH'!V:V)</f>
        <v>108.4764374412153</v>
      </c>
      <c r="AJ185" s="15">
        <f>_xlfn.XLOOKUP($B185,'ELC TECH'!$H:$H,'ELC TECH'!W:W)</f>
        <v>93.403949908664657</v>
      </c>
      <c r="AK185" s="15">
        <f>_xlfn.XLOOKUP($B185,'ELC TECH'!$H:$H,'ELC TECH'!X:X)</f>
        <v>87.566203039373136</v>
      </c>
      <c r="AL185" s="15">
        <f>_xlfn.XLOOKUP($B185,'ELC TECH'!$H:$H,'ELC TECH'!Y:Y)</f>
        <v>81.728456170081628</v>
      </c>
      <c r="AM185" s="15">
        <f>_xlfn.XLOOKUP($B185,'ELC TECH'!$H:$H,'ELC TECH'!Z:Z)</f>
        <v>75.890709300790022</v>
      </c>
      <c r="AN185" s="15">
        <f>_xlfn.XLOOKUP($B185,'ELC TECH'!$H:$H,'ELC TECH'!AA:AA)</f>
        <v>70.052962431498514</v>
      </c>
      <c r="AO185" s="15">
        <f>_xlfn.XLOOKUP($B185,'ELC TECH'!$H:$H,'ELC TECH'!AB:AB)</f>
        <v>70.052962431498514</v>
      </c>
      <c r="AP185" s="15">
        <f>_xlfn.XLOOKUP($B185,'ELC TECH'!$H:$H,'ELC TECH'!AC:AC)</f>
        <v>0</v>
      </c>
      <c r="AQ185" s="15">
        <f>_xlfn.XLOOKUP($B185,'ELC TECH'!$H:$H,'ELC TECH'!AD:AD)</f>
        <v>0</v>
      </c>
      <c r="AR185" s="15">
        <f>_xlfn.XLOOKUP($B185,'ELC TECH'!$H:$H,'ELC TECH'!AE:AE)</f>
        <v>0</v>
      </c>
      <c r="AS185" s="15">
        <f>_xlfn.XLOOKUP($B185,'ELC TECH'!$H:$H,'ELC TECH'!AF:AF)</f>
        <v>0</v>
      </c>
      <c r="AT185" s="15">
        <f>_xlfn.XLOOKUP($B185,'ELC TECH'!$H:$H,'ELC TECH'!AG:AG)</f>
        <v>0</v>
      </c>
      <c r="AU185" s="15">
        <f>_xlfn.XLOOKUP($B185,'ELC TECH'!$H:$H,'ELC TECH'!AH:AH)</f>
        <v>0</v>
      </c>
      <c r="AV185" s="15">
        <f>_xlfn.XLOOKUP($B185,'ELC TECH'!$H:$H,'ELC TECH'!AI:AI)</f>
        <v>0</v>
      </c>
      <c r="AW185" s="15">
        <f>_xlfn.XLOOKUP($B185,'ELC TECH'!$H:$H,'ELC TECH'!AJ:AJ)</f>
        <v>0</v>
      </c>
      <c r="AX185" s="12" t="str">
        <f>IF(_xlfn.XLOOKUP($B185,'ELC TECH'!$H:$H,'ELC TECH'!$E:$E)="Storage","",_xlfn.XLOOKUP($B185,'ELC TECH'!$H:$H,'ELC TECH'!AS:AS))</f>
        <v/>
      </c>
      <c r="AY185" s="12" t="str">
        <f>IF(_xlfn.XLOOKUP($B185,'ELC TECH'!$H:$H,'ELC TECH'!$E:$E)="Storage","",_xlfn.XLOOKUP($B185,'ELC TECH'!$H:$H,'ELC TECH'!AT:AT))</f>
        <v/>
      </c>
      <c r="AZ185" s="12" t="str">
        <f>IF(_xlfn.XLOOKUP($B185,'ELC TECH'!$H:$H,'ELC TECH'!$E:$E)="Storage","",_xlfn.XLOOKUP($B185,'ELC TECH'!$H:$H,'ELC TECH'!AU:AU))</f>
        <v/>
      </c>
      <c r="BA185" s="12" t="str">
        <f>IF(_xlfn.XLOOKUP($B185,'ELC TECH'!$H:$H,'ELC TECH'!$E:$E)="Storage","",_xlfn.XLOOKUP($B185,'ELC TECH'!$H:$H,'ELC TECH'!AV:AV))</f>
        <v/>
      </c>
      <c r="BB185" s="12" t="str">
        <f>IF(_xlfn.XLOOKUP($B185,'ELC TECH'!$H:$H,'ELC TECH'!$E:$E)="Storage","",_xlfn.XLOOKUP($B185,'ELC TECH'!$H:$H,'ELC TECH'!AW:AW))</f>
        <v/>
      </c>
      <c r="BC185" s="12" t="str">
        <f>IF(_xlfn.XLOOKUP($B185,'ELC TECH'!$H:$H,'ELC TECH'!$E:$E)="Storage","",_xlfn.XLOOKUP($B185,'ELC TECH'!$H:$H,'ELC TECH'!AX:AX))</f>
        <v/>
      </c>
      <c r="BD185" s="12" t="str">
        <f>IF(_xlfn.XLOOKUP($B185,'ELC TECH'!$H:$H,'ELC TECH'!$E:$E)="Storage","",_xlfn.XLOOKUP($B185,'ELC TECH'!$H:$H,'ELC TECH'!AY:AY))</f>
        <v/>
      </c>
      <c r="BE185" s="12" t="str">
        <f>IF(_xlfn.XLOOKUP($B185,'ELC TECH'!$H:$H,'ELC TECH'!$E:$E)="Storage","",_xlfn.XLOOKUP($B185,'ELC TECH'!$H:$H,'ELC TECH'!AZ:AZ))</f>
        <v/>
      </c>
      <c r="BF185" s="12">
        <f>IF(_xlfn.XLOOKUP($B185,'ELC TECH'!$H:$H,'ELC TECH'!$E:$E)="Storage",_xlfn.XLOOKUP($B185,'ELC TECH'!$H:$H,'ELC TECH'!AS:AS),"")</f>
        <v>0.16666666666666671</v>
      </c>
      <c r="BG185" s="12">
        <f>IF(_xlfn.XLOOKUP($B185,'ELC TECH'!$H:$H,'ELC TECH'!$E:$E)="Storage",_xlfn.XLOOKUP($B185,'ELC TECH'!$H:$H,'ELC TECH'!AT:AT),"")</f>
        <v>0.16666666666666671</v>
      </c>
      <c r="BH185" s="12">
        <f>IF(_xlfn.XLOOKUP($B185,'ELC TECH'!$H:$H,'ELC TECH'!$E:$E)="Storage",_xlfn.XLOOKUP($B185,'ELC TECH'!$H:$H,'ELC TECH'!AU:AU),"")</f>
        <v>0.16666666666666671</v>
      </c>
      <c r="BI185" s="12">
        <f>IF(_xlfn.XLOOKUP($B185,'ELC TECH'!$H:$H,'ELC TECH'!$E:$E)="Storage",_xlfn.XLOOKUP($B185,'ELC TECH'!$H:$H,'ELC TECH'!AV:AV),"")</f>
        <v>0.16666666666666671</v>
      </c>
      <c r="BJ185" s="12">
        <f>IF(_xlfn.XLOOKUP($B185,'ELC TECH'!$H:$H,'ELC TECH'!$E:$E)="Storage",_xlfn.XLOOKUP($B185,'ELC TECH'!$H:$H,'ELC TECH'!AW:AW),"")</f>
        <v>0.16666666666666671</v>
      </c>
      <c r="BK185" s="12">
        <f>IF(_xlfn.XLOOKUP($B185,'ELC TECH'!$H:$H,'ELC TECH'!$E:$E)="Storage",_xlfn.XLOOKUP($B185,'ELC TECH'!$H:$H,'ELC TECH'!AX:AX),"")</f>
        <v>0.16666666666666671</v>
      </c>
      <c r="BL185" s="12">
        <f>IF(_xlfn.XLOOKUP($B185,'ELC TECH'!$H:$H,'ELC TECH'!$E:$E)="Storage",_xlfn.XLOOKUP($B185,'ELC TECH'!$H:$H,'ELC TECH'!AY:AY),"")</f>
        <v>0.16666666666666671</v>
      </c>
      <c r="BM185" s="12">
        <f>IF(_xlfn.XLOOKUP($B185,'ELC TECH'!$H:$H,'ELC TECH'!$E:$E)="Storage",_xlfn.XLOOKUP($B185,'ELC TECH'!$H:$H,'ELC TECH'!AZ:AZ),"")</f>
        <v>0.16666666666666671</v>
      </c>
      <c r="BN185" s="8" t="str">
        <f>IF(_xlfn.XLOOKUP($B185,'ELC TECH'!$H:$H,'ELC TECH'!$E:$E)="Non Dispatchable",IFERROR($AX185*_xlfn.XLOOKUP($C185,$BM$1:$BM$3,BN$1:BN$3)/SUMPRODUCT(_xlfn.XLOOKUP($C185,$BM$1:$BM$3,$BN$1:$BY$3),$BN$4:$BY$4),""),
"")</f>
        <v/>
      </c>
      <c r="BO185" s="8" t="str">
        <f>IF(_xlfn.XLOOKUP($B185,'ELC TECH'!$H:$H,'ELC TECH'!$E:$E)="Non Dispatchable",IFERROR($AX185*_xlfn.XLOOKUP($C185,$BM$1:$BM$3,BO$1:BO$3)/SUMPRODUCT(_xlfn.XLOOKUP($C185,$BM$1:$BM$3,$BN$1:$BY$3),$BN$4:$BY$4),""),
"")</f>
        <v/>
      </c>
      <c r="BP185" s="8" t="str">
        <f>IF(_xlfn.XLOOKUP($B185,'ELC TECH'!$H:$H,'ELC TECH'!$E:$E)="Non Dispatchable",IFERROR($AX185*_xlfn.XLOOKUP($C185,$BM$1:$BM$3,BP$1:BP$3)/SUMPRODUCT(_xlfn.XLOOKUP($C185,$BM$1:$BM$3,$BN$1:$BY$3),$BN$4:$BY$4),""),
"")</f>
        <v/>
      </c>
      <c r="BQ185" s="8" t="str">
        <f>IF(_xlfn.XLOOKUP($B185,'ELC TECH'!$H:$H,'ELC TECH'!$E:$E)="Non Dispatchable",IFERROR($AX185*_xlfn.XLOOKUP($C185,$BM$1:$BM$3,BQ$1:BQ$3)/SUMPRODUCT(_xlfn.XLOOKUP($C185,$BM$1:$BM$3,$BN$1:$BY$3),$BN$4:$BY$4),""),
"")</f>
        <v/>
      </c>
      <c r="BR185" s="8" t="str">
        <f>IF(_xlfn.XLOOKUP($B185,'ELC TECH'!$H:$H,'ELC TECH'!$E:$E)="Non Dispatchable",IFERROR($AX185*_xlfn.XLOOKUP($C185,$BM$1:$BM$3,BR$1:BR$3)/SUMPRODUCT(_xlfn.XLOOKUP($C185,$BM$1:$BM$3,$BN$1:$BY$3),$BN$4:$BY$4),""),
"")</f>
        <v/>
      </c>
      <c r="BS185" s="8" t="str">
        <f>IF(_xlfn.XLOOKUP($B185,'ELC TECH'!$H:$H,'ELC TECH'!$E:$E)="Non Dispatchable",IFERROR($AX185*_xlfn.XLOOKUP($C185,$BM$1:$BM$3,BS$1:BS$3)/SUMPRODUCT(_xlfn.XLOOKUP($C185,$BM$1:$BM$3,$BN$1:$BY$3),$BN$4:$BY$4),""),
"")</f>
        <v/>
      </c>
      <c r="BT185" s="8" t="str">
        <f>IF(_xlfn.XLOOKUP($B185,'ELC TECH'!$H:$H,'ELC TECH'!$E:$E)="Non Dispatchable",IFERROR($AX185*_xlfn.XLOOKUP($C185,$BM$1:$BM$3,BT$1:BT$3)/SUMPRODUCT(_xlfn.XLOOKUP($C185,$BM$1:$BM$3,$BN$1:$BY$3),$BN$4:$BY$4),""),
"")</f>
        <v/>
      </c>
      <c r="BU185" s="8" t="str">
        <f>IF(_xlfn.XLOOKUP($B185,'ELC TECH'!$H:$H,'ELC TECH'!$E:$E)="Non Dispatchable",IFERROR($AX185*_xlfn.XLOOKUP($C185,$BM$1:$BM$3,BU$1:BU$3)/SUMPRODUCT(_xlfn.XLOOKUP($C185,$BM$1:$BM$3,$BN$1:$BY$3),$BN$4:$BY$4),""),
"")</f>
        <v/>
      </c>
      <c r="BV185" s="8" t="str">
        <f>IF(_xlfn.XLOOKUP($B185,'ELC TECH'!$H:$H,'ELC TECH'!$E:$E)="Non Dispatchable",IFERROR($AX185*_xlfn.XLOOKUP($C185,$BM$1:$BM$3,BV$1:BV$3)/SUMPRODUCT(_xlfn.XLOOKUP($C185,$BM$1:$BM$3,$BN$1:$BY$3),$BN$4:$BY$4),""),
"")</f>
        <v/>
      </c>
      <c r="BW185" s="8" t="str">
        <f>IF(_xlfn.XLOOKUP($B185,'ELC TECH'!$H:$H,'ELC TECH'!$E:$E)="Non Dispatchable",IFERROR($AX185*_xlfn.XLOOKUP($C185,$BM$1:$BM$3,BW$1:BW$3)/SUMPRODUCT(_xlfn.XLOOKUP($C185,$BM$1:$BM$3,$BN$1:$BY$3),$BN$4:$BY$4),""),
"")</f>
        <v/>
      </c>
      <c r="BX185" s="8" t="str">
        <f>IF(_xlfn.XLOOKUP($B185,'ELC TECH'!$H:$H,'ELC TECH'!$E:$E)="Non Dispatchable",IFERROR($AX185*_xlfn.XLOOKUP($C185,$BM$1:$BM$3,BX$1:BX$3)/SUMPRODUCT(_xlfn.XLOOKUP($C185,$BM$1:$BM$3,$BN$1:$BY$3),$BN$4:$BY$4),""),
"")</f>
        <v/>
      </c>
      <c r="BY185" s="8" t="str">
        <f>IF(_xlfn.XLOOKUP($B185,'ELC TECH'!$H:$H,'ELC TECH'!$E:$E)="Non Dispatchable",IFERROR($AX185*_xlfn.XLOOKUP($C185,$BM$1:$BM$3,BY$1:BY$3)/SUMPRODUCT(_xlfn.XLOOKUP($C185,$BM$1:$BM$3,$BN$1:$BY$3),$BN$4:$BY$4),""),
"")</f>
        <v/>
      </c>
      <c r="BZ185" s="8" t="str">
        <f>IF(_xlfn.XLOOKUP($B185,'ELC TECH'!$H:$H,'ELC TECH'!$E:$E)="Non Dispatchable",IFERROR($AX185*_xlfn.XLOOKUP($C185,$BM$1:$BM$3,BZ$1:BZ$3)/SUMPRODUCT(_xlfn.XLOOKUP($C185,$BM$1:$BM$3,$BN$1:$BY$3),$BN$4:$BY$4),""),
"")</f>
        <v/>
      </c>
      <c r="CA185" s="8" t="str">
        <f>IF(_xlfn.XLOOKUP($B185,'ELC TECH'!$H:$H,'ELC TECH'!$E:$E)="Non Dispatchable",IFERROR($AX185*_xlfn.XLOOKUP($C185,$BM$1:$BM$3,CA$1:CA$3)/SUMPRODUCT(_xlfn.XLOOKUP($C185,$BM$1:$BM$3,$BN$1:$BY$3),$BN$4:$BY$4),""),
"")</f>
        <v/>
      </c>
      <c r="CB185" s="8" t="str">
        <f>IF(_xlfn.XLOOKUP($B185,'ELC TECH'!$H:$H,'ELC TECH'!$E:$E)="Non Dispatchable",IFERROR($AX185*_xlfn.XLOOKUP($C185,$BM$1:$BM$3,CB$1:CB$3)/SUMPRODUCT(_xlfn.XLOOKUP($C185,$BM$1:$BM$3,$BN$1:$BY$3),$BN$4:$BY$4),""),
"")</f>
        <v/>
      </c>
      <c r="CC185" s="8" t="str">
        <f>IF(_xlfn.XLOOKUP($B185,'ELC TECH'!$H:$H,'ELC TECH'!$E:$E)="Non Dispatchable",IFERROR($AX185*_xlfn.XLOOKUP($C185,$BM$1:$BM$3,CC$1:CC$3)/SUMPRODUCT(_xlfn.XLOOKUP($C185,$BM$1:$BM$3,$BN$1:$BY$3),$BN$4:$BY$4),""),
"")</f>
        <v/>
      </c>
      <c r="CD185" s="8" t="str">
        <f>IF(_xlfn.XLOOKUP($B185,'ELC TECH'!$H:$H,'ELC TECH'!$E:$E)="Non Dispatchable",IFERROR($AX185*_xlfn.XLOOKUP($C185,$BM$1:$BM$3,CD$1:CD$3)/SUMPRODUCT(_xlfn.XLOOKUP($C185,$BM$1:$BM$3,$BN$1:$BY$3),$BN$4:$BY$4),""),
"")</f>
        <v/>
      </c>
      <c r="CE185" s="8" t="str">
        <f>IF(_xlfn.XLOOKUP($B185,'ELC TECH'!$H:$H,'ELC TECH'!$E:$E)="Non Dispatchable",IFERROR($AX185*_xlfn.XLOOKUP($C185,$BM$1:$BM$3,CE$1:CE$3)/SUMPRODUCT(_xlfn.XLOOKUP($C185,$BM$1:$BM$3,$BN$1:$BY$3),$BN$4:$BY$4),""),
"")</f>
        <v/>
      </c>
      <c r="CF185" s="8" t="str">
        <f>IF(_xlfn.XLOOKUP($B185,'ELC TECH'!$H:$H,'ELC TECH'!$E:$E)="Non Dispatchable",IFERROR($AX185*_xlfn.XLOOKUP($C185,$BM$1:$BM$3,CF$1:CF$3)/SUMPRODUCT(_xlfn.XLOOKUP($C185,$BM$1:$BM$3,$BN$1:$BY$3),$BN$4:$BY$4),""),
"")</f>
        <v/>
      </c>
      <c r="CG185" s="8" t="str">
        <f>IF(_xlfn.XLOOKUP($B185,'ELC TECH'!$H:$H,'ELC TECH'!$E:$E)="Non Dispatchable",IFERROR($AX185*_xlfn.XLOOKUP($C185,$BM$1:$BM$3,CG$1:CG$3)/SUMPRODUCT(_xlfn.XLOOKUP($C185,$BM$1:$BM$3,$BN$1:$BY$3),$BN$4:$BY$4),""),
"")</f>
        <v/>
      </c>
      <c r="CH185" s="8" t="str">
        <f>IF(_xlfn.XLOOKUP($B185,'ELC TECH'!$H:$H,'ELC TECH'!$E:$E)="Non Dispatchable",IFERROR($AX185*_xlfn.XLOOKUP($C185,$BM$1:$BM$3,CH$1:CH$3)/SUMPRODUCT(_xlfn.XLOOKUP($C185,$BM$1:$BM$3,$BN$1:$BY$3),$BN$4:$BY$4),""),
"")</f>
        <v/>
      </c>
      <c r="CI185" s="8" t="str">
        <f>IF(_xlfn.XLOOKUP($B185,'ELC TECH'!$H:$H,'ELC TECH'!$E:$E)="Non Dispatchable",IFERROR($AX185*_xlfn.XLOOKUP($C185,$BM$1:$BM$3,CI$1:CI$3)/SUMPRODUCT(_xlfn.XLOOKUP($C185,$BM$1:$BM$3,$BN$1:$BY$3),$BN$4:$BY$4),""),
"")</f>
        <v/>
      </c>
      <c r="CJ185" s="8" t="str">
        <f>IF(_xlfn.XLOOKUP($B185,'ELC TECH'!$H:$H,'ELC TECH'!$E:$E)="Non Dispatchable",IFERROR($AX185*_xlfn.XLOOKUP($C185,$BM$1:$BM$3,CJ$1:CJ$3)/SUMPRODUCT(_xlfn.XLOOKUP($C185,$BM$1:$BM$3,$BN$1:$BY$3),$BN$4:$BY$4),""),
"")</f>
        <v/>
      </c>
      <c r="CK185" s="8" t="str">
        <f>IF(_xlfn.XLOOKUP($B185,'ELC TECH'!$H:$H,'ELC TECH'!$E:$E)="Non Dispatchable",IFERROR($AX185*_xlfn.XLOOKUP($C185,$BM$1:$BM$3,CK$1:CK$3)/SUMPRODUCT(_xlfn.XLOOKUP($C185,$BM$1:$BM$3,$BN$1:$BY$3),$BN$4:$BY$4),""),
"")</f>
        <v/>
      </c>
      <c r="CL185" s="8">
        <f>IF(_xlfn.XLOOKUP($B185,'ELC TECH'!$H:$H,'ELC TECH'!$E:$E)="Storage",CL$4*$BF185,"")</f>
        <v>1.3700000000000004E-2</v>
      </c>
      <c r="CM185" s="8">
        <f>IF(_xlfn.XLOOKUP($B185,'ELC TECH'!$H:$H,'ELC TECH'!$E:$E)="Storage",CM$4*$BF185,"")</f>
        <v>1.5950000000000002E-2</v>
      </c>
      <c r="CN185" s="8">
        <f>IF(_xlfn.XLOOKUP($B185,'ELC TECH'!$H:$H,'ELC TECH'!$E:$E)="Storage",CN$4*$BF185,"")</f>
        <v>2.5533333333333342E-2</v>
      </c>
      <c r="CO185" s="8">
        <f>IF(_xlfn.XLOOKUP($B185,'ELC TECH'!$H:$H,'ELC TECH'!$E:$E)="Storage",CO$4*$BF185,"")</f>
        <v>5.3333333333333347E-4</v>
      </c>
      <c r="CP185" s="8">
        <f>IF(_xlfn.XLOOKUP($B185,'ELC TECH'!$H:$H,'ELC TECH'!$E:$E)="Storage",CP$4*$BF185,"")</f>
        <v>1.3583333333333338E-2</v>
      </c>
      <c r="CQ185" s="8">
        <f>IF(_xlfn.XLOOKUP($B185,'ELC TECH'!$H:$H,'ELC TECH'!$E:$E)="Storage",CQ$4*$BF185,"")</f>
        <v>1.8116666666666673E-2</v>
      </c>
      <c r="CR185" s="8">
        <f>IF(_xlfn.XLOOKUP($B185,'ELC TECH'!$H:$H,'ELC TECH'!$E:$E)="Storage",CR$4*$BF185,"")</f>
        <v>2.3016666666666675E-2</v>
      </c>
      <c r="CS185" s="8">
        <f>IF(_xlfn.XLOOKUP($B185,'ELC TECH'!$H:$H,'ELC TECH'!$E:$E)="Storage",CS$4*$BF185,"")</f>
        <v>5.3333333333333347E-4</v>
      </c>
      <c r="CT185" s="8">
        <f>IF(_xlfn.XLOOKUP($B185,'ELC TECH'!$H:$H,'ELC TECH'!$E:$E)="Storage",CT$4*$BF185,"")</f>
        <v>1.6250000000000004E-2</v>
      </c>
      <c r="CU185" s="8">
        <f>IF(_xlfn.XLOOKUP($B185,'ELC TECH'!$H:$H,'ELC TECH'!$E:$E)="Storage",CU$4*$BF185,"")</f>
        <v>1.8116666666666673E-2</v>
      </c>
      <c r="CV185" s="8">
        <f>IF(_xlfn.XLOOKUP($B185,'ELC TECH'!$H:$H,'ELC TECH'!$E:$E)="Storage",CV$4*$BF185,"")</f>
        <v>2.0883333333333337E-2</v>
      </c>
      <c r="CW185" s="8">
        <f>IF(_xlfn.XLOOKUP($B185,'ELC TECH'!$H:$H,'ELC TECH'!$E:$E)="Storage",CW$4*$BF185,"")</f>
        <v>4.5000000000000015E-4</v>
      </c>
      <c r="CX185" s="8">
        <f>IF(_xlfn.XLOOKUP($B185,'ELC TECH'!$H:$H,'ELC TECH'!$E:$E)="Storage",CX$4*$BF185,"")</f>
        <v>1.3700000000000004E-2</v>
      </c>
      <c r="CY185" s="8">
        <f>IF(_xlfn.XLOOKUP($B185,'ELC TECH'!$H:$H,'ELC TECH'!$E:$E)="Storage",CY$4*$BF185,"")</f>
        <v>1.5950000000000002E-2</v>
      </c>
      <c r="CZ185" s="8">
        <f>IF(_xlfn.XLOOKUP($B185,'ELC TECH'!$H:$H,'ELC TECH'!$E:$E)="Storage",CZ$4*$BF185,"")</f>
        <v>2.5533333333333342E-2</v>
      </c>
      <c r="DA185" s="8">
        <f>IF(_xlfn.XLOOKUP($B185,'ELC TECH'!$H:$H,'ELC TECH'!$E:$E)="Storage",DA$4*$BF185,"")</f>
        <v>5.3333333333333347E-4</v>
      </c>
      <c r="DB185" s="8">
        <f>IF(_xlfn.XLOOKUP($B185,'ELC TECH'!$H:$H,'ELC TECH'!$E:$E)="Storage",DB$4*$BF185,"")</f>
        <v>1.3583333333333338E-2</v>
      </c>
      <c r="DC185" s="8">
        <f>IF(_xlfn.XLOOKUP($B185,'ELC TECH'!$H:$H,'ELC TECH'!$E:$E)="Storage",DC$4*$BF185,"")</f>
        <v>1.8116666666666673E-2</v>
      </c>
      <c r="DD185" s="8">
        <f>IF(_xlfn.XLOOKUP($B185,'ELC TECH'!$H:$H,'ELC TECH'!$E:$E)="Storage",DD$4*$BF185,"")</f>
        <v>2.3016666666666675E-2</v>
      </c>
      <c r="DE185" s="8">
        <f>IF(_xlfn.XLOOKUP($B185,'ELC TECH'!$H:$H,'ELC TECH'!$E:$E)="Storage",DE$4*$BF185,"")</f>
        <v>5.3333333333333347E-4</v>
      </c>
      <c r="DF185" s="8">
        <f>IF(_xlfn.XLOOKUP($B185,'ELC TECH'!$H:$H,'ELC TECH'!$E:$E)="Storage",DF$4*$BF185,"")</f>
        <v>1.6250000000000004E-2</v>
      </c>
      <c r="DG185" s="8">
        <f>IF(_xlfn.XLOOKUP($B185,'ELC TECH'!$H:$H,'ELC TECH'!$E:$E)="Storage",DG$4*$BF185,"")</f>
        <v>1.8116666666666673E-2</v>
      </c>
      <c r="DH185" s="8">
        <f>IF(_xlfn.XLOOKUP($B185,'ELC TECH'!$H:$H,'ELC TECH'!$E:$E)="Storage",DH$4*$BF185,"")</f>
        <v>2.0883333333333337E-2</v>
      </c>
      <c r="DI185" s="8">
        <f>IF(_xlfn.XLOOKUP($B185,'ELC TECH'!$H:$H,'ELC TECH'!$E:$E)="Storage",DI$4*$BF185,"")</f>
        <v>4.5000000000000015E-4</v>
      </c>
    </row>
    <row r="186" spans="2:113" x14ac:dyDescent="0.25">
      <c r="B186" t="str">
        <f>IF('ELC TECH'!I179=0,"*",'ELC TECH'!H179)</f>
        <v>ELCSTGDCECBES1H20</v>
      </c>
      <c r="C186" t="str">
        <f>IF(_xlfn.XLOOKUP(_xlfn.XLOOKUP(B186,'ELC TECH'!$H:$H,'ELC TECH'!$G:$G),List!C:C,List!B:B)="STG",D186,"ELC"&amp;_xlfn.XLOOKUP(_xlfn.XLOOKUP(B186,'ELC TECH'!H:H,'ELC TECH'!G:G),List!C:C,List!B:B))</f>
        <v>COMELC</v>
      </c>
      <c r="D186" t="s">
        <v>546</v>
      </c>
      <c r="E186">
        <f>_xlfn.XLOOKUP(B186,'ELC TECH'!H:H,'ELC TECH'!D:D)</f>
        <v>2020</v>
      </c>
      <c r="F186">
        <f>_xlfn.XLOOKUP(B186,'ELC TECH'!H:H,'ELC TECH'!K:K)</f>
        <v>15</v>
      </c>
      <c r="G186">
        <f t="shared" si="9"/>
        <v>31.535999999999998</v>
      </c>
      <c r="H186">
        <f>IF(_xlfn.XLOOKUP(B186,'ELC TECH'!$H:$H,'ELC TECH'!$E:$E)="Storage",0.3,IF(_xlfn.XLOOKUP(B186,'ELC TECH'!$H:$H,'ELC TECH'!$E:$E)="Baseload",0.9,IF(_xlfn.XLOOKUP(B186,'ELC TECH'!$H:$H,'ELC TECH'!$E:$E)="Non Dispatchable",0.05,IF(_xlfn.XLOOKUP(B186,'ELC TECH'!$H:$H,'ELC TECH'!$E:$E)="Dispatchable",0.9,1))))</f>
        <v>0.3</v>
      </c>
      <c r="I186" s="13" t="str">
        <f>IF(_xlfn.XLOOKUP(B186,'ELC TECH'!H:H,'ELC TECH'!J:J)="","",_xlfn.XLOOKUP(B186,'ELC TECH'!H:H,'ELC TECH'!J:J))</f>
        <v/>
      </c>
      <c r="J186" s="12" t="str">
        <f>IF(_xlfn.XLOOKUP($B186,'ELC TECH'!$H:$H,'ELC TECH'!$E:$E)="Storage","",IF(_xlfn.XLOOKUP($B186,'ELC TECH'!$H:$H,'ELC TECH'!AK:AK)="",1,_xlfn.XLOOKUP($B186,'ELC TECH'!$H:$H,'ELC TECH'!AK:AK)))</f>
        <v/>
      </c>
      <c r="K186" s="12" t="str">
        <f>IF(_xlfn.XLOOKUP($B186,'ELC TECH'!$H:$H,'ELC TECH'!$E:$E)="Storage","",IF(_xlfn.XLOOKUP($B186,'ELC TECH'!$H:$H,'ELC TECH'!AL:AL)="",1,_xlfn.XLOOKUP($B186,'ELC TECH'!$H:$H,'ELC TECH'!AL:AL)))</f>
        <v/>
      </c>
      <c r="L186" s="12" t="str">
        <f>IF(_xlfn.XLOOKUP($B186,'ELC TECH'!$H:$H,'ELC TECH'!$E:$E)="Storage","",IF(_xlfn.XLOOKUP($B186,'ELC TECH'!$H:$H,'ELC TECH'!AM:AM)="",1,_xlfn.XLOOKUP($B186,'ELC TECH'!$H:$H,'ELC TECH'!AM:AM)))</f>
        <v/>
      </c>
      <c r="M186" s="12" t="str">
        <f>IF(_xlfn.XLOOKUP($B186,'ELC TECH'!$H:$H,'ELC TECH'!$E:$E)="Storage","",IF(_xlfn.XLOOKUP($B186,'ELC TECH'!$H:$H,'ELC TECH'!AN:AN)="",1,_xlfn.XLOOKUP($B186,'ELC TECH'!$H:$H,'ELC TECH'!AN:AN)))</f>
        <v/>
      </c>
      <c r="N186" s="12" t="str">
        <f>IF(_xlfn.XLOOKUP($B186,'ELC TECH'!$H:$H,'ELC TECH'!$E:$E)="Storage","",IF(_xlfn.XLOOKUP($B186,'ELC TECH'!$H:$H,'ELC TECH'!AO:AO)="",1,_xlfn.XLOOKUP($B186,'ELC TECH'!$H:$H,'ELC TECH'!AO:AO)))</f>
        <v/>
      </c>
      <c r="O186" s="12" t="str">
        <f>IF(_xlfn.XLOOKUP($B186,'ELC TECH'!$H:$H,'ELC TECH'!$E:$E)="Storage","",IF(_xlfn.XLOOKUP($B186,'ELC TECH'!$H:$H,'ELC TECH'!AP:AP)="",1,_xlfn.XLOOKUP($B186,'ELC TECH'!$H:$H,'ELC TECH'!AP:AP)))</f>
        <v/>
      </c>
      <c r="P186" s="12" t="str">
        <f>IF(_xlfn.XLOOKUP($B186,'ELC TECH'!$H:$H,'ELC TECH'!$E:$E)="Storage","",IF(_xlfn.XLOOKUP($B186,'ELC TECH'!$H:$H,'ELC TECH'!AQ:AQ)="",1,_xlfn.XLOOKUP($B186,'ELC TECH'!$H:$H,'ELC TECH'!AQ:AQ)))</f>
        <v/>
      </c>
      <c r="Q186" s="12" t="str">
        <f>IF(_xlfn.XLOOKUP($B186,'ELC TECH'!$H:$H,'ELC TECH'!$E:$E)="Storage","",IF(_xlfn.XLOOKUP($B186,'ELC TECH'!$H:$H,'ELC TECH'!AR:AR)="",1,_xlfn.XLOOKUP($B186,'ELC TECH'!$H:$H,'ELC TECH'!AR:AR)))</f>
        <v/>
      </c>
      <c r="R186" s="12">
        <f>IF(_xlfn.XLOOKUP($B186,'ELC TECH'!$H:$H,'ELC TECH'!$E:$E)&lt;&gt;"Storage","",IF(_xlfn.XLOOKUP($B186,'ELC TECH'!$H:$H,'ELC TECH'!AK:AK)="",0.8,_xlfn.XLOOKUP($B186,'ELC TECH'!$H:$H,'ELC TECH'!AK:AK)))</f>
        <v>0.8</v>
      </c>
      <c r="S186" s="12">
        <f>IF(_xlfn.XLOOKUP($B186,'ELC TECH'!$H:$H,'ELC TECH'!$E:$E)&lt;&gt;"Storage","",IF(_xlfn.XLOOKUP($B186,'ELC TECH'!$H:$H,'ELC TECH'!AL:AL)="",0.8,_xlfn.XLOOKUP($B186,'ELC TECH'!$H:$H,'ELC TECH'!AL:AL)))</f>
        <v>0.8</v>
      </c>
      <c r="T186" s="12">
        <f>IF(_xlfn.XLOOKUP($B186,'ELC TECH'!$H:$H,'ELC TECH'!$E:$E)&lt;&gt;"Storage","",IF(_xlfn.XLOOKUP($B186,'ELC TECH'!$H:$H,'ELC TECH'!AM:AM)="",0.8,_xlfn.XLOOKUP($B186,'ELC TECH'!$H:$H,'ELC TECH'!AM:AM)))</f>
        <v>0.8</v>
      </c>
      <c r="U186" s="12">
        <f>IF(_xlfn.XLOOKUP($B186,'ELC TECH'!$H:$H,'ELC TECH'!$E:$E)&lt;&gt;"Storage","",IF(_xlfn.XLOOKUP($B186,'ELC TECH'!$H:$H,'ELC TECH'!AN:AN)="",0.8,_xlfn.XLOOKUP($B186,'ELC TECH'!$H:$H,'ELC TECH'!AN:AN)))</f>
        <v>0.8</v>
      </c>
      <c r="V186" s="12">
        <f>IF(_xlfn.XLOOKUP($B186,'ELC TECH'!$H:$H,'ELC TECH'!$E:$E)&lt;&gt;"Storage","",IF(_xlfn.XLOOKUP($B186,'ELC TECH'!$H:$H,'ELC TECH'!AO:AO)="",0.8,_xlfn.XLOOKUP($B186,'ELC TECH'!$H:$H,'ELC TECH'!AO:AO)))</f>
        <v>0.8</v>
      </c>
      <c r="W186" s="12">
        <f>IF(_xlfn.XLOOKUP($B186,'ELC TECH'!$H:$H,'ELC TECH'!$E:$E)&lt;&gt;"Storage","",IF(_xlfn.XLOOKUP($B186,'ELC TECH'!$H:$H,'ELC TECH'!AP:AP)="",0.8,_xlfn.XLOOKUP($B186,'ELC TECH'!$H:$H,'ELC TECH'!AP:AP)))</f>
        <v>0.8</v>
      </c>
      <c r="X186" s="12">
        <f>IF(_xlfn.XLOOKUP($B186,'ELC TECH'!$H:$H,'ELC TECH'!$E:$E)&lt;&gt;"Storage","",IF(_xlfn.XLOOKUP($B186,'ELC TECH'!$H:$H,'ELC TECH'!AQ:AQ)="",0.8,_xlfn.XLOOKUP($B186,'ELC TECH'!$H:$H,'ELC TECH'!AQ:AQ)))</f>
        <v>0.8</v>
      </c>
      <c r="Y186" s="12">
        <f>IF(_xlfn.XLOOKUP($B186,'ELC TECH'!$H:$H,'ELC TECH'!$E:$E)&lt;&gt;"Storage","",IF(_xlfn.XLOOKUP($B186,'ELC TECH'!$H:$H,'ELC TECH'!AR:AR)="",0.8,_xlfn.XLOOKUP($B186,'ELC TECH'!$H:$H,'ELC TECH'!AR:AR)))</f>
        <v>0.8</v>
      </c>
      <c r="Z186" s="15">
        <f>_xlfn.XLOOKUP($B186,'ELC TECH'!$H:$H,'ELC TECH'!M:M)</f>
        <v>1385.437068205433</v>
      </c>
      <c r="AA186" s="15">
        <f>_xlfn.XLOOKUP($B186,'ELC TECH'!$H:$H,'ELC TECH'!N:N)</f>
        <v>1492.137706669683</v>
      </c>
      <c r="AB186" s="15">
        <f>_xlfn.XLOOKUP($B186,'ELC TECH'!$H:$H,'ELC TECH'!O:O)</f>
        <v>1275.561845040213</v>
      </c>
      <c r="AC186" s="15">
        <f>_xlfn.XLOOKUP($B186,'ELC TECH'!$H:$H,'ELC TECH'!P:P)</f>
        <v>1195.839229725193</v>
      </c>
      <c r="AD186" s="15">
        <f>_xlfn.XLOOKUP($B186,'ELC TECH'!$H:$H,'ELC TECH'!Q:Q)</f>
        <v>1116.116614410189</v>
      </c>
      <c r="AE186" s="15">
        <f>_xlfn.XLOOKUP($B186,'ELC TECH'!$H:$H,'ELC TECH'!R:R)</f>
        <v>1036.393999095176</v>
      </c>
      <c r="AF186" s="15">
        <f>_xlfn.XLOOKUP($B186,'ELC TECH'!$H:$H,'ELC TECH'!S:S)</f>
        <v>956.67138378016114</v>
      </c>
      <c r="AG186" s="15">
        <f>_xlfn.XLOOKUP($B186,'ELC TECH'!$H:$H,'ELC TECH'!T:T)</f>
        <v>956.67138378016114</v>
      </c>
      <c r="AH186" s="15">
        <f>_xlfn.XLOOKUP($B186,'ELC TECH'!$H:$H,'ELC TECH'!U:U)</f>
        <v>34.63592670513588</v>
      </c>
      <c r="AI186" s="15">
        <f>_xlfn.XLOOKUP($B186,'ELC TECH'!$H:$H,'ELC TECH'!V:V)</f>
        <v>37.303442666742171</v>
      </c>
      <c r="AJ186" s="15">
        <f>_xlfn.XLOOKUP($B186,'ELC TECH'!$H:$H,'ELC TECH'!W:W)</f>
        <v>31.889046126005329</v>
      </c>
      <c r="AK186" s="15">
        <f>_xlfn.XLOOKUP($B186,'ELC TECH'!$H:$H,'ELC TECH'!X:X)</f>
        <v>29.895980743129989</v>
      </c>
      <c r="AL186" s="15">
        <f>_xlfn.XLOOKUP($B186,'ELC TECH'!$H:$H,'ELC TECH'!Y:Y)</f>
        <v>27.902915360254649</v>
      </c>
      <c r="AM186" s="15">
        <f>_xlfn.XLOOKUP($B186,'ELC TECH'!$H:$H,'ELC TECH'!Z:Z)</f>
        <v>25.909849977379309</v>
      </c>
      <c r="AN186" s="15">
        <f>_xlfn.XLOOKUP($B186,'ELC TECH'!$H:$H,'ELC TECH'!AA:AA)</f>
        <v>23.916784594503969</v>
      </c>
      <c r="AO186" s="15">
        <f>_xlfn.XLOOKUP($B186,'ELC TECH'!$H:$H,'ELC TECH'!AB:AB)</f>
        <v>23.916784594503969</v>
      </c>
      <c r="AP186" s="15">
        <f>_xlfn.XLOOKUP($B186,'ELC TECH'!$H:$H,'ELC TECH'!AC:AC)</f>
        <v>0</v>
      </c>
      <c r="AQ186" s="15">
        <f>_xlfn.XLOOKUP($B186,'ELC TECH'!$H:$H,'ELC TECH'!AD:AD)</f>
        <v>0</v>
      </c>
      <c r="AR186" s="15">
        <f>_xlfn.XLOOKUP($B186,'ELC TECH'!$H:$H,'ELC TECH'!AE:AE)</f>
        <v>0</v>
      </c>
      <c r="AS186" s="15">
        <f>_xlfn.XLOOKUP($B186,'ELC TECH'!$H:$H,'ELC TECH'!AF:AF)</f>
        <v>0</v>
      </c>
      <c r="AT186" s="15">
        <f>_xlfn.XLOOKUP($B186,'ELC TECH'!$H:$H,'ELC TECH'!AG:AG)</f>
        <v>0</v>
      </c>
      <c r="AU186" s="15">
        <f>_xlfn.XLOOKUP($B186,'ELC TECH'!$H:$H,'ELC TECH'!AH:AH)</f>
        <v>0</v>
      </c>
      <c r="AV186" s="15">
        <f>_xlfn.XLOOKUP($B186,'ELC TECH'!$H:$H,'ELC TECH'!AI:AI)</f>
        <v>0</v>
      </c>
      <c r="AW186" s="15">
        <f>_xlfn.XLOOKUP($B186,'ELC TECH'!$H:$H,'ELC TECH'!AJ:AJ)</f>
        <v>0</v>
      </c>
      <c r="AX186" s="12" t="str">
        <f>IF(_xlfn.XLOOKUP($B186,'ELC TECH'!$H:$H,'ELC TECH'!$E:$E)="Storage","",_xlfn.XLOOKUP($B186,'ELC TECH'!$H:$H,'ELC TECH'!AS:AS))</f>
        <v/>
      </c>
      <c r="AY186" s="12" t="str">
        <f>IF(_xlfn.XLOOKUP($B186,'ELC TECH'!$H:$H,'ELC TECH'!$E:$E)="Storage","",_xlfn.XLOOKUP($B186,'ELC TECH'!$H:$H,'ELC TECH'!AT:AT))</f>
        <v/>
      </c>
      <c r="AZ186" s="12" t="str">
        <f>IF(_xlfn.XLOOKUP($B186,'ELC TECH'!$H:$H,'ELC TECH'!$E:$E)="Storage","",_xlfn.XLOOKUP($B186,'ELC TECH'!$H:$H,'ELC TECH'!AU:AU))</f>
        <v/>
      </c>
      <c r="BA186" s="12" t="str">
        <f>IF(_xlfn.XLOOKUP($B186,'ELC TECH'!$H:$H,'ELC TECH'!$E:$E)="Storage","",_xlfn.XLOOKUP($B186,'ELC TECH'!$H:$H,'ELC TECH'!AV:AV))</f>
        <v/>
      </c>
      <c r="BB186" s="12" t="str">
        <f>IF(_xlfn.XLOOKUP($B186,'ELC TECH'!$H:$H,'ELC TECH'!$E:$E)="Storage","",_xlfn.XLOOKUP($B186,'ELC TECH'!$H:$H,'ELC TECH'!AW:AW))</f>
        <v/>
      </c>
      <c r="BC186" s="12" t="str">
        <f>IF(_xlfn.XLOOKUP($B186,'ELC TECH'!$H:$H,'ELC TECH'!$E:$E)="Storage","",_xlfn.XLOOKUP($B186,'ELC TECH'!$H:$H,'ELC TECH'!AX:AX))</f>
        <v/>
      </c>
      <c r="BD186" s="12" t="str">
        <f>IF(_xlfn.XLOOKUP($B186,'ELC TECH'!$H:$H,'ELC TECH'!$E:$E)="Storage","",_xlfn.XLOOKUP($B186,'ELC TECH'!$H:$H,'ELC TECH'!AY:AY))</f>
        <v/>
      </c>
      <c r="BE186" s="12" t="str">
        <f>IF(_xlfn.XLOOKUP($B186,'ELC TECH'!$H:$H,'ELC TECH'!$E:$E)="Storage","",_xlfn.XLOOKUP($B186,'ELC TECH'!$H:$H,'ELC TECH'!AZ:AZ))</f>
        <v/>
      </c>
      <c r="BF186" s="12">
        <f>IF(_xlfn.XLOOKUP($B186,'ELC TECH'!$H:$H,'ELC TECH'!$E:$E)="Storage",_xlfn.XLOOKUP($B186,'ELC TECH'!$H:$H,'ELC TECH'!AS:AS),"")</f>
        <v>4.1666666666666657E-2</v>
      </c>
      <c r="BG186" s="12">
        <f>IF(_xlfn.XLOOKUP($B186,'ELC TECH'!$H:$H,'ELC TECH'!$E:$E)="Storage",_xlfn.XLOOKUP($B186,'ELC TECH'!$H:$H,'ELC TECH'!AT:AT),"")</f>
        <v>4.1666666666666657E-2</v>
      </c>
      <c r="BH186" s="12">
        <f>IF(_xlfn.XLOOKUP($B186,'ELC TECH'!$H:$H,'ELC TECH'!$E:$E)="Storage",_xlfn.XLOOKUP($B186,'ELC TECH'!$H:$H,'ELC TECH'!AU:AU),"")</f>
        <v>4.1666666666666657E-2</v>
      </c>
      <c r="BI186" s="12">
        <f>IF(_xlfn.XLOOKUP($B186,'ELC TECH'!$H:$H,'ELC TECH'!$E:$E)="Storage",_xlfn.XLOOKUP($B186,'ELC TECH'!$H:$H,'ELC TECH'!AV:AV),"")</f>
        <v>4.1666666666666657E-2</v>
      </c>
      <c r="BJ186" s="12">
        <f>IF(_xlfn.XLOOKUP($B186,'ELC TECH'!$H:$H,'ELC TECH'!$E:$E)="Storage",_xlfn.XLOOKUP($B186,'ELC TECH'!$H:$H,'ELC TECH'!AW:AW),"")</f>
        <v>4.1666666666666657E-2</v>
      </c>
      <c r="BK186" s="12">
        <f>IF(_xlfn.XLOOKUP($B186,'ELC TECH'!$H:$H,'ELC TECH'!$E:$E)="Storage",_xlfn.XLOOKUP($B186,'ELC TECH'!$H:$H,'ELC TECH'!AX:AX),"")</f>
        <v>4.1666666666666657E-2</v>
      </c>
      <c r="BL186" s="12">
        <f>IF(_xlfn.XLOOKUP($B186,'ELC TECH'!$H:$H,'ELC TECH'!$E:$E)="Storage",_xlfn.XLOOKUP($B186,'ELC TECH'!$H:$H,'ELC TECH'!AY:AY),"")</f>
        <v>4.1666666666666657E-2</v>
      </c>
      <c r="BM186" s="12">
        <f>IF(_xlfn.XLOOKUP($B186,'ELC TECH'!$H:$H,'ELC TECH'!$E:$E)="Storage",_xlfn.XLOOKUP($B186,'ELC TECH'!$H:$H,'ELC TECH'!AZ:AZ),"")</f>
        <v>4.1666666666666657E-2</v>
      </c>
      <c r="BN186" s="8" t="str">
        <f>IF(_xlfn.XLOOKUP($B186,'ELC TECH'!$H:$H,'ELC TECH'!$E:$E)="Non Dispatchable",IFERROR($AX186*_xlfn.XLOOKUP($C186,$BM$1:$BM$3,BN$1:BN$3)/SUMPRODUCT(_xlfn.XLOOKUP($C186,$BM$1:$BM$3,$BN$1:$BY$3),$BN$4:$BY$4),""),
"")</f>
        <v/>
      </c>
      <c r="BO186" s="8" t="str">
        <f>IF(_xlfn.XLOOKUP($B186,'ELC TECH'!$H:$H,'ELC TECH'!$E:$E)="Non Dispatchable",IFERROR($AX186*_xlfn.XLOOKUP($C186,$BM$1:$BM$3,BO$1:BO$3)/SUMPRODUCT(_xlfn.XLOOKUP($C186,$BM$1:$BM$3,$BN$1:$BY$3),$BN$4:$BY$4),""),
"")</f>
        <v/>
      </c>
      <c r="BP186" s="8" t="str">
        <f>IF(_xlfn.XLOOKUP($B186,'ELC TECH'!$H:$H,'ELC TECH'!$E:$E)="Non Dispatchable",IFERROR($AX186*_xlfn.XLOOKUP($C186,$BM$1:$BM$3,BP$1:BP$3)/SUMPRODUCT(_xlfn.XLOOKUP($C186,$BM$1:$BM$3,$BN$1:$BY$3),$BN$4:$BY$4),""),
"")</f>
        <v/>
      </c>
      <c r="BQ186" s="8" t="str">
        <f>IF(_xlfn.XLOOKUP($B186,'ELC TECH'!$H:$H,'ELC TECH'!$E:$E)="Non Dispatchable",IFERROR($AX186*_xlfn.XLOOKUP($C186,$BM$1:$BM$3,BQ$1:BQ$3)/SUMPRODUCT(_xlfn.XLOOKUP($C186,$BM$1:$BM$3,$BN$1:$BY$3),$BN$4:$BY$4),""),
"")</f>
        <v/>
      </c>
      <c r="BR186" s="8" t="str">
        <f>IF(_xlfn.XLOOKUP($B186,'ELC TECH'!$H:$H,'ELC TECH'!$E:$E)="Non Dispatchable",IFERROR($AX186*_xlfn.XLOOKUP($C186,$BM$1:$BM$3,BR$1:BR$3)/SUMPRODUCT(_xlfn.XLOOKUP($C186,$BM$1:$BM$3,$BN$1:$BY$3),$BN$4:$BY$4),""),
"")</f>
        <v/>
      </c>
      <c r="BS186" s="8" t="str">
        <f>IF(_xlfn.XLOOKUP($B186,'ELC TECH'!$H:$H,'ELC TECH'!$E:$E)="Non Dispatchable",IFERROR($AX186*_xlfn.XLOOKUP($C186,$BM$1:$BM$3,BS$1:BS$3)/SUMPRODUCT(_xlfn.XLOOKUP($C186,$BM$1:$BM$3,$BN$1:$BY$3),$BN$4:$BY$4),""),
"")</f>
        <v/>
      </c>
      <c r="BT186" s="8" t="str">
        <f>IF(_xlfn.XLOOKUP($B186,'ELC TECH'!$H:$H,'ELC TECH'!$E:$E)="Non Dispatchable",IFERROR($AX186*_xlfn.XLOOKUP($C186,$BM$1:$BM$3,BT$1:BT$3)/SUMPRODUCT(_xlfn.XLOOKUP($C186,$BM$1:$BM$3,$BN$1:$BY$3),$BN$4:$BY$4),""),
"")</f>
        <v/>
      </c>
      <c r="BU186" s="8" t="str">
        <f>IF(_xlfn.XLOOKUP($B186,'ELC TECH'!$H:$H,'ELC TECH'!$E:$E)="Non Dispatchable",IFERROR($AX186*_xlfn.XLOOKUP($C186,$BM$1:$BM$3,BU$1:BU$3)/SUMPRODUCT(_xlfn.XLOOKUP($C186,$BM$1:$BM$3,$BN$1:$BY$3),$BN$4:$BY$4),""),
"")</f>
        <v/>
      </c>
      <c r="BV186" s="8" t="str">
        <f>IF(_xlfn.XLOOKUP($B186,'ELC TECH'!$H:$H,'ELC TECH'!$E:$E)="Non Dispatchable",IFERROR($AX186*_xlfn.XLOOKUP($C186,$BM$1:$BM$3,BV$1:BV$3)/SUMPRODUCT(_xlfn.XLOOKUP($C186,$BM$1:$BM$3,$BN$1:$BY$3),$BN$4:$BY$4),""),
"")</f>
        <v/>
      </c>
      <c r="BW186" s="8" t="str">
        <f>IF(_xlfn.XLOOKUP($B186,'ELC TECH'!$H:$H,'ELC TECH'!$E:$E)="Non Dispatchable",IFERROR($AX186*_xlfn.XLOOKUP($C186,$BM$1:$BM$3,BW$1:BW$3)/SUMPRODUCT(_xlfn.XLOOKUP($C186,$BM$1:$BM$3,$BN$1:$BY$3),$BN$4:$BY$4),""),
"")</f>
        <v/>
      </c>
      <c r="BX186" s="8" t="str">
        <f>IF(_xlfn.XLOOKUP($B186,'ELC TECH'!$H:$H,'ELC TECH'!$E:$E)="Non Dispatchable",IFERROR($AX186*_xlfn.XLOOKUP($C186,$BM$1:$BM$3,BX$1:BX$3)/SUMPRODUCT(_xlfn.XLOOKUP($C186,$BM$1:$BM$3,$BN$1:$BY$3),$BN$4:$BY$4),""),
"")</f>
        <v/>
      </c>
      <c r="BY186" s="8" t="str">
        <f>IF(_xlfn.XLOOKUP($B186,'ELC TECH'!$H:$H,'ELC TECH'!$E:$E)="Non Dispatchable",IFERROR($AX186*_xlfn.XLOOKUP($C186,$BM$1:$BM$3,BY$1:BY$3)/SUMPRODUCT(_xlfn.XLOOKUP($C186,$BM$1:$BM$3,$BN$1:$BY$3),$BN$4:$BY$4),""),
"")</f>
        <v/>
      </c>
      <c r="BZ186" s="8" t="str">
        <f>IF(_xlfn.XLOOKUP($B186,'ELC TECH'!$H:$H,'ELC TECH'!$E:$E)="Non Dispatchable",IFERROR($AX186*_xlfn.XLOOKUP($C186,$BM$1:$BM$3,BZ$1:BZ$3)/SUMPRODUCT(_xlfn.XLOOKUP($C186,$BM$1:$BM$3,$BN$1:$BY$3),$BN$4:$BY$4),""),
"")</f>
        <v/>
      </c>
      <c r="CA186" s="8" t="str">
        <f>IF(_xlfn.XLOOKUP($B186,'ELC TECH'!$H:$H,'ELC TECH'!$E:$E)="Non Dispatchable",IFERROR($AX186*_xlfn.XLOOKUP($C186,$BM$1:$BM$3,CA$1:CA$3)/SUMPRODUCT(_xlfn.XLOOKUP($C186,$BM$1:$BM$3,$BN$1:$BY$3),$BN$4:$BY$4),""),
"")</f>
        <v/>
      </c>
      <c r="CB186" s="8" t="str">
        <f>IF(_xlfn.XLOOKUP($B186,'ELC TECH'!$H:$H,'ELC TECH'!$E:$E)="Non Dispatchable",IFERROR($AX186*_xlfn.XLOOKUP($C186,$BM$1:$BM$3,CB$1:CB$3)/SUMPRODUCT(_xlfn.XLOOKUP($C186,$BM$1:$BM$3,$BN$1:$BY$3),$BN$4:$BY$4),""),
"")</f>
        <v/>
      </c>
      <c r="CC186" s="8" t="str">
        <f>IF(_xlfn.XLOOKUP($B186,'ELC TECH'!$H:$H,'ELC TECH'!$E:$E)="Non Dispatchable",IFERROR($AX186*_xlfn.XLOOKUP($C186,$BM$1:$BM$3,CC$1:CC$3)/SUMPRODUCT(_xlfn.XLOOKUP($C186,$BM$1:$BM$3,$BN$1:$BY$3),$BN$4:$BY$4),""),
"")</f>
        <v/>
      </c>
      <c r="CD186" s="8" t="str">
        <f>IF(_xlfn.XLOOKUP($B186,'ELC TECH'!$H:$H,'ELC TECH'!$E:$E)="Non Dispatchable",IFERROR($AX186*_xlfn.XLOOKUP($C186,$BM$1:$BM$3,CD$1:CD$3)/SUMPRODUCT(_xlfn.XLOOKUP($C186,$BM$1:$BM$3,$BN$1:$BY$3),$BN$4:$BY$4),""),
"")</f>
        <v/>
      </c>
      <c r="CE186" s="8" t="str">
        <f>IF(_xlfn.XLOOKUP($B186,'ELC TECH'!$H:$H,'ELC TECH'!$E:$E)="Non Dispatchable",IFERROR($AX186*_xlfn.XLOOKUP($C186,$BM$1:$BM$3,CE$1:CE$3)/SUMPRODUCT(_xlfn.XLOOKUP($C186,$BM$1:$BM$3,$BN$1:$BY$3),$BN$4:$BY$4),""),
"")</f>
        <v/>
      </c>
      <c r="CF186" s="8" t="str">
        <f>IF(_xlfn.XLOOKUP($B186,'ELC TECH'!$H:$H,'ELC TECH'!$E:$E)="Non Dispatchable",IFERROR($AX186*_xlfn.XLOOKUP($C186,$BM$1:$BM$3,CF$1:CF$3)/SUMPRODUCT(_xlfn.XLOOKUP($C186,$BM$1:$BM$3,$BN$1:$BY$3),$BN$4:$BY$4),""),
"")</f>
        <v/>
      </c>
      <c r="CG186" s="8" t="str">
        <f>IF(_xlfn.XLOOKUP($B186,'ELC TECH'!$H:$H,'ELC TECH'!$E:$E)="Non Dispatchable",IFERROR($AX186*_xlfn.XLOOKUP($C186,$BM$1:$BM$3,CG$1:CG$3)/SUMPRODUCT(_xlfn.XLOOKUP($C186,$BM$1:$BM$3,$BN$1:$BY$3),$BN$4:$BY$4),""),
"")</f>
        <v/>
      </c>
      <c r="CH186" s="8" t="str">
        <f>IF(_xlfn.XLOOKUP($B186,'ELC TECH'!$H:$H,'ELC TECH'!$E:$E)="Non Dispatchable",IFERROR($AX186*_xlfn.XLOOKUP($C186,$BM$1:$BM$3,CH$1:CH$3)/SUMPRODUCT(_xlfn.XLOOKUP($C186,$BM$1:$BM$3,$BN$1:$BY$3),$BN$4:$BY$4),""),
"")</f>
        <v/>
      </c>
      <c r="CI186" s="8" t="str">
        <f>IF(_xlfn.XLOOKUP($B186,'ELC TECH'!$H:$H,'ELC TECH'!$E:$E)="Non Dispatchable",IFERROR($AX186*_xlfn.XLOOKUP($C186,$BM$1:$BM$3,CI$1:CI$3)/SUMPRODUCT(_xlfn.XLOOKUP($C186,$BM$1:$BM$3,$BN$1:$BY$3),$BN$4:$BY$4),""),
"")</f>
        <v/>
      </c>
      <c r="CJ186" s="8" t="str">
        <f>IF(_xlfn.XLOOKUP($B186,'ELC TECH'!$H:$H,'ELC TECH'!$E:$E)="Non Dispatchable",IFERROR($AX186*_xlfn.XLOOKUP($C186,$BM$1:$BM$3,CJ$1:CJ$3)/SUMPRODUCT(_xlfn.XLOOKUP($C186,$BM$1:$BM$3,$BN$1:$BY$3),$BN$4:$BY$4),""),
"")</f>
        <v/>
      </c>
      <c r="CK186" s="8" t="str">
        <f>IF(_xlfn.XLOOKUP($B186,'ELC TECH'!$H:$H,'ELC TECH'!$E:$E)="Non Dispatchable",IFERROR($AX186*_xlfn.XLOOKUP($C186,$BM$1:$BM$3,CK$1:CK$3)/SUMPRODUCT(_xlfn.XLOOKUP($C186,$BM$1:$BM$3,$BN$1:$BY$3),$BN$4:$BY$4),""),
"")</f>
        <v/>
      </c>
      <c r="CL186" s="8">
        <f>IF(_xlfn.XLOOKUP($B186,'ELC TECH'!$H:$H,'ELC TECH'!$E:$E)="Storage",CL$4*$BF186,"")</f>
        <v>3.4249999999999992E-3</v>
      </c>
      <c r="CM186" s="8">
        <f>IF(_xlfn.XLOOKUP($B186,'ELC TECH'!$H:$H,'ELC TECH'!$E:$E)="Storage",CM$4*$BF186,"")</f>
        <v>3.9874999999999989E-3</v>
      </c>
      <c r="CN186" s="8">
        <f>IF(_xlfn.XLOOKUP($B186,'ELC TECH'!$H:$H,'ELC TECH'!$E:$E)="Storage",CN$4*$BF186,"")</f>
        <v>6.383333333333332E-3</v>
      </c>
      <c r="CO186" s="8">
        <f>IF(_xlfn.XLOOKUP($B186,'ELC TECH'!$H:$H,'ELC TECH'!$E:$E)="Storage",CO$4*$BF186,"")</f>
        <v>1.3333333333333331E-4</v>
      </c>
      <c r="CP186" s="8">
        <f>IF(_xlfn.XLOOKUP($B186,'ELC TECH'!$H:$H,'ELC TECH'!$E:$E)="Storage",CP$4*$BF186,"")</f>
        <v>3.3958333333333327E-3</v>
      </c>
      <c r="CQ186" s="8">
        <f>IF(_xlfn.XLOOKUP($B186,'ELC TECH'!$H:$H,'ELC TECH'!$E:$E)="Storage",CQ$4*$BF186,"")</f>
        <v>4.5291666666666657E-3</v>
      </c>
      <c r="CR186" s="8">
        <f>IF(_xlfn.XLOOKUP($B186,'ELC TECH'!$H:$H,'ELC TECH'!$E:$E)="Storage",CR$4*$BF186,"")</f>
        <v>5.7541666666666652E-3</v>
      </c>
      <c r="CS186" s="8">
        <f>IF(_xlfn.XLOOKUP($B186,'ELC TECH'!$H:$H,'ELC TECH'!$E:$E)="Storage",CS$4*$BF186,"")</f>
        <v>1.3333333333333331E-4</v>
      </c>
      <c r="CT186" s="8">
        <f>IF(_xlfn.XLOOKUP($B186,'ELC TECH'!$H:$H,'ELC TECH'!$E:$E)="Storage",CT$4*$BF186,"")</f>
        <v>4.0624999999999993E-3</v>
      </c>
      <c r="CU186" s="8">
        <f>IF(_xlfn.XLOOKUP($B186,'ELC TECH'!$H:$H,'ELC TECH'!$E:$E)="Storage",CU$4*$BF186,"")</f>
        <v>4.5291666666666657E-3</v>
      </c>
      <c r="CV186" s="8">
        <f>IF(_xlfn.XLOOKUP($B186,'ELC TECH'!$H:$H,'ELC TECH'!$E:$E)="Storage",CV$4*$BF186,"")</f>
        <v>5.2208333333333317E-3</v>
      </c>
      <c r="CW186" s="8">
        <f>IF(_xlfn.XLOOKUP($B186,'ELC TECH'!$H:$H,'ELC TECH'!$E:$E)="Storage",CW$4*$BF186,"")</f>
        <v>1.1249999999999998E-4</v>
      </c>
      <c r="CX186" s="8">
        <f>IF(_xlfn.XLOOKUP($B186,'ELC TECH'!$H:$H,'ELC TECH'!$E:$E)="Storage",CX$4*$BF186,"")</f>
        <v>3.4249999999999992E-3</v>
      </c>
      <c r="CY186" s="8">
        <f>IF(_xlfn.XLOOKUP($B186,'ELC TECH'!$H:$H,'ELC TECH'!$E:$E)="Storage",CY$4*$BF186,"")</f>
        <v>3.9874999999999989E-3</v>
      </c>
      <c r="CZ186" s="8">
        <f>IF(_xlfn.XLOOKUP($B186,'ELC TECH'!$H:$H,'ELC TECH'!$E:$E)="Storage",CZ$4*$BF186,"")</f>
        <v>6.383333333333332E-3</v>
      </c>
      <c r="DA186" s="8">
        <f>IF(_xlfn.XLOOKUP($B186,'ELC TECH'!$H:$H,'ELC TECH'!$E:$E)="Storage",DA$4*$BF186,"")</f>
        <v>1.3333333333333331E-4</v>
      </c>
      <c r="DB186" s="8">
        <f>IF(_xlfn.XLOOKUP($B186,'ELC TECH'!$H:$H,'ELC TECH'!$E:$E)="Storage",DB$4*$BF186,"")</f>
        <v>3.3958333333333327E-3</v>
      </c>
      <c r="DC186" s="8">
        <f>IF(_xlfn.XLOOKUP($B186,'ELC TECH'!$H:$H,'ELC TECH'!$E:$E)="Storage",DC$4*$BF186,"")</f>
        <v>4.5291666666666657E-3</v>
      </c>
      <c r="DD186" s="8">
        <f>IF(_xlfn.XLOOKUP($B186,'ELC TECH'!$H:$H,'ELC TECH'!$E:$E)="Storage",DD$4*$BF186,"")</f>
        <v>5.7541666666666652E-3</v>
      </c>
      <c r="DE186" s="8">
        <f>IF(_xlfn.XLOOKUP($B186,'ELC TECH'!$H:$H,'ELC TECH'!$E:$E)="Storage",DE$4*$BF186,"")</f>
        <v>1.3333333333333331E-4</v>
      </c>
      <c r="DF186" s="8">
        <f>IF(_xlfn.XLOOKUP($B186,'ELC TECH'!$H:$H,'ELC TECH'!$E:$E)="Storage",DF$4*$BF186,"")</f>
        <v>4.0624999999999993E-3</v>
      </c>
      <c r="DG186" s="8">
        <f>IF(_xlfn.XLOOKUP($B186,'ELC TECH'!$H:$H,'ELC TECH'!$E:$E)="Storage",DG$4*$BF186,"")</f>
        <v>4.5291666666666657E-3</v>
      </c>
      <c r="DH186" s="8">
        <f>IF(_xlfn.XLOOKUP($B186,'ELC TECH'!$H:$H,'ELC TECH'!$E:$E)="Storage",DH$4*$BF186,"")</f>
        <v>5.2208333333333317E-3</v>
      </c>
      <c r="DI186" s="8">
        <f>IF(_xlfn.XLOOKUP($B186,'ELC TECH'!$H:$H,'ELC TECH'!$E:$E)="Storage",DI$4*$BF186,"")</f>
        <v>1.1249999999999998E-4</v>
      </c>
    </row>
    <row r="187" spans="2:113" x14ac:dyDescent="0.25">
      <c r="B187" t="str">
        <f>IF('ELC TECH'!I180=0,"*",'ELC TECH'!H180)</f>
        <v>ELCSTGDCECBES2H20</v>
      </c>
      <c r="C187" t="str">
        <f>IF(_xlfn.XLOOKUP(_xlfn.XLOOKUP(B187,'ELC TECH'!$H:$H,'ELC TECH'!$G:$G),List!C:C,List!B:B)="STG",D187,"ELC"&amp;_xlfn.XLOOKUP(_xlfn.XLOOKUP(B187,'ELC TECH'!H:H,'ELC TECH'!G:G),List!C:C,List!B:B))</f>
        <v>COMELC</v>
      </c>
      <c r="D187" t="s">
        <v>546</v>
      </c>
      <c r="E187">
        <f>_xlfn.XLOOKUP(B187,'ELC TECH'!H:H,'ELC TECH'!D:D)</f>
        <v>2020</v>
      </c>
      <c r="F187">
        <f>_xlfn.XLOOKUP(B187,'ELC TECH'!H:H,'ELC TECH'!K:K)</f>
        <v>15</v>
      </c>
      <c r="G187">
        <f t="shared" si="9"/>
        <v>31.535999999999998</v>
      </c>
      <c r="H187">
        <f>IF(_xlfn.XLOOKUP(B187,'ELC TECH'!$H:$H,'ELC TECH'!$E:$E)="Storage",0.3,IF(_xlfn.XLOOKUP(B187,'ELC TECH'!$H:$H,'ELC TECH'!$E:$E)="Baseload",0.9,IF(_xlfn.XLOOKUP(B187,'ELC TECH'!$H:$H,'ELC TECH'!$E:$E)="Non Dispatchable",0.05,IF(_xlfn.XLOOKUP(B187,'ELC TECH'!$H:$H,'ELC TECH'!$E:$E)="Dispatchable",0.9,1))))</f>
        <v>0.3</v>
      </c>
      <c r="I187" s="13" t="str">
        <f>IF(_xlfn.XLOOKUP(B187,'ELC TECH'!H:H,'ELC TECH'!J:J)="","",_xlfn.XLOOKUP(B187,'ELC TECH'!H:H,'ELC TECH'!J:J))</f>
        <v/>
      </c>
      <c r="J187" s="12" t="str">
        <f>IF(_xlfn.XLOOKUP($B187,'ELC TECH'!$H:$H,'ELC TECH'!$E:$E)="Storage","",IF(_xlfn.XLOOKUP($B187,'ELC TECH'!$H:$H,'ELC TECH'!AK:AK)="",1,_xlfn.XLOOKUP($B187,'ELC TECH'!$H:$H,'ELC TECH'!AK:AK)))</f>
        <v/>
      </c>
      <c r="K187" s="12" t="str">
        <f>IF(_xlfn.XLOOKUP($B187,'ELC TECH'!$H:$H,'ELC TECH'!$E:$E)="Storage","",IF(_xlfn.XLOOKUP($B187,'ELC TECH'!$H:$H,'ELC TECH'!AL:AL)="",1,_xlfn.XLOOKUP($B187,'ELC TECH'!$H:$H,'ELC TECH'!AL:AL)))</f>
        <v/>
      </c>
      <c r="L187" s="12" t="str">
        <f>IF(_xlfn.XLOOKUP($B187,'ELC TECH'!$H:$H,'ELC TECH'!$E:$E)="Storage","",IF(_xlfn.XLOOKUP($B187,'ELC TECH'!$H:$H,'ELC TECH'!AM:AM)="",1,_xlfn.XLOOKUP($B187,'ELC TECH'!$H:$H,'ELC TECH'!AM:AM)))</f>
        <v/>
      </c>
      <c r="M187" s="12" t="str">
        <f>IF(_xlfn.XLOOKUP($B187,'ELC TECH'!$H:$H,'ELC TECH'!$E:$E)="Storage","",IF(_xlfn.XLOOKUP($B187,'ELC TECH'!$H:$H,'ELC TECH'!AN:AN)="",1,_xlfn.XLOOKUP($B187,'ELC TECH'!$H:$H,'ELC TECH'!AN:AN)))</f>
        <v/>
      </c>
      <c r="N187" s="12" t="str">
        <f>IF(_xlfn.XLOOKUP($B187,'ELC TECH'!$H:$H,'ELC TECH'!$E:$E)="Storage","",IF(_xlfn.XLOOKUP($B187,'ELC TECH'!$H:$H,'ELC TECH'!AO:AO)="",1,_xlfn.XLOOKUP($B187,'ELC TECH'!$H:$H,'ELC TECH'!AO:AO)))</f>
        <v/>
      </c>
      <c r="O187" s="12" t="str">
        <f>IF(_xlfn.XLOOKUP($B187,'ELC TECH'!$H:$H,'ELC TECH'!$E:$E)="Storage","",IF(_xlfn.XLOOKUP($B187,'ELC TECH'!$H:$H,'ELC TECH'!AP:AP)="",1,_xlfn.XLOOKUP($B187,'ELC TECH'!$H:$H,'ELC TECH'!AP:AP)))</f>
        <v/>
      </c>
      <c r="P187" s="12" t="str">
        <f>IF(_xlfn.XLOOKUP($B187,'ELC TECH'!$H:$H,'ELC TECH'!$E:$E)="Storage","",IF(_xlfn.XLOOKUP($B187,'ELC TECH'!$H:$H,'ELC TECH'!AQ:AQ)="",1,_xlfn.XLOOKUP($B187,'ELC TECH'!$H:$H,'ELC TECH'!AQ:AQ)))</f>
        <v/>
      </c>
      <c r="Q187" s="12" t="str">
        <f>IF(_xlfn.XLOOKUP($B187,'ELC TECH'!$H:$H,'ELC TECH'!$E:$E)="Storage","",IF(_xlfn.XLOOKUP($B187,'ELC TECH'!$H:$H,'ELC TECH'!AR:AR)="",1,_xlfn.XLOOKUP($B187,'ELC TECH'!$H:$H,'ELC TECH'!AR:AR)))</f>
        <v/>
      </c>
      <c r="R187" s="12">
        <f>IF(_xlfn.XLOOKUP($B187,'ELC TECH'!$H:$H,'ELC TECH'!$E:$E)&lt;&gt;"Storage","",IF(_xlfn.XLOOKUP($B187,'ELC TECH'!$H:$H,'ELC TECH'!AK:AK)="",0.8,_xlfn.XLOOKUP($B187,'ELC TECH'!$H:$H,'ELC TECH'!AK:AK)))</f>
        <v>0.8</v>
      </c>
      <c r="S187" s="12">
        <f>IF(_xlfn.XLOOKUP($B187,'ELC TECH'!$H:$H,'ELC TECH'!$E:$E)&lt;&gt;"Storage","",IF(_xlfn.XLOOKUP($B187,'ELC TECH'!$H:$H,'ELC TECH'!AL:AL)="",0.8,_xlfn.XLOOKUP($B187,'ELC TECH'!$H:$H,'ELC TECH'!AL:AL)))</f>
        <v>0.8</v>
      </c>
      <c r="T187" s="12">
        <f>IF(_xlfn.XLOOKUP($B187,'ELC TECH'!$H:$H,'ELC TECH'!$E:$E)&lt;&gt;"Storage","",IF(_xlfn.XLOOKUP($B187,'ELC TECH'!$H:$H,'ELC TECH'!AM:AM)="",0.8,_xlfn.XLOOKUP($B187,'ELC TECH'!$H:$H,'ELC TECH'!AM:AM)))</f>
        <v>0.8</v>
      </c>
      <c r="U187" s="12">
        <f>IF(_xlfn.XLOOKUP($B187,'ELC TECH'!$H:$H,'ELC TECH'!$E:$E)&lt;&gt;"Storage","",IF(_xlfn.XLOOKUP($B187,'ELC TECH'!$H:$H,'ELC TECH'!AN:AN)="",0.8,_xlfn.XLOOKUP($B187,'ELC TECH'!$H:$H,'ELC TECH'!AN:AN)))</f>
        <v>0.8</v>
      </c>
      <c r="V187" s="12">
        <f>IF(_xlfn.XLOOKUP($B187,'ELC TECH'!$H:$H,'ELC TECH'!$E:$E)&lt;&gt;"Storage","",IF(_xlfn.XLOOKUP($B187,'ELC TECH'!$H:$H,'ELC TECH'!AO:AO)="",0.8,_xlfn.XLOOKUP($B187,'ELC TECH'!$H:$H,'ELC TECH'!AO:AO)))</f>
        <v>0.8</v>
      </c>
      <c r="W187" s="12">
        <f>IF(_xlfn.XLOOKUP($B187,'ELC TECH'!$H:$H,'ELC TECH'!$E:$E)&lt;&gt;"Storage","",IF(_xlfn.XLOOKUP($B187,'ELC TECH'!$H:$H,'ELC TECH'!AP:AP)="",0.8,_xlfn.XLOOKUP($B187,'ELC TECH'!$H:$H,'ELC TECH'!AP:AP)))</f>
        <v>0.8</v>
      </c>
      <c r="X187" s="12">
        <f>IF(_xlfn.XLOOKUP($B187,'ELC TECH'!$H:$H,'ELC TECH'!$E:$E)&lt;&gt;"Storage","",IF(_xlfn.XLOOKUP($B187,'ELC TECH'!$H:$H,'ELC TECH'!AQ:AQ)="",0.8,_xlfn.XLOOKUP($B187,'ELC TECH'!$H:$H,'ELC TECH'!AQ:AQ)))</f>
        <v>0.8</v>
      </c>
      <c r="Y187" s="12">
        <f>IF(_xlfn.XLOOKUP($B187,'ELC TECH'!$H:$H,'ELC TECH'!$E:$E)&lt;&gt;"Storage","",IF(_xlfn.XLOOKUP($B187,'ELC TECH'!$H:$H,'ELC TECH'!AR:AR)="",0.8,_xlfn.XLOOKUP($B187,'ELC TECH'!$H:$H,'ELC TECH'!AR:AR)))</f>
        <v>0.8</v>
      </c>
      <c r="Z187" s="15">
        <f>_xlfn.XLOOKUP($B187,'ELC TECH'!$H:$H,'ELC TECH'!M:M)</f>
        <v>1650.7407533790711</v>
      </c>
      <c r="AA187" s="15">
        <f>_xlfn.XLOOKUP($B187,'ELC TECH'!$H:$H,'ELC TECH'!N:N)</f>
        <v>1728.1483448538529</v>
      </c>
      <c r="AB187" s="15">
        <f>_xlfn.XLOOKUP($B187,'ELC TECH'!$H:$H,'ELC TECH'!O:O)</f>
        <v>1457.1875963427051</v>
      </c>
      <c r="AC187" s="15">
        <f>_xlfn.XLOOKUP($B187,'ELC TECH'!$H:$H,'ELC TECH'!P:P)</f>
        <v>1366.113371571279</v>
      </c>
      <c r="AD187" s="15">
        <f>_xlfn.XLOOKUP($B187,'ELC TECH'!$H:$H,'ELC TECH'!Q:Q)</f>
        <v>1275.039146799865</v>
      </c>
      <c r="AE187" s="15">
        <f>_xlfn.XLOOKUP($B187,'ELC TECH'!$H:$H,'ELC TECH'!R:R)</f>
        <v>1183.9649220284509</v>
      </c>
      <c r="AF187" s="15">
        <f>_xlfn.XLOOKUP($B187,'ELC TECH'!$H:$H,'ELC TECH'!S:S)</f>
        <v>1092.890697257033</v>
      </c>
      <c r="AG187" s="15">
        <f>_xlfn.XLOOKUP($B187,'ELC TECH'!$H:$H,'ELC TECH'!T:T)</f>
        <v>1092.890697257033</v>
      </c>
      <c r="AH187" s="15">
        <f>_xlfn.XLOOKUP($B187,'ELC TECH'!$H:$H,'ELC TECH'!U:U)</f>
        <v>41.268518834477</v>
      </c>
      <c r="AI187" s="15">
        <f>_xlfn.XLOOKUP($B187,'ELC TECH'!$H:$H,'ELC TECH'!V:V)</f>
        <v>43.20370862134655</v>
      </c>
      <c r="AJ187" s="15">
        <f>_xlfn.XLOOKUP($B187,'ELC TECH'!$H:$H,'ELC TECH'!W:W)</f>
        <v>36.429689908567681</v>
      </c>
      <c r="AK187" s="15">
        <f>_xlfn.XLOOKUP($B187,'ELC TECH'!$H:$H,'ELC TECH'!X:X)</f>
        <v>34.152834289282211</v>
      </c>
      <c r="AL187" s="15">
        <f>_xlfn.XLOOKUP($B187,'ELC TECH'!$H:$H,'ELC TECH'!Y:Y)</f>
        <v>31.875978669996751</v>
      </c>
      <c r="AM187" s="15">
        <f>_xlfn.XLOOKUP($B187,'ELC TECH'!$H:$H,'ELC TECH'!Z:Z)</f>
        <v>29.599123050711281</v>
      </c>
      <c r="AN187" s="15">
        <f>_xlfn.XLOOKUP($B187,'ELC TECH'!$H:$H,'ELC TECH'!AA:AA)</f>
        <v>27.322267431425811</v>
      </c>
      <c r="AO187" s="15">
        <f>_xlfn.XLOOKUP($B187,'ELC TECH'!$H:$H,'ELC TECH'!AB:AB)</f>
        <v>27.322267431425811</v>
      </c>
      <c r="AP187" s="15">
        <f>_xlfn.XLOOKUP($B187,'ELC TECH'!$H:$H,'ELC TECH'!AC:AC)</f>
        <v>0</v>
      </c>
      <c r="AQ187" s="15">
        <f>_xlfn.XLOOKUP($B187,'ELC TECH'!$H:$H,'ELC TECH'!AD:AD)</f>
        <v>0</v>
      </c>
      <c r="AR187" s="15">
        <f>_xlfn.XLOOKUP($B187,'ELC TECH'!$H:$H,'ELC TECH'!AE:AE)</f>
        <v>0</v>
      </c>
      <c r="AS187" s="15">
        <f>_xlfn.XLOOKUP($B187,'ELC TECH'!$H:$H,'ELC TECH'!AF:AF)</f>
        <v>0</v>
      </c>
      <c r="AT187" s="15">
        <f>_xlfn.XLOOKUP($B187,'ELC TECH'!$H:$H,'ELC TECH'!AG:AG)</f>
        <v>0</v>
      </c>
      <c r="AU187" s="15">
        <f>_xlfn.XLOOKUP($B187,'ELC TECH'!$H:$H,'ELC TECH'!AH:AH)</f>
        <v>0</v>
      </c>
      <c r="AV187" s="15">
        <f>_xlfn.XLOOKUP($B187,'ELC TECH'!$H:$H,'ELC TECH'!AI:AI)</f>
        <v>0</v>
      </c>
      <c r="AW187" s="15">
        <f>_xlfn.XLOOKUP($B187,'ELC TECH'!$H:$H,'ELC TECH'!AJ:AJ)</f>
        <v>0</v>
      </c>
      <c r="AX187" s="12" t="str">
        <f>IF(_xlfn.XLOOKUP($B187,'ELC TECH'!$H:$H,'ELC TECH'!$E:$E)="Storage","",_xlfn.XLOOKUP($B187,'ELC TECH'!$H:$H,'ELC TECH'!AS:AS))</f>
        <v/>
      </c>
      <c r="AY187" s="12" t="str">
        <f>IF(_xlfn.XLOOKUP($B187,'ELC TECH'!$H:$H,'ELC TECH'!$E:$E)="Storage","",_xlfn.XLOOKUP($B187,'ELC TECH'!$H:$H,'ELC TECH'!AT:AT))</f>
        <v/>
      </c>
      <c r="AZ187" s="12" t="str">
        <f>IF(_xlfn.XLOOKUP($B187,'ELC TECH'!$H:$H,'ELC TECH'!$E:$E)="Storage","",_xlfn.XLOOKUP($B187,'ELC TECH'!$H:$H,'ELC TECH'!AU:AU))</f>
        <v/>
      </c>
      <c r="BA187" s="12" t="str">
        <f>IF(_xlfn.XLOOKUP($B187,'ELC TECH'!$H:$H,'ELC TECH'!$E:$E)="Storage","",_xlfn.XLOOKUP($B187,'ELC TECH'!$H:$H,'ELC TECH'!AV:AV))</f>
        <v/>
      </c>
      <c r="BB187" s="12" t="str">
        <f>IF(_xlfn.XLOOKUP($B187,'ELC TECH'!$H:$H,'ELC TECH'!$E:$E)="Storage","",_xlfn.XLOOKUP($B187,'ELC TECH'!$H:$H,'ELC TECH'!AW:AW))</f>
        <v/>
      </c>
      <c r="BC187" s="12" t="str">
        <f>IF(_xlfn.XLOOKUP($B187,'ELC TECH'!$H:$H,'ELC TECH'!$E:$E)="Storage","",_xlfn.XLOOKUP($B187,'ELC TECH'!$H:$H,'ELC TECH'!AX:AX))</f>
        <v/>
      </c>
      <c r="BD187" s="12" t="str">
        <f>IF(_xlfn.XLOOKUP($B187,'ELC TECH'!$H:$H,'ELC TECH'!$E:$E)="Storage","",_xlfn.XLOOKUP($B187,'ELC TECH'!$H:$H,'ELC TECH'!AY:AY))</f>
        <v/>
      </c>
      <c r="BE187" s="12" t="str">
        <f>IF(_xlfn.XLOOKUP($B187,'ELC TECH'!$H:$H,'ELC TECH'!$E:$E)="Storage","",_xlfn.XLOOKUP($B187,'ELC TECH'!$H:$H,'ELC TECH'!AZ:AZ))</f>
        <v/>
      </c>
      <c r="BF187" s="12">
        <f>IF(_xlfn.XLOOKUP($B187,'ELC TECH'!$H:$H,'ELC TECH'!$E:$E)="Storage",_xlfn.XLOOKUP($B187,'ELC TECH'!$H:$H,'ELC TECH'!AS:AS),"")</f>
        <v>8.3333333333333329E-2</v>
      </c>
      <c r="BG187" s="12">
        <f>IF(_xlfn.XLOOKUP($B187,'ELC TECH'!$H:$H,'ELC TECH'!$E:$E)="Storage",_xlfn.XLOOKUP($B187,'ELC TECH'!$H:$H,'ELC TECH'!AT:AT),"")</f>
        <v>8.3333333333333329E-2</v>
      </c>
      <c r="BH187" s="12">
        <f>IF(_xlfn.XLOOKUP($B187,'ELC TECH'!$H:$H,'ELC TECH'!$E:$E)="Storage",_xlfn.XLOOKUP($B187,'ELC TECH'!$H:$H,'ELC TECH'!AU:AU),"")</f>
        <v>8.3333333333333329E-2</v>
      </c>
      <c r="BI187" s="12">
        <f>IF(_xlfn.XLOOKUP($B187,'ELC TECH'!$H:$H,'ELC TECH'!$E:$E)="Storage",_xlfn.XLOOKUP($B187,'ELC TECH'!$H:$H,'ELC TECH'!AV:AV),"")</f>
        <v>8.3333333333333329E-2</v>
      </c>
      <c r="BJ187" s="12">
        <f>IF(_xlfn.XLOOKUP($B187,'ELC TECH'!$H:$H,'ELC TECH'!$E:$E)="Storage",_xlfn.XLOOKUP($B187,'ELC TECH'!$H:$H,'ELC TECH'!AW:AW),"")</f>
        <v>8.3333333333333329E-2</v>
      </c>
      <c r="BK187" s="12">
        <f>IF(_xlfn.XLOOKUP($B187,'ELC TECH'!$H:$H,'ELC TECH'!$E:$E)="Storage",_xlfn.XLOOKUP($B187,'ELC TECH'!$H:$H,'ELC TECH'!AX:AX),"")</f>
        <v>8.3333333333333329E-2</v>
      </c>
      <c r="BL187" s="12">
        <f>IF(_xlfn.XLOOKUP($B187,'ELC TECH'!$H:$H,'ELC TECH'!$E:$E)="Storage",_xlfn.XLOOKUP($B187,'ELC TECH'!$H:$H,'ELC TECH'!AY:AY),"")</f>
        <v>8.3333333333333329E-2</v>
      </c>
      <c r="BM187" s="12">
        <f>IF(_xlfn.XLOOKUP($B187,'ELC TECH'!$H:$H,'ELC TECH'!$E:$E)="Storage",_xlfn.XLOOKUP($B187,'ELC TECH'!$H:$H,'ELC TECH'!AZ:AZ),"")</f>
        <v>8.3333333333333329E-2</v>
      </c>
      <c r="BN187" s="8" t="str">
        <f>IF(_xlfn.XLOOKUP($B187,'ELC TECH'!$H:$H,'ELC TECH'!$E:$E)="Non Dispatchable",IFERROR($AX187*_xlfn.XLOOKUP($C187,$BM$1:$BM$3,BN$1:BN$3)/SUMPRODUCT(_xlfn.XLOOKUP($C187,$BM$1:$BM$3,$BN$1:$BY$3),$BN$4:$BY$4),""),
"")</f>
        <v/>
      </c>
      <c r="BO187" s="8" t="str">
        <f>IF(_xlfn.XLOOKUP($B187,'ELC TECH'!$H:$H,'ELC TECH'!$E:$E)="Non Dispatchable",IFERROR($AX187*_xlfn.XLOOKUP($C187,$BM$1:$BM$3,BO$1:BO$3)/SUMPRODUCT(_xlfn.XLOOKUP($C187,$BM$1:$BM$3,$BN$1:$BY$3),$BN$4:$BY$4),""),
"")</f>
        <v/>
      </c>
      <c r="BP187" s="8" t="str">
        <f>IF(_xlfn.XLOOKUP($B187,'ELC TECH'!$H:$H,'ELC TECH'!$E:$E)="Non Dispatchable",IFERROR($AX187*_xlfn.XLOOKUP($C187,$BM$1:$BM$3,BP$1:BP$3)/SUMPRODUCT(_xlfn.XLOOKUP($C187,$BM$1:$BM$3,$BN$1:$BY$3),$BN$4:$BY$4),""),
"")</f>
        <v/>
      </c>
      <c r="BQ187" s="8" t="str">
        <f>IF(_xlfn.XLOOKUP($B187,'ELC TECH'!$H:$H,'ELC TECH'!$E:$E)="Non Dispatchable",IFERROR($AX187*_xlfn.XLOOKUP($C187,$BM$1:$BM$3,BQ$1:BQ$3)/SUMPRODUCT(_xlfn.XLOOKUP($C187,$BM$1:$BM$3,$BN$1:$BY$3),$BN$4:$BY$4),""),
"")</f>
        <v/>
      </c>
      <c r="BR187" s="8" t="str">
        <f>IF(_xlfn.XLOOKUP($B187,'ELC TECH'!$H:$H,'ELC TECH'!$E:$E)="Non Dispatchable",IFERROR($AX187*_xlfn.XLOOKUP($C187,$BM$1:$BM$3,BR$1:BR$3)/SUMPRODUCT(_xlfn.XLOOKUP($C187,$BM$1:$BM$3,$BN$1:$BY$3),$BN$4:$BY$4),""),
"")</f>
        <v/>
      </c>
      <c r="BS187" s="8" t="str">
        <f>IF(_xlfn.XLOOKUP($B187,'ELC TECH'!$H:$H,'ELC TECH'!$E:$E)="Non Dispatchable",IFERROR($AX187*_xlfn.XLOOKUP($C187,$BM$1:$BM$3,BS$1:BS$3)/SUMPRODUCT(_xlfn.XLOOKUP($C187,$BM$1:$BM$3,$BN$1:$BY$3),$BN$4:$BY$4),""),
"")</f>
        <v/>
      </c>
      <c r="BT187" s="8" t="str">
        <f>IF(_xlfn.XLOOKUP($B187,'ELC TECH'!$H:$H,'ELC TECH'!$E:$E)="Non Dispatchable",IFERROR($AX187*_xlfn.XLOOKUP($C187,$BM$1:$BM$3,BT$1:BT$3)/SUMPRODUCT(_xlfn.XLOOKUP($C187,$BM$1:$BM$3,$BN$1:$BY$3),$BN$4:$BY$4),""),
"")</f>
        <v/>
      </c>
      <c r="BU187" s="8" t="str">
        <f>IF(_xlfn.XLOOKUP($B187,'ELC TECH'!$H:$H,'ELC TECH'!$E:$E)="Non Dispatchable",IFERROR($AX187*_xlfn.XLOOKUP($C187,$BM$1:$BM$3,BU$1:BU$3)/SUMPRODUCT(_xlfn.XLOOKUP($C187,$BM$1:$BM$3,$BN$1:$BY$3),$BN$4:$BY$4),""),
"")</f>
        <v/>
      </c>
      <c r="BV187" s="8" t="str">
        <f>IF(_xlfn.XLOOKUP($B187,'ELC TECH'!$H:$H,'ELC TECH'!$E:$E)="Non Dispatchable",IFERROR($AX187*_xlfn.XLOOKUP($C187,$BM$1:$BM$3,BV$1:BV$3)/SUMPRODUCT(_xlfn.XLOOKUP($C187,$BM$1:$BM$3,$BN$1:$BY$3),$BN$4:$BY$4),""),
"")</f>
        <v/>
      </c>
      <c r="BW187" s="8" t="str">
        <f>IF(_xlfn.XLOOKUP($B187,'ELC TECH'!$H:$H,'ELC TECH'!$E:$E)="Non Dispatchable",IFERROR($AX187*_xlfn.XLOOKUP($C187,$BM$1:$BM$3,BW$1:BW$3)/SUMPRODUCT(_xlfn.XLOOKUP($C187,$BM$1:$BM$3,$BN$1:$BY$3),$BN$4:$BY$4),""),
"")</f>
        <v/>
      </c>
      <c r="BX187" s="8" t="str">
        <f>IF(_xlfn.XLOOKUP($B187,'ELC TECH'!$H:$H,'ELC TECH'!$E:$E)="Non Dispatchable",IFERROR($AX187*_xlfn.XLOOKUP($C187,$BM$1:$BM$3,BX$1:BX$3)/SUMPRODUCT(_xlfn.XLOOKUP($C187,$BM$1:$BM$3,$BN$1:$BY$3),$BN$4:$BY$4),""),
"")</f>
        <v/>
      </c>
      <c r="BY187" s="8" t="str">
        <f>IF(_xlfn.XLOOKUP($B187,'ELC TECH'!$H:$H,'ELC TECH'!$E:$E)="Non Dispatchable",IFERROR($AX187*_xlfn.XLOOKUP($C187,$BM$1:$BM$3,BY$1:BY$3)/SUMPRODUCT(_xlfn.XLOOKUP($C187,$BM$1:$BM$3,$BN$1:$BY$3),$BN$4:$BY$4),""),
"")</f>
        <v/>
      </c>
      <c r="BZ187" s="8" t="str">
        <f>IF(_xlfn.XLOOKUP($B187,'ELC TECH'!$H:$H,'ELC TECH'!$E:$E)="Non Dispatchable",IFERROR($AX187*_xlfn.XLOOKUP($C187,$BM$1:$BM$3,BZ$1:BZ$3)/SUMPRODUCT(_xlfn.XLOOKUP($C187,$BM$1:$BM$3,$BN$1:$BY$3),$BN$4:$BY$4),""),
"")</f>
        <v/>
      </c>
      <c r="CA187" s="8" t="str">
        <f>IF(_xlfn.XLOOKUP($B187,'ELC TECH'!$H:$H,'ELC TECH'!$E:$E)="Non Dispatchable",IFERROR($AX187*_xlfn.XLOOKUP($C187,$BM$1:$BM$3,CA$1:CA$3)/SUMPRODUCT(_xlfn.XLOOKUP($C187,$BM$1:$BM$3,$BN$1:$BY$3),$BN$4:$BY$4),""),
"")</f>
        <v/>
      </c>
      <c r="CB187" s="8" t="str">
        <f>IF(_xlfn.XLOOKUP($B187,'ELC TECH'!$H:$H,'ELC TECH'!$E:$E)="Non Dispatchable",IFERROR($AX187*_xlfn.XLOOKUP($C187,$BM$1:$BM$3,CB$1:CB$3)/SUMPRODUCT(_xlfn.XLOOKUP($C187,$BM$1:$BM$3,$BN$1:$BY$3),$BN$4:$BY$4),""),
"")</f>
        <v/>
      </c>
      <c r="CC187" s="8" t="str">
        <f>IF(_xlfn.XLOOKUP($B187,'ELC TECH'!$H:$H,'ELC TECH'!$E:$E)="Non Dispatchable",IFERROR($AX187*_xlfn.XLOOKUP($C187,$BM$1:$BM$3,CC$1:CC$3)/SUMPRODUCT(_xlfn.XLOOKUP($C187,$BM$1:$BM$3,$BN$1:$BY$3),$BN$4:$BY$4),""),
"")</f>
        <v/>
      </c>
      <c r="CD187" s="8" t="str">
        <f>IF(_xlfn.XLOOKUP($B187,'ELC TECH'!$H:$H,'ELC TECH'!$E:$E)="Non Dispatchable",IFERROR($AX187*_xlfn.XLOOKUP($C187,$BM$1:$BM$3,CD$1:CD$3)/SUMPRODUCT(_xlfn.XLOOKUP($C187,$BM$1:$BM$3,$BN$1:$BY$3),$BN$4:$BY$4),""),
"")</f>
        <v/>
      </c>
      <c r="CE187" s="8" t="str">
        <f>IF(_xlfn.XLOOKUP($B187,'ELC TECH'!$H:$H,'ELC TECH'!$E:$E)="Non Dispatchable",IFERROR($AX187*_xlfn.XLOOKUP($C187,$BM$1:$BM$3,CE$1:CE$3)/SUMPRODUCT(_xlfn.XLOOKUP($C187,$BM$1:$BM$3,$BN$1:$BY$3),$BN$4:$BY$4),""),
"")</f>
        <v/>
      </c>
      <c r="CF187" s="8" t="str">
        <f>IF(_xlfn.XLOOKUP($B187,'ELC TECH'!$H:$H,'ELC TECH'!$E:$E)="Non Dispatchable",IFERROR($AX187*_xlfn.XLOOKUP($C187,$BM$1:$BM$3,CF$1:CF$3)/SUMPRODUCT(_xlfn.XLOOKUP($C187,$BM$1:$BM$3,$BN$1:$BY$3),$BN$4:$BY$4),""),
"")</f>
        <v/>
      </c>
      <c r="CG187" s="8" t="str">
        <f>IF(_xlfn.XLOOKUP($B187,'ELC TECH'!$H:$H,'ELC TECH'!$E:$E)="Non Dispatchable",IFERROR($AX187*_xlfn.XLOOKUP($C187,$BM$1:$BM$3,CG$1:CG$3)/SUMPRODUCT(_xlfn.XLOOKUP($C187,$BM$1:$BM$3,$BN$1:$BY$3),$BN$4:$BY$4),""),
"")</f>
        <v/>
      </c>
      <c r="CH187" s="8" t="str">
        <f>IF(_xlfn.XLOOKUP($B187,'ELC TECH'!$H:$H,'ELC TECH'!$E:$E)="Non Dispatchable",IFERROR($AX187*_xlfn.XLOOKUP($C187,$BM$1:$BM$3,CH$1:CH$3)/SUMPRODUCT(_xlfn.XLOOKUP($C187,$BM$1:$BM$3,$BN$1:$BY$3),$BN$4:$BY$4),""),
"")</f>
        <v/>
      </c>
      <c r="CI187" s="8" t="str">
        <f>IF(_xlfn.XLOOKUP($B187,'ELC TECH'!$H:$H,'ELC TECH'!$E:$E)="Non Dispatchable",IFERROR($AX187*_xlfn.XLOOKUP($C187,$BM$1:$BM$3,CI$1:CI$3)/SUMPRODUCT(_xlfn.XLOOKUP($C187,$BM$1:$BM$3,$BN$1:$BY$3),$BN$4:$BY$4),""),
"")</f>
        <v/>
      </c>
      <c r="CJ187" s="8" t="str">
        <f>IF(_xlfn.XLOOKUP($B187,'ELC TECH'!$H:$H,'ELC TECH'!$E:$E)="Non Dispatchable",IFERROR($AX187*_xlfn.XLOOKUP($C187,$BM$1:$BM$3,CJ$1:CJ$3)/SUMPRODUCT(_xlfn.XLOOKUP($C187,$BM$1:$BM$3,$BN$1:$BY$3),$BN$4:$BY$4),""),
"")</f>
        <v/>
      </c>
      <c r="CK187" s="8" t="str">
        <f>IF(_xlfn.XLOOKUP($B187,'ELC TECH'!$H:$H,'ELC TECH'!$E:$E)="Non Dispatchable",IFERROR($AX187*_xlfn.XLOOKUP($C187,$BM$1:$BM$3,CK$1:CK$3)/SUMPRODUCT(_xlfn.XLOOKUP($C187,$BM$1:$BM$3,$BN$1:$BY$3),$BN$4:$BY$4),""),
"")</f>
        <v/>
      </c>
      <c r="CL187" s="8">
        <f>IF(_xlfn.XLOOKUP($B187,'ELC TECH'!$H:$H,'ELC TECH'!$E:$E)="Storage",CL$4*$BF187,"")</f>
        <v>6.8499999999999993E-3</v>
      </c>
      <c r="CM187" s="8">
        <f>IF(_xlfn.XLOOKUP($B187,'ELC TECH'!$H:$H,'ELC TECH'!$E:$E)="Storage",CM$4*$BF187,"")</f>
        <v>7.9749999999999995E-3</v>
      </c>
      <c r="CN187" s="8">
        <f>IF(_xlfn.XLOOKUP($B187,'ELC TECH'!$H:$H,'ELC TECH'!$E:$E)="Storage",CN$4*$BF187,"")</f>
        <v>1.2766666666666666E-2</v>
      </c>
      <c r="CO187" s="8">
        <f>IF(_xlfn.XLOOKUP($B187,'ELC TECH'!$H:$H,'ELC TECH'!$E:$E)="Storage",CO$4*$BF187,"")</f>
        <v>2.6666666666666668E-4</v>
      </c>
      <c r="CP187" s="8">
        <f>IF(_xlfn.XLOOKUP($B187,'ELC TECH'!$H:$H,'ELC TECH'!$E:$E)="Storage",CP$4*$BF187,"")</f>
        <v>6.7916666666666663E-3</v>
      </c>
      <c r="CQ187" s="8">
        <f>IF(_xlfn.XLOOKUP($B187,'ELC TECH'!$H:$H,'ELC TECH'!$E:$E)="Storage",CQ$4*$BF187,"")</f>
        <v>9.0583333333333332E-3</v>
      </c>
      <c r="CR187" s="8">
        <f>IF(_xlfn.XLOOKUP($B187,'ELC TECH'!$H:$H,'ELC TECH'!$E:$E)="Storage",CR$4*$BF187,"")</f>
        <v>1.1508333333333332E-2</v>
      </c>
      <c r="CS187" s="8">
        <f>IF(_xlfn.XLOOKUP($B187,'ELC TECH'!$H:$H,'ELC TECH'!$E:$E)="Storage",CS$4*$BF187,"")</f>
        <v>2.6666666666666668E-4</v>
      </c>
      <c r="CT187" s="8">
        <f>IF(_xlfn.XLOOKUP($B187,'ELC TECH'!$H:$H,'ELC TECH'!$E:$E)="Storage",CT$4*$BF187,"")</f>
        <v>8.1250000000000003E-3</v>
      </c>
      <c r="CU187" s="8">
        <f>IF(_xlfn.XLOOKUP($B187,'ELC TECH'!$H:$H,'ELC TECH'!$E:$E)="Storage",CU$4*$BF187,"")</f>
        <v>9.0583333333333332E-3</v>
      </c>
      <c r="CV187" s="8">
        <f>IF(_xlfn.XLOOKUP($B187,'ELC TECH'!$H:$H,'ELC TECH'!$E:$E)="Storage",CV$4*$BF187,"")</f>
        <v>1.0441666666666665E-2</v>
      </c>
      <c r="CW187" s="8">
        <f>IF(_xlfn.XLOOKUP($B187,'ELC TECH'!$H:$H,'ELC TECH'!$E:$E)="Storage",CW$4*$BF187,"")</f>
        <v>2.2499999999999999E-4</v>
      </c>
      <c r="CX187" s="8">
        <f>IF(_xlfn.XLOOKUP($B187,'ELC TECH'!$H:$H,'ELC TECH'!$E:$E)="Storage",CX$4*$BF187,"")</f>
        <v>6.8499999999999993E-3</v>
      </c>
      <c r="CY187" s="8">
        <f>IF(_xlfn.XLOOKUP($B187,'ELC TECH'!$H:$H,'ELC TECH'!$E:$E)="Storage",CY$4*$BF187,"")</f>
        <v>7.9749999999999995E-3</v>
      </c>
      <c r="CZ187" s="8">
        <f>IF(_xlfn.XLOOKUP($B187,'ELC TECH'!$H:$H,'ELC TECH'!$E:$E)="Storage",CZ$4*$BF187,"")</f>
        <v>1.2766666666666666E-2</v>
      </c>
      <c r="DA187" s="8">
        <f>IF(_xlfn.XLOOKUP($B187,'ELC TECH'!$H:$H,'ELC TECH'!$E:$E)="Storage",DA$4*$BF187,"")</f>
        <v>2.6666666666666668E-4</v>
      </c>
      <c r="DB187" s="8">
        <f>IF(_xlfn.XLOOKUP($B187,'ELC TECH'!$H:$H,'ELC TECH'!$E:$E)="Storage",DB$4*$BF187,"")</f>
        <v>6.7916666666666663E-3</v>
      </c>
      <c r="DC187" s="8">
        <f>IF(_xlfn.XLOOKUP($B187,'ELC TECH'!$H:$H,'ELC TECH'!$E:$E)="Storage",DC$4*$BF187,"")</f>
        <v>9.0583333333333332E-3</v>
      </c>
      <c r="DD187" s="8">
        <f>IF(_xlfn.XLOOKUP($B187,'ELC TECH'!$H:$H,'ELC TECH'!$E:$E)="Storage",DD$4*$BF187,"")</f>
        <v>1.1508333333333332E-2</v>
      </c>
      <c r="DE187" s="8">
        <f>IF(_xlfn.XLOOKUP($B187,'ELC TECH'!$H:$H,'ELC TECH'!$E:$E)="Storage",DE$4*$BF187,"")</f>
        <v>2.6666666666666668E-4</v>
      </c>
      <c r="DF187" s="8">
        <f>IF(_xlfn.XLOOKUP($B187,'ELC TECH'!$H:$H,'ELC TECH'!$E:$E)="Storage",DF$4*$BF187,"")</f>
        <v>8.1250000000000003E-3</v>
      </c>
      <c r="DG187" s="8">
        <f>IF(_xlfn.XLOOKUP($B187,'ELC TECH'!$H:$H,'ELC TECH'!$E:$E)="Storage",DG$4*$BF187,"")</f>
        <v>9.0583333333333332E-3</v>
      </c>
      <c r="DH187" s="8">
        <f>IF(_xlfn.XLOOKUP($B187,'ELC TECH'!$H:$H,'ELC TECH'!$E:$E)="Storage",DH$4*$BF187,"")</f>
        <v>1.0441666666666665E-2</v>
      </c>
      <c r="DI187" s="8">
        <f>IF(_xlfn.XLOOKUP($B187,'ELC TECH'!$H:$H,'ELC TECH'!$E:$E)="Storage",DI$4*$BF187,"")</f>
        <v>2.2499999999999999E-4</v>
      </c>
    </row>
    <row r="188" spans="2:113" x14ac:dyDescent="0.25">
      <c r="B188" t="str">
        <f>IF('ELC TECH'!I181=0,"*",'ELC TECH'!H181)</f>
        <v>ELCSTGDCECBES4H20</v>
      </c>
      <c r="C188" t="str">
        <f>IF(_xlfn.XLOOKUP(_xlfn.XLOOKUP(B188,'ELC TECH'!$H:$H,'ELC TECH'!$G:$G),List!C:C,List!B:B)="STG",D188,"ELC"&amp;_xlfn.XLOOKUP(_xlfn.XLOOKUP(B188,'ELC TECH'!H:H,'ELC TECH'!G:G),List!C:C,List!B:B))</f>
        <v>COMELC</v>
      </c>
      <c r="D188" t="s">
        <v>546</v>
      </c>
      <c r="E188">
        <f>_xlfn.XLOOKUP(B188,'ELC TECH'!H:H,'ELC TECH'!D:D)</f>
        <v>2020</v>
      </c>
      <c r="F188">
        <f>_xlfn.XLOOKUP(B188,'ELC TECH'!H:H,'ELC TECH'!K:K)</f>
        <v>15</v>
      </c>
      <c r="G188">
        <f t="shared" si="9"/>
        <v>31.535999999999998</v>
      </c>
      <c r="H188">
        <f>IF(_xlfn.XLOOKUP(B188,'ELC TECH'!$H:$H,'ELC TECH'!$E:$E)="Storage",0.3,IF(_xlfn.XLOOKUP(B188,'ELC TECH'!$H:$H,'ELC TECH'!$E:$E)="Baseload",0.9,IF(_xlfn.XLOOKUP(B188,'ELC TECH'!$H:$H,'ELC TECH'!$E:$E)="Non Dispatchable",0.05,IF(_xlfn.XLOOKUP(B188,'ELC TECH'!$H:$H,'ELC TECH'!$E:$E)="Dispatchable",0.9,1))))</f>
        <v>0.3</v>
      </c>
      <c r="I188" s="13" t="str">
        <f>IF(_xlfn.XLOOKUP(B188,'ELC TECH'!H:H,'ELC TECH'!J:J)="","",_xlfn.XLOOKUP(B188,'ELC TECH'!H:H,'ELC TECH'!J:J))</f>
        <v/>
      </c>
      <c r="J188" s="12" t="str">
        <f>IF(_xlfn.XLOOKUP($B188,'ELC TECH'!$H:$H,'ELC TECH'!$E:$E)="Storage","",IF(_xlfn.XLOOKUP($B188,'ELC TECH'!$H:$H,'ELC TECH'!AK:AK)="",1,_xlfn.XLOOKUP($B188,'ELC TECH'!$H:$H,'ELC TECH'!AK:AK)))</f>
        <v/>
      </c>
      <c r="K188" s="12" t="str">
        <f>IF(_xlfn.XLOOKUP($B188,'ELC TECH'!$H:$H,'ELC TECH'!$E:$E)="Storage","",IF(_xlfn.XLOOKUP($B188,'ELC TECH'!$H:$H,'ELC TECH'!AL:AL)="",1,_xlfn.XLOOKUP($B188,'ELC TECH'!$H:$H,'ELC TECH'!AL:AL)))</f>
        <v/>
      </c>
      <c r="L188" s="12" t="str">
        <f>IF(_xlfn.XLOOKUP($B188,'ELC TECH'!$H:$H,'ELC TECH'!$E:$E)="Storage","",IF(_xlfn.XLOOKUP($B188,'ELC TECH'!$H:$H,'ELC TECH'!AM:AM)="",1,_xlfn.XLOOKUP($B188,'ELC TECH'!$H:$H,'ELC TECH'!AM:AM)))</f>
        <v/>
      </c>
      <c r="M188" s="12" t="str">
        <f>IF(_xlfn.XLOOKUP($B188,'ELC TECH'!$H:$H,'ELC TECH'!$E:$E)="Storage","",IF(_xlfn.XLOOKUP($B188,'ELC TECH'!$H:$H,'ELC TECH'!AN:AN)="",1,_xlfn.XLOOKUP($B188,'ELC TECH'!$H:$H,'ELC TECH'!AN:AN)))</f>
        <v/>
      </c>
      <c r="N188" s="12" t="str">
        <f>IF(_xlfn.XLOOKUP($B188,'ELC TECH'!$H:$H,'ELC TECH'!$E:$E)="Storage","",IF(_xlfn.XLOOKUP($B188,'ELC TECH'!$H:$H,'ELC TECH'!AO:AO)="",1,_xlfn.XLOOKUP($B188,'ELC TECH'!$H:$H,'ELC TECH'!AO:AO)))</f>
        <v/>
      </c>
      <c r="O188" s="12" t="str">
        <f>IF(_xlfn.XLOOKUP($B188,'ELC TECH'!$H:$H,'ELC TECH'!$E:$E)="Storage","",IF(_xlfn.XLOOKUP($B188,'ELC TECH'!$H:$H,'ELC TECH'!AP:AP)="",1,_xlfn.XLOOKUP($B188,'ELC TECH'!$H:$H,'ELC TECH'!AP:AP)))</f>
        <v/>
      </c>
      <c r="P188" s="12" t="str">
        <f>IF(_xlfn.XLOOKUP($B188,'ELC TECH'!$H:$H,'ELC TECH'!$E:$E)="Storage","",IF(_xlfn.XLOOKUP($B188,'ELC TECH'!$H:$H,'ELC TECH'!AQ:AQ)="",1,_xlfn.XLOOKUP($B188,'ELC TECH'!$H:$H,'ELC TECH'!AQ:AQ)))</f>
        <v/>
      </c>
      <c r="Q188" s="12" t="str">
        <f>IF(_xlfn.XLOOKUP($B188,'ELC TECH'!$H:$H,'ELC TECH'!$E:$E)="Storage","",IF(_xlfn.XLOOKUP($B188,'ELC TECH'!$H:$H,'ELC TECH'!AR:AR)="",1,_xlfn.XLOOKUP($B188,'ELC TECH'!$H:$H,'ELC TECH'!AR:AR)))</f>
        <v/>
      </c>
      <c r="R188" s="12">
        <f>IF(_xlfn.XLOOKUP($B188,'ELC TECH'!$H:$H,'ELC TECH'!$E:$E)&lt;&gt;"Storage","",IF(_xlfn.XLOOKUP($B188,'ELC TECH'!$H:$H,'ELC TECH'!AK:AK)="",0.8,_xlfn.XLOOKUP($B188,'ELC TECH'!$H:$H,'ELC TECH'!AK:AK)))</f>
        <v>0.8</v>
      </c>
      <c r="S188" s="12">
        <f>IF(_xlfn.XLOOKUP($B188,'ELC TECH'!$H:$H,'ELC TECH'!$E:$E)&lt;&gt;"Storage","",IF(_xlfn.XLOOKUP($B188,'ELC TECH'!$H:$H,'ELC TECH'!AL:AL)="",0.8,_xlfn.XLOOKUP($B188,'ELC TECH'!$H:$H,'ELC TECH'!AL:AL)))</f>
        <v>0.8</v>
      </c>
      <c r="T188" s="12">
        <f>IF(_xlfn.XLOOKUP($B188,'ELC TECH'!$H:$H,'ELC TECH'!$E:$E)&lt;&gt;"Storage","",IF(_xlfn.XLOOKUP($B188,'ELC TECH'!$H:$H,'ELC TECH'!AM:AM)="",0.8,_xlfn.XLOOKUP($B188,'ELC TECH'!$H:$H,'ELC TECH'!AM:AM)))</f>
        <v>0.8</v>
      </c>
      <c r="U188" s="12">
        <f>IF(_xlfn.XLOOKUP($B188,'ELC TECH'!$H:$H,'ELC TECH'!$E:$E)&lt;&gt;"Storage","",IF(_xlfn.XLOOKUP($B188,'ELC TECH'!$H:$H,'ELC TECH'!AN:AN)="",0.8,_xlfn.XLOOKUP($B188,'ELC TECH'!$H:$H,'ELC TECH'!AN:AN)))</f>
        <v>0.8</v>
      </c>
      <c r="V188" s="12">
        <f>IF(_xlfn.XLOOKUP($B188,'ELC TECH'!$H:$H,'ELC TECH'!$E:$E)&lt;&gt;"Storage","",IF(_xlfn.XLOOKUP($B188,'ELC TECH'!$H:$H,'ELC TECH'!AO:AO)="",0.8,_xlfn.XLOOKUP($B188,'ELC TECH'!$H:$H,'ELC TECH'!AO:AO)))</f>
        <v>0.8</v>
      </c>
      <c r="W188" s="12">
        <f>IF(_xlfn.XLOOKUP($B188,'ELC TECH'!$H:$H,'ELC TECH'!$E:$E)&lt;&gt;"Storage","",IF(_xlfn.XLOOKUP($B188,'ELC TECH'!$H:$H,'ELC TECH'!AP:AP)="",0.8,_xlfn.XLOOKUP($B188,'ELC TECH'!$H:$H,'ELC TECH'!AP:AP)))</f>
        <v>0.8</v>
      </c>
      <c r="X188" s="12">
        <f>IF(_xlfn.XLOOKUP($B188,'ELC TECH'!$H:$H,'ELC TECH'!$E:$E)&lt;&gt;"Storage","",IF(_xlfn.XLOOKUP($B188,'ELC TECH'!$H:$H,'ELC TECH'!AQ:AQ)="",0.8,_xlfn.XLOOKUP($B188,'ELC TECH'!$H:$H,'ELC TECH'!AQ:AQ)))</f>
        <v>0.8</v>
      </c>
      <c r="Y188" s="12">
        <f>IF(_xlfn.XLOOKUP($B188,'ELC TECH'!$H:$H,'ELC TECH'!$E:$E)&lt;&gt;"Storage","",IF(_xlfn.XLOOKUP($B188,'ELC TECH'!$H:$H,'ELC TECH'!AR:AR)="",0.8,_xlfn.XLOOKUP($B188,'ELC TECH'!$H:$H,'ELC TECH'!AR:AR)))</f>
        <v>0.8</v>
      </c>
      <c r="Z188" s="15">
        <f>_xlfn.XLOOKUP($B188,'ELC TECH'!$H:$H,'ELC TECH'!M:M)</f>
        <v>2181.3481237263582</v>
      </c>
      <c r="AA188" s="15">
        <f>_xlfn.XLOOKUP($B188,'ELC TECH'!$H:$H,'ELC TECH'!N:N)</f>
        <v>2200.169621222205</v>
      </c>
      <c r="AB188" s="15">
        <f>_xlfn.XLOOKUP($B188,'ELC TECH'!$H:$H,'ELC TECH'!O:O)</f>
        <v>1820.4390989476881</v>
      </c>
      <c r="AC188" s="15">
        <f>_xlfn.XLOOKUP($B188,'ELC TECH'!$H:$H,'ELC TECH'!P:P)</f>
        <v>1706.6616552634639</v>
      </c>
      <c r="AD188" s="15">
        <f>_xlfn.XLOOKUP($B188,'ELC TECH'!$H:$H,'ELC TECH'!Q:Q)</f>
        <v>1592.8842115792279</v>
      </c>
      <c r="AE188" s="15">
        <f>_xlfn.XLOOKUP($B188,'ELC TECH'!$H:$H,'ELC TECH'!R:R)</f>
        <v>1479.1067678950039</v>
      </c>
      <c r="AF188" s="15">
        <f>_xlfn.XLOOKUP($B188,'ELC TECH'!$H:$H,'ELC TECH'!S:S)</f>
        <v>1365.3293242107691</v>
      </c>
      <c r="AG188" s="15">
        <f>_xlfn.XLOOKUP($B188,'ELC TECH'!$H:$H,'ELC TECH'!T:T)</f>
        <v>1365.3293242107691</v>
      </c>
      <c r="AH188" s="15">
        <f>_xlfn.XLOOKUP($B188,'ELC TECH'!$H:$H,'ELC TECH'!U:U)</f>
        <v>54.533703093159112</v>
      </c>
      <c r="AI188" s="15">
        <f>_xlfn.XLOOKUP($B188,'ELC TECH'!$H:$H,'ELC TECH'!V:V)</f>
        <v>55.004240530555201</v>
      </c>
      <c r="AJ188" s="15">
        <f>_xlfn.XLOOKUP($B188,'ELC TECH'!$H:$H,'ELC TECH'!W:W)</f>
        <v>45.510977473692357</v>
      </c>
      <c r="AK188" s="15">
        <f>_xlfn.XLOOKUP($B188,'ELC TECH'!$H:$H,'ELC TECH'!X:X)</f>
        <v>42.666541381586647</v>
      </c>
      <c r="AL188" s="15">
        <f>_xlfn.XLOOKUP($B188,'ELC TECH'!$H:$H,'ELC TECH'!Y:Y)</f>
        <v>39.822105289480938</v>
      </c>
      <c r="AM188" s="15">
        <f>_xlfn.XLOOKUP($B188,'ELC TECH'!$H:$H,'ELC TECH'!Z:Z)</f>
        <v>36.9776691973751</v>
      </c>
      <c r="AN188" s="15">
        <f>_xlfn.XLOOKUP($B188,'ELC TECH'!$H:$H,'ELC TECH'!AA:AA)</f>
        <v>34.133233105269277</v>
      </c>
      <c r="AO188" s="15">
        <f>_xlfn.XLOOKUP($B188,'ELC TECH'!$H:$H,'ELC TECH'!AB:AB)</f>
        <v>34.133233105269277</v>
      </c>
      <c r="AP188" s="15">
        <f>_xlfn.XLOOKUP($B188,'ELC TECH'!$H:$H,'ELC TECH'!AC:AC)</f>
        <v>0</v>
      </c>
      <c r="AQ188" s="15">
        <f>_xlfn.XLOOKUP($B188,'ELC TECH'!$H:$H,'ELC TECH'!AD:AD)</f>
        <v>0</v>
      </c>
      <c r="AR188" s="15">
        <f>_xlfn.XLOOKUP($B188,'ELC TECH'!$H:$H,'ELC TECH'!AE:AE)</f>
        <v>0</v>
      </c>
      <c r="AS188" s="15">
        <f>_xlfn.XLOOKUP($B188,'ELC TECH'!$H:$H,'ELC TECH'!AF:AF)</f>
        <v>0</v>
      </c>
      <c r="AT188" s="15">
        <f>_xlfn.XLOOKUP($B188,'ELC TECH'!$H:$H,'ELC TECH'!AG:AG)</f>
        <v>0</v>
      </c>
      <c r="AU188" s="15">
        <f>_xlfn.XLOOKUP($B188,'ELC TECH'!$H:$H,'ELC TECH'!AH:AH)</f>
        <v>0</v>
      </c>
      <c r="AV188" s="15">
        <f>_xlfn.XLOOKUP($B188,'ELC TECH'!$H:$H,'ELC TECH'!AI:AI)</f>
        <v>0</v>
      </c>
      <c r="AW188" s="15">
        <f>_xlfn.XLOOKUP($B188,'ELC TECH'!$H:$H,'ELC TECH'!AJ:AJ)</f>
        <v>0</v>
      </c>
      <c r="AX188" s="12" t="str">
        <f>IF(_xlfn.XLOOKUP($B188,'ELC TECH'!$H:$H,'ELC TECH'!$E:$E)="Storage","",_xlfn.XLOOKUP($B188,'ELC TECH'!$H:$H,'ELC TECH'!AS:AS))</f>
        <v/>
      </c>
      <c r="AY188" s="12" t="str">
        <f>IF(_xlfn.XLOOKUP($B188,'ELC TECH'!$H:$H,'ELC TECH'!$E:$E)="Storage","",_xlfn.XLOOKUP($B188,'ELC TECH'!$H:$H,'ELC TECH'!AT:AT))</f>
        <v/>
      </c>
      <c r="AZ188" s="12" t="str">
        <f>IF(_xlfn.XLOOKUP($B188,'ELC TECH'!$H:$H,'ELC TECH'!$E:$E)="Storage","",_xlfn.XLOOKUP($B188,'ELC TECH'!$H:$H,'ELC TECH'!AU:AU))</f>
        <v/>
      </c>
      <c r="BA188" s="12" t="str">
        <f>IF(_xlfn.XLOOKUP($B188,'ELC TECH'!$H:$H,'ELC TECH'!$E:$E)="Storage","",_xlfn.XLOOKUP($B188,'ELC TECH'!$H:$H,'ELC TECH'!AV:AV))</f>
        <v/>
      </c>
      <c r="BB188" s="12" t="str">
        <f>IF(_xlfn.XLOOKUP($B188,'ELC TECH'!$H:$H,'ELC TECH'!$E:$E)="Storage","",_xlfn.XLOOKUP($B188,'ELC TECH'!$H:$H,'ELC TECH'!AW:AW))</f>
        <v/>
      </c>
      <c r="BC188" s="12" t="str">
        <f>IF(_xlfn.XLOOKUP($B188,'ELC TECH'!$H:$H,'ELC TECH'!$E:$E)="Storage","",_xlfn.XLOOKUP($B188,'ELC TECH'!$H:$H,'ELC TECH'!AX:AX))</f>
        <v/>
      </c>
      <c r="BD188" s="12" t="str">
        <f>IF(_xlfn.XLOOKUP($B188,'ELC TECH'!$H:$H,'ELC TECH'!$E:$E)="Storage","",_xlfn.XLOOKUP($B188,'ELC TECH'!$H:$H,'ELC TECH'!AY:AY))</f>
        <v/>
      </c>
      <c r="BE188" s="12" t="str">
        <f>IF(_xlfn.XLOOKUP($B188,'ELC TECH'!$H:$H,'ELC TECH'!$E:$E)="Storage","",_xlfn.XLOOKUP($B188,'ELC TECH'!$H:$H,'ELC TECH'!AZ:AZ))</f>
        <v/>
      </c>
      <c r="BF188" s="12">
        <f>IF(_xlfn.XLOOKUP($B188,'ELC TECH'!$H:$H,'ELC TECH'!$E:$E)="Storage",_xlfn.XLOOKUP($B188,'ELC TECH'!$H:$H,'ELC TECH'!AS:AS),"")</f>
        <v>0.16666666666666671</v>
      </c>
      <c r="BG188" s="12">
        <f>IF(_xlfn.XLOOKUP($B188,'ELC TECH'!$H:$H,'ELC TECH'!$E:$E)="Storage",_xlfn.XLOOKUP($B188,'ELC TECH'!$H:$H,'ELC TECH'!AT:AT),"")</f>
        <v>0.16666666666666671</v>
      </c>
      <c r="BH188" s="12">
        <f>IF(_xlfn.XLOOKUP($B188,'ELC TECH'!$H:$H,'ELC TECH'!$E:$E)="Storage",_xlfn.XLOOKUP($B188,'ELC TECH'!$H:$H,'ELC TECH'!AU:AU),"")</f>
        <v>0.16666666666666671</v>
      </c>
      <c r="BI188" s="12">
        <f>IF(_xlfn.XLOOKUP($B188,'ELC TECH'!$H:$H,'ELC TECH'!$E:$E)="Storage",_xlfn.XLOOKUP($B188,'ELC TECH'!$H:$H,'ELC TECH'!AV:AV),"")</f>
        <v>0.16666666666666671</v>
      </c>
      <c r="BJ188" s="12">
        <f>IF(_xlfn.XLOOKUP($B188,'ELC TECH'!$H:$H,'ELC TECH'!$E:$E)="Storage",_xlfn.XLOOKUP($B188,'ELC TECH'!$H:$H,'ELC TECH'!AW:AW),"")</f>
        <v>0.16666666666666671</v>
      </c>
      <c r="BK188" s="12">
        <f>IF(_xlfn.XLOOKUP($B188,'ELC TECH'!$H:$H,'ELC TECH'!$E:$E)="Storage",_xlfn.XLOOKUP($B188,'ELC TECH'!$H:$H,'ELC TECH'!AX:AX),"")</f>
        <v>0.16666666666666671</v>
      </c>
      <c r="BL188" s="12">
        <f>IF(_xlfn.XLOOKUP($B188,'ELC TECH'!$H:$H,'ELC TECH'!$E:$E)="Storage",_xlfn.XLOOKUP($B188,'ELC TECH'!$H:$H,'ELC TECH'!AY:AY),"")</f>
        <v>0.16666666666666671</v>
      </c>
      <c r="BM188" s="12">
        <f>IF(_xlfn.XLOOKUP($B188,'ELC TECH'!$H:$H,'ELC TECH'!$E:$E)="Storage",_xlfn.XLOOKUP($B188,'ELC TECH'!$H:$H,'ELC TECH'!AZ:AZ),"")</f>
        <v>0.16666666666666671</v>
      </c>
      <c r="BN188" s="8" t="str">
        <f>IF(_xlfn.XLOOKUP($B188,'ELC TECH'!$H:$H,'ELC TECH'!$E:$E)="Non Dispatchable",IFERROR($AX188*_xlfn.XLOOKUP($C188,$BM$1:$BM$3,BN$1:BN$3)/SUMPRODUCT(_xlfn.XLOOKUP($C188,$BM$1:$BM$3,$BN$1:$BY$3),$BN$4:$BY$4),""),
"")</f>
        <v/>
      </c>
      <c r="BO188" s="8" t="str">
        <f>IF(_xlfn.XLOOKUP($B188,'ELC TECH'!$H:$H,'ELC TECH'!$E:$E)="Non Dispatchable",IFERROR($AX188*_xlfn.XLOOKUP($C188,$BM$1:$BM$3,BO$1:BO$3)/SUMPRODUCT(_xlfn.XLOOKUP($C188,$BM$1:$BM$3,$BN$1:$BY$3),$BN$4:$BY$4),""),
"")</f>
        <v/>
      </c>
      <c r="BP188" s="8" t="str">
        <f>IF(_xlfn.XLOOKUP($B188,'ELC TECH'!$H:$H,'ELC TECH'!$E:$E)="Non Dispatchable",IFERROR($AX188*_xlfn.XLOOKUP($C188,$BM$1:$BM$3,BP$1:BP$3)/SUMPRODUCT(_xlfn.XLOOKUP($C188,$BM$1:$BM$3,$BN$1:$BY$3),$BN$4:$BY$4),""),
"")</f>
        <v/>
      </c>
      <c r="BQ188" s="8" t="str">
        <f>IF(_xlfn.XLOOKUP($B188,'ELC TECH'!$H:$H,'ELC TECH'!$E:$E)="Non Dispatchable",IFERROR($AX188*_xlfn.XLOOKUP($C188,$BM$1:$BM$3,BQ$1:BQ$3)/SUMPRODUCT(_xlfn.XLOOKUP($C188,$BM$1:$BM$3,$BN$1:$BY$3),$BN$4:$BY$4),""),
"")</f>
        <v/>
      </c>
      <c r="BR188" s="8" t="str">
        <f>IF(_xlfn.XLOOKUP($B188,'ELC TECH'!$H:$H,'ELC TECH'!$E:$E)="Non Dispatchable",IFERROR($AX188*_xlfn.XLOOKUP($C188,$BM$1:$BM$3,BR$1:BR$3)/SUMPRODUCT(_xlfn.XLOOKUP($C188,$BM$1:$BM$3,$BN$1:$BY$3),$BN$4:$BY$4),""),
"")</f>
        <v/>
      </c>
      <c r="BS188" s="8" t="str">
        <f>IF(_xlfn.XLOOKUP($B188,'ELC TECH'!$H:$H,'ELC TECH'!$E:$E)="Non Dispatchable",IFERROR($AX188*_xlfn.XLOOKUP($C188,$BM$1:$BM$3,BS$1:BS$3)/SUMPRODUCT(_xlfn.XLOOKUP($C188,$BM$1:$BM$3,$BN$1:$BY$3),$BN$4:$BY$4),""),
"")</f>
        <v/>
      </c>
      <c r="BT188" s="8" t="str">
        <f>IF(_xlfn.XLOOKUP($B188,'ELC TECH'!$H:$H,'ELC TECH'!$E:$E)="Non Dispatchable",IFERROR($AX188*_xlfn.XLOOKUP($C188,$BM$1:$BM$3,BT$1:BT$3)/SUMPRODUCT(_xlfn.XLOOKUP($C188,$BM$1:$BM$3,$BN$1:$BY$3),$BN$4:$BY$4),""),
"")</f>
        <v/>
      </c>
      <c r="BU188" s="8" t="str">
        <f>IF(_xlfn.XLOOKUP($B188,'ELC TECH'!$H:$H,'ELC TECH'!$E:$E)="Non Dispatchable",IFERROR($AX188*_xlfn.XLOOKUP($C188,$BM$1:$BM$3,BU$1:BU$3)/SUMPRODUCT(_xlfn.XLOOKUP($C188,$BM$1:$BM$3,$BN$1:$BY$3),$BN$4:$BY$4),""),
"")</f>
        <v/>
      </c>
      <c r="BV188" s="8" t="str">
        <f>IF(_xlfn.XLOOKUP($B188,'ELC TECH'!$H:$H,'ELC TECH'!$E:$E)="Non Dispatchable",IFERROR($AX188*_xlfn.XLOOKUP($C188,$BM$1:$BM$3,BV$1:BV$3)/SUMPRODUCT(_xlfn.XLOOKUP($C188,$BM$1:$BM$3,$BN$1:$BY$3),$BN$4:$BY$4),""),
"")</f>
        <v/>
      </c>
      <c r="BW188" s="8" t="str">
        <f>IF(_xlfn.XLOOKUP($B188,'ELC TECH'!$H:$H,'ELC TECH'!$E:$E)="Non Dispatchable",IFERROR($AX188*_xlfn.XLOOKUP($C188,$BM$1:$BM$3,BW$1:BW$3)/SUMPRODUCT(_xlfn.XLOOKUP($C188,$BM$1:$BM$3,$BN$1:$BY$3),$BN$4:$BY$4),""),
"")</f>
        <v/>
      </c>
      <c r="BX188" s="8" t="str">
        <f>IF(_xlfn.XLOOKUP($B188,'ELC TECH'!$H:$H,'ELC TECH'!$E:$E)="Non Dispatchable",IFERROR($AX188*_xlfn.XLOOKUP($C188,$BM$1:$BM$3,BX$1:BX$3)/SUMPRODUCT(_xlfn.XLOOKUP($C188,$BM$1:$BM$3,$BN$1:$BY$3),$BN$4:$BY$4),""),
"")</f>
        <v/>
      </c>
      <c r="BY188" s="8" t="str">
        <f>IF(_xlfn.XLOOKUP($B188,'ELC TECH'!$H:$H,'ELC TECH'!$E:$E)="Non Dispatchable",IFERROR($AX188*_xlfn.XLOOKUP($C188,$BM$1:$BM$3,BY$1:BY$3)/SUMPRODUCT(_xlfn.XLOOKUP($C188,$BM$1:$BM$3,$BN$1:$BY$3),$BN$4:$BY$4),""),
"")</f>
        <v/>
      </c>
      <c r="BZ188" s="8" t="str">
        <f>IF(_xlfn.XLOOKUP($B188,'ELC TECH'!$H:$H,'ELC TECH'!$E:$E)="Non Dispatchable",IFERROR($AX188*_xlfn.XLOOKUP($C188,$BM$1:$BM$3,BZ$1:BZ$3)/SUMPRODUCT(_xlfn.XLOOKUP($C188,$BM$1:$BM$3,$BN$1:$BY$3),$BN$4:$BY$4),""),
"")</f>
        <v/>
      </c>
      <c r="CA188" s="8" t="str">
        <f>IF(_xlfn.XLOOKUP($B188,'ELC TECH'!$H:$H,'ELC TECH'!$E:$E)="Non Dispatchable",IFERROR($AX188*_xlfn.XLOOKUP($C188,$BM$1:$BM$3,CA$1:CA$3)/SUMPRODUCT(_xlfn.XLOOKUP($C188,$BM$1:$BM$3,$BN$1:$BY$3),$BN$4:$BY$4),""),
"")</f>
        <v/>
      </c>
      <c r="CB188" s="8" t="str">
        <f>IF(_xlfn.XLOOKUP($B188,'ELC TECH'!$H:$H,'ELC TECH'!$E:$E)="Non Dispatchable",IFERROR($AX188*_xlfn.XLOOKUP($C188,$BM$1:$BM$3,CB$1:CB$3)/SUMPRODUCT(_xlfn.XLOOKUP($C188,$BM$1:$BM$3,$BN$1:$BY$3),$BN$4:$BY$4),""),
"")</f>
        <v/>
      </c>
      <c r="CC188" s="8" t="str">
        <f>IF(_xlfn.XLOOKUP($B188,'ELC TECH'!$H:$H,'ELC TECH'!$E:$E)="Non Dispatchable",IFERROR($AX188*_xlfn.XLOOKUP($C188,$BM$1:$BM$3,CC$1:CC$3)/SUMPRODUCT(_xlfn.XLOOKUP($C188,$BM$1:$BM$3,$BN$1:$BY$3),$BN$4:$BY$4),""),
"")</f>
        <v/>
      </c>
      <c r="CD188" s="8" t="str">
        <f>IF(_xlfn.XLOOKUP($B188,'ELC TECH'!$H:$H,'ELC TECH'!$E:$E)="Non Dispatchable",IFERROR($AX188*_xlfn.XLOOKUP($C188,$BM$1:$BM$3,CD$1:CD$3)/SUMPRODUCT(_xlfn.XLOOKUP($C188,$BM$1:$BM$3,$BN$1:$BY$3),$BN$4:$BY$4),""),
"")</f>
        <v/>
      </c>
      <c r="CE188" s="8" t="str">
        <f>IF(_xlfn.XLOOKUP($B188,'ELC TECH'!$H:$H,'ELC TECH'!$E:$E)="Non Dispatchable",IFERROR($AX188*_xlfn.XLOOKUP($C188,$BM$1:$BM$3,CE$1:CE$3)/SUMPRODUCT(_xlfn.XLOOKUP($C188,$BM$1:$BM$3,$BN$1:$BY$3),$BN$4:$BY$4),""),
"")</f>
        <v/>
      </c>
      <c r="CF188" s="8" t="str">
        <f>IF(_xlfn.XLOOKUP($B188,'ELC TECH'!$H:$H,'ELC TECH'!$E:$E)="Non Dispatchable",IFERROR($AX188*_xlfn.XLOOKUP($C188,$BM$1:$BM$3,CF$1:CF$3)/SUMPRODUCT(_xlfn.XLOOKUP($C188,$BM$1:$BM$3,$BN$1:$BY$3),$BN$4:$BY$4),""),
"")</f>
        <v/>
      </c>
      <c r="CG188" s="8" t="str">
        <f>IF(_xlfn.XLOOKUP($B188,'ELC TECH'!$H:$H,'ELC TECH'!$E:$E)="Non Dispatchable",IFERROR($AX188*_xlfn.XLOOKUP($C188,$BM$1:$BM$3,CG$1:CG$3)/SUMPRODUCT(_xlfn.XLOOKUP($C188,$BM$1:$BM$3,$BN$1:$BY$3),$BN$4:$BY$4),""),
"")</f>
        <v/>
      </c>
      <c r="CH188" s="8" t="str">
        <f>IF(_xlfn.XLOOKUP($B188,'ELC TECH'!$H:$H,'ELC TECH'!$E:$E)="Non Dispatchable",IFERROR($AX188*_xlfn.XLOOKUP($C188,$BM$1:$BM$3,CH$1:CH$3)/SUMPRODUCT(_xlfn.XLOOKUP($C188,$BM$1:$BM$3,$BN$1:$BY$3),$BN$4:$BY$4),""),
"")</f>
        <v/>
      </c>
      <c r="CI188" s="8" t="str">
        <f>IF(_xlfn.XLOOKUP($B188,'ELC TECH'!$H:$H,'ELC TECH'!$E:$E)="Non Dispatchable",IFERROR($AX188*_xlfn.XLOOKUP($C188,$BM$1:$BM$3,CI$1:CI$3)/SUMPRODUCT(_xlfn.XLOOKUP($C188,$BM$1:$BM$3,$BN$1:$BY$3),$BN$4:$BY$4),""),
"")</f>
        <v/>
      </c>
      <c r="CJ188" s="8" t="str">
        <f>IF(_xlfn.XLOOKUP($B188,'ELC TECH'!$H:$H,'ELC TECH'!$E:$E)="Non Dispatchable",IFERROR($AX188*_xlfn.XLOOKUP($C188,$BM$1:$BM$3,CJ$1:CJ$3)/SUMPRODUCT(_xlfn.XLOOKUP($C188,$BM$1:$BM$3,$BN$1:$BY$3),$BN$4:$BY$4),""),
"")</f>
        <v/>
      </c>
      <c r="CK188" s="8" t="str">
        <f>IF(_xlfn.XLOOKUP($B188,'ELC TECH'!$H:$H,'ELC TECH'!$E:$E)="Non Dispatchable",IFERROR($AX188*_xlfn.XLOOKUP($C188,$BM$1:$BM$3,CK$1:CK$3)/SUMPRODUCT(_xlfn.XLOOKUP($C188,$BM$1:$BM$3,$BN$1:$BY$3),$BN$4:$BY$4),""),
"")</f>
        <v/>
      </c>
      <c r="CL188" s="8">
        <f>IF(_xlfn.XLOOKUP($B188,'ELC TECH'!$H:$H,'ELC TECH'!$E:$E)="Storage",CL$4*$BF188,"")</f>
        <v>1.3700000000000004E-2</v>
      </c>
      <c r="CM188" s="8">
        <f>IF(_xlfn.XLOOKUP($B188,'ELC TECH'!$H:$H,'ELC TECH'!$E:$E)="Storage",CM$4*$BF188,"")</f>
        <v>1.5950000000000002E-2</v>
      </c>
      <c r="CN188" s="8">
        <f>IF(_xlfn.XLOOKUP($B188,'ELC TECH'!$H:$H,'ELC TECH'!$E:$E)="Storage",CN$4*$BF188,"")</f>
        <v>2.5533333333333342E-2</v>
      </c>
      <c r="CO188" s="8">
        <f>IF(_xlfn.XLOOKUP($B188,'ELC TECH'!$H:$H,'ELC TECH'!$E:$E)="Storage",CO$4*$BF188,"")</f>
        <v>5.3333333333333347E-4</v>
      </c>
      <c r="CP188" s="8">
        <f>IF(_xlfn.XLOOKUP($B188,'ELC TECH'!$H:$H,'ELC TECH'!$E:$E)="Storage",CP$4*$BF188,"")</f>
        <v>1.3583333333333338E-2</v>
      </c>
      <c r="CQ188" s="8">
        <f>IF(_xlfn.XLOOKUP($B188,'ELC TECH'!$H:$H,'ELC TECH'!$E:$E)="Storage",CQ$4*$BF188,"")</f>
        <v>1.8116666666666673E-2</v>
      </c>
      <c r="CR188" s="8">
        <f>IF(_xlfn.XLOOKUP($B188,'ELC TECH'!$H:$H,'ELC TECH'!$E:$E)="Storage",CR$4*$BF188,"")</f>
        <v>2.3016666666666675E-2</v>
      </c>
      <c r="CS188" s="8">
        <f>IF(_xlfn.XLOOKUP($B188,'ELC TECH'!$H:$H,'ELC TECH'!$E:$E)="Storage",CS$4*$BF188,"")</f>
        <v>5.3333333333333347E-4</v>
      </c>
      <c r="CT188" s="8">
        <f>IF(_xlfn.XLOOKUP($B188,'ELC TECH'!$H:$H,'ELC TECH'!$E:$E)="Storage",CT$4*$BF188,"")</f>
        <v>1.6250000000000004E-2</v>
      </c>
      <c r="CU188" s="8">
        <f>IF(_xlfn.XLOOKUP($B188,'ELC TECH'!$H:$H,'ELC TECH'!$E:$E)="Storage",CU$4*$BF188,"")</f>
        <v>1.8116666666666673E-2</v>
      </c>
      <c r="CV188" s="8">
        <f>IF(_xlfn.XLOOKUP($B188,'ELC TECH'!$H:$H,'ELC TECH'!$E:$E)="Storage",CV$4*$BF188,"")</f>
        <v>2.0883333333333337E-2</v>
      </c>
      <c r="CW188" s="8">
        <f>IF(_xlfn.XLOOKUP($B188,'ELC TECH'!$H:$H,'ELC TECH'!$E:$E)="Storage",CW$4*$BF188,"")</f>
        <v>4.5000000000000015E-4</v>
      </c>
      <c r="CX188" s="8">
        <f>IF(_xlfn.XLOOKUP($B188,'ELC TECH'!$H:$H,'ELC TECH'!$E:$E)="Storage",CX$4*$BF188,"")</f>
        <v>1.3700000000000004E-2</v>
      </c>
      <c r="CY188" s="8">
        <f>IF(_xlfn.XLOOKUP($B188,'ELC TECH'!$H:$H,'ELC TECH'!$E:$E)="Storage",CY$4*$BF188,"")</f>
        <v>1.5950000000000002E-2</v>
      </c>
      <c r="CZ188" s="8">
        <f>IF(_xlfn.XLOOKUP($B188,'ELC TECH'!$H:$H,'ELC TECH'!$E:$E)="Storage",CZ$4*$BF188,"")</f>
        <v>2.5533333333333342E-2</v>
      </c>
      <c r="DA188" s="8">
        <f>IF(_xlfn.XLOOKUP($B188,'ELC TECH'!$H:$H,'ELC TECH'!$E:$E)="Storage",DA$4*$BF188,"")</f>
        <v>5.3333333333333347E-4</v>
      </c>
      <c r="DB188" s="8">
        <f>IF(_xlfn.XLOOKUP($B188,'ELC TECH'!$H:$H,'ELC TECH'!$E:$E)="Storage",DB$4*$BF188,"")</f>
        <v>1.3583333333333338E-2</v>
      </c>
      <c r="DC188" s="8">
        <f>IF(_xlfn.XLOOKUP($B188,'ELC TECH'!$H:$H,'ELC TECH'!$E:$E)="Storage",DC$4*$BF188,"")</f>
        <v>1.8116666666666673E-2</v>
      </c>
      <c r="DD188" s="8">
        <f>IF(_xlfn.XLOOKUP($B188,'ELC TECH'!$H:$H,'ELC TECH'!$E:$E)="Storage",DD$4*$BF188,"")</f>
        <v>2.3016666666666675E-2</v>
      </c>
      <c r="DE188" s="8">
        <f>IF(_xlfn.XLOOKUP($B188,'ELC TECH'!$H:$H,'ELC TECH'!$E:$E)="Storage",DE$4*$BF188,"")</f>
        <v>5.3333333333333347E-4</v>
      </c>
      <c r="DF188" s="8">
        <f>IF(_xlfn.XLOOKUP($B188,'ELC TECH'!$H:$H,'ELC TECH'!$E:$E)="Storage",DF$4*$BF188,"")</f>
        <v>1.6250000000000004E-2</v>
      </c>
      <c r="DG188" s="8">
        <f>IF(_xlfn.XLOOKUP($B188,'ELC TECH'!$H:$H,'ELC TECH'!$E:$E)="Storage",DG$4*$BF188,"")</f>
        <v>1.8116666666666673E-2</v>
      </c>
      <c r="DH188" s="8">
        <f>IF(_xlfn.XLOOKUP($B188,'ELC TECH'!$H:$H,'ELC TECH'!$E:$E)="Storage",DH$4*$BF188,"")</f>
        <v>2.0883333333333337E-2</v>
      </c>
      <c r="DI188" s="8">
        <f>IF(_xlfn.XLOOKUP($B188,'ELC TECH'!$H:$H,'ELC TECH'!$E:$E)="Storage",DI$4*$BF188,"")</f>
        <v>4.5000000000000015E-4</v>
      </c>
    </row>
    <row r="189" spans="2:113" x14ac:dyDescent="0.25">
      <c r="B189" t="str">
        <f>IF('ELC TECH'!I182=0,"*",'ELC TECH'!H182)</f>
        <v>ELCSTGDCECBES6H20</v>
      </c>
      <c r="C189" t="str">
        <f>IF(_xlfn.XLOOKUP(_xlfn.XLOOKUP(B189,'ELC TECH'!$H:$H,'ELC TECH'!$G:$G),List!C:C,List!B:B)="STG",D189,"ELC"&amp;_xlfn.XLOOKUP(_xlfn.XLOOKUP(B189,'ELC TECH'!H:H,'ELC TECH'!G:G),List!C:C,List!B:B))</f>
        <v>COMELC</v>
      </c>
      <c r="D189" t="s">
        <v>546</v>
      </c>
      <c r="E189">
        <f>_xlfn.XLOOKUP(B189,'ELC TECH'!H:H,'ELC TECH'!D:D)</f>
        <v>2020</v>
      </c>
      <c r="F189">
        <f>_xlfn.XLOOKUP(B189,'ELC TECH'!H:H,'ELC TECH'!K:K)</f>
        <v>15</v>
      </c>
      <c r="G189">
        <f t="shared" si="9"/>
        <v>31.535999999999998</v>
      </c>
      <c r="H189">
        <f>IF(_xlfn.XLOOKUP(B189,'ELC TECH'!$H:$H,'ELC TECH'!$E:$E)="Storage",0.3,IF(_xlfn.XLOOKUP(B189,'ELC TECH'!$H:$H,'ELC TECH'!$E:$E)="Baseload",0.9,IF(_xlfn.XLOOKUP(B189,'ELC TECH'!$H:$H,'ELC TECH'!$E:$E)="Non Dispatchable",0.05,IF(_xlfn.XLOOKUP(B189,'ELC TECH'!$H:$H,'ELC TECH'!$E:$E)="Dispatchable",0.9,1))))</f>
        <v>0.3</v>
      </c>
      <c r="I189" s="13" t="str">
        <f>IF(_xlfn.XLOOKUP(B189,'ELC TECH'!H:H,'ELC TECH'!J:J)="","",_xlfn.XLOOKUP(B189,'ELC TECH'!H:H,'ELC TECH'!J:J))</f>
        <v/>
      </c>
      <c r="J189" s="12" t="str">
        <f>IF(_xlfn.XLOOKUP($B189,'ELC TECH'!$H:$H,'ELC TECH'!$E:$E)="Storage","",IF(_xlfn.XLOOKUP($B189,'ELC TECH'!$H:$H,'ELC TECH'!AK:AK)="",1,_xlfn.XLOOKUP($B189,'ELC TECH'!$H:$H,'ELC TECH'!AK:AK)))</f>
        <v/>
      </c>
      <c r="K189" s="12" t="str">
        <f>IF(_xlfn.XLOOKUP($B189,'ELC TECH'!$H:$H,'ELC TECH'!$E:$E)="Storage","",IF(_xlfn.XLOOKUP($B189,'ELC TECH'!$H:$H,'ELC TECH'!AL:AL)="",1,_xlfn.XLOOKUP($B189,'ELC TECH'!$H:$H,'ELC TECH'!AL:AL)))</f>
        <v/>
      </c>
      <c r="L189" s="12" t="str">
        <f>IF(_xlfn.XLOOKUP($B189,'ELC TECH'!$H:$H,'ELC TECH'!$E:$E)="Storage","",IF(_xlfn.XLOOKUP($B189,'ELC TECH'!$H:$H,'ELC TECH'!AM:AM)="",1,_xlfn.XLOOKUP($B189,'ELC TECH'!$H:$H,'ELC TECH'!AM:AM)))</f>
        <v/>
      </c>
      <c r="M189" s="12" t="str">
        <f>IF(_xlfn.XLOOKUP($B189,'ELC TECH'!$H:$H,'ELC TECH'!$E:$E)="Storage","",IF(_xlfn.XLOOKUP($B189,'ELC TECH'!$H:$H,'ELC TECH'!AN:AN)="",1,_xlfn.XLOOKUP($B189,'ELC TECH'!$H:$H,'ELC TECH'!AN:AN)))</f>
        <v/>
      </c>
      <c r="N189" s="12" t="str">
        <f>IF(_xlfn.XLOOKUP($B189,'ELC TECH'!$H:$H,'ELC TECH'!$E:$E)="Storage","",IF(_xlfn.XLOOKUP($B189,'ELC TECH'!$H:$H,'ELC TECH'!AO:AO)="",1,_xlfn.XLOOKUP($B189,'ELC TECH'!$H:$H,'ELC TECH'!AO:AO)))</f>
        <v/>
      </c>
      <c r="O189" s="12" t="str">
        <f>IF(_xlfn.XLOOKUP($B189,'ELC TECH'!$H:$H,'ELC TECH'!$E:$E)="Storage","",IF(_xlfn.XLOOKUP($B189,'ELC TECH'!$H:$H,'ELC TECH'!AP:AP)="",1,_xlfn.XLOOKUP($B189,'ELC TECH'!$H:$H,'ELC TECH'!AP:AP)))</f>
        <v/>
      </c>
      <c r="P189" s="12" t="str">
        <f>IF(_xlfn.XLOOKUP($B189,'ELC TECH'!$H:$H,'ELC TECH'!$E:$E)="Storage","",IF(_xlfn.XLOOKUP($B189,'ELC TECH'!$H:$H,'ELC TECH'!AQ:AQ)="",1,_xlfn.XLOOKUP($B189,'ELC TECH'!$H:$H,'ELC TECH'!AQ:AQ)))</f>
        <v/>
      </c>
      <c r="Q189" s="12" t="str">
        <f>IF(_xlfn.XLOOKUP($B189,'ELC TECH'!$H:$H,'ELC TECH'!$E:$E)="Storage","",IF(_xlfn.XLOOKUP($B189,'ELC TECH'!$H:$H,'ELC TECH'!AR:AR)="",1,_xlfn.XLOOKUP($B189,'ELC TECH'!$H:$H,'ELC TECH'!AR:AR)))</f>
        <v/>
      </c>
      <c r="R189" s="12">
        <f>IF(_xlfn.XLOOKUP($B189,'ELC TECH'!$H:$H,'ELC TECH'!$E:$E)&lt;&gt;"Storage","",IF(_xlfn.XLOOKUP($B189,'ELC TECH'!$H:$H,'ELC TECH'!AK:AK)="",0.8,_xlfn.XLOOKUP($B189,'ELC TECH'!$H:$H,'ELC TECH'!AK:AK)))</f>
        <v>0.8</v>
      </c>
      <c r="S189" s="12">
        <f>IF(_xlfn.XLOOKUP($B189,'ELC TECH'!$H:$H,'ELC TECH'!$E:$E)&lt;&gt;"Storage","",IF(_xlfn.XLOOKUP($B189,'ELC TECH'!$H:$H,'ELC TECH'!AL:AL)="",0.8,_xlfn.XLOOKUP($B189,'ELC TECH'!$H:$H,'ELC TECH'!AL:AL)))</f>
        <v>0.8</v>
      </c>
      <c r="T189" s="12">
        <f>IF(_xlfn.XLOOKUP($B189,'ELC TECH'!$H:$H,'ELC TECH'!$E:$E)&lt;&gt;"Storage","",IF(_xlfn.XLOOKUP($B189,'ELC TECH'!$H:$H,'ELC TECH'!AM:AM)="",0.8,_xlfn.XLOOKUP($B189,'ELC TECH'!$H:$H,'ELC TECH'!AM:AM)))</f>
        <v>0.8</v>
      </c>
      <c r="U189" s="12">
        <f>IF(_xlfn.XLOOKUP($B189,'ELC TECH'!$H:$H,'ELC TECH'!$E:$E)&lt;&gt;"Storage","",IF(_xlfn.XLOOKUP($B189,'ELC TECH'!$H:$H,'ELC TECH'!AN:AN)="",0.8,_xlfn.XLOOKUP($B189,'ELC TECH'!$H:$H,'ELC TECH'!AN:AN)))</f>
        <v>0.8</v>
      </c>
      <c r="V189" s="12">
        <f>IF(_xlfn.XLOOKUP($B189,'ELC TECH'!$H:$H,'ELC TECH'!$E:$E)&lt;&gt;"Storage","",IF(_xlfn.XLOOKUP($B189,'ELC TECH'!$H:$H,'ELC TECH'!AO:AO)="",0.8,_xlfn.XLOOKUP($B189,'ELC TECH'!$H:$H,'ELC TECH'!AO:AO)))</f>
        <v>0.8</v>
      </c>
      <c r="W189" s="12">
        <f>IF(_xlfn.XLOOKUP($B189,'ELC TECH'!$H:$H,'ELC TECH'!$E:$E)&lt;&gt;"Storage","",IF(_xlfn.XLOOKUP($B189,'ELC TECH'!$H:$H,'ELC TECH'!AP:AP)="",0.8,_xlfn.XLOOKUP($B189,'ELC TECH'!$H:$H,'ELC TECH'!AP:AP)))</f>
        <v>0.8</v>
      </c>
      <c r="X189" s="12">
        <f>IF(_xlfn.XLOOKUP($B189,'ELC TECH'!$H:$H,'ELC TECH'!$E:$E)&lt;&gt;"Storage","",IF(_xlfn.XLOOKUP($B189,'ELC TECH'!$H:$H,'ELC TECH'!AQ:AQ)="",0.8,_xlfn.XLOOKUP($B189,'ELC TECH'!$H:$H,'ELC TECH'!AQ:AQ)))</f>
        <v>0.8</v>
      </c>
      <c r="Y189" s="12">
        <f>IF(_xlfn.XLOOKUP($B189,'ELC TECH'!$H:$H,'ELC TECH'!$E:$E)&lt;&gt;"Storage","",IF(_xlfn.XLOOKUP($B189,'ELC TECH'!$H:$H,'ELC TECH'!AR:AR)="",0.8,_xlfn.XLOOKUP($B189,'ELC TECH'!$H:$H,'ELC TECH'!AR:AR)))</f>
        <v>0.8</v>
      </c>
      <c r="Z189" s="15">
        <f>_xlfn.XLOOKUP($B189,'ELC TECH'!$H:$H,'ELC TECH'!M:M)</f>
        <v>2711.9554940736562</v>
      </c>
      <c r="AA189" s="15">
        <f>_xlfn.XLOOKUP($B189,'ELC TECH'!$H:$H,'ELC TECH'!N:N)</f>
        <v>2672.1908975905581</v>
      </c>
      <c r="AB189" s="15">
        <f>_xlfn.XLOOKUP($B189,'ELC TECH'!$H:$H,'ELC TECH'!O:O)</f>
        <v>2183.690601552682</v>
      </c>
      <c r="AC189" s="15">
        <f>_xlfn.XLOOKUP($B189,'ELC TECH'!$H:$H,'ELC TECH'!P:P)</f>
        <v>2047.209938955637</v>
      </c>
      <c r="AD189" s="15">
        <f>_xlfn.XLOOKUP($B189,'ELC TECH'!$H:$H,'ELC TECH'!Q:Q)</f>
        <v>1910.729276358592</v>
      </c>
      <c r="AE189" s="15">
        <f>_xlfn.XLOOKUP($B189,'ELC TECH'!$H:$H,'ELC TECH'!R:R)</f>
        <v>1774.248613761557</v>
      </c>
      <c r="AF189" s="15">
        <f>_xlfn.XLOOKUP($B189,'ELC TECH'!$H:$H,'ELC TECH'!S:S)</f>
        <v>1637.7679511645119</v>
      </c>
      <c r="AG189" s="15">
        <f>_xlfn.XLOOKUP($B189,'ELC TECH'!$H:$H,'ELC TECH'!T:T)</f>
        <v>1637.7679511645119</v>
      </c>
      <c r="AH189" s="15">
        <f>_xlfn.XLOOKUP($B189,'ELC TECH'!$H:$H,'ELC TECH'!U:U)</f>
        <v>67.798887351841344</v>
      </c>
      <c r="AI189" s="15">
        <f>_xlfn.XLOOKUP($B189,'ELC TECH'!$H:$H,'ELC TECH'!V:V)</f>
        <v>66.804772439763951</v>
      </c>
      <c r="AJ189" s="15">
        <f>_xlfn.XLOOKUP($B189,'ELC TECH'!$H:$H,'ELC TECH'!W:W)</f>
        <v>54.592265038817061</v>
      </c>
      <c r="AK189" s="15">
        <f>_xlfn.XLOOKUP($B189,'ELC TECH'!$H:$H,'ELC TECH'!X:X)</f>
        <v>51.180248473891091</v>
      </c>
      <c r="AL189" s="15">
        <f>_xlfn.XLOOKUP($B189,'ELC TECH'!$H:$H,'ELC TECH'!Y:Y)</f>
        <v>47.768231908965006</v>
      </c>
      <c r="AM189" s="15">
        <f>_xlfn.XLOOKUP($B189,'ELC TECH'!$H:$H,'ELC TECH'!Z:Z)</f>
        <v>44.35621534403893</v>
      </c>
      <c r="AN189" s="15">
        <f>_xlfn.XLOOKUP($B189,'ELC TECH'!$H:$H,'ELC TECH'!AA:AA)</f>
        <v>40.944198779112853</v>
      </c>
      <c r="AO189" s="15">
        <f>_xlfn.XLOOKUP($B189,'ELC TECH'!$H:$H,'ELC TECH'!AB:AB)</f>
        <v>40.944198779112853</v>
      </c>
      <c r="AP189" s="15">
        <f>_xlfn.XLOOKUP($B189,'ELC TECH'!$H:$H,'ELC TECH'!AC:AC)</f>
        <v>0</v>
      </c>
      <c r="AQ189" s="15">
        <f>_xlfn.XLOOKUP($B189,'ELC TECH'!$H:$H,'ELC TECH'!AD:AD)</f>
        <v>0</v>
      </c>
      <c r="AR189" s="15">
        <f>_xlfn.XLOOKUP($B189,'ELC TECH'!$H:$H,'ELC TECH'!AE:AE)</f>
        <v>0</v>
      </c>
      <c r="AS189" s="15">
        <f>_xlfn.XLOOKUP($B189,'ELC TECH'!$H:$H,'ELC TECH'!AF:AF)</f>
        <v>0</v>
      </c>
      <c r="AT189" s="15">
        <f>_xlfn.XLOOKUP($B189,'ELC TECH'!$H:$H,'ELC TECH'!AG:AG)</f>
        <v>0</v>
      </c>
      <c r="AU189" s="15">
        <f>_xlfn.XLOOKUP($B189,'ELC TECH'!$H:$H,'ELC TECH'!AH:AH)</f>
        <v>0</v>
      </c>
      <c r="AV189" s="15">
        <f>_xlfn.XLOOKUP($B189,'ELC TECH'!$H:$H,'ELC TECH'!AI:AI)</f>
        <v>0</v>
      </c>
      <c r="AW189" s="15">
        <f>_xlfn.XLOOKUP($B189,'ELC TECH'!$H:$H,'ELC TECH'!AJ:AJ)</f>
        <v>0</v>
      </c>
      <c r="AX189" s="12" t="str">
        <f>IF(_xlfn.XLOOKUP($B189,'ELC TECH'!$H:$H,'ELC TECH'!$E:$E)="Storage","",_xlfn.XLOOKUP($B189,'ELC TECH'!$H:$H,'ELC TECH'!AS:AS))</f>
        <v/>
      </c>
      <c r="AY189" s="12" t="str">
        <f>IF(_xlfn.XLOOKUP($B189,'ELC TECH'!$H:$H,'ELC TECH'!$E:$E)="Storage","",_xlfn.XLOOKUP($B189,'ELC TECH'!$H:$H,'ELC TECH'!AT:AT))</f>
        <v/>
      </c>
      <c r="AZ189" s="12" t="str">
        <f>IF(_xlfn.XLOOKUP($B189,'ELC TECH'!$H:$H,'ELC TECH'!$E:$E)="Storage","",_xlfn.XLOOKUP($B189,'ELC TECH'!$H:$H,'ELC TECH'!AU:AU))</f>
        <v/>
      </c>
      <c r="BA189" s="12" t="str">
        <f>IF(_xlfn.XLOOKUP($B189,'ELC TECH'!$H:$H,'ELC TECH'!$E:$E)="Storage","",_xlfn.XLOOKUP($B189,'ELC TECH'!$H:$H,'ELC TECH'!AV:AV))</f>
        <v/>
      </c>
      <c r="BB189" s="12" t="str">
        <f>IF(_xlfn.XLOOKUP($B189,'ELC TECH'!$H:$H,'ELC TECH'!$E:$E)="Storage","",_xlfn.XLOOKUP($B189,'ELC TECH'!$H:$H,'ELC TECH'!AW:AW))</f>
        <v/>
      </c>
      <c r="BC189" s="12" t="str">
        <f>IF(_xlfn.XLOOKUP($B189,'ELC TECH'!$H:$H,'ELC TECH'!$E:$E)="Storage","",_xlfn.XLOOKUP($B189,'ELC TECH'!$H:$H,'ELC TECH'!AX:AX))</f>
        <v/>
      </c>
      <c r="BD189" s="12" t="str">
        <f>IF(_xlfn.XLOOKUP($B189,'ELC TECH'!$H:$H,'ELC TECH'!$E:$E)="Storage","",_xlfn.XLOOKUP($B189,'ELC TECH'!$H:$H,'ELC TECH'!AY:AY))</f>
        <v/>
      </c>
      <c r="BE189" s="12" t="str">
        <f>IF(_xlfn.XLOOKUP($B189,'ELC TECH'!$H:$H,'ELC TECH'!$E:$E)="Storage","",_xlfn.XLOOKUP($B189,'ELC TECH'!$H:$H,'ELC TECH'!AZ:AZ))</f>
        <v/>
      </c>
      <c r="BF189" s="12">
        <f>IF(_xlfn.XLOOKUP($B189,'ELC TECH'!$H:$H,'ELC TECH'!$E:$E)="Storage",_xlfn.XLOOKUP($B189,'ELC TECH'!$H:$H,'ELC TECH'!AS:AS),"")</f>
        <v>0.25</v>
      </c>
      <c r="BG189" s="12">
        <f>IF(_xlfn.XLOOKUP($B189,'ELC TECH'!$H:$H,'ELC TECH'!$E:$E)="Storage",_xlfn.XLOOKUP($B189,'ELC TECH'!$H:$H,'ELC TECH'!AT:AT),"")</f>
        <v>0.25</v>
      </c>
      <c r="BH189" s="12">
        <f>IF(_xlfn.XLOOKUP($B189,'ELC TECH'!$H:$H,'ELC TECH'!$E:$E)="Storage",_xlfn.XLOOKUP($B189,'ELC TECH'!$H:$H,'ELC TECH'!AU:AU),"")</f>
        <v>0.25</v>
      </c>
      <c r="BI189" s="12">
        <f>IF(_xlfn.XLOOKUP($B189,'ELC TECH'!$H:$H,'ELC TECH'!$E:$E)="Storage",_xlfn.XLOOKUP($B189,'ELC TECH'!$H:$H,'ELC TECH'!AV:AV),"")</f>
        <v>0.25</v>
      </c>
      <c r="BJ189" s="12">
        <f>IF(_xlfn.XLOOKUP($B189,'ELC TECH'!$H:$H,'ELC TECH'!$E:$E)="Storage",_xlfn.XLOOKUP($B189,'ELC TECH'!$H:$H,'ELC TECH'!AW:AW),"")</f>
        <v>0.25</v>
      </c>
      <c r="BK189" s="12">
        <f>IF(_xlfn.XLOOKUP($B189,'ELC TECH'!$H:$H,'ELC TECH'!$E:$E)="Storage",_xlfn.XLOOKUP($B189,'ELC TECH'!$H:$H,'ELC TECH'!AX:AX),"")</f>
        <v>0.25</v>
      </c>
      <c r="BL189" s="12">
        <f>IF(_xlfn.XLOOKUP($B189,'ELC TECH'!$H:$H,'ELC TECH'!$E:$E)="Storage",_xlfn.XLOOKUP($B189,'ELC TECH'!$H:$H,'ELC TECH'!AY:AY),"")</f>
        <v>0.25</v>
      </c>
      <c r="BM189" s="12">
        <f>IF(_xlfn.XLOOKUP($B189,'ELC TECH'!$H:$H,'ELC TECH'!$E:$E)="Storage",_xlfn.XLOOKUP($B189,'ELC TECH'!$H:$H,'ELC TECH'!AZ:AZ),"")</f>
        <v>0.25</v>
      </c>
      <c r="BN189" s="8" t="str">
        <f>IF(_xlfn.XLOOKUP($B189,'ELC TECH'!$H:$H,'ELC TECH'!$E:$E)="Non Dispatchable",IFERROR($AX189*_xlfn.XLOOKUP($C189,$BM$1:$BM$3,BN$1:BN$3)/SUMPRODUCT(_xlfn.XLOOKUP($C189,$BM$1:$BM$3,$BN$1:$BY$3),$BN$4:$BY$4),""),
"")</f>
        <v/>
      </c>
      <c r="BO189" s="8" t="str">
        <f>IF(_xlfn.XLOOKUP($B189,'ELC TECH'!$H:$H,'ELC TECH'!$E:$E)="Non Dispatchable",IFERROR($AX189*_xlfn.XLOOKUP($C189,$BM$1:$BM$3,BO$1:BO$3)/SUMPRODUCT(_xlfn.XLOOKUP($C189,$BM$1:$BM$3,$BN$1:$BY$3),$BN$4:$BY$4),""),
"")</f>
        <v/>
      </c>
      <c r="BP189" s="8" t="str">
        <f>IF(_xlfn.XLOOKUP($B189,'ELC TECH'!$H:$H,'ELC TECH'!$E:$E)="Non Dispatchable",IFERROR($AX189*_xlfn.XLOOKUP($C189,$BM$1:$BM$3,BP$1:BP$3)/SUMPRODUCT(_xlfn.XLOOKUP($C189,$BM$1:$BM$3,$BN$1:$BY$3),$BN$4:$BY$4),""),
"")</f>
        <v/>
      </c>
      <c r="BQ189" s="8" t="str">
        <f>IF(_xlfn.XLOOKUP($B189,'ELC TECH'!$H:$H,'ELC TECH'!$E:$E)="Non Dispatchable",IFERROR($AX189*_xlfn.XLOOKUP($C189,$BM$1:$BM$3,BQ$1:BQ$3)/SUMPRODUCT(_xlfn.XLOOKUP($C189,$BM$1:$BM$3,$BN$1:$BY$3),$BN$4:$BY$4),""),
"")</f>
        <v/>
      </c>
      <c r="BR189" s="8" t="str">
        <f>IF(_xlfn.XLOOKUP($B189,'ELC TECH'!$H:$H,'ELC TECH'!$E:$E)="Non Dispatchable",IFERROR($AX189*_xlfn.XLOOKUP($C189,$BM$1:$BM$3,BR$1:BR$3)/SUMPRODUCT(_xlfn.XLOOKUP($C189,$BM$1:$BM$3,$BN$1:$BY$3),$BN$4:$BY$4),""),
"")</f>
        <v/>
      </c>
      <c r="BS189" s="8" t="str">
        <f>IF(_xlfn.XLOOKUP($B189,'ELC TECH'!$H:$H,'ELC TECH'!$E:$E)="Non Dispatchable",IFERROR($AX189*_xlfn.XLOOKUP($C189,$BM$1:$BM$3,BS$1:BS$3)/SUMPRODUCT(_xlfn.XLOOKUP($C189,$BM$1:$BM$3,$BN$1:$BY$3),$BN$4:$BY$4),""),
"")</f>
        <v/>
      </c>
      <c r="BT189" s="8" t="str">
        <f>IF(_xlfn.XLOOKUP($B189,'ELC TECH'!$H:$H,'ELC TECH'!$E:$E)="Non Dispatchable",IFERROR($AX189*_xlfn.XLOOKUP($C189,$BM$1:$BM$3,BT$1:BT$3)/SUMPRODUCT(_xlfn.XLOOKUP($C189,$BM$1:$BM$3,$BN$1:$BY$3),$BN$4:$BY$4),""),
"")</f>
        <v/>
      </c>
      <c r="BU189" s="8" t="str">
        <f>IF(_xlfn.XLOOKUP($B189,'ELC TECH'!$H:$H,'ELC TECH'!$E:$E)="Non Dispatchable",IFERROR($AX189*_xlfn.XLOOKUP($C189,$BM$1:$BM$3,BU$1:BU$3)/SUMPRODUCT(_xlfn.XLOOKUP($C189,$BM$1:$BM$3,$BN$1:$BY$3),$BN$4:$BY$4),""),
"")</f>
        <v/>
      </c>
      <c r="BV189" s="8" t="str">
        <f>IF(_xlfn.XLOOKUP($B189,'ELC TECH'!$H:$H,'ELC TECH'!$E:$E)="Non Dispatchable",IFERROR($AX189*_xlfn.XLOOKUP($C189,$BM$1:$BM$3,BV$1:BV$3)/SUMPRODUCT(_xlfn.XLOOKUP($C189,$BM$1:$BM$3,$BN$1:$BY$3),$BN$4:$BY$4),""),
"")</f>
        <v/>
      </c>
      <c r="BW189" s="8" t="str">
        <f>IF(_xlfn.XLOOKUP($B189,'ELC TECH'!$H:$H,'ELC TECH'!$E:$E)="Non Dispatchable",IFERROR($AX189*_xlfn.XLOOKUP($C189,$BM$1:$BM$3,BW$1:BW$3)/SUMPRODUCT(_xlfn.XLOOKUP($C189,$BM$1:$BM$3,$BN$1:$BY$3),$BN$4:$BY$4),""),
"")</f>
        <v/>
      </c>
      <c r="BX189" s="8" t="str">
        <f>IF(_xlfn.XLOOKUP($B189,'ELC TECH'!$H:$H,'ELC TECH'!$E:$E)="Non Dispatchable",IFERROR($AX189*_xlfn.XLOOKUP($C189,$BM$1:$BM$3,BX$1:BX$3)/SUMPRODUCT(_xlfn.XLOOKUP($C189,$BM$1:$BM$3,$BN$1:$BY$3),$BN$4:$BY$4),""),
"")</f>
        <v/>
      </c>
      <c r="BY189" s="8" t="str">
        <f>IF(_xlfn.XLOOKUP($B189,'ELC TECH'!$H:$H,'ELC TECH'!$E:$E)="Non Dispatchable",IFERROR($AX189*_xlfn.XLOOKUP($C189,$BM$1:$BM$3,BY$1:BY$3)/SUMPRODUCT(_xlfn.XLOOKUP($C189,$BM$1:$BM$3,$BN$1:$BY$3),$BN$4:$BY$4),""),
"")</f>
        <v/>
      </c>
      <c r="BZ189" s="8" t="str">
        <f>IF(_xlfn.XLOOKUP($B189,'ELC TECH'!$H:$H,'ELC TECH'!$E:$E)="Non Dispatchable",IFERROR($AX189*_xlfn.XLOOKUP($C189,$BM$1:$BM$3,BZ$1:BZ$3)/SUMPRODUCT(_xlfn.XLOOKUP($C189,$BM$1:$BM$3,$BN$1:$BY$3),$BN$4:$BY$4),""),
"")</f>
        <v/>
      </c>
      <c r="CA189" s="8" t="str">
        <f>IF(_xlfn.XLOOKUP($B189,'ELC TECH'!$H:$H,'ELC TECH'!$E:$E)="Non Dispatchable",IFERROR($AX189*_xlfn.XLOOKUP($C189,$BM$1:$BM$3,CA$1:CA$3)/SUMPRODUCT(_xlfn.XLOOKUP($C189,$BM$1:$BM$3,$BN$1:$BY$3),$BN$4:$BY$4),""),
"")</f>
        <v/>
      </c>
      <c r="CB189" s="8" t="str">
        <f>IF(_xlfn.XLOOKUP($B189,'ELC TECH'!$H:$H,'ELC TECH'!$E:$E)="Non Dispatchable",IFERROR($AX189*_xlfn.XLOOKUP($C189,$BM$1:$BM$3,CB$1:CB$3)/SUMPRODUCT(_xlfn.XLOOKUP($C189,$BM$1:$BM$3,$BN$1:$BY$3),$BN$4:$BY$4),""),
"")</f>
        <v/>
      </c>
      <c r="CC189" s="8" t="str">
        <f>IF(_xlfn.XLOOKUP($B189,'ELC TECH'!$H:$H,'ELC TECH'!$E:$E)="Non Dispatchable",IFERROR($AX189*_xlfn.XLOOKUP($C189,$BM$1:$BM$3,CC$1:CC$3)/SUMPRODUCT(_xlfn.XLOOKUP($C189,$BM$1:$BM$3,$BN$1:$BY$3),$BN$4:$BY$4),""),
"")</f>
        <v/>
      </c>
      <c r="CD189" s="8" t="str">
        <f>IF(_xlfn.XLOOKUP($B189,'ELC TECH'!$H:$H,'ELC TECH'!$E:$E)="Non Dispatchable",IFERROR($AX189*_xlfn.XLOOKUP($C189,$BM$1:$BM$3,CD$1:CD$3)/SUMPRODUCT(_xlfn.XLOOKUP($C189,$BM$1:$BM$3,$BN$1:$BY$3),$BN$4:$BY$4),""),
"")</f>
        <v/>
      </c>
      <c r="CE189" s="8" t="str">
        <f>IF(_xlfn.XLOOKUP($B189,'ELC TECH'!$H:$H,'ELC TECH'!$E:$E)="Non Dispatchable",IFERROR($AX189*_xlfn.XLOOKUP($C189,$BM$1:$BM$3,CE$1:CE$3)/SUMPRODUCT(_xlfn.XLOOKUP($C189,$BM$1:$BM$3,$BN$1:$BY$3),$BN$4:$BY$4),""),
"")</f>
        <v/>
      </c>
      <c r="CF189" s="8" t="str">
        <f>IF(_xlfn.XLOOKUP($B189,'ELC TECH'!$H:$H,'ELC TECH'!$E:$E)="Non Dispatchable",IFERROR($AX189*_xlfn.XLOOKUP($C189,$BM$1:$BM$3,CF$1:CF$3)/SUMPRODUCT(_xlfn.XLOOKUP($C189,$BM$1:$BM$3,$BN$1:$BY$3),$BN$4:$BY$4),""),
"")</f>
        <v/>
      </c>
      <c r="CG189" s="8" t="str">
        <f>IF(_xlfn.XLOOKUP($B189,'ELC TECH'!$H:$H,'ELC TECH'!$E:$E)="Non Dispatchable",IFERROR($AX189*_xlfn.XLOOKUP($C189,$BM$1:$BM$3,CG$1:CG$3)/SUMPRODUCT(_xlfn.XLOOKUP($C189,$BM$1:$BM$3,$BN$1:$BY$3),$BN$4:$BY$4),""),
"")</f>
        <v/>
      </c>
      <c r="CH189" s="8" t="str">
        <f>IF(_xlfn.XLOOKUP($B189,'ELC TECH'!$H:$H,'ELC TECH'!$E:$E)="Non Dispatchable",IFERROR($AX189*_xlfn.XLOOKUP($C189,$BM$1:$BM$3,CH$1:CH$3)/SUMPRODUCT(_xlfn.XLOOKUP($C189,$BM$1:$BM$3,$BN$1:$BY$3),$BN$4:$BY$4),""),
"")</f>
        <v/>
      </c>
      <c r="CI189" s="8" t="str">
        <f>IF(_xlfn.XLOOKUP($B189,'ELC TECH'!$H:$H,'ELC TECH'!$E:$E)="Non Dispatchable",IFERROR($AX189*_xlfn.XLOOKUP($C189,$BM$1:$BM$3,CI$1:CI$3)/SUMPRODUCT(_xlfn.XLOOKUP($C189,$BM$1:$BM$3,$BN$1:$BY$3),$BN$4:$BY$4),""),
"")</f>
        <v/>
      </c>
      <c r="CJ189" s="8" t="str">
        <f>IF(_xlfn.XLOOKUP($B189,'ELC TECH'!$H:$H,'ELC TECH'!$E:$E)="Non Dispatchable",IFERROR($AX189*_xlfn.XLOOKUP($C189,$BM$1:$BM$3,CJ$1:CJ$3)/SUMPRODUCT(_xlfn.XLOOKUP($C189,$BM$1:$BM$3,$BN$1:$BY$3),$BN$4:$BY$4),""),
"")</f>
        <v/>
      </c>
      <c r="CK189" s="8" t="str">
        <f>IF(_xlfn.XLOOKUP($B189,'ELC TECH'!$H:$H,'ELC TECH'!$E:$E)="Non Dispatchable",IFERROR($AX189*_xlfn.XLOOKUP($C189,$BM$1:$BM$3,CK$1:CK$3)/SUMPRODUCT(_xlfn.XLOOKUP($C189,$BM$1:$BM$3,$BN$1:$BY$3),$BN$4:$BY$4),""),
"")</f>
        <v/>
      </c>
      <c r="CL189" s="8">
        <f>IF(_xlfn.XLOOKUP($B189,'ELC TECH'!$H:$H,'ELC TECH'!$E:$E)="Storage",CL$4*$BF189,"")</f>
        <v>2.0549999999999999E-2</v>
      </c>
      <c r="CM189" s="8">
        <f>IF(_xlfn.XLOOKUP($B189,'ELC TECH'!$H:$H,'ELC TECH'!$E:$E)="Storage",CM$4*$BF189,"")</f>
        <v>2.3924999999999998E-2</v>
      </c>
      <c r="CN189" s="8">
        <f>IF(_xlfn.XLOOKUP($B189,'ELC TECH'!$H:$H,'ELC TECH'!$E:$E)="Storage",CN$4*$BF189,"")</f>
        <v>3.8300000000000001E-2</v>
      </c>
      <c r="CO189" s="8">
        <f>IF(_xlfn.XLOOKUP($B189,'ELC TECH'!$H:$H,'ELC TECH'!$E:$E)="Storage",CO$4*$BF189,"")</f>
        <v>8.0000000000000004E-4</v>
      </c>
      <c r="CP189" s="8">
        <f>IF(_xlfn.XLOOKUP($B189,'ELC TECH'!$H:$H,'ELC TECH'!$E:$E)="Storage",CP$4*$BF189,"")</f>
        <v>2.0375000000000001E-2</v>
      </c>
      <c r="CQ189" s="8">
        <f>IF(_xlfn.XLOOKUP($B189,'ELC TECH'!$H:$H,'ELC TECH'!$E:$E)="Storage",CQ$4*$BF189,"")</f>
        <v>2.7175000000000001E-2</v>
      </c>
      <c r="CR189" s="8">
        <f>IF(_xlfn.XLOOKUP($B189,'ELC TECH'!$H:$H,'ELC TECH'!$E:$E)="Storage",CR$4*$BF189,"")</f>
        <v>3.4525E-2</v>
      </c>
      <c r="CS189" s="8">
        <f>IF(_xlfn.XLOOKUP($B189,'ELC TECH'!$H:$H,'ELC TECH'!$E:$E)="Storage",CS$4*$BF189,"")</f>
        <v>8.0000000000000004E-4</v>
      </c>
      <c r="CT189" s="8">
        <f>IF(_xlfn.XLOOKUP($B189,'ELC TECH'!$H:$H,'ELC TECH'!$E:$E)="Storage",CT$4*$BF189,"")</f>
        <v>2.4375000000000001E-2</v>
      </c>
      <c r="CU189" s="8">
        <f>IF(_xlfn.XLOOKUP($B189,'ELC TECH'!$H:$H,'ELC TECH'!$E:$E)="Storage",CU$4*$BF189,"")</f>
        <v>2.7175000000000001E-2</v>
      </c>
      <c r="CV189" s="8">
        <f>IF(_xlfn.XLOOKUP($B189,'ELC TECH'!$H:$H,'ELC TECH'!$E:$E)="Storage",CV$4*$BF189,"")</f>
        <v>3.1324999999999999E-2</v>
      </c>
      <c r="CW189" s="8">
        <f>IF(_xlfn.XLOOKUP($B189,'ELC TECH'!$H:$H,'ELC TECH'!$E:$E)="Storage",CW$4*$BF189,"")</f>
        <v>6.7500000000000004E-4</v>
      </c>
      <c r="CX189" s="8">
        <f>IF(_xlfn.XLOOKUP($B189,'ELC TECH'!$H:$H,'ELC TECH'!$E:$E)="Storage",CX$4*$BF189,"")</f>
        <v>2.0549999999999999E-2</v>
      </c>
      <c r="CY189" s="8">
        <f>IF(_xlfn.XLOOKUP($B189,'ELC TECH'!$H:$H,'ELC TECH'!$E:$E)="Storage",CY$4*$BF189,"")</f>
        <v>2.3924999999999998E-2</v>
      </c>
      <c r="CZ189" s="8">
        <f>IF(_xlfn.XLOOKUP($B189,'ELC TECH'!$H:$H,'ELC TECH'!$E:$E)="Storage",CZ$4*$BF189,"")</f>
        <v>3.8300000000000001E-2</v>
      </c>
      <c r="DA189" s="8">
        <f>IF(_xlfn.XLOOKUP($B189,'ELC TECH'!$H:$H,'ELC TECH'!$E:$E)="Storage",DA$4*$BF189,"")</f>
        <v>8.0000000000000004E-4</v>
      </c>
      <c r="DB189" s="8">
        <f>IF(_xlfn.XLOOKUP($B189,'ELC TECH'!$H:$H,'ELC TECH'!$E:$E)="Storage",DB$4*$BF189,"")</f>
        <v>2.0375000000000001E-2</v>
      </c>
      <c r="DC189" s="8">
        <f>IF(_xlfn.XLOOKUP($B189,'ELC TECH'!$H:$H,'ELC TECH'!$E:$E)="Storage",DC$4*$BF189,"")</f>
        <v>2.7175000000000001E-2</v>
      </c>
      <c r="DD189" s="8">
        <f>IF(_xlfn.XLOOKUP($B189,'ELC TECH'!$H:$H,'ELC TECH'!$E:$E)="Storage",DD$4*$BF189,"")</f>
        <v>3.4525E-2</v>
      </c>
      <c r="DE189" s="8">
        <f>IF(_xlfn.XLOOKUP($B189,'ELC TECH'!$H:$H,'ELC TECH'!$E:$E)="Storage",DE$4*$BF189,"")</f>
        <v>8.0000000000000004E-4</v>
      </c>
      <c r="DF189" s="8">
        <f>IF(_xlfn.XLOOKUP($B189,'ELC TECH'!$H:$H,'ELC TECH'!$E:$E)="Storage",DF$4*$BF189,"")</f>
        <v>2.4375000000000001E-2</v>
      </c>
      <c r="DG189" s="8">
        <f>IF(_xlfn.XLOOKUP($B189,'ELC TECH'!$H:$H,'ELC TECH'!$E:$E)="Storage",DG$4*$BF189,"")</f>
        <v>2.7175000000000001E-2</v>
      </c>
      <c r="DH189" s="8">
        <f>IF(_xlfn.XLOOKUP($B189,'ELC TECH'!$H:$H,'ELC TECH'!$E:$E)="Storage",DH$4*$BF189,"")</f>
        <v>3.1324999999999999E-2</v>
      </c>
      <c r="DI189" s="8">
        <f>IF(_xlfn.XLOOKUP($B189,'ELC TECH'!$H:$H,'ELC TECH'!$E:$E)="Storage",DI$4*$BF189,"")</f>
        <v>6.7500000000000004E-4</v>
      </c>
    </row>
    <row r="190" spans="2:113" x14ac:dyDescent="0.25">
      <c r="B190" t="str">
        <f>IF('ELC TECH'!I183=0,"*",'ELC TECH'!H183)</f>
        <v>ELCSTGDCECBES8H20</v>
      </c>
      <c r="C190" t="str">
        <f>IF(_xlfn.XLOOKUP(_xlfn.XLOOKUP(B190,'ELC TECH'!$H:$H,'ELC TECH'!$G:$G),List!C:C,List!B:B)="STG",D190,"ELC"&amp;_xlfn.XLOOKUP(_xlfn.XLOOKUP(B190,'ELC TECH'!H:H,'ELC TECH'!G:G),List!C:C,List!B:B))</f>
        <v>COMELC</v>
      </c>
      <c r="D190" t="s">
        <v>546</v>
      </c>
      <c r="E190">
        <f>_xlfn.XLOOKUP(B190,'ELC TECH'!H:H,'ELC TECH'!D:D)</f>
        <v>2020</v>
      </c>
      <c r="F190">
        <f>_xlfn.XLOOKUP(B190,'ELC TECH'!H:H,'ELC TECH'!K:K)</f>
        <v>15</v>
      </c>
      <c r="G190">
        <f t="shared" si="9"/>
        <v>31.535999999999998</v>
      </c>
      <c r="H190">
        <f>IF(_xlfn.XLOOKUP(B190,'ELC TECH'!$H:$H,'ELC TECH'!$E:$E)="Storage",0.3,IF(_xlfn.XLOOKUP(B190,'ELC TECH'!$H:$H,'ELC TECH'!$E:$E)="Baseload",0.9,IF(_xlfn.XLOOKUP(B190,'ELC TECH'!$H:$H,'ELC TECH'!$E:$E)="Non Dispatchable",0.05,IF(_xlfn.XLOOKUP(B190,'ELC TECH'!$H:$H,'ELC TECH'!$E:$E)="Dispatchable",0.9,1))))</f>
        <v>0.3</v>
      </c>
      <c r="I190" s="13" t="str">
        <f>IF(_xlfn.XLOOKUP(B190,'ELC TECH'!H:H,'ELC TECH'!J:J)="","",_xlfn.XLOOKUP(B190,'ELC TECH'!H:H,'ELC TECH'!J:J))</f>
        <v/>
      </c>
      <c r="J190" s="12" t="str">
        <f>IF(_xlfn.XLOOKUP($B190,'ELC TECH'!$H:$H,'ELC TECH'!$E:$E)="Storage","",IF(_xlfn.XLOOKUP($B190,'ELC TECH'!$H:$H,'ELC TECH'!AK:AK)="",1,_xlfn.XLOOKUP($B190,'ELC TECH'!$H:$H,'ELC TECH'!AK:AK)))</f>
        <v/>
      </c>
      <c r="K190" s="12" t="str">
        <f>IF(_xlfn.XLOOKUP($B190,'ELC TECH'!$H:$H,'ELC TECH'!$E:$E)="Storage","",IF(_xlfn.XLOOKUP($B190,'ELC TECH'!$H:$H,'ELC TECH'!AL:AL)="",1,_xlfn.XLOOKUP($B190,'ELC TECH'!$H:$H,'ELC TECH'!AL:AL)))</f>
        <v/>
      </c>
      <c r="L190" s="12" t="str">
        <f>IF(_xlfn.XLOOKUP($B190,'ELC TECH'!$H:$H,'ELC TECH'!$E:$E)="Storage","",IF(_xlfn.XLOOKUP($B190,'ELC TECH'!$H:$H,'ELC TECH'!AM:AM)="",1,_xlfn.XLOOKUP($B190,'ELC TECH'!$H:$H,'ELC TECH'!AM:AM)))</f>
        <v/>
      </c>
      <c r="M190" s="12" t="str">
        <f>IF(_xlfn.XLOOKUP($B190,'ELC TECH'!$H:$H,'ELC TECH'!$E:$E)="Storage","",IF(_xlfn.XLOOKUP($B190,'ELC TECH'!$H:$H,'ELC TECH'!AN:AN)="",1,_xlfn.XLOOKUP($B190,'ELC TECH'!$H:$H,'ELC TECH'!AN:AN)))</f>
        <v/>
      </c>
      <c r="N190" s="12" t="str">
        <f>IF(_xlfn.XLOOKUP($B190,'ELC TECH'!$H:$H,'ELC TECH'!$E:$E)="Storage","",IF(_xlfn.XLOOKUP($B190,'ELC TECH'!$H:$H,'ELC TECH'!AO:AO)="",1,_xlfn.XLOOKUP($B190,'ELC TECH'!$H:$H,'ELC TECH'!AO:AO)))</f>
        <v/>
      </c>
      <c r="O190" s="12" t="str">
        <f>IF(_xlfn.XLOOKUP($B190,'ELC TECH'!$H:$H,'ELC TECH'!$E:$E)="Storage","",IF(_xlfn.XLOOKUP($B190,'ELC TECH'!$H:$H,'ELC TECH'!AP:AP)="",1,_xlfn.XLOOKUP($B190,'ELC TECH'!$H:$H,'ELC TECH'!AP:AP)))</f>
        <v/>
      </c>
      <c r="P190" s="12" t="str">
        <f>IF(_xlfn.XLOOKUP($B190,'ELC TECH'!$H:$H,'ELC TECH'!$E:$E)="Storage","",IF(_xlfn.XLOOKUP($B190,'ELC TECH'!$H:$H,'ELC TECH'!AQ:AQ)="",1,_xlfn.XLOOKUP($B190,'ELC TECH'!$H:$H,'ELC TECH'!AQ:AQ)))</f>
        <v/>
      </c>
      <c r="Q190" s="12" t="str">
        <f>IF(_xlfn.XLOOKUP($B190,'ELC TECH'!$H:$H,'ELC TECH'!$E:$E)="Storage","",IF(_xlfn.XLOOKUP($B190,'ELC TECH'!$H:$H,'ELC TECH'!AR:AR)="",1,_xlfn.XLOOKUP($B190,'ELC TECH'!$H:$H,'ELC TECH'!AR:AR)))</f>
        <v/>
      </c>
      <c r="R190" s="12">
        <f>IF(_xlfn.XLOOKUP($B190,'ELC TECH'!$H:$H,'ELC TECH'!$E:$E)&lt;&gt;"Storage","",IF(_xlfn.XLOOKUP($B190,'ELC TECH'!$H:$H,'ELC TECH'!AK:AK)="",0.8,_xlfn.XLOOKUP($B190,'ELC TECH'!$H:$H,'ELC TECH'!AK:AK)))</f>
        <v>0.8</v>
      </c>
      <c r="S190" s="12">
        <f>IF(_xlfn.XLOOKUP($B190,'ELC TECH'!$H:$H,'ELC TECH'!$E:$E)&lt;&gt;"Storage","",IF(_xlfn.XLOOKUP($B190,'ELC TECH'!$H:$H,'ELC TECH'!AL:AL)="",0.8,_xlfn.XLOOKUP($B190,'ELC TECH'!$H:$H,'ELC TECH'!AL:AL)))</f>
        <v>0.8</v>
      </c>
      <c r="T190" s="12">
        <f>IF(_xlfn.XLOOKUP($B190,'ELC TECH'!$H:$H,'ELC TECH'!$E:$E)&lt;&gt;"Storage","",IF(_xlfn.XLOOKUP($B190,'ELC TECH'!$H:$H,'ELC TECH'!AM:AM)="",0.8,_xlfn.XLOOKUP($B190,'ELC TECH'!$H:$H,'ELC TECH'!AM:AM)))</f>
        <v>0.8</v>
      </c>
      <c r="U190" s="12">
        <f>IF(_xlfn.XLOOKUP($B190,'ELC TECH'!$H:$H,'ELC TECH'!$E:$E)&lt;&gt;"Storage","",IF(_xlfn.XLOOKUP($B190,'ELC TECH'!$H:$H,'ELC TECH'!AN:AN)="",0.8,_xlfn.XLOOKUP($B190,'ELC TECH'!$H:$H,'ELC TECH'!AN:AN)))</f>
        <v>0.8</v>
      </c>
      <c r="V190" s="12">
        <f>IF(_xlfn.XLOOKUP($B190,'ELC TECH'!$H:$H,'ELC TECH'!$E:$E)&lt;&gt;"Storage","",IF(_xlfn.XLOOKUP($B190,'ELC TECH'!$H:$H,'ELC TECH'!AO:AO)="",0.8,_xlfn.XLOOKUP($B190,'ELC TECH'!$H:$H,'ELC TECH'!AO:AO)))</f>
        <v>0.8</v>
      </c>
      <c r="W190" s="12">
        <f>IF(_xlfn.XLOOKUP($B190,'ELC TECH'!$H:$H,'ELC TECH'!$E:$E)&lt;&gt;"Storage","",IF(_xlfn.XLOOKUP($B190,'ELC TECH'!$H:$H,'ELC TECH'!AP:AP)="",0.8,_xlfn.XLOOKUP($B190,'ELC TECH'!$H:$H,'ELC TECH'!AP:AP)))</f>
        <v>0.8</v>
      </c>
      <c r="X190" s="12">
        <f>IF(_xlfn.XLOOKUP($B190,'ELC TECH'!$H:$H,'ELC TECH'!$E:$E)&lt;&gt;"Storage","",IF(_xlfn.XLOOKUP($B190,'ELC TECH'!$H:$H,'ELC TECH'!AQ:AQ)="",0.8,_xlfn.XLOOKUP($B190,'ELC TECH'!$H:$H,'ELC TECH'!AQ:AQ)))</f>
        <v>0.8</v>
      </c>
      <c r="Y190" s="12">
        <f>IF(_xlfn.XLOOKUP($B190,'ELC TECH'!$H:$H,'ELC TECH'!$E:$E)&lt;&gt;"Storage","",IF(_xlfn.XLOOKUP($B190,'ELC TECH'!$H:$H,'ELC TECH'!AR:AR)="",0.8,_xlfn.XLOOKUP($B190,'ELC TECH'!$H:$H,'ELC TECH'!AR:AR)))</f>
        <v>0.8</v>
      </c>
      <c r="Z190" s="15">
        <f>_xlfn.XLOOKUP($B190,'ELC TECH'!$H:$H,'ELC TECH'!M:M)</f>
        <v>3242.5628644209428</v>
      </c>
      <c r="AA190" s="15">
        <f>_xlfn.XLOOKUP($B190,'ELC TECH'!$H:$H,'ELC TECH'!N:N)</f>
        <v>3144.2121739589102</v>
      </c>
      <c r="AB190" s="15">
        <f>_xlfn.XLOOKUP($B190,'ELC TECH'!$H:$H,'ELC TECH'!O:O)</f>
        <v>2546.9421041576661</v>
      </c>
      <c r="AC190" s="15">
        <f>_xlfn.XLOOKUP($B190,'ELC TECH'!$H:$H,'ELC TECH'!P:P)</f>
        <v>2387.7582226478098</v>
      </c>
      <c r="AD190" s="15">
        <f>_xlfn.XLOOKUP($B190,'ELC TECH'!$H:$H,'ELC TECH'!Q:Q)</f>
        <v>2228.5743411379658</v>
      </c>
      <c r="AE190" s="15">
        <f>_xlfn.XLOOKUP($B190,'ELC TECH'!$H:$H,'ELC TECH'!R:R)</f>
        <v>2069.39045962811</v>
      </c>
      <c r="AF190" s="15">
        <f>_xlfn.XLOOKUP($B190,'ELC TECH'!$H:$H,'ELC TECH'!S:S)</f>
        <v>1910.206578118255</v>
      </c>
      <c r="AG190" s="15">
        <f>_xlfn.XLOOKUP($B190,'ELC TECH'!$H:$H,'ELC TECH'!T:T)</f>
        <v>1910.206578118255</v>
      </c>
      <c r="AH190" s="15">
        <f>_xlfn.XLOOKUP($B190,'ELC TECH'!$H:$H,'ELC TECH'!U:U)</f>
        <v>81.064071610523584</v>
      </c>
      <c r="AI190" s="15">
        <f>_xlfn.XLOOKUP($B190,'ELC TECH'!$H:$H,'ELC TECH'!V:V)</f>
        <v>78.605304348972709</v>
      </c>
      <c r="AJ190" s="15">
        <f>_xlfn.XLOOKUP($B190,'ELC TECH'!$H:$H,'ELC TECH'!W:W)</f>
        <v>63.673552603941857</v>
      </c>
      <c r="AK190" s="15">
        <f>_xlfn.XLOOKUP($B190,'ELC TECH'!$H:$H,'ELC TECH'!X:X)</f>
        <v>59.69395556619542</v>
      </c>
      <c r="AL190" s="15">
        <f>_xlfn.XLOOKUP($B190,'ELC TECH'!$H:$H,'ELC TECH'!Y:Y)</f>
        <v>55.714358528449083</v>
      </c>
      <c r="AM190" s="15">
        <f>_xlfn.XLOOKUP($B190,'ELC TECH'!$H:$H,'ELC TECH'!Z:Z)</f>
        <v>51.734761490702752</v>
      </c>
      <c r="AN190" s="15">
        <f>_xlfn.XLOOKUP($B190,'ELC TECH'!$H:$H,'ELC TECH'!AA:AA)</f>
        <v>47.755164452956421</v>
      </c>
      <c r="AO190" s="15">
        <f>_xlfn.XLOOKUP($B190,'ELC TECH'!$H:$H,'ELC TECH'!AB:AB)</f>
        <v>47.755164452956421</v>
      </c>
      <c r="AP190" s="15">
        <f>_xlfn.XLOOKUP($B190,'ELC TECH'!$H:$H,'ELC TECH'!AC:AC)</f>
        <v>0</v>
      </c>
      <c r="AQ190" s="15">
        <f>_xlfn.XLOOKUP($B190,'ELC TECH'!$H:$H,'ELC TECH'!AD:AD)</f>
        <v>0</v>
      </c>
      <c r="AR190" s="15">
        <f>_xlfn.XLOOKUP($B190,'ELC TECH'!$H:$H,'ELC TECH'!AE:AE)</f>
        <v>0</v>
      </c>
      <c r="AS190" s="15">
        <f>_xlfn.XLOOKUP($B190,'ELC TECH'!$H:$H,'ELC TECH'!AF:AF)</f>
        <v>0</v>
      </c>
      <c r="AT190" s="15">
        <f>_xlfn.XLOOKUP($B190,'ELC TECH'!$H:$H,'ELC TECH'!AG:AG)</f>
        <v>0</v>
      </c>
      <c r="AU190" s="15">
        <f>_xlfn.XLOOKUP($B190,'ELC TECH'!$H:$H,'ELC TECH'!AH:AH)</f>
        <v>0</v>
      </c>
      <c r="AV190" s="15">
        <f>_xlfn.XLOOKUP($B190,'ELC TECH'!$H:$H,'ELC TECH'!AI:AI)</f>
        <v>0</v>
      </c>
      <c r="AW190" s="15">
        <f>_xlfn.XLOOKUP($B190,'ELC TECH'!$H:$H,'ELC TECH'!AJ:AJ)</f>
        <v>0</v>
      </c>
      <c r="AX190" s="12" t="str">
        <f>IF(_xlfn.XLOOKUP($B190,'ELC TECH'!$H:$H,'ELC TECH'!$E:$E)="Storage","",_xlfn.XLOOKUP($B190,'ELC TECH'!$H:$H,'ELC TECH'!AS:AS))</f>
        <v/>
      </c>
      <c r="AY190" s="12" t="str">
        <f>IF(_xlfn.XLOOKUP($B190,'ELC TECH'!$H:$H,'ELC TECH'!$E:$E)="Storage","",_xlfn.XLOOKUP($B190,'ELC TECH'!$H:$H,'ELC TECH'!AT:AT))</f>
        <v/>
      </c>
      <c r="AZ190" s="12" t="str">
        <f>IF(_xlfn.XLOOKUP($B190,'ELC TECH'!$H:$H,'ELC TECH'!$E:$E)="Storage","",_xlfn.XLOOKUP($B190,'ELC TECH'!$H:$H,'ELC TECH'!AU:AU))</f>
        <v/>
      </c>
      <c r="BA190" s="12" t="str">
        <f>IF(_xlfn.XLOOKUP($B190,'ELC TECH'!$H:$H,'ELC TECH'!$E:$E)="Storage","",_xlfn.XLOOKUP($B190,'ELC TECH'!$H:$H,'ELC TECH'!AV:AV))</f>
        <v/>
      </c>
      <c r="BB190" s="12" t="str">
        <f>IF(_xlfn.XLOOKUP($B190,'ELC TECH'!$H:$H,'ELC TECH'!$E:$E)="Storage","",_xlfn.XLOOKUP($B190,'ELC TECH'!$H:$H,'ELC TECH'!AW:AW))</f>
        <v/>
      </c>
      <c r="BC190" s="12" t="str">
        <f>IF(_xlfn.XLOOKUP($B190,'ELC TECH'!$H:$H,'ELC TECH'!$E:$E)="Storage","",_xlfn.XLOOKUP($B190,'ELC TECH'!$H:$H,'ELC TECH'!AX:AX))</f>
        <v/>
      </c>
      <c r="BD190" s="12" t="str">
        <f>IF(_xlfn.XLOOKUP($B190,'ELC TECH'!$H:$H,'ELC TECH'!$E:$E)="Storage","",_xlfn.XLOOKUP($B190,'ELC TECH'!$H:$H,'ELC TECH'!AY:AY))</f>
        <v/>
      </c>
      <c r="BE190" s="12" t="str">
        <f>IF(_xlfn.XLOOKUP($B190,'ELC TECH'!$H:$H,'ELC TECH'!$E:$E)="Storage","",_xlfn.XLOOKUP($B190,'ELC TECH'!$H:$H,'ELC TECH'!AZ:AZ))</f>
        <v/>
      </c>
      <c r="BF190" s="12">
        <f>IF(_xlfn.XLOOKUP($B190,'ELC TECH'!$H:$H,'ELC TECH'!$E:$E)="Storage",_xlfn.XLOOKUP($B190,'ELC TECH'!$H:$H,'ELC TECH'!AS:AS),"")</f>
        <v>0.33333333333333331</v>
      </c>
      <c r="BG190" s="12">
        <f>IF(_xlfn.XLOOKUP($B190,'ELC TECH'!$H:$H,'ELC TECH'!$E:$E)="Storage",_xlfn.XLOOKUP($B190,'ELC TECH'!$H:$H,'ELC TECH'!AT:AT),"")</f>
        <v>0.33333333333333331</v>
      </c>
      <c r="BH190" s="12">
        <f>IF(_xlfn.XLOOKUP($B190,'ELC TECH'!$H:$H,'ELC TECH'!$E:$E)="Storage",_xlfn.XLOOKUP($B190,'ELC TECH'!$H:$H,'ELC TECH'!AU:AU),"")</f>
        <v>0.33333333333333331</v>
      </c>
      <c r="BI190" s="12">
        <f>IF(_xlfn.XLOOKUP($B190,'ELC TECH'!$H:$H,'ELC TECH'!$E:$E)="Storage",_xlfn.XLOOKUP($B190,'ELC TECH'!$H:$H,'ELC TECH'!AV:AV),"")</f>
        <v>0.33333333333333331</v>
      </c>
      <c r="BJ190" s="12">
        <f>IF(_xlfn.XLOOKUP($B190,'ELC TECH'!$H:$H,'ELC TECH'!$E:$E)="Storage",_xlfn.XLOOKUP($B190,'ELC TECH'!$H:$H,'ELC TECH'!AW:AW),"")</f>
        <v>0.33333333333333331</v>
      </c>
      <c r="BK190" s="12">
        <f>IF(_xlfn.XLOOKUP($B190,'ELC TECH'!$H:$H,'ELC TECH'!$E:$E)="Storage",_xlfn.XLOOKUP($B190,'ELC TECH'!$H:$H,'ELC TECH'!AX:AX),"")</f>
        <v>0.33333333333333331</v>
      </c>
      <c r="BL190" s="12">
        <f>IF(_xlfn.XLOOKUP($B190,'ELC TECH'!$H:$H,'ELC TECH'!$E:$E)="Storage",_xlfn.XLOOKUP($B190,'ELC TECH'!$H:$H,'ELC TECH'!AY:AY),"")</f>
        <v>0.33333333333333331</v>
      </c>
      <c r="BM190" s="12">
        <f>IF(_xlfn.XLOOKUP($B190,'ELC TECH'!$H:$H,'ELC TECH'!$E:$E)="Storage",_xlfn.XLOOKUP($B190,'ELC TECH'!$H:$H,'ELC TECH'!AZ:AZ),"")</f>
        <v>0.33333333333333331</v>
      </c>
      <c r="BN190" s="8" t="str">
        <f>IF(_xlfn.XLOOKUP($B190,'ELC TECH'!$H:$H,'ELC TECH'!$E:$E)="Non Dispatchable",IFERROR($AX190*_xlfn.XLOOKUP($C190,$BM$1:$BM$3,BN$1:BN$3)/SUMPRODUCT(_xlfn.XLOOKUP($C190,$BM$1:$BM$3,$BN$1:$BY$3),$BN$4:$BY$4),""),
"")</f>
        <v/>
      </c>
      <c r="BO190" s="8" t="str">
        <f>IF(_xlfn.XLOOKUP($B190,'ELC TECH'!$H:$H,'ELC TECH'!$E:$E)="Non Dispatchable",IFERROR($AX190*_xlfn.XLOOKUP($C190,$BM$1:$BM$3,BO$1:BO$3)/SUMPRODUCT(_xlfn.XLOOKUP($C190,$BM$1:$BM$3,$BN$1:$BY$3),$BN$4:$BY$4),""),
"")</f>
        <v/>
      </c>
      <c r="BP190" s="8" t="str">
        <f>IF(_xlfn.XLOOKUP($B190,'ELC TECH'!$H:$H,'ELC TECH'!$E:$E)="Non Dispatchable",IFERROR($AX190*_xlfn.XLOOKUP($C190,$BM$1:$BM$3,BP$1:BP$3)/SUMPRODUCT(_xlfn.XLOOKUP($C190,$BM$1:$BM$3,$BN$1:$BY$3),$BN$4:$BY$4),""),
"")</f>
        <v/>
      </c>
      <c r="BQ190" s="8" t="str">
        <f>IF(_xlfn.XLOOKUP($B190,'ELC TECH'!$H:$H,'ELC TECH'!$E:$E)="Non Dispatchable",IFERROR($AX190*_xlfn.XLOOKUP($C190,$BM$1:$BM$3,BQ$1:BQ$3)/SUMPRODUCT(_xlfn.XLOOKUP($C190,$BM$1:$BM$3,$BN$1:$BY$3),$BN$4:$BY$4),""),
"")</f>
        <v/>
      </c>
      <c r="BR190" s="8" t="str">
        <f>IF(_xlfn.XLOOKUP($B190,'ELC TECH'!$H:$H,'ELC TECH'!$E:$E)="Non Dispatchable",IFERROR($AX190*_xlfn.XLOOKUP($C190,$BM$1:$BM$3,BR$1:BR$3)/SUMPRODUCT(_xlfn.XLOOKUP($C190,$BM$1:$BM$3,$BN$1:$BY$3),$BN$4:$BY$4),""),
"")</f>
        <v/>
      </c>
      <c r="BS190" s="8" t="str">
        <f>IF(_xlfn.XLOOKUP($B190,'ELC TECH'!$H:$H,'ELC TECH'!$E:$E)="Non Dispatchable",IFERROR($AX190*_xlfn.XLOOKUP($C190,$BM$1:$BM$3,BS$1:BS$3)/SUMPRODUCT(_xlfn.XLOOKUP($C190,$BM$1:$BM$3,$BN$1:$BY$3),$BN$4:$BY$4),""),
"")</f>
        <v/>
      </c>
      <c r="BT190" s="8" t="str">
        <f>IF(_xlfn.XLOOKUP($B190,'ELC TECH'!$H:$H,'ELC TECH'!$E:$E)="Non Dispatchable",IFERROR($AX190*_xlfn.XLOOKUP($C190,$BM$1:$BM$3,BT$1:BT$3)/SUMPRODUCT(_xlfn.XLOOKUP($C190,$BM$1:$BM$3,$BN$1:$BY$3),$BN$4:$BY$4),""),
"")</f>
        <v/>
      </c>
      <c r="BU190" s="8" t="str">
        <f>IF(_xlfn.XLOOKUP($B190,'ELC TECH'!$H:$H,'ELC TECH'!$E:$E)="Non Dispatchable",IFERROR($AX190*_xlfn.XLOOKUP($C190,$BM$1:$BM$3,BU$1:BU$3)/SUMPRODUCT(_xlfn.XLOOKUP($C190,$BM$1:$BM$3,$BN$1:$BY$3),$BN$4:$BY$4),""),
"")</f>
        <v/>
      </c>
      <c r="BV190" s="8" t="str">
        <f>IF(_xlfn.XLOOKUP($B190,'ELC TECH'!$H:$H,'ELC TECH'!$E:$E)="Non Dispatchable",IFERROR($AX190*_xlfn.XLOOKUP($C190,$BM$1:$BM$3,BV$1:BV$3)/SUMPRODUCT(_xlfn.XLOOKUP($C190,$BM$1:$BM$3,$BN$1:$BY$3),$BN$4:$BY$4),""),
"")</f>
        <v/>
      </c>
      <c r="BW190" s="8" t="str">
        <f>IF(_xlfn.XLOOKUP($B190,'ELC TECH'!$H:$H,'ELC TECH'!$E:$E)="Non Dispatchable",IFERROR($AX190*_xlfn.XLOOKUP($C190,$BM$1:$BM$3,BW$1:BW$3)/SUMPRODUCT(_xlfn.XLOOKUP($C190,$BM$1:$BM$3,$BN$1:$BY$3),$BN$4:$BY$4),""),
"")</f>
        <v/>
      </c>
      <c r="BX190" s="8" t="str">
        <f>IF(_xlfn.XLOOKUP($B190,'ELC TECH'!$H:$H,'ELC TECH'!$E:$E)="Non Dispatchable",IFERROR($AX190*_xlfn.XLOOKUP($C190,$BM$1:$BM$3,BX$1:BX$3)/SUMPRODUCT(_xlfn.XLOOKUP($C190,$BM$1:$BM$3,$BN$1:$BY$3),$BN$4:$BY$4),""),
"")</f>
        <v/>
      </c>
      <c r="BY190" s="8" t="str">
        <f>IF(_xlfn.XLOOKUP($B190,'ELC TECH'!$H:$H,'ELC TECH'!$E:$E)="Non Dispatchable",IFERROR($AX190*_xlfn.XLOOKUP($C190,$BM$1:$BM$3,BY$1:BY$3)/SUMPRODUCT(_xlfn.XLOOKUP($C190,$BM$1:$BM$3,$BN$1:$BY$3),$BN$4:$BY$4),""),
"")</f>
        <v/>
      </c>
      <c r="BZ190" s="8" t="str">
        <f>IF(_xlfn.XLOOKUP($B190,'ELC TECH'!$H:$H,'ELC TECH'!$E:$E)="Non Dispatchable",IFERROR($AX190*_xlfn.XLOOKUP($C190,$BM$1:$BM$3,BZ$1:BZ$3)/SUMPRODUCT(_xlfn.XLOOKUP($C190,$BM$1:$BM$3,$BN$1:$BY$3),$BN$4:$BY$4),""),
"")</f>
        <v/>
      </c>
      <c r="CA190" s="8" t="str">
        <f>IF(_xlfn.XLOOKUP($B190,'ELC TECH'!$H:$H,'ELC TECH'!$E:$E)="Non Dispatchable",IFERROR($AX190*_xlfn.XLOOKUP($C190,$BM$1:$BM$3,CA$1:CA$3)/SUMPRODUCT(_xlfn.XLOOKUP($C190,$BM$1:$BM$3,$BN$1:$BY$3),$BN$4:$BY$4),""),
"")</f>
        <v/>
      </c>
      <c r="CB190" s="8" t="str">
        <f>IF(_xlfn.XLOOKUP($B190,'ELC TECH'!$H:$H,'ELC TECH'!$E:$E)="Non Dispatchable",IFERROR($AX190*_xlfn.XLOOKUP($C190,$BM$1:$BM$3,CB$1:CB$3)/SUMPRODUCT(_xlfn.XLOOKUP($C190,$BM$1:$BM$3,$BN$1:$BY$3),$BN$4:$BY$4),""),
"")</f>
        <v/>
      </c>
      <c r="CC190" s="8" t="str">
        <f>IF(_xlfn.XLOOKUP($B190,'ELC TECH'!$H:$H,'ELC TECH'!$E:$E)="Non Dispatchable",IFERROR($AX190*_xlfn.XLOOKUP($C190,$BM$1:$BM$3,CC$1:CC$3)/SUMPRODUCT(_xlfn.XLOOKUP($C190,$BM$1:$BM$3,$BN$1:$BY$3),$BN$4:$BY$4),""),
"")</f>
        <v/>
      </c>
      <c r="CD190" s="8" t="str">
        <f>IF(_xlfn.XLOOKUP($B190,'ELC TECH'!$H:$H,'ELC TECH'!$E:$E)="Non Dispatchable",IFERROR($AX190*_xlfn.XLOOKUP($C190,$BM$1:$BM$3,CD$1:CD$3)/SUMPRODUCT(_xlfn.XLOOKUP($C190,$BM$1:$BM$3,$BN$1:$BY$3),$BN$4:$BY$4),""),
"")</f>
        <v/>
      </c>
      <c r="CE190" s="8" t="str">
        <f>IF(_xlfn.XLOOKUP($B190,'ELC TECH'!$H:$H,'ELC TECH'!$E:$E)="Non Dispatchable",IFERROR($AX190*_xlfn.XLOOKUP($C190,$BM$1:$BM$3,CE$1:CE$3)/SUMPRODUCT(_xlfn.XLOOKUP($C190,$BM$1:$BM$3,$BN$1:$BY$3),$BN$4:$BY$4),""),
"")</f>
        <v/>
      </c>
      <c r="CF190" s="8" t="str">
        <f>IF(_xlfn.XLOOKUP($B190,'ELC TECH'!$H:$H,'ELC TECH'!$E:$E)="Non Dispatchable",IFERROR($AX190*_xlfn.XLOOKUP($C190,$BM$1:$BM$3,CF$1:CF$3)/SUMPRODUCT(_xlfn.XLOOKUP($C190,$BM$1:$BM$3,$BN$1:$BY$3),$BN$4:$BY$4),""),
"")</f>
        <v/>
      </c>
      <c r="CG190" s="8" t="str">
        <f>IF(_xlfn.XLOOKUP($B190,'ELC TECH'!$H:$H,'ELC TECH'!$E:$E)="Non Dispatchable",IFERROR($AX190*_xlfn.XLOOKUP($C190,$BM$1:$BM$3,CG$1:CG$3)/SUMPRODUCT(_xlfn.XLOOKUP($C190,$BM$1:$BM$3,$BN$1:$BY$3),$BN$4:$BY$4),""),
"")</f>
        <v/>
      </c>
      <c r="CH190" s="8" t="str">
        <f>IF(_xlfn.XLOOKUP($B190,'ELC TECH'!$H:$H,'ELC TECH'!$E:$E)="Non Dispatchable",IFERROR($AX190*_xlfn.XLOOKUP($C190,$BM$1:$BM$3,CH$1:CH$3)/SUMPRODUCT(_xlfn.XLOOKUP($C190,$BM$1:$BM$3,$BN$1:$BY$3),$BN$4:$BY$4),""),
"")</f>
        <v/>
      </c>
      <c r="CI190" s="8" t="str">
        <f>IF(_xlfn.XLOOKUP($B190,'ELC TECH'!$H:$H,'ELC TECH'!$E:$E)="Non Dispatchable",IFERROR($AX190*_xlfn.XLOOKUP($C190,$BM$1:$BM$3,CI$1:CI$3)/SUMPRODUCT(_xlfn.XLOOKUP($C190,$BM$1:$BM$3,$BN$1:$BY$3),$BN$4:$BY$4),""),
"")</f>
        <v/>
      </c>
      <c r="CJ190" s="8" t="str">
        <f>IF(_xlfn.XLOOKUP($B190,'ELC TECH'!$H:$H,'ELC TECH'!$E:$E)="Non Dispatchable",IFERROR($AX190*_xlfn.XLOOKUP($C190,$BM$1:$BM$3,CJ$1:CJ$3)/SUMPRODUCT(_xlfn.XLOOKUP($C190,$BM$1:$BM$3,$BN$1:$BY$3),$BN$4:$BY$4),""),
"")</f>
        <v/>
      </c>
      <c r="CK190" s="8" t="str">
        <f>IF(_xlfn.XLOOKUP($B190,'ELC TECH'!$H:$H,'ELC TECH'!$E:$E)="Non Dispatchable",IFERROR($AX190*_xlfn.XLOOKUP($C190,$BM$1:$BM$3,CK$1:CK$3)/SUMPRODUCT(_xlfn.XLOOKUP($C190,$BM$1:$BM$3,$BN$1:$BY$3),$BN$4:$BY$4),""),
"")</f>
        <v/>
      </c>
      <c r="CL190" s="8">
        <f>IF(_xlfn.XLOOKUP($B190,'ELC TECH'!$H:$H,'ELC TECH'!$E:$E)="Storage",CL$4*$BF190,"")</f>
        <v>2.7399999999999997E-2</v>
      </c>
      <c r="CM190" s="8">
        <f>IF(_xlfn.XLOOKUP($B190,'ELC TECH'!$H:$H,'ELC TECH'!$E:$E)="Storage",CM$4*$BF190,"")</f>
        <v>3.1899999999999998E-2</v>
      </c>
      <c r="CN190" s="8">
        <f>IF(_xlfn.XLOOKUP($B190,'ELC TECH'!$H:$H,'ELC TECH'!$E:$E)="Storage",CN$4*$BF190,"")</f>
        <v>5.1066666666666663E-2</v>
      </c>
      <c r="CO190" s="8">
        <f>IF(_xlfn.XLOOKUP($B190,'ELC TECH'!$H:$H,'ELC TECH'!$E:$E)="Storage",CO$4*$BF190,"")</f>
        <v>1.0666666666666667E-3</v>
      </c>
      <c r="CP190" s="8">
        <f>IF(_xlfn.XLOOKUP($B190,'ELC TECH'!$H:$H,'ELC TECH'!$E:$E)="Storage",CP$4*$BF190,"")</f>
        <v>2.7166666666666665E-2</v>
      </c>
      <c r="CQ190" s="8">
        <f>IF(_xlfn.XLOOKUP($B190,'ELC TECH'!$H:$H,'ELC TECH'!$E:$E)="Storage",CQ$4*$BF190,"")</f>
        <v>3.6233333333333333E-2</v>
      </c>
      <c r="CR190" s="8">
        <f>IF(_xlfn.XLOOKUP($B190,'ELC TECH'!$H:$H,'ELC TECH'!$E:$E)="Storage",CR$4*$BF190,"")</f>
        <v>4.6033333333333329E-2</v>
      </c>
      <c r="CS190" s="8">
        <f>IF(_xlfn.XLOOKUP($B190,'ELC TECH'!$H:$H,'ELC TECH'!$E:$E)="Storage",CS$4*$BF190,"")</f>
        <v>1.0666666666666667E-3</v>
      </c>
      <c r="CT190" s="8">
        <f>IF(_xlfn.XLOOKUP($B190,'ELC TECH'!$H:$H,'ELC TECH'!$E:$E)="Storage",CT$4*$BF190,"")</f>
        <v>3.2500000000000001E-2</v>
      </c>
      <c r="CU190" s="8">
        <f>IF(_xlfn.XLOOKUP($B190,'ELC TECH'!$H:$H,'ELC TECH'!$E:$E)="Storage",CU$4*$BF190,"")</f>
        <v>3.6233333333333333E-2</v>
      </c>
      <c r="CV190" s="8">
        <f>IF(_xlfn.XLOOKUP($B190,'ELC TECH'!$H:$H,'ELC TECH'!$E:$E)="Storage",CV$4*$BF190,"")</f>
        <v>4.176666666666666E-2</v>
      </c>
      <c r="CW190" s="8">
        <f>IF(_xlfn.XLOOKUP($B190,'ELC TECH'!$H:$H,'ELC TECH'!$E:$E)="Storage",CW$4*$BF190,"")</f>
        <v>8.9999999999999998E-4</v>
      </c>
      <c r="CX190" s="8">
        <f>IF(_xlfn.XLOOKUP($B190,'ELC TECH'!$H:$H,'ELC TECH'!$E:$E)="Storage",CX$4*$BF190,"")</f>
        <v>2.7399999999999997E-2</v>
      </c>
      <c r="CY190" s="8">
        <f>IF(_xlfn.XLOOKUP($B190,'ELC TECH'!$H:$H,'ELC TECH'!$E:$E)="Storage",CY$4*$BF190,"")</f>
        <v>3.1899999999999998E-2</v>
      </c>
      <c r="CZ190" s="8">
        <f>IF(_xlfn.XLOOKUP($B190,'ELC TECH'!$H:$H,'ELC TECH'!$E:$E)="Storage",CZ$4*$BF190,"")</f>
        <v>5.1066666666666663E-2</v>
      </c>
      <c r="DA190" s="8">
        <f>IF(_xlfn.XLOOKUP($B190,'ELC TECH'!$H:$H,'ELC TECH'!$E:$E)="Storage",DA$4*$BF190,"")</f>
        <v>1.0666666666666667E-3</v>
      </c>
      <c r="DB190" s="8">
        <f>IF(_xlfn.XLOOKUP($B190,'ELC TECH'!$H:$H,'ELC TECH'!$E:$E)="Storage",DB$4*$BF190,"")</f>
        <v>2.7166666666666665E-2</v>
      </c>
      <c r="DC190" s="8">
        <f>IF(_xlfn.XLOOKUP($B190,'ELC TECH'!$H:$H,'ELC TECH'!$E:$E)="Storage",DC$4*$BF190,"")</f>
        <v>3.6233333333333333E-2</v>
      </c>
      <c r="DD190" s="8">
        <f>IF(_xlfn.XLOOKUP($B190,'ELC TECH'!$H:$H,'ELC TECH'!$E:$E)="Storage",DD$4*$BF190,"")</f>
        <v>4.6033333333333329E-2</v>
      </c>
      <c r="DE190" s="8">
        <f>IF(_xlfn.XLOOKUP($B190,'ELC TECH'!$H:$H,'ELC TECH'!$E:$E)="Storage",DE$4*$BF190,"")</f>
        <v>1.0666666666666667E-3</v>
      </c>
      <c r="DF190" s="8">
        <f>IF(_xlfn.XLOOKUP($B190,'ELC TECH'!$H:$H,'ELC TECH'!$E:$E)="Storage",DF$4*$BF190,"")</f>
        <v>3.2500000000000001E-2</v>
      </c>
      <c r="DG190" s="8">
        <f>IF(_xlfn.XLOOKUP($B190,'ELC TECH'!$H:$H,'ELC TECH'!$E:$E)="Storage",DG$4*$BF190,"")</f>
        <v>3.6233333333333333E-2</v>
      </c>
      <c r="DH190" s="8">
        <f>IF(_xlfn.XLOOKUP($B190,'ELC TECH'!$H:$H,'ELC TECH'!$E:$E)="Storage",DH$4*$BF190,"")</f>
        <v>4.176666666666666E-2</v>
      </c>
      <c r="DI190" s="8">
        <f>IF(_xlfn.XLOOKUP($B190,'ELC TECH'!$H:$H,'ELC TECH'!$E:$E)="Storage",DI$4*$BF190,"")</f>
        <v>8.9999999999999998E-4</v>
      </c>
    </row>
    <row r="191" spans="2:113" x14ac:dyDescent="0.25">
      <c r="J191" s="12"/>
      <c r="R191" s="12"/>
      <c r="Z191" s="12"/>
      <c r="AH191" s="12"/>
      <c r="AP191" s="12"/>
      <c r="AX191" s="12"/>
      <c r="BF191" s="12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</row>
    <row r="192" spans="2:113" x14ac:dyDescent="0.25">
      <c r="J192" s="12"/>
      <c r="K192" s="12"/>
      <c r="R192" s="12"/>
      <c r="S192" s="12"/>
      <c r="Z192" s="12"/>
      <c r="AA192" s="12"/>
      <c r="AH192" s="12"/>
      <c r="AI192" s="12"/>
      <c r="AP192" s="12"/>
      <c r="AQ192" s="12"/>
      <c r="AX192" s="12"/>
      <c r="AY192" s="12"/>
      <c r="BF192" s="12"/>
      <c r="BG192" s="12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</row>
    <row r="193" spans="10:113" x14ac:dyDescent="0.25">
      <c r="J193" s="12"/>
      <c r="K193" s="12"/>
      <c r="R193" s="12"/>
      <c r="S193" s="12"/>
      <c r="Z193" s="12"/>
      <c r="AA193" s="12"/>
      <c r="AH193" s="12"/>
      <c r="AI193" s="12"/>
      <c r="AP193" s="12"/>
      <c r="AQ193" s="12"/>
      <c r="AX193" s="12"/>
      <c r="AY193" s="12"/>
      <c r="BF193" s="12"/>
      <c r="BG193" s="12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</row>
    <row r="194" spans="10:113" x14ac:dyDescent="0.25">
      <c r="J194" s="12"/>
      <c r="K194" s="12"/>
      <c r="R194" s="12"/>
      <c r="S194" s="12"/>
      <c r="Z194" s="12"/>
      <c r="AA194" s="12"/>
      <c r="AH194" s="12"/>
      <c r="AI194" s="12"/>
      <c r="AP194" s="12"/>
      <c r="AQ194" s="12"/>
      <c r="AX194" s="12"/>
      <c r="AY194" s="12"/>
      <c r="BF194" s="12"/>
      <c r="BG194" s="12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</row>
    <row r="195" spans="10:113" x14ac:dyDescent="0.25">
      <c r="J195" s="12"/>
      <c r="K195" s="12"/>
      <c r="R195" s="12"/>
      <c r="S195" s="12"/>
      <c r="Z195" s="12"/>
      <c r="AA195" s="12"/>
      <c r="AH195" s="12"/>
      <c r="AI195" s="12"/>
      <c r="AP195" s="12"/>
      <c r="AQ195" s="12"/>
      <c r="AX195" s="12"/>
      <c r="AY195" s="12"/>
      <c r="BF195" s="12"/>
      <c r="BG195" s="12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</row>
    <row r="196" spans="10:113" x14ac:dyDescent="0.25">
      <c r="J196" s="12"/>
      <c r="K196" s="12"/>
      <c r="R196" s="12"/>
      <c r="S196" s="12"/>
      <c r="Z196" s="12"/>
      <c r="AA196" s="12"/>
      <c r="AH196" s="12"/>
      <c r="AI196" s="12"/>
      <c r="AP196" s="12"/>
      <c r="AQ196" s="12"/>
      <c r="AX196" s="12"/>
      <c r="AY196" s="12"/>
      <c r="BF196" s="12"/>
      <c r="BG196" s="12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</row>
    <row r="197" spans="10:113" x14ac:dyDescent="0.25">
      <c r="J197" s="12"/>
      <c r="K197" s="12"/>
      <c r="R197" s="12"/>
      <c r="S197" s="12"/>
      <c r="Z197" s="12"/>
      <c r="AA197" s="12"/>
      <c r="AH197" s="12"/>
      <c r="AI197" s="12"/>
      <c r="AP197" s="12"/>
      <c r="AQ197" s="12"/>
      <c r="AX197" s="12"/>
      <c r="AY197" s="12"/>
      <c r="BF197" s="12"/>
      <c r="BG197" s="12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</row>
    <row r="198" spans="10:113" x14ac:dyDescent="0.25">
      <c r="J198" s="12"/>
      <c r="K198" s="12"/>
      <c r="R198" s="12"/>
      <c r="S198" s="12"/>
      <c r="Z198" s="12"/>
      <c r="AA198" s="12"/>
      <c r="AH198" s="12"/>
      <c r="AI198" s="12"/>
      <c r="AP198" s="12"/>
      <c r="AQ198" s="12"/>
      <c r="AX198" s="12"/>
      <c r="AY198" s="12"/>
      <c r="BF198" s="12"/>
      <c r="BG198" s="12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</row>
    <row r="199" spans="10:113" x14ac:dyDescent="0.25">
      <c r="J199" s="12"/>
      <c r="K199" s="12"/>
      <c r="R199" s="12"/>
      <c r="S199" s="12"/>
      <c r="Z199" s="12"/>
      <c r="AA199" s="12"/>
      <c r="AH199" s="12"/>
      <c r="AI199" s="12"/>
      <c r="AP199" s="12"/>
      <c r="AQ199" s="12"/>
      <c r="AX199" s="12"/>
      <c r="AY199" s="12"/>
      <c r="BF199" s="12"/>
      <c r="BG199" s="12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</row>
    <row r="200" spans="10:113" x14ac:dyDescent="0.25">
      <c r="J200" s="12"/>
      <c r="K200" s="12"/>
      <c r="R200" s="12"/>
      <c r="S200" s="12"/>
      <c r="Z200" s="12"/>
      <c r="AA200" s="12"/>
      <c r="AH200" s="12"/>
      <c r="AI200" s="12"/>
      <c r="AP200" s="12"/>
      <c r="AQ200" s="12"/>
      <c r="AX200" s="12"/>
      <c r="AY200" s="12"/>
      <c r="BF200" s="12"/>
      <c r="BG200" s="12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</row>
    <row r="201" spans="10:113" x14ac:dyDescent="0.25">
      <c r="J201" s="12"/>
      <c r="K201" s="12"/>
      <c r="R201" s="12"/>
      <c r="S201" s="12"/>
      <c r="Z201" s="12"/>
      <c r="AA201" s="12"/>
      <c r="AH201" s="12"/>
      <c r="AI201" s="12"/>
      <c r="AP201" s="12"/>
      <c r="AQ201" s="12"/>
      <c r="AX201" s="12"/>
      <c r="AY201" s="12"/>
      <c r="BF201" s="12"/>
      <c r="BG201" s="12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</row>
    <row r="202" spans="10:113" x14ac:dyDescent="0.25">
      <c r="J202" s="12"/>
      <c r="K202" s="12"/>
      <c r="R202" s="12"/>
      <c r="S202" s="12"/>
      <c r="Z202" s="12"/>
      <c r="AA202" s="12"/>
      <c r="AH202" s="12"/>
      <c r="AI202" s="12"/>
      <c r="AP202" s="12"/>
      <c r="AQ202" s="12"/>
      <c r="AX202" s="12"/>
      <c r="AY202" s="12"/>
      <c r="BF202" s="12"/>
      <c r="BG202" s="12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</row>
    <row r="203" spans="10:113" x14ac:dyDescent="0.25">
      <c r="J203" s="12"/>
      <c r="K203" s="12"/>
      <c r="R203" s="12"/>
      <c r="S203" s="12"/>
      <c r="Z203" s="12"/>
      <c r="AA203" s="12"/>
      <c r="AH203" s="12"/>
      <c r="AI203" s="12"/>
      <c r="AP203" s="12"/>
      <c r="AQ203" s="12"/>
      <c r="AX203" s="12"/>
      <c r="AY203" s="12"/>
      <c r="BF203" s="12"/>
      <c r="BG203" s="12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</row>
    <row r="204" spans="10:113" x14ac:dyDescent="0.25">
      <c r="J204" s="12"/>
      <c r="K204" s="12"/>
      <c r="R204" s="12"/>
      <c r="S204" s="12"/>
      <c r="Z204" s="12"/>
      <c r="AA204" s="12"/>
      <c r="AH204" s="12"/>
      <c r="AI204" s="12"/>
      <c r="AP204" s="12"/>
      <c r="AQ204" s="12"/>
      <c r="AX204" s="12"/>
      <c r="AY204" s="12"/>
      <c r="BF204" s="12"/>
      <c r="BG204" s="12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</row>
    <row r="205" spans="10:113" x14ac:dyDescent="0.25">
      <c r="J205" s="12"/>
      <c r="K205" s="12"/>
      <c r="R205" s="12"/>
      <c r="S205" s="12"/>
      <c r="Z205" s="12"/>
      <c r="AA205" s="12"/>
      <c r="AH205" s="12"/>
      <c r="AI205" s="12"/>
      <c r="AP205" s="12"/>
      <c r="AQ205" s="12"/>
      <c r="AX205" s="12"/>
      <c r="AY205" s="12"/>
      <c r="BF205" s="12"/>
      <c r="BG205" s="12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</row>
    <row r="206" spans="10:113" x14ac:dyDescent="0.25">
      <c r="J206" s="12"/>
      <c r="K206" s="12"/>
      <c r="R206" s="12"/>
      <c r="S206" s="12"/>
      <c r="Z206" s="12"/>
      <c r="AA206" s="12"/>
      <c r="AH206" s="12"/>
      <c r="AI206" s="12"/>
      <c r="AP206" s="12"/>
      <c r="AQ206" s="12"/>
      <c r="AX206" s="12"/>
      <c r="AY206" s="12"/>
      <c r="BF206" s="12"/>
      <c r="BG206" s="12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</row>
    <row r="207" spans="10:113" x14ac:dyDescent="0.25">
      <c r="J207" s="12"/>
      <c r="K207" s="12"/>
      <c r="R207" s="12"/>
      <c r="S207" s="12"/>
      <c r="Z207" s="12"/>
      <c r="AA207" s="12"/>
      <c r="AH207" s="12"/>
      <c r="AI207" s="12"/>
      <c r="AP207" s="12"/>
      <c r="AQ207" s="12"/>
      <c r="AX207" s="12"/>
      <c r="AY207" s="12"/>
      <c r="BF207" s="12"/>
      <c r="BG207" s="12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</row>
    <row r="208" spans="10:113" x14ac:dyDescent="0.25">
      <c r="J208" s="12"/>
      <c r="K208" s="12"/>
      <c r="R208" s="12"/>
      <c r="S208" s="12"/>
      <c r="Z208" s="12"/>
      <c r="AA208" s="12"/>
      <c r="AH208" s="12"/>
      <c r="AI208" s="12"/>
      <c r="AP208" s="12"/>
      <c r="AQ208" s="12"/>
      <c r="AX208" s="12"/>
      <c r="AY208" s="12"/>
      <c r="BF208" s="12"/>
      <c r="BG208" s="12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</row>
    <row r="209" spans="10:113" x14ac:dyDescent="0.25">
      <c r="J209" s="12"/>
      <c r="K209" s="12"/>
      <c r="R209" s="12"/>
      <c r="S209" s="12"/>
      <c r="Z209" s="12"/>
      <c r="AA209" s="12"/>
      <c r="AH209" s="12"/>
      <c r="AI209" s="12"/>
      <c r="AP209" s="12"/>
      <c r="AQ209" s="12"/>
      <c r="AX209" s="12"/>
      <c r="AY209" s="12"/>
      <c r="BF209" s="12"/>
      <c r="BG209" s="12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</row>
    <row r="210" spans="10:113" x14ac:dyDescent="0.25">
      <c r="J210" s="12"/>
      <c r="K210" s="12"/>
      <c r="R210" s="12"/>
      <c r="S210" s="12"/>
      <c r="Z210" s="12"/>
      <c r="AA210" s="12"/>
      <c r="AH210" s="12"/>
      <c r="AI210" s="12"/>
      <c r="AP210" s="12"/>
      <c r="AQ210" s="12"/>
      <c r="AX210" s="12"/>
      <c r="AY210" s="12"/>
      <c r="BF210" s="12"/>
      <c r="BG210" s="12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</row>
    <row r="211" spans="10:113" x14ac:dyDescent="0.25">
      <c r="J211" s="12"/>
      <c r="K211" s="12"/>
      <c r="R211" s="12"/>
      <c r="S211" s="12"/>
      <c r="Z211" s="12"/>
      <c r="AA211" s="12"/>
      <c r="AH211" s="12"/>
      <c r="AI211" s="12"/>
      <c r="AP211" s="12"/>
      <c r="AQ211" s="12"/>
      <c r="AX211" s="12"/>
      <c r="AY211" s="12"/>
      <c r="BF211" s="12"/>
      <c r="BG211" s="12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</row>
    <row r="212" spans="10:113" x14ac:dyDescent="0.25">
      <c r="J212" s="12"/>
      <c r="K212" s="12"/>
      <c r="R212" s="12"/>
      <c r="S212" s="12"/>
      <c r="Z212" s="12"/>
      <c r="AA212" s="12"/>
      <c r="AH212" s="12"/>
      <c r="AI212" s="12"/>
      <c r="AP212" s="12"/>
      <c r="AQ212" s="12"/>
      <c r="AX212" s="12"/>
      <c r="AY212" s="12"/>
      <c r="BF212" s="12"/>
      <c r="BG212" s="12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</row>
    <row r="213" spans="10:113" x14ac:dyDescent="0.25">
      <c r="J213" s="12"/>
      <c r="K213" s="12"/>
      <c r="R213" s="12"/>
      <c r="S213" s="12"/>
      <c r="Z213" s="12"/>
      <c r="AA213" s="12"/>
      <c r="AH213" s="12"/>
      <c r="AI213" s="12"/>
      <c r="AP213" s="12"/>
      <c r="AQ213" s="12"/>
      <c r="AX213" s="12"/>
      <c r="AY213" s="12"/>
      <c r="BF213" s="12"/>
      <c r="BG213" s="12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</row>
    <row r="214" spans="10:113" x14ac:dyDescent="0.25">
      <c r="J214" s="12"/>
      <c r="K214" s="12"/>
      <c r="R214" s="12"/>
      <c r="S214" s="12"/>
      <c r="Z214" s="12"/>
      <c r="AA214" s="12"/>
      <c r="AH214" s="12"/>
      <c r="AI214" s="12"/>
      <c r="AP214" s="12"/>
      <c r="AQ214" s="12"/>
      <c r="AX214" s="12"/>
      <c r="AY214" s="12"/>
      <c r="BF214" s="12"/>
      <c r="BG214" s="12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</row>
    <row r="215" spans="10:113" x14ac:dyDescent="0.25">
      <c r="J215" s="12"/>
      <c r="K215" s="12"/>
      <c r="R215" s="12"/>
      <c r="S215" s="12"/>
      <c r="Z215" s="12"/>
      <c r="AA215" s="12"/>
      <c r="AH215" s="12"/>
      <c r="AI215" s="12"/>
      <c r="AP215" s="12"/>
      <c r="AQ215" s="12"/>
      <c r="AX215" s="12"/>
      <c r="AY215" s="12"/>
      <c r="BF215" s="12"/>
      <c r="BG215" s="12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</row>
    <row r="216" spans="10:113" x14ac:dyDescent="0.25">
      <c r="J216" s="12"/>
      <c r="K216" s="12"/>
      <c r="R216" s="12"/>
      <c r="S216" s="12"/>
      <c r="Z216" s="12"/>
      <c r="AA216" s="12"/>
      <c r="AH216" s="12"/>
      <c r="AI216" s="12"/>
      <c r="AP216" s="12"/>
      <c r="AQ216" s="12"/>
      <c r="AX216" s="12"/>
      <c r="AY216" s="12"/>
      <c r="BF216" s="12"/>
      <c r="BG216" s="12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</row>
    <row r="217" spans="10:113" x14ac:dyDescent="0.25">
      <c r="J217" s="12"/>
      <c r="K217" s="12"/>
      <c r="R217" s="12"/>
      <c r="S217" s="12"/>
      <c r="Z217" s="12"/>
      <c r="AA217" s="12"/>
      <c r="AH217" s="12"/>
      <c r="AI217" s="12"/>
      <c r="AP217" s="12"/>
      <c r="AQ217" s="12"/>
      <c r="AX217" s="12"/>
      <c r="AY217" s="12"/>
      <c r="BF217" s="12"/>
      <c r="BG217" s="12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</row>
    <row r="218" spans="10:113" x14ac:dyDescent="0.25">
      <c r="J218" s="12"/>
      <c r="K218" s="12"/>
      <c r="R218" s="12"/>
      <c r="S218" s="12"/>
      <c r="Z218" s="12"/>
      <c r="AA218" s="12"/>
      <c r="AH218" s="12"/>
      <c r="AI218" s="12"/>
      <c r="AP218" s="12"/>
      <c r="AQ218" s="12"/>
      <c r="AX218" s="12"/>
      <c r="AY218" s="12"/>
      <c r="BF218" s="12"/>
      <c r="BG218" s="12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</row>
    <row r="219" spans="10:113" x14ac:dyDescent="0.25">
      <c r="J219" s="12"/>
      <c r="K219" s="12"/>
      <c r="R219" s="12"/>
      <c r="S219" s="12"/>
      <c r="Z219" s="12"/>
      <c r="AA219" s="12"/>
      <c r="AH219" s="12"/>
      <c r="AI219" s="12"/>
      <c r="AP219" s="12"/>
      <c r="AQ219" s="12"/>
      <c r="AX219" s="12"/>
      <c r="AY219" s="12"/>
      <c r="BF219" s="12"/>
      <c r="BG219" s="12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</row>
    <row r="220" spans="10:113" x14ac:dyDescent="0.25">
      <c r="J220" s="12"/>
      <c r="K220" s="12"/>
      <c r="R220" s="12"/>
      <c r="S220" s="12"/>
      <c r="Z220" s="12"/>
      <c r="AA220" s="12"/>
      <c r="AH220" s="12"/>
      <c r="AI220" s="12"/>
      <c r="AP220" s="12"/>
      <c r="AQ220" s="12"/>
      <c r="AX220" s="12"/>
      <c r="AY220" s="12"/>
      <c r="BF220" s="12"/>
      <c r="BG220" s="12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</row>
    <row r="221" spans="10:113" x14ac:dyDescent="0.25">
      <c r="J221" s="12"/>
      <c r="K221" s="12"/>
      <c r="R221" s="12"/>
      <c r="S221" s="12"/>
      <c r="Z221" s="12"/>
      <c r="AA221" s="12"/>
      <c r="AH221" s="12"/>
      <c r="AI221" s="12"/>
      <c r="AP221" s="12"/>
      <c r="AQ221" s="12"/>
      <c r="AX221" s="12"/>
      <c r="AY221" s="12"/>
      <c r="BF221" s="12"/>
      <c r="BG221" s="12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</row>
    <row r="222" spans="10:113" x14ac:dyDescent="0.25">
      <c r="J222" s="12"/>
      <c r="K222" s="12"/>
      <c r="R222" s="12"/>
      <c r="S222" s="12"/>
      <c r="Z222" s="12"/>
      <c r="AA222" s="12"/>
      <c r="AH222" s="12"/>
      <c r="AI222" s="12"/>
      <c r="AP222" s="12"/>
      <c r="AQ222" s="12"/>
      <c r="AX222" s="12"/>
      <c r="AY222" s="12"/>
      <c r="BF222" s="12"/>
      <c r="BG222" s="12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</row>
    <row r="223" spans="10:113" x14ac:dyDescent="0.25">
      <c r="J223" s="12"/>
      <c r="K223" s="12"/>
      <c r="R223" s="12"/>
      <c r="S223" s="12"/>
      <c r="Z223" s="12"/>
      <c r="AA223" s="12"/>
      <c r="AH223" s="12"/>
      <c r="AI223" s="12"/>
      <c r="AP223" s="12"/>
      <c r="AQ223" s="12"/>
      <c r="AX223" s="12"/>
      <c r="AY223" s="12"/>
      <c r="BF223" s="12"/>
      <c r="BG223" s="12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</row>
    <row r="224" spans="10:113" x14ac:dyDescent="0.25">
      <c r="J224" s="12"/>
      <c r="K224" s="12"/>
      <c r="R224" s="12"/>
      <c r="S224" s="12"/>
      <c r="Z224" s="12"/>
      <c r="AA224" s="12"/>
      <c r="AH224" s="12"/>
      <c r="AI224" s="12"/>
      <c r="AP224" s="12"/>
      <c r="AQ224" s="12"/>
      <c r="AX224" s="12"/>
      <c r="AY224" s="12"/>
      <c r="BF224" s="12"/>
      <c r="BG224" s="12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</row>
    <row r="225" spans="10:113" x14ac:dyDescent="0.25">
      <c r="J225" s="12"/>
      <c r="K225" s="12"/>
      <c r="R225" s="12"/>
      <c r="S225" s="12"/>
      <c r="Z225" s="12"/>
      <c r="AA225" s="12"/>
      <c r="AH225" s="12"/>
      <c r="AI225" s="12"/>
      <c r="AP225" s="12"/>
      <c r="AQ225" s="12"/>
      <c r="AX225" s="12"/>
      <c r="AY225" s="12"/>
      <c r="BF225" s="12"/>
      <c r="BG225" s="12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</row>
    <row r="226" spans="10:113" x14ac:dyDescent="0.25">
      <c r="J226" s="12"/>
      <c r="K226" s="12"/>
      <c r="R226" s="12"/>
      <c r="S226" s="12"/>
      <c r="Z226" s="12"/>
      <c r="AA226" s="12"/>
      <c r="AH226" s="12"/>
      <c r="AI226" s="12"/>
      <c r="AP226" s="12"/>
      <c r="AQ226" s="12"/>
      <c r="AX226" s="12"/>
      <c r="AY226" s="12"/>
      <c r="BF226" s="12"/>
      <c r="BG226" s="12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</row>
    <row r="227" spans="10:113" x14ac:dyDescent="0.25">
      <c r="J227" s="12"/>
      <c r="K227" s="12"/>
      <c r="R227" s="12"/>
      <c r="S227" s="12"/>
      <c r="Z227" s="12"/>
      <c r="AA227" s="12"/>
      <c r="AH227" s="12"/>
      <c r="AI227" s="12"/>
      <c r="AP227" s="12"/>
      <c r="AQ227" s="12"/>
      <c r="AX227" s="12"/>
      <c r="AY227" s="12"/>
      <c r="BF227" s="12"/>
      <c r="BG227" s="12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</row>
    <row r="228" spans="10:113" x14ac:dyDescent="0.25">
      <c r="J228" s="12"/>
      <c r="K228" s="12"/>
      <c r="R228" s="12"/>
      <c r="S228" s="12"/>
      <c r="Z228" s="12"/>
      <c r="AA228" s="12"/>
      <c r="AH228" s="12"/>
      <c r="AI228" s="12"/>
      <c r="AP228" s="12"/>
      <c r="AQ228" s="12"/>
      <c r="AX228" s="12"/>
      <c r="AY228" s="12"/>
      <c r="BF228" s="12"/>
      <c r="BG228" s="12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</row>
    <row r="229" spans="10:113" x14ac:dyDescent="0.25">
      <c r="J229" s="12"/>
      <c r="K229" s="12"/>
      <c r="R229" s="12"/>
      <c r="S229" s="12"/>
      <c r="Z229" s="12"/>
      <c r="AA229" s="12"/>
      <c r="AH229" s="12"/>
      <c r="AI229" s="12"/>
      <c r="AP229" s="12"/>
      <c r="AQ229" s="12"/>
      <c r="AX229" s="12"/>
      <c r="AY229" s="12"/>
      <c r="BF229" s="12"/>
      <c r="BG229" s="12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</row>
    <row r="230" spans="10:113" x14ac:dyDescent="0.25">
      <c r="J230" s="12"/>
      <c r="K230" s="12"/>
      <c r="R230" s="12"/>
      <c r="S230" s="12"/>
      <c r="Z230" s="12"/>
      <c r="AA230" s="12"/>
      <c r="AH230" s="12"/>
      <c r="AI230" s="12"/>
      <c r="AP230" s="12"/>
      <c r="AQ230" s="12"/>
      <c r="AX230" s="12"/>
      <c r="AY230" s="12"/>
      <c r="BF230" s="12"/>
      <c r="BG230" s="12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</row>
    <row r="231" spans="10:113" x14ac:dyDescent="0.25">
      <c r="J231" s="12"/>
      <c r="K231" s="12"/>
      <c r="R231" s="12"/>
      <c r="S231" s="12"/>
      <c r="Z231" s="12"/>
      <c r="AA231" s="12"/>
      <c r="AH231" s="12"/>
      <c r="AI231" s="12"/>
      <c r="AP231" s="12"/>
      <c r="AQ231" s="12"/>
      <c r="AX231" s="12"/>
      <c r="AY231" s="12"/>
      <c r="BF231" s="12"/>
      <c r="BG231" s="12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</row>
    <row r="232" spans="10:113" x14ac:dyDescent="0.25">
      <c r="J232" s="12"/>
      <c r="K232" s="12"/>
      <c r="R232" s="12"/>
      <c r="S232" s="12"/>
      <c r="Z232" s="12"/>
      <c r="AA232" s="12"/>
      <c r="AH232" s="12"/>
      <c r="AI232" s="12"/>
      <c r="AP232" s="12"/>
      <c r="AQ232" s="12"/>
      <c r="AX232" s="12"/>
      <c r="AY232" s="12"/>
      <c r="BF232" s="12"/>
      <c r="BG232" s="12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</row>
    <row r="233" spans="10:113" x14ac:dyDescent="0.25">
      <c r="J233" s="12"/>
      <c r="K233" s="12"/>
      <c r="R233" s="12"/>
      <c r="S233" s="12"/>
      <c r="Z233" s="12"/>
      <c r="AA233" s="12"/>
      <c r="AH233" s="12"/>
      <c r="AI233" s="12"/>
      <c r="AP233" s="12"/>
      <c r="AQ233" s="12"/>
      <c r="AX233" s="12"/>
      <c r="AY233" s="12"/>
      <c r="BF233" s="12"/>
      <c r="BG233" s="12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</row>
    <row r="234" spans="10:113" x14ac:dyDescent="0.25">
      <c r="J234" s="12"/>
      <c r="K234" s="12"/>
      <c r="R234" s="12"/>
      <c r="S234" s="12"/>
      <c r="Z234" s="12"/>
      <c r="AA234" s="12"/>
      <c r="AH234" s="12"/>
      <c r="AI234" s="12"/>
      <c r="AP234" s="12"/>
      <c r="AQ234" s="12"/>
      <c r="AX234" s="12"/>
      <c r="AY234" s="12"/>
      <c r="BF234" s="12"/>
      <c r="BG234" s="12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</row>
    <row r="235" spans="10:113" x14ac:dyDescent="0.25">
      <c r="J235" s="12"/>
      <c r="K235" s="12"/>
      <c r="R235" s="12"/>
      <c r="S235" s="12"/>
      <c r="Z235" s="12"/>
      <c r="AA235" s="12"/>
      <c r="AH235" s="12"/>
      <c r="AI235" s="12"/>
      <c r="AP235" s="12"/>
      <c r="AQ235" s="12"/>
      <c r="AX235" s="12"/>
      <c r="AY235" s="12"/>
      <c r="BF235" s="12"/>
      <c r="BG235" s="12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</row>
    <row r="236" spans="10:113" x14ac:dyDescent="0.25">
      <c r="J236" s="12"/>
      <c r="K236" s="12"/>
      <c r="R236" s="12"/>
      <c r="S236" s="12"/>
      <c r="Z236" s="12"/>
      <c r="AA236" s="12"/>
      <c r="AH236" s="12"/>
      <c r="AI236" s="12"/>
      <c r="AP236" s="12"/>
      <c r="AQ236" s="12"/>
      <c r="AX236" s="12"/>
      <c r="AY236" s="12"/>
      <c r="BF236" s="12"/>
      <c r="BG236" s="12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</row>
    <row r="237" spans="10:113" x14ac:dyDescent="0.25">
      <c r="J237" s="12"/>
      <c r="K237" s="12"/>
      <c r="R237" s="12"/>
      <c r="S237" s="12"/>
      <c r="Z237" s="12"/>
      <c r="AA237" s="12"/>
      <c r="AH237" s="12"/>
      <c r="AI237" s="12"/>
      <c r="AP237" s="12"/>
      <c r="AQ237" s="12"/>
      <c r="AX237" s="12"/>
      <c r="AY237" s="12"/>
      <c r="BF237" s="12"/>
      <c r="BG237" s="12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</row>
    <row r="238" spans="10:113" x14ac:dyDescent="0.25">
      <c r="J238" s="12"/>
      <c r="K238" s="12"/>
      <c r="R238" s="12"/>
      <c r="S238" s="12"/>
      <c r="Z238" s="12"/>
      <c r="AA238" s="12"/>
      <c r="AH238" s="12"/>
      <c r="AI238" s="12"/>
      <c r="AP238" s="12"/>
      <c r="AQ238" s="12"/>
      <c r="AX238" s="12"/>
      <c r="AY238" s="12"/>
      <c r="BF238" s="12"/>
      <c r="BG238" s="12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</row>
    <row r="239" spans="10:113" x14ac:dyDescent="0.25">
      <c r="J239" s="12"/>
      <c r="K239" s="12"/>
      <c r="R239" s="12"/>
      <c r="S239" s="12"/>
      <c r="Z239" s="12"/>
      <c r="AA239" s="12"/>
      <c r="AH239" s="12"/>
      <c r="AI239" s="12"/>
      <c r="AP239" s="12"/>
      <c r="AQ239" s="12"/>
      <c r="AX239" s="12"/>
      <c r="AY239" s="12"/>
      <c r="BF239" s="12"/>
      <c r="BG239" s="12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</row>
    <row r="240" spans="10:113" x14ac:dyDescent="0.25">
      <c r="J240" s="12"/>
      <c r="K240" s="12"/>
      <c r="R240" s="12"/>
      <c r="S240" s="12"/>
      <c r="Z240" s="12"/>
      <c r="AA240" s="12"/>
      <c r="AH240" s="12"/>
      <c r="AI240" s="12"/>
      <c r="AP240" s="12"/>
      <c r="AQ240" s="12"/>
      <c r="AX240" s="12"/>
      <c r="AY240" s="12"/>
      <c r="BF240" s="12"/>
      <c r="BG240" s="12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</row>
    <row r="241" spans="10:113" x14ac:dyDescent="0.25">
      <c r="J241" s="12"/>
      <c r="K241" s="12"/>
      <c r="R241" s="12"/>
      <c r="S241" s="12"/>
      <c r="Z241" s="12"/>
      <c r="AA241" s="12"/>
      <c r="AH241" s="12"/>
      <c r="AI241" s="12"/>
      <c r="AP241" s="12"/>
      <c r="AQ241" s="12"/>
      <c r="AX241" s="12"/>
      <c r="AY241" s="12"/>
      <c r="BF241" s="12"/>
      <c r="BG241" s="12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</row>
    <row r="242" spans="10:113" x14ac:dyDescent="0.25">
      <c r="J242" s="12"/>
      <c r="K242" s="12"/>
      <c r="R242" s="12"/>
      <c r="S242" s="12"/>
      <c r="Z242" s="12"/>
      <c r="AA242" s="12"/>
      <c r="AH242" s="12"/>
      <c r="AI242" s="12"/>
      <c r="AP242" s="12"/>
      <c r="AQ242" s="12"/>
      <c r="AX242" s="12"/>
      <c r="AY242" s="12"/>
      <c r="BF242" s="12"/>
      <c r="BG242" s="12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</row>
    <row r="243" spans="10:113" x14ac:dyDescent="0.25">
      <c r="J243" s="12"/>
      <c r="K243" s="12"/>
      <c r="R243" s="12"/>
      <c r="S243" s="12"/>
      <c r="Z243" s="12"/>
      <c r="AA243" s="12"/>
      <c r="AH243" s="12"/>
      <c r="AI243" s="12"/>
      <c r="AP243" s="12"/>
      <c r="AQ243" s="12"/>
      <c r="AX243" s="12"/>
      <c r="AY243" s="12"/>
      <c r="BF243" s="12"/>
      <c r="BG243" s="12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</row>
    <row r="244" spans="10:113" x14ac:dyDescent="0.25">
      <c r="J244" s="12"/>
      <c r="K244" s="12"/>
      <c r="R244" s="12"/>
      <c r="S244" s="12"/>
      <c r="Z244" s="12"/>
      <c r="AA244" s="12"/>
      <c r="AH244" s="12"/>
      <c r="AI244" s="12"/>
      <c r="AP244" s="12"/>
      <c r="AQ244" s="12"/>
      <c r="AX244" s="12"/>
      <c r="AY244" s="12"/>
      <c r="BF244" s="12"/>
      <c r="BG244" s="12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</row>
    <row r="245" spans="10:113" x14ac:dyDescent="0.25">
      <c r="J245" s="12"/>
      <c r="K245" s="12"/>
      <c r="R245" s="12"/>
      <c r="S245" s="12"/>
      <c r="Z245" s="12"/>
      <c r="AA245" s="12"/>
      <c r="AH245" s="12"/>
      <c r="AI245" s="12"/>
      <c r="AP245" s="12"/>
      <c r="AQ245" s="12"/>
      <c r="AX245" s="12"/>
      <c r="AY245" s="12"/>
      <c r="BF245" s="12"/>
      <c r="BG245" s="12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</row>
    <row r="246" spans="10:113" x14ac:dyDescent="0.25">
      <c r="J246" s="12"/>
      <c r="K246" s="12"/>
      <c r="R246" s="12"/>
      <c r="S246" s="12"/>
      <c r="Z246" s="12"/>
      <c r="AA246" s="12"/>
      <c r="AH246" s="12"/>
      <c r="AI246" s="12"/>
      <c r="AP246" s="12"/>
      <c r="AQ246" s="12"/>
      <c r="AX246" s="12"/>
      <c r="AY246" s="12"/>
      <c r="BF246" s="12"/>
      <c r="BG246" s="12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</row>
    <row r="247" spans="10:113" x14ac:dyDescent="0.25">
      <c r="J247" s="12"/>
      <c r="K247" s="12"/>
      <c r="R247" s="12"/>
      <c r="S247" s="12"/>
      <c r="Z247" s="12"/>
      <c r="AA247" s="12"/>
      <c r="AH247" s="12"/>
      <c r="AI247" s="12"/>
      <c r="AP247" s="12"/>
      <c r="AQ247" s="12"/>
      <c r="AX247" s="12"/>
      <c r="AY247" s="12"/>
      <c r="BF247" s="12"/>
      <c r="BG247" s="12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</row>
    <row r="248" spans="10:113" x14ac:dyDescent="0.25">
      <c r="J248" s="12"/>
      <c r="K248" s="12"/>
      <c r="R248" s="12"/>
      <c r="S248" s="12"/>
      <c r="Z248" s="12"/>
      <c r="AA248" s="12"/>
      <c r="AH248" s="12"/>
      <c r="AI248" s="12"/>
      <c r="AP248" s="12"/>
      <c r="AQ248" s="12"/>
      <c r="AX248" s="12"/>
      <c r="AY248" s="12"/>
      <c r="BF248" s="12"/>
      <c r="BG248" s="12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</row>
    <row r="249" spans="10:113" x14ac:dyDescent="0.25">
      <c r="J249" s="12"/>
      <c r="K249" s="12"/>
      <c r="R249" s="12"/>
      <c r="S249" s="12"/>
      <c r="Z249" s="12"/>
      <c r="AA249" s="12"/>
      <c r="AH249" s="12"/>
      <c r="AI249" s="12"/>
      <c r="AP249" s="12"/>
      <c r="AQ249" s="12"/>
      <c r="AX249" s="12"/>
      <c r="AY249" s="12"/>
      <c r="BF249" s="12"/>
      <c r="BG249" s="12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</row>
    <row r="250" spans="10:113" x14ac:dyDescent="0.25">
      <c r="J250" s="12"/>
      <c r="K250" s="12"/>
      <c r="R250" s="12"/>
      <c r="S250" s="12"/>
      <c r="Z250" s="12"/>
      <c r="AA250" s="12"/>
      <c r="AH250" s="12"/>
      <c r="AI250" s="12"/>
      <c r="AP250" s="12"/>
      <c r="AQ250" s="12"/>
      <c r="AX250" s="12"/>
      <c r="AY250" s="12"/>
      <c r="BF250" s="12"/>
      <c r="BG250" s="12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</row>
    <row r="251" spans="10:113" x14ac:dyDescent="0.25">
      <c r="J251" s="12"/>
      <c r="K251" s="12"/>
      <c r="R251" s="12"/>
      <c r="S251" s="12"/>
      <c r="Z251" s="12"/>
      <c r="AA251" s="12"/>
      <c r="AH251" s="12"/>
      <c r="AI251" s="12"/>
      <c r="AP251" s="12"/>
      <c r="AQ251" s="12"/>
      <c r="AX251" s="12"/>
      <c r="AY251" s="12"/>
      <c r="BF251" s="12"/>
      <c r="BG251" s="12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</row>
    <row r="252" spans="10:113" x14ac:dyDescent="0.25">
      <c r="J252" s="12"/>
      <c r="K252" s="12"/>
      <c r="R252" s="12"/>
      <c r="S252" s="12"/>
      <c r="Z252" s="12"/>
      <c r="AA252" s="12"/>
      <c r="AH252" s="12"/>
      <c r="AI252" s="12"/>
      <c r="AP252" s="12"/>
      <c r="AQ252" s="12"/>
      <c r="AX252" s="12"/>
      <c r="AY252" s="12"/>
      <c r="BF252" s="12"/>
      <c r="BG252" s="12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</row>
    <row r="253" spans="10:113" x14ac:dyDescent="0.25">
      <c r="J253" s="12"/>
      <c r="K253" s="12"/>
      <c r="R253" s="12"/>
      <c r="S253" s="12"/>
      <c r="Z253" s="12"/>
      <c r="AA253" s="12"/>
      <c r="AH253" s="12"/>
      <c r="AI253" s="12"/>
      <c r="AP253" s="12"/>
      <c r="AQ253" s="12"/>
      <c r="AX253" s="12"/>
      <c r="AY253" s="12"/>
      <c r="BF253" s="12"/>
      <c r="BG253" s="12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</row>
    <row r="254" spans="10:113" x14ac:dyDescent="0.25">
      <c r="J254" s="12"/>
      <c r="K254" s="12"/>
      <c r="R254" s="12"/>
      <c r="S254" s="12"/>
      <c r="Z254" s="12"/>
      <c r="AA254" s="12"/>
      <c r="AH254" s="12"/>
      <c r="AI254" s="12"/>
      <c r="AP254" s="12"/>
      <c r="AQ254" s="12"/>
      <c r="AX254" s="12"/>
      <c r="AY254" s="12"/>
      <c r="BF254" s="12"/>
      <c r="BG254" s="12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</row>
    <row r="255" spans="10:113" x14ac:dyDescent="0.25">
      <c r="J255" s="12"/>
      <c r="K255" s="12"/>
      <c r="R255" s="12"/>
      <c r="S255" s="12"/>
      <c r="Z255" s="12"/>
      <c r="AA255" s="12"/>
      <c r="AH255" s="12"/>
      <c r="AI255" s="12"/>
      <c r="AP255" s="12"/>
      <c r="AQ255" s="12"/>
      <c r="AX255" s="12"/>
      <c r="AY255" s="12"/>
      <c r="BF255" s="12"/>
      <c r="BG255" s="12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</row>
    <row r="256" spans="10:113" x14ac:dyDescent="0.25">
      <c r="J256" s="12"/>
      <c r="K256" s="12"/>
      <c r="R256" s="12"/>
      <c r="S256" s="12"/>
      <c r="Z256" s="12"/>
      <c r="AA256" s="12"/>
      <c r="AH256" s="12"/>
      <c r="AI256" s="12"/>
      <c r="AP256" s="12"/>
      <c r="AQ256" s="12"/>
      <c r="AX256" s="12"/>
      <c r="AY256" s="12"/>
      <c r="BF256" s="12"/>
      <c r="BG256" s="12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</row>
    <row r="257" spans="10:113" x14ac:dyDescent="0.25">
      <c r="J257" s="12"/>
      <c r="K257" s="12"/>
      <c r="R257" s="12"/>
      <c r="S257" s="12"/>
      <c r="Z257" s="12"/>
      <c r="AA257" s="12"/>
      <c r="AH257" s="12"/>
      <c r="AI257" s="12"/>
      <c r="AP257" s="12"/>
      <c r="AQ257" s="12"/>
      <c r="AX257" s="12"/>
      <c r="AY257" s="12"/>
      <c r="BF257" s="12"/>
      <c r="BG257" s="12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</row>
    <row r="258" spans="10:113" x14ac:dyDescent="0.25">
      <c r="J258" s="12"/>
      <c r="K258" s="12"/>
      <c r="R258" s="12"/>
      <c r="S258" s="12"/>
      <c r="Z258" s="12"/>
      <c r="AA258" s="12"/>
      <c r="AH258" s="12"/>
      <c r="AI258" s="12"/>
      <c r="AP258" s="12"/>
      <c r="AQ258" s="12"/>
      <c r="AX258" s="12"/>
      <c r="AY258" s="12"/>
      <c r="BF258" s="12"/>
      <c r="BG258" s="12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</row>
    <row r="259" spans="10:113" x14ac:dyDescent="0.25">
      <c r="J259" s="12"/>
      <c r="K259" s="12"/>
      <c r="R259" s="12"/>
      <c r="S259" s="12"/>
      <c r="Z259" s="12"/>
      <c r="AA259" s="12"/>
      <c r="AH259" s="12"/>
      <c r="AI259" s="12"/>
      <c r="AP259" s="12"/>
      <c r="AQ259" s="12"/>
      <c r="AX259" s="12"/>
      <c r="AY259" s="12"/>
      <c r="BF259" s="12"/>
      <c r="BG259" s="12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</row>
    <row r="260" spans="10:113" x14ac:dyDescent="0.25">
      <c r="J260" s="12"/>
      <c r="K260" s="12"/>
      <c r="R260" s="12"/>
      <c r="S260" s="12"/>
      <c r="Z260" s="12"/>
      <c r="AA260" s="12"/>
      <c r="AH260" s="12"/>
      <c r="AI260" s="12"/>
      <c r="AP260" s="12"/>
      <c r="AQ260" s="12"/>
      <c r="AX260" s="12"/>
      <c r="AY260" s="12"/>
      <c r="BF260" s="12"/>
      <c r="BG260" s="12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</row>
    <row r="261" spans="10:113" x14ac:dyDescent="0.25">
      <c r="J261" s="12"/>
      <c r="K261" s="12"/>
      <c r="R261" s="12"/>
      <c r="S261" s="12"/>
      <c r="Z261" s="12"/>
      <c r="AA261" s="12"/>
      <c r="AH261" s="12"/>
      <c r="AI261" s="12"/>
      <c r="AP261" s="12"/>
      <c r="AQ261" s="12"/>
      <c r="AX261" s="12"/>
      <c r="AY261" s="12"/>
      <c r="BF261" s="12"/>
      <c r="BG261" s="12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</row>
    <row r="262" spans="10:113" x14ac:dyDescent="0.25">
      <c r="J262" s="12"/>
      <c r="K262" s="12"/>
      <c r="R262" s="12"/>
      <c r="S262" s="12"/>
      <c r="Z262" s="12"/>
      <c r="AA262" s="12"/>
      <c r="AH262" s="12"/>
      <c r="AI262" s="12"/>
      <c r="AP262" s="12"/>
      <c r="AQ262" s="12"/>
      <c r="AX262" s="12"/>
      <c r="AY262" s="12"/>
      <c r="BF262" s="12"/>
      <c r="BG262" s="12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</row>
    <row r="263" spans="10:113" x14ac:dyDescent="0.25">
      <c r="J263" s="12"/>
      <c r="K263" s="12"/>
      <c r="R263" s="12"/>
      <c r="S263" s="12"/>
      <c r="Z263" s="12"/>
      <c r="AA263" s="12"/>
      <c r="AH263" s="12"/>
      <c r="AI263" s="12"/>
      <c r="AP263" s="12"/>
      <c r="AQ263" s="12"/>
      <c r="AX263" s="12"/>
      <c r="AY263" s="12"/>
      <c r="BF263" s="12"/>
      <c r="BG263" s="12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</row>
    <row r="264" spans="10:113" x14ac:dyDescent="0.25">
      <c r="J264" s="12"/>
      <c r="K264" s="12"/>
      <c r="R264" s="12"/>
      <c r="S264" s="12"/>
      <c r="Z264" s="12"/>
      <c r="AA264" s="12"/>
      <c r="AH264" s="12"/>
      <c r="AI264" s="12"/>
      <c r="AP264" s="12"/>
      <c r="AQ264" s="12"/>
      <c r="AX264" s="12"/>
      <c r="AY264" s="12"/>
      <c r="BF264" s="12"/>
      <c r="BG264" s="12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</row>
    <row r="265" spans="10:113" x14ac:dyDescent="0.25">
      <c r="J265" s="12"/>
      <c r="K265" s="12"/>
      <c r="R265" s="12"/>
      <c r="S265" s="12"/>
      <c r="Z265" s="12"/>
      <c r="AA265" s="12"/>
      <c r="AH265" s="12"/>
      <c r="AI265" s="12"/>
      <c r="AP265" s="12"/>
      <c r="AQ265" s="12"/>
      <c r="AX265" s="12"/>
      <c r="AY265" s="12"/>
      <c r="BF265" s="12"/>
      <c r="BG265" s="12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</row>
    <row r="266" spans="10:113" x14ac:dyDescent="0.25">
      <c r="J266" s="12"/>
      <c r="K266" s="12"/>
      <c r="R266" s="12"/>
      <c r="S266" s="12"/>
      <c r="Z266" s="12"/>
      <c r="AA266" s="12"/>
      <c r="AH266" s="12"/>
      <c r="AI266" s="12"/>
      <c r="AP266" s="12"/>
      <c r="AQ266" s="12"/>
      <c r="AX266" s="12"/>
      <c r="AY266" s="12"/>
      <c r="BF266" s="12"/>
      <c r="BG266" s="12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</row>
    <row r="267" spans="10:113" x14ac:dyDescent="0.25">
      <c r="J267" s="12"/>
      <c r="K267" s="12"/>
      <c r="R267" s="12"/>
      <c r="S267" s="12"/>
      <c r="Z267" s="12"/>
      <c r="AA267" s="12"/>
      <c r="AH267" s="12"/>
      <c r="AI267" s="12"/>
      <c r="AP267" s="12"/>
      <c r="AQ267" s="12"/>
      <c r="AX267" s="12"/>
      <c r="AY267" s="12"/>
      <c r="BF267" s="12"/>
      <c r="BG267" s="12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</row>
    <row r="268" spans="10:113" x14ac:dyDescent="0.25">
      <c r="J268" s="12"/>
      <c r="K268" s="12"/>
      <c r="R268" s="12"/>
      <c r="S268" s="12"/>
      <c r="Z268" s="12"/>
      <c r="AA268" s="12"/>
      <c r="AH268" s="12"/>
      <c r="AI268" s="12"/>
      <c r="AP268" s="12"/>
      <c r="AQ268" s="12"/>
      <c r="AX268" s="12"/>
      <c r="AY268" s="12"/>
      <c r="BF268" s="12"/>
      <c r="BG268" s="12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</row>
    <row r="269" spans="10:113" x14ac:dyDescent="0.25">
      <c r="J269" s="12"/>
      <c r="K269" s="12"/>
      <c r="R269" s="12"/>
      <c r="S269" s="12"/>
      <c r="Z269" s="12"/>
      <c r="AA269" s="12"/>
      <c r="AH269" s="12"/>
      <c r="AI269" s="12"/>
      <c r="AP269" s="12"/>
      <c r="AQ269" s="12"/>
      <c r="AX269" s="12"/>
      <c r="AY269" s="12"/>
      <c r="BF269" s="12"/>
      <c r="BG269" s="12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</row>
    <row r="270" spans="10:113" x14ac:dyDescent="0.25">
      <c r="J270" s="12"/>
      <c r="K270" s="12"/>
      <c r="R270" s="12"/>
      <c r="S270" s="12"/>
      <c r="Z270" s="12"/>
      <c r="AA270" s="12"/>
      <c r="AH270" s="12"/>
      <c r="AI270" s="12"/>
      <c r="AP270" s="12"/>
      <c r="AQ270" s="12"/>
      <c r="AX270" s="12"/>
      <c r="AY270" s="12"/>
      <c r="BF270" s="12"/>
      <c r="BG270" s="12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</row>
    <row r="271" spans="10:113" x14ac:dyDescent="0.25">
      <c r="J271" s="12"/>
      <c r="K271" s="12"/>
      <c r="R271" s="12"/>
      <c r="S271" s="12"/>
      <c r="Z271" s="12"/>
      <c r="AA271" s="12"/>
      <c r="AH271" s="12"/>
      <c r="AI271" s="12"/>
      <c r="AP271" s="12"/>
      <c r="AQ271" s="12"/>
      <c r="AX271" s="12"/>
      <c r="AY271" s="12"/>
      <c r="BF271" s="12"/>
      <c r="BG271" s="12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</row>
    <row r="272" spans="10:113" x14ac:dyDescent="0.25">
      <c r="J272" s="12"/>
      <c r="K272" s="12"/>
      <c r="R272" s="12"/>
      <c r="S272" s="12"/>
      <c r="Z272" s="12"/>
      <c r="AA272" s="12"/>
      <c r="AH272" s="12"/>
      <c r="AI272" s="12"/>
      <c r="AP272" s="12"/>
      <c r="AQ272" s="12"/>
      <c r="AX272" s="12"/>
      <c r="AY272" s="12"/>
      <c r="BF272" s="12"/>
      <c r="BG272" s="12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</row>
    <row r="273" spans="10:113" x14ac:dyDescent="0.25">
      <c r="J273" s="12"/>
      <c r="K273" s="12"/>
      <c r="R273" s="12"/>
      <c r="S273" s="12"/>
      <c r="Z273" s="12"/>
      <c r="AA273" s="12"/>
      <c r="AH273" s="12"/>
      <c r="AI273" s="12"/>
      <c r="AP273" s="12"/>
      <c r="AQ273" s="12"/>
      <c r="AX273" s="12"/>
      <c r="AY273" s="12"/>
      <c r="BF273" s="12"/>
      <c r="BG273" s="12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</row>
    <row r="274" spans="10:113" x14ac:dyDescent="0.25">
      <c r="J274" s="12"/>
      <c r="K274" s="12"/>
      <c r="R274" s="12"/>
      <c r="S274" s="12"/>
      <c r="Z274" s="12"/>
      <c r="AA274" s="12"/>
      <c r="AH274" s="12"/>
      <c r="AI274" s="12"/>
      <c r="AP274" s="12"/>
      <c r="AQ274" s="12"/>
      <c r="AX274" s="12"/>
      <c r="AY274" s="12"/>
      <c r="BF274" s="12"/>
      <c r="BG274" s="12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</row>
    <row r="275" spans="10:113" x14ac:dyDescent="0.25">
      <c r="J275" s="12"/>
      <c r="K275" s="12"/>
      <c r="R275" s="12"/>
      <c r="S275" s="12"/>
      <c r="Z275" s="12"/>
      <c r="AA275" s="12"/>
      <c r="AH275" s="12"/>
      <c r="AI275" s="12"/>
      <c r="AP275" s="12"/>
      <c r="AQ275" s="12"/>
      <c r="AX275" s="12"/>
      <c r="AY275" s="12"/>
      <c r="BF275" s="12"/>
      <c r="BG275" s="12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</row>
    <row r="276" spans="10:113" x14ac:dyDescent="0.25">
      <c r="J276" s="12"/>
      <c r="K276" s="12"/>
      <c r="R276" s="12"/>
      <c r="S276" s="12"/>
      <c r="Z276" s="12"/>
      <c r="AA276" s="12"/>
      <c r="AH276" s="12"/>
      <c r="AI276" s="12"/>
      <c r="AP276" s="12"/>
      <c r="AQ276" s="12"/>
      <c r="AX276" s="12"/>
      <c r="AY276" s="12"/>
      <c r="BF276" s="12"/>
      <c r="BG276" s="12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</row>
    <row r="277" spans="10:113" x14ac:dyDescent="0.25">
      <c r="J277" s="12"/>
      <c r="K277" s="12"/>
      <c r="R277" s="12"/>
      <c r="S277" s="12"/>
      <c r="Z277" s="12"/>
      <c r="AA277" s="12"/>
      <c r="AH277" s="12"/>
      <c r="AI277" s="12"/>
      <c r="AP277" s="12"/>
      <c r="AQ277" s="12"/>
      <c r="AX277" s="12"/>
      <c r="AY277" s="12"/>
      <c r="BF277" s="12"/>
      <c r="BG277" s="12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</row>
    <row r="278" spans="10:113" x14ac:dyDescent="0.25">
      <c r="J278" s="12"/>
      <c r="K278" s="12"/>
      <c r="R278" s="12"/>
      <c r="S278" s="12"/>
      <c r="Z278" s="12"/>
      <c r="AA278" s="12"/>
      <c r="AH278" s="12"/>
      <c r="AI278" s="12"/>
      <c r="AP278" s="12"/>
      <c r="AQ278" s="12"/>
      <c r="AX278" s="12"/>
      <c r="AY278" s="12"/>
      <c r="BF278" s="12"/>
      <c r="BG278" s="12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</row>
    <row r="279" spans="10:113" x14ac:dyDescent="0.25">
      <c r="J279" s="12"/>
      <c r="K279" s="12"/>
      <c r="R279" s="12"/>
      <c r="S279" s="12"/>
      <c r="Z279" s="12"/>
      <c r="AA279" s="12"/>
      <c r="AH279" s="12"/>
      <c r="AI279" s="12"/>
      <c r="AP279" s="12"/>
      <c r="AQ279" s="12"/>
      <c r="AX279" s="12"/>
      <c r="AY279" s="12"/>
      <c r="BF279" s="12"/>
      <c r="BG279" s="12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</row>
    <row r="280" spans="10:113" x14ac:dyDescent="0.25">
      <c r="J280" s="12"/>
      <c r="K280" s="12"/>
      <c r="R280" s="12"/>
      <c r="S280" s="12"/>
      <c r="Z280" s="12"/>
      <c r="AA280" s="12"/>
      <c r="AH280" s="12"/>
      <c r="AI280" s="12"/>
      <c r="AP280" s="12"/>
      <c r="AQ280" s="12"/>
      <c r="AX280" s="12"/>
      <c r="AY280" s="12"/>
      <c r="BF280" s="12"/>
      <c r="BG280" s="12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</row>
    <row r="281" spans="10:113" x14ac:dyDescent="0.25">
      <c r="J281" s="12"/>
      <c r="K281" s="12"/>
      <c r="R281" s="12"/>
      <c r="S281" s="12"/>
      <c r="Z281" s="12"/>
      <c r="AA281" s="12"/>
      <c r="AH281" s="12"/>
      <c r="AI281" s="12"/>
      <c r="AP281" s="12"/>
      <c r="AQ281" s="12"/>
      <c r="AX281" s="12"/>
      <c r="AY281" s="12"/>
      <c r="BF281" s="12"/>
      <c r="BG281" s="12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</row>
    <row r="282" spans="10:113" x14ac:dyDescent="0.25">
      <c r="J282" s="12"/>
      <c r="K282" s="12"/>
      <c r="R282" s="12"/>
      <c r="S282" s="12"/>
      <c r="Z282" s="12"/>
      <c r="AA282" s="12"/>
      <c r="AH282" s="12"/>
      <c r="AI282" s="12"/>
      <c r="AP282" s="12"/>
      <c r="AQ282" s="12"/>
      <c r="AX282" s="12"/>
      <c r="AY282" s="12"/>
      <c r="BF282" s="12"/>
      <c r="BG282" s="12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</row>
    <row r="283" spans="10:113" x14ac:dyDescent="0.25">
      <c r="J283" s="12"/>
      <c r="K283" s="12"/>
      <c r="R283" s="12"/>
      <c r="S283" s="12"/>
      <c r="Z283" s="12"/>
      <c r="AA283" s="12"/>
      <c r="AH283" s="12"/>
      <c r="AI283" s="12"/>
      <c r="AP283" s="12"/>
      <c r="AQ283" s="12"/>
      <c r="AX283" s="12"/>
      <c r="AY283" s="12"/>
      <c r="BF283" s="12"/>
      <c r="BG283" s="12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</row>
    <row r="284" spans="10:113" x14ac:dyDescent="0.25">
      <c r="J284" s="12"/>
      <c r="K284" s="12"/>
      <c r="R284" s="12"/>
      <c r="S284" s="12"/>
      <c r="Z284" s="12"/>
      <c r="AA284" s="12"/>
      <c r="AH284" s="12"/>
      <c r="AI284" s="12"/>
      <c r="AP284" s="12"/>
      <c r="AQ284" s="12"/>
      <c r="AX284" s="12"/>
      <c r="AY284" s="12"/>
      <c r="BF284" s="12"/>
      <c r="BG284" s="12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</row>
    <row r="285" spans="10:113" x14ac:dyDescent="0.25">
      <c r="J285" s="12"/>
      <c r="K285" s="12"/>
      <c r="R285" s="12"/>
      <c r="S285" s="12"/>
      <c r="Z285" s="12"/>
      <c r="AA285" s="12"/>
      <c r="AH285" s="12"/>
      <c r="AI285" s="12"/>
      <c r="AP285" s="12"/>
      <c r="AQ285" s="12"/>
      <c r="AX285" s="12"/>
      <c r="AY285" s="12"/>
      <c r="BF285" s="12"/>
      <c r="BG285" s="12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</row>
    <row r="286" spans="10:113" x14ac:dyDescent="0.25">
      <c r="J286" s="12"/>
      <c r="K286" s="12"/>
      <c r="R286" s="12"/>
      <c r="S286" s="12"/>
      <c r="Z286" s="12"/>
      <c r="AA286" s="12"/>
      <c r="AH286" s="12"/>
      <c r="AI286" s="12"/>
      <c r="AP286" s="12"/>
      <c r="AQ286" s="12"/>
      <c r="AX286" s="12"/>
      <c r="AY286" s="12"/>
      <c r="BF286" s="12"/>
      <c r="BG286" s="12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</row>
    <row r="287" spans="10:113" x14ac:dyDescent="0.25">
      <c r="J287" s="12"/>
      <c r="K287" s="12"/>
      <c r="R287" s="12"/>
      <c r="S287" s="12"/>
      <c r="Z287" s="12"/>
      <c r="AA287" s="12"/>
      <c r="AH287" s="12"/>
      <c r="AI287" s="12"/>
      <c r="AP287" s="12"/>
      <c r="AQ287" s="12"/>
      <c r="AX287" s="12"/>
      <c r="AY287" s="12"/>
      <c r="BF287" s="12"/>
      <c r="BG287" s="12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</row>
    <row r="288" spans="10:113" x14ac:dyDescent="0.25">
      <c r="J288" s="12"/>
      <c r="K288" s="12"/>
      <c r="R288" s="12"/>
      <c r="S288" s="12"/>
      <c r="Z288" s="12"/>
      <c r="AA288" s="12"/>
      <c r="AH288" s="12"/>
      <c r="AI288" s="12"/>
      <c r="AP288" s="12"/>
      <c r="AQ288" s="12"/>
      <c r="AX288" s="12"/>
      <c r="AY288" s="12"/>
      <c r="BF288" s="12"/>
      <c r="BG288" s="12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</row>
    <row r="289" spans="10:113" x14ac:dyDescent="0.25">
      <c r="J289" s="12"/>
      <c r="K289" s="12"/>
      <c r="R289" s="12"/>
      <c r="S289" s="12"/>
      <c r="Z289" s="12"/>
      <c r="AA289" s="12"/>
      <c r="AH289" s="12"/>
      <c r="AI289" s="12"/>
      <c r="AP289" s="12"/>
      <c r="AQ289" s="12"/>
      <c r="AX289" s="12"/>
      <c r="AY289" s="12"/>
      <c r="BF289" s="12"/>
      <c r="BG289" s="12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</row>
    <row r="290" spans="10:113" x14ac:dyDescent="0.25">
      <c r="J290" s="12"/>
      <c r="K290" s="12"/>
      <c r="R290" s="12"/>
      <c r="S290" s="12"/>
      <c r="Z290" s="12"/>
      <c r="AA290" s="12"/>
      <c r="AH290" s="12"/>
      <c r="AI290" s="12"/>
      <c r="AP290" s="12"/>
      <c r="AQ290" s="12"/>
      <c r="AX290" s="12"/>
      <c r="AY290" s="12"/>
      <c r="BF290" s="12"/>
      <c r="BG290" s="12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</row>
    <row r="291" spans="10:113" x14ac:dyDescent="0.25">
      <c r="J291" s="12"/>
      <c r="K291" s="12"/>
      <c r="R291" s="12"/>
      <c r="S291" s="12"/>
      <c r="Z291" s="12"/>
      <c r="AA291" s="12"/>
      <c r="AH291" s="12"/>
      <c r="AI291" s="12"/>
      <c r="AP291" s="12"/>
      <c r="AQ291" s="12"/>
      <c r="AX291" s="12"/>
      <c r="AY291" s="12"/>
      <c r="BF291" s="12"/>
      <c r="BG291" s="12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</row>
    <row r="292" spans="10:113" x14ac:dyDescent="0.25">
      <c r="J292" s="12"/>
      <c r="K292" s="12"/>
      <c r="R292" s="12"/>
      <c r="S292" s="12"/>
      <c r="Z292" s="12"/>
      <c r="AA292" s="12"/>
      <c r="AH292" s="12"/>
      <c r="AI292" s="12"/>
      <c r="AP292" s="12"/>
      <c r="AQ292" s="12"/>
      <c r="AX292" s="12"/>
      <c r="AY292" s="12"/>
      <c r="BF292" s="12"/>
      <c r="BG292" s="12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</row>
    <row r="293" spans="10:113" x14ac:dyDescent="0.25">
      <c r="J293" s="12"/>
      <c r="K293" s="12"/>
      <c r="R293" s="12"/>
      <c r="S293" s="12"/>
      <c r="Z293" s="12"/>
      <c r="AA293" s="12"/>
      <c r="AH293" s="12"/>
      <c r="AI293" s="12"/>
      <c r="AP293" s="12"/>
      <c r="AQ293" s="12"/>
      <c r="AX293" s="12"/>
      <c r="AY293" s="12"/>
      <c r="BF293" s="12"/>
      <c r="BG293" s="12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</row>
    <row r="294" spans="10:113" x14ac:dyDescent="0.25">
      <c r="J294" s="12"/>
      <c r="K294" s="12"/>
      <c r="R294" s="12"/>
      <c r="S294" s="12"/>
      <c r="Z294" s="12"/>
      <c r="AA294" s="12"/>
      <c r="AH294" s="12"/>
      <c r="AI294" s="12"/>
      <c r="AP294" s="12"/>
      <c r="AQ294" s="12"/>
      <c r="AX294" s="12"/>
      <c r="AY294" s="12"/>
      <c r="BF294" s="12"/>
      <c r="BG294" s="12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</row>
    <row r="295" spans="10:113" x14ac:dyDescent="0.25">
      <c r="J295" s="12"/>
      <c r="K295" s="12"/>
      <c r="R295" s="12"/>
      <c r="S295" s="12"/>
      <c r="Z295" s="12"/>
      <c r="AA295" s="12"/>
      <c r="AH295" s="12"/>
      <c r="AI295" s="12"/>
      <c r="AP295" s="12"/>
      <c r="AQ295" s="12"/>
      <c r="AX295" s="12"/>
      <c r="AY295" s="12"/>
      <c r="BF295" s="12"/>
      <c r="BG295" s="12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</row>
    <row r="296" spans="10:113" x14ac:dyDescent="0.25">
      <c r="J296" s="12"/>
      <c r="K296" s="12"/>
      <c r="R296" s="12"/>
      <c r="S296" s="12"/>
      <c r="Z296" s="12"/>
      <c r="AA296" s="12"/>
      <c r="AH296" s="12"/>
      <c r="AI296" s="12"/>
      <c r="AP296" s="12"/>
      <c r="AQ296" s="12"/>
      <c r="AX296" s="12"/>
      <c r="AY296" s="12"/>
      <c r="BF296" s="12"/>
      <c r="BG296" s="12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</row>
    <row r="297" spans="10:113" x14ac:dyDescent="0.25">
      <c r="J297" s="12"/>
      <c r="K297" s="12"/>
      <c r="R297" s="12"/>
      <c r="S297" s="12"/>
      <c r="Z297" s="12"/>
      <c r="AA297" s="12"/>
      <c r="AH297" s="12"/>
      <c r="AI297" s="12"/>
      <c r="AP297" s="12"/>
      <c r="AQ297" s="12"/>
      <c r="AX297" s="12"/>
      <c r="AY297" s="12"/>
      <c r="BF297" s="12"/>
      <c r="BG297" s="12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</row>
    <row r="298" spans="10:113" x14ac:dyDescent="0.25">
      <c r="J298" s="12"/>
      <c r="K298" s="12"/>
      <c r="R298" s="12"/>
      <c r="S298" s="12"/>
      <c r="Z298" s="12"/>
      <c r="AA298" s="12"/>
      <c r="AH298" s="12"/>
      <c r="AI298" s="12"/>
      <c r="AP298" s="12"/>
      <c r="AQ298" s="12"/>
      <c r="AX298" s="12"/>
      <c r="AY298" s="12"/>
      <c r="BF298" s="12"/>
      <c r="BG298" s="12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</row>
    <row r="299" spans="10:113" x14ac:dyDescent="0.25">
      <c r="J299" s="12"/>
      <c r="K299" s="12"/>
      <c r="R299" s="12"/>
      <c r="S299" s="12"/>
      <c r="Z299" s="12"/>
      <c r="AA299" s="12"/>
      <c r="AH299" s="12"/>
      <c r="AI299" s="12"/>
      <c r="AP299" s="12"/>
      <c r="AQ299" s="12"/>
      <c r="AX299" s="12"/>
      <c r="AY299" s="12"/>
      <c r="BF299" s="12"/>
      <c r="BG299" s="12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</row>
    <row r="300" spans="10:113" x14ac:dyDescent="0.25">
      <c r="J300" s="12"/>
      <c r="K300" s="12"/>
      <c r="R300" s="12"/>
      <c r="S300" s="12"/>
      <c r="Z300" s="12"/>
      <c r="AA300" s="12"/>
      <c r="AH300" s="12"/>
      <c r="AI300" s="12"/>
      <c r="AP300" s="12"/>
      <c r="AQ300" s="12"/>
      <c r="AX300" s="12"/>
      <c r="AY300" s="12"/>
      <c r="BF300" s="12"/>
      <c r="BG300" s="12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</row>
    <row r="301" spans="10:113" x14ac:dyDescent="0.25">
      <c r="J301" s="12"/>
      <c r="K301" s="12"/>
      <c r="R301" s="12"/>
      <c r="S301" s="12"/>
      <c r="Z301" s="12"/>
      <c r="AA301" s="12"/>
      <c r="AH301" s="12"/>
      <c r="AI301" s="12"/>
      <c r="AP301" s="12"/>
      <c r="AQ301" s="12"/>
      <c r="AX301" s="12"/>
      <c r="AY301" s="12"/>
      <c r="BF301" s="12"/>
      <c r="BG301" s="12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</row>
    <row r="302" spans="10:113" x14ac:dyDescent="0.25">
      <c r="J302" s="12"/>
      <c r="K302" s="12"/>
      <c r="R302" s="12"/>
      <c r="S302" s="12"/>
      <c r="Z302" s="12"/>
      <c r="AA302" s="12"/>
      <c r="AH302" s="12"/>
      <c r="AI302" s="12"/>
      <c r="AP302" s="12"/>
      <c r="AQ302" s="12"/>
      <c r="AX302" s="12"/>
      <c r="AY302" s="12"/>
      <c r="BF302" s="12"/>
      <c r="BG302" s="12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</row>
    <row r="303" spans="10:113" x14ac:dyDescent="0.25">
      <c r="J303" s="12"/>
      <c r="K303" s="12"/>
      <c r="R303" s="12"/>
      <c r="S303" s="12"/>
      <c r="Z303" s="12"/>
      <c r="AA303" s="12"/>
      <c r="AH303" s="12"/>
      <c r="AI303" s="12"/>
      <c r="AP303" s="12"/>
      <c r="AQ303" s="12"/>
      <c r="AX303" s="12"/>
      <c r="AY303" s="12"/>
      <c r="BF303" s="12"/>
      <c r="BG303" s="12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</row>
    <row r="304" spans="10:113" x14ac:dyDescent="0.25">
      <c r="J304" s="12"/>
      <c r="K304" s="12"/>
      <c r="R304" s="12"/>
      <c r="S304" s="12"/>
      <c r="Z304" s="12"/>
      <c r="AA304" s="12"/>
      <c r="AH304" s="12"/>
      <c r="AI304" s="12"/>
      <c r="AP304" s="12"/>
      <c r="AQ304" s="12"/>
      <c r="AX304" s="12"/>
      <c r="AY304" s="12"/>
      <c r="BF304" s="12"/>
      <c r="BG304" s="12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</row>
    <row r="305" spans="10:113" x14ac:dyDescent="0.25">
      <c r="J305" s="12"/>
      <c r="K305" s="12"/>
      <c r="R305" s="12"/>
      <c r="S305" s="12"/>
      <c r="Z305" s="12"/>
      <c r="AA305" s="12"/>
      <c r="AH305" s="12"/>
      <c r="AI305" s="12"/>
      <c r="AP305" s="12"/>
      <c r="AQ305" s="12"/>
      <c r="AX305" s="12"/>
      <c r="AY305" s="12"/>
      <c r="BF305" s="12"/>
      <c r="BG305" s="12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</row>
    <row r="306" spans="10:113" x14ac:dyDescent="0.25">
      <c r="J306" s="12"/>
      <c r="K306" s="12"/>
      <c r="R306" s="12"/>
      <c r="S306" s="12"/>
      <c r="Z306" s="12"/>
      <c r="AA306" s="12"/>
      <c r="AH306" s="12"/>
      <c r="AI306" s="12"/>
      <c r="AP306" s="12"/>
      <c r="AQ306" s="12"/>
      <c r="AX306" s="12"/>
      <c r="AY306" s="12"/>
      <c r="BF306" s="12"/>
      <c r="BG306" s="12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</row>
    <row r="307" spans="10:113" x14ac:dyDescent="0.25">
      <c r="J307" s="12"/>
      <c r="K307" s="12"/>
      <c r="R307" s="12"/>
      <c r="S307" s="12"/>
      <c r="Z307" s="12"/>
      <c r="AA307" s="12"/>
      <c r="AH307" s="12"/>
      <c r="AI307" s="12"/>
      <c r="AP307" s="12"/>
      <c r="AQ307" s="12"/>
      <c r="AX307" s="12"/>
      <c r="AY307" s="12"/>
      <c r="BF307" s="12"/>
      <c r="BG307" s="12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</row>
    <row r="308" spans="10:113" x14ac:dyDescent="0.25">
      <c r="J308" s="12"/>
      <c r="K308" s="12"/>
      <c r="R308" s="12"/>
      <c r="S308" s="12"/>
      <c r="Z308" s="12"/>
      <c r="AA308" s="12"/>
      <c r="AH308" s="12"/>
      <c r="AI308" s="12"/>
      <c r="AP308" s="12"/>
      <c r="AQ308" s="12"/>
      <c r="AX308" s="12"/>
      <c r="AY308" s="12"/>
      <c r="BF308" s="12"/>
      <c r="BG308" s="12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</row>
    <row r="309" spans="10:113" x14ac:dyDescent="0.25">
      <c r="J309" s="12"/>
      <c r="K309" s="12"/>
      <c r="R309" s="12"/>
      <c r="S309" s="12"/>
      <c r="Z309" s="12"/>
      <c r="AA309" s="12"/>
      <c r="AH309" s="12"/>
      <c r="AI309" s="12"/>
      <c r="AP309" s="12"/>
      <c r="AQ309" s="12"/>
      <c r="AX309" s="12"/>
      <c r="AY309" s="12"/>
      <c r="BF309" s="12"/>
      <c r="BG309" s="12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</row>
    <row r="310" spans="10:113" x14ac:dyDescent="0.25">
      <c r="J310" s="12"/>
      <c r="K310" s="12"/>
      <c r="R310" s="12"/>
      <c r="S310" s="12"/>
      <c r="Z310" s="12"/>
      <c r="AA310" s="12"/>
      <c r="AH310" s="12"/>
      <c r="AI310" s="12"/>
      <c r="AP310" s="12"/>
      <c r="AQ310" s="12"/>
      <c r="AX310" s="12"/>
      <c r="AY310" s="12"/>
      <c r="BF310" s="12"/>
      <c r="BG310" s="12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</row>
    <row r="311" spans="10:113" x14ac:dyDescent="0.25">
      <c r="J311" s="12"/>
      <c r="K311" s="12"/>
      <c r="R311" s="12"/>
      <c r="S311" s="12"/>
      <c r="Z311" s="12"/>
      <c r="AA311" s="12"/>
      <c r="AH311" s="12"/>
      <c r="AI311" s="12"/>
      <c r="AP311" s="12"/>
      <c r="AQ311" s="12"/>
      <c r="AX311" s="12"/>
      <c r="AY311" s="12"/>
      <c r="BF311" s="12"/>
      <c r="BG311" s="12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</row>
    <row r="312" spans="10:113" x14ac:dyDescent="0.25">
      <c r="J312" s="12"/>
      <c r="K312" s="12"/>
      <c r="R312" s="12"/>
      <c r="S312" s="12"/>
      <c r="Z312" s="12"/>
      <c r="AA312" s="12"/>
      <c r="AH312" s="12"/>
      <c r="AI312" s="12"/>
      <c r="AP312" s="12"/>
      <c r="AQ312" s="12"/>
      <c r="AX312" s="12"/>
      <c r="AY312" s="12"/>
      <c r="BF312" s="12"/>
      <c r="BG312" s="12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</row>
    <row r="313" spans="10:113" x14ac:dyDescent="0.25">
      <c r="J313" s="12"/>
      <c r="K313" s="12"/>
      <c r="R313" s="12"/>
      <c r="S313" s="12"/>
      <c r="Z313" s="12"/>
      <c r="AA313" s="12"/>
      <c r="AH313" s="12"/>
      <c r="AI313" s="12"/>
      <c r="AP313" s="12"/>
      <c r="AQ313" s="12"/>
      <c r="AX313" s="12"/>
      <c r="AY313" s="12"/>
      <c r="BF313" s="12"/>
      <c r="BG313" s="12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</row>
    <row r="314" spans="10:113" x14ac:dyDescent="0.25">
      <c r="J314" s="12"/>
      <c r="K314" s="12"/>
      <c r="R314" s="12"/>
      <c r="S314" s="12"/>
      <c r="Z314" s="12"/>
      <c r="AA314" s="12"/>
      <c r="AH314" s="12"/>
      <c r="AI314" s="12"/>
      <c r="AP314" s="12"/>
      <c r="AQ314" s="12"/>
      <c r="AX314" s="12"/>
      <c r="AY314" s="12"/>
      <c r="BF314" s="12"/>
      <c r="BG314" s="12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</row>
    <row r="315" spans="10:113" x14ac:dyDescent="0.25">
      <c r="J315" s="12"/>
      <c r="K315" s="12"/>
      <c r="R315" s="12"/>
      <c r="S315" s="12"/>
      <c r="Z315" s="12"/>
      <c r="AA315" s="12"/>
      <c r="AH315" s="12"/>
      <c r="AI315" s="12"/>
      <c r="AP315" s="12"/>
      <c r="AQ315" s="12"/>
      <c r="AX315" s="12"/>
      <c r="AY315" s="12"/>
      <c r="BF315" s="12"/>
      <c r="BG315" s="12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</row>
    <row r="316" spans="10:113" x14ac:dyDescent="0.25">
      <c r="J316" s="12"/>
      <c r="K316" s="12"/>
      <c r="R316" s="12"/>
      <c r="S316" s="12"/>
      <c r="Z316" s="12"/>
      <c r="AA316" s="12"/>
      <c r="AH316" s="12"/>
      <c r="AI316" s="12"/>
      <c r="AP316" s="12"/>
      <c r="AQ316" s="12"/>
      <c r="AX316" s="12"/>
      <c r="AY316" s="12"/>
      <c r="BF316" s="12"/>
      <c r="BG316" s="12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</row>
    <row r="317" spans="10:113" x14ac:dyDescent="0.25">
      <c r="J317" s="12"/>
      <c r="K317" s="12"/>
      <c r="R317" s="12"/>
      <c r="S317" s="12"/>
      <c r="Z317" s="12"/>
      <c r="AA317" s="12"/>
      <c r="AH317" s="12"/>
      <c r="AI317" s="12"/>
      <c r="AP317" s="12"/>
      <c r="AQ317" s="12"/>
      <c r="AX317" s="12"/>
      <c r="AY317" s="12"/>
      <c r="BF317" s="12"/>
      <c r="BG317" s="12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</row>
    <row r="318" spans="10:113" x14ac:dyDescent="0.25">
      <c r="J318" s="12"/>
      <c r="K318" s="12"/>
      <c r="R318" s="12"/>
      <c r="S318" s="12"/>
      <c r="Z318" s="12"/>
      <c r="AA318" s="12"/>
      <c r="AH318" s="12"/>
      <c r="AI318" s="12"/>
      <c r="AP318" s="12"/>
      <c r="AQ318" s="12"/>
      <c r="AX318" s="12"/>
      <c r="AY318" s="12"/>
      <c r="BF318" s="12"/>
      <c r="BG318" s="12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</row>
    <row r="319" spans="10:113" x14ac:dyDescent="0.25">
      <c r="J319" s="12"/>
      <c r="K319" s="12"/>
      <c r="R319" s="12"/>
      <c r="S319" s="12"/>
      <c r="Z319" s="12"/>
      <c r="AA319" s="12"/>
      <c r="AH319" s="12"/>
      <c r="AI319" s="12"/>
      <c r="AP319" s="12"/>
      <c r="AQ319" s="12"/>
      <c r="AX319" s="12"/>
      <c r="AY319" s="12"/>
      <c r="BF319" s="12"/>
      <c r="BG319" s="12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</row>
    <row r="320" spans="10:113" x14ac:dyDescent="0.25">
      <c r="J320" s="12"/>
      <c r="K320" s="12"/>
      <c r="R320" s="12"/>
      <c r="S320" s="12"/>
      <c r="Z320" s="12"/>
      <c r="AA320" s="12"/>
      <c r="AH320" s="12"/>
      <c r="AI320" s="12"/>
      <c r="AP320" s="12"/>
      <c r="AQ320" s="12"/>
      <c r="AX320" s="12"/>
      <c r="AY320" s="12"/>
      <c r="BF320" s="12"/>
      <c r="BG320" s="12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</row>
    <row r="321" spans="10:113" x14ac:dyDescent="0.25">
      <c r="J321" s="12"/>
      <c r="K321" s="12"/>
      <c r="R321" s="12"/>
      <c r="S321" s="12"/>
      <c r="Z321" s="12"/>
      <c r="AA321" s="12"/>
      <c r="AH321" s="12"/>
      <c r="AI321" s="12"/>
      <c r="AP321" s="12"/>
      <c r="AQ321" s="12"/>
      <c r="AX321" s="12"/>
      <c r="AY321" s="12"/>
      <c r="BF321" s="12"/>
      <c r="BG321" s="12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</row>
    <row r="322" spans="10:113" x14ac:dyDescent="0.25">
      <c r="J322" s="12"/>
      <c r="K322" s="12"/>
      <c r="R322" s="12"/>
      <c r="S322" s="12"/>
      <c r="Z322" s="12"/>
      <c r="AA322" s="12"/>
      <c r="AH322" s="12"/>
      <c r="AI322" s="12"/>
      <c r="AP322" s="12"/>
      <c r="AQ322" s="12"/>
      <c r="AX322" s="12"/>
      <c r="AY322" s="12"/>
      <c r="BF322" s="12"/>
      <c r="BG322" s="12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</row>
    <row r="323" spans="10:113" x14ac:dyDescent="0.25">
      <c r="J323" s="12"/>
      <c r="K323" s="12"/>
      <c r="R323" s="12"/>
      <c r="S323" s="12"/>
      <c r="Z323" s="12"/>
      <c r="AA323" s="12"/>
      <c r="AH323" s="12"/>
      <c r="AI323" s="12"/>
      <c r="AP323" s="12"/>
      <c r="AQ323" s="12"/>
      <c r="AX323" s="12"/>
      <c r="AY323" s="12"/>
      <c r="BF323" s="12"/>
      <c r="BG323" s="12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</row>
    <row r="324" spans="10:113" x14ac:dyDescent="0.25">
      <c r="J324" s="12"/>
      <c r="K324" s="12"/>
      <c r="R324" s="12"/>
      <c r="S324" s="12"/>
      <c r="Z324" s="12"/>
      <c r="AA324" s="12"/>
      <c r="AH324" s="12"/>
      <c r="AI324" s="12"/>
      <c r="AP324" s="12"/>
      <c r="AQ324" s="12"/>
      <c r="AX324" s="12"/>
      <c r="AY324" s="12"/>
      <c r="BF324" s="12"/>
      <c r="BG324" s="12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</row>
    <row r="325" spans="10:113" x14ac:dyDescent="0.25">
      <c r="J325" s="12"/>
      <c r="K325" s="12"/>
      <c r="R325" s="12"/>
      <c r="S325" s="12"/>
      <c r="Z325" s="12"/>
      <c r="AA325" s="12"/>
      <c r="AH325" s="12"/>
      <c r="AI325" s="12"/>
      <c r="AP325" s="12"/>
      <c r="AQ325" s="12"/>
      <c r="AX325" s="12"/>
      <c r="AY325" s="12"/>
      <c r="BF325" s="12"/>
      <c r="BG325" s="12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</row>
    <row r="326" spans="10:113" x14ac:dyDescent="0.25">
      <c r="J326" s="12"/>
      <c r="K326" s="12"/>
      <c r="R326" s="12"/>
      <c r="S326" s="12"/>
      <c r="Z326" s="12"/>
      <c r="AA326" s="12"/>
      <c r="AH326" s="12"/>
      <c r="AI326" s="12"/>
      <c r="AP326" s="12"/>
      <c r="AQ326" s="12"/>
      <c r="AX326" s="12"/>
      <c r="AY326" s="12"/>
      <c r="BF326" s="12"/>
      <c r="BG326" s="12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</row>
    <row r="327" spans="10:113" x14ac:dyDescent="0.25">
      <c r="J327" s="12"/>
      <c r="K327" s="12"/>
      <c r="R327" s="12"/>
      <c r="S327" s="12"/>
      <c r="Z327" s="12"/>
      <c r="AA327" s="12"/>
      <c r="AH327" s="12"/>
      <c r="AI327" s="12"/>
      <c r="AP327" s="12"/>
      <c r="AQ327" s="12"/>
      <c r="AX327" s="12"/>
      <c r="AY327" s="12"/>
      <c r="BF327" s="12"/>
      <c r="BG327" s="12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</row>
    <row r="328" spans="10:113" x14ac:dyDescent="0.25">
      <c r="J328" s="12"/>
      <c r="K328" s="12"/>
      <c r="R328" s="12"/>
      <c r="S328" s="12"/>
      <c r="Z328" s="12"/>
      <c r="AA328" s="12"/>
      <c r="AH328" s="12"/>
      <c r="AI328" s="12"/>
      <c r="AP328" s="12"/>
      <c r="AQ328" s="12"/>
      <c r="AX328" s="12"/>
      <c r="AY328" s="12"/>
      <c r="BF328" s="12"/>
      <c r="BG328" s="12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</row>
    <row r="329" spans="10:113" x14ac:dyDescent="0.25">
      <c r="J329" s="12"/>
      <c r="K329" s="12"/>
      <c r="R329" s="12"/>
      <c r="S329" s="12"/>
      <c r="Z329" s="12"/>
      <c r="AA329" s="12"/>
      <c r="AH329" s="12"/>
      <c r="AI329" s="12"/>
      <c r="AP329" s="12"/>
      <c r="AQ329" s="12"/>
      <c r="AX329" s="12"/>
      <c r="AY329" s="12"/>
      <c r="BF329" s="12"/>
      <c r="BG329" s="12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</row>
    <row r="330" spans="10:113" x14ac:dyDescent="0.25">
      <c r="J330" s="12"/>
      <c r="K330" s="12"/>
      <c r="R330" s="12"/>
      <c r="S330" s="12"/>
      <c r="Z330" s="12"/>
      <c r="AA330" s="12"/>
      <c r="AH330" s="12"/>
      <c r="AI330" s="12"/>
      <c r="AP330" s="12"/>
      <c r="AQ330" s="12"/>
      <c r="AX330" s="12"/>
      <c r="AY330" s="12"/>
      <c r="BF330" s="12"/>
      <c r="BG330" s="12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</row>
    <row r="331" spans="10:113" x14ac:dyDescent="0.25">
      <c r="J331" s="12"/>
      <c r="K331" s="12"/>
      <c r="R331" s="12"/>
      <c r="S331" s="12"/>
      <c r="Z331" s="12"/>
      <c r="AA331" s="12"/>
      <c r="AH331" s="12"/>
      <c r="AI331" s="12"/>
      <c r="AP331" s="12"/>
      <c r="AQ331" s="12"/>
      <c r="AX331" s="12"/>
      <c r="AY331" s="12"/>
      <c r="BF331" s="12"/>
      <c r="BG331" s="12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</row>
    <row r="332" spans="10:113" x14ac:dyDescent="0.25">
      <c r="J332" s="12"/>
      <c r="K332" s="12"/>
      <c r="R332" s="12"/>
      <c r="S332" s="12"/>
      <c r="Z332" s="12"/>
      <c r="AA332" s="12"/>
      <c r="AH332" s="12"/>
      <c r="AI332" s="12"/>
      <c r="AP332" s="12"/>
      <c r="AQ332" s="12"/>
      <c r="AX332" s="12"/>
      <c r="AY332" s="12"/>
      <c r="BF332" s="12"/>
      <c r="BG332" s="12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</row>
    <row r="333" spans="10:113" x14ac:dyDescent="0.25">
      <c r="J333" s="12"/>
      <c r="K333" s="12"/>
      <c r="R333" s="12"/>
      <c r="S333" s="12"/>
      <c r="Z333" s="12"/>
      <c r="AA333" s="12"/>
      <c r="AH333" s="12"/>
      <c r="AI333" s="12"/>
      <c r="AP333" s="12"/>
      <c r="AQ333" s="12"/>
      <c r="AX333" s="12"/>
      <c r="AY333" s="12"/>
      <c r="BF333" s="12"/>
      <c r="BG333" s="12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</row>
    <row r="334" spans="10:113" x14ac:dyDescent="0.25">
      <c r="J334" s="12"/>
      <c r="K334" s="12"/>
      <c r="R334" s="12"/>
      <c r="S334" s="12"/>
      <c r="Z334" s="12"/>
      <c r="AA334" s="12"/>
      <c r="AH334" s="12"/>
      <c r="AI334" s="12"/>
      <c r="AP334" s="12"/>
      <c r="AQ334" s="12"/>
      <c r="AX334" s="12"/>
      <c r="AY334" s="12"/>
      <c r="BF334" s="12"/>
      <c r="BG334" s="12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</row>
    <row r="335" spans="10:113" x14ac:dyDescent="0.25">
      <c r="J335" s="12"/>
      <c r="K335" s="12"/>
      <c r="R335" s="12"/>
      <c r="S335" s="12"/>
      <c r="Z335" s="12"/>
      <c r="AA335" s="12"/>
      <c r="AH335" s="12"/>
      <c r="AI335" s="12"/>
      <c r="AP335" s="12"/>
      <c r="AQ335" s="12"/>
      <c r="AX335" s="12"/>
      <c r="AY335" s="12"/>
      <c r="BF335" s="12"/>
      <c r="BG335" s="12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</row>
    <row r="336" spans="10:113" x14ac:dyDescent="0.25">
      <c r="J336" s="12"/>
      <c r="K336" s="12"/>
      <c r="R336" s="12"/>
      <c r="S336" s="12"/>
      <c r="Z336" s="12"/>
      <c r="AA336" s="12"/>
      <c r="AH336" s="12"/>
      <c r="AI336" s="12"/>
      <c r="AP336" s="12"/>
      <c r="AQ336" s="12"/>
      <c r="AX336" s="12"/>
      <c r="AY336" s="12"/>
      <c r="BF336" s="12"/>
      <c r="BG336" s="12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</row>
    <row r="337" spans="10:113" x14ac:dyDescent="0.25">
      <c r="J337" s="12"/>
      <c r="K337" s="12"/>
      <c r="R337" s="12"/>
      <c r="S337" s="12"/>
      <c r="Z337" s="12"/>
      <c r="AA337" s="12"/>
      <c r="AH337" s="12"/>
      <c r="AI337" s="12"/>
      <c r="AP337" s="12"/>
      <c r="AQ337" s="12"/>
      <c r="AX337" s="12"/>
      <c r="AY337" s="12"/>
      <c r="BF337" s="12"/>
      <c r="BG337" s="12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</row>
    <row r="338" spans="10:113" x14ac:dyDescent="0.25">
      <c r="J338" s="12"/>
      <c r="K338" s="12"/>
      <c r="R338" s="12"/>
      <c r="S338" s="12"/>
      <c r="Z338" s="12"/>
      <c r="AA338" s="12"/>
      <c r="AH338" s="12"/>
      <c r="AI338" s="12"/>
      <c r="AP338" s="12"/>
      <c r="AQ338" s="12"/>
      <c r="AX338" s="12"/>
      <c r="AY338" s="12"/>
      <c r="BF338" s="12"/>
      <c r="BG338" s="12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</row>
    <row r="339" spans="10:113" x14ac:dyDescent="0.25">
      <c r="J339" s="12"/>
      <c r="K339" s="12"/>
      <c r="R339" s="12"/>
      <c r="S339" s="12"/>
      <c r="Z339" s="12"/>
      <c r="AA339" s="12"/>
      <c r="AH339" s="12"/>
      <c r="AI339" s="12"/>
      <c r="AP339" s="12"/>
      <c r="AQ339" s="12"/>
      <c r="AX339" s="12"/>
      <c r="AY339" s="12"/>
      <c r="BF339" s="12"/>
      <c r="BG339" s="12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</row>
    <row r="340" spans="10:113" x14ac:dyDescent="0.25">
      <c r="J340" s="12"/>
      <c r="K340" s="12"/>
      <c r="R340" s="12"/>
      <c r="S340" s="12"/>
      <c r="Z340" s="12"/>
      <c r="AA340" s="12"/>
      <c r="AH340" s="12"/>
      <c r="AI340" s="12"/>
      <c r="AP340" s="12"/>
      <c r="AQ340" s="12"/>
      <c r="AX340" s="12"/>
      <c r="AY340" s="12"/>
      <c r="BF340" s="12"/>
      <c r="BG340" s="12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</row>
    <row r="341" spans="10:113" x14ac:dyDescent="0.25">
      <c r="J341" s="12"/>
      <c r="K341" s="12"/>
      <c r="R341" s="12"/>
      <c r="S341" s="12"/>
      <c r="Z341" s="12"/>
      <c r="AA341" s="12"/>
      <c r="AH341" s="12"/>
      <c r="AI341" s="12"/>
      <c r="AP341" s="12"/>
      <c r="AQ341" s="12"/>
      <c r="AX341" s="12"/>
      <c r="AY341" s="12"/>
      <c r="BF341" s="12"/>
      <c r="BG341" s="12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</row>
    <row r="342" spans="10:113" x14ac:dyDescent="0.25">
      <c r="J342" s="12"/>
      <c r="K342" s="12"/>
      <c r="R342" s="12"/>
      <c r="S342" s="12"/>
      <c r="Z342" s="12"/>
      <c r="AA342" s="12"/>
      <c r="AH342" s="12"/>
      <c r="AI342" s="12"/>
      <c r="AP342" s="12"/>
      <c r="AQ342" s="12"/>
      <c r="AX342" s="12"/>
      <c r="AY342" s="12"/>
      <c r="BF342" s="12"/>
      <c r="BG342" s="12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</row>
    <row r="343" spans="10:113" x14ac:dyDescent="0.25">
      <c r="J343" s="12"/>
      <c r="K343" s="12"/>
      <c r="R343" s="12"/>
      <c r="S343" s="12"/>
      <c r="Z343" s="12"/>
      <c r="AA343" s="12"/>
      <c r="AH343" s="12"/>
      <c r="AI343" s="12"/>
      <c r="AP343" s="12"/>
      <c r="AQ343" s="12"/>
      <c r="AX343" s="12"/>
      <c r="AY343" s="12"/>
      <c r="BF343" s="12"/>
      <c r="BG343" s="12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</row>
    <row r="344" spans="10:113" x14ac:dyDescent="0.25">
      <c r="J344" s="12"/>
      <c r="K344" s="12"/>
      <c r="R344" s="12"/>
      <c r="S344" s="12"/>
      <c r="Z344" s="12"/>
      <c r="AA344" s="12"/>
      <c r="AH344" s="12"/>
      <c r="AI344" s="12"/>
      <c r="AP344" s="12"/>
      <c r="AQ344" s="12"/>
      <c r="AX344" s="12"/>
      <c r="AY344" s="12"/>
      <c r="BF344" s="12"/>
      <c r="BG344" s="12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</row>
    <row r="345" spans="10:113" x14ac:dyDescent="0.25">
      <c r="J345" s="12"/>
      <c r="K345" s="12"/>
      <c r="R345" s="12"/>
      <c r="S345" s="12"/>
      <c r="Z345" s="12"/>
      <c r="AA345" s="12"/>
      <c r="AH345" s="12"/>
      <c r="AI345" s="12"/>
      <c r="AP345" s="12"/>
      <c r="AQ345" s="12"/>
      <c r="AX345" s="12"/>
      <c r="AY345" s="12"/>
      <c r="BF345" s="12"/>
      <c r="BG345" s="12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</row>
    <row r="346" spans="10:113" x14ac:dyDescent="0.25">
      <c r="J346" s="12"/>
      <c r="K346" s="12"/>
      <c r="R346" s="12"/>
      <c r="S346" s="12"/>
      <c r="Z346" s="12"/>
      <c r="AA346" s="12"/>
      <c r="AH346" s="12"/>
      <c r="AI346" s="12"/>
      <c r="AP346" s="12"/>
      <c r="AQ346" s="12"/>
      <c r="AX346" s="12"/>
      <c r="AY346" s="12"/>
      <c r="BF346" s="12"/>
      <c r="BG346" s="12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</row>
    <row r="347" spans="10:113" x14ac:dyDescent="0.25">
      <c r="J347" s="12"/>
      <c r="K347" s="12"/>
      <c r="R347" s="12"/>
      <c r="S347" s="12"/>
      <c r="Z347" s="12"/>
      <c r="AA347" s="12"/>
      <c r="AH347" s="12"/>
      <c r="AI347" s="12"/>
      <c r="AP347" s="12"/>
      <c r="AQ347" s="12"/>
      <c r="AX347" s="12"/>
      <c r="AY347" s="12"/>
      <c r="BF347" s="12"/>
      <c r="BG347" s="12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</row>
    <row r="348" spans="10:113" x14ac:dyDescent="0.25">
      <c r="J348" s="12"/>
      <c r="K348" s="12"/>
      <c r="R348" s="12"/>
      <c r="S348" s="12"/>
      <c r="Z348" s="12"/>
      <c r="AA348" s="12"/>
      <c r="AH348" s="12"/>
      <c r="AI348" s="12"/>
      <c r="AP348" s="12"/>
      <c r="AQ348" s="12"/>
      <c r="AX348" s="12"/>
      <c r="AY348" s="12"/>
      <c r="BF348" s="12"/>
      <c r="BG348" s="12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</row>
    <row r="349" spans="10:113" x14ac:dyDescent="0.25">
      <c r="J349" s="12"/>
      <c r="K349" s="12"/>
      <c r="R349" s="12"/>
      <c r="S349" s="12"/>
      <c r="Z349" s="12"/>
      <c r="AA349" s="12"/>
      <c r="AH349" s="12"/>
      <c r="AI349" s="12"/>
      <c r="AP349" s="12"/>
      <c r="AQ349" s="12"/>
      <c r="AX349" s="12"/>
      <c r="AY349" s="12"/>
      <c r="BF349" s="12"/>
      <c r="BG349" s="12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</row>
    <row r="350" spans="10:113" x14ac:dyDescent="0.25">
      <c r="J350" s="12"/>
      <c r="K350" s="12"/>
      <c r="R350" s="12"/>
      <c r="S350" s="12"/>
      <c r="Z350" s="12"/>
      <c r="AA350" s="12"/>
      <c r="AH350" s="12"/>
      <c r="AI350" s="12"/>
      <c r="AP350" s="12"/>
      <c r="AQ350" s="12"/>
      <c r="AX350" s="12"/>
      <c r="AY350" s="12"/>
      <c r="BF350" s="12"/>
      <c r="BG350" s="12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</row>
    <row r="351" spans="10:113" x14ac:dyDescent="0.25">
      <c r="J351" s="12"/>
      <c r="K351" s="12"/>
      <c r="R351" s="12"/>
      <c r="S351" s="12"/>
      <c r="Z351" s="12"/>
      <c r="AA351" s="12"/>
      <c r="AH351" s="12"/>
      <c r="AI351" s="12"/>
      <c r="AP351" s="12"/>
      <c r="AQ351" s="12"/>
      <c r="AX351" s="12"/>
      <c r="AY351" s="12"/>
      <c r="BF351" s="12"/>
      <c r="BG351" s="12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</row>
    <row r="352" spans="10:113" x14ac:dyDescent="0.25">
      <c r="J352" s="12"/>
      <c r="K352" s="12"/>
      <c r="R352" s="12"/>
      <c r="S352" s="12"/>
      <c r="Z352" s="12"/>
      <c r="AA352" s="12"/>
      <c r="AH352" s="12"/>
      <c r="AI352" s="12"/>
      <c r="AP352" s="12"/>
      <c r="AQ352" s="12"/>
      <c r="AX352" s="12"/>
      <c r="AY352" s="12"/>
      <c r="BF352" s="12"/>
      <c r="BG352" s="12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</row>
    <row r="353" spans="10:113" x14ac:dyDescent="0.25">
      <c r="J353" s="12"/>
      <c r="K353" s="12"/>
      <c r="R353" s="12"/>
      <c r="S353" s="12"/>
      <c r="Z353" s="12"/>
      <c r="AA353" s="12"/>
      <c r="AH353" s="12"/>
      <c r="AI353" s="12"/>
      <c r="AP353" s="12"/>
      <c r="AQ353" s="12"/>
      <c r="AX353" s="12"/>
      <c r="AY353" s="12"/>
      <c r="BF353" s="12"/>
      <c r="BG353" s="12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</row>
    <row r="354" spans="10:113" x14ac:dyDescent="0.25">
      <c r="J354" s="12"/>
      <c r="K354" s="12"/>
      <c r="R354" s="12"/>
      <c r="S354" s="12"/>
      <c r="Z354" s="12"/>
      <c r="AA354" s="12"/>
      <c r="AH354" s="12"/>
      <c r="AI354" s="12"/>
      <c r="AP354" s="12"/>
      <c r="AQ354" s="12"/>
      <c r="AX354" s="12"/>
      <c r="AY354" s="12"/>
      <c r="BF354" s="12"/>
      <c r="BG354" s="12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</row>
    <row r="355" spans="10:113" x14ac:dyDescent="0.25">
      <c r="J355" s="12"/>
      <c r="K355" s="12"/>
      <c r="R355" s="12"/>
      <c r="S355" s="12"/>
      <c r="Z355" s="12"/>
      <c r="AA355" s="12"/>
      <c r="AH355" s="12"/>
      <c r="AI355" s="12"/>
      <c r="AP355" s="12"/>
      <c r="AQ355" s="12"/>
      <c r="AX355" s="12"/>
      <c r="AY355" s="12"/>
      <c r="BF355" s="12"/>
      <c r="BG355" s="12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</row>
    <row r="356" spans="10:113" x14ac:dyDescent="0.25">
      <c r="J356" s="12"/>
      <c r="K356" s="12"/>
      <c r="R356" s="12"/>
      <c r="S356" s="12"/>
      <c r="Z356" s="12"/>
      <c r="AA356" s="12"/>
      <c r="AH356" s="12"/>
      <c r="AI356" s="12"/>
      <c r="AP356" s="12"/>
      <c r="AQ356" s="12"/>
      <c r="AX356" s="12"/>
      <c r="AY356" s="12"/>
      <c r="BF356" s="12"/>
      <c r="BG356" s="12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</row>
    <row r="357" spans="10:113" x14ac:dyDescent="0.25">
      <c r="J357" s="12"/>
      <c r="K357" s="12"/>
      <c r="R357" s="12"/>
      <c r="S357" s="12"/>
      <c r="Z357" s="12"/>
      <c r="AA357" s="12"/>
      <c r="AH357" s="12"/>
      <c r="AI357" s="12"/>
      <c r="AP357" s="12"/>
      <c r="AQ357" s="12"/>
      <c r="AX357" s="12"/>
      <c r="AY357" s="12"/>
      <c r="BF357" s="12"/>
      <c r="BG357" s="12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</row>
    <row r="358" spans="10:113" x14ac:dyDescent="0.25">
      <c r="J358" s="12"/>
      <c r="K358" s="12"/>
      <c r="R358" s="12"/>
      <c r="S358" s="12"/>
      <c r="Z358" s="12"/>
      <c r="AA358" s="12"/>
      <c r="AH358" s="12"/>
      <c r="AI358" s="12"/>
      <c r="AP358" s="12"/>
      <c r="AQ358" s="12"/>
      <c r="AX358" s="12"/>
      <c r="AY358" s="12"/>
      <c r="BF358" s="12"/>
      <c r="BG358" s="12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</row>
    <row r="359" spans="10:113" x14ac:dyDescent="0.25">
      <c r="J359" s="12"/>
      <c r="K359" s="12"/>
      <c r="R359" s="12"/>
      <c r="S359" s="12"/>
      <c r="Z359" s="12"/>
      <c r="AA359" s="12"/>
      <c r="AH359" s="12"/>
      <c r="AI359" s="12"/>
      <c r="AP359" s="12"/>
      <c r="AQ359" s="12"/>
      <c r="AX359" s="12"/>
      <c r="AY359" s="12"/>
      <c r="BF359" s="12"/>
      <c r="BG359" s="12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</row>
    <row r="360" spans="10:113" x14ac:dyDescent="0.25">
      <c r="J360" s="12"/>
      <c r="K360" s="12"/>
      <c r="R360" s="12"/>
      <c r="S360" s="12"/>
      <c r="Z360" s="12"/>
      <c r="AA360" s="12"/>
      <c r="AH360" s="12"/>
      <c r="AI360" s="12"/>
      <c r="AP360" s="12"/>
      <c r="AQ360" s="12"/>
      <c r="AX360" s="12"/>
      <c r="AY360" s="12"/>
      <c r="BF360" s="12"/>
      <c r="BG360" s="12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</row>
    <row r="361" spans="10:113" x14ac:dyDescent="0.25">
      <c r="J361" s="12"/>
      <c r="K361" s="12"/>
      <c r="R361" s="12"/>
      <c r="S361" s="12"/>
      <c r="Z361" s="12"/>
      <c r="AA361" s="12"/>
      <c r="AH361" s="12"/>
      <c r="AI361" s="12"/>
      <c r="AP361" s="12"/>
      <c r="AQ361" s="12"/>
      <c r="AX361" s="12"/>
      <c r="AY361" s="12"/>
      <c r="BF361" s="12"/>
      <c r="BG361" s="12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</row>
    <row r="362" spans="10:113" x14ac:dyDescent="0.25">
      <c r="J362" s="12"/>
      <c r="K362" s="12"/>
      <c r="R362" s="12"/>
      <c r="S362" s="12"/>
      <c r="Z362" s="12"/>
      <c r="AA362" s="12"/>
      <c r="AH362" s="12"/>
      <c r="AI362" s="12"/>
      <c r="AP362" s="12"/>
      <c r="AQ362" s="12"/>
      <c r="AX362" s="12"/>
      <c r="AY362" s="12"/>
      <c r="BF362" s="12"/>
      <c r="BG362" s="12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</row>
    <row r="363" spans="10:113" x14ac:dyDescent="0.25">
      <c r="J363" s="12"/>
      <c r="K363" s="12"/>
      <c r="R363" s="12"/>
      <c r="S363" s="12"/>
      <c r="Z363" s="12"/>
      <c r="AA363" s="12"/>
      <c r="AH363" s="12"/>
      <c r="AI363" s="12"/>
      <c r="AP363" s="12"/>
      <c r="AQ363" s="12"/>
      <c r="AX363" s="12"/>
      <c r="AY363" s="12"/>
      <c r="BF363" s="12"/>
      <c r="BG363" s="12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</row>
    <row r="364" spans="10:113" x14ac:dyDescent="0.25">
      <c r="J364" s="12"/>
      <c r="K364" s="12"/>
      <c r="R364" s="12"/>
      <c r="S364" s="12"/>
      <c r="Z364" s="12"/>
      <c r="AA364" s="12"/>
      <c r="AH364" s="12"/>
      <c r="AI364" s="12"/>
      <c r="AP364" s="12"/>
      <c r="AQ364" s="12"/>
      <c r="AX364" s="12"/>
      <c r="AY364" s="12"/>
      <c r="BF364" s="12"/>
      <c r="BG364" s="12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</row>
    <row r="365" spans="10:113" x14ac:dyDescent="0.25">
      <c r="J365" s="12"/>
      <c r="K365" s="12"/>
      <c r="R365" s="12"/>
      <c r="S365" s="12"/>
      <c r="Z365" s="12"/>
      <c r="AA365" s="12"/>
      <c r="AH365" s="12"/>
      <c r="AI365" s="12"/>
      <c r="AP365" s="12"/>
      <c r="AQ365" s="12"/>
      <c r="AX365" s="12"/>
      <c r="AY365" s="12"/>
      <c r="BF365" s="12"/>
      <c r="BG365" s="12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</row>
    <row r="366" spans="10:113" x14ac:dyDescent="0.25">
      <c r="J366" s="12"/>
      <c r="K366" s="12"/>
      <c r="R366" s="12"/>
      <c r="S366" s="12"/>
      <c r="Z366" s="12"/>
      <c r="AA366" s="12"/>
      <c r="AH366" s="12"/>
      <c r="AI366" s="12"/>
      <c r="AP366" s="12"/>
      <c r="AQ366" s="12"/>
      <c r="AX366" s="12"/>
      <c r="AY366" s="12"/>
      <c r="BF366" s="12"/>
      <c r="BG366" s="12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</row>
    <row r="367" spans="10:113" x14ac:dyDescent="0.25">
      <c r="J367" s="12"/>
      <c r="K367" s="12"/>
      <c r="R367" s="12"/>
      <c r="S367" s="12"/>
      <c r="Z367" s="12"/>
      <c r="AA367" s="12"/>
      <c r="AH367" s="12"/>
      <c r="AI367" s="12"/>
      <c r="AP367" s="12"/>
      <c r="AQ367" s="12"/>
      <c r="AX367" s="12"/>
      <c r="AY367" s="12"/>
      <c r="BF367" s="12"/>
      <c r="BG367" s="12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</row>
    <row r="368" spans="10:113" x14ac:dyDescent="0.25">
      <c r="J368" s="12"/>
      <c r="K368" s="12"/>
      <c r="R368" s="12"/>
      <c r="S368" s="12"/>
      <c r="Z368" s="12"/>
      <c r="AA368" s="12"/>
      <c r="AH368" s="12"/>
      <c r="AI368" s="12"/>
      <c r="AP368" s="12"/>
      <c r="AQ368" s="12"/>
      <c r="AX368" s="12"/>
      <c r="AY368" s="12"/>
      <c r="BF368" s="12"/>
      <c r="BG368" s="12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</row>
    <row r="369" spans="10:113" x14ac:dyDescent="0.25">
      <c r="J369" s="12"/>
      <c r="K369" s="12"/>
      <c r="R369" s="12"/>
      <c r="S369" s="12"/>
      <c r="Z369" s="12"/>
      <c r="AA369" s="12"/>
      <c r="AH369" s="12"/>
      <c r="AI369" s="12"/>
      <c r="AP369" s="12"/>
      <c r="AQ369" s="12"/>
      <c r="AX369" s="12"/>
      <c r="AY369" s="12"/>
      <c r="BF369" s="12"/>
      <c r="BG369" s="12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</row>
    <row r="370" spans="10:113" x14ac:dyDescent="0.25">
      <c r="J370" s="12"/>
      <c r="K370" s="12"/>
      <c r="R370" s="12"/>
      <c r="S370" s="12"/>
      <c r="Z370" s="12"/>
      <c r="AA370" s="12"/>
      <c r="AH370" s="12"/>
      <c r="AI370" s="12"/>
      <c r="AP370" s="12"/>
      <c r="AQ370" s="12"/>
      <c r="AX370" s="12"/>
      <c r="AY370" s="12"/>
      <c r="BF370" s="12"/>
      <c r="BG370" s="12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</row>
    <row r="371" spans="10:113" x14ac:dyDescent="0.25">
      <c r="J371" s="12"/>
      <c r="K371" s="12"/>
      <c r="R371" s="12"/>
      <c r="S371" s="12"/>
      <c r="Z371" s="12"/>
      <c r="AA371" s="12"/>
      <c r="AH371" s="12"/>
      <c r="AI371" s="12"/>
      <c r="AP371" s="12"/>
      <c r="AQ371" s="12"/>
      <c r="AX371" s="12"/>
      <c r="AY371" s="12"/>
      <c r="BF371" s="12"/>
      <c r="BG371" s="12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</row>
    <row r="372" spans="10:113" x14ac:dyDescent="0.25">
      <c r="J372" s="12"/>
      <c r="K372" s="12"/>
      <c r="R372" s="12"/>
      <c r="S372" s="12"/>
      <c r="Z372" s="12"/>
      <c r="AA372" s="12"/>
      <c r="AH372" s="12"/>
      <c r="AI372" s="12"/>
      <c r="AP372" s="12"/>
      <c r="AQ372" s="12"/>
      <c r="AX372" s="12"/>
      <c r="AY372" s="12"/>
      <c r="BF372" s="12"/>
      <c r="BG372" s="12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</row>
    <row r="373" spans="10:113" x14ac:dyDescent="0.25">
      <c r="J373" s="12"/>
      <c r="K373" s="12"/>
      <c r="R373" s="12"/>
      <c r="S373" s="12"/>
      <c r="Z373" s="12"/>
      <c r="AA373" s="12"/>
      <c r="AH373" s="12"/>
      <c r="AI373" s="12"/>
      <c r="AP373" s="12"/>
      <c r="AQ373" s="12"/>
      <c r="AX373" s="12"/>
      <c r="AY373" s="12"/>
      <c r="BF373" s="12"/>
      <c r="BG373" s="12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</row>
    <row r="374" spans="10:113" x14ac:dyDescent="0.25">
      <c r="J374" s="12"/>
      <c r="K374" s="12"/>
      <c r="R374" s="12"/>
      <c r="S374" s="12"/>
      <c r="Z374" s="12"/>
      <c r="AA374" s="12"/>
      <c r="AH374" s="12"/>
      <c r="AI374" s="12"/>
      <c r="AP374" s="12"/>
      <c r="AQ374" s="12"/>
      <c r="AX374" s="12"/>
      <c r="AY374" s="12"/>
      <c r="BF374" s="12"/>
      <c r="BG374" s="12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</row>
    <row r="375" spans="10:113" x14ac:dyDescent="0.25">
      <c r="J375" s="12"/>
      <c r="K375" s="12"/>
      <c r="R375" s="12"/>
      <c r="S375" s="12"/>
      <c r="Z375" s="12"/>
      <c r="AA375" s="12"/>
      <c r="AH375" s="12"/>
      <c r="AI375" s="12"/>
      <c r="AP375" s="12"/>
      <c r="AQ375" s="12"/>
      <c r="AX375" s="12"/>
      <c r="AY375" s="12"/>
      <c r="BF375" s="12"/>
      <c r="BG375" s="12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</row>
    <row r="376" spans="10:113" x14ac:dyDescent="0.25">
      <c r="J376" s="12"/>
      <c r="K376" s="12"/>
      <c r="R376" s="12"/>
      <c r="S376" s="12"/>
      <c r="Z376" s="12"/>
      <c r="AA376" s="12"/>
      <c r="AH376" s="12"/>
      <c r="AI376" s="12"/>
      <c r="AP376" s="12"/>
      <c r="AQ376" s="12"/>
      <c r="AX376" s="12"/>
      <c r="AY376" s="12"/>
      <c r="BF376" s="12"/>
      <c r="BG376" s="12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</row>
    <row r="377" spans="10:113" x14ac:dyDescent="0.25">
      <c r="J377" s="12"/>
      <c r="K377" s="12"/>
      <c r="R377" s="12"/>
      <c r="S377" s="12"/>
      <c r="Z377" s="12"/>
      <c r="AA377" s="12"/>
      <c r="AH377" s="12"/>
      <c r="AI377" s="12"/>
      <c r="AP377" s="12"/>
      <c r="AQ377" s="12"/>
      <c r="AX377" s="12"/>
      <c r="AY377" s="12"/>
      <c r="BF377" s="12"/>
      <c r="BG377" s="12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</row>
    <row r="378" spans="10:113" x14ac:dyDescent="0.25">
      <c r="J378" s="12"/>
      <c r="K378" s="12"/>
      <c r="R378" s="12"/>
      <c r="S378" s="12"/>
      <c r="Z378" s="12"/>
      <c r="AA378" s="12"/>
      <c r="AH378" s="12"/>
      <c r="AI378" s="12"/>
      <c r="AP378" s="12"/>
      <c r="AQ378" s="12"/>
      <c r="AX378" s="12"/>
      <c r="AY378" s="12"/>
      <c r="BF378" s="12"/>
      <c r="BG378" s="12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</row>
    <row r="379" spans="10:113" x14ac:dyDescent="0.25">
      <c r="J379" s="12"/>
      <c r="K379" s="12"/>
      <c r="R379" s="12"/>
      <c r="S379" s="12"/>
      <c r="Z379" s="12"/>
      <c r="AA379" s="12"/>
      <c r="AH379" s="12"/>
      <c r="AI379" s="12"/>
      <c r="AP379" s="12"/>
      <c r="AQ379" s="12"/>
      <c r="AX379" s="12"/>
      <c r="AY379" s="12"/>
      <c r="BF379" s="12"/>
      <c r="BG379" s="12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</row>
    <row r="380" spans="10:113" x14ac:dyDescent="0.25">
      <c r="J380" s="12"/>
      <c r="K380" s="12"/>
      <c r="R380" s="12"/>
      <c r="S380" s="12"/>
      <c r="Z380" s="12"/>
      <c r="AA380" s="12"/>
      <c r="AH380" s="12"/>
      <c r="AI380" s="12"/>
      <c r="AP380" s="12"/>
      <c r="AQ380" s="12"/>
      <c r="AX380" s="12"/>
      <c r="AY380" s="12"/>
      <c r="BF380" s="12"/>
      <c r="BG380" s="12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</row>
    <row r="381" spans="10:113" x14ac:dyDescent="0.25">
      <c r="J381" s="12"/>
      <c r="K381" s="12"/>
      <c r="R381" s="12"/>
      <c r="S381" s="12"/>
      <c r="Z381" s="12"/>
      <c r="AA381" s="12"/>
      <c r="AH381" s="12"/>
      <c r="AI381" s="12"/>
      <c r="AP381" s="12"/>
      <c r="AQ381" s="12"/>
      <c r="AX381" s="12"/>
      <c r="AY381" s="12"/>
      <c r="BF381" s="12"/>
      <c r="BG381" s="12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</row>
    <row r="382" spans="10:113" x14ac:dyDescent="0.25">
      <c r="J382" s="12"/>
      <c r="K382" s="12"/>
      <c r="R382" s="12"/>
      <c r="S382" s="12"/>
      <c r="Z382" s="12"/>
      <c r="AA382" s="12"/>
      <c r="AH382" s="12"/>
      <c r="AI382" s="12"/>
      <c r="AP382" s="12"/>
      <c r="AQ382" s="12"/>
      <c r="AX382" s="12"/>
      <c r="AY382" s="12"/>
      <c r="BF382" s="12"/>
      <c r="BG382" s="12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</row>
    <row r="383" spans="10:113" x14ac:dyDescent="0.25">
      <c r="J383" s="12"/>
      <c r="K383" s="12"/>
      <c r="R383" s="12"/>
      <c r="S383" s="12"/>
      <c r="Z383" s="12"/>
      <c r="AA383" s="12"/>
      <c r="AH383" s="12"/>
      <c r="AI383" s="12"/>
      <c r="AP383" s="12"/>
      <c r="AQ383" s="12"/>
      <c r="AX383" s="12"/>
      <c r="AY383" s="12"/>
      <c r="BF383" s="12"/>
      <c r="BG383" s="12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</row>
    <row r="384" spans="10:113" x14ac:dyDescent="0.25">
      <c r="J384" s="12"/>
      <c r="K384" s="12"/>
      <c r="R384" s="12"/>
      <c r="S384" s="12"/>
      <c r="Z384" s="12"/>
      <c r="AA384" s="12"/>
      <c r="AH384" s="12"/>
      <c r="AI384" s="12"/>
      <c r="AP384" s="12"/>
      <c r="AQ384" s="12"/>
      <c r="AX384" s="12"/>
      <c r="AY384" s="12"/>
      <c r="BF384" s="12"/>
      <c r="BG384" s="12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</row>
    <row r="385" spans="10:113" x14ac:dyDescent="0.25">
      <c r="J385" s="12"/>
      <c r="K385" s="12"/>
      <c r="R385" s="12"/>
      <c r="S385" s="12"/>
      <c r="Z385" s="12"/>
      <c r="AA385" s="12"/>
      <c r="AH385" s="12"/>
      <c r="AI385" s="12"/>
      <c r="AP385" s="12"/>
      <c r="AQ385" s="12"/>
      <c r="AX385" s="12"/>
      <c r="AY385" s="12"/>
      <c r="BF385" s="12"/>
      <c r="BG385" s="12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</row>
    <row r="386" spans="10:113" x14ac:dyDescent="0.25">
      <c r="J386" s="12"/>
      <c r="K386" s="12"/>
      <c r="R386" s="12"/>
      <c r="S386" s="12"/>
      <c r="Z386" s="12"/>
      <c r="AA386" s="12"/>
      <c r="AH386" s="12"/>
      <c r="AI386" s="12"/>
      <c r="AP386" s="12"/>
      <c r="AQ386" s="12"/>
      <c r="AX386" s="12"/>
      <c r="AY386" s="12"/>
      <c r="BF386" s="12"/>
      <c r="BG386" s="12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</row>
    <row r="387" spans="10:113" x14ac:dyDescent="0.25">
      <c r="J387" s="12"/>
      <c r="K387" s="12"/>
      <c r="R387" s="12"/>
      <c r="S387" s="12"/>
      <c r="Z387" s="12"/>
      <c r="AA387" s="12"/>
      <c r="AH387" s="12"/>
      <c r="AI387" s="12"/>
      <c r="AP387" s="12"/>
      <c r="AQ387" s="12"/>
      <c r="AX387" s="12"/>
      <c r="AY387" s="12"/>
      <c r="BF387" s="12"/>
      <c r="BG387" s="12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</row>
    <row r="388" spans="10:113" x14ac:dyDescent="0.25">
      <c r="J388" s="12"/>
      <c r="K388" s="12"/>
      <c r="R388" s="12"/>
      <c r="S388" s="12"/>
      <c r="Z388" s="12"/>
      <c r="AA388" s="12"/>
      <c r="AH388" s="12"/>
      <c r="AI388" s="12"/>
      <c r="AP388" s="12"/>
      <c r="AQ388" s="12"/>
      <c r="AX388" s="12"/>
      <c r="AY388" s="12"/>
      <c r="BF388" s="12"/>
      <c r="BG388" s="12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</row>
    <row r="389" spans="10:113" x14ac:dyDescent="0.25">
      <c r="J389" s="12"/>
      <c r="K389" s="12"/>
      <c r="R389" s="12"/>
      <c r="S389" s="12"/>
      <c r="Z389" s="12"/>
      <c r="AA389" s="12"/>
      <c r="AH389" s="12"/>
      <c r="AI389" s="12"/>
      <c r="AP389" s="12"/>
      <c r="AQ389" s="12"/>
      <c r="AX389" s="12"/>
      <c r="AY389" s="12"/>
      <c r="BF389" s="12"/>
      <c r="BG389" s="12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</row>
    <row r="390" spans="10:113" x14ac:dyDescent="0.25">
      <c r="J390" s="12"/>
      <c r="K390" s="12"/>
      <c r="R390" s="12"/>
      <c r="S390" s="12"/>
      <c r="Z390" s="12"/>
      <c r="AA390" s="12"/>
      <c r="AH390" s="12"/>
      <c r="AI390" s="12"/>
      <c r="AP390" s="12"/>
      <c r="AQ390" s="12"/>
      <c r="AX390" s="12"/>
      <c r="AY390" s="12"/>
      <c r="BF390" s="12"/>
      <c r="BG390" s="12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</row>
    <row r="391" spans="10:113" x14ac:dyDescent="0.25">
      <c r="J391" s="12"/>
      <c r="K391" s="12"/>
      <c r="R391" s="12"/>
      <c r="S391" s="12"/>
      <c r="Z391" s="12"/>
      <c r="AA391" s="12"/>
      <c r="AH391" s="12"/>
      <c r="AI391" s="12"/>
      <c r="AP391" s="12"/>
      <c r="AQ391" s="12"/>
      <c r="AX391" s="12"/>
      <c r="AY391" s="12"/>
      <c r="BF391" s="12"/>
      <c r="BG391" s="12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</row>
    <row r="392" spans="10:113" x14ac:dyDescent="0.25">
      <c r="J392" s="12"/>
      <c r="K392" s="12"/>
      <c r="R392" s="12"/>
      <c r="S392" s="12"/>
      <c r="Z392" s="12"/>
      <c r="AA392" s="12"/>
      <c r="AH392" s="12"/>
      <c r="AI392" s="12"/>
      <c r="AP392" s="12"/>
      <c r="AQ392" s="12"/>
      <c r="AX392" s="12"/>
      <c r="AY392" s="12"/>
      <c r="BF392" s="12"/>
      <c r="BG392" s="12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</row>
    <row r="393" spans="10:113" x14ac:dyDescent="0.25">
      <c r="J393" s="12"/>
      <c r="K393" s="12"/>
      <c r="R393" s="12"/>
      <c r="S393" s="12"/>
      <c r="Z393" s="12"/>
      <c r="AA393" s="12"/>
      <c r="AH393" s="12"/>
      <c r="AI393" s="12"/>
      <c r="AP393" s="12"/>
      <c r="AQ393" s="12"/>
      <c r="AX393" s="12"/>
      <c r="AY393" s="12"/>
      <c r="BF393" s="12"/>
      <c r="BG393" s="12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</row>
    <row r="394" spans="10:113" x14ac:dyDescent="0.25">
      <c r="J394" s="12"/>
      <c r="K394" s="12"/>
      <c r="R394" s="12"/>
      <c r="S394" s="12"/>
      <c r="Z394" s="12"/>
      <c r="AA394" s="12"/>
      <c r="AH394" s="12"/>
      <c r="AI394" s="12"/>
      <c r="AP394" s="12"/>
      <c r="AQ394" s="12"/>
      <c r="AX394" s="12"/>
      <c r="AY394" s="12"/>
      <c r="BF394" s="12"/>
      <c r="BG394" s="12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</row>
    <row r="395" spans="10:113" x14ac:dyDescent="0.25">
      <c r="J395" s="12"/>
      <c r="K395" s="12"/>
      <c r="R395" s="12"/>
      <c r="S395" s="12"/>
      <c r="Z395" s="12"/>
      <c r="AA395" s="12"/>
      <c r="AH395" s="12"/>
      <c r="AI395" s="12"/>
      <c r="AP395" s="12"/>
      <c r="AQ395" s="12"/>
      <c r="AX395" s="12"/>
      <c r="AY395" s="12"/>
      <c r="BF395" s="12"/>
      <c r="BG395" s="12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</row>
    <row r="396" spans="10:113" x14ac:dyDescent="0.25">
      <c r="J396" s="12"/>
      <c r="K396" s="12"/>
      <c r="R396" s="12"/>
      <c r="S396" s="12"/>
      <c r="Z396" s="12"/>
      <c r="AA396" s="12"/>
      <c r="AH396" s="12"/>
      <c r="AI396" s="12"/>
      <c r="AP396" s="12"/>
      <c r="AQ396" s="12"/>
      <c r="AX396" s="12"/>
      <c r="AY396" s="12"/>
      <c r="BF396" s="12"/>
      <c r="BG396" s="12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</row>
    <row r="397" spans="10:113" x14ac:dyDescent="0.25">
      <c r="J397" s="12"/>
      <c r="K397" s="12"/>
      <c r="R397" s="12"/>
      <c r="S397" s="12"/>
      <c r="Z397" s="12"/>
      <c r="AA397" s="12"/>
      <c r="AH397" s="12"/>
      <c r="AI397" s="12"/>
      <c r="AP397" s="12"/>
      <c r="AQ397" s="12"/>
      <c r="AX397" s="12"/>
      <c r="AY397" s="12"/>
      <c r="BF397" s="12"/>
      <c r="BG397" s="12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</row>
    <row r="398" spans="10:113" x14ac:dyDescent="0.25">
      <c r="J398" s="12"/>
      <c r="K398" s="12"/>
      <c r="R398" s="12"/>
      <c r="S398" s="12"/>
      <c r="Z398" s="12"/>
      <c r="AA398" s="12"/>
      <c r="AH398" s="12"/>
      <c r="AI398" s="12"/>
      <c r="AP398" s="12"/>
      <c r="AQ398" s="12"/>
      <c r="AX398" s="12"/>
      <c r="AY398" s="12"/>
      <c r="BF398" s="12"/>
      <c r="BG398" s="12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</row>
    <row r="399" spans="10:113" x14ac:dyDescent="0.25">
      <c r="J399" s="12"/>
      <c r="K399" s="12"/>
      <c r="R399" s="12"/>
      <c r="S399" s="12"/>
      <c r="Z399" s="12"/>
      <c r="AA399" s="12"/>
      <c r="AH399" s="12"/>
      <c r="AI399" s="12"/>
      <c r="AP399" s="12"/>
      <c r="AQ399" s="12"/>
      <c r="AX399" s="12"/>
      <c r="AY399" s="12"/>
      <c r="BF399" s="12"/>
      <c r="BG399" s="12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</row>
    <row r="400" spans="10:113" x14ac:dyDescent="0.25">
      <c r="J400" s="12"/>
      <c r="K400" s="12"/>
      <c r="R400" s="12"/>
      <c r="S400" s="12"/>
      <c r="Z400" s="12"/>
      <c r="AA400" s="12"/>
      <c r="AH400" s="12"/>
      <c r="AI400" s="12"/>
      <c r="AP400" s="12"/>
      <c r="AQ400" s="12"/>
      <c r="AX400" s="12"/>
      <c r="AY400" s="12"/>
      <c r="BF400" s="12"/>
      <c r="BG400" s="12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</row>
    <row r="401" spans="10:113" x14ac:dyDescent="0.25">
      <c r="J401" s="12"/>
      <c r="K401" s="12"/>
      <c r="R401" s="12"/>
      <c r="S401" s="12"/>
      <c r="Z401" s="12"/>
      <c r="AA401" s="12"/>
      <c r="AH401" s="12"/>
      <c r="AI401" s="12"/>
      <c r="AP401" s="12"/>
      <c r="AQ401" s="12"/>
      <c r="AX401" s="12"/>
      <c r="AY401" s="12"/>
      <c r="BF401" s="12"/>
      <c r="BG401" s="12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</row>
    <row r="402" spans="10:113" x14ac:dyDescent="0.25">
      <c r="J402" s="12"/>
      <c r="K402" s="12"/>
      <c r="R402" s="12"/>
      <c r="S402" s="12"/>
      <c r="Z402" s="12"/>
      <c r="AA402" s="12"/>
      <c r="AH402" s="12"/>
      <c r="AI402" s="12"/>
      <c r="AP402" s="12"/>
      <c r="AQ402" s="12"/>
      <c r="AX402" s="12"/>
      <c r="AY402" s="12"/>
      <c r="BF402" s="12"/>
      <c r="BG402" s="12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</row>
    <row r="403" spans="10:113" x14ac:dyDescent="0.25">
      <c r="J403" s="12"/>
      <c r="K403" s="12"/>
      <c r="R403" s="12"/>
      <c r="S403" s="12"/>
      <c r="Z403" s="12"/>
      <c r="AA403" s="12"/>
      <c r="AH403" s="12"/>
      <c r="AI403" s="12"/>
      <c r="AP403" s="12"/>
      <c r="AQ403" s="12"/>
      <c r="AX403" s="12"/>
      <c r="AY403" s="12"/>
      <c r="BF403" s="12"/>
      <c r="BG403" s="12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</row>
    <row r="404" spans="10:113" x14ac:dyDescent="0.25">
      <c r="J404" s="12"/>
      <c r="K404" s="12"/>
      <c r="R404" s="12"/>
      <c r="S404" s="12"/>
      <c r="Z404" s="12"/>
      <c r="AA404" s="12"/>
      <c r="AH404" s="12"/>
      <c r="AI404" s="12"/>
      <c r="AP404" s="12"/>
      <c r="AQ404" s="12"/>
      <c r="AX404" s="12"/>
      <c r="AY404" s="12"/>
      <c r="BF404" s="12"/>
      <c r="BG404" s="12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</row>
    <row r="405" spans="10:113" x14ac:dyDescent="0.25">
      <c r="J405" s="12"/>
      <c r="K405" s="12"/>
      <c r="R405" s="12"/>
      <c r="S405" s="12"/>
      <c r="Z405" s="12"/>
      <c r="AA405" s="12"/>
      <c r="AH405" s="12"/>
      <c r="AI405" s="12"/>
      <c r="AP405" s="12"/>
      <c r="AQ405" s="12"/>
      <c r="AX405" s="12"/>
      <c r="AY405" s="12"/>
      <c r="BF405" s="12"/>
      <c r="BG405" s="12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</row>
    <row r="406" spans="10:113" x14ac:dyDescent="0.25">
      <c r="J406" s="12"/>
      <c r="K406" s="12"/>
      <c r="R406" s="12"/>
      <c r="S406" s="12"/>
      <c r="Z406" s="12"/>
      <c r="AA406" s="12"/>
      <c r="AH406" s="12"/>
      <c r="AI406" s="12"/>
      <c r="AP406" s="12"/>
      <c r="AQ406" s="12"/>
      <c r="AX406" s="12"/>
      <c r="AY406" s="12"/>
      <c r="BF406" s="12"/>
      <c r="BG406" s="12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</row>
    <row r="407" spans="10:113" x14ac:dyDescent="0.25">
      <c r="J407" s="12"/>
      <c r="K407" s="12"/>
      <c r="R407" s="12"/>
      <c r="S407" s="12"/>
      <c r="Z407" s="12"/>
      <c r="AA407" s="12"/>
      <c r="AH407" s="12"/>
      <c r="AI407" s="12"/>
      <c r="AP407" s="12"/>
      <c r="AQ407" s="12"/>
      <c r="AX407" s="12"/>
      <c r="AY407" s="12"/>
      <c r="BF407" s="12"/>
      <c r="BG407" s="12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</row>
    <row r="408" spans="10:113" x14ac:dyDescent="0.25">
      <c r="J408" s="12"/>
      <c r="K408" s="12"/>
      <c r="R408" s="12"/>
      <c r="S408" s="12"/>
      <c r="Z408" s="12"/>
      <c r="AA408" s="12"/>
      <c r="AH408" s="12"/>
      <c r="AI408" s="12"/>
      <c r="AP408" s="12"/>
      <c r="AQ408" s="12"/>
      <c r="AX408" s="12"/>
      <c r="AY408" s="12"/>
      <c r="BF408" s="12"/>
      <c r="BG408" s="12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</row>
    <row r="409" spans="10:113" x14ac:dyDescent="0.25">
      <c r="J409" s="12"/>
      <c r="K409" s="12"/>
      <c r="R409" s="12"/>
      <c r="S409" s="12"/>
      <c r="Z409" s="12"/>
      <c r="AA409" s="12"/>
      <c r="AH409" s="12"/>
      <c r="AI409" s="12"/>
      <c r="AP409" s="12"/>
      <c r="AQ409" s="12"/>
      <c r="AX409" s="12"/>
      <c r="AY409" s="12"/>
      <c r="BF409" s="12"/>
      <c r="BG409" s="12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</row>
    <row r="410" spans="10:113" x14ac:dyDescent="0.25">
      <c r="J410" s="12"/>
      <c r="K410" s="12"/>
      <c r="R410" s="12"/>
      <c r="S410" s="12"/>
      <c r="Z410" s="12"/>
      <c r="AA410" s="12"/>
      <c r="AH410" s="12"/>
      <c r="AI410" s="12"/>
      <c r="AP410" s="12"/>
      <c r="AQ410" s="12"/>
      <c r="AX410" s="12"/>
      <c r="AY410" s="12"/>
      <c r="BF410" s="12"/>
      <c r="BG410" s="12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</row>
    <row r="411" spans="10:113" x14ac:dyDescent="0.25">
      <c r="J411" s="12"/>
      <c r="K411" s="12"/>
      <c r="R411" s="12"/>
      <c r="S411" s="12"/>
      <c r="Z411" s="12"/>
      <c r="AA411" s="12"/>
      <c r="AH411" s="12"/>
      <c r="AI411" s="12"/>
      <c r="AP411" s="12"/>
      <c r="AQ411" s="12"/>
      <c r="AX411" s="12"/>
      <c r="AY411" s="12"/>
      <c r="BF411" s="12"/>
      <c r="BG411" s="12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</row>
    <row r="412" spans="10:113" x14ac:dyDescent="0.25">
      <c r="J412" s="12"/>
      <c r="K412" s="12"/>
      <c r="R412" s="12"/>
      <c r="S412" s="12"/>
      <c r="Z412" s="12"/>
      <c r="AA412" s="12"/>
      <c r="AH412" s="12"/>
      <c r="AI412" s="12"/>
      <c r="AP412" s="12"/>
      <c r="AQ412" s="12"/>
      <c r="AX412" s="12"/>
      <c r="AY412" s="12"/>
      <c r="BF412" s="12"/>
      <c r="BG412" s="12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</row>
    <row r="413" spans="10:113" x14ac:dyDescent="0.25">
      <c r="J413" s="12"/>
      <c r="K413" s="12"/>
      <c r="R413" s="12"/>
      <c r="S413" s="12"/>
      <c r="Z413" s="12"/>
      <c r="AA413" s="12"/>
      <c r="AH413" s="12"/>
      <c r="AI413" s="12"/>
      <c r="AP413" s="12"/>
      <c r="AQ413" s="12"/>
      <c r="AX413" s="12"/>
      <c r="AY413" s="12"/>
      <c r="BF413" s="12"/>
      <c r="BG413" s="12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</row>
    <row r="414" spans="10:113" x14ac:dyDescent="0.25">
      <c r="J414" s="12"/>
      <c r="K414" s="12"/>
      <c r="R414" s="12"/>
      <c r="S414" s="12"/>
      <c r="Z414" s="12"/>
      <c r="AA414" s="12"/>
      <c r="AH414" s="12"/>
      <c r="AI414" s="12"/>
      <c r="AP414" s="12"/>
      <c r="AQ414" s="12"/>
      <c r="AX414" s="12"/>
      <c r="AY414" s="12"/>
      <c r="BF414" s="12"/>
      <c r="BG414" s="12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</row>
    <row r="415" spans="10:113" x14ac:dyDescent="0.25">
      <c r="J415" s="12"/>
      <c r="K415" s="12"/>
      <c r="R415" s="12"/>
      <c r="S415" s="12"/>
      <c r="Z415" s="12"/>
      <c r="AA415" s="12"/>
      <c r="AH415" s="12"/>
      <c r="AI415" s="12"/>
      <c r="AP415" s="12"/>
      <c r="AQ415" s="12"/>
      <c r="AX415" s="12"/>
      <c r="AY415" s="12"/>
      <c r="BF415" s="12"/>
      <c r="BG415" s="12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</row>
    <row r="416" spans="10:113" x14ac:dyDescent="0.25">
      <c r="J416" s="12"/>
      <c r="K416" s="12"/>
      <c r="R416" s="12"/>
      <c r="S416" s="12"/>
      <c r="Z416" s="12"/>
      <c r="AA416" s="12"/>
      <c r="AH416" s="12"/>
      <c r="AI416" s="12"/>
      <c r="AP416" s="12"/>
      <c r="AQ416" s="12"/>
      <c r="AX416" s="12"/>
      <c r="AY416" s="12"/>
      <c r="BF416" s="12"/>
      <c r="BG416" s="12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</row>
    <row r="417" spans="10:113" x14ac:dyDescent="0.25">
      <c r="J417" s="12"/>
      <c r="K417" s="12"/>
      <c r="R417" s="12"/>
      <c r="S417" s="12"/>
      <c r="Z417" s="12"/>
      <c r="AA417" s="12"/>
      <c r="AH417" s="12"/>
      <c r="AI417" s="12"/>
      <c r="AP417" s="12"/>
      <c r="AQ417" s="12"/>
      <c r="AX417" s="12"/>
      <c r="AY417" s="12"/>
      <c r="BF417" s="12"/>
      <c r="BG417" s="12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</row>
    <row r="418" spans="10:113" x14ac:dyDescent="0.25">
      <c r="J418" s="12"/>
      <c r="K418" s="12"/>
      <c r="R418" s="12"/>
      <c r="S418" s="12"/>
      <c r="Z418" s="12"/>
      <c r="AA418" s="12"/>
      <c r="AH418" s="12"/>
      <c r="AI418" s="12"/>
      <c r="AP418" s="12"/>
      <c r="AQ418" s="12"/>
      <c r="AX418" s="12"/>
      <c r="AY418" s="12"/>
      <c r="BF418" s="12"/>
      <c r="BG418" s="12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</row>
    <row r="419" spans="10:113" x14ac:dyDescent="0.25">
      <c r="J419" s="12"/>
      <c r="K419" s="12"/>
      <c r="R419" s="12"/>
      <c r="S419" s="12"/>
      <c r="Z419" s="12"/>
      <c r="AA419" s="12"/>
      <c r="AH419" s="12"/>
      <c r="AI419" s="12"/>
      <c r="AP419" s="12"/>
      <c r="AQ419" s="12"/>
      <c r="AX419" s="12"/>
      <c r="AY419" s="12"/>
      <c r="BF419" s="12"/>
      <c r="BG419" s="12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</row>
    <row r="420" spans="10:113" x14ac:dyDescent="0.25">
      <c r="J420" s="12"/>
      <c r="K420" s="12"/>
      <c r="R420" s="12"/>
      <c r="S420" s="12"/>
      <c r="Z420" s="12"/>
      <c r="AA420" s="12"/>
      <c r="AH420" s="12"/>
      <c r="AI420" s="12"/>
      <c r="AP420" s="12"/>
      <c r="AQ420" s="12"/>
      <c r="AX420" s="12"/>
      <c r="AY420" s="12"/>
      <c r="BF420" s="12"/>
      <c r="BG420" s="12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</row>
    <row r="421" spans="10:113" x14ac:dyDescent="0.25">
      <c r="J421" s="12"/>
      <c r="K421" s="12"/>
      <c r="R421" s="12"/>
      <c r="S421" s="12"/>
      <c r="Z421" s="12"/>
      <c r="AA421" s="12"/>
      <c r="AH421" s="12"/>
      <c r="AI421" s="12"/>
      <c r="AP421" s="12"/>
      <c r="AQ421" s="12"/>
      <c r="AX421" s="12"/>
      <c r="AY421" s="12"/>
      <c r="BF421" s="12"/>
      <c r="BG421" s="12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</row>
    <row r="422" spans="10:113" x14ac:dyDescent="0.25">
      <c r="J422" s="12"/>
      <c r="K422" s="12"/>
      <c r="R422" s="12"/>
      <c r="S422" s="12"/>
      <c r="Z422" s="12"/>
      <c r="AA422" s="12"/>
      <c r="AH422" s="12"/>
      <c r="AI422" s="12"/>
      <c r="AP422" s="12"/>
      <c r="AQ422" s="12"/>
      <c r="AX422" s="12"/>
      <c r="AY422" s="12"/>
      <c r="BF422" s="12"/>
      <c r="BG422" s="12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</row>
    <row r="423" spans="10:113" x14ac:dyDescent="0.25">
      <c r="J423" s="12"/>
      <c r="K423" s="12"/>
      <c r="R423" s="12"/>
      <c r="S423" s="12"/>
      <c r="Z423" s="12"/>
      <c r="AA423" s="12"/>
      <c r="AH423" s="12"/>
      <c r="AI423" s="12"/>
      <c r="AP423" s="12"/>
      <c r="AQ423" s="12"/>
      <c r="AX423" s="12"/>
      <c r="AY423" s="12"/>
      <c r="BF423" s="12"/>
      <c r="BG423" s="12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</row>
    <row r="424" spans="10:113" x14ac:dyDescent="0.25">
      <c r="J424" s="12"/>
      <c r="K424" s="12"/>
      <c r="R424" s="12"/>
      <c r="S424" s="12"/>
      <c r="Z424" s="12"/>
      <c r="AA424" s="12"/>
      <c r="AH424" s="12"/>
      <c r="AI424" s="12"/>
      <c r="AP424" s="12"/>
      <c r="AQ424" s="12"/>
      <c r="AX424" s="12"/>
      <c r="AY424" s="12"/>
      <c r="BF424" s="12"/>
      <c r="BG424" s="12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</row>
    <row r="425" spans="10:113" x14ac:dyDescent="0.25">
      <c r="J425" s="12"/>
      <c r="K425" s="12"/>
      <c r="R425" s="12"/>
      <c r="S425" s="12"/>
      <c r="Z425" s="12"/>
      <c r="AA425" s="12"/>
      <c r="AH425" s="12"/>
      <c r="AI425" s="12"/>
      <c r="AP425" s="12"/>
      <c r="AQ425" s="12"/>
      <c r="AX425" s="12"/>
      <c r="AY425" s="12"/>
      <c r="BF425" s="12"/>
      <c r="BG425" s="12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</row>
    <row r="426" spans="10:113" x14ac:dyDescent="0.25">
      <c r="J426" s="12"/>
      <c r="K426" s="12"/>
      <c r="R426" s="12"/>
      <c r="S426" s="12"/>
      <c r="Z426" s="12"/>
      <c r="AA426" s="12"/>
      <c r="AH426" s="12"/>
      <c r="AI426" s="12"/>
      <c r="AP426" s="12"/>
      <c r="AQ426" s="12"/>
      <c r="AX426" s="12"/>
      <c r="AY426" s="12"/>
      <c r="BF426" s="12"/>
      <c r="BG426" s="12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</row>
    <row r="427" spans="10:113" x14ac:dyDescent="0.25">
      <c r="J427" s="12"/>
      <c r="K427" s="12"/>
      <c r="R427" s="12"/>
      <c r="S427" s="12"/>
      <c r="Z427" s="12"/>
      <c r="AA427" s="12"/>
      <c r="AH427" s="12"/>
      <c r="AI427" s="12"/>
      <c r="AP427" s="12"/>
      <c r="AQ427" s="12"/>
      <c r="AX427" s="12"/>
      <c r="AY427" s="12"/>
      <c r="BF427" s="12"/>
      <c r="BG427" s="12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</row>
    <row r="428" spans="10:113" x14ac:dyDescent="0.25">
      <c r="J428" s="12"/>
      <c r="K428" s="12"/>
      <c r="R428" s="12"/>
      <c r="S428" s="12"/>
      <c r="Z428" s="12"/>
      <c r="AA428" s="12"/>
      <c r="AH428" s="12"/>
      <c r="AI428" s="12"/>
      <c r="AP428" s="12"/>
      <c r="AQ428" s="12"/>
      <c r="AX428" s="12"/>
      <c r="AY428" s="12"/>
      <c r="BF428" s="12"/>
      <c r="BG428" s="12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</row>
    <row r="429" spans="10:113" x14ac:dyDescent="0.25">
      <c r="J429" s="12"/>
      <c r="K429" s="12"/>
      <c r="R429" s="12"/>
      <c r="S429" s="12"/>
      <c r="Z429" s="12"/>
      <c r="AA429" s="12"/>
      <c r="AH429" s="12"/>
      <c r="AI429" s="12"/>
      <c r="AP429" s="12"/>
      <c r="AQ429" s="12"/>
      <c r="AX429" s="12"/>
      <c r="AY429" s="12"/>
      <c r="BF429" s="12"/>
      <c r="BG429" s="12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</row>
    <row r="430" spans="10:113" x14ac:dyDescent="0.25">
      <c r="J430" s="12"/>
      <c r="K430" s="12"/>
      <c r="R430" s="12"/>
      <c r="S430" s="12"/>
      <c r="Z430" s="12"/>
      <c r="AA430" s="12"/>
      <c r="AH430" s="12"/>
      <c r="AI430" s="12"/>
      <c r="AP430" s="12"/>
      <c r="AQ430" s="12"/>
      <c r="AX430" s="12"/>
      <c r="AY430" s="12"/>
      <c r="BF430" s="12"/>
      <c r="BG430" s="12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4"/>
    </row>
    <row r="431" spans="10:113" x14ac:dyDescent="0.25">
      <c r="J431" s="12"/>
      <c r="K431" s="12"/>
      <c r="R431" s="12"/>
      <c r="S431" s="12"/>
      <c r="Z431" s="12"/>
      <c r="AA431" s="12"/>
      <c r="AH431" s="12"/>
      <c r="AI431" s="12"/>
      <c r="AP431" s="12"/>
      <c r="AQ431" s="12"/>
      <c r="AX431" s="12"/>
      <c r="AY431" s="12"/>
      <c r="BF431" s="12"/>
      <c r="BG431" s="12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</row>
    <row r="432" spans="10:113" x14ac:dyDescent="0.25">
      <c r="J432" s="12"/>
      <c r="K432" s="12"/>
      <c r="R432" s="12"/>
      <c r="S432" s="12"/>
      <c r="Z432" s="12"/>
      <c r="AA432" s="12"/>
      <c r="AH432" s="12"/>
      <c r="AI432" s="12"/>
      <c r="AP432" s="12"/>
      <c r="AQ432" s="12"/>
      <c r="AX432" s="12"/>
      <c r="AY432" s="12"/>
      <c r="BF432" s="12"/>
      <c r="BG432" s="12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</row>
    <row r="433" spans="10:113" x14ac:dyDescent="0.25">
      <c r="J433" s="12"/>
      <c r="K433" s="12"/>
      <c r="R433" s="12"/>
      <c r="S433" s="12"/>
      <c r="Z433" s="12"/>
      <c r="AA433" s="12"/>
      <c r="AH433" s="12"/>
      <c r="AI433" s="12"/>
      <c r="AP433" s="12"/>
      <c r="AQ433" s="12"/>
      <c r="AX433" s="12"/>
      <c r="AY433" s="12"/>
      <c r="BF433" s="12"/>
      <c r="BG433" s="12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</row>
    <row r="434" spans="10:113" x14ac:dyDescent="0.25">
      <c r="J434" s="12"/>
      <c r="K434" s="12"/>
      <c r="R434" s="12"/>
      <c r="S434" s="12"/>
      <c r="Z434" s="12"/>
      <c r="AA434" s="12"/>
      <c r="AH434" s="12"/>
      <c r="AI434" s="12"/>
      <c r="AP434" s="12"/>
      <c r="AQ434" s="12"/>
      <c r="AX434" s="12"/>
      <c r="AY434" s="12"/>
      <c r="BF434" s="12"/>
      <c r="BG434" s="12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</row>
    <row r="435" spans="10:113" x14ac:dyDescent="0.25">
      <c r="J435" s="12"/>
      <c r="K435" s="12"/>
      <c r="R435" s="12"/>
      <c r="S435" s="12"/>
      <c r="Z435" s="12"/>
      <c r="AA435" s="12"/>
      <c r="AH435" s="12"/>
      <c r="AI435" s="12"/>
      <c r="AP435" s="12"/>
      <c r="AQ435" s="12"/>
      <c r="AX435" s="12"/>
      <c r="AY435" s="12"/>
      <c r="BF435" s="12"/>
      <c r="BG435" s="12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499984740745262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32"/>
  <sheetViews>
    <sheetView workbookViewId="0">
      <selection activeCell="D32" sqref="D32"/>
    </sheetView>
  </sheetViews>
  <sheetFormatPr defaultRowHeight="15" x14ac:dyDescent="0.25"/>
  <sheetData>
    <row r="1" spans="2:3" x14ac:dyDescent="0.25">
      <c r="B1" t="s">
        <v>547</v>
      </c>
      <c r="C1" t="s">
        <v>548</v>
      </c>
    </row>
    <row r="2" spans="2:3" x14ac:dyDescent="0.25">
      <c r="B2" t="s">
        <v>549</v>
      </c>
      <c r="C2" t="s">
        <v>549</v>
      </c>
    </row>
    <row r="3" spans="2:3" x14ac:dyDescent="0.25">
      <c r="B3" t="s">
        <v>550</v>
      </c>
      <c r="C3" t="s">
        <v>551</v>
      </c>
    </row>
    <row r="4" spans="2:3" x14ac:dyDescent="0.25">
      <c r="B4" t="s">
        <v>552</v>
      </c>
      <c r="C4" t="s">
        <v>553</v>
      </c>
    </row>
    <row r="5" spans="2:3" x14ac:dyDescent="0.25">
      <c r="B5" t="s">
        <v>554</v>
      </c>
      <c r="C5" t="s">
        <v>352</v>
      </c>
    </row>
    <row r="6" spans="2:3" x14ac:dyDescent="0.25">
      <c r="B6" t="s">
        <v>555</v>
      </c>
      <c r="C6" t="s">
        <v>555</v>
      </c>
    </row>
    <row r="7" spans="2:3" x14ac:dyDescent="0.25">
      <c r="B7" t="s">
        <v>556</v>
      </c>
      <c r="C7" t="s">
        <v>93</v>
      </c>
    </row>
    <row r="8" spans="2:3" x14ac:dyDescent="0.25">
      <c r="B8" t="s">
        <v>557</v>
      </c>
      <c r="C8" t="s">
        <v>558</v>
      </c>
    </row>
    <row r="9" spans="2:3" x14ac:dyDescent="0.25">
      <c r="B9" t="s">
        <v>559</v>
      </c>
      <c r="C9" t="s">
        <v>560</v>
      </c>
    </row>
    <row r="10" spans="2:3" x14ac:dyDescent="0.25">
      <c r="B10" t="s">
        <v>561</v>
      </c>
      <c r="C10" t="s">
        <v>562</v>
      </c>
    </row>
    <row r="11" spans="2:3" x14ac:dyDescent="0.25">
      <c r="B11" t="s">
        <v>563</v>
      </c>
      <c r="C11" t="s">
        <v>564</v>
      </c>
    </row>
    <row r="12" spans="2:3" x14ac:dyDescent="0.25">
      <c r="B12" t="s">
        <v>565</v>
      </c>
      <c r="C12" t="s">
        <v>339</v>
      </c>
    </row>
    <row r="13" spans="2:3" x14ac:dyDescent="0.25">
      <c r="B13" t="s">
        <v>566</v>
      </c>
      <c r="C13" t="s">
        <v>567</v>
      </c>
    </row>
    <row r="14" spans="2:3" x14ac:dyDescent="0.25">
      <c r="B14" t="s">
        <v>568</v>
      </c>
      <c r="C14" t="s">
        <v>569</v>
      </c>
    </row>
    <row r="15" spans="2:3" x14ac:dyDescent="0.25">
      <c r="B15" t="s">
        <v>570</v>
      </c>
      <c r="C15" t="s">
        <v>571</v>
      </c>
    </row>
    <row r="16" spans="2:3" x14ac:dyDescent="0.25">
      <c r="B16" t="s">
        <v>572</v>
      </c>
      <c r="C16" t="s">
        <v>573</v>
      </c>
    </row>
    <row r="17" spans="2:3" x14ac:dyDescent="0.25">
      <c r="B17" t="s">
        <v>574</v>
      </c>
      <c r="C17" t="s">
        <v>575</v>
      </c>
    </row>
    <row r="18" spans="2:3" x14ac:dyDescent="0.25">
      <c r="B18" t="s">
        <v>576</v>
      </c>
      <c r="C18" t="s">
        <v>577</v>
      </c>
    </row>
    <row r="19" spans="2:3" x14ac:dyDescent="0.25">
      <c r="B19" t="s">
        <v>578</v>
      </c>
      <c r="C19" t="s">
        <v>578</v>
      </c>
    </row>
    <row r="20" spans="2:3" x14ac:dyDescent="0.25">
      <c r="B20" t="s">
        <v>579</v>
      </c>
      <c r="C20" t="s">
        <v>321</v>
      </c>
    </row>
    <row r="21" spans="2:3" x14ac:dyDescent="0.25">
      <c r="B21" t="s">
        <v>580</v>
      </c>
      <c r="C21" t="s">
        <v>241</v>
      </c>
    </row>
    <row r="22" spans="2:3" x14ac:dyDescent="0.25">
      <c r="B22" t="s">
        <v>581</v>
      </c>
      <c r="C22" t="s">
        <v>248</v>
      </c>
    </row>
    <row r="23" spans="2:3" x14ac:dyDescent="0.25">
      <c r="B23" t="s">
        <v>582</v>
      </c>
      <c r="C23" t="s">
        <v>326</v>
      </c>
    </row>
    <row r="24" spans="2:3" x14ac:dyDescent="0.25">
      <c r="B24" t="s">
        <v>583</v>
      </c>
      <c r="C24" t="s">
        <v>584</v>
      </c>
    </row>
    <row r="25" spans="2:3" x14ac:dyDescent="0.25">
      <c r="B25" t="s">
        <v>585</v>
      </c>
      <c r="C25" t="s">
        <v>586</v>
      </c>
    </row>
    <row r="26" spans="2:3" x14ac:dyDescent="0.25">
      <c r="B26" t="s">
        <v>587</v>
      </c>
      <c r="C26" t="s">
        <v>588</v>
      </c>
    </row>
    <row r="27" spans="2:3" x14ac:dyDescent="0.25">
      <c r="B27" t="s">
        <v>589</v>
      </c>
      <c r="C27" t="s">
        <v>590</v>
      </c>
    </row>
    <row r="28" spans="2:3" x14ac:dyDescent="0.25">
      <c r="B28" t="s">
        <v>591</v>
      </c>
      <c r="C28" t="s">
        <v>308</v>
      </c>
    </row>
    <row r="29" spans="2:3" x14ac:dyDescent="0.25">
      <c r="B29" t="s">
        <v>592</v>
      </c>
      <c r="C29" t="s">
        <v>97</v>
      </c>
    </row>
    <row r="30" spans="2:3" x14ac:dyDescent="0.25">
      <c r="B30" t="s">
        <v>544</v>
      </c>
      <c r="C30" t="s">
        <v>593</v>
      </c>
    </row>
    <row r="31" spans="2:3" x14ac:dyDescent="0.25">
      <c r="B31" t="s">
        <v>594</v>
      </c>
      <c r="C31" t="s">
        <v>595</v>
      </c>
    </row>
    <row r="32" spans="2:3" x14ac:dyDescent="0.25">
      <c r="B32" t="s">
        <v>596</v>
      </c>
      <c r="C3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GC_NewTech</vt:lpstr>
      <vt:lpstr>ELC TECH</vt:lpstr>
      <vt:lpstr>&gt;&gt; TIMES</vt:lpstr>
      <vt:lpstr>Def_Tech</vt:lpstr>
      <vt:lpstr>Def_Comm</vt:lpstr>
      <vt:lpstr>ResidELC</vt:lpstr>
      <vt:lpstr>&gt;&gt; Parameters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2025-04-08T18:31:29Z</dcterms:modified>
</cp:coreProperties>
</file>
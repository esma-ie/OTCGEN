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Veda\Veda_models\COMET_Generative_NYC\SubRES_TMPL\"/>
    </mc:Choice>
  </mc:AlternateContent>
  <xr:revisionPtr revIDLastSave="0" documentId="13_ncr:1_{A55E4E5C-330F-4191-946C-523AB97CC5B6}" xr6:coauthVersionLast="47" xr6:coauthVersionMax="47" xr10:uidLastSave="{00000000-0000-0000-0000-000000000000}"/>
  <bookViews>
    <workbookView xWindow="-120" yWindow="-120" windowWidth="25440" windowHeight="15270" firstSheet="2" activeTab="8" xr2:uid="{00000000-000D-0000-FFFF-FFFF00000000}"/>
  </bookViews>
  <sheets>
    <sheet name="ReadMe" sheetId="1" r:id="rId1"/>
    <sheet name="&gt;&gt; City Data" sheetId="2" r:id="rId2"/>
    <sheet name="City characteristics" sheetId="3" r:id="rId3"/>
    <sheet name="&gt;&gt; GC_NewTech" sheetId="4" r:id="rId4"/>
    <sheet name="TRA TECH" sheetId="5" r:id="rId5"/>
    <sheet name="&gt;&gt; TIMES" sheetId="6" r:id="rId6"/>
    <sheet name="Def_Tech" sheetId="7" r:id="rId7"/>
    <sheet name="Def_Comm" sheetId="8" r:id="rId8"/>
    <sheet name="New TRA" sheetId="9" r:id="rId9"/>
    <sheet name="Charging TRA" sheetId="10" r:id="rId10"/>
    <sheet name="&gt;&gt; Parameters" sheetId="11" r:id="rId11"/>
  </sheets>
  <definedNames>
    <definedName name="_Fill" localSheetId="2" hidden="1">#REF!</definedName>
    <definedName name="_Fill" hidden="1">#REF!</definedName>
    <definedName name="_Order1" hidden="1">0</definedName>
    <definedName name="_Order2" hidden="1">0</definedName>
    <definedName name="_Sort" localSheetId="2" hidden="1">#REF!</definedName>
    <definedName name="_Sort" hidden="1">#REF!</definedName>
    <definedName name="anscount" hidden="1">1</definedName>
    <definedName name="CBWorkbookPriority" hidden="1">-1587101571</definedName>
    <definedName name="sencount" hidden="1">2</definedName>
    <definedName name="wrn.com_msw." localSheetId="2" hidden="1">{"com_msw",#N/A,FALSE,"Common"}</definedName>
    <definedName name="wrn.com_msw." hidden="1">{"com_msw",#N/A,FALSE,"Common"}</definedName>
    <definedName name="wrn.msw_1." localSheetId="2" hidden="1">{"msw_1",#N/A,FALSE,"Common"}</definedName>
    <definedName name="wrn.msw_1." hidden="1">{"msw_1",#N/A,FALSE,"Common"}</definedName>
    <definedName name="wrn.msw_2." localSheetId="2" hidden="1">{"msw_2",#N/A,FALSE,"Common"}</definedName>
    <definedName name="wrn.msw_2." hidden="1">{"msw_2",#N/A,FALSE,"Common"}</definedName>
    <definedName name="wrn.NATIONAL._.GRID." localSheetId="2" hidden="1">{"NATIONAL GRID",#N/A,FALSE,"Sheet1"}</definedName>
    <definedName name="wrn.NATIONAL._.GRID." hidden="1">{"NATIONAL GRID",#N/A,FALSE,"Sheet1"}</definedName>
    <definedName name="wrn.regional._.grid." localSheetId="2" hidden="1">{"regional grid",#N/A,FALSE,"Sheet1"}</definedName>
    <definedName name="wrn.regional._.grid." hidden="1">{"regional grid",#N/A,FALSE,"Sheet1"}</definedName>
    <definedName name="wrn.res_mf_msw." localSheetId="2" hidden="1">{"res_mf_mssw",#N/A,FALSE,"Common"}</definedName>
    <definedName name="wrn.res_mf_msw." hidden="1">{"res_mf_mssw",#N/A,FALSE,"Common"}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12" i="10" l="1"/>
  <c r="AF12" i="10" s="1"/>
  <c r="AD12" i="10"/>
  <c r="AC12" i="10"/>
  <c r="AA12" i="10"/>
  <c r="S12" i="10"/>
  <c r="R12" i="10"/>
  <c r="Q12" i="10"/>
  <c r="O12" i="10"/>
  <c r="P12" i="10" s="1"/>
  <c r="H12" i="10"/>
  <c r="G12" i="10"/>
  <c r="F12" i="10"/>
  <c r="E12" i="10"/>
  <c r="C12" i="10"/>
  <c r="B12" i="10"/>
  <c r="T12" i="10" s="1"/>
  <c r="Z11" i="10"/>
  <c r="Y11" i="10"/>
  <c r="V11" i="10"/>
  <c r="N11" i="10"/>
  <c r="M11" i="10"/>
  <c r="H11" i="10"/>
  <c r="G11" i="10"/>
  <c r="B11" i="10"/>
  <c r="L11" i="10" s="1"/>
  <c r="AE10" i="10"/>
  <c r="AF10" i="10" s="1"/>
  <c r="AD10" i="10"/>
  <c r="AC10" i="10"/>
  <c r="AB10" i="10"/>
  <c r="U10" i="10"/>
  <c r="T10" i="10"/>
  <c r="S10" i="10"/>
  <c r="R10" i="10"/>
  <c r="Q10" i="10"/>
  <c r="I10" i="10"/>
  <c r="H10" i="10"/>
  <c r="G10" i="10"/>
  <c r="F10" i="10"/>
  <c r="E10" i="10"/>
  <c r="D10" i="10"/>
  <c r="B10" i="10"/>
  <c r="V10" i="10" s="1"/>
  <c r="AB9" i="10"/>
  <c r="Z9" i="10"/>
  <c r="Y9" i="10"/>
  <c r="W9" i="10"/>
  <c r="X9" i="10" s="1"/>
  <c r="O9" i="10"/>
  <c r="P9" i="10" s="1"/>
  <c r="N9" i="10"/>
  <c r="M9" i="10"/>
  <c r="L9" i="10"/>
  <c r="K9" i="10"/>
  <c r="H9" i="10"/>
  <c r="G9" i="10"/>
  <c r="D9" i="10"/>
  <c r="C9" i="10"/>
  <c r="B9" i="10"/>
  <c r="AE8" i="10"/>
  <c r="AF8" i="10" s="1"/>
  <c r="AD8" i="10"/>
  <c r="W8" i="10"/>
  <c r="X8" i="10" s="1"/>
  <c r="V8" i="10"/>
  <c r="U8" i="10"/>
  <c r="T8" i="10"/>
  <c r="S8" i="10"/>
  <c r="R8" i="10"/>
  <c r="K8" i="10"/>
  <c r="J8" i="10"/>
  <c r="I8" i="10"/>
  <c r="H8" i="10"/>
  <c r="G8" i="10"/>
  <c r="F8" i="10"/>
  <c r="B8" i="10"/>
  <c r="L8" i="10" s="1"/>
  <c r="AD7" i="10"/>
  <c r="AC7" i="10"/>
  <c r="AB7" i="10"/>
  <c r="N7" i="10"/>
  <c r="M7" i="10"/>
  <c r="H7" i="10"/>
  <c r="G7" i="10"/>
  <c r="F7" i="10"/>
  <c r="B7" i="10"/>
  <c r="Q7" i="10" s="1"/>
  <c r="AF5" i="10"/>
  <c r="AE5" i="10"/>
  <c r="AD5" i="10"/>
  <c r="AC5" i="10"/>
  <c r="AB5" i="10"/>
  <c r="AA5" i="10"/>
  <c r="Z5" i="10"/>
  <c r="Y5" i="10"/>
  <c r="X5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Y1" i="10"/>
  <c r="Q1" i="10"/>
  <c r="I1" i="10"/>
  <c r="AC323" i="9"/>
  <c r="H323" i="9"/>
  <c r="AE323" i="9" s="1"/>
  <c r="E323" i="9"/>
  <c r="C323" i="9"/>
  <c r="B323" i="9"/>
  <c r="AI322" i="9"/>
  <c r="AH322" i="9"/>
  <c r="AG322" i="9"/>
  <c r="AD322" i="9"/>
  <c r="AC322" i="9"/>
  <c r="AA322" i="9"/>
  <c r="AB322" i="9" s="1"/>
  <c r="Z322" i="9"/>
  <c r="Y322" i="9"/>
  <c r="W322" i="9"/>
  <c r="V322" i="9"/>
  <c r="U322" i="9"/>
  <c r="R322" i="9"/>
  <c r="Q322" i="9"/>
  <c r="P322" i="9"/>
  <c r="O322" i="9"/>
  <c r="N322" i="9"/>
  <c r="M322" i="9"/>
  <c r="K322" i="9"/>
  <c r="J322" i="9"/>
  <c r="I322" i="9"/>
  <c r="AK322" i="9" s="1"/>
  <c r="H322" i="9"/>
  <c r="AE322" i="9" s="1"/>
  <c r="E322" i="9"/>
  <c r="C322" i="9"/>
  <c r="B322" i="9"/>
  <c r="AJ321" i="9"/>
  <c r="AE321" i="9"/>
  <c r="AD321" i="9"/>
  <c r="AA321" i="9"/>
  <c r="Z321" i="9"/>
  <c r="Y321" i="9"/>
  <c r="V321" i="9"/>
  <c r="T321" i="9"/>
  <c r="N321" i="9"/>
  <c r="M321" i="9"/>
  <c r="L321" i="9"/>
  <c r="K321" i="9"/>
  <c r="J321" i="9"/>
  <c r="H321" i="9"/>
  <c r="W321" i="9" s="1"/>
  <c r="E321" i="9"/>
  <c r="C321" i="9"/>
  <c r="B321" i="9"/>
  <c r="AG320" i="9"/>
  <c r="AF320" i="9"/>
  <c r="AE320" i="9"/>
  <c r="AC320" i="9"/>
  <c r="V320" i="9"/>
  <c r="Q320" i="9"/>
  <c r="P320" i="9"/>
  <c r="O320" i="9"/>
  <c r="L320" i="9"/>
  <c r="K320" i="9"/>
  <c r="H320" i="9"/>
  <c r="E320" i="9"/>
  <c r="C320" i="9"/>
  <c r="B320" i="9"/>
  <c r="AJ319" i="9"/>
  <c r="AG319" i="9"/>
  <c r="AF319" i="9"/>
  <c r="AE319" i="9"/>
  <c r="AD319" i="9"/>
  <c r="S319" i="9"/>
  <c r="R319" i="9"/>
  <c r="Q319" i="9"/>
  <c r="P319" i="9"/>
  <c r="N319" i="9"/>
  <c r="H319" i="9"/>
  <c r="X319" i="9" s="1"/>
  <c r="E319" i="9"/>
  <c r="C319" i="9"/>
  <c r="B319" i="9"/>
  <c r="AK318" i="9"/>
  <c r="AI318" i="9"/>
  <c r="AH318" i="9"/>
  <c r="AG318" i="9"/>
  <c r="AD318" i="9"/>
  <c r="AC318" i="9"/>
  <c r="AA318" i="9"/>
  <c r="AB318" i="9" s="1"/>
  <c r="Z318" i="9"/>
  <c r="Y318" i="9"/>
  <c r="W318" i="9"/>
  <c r="V318" i="9"/>
  <c r="U318" i="9"/>
  <c r="R318" i="9"/>
  <c r="Q318" i="9"/>
  <c r="P318" i="9"/>
  <c r="O318" i="9"/>
  <c r="N318" i="9"/>
  <c r="M318" i="9"/>
  <c r="K318" i="9"/>
  <c r="J318" i="9"/>
  <c r="I318" i="9"/>
  <c r="H318" i="9"/>
  <c r="AE318" i="9" s="1"/>
  <c r="E318" i="9"/>
  <c r="C318" i="9"/>
  <c r="B318" i="9"/>
  <c r="X317" i="9"/>
  <c r="V317" i="9"/>
  <c r="S317" i="9"/>
  <c r="H317" i="9"/>
  <c r="AJ317" i="9" s="1"/>
  <c r="E317" i="9"/>
  <c r="C317" i="9"/>
  <c r="B317" i="9"/>
  <c r="W316" i="9"/>
  <c r="U316" i="9"/>
  <c r="I316" i="9"/>
  <c r="AK316" i="9" s="1"/>
  <c r="H316" i="9"/>
  <c r="AA316" i="9" s="1"/>
  <c r="E316" i="9"/>
  <c r="C316" i="9"/>
  <c r="B316" i="9"/>
  <c r="AC315" i="9"/>
  <c r="Y315" i="9"/>
  <c r="M315" i="9"/>
  <c r="I315" i="9"/>
  <c r="AK315" i="9" s="1"/>
  <c r="H315" i="9"/>
  <c r="AB315" i="9" s="1"/>
  <c r="E315" i="9"/>
  <c r="C315" i="9"/>
  <c r="B315" i="9"/>
  <c r="AI314" i="9"/>
  <c r="AH314" i="9"/>
  <c r="AG314" i="9"/>
  <c r="AD314" i="9"/>
  <c r="AC314" i="9"/>
  <c r="AB314" i="9"/>
  <c r="AA314" i="9"/>
  <c r="Z314" i="9"/>
  <c r="Y314" i="9"/>
  <c r="W314" i="9"/>
  <c r="V314" i="9"/>
  <c r="U314" i="9"/>
  <c r="R314" i="9"/>
  <c r="Q314" i="9"/>
  <c r="P314" i="9"/>
  <c r="O314" i="9"/>
  <c r="N314" i="9"/>
  <c r="M314" i="9"/>
  <c r="K314" i="9"/>
  <c r="J314" i="9"/>
  <c r="I314" i="9"/>
  <c r="AK314" i="9" s="1"/>
  <c r="H314" i="9"/>
  <c r="AE314" i="9" s="1"/>
  <c r="E314" i="9"/>
  <c r="C314" i="9"/>
  <c r="B314" i="9"/>
  <c r="AH313" i="9"/>
  <c r="AF313" i="9"/>
  <c r="AE313" i="9"/>
  <c r="AD313" i="9"/>
  <c r="AA313" i="9"/>
  <c r="W313" i="9"/>
  <c r="R313" i="9"/>
  <c r="O313" i="9"/>
  <c r="N313" i="9"/>
  <c r="M313" i="9"/>
  <c r="L313" i="9"/>
  <c r="H313" i="9"/>
  <c r="V313" i="9" s="1"/>
  <c r="E313" i="9"/>
  <c r="C313" i="9"/>
  <c r="B313" i="9"/>
  <c r="AI312" i="9"/>
  <c r="AJ312" i="9" s="1"/>
  <c r="AH312" i="9"/>
  <c r="AG312" i="9"/>
  <c r="AF312" i="9"/>
  <c r="AE312" i="9"/>
  <c r="AC312" i="9"/>
  <c r="AA312" i="9"/>
  <c r="X312" i="9"/>
  <c r="V312" i="9"/>
  <c r="U312" i="9"/>
  <c r="S312" i="9"/>
  <c r="T312" i="9" s="1"/>
  <c r="Q312" i="9"/>
  <c r="P312" i="9"/>
  <c r="O312" i="9"/>
  <c r="L312" i="9"/>
  <c r="J312" i="9"/>
  <c r="I312" i="9"/>
  <c r="AK312" i="9" s="1"/>
  <c r="H312" i="9"/>
  <c r="E312" i="9"/>
  <c r="C312" i="9"/>
  <c r="B312" i="9"/>
  <c r="AJ311" i="9"/>
  <c r="AG311" i="9"/>
  <c r="AF311" i="9"/>
  <c r="AE311" i="9"/>
  <c r="AC311" i="9"/>
  <c r="AB311" i="9"/>
  <c r="U311" i="9"/>
  <c r="T311" i="9"/>
  <c r="S311" i="9"/>
  <c r="R311" i="9"/>
  <c r="Q311" i="9"/>
  <c r="P311" i="9"/>
  <c r="M311" i="9"/>
  <c r="L311" i="9"/>
  <c r="H311" i="9"/>
  <c r="X311" i="9" s="1"/>
  <c r="E311" i="9"/>
  <c r="C311" i="9"/>
  <c r="B311" i="9"/>
  <c r="AI310" i="9"/>
  <c r="AH310" i="9"/>
  <c r="AG310" i="9"/>
  <c r="AD310" i="9"/>
  <c r="AC310" i="9"/>
  <c r="AB310" i="9"/>
  <c r="AA310" i="9"/>
  <c r="Z310" i="9"/>
  <c r="Y310" i="9"/>
  <c r="W310" i="9"/>
  <c r="V310" i="9"/>
  <c r="U310" i="9"/>
  <c r="R310" i="9"/>
  <c r="Q310" i="9"/>
  <c r="P310" i="9"/>
  <c r="O310" i="9"/>
  <c r="N310" i="9"/>
  <c r="M310" i="9"/>
  <c r="K310" i="9"/>
  <c r="J310" i="9"/>
  <c r="I310" i="9"/>
  <c r="AK310" i="9" s="1"/>
  <c r="H310" i="9"/>
  <c r="AE310" i="9" s="1"/>
  <c r="E310" i="9"/>
  <c r="C310" i="9"/>
  <c r="B310" i="9"/>
  <c r="X309" i="9"/>
  <c r="H309" i="9"/>
  <c r="Y309" i="9" s="1"/>
  <c r="E309" i="9"/>
  <c r="C309" i="9"/>
  <c r="B309" i="9"/>
  <c r="AF308" i="9"/>
  <c r="X308" i="9"/>
  <c r="W308" i="9"/>
  <c r="V308" i="9"/>
  <c r="T308" i="9"/>
  <c r="S308" i="9"/>
  <c r="L308" i="9"/>
  <c r="H308" i="9"/>
  <c r="AI308" i="9" s="1"/>
  <c r="E308" i="9"/>
  <c r="C308" i="9"/>
  <c r="B308" i="9"/>
  <c r="AK307" i="9"/>
  <c r="AG307" i="9"/>
  <c r="AF307" i="9"/>
  <c r="AE307" i="9"/>
  <c r="AD307" i="9"/>
  <c r="AC307" i="9"/>
  <c r="Z307" i="9"/>
  <c r="Y307" i="9"/>
  <c r="U307" i="9"/>
  <c r="R307" i="9"/>
  <c r="Q307" i="9"/>
  <c r="P307" i="9"/>
  <c r="N307" i="9"/>
  <c r="M307" i="9"/>
  <c r="L307" i="9"/>
  <c r="I307" i="9"/>
  <c r="H307" i="9"/>
  <c r="E307" i="9"/>
  <c r="C307" i="9"/>
  <c r="B307" i="9"/>
  <c r="AK306" i="9"/>
  <c r="AI306" i="9"/>
  <c r="AH306" i="9"/>
  <c r="AG306" i="9"/>
  <c r="AD306" i="9"/>
  <c r="AC306" i="9"/>
  <c r="AB306" i="9"/>
  <c r="AA306" i="9"/>
  <c r="Z306" i="9"/>
  <c r="Y306" i="9"/>
  <c r="W306" i="9"/>
  <c r="V306" i="9"/>
  <c r="U306" i="9"/>
  <c r="R306" i="9"/>
  <c r="Q306" i="9"/>
  <c r="P306" i="9"/>
  <c r="O306" i="9"/>
  <c r="N306" i="9"/>
  <c r="M306" i="9"/>
  <c r="K306" i="9"/>
  <c r="J306" i="9"/>
  <c r="I306" i="9"/>
  <c r="H306" i="9"/>
  <c r="AE306" i="9" s="1"/>
  <c r="E306" i="9"/>
  <c r="C306" i="9"/>
  <c r="B306" i="9"/>
  <c r="AJ305" i="9"/>
  <c r="AI305" i="9"/>
  <c r="AH305" i="9"/>
  <c r="AF305" i="9"/>
  <c r="AE305" i="9"/>
  <c r="AD305" i="9"/>
  <c r="Z305" i="9"/>
  <c r="Y305" i="9"/>
  <c r="W305" i="9"/>
  <c r="V305" i="9"/>
  <c r="S305" i="9"/>
  <c r="T305" i="9" s="1"/>
  <c r="R305" i="9"/>
  <c r="O305" i="9"/>
  <c r="N305" i="9"/>
  <c r="M305" i="9"/>
  <c r="K305" i="9"/>
  <c r="J305" i="9"/>
  <c r="H305" i="9"/>
  <c r="E305" i="9"/>
  <c r="C305" i="9"/>
  <c r="B305" i="9"/>
  <c r="AI304" i="9"/>
  <c r="AJ304" i="9" s="1"/>
  <c r="AH304" i="9"/>
  <c r="AG304" i="9"/>
  <c r="AF304" i="9"/>
  <c r="AC304" i="9"/>
  <c r="AB304" i="9"/>
  <c r="W304" i="9"/>
  <c r="V304" i="9"/>
  <c r="U304" i="9"/>
  <c r="S304" i="9"/>
  <c r="T304" i="9" s="1"/>
  <c r="Q304" i="9"/>
  <c r="P304" i="9"/>
  <c r="L304" i="9"/>
  <c r="K304" i="9"/>
  <c r="J304" i="9"/>
  <c r="H304" i="9"/>
  <c r="AA304" i="9" s="1"/>
  <c r="E304" i="9"/>
  <c r="C304" i="9"/>
  <c r="B304" i="9"/>
  <c r="AG303" i="9"/>
  <c r="AE303" i="9"/>
  <c r="AD303" i="9"/>
  <c r="AC303" i="9"/>
  <c r="Y303" i="9"/>
  <c r="X303" i="9"/>
  <c r="U303" i="9"/>
  <c r="T303" i="9"/>
  <c r="S303" i="9"/>
  <c r="R303" i="9"/>
  <c r="P303" i="9"/>
  <c r="N303" i="9"/>
  <c r="M303" i="9"/>
  <c r="L303" i="9"/>
  <c r="I303" i="9"/>
  <c r="AK303" i="9" s="1"/>
  <c r="H303" i="9"/>
  <c r="E303" i="9"/>
  <c r="C303" i="9"/>
  <c r="B303" i="9"/>
  <c r="AK302" i="9"/>
  <c r="AI302" i="9"/>
  <c r="AH302" i="9"/>
  <c r="AG302" i="9"/>
  <c r="AD302" i="9"/>
  <c r="AC302" i="9"/>
  <c r="AA302" i="9"/>
  <c r="AB302" i="9" s="1"/>
  <c r="Z302" i="9"/>
  <c r="Y302" i="9"/>
  <c r="W302" i="9"/>
  <c r="V302" i="9"/>
  <c r="U302" i="9"/>
  <c r="R302" i="9"/>
  <c r="Q302" i="9"/>
  <c r="P302" i="9"/>
  <c r="O302" i="9"/>
  <c r="N302" i="9"/>
  <c r="M302" i="9"/>
  <c r="K302" i="9"/>
  <c r="J302" i="9"/>
  <c r="I302" i="9"/>
  <c r="H302" i="9"/>
  <c r="AE302" i="9" s="1"/>
  <c r="E302" i="9"/>
  <c r="C302" i="9"/>
  <c r="B302" i="9"/>
  <c r="AI301" i="9"/>
  <c r="AF301" i="9"/>
  <c r="AD301" i="9"/>
  <c r="X301" i="9"/>
  <c r="W301" i="9"/>
  <c r="N301" i="9"/>
  <c r="L301" i="9"/>
  <c r="H301" i="9"/>
  <c r="Y301" i="9" s="1"/>
  <c r="E301" i="9"/>
  <c r="C301" i="9"/>
  <c r="B301" i="9"/>
  <c r="AJ300" i="9"/>
  <c r="AI300" i="9"/>
  <c r="AH300" i="9"/>
  <c r="AG300" i="9"/>
  <c r="AF300" i="9"/>
  <c r="AE300" i="9"/>
  <c r="AC300" i="9"/>
  <c r="AB300" i="9"/>
  <c r="AA300" i="9"/>
  <c r="X300" i="9"/>
  <c r="V300" i="9"/>
  <c r="U300" i="9"/>
  <c r="T300" i="9"/>
  <c r="S300" i="9"/>
  <c r="Q300" i="9"/>
  <c r="P300" i="9"/>
  <c r="O300" i="9"/>
  <c r="L300" i="9"/>
  <c r="K300" i="9"/>
  <c r="J300" i="9"/>
  <c r="I300" i="9"/>
  <c r="AK300" i="9" s="1"/>
  <c r="H300" i="9"/>
  <c r="E300" i="9"/>
  <c r="C300" i="9"/>
  <c r="B300" i="9"/>
  <c r="AE299" i="9"/>
  <c r="Y299" i="9"/>
  <c r="X299" i="9"/>
  <c r="U299" i="9"/>
  <c r="S299" i="9"/>
  <c r="R299" i="9"/>
  <c r="H299" i="9"/>
  <c r="E299" i="9"/>
  <c r="C299" i="9"/>
  <c r="B299" i="9"/>
  <c r="AI298" i="9"/>
  <c r="AH298" i="9"/>
  <c r="AG298" i="9"/>
  <c r="AD298" i="9"/>
  <c r="AC298" i="9"/>
  <c r="AB298" i="9"/>
  <c r="AA298" i="9"/>
  <c r="Z298" i="9"/>
  <c r="Y298" i="9"/>
  <c r="W298" i="9"/>
  <c r="V298" i="9"/>
  <c r="U298" i="9"/>
  <c r="R298" i="9"/>
  <c r="Q298" i="9"/>
  <c r="P298" i="9"/>
  <c r="O298" i="9"/>
  <c r="N298" i="9"/>
  <c r="M298" i="9"/>
  <c r="K298" i="9"/>
  <c r="J298" i="9"/>
  <c r="I298" i="9"/>
  <c r="AK298" i="9" s="1"/>
  <c r="H298" i="9"/>
  <c r="AE298" i="9" s="1"/>
  <c r="E298" i="9"/>
  <c r="C298" i="9"/>
  <c r="B298" i="9"/>
  <c r="AJ297" i="9"/>
  <c r="AI297" i="9"/>
  <c r="Y297" i="9"/>
  <c r="X297" i="9"/>
  <c r="W297" i="9"/>
  <c r="V297" i="9"/>
  <c r="T297" i="9"/>
  <c r="S297" i="9"/>
  <c r="O297" i="9"/>
  <c r="K297" i="9"/>
  <c r="H297" i="9"/>
  <c r="Z297" i="9" s="1"/>
  <c r="E297" i="9"/>
  <c r="C297" i="9"/>
  <c r="B297" i="9"/>
  <c r="AJ296" i="9"/>
  <c r="AI296" i="9"/>
  <c r="AH296" i="9"/>
  <c r="AF296" i="9"/>
  <c r="AA296" i="9"/>
  <c r="X296" i="9"/>
  <c r="W296" i="9"/>
  <c r="V296" i="9"/>
  <c r="U296" i="9"/>
  <c r="T296" i="9"/>
  <c r="S296" i="9"/>
  <c r="P296" i="9"/>
  <c r="O296" i="9"/>
  <c r="J296" i="9"/>
  <c r="I296" i="9"/>
  <c r="AK296" i="9" s="1"/>
  <c r="H296" i="9"/>
  <c r="E296" i="9"/>
  <c r="C296" i="9"/>
  <c r="B296" i="9"/>
  <c r="AG295" i="9"/>
  <c r="AF295" i="9"/>
  <c r="AE295" i="9"/>
  <c r="AD295" i="9"/>
  <c r="AC295" i="9"/>
  <c r="AB295" i="9"/>
  <c r="Z295" i="9"/>
  <c r="Y295" i="9"/>
  <c r="X295" i="9"/>
  <c r="V295" i="9"/>
  <c r="U295" i="9"/>
  <c r="S295" i="9"/>
  <c r="R295" i="9"/>
  <c r="Q295" i="9"/>
  <c r="P295" i="9"/>
  <c r="O295" i="9"/>
  <c r="N295" i="9"/>
  <c r="M295" i="9"/>
  <c r="L295" i="9"/>
  <c r="K295" i="9"/>
  <c r="J295" i="9"/>
  <c r="I295" i="9"/>
  <c r="AK295" i="9" s="1"/>
  <c r="H295" i="9"/>
  <c r="E295" i="9"/>
  <c r="C295" i="9"/>
  <c r="B295" i="9"/>
  <c r="AH294" i="9"/>
  <c r="AG294" i="9"/>
  <c r="AF294" i="9"/>
  <c r="AE294" i="9"/>
  <c r="AB294" i="9"/>
  <c r="AA294" i="9"/>
  <c r="U294" i="9"/>
  <c r="T294" i="9"/>
  <c r="S294" i="9"/>
  <c r="R294" i="9"/>
  <c r="P294" i="9"/>
  <c r="O294" i="9"/>
  <c r="M294" i="9"/>
  <c r="L294" i="9"/>
  <c r="H294" i="9"/>
  <c r="X294" i="9" s="1"/>
  <c r="E294" i="9"/>
  <c r="C294" i="9"/>
  <c r="B294" i="9"/>
  <c r="AF293" i="9"/>
  <c r="AC293" i="9"/>
  <c r="U293" i="9"/>
  <c r="O293" i="9"/>
  <c r="M293" i="9"/>
  <c r="H293" i="9"/>
  <c r="E293" i="9"/>
  <c r="C293" i="9"/>
  <c r="B293" i="9"/>
  <c r="AG292" i="9"/>
  <c r="AF292" i="9"/>
  <c r="AA292" i="9"/>
  <c r="AB292" i="9" s="1"/>
  <c r="V292" i="9"/>
  <c r="U292" i="9"/>
  <c r="R292" i="9"/>
  <c r="Q292" i="9"/>
  <c r="M292" i="9"/>
  <c r="I292" i="9"/>
  <c r="AK292" i="9" s="1"/>
  <c r="H292" i="9"/>
  <c r="AH292" i="9" s="1"/>
  <c r="E292" i="9"/>
  <c r="C292" i="9"/>
  <c r="B292" i="9"/>
  <c r="AI291" i="9"/>
  <c r="AJ291" i="9" s="1"/>
  <c r="AH291" i="9"/>
  <c r="AG291" i="9"/>
  <c r="AE291" i="9"/>
  <c r="AD291" i="9"/>
  <c r="AC291" i="9"/>
  <c r="AA291" i="9"/>
  <c r="AB291" i="9" s="1"/>
  <c r="Z291" i="9"/>
  <c r="Y291" i="9"/>
  <c r="X291" i="9"/>
  <c r="W291" i="9"/>
  <c r="V291" i="9"/>
  <c r="U291" i="9"/>
  <c r="S291" i="9"/>
  <c r="R291" i="9"/>
  <c r="Q291" i="9"/>
  <c r="P291" i="9"/>
  <c r="O291" i="9"/>
  <c r="N291" i="9"/>
  <c r="M291" i="9"/>
  <c r="L291" i="9"/>
  <c r="K291" i="9"/>
  <c r="J291" i="9"/>
  <c r="I291" i="9"/>
  <c r="AK291" i="9" s="1"/>
  <c r="H291" i="9"/>
  <c r="AF291" i="9" s="1"/>
  <c r="E291" i="9"/>
  <c r="C291" i="9"/>
  <c r="B291" i="9"/>
  <c r="AI290" i="9"/>
  <c r="AH290" i="9"/>
  <c r="AG290" i="9"/>
  <c r="AF290" i="9"/>
  <c r="AE290" i="9"/>
  <c r="AD290" i="9"/>
  <c r="AA290" i="9"/>
  <c r="AB290" i="9" s="1"/>
  <c r="X290" i="9"/>
  <c r="W290" i="9"/>
  <c r="U290" i="9"/>
  <c r="S290" i="9"/>
  <c r="T290" i="9" s="1"/>
  <c r="R290" i="9"/>
  <c r="P290" i="9"/>
  <c r="O290" i="9"/>
  <c r="N290" i="9"/>
  <c r="L290" i="9"/>
  <c r="J290" i="9"/>
  <c r="I290" i="9"/>
  <c r="AK290" i="9" s="1"/>
  <c r="H290" i="9"/>
  <c r="Y290" i="9" s="1"/>
  <c r="E290" i="9"/>
  <c r="C290" i="9"/>
  <c r="B290" i="9"/>
  <c r="AI289" i="9"/>
  <c r="AJ289" i="9" s="1"/>
  <c r="AG289" i="9"/>
  <c r="AF289" i="9"/>
  <c r="AE289" i="9"/>
  <c r="AD289" i="9"/>
  <c r="AC289" i="9"/>
  <c r="AA289" i="9"/>
  <c r="AB289" i="9" s="1"/>
  <c r="Y289" i="9"/>
  <c r="X289" i="9"/>
  <c r="W289" i="9"/>
  <c r="V289" i="9"/>
  <c r="T289" i="9"/>
  <c r="S289" i="9"/>
  <c r="R289" i="9"/>
  <c r="Q289" i="9"/>
  <c r="P289" i="9"/>
  <c r="O289" i="9"/>
  <c r="M289" i="9"/>
  <c r="L289" i="9"/>
  <c r="K289" i="9"/>
  <c r="J289" i="9"/>
  <c r="I289" i="9"/>
  <c r="AK289" i="9" s="1"/>
  <c r="H289" i="9"/>
  <c r="E289" i="9"/>
  <c r="C289" i="9"/>
  <c r="B289" i="9"/>
  <c r="AJ288" i="9"/>
  <c r="AH288" i="9"/>
  <c r="AG288" i="9"/>
  <c r="AF288" i="9"/>
  <c r="AE288" i="9"/>
  <c r="AD288" i="9"/>
  <c r="AC288" i="9"/>
  <c r="AA288" i="9"/>
  <c r="Z288" i="9"/>
  <c r="Y288" i="9"/>
  <c r="X288" i="9"/>
  <c r="U288" i="9"/>
  <c r="T288" i="9"/>
  <c r="S288" i="9"/>
  <c r="R288" i="9"/>
  <c r="Q288" i="9"/>
  <c r="P288" i="9"/>
  <c r="N288" i="9"/>
  <c r="M288" i="9"/>
  <c r="L288" i="9"/>
  <c r="J288" i="9"/>
  <c r="I288" i="9"/>
  <c r="AK288" i="9" s="1"/>
  <c r="H288" i="9"/>
  <c r="E288" i="9"/>
  <c r="C288" i="9"/>
  <c r="B288" i="9"/>
  <c r="AK287" i="9"/>
  <c r="AJ287" i="9"/>
  <c r="AI287" i="9"/>
  <c r="AH287" i="9"/>
  <c r="AG287" i="9"/>
  <c r="AE287" i="9"/>
  <c r="AD287" i="9"/>
  <c r="AC287" i="9"/>
  <c r="AB287" i="9"/>
  <c r="AA287" i="9"/>
  <c r="Z287" i="9"/>
  <c r="Y287" i="9"/>
  <c r="X287" i="9"/>
  <c r="W287" i="9"/>
  <c r="V287" i="9"/>
  <c r="U287" i="9"/>
  <c r="S287" i="9"/>
  <c r="R287" i="9"/>
  <c r="Q287" i="9"/>
  <c r="P287" i="9"/>
  <c r="O287" i="9"/>
  <c r="N287" i="9"/>
  <c r="M287" i="9"/>
  <c r="L287" i="9"/>
  <c r="K287" i="9"/>
  <c r="J287" i="9"/>
  <c r="I287" i="9"/>
  <c r="H287" i="9"/>
  <c r="AF287" i="9" s="1"/>
  <c r="E287" i="9"/>
  <c r="C287" i="9"/>
  <c r="B287" i="9"/>
  <c r="AI286" i="9"/>
  <c r="AH286" i="9"/>
  <c r="AG286" i="9"/>
  <c r="AF286" i="9"/>
  <c r="AE286" i="9"/>
  <c r="AA286" i="9"/>
  <c r="AB286" i="9" s="1"/>
  <c r="Z286" i="9"/>
  <c r="Y286" i="9"/>
  <c r="X286" i="9"/>
  <c r="W286" i="9"/>
  <c r="U286" i="9"/>
  <c r="T286" i="9"/>
  <c r="S286" i="9"/>
  <c r="R286" i="9"/>
  <c r="O286" i="9"/>
  <c r="N286" i="9"/>
  <c r="M286" i="9"/>
  <c r="L286" i="9"/>
  <c r="K286" i="9"/>
  <c r="J286" i="9"/>
  <c r="I286" i="9"/>
  <c r="AK286" i="9" s="1"/>
  <c r="H286" i="9"/>
  <c r="E286" i="9"/>
  <c r="C286" i="9"/>
  <c r="B286" i="9"/>
  <c r="AJ285" i="9"/>
  <c r="AI285" i="9"/>
  <c r="AG285" i="9"/>
  <c r="AF285" i="9"/>
  <c r="AE285" i="9"/>
  <c r="AD285" i="9"/>
  <c r="AC285" i="9"/>
  <c r="U285" i="9"/>
  <c r="S285" i="9"/>
  <c r="T285" i="9" s="1"/>
  <c r="Q285" i="9"/>
  <c r="P285" i="9"/>
  <c r="O285" i="9"/>
  <c r="L285" i="9"/>
  <c r="J285" i="9"/>
  <c r="H285" i="9"/>
  <c r="E285" i="9"/>
  <c r="C285" i="9"/>
  <c r="B285" i="9"/>
  <c r="AG284" i="9"/>
  <c r="AD284" i="9"/>
  <c r="AC284" i="9"/>
  <c r="AA284" i="9"/>
  <c r="Z284" i="9"/>
  <c r="U284" i="9"/>
  <c r="S284" i="9"/>
  <c r="T284" i="9" s="1"/>
  <c r="O284" i="9"/>
  <c r="M284" i="9"/>
  <c r="L284" i="9"/>
  <c r="J284" i="9"/>
  <c r="I284" i="9"/>
  <c r="AK284" i="9" s="1"/>
  <c r="H284" i="9"/>
  <c r="E284" i="9"/>
  <c r="C284" i="9"/>
  <c r="B284" i="9"/>
  <c r="AI283" i="9"/>
  <c r="AJ283" i="9" s="1"/>
  <c r="AH283" i="9"/>
  <c r="AG283" i="9"/>
  <c r="AE283" i="9"/>
  <c r="AD283" i="9"/>
  <c r="AC283" i="9"/>
  <c r="AB283" i="9"/>
  <c r="AA283" i="9"/>
  <c r="Z283" i="9"/>
  <c r="Y283" i="9"/>
  <c r="X283" i="9"/>
  <c r="W283" i="9"/>
  <c r="V283" i="9"/>
  <c r="U283" i="9"/>
  <c r="S283" i="9"/>
  <c r="R283" i="9"/>
  <c r="Q283" i="9"/>
  <c r="P283" i="9"/>
  <c r="O283" i="9"/>
  <c r="N283" i="9"/>
  <c r="M283" i="9"/>
  <c r="L283" i="9"/>
  <c r="K283" i="9"/>
  <c r="J283" i="9"/>
  <c r="I283" i="9"/>
  <c r="AK283" i="9" s="1"/>
  <c r="H283" i="9"/>
  <c r="AF283" i="9" s="1"/>
  <c r="E283" i="9"/>
  <c r="C283" i="9"/>
  <c r="B283" i="9"/>
  <c r="AA282" i="9"/>
  <c r="Y282" i="9"/>
  <c r="I282" i="9"/>
  <c r="AK282" i="9" s="1"/>
  <c r="H282" i="9"/>
  <c r="AB282" i="9" s="1"/>
  <c r="E282" i="9"/>
  <c r="C282" i="9"/>
  <c r="B282" i="9"/>
  <c r="AG281" i="9"/>
  <c r="AD281" i="9"/>
  <c r="AA281" i="9"/>
  <c r="Y281" i="9"/>
  <c r="R281" i="9"/>
  <c r="Q281" i="9"/>
  <c r="M281" i="9"/>
  <c r="L281" i="9"/>
  <c r="K281" i="9"/>
  <c r="J281" i="9"/>
  <c r="H281" i="9"/>
  <c r="AC281" i="9" s="1"/>
  <c r="E281" i="9"/>
  <c r="C281" i="9"/>
  <c r="B281" i="9"/>
  <c r="AK280" i="9"/>
  <c r="AG280" i="9"/>
  <c r="AF280" i="9"/>
  <c r="AE280" i="9"/>
  <c r="AD280" i="9"/>
  <c r="AC280" i="9"/>
  <c r="AA280" i="9"/>
  <c r="AB280" i="9" s="1"/>
  <c r="Z280" i="9"/>
  <c r="Y280" i="9"/>
  <c r="X280" i="9"/>
  <c r="V280" i="9"/>
  <c r="T280" i="9"/>
  <c r="S280" i="9"/>
  <c r="R280" i="9"/>
  <c r="Q280" i="9"/>
  <c r="P280" i="9"/>
  <c r="O280" i="9"/>
  <c r="N280" i="9"/>
  <c r="M280" i="9"/>
  <c r="L280" i="9"/>
  <c r="J280" i="9"/>
  <c r="I280" i="9"/>
  <c r="H280" i="9"/>
  <c r="E280" i="9"/>
  <c r="C280" i="9"/>
  <c r="B280" i="9"/>
  <c r="AJ279" i="9"/>
  <c r="AI279" i="9"/>
  <c r="AH279" i="9"/>
  <c r="AG279" i="9"/>
  <c r="AE279" i="9"/>
  <c r="AD279" i="9"/>
  <c r="AC279" i="9"/>
  <c r="AB279" i="9"/>
  <c r="AA279" i="9"/>
  <c r="Z279" i="9"/>
  <c r="Y279" i="9"/>
  <c r="X279" i="9"/>
  <c r="W279" i="9"/>
  <c r="V279" i="9"/>
  <c r="U279" i="9"/>
  <c r="S279" i="9"/>
  <c r="R279" i="9"/>
  <c r="Q279" i="9"/>
  <c r="P279" i="9"/>
  <c r="O279" i="9"/>
  <c r="N279" i="9"/>
  <c r="M279" i="9"/>
  <c r="L279" i="9"/>
  <c r="K279" i="9"/>
  <c r="J279" i="9"/>
  <c r="I279" i="9"/>
  <c r="AK279" i="9" s="1"/>
  <c r="H279" i="9"/>
  <c r="AF279" i="9" s="1"/>
  <c r="E279" i="9"/>
  <c r="C279" i="9"/>
  <c r="B279" i="9"/>
  <c r="AH278" i="9"/>
  <c r="AF278" i="9"/>
  <c r="Z278" i="9"/>
  <c r="Y278" i="9"/>
  <c r="X278" i="9"/>
  <c r="S278" i="9"/>
  <c r="R278" i="9"/>
  <c r="P278" i="9"/>
  <c r="L278" i="9"/>
  <c r="I278" i="9"/>
  <c r="AK278" i="9" s="1"/>
  <c r="H278" i="9"/>
  <c r="E278" i="9"/>
  <c r="C278" i="9"/>
  <c r="B278" i="9"/>
  <c r="AJ277" i="9"/>
  <c r="AI277" i="9"/>
  <c r="AF277" i="9"/>
  <c r="AC277" i="9"/>
  <c r="AA277" i="9"/>
  <c r="V277" i="9"/>
  <c r="T277" i="9"/>
  <c r="P277" i="9"/>
  <c r="O277" i="9"/>
  <c r="N277" i="9"/>
  <c r="M277" i="9"/>
  <c r="L277" i="9"/>
  <c r="H277" i="9"/>
  <c r="AB277" i="9" s="1"/>
  <c r="E277" i="9"/>
  <c r="C277" i="9"/>
  <c r="B277" i="9"/>
  <c r="AI276" i="9"/>
  <c r="Y276" i="9"/>
  <c r="L276" i="9"/>
  <c r="H276" i="9"/>
  <c r="W276" i="9" s="1"/>
  <c r="E276" i="9"/>
  <c r="C276" i="9"/>
  <c r="B276" i="9"/>
  <c r="AF275" i="9"/>
  <c r="AE275" i="9"/>
  <c r="AD275" i="9"/>
  <c r="AC275" i="9"/>
  <c r="AB275" i="9"/>
  <c r="AA275" i="9"/>
  <c r="Z275" i="9"/>
  <c r="Y275" i="9"/>
  <c r="W275" i="9"/>
  <c r="R275" i="9"/>
  <c r="Q275" i="9"/>
  <c r="P275" i="9"/>
  <c r="O275" i="9"/>
  <c r="N275" i="9"/>
  <c r="M275" i="9"/>
  <c r="K275" i="9"/>
  <c r="J275" i="9"/>
  <c r="I275" i="9"/>
  <c r="AK275" i="9" s="1"/>
  <c r="H275" i="9"/>
  <c r="E275" i="9"/>
  <c r="C275" i="9"/>
  <c r="B275" i="9"/>
  <c r="AH274" i="9"/>
  <c r="X274" i="9"/>
  <c r="W274" i="9"/>
  <c r="V274" i="9"/>
  <c r="S274" i="9"/>
  <c r="R274" i="9"/>
  <c r="Q274" i="9"/>
  <c r="O274" i="9"/>
  <c r="H274" i="9"/>
  <c r="AD274" i="9" s="1"/>
  <c r="E274" i="9"/>
  <c r="C274" i="9"/>
  <c r="B274" i="9"/>
  <c r="AI273" i="9"/>
  <c r="AJ273" i="9" s="1"/>
  <c r="AG273" i="9"/>
  <c r="AF273" i="9"/>
  <c r="AE273" i="9"/>
  <c r="AC273" i="9"/>
  <c r="AA273" i="9"/>
  <c r="AB273" i="9" s="1"/>
  <c r="Z273" i="9"/>
  <c r="Y273" i="9"/>
  <c r="X273" i="9"/>
  <c r="W273" i="9"/>
  <c r="V273" i="9"/>
  <c r="S273" i="9"/>
  <c r="T273" i="9" s="1"/>
  <c r="Q273" i="9"/>
  <c r="P273" i="9"/>
  <c r="O273" i="9"/>
  <c r="N273" i="9"/>
  <c r="M273" i="9"/>
  <c r="L273" i="9"/>
  <c r="K273" i="9"/>
  <c r="J273" i="9"/>
  <c r="I273" i="9"/>
  <c r="AK273" i="9" s="1"/>
  <c r="H273" i="9"/>
  <c r="E273" i="9"/>
  <c r="C273" i="9"/>
  <c r="B273" i="9"/>
  <c r="AI272" i="9"/>
  <c r="AH272" i="9"/>
  <c r="AG272" i="9"/>
  <c r="AF272" i="9"/>
  <c r="AE272" i="9"/>
  <c r="AD272" i="9"/>
  <c r="AB272" i="9"/>
  <c r="Z272" i="9"/>
  <c r="Y272" i="9"/>
  <c r="X272" i="9"/>
  <c r="W272" i="9"/>
  <c r="U272" i="9"/>
  <c r="T272" i="9"/>
  <c r="S272" i="9"/>
  <c r="R272" i="9"/>
  <c r="Q272" i="9"/>
  <c r="N272" i="9"/>
  <c r="M272" i="9"/>
  <c r="L272" i="9"/>
  <c r="K272" i="9"/>
  <c r="J272" i="9"/>
  <c r="I272" i="9"/>
  <c r="AK272" i="9" s="1"/>
  <c r="H272" i="9"/>
  <c r="E272" i="9"/>
  <c r="C272" i="9"/>
  <c r="B272" i="9"/>
  <c r="AE271" i="9"/>
  <c r="Y271" i="9"/>
  <c r="W271" i="9"/>
  <c r="O271" i="9"/>
  <c r="H271" i="9"/>
  <c r="U271" i="9" s="1"/>
  <c r="E271" i="9"/>
  <c r="C271" i="9"/>
  <c r="B271" i="9"/>
  <c r="X270" i="9"/>
  <c r="W270" i="9"/>
  <c r="L270" i="9"/>
  <c r="H270" i="9"/>
  <c r="V270" i="9" s="1"/>
  <c r="E270" i="9"/>
  <c r="C270" i="9"/>
  <c r="B270" i="9"/>
  <c r="AH269" i="9"/>
  <c r="AG269" i="9"/>
  <c r="AF269" i="9"/>
  <c r="AE269" i="9"/>
  <c r="AC269" i="9"/>
  <c r="AB269" i="9"/>
  <c r="AA269" i="9"/>
  <c r="Z269" i="9"/>
  <c r="Y269" i="9"/>
  <c r="X269" i="9"/>
  <c r="T269" i="9"/>
  <c r="S269" i="9"/>
  <c r="Q269" i="9"/>
  <c r="P269" i="9"/>
  <c r="O269" i="9"/>
  <c r="N269" i="9"/>
  <c r="M269" i="9"/>
  <c r="L269" i="9"/>
  <c r="K269" i="9"/>
  <c r="I269" i="9"/>
  <c r="AK269" i="9" s="1"/>
  <c r="H269" i="9"/>
  <c r="AI269" i="9" s="1"/>
  <c r="E269" i="9"/>
  <c r="C269" i="9"/>
  <c r="B269" i="9"/>
  <c r="N268" i="9"/>
  <c r="H268" i="9"/>
  <c r="E268" i="9"/>
  <c r="C268" i="9"/>
  <c r="B268" i="9"/>
  <c r="AD267" i="9"/>
  <c r="Z267" i="9"/>
  <c r="W267" i="9"/>
  <c r="N267" i="9"/>
  <c r="H267" i="9"/>
  <c r="E267" i="9"/>
  <c r="C267" i="9"/>
  <c r="B267" i="9"/>
  <c r="AI266" i="9"/>
  <c r="AJ266" i="9" s="1"/>
  <c r="AH266" i="9"/>
  <c r="AF266" i="9"/>
  <c r="AD266" i="9"/>
  <c r="AC266" i="9"/>
  <c r="AA266" i="9"/>
  <c r="AB266" i="9" s="1"/>
  <c r="Z266" i="9"/>
  <c r="Y266" i="9"/>
  <c r="X266" i="9"/>
  <c r="V266" i="9"/>
  <c r="S266" i="9"/>
  <c r="T266" i="9" s="1"/>
  <c r="Q266" i="9"/>
  <c r="P266" i="9"/>
  <c r="O266" i="9"/>
  <c r="N266" i="9"/>
  <c r="M266" i="9"/>
  <c r="L266" i="9"/>
  <c r="K266" i="9"/>
  <c r="J266" i="9"/>
  <c r="H266" i="9"/>
  <c r="E266" i="9"/>
  <c r="C266" i="9"/>
  <c r="B266" i="9"/>
  <c r="AI265" i="9"/>
  <c r="AH265" i="9"/>
  <c r="AG265" i="9"/>
  <c r="AF265" i="9"/>
  <c r="AE265" i="9"/>
  <c r="AA265" i="9"/>
  <c r="V265" i="9"/>
  <c r="U265" i="9"/>
  <c r="S265" i="9"/>
  <c r="Q265" i="9"/>
  <c r="P265" i="9"/>
  <c r="M265" i="9"/>
  <c r="K265" i="9"/>
  <c r="J265" i="9"/>
  <c r="H265" i="9"/>
  <c r="W265" i="9" s="1"/>
  <c r="E265" i="9"/>
  <c r="C265" i="9"/>
  <c r="B265" i="9"/>
  <c r="AF264" i="9"/>
  <c r="AE264" i="9"/>
  <c r="AD264" i="9"/>
  <c r="AC264" i="9"/>
  <c r="Z264" i="9"/>
  <c r="Y264" i="9"/>
  <c r="W264" i="9"/>
  <c r="V264" i="9"/>
  <c r="R264" i="9"/>
  <c r="Q264" i="9"/>
  <c r="P264" i="9"/>
  <c r="N264" i="9"/>
  <c r="M264" i="9"/>
  <c r="L264" i="9"/>
  <c r="K264" i="9"/>
  <c r="J264" i="9"/>
  <c r="I264" i="9"/>
  <c r="AK264" i="9" s="1"/>
  <c r="H264" i="9"/>
  <c r="E264" i="9"/>
  <c r="C264" i="9"/>
  <c r="B264" i="9"/>
  <c r="AI263" i="9"/>
  <c r="AH263" i="9"/>
  <c r="AG263" i="9"/>
  <c r="AF263" i="9"/>
  <c r="AE263" i="9"/>
  <c r="S263" i="9"/>
  <c r="T263" i="9" s="1"/>
  <c r="R263" i="9"/>
  <c r="Q263" i="9"/>
  <c r="P263" i="9"/>
  <c r="O263" i="9"/>
  <c r="H263" i="9"/>
  <c r="V263" i="9" s="1"/>
  <c r="E263" i="9"/>
  <c r="C263" i="9"/>
  <c r="B263" i="9"/>
  <c r="AK262" i="9"/>
  <c r="AJ262" i="9"/>
  <c r="AH262" i="9"/>
  <c r="AG262" i="9"/>
  <c r="AD262" i="9"/>
  <c r="AB262" i="9"/>
  <c r="Z262" i="9"/>
  <c r="Y262" i="9"/>
  <c r="V262" i="9"/>
  <c r="U262" i="9"/>
  <c r="T262" i="9"/>
  <c r="Q262" i="9"/>
  <c r="P262" i="9"/>
  <c r="O262" i="9"/>
  <c r="M262" i="9"/>
  <c r="J262" i="9"/>
  <c r="I262" i="9"/>
  <c r="H262" i="9"/>
  <c r="AC262" i="9" s="1"/>
  <c r="E262" i="9"/>
  <c r="C262" i="9"/>
  <c r="B262" i="9"/>
  <c r="AJ261" i="9"/>
  <c r="AI261" i="9"/>
  <c r="AH261" i="9"/>
  <c r="AG261" i="9"/>
  <c r="AE261" i="9"/>
  <c r="AD261" i="9"/>
  <c r="AC261" i="9"/>
  <c r="AB261" i="9"/>
  <c r="AA261" i="9"/>
  <c r="Z261" i="9"/>
  <c r="Y261" i="9"/>
  <c r="X261" i="9"/>
  <c r="W261" i="9"/>
  <c r="V261" i="9"/>
  <c r="U261" i="9"/>
  <c r="S261" i="9"/>
  <c r="R261" i="9"/>
  <c r="Q261" i="9"/>
  <c r="P261" i="9"/>
  <c r="O261" i="9"/>
  <c r="N261" i="9"/>
  <c r="M261" i="9"/>
  <c r="L261" i="9"/>
  <c r="K261" i="9"/>
  <c r="J261" i="9"/>
  <c r="I261" i="9"/>
  <c r="AK261" i="9" s="1"/>
  <c r="H261" i="9"/>
  <c r="AF261" i="9" s="1"/>
  <c r="E261" i="9"/>
  <c r="C261" i="9"/>
  <c r="B261" i="9"/>
  <c r="AK260" i="9"/>
  <c r="AJ260" i="9"/>
  <c r="AI260" i="9"/>
  <c r="AF260" i="9"/>
  <c r="AE260" i="9"/>
  <c r="AD260" i="9"/>
  <c r="AB260" i="9"/>
  <c r="AA260" i="9"/>
  <c r="Z260" i="9"/>
  <c r="Y260" i="9"/>
  <c r="X260" i="9"/>
  <c r="W260" i="9"/>
  <c r="V260" i="9"/>
  <c r="S260" i="9"/>
  <c r="R260" i="9"/>
  <c r="P260" i="9"/>
  <c r="O260" i="9"/>
  <c r="N260" i="9"/>
  <c r="M260" i="9"/>
  <c r="L260" i="9"/>
  <c r="K260" i="9"/>
  <c r="J260" i="9"/>
  <c r="I260" i="9"/>
  <c r="H260" i="9"/>
  <c r="AG260" i="9" s="1"/>
  <c r="E260" i="9"/>
  <c r="C260" i="9"/>
  <c r="B260" i="9"/>
  <c r="AH259" i="9"/>
  <c r="AG259" i="9"/>
  <c r="R259" i="9"/>
  <c r="H259" i="9"/>
  <c r="E259" i="9"/>
  <c r="C259" i="9"/>
  <c r="B259" i="9"/>
  <c r="AK258" i="9"/>
  <c r="AJ258" i="9"/>
  <c r="AG258" i="9"/>
  <c r="AF258" i="9"/>
  <c r="AE258" i="9"/>
  <c r="AD258" i="9"/>
  <c r="AC258" i="9"/>
  <c r="AB258" i="9"/>
  <c r="AA258" i="9"/>
  <c r="Z258" i="9"/>
  <c r="Y258" i="9"/>
  <c r="X258" i="9"/>
  <c r="V258" i="9"/>
  <c r="T258" i="9"/>
  <c r="S258" i="9"/>
  <c r="R258" i="9"/>
  <c r="Q258" i="9"/>
  <c r="P258" i="9"/>
  <c r="O258" i="9"/>
  <c r="N258" i="9"/>
  <c r="M258" i="9"/>
  <c r="L258" i="9"/>
  <c r="J258" i="9"/>
  <c r="I258" i="9"/>
  <c r="H258" i="9"/>
  <c r="E258" i="9"/>
  <c r="C258" i="9"/>
  <c r="B258" i="9"/>
  <c r="AJ257" i="9"/>
  <c r="AI257" i="9"/>
  <c r="AH257" i="9"/>
  <c r="AG257" i="9"/>
  <c r="AE257" i="9"/>
  <c r="AD257" i="9"/>
  <c r="AC257" i="9"/>
  <c r="AB257" i="9"/>
  <c r="AA257" i="9"/>
  <c r="Z257" i="9"/>
  <c r="Y257" i="9"/>
  <c r="X257" i="9"/>
  <c r="W257" i="9"/>
  <c r="V257" i="9"/>
  <c r="U257" i="9"/>
  <c r="S257" i="9"/>
  <c r="R257" i="9"/>
  <c r="Q257" i="9"/>
  <c r="P257" i="9"/>
  <c r="O257" i="9"/>
  <c r="N257" i="9"/>
  <c r="M257" i="9"/>
  <c r="L257" i="9"/>
  <c r="K257" i="9"/>
  <c r="J257" i="9"/>
  <c r="I257" i="9"/>
  <c r="AK257" i="9" s="1"/>
  <c r="H257" i="9"/>
  <c r="AF257" i="9" s="1"/>
  <c r="E257" i="9"/>
  <c r="C257" i="9"/>
  <c r="B257" i="9"/>
  <c r="H256" i="9"/>
  <c r="E256" i="9"/>
  <c r="C256" i="9"/>
  <c r="B256" i="9"/>
  <c r="AJ255" i="9"/>
  <c r="AA255" i="9"/>
  <c r="X255" i="9"/>
  <c r="V255" i="9"/>
  <c r="K255" i="9"/>
  <c r="J255" i="9"/>
  <c r="H255" i="9"/>
  <c r="E255" i="9"/>
  <c r="C255" i="9"/>
  <c r="B255" i="9"/>
  <c r="AH254" i="9"/>
  <c r="AG254" i="9"/>
  <c r="AE254" i="9"/>
  <c r="AD254" i="9"/>
  <c r="AC254" i="9"/>
  <c r="AB254" i="9"/>
  <c r="AA254" i="9"/>
  <c r="Z254" i="9"/>
  <c r="T254" i="9"/>
  <c r="S254" i="9"/>
  <c r="Q254" i="9"/>
  <c r="P254" i="9"/>
  <c r="O254" i="9"/>
  <c r="N254" i="9"/>
  <c r="M254" i="9"/>
  <c r="J254" i="9"/>
  <c r="H254" i="9"/>
  <c r="AJ254" i="9" s="1"/>
  <c r="E254" i="9"/>
  <c r="C254" i="9"/>
  <c r="B254" i="9"/>
  <c r="AI253" i="9"/>
  <c r="AJ253" i="9" s="1"/>
  <c r="AH253" i="9"/>
  <c r="AG253" i="9"/>
  <c r="AE253" i="9"/>
  <c r="AD253" i="9"/>
  <c r="AC253" i="9"/>
  <c r="AB253" i="9"/>
  <c r="AA253" i="9"/>
  <c r="Z253" i="9"/>
  <c r="Y253" i="9"/>
  <c r="X253" i="9"/>
  <c r="W253" i="9"/>
  <c r="V253" i="9"/>
  <c r="U253" i="9"/>
  <c r="S253" i="9"/>
  <c r="R253" i="9"/>
  <c r="Q253" i="9"/>
  <c r="P253" i="9"/>
  <c r="O253" i="9"/>
  <c r="N253" i="9"/>
  <c r="M253" i="9"/>
  <c r="L253" i="9"/>
  <c r="K253" i="9"/>
  <c r="J253" i="9"/>
  <c r="I253" i="9"/>
  <c r="AK253" i="9" s="1"/>
  <c r="H253" i="9"/>
  <c r="AF253" i="9" s="1"/>
  <c r="E253" i="9"/>
  <c r="C253" i="9"/>
  <c r="B253" i="9"/>
  <c r="AJ252" i="9"/>
  <c r="AH252" i="9"/>
  <c r="AG252" i="9"/>
  <c r="AF252" i="9"/>
  <c r="AE252" i="9"/>
  <c r="AD252" i="9"/>
  <c r="AB252" i="9"/>
  <c r="AA252" i="9"/>
  <c r="Y252" i="9"/>
  <c r="X252" i="9"/>
  <c r="W252" i="9"/>
  <c r="V252" i="9"/>
  <c r="T252" i="9"/>
  <c r="S252" i="9"/>
  <c r="R252" i="9"/>
  <c r="Q252" i="9"/>
  <c r="P252" i="9"/>
  <c r="O252" i="9"/>
  <c r="M252" i="9"/>
  <c r="L252" i="9"/>
  <c r="K252" i="9"/>
  <c r="J252" i="9"/>
  <c r="I252" i="9"/>
  <c r="AK252" i="9" s="1"/>
  <c r="H252" i="9"/>
  <c r="E252" i="9"/>
  <c r="C252" i="9"/>
  <c r="B252" i="9"/>
  <c r="R251" i="9"/>
  <c r="H251" i="9"/>
  <c r="E251" i="9"/>
  <c r="C251" i="9"/>
  <c r="B251" i="9"/>
  <c r="AJ250" i="9"/>
  <c r="AI250" i="9"/>
  <c r="AH250" i="9"/>
  <c r="AG250" i="9"/>
  <c r="AE250" i="9"/>
  <c r="AD250" i="9"/>
  <c r="AC250" i="9"/>
  <c r="AA250" i="9"/>
  <c r="AB250" i="9" s="1"/>
  <c r="Z250" i="9"/>
  <c r="Y250" i="9"/>
  <c r="X250" i="9"/>
  <c r="W250" i="9"/>
  <c r="V250" i="9"/>
  <c r="U250" i="9"/>
  <c r="S250" i="9"/>
  <c r="R250" i="9"/>
  <c r="Q250" i="9"/>
  <c r="P250" i="9"/>
  <c r="O250" i="9"/>
  <c r="N250" i="9"/>
  <c r="M250" i="9"/>
  <c r="L250" i="9"/>
  <c r="K250" i="9"/>
  <c r="J250" i="9"/>
  <c r="I250" i="9"/>
  <c r="AK250" i="9" s="1"/>
  <c r="H250" i="9"/>
  <c r="AF250" i="9" s="1"/>
  <c r="E250" i="9"/>
  <c r="C250" i="9"/>
  <c r="B250" i="9"/>
  <c r="AI249" i="9"/>
  <c r="AJ249" i="9" s="1"/>
  <c r="AH249" i="9"/>
  <c r="AG249" i="9"/>
  <c r="AA249" i="9"/>
  <c r="X249" i="9"/>
  <c r="W249" i="9"/>
  <c r="V249" i="9"/>
  <c r="U249" i="9"/>
  <c r="O249" i="9"/>
  <c r="N249" i="9"/>
  <c r="L249" i="9"/>
  <c r="K249" i="9"/>
  <c r="I249" i="9"/>
  <c r="AK249" i="9" s="1"/>
  <c r="H249" i="9"/>
  <c r="E249" i="9"/>
  <c r="C249" i="9"/>
  <c r="B249" i="9"/>
  <c r="AJ248" i="9"/>
  <c r="AI248" i="9"/>
  <c r="AG248" i="9"/>
  <c r="AF248" i="9"/>
  <c r="AE248" i="9"/>
  <c r="AD248" i="9"/>
  <c r="AC248" i="9"/>
  <c r="AB248" i="9"/>
  <c r="Y248" i="9"/>
  <c r="W248" i="9"/>
  <c r="V248" i="9"/>
  <c r="T248" i="9"/>
  <c r="S248" i="9"/>
  <c r="R248" i="9"/>
  <c r="Q248" i="9"/>
  <c r="P248" i="9"/>
  <c r="O248" i="9"/>
  <c r="L248" i="9"/>
  <c r="J248" i="9"/>
  <c r="I248" i="9"/>
  <c r="AK248" i="9" s="1"/>
  <c r="H248" i="9"/>
  <c r="AA248" i="9" s="1"/>
  <c r="E248" i="9"/>
  <c r="C248" i="9"/>
  <c r="B248" i="9"/>
  <c r="AH247" i="9"/>
  <c r="AD247" i="9"/>
  <c r="AC247" i="9"/>
  <c r="AA247" i="9"/>
  <c r="Y247" i="9"/>
  <c r="X247" i="9"/>
  <c r="V247" i="9"/>
  <c r="U247" i="9"/>
  <c r="Q247" i="9"/>
  <c r="P247" i="9"/>
  <c r="N247" i="9"/>
  <c r="M247" i="9"/>
  <c r="L247" i="9"/>
  <c r="J247" i="9"/>
  <c r="I247" i="9"/>
  <c r="AK247" i="9" s="1"/>
  <c r="H247" i="9"/>
  <c r="E247" i="9"/>
  <c r="C247" i="9"/>
  <c r="B247" i="9"/>
  <c r="AK246" i="9"/>
  <c r="AJ246" i="9"/>
  <c r="AI246" i="9"/>
  <c r="AH246" i="9"/>
  <c r="AG246" i="9"/>
  <c r="AE246" i="9"/>
  <c r="AD246" i="9"/>
  <c r="AC246" i="9"/>
  <c r="AB246" i="9"/>
  <c r="AA246" i="9"/>
  <c r="Z246" i="9"/>
  <c r="Y246" i="9"/>
  <c r="X246" i="9"/>
  <c r="W246" i="9"/>
  <c r="V246" i="9"/>
  <c r="U246" i="9"/>
  <c r="S246" i="9"/>
  <c r="R246" i="9"/>
  <c r="Q246" i="9"/>
  <c r="P246" i="9"/>
  <c r="O246" i="9"/>
  <c r="N246" i="9"/>
  <c r="M246" i="9"/>
  <c r="L246" i="9"/>
  <c r="K246" i="9"/>
  <c r="J246" i="9"/>
  <c r="I246" i="9"/>
  <c r="H246" i="9"/>
  <c r="AF246" i="9" s="1"/>
  <c r="E246" i="9"/>
  <c r="C246" i="9"/>
  <c r="B246" i="9"/>
  <c r="H245" i="9"/>
  <c r="E245" i="9"/>
  <c r="C245" i="9"/>
  <c r="B245" i="9"/>
  <c r="AJ244" i="9"/>
  <c r="AI244" i="9"/>
  <c r="AH244" i="9"/>
  <c r="AG244" i="9"/>
  <c r="AF244" i="9"/>
  <c r="AE244" i="9"/>
  <c r="AC244" i="9"/>
  <c r="AA244" i="9"/>
  <c r="Y244" i="9"/>
  <c r="X244" i="9"/>
  <c r="V244" i="9"/>
  <c r="U244" i="9"/>
  <c r="T244" i="9"/>
  <c r="S244" i="9"/>
  <c r="R244" i="9"/>
  <c r="P244" i="9"/>
  <c r="M244" i="9"/>
  <c r="L244" i="9"/>
  <c r="K244" i="9"/>
  <c r="J244" i="9"/>
  <c r="I244" i="9"/>
  <c r="AK244" i="9" s="1"/>
  <c r="H244" i="9"/>
  <c r="E244" i="9"/>
  <c r="C244" i="9"/>
  <c r="B244" i="9"/>
  <c r="AJ243" i="9"/>
  <c r="AG243" i="9"/>
  <c r="AF243" i="9"/>
  <c r="AE243" i="9"/>
  <c r="AD243" i="9"/>
  <c r="AC243" i="9"/>
  <c r="AB243" i="9"/>
  <c r="AA243" i="9"/>
  <c r="Z243" i="9"/>
  <c r="Y243" i="9"/>
  <c r="X243" i="9"/>
  <c r="V243" i="9"/>
  <c r="T243" i="9"/>
  <c r="S243" i="9"/>
  <c r="R243" i="9"/>
  <c r="Q243" i="9"/>
  <c r="P243" i="9"/>
  <c r="O243" i="9"/>
  <c r="N243" i="9"/>
  <c r="M243" i="9"/>
  <c r="L243" i="9"/>
  <c r="J243" i="9"/>
  <c r="I243" i="9"/>
  <c r="AK243" i="9" s="1"/>
  <c r="H243" i="9"/>
  <c r="E243" i="9"/>
  <c r="C243" i="9"/>
  <c r="B243" i="9"/>
  <c r="AI242" i="9"/>
  <c r="AJ242" i="9" s="1"/>
  <c r="AH242" i="9"/>
  <c r="AG242" i="9"/>
  <c r="AE242" i="9"/>
  <c r="AD242" i="9"/>
  <c r="AC242" i="9"/>
  <c r="AA242" i="9"/>
  <c r="AB242" i="9" s="1"/>
  <c r="Z242" i="9"/>
  <c r="Y242" i="9"/>
  <c r="X242" i="9"/>
  <c r="W242" i="9"/>
  <c r="V242" i="9"/>
  <c r="U242" i="9"/>
  <c r="S242" i="9"/>
  <c r="R242" i="9"/>
  <c r="Q242" i="9"/>
  <c r="P242" i="9"/>
  <c r="O242" i="9"/>
  <c r="N242" i="9"/>
  <c r="M242" i="9"/>
  <c r="L242" i="9"/>
  <c r="K242" i="9"/>
  <c r="J242" i="9"/>
  <c r="I242" i="9"/>
  <c r="AK242" i="9" s="1"/>
  <c r="H242" i="9"/>
  <c r="AF242" i="9" s="1"/>
  <c r="E242" i="9"/>
  <c r="C242" i="9"/>
  <c r="B242" i="9"/>
  <c r="K241" i="9"/>
  <c r="H241" i="9"/>
  <c r="AH241" i="9" s="1"/>
  <c r="E241" i="9"/>
  <c r="C241" i="9"/>
  <c r="B241" i="9"/>
  <c r="AK240" i="9"/>
  <c r="AJ240" i="9"/>
  <c r="AH240" i="9"/>
  <c r="AG240" i="9"/>
  <c r="AF240" i="9"/>
  <c r="AD240" i="9"/>
  <c r="AB240" i="9"/>
  <c r="AA240" i="9"/>
  <c r="X240" i="9"/>
  <c r="V240" i="9"/>
  <c r="U240" i="9"/>
  <c r="S240" i="9"/>
  <c r="Q240" i="9"/>
  <c r="P240" i="9"/>
  <c r="M240" i="9"/>
  <c r="L240" i="9"/>
  <c r="K240" i="9"/>
  <c r="I240" i="9"/>
  <c r="H240" i="9"/>
  <c r="E240" i="9"/>
  <c r="C240" i="9"/>
  <c r="B240" i="9"/>
  <c r="AG239" i="9"/>
  <c r="AF239" i="9"/>
  <c r="AE239" i="9"/>
  <c r="AD239" i="9"/>
  <c r="AB239" i="9"/>
  <c r="AA239" i="9"/>
  <c r="Z239" i="9"/>
  <c r="X239" i="9"/>
  <c r="U239" i="9"/>
  <c r="S239" i="9"/>
  <c r="R239" i="9"/>
  <c r="Q239" i="9"/>
  <c r="P239" i="9"/>
  <c r="O239" i="9"/>
  <c r="M239" i="9"/>
  <c r="K239" i="9"/>
  <c r="J239" i="9"/>
  <c r="I239" i="9"/>
  <c r="AK239" i="9" s="1"/>
  <c r="H239" i="9"/>
  <c r="AC239" i="9" s="1"/>
  <c r="E239" i="9"/>
  <c r="C239" i="9"/>
  <c r="B239" i="9"/>
  <c r="AD238" i="9"/>
  <c r="J238" i="9"/>
  <c r="H238" i="9"/>
  <c r="AJ238" i="9" s="1"/>
  <c r="E238" i="9"/>
  <c r="C238" i="9"/>
  <c r="B238" i="9"/>
  <c r="AJ237" i="9"/>
  <c r="AI237" i="9"/>
  <c r="AG237" i="9"/>
  <c r="AF237" i="9"/>
  <c r="AE237" i="9"/>
  <c r="AC237" i="9"/>
  <c r="AB237" i="9"/>
  <c r="AA237" i="9"/>
  <c r="Z237" i="9"/>
  <c r="Y237" i="9"/>
  <c r="X237" i="9"/>
  <c r="W237" i="9"/>
  <c r="V237" i="9"/>
  <c r="T237" i="9"/>
  <c r="S237" i="9"/>
  <c r="Q237" i="9"/>
  <c r="P237" i="9"/>
  <c r="O237" i="9"/>
  <c r="N237" i="9"/>
  <c r="M237" i="9"/>
  <c r="L237" i="9"/>
  <c r="K237" i="9"/>
  <c r="J237" i="9"/>
  <c r="I237" i="9"/>
  <c r="AK237" i="9" s="1"/>
  <c r="H237" i="9"/>
  <c r="E237" i="9"/>
  <c r="C237" i="9"/>
  <c r="B237" i="9"/>
  <c r="AI236" i="9"/>
  <c r="AH236" i="9"/>
  <c r="AG236" i="9"/>
  <c r="AF236" i="9"/>
  <c r="Z236" i="9"/>
  <c r="Y236" i="9"/>
  <c r="W236" i="9"/>
  <c r="U236" i="9"/>
  <c r="S236" i="9"/>
  <c r="T236" i="9" s="1"/>
  <c r="R236" i="9"/>
  <c r="L236" i="9"/>
  <c r="K236" i="9"/>
  <c r="I236" i="9"/>
  <c r="AK236" i="9" s="1"/>
  <c r="H236" i="9"/>
  <c r="AE236" i="9" s="1"/>
  <c r="E236" i="9"/>
  <c r="C236" i="9"/>
  <c r="B236" i="9"/>
  <c r="P235" i="9"/>
  <c r="H235" i="9"/>
  <c r="AD235" i="9" s="1"/>
  <c r="E235" i="9"/>
  <c r="C235" i="9"/>
  <c r="B235" i="9"/>
  <c r="AJ234" i="9"/>
  <c r="AI234" i="9"/>
  <c r="AF234" i="9"/>
  <c r="AE234" i="9"/>
  <c r="AD234" i="9"/>
  <c r="AB234" i="9"/>
  <c r="AA234" i="9"/>
  <c r="Z234" i="9"/>
  <c r="X234" i="9"/>
  <c r="V234" i="9"/>
  <c r="T234" i="9"/>
  <c r="R234" i="9"/>
  <c r="Q234" i="9"/>
  <c r="O234" i="9"/>
  <c r="N234" i="9"/>
  <c r="M234" i="9"/>
  <c r="L234" i="9"/>
  <c r="J234" i="9"/>
  <c r="H234" i="9"/>
  <c r="E234" i="9"/>
  <c r="C234" i="9"/>
  <c r="B234" i="9"/>
  <c r="AH233" i="9"/>
  <c r="AF233" i="9"/>
  <c r="AE233" i="9"/>
  <c r="Z233" i="9"/>
  <c r="Y233" i="9"/>
  <c r="V233" i="9"/>
  <c r="T233" i="9"/>
  <c r="S233" i="9"/>
  <c r="Q233" i="9"/>
  <c r="P233" i="9"/>
  <c r="L233" i="9"/>
  <c r="K233" i="9"/>
  <c r="H233" i="9"/>
  <c r="E233" i="9"/>
  <c r="C233" i="9"/>
  <c r="B233" i="9"/>
  <c r="AK232" i="9"/>
  <c r="AF232" i="9"/>
  <c r="W232" i="9"/>
  <c r="Q232" i="9"/>
  <c r="P232" i="9"/>
  <c r="K232" i="9"/>
  <c r="J232" i="9"/>
  <c r="I232" i="9"/>
  <c r="H232" i="9"/>
  <c r="Y232" i="9" s="1"/>
  <c r="E232" i="9"/>
  <c r="C232" i="9"/>
  <c r="B232" i="9"/>
  <c r="AC231" i="9"/>
  <c r="H231" i="9"/>
  <c r="AE231" i="9" s="1"/>
  <c r="E231" i="9"/>
  <c r="C231" i="9"/>
  <c r="B231" i="9"/>
  <c r="AI230" i="9"/>
  <c r="AJ230" i="9" s="1"/>
  <c r="AH230" i="9"/>
  <c r="AF230" i="9"/>
  <c r="AA230" i="9"/>
  <c r="Z230" i="9"/>
  <c r="X230" i="9"/>
  <c r="V230" i="9"/>
  <c r="S230" i="9"/>
  <c r="T230" i="9" s="1"/>
  <c r="Q230" i="9"/>
  <c r="M230" i="9"/>
  <c r="L230" i="9"/>
  <c r="J230" i="9"/>
  <c r="H230" i="9"/>
  <c r="AD230" i="9" s="1"/>
  <c r="E230" i="9"/>
  <c r="C230" i="9"/>
  <c r="B230" i="9"/>
  <c r="AI229" i="9"/>
  <c r="AH229" i="9"/>
  <c r="AG229" i="9"/>
  <c r="AF229" i="9"/>
  <c r="AE229" i="9"/>
  <c r="AC229" i="9"/>
  <c r="AA229" i="9"/>
  <c r="AB229" i="9" s="1"/>
  <c r="Z229" i="9"/>
  <c r="X229" i="9"/>
  <c r="W229" i="9"/>
  <c r="U229" i="9"/>
  <c r="S229" i="9"/>
  <c r="T229" i="9" s="1"/>
  <c r="Q229" i="9"/>
  <c r="P229" i="9"/>
  <c r="O229" i="9"/>
  <c r="N229" i="9"/>
  <c r="M229" i="9"/>
  <c r="K229" i="9"/>
  <c r="J229" i="9"/>
  <c r="I229" i="9"/>
  <c r="AK229" i="9" s="1"/>
  <c r="H229" i="9"/>
  <c r="E229" i="9"/>
  <c r="C229" i="9"/>
  <c r="B229" i="9"/>
  <c r="AI228" i="9"/>
  <c r="AH228" i="9"/>
  <c r="AF228" i="9"/>
  <c r="AE228" i="9"/>
  <c r="AD228" i="9"/>
  <c r="AC228" i="9"/>
  <c r="Z228" i="9"/>
  <c r="Y228" i="9"/>
  <c r="X228" i="9"/>
  <c r="W228" i="9"/>
  <c r="U228" i="9"/>
  <c r="S228" i="9"/>
  <c r="R228" i="9"/>
  <c r="Q228" i="9"/>
  <c r="P228" i="9"/>
  <c r="N228" i="9"/>
  <c r="L228" i="9"/>
  <c r="K228" i="9"/>
  <c r="J228" i="9"/>
  <c r="I228" i="9"/>
  <c r="AK228" i="9" s="1"/>
  <c r="H228" i="9"/>
  <c r="AB228" i="9" s="1"/>
  <c r="E228" i="9"/>
  <c r="C228" i="9"/>
  <c r="B228" i="9"/>
  <c r="AI227" i="9"/>
  <c r="AD227" i="9"/>
  <c r="AC227" i="9"/>
  <c r="Z227" i="9"/>
  <c r="W227" i="9"/>
  <c r="V227" i="9"/>
  <c r="U227" i="9"/>
  <c r="T227" i="9"/>
  <c r="P227" i="9"/>
  <c r="K227" i="9"/>
  <c r="I227" i="9"/>
  <c r="AK227" i="9" s="1"/>
  <c r="H227" i="9"/>
  <c r="O227" i="9" s="1"/>
  <c r="E227" i="9"/>
  <c r="C227" i="9"/>
  <c r="B227" i="9"/>
  <c r="AI226" i="9"/>
  <c r="AF226" i="9"/>
  <c r="AD226" i="9"/>
  <c r="AB226" i="9"/>
  <c r="AA226" i="9"/>
  <c r="Z226" i="9"/>
  <c r="Y226" i="9"/>
  <c r="S226" i="9"/>
  <c r="R226" i="9"/>
  <c r="P226" i="9"/>
  <c r="N226" i="9"/>
  <c r="M226" i="9"/>
  <c r="L226" i="9"/>
  <c r="K226" i="9"/>
  <c r="H226" i="9"/>
  <c r="AJ226" i="9" s="1"/>
  <c r="E226" i="9"/>
  <c r="C226" i="9"/>
  <c r="B226" i="9"/>
  <c r="AH225" i="9"/>
  <c r="AF225" i="9"/>
  <c r="AE225" i="9"/>
  <c r="Y225" i="9"/>
  <c r="X225" i="9"/>
  <c r="V225" i="9"/>
  <c r="T225" i="9"/>
  <c r="S225" i="9"/>
  <c r="Q225" i="9"/>
  <c r="K225" i="9"/>
  <c r="J225" i="9"/>
  <c r="H225" i="9"/>
  <c r="P225" i="9" s="1"/>
  <c r="E225" i="9"/>
  <c r="C225" i="9"/>
  <c r="B225" i="9"/>
  <c r="AJ224" i="9"/>
  <c r="AB224" i="9"/>
  <c r="X224" i="9"/>
  <c r="W224" i="9"/>
  <c r="Q224" i="9"/>
  <c r="P224" i="9"/>
  <c r="M224" i="9"/>
  <c r="K224" i="9"/>
  <c r="J224" i="9"/>
  <c r="H224" i="9"/>
  <c r="AD224" i="9" s="1"/>
  <c r="E224" i="9"/>
  <c r="C224" i="9"/>
  <c r="B224" i="9"/>
  <c r="AI223" i="9"/>
  <c r="AH223" i="9"/>
  <c r="AF223" i="9"/>
  <c r="AE223" i="9"/>
  <c r="AD223" i="9"/>
  <c r="AB223" i="9"/>
  <c r="AA223" i="9"/>
  <c r="Z223" i="9"/>
  <c r="W223" i="9"/>
  <c r="U223" i="9"/>
  <c r="T223" i="9"/>
  <c r="R223" i="9"/>
  <c r="Q223" i="9"/>
  <c r="O223" i="9"/>
  <c r="N223" i="9"/>
  <c r="M223" i="9"/>
  <c r="K223" i="9"/>
  <c r="I223" i="9"/>
  <c r="AK223" i="9" s="1"/>
  <c r="H223" i="9"/>
  <c r="E223" i="9"/>
  <c r="C223" i="9"/>
  <c r="B223" i="9"/>
  <c r="AI222" i="9"/>
  <c r="AH222" i="9"/>
  <c r="AF222" i="9"/>
  <c r="AE222" i="9"/>
  <c r="AD222" i="9"/>
  <c r="AB222" i="9"/>
  <c r="AA222" i="9"/>
  <c r="Z222" i="9"/>
  <c r="Y222" i="9"/>
  <c r="V222" i="9"/>
  <c r="S222" i="9"/>
  <c r="T222" i="9" s="1"/>
  <c r="R222" i="9"/>
  <c r="Q222" i="9"/>
  <c r="P222" i="9"/>
  <c r="N222" i="9"/>
  <c r="M222" i="9"/>
  <c r="L222" i="9"/>
  <c r="K222" i="9"/>
  <c r="H222" i="9"/>
  <c r="AC222" i="9" s="1"/>
  <c r="E222" i="9"/>
  <c r="C222" i="9"/>
  <c r="B222" i="9"/>
  <c r="AG221" i="9"/>
  <c r="AE221" i="9"/>
  <c r="Z221" i="9"/>
  <c r="Y221" i="9"/>
  <c r="O221" i="9"/>
  <c r="L221" i="9"/>
  <c r="J221" i="9"/>
  <c r="I221" i="9"/>
  <c r="AK221" i="9" s="1"/>
  <c r="H221" i="9"/>
  <c r="W221" i="9" s="1"/>
  <c r="E221" i="9"/>
  <c r="C221" i="9"/>
  <c r="B221" i="9"/>
  <c r="AH220" i="9"/>
  <c r="AE220" i="9"/>
  <c r="AC220" i="9"/>
  <c r="AB220" i="9"/>
  <c r="Q220" i="9"/>
  <c r="N220" i="9"/>
  <c r="L220" i="9"/>
  <c r="I220" i="9"/>
  <c r="AK220" i="9" s="1"/>
  <c r="H220" i="9"/>
  <c r="W220" i="9" s="1"/>
  <c r="E220" i="9"/>
  <c r="C220" i="9"/>
  <c r="B220" i="9"/>
  <c r="AH219" i="9"/>
  <c r="AF219" i="9"/>
  <c r="AA219" i="9"/>
  <c r="AB219" i="9" s="1"/>
  <c r="Q219" i="9"/>
  <c r="N219" i="9"/>
  <c r="K219" i="9"/>
  <c r="J219" i="9"/>
  <c r="H219" i="9"/>
  <c r="Y219" i="9" s="1"/>
  <c r="E219" i="9"/>
  <c r="C219" i="9"/>
  <c r="B219" i="9"/>
  <c r="AH218" i="9"/>
  <c r="AE218" i="9"/>
  <c r="AB218" i="9"/>
  <c r="AA218" i="9"/>
  <c r="Q218" i="9"/>
  <c r="N218" i="9"/>
  <c r="K218" i="9"/>
  <c r="J218" i="9"/>
  <c r="H218" i="9"/>
  <c r="X218" i="9" s="1"/>
  <c r="E218" i="9"/>
  <c r="C218" i="9"/>
  <c r="B218" i="9"/>
  <c r="AJ217" i="9"/>
  <c r="AI217" i="9"/>
  <c r="AE217" i="9"/>
  <c r="AC217" i="9"/>
  <c r="AB217" i="9"/>
  <c r="AA217" i="9"/>
  <c r="Z217" i="9"/>
  <c r="V217" i="9"/>
  <c r="Q217" i="9"/>
  <c r="P217" i="9"/>
  <c r="N217" i="9"/>
  <c r="M217" i="9"/>
  <c r="L217" i="9"/>
  <c r="J217" i="9"/>
  <c r="I217" i="9"/>
  <c r="AK217" i="9" s="1"/>
  <c r="H217" i="9"/>
  <c r="W217" i="9" s="1"/>
  <c r="E217" i="9"/>
  <c r="C217" i="9"/>
  <c r="B217" i="9"/>
  <c r="AK216" i="9"/>
  <c r="AH216" i="9"/>
  <c r="AG216" i="9"/>
  <c r="AE216" i="9"/>
  <c r="AD216" i="9"/>
  <c r="AC216" i="9"/>
  <c r="W216" i="9"/>
  <c r="U216" i="9"/>
  <c r="Q216" i="9"/>
  <c r="P216" i="9"/>
  <c r="N216" i="9"/>
  <c r="L216" i="9"/>
  <c r="J216" i="9"/>
  <c r="I216" i="9"/>
  <c r="H216" i="9"/>
  <c r="V216" i="9" s="1"/>
  <c r="E216" i="9"/>
  <c r="C216" i="9"/>
  <c r="B216" i="9"/>
  <c r="AI215" i="9"/>
  <c r="AH215" i="9"/>
  <c r="AF215" i="9"/>
  <c r="AE215" i="9"/>
  <c r="AD215" i="9"/>
  <c r="AC215" i="9"/>
  <c r="AB215" i="9"/>
  <c r="AA215" i="9"/>
  <c r="Z215" i="9"/>
  <c r="Y215" i="9"/>
  <c r="W215" i="9"/>
  <c r="U215" i="9"/>
  <c r="S215" i="9"/>
  <c r="R215" i="9"/>
  <c r="Q215" i="9"/>
  <c r="P215" i="9"/>
  <c r="O215" i="9"/>
  <c r="N215" i="9"/>
  <c r="M215" i="9"/>
  <c r="K215" i="9"/>
  <c r="J215" i="9"/>
  <c r="I215" i="9"/>
  <c r="AK215" i="9" s="1"/>
  <c r="H215" i="9"/>
  <c r="E215" i="9"/>
  <c r="C215" i="9"/>
  <c r="B215" i="9"/>
  <c r="AI214" i="9"/>
  <c r="AH214" i="9"/>
  <c r="AF214" i="9"/>
  <c r="AE214" i="9"/>
  <c r="AD214" i="9"/>
  <c r="AC214" i="9"/>
  <c r="Z214" i="9"/>
  <c r="X214" i="9"/>
  <c r="W214" i="9"/>
  <c r="T214" i="9"/>
  <c r="S214" i="9"/>
  <c r="R214" i="9"/>
  <c r="Q214" i="9"/>
  <c r="P214" i="9"/>
  <c r="O214" i="9"/>
  <c r="L214" i="9"/>
  <c r="K214" i="9"/>
  <c r="J214" i="9"/>
  <c r="H214" i="9"/>
  <c r="E214" i="9"/>
  <c r="C214" i="9"/>
  <c r="B214" i="9"/>
  <c r="AJ213" i="9"/>
  <c r="AI213" i="9"/>
  <c r="AG213" i="9"/>
  <c r="AF213" i="9"/>
  <c r="AE213" i="9"/>
  <c r="AC213" i="9"/>
  <c r="AB213" i="9"/>
  <c r="AA213" i="9"/>
  <c r="Z213" i="9"/>
  <c r="Y213" i="9"/>
  <c r="X213" i="9"/>
  <c r="W213" i="9"/>
  <c r="V213" i="9"/>
  <c r="S213" i="9"/>
  <c r="T213" i="9" s="1"/>
  <c r="Q213" i="9"/>
  <c r="P213" i="9"/>
  <c r="O213" i="9"/>
  <c r="N213" i="9"/>
  <c r="M213" i="9"/>
  <c r="L213" i="9"/>
  <c r="K213" i="9"/>
  <c r="J213" i="9"/>
  <c r="I213" i="9"/>
  <c r="AK213" i="9" s="1"/>
  <c r="H213" i="9"/>
  <c r="E213" i="9"/>
  <c r="C213" i="9"/>
  <c r="B213" i="9"/>
  <c r="AE212" i="9"/>
  <c r="Z212" i="9"/>
  <c r="Y212" i="9"/>
  <c r="W212" i="9"/>
  <c r="V212" i="9"/>
  <c r="M212" i="9"/>
  <c r="K212" i="9"/>
  <c r="I212" i="9"/>
  <c r="AK212" i="9" s="1"/>
  <c r="H212" i="9"/>
  <c r="E212" i="9"/>
  <c r="C212" i="9"/>
  <c r="B212" i="9"/>
  <c r="AH211" i="9"/>
  <c r="AG211" i="9"/>
  <c r="AF211" i="9"/>
  <c r="AE211" i="9"/>
  <c r="AD211" i="9"/>
  <c r="AB211" i="9"/>
  <c r="AA211" i="9"/>
  <c r="Z211" i="9"/>
  <c r="Y211" i="9"/>
  <c r="U211" i="9"/>
  <c r="T211" i="9"/>
  <c r="S211" i="9"/>
  <c r="R211" i="9"/>
  <c r="Q211" i="9"/>
  <c r="P211" i="9"/>
  <c r="N211" i="9"/>
  <c r="M211" i="9"/>
  <c r="K211" i="9"/>
  <c r="J211" i="9"/>
  <c r="H211" i="9"/>
  <c r="AC211" i="9" s="1"/>
  <c r="E211" i="9"/>
  <c r="C211" i="9"/>
  <c r="B211" i="9"/>
  <c r="N210" i="9"/>
  <c r="J210" i="9"/>
  <c r="H210" i="9"/>
  <c r="AF210" i="9" s="1"/>
  <c r="E210" i="9"/>
  <c r="C210" i="9"/>
  <c r="B210" i="9"/>
  <c r="Z209" i="9"/>
  <c r="Y209" i="9"/>
  <c r="O209" i="9"/>
  <c r="N209" i="9"/>
  <c r="H209" i="9"/>
  <c r="AG209" i="9" s="1"/>
  <c r="E209" i="9"/>
  <c r="C209" i="9"/>
  <c r="B209" i="9"/>
  <c r="AG208" i="9"/>
  <c r="AF208" i="9"/>
  <c r="Y208" i="9"/>
  <c r="X208" i="9"/>
  <c r="V208" i="9"/>
  <c r="M208" i="9"/>
  <c r="K208" i="9"/>
  <c r="H208" i="9"/>
  <c r="E208" i="9"/>
  <c r="C208" i="9"/>
  <c r="B208" i="9"/>
  <c r="H207" i="9"/>
  <c r="E207" i="9"/>
  <c r="C207" i="9"/>
  <c r="B207" i="9"/>
  <c r="O206" i="9"/>
  <c r="N206" i="9"/>
  <c r="J206" i="9"/>
  <c r="H206" i="9"/>
  <c r="AF206" i="9" s="1"/>
  <c r="E206" i="9"/>
  <c r="C206" i="9"/>
  <c r="B206" i="9"/>
  <c r="AA205" i="9"/>
  <c r="Z205" i="9"/>
  <c r="Q205" i="9"/>
  <c r="O205" i="9"/>
  <c r="I205" i="9"/>
  <c r="AK205" i="9" s="1"/>
  <c r="H205" i="9"/>
  <c r="AG205" i="9" s="1"/>
  <c r="E205" i="9"/>
  <c r="C205" i="9"/>
  <c r="B205" i="9"/>
  <c r="AI204" i="9"/>
  <c r="AH204" i="9"/>
  <c r="AF204" i="9"/>
  <c r="AE204" i="9"/>
  <c r="AD204" i="9"/>
  <c r="AC204" i="9"/>
  <c r="AB204" i="9"/>
  <c r="Z204" i="9"/>
  <c r="Y204" i="9"/>
  <c r="X204" i="9"/>
  <c r="W204" i="9"/>
  <c r="U204" i="9"/>
  <c r="S204" i="9"/>
  <c r="R204" i="9"/>
  <c r="Q204" i="9"/>
  <c r="P204" i="9"/>
  <c r="N204" i="9"/>
  <c r="M204" i="9"/>
  <c r="L204" i="9"/>
  <c r="K204" i="9"/>
  <c r="J204" i="9"/>
  <c r="I204" i="9"/>
  <c r="AK204" i="9" s="1"/>
  <c r="H204" i="9"/>
  <c r="E204" i="9"/>
  <c r="C204" i="9"/>
  <c r="B204" i="9"/>
  <c r="AK203" i="9"/>
  <c r="AG203" i="9"/>
  <c r="AF203" i="9"/>
  <c r="AE203" i="9"/>
  <c r="AD203" i="9"/>
  <c r="AC203" i="9"/>
  <c r="Z203" i="9"/>
  <c r="W203" i="9"/>
  <c r="T203" i="9"/>
  <c r="S203" i="9"/>
  <c r="Q203" i="9"/>
  <c r="P203" i="9"/>
  <c r="O203" i="9"/>
  <c r="K203" i="9"/>
  <c r="J203" i="9"/>
  <c r="I203" i="9"/>
  <c r="H203" i="9"/>
  <c r="V203" i="9" s="1"/>
  <c r="E203" i="9"/>
  <c r="C203" i="9"/>
  <c r="B203" i="9"/>
  <c r="AI202" i="9"/>
  <c r="AF202" i="9"/>
  <c r="AD202" i="9"/>
  <c r="AC202" i="9"/>
  <c r="AB202" i="9"/>
  <c r="AA202" i="9"/>
  <c r="X202" i="9"/>
  <c r="V202" i="9"/>
  <c r="S202" i="9"/>
  <c r="P202" i="9"/>
  <c r="O202" i="9"/>
  <c r="N202" i="9"/>
  <c r="M202" i="9"/>
  <c r="K202" i="9"/>
  <c r="J202" i="9"/>
  <c r="H202" i="9"/>
  <c r="W202" i="9" s="1"/>
  <c r="E202" i="9"/>
  <c r="C202" i="9"/>
  <c r="B202" i="9"/>
  <c r="AJ201" i="9"/>
  <c r="AH201" i="9"/>
  <c r="AG201" i="9"/>
  <c r="AE201" i="9"/>
  <c r="AC201" i="9"/>
  <c r="AB201" i="9"/>
  <c r="Z201" i="9"/>
  <c r="X201" i="9"/>
  <c r="U201" i="9"/>
  <c r="T201" i="9"/>
  <c r="P201" i="9"/>
  <c r="O201" i="9"/>
  <c r="M201" i="9"/>
  <c r="L201" i="9"/>
  <c r="K201" i="9"/>
  <c r="J201" i="9"/>
  <c r="H201" i="9"/>
  <c r="V201" i="9" s="1"/>
  <c r="E201" i="9"/>
  <c r="C201" i="9"/>
  <c r="B201" i="9"/>
  <c r="AJ200" i="9"/>
  <c r="AH200" i="9"/>
  <c r="AG200" i="9"/>
  <c r="AF200" i="9"/>
  <c r="AE200" i="9"/>
  <c r="AD200" i="9"/>
  <c r="AB200" i="9"/>
  <c r="Z200" i="9"/>
  <c r="Y200" i="9"/>
  <c r="X200" i="9"/>
  <c r="U200" i="9"/>
  <c r="T200" i="9"/>
  <c r="S200" i="9"/>
  <c r="R200" i="9"/>
  <c r="Q200" i="9"/>
  <c r="P200" i="9"/>
  <c r="M200" i="9"/>
  <c r="L200" i="9"/>
  <c r="K200" i="9"/>
  <c r="J200" i="9"/>
  <c r="H200" i="9"/>
  <c r="AC200" i="9" s="1"/>
  <c r="E200" i="9"/>
  <c r="C200" i="9"/>
  <c r="B200" i="9"/>
  <c r="AH199" i="9"/>
  <c r="AF199" i="9"/>
  <c r="AE199" i="9"/>
  <c r="AD199" i="9"/>
  <c r="Z199" i="9"/>
  <c r="W199" i="9"/>
  <c r="U199" i="9"/>
  <c r="Q199" i="9"/>
  <c r="O199" i="9"/>
  <c r="N199" i="9"/>
  <c r="K199" i="9"/>
  <c r="J199" i="9"/>
  <c r="I199" i="9"/>
  <c r="AK199" i="9" s="1"/>
  <c r="H199" i="9"/>
  <c r="V199" i="9" s="1"/>
  <c r="E199" i="9"/>
  <c r="C199" i="9"/>
  <c r="B199" i="9"/>
  <c r="AI198" i="9"/>
  <c r="AH198" i="9"/>
  <c r="AF198" i="9"/>
  <c r="AE198" i="9"/>
  <c r="AD198" i="9"/>
  <c r="AC198" i="9"/>
  <c r="AB198" i="9"/>
  <c r="AA198" i="9"/>
  <c r="Z198" i="9"/>
  <c r="Y198" i="9"/>
  <c r="V198" i="9"/>
  <c r="T198" i="9"/>
  <c r="S198" i="9"/>
  <c r="R198" i="9"/>
  <c r="Q198" i="9"/>
  <c r="P198" i="9"/>
  <c r="O198" i="9"/>
  <c r="N198" i="9"/>
  <c r="M198" i="9"/>
  <c r="L198" i="9"/>
  <c r="K198" i="9"/>
  <c r="H198" i="9"/>
  <c r="E198" i="9"/>
  <c r="C198" i="9"/>
  <c r="B198" i="9"/>
  <c r="AK197" i="9"/>
  <c r="AJ197" i="9"/>
  <c r="AI197" i="9"/>
  <c r="AH197" i="9"/>
  <c r="AG197" i="9"/>
  <c r="AF197" i="9"/>
  <c r="AB197" i="9"/>
  <c r="Y197" i="9"/>
  <c r="X197" i="9"/>
  <c r="V197" i="9"/>
  <c r="U197" i="9"/>
  <c r="T197" i="9"/>
  <c r="S197" i="9"/>
  <c r="Q197" i="9"/>
  <c r="O197" i="9"/>
  <c r="L197" i="9"/>
  <c r="J197" i="9"/>
  <c r="I197" i="9"/>
  <c r="H197" i="9"/>
  <c r="AE197" i="9" s="1"/>
  <c r="E197" i="9"/>
  <c r="C197" i="9"/>
  <c r="B197" i="9"/>
  <c r="AI196" i="9"/>
  <c r="AJ196" i="9" s="1"/>
  <c r="AH196" i="9"/>
  <c r="AE196" i="9"/>
  <c r="Y196" i="9"/>
  <c r="W196" i="9"/>
  <c r="V196" i="9"/>
  <c r="U196" i="9"/>
  <c r="R196" i="9"/>
  <c r="P196" i="9"/>
  <c r="M196" i="9"/>
  <c r="L196" i="9"/>
  <c r="I196" i="9"/>
  <c r="AK196" i="9" s="1"/>
  <c r="H196" i="9"/>
  <c r="E196" i="9"/>
  <c r="C196" i="9"/>
  <c r="B196" i="9"/>
  <c r="AH195" i="9"/>
  <c r="AF195" i="9"/>
  <c r="AA195" i="9"/>
  <c r="Z195" i="9"/>
  <c r="Y195" i="9"/>
  <c r="U195" i="9"/>
  <c r="S195" i="9"/>
  <c r="P195" i="9"/>
  <c r="O195" i="9"/>
  <c r="M195" i="9"/>
  <c r="K195" i="9"/>
  <c r="H195" i="9"/>
  <c r="E195" i="9"/>
  <c r="C195" i="9"/>
  <c r="B195" i="9"/>
  <c r="AI194" i="9"/>
  <c r="AH194" i="9"/>
  <c r="AG194" i="9"/>
  <c r="AF194" i="9"/>
  <c r="AE194" i="9"/>
  <c r="AC194" i="9"/>
  <c r="AB194" i="9"/>
  <c r="AA194" i="9"/>
  <c r="Y194" i="9"/>
  <c r="X194" i="9"/>
  <c r="W194" i="9"/>
  <c r="U194" i="9"/>
  <c r="T194" i="9"/>
  <c r="S194" i="9"/>
  <c r="R194" i="9"/>
  <c r="P194" i="9"/>
  <c r="O194" i="9"/>
  <c r="M194" i="9"/>
  <c r="L194" i="9"/>
  <c r="K194" i="9"/>
  <c r="J194" i="9"/>
  <c r="I194" i="9"/>
  <c r="AK194" i="9" s="1"/>
  <c r="H194" i="9"/>
  <c r="E194" i="9"/>
  <c r="C194" i="9"/>
  <c r="B194" i="9"/>
  <c r="AJ193" i="9"/>
  <c r="AH193" i="9"/>
  <c r="AG193" i="9"/>
  <c r="AF193" i="9"/>
  <c r="AE193" i="9"/>
  <c r="AD193" i="9"/>
  <c r="AB193" i="9"/>
  <c r="Z193" i="9"/>
  <c r="Y193" i="9"/>
  <c r="U193" i="9"/>
  <c r="T193" i="9"/>
  <c r="S193" i="9"/>
  <c r="R193" i="9"/>
  <c r="Q193" i="9"/>
  <c r="P193" i="9"/>
  <c r="N193" i="9"/>
  <c r="L193" i="9"/>
  <c r="I193" i="9"/>
  <c r="AK193" i="9" s="1"/>
  <c r="H193" i="9"/>
  <c r="AC193" i="9" s="1"/>
  <c r="E193" i="9"/>
  <c r="C193" i="9"/>
  <c r="B193" i="9"/>
  <c r="AK192" i="9"/>
  <c r="AJ192" i="9"/>
  <c r="AI192" i="9"/>
  <c r="AH192" i="9"/>
  <c r="AG192" i="9"/>
  <c r="AE192" i="9"/>
  <c r="AD192" i="9"/>
  <c r="AC192" i="9"/>
  <c r="AB192" i="9"/>
  <c r="AA192" i="9"/>
  <c r="Z192" i="9"/>
  <c r="Y192" i="9"/>
  <c r="X192" i="9"/>
  <c r="W192" i="9"/>
  <c r="V192" i="9"/>
  <c r="U192" i="9"/>
  <c r="S192" i="9"/>
  <c r="R192" i="9"/>
  <c r="Q192" i="9"/>
  <c r="P192" i="9"/>
  <c r="O192" i="9"/>
  <c r="N192" i="9"/>
  <c r="M192" i="9"/>
  <c r="L192" i="9"/>
  <c r="K192" i="9"/>
  <c r="J192" i="9"/>
  <c r="I192" i="9"/>
  <c r="H192" i="9"/>
  <c r="AF192" i="9" s="1"/>
  <c r="E192" i="9"/>
  <c r="C192" i="9"/>
  <c r="B192" i="9"/>
  <c r="AI191" i="9"/>
  <c r="AH191" i="9"/>
  <c r="AG191" i="9"/>
  <c r="AF191" i="9"/>
  <c r="AE191" i="9"/>
  <c r="AD191" i="9"/>
  <c r="AA191" i="9"/>
  <c r="X191" i="9"/>
  <c r="W191" i="9"/>
  <c r="U191" i="9"/>
  <c r="S191" i="9"/>
  <c r="T191" i="9" s="1"/>
  <c r="R191" i="9"/>
  <c r="P191" i="9"/>
  <c r="O191" i="9"/>
  <c r="M191" i="9"/>
  <c r="J191" i="9"/>
  <c r="I191" i="9"/>
  <c r="AK191" i="9" s="1"/>
  <c r="H191" i="9"/>
  <c r="AB191" i="9" s="1"/>
  <c r="E191" i="9"/>
  <c r="C191" i="9"/>
  <c r="B191" i="9"/>
  <c r="AF190" i="9"/>
  <c r="AD190" i="9"/>
  <c r="AA190" i="9"/>
  <c r="L190" i="9"/>
  <c r="K190" i="9"/>
  <c r="I190" i="9"/>
  <c r="AK190" i="9" s="1"/>
  <c r="H190" i="9"/>
  <c r="X190" i="9" s="1"/>
  <c r="E190" i="9"/>
  <c r="C190" i="9"/>
  <c r="B190" i="9"/>
  <c r="AJ189" i="9"/>
  <c r="AH189" i="9"/>
  <c r="AG189" i="9"/>
  <c r="AF189" i="9"/>
  <c r="AE189" i="9"/>
  <c r="AD189" i="9"/>
  <c r="AC189" i="9"/>
  <c r="AB189" i="9"/>
  <c r="Z189" i="9"/>
  <c r="Y189" i="9"/>
  <c r="X189" i="9"/>
  <c r="U189" i="9"/>
  <c r="T189" i="9"/>
  <c r="S189" i="9"/>
  <c r="R189" i="9"/>
  <c r="Q189" i="9"/>
  <c r="P189" i="9"/>
  <c r="O189" i="9"/>
  <c r="M189" i="9"/>
  <c r="L189" i="9"/>
  <c r="J189" i="9"/>
  <c r="I189" i="9"/>
  <c r="AK189" i="9" s="1"/>
  <c r="H189" i="9"/>
  <c r="E189" i="9"/>
  <c r="C189" i="9"/>
  <c r="B189" i="9"/>
  <c r="AI188" i="9"/>
  <c r="AJ188" i="9" s="1"/>
  <c r="AH188" i="9"/>
  <c r="AG188" i="9"/>
  <c r="AE188" i="9"/>
  <c r="AD188" i="9"/>
  <c r="AC188" i="9"/>
  <c r="AA188" i="9"/>
  <c r="AB188" i="9" s="1"/>
  <c r="Z188" i="9"/>
  <c r="Y188" i="9"/>
  <c r="X188" i="9"/>
  <c r="W188" i="9"/>
  <c r="V188" i="9"/>
  <c r="U188" i="9"/>
  <c r="S188" i="9"/>
  <c r="R188" i="9"/>
  <c r="Q188" i="9"/>
  <c r="P188" i="9"/>
  <c r="O188" i="9"/>
  <c r="N188" i="9"/>
  <c r="M188" i="9"/>
  <c r="L188" i="9"/>
  <c r="K188" i="9"/>
  <c r="J188" i="9"/>
  <c r="I188" i="9"/>
  <c r="AK188" i="9" s="1"/>
  <c r="H188" i="9"/>
  <c r="AF188" i="9" s="1"/>
  <c r="E188" i="9"/>
  <c r="C188" i="9"/>
  <c r="B188" i="9"/>
  <c r="AK187" i="9"/>
  <c r="AI187" i="9"/>
  <c r="AH187" i="9"/>
  <c r="AG187" i="9"/>
  <c r="AF187" i="9"/>
  <c r="AE187" i="9"/>
  <c r="AD187" i="9"/>
  <c r="AA187" i="9"/>
  <c r="Z187" i="9"/>
  <c r="Y187" i="9"/>
  <c r="X187" i="9"/>
  <c r="W187" i="9"/>
  <c r="U187" i="9"/>
  <c r="T187" i="9"/>
  <c r="S187" i="9"/>
  <c r="R187" i="9"/>
  <c r="P187" i="9"/>
  <c r="N187" i="9"/>
  <c r="M187" i="9"/>
  <c r="L187" i="9"/>
  <c r="K187" i="9"/>
  <c r="J187" i="9"/>
  <c r="I187" i="9"/>
  <c r="H187" i="9"/>
  <c r="E187" i="9"/>
  <c r="C187" i="9"/>
  <c r="B187" i="9"/>
  <c r="H186" i="9"/>
  <c r="E186" i="9"/>
  <c r="C186" i="9"/>
  <c r="B186" i="9"/>
  <c r="AG185" i="9"/>
  <c r="Y185" i="9"/>
  <c r="X185" i="9"/>
  <c r="U185" i="9"/>
  <c r="S185" i="9"/>
  <c r="P185" i="9"/>
  <c r="M185" i="9"/>
  <c r="H185" i="9"/>
  <c r="E185" i="9"/>
  <c r="C185" i="9"/>
  <c r="B185" i="9"/>
  <c r="AJ184" i="9"/>
  <c r="AI184" i="9"/>
  <c r="AH184" i="9"/>
  <c r="AG184" i="9"/>
  <c r="AE184" i="9"/>
  <c r="AD184" i="9"/>
  <c r="AC184" i="9"/>
  <c r="AB184" i="9"/>
  <c r="AA184" i="9"/>
  <c r="Z184" i="9"/>
  <c r="Y184" i="9"/>
  <c r="X184" i="9"/>
  <c r="W184" i="9"/>
  <c r="V184" i="9"/>
  <c r="U184" i="9"/>
  <c r="S184" i="9"/>
  <c r="R184" i="9"/>
  <c r="Q184" i="9"/>
  <c r="P184" i="9"/>
  <c r="O184" i="9"/>
  <c r="N184" i="9"/>
  <c r="M184" i="9"/>
  <c r="L184" i="9"/>
  <c r="K184" i="9"/>
  <c r="J184" i="9"/>
  <c r="I184" i="9"/>
  <c r="AK184" i="9" s="1"/>
  <c r="H184" i="9"/>
  <c r="AF184" i="9" s="1"/>
  <c r="E184" i="9"/>
  <c r="C184" i="9"/>
  <c r="B184" i="9"/>
  <c r="AH183" i="9"/>
  <c r="AE183" i="9"/>
  <c r="AA183" i="9"/>
  <c r="V183" i="9"/>
  <c r="M183" i="9"/>
  <c r="K183" i="9"/>
  <c r="I183" i="9"/>
  <c r="AK183" i="9" s="1"/>
  <c r="H183" i="9"/>
  <c r="X183" i="9" s="1"/>
  <c r="E183" i="9"/>
  <c r="C183" i="9"/>
  <c r="B183" i="9"/>
  <c r="AK182" i="9"/>
  <c r="AI182" i="9"/>
  <c r="AH182" i="9"/>
  <c r="AG182" i="9"/>
  <c r="AF182" i="9"/>
  <c r="AE182" i="9"/>
  <c r="AD182" i="9"/>
  <c r="AC182" i="9"/>
  <c r="Y182" i="9"/>
  <c r="X182" i="9"/>
  <c r="W182" i="9"/>
  <c r="U182" i="9"/>
  <c r="T182" i="9"/>
  <c r="S182" i="9"/>
  <c r="R182" i="9"/>
  <c r="Q182" i="9"/>
  <c r="P182" i="9"/>
  <c r="O182" i="9"/>
  <c r="L182" i="9"/>
  <c r="K182" i="9"/>
  <c r="J182" i="9"/>
  <c r="I182" i="9"/>
  <c r="H182" i="9"/>
  <c r="E182" i="9"/>
  <c r="C182" i="9"/>
  <c r="B182" i="9"/>
  <c r="AH181" i="9"/>
  <c r="AF181" i="9"/>
  <c r="AE181" i="9"/>
  <c r="AD181" i="9"/>
  <c r="AC181" i="9"/>
  <c r="Z181" i="9"/>
  <c r="Y181" i="9"/>
  <c r="V181" i="9"/>
  <c r="U181" i="9"/>
  <c r="S181" i="9"/>
  <c r="R181" i="9"/>
  <c r="Q181" i="9"/>
  <c r="P181" i="9"/>
  <c r="O181" i="9"/>
  <c r="N181" i="9"/>
  <c r="L181" i="9"/>
  <c r="J181" i="9"/>
  <c r="I181" i="9"/>
  <c r="AK181" i="9" s="1"/>
  <c r="H181" i="9"/>
  <c r="E181" i="9"/>
  <c r="C181" i="9"/>
  <c r="B181" i="9"/>
  <c r="AK180" i="9"/>
  <c r="AJ180" i="9"/>
  <c r="AI180" i="9"/>
  <c r="AH180" i="9"/>
  <c r="AG180" i="9"/>
  <c r="AE180" i="9"/>
  <c r="AD180" i="9"/>
  <c r="AC180" i="9"/>
  <c r="AB180" i="9"/>
  <c r="AA180" i="9"/>
  <c r="Z180" i="9"/>
  <c r="Y180" i="9"/>
  <c r="X180" i="9"/>
  <c r="W180" i="9"/>
  <c r="V180" i="9"/>
  <c r="U180" i="9"/>
  <c r="S180" i="9"/>
  <c r="R180" i="9"/>
  <c r="Q180" i="9"/>
  <c r="P180" i="9"/>
  <c r="O180" i="9"/>
  <c r="N180" i="9"/>
  <c r="M180" i="9"/>
  <c r="L180" i="9"/>
  <c r="K180" i="9"/>
  <c r="J180" i="9"/>
  <c r="I180" i="9"/>
  <c r="H180" i="9"/>
  <c r="AF180" i="9" s="1"/>
  <c r="E180" i="9"/>
  <c r="C180" i="9"/>
  <c r="B180" i="9"/>
  <c r="AG179" i="9"/>
  <c r="AF179" i="9"/>
  <c r="AE179" i="9"/>
  <c r="AA179" i="9"/>
  <c r="AB179" i="9" s="1"/>
  <c r="Y179" i="9"/>
  <c r="W179" i="9"/>
  <c r="U179" i="9"/>
  <c r="R179" i="9"/>
  <c r="P179" i="9"/>
  <c r="O179" i="9"/>
  <c r="M179" i="9"/>
  <c r="K179" i="9"/>
  <c r="J179" i="9"/>
  <c r="H179" i="9"/>
  <c r="E179" i="9"/>
  <c r="C179" i="9"/>
  <c r="B179" i="9"/>
  <c r="AI178" i="9"/>
  <c r="AJ178" i="9" s="1"/>
  <c r="AH178" i="9"/>
  <c r="AG178" i="9"/>
  <c r="AE178" i="9"/>
  <c r="AC178" i="9"/>
  <c r="AB178" i="9"/>
  <c r="AA178" i="9"/>
  <c r="Y178" i="9"/>
  <c r="X178" i="9"/>
  <c r="V178" i="9"/>
  <c r="U178" i="9"/>
  <c r="S178" i="9"/>
  <c r="T178" i="9" s="1"/>
  <c r="P178" i="9"/>
  <c r="O178" i="9"/>
  <c r="M178" i="9"/>
  <c r="L178" i="9"/>
  <c r="K178" i="9"/>
  <c r="J178" i="9"/>
  <c r="I178" i="9"/>
  <c r="AK178" i="9" s="1"/>
  <c r="H178" i="9"/>
  <c r="E178" i="9"/>
  <c r="C178" i="9"/>
  <c r="B178" i="9"/>
  <c r="AH177" i="9"/>
  <c r="AG177" i="9"/>
  <c r="AF177" i="9"/>
  <c r="AE177" i="9"/>
  <c r="AD177" i="9"/>
  <c r="AC177" i="9"/>
  <c r="AB177" i="9"/>
  <c r="AA177" i="9"/>
  <c r="V177" i="9"/>
  <c r="T177" i="9"/>
  <c r="S177" i="9"/>
  <c r="R177" i="9"/>
  <c r="Q177" i="9"/>
  <c r="P177" i="9"/>
  <c r="O177" i="9"/>
  <c r="N177" i="9"/>
  <c r="M177" i="9"/>
  <c r="L177" i="9"/>
  <c r="H177" i="9"/>
  <c r="E177" i="9"/>
  <c r="C177" i="9"/>
  <c r="B177" i="9"/>
  <c r="AJ176" i="9"/>
  <c r="AI176" i="9"/>
  <c r="AH176" i="9"/>
  <c r="AG176" i="9"/>
  <c r="AE176" i="9"/>
  <c r="AD176" i="9"/>
  <c r="AC176" i="9"/>
  <c r="AB176" i="9"/>
  <c r="AA176" i="9"/>
  <c r="Z176" i="9"/>
  <c r="Y176" i="9"/>
  <c r="X176" i="9"/>
  <c r="W176" i="9"/>
  <c r="V176" i="9"/>
  <c r="U176" i="9"/>
  <c r="S176" i="9"/>
  <c r="R176" i="9"/>
  <c r="Q176" i="9"/>
  <c r="P176" i="9"/>
  <c r="O176" i="9"/>
  <c r="N176" i="9"/>
  <c r="M176" i="9"/>
  <c r="L176" i="9"/>
  <c r="K176" i="9"/>
  <c r="J176" i="9"/>
  <c r="I176" i="9"/>
  <c r="AK176" i="9" s="1"/>
  <c r="H176" i="9"/>
  <c r="AF176" i="9" s="1"/>
  <c r="E176" i="9"/>
  <c r="C176" i="9"/>
  <c r="B176" i="9"/>
  <c r="AG175" i="9"/>
  <c r="AF175" i="9"/>
  <c r="AD175" i="9"/>
  <c r="AB175" i="9"/>
  <c r="AA175" i="9"/>
  <c r="X175" i="9"/>
  <c r="R175" i="9"/>
  <c r="P175" i="9"/>
  <c r="N175" i="9"/>
  <c r="M175" i="9"/>
  <c r="K175" i="9"/>
  <c r="I175" i="9"/>
  <c r="AK175" i="9" s="1"/>
  <c r="H175" i="9"/>
  <c r="V175" i="9" s="1"/>
  <c r="E175" i="9"/>
  <c r="C175" i="9"/>
  <c r="B175" i="9"/>
  <c r="AH174" i="9"/>
  <c r="AF174" i="9"/>
  <c r="AE174" i="9"/>
  <c r="AC174" i="9"/>
  <c r="V174" i="9"/>
  <c r="U174" i="9"/>
  <c r="R174" i="9"/>
  <c r="Q174" i="9"/>
  <c r="P174" i="9"/>
  <c r="M174" i="9"/>
  <c r="K174" i="9"/>
  <c r="H174" i="9"/>
  <c r="E174" i="9"/>
  <c r="C174" i="9"/>
  <c r="B174" i="9"/>
  <c r="H173" i="9"/>
  <c r="E173" i="9"/>
  <c r="C173" i="9"/>
  <c r="B173" i="9"/>
  <c r="AJ172" i="9"/>
  <c r="AI172" i="9"/>
  <c r="AH172" i="9"/>
  <c r="AG172" i="9"/>
  <c r="AE172" i="9"/>
  <c r="AD172" i="9"/>
  <c r="AC172" i="9"/>
  <c r="AB172" i="9"/>
  <c r="AA172" i="9"/>
  <c r="Z172" i="9"/>
  <c r="Y172" i="9"/>
  <c r="X172" i="9"/>
  <c r="W172" i="9"/>
  <c r="V172" i="9"/>
  <c r="U172" i="9"/>
  <c r="S172" i="9"/>
  <c r="R172" i="9"/>
  <c r="Q172" i="9"/>
  <c r="P172" i="9"/>
  <c r="O172" i="9"/>
  <c r="N172" i="9"/>
  <c r="M172" i="9"/>
  <c r="L172" i="9"/>
  <c r="K172" i="9"/>
  <c r="J172" i="9"/>
  <c r="I172" i="9"/>
  <c r="AK172" i="9" s="1"/>
  <c r="H172" i="9"/>
  <c r="AF172" i="9" s="1"/>
  <c r="E172" i="9"/>
  <c r="C172" i="9"/>
  <c r="B172" i="9"/>
  <c r="AI171" i="9"/>
  <c r="AJ171" i="9" s="1"/>
  <c r="AH171" i="9"/>
  <c r="AG171" i="9"/>
  <c r="AE171" i="9"/>
  <c r="AD171" i="9"/>
  <c r="AA171" i="9"/>
  <c r="Z171" i="9"/>
  <c r="Y171" i="9"/>
  <c r="V171" i="9"/>
  <c r="U171" i="9"/>
  <c r="T171" i="9"/>
  <c r="S171" i="9"/>
  <c r="P171" i="9"/>
  <c r="N171" i="9"/>
  <c r="M171" i="9"/>
  <c r="L171" i="9"/>
  <c r="K171" i="9"/>
  <c r="J171" i="9"/>
  <c r="H171" i="9"/>
  <c r="E171" i="9"/>
  <c r="C171" i="9"/>
  <c r="B171" i="9"/>
  <c r="V170" i="9"/>
  <c r="H170" i="9"/>
  <c r="E170" i="9"/>
  <c r="C170" i="9"/>
  <c r="B170" i="9"/>
  <c r="AI169" i="9"/>
  <c r="AB169" i="9"/>
  <c r="AA169" i="9"/>
  <c r="Y169" i="9"/>
  <c r="X169" i="9"/>
  <c r="T169" i="9"/>
  <c r="N169" i="9"/>
  <c r="M169" i="9"/>
  <c r="K169" i="9"/>
  <c r="J169" i="9"/>
  <c r="H169" i="9"/>
  <c r="AJ169" i="9" s="1"/>
  <c r="E169" i="9"/>
  <c r="C169" i="9"/>
  <c r="B169" i="9"/>
  <c r="AI168" i="9"/>
  <c r="AH168" i="9"/>
  <c r="AG168" i="9"/>
  <c r="AF168" i="9"/>
  <c r="AE168" i="9"/>
  <c r="AC168" i="9"/>
  <c r="AB168" i="9"/>
  <c r="AA168" i="9"/>
  <c r="Z168" i="9"/>
  <c r="Y168" i="9"/>
  <c r="W168" i="9"/>
  <c r="U168" i="9"/>
  <c r="S168" i="9"/>
  <c r="T168" i="9" s="1"/>
  <c r="Q168" i="9"/>
  <c r="P168" i="9"/>
  <c r="O168" i="9"/>
  <c r="N168" i="9"/>
  <c r="M168" i="9"/>
  <c r="L168" i="9"/>
  <c r="J168" i="9"/>
  <c r="I168" i="9"/>
  <c r="AK168" i="9" s="1"/>
  <c r="H168" i="9"/>
  <c r="E168" i="9"/>
  <c r="C168" i="9"/>
  <c r="B168" i="9"/>
  <c r="AK167" i="9"/>
  <c r="AI167" i="9"/>
  <c r="AH167" i="9"/>
  <c r="AG167" i="9"/>
  <c r="AD167" i="9"/>
  <c r="AC167" i="9"/>
  <c r="Y167" i="9"/>
  <c r="X167" i="9"/>
  <c r="W167" i="9"/>
  <c r="U167" i="9"/>
  <c r="T167" i="9"/>
  <c r="R167" i="9"/>
  <c r="Q167" i="9"/>
  <c r="P167" i="9"/>
  <c r="N167" i="9"/>
  <c r="K167" i="9"/>
  <c r="J167" i="9"/>
  <c r="I167" i="9"/>
  <c r="H167" i="9"/>
  <c r="AE167" i="9" s="1"/>
  <c r="E167" i="9"/>
  <c r="C167" i="9"/>
  <c r="B167" i="9"/>
  <c r="AI166" i="9"/>
  <c r="AH166" i="9"/>
  <c r="AE166" i="9"/>
  <c r="AD166" i="9"/>
  <c r="AC166" i="9"/>
  <c r="AA166" i="9"/>
  <c r="Y166" i="9"/>
  <c r="W166" i="9"/>
  <c r="U166" i="9"/>
  <c r="T166" i="9"/>
  <c r="Q166" i="9"/>
  <c r="P166" i="9"/>
  <c r="O166" i="9"/>
  <c r="K166" i="9"/>
  <c r="J166" i="9"/>
  <c r="I166" i="9"/>
  <c r="AK166" i="9" s="1"/>
  <c r="H166" i="9"/>
  <c r="AG166" i="9" s="1"/>
  <c r="E166" i="9"/>
  <c r="C166" i="9"/>
  <c r="B166" i="9"/>
  <c r="AI165" i="9"/>
  <c r="AJ165" i="9" s="1"/>
  <c r="AH165" i="9"/>
  <c r="AE165" i="9"/>
  <c r="AD165" i="9"/>
  <c r="AC165" i="9"/>
  <c r="AB165" i="9"/>
  <c r="AA165" i="9"/>
  <c r="Z165" i="9"/>
  <c r="Y165" i="9"/>
  <c r="V165" i="9"/>
  <c r="R165" i="9"/>
  <c r="Q165" i="9"/>
  <c r="P165" i="9"/>
  <c r="O165" i="9"/>
  <c r="N165" i="9"/>
  <c r="M165" i="9"/>
  <c r="L165" i="9"/>
  <c r="K165" i="9"/>
  <c r="H165" i="9"/>
  <c r="E165" i="9"/>
  <c r="C165" i="9"/>
  <c r="B165" i="9"/>
  <c r="AI164" i="9"/>
  <c r="AJ164" i="9" s="1"/>
  <c r="X164" i="9"/>
  <c r="V164" i="9"/>
  <c r="U164" i="9"/>
  <c r="K164" i="9"/>
  <c r="J164" i="9"/>
  <c r="H164" i="9"/>
  <c r="E164" i="9"/>
  <c r="C164" i="9"/>
  <c r="B164" i="9"/>
  <c r="AJ163" i="9"/>
  <c r="AI163" i="9"/>
  <c r="AG163" i="9"/>
  <c r="AF163" i="9"/>
  <c r="AE163" i="9"/>
  <c r="AD163" i="9"/>
  <c r="AC163" i="9"/>
  <c r="AB163" i="9"/>
  <c r="Z163" i="9"/>
  <c r="Y163" i="9"/>
  <c r="X163" i="9"/>
  <c r="W163" i="9"/>
  <c r="V163" i="9"/>
  <c r="T163" i="9"/>
  <c r="S163" i="9"/>
  <c r="R163" i="9"/>
  <c r="Q163" i="9"/>
  <c r="P163" i="9"/>
  <c r="N163" i="9"/>
  <c r="M163" i="9"/>
  <c r="L163" i="9"/>
  <c r="K163" i="9"/>
  <c r="J163" i="9"/>
  <c r="I163" i="9"/>
  <c r="AK163" i="9" s="1"/>
  <c r="H163" i="9"/>
  <c r="E163" i="9"/>
  <c r="C163" i="9"/>
  <c r="B163" i="9"/>
  <c r="AI162" i="9"/>
  <c r="AG162" i="9"/>
  <c r="AF162" i="9"/>
  <c r="H162" i="9"/>
  <c r="E162" i="9"/>
  <c r="C162" i="9"/>
  <c r="B162" i="9"/>
  <c r="AH161" i="9"/>
  <c r="AF161" i="9"/>
  <c r="AE161" i="9"/>
  <c r="AD161" i="9"/>
  <c r="AC161" i="9"/>
  <c r="AA161" i="9"/>
  <c r="AB161" i="9" s="1"/>
  <c r="Z161" i="9"/>
  <c r="Y161" i="9"/>
  <c r="X161" i="9"/>
  <c r="W161" i="9"/>
  <c r="T161" i="9"/>
  <c r="S161" i="9"/>
  <c r="R161" i="9"/>
  <c r="Q161" i="9"/>
  <c r="P161" i="9"/>
  <c r="O161" i="9"/>
  <c r="N161" i="9"/>
  <c r="M161" i="9"/>
  <c r="L161" i="9"/>
  <c r="K161" i="9"/>
  <c r="J161" i="9"/>
  <c r="H161" i="9"/>
  <c r="E161" i="9"/>
  <c r="C161" i="9"/>
  <c r="B161" i="9"/>
  <c r="AI160" i="9"/>
  <c r="AH160" i="9"/>
  <c r="AG160" i="9"/>
  <c r="AF160" i="9"/>
  <c r="AE160" i="9"/>
  <c r="AC160" i="9"/>
  <c r="AA160" i="9"/>
  <c r="Z160" i="9"/>
  <c r="Y160" i="9"/>
  <c r="X160" i="9"/>
  <c r="W160" i="9"/>
  <c r="U160" i="9"/>
  <c r="T160" i="9"/>
  <c r="S160" i="9"/>
  <c r="Q160" i="9"/>
  <c r="P160" i="9"/>
  <c r="N160" i="9"/>
  <c r="M160" i="9"/>
  <c r="L160" i="9"/>
  <c r="K160" i="9"/>
  <c r="J160" i="9"/>
  <c r="I160" i="9"/>
  <c r="AK160" i="9" s="1"/>
  <c r="H160" i="9"/>
  <c r="E160" i="9"/>
  <c r="C160" i="9"/>
  <c r="B160" i="9"/>
  <c r="P159" i="9"/>
  <c r="I159" i="9"/>
  <c r="AK159" i="9" s="1"/>
  <c r="H159" i="9"/>
  <c r="AH159" i="9" s="1"/>
  <c r="E159" i="9"/>
  <c r="C159" i="9"/>
  <c r="B159" i="9"/>
  <c r="AH158" i="9"/>
  <c r="AB158" i="9"/>
  <c r="AA158" i="9"/>
  <c r="Y158" i="9"/>
  <c r="W158" i="9"/>
  <c r="T158" i="9"/>
  <c r="N158" i="9"/>
  <c r="M158" i="9"/>
  <c r="J158" i="9"/>
  <c r="I158" i="9"/>
  <c r="AK158" i="9" s="1"/>
  <c r="H158" i="9"/>
  <c r="AI158" i="9" s="1"/>
  <c r="E158" i="9"/>
  <c r="C158" i="9"/>
  <c r="B158" i="9"/>
  <c r="AF157" i="9"/>
  <c r="AE157" i="9"/>
  <c r="AC157" i="9"/>
  <c r="AB157" i="9"/>
  <c r="AA157" i="9"/>
  <c r="Y157" i="9"/>
  <c r="R157" i="9"/>
  <c r="Q157" i="9"/>
  <c r="O157" i="9"/>
  <c r="N157" i="9"/>
  <c r="M157" i="9"/>
  <c r="J157" i="9"/>
  <c r="H157" i="9"/>
  <c r="E157" i="9"/>
  <c r="C157" i="9"/>
  <c r="B157" i="9"/>
  <c r="AG156" i="9"/>
  <c r="H156" i="9"/>
  <c r="AH156" i="9" s="1"/>
  <c r="E156" i="9"/>
  <c r="C156" i="9"/>
  <c r="B156" i="9"/>
  <c r="AI155" i="9"/>
  <c r="AD155" i="9"/>
  <c r="AC155" i="9"/>
  <c r="AA155" i="9"/>
  <c r="Y155" i="9"/>
  <c r="X155" i="9"/>
  <c r="V155" i="9"/>
  <c r="Q155" i="9"/>
  <c r="P155" i="9"/>
  <c r="M155" i="9"/>
  <c r="L155" i="9"/>
  <c r="K155" i="9"/>
  <c r="I155" i="9"/>
  <c r="AK155" i="9" s="1"/>
  <c r="H155" i="9"/>
  <c r="AG155" i="9" s="1"/>
  <c r="E155" i="9"/>
  <c r="C155" i="9"/>
  <c r="B155" i="9"/>
  <c r="AK154" i="9"/>
  <c r="AG154" i="9"/>
  <c r="AF154" i="9"/>
  <c r="AE154" i="9"/>
  <c r="AD154" i="9"/>
  <c r="AC154" i="9"/>
  <c r="Y154" i="9"/>
  <c r="X154" i="9"/>
  <c r="V154" i="9"/>
  <c r="T154" i="9"/>
  <c r="S154" i="9"/>
  <c r="R154" i="9"/>
  <c r="Q154" i="9"/>
  <c r="P154" i="9"/>
  <c r="O154" i="9"/>
  <c r="L154" i="9"/>
  <c r="J154" i="9"/>
  <c r="I154" i="9"/>
  <c r="H154" i="9"/>
  <c r="AA154" i="9" s="1"/>
  <c r="AB154" i="9" s="1"/>
  <c r="E154" i="9"/>
  <c r="C154" i="9"/>
  <c r="B154" i="9"/>
  <c r="AJ153" i="9"/>
  <c r="AI153" i="9"/>
  <c r="AH153" i="9"/>
  <c r="AG153" i="9"/>
  <c r="AE153" i="9"/>
  <c r="AD153" i="9"/>
  <c r="AC153" i="9"/>
  <c r="AB153" i="9"/>
  <c r="AA153" i="9"/>
  <c r="Z153" i="9"/>
  <c r="Y153" i="9"/>
  <c r="X153" i="9"/>
  <c r="W153" i="9"/>
  <c r="V153" i="9"/>
  <c r="U153" i="9"/>
  <c r="S153" i="9"/>
  <c r="R153" i="9"/>
  <c r="Q153" i="9"/>
  <c r="P153" i="9"/>
  <c r="O153" i="9"/>
  <c r="N153" i="9"/>
  <c r="M153" i="9"/>
  <c r="L153" i="9"/>
  <c r="K153" i="9"/>
  <c r="J153" i="9"/>
  <c r="I153" i="9"/>
  <c r="AK153" i="9" s="1"/>
  <c r="H153" i="9"/>
  <c r="AF153" i="9" s="1"/>
  <c r="E153" i="9"/>
  <c r="C153" i="9"/>
  <c r="B153" i="9"/>
  <c r="AG152" i="9"/>
  <c r="AE152" i="9"/>
  <c r="Y152" i="9"/>
  <c r="V152" i="9"/>
  <c r="U152" i="9"/>
  <c r="T152" i="9"/>
  <c r="R152" i="9"/>
  <c r="L152" i="9"/>
  <c r="H152" i="9"/>
  <c r="E152" i="9"/>
  <c r="C152" i="9"/>
  <c r="B152" i="9"/>
  <c r="AG151" i="9"/>
  <c r="AF151" i="9"/>
  <c r="AD151" i="9"/>
  <c r="AC151" i="9"/>
  <c r="Y151" i="9"/>
  <c r="X151" i="9"/>
  <c r="S151" i="9"/>
  <c r="T151" i="9" s="1"/>
  <c r="Q151" i="9"/>
  <c r="P151" i="9"/>
  <c r="O151" i="9"/>
  <c r="L151" i="9"/>
  <c r="K151" i="9"/>
  <c r="H151" i="9"/>
  <c r="E151" i="9"/>
  <c r="C151" i="9"/>
  <c r="B151" i="9"/>
  <c r="AF150" i="9"/>
  <c r="AA150" i="9"/>
  <c r="Z150" i="9"/>
  <c r="V150" i="9"/>
  <c r="U150" i="9"/>
  <c r="S150" i="9"/>
  <c r="N150" i="9"/>
  <c r="M150" i="9"/>
  <c r="H150" i="9"/>
  <c r="E150" i="9"/>
  <c r="C150" i="9"/>
  <c r="B150" i="9"/>
  <c r="AJ149" i="9"/>
  <c r="AI149" i="9"/>
  <c r="AH149" i="9"/>
  <c r="AG149" i="9"/>
  <c r="AE149" i="9"/>
  <c r="AD149" i="9"/>
  <c r="AC149" i="9"/>
  <c r="AB149" i="9"/>
  <c r="AA149" i="9"/>
  <c r="Z149" i="9"/>
  <c r="Y149" i="9"/>
  <c r="X149" i="9"/>
  <c r="W149" i="9"/>
  <c r="V149" i="9"/>
  <c r="U149" i="9"/>
  <c r="S149" i="9"/>
  <c r="R149" i="9"/>
  <c r="Q149" i="9"/>
  <c r="P149" i="9"/>
  <c r="O149" i="9"/>
  <c r="N149" i="9"/>
  <c r="M149" i="9"/>
  <c r="L149" i="9"/>
  <c r="K149" i="9"/>
  <c r="J149" i="9"/>
  <c r="I149" i="9"/>
  <c r="AK149" i="9" s="1"/>
  <c r="H149" i="9"/>
  <c r="AF149" i="9" s="1"/>
  <c r="E149" i="9"/>
  <c r="C149" i="9"/>
  <c r="B149" i="9"/>
  <c r="AA148" i="9"/>
  <c r="AB148" i="9" s="1"/>
  <c r="Y148" i="9"/>
  <c r="W148" i="9"/>
  <c r="U148" i="9"/>
  <c r="O148" i="9"/>
  <c r="N148" i="9"/>
  <c r="L148" i="9"/>
  <c r="H148" i="9"/>
  <c r="E148" i="9"/>
  <c r="C148" i="9"/>
  <c r="B148" i="9"/>
  <c r="AI147" i="9"/>
  <c r="AJ147" i="9" s="1"/>
  <c r="AG147" i="9"/>
  <c r="AF147" i="9"/>
  <c r="AE147" i="9"/>
  <c r="AD147" i="9"/>
  <c r="AC147" i="9"/>
  <c r="X147" i="9"/>
  <c r="W147" i="9"/>
  <c r="V147" i="9"/>
  <c r="S147" i="9"/>
  <c r="T147" i="9" s="1"/>
  <c r="R147" i="9"/>
  <c r="Q147" i="9"/>
  <c r="P147" i="9"/>
  <c r="O147" i="9"/>
  <c r="K147" i="9"/>
  <c r="J147" i="9"/>
  <c r="I147" i="9"/>
  <c r="AK147" i="9" s="1"/>
  <c r="H147" i="9"/>
  <c r="AA147" i="9" s="1"/>
  <c r="AB147" i="9" s="1"/>
  <c r="E147" i="9"/>
  <c r="C147" i="9"/>
  <c r="B147" i="9"/>
  <c r="AJ146" i="9"/>
  <c r="AD146" i="9"/>
  <c r="AC146" i="9"/>
  <c r="AA146" i="9"/>
  <c r="Z146" i="9"/>
  <c r="Y146" i="9"/>
  <c r="V146" i="9"/>
  <c r="Q146" i="9"/>
  <c r="P146" i="9"/>
  <c r="N146" i="9"/>
  <c r="M146" i="9"/>
  <c r="L146" i="9"/>
  <c r="I146" i="9"/>
  <c r="AK146" i="9" s="1"/>
  <c r="H146" i="9"/>
  <c r="AG146" i="9" s="1"/>
  <c r="E146" i="9"/>
  <c r="C146" i="9"/>
  <c r="B146" i="9"/>
  <c r="AK145" i="9"/>
  <c r="AJ145" i="9"/>
  <c r="AI145" i="9"/>
  <c r="AH145" i="9"/>
  <c r="AG145" i="9"/>
  <c r="AE145" i="9"/>
  <c r="AD145" i="9"/>
  <c r="AC145" i="9"/>
  <c r="AB145" i="9"/>
  <c r="AA145" i="9"/>
  <c r="Z145" i="9"/>
  <c r="Y145" i="9"/>
  <c r="X145" i="9"/>
  <c r="W145" i="9"/>
  <c r="V145" i="9"/>
  <c r="U145" i="9"/>
  <c r="S145" i="9"/>
  <c r="R145" i="9"/>
  <c r="Q145" i="9"/>
  <c r="P145" i="9"/>
  <c r="O145" i="9"/>
  <c r="N145" i="9"/>
  <c r="M145" i="9"/>
  <c r="L145" i="9"/>
  <c r="K145" i="9"/>
  <c r="J145" i="9"/>
  <c r="I145" i="9"/>
  <c r="H145" i="9"/>
  <c r="AF145" i="9" s="1"/>
  <c r="E145" i="9"/>
  <c r="C145" i="9"/>
  <c r="B145" i="9"/>
  <c r="AG144" i="9"/>
  <c r="AF144" i="9"/>
  <c r="AE144" i="9"/>
  <c r="AD144" i="9"/>
  <c r="AB144" i="9"/>
  <c r="AA144" i="9"/>
  <c r="Z144" i="9"/>
  <c r="Y144" i="9"/>
  <c r="X144" i="9"/>
  <c r="W144" i="9"/>
  <c r="S144" i="9"/>
  <c r="T144" i="9" s="1"/>
  <c r="R144" i="9"/>
  <c r="P144" i="9"/>
  <c r="O144" i="9"/>
  <c r="N144" i="9"/>
  <c r="M144" i="9"/>
  <c r="L144" i="9"/>
  <c r="K144" i="9"/>
  <c r="J144" i="9"/>
  <c r="H144" i="9"/>
  <c r="E144" i="9"/>
  <c r="C144" i="9"/>
  <c r="B144" i="9"/>
  <c r="AF143" i="9"/>
  <c r="J143" i="9"/>
  <c r="I143" i="9"/>
  <c r="AK143" i="9" s="1"/>
  <c r="H143" i="9"/>
  <c r="AA143" i="9" s="1"/>
  <c r="E143" i="9"/>
  <c r="C143" i="9"/>
  <c r="B143" i="9"/>
  <c r="AG142" i="9"/>
  <c r="AF142" i="9"/>
  <c r="AD142" i="9"/>
  <c r="AC142" i="9"/>
  <c r="AB142" i="9"/>
  <c r="Z142" i="9"/>
  <c r="Y142" i="9"/>
  <c r="T142" i="9"/>
  <c r="S142" i="9"/>
  <c r="Q142" i="9"/>
  <c r="P142" i="9"/>
  <c r="O142" i="9"/>
  <c r="M142" i="9"/>
  <c r="L142" i="9"/>
  <c r="H142" i="9"/>
  <c r="E142" i="9"/>
  <c r="C142" i="9"/>
  <c r="B142" i="9"/>
  <c r="AJ141" i="9"/>
  <c r="AI141" i="9"/>
  <c r="AH141" i="9"/>
  <c r="AG141" i="9"/>
  <c r="AE141" i="9"/>
  <c r="AD141" i="9"/>
  <c r="AC141" i="9"/>
  <c r="AB141" i="9"/>
  <c r="AA141" i="9"/>
  <c r="Z141" i="9"/>
  <c r="Y141" i="9"/>
  <c r="X141" i="9"/>
  <c r="W141" i="9"/>
  <c r="V141" i="9"/>
  <c r="U141" i="9"/>
  <c r="S141" i="9"/>
  <c r="R141" i="9"/>
  <c r="Q141" i="9"/>
  <c r="P141" i="9"/>
  <c r="O141" i="9"/>
  <c r="N141" i="9"/>
  <c r="M141" i="9"/>
  <c r="L141" i="9"/>
  <c r="K141" i="9"/>
  <c r="J141" i="9"/>
  <c r="I141" i="9"/>
  <c r="AK141" i="9" s="1"/>
  <c r="H141" i="9"/>
  <c r="AF141" i="9" s="1"/>
  <c r="E141" i="9"/>
  <c r="C141" i="9"/>
  <c r="B141" i="9"/>
  <c r="AI140" i="9"/>
  <c r="AH140" i="9"/>
  <c r="AF140" i="9"/>
  <c r="AD140" i="9"/>
  <c r="AA140" i="9"/>
  <c r="Z140" i="9"/>
  <c r="V140" i="9"/>
  <c r="U140" i="9"/>
  <c r="S140" i="9"/>
  <c r="R140" i="9"/>
  <c r="P140" i="9"/>
  <c r="N140" i="9"/>
  <c r="M140" i="9"/>
  <c r="I140" i="9"/>
  <c r="AK140" i="9" s="1"/>
  <c r="H140" i="9"/>
  <c r="E140" i="9"/>
  <c r="C140" i="9"/>
  <c r="B140" i="9"/>
  <c r="AK139" i="9"/>
  <c r="AI139" i="9"/>
  <c r="AH139" i="9"/>
  <c r="AD139" i="9"/>
  <c r="AA139" i="9"/>
  <c r="Y139" i="9"/>
  <c r="X139" i="9"/>
  <c r="U139" i="9"/>
  <c r="Q139" i="9"/>
  <c r="P139" i="9"/>
  <c r="M139" i="9"/>
  <c r="L139" i="9"/>
  <c r="K139" i="9"/>
  <c r="I139" i="9"/>
  <c r="H139" i="9"/>
  <c r="E139" i="9"/>
  <c r="C139" i="9"/>
  <c r="B139" i="9"/>
  <c r="AJ138" i="9"/>
  <c r="AG138" i="9"/>
  <c r="AF138" i="9"/>
  <c r="AE138" i="9"/>
  <c r="AD138" i="9"/>
  <c r="AC138" i="9"/>
  <c r="AB138" i="9"/>
  <c r="Y138" i="9"/>
  <c r="X138" i="9"/>
  <c r="V138" i="9"/>
  <c r="T138" i="9"/>
  <c r="S138" i="9"/>
  <c r="R138" i="9"/>
  <c r="Q138" i="9"/>
  <c r="P138" i="9"/>
  <c r="O138" i="9"/>
  <c r="L138" i="9"/>
  <c r="J138" i="9"/>
  <c r="I138" i="9"/>
  <c r="AK138" i="9" s="1"/>
  <c r="H138" i="9"/>
  <c r="AA138" i="9" s="1"/>
  <c r="E138" i="9"/>
  <c r="C138" i="9"/>
  <c r="B138" i="9"/>
  <c r="AI137" i="9"/>
  <c r="AJ137" i="9" s="1"/>
  <c r="AH137" i="9"/>
  <c r="AG137" i="9"/>
  <c r="AE137" i="9"/>
  <c r="AD137" i="9"/>
  <c r="AC137" i="9"/>
  <c r="AA137" i="9"/>
  <c r="AB137" i="9" s="1"/>
  <c r="Z137" i="9"/>
  <c r="Y137" i="9"/>
  <c r="X137" i="9"/>
  <c r="W137" i="9"/>
  <c r="V137" i="9"/>
  <c r="U137" i="9"/>
  <c r="S137" i="9"/>
  <c r="R137" i="9"/>
  <c r="Q137" i="9"/>
  <c r="P137" i="9"/>
  <c r="O137" i="9"/>
  <c r="N137" i="9"/>
  <c r="M137" i="9"/>
  <c r="L137" i="9"/>
  <c r="K137" i="9"/>
  <c r="J137" i="9"/>
  <c r="I137" i="9"/>
  <c r="AK137" i="9" s="1"/>
  <c r="H137" i="9"/>
  <c r="AF137" i="9" s="1"/>
  <c r="E137" i="9"/>
  <c r="C137" i="9"/>
  <c r="B137" i="9"/>
  <c r="V136" i="9"/>
  <c r="U136" i="9"/>
  <c r="T136" i="9"/>
  <c r="R136" i="9"/>
  <c r="H136" i="9"/>
  <c r="E136" i="9"/>
  <c r="C136" i="9"/>
  <c r="B136" i="9"/>
  <c r="AH135" i="9"/>
  <c r="AG135" i="9"/>
  <c r="AD135" i="9"/>
  <c r="AB135" i="9"/>
  <c r="Y135" i="9"/>
  <c r="X135" i="9"/>
  <c r="T135" i="9"/>
  <c r="S135" i="9"/>
  <c r="Q135" i="9"/>
  <c r="P135" i="9"/>
  <c r="O135" i="9"/>
  <c r="K135" i="9"/>
  <c r="H135" i="9"/>
  <c r="E135" i="9"/>
  <c r="C135" i="9"/>
  <c r="B135" i="9"/>
  <c r="AH134" i="9"/>
  <c r="AF134" i="9"/>
  <c r="AE134" i="9"/>
  <c r="Z134" i="9"/>
  <c r="X134" i="9"/>
  <c r="V134" i="9"/>
  <c r="U134" i="9"/>
  <c r="S134" i="9"/>
  <c r="O134" i="9"/>
  <c r="N134" i="9"/>
  <c r="M134" i="9"/>
  <c r="J134" i="9"/>
  <c r="I134" i="9"/>
  <c r="AK134" i="9" s="1"/>
  <c r="H134" i="9"/>
  <c r="E134" i="9"/>
  <c r="C134" i="9"/>
  <c r="B134" i="9"/>
  <c r="AJ133" i="9"/>
  <c r="AI133" i="9"/>
  <c r="AH133" i="9"/>
  <c r="AG133" i="9"/>
  <c r="AE133" i="9"/>
  <c r="AD133" i="9"/>
  <c r="AC133" i="9"/>
  <c r="AB133" i="9"/>
  <c r="AA133" i="9"/>
  <c r="Z133" i="9"/>
  <c r="Y133" i="9"/>
  <c r="X133" i="9"/>
  <c r="W133" i="9"/>
  <c r="V133" i="9"/>
  <c r="U133" i="9"/>
  <c r="S133" i="9"/>
  <c r="R133" i="9"/>
  <c r="Q133" i="9"/>
  <c r="P133" i="9"/>
  <c r="O133" i="9"/>
  <c r="N133" i="9"/>
  <c r="M133" i="9"/>
  <c r="L133" i="9"/>
  <c r="K133" i="9"/>
  <c r="J133" i="9"/>
  <c r="I133" i="9"/>
  <c r="AK133" i="9" s="1"/>
  <c r="H133" i="9"/>
  <c r="AF133" i="9" s="1"/>
  <c r="E133" i="9"/>
  <c r="C133" i="9"/>
  <c r="B133" i="9"/>
  <c r="AJ132" i="9"/>
  <c r="AB132" i="9"/>
  <c r="Y132" i="9"/>
  <c r="U132" i="9"/>
  <c r="T132" i="9"/>
  <c r="P132" i="9"/>
  <c r="O132" i="9"/>
  <c r="J132" i="9"/>
  <c r="H132" i="9"/>
  <c r="E132" i="9"/>
  <c r="C132" i="9"/>
  <c r="B132" i="9"/>
  <c r="AK131" i="9"/>
  <c r="AJ131" i="9"/>
  <c r="AI131" i="9"/>
  <c r="AG131" i="9"/>
  <c r="AF131" i="9"/>
  <c r="AE131" i="9"/>
  <c r="AD131" i="9"/>
  <c r="AC131" i="9"/>
  <c r="X131" i="9"/>
  <c r="W131" i="9"/>
  <c r="V131" i="9"/>
  <c r="S131" i="9"/>
  <c r="T131" i="9" s="1"/>
  <c r="R131" i="9"/>
  <c r="Q131" i="9"/>
  <c r="P131" i="9"/>
  <c r="O131" i="9"/>
  <c r="K131" i="9"/>
  <c r="J131" i="9"/>
  <c r="I131" i="9"/>
  <c r="H131" i="9"/>
  <c r="AA131" i="9" s="1"/>
  <c r="AB131" i="9" s="1"/>
  <c r="E131" i="9"/>
  <c r="C131" i="9"/>
  <c r="B131" i="9"/>
  <c r="AH130" i="9"/>
  <c r="AE130" i="9"/>
  <c r="AD130" i="9"/>
  <c r="AC130" i="9"/>
  <c r="Z130" i="9"/>
  <c r="Y130" i="9"/>
  <c r="V130" i="9"/>
  <c r="R130" i="9"/>
  <c r="Q130" i="9"/>
  <c r="P130" i="9"/>
  <c r="N130" i="9"/>
  <c r="M130" i="9"/>
  <c r="L130" i="9"/>
  <c r="I130" i="9"/>
  <c r="AK130" i="9" s="1"/>
  <c r="H130" i="9"/>
  <c r="E130" i="9"/>
  <c r="C130" i="9"/>
  <c r="B130" i="9"/>
  <c r="AK129" i="9"/>
  <c r="AJ129" i="9"/>
  <c r="AI129" i="9"/>
  <c r="AH129" i="9"/>
  <c r="AG129" i="9"/>
  <c r="AE129" i="9"/>
  <c r="AD129" i="9"/>
  <c r="AC129" i="9"/>
  <c r="AB129" i="9"/>
  <c r="AA129" i="9"/>
  <c r="Z129" i="9"/>
  <c r="Y129" i="9"/>
  <c r="X129" i="9"/>
  <c r="W129" i="9"/>
  <c r="V129" i="9"/>
  <c r="U129" i="9"/>
  <c r="S129" i="9"/>
  <c r="R129" i="9"/>
  <c r="Q129" i="9"/>
  <c r="P129" i="9"/>
  <c r="O129" i="9"/>
  <c r="N129" i="9"/>
  <c r="M129" i="9"/>
  <c r="L129" i="9"/>
  <c r="K129" i="9"/>
  <c r="J129" i="9"/>
  <c r="I129" i="9"/>
  <c r="H129" i="9"/>
  <c r="AF129" i="9" s="1"/>
  <c r="E129" i="9"/>
  <c r="C129" i="9"/>
  <c r="B129" i="9"/>
  <c r="AG128" i="9"/>
  <c r="AF128" i="9"/>
  <c r="AE128" i="9"/>
  <c r="AD128" i="9"/>
  <c r="AA128" i="9"/>
  <c r="AB128" i="9" s="1"/>
  <c r="Z128" i="9"/>
  <c r="Y128" i="9"/>
  <c r="X128" i="9"/>
  <c r="W128" i="9"/>
  <c r="T128" i="9"/>
  <c r="S128" i="9"/>
  <c r="R128" i="9"/>
  <c r="P128" i="9"/>
  <c r="O128" i="9"/>
  <c r="N128" i="9"/>
  <c r="M128" i="9"/>
  <c r="L128" i="9"/>
  <c r="K128" i="9"/>
  <c r="J128" i="9"/>
  <c r="H128" i="9"/>
  <c r="E128" i="9"/>
  <c r="C128" i="9"/>
  <c r="B128" i="9"/>
  <c r="AK127" i="9"/>
  <c r="AI127" i="9"/>
  <c r="AJ127" i="9" s="1"/>
  <c r="AG127" i="9"/>
  <c r="AF127" i="9"/>
  <c r="AE127" i="9"/>
  <c r="AB127" i="9"/>
  <c r="AA127" i="9"/>
  <c r="Y127" i="9"/>
  <c r="X127" i="9"/>
  <c r="V127" i="9"/>
  <c r="U127" i="9"/>
  <c r="R127" i="9"/>
  <c r="O127" i="9"/>
  <c r="M127" i="9"/>
  <c r="L127" i="9"/>
  <c r="K127" i="9"/>
  <c r="J127" i="9"/>
  <c r="I127" i="9"/>
  <c r="H127" i="9"/>
  <c r="E127" i="9"/>
  <c r="C127" i="9"/>
  <c r="B127" i="9"/>
  <c r="AG126" i="9"/>
  <c r="AF126" i="9"/>
  <c r="AE126" i="9"/>
  <c r="AD126" i="9"/>
  <c r="AC126" i="9"/>
  <c r="AA126" i="9"/>
  <c r="AB126" i="9" s="1"/>
  <c r="Y126" i="9"/>
  <c r="U126" i="9"/>
  <c r="R126" i="9"/>
  <c r="Q126" i="9"/>
  <c r="P126" i="9"/>
  <c r="O126" i="9"/>
  <c r="N126" i="9"/>
  <c r="M126" i="9"/>
  <c r="L126" i="9"/>
  <c r="H126" i="9"/>
  <c r="E126" i="9"/>
  <c r="C126" i="9"/>
  <c r="B126" i="9"/>
  <c r="AI125" i="9"/>
  <c r="AJ125" i="9" s="1"/>
  <c r="AH125" i="9"/>
  <c r="AG125" i="9"/>
  <c r="AE125" i="9"/>
  <c r="AD125" i="9"/>
  <c r="AC125" i="9"/>
  <c r="AA125" i="9"/>
  <c r="AB125" i="9" s="1"/>
  <c r="Z125" i="9"/>
  <c r="Y125" i="9"/>
  <c r="X125" i="9"/>
  <c r="W125" i="9"/>
  <c r="V125" i="9"/>
  <c r="U125" i="9"/>
  <c r="S125" i="9"/>
  <c r="R125" i="9"/>
  <c r="Q125" i="9"/>
  <c r="P125" i="9"/>
  <c r="O125" i="9"/>
  <c r="N125" i="9"/>
  <c r="M125" i="9"/>
  <c r="L125" i="9"/>
  <c r="K125" i="9"/>
  <c r="J125" i="9"/>
  <c r="I125" i="9"/>
  <c r="AK125" i="9" s="1"/>
  <c r="H125" i="9"/>
  <c r="AF125" i="9" s="1"/>
  <c r="E125" i="9"/>
  <c r="C125" i="9"/>
  <c r="B125" i="9"/>
  <c r="AI124" i="9"/>
  <c r="AH124" i="9"/>
  <c r="AG124" i="9"/>
  <c r="AE124" i="9"/>
  <c r="AD124" i="9"/>
  <c r="AB124" i="9"/>
  <c r="AA124" i="9"/>
  <c r="Z124" i="9"/>
  <c r="X124" i="9"/>
  <c r="W124" i="9"/>
  <c r="U124" i="9"/>
  <c r="T124" i="9"/>
  <c r="S124" i="9"/>
  <c r="P124" i="9"/>
  <c r="O124" i="9"/>
  <c r="N124" i="9"/>
  <c r="M124" i="9"/>
  <c r="K124" i="9"/>
  <c r="J124" i="9"/>
  <c r="I124" i="9"/>
  <c r="AK124" i="9" s="1"/>
  <c r="H124" i="9"/>
  <c r="E124" i="9"/>
  <c r="C124" i="9"/>
  <c r="B124" i="9"/>
  <c r="AI123" i="9"/>
  <c r="AH123" i="9"/>
  <c r="AF123" i="9"/>
  <c r="AE123" i="9"/>
  <c r="AA123" i="9"/>
  <c r="U123" i="9"/>
  <c r="S123" i="9"/>
  <c r="R123" i="9"/>
  <c r="Q123" i="9"/>
  <c r="L123" i="9"/>
  <c r="H123" i="9"/>
  <c r="AD123" i="9" s="1"/>
  <c r="E123" i="9"/>
  <c r="C123" i="9"/>
  <c r="B123" i="9"/>
  <c r="H122" i="9"/>
  <c r="Y122" i="9" s="1"/>
  <c r="E122" i="9"/>
  <c r="C122" i="9"/>
  <c r="B122" i="9"/>
  <c r="AK121" i="9"/>
  <c r="AJ121" i="9"/>
  <c r="AI121" i="9"/>
  <c r="AH121" i="9"/>
  <c r="AG121" i="9"/>
  <c r="AE121" i="9"/>
  <c r="AD121" i="9"/>
  <c r="AC121" i="9"/>
  <c r="AB121" i="9"/>
  <c r="AA121" i="9"/>
  <c r="Z121" i="9"/>
  <c r="Y121" i="9"/>
  <c r="X121" i="9"/>
  <c r="W121" i="9"/>
  <c r="V121" i="9"/>
  <c r="U121" i="9"/>
  <c r="S121" i="9"/>
  <c r="R121" i="9"/>
  <c r="Q121" i="9"/>
  <c r="P121" i="9"/>
  <c r="O121" i="9"/>
  <c r="N121" i="9"/>
  <c r="M121" i="9"/>
  <c r="L121" i="9"/>
  <c r="K121" i="9"/>
  <c r="J121" i="9"/>
  <c r="I121" i="9"/>
  <c r="H121" i="9"/>
  <c r="AF121" i="9" s="1"/>
  <c r="E121" i="9"/>
  <c r="C121" i="9"/>
  <c r="B121" i="9"/>
  <c r="X120" i="9"/>
  <c r="W120" i="9"/>
  <c r="V120" i="9"/>
  <c r="H120" i="9"/>
  <c r="E120" i="9"/>
  <c r="C120" i="9"/>
  <c r="B120" i="9"/>
  <c r="AE119" i="9"/>
  <c r="AD119" i="9"/>
  <c r="AC119" i="9"/>
  <c r="AB119" i="9"/>
  <c r="Q119" i="9"/>
  <c r="P119" i="9"/>
  <c r="O119" i="9"/>
  <c r="M119" i="9"/>
  <c r="H119" i="9"/>
  <c r="AI119" i="9" s="1"/>
  <c r="E119" i="9"/>
  <c r="C119" i="9"/>
  <c r="B119" i="9"/>
  <c r="AJ118" i="9"/>
  <c r="AH118" i="9"/>
  <c r="AG118" i="9"/>
  <c r="AF118" i="9"/>
  <c r="AA118" i="9"/>
  <c r="U118" i="9"/>
  <c r="T118" i="9"/>
  <c r="S118" i="9"/>
  <c r="R118" i="9"/>
  <c r="M118" i="9"/>
  <c r="H118" i="9"/>
  <c r="AE118" i="9" s="1"/>
  <c r="E118" i="9"/>
  <c r="C118" i="9"/>
  <c r="B118" i="9"/>
  <c r="AJ117" i="9"/>
  <c r="AI117" i="9"/>
  <c r="AH117" i="9"/>
  <c r="AG117" i="9"/>
  <c r="AE117" i="9"/>
  <c r="AD117" i="9"/>
  <c r="AC117" i="9"/>
  <c r="AA117" i="9"/>
  <c r="AB117" i="9" s="1"/>
  <c r="Z117" i="9"/>
  <c r="Y117" i="9"/>
  <c r="X117" i="9"/>
  <c r="W117" i="9"/>
  <c r="V117" i="9"/>
  <c r="U117" i="9"/>
  <c r="S117" i="9"/>
  <c r="R117" i="9"/>
  <c r="Q117" i="9"/>
  <c r="P117" i="9"/>
  <c r="O117" i="9"/>
  <c r="N117" i="9"/>
  <c r="M117" i="9"/>
  <c r="L117" i="9"/>
  <c r="K117" i="9"/>
  <c r="J117" i="9"/>
  <c r="I117" i="9"/>
  <c r="AK117" i="9" s="1"/>
  <c r="H117" i="9"/>
  <c r="AF117" i="9" s="1"/>
  <c r="E117" i="9"/>
  <c r="C117" i="9"/>
  <c r="B117" i="9"/>
  <c r="AI116" i="9"/>
  <c r="AH116" i="9"/>
  <c r="AG116" i="9"/>
  <c r="AE116" i="9"/>
  <c r="AD116" i="9"/>
  <c r="AB116" i="9"/>
  <c r="AA116" i="9"/>
  <c r="Z116" i="9"/>
  <c r="Y116" i="9"/>
  <c r="X116" i="9"/>
  <c r="W116" i="9"/>
  <c r="U116" i="9"/>
  <c r="T116" i="9"/>
  <c r="R116" i="9"/>
  <c r="P116" i="9"/>
  <c r="O116" i="9"/>
  <c r="N116" i="9"/>
  <c r="M116" i="9"/>
  <c r="L116" i="9"/>
  <c r="K116" i="9"/>
  <c r="J116" i="9"/>
  <c r="I116" i="9"/>
  <c r="AK116" i="9" s="1"/>
  <c r="H116" i="9"/>
  <c r="E116" i="9"/>
  <c r="C116" i="9"/>
  <c r="B116" i="9"/>
  <c r="AJ115" i="9"/>
  <c r="Y115" i="9"/>
  <c r="X115" i="9"/>
  <c r="W115" i="9"/>
  <c r="V115" i="9"/>
  <c r="K115" i="9"/>
  <c r="J115" i="9"/>
  <c r="I115" i="9"/>
  <c r="AK115" i="9" s="1"/>
  <c r="H115" i="9"/>
  <c r="E115" i="9"/>
  <c r="C115" i="9"/>
  <c r="B115" i="9"/>
  <c r="AD114" i="9"/>
  <c r="AC114" i="9"/>
  <c r="AA114" i="9"/>
  <c r="AB114" i="9" s="1"/>
  <c r="P114" i="9"/>
  <c r="O114" i="9"/>
  <c r="N114" i="9"/>
  <c r="M114" i="9"/>
  <c r="H114" i="9"/>
  <c r="E114" i="9"/>
  <c r="C114" i="9"/>
  <c r="B114" i="9"/>
  <c r="AJ113" i="9"/>
  <c r="AI113" i="9"/>
  <c r="AH113" i="9"/>
  <c r="AG113" i="9"/>
  <c r="AE113" i="9"/>
  <c r="AD113" i="9"/>
  <c r="AC113" i="9"/>
  <c r="AB113" i="9"/>
  <c r="AA113" i="9"/>
  <c r="Z113" i="9"/>
  <c r="Y113" i="9"/>
  <c r="X113" i="9"/>
  <c r="W113" i="9"/>
  <c r="V113" i="9"/>
  <c r="U113" i="9"/>
  <c r="S113" i="9"/>
  <c r="R113" i="9"/>
  <c r="Q113" i="9"/>
  <c r="P113" i="9"/>
  <c r="O113" i="9"/>
  <c r="N113" i="9"/>
  <c r="M113" i="9"/>
  <c r="L113" i="9"/>
  <c r="K113" i="9"/>
  <c r="J113" i="9"/>
  <c r="I113" i="9"/>
  <c r="AK113" i="9" s="1"/>
  <c r="H113" i="9"/>
  <c r="AF113" i="9" s="1"/>
  <c r="E113" i="9"/>
  <c r="C113" i="9"/>
  <c r="B113" i="9"/>
  <c r="AH112" i="9"/>
  <c r="AG112" i="9"/>
  <c r="AE112" i="9"/>
  <c r="AD112" i="9"/>
  <c r="AA112" i="9"/>
  <c r="AB112" i="9" s="1"/>
  <c r="Z112" i="9"/>
  <c r="Y112" i="9"/>
  <c r="X112" i="9"/>
  <c r="U112" i="9"/>
  <c r="S112" i="9"/>
  <c r="T112" i="9" s="1"/>
  <c r="P112" i="9"/>
  <c r="O112" i="9"/>
  <c r="N112" i="9"/>
  <c r="M112" i="9"/>
  <c r="L112" i="9"/>
  <c r="K112" i="9"/>
  <c r="J112" i="9"/>
  <c r="H112" i="9"/>
  <c r="E112" i="9"/>
  <c r="C112" i="9"/>
  <c r="B112" i="9"/>
  <c r="AI111" i="9"/>
  <c r="AH111" i="9"/>
  <c r="AG111" i="9"/>
  <c r="AF111" i="9"/>
  <c r="AA111" i="9"/>
  <c r="U111" i="9"/>
  <c r="T111" i="9"/>
  <c r="S111" i="9"/>
  <c r="R111" i="9"/>
  <c r="L111" i="9"/>
  <c r="H111" i="9"/>
  <c r="AE111" i="9" s="1"/>
  <c r="E111" i="9"/>
  <c r="C111" i="9"/>
  <c r="B111" i="9"/>
  <c r="AJ110" i="9"/>
  <c r="Z110" i="9"/>
  <c r="L110" i="9"/>
  <c r="I110" i="9"/>
  <c r="AK110" i="9" s="1"/>
  <c r="H110" i="9"/>
  <c r="Y110" i="9" s="1"/>
  <c r="E110" i="9"/>
  <c r="C110" i="9"/>
  <c r="B110" i="9"/>
  <c r="AJ109" i="9"/>
  <c r="AI109" i="9"/>
  <c r="AH109" i="9"/>
  <c r="AG109" i="9"/>
  <c r="AE109" i="9"/>
  <c r="AD109" i="9"/>
  <c r="AC109" i="9"/>
  <c r="AB109" i="9"/>
  <c r="AA109" i="9"/>
  <c r="Z109" i="9"/>
  <c r="Y109" i="9"/>
  <c r="X109" i="9"/>
  <c r="W109" i="9"/>
  <c r="V109" i="9"/>
  <c r="U109" i="9"/>
  <c r="S109" i="9"/>
  <c r="R109" i="9"/>
  <c r="Q109" i="9"/>
  <c r="P109" i="9"/>
  <c r="O109" i="9"/>
  <c r="N109" i="9"/>
  <c r="M109" i="9"/>
  <c r="L109" i="9"/>
  <c r="K109" i="9"/>
  <c r="J109" i="9"/>
  <c r="I109" i="9"/>
  <c r="AK109" i="9" s="1"/>
  <c r="H109" i="9"/>
  <c r="AF109" i="9" s="1"/>
  <c r="E109" i="9"/>
  <c r="C109" i="9"/>
  <c r="B109" i="9"/>
  <c r="AJ108" i="9"/>
  <c r="AI108" i="9"/>
  <c r="X108" i="9"/>
  <c r="W108" i="9"/>
  <c r="V108" i="9"/>
  <c r="U108" i="9"/>
  <c r="J108" i="9"/>
  <c r="I108" i="9"/>
  <c r="AK108" i="9" s="1"/>
  <c r="H108" i="9"/>
  <c r="E108" i="9"/>
  <c r="C108" i="9"/>
  <c r="B108" i="9"/>
  <c r="AD107" i="9"/>
  <c r="AC107" i="9"/>
  <c r="AB107" i="9"/>
  <c r="AA107" i="9"/>
  <c r="P107" i="9"/>
  <c r="O107" i="9"/>
  <c r="M107" i="9"/>
  <c r="L107" i="9"/>
  <c r="H107" i="9"/>
  <c r="AI107" i="9" s="1"/>
  <c r="E107" i="9"/>
  <c r="C107" i="9"/>
  <c r="B107" i="9"/>
  <c r="AH106" i="9"/>
  <c r="AG106" i="9"/>
  <c r="AF106" i="9"/>
  <c r="U106" i="9"/>
  <c r="S106" i="9"/>
  <c r="T106" i="9" s="1"/>
  <c r="R106" i="9"/>
  <c r="M106" i="9"/>
  <c r="H106" i="9"/>
  <c r="AE106" i="9" s="1"/>
  <c r="E106" i="9"/>
  <c r="C106" i="9"/>
  <c r="B106" i="9"/>
  <c r="AK105" i="9"/>
  <c r="AJ105" i="9"/>
  <c r="AI105" i="9"/>
  <c r="AH105" i="9"/>
  <c r="AG105" i="9"/>
  <c r="AE105" i="9"/>
  <c r="AD105" i="9"/>
  <c r="AC105" i="9"/>
  <c r="AB105" i="9"/>
  <c r="AA105" i="9"/>
  <c r="Z105" i="9"/>
  <c r="Y105" i="9"/>
  <c r="X105" i="9"/>
  <c r="W105" i="9"/>
  <c r="V105" i="9"/>
  <c r="U105" i="9"/>
  <c r="S105" i="9"/>
  <c r="R105" i="9"/>
  <c r="Q105" i="9"/>
  <c r="P105" i="9"/>
  <c r="O105" i="9"/>
  <c r="N105" i="9"/>
  <c r="M105" i="9"/>
  <c r="L105" i="9"/>
  <c r="K105" i="9"/>
  <c r="J105" i="9"/>
  <c r="I105" i="9"/>
  <c r="H105" i="9"/>
  <c r="AF105" i="9" s="1"/>
  <c r="E105" i="9"/>
  <c r="C105" i="9"/>
  <c r="B105" i="9"/>
  <c r="AI104" i="9"/>
  <c r="AH104" i="9"/>
  <c r="AG104" i="9"/>
  <c r="AF104" i="9"/>
  <c r="Z104" i="9"/>
  <c r="U104" i="9"/>
  <c r="S104" i="9"/>
  <c r="T104" i="9" s="1"/>
  <c r="R104" i="9"/>
  <c r="L104" i="9"/>
  <c r="H104" i="9"/>
  <c r="AE104" i="9" s="1"/>
  <c r="E104" i="9"/>
  <c r="C104" i="9"/>
  <c r="B104" i="9"/>
  <c r="AF103" i="9"/>
  <c r="AA103" i="9"/>
  <c r="Y103" i="9"/>
  <c r="X103" i="9"/>
  <c r="V103" i="9"/>
  <c r="R103" i="9"/>
  <c r="L103" i="9"/>
  <c r="K103" i="9"/>
  <c r="I103" i="9"/>
  <c r="AK103" i="9" s="1"/>
  <c r="H103" i="9"/>
  <c r="E103" i="9"/>
  <c r="C103" i="9"/>
  <c r="B103" i="9"/>
  <c r="AE102" i="9"/>
  <c r="AC102" i="9"/>
  <c r="AA102" i="9"/>
  <c r="AB102" i="9" s="1"/>
  <c r="V102" i="9"/>
  <c r="P102" i="9"/>
  <c r="O102" i="9"/>
  <c r="M102" i="9"/>
  <c r="H102" i="9"/>
  <c r="E102" i="9"/>
  <c r="C102" i="9"/>
  <c r="B102" i="9"/>
  <c r="AJ101" i="9"/>
  <c r="AI101" i="9"/>
  <c r="AH101" i="9"/>
  <c r="AG101" i="9"/>
  <c r="AE101" i="9"/>
  <c r="AD101" i="9"/>
  <c r="AC101" i="9"/>
  <c r="AB101" i="9"/>
  <c r="AA101" i="9"/>
  <c r="Z101" i="9"/>
  <c r="Y101" i="9"/>
  <c r="X101" i="9"/>
  <c r="W101" i="9"/>
  <c r="V101" i="9"/>
  <c r="U101" i="9"/>
  <c r="S101" i="9"/>
  <c r="R101" i="9"/>
  <c r="Q101" i="9"/>
  <c r="P101" i="9"/>
  <c r="O101" i="9"/>
  <c r="N101" i="9"/>
  <c r="M101" i="9"/>
  <c r="L101" i="9"/>
  <c r="K101" i="9"/>
  <c r="J101" i="9"/>
  <c r="I101" i="9"/>
  <c r="AK101" i="9" s="1"/>
  <c r="H101" i="9"/>
  <c r="AF101" i="9" s="1"/>
  <c r="E101" i="9"/>
  <c r="C101" i="9"/>
  <c r="B101" i="9"/>
  <c r="AI100" i="9"/>
  <c r="AH100" i="9"/>
  <c r="AG100" i="9"/>
  <c r="AD100" i="9"/>
  <c r="AB100" i="9"/>
  <c r="AA100" i="9"/>
  <c r="Z100" i="9"/>
  <c r="Y100" i="9"/>
  <c r="X100" i="9"/>
  <c r="W100" i="9"/>
  <c r="U100" i="9"/>
  <c r="R100" i="9"/>
  <c r="O100" i="9"/>
  <c r="N100" i="9"/>
  <c r="M100" i="9"/>
  <c r="L100" i="9"/>
  <c r="K100" i="9"/>
  <c r="J100" i="9"/>
  <c r="I100" i="9"/>
  <c r="AK100" i="9" s="1"/>
  <c r="H100" i="9"/>
  <c r="E100" i="9"/>
  <c r="C100" i="9"/>
  <c r="B100" i="9"/>
  <c r="S99" i="9"/>
  <c r="T99" i="9" s="1"/>
  <c r="L99" i="9"/>
  <c r="H99" i="9"/>
  <c r="AI99" i="9" s="1"/>
  <c r="E99" i="9"/>
  <c r="C99" i="9"/>
  <c r="B99" i="9"/>
  <c r="AE98" i="9"/>
  <c r="Z98" i="9"/>
  <c r="Y98" i="9"/>
  <c r="X98" i="9"/>
  <c r="V98" i="9"/>
  <c r="Q98" i="9"/>
  <c r="M98" i="9"/>
  <c r="H98" i="9"/>
  <c r="E98" i="9"/>
  <c r="C98" i="9"/>
  <c r="B98" i="9"/>
  <c r="AK97" i="9"/>
  <c r="AI97" i="9"/>
  <c r="AJ97" i="9" s="1"/>
  <c r="AH97" i="9"/>
  <c r="AG97" i="9"/>
  <c r="AE97" i="9"/>
  <c r="AD97" i="9"/>
  <c r="AC97" i="9"/>
  <c r="AB97" i="9"/>
  <c r="AA97" i="9"/>
  <c r="Z97" i="9"/>
  <c r="Y97" i="9"/>
  <c r="X97" i="9"/>
  <c r="W97" i="9"/>
  <c r="V97" i="9"/>
  <c r="U97" i="9"/>
  <c r="S97" i="9"/>
  <c r="R97" i="9"/>
  <c r="Q97" i="9"/>
  <c r="P97" i="9"/>
  <c r="O97" i="9"/>
  <c r="N97" i="9"/>
  <c r="M97" i="9"/>
  <c r="L97" i="9"/>
  <c r="K97" i="9"/>
  <c r="J97" i="9"/>
  <c r="I97" i="9"/>
  <c r="H97" i="9"/>
  <c r="AF97" i="9" s="1"/>
  <c r="E97" i="9"/>
  <c r="C97" i="9"/>
  <c r="B97" i="9"/>
  <c r="Y96" i="9"/>
  <c r="X96" i="9"/>
  <c r="W96" i="9"/>
  <c r="U96" i="9"/>
  <c r="P96" i="9"/>
  <c r="N96" i="9"/>
  <c r="K96" i="9"/>
  <c r="H96" i="9"/>
  <c r="E96" i="9"/>
  <c r="C96" i="9"/>
  <c r="B96" i="9"/>
  <c r="AH95" i="9"/>
  <c r="AE95" i="9"/>
  <c r="AC95" i="9"/>
  <c r="O95" i="9"/>
  <c r="M95" i="9"/>
  <c r="L95" i="9"/>
  <c r="H95" i="9"/>
  <c r="E95" i="9"/>
  <c r="C95" i="9"/>
  <c r="B95" i="9"/>
  <c r="AH94" i="9"/>
  <c r="AG94" i="9"/>
  <c r="AF94" i="9"/>
  <c r="AE94" i="9"/>
  <c r="AD94" i="9"/>
  <c r="AC94" i="9"/>
  <c r="AA94" i="9"/>
  <c r="Z94" i="9"/>
  <c r="Y94" i="9"/>
  <c r="U94" i="9"/>
  <c r="S94" i="9"/>
  <c r="T94" i="9" s="1"/>
  <c r="R94" i="9"/>
  <c r="Q94" i="9"/>
  <c r="P94" i="9"/>
  <c r="O94" i="9"/>
  <c r="M94" i="9"/>
  <c r="L94" i="9"/>
  <c r="I94" i="9"/>
  <c r="AK94" i="9" s="1"/>
  <c r="H94" i="9"/>
  <c r="E94" i="9"/>
  <c r="C94" i="9"/>
  <c r="B94" i="9"/>
  <c r="AK93" i="9"/>
  <c r="AJ93" i="9"/>
  <c r="AI93" i="9"/>
  <c r="AH93" i="9"/>
  <c r="AG93" i="9"/>
  <c r="AE93" i="9"/>
  <c r="AD93" i="9"/>
  <c r="AC93" i="9"/>
  <c r="AB93" i="9"/>
  <c r="AA93" i="9"/>
  <c r="Z93" i="9"/>
  <c r="Y93" i="9"/>
  <c r="X93" i="9"/>
  <c r="W93" i="9"/>
  <c r="V93" i="9"/>
  <c r="U93" i="9"/>
  <c r="S93" i="9"/>
  <c r="R93" i="9"/>
  <c r="Q93" i="9"/>
  <c r="P93" i="9"/>
  <c r="O93" i="9"/>
  <c r="N93" i="9"/>
  <c r="M93" i="9"/>
  <c r="L93" i="9"/>
  <c r="K93" i="9"/>
  <c r="J93" i="9"/>
  <c r="I93" i="9"/>
  <c r="H93" i="9"/>
  <c r="AF93" i="9" s="1"/>
  <c r="E93" i="9"/>
  <c r="C93" i="9"/>
  <c r="B93" i="9"/>
  <c r="AK92" i="9"/>
  <c r="AI92" i="9"/>
  <c r="AH92" i="9"/>
  <c r="AG92" i="9"/>
  <c r="AF92" i="9"/>
  <c r="AE92" i="9"/>
  <c r="AD92" i="9"/>
  <c r="AB92" i="9"/>
  <c r="Z92" i="9"/>
  <c r="X92" i="9"/>
  <c r="W92" i="9"/>
  <c r="U92" i="9"/>
  <c r="T92" i="9"/>
  <c r="S92" i="9"/>
  <c r="R92" i="9"/>
  <c r="P92" i="9"/>
  <c r="O92" i="9"/>
  <c r="N92" i="9"/>
  <c r="K92" i="9"/>
  <c r="J92" i="9"/>
  <c r="I92" i="9"/>
  <c r="H92" i="9"/>
  <c r="AA92" i="9" s="1"/>
  <c r="E92" i="9"/>
  <c r="C92" i="9"/>
  <c r="B92" i="9"/>
  <c r="AJ91" i="9"/>
  <c r="AH91" i="9"/>
  <c r="W91" i="9"/>
  <c r="V91" i="9"/>
  <c r="S91" i="9"/>
  <c r="Q91" i="9"/>
  <c r="P91" i="9"/>
  <c r="O91" i="9"/>
  <c r="H91" i="9"/>
  <c r="E91" i="9"/>
  <c r="C91" i="9"/>
  <c r="B91" i="9"/>
  <c r="AJ90" i="9"/>
  <c r="AH90" i="9"/>
  <c r="AF90" i="9"/>
  <c r="AD90" i="9"/>
  <c r="AB90" i="9"/>
  <c r="Y90" i="9"/>
  <c r="U90" i="9"/>
  <c r="T90" i="9"/>
  <c r="R90" i="9"/>
  <c r="Q90" i="9"/>
  <c r="P90" i="9"/>
  <c r="O90" i="9"/>
  <c r="J90" i="9"/>
  <c r="H90" i="9"/>
  <c r="E90" i="9"/>
  <c r="C90" i="9"/>
  <c r="B90" i="9"/>
  <c r="AI89" i="9"/>
  <c r="AJ89" i="9" s="1"/>
  <c r="AH89" i="9"/>
  <c r="AG89" i="9"/>
  <c r="AE89" i="9"/>
  <c r="AD89" i="9"/>
  <c r="AC89" i="9"/>
  <c r="AA89" i="9"/>
  <c r="AB89" i="9" s="1"/>
  <c r="Z89" i="9"/>
  <c r="Y89" i="9"/>
  <c r="X89" i="9"/>
  <c r="W89" i="9"/>
  <c r="V89" i="9"/>
  <c r="U89" i="9"/>
  <c r="S89" i="9"/>
  <c r="R89" i="9"/>
  <c r="Q89" i="9"/>
  <c r="P89" i="9"/>
  <c r="O89" i="9"/>
  <c r="N89" i="9"/>
  <c r="M89" i="9"/>
  <c r="L89" i="9"/>
  <c r="K89" i="9"/>
  <c r="J89" i="9"/>
  <c r="I89" i="9"/>
  <c r="AK89" i="9" s="1"/>
  <c r="H89" i="9"/>
  <c r="AF89" i="9" s="1"/>
  <c r="E89" i="9"/>
  <c r="C89" i="9"/>
  <c r="B89" i="9"/>
  <c r="AD88" i="9"/>
  <c r="AA88" i="9"/>
  <c r="Z88" i="9"/>
  <c r="X88" i="9"/>
  <c r="V88" i="9"/>
  <c r="L88" i="9"/>
  <c r="K88" i="9"/>
  <c r="J88" i="9"/>
  <c r="H88" i="9"/>
  <c r="U88" i="9" s="1"/>
  <c r="E88" i="9"/>
  <c r="C88" i="9"/>
  <c r="B88" i="9"/>
  <c r="AE87" i="9"/>
  <c r="AD87" i="9"/>
  <c r="AB87" i="9"/>
  <c r="Y87" i="9"/>
  <c r="V87" i="9"/>
  <c r="M87" i="9"/>
  <c r="L87" i="9"/>
  <c r="K87" i="9"/>
  <c r="H87" i="9"/>
  <c r="U87" i="9" s="1"/>
  <c r="E87" i="9"/>
  <c r="C87" i="9"/>
  <c r="B87" i="9"/>
  <c r="AC86" i="9"/>
  <c r="AA86" i="9"/>
  <c r="Z86" i="9"/>
  <c r="X86" i="9"/>
  <c r="V86" i="9"/>
  <c r="L86" i="9"/>
  <c r="J86" i="9"/>
  <c r="I86" i="9"/>
  <c r="AK86" i="9" s="1"/>
  <c r="H86" i="9"/>
  <c r="U86" i="9" s="1"/>
  <c r="E86" i="9"/>
  <c r="C86" i="9"/>
  <c r="B86" i="9"/>
  <c r="AJ85" i="9"/>
  <c r="AI85" i="9"/>
  <c r="AH85" i="9"/>
  <c r="AG85" i="9"/>
  <c r="AE85" i="9"/>
  <c r="AD85" i="9"/>
  <c r="AC85" i="9"/>
  <c r="AB85" i="9"/>
  <c r="AA85" i="9"/>
  <c r="Z85" i="9"/>
  <c r="Y85" i="9"/>
  <c r="X85" i="9"/>
  <c r="W85" i="9"/>
  <c r="V85" i="9"/>
  <c r="U85" i="9"/>
  <c r="S85" i="9"/>
  <c r="R85" i="9"/>
  <c r="Q85" i="9"/>
  <c r="P85" i="9"/>
  <c r="O85" i="9"/>
  <c r="N85" i="9"/>
  <c r="M85" i="9"/>
  <c r="L85" i="9"/>
  <c r="K85" i="9"/>
  <c r="J85" i="9"/>
  <c r="I85" i="9"/>
  <c r="AK85" i="9" s="1"/>
  <c r="H85" i="9"/>
  <c r="AF85" i="9" s="1"/>
  <c r="E85" i="9"/>
  <c r="C85" i="9"/>
  <c r="B85" i="9"/>
  <c r="AJ84" i="9"/>
  <c r="AI84" i="9"/>
  <c r="AH84" i="9"/>
  <c r="AG84" i="9"/>
  <c r="V84" i="9"/>
  <c r="U84" i="9"/>
  <c r="T84" i="9"/>
  <c r="R84" i="9"/>
  <c r="O84" i="9"/>
  <c r="N84" i="9"/>
  <c r="H84" i="9"/>
  <c r="E84" i="9"/>
  <c r="C84" i="9"/>
  <c r="B84" i="9"/>
  <c r="AJ83" i="9"/>
  <c r="AI83" i="9"/>
  <c r="AH83" i="9"/>
  <c r="AF83" i="9"/>
  <c r="V83" i="9"/>
  <c r="U83" i="9"/>
  <c r="R83" i="9"/>
  <c r="Q83" i="9"/>
  <c r="P83" i="9"/>
  <c r="H83" i="9"/>
  <c r="E83" i="9"/>
  <c r="C83" i="9"/>
  <c r="B83" i="9"/>
  <c r="AJ82" i="9"/>
  <c r="AH82" i="9"/>
  <c r="AF82" i="9"/>
  <c r="V82" i="9"/>
  <c r="U82" i="9"/>
  <c r="S82" i="9"/>
  <c r="R82" i="9"/>
  <c r="Q82" i="9"/>
  <c r="P82" i="9"/>
  <c r="H82" i="9"/>
  <c r="E82" i="9"/>
  <c r="C82" i="9"/>
  <c r="B82" i="9"/>
  <c r="AI81" i="9"/>
  <c r="AJ81" i="9" s="1"/>
  <c r="AH81" i="9"/>
  <c r="AG81" i="9"/>
  <c r="AE81" i="9"/>
  <c r="AD81" i="9"/>
  <c r="AC81" i="9"/>
  <c r="AB81" i="9"/>
  <c r="AA81" i="9"/>
  <c r="Z81" i="9"/>
  <c r="Y81" i="9"/>
  <c r="X81" i="9"/>
  <c r="W81" i="9"/>
  <c r="V81" i="9"/>
  <c r="U81" i="9"/>
  <c r="S81" i="9"/>
  <c r="R81" i="9"/>
  <c r="Q81" i="9"/>
  <c r="P81" i="9"/>
  <c r="O81" i="9"/>
  <c r="N81" i="9"/>
  <c r="M81" i="9"/>
  <c r="L81" i="9"/>
  <c r="K81" i="9"/>
  <c r="J81" i="9"/>
  <c r="I81" i="9"/>
  <c r="AK81" i="9" s="1"/>
  <c r="H81" i="9"/>
  <c r="AF81" i="9" s="1"/>
  <c r="E81" i="9"/>
  <c r="C81" i="9"/>
  <c r="B81" i="9"/>
  <c r="AJ80" i="9"/>
  <c r="AH80" i="9"/>
  <c r="AG80" i="9"/>
  <c r="AF80" i="9"/>
  <c r="AE80" i="9"/>
  <c r="AD80" i="9"/>
  <c r="AB80" i="9"/>
  <c r="AA80" i="9"/>
  <c r="Z80" i="9"/>
  <c r="Y80" i="9"/>
  <c r="X80" i="9"/>
  <c r="U80" i="9"/>
  <c r="T80" i="9"/>
  <c r="S80" i="9"/>
  <c r="R80" i="9"/>
  <c r="P80" i="9"/>
  <c r="O80" i="9"/>
  <c r="N80" i="9"/>
  <c r="M80" i="9"/>
  <c r="L80" i="9"/>
  <c r="K80" i="9"/>
  <c r="J80" i="9"/>
  <c r="H80" i="9"/>
  <c r="E80" i="9"/>
  <c r="C80" i="9"/>
  <c r="B80" i="9"/>
  <c r="AJ79" i="9"/>
  <c r="AI79" i="9"/>
  <c r="AH79" i="9"/>
  <c r="AF79" i="9"/>
  <c r="AE79" i="9"/>
  <c r="AC79" i="9"/>
  <c r="Y79" i="9"/>
  <c r="W79" i="9"/>
  <c r="V79" i="9"/>
  <c r="T79" i="9"/>
  <c r="R79" i="9"/>
  <c r="P79" i="9"/>
  <c r="O79" i="9"/>
  <c r="L79" i="9"/>
  <c r="K79" i="9"/>
  <c r="I79" i="9"/>
  <c r="AK79" i="9" s="1"/>
  <c r="H79" i="9"/>
  <c r="E79" i="9"/>
  <c r="C79" i="9"/>
  <c r="B79" i="9"/>
  <c r="AJ78" i="9"/>
  <c r="AH78" i="9"/>
  <c r="AG78" i="9"/>
  <c r="AE78" i="9"/>
  <c r="AD78" i="9"/>
  <c r="AC78" i="9"/>
  <c r="AB78" i="9"/>
  <c r="AA78" i="9"/>
  <c r="Z78" i="9"/>
  <c r="Y78" i="9"/>
  <c r="U78" i="9"/>
  <c r="T78" i="9"/>
  <c r="S78" i="9"/>
  <c r="Q78" i="9"/>
  <c r="P78" i="9"/>
  <c r="O78" i="9"/>
  <c r="N78" i="9"/>
  <c r="M78" i="9"/>
  <c r="L78" i="9"/>
  <c r="I78" i="9"/>
  <c r="AK78" i="9" s="1"/>
  <c r="H78" i="9"/>
  <c r="E78" i="9"/>
  <c r="C78" i="9"/>
  <c r="B78" i="9"/>
  <c r="AJ77" i="9"/>
  <c r="AI77" i="9"/>
  <c r="AH77" i="9"/>
  <c r="AG77" i="9"/>
  <c r="AE77" i="9"/>
  <c r="AD77" i="9"/>
  <c r="AC77" i="9"/>
  <c r="AA77" i="9"/>
  <c r="AB77" i="9" s="1"/>
  <c r="Z77" i="9"/>
  <c r="Y77" i="9"/>
  <c r="X77" i="9"/>
  <c r="W77" i="9"/>
  <c r="V77" i="9"/>
  <c r="U77" i="9"/>
  <c r="S77" i="9"/>
  <c r="R77" i="9"/>
  <c r="Q77" i="9"/>
  <c r="P77" i="9"/>
  <c r="O77" i="9"/>
  <c r="N77" i="9"/>
  <c r="M77" i="9"/>
  <c r="L77" i="9"/>
  <c r="K77" i="9"/>
  <c r="J77" i="9"/>
  <c r="I77" i="9"/>
  <c r="AK77" i="9" s="1"/>
  <c r="H77" i="9"/>
  <c r="AF77" i="9" s="1"/>
  <c r="E77" i="9"/>
  <c r="C77" i="9"/>
  <c r="B77" i="9"/>
  <c r="AK76" i="9"/>
  <c r="AI76" i="9"/>
  <c r="AH76" i="9"/>
  <c r="AG76" i="9"/>
  <c r="AE76" i="9"/>
  <c r="AD76" i="9"/>
  <c r="AB76" i="9"/>
  <c r="AA76" i="9"/>
  <c r="Z76" i="9"/>
  <c r="X76" i="9"/>
  <c r="W76" i="9"/>
  <c r="U76" i="9"/>
  <c r="T76" i="9"/>
  <c r="S76" i="9"/>
  <c r="P76" i="9"/>
  <c r="O76" i="9"/>
  <c r="N76" i="9"/>
  <c r="M76" i="9"/>
  <c r="K76" i="9"/>
  <c r="J76" i="9"/>
  <c r="I76" i="9"/>
  <c r="H76" i="9"/>
  <c r="E76" i="9"/>
  <c r="C76" i="9"/>
  <c r="B76" i="9"/>
  <c r="V75" i="9"/>
  <c r="H75" i="9"/>
  <c r="E75" i="9"/>
  <c r="C75" i="9"/>
  <c r="B75" i="9"/>
  <c r="Y74" i="9"/>
  <c r="V74" i="9"/>
  <c r="H74" i="9"/>
  <c r="E74" i="9"/>
  <c r="C74" i="9"/>
  <c r="B74" i="9"/>
  <c r="AJ73" i="9"/>
  <c r="AI73" i="9"/>
  <c r="AH73" i="9"/>
  <c r="AG73" i="9"/>
  <c r="AE73" i="9"/>
  <c r="AD73" i="9"/>
  <c r="AC73" i="9"/>
  <c r="AB73" i="9"/>
  <c r="AA73" i="9"/>
  <c r="Z73" i="9"/>
  <c r="Y73" i="9"/>
  <c r="X73" i="9"/>
  <c r="W73" i="9"/>
  <c r="V73" i="9"/>
  <c r="U73" i="9"/>
  <c r="S73" i="9"/>
  <c r="R73" i="9"/>
  <c r="Q73" i="9"/>
  <c r="P73" i="9"/>
  <c r="O73" i="9"/>
  <c r="N73" i="9"/>
  <c r="M73" i="9"/>
  <c r="L73" i="9"/>
  <c r="K73" i="9"/>
  <c r="J73" i="9"/>
  <c r="I73" i="9"/>
  <c r="AK73" i="9" s="1"/>
  <c r="H73" i="9"/>
  <c r="AF73" i="9" s="1"/>
  <c r="E73" i="9"/>
  <c r="C73" i="9"/>
  <c r="B73" i="9"/>
  <c r="AJ72" i="9"/>
  <c r="AI72" i="9"/>
  <c r="AH72" i="9"/>
  <c r="AF72" i="9"/>
  <c r="V72" i="9"/>
  <c r="U72" i="9"/>
  <c r="T72" i="9"/>
  <c r="R72" i="9"/>
  <c r="P72" i="9"/>
  <c r="N72" i="9"/>
  <c r="H72" i="9"/>
  <c r="E72" i="9"/>
  <c r="C72" i="9"/>
  <c r="B72" i="9"/>
  <c r="AI71" i="9"/>
  <c r="AH71" i="9"/>
  <c r="AF71" i="9"/>
  <c r="V71" i="9"/>
  <c r="U71" i="9"/>
  <c r="R71" i="9"/>
  <c r="Q71" i="9"/>
  <c r="P71" i="9"/>
  <c r="H71" i="9"/>
  <c r="E71" i="9"/>
  <c r="C71" i="9"/>
  <c r="B71" i="9"/>
  <c r="AJ70" i="9"/>
  <c r="AH70" i="9"/>
  <c r="AG70" i="9"/>
  <c r="V70" i="9"/>
  <c r="U70" i="9"/>
  <c r="T70" i="9"/>
  <c r="S70" i="9"/>
  <c r="R70" i="9"/>
  <c r="P70" i="9"/>
  <c r="H70" i="9"/>
  <c r="E70" i="9"/>
  <c r="C70" i="9"/>
  <c r="B70" i="9"/>
  <c r="AJ69" i="9"/>
  <c r="AI69" i="9"/>
  <c r="AH69" i="9"/>
  <c r="AG69" i="9"/>
  <c r="AE69" i="9"/>
  <c r="AD69" i="9"/>
  <c r="AC69" i="9"/>
  <c r="AA69" i="9"/>
  <c r="AB69" i="9" s="1"/>
  <c r="Z69" i="9"/>
  <c r="Y69" i="9"/>
  <c r="X69" i="9"/>
  <c r="W69" i="9"/>
  <c r="V69" i="9"/>
  <c r="U69" i="9"/>
  <c r="S69" i="9"/>
  <c r="R69" i="9"/>
  <c r="Q69" i="9"/>
  <c r="P69" i="9"/>
  <c r="O69" i="9"/>
  <c r="N69" i="9"/>
  <c r="M69" i="9"/>
  <c r="L69" i="9"/>
  <c r="K69" i="9"/>
  <c r="J69" i="9"/>
  <c r="I69" i="9"/>
  <c r="AK69" i="9" s="1"/>
  <c r="H69" i="9"/>
  <c r="AF69" i="9" s="1"/>
  <c r="E69" i="9"/>
  <c r="C69" i="9"/>
  <c r="B69" i="9"/>
  <c r="AI68" i="9"/>
  <c r="AH68" i="9"/>
  <c r="AG68" i="9"/>
  <c r="AE68" i="9"/>
  <c r="AD68" i="9"/>
  <c r="AB68" i="9"/>
  <c r="AA68" i="9"/>
  <c r="Z68" i="9"/>
  <c r="Y68" i="9"/>
  <c r="X68" i="9"/>
  <c r="W68" i="9"/>
  <c r="U68" i="9"/>
  <c r="R68" i="9"/>
  <c r="P68" i="9"/>
  <c r="O68" i="9"/>
  <c r="N68" i="9"/>
  <c r="M68" i="9"/>
  <c r="L68" i="9"/>
  <c r="K68" i="9"/>
  <c r="J68" i="9"/>
  <c r="I68" i="9"/>
  <c r="AK68" i="9" s="1"/>
  <c r="H68" i="9"/>
  <c r="E68" i="9"/>
  <c r="C68" i="9"/>
  <c r="B68" i="9"/>
  <c r="AI67" i="9"/>
  <c r="AH67" i="9"/>
  <c r="AF67" i="9"/>
  <c r="AE67" i="9"/>
  <c r="AD67" i="9"/>
  <c r="U67" i="9"/>
  <c r="R67" i="9"/>
  <c r="Q67" i="9"/>
  <c r="P67" i="9"/>
  <c r="L67" i="9"/>
  <c r="K67" i="9"/>
  <c r="J67" i="9"/>
  <c r="H67" i="9"/>
  <c r="W67" i="9" s="1"/>
  <c r="E67" i="9"/>
  <c r="C67" i="9"/>
  <c r="B67" i="9"/>
  <c r="AH66" i="9"/>
  <c r="AE66" i="9"/>
  <c r="AD66" i="9"/>
  <c r="AC66" i="9"/>
  <c r="U66" i="9"/>
  <c r="Q66" i="9"/>
  <c r="P66" i="9"/>
  <c r="O66" i="9"/>
  <c r="N66" i="9"/>
  <c r="M66" i="9"/>
  <c r="L66" i="9"/>
  <c r="H66" i="9"/>
  <c r="Y66" i="9" s="1"/>
  <c r="E66" i="9"/>
  <c r="C66" i="9"/>
  <c r="B66" i="9"/>
  <c r="AI65" i="9"/>
  <c r="AJ65" i="9" s="1"/>
  <c r="AH65" i="9"/>
  <c r="AG65" i="9"/>
  <c r="AE65" i="9"/>
  <c r="AD65" i="9"/>
  <c r="AC65" i="9"/>
  <c r="AB65" i="9"/>
  <c r="AA65" i="9"/>
  <c r="Z65" i="9"/>
  <c r="Y65" i="9"/>
  <c r="X65" i="9"/>
  <c r="W65" i="9"/>
  <c r="V65" i="9"/>
  <c r="U65" i="9"/>
  <c r="S65" i="9"/>
  <c r="R65" i="9"/>
  <c r="Q65" i="9"/>
  <c r="P65" i="9"/>
  <c r="O65" i="9"/>
  <c r="N65" i="9"/>
  <c r="M65" i="9"/>
  <c r="L65" i="9"/>
  <c r="K65" i="9"/>
  <c r="J65" i="9"/>
  <c r="I65" i="9"/>
  <c r="AK65" i="9" s="1"/>
  <c r="H65" i="9"/>
  <c r="AF65" i="9" s="1"/>
  <c r="E65" i="9"/>
  <c r="C65" i="9"/>
  <c r="B65" i="9"/>
  <c r="AH64" i="9"/>
  <c r="AG64" i="9"/>
  <c r="AE64" i="9"/>
  <c r="AD64" i="9"/>
  <c r="AA64" i="9"/>
  <c r="AB64" i="9" s="1"/>
  <c r="Z64" i="9"/>
  <c r="Y64" i="9"/>
  <c r="X64" i="9"/>
  <c r="U64" i="9"/>
  <c r="T64" i="9"/>
  <c r="S64" i="9"/>
  <c r="P64" i="9"/>
  <c r="O64" i="9"/>
  <c r="N64" i="9"/>
  <c r="M64" i="9"/>
  <c r="L64" i="9"/>
  <c r="K64" i="9"/>
  <c r="J64" i="9"/>
  <c r="H64" i="9"/>
  <c r="E64" i="9"/>
  <c r="C64" i="9"/>
  <c r="B64" i="9"/>
  <c r="U63" i="9"/>
  <c r="K63" i="9"/>
  <c r="J63" i="9"/>
  <c r="H63" i="9"/>
  <c r="AC63" i="9" s="1"/>
  <c r="E63" i="9"/>
  <c r="C63" i="9"/>
  <c r="B63" i="9"/>
  <c r="T62" i="9"/>
  <c r="I62" i="9"/>
  <c r="AK62" i="9" s="1"/>
  <c r="H62" i="9"/>
  <c r="AA62" i="9" s="1"/>
  <c r="E62" i="9"/>
  <c r="C62" i="9"/>
  <c r="B62" i="9"/>
  <c r="AJ61" i="9"/>
  <c r="AI61" i="9"/>
  <c r="AH61" i="9"/>
  <c r="AG61" i="9"/>
  <c r="AE61" i="9"/>
  <c r="AD61" i="9"/>
  <c r="AC61" i="9"/>
  <c r="AA61" i="9"/>
  <c r="AB61" i="9" s="1"/>
  <c r="Z61" i="9"/>
  <c r="Y61" i="9"/>
  <c r="X61" i="9"/>
  <c r="W61" i="9"/>
  <c r="V61" i="9"/>
  <c r="U61" i="9"/>
  <c r="S61" i="9"/>
  <c r="R61" i="9"/>
  <c r="Q61" i="9"/>
  <c r="P61" i="9"/>
  <c r="O61" i="9"/>
  <c r="N61" i="9"/>
  <c r="M61" i="9"/>
  <c r="L61" i="9"/>
  <c r="K61" i="9"/>
  <c r="J61" i="9"/>
  <c r="I61" i="9"/>
  <c r="AK61" i="9" s="1"/>
  <c r="H61" i="9"/>
  <c r="AF61" i="9" s="1"/>
  <c r="E61" i="9"/>
  <c r="C61" i="9"/>
  <c r="B61" i="9"/>
  <c r="AJ60" i="9"/>
  <c r="AI60" i="9"/>
  <c r="AH60" i="9"/>
  <c r="AG60" i="9"/>
  <c r="AE60" i="9"/>
  <c r="AD60" i="9"/>
  <c r="Z60" i="9"/>
  <c r="W60" i="9"/>
  <c r="V60" i="9"/>
  <c r="T60" i="9"/>
  <c r="S60" i="9"/>
  <c r="P60" i="9"/>
  <c r="O60" i="9"/>
  <c r="N60" i="9"/>
  <c r="K60" i="9"/>
  <c r="I60" i="9"/>
  <c r="AK60" i="9" s="1"/>
  <c r="H60" i="9"/>
  <c r="E60" i="9"/>
  <c r="C60" i="9"/>
  <c r="B60" i="9"/>
  <c r="AJ59" i="9"/>
  <c r="AI59" i="9"/>
  <c r="AH59" i="9"/>
  <c r="AE59" i="9"/>
  <c r="AD59" i="9"/>
  <c r="AC59" i="9"/>
  <c r="AA59" i="9"/>
  <c r="X59" i="9"/>
  <c r="V59" i="9"/>
  <c r="S59" i="9"/>
  <c r="Q59" i="9"/>
  <c r="P59" i="9"/>
  <c r="O59" i="9"/>
  <c r="M59" i="9"/>
  <c r="L59" i="9"/>
  <c r="J59" i="9"/>
  <c r="H59" i="9"/>
  <c r="E59" i="9"/>
  <c r="C59" i="9"/>
  <c r="B59" i="9"/>
  <c r="AH58" i="9"/>
  <c r="AG58" i="9"/>
  <c r="AF58" i="9"/>
  <c r="AE58" i="9"/>
  <c r="U58" i="9"/>
  <c r="S58" i="9"/>
  <c r="T58" i="9" s="1"/>
  <c r="R58" i="9"/>
  <c r="Q58" i="9"/>
  <c r="N58" i="9"/>
  <c r="H58" i="9"/>
  <c r="E58" i="9"/>
  <c r="C58" i="9"/>
  <c r="B58" i="9"/>
  <c r="AH57" i="9"/>
  <c r="AG57" i="9"/>
  <c r="AF57" i="9"/>
  <c r="AD57" i="9"/>
  <c r="AC57" i="9"/>
  <c r="AB57" i="9"/>
  <c r="AA57" i="9"/>
  <c r="Z57" i="9"/>
  <c r="W57" i="9"/>
  <c r="U57" i="9"/>
  <c r="T57" i="9"/>
  <c r="S57" i="9"/>
  <c r="Q57" i="9"/>
  <c r="P57" i="9"/>
  <c r="O57" i="9"/>
  <c r="N57" i="9"/>
  <c r="M57" i="9"/>
  <c r="K57" i="9"/>
  <c r="J57" i="9"/>
  <c r="H57" i="9"/>
  <c r="E57" i="9"/>
  <c r="C57" i="9"/>
  <c r="B57" i="9"/>
  <c r="H56" i="9"/>
  <c r="AJ56" i="9" s="1"/>
  <c r="E56" i="9"/>
  <c r="C56" i="9"/>
  <c r="B56" i="9"/>
  <c r="Z55" i="9"/>
  <c r="Y55" i="9"/>
  <c r="X55" i="9"/>
  <c r="V55" i="9"/>
  <c r="U55" i="9"/>
  <c r="L55" i="9"/>
  <c r="K55" i="9"/>
  <c r="I55" i="9"/>
  <c r="AK55" i="9" s="1"/>
  <c r="H55" i="9"/>
  <c r="E55" i="9"/>
  <c r="C55" i="9"/>
  <c r="B55" i="9"/>
  <c r="AJ54" i="9"/>
  <c r="AI54" i="9"/>
  <c r="AH54" i="9"/>
  <c r="AF54" i="9"/>
  <c r="AD54" i="9"/>
  <c r="AC54" i="9"/>
  <c r="AB54" i="9"/>
  <c r="Y54" i="9"/>
  <c r="X54" i="9"/>
  <c r="V54" i="9"/>
  <c r="U54" i="9"/>
  <c r="T54" i="9"/>
  <c r="S54" i="9"/>
  <c r="P54" i="9"/>
  <c r="N54" i="9"/>
  <c r="L54" i="9"/>
  <c r="K54" i="9"/>
  <c r="J54" i="9"/>
  <c r="I54" i="9"/>
  <c r="AK54" i="9" s="1"/>
  <c r="H54" i="9"/>
  <c r="E54" i="9"/>
  <c r="C54" i="9"/>
  <c r="B54" i="9"/>
  <c r="AK53" i="9"/>
  <c r="AH53" i="9"/>
  <c r="AF53" i="9"/>
  <c r="AE53" i="9"/>
  <c r="AD53" i="9"/>
  <c r="AC53" i="9"/>
  <c r="AB53" i="9"/>
  <c r="Z53" i="9"/>
  <c r="V53" i="9"/>
  <c r="U53" i="9"/>
  <c r="R53" i="9"/>
  <c r="Q53" i="9"/>
  <c r="P53" i="9"/>
  <c r="O53" i="9"/>
  <c r="N53" i="9"/>
  <c r="M53" i="9"/>
  <c r="I53" i="9"/>
  <c r="H53" i="9"/>
  <c r="E53" i="9"/>
  <c r="C53" i="9"/>
  <c r="B53" i="9"/>
  <c r="AJ52" i="9"/>
  <c r="AI52" i="9"/>
  <c r="AH52" i="9"/>
  <c r="AF52" i="9"/>
  <c r="AD52" i="9"/>
  <c r="V52" i="9"/>
  <c r="S52" i="9"/>
  <c r="T52" i="9" s="1"/>
  <c r="Q52" i="9"/>
  <c r="P52" i="9"/>
  <c r="O52" i="9"/>
  <c r="H52" i="9"/>
  <c r="E52" i="9"/>
  <c r="C52" i="9"/>
  <c r="B52" i="9"/>
  <c r="AJ51" i="9"/>
  <c r="AI51" i="9"/>
  <c r="AG51" i="9"/>
  <c r="AF51" i="9"/>
  <c r="AE51" i="9"/>
  <c r="AC51" i="9"/>
  <c r="AB51" i="9"/>
  <c r="AA51" i="9"/>
  <c r="Z51" i="9"/>
  <c r="Y51" i="9"/>
  <c r="X51" i="9"/>
  <c r="W51" i="9"/>
  <c r="V51" i="9"/>
  <c r="T51" i="9"/>
  <c r="S51" i="9"/>
  <c r="Q51" i="9"/>
  <c r="P51" i="9"/>
  <c r="O51" i="9"/>
  <c r="N51" i="9"/>
  <c r="M51" i="9"/>
  <c r="L51" i="9"/>
  <c r="K51" i="9"/>
  <c r="J51" i="9"/>
  <c r="I51" i="9"/>
  <c r="AK51" i="9" s="1"/>
  <c r="H51" i="9"/>
  <c r="E51" i="9"/>
  <c r="C51" i="9"/>
  <c r="B51" i="9"/>
  <c r="AI50" i="9"/>
  <c r="AJ50" i="9" s="1"/>
  <c r="AH50" i="9"/>
  <c r="AE50" i="9"/>
  <c r="AD50" i="9"/>
  <c r="Z50" i="9"/>
  <c r="Y50" i="9"/>
  <c r="X50" i="9"/>
  <c r="V50" i="9"/>
  <c r="U50" i="9"/>
  <c r="S50" i="9"/>
  <c r="R50" i="9"/>
  <c r="N50" i="9"/>
  <c r="M50" i="9"/>
  <c r="L50" i="9"/>
  <c r="K50" i="9"/>
  <c r="J50" i="9"/>
  <c r="I50" i="9"/>
  <c r="AK50" i="9" s="1"/>
  <c r="H50" i="9"/>
  <c r="E50" i="9"/>
  <c r="C50" i="9"/>
  <c r="B50" i="9"/>
  <c r="AG49" i="9"/>
  <c r="AF49" i="9"/>
  <c r="AE49" i="9"/>
  <c r="AD49" i="9"/>
  <c r="AC49" i="9"/>
  <c r="AB49" i="9"/>
  <c r="U49" i="9"/>
  <c r="T49" i="9"/>
  <c r="R49" i="9"/>
  <c r="Q49" i="9"/>
  <c r="P49" i="9"/>
  <c r="O49" i="9"/>
  <c r="M49" i="9"/>
  <c r="K49" i="9"/>
  <c r="H49" i="9"/>
  <c r="W49" i="9" s="1"/>
  <c r="E49" i="9"/>
  <c r="C49" i="9"/>
  <c r="B49" i="9"/>
  <c r="AJ48" i="9"/>
  <c r="AI48" i="9"/>
  <c r="AF48" i="9"/>
  <c r="AE48" i="9"/>
  <c r="AD48" i="9"/>
  <c r="AB48" i="9"/>
  <c r="W48" i="9"/>
  <c r="S48" i="9"/>
  <c r="R48" i="9"/>
  <c r="Q48" i="9"/>
  <c r="O48" i="9"/>
  <c r="N48" i="9"/>
  <c r="M48" i="9"/>
  <c r="H48" i="9"/>
  <c r="E48" i="9"/>
  <c r="C48" i="9"/>
  <c r="B48" i="9"/>
  <c r="AK47" i="9"/>
  <c r="AI47" i="9"/>
  <c r="AH47" i="9"/>
  <c r="AG47" i="9"/>
  <c r="AF47" i="9"/>
  <c r="AE47" i="9"/>
  <c r="AC47" i="9"/>
  <c r="AB47" i="9"/>
  <c r="Z47" i="9"/>
  <c r="Y47" i="9"/>
  <c r="V47" i="9"/>
  <c r="U47" i="9"/>
  <c r="T47" i="9"/>
  <c r="S47" i="9"/>
  <c r="Q47" i="9"/>
  <c r="P47" i="9"/>
  <c r="O47" i="9"/>
  <c r="M47" i="9"/>
  <c r="L47" i="9"/>
  <c r="K47" i="9"/>
  <c r="I47" i="9"/>
  <c r="H47" i="9"/>
  <c r="E47" i="9"/>
  <c r="C47" i="9"/>
  <c r="B47" i="9"/>
  <c r="AH46" i="9"/>
  <c r="S46" i="9"/>
  <c r="L46" i="9"/>
  <c r="J46" i="9"/>
  <c r="H46" i="9"/>
  <c r="Y46" i="9" s="1"/>
  <c r="E46" i="9"/>
  <c r="C46" i="9"/>
  <c r="B46" i="9"/>
  <c r="AB45" i="9"/>
  <c r="W45" i="9"/>
  <c r="V45" i="9"/>
  <c r="U45" i="9"/>
  <c r="O45" i="9"/>
  <c r="M45" i="9"/>
  <c r="J45" i="9"/>
  <c r="I45" i="9"/>
  <c r="AK45" i="9" s="1"/>
  <c r="H45" i="9"/>
  <c r="AE45" i="9" s="1"/>
  <c r="E45" i="9"/>
  <c r="C45" i="9"/>
  <c r="B45" i="9"/>
  <c r="AC44" i="9"/>
  <c r="AA44" i="9"/>
  <c r="AB44" i="9" s="1"/>
  <c r="Z44" i="9"/>
  <c r="Y44" i="9"/>
  <c r="X44" i="9"/>
  <c r="P44" i="9"/>
  <c r="N44" i="9"/>
  <c r="M44" i="9"/>
  <c r="L44" i="9"/>
  <c r="H44" i="9"/>
  <c r="K44" i="9" s="1"/>
  <c r="E44" i="9"/>
  <c r="C44" i="9"/>
  <c r="B44" i="9"/>
  <c r="AJ43" i="9"/>
  <c r="AI43" i="9"/>
  <c r="AG43" i="9"/>
  <c r="AF43" i="9"/>
  <c r="AE43" i="9"/>
  <c r="AB43" i="9"/>
  <c r="AA43" i="9"/>
  <c r="Z43" i="9"/>
  <c r="U43" i="9"/>
  <c r="T43" i="9"/>
  <c r="Q43" i="9"/>
  <c r="O43" i="9"/>
  <c r="N43" i="9"/>
  <c r="M43" i="9"/>
  <c r="K43" i="9"/>
  <c r="J43" i="9"/>
  <c r="H43" i="9"/>
  <c r="V43" i="9" s="1"/>
  <c r="E43" i="9"/>
  <c r="C43" i="9"/>
  <c r="B43" i="9"/>
  <c r="AI42" i="9"/>
  <c r="AH42" i="9"/>
  <c r="AF42" i="9"/>
  <c r="AE42" i="9"/>
  <c r="AD42" i="9"/>
  <c r="AC42" i="9"/>
  <c r="V42" i="9"/>
  <c r="S42" i="9"/>
  <c r="R42" i="9"/>
  <c r="Q42" i="9"/>
  <c r="P42" i="9"/>
  <c r="N42" i="9"/>
  <c r="M42" i="9"/>
  <c r="H42" i="9"/>
  <c r="E42" i="9"/>
  <c r="C42" i="9"/>
  <c r="B42" i="9"/>
  <c r="AI41" i="9"/>
  <c r="AH41" i="9"/>
  <c r="AG41" i="9"/>
  <c r="AF41" i="9"/>
  <c r="AD41" i="9"/>
  <c r="AC41" i="9"/>
  <c r="AB41" i="9"/>
  <c r="Z41" i="9"/>
  <c r="Y41" i="9"/>
  <c r="V41" i="9"/>
  <c r="U41" i="9"/>
  <c r="T41" i="9"/>
  <c r="S41" i="9"/>
  <c r="Q41" i="9"/>
  <c r="P41" i="9"/>
  <c r="O41" i="9"/>
  <c r="M41" i="9"/>
  <c r="K41" i="9"/>
  <c r="J41" i="9"/>
  <c r="I41" i="9"/>
  <c r="AK41" i="9" s="1"/>
  <c r="H41" i="9"/>
  <c r="E41" i="9"/>
  <c r="C41" i="9"/>
  <c r="B41" i="9"/>
  <c r="V40" i="9"/>
  <c r="R40" i="9"/>
  <c r="H40" i="9"/>
  <c r="AI40" i="9" s="1"/>
  <c r="AJ40" i="9" s="1"/>
  <c r="E40" i="9"/>
  <c r="C40" i="9"/>
  <c r="B40" i="9"/>
  <c r="AB39" i="9"/>
  <c r="Z39" i="9"/>
  <c r="Y39" i="9"/>
  <c r="X39" i="9"/>
  <c r="W39" i="9"/>
  <c r="V39" i="9"/>
  <c r="O39" i="9"/>
  <c r="L39" i="9"/>
  <c r="K39" i="9"/>
  <c r="J39" i="9"/>
  <c r="I39" i="9"/>
  <c r="AK39" i="9" s="1"/>
  <c r="H39" i="9"/>
  <c r="E39" i="9"/>
  <c r="C39" i="9"/>
  <c r="B39" i="9"/>
  <c r="AH38" i="9"/>
  <c r="AF38" i="9"/>
  <c r="AE38" i="9"/>
  <c r="AD38" i="9"/>
  <c r="AC38" i="9"/>
  <c r="Y38" i="9"/>
  <c r="W38" i="9"/>
  <c r="U38" i="9"/>
  <c r="S38" i="9"/>
  <c r="T38" i="9" s="1"/>
  <c r="Q38" i="9"/>
  <c r="P38" i="9"/>
  <c r="N38" i="9"/>
  <c r="L38" i="9"/>
  <c r="K38" i="9"/>
  <c r="J38" i="9"/>
  <c r="H38" i="9"/>
  <c r="E38" i="9"/>
  <c r="C38" i="9"/>
  <c r="B38" i="9"/>
  <c r="AH37" i="9"/>
  <c r="AF37" i="9"/>
  <c r="AE37" i="9"/>
  <c r="AD37" i="9"/>
  <c r="AA37" i="9"/>
  <c r="AB37" i="9" s="1"/>
  <c r="U37" i="9"/>
  <c r="S37" i="9"/>
  <c r="R37" i="9"/>
  <c r="Q37" i="9"/>
  <c r="O37" i="9"/>
  <c r="N37" i="9"/>
  <c r="M37" i="9"/>
  <c r="H37" i="9"/>
  <c r="E37" i="9"/>
  <c r="C37" i="9"/>
  <c r="B37" i="9"/>
  <c r="AH36" i="9"/>
  <c r="R36" i="9"/>
  <c r="H36" i="9"/>
  <c r="AF36" i="9" s="1"/>
  <c r="E36" i="9"/>
  <c r="C36" i="9"/>
  <c r="B36" i="9"/>
  <c r="Y35" i="9"/>
  <c r="O35" i="9"/>
  <c r="H35" i="9"/>
  <c r="Z35" i="9" s="1"/>
  <c r="E35" i="9"/>
  <c r="C35" i="9"/>
  <c r="B35" i="9"/>
  <c r="AI34" i="9"/>
  <c r="AG34" i="9"/>
  <c r="AF34" i="9"/>
  <c r="AE34" i="9"/>
  <c r="AD34" i="9"/>
  <c r="AC34" i="9"/>
  <c r="U34" i="9"/>
  <c r="S34" i="9"/>
  <c r="R34" i="9"/>
  <c r="Q34" i="9"/>
  <c r="P34" i="9"/>
  <c r="N34" i="9"/>
  <c r="M34" i="9"/>
  <c r="H34" i="9"/>
  <c r="E34" i="9"/>
  <c r="C34" i="9"/>
  <c r="B34" i="9"/>
  <c r="AF33" i="9"/>
  <c r="U33" i="9"/>
  <c r="H33" i="9"/>
  <c r="AG33" i="9" s="1"/>
  <c r="E33" i="9"/>
  <c r="C33" i="9"/>
  <c r="B33" i="9"/>
  <c r="N32" i="9"/>
  <c r="H32" i="9"/>
  <c r="E32" i="9"/>
  <c r="C32" i="9"/>
  <c r="B32" i="9"/>
  <c r="AC31" i="9"/>
  <c r="T31" i="9"/>
  <c r="H31" i="9"/>
  <c r="AE31" i="9" s="1"/>
  <c r="E31" i="9"/>
  <c r="C31" i="9"/>
  <c r="B31" i="9"/>
  <c r="AI30" i="9"/>
  <c r="AJ30" i="9" s="1"/>
  <c r="Y30" i="9"/>
  <c r="V30" i="9"/>
  <c r="U30" i="9"/>
  <c r="N30" i="9"/>
  <c r="K30" i="9"/>
  <c r="J30" i="9"/>
  <c r="I30" i="9"/>
  <c r="AK30" i="9" s="1"/>
  <c r="H30" i="9"/>
  <c r="AC30" i="9" s="1"/>
  <c r="E30" i="9"/>
  <c r="C30" i="9"/>
  <c r="B30" i="9"/>
  <c r="AH29" i="9"/>
  <c r="AF29" i="9"/>
  <c r="AD29" i="9"/>
  <c r="AC29" i="9"/>
  <c r="AB29" i="9"/>
  <c r="AA29" i="9"/>
  <c r="Z29" i="9"/>
  <c r="Y29" i="9"/>
  <c r="S29" i="9"/>
  <c r="R29" i="9"/>
  <c r="P29" i="9"/>
  <c r="O29" i="9"/>
  <c r="N29" i="9"/>
  <c r="M29" i="9"/>
  <c r="K29" i="9"/>
  <c r="J29" i="9"/>
  <c r="H29" i="9"/>
  <c r="AI29" i="9" s="1"/>
  <c r="E29" i="9"/>
  <c r="C29" i="9"/>
  <c r="B29" i="9"/>
  <c r="AJ28" i="9"/>
  <c r="AI28" i="9"/>
  <c r="AH28" i="9"/>
  <c r="AF28" i="9"/>
  <c r="AE28" i="9"/>
  <c r="AD28" i="9"/>
  <c r="AC28" i="9"/>
  <c r="AB28" i="9"/>
  <c r="Z28" i="9"/>
  <c r="Y28" i="9"/>
  <c r="X28" i="9"/>
  <c r="V28" i="9"/>
  <c r="T28" i="9"/>
  <c r="S28" i="9"/>
  <c r="R28" i="9"/>
  <c r="Q28" i="9"/>
  <c r="P28" i="9"/>
  <c r="O28" i="9"/>
  <c r="M28" i="9"/>
  <c r="L28" i="9"/>
  <c r="K28" i="9"/>
  <c r="J28" i="9"/>
  <c r="H28" i="9"/>
  <c r="E28" i="9"/>
  <c r="C28" i="9"/>
  <c r="B28" i="9"/>
  <c r="AI27" i="9"/>
  <c r="AJ27" i="9" s="1"/>
  <c r="AG27" i="9"/>
  <c r="AF27" i="9"/>
  <c r="AE27" i="9"/>
  <c r="AC27" i="9"/>
  <c r="AB27" i="9"/>
  <c r="AA27" i="9"/>
  <c r="Z27" i="9"/>
  <c r="Y27" i="9"/>
  <c r="X27" i="9"/>
  <c r="W27" i="9"/>
  <c r="V27" i="9"/>
  <c r="T27" i="9"/>
  <c r="S27" i="9"/>
  <c r="Q27" i="9"/>
  <c r="P27" i="9"/>
  <c r="O27" i="9"/>
  <c r="N27" i="9"/>
  <c r="M27" i="9"/>
  <c r="L27" i="9"/>
  <c r="K27" i="9"/>
  <c r="J27" i="9"/>
  <c r="I27" i="9"/>
  <c r="AK27" i="9" s="1"/>
  <c r="H27" i="9"/>
  <c r="E27" i="9"/>
  <c r="C27" i="9"/>
  <c r="B27" i="9"/>
  <c r="AI26" i="9"/>
  <c r="AG26" i="9"/>
  <c r="AF26" i="9"/>
  <c r="AE26" i="9"/>
  <c r="AD26" i="9"/>
  <c r="AB26" i="9"/>
  <c r="Z26" i="9"/>
  <c r="U26" i="9"/>
  <c r="S26" i="9"/>
  <c r="R26" i="9"/>
  <c r="Q26" i="9"/>
  <c r="N26" i="9"/>
  <c r="M26" i="9"/>
  <c r="L26" i="9"/>
  <c r="H26" i="9"/>
  <c r="E26" i="9"/>
  <c r="C26" i="9"/>
  <c r="B26" i="9"/>
  <c r="AE25" i="9"/>
  <c r="Z25" i="9"/>
  <c r="W25" i="9"/>
  <c r="U25" i="9"/>
  <c r="T25" i="9"/>
  <c r="S25" i="9"/>
  <c r="R25" i="9"/>
  <c r="H25" i="9"/>
  <c r="AG25" i="9" s="1"/>
  <c r="E25" i="9"/>
  <c r="C25" i="9"/>
  <c r="B25" i="9"/>
  <c r="AA24" i="9"/>
  <c r="Z24" i="9"/>
  <c r="Y24" i="9"/>
  <c r="L24" i="9"/>
  <c r="K24" i="9"/>
  <c r="J24" i="9"/>
  <c r="H24" i="9"/>
  <c r="X24" i="9" s="1"/>
  <c r="E24" i="9"/>
  <c r="C24" i="9"/>
  <c r="B24" i="9"/>
  <c r="AI23" i="9"/>
  <c r="AH23" i="9"/>
  <c r="AF23" i="9"/>
  <c r="AE23" i="9"/>
  <c r="AC23" i="9"/>
  <c r="AB23" i="9"/>
  <c r="AA23" i="9"/>
  <c r="Z23" i="9"/>
  <c r="X23" i="9"/>
  <c r="U23" i="9"/>
  <c r="T23" i="9"/>
  <c r="Q23" i="9"/>
  <c r="P23" i="9"/>
  <c r="O23" i="9"/>
  <c r="N23" i="9"/>
  <c r="M23" i="9"/>
  <c r="L23" i="9"/>
  <c r="I23" i="9"/>
  <c r="AK23" i="9" s="1"/>
  <c r="H23" i="9"/>
  <c r="E23" i="9"/>
  <c r="C23" i="9"/>
  <c r="B23" i="9"/>
  <c r="AK22" i="9"/>
  <c r="AJ22" i="9"/>
  <c r="AI22" i="9"/>
  <c r="AG22" i="9"/>
  <c r="W22" i="9"/>
  <c r="V22" i="9"/>
  <c r="U22" i="9"/>
  <c r="T22" i="9"/>
  <c r="S22" i="9"/>
  <c r="Q22" i="9"/>
  <c r="K22" i="9"/>
  <c r="I22" i="9"/>
  <c r="H22" i="9"/>
  <c r="AF22" i="9" s="1"/>
  <c r="E22" i="9"/>
  <c r="C22" i="9"/>
  <c r="B22" i="9"/>
  <c r="AE21" i="9"/>
  <c r="AA21" i="9"/>
  <c r="Z21" i="9"/>
  <c r="N21" i="9"/>
  <c r="J21" i="9"/>
  <c r="H21" i="9"/>
  <c r="W21" i="9" s="1"/>
  <c r="E21" i="9"/>
  <c r="C21" i="9"/>
  <c r="B21" i="9"/>
  <c r="AB20" i="9"/>
  <c r="S20" i="9"/>
  <c r="H20" i="9"/>
  <c r="AC20" i="9" s="1"/>
  <c r="E20" i="9"/>
  <c r="C20" i="9"/>
  <c r="B20" i="9"/>
  <c r="AI19" i="9"/>
  <c r="AJ19" i="9" s="1"/>
  <c r="W19" i="9"/>
  <c r="V19" i="9"/>
  <c r="U19" i="9"/>
  <c r="S19" i="9"/>
  <c r="T19" i="9" s="1"/>
  <c r="N19" i="9"/>
  <c r="M19" i="9"/>
  <c r="H19" i="9"/>
  <c r="AA19" i="9" s="1"/>
  <c r="E19" i="9"/>
  <c r="C19" i="9"/>
  <c r="B19" i="9"/>
  <c r="AH18" i="9"/>
  <c r="AF18" i="9"/>
  <c r="AD18" i="9"/>
  <c r="AC18" i="9"/>
  <c r="AB18" i="9"/>
  <c r="Z18" i="9"/>
  <c r="Y18" i="9"/>
  <c r="X18" i="9"/>
  <c r="S18" i="9"/>
  <c r="R18" i="9"/>
  <c r="P18" i="9"/>
  <c r="N18" i="9"/>
  <c r="M18" i="9"/>
  <c r="L18" i="9"/>
  <c r="K18" i="9"/>
  <c r="J18" i="9"/>
  <c r="H18" i="9"/>
  <c r="AI18" i="9" s="1"/>
  <c r="E18" i="9"/>
  <c r="C18" i="9"/>
  <c r="B18" i="9"/>
  <c r="AI17" i="9"/>
  <c r="AH17" i="9"/>
  <c r="AG17" i="9"/>
  <c r="AF17" i="9"/>
  <c r="AE17" i="9"/>
  <c r="AD17" i="9"/>
  <c r="AC17" i="9"/>
  <c r="AB17" i="9"/>
  <c r="Z17" i="9"/>
  <c r="Y17" i="9"/>
  <c r="W17" i="9"/>
  <c r="U17" i="9"/>
  <c r="T17" i="9"/>
  <c r="S17" i="9"/>
  <c r="R17" i="9"/>
  <c r="Q17" i="9"/>
  <c r="P17" i="9"/>
  <c r="O17" i="9"/>
  <c r="M17" i="9"/>
  <c r="K17" i="9"/>
  <c r="J17" i="9"/>
  <c r="I17" i="9"/>
  <c r="AK17" i="9" s="1"/>
  <c r="H17" i="9"/>
  <c r="E17" i="9"/>
  <c r="C17" i="9"/>
  <c r="B17" i="9"/>
  <c r="AJ16" i="9"/>
  <c r="AI16" i="9"/>
  <c r="AC16" i="9"/>
  <c r="Z16" i="9"/>
  <c r="Y16" i="9"/>
  <c r="X16" i="9"/>
  <c r="L16" i="9"/>
  <c r="K16" i="9"/>
  <c r="J16" i="9"/>
  <c r="H16" i="9"/>
  <c r="W16" i="9" s="1"/>
  <c r="E16" i="9"/>
  <c r="C16" i="9"/>
  <c r="B16" i="9"/>
  <c r="AI15" i="9"/>
  <c r="AH15" i="9"/>
  <c r="AF15" i="9"/>
  <c r="AE15" i="9"/>
  <c r="AC15" i="9"/>
  <c r="Z15" i="9"/>
  <c r="Y15" i="9"/>
  <c r="W15" i="9"/>
  <c r="U15" i="9"/>
  <c r="Q15" i="9"/>
  <c r="P15" i="9"/>
  <c r="O15" i="9"/>
  <c r="M15" i="9"/>
  <c r="L15" i="9"/>
  <c r="K15" i="9"/>
  <c r="I15" i="9"/>
  <c r="AK15" i="9" s="1"/>
  <c r="H15" i="9"/>
  <c r="E15" i="9"/>
  <c r="C15" i="9"/>
  <c r="B15" i="9"/>
  <c r="AJ14" i="9"/>
  <c r="Y14" i="9"/>
  <c r="W14" i="9"/>
  <c r="U14" i="9"/>
  <c r="T14" i="9"/>
  <c r="S14" i="9"/>
  <c r="R14" i="9"/>
  <c r="Q14" i="9"/>
  <c r="H14" i="9"/>
  <c r="AE14" i="9" s="1"/>
  <c r="E14" i="9"/>
  <c r="C14" i="9"/>
  <c r="B14" i="9"/>
  <c r="AK13" i="9"/>
  <c r="AI13" i="9"/>
  <c r="AG13" i="9"/>
  <c r="AF13" i="9"/>
  <c r="AE13" i="9"/>
  <c r="AD13" i="9"/>
  <c r="AA13" i="9"/>
  <c r="Z13" i="9"/>
  <c r="Y13" i="9"/>
  <c r="X13" i="9"/>
  <c r="W13" i="9"/>
  <c r="V13" i="9"/>
  <c r="T13" i="9"/>
  <c r="S13" i="9"/>
  <c r="R13" i="9"/>
  <c r="P13" i="9"/>
  <c r="N13" i="9"/>
  <c r="M13" i="9"/>
  <c r="L13" i="9"/>
  <c r="K13" i="9"/>
  <c r="J13" i="9"/>
  <c r="I13" i="9"/>
  <c r="H13" i="9"/>
  <c r="E13" i="9"/>
  <c r="C13" i="9"/>
  <c r="B13" i="9"/>
  <c r="AI12" i="9"/>
  <c r="AH12" i="9"/>
  <c r="AG12" i="9"/>
  <c r="V12" i="9"/>
  <c r="U12" i="9"/>
  <c r="T12" i="9"/>
  <c r="S12" i="9"/>
  <c r="R12" i="9"/>
  <c r="Q12" i="9"/>
  <c r="L12" i="9"/>
  <c r="H12" i="9"/>
  <c r="Y12" i="9" s="1"/>
  <c r="E12" i="9"/>
  <c r="C12" i="9"/>
  <c r="B12" i="9"/>
  <c r="AF11" i="9"/>
  <c r="AE11" i="9"/>
  <c r="AC11" i="9"/>
  <c r="AA11" i="9"/>
  <c r="AB11" i="9" s="1"/>
  <c r="Z11" i="9"/>
  <c r="Y11" i="9"/>
  <c r="X11" i="9"/>
  <c r="S11" i="9"/>
  <c r="R11" i="9"/>
  <c r="P11" i="9"/>
  <c r="O11" i="9"/>
  <c r="N11" i="9"/>
  <c r="M11" i="9"/>
  <c r="L11" i="9"/>
  <c r="J11" i="9"/>
  <c r="H11" i="9"/>
  <c r="AG11" i="9" s="1"/>
  <c r="E11" i="9"/>
  <c r="C11" i="9"/>
  <c r="B11" i="9"/>
  <c r="AJ10" i="9"/>
  <c r="AI10" i="9"/>
  <c r="AH10" i="9"/>
  <c r="AG10" i="9"/>
  <c r="AE10" i="9"/>
  <c r="AD10" i="9"/>
  <c r="AC10" i="9"/>
  <c r="AB10" i="9"/>
  <c r="AA10" i="9"/>
  <c r="Z10" i="9"/>
  <c r="Y10" i="9"/>
  <c r="X10" i="9"/>
  <c r="W10" i="9"/>
  <c r="V10" i="9"/>
  <c r="U10" i="9"/>
  <c r="S10" i="9"/>
  <c r="R10" i="9"/>
  <c r="Q10" i="9"/>
  <c r="P10" i="9"/>
  <c r="O10" i="9"/>
  <c r="N10" i="9"/>
  <c r="M10" i="9"/>
  <c r="L10" i="9"/>
  <c r="K10" i="9"/>
  <c r="J10" i="9"/>
  <c r="I10" i="9"/>
  <c r="AK10" i="9" s="1"/>
  <c r="H10" i="9"/>
  <c r="AF10" i="9" s="1"/>
  <c r="E10" i="9"/>
  <c r="C10" i="9"/>
  <c r="B10" i="9"/>
  <c r="AH9" i="9"/>
  <c r="AG9" i="9"/>
  <c r="AE9" i="9"/>
  <c r="AD9" i="9"/>
  <c r="AA9" i="9"/>
  <c r="U9" i="9"/>
  <c r="R9" i="9"/>
  <c r="P9" i="9"/>
  <c r="O9" i="9"/>
  <c r="N9" i="9"/>
  <c r="M9" i="9"/>
  <c r="L9" i="9"/>
  <c r="H9" i="9"/>
  <c r="Z9" i="9" s="1"/>
  <c r="E9" i="9"/>
  <c r="C9" i="9"/>
  <c r="B9" i="9"/>
  <c r="AJ8" i="9"/>
  <c r="AI8" i="9"/>
  <c r="AH8" i="9"/>
  <c r="AG8" i="9"/>
  <c r="AC8" i="9"/>
  <c r="AB8" i="9"/>
  <c r="W8" i="9"/>
  <c r="T8" i="9"/>
  <c r="P8" i="9"/>
  <c r="O8" i="9"/>
  <c r="L8" i="9"/>
  <c r="K8" i="9"/>
  <c r="J8" i="9"/>
  <c r="I8" i="9"/>
  <c r="AK8" i="9" s="1"/>
  <c r="H8" i="9"/>
  <c r="X8" i="9" s="1"/>
  <c r="E8" i="9"/>
  <c r="C8" i="9"/>
  <c r="B8" i="9"/>
  <c r="AH7" i="9"/>
  <c r="AE7" i="9"/>
  <c r="AA7" i="9"/>
  <c r="AB7" i="9" s="1"/>
  <c r="P7" i="9"/>
  <c r="N7" i="9"/>
  <c r="H7" i="9"/>
  <c r="V7" i="9" s="1"/>
  <c r="E7" i="9"/>
  <c r="C7" i="9"/>
  <c r="B7" i="9"/>
  <c r="AJ5" i="9"/>
  <c r="AI5" i="9"/>
  <c r="AH5" i="9"/>
  <c r="AG5" i="9"/>
  <c r="AF5" i="9"/>
  <c r="AE5" i="9"/>
  <c r="AD5" i="9"/>
  <c r="AC5" i="9"/>
  <c r="AB5" i="9"/>
  <c r="AA5" i="9"/>
  <c r="Z5" i="9"/>
  <c r="Y5" i="9"/>
  <c r="X5" i="9"/>
  <c r="W5" i="9"/>
  <c r="V5" i="9"/>
  <c r="T5" i="9"/>
  <c r="S5" i="9"/>
  <c r="R5" i="9"/>
  <c r="Q5" i="9"/>
  <c r="P5" i="9"/>
  <c r="O5" i="9"/>
  <c r="N5" i="9"/>
  <c r="M5" i="9"/>
  <c r="AC1" i="9"/>
  <c r="U1" i="9"/>
  <c r="U5" i="9" s="1"/>
  <c r="M1" i="9"/>
  <c r="F328" i="7"/>
  <c r="E328" i="7" s="1"/>
  <c r="C328" i="7"/>
  <c r="B328" i="7"/>
  <c r="F327" i="7"/>
  <c r="E327" i="7" s="1"/>
  <c r="C327" i="7"/>
  <c r="B327" i="7"/>
  <c r="D327" i="7" s="1"/>
  <c r="F326" i="7"/>
  <c r="E326" i="7" s="1"/>
  <c r="C326" i="7"/>
  <c r="D326" i="7" s="1"/>
  <c r="B326" i="7"/>
  <c r="C325" i="7"/>
  <c r="F325" i="7" s="1"/>
  <c r="E325" i="7" s="1"/>
  <c r="B325" i="7"/>
  <c r="F324" i="7"/>
  <c r="E324" i="7" s="1"/>
  <c r="C324" i="7"/>
  <c r="B324" i="7"/>
  <c r="D324" i="7" s="1"/>
  <c r="F323" i="7"/>
  <c r="E323" i="7" s="1"/>
  <c r="C323" i="7"/>
  <c r="B323" i="7"/>
  <c r="D323" i="7" s="1"/>
  <c r="C322" i="7"/>
  <c r="B322" i="7"/>
  <c r="D322" i="7" s="1"/>
  <c r="F321" i="7"/>
  <c r="E321" i="7" s="1"/>
  <c r="D321" i="7"/>
  <c r="C321" i="7"/>
  <c r="B321" i="7"/>
  <c r="D320" i="7"/>
  <c r="C320" i="7"/>
  <c r="F320" i="7" s="1"/>
  <c r="E320" i="7" s="1"/>
  <c r="B320" i="7"/>
  <c r="C319" i="7"/>
  <c r="B319" i="7"/>
  <c r="C318" i="7"/>
  <c r="B318" i="7"/>
  <c r="F317" i="7"/>
  <c r="E317" i="7" s="1"/>
  <c r="C317" i="7"/>
  <c r="B317" i="7"/>
  <c r="D317" i="7" s="1"/>
  <c r="C316" i="7"/>
  <c r="B316" i="7"/>
  <c r="F316" i="7" s="1"/>
  <c r="E316" i="7" s="1"/>
  <c r="C315" i="7"/>
  <c r="B315" i="7"/>
  <c r="C314" i="7"/>
  <c r="B314" i="7"/>
  <c r="F313" i="7"/>
  <c r="E313" i="7"/>
  <c r="C313" i="7"/>
  <c r="B313" i="7"/>
  <c r="D313" i="7" s="1"/>
  <c r="C312" i="7"/>
  <c r="F312" i="7" s="1"/>
  <c r="E312" i="7" s="1"/>
  <c r="B312" i="7"/>
  <c r="F311" i="7"/>
  <c r="E311" i="7" s="1"/>
  <c r="D311" i="7"/>
  <c r="C311" i="7"/>
  <c r="B311" i="7"/>
  <c r="C310" i="7"/>
  <c r="B310" i="7"/>
  <c r="C309" i="7"/>
  <c r="B309" i="7"/>
  <c r="F309" i="7" s="1"/>
  <c r="E309" i="7" s="1"/>
  <c r="F308" i="7"/>
  <c r="E308" i="7" s="1"/>
  <c r="C308" i="7"/>
  <c r="B308" i="7"/>
  <c r="D308" i="7" s="1"/>
  <c r="F307" i="7"/>
  <c r="E307" i="7" s="1"/>
  <c r="C307" i="7"/>
  <c r="B307" i="7"/>
  <c r="D307" i="7" s="1"/>
  <c r="C306" i="7"/>
  <c r="B306" i="7"/>
  <c r="F306" i="7" s="1"/>
  <c r="E306" i="7" s="1"/>
  <c r="C305" i="7"/>
  <c r="B305" i="7"/>
  <c r="C304" i="7"/>
  <c r="B304" i="7"/>
  <c r="F303" i="7"/>
  <c r="E303" i="7" s="1"/>
  <c r="D303" i="7"/>
  <c r="C303" i="7"/>
  <c r="B303" i="7"/>
  <c r="F302" i="7"/>
  <c r="E302" i="7"/>
  <c r="D302" i="7"/>
  <c r="C302" i="7"/>
  <c r="B302" i="7"/>
  <c r="F301" i="7"/>
  <c r="E301" i="7"/>
  <c r="C301" i="7"/>
  <c r="B301" i="7"/>
  <c r="D301" i="7" s="1"/>
  <c r="C300" i="7"/>
  <c r="B300" i="7"/>
  <c r="C299" i="7"/>
  <c r="B299" i="7"/>
  <c r="F298" i="7"/>
  <c r="E298" i="7"/>
  <c r="D298" i="7"/>
  <c r="C298" i="7"/>
  <c r="B298" i="7"/>
  <c r="D297" i="7"/>
  <c r="C297" i="7"/>
  <c r="B297" i="7"/>
  <c r="F297" i="7" s="1"/>
  <c r="E297" i="7" s="1"/>
  <c r="D296" i="7"/>
  <c r="C296" i="7"/>
  <c r="B296" i="7"/>
  <c r="F296" i="7" s="1"/>
  <c r="E296" i="7" s="1"/>
  <c r="C295" i="7"/>
  <c r="B295" i="7"/>
  <c r="C294" i="7"/>
  <c r="B294" i="7"/>
  <c r="F294" i="7" s="1"/>
  <c r="E294" i="7" s="1"/>
  <c r="F293" i="7"/>
  <c r="E293" i="7"/>
  <c r="D293" i="7"/>
  <c r="C293" i="7"/>
  <c r="B293" i="7"/>
  <c r="F292" i="7"/>
  <c r="E292" i="7"/>
  <c r="C292" i="7"/>
  <c r="B292" i="7"/>
  <c r="D292" i="7" s="1"/>
  <c r="F291" i="7"/>
  <c r="E291" i="7" s="1"/>
  <c r="D291" i="7"/>
  <c r="C291" i="7"/>
  <c r="B291" i="7"/>
  <c r="F290" i="7"/>
  <c r="E290" i="7" s="1"/>
  <c r="D290" i="7"/>
  <c r="C290" i="7"/>
  <c r="B290" i="7"/>
  <c r="C289" i="7"/>
  <c r="F289" i="7" s="1"/>
  <c r="E289" i="7" s="1"/>
  <c r="B289" i="7"/>
  <c r="F288" i="7"/>
  <c r="E288" i="7"/>
  <c r="D288" i="7"/>
  <c r="C288" i="7"/>
  <c r="B288" i="7"/>
  <c r="C287" i="7"/>
  <c r="B287" i="7"/>
  <c r="F286" i="7"/>
  <c r="E286" i="7"/>
  <c r="D286" i="7"/>
  <c r="C286" i="7"/>
  <c r="B286" i="7"/>
  <c r="F285" i="7"/>
  <c r="E285" i="7" s="1"/>
  <c r="C285" i="7"/>
  <c r="B285" i="7"/>
  <c r="D285" i="7" s="1"/>
  <c r="C284" i="7"/>
  <c r="B284" i="7"/>
  <c r="F283" i="7"/>
  <c r="E283" i="7"/>
  <c r="D283" i="7"/>
  <c r="C283" i="7"/>
  <c r="B283" i="7"/>
  <c r="D282" i="7"/>
  <c r="C282" i="7"/>
  <c r="B282" i="7"/>
  <c r="D281" i="7"/>
  <c r="C281" i="7"/>
  <c r="B281" i="7"/>
  <c r="F281" i="7" s="1"/>
  <c r="E281" i="7" s="1"/>
  <c r="F280" i="7"/>
  <c r="E280" i="7" s="1"/>
  <c r="C280" i="7"/>
  <c r="B280" i="7"/>
  <c r="D280" i="7" s="1"/>
  <c r="F279" i="7"/>
  <c r="E279" i="7"/>
  <c r="C279" i="7"/>
  <c r="B279" i="7"/>
  <c r="D279" i="7" s="1"/>
  <c r="F278" i="7"/>
  <c r="E278" i="7" s="1"/>
  <c r="D278" i="7"/>
  <c r="C278" i="7"/>
  <c r="B278" i="7"/>
  <c r="F277" i="7"/>
  <c r="E277" i="7" s="1"/>
  <c r="D277" i="7"/>
  <c r="C277" i="7"/>
  <c r="B277" i="7"/>
  <c r="F276" i="7"/>
  <c r="E276" i="7" s="1"/>
  <c r="C276" i="7"/>
  <c r="B276" i="7"/>
  <c r="D276" i="7" s="1"/>
  <c r="F275" i="7"/>
  <c r="E275" i="7" s="1"/>
  <c r="C275" i="7"/>
  <c r="B275" i="7"/>
  <c r="D275" i="7" s="1"/>
  <c r="F274" i="7"/>
  <c r="E274" i="7"/>
  <c r="C274" i="7"/>
  <c r="B274" i="7"/>
  <c r="F273" i="7"/>
  <c r="E273" i="7" s="1"/>
  <c r="D273" i="7"/>
  <c r="C273" i="7"/>
  <c r="B273" i="7"/>
  <c r="F272" i="7"/>
  <c r="E272" i="7" s="1"/>
  <c r="D272" i="7"/>
  <c r="C272" i="7"/>
  <c r="B272" i="7"/>
  <c r="C271" i="7"/>
  <c r="D271" i="7" s="1"/>
  <c r="B271" i="7"/>
  <c r="E270" i="7"/>
  <c r="C270" i="7"/>
  <c r="B270" i="7"/>
  <c r="F270" i="7" s="1"/>
  <c r="F269" i="7"/>
  <c r="E269" i="7" s="1"/>
  <c r="C269" i="7"/>
  <c r="B269" i="7"/>
  <c r="D269" i="7" s="1"/>
  <c r="F268" i="7"/>
  <c r="E268" i="7" s="1"/>
  <c r="C268" i="7"/>
  <c r="B268" i="7"/>
  <c r="D268" i="7" s="1"/>
  <c r="C267" i="7"/>
  <c r="B267" i="7"/>
  <c r="F266" i="7"/>
  <c r="E266" i="7"/>
  <c r="D266" i="7"/>
  <c r="C266" i="7"/>
  <c r="B266" i="7"/>
  <c r="F265" i="7"/>
  <c r="E265" i="7" s="1"/>
  <c r="C265" i="7"/>
  <c r="B265" i="7"/>
  <c r="D265" i="7" s="1"/>
  <c r="C264" i="7"/>
  <c r="B264" i="7"/>
  <c r="F264" i="7" s="1"/>
  <c r="E264" i="7" s="1"/>
  <c r="C263" i="7"/>
  <c r="B263" i="7"/>
  <c r="D263" i="7" s="1"/>
  <c r="C262" i="7"/>
  <c r="B262" i="7"/>
  <c r="E261" i="7"/>
  <c r="C261" i="7"/>
  <c r="B261" i="7"/>
  <c r="F261" i="7" s="1"/>
  <c r="F260" i="7"/>
  <c r="E260" i="7"/>
  <c r="C260" i="7"/>
  <c r="B260" i="7"/>
  <c r="D260" i="7" s="1"/>
  <c r="F259" i="7"/>
  <c r="E259" i="7" s="1"/>
  <c r="C259" i="7"/>
  <c r="B259" i="7"/>
  <c r="D259" i="7" s="1"/>
  <c r="E258" i="7"/>
  <c r="C258" i="7"/>
  <c r="B258" i="7"/>
  <c r="F258" i="7" s="1"/>
  <c r="C257" i="7"/>
  <c r="B257" i="7"/>
  <c r="C256" i="7"/>
  <c r="B256" i="7"/>
  <c r="F255" i="7"/>
  <c r="E255" i="7" s="1"/>
  <c r="D255" i="7"/>
  <c r="C255" i="7"/>
  <c r="B255" i="7"/>
  <c r="F254" i="7"/>
  <c r="E254" i="7"/>
  <c r="D254" i="7"/>
  <c r="C254" i="7"/>
  <c r="B254" i="7"/>
  <c r="F253" i="7"/>
  <c r="E253" i="7" s="1"/>
  <c r="C253" i="7"/>
  <c r="B253" i="7"/>
  <c r="D253" i="7" s="1"/>
  <c r="C252" i="7"/>
  <c r="B252" i="7"/>
  <c r="C251" i="7"/>
  <c r="D251" i="7" s="1"/>
  <c r="B251" i="7"/>
  <c r="F250" i="7"/>
  <c r="E250" i="7"/>
  <c r="D250" i="7"/>
  <c r="C250" i="7"/>
  <c r="B250" i="7"/>
  <c r="E249" i="7"/>
  <c r="C249" i="7"/>
  <c r="B249" i="7"/>
  <c r="F249" i="7" s="1"/>
  <c r="C248" i="7"/>
  <c r="B248" i="7"/>
  <c r="C247" i="7"/>
  <c r="B247" i="7"/>
  <c r="D246" i="7"/>
  <c r="C246" i="7"/>
  <c r="B246" i="7"/>
  <c r="F246" i="7" s="1"/>
  <c r="E246" i="7" s="1"/>
  <c r="D245" i="7"/>
  <c r="C245" i="7"/>
  <c r="B245" i="7"/>
  <c r="F245" i="7" s="1"/>
  <c r="E245" i="7" s="1"/>
  <c r="E244" i="7"/>
  <c r="C244" i="7"/>
  <c r="F244" i="7" s="1"/>
  <c r="B244" i="7"/>
  <c r="C243" i="7"/>
  <c r="B243" i="7"/>
  <c r="F243" i="7" s="1"/>
  <c r="E243" i="7" s="1"/>
  <c r="F242" i="7"/>
  <c r="E242" i="7" s="1"/>
  <c r="D242" i="7"/>
  <c r="C242" i="7"/>
  <c r="B242" i="7"/>
  <c r="F241" i="7"/>
  <c r="E241" i="7" s="1"/>
  <c r="D241" i="7"/>
  <c r="C241" i="7"/>
  <c r="B241" i="7"/>
  <c r="F240" i="7"/>
  <c r="E240" i="7" s="1"/>
  <c r="C240" i="7"/>
  <c r="B240" i="7"/>
  <c r="D240" i="7" s="1"/>
  <c r="F239" i="7"/>
  <c r="E239" i="7" s="1"/>
  <c r="D239" i="7"/>
  <c r="C239" i="7"/>
  <c r="B239" i="7"/>
  <c r="F238" i="7"/>
  <c r="E238" i="7" s="1"/>
  <c r="D238" i="7"/>
  <c r="C238" i="7"/>
  <c r="B238" i="7"/>
  <c r="C237" i="7"/>
  <c r="B237" i="7"/>
  <c r="C236" i="7"/>
  <c r="B236" i="7"/>
  <c r="F235" i="7"/>
  <c r="E235" i="7" s="1"/>
  <c r="D235" i="7"/>
  <c r="C235" i="7"/>
  <c r="B235" i="7"/>
  <c r="D234" i="7"/>
  <c r="C234" i="7"/>
  <c r="B234" i="7"/>
  <c r="D233" i="7"/>
  <c r="C233" i="7"/>
  <c r="B233" i="7"/>
  <c r="F233" i="7" s="1"/>
  <c r="E233" i="7" s="1"/>
  <c r="F232" i="7"/>
  <c r="E232" i="7" s="1"/>
  <c r="C232" i="7"/>
  <c r="B232" i="7"/>
  <c r="D232" i="7" s="1"/>
  <c r="C231" i="7"/>
  <c r="B231" i="7"/>
  <c r="D230" i="7"/>
  <c r="C230" i="7"/>
  <c r="F230" i="7" s="1"/>
  <c r="E230" i="7" s="1"/>
  <c r="B230" i="7"/>
  <c r="F229" i="7"/>
  <c r="E229" i="7" s="1"/>
  <c r="D229" i="7"/>
  <c r="C229" i="7"/>
  <c r="B229" i="7"/>
  <c r="D228" i="7"/>
  <c r="C228" i="7"/>
  <c r="B228" i="7"/>
  <c r="F228" i="7" s="1"/>
  <c r="E228" i="7" s="1"/>
  <c r="F227" i="7"/>
  <c r="E227" i="7" s="1"/>
  <c r="C227" i="7"/>
  <c r="B227" i="7"/>
  <c r="C226" i="7"/>
  <c r="B226" i="7"/>
  <c r="D226" i="7" s="1"/>
  <c r="F225" i="7"/>
  <c r="E225" i="7" s="1"/>
  <c r="D225" i="7"/>
  <c r="C225" i="7"/>
  <c r="B225" i="7"/>
  <c r="F224" i="7"/>
  <c r="E224" i="7" s="1"/>
  <c r="D224" i="7"/>
  <c r="C224" i="7"/>
  <c r="B224" i="7"/>
  <c r="F223" i="7"/>
  <c r="E223" i="7" s="1"/>
  <c r="C223" i="7"/>
  <c r="B223" i="7"/>
  <c r="D223" i="7" s="1"/>
  <c r="E222" i="7"/>
  <c r="C222" i="7"/>
  <c r="B222" i="7"/>
  <c r="F222" i="7" s="1"/>
  <c r="F221" i="7"/>
  <c r="E221" i="7" s="1"/>
  <c r="C221" i="7"/>
  <c r="B221" i="7"/>
  <c r="D221" i="7" s="1"/>
  <c r="F220" i="7"/>
  <c r="E220" i="7" s="1"/>
  <c r="C220" i="7"/>
  <c r="B220" i="7"/>
  <c r="D220" i="7" s="1"/>
  <c r="C219" i="7"/>
  <c r="B219" i="7"/>
  <c r="F218" i="7"/>
  <c r="E218" i="7"/>
  <c r="D218" i="7"/>
  <c r="C218" i="7"/>
  <c r="B218" i="7"/>
  <c r="F217" i="7"/>
  <c r="E217" i="7" s="1"/>
  <c r="C217" i="7"/>
  <c r="B217" i="7"/>
  <c r="D217" i="7" s="1"/>
  <c r="C216" i="7"/>
  <c r="B216" i="7"/>
  <c r="D216" i="7" s="1"/>
  <c r="F215" i="7"/>
  <c r="E215" i="7" s="1"/>
  <c r="D215" i="7"/>
  <c r="C215" i="7"/>
  <c r="B215" i="7"/>
  <c r="C214" i="7"/>
  <c r="B214" i="7"/>
  <c r="E213" i="7"/>
  <c r="D213" i="7"/>
  <c r="C213" i="7"/>
  <c r="B213" i="7"/>
  <c r="F213" i="7" s="1"/>
  <c r="F212" i="7"/>
  <c r="E212" i="7"/>
  <c r="C212" i="7"/>
  <c r="B212" i="7"/>
  <c r="D212" i="7" s="1"/>
  <c r="C211" i="7"/>
  <c r="B211" i="7"/>
  <c r="D211" i="7" s="1"/>
  <c r="C210" i="7"/>
  <c r="D210" i="7" s="1"/>
  <c r="B210" i="7"/>
  <c r="C209" i="7"/>
  <c r="B209" i="7"/>
  <c r="E208" i="7"/>
  <c r="D208" i="7"/>
  <c r="C208" i="7"/>
  <c r="B208" i="7"/>
  <c r="F208" i="7" s="1"/>
  <c r="F207" i="7"/>
  <c r="E207" i="7"/>
  <c r="C207" i="7"/>
  <c r="B207" i="7"/>
  <c r="D207" i="7" s="1"/>
  <c r="C206" i="7"/>
  <c r="B206" i="7"/>
  <c r="F205" i="7"/>
  <c r="E205" i="7" s="1"/>
  <c r="D205" i="7"/>
  <c r="C205" i="7"/>
  <c r="B205" i="7"/>
  <c r="F204" i="7"/>
  <c r="E204" i="7" s="1"/>
  <c r="D204" i="7"/>
  <c r="C204" i="7"/>
  <c r="B204" i="7"/>
  <c r="F203" i="7"/>
  <c r="E203" i="7"/>
  <c r="D203" i="7"/>
  <c r="C203" i="7"/>
  <c r="B203" i="7"/>
  <c r="F202" i="7"/>
  <c r="E202" i="7" s="1"/>
  <c r="C202" i="7"/>
  <c r="B202" i="7"/>
  <c r="D202" i="7" s="1"/>
  <c r="D201" i="7"/>
  <c r="C201" i="7"/>
  <c r="B201" i="7"/>
  <c r="F201" i="7" s="1"/>
  <c r="E201" i="7" s="1"/>
  <c r="C200" i="7"/>
  <c r="B200" i="7"/>
  <c r="D200" i="7" s="1"/>
  <c r="C199" i="7"/>
  <c r="B199" i="7"/>
  <c r="F199" i="7" s="1"/>
  <c r="E199" i="7" s="1"/>
  <c r="C198" i="7"/>
  <c r="B198" i="7"/>
  <c r="D198" i="7" s="1"/>
  <c r="C197" i="7"/>
  <c r="B197" i="7"/>
  <c r="C196" i="7"/>
  <c r="B196" i="7"/>
  <c r="F195" i="7"/>
  <c r="E195" i="7" s="1"/>
  <c r="C195" i="7"/>
  <c r="B195" i="7"/>
  <c r="D195" i="7" s="1"/>
  <c r="F194" i="7"/>
  <c r="E194" i="7" s="1"/>
  <c r="C194" i="7"/>
  <c r="B194" i="7"/>
  <c r="D194" i="7" s="1"/>
  <c r="D193" i="7"/>
  <c r="C193" i="7"/>
  <c r="F193" i="7" s="1"/>
  <c r="E193" i="7" s="1"/>
  <c r="B193" i="7"/>
  <c r="F192" i="7"/>
  <c r="E192" i="7" s="1"/>
  <c r="D192" i="7"/>
  <c r="C192" i="7"/>
  <c r="B192" i="7"/>
  <c r="F191" i="7"/>
  <c r="E191" i="7" s="1"/>
  <c r="D191" i="7"/>
  <c r="C191" i="7"/>
  <c r="B191" i="7"/>
  <c r="F190" i="7"/>
  <c r="E190" i="7" s="1"/>
  <c r="D190" i="7"/>
  <c r="C190" i="7"/>
  <c r="B190" i="7"/>
  <c r="C189" i="7"/>
  <c r="F189" i="7" s="1"/>
  <c r="E189" i="7" s="1"/>
  <c r="B189" i="7"/>
  <c r="C188" i="7"/>
  <c r="B188" i="7"/>
  <c r="F188" i="7" s="1"/>
  <c r="E188" i="7" s="1"/>
  <c r="D187" i="7"/>
  <c r="C187" i="7"/>
  <c r="B187" i="7"/>
  <c r="F187" i="7" s="1"/>
  <c r="E187" i="7" s="1"/>
  <c r="F186" i="7"/>
  <c r="E186" i="7" s="1"/>
  <c r="C186" i="7"/>
  <c r="B186" i="7"/>
  <c r="D186" i="7" s="1"/>
  <c r="C185" i="7"/>
  <c r="B185" i="7"/>
  <c r="D184" i="7"/>
  <c r="C184" i="7"/>
  <c r="B184" i="7"/>
  <c r="F184" i="7" s="1"/>
  <c r="E184" i="7" s="1"/>
  <c r="F183" i="7"/>
  <c r="E183" i="7" s="1"/>
  <c r="C183" i="7"/>
  <c r="B183" i="7"/>
  <c r="F182" i="7"/>
  <c r="E182" i="7" s="1"/>
  <c r="C182" i="7"/>
  <c r="B182" i="7"/>
  <c r="D182" i="7" s="1"/>
  <c r="F181" i="7"/>
  <c r="E181" i="7"/>
  <c r="D181" i="7"/>
  <c r="C181" i="7"/>
  <c r="B181" i="7"/>
  <c r="F180" i="7"/>
  <c r="E180" i="7" s="1"/>
  <c r="D180" i="7"/>
  <c r="C180" i="7"/>
  <c r="B180" i="7"/>
  <c r="C179" i="7"/>
  <c r="B179" i="7"/>
  <c r="C178" i="7"/>
  <c r="B178" i="7"/>
  <c r="C177" i="7"/>
  <c r="B177" i="7"/>
  <c r="D176" i="7"/>
  <c r="C176" i="7"/>
  <c r="B176" i="7"/>
  <c r="F176" i="7" s="1"/>
  <c r="E176" i="7" s="1"/>
  <c r="E175" i="7"/>
  <c r="D175" i="7"/>
  <c r="C175" i="7"/>
  <c r="B175" i="7"/>
  <c r="F175" i="7" s="1"/>
  <c r="E174" i="7"/>
  <c r="C174" i="7"/>
  <c r="B174" i="7"/>
  <c r="F174" i="7" s="1"/>
  <c r="C173" i="7"/>
  <c r="B173" i="7"/>
  <c r="C172" i="7"/>
  <c r="D172" i="7" s="1"/>
  <c r="B172" i="7"/>
  <c r="F171" i="7"/>
  <c r="E171" i="7"/>
  <c r="C171" i="7"/>
  <c r="B171" i="7"/>
  <c r="D171" i="7" s="1"/>
  <c r="F170" i="7"/>
  <c r="E170" i="7"/>
  <c r="C170" i="7"/>
  <c r="B170" i="7"/>
  <c r="D170" i="7" s="1"/>
  <c r="F169" i="7"/>
  <c r="E169" i="7"/>
  <c r="D169" i="7"/>
  <c r="C169" i="7"/>
  <c r="B169" i="7"/>
  <c r="F168" i="7"/>
  <c r="E168" i="7" s="1"/>
  <c r="D168" i="7"/>
  <c r="C168" i="7"/>
  <c r="B168" i="7"/>
  <c r="C167" i="7"/>
  <c r="B167" i="7"/>
  <c r="C166" i="7"/>
  <c r="B166" i="7"/>
  <c r="D166" i="7" s="1"/>
  <c r="C165" i="7"/>
  <c r="B165" i="7"/>
  <c r="D165" i="7" s="1"/>
  <c r="C164" i="7"/>
  <c r="B164" i="7"/>
  <c r="D164" i="7" s="1"/>
  <c r="E163" i="7"/>
  <c r="D163" i="7"/>
  <c r="C163" i="7"/>
  <c r="B163" i="7"/>
  <c r="F163" i="7" s="1"/>
  <c r="C162" i="7"/>
  <c r="D162" i="7" s="1"/>
  <c r="B162" i="7"/>
  <c r="C161" i="7"/>
  <c r="B161" i="7"/>
  <c r="C160" i="7"/>
  <c r="D160" i="7" s="1"/>
  <c r="B160" i="7"/>
  <c r="C159" i="7"/>
  <c r="F159" i="7" s="1"/>
  <c r="E159" i="7" s="1"/>
  <c r="B159" i="7"/>
  <c r="C158" i="7"/>
  <c r="B158" i="7"/>
  <c r="F157" i="7"/>
  <c r="E157" i="7" s="1"/>
  <c r="D157" i="7"/>
  <c r="C157" i="7"/>
  <c r="B157" i="7"/>
  <c r="F156" i="7"/>
  <c r="E156" i="7" s="1"/>
  <c r="D156" i="7"/>
  <c r="C156" i="7"/>
  <c r="B156" i="7"/>
  <c r="F155" i="7"/>
  <c r="E155" i="7"/>
  <c r="D155" i="7"/>
  <c r="C155" i="7"/>
  <c r="B155" i="7"/>
  <c r="F154" i="7"/>
  <c r="E154" i="7" s="1"/>
  <c r="C154" i="7"/>
  <c r="B154" i="7"/>
  <c r="D154" i="7" s="1"/>
  <c r="F153" i="7"/>
  <c r="E153" i="7" s="1"/>
  <c r="D153" i="7"/>
  <c r="C153" i="7"/>
  <c r="B153" i="7"/>
  <c r="F152" i="7"/>
  <c r="E152" i="7" s="1"/>
  <c r="C152" i="7"/>
  <c r="B152" i="7"/>
  <c r="D152" i="7" s="1"/>
  <c r="C151" i="7"/>
  <c r="B151" i="7"/>
  <c r="C150" i="7"/>
  <c r="B150" i="7"/>
  <c r="D150" i="7" s="1"/>
  <c r="C149" i="7"/>
  <c r="B149" i="7"/>
  <c r="C148" i="7"/>
  <c r="B148" i="7"/>
  <c r="F147" i="7"/>
  <c r="E147" i="7" s="1"/>
  <c r="C147" i="7"/>
  <c r="B147" i="7"/>
  <c r="D147" i="7" s="1"/>
  <c r="C146" i="7"/>
  <c r="B146" i="7"/>
  <c r="D146" i="7" s="1"/>
  <c r="C145" i="7"/>
  <c r="B145" i="7"/>
  <c r="F144" i="7"/>
  <c r="E144" i="7" s="1"/>
  <c r="D144" i="7"/>
  <c r="C144" i="7"/>
  <c r="B144" i="7"/>
  <c r="F143" i="7"/>
  <c r="E143" i="7" s="1"/>
  <c r="D143" i="7"/>
  <c r="C143" i="7"/>
  <c r="B143" i="7"/>
  <c r="F142" i="7"/>
  <c r="E142" i="7" s="1"/>
  <c r="D142" i="7"/>
  <c r="C142" i="7"/>
  <c r="B142" i="7"/>
  <c r="F141" i="7"/>
  <c r="E141" i="7" s="1"/>
  <c r="D141" i="7"/>
  <c r="C141" i="7"/>
  <c r="B141" i="7"/>
  <c r="E140" i="7"/>
  <c r="C140" i="7"/>
  <c r="B140" i="7"/>
  <c r="F140" i="7" s="1"/>
  <c r="E139" i="7"/>
  <c r="D139" i="7"/>
  <c r="C139" i="7"/>
  <c r="B139" i="7"/>
  <c r="F139" i="7" s="1"/>
  <c r="F138" i="7"/>
  <c r="E138" i="7"/>
  <c r="C138" i="7"/>
  <c r="B138" i="7"/>
  <c r="D138" i="7" s="1"/>
  <c r="C137" i="7"/>
  <c r="B137" i="7"/>
  <c r="E136" i="7"/>
  <c r="D136" i="7"/>
  <c r="C136" i="7"/>
  <c r="B136" i="7"/>
  <c r="F136" i="7" s="1"/>
  <c r="F135" i="7"/>
  <c r="E135" i="7" s="1"/>
  <c r="C135" i="7"/>
  <c r="B135" i="7"/>
  <c r="F134" i="7"/>
  <c r="E134" i="7" s="1"/>
  <c r="C134" i="7"/>
  <c r="B134" i="7"/>
  <c r="D134" i="7" s="1"/>
  <c r="F133" i="7"/>
  <c r="E133" i="7"/>
  <c r="D133" i="7"/>
  <c r="C133" i="7"/>
  <c r="B133" i="7"/>
  <c r="F132" i="7"/>
  <c r="E132" i="7" s="1"/>
  <c r="D132" i="7"/>
  <c r="C132" i="7"/>
  <c r="B132" i="7"/>
  <c r="C131" i="7"/>
  <c r="B131" i="7"/>
  <c r="C130" i="7"/>
  <c r="B130" i="7"/>
  <c r="C129" i="7"/>
  <c r="B129" i="7"/>
  <c r="D128" i="7"/>
  <c r="C128" i="7"/>
  <c r="B128" i="7"/>
  <c r="F128" i="7" s="1"/>
  <c r="E128" i="7" s="1"/>
  <c r="E127" i="7"/>
  <c r="D127" i="7"/>
  <c r="C127" i="7"/>
  <c r="B127" i="7"/>
  <c r="F127" i="7" s="1"/>
  <c r="C126" i="7"/>
  <c r="B126" i="7"/>
  <c r="F126" i="7" s="1"/>
  <c r="E126" i="7" s="1"/>
  <c r="C125" i="7"/>
  <c r="B125" i="7"/>
  <c r="C124" i="7"/>
  <c r="D124" i="7" s="1"/>
  <c r="B124" i="7"/>
  <c r="F123" i="7"/>
  <c r="E123" i="7"/>
  <c r="C123" i="7"/>
  <c r="B123" i="7"/>
  <c r="D123" i="7" s="1"/>
  <c r="F122" i="7"/>
  <c r="E122" i="7"/>
  <c r="C122" i="7"/>
  <c r="B122" i="7"/>
  <c r="D122" i="7" s="1"/>
  <c r="F121" i="7"/>
  <c r="E121" i="7"/>
  <c r="D121" i="7"/>
  <c r="C121" i="7"/>
  <c r="B121" i="7"/>
  <c r="F120" i="7"/>
  <c r="E120" i="7" s="1"/>
  <c r="D120" i="7"/>
  <c r="C120" i="7"/>
  <c r="B120" i="7"/>
  <c r="F119" i="7"/>
  <c r="E119" i="7"/>
  <c r="C119" i="7"/>
  <c r="B119" i="7"/>
  <c r="D119" i="7" s="1"/>
  <c r="F118" i="7"/>
  <c r="E118" i="7" s="1"/>
  <c r="C118" i="7"/>
  <c r="B118" i="7"/>
  <c r="D118" i="7" s="1"/>
  <c r="C117" i="7"/>
  <c r="B117" i="7"/>
  <c r="C116" i="7"/>
  <c r="B116" i="7"/>
  <c r="D116" i="7" s="1"/>
  <c r="E115" i="7"/>
  <c r="D115" i="7"/>
  <c r="C115" i="7"/>
  <c r="B115" i="7"/>
  <c r="F115" i="7" s="1"/>
  <c r="D114" i="7"/>
  <c r="C114" i="7"/>
  <c r="B114" i="7"/>
  <c r="F114" i="7" s="1"/>
  <c r="E114" i="7" s="1"/>
  <c r="C113" i="7"/>
  <c r="B113" i="7"/>
  <c r="C112" i="7"/>
  <c r="D112" i="7" s="1"/>
  <c r="B112" i="7"/>
  <c r="F111" i="7"/>
  <c r="E111" i="7"/>
  <c r="C111" i="7"/>
  <c r="B111" i="7"/>
  <c r="D111" i="7" s="1"/>
  <c r="C110" i="7"/>
  <c r="B110" i="7"/>
  <c r="F109" i="7"/>
  <c r="E109" i="7" s="1"/>
  <c r="D109" i="7"/>
  <c r="C109" i="7"/>
  <c r="B109" i="7"/>
  <c r="F108" i="7"/>
  <c r="E108" i="7" s="1"/>
  <c r="D108" i="7"/>
  <c r="C108" i="7"/>
  <c r="B108" i="7"/>
  <c r="F107" i="7"/>
  <c r="E107" i="7"/>
  <c r="D107" i="7"/>
  <c r="C107" i="7"/>
  <c r="B107" i="7"/>
  <c r="F106" i="7"/>
  <c r="E106" i="7" s="1"/>
  <c r="C106" i="7"/>
  <c r="B106" i="7"/>
  <c r="D106" i="7" s="1"/>
  <c r="F105" i="7"/>
  <c r="E105" i="7" s="1"/>
  <c r="D105" i="7"/>
  <c r="C105" i="7"/>
  <c r="B105" i="7"/>
  <c r="F104" i="7"/>
  <c r="E104" i="7" s="1"/>
  <c r="C104" i="7"/>
  <c r="B104" i="7"/>
  <c r="D104" i="7" s="1"/>
  <c r="C103" i="7"/>
  <c r="B103" i="7"/>
  <c r="C102" i="7"/>
  <c r="B102" i="7"/>
  <c r="D102" i="7" s="1"/>
  <c r="C101" i="7"/>
  <c r="B101" i="7"/>
  <c r="C100" i="7"/>
  <c r="B100" i="7"/>
  <c r="F99" i="7"/>
  <c r="E99" i="7" s="1"/>
  <c r="C99" i="7"/>
  <c r="B99" i="7"/>
  <c r="D99" i="7" s="1"/>
  <c r="C98" i="7"/>
  <c r="B98" i="7"/>
  <c r="D98" i="7" s="1"/>
  <c r="C97" i="7"/>
  <c r="B97" i="7"/>
  <c r="C96" i="7"/>
  <c r="B96" i="7"/>
  <c r="F95" i="7"/>
  <c r="E95" i="7" s="1"/>
  <c r="D95" i="7"/>
  <c r="C95" i="7"/>
  <c r="B95" i="7"/>
  <c r="F94" i="7"/>
  <c r="E94" i="7" s="1"/>
  <c r="D94" i="7"/>
  <c r="C94" i="7"/>
  <c r="B94" i="7"/>
  <c r="C93" i="7"/>
  <c r="F93" i="7" s="1"/>
  <c r="E93" i="7" s="1"/>
  <c r="B93" i="7"/>
  <c r="C92" i="7"/>
  <c r="B92" i="7"/>
  <c r="F92" i="7" s="1"/>
  <c r="E92" i="7" s="1"/>
  <c r="E91" i="7"/>
  <c r="D91" i="7"/>
  <c r="C91" i="7"/>
  <c r="B91" i="7"/>
  <c r="F91" i="7" s="1"/>
  <c r="C90" i="7"/>
  <c r="B90" i="7"/>
  <c r="D90" i="7" s="1"/>
  <c r="C89" i="7"/>
  <c r="B89" i="7"/>
  <c r="E88" i="7"/>
  <c r="D88" i="7"/>
  <c r="C88" i="7"/>
  <c r="B88" i="7"/>
  <c r="F88" i="7" s="1"/>
  <c r="F87" i="7"/>
  <c r="E87" i="7"/>
  <c r="C87" i="7"/>
  <c r="B87" i="7"/>
  <c r="F86" i="7"/>
  <c r="E86" i="7" s="1"/>
  <c r="C86" i="7"/>
  <c r="B86" i="7"/>
  <c r="D86" i="7" s="1"/>
  <c r="F85" i="7"/>
  <c r="E85" i="7" s="1"/>
  <c r="D85" i="7"/>
  <c r="C85" i="7"/>
  <c r="B85" i="7"/>
  <c r="F84" i="7"/>
  <c r="E84" i="7" s="1"/>
  <c r="D84" i="7"/>
  <c r="C84" i="7"/>
  <c r="B84" i="7"/>
  <c r="C83" i="7"/>
  <c r="B83" i="7"/>
  <c r="C82" i="7"/>
  <c r="B82" i="7"/>
  <c r="C81" i="7"/>
  <c r="D81" i="7" s="1"/>
  <c r="B81" i="7"/>
  <c r="D80" i="7"/>
  <c r="C80" i="7"/>
  <c r="B80" i="7"/>
  <c r="F80" i="7" s="1"/>
  <c r="E80" i="7" s="1"/>
  <c r="C79" i="7"/>
  <c r="B79" i="7"/>
  <c r="F79" i="7" s="1"/>
  <c r="E79" i="7" s="1"/>
  <c r="C78" i="7"/>
  <c r="B78" i="7"/>
  <c r="F78" i="7" s="1"/>
  <c r="E78" i="7" s="1"/>
  <c r="C77" i="7"/>
  <c r="B77" i="7"/>
  <c r="C76" i="7"/>
  <c r="B76" i="7"/>
  <c r="F76" i="7" s="1"/>
  <c r="E76" i="7" s="1"/>
  <c r="F75" i="7"/>
  <c r="E75" i="7"/>
  <c r="C75" i="7"/>
  <c r="B75" i="7"/>
  <c r="D75" i="7" s="1"/>
  <c r="F74" i="7"/>
  <c r="E74" i="7"/>
  <c r="C74" i="7"/>
  <c r="B74" i="7"/>
  <c r="D74" i="7" s="1"/>
  <c r="C73" i="7"/>
  <c r="F73" i="7" s="1"/>
  <c r="E73" i="7" s="1"/>
  <c r="B73" i="7"/>
  <c r="F72" i="7"/>
  <c r="E72" i="7" s="1"/>
  <c r="D72" i="7"/>
  <c r="C72" i="7"/>
  <c r="B72" i="7"/>
  <c r="C71" i="7"/>
  <c r="F71" i="7" s="1"/>
  <c r="E71" i="7" s="1"/>
  <c r="B71" i="7"/>
  <c r="F70" i="7"/>
  <c r="E70" i="7" s="1"/>
  <c r="D70" i="7"/>
  <c r="C70" i="7"/>
  <c r="B70" i="7"/>
  <c r="C69" i="7"/>
  <c r="B69" i="7"/>
  <c r="F68" i="7"/>
  <c r="E68" i="7" s="1"/>
  <c r="C68" i="7"/>
  <c r="B68" i="7"/>
  <c r="D68" i="7" s="1"/>
  <c r="E67" i="7"/>
  <c r="D67" i="7"/>
  <c r="C67" i="7"/>
  <c r="B67" i="7"/>
  <c r="F67" i="7" s="1"/>
  <c r="C66" i="7"/>
  <c r="D66" i="7" s="1"/>
  <c r="B66" i="7"/>
  <c r="F66" i="7" s="1"/>
  <c r="E66" i="7" s="1"/>
  <c r="C65" i="7"/>
  <c r="B65" i="7"/>
  <c r="C64" i="7"/>
  <c r="D64" i="7" s="1"/>
  <c r="B64" i="7"/>
  <c r="E63" i="7"/>
  <c r="C63" i="7"/>
  <c r="F63" i="7" s="1"/>
  <c r="B63" i="7"/>
  <c r="D63" i="7" s="1"/>
  <c r="C62" i="7"/>
  <c r="B62" i="7"/>
  <c r="F61" i="7"/>
  <c r="E61" i="7" s="1"/>
  <c r="D61" i="7"/>
  <c r="C61" i="7"/>
  <c r="B61" i="7"/>
  <c r="F60" i="7"/>
  <c r="E60" i="7" s="1"/>
  <c r="D60" i="7"/>
  <c r="C60" i="7"/>
  <c r="B60" i="7"/>
  <c r="C59" i="7"/>
  <c r="F59" i="7" s="1"/>
  <c r="E59" i="7" s="1"/>
  <c r="B59" i="7"/>
  <c r="F58" i="7"/>
  <c r="E58" i="7" s="1"/>
  <c r="C58" i="7"/>
  <c r="B58" i="7"/>
  <c r="D58" i="7" s="1"/>
  <c r="F57" i="7"/>
  <c r="E57" i="7" s="1"/>
  <c r="C57" i="7"/>
  <c r="B57" i="7"/>
  <c r="D57" i="7" s="1"/>
  <c r="C56" i="7"/>
  <c r="B56" i="7"/>
  <c r="D56" i="7" s="1"/>
  <c r="C55" i="7"/>
  <c r="B55" i="7"/>
  <c r="F54" i="7"/>
  <c r="E54" i="7" s="1"/>
  <c r="D54" i="7"/>
  <c r="C54" i="7"/>
  <c r="B54" i="7"/>
  <c r="C53" i="7"/>
  <c r="B53" i="7"/>
  <c r="C52" i="7"/>
  <c r="B52" i="7"/>
  <c r="F51" i="7"/>
  <c r="E51" i="7" s="1"/>
  <c r="C51" i="7"/>
  <c r="B51" i="7"/>
  <c r="D51" i="7" s="1"/>
  <c r="F50" i="7"/>
  <c r="E50" i="7"/>
  <c r="C50" i="7"/>
  <c r="B50" i="7"/>
  <c r="D50" i="7" s="1"/>
  <c r="F49" i="7"/>
  <c r="E49" i="7"/>
  <c r="D49" i="7"/>
  <c r="C49" i="7"/>
  <c r="B49" i="7"/>
  <c r="D48" i="7"/>
  <c r="C48" i="7"/>
  <c r="F48" i="7" s="1"/>
  <c r="E48" i="7" s="1"/>
  <c r="B48" i="7"/>
  <c r="F47" i="7"/>
  <c r="E47" i="7" s="1"/>
  <c r="D47" i="7"/>
  <c r="C47" i="7"/>
  <c r="B47" i="7"/>
  <c r="F46" i="7"/>
  <c r="E46" i="7" s="1"/>
  <c r="D46" i="7"/>
  <c r="C46" i="7"/>
  <c r="B46" i="7"/>
  <c r="C45" i="7"/>
  <c r="B45" i="7"/>
  <c r="D45" i="7" s="1"/>
  <c r="C44" i="7"/>
  <c r="B44" i="7"/>
  <c r="E43" i="7"/>
  <c r="D43" i="7"/>
  <c r="C43" i="7"/>
  <c r="B43" i="7"/>
  <c r="F43" i="7" s="1"/>
  <c r="C42" i="7"/>
  <c r="B42" i="7"/>
  <c r="D42" i="7" s="1"/>
  <c r="C41" i="7"/>
  <c r="B41" i="7"/>
  <c r="C40" i="7"/>
  <c r="B40" i="7"/>
  <c r="F40" i="7" s="1"/>
  <c r="E40" i="7" s="1"/>
  <c r="F39" i="7"/>
  <c r="E39" i="7"/>
  <c r="C39" i="7"/>
  <c r="B39" i="7"/>
  <c r="D39" i="7" s="1"/>
  <c r="F38" i="7"/>
  <c r="E38" i="7" s="1"/>
  <c r="C38" i="7"/>
  <c r="B38" i="7"/>
  <c r="D38" i="7" s="1"/>
  <c r="F37" i="7"/>
  <c r="E37" i="7" s="1"/>
  <c r="D37" i="7"/>
  <c r="C37" i="7"/>
  <c r="B37" i="7"/>
  <c r="F36" i="7"/>
  <c r="E36" i="7" s="1"/>
  <c r="D36" i="7"/>
  <c r="C36" i="7"/>
  <c r="B36" i="7"/>
  <c r="C35" i="7"/>
  <c r="B35" i="7"/>
  <c r="D34" i="7"/>
  <c r="C34" i="7"/>
  <c r="B34" i="7"/>
  <c r="F34" i="7" s="1"/>
  <c r="E34" i="7" s="1"/>
  <c r="C33" i="7"/>
  <c r="D33" i="7" s="1"/>
  <c r="B33" i="7"/>
  <c r="D32" i="7"/>
  <c r="C32" i="7"/>
  <c r="B32" i="7"/>
  <c r="F32" i="7" s="1"/>
  <c r="E32" i="7" s="1"/>
  <c r="E31" i="7"/>
  <c r="D31" i="7"/>
  <c r="C31" i="7"/>
  <c r="B31" i="7"/>
  <c r="F31" i="7" s="1"/>
  <c r="C30" i="7"/>
  <c r="B30" i="7"/>
  <c r="C29" i="7"/>
  <c r="B29" i="7"/>
  <c r="C28" i="7"/>
  <c r="B28" i="7"/>
  <c r="F27" i="7"/>
  <c r="E27" i="7"/>
  <c r="C27" i="7"/>
  <c r="B27" i="7"/>
  <c r="D27" i="7" s="1"/>
  <c r="F26" i="7"/>
  <c r="E26" i="7" s="1"/>
  <c r="C26" i="7"/>
  <c r="B26" i="7"/>
  <c r="D26" i="7" s="1"/>
  <c r="D25" i="7"/>
  <c r="C25" i="7"/>
  <c r="F25" i="7" s="1"/>
  <c r="E25" i="7" s="1"/>
  <c r="B25" i="7"/>
  <c r="F24" i="7"/>
  <c r="E24" i="7" s="1"/>
  <c r="D24" i="7"/>
  <c r="C24" i="7"/>
  <c r="B24" i="7"/>
  <c r="C23" i="7"/>
  <c r="B23" i="7"/>
  <c r="D23" i="7" s="1"/>
  <c r="C22" i="7"/>
  <c r="B22" i="7"/>
  <c r="D22" i="7" s="1"/>
  <c r="C21" i="7"/>
  <c r="B21" i="7"/>
  <c r="C20" i="7"/>
  <c r="B20" i="7"/>
  <c r="D20" i="7" s="1"/>
  <c r="E19" i="7"/>
  <c r="D19" i="7"/>
  <c r="C19" i="7"/>
  <c r="B19" i="7"/>
  <c r="F19" i="7" s="1"/>
  <c r="E18" i="7"/>
  <c r="D18" i="7"/>
  <c r="C18" i="7"/>
  <c r="B18" i="7"/>
  <c r="F18" i="7" s="1"/>
  <c r="C17" i="7"/>
  <c r="B17" i="7"/>
  <c r="E16" i="7"/>
  <c r="D16" i="7"/>
  <c r="C16" i="7"/>
  <c r="B16" i="7"/>
  <c r="F16" i="7" s="1"/>
  <c r="F15" i="7"/>
  <c r="E15" i="7"/>
  <c r="C15" i="7"/>
  <c r="B15" i="7"/>
  <c r="D15" i="7" s="1"/>
  <c r="C14" i="7"/>
  <c r="B14" i="7"/>
  <c r="F13" i="7"/>
  <c r="E13" i="7" s="1"/>
  <c r="D13" i="7"/>
  <c r="C13" i="7"/>
  <c r="B13" i="7"/>
  <c r="F12" i="7"/>
  <c r="E12" i="7" s="1"/>
  <c r="D12" i="7"/>
  <c r="C12" i="7"/>
  <c r="B12" i="7"/>
  <c r="C11" i="7"/>
  <c r="F11" i="7" s="1"/>
  <c r="E11" i="7" s="1"/>
  <c r="B11" i="7"/>
  <c r="C10" i="7"/>
  <c r="B10" i="7"/>
  <c r="D10" i="7" s="1"/>
  <c r="C9" i="7"/>
  <c r="B9" i="7"/>
  <c r="D9" i="7" s="1"/>
  <c r="F8" i="7"/>
  <c r="E8" i="7"/>
  <c r="D8" i="7"/>
  <c r="C8" i="7"/>
  <c r="B8" i="7"/>
  <c r="C7" i="7"/>
  <c r="B7" i="7"/>
  <c r="C6" i="7"/>
  <c r="B6" i="7"/>
  <c r="D6" i="7" s="1"/>
  <c r="C5" i="7"/>
  <c r="D5" i="7" s="1"/>
  <c r="B5" i="7"/>
  <c r="F41" i="7" l="1"/>
  <c r="E41" i="7" s="1"/>
  <c r="D41" i="7"/>
  <c r="F45" i="7"/>
  <c r="E45" i="7" s="1"/>
  <c r="F52" i="7"/>
  <c r="E52" i="7" s="1"/>
  <c r="D52" i="7"/>
  <c r="D62" i="7"/>
  <c r="F62" i="7"/>
  <c r="E62" i="7" s="1"/>
  <c r="D69" i="7"/>
  <c r="F69" i="7"/>
  <c r="E69" i="7" s="1"/>
  <c r="D97" i="7"/>
  <c r="F97" i="7"/>
  <c r="E97" i="7" s="1"/>
  <c r="F10" i="7"/>
  <c r="E10" i="7" s="1"/>
  <c r="F42" i="7"/>
  <c r="E42" i="7" s="1"/>
  <c r="D59" i="7"/>
  <c r="F56" i="7"/>
  <c r="E56" i="7" s="1"/>
  <c r="F150" i="7"/>
  <c r="E150" i="7" s="1"/>
  <c r="F166" i="7"/>
  <c r="E166" i="7" s="1"/>
  <c r="F237" i="7"/>
  <c r="E237" i="7" s="1"/>
  <c r="D237" i="7"/>
  <c r="F248" i="7"/>
  <c r="E248" i="7" s="1"/>
  <c r="D248" i="7"/>
  <c r="F314" i="7"/>
  <c r="E314" i="7" s="1"/>
  <c r="D314" i="7"/>
  <c r="F65" i="7"/>
  <c r="E65" i="7" s="1"/>
  <c r="D65" i="7"/>
  <c r="D83" i="7"/>
  <c r="F83" i="7"/>
  <c r="E83" i="7" s="1"/>
  <c r="F7" i="7"/>
  <c r="E7" i="7" s="1"/>
  <c r="D7" i="7"/>
  <c r="D93" i="7"/>
  <c r="D11" i="7"/>
  <c r="F20" i="7"/>
  <c r="E20" i="7" s="1"/>
  <c r="F33" i="7"/>
  <c r="E33" i="7" s="1"/>
  <c r="D73" i="7"/>
  <c r="D110" i="7"/>
  <c r="F110" i="7"/>
  <c r="E110" i="7" s="1"/>
  <c r="F151" i="7"/>
  <c r="E151" i="7" s="1"/>
  <c r="D151" i="7"/>
  <c r="F167" i="7"/>
  <c r="E167" i="7" s="1"/>
  <c r="D167" i="7"/>
  <c r="F177" i="7"/>
  <c r="E177" i="7" s="1"/>
  <c r="D177" i="7"/>
  <c r="F200" i="7"/>
  <c r="E200" i="7" s="1"/>
  <c r="D284" i="7"/>
  <c r="F284" i="7"/>
  <c r="E284" i="7" s="1"/>
  <c r="F98" i="7"/>
  <c r="E98" i="7" s="1"/>
  <c r="D76" i="7"/>
  <c r="F146" i="7"/>
  <c r="E146" i="7" s="1"/>
  <c r="F178" i="7"/>
  <c r="E178" i="7" s="1"/>
  <c r="D178" i="7"/>
  <c r="F6" i="7"/>
  <c r="E6" i="7" s="1"/>
  <c r="D14" i="7"/>
  <c r="F14" i="7"/>
  <c r="E14" i="7" s="1"/>
  <c r="F30" i="7"/>
  <c r="E30" i="7" s="1"/>
  <c r="D30" i="7"/>
  <c r="D21" i="7"/>
  <c r="F21" i="7"/>
  <c r="E21" i="7" s="1"/>
  <c r="D40" i="7"/>
  <c r="F44" i="7"/>
  <c r="E44" i="7" s="1"/>
  <c r="D44" i="7"/>
  <c r="D71" i="7"/>
  <c r="D158" i="7"/>
  <c r="F158" i="7"/>
  <c r="E158" i="7" s="1"/>
  <c r="D189" i="7"/>
  <c r="F197" i="7"/>
  <c r="E197" i="7" s="1"/>
  <c r="D197" i="7"/>
  <c r="F263" i="7"/>
  <c r="E263" i="7" s="1"/>
  <c r="F271" i="7"/>
  <c r="E271" i="7" s="1"/>
  <c r="F295" i="7"/>
  <c r="E295" i="7" s="1"/>
  <c r="D295" i="7"/>
  <c r="D179" i="7"/>
  <c r="F179" i="7"/>
  <c r="E179" i="7" s="1"/>
  <c r="D256" i="7"/>
  <c r="F256" i="7"/>
  <c r="E256" i="7" s="1"/>
  <c r="F299" i="7"/>
  <c r="E299" i="7" s="1"/>
  <c r="D299" i="7"/>
  <c r="F129" i="7"/>
  <c r="E129" i="7" s="1"/>
  <c r="D129" i="7"/>
  <c r="F28" i="7"/>
  <c r="E28" i="7" s="1"/>
  <c r="F35" i="7"/>
  <c r="E35" i="7" s="1"/>
  <c r="F81" i="7"/>
  <c r="E81" i="7" s="1"/>
  <c r="F130" i="7"/>
  <c r="E130" i="7" s="1"/>
  <c r="D130" i="7"/>
  <c r="D159" i="7"/>
  <c r="F9" i="7"/>
  <c r="E9" i="7" s="1"/>
  <c r="F22" i="7"/>
  <c r="E22" i="7" s="1"/>
  <c r="D28" i="7"/>
  <c r="D35" i="7"/>
  <c r="F96" i="7"/>
  <c r="E96" i="7" s="1"/>
  <c r="D96" i="7"/>
  <c r="D131" i="7"/>
  <c r="F131" i="7"/>
  <c r="E131" i="7" s="1"/>
  <c r="F164" i="7"/>
  <c r="E164" i="7" s="1"/>
  <c r="F198" i="7"/>
  <c r="E198" i="7" s="1"/>
  <c r="F209" i="7"/>
  <c r="E209" i="7" s="1"/>
  <c r="D209" i="7"/>
  <c r="D231" i="7"/>
  <c r="F231" i="7"/>
  <c r="E231" i="7" s="1"/>
  <c r="D289" i="7"/>
  <c r="F101" i="7"/>
  <c r="E101" i="7" s="1"/>
  <c r="D101" i="7"/>
  <c r="F148" i="7"/>
  <c r="E148" i="7" s="1"/>
  <c r="D148" i="7"/>
  <c r="F116" i="7"/>
  <c r="E116" i="7" s="1"/>
  <c r="F149" i="7"/>
  <c r="E149" i="7" s="1"/>
  <c r="D149" i="7"/>
  <c r="F113" i="7"/>
  <c r="E113" i="7" s="1"/>
  <c r="D113" i="7"/>
  <c r="F117" i="7"/>
  <c r="E117" i="7" s="1"/>
  <c r="D117" i="7"/>
  <c r="F161" i="7"/>
  <c r="E161" i="7" s="1"/>
  <c r="D161" i="7"/>
  <c r="D206" i="7"/>
  <c r="F206" i="7"/>
  <c r="E206" i="7" s="1"/>
  <c r="D304" i="7"/>
  <c r="F304" i="7"/>
  <c r="E304" i="7" s="1"/>
  <c r="F100" i="7"/>
  <c r="E100" i="7" s="1"/>
  <c r="D100" i="7"/>
  <c r="F55" i="7"/>
  <c r="E55" i="7" s="1"/>
  <c r="D55" i="7"/>
  <c r="F236" i="7"/>
  <c r="E236" i="7" s="1"/>
  <c r="D236" i="7"/>
  <c r="F82" i="7"/>
  <c r="E82" i="7" s="1"/>
  <c r="D82" i="7"/>
  <c r="F102" i="7"/>
  <c r="E102" i="7" s="1"/>
  <c r="F319" i="7"/>
  <c r="E319" i="7" s="1"/>
  <c r="D319" i="7"/>
  <c r="F17" i="7"/>
  <c r="E17" i="7" s="1"/>
  <c r="D17" i="7"/>
  <c r="F23" i="7"/>
  <c r="E23" i="7" s="1"/>
  <c r="F53" i="7"/>
  <c r="E53" i="7" s="1"/>
  <c r="D53" i="7"/>
  <c r="D79" i="7"/>
  <c r="F90" i="7"/>
  <c r="E90" i="7" s="1"/>
  <c r="F103" i="7"/>
  <c r="E103" i="7" s="1"/>
  <c r="D103" i="7"/>
  <c r="D145" i="7"/>
  <c r="F145" i="7"/>
  <c r="E145" i="7" s="1"/>
  <c r="F162" i="7"/>
  <c r="E162" i="7" s="1"/>
  <c r="F287" i="7"/>
  <c r="E287" i="7" s="1"/>
  <c r="D287" i="7"/>
  <c r="F252" i="7"/>
  <c r="E252" i="7" s="1"/>
  <c r="D252" i="7"/>
  <c r="F214" i="7"/>
  <c r="E214" i="7" s="1"/>
  <c r="D214" i="7"/>
  <c r="F5" i="7"/>
  <c r="E5" i="7" s="1"/>
  <c r="F64" i="7"/>
  <c r="E64" i="7" s="1"/>
  <c r="D78" i="7"/>
  <c r="D92" i="7"/>
  <c r="F112" i="7"/>
  <c r="E112" i="7" s="1"/>
  <c r="D126" i="7"/>
  <c r="D140" i="7"/>
  <c r="F160" i="7"/>
  <c r="E160" i="7" s="1"/>
  <c r="F165" i="7"/>
  <c r="E165" i="7" s="1"/>
  <c r="D174" i="7"/>
  <c r="D188" i="7"/>
  <c r="D243" i="7"/>
  <c r="D249" i="7"/>
  <c r="D258" i="7"/>
  <c r="D261" i="7"/>
  <c r="F322" i="7"/>
  <c r="E322" i="7" s="1"/>
  <c r="R7" i="9"/>
  <c r="V8" i="9"/>
  <c r="O16" i="9"/>
  <c r="N20" i="9"/>
  <c r="AH20" i="9"/>
  <c r="Q21" i="9"/>
  <c r="O24" i="9"/>
  <c r="X30" i="9"/>
  <c r="N31" i="9"/>
  <c r="AJ31" i="9"/>
  <c r="X32" i="9"/>
  <c r="K33" i="9"/>
  <c r="J35" i="9"/>
  <c r="X36" i="9"/>
  <c r="AD39" i="9"/>
  <c r="R39" i="9"/>
  <c r="AA39" i="9"/>
  <c r="N39" i="9"/>
  <c r="AF39" i="9"/>
  <c r="S39" i="9"/>
  <c r="AC39" i="9"/>
  <c r="M39" i="9"/>
  <c r="AJ39" i="9"/>
  <c r="U39" i="9"/>
  <c r="AI39" i="9"/>
  <c r="T39" i="9"/>
  <c r="AH39" i="9"/>
  <c r="Q39" i="9"/>
  <c r="AG39" i="9"/>
  <c r="P39" i="9"/>
  <c r="AE39" i="9"/>
  <c r="X40" i="9"/>
  <c r="AA45" i="9"/>
  <c r="U46" i="9"/>
  <c r="AI56" i="9"/>
  <c r="V62" i="9"/>
  <c r="X63" i="9"/>
  <c r="F310" i="7"/>
  <c r="E310" i="7" s="1"/>
  <c r="D310" i="7"/>
  <c r="S7" i="9"/>
  <c r="T7" i="9" s="1"/>
  <c r="Z12" i="9"/>
  <c r="N12" i="9"/>
  <c r="AJ12" i="9"/>
  <c r="W12" i="9"/>
  <c r="J12" i="9"/>
  <c r="AC12" i="9"/>
  <c r="P12" i="9"/>
  <c r="AB12" i="9"/>
  <c r="O12" i="9"/>
  <c r="AA12" i="9"/>
  <c r="M12" i="9"/>
  <c r="AD12" i="9"/>
  <c r="AA14" i="9"/>
  <c r="O14" i="9"/>
  <c r="AI14" i="9"/>
  <c r="V14" i="9"/>
  <c r="I14" i="9"/>
  <c r="AK14" i="9" s="1"/>
  <c r="X14" i="9"/>
  <c r="J14" i="9"/>
  <c r="AD14" i="9"/>
  <c r="P14" i="9"/>
  <c r="AC14" i="9"/>
  <c r="N14" i="9"/>
  <c r="AB14" i="9"/>
  <c r="M14" i="9"/>
  <c r="AF14" i="9"/>
  <c r="S16" i="9"/>
  <c r="AD19" i="9"/>
  <c r="R19" i="9"/>
  <c r="Y19" i="9"/>
  <c r="L19" i="9"/>
  <c r="Z19" i="9"/>
  <c r="K19" i="9"/>
  <c r="AF19" i="9"/>
  <c r="Q19" i="9"/>
  <c r="AE19" i="9"/>
  <c r="P19" i="9"/>
  <c r="AC19" i="9"/>
  <c r="O19" i="9"/>
  <c r="AB19" i="9"/>
  <c r="O20" i="9"/>
  <c r="AJ20" i="9"/>
  <c r="R21" i="9"/>
  <c r="V24" i="9"/>
  <c r="AJ25" i="9"/>
  <c r="X25" i="9"/>
  <c r="L25" i="9"/>
  <c r="AI25" i="9"/>
  <c r="V25" i="9"/>
  <c r="I25" i="9"/>
  <c r="AK25" i="9" s="1"/>
  <c r="Y25" i="9"/>
  <c r="J25" i="9"/>
  <c r="AD25" i="9"/>
  <c r="P25" i="9"/>
  <c r="AC25" i="9"/>
  <c r="O25" i="9"/>
  <c r="AB25" i="9"/>
  <c r="N25" i="9"/>
  <c r="AA25" i="9"/>
  <c r="M25" i="9"/>
  <c r="AH25" i="9"/>
  <c r="O31" i="9"/>
  <c r="Z32" i="9"/>
  <c r="Q33" i="9"/>
  <c r="K35" i="9"/>
  <c r="Z36" i="9"/>
  <c r="Z40" i="9"/>
  <c r="W46" i="9"/>
  <c r="Y62" i="9"/>
  <c r="Y63" i="9"/>
  <c r="D87" i="7"/>
  <c r="D135" i="7"/>
  <c r="D183" i="7"/>
  <c r="F211" i="7"/>
  <c r="E211" i="7" s="1"/>
  <c r="F226" i="7"/>
  <c r="E226" i="7" s="1"/>
  <c r="F247" i="7"/>
  <c r="E247" i="7" s="1"/>
  <c r="D247" i="7"/>
  <c r="F262" i="7"/>
  <c r="E262" i="7" s="1"/>
  <c r="D262" i="7"/>
  <c r="D274" i="7"/>
  <c r="U7" i="9"/>
  <c r="AC9" i="9"/>
  <c r="Q9" i="9"/>
  <c r="AF9" i="9"/>
  <c r="S9" i="9"/>
  <c r="T9" i="9" s="1"/>
  <c r="X9" i="9"/>
  <c r="K9" i="9"/>
  <c r="W9" i="9"/>
  <c r="J9" i="9"/>
  <c r="AI9" i="9"/>
  <c r="AJ9" i="9" s="1"/>
  <c r="V9" i="9"/>
  <c r="I9" i="9"/>
  <c r="AK9" i="9" s="1"/>
  <c r="AB9" i="9"/>
  <c r="I12" i="9"/>
  <c r="AK12" i="9" s="1"/>
  <c r="AE12" i="9"/>
  <c r="K14" i="9"/>
  <c r="AG14" i="9"/>
  <c r="V16" i="9"/>
  <c r="I19" i="9"/>
  <c r="AK19" i="9" s="1"/>
  <c r="AG19" i="9"/>
  <c r="P20" i="9"/>
  <c r="V21" i="9"/>
  <c r="AA22" i="9"/>
  <c r="O22" i="9"/>
  <c r="AE22" i="9"/>
  <c r="R22" i="9"/>
  <c r="X22" i="9"/>
  <c r="J22" i="9"/>
  <c r="AD22" i="9"/>
  <c r="P22" i="9"/>
  <c r="AC22" i="9"/>
  <c r="N22" i="9"/>
  <c r="AB22" i="9"/>
  <c r="M22" i="9"/>
  <c r="Z22" i="9"/>
  <c r="L22" i="9"/>
  <c r="AH22" i="9"/>
  <c r="W24" i="9"/>
  <c r="K25" i="9"/>
  <c r="P31" i="9"/>
  <c r="AA32" i="9"/>
  <c r="AB32" i="9" s="1"/>
  <c r="S33" i="9"/>
  <c r="L35" i="9"/>
  <c r="AE36" i="9"/>
  <c r="AB40" i="9"/>
  <c r="X46" i="9"/>
  <c r="AD55" i="9"/>
  <c r="R55" i="9"/>
  <c r="AF55" i="9"/>
  <c r="S55" i="9"/>
  <c r="W55" i="9"/>
  <c r="J55" i="9"/>
  <c r="M55" i="9"/>
  <c r="AI55" i="9"/>
  <c r="AJ55" i="9" s="1"/>
  <c r="T55" i="9"/>
  <c r="AH55" i="9"/>
  <c r="Q55" i="9"/>
  <c r="AG55" i="9"/>
  <c r="P55" i="9"/>
  <c r="AE55" i="9"/>
  <c r="O55" i="9"/>
  <c r="AC55" i="9"/>
  <c r="N55" i="9"/>
  <c r="Z62" i="9"/>
  <c r="AA63" i="9"/>
  <c r="F124" i="7"/>
  <c r="E124" i="7" s="1"/>
  <c r="F172" i="7"/>
  <c r="E172" i="7" s="1"/>
  <c r="D227" i="7"/>
  <c r="D294" i="7"/>
  <c r="Z8" i="9"/>
  <c r="N8" i="9"/>
  <c r="AA8" i="9"/>
  <c r="M8" i="9"/>
  <c r="AF8" i="9"/>
  <c r="S8" i="9"/>
  <c r="AE8" i="9"/>
  <c r="R8" i="9"/>
  <c r="AD8" i="9"/>
  <c r="Q8" i="9"/>
  <c r="Y8" i="9"/>
  <c r="K12" i="9"/>
  <c r="AF12" i="9"/>
  <c r="L14" i="9"/>
  <c r="AH14" i="9"/>
  <c r="J19" i="9"/>
  <c r="AH19" i="9"/>
  <c r="Q20" i="9"/>
  <c r="Q25" i="9"/>
  <c r="AA30" i="9"/>
  <c r="O30" i="9"/>
  <c r="Z30" i="9"/>
  <c r="M30" i="9"/>
  <c r="AB30" i="9"/>
  <c r="L30" i="9"/>
  <c r="AG30" i="9"/>
  <c r="S30" i="9"/>
  <c r="T30" i="9" s="1"/>
  <c r="AF30" i="9"/>
  <c r="R30" i="9"/>
  <c r="AE30" i="9"/>
  <c r="Q30" i="9"/>
  <c r="AD30" i="9"/>
  <c r="P30" i="9"/>
  <c r="AH30" i="9"/>
  <c r="Q31" i="9"/>
  <c r="T33" i="9"/>
  <c r="M35" i="9"/>
  <c r="AJ45" i="9"/>
  <c r="X45" i="9"/>
  <c r="L45" i="9"/>
  <c r="Y45" i="9"/>
  <c r="K45" i="9"/>
  <c r="AC45" i="9"/>
  <c r="P45" i="9"/>
  <c r="AD45" i="9"/>
  <c r="N45" i="9"/>
  <c r="AI45" i="9"/>
  <c r="T45" i="9"/>
  <c r="AH45" i="9"/>
  <c r="S45" i="9"/>
  <c r="AG45" i="9"/>
  <c r="R45" i="9"/>
  <c r="AF45" i="9"/>
  <c r="Q45" i="9"/>
  <c r="AI74" i="9"/>
  <c r="W74" i="9"/>
  <c r="K74" i="9"/>
  <c r="AA74" i="9"/>
  <c r="N74" i="9"/>
  <c r="AC74" i="9"/>
  <c r="O74" i="9"/>
  <c r="AG74" i="9"/>
  <c r="S74" i="9"/>
  <c r="AD74" i="9"/>
  <c r="L74" i="9"/>
  <c r="AB74" i="9"/>
  <c r="J74" i="9"/>
  <c r="Z74" i="9"/>
  <c r="I74" i="9"/>
  <c r="AK74" i="9" s="1"/>
  <c r="X74" i="9"/>
  <c r="U74" i="9"/>
  <c r="T74" i="9"/>
  <c r="AJ74" i="9"/>
  <c r="R74" i="9"/>
  <c r="AH74" i="9"/>
  <c r="Q74" i="9"/>
  <c r="AF74" i="9"/>
  <c r="P74" i="9"/>
  <c r="AE74" i="9"/>
  <c r="M74" i="9"/>
  <c r="AG32" i="9"/>
  <c r="U32" i="9"/>
  <c r="I32" i="9"/>
  <c r="AK32" i="9" s="1"/>
  <c r="Y32" i="9"/>
  <c r="L32" i="9"/>
  <c r="AD32" i="9"/>
  <c r="P32" i="9"/>
  <c r="V32" i="9"/>
  <c r="AI32" i="9"/>
  <c r="AJ32" i="9" s="1"/>
  <c r="AH32" i="9"/>
  <c r="S32" i="9"/>
  <c r="T32" i="9" s="1"/>
  <c r="AF32" i="9"/>
  <c r="R32" i="9"/>
  <c r="AC32" i="9"/>
  <c r="AG56" i="9"/>
  <c r="U56" i="9"/>
  <c r="I56" i="9"/>
  <c r="AK56" i="9" s="1"/>
  <c r="Y56" i="9"/>
  <c r="L56" i="9"/>
  <c r="AC56" i="9"/>
  <c r="P56" i="9"/>
  <c r="AA56" i="9"/>
  <c r="K56" i="9"/>
  <c r="AH56" i="9"/>
  <c r="R56" i="9"/>
  <c r="AF56" i="9"/>
  <c r="Q56" i="9"/>
  <c r="AE56" i="9"/>
  <c r="O56" i="9"/>
  <c r="AD56" i="9"/>
  <c r="N56" i="9"/>
  <c r="AB56" i="9"/>
  <c r="M56" i="9"/>
  <c r="V20" i="9"/>
  <c r="V31" i="9"/>
  <c r="J32" i="9"/>
  <c r="AE32" i="9"/>
  <c r="V33" i="9"/>
  <c r="V35" i="9"/>
  <c r="AG36" i="9"/>
  <c r="U36" i="9"/>
  <c r="I36" i="9"/>
  <c r="AK36" i="9" s="1"/>
  <c r="W36" i="9"/>
  <c r="J36" i="9"/>
  <c r="Y36" i="9"/>
  <c r="K36" i="9"/>
  <c r="AD36" i="9"/>
  <c r="P36" i="9"/>
  <c r="AC36" i="9"/>
  <c r="O36" i="9"/>
  <c r="AB36" i="9"/>
  <c r="N36" i="9"/>
  <c r="AA36" i="9"/>
  <c r="M36" i="9"/>
  <c r="AI36" i="9"/>
  <c r="AJ36" i="9" s="1"/>
  <c r="AG40" i="9"/>
  <c r="U40" i="9"/>
  <c r="I40" i="9"/>
  <c r="AK40" i="9" s="1"/>
  <c r="AH40" i="9"/>
  <c r="T40" i="9"/>
  <c r="Y40" i="9"/>
  <c r="L40" i="9"/>
  <c r="AA40" i="9"/>
  <c r="K40" i="9"/>
  <c r="AF40" i="9"/>
  <c r="Q40" i="9"/>
  <c r="AE40" i="9"/>
  <c r="P40" i="9"/>
  <c r="AD40" i="9"/>
  <c r="O40" i="9"/>
  <c r="AC40" i="9"/>
  <c r="N40" i="9"/>
  <c r="J56" i="9"/>
  <c r="AI7" i="9"/>
  <c r="W7" i="9"/>
  <c r="K7" i="9"/>
  <c r="AG7" i="9"/>
  <c r="Z7" i="9"/>
  <c r="M7" i="9"/>
  <c r="Y7" i="9"/>
  <c r="L7" i="9"/>
  <c r="X7" i="9"/>
  <c r="J7" i="9"/>
  <c r="AC7" i="9"/>
  <c r="W20" i="9"/>
  <c r="X21" i="9"/>
  <c r="L21" i="9"/>
  <c r="Y21" i="9"/>
  <c r="K21" i="9"/>
  <c r="AD21" i="9"/>
  <c r="P21" i="9"/>
  <c r="AI21" i="9"/>
  <c r="AJ21" i="9" s="1"/>
  <c r="U21" i="9"/>
  <c r="AH21" i="9"/>
  <c r="T21" i="9"/>
  <c r="AG21" i="9"/>
  <c r="S21" i="9"/>
  <c r="AB21" i="9"/>
  <c r="AA31" i="9"/>
  <c r="K32" i="9"/>
  <c r="W33" i="9"/>
  <c r="W35" i="9"/>
  <c r="L36" i="9"/>
  <c r="J40" i="9"/>
  <c r="S56" i="9"/>
  <c r="F29" i="7"/>
  <c r="E29" i="7" s="1"/>
  <c r="D29" i="7"/>
  <c r="F77" i="7"/>
  <c r="E77" i="7" s="1"/>
  <c r="D77" i="7"/>
  <c r="F125" i="7"/>
  <c r="E125" i="7" s="1"/>
  <c r="D125" i="7"/>
  <c r="F173" i="7"/>
  <c r="E173" i="7" s="1"/>
  <c r="D173" i="7"/>
  <c r="F210" i="7"/>
  <c r="E210" i="7" s="1"/>
  <c r="F219" i="7"/>
  <c r="E219" i="7" s="1"/>
  <c r="D219" i="7"/>
  <c r="F251" i="7"/>
  <c r="E251" i="7" s="1"/>
  <c r="F257" i="7"/>
  <c r="E257" i="7" s="1"/>
  <c r="D257" i="7"/>
  <c r="F305" i="7"/>
  <c r="E305" i="7" s="1"/>
  <c r="D305" i="7"/>
  <c r="D312" i="7"/>
  <c r="F315" i="7"/>
  <c r="E315" i="7" s="1"/>
  <c r="D315" i="7"/>
  <c r="I7" i="9"/>
  <c r="AK7" i="9" s="1"/>
  <c r="AD7" i="9"/>
  <c r="AG16" i="9"/>
  <c r="U16" i="9"/>
  <c r="I16" i="9"/>
  <c r="AK16" i="9" s="1"/>
  <c r="AH16" i="9"/>
  <c r="T16" i="9"/>
  <c r="AA16" i="9"/>
  <c r="M16" i="9"/>
  <c r="AF16" i="9"/>
  <c r="R16" i="9"/>
  <c r="AE16" i="9"/>
  <c r="Q16" i="9"/>
  <c r="AD16" i="9"/>
  <c r="P16" i="9"/>
  <c r="AB16" i="9"/>
  <c r="AA20" i="9"/>
  <c r="I21" i="9"/>
  <c r="AK21" i="9" s="1"/>
  <c r="AC21" i="9"/>
  <c r="AG24" i="9"/>
  <c r="U24" i="9"/>
  <c r="I24" i="9"/>
  <c r="AK24" i="9" s="1"/>
  <c r="AC24" i="9"/>
  <c r="P24" i="9"/>
  <c r="AB24" i="9"/>
  <c r="N24" i="9"/>
  <c r="AI24" i="9"/>
  <c r="AJ24" i="9" s="1"/>
  <c r="AH24" i="9"/>
  <c r="S24" i="9"/>
  <c r="T24" i="9" s="1"/>
  <c r="AF24" i="9"/>
  <c r="R24" i="9"/>
  <c r="AE24" i="9"/>
  <c r="Q24" i="9"/>
  <c r="AD24" i="9"/>
  <c r="AB31" i="9"/>
  <c r="M32" i="9"/>
  <c r="Z33" i="9"/>
  <c r="X35" i="9"/>
  <c r="Q36" i="9"/>
  <c r="M40" i="9"/>
  <c r="AA46" i="9"/>
  <c r="AB46" i="9" s="1"/>
  <c r="O46" i="9"/>
  <c r="AE46" i="9"/>
  <c r="R46" i="9"/>
  <c r="AI46" i="9"/>
  <c r="AJ46" i="9" s="1"/>
  <c r="V46" i="9"/>
  <c r="I46" i="9"/>
  <c r="AK46" i="9" s="1"/>
  <c r="Z46" i="9"/>
  <c r="K46" i="9"/>
  <c r="AG46" i="9"/>
  <c r="Q46" i="9"/>
  <c r="AF46" i="9"/>
  <c r="P46" i="9"/>
  <c r="AD46" i="9"/>
  <c r="N46" i="9"/>
  <c r="AC46" i="9"/>
  <c r="M46" i="9"/>
  <c r="T56" i="9"/>
  <c r="Z63" i="9"/>
  <c r="N63" i="9"/>
  <c r="AD63" i="9"/>
  <c r="Q63" i="9"/>
  <c r="W63" i="9"/>
  <c r="I63" i="9"/>
  <c r="AK63" i="9" s="1"/>
  <c r="AB63" i="9"/>
  <c r="M63" i="9"/>
  <c r="AE63" i="9"/>
  <c r="L63" i="9"/>
  <c r="AJ63" i="9"/>
  <c r="AI63" i="9"/>
  <c r="S63" i="9"/>
  <c r="T63" i="9" s="1"/>
  <c r="AH63" i="9"/>
  <c r="R63" i="9"/>
  <c r="AG63" i="9"/>
  <c r="P63" i="9"/>
  <c r="AF63" i="9"/>
  <c r="O63" i="9"/>
  <c r="V56" i="9"/>
  <c r="AI62" i="9"/>
  <c r="W62" i="9"/>
  <c r="K62" i="9"/>
  <c r="X62" i="9"/>
  <c r="J62" i="9"/>
  <c r="AB62" i="9"/>
  <c r="N62" i="9"/>
  <c r="AF62" i="9"/>
  <c r="R62" i="9"/>
  <c r="AC62" i="9"/>
  <c r="L62" i="9"/>
  <c r="AJ62" i="9"/>
  <c r="S62" i="9"/>
  <c r="AH62" i="9"/>
  <c r="Q62" i="9"/>
  <c r="AG62" i="9"/>
  <c r="P62" i="9"/>
  <c r="AE62" i="9"/>
  <c r="O62" i="9"/>
  <c r="AD62" i="9"/>
  <c r="M62" i="9"/>
  <c r="F196" i="7"/>
  <c r="E196" i="7" s="1"/>
  <c r="F216" i="7"/>
  <c r="E216" i="7" s="1"/>
  <c r="D264" i="7"/>
  <c r="D316" i="7"/>
  <c r="O7" i="9"/>
  <c r="AF7" i="9"/>
  <c r="M21" i="9"/>
  <c r="AF21" i="9"/>
  <c r="O32" i="9"/>
  <c r="S36" i="9"/>
  <c r="T36" i="9" s="1"/>
  <c r="S40" i="9"/>
  <c r="W56" i="9"/>
  <c r="Z75" i="9"/>
  <c r="N75" i="9"/>
  <c r="AG75" i="9"/>
  <c r="T75" i="9"/>
  <c r="W75" i="9"/>
  <c r="I75" i="9"/>
  <c r="AK75" i="9" s="1"/>
  <c r="M75" i="9"/>
  <c r="AD75" i="9"/>
  <c r="L75" i="9"/>
  <c r="AC75" i="9"/>
  <c r="K75" i="9"/>
  <c r="AA75" i="9"/>
  <c r="AB75" i="9" s="1"/>
  <c r="J75" i="9"/>
  <c r="X75" i="9"/>
  <c r="U75" i="9"/>
  <c r="AJ75" i="9"/>
  <c r="S75" i="9"/>
  <c r="AI75" i="9"/>
  <c r="R75" i="9"/>
  <c r="AH75" i="9"/>
  <c r="Q75" i="9"/>
  <c r="AF75" i="9"/>
  <c r="P75" i="9"/>
  <c r="AE75" i="9"/>
  <c r="O75" i="9"/>
  <c r="F137" i="7"/>
  <c r="E137" i="7" s="1"/>
  <c r="D137" i="7"/>
  <c r="F185" i="7"/>
  <c r="E185" i="7" s="1"/>
  <c r="D185" i="7"/>
  <c r="AG20" i="9"/>
  <c r="U20" i="9"/>
  <c r="I20" i="9"/>
  <c r="AK20" i="9" s="1"/>
  <c r="AE20" i="9"/>
  <c r="R20" i="9"/>
  <c r="AI20" i="9"/>
  <c r="T20" i="9"/>
  <c r="Z20" i="9"/>
  <c r="L20" i="9"/>
  <c r="Y20" i="9"/>
  <c r="K20" i="9"/>
  <c r="X20" i="9"/>
  <c r="J20" i="9"/>
  <c r="AD20" i="9"/>
  <c r="AD31" i="9"/>
  <c r="R31" i="9"/>
  <c r="AF31" i="9"/>
  <c r="S31" i="9"/>
  <c r="AI31" i="9"/>
  <c r="U31" i="9"/>
  <c r="Z31" i="9"/>
  <c r="L31" i="9"/>
  <c r="Y31" i="9"/>
  <c r="K31" i="9"/>
  <c r="X31" i="9"/>
  <c r="J31" i="9"/>
  <c r="W31" i="9"/>
  <c r="I31" i="9"/>
  <c r="AK31" i="9" s="1"/>
  <c r="AG31" i="9"/>
  <c r="Q32" i="9"/>
  <c r="AJ33" i="9"/>
  <c r="X33" i="9"/>
  <c r="L33" i="9"/>
  <c r="AE33" i="9"/>
  <c r="R33" i="9"/>
  <c r="Y33" i="9"/>
  <c r="J33" i="9"/>
  <c r="AD33" i="9"/>
  <c r="P33" i="9"/>
  <c r="AC33" i="9"/>
  <c r="O33" i="9"/>
  <c r="AB33" i="9"/>
  <c r="N33" i="9"/>
  <c r="AA33" i="9"/>
  <c r="M33" i="9"/>
  <c r="AH33" i="9"/>
  <c r="AD35" i="9"/>
  <c r="R35" i="9"/>
  <c r="AC35" i="9"/>
  <c r="P35" i="9"/>
  <c r="AB35" i="9"/>
  <c r="N35" i="9"/>
  <c r="AI35" i="9"/>
  <c r="AJ35" i="9" s="1"/>
  <c r="U35" i="9"/>
  <c r="AH35" i="9"/>
  <c r="T35" i="9"/>
  <c r="AG35" i="9"/>
  <c r="S35" i="9"/>
  <c r="AF35" i="9"/>
  <c r="Q35" i="9"/>
  <c r="AA35" i="9"/>
  <c r="X56" i="9"/>
  <c r="F89" i="7"/>
  <c r="E89" i="7" s="1"/>
  <c r="D89" i="7"/>
  <c r="F267" i="7"/>
  <c r="E267" i="7" s="1"/>
  <c r="D267" i="7"/>
  <c r="D196" i="7"/>
  <c r="D199" i="7"/>
  <c r="F300" i="7"/>
  <c r="E300" i="7" s="1"/>
  <c r="D300" i="7"/>
  <c r="D306" i="7"/>
  <c r="D309" i="7"/>
  <c r="D325" i="7"/>
  <c r="Q7" i="9"/>
  <c r="AJ7" i="9"/>
  <c r="U8" i="9"/>
  <c r="Y9" i="9"/>
  <c r="X12" i="9"/>
  <c r="Z14" i="9"/>
  <c r="N16" i="9"/>
  <c r="X19" i="9"/>
  <c r="M20" i="9"/>
  <c r="AF20" i="9"/>
  <c r="O21" i="9"/>
  <c r="Y22" i="9"/>
  <c r="M24" i="9"/>
  <c r="AF25" i="9"/>
  <c r="W30" i="9"/>
  <c r="M31" i="9"/>
  <c r="AH31" i="9"/>
  <c r="W32" i="9"/>
  <c r="I33" i="9"/>
  <c r="AK33" i="9" s="1"/>
  <c r="AI33" i="9"/>
  <c r="I35" i="9"/>
  <c r="AK35" i="9" s="1"/>
  <c r="AE35" i="9"/>
  <c r="V36" i="9"/>
  <c r="W40" i="9"/>
  <c r="AG44" i="9"/>
  <c r="U44" i="9"/>
  <c r="I44" i="9"/>
  <c r="AK44" i="9" s="1"/>
  <c r="AE44" i="9"/>
  <c r="R44" i="9"/>
  <c r="AJ44" i="9"/>
  <c r="W44" i="9"/>
  <c r="J44" i="9"/>
  <c r="AD44" i="9"/>
  <c r="O44" i="9"/>
  <c r="V44" i="9"/>
  <c r="T44" i="9"/>
  <c r="AI44" i="9"/>
  <c r="S44" i="9"/>
  <c r="AH44" i="9"/>
  <c r="Q44" i="9"/>
  <c r="AF44" i="9"/>
  <c r="Z45" i="9"/>
  <c r="T46" i="9"/>
  <c r="AA55" i="9"/>
  <c r="AB55" i="9" s="1"/>
  <c r="Z56" i="9"/>
  <c r="U62" i="9"/>
  <c r="V63" i="9"/>
  <c r="Y75" i="9"/>
  <c r="AG52" i="9"/>
  <c r="U52" i="9"/>
  <c r="I52" i="9"/>
  <c r="AK52" i="9" s="1"/>
  <c r="AA52" i="9"/>
  <c r="N52" i="9"/>
  <c r="AE52" i="9"/>
  <c r="R52" i="9"/>
  <c r="X52" i="9"/>
  <c r="AI58" i="9"/>
  <c r="AJ58" i="9" s="1"/>
  <c r="AA58" i="9"/>
  <c r="O58" i="9"/>
  <c r="X58" i="9"/>
  <c r="K58" i="9"/>
  <c r="AC58" i="9"/>
  <c r="P58" i="9"/>
  <c r="W58" i="9"/>
  <c r="AI70" i="9"/>
  <c r="W70" i="9"/>
  <c r="K70" i="9"/>
  <c r="AD70" i="9"/>
  <c r="Q70" i="9"/>
  <c r="X70" i="9"/>
  <c r="I70" i="9"/>
  <c r="AK70" i="9" s="1"/>
  <c r="AB70" i="9"/>
  <c r="N70" i="9"/>
  <c r="Z70" i="9"/>
  <c r="Z71" i="9"/>
  <c r="N71" i="9"/>
  <c r="AJ71" i="9"/>
  <c r="W71" i="9"/>
  <c r="J71" i="9"/>
  <c r="AG71" i="9"/>
  <c r="S71" i="9"/>
  <c r="T71" i="9" s="1"/>
  <c r="X71" i="9"/>
  <c r="I71" i="9"/>
  <c r="AK71" i="9" s="1"/>
  <c r="AA71" i="9"/>
  <c r="AC72" i="9"/>
  <c r="Q72" i="9"/>
  <c r="AB72" i="9"/>
  <c r="O72" i="9"/>
  <c r="AA72" i="9"/>
  <c r="M72" i="9"/>
  <c r="AG72" i="9"/>
  <c r="S72" i="9"/>
  <c r="X72" i="9"/>
  <c r="AI82" i="9"/>
  <c r="W82" i="9"/>
  <c r="K82" i="9"/>
  <c r="AG82" i="9"/>
  <c r="T82" i="9"/>
  <c r="X82" i="9"/>
  <c r="I82" i="9"/>
  <c r="AK82" i="9" s="1"/>
  <c r="AB82" i="9"/>
  <c r="N82" i="9"/>
  <c r="Z82" i="9"/>
  <c r="Z83" i="9"/>
  <c r="N83" i="9"/>
  <c r="AA83" i="9"/>
  <c r="AB83" i="9" s="1"/>
  <c r="M83" i="9"/>
  <c r="AG83" i="9"/>
  <c r="S83" i="9"/>
  <c r="T83" i="9" s="1"/>
  <c r="W83" i="9"/>
  <c r="I83" i="9"/>
  <c r="AK83" i="9" s="1"/>
  <c r="Y83" i="9"/>
  <c r="AC84" i="9"/>
  <c r="Q84" i="9"/>
  <c r="AF84" i="9"/>
  <c r="S84" i="9"/>
  <c r="Z84" i="9"/>
  <c r="L84" i="9"/>
  <c r="AE84" i="9"/>
  <c r="P84" i="9"/>
  <c r="X84" i="9"/>
  <c r="O86" i="9"/>
  <c r="AF86" i="9"/>
  <c r="Q87" i="9"/>
  <c r="AG87" i="9"/>
  <c r="N88" i="9"/>
  <c r="AF88" i="9"/>
  <c r="Z91" i="9"/>
  <c r="N91" i="9"/>
  <c r="AG91" i="9"/>
  <c r="T91" i="9"/>
  <c r="AB91" i="9"/>
  <c r="M91" i="9"/>
  <c r="AI91" i="9"/>
  <c r="U91" i="9"/>
  <c r="AF91" i="9"/>
  <c r="R91" i="9"/>
  <c r="Y91" i="9"/>
  <c r="R95" i="9"/>
  <c r="X122" i="9"/>
  <c r="AA26" i="9"/>
  <c r="O26" i="9"/>
  <c r="AC26" i="9"/>
  <c r="P26" i="9"/>
  <c r="V26" i="9"/>
  <c r="AJ26" i="9"/>
  <c r="AA34" i="9"/>
  <c r="AB34" i="9" s="1"/>
  <c r="O34" i="9"/>
  <c r="X34" i="9"/>
  <c r="K34" i="9"/>
  <c r="V34" i="9"/>
  <c r="AJ34" i="9"/>
  <c r="X37" i="9"/>
  <c r="L37" i="9"/>
  <c r="AC37" i="9"/>
  <c r="P37" i="9"/>
  <c r="AG37" i="9"/>
  <c r="V37" i="9"/>
  <c r="AA42" i="9"/>
  <c r="O42" i="9"/>
  <c r="AG42" i="9"/>
  <c r="T42" i="9"/>
  <c r="X42" i="9"/>
  <c r="K42" i="9"/>
  <c r="W42" i="9"/>
  <c r="AG48" i="9"/>
  <c r="U48" i="9"/>
  <c r="I48" i="9"/>
  <c r="AK48" i="9" s="1"/>
  <c r="AC48" i="9"/>
  <c r="P48" i="9"/>
  <c r="AH48" i="9"/>
  <c r="T48" i="9"/>
  <c r="X48" i="9"/>
  <c r="J52" i="9"/>
  <c r="Y52" i="9"/>
  <c r="I58" i="9"/>
  <c r="AK58" i="9" s="1"/>
  <c r="Y58" i="9"/>
  <c r="V66" i="9"/>
  <c r="V67" i="9"/>
  <c r="J70" i="9"/>
  <c r="AA70" i="9"/>
  <c r="K71" i="9"/>
  <c r="AB71" i="9"/>
  <c r="I72" i="9"/>
  <c r="AK72" i="9" s="1"/>
  <c r="Y72" i="9"/>
  <c r="J82" i="9"/>
  <c r="AA82" i="9"/>
  <c r="J83" i="9"/>
  <c r="I84" i="9"/>
  <c r="AK84" i="9" s="1"/>
  <c r="Y84" i="9"/>
  <c r="P86" i="9"/>
  <c r="AH86" i="9"/>
  <c r="R87" i="9"/>
  <c r="AH87" i="9"/>
  <c r="P88" i="9"/>
  <c r="AH88" i="9"/>
  <c r="I91" i="9"/>
  <c r="AK91" i="9" s="1"/>
  <c r="AA91" i="9"/>
  <c r="AC96" i="9"/>
  <c r="Q96" i="9"/>
  <c r="AI96" i="9"/>
  <c r="V96" i="9"/>
  <c r="I96" i="9"/>
  <c r="AK96" i="9" s="1"/>
  <c r="AA96" i="9"/>
  <c r="AB96" i="9" s="1"/>
  <c r="M96" i="9"/>
  <c r="AH96" i="9"/>
  <c r="T96" i="9"/>
  <c r="AG96" i="9"/>
  <c r="S96" i="9"/>
  <c r="AF96" i="9"/>
  <c r="R96" i="9"/>
  <c r="AD96" i="9"/>
  <c r="O96" i="9"/>
  <c r="AE96" i="9"/>
  <c r="AI98" i="9"/>
  <c r="W98" i="9"/>
  <c r="K98" i="9"/>
  <c r="AG98" i="9"/>
  <c r="T98" i="9"/>
  <c r="N98" i="9"/>
  <c r="AJ98" i="9"/>
  <c r="U98" i="9"/>
  <c r="AH98" i="9"/>
  <c r="S98" i="9"/>
  <c r="AF98" i="9"/>
  <c r="R98" i="9"/>
  <c r="AD98" i="9"/>
  <c r="P98" i="9"/>
  <c r="AC98" i="9"/>
  <c r="O98" i="9"/>
  <c r="AF99" i="9"/>
  <c r="F318" i="7"/>
  <c r="E318" i="7" s="1"/>
  <c r="D328" i="7"/>
  <c r="T11" i="9"/>
  <c r="AD15" i="9"/>
  <c r="R15" i="9"/>
  <c r="AA15" i="9"/>
  <c r="AB15" i="9" s="1"/>
  <c r="N15" i="9"/>
  <c r="V15" i="9"/>
  <c r="AJ15" i="9"/>
  <c r="U18" i="9"/>
  <c r="AD23" i="9"/>
  <c r="R23" i="9"/>
  <c r="AJ23" i="9"/>
  <c r="W23" i="9"/>
  <c r="J23" i="9"/>
  <c r="V23" i="9"/>
  <c r="I26" i="9"/>
  <c r="AK26" i="9" s="1"/>
  <c r="W26" i="9"/>
  <c r="U29" i="9"/>
  <c r="I34" i="9"/>
  <c r="AK34" i="9" s="1"/>
  <c r="W34" i="9"/>
  <c r="I37" i="9"/>
  <c r="AK37" i="9" s="1"/>
  <c r="W37" i="9"/>
  <c r="I42" i="9"/>
  <c r="AK42" i="9" s="1"/>
  <c r="Y42" i="9"/>
  <c r="J48" i="9"/>
  <c r="Y48" i="9"/>
  <c r="K52" i="9"/>
  <c r="Z52" i="9"/>
  <c r="AJ53" i="9"/>
  <c r="X53" i="9"/>
  <c r="L53" i="9"/>
  <c r="AG53" i="9"/>
  <c r="T53" i="9"/>
  <c r="Y53" i="9"/>
  <c r="K53" i="9"/>
  <c r="W53" i="9"/>
  <c r="J58" i="9"/>
  <c r="Z58" i="9"/>
  <c r="Z59" i="9"/>
  <c r="N59" i="9"/>
  <c r="AG59" i="9"/>
  <c r="T59" i="9"/>
  <c r="AF59" i="9"/>
  <c r="R59" i="9"/>
  <c r="W59" i="9"/>
  <c r="I59" i="9"/>
  <c r="AK59" i="9" s="1"/>
  <c r="Y59" i="9"/>
  <c r="AC60" i="9"/>
  <c r="Q60" i="9"/>
  <c r="Y60" i="9"/>
  <c r="L60" i="9"/>
  <c r="AA60" i="9"/>
  <c r="M60" i="9"/>
  <c r="AF60" i="9"/>
  <c r="R60" i="9"/>
  <c r="X60" i="9"/>
  <c r="L70" i="9"/>
  <c r="AC70" i="9"/>
  <c r="L71" i="9"/>
  <c r="AC71" i="9"/>
  <c r="J72" i="9"/>
  <c r="Z72" i="9"/>
  <c r="Z79" i="9"/>
  <c r="N79" i="9"/>
  <c r="AD79" i="9"/>
  <c r="Q79" i="9"/>
  <c r="AB79" i="9"/>
  <c r="M79" i="9"/>
  <c r="AG79" i="9"/>
  <c r="S79" i="9"/>
  <c r="X79" i="9"/>
  <c r="L82" i="9"/>
  <c r="AC82" i="9"/>
  <c r="K83" i="9"/>
  <c r="AC83" i="9"/>
  <c r="J84" i="9"/>
  <c r="AA84" i="9"/>
  <c r="R86" i="9"/>
  <c r="S87" i="9"/>
  <c r="AI87" i="9"/>
  <c r="R88" i="9"/>
  <c r="AI88" i="9"/>
  <c r="AI90" i="9"/>
  <c r="W90" i="9"/>
  <c r="K90" i="9"/>
  <c r="AA90" i="9"/>
  <c r="N90" i="9"/>
  <c r="AG90" i="9"/>
  <c r="S90" i="9"/>
  <c r="Z90" i="9"/>
  <c r="L90" i="9"/>
  <c r="X90" i="9"/>
  <c r="I90" i="9"/>
  <c r="AK90" i="9" s="1"/>
  <c r="AC90" i="9"/>
  <c r="J91" i="9"/>
  <c r="AC91" i="9"/>
  <c r="V95" i="9"/>
  <c r="J96" i="9"/>
  <c r="AJ96" i="9"/>
  <c r="I98" i="9"/>
  <c r="AK98" i="9" s="1"/>
  <c r="AG99" i="9"/>
  <c r="AI102" i="9"/>
  <c r="W102" i="9"/>
  <c r="K102" i="9"/>
  <c r="AD102" i="9"/>
  <c r="Q102" i="9"/>
  <c r="AG102" i="9"/>
  <c r="S102" i="9"/>
  <c r="AF102" i="9"/>
  <c r="R102" i="9"/>
  <c r="Z102" i="9"/>
  <c r="L102" i="9"/>
  <c r="Y102" i="9"/>
  <c r="J102" i="9"/>
  <c r="X102" i="9"/>
  <c r="I102" i="9"/>
  <c r="AK102" i="9" s="1"/>
  <c r="AJ102" i="9"/>
  <c r="U102" i="9"/>
  <c r="AH102" i="9"/>
  <c r="T102" i="9"/>
  <c r="U110" i="9"/>
  <c r="AC120" i="9"/>
  <c r="Q120" i="9"/>
  <c r="O120" i="9"/>
  <c r="AA120" i="9"/>
  <c r="AB120" i="9" s="1"/>
  <c r="M120" i="9"/>
  <c r="Z120" i="9"/>
  <c r="L120" i="9"/>
  <c r="Y120" i="9"/>
  <c r="K120" i="9"/>
  <c r="AI120" i="9"/>
  <c r="AJ120" i="9" s="1"/>
  <c r="U120" i="9"/>
  <c r="AH120" i="9"/>
  <c r="AG120" i="9"/>
  <c r="S120" i="9"/>
  <c r="T120" i="9" s="1"/>
  <c r="AF120" i="9"/>
  <c r="R120" i="9"/>
  <c r="AE120" i="9"/>
  <c r="P120" i="9"/>
  <c r="AD120" i="9"/>
  <c r="N120" i="9"/>
  <c r="AI11" i="9"/>
  <c r="AJ11" i="9" s="1"/>
  <c r="W11" i="9"/>
  <c r="K11" i="9"/>
  <c r="U11" i="9"/>
  <c r="AH11" i="9"/>
  <c r="AA18" i="9"/>
  <c r="O18" i="9"/>
  <c r="AG18" i="9"/>
  <c r="T18" i="9"/>
  <c r="V18" i="9"/>
  <c r="J26" i="9"/>
  <c r="X26" i="9"/>
  <c r="AJ29" i="9"/>
  <c r="X29" i="9"/>
  <c r="L29" i="9"/>
  <c r="AG29" i="9"/>
  <c r="T29" i="9"/>
  <c r="V29" i="9"/>
  <c r="J34" i="9"/>
  <c r="Y34" i="9"/>
  <c r="J37" i="9"/>
  <c r="Y37" i="9"/>
  <c r="J42" i="9"/>
  <c r="Z42" i="9"/>
  <c r="AD43" i="9"/>
  <c r="R43" i="9"/>
  <c r="Y43" i="9"/>
  <c r="L43" i="9"/>
  <c r="AC43" i="9"/>
  <c r="P43" i="9"/>
  <c r="W43" i="9"/>
  <c r="K48" i="9"/>
  <c r="Z48" i="9"/>
  <c r="AJ49" i="9"/>
  <c r="X49" i="9"/>
  <c r="L49" i="9"/>
  <c r="AI49" i="9"/>
  <c r="V49" i="9"/>
  <c r="I49" i="9"/>
  <c r="AK49" i="9" s="1"/>
  <c r="AA49" i="9"/>
  <c r="N49" i="9"/>
  <c r="Y49" i="9"/>
  <c r="L52" i="9"/>
  <c r="AB52" i="9"/>
  <c r="L58" i="9"/>
  <c r="AB58" i="9"/>
  <c r="AI66" i="9"/>
  <c r="AJ66" i="9" s="1"/>
  <c r="W66" i="9"/>
  <c r="K66" i="9"/>
  <c r="AG66" i="9"/>
  <c r="AF66" i="9"/>
  <c r="R66" i="9"/>
  <c r="X66" i="9"/>
  <c r="I66" i="9"/>
  <c r="AK66" i="9" s="1"/>
  <c r="Z66" i="9"/>
  <c r="Z67" i="9"/>
  <c r="N67" i="9"/>
  <c r="AA67" i="9"/>
  <c r="AB67" i="9" s="1"/>
  <c r="M67" i="9"/>
  <c r="AC67" i="9"/>
  <c r="O67" i="9"/>
  <c r="AG67" i="9"/>
  <c r="S67" i="9"/>
  <c r="X67" i="9"/>
  <c r="M70" i="9"/>
  <c r="AE70" i="9"/>
  <c r="M71" i="9"/>
  <c r="AD71" i="9"/>
  <c r="K72" i="9"/>
  <c r="AD72" i="9"/>
  <c r="M82" i="9"/>
  <c r="AD82" i="9"/>
  <c r="L83" i="9"/>
  <c r="AD83" i="9"/>
  <c r="K84" i="9"/>
  <c r="AB84" i="9"/>
  <c r="T86" i="9"/>
  <c r="T87" i="9"/>
  <c r="T88" i="9"/>
  <c r="AJ88" i="9"/>
  <c r="K91" i="9"/>
  <c r="AD91" i="9"/>
  <c r="AA95" i="9"/>
  <c r="AB95" i="9" s="1"/>
  <c r="J98" i="9"/>
  <c r="AH99" i="9"/>
  <c r="V110" i="9"/>
  <c r="I120" i="9"/>
  <c r="AK120" i="9" s="1"/>
  <c r="AJ18" i="9"/>
  <c r="D222" i="7"/>
  <c r="D270" i="7"/>
  <c r="D318" i="7"/>
  <c r="I11" i="9"/>
  <c r="AK11" i="9" s="1"/>
  <c r="V11" i="9"/>
  <c r="AJ13" i="9"/>
  <c r="AC13" i="9"/>
  <c r="Q13" i="9"/>
  <c r="U13" i="9"/>
  <c r="AH13" i="9"/>
  <c r="J15" i="9"/>
  <c r="X15" i="9"/>
  <c r="I18" i="9"/>
  <c r="AK18" i="9" s="1"/>
  <c r="W18" i="9"/>
  <c r="K23" i="9"/>
  <c r="Y23" i="9"/>
  <c r="K26" i="9"/>
  <c r="Y26" i="9"/>
  <c r="I29" i="9"/>
  <c r="AK29" i="9" s="1"/>
  <c r="W29" i="9"/>
  <c r="L34" i="9"/>
  <c r="Z34" i="9"/>
  <c r="K37" i="9"/>
  <c r="Z37" i="9"/>
  <c r="AA38" i="9"/>
  <c r="AB38" i="9" s="1"/>
  <c r="O38" i="9"/>
  <c r="AI38" i="9"/>
  <c r="AJ38" i="9" s="1"/>
  <c r="V38" i="9"/>
  <c r="I38" i="9"/>
  <c r="AK38" i="9" s="1"/>
  <c r="Z38" i="9"/>
  <c r="M38" i="9"/>
  <c r="X38" i="9"/>
  <c r="L42" i="9"/>
  <c r="AB42" i="9"/>
  <c r="I43" i="9"/>
  <c r="AK43" i="9" s="1"/>
  <c r="X43" i="9"/>
  <c r="L48" i="9"/>
  <c r="AA48" i="9"/>
  <c r="J49" i="9"/>
  <c r="Z49" i="9"/>
  <c r="AA50" i="9"/>
  <c r="AB50" i="9" s="1"/>
  <c r="O50" i="9"/>
  <c r="AC50" i="9"/>
  <c r="P50" i="9"/>
  <c r="AG50" i="9"/>
  <c r="T50" i="9"/>
  <c r="W50" i="9"/>
  <c r="M52" i="9"/>
  <c r="AC52" i="9"/>
  <c r="J53" i="9"/>
  <c r="AA53" i="9"/>
  <c r="AA54" i="9"/>
  <c r="O54" i="9"/>
  <c r="Z54" i="9"/>
  <c r="M54" i="9"/>
  <c r="AE54" i="9"/>
  <c r="R54" i="9"/>
  <c r="W54" i="9"/>
  <c r="M58" i="9"/>
  <c r="AD58" i="9"/>
  <c r="K59" i="9"/>
  <c r="AB59" i="9"/>
  <c r="J60" i="9"/>
  <c r="AB60" i="9"/>
  <c r="J66" i="9"/>
  <c r="AA66" i="9"/>
  <c r="AB66" i="9" s="1"/>
  <c r="I67" i="9"/>
  <c r="AK67" i="9" s="1"/>
  <c r="Y67" i="9"/>
  <c r="O70" i="9"/>
  <c r="AF70" i="9"/>
  <c r="O71" i="9"/>
  <c r="AE71" i="9"/>
  <c r="L72" i="9"/>
  <c r="AE72" i="9"/>
  <c r="J79" i="9"/>
  <c r="AA79" i="9"/>
  <c r="O82" i="9"/>
  <c r="AE82" i="9"/>
  <c r="O83" i="9"/>
  <c r="AE83" i="9"/>
  <c r="M84" i="9"/>
  <c r="AD84" i="9"/>
  <c r="M90" i="9"/>
  <c r="AE90" i="9"/>
  <c r="L91" i="9"/>
  <c r="AE91" i="9"/>
  <c r="L96" i="9"/>
  <c r="L98" i="9"/>
  <c r="N102" i="9"/>
  <c r="Z103" i="9"/>
  <c r="N103" i="9"/>
  <c r="AJ103" i="9"/>
  <c r="W103" i="9"/>
  <c r="J103" i="9"/>
  <c r="AC103" i="9"/>
  <c r="O103" i="9"/>
  <c r="AB103" i="9"/>
  <c r="M103" i="9"/>
  <c r="AI103" i="9"/>
  <c r="U103" i="9"/>
  <c r="AH103" i="9"/>
  <c r="T103" i="9"/>
  <c r="AG103" i="9"/>
  <c r="S103" i="9"/>
  <c r="AE103" i="9"/>
  <c r="Q103" i="9"/>
  <c r="AD103" i="9"/>
  <c r="P103" i="9"/>
  <c r="AC108" i="9"/>
  <c r="Q108" i="9"/>
  <c r="Y108" i="9"/>
  <c r="L108" i="9"/>
  <c r="AA108" i="9"/>
  <c r="M108" i="9"/>
  <c r="Z108" i="9"/>
  <c r="K108" i="9"/>
  <c r="AH108" i="9"/>
  <c r="AG108" i="9"/>
  <c r="S108" i="9"/>
  <c r="T108" i="9" s="1"/>
  <c r="AF108" i="9"/>
  <c r="R108" i="9"/>
  <c r="AE108" i="9"/>
  <c r="P108" i="9"/>
  <c r="AD108" i="9"/>
  <c r="O108" i="9"/>
  <c r="AB108" i="9"/>
  <c r="N108" i="9"/>
  <c r="Z115" i="9"/>
  <c r="N115" i="9"/>
  <c r="AA115" i="9"/>
  <c r="M115" i="9"/>
  <c r="AC115" i="9"/>
  <c r="O115" i="9"/>
  <c r="AB115" i="9"/>
  <c r="L115" i="9"/>
  <c r="AI115" i="9"/>
  <c r="U115" i="9"/>
  <c r="AH115" i="9"/>
  <c r="T115" i="9"/>
  <c r="AG115" i="9"/>
  <c r="S115" i="9"/>
  <c r="AF115" i="9"/>
  <c r="R115" i="9"/>
  <c r="AE115" i="9"/>
  <c r="Q115" i="9"/>
  <c r="AD115" i="9"/>
  <c r="P115" i="9"/>
  <c r="J120" i="9"/>
  <c r="Z99" i="9"/>
  <c r="N99" i="9"/>
  <c r="AA99" i="9"/>
  <c r="AB99" i="9" s="1"/>
  <c r="M99" i="9"/>
  <c r="W99" i="9"/>
  <c r="I99" i="9"/>
  <c r="AK99" i="9" s="1"/>
  <c r="AE99" i="9"/>
  <c r="Q99" i="9"/>
  <c r="AD99" i="9"/>
  <c r="P99" i="9"/>
  <c r="AC99" i="9"/>
  <c r="O99" i="9"/>
  <c r="Y99" i="9"/>
  <c r="K99" i="9"/>
  <c r="X99" i="9"/>
  <c r="J99" i="9"/>
  <c r="AJ99" i="9"/>
  <c r="AI86" i="9"/>
  <c r="AJ86" i="9" s="1"/>
  <c r="W86" i="9"/>
  <c r="K86" i="9"/>
  <c r="AD86" i="9"/>
  <c r="Q86" i="9"/>
  <c r="AB86" i="9"/>
  <c r="N86" i="9"/>
  <c r="AG86" i="9"/>
  <c r="S86" i="9"/>
  <c r="Y86" i="9"/>
  <c r="Z87" i="9"/>
  <c r="N87" i="9"/>
  <c r="AJ87" i="9"/>
  <c r="W87" i="9"/>
  <c r="J87" i="9"/>
  <c r="X87" i="9"/>
  <c r="I87" i="9"/>
  <c r="AK87" i="9" s="1"/>
  <c r="AC87" i="9"/>
  <c r="O87" i="9"/>
  <c r="AA87" i="9"/>
  <c r="AC88" i="9"/>
  <c r="Q88" i="9"/>
  <c r="AB88" i="9"/>
  <c r="O88" i="9"/>
  <c r="AG88" i="9"/>
  <c r="S88" i="9"/>
  <c r="W88" i="9"/>
  <c r="I88" i="9"/>
  <c r="AK88" i="9" s="1"/>
  <c r="Y88" i="9"/>
  <c r="AB94" i="9"/>
  <c r="Z95" i="9"/>
  <c r="N95" i="9"/>
  <c r="AD95" i="9"/>
  <c r="Q95" i="9"/>
  <c r="AG95" i="9"/>
  <c r="S95" i="9"/>
  <c r="T95" i="9" s="1"/>
  <c r="Y95" i="9"/>
  <c r="K95" i="9"/>
  <c r="X95" i="9"/>
  <c r="J95" i="9"/>
  <c r="W95" i="9"/>
  <c r="I95" i="9"/>
  <c r="AK95" i="9" s="1"/>
  <c r="AI95" i="9"/>
  <c r="AJ95" i="9" s="1"/>
  <c r="U95" i="9"/>
  <c r="AF95" i="9"/>
  <c r="R99" i="9"/>
  <c r="AI122" i="9"/>
  <c r="W122" i="9"/>
  <c r="K122" i="9"/>
  <c r="AA122" i="9"/>
  <c r="N122" i="9"/>
  <c r="AC122" i="9"/>
  <c r="O122" i="9"/>
  <c r="AB122" i="9"/>
  <c r="M122" i="9"/>
  <c r="Z122" i="9"/>
  <c r="L122" i="9"/>
  <c r="AJ122" i="9"/>
  <c r="U122" i="9"/>
  <c r="AH122" i="9"/>
  <c r="T122" i="9"/>
  <c r="AG122" i="9"/>
  <c r="S122" i="9"/>
  <c r="AF122" i="9"/>
  <c r="R122" i="9"/>
  <c r="AE122" i="9"/>
  <c r="Q122" i="9"/>
  <c r="AD122" i="9"/>
  <c r="P122" i="9"/>
  <c r="I122" i="9"/>
  <c r="AK122" i="9" s="1"/>
  <c r="U99" i="9"/>
  <c r="J122" i="9"/>
  <c r="F234" i="7"/>
  <c r="E234" i="7" s="1"/>
  <c r="D244" i="7"/>
  <c r="F282" i="7"/>
  <c r="E282" i="7" s="1"/>
  <c r="Q11" i="9"/>
  <c r="AD11" i="9"/>
  <c r="O13" i="9"/>
  <c r="AB13" i="9"/>
  <c r="S15" i="9"/>
  <c r="T15" i="9" s="1"/>
  <c r="AG15" i="9"/>
  <c r="AJ17" i="9"/>
  <c r="X17" i="9"/>
  <c r="L17" i="9"/>
  <c r="AA17" i="9"/>
  <c r="N17" i="9"/>
  <c r="V17" i="9"/>
  <c r="Q18" i="9"/>
  <c r="AE18" i="9"/>
  <c r="S23" i="9"/>
  <c r="AG23" i="9"/>
  <c r="T26" i="9"/>
  <c r="AH26" i="9"/>
  <c r="AG28" i="9"/>
  <c r="U28" i="9"/>
  <c r="I28" i="9"/>
  <c r="AK28" i="9" s="1"/>
  <c r="AA28" i="9"/>
  <c r="N28" i="9"/>
  <c r="W28" i="9"/>
  <c r="Q29" i="9"/>
  <c r="AE29" i="9"/>
  <c r="T34" i="9"/>
  <c r="AH34" i="9"/>
  <c r="T37" i="9"/>
  <c r="AI37" i="9"/>
  <c r="AJ37" i="9" s="1"/>
  <c r="R38" i="9"/>
  <c r="AG38" i="9"/>
  <c r="AJ41" i="9"/>
  <c r="X41" i="9"/>
  <c r="L41" i="9"/>
  <c r="AA41" i="9"/>
  <c r="N41" i="9"/>
  <c r="AE41" i="9"/>
  <c r="R41" i="9"/>
  <c r="W41" i="9"/>
  <c r="U42" i="9"/>
  <c r="AJ42" i="9"/>
  <c r="S43" i="9"/>
  <c r="AH43" i="9"/>
  <c r="AD47" i="9"/>
  <c r="R47" i="9"/>
  <c r="AJ47" i="9"/>
  <c r="W47" i="9"/>
  <c r="J47" i="9"/>
  <c r="AA47" i="9"/>
  <c r="N47" i="9"/>
  <c r="X47" i="9"/>
  <c r="V48" i="9"/>
  <c r="S49" i="9"/>
  <c r="AH49" i="9"/>
  <c r="Q50" i="9"/>
  <c r="AF50" i="9"/>
  <c r="W52" i="9"/>
  <c r="S53" i="9"/>
  <c r="AI53" i="9"/>
  <c r="Q54" i="9"/>
  <c r="AG54" i="9"/>
  <c r="AJ57" i="9"/>
  <c r="X57" i="9"/>
  <c r="L57" i="9"/>
  <c r="AE57" i="9"/>
  <c r="R57" i="9"/>
  <c r="AI57" i="9"/>
  <c r="V57" i="9"/>
  <c r="I57" i="9"/>
  <c r="AK57" i="9" s="1"/>
  <c r="Y57" i="9"/>
  <c r="V58" i="9"/>
  <c r="U59" i="9"/>
  <c r="U60" i="9"/>
  <c r="S66" i="9"/>
  <c r="T66" i="9" s="1"/>
  <c r="T67" i="9"/>
  <c r="AJ67" i="9"/>
  <c r="Y70" i="9"/>
  <c r="Y71" i="9"/>
  <c r="W72" i="9"/>
  <c r="U79" i="9"/>
  <c r="Y82" i="9"/>
  <c r="X83" i="9"/>
  <c r="W84" i="9"/>
  <c r="M86" i="9"/>
  <c r="AE86" i="9"/>
  <c r="P87" i="9"/>
  <c r="AF87" i="9"/>
  <c r="M88" i="9"/>
  <c r="AE88" i="9"/>
  <c r="V90" i="9"/>
  <c r="X91" i="9"/>
  <c r="P95" i="9"/>
  <c r="Z96" i="9"/>
  <c r="AA98" i="9"/>
  <c r="AB98" i="9" s="1"/>
  <c r="V99" i="9"/>
  <c r="AI110" i="9"/>
  <c r="W110" i="9"/>
  <c r="K110" i="9"/>
  <c r="X110" i="9"/>
  <c r="J110" i="9"/>
  <c r="AB110" i="9"/>
  <c r="N110" i="9"/>
  <c r="AA110" i="9"/>
  <c r="M110" i="9"/>
  <c r="AH110" i="9"/>
  <c r="T110" i="9"/>
  <c r="AG110" i="9"/>
  <c r="S110" i="9"/>
  <c r="AF110" i="9"/>
  <c r="R110" i="9"/>
  <c r="AE110" i="9"/>
  <c r="Q110" i="9"/>
  <c r="AD110" i="9"/>
  <c r="P110" i="9"/>
  <c r="AC110" i="9"/>
  <c r="O110" i="9"/>
  <c r="V122" i="9"/>
  <c r="J104" i="9"/>
  <c r="X104" i="9"/>
  <c r="J106" i="9"/>
  <c r="Y106" i="9"/>
  <c r="S107" i="9"/>
  <c r="AH107" i="9"/>
  <c r="J111" i="9"/>
  <c r="X111" i="9"/>
  <c r="S114" i="9"/>
  <c r="AH114" i="9"/>
  <c r="J118" i="9"/>
  <c r="Y118" i="9"/>
  <c r="T119" i="9"/>
  <c r="AH119" i="9"/>
  <c r="J123" i="9"/>
  <c r="X123" i="9"/>
  <c r="AC136" i="9"/>
  <c r="Q136" i="9"/>
  <c r="AJ136" i="9"/>
  <c r="W136" i="9"/>
  <c r="J136" i="9"/>
  <c r="AF136" i="9"/>
  <c r="S136" i="9"/>
  <c r="AB136" i="9"/>
  <c r="O136" i="9"/>
  <c r="AA136" i="9"/>
  <c r="N136" i="9"/>
  <c r="Z136" i="9"/>
  <c r="R143" i="9"/>
  <c r="S156" i="9"/>
  <c r="V159" i="9"/>
  <c r="K104" i="9"/>
  <c r="Y104" i="9"/>
  <c r="L106" i="9"/>
  <c r="Z106" i="9"/>
  <c r="U107" i="9"/>
  <c r="K111" i="9"/>
  <c r="Y111" i="9"/>
  <c r="U114" i="9"/>
  <c r="L118" i="9"/>
  <c r="Z118" i="9"/>
  <c r="U119" i="9"/>
  <c r="K123" i="9"/>
  <c r="Y123" i="9"/>
  <c r="AC132" i="9"/>
  <c r="Q132" i="9"/>
  <c r="Z132" i="9"/>
  <c r="M132" i="9"/>
  <c r="AI132" i="9"/>
  <c r="V132" i="9"/>
  <c r="I132" i="9"/>
  <c r="AK132" i="9" s="1"/>
  <c r="AF132" i="9"/>
  <c r="S132" i="9"/>
  <c r="AE132" i="9"/>
  <c r="R132" i="9"/>
  <c r="AA132" i="9"/>
  <c r="I136" i="9"/>
  <c r="AK136" i="9" s="1"/>
  <c r="AD136" i="9"/>
  <c r="S143" i="9"/>
  <c r="T156" i="9"/>
  <c r="AJ157" i="9"/>
  <c r="X159" i="9"/>
  <c r="AJ162" i="9"/>
  <c r="X162" i="9"/>
  <c r="L162" i="9"/>
  <c r="O162" i="9"/>
  <c r="AH162" i="9"/>
  <c r="AE162" i="9"/>
  <c r="Q162" i="9"/>
  <c r="AD162" i="9"/>
  <c r="P162" i="9"/>
  <c r="AC162" i="9"/>
  <c r="N162" i="9"/>
  <c r="AA162" i="9"/>
  <c r="AB162" i="9" s="1"/>
  <c r="M162" i="9"/>
  <c r="Z162" i="9"/>
  <c r="K162" i="9"/>
  <c r="Y162" i="9"/>
  <c r="J162" i="9"/>
  <c r="W162" i="9"/>
  <c r="I162" i="9"/>
  <c r="AK162" i="9" s="1"/>
  <c r="AJ170" i="9"/>
  <c r="X170" i="9"/>
  <c r="L170" i="9"/>
  <c r="W170" i="9"/>
  <c r="J170" i="9"/>
  <c r="AI170" i="9"/>
  <c r="U170" i="9"/>
  <c r="AH170" i="9"/>
  <c r="T170" i="9"/>
  <c r="AG170" i="9"/>
  <c r="S170" i="9"/>
  <c r="AF170" i="9"/>
  <c r="R170" i="9"/>
  <c r="AE170" i="9"/>
  <c r="Q170" i="9"/>
  <c r="AD170" i="9"/>
  <c r="P170" i="9"/>
  <c r="AC170" i="9"/>
  <c r="O170" i="9"/>
  <c r="AB170" i="9"/>
  <c r="N170" i="9"/>
  <c r="AA170" i="9"/>
  <c r="M170" i="9"/>
  <c r="Z170" i="9"/>
  <c r="K170" i="9"/>
  <c r="Y170" i="9"/>
  <c r="I170" i="9"/>
  <c r="AK170" i="9" s="1"/>
  <c r="Z107" i="9"/>
  <c r="N107" i="9"/>
  <c r="AG107" i="9"/>
  <c r="T107" i="9"/>
  <c r="V107" i="9"/>
  <c r="AJ107" i="9"/>
  <c r="AI114" i="9"/>
  <c r="AJ114" i="9" s="1"/>
  <c r="W114" i="9"/>
  <c r="K114" i="9"/>
  <c r="AG114" i="9"/>
  <c r="T114" i="9"/>
  <c r="V114" i="9"/>
  <c r="Z119" i="9"/>
  <c r="N119" i="9"/>
  <c r="AJ119" i="9"/>
  <c r="W119" i="9"/>
  <c r="J119" i="9"/>
  <c r="V119" i="9"/>
  <c r="K136" i="9"/>
  <c r="AE136" i="9"/>
  <c r="U143" i="9"/>
  <c r="V156" i="9"/>
  <c r="AD159" i="9"/>
  <c r="R162" i="9"/>
  <c r="AC64" i="9"/>
  <c r="Q64" i="9"/>
  <c r="AI64" i="9"/>
  <c r="AJ64" i="9" s="1"/>
  <c r="V64" i="9"/>
  <c r="I64" i="9"/>
  <c r="AK64" i="9" s="1"/>
  <c r="W64" i="9"/>
  <c r="AC76" i="9"/>
  <c r="Q76" i="9"/>
  <c r="Y76" i="9"/>
  <c r="L76" i="9"/>
  <c r="V76" i="9"/>
  <c r="AJ76" i="9"/>
  <c r="AI78" i="9"/>
  <c r="W78" i="9"/>
  <c r="K78" i="9"/>
  <c r="X78" i="9"/>
  <c r="J78" i="9"/>
  <c r="V78" i="9"/>
  <c r="M92" i="9"/>
  <c r="N94" i="9"/>
  <c r="AC100" i="9"/>
  <c r="Q100" i="9"/>
  <c r="AF100" i="9"/>
  <c r="S100" i="9"/>
  <c r="T100" i="9" s="1"/>
  <c r="V100" i="9"/>
  <c r="AJ100" i="9"/>
  <c r="M104" i="9"/>
  <c r="AA104" i="9"/>
  <c r="AB104" i="9" s="1"/>
  <c r="O106" i="9"/>
  <c r="AC106" i="9"/>
  <c r="I107" i="9"/>
  <c r="AK107" i="9" s="1"/>
  <c r="W107" i="9"/>
  <c r="M111" i="9"/>
  <c r="AB111" i="9"/>
  <c r="AC112" i="9"/>
  <c r="Q112" i="9"/>
  <c r="AI112" i="9"/>
  <c r="AJ112" i="9" s="1"/>
  <c r="V112" i="9"/>
  <c r="I112" i="9"/>
  <c r="AK112" i="9" s="1"/>
  <c r="W112" i="9"/>
  <c r="I114" i="9"/>
  <c r="AK114" i="9" s="1"/>
  <c r="X114" i="9"/>
  <c r="N118" i="9"/>
  <c r="AB118" i="9"/>
  <c r="I119" i="9"/>
  <c r="AK119" i="9" s="1"/>
  <c r="X119" i="9"/>
  <c r="M123" i="9"/>
  <c r="AB123" i="9"/>
  <c r="AC124" i="9"/>
  <c r="Q124" i="9"/>
  <c r="Y124" i="9"/>
  <c r="L124" i="9"/>
  <c r="V124" i="9"/>
  <c r="AJ124" i="9"/>
  <c r="AI126" i="9"/>
  <c r="W126" i="9"/>
  <c r="K126" i="9"/>
  <c r="X126" i="9"/>
  <c r="J126" i="9"/>
  <c r="AJ126" i="9"/>
  <c r="V126" i="9"/>
  <c r="I126" i="9"/>
  <c r="AK126" i="9" s="1"/>
  <c r="Z126" i="9"/>
  <c r="Z127" i="9"/>
  <c r="N127" i="9"/>
  <c r="AD127" i="9"/>
  <c r="Q127" i="9"/>
  <c r="AC127" i="9"/>
  <c r="P127" i="9"/>
  <c r="W127" i="9"/>
  <c r="AI130" i="9"/>
  <c r="AJ130" i="9" s="1"/>
  <c r="W130" i="9"/>
  <c r="K130" i="9"/>
  <c r="O130" i="9"/>
  <c r="X130" i="9"/>
  <c r="J130" i="9"/>
  <c r="AG130" i="9"/>
  <c r="AF130" i="9"/>
  <c r="S130" i="9"/>
  <c r="T130" i="9" s="1"/>
  <c r="AA130" i="9"/>
  <c r="AB130" i="9" s="1"/>
  <c r="K132" i="9"/>
  <c r="AD132" i="9"/>
  <c r="Z135" i="9"/>
  <c r="N135" i="9"/>
  <c r="AE135" i="9"/>
  <c r="R135" i="9"/>
  <c r="AA135" i="9"/>
  <c r="M135" i="9"/>
  <c r="AJ135" i="9"/>
  <c r="W135" i="9"/>
  <c r="J135" i="9"/>
  <c r="AI135" i="9"/>
  <c r="V135" i="9"/>
  <c r="I135" i="9"/>
  <c r="AK135" i="9" s="1"/>
  <c r="AC135" i="9"/>
  <c r="L136" i="9"/>
  <c r="AG136" i="9"/>
  <c r="Z139" i="9"/>
  <c r="N139" i="9"/>
  <c r="AB139" i="9"/>
  <c r="O139" i="9"/>
  <c r="AJ139" i="9"/>
  <c r="W139" i="9"/>
  <c r="J139" i="9"/>
  <c r="AG139" i="9"/>
  <c r="T139" i="9"/>
  <c r="AF139" i="9"/>
  <c r="S139" i="9"/>
  <c r="AE139" i="9"/>
  <c r="R139" i="9"/>
  <c r="AC139" i="9"/>
  <c r="V143" i="9"/>
  <c r="AC148" i="9"/>
  <c r="Q148" i="9"/>
  <c r="Z148" i="9"/>
  <c r="M148" i="9"/>
  <c r="AI148" i="9"/>
  <c r="AJ148" i="9" s="1"/>
  <c r="V148" i="9"/>
  <c r="I148" i="9"/>
  <c r="AK148" i="9" s="1"/>
  <c r="AG148" i="9"/>
  <c r="T148" i="9"/>
  <c r="AF148" i="9"/>
  <c r="S148" i="9"/>
  <c r="AE148" i="9"/>
  <c r="R148" i="9"/>
  <c r="AD148" i="9"/>
  <c r="P148" i="9"/>
  <c r="AH148" i="9"/>
  <c r="AI150" i="9"/>
  <c r="W150" i="9"/>
  <c r="K150" i="9"/>
  <c r="Y150" i="9"/>
  <c r="L150" i="9"/>
  <c r="AG150" i="9"/>
  <c r="T150" i="9"/>
  <c r="AE150" i="9"/>
  <c r="R150" i="9"/>
  <c r="AD150" i="9"/>
  <c r="Q150" i="9"/>
  <c r="AC150" i="9"/>
  <c r="P150" i="9"/>
  <c r="AB150" i="9"/>
  <c r="O150" i="9"/>
  <c r="AH150" i="9"/>
  <c r="AC152" i="9"/>
  <c r="Q152" i="9"/>
  <c r="AJ152" i="9"/>
  <c r="W152" i="9"/>
  <c r="J152" i="9"/>
  <c r="AF152" i="9"/>
  <c r="S152" i="9"/>
  <c r="AD152" i="9"/>
  <c r="P152" i="9"/>
  <c r="AB152" i="9"/>
  <c r="O152" i="9"/>
  <c r="AA152" i="9"/>
  <c r="N152" i="9"/>
  <c r="Z152" i="9"/>
  <c r="M152" i="9"/>
  <c r="AH152" i="9"/>
  <c r="W156" i="9"/>
  <c r="AG159" i="9"/>
  <c r="S162" i="9"/>
  <c r="T162" i="9" s="1"/>
  <c r="N104" i="9"/>
  <c r="AD104" i="9"/>
  <c r="P106" i="9"/>
  <c r="AD106" i="9"/>
  <c r="J107" i="9"/>
  <c r="X107" i="9"/>
  <c r="O111" i="9"/>
  <c r="AC111" i="9"/>
  <c r="J114" i="9"/>
  <c r="Y114" i="9"/>
  <c r="O118" i="9"/>
  <c r="AC118" i="9"/>
  <c r="K119" i="9"/>
  <c r="Y119" i="9"/>
  <c r="O123" i="9"/>
  <c r="AC123" i="9"/>
  <c r="L132" i="9"/>
  <c r="AG132" i="9"/>
  <c r="M136" i="9"/>
  <c r="AH136" i="9"/>
  <c r="W143" i="9"/>
  <c r="J148" i="9"/>
  <c r="I150" i="9"/>
  <c r="AK150" i="9" s="1"/>
  <c r="AJ150" i="9"/>
  <c r="I152" i="9"/>
  <c r="AK152" i="9" s="1"/>
  <c r="AI152" i="9"/>
  <c r="AB156" i="9"/>
  <c r="U162" i="9"/>
  <c r="P104" i="9"/>
  <c r="Q106" i="9"/>
  <c r="K107" i="9"/>
  <c r="Y107" i="9"/>
  <c r="P111" i="9"/>
  <c r="L114" i="9"/>
  <c r="Z114" i="9"/>
  <c r="P118" i="9"/>
  <c r="L119" i="9"/>
  <c r="AA119" i="9"/>
  <c r="P123" i="9"/>
  <c r="N132" i="9"/>
  <c r="AH132" i="9"/>
  <c r="AI134" i="9"/>
  <c r="AJ134" i="9" s="1"/>
  <c r="W134" i="9"/>
  <c r="K134" i="9"/>
  <c r="Y134" i="9"/>
  <c r="L134" i="9"/>
  <c r="AG134" i="9"/>
  <c r="T134" i="9"/>
  <c r="AD134" i="9"/>
  <c r="Q134" i="9"/>
  <c r="AC134" i="9"/>
  <c r="P134" i="9"/>
  <c r="AA134" i="9"/>
  <c r="AB134" i="9" s="1"/>
  <c r="L135" i="9"/>
  <c r="AF135" i="9"/>
  <c r="P136" i="9"/>
  <c r="AI136" i="9"/>
  <c r="Y143" i="9"/>
  <c r="K148" i="9"/>
  <c r="J150" i="9"/>
  <c r="K152" i="9"/>
  <c r="AF156" i="9"/>
  <c r="V162" i="9"/>
  <c r="AD164" i="9"/>
  <c r="R164" i="9"/>
  <c r="Z164" i="9"/>
  <c r="M164" i="9"/>
  <c r="W164" i="9"/>
  <c r="I164" i="9"/>
  <c r="AK164" i="9" s="1"/>
  <c r="AH164" i="9"/>
  <c r="AG164" i="9"/>
  <c r="S164" i="9"/>
  <c r="T164" i="9" s="1"/>
  <c r="AF164" i="9"/>
  <c r="Q164" i="9"/>
  <c r="AE164" i="9"/>
  <c r="P164" i="9"/>
  <c r="AC164" i="9"/>
  <c r="O164" i="9"/>
  <c r="N164" i="9"/>
  <c r="AA164" i="9"/>
  <c r="AB164" i="9" s="1"/>
  <c r="L164" i="9"/>
  <c r="Z143" i="9"/>
  <c r="N143" i="9"/>
  <c r="X143" i="9"/>
  <c r="K143" i="9"/>
  <c r="AG143" i="9"/>
  <c r="T143" i="9"/>
  <c r="AD143" i="9"/>
  <c r="Q143" i="9"/>
  <c r="AC143" i="9"/>
  <c r="P143" i="9"/>
  <c r="AB143" i="9"/>
  <c r="O143" i="9"/>
  <c r="AE143" i="9"/>
  <c r="AA159" i="9"/>
  <c r="O159" i="9"/>
  <c r="AJ159" i="9"/>
  <c r="W159" i="9"/>
  <c r="J159" i="9"/>
  <c r="AI159" i="9"/>
  <c r="U159" i="9"/>
  <c r="AF159" i="9"/>
  <c r="R159" i="9"/>
  <c r="AE159" i="9"/>
  <c r="Q159" i="9"/>
  <c r="AC159" i="9"/>
  <c r="N159" i="9"/>
  <c r="AB159" i="9"/>
  <c r="M159" i="9"/>
  <c r="Z159" i="9"/>
  <c r="L159" i="9"/>
  <c r="Y159" i="9"/>
  <c r="K159" i="9"/>
  <c r="AD156" i="9"/>
  <c r="R156" i="9"/>
  <c r="AE156" i="9"/>
  <c r="Q156" i="9"/>
  <c r="AI156" i="9"/>
  <c r="U156" i="9"/>
  <c r="AC156" i="9"/>
  <c r="O156" i="9"/>
  <c r="AA156" i="9"/>
  <c r="M156" i="9"/>
  <c r="Z156" i="9"/>
  <c r="L156" i="9"/>
  <c r="Y156" i="9"/>
  <c r="K156" i="9"/>
  <c r="X156" i="9"/>
  <c r="J156" i="9"/>
  <c r="AJ156" i="9"/>
  <c r="AH143" i="9"/>
  <c r="I156" i="9"/>
  <c r="AK156" i="9" s="1"/>
  <c r="AC104" i="9"/>
  <c r="Q104" i="9"/>
  <c r="O104" i="9"/>
  <c r="V104" i="9"/>
  <c r="AJ104" i="9"/>
  <c r="AI106" i="9"/>
  <c r="AJ106" i="9" s="1"/>
  <c r="W106" i="9"/>
  <c r="K106" i="9"/>
  <c r="AA106" i="9"/>
  <c r="AB106" i="9" s="1"/>
  <c r="N106" i="9"/>
  <c r="V106" i="9"/>
  <c r="Q107" i="9"/>
  <c r="AE107" i="9"/>
  <c r="Z111" i="9"/>
  <c r="N111" i="9"/>
  <c r="AD111" i="9"/>
  <c r="Q111" i="9"/>
  <c r="V111" i="9"/>
  <c r="AJ111" i="9"/>
  <c r="Q114" i="9"/>
  <c r="AE114" i="9"/>
  <c r="AI118" i="9"/>
  <c r="W118" i="9"/>
  <c r="K118" i="9"/>
  <c r="AD118" i="9"/>
  <c r="Q118" i="9"/>
  <c r="V118" i="9"/>
  <c r="R119" i="9"/>
  <c r="AF119" i="9"/>
  <c r="Z123" i="9"/>
  <c r="N123" i="9"/>
  <c r="AG123" i="9"/>
  <c r="T123" i="9"/>
  <c r="V123" i="9"/>
  <c r="AJ123" i="9"/>
  <c r="W132" i="9"/>
  <c r="X136" i="9"/>
  <c r="L143" i="9"/>
  <c r="AI143" i="9"/>
  <c r="N156" i="9"/>
  <c r="S159" i="9"/>
  <c r="AI173" i="9"/>
  <c r="W173" i="9"/>
  <c r="K173" i="9"/>
  <c r="AA173" i="9"/>
  <c r="N173" i="9"/>
  <c r="AF173" i="9"/>
  <c r="R173" i="9"/>
  <c r="V173" i="9"/>
  <c r="U173" i="9"/>
  <c r="AJ173" i="9"/>
  <c r="T173" i="9"/>
  <c r="AH173" i="9"/>
  <c r="S173" i="9"/>
  <c r="AG173" i="9"/>
  <c r="Q173" i="9"/>
  <c r="AE173" i="9"/>
  <c r="P173" i="9"/>
  <c r="AD173" i="9"/>
  <c r="O173" i="9"/>
  <c r="AC173" i="9"/>
  <c r="M173" i="9"/>
  <c r="AB173" i="9"/>
  <c r="L173" i="9"/>
  <c r="Z173" i="9"/>
  <c r="J173" i="9"/>
  <c r="Y173" i="9"/>
  <c r="I173" i="9"/>
  <c r="AK173" i="9" s="1"/>
  <c r="T10" i="9"/>
  <c r="AD27" i="9"/>
  <c r="R27" i="9"/>
  <c r="U27" i="9"/>
  <c r="AH27" i="9"/>
  <c r="AD51" i="9"/>
  <c r="R51" i="9"/>
  <c r="U51" i="9"/>
  <c r="AH51" i="9"/>
  <c r="R64" i="9"/>
  <c r="AF64" i="9"/>
  <c r="AC68" i="9"/>
  <c r="Q68" i="9"/>
  <c r="AF68" i="9"/>
  <c r="S68" i="9"/>
  <c r="T68" i="9" s="1"/>
  <c r="V68" i="9"/>
  <c r="AJ68" i="9"/>
  <c r="R76" i="9"/>
  <c r="AF76" i="9"/>
  <c r="R78" i="9"/>
  <c r="AF78" i="9"/>
  <c r="AC80" i="9"/>
  <c r="Q80" i="9"/>
  <c r="AI80" i="9"/>
  <c r="V80" i="9"/>
  <c r="I80" i="9"/>
  <c r="AK80" i="9" s="1"/>
  <c r="W80" i="9"/>
  <c r="AC92" i="9"/>
  <c r="Q92" i="9"/>
  <c r="Y92" i="9"/>
  <c r="L92" i="9"/>
  <c r="V92" i="9"/>
  <c r="AJ92" i="9"/>
  <c r="AI94" i="9"/>
  <c r="AJ94" i="9" s="1"/>
  <c r="W94" i="9"/>
  <c r="K94" i="9"/>
  <c r="X94" i="9"/>
  <c r="J94" i="9"/>
  <c r="V94" i="9"/>
  <c r="P100" i="9"/>
  <c r="AE100" i="9"/>
  <c r="I104" i="9"/>
  <c r="AK104" i="9" s="1"/>
  <c r="W104" i="9"/>
  <c r="I106" i="9"/>
  <c r="AK106" i="9" s="1"/>
  <c r="X106" i="9"/>
  <c r="R107" i="9"/>
  <c r="AF107" i="9"/>
  <c r="I111" i="9"/>
  <c r="AK111" i="9" s="1"/>
  <c r="W111" i="9"/>
  <c r="R112" i="9"/>
  <c r="AF112" i="9"/>
  <c r="R114" i="9"/>
  <c r="AF114" i="9"/>
  <c r="AC116" i="9"/>
  <c r="Q116" i="9"/>
  <c r="AF116" i="9"/>
  <c r="S116" i="9"/>
  <c r="V116" i="9"/>
  <c r="AJ116" i="9"/>
  <c r="I118" i="9"/>
  <c r="AK118" i="9" s="1"/>
  <c r="X118" i="9"/>
  <c r="S119" i="9"/>
  <c r="AG119" i="9"/>
  <c r="I123" i="9"/>
  <c r="AK123" i="9" s="1"/>
  <c r="W123" i="9"/>
  <c r="R124" i="9"/>
  <c r="AF124" i="9"/>
  <c r="S126" i="9"/>
  <c r="T126" i="9" s="1"/>
  <c r="AH126" i="9"/>
  <c r="S127" i="9"/>
  <c r="T127" i="9" s="1"/>
  <c r="AH127" i="9"/>
  <c r="U130" i="9"/>
  <c r="X132" i="9"/>
  <c r="R134" i="9"/>
  <c r="U135" i="9"/>
  <c r="Y136" i="9"/>
  <c r="V139" i="9"/>
  <c r="AC140" i="9"/>
  <c r="Q140" i="9"/>
  <c r="AG140" i="9"/>
  <c r="T140" i="9"/>
  <c r="AB140" i="9"/>
  <c r="O140" i="9"/>
  <c r="Y140" i="9"/>
  <c r="L140" i="9"/>
  <c r="X140" i="9"/>
  <c r="K140" i="9"/>
  <c r="AJ140" i="9"/>
  <c r="W140" i="9"/>
  <c r="J140" i="9"/>
  <c r="AE140" i="9"/>
  <c r="M143" i="9"/>
  <c r="AJ143" i="9"/>
  <c r="X148" i="9"/>
  <c r="X150" i="9"/>
  <c r="X152" i="9"/>
  <c r="P156" i="9"/>
  <c r="T159" i="9"/>
  <c r="Y164" i="9"/>
  <c r="X173" i="9"/>
  <c r="Z186" i="9"/>
  <c r="N186" i="9"/>
  <c r="AJ186" i="9"/>
  <c r="W186" i="9"/>
  <c r="J186" i="9"/>
  <c r="X186" i="9"/>
  <c r="I186" i="9"/>
  <c r="AK186" i="9" s="1"/>
  <c r="AD186" i="9"/>
  <c r="P186" i="9"/>
  <c r="AB186" i="9"/>
  <c r="M186" i="9"/>
  <c r="AC186" i="9"/>
  <c r="AJ207" i="9"/>
  <c r="X207" i="9"/>
  <c r="L207" i="9"/>
  <c r="Y207" i="9"/>
  <c r="K207" i="9"/>
  <c r="AC207" i="9"/>
  <c r="O207" i="9"/>
  <c r="AH207" i="9"/>
  <c r="T207" i="9"/>
  <c r="AD207" i="9"/>
  <c r="M207" i="9"/>
  <c r="U207" i="9"/>
  <c r="S207" i="9"/>
  <c r="AI207" i="9"/>
  <c r="R207" i="9"/>
  <c r="AG207" i="9"/>
  <c r="Q207" i="9"/>
  <c r="K186" i="9"/>
  <c r="AE186" i="9"/>
  <c r="I207" i="9"/>
  <c r="AK207" i="9" s="1"/>
  <c r="O210" i="9"/>
  <c r="AI142" i="9"/>
  <c r="W142" i="9"/>
  <c r="K142" i="9"/>
  <c r="U142" i="9"/>
  <c r="AH142" i="9"/>
  <c r="R146" i="9"/>
  <c r="AE146" i="9"/>
  <c r="Z151" i="9"/>
  <c r="N151" i="9"/>
  <c r="U151" i="9"/>
  <c r="AH151" i="9"/>
  <c r="R155" i="9"/>
  <c r="AE155" i="9"/>
  <c r="S157" i="9"/>
  <c r="AH157" i="9"/>
  <c r="O158" i="9"/>
  <c r="AC158" i="9"/>
  <c r="O169" i="9"/>
  <c r="AC169" i="9"/>
  <c r="Z174" i="9"/>
  <c r="N174" i="9"/>
  <c r="AG174" i="9"/>
  <c r="AA174" i="9"/>
  <c r="AB174" i="9" s="1"/>
  <c r="L174" i="9"/>
  <c r="W174" i="9"/>
  <c r="S175" i="9"/>
  <c r="AH175" i="9"/>
  <c r="N183" i="9"/>
  <c r="AI183" i="9"/>
  <c r="AI185" i="9"/>
  <c r="W185" i="9"/>
  <c r="K185" i="9"/>
  <c r="AD185" i="9"/>
  <c r="Q185" i="9"/>
  <c r="AB185" i="9"/>
  <c r="N185" i="9"/>
  <c r="AH185" i="9"/>
  <c r="T185" i="9"/>
  <c r="AF185" i="9"/>
  <c r="R185" i="9"/>
  <c r="Z185" i="9"/>
  <c r="L186" i="9"/>
  <c r="AF186" i="9"/>
  <c r="O190" i="9"/>
  <c r="AI190" i="9"/>
  <c r="AB205" i="9"/>
  <c r="W206" i="9"/>
  <c r="J207" i="9"/>
  <c r="AA209" i="9"/>
  <c r="W210" i="9"/>
  <c r="AC128" i="9"/>
  <c r="Q128" i="9"/>
  <c r="U128" i="9"/>
  <c r="AH128" i="9"/>
  <c r="L131" i="9"/>
  <c r="Y131" i="9"/>
  <c r="M138" i="9"/>
  <c r="Z138" i="9"/>
  <c r="I142" i="9"/>
  <c r="AK142" i="9" s="1"/>
  <c r="V142" i="9"/>
  <c r="AJ142" i="9"/>
  <c r="AC144" i="9"/>
  <c r="Q144" i="9"/>
  <c r="U144" i="9"/>
  <c r="AH144" i="9"/>
  <c r="S146" i="9"/>
  <c r="AF146" i="9"/>
  <c r="L147" i="9"/>
  <c r="Y147" i="9"/>
  <c r="I151" i="9"/>
  <c r="AK151" i="9" s="1"/>
  <c r="V151" i="9"/>
  <c r="AI151" i="9"/>
  <c r="AJ151" i="9" s="1"/>
  <c r="M154" i="9"/>
  <c r="Z154" i="9"/>
  <c r="S155" i="9"/>
  <c r="AF155" i="9"/>
  <c r="T157" i="9"/>
  <c r="AI157" i="9"/>
  <c r="P158" i="9"/>
  <c r="AE158" i="9"/>
  <c r="AG165" i="9"/>
  <c r="U165" i="9"/>
  <c r="I165" i="9"/>
  <c r="AK165" i="9" s="1"/>
  <c r="AF165" i="9"/>
  <c r="S165" i="9"/>
  <c r="T165" i="9" s="1"/>
  <c r="W165" i="9"/>
  <c r="R166" i="9"/>
  <c r="AF166" i="9"/>
  <c r="L167" i="9"/>
  <c r="Z167" i="9"/>
  <c r="P169" i="9"/>
  <c r="AE169" i="9"/>
  <c r="AC171" i="9"/>
  <c r="Q171" i="9"/>
  <c r="AB171" i="9"/>
  <c r="O171" i="9"/>
  <c r="AF171" i="9"/>
  <c r="R171" i="9"/>
  <c r="W171" i="9"/>
  <c r="I174" i="9"/>
  <c r="AK174" i="9" s="1"/>
  <c r="X174" i="9"/>
  <c r="T175" i="9"/>
  <c r="AJ175" i="9"/>
  <c r="AI177" i="9"/>
  <c r="W177" i="9"/>
  <c r="K177" i="9"/>
  <c r="X177" i="9"/>
  <c r="J177" i="9"/>
  <c r="AJ177" i="9"/>
  <c r="U177" i="9"/>
  <c r="Y177" i="9"/>
  <c r="S179" i="9"/>
  <c r="T179" i="9" s="1"/>
  <c r="AH179" i="9"/>
  <c r="P183" i="9"/>
  <c r="AJ183" i="9"/>
  <c r="I185" i="9"/>
  <c r="AK185" i="9" s="1"/>
  <c r="AA185" i="9"/>
  <c r="O186" i="9"/>
  <c r="AG186" i="9"/>
  <c r="P190" i="9"/>
  <c r="AJ190" i="9"/>
  <c r="AJ195" i="9"/>
  <c r="X195" i="9"/>
  <c r="L195" i="9"/>
  <c r="AE195" i="9"/>
  <c r="R195" i="9"/>
  <c r="W195" i="9"/>
  <c r="I195" i="9"/>
  <c r="AK195" i="9" s="1"/>
  <c r="AC195" i="9"/>
  <c r="N195" i="9"/>
  <c r="AI195" i="9"/>
  <c r="T195" i="9"/>
  <c r="AG195" i="9"/>
  <c r="Q195" i="9"/>
  <c r="AB195" i="9"/>
  <c r="AC205" i="9"/>
  <c r="X206" i="9"/>
  <c r="N207" i="9"/>
  <c r="AA208" i="9"/>
  <c r="AB208" i="9" s="1"/>
  <c r="O208" i="9"/>
  <c r="AE208" i="9"/>
  <c r="R208" i="9"/>
  <c r="W208" i="9"/>
  <c r="I208" i="9"/>
  <c r="AK208" i="9" s="1"/>
  <c r="AC208" i="9"/>
  <c r="N208" i="9"/>
  <c r="AD208" i="9"/>
  <c r="L208" i="9"/>
  <c r="U208" i="9"/>
  <c r="AI208" i="9"/>
  <c r="AJ208" i="9" s="1"/>
  <c r="S208" i="9"/>
  <c r="T208" i="9" s="1"/>
  <c r="AH208" i="9"/>
  <c r="Q208" i="9"/>
  <c r="AB209" i="9"/>
  <c r="X210" i="9"/>
  <c r="I128" i="9"/>
  <c r="AK128" i="9" s="1"/>
  <c r="V128" i="9"/>
  <c r="AI128" i="9"/>
  <c r="AJ128" i="9" s="1"/>
  <c r="M131" i="9"/>
  <c r="N138" i="9"/>
  <c r="J142" i="9"/>
  <c r="X142" i="9"/>
  <c r="I144" i="9"/>
  <c r="AK144" i="9" s="1"/>
  <c r="V144" i="9"/>
  <c r="AI144" i="9"/>
  <c r="AJ144" i="9" s="1"/>
  <c r="T146" i="9"/>
  <c r="M147" i="9"/>
  <c r="J151" i="9"/>
  <c r="W151" i="9"/>
  <c r="N154" i="9"/>
  <c r="T155" i="9"/>
  <c r="V157" i="9"/>
  <c r="R158" i="9"/>
  <c r="AF158" i="9"/>
  <c r="AD160" i="9"/>
  <c r="R160" i="9"/>
  <c r="AB160" i="9"/>
  <c r="O160" i="9"/>
  <c r="V160" i="9"/>
  <c r="AJ160" i="9"/>
  <c r="J165" i="9"/>
  <c r="X165" i="9"/>
  <c r="S166" i="9"/>
  <c r="M167" i="9"/>
  <c r="AB167" i="9"/>
  <c r="AD168" i="9"/>
  <c r="R168" i="9"/>
  <c r="X168" i="9"/>
  <c r="K168" i="9"/>
  <c r="V168" i="9"/>
  <c r="AJ168" i="9"/>
  <c r="R169" i="9"/>
  <c r="AF169" i="9"/>
  <c r="I171" i="9"/>
  <c r="AK171" i="9" s="1"/>
  <c r="X171" i="9"/>
  <c r="J174" i="9"/>
  <c r="Y174" i="9"/>
  <c r="I177" i="9"/>
  <c r="AK177" i="9" s="1"/>
  <c r="Z177" i="9"/>
  <c r="Z178" i="9"/>
  <c r="N178" i="9"/>
  <c r="AD178" i="9"/>
  <c r="Q178" i="9"/>
  <c r="AF178" i="9"/>
  <c r="R178" i="9"/>
  <c r="W178" i="9"/>
  <c r="AI181" i="9"/>
  <c r="AJ181" i="9" s="1"/>
  <c r="W181" i="9"/>
  <c r="K181" i="9"/>
  <c r="AG181" i="9"/>
  <c r="T181" i="9"/>
  <c r="AA181" i="9"/>
  <c r="AB181" i="9" s="1"/>
  <c r="M181" i="9"/>
  <c r="X181" i="9"/>
  <c r="T183" i="9"/>
  <c r="J185" i="9"/>
  <c r="AC185" i="9"/>
  <c r="Q186" i="9"/>
  <c r="AH186" i="9"/>
  <c r="R190" i="9"/>
  <c r="J195" i="9"/>
  <c r="AD195" i="9"/>
  <c r="Z206" i="9"/>
  <c r="P207" i="9"/>
  <c r="J208" i="9"/>
  <c r="AE209" i="9"/>
  <c r="Y210" i="9"/>
  <c r="AI146" i="9"/>
  <c r="W146" i="9"/>
  <c r="K146" i="9"/>
  <c r="U146" i="9"/>
  <c r="AH146" i="9"/>
  <c r="Z155" i="9"/>
  <c r="N155" i="9"/>
  <c r="U155" i="9"/>
  <c r="AH155" i="9"/>
  <c r="AG157" i="9"/>
  <c r="U157" i="9"/>
  <c r="I157" i="9"/>
  <c r="AK157" i="9" s="1"/>
  <c r="X157" i="9"/>
  <c r="K157" i="9"/>
  <c r="W157" i="9"/>
  <c r="S158" i="9"/>
  <c r="AG158" i="9"/>
  <c r="S169" i="9"/>
  <c r="AH169" i="9"/>
  <c r="AC175" i="9"/>
  <c r="Q175" i="9"/>
  <c r="Y175" i="9"/>
  <c r="L175" i="9"/>
  <c r="AI175" i="9"/>
  <c r="U175" i="9"/>
  <c r="W175" i="9"/>
  <c r="U183" i="9"/>
  <c r="L185" i="9"/>
  <c r="AE185" i="9"/>
  <c r="R186" i="9"/>
  <c r="AI186" i="9"/>
  <c r="U190" i="9"/>
  <c r="AD205" i="9"/>
  <c r="R205" i="9"/>
  <c r="Y205" i="9"/>
  <c r="L205" i="9"/>
  <c r="X205" i="9"/>
  <c r="J205" i="9"/>
  <c r="AE205" i="9"/>
  <c r="P205" i="9"/>
  <c r="AF205" i="9"/>
  <c r="N205" i="9"/>
  <c r="V205" i="9"/>
  <c r="U205" i="9"/>
  <c r="AJ205" i="9"/>
  <c r="T205" i="9"/>
  <c r="AI205" i="9"/>
  <c r="S205" i="9"/>
  <c r="AH205" i="9"/>
  <c r="AA206" i="9"/>
  <c r="V207" i="9"/>
  <c r="Z210" i="9"/>
  <c r="S186" i="9"/>
  <c r="V190" i="9"/>
  <c r="AB206" i="9"/>
  <c r="W207" i="9"/>
  <c r="AD209" i="9"/>
  <c r="R209" i="9"/>
  <c r="AJ209" i="9"/>
  <c r="W209" i="9"/>
  <c r="J209" i="9"/>
  <c r="AF209" i="9"/>
  <c r="Q209" i="9"/>
  <c r="X209" i="9"/>
  <c r="I209" i="9"/>
  <c r="AK209" i="9" s="1"/>
  <c r="AC209" i="9"/>
  <c r="M209" i="9"/>
  <c r="U209" i="9"/>
  <c r="T209" i="9"/>
  <c r="AI209" i="9"/>
  <c r="S209" i="9"/>
  <c r="AH209" i="9"/>
  <c r="P209" i="9"/>
  <c r="AB210" i="9"/>
  <c r="N142" i="9"/>
  <c r="AA142" i="9"/>
  <c r="J146" i="9"/>
  <c r="X146" i="9"/>
  <c r="M151" i="9"/>
  <c r="AA151" i="9"/>
  <c r="AB151" i="9" s="1"/>
  <c r="J155" i="9"/>
  <c r="W155" i="9"/>
  <c r="AJ155" i="9"/>
  <c r="L157" i="9"/>
  <c r="Z157" i="9"/>
  <c r="U158" i="9"/>
  <c r="AJ166" i="9"/>
  <c r="X166" i="9"/>
  <c r="L166" i="9"/>
  <c r="Z166" i="9"/>
  <c r="M166" i="9"/>
  <c r="V166" i="9"/>
  <c r="V169" i="9"/>
  <c r="O174" i="9"/>
  <c r="AD174" i="9"/>
  <c r="J175" i="9"/>
  <c r="Z175" i="9"/>
  <c r="AC179" i="9"/>
  <c r="Q179" i="9"/>
  <c r="AI179" i="9"/>
  <c r="AJ179" i="9" s="1"/>
  <c r="V179" i="9"/>
  <c r="I179" i="9"/>
  <c r="AK179" i="9" s="1"/>
  <c r="Z179" i="9"/>
  <c r="L179" i="9"/>
  <c r="X179" i="9"/>
  <c r="W183" i="9"/>
  <c r="O185" i="9"/>
  <c r="AJ185" i="9"/>
  <c r="T186" i="9"/>
  <c r="W190" i="9"/>
  <c r="K205" i="9"/>
  <c r="AD206" i="9"/>
  <c r="Z207" i="9"/>
  <c r="P208" i="9"/>
  <c r="K209" i="9"/>
  <c r="AE210" i="9"/>
  <c r="AJ158" i="9"/>
  <c r="X158" i="9"/>
  <c r="L158" i="9"/>
  <c r="AD158" i="9"/>
  <c r="Q158" i="9"/>
  <c r="V158" i="9"/>
  <c r="AG169" i="9"/>
  <c r="U169" i="9"/>
  <c r="I169" i="9"/>
  <c r="AK169" i="9" s="1"/>
  <c r="AD169" i="9"/>
  <c r="Q169" i="9"/>
  <c r="W169" i="9"/>
  <c r="U186" i="9"/>
  <c r="M205" i="9"/>
  <c r="AA207" i="9"/>
  <c r="L209" i="9"/>
  <c r="AC183" i="9"/>
  <c r="Q183" i="9"/>
  <c r="AF183" i="9"/>
  <c r="S183" i="9"/>
  <c r="Z183" i="9"/>
  <c r="L183" i="9"/>
  <c r="AG183" i="9"/>
  <c r="R183" i="9"/>
  <c r="AD183" i="9"/>
  <c r="O183" i="9"/>
  <c r="Y183" i="9"/>
  <c r="V186" i="9"/>
  <c r="Z190" i="9"/>
  <c r="N190" i="9"/>
  <c r="AG190" i="9"/>
  <c r="T190" i="9"/>
  <c r="AB190" i="9"/>
  <c r="M190" i="9"/>
  <c r="AH190" i="9"/>
  <c r="S190" i="9"/>
  <c r="AE190" i="9"/>
  <c r="Q190" i="9"/>
  <c r="Y190" i="9"/>
  <c r="AG206" i="9"/>
  <c r="U206" i="9"/>
  <c r="I206" i="9"/>
  <c r="AK206" i="9" s="1"/>
  <c r="AE206" i="9"/>
  <c r="R206" i="9"/>
  <c r="AH206" i="9"/>
  <c r="S206" i="9"/>
  <c r="Y206" i="9"/>
  <c r="K206" i="9"/>
  <c r="AC206" i="9"/>
  <c r="M206" i="9"/>
  <c r="V206" i="9"/>
  <c r="T206" i="9"/>
  <c r="AJ206" i="9"/>
  <c r="Q206" i="9"/>
  <c r="AI206" i="9"/>
  <c r="P206" i="9"/>
  <c r="AB207" i="9"/>
  <c r="AG210" i="9"/>
  <c r="U210" i="9"/>
  <c r="I210" i="9"/>
  <c r="AK210" i="9" s="1"/>
  <c r="AC210" i="9"/>
  <c r="P210" i="9"/>
  <c r="AA210" i="9"/>
  <c r="M210" i="9"/>
  <c r="AH210" i="9"/>
  <c r="S210" i="9"/>
  <c r="AD210" i="9"/>
  <c r="L210" i="9"/>
  <c r="V210" i="9"/>
  <c r="T210" i="9"/>
  <c r="AJ210" i="9"/>
  <c r="R210" i="9"/>
  <c r="AI210" i="9"/>
  <c r="Q210" i="9"/>
  <c r="Y186" i="9"/>
  <c r="AE207" i="9"/>
  <c r="Z131" i="9"/>
  <c r="N131" i="9"/>
  <c r="U131" i="9"/>
  <c r="AH131" i="9"/>
  <c r="AI138" i="9"/>
  <c r="W138" i="9"/>
  <c r="K138" i="9"/>
  <c r="U138" i="9"/>
  <c r="AH138" i="9"/>
  <c r="R142" i="9"/>
  <c r="AE142" i="9"/>
  <c r="O146" i="9"/>
  <c r="AB146" i="9"/>
  <c r="Z147" i="9"/>
  <c r="N147" i="9"/>
  <c r="U147" i="9"/>
  <c r="AH147" i="9"/>
  <c r="R151" i="9"/>
  <c r="AE151" i="9"/>
  <c r="AI154" i="9"/>
  <c r="AJ154" i="9" s="1"/>
  <c r="W154" i="9"/>
  <c r="K154" i="9"/>
  <c r="U154" i="9"/>
  <c r="AH154" i="9"/>
  <c r="O155" i="9"/>
  <c r="AB155" i="9"/>
  <c r="P157" i="9"/>
  <c r="AD157" i="9"/>
  <c r="K158" i="9"/>
  <c r="Z158" i="9"/>
  <c r="N166" i="9"/>
  <c r="AB166" i="9"/>
  <c r="AA167" i="9"/>
  <c r="O167" i="9"/>
  <c r="AF167" i="9"/>
  <c r="S167" i="9"/>
  <c r="V167" i="9"/>
  <c r="AJ167" i="9"/>
  <c r="L169" i="9"/>
  <c r="Z169" i="9"/>
  <c r="S174" i="9"/>
  <c r="T174" i="9" s="1"/>
  <c r="AI174" i="9"/>
  <c r="AJ174" i="9" s="1"/>
  <c r="O175" i="9"/>
  <c r="AE175" i="9"/>
  <c r="N179" i="9"/>
  <c r="AD179" i="9"/>
  <c r="J183" i="9"/>
  <c r="AB183" i="9"/>
  <c r="V185" i="9"/>
  <c r="AA186" i="9"/>
  <c r="J190" i="9"/>
  <c r="AC190" i="9"/>
  <c r="V195" i="9"/>
  <c r="AA196" i="9"/>
  <c r="AB196" i="9" s="1"/>
  <c r="O196" i="9"/>
  <c r="X196" i="9"/>
  <c r="K196" i="9"/>
  <c r="AG196" i="9"/>
  <c r="S196" i="9"/>
  <c r="T196" i="9" s="1"/>
  <c r="Z196" i="9"/>
  <c r="J196" i="9"/>
  <c r="AF196" i="9"/>
  <c r="Q196" i="9"/>
  <c r="AD196" i="9"/>
  <c r="N196" i="9"/>
  <c r="AC196" i="9"/>
  <c r="W205" i="9"/>
  <c r="L206" i="9"/>
  <c r="AF207" i="9"/>
  <c r="Z208" i="9"/>
  <c r="V209" i="9"/>
  <c r="K210" i="9"/>
  <c r="AA212" i="9"/>
  <c r="AB212" i="9" s="1"/>
  <c r="O212" i="9"/>
  <c r="AC212" i="9"/>
  <c r="P212" i="9"/>
  <c r="AG212" i="9"/>
  <c r="S212" i="9"/>
  <c r="T212" i="9" s="1"/>
  <c r="X212" i="9"/>
  <c r="J212" i="9"/>
  <c r="AD212" i="9"/>
  <c r="L212" i="9"/>
  <c r="U212" i="9"/>
  <c r="AI212" i="9"/>
  <c r="AJ212" i="9" s="1"/>
  <c r="R212" i="9"/>
  <c r="AH212" i="9"/>
  <c r="Q212" i="9"/>
  <c r="AF212" i="9"/>
  <c r="N212" i="9"/>
  <c r="U235" i="9"/>
  <c r="P238" i="9"/>
  <c r="R241" i="9"/>
  <c r="R218" i="9"/>
  <c r="AJ218" i="9"/>
  <c r="S219" i="9"/>
  <c r="AI219" i="9"/>
  <c r="AJ219" i="9" s="1"/>
  <c r="R220" i="9"/>
  <c r="AI220" i="9"/>
  <c r="Q221" i="9"/>
  <c r="AI221" i="9"/>
  <c r="AJ231" i="9"/>
  <c r="X231" i="9"/>
  <c r="L231" i="9"/>
  <c r="Y231" i="9"/>
  <c r="K231" i="9"/>
  <c r="AH231" i="9"/>
  <c r="T231" i="9"/>
  <c r="AF231" i="9"/>
  <c r="R231" i="9"/>
  <c r="AA231" i="9"/>
  <c r="M231" i="9"/>
  <c r="Z231" i="9"/>
  <c r="J231" i="9"/>
  <c r="W231" i="9"/>
  <c r="I231" i="9"/>
  <c r="AK231" i="9" s="1"/>
  <c r="AG231" i="9"/>
  <c r="W235" i="9"/>
  <c r="T238" i="9"/>
  <c r="S241" i="9"/>
  <c r="T61" i="9"/>
  <c r="T65" i="9"/>
  <c r="T69" i="9"/>
  <c r="T73" i="9"/>
  <c r="T77" i="9"/>
  <c r="T81" i="9"/>
  <c r="T85" i="9"/>
  <c r="T89" i="9"/>
  <c r="T93" i="9"/>
  <c r="T97" i="9"/>
  <c r="T101" i="9"/>
  <c r="T105" i="9"/>
  <c r="T109" i="9"/>
  <c r="T113" i="9"/>
  <c r="T117" i="9"/>
  <c r="T121" i="9"/>
  <c r="T125" i="9"/>
  <c r="T129" i="9"/>
  <c r="T133" i="9"/>
  <c r="T137" i="9"/>
  <c r="T141" i="9"/>
  <c r="T145" i="9"/>
  <c r="T149" i="9"/>
  <c r="T153" i="9"/>
  <c r="AG161" i="9"/>
  <c r="U161" i="9"/>
  <c r="I161" i="9"/>
  <c r="AK161" i="9" s="1"/>
  <c r="V161" i="9"/>
  <c r="AI161" i="9"/>
  <c r="AJ161" i="9" s="1"/>
  <c r="AA163" i="9"/>
  <c r="O163" i="9"/>
  <c r="U163" i="9"/>
  <c r="AH163" i="9"/>
  <c r="Z182" i="9"/>
  <c r="N182" i="9"/>
  <c r="AA182" i="9"/>
  <c r="AB182" i="9" s="1"/>
  <c r="M182" i="9"/>
  <c r="V182" i="9"/>
  <c r="AJ182" i="9"/>
  <c r="AC187" i="9"/>
  <c r="Q187" i="9"/>
  <c r="AB187" i="9"/>
  <c r="O187" i="9"/>
  <c r="V187" i="9"/>
  <c r="AJ187" i="9"/>
  <c r="AI189" i="9"/>
  <c r="W189" i="9"/>
  <c r="K189" i="9"/>
  <c r="AA189" i="9"/>
  <c r="N189" i="9"/>
  <c r="V189" i="9"/>
  <c r="K191" i="9"/>
  <c r="Z191" i="9"/>
  <c r="M193" i="9"/>
  <c r="AA193" i="9"/>
  <c r="Z194" i="9"/>
  <c r="N194" i="9"/>
  <c r="AD194" i="9"/>
  <c r="Q194" i="9"/>
  <c r="V194" i="9"/>
  <c r="AJ194" i="9"/>
  <c r="K197" i="9"/>
  <c r="Z197" i="9"/>
  <c r="AG214" i="9"/>
  <c r="U214" i="9"/>
  <c r="I214" i="9"/>
  <c r="AK214" i="9" s="1"/>
  <c r="AA214" i="9"/>
  <c r="N214" i="9"/>
  <c r="AJ214" i="9"/>
  <c r="V214" i="9"/>
  <c r="AB214" i="9"/>
  <c r="M214" i="9"/>
  <c r="Y214" i="9"/>
  <c r="U217" i="9"/>
  <c r="S218" i="9"/>
  <c r="T219" i="9"/>
  <c r="T220" i="9"/>
  <c r="AJ220" i="9"/>
  <c r="S221" i="9"/>
  <c r="AJ221" i="9"/>
  <c r="Y224" i="9"/>
  <c r="N231" i="9"/>
  <c r="AI231" i="9"/>
  <c r="V232" i="9"/>
  <c r="AD233" i="9"/>
  <c r="R233" i="9"/>
  <c r="W233" i="9"/>
  <c r="J233" i="9"/>
  <c r="X233" i="9"/>
  <c r="I233" i="9"/>
  <c r="AK233" i="9" s="1"/>
  <c r="AI233" i="9"/>
  <c r="AJ233" i="9" s="1"/>
  <c r="U233" i="9"/>
  <c r="AC233" i="9"/>
  <c r="O233" i="9"/>
  <c r="N233" i="9"/>
  <c r="AA233" i="9"/>
  <c r="AB233" i="9" s="1"/>
  <c r="M233" i="9"/>
  <c r="AG233" i="9"/>
  <c r="Y235" i="9"/>
  <c r="V238" i="9"/>
  <c r="Y241" i="9"/>
  <c r="V218" i="9"/>
  <c r="U219" i="9"/>
  <c r="U220" i="9"/>
  <c r="U221" i="9"/>
  <c r="O231" i="9"/>
  <c r="Z235" i="9"/>
  <c r="W238" i="9"/>
  <c r="Z241" i="9"/>
  <c r="N191" i="9"/>
  <c r="O193" i="9"/>
  <c r="N197" i="9"/>
  <c r="X199" i="9"/>
  <c r="L199" i="9"/>
  <c r="AC199" i="9"/>
  <c r="P199" i="9"/>
  <c r="AA199" i="9"/>
  <c r="AB199" i="9" s="1"/>
  <c r="M199" i="9"/>
  <c r="AG199" i="9"/>
  <c r="S199" i="9"/>
  <c r="T199" i="9" s="1"/>
  <c r="Y199" i="9"/>
  <c r="AD201" i="9"/>
  <c r="R201" i="9"/>
  <c r="AA201" i="9"/>
  <c r="N201" i="9"/>
  <c r="AF201" i="9"/>
  <c r="Q201" i="9"/>
  <c r="W201" i="9"/>
  <c r="I201" i="9"/>
  <c r="AK201" i="9" s="1"/>
  <c r="Y201" i="9"/>
  <c r="AG202" i="9"/>
  <c r="U202" i="9"/>
  <c r="I202" i="9"/>
  <c r="AK202" i="9" s="1"/>
  <c r="AH202" i="9"/>
  <c r="T202" i="9"/>
  <c r="Z202" i="9"/>
  <c r="L202" i="9"/>
  <c r="AE202" i="9"/>
  <c r="Q202" i="9"/>
  <c r="Y202" i="9"/>
  <c r="AJ203" i="9"/>
  <c r="X203" i="9"/>
  <c r="L203" i="9"/>
  <c r="AA203" i="9"/>
  <c r="N203" i="9"/>
  <c r="AI203" i="9"/>
  <c r="U203" i="9"/>
  <c r="AB203" i="9"/>
  <c r="M203" i="9"/>
  <c r="Y203" i="9"/>
  <c r="AA216" i="9"/>
  <c r="AB216" i="9" s="1"/>
  <c r="O216" i="9"/>
  <c r="Z216" i="9"/>
  <c r="M216" i="9"/>
  <c r="Y216" i="9"/>
  <c r="K216" i="9"/>
  <c r="AF216" i="9"/>
  <c r="R216" i="9"/>
  <c r="X216" i="9"/>
  <c r="W218" i="9"/>
  <c r="V219" i="9"/>
  <c r="V220" i="9"/>
  <c r="V221" i="9"/>
  <c r="P231" i="9"/>
  <c r="X232" i="9"/>
  <c r="AB235" i="9"/>
  <c r="X238" i="9"/>
  <c r="AA241" i="9"/>
  <c r="AD217" i="9"/>
  <c r="R217" i="9"/>
  <c r="AF217" i="9"/>
  <c r="S217" i="9"/>
  <c r="AH217" i="9"/>
  <c r="T217" i="9"/>
  <c r="Y217" i="9"/>
  <c r="K217" i="9"/>
  <c r="X217" i="9"/>
  <c r="AA224" i="9"/>
  <c r="O224" i="9"/>
  <c r="AI224" i="9"/>
  <c r="V224" i="9"/>
  <c r="I224" i="9"/>
  <c r="AK224" i="9" s="1"/>
  <c r="AC224" i="9"/>
  <c r="N224" i="9"/>
  <c r="Z224" i="9"/>
  <c r="L224" i="9"/>
  <c r="AH224" i="9"/>
  <c r="T224" i="9"/>
  <c r="AG224" i="9"/>
  <c r="S224" i="9"/>
  <c r="AF224" i="9"/>
  <c r="R224" i="9"/>
  <c r="AE224" i="9"/>
  <c r="Q231" i="9"/>
  <c r="AC238" i="9"/>
  <c r="AG241" i="9"/>
  <c r="AG218" i="9"/>
  <c r="U218" i="9"/>
  <c r="I218" i="9"/>
  <c r="AK218" i="9" s="1"/>
  <c r="Y218" i="9"/>
  <c r="L218" i="9"/>
  <c r="AC218" i="9"/>
  <c r="O218" i="9"/>
  <c r="AI218" i="9"/>
  <c r="T218" i="9"/>
  <c r="Z218" i="9"/>
  <c r="X219" i="9"/>
  <c r="L219" i="9"/>
  <c r="AE219" i="9"/>
  <c r="R219" i="9"/>
  <c r="W219" i="9"/>
  <c r="I219" i="9"/>
  <c r="AK219" i="9" s="1"/>
  <c r="AC219" i="9"/>
  <c r="O219" i="9"/>
  <c r="Z219" i="9"/>
  <c r="AA220" i="9"/>
  <c r="O220" i="9"/>
  <c r="X220" i="9"/>
  <c r="K220" i="9"/>
  <c r="AG220" i="9"/>
  <c r="S220" i="9"/>
  <c r="Y220" i="9"/>
  <c r="J220" i="9"/>
  <c r="Z220" i="9"/>
  <c r="AD221" i="9"/>
  <c r="R221" i="9"/>
  <c r="AC221" i="9"/>
  <c r="P221" i="9"/>
  <c r="AA221" i="9"/>
  <c r="M221" i="9"/>
  <c r="AH221" i="9"/>
  <c r="T221" i="9"/>
  <c r="X221" i="9"/>
  <c r="S231" i="9"/>
  <c r="AJ235" i="9"/>
  <c r="X235" i="9"/>
  <c r="L235" i="9"/>
  <c r="AI235" i="9"/>
  <c r="V235" i="9"/>
  <c r="I235" i="9"/>
  <c r="AK235" i="9" s="1"/>
  <c r="AC235" i="9"/>
  <c r="O235" i="9"/>
  <c r="AA235" i="9"/>
  <c r="M235" i="9"/>
  <c r="AH235" i="9"/>
  <c r="T235" i="9"/>
  <c r="AG235" i="9"/>
  <c r="S235" i="9"/>
  <c r="AF235" i="9"/>
  <c r="R235" i="9"/>
  <c r="AE235" i="9"/>
  <c r="AC245" i="9"/>
  <c r="Q245" i="9"/>
  <c r="AI245" i="9"/>
  <c r="V245" i="9"/>
  <c r="I245" i="9"/>
  <c r="AK245" i="9" s="1"/>
  <c r="AG245" i="9"/>
  <c r="T245" i="9"/>
  <c r="AJ245" i="9"/>
  <c r="S245" i="9"/>
  <c r="AF245" i="9"/>
  <c r="P245" i="9"/>
  <c r="AH245" i="9"/>
  <c r="N245" i="9"/>
  <c r="AE245" i="9"/>
  <c r="M245" i="9"/>
  <c r="AD245" i="9"/>
  <c r="L245" i="9"/>
  <c r="AB245" i="9"/>
  <c r="K245" i="9"/>
  <c r="Y245" i="9"/>
  <c r="X245" i="9"/>
  <c r="W245" i="9"/>
  <c r="U245" i="9"/>
  <c r="R245" i="9"/>
  <c r="O245" i="9"/>
  <c r="U231" i="9"/>
  <c r="AA232" i="9"/>
  <c r="AB232" i="9" s="1"/>
  <c r="O232" i="9"/>
  <c r="AE232" i="9"/>
  <c r="R232" i="9"/>
  <c r="AC232" i="9"/>
  <c r="N232" i="9"/>
  <c r="Z232" i="9"/>
  <c r="L232" i="9"/>
  <c r="AI232" i="9"/>
  <c r="AJ232" i="9" s="1"/>
  <c r="U232" i="9"/>
  <c r="AH232" i="9"/>
  <c r="AG232" i="9"/>
  <c r="S232" i="9"/>
  <c r="T232" i="9" s="1"/>
  <c r="AD232" i="9"/>
  <c r="J235" i="9"/>
  <c r="AI238" i="9"/>
  <c r="J245" i="9"/>
  <c r="V231" i="9"/>
  <c r="K235" i="9"/>
  <c r="Z245" i="9"/>
  <c r="M218" i="9"/>
  <c r="AD218" i="9"/>
  <c r="M219" i="9"/>
  <c r="AD219" i="9"/>
  <c r="M220" i="9"/>
  <c r="AD220" i="9"/>
  <c r="K221" i="9"/>
  <c r="AB221" i="9"/>
  <c r="AB231" i="9"/>
  <c r="N235" i="9"/>
  <c r="AG238" i="9"/>
  <c r="U238" i="9"/>
  <c r="I238" i="9"/>
  <c r="AK238" i="9" s="1"/>
  <c r="AA238" i="9"/>
  <c r="N238" i="9"/>
  <c r="AB238" i="9"/>
  <c r="M238" i="9"/>
  <c r="Z238" i="9"/>
  <c r="L238" i="9"/>
  <c r="Y238" i="9"/>
  <c r="K238" i="9"/>
  <c r="AH238" i="9"/>
  <c r="S238" i="9"/>
  <c r="AF238" i="9"/>
  <c r="R238" i="9"/>
  <c r="AE238" i="9"/>
  <c r="Q238" i="9"/>
  <c r="AC241" i="9"/>
  <c r="Q241" i="9"/>
  <c r="AJ241" i="9"/>
  <c r="W241" i="9"/>
  <c r="J241" i="9"/>
  <c r="X241" i="9"/>
  <c r="I241" i="9"/>
  <c r="AK241" i="9" s="1"/>
  <c r="AF241" i="9"/>
  <c r="P241" i="9"/>
  <c r="AE241" i="9"/>
  <c r="O241" i="9"/>
  <c r="AD241" i="9"/>
  <c r="N241" i="9"/>
  <c r="AB241" i="9"/>
  <c r="M241" i="9"/>
  <c r="V241" i="9"/>
  <c r="U241" i="9"/>
  <c r="AI241" i="9"/>
  <c r="T241" i="9"/>
  <c r="AA245" i="9"/>
  <c r="AC191" i="9"/>
  <c r="Q191" i="9"/>
  <c r="Y191" i="9"/>
  <c r="L191" i="9"/>
  <c r="V191" i="9"/>
  <c r="AJ191" i="9"/>
  <c r="AI193" i="9"/>
  <c r="W193" i="9"/>
  <c r="K193" i="9"/>
  <c r="X193" i="9"/>
  <c r="J193" i="9"/>
  <c r="V193" i="9"/>
  <c r="AD197" i="9"/>
  <c r="R197" i="9"/>
  <c r="AC197" i="9"/>
  <c r="P197" i="9"/>
  <c r="AA197" i="9"/>
  <c r="M197" i="9"/>
  <c r="W197" i="9"/>
  <c r="R199" i="9"/>
  <c r="AI199" i="9"/>
  <c r="AJ199" i="9" s="1"/>
  <c r="S201" i="9"/>
  <c r="AI201" i="9"/>
  <c r="R202" i="9"/>
  <c r="AJ202" i="9"/>
  <c r="R203" i="9"/>
  <c r="AH203" i="9"/>
  <c r="S216" i="9"/>
  <c r="T216" i="9" s="1"/>
  <c r="AI216" i="9"/>
  <c r="AJ216" i="9" s="1"/>
  <c r="O217" i="9"/>
  <c r="AG217" i="9"/>
  <c r="P218" i="9"/>
  <c r="AF218" i="9"/>
  <c r="P219" i="9"/>
  <c r="AG219" i="9"/>
  <c r="P220" i="9"/>
  <c r="AF220" i="9"/>
  <c r="N221" i="9"/>
  <c r="AF221" i="9"/>
  <c r="U224" i="9"/>
  <c r="AD225" i="9"/>
  <c r="R225" i="9"/>
  <c r="AA225" i="9"/>
  <c r="AB225" i="9" s="1"/>
  <c r="N225" i="9"/>
  <c r="W225" i="9"/>
  <c r="I225" i="9"/>
  <c r="AK225" i="9" s="1"/>
  <c r="AI225" i="9"/>
  <c r="AJ225" i="9" s="1"/>
  <c r="U225" i="9"/>
  <c r="AC225" i="9"/>
  <c r="O225" i="9"/>
  <c r="M225" i="9"/>
  <c r="Z225" i="9"/>
  <c r="L225" i="9"/>
  <c r="AG225" i="9"/>
  <c r="AJ227" i="9"/>
  <c r="X227" i="9"/>
  <c r="L227" i="9"/>
  <c r="AA227" i="9"/>
  <c r="N227" i="9"/>
  <c r="AB227" i="9"/>
  <c r="M227" i="9"/>
  <c r="Y227" i="9"/>
  <c r="J227" i="9"/>
  <c r="AG227" i="9"/>
  <c r="S227" i="9"/>
  <c r="AF227" i="9"/>
  <c r="R227" i="9"/>
  <c r="AE227" i="9"/>
  <c r="Q227" i="9"/>
  <c r="AH227" i="9"/>
  <c r="AD231" i="9"/>
  <c r="M232" i="9"/>
  <c r="Q235" i="9"/>
  <c r="O238" i="9"/>
  <c r="L241" i="9"/>
  <c r="AJ223" i="9"/>
  <c r="X223" i="9"/>
  <c r="L223" i="9"/>
  <c r="AC223" i="9"/>
  <c r="P223" i="9"/>
  <c r="V223" i="9"/>
  <c r="V226" i="9"/>
  <c r="N230" i="9"/>
  <c r="AB230" i="9"/>
  <c r="AG234" i="9"/>
  <c r="U234" i="9"/>
  <c r="I234" i="9"/>
  <c r="AK234" i="9" s="1"/>
  <c r="AC234" i="9"/>
  <c r="P234" i="9"/>
  <c r="W234" i="9"/>
  <c r="M236" i="9"/>
  <c r="Z240" i="9"/>
  <c r="N240" i="9"/>
  <c r="AE240" i="9"/>
  <c r="R240" i="9"/>
  <c r="AC240" i="9"/>
  <c r="O240" i="9"/>
  <c r="W240" i="9"/>
  <c r="AG226" i="9"/>
  <c r="U226" i="9"/>
  <c r="I226" i="9"/>
  <c r="AK226" i="9" s="1"/>
  <c r="AH226" i="9"/>
  <c r="T226" i="9"/>
  <c r="W226" i="9"/>
  <c r="O230" i="9"/>
  <c r="AC230" i="9"/>
  <c r="N236" i="9"/>
  <c r="AD236" i="9"/>
  <c r="AG198" i="9"/>
  <c r="U198" i="9"/>
  <c r="I198" i="9"/>
  <c r="AK198" i="9" s="1"/>
  <c r="AJ198" i="9"/>
  <c r="W198" i="9"/>
  <c r="J198" i="9"/>
  <c r="X198" i="9"/>
  <c r="N200" i="9"/>
  <c r="AA204" i="9"/>
  <c r="O204" i="9"/>
  <c r="AG204" i="9"/>
  <c r="T204" i="9"/>
  <c r="V204" i="9"/>
  <c r="AJ204" i="9"/>
  <c r="O211" i="9"/>
  <c r="AJ215" i="9"/>
  <c r="X215" i="9"/>
  <c r="L215" i="9"/>
  <c r="AG215" i="9"/>
  <c r="T215" i="9"/>
  <c r="V215" i="9"/>
  <c r="O222" i="9"/>
  <c r="J223" i="9"/>
  <c r="Y223" i="9"/>
  <c r="J226" i="9"/>
  <c r="X226" i="9"/>
  <c r="M228" i="9"/>
  <c r="AD229" i="9"/>
  <c r="R229" i="9"/>
  <c r="Y229" i="9"/>
  <c r="L229" i="9"/>
  <c r="V229" i="9"/>
  <c r="AJ229" i="9"/>
  <c r="P230" i="9"/>
  <c r="K234" i="9"/>
  <c r="Y234" i="9"/>
  <c r="Q236" i="9"/>
  <c r="N239" i="9"/>
  <c r="J240" i="9"/>
  <c r="Y240" i="9"/>
  <c r="AI251" i="9"/>
  <c r="W251" i="9"/>
  <c r="K251" i="9"/>
  <c r="Y251" i="9"/>
  <c r="L251" i="9"/>
  <c r="AD251" i="9"/>
  <c r="Q251" i="9"/>
  <c r="AC251" i="9"/>
  <c r="P251" i="9"/>
  <c r="AB251" i="9"/>
  <c r="O251" i="9"/>
  <c r="Z251" i="9"/>
  <c r="M251" i="9"/>
  <c r="X251" i="9"/>
  <c r="U251" i="9"/>
  <c r="T251" i="9"/>
  <c r="S251" i="9"/>
  <c r="AJ251" i="9"/>
  <c r="N251" i="9"/>
  <c r="AH251" i="9"/>
  <c r="J251" i="9"/>
  <c r="AG251" i="9"/>
  <c r="I251" i="9"/>
  <c r="AK251" i="9" s="1"/>
  <c r="AC256" i="9"/>
  <c r="Q256" i="9"/>
  <c r="X256" i="9"/>
  <c r="K256" i="9"/>
  <c r="W256" i="9"/>
  <c r="J256" i="9"/>
  <c r="Z256" i="9"/>
  <c r="I256" i="9"/>
  <c r="AK256" i="9" s="1"/>
  <c r="AF256" i="9"/>
  <c r="P256" i="9"/>
  <c r="AE256" i="9"/>
  <c r="O256" i="9"/>
  <c r="AD256" i="9"/>
  <c r="N256" i="9"/>
  <c r="AB256" i="9"/>
  <c r="M256" i="9"/>
  <c r="AA256" i="9"/>
  <c r="L256" i="9"/>
  <c r="V256" i="9"/>
  <c r="U256" i="9"/>
  <c r="T256" i="9"/>
  <c r="S256" i="9"/>
  <c r="R256" i="9"/>
  <c r="AI256" i="9"/>
  <c r="AJ256" i="9" s="1"/>
  <c r="AH256" i="9"/>
  <c r="Y256" i="9"/>
  <c r="V251" i="9"/>
  <c r="AG256" i="9"/>
  <c r="O226" i="9"/>
  <c r="AC226" i="9"/>
  <c r="AG230" i="9"/>
  <c r="U230" i="9"/>
  <c r="I230" i="9"/>
  <c r="AK230" i="9" s="1"/>
  <c r="AE230" i="9"/>
  <c r="R230" i="9"/>
  <c r="W230" i="9"/>
  <c r="AA236" i="9"/>
  <c r="AB236" i="9" s="1"/>
  <c r="O236" i="9"/>
  <c r="AC236" i="9"/>
  <c r="P236" i="9"/>
  <c r="V236" i="9"/>
  <c r="AJ236" i="9"/>
  <c r="AA251" i="9"/>
  <c r="AE251" i="9"/>
  <c r="AJ259" i="9"/>
  <c r="AA200" i="9"/>
  <c r="O200" i="9"/>
  <c r="AI200" i="9"/>
  <c r="V200" i="9"/>
  <c r="I200" i="9"/>
  <c r="AK200" i="9" s="1"/>
  <c r="W200" i="9"/>
  <c r="AJ211" i="9"/>
  <c r="X211" i="9"/>
  <c r="L211" i="9"/>
  <c r="AI211" i="9"/>
  <c r="V211" i="9"/>
  <c r="I211" i="9"/>
  <c r="AK211" i="9" s="1"/>
  <c r="W211" i="9"/>
  <c r="AG222" i="9"/>
  <c r="U222" i="9"/>
  <c r="I222" i="9"/>
  <c r="AK222" i="9" s="1"/>
  <c r="AJ222" i="9"/>
  <c r="W222" i="9"/>
  <c r="J222" i="9"/>
  <c r="X222" i="9"/>
  <c r="S223" i="9"/>
  <c r="AG223" i="9"/>
  <c r="Q226" i="9"/>
  <c r="AE226" i="9"/>
  <c r="AA228" i="9"/>
  <c r="O228" i="9"/>
  <c r="AG228" i="9"/>
  <c r="T228" i="9"/>
  <c r="V228" i="9"/>
  <c r="AJ228" i="9"/>
  <c r="K230" i="9"/>
  <c r="Y230" i="9"/>
  <c r="S234" i="9"/>
  <c r="AH234" i="9"/>
  <c r="J236" i="9"/>
  <c r="X236" i="9"/>
  <c r="AI239" i="9"/>
  <c r="AJ239" i="9" s="1"/>
  <c r="W239" i="9"/>
  <c r="Y239" i="9"/>
  <c r="L239" i="9"/>
  <c r="AH239" i="9"/>
  <c r="T239" i="9"/>
  <c r="V239" i="9"/>
  <c r="T240" i="9"/>
  <c r="AI240" i="9"/>
  <c r="AF251" i="9"/>
  <c r="AI259" i="9"/>
  <c r="Z255" i="9"/>
  <c r="N255" i="9"/>
  <c r="AF255" i="9"/>
  <c r="S255" i="9"/>
  <c r="AE255" i="9"/>
  <c r="R255" i="9"/>
  <c r="AB255" i="9"/>
  <c r="L255" i="9"/>
  <c r="AI255" i="9"/>
  <c r="T255" i="9"/>
  <c r="AH255" i="9"/>
  <c r="Q255" i="9"/>
  <c r="AG255" i="9"/>
  <c r="P255" i="9"/>
  <c r="AD255" i="9"/>
  <c r="O255" i="9"/>
  <c r="AC255" i="9"/>
  <c r="M255" i="9"/>
  <c r="I255" i="9"/>
  <c r="AK255" i="9" s="1"/>
  <c r="Z259" i="9"/>
  <c r="N259" i="9"/>
  <c r="AC259" i="9"/>
  <c r="P259" i="9"/>
  <c r="O259" i="9"/>
  <c r="X259" i="9"/>
  <c r="I259" i="9"/>
  <c r="AK259" i="9" s="1"/>
  <c r="AF259" i="9"/>
  <c r="Q259" i="9"/>
  <c r="AE259" i="9"/>
  <c r="M259" i="9"/>
  <c r="AD259" i="9"/>
  <c r="L259" i="9"/>
  <c r="AA259" i="9"/>
  <c r="AB259" i="9" s="1"/>
  <c r="K259" i="9"/>
  <c r="Y259" i="9"/>
  <c r="J259" i="9"/>
  <c r="U255" i="9"/>
  <c r="S259" i="9"/>
  <c r="T259" i="9" s="1"/>
  <c r="AA268" i="9"/>
  <c r="O268" i="9"/>
  <c r="AE268" i="9"/>
  <c r="R268" i="9"/>
  <c r="AB268" i="9"/>
  <c r="M268" i="9"/>
  <c r="Z268" i="9"/>
  <c r="L268" i="9"/>
  <c r="AG268" i="9"/>
  <c r="P268" i="9"/>
  <c r="AD268" i="9"/>
  <c r="K268" i="9"/>
  <c r="AC268" i="9"/>
  <c r="J268" i="9"/>
  <c r="Y268" i="9"/>
  <c r="I268" i="9"/>
  <c r="AK268" i="9" s="1"/>
  <c r="V268" i="9"/>
  <c r="U268" i="9"/>
  <c r="AJ268" i="9"/>
  <c r="T268" i="9"/>
  <c r="AI268" i="9"/>
  <c r="S268" i="9"/>
  <c r="AH268" i="9"/>
  <c r="Q268" i="9"/>
  <c r="AC249" i="9"/>
  <c r="Q249" i="9"/>
  <c r="Z249" i="9"/>
  <c r="M249" i="9"/>
  <c r="AF249" i="9"/>
  <c r="S249" i="9"/>
  <c r="T249" i="9" s="1"/>
  <c r="AE249" i="9"/>
  <c r="R249" i="9"/>
  <c r="AD249" i="9"/>
  <c r="P249" i="9"/>
  <c r="Y249" i="9"/>
  <c r="W255" i="9"/>
  <c r="U259" i="9"/>
  <c r="W268" i="9"/>
  <c r="V259" i="9"/>
  <c r="X268" i="9"/>
  <c r="T172" i="9"/>
  <c r="T176" i="9"/>
  <c r="T180" i="9"/>
  <c r="T184" i="9"/>
  <c r="T188" i="9"/>
  <c r="T192" i="9"/>
  <c r="AD213" i="9"/>
  <c r="R213" i="9"/>
  <c r="U213" i="9"/>
  <c r="AH213" i="9"/>
  <c r="AD237" i="9"/>
  <c r="R237" i="9"/>
  <c r="U237" i="9"/>
  <c r="AH237" i="9"/>
  <c r="Z244" i="9"/>
  <c r="N244" i="9"/>
  <c r="AD244" i="9"/>
  <c r="Q244" i="9"/>
  <c r="AB244" i="9"/>
  <c r="O244" i="9"/>
  <c r="W244" i="9"/>
  <c r="AI247" i="9"/>
  <c r="AJ247" i="9" s="1"/>
  <c r="W247" i="9"/>
  <c r="K247" i="9"/>
  <c r="AB247" i="9"/>
  <c r="O247" i="9"/>
  <c r="AG247" i="9"/>
  <c r="AF247" i="9"/>
  <c r="S247" i="9"/>
  <c r="T247" i="9" s="1"/>
  <c r="AE247" i="9"/>
  <c r="R247" i="9"/>
  <c r="Z247" i="9"/>
  <c r="J249" i="9"/>
  <c r="AB249" i="9"/>
  <c r="Y255" i="9"/>
  <c r="W259" i="9"/>
  <c r="AJ267" i="9"/>
  <c r="X267" i="9"/>
  <c r="L267" i="9"/>
  <c r="Y267" i="9"/>
  <c r="K267" i="9"/>
  <c r="AG267" i="9"/>
  <c r="S267" i="9"/>
  <c r="AF267" i="9"/>
  <c r="R267" i="9"/>
  <c r="AE267" i="9"/>
  <c r="O267" i="9"/>
  <c r="AC267" i="9"/>
  <c r="M267" i="9"/>
  <c r="J267" i="9"/>
  <c r="AA267" i="9"/>
  <c r="AB267" i="9" s="1"/>
  <c r="I267" i="9"/>
  <c r="AK267" i="9" s="1"/>
  <c r="V267" i="9"/>
  <c r="U267" i="9"/>
  <c r="T267" i="9"/>
  <c r="AI267" i="9"/>
  <c r="Q267" i="9"/>
  <c r="AH267" i="9"/>
  <c r="P267" i="9"/>
  <c r="AF268" i="9"/>
  <c r="N270" i="9"/>
  <c r="AH270" i="9"/>
  <c r="Q271" i="9"/>
  <c r="AG271" i="9"/>
  <c r="S276" i="9"/>
  <c r="AC278" i="9"/>
  <c r="Q278" i="9"/>
  <c r="AJ278" i="9"/>
  <c r="W278" i="9"/>
  <c r="J278" i="9"/>
  <c r="AA278" i="9"/>
  <c r="M278" i="9"/>
  <c r="U278" i="9"/>
  <c r="AI278" i="9"/>
  <c r="T278" i="9"/>
  <c r="AE278" i="9"/>
  <c r="O278" i="9"/>
  <c r="V278" i="9"/>
  <c r="AD278" i="9"/>
  <c r="L282" i="9"/>
  <c r="AJ263" i="9"/>
  <c r="X263" i="9"/>
  <c r="AA263" i="9"/>
  <c r="N263" i="9"/>
  <c r="Z263" i="9"/>
  <c r="L263" i="9"/>
  <c r="Y263" i="9"/>
  <c r="K263" i="9"/>
  <c r="W263" i="9"/>
  <c r="O270" i="9"/>
  <c r="AI270" i="9"/>
  <c r="R271" i="9"/>
  <c r="AH271" i="9"/>
  <c r="AG274" i="9"/>
  <c r="U274" i="9"/>
  <c r="I274" i="9"/>
  <c r="AK274" i="9" s="1"/>
  <c r="AA274" i="9"/>
  <c r="N274" i="9"/>
  <c r="Z274" i="9"/>
  <c r="L274" i="9"/>
  <c r="Y274" i="9"/>
  <c r="K274" i="9"/>
  <c r="AI274" i="9"/>
  <c r="T274" i="9"/>
  <c r="AB274" i="9"/>
  <c r="M274" i="9"/>
  <c r="AE274" i="9"/>
  <c r="T276" i="9"/>
  <c r="M282" i="9"/>
  <c r="AI243" i="9"/>
  <c r="W243" i="9"/>
  <c r="K243" i="9"/>
  <c r="U243" i="9"/>
  <c r="AH243" i="9"/>
  <c r="K248" i="9"/>
  <c r="X248" i="9"/>
  <c r="AC252" i="9"/>
  <c r="Z252" i="9"/>
  <c r="N252" i="9"/>
  <c r="U252" i="9"/>
  <c r="AI252" i="9"/>
  <c r="U254" i="9"/>
  <c r="L262" i="9"/>
  <c r="AA262" i="9"/>
  <c r="I263" i="9"/>
  <c r="AK263" i="9" s="1"/>
  <c r="AB263" i="9"/>
  <c r="AA264" i="9"/>
  <c r="AB264" i="9" s="1"/>
  <c r="O264" i="9"/>
  <c r="AG264" i="9"/>
  <c r="AI264" i="9"/>
  <c r="AJ264" i="9" s="1"/>
  <c r="U264" i="9"/>
  <c r="AH264" i="9"/>
  <c r="S264" i="9"/>
  <c r="T264" i="9" s="1"/>
  <c r="X264" i="9"/>
  <c r="S270" i="9"/>
  <c r="T270" i="9" s="1"/>
  <c r="AJ270" i="9"/>
  <c r="S271" i="9"/>
  <c r="J274" i="9"/>
  <c r="AF274" i="9"/>
  <c r="U276" i="9"/>
  <c r="K278" i="9"/>
  <c r="AG278" i="9"/>
  <c r="U282" i="9"/>
  <c r="AI254" i="9"/>
  <c r="W254" i="9"/>
  <c r="K254" i="9"/>
  <c r="Y254" i="9"/>
  <c r="L254" i="9"/>
  <c r="V254" i="9"/>
  <c r="J263" i="9"/>
  <c r="AC263" i="9"/>
  <c r="AD265" i="9"/>
  <c r="R265" i="9"/>
  <c r="Y265" i="9"/>
  <c r="L265" i="9"/>
  <c r="AC265" i="9"/>
  <c r="O265" i="9"/>
  <c r="AB265" i="9"/>
  <c r="N265" i="9"/>
  <c r="X265" i="9"/>
  <c r="T271" i="9"/>
  <c r="V276" i="9"/>
  <c r="V282" i="9"/>
  <c r="M248" i="9"/>
  <c r="I254" i="9"/>
  <c r="AK254" i="9" s="1"/>
  <c r="X254" i="9"/>
  <c r="N262" i="9"/>
  <c r="M263" i="9"/>
  <c r="AD263" i="9"/>
  <c r="I265" i="9"/>
  <c r="AK265" i="9" s="1"/>
  <c r="Z265" i="9"/>
  <c r="P274" i="9"/>
  <c r="AJ274" i="9"/>
  <c r="Z277" i="9"/>
  <c r="AE277" i="9"/>
  <c r="R277" i="9"/>
  <c r="AG277" i="9"/>
  <c r="S277" i="9"/>
  <c r="X277" i="9"/>
  <c r="J277" i="9"/>
  <c r="W277" i="9"/>
  <c r="I277" i="9"/>
  <c r="AK277" i="9" s="1"/>
  <c r="AH277" i="9"/>
  <c r="Q277" i="9"/>
  <c r="Y277" i="9"/>
  <c r="K277" i="9"/>
  <c r="AD277" i="9"/>
  <c r="N278" i="9"/>
  <c r="Z281" i="9"/>
  <c r="N281" i="9"/>
  <c r="AB281" i="9"/>
  <c r="O281" i="9"/>
  <c r="W281" i="9"/>
  <c r="I281" i="9"/>
  <c r="AK281" i="9" s="1"/>
  <c r="AJ281" i="9"/>
  <c r="U281" i="9"/>
  <c r="AI281" i="9"/>
  <c r="T281" i="9"/>
  <c r="AH281" i="9"/>
  <c r="S281" i="9"/>
  <c r="AE281" i="9"/>
  <c r="P281" i="9"/>
  <c r="V281" i="9"/>
  <c r="AF281" i="9"/>
  <c r="W282" i="9"/>
  <c r="X282" i="9"/>
  <c r="AG270" i="9"/>
  <c r="U270" i="9"/>
  <c r="I270" i="9"/>
  <c r="AK270" i="9" s="1"/>
  <c r="AC270" i="9"/>
  <c r="P270" i="9"/>
  <c r="AF270" i="9"/>
  <c r="R270" i="9"/>
  <c r="AE270" i="9"/>
  <c r="Q270" i="9"/>
  <c r="Y270" i="9"/>
  <c r="AJ271" i="9"/>
  <c r="X271" i="9"/>
  <c r="L271" i="9"/>
  <c r="AI271" i="9"/>
  <c r="V271" i="9"/>
  <c r="I271" i="9"/>
  <c r="AK271" i="9" s="1"/>
  <c r="AB271" i="9"/>
  <c r="N271" i="9"/>
  <c r="AA271" i="9"/>
  <c r="M271" i="9"/>
  <c r="Z271" i="9"/>
  <c r="AA276" i="9"/>
  <c r="AB276" i="9" s="1"/>
  <c r="O276" i="9"/>
  <c r="Z276" i="9"/>
  <c r="M276" i="9"/>
  <c r="AE276" i="9"/>
  <c r="Q276" i="9"/>
  <c r="AD276" i="9"/>
  <c r="P276" i="9"/>
  <c r="X276" i="9"/>
  <c r="J276" i="9"/>
  <c r="AF276" i="9"/>
  <c r="R276" i="9"/>
  <c r="AC276" i="9"/>
  <c r="J270" i="9"/>
  <c r="Z270" i="9"/>
  <c r="J271" i="9"/>
  <c r="AC271" i="9"/>
  <c r="I276" i="9"/>
  <c r="AK276" i="9" s="1"/>
  <c r="AG276" i="9"/>
  <c r="K270" i="9"/>
  <c r="AA270" i="9"/>
  <c r="AB270" i="9" s="1"/>
  <c r="K271" i="9"/>
  <c r="AD271" i="9"/>
  <c r="K276" i="9"/>
  <c r="AH276" i="9"/>
  <c r="AC282" i="9"/>
  <c r="Q282" i="9"/>
  <c r="AG282" i="9"/>
  <c r="T282" i="9"/>
  <c r="AE282" i="9"/>
  <c r="P282" i="9"/>
  <c r="AH282" i="9"/>
  <c r="R282" i="9"/>
  <c r="AF282" i="9"/>
  <c r="O282" i="9"/>
  <c r="AD282" i="9"/>
  <c r="N282" i="9"/>
  <c r="Z282" i="9"/>
  <c r="K282" i="9"/>
  <c r="AI282" i="9"/>
  <c r="S282" i="9"/>
  <c r="AJ282" i="9"/>
  <c r="Z248" i="9"/>
  <c r="N248" i="9"/>
  <c r="U248" i="9"/>
  <c r="AH248" i="9"/>
  <c r="R254" i="9"/>
  <c r="AF254" i="9"/>
  <c r="AI262" i="9"/>
  <c r="W262" i="9"/>
  <c r="K262" i="9"/>
  <c r="AF262" i="9"/>
  <c r="S262" i="9"/>
  <c r="AE262" i="9"/>
  <c r="R262" i="9"/>
  <c r="X262" i="9"/>
  <c r="U263" i="9"/>
  <c r="T265" i="9"/>
  <c r="AJ265" i="9"/>
  <c r="M270" i="9"/>
  <c r="AD270" i="9"/>
  <c r="P271" i="9"/>
  <c r="AF271" i="9"/>
  <c r="AC274" i="9"/>
  <c r="N276" i="9"/>
  <c r="AJ276" i="9"/>
  <c r="U277" i="9"/>
  <c r="AB278" i="9"/>
  <c r="X281" i="9"/>
  <c r="J282" i="9"/>
  <c r="AJ275" i="9"/>
  <c r="X275" i="9"/>
  <c r="L275" i="9"/>
  <c r="AG275" i="9"/>
  <c r="T275" i="9"/>
  <c r="V275" i="9"/>
  <c r="AI284" i="9"/>
  <c r="AJ284" i="9" s="1"/>
  <c r="W284" i="9"/>
  <c r="K284" i="9"/>
  <c r="AE284" i="9"/>
  <c r="R284" i="9"/>
  <c r="AB284" i="9"/>
  <c r="N284" i="9"/>
  <c r="AF284" i="9"/>
  <c r="Q284" i="9"/>
  <c r="Y284" i="9"/>
  <c r="Z285" i="9"/>
  <c r="N285" i="9"/>
  <c r="X285" i="9"/>
  <c r="K285" i="9"/>
  <c r="W285" i="9"/>
  <c r="I285" i="9"/>
  <c r="AK285" i="9" s="1"/>
  <c r="M285" i="9"/>
  <c r="AA285" i="9"/>
  <c r="AB285" i="9" s="1"/>
  <c r="P284" i="9"/>
  <c r="AH284" i="9"/>
  <c r="R285" i="9"/>
  <c r="AH285" i="9"/>
  <c r="T242" i="9"/>
  <c r="T246" i="9"/>
  <c r="T250" i="9"/>
  <c r="AI258" i="9"/>
  <c r="W258" i="9"/>
  <c r="K258" i="9"/>
  <c r="U258" i="9"/>
  <c r="AH258" i="9"/>
  <c r="T260" i="9"/>
  <c r="AG266" i="9"/>
  <c r="U266" i="9"/>
  <c r="I266" i="9"/>
  <c r="AK266" i="9" s="1"/>
  <c r="AE266" i="9"/>
  <c r="R266" i="9"/>
  <c r="W266" i="9"/>
  <c r="U269" i="9"/>
  <c r="AA272" i="9"/>
  <c r="O272" i="9"/>
  <c r="AC272" i="9"/>
  <c r="P272" i="9"/>
  <c r="V272" i="9"/>
  <c r="AJ272" i="9"/>
  <c r="S275" i="9"/>
  <c r="AH275" i="9"/>
  <c r="V284" i="9"/>
  <c r="V285" i="9"/>
  <c r="AC260" i="9"/>
  <c r="Q260" i="9"/>
  <c r="U260" i="9"/>
  <c r="AH260" i="9"/>
  <c r="AD269" i="9"/>
  <c r="R269" i="9"/>
  <c r="AJ269" i="9"/>
  <c r="W269" i="9"/>
  <c r="J269" i="9"/>
  <c r="V269" i="9"/>
  <c r="U275" i="9"/>
  <c r="AI275" i="9"/>
  <c r="X284" i="9"/>
  <c r="Y285" i="9"/>
  <c r="Z293" i="9"/>
  <c r="N293" i="9"/>
  <c r="AD293" i="9"/>
  <c r="Q293" i="9"/>
  <c r="AE293" i="9"/>
  <c r="R293" i="9"/>
  <c r="W293" i="9"/>
  <c r="I293" i="9"/>
  <c r="AK293" i="9" s="1"/>
  <c r="X293" i="9"/>
  <c r="AH299" i="9"/>
  <c r="V299" i="9"/>
  <c r="J299" i="9"/>
  <c r="AA299" i="9"/>
  <c r="AB299" i="9" s="1"/>
  <c r="O299" i="9"/>
  <c r="AI299" i="9"/>
  <c r="W299" i="9"/>
  <c r="K299" i="9"/>
  <c r="Z299" i="9"/>
  <c r="I299" i="9"/>
  <c r="AK299" i="9" s="1"/>
  <c r="AC299" i="9"/>
  <c r="L299" i="9"/>
  <c r="AD299" i="9"/>
  <c r="M299" i="9"/>
  <c r="AF299" i="9"/>
  <c r="O301" i="9"/>
  <c r="AJ301" i="9"/>
  <c r="T253" i="9"/>
  <c r="T257" i="9"/>
  <c r="T261" i="9"/>
  <c r="AD273" i="9"/>
  <c r="R273" i="9"/>
  <c r="U273" i="9"/>
  <c r="AH273" i="9"/>
  <c r="AC286" i="9"/>
  <c r="Q286" i="9"/>
  <c r="AD286" i="9"/>
  <c r="P286" i="9"/>
  <c r="V286" i="9"/>
  <c r="AJ286" i="9"/>
  <c r="AI288" i="9"/>
  <c r="W288" i="9"/>
  <c r="K288" i="9"/>
  <c r="AB288" i="9"/>
  <c r="O288" i="9"/>
  <c r="V288" i="9"/>
  <c r="K290" i="9"/>
  <c r="N292" i="9"/>
  <c r="AC292" i="9"/>
  <c r="J293" i="9"/>
  <c r="Y293" i="9"/>
  <c r="N299" i="9"/>
  <c r="AG299" i="9"/>
  <c r="R301" i="9"/>
  <c r="O292" i="9"/>
  <c r="AD292" i="9"/>
  <c r="K293" i="9"/>
  <c r="AA293" i="9"/>
  <c r="AB293" i="9" s="1"/>
  <c r="AC294" i="9"/>
  <c r="Q294" i="9"/>
  <c r="AI294" i="9"/>
  <c r="V294" i="9"/>
  <c r="I294" i="9"/>
  <c r="AK294" i="9" s="1"/>
  <c r="AJ294" i="9"/>
  <c r="W294" i="9"/>
  <c r="J294" i="9"/>
  <c r="Y294" i="9"/>
  <c r="AB297" i="9"/>
  <c r="P297" i="9"/>
  <c r="AG297" i="9"/>
  <c r="U297" i="9"/>
  <c r="I297" i="9"/>
  <c r="AK297" i="9" s="1"/>
  <c r="AC297" i="9"/>
  <c r="Q297" i="9"/>
  <c r="AE297" i="9"/>
  <c r="N297" i="9"/>
  <c r="AD297" i="9"/>
  <c r="L297" i="9"/>
  <c r="AF297" i="9"/>
  <c r="M297" i="9"/>
  <c r="AA297" i="9"/>
  <c r="P299" i="9"/>
  <c r="AJ299" i="9"/>
  <c r="S301" i="9"/>
  <c r="P292" i="9"/>
  <c r="AE292" i="9"/>
  <c r="L293" i="9"/>
  <c r="K294" i="9"/>
  <c r="Z294" i="9"/>
  <c r="J297" i="9"/>
  <c r="AH297" i="9"/>
  <c r="Q299" i="9"/>
  <c r="T301" i="9"/>
  <c r="S292" i="9"/>
  <c r="T292" i="9" s="1"/>
  <c r="P293" i="9"/>
  <c r="AG293" i="9"/>
  <c r="N294" i="9"/>
  <c r="AD294" i="9"/>
  <c r="Y296" i="9"/>
  <c r="M296" i="9"/>
  <c r="AD296" i="9"/>
  <c r="R296" i="9"/>
  <c r="Z296" i="9"/>
  <c r="N296" i="9"/>
  <c r="AG296" i="9"/>
  <c r="Q296" i="9"/>
  <c r="AC296" i="9"/>
  <c r="K296" i="9"/>
  <c r="AE296" i="9"/>
  <c r="L296" i="9"/>
  <c r="AB296" i="9"/>
  <c r="R297" i="9"/>
  <c r="T299" i="9"/>
  <c r="S293" i="9"/>
  <c r="AH293" i="9"/>
  <c r="T293" i="9"/>
  <c r="AI293" i="9"/>
  <c r="AJ293" i="9" s="1"/>
  <c r="AB301" i="9"/>
  <c r="P301" i="9"/>
  <c r="AG301" i="9"/>
  <c r="U301" i="9"/>
  <c r="I301" i="9"/>
  <c r="AK301" i="9" s="1"/>
  <c r="AC301" i="9"/>
  <c r="Q301" i="9"/>
  <c r="V301" i="9"/>
  <c r="Z301" i="9"/>
  <c r="J301" i="9"/>
  <c r="AA301" i="9"/>
  <c r="K301" i="9"/>
  <c r="AE301" i="9"/>
  <c r="AC290" i="9"/>
  <c r="Q290" i="9"/>
  <c r="Z290" i="9"/>
  <c r="M290" i="9"/>
  <c r="V290" i="9"/>
  <c r="AJ290" i="9"/>
  <c r="AI292" i="9"/>
  <c r="AJ292" i="9" s="1"/>
  <c r="W292" i="9"/>
  <c r="K292" i="9"/>
  <c r="X292" i="9"/>
  <c r="J292" i="9"/>
  <c r="Y292" i="9"/>
  <c r="L292" i="9"/>
  <c r="Z292" i="9"/>
  <c r="V293" i="9"/>
  <c r="M301" i="9"/>
  <c r="AH301" i="9"/>
  <c r="AI280" i="9"/>
  <c r="AJ280" i="9" s="1"/>
  <c r="W280" i="9"/>
  <c r="K280" i="9"/>
  <c r="U280" i="9"/>
  <c r="AH280" i="9"/>
  <c r="Z289" i="9"/>
  <c r="N289" i="9"/>
  <c r="U289" i="9"/>
  <c r="AH289" i="9"/>
  <c r="AH303" i="9"/>
  <c r="V303" i="9"/>
  <c r="J303" i="9"/>
  <c r="AA303" i="9"/>
  <c r="AB303" i="9" s="1"/>
  <c r="O303" i="9"/>
  <c r="AI303" i="9"/>
  <c r="AJ303" i="9" s="1"/>
  <c r="W303" i="9"/>
  <c r="K303" i="9"/>
  <c r="AF303" i="9"/>
  <c r="Q303" i="9"/>
  <c r="Z303" i="9"/>
  <c r="I304" i="9"/>
  <c r="AK304" i="9" s="1"/>
  <c r="AH307" i="9"/>
  <c r="V307" i="9"/>
  <c r="J307" i="9"/>
  <c r="AA307" i="9"/>
  <c r="O307" i="9"/>
  <c r="AI307" i="9"/>
  <c r="W307" i="9"/>
  <c r="K307" i="9"/>
  <c r="X307" i="9"/>
  <c r="AJ307" i="9"/>
  <c r="S307" i="9"/>
  <c r="T307" i="9" s="1"/>
  <c r="AB307" i="9"/>
  <c r="J308" i="9"/>
  <c r="AC308" i="9"/>
  <c r="M309" i="9"/>
  <c r="AH309" i="9"/>
  <c r="K308" i="9"/>
  <c r="AE308" i="9"/>
  <c r="O309" i="9"/>
  <c r="AJ309" i="9"/>
  <c r="R309" i="9"/>
  <c r="O308" i="9"/>
  <c r="AH308" i="9"/>
  <c r="T309" i="9"/>
  <c r="P308" i="9"/>
  <c r="V309" i="9"/>
  <c r="W309" i="9"/>
  <c r="AH315" i="9"/>
  <c r="V315" i="9"/>
  <c r="J315" i="9"/>
  <c r="AA315" i="9"/>
  <c r="O315" i="9"/>
  <c r="AI315" i="9"/>
  <c r="W315" i="9"/>
  <c r="K315" i="9"/>
  <c r="AE315" i="9"/>
  <c r="P315" i="9"/>
  <c r="AD315" i="9"/>
  <c r="N315" i="9"/>
  <c r="U315" i="9"/>
  <c r="T315" i="9"/>
  <c r="AJ315" i="9"/>
  <c r="S315" i="9"/>
  <c r="AG315" i="9"/>
  <c r="R315" i="9"/>
  <c r="AF315" i="9"/>
  <c r="Q315" i="9"/>
  <c r="Y316" i="9"/>
  <c r="M316" i="9"/>
  <c r="AD316" i="9"/>
  <c r="R316" i="9"/>
  <c r="Z316" i="9"/>
  <c r="N316" i="9"/>
  <c r="AC316" i="9"/>
  <c r="L316" i="9"/>
  <c r="AB316" i="9"/>
  <c r="K316" i="9"/>
  <c r="AI316" i="9"/>
  <c r="AJ316" i="9" s="1"/>
  <c r="T316" i="9"/>
  <c r="AH316" i="9"/>
  <c r="S316" i="9"/>
  <c r="AG316" i="9"/>
  <c r="Q316" i="9"/>
  <c r="AF316" i="9"/>
  <c r="P316" i="9"/>
  <c r="AE316" i="9"/>
  <c r="O316" i="9"/>
  <c r="AB317" i="9"/>
  <c r="P317" i="9"/>
  <c r="AG317" i="9"/>
  <c r="U317" i="9"/>
  <c r="I317" i="9"/>
  <c r="AK317" i="9" s="1"/>
  <c r="AC317" i="9"/>
  <c r="Q317" i="9"/>
  <c r="Z317" i="9"/>
  <c r="K317" i="9"/>
  <c r="Y317" i="9"/>
  <c r="J317" i="9"/>
  <c r="AH317" i="9"/>
  <c r="R317" i="9"/>
  <c r="AF317" i="9"/>
  <c r="O317" i="9"/>
  <c r="AE317" i="9"/>
  <c r="N317" i="9"/>
  <c r="AD317" i="9"/>
  <c r="M317" i="9"/>
  <c r="AA317" i="9"/>
  <c r="L317" i="9"/>
  <c r="L315" i="9"/>
  <c r="J316" i="9"/>
  <c r="T317" i="9"/>
  <c r="P309" i="9"/>
  <c r="AG309" i="9"/>
  <c r="U309" i="9"/>
  <c r="I309" i="9"/>
  <c r="AK309" i="9" s="1"/>
  <c r="AC309" i="9"/>
  <c r="Q309" i="9"/>
  <c r="AI309" i="9"/>
  <c r="S309" i="9"/>
  <c r="AE309" i="9"/>
  <c r="N309" i="9"/>
  <c r="Z309" i="9"/>
  <c r="AJ320" i="9"/>
  <c r="J309" i="9"/>
  <c r="AA309" i="9"/>
  <c r="AB309" i="9" s="1"/>
  <c r="X315" i="9"/>
  <c r="V316" i="9"/>
  <c r="W317" i="9"/>
  <c r="Y308" i="9"/>
  <c r="M308" i="9"/>
  <c r="AD308" i="9"/>
  <c r="R308" i="9"/>
  <c r="Z308" i="9"/>
  <c r="N308" i="9"/>
  <c r="AJ308" i="9"/>
  <c r="U308" i="9"/>
  <c r="AG308" i="9"/>
  <c r="Q308" i="9"/>
  <c r="AA308" i="9"/>
  <c r="K309" i="9"/>
  <c r="AD309" i="9"/>
  <c r="Y304" i="9"/>
  <c r="M304" i="9"/>
  <c r="AD304" i="9"/>
  <c r="R304" i="9"/>
  <c r="Z304" i="9"/>
  <c r="N304" i="9"/>
  <c r="AE304" i="9"/>
  <c r="O304" i="9"/>
  <c r="X304" i="9"/>
  <c r="I308" i="9"/>
  <c r="AK308" i="9" s="1"/>
  <c r="AB308" i="9"/>
  <c r="L309" i="9"/>
  <c r="AF309" i="9"/>
  <c r="Z315" i="9"/>
  <c r="X316" i="9"/>
  <c r="AI317" i="9"/>
  <c r="AB305" i="9"/>
  <c r="P305" i="9"/>
  <c r="AG305" i="9"/>
  <c r="U305" i="9"/>
  <c r="I305" i="9"/>
  <c r="AK305" i="9" s="1"/>
  <c r="AC305" i="9"/>
  <c r="Q305" i="9"/>
  <c r="X305" i="9"/>
  <c r="I311" i="9"/>
  <c r="AK311" i="9" s="1"/>
  <c r="Z311" i="9"/>
  <c r="Y312" i="9"/>
  <c r="M312" i="9"/>
  <c r="AD312" i="9"/>
  <c r="R312" i="9"/>
  <c r="Z312" i="9"/>
  <c r="N312" i="9"/>
  <c r="W312" i="9"/>
  <c r="U320" i="9"/>
  <c r="S321" i="9"/>
  <c r="AI321" i="9"/>
  <c r="R323" i="9"/>
  <c r="AC9" i="10"/>
  <c r="Q9" i="10"/>
  <c r="E9" i="10"/>
  <c r="V9" i="10"/>
  <c r="J9" i="10"/>
  <c r="U9" i="10"/>
  <c r="I9" i="10"/>
  <c r="T9" i="10"/>
  <c r="AE9" i="10"/>
  <c r="AF9" i="10" s="1"/>
  <c r="S9" i="10"/>
  <c r="AD9" i="10"/>
  <c r="R9" i="10"/>
  <c r="F9" i="10"/>
  <c r="AH319" i="9"/>
  <c r="V319" i="9"/>
  <c r="J319" i="9"/>
  <c r="AA319" i="9"/>
  <c r="O319" i="9"/>
  <c r="AI319" i="9"/>
  <c r="W319" i="9"/>
  <c r="K319" i="9"/>
  <c r="Y319" i="9"/>
  <c r="S323" i="9"/>
  <c r="AE7" i="10"/>
  <c r="AF7" i="10" s="1"/>
  <c r="S7" i="10"/>
  <c r="L7" i="10"/>
  <c r="W7" i="10"/>
  <c r="X7" i="10" s="1"/>
  <c r="K7" i="10"/>
  <c r="V7" i="10"/>
  <c r="J7" i="10"/>
  <c r="U7" i="10"/>
  <c r="I7" i="10"/>
  <c r="T7" i="10"/>
  <c r="R7" i="10"/>
  <c r="AB313" i="9"/>
  <c r="P313" i="9"/>
  <c r="AG313" i="9"/>
  <c r="U313" i="9"/>
  <c r="I313" i="9"/>
  <c r="AK313" i="9" s="1"/>
  <c r="AC313" i="9"/>
  <c r="Q313" i="9"/>
  <c r="X313" i="9"/>
  <c r="I319" i="9"/>
  <c r="AK319" i="9" s="1"/>
  <c r="Z319" i="9"/>
  <c r="Y320" i="9"/>
  <c r="M320" i="9"/>
  <c r="AD320" i="9"/>
  <c r="R320" i="9"/>
  <c r="Z320" i="9"/>
  <c r="N320" i="9"/>
  <c r="W320" i="9"/>
  <c r="T323" i="9"/>
  <c r="C7" i="10"/>
  <c r="Y7" i="10"/>
  <c r="J11" i="10"/>
  <c r="T279" i="9"/>
  <c r="T283" i="9"/>
  <c r="T287" i="9"/>
  <c r="T291" i="9"/>
  <c r="AH295" i="9"/>
  <c r="AA295" i="9"/>
  <c r="AI295" i="9"/>
  <c r="W295" i="9"/>
  <c r="T295" i="9"/>
  <c r="AJ295" i="9"/>
  <c r="Y300" i="9"/>
  <c r="M300" i="9"/>
  <c r="AD300" i="9"/>
  <c r="R300" i="9"/>
  <c r="Z300" i="9"/>
  <c r="N300" i="9"/>
  <c r="W300" i="9"/>
  <c r="L305" i="9"/>
  <c r="AA305" i="9"/>
  <c r="N311" i="9"/>
  <c r="AD311" i="9"/>
  <c r="K312" i="9"/>
  <c r="AB312" i="9"/>
  <c r="J313" i="9"/>
  <c r="Y313" i="9"/>
  <c r="L319" i="9"/>
  <c r="AB319" i="9"/>
  <c r="I320" i="9"/>
  <c r="AK320" i="9" s="1"/>
  <c r="X320" i="9"/>
  <c r="U323" i="9"/>
  <c r="D7" i="10"/>
  <c r="Z7" i="10"/>
  <c r="AA9" i="10"/>
  <c r="K313" i="9"/>
  <c r="Z313" i="9"/>
  <c r="M319" i="9"/>
  <c r="AC319" i="9"/>
  <c r="J320" i="9"/>
  <c r="AA320" i="9"/>
  <c r="AB320" i="9" s="1"/>
  <c r="AB321" i="9"/>
  <c r="P321" i="9"/>
  <c r="AG321" i="9"/>
  <c r="U321" i="9"/>
  <c r="I321" i="9"/>
  <c r="AK321" i="9" s="1"/>
  <c r="AC321" i="9"/>
  <c r="Q321" i="9"/>
  <c r="X321" i="9"/>
  <c r="AB323" i="9"/>
  <c r="E7" i="10"/>
  <c r="AA7" i="10"/>
  <c r="AD323" i="9"/>
  <c r="AH323" i="9"/>
  <c r="V323" i="9"/>
  <c r="J323" i="9"/>
  <c r="AA323" i="9"/>
  <c r="O323" i="9"/>
  <c r="Z323" i="9"/>
  <c r="N323" i="9"/>
  <c r="Y323" i="9"/>
  <c r="M323" i="9"/>
  <c r="AJ323" i="9"/>
  <c r="X323" i="9"/>
  <c r="L323" i="9"/>
  <c r="AI323" i="9"/>
  <c r="W323" i="9"/>
  <c r="K323" i="9"/>
  <c r="AF323" i="9"/>
  <c r="I323" i="9"/>
  <c r="AK323" i="9" s="1"/>
  <c r="AG323" i="9"/>
  <c r="S313" i="9"/>
  <c r="AI313" i="9"/>
  <c r="T319" i="9"/>
  <c r="S320" i="9"/>
  <c r="T320" i="9" s="1"/>
  <c r="AH320" i="9"/>
  <c r="O321" i="9"/>
  <c r="AF321" i="9"/>
  <c r="P323" i="9"/>
  <c r="O7" i="10"/>
  <c r="P7" i="10" s="1"/>
  <c r="AH311" i="9"/>
  <c r="V311" i="9"/>
  <c r="J311" i="9"/>
  <c r="AA311" i="9"/>
  <c r="O311" i="9"/>
  <c r="AI311" i="9"/>
  <c r="W311" i="9"/>
  <c r="K311" i="9"/>
  <c r="Y311" i="9"/>
  <c r="T313" i="9"/>
  <c r="AJ313" i="9"/>
  <c r="U319" i="9"/>
  <c r="AI320" i="9"/>
  <c r="R321" i="9"/>
  <c r="AH321" i="9"/>
  <c r="Q323" i="9"/>
  <c r="AA11" i="10"/>
  <c r="O11" i="10"/>
  <c r="P11" i="10" s="1"/>
  <c r="C11" i="10"/>
  <c r="W11" i="10"/>
  <c r="X11" i="10" s="1"/>
  <c r="K11" i="10"/>
  <c r="U11" i="10"/>
  <c r="I11" i="10"/>
  <c r="T11" i="10"/>
  <c r="AE11" i="10"/>
  <c r="AF11" i="10" s="1"/>
  <c r="S11" i="10"/>
  <c r="AD11" i="10"/>
  <c r="R11" i="10"/>
  <c r="F11" i="10"/>
  <c r="AC11" i="10"/>
  <c r="Q11" i="10"/>
  <c r="E11" i="10"/>
  <c r="AB11" i="10"/>
  <c r="D11" i="10"/>
  <c r="T298" i="9"/>
  <c r="AF298" i="9"/>
  <c r="AF302" i="9"/>
  <c r="T306" i="9"/>
  <c r="AF306" i="9"/>
  <c r="T310" i="9"/>
  <c r="AF310" i="9"/>
  <c r="T314" i="9"/>
  <c r="AF314" i="9"/>
  <c r="AF318" i="9"/>
  <c r="AF322" i="9"/>
  <c r="M8" i="10"/>
  <c r="Y8" i="10"/>
  <c r="K10" i="10"/>
  <c r="W10" i="10"/>
  <c r="X10" i="10" s="1"/>
  <c r="I12" i="10"/>
  <c r="U12" i="10"/>
  <c r="N8" i="10"/>
  <c r="Z8" i="10"/>
  <c r="L10" i="10"/>
  <c r="J12" i="10"/>
  <c r="V12" i="10"/>
  <c r="C8" i="10"/>
  <c r="O8" i="10"/>
  <c r="P8" i="10" s="1"/>
  <c r="AA8" i="10"/>
  <c r="M10" i="10"/>
  <c r="Y10" i="10"/>
  <c r="K12" i="10"/>
  <c r="W12" i="10"/>
  <c r="X12" i="10" s="1"/>
  <c r="D8" i="10"/>
  <c r="AB8" i="10"/>
  <c r="N10" i="10"/>
  <c r="Z10" i="10"/>
  <c r="L12" i="10"/>
  <c r="L298" i="9"/>
  <c r="X298" i="9"/>
  <c r="AJ298" i="9"/>
  <c r="L302" i="9"/>
  <c r="X302" i="9"/>
  <c r="AJ302" i="9"/>
  <c r="L306" i="9"/>
  <c r="X306" i="9"/>
  <c r="AJ306" i="9"/>
  <c r="L310" i="9"/>
  <c r="X310" i="9"/>
  <c r="AJ310" i="9"/>
  <c r="L314" i="9"/>
  <c r="X314" i="9"/>
  <c r="AJ314" i="9"/>
  <c r="L318" i="9"/>
  <c r="X318" i="9"/>
  <c r="AJ318" i="9"/>
  <c r="L322" i="9"/>
  <c r="X322" i="9"/>
  <c r="AJ322" i="9"/>
  <c r="E8" i="10"/>
  <c r="Q8" i="10"/>
  <c r="AC8" i="10"/>
  <c r="C10" i="10"/>
  <c r="O10" i="10"/>
  <c r="P10" i="10" s="1"/>
  <c r="AA10" i="10"/>
  <c r="M12" i="10"/>
  <c r="Y12" i="10"/>
  <c r="N12" i="10"/>
  <c r="Z12" i="10"/>
  <c r="D12" i="10"/>
  <c r="AB12" i="10"/>
  <c r="S298" i="9"/>
  <c r="S302" i="9"/>
  <c r="T302" i="9" s="1"/>
  <c r="S306" i="9"/>
  <c r="S310" i="9"/>
  <c r="S314" i="9"/>
  <c r="S318" i="9"/>
  <c r="T318" i="9" s="1"/>
  <c r="S322" i="9"/>
  <c r="T322" i="9" s="1"/>
  <c r="J10" i="10"/>
</calcChain>
</file>

<file path=xl/sharedStrings.xml><?xml version="1.0" encoding="utf-8"?>
<sst xmlns="http://schemas.openxmlformats.org/spreadsheetml/2006/main" count="3497" uniqueCount="428">
  <si>
    <t>Generic Comet (GC) TIMES Supply</t>
  </si>
  <si>
    <t>Sheet color</t>
  </si>
  <si>
    <t>Raw Data and Parameters</t>
  </si>
  <si>
    <t>City Specific Data</t>
  </si>
  <si>
    <t>Post processing for TIMES</t>
  </si>
  <si>
    <t>Table formatted for TIMES</t>
  </si>
  <si>
    <t>City Basic Data</t>
  </si>
  <si>
    <t>Calibration methodology</t>
  </si>
  <si>
    <t>GHG Inventory</t>
  </si>
  <si>
    <t>A. City Characteristics</t>
  </si>
  <si>
    <t>Data Item</t>
  </si>
  <si>
    <t>Value</t>
  </si>
  <si>
    <t>Units</t>
  </si>
  <si>
    <t>City Name</t>
  </si>
  <si>
    <t>New York</t>
  </si>
  <si>
    <t>Latitude</t>
  </si>
  <si>
    <t>Longitude</t>
  </si>
  <si>
    <t>County</t>
  </si>
  <si>
    <t>New York County</t>
  </si>
  <si>
    <t>State</t>
  </si>
  <si>
    <t>Census Division</t>
  </si>
  <si>
    <t>Middle Atlantic</t>
  </si>
  <si>
    <t>Climate Division</t>
  </si>
  <si>
    <t>Northeast</t>
  </si>
  <si>
    <t>Egrid Region</t>
  </si>
  <si>
    <t>NPCC NYC/Westchester</t>
  </si>
  <si>
    <t>Area of city (excluding water, natural and agricultural areas)</t>
  </si>
  <si>
    <t>square kilometers</t>
  </si>
  <si>
    <t>* Division and Region Map can be found in the Maps sheet.</t>
  </si>
  <si>
    <t>B. Planning Base Year and Target Years</t>
  </si>
  <si>
    <t>Year</t>
  </si>
  <si>
    <t>Base Year</t>
  </si>
  <si>
    <t>Acceptable range [2018,2021]</t>
  </si>
  <si>
    <t>End Year</t>
  </si>
  <si>
    <t>C. City Population and GDP</t>
  </si>
  <si>
    <t>Population in Base Year</t>
  </si>
  <si>
    <t>Thousand of people</t>
  </si>
  <si>
    <t>Annual population growth (Base Year - End Year)</t>
  </si>
  <si>
    <t>% people</t>
  </si>
  <si>
    <t>GDP in Base Year</t>
  </si>
  <si>
    <t>Million US$</t>
  </si>
  <si>
    <t>Annual GDP growth rate</t>
  </si>
  <si>
    <t>% US$</t>
  </si>
  <si>
    <t>Share of manufacturing GDP</t>
  </si>
  <si>
    <t>Share of State population</t>
  </si>
  <si>
    <t>Share of State GDP</t>
  </si>
  <si>
    <t>Adjustment from state manufacturing GDP</t>
  </si>
  <si>
    <t>D. Climate Data</t>
  </si>
  <si>
    <t>Heating degree days (HDD)</t>
  </si>
  <si>
    <t>F</t>
  </si>
  <si>
    <t>Cooling degree days (CDD)</t>
  </si>
  <si>
    <t>Correction from State HDD</t>
  </si>
  <si>
    <t>Correction from State CDD</t>
  </si>
  <si>
    <t>Annual precipitation</t>
  </si>
  <si>
    <t>mm / year</t>
  </si>
  <si>
    <t>Climate change scenario</t>
  </si>
  <si>
    <t>RCP4.5</t>
  </si>
  <si>
    <t>Average temperature increase in 1980-2020</t>
  </si>
  <si>
    <t>Forecasted average temperature increase in 2035-2065</t>
  </si>
  <si>
    <t>Forecasted average temperature increase in 2070-2100</t>
  </si>
  <si>
    <t>*Climate change scenario description can be found in the Lists sheet.</t>
  </si>
  <si>
    <t>E. Energy scenario</t>
  </si>
  <si>
    <t>AEO energy scenario</t>
  </si>
  <si>
    <t>lowmachighZTC</t>
  </si>
  <si>
    <t>Electricity technology scenario</t>
  </si>
  <si>
    <t>Moderate</t>
  </si>
  <si>
    <t>Transport technology scenario</t>
  </si>
  <si>
    <t>Mid</t>
  </si>
  <si>
    <t>District energy</t>
  </si>
  <si>
    <t>Yes</t>
  </si>
  <si>
    <t>* Energy scenario description can be foundin the Lists sheet.</t>
  </si>
  <si>
    <t>Sector</t>
  </si>
  <si>
    <t>Sub-sector</t>
  </si>
  <si>
    <t>Archetype</t>
  </si>
  <si>
    <t xml:space="preserve">Vintage </t>
  </si>
  <si>
    <t>End Use</t>
  </si>
  <si>
    <t>Technology</t>
  </si>
  <si>
    <t>Energy</t>
  </si>
  <si>
    <t>Input Label</t>
  </si>
  <si>
    <t>Output Label</t>
  </si>
  <si>
    <t>Technology Label</t>
  </si>
  <si>
    <t>Capacity Unit</t>
  </si>
  <si>
    <t>Main fuel</t>
  </si>
  <si>
    <t>To include</t>
  </si>
  <si>
    <t>First year of availability</t>
  </si>
  <si>
    <t>Lifetime (yr)</t>
  </si>
  <si>
    <t>MAX FUEL SHARE (%)</t>
  </si>
  <si>
    <t>EFF (Vkm/MJ)</t>
  </si>
  <si>
    <t>CAPEX (Thousands US$ 2023 / Mvkm)</t>
  </si>
  <si>
    <t>Fixed OPEX (Thousands US$ 2023 / Mvkm)</t>
  </si>
  <si>
    <t>Transportation</t>
  </si>
  <si>
    <t>Passenger</t>
  </si>
  <si>
    <t>Passenger Car</t>
  </si>
  <si>
    <t>Gasoline ICE Vehicle (spark ignition)</t>
  </si>
  <si>
    <t>Gasoline</t>
  </si>
  <si>
    <t>TRAGSL</t>
  </si>
  <si>
    <t>TRAPASCARDMD</t>
  </si>
  <si>
    <t>TRAPASCARICEVGSL20</t>
  </si>
  <si>
    <t>Mvkm</t>
  </si>
  <si>
    <t>Ethanol</t>
  </si>
  <si>
    <t>TRAETH</t>
  </si>
  <si>
    <t>Gasoline ICE Vehicle (spark ignition with turbo)</t>
  </si>
  <si>
    <t>TRAPASCARICEVTGSL20</t>
  </si>
  <si>
    <t>Gasoline Micro Hybrid Electric Vehicle (spark ignition)</t>
  </si>
  <si>
    <t>TRAPASCARHEVGSL20</t>
  </si>
  <si>
    <t>Gasoline Micro Hybrid Electric Vehicle (spark ignition with turbo)</t>
  </si>
  <si>
    <t>TRAPASCARHEVTGSL20</t>
  </si>
  <si>
    <t>Gasoline Mild Hybrid Electric Vehicle (belt-driven integrated starter generator with spark ignition)</t>
  </si>
  <si>
    <t>TRAPASCARHEVIGSL20</t>
  </si>
  <si>
    <t>Gasoline Mild Hybrid Electric Vehicle (belt-driven integrated starter generator with spark ignition and turbo)</t>
  </si>
  <si>
    <t>Gasoline Power Split Hybrid Electric Vehicle</t>
  </si>
  <si>
    <t>TRAPASCARHEVPGSL20</t>
  </si>
  <si>
    <t>Gasoline Power Split Plug-in Hybrid Electric Vehicle (20-mile electric range)</t>
  </si>
  <si>
    <t>TRAPASCARPHEVPGSL20</t>
  </si>
  <si>
    <t>Battery</t>
  </si>
  <si>
    <t>TRABAT</t>
  </si>
  <si>
    <t>Gasoline Extended Range Plug-in Hybrid Electric Vehicle (50-mile electric range)</t>
  </si>
  <si>
    <t>TRAPASCARPHEVEGSL20</t>
  </si>
  <si>
    <t>Diesel Conventional Compression Ignition Vehicle</t>
  </si>
  <si>
    <t>Diesel</t>
  </si>
  <si>
    <t>TRADSL</t>
  </si>
  <si>
    <t>TRAPASCARICEVDSL20</t>
  </si>
  <si>
    <t>Renewable diesel</t>
  </si>
  <si>
    <t>TRARDS</t>
  </si>
  <si>
    <t>Bio diesel</t>
  </si>
  <si>
    <t>TRABDS</t>
  </si>
  <si>
    <t>Compressed Natural Gas Conventional Vehicle</t>
  </si>
  <si>
    <t>Compressed natural gas</t>
  </si>
  <si>
    <t>TRACNG</t>
  </si>
  <si>
    <t>TRAPASCARICEVCNG20</t>
  </si>
  <si>
    <t>RNG</t>
  </si>
  <si>
    <t>TRARNG</t>
  </si>
  <si>
    <t>Hydrogen Fuel Cell Electric Vehicle (300-mile range)</t>
  </si>
  <si>
    <t>Hydrogen</t>
  </si>
  <si>
    <t>TRAH2G</t>
  </si>
  <si>
    <t>TRAPASCAR300FCEV20</t>
  </si>
  <si>
    <t>Hydrogen Fuel Cell Electric Vehicle (400-mile range)</t>
  </si>
  <si>
    <t>TRAPASCAR400FCEV20</t>
  </si>
  <si>
    <t>Battery Electric Vehicle (200-mile range)</t>
  </si>
  <si>
    <t>TRAPASCAR200BEV20</t>
  </si>
  <si>
    <t>Battery Electric Vehicle (300-mile range)</t>
  </si>
  <si>
    <t>TRAPASCAR300BEV20</t>
  </si>
  <si>
    <t>Battery Electric Vehicle (400-mile range)</t>
  </si>
  <si>
    <t>TRAPASCAR400BEV20</t>
  </si>
  <si>
    <t>Battery Electric Vehicle (500-mile range)</t>
  </si>
  <si>
    <t>TRAPASCAR500BEV20</t>
  </si>
  <si>
    <t>Passenger Truck</t>
  </si>
  <si>
    <t>TRAPASLDTDMD</t>
  </si>
  <si>
    <t>TRAPASLDTICEVGSL20</t>
  </si>
  <si>
    <t>TRAPASLDTICEVTGSL20</t>
  </si>
  <si>
    <t>TRAPASLDTHEVGSL20</t>
  </si>
  <si>
    <t>TRAPASLDTHEVTGSL20</t>
  </si>
  <si>
    <t>TRAPASLDTHEVIGSL20</t>
  </si>
  <si>
    <t>TRAPASLDTHEVPGSL20</t>
  </si>
  <si>
    <t>TRAPASLDTPHEVPGSL20</t>
  </si>
  <si>
    <t>TRAPASLDTPHEVEGSL20</t>
  </si>
  <si>
    <t>TRAPASLDTICEVDSL20</t>
  </si>
  <si>
    <t>TRAPASLDTICEVCNG20</t>
  </si>
  <si>
    <t>TRAPASLDT300FCEV20</t>
  </si>
  <si>
    <t>TRAPASLDT400FCEV20</t>
  </si>
  <si>
    <t>TRAPASLDT200BEV20</t>
  </si>
  <si>
    <t>TRAPASLDT300BEV20</t>
  </si>
  <si>
    <t>TRAPASLDT400BEV20</t>
  </si>
  <si>
    <t>TRAPASLDT500BEV20</t>
  </si>
  <si>
    <t>Motorcycle</t>
  </si>
  <si>
    <t>TRAPASMOTDMD</t>
  </si>
  <si>
    <t>TRAPASMOTICEVGSL20</t>
  </si>
  <si>
    <t>TRAPASMOTICEVTGSL20</t>
  </si>
  <si>
    <t>TRAPASMOTHEVGSL20</t>
  </si>
  <si>
    <t>TRAPASMOTHEVTGSL20</t>
  </si>
  <si>
    <t>TRAPASMOTHEVIGSL20</t>
  </si>
  <si>
    <t>TRAPASMOTHEVPGSL20</t>
  </si>
  <si>
    <t>TRAPASMOTPHEVPGSL20</t>
  </si>
  <si>
    <t>TRAPASMOTPHEVEGSL20</t>
  </si>
  <si>
    <t>TRAPASMOTICEVDSL20</t>
  </si>
  <si>
    <t>TRAPASMOTICEVCNG20</t>
  </si>
  <si>
    <t>TRAPASMOT300FCEV20</t>
  </si>
  <si>
    <t>TRAPASMOT400FCEV20</t>
  </si>
  <si>
    <t>TRAPASMOT200BEV20</t>
  </si>
  <si>
    <t>TRAPASMOT300BEV20</t>
  </si>
  <si>
    <t>TRAPASMOT400BEV20</t>
  </si>
  <si>
    <t>TRAPASMOT500BEV20</t>
  </si>
  <si>
    <t>Freight</t>
  </si>
  <si>
    <t>Light Commercial Truck</t>
  </si>
  <si>
    <t>TRAFRECLTDMD</t>
  </si>
  <si>
    <t>TRAFRECLTICEVGSL20</t>
  </si>
  <si>
    <t>TRAFRECLTICEVTGSL20</t>
  </si>
  <si>
    <t>TRAFRECLTHEVGSL20</t>
  </si>
  <si>
    <t>TRAFRECLTHEVTGSL20</t>
  </si>
  <si>
    <t>TRAFRECLTHEVIGSL20</t>
  </si>
  <si>
    <t>TRAFRECLTHEVPGSL20</t>
  </si>
  <si>
    <t>TRAFRECLTPHEVPGSL20</t>
  </si>
  <si>
    <t>TRAFRECLTPHEVEGSL20</t>
  </si>
  <si>
    <t>TRAFRECLTICEVDSL20</t>
  </si>
  <si>
    <t>TRAFRECLTICEVCNG20</t>
  </si>
  <si>
    <t>TRAFRECLT300FCEV20</t>
  </si>
  <si>
    <t>TRAFRECLT400FCEV20</t>
  </si>
  <si>
    <t>TRAFRECLT200BEV20</t>
  </si>
  <si>
    <t>TRAFRECLT300BEV20</t>
  </si>
  <si>
    <t>TRAFRECLT400BEV20</t>
  </si>
  <si>
    <t>TRAFRECLT500BEV20</t>
  </si>
  <si>
    <t>Refuse Truck</t>
  </si>
  <si>
    <t>Diesel ICE Vehicle</t>
  </si>
  <si>
    <t>TRAFRERFTDMD</t>
  </si>
  <si>
    <t>TRAFRERFTICEVDSL20</t>
  </si>
  <si>
    <t>Diesel ICE Vehicle with Integrated Starter Generator</t>
  </si>
  <si>
    <t>TRAFRERFTICEIDSL20</t>
  </si>
  <si>
    <t>Diesel Parallel Hybrid Electric Vehicle</t>
  </si>
  <si>
    <t>TRAFRERFTHEVPDSL20</t>
  </si>
  <si>
    <t>Diesel Series Plug-in Hybrid Electric Vehicle</t>
  </si>
  <si>
    <t>TRAFRERFTPHEVDSL20</t>
  </si>
  <si>
    <t>Battery Freight</t>
  </si>
  <si>
    <t>TRABAF</t>
  </si>
  <si>
    <t>Hydrogen Fuel Cell Electric Vehicle</t>
  </si>
  <si>
    <t>TRAFRERFTFCEV20</t>
  </si>
  <si>
    <t>Hydrogen Fuel Cell Hybrid Electric Vehicle</t>
  </si>
  <si>
    <t>TRAFRERFTFCHEV20</t>
  </si>
  <si>
    <t>Battery Electric Vehicle</t>
  </si>
  <si>
    <t>TRAFRERFTBEV20</t>
  </si>
  <si>
    <t>Single Unit Long-haul Truck</t>
  </si>
  <si>
    <t>TRAFRESLHDMD</t>
  </si>
  <si>
    <t>TRAFRESLHICEVDSL20</t>
  </si>
  <si>
    <t>TRAFRESLHICEIDSL20</t>
  </si>
  <si>
    <t>TRAFRESLHHEVPDSL20</t>
  </si>
  <si>
    <t>TRAFRESLHPHEVDSL20</t>
  </si>
  <si>
    <t>TRAFRESLHFCEV20</t>
  </si>
  <si>
    <t>TRAFRESLHFCHEV20</t>
  </si>
  <si>
    <t>TRAFRESLHBEV20</t>
  </si>
  <si>
    <t>Single Unit Short-haul Truck</t>
  </si>
  <si>
    <t>TRAFRESSHDMD</t>
  </si>
  <si>
    <t>TRAFRESSHICEVDSL20</t>
  </si>
  <si>
    <t>TRAFRESSHICEIDSL20</t>
  </si>
  <si>
    <t>TRAFRESSHHEVPDSL20</t>
  </si>
  <si>
    <t>TRAFRESSHPHEVDSL20</t>
  </si>
  <si>
    <t>TRAFRESSHFCEV20</t>
  </si>
  <si>
    <t>TRAFRESSHFCHEV20</t>
  </si>
  <si>
    <t>TRAFRESSHBEV20</t>
  </si>
  <si>
    <t>Combination Long-haul Truck</t>
  </si>
  <si>
    <t>TRAFRECLHDMD</t>
  </si>
  <si>
    <t>TRAFRECLHICEVDSL20</t>
  </si>
  <si>
    <t>TRAFRECLHICEIDSL20</t>
  </si>
  <si>
    <t>TRAFRECLHHEVPDSL20</t>
  </si>
  <si>
    <t>TRAFRECLHPHEVDSL20</t>
  </si>
  <si>
    <t>TRAFRECLHFCEV20</t>
  </si>
  <si>
    <t>TRAFRECLHFCHEV20</t>
  </si>
  <si>
    <t>TRAFRECLHBEV20</t>
  </si>
  <si>
    <t>Combination Short-haul Truck</t>
  </si>
  <si>
    <t>TRAFRECSHDMD</t>
  </si>
  <si>
    <t>TRAFRECSHICEVDSL20</t>
  </si>
  <si>
    <t>TRAFRECSHICEIDSL20</t>
  </si>
  <si>
    <t>TRAFRECSHHEVPDSL20</t>
  </si>
  <si>
    <t>TRAFRECSHPHEVDSL20</t>
  </si>
  <si>
    <t>TRAFRECSHFCEV20</t>
  </si>
  <si>
    <t>TRAFRECSHFCHEV20</t>
  </si>
  <si>
    <t>TRAFRECSHBEV20</t>
  </si>
  <si>
    <t>Transit Bus</t>
  </si>
  <si>
    <t>TRAPASTBUDMD</t>
  </si>
  <si>
    <t>TRAPASTBUICEVDSL20</t>
  </si>
  <si>
    <t>TRAPASTBUICEIDSL20</t>
  </si>
  <si>
    <t>TRAPASTBUHEVPDSL20</t>
  </si>
  <si>
    <t>TRAPASTBUPHEVDSL20</t>
  </si>
  <si>
    <t>TRAPASTBUFCEV20</t>
  </si>
  <si>
    <t>TRAPASTBUFCHEV20</t>
  </si>
  <si>
    <t>TRAPASTBUBEV20</t>
  </si>
  <si>
    <t>School Bus</t>
  </si>
  <si>
    <t>TRAPASSBUDMD</t>
  </si>
  <si>
    <t>TRAPASSBUICEVDSL20</t>
  </si>
  <si>
    <t>TRAPASSBUICEIDSL20</t>
  </si>
  <si>
    <t>TRAPASSBUHEVPDSL20</t>
  </si>
  <si>
    <t>TRAPASSBUPHEVDSL20</t>
  </si>
  <si>
    <t>TRAPASSBUFCEV20</t>
  </si>
  <si>
    <t>TRAPASSBUFCHEV20</t>
  </si>
  <si>
    <t>TRAPASSBUBEV20</t>
  </si>
  <si>
    <t>Other Buses</t>
  </si>
  <si>
    <t>TRAPASOBUDMD</t>
  </si>
  <si>
    <t>TRAPASOBUICEVDSL20</t>
  </si>
  <si>
    <t>TRAPASOBUICEIDSL20</t>
  </si>
  <si>
    <t>TRAPASOBUHEVPDSL20</t>
  </si>
  <si>
    <t>TRAPASOBUPHEVDSL20</t>
  </si>
  <si>
    <t>TRAPASOBUFCEV20</t>
  </si>
  <si>
    <t>TRAPASOBUFCHEV20</t>
  </si>
  <si>
    <t>TRAPASOBUBEV20</t>
  </si>
  <si>
    <t>Other</t>
  </si>
  <si>
    <t>Off-Road</t>
  </si>
  <si>
    <t>TRAOTHOFRDMD</t>
  </si>
  <si>
    <t>TRAOTHOFRICEVDSL20</t>
  </si>
  <si>
    <t>TRAOTHOFRICEIDSL20</t>
  </si>
  <si>
    <t>TRAOTHOFRHEVPDSL20</t>
  </si>
  <si>
    <t>TRAOTHOFRPHEVDSL20</t>
  </si>
  <si>
    <t>TRAOTHOFRFCEV20</t>
  </si>
  <si>
    <t>TRAOTHOFRFCHEV20</t>
  </si>
  <si>
    <t>TRAOTHOFRBEV20</t>
  </si>
  <si>
    <t>Bicycle</t>
  </si>
  <si>
    <t>N/a</t>
  </si>
  <si>
    <t>TRA</t>
  </si>
  <si>
    <t>TRAPASBICDMD</t>
  </si>
  <si>
    <t>TRAPASBIC20</t>
  </si>
  <si>
    <t>Walk</t>
  </si>
  <si>
    <t>TRAPASWALDMD</t>
  </si>
  <si>
    <t>TRAPASWAL20</t>
  </si>
  <si>
    <t>Rail</t>
  </si>
  <si>
    <t>TRAPASRAIDMD</t>
  </si>
  <si>
    <t>TRAPASRAIICEVDSL20</t>
  </si>
  <si>
    <t>Electric Propulsion Vehicle</t>
  </si>
  <si>
    <t>Electricity</t>
  </si>
  <si>
    <t>TRAELC</t>
  </si>
  <si>
    <t>TRAPASRAIPROELC20</t>
  </si>
  <si>
    <t>TRAPASRAIFCEV20</t>
  </si>
  <si>
    <t>Tram</t>
  </si>
  <si>
    <t>TRAPASTRMDMD</t>
  </si>
  <si>
    <t>TRAPASTRMPROELC20</t>
  </si>
  <si>
    <t>Subway</t>
  </si>
  <si>
    <t>TRAPASSUBDMD</t>
  </si>
  <si>
    <t>TRAPASSUBPROELC20</t>
  </si>
  <si>
    <t>Waterborne</t>
  </si>
  <si>
    <t>TRAOTHWATDMD</t>
  </si>
  <si>
    <t>TRAOTHWATICEVDSL20</t>
  </si>
  <si>
    <t>Diesel ICE Vehicle Direct Injection</t>
  </si>
  <si>
    <t>Diesel HYB Vehicle</t>
  </si>
  <si>
    <t>TRAOTHWATHYBDSL20</t>
  </si>
  <si>
    <t>Fuel oil ICE Vehicle</t>
  </si>
  <si>
    <t>Fuel oil</t>
  </si>
  <si>
    <t>TRAFOI</t>
  </si>
  <si>
    <t>TRAOTHWATICEFOI20</t>
  </si>
  <si>
    <t>Fuel oil ICE Vehicle Direct Injection</t>
  </si>
  <si>
    <t>TRAOTHWATICEDFOI20</t>
  </si>
  <si>
    <t>Fuel oil HYB Vehicle</t>
  </si>
  <si>
    <t>TRAOTHWATHYBFOI20</t>
  </si>
  <si>
    <t>Aviation</t>
  </si>
  <si>
    <t>Turbo-reactor</t>
  </si>
  <si>
    <t>Aviation turbo-fuel</t>
  </si>
  <si>
    <t>TRAATF</t>
  </si>
  <si>
    <t>TRAOTHAIRDMD</t>
  </si>
  <si>
    <t>TRAOTHAIRTURREA20</t>
  </si>
  <si>
    <t>Sustainable aviation fuel</t>
  </si>
  <si>
    <t>TRASAF</t>
  </si>
  <si>
    <t>Turbo-reactor Wing Tip Device</t>
  </si>
  <si>
    <t>TRAOTHAIRTURWTD20</t>
  </si>
  <si>
    <t>Turbo-reactor Hydrogen</t>
  </si>
  <si>
    <t>TRAOTHAIRTURHH220</t>
  </si>
  <si>
    <t>Turbo-reactor Fuel-cell Auxiliary Power Unit (APU)</t>
  </si>
  <si>
    <t>TRAOTHAIRTURFCE20</t>
  </si>
  <si>
    <t>Turbo-reactor Blended Wing Design</t>
  </si>
  <si>
    <t>TRAOTHAIRTURBWD20</t>
  </si>
  <si>
    <t>Turbo-reactor Subtle Aerodynamic Improvements</t>
  </si>
  <si>
    <t>TRAOTHAIRTURSAI20</t>
  </si>
  <si>
    <t>Turbo-reactor High Bypass Ratio Engine</t>
  </si>
  <si>
    <t>TRAOTHAIRTURHBR20</t>
  </si>
  <si>
    <t>Turbo-reactor Geared Jet Engine</t>
  </si>
  <si>
    <t>TRAOTHAIRTURGJE20</t>
  </si>
  <si>
    <t>Turbo-reactor Open Rotor Engine (Propfan)</t>
  </si>
  <si>
    <t>TRAOTHAIRTURORE20</t>
  </si>
  <si>
    <t>Aviation Gasoline ICE Vehicle</t>
  </si>
  <si>
    <t>Aviation gasoline</t>
  </si>
  <si>
    <t>TRAAGA</t>
  </si>
  <si>
    <t>TRAOTHAIRICEVAGA20</t>
  </si>
  <si>
    <t>Aviation Gasoline ICE Vehicle Improved</t>
  </si>
  <si>
    <t>TRAOTHAIRICEIAGA20</t>
  </si>
  <si>
    <t>*</t>
  </si>
  <si>
    <t>https://theicct.org/sites/default/files/publications/ICCT_EV_HDVs_Infrastructure_20190809.pdf</t>
  </si>
  <si>
    <t>Light-duty</t>
  </si>
  <si>
    <t>Residential Charging Station</t>
  </si>
  <si>
    <t>TRALDTRESCHA19</t>
  </si>
  <si>
    <t>MW</t>
  </si>
  <si>
    <t>Commercial 120V  Charging Station</t>
  </si>
  <si>
    <t>TRALDTCOM1CHA19</t>
  </si>
  <si>
    <t>Commercial 240V  Charging Station</t>
  </si>
  <si>
    <t>TRALDTCOM2CHA19</t>
  </si>
  <si>
    <t>Public  Charging Station</t>
  </si>
  <si>
    <t>TRALDTPUBCHA19</t>
  </si>
  <si>
    <t>Heavy-duty</t>
  </si>
  <si>
    <t>Slow Charging Station</t>
  </si>
  <si>
    <t>TRAHDTSLWCHA19</t>
  </si>
  <si>
    <t>Fast Charging Station</t>
  </si>
  <si>
    <t>TRAHDTFASCHA19</t>
  </si>
  <si>
    <t>~FI_Process</t>
  </si>
  <si>
    <t>Sets</t>
  </si>
  <si>
    <t>TechName</t>
  </si>
  <si>
    <t>TechDesc</t>
  </si>
  <si>
    <t>Tact</t>
  </si>
  <si>
    <t>Tcap</t>
  </si>
  <si>
    <t>Tslvl</t>
  </si>
  <si>
    <t>PrimaryCG</t>
  </si>
  <si>
    <t>Vintage</t>
  </si>
  <si>
    <t>*Process Set Membership</t>
  </si>
  <si>
    <t>Technology Name</t>
  </si>
  <si>
    <t>Technology Description</t>
  </si>
  <si>
    <t>Activity Unit</t>
  </si>
  <si>
    <t>TimeSlice level of Process Activity</t>
  </si>
  <si>
    <t>Primary Commodity Group</t>
  </si>
  <si>
    <t>Vintage Tracking</t>
  </si>
  <si>
    <t>~FI_Comm</t>
  </si>
  <si>
    <t>Csets</t>
  </si>
  <si>
    <t>CommName</t>
  </si>
  <si>
    <t>CommDesc</t>
  </si>
  <si>
    <t>Unit</t>
  </si>
  <si>
    <t>LimType</t>
  </si>
  <si>
    <t>CTSLvl</t>
  </si>
  <si>
    <t>PeakTS</t>
  </si>
  <si>
    <t>Ctype</t>
  </si>
  <si>
    <t>*Commodity Set Membership</t>
  </si>
  <si>
    <t>Commodity Name</t>
  </si>
  <si>
    <t>Commodity Description</t>
  </si>
  <si>
    <t>Sense of the Balance EQN.</t>
  </si>
  <si>
    <t>Timeslice Level</t>
  </si>
  <si>
    <t>Peak Monitoring</t>
  </si>
  <si>
    <t>Electricity Indicator</t>
  </si>
  <si>
    <t>EFF</t>
  </si>
  <si>
    <t>NCAP_COST</t>
  </si>
  <si>
    <t>NCAP_FOM</t>
  </si>
  <si>
    <t>~FI_T</t>
  </si>
  <si>
    <t>Comm-IN</t>
  </si>
  <si>
    <t>Attribute</t>
  </si>
  <si>
    <t>CITY</t>
  </si>
  <si>
    <t>Comm-OUT</t>
  </si>
  <si>
    <t>NCAP_START</t>
  </si>
  <si>
    <t>NCAP_TLIFE</t>
  </si>
  <si>
    <t>PRC_CAPACT</t>
  </si>
  <si>
    <t>NCAP_DRATE</t>
  </si>
  <si>
    <t>Yr</t>
  </si>
  <si>
    <t>Vkma/vkm</t>
  </si>
  <si>
    <t>Out/In</t>
  </si>
  <si>
    <t>k$ / Mvkm</t>
  </si>
  <si>
    <t>k$ / Mvkm /Yr</t>
  </si>
  <si>
    <t>Share~UP</t>
  </si>
  <si>
    <t>NCAP_AF</t>
  </si>
  <si>
    <t>TJ/MW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</si>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</sst>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"/>
    <numFmt numFmtId="165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99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8">
    <xf numFmtId="0" fontId="0" fillId="0" borderId="0"/>
    <xf numFmtId="9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165" fontId="1" fillId="0" borderId="0"/>
    <xf numFmtId="43" fontId="1" fillId="0" borderId="0"/>
  </cellStyleXfs>
  <cellXfs count="17">
    <xf numFmtId="0" fontId="0" fillId="0" borderId="0" xfId="0"/>
    <xf numFmtId="0" fontId="3" fillId="2" borderId="0" xfId="0" applyFont="1" applyFill="1"/>
    <xf numFmtId="0" fontId="0" fillId="2" borderId="0" xfId="0" applyFill="1"/>
    <xf numFmtId="0" fontId="2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164" fontId="0" fillId="0" borderId="0" xfId="0" applyNumberFormat="1"/>
    <xf numFmtId="9" fontId="0" fillId="0" borderId="0" xfId="1" applyFont="1"/>
    <xf numFmtId="0" fontId="4" fillId="0" borderId="0" xfId="0" applyFont="1"/>
    <xf numFmtId="0" fontId="5" fillId="7" borderId="1" xfId="0" applyFont="1" applyFill="1" applyBorder="1"/>
    <xf numFmtId="0" fontId="6" fillId="8" borderId="2" xfId="2" applyFill="1" applyBorder="1" applyAlignment="1">
      <alignment horizontal="left" wrapText="1"/>
    </xf>
    <xf numFmtId="164" fontId="6" fillId="8" borderId="2" xfId="2" applyNumberFormat="1" applyFill="1" applyBorder="1" applyAlignment="1">
      <alignment horizontal="left" wrapText="1"/>
    </xf>
    <xf numFmtId="2" fontId="0" fillId="0" borderId="0" xfId="0" applyNumberFormat="1"/>
    <xf numFmtId="1" fontId="0" fillId="0" borderId="0" xfId="0" applyNumberFormat="1"/>
    <xf numFmtId="43" fontId="0" fillId="0" borderId="0" xfId="7" applyFont="1"/>
  </cellXfs>
  <cellStyles count="8">
    <cellStyle name="Comma" xfId="7" builtinId="3"/>
    <cellStyle name="Comma 2 3" xfId="6" xr:uid="{00000000-0005-0000-0000-000006000000}"/>
    <cellStyle name="Normal" xfId="0" builtinId="0"/>
    <cellStyle name="Normal 10" xfId="2" xr:uid="{00000000-0005-0000-0000-000002000000}"/>
    <cellStyle name="Normal 10 2" xfId="3" xr:uid="{00000000-0005-0000-0000-000003000000}"/>
    <cellStyle name="Normal 2" xfId="4" xr:uid="{00000000-0005-0000-0000-000004000000}"/>
    <cellStyle name="Normal 3" xfId="5" xr:uid="{00000000-0005-0000-0000-000005000000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workbookViewId="0">
      <selection activeCell="G22" sqref="G22"/>
    </sheetView>
  </sheetViews>
  <sheetFormatPr defaultColWidth="8.85546875" defaultRowHeight="15" x14ac:dyDescent="0.25"/>
  <cols>
    <col min="1" max="26" width="8.85546875" style="2" customWidth="1"/>
    <col min="27" max="16384" width="8.85546875" style="2"/>
  </cols>
  <sheetData>
    <row r="1" spans="1:3" s="1" customFormat="1" ht="23.45" customHeight="1" x14ac:dyDescent="0.35">
      <c r="A1" s="1" t="s">
        <v>0</v>
      </c>
    </row>
    <row r="2" spans="1:3" s="1" customFormat="1" ht="23.45" customHeight="1" x14ac:dyDescent="0.35"/>
    <row r="3" spans="1:3" x14ac:dyDescent="0.25">
      <c r="B3" s="3" t="s">
        <v>1</v>
      </c>
    </row>
    <row r="4" spans="1:3" x14ac:dyDescent="0.25">
      <c r="B4" s="4"/>
      <c r="C4" s="2" t="s">
        <v>2</v>
      </c>
    </row>
    <row r="6" spans="1:3" x14ac:dyDescent="0.25">
      <c r="B6" s="5"/>
      <c r="C6" s="2" t="s">
        <v>3</v>
      </c>
    </row>
    <row r="8" spans="1:3" x14ac:dyDescent="0.25">
      <c r="B8" s="6"/>
      <c r="C8" s="2" t="s">
        <v>4</v>
      </c>
    </row>
    <row r="10" spans="1:3" x14ac:dyDescent="0.25">
      <c r="B10" s="7"/>
      <c r="C10" s="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7" tint="0.39997558519241921"/>
  </sheetPr>
  <dimension ref="A1"/>
  <sheetViews>
    <sheetView workbookViewId="0">
      <selection activeCell="C6" sqref="C6"/>
    </sheetView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F54"/>
  <sheetViews>
    <sheetView topLeftCell="A6" zoomScaleNormal="100" workbookViewId="0">
      <selection activeCell="C6" sqref="C6"/>
    </sheetView>
  </sheetViews>
  <sheetFormatPr defaultColWidth="8.85546875" defaultRowHeight="15" x14ac:dyDescent="0.25"/>
  <cols>
    <col min="1" max="1" width="8.85546875" style="2" customWidth="1"/>
    <col min="2" max="2" width="47.7109375" style="2" customWidth="1"/>
    <col min="3" max="3" width="26.140625" style="2" customWidth="1"/>
    <col min="4" max="4" width="14.42578125" style="2" customWidth="1"/>
    <col min="5" max="13" width="10.85546875" style="2" customWidth="1"/>
    <col min="14" max="39" width="8.85546875" style="2" customWidth="1"/>
    <col min="40" max="16384" width="8.85546875" style="2"/>
  </cols>
  <sheetData>
    <row r="2" spans="2:4" ht="18" customHeight="1" thickBot="1" x14ac:dyDescent="0.3">
      <c r="B2" t="s">
        <v>6</v>
      </c>
    </row>
    <row r="3" spans="2:4" ht="15" customHeight="1" thickTop="1" x14ac:dyDescent="0.25"/>
    <row r="4" spans="2:4" ht="15" customHeight="1" thickBot="1" x14ac:dyDescent="0.3">
      <c r="B4" t="s">
        <v>7</v>
      </c>
      <c r="C4" t="s">
        <v>8</v>
      </c>
    </row>
    <row r="6" spans="2:4" x14ac:dyDescent="0.25">
      <c r="B6" t="s">
        <v>9</v>
      </c>
    </row>
    <row r="7" spans="2:4" ht="15" customHeight="1" thickBot="1" x14ac:dyDescent="0.3">
      <c r="B7" t="s">
        <v>10</v>
      </c>
      <c r="C7" t="s">
        <v>11</v>
      </c>
      <c r="D7" t="s">
        <v>12</v>
      </c>
    </row>
    <row r="8" spans="2:4" x14ac:dyDescent="0.25">
      <c r="B8" t="s">
        <v>13</v>
      </c>
      <c r="C8" t="s">
        <v>14</v>
      </c>
    </row>
    <row r="9" spans="2:4" x14ac:dyDescent="0.25">
      <c r="B9" t="s">
        <v>15</v>
      </c>
      <c r="C9">
        <v>40.5</v>
      </c>
    </row>
    <row r="10" spans="2:4" x14ac:dyDescent="0.25">
      <c r="B10" t="s">
        <v>16</v>
      </c>
      <c r="C10">
        <v>-75</v>
      </c>
    </row>
    <row r="11" spans="2:4" x14ac:dyDescent="0.25">
      <c r="B11" t="s">
        <v>17</v>
      </c>
      <c r="C11" t="s">
        <v>18</v>
      </c>
    </row>
    <row r="12" spans="2:4" x14ac:dyDescent="0.25">
      <c r="B12" t="s">
        <v>19</v>
      </c>
      <c r="C12" t="s">
        <v>14</v>
      </c>
    </row>
    <row r="13" spans="2:4" x14ac:dyDescent="0.25">
      <c r="B13" t="s">
        <v>20</v>
      </c>
      <c r="C13" t="s">
        <v>21</v>
      </c>
    </row>
    <row r="14" spans="2:4" x14ac:dyDescent="0.25">
      <c r="B14" t="s">
        <v>22</v>
      </c>
      <c r="C14" t="s">
        <v>23</v>
      </c>
    </row>
    <row r="15" spans="2:4" x14ac:dyDescent="0.25">
      <c r="B15" t="s">
        <v>24</v>
      </c>
      <c r="C15" t="s">
        <v>25</v>
      </c>
    </row>
    <row r="16" spans="2:4" x14ac:dyDescent="0.25">
      <c r="B16" t="s">
        <v>26</v>
      </c>
      <c r="C16">
        <v>778</v>
      </c>
      <c r="D16" t="s">
        <v>27</v>
      </c>
    </row>
    <row r="17" spans="2:4" x14ac:dyDescent="0.25">
      <c r="B17" t="s">
        <v>28</v>
      </c>
    </row>
    <row r="18" spans="2:4" x14ac:dyDescent="0.25">
      <c r="B18" t="s">
        <v>29</v>
      </c>
    </row>
    <row r="19" spans="2:4" ht="15" customHeight="1" thickBot="1" x14ac:dyDescent="0.3">
      <c r="B19" t="s">
        <v>30</v>
      </c>
      <c r="C19" t="s">
        <v>11</v>
      </c>
      <c r="D19" t="s">
        <v>12</v>
      </c>
    </row>
    <row r="20" spans="2:4" x14ac:dyDescent="0.25">
      <c r="B20" t="s">
        <v>31</v>
      </c>
      <c r="C20">
        <v>2019</v>
      </c>
      <c r="D20" t="s">
        <v>32</v>
      </c>
    </row>
    <row r="21" spans="2:4" x14ac:dyDescent="0.25">
      <c r="B21" t="s">
        <v>33</v>
      </c>
      <c r="C21">
        <v>2050</v>
      </c>
    </row>
    <row r="23" spans="2:4" x14ac:dyDescent="0.25">
      <c r="B23" t="s">
        <v>34</v>
      </c>
    </row>
    <row r="24" spans="2:4" ht="15" customHeight="1" thickBot="1" x14ac:dyDescent="0.3">
      <c r="B24" t="s">
        <v>10</v>
      </c>
      <c r="C24" t="s">
        <v>11</v>
      </c>
      <c r="D24" t="s">
        <v>12</v>
      </c>
    </row>
    <row r="25" spans="2:4" x14ac:dyDescent="0.25">
      <c r="B25" t="s">
        <v>35</v>
      </c>
      <c r="C25">
        <v>8337</v>
      </c>
      <c r="D25" t="s">
        <v>36</v>
      </c>
    </row>
    <row r="26" spans="2:4" x14ac:dyDescent="0.25">
      <c r="B26" t="s">
        <v>37</v>
      </c>
      <c r="C26">
        <v>0.5</v>
      </c>
      <c r="D26" t="s">
        <v>38</v>
      </c>
    </row>
    <row r="27" spans="2:4" x14ac:dyDescent="0.25">
      <c r="B27" t="s">
        <v>39</v>
      </c>
      <c r="C27">
        <v>1206000</v>
      </c>
      <c r="D27" t="s">
        <v>40</v>
      </c>
    </row>
    <row r="28" spans="2:4" x14ac:dyDescent="0.25">
      <c r="B28" t="s">
        <v>41</v>
      </c>
      <c r="C28">
        <v>2</v>
      </c>
      <c r="D28" t="s">
        <v>42</v>
      </c>
    </row>
    <row r="29" spans="2:4" x14ac:dyDescent="0.25">
      <c r="B29" t="s">
        <v>43</v>
      </c>
      <c r="C29">
        <v>5</v>
      </c>
      <c r="D29" t="s">
        <v>42</v>
      </c>
    </row>
    <row r="30" spans="2:4" x14ac:dyDescent="0.25">
      <c r="B30" t="s">
        <v>44</v>
      </c>
      <c r="C30">
        <v>0.42835123053999902</v>
      </c>
    </row>
    <row r="31" spans="2:4" x14ac:dyDescent="0.25">
      <c r="B31" t="s">
        <v>45</v>
      </c>
      <c r="C31">
        <v>0.67251771953144812</v>
      </c>
    </row>
    <row r="32" spans="2:4" x14ac:dyDescent="0.25">
      <c r="B32" t="s">
        <v>46</v>
      </c>
      <c r="C32">
        <v>1.063829787234043</v>
      </c>
    </row>
    <row r="34" spans="2:6" x14ac:dyDescent="0.25">
      <c r="B34" t="s">
        <v>47</v>
      </c>
    </row>
    <row r="35" spans="2:6" ht="15" customHeight="1" thickBot="1" x14ac:dyDescent="0.3">
      <c r="B35" t="s">
        <v>10</v>
      </c>
      <c r="C35">
        <v>2000</v>
      </c>
      <c r="D35">
        <v>2050</v>
      </c>
      <c r="E35">
        <v>2100</v>
      </c>
      <c r="F35" t="s">
        <v>12</v>
      </c>
    </row>
    <row r="36" spans="2:6" x14ac:dyDescent="0.25">
      <c r="B36" t="s">
        <v>48</v>
      </c>
      <c r="C36">
        <v>4473.4625000000005</v>
      </c>
      <c r="D36">
        <v>4066.4182142857139</v>
      </c>
      <c r="E36">
        <v>3763.8582142857172</v>
      </c>
      <c r="F36" t="s">
        <v>49</v>
      </c>
    </row>
    <row r="37" spans="2:6" x14ac:dyDescent="0.25">
      <c r="B37" t="s">
        <v>50</v>
      </c>
      <c r="C37">
        <v>1020.733333333334</v>
      </c>
      <c r="D37">
        <v>1224.255476190476</v>
      </c>
      <c r="E37">
        <v>1375.5354761904771</v>
      </c>
      <c r="F37" t="s">
        <v>49</v>
      </c>
    </row>
    <row r="39" spans="2:6" ht="15" customHeight="1" thickBot="1" x14ac:dyDescent="0.3">
      <c r="B39" t="s">
        <v>10</v>
      </c>
      <c r="C39" t="s">
        <v>11</v>
      </c>
      <c r="D39" t="s">
        <v>12</v>
      </c>
    </row>
    <row r="40" spans="2:6" x14ac:dyDescent="0.25">
      <c r="B40" t="s">
        <v>51</v>
      </c>
      <c r="C40">
        <v>0.72727402048447432</v>
      </c>
    </row>
    <row r="41" spans="2:6" x14ac:dyDescent="0.25">
      <c r="B41" t="s">
        <v>52</v>
      </c>
      <c r="C41">
        <v>1.558371501272265</v>
      </c>
    </row>
    <row r="42" spans="2:6" x14ac:dyDescent="0.25">
      <c r="B42" t="s">
        <v>53</v>
      </c>
      <c r="C42">
        <v>762</v>
      </c>
      <c r="D42" t="s">
        <v>54</v>
      </c>
    </row>
    <row r="43" spans="2:6" x14ac:dyDescent="0.25">
      <c r="B43" t="s">
        <v>55</v>
      </c>
      <c r="C43" t="s">
        <v>56</v>
      </c>
    </row>
    <row r="44" spans="2:6" x14ac:dyDescent="0.25">
      <c r="B44" t="s">
        <v>57</v>
      </c>
      <c r="C44">
        <v>1.461785714285714</v>
      </c>
      <c r="D44" t="s">
        <v>49</v>
      </c>
    </row>
    <row r="45" spans="2:6" x14ac:dyDescent="0.25">
      <c r="B45" t="s">
        <v>58</v>
      </c>
      <c r="C45">
        <v>3.13</v>
      </c>
      <c r="D45" t="s">
        <v>49</v>
      </c>
    </row>
    <row r="46" spans="2:6" x14ac:dyDescent="0.25">
      <c r="B46" t="s">
        <v>59</v>
      </c>
      <c r="C46">
        <v>4.37</v>
      </c>
      <c r="D46" t="s">
        <v>49</v>
      </c>
    </row>
    <row r="47" spans="2:6" x14ac:dyDescent="0.25">
      <c r="B47" t="s">
        <v>60</v>
      </c>
    </row>
    <row r="48" spans="2:6" x14ac:dyDescent="0.25">
      <c r="B48" t="s">
        <v>61</v>
      </c>
    </row>
    <row r="49" spans="2:4" ht="15" customHeight="1" thickBot="1" x14ac:dyDescent="0.3">
      <c r="B49" t="s">
        <v>10</v>
      </c>
      <c r="C49" t="s">
        <v>11</v>
      </c>
      <c r="D49" t="s">
        <v>12</v>
      </c>
    </row>
    <row r="50" spans="2:4" x14ac:dyDescent="0.25">
      <c r="B50" t="s">
        <v>62</v>
      </c>
      <c r="C50" t="s">
        <v>63</v>
      </c>
    </row>
    <row r="51" spans="2:4" x14ac:dyDescent="0.25">
      <c r="B51" t="s">
        <v>64</v>
      </c>
      <c r="C51" t="s">
        <v>65</v>
      </c>
    </row>
    <row r="52" spans="2:4" x14ac:dyDescent="0.25">
      <c r="B52" t="s">
        <v>66</v>
      </c>
      <c r="C52" t="s">
        <v>67</v>
      </c>
    </row>
    <row r="53" spans="2:4" x14ac:dyDescent="0.25">
      <c r="B53" t="s">
        <v>68</v>
      </c>
      <c r="C53" t="s">
        <v>69</v>
      </c>
    </row>
    <row r="54" spans="2:4" x14ac:dyDescent="0.25">
      <c r="B54" t="s">
        <v>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0.39997558519241921"/>
  </sheetPr>
  <dimension ref="A1"/>
  <sheetViews>
    <sheetView workbookViewId="0">
      <selection activeCell="I25" sqref="I25"/>
    </sheetView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K326"/>
  <sheetViews>
    <sheetView topLeftCell="A283" zoomScale="85" zoomScaleNormal="85" workbookViewId="0">
      <selection activeCell="M3" sqref="M3"/>
    </sheetView>
  </sheetViews>
  <sheetFormatPr defaultRowHeight="15" x14ac:dyDescent="0.25"/>
  <cols>
    <col min="1" max="1" width="9.85546875" bestFit="1" customWidth="1"/>
    <col min="2" max="2" width="9.7109375" bestFit="1" customWidth="1"/>
    <col min="3" max="3" width="19.140625" bestFit="1" customWidth="1"/>
    <col min="4" max="4" width="7.5703125" bestFit="1" customWidth="1"/>
    <col min="5" max="5" width="14.28515625" bestFit="1" customWidth="1"/>
    <col min="6" max="6" width="104" bestFit="1" customWidth="1"/>
    <col min="7" max="7" width="10.28515625" bestFit="1" customWidth="1"/>
    <col min="8" max="8" width="10.28515625" customWidth="1"/>
    <col min="9" max="9" width="20.85546875" bestFit="1" customWidth="1"/>
    <col min="10" max="10" width="25.42578125" bestFit="1" customWidth="1"/>
    <col min="11" max="11" width="25.42578125" customWidth="1"/>
    <col min="12" max="12" width="10" bestFit="1" customWidth="1"/>
    <col min="13" max="13" width="10.7109375" bestFit="1" customWidth="1"/>
    <col min="14" max="26" width="14" style="8" customWidth="1"/>
    <col min="27" max="30" width="13.7109375" style="8" bestFit="1" customWidth="1"/>
    <col min="31" max="37" width="12.5703125" style="8" bestFit="1" customWidth="1"/>
  </cols>
  <sheetData>
    <row r="1" spans="1:37" x14ac:dyDescent="0.25">
      <c r="Q1">
        <v>2020</v>
      </c>
      <c r="R1">
        <v>2025</v>
      </c>
      <c r="S1">
        <v>2030</v>
      </c>
      <c r="T1">
        <v>2035</v>
      </c>
      <c r="U1">
        <v>2040</v>
      </c>
      <c r="V1">
        <v>2045</v>
      </c>
      <c r="W1">
        <v>2050</v>
      </c>
      <c r="X1">
        <v>2020</v>
      </c>
      <c r="Y1">
        <v>2025</v>
      </c>
      <c r="Z1">
        <v>2030</v>
      </c>
      <c r="AA1">
        <v>2035</v>
      </c>
      <c r="AB1">
        <v>2040</v>
      </c>
      <c r="AC1">
        <v>2045</v>
      </c>
      <c r="AD1">
        <v>2050</v>
      </c>
      <c r="AE1">
        <v>2020</v>
      </c>
      <c r="AF1">
        <v>2025</v>
      </c>
      <c r="AG1">
        <v>2030</v>
      </c>
      <c r="AH1">
        <v>2035</v>
      </c>
      <c r="AI1">
        <v>2040</v>
      </c>
      <c r="AJ1">
        <v>2045</v>
      </c>
      <c r="AK1">
        <v>2050</v>
      </c>
    </row>
    <row r="2" spans="1:37" x14ac:dyDescent="0.25">
      <c r="A2" t="s">
        <v>71</v>
      </c>
      <c r="B2" t="s">
        <v>72</v>
      </c>
      <c r="C2" t="s">
        <v>73</v>
      </c>
      <c r="D2" t="s">
        <v>74</v>
      </c>
      <c r="E2" t="s">
        <v>75</v>
      </c>
      <c r="F2" t="s">
        <v>76</v>
      </c>
      <c r="G2" t="s">
        <v>77</v>
      </c>
      <c r="H2" t="s">
        <v>78</v>
      </c>
      <c r="I2" t="s">
        <v>79</v>
      </c>
      <c r="J2" t="s">
        <v>80</v>
      </c>
      <c r="K2" t="s">
        <v>81</v>
      </c>
      <c r="L2" t="s">
        <v>82</v>
      </c>
      <c r="M2" t="s">
        <v>83</v>
      </c>
      <c r="N2" t="s">
        <v>84</v>
      </c>
      <c r="O2" t="s">
        <v>85</v>
      </c>
      <c r="P2" t="s">
        <v>86</v>
      </c>
      <c r="Q2" t="s">
        <v>87</v>
      </c>
      <c r="X2" t="s">
        <v>88</v>
      </c>
      <c r="AE2" t="s">
        <v>89</v>
      </c>
    </row>
    <row r="3" spans="1:37" x14ac:dyDescent="0.25">
      <c r="A3" t="s">
        <v>90</v>
      </c>
      <c r="B3" t="s">
        <v>91</v>
      </c>
      <c r="C3" t="s">
        <v>92</v>
      </c>
      <c r="F3" t="s">
        <v>93</v>
      </c>
      <c r="G3" t="s">
        <v>94</v>
      </c>
      <c r="H3" t="s">
        <v>95</v>
      </c>
      <c r="I3" t="s">
        <v>96</v>
      </c>
      <c r="J3" t="s">
        <v>97</v>
      </c>
      <c r="K3" t="s">
        <v>98</v>
      </c>
      <c r="L3">
        <v>1</v>
      </c>
      <c r="M3">
        <v>1</v>
      </c>
      <c r="N3">
        <v>2020</v>
      </c>
      <c r="O3">
        <v>16.861273869240819</v>
      </c>
      <c r="P3">
        <v>1</v>
      </c>
      <c r="Q3">
        <v>0.37474421364985161</v>
      </c>
      <c r="R3">
        <v>0.36943810089020762</v>
      </c>
      <c r="S3">
        <v>0.4297951335311575</v>
      </c>
      <c r="T3">
        <v>0.46959097922848653</v>
      </c>
      <c r="U3">
        <v>0.49413175074183979</v>
      </c>
      <c r="V3">
        <v>0.51800925816023746</v>
      </c>
      <c r="W3">
        <v>0.54255002967359056</v>
      </c>
      <c r="X3">
        <v>149.3715329654614</v>
      </c>
      <c r="Y3">
        <v>151.8610585148858</v>
      </c>
      <c r="Z3">
        <v>152.21670502194641</v>
      </c>
      <c r="AA3">
        <v>163.9530397549469</v>
      </c>
      <c r="AB3">
        <v>162.17480721964381</v>
      </c>
      <c r="AC3">
        <v>160.04092817728011</v>
      </c>
      <c r="AD3">
        <v>157.90704913491629</v>
      </c>
      <c r="AE3">
        <v>5.2309412939394706</v>
      </c>
      <c r="AF3">
        <v>5.2309412939394706</v>
      </c>
      <c r="AG3">
        <v>5.2309412939394706</v>
      </c>
      <c r="AH3">
        <v>5.2309412939394706</v>
      </c>
      <c r="AI3">
        <v>5.2309412939394706</v>
      </c>
      <c r="AJ3">
        <v>5.2309412939394706</v>
      </c>
      <c r="AK3">
        <v>5.2309412939394706</v>
      </c>
    </row>
    <row r="4" spans="1:37" x14ac:dyDescent="0.25">
      <c r="A4" t="s">
        <v>90</v>
      </c>
      <c r="B4" t="s">
        <v>91</v>
      </c>
      <c r="C4" t="s">
        <v>92</v>
      </c>
      <c r="F4" t="s">
        <v>93</v>
      </c>
      <c r="G4" t="s">
        <v>99</v>
      </c>
      <c r="H4" t="s">
        <v>100</v>
      </c>
      <c r="I4" t="s">
        <v>96</v>
      </c>
      <c r="J4" t="s">
        <v>97</v>
      </c>
      <c r="K4" t="s">
        <v>98</v>
      </c>
      <c r="L4">
        <v>0</v>
      </c>
      <c r="M4">
        <v>1</v>
      </c>
      <c r="N4">
        <v>2020</v>
      </c>
      <c r="O4">
        <v>16.861273869240819</v>
      </c>
      <c r="P4">
        <v>0.1</v>
      </c>
      <c r="Q4">
        <v>0.37474421364985161</v>
      </c>
      <c r="R4">
        <v>0.36943810089020762</v>
      </c>
      <c r="S4">
        <v>0.4297951335311575</v>
      </c>
      <c r="T4">
        <v>0.46959097922848653</v>
      </c>
      <c r="U4">
        <v>0.49413175074183979</v>
      </c>
      <c r="V4">
        <v>0.51800925816023746</v>
      </c>
      <c r="W4">
        <v>0.54255002967359056</v>
      </c>
      <c r="X4">
        <v>149.3715329654614</v>
      </c>
      <c r="Y4">
        <v>151.8610585148858</v>
      </c>
      <c r="Z4">
        <v>152.21670502194641</v>
      </c>
      <c r="AA4">
        <v>163.9530397549469</v>
      </c>
      <c r="AB4">
        <v>162.17480721964381</v>
      </c>
      <c r="AC4">
        <v>160.04092817728011</v>
      </c>
      <c r="AD4">
        <v>157.90704913491629</v>
      </c>
      <c r="AE4">
        <v>5.2309412939394706</v>
      </c>
      <c r="AF4">
        <v>5.2309412939394706</v>
      </c>
      <c r="AG4">
        <v>5.2309412939394706</v>
      </c>
      <c r="AH4">
        <v>5.2309412939394706</v>
      </c>
      <c r="AI4">
        <v>5.2309412939394706</v>
      </c>
      <c r="AJ4">
        <v>5.2309412939394706</v>
      </c>
      <c r="AK4">
        <v>5.2309412939394706</v>
      </c>
    </row>
    <row r="5" spans="1:37" x14ac:dyDescent="0.25">
      <c r="A5" t="s">
        <v>90</v>
      </c>
      <c r="B5" t="s">
        <v>91</v>
      </c>
      <c r="C5" t="s">
        <v>92</v>
      </c>
      <c r="F5" t="s">
        <v>101</v>
      </c>
      <c r="G5" t="s">
        <v>94</v>
      </c>
      <c r="H5" t="s">
        <v>95</v>
      </c>
      <c r="I5" t="s">
        <v>96</v>
      </c>
      <c r="J5" t="s">
        <v>102</v>
      </c>
      <c r="K5" t="s">
        <v>98</v>
      </c>
      <c r="L5">
        <v>1</v>
      </c>
      <c r="M5">
        <v>1</v>
      </c>
      <c r="N5">
        <v>2020</v>
      </c>
      <c r="O5">
        <v>16.861273869240819</v>
      </c>
      <c r="P5">
        <v>1</v>
      </c>
      <c r="Q5">
        <v>0.41785637982195839</v>
      </c>
      <c r="R5">
        <v>0.41586658753709183</v>
      </c>
      <c r="S5">
        <v>0.4662746587537091</v>
      </c>
      <c r="T5">
        <v>0.5054072403560832</v>
      </c>
      <c r="U5">
        <v>0.53326433234421389</v>
      </c>
      <c r="V5">
        <v>0.56112142433234447</v>
      </c>
      <c r="W5">
        <v>0.59030504451038568</v>
      </c>
      <c r="X5">
        <v>157.19575612079501</v>
      </c>
      <c r="Y5">
        <v>156.1288165996132</v>
      </c>
      <c r="Z5">
        <v>159.32963516315871</v>
      </c>
      <c r="AA5">
        <v>165.73127229024999</v>
      </c>
      <c r="AB5">
        <v>165.37562578318929</v>
      </c>
      <c r="AC5">
        <v>165.01997927612871</v>
      </c>
      <c r="AD5">
        <v>164.66433276906821</v>
      </c>
      <c r="AE5">
        <v>5.2309412939394706</v>
      </c>
      <c r="AF5">
        <v>5.2309412939394706</v>
      </c>
      <c r="AG5">
        <v>5.2309412939394706</v>
      </c>
      <c r="AH5">
        <v>5.2309412939394706</v>
      </c>
      <c r="AI5">
        <v>5.2309412939394706</v>
      </c>
      <c r="AJ5">
        <v>5.2309412939394706</v>
      </c>
      <c r="AK5">
        <v>5.2309412939394706</v>
      </c>
    </row>
    <row r="6" spans="1:37" x14ac:dyDescent="0.25">
      <c r="A6" t="s">
        <v>90</v>
      </c>
      <c r="B6" t="s">
        <v>91</v>
      </c>
      <c r="C6" t="s">
        <v>92</v>
      </c>
      <c r="F6" t="s">
        <v>101</v>
      </c>
      <c r="G6" t="s">
        <v>99</v>
      </c>
      <c r="H6" t="s">
        <v>100</v>
      </c>
      <c r="I6" t="s">
        <v>96</v>
      </c>
      <c r="J6" t="s">
        <v>102</v>
      </c>
      <c r="K6" t="s">
        <v>98</v>
      </c>
      <c r="L6">
        <v>0</v>
      </c>
      <c r="M6">
        <v>1</v>
      </c>
      <c r="N6">
        <v>2020</v>
      </c>
      <c r="O6">
        <v>16.861273869240819</v>
      </c>
      <c r="P6">
        <v>0.1</v>
      </c>
      <c r="Q6">
        <v>0.41785637982195839</v>
      </c>
      <c r="R6">
        <v>0.41586658753709183</v>
      </c>
      <c r="S6">
        <v>0.4662746587537091</v>
      </c>
      <c r="T6">
        <v>0.5054072403560832</v>
      </c>
      <c r="U6">
        <v>0.53326433234421389</v>
      </c>
      <c r="V6">
        <v>0.56112142433234447</v>
      </c>
      <c r="W6">
        <v>0.59030504451038568</v>
      </c>
      <c r="X6">
        <v>157.19575612079501</v>
      </c>
      <c r="Y6">
        <v>156.1288165996132</v>
      </c>
      <c r="Z6">
        <v>159.32963516315871</v>
      </c>
      <c r="AA6">
        <v>165.73127229024999</v>
      </c>
      <c r="AB6">
        <v>165.37562578318929</v>
      </c>
      <c r="AC6">
        <v>165.01997927612871</v>
      </c>
      <c r="AD6">
        <v>164.66433276906821</v>
      </c>
      <c r="AE6">
        <v>5.2309412939394706</v>
      </c>
      <c r="AF6">
        <v>5.2309412939394706</v>
      </c>
      <c r="AG6">
        <v>5.2309412939394706</v>
      </c>
      <c r="AH6">
        <v>5.2309412939394706</v>
      </c>
      <c r="AI6">
        <v>5.2309412939394706</v>
      </c>
      <c r="AJ6">
        <v>5.2309412939394706</v>
      </c>
      <c r="AK6">
        <v>5.2309412939394706</v>
      </c>
    </row>
    <row r="7" spans="1:37" x14ac:dyDescent="0.25">
      <c r="A7" t="s">
        <v>90</v>
      </c>
      <c r="B7" t="s">
        <v>91</v>
      </c>
      <c r="C7" t="s">
        <v>92</v>
      </c>
      <c r="F7" t="s">
        <v>103</v>
      </c>
      <c r="G7" t="s">
        <v>94</v>
      </c>
      <c r="H7" t="s">
        <v>95</v>
      </c>
      <c r="I7" t="s">
        <v>96</v>
      </c>
      <c r="J7" t="s">
        <v>104</v>
      </c>
      <c r="K7" t="s">
        <v>98</v>
      </c>
      <c r="L7">
        <v>1</v>
      </c>
      <c r="M7">
        <v>1</v>
      </c>
      <c r="N7">
        <v>2020</v>
      </c>
      <c r="O7">
        <v>16.861273869240819</v>
      </c>
      <c r="P7">
        <v>1</v>
      </c>
      <c r="Q7">
        <v>0.38469317507418399</v>
      </c>
      <c r="R7">
        <v>0.37938706231454028</v>
      </c>
      <c r="S7">
        <v>0.44173388724035628</v>
      </c>
      <c r="T7">
        <v>0.48351952522255193</v>
      </c>
      <c r="U7">
        <v>0.50806029673590525</v>
      </c>
      <c r="V7">
        <v>0.53326433234421344</v>
      </c>
      <c r="W7">
        <v>0.55846836795252219</v>
      </c>
      <c r="X7">
        <v>150.7941189937039</v>
      </c>
      <c r="Y7">
        <v>153.28364454312819</v>
      </c>
      <c r="Z7">
        <v>153.6392910501888</v>
      </c>
      <c r="AA7">
        <v>165.01997927612891</v>
      </c>
      <c r="AB7">
        <v>162.88610023376501</v>
      </c>
      <c r="AC7">
        <v>161.10786769846189</v>
      </c>
      <c r="AD7">
        <v>158.97398865609819</v>
      </c>
      <c r="AE7">
        <v>4.9356462208944993</v>
      </c>
      <c r="AF7">
        <v>4.9356462208944993</v>
      </c>
      <c r="AG7">
        <v>4.9356462208944993</v>
      </c>
      <c r="AH7">
        <v>4.9356462208944993</v>
      </c>
      <c r="AI7">
        <v>4.9356462208944993</v>
      </c>
      <c r="AJ7">
        <v>4.9356462208944993</v>
      </c>
      <c r="AK7">
        <v>4.9356462208944993</v>
      </c>
    </row>
    <row r="8" spans="1:37" x14ac:dyDescent="0.25">
      <c r="A8" t="s">
        <v>90</v>
      </c>
      <c r="B8" t="s">
        <v>91</v>
      </c>
      <c r="C8" t="s">
        <v>92</v>
      </c>
      <c r="F8" t="s">
        <v>103</v>
      </c>
      <c r="G8" t="s">
        <v>99</v>
      </c>
      <c r="H8" t="s">
        <v>100</v>
      </c>
      <c r="I8" t="s">
        <v>96</v>
      </c>
      <c r="J8" t="s">
        <v>104</v>
      </c>
      <c r="K8" t="s">
        <v>98</v>
      </c>
      <c r="L8">
        <v>0</v>
      </c>
      <c r="M8">
        <v>1</v>
      </c>
      <c r="N8">
        <v>2020</v>
      </c>
      <c r="O8">
        <v>16.861273869240819</v>
      </c>
      <c r="P8">
        <v>0.1</v>
      </c>
      <c r="Q8">
        <v>0.38469317507418399</v>
      </c>
      <c r="R8">
        <v>0.37938706231454028</v>
      </c>
      <c r="S8">
        <v>0.44173388724035628</v>
      </c>
      <c r="T8">
        <v>0.48351952522255193</v>
      </c>
      <c r="U8">
        <v>0.50806029673590525</v>
      </c>
      <c r="V8">
        <v>0.53326433234421344</v>
      </c>
      <c r="W8">
        <v>0.55846836795252219</v>
      </c>
      <c r="X8">
        <v>150.7941189937039</v>
      </c>
      <c r="Y8">
        <v>153.28364454312819</v>
      </c>
      <c r="Z8">
        <v>153.6392910501888</v>
      </c>
      <c r="AA8">
        <v>165.01997927612891</v>
      </c>
      <c r="AB8">
        <v>162.88610023376501</v>
      </c>
      <c r="AC8">
        <v>161.10786769846189</v>
      </c>
      <c r="AD8">
        <v>158.97398865609819</v>
      </c>
      <c r="AE8">
        <v>4.9356462208944993</v>
      </c>
      <c r="AF8">
        <v>4.9356462208944993</v>
      </c>
      <c r="AG8">
        <v>4.9356462208944993</v>
      </c>
      <c r="AH8">
        <v>4.9356462208944993</v>
      </c>
      <c r="AI8">
        <v>4.9356462208944993</v>
      </c>
      <c r="AJ8">
        <v>4.9356462208944993</v>
      </c>
      <c r="AK8">
        <v>4.9356462208944993</v>
      </c>
    </row>
    <row r="9" spans="1:37" x14ac:dyDescent="0.25">
      <c r="A9" t="s">
        <v>90</v>
      </c>
      <c r="B9" t="s">
        <v>91</v>
      </c>
      <c r="C9" t="s">
        <v>92</v>
      </c>
      <c r="F9" t="s">
        <v>105</v>
      </c>
      <c r="G9" t="s">
        <v>94</v>
      </c>
      <c r="H9" t="s">
        <v>95</v>
      </c>
      <c r="I9" t="s">
        <v>96</v>
      </c>
      <c r="J9" t="s">
        <v>106</v>
      </c>
      <c r="K9" t="s">
        <v>98</v>
      </c>
      <c r="L9">
        <v>1</v>
      </c>
      <c r="M9">
        <v>1</v>
      </c>
      <c r="N9">
        <v>2020</v>
      </c>
      <c r="O9">
        <v>16.861273869240819</v>
      </c>
      <c r="P9">
        <v>1</v>
      </c>
      <c r="Q9">
        <v>0.42515228486646889</v>
      </c>
      <c r="R9">
        <v>0.42249922848664673</v>
      </c>
      <c r="S9">
        <v>0.47489709198813063</v>
      </c>
      <c r="T9">
        <v>0.51601946587537084</v>
      </c>
      <c r="U9">
        <v>0.54453982195845696</v>
      </c>
      <c r="V9">
        <v>0.57306017804154274</v>
      </c>
      <c r="W9">
        <v>0.60224379821958474</v>
      </c>
      <c r="X9">
        <v>158.97398865609819</v>
      </c>
      <c r="Y9">
        <v>157.55140262785571</v>
      </c>
      <c r="Z9">
        <v>160.39657468434069</v>
      </c>
      <c r="AA9">
        <v>166.7982118114318</v>
      </c>
      <c r="AB9">
        <v>166.4425653043713</v>
      </c>
      <c r="AC9">
        <v>166.08691879731069</v>
      </c>
      <c r="AD9">
        <v>165.73127229024999</v>
      </c>
      <c r="AE9">
        <v>4.9356462208944993</v>
      </c>
      <c r="AF9">
        <v>4.9356462208944993</v>
      </c>
      <c r="AG9">
        <v>4.9356462208944993</v>
      </c>
      <c r="AH9">
        <v>4.9356462208944993</v>
      </c>
      <c r="AI9">
        <v>4.9356462208944993</v>
      </c>
      <c r="AJ9">
        <v>4.9356462208944993</v>
      </c>
      <c r="AK9">
        <v>4.9356462208944993</v>
      </c>
    </row>
    <row r="10" spans="1:37" x14ac:dyDescent="0.25">
      <c r="A10" t="s">
        <v>90</v>
      </c>
      <c r="B10" t="s">
        <v>91</v>
      </c>
      <c r="C10" t="s">
        <v>92</v>
      </c>
      <c r="F10" t="s">
        <v>105</v>
      </c>
      <c r="G10" t="s">
        <v>99</v>
      </c>
      <c r="H10" t="s">
        <v>100</v>
      </c>
      <c r="I10" t="s">
        <v>96</v>
      </c>
      <c r="J10" t="s">
        <v>106</v>
      </c>
      <c r="K10" t="s">
        <v>98</v>
      </c>
      <c r="L10">
        <v>0</v>
      </c>
      <c r="M10">
        <v>1</v>
      </c>
      <c r="N10">
        <v>2020</v>
      </c>
      <c r="O10">
        <v>16.861273869240819</v>
      </c>
      <c r="P10">
        <v>0.1</v>
      </c>
      <c r="Q10">
        <v>0.42515228486646889</v>
      </c>
      <c r="R10">
        <v>0.42249922848664673</v>
      </c>
      <c r="S10">
        <v>0.47489709198813063</v>
      </c>
      <c r="T10">
        <v>0.51601946587537084</v>
      </c>
      <c r="U10">
        <v>0.54453982195845696</v>
      </c>
      <c r="V10">
        <v>0.57306017804154274</v>
      </c>
      <c r="W10">
        <v>0.60224379821958474</v>
      </c>
      <c r="X10">
        <v>158.97398865609819</v>
      </c>
      <c r="Y10">
        <v>157.55140262785571</v>
      </c>
      <c r="Z10">
        <v>160.39657468434069</v>
      </c>
      <c r="AA10">
        <v>166.7982118114318</v>
      </c>
      <c r="AB10">
        <v>166.4425653043713</v>
      </c>
      <c r="AC10">
        <v>166.08691879731069</v>
      </c>
      <c r="AD10">
        <v>165.73127229024999</v>
      </c>
      <c r="AE10">
        <v>4.9356462208944993</v>
      </c>
      <c r="AF10">
        <v>4.9356462208944993</v>
      </c>
      <c r="AG10">
        <v>4.9356462208944993</v>
      </c>
      <c r="AH10">
        <v>4.9356462208944993</v>
      </c>
      <c r="AI10">
        <v>4.9356462208944993</v>
      </c>
      <c r="AJ10">
        <v>4.9356462208944993</v>
      </c>
      <c r="AK10">
        <v>4.9356462208944993</v>
      </c>
    </row>
    <row r="11" spans="1:37" x14ac:dyDescent="0.25">
      <c r="A11" t="s">
        <v>90</v>
      </c>
      <c r="B11" t="s">
        <v>91</v>
      </c>
      <c r="C11" t="s">
        <v>92</v>
      </c>
      <c r="F11" t="s">
        <v>107</v>
      </c>
      <c r="G11" t="s">
        <v>94</v>
      </c>
      <c r="H11" t="s">
        <v>95</v>
      </c>
      <c r="I11" t="s">
        <v>96</v>
      </c>
      <c r="J11" t="s">
        <v>108</v>
      </c>
      <c r="K11" t="s">
        <v>98</v>
      </c>
      <c r="L11">
        <v>1</v>
      </c>
      <c r="M11">
        <v>1</v>
      </c>
      <c r="N11">
        <v>2020</v>
      </c>
      <c r="O11">
        <v>16.861273869240819</v>
      </c>
      <c r="P11">
        <v>1</v>
      </c>
      <c r="Q11">
        <v>0.39530540059347191</v>
      </c>
      <c r="R11">
        <v>0.38933602373887222</v>
      </c>
      <c r="S11">
        <v>0.45433590504451032</v>
      </c>
      <c r="T11">
        <v>0.49612154302670608</v>
      </c>
      <c r="U11">
        <v>0.52397863501483688</v>
      </c>
      <c r="V11">
        <v>0.55117246290801158</v>
      </c>
      <c r="W11">
        <v>0.57969281899109804</v>
      </c>
      <c r="X11">
        <v>155.06187707843131</v>
      </c>
      <c r="Y11">
        <v>156.8401096137344</v>
      </c>
      <c r="Z11">
        <v>156.4844631066739</v>
      </c>
      <c r="AA11">
        <v>167.50950482555311</v>
      </c>
      <c r="AB11">
        <v>165.01997927612871</v>
      </c>
      <c r="AC11">
        <v>163.24174674082559</v>
      </c>
      <c r="AD11">
        <v>160.7522211914013</v>
      </c>
      <c r="AE11">
        <v>4.9356462208944993</v>
      </c>
      <c r="AF11">
        <v>4.9356462208944993</v>
      </c>
      <c r="AG11">
        <v>4.9356462208944993</v>
      </c>
      <c r="AH11">
        <v>4.9356462208944993</v>
      </c>
      <c r="AI11">
        <v>4.9356462208944993</v>
      </c>
      <c r="AJ11">
        <v>4.9356462208944993</v>
      </c>
      <c r="AK11">
        <v>4.9356462208944993</v>
      </c>
    </row>
    <row r="12" spans="1:37" x14ac:dyDescent="0.25">
      <c r="A12" t="s">
        <v>90</v>
      </c>
      <c r="B12" t="s">
        <v>91</v>
      </c>
      <c r="C12" t="s">
        <v>92</v>
      </c>
      <c r="F12" t="s">
        <v>107</v>
      </c>
      <c r="G12" t="s">
        <v>99</v>
      </c>
      <c r="H12" t="s">
        <v>100</v>
      </c>
      <c r="I12" t="s">
        <v>96</v>
      </c>
      <c r="J12" t="s">
        <v>108</v>
      </c>
      <c r="K12" t="s">
        <v>98</v>
      </c>
      <c r="L12">
        <v>0</v>
      </c>
      <c r="M12">
        <v>1</v>
      </c>
      <c r="N12">
        <v>2020</v>
      </c>
      <c r="O12">
        <v>16.861273869240819</v>
      </c>
      <c r="P12">
        <v>0.1</v>
      </c>
      <c r="Q12">
        <v>0.39530540059347191</v>
      </c>
      <c r="R12">
        <v>0.38933602373887222</v>
      </c>
      <c r="S12">
        <v>0.45433590504451032</v>
      </c>
      <c r="T12">
        <v>0.49612154302670608</v>
      </c>
      <c r="U12">
        <v>0.52397863501483688</v>
      </c>
      <c r="V12">
        <v>0.55117246290801158</v>
      </c>
      <c r="W12">
        <v>0.57969281899109804</v>
      </c>
      <c r="X12">
        <v>155.06187707843131</v>
      </c>
      <c r="Y12">
        <v>156.8401096137344</v>
      </c>
      <c r="Z12">
        <v>156.4844631066739</v>
      </c>
      <c r="AA12">
        <v>167.50950482555311</v>
      </c>
      <c r="AB12">
        <v>165.01997927612871</v>
      </c>
      <c r="AC12">
        <v>163.24174674082559</v>
      </c>
      <c r="AD12">
        <v>160.7522211914013</v>
      </c>
      <c r="AE12">
        <v>4.9356462208944993</v>
      </c>
      <c r="AF12">
        <v>4.9356462208944993</v>
      </c>
      <c r="AG12">
        <v>4.9356462208944993</v>
      </c>
      <c r="AH12">
        <v>4.9356462208944993</v>
      </c>
      <c r="AI12">
        <v>4.9356462208944993</v>
      </c>
      <c r="AJ12">
        <v>4.9356462208944993</v>
      </c>
      <c r="AK12">
        <v>4.9356462208944993</v>
      </c>
    </row>
    <row r="13" spans="1:37" x14ac:dyDescent="0.25">
      <c r="A13" t="s">
        <v>90</v>
      </c>
      <c r="B13" t="s">
        <v>91</v>
      </c>
      <c r="C13" t="s">
        <v>92</v>
      </c>
      <c r="F13" t="s">
        <v>109</v>
      </c>
      <c r="G13" t="s">
        <v>94</v>
      </c>
      <c r="H13" t="s">
        <v>95</v>
      </c>
      <c r="I13" t="s">
        <v>96</v>
      </c>
      <c r="J13" t="s">
        <v>108</v>
      </c>
      <c r="K13" t="s">
        <v>98</v>
      </c>
      <c r="L13">
        <v>0</v>
      </c>
      <c r="M13">
        <v>1</v>
      </c>
      <c r="N13">
        <v>2020</v>
      </c>
      <c r="O13">
        <v>16.861273869240819</v>
      </c>
      <c r="P13">
        <v>1</v>
      </c>
      <c r="Q13">
        <v>0.44505020771513348</v>
      </c>
      <c r="R13">
        <v>0.44040735905044531</v>
      </c>
      <c r="S13">
        <v>0.49744807121661722</v>
      </c>
      <c r="T13">
        <v>0.53989697329376896</v>
      </c>
      <c r="U13">
        <v>0.57173364985163211</v>
      </c>
      <c r="V13">
        <v>0.60423359050445069</v>
      </c>
      <c r="W13">
        <v>0.63607026706231429</v>
      </c>
      <c r="X13">
        <v>162.88610023376509</v>
      </c>
      <c r="Y13">
        <v>160.7522211914013</v>
      </c>
      <c r="Z13">
        <v>163.24174674082559</v>
      </c>
      <c r="AA13">
        <v>169.28773736085631</v>
      </c>
      <c r="AB13">
        <v>168.57644434673489</v>
      </c>
      <c r="AC13">
        <v>167.86515133261381</v>
      </c>
      <c r="AD13">
        <v>167.1538583184925</v>
      </c>
      <c r="AE13">
        <v>4.9356462208944993</v>
      </c>
      <c r="AF13">
        <v>4.9356462208944993</v>
      </c>
      <c r="AG13">
        <v>4.9356462208944993</v>
      </c>
      <c r="AH13">
        <v>4.9356462208944993</v>
      </c>
      <c r="AI13">
        <v>4.9356462208944993</v>
      </c>
      <c r="AJ13">
        <v>4.9356462208944993</v>
      </c>
      <c r="AK13">
        <v>4.9356462208944993</v>
      </c>
    </row>
    <row r="14" spans="1:37" x14ac:dyDescent="0.25">
      <c r="A14" t="s">
        <v>90</v>
      </c>
      <c r="B14" t="s">
        <v>91</v>
      </c>
      <c r="C14" t="s">
        <v>92</v>
      </c>
      <c r="F14" t="s">
        <v>109</v>
      </c>
      <c r="G14" t="s">
        <v>99</v>
      </c>
      <c r="H14" t="s">
        <v>100</v>
      </c>
      <c r="I14" t="s">
        <v>96</v>
      </c>
      <c r="J14" t="s">
        <v>108</v>
      </c>
      <c r="K14" t="s">
        <v>98</v>
      </c>
      <c r="L14">
        <v>0</v>
      </c>
      <c r="M14">
        <v>1</v>
      </c>
      <c r="N14">
        <v>2020</v>
      </c>
      <c r="O14">
        <v>16.861273869240819</v>
      </c>
      <c r="P14">
        <v>0.1</v>
      </c>
      <c r="Q14">
        <v>0.44505020771513348</v>
      </c>
      <c r="R14">
        <v>0.44040735905044531</v>
      </c>
      <c r="S14">
        <v>0.49744807121661722</v>
      </c>
      <c r="T14">
        <v>0.53989697329376896</v>
      </c>
      <c r="U14">
        <v>0.57173364985163211</v>
      </c>
      <c r="V14">
        <v>0.60423359050445069</v>
      </c>
      <c r="W14">
        <v>0.63607026706231429</v>
      </c>
      <c r="X14">
        <v>162.88610023376509</v>
      </c>
      <c r="Y14">
        <v>160.7522211914013</v>
      </c>
      <c r="Z14">
        <v>163.24174674082559</v>
      </c>
      <c r="AA14">
        <v>169.28773736085631</v>
      </c>
      <c r="AB14">
        <v>168.57644434673489</v>
      </c>
      <c r="AC14">
        <v>167.86515133261381</v>
      </c>
      <c r="AD14">
        <v>167.1538583184925</v>
      </c>
      <c r="AE14">
        <v>4.9356462208944993</v>
      </c>
      <c r="AF14">
        <v>4.9356462208944993</v>
      </c>
      <c r="AG14">
        <v>4.9356462208944993</v>
      </c>
      <c r="AH14">
        <v>4.9356462208944993</v>
      </c>
      <c r="AI14">
        <v>4.9356462208944993</v>
      </c>
      <c r="AJ14">
        <v>4.9356462208944993</v>
      </c>
      <c r="AK14">
        <v>4.9356462208944993</v>
      </c>
    </row>
    <row r="15" spans="1:37" x14ac:dyDescent="0.25">
      <c r="A15" t="s">
        <v>90</v>
      </c>
      <c r="B15" t="s">
        <v>91</v>
      </c>
      <c r="C15" t="s">
        <v>92</v>
      </c>
      <c r="F15" t="s">
        <v>110</v>
      </c>
      <c r="G15" t="s">
        <v>94</v>
      </c>
      <c r="H15" t="s">
        <v>95</v>
      </c>
      <c r="I15" t="s">
        <v>96</v>
      </c>
      <c r="J15" t="s">
        <v>111</v>
      </c>
      <c r="K15" t="s">
        <v>98</v>
      </c>
      <c r="L15">
        <v>1</v>
      </c>
      <c r="M15">
        <v>1</v>
      </c>
      <c r="N15">
        <v>2020</v>
      </c>
      <c r="O15">
        <v>16.861273869240819</v>
      </c>
      <c r="P15">
        <v>1</v>
      </c>
      <c r="Q15">
        <v>0.63474373887240354</v>
      </c>
      <c r="R15">
        <v>0.6526518694362019</v>
      </c>
      <c r="S15">
        <v>0.66923347181008863</v>
      </c>
      <c r="T15">
        <v>0.71300890207715129</v>
      </c>
      <c r="U15">
        <v>0.74219252225519305</v>
      </c>
      <c r="V15">
        <v>0.77203940652819025</v>
      </c>
      <c r="W15">
        <v>0.80188629080118656</v>
      </c>
      <c r="X15">
        <v>171.77726291028051</v>
      </c>
      <c r="Y15">
        <v>165.37562578318941</v>
      </c>
      <c r="Z15">
        <v>160.39657468434081</v>
      </c>
      <c r="AA15">
        <v>157.55140262785571</v>
      </c>
      <c r="AB15">
        <v>155.41752358549189</v>
      </c>
      <c r="AC15">
        <v>153.28364454312819</v>
      </c>
      <c r="AD15">
        <v>151.14976550076449</v>
      </c>
      <c r="AE15">
        <v>4.9356462208944993</v>
      </c>
      <c r="AF15">
        <v>4.9356462208944993</v>
      </c>
      <c r="AG15">
        <v>4.9356462208944993</v>
      </c>
      <c r="AH15">
        <v>4.9356462208944993</v>
      </c>
      <c r="AI15">
        <v>4.9356462208944993</v>
      </c>
      <c r="AJ15">
        <v>4.9356462208944993</v>
      </c>
      <c r="AK15">
        <v>4.9356462208944993</v>
      </c>
    </row>
    <row r="16" spans="1:37" x14ac:dyDescent="0.25">
      <c r="A16" t="s">
        <v>90</v>
      </c>
      <c r="B16" t="s">
        <v>91</v>
      </c>
      <c r="C16" t="s">
        <v>92</v>
      </c>
      <c r="F16" t="s">
        <v>110</v>
      </c>
      <c r="G16" t="s">
        <v>99</v>
      </c>
      <c r="H16" t="s">
        <v>100</v>
      </c>
      <c r="I16" t="s">
        <v>96</v>
      </c>
      <c r="J16" t="s">
        <v>111</v>
      </c>
      <c r="K16" t="s">
        <v>98</v>
      </c>
      <c r="L16">
        <v>0</v>
      </c>
      <c r="M16">
        <v>1</v>
      </c>
      <c r="N16">
        <v>2020</v>
      </c>
      <c r="O16">
        <v>16.861273869240819</v>
      </c>
      <c r="P16">
        <v>0.1</v>
      </c>
      <c r="Q16">
        <v>0.63474373887240354</v>
      </c>
      <c r="R16">
        <v>0.6526518694362019</v>
      </c>
      <c r="S16">
        <v>0.66923347181008863</v>
      </c>
      <c r="T16">
        <v>0.71300890207715129</v>
      </c>
      <c r="U16">
        <v>0.74219252225519305</v>
      </c>
      <c r="V16">
        <v>0.77203940652819025</v>
      </c>
      <c r="W16">
        <v>0.80188629080118656</v>
      </c>
      <c r="X16">
        <v>171.77726291028051</v>
      </c>
      <c r="Y16">
        <v>165.37562578318941</v>
      </c>
      <c r="Z16">
        <v>160.39657468434081</v>
      </c>
      <c r="AA16">
        <v>157.55140262785571</v>
      </c>
      <c r="AB16">
        <v>155.41752358549189</v>
      </c>
      <c r="AC16">
        <v>153.28364454312819</v>
      </c>
      <c r="AD16">
        <v>151.14976550076449</v>
      </c>
      <c r="AE16">
        <v>4.9356462208944993</v>
      </c>
      <c r="AF16">
        <v>4.9356462208944993</v>
      </c>
      <c r="AG16">
        <v>4.9356462208944993</v>
      </c>
      <c r="AH16">
        <v>4.9356462208944993</v>
      </c>
      <c r="AI16">
        <v>4.9356462208944993</v>
      </c>
      <c r="AJ16">
        <v>4.9356462208944993</v>
      </c>
      <c r="AK16">
        <v>4.9356462208944993</v>
      </c>
    </row>
    <row r="17" spans="1:37" x14ac:dyDescent="0.25">
      <c r="A17" t="s">
        <v>90</v>
      </c>
      <c r="B17" t="s">
        <v>91</v>
      </c>
      <c r="C17" t="s">
        <v>92</v>
      </c>
      <c r="F17" t="s">
        <v>112</v>
      </c>
      <c r="G17" t="s">
        <v>94</v>
      </c>
      <c r="H17" t="s">
        <v>95</v>
      </c>
      <c r="I17" t="s">
        <v>96</v>
      </c>
      <c r="J17" t="s">
        <v>113</v>
      </c>
      <c r="K17" t="s">
        <v>98</v>
      </c>
      <c r="L17">
        <v>1</v>
      </c>
      <c r="M17">
        <v>1</v>
      </c>
      <c r="N17">
        <v>2020</v>
      </c>
      <c r="O17">
        <v>16.861273869240819</v>
      </c>
      <c r="P17">
        <v>0.79399884593191039</v>
      </c>
      <c r="Q17">
        <v>0.87152902077151284</v>
      </c>
      <c r="R17">
        <v>0.90734528189910768</v>
      </c>
      <c r="S17">
        <v>0.92856973293768452</v>
      </c>
      <c r="T17">
        <v>0.99887572700296956</v>
      </c>
      <c r="U17">
        <v>1.037345044510386</v>
      </c>
      <c r="V17">
        <v>1.0771408902077151</v>
      </c>
      <c r="W17">
        <v>1.1169367359050411</v>
      </c>
      <c r="X17">
        <v>185.64747668564439</v>
      </c>
      <c r="Y17">
        <v>176.0450209950088</v>
      </c>
      <c r="Z17">
        <v>170.71032338909831</v>
      </c>
      <c r="AA17">
        <v>166.79821181143211</v>
      </c>
      <c r="AB17">
        <v>164.6643327690683</v>
      </c>
      <c r="AC17">
        <v>162.53045372670459</v>
      </c>
      <c r="AD17">
        <v>160.04092817728051</v>
      </c>
      <c r="AE17">
        <v>5.1465712730694726</v>
      </c>
      <c r="AF17">
        <v>5.1465712730694726</v>
      </c>
      <c r="AG17">
        <v>5.1465712730694726</v>
      </c>
      <c r="AH17">
        <v>5.1465712730694726</v>
      </c>
      <c r="AI17">
        <v>5.1465712730694726</v>
      </c>
      <c r="AJ17">
        <v>5.1465712730694726</v>
      </c>
      <c r="AK17">
        <v>5.1465712730694726</v>
      </c>
    </row>
    <row r="18" spans="1:37" x14ac:dyDescent="0.25">
      <c r="A18" t="s">
        <v>90</v>
      </c>
      <c r="B18" t="s">
        <v>91</v>
      </c>
      <c r="C18" t="s">
        <v>92</v>
      </c>
      <c r="F18" t="s">
        <v>112</v>
      </c>
      <c r="G18" t="s">
        <v>99</v>
      </c>
      <c r="H18" t="s">
        <v>100</v>
      </c>
      <c r="I18" t="s">
        <v>96</v>
      </c>
      <c r="J18" t="s">
        <v>113</v>
      </c>
      <c r="K18" t="s">
        <v>98</v>
      </c>
      <c r="L18">
        <v>0</v>
      </c>
      <c r="M18">
        <v>1</v>
      </c>
      <c r="N18">
        <v>2020</v>
      </c>
      <c r="O18">
        <v>16.861273869240819</v>
      </c>
      <c r="P18">
        <v>0.1</v>
      </c>
      <c r="Q18">
        <v>0.87152902077151284</v>
      </c>
      <c r="R18">
        <v>0.90734528189910768</v>
      </c>
      <c r="S18">
        <v>0.92856973293768452</v>
      </c>
      <c r="T18">
        <v>0.99887572700296956</v>
      </c>
      <c r="U18">
        <v>1.037345044510386</v>
      </c>
      <c r="V18">
        <v>1.0771408902077151</v>
      </c>
      <c r="W18">
        <v>1.1169367359050411</v>
      </c>
      <c r="X18">
        <v>185.64747668564439</v>
      </c>
      <c r="Y18">
        <v>176.0450209950088</v>
      </c>
      <c r="Z18">
        <v>170.71032338909831</v>
      </c>
      <c r="AA18">
        <v>166.79821181143211</v>
      </c>
      <c r="AB18">
        <v>164.6643327690683</v>
      </c>
      <c r="AC18">
        <v>162.53045372670459</v>
      </c>
      <c r="AD18">
        <v>160.04092817728051</v>
      </c>
      <c r="AE18">
        <v>5.1465712730694726</v>
      </c>
      <c r="AF18">
        <v>5.1465712730694726</v>
      </c>
      <c r="AG18">
        <v>5.1465712730694726</v>
      </c>
      <c r="AH18">
        <v>5.1465712730694726</v>
      </c>
      <c r="AI18">
        <v>5.1465712730694726</v>
      </c>
      <c r="AJ18">
        <v>5.1465712730694726</v>
      </c>
      <c r="AK18">
        <v>5.1465712730694726</v>
      </c>
    </row>
    <row r="19" spans="1:37" x14ac:dyDescent="0.25">
      <c r="A19" t="s">
        <v>90</v>
      </c>
      <c r="B19" t="s">
        <v>91</v>
      </c>
      <c r="C19" t="s">
        <v>92</v>
      </c>
      <c r="F19" t="s">
        <v>112</v>
      </c>
      <c r="G19" t="s">
        <v>114</v>
      </c>
      <c r="H19" t="s">
        <v>115</v>
      </c>
      <c r="I19" t="s">
        <v>96</v>
      </c>
      <c r="J19" t="s">
        <v>113</v>
      </c>
      <c r="K19" t="s">
        <v>98</v>
      </c>
      <c r="L19">
        <v>0</v>
      </c>
      <c r="M19">
        <v>1</v>
      </c>
      <c r="N19">
        <v>2020</v>
      </c>
      <c r="O19">
        <v>16.861273869240819</v>
      </c>
      <c r="P19">
        <v>0.20600115406808961</v>
      </c>
      <c r="Q19">
        <v>0.87152902077151284</v>
      </c>
      <c r="R19">
        <v>0.90734528189910768</v>
      </c>
      <c r="S19">
        <v>0.92856973293768452</v>
      </c>
      <c r="T19">
        <v>0.99887572700296956</v>
      </c>
      <c r="U19">
        <v>1.037345044510386</v>
      </c>
      <c r="V19">
        <v>1.0771408902077151</v>
      </c>
      <c r="W19">
        <v>1.1169367359050411</v>
      </c>
      <c r="X19">
        <v>185.64747668564439</v>
      </c>
      <c r="Y19">
        <v>176.0450209950088</v>
      </c>
      <c r="Z19">
        <v>170.71032338909831</v>
      </c>
      <c r="AA19">
        <v>166.79821181143211</v>
      </c>
      <c r="AB19">
        <v>164.6643327690683</v>
      </c>
      <c r="AC19">
        <v>162.53045372670459</v>
      </c>
      <c r="AD19">
        <v>160.04092817728051</v>
      </c>
      <c r="AE19">
        <v>5.1465712730694726</v>
      </c>
      <c r="AF19">
        <v>5.1465712730694726</v>
      </c>
      <c r="AG19">
        <v>5.1465712730694726</v>
      </c>
      <c r="AH19">
        <v>5.1465712730694726</v>
      </c>
      <c r="AI19">
        <v>5.1465712730694726</v>
      </c>
      <c r="AJ19">
        <v>5.1465712730694726</v>
      </c>
      <c r="AK19">
        <v>5.1465712730694726</v>
      </c>
    </row>
    <row r="20" spans="1:37" x14ac:dyDescent="0.25">
      <c r="A20" t="s">
        <v>90</v>
      </c>
      <c r="B20" t="s">
        <v>91</v>
      </c>
      <c r="C20" t="s">
        <v>92</v>
      </c>
      <c r="F20" t="s">
        <v>116</v>
      </c>
      <c r="G20" t="s">
        <v>94</v>
      </c>
      <c r="H20" t="s">
        <v>95</v>
      </c>
      <c r="I20" t="s">
        <v>96</v>
      </c>
      <c r="J20" t="s">
        <v>117</v>
      </c>
      <c r="K20" t="s">
        <v>98</v>
      </c>
      <c r="L20">
        <v>1</v>
      </c>
      <c r="M20">
        <v>1</v>
      </c>
      <c r="N20">
        <v>2020</v>
      </c>
      <c r="O20">
        <v>16.861273869240819</v>
      </c>
      <c r="P20">
        <v>0.59838430467397363</v>
      </c>
      <c r="Q20">
        <v>1.0963755489614271</v>
      </c>
      <c r="R20">
        <v>1.1534162611275931</v>
      </c>
      <c r="S20">
        <v>1.1733141839762571</v>
      </c>
      <c r="T20">
        <v>1.264181364985161</v>
      </c>
      <c r="U20">
        <v>1.3145894362017829</v>
      </c>
      <c r="V20">
        <v>1.3656607715133551</v>
      </c>
      <c r="W20">
        <v>1.4193851632047481</v>
      </c>
      <c r="X20">
        <v>205.5636810810403</v>
      </c>
      <c r="Y20">
        <v>189.20394175625171</v>
      </c>
      <c r="Z20">
        <v>175.68937448794739</v>
      </c>
      <c r="AA20">
        <v>168.9320908537959</v>
      </c>
      <c r="AB20">
        <v>165.7312722902501</v>
      </c>
      <c r="AC20">
        <v>162.88610023376469</v>
      </c>
      <c r="AD20">
        <v>159.6852816702193</v>
      </c>
      <c r="AE20">
        <v>5.1465712730694726</v>
      </c>
      <c r="AF20">
        <v>5.1465712730694726</v>
      </c>
      <c r="AG20">
        <v>5.1465712730694726</v>
      </c>
      <c r="AH20">
        <v>5.1465712730694726</v>
      </c>
      <c r="AI20">
        <v>5.1465712730694726</v>
      </c>
      <c r="AJ20">
        <v>5.1465712730694726</v>
      </c>
      <c r="AK20">
        <v>5.1465712730694726</v>
      </c>
    </row>
    <row r="21" spans="1:37" x14ac:dyDescent="0.25">
      <c r="A21" t="s">
        <v>90</v>
      </c>
      <c r="B21" t="s">
        <v>91</v>
      </c>
      <c r="C21" t="s">
        <v>92</v>
      </c>
      <c r="F21" t="s">
        <v>116</v>
      </c>
      <c r="G21" t="s">
        <v>99</v>
      </c>
      <c r="H21" t="s">
        <v>100</v>
      </c>
      <c r="I21" t="s">
        <v>96</v>
      </c>
      <c r="J21" t="s">
        <v>117</v>
      </c>
      <c r="K21" t="s">
        <v>98</v>
      </c>
      <c r="L21">
        <v>0</v>
      </c>
      <c r="M21">
        <v>1</v>
      </c>
      <c r="N21">
        <v>2020</v>
      </c>
      <c r="O21">
        <v>16.861273869240819</v>
      </c>
      <c r="P21">
        <v>0.1</v>
      </c>
      <c r="Q21">
        <v>1.0963755489614271</v>
      </c>
      <c r="R21">
        <v>1.1534162611275931</v>
      </c>
      <c r="S21">
        <v>1.1733141839762571</v>
      </c>
      <c r="T21">
        <v>1.264181364985161</v>
      </c>
      <c r="U21">
        <v>1.3145894362017829</v>
      </c>
      <c r="V21">
        <v>1.3656607715133551</v>
      </c>
      <c r="W21">
        <v>1.4193851632047481</v>
      </c>
      <c r="X21">
        <v>205.5636810810403</v>
      </c>
      <c r="Y21">
        <v>189.20394175625171</v>
      </c>
      <c r="Z21">
        <v>175.68937448794739</v>
      </c>
      <c r="AA21">
        <v>168.9320908537959</v>
      </c>
      <c r="AB21">
        <v>165.7312722902501</v>
      </c>
      <c r="AC21">
        <v>162.88610023376469</v>
      </c>
      <c r="AD21">
        <v>159.6852816702193</v>
      </c>
      <c r="AE21">
        <v>5.1465712730694726</v>
      </c>
      <c r="AF21">
        <v>5.1465712730694726</v>
      </c>
      <c r="AG21">
        <v>5.1465712730694726</v>
      </c>
      <c r="AH21">
        <v>5.1465712730694726</v>
      </c>
      <c r="AI21">
        <v>5.1465712730694726</v>
      </c>
      <c r="AJ21">
        <v>5.1465712730694726</v>
      </c>
      <c r="AK21">
        <v>5.1465712730694726</v>
      </c>
    </row>
    <row r="22" spans="1:37" x14ac:dyDescent="0.25">
      <c r="A22" t="s">
        <v>90</v>
      </c>
      <c r="B22" t="s">
        <v>91</v>
      </c>
      <c r="C22" t="s">
        <v>92</v>
      </c>
      <c r="F22" t="s">
        <v>116</v>
      </c>
      <c r="G22" t="s">
        <v>114</v>
      </c>
      <c r="H22" t="s">
        <v>115</v>
      </c>
      <c r="I22" t="s">
        <v>96</v>
      </c>
      <c r="J22" t="s">
        <v>117</v>
      </c>
      <c r="K22" t="s">
        <v>98</v>
      </c>
      <c r="L22">
        <v>0</v>
      </c>
      <c r="M22">
        <v>1</v>
      </c>
      <c r="N22">
        <v>2020</v>
      </c>
      <c r="O22">
        <v>16.861273869240819</v>
      </c>
      <c r="P22">
        <v>0.40161569532602631</v>
      </c>
      <c r="Q22">
        <v>1.0963755489614271</v>
      </c>
      <c r="R22">
        <v>1.1534162611275931</v>
      </c>
      <c r="S22">
        <v>1.1733141839762571</v>
      </c>
      <c r="T22">
        <v>1.264181364985161</v>
      </c>
      <c r="U22">
        <v>1.3145894362017829</v>
      </c>
      <c r="V22">
        <v>1.3656607715133551</v>
      </c>
      <c r="W22">
        <v>1.4193851632047481</v>
      </c>
      <c r="X22">
        <v>205.5636810810403</v>
      </c>
      <c r="Y22">
        <v>189.20394175625171</v>
      </c>
      <c r="Z22">
        <v>175.68937448794739</v>
      </c>
      <c r="AA22">
        <v>168.9320908537959</v>
      </c>
      <c r="AB22">
        <v>165.7312722902501</v>
      </c>
      <c r="AC22">
        <v>162.88610023376469</v>
      </c>
      <c r="AD22">
        <v>159.6852816702193</v>
      </c>
      <c r="AE22">
        <v>5.1465712730694726</v>
      </c>
      <c r="AF22">
        <v>5.1465712730694726</v>
      </c>
      <c r="AG22">
        <v>5.1465712730694726</v>
      </c>
      <c r="AH22">
        <v>5.1465712730694726</v>
      </c>
      <c r="AI22">
        <v>5.1465712730694726</v>
      </c>
      <c r="AJ22">
        <v>5.1465712730694726</v>
      </c>
      <c r="AK22">
        <v>5.1465712730694726</v>
      </c>
    </row>
    <row r="23" spans="1:37" x14ac:dyDescent="0.25">
      <c r="A23" t="s">
        <v>90</v>
      </c>
      <c r="B23" t="s">
        <v>91</v>
      </c>
      <c r="C23" t="s">
        <v>92</v>
      </c>
      <c r="F23" t="s">
        <v>118</v>
      </c>
      <c r="G23" t="s">
        <v>119</v>
      </c>
      <c r="H23" t="s">
        <v>120</v>
      </c>
      <c r="I23" t="s">
        <v>96</v>
      </c>
      <c r="J23" t="s">
        <v>121</v>
      </c>
      <c r="K23" t="s">
        <v>98</v>
      </c>
      <c r="L23">
        <v>1</v>
      </c>
      <c r="M23">
        <v>1</v>
      </c>
      <c r="N23">
        <v>2020</v>
      </c>
      <c r="O23">
        <v>16.861273869240819</v>
      </c>
      <c r="P23">
        <v>1</v>
      </c>
      <c r="Q23">
        <v>0.46428486646884271</v>
      </c>
      <c r="R23">
        <v>0.44969305637982188</v>
      </c>
      <c r="S23">
        <v>0.51867252225519278</v>
      </c>
      <c r="T23">
        <v>0.5432132937685461</v>
      </c>
      <c r="U23">
        <v>0.57306017804154308</v>
      </c>
      <c r="V23">
        <v>0.60290706231454005</v>
      </c>
      <c r="W23">
        <v>0.63275394658753703</v>
      </c>
      <c r="X23">
        <v>183.86924415034181</v>
      </c>
      <c r="Y23">
        <v>180.66842558679619</v>
      </c>
      <c r="Z23">
        <v>179.95713257267491</v>
      </c>
      <c r="AA23">
        <v>179.60148606561421</v>
      </c>
      <c r="AB23">
        <v>179.24583955855371</v>
      </c>
      <c r="AC23">
        <v>178.8901930514931</v>
      </c>
      <c r="AD23">
        <v>178.5345465444324</v>
      </c>
      <c r="AE23">
        <v>5.2309412939394688</v>
      </c>
      <c r="AF23">
        <v>5.2309412939394688</v>
      </c>
      <c r="AG23">
        <v>5.2309412939394688</v>
      </c>
      <c r="AH23">
        <v>5.2309412939394688</v>
      </c>
      <c r="AI23">
        <v>5.2309412939394688</v>
      </c>
      <c r="AJ23">
        <v>5.2309412939394688</v>
      </c>
      <c r="AK23">
        <v>5.2309412939394688</v>
      </c>
    </row>
    <row r="24" spans="1:37" x14ac:dyDescent="0.25">
      <c r="A24" t="s">
        <v>90</v>
      </c>
      <c r="B24" t="s">
        <v>91</v>
      </c>
      <c r="C24" t="s">
        <v>92</v>
      </c>
      <c r="F24" t="s">
        <v>118</v>
      </c>
      <c r="G24" t="s">
        <v>122</v>
      </c>
      <c r="H24" t="s">
        <v>123</v>
      </c>
      <c r="I24" t="s">
        <v>96</v>
      </c>
      <c r="J24" t="s">
        <v>121</v>
      </c>
      <c r="K24" t="s">
        <v>98</v>
      </c>
      <c r="L24">
        <v>0</v>
      </c>
      <c r="M24">
        <v>1</v>
      </c>
      <c r="N24">
        <v>2020</v>
      </c>
      <c r="O24">
        <v>16.861273869240819</v>
      </c>
      <c r="P24">
        <v>1</v>
      </c>
      <c r="Q24">
        <v>0.46428486646884271</v>
      </c>
      <c r="R24">
        <v>0.44969305637982188</v>
      </c>
      <c r="S24">
        <v>0.51867252225519278</v>
      </c>
      <c r="T24">
        <v>0.5432132937685461</v>
      </c>
      <c r="U24">
        <v>0.57306017804154308</v>
      </c>
      <c r="V24">
        <v>0.60290706231454005</v>
      </c>
      <c r="W24">
        <v>0.63275394658753703</v>
      </c>
      <c r="X24">
        <v>183.86924415034181</v>
      </c>
      <c r="Y24">
        <v>180.66842558679619</v>
      </c>
      <c r="Z24">
        <v>179.95713257267491</v>
      </c>
      <c r="AA24">
        <v>179.60148606561421</v>
      </c>
      <c r="AB24">
        <v>179.24583955855371</v>
      </c>
      <c r="AC24">
        <v>178.8901930514931</v>
      </c>
      <c r="AD24">
        <v>178.5345465444324</v>
      </c>
      <c r="AE24">
        <v>5.2309412939394688</v>
      </c>
      <c r="AF24">
        <v>5.2309412939394688</v>
      </c>
      <c r="AG24">
        <v>5.2309412939394688</v>
      </c>
      <c r="AH24">
        <v>5.2309412939394688</v>
      </c>
      <c r="AI24">
        <v>5.2309412939394688</v>
      </c>
      <c r="AJ24">
        <v>5.2309412939394688</v>
      </c>
      <c r="AK24">
        <v>5.2309412939394688</v>
      </c>
    </row>
    <row r="25" spans="1:37" x14ac:dyDescent="0.25">
      <c r="A25" t="s">
        <v>90</v>
      </c>
      <c r="B25" t="s">
        <v>91</v>
      </c>
      <c r="C25" t="s">
        <v>92</v>
      </c>
      <c r="F25" t="s">
        <v>118</v>
      </c>
      <c r="G25" t="s">
        <v>124</v>
      </c>
      <c r="H25" t="s">
        <v>125</v>
      </c>
      <c r="I25" t="s">
        <v>96</v>
      </c>
      <c r="J25" t="s">
        <v>121</v>
      </c>
      <c r="K25" t="s">
        <v>98</v>
      </c>
      <c r="L25">
        <v>0</v>
      </c>
      <c r="M25">
        <v>1</v>
      </c>
      <c r="N25">
        <v>2020</v>
      </c>
      <c r="O25">
        <v>16.861273869240819</v>
      </c>
      <c r="P25">
        <v>0.1</v>
      </c>
      <c r="Q25">
        <v>0.46428486646884271</v>
      </c>
      <c r="R25">
        <v>0.44969305637982188</v>
      </c>
      <c r="S25">
        <v>0.51867252225519278</v>
      </c>
      <c r="T25">
        <v>0.5432132937685461</v>
      </c>
      <c r="U25">
        <v>0.57306017804154308</v>
      </c>
      <c r="V25">
        <v>0.60290706231454005</v>
      </c>
      <c r="W25">
        <v>0.63275394658753703</v>
      </c>
      <c r="X25">
        <v>183.86924415034181</v>
      </c>
      <c r="Y25">
        <v>180.66842558679619</v>
      </c>
      <c r="Z25">
        <v>179.95713257267491</v>
      </c>
      <c r="AA25">
        <v>179.60148606561421</v>
      </c>
      <c r="AB25">
        <v>179.24583955855371</v>
      </c>
      <c r="AC25">
        <v>178.8901930514931</v>
      </c>
      <c r="AD25">
        <v>178.5345465444324</v>
      </c>
      <c r="AE25">
        <v>5.2309412939394688</v>
      </c>
      <c r="AF25">
        <v>5.2309412939394688</v>
      </c>
      <c r="AG25">
        <v>5.2309412939394688</v>
      </c>
      <c r="AH25">
        <v>5.2309412939394688</v>
      </c>
      <c r="AI25">
        <v>5.2309412939394688</v>
      </c>
      <c r="AJ25">
        <v>5.2309412939394688</v>
      </c>
      <c r="AK25">
        <v>5.2309412939394688</v>
      </c>
    </row>
    <row r="26" spans="1:37" x14ac:dyDescent="0.25">
      <c r="A26" t="s">
        <v>90</v>
      </c>
      <c r="B26" t="s">
        <v>91</v>
      </c>
      <c r="C26" t="s">
        <v>92</v>
      </c>
      <c r="F26" t="s">
        <v>126</v>
      </c>
      <c r="G26" t="s">
        <v>127</v>
      </c>
      <c r="H26" t="s">
        <v>128</v>
      </c>
      <c r="I26" t="s">
        <v>96</v>
      </c>
      <c r="J26" t="s">
        <v>129</v>
      </c>
      <c r="K26" t="s">
        <v>98</v>
      </c>
      <c r="L26">
        <v>1</v>
      </c>
      <c r="M26">
        <v>1</v>
      </c>
      <c r="N26">
        <v>2020</v>
      </c>
      <c r="O26">
        <v>16.861273869240819</v>
      </c>
      <c r="P26">
        <v>1</v>
      </c>
      <c r="Q26">
        <v>0.37673400593471812</v>
      </c>
      <c r="R26">
        <v>0.40193804154302659</v>
      </c>
      <c r="S26">
        <v>0.45433590504451038</v>
      </c>
      <c r="T26">
        <v>0.48683584569732952</v>
      </c>
      <c r="U26">
        <v>0.51336640949554901</v>
      </c>
      <c r="V26">
        <v>0.53923370919881319</v>
      </c>
      <c r="W26">
        <v>0.56510100890207715</v>
      </c>
      <c r="X26">
        <v>197.73945792570601</v>
      </c>
      <c r="Y26">
        <v>195.24993237628161</v>
      </c>
      <c r="Z26">
        <v>194.89428586922099</v>
      </c>
      <c r="AA26">
        <v>194.1829928550998</v>
      </c>
      <c r="AB26">
        <v>194.1829928550998</v>
      </c>
      <c r="AC26">
        <v>193.47169984097849</v>
      </c>
      <c r="AD26">
        <v>193.47169984097849</v>
      </c>
      <c r="AE26">
        <v>5.2309412939394688</v>
      </c>
      <c r="AF26">
        <v>5.2309412939394688</v>
      </c>
      <c r="AG26">
        <v>5.2309412939394688</v>
      </c>
      <c r="AH26">
        <v>5.2309412939394688</v>
      </c>
      <c r="AI26">
        <v>5.2309412939394688</v>
      </c>
      <c r="AJ26">
        <v>5.2309412939394688</v>
      </c>
      <c r="AK26">
        <v>5.2309412939394688</v>
      </c>
    </row>
    <row r="27" spans="1:37" x14ac:dyDescent="0.25">
      <c r="A27" t="s">
        <v>90</v>
      </c>
      <c r="B27" t="s">
        <v>91</v>
      </c>
      <c r="C27" t="s">
        <v>92</v>
      </c>
      <c r="F27" t="s">
        <v>126</v>
      </c>
      <c r="G27" t="s">
        <v>130</v>
      </c>
      <c r="H27" t="s">
        <v>131</v>
      </c>
      <c r="I27" t="s">
        <v>96</v>
      </c>
      <c r="J27" t="s">
        <v>129</v>
      </c>
      <c r="K27" t="s">
        <v>98</v>
      </c>
      <c r="L27">
        <v>0</v>
      </c>
      <c r="M27">
        <v>1</v>
      </c>
      <c r="N27">
        <v>2020</v>
      </c>
      <c r="O27">
        <v>16.861273869240819</v>
      </c>
      <c r="P27">
        <v>1</v>
      </c>
      <c r="Q27">
        <v>0.37673400593471812</v>
      </c>
      <c r="R27">
        <v>0.40193804154302659</v>
      </c>
      <c r="S27">
        <v>0.45433590504451038</v>
      </c>
      <c r="T27">
        <v>0.48683584569732952</v>
      </c>
      <c r="U27">
        <v>0.51336640949554901</v>
      </c>
      <c r="V27">
        <v>0.53923370919881319</v>
      </c>
      <c r="W27">
        <v>0.56510100890207715</v>
      </c>
      <c r="X27">
        <v>197.73945792570601</v>
      </c>
      <c r="Y27">
        <v>195.24993237628161</v>
      </c>
      <c r="Z27">
        <v>194.89428586922099</v>
      </c>
      <c r="AA27">
        <v>194.1829928550998</v>
      </c>
      <c r="AB27">
        <v>194.1829928550998</v>
      </c>
      <c r="AC27">
        <v>193.47169984097849</v>
      </c>
      <c r="AD27">
        <v>193.47169984097849</v>
      </c>
      <c r="AE27">
        <v>5.2309412939394688</v>
      </c>
      <c r="AF27">
        <v>5.2309412939394688</v>
      </c>
      <c r="AG27">
        <v>5.2309412939394688</v>
      </c>
      <c r="AH27">
        <v>5.2309412939394688</v>
      </c>
      <c r="AI27">
        <v>5.2309412939394688</v>
      </c>
      <c r="AJ27">
        <v>5.2309412939394688</v>
      </c>
      <c r="AK27">
        <v>5.2309412939394688</v>
      </c>
    </row>
    <row r="28" spans="1:37" x14ac:dyDescent="0.25">
      <c r="A28" t="s">
        <v>90</v>
      </c>
      <c r="B28" t="s">
        <v>91</v>
      </c>
      <c r="C28" t="s">
        <v>92</v>
      </c>
      <c r="F28" t="s">
        <v>132</v>
      </c>
      <c r="G28" t="s">
        <v>133</v>
      </c>
      <c r="H28" t="s">
        <v>134</v>
      </c>
      <c r="I28" t="s">
        <v>96</v>
      </c>
      <c r="J28" t="s">
        <v>135</v>
      </c>
      <c r="K28" t="s">
        <v>98</v>
      </c>
      <c r="L28">
        <v>1</v>
      </c>
      <c r="M28">
        <v>1</v>
      </c>
      <c r="N28">
        <v>2020</v>
      </c>
      <c r="O28">
        <v>16.861273869240819</v>
      </c>
      <c r="P28">
        <v>1</v>
      </c>
      <c r="Q28">
        <v>0.95775335311572685</v>
      </c>
      <c r="R28">
        <v>0.99290635014836748</v>
      </c>
      <c r="S28">
        <v>1.0134675370919879</v>
      </c>
      <c r="T28">
        <v>1.082447002967359</v>
      </c>
      <c r="U28">
        <v>1.1096408308605341</v>
      </c>
      <c r="V28">
        <v>1.137497922848665</v>
      </c>
      <c r="W28">
        <v>1.164028486646884</v>
      </c>
      <c r="X28">
        <v>219.78954136346459</v>
      </c>
      <c r="Y28">
        <v>202.71850902455481</v>
      </c>
      <c r="Z28">
        <v>188.13700223506919</v>
      </c>
      <c r="AA28">
        <v>170.35467688203809</v>
      </c>
      <c r="AB28">
        <v>165.73127229024999</v>
      </c>
      <c r="AC28">
        <v>161.10786769846189</v>
      </c>
      <c r="AD28">
        <v>156.48446310667379</v>
      </c>
      <c r="AE28">
        <v>3.7966509391496128</v>
      </c>
      <c r="AF28">
        <v>3.7966509391496128</v>
      </c>
      <c r="AG28">
        <v>3.7966509391496128</v>
      </c>
      <c r="AH28">
        <v>3.7966509391496128</v>
      </c>
      <c r="AI28">
        <v>3.7966509391496128</v>
      </c>
      <c r="AJ28">
        <v>3.7966509391496128</v>
      </c>
      <c r="AK28">
        <v>3.7966509391496128</v>
      </c>
    </row>
    <row r="29" spans="1:37" x14ac:dyDescent="0.25">
      <c r="A29" t="s">
        <v>90</v>
      </c>
      <c r="B29" t="s">
        <v>91</v>
      </c>
      <c r="C29" t="s">
        <v>92</v>
      </c>
      <c r="F29" t="s">
        <v>136</v>
      </c>
      <c r="G29" t="s">
        <v>133</v>
      </c>
      <c r="H29" t="s">
        <v>134</v>
      </c>
      <c r="I29" t="s">
        <v>96</v>
      </c>
      <c r="J29" t="s">
        <v>137</v>
      </c>
      <c r="K29" t="s">
        <v>98</v>
      </c>
      <c r="L29">
        <v>1</v>
      </c>
      <c r="M29">
        <v>1</v>
      </c>
      <c r="N29">
        <v>2020</v>
      </c>
      <c r="O29">
        <v>16.861273869240819</v>
      </c>
      <c r="P29">
        <v>1</v>
      </c>
      <c r="Q29">
        <v>0.94647786350148322</v>
      </c>
      <c r="R29">
        <v>0.98030433234421377</v>
      </c>
      <c r="S29">
        <v>1.000865519287834</v>
      </c>
      <c r="T29">
        <v>1.069844985163205</v>
      </c>
      <c r="U29">
        <v>1.096375548961424</v>
      </c>
      <c r="V29">
        <v>1.1235693768546</v>
      </c>
      <c r="W29">
        <v>1.150099940652819</v>
      </c>
      <c r="X29">
        <v>226.54682499761631</v>
      </c>
      <c r="Y29">
        <v>208.76449964458519</v>
      </c>
      <c r="Z29">
        <v>193.82734634803921</v>
      </c>
      <c r="AA29">
        <v>174.97808147382619</v>
      </c>
      <c r="AB29">
        <v>170.35467688203809</v>
      </c>
      <c r="AC29">
        <v>165.73127229024999</v>
      </c>
      <c r="AD29">
        <v>161.10786769846189</v>
      </c>
      <c r="AE29">
        <v>3.7966509391496128</v>
      </c>
      <c r="AF29">
        <v>3.7966509391496128</v>
      </c>
      <c r="AG29">
        <v>3.7966509391496128</v>
      </c>
      <c r="AH29">
        <v>3.7966509391496128</v>
      </c>
      <c r="AI29">
        <v>3.7966509391496128</v>
      </c>
      <c r="AJ29">
        <v>3.7966509391496128</v>
      </c>
      <c r="AK29">
        <v>3.7966509391496128</v>
      </c>
    </row>
    <row r="30" spans="1:37" x14ac:dyDescent="0.25">
      <c r="A30" t="s">
        <v>90</v>
      </c>
      <c r="B30" t="s">
        <v>91</v>
      </c>
      <c r="C30" t="s">
        <v>92</v>
      </c>
      <c r="F30" t="s">
        <v>138</v>
      </c>
      <c r="G30" t="s">
        <v>114</v>
      </c>
      <c r="H30" t="s">
        <v>115</v>
      </c>
      <c r="I30" t="s">
        <v>96</v>
      </c>
      <c r="J30" t="s">
        <v>139</v>
      </c>
      <c r="K30" t="s">
        <v>98</v>
      </c>
      <c r="L30">
        <v>1</v>
      </c>
      <c r="M30">
        <v>1</v>
      </c>
      <c r="N30">
        <v>2020</v>
      </c>
      <c r="O30">
        <v>16.861273869240819</v>
      </c>
      <c r="P30">
        <v>1</v>
      </c>
      <c r="Q30">
        <v>2.0892818991097921</v>
      </c>
      <c r="R30">
        <v>2.1821388724035611</v>
      </c>
      <c r="S30">
        <v>2.2285673590504449</v>
      </c>
      <c r="T30">
        <v>2.4275465875370918</v>
      </c>
      <c r="U30">
        <v>2.5071382789317509</v>
      </c>
      <c r="V30">
        <v>2.593362611275964</v>
      </c>
      <c r="W30">
        <v>2.686219584569733</v>
      </c>
      <c r="X30">
        <v>174.62243496676561</v>
      </c>
      <c r="Y30">
        <v>163.59739324788629</v>
      </c>
      <c r="Z30">
        <v>147.94894693721889</v>
      </c>
      <c r="AA30">
        <v>138.70213775364269</v>
      </c>
      <c r="AB30">
        <v>134.07873316185459</v>
      </c>
      <c r="AC30">
        <v>129.45532857006651</v>
      </c>
      <c r="AD30">
        <v>125.18757048533909</v>
      </c>
      <c r="AE30">
        <v>3.5351038744526408</v>
      </c>
      <c r="AF30">
        <v>3.5351038744526408</v>
      </c>
      <c r="AG30">
        <v>3.5351038744526408</v>
      </c>
      <c r="AH30">
        <v>3.5351038744526408</v>
      </c>
      <c r="AI30">
        <v>3.5351038744526408</v>
      </c>
      <c r="AJ30">
        <v>3.5351038744526408</v>
      </c>
      <c r="AK30">
        <v>3.5351038744526408</v>
      </c>
    </row>
    <row r="31" spans="1:37" x14ac:dyDescent="0.25">
      <c r="A31" t="s">
        <v>90</v>
      </c>
      <c r="B31" t="s">
        <v>91</v>
      </c>
      <c r="C31" t="s">
        <v>92</v>
      </c>
      <c r="F31" t="s">
        <v>140</v>
      </c>
      <c r="G31" t="s">
        <v>114</v>
      </c>
      <c r="H31" t="s">
        <v>115</v>
      </c>
      <c r="I31" t="s">
        <v>96</v>
      </c>
      <c r="J31" t="s">
        <v>141</v>
      </c>
      <c r="K31" t="s">
        <v>98</v>
      </c>
      <c r="L31">
        <v>1</v>
      </c>
      <c r="M31">
        <v>1</v>
      </c>
      <c r="N31">
        <v>2020</v>
      </c>
      <c r="O31">
        <v>16.861273869240819</v>
      </c>
      <c r="P31">
        <v>1</v>
      </c>
      <c r="Q31">
        <v>1.9897922848664691</v>
      </c>
      <c r="R31">
        <v>2.0826492581602372</v>
      </c>
      <c r="S31">
        <v>2.1489756676557858</v>
      </c>
      <c r="T31">
        <v>2.3479548961424328</v>
      </c>
      <c r="U31">
        <v>2.4275465875370918</v>
      </c>
      <c r="V31">
        <v>2.5071382789317509</v>
      </c>
      <c r="W31">
        <v>2.599995252225519</v>
      </c>
      <c r="X31">
        <v>207.69756012340341</v>
      </c>
      <c r="Y31">
        <v>192.0491138127361</v>
      </c>
      <c r="Z31">
        <v>169.28773736085631</v>
      </c>
      <c r="AA31">
        <v>155.77317009255259</v>
      </c>
      <c r="AB31">
        <v>149.3715329654614</v>
      </c>
      <c r="AC31">
        <v>142.61424933130951</v>
      </c>
      <c r="AD31">
        <v>136.21261220421829</v>
      </c>
      <c r="AE31">
        <v>3.5351038744526408</v>
      </c>
      <c r="AF31">
        <v>3.5351038744526408</v>
      </c>
      <c r="AG31">
        <v>3.5351038744526408</v>
      </c>
      <c r="AH31">
        <v>3.5351038744526408</v>
      </c>
      <c r="AI31">
        <v>3.5351038744526408</v>
      </c>
      <c r="AJ31">
        <v>3.5351038744526408</v>
      </c>
      <c r="AK31">
        <v>3.5351038744526408</v>
      </c>
    </row>
    <row r="32" spans="1:37" x14ac:dyDescent="0.25">
      <c r="A32" t="s">
        <v>90</v>
      </c>
      <c r="B32" t="s">
        <v>91</v>
      </c>
      <c r="C32" t="s">
        <v>92</v>
      </c>
      <c r="F32" t="s">
        <v>142</v>
      </c>
      <c r="G32" t="s">
        <v>114</v>
      </c>
      <c r="H32" t="s">
        <v>115</v>
      </c>
      <c r="I32" t="s">
        <v>96</v>
      </c>
      <c r="J32" t="s">
        <v>143</v>
      </c>
      <c r="K32" t="s">
        <v>98</v>
      </c>
      <c r="L32">
        <v>1</v>
      </c>
      <c r="M32">
        <v>1</v>
      </c>
      <c r="N32">
        <v>2020</v>
      </c>
      <c r="O32">
        <v>16.861273869240819</v>
      </c>
      <c r="P32">
        <v>1</v>
      </c>
      <c r="Q32">
        <v>1.784180415430267</v>
      </c>
      <c r="R32">
        <v>1.870404747774481</v>
      </c>
      <c r="S32">
        <v>1.9566290801186941</v>
      </c>
      <c r="T32">
        <v>2.1357103857566768</v>
      </c>
      <c r="U32">
        <v>2.215302077151335</v>
      </c>
      <c r="V32">
        <v>2.301526409495549</v>
      </c>
      <c r="W32">
        <v>2.3943833827893179</v>
      </c>
      <c r="X32">
        <v>253.5759595342237</v>
      </c>
      <c r="Y32">
        <v>231.8815226035257</v>
      </c>
      <c r="Z32">
        <v>197.73945792570601</v>
      </c>
      <c r="AA32">
        <v>178.5345465444324</v>
      </c>
      <c r="AB32">
        <v>169.6433838679169</v>
      </c>
      <c r="AC32">
        <v>160.39657468434069</v>
      </c>
      <c r="AD32">
        <v>151.5054120078251</v>
      </c>
      <c r="AE32">
        <v>3.5351038744526408</v>
      </c>
      <c r="AF32">
        <v>3.5351038744526408</v>
      </c>
      <c r="AG32">
        <v>3.5351038744526408</v>
      </c>
      <c r="AH32">
        <v>3.5351038744526408</v>
      </c>
      <c r="AI32">
        <v>3.5351038744526408</v>
      </c>
      <c r="AJ32">
        <v>3.5351038744526408</v>
      </c>
      <c r="AK32">
        <v>3.5351038744526408</v>
      </c>
    </row>
    <row r="33" spans="1:37" x14ac:dyDescent="0.25">
      <c r="A33" t="s">
        <v>90</v>
      </c>
      <c r="B33" t="s">
        <v>91</v>
      </c>
      <c r="C33" t="s">
        <v>92</v>
      </c>
      <c r="F33" t="s">
        <v>144</v>
      </c>
      <c r="G33" t="s">
        <v>114</v>
      </c>
      <c r="H33" t="s">
        <v>115</v>
      </c>
      <c r="I33" t="s">
        <v>96</v>
      </c>
      <c r="J33" t="s">
        <v>145</v>
      </c>
      <c r="K33" t="s">
        <v>98</v>
      </c>
      <c r="L33">
        <v>1</v>
      </c>
      <c r="M33">
        <v>1</v>
      </c>
      <c r="N33">
        <v>2020</v>
      </c>
      <c r="O33">
        <v>16.861273869240819</v>
      </c>
      <c r="P33">
        <v>1</v>
      </c>
      <c r="Q33">
        <v>1.6050991097922851</v>
      </c>
      <c r="R33">
        <v>1.678058160237389</v>
      </c>
      <c r="S33">
        <v>1.7974456973293771</v>
      </c>
      <c r="T33">
        <v>1.963261721068249</v>
      </c>
      <c r="U33">
        <v>2.0295881305637979</v>
      </c>
      <c r="V33">
        <v>2.109179821958457</v>
      </c>
      <c r="W33">
        <v>2.202036795252226</v>
      </c>
      <c r="X33">
        <v>308.70116812862022</v>
      </c>
      <c r="Y33">
        <v>279.89380105670978</v>
      </c>
      <c r="Z33">
        <v>230.4589365752833</v>
      </c>
      <c r="AA33">
        <v>204.85238806691851</v>
      </c>
      <c r="AB33">
        <v>193.1160533339179</v>
      </c>
      <c r="AC33">
        <v>181.37971860091741</v>
      </c>
      <c r="AD33">
        <v>169.6433838679169</v>
      </c>
      <c r="AE33">
        <v>3.5351038744526408</v>
      </c>
      <c r="AF33">
        <v>3.5351038744526408</v>
      </c>
      <c r="AG33">
        <v>3.5351038744526408</v>
      </c>
      <c r="AH33">
        <v>3.5351038744526408</v>
      </c>
      <c r="AI33">
        <v>3.5351038744526408</v>
      </c>
      <c r="AJ33">
        <v>3.5351038744526408</v>
      </c>
      <c r="AK33">
        <v>3.5351038744526408</v>
      </c>
    </row>
    <row r="34" spans="1:37" x14ac:dyDescent="0.25">
      <c r="A34" t="s">
        <v>90</v>
      </c>
      <c r="B34" t="s">
        <v>91</v>
      </c>
      <c r="C34" t="s">
        <v>146</v>
      </c>
      <c r="F34" t="s">
        <v>93</v>
      </c>
      <c r="G34" t="s">
        <v>94</v>
      </c>
      <c r="H34" t="s">
        <v>95</v>
      </c>
      <c r="I34" t="s">
        <v>147</v>
      </c>
      <c r="J34" t="s">
        <v>148</v>
      </c>
      <c r="K34" t="s">
        <v>98</v>
      </c>
      <c r="L34">
        <v>1</v>
      </c>
      <c r="M34">
        <v>1</v>
      </c>
      <c r="N34">
        <v>2020</v>
      </c>
      <c r="O34">
        <v>18.828422487318921</v>
      </c>
      <c r="P34">
        <v>1</v>
      </c>
      <c r="Q34">
        <v>0.29714231454005929</v>
      </c>
      <c r="R34">
        <v>0.29316272997032627</v>
      </c>
      <c r="S34">
        <v>0.33826468842729968</v>
      </c>
      <c r="T34">
        <v>0.36965918892185962</v>
      </c>
      <c r="U34">
        <v>0.38911493570722061</v>
      </c>
      <c r="V34">
        <v>0.40724415430267058</v>
      </c>
      <c r="W34">
        <v>0.42625772502472792</v>
      </c>
      <c r="X34">
        <v>175.45227681657369</v>
      </c>
      <c r="Y34">
        <v>175.2151791451999</v>
      </c>
      <c r="Z34">
        <v>179.00874188717989</v>
      </c>
      <c r="AA34">
        <v>187.54425805663479</v>
      </c>
      <c r="AB34">
        <v>186.35876969976599</v>
      </c>
      <c r="AC34">
        <v>184.93618367152359</v>
      </c>
      <c r="AD34">
        <v>183.75069531465491</v>
      </c>
      <c r="AE34">
        <v>4.6970175797771363</v>
      </c>
      <c r="AF34">
        <v>4.6970175797771363</v>
      </c>
      <c r="AG34">
        <v>4.6970175797771363</v>
      </c>
      <c r="AH34">
        <v>4.6970175797771363</v>
      </c>
      <c r="AI34">
        <v>4.6970175797771363</v>
      </c>
      <c r="AJ34">
        <v>4.6970175797771363</v>
      </c>
      <c r="AK34">
        <v>4.6970175797771363</v>
      </c>
    </row>
    <row r="35" spans="1:37" x14ac:dyDescent="0.25">
      <c r="A35" t="s">
        <v>90</v>
      </c>
      <c r="B35" t="s">
        <v>91</v>
      </c>
      <c r="C35" t="s">
        <v>146</v>
      </c>
      <c r="F35" t="s">
        <v>93</v>
      </c>
      <c r="G35" t="s">
        <v>99</v>
      </c>
      <c r="H35" t="s">
        <v>100</v>
      </c>
      <c r="I35" t="s">
        <v>147</v>
      </c>
      <c r="J35" t="s">
        <v>148</v>
      </c>
      <c r="K35" t="s">
        <v>98</v>
      </c>
      <c r="L35">
        <v>0</v>
      </c>
      <c r="M35">
        <v>1</v>
      </c>
      <c r="N35">
        <v>2020</v>
      </c>
      <c r="O35">
        <v>18.828422487318921</v>
      </c>
      <c r="P35">
        <v>0.1</v>
      </c>
      <c r="Q35">
        <v>0.29714231454005929</v>
      </c>
      <c r="R35">
        <v>0.29316272997032627</v>
      </c>
      <c r="S35">
        <v>0.33826468842729968</v>
      </c>
      <c r="T35">
        <v>0.36965918892185962</v>
      </c>
      <c r="U35">
        <v>0.38911493570722061</v>
      </c>
      <c r="V35">
        <v>0.40724415430267058</v>
      </c>
      <c r="W35">
        <v>0.42625772502472792</v>
      </c>
      <c r="X35">
        <v>175.45227681657369</v>
      </c>
      <c r="Y35">
        <v>175.2151791451999</v>
      </c>
      <c r="Z35">
        <v>179.00874188717989</v>
      </c>
      <c r="AA35">
        <v>187.54425805663479</v>
      </c>
      <c r="AB35">
        <v>186.35876969976599</v>
      </c>
      <c r="AC35">
        <v>184.93618367152359</v>
      </c>
      <c r="AD35">
        <v>183.75069531465491</v>
      </c>
      <c r="AE35">
        <v>4.6970175797771363</v>
      </c>
      <c r="AF35">
        <v>4.6970175797771363</v>
      </c>
      <c r="AG35">
        <v>4.6970175797771363</v>
      </c>
      <c r="AH35">
        <v>4.6970175797771363</v>
      </c>
      <c r="AI35">
        <v>4.6970175797771363</v>
      </c>
      <c r="AJ35">
        <v>4.6970175797771363</v>
      </c>
      <c r="AK35">
        <v>4.6970175797771363</v>
      </c>
    </row>
    <row r="36" spans="1:37" x14ac:dyDescent="0.25">
      <c r="A36" t="s">
        <v>90</v>
      </c>
      <c r="B36" t="s">
        <v>91</v>
      </c>
      <c r="C36" t="s">
        <v>146</v>
      </c>
      <c r="F36" t="s">
        <v>101</v>
      </c>
      <c r="G36" t="s">
        <v>94</v>
      </c>
      <c r="H36" t="s">
        <v>95</v>
      </c>
      <c r="I36" t="s">
        <v>147</v>
      </c>
      <c r="J36" t="s">
        <v>149</v>
      </c>
      <c r="K36" t="s">
        <v>98</v>
      </c>
      <c r="L36">
        <v>1</v>
      </c>
      <c r="M36">
        <v>1</v>
      </c>
      <c r="N36">
        <v>2020</v>
      </c>
      <c r="O36">
        <v>18.828422487318921</v>
      </c>
      <c r="P36">
        <v>1</v>
      </c>
      <c r="Q36">
        <v>0.3241150544015825</v>
      </c>
      <c r="R36">
        <v>0.32455723046488621</v>
      </c>
      <c r="S36">
        <v>0.36081566765578638</v>
      </c>
      <c r="T36">
        <v>0.39309452027695352</v>
      </c>
      <c r="U36">
        <v>0.41431897131552908</v>
      </c>
      <c r="V36">
        <v>0.43510124629080132</v>
      </c>
      <c r="W36">
        <v>0.45632569732937678</v>
      </c>
      <c r="X36">
        <v>179.00874188717989</v>
      </c>
      <c r="Y36">
        <v>178.06035120168499</v>
      </c>
      <c r="Z36">
        <v>180.90552325816981</v>
      </c>
      <c r="AA36">
        <v>187.78135572800849</v>
      </c>
      <c r="AB36">
        <v>187.30716038526111</v>
      </c>
      <c r="AC36">
        <v>187.07006271388741</v>
      </c>
      <c r="AD36">
        <v>186.59586737113989</v>
      </c>
      <c r="AE36">
        <v>4.6970175797771363</v>
      </c>
      <c r="AF36">
        <v>4.6970175797771363</v>
      </c>
      <c r="AG36">
        <v>4.6970175797771363</v>
      </c>
      <c r="AH36">
        <v>4.6970175797771363</v>
      </c>
      <c r="AI36">
        <v>4.6970175797771363</v>
      </c>
      <c r="AJ36">
        <v>4.6970175797771363</v>
      </c>
      <c r="AK36">
        <v>4.6970175797771363</v>
      </c>
    </row>
    <row r="37" spans="1:37" x14ac:dyDescent="0.25">
      <c r="A37" t="s">
        <v>90</v>
      </c>
      <c r="B37" t="s">
        <v>91</v>
      </c>
      <c r="C37" t="s">
        <v>146</v>
      </c>
      <c r="F37" t="s">
        <v>101</v>
      </c>
      <c r="G37" t="s">
        <v>99</v>
      </c>
      <c r="H37" t="s">
        <v>100</v>
      </c>
      <c r="I37" t="s">
        <v>147</v>
      </c>
      <c r="J37" t="s">
        <v>149</v>
      </c>
      <c r="K37" t="s">
        <v>98</v>
      </c>
      <c r="L37">
        <v>0</v>
      </c>
      <c r="M37">
        <v>1</v>
      </c>
      <c r="N37">
        <v>2020</v>
      </c>
      <c r="O37">
        <v>18.828422487318921</v>
      </c>
      <c r="P37">
        <v>0.1</v>
      </c>
      <c r="Q37">
        <v>0.3241150544015825</v>
      </c>
      <c r="R37">
        <v>0.32455723046488621</v>
      </c>
      <c r="S37">
        <v>0.36081566765578638</v>
      </c>
      <c r="T37">
        <v>0.39309452027695352</v>
      </c>
      <c r="U37">
        <v>0.41431897131552908</v>
      </c>
      <c r="V37">
        <v>0.43510124629080132</v>
      </c>
      <c r="W37">
        <v>0.45632569732937678</v>
      </c>
      <c r="X37">
        <v>179.00874188717989</v>
      </c>
      <c r="Y37">
        <v>178.06035120168499</v>
      </c>
      <c r="Z37">
        <v>180.90552325816981</v>
      </c>
      <c r="AA37">
        <v>187.78135572800849</v>
      </c>
      <c r="AB37">
        <v>187.30716038526111</v>
      </c>
      <c r="AC37">
        <v>187.07006271388741</v>
      </c>
      <c r="AD37">
        <v>186.59586737113989</v>
      </c>
      <c r="AE37">
        <v>4.6970175797771363</v>
      </c>
      <c r="AF37">
        <v>4.6970175797771363</v>
      </c>
      <c r="AG37">
        <v>4.6970175797771363</v>
      </c>
      <c r="AH37">
        <v>4.6970175797771363</v>
      </c>
      <c r="AI37">
        <v>4.6970175797771363</v>
      </c>
      <c r="AJ37">
        <v>4.6970175797771363</v>
      </c>
      <c r="AK37">
        <v>4.6970175797771363</v>
      </c>
    </row>
    <row r="38" spans="1:37" x14ac:dyDescent="0.25">
      <c r="A38" t="s">
        <v>90</v>
      </c>
      <c r="B38" t="s">
        <v>91</v>
      </c>
      <c r="C38" t="s">
        <v>146</v>
      </c>
      <c r="F38" t="s">
        <v>103</v>
      </c>
      <c r="G38" t="s">
        <v>94</v>
      </c>
      <c r="H38" t="s">
        <v>95</v>
      </c>
      <c r="I38" t="s">
        <v>147</v>
      </c>
      <c r="J38" t="s">
        <v>150</v>
      </c>
      <c r="K38" t="s">
        <v>98</v>
      </c>
      <c r="L38">
        <v>1</v>
      </c>
      <c r="M38">
        <v>1</v>
      </c>
      <c r="N38">
        <v>2020</v>
      </c>
      <c r="O38">
        <v>18.828422487318921</v>
      </c>
      <c r="P38">
        <v>1</v>
      </c>
      <c r="Q38">
        <v>0.30465930761622162</v>
      </c>
      <c r="R38">
        <v>0.30112189910979242</v>
      </c>
      <c r="S38">
        <v>0.34843473788328377</v>
      </c>
      <c r="T38">
        <v>0.38071359050445108</v>
      </c>
      <c r="U38">
        <v>0.40016933728981208</v>
      </c>
      <c r="V38">
        <v>0.42006726013847667</v>
      </c>
      <c r="W38">
        <v>0.43952300692383778</v>
      </c>
      <c r="X38">
        <v>176.87486284481611</v>
      </c>
      <c r="Y38">
        <v>176.16356983069491</v>
      </c>
      <c r="Z38">
        <v>180.19423024404861</v>
      </c>
      <c r="AA38">
        <v>188.72974641350359</v>
      </c>
      <c r="AB38">
        <v>187.30716038526111</v>
      </c>
      <c r="AC38">
        <v>185.88457435701869</v>
      </c>
      <c r="AD38">
        <v>184.4619883287761</v>
      </c>
      <c r="AE38">
        <v>4.4829443924950638</v>
      </c>
      <c r="AF38">
        <v>4.4829443924950638</v>
      </c>
      <c r="AG38">
        <v>4.4829443924950638</v>
      </c>
      <c r="AH38">
        <v>4.4829443924950638</v>
      </c>
      <c r="AI38">
        <v>4.4829443924950638</v>
      </c>
      <c r="AJ38">
        <v>4.4829443924950638</v>
      </c>
      <c r="AK38">
        <v>4.4829443924950638</v>
      </c>
    </row>
    <row r="39" spans="1:37" x14ac:dyDescent="0.25">
      <c r="A39" t="s">
        <v>90</v>
      </c>
      <c r="B39" t="s">
        <v>91</v>
      </c>
      <c r="C39" t="s">
        <v>146</v>
      </c>
      <c r="F39" t="s">
        <v>103</v>
      </c>
      <c r="G39" t="s">
        <v>99</v>
      </c>
      <c r="H39" t="s">
        <v>100</v>
      </c>
      <c r="I39" t="s">
        <v>147</v>
      </c>
      <c r="J39" t="s">
        <v>150</v>
      </c>
      <c r="K39" t="s">
        <v>98</v>
      </c>
      <c r="L39">
        <v>0</v>
      </c>
      <c r="M39">
        <v>1</v>
      </c>
      <c r="N39">
        <v>2020</v>
      </c>
      <c r="O39">
        <v>18.828422487318921</v>
      </c>
      <c r="P39">
        <v>0.1</v>
      </c>
      <c r="Q39">
        <v>0.30465930761622162</v>
      </c>
      <c r="R39">
        <v>0.30112189910979242</v>
      </c>
      <c r="S39">
        <v>0.34843473788328377</v>
      </c>
      <c r="T39">
        <v>0.38071359050445108</v>
      </c>
      <c r="U39">
        <v>0.40016933728981208</v>
      </c>
      <c r="V39">
        <v>0.42006726013847667</v>
      </c>
      <c r="W39">
        <v>0.43952300692383778</v>
      </c>
      <c r="X39">
        <v>176.87486284481611</v>
      </c>
      <c r="Y39">
        <v>176.16356983069491</v>
      </c>
      <c r="Z39">
        <v>180.19423024404861</v>
      </c>
      <c r="AA39">
        <v>188.72974641350359</v>
      </c>
      <c r="AB39">
        <v>187.30716038526111</v>
      </c>
      <c r="AC39">
        <v>185.88457435701869</v>
      </c>
      <c r="AD39">
        <v>184.4619883287761</v>
      </c>
      <c r="AE39">
        <v>4.4829443924950638</v>
      </c>
      <c r="AF39">
        <v>4.4829443924950638</v>
      </c>
      <c r="AG39">
        <v>4.4829443924950638</v>
      </c>
      <c r="AH39">
        <v>4.4829443924950638</v>
      </c>
      <c r="AI39">
        <v>4.4829443924950638</v>
      </c>
      <c r="AJ39">
        <v>4.4829443924950638</v>
      </c>
      <c r="AK39">
        <v>4.4829443924950638</v>
      </c>
    </row>
    <row r="40" spans="1:37" x14ac:dyDescent="0.25">
      <c r="A40" t="s">
        <v>90</v>
      </c>
      <c r="B40" t="s">
        <v>91</v>
      </c>
      <c r="C40" t="s">
        <v>146</v>
      </c>
      <c r="F40" t="s">
        <v>105</v>
      </c>
      <c r="G40" t="s">
        <v>94</v>
      </c>
      <c r="H40" t="s">
        <v>95</v>
      </c>
      <c r="I40" t="s">
        <v>147</v>
      </c>
      <c r="J40" t="s">
        <v>151</v>
      </c>
      <c r="K40" t="s">
        <v>98</v>
      </c>
      <c r="L40">
        <v>1</v>
      </c>
      <c r="M40">
        <v>1</v>
      </c>
      <c r="N40">
        <v>2020</v>
      </c>
      <c r="O40">
        <v>18.828422487318921</v>
      </c>
      <c r="P40">
        <v>1</v>
      </c>
      <c r="Q40">
        <v>0.32986334322453009</v>
      </c>
      <c r="R40">
        <v>0.33074769535113741</v>
      </c>
      <c r="S40">
        <v>0.36744830860534128</v>
      </c>
      <c r="T40">
        <v>0.40105368941641939</v>
      </c>
      <c r="U40">
        <v>0.42360466864490609</v>
      </c>
      <c r="V40">
        <v>0.44482911968348149</v>
      </c>
      <c r="W40">
        <v>0.46693792284866492</v>
      </c>
      <c r="X40">
        <v>180.43132791542229</v>
      </c>
      <c r="Y40">
        <v>179.00874188717989</v>
      </c>
      <c r="Z40">
        <v>181.85391394366491</v>
      </c>
      <c r="AA40">
        <v>188.4926487421298</v>
      </c>
      <c r="AB40">
        <v>188.01845339938239</v>
      </c>
      <c r="AC40">
        <v>187.78135572800849</v>
      </c>
      <c r="AD40">
        <v>187.54425805663479</v>
      </c>
      <c r="AE40">
        <v>4.4829443924950638</v>
      </c>
      <c r="AF40">
        <v>4.4829443924950638</v>
      </c>
      <c r="AG40">
        <v>4.4829443924950638</v>
      </c>
      <c r="AH40">
        <v>4.4829443924950638</v>
      </c>
      <c r="AI40">
        <v>4.4829443924950638</v>
      </c>
      <c r="AJ40">
        <v>4.4829443924950638</v>
      </c>
      <c r="AK40">
        <v>4.4829443924950638</v>
      </c>
    </row>
    <row r="41" spans="1:37" x14ac:dyDescent="0.25">
      <c r="A41" t="s">
        <v>90</v>
      </c>
      <c r="B41" t="s">
        <v>91</v>
      </c>
      <c r="C41" t="s">
        <v>146</v>
      </c>
      <c r="F41" t="s">
        <v>105</v>
      </c>
      <c r="G41" t="s">
        <v>99</v>
      </c>
      <c r="H41" t="s">
        <v>100</v>
      </c>
      <c r="I41" t="s">
        <v>147</v>
      </c>
      <c r="J41" t="s">
        <v>151</v>
      </c>
      <c r="K41" t="s">
        <v>98</v>
      </c>
      <c r="L41">
        <v>0</v>
      </c>
      <c r="M41">
        <v>1</v>
      </c>
      <c r="N41">
        <v>2020</v>
      </c>
      <c r="O41">
        <v>18.828422487318921</v>
      </c>
      <c r="P41">
        <v>0.1</v>
      </c>
      <c r="Q41">
        <v>0.32986334322453009</v>
      </c>
      <c r="R41">
        <v>0.33074769535113741</v>
      </c>
      <c r="S41">
        <v>0.36744830860534128</v>
      </c>
      <c r="T41">
        <v>0.40105368941641939</v>
      </c>
      <c r="U41">
        <v>0.42360466864490609</v>
      </c>
      <c r="V41">
        <v>0.44482911968348149</v>
      </c>
      <c r="W41">
        <v>0.46693792284866492</v>
      </c>
      <c r="X41">
        <v>180.43132791542229</v>
      </c>
      <c r="Y41">
        <v>179.00874188717989</v>
      </c>
      <c r="Z41">
        <v>181.85391394366491</v>
      </c>
      <c r="AA41">
        <v>188.4926487421298</v>
      </c>
      <c r="AB41">
        <v>188.01845339938239</v>
      </c>
      <c r="AC41">
        <v>187.78135572800849</v>
      </c>
      <c r="AD41">
        <v>187.54425805663479</v>
      </c>
      <c r="AE41">
        <v>4.4829443924950638</v>
      </c>
      <c r="AF41">
        <v>4.4829443924950638</v>
      </c>
      <c r="AG41">
        <v>4.4829443924950638</v>
      </c>
      <c r="AH41">
        <v>4.4829443924950638</v>
      </c>
      <c r="AI41">
        <v>4.4829443924950638</v>
      </c>
      <c r="AJ41">
        <v>4.4829443924950638</v>
      </c>
      <c r="AK41">
        <v>4.4829443924950638</v>
      </c>
    </row>
    <row r="42" spans="1:37" x14ac:dyDescent="0.25">
      <c r="A42" t="s">
        <v>90</v>
      </c>
      <c r="B42" t="s">
        <v>91</v>
      </c>
      <c r="C42" t="s">
        <v>146</v>
      </c>
      <c r="F42" t="s">
        <v>107</v>
      </c>
      <c r="G42" t="s">
        <v>94</v>
      </c>
      <c r="H42" t="s">
        <v>95</v>
      </c>
      <c r="I42" t="s">
        <v>147</v>
      </c>
      <c r="J42" t="s">
        <v>152</v>
      </c>
      <c r="K42" t="s">
        <v>98</v>
      </c>
      <c r="L42">
        <v>1</v>
      </c>
      <c r="M42">
        <v>1</v>
      </c>
      <c r="N42">
        <v>2020</v>
      </c>
      <c r="O42">
        <v>18.828422487318921</v>
      </c>
      <c r="P42">
        <v>1</v>
      </c>
      <c r="Q42">
        <v>0.31306065281899109</v>
      </c>
      <c r="R42">
        <v>0.30908106824925807</v>
      </c>
      <c r="S42">
        <v>0.35772043521266078</v>
      </c>
      <c r="T42">
        <v>0.39044146389713141</v>
      </c>
      <c r="U42">
        <v>0.41166591493570709</v>
      </c>
      <c r="V42">
        <v>0.43289036597428282</v>
      </c>
      <c r="W42">
        <v>0.45367264094955478</v>
      </c>
      <c r="X42">
        <v>180.19423024404861</v>
      </c>
      <c r="Y42">
        <v>179.00874188717989</v>
      </c>
      <c r="Z42">
        <v>182.5652069577861</v>
      </c>
      <c r="AA42">
        <v>190.86362545586729</v>
      </c>
      <c r="AB42">
        <v>189.20394175625111</v>
      </c>
      <c r="AC42">
        <v>187.78135572800849</v>
      </c>
      <c r="AD42">
        <v>186.1216720283924</v>
      </c>
      <c r="AE42">
        <v>4.4829443924950638</v>
      </c>
      <c r="AF42">
        <v>4.4829443924950638</v>
      </c>
      <c r="AG42">
        <v>4.4829443924950638</v>
      </c>
      <c r="AH42">
        <v>4.4829443924950638</v>
      </c>
      <c r="AI42">
        <v>4.4829443924950638</v>
      </c>
      <c r="AJ42">
        <v>4.4829443924950638</v>
      </c>
      <c r="AK42">
        <v>4.4829443924950638</v>
      </c>
    </row>
    <row r="43" spans="1:37" x14ac:dyDescent="0.25">
      <c r="A43" t="s">
        <v>90</v>
      </c>
      <c r="B43" t="s">
        <v>91</v>
      </c>
      <c r="C43" t="s">
        <v>146</v>
      </c>
      <c r="F43" t="s">
        <v>107</v>
      </c>
      <c r="G43" t="s">
        <v>99</v>
      </c>
      <c r="H43" t="s">
        <v>100</v>
      </c>
      <c r="I43" t="s">
        <v>147</v>
      </c>
      <c r="J43" t="s">
        <v>152</v>
      </c>
      <c r="K43" t="s">
        <v>98</v>
      </c>
      <c r="L43">
        <v>0</v>
      </c>
      <c r="M43">
        <v>1</v>
      </c>
      <c r="N43">
        <v>2020</v>
      </c>
      <c r="O43">
        <v>18.828422487318921</v>
      </c>
      <c r="P43">
        <v>0.1</v>
      </c>
      <c r="Q43">
        <v>0.31306065281899109</v>
      </c>
      <c r="R43">
        <v>0.30908106824925807</v>
      </c>
      <c r="S43">
        <v>0.35772043521266078</v>
      </c>
      <c r="T43">
        <v>0.39044146389713141</v>
      </c>
      <c r="U43">
        <v>0.41166591493570709</v>
      </c>
      <c r="V43">
        <v>0.43289036597428282</v>
      </c>
      <c r="W43">
        <v>0.45367264094955478</v>
      </c>
      <c r="X43">
        <v>180.19423024404861</v>
      </c>
      <c r="Y43">
        <v>179.00874188717989</v>
      </c>
      <c r="Z43">
        <v>182.5652069577861</v>
      </c>
      <c r="AA43">
        <v>190.86362545586729</v>
      </c>
      <c r="AB43">
        <v>189.20394175625111</v>
      </c>
      <c r="AC43">
        <v>187.78135572800849</v>
      </c>
      <c r="AD43">
        <v>186.1216720283924</v>
      </c>
      <c r="AE43">
        <v>4.4829443924950638</v>
      </c>
      <c r="AF43">
        <v>4.4829443924950638</v>
      </c>
      <c r="AG43">
        <v>4.4829443924950638</v>
      </c>
      <c r="AH43">
        <v>4.4829443924950638</v>
      </c>
      <c r="AI43">
        <v>4.4829443924950638</v>
      </c>
      <c r="AJ43">
        <v>4.4829443924950638</v>
      </c>
      <c r="AK43">
        <v>4.4829443924950638</v>
      </c>
    </row>
    <row r="44" spans="1:37" x14ac:dyDescent="0.25">
      <c r="A44" t="s">
        <v>90</v>
      </c>
      <c r="B44" t="s">
        <v>91</v>
      </c>
      <c r="C44" t="s">
        <v>146</v>
      </c>
      <c r="F44" t="s">
        <v>109</v>
      </c>
      <c r="G44" t="s">
        <v>94</v>
      </c>
      <c r="H44" t="s">
        <v>95</v>
      </c>
      <c r="I44" t="s">
        <v>147</v>
      </c>
      <c r="J44" t="s">
        <v>152</v>
      </c>
      <c r="K44" t="s">
        <v>98</v>
      </c>
      <c r="L44">
        <v>0</v>
      </c>
      <c r="M44">
        <v>1</v>
      </c>
      <c r="N44">
        <v>2020</v>
      </c>
      <c r="O44">
        <v>18.828422487318921</v>
      </c>
      <c r="P44">
        <v>1</v>
      </c>
      <c r="Q44">
        <v>0.34312862512364001</v>
      </c>
      <c r="R44">
        <v>0.3431286251236399</v>
      </c>
      <c r="S44">
        <v>0.38204011869436189</v>
      </c>
      <c r="T44">
        <v>0.41652985163204748</v>
      </c>
      <c r="U44">
        <v>0.44040735905044498</v>
      </c>
      <c r="V44">
        <v>0.46428486646884248</v>
      </c>
      <c r="W44">
        <v>0.48816237388724021</v>
      </c>
      <c r="X44">
        <v>183.75069531465491</v>
      </c>
      <c r="Y44">
        <v>182.0910116150385</v>
      </c>
      <c r="Z44">
        <v>184.69908600014989</v>
      </c>
      <c r="AA44">
        <v>190.62652778449359</v>
      </c>
      <c r="AB44">
        <v>190.1523324417461</v>
      </c>
      <c r="AC44">
        <v>189.44103942762479</v>
      </c>
      <c r="AD44">
        <v>188.96684408487729</v>
      </c>
      <c r="AE44">
        <v>4.4829443924950638</v>
      </c>
      <c r="AF44">
        <v>4.4829443924950638</v>
      </c>
      <c r="AG44">
        <v>4.4829443924950638</v>
      </c>
      <c r="AH44">
        <v>4.4829443924950638</v>
      </c>
      <c r="AI44">
        <v>4.4829443924950638</v>
      </c>
      <c r="AJ44">
        <v>4.4829443924950638</v>
      </c>
      <c r="AK44">
        <v>4.4829443924950638</v>
      </c>
    </row>
    <row r="45" spans="1:37" x14ac:dyDescent="0.25">
      <c r="A45" t="s">
        <v>90</v>
      </c>
      <c r="B45" t="s">
        <v>91</v>
      </c>
      <c r="C45" t="s">
        <v>146</v>
      </c>
      <c r="F45" t="s">
        <v>109</v>
      </c>
      <c r="G45" t="s">
        <v>99</v>
      </c>
      <c r="H45" t="s">
        <v>100</v>
      </c>
      <c r="I45" t="s">
        <v>147</v>
      </c>
      <c r="J45" t="s">
        <v>152</v>
      </c>
      <c r="K45" t="s">
        <v>98</v>
      </c>
      <c r="L45">
        <v>0</v>
      </c>
      <c r="M45">
        <v>1</v>
      </c>
      <c r="N45">
        <v>2020</v>
      </c>
      <c r="O45">
        <v>18.828422487318921</v>
      </c>
      <c r="P45">
        <v>0.1</v>
      </c>
      <c r="Q45">
        <v>0.34312862512364001</v>
      </c>
      <c r="R45">
        <v>0.3431286251236399</v>
      </c>
      <c r="S45">
        <v>0.38204011869436189</v>
      </c>
      <c r="T45">
        <v>0.41652985163204748</v>
      </c>
      <c r="U45">
        <v>0.44040735905044498</v>
      </c>
      <c r="V45">
        <v>0.46428486646884248</v>
      </c>
      <c r="W45">
        <v>0.48816237388724021</v>
      </c>
      <c r="X45">
        <v>183.75069531465491</v>
      </c>
      <c r="Y45">
        <v>182.0910116150385</v>
      </c>
      <c r="Z45">
        <v>184.69908600014989</v>
      </c>
      <c r="AA45">
        <v>190.62652778449359</v>
      </c>
      <c r="AB45">
        <v>190.1523324417461</v>
      </c>
      <c r="AC45">
        <v>189.44103942762479</v>
      </c>
      <c r="AD45">
        <v>188.96684408487729</v>
      </c>
      <c r="AE45">
        <v>4.4829443924950638</v>
      </c>
      <c r="AF45">
        <v>4.4829443924950638</v>
      </c>
      <c r="AG45">
        <v>4.4829443924950638</v>
      </c>
      <c r="AH45">
        <v>4.4829443924950638</v>
      </c>
      <c r="AI45">
        <v>4.4829443924950638</v>
      </c>
      <c r="AJ45">
        <v>4.4829443924950638</v>
      </c>
      <c r="AK45">
        <v>4.4829443924950638</v>
      </c>
    </row>
    <row r="46" spans="1:37" x14ac:dyDescent="0.25">
      <c r="A46" t="s">
        <v>90</v>
      </c>
      <c r="B46" t="s">
        <v>91</v>
      </c>
      <c r="C46" t="s">
        <v>146</v>
      </c>
      <c r="F46" t="s">
        <v>110</v>
      </c>
      <c r="G46" t="s">
        <v>94</v>
      </c>
      <c r="H46" t="s">
        <v>95</v>
      </c>
      <c r="I46" t="s">
        <v>147</v>
      </c>
      <c r="J46" t="s">
        <v>153</v>
      </c>
      <c r="K46" t="s">
        <v>98</v>
      </c>
      <c r="L46">
        <v>1</v>
      </c>
      <c r="M46">
        <v>1</v>
      </c>
      <c r="N46">
        <v>2020</v>
      </c>
      <c r="O46">
        <v>18.828422487318921</v>
      </c>
      <c r="P46">
        <v>1</v>
      </c>
      <c r="Q46">
        <v>0.48108755687438159</v>
      </c>
      <c r="R46">
        <v>0.49656371909000979</v>
      </c>
      <c r="S46">
        <v>0.50894464886251245</v>
      </c>
      <c r="T46">
        <v>0.54078132542037594</v>
      </c>
      <c r="U46">
        <v>0.56598536102868435</v>
      </c>
      <c r="V46">
        <v>0.59074722057368922</v>
      </c>
      <c r="W46">
        <v>0.61550908011869443</v>
      </c>
      <c r="X46">
        <v>204.61529039554469</v>
      </c>
      <c r="Y46">
        <v>196.5539695688372</v>
      </c>
      <c r="Z46">
        <v>190.3894301131198</v>
      </c>
      <c r="AA46">
        <v>186.83296504251359</v>
      </c>
      <c r="AB46">
        <v>184.2248906574022</v>
      </c>
      <c r="AC46">
        <v>181.85391394366479</v>
      </c>
      <c r="AD46">
        <v>179.48293722992739</v>
      </c>
      <c r="AE46">
        <v>4.4829443924950638</v>
      </c>
      <c r="AF46">
        <v>4.4829443924950638</v>
      </c>
      <c r="AG46">
        <v>4.4829443924950638</v>
      </c>
      <c r="AH46">
        <v>4.4829443924950638</v>
      </c>
      <c r="AI46">
        <v>4.4829443924950638</v>
      </c>
      <c r="AJ46">
        <v>4.4829443924950638</v>
      </c>
      <c r="AK46">
        <v>4.4829443924950638</v>
      </c>
    </row>
    <row r="47" spans="1:37" x14ac:dyDescent="0.25">
      <c r="A47" t="s">
        <v>90</v>
      </c>
      <c r="B47" t="s">
        <v>91</v>
      </c>
      <c r="C47" t="s">
        <v>146</v>
      </c>
      <c r="F47" t="s">
        <v>110</v>
      </c>
      <c r="G47" t="s">
        <v>99</v>
      </c>
      <c r="H47" t="s">
        <v>100</v>
      </c>
      <c r="I47" t="s">
        <v>147</v>
      </c>
      <c r="J47" t="s">
        <v>153</v>
      </c>
      <c r="K47" t="s">
        <v>98</v>
      </c>
      <c r="L47">
        <v>0</v>
      </c>
      <c r="M47">
        <v>1</v>
      </c>
      <c r="N47">
        <v>2020</v>
      </c>
      <c r="O47">
        <v>18.828422487318921</v>
      </c>
      <c r="P47">
        <v>0.1</v>
      </c>
      <c r="Q47">
        <v>0.48108755687438159</v>
      </c>
      <c r="R47">
        <v>0.49656371909000979</v>
      </c>
      <c r="S47">
        <v>0.50894464886251245</v>
      </c>
      <c r="T47">
        <v>0.54078132542037594</v>
      </c>
      <c r="U47">
        <v>0.56598536102868435</v>
      </c>
      <c r="V47">
        <v>0.59074722057368922</v>
      </c>
      <c r="W47">
        <v>0.61550908011869443</v>
      </c>
      <c r="X47">
        <v>204.61529039554469</v>
      </c>
      <c r="Y47">
        <v>196.5539695688372</v>
      </c>
      <c r="Z47">
        <v>190.3894301131198</v>
      </c>
      <c r="AA47">
        <v>186.83296504251359</v>
      </c>
      <c r="AB47">
        <v>184.2248906574022</v>
      </c>
      <c r="AC47">
        <v>181.85391394366479</v>
      </c>
      <c r="AD47">
        <v>179.48293722992739</v>
      </c>
      <c r="AE47">
        <v>4.4829443924950638</v>
      </c>
      <c r="AF47">
        <v>4.4829443924950638</v>
      </c>
      <c r="AG47">
        <v>4.4829443924950638</v>
      </c>
      <c r="AH47">
        <v>4.4829443924950638</v>
      </c>
      <c r="AI47">
        <v>4.4829443924950638</v>
      </c>
      <c r="AJ47">
        <v>4.4829443924950638</v>
      </c>
      <c r="AK47">
        <v>4.4829443924950638</v>
      </c>
    </row>
    <row r="48" spans="1:37" x14ac:dyDescent="0.25">
      <c r="A48" t="s">
        <v>90</v>
      </c>
      <c r="B48" t="s">
        <v>91</v>
      </c>
      <c r="C48" t="s">
        <v>146</v>
      </c>
      <c r="F48" t="s">
        <v>112</v>
      </c>
      <c r="G48" t="s">
        <v>94</v>
      </c>
      <c r="H48" t="s">
        <v>95</v>
      </c>
      <c r="I48" t="s">
        <v>147</v>
      </c>
      <c r="J48" t="s">
        <v>154</v>
      </c>
      <c r="K48" t="s">
        <v>98</v>
      </c>
      <c r="L48">
        <v>1</v>
      </c>
      <c r="M48">
        <v>1</v>
      </c>
      <c r="N48">
        <v>2020</v>
      </c>
      <c r="O48">
        <v>18.828422487318921</v>
      </c>
      <c r="P48">
        <v>0.79385474860335326</v>
      </c>
      <c r="Q48">
        <v>0.6442505242334311</v>
      </c>
      <c r="R48">
        <v>0.67254979228486733</v>
      </c>
      <c r="S48">
        <v>0.68802595450049164</v>
      </c>
      <c r="T48">
        <v>0.74108708209693452</v>
      </c>
      <c r="U48">
        <v>0.77203940652819092</v>
      </c>
      <c r="V48">
        <v>0.80254955489614233</v>
      </c>
      <c r="W48">
        <v>0.83394405539070349</v>
      </c>
      <c r="X48">
        <v>219.07824834934419</v>
      </c>
      <c r="Y48">
        <v>205.08948573829241</v>
      </c>
      <c r="Z48">
        <v>196.3168718974633</v>
      </c>
      <c r="AA48">
        <v>192.04911381273621</v>
      </c>
      <c r="AB48">
        <v>189.4410394276249</v>
      </c>
      <c r="AC48">
        <v>187.07006271388761</v>
      </c>
      <c r="AD48">
        <v>184.69908600014949</v>
      </c>
      <c r="AE48">
        <v>4.2185010434995602</v>
      </c>
      <c r="AF48">
        <v>4.2185010434995602</v>
      </c>
      <c r="AG48">
        <v>4.2185010434995602</v>
      </c>
      <c r="AH48">
        <v>4.2185010434995602</v>
      </c>
      <c r="AI48">
        <v>4.2185010434995602</v>
      </c>
      <c r="AJ48">
        <v>4.2185010434995602</v>
      </c>
      <c r="AK48">
        <v>4.2185010434995602</v>
      </c>
    </row>
    <row r="49" spans="1:37" x14ac:dyDescent="0.25">
      <c r="A49" t="s">
        <v>90</v>
      </c>
      <c r="B49" t="s">
        <v>91</v>
      </c>
      <c r="C49" t="s">
        <v>146</v>
      </c>
      <c r="F49" t="s">
        <v>112</v>
      </c>
      <c r="G49" t="s">
        <v>99</v>
      </c>
      <c r="H49" t="s">
        <v>100</v>
      </c>
      <c r="I49" t="s">
        <v>147</v>
      </c>
      <c r="J49" t="s">
        <v>154</v>
      </c>
      <c r="K49" t="s">
        <v>98</v>
      </c>
      <c r="L49">
        <v>0</v>
      </c>
      <c r="M49">
        <v>1</v>
      </c>
      <c r="N49">
        <v>2020</v>
      </c>
      <c r="O49">
        <v>18.828422487318921</v>
      </c>
      <c r="P49">
        <v>0.1</v>
      </c>
      <c r="Q49">
        <v>0.6442505242334311</v>
      </c>
      <c r="R49">
        <v>0.67254979228486733</v>
      </c>
      <c r="S49">
        <v>0.68802595450049164</v>
      </c>
      <c r="T49">
        <v>0.74108708209693452</v>
      </c>
      <c r="U49">
        <v>0.77203940652819092</v>
      </c>
      <c r="V49">
        <v>0.80254955489614233</v>
      </c>
      <c r="W49">
        <v>0.83394405539070349</v>
      </c>
      <c r="X49">
        <v>219.07824834934419</v>
      </c>
      <c r="Y49">
        <v>205.08948573829241</v>
      </c>
      <c r="Z49">
        <v>196.3168718974633</v>
      </c>
      <c r="AA49">
        <v>192.04911381273621</v>
      </c>
      <c r="AB49">
        <v>189.4410394276249</v>
      </c>
      <c r="AC49">
        <v>187.07006271388761</v>
      </c>
      <c r="AD49">
        <v>184.69908600014949</v>
      </c>
      <c r="AE49">
        <v>4.2185010434995602</v>
      </c>
      <c r="AF49">
        <v>4.2185010434995602</v>
      </c>
      <c r="AG49">
        <v>4.2185010434995602</v>
      </c>
      <c r="AH49">
        <v>4.2185010434995602</v>
      </c>
      <c r="AI49">
        <v>4.2185010434995602</v>
      </c>
      <c r="AJ49">
        <v>4.2185010434995602</v>
      </c>
      <c r="AK49">
        <v>4.2185010434995602</v>
      </c>
    </row>
    <row r="50" spans="1:37" x14ac:dyDescent="0.25">
      <c r="A50" t="s">
        <v>90</v>
      </c>
      <c r="B50" t="s">
        <v>91</v>
      </c>
      <c r="C50" t="s">
        <v>146</v>
      </c>
      <c r="F50" t="s">
        <v>112</v>
      </c>
      <c r="G50" t="s">
        <v>114</v>
      </c>
      <c r="H50" t="s">
        <v>115</v>
      </c>
      <c r="I50" t="s">
        <v>147</v>
      </c>
      <c r="J50" t="s">
        <v>154</v>
      </c>
      <c r="K50" t="s">
        <v>98</v>
      </c>
      <c r="L50">
        <v>0</v>
      </c>
      <c r="M50">
        <v>1</v>
      </c>
      <c r="N50">
        <v>2020</v>
      </c>
      <c r="O50">
        <v>18.828422487318921</v>
      </c>
      <c r="P50">
        <v>0.2061452513966468</v>
      </c>
      <c r="Q50">
        <v>0.6442505242334311</v>
      </c>
      <c r="R50">
        <v>0.67254979228486733</v>
      </c>
      <c r="S50">
        <v>0.68802595450049164</v>
      </c>
      <c r="T50">
        <v>0.74108708209693452</v>
      </c>
      <c r="U50">
        <v>0.77203940652819092</v>
      </c>
      <c r="V50">
        <v>0.80254955489614233</v>
      </c>
      <c r="W50">
        <v>0.83394405539070349</v>
      </c>
      <c r="X50">
        <v>219.07824834934419</v>
      </c>
      <c r="Y50">
        <v>205.08948573829241</v>
      </c>
      <c r="Z50">
        <v>196.3168718974633</v>
      </c>
      <c r="AA50">
        <v>192.04911381273621</v>
      </c>
      <c r="AB50">
        <v>189.4410394276249</v>
      </c>
      <c r="AC50">
        <v>187.07006271388761</v>
      </c>
      <c r="AD50">
        <v>184.69908600014949</v>
      </c>
      <c r="AE50">
        <v>4.2185010434995602</v>
      </c>
      <c r="AF50">
        <v>4.2185010434995602</v>
      </c>
      <c r="AG50">
        <v>4.2185010434995602</v>
      </c>
      <c r="AH50">
        <v>4.2185010434995602</v>
      </c>
      <c r="AI50">
        <v>4.2185010434995602</v>
      </c>
      <c r="AJ50">
        <v>4.2185010434995602</v>
      </c>
      <c r="AK50">
        <v>4.2185010434995602</v>
      </c>
    </row>
    <row r="51" spans="1:37" x14ac:dyDescent="0.25">
      <c r="A51" t="s">
        <v>90</v>
      </c>
      <c r="B51" t="s">
        <v>91</v>
      </c>
      <c r="C51" t="s">
        <v>146</v>
      </c>
      <c r="F51" t="s">
        <v>116</v>
      </c>
      <c r="G51" t="s">
        <v>94</v>
      </c>
      <c r="H51" t="s">
        <v>95</v>
      </c>
      <c r="I51" t="s">
        <v>147</v>
      </c>
      <c r="J51" t="s">
        <v>155</v>
      </c>
      <c r="K51" t="s">
        <v>98</v>
      </c>
      <c r="L51">
        <v>1</v>
      </c>
      <c r="M51">
        <v>1</v>
      </c>
      <c r="N51">
        <v>2020</v>
      </c>
      <c r="O51">
        <v>18.828422487318921</v>
      </c>
      <c r="P51">
        <v>0.59329608938547262</v>
      </c>
      <c r="Q51">
        <v>0.80299173095944776</v>
      </c>
      <c r="R51">
        <v>0.8463249851632042</v>
      </c>
      <c r="S51">
        <v>0.86268549950544016</v>
      </c>
      <c r="T51">
        <v>0.93564454995054436</v>
      </c>
      <c r="U51">
        <v>0.97367169139465837</v>
      </c>
      <c r="V51">
        <v>1.0116988328387719</v>
      </c>
      <c r="W51">
        <v>1.0514946785361039</v>
      </c>
      <c r="X51">
        <v>242.07672247259629</v>
      </c>
      <c r="Y51">
        <v>221.92342040582801</v>
      </c>
      <c r="Z51">
        <v>205.80077875241361</v>
      </c>
      <c r="AA51">
        <v>197.5023602543325</v>
      </c>
      <c r="AB51">
        <v>193.70879751235239</v>
      </c>
      <c r="AC51">
        <v>190.15233244174621</v>
      </c>
      <c r="AD51">
        <v>186.5958673711398</v>
      </c>
      <c r="AE51">
        <v>4.2185010434995602</v>
      </c>
      <c r="AF51">
        <v>4.2185010434995602</v>
      </c>
      <c r="AG51">
        <v>4.2185010434995602</v>
      </c>
      <c r="AH51">
        <v>4.2185010434995602</v>
      </c>
      <c r="AI51">
        <v>4.2185010434995602</v>
      </c>
      <c r="AJ51">
        <v>4.2185010434995602</v>
      </c>
      <c r="AK51">
        <v>4.2185010434995602</v>
      </c>
    </row>
    <row r="52" spans="1:37" x14ac:dyDescent="0.25">
      <c r="A52" t="s">
        <v>90</v>
      </c>
      <c r="B52" t="s">
        <v>91</v>
      </c>
      <c r="C52" t="s">
        <v>146</v>
      </c>
      <c r="F52" t="s">
        <v>116</v>
      </c>
      <c r="G52" t="s">
        <v>99</v>
      </c>
      <c r="H52" t="s">
        <v>100</v>
      </c>
      <c r="I52" t="s">
        <v>147</v>
      </c>
      <c r="J52" t="s">
        <v>155</v>
      </c>
      <c r="K52" t="s">
        <v>98</v>
      </c>
      <c r="L52">
        <v>0</v>
      </c>
      <c r="M52">
        <v>1</v>
      </c>
      <c r="N52">
        <v>2020</v>
      </c>
      <c r="O52">
        <v>18.828422487318921</v>
      </c>
      <c r="P52">
        <v>0.1</v>
      </c>
      <c r="Q52">
        <v>0.80299173095944776</v>
      </c>
      <c r="R52">
        <v>0.8463249851632042</v>
      </c>
      <c r="S52">
        <v>0.86268549950544016</v>
      </c>
      <c r="T52">
        <v>0.93564454995054436</v>
      </c>
      <c r="U52">
        <v>0.97367169139465837</v>
      </c>
      <c r="V52">
        <v>1.0116988328387719</v>
      </c>
      <c r="W52">
        <v>1.0514946785361039</v>
      </c>
      <c r="X52">
        <v>242.07672247259629</v>
      </c>
      <c r="Y52">
        <v>221.92342040582801</v>
      </c>
      <c r="Z52">
        <v>205.80077875241361</v>
      </c>
      <c r="AA52">
        <v>197.5023602543325</v>
      </c>
      <c r="AB52">
        <v>193.70879751235239</v>
      </c>
      <c r="AC52">
        <v>190.15233244174621</v>
      </c>
      <c r="AD52">
        <v>186.5958673711398</v>
      </c>
      <c r="AE52">
        <v>4.2185010434995602</v>
      </c>
      <c r="AF52">
        <v>4.2185010434995602</v>
      </c>
      <c r="AG52">
        <v>4.2185010434995602</v>
      </c>
      <c r="AH52">
        <v>4.2185010434995602</v>
      </c>
      <c r="AI52">
        <v>4.2185010434995602</v>
      </c>
      <c r="AJ52">
        <v>4.2185010434995602</v>
      </c>
      <c r="AK52">
        <v>4.2185010434995602</v>
      </c>
    </row>
    <row r="53" spans="1:37" x14ac:dyDescent="0.25">
      <c r="A53" t="s">
        <v>90</v>
      </c>
      <c r="B53" t="s">
        <v>91</v>
      </c>
      <c r="C53" t="s">
        <v>146</v>
      </c>
      <c r="F53" t="s">
        <v>116</v>
      </c>
      <c r="G53" t="s">
        <v>114</v>
      </c>
      <c r="H53" t="s">
        <v>115</v>
      </c>
      <c r="I53" t="s">
        <v>147</v>
      </c>
      <c r="J53" t="s">
        <v>155</v>
      </c>
      <c r="K53" t="s">
        <v>98</v>
      </c>
      <c r="L53">
        <v>0</v>
      </c>
      <c r="M53">
        <v>1</v>
      </c>
      <c r="N53">
        <v>2020</v>
      </c>
      <c r="O53">
        <v>18.828422487318921</v>
      </c>
      <c r="P53">
        <v>0.40670391061452732</v>
      </c>
      <c r="Q53">
        <v>0.80299173095944776</v>
      </c>
      <c r="R53">
        <v>0.8463249851632042</v>
      </c>
      <c r="S53">
        <v>0.86268549950544016</v>
      </c>
      <c r="T53">
        <v>0.93564454995054436</v>
      </c>
      <c r="U53">
        <v>0.97367169139465837</v>
      </c>
      <c r="V53">
        <v>1.0116988328387719</v>
      </c>
      <c r="W53">
        <v>1.0514946785361039</v>
      </c>
      <c r="X53">
        <v>242.07672247259629</v>
      </c>
      <c r="Y53">
        <v>221.92342040582801</v>
      </c>
      <c r="Z53">
        <v>205.80077875241361</v>
      </c>
      <c r="AA53">
        <v>197.5023602543325</v>
      </c>
      <c r="AB53">
        <v>193.70879751235239</v>
      </c>
      <c r="AC53">
        <v>190.15233244174621</v>
      </c>
      <c r="AD53">
        <v>186.5958673711398</v>
      </c>
      <c r="AE53">
        <v>4.2185010434995602</v>
      </c>
      <c r="AF53">
        <v>4.2185010434995602</v>
      </c>
      <c r="AG53">
        <v>4.2185010434995602</v>
      </c>
      <c r="AH53">
        <v>4.2185010434995602</v>
      </c>
      <c r="AI53">
        <v>4.2185010434995602</v>
      </c>
      <c r="AJ53">
        <v>4.2185010434995602</v>
      </c>
      <c r="AK53">
        <v>4.2185010434995602</v>
      </c>
    </row>
    <row r="54" spans="1:37" x14ac:dyDescent="0.25">
      <c r="A54" t="s">
        <v>90</v>
      </c>
      <c r="B54" t="s">
        <v>91</v>
      </c>
      <c r="C54" t="s">
        <v>146</v>
      </c>
      <c r="F54" t="s">
        <v>118</v>
      </c>
      <c r="G54" t="s">
        <v>119</v>
      </c>
      <c r="H54" t="s">
        <v>120</v>
      </c>
      <c r="I54" t="s">
        <v>147</v>
      </c>
      <c r="J54" t="s">
        <v>156</v>
      </c>
      <c r="K54" t="s">
        <v>98</v>
      </c>
      <c r="L54">
        <v>1</v>
      </c>
      <c r="M54">
        <v>1</v>
      </c>
      <c r="N54">
        <v>2020</v>
      </c>
      <c r="O54">
        <v>18.828422487318921</v>
      </c>
      <c r="P54">
        <v>1</v>
      </c>
      <c r="Q54">
        <v>0.36391090009891192</v>
      </c>
      <c r="R54">
        <v>0.35683608308605341</v>
      </c>
      <c r="S54">
        <v>0.40680197823936692</v>
      </c>
      <c r="T54">
        <v>0.44438694362017811</v>
      </c>
      <c r="U54">
        <v>0.4669379228486647</v>
      </c>
      <c r="V54">
        <v>0.49081543026706231</v>
      </c>
      <c r="W54">
        <v>0.51336640949554879</v>
      </c>
      <c r="X54">
        <v>204.37819272417099</v>
      </c>
      <c r="Y54">
        <v>201.77011833905971</v>
      </c>
      <c r="Z54">
        <v>200.82172765356469</v>
      </c>
      <c r="AA54">
        <v>200.58462998219099</v>
      </c>
      <c r="AB54">
        <v>200.1104346394435</v>
      </c>
      <c r="AC54">
        <v>199.87333696806979</v>
      </c>
      <c r="AD54">
        <v>199.39914162532219</v>
      </c>
      <c r="AE54">
        <v>4.6970175797771354</v>
      </c>
      <c r="AF54">
        <v>4.6970175797771354</v>
      </c>
      <c r="AG54">
        <v>4.6970175797771354</v>
      </c>
      <c r="AH54">
        <v>4.6970175797771354</v>
      </c>
      <c r="AI54">
        <v>4.6970175797771354</v>
      </c>
      <c r="AJ54">
        <v>4.6970175797771354</v>
      </c>
      <c r="AK54">
        <v>4.6970175797771354</v>
      </c>
    </row>
    <row r="55" spans="1:37" x14ac:dyDescent="0.25">
      <c r="A55" t="s">
        <v>90</v>
      </c>
      <c r="B55" t="s">
        <v>91</v>
      </c>
      <c r="C55" t="s">
        <v>146</v>
      </c>
      <c r="F55" t="s">
        <v>118</v>
      </c>
      <c r="G55" t="s">
        <v>122</v>
      </c>
      <c r="H55" t="s">
        <v>123</v>
      </c>
      <c r="I55" t="s">
        <v>147</v>
      </c>
      <c r="J55" t="s">
        <v>156</v>
      </c>
      <c r="K55" t="s">
        <v>98</v>
      </c>
      <c r="L55">
        <v>0</v>
      </c>
      <c r="M55">
        <v>1</v>
      </c>
      <c r="N55">
        <v>2020</v>
      </c>
      <c r="O55">
        <v>18.828422487318921</v>
      </c>
      <c r="P55">
        <v>1</v>
      </c>
      <c r="Q55">
        <v>0.36391090009891192</v>
      </c>
      <c r="R55">
        <v>0.35683608308605341</v>
      </c>
      <c r="S55">
        <v>0.40680197823936692</v>
      </c>
      <c r="T55">
        <v>0.44438694362017811</v>
      </c>
      <c r="U55">
        <v>0.4669379228486647</v>
      </c>
      <c r="V55">
        <v>0.49081543026706231</v>
      </c>
      <c r="W55">
        <v>0.51336640949554879</v>
      </c>
      <c r="X55">
        <v>204.37819272417099</v>
      </c>
      <c r="Y55">
        <v>201.77011833905971</v>
      </c>
      <c r="Z55">
        <v>200.82172765356469</v>
      </c>
      <c r="AA55">
        <v>200.58462998219099</v>
      </c>
      <c r="AB55">
        <v>200.1104346394435</v>
      </c>
      <c r="AC55">
        <v>199.87333696806979</v>
      </c>
      <c r="AD55">
        <v>199.39914162532219</v>
      </c>
      <c r="AE55">
        <v>4.6970175797771354</v>
      </c>
      <c r="AF55">
        <v>4.6970175797771354</v>
      </c>
      <c r="AG55">
        <v>4.6970175797771354</v>
      </c>
      <c r="AH55">
        <v>4.6970175797771354</v>
      </c>
      <c r="AI55">
        <v>4.6970175797771354</v>
      </c>
      <c r="AJ55">
        <v>4.6970175797771354</v>
      </c>
      <c r="AK55">
        <v>4.6970175797771354</v>
      </c>
    </row>
    <row r="56" spans="1:37" x14ac:dyDescent="0.25">
      <c r="A56" t="s">
        <v>90</v>
      </c>
      <c r="B56" t="s">
        <v>91</v>
      </c>
      <c r="C56" t="s">
        <v>146</v>
      </c>
      <c r="F56" t="s">
        <v>118</v>
      </c>
      <c r="G56" t="s">
        <v>124</v>
      </c>
      <c r="H56" t="s">
        <v>125</v>
      </c>
      <c r="I56" t="s">
        <v>147</v>
      </c>
      <c r="J56" t="s">
        <v>156</v>
      </c>
      <c r="K56" t="s">
        <v>98</v>
      </c>
      <c r="L56">
        <v>0</v>
      </c>
      <c r="M56">
        <v>1</v>
      </c>
      <c r="N56">
        <v>2020</v>
      </c>
      <c r="O56">
        <v>18.828422487318921</v>
      </c>
      <c r="P56">
        <v>0.1</v>
      </c>
      <c r="Q56">
        <v>0.36391090009891192</v>
      </c>
      <c r="R56">
        <v>0.35683608308605341</v>
      </c>
      <c r="S56">
        <v>0.40680197823936692</v>
      </c>
      <c r="T56">
        <v>0.44438694362017811</v>
      </c>
      <c r="U56">
        <v>0.4669379228486647</v>
      </c>
      <c r="V56">
        <v>0.49081543026706231</v>
      </c>
      <c r="W56">
        <v>0.51336640949554879</v>
      </c>
      <c r="X56">
        <v>204.37819272417099</v>
      </c>
      <c r="Y56">
        <v>201.77011833905971</v>
      </c>
      <c r="Z56">
        <v>200.82172765356469</v>
      </c>
      <c r="AA56">
        <v>200.58462998219099</v>
      </c>
      <c r="AB56">
        <v>200.1104346394435</v>
      </c>
      <c r="AC56">
        <v>199.87333696806979</v>
      </c>
      <c r="AD56">
        <v>199.39914162532219</v>
      </c>
      <c r="AE56">
        <v>4.6970175797771354</v>
      </c>
      <c r="AF56">
        <v>4.6970175797771354</v>
      </c>
      <c r="AG56">
        <v>4.6970175797771354</v>
      </c>
      <c r="AH56">
        <v>4.6970175797771354</v>
      </c>
      <c r="AI56">
        <v>4.6970175797771354</v>
      </c>
      <c r="AJ56">
        <v>4.6970175797771354</v>
      </c>
      <c r="AK56">
        <v>4.6970175797771354</v>
      </c>
    </row>
    <row r="57" spans="1:37" x14ac:dyDescent="0.25">
      <c r="A57" t="s">
        <v>90</v>
      </c>
      <c r="B57" t="s">
        <v>91</v>
      </c>
      <c r="C57" t="s">
        <v>146</v>
      </c>
      <c r="F57" t="s">
        <v>126</v>
      </c>
      <c r="G57" t="s">
        <v>127</v>
      </c>
      <c r="H57" t="s">
        <v>128</v>
      </c>
      <c r="I57" t="s">
        <v>147</v>
      </c>
      <c r="J57" t="s">
        <v>157</v>
      </c>
      <c r="K57" t="s">
        <v>98</v>
      </c>
      <c r="L57">
        <v>1</v>
      </c>
      <c r="M57">
        <v>1</v>
      </c>
      <c r="N57">
        <v>2020</v>
      </c>
      <c r="O57">
        <v>18.828422487318921</v>
      </c>
      <c r="P57">
        <v>1</v>
      </c>
      <c r="Q57">
        <v>0.29670013847675569</v>
      </c>
      <c r="R57">
        <v>0.31969329376854588</v>
      </c>
      <c r="S57">
        <v>0.35639390702274981</v>
      </c>
      <c r="T57">
        <v>0.38292447082096942</v>
      </c>
      <c r="U57">
        <v>0.40193804154302659</v>
      </c>
      <c r="V57">
        <v>0.4213937883283877</v>
      </c>
      <c r="W57">
        <v>0.4412917111770524</v>
      </c>
      <c r="X57">
        <v>216.70727163560579</v>
      </c>
      <c r="Y57">
        <v>216.47017396423209</v>
      </c>
      <c r="Z57">
        <v>212.43951355087839</v>
      </c>
      <c r="AA57">
        <v>213.62500190774711</v>
      </c>
      <c r="AB57">
        <v>212.91370889362591</v>
      </c>
      <c r="AC57">
        <v>211.9653182081309</v>
      </c>
      <c r="AD57">
        <v>211.01692752263591</v>
      </c>
      <c r="AE57">
        <v>4.6970175797771354</v>
      </c>
      <c r="AF57">
        <v>4.6970175797771354</v>
      </c>
      <c r="AG57">
        <v>4.6970175797771354</v>
      </c>
      <c r="AH57">
        <v>4.6970175797771354</v>
      </c>
      <c r="AI57">
        <v>4.6970175797771354</v>
      </c>
      <c r="AJ57">
        <v>4.6970175797771354</v>
      </c>
      <c r="AK57">
        <v>4.6970175797771354</v>
      </c>
    </row>
    <row r="58" spans="1:37" x14ac:dyDescent="0.25">
      <c r="A58" t="s">
        <v>90</v>
      </c>
      <c r="B58" t="s">
        <v>91</v>
      </c>
      <c r="C58" t="s">
        <v>146</v>
      </c>
      <c r="F58" t="s">
        <v>126</v>
      </c>
      <c r="G58" t="s">
        <v>130</v>
      </c>
      <c r="H58" t="s">
        <v>131</v>
      </c>
      <c r="I58" t="s">
        <v>147</v>
      </c>
      <c r="J58" t="s">
        <v>157</v>
      </c>
      <c r="K58" t="s">
        <v>98</v>
      </c>
      <c r="L58">
        <v>0</v>
      </c>
      <c r="M58">
        <v>1</v>
      </c>
      <c r="N58">
        <v>2020</v>
      </c>
      <c r="O58">
        <v>18.828422487318921</v>
      </c>
      <c r="P58">
        <v>1</v>
      </c>
      <c r="Q58">
        <v>0.29670013847675569</v>
      </c>
      <c r="R58">
        <v>0.31969329376854588</v>
      </c>
      <c r="S58">
        <v>0.35639390702274981</v>
      </c>
      <c r="T58">
        <v>0.38292447082096942</v>
      </c>
      <c r="U58">
        <v>0.40193804154302659</v>
      </c>
      <c r="V58">
        <v>0.4213937883283877</v>
      </c>
      <c r="W58">
        <v>0.4412917111770524</v>
      </c>
      <c r="X58">
        <v>216.70727163560579</v>
      </c>
      <c r="Y58">
        <v>216.47017396423209</v>
      </c>
      <c r="Z58">
        <v>212.43951355087839</v>
      </c>
      <c r="AA58">
        <v>213.62500190774711</v>
      </c>
      <c r="AB58">
        <v>212.91370889362591</v>
      </c>
      <c r="AC58">
        <v>211.9653182081309</v>
      </c>
      <c r="AD58">
        <v>211.01692752263591</v>
      </c>
      <c r="AE58">
        <v>4.6970175797771354</v>
      </c>
      <c r="AF58">
        <v>4.6970175797771354</v>
      </c>
      <c r="AG58">
        <v>4.6970175797771354</v>
      </c>
      <c r="AH58">
        <v>4.6970175797771354</v>
      </c>
      <c r="AI58">
        <v>4.6970175797771354</v>
      </c>
      <c r="AJ58">
        <v>4.6970175797771354</v>
      </c>
      <c r="AK58">
        <v>4.6970175797771354</v>
      </c>
    </row>
    <row r="59" spans="1:37" x14ac:dyDescent="0.25">
      <c r="A59" t="s">
        <v>90</v>
      </c>
      <c r="B59" t="s">
        <v>91</v>
      </c>
      <c r="C59" t="s">
        <v>146</v>
      </c>
      <c r="F59" t="s">
        <v>132</v>
      </c>
      <c r="G59" t="s">
        <v>133</v>
      </c>
      <c r="H59" t="s">
        <v>134</v>
      </c>
      <c r="I59" t="s">
        <v>147</v>
      </c>
      <c r="J59" t="s">
        <v>158</v>
      </c>
      <c r="K59" t="s">
        <v>98</v>
      </c>
      <c r="L59">
        <v>1</v>
      </c>
      <c r="M59">
        <v>1</v>
      </c>
      <c r="N59">
        <v>2020</v>
      </c>
      <c r="O59">
        <v>18.828422487318921</v>
      </c>
      <c r="P59">
        <v>1</v>
      </c>
      <c r="Q59">
        <v>0.6734341444114742</v>
      </c>
      <c r="R59">
        <v>0.6968694757665681</v>
      </c>
      <c r="S59">
        <v>0.70925040553907026</v>
      </c>
      <c r="T59">
        <v>0.76054282888229485</v>
      </c>
      <c r="U59">
        <v>0.77955639960435208</v>
      </c>
      <c r="V59">
        <v>0.79901214638971307</v>
      </c>
      <c r="W59">
        <v>0.81758354104846653</v>
      </c>
      <c r="X59">
        <v>285.46559633399289</v>
      </c>
      <c r="Y59">
        <v>262.46712221073932</v>
      </c>
      <c r="Z59">
        <v>243.2622108294656</v>
      </c>
      <c r="AA59">
        <v>219.3153460207171</v>
      </c>
      <c r="AB59">
        <v>213.15080656499961</v>
      </c>
      <c r="AC59">
        <v>206.98626710928221</v>
      </c>
      <c r="AD59">
        <v>200.82172765356469</v>
      </c>
      <c r="AE59">
        <v>3.4264302505559221</v>
      </c>
      <c r="AF59">
        <v>3.4264302505559221</v>
      </c>
      <c r="AG59">
        <v>3.4264302505559221</v>
      </c>
      <c r="AH59">
        <v>3.4264302505559221</v>
      </c>
      <c r="AI59">
        <v>3.4264302505559221</v>
      </c>
      <c r="AJ59">
        <v>3.4264302505559221</v>
      </c>
      <c r="AK59">
        <v>3.4264302505559221</v>
      </c>
    </row>
    <row r="60" spans="1:37" x14ac:dyDescent="0.25">
      <c r="A60" t="s">
        <v>90</v>
      </c>
      <c r="B60" t="s">
        <v>91</v>
      </c>
      <c r="C60" t="s">
        <v>146</v>
      </c>
      <c r="F60" t="s">
        <v>136</v>
      </c>
      <c r="G60" t="s">
        <v>133</v>
      </c>
      <c r="H60" t="s">
        <v>134</v>
      </c>
      <c r="I60" t="s">
        <v>147</v>
      </c>
      <c r="J60" t="s">
        <v>159</v>
      </c>
      <c r="K60" t="s">
        <v>98</v>
      </c>
      <c r="L60">
        <v>1</v>
      </c>
      <c r="M60">
        <v>1</v>
      </c>
      <c r="N60">
        <v>2020</v>
      </c>
      <c r="O60">
        <v>18.828422487318921</v>
      </c>
      <c r="P60">
        <v>1</v>
      </c>
      <c r="Q60">
        <v>0.66370627101879298</v>
      </c>
      <c r="R60">
        <v>0.68714160237388744</v>
      </c>
      <c r="S60">
        <v>0.69908035608308594</v>
      </c>
      <c r="T60">
        <v>0.75037277942631053</v>
      </c>
      <c r="U60">
        <v>0.76938635014836798</v>
      </c>
      <c r="V60">
        <v>0.78795774480712133</v>
      </c>
      <c r="W60">
        <v>0.80652913946587568</v>
      </c>
      <c r="X60">
        <v>295.1866008603165</v>
      </c>
      <c r="Y60">
        <v>271.00263838019418</v>
      </c>
      <c r="Z60">
        <v>251.56062932754691</v>
      </c>
      <c r="AA60">
        <v>226.19117849055581</v>
      </c>
      <c r="AB60">
        <v>219.78954136346451</v>
      </c>
      <c r="AC60">
        <v>213.15080656499961</v>
      </c>
      <c r="AD60">
        <v>206.74916943790839</v>
      </c>
      <c r="AE60">
        <v>3.4264302505559221</v>
      </c>
      <c r="AF60">
        <v>3.4264302505559221</v>
      </c>
      <c r="AG60">
        <v>3.4264302505559221</v>
      </c>
      <c r="AH60">
        <v>3.4264302505559221</v>
      </c>
      <c r="AI60">
        <v>3.4264302505559221</v>
      </c>
      <c r="AJ60">
        <v>3.4264302505559221</v>
      </c>
      <c r="AK60">
        <v>3.4264302505559221</v>
      </c>
    </row>
    <row r="61" spans="1:37" x14ac:dyDescent="0.25">
      <c r="A61" t="s">
        <v>90</v>
      </c>
      <c r="B61" t="s">
        <v>91</v>
      </c>
      <c r="C61" t="s">
        <v>146</v>
      </c>
      <c r="F61" t="s">
        <v>138</v>
      </c>
      <c r="G61" t="s">
        <v>114</v>
      </c>
      <c r="H61" t="s">
        <v>115</v>
      </c>
      <c r="I61" t="s">
        <v>147</v>
      </c>
      <c r="J61" t="s">
        <v>160</v>
      </c>
      <c r="K61" t="s">
        <v>98</v>
      </c>
      <c r="L61">
        <v>1</v>
      </c>
      <c r="M61">
        <v>1</v>
      </c>
      <c r="N61">
        <v>2020</v>
      </c>
      <c r="O61">
        <v>18.828422487318921</v>
      </c>
      <c r="P61">
        <v>1</v>
      </c>
      <c r="Q61">
        <v>1.482174164193867</v>
      </c>
      <c r="R61">
        <v>1.550269277942631</v>
      </c>
      <c r="S61">
        <v>1.578568545994065</v>
      </c>
      <c r="T61">
        <v>1.7289084075173089</v>
      </c>
      <c r="U61">
        <v>1.7908130563798219</v>
      </c>
      <c r="V61">
        <v>1.852717705242334</v>
      </c>
      <c r="W61">
        <v>1.92346587537092</v>
      </c>
      <c r="X61">
        <v>218.84115067796961</v>
      </c>
      <c r="Y61">
        <v>204.85238806691851</v>
      </c>
      <c r="Z61">
        <v>185.41037901427109</v>
      </c>
      <c r="AA61">
        <v>173.31839777421001</v>
      </c>
      <c r="AB61">
        <v>167.86515133261369</v>
      </c>
      <c r="AC61">
        <v>162.17480721964381</v>
      </c>
      <c r="AD61">
        <v>156.24736543530011</v>
      </c>
      <c r="AE61">
        <v>3.3332454513860799</v>
      </c>
      <c r="AF61">
        <v>3.3332454513860799</v>
      </c>
      <c r="AG61">
        <v>3.3332454513860799</v>
      </c>
      <c r="AH61">
        <v>3.3332454513860799</v>
      </c>
      <c r="AI61">
        <v>3.3332454513860799</v>
      </c>
      <c r="AJ61">
        <v>3.3332454513860799</v>
      </c>
      <c r="AK61">
        <v>3.3332454513860799</v>
      </c>
    </row>
    <row r="62" spans="1:37" x14ac:dyDescent="0.25">
      <c r="A62" t="s">
        <v>90</v>
      </c>
      <c r="B62" t="s">
        <v>91</v>
      </c>
      <c r="C62" t="s">
        <v>146</v>
      </c>
      <c r="F62" t="s">
        <v>140</v>
      </c>
      <c r="G62" t="s">
        <v>114</v>
      </c>
      <c r="H62" t="s">
        <v>115</v>
      </c>
      <c r="I62" t="s">
        <v>147</v>
      </c>
      <c r="J62" t="s">
        <v>161</v>
      </c>
      <c r="K62" t="s">
        <v>98</v>
      </c>
      <c r="L62">
        <v>1</v>
      </c>
      <c r="M62">
        <v>1</v>
      </c>
      <c r="N62">
        <v>2020</v>
      </c>
      <c r="O62">
        <v>18.828422487318921</v>
      </c>
      <c r="P62">
        <v>1</v>
      </c>
      <c r="Q62">
        <v>1.4158477546983179</v>
      </c>
      <c r="R62">
        <v>1.4835006923837779</v>
      </c>
      <c r="S62">
        <v>1.527718298714144</v>
      </c>
      <c r="T62">
        <v>1.6758472799208699</v>
      </c>
      <c r="U62">
        <v>1.7377519287833829</v>
      </c>
      <c r="V62">
        <v>1.795234817012858</v>
      </c>
      <c r="W62">
        <v>1.870404747774481</v>
      </c>
      <c r="X62">
        <v>260.80743851112311</v>
      </c>
      <c r="Y62">
        <v>241.36542945847569</v>
      </c>
      <c r="Z62">
        <v>212.20241587950471</v>
      </c>
      <c r="AA62">
        <v>194.89428586922099</v>
      </c>
      <c r="AB62">
        <v>186.83296504251359</v>
      </c>
      <c r="AC62">
        <v>178.77164421580611</v>
      </c>
      <c r="AD62">
        <v>170.7103233890987</v>
      </c>
      <c r="AE62">
        <v>3.3332454513860799</v>
      </c>
      <c r="AF62">
        <v>3.3332454513860799</v>
      </c>
      <c r="AG62">
        <v>3.3332454513860799</v>
      </c>
      <c r="AH62">
        <v>3.3332454513860799</v>
      </c>
      <c r="AI62">
        <v>3.3332454513860799</v>
      </c>
      <c r="AJ62">
        <v>3.3332454513860799</v>
      </c>
      <c r="AK62">
        <v>3.3332454513860799</v>
      </c>
    </row>
    <row r="63" spans="1:37" x14ac:dyDescent="0.25">
      <c r="A63" t="s">
        <v>90</v>
      </c>
      <c r="B63" t="s">
        <v>91</v>
      </c>
      <c r="C63" t="s">
        <v>146</v>
      </c>
      <c r="F63" t="s">
        <v>142</v>
      </c>
      <c r="G63" t="s">
        <v>114</v>
      </c>
      <c r="H63" t="s">
        <v>115</v>
      </c>
      <c r="I63" t="s">
        <v>147</v>
      </c>
      <c r="J63" t="s">
        <v>162</v>
      </c>
      <c r="K63" t="s">
        <v>98</v>
      </c>
      <c r="L63">
        <v>1</v>
      </c>
      <c r="M63">
        <v>1</v>
      </c>
      <c r="N63">
        <v>2020</v>
      </c>
      <c r="O63">
        <v>18.828422487318921</v>
      </c>
      <c r="P63">
        <v>1</v>
      </c>
      <c r="Q63">
        <v>1.272582710187933</v>
      </c>
      <c r="R63">
        <v>1.3309499505440161</v>
      </c>
      <c r="S63">
        <v>1.393296775469832</v>
      </c>
      <c r="T63">
        <v>1.5334665875370921</v>
      </c>
      <c r="U63">
        <v>1.5874120672601379</v>
      </c>
      <c r="V63">
        <v>1.6537384767556871</v>
      </c>
      <c r="W63">
        <v>1.7156431256182001</v>
      </c>
      <c r="X63">
        <v>319.37056334043882</v>
      </c>
      <c r="Y63">
        <v>292.34142880383149</v>
      </c>
      <c r="Z63">
        <v>248.71545727106189</v>
      </c>
      <c r="AA63">
        <v>224.05729944819211</v>
      </c>
      <c r="AB63">
        <v>212.91370889362591</v>
      </c>
      <c r="AC63">
        <v>201.533020667686</v>
      </c>
      <c r="AD63">
        <v>190.1523324417461</v>
      </c>
      <c r="AE63">
        <v>3.3332454513860799</v>
      </c>
      <c r="AF63">
        <v>3.3332454513860799</v>
      </c>
      <c r="AG63">
        <v>3.3332454513860799</v>
      </c>
      <c r="AH63">
        <v>3.3332454513860799</v>
      </c>
      <c r="AI63">
        <v>3.3332454513860799</v>
      </c>
      <c r="AJ63">
        <v>3.3332454513860799</v>
      </c>
      <c r="AK63">
        <v>3.3332454513860799</v>
      </c>
    </row>
    <row r="64" spans="1:37" x14ac:dyDescent="0.25">
      <c r="A64" t="s">
        <v>90</v>
      </c>
      <c r="B64" t="s">
        <v>91</v>
      </c>
      <c r="C64" t="s">
        <v>146</v>
      </c>
      <c r="F64" t="s">
        <v>144</v>
      </c>
      <c r="G64" t="s">
        <v>114</v>
      </c>
      <c r="H64" t="s">
        <v>115</v>
      </c>
      <c r="I64" t="s">
        <v>147</v>
      </c>
      <c r="J64" t="s">
        <v>163</v>
      </c>
      <c r="K64" t="s">
        <v>98</v>
      </c>
      <c r="L64">
        <v>1</v>
      </c>
      <c r="M64">
        <v>1</v>
      </c>
      <c r="N64">
        <v>2020</v>
      </c>
      <c r="O64">
        <v>18.828422487318921</v>
      </c>
      <c r="P64">
        <v>1</v>
      </c>
      <c r="Q64">
        <v>1.1483312363996041</v>
      </c>
      <c r="R64">
        <v>1.2031610682492579</v>
      </c>
      <c r="S64">
        <v>1.2880588724035611</v>
      </c>
      <c r="T64">
        <v>1.411425994065282</v>
      </c>
      <c r="U64">
        <v>1.466698001978239</v>
      </c>
      <c r="V64">
        <v>1.523738714144411</v>
      </c>
      <c r="W64">
        <v>1.5874120672601379</v>
      </c>
      <c r="X64">
        <v>389.31437639569458</v>
      </c>
      <c r="Y64">
        <v>352.80133500413729</v>
      </c>
      <c r="Z64">
        <v>289.7333544187203</v>
      </c>
      <c r="AA64">
        <v>257.013875769143</v>
      </c>
      <c r="AB64">
        <v>241.83962480122321</v>
      </c>
      <c r="AC64">
        <v>227.1395691760508</v>
      </c>
      <c r="AD64">
        <v>212.2024158795046</v>
      </c>
      <c r="AE64">
        <v>3.3332454513860799</v>
      </c>
      <c r="AF64">
        <v>3.3332454513860799</v>
      </c>
      <c r="AG64">
        <v>3.3332454513860799</v>
      </c>
      <c r="AH64">
        <v>3.3332454513860799</v>
      </c>
      <c r="AI64">
        <v>3.3332454513860799</v>
      </c>
      <c r="AJ64">
        <v>3.3332454513860799</v>
      </c>
      <c r="AK64">
        <v>3.3332454513860799</v>
      </c>
    </row>
    <row r="65" spans="1:37" x14ac:dyDescent="0.25">
      <c r="A65" t="s">
        <v>90</v>
      </c>
      <c r="B65" t="s">
        <v>91</v>
      </c>
      <c r="C65" t="s">
        <v>164</v>
      </c>
      <c r="F65" t="s">
        <v>93</v>
      </c>
      <c r="G65" t="s">
        <v>94</v>
      </c>
      <c r="H65" t="s">
        <v>95</v>
      </c>
      <c r="I65" t="s">
        <v>165</v>
      </c>
      <c r="J65" t="s">
        <v>166</v>
      </c>
      <c r="K65" t="s">
        <v>98</v>
      </c>
      <c r="L65">
        <v>1</v>
      </c>
      <c r="M65">
        <v>1</v>
      </c>
      <c r="N65">
        <v>2020</v>
      </c>
      <c r="O65">
        <v>85.500534378339864</v>
      </c>
      <c r="P65">
        <v>1</v>
      </c>
      <c r="Q65">
        <v>0.3966319287833826</v>
      </c>
      <c r="R65">
        <v>0.38999928783382759</v>
      </c>
      <c r="S65">
        <v>0.45367264094955512</v>
      </c>
      <c r="T65">
        <v>0.49744807121661722</v>
      </c>
      <c r="U65">
        <v>0.52265210682492591</v>
      </c>
      <c r="V65">
        <v>0.5465296142433238</v>
      </c>
      <c r="W65">
        <v>0.57173364985163189</v>
      </c>
      <c r="X65">
        <v>137.27955172540021</v>
      </c>
      <c r="Y65">
        <v>136.56825871127899</v>
      </c>
      <c r="Z65">
        <v>140.12472378188519</v>
      </c>
      <c r="AA65">
        <v>146.5263609089765</v>
      </c>
      <c r="AB65">
        <v>146.5263609089765</v>
      </c>
      <c r="AC65">
        <v>145.81506789485519</v>
      </c>
      <c r="AD65">
        <v>145.81506789485519</v>
      </c>
      <c r="AE65">
        <v>1.0315764034964729</v>
      </c>
      <c r="AF65">
        <v>1.0315764034964729</v>
      </c>
      <c r="AG65">
        <v>1.0315764034964729</v>
      </c>
      <c r="AH65">
        <v>1.0315764034964729</v>
      </c>
      <c r="AI65">
        <v>1.0315764034964729</v>
      </c>
      <c r="AJ65">
        <v>1.0315764034964729</v>
      </c>
      <c r="AK65">
        <v>1.0315764034964729</v>
      </c>
    </row>
    <row r="66" spans="1:37" x14ac:dyDescent="0.25">
      <c r="A66" t="s">
        <v>90</v>
      </c>
      <c r="B66" t="s">
        <v>91</v>
      </c>
      <c r="C66" t="s">
        <v>164</v>
      </c>
      <c r="F66" t="s">
        <v>93</v>
      </c>
      <c r="G66" t="s">
        <v>99</v>
      </c>
      <c r="H66" t="s">
        <v>100</v>
      </c>
      <c r="I66" t="s">
        <v>165</v>
      </c>
      <c r="J66" t="s">
        <v>166</v>
      </c>
      <c r="K66" t="s">
        <v>98</v>
      </c>
      <c r="L66">
        <v>0</v>
      </c>
      <c r="M66">
        <v>1</v>
      </c>
      <c r="N66">
        <v>2020</v>
      </c>
      <c r="O66">
        <v>85.500534378339864</v>
      </c>
      <c r="P66">
        <v>0.1</v>
      </c>
      <c r="Q66">
        <v>0.3966319287833826</v>
      </c>
      <c r="R66">
        <v>0.38999928783382759</v>
      </c>
      <c r="S66">
        <v>0.45367264094955512</v>
      </c>
      <c r="T66">
        <v>0.49744807121661722</v>
      </c>
      <c r="U66">
        <v>0.52265210682492591</v>
      </c>
      <c r="V66">
        <v>0.5465296142433238</v>
      </c>
      <c r="W66">
        <v>0.57173364985163189</v>
      </c>
      <c r="X66">
        <v>137.27955172540021</v>
      </c>
      <c r="Y66">
        <v>136.56825871127899</v>
      </c>
      <c r="Z66">
        <v>140.12472378188519</v>
      </c>
      <c r="AA66">
        <v>146.5263609089765</v>
      </c>
      <c r="AB66">
        <v>146.5263609089765</v>
      </c>
      <c r="AC66">
        <v>145.81506789485519</v>
      </c>
      <c r="AD66">
        <v>145.81506789485519</v>
      </c>
      <c r="AE66">
        <v>1.0315764034964729</v>
      </c>
      <c r="AF66">
        <v>1.0315764034964729</v>
      </c>
      <c r="AG66">
        <v>1.0315764034964729</v>
      </c>
      <c r="AH66">
        <v>1.0315764034964729</v>
      </c>
      <c r="AI66">
        <v>1.0315764034964729</v>
      </c>
      <c r="AJ66">
        <v>1.0315764034964729</v>
      </c>
      <c r="AK66">
        <v>1.0315764034964729</v>
      </c>
    </row>
    <row r="67" spans="1:37" x14ac:dyDescent="0.25">
      <c r="A67" t="s">
        <v>90</v>
      </c>
      <c r="B67" t="s">
        <v>91</v>
      </c>
      <c r="C67" t="s">
        <v>164</v>
      </c>
      <c r="F67" t="s">
        <v>101</v>
      </c>
      <c r="G67" t="s">
        <v>94</v>
      </c>
      <c r="H67" t="s">
        <v>95</v>
      </c>
      <c r="I67" t="s">
        <v>165</v>
      </c>
      <c r="J67" t="s">
        <v>167</v>
      </c>
      <c r="K67" t="s">
        <v>98</v>
      </c>
      <c r="L67">
        <v>1</v>
      </c>
      <c r="M67">
        <v>1</v>
      </c>
      <c r="N67">
        <v>2020</v>
      </c>
      <c r="O67">
        <v>85.500534378339864</v>
      </c>
      <c r="P67">
        <v>1</v>
      </c>
      <c r="Q67">
        <v>0.43908083086053429</v>
      </c>
      <c r="R67">
        <v>0.43510124629080099</v>
      </c>
      <c r="S67">
        <v>0.48816237388723999</v>
      </c>
      <c r="T67">
        <v>0.53061127596439173</v>
      </c>
      <c r="U67">
        <v>0.5597948961424335</v>
      </c>
      <c r="V67">
        <v>0.58897851632047493</v>
      </c>
      <c r="W67">
        <v>0.61948866468842767</v>
      </c>
      <c r="X67">
        <v>145.10377488073391</v>
      </c>
      <c r="Y67">
        <v>143.6811888524914</v>
      </c>
      <c r="Z67">
        <v>147.23765392309761</v>
      </c>
      <c r="AA67">
        <v>153.63929105018889</v>
      </c>
      <c r="AB67">
        <v>152.92799803606749</v>
      </c>
      <c r="AC67">
        <v>152.92799803606749</v>
      </c>
      <c r="AD67">
        <v>152.2167050219465</v>
      </c>
      <c r="AE67">
        <v>1.0315764034964729</v>
      </c>
      <c r="AF67">
        <v>1.0315764034964729</v>
      </c>
      <c r="AG67">
        <v>1.0315764034964729</v>
      </c>
      <c r="AH67">
        <v>1.0315764034964729</v>
      </c>
      <c r="AI67">
        <v>1.0315764034964729</v>
      </c>
      <c r="AJ67">
        <v>1.0315764034964729</v>
      </c>
      <c r="AK67">
        <v>1.0315764034964729</v>
      </c>
    </row>
    <row r="68" spans="1:37" x14ac:dyDescent="0.25">
      <c r="A68" t="s">
        <v>90</v>
      </c>
      <c r="B68" t="s">
        <v>91</v>
      </c>
      <c r="C68" t="s">
        <v>164</v>
      </c>
      <c r="F68" t="s">
        <v>101</v>
      </c>
      <c r="G68" t="s">
        <v>99</v>
      </c>
      <c r="H68" t="s">
        <v>100</v>
      </c>
      <c r="I68" t="s">
        <v>165</v>
      </c>
      <c r="J68" t="s">
        <v>167</v>
      </c>
      <c r="K68" t="s">
        <v>98</v>
      </c>
      <c r="L68">
        <v>0</v>
      </c>
      <c r="M68">
        <v>1</v>
      </c>
      <c r="N68">
        <v>2020</v>
      </c>
      <c r="O68">
        <v>85.500534378339864</v>
      </c>
      <c r="P68">
        <v>0.1</v>
      </c>
      <c r="Q68">
        <v>0.43908083086053429</v>
      </c>
      <c r="R68">
        <v>0.43510124629080099</v>
      </c>
      <c r="S68">
        <v>0.48816237388723999</v>
      </c>
      <c r="T68">
        <v>0.53061127596439173</v>
      </c>
      <c r="U68">
        <v>0.5597948961424335</v>
      </c>
      <c r="V68">
        <v>0.58897851632047493</v>
      </c>
      <c r="W68">
        <v>0.61948866468842767</v>
      </c>
      <c r="X68">
        <v>145.10377488073391</v>
      </c>
      <c r="Y68">
        <v>143.6811888524914</v>
      </c>
      <c r="Z68">
        <v>147.23765392309761</v>
      </c>
      <c r="AA68">
        <v>153.63929105018889</v>
      </c>
      <c r="AB68">
        <v>152.92799803606749</v>
      </c>
      <c r="AC68">
        <v>152.92799803606749</v>
      </c>
      <c r="AD68">
        <v>152.2167050219465</v>
      </c>
      <c r="AE68">
        <v>1.0315764034964729</v>
      </c>
      <c r="AF68">
        <v>1.0315764034964729</v>
      </c>
      <c r="AG68">
        <v>1.0315764034964729</v>
      </c>
      <c r="AH68">
        <v>1.0315764034964729</v>
      </c>
      <c r="AI68">
        <v>1.0315764034964729</v>
      </c>
      <c r="AJ68">
        <v>1.0315764034964729</v>
      </c>
      <c r="AK68">
        <v>1.0315764034964729</v>
      </c>
    </row>
    <row r="69" spans="1:37" x14ac:dyDescent="0.25">
      <c r="A69" t="s">
        <v>90</v>
      </c>
      <c r="B69" t="s">
        <v>91</v>
      </c>
      <c r="C69" t="s">
        <v>164</v>
      </c>
      <c r="F69" t="s">
        <v>103</v>
      </c>
      <c r="G69" t="s">
        <v>94</v>
      </c>
      <c r="H69" t="s">
        <v>95</v>
      </c>
      <c r="I69" t="s">
        <v>165</v>
      </c>
      <c r="J69" t="s">
        <v>168</v>
      </c>
      <c r="K69" t="s">
        <v>98</v>
      </c>
      <c r="L69">
        <v>1</v>
      </c>
      <c r="M69">
        <v>1</v>
      </c>
      <c r="N69">
        <v>2020</v>
      </c>
      <c r="O69">
        <v>85.500534378339864</v>
      </c>
      <c r="P69">
        <v>1</v>
      </c>
      <c r="Q69">
        <v>0.40724415430267091</v>
      </c>
      <c r="R69">
        <v>0.39928498516320488</v>
      </c>
      <c r="S69">
        <v>0.46428486646884271</v>
      </c>
      <c r="T69">
        <v>0.51071335311572696</v>
      </c>
      <c r="U69">
        <v>0.53591738872403571</v>
      </c>
      <c r="V69">
        <v>0.56112142433234391</v>
      </c>
      <c r="W69">
        <v>0.58765198813056352</v>
      </c>
      <c r="X69">
        <v>138.7021377536428</v>
      </c>
      <c r="Y69">
        <v>137.99084473952149</v>
      </c>
      <c r="Z69">
        <v>141.54730981012759</v>
      </c>
      <c r="AA69">
        <v>147.94894693721901</v>
      </c>
      <c r="AB69">
        <v>147.23765392309761</v>
      </c>
      <c r="AC69">
        <v>147.23765392309761</v>
      </c>
      <c r="AD69">
        <v>146.5263609089765</v>
      </c>
      <c r="AE69">
        <v>0.97334225168618782</v>
      </c>
      <c r="AF69">
        <v>0.97334225168618782</v>
      </c>
      <c r="AG69">
        <v>0.97334225168618782</v>
      </c>
      <c r="AH69">
        <v>0.97334225168618782</v>
      </c>
      <c r="AI69">
        <v>0.97334225168618782</v>
      </c>
      <c r="AJ69">
        <v>0.97334225168618782</v>
      </c>
      <c r="AK69">
        <v>0.97334225168618782</v>
      </c>
    </row>
    <row r="70" spans="1:37" x14ac:dyDescent="0.25">
      <c r="A70" t="s">
        <v>90</v>
      </c>
      <c r="B70" t="s">
        <v>91</v>
      </c>
      <c r="C70" t="s">
        <v>164</v>
      </c>
      <c r="F70" t="s">
        <v>103</v>
      </c>
      <c r="G70" t="s">
        <v>99</v>
      </c>
      <c r="H70" t="s">
        <v>100</v>
      </c>
      <c r="I70" t="s">
        <v>165</v>
      </c>
      <c r="J70" t="s">
        <v>168</v>
      </c>
      <c r="K70" t="s">
        <v>98</v>
      </c>
      <c r="L70">
        <v>0</v>
      </c>
      <c r="M70">
        <v>1</v>
      </c>
      <c r="N70">
        <v>2020</v>
      </c>
      <c r="O70">
        <v>85.500534378339864</v>
      </c>
      <c r="P70">
        <v>0.1</v>
      </c>
      <c r="Q70">
        <v>0.40724415430267091</v>
      </c>
      <c r="R70">
        <v>0.39928498516320488</v>
      </c>
      <c r="S70">
        <v>0.46428486646884271</v>
      </c>
      <c r="T70">
        <v>0.51071335311572696</v>
      </c>
      <c r="U70">
        <v>0.53591738872403571</v>
      </c>
      <c r="V70">
        <v>0.56112142433234391</v>
      </c>
      <c r="W70">
        <v>0.58765198813056352</v>
      </c>
      <c r="X70">
        <v>138.7021377536428</v>
      </c>
      <c r="Y70">
        <v>137.99084473952149</v>
      </c>
      <c r="Z70">
        <v>141.54730981012759</v>
      </c>
      <c r="AA70">
        <v>147.94894693721901</v>
      </c>
      <c r="AB70">
        <v>147.23765392309761</v>
      </c>
      <c r="AC70">
        <v>147.23765392309761</v>
      </c>
      <c r="AD70">
        <v>146.5263609089765</v>
      </c>
      <c r="AE70">
        <v>0.97334225168618782</v>
      </c>
      <c r="AF70">
        <v>0.97334225168618782</v>
      </c>
      <c r="AG70">
        <v>0.97334225168618782</v>
      </c>
      <c r="AH70">
        <v>0.97334225168618782</v>
      </c>
      <c r="AI70">
        <v>0.97334225168618782</v>
      </c>
      <c r="AJ70">
        <v>0.97334225168618782</v>
      </c>
      <c r="AK70">
        <v>0.97334225168618782</v>
      </c>
    </row>
    <row r="71" spans="1:37" x14ac:dyDescent="0.25">
      <c r="A71" t="s">
        <v>90</v>
      </c>
      <c r="B71" t="s">
        <v>91</v>
      </c>
      <c r="C71" t="s">
        <v>164</v>
      </c>
      <c r="F71" t="s">
        <v>105</v>
      </c>
      <c r="G71" t="s">
        <v>94</v>
      </c>
      <c r="H71" t="s">
        <v>95</v>
      </c>
      <c r="I71" t="s">
        <v>165</v>
      </c>
      <c r="J71" t="s">
        <v>169</v>
      </c>
      <c r="K71" t="s">
        <v>98</v>
      </c>
      <c r="L71">
        <v>1</v>
      </c>
      <c r="M71">
        <v>1</v>
      </c>
      <c r="N71">
        <v>2020</v>
      </c>
      <c r="O71">
        <v>85.500534378339864</v>
      </c>
      <c r="P71">
        <v>1</v>
      </c>
      <c r="Q71">
        <v>0.44571347181008908</v>
      </c>
      <c r="R71">
        <v>0.44173388724035578</v>
      </c>
      <c r="S71">
        <v>0.49744807121661722</v>
      </c>
      <c r="T71">
        <v>0.54122350148367915</v>
      </c>
      <c r="U71">
        <v>0.57040712166172114</v>
      </c>
      <c r="V71">
        <v>0.60091727002967321</v>
      </c>
      <c r="W71">
        <v>0.63142741839762584</v>
      </c>
      <c r="X71">
        <v>146.5263609089765</v>
      </c>
      <c r="Y71">
        <v>145.10377488073391</v>
      </c>
      <c r="Z71">
        <v>147.94894693721901</v>
      </c>
      <c r="AA71">
        <v>154.35058406431</v>
      </c>
      <c r="AB71">
        <v>154.35058406431</v>
      </c>
      <c r="AC71">
        <v>153.63929105018889</v>
      </c>
      <c r="AD71">
        <v>153.63929105018889</v>
      </c>
      <c r="AE71">
        <v>0.97334225168618782</v>
      </c>
      <c r="AF71">
        <v>0.97334225168618782</v>
      </c>
      <c r="AG71">
        <v>0.97334225168618782</v>
      </c>
      <c r="AH71">
        <v>0.97334225168618782</v>
      </c>
      <c r="AI71">
        <v>0.97334225168618782</v>
      </c>
      <c r="AJ71">
        <v>0.97334225168618782</v>
      </c>
      <c r="AK71">
        <v>0.97334225168618782</v>
      </c>
    </row>
    <row r="72" spans="1:37" x14ac:dyDescent="0.25">
      <c r="A72" t="s">
        <v>90</v>
      </c>
      <c r="B72" t="s">
        <v>91</v>
      </c>
      <c r="C72" t="s">
        <v>164</v>
      </c>
      <c r="F72" t="s">
        <v>105</v>
      </c>
      <c r="G72" t="s">
        <v>99</v>
      </c>
      <c r="H72" t="s">
        <v>100</v>
      </c>
      <c r="I72" t="s">
        <v>165</v>
      </c>
      <c r="J72" t="s">
        <v>169</v>
      </c>
      <c r="K72" t="s">
        <v>98</v>
      </c>
      <c r="L72">
        <v>0</v>
      </c>
      <c r="M72">
        <v>1</v>
      </c>
      <c r="N72">
        <v>2020</v>
      </c>
      <c r="O72">
        <v>85.500534378339864</v>
      </c>
      <c r="P72">
        <v>0.1</v>
      </c>
      <c r="Q72">
        <v>0.44571347181008908</v>
      </c>
      <c r="R72">
        <v>0.44173388724035578</v>
      </c>
      <c r="S72">
        <v>0.49744807121661722</v>
      </c>
      <c r="T72">
        <v>0.54122350148367915</v>
      </c>
      <c r="U72">
        <v>0.57040712166172114</v>
      </c>
      <c r="V72">
        <v>0.60091727002967321</v>
      </c>
      <c r="W72">
        <v>0.63142741839762584</v>
      </c>
      <c r="X72">
        <v>146.5263609089765</v>
      </c>
      <c r="Y72">
        <v>145.10377488073391</v>
      </c>
      <c r="Z72">
        <v>147.94894693721901</v>
      </c>
      <c r="AA72">
        <v>154.35058406431</v>
      </c>
      <c r="AB72">
        <v>154.35058406431</v>
      </c>
      <c r="AC72">
        <v>153.63929105018889</v>
      </c>
      <c r="AD72">
        <v>153.63929105018889</v>
      </c>
      <c r="AE72">
        <v>0.97334225168618782</v>
      </c>
      <c r="AF72">
        <v>0.97334225168618782</v>
      </c>
      <c r="AG72">
        <v>0.97334225168618782</v>
      </c>
      <c r="AH72">
        <v>0.97334225168618782</v>
      </c>
      <c r="AI72">
        <v>0.97334225168618782</v>
      </c>
      <c r="AJ72">
        <v>0.97334225168618782</v>
      </c>
      <c r="AK72">
        <v>0.97334225168618782</v>
      </c>
    </row>
    <row r="73" spans="1:37" x14ac:dyDescent="0.25">
      <c r="A73" t="s">
        <v>90</v>
      </c>
      <c r="B73" t="s">
        <v>91</v>
      </c>
      <c r="C73" t="s">
        <v>164</v>
      </c>
      <c r="F73" t="s">
        <v>107</v>
      </c>
      <c r="G73" t="s">
        <v>94</v>
      </c>
      <c r="H73" t="s">
        <v>95</v>
      </c>
      <c r="I73" t="s">
        <v>165</v>
      </c>
      <c r="J73" t="s">
        <v>170</v>
      </c>
      <c r="K73" t="s">
        <v>98</v>
      </c>
      <c r="L73">
        <v>1</v>
      </c>
      <c r="M73">
        <v>1</v>
      </c>
      <c r="N73">
        <v>2020</v>
      </c>
      <c r="O73">
        <v>85.500534378339864</v>
      </c>
      <c r="P73">
        <v>1</v>
      </c>
      <c r="Q73">
        <v>0.4178563798219585</v>
      </c>
      <c r="R73">
        <v>0.40989721068249241</v>
      </c>
      <c r="S73">
        <v>0.47887667655786348</v>
      </c>
      <c r="T73">
        <v>0.52397863501483688</v>
      </c>
      <c r="U73">
        <v>0.55316225519287865</v>
      </c>
      <c r="V73">
        <v>0.58101934718100867</v>
      </c>
      <c r="W73">
        <v>0.61020296735905044</v>
      </c>
      <c r="X73">
        <v>142.96989583837009</v>
      </c>
      <c r="Y73">
        <v>141.54730981012759</v>
      </c>
      <c r="Z73">
        <v>144.39248186661271</v>
      </c>
      <c r="AA73">
        <v>150.08282597958271</v>
      </c>
      <c r="AB73">
        <v>149.3715329654614</v>
      </c>
      <c r="AC73">
        <v>149.3715329654614</v>
      </c>
      <c r="AD73">
        <v>148.66023995134009</v>
      </c>
      <c r="AE73">
        <v>0.97334225168618782</v>
      </c>
      <c r="AF73">
        <v>0.97334225168618782</v>
      </c>
      <c r="AG73">
        <v>0.97334225168618782</v>
      </c>
      <c r="AH73">
        <v>0.97334225168618782</v>
      </c>
      <c r="AI73">
        <v>0.97334225168618782</v>
      </c>
      <c r="AJ73">
        <v>0.97334225168618782</v>
      </c>
      <c r="AK73">
        <v>0.97334225168618782</v>
      </c>
    </row>
    <row r="74" spans="1:37" x14ac:dyDescent="0.25">
      <c r="A74" t="s">
        <v>90</v>
      </c>
      <c r="B74" t="s">
        <v>91</v>
      </c>
      <c r="C74" t="s">
        <v>164</v>
      </c>
      <c r="F74" t="s">
        <v>107</v>
      </c>
      <c r="G74" t="s">
        <v>99</v>
      </c>
      <c r="H74" t="s">
        <v>100</v>
      </c>
      <c r="I74" t="s">
        <v>165</v>
      </c>
      <c r="J74" t="s">
        <v>170</v>
      </c>
      <c r="K74" t="s">
        <v>98</v>
      </c>
      <c r="L74">
        <v>0</v>
      </c>
      <c r="M74">
        <v>1</v>
      </c>
      <c r="N74">
        <v>2020</v>
      </c>
      <c r="O74">
        <v>85.500534378339864</v>
      </c>
      <c r="P74">
        <v>0.1</v>
      </c>
      <c r="Q74">
        <v>0.4178563798219585</v>
      </c>
      <c r="R74">
        <v>0.40989721068249241</v>
      </c>
      <c r="S74">
        <v>0.47887667655786348</v>
      </c>
      <c r="T74">
        <v>0.52397863501483688</v>
      </c>
      <c r="U74">
        <v>0.55316225519287865</v>
      </c>
      <c r="V74">
        <v>0.58101934718100867</v>
      </c>
      <c r="W74">
        <v>0.61020296735905044</v>
      </c>
      <c r="X74">
        <v>142.96989583837009</v>
      </c>
      <c r="Y74">
        <v>141.54730981012759</v>
      </c>
      <c r="Z74">
        <v>144.39248186661271</v>
      </c>
      <c r="AA74">
        <v>150.08282597958271</v>
      </c>
      <c r="AB74">
        <v>149.3715329654614</v>
      </c>
      <c r="AC74">
        <v>149.3715329654614</v>
      </c>
      <c r="AD74">
        <v>148.66023995134009</v>
      </c>
      <c r="AE74">
        <v>0.97334225168618782</v>
      </c>
      <c r="AF74">
        <v>0.97334225168618782</v>
      </c>
      <c r="AG74">
        <v>0.97334225168618782</v>
      </c>
      <c r="AH74">
        <v>0.97334225168618782</v>
      </c>
      <c r="AI74">
        <v>0.97334225168618782</v>
      </c>
      <c r="AJ74">
        <v>0.97334225168618782</v>
      </c>
      <c r="AK74">
        <v>0.97334225168618782</v>
      </c>
    </row>
    <row r="75" spans="1:37" x14ac:dyDescent="0.25">
      <c r="A75" t="s">
        <v>90</v>
      </c>
      <c r="B75" t="s">
        <v>91</v>
      </c>
      <c r="C75" t="s">
        <v>164</v>
      </c>
      <c r="F75" t="s">
        <v>109</v>
      </c>
      <c r="G75" t="s">
        <v>94</v>
      </c>
      <c r="H75" t="s">
        <v>95</v>
      </c>
      <c r="I75" t="s">
        <v>165</v>
      </c>
      <c r="J75" t="s">
        <v>170</v>
      </c>
      <c r="K75" t="s">
        <v>98</v>
      </c>
      <c r="L75">
        <v>0</v>
      </c>
      <c r="M75">
        <v>1</v>
      </c>
      <c r="N75">
        <v>2020</v>
      </c>
      <c r="O75">
        <v>85.500534378339864</v>
      </c>
      <c r="P75">
        <v>1</v>
      </c>
      <c r="Q75">
        <v>0.46693792284866492</v>
      </c>
      <c r="R75">
        <v>0.46030528189911002</v>
      </c>
      <c r="S75">
        <v>0.5213255786350145</v>
      </c>
      <c r="T75">
        <v>0.56642753709198845</v>
      </c>
      <c r="U75">
        <v>0.59959074183976291</v>
      </c>
      <c r="V75">
        <v>0.63408047477744778</v>
      </c>
      <c r="W75">
        <v>0.66724367952522223</v>
      </c>
      <c r="X75">
        <v>150.79411899370379</v>
      </c>
      <c r="Y75">
        <v>148.66023995134009</v>
      </c>
      <c r="Z75">
        <v>150.79411899370379</v>
      </c>
      <c r="AA75">
        <v>157.1957561207951</v>
      </c>
      <c r="AB75">
        <v>156.48446310667379</v>
      </c>
      <c r="AC75">
        <v>155.77317009255259</v>
      </c>
      <c r="AD75">
        <v>155.06187707843131</v>
      </c>
      <c r="AE75">
        <v>0.97334225168618782</v>
      </c>
      <c r="AF75">
        <v>0.97334225168618782</v>
      </c>
      <c r="AG75">
        <v>0.97334225168618782</v>
      </c>
      <c r="AH75">
        <v>0.97334225168618782</v>
      </c>
      <c r="AI75">
        <v>0.97334225168618782</v>
      </c>
      <c r="AJ75">
        <v>0.97334225168618782</v>
      </c>
      <c r="AK75">
        <v>0.97334225168618782</v>
      </c>
    </row>
    <row r="76" spans="1:37" x14ac:dyDescent="0.25">
      <c r="A76" t="s">
        <v>90</v>
      </c>
      <c r="B76" t="s">
        <v>91</v>
      </c>
      <c r="C76" t="s">
        <v>164</v>
      </c>
      <c r="F76" t="s">
        <v>109</v>
      </c>
      <c r="G76" t="s">
        <v>99</v>
      </c>
      <c r="H76" t="s">
        <v>100</v>
      </c>
      <c r="I76" t="s">
        <v>165</v>
      </c>
      <c r="J76" t="s">
        <v>170</v>
      </c>
      <c r="K76" t="s">
        <v>98</v>
      </c>
      <c r="L76">
        <v>0</v>
      </c>
      <c r="M76">
        <v>1</v>
      </c>
      <c r="N76">
        <v>2020</v>
      </c>
      <c r="O76">
        <v>85.500534378339864</v>
      </c>
      <c r="P76">
        <v>0.1</v>
      </c>
      <c r="Q76">
        <v>0.46693792284866492</v>
      </c>
      <c r="R76">
        <v>0.46030528189911002</v>
      </c>
      <c r="S76">
        <v>0.5213255786350145</v>
      </c>
      <c r="T76">
        <v>0.56642753709198845</v>
      </c>
      <c r="U76">
        <v>0.59959074183976291</v>
      </c>
      <c r="V76">
        <v>0.63408047477744778</v>
      </c>
      <c r="W76">
        <v>0.66724367952522223</v>
      </c>
      <c r="X76">
        <v>150.79411899370379</v>
      </c>
      <c r="Y76">
        <v>148.66023995134009</v>
      </c>
      <c r="Z76">
        <v>150.79411899370379</v>
      </c>
      <c r="AA76">
        <v>157.1957561207951</v>
      </c>
      <c r="AB76">
        <v>156.48446310667379</v>
      </c>
      <c r="AC76">
        <v>155.77317009255259</v>
      </c>
      <c r="AD76">
        <v>155.06187707843131</v>
      </c>
      <c r="AE76">
        <v>0.97334225168618782</v>
      </c>
      <c r="AF76">
        <v>0.97334225168618782</v>
      </c>
      <c r="AG76">
        <v>0.97334225168618782</v>
      </c>
      <c r="AH76">
        <v>0.97334225168618782</v>
      </c>
      <c r="AI76">
        <v>0.97334225168618782</v>
      </c>
      <c r="AJ76">
        <v>0.97334225168618782</v>
      </c>
      <c r="AK76">
        <v>0.97334225168618782</v>
      </c>
    </row>
    <row r="77" spans="1:37" x14ac:dyDescent="0.25">
      <c r="A77" t="s">
        <v>90</v>
      </c>
      <c r="B77" t="s">
        <v>91</v>
      </c>
      <c r="C77" t="s">
        <v>164</v>
      </c>
      <c r="F77" t="s">
        <v>110</v>
      </c>
      <c r="G77" t="s">
        <v>94</v>
      </c>
      <c r="H77" t="s">
        <v>95</v>
      </c>
      <c r="I77" t="s">
        <v>165</v>
      </c>
      <c r="J77" t="s">
        <v>171</v>
      </c>
      <c r="K77" t="s">
        <v>98</v>
      </c>
      <c r="L77">
        <v>1</v>
      </c>
      <c r="M77">
        <v>1</v>
      </c>
      <c r="N77">
        <v>2020</v>
      </c>
      <c r="O77">
        <v>85.500534378339864</v>
      </c>
      <c r="P77">
        <v>1</v>
      </c>
      <c r="Q77">
        <v>0.65530492581602395</v>
      </c>
      <c r="R77">
        <v>0.67520284866468872</v>
      </c>
      <c r="S77">
        <v>0.6911211869436199</v>
      </c>
      <c r="T77">
        <v>0.73754967359050416</v>
      </c>
      <c r="U77">
        <v>0.76805982195845746</v>
      </c>
      <c r="V77">
        <v>0.79856997032640986</v>
      </c>
      <c r="W77">
        <v>0.83040664688427257</v>
      </c>
      <c r="X77">
        <v>156.48446310667379</v>
      </c>
      <c r="Y77">
        <v>150.79411899370379</v>
      </c>
      <c r="Z77">
        <v>145.81506789485519</v>
      </c>
      <c r="AA77">
        <v>143.6811888524914</v>
      </c>
      <c r="AB77">
        <v>141.54730981012759</v>
      </c>
      <c r="AC77">
        <v>139.41343076776391</v>
      </c>
      <c r="AD77">
        <v>137.99084473952149</v>
      </c>
      <c r="AE77">
        <v>0.97334225168618782</v>
      </c>
      <c r="AF77">
        <v>0.97334225168618782</v>
      </c>
      <c r="AG77">
        <v>0.97334225168618782</v>
      </c>
      <c r="AH77">
        <v>0.97334225168618782</v>
      </c>
      <c r="AI77">
        <v>0.97334225168618782</v>
      </c>
      <c r="AJ77">
        <v>0.97334225168618782</v>
      </c>
      <c r="AK77">
        <v>0.97334225168618782</v>
      </c>
    </row>
    <row r="78" spans="1:37" x14ac:dyDescent="0.25">
      <c r="A78" t="s">
        <v>90</v>
      </c>
      <c r="B78" t="s">
        <v>91</v>
      </c>
      <c r="C78" t="s">
        <v>164</v>
      </c>
      <c r="F78" t="s">
        <v>110</v>
      </c>
      <c r="G78" t="s">
        <v>99</v>
      </c>
      <c r="H78" t="s">
        <v>100</v>
      </c>
      <c r="I78" t="s">
        <v>165</v>
      </c>
      <c r="J78" t="s">
        <v>171</v>
      </c>
      <c r="K78" t="s">
        <v>98</v>
      </c>
      <c r="L78">
        <v>0</v>
      </c>
      <c r="M78">
        <v>1</v>
      </c>
      <c r="N78">
        <v>2020</v>
      </c>
      <c r="O78">
        <v>85.500534378339864</v>
      </c>
      <c r="P78">
        <v>0.1</v>
      </c>
      <c r="Q78">
        <v>0.65530492581602395</v>
      </c>
      <c r="R78">
        <v>0.67520284866468872</v>
      </c>
      <c r="S78">
        <v>0.6911211869436199</v>
      </c>
      <c r="T78">
        <v>0.73754967359050416</v>
      </c>
      <c r="U78">
        <v>0.76805982195845746</v>
      </c>
      <c r="V78">
        <v>0.79856997032640986</v>
      </c>
      <c r="W78">
        <v>0.83040664688427257</v>
      </c>
      <c r="X78">
        <v>156.48446310667379</v>
      </c>
      <c r="Y78">
        <v>150.79411899370379</v>
      </c>
      <c r="Z78">
        <v>145.81506789485519</v>
      </c>
      <c r="AA78">
        <v>143.6811888524914</v>
      </c>
      <c r="AB78">
        <v>141.54730981012759</v>
      </c>
      <c r="AC78">
        <v>139.41343076776391</v>
      </c>
      <c r="AD78">
        <v>137.99084473952149</v>
      </c>
      <c r="AE78">
        <v>0.97334225168618782</v>
      </c>
      <c r="AF78">
        <v>0.97334225168618782</v>
      </c>
      <c r="AG78">
        <v>0.97334225168618782</v>
      </c>
      <c r="AH78">
        <v>0.97334225168618782</v>
      </c>
      <c r="AI78">
        <v>0.97334225168618782</v>
      </c>
      <c r="AJ78">
        <v>0.97334225168618782</v>
      </c>
      <c r="AK78">
        <v>0.97334225168618782</v>
      </c>
    </row>
    <row r="79" spans="1:37" x14ac:dyDescent="0.25">
      <c r="A79" t="s">
        <v>90</v>
      </c>
      <c r="B79" t="s">
        <v>91</v>
      </c>
      <c r="C79" t="s">
        <v>164</v>
      </c>
      <c r="F79" t="s">
        <v>112</v>
      </c>
      <c r="G79" t="s">
        <v>94</v>
      </c>
      <c r="H79" t="s">
        <v>95</v>
      </c>
      <c r="I79" t="s">
        <v>165</v>
      </c>
      <c r="J79" t="s">
        <v>172</v>
      </c>
      <c r="K79" t="s">
        <v>98</v>
      </c>
      <c r="L79">
        <v>1</v>
      </c>
      <c r="M79">
        <v>1</v>
      </c>
      <c r="N79">
        <v>2020</v>
      </c>
      <c r="O79">
        <v>85.500534378339864</v>
      </c>
      <c r="P79">
        <v>0.7889390519187337</v>
      </c>
      <c r="Q79">
        <v>0.90336569732937955</v>
      </c>
      <c r="R79">
        <v>0.93918195845696884</v>
      </c>
      <c r="S79">
        <v>0.96305946587537217</v>
      </c>
      <c r="T79">
        <v>1.033365459940653</v>
      </c>
      <c r="U79">
        <v>1.073161305637983</v>
      </c>
      <c r="V79">
        <v>1.114283679525222</v>
      </c>
      <c r="W79">
        <v>1.1554060534124611</v>
      </c>
      <c r="X79">
        <v>170.7103233890991</v>
      </c>
      <c r="Y79">
        <v>162.17480721964449</v>
      </c>
      <c r="Z79">
        <v>157.1957561207941</v>
      </c>
      <c r="AA79">
        <v>153.63929105018931</v>
      </c>
      <c r="AB79">
        <v>151.5054120078255</v>
      </c>
      <c r="AC79">
        <v>149.37153296546191</v>
      </c>
      <c r="AD79">
        <v>147.23765392309809</v>
      </c>
      <c r="AE79">
        <v>1.0149380744078189</v>
      </c>
      <c r="AF79">
        <v>1.0149380744078189</v>
      </c>
      <c r="AG79">
        <v>1.0149380744078189</v>
      </c>
      <c r="AH79">
        <v>1.0149380744078189</v>
      </c>
      <c r="AI79">
        <v>1.0149380744078189</v>
      </c>
      <c r="AJ79">
        <v>1.0149380744078189</v>
      </c>
      <c r="AK79">
        <v>1.0149380744078189</v>
      </c>
    </row>
    <row r="80" spans="1:37" x14ac:dyDescent="0.25">
      <c r="A80" t="s">
        <v>90</v>
      </c>
      <c r="B80" t="s">
        <v>91</v>
      </c>
      <c r="C80" t="s">
        <v>164</v>
      </c>
      <c r="F80" t="s">
        <v>112</v>
      </c>
      <c r="G80" t="s">
        <v>99</v>
      </c>
      <c r="H80" t="s">
        <v>100</v>
      </c>
      <c r="I80" t="s">
        <v>165</v>
      </c>
      <c r="J80" t="s">
        <v>172</v>
      </c>
      <c r="K80" t="s">
        <v>98</v>
      </c>
      <c r="L80">
        <v>0</v>
      </c>
      <c r="M80">
        <v>1</v>
      </c>
      <c r="N80">
        <v>2020</v>
      </c>
      <c r="O80">
        <v>85.500534378339864</v>
      </c>
      <c r="P80">
        <v>0.1</v>
      </c>
      <c r="Q80">
        <v>0.90336569732937955</v>
      </c>
      <c r="R80">
        <v>0.93918195845696884</v>
      </c>
      <c r="S80">
        <v>0.96305946587537217</v>
      </c>
      <c r="T80">
        <v>1.033365459940653</v>
      </c>
      <c r="U80">
        <v>1.073161305637983</v>
      </c>
      <c r="V80">
        <v>1.114283679525222</v>
      </c>
      <c r="W80">
        <v>1.1554060534124611</v>
      </c>
      <c r="X80">
        <v>170.7103233890991</v>
      </c>
      <c r="Y80">
        <v>162.17480721964449</v>
      </c>
      <c r="Z80">
        <v>157.1957561207941</v>
      </c>
      <c r="AA80">
        <v>153.63929105018931</v>
      </c>
      <c r="AB80">
        <v>151.5054120078255</v>
      </c>
      <c r="AC80">
        <v>149.37153296546191</v>
      </c>
      <c r="AD80">
        <v>147.23765392309809</v>
      </c>
      <c r="AE80">
        <v>1.0149380744078189</v>
      </c>
      <c r="AF80">
        <v>1.0149380744078189</v>
      </c>
      <c r="AG80">
        <v>1.0149380744078189</v>
      </c>
      <c r="AH80">
        <v>1.0149380744078189</v>
      </c>
      <c r="AI80">
        <v>1.0149380744078189</v>
      </c>
      <c r="AJ80">
        <v>1.0149380744078189</v>
      </c>
      <c r="AK80">
        <v>1.0149380744078189</v>
      </c>
    </row>
    <row r="81" spans="1:37" x14ac:dyDescent="0.25">
      <c r="A81" t="s">
        <v>90</v>
      </c>
      <c r="B81" t="s">
        <v>91</v>
      </c>
      <c r="C81" t="s">
        <v>164</v>
      </c>
      <c r="F81" t="s">
        <v>112</v>
      </c>
      <c r="G81" t="s">
        <v>114</v>
      </c>
      <c r="H81" t="s">
        <v>115</v>
      </c>
      <c r="I81" t="s">
        <v>165</v>
      </c>
      <c r="J81" t="s">
        <v>172</v>
      </c>
      <c r="K81" t="s">
        <v>98</v>
      </c>
      <c r="L81">
        <v>0</v>
      </c>
      <c r="M81">
        <v>1</v>
      </c>
      <c r="N81">
        <v>2020</v>
      </c>
      <c r="O81">
        <v>85.500534378339864</v>
      </c>
      <c r="P81">
        <v>0.2110609480812663</v>
      </c>
      <c r="Q81">
        <v>0.90336569732937955</v>
      </c>
      <c r="R81">
        <v>0.93918195845696884</v>
      </c>
      <c r="S81">
        <v>0.96305946587537217</v>
      </c>
      <c r="T81">
        <v>1.033365459940653</v>
      </c>
      <c r="U81">
        <v>1.073161305637983</v>
      </c>
      <c r="V81">
        <v>1.114283679525222</v>
      </c>
      <c r="W81">
        <v>1.1554060534124611</v>
      </c>
      <c r="X81">
        <v>170.7103233890991</v>
      </c>
      <c r="Y81">
        <v>162.17480721964449</v>
      </c>
      <c r="Z81">
        <v>157.1957561207941</v>
      </c>
      <c r="AA81">
        <v>153.63929105018931</v>
      </c>
      <c r="AB81">
        <v>151.5054120078255</v>
      </c>
      <c r="AC81">
        <v>149.37153296546191</v>
      </c>
      <c r="AD81">
        <v>147.23765392309809</v>
      </c>
      <c r="AE81">
        <v>1.0149380744078189</v>
      </c>
      <c r="AF81">
        <v>1.0149380744078189</v>
      </c>
      <c r="AG81">
        <v>1.0149380744078189</v>
      </c>
      <c r="AH81">
        <v>1.0149380744078189</v>
      </c>
      <c r="AI81">
        <v>1.0149380744078189</v>
      </c>
      <c r="AJ81">
        <v>1.0149380744078189</v>
      </c>
      <c r="AK81">
        <v>1.0149380744078189</v>
      </c>
    </row>
    <row r="82" spans="1:37" x14ac:dyDescent="0.25">
      <c r="A82" t="s">
        <v>90</v>
      </c>
      <c r="B82" t="s">
        <v>91</v>
      </c>
      <c r="C82" t="s">
        <v>164</v>
      </c>
      <c r="F82" t="s">
        <v>116</v>
      </c>
      <c r="G82" t="s">
        <v>94</v>
      </c>
      <c r="H82" t="s">
        <v>95</v>
      </c>
      <c r="I82" t="s">
        <v>165</v>
      </c>
      <c r="J82" t="s">
        <v>173</v>
      </c>
      <c r="K82" t="s">
        <v>98</v>
      </c>
      <c r="L82">
        <v>1</v>
      </c>
      <c r="M82">
        <v>1</v>
      </c>
      <c r="N82">
        <v>2020</v>
      </c>
      <c r="O82">
        <v>85.500534378339864</v>
      </c>
      <c r="P82">
        <v>0.59593679458238857</v>
      </c>
      <c r="Q82">
        <v>1.130202017804159</v>
      </c>
      <c r="R82">
        <v>1.188569258160235</v>
      </c>
      <c r="S82">
        <v>1.2084671810088989</v>
      </c>
      <c r="T82">
        <v>1.301324154302667</v>
      </c>
      <c r="U82">
        <v>1.3530587537091989</v>
      </c>
      <c r="V82">
        <v>1.4061198813056379</v>
      </c>
      <c r="W82">
        <v>1.4591810089020769</v>
      </c>
      <c r="X82">
        <v>190.62652778449399</v>
      </c>
      <c r="Y82">
        <v>174.97808147382671</v>
      </c>
      <c r="Z82">
        <v>162.17480721964449</v>
      </c>
      <c r="AA82">
        <v>155.7731700925531</v>
      </c>
      <c r="AB82">
        <v>152.92799803606849</v>
      </c>
      <c r="AC82">
        <v>150.08282597958191</v>
      </c>
      <c r="AD82">
        <v>147.23765392309809</v>
      </c>
      <c r="AE82">
        <v>1.0149380744078189</v>
      </c>
      <c r="AF82">
        <v>1.0149380744078189</v>
      </c>
      <c r="AG82">
        <v>1.0149380744078189</v>
      </c>
      <c r="AH82">
        <v>1.0149380744078189</v>
      </c>
      <c r="AI82">
        <v>1.0149380744078189</v>
      </c>
      <c r="AJ82">
        <v>1.0149380744078189</v>
      </c>
      <c r="AK82">
        <v>1.0149380744078189</v>
      </c>
    </row>
    <row r="83" spans="1:37" x14ac:dyDescent="0.25">
      <c r="A83" t="s">
        <v>90</v>
      </c>
      <c r="B83" t="s">
        <v>91</v>
      </c>
      <c r="C83" t="s">
        <v>164</v>
      </c>
      <c r="F83" t="s">
        <v>116</v>
      </c>
      <c r="G83" t="s">
        <v>99</v>
      </c>
      <c r="H83" t="s">
        <v>100</v>
      </c>
      <c r="I83" t="s">
        <v>165</v>
      </c>
      <c r="J83" t="s">
        <v>173</v>
      </c>
      <c r="K83" t="s">
        <v>98</v>
      </c>
      <c r="L83">
        <v>0</v>
      </c>
      <c r="M83">
        <v>1</v>
      </c>
      <c r="N83">
        <v>2020</v>
      </c>
      <c r="O83">
        <v>85.500534378339864</v>
      </c>
      <c r="P83">
        <v>0.1</v>
      </c>
      <c r="Q83">
        <v>1.130202017804159</v>
      </c>
      <c r="R83">
        <v>1.188569258160235</v>
      </c>
      <c r="S83">
        <v>1.2084671810088989</v>
      </c>
      <c r="T83">
        <v>1.301324154302667</v>
      </c>
      <c r="U83">
        <v>1.3530587537091989</v>
      </c>
      <c r="V83">
        <v>1.4061198813056379</v>
      </c>
      <c r="W83">
        <v>1.4591810089020769</v>
      </c>
      <c r="X83">
        <v>190.62652778449399</v>
      </c>
      <c r="Y83">
        <v>174.97808147382671</v>
      </c>
      <c r="Z83">
        <v>162.17480721964449</v>
      </c>
      <c r="AA83">
        <v>155.7731700925531</v>
      </c>
      <c r="AB83">
        <v>152.92799803606849</v>
      </c>
      <c r="AC83">
        <v>150.08282597958191</v>
      </c>
      <c r="AD83">
        <v>147.23765392309809</v>
      </c>
      <c r="AE83">
        <v>1.0149380744078189</v>
      </c>
      <c r="AF83">
        <v>1.0149380744078189</v>
      </c>
      <c r="AG83">
        <v>1.0149380744078189</v>
      </c>
      <c r="AH83">
        <v>1.0149380744078189</v>
      </c>
      <c r="AI83">
        <v>1.0149380744078189</v>
      </c>
      <c r="AJ83">
        <v>1.0149380744078189</v>
      </c>
      <c r="AK83">
        <v>1.0149380744078189</v>
      </c>
    </row>
    <row r="84" spans="1:37" x14ac:dyDescent="0.25">
      <c r="A84" t="s">
        <v>90</v>
      </c>
      <c r="B84" t="s">
        <v>91</v>
      </c>
      <c r="C84" t="s">
        <v>164</v>
      </c>
      <c r="F84" t="s">
        <v>116</v>
      </c>
      <c r="G84" t="s">
        <v>114</v>
      </c>
      <c r="H84" t="s">
        <v>115</v>
      </c>
      <c r="I84" t="s">
        <v>165</v>
      </c>
      <c r="J84" t="s">
        <v>173</v>
      </c>
      <c r="K84" t="s">
        <v>98</v>
      </c>
      <c r="L84">
        <v>0</v>
      </c>
      <c r="M84">
        <v>1</v>
      </c>
      <c r="N84">
        <v>2020</v>
      </c>
      <c r="O84">
        <v>85.500534378339864</v>
      </c>
      <c r="P84">
        <v>0.40406320541761148</v>
      </c>
      <c r="Q84">
        <v>1.130202017804159</v>
      </c>
      <c r="R84">
        <v>1.188569258160235</v>
      </c>
      <c r="S84">
        <v>1.2084671810088989</v>
      </c>
      <c r="T84">
        <v>1.301324154302667</v>
      </c>
      <c r="U84">
        <v>1.3530587537091989</v>
      </c>
      <c r="V84">
        <v>1.4061198813056379</v>
      </c>
      <c r="W84">
        <v>1.4591810089020769</v>
      </c>
      <c r="X84">
        <v>190.62652778449399</v>
      </c>
      <c r="Y84">
        <v>174.97808147382671</v>
      </c>
      <c r="Z84">
        <v>162.17480721964449</v>
      </c>
      <c r="AA84">
        <v>155.7731700925531</v>
      </c>
      <c r="AB84">
        <v>152.92799803606849</v>
      </c>
      <c r="AC84">
        <v>150.08282597958191</v>
      </c>
      <c r="AD84">
        <v>147.23765392309809</v>
      </c>
      <c r="AE84">
        <v>1.0149380744078189</v>
      </c>
      <c r="AF84">
        <v>1.0149380744078189</v>
      </c>
      <c r="AG84">
        <v>1.0149380744078189</v>
      </c>
      <c r="AH84">
        <v>1.0149380744078189</v>
      </c>
      <c r="AI84">
        <v>1.0149380744078189</v>
      </c>
      <c r="AJ84">
        <v>1.0149380744078189</v>
      </c>
      <c r="AK84">
        <v>1.0149380744078189</v>
      </c>
    </row>
    <row r="85" spans="1:37" x14ac:dyDescent="0.25">
      <c r="A85" t="s">
        <v>90</v>
      </c>
      <c r="B85" t="s">
        <v>91</v>
      </c>
      <c r="C85" t="s">
        <v>164</v>
      </c>
      <c r="F85" t="s">
        <v>118</v>
      </c>
      <c r="G85" t="s">
        <v>119</v>
      </c>
      <c r="H85" t="s">
        <v>120</v>
      </c>
      <c r="I85" t="s">
        <v>165</v>
      </c>
      <c r="J85" t="s">
        <v>174</v>
      </c>
      <c r="K85" t="s">
        <v>98</v>
      </c>
      <c r="L85">
        <v>1</v>
      </c>
      <c r="M85">
        <v>1</v>
      </c>
      <c r="N85">
        <v>2020</v>
      </c>
      <c r="O85">
        <v>85.500534378339864</v>
      </c>
      <c r="P85">
        <v>1</v>
      </c>
      <c r="Q85">
        <v>0.48816237388724038</v>
      </c>
      <c r="R85">
        <v>0.47224403560830858</v>
      </c>
      <c r="S85">
        <v>0.54387655786350142</v>
      </c>
      <c r="T85">
        <v>0.57173364985163211</v>
      </c>
      <c r="U85">
        <v>0.60357032640949559</v>
      </c>
      <c r="V85">
        <v>0.63408047477744811</v>
      </c>
      <c r="W85">
        <v>0.66591715133531149</v>
      </c>
      <c r="X85">
        <v>171.42161640322001</v>
      </c>
      <c r="Y85">
        <v>168.576444346735</v>
      </c>
      <c r="Z85">
        <v>167.86515133261369</v>
      </c>
      <c r="AA85">
        <v>167.1538583184925</v>
      </c>
      <c r="AB85">
        <v>167.1538583184925</v>
      </c>
      <c r="AC85">
        <v>166.4425653043713</v>
      </c>
      <c r="AD85">
        <v>166.4425653043713</v>
      </c>
      <c r="AE85">
        <v>1.0315764034964729</v>
      </c>
      <c r="AF85">
        <v>1.0315764034964729</v>
      </c>
      <c r="AG85">
        <v>1.0315764034964729</v>
      </c>
      <c r="AH85">
        <v>1.0315764034964729</v>
      </c>
      <c r="AI85">
        <v>1.0315764034964729</v>
      </c>
      <c r="AJ85">
        <v>1.0315764034964729</v>
      </c>
      <c r="AK85">
        <v>1.0315764034964729</v>
      </c>
    </row>
    <row r="86" spans="1:37" x14ac:dyDescent="0.25">
      <c r="A86" t="s">
        <v>90</v>
      </c>
      <c r="B86" t="s">
        <v>91</v>
      </c>
      <c r="C86" t="s">
        <v>164</v>
      </c>
      <c r="F86" t="s">
        <v>118</v>
      </c>
      <c r="G86" t="s">
        <v>122</v>
      </c>
      <c r="H86" t="s">
        <v>123</v>
      </c>
      <c r="I86" t="s">
        <v>165</v>
      </c>
      <c r="J86" t="s">
        <v>174</v>
      </c>
      <c r="K86" t="s">
        <v>98</v>
      </c>
      <c r="L86">
        <v>0</v>
      </c>
      <c r="M86">
        <v>1</v>
      </c>
      <c r="N86">
        <v>2020</v>
      </c>
      <c r="O86">
        <v>85.500534378339864</v>
      </c>
      <c r="P86">
        <v>1</v>
      </c>
      <c r="Q86">
        <v>0.48816237388724038</v>
      </c>
      <c r="R86">
        <v>0.47224403560830858</v>
      </c>
      <c r="S86">
        <v>0.54387655786350142</v>
      </c>
      <c r="T86">
        <v>0.57173364985163211</v>
      </c>
      <c r="U86">
        <v>0.60357032640949559</v>
      </c>
      <c r="V86">
        <v>0.63408047477744811</v>
      </c>
      <c r="W86">
        <v>0.66591715133531149</v>
      </c>
      <c r="X86">
        <v>171.42161640322001</v>
      </c>
      <c r="Y86">
        <v>168.576444346735</v>
      </c>
      <c r="Z86">
        <v>167.86515133261369</v>
      </c>
      <c r="AA86">
        <v>167.1538583184925</v>
      </c>
      <c r="AB86">
        <v>167.1538583184925</v>
      </c>
      <c r="AC86">
        <v>166.4425653043713</v>
      </c>
      <c r="AD86">
        <v>166.4425653043713</v>
      </c>
      <c r="AE86">
        <v>1.0315764034964729</v>
      </c>
      <c r="AF86">
        <v>1.0315764034964729</v>
      </c>
      <c r="AG86">
        <v>1.0315764034964729</v>
      </c>
      <c r="AH86">
        <v>1.0315764034964729</v>
      </c>
      <c r="AI86">
        <v>1.0315764034964729</v>
      </c>
      <c r="AJ86">
        <v>1.0315764034964729</v>
      </c>
      <c r="AK86">
        <v>1.0315764034964729</v>
      </c>
    </row>
    <row r="87" spans="1:37" x14ac:dyDescent="0.25">
      <c r="A87" t="s">
        <v>90</v>
      </c>
      <c r="B87" t="s">
        <v>91</v>
      </c>
      <c r="C87" t="s">
        <v>164</v>
      </c>
      <c r="F87" t="s">
        <v>118</v>
      </c>
      <c r="G87" t="s">
        <v>124</v>
      </c>
      <c r="H87" t="s">
        <v>125</v>
      </c>
      <c r="I87" t="s">
        <v>165</v>
      </c>
      <c r="J87" t="s">
        <v>174</v>
      </c>
      <c r="K87" t="s">
        <v>98</v>
      </c>
      <c r="L87">
        <v>0</v>
      </c>
      <c r="M87">
        <v>1</v>
      </c>
      <c r="N87">
        <v>2020</v>
      </c>
      <c r="O87">
        <v>85.500534378339864</v>
      </c>
      <c r="P87">
        <v>0.1</v>
      </c>
      <c r="Q87">
        <v>0.48816237388724038</v>
      </c>
      <c r="R87">
        <v>0.47224403560830858</v>
      </c>
      <c r="S87">
        <v>0.54387655786350142</v>
      </c>
      <c r="T87">
        <v>0.57173364985163211</v>
      </c>
      <c r="U87">
        <v>0.60357032640949559</v>
      </c>
      <c r="V87">
        <v>0.63408047477744811</v>
      </c>
      <c r="W87">
        <v>0.66591715133531149</v>
      </c>
      <c r="X87">
        <v>171.42161640322001</v>
      </c>
      <c r="Y87">
        <v>168.576444346735</v>
      </c>
      <c r="Z87">
        <v>167.86515133261369</v>
      </c>
      <c r="AA87">
        <v>167.1538583184925</v>
      </c>
      <c r="AB87">
        <v>167.1538583184925</v>
      </c>
      <c r="AC87">
        <v>166.4425653043713</v>
      </c>
      <c r="AD87">
        <v>166.4425653043713</v>
      </c>
      <c r="AE87">
        <v>1.0315764034964729</v>
      </c>
      <c r="AF87">
        <v>1.0315764034964729</v>
      </c>
      <c r="AG87">
        <v>1.0315764034964729</v>
      </c>
      <c r="AH87">
        <v>1.0315764034964729</v>
      </c>
      <c r="AI87">
        <v>1.0315764034964729</v>
      </c>
      <c r="AJ87">
        <v>1.0315764034964729</v>
      </c>
      <c r="AK87">
        <v>1.0315764034964729</v>
      </c>
    </row>
    <row r="88" spans="1:37" x14ac:dyDescent="0.25">
      <c r="A88" t="s">
        <v>90</v>
      </c>
      <c r="B88" t="s">
        <v>91</v>
      </c>
      <c r="C88" t="s">
        <v>164</v>
      </c>
      <c r="F88" t="s">
        <v>126</v>
      </c>
      <c r="G88" t="s">
        <v>127</v>
      </c>
      <c r="H88" t="s">
        <v>128</v>
      </c>
      <c r="I88" t="s">
        <v>165</v>
      </c>
      <c r="J88" t="s">
        <v>175</v>
      </c>
      <c r="K88" t="s">
        <v>98</v>
      </c>
      <c r="L88">
        <v>1</v>
      </c>
      <c r="M88">
        <v>1</v>
      </c>
      <c r="N88">
        <v>2020</v>
      </c>
      <c r="O88">
        <v>85.500534378339864</v>
      </c>
      <c r="P88">
        <v>1</v>
      </c>
      <c r="Q88">
        <v>0.39397887240356078</v>
      </c>
      <c r="R88">
        <v>0.42050943620178038</v>
      </c>
      <c r="S88">
        <v>0.47489709198813052</v>
      </c>
      <c r="T88">
        <v>0.509386824925816</v>
      </c>
      <c r="U88">
        <v>0.53724391691394657</v>
      </c>
      <c r="V88">
        <v>0.56510100890207715</v>
      </c>
      <c r="W88">
        <v>0.59163157270029676</v>
      </c>
      <c r="X88">
        <v>185.64747668564479</v>
      </c>
      <c r="Y88">
        <v>182.80230462915989</v>
      </c>
      <c r="Z88">
        <v>182.80230462915989</v>
      </c>
      <c r="AA88">
        <v>182.09101161503861</v>
      </c>
      <c r="AB88">
        <v>182.09101161503861</v>
      </c>
      <c r="AC88">
        <v>181.37971860091741</v>
      </c>
      <c r="AD88">
        <v>181.37971860091741</v>
      </c>
      <c r="AE88">
        <v>1.0315764034964729</v>
      </c>
      <c r="AF88">
        <v>1.0315764034964729</v>
      </c>
      <c r="AG88">
        <v>1.0315764034964729</v>
      </c>
      <c r="AH88">
        <v>1.0315764034964729</v>
      </c>
      <c r="AI88">
        <v>1.0315764034964729</v>
      </c>
      <c r="AJ88">
        <v>1.0315764034964729</v>
      </c>
      <c r="AK88">
        <v>1.0315764034964729</v>
      </c>
    </row>
    <row r="89" spans="1:37" x14ac:dyDescent="0.25">
      <c r="A89" t="s">
        <v>90</v>
      </c>
      <c r="B89" t="s">
        <v>91</v>
      </c>
      <c r="C89" t="s">
        <v>164</v>
      </c>
      <c r="F89" t="s">
        <v>126</v>
      </c>
      <c r="G89" t="s">
        <v>130</v>
      </c>
      <c r="H89" t="s">
        <v>131</v>
      </c>
      <c r="I89" t="s">
        <v>165</v>
      </c>
      <c r="J89" t="s">
        <v>175</v>
      </c>
      <c r="K89" t="s">
        <v>98</v>
      </c>
      <c r="L89">
        <v>0</v>
      </c>
      <c r="M89">
        <v>1</v>
      </c>
      <c r="N89">
        <v>2020</v>
      </c>
      <c r="O89">
        <v>85.500534378339864</v>
      </c>
      <c r="P89">
        <v>1</v>
      </c>
      <c r="Q89">
        <v>0.39397887240356078</v>
      </c>
      <c r="R89">
        <v>0.42050943620178038</v>
      </c>
      <c r="S89">
        <v>0.47489709198813052</v>
      </c>
      <c r="T89">
        <v>0.509386824925816</v>
      </c>
      <c r="U89">
        <v>0.53724391691394657</v>
      </c>
      <c r="V89">
        <v>0.56510100890207715</v>
      </c>
      <c r="W89">
        <v>0.59163157270029676</v>
      </c>
      <c r="X89">
        <v>185.64747668564479</v>
      </c>
      <c r="Y89">
        <v>182.80230462915989</v>
      </c>
      <c r="Z89">
        <v>182.80230462915989</v>
      </c>
      <c r="AA89">
        <v>182.09101161503861</v>
      </c>
      <c r="AB89">
        <v>182.09101161503861</v>
      </c>
      <c r="AC89">
        <v>181.37971860091741</v>
      </c>
      <c r="AD89">
        <v>181.37971860091741</v>
      </c>
      <c r="AE89">
        <v>1.0315764034964729</v>
      </c>
      <c r="AF89">
        <v>1.0315764034964729</v>
      </c>
      <c r="AG89">
        <v>1.0315764034964729</v>
      </c>
      <c r="AH89">
        <v>1.0315764034964729</v>
      </c>
      <c r="AI89">
        <v>1.0315764034964729</v>
      </c>
      <c r="AJ89">
        <v>1.0315764034964729</v>
      </c>
      <c r="AK89">
        <v>1.0315764034964729</v>
      </c>
    </row>
    <row r="90" spans="1:37" x14ac:dyDescent="0.25">
      <c r="A90" t="s">
        <v>90</v>
      </c>
      <c r="B90" t="s">
        <v>91</v>
      </c>
      <c r="C90" t="s">
        <v>164</v>
      </c>
      <c r="F90" t="s">
        <v>132</v>
      </c>
      <c r="G90" t="s">
        <v>133</v>
      </c>
      <c r="H90" t="s">
        <v>134</v>
      </c>
      <c r="I90" t="s">
        <v>165</v>
      </c>
      <c r="J90" t="s">
        <v>176</v>
      </c>
      <c r="K90" t="s">
        <v>98</v>
      </c>
      <c r="L90">
        <v>1</v>
      </c>
      <c r="M90">
        <v>1</v>
      </c>
      <c r="N90">
        <v>2020</v>
      </c>
      <c r="O90">
        <v>85.500534378339864</v>
      </c>
      <c r="P90">
        <v>1</v>
      </c>
      <c r="Q90">
        <v>0.99887572700296734</v>
      </c>
      <c r="R90">
        <v>1.036018516320474</v>
      </c>
      <c r="S90">
        <v>1.058569495548962</v>
      </c>
      <c r="T90">
        <v>1.1328550741839769</v>
      </c>
      <c r="U90">
        <v>1.163365222551928</v>
      </c>
      <c r="V90">
        <v>1.1938753709198811</v>
      </c>
      <c r="W90">
        <v>1.2230589910979219</v>
      </c>
      <c r="X90">
        <v>197.7394579257062</v>
      </c>
      <c r="Y90">
        <v>182.09101161503881</v>
      </c>
      <c r="Z90">
        <v>168.57644434673509</v>
      </c>
      <c r="AA90">
        <v>152.2167050219465</v>
      </c>
      <c r="AB90">
        <v>147.94894693721901</v>
      </c>
      <c r="AC90">
        <v>143.6811888524914</v>
      </c>
      <c r="AD90">
        <v>139.41343076776391</v>
      </c>
      <c r="AE90">
        <v>0.74872480898937499</v>
      </c>
      <c r="AF90">
        <v>0.74872480898937499</v>
      </c>
      <c r="AG90">
        <v>0.74872480898937499</v>
      </c>
      <c r="AH90">
        <v>0.74872480898937499</v>
      </c>
      <c r="AI90">
        <v>0.74872480898937499</v>
      </c>
      <c r="AJ90">
        <v>0.74872480898937499</v>
      </c>
      <c r="AK90">
        <v>0.74872480898937499</v>
      </c>
    </row>
    <row r="91" spans="1:37" x14ac:dyDescent="0.25">
      <c r="A91" t="s">
        <v>90</v>
      </c>
      <c r="B91" t="s">
        <v>91</v>
      </c>
      <c r="C91" t="s">
        <v>164</v>
      </c>
      <c r="F91" t="s">
        <v>136</v>
      </c>
      <c r="G91" t="s">
        <v>133</v>
      </c>
      <c r="H91" t="s">
        <v>134</v>
      </c>
      <c r="I91" t="s">
        <v>165</v>
      </c>
      <c r="J91" t="s">
        <v>177</v>
      </c>
      <c r="K91" t="s">
        <v>98</v>
      </c>
      <c r="L91">
        <v>1</v>
      </c>
      <c r="M91">
        <v>1</v>
      </c>
      <c r="N91">
        <v>2020</v>
      </c>
      <c r="O91">
        <v>85.500534378339864</v>
      </c>
      <c r="P91">
        <v>1</v>
      </c>
      <c r="Q91">
        <v>0.98959002967358989</v>
      </c>
      <c r="R91">
        <v>1.0254062908011869</v>
      </c>
      <c r="S91">
        <v>1.045304213649852</v>
      </c>
      <c r="T91">
        <v>1.1209163204747781</v>
      </c>
      <c r="U91">
        <v>1.150099940652819</v>
      </c>
      <c r="V91">
        <v>1.1792835608308609</v>
      </c>
      <c r="W91">
        <v>1.2084671810089009</v>
      </c>
      <c r="X91">
        <v>203.4298020386758</v>
      </c>
      <c r="Y91">
        <v>187.0700627138873</v>
      </c>
      <c r="Z91">
        <v>174.266788459705</v>
      </c>
      <c r="AA91">
        <v>156.48446310667379</v>
      </c>
      <c r="AB91">
        <v>152.2167050219465</v>
      </c>
      <c r="AC91">
        <v>147.94894693721901</v>
      </c>
      <c r="AD91">
        <v>143.6811888524914</v>
      </c>
      <c r="AE91">
        <v>0.74872480898937499</v>
      </c>
      <c r="AF91">
        <v>0.74872480898937499</v>
      </c>
      <c r="AG91">
        <v>0.74872480898937499</v>
      </c>
      <c r="AH91">
        <v>0.74872480898937499</v>
      </c>
      <c r="AI91">
        <v>0.74872480898937499</v>
      </c>
      <c r="AJ91">
        <v>0.74872480898937499</v>
      </c>
      <c r="AK91">
        <v>0.74872480898937499</v>
      </c>
    </row>
    <row r="92" spans="1:37" x14ac:dyDescent="0.25">
      <c r="A92" t="s">
        <v>90</v>
      </c>
      <c r="B92" t="s">
        <v>91</v>
      </c>
      <c r="C92" t="s">
        <v>164</v>
      </c>
      <c r="F92" t="s">
        <v>138</v>
      </c>
      <c r="G92" t="s">
        <v>114</v>
      </c>
      <c r="H92" t="s">
        <v>115</v>
      </c>
      <c r="I92" t="s">
        <v>165</v>
      </c>
      <c r="J92" t="s">
        <v>178</v>
      </c>
      <c r="K92" t="s">
        <v>98</v>
      </c>
      <c r="L92">
        <v>1</v>
      </c>
      <c r="M92">
        <v>1</v>
      </c>
      <c r="N92">
        <v>2020</v>
      </c>
      <c r="O92">
        <v>85.500534378339864</v>
      </c>
      <c r="P92">
        <v>1</v>
      </c>
      <c r="Q92">
        <v>2.1357103857566768</v>
      </c>
      <c r="R92">
        <v>2.2285673590504449</v>
      </c>
      <c r="S92">
        <v>2.281628486646885</v>
      </c>
      <c r="T92">
        <v>2.4806077151335311</v>
      </c>
      <c r="U92">
        <v>2.5601994065281901</v>
      </c>
      <c r="V92">
        <v>2.6530563798219591</v>
      </c>
      <c r="W92">
        <v>2.7459133531157272</v>
      </c>
      <c r="X92">
        <v>160.04092817728011</v>
      </c>
      <c r="Y92">
        <v>149.3715329654614</v>
      </c>
      <c r="Z92">
        <v>134.43437966891531</v>
      </c>
      <c r="AA92">
        <v>125.18757048533899</v>
      </c>
      <c r="AB92">
        <v>120.9198124006116</v>
      </c>
      <c r="AC92">
        <v>116.6520543158841</v>
      </c>
      <c r="AD92">
        <v>112.3842962311567</v>
      </c>
      <c r="AE92">
        <v>0.69714598881455148</v>
      </c>
      <c r="AF92">
        <v>0.69714598881455148</v>
      </c>
      <c r="AG92">
        <v>0.69714598881455148</v>
      </c>
      <c r="AH92">
        <v>0.69714598881455148</v>
      </c>
      <c r="AI92">
        <v>0.69714598881455148</v>
      </c>
      <c r="AJ92">
        <v>0.69714598881455148</v>
      </c>
      <c r="AK92">
        <v>0.69714598881455148</v>
      </c>
    </row>
    <row r="93" spans="1:37" x14ac:dyDescent="0.25">
      <c r="A93" t="s">
        <v>90</v>
      </c>
      <c r="B93" t="s">
        <v>91</v>
      </c>
      <c r="C93" t="s">
        <v>164</v>
      </c>
      <c r="F93" t="s">
        <v>140</v>
      </c>
      <c r="G93" t="s">
        <v>114</v>
      </c>
      <c r="H93" t="s">
        <v>115</v>
      </c>
      <c r="I93" t="s">
        <v>165</v>
      </c>
      <c r="J93" t="s">
        <v>179</v>
      </c>
      <c r="K93" t="s">
        <v>98</v>
      </c>
      <c r="L93">
        <v>1</v>
      </c>
      <c r="M93">
        <v>1</v>
      </c>
      <c r="N93">
        <v>2020</v>
      </c>
      <c r="O93">
        <v>85.500534378339864</v>
      </c>
      <c r="P93">
        <v>1</v>
      </c>
      <c r="Q93">
        <v>2.0295881305637979</v>
      </c>
      <c r="R93">
        <v>2.1224451038575669</v>
      </c>
      <c r="S93">
        <v>2.202036795252226</v>
      </c>
      <c r="T93">
        <v>2.401016023738872</v>
      </c>
      <c r="U93">
        <v>2.4806077151335311</v>
      </c>
      <c r="V93">
        <v>2.5601994065281901</v>
      </c>
      <c r="W93">
        <v>2.6530563798219591</v>
      </c>
      <c r="X93">
        <v>192.76040682685729</v>
      </c>
      <c r="Y93">
        <v>177.11196051619001</v>
      </c>
      <c r="Z93">
        <v>155.06187707843131</v>
      </c>
      <c r="AA93">
        <v>142.2586028242489</v>
      </c>
      <c r="AB93">
        <v>135.85696569715779</v>
      </c>
      <c r="AC93">
        <v>129.45532857006651</v>
      </c>
      <c r="AD93">
        <v>123.05369144297531</v>
      </c>
      <c r="AE93">
        <v>0.69714598881455148</v>
      </c>
      <c r="AF93">
        <v>0.69714598881455148</v>
      </c>
      <c r="AG93">
        <v>0.69714598881455148</v>
      </c>
      <c r="AH93">
        <v>0.69714598881455148</v>
      </c>
      <c r="AI93">
        <v>0.69714598881455148</v>
      </c>
      <c r="AJ93">
        <v>0.69714598881455148</v>
      </c>
      <c r="AK93">
        <v>0.69714598881455148</v>
      </c>
    </row>
    <row r="94" spans="1:37" x14ac:dyDescent="0.25">
      <c r="A94" t="s">
        <v>90</v>
      </c>
      <c r="B94" t="s">
        <v>91</v>
      </c>
      <c r="C94" t="s">
        <v>164</v>
      </c>
      <c r="F94" t="s">
        <v>142</v>
      </c>
      <c r="G94" t="s">
        <v>114</v>
      </c>
      <c r="H94" t="s">
        <v>115</v>
      </c>
      <c r="I94" t="s">
        <v>165</v>
      </c>
      <c r="J94" t="s">
        <v>180</v>
      </c>
      <c r="K94" t="s">
        <v>98</v>
      </c>
      <c r="L94">
        <v>1</v>
      </c>
      <c r="M94">
        <v>1</v>
      </c>
      <c r="N94">
        <v>2020</v>
      </c>
      <c r="O94">
        <v>85.500534378339864</v>
      </c>
      <c r="P94">
        <v>1</v>
      </c>
      <c r="Q94">
        <v>1.830608902077151</v>
      </c>
      <c r="R94">
        <v>1.91020059347181</v>
      </c>
      <c r="S94">
        <v>2.003057566765579</v>
      </c>
      <c r="T94">
        <v>2.188771513353116</v>
      </c>
      <c r="U94">
        <v>2.2683632047477751</v>
      </c>
      <c r="V94">
        <v>2.3612201780415432</v>
      </c>
      <c r="W94">
        <v>2.4540771513353121</v>
      </c>
      <c r="X94">
        <v>236.8605737023745</v>
      </c>
      <c r="Y94">
        <v>216.23307629285841</v>
      </c>
      <c r="Z94">
        <v>182.80230462915989</v>
      </c>
      <c r="AA94">
        <v>164.30868626200751</v>
      </c>
      <c r="AB94">
        <v>155.77317009255259</v>
      </c>
      <c r="AC94">
        <v>146.52636090897639</v>
      </c>
      <c r="AD94">
        <v>137.99084473952149</v>
      </c>
      <c r="AE94">
        <v>0.69714598881455148</v>
      </c>
      <c r="AF94">
        <v>0.69714598881455148</v>
      </c>
      <c r="AG94">
        <v>0.69714598881455148</v>
      </c>
      <c r="AH94">
        <v>0.69714598881455148</v>
      </c>
      <c r="AI94">
        <v>0.69714598881455148</v>
      </c>
      <c r="AJ94">
        <v>0.69714598881455148</v>
      </c>
      <c r="AK94">
        <v>0.69714598881455148</v>
      </c>
    </row>
    <row r="95" spans="1:37" x14ac:dyDescent="0.25">
      <c r="A95" t="s">
        <v>90</v>
      </c>
      <c r="B95" t="s">
        <v>91</v>
      </c>
      <c r="C95" t="s">
        <v>164</v>
      </c>
      <c r="F95" t="s">
        <v>144</v>
      </c>
      <c r="G95" t="s">
        <v>114</v>
      </c>
      <c r="H95" t="s">
        <v>115</v>
      </c>
      <c r="I95" t="s">
        <v>165</v>
      </c>
      <c r="J95" t="s">
        <v>181</v>
      </c>
      <c r="K95" t="s">
        <v>98</v>
      </c>
      <c r="L95">
        <v>1</v>
      </c>
      <c r="M95">
        <v>1</v>
      </c>
      <c r="N95">
        <v>2020</v>
      </c>
      <c r="O95">
        <v>85.500534378339864</v>
      </c>
      <c r="P95">
        <v>1</v>
      </c>
      <c r="Q95">
        <v>1.644894955489614</v>
      </c>
      <c r="R95">
        <v>1.724486646884273</v>
      </c>
      <c r="S95">
        <v>1.8438741839762609</v>
      </c>
      <c r="T95">
        <v>2.016322848664688</v>
      </c>
      <c r="U95">
        <v>2.0826492581602372</v>
      </c>
      <c r="V95">
        <v>2.1622409495548962</v>
      </c>
      <c r="W95">
        <v>2.2550979228486652</v>
      </c>
      <c r="X95">
        <v>290.20754976146782</v>
      </c>
      <c r="Y95">
        <v>262.46712221073932</v>
      </c>
      <c r="Z95">
        <v>214.81049026461591</v>
      </c>
      <c r="AA95">
        <v>189.91523477037231</v>
      </c>
      <c r="AB95">
        <v>178.5345465444324</v>
      </c>
      <c r="AC95">
        <v>167.1538583184925</v>
      </c>
      <c r="AD95">
        <v>155.77317009255259</v>
      </c>
      <c r="AE95">
        <v>0.69714598881455148</v>
      </c>
      <c r="AF95">
        <v>0.69714598881455148</v>
      </c>
      <c r="AG95">
        <v>0.69714598881455148</v>
      </c>
      <c r="AH95">
        <v>0.69714598881455148</v>
      </c>
      <c r="AI95">
        <v>0.69714598881455148</v>
      </c>
      <c r="AJ95">
        <v>0.69714598881455148</v>
      </c>
      <c r="AK95">
        <v>0.69714598881455148</v>
      </c>
    </row>
    <row r="96" spans="1:37" x14ac:dyDescent="0.25">
      <c r="A96" t="s">
        <v>90</v>
      </c>
      <c r="B96" t="s">
        <v>182</v>
      </c>
      <c r="C96" t="s">
        <v>183</v>
      </c>
      <c r="F96" t="s">
        <v>93</v>
      </c>
      <c r="G96" t="s">
        <v>94</v>
      </c>
      <c r="H96" t="s">
        <v>95</v>
      </c>
      <c r="I96" t="s">
        <v>184</v>
      </c>
      <c r="J96" t="s">
        <v>185</v>
      </c>
      <c r="K96" t="s">
        <v>98</v>
      </c>
      <c r="L96">
        <v>1</v>
      </c>
      <c r="M96">
        <v>1</v>
      </c>
      <c r="N96">
        <v>2020</v>
      </c>
      <c r="O96">
        <v>15.579764908323551</v>
      </c>
      <c r="P96">
        <v>1</v>
      </c>
      <c r="Q96">
        <v>0.2480607715133531</v>
      </c>
      <c r="R96">
        <v>0.24540771513353121</v>
      </c>
      <c r="S96">
        <v>0.28255050445103852</v>
      </c>
      <c r="T96">
        <v>0.30908106824925802</v>
      </c>
      <c r="U96">
        <v>0.32499940652818993</v>
      </c>
      <c r="V96">
        <v>0.33959121661721092</v>
      </c>
      <c r="W96">
        <v>0.35418302670623159</v>
      </c>
      <c r="X96">
        <v>184.22489065740251</v>
      </c>
      <c r="Y96">
        <v>184.22489065740251</v>
      </c>
      <c r="Z96">
        <v>187.78135572800869</v>
      </c>
      <c r="AA96">
        <v>196.31687189746339</v>
      </c>
      <c r="AB96">
        <v>196.31687189746339</v>
      </c>
      <c r="AC96">
        <v>195.60557888334239</v>
      </c>
      <c r="AD96">
        <v>195.60557888334239</v>
      </c>
      <c r="AE96">
        <v>5.6155558990605714</v>
      </c>
      <c r="AF96">
        <v>5.6155558990605714</v>
      </c>
      <c r="AG96">
        <v>5.6155558990605714</v>
      </c>
      <c r="AH96">
        <v>5.6155558990605714</v>
      </c>
      <c r="AI96">
        <v>5.6155558990605714</v>
      </c>
      <c r="AJ96">
        <v>5.6155558990605714</v>
      </c>
      <c r="AK96">
        <v>5.6155558990605714</v>
      </c>
    </row>
    <row r="97" spans="1:37" x14ac:dyDescent="0.25">
      <c r="A97" t="s">
        <v>90</v>
      </c>
      <c r="B97" t="s">
        <v>182</v>
      </c>
      <c r="C97" t="s">
        <v>183</v>
      </c>
      <c r="F97" t="s">
        <v>93</v>
      </c>
      <c r="G97" t="s">
        <v>99</v>
      </c>
      <c r="H97" t="s">
        <v>100</v>
      </c>
      <c r="I97" t="s">
        <v>184</v>
      </c>
      <c r="J97" t="s">
        <v>185</v>
      </c>
      <c r="K97" t="s">
        <v>98</v>
      </c>
      <c r="L97">
        <v>0</v>
      </c>
      <c r="M97">
        <v>1</v>
      </c>
      <c r="N97">
        <v>2020</v>
      </c>
      <c r="O97">
        <v>15.579764908323551</v>
      </c>
      <c r="P97">
        <v>0.1</v>
      </c>
      <c r="Q97">
        <v>0.2480607715133531</v>
      </c>
      <c r="R97">
        <v>0.24540771513353121</v>
      </c>
      <c r="S97">
        <v>0.28255050445103852</v>
      </c>
      <c r="T97">
        <v>0.30908106824925802</v>
      </c>
      <c r="U97">
        <v>0.32499940652818993</v>
      </c>
      <c r="V97">
        <v>0.33959121661721092</v>
      </c>
      <c r="W97">
        <v>0.35418302670623159</v>
      </c>
      <c r="X97">
        <v>184.22489065740251</v>
      </c>
      <c r="Y97">
        <v>184.22489065740251</v>
      </c>
      <c r="Z97">
        <v>187.78135572800869</v>
      </c>
      <c r="AA97">
        <v>196.31687189746339</v>
      </c>
      <c r="AB97">
        <v>196.31687189746339</v>
      </c>
      <c r="AC97">
        <v>195.60557888334239</v>
      </c>
      <c r="AD97">
        <v>195.60557888334239</v>
      </c>
      <c r="AE97">
        <v>5.6155558990605714</v>
      </c>
      <c r="AF97">
        <v>5.6155558990605714</v>
      </c>
      <c r="AG97">
        <v>5.6155558990605714</v>
      </c>
      <c r="AH97">
        <v>5.6155558990605714</v>
      </c>
      <c r="AI97">
        <v>5.6155558990605714</v>
      </c>
      <c r="AJ97">
        <v>5.6155558990605714</v>
      </c>
      <c r="AK97">
        <v>5.6155558990605714</v>
      </c>
    </row>
    <row r="98" spans="1:37" x14ac:dyDescent="0.25">
      <c r="A98" t="s">
        <v>90</v>
      </c>
      <c r="B98" t="s">
        <v>182</v>
      </c>
      <c r="C98" t="s">
        <v>183</v>
      </c>
      <c r="F98" t="s">
        <v>101</v>
      </c>
      <c r="G98" t="s">
        <v>94</v>
      </c>
      <c r="H98" t="s">
        <v>95</v>
      </c>
      <c r="I98" t="s">
        <v>184</v>
      </c>
      <c r="J98" t="s">
        <v>186</v>
      </c>
      <c r="K98" t="s">
        <v>98</v>
      </c>
      <c r="L98">
        <v>1</v>
      </c>
      <c r="M98">
        <v>1</v>
      </c>
      <c r="N98">
        <v>2020</v>
      </c>
      <c r="O98">
        <v>15.579764908323551</v>
      </c>
      <c r="P98">
        <v>1</v>
      </c>
      <c r="Q98">
        <v>0.2732648071216619</v>
      </c>
      <c r="R98">
        <v>0.27459133531157282</v>
      </c>
      <c r="S98">
        <v>0.30377495548961408</v>
      </c>
      <c r="T98">
        <v>0.33163204747774477</v>
      </c>
      <c r="U98">
        <v>0.34887691394658737</v>
      </c>
      <c r="V98">
        <v>0.36612178041543048</v>
      </c>
      <c r="W98">
        <v>0.3833666468842728</v>
      </c>
      <c r="X98">
        <v>191.3378207986149</v>
      </c>
      <c r="Y98">
        <v>190.6265277844935</v>
      </c>
      <c r="Z98">
        <v>194.18299285509971</v>
      </c>
      <c r="AA98">
        <v>202.71850902455481</v>
      </c>
      <c r="AB98">
        <v>202.0072160104335</v>
      </c>
      <c r="AC98">
        <v>202.0072160104335</v>
      </c>
      <c r="AD98">
        <v>201.2959229963123</v>
      </c>
      <c r="AE98">
        <v>5.6155558990605714</v>
      </c>
      <c r="AF98">
        <v>5.6155558990605714</v>
      </c>
      <c r="AG98">
        <v>5.6155558990605714</v>
      </c>
      <c r="AH98">
        <v>5.6155558990605714</v>
      </c>
      <c r="AI98">
        <v>5.6155558990605714</v>
      </c>
      <c r="AJ98">
        <v>5.6155558990605714</v>
      </c>
      <c r="AK98">
        <v>5.6155558990605714</v>
      </c>
    </row>
    <row r="99" spans="1:37" x14ac:dyDescent="0.25">
      <c r="A99" t="s">
        <v>90</v>
      </c>
      <c r="B99" t="s">
        <v>182</v>
      </c>
      <c r="C99" t="s">
        <v>183</v>
      </c>
      <c r="F99" t="s">
        <v>101</v>
      </c>
      <c r="G99" t="s">
        <v>99</v>
      </c>
      <c r="H99" t="s">
        <v>100</v>
      </c>
      <c r="I99" t="s">
        <v>184</v>
      </c>
      <c r="J99" t="s">
        <v>186</v>
      </c>
      <c r="K99" t="s">
        <v>98</v>
      </c>
      <c r="L99">
        <v>0</v>
      </c>
      <c r="M99">
        <v>1</v>
      </c>
      <c r="N99">
        <v>2020</v>
      </c>
      <c r="O99">
        <v>15.579764908323551</v>
      </c>
      <c r="P99">
        <v>0.1</v>
      </c>
      <c r="Q99">
        <v>0.2732648071216619</v>
      </c>
      <c r="R99">
        <v>0.27459133531157282</v>
      </c>
      <c r="S99">
        <v>0.30377495548961408</v>
      </c>
      <c r="T99">
        <v>0.33163204747774477</v>
      </c>
      <c r="U99">
        <v>0.34887691394658737</v>
      </c>
      <c r="V99">
        <v>0.36612178041543048</v>
      </c>
      <c r="W99">
        <v>0.3833666468842728</v>
      </c>
      <c r="X99">
        <v>191.3378207986149</v>
      </c>
      <c r="Y99">
        <v>190.6265277844935</v>
      </c>
      <c r="Z99">
        <v>194.18299285509971</v>
      </c>
      <c r="AA99">
        <v>202.71850902455481</v>
      </c>
      <c r="AB99">
        <v>202.0072160104335</v>
      </c>
      <c r="AC99">
        <v>202.0072160104335</v>
      </c>
      <c r="AD99">
        <v>201.2959229963123</v>
      </c>
      <c r="AE99">
        <v>5.6155558990605714</v>
      </c>
      <c r="AF99">
        <v>5.6155558990605714</v>
      </c>
      <c r="AG99">
        <v>5.6155558990605714</v>
      </c>
      <c r="AH99">
        <v>5.6155558990605714</v>
      </c>
      <c r="AI99">
        <v>5.6155558990605714</v>
      </c>
      <c r="AJ99">
        <v>5.6155558990605714</v>
      </c>
      <c r="AK99">
        <v>5.6155558990605714</v>
      </c>
    </row>
    <row r="100" spans="1:37" x14ac:dyDescent="0.25">
      <c r="A100" t="s">
        <v>90</v>
      </c>
      <c r="B100" t="s">
        <v>182</v>
      </c>
      <c r="C100" t="s">
        <v>183</v>
      </c>
      <c r="F100" t="s">
        <v>103</v>
      </c>
      <c r="G100" t="s">
        <v>94</v>
      </c>
      <c r="H100" t="s">
        <v>95</v>
      </c>
      <c r="I100" t="s">
        <v>184</v>
      </c>
      <c r="J100" t="s">
        <v>187</v>
      </c>
      <c r="K100" t="s">
        <v>98</v>
      </c>
      <c r="L100">
        <v>1</v>
      </c>
      <c r="M100">
        <v>1</v>
      </c>
      <c r="N100">
        <v>2020</v>
      </c>
      <c r="O100">
        <v>15.579764908323551</v>
      </c>
      <c r="P100">
        <v>1</v>
      </c>
      <c r="Q100">
        <v>0.25469341246290811</v>
      </c>
      <c r="R100">
        <v>0.25336688427299719</v>
      </c>
      <c r="S100">
        <v>0.29183620178041542</v>
      </c>
      <c r="T100">
        <v>0.31969329376854611</v>
      </c>
      <c r="U100">
        <v>0.33561163204747763</v>
      </c>
      <c r="V100">
        <v>0.35152997032640948</v>
      </c>
      <c r="W100">
        <v>0.36612178041543048</v>
      </c>
      <c r="X100">
        <v>185.6474766856449</v>
      </c>
      <c r="Y100">
        <v>184.93618367152351</v>
      </c>
      <c r="Z100">
        <v>189.20394175625111</v>
      </c>
      <c r="AA100">
        <v>197.7394579257062</v>
      </c>
      <c r="AB100">
        <v>197.02816491158481</v>
      </c>
      <c r="AC100">
        <v>197.02816491158481</v>
      </c>
      <c r="AD100">
        <v>196.31687189746339</v>
      </c>
      <c r="AE100">
        <v>5.3872812690174499</v>
      </c>
      <c r="AF100">
        <v>5.3872812690174499</v>
      </c>
      <c r="AG100">
        <v>5.3872812690174499</v>
      </c>
      <c r="AH100">
        <v>5.3872812690174499</v>
      </c>
      <c r="AI100">
        <v>5.3872812690174499</v>
      </c>
      <c r="AJ100">
        <v>5.3872812690174499</v>
      </c>
      <c r="AK100">
        <v>5.3872812690174499</v>
      </c>
    </row>
    <row r="101" spans="1:37" x14ac:dyDescent="0.25">
      <c r="A101" t="s">
        <v>90</v>
      </c>
      <c r="B101" t="s">
        <v>182</v>
      </c>
      <c r="C101" t="s">
        <v>183</v>
      </c>
      <c r="F101" t="s">
        <v>103</v>
      </c>
      <c r="G101" t="s">
        <v>99</v>
      </c>
      <c r="H101" t="s">
        <v>100</v>
      </c>
      <c r="I101" t="s">
        <v>184</v>
      </c>
      <c r="J101" t="s">
        <v>187</v>
      </c>
      <c r="K101" t="s">
        <v>98</v>
      </c>
      <c r="L101">
        <v>0</v>
      </c>
      <c r="M101">
        <v>1</v>
      </c>
      <c r="N101">
        <v>2020</v>
      </c>
      <c r="O101">
        <v>15.579764908323551</v>
      </c>
      <c r="P101">
        <v>0.1</v>
      </c>
      <c r="Q101">
        <v>0.25469341246290811</v>
      </c>
      <c r="R101">
        <v>0.25336688427299719</v>
      </c>
      <c r="S101">
        <v>0.29183620178041542</v>
      </c>
      <c r="T101">
        <v>0.31969329376854611</v>
      </c>
      <c r="U101">
        <v>0.33561163204747763</v>
      </c>
      <c r="V101">
        <v>0.35152997032640948</v>
      </c>
      <c r="W101">
        <v>0.36612178041543048</v>
      </c>
      <c r="X101">
        <v>185.6474766856449</v>
      </c>
      <c r="Y101">
        <v>184.93618367152351</v>
      </c>
      <c r="Z101">
        <v>189.20394175625111</v>
      </c>
      <c r="AA101">
        <v>197.7394579257062</v>
      </c>
      <c r="AB101">
        <v>197.02816491158481</v>
      </c>
      <c r="AC101">
        <v>197.02816491158481</v>
      </c>
      <c r="AD101">
        <v>196.31687189746339</v>
      </c>
      <c r="AE101">
        <v>5.3872812690174499</v>
      </c>
      <c r="AF101">
        <v>5.3872812690174499</v>
      </c>
      <c r="AG101">
        <v>5.3872812690174499</v>
      </c>
      <c r="AH101">
        <v>5.3872812690174499</v>
      </c>
      <c r="AI101">
        <v>5.3872812690174499</v>
      </c>
      <c r="AJ101">
        <v>5.3872812690174499</v>
      </c>
      <c r="AK101">
        <v>5.3872812690174499</v>
      </c>
    </row>
    <row r="102" spans="1:37" x14ac:dyDescent="0.25">
      <c r="A102" t="s">
        <v>90</v>
      </c>
      <c r="B102" t="s">
        <v>182</v>
      </c>
      <c r="C102" t="s">
        <v>183</v>
      </c>
      <c r="F102" t="s">
        <v>105</v>
      </c>
      <c r="G102" t="s">
        <v>94</v>
      </c>
      <c r="H102" t="s">
        <v>95</v>
      </c>
      <c r="I102" t="s">
        <v>184</v>
      </c>
      <c r="J102" t="s">
        <v>188</v>
      </c>
      <c r="K102" t="s">
        <v>98</v>
      </c>
      <c r="L102">
        <v>1</v>
      </c>
      <c r="M102">
        <v>1</v>
      </c>
      <c r="N102">
        <v>2020</v>
      </c>
      <c r="O102">
        <v>15.579764908323551</v>
      </c>
      <c r="P102">
        <v>1</v>
      </c>
      <c r="Q102">
        <v>0.27857091988130561</v>
      </c>
      <c r="R102">
        <v>0.28122397626112772</v>
      </c>
      <c r="S102">
        <v>0.31040759643916899</v>
      </c>
      <c r="T102">
        <v>0.33959121661721092</v>
      </c>
      <c r="U102">
        <v>0.35816261127596438</v>
      </c>
      <c r="V102">
        <v>0.37540747774480687</v>
      </c>
      <c r="W102">
        <v>0.39397887240356111</v>
      </c>
      <c r="X102">
        <v>192.76040682685729</v>
      </c>
      <c r="Y102">
        <v>191.3378207986149</v>
      </c>
      <c r="Z102">
        <v>194.89428586922099</v>
      </c>
      <c r="AA102">
        <v>203.4298020386758</v>
      </c>
      <c r="AB102">
        <v>202.71850902455481</v>
      </c>
      <c r="AC102">
        <v>202.71850902455481</v>
      </c>
      <c r="AD102">
        <v>202.0072160104335</v>
      </c>
      <c r="AE102">
        <v>5.3872812690174499</v>
      </c>
      <c r="AF102">
        <v>5.3872812690174499</v>
      </c>
      <c r="AG102">
        <v>5.3872812690174499</v>
      </c>
      <c r="AH102">
        <v>5.3872812690174499</v>
      </c>
      <c r="AI102">
        <v>5.3872812690174499</v>
      </c>
      <c r="AJ102">
        <v>5.3872812690174499</v>
      </c>
      <c r="AK102">
        <v>5.3872812690174499</v>
      </c>
    </row>
    <row r="103" spans="1:37" x14ac:dyDescent="0.25">
      <c r="A103" t="s">
        <v>90</v>
      </c>
      <c r="B103" t="s">
        <v>182</v>
      </c>
      <c r="C103" t="s">
        <v>183</v>
      </c>
      <c r="F103" t="s">
        <v>105</v>
      </c>
      <c r="G103" t="s">
        <v>99</v>
      </c>
      <c r="H103" t="s">
        <v>100</v>
      </c>
      <c r="I103" t="s">
        <v>184</v>
      </c>
      <c r="J103" t="s">
        <v>188</v>
      </c>
      <c r="K103" t="s">
        <v>98</v>
      </c>
      <c r="L103">
        <v>0</v>
      </c>
      <c r="M103">
        <v>1</v>
      </c>
      <c r="N103">
        <v>2020</v>
      </c>
      <c r="O103">
        <v>15.579764908323551</v>
      </c>
      <c r="P103">
        <v>0.1</v>
      </c>
      <c r="Q103">
        <v>0.27857091988130561</v>
      </c>
      <c r="R103">
        <v>0.28122397626112772</v>
      </c>
      <c r="S103">
        <v>0.31040759643916899</v>
      </c>
      <c r="T103">
        <v>0.33959121661721092</v>
      </c>
      <c r="U103">
        <v>0.35816261127596438</v>
      </c>
      <c r="V103">
        <v>0.37540747774480687</v>
      </c>
      <c r="W103">
        <v>0.39397887240356111</v>
      </c>
      <c r="X103">
        <v>192.76040682685729</v>
      </c>
      <c r="Y103">
        <v>191.3378207986149</v>
      </c>
      <c r="Z103">
        <v>194.89428586922099</v>
      </c>
      <c r="AA103">
        <v>203.4298020386758</v>
      </c>
      <c r="AB103">
        <v>202.71850902455481</v>
      </c>
      <c r="AC103">
        <v>202.71850902455481</v>
      </c>
      <c r="AD103">
        <v>202.0072160104335</v>
      </c>
      <c r="AE103">
        <v>5.3872812690174499</v>
      </c>
      <c r="AF103">
        <v>5.3872812690174499</v>
      </c>
      <c r="AG103">
        <v>5.3872812690174499</v>
      </c>
      <c r="AH103">
        <v>5.3872812690174499</v>
      </c>
      <c r="AI103">
        <v>5.3872812690174499</v>
      </c>
      <c r="AJ103">
        <v>5.3872812690174499</v>
      </c>
      <c r="AK103">
        <v>5.3872812690174499</v>
      </c>
    </row>
    <row r="104" spans="1:37" x14ac:dyDescent="0.25">
      <c r="A104" t="s">
        <v>90</v>
      </c>
      <c r="B104" t="s">
        <v>182</v>
      </c>
      <c r="C104" t="s">
        <v>183</v>
      </c>
      <c r="F104" t="s">
        <v>107</v>
      </c>
      <c r="G104" t="s">
        <v>94</v>
      </c>
      <c r="H104" t="s">
        <v>95</v>
      </c>
      <c r="I104" t="s">
        <v>184</v>
      </c>
      <c r="J104" t="s">
        <v>189</v>
      </c>
      <c r="K104" t="s">
        <v>98</v>
      </c>
      <c r="L104">
        <v>1</v>
      </c>
      <c r="M104">
        <v>1</v>
      </c>
      <c r="N104">
        <v>2020</v>
      </c>
      <c r="O104">
        <v>15.579764908323551</v>
      </c>
      <c r="P104">
        <v>1</v>
      </c>
      <c r="Q104">
        <v>0.26132605341246301</v>
      </c>
      <c r="R104">
        <v>0.25867299703264102</v>
      </c>
      <c r="S104">
        <v>0.29846884272997032</v>
      </c>
      <c r="T104">
        <v>0.32632593471810112</v>
      </c>
      <c r="U104">
        <v>0.34357080118694339</v>
      </c>
      <c r="V104">
        <v>0.36081566765578649</v>
      </c>
      <c r="W104">
        <v>0.3767340059347179</v>
      </c>
      <c r="X104">
        <v>189.20394175625111</v>
      </c>
      <c r="Y104">
        <v>187.78135572800869</v>
      </c>
      <c r="Z104">
        <v>191.3378207986149</v>
      </c>
      <c r="AA104">
        <v>199.87333696806979</v>
      </c>
      <c r="AB104">
        <v>199.16204395394851</v>
      </c>
      <c r="AC104">
        <v>198.4507509398272</v>
      </c>
      <c r="AD104">
        <v>197.7394579257062</v>
      </c>
      <c r="AE104">
        <v>5.3872812690174499</v>
      </c>
      <c r="AF104">
        <v>5.3872812690174499</v>
      </c>
      <c r="AG104">
        <v>5.3872812690174499</v>
      </c>
      <c r="AH104">
        <v>5.3872812690174499</v>
      </c>
      <c r="AI104">
        <v>5.3872812690174499</v>
      </c>
      <c r="AJ104">
        <v>5.3872812690174499</v>
      </c>
      <c r="AK104">
        <v>5.3872812690174499</v>
      </c>
    </row>
    <row r="105" spans="1:37" x14ac:dyDescent="0.25">
      <c r="A105" t="s">
        <v>90</v>
      </c>
      <c r="B105" t="s">
        <v>182</v>
      </c>
      <c r="C105" t="s">
        <v>183</v>
      </c>
      <c r="F105" t="s">
        <v>107</v>
      </c>
      <c r="G105" t="s">
        <v>99</v>
      </c>
      <c r="H105" t="s">
        <v>100</v>
      </c>
      <c r="I105" t="s">
        <v>184</v>
      </c>
      <c r="J105" t="s">
        <v>189</v>
      </c>
      <c r="K105" t="s">
        <v>98</v>
      </c>
      <c r="L105">
        <v>0</v>
      </c>
      <c r="M105">
        <v>1</v>
      </c>
      <c r="N105">
        <v>2020</v>
      </c>
      <c r="O105">
        <v>15.579764908323551</v>
      </c>
      <c r="P105">
        <v>0.1</v>
      </c>
      <c r="Q105">
        <v>0.26132605341246301</v>
      </c>
      <c r="R105">
        <v>0.25867299703264102</v>
      </c>
      <c r="S105">
        <v>0.29846884272997032</v>
      </c>
      <c r="T105">
        <v>0.32632593471810112</v>
      </c>
      <c r="U105">
        <v>0.34357080118694339</v>
      </c>
      <c r="V105">
        <v>0.36081566765578649</v>
      </c>
      <c r="W105">
        <v>0.3767340059347179</v>
      </c>
      <c r="X105">
        <v>189.20394175625111</v>
      </c>
      <c r="Y105">
        <v>187.78135572800869</v>
      </c>
      <c r="Z105">
        <v>191.3378207986149</v>
      </c>
      <c r="AA105">
        <v>199.87333696806979</v>
      </c>
      <c r="AB105">
        <v>199.16204395394851</v>
      </c>
      <c r="AC105">
        <v>198.4507509398272</v>
      </c>
      <c r="AD105">
        <v>197.7394579257062</v>
      </c>
      <c r="AE105">
        <v>5.3872812690174499</v>
      </c>
      <c r="AF105">
        <v>5.3872812690174499</v>
      </c>
      <c r="AG105">
        <v>5.3872812690174499</v>
      </c>
      <c r="AH105">
        <v>5.3872812690174499</v>
      </c>
      <c r="AI105">
        <v>5.3872812690174499</v>
      </c>
      <c r="AJ105">
        <v>5.3872812690174499</v>
      </c>
      <c r="AK105">
        <v>5.3872812690174499</v>
      </c>
    </row>
    <row r="106" spans="1:37" x14ac:dyDescent="0.25">
      <c r="A106" t="s">
        <v>90</v>
      </c>
      <c r="B106" t="s">
        <v>182</v>
      </c>
      <c r="C106" t="s">
        <v>183</v>
      </c>
      <c r="F106" t="s">
        <v>109</v>
      </c>
      <c r="G106" t="s">
        <v>94</v>
      </c>
      <c r="H106" t="s">
        <v>95</v>
      </c>
      <c r="I106" t="s">
        <v>184</v>
      </c>
      <c r="J106" t="s">
        <v>189</v>
      </c>
      <c r="K106" t="s">
        <v>98</v>
      </c>
      <c r="L106">
        <v>0</v>
      </c>
      <c r="M106">
        <v>1</v>
      </c>
      <c r="N106">
        <v>2020</v>
      </c>
      <c r="O106">
        <v>15.579764908323551</v>
      </c>
      <c r="P106">
        <v>1</v>
      </c>
      <c r="Q106">
        <v>0.28785661721068262</v>
      </c>
      <c r="R106">
        <v>0.28918314540059342</v>
      </c>
      <c r="S106">
        <v>0.32101982195845707</v>
      </c>
      <c r="T106">
        <v>0.35152997032640948</v>
      </c>
      <c r="U106">
        <v>0.37010136498516299</v>
      </c>
      <c r="V106">
        <v>0.38999928783382759</v>
      </c>
      <c r="W106">
        <v>0.40857068249258138</v>
      </c>
      <c r="X106">
        <v>196.31687189746339</v>
      </c>
      <c r="Y106">
        <v>194.18299285509971</v>
      </c>
      <c r="Z106">
        <v>197.7394579257062</v>
      </c>
      <c r="AA106">
        <v>205.56368108103959</v>
      </c>
      <c r="AB106">
        <v>204.85238806691851</v>
      </c>
      <c r="AC106">
        <v>204.14109505279731</v>
      </c>
      <c r="AD106">
        <v>203.4298020386758</v>
      </c>
      <c r="AE106">
        <v>5.3872812690174499</v>
      </c>
      <c r="AF106">
        <v>5.3872812690174499</v>
      </c>
      <c r="AG106">
        <v>5.3872812690174499</v>
      </c>
      <c r="AH106">
        <v>5.3872812690174499</v>
      </c>
      <c r="AI106">
        <v>5.3872812690174499</v>
      </c>
      <c r="AJ106">
        <v>5.3872812690174499</v>
      </c>
      <c r="AK106">
        <v>5.3872812690174499</v>
      </c>
    </row>
    <row r="107" spans="1:37" x14ac:dyDescent="0.25">
      <c r="A107" t="s">
        <v>90</v>
      </c>
      <c r="B107" t="s">
        <v>182</v>
      </c>
      <c r="C107" t="s">
        <v>183</v>
      </c>
      <c r="F107" t="s">
        <v>109</v>
      </c>
      <c r="G107" t="s">
        <v>99</v>
      </c>
      <c r="H107" t="s">
        <v>100</v>
      </c>
      <c r="I107" t="s">
        <v>184</v>
      </c>
      <c r="J107" t="s">
        <v>189</v>
      </c>
      <c r="K107" t="s">
        <v>98</v>
      </c>
      <c r="L107">
        <v>0</v>
      </c>
      <c r="M107">
        <v>1</v>
      </c>
      <c r="N107">
        <v>2020</v>
      </c>
      <c r="O107">
        <v>15.579764908323551</v>
      </c>
      <c r="P107">
        <v>0.1</v>
      </c>
      <c r="Q107">
        <v>0.28785661721068262</v>
      </c>
      <c r="R107">
        <v>0.28918314540059342</v>
      </c>
      <c r="S107">
        <v>0.32101982195845707</v>
      </c>
      <c r="T107">
        <v>0.35152997032640948</v>
      </c>
      <c r="U107">
        <v>0.37010136498516299</v>
      </c>
      <c r="V107">
        <v>0.38999928783382759</v>
      </c>
      <c r="W107">
        <v>0.40857068249258138</v>
      </c>
      <c r="X107">
        <v>196.31687189746339</v>
      </c>
      <c r="Y107">
        <v>194.18299285509971</v>
      </c>
      <c r="Z107">
        <v>197.7394579257062</v>
      </c>
      <c r="AA107">
        <v>205.56368108103959</v>
      </c>
      <c r="AB107">
        <v>204.85238806691851</v>
      </c>
      <c r="AC107">
        <v>204.14109505279731</v>
      </c>
      <c r="AD107">
        <v>203.4298020386758</v>
      </c>
      <c r="AE107">
        <v>5.3872812690174499</v>
      </c>
      <c r="AF107">
        <v>5.3872812690174499</v>
      </c>
      <c r="AG107">
        <v>5.3872812690174499</v>
      </c>
      <c r="AH107">
        <v>5.3872812690174499</v>
      </c>
      <c r="AI107">
        <v>5.3872812690174499</v>
      </c>
      <c r="AJ107">
        <v>5.3872812690174499</v>
      </c>
      <c r="AK107">
        <v>5.3872812690174499</v>
      </c>
    </row>
    <row r="108" spans="1:37" x14ac:dyDescent="0.25">
      <c r="A108" t="s">
        <v>90</v>
      </c>
      <c r="B108" t="s">
        <v>182</v>
      </c>
      <c r="C108" t="s">
        <v>183</v>
      </c>
      <c r="F108" t="s">
        <v>110</v>
      </c>
      <c r="G108" t="s">
        <v>94</v>
      </c>
      <c r="H108" t="s">
        <v>95</v>
      </c>
      <c r="I108" t="s">
        <v>184</v>
      </c>
      <c r="J108" t="s">
        <v>190</v>
      </c>
      <c r="K108" t="s">
        <v>98</v>
      </c>
      <c r="L108">
        <v>1</v>
      </c>
      <c r="M108">
        <v>1</v>
      </c>
      <c r="N108">
        <v>2020</v>
      </c>
      <c r="O108">
        <v>15.579764908323551</v>
      </c>
      <c r="P108">
        <v>1</v>
      </c>
      <c r="Q108">
        <v>0.40989721068249241</v>
      </c>
      <c r="R108">
        <v>0.42183596439169119</v>
      </c>
      <c r="S108">
        <v>0.43377471810089052</v>
      </c>
      <c r="T108">
        <v>0.46030528189911002</v>
      </c>
      <c r="U108">
        <v>0.48285626112759639</v>
      </c>
      <c r="V108">
        <v>0.50408071216617212</v>
      </c>
      <c r="W108">
        <v>0.52663169139465904</v>
      </c>
      <c r="X108">
        <v>229.03635054704071</v>
      </c>
      <c r="Y108">
        <v>219.07824834934331</v>
      </c>
      <c r="Z108">
        <v>211.2540251940097</v>
      </c>
      <c r="AA108">
        <v>206.98626710928241</v>
      </c>
      <c r="AB108">
        <v>203.4298020386758</v>
      </c>
      <c r="AC108">
        <v>200.58462998219099</v>
      </c>
      <c r="AD108">
        <v>197.7394579257062</v>
      </c>
      <c r="AE108">
        <v>5.3872812690174499</v>
      </c>
      <c r="AF108">
        <v>5.3872812690174499</v>
      </c>
      <c r="AG108">
        <v>5.3872812690174499</v>
      </c>
      <c r="AH108">
        <v>5.3872812690174499</v>
      </c>
      <c r="AI108">
        <v>5.3872812690174499</v>
      </c>
      <c r="AJ108">
        <v>5.3872812690174499</v>
      </c>
      <c r="AK108">
        <v>5.3872812690174499</v>
      </c>
    </row>
    <row r="109" spans="1:37" x14ac:dyDescent="0.25">
      <c r="A109" t="s">
        <v>90</v>
      </c>
      <c r="B109" t="s">
        <v>182</v>
      </c>
      <c r="C109" t="s">
        <v>183</v>
      </c>
      <c r="F109" t="s">
        <v>110</v>
      </c>
      <c r="G109" t="s">
        <v>99</v>
      </c>
      <c r="H109" t="s">
        <v>100</v>
      </c>
      <c r="I109" t="s">
        <v>184</v>
      </c>
      <c r="J109" t="s">
        <v>190</v>
      </c>
      <c r="K109" t="s">
        <v>98</v>
      </c>
      <c r="L109">
        <v>0</v>
      </c>
      <c r="M109">
        <v>1</v>
      </c>
      <c r="N109">
        <v>2020</v>
      </c>
      <c r="O109">
        <v>15.579764908323551</v>
      </c>
      <c r="P109">
        <v>0.1</v>
      </c>
      <c r="Q109">
        <v>0.40989721068249241</v>
      </c>
      <c r="R109">
        <v>0.42183596439169119</v>
      </c>
      <c r="S109">
        <v>0.43377471810089052</v>
      </c>
      <c r="T109">
        <v>0.46030528189911002</v>
      </c>
      <c r="U109">
        <v>0.48285626112759639</v>
      </c>
      <c r="V109">
        <v>0.50408071216617212</v>
      </c>
      <c r="W109">
        <v>0.52663169139465904</v>
      </c>
      <c r="X109">
        <v>229.03635054704071</v>
      </c>
      <c r="Y109">
        <v>219.07824834934331</v>
      </c>
      <c r="Z109">
        <v>211.2540251940097</v>
      </c>
      <c r="AA109">
        <v>206.98626710928241</v>
      </c>
      <c r="AB109">
        <v>203.4298020386758</v>
      </c>
      <c r="AC109">
        <v>200.58462998219099</v>
      </c>
      <c r="AD109">
        <v>197.7394579257062</v>
      </c>
      <c r="AE109">
        <v>5.3872812690174499</v>
      </c>
      <c r="AF109">
        <v>5.3872812690174499</v>
      </c>
      <c r="AG109">
        <v>5.3872812690174499</v>
      </c>
      <c r="AH109">
        <v>5.3872812690174499</v>
      </c>
      <c r="AI109">
        <v>5.3872812690174499</v>
      </c>
      <c r="AJ109">
        <v>5.3872812690174499</v>
      </c>
      <c r="AK109">
        <v>5.3872812690174499</v>
      </c>
    </row>
    <row r="110" spans="1:37" x14ac:dyDescent="0.25">
      <c r="A110" t="s">
        <v>90</v>
      </c>
      <c r="B110" t="s">
        <v>182</v>
      </c>
      <c r="C110" t="s">
        <v>183</v>
      </c>
      <c r="F110" t="s">
        <v>112</v>
      </c>
      <c r="G110" t="s">
        <v>94</v>
      </c>
      <c r="H110" t="s">
        <v>95</v>
      </c>
      <c r="I110" t="s">
        <v>184</v>
      </c>
      <c r="J110" t="s">
        <v>191</v>
      </c>
      <c r="K110" t="s">
        <v>98</v>
      </c>
      <c r="L110">
        <v>1</v>
      </c>
      <c r="M110">
        <v>1</v>
      </c>
      <c r="N110">
        <v>2020</v>
      </c>
      <c r="O110">
        <v>15.579764908323551</v>
      </c>
      <c r="P110">
        <v>0.80278884462151479</v>
      </c>
      <c r="Q110">
        <v>0.54122350148367893</v>
      </c>
      <c r="R110">
        <v>0.5651010089020797</v>
      </c>
      <c r="S110">
        <v>0.57571323442136235</v>
      </c>
      <c r="T110">
        <v>0.62479477744807399</v>
      </c>
      <c r="U110">
        <v>0.65132534124629371</v>
      </c>
      <c r="V110">
        <v>0.67785590504451332</v>
      </c>
      <c r="W110">
        <v>0.70438646884273293</v>
      </c>
      <c r="X110">
        <v>243.97350384358839</v>
      </c>
      <c r="Y110">
        <v>226.902471504678</v>
      </c>
      <c r="Z110">
        <v>214.81049026461639</v>
      </c>
      <c r="AA110">
        <v>209.1201461516448</v>
      </c>
      <c r="AB110">
        <v>206.27497409516101</v>
      </c>
      <c r="AC110">
        <v>203.42980203867671</v>
      </c>
      <c r="AD110">
        <v>200.5846299821896</v>
      </c>
      <c r="AE110">
        <v>5.0676967869571161</v>
      </c>
      <c r="AF110">
        <v>5.0676967869571161</v>
      </c>
      <c r="AG110">
        <v>5.0676967869571161</v>
      </c>
      <c r="AH110">
        <v>5.0676967869571161</v>
      </c>
      <c r="AI110">
        <v>5.0676967869571161</v>
      </c>
      <c r="AJ110">
        <v>5.0676967869571161</v>
      </c>
      <c r="AK110">
        <v>5.0676967869571161</v>
      </c>
    </row>
    <row r="111" spans="1:37" x14ac:dyDescent="0.25">
      <c r="A111" t="s">
        <v>90</v>
      </c>
      <c r="B111" t="s">
        <v>182</v>
      </c>
      <c r="C111" t="s">
        <v>183</v>
      </c>
      <c r="F111" t="s">
        <v>112</v>
      </c>
      <c r="G111" t="s">
        <v>99</v>
      </c>
      <c r="H111" t="s">
        <v>100</v>
      </c>
      <c r="I111" t="s">
        <v>184</v>
      </c>
      <c r="J111" t="s">
        <v>191</v>
      </c>
      <c r="K111" t="s">
        <v>98</v>
      </c>
      <c r="L111">
        <v>0</v>
      </c>
      <c r="M111">
        <v>1</v>
      </c>
      <c r="N111">
        <v>2020</v>
      </c>
      <c r="O111">
        <v>15.579764908323551</v>
      </c>
      <c r="P111">
        <v>0.1</v>
      </c>
      <c r="Q111">
        <v>0.54122350148367893</v>
      </c>
      <c r="R111">
        <v>0.5651010089020797</v>
      </c>
      <c r="S111">
        <v>0.57571323442136235</v>
      </c>
      <c r="T111">
        <v>0.62479477744807399</v>
      </c>
      <c r="U111">
        <v>0.65132534124629371</v>
      </c>
      <c r="V111">
        <v>0.67785590504451332</v>
      </c>
      <c r="W111">
        <v>0.70438646884273293</v>
      </c>
      <c r="X111">
        <v>243.97350384358839</v>
      </c>
      <c r="Y111">
        <v>226.902471504678</v>
      </c>
      <c r="Z111">
        <v>214.81049026461639</v>
      </c>
      <c r="AA111">
        <v>209.1201461516448</v>
      </c>
      <c r="AB111">
        <v>206.27497409516101</v>
      </c>
      <c r="AC111">
        <v>203.42980203867671</v>
      </c>
      <c r="AD111">
        <v>200.5846299821896</v>
      </c>
      <c r="AE111">
        <v>5.0676967869571161</v>
      </c>
      <c r="AF111">
        <v>5.0676967869571161</v>
      </c>
      <c r="AG111">
        <v>5.0676967869571161</v>
      </c>
      <c r="AH111">
        <v>5.0676967869571161</v>
      </c>
      <c r="AI111">
        <v>5.0676967869571161</v>
      </c>
      <c r="AJ111">
        <v>5.0676967869571161</v>
      </c>
      <c r="AK111">
        <v>5.0676967869571161</v>
      </c>
    </row>
    <row r="112" spans="1:37" x14ac:dyDescent="0.25">
      <c r="A112" t="s">
        <v>90</v>
      </c>
      <c r="B112" t="s">
        <v>182</v>
      </c>
      <c r="C112" t="s">
        <v>183</v>
      </c>
      <c r="F112" t="s">
        <v>112</v>
      </c>
      <c r="G112" t="s">
        <v>114</v>
      </c>
      <c r="H112" t="s">
        <v>115</v>
      </c>
      <c r="I112" t="s">
        <v>184</v>
      </c>
      <c r="J112" t="s">
        <v>191</v>
      </c>
      <c r="K112" t="s">
        <v>98</v>
      </c>
      <c r="L112">
        <v>0</v>
      </c>
      <c r="M112">
        <v>1</v>
      </c>
      <c r="N112">
        <v>2020</v>
      </c>
      <c r="O112">
        <v>15.579764908323551</v>
      </c>
      <c r="P112">
        <v>0.1972111553784853</v>
      </c>
      <c r="Q112">
        <v>0.54122350148367893</v>
      </c>
      <c r="R112">
        <v>0.5651010089020797</v>
      </c>
      <c r="S112">
        <v>0.57571323442136235</v>
      </c>
      <c r="T112">
        <v>0.62479477744807399</v>
      </c>
      <c r="U112">
        <v>0.65132534124629371</v>
      </c>
      <c r="V112">
        <v>0.67785590504451332</v>
      </c>
      <c r="W112">
        <v>0.70438646884273293</v>
      </c>
      <c r="X112">
        <v>243.97350384358839</v>
      </c>
      <c r="Y112">
        <v>226.902471504678</v>
      </c>
      <c r="Z112">
        <v>214.81049026461639</v>
      </c>
      <c r="AA112">
        <v>209.1201461516448</v>
      </c>
      <c r="AB112">
        <v>206.27497409516101</v>
      </c>
      <c r="AC112">
        <v>203.42980203867671</v>
      </c>
      <c r="AD112">
        <v>200.5846299821896</v>
      </c>
      <c r="AE112">
        <v>5.0676967869571161</v>
      </c>
      <c r="AF112">
        <v>5.0676967869571161</v>
      </c>
      <c r="AG112">
        <v>5.0676967869571161</v>
      </c>
      <c r="AH112">
        <v>5.0676967869571161</v>
      </c>
      <c r="AI112">
        <v>5.0676967869571161</v>
      </c>
      <c r="AJ112">
        <v>5.0676967869571161</v>
      </c>
      <c r="AK112">
        <v>5.0676967869571161</v>
      </c>
    </row>
    <row r="113" spans="1:37" x14ac:dyDescent="0.25">
      <c r="A113" t="s">
        <v>90</v>
      </c>
      <c r="B113" t="s">
        <v>182</v>
      </c>
      <c r="C113" t="s">
        <v>183</v>
      </c>
      <c r="F113" t="s">
        <v>116</v>
      </c>
      <c r="G113" t="s">
        <v>94</v>
      </c>
      <c r="H113" t="s">
        <v>95</v>
      </c>
      <c r="I113" t="s">
        <v>184</v>
      </c>
      <c r="J113" t="s">
        <v>192</v>
      </c>
      <c r="K113" t="s">
        <v>98</v>
      </c>
      <c r="L113">
        <v>1</v>
      </c>
      <c r="M113">
        <v>1</v>
      </c>
      <c r="N113">
        <v>2020</v>
      </c>
      <c r="O113">
        <v>15.579764908323551</v>
      </c>
      <c r="P113">
        <v>0.6035856573705215</v>
      </c>
      <c r="Q113">
        <v>0.67387632047477508</v>
      </c>
      <c r="R113">
        <v>0.711019109792288</v>
      </c>
      <c r="S113">
        <v>0.72561091988130844</v>
      </c>
      <c r="T113">
        <v>0.78795774480711844</v>
      </c>
      <c r="U113">
        <v>0.82244747774480709</v>
      </c>
      <c r="V113">
        <v>0.85561068249258154</v>
      </c>
      <c r="W113">
        <v>0.89142694362018204</v>
      </c>
      <c r="X113">
        <v>270.29134536607239</v>
      </c>
      <c r="Y113">
        <v>246.10738288595039</v>
      </c>
      <c r="Z113">
        <v>226.902471504678</v>
      </c>
      <c r="AA113">
        <v>216.94436930698029</v>
      </c>
      <c r="AB113">
        <v>212.67661122225249</v>
      </c>
      <c r="AC113">
        <v>208.40885313752489</v>
      </c>
      <c r="AD113">
        <v>204.14109505279731</v>
      </c>
      <c r="AE113">
        <v>5.0676967869571161</v>
      </c>
      <c r="AF113">
        <v>5.0676967869571161</v>
      </c>
      <c r="AG113">
        <v>5.0676967869571161</v>
      </c>
      <c r="AH113">
        <v>5.0676967869571161</v>
      </c>
      <c r="AI113">
        <v>5.0676967869571161</v>
      </c>
      <c r="AJ113">
        <v>5.0676967869571161</v>
      </c>
      <c r="AK113">
        <v>5.0676967869571161</v>
      </c>
    </row>
    <row r="114" spans="1:37" x14ac:dyDescent="0.25">
      <c r="A114" t="s">
        <v>90</v>
      </c>
      <c r="B114" t="s">
        <v>182</v>
      </c>
      <c r="C114" t="s">
        <v>183</v>
      </c>
      <c r="F114" t="s">
        <v>116</v>
      </c>
      <c r="G114" t="s">
        <v>99</v>
      </c>
      <c r="H114" t="s">
        <v>100</v>
      </c>
      <c r="I114" t="s">
        <v>184</v>
      </c>
      <c r="J114" t="s">
        <v>192</v>
      </c>
      <c r="K114" t="s">
        <v>98</v>
      </c>
      <c r="L114">
        <v>0</v>
      </c>
      <c r="M114">
        <v>1</v>
      </c>
      <c r="N114">
        <v>2020</v>
      </c>
      <c r="O114">
        <v>15.579764908323551</v>
      </c>
      <c r="P114">
        <v>0.1</v>
      </c>
      <c r="Q114">
        <v>0.67387632047477508</v>
      </c>
      <c r="R114">
        <v>0.711019109792288</v>
      </c>
      <c r="S114">
        <v>0.72561091988130844</v>
      </c>
      <c r="T114">
        <v>0.78795774480711844</v>
      </c>
      <c r="U114">
        <v>0.82244747774480709</v>
      </c>
      <c r="V114">
        <v>0.85561068249258154</v>
      </c>
      <c r="W114">
        <v>0.89142694362018204</v>
      </c>
      <c r="X114">
        <v>270.29134536607239</v>
      </c>
      <c r="Y114">
        <v>246.10738288595039</v>
      </c>
      <c r="Z114">
        <v>226.902471504678</v>
      </c>
      <c r="AA114">
        <v>216.94436930698029</v>
      </c>
      <c r="AB114">
        <v>212.67661122225249</v>
      </c>
      <c r="AC114">
        <v>208.40885313752489</v>
      </c>
      <c r="AD114">
        <v>204.14109505279731</v>
      </c>
      <c r="AE114">
        <v>5.0676967869571161</v>
      </c>
      <c r="AF114">
        <v>5.0676967869571161</v>
      </c>
      <c r="AG114">
        <v>5.0676967869571161</v>
      </c>
      <c r="AH114">
        <v>5.0676967869571161</v>
      </c>
      <c r="AI114">
        <v>5.0676967869571161</v>
      </c>
      <c r="AJ114">
        <v>5.0676967869571161</v>
      </c>
      <c r="AK114">
        <v>5.0676967869571161</v>
      </c>
    </row>
    <row r="115" spans="1:37" x14ac:dyDescent="0.25">
      <c r="A115" t="s">
        <v>90</v>
      </c>
      <c r="B115" t="s">
        <v>182</v>
      </c>
      <c r="C115" t="s">
        <v>183</v>
      </c>
      <c r="F115" t="s">
        <v>116</v>
      </c>
      <c r="G115" t="s">
        <v>114</v>
      </c>
      <c r="H115" t="s">
        <v>115</v>
      </c>
      <c r="I115" t="s">
        <v>184</v>
      </c>
      <c r="J115" t="s">
        <v>192</v>
      </c>
      <c r="K115" t="s">
        <v>98</v>
      </c>
      <c r="L115">
        <v>0</v>
      </c>
      <c r="M115">
        <v>1</v>
      </c>
      <c r="N115">
        <v>2020</v>
      </c>
      <c r="O115">
        <v>15.579764908323551</v>
      </c>
      <c r="P115">
        <v>0.3964143426294785</v>
      </c>
      <c r="Q115">
        <v>0.67387632047477508</v>
      </c>
      <c r="R115">
        <v>0.711019109792288</v>
      </c>
      <c r="S115">
        <v>0.72561091988130844</v>
      </c>
      <c r="T115">
        <v>0.78795774480711844</v>
      </c>
      <c r="U115">
        <v>0.82244747774480709</v>
      </c>
      <c r="V115">
        <v>0.85561068249258154</v>
      </c>
      <c r="W115">
        <v>0.89142694362018204</v>
      </c>
      <c r="X115">
        <v>270.29134536607239</v>
      </c>
      <c r="Y115">
        <v>246.10738288595039</v>
      </c>
      <c r="Z115">
        <v>226.902471504678</v>
      </c>
      <c r="AA115">
        <v>216.94436930698029</v>
      </c>
      <c r="AB115">
        <v>212.67661122225249</v>
      </c>
      <c r="AC115">
        <v>208.40885313752489</v>
      </c>
      <c r="AD115">
        <v>204.14109505279731</v>
      </c>
      <c r="AE115">
        <v>5.0676967869571161</v>
      </c>
      <c r="AF115">
        <v>5.0676967869571161</v>
      </c>
      <c r="AG115">
        <v>5.0676967869571161</v>
      </c>
      <c r="AH115">
        <v>5.0676967869571161</v>
      </c>
      <c r="AI115">
        <v>5.0676967869571161</v>
      </c>
      <c r="AJ115">
        <v>5.0676967869571161</v>
      </c>
      <c r="AK115">
        <v>5.0676967869571161</v>
      </c>
    </row>
    <row r="116" spans="1:37" x14ac:dyDescent="0.25">
      <c r="A116" t="s">
        <v>90</v>
      </c>
      <c r="B116" t="s">
        <v>182</v>
      </c>
      <c r="C116" t="s">
        <v>183</v>
      </c>
      <c r="F116" t="s">
        <v>118</v>
      </c>
      <c r="G116" t="s">
        <v>119</v>
      </c>
      <c r="H116" t="s">
        <v>120</v>
      </c>
      <c r="I116" t="s">
        <v>184</v>
      </c>
      <c r="J116" t="s">
        <v>193</v>
      </c>
      <c r="K116" t="s">
        <v>98</v>
      </c>
      <c r="L116">
        <v>1</v>
      </c>
      <c r="M116">
        <v>1</v>
      </c>
      <c r="N116">
        <v>2020</v>
      </c>
      <c r="O116">
        <v>15.579764908323551</v>
      </c>
      <c r="P116">
        <v>1</v>
      </c>
      <c r="Q116">
        <v>0.30510148367952522</v>
      </c>
      <c r="R116">
        <v>0.30112189910979231</v>
      </c>
      <c r="S116">
        <v>0.34489732937685458</v>
      </c>
      <c r="T116">
        <v>0.37673400593471812</v>
      </c>
      <c r="U116">
        <v>0.39530540059347191</v>
      </c>
      <c r="V116">
        <v>0.41520332344213662</v>
      </c>
      <c r="W116">
        <v>0.43377471810089008</v>
      </c>
      <c r="X116">
        <v>220.50083437758579</v>
      </c>
      <c r="Y116">
        <v>217.65566232110089</v>
      </c>
      <c r="Z116">
        <v>216.23307629285841</v>
      </c>
      <c r="AA116">
        <v>216.23307629285841</v>
      </c>
      <c r="AB116">
        <v>215.5217832787371</v>
      </c>
      <c r="AC116">
        <v>215.5217832787371</v>
      </c>
      <c r="AD116">
        <v>214.81049026461591</v>
      </c>
      <c r="AE116">
        <v>5.6155558990605661</v>
      </c>
      <c r="AF116">
        <v>5.6155558990605661</v>
      </c>
      <c r="AG116">
        <v>5.6155558990605661</v>
      </c>
      <c r="AH116">
        <v>5.6155558990605661</v>
      </c>
      <c r="AI116">
        <v>5.6155558990605661</v>
      </c>
      <c r="AJ116">
        <v>5.6155558990605661</v>
      </c>
      <c r="AK116">
        <v>5.6155558990605661</v>
      </c>
    </row>
    <row r="117" spans="1:37" x14ac:dyDescent="0.25">
      <c r="A117" t="s">
        <v>90</v>
      </c>
      <c r="B117" t="s">
        <v>182</v>
      </c>
      <c r="C117" t="s">
        <v>183</v>
      </c>
      <c r="F117" t="s">
        <v>118</v>
      </c>
      <c r="G117" t="s">
        <v>122</v>
      </c>
      <c r="H117" t="s">
        <v>123</v>
      </c>
      <c r="I117" t="s">
        <v>184</v>
      </c>
      <c r="J117" t="s">
        <v>193</v>
      </c>
      <c r="K117" t="s">
        <v>98</v>
      </c>
      <c r="L117">
        <v>0</v>
      </c>
      <c r="M117">
        <v>1</v>
      </c>
      <c r="N117">
        <v>2020</v>
      </c>
      <c r="O117">
        <v>15.579764908323551</v>
      </c>
      <c r="P117">
        <v>1</v>
      </c>
      <c r="Q117">
        <v>0.30510148367952522</v>
      </c>
      <c r="R117">
        <v>0.30112189910979231</v>
      </c>
      <c r="S117">
        <v>0.34489732937685458</v>
      </c>
      <c r="T117">
        <v>0.37673400593471812</v>
      </c>
      <c r="U117">
        <v>0.39530540059347191</v>
      </c>
      <c r="V117">
        <v>0.41520332344213662</v>
      </c>
      <c r="W117">
        <v>0.43377471810089008</v>
      </c>
      <c r="X117">
        <v>220.50083437758579</v>
      </c>
      <c r="Y117">
        <v>217.65566232110089</v>
      </c>
      <c r="Z117">
        <v>216.23307629285841</v>
      </c>
      <c r="AA117">
        <v>216.23307629285841</v>
      </c>
      <c r="AB117">
        <v>215.5217832787371</v>
      </c>
      <c r="AC117">
        <v>215.5217832787371</v>
      </c>
      <c r="AD117">
        <v>214.81049026461591</v>
      </c>
      <c r="AE117">
        <v>5.6155558990605661</v>
      </c>
      <c r="AF117">
        <v>5.6155558990605661</v>
      </c>
      <c r="AG117">
        <v>5.6155558990605661</v>
      </c>
      <c r="AH117">
        <v>5.6155558990605661</v>
      </c>
      <c r="AI117">
        <v>5.6155558990605661</v>
      </c>
      <c r="AJ117">
        <v>5.6155558990605661</v>
      </c>
      <c r="AK117">
        <v>5.6155558990605661</v>
      </c>
    </row>
    <row r="118" spans="1:37" x14ac:dyDescent="0.25">
      <c r="A118" t="s">
        <v>90</v>
      </c>
      <c r="B118" t="s">
        <v>182</v>
      </c>
      <c r="C118" t="s">
        <v>183</v>
      </c>
      <c r="F118" t="s">
        <v>118</v>
      </c>
      <c r="G118" t="s">
        <v>124</v>
      </c>
      <c r="H118" t="s">
        <v>125</v>
      </c>
      <c r="I118" t="s">
        <v>184</v>
      </c>
      <c r="J118" t="s">
        <v>193</v>
      </c>
      <c r="K118" t="s">
        <v>98</v>
      </c>
      <c r="L118">
        <v>0</v>
      </c>
      <c r="M118">
        <v>1</v>
      </c>
      <c r="N118">
        <v>2020</v>
      </c>
      <c r="O118">
        <v>15.579764908323551</v>
      </c>
      <c r="P118">
        <v>0.1</v>
      </c>
      <c r="Q118">
        <v>0.30510148367952522</v>
      </c>
      <c r="R118">
        <v>0.30112189910979231</v>
      </c>
      <c r="S118">
        <v>0.34489732937685458</v>
      </c>
      <c r="T118">
        <v>0.37673400593471812</v>
      </c>
      <c r="U118">
        <v>0.39530540059347191</v>
      </c>
      <c r="V118">
        <v>0.41520332344213662</v>
      </c>
      <c r="W118">
        <v>0.43377471810089008</v>
      </c>
      <c r="X118">
        <v>220.50083437758579</v>
      </c>
      <c r="Y118">
        <v>217.65566232110089</v>
      </c>
      <c r="Z118">
        <v>216.23307629285841</v>
      </c>
      <c r="AA118">
        <v>216.23307629285841</v>
      </c>
      <c r="AB118">
        <v>215.5217832787371</v>
      </c>
      <c r="AC118">
        <v>215.5217832787371</v>
      </c>
      <c r="AD118">
        <v>214.81049026461591</v>
      </c>
      <c r="AE118">
        <v>5.6155558990605661</v>
      </c>
      <c r="AF118">
        <v>5.6155558990605661</v>
      </c>
      <c r="AG118">
        <v>5.6155558990605661</v>
      </c>
      <c r="AH118">
        <v>5.6155558990605661</v>
      </c>
      <c r="AI118">
        <v>5.6155558990605661</v>
      </c>
      <c r="AJ118">
        <v>5.6155558990605661</v>
      </c>
      <c r="AK118">
        <v>5.6155558990605661</v>
      </c>
    </row>
    <row r="119" spans="1:37" x14ac:dyDescent="0.25">
      <c r="A119" t="s">
        <v>90</v>
      </c>
      <c r="B119" t="s">
        <v>182</v>
      </c>
      <c r="C119" t="s">
        <v>183</v>
      </c>
      <c r="F119" t="s">
        <v>126</v>
      </c>
      <c r="G119" t="s">
        <v>127</v>
      </c>
      <c r="H119" t="s">
        <v>128</v>
      </c>
      <c r="I119" t="s">
        <v>184</v>
      </c>
      <c r="J119" t="s">
        <v>194</v>
      </c>
      <c r="K119" t="s">
        <v>98</v>
      </c>
      <c r="L119">
        <v>1</v>
      </c>
      <c r="M119">
        <v>1</v>
      </c>
      <c r="N119">
        <v>2020</v>
      </c>
      <c r="O119">
        <v>15.579764908323551</v>
      </c>
      <c r="P119">
        <v>1</v>
      </c>
      <c r="Q119">
        <v>0.25071382789317498</v>
      </c>
      <c r="R119">
        <v>0.27193827893175071</v>
      </c>
      <c r="S119">
        <v>0.30244842729970328</v>
      </c>
      <c r="T119">
        <v>0.32499940652818993</v>
      </c>
      <c r="U119">
        <v>0.34091774480712173</v>
      </c>
      <c r="V119">
        <v>0.35683608308605341</v>
      </c>
      <c r="W119">
        <v>0.37275442136498521</v>
      </c>
      <c r="X119">
        <v>227.61376451879829</v>
      </c>
      <c r="Y119">
        <v>225.47988547643459</v>
      </c>
      <c r="Z119">
        <v>224.76859246231331</v>
      </c>
      <c r="AA119">
        <v>224.05729944819211</v>
      </c>
      <c r="AB119">
        <v>224.05729944819211</v>
      </c>
      <c r="AC119">
        <v>224.05729944819211</v>
      </c>
      <c r="AD119">
        <v>223.3460064340708</v>
      </c>
      <c r="AE119">
        <v>5.6155558990605661</v>
      </c>
      <c r="AF119">
        <v>5.6155558990605661</v>
      </c>
      <c r="AG119">
        <v>5.6155558990605661</v>
      </c>
      <c r="AH119">
        <v>5.6155558990605661</v>
      </c>
      <c r="AI119">
        <v>5.6155558990605661</v>
      </c>
      <c r="AJ119">
        <v>5.6155558990605661</v>
      </c>
      <c r="AK119">
        <v>5.6155558990605661</v>
      </c>
    </row>
    <row r="120" spans="1:37" x14ac:dyDescent="0.25">
      <c r="A120" t="s">
        <v>90</v>
      </c>
      <c r="B120" t="s">
        <v>182</v>
      </c>
      <c r="C120" t="s">
        <v>183</v>
      </c>
      <c r="F120" t="s">
        <v>126</v>
      </c>
      <c r="G120" t="s">
        <v>130</v>
      </c>
      <c r="H120" t="s">
        <v>131</v>
      </c>
      <c r="I120" t="s">
        <v>184</v>
      </c>
      <c r="J120" t="s">
        <v>194</v>
      </c>
      <c r="K120" t="s">
        <v>98</v>
      </c>
      <c r="L120">
        <v>0</v>
      </c>
      <c r="M120">
        <v>1</v>
      </c>
      <c r="N120">
        <v>2020</v>
      </c>
      <c r="O120">
        <v>15.579764908323551</v>
      </c>
      <c r="P120">
        <v>1</v>
      </c>
      <c r="Q120">
        <v>0.25071382789317498</v>
      </c>
      <c r="R120">
        <v>0.27193827893175071</v>
      </c>
      <c r="S120">
        <v>0.30244842729970328</v>
      </c>
      <c r="T120">
        <v>0.32499940652818993</v>
      </c>
      <c r="U120">
        <v>0.34091774480712173</v>
      </c>
      <c r="V120">
        <v>0.35683608308605341</v>
      </c>
      <c r="W120">
        <v>0.37275442136498521</v>
      </c>
      <c r="X120">
        <v>227.61376451879829</v>
      </c>
      <c r="Y120">
        <v>225.47988547643459</v>
      </c>
      <c r="Z120">
        <v>224.76859246231331</v>
      </c>
      <c r="AA120">
        <v>224.05729944819211</v>
      </c>
      <c r="AB120">
        <v>224.05729944819211</v>
      </c>
      <c r="AC120">
        <v>224.05729944819211</v>
      </c>
      <c r="AD120">
        <v>223.3460064340708</v>
      </c>
      <c r="AE120">
        <v>5.6155558990605661</v>
      </c>
      <c r="AF120">
        <v>5.6155558990605661</v>
      </c>
      <c r="AG120">
        <v>5.6155558990605661</v>
      </c>
      <c r="AH120">
        <v>5.6155558990605661</v>
      </c>
      <c r="AI120">
        <v>5.6155558990605661</v>
      </c>
      <c r="AJ120">
        <v>5.6155558990605661</v>
      </c>
      <c r="AK120">
        <v>5.6155558990605661</v>
      </c>
    </row>
    <row r="121" spans="1:37" x14ac:dyDescent="0.25">
      <c r="A121" t="s">
        <v>90</v>
      </c>
      <c r="B121" t="s">
        <v>182</v>
      </c>
      <c r="C121" t="s">
        <v>183</v>
      </c>
      <c r="F121" t="s">
        <v>132</v>
      </c>
      <c r="G121" t="s">
        <v>133</v>
      </c>
      <c r="H121" t="s">
        <v>134</v>
      </c>
      <c r="I121" t="s">
        <v>184</v>
      </c>
      <c r="J121" t="s">
        <v>195</v>
      </c>
      <c r="K121" t="s">
        <v>98</v>
      </c>
      <c r="L121">
        <v>1</v>
      </c>
      <c r="M121">
        <v>1</v>
      </c>
      <c r="N121">
        <v>2020</v>
      </c>
      <c r="O121">
        <v>15.579764908323551</v>
      </c>
      <c r="P121">
        <v>1</v>
      </c>
      <c r="Q121">
        <v>0.54918267062314552</v>
      </c>
      <c r="R121">
        <v>0.56642753709198845</v>
      </c>
      <c r="S121">
        <v>0.57571323442136513</v>
      </c>
      <c r="T121">
        <v>0.61152949554896119</v>
      </c>
      <c r="U121">
        <v>0.62612130563798252</v>
      </c>
      <c r="V121">
        <v>0.64071311572700262</v>
      </c>
      <c r="W121">
        <v>0.65397839762611243</v>
      </c>
      <c r="X121">
        <v>344.26581883468242</v>
      </c>
      <c r="Y121">
        <v>313.68021922746908</v>
      </c>
      <c r="Z121">
        <v>288.07367071910397</v>
      </c>
      <c r="AA121">
        <v>257.48807111189058</v>
      </c>
      <c r="AB121">
        <v>248.95255494243551</v>
      </c>
      <c r="AC121">
        <v>241.1283317871021</v>
      </c>
      <c r="AD121">
        <v>232.59281561764701</v>
      </c>
      <c r="AE121">
        <v>4.2322116409993011</v>
      </c>
      <c r="AF121">
        <v>4.2322116409993011</v>
      </c>
      <c r="AG121">
        <v>4.2322116409993011</v>
      </c>
      <c r="AH121">
        <v>4.2322116409993011</v>
      </c>
      <c r="AI121">
        <v>4.2322116409993011</v>
      </c>
      <c r="AJ121">
        <v>4.2322116409993011</v>
      </c>
      <c r="AK121">
        <v>4.2322116409993011</v>
      </c>
    </row>
    <row r="122" spans="1:37" x14ac:dyDescent="0.25">
      <c r="A122" t="s">
        <v>90</v>
      </c>
      <c r="B122" t="s">
        <v>182</v>
      </c>
      <c r="C122" t="s">
        <v>183</v>
      </c>
      <c r="F122" t="s">
        <v>136</v>
      </c>
      <c r="G122" t="s">
        <v>133</v>
      </c>
      <c r="H122" t="s">
        <v>134</v>
      </c>
      <c r="I122" t="s">
        <v>184</v>
      </c>
      <c r="J122" t="s">
        <v>196</v>
      </c>
      <c r="K122" t="s">
        <v>98</v>
      </c>
      <c r="L122">
        <v>1</v>
      </c>
      <c r="M122">
        <v>1</v>
      </c>
      <c r="N122">
        <v>2020</v>
      </c>
      <c r="O122">
        <v>15.579764908323551</v>
      </c>
      <c r="P122">
        <v>1</v>
      </c>
      <c r="Q122">
        <v>0.54122350148367915</v>
      </c>
      <c r="R122">
        <v>0.5597948961424335</v>
      </c>
      <c r="S122">
        <v>0.56775406528189876</v>
      </c>
      <c r="T122">
        <v>0.60357032640949559</v>
      </c>
      <c r="U122">
        <v>0.61816213649851603</v>
      </c>
      <c r="V122">
        <v>0.63142741839762584</v>
      </c>
      <c r="W122">
        <v>0.64601922848664728</v>
      </c>
      <c r="X122">
        <v>356.35780007474341</v>
      </c>
      <c r="Y122">
        <v>324.34961443928739</v>
      </c>
      <c r="Z122">
        <v>298.74306593092268</v>
      </c>
      <c r="AA122">
        <v>266.73488029546672</v>
      </c>
      <c r="AB122">
        <v>258.19936412601157</v>
      </c>
      <c r="AC122">
        <v>248.95255494243551</v>
      </c>
      <c r="AD122">
        <v>240.4170387729805</v>
      </c>
      <c r="AE122">
        <v>4.2322116409993011</v>
      </c>
      <c r="AF122">
        <v>4.2322116409993011</v>
      </c>
      <c r="AG122">
        <v>4.2322116409993011</v>
      </c>
      <c r="AH122">
        <v>4.2322116409993011</v>
      </c>
      <c r="AI122">
        <v>4.2322116409993011</v>
      </c>
      <c r="AJ122">
        <v>4.2322116409993011</v>
      </c>
      <c r="AK122">
        <v>4.2322116409993011</v>
      </c>
    </row>
    <row r="123" spans="1:37" x14ac:dyDescent="0.25">
      <c r="A123" t="s">
        <v>90</v>
      </c>
      <c r="B123" t="s">
        <v>182</v>
      </c>
      <c r="C123" t="s">
        <v>183</v>
      </c>
      <c r="F123" t="s">
        <v>138</v>
      </c>
      <c r="G123" t="s">
        <v>114</v>
      </c>
      <c r="H123" t="s">
        <v>115</v>
      </c>
      <c r="I123" t="s">
        <v>184</v>
      </c>
      <c r="J123" t="s">
        <v>197</v>
      </c>
      <c r="K123" t="s">
        <v>98</v>
      </c>
      <c r="L123">
        <v>1</v>
      </c>
      <c r="M123">
        <v>1</v>
      </c>
      <c r="N123">
        <v>2020</v>
      </c>
      <c r="O123">
        <v>15.579764908323551</v>
      </c>
      <c r="P123">
        <v>1</v>
      </c>
      <c r="Q123">
        <v>1.2495895548961431</v>
      </c>
      <c r="R123">
        <v>1.307956795252226</v>
      </c>
      <c r="S123">
        <v>1.339793471810089</v>
      </c>
      <c r="T123">
        <v>1.4591810089020769</v>
      </c>
      <c r="U123">
        <v>1.5122421364985159</v>
      </c>
      <c r="V123">
        <v>1.565303264094956</v>
      </c>
      <c r="W123">
        <v>1.631629673590504</v>
      </c>
      <c r="X123">
        <v>243.97350384358691</v>
      </c>
      <c r="Y123">
        <v>226.90247150467701</v>
      </c>
      <c r="Z123">
        <v>204.1410950527972</v>
      </c>
      <c r="AA123">
        <v>189.91523477037231</v>
      </c>
      <c r="AB123">
        <v>183.51359764328109</v>
      </c>
      <c r="AC123">
        <v>177.11196051619001</v>
      </c>
      <c r="AD123">
        <v>169.99903037497739</v>
      </c>
      <c r="AE123">
        <v>4.0952468629734371</v>
      </c>
      <c r="AF123">
        <v>4.0952468629734371</v>
      </c>
      <c r="AG123">
        <v>4.0952468629734371</v>
      </c>
      <c r="AH123">
        <v>4.0952468629734371</v>
      </c>
      <c r="AI123">
        <v>4.0952468629734371</v>
      </c>
      <c r="AJ123">
        <v>4.0952468629734371</v>
      </c>
      <c r="AK123">
        <v>4.0952468629734371</v>
      </c>
    </row>
    <row r="124" spans="1:37" x14ac:dyDescent="0.25">
      <c r="A124" t="s">
        <v>90</v>
      </c>
      <c r="B124" t="s">
        <v>182</v>
      </c>
      <c r="C124" t="s">
        <v>183</v>
      </c>
      <c r="F124" t="s">
        <v>140</v>
      </c>
      <c r="G124" t="s">
        <v>114</v>
      </c>
      <c r="H124" t="s">
        <v>115</v>
      </c>
      <c r="I124" t="s">
        <v>184</v>
      </c>
      <c r="J124" t="s">
        <v>198</v>
      </c>
      <c r="K124" t="s">
        <v>98</v>
      </c>
      <c r="L124">
        <v>1</v>
      </c>
      <c r="M124">
        <v>1</v>
      </c>
      <c r="N124">
        <v>2020</v>
      </c>
      <c r="O124">
        <v>15.579764908323551</v>
      </c>
      <c r="P124">
        <v>1</v>
      </c>
      <c r="Q124">
        <v>1.196528427299703</v>
      </c>
      <c r="R124">
        <v>1.253569139465875</v>
      </c>
      <c r="S124">
        <v>1.293364985163205</v>
      </c>
      <c r="T124">
        <v>1.4193851632047481</v>
      </c>
      <c r="U124">
        <v>1.4724462908011871</v>
      </c>
      <c r="V124">
        <v>1.525507418397626</v>
      </c>
      <c r="W124">
        <v>1.591833827893175</v>
      </c>
      <c r="X124">
        <v>293.05272181795277</v>
      </c>
      <c r="Y124">
        <v>269.58005235195168</v>
      </c>
      <c r="Z124">
        <v>235.43798767413199</v>
      </c>
      <c r="AA124">
        <v>214.81049026461591</v>
      </c>
      <c r="AB124">
        <v>205.5636810810397</v>
      </c>
      <c r="AC124">
        <v>196.3168718974635</v>
      </c>
      <c r="AD124">
        <v>186.3587696997661</v>
      </c>
      <c r="AE124">
        <v>4.0952468629734371</v>
      </c>
      <c r="AF124">
        <v>4.0952468629734371</v>
      </c>
      <c r="AG124">
        <v>4.0952468629734371</v>
      </c>
      <c r="AH124">
        <v>4.0952468629734371</v>
      </c>
      <c r="AI124">
        <v>4.0952468629734371</v>
      </c>
      <c r="AJ124">
        <v>4.0952468629734371</v>
      </c>
      <c r="AK124">
        <v>4.0952468629734371</v>
      </c>
    </row>
    <row r="125" spans="1:37" x14ac:dyDescent="0.25">
      <c r="A125" t="s">
        <v>90</v>
      </c>
      <c r="B125" t="s">
        <v>182</v>
      </c>
      <c r="C125" t="s">
        <v>183</v>
      </c>
      <c r="F125" t="s">
        <v>142</v>
      </c>
      <c r="G125" t="s">
        <v>114</v>
      </c>
      <c r="H125" t="s">
        <v>115</v>
      </c>
      <c r="I125" t="s">
        <v>184</v>
      </c>
      <c r="J125" t="s">
        <v>199</v>
      </c>
      <c r="K125" t="s">
        <v>98</v>
      </c>
      <c r="L125">
        <v>1</v>
      </c>
      <c r="M125">
        <v>1</v>
      </c>
      <c r="N125">
        <v>2020</v>
      </c>
      <c r="O125">
        <v>15.579764908323551</v>
      </c>
      <c r="P125">
        <v>1</v>
      </c>
      <c r="Q125">
        <v>1.075814362017804</v>
      </c>
      <c r="R125">
        <v>1.1275489614243319</v>
      </c>
      <c r="S125">
        <v>1.1819366172106831</v>
      </c>
      <c r="T125">
        <v>1.297344569732938</v>
      </c>
      <c r="U125">
        <v>1.3530587537091989</v>
      </c>
      <c r="V125">
        <v>1.4061198813056379</v>
      </c>
      <c r="W125">
        <v>1.4591810089020769</v>
      </c>
      <c r="X125">
        <v>361.33685117359232</v>
      </c>
      <c r="Y125">
        <v>329.32866553813631</v>
      </c>
      <c r="Z125">
        <v>278.11556852140671</v>
      </c>
      <c r="AA125">
        <v>248.95255494243571</v>
      </c>
      <c r="AB125">
        <v>236.14928068825321</v>
      </c>
      <c r="AC125">
        <v>222.63471341994961</v>
      </c>
      <c r="AD125">
        <v>209.12014615164591</v>
      </c>
      <c r="AE125">
        <v>4.0952468629734371</v>
      </c>
      <c r="AF125">
        <v>4.0952468629734371</v>
      </c>
      <c r="AG125">
        <v>4.0952468629734371</v>
      </c>
      <c r="AH125">
        <v>4.0952468629734371</v>
      </c>
      <c r="AI125">
        <v>4.0952468629734371</v>
      </c>
      <c r="AJ125">
        <v>4.0952468629734371</v>
      </c>
      <c r="AK125">
        <v>4.0952468629734371</v>
      </c>
    </row>
    <row r="126" spans="1:37" x14ac:dyDescent="0.25">
      <c r="A126" t="s">
        <v>90</v>
      </c>
      <c r="B126" t="s">
        <v>182</v>
      </c>
      <c r="C126" t="s">
        <v>183</v>
      </c>
      <c r="F126" t="s">
        <v>144</v>
      </c>
      <c r="G126" t="s">
        <v>114</v>
      </c>
      <c r="H126" t="s">
        <v>115</v>
      </c>
      <c r="I126" t="s">
        <v>184</v>
      </c>
      <c r="J126" t="s">
        <v>200</v>
      </c>
      <c r="K126" t="s">
        <v>98</v>
      </c>
      <c r="L126">
        <v>1</v>
      </c>
      <c r="M126">
        <v>1</v>
      </c>
      <c r="N126">
        <v>2020</v>
      </c>
      <c r="O126">
        <v>15.579764908323551</v>
      </c>
      <c r="P126">
        <v>1</v>
      </c>
      <c r="Q126">
        <v>0.97101863501483687</v>
      </c>
      <c r="R126">
        <v>1.0174471216617209</v>
      </c>
      <c r="S126">
        <v>1.0917327002967361</v>
      </c>
      <c r="T126">
        <v>1.196528427299703</v>
      </c>
      <c r="U126">
        <v>1.2429569139465879</v>
      </c>
      <c r="V126">
        <v>1.2946915133531161</v>
      </c>
      <c r="W126">
        <v>1.3530587537091989</v>
      </c>
      <c r="X126">
        <v>443.13554779753542</v>
      </c>
      <c r="Y126">
        <v>399.74667393613959</v>
      </c>
      <c r="Z126">
        <v>325.77220046753013</v>
      </c>
      <c r="AA126">
        <v>287.3623777049828</v>
      </c>
      <c r="AB126">
        <v>269.58005235195168</v>
      </c>
      <c r="AC126">
        <v>252.50902001304189</v>
      </c>
      <c r="AD126">
        <v>234.72669466001071</v>
      </c>
      <c r="AE126">
        <v>4.0952468629734371</v>
      </c>
      <c r="AF126">
        <v>4.0952468629734371</v>
      </c>
      <c r="AG126">
        <v>4.0952468629734371</v>
      </c>
      <c r="AH126">
        <v>4.0952468629734371</v>
      </c>
      <c r="AI126">
        <v>4.0952468629734371</v>
      </c>
      <c r="AJ126">
        <v>4.0952468629734371</v>
      </c>
      <c r="AK126">
        <v>4.0952468629734371</v>
      </c>
    </row>
    <row r="127" spans="1:37" x14ac:dyDescent="0.25">
      <c r="A127" t="s">
        <v>90</v>
      </c>
      <c r="B127" t="s">
        <v>182</v>
      </c>
      <c r="C127" t="s">
        <v>201</v>
      </c>
      <c r="F127" t="s">
        <v>202</v>
      </c>
      <c r="G127" t="s">
        <v>119</v>
      </c>
      <c r="H127" t="s">
        <v>120</v>
      </c>
      <c r="I127" t="s">
        <v>203</v>
      </c>
      <c r="J127" t="s">
        <v>204</v>
      </c>
      <c r="K127" t="s">
        <v>98</v>
      </c>
      <c r="L127">
        <v>1</v>
      </c>
      <c r="M127">
        <v>1</v>
      </c>
      <c r="N127">
        <v>2020</v>
      </c>
      <c r="O127">
        <v>8</v>
      </c>
      <c r="P127">
        <v>1</v>
      </c>
      <c r="Q127">
        <v>0.14459157270029679</v>
      </c>
      <c r="R127">
        <v>0.14459157270029679</v>
      </c>
      <c r="S127">
        <v>0.1578568545994066</v>
      </c>
      <c r="T127">
        <v>0.1711221364985164</v>
      </c>
      <c r="U127">
        <v>0.1804078338278931</v>
      </c>
      <c r="V127">
        <v>0.18836700296735909</v>
      </c>
      <c r="W127">
        <v>0.1963261721068249</v>
      </c>
      <c r="X127">
        <v>421.08546435977678</v>
      </c>
      <c r="Y127">
        <v>421.08546435977678</v>
      </c>
      <c r="Z127">
        <v>423.93063641626179</v>
      </c>
      <c r="AA127">
        <v>423.21934340214051</v>
      </c>
      <c r="AB127">
        <v>423.93063641626179</v>
      </c>
      <c r="AC127">
        <v>424.64192943038302</v>
      </c>
      <c r="AD127">
        <v>426.06451545862558</v>
      </c>
      <c r="AE127">
        <v>10.491571958288359</v>
      </c>
      <c r="AF127">
        <v>10.491571958288359</v>
      </c>
      <c r="AG127">
        <v>10.491571958288359</v>
      </c>
      <c r="AH127">
        <v>10.491571958288359</v>
      </c>
      <c r="AI127">
        <v>10.491571958288359</v>
      </c>
      <c r="AJ127">
        <v>10.491571958288359</v>
      </c>
      <c r="AK127">
        <v>10.491571958288359</v>
      </c>
    </row>
    <row r="128" spans="1:37" x14ac:dyDescent="0.25">
      <c r="A128" t="s">
        <v>90</v>
      </c>
      <c r="B128" t="s">
        <v>182</v>
      </c>
      <c r="C128" t="s">
        <v>201</v>
      </c>
      <c r="F128" t="s">
        <v>202</v>
      </c>
      <c r="G128" t="s">
        <v>122</v>
      </c>
      <c r="H128" t="s">
        <v>123</v>
      </c>
      <c r="I128" t="s">
        <v>203</v>
      </c>
      <c r="J128" t="s">
        <v>204</v>
      </c>
      <c r="K128" t="s">
        <v>98</v>
      </c>
      <c r="L128">
        <v>0</v>
      </c>
      <c r="M128">
        <v>1</v>
      </c>
      <c r="N128">
        <v>2020</v>
      </c>
      <c r="O128">
        <v>8</v>
      </c>
      <c r="P128">
        <v>1</v>
      </c>
      <c r="Q128">
        <v>0.14459157270029679</v>
      </c>
      <c r="R128">
        <v>0.14459157270029679</v>
      </c>
      <c r="S128">
        <v>0.1578568545994066</v>
      </c>
      <c r="T128">
        <v>0.1711221364985164</v>
      </c>
      <c r="U128">
        <v>0.1804078338278931</v>
      </c>
      <c r="V128">
        <v>0.18836700296735909</v>
      </c>
      <c r="W128">
        <v>0.1963261721068249</v>
      </c>
      <c r="X128">
        <v>421.08546435977678</v>
      </c>
      <c r="Y128">
        <v>421.08546435977678</v>
      </c>
      <c r="Z128">
        <v>423.93063641626179</v>
      </c>
      <c r="AA128">
        <v>423.21934340214051</v>
      </c>
      <c r="AB128">
        <v>423.93063641626179</v>
      </c>
      <c r="AC128">
        <v>424.64192943038302</v>
      </c>
      <c r="AD128">
        <v>426.06451545862558</v>
      </c>
      <c r="AE128">
        <v>10.491571958288359</v>
      </c>
      <c r="AF128">
        <v>10.491571958288359</v>
      </c>
      <c r="AG128">
        <v>10.491571958288359</v>
      </c>
      <c r="AH128">
        <v>10.491571958288359</v>
      </c>
      <c r="AI128">
        <v>10.491571958288359</v>
      </c>
      <c r="AJ128">
        <v>10.491571958288359</v>
      </c>
      <c r="AK128">
        <v>10.491571958288359</v>
      </c>
    </row>
    <row r="129" spans="1:37" x14ac:dyDescent="0.25">
      <c r="A129" t="s">
        <v>90</v>
      </c>
      <c r="B129" t="s">
        <v>182</v>
      </c>
      <c r="C129" t="s">
        <v>201</v>
      </c>
      <c r="F129" t="s">
        <v>202</v>
      </c>
      <c r="G129" t="s">
        <v>124</v>
      </c>
      <c r="H129" t="s">
        <v>125</v>
      </c>
      <c r="I129" t="s">
        <v>203</v>
      </c>
      <c r="J129" t="s">
        <v>204</v>
      </c>
      <c r="K129" t="s">
        <v>98</v>
      </c>
      <c r="L129">
        <v>0</v>
      </c>
      <c r="M129">
        <v>1</v>
      </c>
      <c r="N129">
        <v>2020</v>
      </c>
      <c r="O129">
        <v>8</v>
      </c>
      <c r="P129">
        <v>0.1</v>
      </c>
      <c r="Q129">
        <v>0.14459157270029679</v>
      </c>
      <c r="R129">
        <v>0.14459157270029679</v>
      </c>
      <c r="S129">
        <v>0.1578568545994066</v>
      </c>
      <c r="T129">
        <v>0.1711221364985164</v>
      </c>
      <c r="U129">
        <v>0.1804078338278931</v>
      </c>
      <c r="V129">
        <v>0.18836700296735909</v>
      </c>
      <c r="W129">
        <v>0.1963261721068249</v>
      </c>
      <c r="X129">
        <v>421.08546435977678</v>
      </c>
      <c r="Y129">
        <v>421.08546435977678</v>
      </c>
      <c r="Z129">
        <v>423.93063641626179</v>
      </c>
      <c r="AA129">
        <v>423.21934340214051</v>
      </c>
      <c r="AB129">
        <v>423.93063641626179</v>
      </c>
      <c r="AC129">
        <v>424.64192943038302</v>
      </c>
      <c r="AD129">
        <v>426.06451545862558</v>
      </c>
      <c r="AE129">
        <v>10.491571958288359</v>
      </c>
      <c r="AF129">
        <v>10.491571958288359</v>
      </c>
      <c r="AG129">
        <v>10.491571958288359</v>
      </c>
      <c r="AH129">
        <v>10.491571958288359</v>
      </c>
      <c r="AI129">
        <v>10.491571958288359</v>
      </c>
      <c r="AJ129">
        <v>10.491571958288359</v>
      </c>
      <c r="AK129">
        <v>10.491571958288359</v>
      </c>
    </row>
    <row r="130" spans="1:37" x14ac:dyDescent="0.25">
      <c r="A130" t="s">
        <v>90</v>
      </c>
      <c r="B130" t="s">
        <v>182</v>
      </c>
      <c r="C130" t="s">
        <v>201</v>
      </c>
      <c r="F130" t="s">
        <v>205</v>
      </c>
      <c r="G130" t="s">
        <v>119</v>
      </c>
      <c r="H130" t="s">
        <v>120</v>
      </c>
      <c r="I130" t="s">
        <v>203</v>
      </c>
      <c r="J130" t="s">
        <v>206</v>
      </c>
      <c r="K130" t="s">
        <v>98</v>
      </c>
      <c r="L130">
        <v>1</v>
      </c>
      <c r="M130">
        <v>1</v>
      </c>
      <c r="N130">
        <v>2020</v>
      </c>
      <c r="O130">
        <v>8</v>
      </c>
      <c r="P130">
        <v>1</v>
      </c>
      <c r="Q130">
        <v>0.14459157270029679</v>
      </c>
      <c r="R130">
        <v>0.14459157270029679</v>
      </c>
      <c r="S130">
        <v>0.1578568545994066</v>
      </c>
      <c r="T130">
        <v>0.17244866468842729</v>
      </c>
      <c r="U130">
        <v>0.1804078338278931</v>
      </c>
      <c r="V130">
        <v>0.18836700296735909</v>
      </c>
      <c r="W130">
        <v>0.19765270029673601</v>
      </c>
      <c r="X130">
        <v>461.62916616468777</v>
      </c>
      <c r="Y130">
        <v>461.62916616468777</v>
      </c>
      <c r="Z130">
        <v>465.18563123529401</v>
      </c>
      <c r="AA130">
        <v>463.7630452070515</v>
      </c>
      <c r="AB130">
        <v>463.7630452070515</v>
      </c>
      <c r="AC130">
        <v>464.47433822117279</v>
      </c>
      <c r="AD130">
        <v>465.18563123529401</v>
      </c>
      <c r="AE130">
        <v>10.491571958288359</v>
      </c>
      <c r="AF130">
        <v>10.491571958288359</v>
      </c>
      <c r="AG130">
        <v>10.491571958288359</v>
      </c>
      <c r="AH130">
        <v>10.491571958288359</v>
      </c>
      <c r="AI130">
        <v>10.491571958288359</v>
      </c>
      <c r="AJ130">
        <v>10.491571958288359</v>
      </c>
      <c r="AK130">
        <v>10.491571958288359</v>
      </c>
    </row>
    <row r="131" spans="1:37" x14ac:dyDescent="0.25">
      <c r="A131" t="s">
        <v>90</v>
      </c>
      <c r="B131" t="s">
        <v>182</v>
      </c>
      <c r="C131" t="s">
        <v>201</v>
      </c>
      <c r="F131" t="s">
        <v>205</v>
      </c>
      <c r="G131" t="s">
        <v>122</v>
      </c>
      <c r="H131" t="s">
        <v>123</v>
      </c>
      <c r="I131" t="s">
        <v>203</v>
      </c>
      <c r="J131" t="s">
        <v>206</v>
      </c>
      <c r="K131" t="s">
        <v>98</v>
      </c>
      <c r="L131">
        <v>0</v>
      </c>
      <c r="M131">
        <v>1</v>
      </c>
      <c r="N131">
        <v>2020</v>
      </c>
      <c r="O131">
        <v>8</v>
      </c>
      <c r="P131">
        <v>1</v>
      </c>
      <c r="Q131">
        <v>0.14459157270029679</v>
      </c>
      <c r="R131">
        <v>0.14459157270029679</v>
      </c>
      <c r="S131">
        <v>0.1578568545994066</v>
      </c>
      <c r="T131">
        <v>0.17244866468842729</v>
      </c>
      <c r="U131">
        <v>0.1804078338278931</v>
      </c>
      <c r="V131">
        <v>0.18836700296735909</v>
      </c>
      <c r="W131">
        <v>0.19765270029673601</v>
      </c>
      <c r="X131">
        <v>461.62916616468777</v>
      </c>
      <c r="Y131">
        <v>461.62916616468777</v>
      </c>
      <c r="Z131">
        <v>465.18563123529401</v>
      </c>
      <c r="AA131">
        <v>463.7630452070515</v>
      </c>
      <c r="AB131">
        <v>463.7630452070515</v>
      </c>
      <c r="AC131">
        <v>464.47433822117279</v>
      </c>
      <c r="AD131">
        <v>465.18563123529401</v>
      </c>
      <c r="AE131">
        <v>10.491571958288359</v>
      </c>
      <c r="AF131">
        <v>10.491571958288359</v>
      </c>
      <c r="AG131">
        <v>10.491571958288359</v>
      </c>
      <c r="AH131">
        <v>10.491571958288359</v>
      </c>
      <c r="AI131">
        <v>10.491571958288359</v>
      </c>
      <c r="AJ131">
        <v>10.491571958288359</v>
      </c>
      <c r="AK131">
        <v>10.491571958288359</v>
      </c>
    </row>
    <row r="132" spans="1:37" x14ac:dyDescent="0.25">
      <c r="A132" t="s">
        <v>90</v>
      </c>
      <c r="B132" t="s">
        <v>182</v>
      </c>
      <c r="C132" t="s">
        <v>201</v>
      </c>
      <c r="F132" t="s">
        <v>205</v>
      </c>
      <c r="G132" t="s">
        <v>124</v>
      </c>
      <c r="H132" t="s">
        <v>125</v>
      </c>
      <c r="I132" t="s">
        <v>203</v>
      </c>
      <c r="J132" t="s">
        <v>206</v>
      </c>
      <c r="K132" t="s">
        <v>98</v>
      </c>
      <c r="L132">
        <v>0</v>
      </c>
      <c r="M132">
        <v>1</v>
      </c>
      <c r="N132">
        <v>2020</v>
      </c>
      <c r="O132">
        <v>8</v>
      </c>
      <c r="P132">
        <v>0.1</v>
      </c>
      <c r="Q132">
        <v>0.14459157270029679</v>
      </c>
      <c r="R132">
        <v>0.14459157270029679</v>
      </c>
      <c r="S132">
        <v>0.1578568545994066</v>
      </c>
      <c r="T132">
        <v>0.17244866468842729</v>
      </c>
      <c r="U132">
        <v>0.1804078338278931</v>
      </c>
      <c r="V132">
        <v>0.18836700296735909</v>
      </c>
      <c r="W132">
        <v>0.19765270029673601</v>
      </c>
      <c r="X132">
        <v>461.62916616468777</v>
      </c>
      <c r="Y132">
        <v>461.62916616468777</v>
      </c>
      <c r="Z132">
        <v>465.18563123529401</v>
      </c>
      <c r="AA132">
        <v>463.7630452070515</v>
      </c>
      <c r="AB132">
        <v>463.7630452070515</v>
      </c>
      <c r="AC132">
        <v>464.47433822117279</v>
      </c>
      <c r="AD132">
        <v>465.18563123529401</v>
      </c>
      <c r="AE132">
        <v>10.491571958288359</v>
      </c>
      <c r="AF132">
        <v>10.491571958288359</v>
      </c>
      <c r="AG132">
        <v>10.491571958288359</v>
      </c>
      <c r="AH132">
        <v>10.491571958288359</v>
      </c>
      <c r="AI132">
        <v>10.491571958288359</v>
      </c>
      <c r="AJ132">
        <v>10.491571958288359</v>
      </c>
      <c r="AK132">
        <v>10.491571958288359</v>
      </c>
    </row>
    <row r="133" spans="1:37" x14ac:dyDescent="0.25">
      <c r="A133" t="s">
        <v>90</v>
      </c>
      <c r="B133" t="s">
        <v>182</v>
      </c>
      <c r="C133" t="s">
        <v>201</v>
      </c>
      <c r="F133" t="s">
        <v>207</v>
      </c>
      <c r="G133" t="s">
        <v>119</v>
      </c>
      <c r="H133" t="s">
        <v>120</v>
      </c>
      <c r="I133" t="s">
        <v>203</v>
      </c>
      <c r="J133" t="s">
        <v>208</v>
      </c>
      <c r="K133" t="s">
        <v>98</v>
      </c>
      <c r="L133">
        <v>1</v>
      </c>
      <c r="M133">
        <v>1</v>
      </c>
      <c r="N133">
        <v>2020</v>
      </c>
      <c r="O133">
        <v>8</v>
      </c>
      <c r="P133">
        <v>1</v>
      </c>
      <c r="Q133">
        <v>0.14591810089020771</v>
      </c>
      <c r="R133">
        <v>0.14591810089020771</v>
      </c>
      <c r="S133">
        <v>0.16183643916913951</v>
      </c>
      <c r="T133">
        <v>0.1764282492581602</v>
      </c>
      <c r="U133">
        <v>0.18704047477744801</v>
      </c>
      <c r="V133">
        <v>0.1963261721068249</v>
      </c>
      <c r="W133">
        <v>0.2056118694362018</v>
      </c>
      <c r="X133">
        <v>465.89692424941529</v>
      </c>
      <c r="Y133">
        <v>465.89692424941529</v>
      </c>
      <c r="Z133">
        <v>464.47433822117279</v>
      </c>
      <c r="AA133">
        <v>460.91787315056649</v>
      </c>
      <c r="AB133">
        <v>459.49528712232399</v>
      </c>
      <c r="AC133">
        <v>458.78399410820282</v>
      </c>
      <c r="AD133">
        <v>458.07270109408159</v>
      </c>
      <c r="AE133">
        <v>10.491571958288359</v>
      </c>
      <c r="AF133">
        <v>10.491571958288359</v>
      </c>
      <c r="AG133">
        <v>10.491571958288359</v>
      </c>
      <c r="AH133">
        <v>10.491571958288359</v>
      </c>
      <c r="AI133">
        <v>10.491571958288359</v>
      </c>
      <c r="AJ133">
        <v>10.491571958288359</v>
      </c>
      <c r="AK133">
        <v>10.491571958288359</v>
      </c>
    </row>
    <row r="134" spans="1:37" x14ac:dyDescent="0.25">
      <c r="A134" t="s">
        <v>90</v>
      </c>
      <c r="B134" t="s">
        <v>182</v>
      </c>
      <c r="C134" t="s">
        <v>201</v>
      </c>
      <c r="F134" t="s">
        <v>207</v>
      </c>
      <c r="G134" t="s">
        <v>122</v>
      </c>
      <c r="H134" t="s">
        <v>123</v>
      </c>
      <c r="I134" t="s">
        <v>203</v>
      </c>
      <c r="J134" t="s">
        <v>208</v>
      </c>
      <c r="K134" t="s">
        <v>98</v>
      </c>
      <c r="L134">
        <v>0</v>
      </c>
      <c r="M134">
        <v>1</v>
      </c>
      <c r="N134">
        <v>2020</v>
      </c>
      <c r="O134">
        <v>8</v>
      </c>
      <c r="P134">
        <v>1</v>
      </c>
      <c r="Q134">
        <v>0.14591810089020771</v>
      </c>
      <c r="R134">
        <v>0.14591810089020771</v>
      </c>
      <c r="S134">
        <v>0.16183643916913951</v>
      </c>
      <c r="T134">
        <v>0.1764282492581602</v>
      </c>
      <c r="U134">
        <v>0.18704047477744801</v>
      </c>
      <c r="V134">
        <v>0.1963261721068249</v>
      </c>
      <c r="W134">
        <v>0.2056118694362018</v>
      </c>
      <c r="X134">
        <v>465.89692424941529</v>
      </c>
      <c r="Y134">
        <v>465.89692424941529</v>
      </c>
      <c r="Z134">
        <v>464.47433822117279</v>
      </c>
      <c r="AA134">
        <v>460.91787315056649</v>
      </c>
      <c r="AB134">
        <v>459.49528712232399</v>
      </c>
      <c r="AC134">
        <v>458.78399410820282</v>
      </c>
      <c r="AD134">
        <v>458.07270109408159</v>
      </c>
      <c r="AE134">
        <v>10.491571958288359</v>
      </c>
      <c r="AF134">
        <v>10.491571958288359</v>
      </c>
      <c r="AG134">
        <v>10.491571958288359</v>
      </c>
      <c r="AH134">
        <v>10.491571958288359</v>
      </c>
      <c r="AI134">
        <v>10.491571958288359</v>
      </c>
      <c r="AJ134">
        <v>10.491571958288359</v>
      </c>
      <c r="AK134">
        <v>10.491571958288359</v>
      </c>
    </row>
    <row r="135" spans="1:37" x14ac:dyDescent="0.25">
      <c r="A135" t="s">
        <v>90</v>
      </c>
      <c r="B135" t="s">
        <v>182</v>
      </c>
      <c r="C135" t="s">
        <v>201</v>
      </c>
      <c r="F135" t="s">
        <v>207</v>
      </c>
      <c r="G135" t="s">
        <v>124</v>
      </c>
      <c r="H135" t="s">
        <v>125</v>
      </c>
      <c r="I135" t="s">
        <v>203</v>
      </c>
      <c r="J135" t="s">
        <v>208</v>
      </c>
      <c r="K135" t="s">
        <v>98</v>
      </c>
      <c r="L135">
        <v>0</v>
      </c>
      <c r="M135">
        <v>1</v>
      </c>
      <c r="N135">
        <v>2020</v>
      </c>
      <c r="O135">
        <v>8</v>
      </c>
      <c r="P135">
        <v>0.1</v>
      </c>
      <c r="Q135">
        <v>0.14591810089020771</v>
      </c>
      <c r="R135">
        <v>0.14591810089020771</v>
      </c>
      <c r="S135">
        <v>0.16183643916913951</v>
      </c>
      <c r="T135">
        <v>0.1764282492581602</v>
      </c>
      <c r="U135">
        <v>0.18704047477744801</v>
      </c>
      <c r="V135">
        <v>0.1963261721068249</v>
      </c>
      <c r="W135">
        <v>0.2056118694362018</v>
      </c>
      <c r="X135">
        <v>465.89692424941529</v>
      </c>
      <c r="Y135">
        <v>465.89692424941529</v>
      </c>
      <c r="Z135">
        <v>464.47433822117279</v>
      </c>
      <c r="AA135">
        <v>460.91787315056649</v>
      </c>
      <c r="AB135">
        <v>459.49528712232399</v>
      </c>
      <c r="AC135">
        <v>458.78399410820282</v>
      </c>
      <c r="AD135">
        <v>458.07270109408159</v>
      </c>
      <c r="AE135">
        <v>10.491571958288359</v>
      </c>
      <c r="AF135">
        <v>10.491571958288359</v>
      </c>
      <c r="AG135">
        <v>10.491571958288359</v>
      </c>
      <c r="AH135">
        <v>10.491571958288359</v>
      </c>
      <c r="AI135">
        <v>10.491571958288359</v>
      </c>
      <c r="AJ135">
        <v>10.491571958288359</v>
      </c>
      <c r="AK135">
        <v>10.491571958288359</v>
      </c>
    </row>
    <row r="136" spans="1:37" x14ac:dyDescent="0.25">
      <c r="A136" t="s">
        <v>90</v>
      </c>
      <c r="B136" t="s">
        <v>182</v>
      </c>
      <c r="C136" t="s">
        <v>201</v>
      </c>
      <c r="F136" t="s">
        <v>209</v>
      </c>
      <c r="G136" t="s">
        <v>119</v>
      </c>
      <c r="H136" t="s">
        <v>120</v>
      </c>
      <c r="I136" t="s">
        <v>203</v>
      </c>
      <c r="J136" t="s">
        <v>210</v>
      </c>
      <c r="K136" t="s">
        <v>98</v>
      </c>
      <c r="L136">
        <v>1</v>
      </c>
      <c r="M136">
        <v>1</v>
      </c>
      <c r="N136">
        <v>2020</v>
      </c>
      <c r="O136">
        <v>8</v>
      </c>
      <c r="P136">
        <v>0.30952380952381148</v>
      </c>
      <c r="Q136">
        <v>0.29979537091988079</v>
      </c>
      <c r="R136">
        <v>0.29979537091988079</v>
      </c>
      <c r="S136">
        <v>0.33030551928783392</v>
      </c>
      <c r="T136">
        <v>0.35816261127596438</v>
      </c>
      <c r="U136">
        <v>0.37408094955489479</v>
      </c>
      <c r="V136">
        <v>0.3899992878338272</v>
      </c>
      <c r="W136">
        <v>0.4059176261127605</v>
      </c>
      <c r="X136">
        <v>515.68743523790056</v>
      </c>
      <c r="Y136">
        <v>515.68743523790056</v>
      </c>
      <c r="Z136">
        <v>484.39054261656662</v>
      </c>
      <c r="AA136">
        <v>464.47433822117449</v>
      </c>
      <c r="AB136">
        <v>456.65011506583812</v>
      </c>
      <c r="AC136">
        <v>449.53718492462809</v>
      </c>
      <c r="AD136">
        <v>441.71296176929172</v>
      </c>
      <c r="AE136">
        <v>10.491571958288329</v>
      </c>
      <c r="AF136">
        <v>10.491571958288329</v>
      </c>
      <c r="AG136">
        <v>10.491571958288329</v>
      </c>
      <c r="AH136">
        <v>10.491571958288329</v>
      </c>
      <c r="AI136">
        <v>10.491571958288329</v>
      </c>
      <c r="AJ136">
        <v>10.491571958288329</v>
      </c>
      <c r="AK136">
        <v>10.491571958288329</v>
      </c>
    </row>
    <row r="137" spans="1:37" x14ac:dyDescent="0.25">
      <c r="A137" t="s">
        <v>90</v>
      </c>
      <c r="B137" t="s">
        <v>182</v>
      </c>
      <c r="C137" t="s">
        <v>201</v>
      </c>
      <c r="F137" t="s">
        <v>209</v>
      </c>
      <c r="G137" t="s">
        <v>122</v>
      </c>
      <c r="H137" t="s">
        <v>123</v>
      </c>
      <c r="I137" t="s">
        <v>203</v>
      </c>
      <c r="J137" t="s">
        <v>210</v>
      </c>
      <c r="K137" t="s">
        <v>98</v>
      </c>
      <c r="L137">
        <v>0</v>
      </c>
      <c r="M137">
        <v>1</v>
      </c>
      <c r="N137">
        <v>2020</v>
      </c>
      <c r="O137">
        <v>8</v>
      </c>
      <c r="P137">
        <v>0.30952380952381148</v>
      </c>
      <c r="Q137">
        <v>0.29979537091988079</v>
      </c>
      <c r="R137">
        <v>0.29979537091988079</v>
      </c>
      <c r="S137">
        <v>0.33030551928783392</v>
      </c>
      <c r="T137">
        <v>0.35816261127596438</v>
      </c>
      <c r="U137">
        <v>0.37408094955489479</v>
      </c>
      <c r="V137">
        <v>0.3899992878338272</v>
      </c>
      <c r="W137">
        <v>0.4059176261127605</v>
      </c>
      <c r="X137">
        <v>515.68743523790056</v>
      </c>
      <c r="Y137">
        <v>515.68743523790056</v>
      </c>
      <c r="Z137">
        <v>484.39054261656662</v>
      </c>
      <c r="AA137">
        <v>464.47433822117449</v>
      </c>
      <c r="AB137">
        <v>456.65011506583812</v>
      </c>
      <c r="AC137">
        <v>449.53718492462809</v>
      </c>
      <c r="AD137">
        <v>441.71296176929172</v>
      </c>
      <c r="AE137">
        <v>10.491571958288329</v>
      </c>
      <c r="AF137">
        <v>10.491571958288329</v>
      </c>
      <c r="AG137">
        <v>10.491571958288329</v>
      </c>
      <c r="AH137">
        <v>10.491571958288329</v>
      </c>
      <c r="AI137">
        <v>10.491571958288329</v>
      </c>
      <c r="AJ137">
        <v>10.491571958288329</v>
      </c>
      <c r="AK137">
        <v>10.491571958288329</v>
      </c>
    </row>
    <row r="138" spans="1:37" x14ac:dyDescent="0.25">
      <c r="A138" t="s">
        <v>90</v>
      </c>
      <c r="B138" t="s">
        <v>182</v>
      </c>
      <c r="C138" t="s">
        <v>201</v>
      </c>
      <c r="F138" t="s">
        <v>209</v>
      </c>
      <c r="G138" t="s">
        <v>124</v>
      </c>
      <c r="H138" t="s">
        <v>125</v>
      </c>
      <c r="I138" t="s">
        <v>203</v>
      </c>
      <c r="J138" t="s">
        <v>210</v>
      </c>
      <c r="K138" t="s">
        <v>98</v>
      </c>
      <c r="L138">
        <v>0</v>
      </c>
      <c r="M138">
        <v>1</v>
      </c>
      <c r="N138">
        <v>2020</v>
      </c>
      <c r="O138">
        <v>8</v>
      </c>
      <c r="P138">
        <v>0.1</v>
      </c>
      <c r="Q138">
        <v>0.29979537091988079</v>
      </c>
      <c r="R138">
        <v>0.29979537091988079</v>
      </c>
      <c r="S138">
        <v>0.33030551928783392</v>
      </c>
      <c r="T138">
        <v>0.35816261127596438</v>
      </c>
      <c r="U138">
        <v>0.37408094955489479</v>
      </c>
      <c r="V138">
        <v>0.3899992878338272</v>
      </c>
      <c r="W138">
        <v>0.4059176261127605</v>
      </c>
      <c r="X138">
        <v>515.68743523790056</v>
      </c>
      <c r="Y138">
        <v>515.68743523790056</v>
      </c>
      <c r="Z138">
        <v>484.39054261656662</v>
      </c>
      <c r="AA138">
        <v>464.47433822117449</v>
      </c>
      <c r="AB138">
        <v>456.65011506583812</v>
      </c>
      <c r="AC138">
        <v>449.53718492462809</v>
      </c>
      <c r="AD138">
        <v>441.71296176929172</v>
      </c>
      <c r="AE138">
        <v>10.491571958288329</v>
      </c>
      <c r="AF138">
        <v>10.491571958288329</v>
      </c>
      <c r="AG138">
        <v>10.491571958288329</v>
      </c>
      <c r="AH138">
        <v>10.491571958288329</v>
      </c>
      <c r="AI138">
        <v>10.491571958288329</v>
      </c>
      <c r="AJ138">
        <v>10.491571958288329</v>
      </c>
      <c r="AK138">
        <v>10.491571958288329</v>
      </c>
    </row>
    <row r="139" spans="1:37" x14ac:dyDescent="0.25">
      <c r="A139" t="s">
        <v>90</v>
      </c>
      <c r="B139" t="s">
        <v>182</v>
      </c>
      <c r="C139" t="s">
        <v>201</v>
      </c>
      <c r="F139" t="s">
        <v>209</v>
      </c>
      <c r="G139" t="s">
        <v>211</v>
      </c>
      <c r="H139" t="s">
        <v>212</v>
      </c>
      <c r="I139" t="s">
        <v>203</v>
      </c>
      <c r="J139" t="s">
        <v>210</v>
      </c>
      <c r="K139" t="s">
        <v>98</v>
      </c>
      <c r="L139">
        <v>0</v>
      </c>
      <c r="M139">
        <v>1</v>
      </c>
      <c r="N139">
        <v>2020</v>
      </c>
      <c r="O139">
        <v>8</v>
      </c>
      <c r="P139">
        <v>0.69047619047618847</v>
      </c>
      <c r="Q139">
        <v>0.29979537091988079</v>
      </c>
      <c r="R139">
        <v>0.29979537091988079</v>
      </c>
      <c r="S139">
        <v>0.33030551928783392</v>
      </c>
      <c r="T139">
        <v>0.35816261127596438</v>
      </c>
      <c r="U139">
        <v>0.37408094955489479</v>
      </c>
      <c r="V139">
        <v>0.3899992878338272</v>
      </c>
      <c r="W139">
        <v>0.4059176261127605</v>
      </c>
      <c r="X139">
        <v>515.68743523790056</v>
      </c>
      <c r="Y139">
        <v>515.68743523790056</v>
      </c>
      <c r="Z139">
        <v>484.39054261656662</v>
      </c>
      <c r="AA139">
        <v>464.47433822117449</v>
      </c>
      <c r="AB139">
        <v>456.65011506583812</v>
      </c>
      <c r="AC139">
        <v>449.53718492462809</v>
      </c>
      <c r="AD139">
        <v>441.71296176929172</v>
      </c>
      <c r="AE139">
        <v>10.491571958288329</v>
      </c>
      <c r="AF139">
        <v>10.491571958288329</v>
      </c>
      <c r="AG139">
        <v>10.491571958288329</v>
      </c>
      <c r="AH139">
        <v>10.491571958288329</v>
      </c>
      <c r="AI139">
        <v>10.491571958288329</v>
      </c>
      <c r="AJ139">
        <v>10.491571958288329</v>
      </c>
      <c r="AK139">
        <v>10.491571958288329</v>
      </c>
    </row>
    <row r="140" spans="1:37" x14ac:dyDescent="0.25">
      <c r="A140" t="s">
        <v>90</v>
      </c>
      <c r="B140" t="s">
        <v>182</v>
      </c>
      <c r="C140" t="s">
        <v>201</v>
      </c>
      <c r="F140" t="s">
        <v>213</v>
      </c>
      <c r="G140" t="s">
        <v>133</v>
      </c>
      <c r="H140" t="s">
        <v>134</v>
      </c>
      <c r="I140" t="s">
        <v>203</v>
      </c>
      <c r="J140" t="s">
        <v>214</v>
      </c>
      <c r="K140" t="s">
        <v>98</v>
      </c>
      <c r="L140">
        <v>1</v>
      </c>
      <c r="M140">
        <v>1</v>
      </c>
      <c r="N140">
        <v>2020</v>
      </c>
      <c r="O140">
        <v>8</v>
      </c>
      <c r="P140">
        <v>1</v>
      </c>
      <c r="Q140">
        <v>0.20030575667655801</v>
      </c>
      <c r="R140">
        <v>0.20030575667655801</v>
      </c>
      <c r="S140">
        <v>0.22020367952522271</v>
      </c>
      <c r="T140">
        <v>0.24142813056379819</v>
      </c>
      <c r="U140">
        <v>0.25071382789317492</v>
      </c>
      <c r="V140">
        <v>0.26132605341246301</v>
      </c>
      <c r="W140">
        <v>0.27061175074183957</v>
      </c>
      <c r="X140">
        <v>635.89595462439217</v>
      </c>
      <c r="Y140">
        <v>635.89595462439217</v>
      </c>
      <c r="Z140">
        <v>598.19742487596693</v>
      </c>
      <c r="AA140">
        <v>566.18923924051046</v>
      </c>
      <c r="AB140">
        <v>553.38596498632808</v>
      </c>
      <c r="AC140">
        <v>540.58269073214626</v>
      </c>
      <c r="AD140">
        <v>527.77941647796388</v>
      </c>
      <c r="AE140">
        <v>10.49157195828835</v>
      </c>
      <c r="AF140">
        <v>10.49157195828835</v>
      </c>
      <c r="AG140">
        <v>10.49157195828835</v>
      </c>
      <c r="AH140">
        <v>10.49157195828835</v>
      </c>
      <c r="AI140">
        <v>10.49157195828835</v>
      </c>
      <c r="AJ140">
        <v>10.49157195828835</v>
      </c>
      <c r="AK140">
        <v>10.49157195828835</v>
      </c>
    </row>
    <row r="141" spans="1:37" x14ac:dyDescent="0.25">
      <c r="A141" t="s">
        <v>90</v>
      </c>
      <c r="B141" t="s">
        <v>182</v>
      </c>
      <c r="C141" t="s">
        <v>201</v>
      </c>
      <c r="F141" t="s">
        <v>215</v>
      </c>
      <c r="G141" t="s">
        <v>133</v>
      </c>
      <c r="H141" t="s">
        <v>134</v>
      </c>
      <c r="I141" t="s">
        <v>203</v>
      </c>
      <c r="J141" t="s">
        <v>216</v>
      </c>
      <c r="K141" t="s">
        <v>98</v>
      </c>
      <c r="L141">
        <v>1</v>
      </c>
      <c r="M141">
        <v>1</v>
      </c>
      <c r="N141">
        <v>2020</v>
      </c>
      <c r="O141">
        <v>8</v>
      </c>
      <c r="P141">
        <v>0.89763779527559173</v>
      </c>
      <c r="Q141">
        <v>0.2175506231454005</v>
      </c>
      <c r="R141">
        <v>0.2175506231454005</v>
      </c>
      <c r="S141">
        <v>0.24010160237388731</v>
      </c>
      <c r="T141">
        <v>0.25867299703264102</v>
      </c>
      <c r="U141">
        <v>0.26663216617210689</v>
      </c>
      <c r="V141">
        <v>0.27591786350148362</v>
      </c>
      <c r="W141">
        <v>0.28387703264094938</v>
      </c>
      <c r="X141">
        <v>537.02622566153968</v>
      </c>
      <c r="Y141">
        <v>537.02622566153968</v>
      </c>
      <c r="Z141">
        <v>500.03898892723481</v>
      </c>
      <c r="AA141">
        <v>476.56631946123417</v>
      </c>
      <c r="AB141">
        <v>466.60821726353652</v>
      </c>
      <c r="AC141">
        <v>456.65011506583892</v>
      </c>
      <c r="AD141">
        <v>446.69201286814172</v>
      </c>
      <c r="AE141">
        <v>10.49157195828835</v>
      </c>
      <c r="AF141">
        <v>10.49157195828835</v>
      </c>
      <c r="AG141">
        <v>10.49157195828835</v>
      </c>
      <c r="AH141">
        <v>10.49157195828835</v>
      </c>
      <c r="AI141">
        <v>10.49157195828835</v>
      </c>
      <c r="AJ141">
        <v>10.49157195828835</v>
      </c>
      <c r="AK141">
        <v>10.49157195828835</v>
      </c>
    </row>
    <row r="142" spans="1:37" x14ac:dyDescent="0.25">
      <c r="A142" t="s">
        <v>90</v>
      </c>
      <c r="B142" t="s">
        <v>182</v>
      </c>
      <c r="C142" t="s">
        <v>201</v>
      </c>
      <c r="F142" t="s">
        <v>215</v>
      </c>
      <c r="G142" t="s">
        <v>211</v>
      </c>
      <c r="H142" t="s">
        <v>212</v>
      </c>
      <c r="I142" t="s">
        <v>203</v>
      </c>
      <c r="J142" t="s">
        <v>216</v>
      </c>
      <c r="K142" t="s">
        <v>98</v>
      </c>
      <c r="L142">
        <v>0</v>
      </c>
      <c r="M142">
        <v>1</v>
      </c>
      <c r="N142">
        <v>2020</v>
      </c>
      <c r="O142">
        <v>8</v>
      </c>
      <c r="P142">
        <v>0.1023622047244083</v>
      </c>
      <c r="Q142">
        <v>0.2175506231454005</v>
      </c>
      <c r="R142">
        <v>0.2175506231454005</v>
      </c>
      <c r="S142">
        <v>0.24010160237388731</v>
      </c>
      <c r="T142">
        <v>0.25867299703264102</v>
      </c>
      <c r="U142">
        <v>0.26663216617210689</v>
      </c>
      <c r="V142">
        <v>0.27591786350148362</v>
      </c>
      <c r="W142">
        <v>0.28387703264094938</v>
      </c>
      <c r="X142">
        <v>537.02622566153968</v>
      </c>
      <c r="Y142">
        <v>537.02622566153968</v>
      </c>
      <c r="Z142">
        <v>500.03898892723481</v>
      </c>
      <c r="AA142">
        <v>476.56631946123417</v>
      </c>
      <c r="AB142">
        <v>466.60821726353652</v>
      </c>
      <c r="AC142">
        <v>456.65011506583892</v>
      </c>
      <c r="AD142">
        <v>446.69201286814172</v>
      </c>
      <c r="AE142">
        <v>10.49157195828835</v>
      </c>
      <c r="AF142">
        <v>10.49157195828835</v>
      </c>
      <c r="AG142">
        <v>10.49157195828835</v>
      </c>
      <c r="AH142">
        <v>10.49157195828835</v>
      </c>
      <c r="AI142">
        <v>10.49157195828835</v>
      </c>
      <c r="AJ142">
        <v>10.49157195828835</v>
      </c>
      <c r="AK142">
        <v>10.49157195828835</v>
      </c>
    </row>
    <row r="143" spans="1:37" x14ac:dyDescent="0.25">
      <c r="A143" t="s">
        <v>90</v>
      </c>
      <c r="B143" t="s">
        <v>182</v>
      </c>
      <c r="C143" t="s">
        <v>201</v>
      </c>
      <c r="F143" t="s">
        <v>217</v>
      </c>
      <c r="G143" t="s">
        <v>211</v>
      </c>
      <c r="H143" t="s">
        <v>212</v>
      </c>
      <c r="I143" t="s">
        <v>203</v>
      </c>
      <c r="J143" t="s">
        <v>218</v>
      </c>
      <c r="K143" t="s">
        <v>98</v>
      </c>
      <c r="L143">
        <v>1</v>
      </c>
      <c r="M143">
        <v>1</v>
      </c>
      <c r="N143">
        <v>2020</v>
      </c>
      <c r="O143">
        <v>8</v>
      </c>
      <c r="P143">
        <v>1</v>
      </c>
      <c r="Q143">
        <v>0.36877483679525219</v>
      </c>
      <c r="R143">
        <v>0.36877483679525219</v>
      </c>
      <c r="S143">
        <v>0.40061151335311579</v>
      </c>
      <c r="T143">
        <v>0.43510124629080099</v>
      </c>
      <c r="U143">
        <v>0.44969305637982182</v>
      </c>
      <c r="V143">
        <v>0.46428486646884271</v>
      </c>
      <c r="W143">
        <v>0.48152973293768542</v>
      </c>
      <c r="X143">
        <v>508.57450509669002</v>
      </c>
      <c r="Y143">
        <v>508.57450509669002</v>
      </c>
      <c r="Z143">
        <v>462.34045917880923</v>
      </c>
      <c r="AA143">
        <v>437.44520368456551</v>
      </c>
      <c r="AB143">
        <v>426.06451545862558</v>
      </c>
      <c r="AC143">
        <v>414.6838272326857</v>
      </c>
      <c r="AD143">
        <v>403.30313900674582</v>
      </c>
      <c r="AE143">
        <v>6.7572836341518263</v>
      </c>
      <c r="AF143">
        <v>6.7572836341518263</v>
      </c>
      <c r="AG143">
        <v>6.7572836341518263</v>
      </c>
      <c r="AH143">
        <v>6.7572836341518263</v>
      </c>
      <c r="AI143">
        <v>6.7572836341518263</v>
      </c>
      <c r="AJ143">
        <v>6.7572836341518263</v>
      </c>
      <c r="AK143">
        <v>6.7572836341518263</v>
      </c>
    </row>
    <row r="144" spans="1:37" x14ac:dyDescent="0.25">
      <c r="A144" t="s">
        <v>90</v>
      </c>
      <c r="B144" t="s">
        <v>182</v>
      </c>
      <c r="C144" t="s">
        <v>219</v>
      </c>
      <c r="F144" t="s">
        <v>202</v>
      </c>
      <c r="G144" t="s">
        <v>119</v>
      </c>
      <c r="H144" t="s">
        <v>120</v>
      </c>
      <c r="I144" t="s">
        <v>220</v>
      </c>
      <c r="J144" t="s">
        <v>221</v>
      </c>
      <c r="K144" t="s">
        <v>98</v>
      </c>
      <c r="L144">
        <v>1</v>
      </c>
      <c r="M144">
        <v>1</v>
      </c>
      <c r="N144">
        <v>2020</v>
      </c>
      <c r="O144">
        <v>10.89196958520898</v>
      </c>
      <c r="P144">
        <v>1</v>
      </c>
      <c r="Q144">
        <v>0.1014794065281899</v>
      </c>
      <c r="R144">
        <v>0.1014794065281899</v>
      </c>
      <c r="S144">
        <v>0.1114283679525223</v>
      </c>
      <c r="T144">
        <v>0.120581412462908</v>
      </c>
      <c r="U144">
        <v>0.12548956676557871</v>
      </c>
      <c r="V144">
        <v>0.13039772106824929</v>
      </c>
      <c r="W144">
        <v>0.1353058753709199</v>
      </c>
      <c r="X144">
        <v>241.12833178710201</v>
      </c>
      <c r="Y144">
        <v>241.12833178710201</v>
      </c>
      <c r="Z144">
        <v>243.26221082946569</v>
      </c>
      <c r="AA144">
        <v>243.97350384358691</v>
      </c>
      <c r="AB144">
        <v>246.1073828859507</v>
      </c>
      <c r="AC144">
        <v>247.52996891419309</v>
      </c>
      <c r="AD144">
        <v>249.66384795655691</v>
      </c>
      <c r="AE144">
        <v>9.9262614810501049</v>
      </c>
      <c r="AF144">
        <v>9.9262614810501049</v>
      </c>
      <c r="AG144">
        <v>9.9262614810501049</v>
      </c>
      <c r="AH144">
        <v>9.9262614810501049</v>
      </c>
      <c r="AI144">
        <v>9.9262614810501049</v>
      </c>
      <c r="AJ144">
        <v>9.9262614810501049</v>
      </c>
      <c r="AK144">
        <v>9.9262614810501049</v>
      </c>
    </row>
    <row r="145" spans="1:37" x14ac:dyDescent="0.25">
      <c r="A145" t="s">
        <v>90</v>
      </c>
      <c r="B145" t="s">
        <v>182</v>
      </c>
      <c r="C145" t="s">
        <v>219</v>
      </c>
      <c r="F145" t="s">
        <v>202</v>
      </c>
      <c r="G145" t="s">
        <v>122</v>
      </c>
      <c r="H145" t="s">
        <v>123</v>
      </c>
      <c r="I145" t="s">
        <v>220</v>
      </c>
      <c r="J145" t="s">
        <v>221</v>
      </c>
      <c r="K145" t="s">
        <v>98</v>
      </c>
      <c r="L145">
        <v>0</v>
      </c>
      <c r="M145">
        <v>1</v>
      </c>
      <c r="N145">
        <v>2020</v>
      </c>
      <c r="O145">
        <v>10.89196958520898</v>
      </c>
      <c r="P145">
        <v>1</v>
      </c>
      <c r="Q145">
        <v>0.1014794065281899</v>
      </c>
      <c r="R145">
        <v>0.1014794065281899</v>
      </c>
      <c r="S145">
        <v>0.1114283679525223</v>
      </c>
      <c r="T145">
        <v>0.120581412462908</v>
      </c>
      <c r="U145">
        <v>0.12548956676557871</v>
      </c>
      <c r="V145">
        <v>0.13039772106824929</v>
      </c>
      <c r="W145">
        <v>0.1353058753709199</v>
      </c>
      <c r="X145">
        <v>241.12833178710201</v>
      </c>
      <c r="Y145">
        <v>241.12833178710201</v>
      </c>
      <c r="Z145">
        <v>243.26221082946569</v>
      </c>
      <c r="AA145">
        <v>243.97350384358691</v>
      </c>
      <c r="AB145">
        <v>246.1073828859507</v>
      </c>
      <c r="AC145">
        <v>247.52996891419309</v>
      </c>
      <c r="AD145">
        <v>249.66384795655691</v>
      </c>
      <c r="AE145">
        <v>9.9262614810501049</v>
      </c>
      <c r="AF145">
        <v>9.9262614810501049</v>
      </c>
      <c r="AG145">
        <v>9.9262614810501049</v>
      </c>
      <c r="AH145">
        <v>9.9262614810501049</v>
      </c>
      <c r="AI145">
        <v>9.9262614810501049</v>
      </c>
      <c r="AJ145">
        <v>9.9262614810501049</v>
      </c>
      <c r="AK145">
        <v>9.9262614810501049</v>
      </c>
    </row>
    <row r="146" spans="1:37" x14ac:dyDescent="0.25">
      <c r="A146" t="s">
        <v>90</v>
      </c>
      <c r="B146" t="s">
        <v>182</v>
      </c>
      <c r="C146" t="s">
        <v>219</v>
      </c>
      <c r="F146" t="s">
        <v>202</v>
      </c>
      <c r="G146" t="s">
        <v>124</v>
      </c>
      <c r="H146" t="s">
        <v>125</v>
      </c>
      <c r="I146" t="s">
        <v>220</v>
      </c>
      <c r="J146" t="s">
        <v>221</v>
      </c>
      <c r="K146" t="s">
        <v>98</v>
      </c>
      <c r="L146">
        <v>0</v>
      </c>
      <c r="M146">
        <v>1</v>
      </c>
      <c r="N146">
        <v>2020</v>
      </c>
      <c r="O146">
        <v>10.89196958520898</v>
      </c>
      <c r="P146">
        <v>0.1</v>
      </c>
      <c r="Q146">
        <v>0.1014794065281899</v>
      </c>
      <c r="R146">
        <v>0.1014794065281899</v>
      </c>
      <c r="S146">
        <v>0.1114283679525223</v>
      </c>
      <c r="T146">
        <v>0.120581412462908</v>
      </c>
      <c r="U146">
        <v>0.12548956676557871</v>
      </c>
      <c r="V146">
        <v>0.13039772106824929</v>
      </c>
      <c r="W146">
        <v>0.1353058753709199</v>
      </c>
      <c r="X146">
        <v>241.12833178710201</v>
      </c>
      <c r="Y146">
        <v>241.12833178710201</v>
      </c>
      <c r="Z146">
        <v>243.26221082946569</v>
      </c>
      <c r="AA146">
        <v>243.97350384358691</v>
      </c>
      <c r="AB146">
        <v>246.1073828859507</v>
      </c>
      <c r="AC146">
        <v>247.52996891419309</v>
      </c>
      <c r="AD146">
        <v>249.66384795655691</v>
      </c>
      <c r="AE146">
        <v>9.9262614810501049</v>
      </c>
      <c r="AF146">
        <v>9.9262614810501049</v>
      </c>
      <c r="AG146">
        <v>9.9262614810501049</v>
      </c>
      <c r="AH146">
        <v>9.9262614810501049</v>
      </c>
      <c r="AI146">
        <v>9.9262614810501049</v>
      </c>
      <c r="AJ146">
        <v>9.9262614810501049</v>
      </c>
      <c r="AK146">
        <v>9.9262614810501049</v>
      </c>
    </row>
    <row r="147" spans="1:37" x14ac:dyDescent="0.25">
      <c r="A147" t="s">
        <v>90</v>
      </c>
      <c r="B147" t="s">
        <v>182</v>
      </c>
      <c r="C147" t="s">
        <v>219</v>
      </c>
      <c r="F147" t="s">
        <v>205</v>
      </c>
      <c r="G147" t="s">
        <v>119</v>
      </c>
      <c r="H147" t="s">
        <v>120</v>
      </c>
      <c r="I147" t="s">
        <v>220</v>
      </c>
      <c r="J147" t="s">
        <v>222</v>
      </c>
      <c r="K147" t="s">
        <v>98</v>
      </c>
      <c r="L147">
        <v>1</v>
      </c>
      <c r="M147">
        <v>1</v>
      </c>
      <c r="N147">
        <v>2020</v>
      </c>
      <c r="O147">
        <v>10.89196958520898</v>
      </c>
      <c r="P147">
        <v>1</v>
      </c>
      <c r="Q147">
        <v>0.1028059347181009</v>
      </c>
      <c r="R147">
        <v>0.1028059347181009</v>
      </c>
      <c r="S147">
        <v>0.1111630623145401</v>
      </c>
      <c r="T147">
        <v>0.12177528783382791</v>
      </c>
      <c r="U147">
        <v>0.12668344213649849</v>
      </c>
      <c r="V147">
        <v>0.1315915964391691</v>
      </c>
      <c r="W147">
        <v>0.1366324035608309</v>
      </c>
      <c r="X147">
        <v>253.22031302716309</v>
      </c>
      <c r="Y147">
        <v>253.22031302716309</v>
      </c>
      <c r="Z147">
        <v>255.35419206952679</v>
      </c>
      <c r="AA147">
        <v>256.06548508364801</v>
      </c>
      <c r="AB147">
        <v>257.48807111189058</v>
      </c>
      <c r="AC147">
        <v>259.62195015425431</v>
      </c>
      <c r="AD147">
        <v>261.75582919661798</v>
      </c>
      <c r="AE147">
        <v>9.9262614810501049</v>
      </c>
      <c r="AF147">
        <v>9.9262614810501049</v>
      </c>
      <c r="AG147">
        <v>9.9262614810501049</v>
      </c>
      <c r="AH147">
        <v>9.9262614810501049</v>
      </c>
      <c r="AI147">
        <v>9.9262614810501049</v>
      </c>
      <c r="AJ147">
        <v>9.9262614810501049</v>
      </c>
      <c r="AK147">
        <v>9.9262614810501049</v>
      </c>
    </row>
    <row r="148" spans="1:37" x14ac:dyDescent="0.25">
      <c r="A148" t="s">
        <v>90</v>
      </c>
      <c r="B148" t="s">
        <v>182</v>
      </c>
      <c r="C148" t="s">
        <v>219</v>
      </c>
      <c r="F148" t="s">
        <v>205</v>
      </c>
      <c r="G148" t="s">
        <v>122</v>
      </c>
      <c r="H148" t="s">
        <v>123</v>
      </c>
      <c r="I148" t="s">
        <v>220</v>
      </c>
      <c r="J148" t="s">
        <v>222</v>
      </c>
      <c r="K148" t="s">
        <v>98</v>
      </c>
      <c r="L148">
        <v>0</v>
      </c>
      <c r="M148">
        <v>1</v>
      </c>
      <c r="N148">
        <v>2020</v>
      </c>
      <c r="O148">
        <v>10.89196958520898</v>
      </c>
      <c r="P148">
        <v>1</v>
      </c>
      <c r="Q148">
        <v>0.1028059347181009</v>
      </c>
      <c r="R148">
        <v>0.1028059347181009</v>
      </c>
      <c r="S148">
        <v>0.1111630623145401</v>
      </c>
      <c r="T148">
        <v>0.12177528783382791</v>
      </c>
      <c r="U148">
        <v>0.12668344213649849</v>
      </c>
      <c r="V148">
        <v>0.1315915964391691</v>
      </c>
      <c r="W148">
        <v>0.1366324035608309</v>
      </c>
      <c r="X148">
        <v>253.22031302716309</v>
      </c>
      <c r="Y148">
        <v>253.22031302716309</v>
      </c>
      <c r="Z148">
        <v>255.35419206952679</v>
      </c>
      <c r="AA148">
        <v>256.06548508364801</v>
      </c>
      <c r="AB148">
        <v>257.48807111189058</v>
      </c>
      <c r="AC148">
        <v>259.62195015425431</v>
      </c>
      <c r="AD148">
        <v>261.75582919661798</v>
      </c>
      <c r="AE148">
        <v>9.9262614810501049</v>
      </c>
      <c r="AF148">
        <v>9.9262614810501049</v>
      </c>
      <c r="AG148">
        <v>9.9262614810501049</v>
      </c>
      <c r="AH148">
        <v>9.9262614810501049</v>
      </c>
      <c r="AI148">
        <v>9.9262614810501049</v>
      </c>
      <c r="AJ148">
        <v>9.9262614810501049</v>
      </c>
      <c r="AK148">
        <v>9.9262614810501049</v>
      </c>
    </row>
    <row r="149" spans="1:37" x14ac:dyDescent="0.25">
      <c r="A149" t="s">
        <v>90</v>
      </c>
      <c r="B149" t="s">
        <v>182</v>
      </c>
      <c r="C149" t="s">
        <v>219</v>
      </c>
      <c r="F149" t="s">
        <v>205</v>
      </c>
      <c r="G149" t="s">
        <v>124</v>
      </c>
      <c r="H149" t="s">
        <v>125</v>
      </c>
      <c r="I149" t="s">
        <v>220</v>
      </c>
      <c r="J149" t="s">
        <v>222</v>
      </c>
      <c r="K149" t="s">
        <v>98</v>
      </c>
      <c r="L149">
        <v>0</v>
      </c>
      <c r="M149">
        <v>1</v>
      </c>
      <c r="N149">
        <v>2020</v>
      </c>
      <c r="O149">
        <v>10.89196958520898</v>
      </c>
      <c r="P149">
        <v>0.1</v>
      </c>
      <c r="Q149">
        <v>0.1028059347181009</v>
      </c>
      <c r="R149">
        <v>0.1028059347181009</v>
      </c>
      <c r="S149">
        <v>0.1111630623145401</v>
      </c>
      <c r="T149">
        <v>0.12177528783382791</v>
      </c>
      <c r="U149">
        <v>0.12668344213649849</v>
      </c>
      <c r="V149">
        <v>0.1315915964391691</v>
      </c>
      <c r="W149">
        <v>0.1366324035608309</v>
      </c>
      <c r="X149">
        <v>253.22031302716309</v>
      </c>
      <c r="Y149">
        <v>253.22031302716309</v>
      </c>
      <c r="Z149">
        <v>255.35419206952679</v>
      </c>
      <c r="AA149">
        <v>256.06548508364801</v>
      </c>
      <c r="AB149">
        <v>257.48807111189058</v>
      </c>
      <c r="AC149">
        <v>259.62195015425431</v>
      </c>
      <c r="AD149">
        <v>261.75582919661798</v>
      </c>
      <c r="AE149">
        <v>9.9262614810501049</v>
      </c>
      <c r="AF149">
        <v>9.9262614810501049</v>
      </c>
      <c r="AG149">
        <v>9.9262614810501049</v>
      </c>
      <c r="AH149">
        <v>9.9262614810501049</v>
      </c>
      <c r="AI149">
        <v>9.9262614810501049</v>
      </c>
      <c r="AJ149">
        <v>9.9262614810501049</v>
      </c>
      <c r="AK149">
        <v>9.9262614810501049</v>
      </c>
    </row>
    <row r="150" spans="1:37" x14ac:dyDescent="0.25">
      <c r="A150" t="s">
        <v>90</v>
      </c>
      <c r="B150" t="s">
        <v>182</v>
      </c>
      <c r="C150" t="s">
        <v>219</v>
      </c>
      <c r="F150" t="s">
        <v>207</v>
      </c>
      <c r="G150" t="s">
        <v>119</v>
      </c>
      <c r="H150" t="s">
        <v>120</v>
      </c>
      <c r="I150" t="s">
        <v>220</v>
      </c>
      <c r="J150" t="s">
        <v>223</v>
      </c>
      <c r="K150" t="s">
        <v>98</v>
      </c>
      <c r="L150">
        <v>1</v>
      </c>
      <c r="M150">
        <v>1</v>
      </c>
      <c r="N150">
        <v>2020</v>
      </c>
      <c r="O150">
        <v>10.89196958520898</v>
      </c>
      <c r="P150">
        <v>1</v>
      </c>
      <c r="Q150">
        <v>0.10293858753709199</v>
      </c>
      <c r="R150">
        <v>0.10293858753709199</v>
      </c>
      <c r="S150">
        <v>0.1142140771513353</v>
      </c>
      <c r="T150">
        <v>0.1241630385756677</v>
      </c>
      <c r="U150">
        <v>0.12986710979228491</v>
      </c>
      <c r="V150">
        <v>0.1353058753709199</v>
      </c>
      <c r="W150">
        <v>0.1406119881305638</v>
      </c>
      <c r="X150">
        <v>259.62195015425431</v>
      </c>
      <c r="Y150">
        <v>259.62195015425431</v>
      </c>
      <c r="Z150">
        <v>260.33324316837559</v>
      </c>
      <c r="AA150">
        <v>260.33324316837559</v>
      </c>
      <c r="AB150">
        <v>261.75582919661798</v>
      </c>
      <c r="AC150">
        <v>263.88970823898183</v>
      </c>
      <c r="AD150">
        <v>266.02358728134561</v>
      </c>
      <c r="AE150">
        <v>9.9262614810501049</v>
      </c>
      <c r="AF150">
        <v>9.9262614810501049</v>
      </c>
      <c r="AG150">
        <v>9.9262614810501049</v>
      </c>
      <c r="AH150">
        <v>9.9262614810501049</v>
      </c>
      <c r="AI150">
        <v>9.9262614810501049</v>
      </c>
      <c r="AJ150">
        <v>9.9262614810501049</v>
      </c>
      <c r="AK150">
        <v>9.9262614810501049</v>
      </c>
    </row>
    <row r="151" spans="1:37" x14ac:dyDescent="0.25">
      <c r="A151" t="s">
        <v>90</v>
      </c>
      <c r="B151" t="s">
        <v>182</v>
      </c>
      <c r="C151" t="s">
        <v>219</v>
      </c>
      <c r="F151" t="s">
        <v>207</v>
      </c>
      <c r="G151" t="s">
        <v>122</v>
      </c>
      <c r="H151" t="s">
        <v>123</v>
      </c>
      <c r="I151" t="s">
        <v>220</v>
      </c>
      <c r="J151" t="s">
        <v>223</v>
      </c>
      <c r="K151" t="s">
        <v>98</v>
      </c>
      <c r="L151">
        <v>0</v>
      </c>
      <c r="M151">
        <v>1</v>
      </c>
      <c r="N151">
        <v>2020</v>
      </c>
      <c r="O151">
        <v>10.89196958520898</v>
      </c>
      <c r="P151">
        <v>1</v>
      </c>
      <c r="Q151">
        <v>0.10293858753709199</v>
      </c>
      <c r="R151">
        <v>0.10293858753709199</v>
      </c>
      <c r="S151">
        <v>0.1142140771513353</v>
      </c>
      <c r="T151">
        <v>0.1241630385756677</v>
      </c>
      <c r="U151">
        <v>0.12986710979228491</v>
      </c>
      <c r="V151">
        <v>0.1353058753709199</v>
      </c>
      <c r="W151">
        <v>0.1406119881305638</v>
      </c>
      <c r="X151">
        <v>259.62195015425431</v>
      </c>
      <c r="Y151">
        <v>259.62195015425431</v>
      </c>
      <c r="Z151">
        <v>260.33324316837559</v>
      </c>
      <c r="AA151">
        <v>260.33324316837559</v>
      </c>
      <c r="AB151">
        <v>261.75582919661798</v>
      </c>
      <c r="AC151">
        <v>263.88970823898183</v>
      </c>
      <c r="AD151">
        <v>266.02358728134561</v>
      </c>
      <c r="AE151">
        <v>9.9262614810501049</v>
      </c>
      <c r="AF151">
        <v>9.9262614810501049</v>
      </c>
      <c r="AG151">
        <v>9.9262614810501049</v>
      </c>
      <c r="AH151">
        <v>9.9262614810501049</v>
      </c>
      <c r="AI151">
        <v>9.9262614810501049</v>
      </c>
      <c r="AJ151">
        <v>9.9262614810501049</v>
      </c>
      <c r="AK151">
        <v>9.9262614810501049</v>
      </c>
    </row>
    <row r="152" spans="1:37" x14ac:dyDescent="0.25">
      <c r="A152" t="s">
        <v>90</v>
      </c>
      <c r="B152" t="s">
        <v>182</v>
      </c>
      <c r="C152" t="s">
        <v>219</v>
      </c>
      <c r="F152" t="s">
        <v>207</v>
      </c>
      <c r="G152" t="s">
        <v>124</v>
      </c>
      <c r="H152" t="s">
        <v>125</v>
      </c>
      <c r="I152" t="s">
        <v>220</v>
      </c>
      <c r="J152" t="s">
        <v>223</v>
      </c>
      <c r="K152" t="s">
        <v>98</v>
      </c>
      <c r="L152">
        <v>0</v>
      </c>
      <c r="M152">
        <v>1</v>
      </c>
      <c r="N152">
        <v>2020</v>
      </c>
      <c r="O152">
        <v>10.89196958520898</v>
      </c>
      <c r="P152">
        <v>0.1</v>
      </c>
      <c r="Q152">
        <v>0.10293858753709199</v>
      </c>
      <c r="R152">
        <v>0.10293858753709199</v>
      </c>
      <c r="S152">
        <v>0.1142140771513353</v>
      </c>
      <c r="T152">
        <v>0.1241630385756677</v>
      </c>
      <c r="U152">
        <v>0.12986710979228491</v>
      </c>
      <c r="V152">
        <v>0.1353058753709199</v>
      </c>
      <c r="W152">
        <v>0.1406119881305638</v>
      </c>
      <c r="X152">
        <v>259.62195015425431</v>
      </c>
      <c r="Y152">
        <v>259.62195015425431</v>
      </c>
      <c r="Z152">
        <v>260.33324316837559</v>
      </c>
      <c r="AA152">
        <v>260.33324316837559</v>
      </c>
      <c r="AB152">
        <v>261.75582919661798</v>
      </c>
      <c r="AC152">
        <v>263.88970823898183</v>
      </c>
      <c r="AD152">
        <v>266.02358728134561</v>
      </c>
      <c r="AE152">
        <v>9.9262614810501049</v>
      </c>
      <c r="AF152">
        <v>9.9262614810501049</v>
      </c>
      <c r="AG152">
        <v>9.9262614810501049</v>
      </c>
      <c r="AH152">
        <v>9.9262614810501049</v>
      </c>
      <c r="AI152">
        <v>9.9262614810501049</v>
      </c>
      <c r="AJ152">
        <v>9.9262614810501049</v>
      </c>
      <c r="AK152">
        <v>9.9262614810501049</v>
      </c>
    </row>
    <row r="153" spans="1:37" x14ac:dyDescent="0.25">
      <c r="A153" t="s">
        <v>90</v>
      </c>
      <c r="B153" t="s">
        <v>182</v>
      </c>
      <c r="C153" t="s">
        <v>219</v>
      </c>
      <c r="F153" t="s">
        <v>209</v>
      </c>
      <c r="G153" t="s">
        <v>119</v>
      </c>
      <c r="H153" t="s">
        <v>120</v>
      </c>
      <c r="I153" t="s">
        <v>220</v>
      </c>
      <c r="J153" t="s">
        <v>224</v>
      </c>
      <c r="K153" t="s">
        <v>98</v>
      </c>
      <c r="L153">
        <v>1</v>
      </c>
      <c r="M153">
        <v>1</v>
      </c>
      <c r="N153">
        <v>2020</v>
      </c>
      <c r="O153">
        <v>10.89196958520898</v>
      </c>
      <c r="P153">
        <v>0.34675615212528432</v>
      </c>
      <c r="Q153">
        <v>0.18040783382789249</v>
      </c>
      <c r="R153">
        <v>0.18040783382789249</v>
      </c>
      <c r="S153">
        <v>0.20163228486646839</v>
      </c>
      <c r="T153">
        <v>0.22285673590504509</v>
      </c>
      <c r="U153">
        <v>0.23214243323442141</v>
      </c>
      <c r="V153">
        <v>0.2414281305637975</v>
      </c>
      <c r="W153">
        <v>0.25204035608308611</v>
      </c>
      <c r="X153">
        <v>374.14012542777448</v>
      </c>
      <c r="Y153">
        <v>374.14012542777448</v>
      </c>
      <c r="Z153">
        <v>325.06090745340788</v>
      </c>
      <c r="AA153">
        <v>300.16565195916411</v>
      </c>
      <c r="AB153">
        <v>290.91884277558938</v>
      </c>
      <c r="AC153">
        <v>280.96074057789201</v>
      </c>
      <c r="AD153">
        <v>271.71393139431541</v>
      </c>
      <c r="AE153">
        <v>9.9262614810501226</v>
      </c>
      <c r="AF153">
        <v>9.9262614810501226</v>
      </c>
      <c r="AG153">
        <v>9.9262614810501226</v>
      </c>
      <c r="AH153">
        <v>9.9262614810501226</v>
      </c>
      <c r="AI153">
        <v>9.9262614810501226</v>
      </c>
      <c r="AJ153">
        <v>9.9262614810501226</v>
      </c>
      <c r="AK153">
        <v>9.9262614810501226</v>
      </c>
    </row>
    <row r="154" spans="1:37" x14ac:dyDescent="0.25">
      <c r="A154" t="s">
        <v>90</v>
      </c>
      <c r="B154" t="s">
        <v>182</v>
      </c>
      <c r="C154" t="s">
        <v>219</v>
      </c>
      <c r="F154" t="s">
        <v>209</v>
      </c>
      <c r="G154" t="s">
        <v>122</v>
      </c>
      <c r="H154" t="s">
        <v>123</v>
      </c>
      <c r="I154" t="s">
        <v>220</v>
      </c>
      <c r="J154" t="s">
        <v>224</v>
      </c>
      <c r="K154" t="s">
        <v>98</v>
      </c>
      <c r="L154">
        <v>0</v>
      </c>
      <c r="M154">
        <v>1</v>
      </c>
      <c r="N154">
        <v>2020</v>
      </c>
      <c r="O154">
        <v>10.89196958520898</v>
      </c>
      <c r="P154">
        <v>0.34675615212528432</v>
      </c>
      <c r="Q154">
        <v>0.18040783382789249</v>
      </c>
      <c r="R154">
        <v>0.18040783382789249</v>
      </c>
      <c r="S154">
        <v>0.20163228486646839</v>
      </c>
      <c r="T154">
        <v>0.22285673590504509</v>
      </c>
      <c r="U154">
        <v>0.23214243323442141</v>
      </c>
      <c r="V154">
        <v>0.2414281305637975</v>
      </c>
      <c r="W154">
        <v>0.25204035608308611</v>
      </c>
      <c r="X154">
        <v>374.14012542777448</v>
      </c>
      <c r="Y154">
        <v>374.14012542777448</v>
      </c>
      <c r="Z154">
        <v>325.06090745340788</v>
      </c>
      <c r="AA154">
        <v>300.16565195916411</v>
      </c>
      <c r="AB154">
        <v>290.91884277558938</v>
      </c>
      <c r="AC154">
        <v>280.96074057789201</v>
      </c>
      <c r="AD154">
        <v>271.71393139431541</v>
      </c>
      <c r="AE154">
        <v>9.9262614810501226</v>
      </c>
      <c r="AF154">
        <v>9.9262614810501226</v>
      </c>
      <c r="AG154">
        <v>9.9262614810501226</v>
      </c>
      <c r="AH154">
        <v>9.9262614810501226</v>
      </c>
      <c r="AI154">
        <v>9.9262614810501226</v>
      </c>
      <c r="AJ154">
        <v>9.9262614810501226</v>
      </c>
      <c r="AK154">
        <v>9.9262614810501226</v>
      </c>
    </row>
    <row r="155" spans="1:37" x14ac:dyDescent="0.25">
      <c r="A155" t="s">
        <v>90</v>
      </c>
      <c r="B155" t="s">
        <v>182</v>
      </c>
      <c r="C155" t="s">
        <v>219</v>
      </c>
      <c r="F155" t="s">
        <v>209</v>
      </c>
      <c r="G155" t="s">
        <v>124</v>
      </c>
      <c r="H155" t="s">
        <v>125</v>
      </c>
      <c r="I155" t="s">
        <v>220</v>
      </c>
      <c r="J155" t="s">
        <v>224</v>
      </c>
      <c r="K155" t="s">
        <v>98</v>
      </c>
      <c r="L155">
        <v>0</v>
      </c>
      <c r="M155">
        <v>1</v>
      </c>
      <c r="N155">
        <v>2020</v>
      </c>
      <c r="O155">
        <v>10.89196958520898</v>
      </c>
      <c r="P155">
        <v>0.1</v>
      </c>
      <c r="Q155">
        <v>0.18040783382789249</v>
      </c>
      <c r="R155">
        <v>0.18040783382789249</v>
      </c>
      <c r="S155">
        <v>0.20163228486646839</v>
      </c>
      <c r="T155">
        <v>0.22285673590504509</v>
      </c>
      <c r="U155">
        <v>0.23214243323442141</v>
      </c>
      <c r="V155">
        <v>0.2414281305637975</v>
      </c>
      <c r="W155">
        <v>0.25204035608308611</v>
      </c>
      <c r="X155">
        <v>374.14012542777448</v>
      </c>
      <c r="Y155">
        <v>374.14012542777448</v>
      </c>
      <c r="Z155">
        <v>325.06090745340788</v>
      </c>
      <c r="AA155">
        <v>300.16565195916411</v>
      </c>
      <c r="AB155">
        <v>290.91884277558938</v>
      </c>
      <c r="AC155">
        <v>280.96074057789201</v>
      </c>
      <c r="AD155">
        <v>271.71393139431541</v>
      </c>
      <c r="AE155">
        <v>9.9262614810501226</v>
      </c>
      <c r="AF155">
        <v>9.9262614810501226</v>
      </c>
      <c r="AG155">
        <v>9.9262614810501226</v>
      </c>
      <c r="AH155">
        <v>9.9262614810501226</v>
      </c>
      <c r="AI155">
        <v>9.9262614810501226</v>
      </c>
      <c r="AJ155">
        <v>9.9262614810501226</v>
      </c>
      <c r="AK155">
        <v>9.9262614810501226</v>
      </c>
    </row>
    <row r="156" spans="1:37" x14ac:dyDescent="0.25">
      <c r="A156" t="s">
        <v>90</v>
      </c>
      <c r="B156" t="s">
        <v>182</v>
      </c>
      <c r="C156" t="s">
        <v>219</v>
      </c>
      <c r="F156" t="s">
        <v>209</v>
      </c>
      <c r="G156" t="s">
        <v>211</v>
      </c>
      <c r="H156" t="s">
        <v>212</v>
      </c>
      <c r="I156" t="s">
        <v>220</v>
      </c>
      <c r="J156" t="s">
        <v>224</v>
      </c>
      <c r="K156" t="s">
        <v>98</v>
      </c>
      <c r="L156">
        <v>0</v>
      </c>
      <c r="M156">
        <v>1</v>
      </c>
      <c r="N156">
        <v>2020</v>
      </c>
      <c r="O156">
        <v>10.89196958520898</v>
      </c>
      <c r="P156">
        <v>0.65324384787471568</v>
      </c>
      <c r="Q156">
        <v>0.18040783382789249</v>
      </c>
      <c r="R156">
        <v>0.18040783382789249</v>
      </c>
      <c r="S156">
        <v>0.20163228486646839</v>
      </c>
      <c r="T156">
        <v>0.22285673590504509</v>
      </c>
      <c r="U156">
        <v>0.23214243323442141</v>
      </c>
      <c r="V156">
        <v>0.2414281305637975</v>
      </c>
      <c r="W156">
        <v>0.25204035608308611</v>
      </c>
      <c r="X156">
        <v>374.14012542777448</v>
      </c>
      <c r="Y156">
        <v>374.14012542777448</v>
      </c>
      <c r="Z156">
        <v>325.06090745340788</v>
      </c>
      <c r="AA156">
        <v>300.16565195916411</v>
      </c>
      <c r="AB156">
        <v>290.91884277558938</v>
      </c>
      <c r="AC156">
        <v>280.96074057789201</v>
      </c>
      <c r="AD156">
        <v>271.71393139431541</v>
      </c>
      <c r="AE156">
        <v>9.9262614810501226</v>
      </c>
      <c r="AF156">
        <v>9.9262614810501226</v>
      </c>
      <c r="AG156">
        <v>9.9262614810501226</v>
      </c>
      <c r="AH156">
        <v>9.9262614810501226</v>
      </c>
      <c r="AI156">
        <v>9.9262614810501226</v>
      </c>
      <c r="AJ156">
        <v>9.9262614810501226</v>
      </c>
      <c r="AK156">
        <v>9.9262614810501226</v>
      </c>
    </row>
    <row r="157" spans="1:37" x14ac:dyDescent="0.25">
      <c r="A157" t="s">
        <v>90</v>
      </c>
      <c r="B157" t="s">
        <v>182</v>
      </c>
      <c r="C157" t="s">
        <v>219</v>
      </c>
      <c r="F157" t="s">
        <v>213</v>
      </c>
      <c r="G157" t="s">
        <v>133</v>
      </c>
      <c r="H157" t="s">
        <v>134</v>
      </c>
      <c r="I157" t="s">
        <v>220</v>
      </c>
      <c r="J157" t="s">
        <v>225</v>
      </c>
      <c r="K157" t="s">
        <v>98</v>
      </c>
      <c r="L157">
        <v>1</v>
      </c>
      <c r="M157">
        <v>1</v>
      </c>
      <c r="N157">
        <v>2020</v>
      </c>
      <c r="O157">
        <v>10.89196958520898</v>
      </c>
      <c r="P157">
        <v>1</v>
      </c>
      <c r="Q157">
        <v>0.1150099940652819</v>
      </c>
      <c r="R157">
        <v>0.1150099940652819</v>
      </c>
      <c r="S157">
        <v>0.12933649851632051</v>
      </c>
      <c r="T157">
        <v>0.14326504451038591</v>
      </c>
      <c r="U157">
        <v>0.15122421364985161</v>
      </c>
      <c r="V157">
        <v>0.15918338278931751</v>
      </c>
      <c r="W157">
        <v>0.16714255192878349</v>
      </c>
      <c r="X157">
        <v>409.70477613383707</v>
      </c>
      <c r="Y157">
        <v>409.70477613383707</v>
      </c>
      <c r="Z157">
        <v>364.89331624419862</v>
      </c>
      <c r="AA157">
        <v>340.70935376407601</v>
      </c>
      <c r="AB157">
        <v>331.46254458049981</v>
      </c>
      <c r="AC157">
        <v>322.21573539692372</v>
      </c>
      <c r="AD157">
        <v>313.68021922746908</v>
      </c>
      <c r="AE157">
        <v>9.9915658328991128</v>
      </c>
      <c r="AF157">
        <v>9.9915658328991128</v>
      </c>
      <c r="AG157">
        <v>9.9915658328991128</v>
      </c>
      <c r="AH157">
        <v>9.9915658328991128</v>
      </c>
      <c r="AI157">
        <v>9.9915658328991128</v>
      </c>
      <c r="AJ157">
        <v>9.9915658328991128</v>
      </c>
      <c r="AK157">
        <v>9.9915658328991128</v>
      </c>
    </row>
    <row r="158" spans="1:37" x14ac:dyDescent="0.25">
      <c r="A158" t="s">
        <v>90</v>
      </c>
      <c r="B158" t="s">
        <v>182</v>
      </c>
      <c r="C158" t="s">
        <v>219</v>
      </c>
      <c r="F158" t="s">
        <v>215</v>
      </c>
      <c r="G158" t="s">
        <v>133</v>
      </c>
      <c r="H158" t="s">
        <v>134</v>
      </c>
      <c r="I158" t="s">
        <v>220</v>
      </c>
      <c r="J158" t="s">
        <v>226</v>
      </c>
      <c r="K158" t="s">
        <v>98</v>
      </c>
      <c r="L158">
        <v>1</v>
      </c>
      <c r="M158">
        <v>1</v>
      </c>
      <c r="N158">
        <v>2020</v>
      </c>
      <c r="O158">
        <v>10.89196958520898</v>
      </c>
      <c r="P158">
        <v>0.92029887920298814</v>
      </c>
      <c r="Q158">
        <v>0.1234997744807122</v>
      </c>
      <c r="R158">
        <v>0.1234997744807122</v>
      </c>
      <c r="S158">
        <v>0.13928545994065281</v>
      </c>
      <c r="T158">
        <v>0.15918338278931751</v>
      </c>
      <c r="U158">
        <v>0.16979560830860541</v>
      </c>
      <c r="V158">
        <v>0.17908130563798219</v>
      </c>
      <c r="W158">
        <v>0.18969353115727011</v>
      </c>
      <c r="X158">
        <v>322.92702841104523</v>
      </c>
      <c r="Y158">
        <v>322.92702841104523</v>
      </c>
      <c r="Z158">
        <v>289.49625674734659</v>
      </c>
      <c r="AA158">
        <v>270.29134536607307</v>
      </c>
      <c r="AB158">
        <v>262.46712221073909</v>
      </c>
      <c r="AC158">
        <v>255.35419206952679</v>
      </c>
      <c r="AD158">
        <v>248.24126192831449</v>
      </c>
      <c r="AE158">
        <v>9.9915658328991128</v>
      </c>
      <c r="AF158">
        <v>9.9915658328991128</v>
      </c>
      <c r="AG158">
        <v>9.9915658328991128</v>
      </c>
      <c r="AH158">
        <v>9.9915658328991128</v>
      </c>
      <c r="AI158">
        <v>9.9915658328991128</v>
      </c>
      <c r="AJ158">
        <v>9.9915658328991128</v>
      </c>
      <c r="AK158">
        <v>9.9915658328991128</v>
      </c>
    </row>
    <row r="159" spans="1:37" x14ac:dyDescent="0.25">
      <c r="A159" t="s">
        <v>90</v>
      </c>
      <c r="B159" t="s">
        <v>182</v>
      </c>
      <c r="C159" t="s">
        <v>219</v>
      </c>
      <c r="F159" t="s">
        <v>215</v>
      </c>
      <c r="G159" t="s">
        <v>211</v>
      </c>
      <c r="H159" t="s">
        <v>212</v>
      </c>
      <c r="I159" t="s">
        <v>220</v>
      </c>
      <c r="J159" t="s">
        <v>226</v>
      </c>
      <c r="K159" t="s">
        <v>98</v>
      </c>
      <c r="L159">
        <v>0</v>
      </c>
      <c r="M159">
        <v>1</v>
      </c>
      <c r="N159">
        <v>2020</v>
      </c>
      <c r="O159">
        <v>10.89196958520898</v>
      </c>
      <c r="P159">
        <v>7.9701120797011846E-2</v>
      </c>
      <c r="Q159">
        <v>0.1234997744807122</v>
      </c>
      <c r="R159">
        <v>0.1234997744807122</v>
      </c>
      <c r="S159">
        <v>0.13928545994065281</v>
      </c>
      <c r="T159">
        <v>0.15918338278931751</v>
      </c>
      <c r="U159">
        <v>0.16979560830860541</v>
      </c>
      <c r="V159">
        <v>0.17908130563798219</v>
      </c>
      <c r="W159">
        <v>0.18969353115727011</v>
      </c>
      <c r="X159">
        <v>322.92702841104523</v>
      </c>
      <c r="Y159">
        <v>322.92702841104523</v>
      </c>
      <c r="Z159">
        <v>289.49625674734659</v>
      </c>
      <c r="AA159">
        <v>270.29134536607307</v>
      </c>
      <c r="AB159">
        <v>262.46712221073909</v>
      </c>
      <c r="AC159">
        <v>255.35419206952679</v>
      </c>
      <c r="AD159">
        <v>248.24126192831449</v>
      </c>
      <c r="AE159">
        <v>9.9915658328991128</v>
      </c>
      <c r="AF159">
        <v>9.9915658328991128</v>
      </c>
      <c r="AG159">
        <v>9.9915658328991128</v>
      </c>
      <c r="AH159">
        <v>9.9915658328991128</v>
      </c>
      <c r="AI159">
        <v>9.9915658328991128</v>
      </c>
      <c r="AJ159">
        <v>9.9915658328991128</v>
      </c>
      <c r="AK159">
        <v>9.9915658328991128</v>
      </c>
    </row>
    <row r="160" spans="1:37" x14ac:dyDescent="0.25">
      <c r="A160" t="s">
        <v>90</v>
      </c>
      <c r="B160" t="s">
        <v>182</v>
      </c>
      <c r="C160" t="s">
        <v>219</v>
      </c>
      <c r="F160" t="s">
        <v>217</v>
      </c>
      <c r="G160" t="s">
        <v>211</v>
      </c>
      <c r="H160" t="s">
        <v>212</v>
      </c>
      <c r="I160" t="s">
        <v>220</v>
      </c>
      <c r="J160" t="s">
        <v>227</v>
      </c>
      <c r="K160" t="s">
        <v>98</v>
      </c>
      <c r="L160">
        <v>1</v>
      </c>
      <c r="M160">
        <v>1</v>
      </c>
      <c r="N160">
        <v>2020</v>
      </c>
      <c r="O160">
        <v>10.89196958520898</v>
      </c>
      <c r="P160">
        <v>1</v>
      </c>
      <c r="Q160">
        <v>0.2215302077151334</v>
      </c>
      <c r="R160">
        <v>0.2215302077151334</v>
      </c>
      <c r="S160">
        <v>0.24673424332344221</v>
      </c>
      <c r="T160">
        <v>0.27193827893175071</v>
      </c>
      <c r="U160">
        <v>0.2812239762611275</v>
      </c>
      <c r="V160">
        <v>0.29316272997032661</v>
      </c>
      <c r="W160">
        <v>0.30510148367952522</v>
      </c>
      <c r="X160">
        <v>477.277612475355</v>
      </c>
      <c r="Y160">
        <v>477.277612475355</v>
      </c>
      <c r="Z160">
        <v>392.63374379492677</v>
      </c>
      <c r="AA160">
        <v>348.53357691941</v>
      </c>
      <c r="AB160">
        <v>330.0399585522577</v>
      </c>
      <c r="AC160">
        <v>310.83504717098378</v>
      </c>
      <c r="AD160">
        <v>292.34142880383138</v>
      </c>
      <c r="AE160">
        <v>6.3998264812033572</v>
      </c>
      <c r="AF160">
        <v>6.3998264812033572</v>
      </c>
      <c r="AG160">
        <v>6.3998264812033572</v>
      </c>
      <c r="AH160">
        <v>6.3998264812033572</v>
      </c>
      <c r="AI160">
        <v>6.3998264812033572</v>
      </c>
      <c r="AJ160">
        <v>6.3998264812033572</v>
      </c>
      <c r="AK160">
        <v>6.3998264812033572</v>
      </c>
    </row>
    <row r="161" spans="1:37" x14ac:dyDescent="0.25">
      <c r="A161" t="s">
        <v>90</v>
      </c>
      <c r="B161" t="s">
        <v>182</v>
      </c>
      <c r="C161" t="s">
        <v>228</v>
      </c>
      <c r="F161" t="s">
        <v>202</v>
      </c>
      <c r="G161" t="s">
        <v>119</v>
      </c>
      <c r="H161" t="s">
        <v>120</v>
      </c>
      <c r="I161" t="s">
        <v>229</v>
      </c>
      <c r="J161" t="s">
        <v>230</v>
      </c>
      <c r="K161" t="s">
        <v>98</v>
      </c>
      <c r="L161">
        <v>1</v>
      </c>
      <c r="M161">
        <v>1</v>
      </c>
      <c r="N161">
        <v>2020</v>
      </c>
      <c r="O161">
        <v>8.7089799004097141</v>
      </c>
      <c r="P161">
        <v>1</v>
      </c>
      <c r="Q161">
        <v>0.15255074183976261</v>
      </c>
      <c r="R161">
        <v>0.15255074183976261</v>
      </c>
      <c r="S161">
        <v>0.16846908011869441</v>
      </c>
      <c r="T161">
        <v>0.18372415430267069</v>
      </c>
      <c r="U161">
        <v>0.19367311572700291</v>
      </c>
      <c r="V161">
        <v>0.20295881305637981</v>
      </c>
      <c r="W161">
        <v>0.21158124629080119</v>
      </c>
      <c r="X161">
        <v>301.23259148034708</v>
      </c>
      <c r="Y161">
        <v>301.23259148034708</v>
      </c>
      <c r="Z161">
        <v>302.29953100152898</v>
      </c>
      <c r="AA161">
        <v>301.94388449446831</v>
      </c>
      <c r="AB161">
        <v>302.65517750858959</v>
      </c>
      <c r="AC161">
        <v>303.0108240156502</v>
      </c>
      <c r="AD161">
        <v>304.07776353683221</v>
      </c>
      <c r="AE161">
        <v>9.637474954139952</v>
      </c>
      <c r="AF161">
        <v>9.637474954139952</v>
      </c>
      <c r="AG161">
        <v>9.637474954139952</v>
      </c>
      <c r="AH161">
        <v>9.637474954139952</v>
      </c>
      <c r="AI161">
        <v>9.637474954139952</v>
      </c>
      <c r="AJ161">
        <v>9.637474954139952</v>
      </c>
      <c r="AK161">
        <v>9.637474954139952</v>
      </c>
    </row>
    <row r="162" spans="1:37" x14ac:dyDescent="0.25">
      <c r="A162" t="s">
        <v>90</v>
      </c>
      <c r="B162" t="s">
        <v>182</v>
      </c>
      <c r="C162" t="s">
        <v>228</v>
      </c>
      <c r="F162" t="s">
        <v>202</v>
      </c>
      <c r="G162" t="s">
        <v>122</v>
      </c>
      <c r="H162" t="s">
        <v>123</v>
      </c>
      <c r="I162" t="s">
        <v>229</v>
      </c>
      <c r="J162" t="s">
        <v>230</v>
      </c>
      <c r="K162" t="s">
        <v>98</v>
      </c>
      <c r="L162">
        <v>0</v>
      </c>
      <c r="M162">
        <v>1</v>
      </c>
      <c r="N162">
        <v>2020</v>
      </c>
      <c r="O162">
        <v>8.7089799004097141</v>
      </c>
      <c r="P162">
        <v>1</v>
      </c>
      <c r="Q162">
        <v>0.15255074183976261</v>
      </c>
      <c r="R162">
        <v>0.15255074183976261</v>
      </c>
      <c r="S162">
        <v>0.16846908011869441</v>
      </c>
      <c r="T162">
        <v>0.18372415430267069</v>
      </c>
      <c r="U162">
        <v>0.19367311572700291</v>
      </c>
      <c r="V162">
        <v>0.20295881305637981</v>
      </c>
      <c r="W162">
        <v>0.21158124629080119</v>
      </c>
      <c r="X162">
        <v>301.23259148034708</v>
      </c>
      <c r="Y162">
        <v>301.23259148034708</v>
      </c>
      <c r="Z162">
        <v>302.29953100152898</v>
      </c>
      <c r="AA162">
        <v>301.94388449446831</v>
      </c>
      <c r="AB162">
        <v>302.65517750858959</v>
      </c>
      <c r="AC162">
        <v>303.0108240156502</v>
      </c>
      <c r="AD162">
        <v>304.07776353683221</v>
      </c>
      <c r="AE162">
        <v>9.637474954139952</v>
      </c>
      <c r="AF162">
        <v>9.637474954139952</v>
      </c>
      <c r="AG162">
        <v>9.637474954139952</v>
      </c>
      <c r="AH162">
        <v>9.637474954139952</v>
      </c>
      <c r="AI162">
        <v>9.637474954139952</v>
      </c>
      <c r="AJ162">
        <v>9.637474954139952</v>
      </c>
      <c r="AK162">
        <v>9.637474954139952</v>
      </c>
    </row>
    <row r="163" spans="1:37" x14ac:dyDescent="0.25">
      <c r="A163" t="s">
        <v>90</v>
      </c>
      <c r="B163" t="s">
        <v>182</v>
      </c>
      <c r="C163" t="s">
        <v>228</v>
      </c>
      <c r="F163" t="s">
        <v>202</v>
      </c>
      <c r="G163" t="s">
        <v>124</v>
      </c>
      <c r="H163" t="s">
        <v>125</v>
      </c>
      <c r="I163" t="s">
        <v>229</v>
      </c>
      <c r="J163" t="s">
        <v>230</v>
      </c>
      <c r="K163" t="s">
        <v>98</v>
      </c>
      <c r="L163">
        <v>0</v>
      </c>
      <c r="M163">
        <v>1</v>
      </c>
      <c r="N163">
        <v>2020</v>
      </c>
      <c r="O163">
        <v>8.7089799004097141</v>
      </c>
      <c r="P163">
        <v>0.1</v>
      </c>
      <c r="Q163">
        <v>0.15255074183976261</v>
      </c>
      <c r="R163">
        <v>0.15255074183976261</v>
      </c>
      <c r="S163">
        <v>0.16846908011869441</v>
      </c>
      <c r="T163">
        <v>0.18372415430267069</v>
      </c>
      <c r="U163">
        <v>0.19367311572700291</v>
      </c>
      <c r="V163">
        <v>0.20295881305637981</v>
      </c>
      <c r="W163">
        <v>0.21158124629080119</v>
      </c>
      <c r="X163">
        <v>301.23259148034708</v>
      </c>
      <c r="Y163">
        <v>301.23259148034708</v>
      </c>
      <c r="Z163">
        <v>302.29953100152898</v>
      </c>
      <c r="AA163">
        <v>301.94388449446831</v>
      </c>
      <c r="AB163">
        <v>302.65517750858959</v>
      </c>
      <c r="AC163">
        <v>303.0108240156502</v>
      </c>
      <c r="AD163">
        <v>304.07776353683221</v>
      </c>
      <c r="AE163">
        <v>9.637474954139952</v>
      </c>
      <c r="AF163">
        <v>9.637474954139952</v>
      </c>
      <c r="AG163">
        <v>9.637474954139952</v>
      </c>
      <c r="AH163">
        <v>9.637474954139952</v>
      </c>
      <c r="AI163">
        <v>9.637474954139952</v>
      </c>
      <c r="AJ163">
        <v>9.637474954139952</v>
      </c>
      <c r="AK163">
        <v>9.637474954139952</v>
      </c>
    </row>
    <row r="164" spans="1:37" x14ac:dyDescent="0.25">
      <c r="A164" t="s">
        <v>90</v>
      </c>
      <c r="B164" t="s">
        <v>182</v>
      </c>
      <c r="C164" t="s">
        <v>228</v>
      </c>
      <c r="F164" t="s">
        <v>205</v>
      </c>
      <c r="G164" t="s">
        <v>119</v>
      </c>
      <c r="H164" t="s">
        <v>120</v>
      </c>
      <c r="I164" t="s">
        <v>229</v>
      </c>
      <c r="J164" t="s">
        <v>231</v>
      </c>
      <c r="K164" t="s">
        <v>98</v>
      </c>
      <c r="L164">
        <v>1</v>
      </c>
      <c r="M164">
        <v>1</v>
      </c>
      <c r="N164">
        <v>2020</v>
      </c>
      <c r="O164">
        <v>8.7089799004097141</v>
      </c>
      <c r="P164">
        <v>1</v>
      </c>
      <c r="Q164">
        <v>0.15387727002967361</v>
      </c>
      <c r="R164">
        <v>0.15387727002967361</v>
      </c>
      <c r="S164">
        <v>0.16913234421364989</v>
      </c>
      <c r="T164">
        <v>0.18505068249258161</v>
      </c>
      <c r="U164">
        <v>0.19433637982195839</v>
      </c>
      <c r="V164">
        <v>0.20362207715133529</v>
      </c>
      <c r="W164">
        <v>0.21290777448071219</v>
      </c>
      <c r="X164">
        <v>333.2407771158031</v>
      </c>
      <c r="Y164">
        <v>333.2407771158031</v>
      </c>
      <c r="Z164">
        <v>335.01900965110627</v>
      </c>
      <c r="AA164">
        <v>333.95207012992438</v>
      </c>
      <c r="AB164">
        <v>333.95207012992438</v>
      </c>
      <c r="AC164">
        <v>334.66336314404572</v>
      </c>
      <c r="AD164">
        <v>335.01900965110627</v>
      </c>
      <c r="AE164">
        <v>9.637474954139952</v>
      </c>
      <c r="AF164">
        <v>9.637474954139952</v>
      </c>
      <c r="AG164">
        <v>9.637474954139952</v>
      </c>
      <c r="AH164">
        <v>9.637474954139952</v>
      </c>
      <c r="AI164">
        <v>9.637474954139952</v>
      </c>
      <c r="AJ164">
        <v>9.637474954139952</v>
      </c>
      <c r="AK164">
        <v>9.637474954139952</v>
      </c>
    </row>
    <row r="165" spans="1:37" x14ac:dyDescent="0.25">
      <c r="A165" t="s">
        <v>90</v>
      </c>
      <c r="B165" t="s">
        <v>182</v>
      </c>
      <c r="C165" t="s">
        <v>228</v>
      </c>
      <c r="F165" t="s">
        <v>205</v>
      </c>
      <c r="G165" t="s">
        <v>122</v>
      </c>
      <c r="H165" t="s">
        <v>123</v>
      </c>
      <c r="I165" t="s">
        <v>229</v>
      </c>
      <c r="J165" t="s">
        <v>231</v>
      </c>
      <c r="K165" t="s">
        <v>98</v>
      </c>
      <c r="L165">
        <v>0</v>
      </c>
      <c r="M165">
        <v>1</v>
      </c>
      <c r="N165">
        <v>2020</v>
      </c>
      <c r="O165">
        <v>8.7089799004097141</v>
      </c>
      <c r="P165">
        <v>1</v>
      </c>
      <c r="Q165">
        <v>0.15387727002967361</v>
      </c>
      <c r="R165">
        <v>0.15387727002967361</v>
      </c>
      <c r="S165">
        <v>0.16913234421364989</v>
      </c>
      <c r="T165">
        <v>0.18505068249258161</v>
      </c>
      <c r="U165">
        <v>0.19433637982195839</v>
      </c>
      <c r="V165">
        <v>0.20362207715133529</v>
      </c>
      <c r="W165">
        <v>0.21290777448071219</v>
      </c>
      <c r="X165">
        <v>333.2407771158031</v>
      </c>
      <c r="Y165">
        <v>333.2407771158031</v>
      </c>
      <c r="Z165">
        <v>335.01900965110627</v>
      </c>
      <c r="AA165">
        <v>333.95207012992438</v>
      </c>
      <c r="AB165">
        <v>333.95207012992438</v>
      </c>
      <c r="AC165">
        <v>334.66336314404572</v>
      </c>
      <c r="AD165">
        <v>335.01900965110627</v>
      </c>
      <c r="AE165">
        <v>9.637474954139952</v>
      </c>
      <c r="AF165">
        <v>9.637474954139952</v>
      </c>
      <c r="AG165">
        <v>9.637474954139952</v>
      </c>
      <c r="AH165">
        <v>9.637474954139952</v>
      </c>
      <c r="AI165">
        <v>9.637474954139952</v>
      </c>
      <c r="AJ165">
        <v>9.637474954139952</v>
      </c>
      <c r="AK165">
        <v>9.637474954139952</v>
      </c>
    </row>
    <row r="166" spans="1:37" x14ac:dyDescent="0.25">
      <c r="A166" t="s">
        <v>90</v>
      </c>
      <c r="B166" t="s">
        <v>182</v>
      </c>
      <c r="C166" t="s">
        <v>228</v>
      </c>
      <c r="F166" t="s">
        <v>205</v>
      </c>
      <c r="G166" t="s">
        <v>124</v>
      </c>
      <c r="H166" t="s">
        <v>125</v>
      </c>
      <c r="I166" t="s">
        <v>229</v>
      </c>
      <c r="J166" t="s">
        <v>231</v>
      </c>
      <c r="K166" t="s">
        <v>98</v>
      </c>
      <c r="L166">
        <v>0</v>
      </c>
      <c r="M166">
        <v>1</v>
      </c>
      <c r="N166">
        <v>2020</v>
      </c>
      <c r="O166">
        <v>8.7089799004097141</v>
      </c>
      <c r="P166">
        <v>0.1</v>
      </c>
      <c r="Q166">
        <v>0.15387727002967361</v>
      </c>
      <c r="R166">
        <v>0.15387727002967361</v>
      </c>
      <c r="S166">
        <v>0.16913234421364989</v>
      </c>
      <c r="T166">
        <v>0.18505068249258161</v>
      </c>
      <c r="U166">
        <v>0.19433637982195839</v>
      </c>
      <c r="V166">
        <v>0.20362207715133529</v>
      </c>
      <c r="W166">
        <v>0.21290777448071219</v>
      </c>
      <c r="X166">
        <v>333.2407771158031</v>
      </c>
      <c r="Y166">
        <v>333.2407771158031</v>
      </c>
      <c r="Z166">
        <v>335.01900965110627</v>
      </c>
      <c r="AA166">
        <v>333.95207012992438</v>
      </c>
      <c r="AB166">
        <v>333.95207012992438</v>
      </c>
      <c r="AC166">
        <v>334.66336314404572</v>
      </c>
      <c r="AD166">
        <v>335.01900965110627</v>
      </c>
      <c r="AE166">
        <v>9.637474954139952</v>
      </c>
      <c r="AF166">
        <v>9.637474954139952</v>
      </c>
      <c r="AG166">
        <v>9.637474954139952</v>
      </c>
      <c r="AH166">
        <v>9.637474954139952</v>
      </c>
      <c r="AI166">
        <v>9.637474954139952</v>
      </c>
      <c r="AJ166">
        <v>9.637474954139952</v>
      </c>
      <c r="AK166">
        <v>9.637474954139952</v>
      </c>
    </row>
    <row r="167" spans="1:37" x14ac:dyDescent="0.25">
      <c r="A167" t="s">
        <v>90</v>
      </c>
      <c r="B167" t="s">
        <v>182</v>
      </c>
      <c r="C167" t="s">
        <v>228</v>
      </c>
      <c r="F167" t="s">
        <v>207</v>
      </c>
      <c r="G167" t="s">
        <v>119</v>
      </c>
      <c r="H167" t="s">
        <v>120</v>
      </c>
      <c r="I167" t="s">
        <v>229</v>
      </c>
      <c r="J167" t="s">
        <v>232</v>
      </c>
      <c r="K167" t="s">
        <v>98</v>
      </c>
      <c r="L167">
        <v>1</v>
      </c>
      <c r="M167">
        <v>1</v>
      </c>
      <c r="N167">
        <v>2020</v>
      </c>
      <c r="O167">
        <v>8.7089799004097141</v>
      </c>
      <c r="P167">
        <v>1</v>
      </c>
      <c r="Q167">
        <v>0.15586706231454009</v>
      </c>
      <c r="R167">
        <v>0.15586706231454009</v>
      </c>
      <c r="S167">
        <v>0.17377519287833831</v>
      </c>
      <c r="T167">
        <v>0.191020059347181</v>
      </c>
      <c r="U167">
        <v>0.20163228486646881</v>
      </c>
      <c r="V167">
        <v>0.21158124629080119</v>
      </c>
      <c r="W167">
        <v>0.2215302077151336</v>
      </c>
      <c r="X167">
        <v>333.59642362286382</v>
      </c>
      <c r="Y167">
        <v>333.59642362286382</v>
      </c>
      <c r="Z167">
        <v>332.88513060874249</v>
      </c>
      <c r="AA167">
        <v>330.39560505931809</v>
      </c>
      <c r="AB167">
        <v>329.68431204519692</v>
      </c>
      <c r="AC167">
        <v>329.32866553813631</v>
      </c>
      <c r="AD167">
        <v>328.97301903107558</v>
      </c>
      <c r="AE167">
        <v>9.637474954139952</v>
      </c>
      <c r="AF167">
        <v>9.637474954139952</v>
      </c>
      <c r="AG167">
        <v>9.637474954139952</v>
      </c>
      <c r="AH167">
        <v>9.637474954139952</v>
      </c>
      <c r="AI167">
        <v>9.637474954139952</v>
      </c>
      <c r="AJ167">
        <v>9.637474954139952</v>
      </c>
      <c r="AK167">
        <v>9.637474954139952</v>
      </c>
    </row>
    <row r="168" spans="1:37" x14ac:dyDescent="0.25">
      <c r="A168" t="s">
        <v>90</v>
      </c>
      <c r="B168" t="s">
        <v>182</v>
      </c>
      <c r="C168" t="s">
        <v>228</v>
      </c>
      <c r="F168" t="s">
        <v>207</v>
      </c>
      <c r="G168" t="s">
        <v>122</v>
      </c>
      <c r="H168" t="s">
        <v>123</v>
      </c>
      <c r="I168" t="s">
        <v>229</v>
      </c>
      <c r="J168" t="s">
        <v>232</v>
      </c>
      <c r="K168" t="s">
        <v>98</v>
      </c>
      <c r="L168">
        <v>0</v>
      </c>
      <c r="M168">
        <v>1</v>
      </c>
      <c r="N168">
        <v>2020</v>
      </c>
      <c r="O168">
        <v>8.7089799004097141</v>
      </c>
      <c r="P168">
        <v>1</v>
      </c>
      <c r="Q168">
        <v>0.15586706231454009</v>
      </c>
      <c r="R168">
        <v>0.15586706231454009</v>
      </c>
      <c r="S168">
        <v>0.17377519287833831</v>
      </c>
      <c r="T168">
        <v>0.191020059347181</v>
      </c>
      <c r="U168">
        <v>0.20163228486646881</v>
      </c>
      <c r="V168">
        <v>0.21158124629080119</v>
      </c>
      <c r="W168">
        <v>0.2215302077151336</v>
      </c>
      <c r="X168">
        <v>333.59642362286382</v>
      </c>
      <c r="Y168">
        <v>333.59642362286382</v>
      </c>
      <c r="Z168">
        <v>332.88513060874249</v>
      </c>
      <c r="AA168">
        <v>330.39560505931809</v>
      </c>
      <c r="AB168">
        <v>329.68431204519692</v>
      </c>
      <c r="AC168">
        <v>329.32866553813631</v>
      </c>
      <c r="AD168">
        <v>328.97301903107558</v>
      </c>
      <c r="AE168">
        <v>9.637474954139952</v>
      </c>
      <c r="AF168">
        <v>9.637474954139952</v>
      </c>
      <c r="AG168">
        <v>9.637474954139952</v>
      </c>
      <c r="AH168">
        <v>9.637474954139952</v>
      </c>
      <c r="AI168">
        <v>9.637474954139952</v>
      </c>
      <c r="AJ168">
        <v>9.637474954139952</v>
      </c>
      <c r="AK168">
        <v>9.637474954139952</v>
      </c>
    </row>
    <row r="169" spans="1:37" x14ac:dyDescent="0.25">
      <c r="A169" t="s">
        <v>90</v>
      </c>
      <c r="B169" t="s">
        <v>182</v>
      </c>
      <c r="C169" t="s">
        <v>228</v>
      </c>
      <c r="F169" t="s">
        <v>207</v>
      </c>
      <c r="G169" t="s">
        <v>124</v>
      </c>
      <c r="H169" t="s">
        <v>125</v>
      </c>
      <c r="I169" t="s">
        <v>229</v>
      </c>
      <c r="J169" t="s">
        <v>232</v>
      </c>
      <c r="K169" t="s">
        <v>98</v>
      </c>
      <c r="L169">
        <v>0</v>
      </c>
      <c r="M169">
        <v>1</v>
      </c>
      <c r="N169">
        <v>2020</v>
      </c>
      <c r="O169">
        <v>8.7089799004097141</v>
      </c>
      <c r="P169">
        <v>0.1</v>
      </c>
      <c r="Q169">
        <v>0.15586706231454009</v>
      </c>
      <c r="R169">
        <v>0.15586706231454009</v>
      </c>
      <c r="S169">
        <v>0.17377519287833831</v>
      </c>
      <c r="T169">
        <v>0.191020059347181</v>
      </c>
      <c r="U169">
        <v>0.20163228486646881</v>
      </c>
      <c r="V169">
        <v>0.21158124629080119</v>
      </c>
      <c r="W169">
        <v>0.2215302077151336</v>
      </c>
      <c r="X169">
        <v>333.59642362286382</v>
      </c>
      <c r="Y169">
        <v>333.59642362286382</v>
      </c>
      <c r="Z169">
        <v>332.88513060874249</v>
      </c>
      <c r="AA169">
        <v>330.39560505931809</v>
      </c>
      <c r="AB169">
        <v>329.68431204519692</v>
      </c>
      <c r="AC169">
        <v>329.32866553813631</v>
      </c>
      <c r="AD169">
        <v>328.97301903107558</v>
      </c>
      <c r="AE169">
        <v>9.637474954139952</v>
      </c>
      <c r="AF169">
        <v>9.637474954139952</v>
      </c>
      <c r="AG169">
        <v>9.637474954139952</v>
      </c>
      <c r="AH169">
        <v>9.637474954139952</v>
      </c>
      <c r="AI169">
        <v>9.637474954139952</v>
      </c>
      <c r="AJ169">
        <v>9.637474954139952</v>
      </c>
      <c r="AK169">
        <v>9.637474954139952</v>
      </c>
    </row>
    <row r="170" spans="1:37" x14ac:dyDescent="0.25">
      <c r="A170" t="s">
        <v>90</v>
      </c>
      <c r="B170" t="s">
        <v>182</v>
      </c>
      <c r="C170" t="s">
        <v>228</v>
      </c>
      <c r="F170" t="s">
        <v>209</v>
      </c>
      <c r="G170" t="s">
        <v>119</v>
      </c>
      <c r="H170" t="s">
        <v>120</v>
      </c>
      <c r="I170" t="s">
        <v>229</v>
      </c>
      <c r="J170" t="s">
        <v>233</v>
      </c>
      <c r="K170" t="s">
        <v>98</v>
      </c>
      <c r="L170">
        <v>1</v>
      </c>
      <c r="M170">
        <v>1</v>
      </c>
      <c r="N170">
        <v>2020</v>
      </c>
      <c r="O170">
        <v>8.7089799004097141</v>
      </c>
      <c r="P170">
        <v>0.53273809523809801</v>
      </c>
      <c r="Q170">
        <v>0.25999952522255132</v>
      </c>
      <c r="R170">
        <v>0.25999952522255132</v>
      </c>
      <c r="S170">
        <v>0.28653008902077193</v>
      </c>
      <c r="T170">
        <v>0.31438718100890251</v>
      </c>
      <c r="U170">
        <v>0.33030551928783269</v>
      </c>
      <c r="V170">
        <v>0.34556059347180917</v>
      </c>
      <c r="W170">
        <v>0.36147893175074242</v>
      </c>
      <c r="X170">
        <v>378.40788351250092</v>
      </c>
      <c r="Y170">
        <v>378.40788351250092</v>
      </c>
      <c r="Z170">
        <v>354.57956753944029</v>
      </c>
      <c r="AA170">
        <v>338.93112122877358</v>
      </c>
      <c r="AB170">
        <v>332.88513060874158</v>
      </c>
      <c r="AC170">
        <v>327.19478649577292</v>
      </c>
      <c r="AD170">
        <v>321.14879587574069</v>
      </c>
      <c r="AE170">
        <v>9.6374749541399289</v>
      </c>
      <c r="AF170">
        <v>9.6374749541399289</v>
      </c>
      <c r="AG170">
        <v>9.6374749541399289</v>
      </c>
      <c r="AH170">
        <v>9.6374749541399289</v>
      </c>
      <c r="AI170">
        <v>9.6374749541399289</v>
      </c>
      <c r="AJ170">
        <v>9.6374749541399289</v>
      </c>
      <c r="AK170">
        <v>9.6374749541399289</v>
      </c>
    </row>
    <row r="171" spans="1:37" x14ac:dyDescent="0.25">
      <c r="A171" t="s">
        <v>90</v>
      </c>
      <c r="B171" t="s">
        <v>182</v>
      </c>
      <c r="C171" t="s">
        <v>228</v>
      </c>
      <c r="F171" t="s">
        <v>209</v>
      </c>
      <c r="G171" t="s">
        <v>122</v>
      </c>
      <c r="H171" t="s">
        <v>123</v>
      </c>
      <c r="I171" t="s">
        <v>229</v>
      </c>
      <c r="J171" t="s">
        <v>233</v>
      </c>
      <c r="K171" t="s">
        <v>98</v>
      </c>
      <c r="L171">
        <v>0</v>
      </c>
      <c r="M171">
        <v>1</v>
      </c>
      <c r="N171">
        <v>2020</v>
      </c>
      <c r="O171">
        <v>8.7089799004097141</v>
      </c>
      <c r="P171">
        <v>0.53273809523809801</v>
      </c>
      <c r="Q171">
        <v>0.25999952522255132</v>
      </c>
      <c r="R171">
        <v>0.25999952522255132</v>
      </c>
      <c r="S171">
        <v>0.28653008902077193</v>
      </c>
      <c r="T171">
        <v>0.31438718100890251</v>
      </c>
      <c r="U171">
        <v>0.33030551928783269</v>
      </c>
      <c r="V171">
        <v>0.34556059347180917</v>
      </c>
      <c r="W171">
        <v>0.36147893175074242</v>
      </c>
      <c r="X171">
        <v>378.40788351250092</v>
      </c>
      <c r="Y171">
        <v>378.40788351250092</v>
      </c>
      <c r="Z171">
        <v>354.57956753944029</v>
      </c>
      <c r="AA171">
        <v>338.93112122877358</v>
      </c>
      <c r="AB171">
        <v>332.88513060874158</v>
      </c>
      <c r="AC171">
        <v>327.19478649577292</v>
      </c>
      <c r="AD171">
        <v>321.14879587574069</v>
      </c>
      <c r="AE171">
        <v>9.6374749541399289</v>
      </c>
      <c r="AF171">
        <v>9.6374749541399289</v>
      </c>
      <c r="AG171">
        <v>9.6374749541399289</v>
      </c>
      <c r="AH171">
        <v>9.6374749541399289</v>
      </c>
      <c r="AI171">
        <v>9.6374749541399289</v>
      </c>
      <c r="AJ171">
        <v>9.6374749541399289</v>
      </c>
      <c r="AK171">
        <v>9.6374749541399289</v>
      </c>
    </row>
    <row r="172" spans="1:37" x14ac:dyDescent="0.25">
      <c r="A172" t="s">
        <v>90</v>
      </c>
      <c r="B172" t="s">
        <v>182</v>
      </c>
      <c r="C172" t="s">
        <v>228</v>
      </c>
      <c r="F172" t="s">
        <v>209</v>
      </c>
      <c r="G172" t="s">
        <v>124</v>
      </c>
      <c r="H172" t="s">
        <v>125</v>
      </c>
      <c r="I172" t="s">
        <v>229</v>
      </c>
      <c r="J172" t="s">
        <v>233</v>
      </c>
      <c r="K172" t="s">
        <v>98</v>
      </c>
      <c r="L172">
        <v>0</v>
      </c>
      <c r="M172">
        <v>1</v>
      </c>
      <c r="N172">
        <v>2020</v>
      </c>
      <c r="O172">
        <v>8.7089799004097141</v>
      </c>
      <c r="P172">
        <v>0.1</v>
      </c>
      <c r="Q172">
        <v>0.25999952522255132</v>
      </c>
      <c r="R172">
        <v>0.25999952522255132</v>
      </c>
      <c r="S172">
        <v>0.28653008902077193</v>
      </c>
      <c r="T172">
        <v>0.31438718100890251</v>
      </c>
      <c r="U172">
        <v>0.33030551928783269</v>
      </c>
      <c r="V172">
        <v>0.34556059347180917</v>
      </c>
      <c r="W172">
        <v>0.36147893175074242</v>
      </c>
      <c r="X172">
        <v>378.40788351250092</v>
      </c>
      <c r="Y172">
        <v>378.40788351250092</v>
      </c>
      <c r="Z172">
        <v>354.57956753944029</v>
      </c>
      <c r="AA172">
        <v>338.93112122877358</v>
      </c>
      <c r="AB172">
        <v>332.88513060874158</v>
      </c>
      <c r="AC172">
        <v>327.19478649577292</v>
      </c>
      <c r="AD172">
        <v>321.14879587574069</v>
      </c>
      <c r="AE172">
        <v>9.6374749541399289</v>
      </c>
      <c r="AF172">
        <v>9.6374749541399289</v>
      </c>
      <c r="AG172">
        <v>9.6374749541399289</v>
      </c>
      <c r="AH172">
        <v>9.6374749541399289</v>
      </c>
      <c r="AI172">
        <v>9.6374749541399289</v>
      </c>
      <c r="AJ172">
        <v>9.6374749541399289</v>
      </c>
      <c r="AK172">
        <v>9.6374749541399289</v>
      </c>
    </row>
    <row r="173" spans="1:37" x14ac:dyDescent="0.25">
      <c r="A173" t="s">
        <v>90</v>
      </c>
      <c r="B173" t="s">
        <v>182</v>
      </c>
      <c r="C173" t="s">
        <v>228</v>
      </c>
      <c r="F173" t="s">
        <v>209</v>
      </c>
      <c r="G173" t="s">
        <v>211</v>
      </c>
      <c r="H173" t="s">
        <v>212</v>
      </c>
      <c r="I173" t="s">
        <v>229</v>
      </c>
      <c r="J173" t="s">
        <v>233</v>
      </c>
      <c r="K173" t="s">
        <v>98</v>
      </c>
      <c r="L173">
        <v>0</v>
      </c>
      <c r="M173">
        <v>1</v>
      </c>
      <c r="N173">
        <v>2020</v>
      </c>
      <c r="O173">
        <v>8.7089799004097141</v>
      </c>
      <c r="P173">
        <v>0.46726190476190199</v>
      </c>
      <c r="Q173">
        <v>0.25999952522255132</v>
      </c>
      <c r="R173">
        <v>0.25999952522255132</v>
      </c>
      <c r="S173">
        <v>0.28653008902077193</v>
      </c>
      <c r="T173">
        <v>0.31438718100890251</v>
      </c>
      <c r="U173">
        <v>0.33030551928783269</v>
      </c>
      <c r="V173">
        <v>0.34556059347180917</v>
      </c>
      <c r="W173">
        <v>0.36147893175074242</v>
      </c>
      <c r="X173">
        <v>378.40788351250092</v>
      </c>
      <c r="Y173">
        <v>378.40788351250092</v>
      </c>
      <c r="Z173">
        <v>354.57956753944029</v>
      </c>
      <c r="AA173">
        <v>338.93112122877358</v>
      </c>
      <c r="AB173">
        <v>332.88513060874158</v>
      </c>
      <c r="AC173">
        <v>327.19478649577292</v>
      </c>
      <c r="AD173">
        <v>321.14879587574069</v>
      </c>
      <c r="AE173">
        <v>9.6374749541399289</v>
      </c>
      <c r="AF173">
        <v>9.6374749541399289</v>
      </c>
      <c r="AG173">
        <v>9.6374749541399289</v>
      </c>
      <c r="AH173">
        <v>9.6374749541399289</v>
      </c>
      <c r="AI173">
        <v>9.6374749541399289</v>
      </c>
      <c r="AJ173">
        <v>9.6374749541399289</v>
      </c>
      <c r="AK173">
        <v>9.6374749541399289</v>
      </c>
    </row>
    <row r="174" spans="1:37" x14ac:dyDescent="0.25">
      <c r="A174" t="s">
        <v>90</v>
      </c>
      <c r="B174" t="s">
        <v>182</v>
      </c>
      <c r="C174" t="s">
        <v>228</v>
      </c>
      <c r="F174" t="s">
        <v>213</v>
      </c>
      <c r="G174" t="s">
        <v>133</v>
      </c>
      <c r="H174" t="s">
        <v>134</v>
      </c>
      <c r="I174" t="s">
        <v>229</v>
      </c>
      <c r="J174" t="s">
        <v>234</v>
      </c>
      <c r="K174" t="s">
        <v>98</v>
      </c>
      <c r="L174">
        <v>1</v>
      </c>
      <c r="M174">
        <v>1</v>
      </c>
      <c r="N174">
        <v>2020</v>
      </c>
      <c r="O174">
        <v>8.7089799004097141</v>
      </c>
      <c r="P174">
        <v>1</v>
      </c>
      <c r="Q174">
        <v>0.2042853412462908</v>
      </c>
      <c r="R174">
        <v>0.2042853412462908</v>
      </c>
      <c r="S174">
        <v>0.22484652818991099</v>
      </c>
      <c r="T174">
        <v>0.24673424332344221</v>
      </c>
      <c r="U174">
        <v>0.2566832047477744</v>
      </c>
      <c r="V174">
        <v>0.26729543026706237</v>
      </c>
      <c r="W174">
        <v>0.27724439169139448</v>
      </c>
      <c r="X174">
        <v>456.29446855877808</v>
      </c>
      <c r="Y174">
        <v>456.29446855877808</v>
      </c>
      <c r="Z174">
        <v>426.06451545862558</v>
      </c>
      <c r="AA174">
        <v>401.88055297850298</v>
      </c>
      <c r="AB174">
        <v>392.63374379492689</v>
      </c>
      <c r="AC174">
        <v>383.38693461135102</v>
      </c>
      <c r="AD174">
        <v>374.14012542777488</v>
      </c>
      <c r="AE174">
        <v>9.6374749541399449</v>
      </c>
      <c r="AF174">
        <v>9.6374749541399449</v>
      </c>
      <c r="AG174">
        <v>9.6374749541399449</v>
      </c>
      <c r="AH174">
        <v>9.6374749541399449</v>
      </c>
      <c r="AI174">
        <v>9.6374749541399449</v>
      </c>
      <c r="AJ174">
        <v>9.6374749541399449</v>
      </c>
      <c r="AK174">
        <v>9.6374749541399449</v>
      </c>
    </row>
    <row r="175" spans="1:37" x14ac:dyDescent="0.25">
      <c r="A175" t="s">
        <v>90</v>
      </c>
      <c r="B175" t="s">
        <v>182</v>
      </c>
      <c r="C175" t="s">
        <v>228</v>
      </c>
      <c r="F175" t="s">
        <v>215</v>
      </c>
      <c r="G175" t="s">
        <v>133</v>
      </c>
      <c r="H175" t="s">
        <v>134</v>
      </c>
      <c r="I175" t="s">
        <v>229</v>
      </c>
      <c r="J175" t="s">
        <v>235</v>
      </c>
      <c r="K175" t="s">
        <v>98</v>
      </c>
      <c r="L175">
        <v>1</v>
      </c>
      <c r="M175">
        <v>1</v>
      </c>
      <c r="N175">
        <v>2020</v>
      </c>
      <c r="O175">
        <v>8.7089799004097141</v>
      </c>
      <c r="P175">
        <v>0.88973384030418268</v>
      </c>
      <c r="Q175">
        <v>0.22352</v>
      </c>
      <c r="R175">
        <v>0.22352</v>
      </c>
      <c r="S175">
        <v>0.24739750741839769</v>
      </c>
      <c r="T175">
        <v>0.26795869436201769</v>
      </c>
      <c r="U175">
        <v>0.27658112759643932</v>
      </c>
      <c r="V175">
        <v>0.28653008902077137</v>
      </c>
      <c r="W175">
        <v>0.29581578635014832</v>
      </c>
      <c r="X175">
        <v>386.58775317489648</v>
      </c>
      <c r="Y175">
        <v>386.58775317489648</v>
      </c>
      <c r="Z175">
        <v>358.84732562416781</v>
      </c>
      <c r="AA175">
        <v>340.70935376407652</v>
      </c>
      <c r="AB175">
        <v>333.59642362286371</v>
      </c>
      <c r="AC175">
        <v>326.12784697459062</v>
      </c>
      <c r="AD175">
        <v>318.6592703263176</v>
      </c>
      <c r="AE175">
        <v>9.6374749541399449</v>
      </c>
      <c r="AF175">
        <v>9.6374749541399449</v>
      </c>
      <c r="AG175">
        <v>9.6374749541399449</v>
      </c>
      <c r="AH175">
        <v>9.6374749541399449</v>
      </c>
      <c r="AI175">
        <v>9.6374749541399449</v>
      </c>
      <c r="AJ175">
        <v>9.6374749541399449</v>
      </c>
      <c r="AK175">
        <v>9.6374749541399449</v>
      </c>
    </row>
    <row r="176" spans="1:37" x14ac:dyDescent="0.25">
      <c r="A176" t="s">
        <v>90</v>
      </c>
      <c r="B176" t="s">
        <v>182</v>
      </c>
      <c r="C176" t="s">
        <v>228</v>
      </c>
      <c r="F176" t="s">
        <v>215</v>
      </c>
      <c r="G176" t="s">
        <v>211</v>
      </c>
      <c r="H176" t="s">
        <v>212</v>
      </c>
      <c r="I176" t="s">
        <v>229</v>
      </c>
      <c r="J176" t="s">
        <v>235</v>
      </c>
      <c r="K176" t="s">
        <v>98</v>
      </c>
      <c r="L176">
        <v>0</v>
      </c>
      <c r="M176">
        <v>1</v>
      </c>
      <c r="N176">
        <v>2020</v>
      </c>
      <c r="O176">
        <v>8.7089799004097141</v>
      </c>
      <c r="P176">
        <v>0.1102661596958173</v>
      </c>
      <c r="Q176">
        <v>0.22352</v>
      </c>
      <c r="R176">
        <v>0.22352</v>
      </c>
      <c r="S176">
        <v>0.24739750741839769</v>
      </c>
      <c r="T176">
        <v>0.26795869436201769</v>
      </c>
      <c r="U176">
        <v>0.27658112759643932</v>
      </c>
      <c r="V176">
        <v>0.28653008902077137</v>
      </c>
      <c r="W176">
        <v>0.29581578635014832</v>
      </c>
      <c r="X176">
        <v>386.58775317489648</v>
      </c>
      <c r="Y176">
        <v>386.58775317489648</v>
      </c>
      <c r="Z176">
        <v>358.84732562416781</v>
      </c>
      <c r="AA176">
        <v>340.70935376407652</v>
      </c>
      <c r="AB176">
        <v>333.59642362286371</v>
      </c>
      <c r="AC176">
        <v>326.12784697459062</v>
      </c>
      <c r="AD176">
        <v>318.6592703263176</v>
      </c>
      <c r="AE176">
        <v>9.6374749541399449</v>
      </c>
      <c r="AF176">
        <v>9.6374749541399449</v>
      </c>
      <c r="AG176">
        <v>9.6374749541399449</v>
      </c>
      <c r="AH176">
        <v>9.6374749541399449</v>
      </c>
      <c r="AI176">
        <v>9.6374749541399449</v>
      </c>
      <c r="AJ176">
        <v>9.6374749541399449</v>
      </c>
      <c r="AK176">
        <v>9.6374749541399449</v>
      </c>
    </row>
    <row r="177" spans="1:37" x14ac:dyDescent="0.25">
      <c r="A177" t="s">
        <v>90</v>
      </c>
      <c r="B177" t="s">
        <v>182</v>
      </c>
      <c r="C177" t="s">
        <v>228</v>
      </c>
      <c r="F177" t="s">
        <v>217</v>
      </c>
      <c r="G177" t="s">
        <v>211</v>
      </c>
      <c r="H177" t="s">
        <v>212</v>
      </c>
      <c r="I177" t="s">
        <v>229</v>
      </c>
      <c r="J177" t="s">
        <v>236</v>
      </c>
      <c r="K177" t="s">
        <v>98</v>
      </c>
      <c r="L177">
        <v>1</v>
      </c>
      <c r="M177">
        <v>1</v>
      </c>
      <c r="N177">
        <v>2020</v>
      </c>
      <c r="O177">
        <v>8.7089799004097141</v>
      </c>
      <c r="P177">
        <v>1</v>
      </c>
      <c r="Q177">
        <v>0.37872379821958457</v>
      </c>
      <c r="R177">
        <v>0.37872379821958457</v>
      </c>
      <c r="S177">
        <v>0.41188700296735897</v>
      </c>
      <c r="T177">
        <v>0.44902979228486628</v>
      </c>
      <c r="U177">
        <v>0.46428486646884271</v>
      </c>
      <c r="V177">
        <v>0.47953994065281891</v>
      </c>
      <c r="W177">
        <v>0.49612154302670608</v>
      </c>
      <c r="X177">
        <v>369.51672083598658</v>
      </c>
      <c r="Y177">
        <v>369.51672083598658</v>
      </c>
      <c r="Z177">
        <v>333.95207012992438</v>
      </c>
      <c r="AA177">
        <v>315.10280525571142</v>
      </c>
      <c r="AB177">
        <v>306.21164257919588</v>
      </c>
      <c r="AC177">
        <v>297.32047990268029</v>
      </c>
      <c r="AD177">
        <v>288.78496373322542</v>
      </c>
      <c r="AE177">
        <v>6.2071872585986148</v>
      </c>
      <c r="AF177">
        <v>6.2071872585986148</v>
      </c>
      <c r="AG177">
        <v>6.2071872585986148</v>
      </c>
      <c r="AH177">
        <v>6.2071872585986148</v>
      </c>
      <c r="AI177">
        <v>6.2071872585986148</v>
      </c>
      <c r="AJ177">
        <v>6.2071872585986148</v>
      </c>
      <c r="AK177">
        <v>6.2071872585986148</v>
      </c>
    </row>
    <row r="178" spans="1:37" x14ac:dyDescent="0.25">
      <c r="A178" t="s">
        <v>90</v>
      </c>
      <c r="B178" t="s">
        <v>182</v>
      </c>
      <c r="C178" t="s">
        <v>237</v>
      </c>
      <c r="F178" t="s">
        <v>202</v>
      </c>
      <c r="G178" t="s">
        <v>119</v>
      </c>
      <c r="H178" t="s">
        <v>120</v>
      </c>
      <c r="I178" t="s">
        <v>238</v>
      </c>
      <c r="J178" t="s">
        <v>239</v>
      </c>
      <c r="K178" t="s">
        <v>98</v>
      </c>
      <c r="L178">
        <v>1</v>
      </c>
      <c r="M178">
        <v>1</v>
      </c>
      <c r="N178">
        <v>2020</v>
      </c>
      <c r="O178">
        <v>10.89196958520898</v>
      </c>
      <c r="P178">
        <v>1</v>
      </c>
      <c r="Q178">
        <v>0.1014794065281899</v>
      </c>
      <c r="R178">
        <v>0.1014794065281899</v>
      </c>
      <c r="S178">
        <v>0.1114283679525223</v>
      </c>
      <c r="T178">
        <v>0.120581412462908</v>
      </c>
      <c r="U178">
        <v>0.12548956676557871</v>
      </c>
      <c r="V178">
        <v>0.13039772106824929</v>
      </c>
      <c r="W178">
        <v>0.1353058753709199</v>
      </c>
      <c r="X178">
        <v>241.12833178710201</v>
      </c>
      <c r="Y178">
        <v>241.12833178710201</v>
      </c>
      <c r="Z178">
        <v>243.26221082946569</v>
      </c>
      <c r="AA178">
        <v>243.97350384358691</v>
      </c>
      <c r="AB178">
        <v>246.1073828859507</v>
      </c>
      <c r="AC178">
        <v>247.52996891419309</v>
      </c>
      <c r="AD178">
        <v>249.66384795655691</v>
      </c>
      <c r="AE178">
        <v>9.9262614810501049</v>
      </c>
      <c r="AF178">
        <v>9.9262614810501049</v>
      </c>
      <c r="AG178">
        <v>9.9262614810501049</v>
      </c>
      <c r="AH178">
        <v>9.9262614810501049</v>
      </c>
      <c r="AI178">
        <v>9.9262614810501049</v>
      </c>
      <c r="AJ178">
        <v>9.9262614810501049</v>
      </c>
      <c r="AK178">
        <v>9.9262614810501049</v>
      </c>
    </row>
    <row r="179" spans="1:37" x14ac:dyDescent="0.25">
      <c r="A179" t="s">
        <v>90</v>
      </c>
      <c r="B179" t="s">
        <v>182</v>
      </c>
      <c r="C179" t="s">
        <v>237</v>
      </c>
      <c r="F179" t="s">
        <v>202</v>
      </c>
      <c r="G179" t="s">
        <v>122</v>
      </c>
      <c r="H179" t="s">
        <v>123</v>
      </c>
      <c r="I179" t="s">
        <v>238</v>
      </c>
      <c r="J179" t="s">
        <v>239</v>
      </c>
      <c r="K179" t="s">
        <v>98</v>
      </c>
      <c r="L179">
        <v>0</v>
      </c>
      <c r="M179">
        <v>1</v>
      </c>
      <c r="N179">
        <v>2020</v>
      </c>
      <c r="O179">
        <v>10.89196958520898</v>
      </c>
      <c r="P179">
        <v>1</v>
      </c>
      <c r="Q179">
        <v>0.1014794065281899</v>
      </c>
      <c r="R179">
        <v>0.1014794065281899</v>
      </c>
      <c r="S179">
        <v>0.1114283679525223</v>
      </c>
      <c r="T179">
        <v>0.120581412462908</v>
      </c>
      <c r="U179">
        <v>0.12548956676557871</v>
      </c>
      <c r="V179">
        <v>0.13039772106824929</v>
      </c>
      <c r="W179">
        <v>0.1353058753709199</v>
      </c>
      <c r="X179">
        <v>241.12833178710201</v>
      </c>
      <c r="Y179">
        <v>241.12833178710201</v>
      </c>
      <c r="Z179">
        <v>243.26221082946569</v>
      </c>
      <c r="AA179">
        <v>243.97350384358691</v>
      </c>
      <c r="AB179">
        <v>246.1073828859507</v>
      </c>
      <c r="AC179">
        <v>247.52996891419309</v>
      </c>
      <c r="AD179">
        <v>249.66384795655691</v>
      </c>
      <c r="AE179">
        <v>9.9262614810501049</v>
      </c>
      <c r="AF179">
        <v>9.9262614810501049</v>
      </c>
      <c r="AG179">
        <v>9.9262614810501049</v>
      </c>
      <c r="AH179">
        <v>9.9262614810501049</v>
      </c>
      <c r="AI179">
        <v>9.9262614810501049</v>
      </c>
      <c r="AJ179">
        <v>9.9262614810501049</v>
      </c>
      <c r="AK179">
        <v>9.9262614810501049</v>
      </c>
    </row>
    <row r="180" spans="1:37" x14ac:dyDescent="0.25">
      <c r="A180" t="s">
        <v>90</v>
      </c>
      <c r="B180" t="s">
        <v>182</v>
      </c>
      <c r="C180" t="s">
        <v>237</v>
      </c>
      <c r="F180" t="s">
        <v>202</v>
      </c>
      <c r="G180" t="s">
        <v>124</v>
      </c>
      <c r="H180" t="s">
        <v>125</v>
      </c>
      <c r="I180" t="s">
        <v>238</v>
      </c>
      <c r="J180" t="s">
        <v>239</v>
      </c>
      <c r="K180" t="s">
        <v>98</v>
      </c>
      <c r="L180">
        <v>0</v>
      </c>
      <c r="M180">
        <v>1</v>
      </c>
      <c r="N180">
        <v>2020</v>
      </c>
      <c r="O180">
        <v>10.89196958520898</v>
      </c>
      <c r="P180">
        <v>0.1</v>
      </c>
      <c r="Q180">
        <v>0.1014794065281899</v>
      </c>
      <c r="R180">
        <v>0.1014794065281899</v>
      </c>
      <c r="S180">
        <v>0.1114283679525223</v>
      </c>
      <c r="T180">
        <v>0.120581412462908</v>
      </c>
      <c r="U180">
        <v>0.12548956676557871</v>
      </c>
      <c r="V180">
        <v>0.13039772106824929</v>
      </c>
      <c r="W180">
        <v>0.1353058753709199</v>
      </c>
      <c r="X180">
        <v>241.12833178710201</v>
      </c>
      <c r="Y180">
        <v>241.12833178710201</v>
      </c>
      <c r="Z180">
        <v>243.26221082946569</v>
      </c>
      <c r="AA180">
        <v>243.97350384358691</v>
      </c>
      <c r="AB180">
        <v>246.1073828859507</v>
      </c>
      <c r="AC180">
        <v>247.52996891419309</v>
      </c>
      <c r="AD180">
        <v>249.66384795655691</v>
      </c>
      <c r="AE180">
        <v>9.9262614810501049</v>
      </c>
      <c r="AF180">
        <v>9.9262614810501049</v>
      </c>
      <c r="AG180">
        <v>9.9262614810501049</v>
      </c>
      <c r="AH180">
        <v>9.9262614810501049</v>
      </c>
      <c r="AI180">
        <v>9.9262614810501049</v>
      </c>
      <c r="AJ180">
        <v>9.9262614810501049</v>
      </c>
      <c r="AK180">
        <v>9.9262614810501049</v>
      </c>
    </row>
    <row r="181" spans="1:37" x14ac:dyDescent="0.25">
      <c r="A181" t="s">
        <v>90</v>
      </c>
      <c r="B181" t="s">
        <v>182</v>
      </c>
      <c r="C181" t="s">
        <v>237</v>
      </c>
      <c r="F181" t="s">
        <v>205</v>
      </c>
      <c r="G181" t="s">
        <v>119</v>
      </c>
      <c r="H181" t="s">
        <v>120</v>
      </c>
      <c r="I181" t="s">
        <v>238</v>
      </c>
      <c r="J181" t="s">
        <v>240</v>
      </c>
      <c r="K181" t="s">
        <v>98</v>
      </c>
      <c r="L181">
        <v>1</v>
      </c>
      <c r="M181">
        <v>1</v>
      </c>
      <c r="N181">
        <v>2020</v>
      </c>
      <c r="O181">
        <v>10.89196958520898</v>
      </c>
      <c r="P181">
        <v>1</v>
      </c>
      <c r="Q181">
        <v>0.1028059347181009</v>
      </c>
      <c r="R181">
        <v>0.1028059347181009</v>
      </c>
      <c r="S181">
        <v>0.1111630623145401</v>
      </c>
      <c r="T181">
        <v>0.12177528783382791</v>
      </c>
      <c r="U181">
        <v>0.12668344213649849</v>
      </c>
      <c r="V181">
        <v>0.1315915964391691</v>
      </c>
      <c r="W181">
        <v>0.1366324035608309</v>
      </c>
      <c r="X181">
        <v>253.22031302716309</v>
      </c>
      <c r="Y181">
        <v>253.22031302716309</v>
      </c>
      <c r="Z181">
        <v>255.35419206952679</v>
      </c>
      <c r="AA181">
        <v>256.06548508364801</v>
      </c>
      <c r="AB181">
        <v>257.48807111189058</v>
      </c>
      <c r="AC181">
        <v>259.62195015425431</v>
      </c>
      <c r="AD181">
        <v>261.75582919661798</v>
      </c>
      <c r="AE181">
        <v>9.9262614810501049</v>
      </c>
      <c r="AF181">
        <v>9.9262614810501049</v>
      </c>
      <c r="AG181">
        <v>9.9262614810501049</v>
      </c>
      <c r="AH181">
        <v>9.9262614810501049</v>
      </c>
      <c r="AI181">
        <v>9.9262614810501049</v>
      </c>
      <c r="AJ181">
        <v>9.9262614810501049</v>
      </c>
      <c r="AK181">
        <v>9.9262614810501049</v>
      </c>
    </row>
    <row r="182" spans="1:37" x14ac:dyDescent="0.25">
      <c r="A182" t="s">
        <v>90</v>
      </c>
      <c r="B182" t="s">
        <v>182</v>
      </c>
      <c r="C182" t="s">
        <v>237</v>
      </c>
      <c r="F182" t="s">
        <v>205</v>
      </c>
      <c r="G182" t="s">
        <v>122</v>
      </c>
      <c r="H182" t="s">
        <v>123</v>
      </c>
      <c r="I182" t="s">
        <v>238</v>
      </c>
      <c r="J182" t="s">
        <v>240</v>
      </c>
      <c r="K182" t="s">
        <v>98</v>
      </c>
      <c r="L182">
        <v>0</v>
      </c>
      <c r="M182">
        <v>1</v>
      </c>
      <c r="N182">
        <v>2020</v>
      </c>
      <c r="O182">
        <v>10.89196958520898</v>
      </c>
      <c r="P182">
        <v>1</v>
      </c>
      <c r="Q182">
        <v>0.1028059347181009</v>
      </c>
      <c r="R182">
        <v>0.1028059347181009</v>
      </c>
      <c r="S182">
        <v>0.1111630623145401</v>
      </c>
      <c r="T182">
        <v>0.12177528783382791</v>
      </c>
      <c r="U182">
        <v>0.12668344213649849</v>
      </c>
      <c r="V182">
        <v>0.1315915964391691</v>
      </c>
      <c r="W182">
        <v>0.1366324035608309</v>
      </c>
      <c r="X182">
        <v>253.22031302716309</v>
      </c>
      <c r="Y182">
        <v>253.22031302716309</v>
      </c>
      <c r="Z182">
        <v>255.35419206952679</v>
      </c>
      <c r="AA182">
        <v>256.06548508364801</v>
      </c>
      <c r="AB182">
        <v>257.48807111189058</v>
      </c>
      <c r="AC182">
        <v>259.62195015425431</v>
      </c>
      <c r="AD182">
        <v>261.75582919661798</v>
      </c>
      <c r="AE182">
        <v>9.9262614810501049</v>
      </c>
      <c r="AF182">
        <v>9.9262614810501049</v>
      </c>
      <c r="AG182">
        <v>9.9262614810501049</v>
      </c>
      <c r="AH182">
        <v>9.9262614810501049</v>
      </c>
      <c r="AI182">
        <v>9.9262614810501049</v>
      </c>
      <c r="AJ182">
        <v>9.9262614810501049</v>
      </c>
      <c r="AK182">
        <v>9.9262614810501049</v>
      </c>
    </row>
    <row r="183" spans="1:37" x14ac:dyDescent="0.25">
      <c r="A183" t="s">
        <v>90</v>
      </c>
      <c r="B183" t="s">
        <v>182</v>
      </c>
      <c r="C183" t="s">
        <v>237</v>
      </c>
      <c r="F183" t="s">
        <v>205</v>
      </c>
      <c r="G183" t="s">
        <v>124</v>
      </c>
      <c r="H183" t="s">
        <v>125</v>
      </c>
      <c r="I183" t="s">
        <v>238</v>
      </c>
      <c r="J183" t="s">
        <v>240</v>
      </c>
      <c r="K183" t="s">
        <v>98</v>
      </c>
      <c r="L183">
        <v>0</v>
      </c>
      <c r="M183">
        <v>1</v>
      </c>
      <c r="N183">
        <v>2020</v>
      </c>
      <c r="O183">
        <v>10.89196958520898</v>
      </c>
      <c r="P183">
        <v>0.1</v>
      </c>
      <c r="Q183">
        <v>0.1028059347181009</v>
      </c>
      <c r="R183">
        <v>0.1028059347181009</v>
      </c>
      <c r="S183">
        <v>0.1111630623145401</v>
      </c>
      <c r="T183">
        <v>0.12177528783382791</v>
      </c>
      <c r="U183">
        <v>0.12668344213649849</v>
      </c>
      <c r="V183">
        <v>0.1315915964391691</v>
      </c>
      <c r="W183">
        <v>0.1366324035608309</v>
      </c>
      <c r="X183">
        <v>253.22031302716309</v>
      </c>
      <c r="Y183">
        <v>253.22031302716309</v>
      </c>
      <c r="Z183">
        <v>255.35419206952679</v>
      </c>
      <c r="AA183">
        <v>256.06548508364801</v>
      </c>
      <c r="AB183">
        <v>257.48807111189058</v>
      </c>
      <c r="AC183">
        <v>259.62195015425431</v>
      </c>
      <c r="AD183">
        <v>261.75582919661798</v>
      </c>
      <c r="AE183">
        <v>9.9262614810501049</v>
      </c>
      <c r="AF183">
        <v>9.9262614810501049</v>
      </c>
      <c r="AG183">
        <v>9.9262614810501049</v>
      </c>
      <c r="AH183">
        <v>9.9262614810501049</v>
      </c>
      <c r="AI183">
        <v>9.9262614810501049</v>
      </c>
      <c r="AJ183">
        <v>9.9262614810501049</v>
      </c>
      <c r="AK183">
        <v>9.9262614810501049</v>
      </c>
    </row>
    <row r="184" spans="1:37" x14ac:dyDescent="0.25">
      <c r="A184" t="s">
        <v>90</v>
      </c>
      <c r="B184" t="s">
        <v>182</v>
      </c>
      <c r="C184" t="s">
        <v>237</v>
      </c>
      <c r="F184" t="s">
        <v>207</v>
      </c>
      <c r="G184" t="s">
        <v>119</v>
      </c>
      <c r="H184" t="s">
        <v>120</v>
      </c>
      <c r="I184" t="s">
        <v>238</v>
      </c>
      <c r="J184" t="s">
        <v>241</v>
      </c>
      <c r="K184" t="s">
        <v>98</v>
      </c>
      <c r="L184">
        <v>1</v>
      </c>
      <c r="M184">
        <v>1</v>
      </c>
      <c r="N184">
        <v>2020</v>
      </c>
      <c r="O184">
        <v>10.89196958520898</v>
      </c>
      <c r="P184">
        <v>1</v>
      </c>
      <c r="Q184">
        <v>0.10293858753709199</v>
      </c>
      <c r="R184">
        <v>0.10293858753709199</v>
      </c>
      <c r="S184">
        <v>0.1142140771513353</v>
      </c>
      <c r="T184">
        <v>0.1241630385756677</v>
      </c>
      <c r="U184">
        <v>0.12986710979228491</v>
      </c>
      <c r="V184">
        <v>0.1353058753709199</v>
      </c>
      <c r="W184">
        <v>0.1406119881305638</v>
      </c>
      <c r="X184">
        <v>259.62195015425431</v>
      </c>
      <c r="Y184">
        <v>259.62195015425431</v>
      </c>
      <c r="Z184">
        <v>260.33324316837559</v>
      </c>
      <c r="AA184">
        <v>260.33324316837559</v>
      </c>
      <c r="AB184">
        <v>261.75582919661798</v>
      </c>
      <c r="AC184">
        <v>263.88970823898183</v>
      </c>
      <c r="AD184">
        <v>266.02358728134561</v>
      </c>
      <c r="AE184">
        <v>9.9262614810501049</v>
      </c>
      <c r="AF184">
        <v>9.9262614810501049</v>
      </c>
      <c r="AG184">
        <v>9.9262614810501049</v>
      </c>
      <c r="AH184">
        <v>9.9262614810501049</v>
      </c>
      <c r="AI184">
        <v>9.9262614810501049</v>
      </c>
      <c r="AJ184">
        <v>9.9262614810501049</v>
      </c>
      <c r="AK184">
        <v>9.9262614810501049</v>
      </c>
    </row>
    <row r="185" spans="1:37" x14ac:dyDescent="0.25">
      <c r="A185" t="s">
        <v>90</v>
      </c>
      <c r="B185" t="s">
        <v>182</v>
      </c>
      <c r="C185" t="s">
        <v>237</v>
      </c>
      <c r="F185" t="s">
        <v>207</v>
      </c>
      <c r="G185" t="s">
        <v>122</v>
      </c>
      <c r="H185" t="s">
        <v>123</v>
      </c>
      <c r="I185" t="s">
        <v>238</v>
      </c>
      <c r="J185" t="s">
        <v>241</v>
      </c>
      <c r="K185" t="s">
        <v>98</v>
      </c>
      <c r="L185">
        <v>0</v>
      </c>
      <c r="M185">
        <v>1</v>
      </c>
      <c r="N185">
        <v>2020</v>
      </c>
      <c r="O185">
        <v>10.89196958520898</v>
      </c>
      <c r="P185">
        <v>1</v>
      </c>
      <c r="Q185">
        <v>0.10293858753709199</v>
      </c>
      <c r="R185">
        <v>0.10293858753709199</v>
      </c>
      <c r="S185">
        <v>0.1142140771513353</v>
      </c>
      <c r="T185">
        <v>0.1241630385756677</v>
      </c>
      <c r="U185">
        <v>0.12986710979228491</v>
      </c>
      <c r="V185">
        <v>0.1353058753709199</v>
      </c>
      <c r="W185">
        <v>0.1406119881305638</v>
      </c>
      <c r="X185">
        <v>259.62195015425431</v>
      </c>
      <c r="Y185">
        <v>259.62195015425431</v>
      </c>
      <c r="Z185">
        <v>260.33324316837559</v>
      </c>
      <c r="AA185">
        <v>260.33324316837559</v>
      </c>
      <c r="AB185">
        <v>261.75582919661798</v>
      </c>
      <c r="AC185">
        <v>263.88970823898183</v>
      </c>
      <c r="AD185">
        <v>266.02358728134561</v>
      </c>
      <c r="AE185">
        <v>9.9262614810501049</v>
      </c>
      <c r="AF185">
        <v>9.9262614810501049</v>
      </c>
      <c r="AG185">
        <v>9.9262614810501049</v>
      </c>
      <c r="AH185">
        <v>9.9262614810501049</v>
      </c>
      <c r="AI185">
        <v>9.9262614810501049</v>
      </c>
      <c r="AJ185">
        <v>9.9262614810501049</v>
      </c>
      <c r="AK185">
        <v>9.9262614810501049</v>
      </c>
    </row>
    <row r="186" spans="1:37" x14ac:dyDescent="0.25">
      <c r="A186" t="s">
        <v>90</v>
      </c>
      <c r="B186" t="s">
        <v>182</v>
      </c>
      <c r="C186" t="s">
        <v>237</v>
      </c>
      <c r="F186" t="s">
        <v>207</v>
      </c>
      <c r="G186" t="s">
        <v>124</v>
      </c>
      <c r="H186" t="s">
        <v>125</v>
      </c>
      <c r="I186" t="s">
        <v>238</v>
      </c>
      <c r="J186" t="s">
        <v>241</v>
      </c>
      <c r="K186" t="s">
        <v>98</v>
      </c>
      <c r="L186">
        <v>0</v>
      </c>
      <c r="M186">
        <v>1</v>
      </c>
      <c r="N186">
        <v>2020</v>
      </c>
      <c r="O186">
        <v>10.89196958520898</v>
      </c>
      <c r="P186">
        <v>0.1</v>
      </c>
      <c r="Q186">
        <v>0.10293858753709199</v>
      </c>
      <c r="R186">
        <v>0.10293858753709199</v>
      </c>
      <c r="S186">
        <v>0.1142140771513353</v>
      </c>
      <c r="T186">
        <v>0.1241630385756677</v>
      </c>
      <c r="U186">
        <v>0.12986710979228491</v>
      </c>
      <c r="V186">
        <v>0.1353058753709199</v>
      </c>
      <c r="W186">
        <v>0.1406119881305638</v>
      </c>
      <c r="X186">
        <v>259.62195015425431</v>
      </c>
      <c r="Y186">
        <v>259.62195015425431</v>
      </c>
      <c r="Z186">
        <v>260.33324316837559</v>
      </c>
      <c r="AA186">
        <v>260.33324316837559</v>
      </c>
      <c r="AB186">
        <v>261.75582919661798</v>
      </c>
      <c r="AC186">
        <v>263.88970823898183</v>
      </c>
      <c r="AD186">
        <v>266.02358728134561</v>
      </c>
      <c r="AE186">
        <v>9.9262614810501049</v>
      </c>
      <c r="AF186">
        <v>9.9262614810501049</v>
      </c>
      <c r="AG186">
        <v>9.9262614810501049</v>
      </c>
      <c r="AH186">
        <v>9.9262614810501049</v>
      </c>
      <c r="AI186">
        <v>9.9262614810501049</v>
      </c>
      <c r="AJ186">
        <v>9.9262614810501049</v>
      </c>
      <c r="AK186">
        <v>9.9262614810501049</v>
      </c>
    </row>
    <row r="187" spans="1:37" x14ac:dyDescent="0.25">
      <c r="A187" t="s">
        <v>90</v>
      </c>
      <c r="B187" t="s">
        <v>182</v>
      </c>
      <c r="C187" t="s">
        <v>237</v>
      </c>
      <c r="F187" t="s">
        <v>209</v>
      </c>
      <c r="G187" t="s">
        <v>119</v>
      </c>
      <c r="H187" t="s">
        <v>120</v>
      </c>
      <c r="I187" t="s">
        <v>238</v>
      </c>
      <c r="J187" t="s">
        <v>242</v>
      </c>
      <c r="K187" t="s">
        <v>98</v>
      </c>
      <c r="L187">
        <v>1</v>
      </c>
      <c r="M187">
        <v>1</v>
      </c>
      <c r="N187">
        <v>2020</v>
      </c>
      <c r="O187">
        <v>10.89196958520898</v>
      </c>
      <c r="P187">
        <v>0.34675615212528432</v>
      </c>
      <c r="Q187">
        <v>0.18040783382789249</v>
      </c>
      <c r="R187">
        <v>0.18040783382789249</v>
      </c>
      <c r="S187">
        <v>0.20163228486646839</v>
      </c>
      <c r="T187">
        <v>0.22285673590504509</v>
      </c>
      <c r="U187">
        <v>0.23214243323442141</v>
      </c>
      <c r="V187">
        <v>0.2414281305637975</v>
      </c>
      <c r="W187">
        <v>0.25204035608308611</v>
      </c>
      <c r="X187">
        <v>374.14012542777448</v>
      </c>
      <c r="Y187">
        <v>374.14012542777448</v>
      </c>
      <c r="Z187">
        <v>325.06090745340788</v>
      </c>
      <c r="AA187">
        <v>300.16565195916411</v>
      </c>
      <c r="AB187">
        <v>290.91884277558938</v>
      </c>
      <c r="AC187">
        <v>280.96074057789201</v>
      </c>
      <c r="AD187">
        <v>271.71393139431541</v>
      </c>
      <c r="AE187">
        <v>9.9262614810501226</v>
      </c>
      <c r="AF187">
        <v>9.9262614810501226</v>
      </c>
      <c r="AG187">
        <v>9.9262614810501226</v>
      </c>
      <c r="AH187">
        <v>9.9262614810501226</v>
      </c>
      <c r="AI187">
        <v>9.9262614810501226</v>
      </c>
      <c r="AJ187">
        <v>9.9262614810501226</v>
      </c>
      <c r="AK187">
        <v>9.9262614810501226</v>
      </c>
    </row>
    <row r="188" spans="1:37" x14ac:dyDescent="0.25">
      <c r="A188" t="s">
        <v>90</v>
      </c>
      <c r="B188" t="s">
        <v>182</v>
      </c>
      <c r="C188" t="s">
        <v>237</v>
      </c>
      <c r="F188" t="s">
        <v>209</v>
      </c>
      <c r="G188" t="s">
        <v>122</v>
      </c>
      <c r="H188" t="s">
        <v>123</v>
      </c>
      <c r="I188" t="s">
        <v>238</v>
      </c>
      <c r="J188" t="s">
        <v>242</v>
      </c>
      <c r="K188" t="s">
        <v>98</v>
      </c>
      <c r="L188">
        <v>0</v>
      </c>
      <c r="M188">
        <v>1</v>
      </c>
      <c r="N188">
        <v>2020</v>
      </c>
      <c r="O188">
        <v>10.89196958520898</v>
      </c>
      <c r="P188">
        <v>0.34675615212528432</v>
      </c>
      <c r="Q188">
        <v>0.18040783382789249</v>
      </c>
      <c r="R188">
        <v>0.18040783382789249</v>
      </c>
      <c r="S188">
        <v>0.20163228486646839</v>
      </c>
      <c r="T188">
        <v>0.22285673590504509</v>
      </c>
      <c r="U188">
        <v>0.23214243323442141</v>
      </c>
      <c r="V188">
        <v>0.2414281305637975</v>
      </c>
      <c r="W188">
        <v>0.25204035608308611</v>
      </c>
      <c r="X188">
        <v>374.14012542777448</v>
      </c>
      <c r="Y188">
        <v>374.14012542777448</v>
      </c>
      <c r="Z188">
        <v>325.06090745340788</v>
      </c>
      <c r="AA188">
        <v>300.16565195916411</v>
      </c>
      <c r="AB188">
        <v>290.91884277558938</v>
      </c>
      <c r="AC188">
        <v>280.96074057789201</v>
      </c>
      <c r="AD188">
        <v>271.71393139431541</v>
      </c>
      <c r="AE188">
        <v>9.9262614810501226</v>
      </c>
      <c r="AF188">
        <v>9.9262614810501226</v>
      </c>
      <c r="AG188">
        <v>9.9262614810501226</v>
      </c>
      <c r="AH188">
        <v>9.9262614810501226</v>
      </c>
      <c r="AI188">
        <v>9.9262614810501226</v>
      </c>
      <c r="AJ188">
        <v>9.9262614810501226</v>
      </c>
      <c r="AK188">
        <v>9.9262614810501226</v>
      </c>
    </row>
    <row r="189" spans="1:37" x14ac:dyDescent="0.25">
      <c r="A189" t="s">
        <v>90</v>
      </c>
      <c r="B189" t="s">
        <v>182</v>
      </c>
      <c r="C189" t="s">
        <v>237</v>
      </c>
      <c r="F189" t="s">
        <v>209</v>
      </c>
      <c r="G189" t="s">
        <v>124</v>
      </c>
      <c r="H189" t="s">
        <v>125</v>
      </c>
      <c r="I189" t="s">
        <v>238</v>
      </c>
      <c r="J189" t="s">
        <v>242</v>
      </c>
      <c r="K189" t="s">
        <v>98</v>
      </c>
      <c r="L189">
        <v>0</v>
      </c>
      <c r="M189">
        <v>1</v>
      </c>
      <c r="N189">
        <v>2020</v>
      </c>
      <c r="O189">
        <v>10.89196958520898</v>
      </c>
      <c r="P189">
        <v>0.1</v>
      </c>
      <c r="Q189">
        <v>0.18040783382789249</v>
      </c>
      <c r="R189">
        <v>0.18040783382789249</v>
      </c>
      <c r="S189">
        <v>0.20163228486646839</v>
      </c>
      <c r="T189">
        <v>0.22285673590504509</v>
      </c>
      <c r="U189">
        <v>0.23214243323442141</v>
      </c>
      <c r="V189">
        <v>0.2414281305637975</v>
      </c>
      <c r="W189">
        <v>0.25204035608308611</v>
      </c>
      <c r="X189">
        <v>374.14012542777448</v>
      </c>
      <c r="Y189">
        <v>374.14012542777448</v>
      </c>
      <c r="Z189">
        <v>325.06090745340788</v>
      </c>
      <c r="AA189">
        <v>300.16565195916411</v>
      </c>
      <c r="AB189">
        <v>290.91884277558938</v>
      </c>
      <c r="AC189">
        <v>280.96074057789201</v>
      </c>
      <c r="AD189">
        <v>271.71393139431541</v>
      </c>
      <c r="AE189">
        <v>9.9262614810501226</v>
      </c>
      <c r="AF189">
        <v>9.9262614810501226</v>
      </c>
      <c r="AG189">
        <v>9.9262614810501226</v>
      </c>
      <c r="AH189">
        <v>9.9262614810501226</v>
      </c>
      <c r="AI189">
        <v>9.9262614810501226</v>
      </c>
      <c r="AJ189">
        <v>9.9262614810501226</v>
      </c>
      <c r="AK189">
        <v>9.9262614810501226</v>
      </c>
    </row>
    <row r="190" spans="1:37" x14ac:dyDescent="0.25">
      <c r="A190" t="s">
        <v>90</v>
      </c>
      <c r="B190" t="s">
        <v>182</v>
      </c>
      <c r="C190" t="s">
        <v>237</v>
      </c>
      <c r="F190" t="s">
        <v>209</v>
      </c>
      <c r="G190" t="s">
        <v>211</v>
      </c>
      <c r="H190" t="s">
        <v>212</v>
      </c>
      <c r="I190" t="s">
        <v>238</v>
      </c>
      <c r="J190" t="s">
        <v>242</v>
      </c>
      <c r="K190" t="s">
        <v>98</v>
      </c>
      <c r="L190">
        <v>0</v>
      </c>
      <c r="M190">
        <v>1</v>
      </c>
      <c r="N190">
        <v>2020</v>
      </c>
      <c r="O190">
        <v>10.89196958520898</v>
      </c>
      <c r="P190">
        <v>0.65324384787471568</v>
      </c>
      <c r="Q190">
        <v>0.18040783382789249</v>
      </c>
      <c r="R190">
        <v>0.18040783382789249</v>
      </c>
      <c r="S190">
        <v>0.20163228486646839</v>
      </c>
      <c r="T190">
        <v>0.22285673590504509</v>
      </c>
      <c r="U190">
        <v>0.23214243323442141</v>
      </c>
      <c r="V190">
        <v>0.2414281305637975</v>
      </c>
      <c r="W190">
        <v>0.25204035608308611</v>
      </c>
      <c r="X190">
        <v>374.14012542777448</v>
      </c>
      <c r="Y190">
        <v>374.14012542777448</v>
      </c>
      <c r="Z190">
        <v>325.06090745340788</v>
      </c>
      <c r="AA190">
        <v>300.16565195916411</v>
      </c>
      <c r="AB190">
        <v>290.91884277558938</v>
      </c>
      <c r="AC190">
        <v>280.96074057789201</v>
      </c>
      <c r="AD190">
        <v>271.71393139431541</v>
      </c>
      <c r="AE190">
        <v>9.9262614810501226</v>
      </c>
      <c r="AF190">
        <v>9.9262614810501226</v>
      </c>
      <c r="AG190">
        <v>9.9262614810501226</v>
      </c>
      <c r="AH190">
        <v>9.9262614810501226</v>
      </c>
      <c r="AI190">
        <v>9.9262614810501226</v>
      </c>
      <c r="AJ190">
        <v>9.9262614810501226</v>
      </c>
      <c r="AK190">
        <v>9.9262614810501226</v>
      </c>
    </row>
    <row r="191" spans="1:37" x14ac:dyDescent="0.25">
      <c r="A191" t="s">
        <v>90</v>
      </c>
      <c r="B191" t="s">
        <v>182</v>
      </c>
      <c r="C191" t="s">
        <v>237</v>
      </c>
      <c r="F191" t="s">
        <v>213</v>
      </c>
      <c r="G191" t="s">
        <v>133</v>
      </c>
      <c r="H191" t="s">
        <v>134</v>
      </c>
      <c r="I191" t="s">
        <v>238</v>
      </c>
      <c r="J191" t="s">
        <v>243</v>
      </c>
      <c r="K191" t="s">
        <v>98</v>
      </c>
      <c r="L191">
        <v>1</v>
      </c>
      <c r="M191">
        <v>1</v>
      </c>
      <c r="N191">
        <v>2020</v>
      </c>
      <c r="O191">
        <v>10.89196958520898</v>
      </c>
      <c r="P191">
        <v>1</v>
      </c>
      <c r="Q191">
        <v>0.1150099940652819</v>
      </c>
      <c r="R191">
        <v>0.1150099940652819</v>
      </c>
      <c r="S191">
        <v>0.12933649851632051</v>
      </c>
      <c r="T191">
        <v>0.14326504451038591</v>
      </c>
      <c r="U191">
        <v>0.15122421364985161</v>
      </c>
      <c r="V191">
        <v>0.15918338278931751</v>
      </c>
      <c r="W191">
        <v>0.16714255192878349</v>
      </c>
      <c r="X191">
        <v>409.70477613383707</v>
      </c>
      <c r="Y191">
        <v>409.70477613383707</v>
      </c>
      <c r="Z191">
        <v>364.89331624419862</v>
      </c>
      <c r="AA191">
        <v>340.70935376407601</v>
      </c>
      <c r="AB191">
        <v>331.46254458049981</v>
      </c>
      <c r="AC191">
        <v>322.21573539692372</v>
      </c>
      <c r="AD191">
        <v>313.68021922746908</v>
      </c>
      <c r="AE191">
        <v>9.9915658328991128</v>
      </c>
      <c r="AF191">
        <v>9.9915658328991128</v>
      </c>
      <c r="AG191">
        <v>9.9915658328991128</v>
      </c>
      <c r="AH191">
        <v>9.9915658328991128</v>
      </c>
      <c r="AI191">
        <v>9.9915658328991128</v>
      </c>
      <c r="AJ191">
        <v>9.9915658328991128</v>
      </c>
      <c r="AK191">
        <v>9.9915658328991128</v>
      </c>
    </row>
    <row r="192" spans="1:37" x14ac:dyDescent="0.25">
      <c r="A192" t="s">
        <v>90</v>
      </c>
      <c r="B192" t="s">
        <v>182</v>
      </c>
      <c r="C192" t="s">
        <v>237</v>
      </c>
      <c r="F192" t="s">
        <v>215</v>
      </c>
      <c r="G192" t="s">
        <v>133</v>
      </c>
      <c r="H192" t="s">
        <v>134</v>
      </c>
      <c r="I192" t="s">
        <v>238</v>
      </c>
      <c r="J192" t="s">
        <v>244</v>
      </c>
      <c r="K192" t="s">
        <v>98</v>
      </c>
      <c r="L192">
        <v>1</v>
      </c>
      <c r="M192">
        <v>1</v>
      </c>
      <c r="N192">
        <v>2020</v>
      </c>
      <c r="O192">
        <v>10.89196958520898</v>
      </c>
      <c r="P192">
        <v>0.92029887920298814</v>
      </c>
      <c r="Q192">
        <v>0.1234997744807122</v>
      </c>
      <c r="R192">
        <v>0.1234997744807122</v>
      </c>
      <c r="S192">
        <v>0.13928545994065281</v>
      </c>
      <c r="T192">
        <v>0.15918338278931751</v>
      </c>
      <c r="U192">
        <v>0.16979560830860541</v>
      </c>
      <c r="V192">
        <v>0.17908130563798219</v>
      </c>
      <c r="W192">
        <v>0.18969353115727011</v>
      </c>
      <c r="X192">
        <v>322.92702841104523</v>
      </c>
      <c r="Y192">
        <v>322.92702841104523</v>
      </c>
      <c r="Z192">
        <v>289.49625674734659</v>
      </c>
      <c r="AA192">
        <v>270.29134536607307</v>
      </c>
      <c r="AB192">
        <v>262.46712221073909</v>
      </c>
      <c r="AC192">
        <v>255.35419206952679</v>
      </c>
      <c r="AD192">
        <v>248.24126192831449</v>
      </c>
      <c r="AE192">
        <v>9.9915658328991128</v>
      </c>
      <c r="AF192">
        <v>9.9915658328991128</v>
      </c>
      <c r="AG192">
        <v>9.9915658328991128</v>
      </c>
      <c r="AH192">
        <v>9.9915658328991128</v>
      </c>
      <c r="AI192">
        <v>9.9915658328991128</v>
      </c>
      <c r="AJ192">
        <v>9.9915658328991128</v>
      </c>
      <c r="AK192">
        <v>9.9915658328991128</v>
      </c>
    </row>
    <row r="193" spans="1:37" x14ac:dyDescent="0.25">
      <c r="A193" t="s">
        <v>90</v>
      </c>
      <c r="B193" t="s">
        <v>182</v>
      </c>
      <c r="C193" t="s">
        <v>237</v>
      </c>
      <c r="F193" t="s">
        <v>215</v>
      </c>
      <c r="G193" t="s">
        <v>211</v>
      </c>
      <c r="H193" t="s">
        <v>212</v>
      </c>
      <c r="I193" t="s">
        <v>238</v>
      </c>
      <c r="J193" t="s">
        <v>244</v>
      </c>
      <c r="K193" t="s">
        <v>98</v>
      </c>
      <c r="L193">
        <v>0</v>
      </c>
      <c r="M193">
        <v>1</v>
      </c>
      <c r="N193">
        <v>2020</v>
      </c>
      <c r="O193">
        <v>10.89196958520898</v>
      </c>
      <c r="P193">
        <v>7.9701120797011846E-2</v>
      </c>
      <c r="Q193">
        <v>0.1234997744807122</v>
      </c>
      <c r="R193">
        <v>0.1234997744807122</v>
      </c>
      <c r="S193">
        <v>0.13928545994065281</v>
      </c>
      <c r="T193">
        <v>0.15918338278931751</v>
      </c>
      <c r="U193">
        <v>0.16979560830860541</v>
      </c>
      <c r="V193">
        <v>0.17908130563798219</v>
      </c>
      <c r="W193">
        <v>0.18969353115727011</v>
      </c>
      <c r="X193">
        <v>322.92702841104523</v>
      </c>
      <c r="Y193">
        <v>322.92702841104523</v>
      </c>
      <c r="Z193">
        <v>289.49625674734659</v>
      </c>
      <c r="AA193">
        <v>270.29134536607307</v>
      </c>
      <c r="AB193">
        <v>262.46712221073909</v>
      </c>
      <c r="AC193">
        <v>255.35419206952679</v>
      </c>
      <c r="AD193">
        <v>248.24126192831449</v>
      </c>
      <c r="AE193">
        <v>9.9915658328991128</v>
      </c>
      <c r="AF193">
        <v>9.9915658328991128</v>
      </c>
      <c r="AG193">
        <v>9.9915658328991128</v>
      </c>
      <c r="AH193">
        <v>9.9915658328991128</v>
      </c>
      <c r="AI193">
        <v>9.9915658328991128</v>
      </c>
      <c r="AJ193">
        <v>9.9915658328991128</v>
      </c>
      <c r="AK193">
        <v>9.9915658328991128</v>
      </c>
    </row>
    <row r="194" spans="1:37" x14ac:dyDescent="0.25">
      <c r="A194" t="s">
        <v>90</v>
      </c>
      <c r="B194" t="s">
        <v>182</v>
      </c>
      <c r="C194" t="s">
        <v>237</v>
      </c>
      <c r="F194" t="s">
        <v>217</v>
      </c>
      <c r="G194" t="s">
        <v>211</v>
      </c>
      <c r="H194" t="s">
        <v>212</v>
      </c>
      <c r="I194" t="s">
        <v>238</v>
      </c>
      <c r="J194" t="s">
        <v>245</v>
      </c>
      <c r="K194" t="s">
        <v>98</v>
      </c>
      <c r="L194">
        <v>1</v>
      </c>
      <c r="M194">
        <v>1</v>
      </c>
      <c r="N194">
        <v>2020</v>
      </c>
      <c r="O194">
        <v>10.89196958520898</v>
      </c>
      <c r="P194">
        <v>1</v>
      </c>
      <c r="Q194">
        <v>0.2215302077151334</v>
      </c>
      <c r="R194">
        <v>0.2215302077151334</v>
      </c>
      <c r="S194">
        <v>0.24673424332344221</v>
      </c>
      <c r="T194">
        <v>0.27193827893175071</v>
      </c>
      <c r="U194">
        <v>0.2812239762611275</v>
      </c>
      <c r="V194">
        <v>0.29316272997032661</v>
      </c>
      <c r="W194">
        <v>0.30510148367952522</v>
      </c>
      <c r="X194">
        <v>477.277612475355</v>
      </c>
      <c r="Y194">
        <v>477.277612475355</v>
      </c>
      <c r="Z194">
        <v>392.63374379492677</v>
      </c>
      <c r="AA194">
        <v>348.53357691941</v>
      </c>
      <c r="AB194">
        <v>330.0399585522577</v>
      </c>
      <c r="AC194">
        <v>310.83504717098378</v>
      </c>
      <c r="AD194">
        <v>292.34142880383138</v>
      </c>
      <c r="AE194">
        <v>6.3998264812033572</v>
      </c>
      <c r="AF194">
        <v>6.3998264812033572</v>
      </c>
      <c r="AG194">
        <v>6.3998264812033572</v>
      </c>
      <c r="AH194">
        <v>6.3998264812033572</v>
      </c>
      <c r="AI194">
        <v>6.3998264812033572</v>
      </c>
      <c r="AJ194">
        <v>6.3998264812033572</v>
      </c>
      <c r="AK194">
        <v>6.3998264812033572</v>
      </c>
    </row>
    <row r="195" spans="1:37" x14ac:dyDescent="0.25">
      <c r="A195" t="s">
        <v>90</v>
      </c>
      <c r="B195" t="s">
        <v>182</v>
      </c>
      <c r="C195" t="s">
        <v>246</v>
      </c>
      <c r="F195" t="s">
        <v>202</v>
      </c>
      <c r="G195" t="s">
        <v>119</v>
      </c>
      <c r="H195" t="s">
        <v>120</v>
      </c>
      <c r="I195" t="s">
        <v>247</v>
      </c>
      <c r="J195" t="s">
        <v>248</v>
      </c>
      <c r="K195" t="s">
        <v>98</v>
      </c>
      <c r="L195">
        <v>1</v>
      </c>
      <c r="M195">
        <v>1</v>
      </c>
      <c r="N195">
        <v>2020</v>
      </c>
      <c r="O195">
        <v>21.783939170417959</v>
      </c>
      <c r="P195">
        <v>1</v>
      </c>
      <c r="Q195">
        <v>0.1014794065281899</v>
      </c>
      <c r="R195">
        <v>0.1014794065281899</v>
      </c>
      <c r="S195">
        <v>0.1114283679525223</v>
      </c>
      <c r="T195">
        <v>0.120581412462908</v>
      </c>
      <c r="U195">
        <v>0.12548956676557871</v>
      </c>
      <c r="V195">
        <v>0.13039772106824929</v>
      </c>
      <c r="W195">
        <v>0.1353058753709199</v>
      </c>
      <c r="X195">
        <v>241.12833178710201</v>
      </c>
      <c r="Y195">
        <v>241.12833178710201</v>
      </c>
      <c r="Z195">
        <v>243.26221082946569</v>
      </c>
      <c r="AA195">
        <v>243.97350384358691</v>
      </c>
      <c r="AB195">
        <v>246.1073828859507</v>
      </c>
      <c r="AC195">
        <v>247.52996891419309</v>
      </c>
      <c r="AD195">
        <v>249.66384795655691</v>
      </c>
      <c r="AE195">
        <v>4.9631307405250524</v>
      </c>
      <c r="AF195">
        <v>4.9631307405250524</v>
      </c>
      <c r="AG195">
        <v>4.9631307405250524</v>
      </c>
      <c r="AH195">
        <v>4.9631307405250524</v>
      </c>
      <c r="AI195">
        <v>4.9631307405250524</v>
      </c>
      <c r="AJ195">
        <v>4.9631307405250524</v>
      </c>
      <c r="AK195">
        <v>4.9631307405250524</v>
      </c>
    </row>
    <row r="196" spans="1:37" x14ac:dyDescent="0.25">
      <c r="A196" t="s">
        <v>90</v>
      </c>
      <c r="B196" t="s">
        <v>182</v>
      </c>
      <c r="C196" t="s">
        <v>246</v>
      </c>
      <c r="F196" t="s">
        <v>202</v>
      </c>
      <c r="G196" t="s">
        <v>122</v>
      </c>
      <c r="H196" t="s">
        <v>123</v>
      </c>
      <c r="I196" t="s">
        <v>247</v>
      </c>
      <c r="J196" t="s">
        <v>248</v>
      </c>
      <c r="K196" t="s">
        <v>98</v>
      </c>
      <c r="L196">
        <v>0</v>
      </c>
      <c r="M196">
        <v>1</v>
      </c>
      <c r="N196">
        <v>2020</v>
      </c>
      <c r="O196">
        <v>21.783939170417959</v>
      </c>
      <c r="P196">
        <v>1</v>
      </c>
      <c r="Q196">
        <v>0.1014794065281899</v>
      </c>
      <c r="R196">
        <v>0.1014794065281899</v>
      </c>
      <c r="S196">
        <v>0.1114283679525223</v>
      </c>
      <c r="T196">
        <v>0.120581412462908</v>
      </c>
      <c r="U196">
        <v>0.12548956676557871</v>
      </c>
      <c r="V196">
        <v>0.13039772106824929</v>
      </c>
      <c r="W196">
        <v>0.1353058753709199</v>
      </c>
      <c r="X196">
        <v>241.12833178710201</v>
      </c>
      <c r="Y196">
        <v>241.12833178710201</v>
      </c>
      <c r="Z196">
        <v>243.26221082946569</v>
      </c>
      <c r="AA196">
        <v>243.97350384358691</v>
      </c>
      <c r="AB196">
        <v>246.1073828859507</v>
      </c>
      <c r="AC196">
        <v>247.52996891419309</v>
      </c>
      <c r="AD196">
        <v>249.66384795655691</v>
      </c>
      <c r="AE196">
        <v>4.9631307405250524</v>
      </c>
      <c r="AF196">
        <v>4.9631307405250524</v>
      </c>
      <c r="AG196">
        <v>4.9631307405250524</v>
      </c>
      <c r="AH196">
        <v>4.9631307405250524</v>
      </c>
      <c r="AI196">
        <v>4.9631307405250524</v>
      </c>
      <c r="AJ196">
        <v>4.9631307405250524</v>
      </c>
      <c r="AK196">
        <v>4.9631307405250524</v>
      </c>
    </row>
    <row r="197" spans="1:37" x14ac:dyDescent="0.25">
      <c r="A197" t="s">
        <v>90</v>
      </c>
      <c r="B197" t="s">
        <v>182</v>
      </c>
      <c r="C197" t="s">
        <v>246</v>
      </c>
      <c r="F197" t="s">
        <v>202</v>
      </c>
      <c r="G197" t="s">
        <v>124</v>
      </c>
      <c r="H197" t="s">
        <v>125</v>
      </c>
      <c r="I197" t="s">
        <v>247</v>
      </c>
      <c r="J197" t="s">
        <v>248</v>
      </c>
      <c r="K197" t="s">
        <v>98</v>
      </c>
      <c r="L197">
        <v>0</v>
      </c>
      <c r="M197">
        <v>1</v>
      </c>
      <c r="N197">
        <v>2020</v>
      </c>
      <c r="O197">
        <v>21.783939170417959</v>
      </c>
      <c r="P197">
        <v>0.1</v>
      </c>
      <c r="Q197">
        <v>0.1014794065281899</v>
      </c>
      <c r="R197">
        <v>0.1014794065281899</v>
      </c>
      <c r="S197">
        <v>0.1114283679525223</v>
      </c>
      <c r="T197">
        <v>0.120581412462908</v>
      </c>
      <c r="U197">
        <v>0.12548956676557871</v>
      </c>
      <c r="V197">
        <v>0.13039772106824929</v>
      </c>
      <c r="W197">
        <v>0.1353058753709199</v>
      </c>
      <c r="X197">
        <v>241.12833178710201</v>
      </c>
      <c r="Y197">
        <v>241.12833178710201</v>
      </c>
      <c r="Z197">
        <v>243.26221082946569</v>
      </c>
      <c r="AA197">
        <v>243.97350384358691</v>
      </c>
      <c r="AB197">
        <v>246.1073828859507</v>
      </c>
      <c r="AC197">
        <v>247.52996891419309</v>
      </c>
      <c r="AD197">
        <v>249.66384795655691</v>
      </c>
      <c r="AE197">
        <v>4.9631307405250524</v>
      </c>
      <c r="AF197">
        <v>4.9631307405250524</v>
      </c>
      <c r="AG197">
        <v>4.9631307405250524</v>
      </c>
      <c r="AH197">
        <v>4.9631307405250524</v>
      </c>
      <c r="AI197">
        <v>4.9631307405250524</v>
      </c>
      <c r="AJ197">
        <v>4.9631307405250524</v>
      </c>
      <c r="AK197">
        <v>4.9631307405250524</v>
      </c>
    </row>
    <row r="198" spans="1:37" x14ac:dyDescent="0.25">
      <c r="A198" t="s">
        <v>90</v>
      </c>
      <c r="B198" t="s">
        <v>182</v>
      </c>
      <c r="C198" t="s">
        <v>246</v>
      </c>
      <c r="F198" t="s">
        <v>205</v>
      </c>
      <c r="G198" t="s">
        <v>119</v>
      </c>
      <c r="H198" t="s">
        <v>120</v>
      </c>
      <c r="I198" t="s">
        <v>247</v>
      </c>
      <c r="J198" t="s">
        <v>249</v>
      </c>
      <c r="K198" t="s">
        <v>98</v>
      </c>
      <c r="L198">
        <v>1</v>
      </c>
      <c r="M198">
        <v>1</v>
      </c>
      <c r="N198">
        <v>2020</v>
      </c>
      <c r="O198">
        <v>21.783939170417959</v>
      </c>
      <c r="P198">
        <v>1</v>
      </c>
      <c r="Q198">
        <v>0.1028059347181009</v>
      </c>
      <c r="R198">
        <v>0.1028059347181009</v>
      </c>
      <c r="S198">
        <v>0.1111630623145401</v>
      </c>
      <c r="T198">
        <v>0.12177528783382791</v>
      </c>
      <c r="U198">
        <v>0.12668344213649849</v>
      </c>
      <c r="V198">
        <v>0.1315915964391691</v>
      </c>
      <c r="W198">
        <v>0.1366324035608309</v>
      </c>
      <c r="X198">
        <v>253.22031302716309</v>
      </c>
      <c r="Y198">
        <v>253.22031302716309</v>
      </c>
      <c r="Z198">
        <v>255.35419206952679</v>
      </c>
      <c r="AA198">
        <v>256.06548508364801</v>
      </c>
      <c r="AB198">
        <v>257.48807111189058</v>
      </c>
      <c r="AC198">
        <v>259.62195015425431</v>
      </c>
      <c r="AD198">
        <v>261.75582919661798</v>
      </c>
      <c r="AE198">
        <v>4.9631307405250524</v>
      </c>
      <c r="AF198">
        <v>4.9631307405250524</v>
      </c>
      <c r="AG198">
        <v>4.9631307405250524</v>
      </c>
      <c r="AH198">
        <v>4.9631307405250524</v>
      </c>
      <c r="AI198">
        <v>4.9631307405250524</v>
      </c>
      <c r="AJ198">
        <v>4.9631307405250524</v>
      </c>
      <c r="AK198">
        <v>4.9631307405250524</v>
      </c>
    </row>
    <row r="199" spans="1:37" x14ac:dyDescent="0.25">
      <c r="A199" t="s">
        <v>90</v>
      </c>
      <c r="B199" t="s">
        <v>182</v>
      </c>
      <c r="C199" t="s">
        <v>246</v>
      </c>
      <c r="F199" t="s">
        <v>205</v>
      </c>
      <c r="G199" t="s">
        <v>122</v>
      </c>
      <c r="H199" t="s">
        <v>123</v>
      </c>
      <c r="I199" t="s">
        <v>247</v>
      </c>
      <c r="J199" t="s">
        <v>249</v>
      </c>
      <c r="K199" t="s">
        <v>98</v>
      </c>
      <c r="L199">
        <v>0</v>
      </c>
      <c r="M199">
        <v>1</v>
      </c>
      <c r="N199">
        <v>2020</v>
      </c>
      <c r="O199">
        <v>21.783939170417959</v>
      </c>
      <c r="P199">
        <v>1</v>
      </c>
      <c r="Q199">
        <v>0.1028059347181009</v>
      </c>
      <c r="R199">
        <v>0.1028059347181009</v>
      </c>
      <c r="S199">
        <v>0.1111630623145401</v>
      </c>
      <c r="T199">
        <v>0.12177528783382791</v>
      </c>
      <c r="U199">
        <v>0.12668344213649849</v>
      </c>
      <c r="V199">
        <v>0.1315915964391691</v>
      </c>
      <c r="W199">
        <v>0.1366324035608309</v>
      </c>
      <c r="X199">
        <v>253.22031302716309</v>
      </c>
      <c r="Y199">
        <v>253.22031302716309</v>
      </c>
      <c r="Z199">
        <v>255.35419206952679</v>
      </c>
      <c r="AA199">
        <v>256.06548508364801</v>
      </c>
      <c r="AB199">
        <v>257.48807111189058</v>
      </c>
      <c r="AC199">
        <v>259.62195015425431</v>
      </c>
      <c r="AD199">
        <v>261.75582919661798</v>
      </c>
      <c r="AE199">
        <v>4.9631307405250524</v>
      </c>
      <c r="AF199">
        <v>4.9631307405250524</v>
      </c>
      <c r="AG199">
        <v>4.9631307405250524</v>
      </c>
      <c r="AH199">
        <v>4.9631307405250524</v>
      </c>
      <c r="AI199">
        <v>4.9631307405250524</v>
      </c>
      <c r="AJ199">
        <v>4.9631307405250524</v>
      </c>
      <c r="AK199">
        <v>4.9631307405250524</v>
      </c>
    </row>
    <row r="200" spans="1:37" x14ac:dyDescent="0.25">
      <c r="A200" t="s">
        <v>90</v>
      </c>
      <c r="B200" t="s">
        <v>182</v>
      </c>
      <c r="C200" t="s">
        <v>246</v>
      </c>
      <c r="F200" t="s">
        <v>205</v>
      </c>
      <c r="G200" t="s">
        <v>124</v>
      </c>
      <c r="H200" t="s">
        <v>125</v>
      </c>
      <c r="I200" t="s">
        <v>247</v>
      </c>
      <c r="J200" t="s">
        <v>249</v>
      </c>
      <c r="K200" t="s">
        <v>98</v>
      </c>
      <c r="L200">
        <v>0</v>
      </c>
      <c r="M200">
        <v>1</v>
      </c>
      <c r="N200">
        <v>2020</v>
      </c>
      <c r="O200">
        <v>21.783939170417959</v>
      </c>
      <c r="P200">
        <v>0.1</v>
      </c>
      <c r="Q200">
        <v>0.1028059347181009</v>
      </c>
      <c r="R200">
        <v>0.1028059347181009</v>
      </c>
      <c r="S200">
        <v>0.1111630623145401</v>
      </c>
      <c r="T200">
        <v>0.12177528783382791</v>
      </c>
      <c r="U200">
        <v>0.12668344213649849</v>
      </c>
      <c r="V200">
        <v>0.1315915964391691</v>
      </c>
      <c r="W200">
        <v>0.1366324035608309</v>
      </c>
      <c r="X200">
        <v>253.22031302716309</v>
      </c>
      <c r="Y200">
        <v>253.22031302716309</v>
      </c>
      <c r="Z200">
        <v>255.35419206952679</v>
      </c>
      <c r="AA200">
        <v>256.06548508364801</v>
      </c>
      <c r="AB200">
        <v>257.48807111189058</v>
      </c>
      <c r="AC200">
        <v>259.62195015425431</v>
      </c>
      <c r="AD200">
        <v>261.75582919661798</v>
      </c>
      <c r="AE200">
        <v>4.9631307405250524</v>
      </c>
      <c r="AF200">
        <v>4.9631307405250524</v>
      </c>
      <c r="AG200">
        <v>4.9631307405250524</v>
      </c>
      <c r="AH200">
        <v>4.9631307405250524</v>
      </c>
      <c r="AI200">
        <v>4.9631307405250524</v>
      </c>
      <c r="AJ200">
        <v>4.9631307405250524</v>
      </c>
      <c r="AK200">
        <v>4.9631307405250524</v>
      </c>
    </row>
    <row r="201" spans="1:37" x14ac:dyDescent="0.25">
      <c r="A201" t="s">
        <v>90</v>
      </c>
      <c r="B201" t="s">
        <v>182</v>
      </c>
      <c r="C201" t="s">
        <v>246</v>
      </c>
      <c r="F201" t="s">
        <v>207</v>
      </c>
      <c r="G201" t="s">
        <v>119</v>
      </c>
      <c r="H201" t="s">
        <v>120</v>
      </c>
      <c r="I201" t="s">
        <v>247</v>
      </c>
      <c r="J201" t="s">
        <v>250</v>
      </c>
      <c r="K201" t="s">
        <v>98</v>
      </c>
      <c r="L201">
        <v>1</v>
      </c>
      <c r="M201">
        <v>1</v>
      </c>
      <c r="N201">
        <v>2020</v>
      </c>
      <c r="O201">
        <v>21.783939170417959</v>
      </c>
      <c r="P201">
        <v>1</v>
      </c>
      <c r="Q201">
        <v>0.10293858753709199</v>
      </c>
      <c r="R201">
        <v>0.10293858753709199</v>
      </c>
      <c r="S201">
        <v>0.1142140771513353</v>
      </c>
      <c r="T201">
        <v>0.1241630385756677</v>
      </c>
      <c r="U201">
        <v>0.12986710979228491</v>
      </c>
      <c r="V201">
        <v>0.1353058753709199</v>
      </c>
      <c r="W201">
        <v>0.1406119881305638</v>
      </c>
      <c r="X201">
        <v>259.62195015425431</v>
      </c>
      <c r="Y201">
        <v>259.62195015425431</v>
      </c>
      <c r="Z201">
        <v>260.33324316837559</v>
      </c>
      <c r="AA201">
        <v>260.33324316837559</v>
      </c>
      <c r="AB201">
        <v>261.75582919661798</v>
      </c>
      <c r="AC201">
        <v>263.88970823898183</v>
      </c>
      <c r="AD201">
        <v>266.02358728134561</v>
      </c>
      <c r="AE201">
        <v>4.9631307405250524</v>
      </c>
      <c r="AF201">
        <v>4.9631307405250524</v>
      </c>
      <c r="AG201">
        <v>4.9631307405250524</v>
      </c>
      <c r="AH201">
        <v>4.9631307405250524</v>
      </c>
      <c r="AI201">
        <v>4.9631307405250524</v>
      </c>
      <c r="AJ201">
        <v>4.9631307405250524</v>
      </c>
      <c r="AK201">
        <v>4.9631307405250524</v>
      </c>
    </row>
    <row r="202" spans="1:37" x14ac:dyDescent="0.25">
      <c r="A202" t="s">
        <v>90</v>
      </c>
      <c r="B202" t="s">
        <v>182</v>
      </c>
      <c r="C202" t="s">
        <v>246</v>
      </c>
      <c r="F202" t="s">
        <v>207</v>
      </c>
      <c r="G202" t="s">
        <v>122</v>
      </c>
      <c r="H202" t="s">
        <v>123</v>
      </c>
      <c r="I202" t="s">
        <v>247</v>
      </c>
      <c r="J202" t="s">
        <v>250</v>
      </c>
      <c r="K202" t="s">
        <v>98</v>
      </c>
      <c r="L202">
        <v>0</v>
      </c>
      <c r="M202">
        <v>1</v>
      </c>
      <c r="N202">
        <v>2020</v>
      </c>
      <c r="O202">
        <v>21.783939170417959</v>
      </c>
      <c r="P202">
        <v>1</v>
      </c>
      <c r="Q202">
        <v>0.10293858753709199</v>
      </c>
      <c r="R202">
        <v>0.10293858753709199</v>
      </c>
      <c r="S202">
        <v>0.1142140771513353</v>
      </c>
      <c r="T202">
        <v>0.1241630385756677</v>
      </c>
      <c r="U202">
        <v>0.12986710979228491</v>
      </c>
      <c r="V202">
        <v>0.1353058753709199</v>
      </c>
      <c r="W202">
        <v>0.1406119881305638</v>
      </c>
      <c r="X202">
        <v>259.62195015425431</v>
      </c>
      <c r="Y202">
        <v>259.62195015425431</v>
      </c>
      <c r="Z202">
        <v>260.33324316837559</v>
      </c>
      <c r="AA202">
        <v>260.33324316837559</v>
      </c>
      <c r="AB202">
        <v>261.75582919661798</v>
      </c>
      <c r="AC202">
        <v>263.88970823898183</v>
      </c>
      <c r="AD202">
        <v>266.02358728134561</v>
      </c>
      <c r="AE202">
        <v>4.9631307405250524</v>
      </c>
      <c r="AF202">
        <v>4.9631307405250524</v>
      </c>
      <c r="AG202">
        <v>4.9631307405250524</v>
      </c>
      <c r="AH202">
        <v>4.9631307405250524</v>
      </c>
      <c r="AI202">
        <v>4.9631307405250524</v>
      </c>
      <c r="AJ202">
        <v>4.9631307405250524</v>
      </c>
      <c r="AK202">
        <v>4.9631307405250524</v>
      </c>
    </row>
    <row r="203" spans="1:37" x14ac:dyDescent="0.25">
      <c r="A203" t="s">
        <v>90</v>
      </c>
      <c r="B203" t="s">
        <v>182</v>
      </c>
      <c r="C203" t="s">
        <v>246</v>
      </c>
      <c r="F203" t="s">
        <v>207</v>
      </c>
      <c r="G203" t="s">
        <v>124</v>
      </c>
      <c r="H203" t="s">
        <v>125</v>
      </c>
      <c r="I203" t="s">
        <v>247</v>
      </c>
      <c r="J203" t="s">
        <v>250</v>
      </c>
      <c r="K203" t="s">
        <v>98</v>
      </c>
      <c r="L203">
        <v>0</v>
      </c>
      <c r="M203">
        <v>1</v>
      </c>
      <c r="N203">
        <v>2020</v>
      </c>
      <c r="O203">
        <v>21.783939170417959</v>
      </c>
      <c r="P203">
        <v>0.1</v>
      </c>
      <c r="Q203">
        <v>0.10293858753709199</v>
      </c>
      <c r="R203">
        <v>0.10293858753709199</v>
      </c>
      <c r="S203">
        <v>0.1142140771513353</v>
      </c>
      <c r="T203">
        <v>0.1241630385756677</v>
      </c>
      <c r="U203">
        <v>0.12986710979228491</v>
      </c>
      <c r="V203">
        <v>0.1353058753709199</v>
      </c>
      <c r="W203">
        <v>0.1406119881305638</v>
      </c>
      <c r="X203">
        <v>259.62195015425431</v>
      </c>
      <c r="Y203">
        <v>259.62195015425431</v>
      </c>
      <c r="Z203">
        <v>260.33324316837559</v>
      </c>
      <c r="AA203">
        <v>260.33324316837559</v>
      </c>
      <c r="AB203">
        <v>261.75582919661798</v>
      </c>
      <c r="AC203">
        <v>263.88970823898183</v>
      </c>
      <c r="AD203">
        <v>266.02358728134561</v>
      </c>
      <c r="AE203">
        <v>4.9631307405250524</v>
      </c>
      <c r="AF203">
        <v>4.9631307405250524</v>
      </c>
      <c r="AG203">
        <v>4.9631307405250524</v>
      </c>
      <c r="AH203">
        <v>4.9631307405250524</v>
      </c>
      <c r="AI203">
        <v>4.9631307405250524</v>
      </c>
      <c r="AJ203">
        <v>4.9631307405250524</v>
      </c>
      <c r="AK203">
        <v>4.9631307405250524</v>
      </c>
    </row>
    <row r="204" spans="1:37" x14ac:dyDescent="0.25">
      <c r="A204" t="s">
        <v>90</v>
      </c>
      <c r="B204" t="s">
        <v>182</v>
      </c>
      <c r="C204" t="s">
        <v>246</v>
      </c>
      <c r="F204" t="s">
        <v>209</v>
      </c>
      <c r="G204" t="s">
        <v>119</v>
      </c>
      <c r="H204" t="s">
        <v>120</v>
      </c>
      <c r="I204" t="s">
        <v>247</v>
      </c>
      <c r="J204" t="s">
        <v>251</v>
      </c>
      <c r="K204" t="s">
        <v>98</v>
      </c>
      <c r="L204">
        <v>1</v>
      </c>
      <c r="M204">
        <v>1</v>
      </c>
      <c r="N204">
        <v>2020</v>
      </c>
      <c r="O204">
        <v>21.783939170417959</v>
      </c>
      <c r="P204">
        <v>0.34675615212528432</v>
      </c>
      <c r="Q204">
        <v>0.18040783382789249</v>
      </c>
      <c r="R204">
        <v>0.18040783382789249</v>
      </c>
      <c r="S204">
        <v>0.20163228486646839</v>
      </c>
      <c r="T204">
        <v>0.22285673590504509</v>
      </c>
      <c r="U204">
        <v>0.23214243323442141</v>
      </c>
      <c r="V204">
        <v>0.2414281305637975</v>
      </c>
      <c r="W204">
        <v>0.25204035608308611</v>
      </c>
      <c r="X204">
        <v>374.14012542777448</v>
      </c>
      <c r="Y204">
        <v>374.14012542777448</v>
      </c>
      <c r="Z204">
        <v>325.06090745340788</v>
      </c>
      <c r="AA204">
        <v>300.16565195916411</v>
      </c>
      <c r="AB204">
        <v>290.91884277558938</v>
      </c>
      <c r="AC204">
        <v>280.96074057789201</v>
      </c>
      <c r="AD204">
        <v>271.71393139431541</v>
      </c>
      <c r="AE204">
        <v>4.9631307405250613</v>
      </c>
      <c r="AF204">
        <v>4.9631307405250613</v>
      </c>
      <c r="AG204">
        <v>4.9631307405250613</v>
      </c>
      <c r="AH204">
        <v>4.9631307405250613</v>
      </c>
      <c r="AI204">
        <v>4.9631307405250613</v>
      </c>
      <c r="AJ204">
        <v>4.9631307405250613</v>
      </c>
      <c r="AK204">
        <v>4.9631307405250613</v>
      </c>
    </row>
    <row r="205" spans="1:37" x14ac:dyDescent="0.25">
      <c r="A205" t="s">
        <v>90</v>
      </c>
      <c r="B205" t="s">
        <v>182</v>
      </c>
      <c r="C205" t="s">
        <v>246</v>
      </c>
      <c r="F205" t="s">
        <v>209</v>
      </c>
      <c r="G205" t="s">
        <v>122</v>
      </c>
      <c r="H205" t="s">
        <v>123</v>
      </c>
      <c r="I205" t="s">
        <v>247</v>
      </c>
      <c r="J205" t="s">
        <v>251</v>
      </c>
      <c r="K205" t="s">
        <v>98</v>
      </c>
      <c r="L205">
        <v>0</v>
      </c>
      <c r="M205">
        <v>1</v>
      </c>
      <c r="N205">
        <v>2020</v>
      </c>
      <c r="O205">
        <v>21.783939170417959</v>
      </c>
      <c r="P205">
        <v>0.34675615212528432</v>
      </c>
      <c r="Q205">
        <v>0.18040783382789249</v>
      </c>
      <c r="R205">
        <v>0.18040783382789249</v>
      </c>
      <c r="S205">
        <v>0.20163228486646839</v>
      </c>
      <c r="T205">
        <v>0.22285673590504509</v>
      </c>
      <c r="U205">
        <v>0.23214243323442141</v>
      </c>
      <c r="V205">
        <v>0.2414281305637975</v>
      </c>
      <c r="W205">
        <v>0.25204035608308611</v>
      </c>
      <c r="X205">
        <v>374.14012542777448</v>
      </c>
      <c r="Y205">
        <v>374.14012542777448</v>
      </c>
      <c r="Z205">
        <v>325.06090745340788</v>
      </c>
      <c r="AA205">
        <v>300.16565195916411</v>
      </c>
      <c r="AB205">
        <v>290.91884277558938</v>
      </c>
      <c r="AC205">
        <v>280.96074057789201</v>
      </c>
      <c r="AD205">
        <v>271.71393139431541</v>
      </c>
      <c r="AE205">
        <v>4.9631307405250613</v>
      </c>
      <c r="AF205">
        <v>4.9631307405250613</v>
      </c>
      <c r="AG205">
        <v>4.9631307405250613</v>
      </c>
      <c r="AH205">
        <v>4.9631307405250613</v>
      </c>
      <c r="AI205">
        <v>4.9631307405250613</v>
      </c>
      <c r="AJ205">
        <v>4.9631307405250613</v>
      </c>
      <c r="AK205">
        <v>4.9631307405250613</v>
      </c>
    </row>
    <row r="206" spans="1:37" x14ac:dyDescent="0.25">
      <c r="A206" t="s">
        <v>90</v>
      </c>
      <c r="B206" t="s">
        <v>182</v>
      </c>
      <c r="C206" t="s">
        <v>246</v>
      </c>
      <c r="F206" t="s">
        <v>209</v>
      </c>
      <c r="G206" t="s">
        <v>124</v>
      </c>
      <c r="H206" t="s">
        <v>125</v>
      </c>
      <c r="I206" t="s">
        <v>247</v>
      </c>
      <c r="J206" t="s">
        <v>251</v>
      </c>
      <c r="K206" t="s">
        <v>98</v>
      </c>
      <c r="L206">
        <v>0</v>
      </c>
      <c r="M206">
        <v>1</v>
      </c>
      <c r="N206">
        <v>2020</v>
      </c>
      <c r="O206">
        <v>21.783939170417959</v>
      </c>
      <c r="P206">
        <v>0.1</v>
      </c>
      <c r="Q206">
        <v>0.18040783382789249</v>
      </c>
      <c r="R206">
        <v>0.18040783382789249</v>
      </c>
      <c r="S206">
        <v>0.20163228486646839</v>
      </c>
      <c r="T206">
        <v>0.22285673590504509</v>
      </c>
      <c r="U206">
        <v>0.23214243323442141</v>
      </c>
      <c r="V206">
        <v>0.2414281305637975</v>
      </c>
      <c r="W206">
        <v>0.25204035608308611</v>
      </c>
      <c r="X206">
        <v>374.14012542777448</v>
      </c>
      <c r="Y206">
        <v>374.14012542777448</v>
      </c>
      <c r="Z206">
        <v>325.06090745340788</v>
      </c>
      <c r="AA206">
        <v>300.16565195916411</v>
      </c>
      <c r="AB206">
        <v>290.91884277558938</v>
      </c>
      <c r="AC206">
        <v>280.96074057789201</v>
      </c>
      <c r="AD206">
        <v>271.71393139431541</v>
      </c>
      <c r="AE206">
        <v>4.9631307405250613</v>
      </c>
      <c r="AF206">
        <v>4.9631307405250613</v>
      </c>
      <c r="AG206">
        <v>4.9631307405250613</v>
      </c>
      <c r="AH206">
        <v>4.9631307405250613</v>
      </c>
      <c r="AI206">
        <v>4.9631307405250613</v>
      </c>
      <c r="AJ206">
        <v>4.9631307405250613</v>
      </c>
      <c r="AK206">
        <v>4.9631307405250613</v>
      </c>
    </row>
    <row r="207" spans="1:37" x14ac:dyDescent="0.25">
      <c r="A207" t="s">
        <v>90</v>
      </c>
      <c r="B207" t="s">
        <v>182</v>
      </c>
      <c r="C207" t="s">
        <v>246</v>
      </c>
      <c r="F207" t="s">
        <v>209</v>
      </c>
      <c r="G207" t="s">
        <v>211</v>
      </c>
      <c r="H207" t="s">
        <v>212</v>
      </c>
      <c r="I207" t="s">
        <v>247</v>
      </c>
      <c r="J207" t="s">
        <v>251</v>
      </c>
      <c r="K207" t="s">
        <v>98</v>
      </c>
      <c r="L207">
        <v>0</v>
      </c>
      <c r="M207">
        <v>1</v>
      </c>
      <c r="N207">
        <v>2020</v>
      </c>
      <c r="O207">
        <v>21.783939170417959</v>
      </c>
      <c r="P207">
        <v>0.65324384787471568</v>
      </c>
      <c r="Q207">
        <v>0.18040783382789249</v>
      </c>
      <c r="R207">
        <v>0.18040783382789249</v>
      </c>
      <c r="S207">
        <v>0.20163228486646839</v>
      </c>
      <c r="T207">
        <v>0.22285673590504509</v>
      </c>
      <c r="U207">
        <v>0.23214243323442141</v>
      </c>
      <c r="V207">
        <v>0.2414281305637975</v>
      </c>
      <c r="W207">
        <v>0.25204035608308611</v>
      </c>
      <c r="X207">
        <v>374.14012542777448</v>
      </c>
      <c r="Y207">
        <v>374.14012542777448</v>
      </c>
      <c r="Z207">
        <v>325.06090745340788</v>
      </c>
      <c r="AA207">
        <v>300.16565195916411</v>
      </c>
      <c r="AB207">
        <v>290.91884277558938</v>
      </c>
      <c r="AC207">
        <v>280.96074057789201</v>
      </c>
      <c r="AD207">
        <v>271.71393139431541</v>
      </c>
      <c r="AE207">
        <v>4.9631307405250613</v>
      </c>
      <c r="AF207">
        <v>4.9631307405250613</v>
      </c>
      <c r="AG207">
        <v>4.9631307405250613</v>
      </c>
      <c r="AH207">
        <v>4.9631307405250613</v>
      </c>
      <c r="AI207">
        <v>4.9631307405250613</v>
      </c>
      <c r="AJ207">
        <v>4.9631307405250613</v>
      </c>
      <c r="AK207">
        <v>4.9631307405250613</v>
      </c>
    </row>
    <row r="208" spans="1:37" x14ac:dyDescent="0.25">
      <c r="A208" t="s">
        <v>90</v>
      </c>
      <c r="B208" t="s">
        <v>182</v>
      </c>
      <c r="C208" t="s">
        <v>246</v>
      </c>
      <c r="F208" t="s">
        <v>213</v>
      </c>
      <c r="G208" t="s">
        <v>133</v>
      </c>
      <c r="H208" t="s">
        <v>134</v>
      </c>
      <c r="I208" t="s">
        <v>247</v>
      </c>
      <c r="J208" t="s">
        <v>252</v>
      </c>
      <c r="K208" t="s">
        <v>98</v>
      </c>
      <c r="L208">
        <v>1</v>
      </c>
      <c r="M208">
        <v>1</v>
      </c>
      <c r="N208">
        <v>2020</v>
      </c>
      <c r="O208">
        <v>21.783939170417959</v>
      </c>
      <c r="P208">
        <v>1</v>
      </c>
      <c r="Q208">
        <v>0.1150099940652819</v>
      </c>
      <c r="R208">
        <v>0.1150099940652819</v>
      </c>
      <c r="S208">
        <v>0.12933649851632051</v>
      </c>
      <c r="T208">
        <v>0.14326504451038591</v>
      </c>
      <c r="U208">
        <v>0.15122421364985161</v>
      </c>
      <c r="V208">
        <v>0.15918338278931751</v>
      </c>
      <c r="W208">
        <v>0.16714255192878349</v>
      </c>
      <c r="X208">
        <v>409.70477613383707</v>
      </c>
      <c r="Y208">
        <v>409.70477613383707</v>
      </c>
      <c r="Z208">
        <v>364.89331624419862</v>
      </c>
      <c r="AA208">
        <v>340.70935376407601</v>
      </c>
      <c r="AB208">
        <v>331.46254458049981</v>
      </c>
      <c r="AC208">
        <v>322.21573539692372</v>
      </c>
      <c r="AD208">
        <v>313.68021922746908</v>
      </c>
      <c r="AE208">
        <v>4.9957829164495564</v>
      </c>
      <c r="AF208">
        <v>4.9957829164495564</v>
      </c>
      <c r="AG208">
        <v>4.9957829164495564</v>
      </c>
      <c r="AH208">
        <v>4.9957829164495564</v>
      </c>
      <c r="AI208">
        <v>4.9957829164495564</v>
      </c>
      <c r="AJ208">
        <v>4.9957829164495564</v>
      </c>
      <c r="AK208">
        <v>4.9957829164495564</v>
      </c>
    </row>
    <row r="209" spans="1:37" x14ac:dyDescent="0.25">
      <c r="A209" t="s">
        <v>90</v>
      </c>
      <c r="B209" t="s">
        <v>182</v>
      </c>
      <c r="C209" t="s">
        <v>246</v>
      </c>
      <c r="F209" t="s">
        <v>215</v>
      </c>
      <c r="G209" t="s">
        <v>133</v>
      </c>
      <c r="H209" t="s">
        <v>134</v>
      </c>
      <c r="I209" t="s">
        <v>247</v>
      </c>
      <c r="J209" t="s">
        <v>253</v>
      </c>
      <c r="K209" t="s">
        <v>98</v>
      </c>
      <c r="L209">
        <v>1</v>
      </c>
      <c r="M209">
        <v>1</v>
      </c>
      <c r="N209">
        <v>2020</v>
      </c>
      <c r="O209">
        <v>21.783939170417959</v>
      </c>
      <c r="P209">
        <v>0.92029887920298814</v>
      </c>
      <c r="Q209">
        <v>0.1234997744807122</v>
      </c>
      <c r="R209">
        <v>0.1234997744807122</v>
      </c>
      <c r="S209">
        <v>0.13928545994065281</v>
      </c>
      <c r="T209">
        <v>0.15918338278931751</v>
      </c>
      <c r="U209">
        <v>0.16979560830860541</v>
      </c>
      <c r="V209">
        <v>0.17908130563798219</v>
      </c>
      <c r="W209">
        <v>0.18969353115727011</v>
      </c>
      <c r="X209">
        <v>322.92702841104523</v>
      </c>
      <c r="Y209">
        <v>322.92702841104523</v>
      </c>
      <c r="Z209">
        <v>289.49625674734659</v>
      </c>
      <c r="AA209">
        <v>270.29134536607307</v>
      </c>
      <c r="AB209">
        <v>262.46712221073909</v>
      </c>
      <c r="AC209">
        <v>255.35419206952679</v>
      </c>
      <c r="AD209">
        <v>248.24126192831449</v>
      </c>
      <c r="AE209">
        <v>4.9957829164495564</v>
      </c>
      <c r="AF209">
        <v>4.9957829164495564</v>
      </c>
      <c r="AG209">
        <v>4.9957829164495564</v>
      </c>
      <c r="AH209">
        <v>4.9957829164495564</v>
      </c>
      <c r="AI209">
        <v>4.9957829164495564</v>
      </c>
      <c r="AJ209">
        <v>4.9957829164495564</v>
      </c>
      <c r="AK209">
        <v>4.9957829164495564</v>
      </c>
    </row>
    <row r="210" spans="1:37" x14ac:dyDescent="0.25">
      <c r="A210" t="s">
        <v>90</v>
      </c>
      <c r="B210" t="s">
        <v>182</v>
      </c>
      <c r="C210" t="s">
        <v>246</v>
      </c>
      <c r="F210" t="s">
        <v>215</v>
      </c>
      <c r="G210" t="s">
        <v>211</v>
      </c>
      <c r="H210" t="s">
        <v>212</v>
      </c>
      <c r="I210" t="s">
        <v>247</v>
      </c>
      <c r="J210" t="s">
        <v>253</v>
      </c>
      <c r="K210" t="s">
        <v>98</v>
      </c>
      <c r="L210">
        <v>0</v>
      </c>
      <c r="M210">
        <v>1</v>
      </c>
      <c r="N210">
        <v>2020</v>
      </c>
      <c r="O210">
        <v>21.783939170417959</v>
      </c>
      <c r="P210">
        <v>7.9701120797011846E-2</v>
      </c>
      <c r="Q210">
        <v>0.1234997744807122</v>
      </c>
      <c r="R210">
        <v>0.1234997744807122</v>
      </c>
      <c r="S210">
        <v>0.13928545994065281</v>
      </c>
      <c r="T210">
        <v>0.15918338278931751</v>
      </c>
      <c r="U210">
        <v>0.16979560830860541</v>
      </c>
      <c r="V210">
        <v>0.17908130563798219</v>
      </c>
      <c r="W210">
        <v>0.18969353115727011</v>
      </c>
      <c r="X210">
        <v>322.92702841104523</v>
      </c>
      <c r="Y210">
        <v>322.92702841104523</v>
      </c>
      <c r="Z210">
        <v>289.49625674734659</v>
      </c>
      <c r="AA210">
        <v>270.29134536607307</v>
      </c>
      <c r="AB210">
        <v>262.46712221073909</v>
      </c>
      <c r="AC210">
        <v>255.35419206952679</v>
      </c>
      <c r="AD210">
        <v>248.24126192831449</v>
      </c>
      <c r="AE210">
        <v>4.9957829164495564</v>
      </c>
      <c r="AF210">
        <v>4.9957829164495564</v>
      </c>
      <c r="AG210">
        <v>4.9957829164495564</v>
      </c>
      <c r="AH210">
        <v>4.9957829164495564</v>
      </c>
      <c r="AI210">
        <v>4.9957829164495564</v>
      </c>
      <c r="AJ210">
        <v>4.9957829164495564</v>
      </c>
      <c r="AK210">
        <v>4.9957829164495564</v>
      </c>
    </row>
    <row r="211" spans="1:37" x14ac:dyDescent="0.25">
      <c r="A211" t="s">
        <v>90</v>
      </c>
      <c r="B211" t="s">
        <v>182</v>
      </c>
      <c r="C211" t="s">
        <v>246</v>
      </c>
      <c r="F211" t="s">
        <v>217</v>
      </c>
      <c r="G211" t="s">
        <v>211</v>
      </c>
      <c r="H211" t="s">
        <v>212</v>
      </c>
      <c r="I211" t="s">
        <v>247</v>
      </c>
      <c r="J211" t="s">
        <v>254</v>
      </c>
      <c r="K211" t="s">
        <v>98</v>
      </c>
      <c r="L211">
        <v>1</v>
      </c>
      <c r="M211">
        <v>1</v>
      </c>
      <c r="N211">
        <v>2020</v>
      </c>
      <c r="O211">
        <v>21.783939170417959</v>
      </c>
      <c r="P211">
        <v>1</v>
      </c>
      <c r="Q211">
        <v>0.2215302077151334</v>
      </c>
      <c r="R211">
        <v>0.2215302077151334</v>
      </c>
      <c r="S211">
        <v>0.24673424332344221</v>
      </c>
      <c r="T211">
        <v>0.27193827893175071</v>
      </c>
      <c r="U211">
        <v>0.2812239762611275</v>
      </c>
      <c r="V211">
        <v>0.29316272997032661</v>
      </c>
      <c r="W211">
        <v>0.30510148367952522</v>
      </c>
      <c r="X211">
        <v>477.277612475355</v>
      </c>
      <c r="Y211">
        <v>477.277612475355</v>
      </c>
      <c r="Z211">
        <v>392.63374379492677</v>
      </c>
      <c r="AA211">
        <v>348.53357691941</v>
      </c>
      <c r="AB211">
        <v>330.0399585522577</v>
      </c>
      <c r="AC211">
        <v>310.83504717098378</v>
      </c>
      <c r="AD211">
        <v>292.34142880383138</v>
      </c>
      <c r="AE211">
        <v>3.199913240601679</v>
      </c>
      <c r="AF211">
        <v>3.199913240601679</v>
      </c>
      <c r="AG211">
        <v>3.199913240601679</v>
      </c>
      <c r="AH211">
        <v>3.199913240601679</v>
      </c>
      <c r="AI211">
        <v>3.199913240601679</v>
      </c>
      <c r="AJ211">
        <v>3.199913240601679</v>
      </c>
      <c r="AK211">
        <v>3.199913240601679</v>
      </c>
    </row>
    <row r="212" spans="1:37" x14ac:dyDescent="0.25">
      <c r="A212" t="s">
        <v>90</v>
      </c>
      <c r="B212" t="s">
        <v>91</v>
      </c>
      <c r="C212" t="s">
        <v>255</v>
      </c>
      <c r="F212" t="s">
        <v>202</v>
      </c>
      <c r="G212" t="s">
        <v>119</v>
      </c>
      <c r="H212" t="s">
        <v>120</v>
      </c>
      <c r="I212" t="s">
        <v>256</v>
      </c>
      <c r="J212" t="s">
        <v>257</v>
      </c>
      <c r="K212" t="s">
        <v>98</v>
      </c>
      <c r="L212">
        <v>1</v>
      </c>
      <c r="M212">
        <v>1</v>
      </c>
      <c r="N212">
        <v>2020</v>
      </c>
      <c r="O212">
        <v>4.6576618537494188</v>
      </c>
      <c r="P212">
        <v>1</v>
      </c>
      <c r="Q212">
        <v>0.14459157270029679</v>
      </c>
      <c r="R212">
        <v>0.14459157270029679</v>
      </c>
      <c r="S212">
        <v>0.1578568545994066</v>
      </c>
      <c r="T212">
        <v>0.1711221364985164</v>
      </c>
      <c r="U212">
        <v>0.1804078338278931</v>
      </c>
      <c r="V212">
        <v>0.18836700296735909</v>
      </c>
      <c r="W212">
        <v>0.1963261721068249</v>
      </c>
      <c r="X212">
        <v>421.08546435977678</v>
      </c>
      <c r="Y212">
        <v>421.08546435977678</v>
      </c>
      <c r="Z212">
        <v>423.93063641626179</v>
      </c>
      <c r="AA212">
        <v>423.21934340214051</v>
      </c>
      <c r="AB212">
        <v>423.93063641626179</v>
      </c>
      <c r="AC212">
        <v>424.64192943038302</v>
      </c>
      <c r="AD212">
        <v>426.06451545862558</v>
      </c>
      <c r="AE212">
        <v>18.02032399555608</v>
      </c>
      <c r="AF212">
        <v>18.02032399555608</v>
      </c>
      <c r="AG212">
        <v>18.02032399555608</v>
      </c>
      <c r="AH212">
        <v>18.02032399555608</v>
      </c>
      <c r="AI212">
        <v>18.02032399555608</v>
      </c>
      <c r="AJ212">
        <v>18.02032399555608</v>
      </c>
      <c r="AK212">
        <v>18.02032399555608</v>
      </c>
    </row>
    <row r="213" spans="1:37" x14ac:dyDescent="0.25">
      <c r="A213" t="s">
        <v>90</v>
      </c>
      <c r="B213" t="s">
        <v>91</v>
      </c>
      <c r="C213" t="s">
        <v>255</v>
      </c>
      <c r="F213" t="s">
        <v>202</v>
      </c>
      <c r="G213" t="s">
        <v>122</v>
      </c>
      <c r="H213" t="s">
        <v>123</v>
      </c>
      <c r="I213" t="s">
        <v>256</v>
      </c>
      <c r="J213" t="s">
        <v>257</v>
      </c>
      <c r="K213" t="s">
        <v>98</v>
      </c>
      <c r="L213">
        <v>0</v>
      </c>
      <c r="M213">
        <v>1</v>
      </c>
      <c r="N213">
        <v>2020</v>
      </c>
      <c r="O213">
        <v>4.6576618537494188</v>
      </c>
      <c r="P213">
        <v>1</v>
      </c>
      <c r="Q213">
        <v>0.14459157270029679</v>
      </c>
      <c r="R213">
        <v>0.14459157270029679</v>
      </c>
      <c r="S213">
        <v>0.1578568545994066</v>
      </c>
      <c r="T213">
        <v>0.1711221364985164</v>
      </c>
      <c r="U213">
        <v>0.1804078338278931</v>
      </c>
      <c r="V213">
        <v>0.18836700296735909</v>
      </c>
      <c r="W213">
        <v>0.1963261721068249</v>
      </c>
      <c r="X213">
        <v>421.08546435977678</v>
      </c>
      <c r="Y213">
        <v>421.08546435977678</v>
      </c>
      <c r="Z213">
        <v>423.93063641626179</v>
      </c>
      <c r="AA213">
        <v>423.21934340214051</v>
      </c>
      <c r="AB213">
        <v>423.93063641626179</v>
      </c>
      <c r="AC213">
        <v>424.64192943038302</v>
      </c>
      <c r="AD213">
        <v>426.06451545862558</v>
      </c>
      <c r="AE213">
        <v>18.02032399555608</v>
      </c>
      <c r="AF213">
        <v>18.02032399555608</v>
      </c>
      <c r="AG213">
        <v>18.02032399555608</v>
      </c>
      <c r="AH213">
        <v>18.02032399555608</v>
      </c>
      <c r="AI213">
        <v>18.02032399555608</v>
      </c>
      <c r="AJ213">
        <v>18.02032399555608</v>
      </c>
      <c r="AK213">
        <v>18.02032399555608</v>
      </c>
    </row>
    <row r="214" spans="1:37" x14ac:dyDescent="0.25">
      <c r="A214" t="s">
        <v>90</v>
      </c>
      <c r="B214" t="s">
        <v>91</v>
      </c>
      <c r="C214" t="s">
        <v>255</v>
      </c>
      <c r="F214" t="s">
        <v>202</v>
      </c>
      <c r="G214" t="s">
        <v>124</v>
      </c>
      <c r="H214" t="s">
        <v>125</v>
      </c>
      <c r="I214" t="s">
        <v>256</v>
      </c>
      <c r="J214" t="s">
        <v>257</v>
      </c>
      <c r="K214" t="s">
        <v>98</v>
      </c>
      <c r="L214">
        <v>0</v>
      </c>
      <c r="M214">
        <v>1</v>
      </c>
      <c r="N214">
        <v>2020</v>
      </c>
      <c r="O214">
        <v>4.6576618537494188</v>
      </c>
      <c r="P214">
        <v>0.1</v>
      </c>
      <c r="Q214">
        <v>0.14459157270029679</v>
      </c>
      <c r="R214">
        <v>0.14459157270029679</v>
      </c>
      <c r="S214">
        <v>0.1578568545994066</v>
      </c>
      <c r="T214">
        <v>0.1711221364985164</v>
      </c>
      <c r="U214">
        <v>0.1804078338278931</v>
      </c>
      <c r="V214">
        <v>0.18836700296735909</v>
      </c>
      <c r="W214">
        <v>0.1963261721068249</v>
      </c>
      <c r="X214">
        <v>421.08546435977678</v>
      </c>
      <c r="Y214">
        <v>421.08546435977678</v>
      </c>
      <c r="Z214">
        <v>423.93063641626179</v>
      </c>
      <c r="AA214">
        <v>423.21934340214051</v>
      </c>
      <c r="AB214">
        <v>423.93063641626179</v>
      </c>
      <c r="AC214">
        <v>424.64192943038302</v>
      </c>
      <c r="AD214">
        <v>426.06451545862558</v>
      </c>
      <c r="AE214">
        <v>18.02032399555608</v>
      </c>
      <c r="AF214">
        <v>18.02032399555608</v>
      </c>
      <c r="AG214">
        <v>18.02032399555608</v>
      </c>
      <c r="AH214">
        <v>18.02032399555608</v>
      </c>
      <c r="AI214">
        <v>18.02032399555608</v>
      </c>
      <c r="AJ214">
        <v>18.02032399555608</v>
      </c>
      <c r="AK214">
        <v>18.02032399555608</v>
      </c>
    </row>
    <row r="215" spans="1:37" x14ac:dyDescent="0.25">
      <c r="A215" t="s">
        <v>90</v>
      </c>
      <c r="B215" t="s">
        <v>91</v>
      </c>
      <c r="C215" t="s">
        <v>255</v>
      </c>
      <c r="F215" t="s">
        <v>205</v>
      </c>
      <c r="G215" t="s">
        <v>119</v>
      </c>
      <c r="H215" t="s">
        <v>120</v>
      </c>
      <c r="I215" t="s">
        <v>256</v>
      </c>
      <c r="J215" t="s">
        <v>258</v>
      </c>
      <c r="K215" t="s">
        <v>98</v>
      </c>
      <c r="L215">
        <v>1</v>
      </c>
      <c r="M215">
        <v>1</v>
      </c>
      <c r="N215">
        <v>2020</v>
      </c>
      <c r="O215">
        <v>4.6576618537494188</v>
      </c>
      <c r="P215">
        <v>1</v>
      </c>
      <c r="Q215">
        <v>0.14459157270029679</v>
      </c>
      <c r="R215">
        <v>0.14459157270029679</v>
      </c>
      <c r="S215">
        <v>0.1578568545994066</v>
      </c>
      <c r="T215">
        <v>0.17244866468842729</v>
      </c>
      <c r="U215">
        <v>0.1804078338278931</v>
      </c>
      <c r="V215">
        <v>0.18836700296735909</v>
      </c>
      <c r="W215">
        <v>0.19765270029673601</v>
      </c>
      <c r="X215">
        <v>461.62916616468777</v>
      </c>
      <c r="Y215">
        <v>461.62916616468777</v>
      </c>
      <c r="Z215">
        <v>465.18563123529401</v>
      </c>
      <c r="AA215">
        <v>463.7630452070515</v>
      </c>
      <c r="AB215">
        <v>463.7630452070515</v>
      </c>
      <c r="AC215">
        <v>464.47433822117279</v>
      </c>
      <c r="AD215">
        <v>465.18563123529401</v>
      </c>
      <c r="AE215">
        <v>18.02032399555608</v>
      </c>
      <c r="AF215">
        <v>18.02032399555608</v>
      </c>
      <c r="AG215">
        <v>18.02032399555608</v>
      </c>
      <c r="AH215">
        <v>18.02032399555608</v>
      </c>
      <c r="AI215">
        <v>18.02032399555608</v>
      </c>
      <c r="AJ215">
        <v>18.02032399555608</v>
      </c>
      <c r="AK215">
        <v>18.02032399555608</v>
      </c>
    </row>
    <row r="216" spans="1:37" x14ac:dyDescent="0.25">
      <c r="A216" t="s">
        <v>90</v>
      </c>
      <c r="B216" t="s">
        <v>91</v>
      </c>
      <c r="C216" t="s">
        <v>255</v>
      </c>
      <c r="F216" t="s">
        <v>205</v>
      </c>
      <c r="G216" t="s">
        <v>122</v>
      </c>
      <c r="H216" t="s">
        <v>123</v>
      </c>
      <c r="I216" t="s">
        <v>256</v>
      </c>
      <c r="J216" t="s">
        <v>258</v>
      </c>
      <c r="K216" t="s">
        <v>98</v>
      </c>
      <c r="L216">
        <v>0</v>
      </c>
      <c r="M216">
        <v>1</v>
      </c>
      <c r="N216">
        <v>2020</v>
      </c>
      <c r="O216">
        <v>4.6576618537494188</v>
      </c>
      <c r="P216">
        <v>1</v>
      </c>
      <c r="Q216">
        <v>0.14459157270029679</v>
      </c>
      <c r="R216">
        <v>0.14459157270029679</v>
      </c>
      <c r="S216">
        <v>0.1578568545994066</v>
      </c>
      <c r="T216">
        <v>0.17244866468842729</v>
      </c>
      <c r="U216">
        <v>0.1804078338278931</v>
      </c>
      <c r="V216">
        <v>0.18836700296735909</v>
      </c>
      <c r="W216">
        <v>0.19765270029673601</v>
      </c>
      <c r="X216">
        <v>461.62916616468777</v>
      </c>
      <c r="Y216">
        <v>461.62916616468777</v>
      </c>
      <c r="Z216">
        <v>465.18563123529401</v>
      </c>
      <c r="AA216">
        <v>463.7630452070515</v>
      </c>
      <c r="AB216">
        <v>463.7630452070515</v>
      </c>
      <c r="AC216">
        <v>464.47433822117279</v>
      </c>
      <c r="AD216">
        <v>465.18563123529401</v>
      </c>
      <c r="AE216">
        <v>18.02032399555608</v>
      </c>
      <c r="AF216">
        <v>18.02032399555608</v>
      </c>
      <c r="AG216">
        <v>18.02032399555608</v>
      </c>
      <c r="AH216">
        <v>18.02032399555608</v>
      </c>
      <c r="AI216">
        <v>18.02032399555608</v>
      </c>
      <c r="AJ216">
        <v>18.02032399555608</v>
      </c>
      <c r="AK216">
        <v>18.02032399555608</v>
      </c>
    </row>
    <row r="217" spans="1:37" x14ac:dyDescent="0.25">
      <c r="A217" t="s">
        <v>90</v>
      </c>
      <c r="B217" t="s">
        <v>91</v>
      </c>
      <c r="C217" t="s">
        <v>255</v>
      </c>
      <c r="F217" t="s">
        <v>205</v>
      </c>
      <c r="G217" t="s">
        <v>124</v>
      </c>
      <c r="H217" t="s">
        <v>125</v>
      </c>
      <c r="I217" t="s">
        <v>256</v>
      </c>
      <c r="J217" t="s">
        <v>258</v>
      </c>
      <c r="K217" t="s">
        <v>98</v>
      </c>
      <c r="L217">
        <v>0</v>
      </c>
      <c r="M217">
        <v>1</v>
      </c>
      <c r="N217">
        <v>2020</v>
      </c>
      <c r="O217">
        <v>4.6576618537494188</v>
      </c>
      <c r="P217">
        <v>0.1</v>
      </c>
      <c r="Q217">
        <v>0.14459157270029679</v>
      </c>
      <c r="R217">
        <v>0.14459157270029679</v>
      </c>
      <c r="S217">
        <v>0.1578568545994066</v>
      </c>
      <c r="T217">
        <v>0.17244866468842729</v>
      </c>
      <c r="U217">
        <v>0.1804078338278931</v>
      </c>
      <c r="V217">
        <v>0.18836700296735909</v>
      </c>
      <c r="W217">
        <v>0.19765270029673601</v>
      </c>
      <c r="X217">
        <v>461.62916616468777</v>
      </c>
      <c r="Y217">
        <v>461.62916616468777</v>
      </c>
      <c r="Z217">
        <v>465.18563123529401</v>
      </c>
      <c r="AA217">
        <v>463.7630452070515</v>
      </c>
      <c r="AB217">
        <v>463.7630452070515</v>
      </c>
      <c r="AC217">
        <v>464.47433822117279</v>
      </c>
      <c r="AD217">
        <v>465.18563123529401</v>
      </c>
      <c r="AE217">
        <v>18.02032399555608</v>
      </c>
      <c r="AF217">
        <v>18.02032399555608</v>
      </c>
      <c r="AG217">
        <v>18.02032399555608</v>
      </c>
      <c r="AH217">
        <v>18.02032399555608</v>
      </c>
      <c r="AI217">
        <v>18.02032399555608</v>
      </c>
      <c r="AJ217">
        <v>18.02032399555608</v>
      </c>
      <c r="AK217">
        <v>18.02032399555608</v>
      </c>
    </row>
    <row r="218" spans="1:37" x14ac:dyDescent="0.25">
      <c r="A218" t="s">
        <v>90</v>
      </c>
      <c r="B218" t="s">
        <v>91</v>
      </c>
      <c r="C218" t="s">
        <v>255</v>
      </c>
      <c r="F218" t="s">
        <v>207</v>
      </c>
      <c r="G218" t="s">
        <v>119</v>
      </c>
      <c r="H218" t="s">
        <v>120</v>
      </c>
      <c r="I218" t="s">
        <v>256</v>
      </c>
      <c r="J218" t="s">
        <v>259</v>
      </c>
      <c r="K218" t="s">
        <v>98</v>
      </c>
      <c r="L218">
        <v>1</v>
      </c>
      <c r="M218">
        <v>1</v>
      </c>
      <c r="N218">
        <v>2020</v>
      </c>
      <c r="O218">
        <v>4.6576618537494188</v>
      </c>
      <c r="P218">
        <v>1</v>
      </c>
      <c r="Q218">
        <v>0.14591810089020771</v>
      </c>
      <c r="R218">
        <v>0.14591810089020771</v>
      </c>
      <c r="S218">
        <v>0.16183643916913951</v>
      </c>
      <c r="T218">
        <v>0.1764282492581602</v>
      </c>
      <c r="U218">
        <v>0.18704047477744801</v>
      </c>
      <c r="V218">
        <v>0.1963261721068249</v>
      </c>
      <c r="W218">
        <v>0.2056118694362018</v>
      </c>
      <c r="X218">
        <v>465.89692424941529</v>
      </c>
      <c r="Y218">
        <v>465.89692424941529</v>
      </c>
      <c r="Z218">
        <v>464.47433822117279</v>
      </c>
      <c r="AA218">
        <v>460.91787315056649</v>
      </c>
      <c r="AB218">
        <v>459.49528712232399</v>
      </c>
      <c r="AC218">
        <v>458.78399410820282</v>
      </c>
      <c r="AD218">
        <v>458.07270109408159</v>
      </c>
      <c r="AE218">
        <v>18.02032399555608</v>
      </c>
      <c r="AF218">
        <v>18.02032399555608</v>
      </c>
      <c r="AG218">
        <v>18.02032399555608</v>
      </c>
      <c r="AH218">
        <v>18.02032399555608</v>
      </c>
      <c r="AI218">
        <v>18.02032399555608</v>
      </c>
      <c r="AJ218">
        <v>18.02032399555608</v>
      </c>
      <c r="AK218">
        <v>18.02032399555608</v>
      </c>
    </row>
    <row r="219" spans="1:37" x14ac:dyDescent="0.25">
      <c r="A219" t="s">
        <v>90</v>
      </c>
      <c r="B219" t="s">
        <v>91</v>
      </c>
      <c r="C219" t="s">
        <v>255</v>
      </c>
      <c r="F219" t="s">
        <v>207</v>
      </c>
      <c r="G219" t="s">
        <v>122</v>
      </c>
      <c r="H219" t="s">
        <v>123</v>
      </c>
      <c r="I219" t="s">
        <v>256</v>
      </c>
      <c r="J219" t="s">
        <v>259</v>
      </c>
      <c r="K219" t="s">
        <v>98</v>
      </c>
      <c r="L219">
        <v>0</v>
      </c>
      <c r="M219">
        <v>1</v>
      </c>
      <c r="N219">
        <v>2020</v>
      </c>
      <c r="O219">
        <v>4.6576618537494188</v>
      </c>
      <c r="P219">
        <v>1</v>
      </c>
      <c r="Q219">
        <v>0.14591810089020771</v>
      </c>
      <c r="R219">
        <v>0.14591810089020771</v>
      </c>
      <c r="S219">
        <v>0.16183643916913951</v>
      </c>
      <c r="T219">
        <v>0.1764282492581602</v>
      </c>
      <c r="U219">
        <v>0.18704047477744801</v>
      </c>
      <c r="V219">
        <v>0.1963261721068249</v>
      </c>
      <c r="W219">
        <v>0.2056118694362018</v>
      </c>
      <c r="X219">
        <v>465.89692424941529</v>
      </c>
      <c r="Y219">
        <v>465.89692424941529</v>
      </c>
      <c r="Z219">
        <v>464.47433822117279</v>
      </c>
      <c r="AA219">
        <v>460.91787315056649</v>
      </c>
      <c r="AB219">
        <v>459.49528712232399</v>
      </c>
      <c r="AC219">
        <v>458.78399410820282</v>
      </c>
      <c r="AD219">
        <v>458.07270109408159</v>
      </c>
      <c r="AE219">
        <v>18.02032399555608</v>
      </c>
      <c r="AF219">
        <v>18.02032399555608</v>
      </c>
      <c r="AG219">
        <v>18.02032399555608</v>
      </c>
      <c r="AH219">
        <v>18.02032399555608</v>
      </c>
      <c r="AI219">
        <v>18.02032399555608</v>
      </c>
      <c r="AJ219">
        <v>18.02032399555608</v>
      </c>
      <c r="AK219">
        <v>18.02032399555608</v>
      </c>
    </row>
    <row r="220" spans="1:37" x14ac:dyDescent="0.25">
      <c r="A220" t="s">
        <v>90</v>
      </c>
      <c r="B220" t="s">
        <v>91</v>
      </c>
      <c r="C220" t="s">
        <v>255</v>
      </c>
      <c r="F220" t="s">
        <v>207</v>
      </c>
      <c r="G220" t="s">
        <v>124</v>
      </c>
      <c r="H220" t="s">
        <v>125</v>
      </c>
      <c r="I220" t="s">
        <v>256</v>
      </c>
      <c r="J220" t="s">
        <v>259</v>
      </c>
      <c r="K220" t="s">
        <v>98</v>
      </c>
      <c r="L220">
        <v>0</v>
      </c>
      <c r="M220">
        <v>1</v>
      </c>
      <c r="N220">
        <v>2020</v>
      </c>
      <c r="O220">
        <v>4.6576618537494188</v>
      </c>
      <c r="P220">
        <v>0.1</v>
      </c>
      <c r="Q220">
        <v>0.14591810089020771</v>
      </c>
      <c r="R220">
        <v>0.14591810089020771</v>
      </c>
      <c r="S220">
        <v>0.16183643916913951</v>
      </c>
      <c r="T220">
        <v>0.1764282492581602</v>
      </c>
      <c r="U220">
        <v>0.18704047477744801</v>
      </c>
      <c r="V220">
        <v>0.1963261721068249</v>
      </c>
      <c r="W220">
        <v>0.2056118694362018</v>
      </c>
      <c r="X220">
        <v>465.89692424941529</v>
      </c>
      <c r="Y220">
        <v>465.89692424941529</v>
      </c>
      <c r="Z220">
        <v>464.47433822117279</v>
      </c>
      <c r="AA220">
        <v>460.91787315056649</v>
      </c>
      <c r="AB220">
        <v>459.49528712232399</v>
      </c>
      <c r="AC220">
        <v>458.78399410820282</v>
      </c>
      <c r="AD220">
        <v>458.07270109408159</v>
      </c>
      <c r="AE220">
        <v>18.02032399555608</v>
      </c>
      <c r="AF220">
        <v>18.02032399555608</v>
      </c>
      <c r="AG220">
        <v>18.02032399555608</v>
      </c>
      <c r="AH220">
        <v>18.02032399555608</v>
      </c>
      <c r="AI220">
        <v>18.02032399555608</v>
      </c>
      <c r="AJ220">
        <v>18.02032399555608</v>
      </c>
      <c r="AK220">
        <v>18.02032399555608</v>
      </c>
    </row>
    <row r="221" spans="1:37" x14ac:dyDescent="0.25">
      <c r="A221" t="s">
        <v>90</v>
      </c>
      <c r="B221" t="s">
        <v>91</v>
      </c>
      <c r="C221" t="s">
        <v>255</v>
      </c>
      <c r="F221" t="s">
        <v>209</v>
      </c>
      <c r="G221" t="s">
        <v>119</v>
      </c>
      <c r="H221" t="s">
        <v>120</v>
      </c>
      <c r="I221" t="s">
        <v>256</v>
      </c>
      <c r="J221" t="s">
        <v>260</v>
      </c>
      <c r="K221" t="s">
        <v>98</v>
      </c>
      <c r="L221">
        <v>1</v>
      </c>
      <c r="M221">
        <v>1</v>
      </c>
      <c r="N221">
        <v>2020</v>
      </c>
      <c r="O221">
        <v>4.6576618537494188</v>
      </c>
      <c r="P221">
        <v>0.30952380952381148</v>
      </c>
      <c r="Q221">
        <v>0.29979537091988079</v>
      </c>
      <c r="R221">
        <v>0.29979537091988079</v>
      </c>
      <c r="S221">
        <v>0.33030551928783392</v>
      </c>
      <c r="T221">
        <v>0.35816261127596438</v>
      </c>
      <c r="U221">
        <v>0.37408094955489479</v>
      </c>
      <c r="V221">
        <v>0.3899992878338272</v>
      </c>
      <c r="W221">
        <v>0.4059176261127605</v>
      </c>
      <c r="X221">
        <v>515.68743523790056</v>
      </c>
      <c r="Y221">
        <v>515.68743523790056</v>
      </c>
      <c r="Z221">
        <v>484.39054261656662</v>
      </c>
      <c r="AA221">
        <v>464.47433822117449</v>
      </c>
      <c r="AB221">
        <v>456.65011506583812</v>
      </c>
      <c r="AC221">
        <v>449.53718492462809</v>
      </c>
      <c r="AD221">
        <v>441.71296176929172</v>
      </c>
      <c r="AE221">
        <v>18.020323995556041</v>
      </c>
      <c r="AF221">
        <v>18.020323995556041</v>
      </c>
      <c r="AG221">
        <v>18.020323995556041</v>
      </c>
      <c r="AH221">
        <v>18.020323995556041</v>
      </c>
      <c r="AI221">
        <v>18.020323995556041</v>
      </c>
      <c r="AJ221">
        <v>18.020323995556041</v>
      </c>
      <c r="AK221">
        <v>18.020323995556041</v>
      </c>
    </row>
    <row r="222" spans="1:37" x14ac:dyDescent="0.25">
      <c r="A222" t="s">
        <v>90</v>
      </c>
      <c r="B222" t="s">
        <v>91</v>
      </c>
      <c r="C222" t="s">
        <v>255</v>
      </c>
      <c r="F222" t="s">
        <v>209</v>
      </c>
      <c r="G222" t="s">
        <v>122</v>
      </c>
      <c r="H222" t="s">
        <v>123</v>
      </c>
      <c r="I222" t="s">
        <v>256</v>
      </c>
      <c r="J222" t="s">
        <v>260</v>
      </c>
      <c r="K222" t="s">
        <v>98</v>
      </c>
      <c r="L222">
        <v>0</v>
      </c>
      <c r="M222">
        <v>1</v>
      </c>
      <c r="N222">
        <v>2020</v>
      </c>
      <c r="O222">
        <v>4.6576618537494188</v>
      </c>
      <c r="P222">
        <v>0.30952380952381148</v>
      </c>
      <c r="Q222">
        <v>0.29979537091988079</v>
      </c>
      <c r="R222">
        <v>0.29979537091988079</v>
      </c>
      <c r="S222">
        <v>0.33030551928783392</v>
      </c>
      <c r="T222">
        <v>0.35816261127596438</v>
      </c>
      <c r="U222">
        <v>0.37408094955489479</v>
      </c>
      <c r="V222">
        <v>0.3899992878338272</v>
      </c>
      <c r="W222">
        <v>0.4059176261127605</v>
      </c>
      <c r="X222">
        <v>515.68743523790056</v>
      </c>
      <c r="Y222">
        <v>515.68743523790056</v>
      </c>
      <c r="Z222">
        <v>484.39054261656662</v>
      </c>
      <c r="AA222">
        <v>464.47433822117449</v>
      </c>
      <c r="AB222">
        <v>456.65011506583812</v>
      </c>
      <c r="AC222">
        <v>449.53718492462809</v>
      </c>
      <c r="AD222">
        <v>441.71296176929172</v>
      </c>
      <c r="AE222">
        <v>18.020323995556041</v>
      </c>
      <c r="AF222">
        <v>18.020323995556041</v>
      </c>
      <c r="AG222">
        <v>18.020323995556041</v>
      </c>
      <c r="AH222">
        <v>18.020323995556041</v>
      </c>
      <c r="AI222">
        <v>18.020323995556041</v>
      </c>
      <c r="AJ222">
        <v>18.020323995556041</v>
      </c>
      <c r="AK222">
        <v>18.020323995556041</v>
      </c>
    </row>
    <row r="223" spans="1:37" x14ac:dyDescent="0.25">
      <c r="A223" t="s">
        <v>90</v>
      </c>
      <c r="B223" t="s">
        <v>91</v>
      </c>
      <c r="C223" t="s">
        <v>255</v>
      </c>
      <c r="F223" t="s">
        <v>209</v>
      </c>
      <c r="G223" t="s">
        <v>124</v>
      </c>
      <c r="H223" t="s">
        <v>125</v>
      </c>
      <c r="I223" t="s">
        <v>256</v>
      </c>
      <c r="J223" t="s">
        <v>260</v>
      </c>
      <c r="K223" t="s">
        <v>98</v>
      </c>
      <c r="L223">
        <v>0</v>
      </c>
      <c r="M223">
        <v>1</v>
      </c>
      <c r="N223">
        <v>2020</v>
      </c>
      <c r="O223">
        <v>4.6576618537494188</v>
      </c>
      <c r="P223">
        <v>0.1</v>
      </c>
      <c r="Q223">
        <v>0.29979537091988079</v>
      </c>
      <c r="R223">
        <v>0.29979537091988079</v>
      </c>
      <c r="S223">
        <v>0.33030551928783392</v>
      </c>
      <c r="T223">
        <v>0.35816261127596438</v>
      </c>
      <c r="U223">
        <v>0.37408094955489479</v>
      </c>
      <c r="V223">
        <v>0.3899992878338272</v>
      </c>
      <c r="W223">
        <v>0.4059176261127605</v>
      </c>
      <c r="X223">
        <v>515.68743523790056</v>
      </c>
      <c r="Y223">
        <v>515.68743523790056</v>
      </c>
      <c r="Z223">
        <v>484.39054261656662</v>
      </c>
      <c r="AA223">
        <v>464.47433822117449</v>
      </c>
      <c r="AB223">
        <v>456.65011506583812</v>
      </c>
      <c r="AC223">
        <v>449.53718492462809</v>
      </c>
      <c r="AD223">
        <v>441.71296176929172</v>
      </c>
      <c r="AE223">
        <v>18.020323995556041</v>
      </c>
      <c r="AF223">
        <v>18.020323995556041</v>
      </c>
      <c r="AG223">
        <v>18.020323995556041</v>
      </c>
      <c r="AH223">
        <v>18.020323995556041</v>
      </c>
      <c r="AI223">
        <v>18.020323995556041</v>
      </c>
      <c r="AJ223">
        <v>18.020323995556041</v>
      </c>
      <c r="AK223">
        <v>18.020323995556041</v>
      </c>
    </row>
    <row r="224" spans="1:37" x14ac:dyDescent="0.25">
      <c r="A224" t="s">
        <v>90</v>
      </c>
      <c r="B224" t="s">
        <v>91</v>
      </c>
      <c r="C224" t="s">
        <v>255</v>
      </c>
      <c r="F224" t="s">
        <v>209</v>
      </c>
      <c r="G224" t="s">
        <v>211</v>
      </c>
      <c r="H224" t="s">
        <v>212</v>
      </c>
      <c r="I224" t="s">
        <v>256</v>
      </c>
      <c r="J224" t="s">
        <v>260</v>
      </c>
      <c r="K224" t="s">
        <v>98</v>
      </c>
      <c r="L224">
        <v>0</v>
      </c>
      <c r="M224">
        <v>1</v>
      </c>
      <c r="N224">
        <v>2020</v>
      </c>
      <c r="O224">
        <v>4.6576618537494188</v>
      </c>
      <c r="P224">
        <v>0.69047619047618847</v>
      </c>
      <c r="Q224">
        <v>0.29979537091988079</v>
      </c>
      <c r="R224">
        <v>0.29979537091988079</v>
      </c>
      <c r="S224">
        <v>0.33030551928783392</v>
      </c>
      <c r="T224">
        <v>0.35816261127596438</v>
      </c>
      <c r="U224">
        <v>0.37408094955489479</v>
      </c>
      <c r="V224">
        <v>0.3899992878338272</v>
      </c>
      <c r="W224">
        <v>0.4059176261127605</v>
      </c>
      <c r="X224">
        <v>515.68743523790056</v>
      </c>
      <c r="Y224">
        <v>515.68743523790056</v>
      </c>
      <c r="Z224">
        <v>484.39054261656662</v>
      </c>
      <c r="AA224">
        <v>464.47433822117449</v>
      </c>
      <c r="AB224">
        <v>456.65011506583812</v>
      </c>
      <c r="AC224">
        <v>449.53718492462809</v>
      </c>
      <c r="AD224">
        <v>441.71296176929172</v>
      </c>
      <c r="AE224">
        <v>18.020323995556041</v>
      </c>
      <c r="AF224">
        <v>18.020323995556041</v>
      </c>
      <c r="AG224">
        <v>18.020323995556041</v>
      </c>
      <c r="AH224">
        <v>18.020323995556041</v>
      </c>
      <c r="AI224">
        <v>18.020323995556041</v>
      </c>
      <c r="AJ224">
        <v>18.020323995556041</v>
      </c>
      <c r="AK224">
        <v>18.020323995556041</v>
      </c>
    </row>
    <row r="225" spans="1:37" x14ac:dyDescent="0.25">
      <c r="A225" t="s">
        <v>90</v>
      </c>
      <c r="B225" t="s">
        <v>91</v>
      </c>
      <c r="C225" t="s">
        <v>255</v>
      </c>
      <c r="F225" t="s">
        <v>213</v>
      </c>
      <c r="G225" t="s">
        <v>133</v>
      </c>
      <c r="H225" t="s">
        <v>134</v>
      </c>
      <c r="I225" t="s">
        <v>256</v>
      </c>
      <c r="J225" t="s">
        <v>261</v>
      </c>
      <c r="K225" t="s">
        <v>98</v>
      </c>
      <c r="L225">
        <v>1</v>
      </c>
      <c r="M225">
        <v>1</v>
      </c>
      <c r="N225">
        <v>2020</v>
      </c>
      <c r="O225">
        <v>4.6576618537494188</v>
      </c>
      <c r="P225">
        <v>1</v>
      </c>
      <c r="Q225">
        <v>0.20030575667655801</v>
      </c>
      <c r="R225">
        <v>0.20030575667655801</v>
      </c>
      <c r="S225">
        <v>0.22020367952522271</v>
      </c>
      <c r="T225">
        <v>0.24142813056379819</v>
      </c>
      <c r="U225">
        <v>0.25071382789317492</v>
      </c>
      <c r="V225">
        <v>0.26132605341246301</v>
      </c>
      <c r="W225">
        <v>0.27061175074183957</v>
      </c>
      <c r="X225">
        <v>635.89595462439217</v>
      </c>
      <c r="Y225">
        <v>635.89595462439217</v>
      </c>
      <c r="Z225">
        <v>598.19742487596693</v>
      </c>
      <c r="AA225">
        <v>566.18923924051046</v>
      </c>
      <c r="AB225">
        <v>553.38596498632808</v>
      </c>
      <c r="AC225">
        <v>540.58269073214626</v>
      </c>
      <c r="AD225">
        <v>527.77941647796388</v>
      </c>
      <c r="AE225">
        <v>18.020323995556069</v>
      </c>
      <c r="AF225">
        <v>18.020323995556069</v>
      </c>
      <c r="AG225">
        <v>18.020323995556069</v>
      </c>
      <c r="AH225">
        <v>18.020323995556069</v>
      </c>
      <c r="AI225">
        <v>18.020323995556069</v>
      </c>
      <c r="AJ225">
        <v>18.020323995556069</v>
      </c>
      <c r="AK225">
        <v>18.020323995556069</v>
      </c>
    </row>
    <row r="226" spans="1:37" x14ac:dyDescent="0.25">
      <c r="A226" t="s">
        <v>90</v>
      </c>
      <c r="B226" t="s">
        <v>91</v>
      </c>
      <c r="C226" t="s">
        <v>255</v>
      </c>
      <c r="F226" t="s">
        <v>215</v>
      </c>
      <c r="G226" t="s">
        <v>133</v>
      </c>
      <c r="H226" t="s">
        <v>134</v>
      </c>
      <c r="I226" t="s">
        <v>256</v>
      </c>
      <c r="J226" t="s">
        <v>262</v>
      </c>
      <c r="K226" t="s">
        <v>98</v>
      </c>
      <c r="L226">
        <v>1</v>
      </c>
      <c r="M226">
        <v>1</v>
      </c>
      <c r="N226">
        <v>2020</v>
      </c>
      <c r="O226">
        <v>4.6576618537494188</v>
      </c>
      <c r="P226">
        <v>0.89763779527559173</v>
      </c>
      <c r="Q226">
        <v>0.2175506231454005</v>
      </c>
      <c r="R226">
        <v>0.2175506231454005</v>
      </c>
      <c r="S226">
        <v>0.24010160237388731</v>
      </c>
      <c r="T226">
        <v>0.25867299703264102</v>
      </c>
      <c r="U226">
        <v>0.26663216617210689</v>
      </c>
      <c r="V226">
        <v>0.27591786350148362</v>
      </c>
      <c r="W226">
        <v>0.28387703264094938</v>
      </c>
      <c r="X226">
        <v>537.02622566153968</v>
      </c>
      <c r="Y226">
        <v>537.02622566153968</v>
      </c>
      <c r="Z226">
        <v>500.03898892723481</v>
      </c>
      <c r="AA226">
        <v>476.56631946123417</v>
      </c>
      <c r="AB226">
        <v>466.60821726353652</v>
      </c>
      <c r="AC226">
        <v>456.65011506583892</v>
      </c>
      <c r="AD226">
        <v>446.69201286814172</v>
      </c>
      <c r="AE226">
        <v>18.020323995556069</v>
      </c>
      <c r="AF226">
        <v>18.020323995556069</v>
      </c>
      <c r="AG226">
        <v>18.020323995556069</v>
      </c>
      <c r="AH226">
        <v>18.020323995556069</v>
      </c>
      <c r="AI226">
        <v>18.020323995556069</v>
      </c>
      <c r="AJ226">
        <v>18.020323995556069</v>
      </c>
      <c r="AK226">
        <v>18.020323995556069</v>
      </c>
    </row>
    <row r="227" spans="1:37" x14ac:dyDescent="0.25">
      <c r="A227" t="s">
        <v>90</v>
      </c>
      <c r="B227" t="s">
        <v>91</v>
      </c>
      <c r="C227" t="s">
        <v>255</v>
      </c>
      <c r="F227" t="s">
        <v>215</v>
      </c>
      <c r="G227" t="s">
        <v>211</v>
      </c>
      <c r="H227" t="s">
        <v>212</v>
      </c>
      <c r="I227" t="s">
        <v>256</v>
      </c>
      <c r="J227" t="s">
        <v>262</v>
      </c>
      <c r="K227" t="s">
        <v>98</v>
      </c>
      <c r="L227">
        <v>0</v>
      </c>
      <c r="M227">
        <v>1</v>
      </c>
      <c r="N227">
        <v>2020</v>
      </c>
      <c r="O227">
        <v>4.6576618537494188</v>
      </c>
      <c r="P227">
        <v>0.1023622047244083</v>
      </c>
      <c r="Q227">
        <v>0.2175506231454005</v>
      </c>
      <c r="R227">
        <v>0.2175506231454005</v>
      </c>
      <c r="S227">
        <v>0.24010160237388731</v>
      </c>
      <c r="T227">
        <v>0.25867299703264102</v>
      </c>
      <c r="U227">
        <v>0.26663216617210689</v>
      </c>
      <c r="V227">
        <v>0.27591786350148362</v>
      </c>
      <c r="W227">
        <v>0.28387703264094938</v>
      </c>
      <c r="X227">
        <v>537.02622566153968</v>
      </c>
      <c r="Y227">
        <v>537.02622566153968</v>
      </c>
      <c r="Z227">
        <v>500.03898892723481</v>
      </c>
      <c r="AA227">
        <v>476.56631946123417</v>
      </c>
      <c r="AB227">
        <v>466.60821726353652</v>
      </c>
      <c r="AC227">
        <v>456.65011506583892</v>
      </c>
      <c r="AD227">
        <v>446.69201286814172</v>
      </c>
      <c r="AE227">
        <v>18.020323995556069</v>
      </c>
      <c r="AF227">
        <v>18.020323995556069</v>
      </c>
      <c r="AG227">
        <v>18.020323995556069</v>
      </c>
      <c r="AH227">
        <v>18.020323995556069</v>
      </c>
      <c r="AI227">
        <v>18.020323995556069</v>
      </c>
      <c r="AJ227">
        <v>18.020323995556069</v>
      </c>
      <c r="AK227">
        <v>18.020323995556069</v>
      </c>
    </row>
    <row r="228" spans="1:37" x14ac:dyDescent="0.25">
      <c r="A228" t="s">
        <v>90</v>
      </c>
      <c r="B228" t="s">
        <v>91</v>
      </c>
      <c r="C228" t="s">
        <v>255</v>
      </c>
      <c r="F228" t="s">
        <v>217</v>
      </c>
      <c r="G228" t="s">
        <v>211</v>
      </c>
      <c r="H228" t="s">
        <v>212</v>
      </c>
      <c r="I228" t="s">
        <v>256</v>
      </c>
      <c r="J228" t="s">
        <v>263</v>
      </c>
      <c r="K228" t="s">
        <v>98</v>
      </c>
      <c r="L228">
        <v>1</v>
      </c>
      <c r="M228">
        <v>1</v>
      </c>
      <c r="N228">
        <v>2020</v>
      </c>
      <c r="O228">
        <v>4.6576618537494188</v>
      </c>
      <c r="P228">
        <v>1</v>
      </c>
      <c r="Q228">
        <v>0.36877483679525219</v>
      </c>
      <c r="R228">
        <v>0.36877483679525219</v>
      </c>
      <c r="S228">
        <v>0.40061151335311579</v>
      </c>
      <c r="T228">
        <v>0.43510124629080099</v>
      </c>
      <c r="U228">
        <v>0.44969305637982182</v>
      </c>
      <c r="V228">
        <v>0.46428486646884271</v>
      </c>
      <c r="W228">
        <v>0.48152973293768542</v>
      </c>
      <c r="X228">
        <v>508.57450509669002</v>
      </c>
      <c r="Y228">
        <v>508.57450509669002</v>
      </c>
      <c r="Z228">
        <v>462.34045917880923</v>
      </c>
      <c r="AA228">
        <v>437.44520368456551</v>
      </c>
      <c r="AB228">
        <v>426.06451545862558</v>
      </c>
      <c r="AC228">
        <v>414.6838272326857</v>
      </c>
      <c r="AD228">
        <v>403.30313900674582</v>
      </c>
      <c r="AE228">
        <v>11.60631037001917</v>
      </c>
      <c r="AF228">
        <v>11.60631037001917</v>
      </c>
      <c r="AG228">
        <v>11.60631037001917</v>
      </c>
      <c r="AH228">
        <v>11.60631037001917</v>
      </c>
      <c r="AI228">
        <v>11.60631037001917</v>
      </c>
      <c r="AJ228">
        <v>11.60631037001917</v>
      </c>
      <c r="AK228">
        <v>11.60631037001917</v>
      </c>
    </row>
    <row r="229" spans="1:37" x14ac:dyDescent="0.25">
      <c r="A229" t="s">
        <v>90</v>
      </c>
      <c r="B229" t="s">
        <v>91</v>
      </c>
      <c r="C229" t="s">
        <v>264</v>
      </c>
      <c r="F229" t="s">
        <v>202</v>
      </c>
      <c r="G229" t="s">
        <v>119</v>
      </c>
      <c r="H229" t="s">
        <v>120</v>
      </c>
      <c r="I229" t="s">
        <v>265</v>
      </c>
      <c r="J229" t="s">
        <v>266</v>
      </c>
      <c r="K229" t="s">
        <v>98</v>
      </c>
      <c r="L229">
        <v>1</v>
      </c>
      <c r="M229">
        <v>1</v>
      </c>
      <c r="N229">
        <v>2020</v>
      </c>
      <c r="O229">
        <v>14.200511218403861</v>
      </c>
      <c r="P229">
        <v>1</v>
      </c>
      <c r="Q229">
        <v>0.14459157270029679</v>
      </c>
      <c r="R229">
        <v>0.14459157270029679</v>
      </c>
      <c r="S229">
        <v>0.1578568545994066</v>
      </c>
      <c r="T229">
        <v>0.1711221364985164</v>
      </c>
      <c r="U229">
        <v>0.1804078338278931</v>
      </c>
      <c r="V229">
        <v>0.18836700296735909</v>
      </c>
      <c r="W229">
        <v>0.1963261721068249</v>
      </c>
      <c r="X229">
        <v>421.08546435977678</v>
      </c>
      <c r="Y229">
        <v>421.08546435977678</v>
      </c>
      <c r="Z229">
        <v>423.93063641626179</v>
      </c>
      <c r="AA229">
        <v>423.21934340214051</v>
      </c>
      <c r="AB229">
        <v>423.93063641626179</v>
      </c>
      <c r="AC229">
        <v>424.64192943038302</v>
      </c>
      <c r="AD229">
        <v>426.06451545862558</v>
      </c>
      <c r="AE229">
        <v>5.9105319784213286</v>
      </c>
      <c r="AF229">
        <v>5.9105319784213286</v>
      </c>
      <c r="AG229">
        <v>5.9105319784213286</v>
      </c>
      <c r="AH229">
        <v>5.9105319784213286</v>
      </c>
      <c r="AI229">
        <v>5.9105319784213286</v>
      </c>
      <c r="AJ229">
        <v>5.9105319784213286</v>
      </c>
      <c r="AK229">
        <v>5.9105319784213286</v>
      </c>
    </row>
    <row r="230" spans="1:37" x14ac:dyDescent="0.25">
      <c r="A230" t="s">
        <v>90</v>
      </c>
      <c r="B230" t="s">
        <v>91</v>
      </c>
      <c r="C230" t="s">
        <v>264</v>
      </c>
      <c r="F230" t="s">
        <v>202</v>
      </c>
      <c r="G230" t="s">
        <v>122</v>
      </c>
      <c r="H230" t="s">
        <v>123</v>
      </c>
      <c r="I230" t="s">
        <v>265</v>
      </c>
      <c r="J230" t="s">
        <v>266</v>
      </c>
      <c r="K230" t="s">
        <v>98</v>
      </c>
      <c r="L230">
        <v>0</v>
      </c>
      <c r="M230">
        <v>1</v>
      </c>
      <c r="N230">
        <v>2020</v>
      </c>
      <c r="O230">
        <v>14.200511218403861</v>
      </c>
      <c r="P230">
        <v>1</v>
      </c>
      <c r="Q230">
        <v>0.14459157270029679</v>
      </c>
      <c r="R230">
        <v>0.14459157270029679</v>
      </c>
      <c r="S230">
        <v>0.1578568545994066</v>
      </c>
      <c r="T230">
        <v>0.1711221364985164</v>
      </c>
      <c r="U230">
        <v>0.1804078338278931</v>
      </c>
      <c r="V230">
        <v>0.18836700296735909</v>
      </c>
      <c r="W230">
        <v>0.1963261721068249</v>
      </c>
      <c r="X230">
        <v>421.08546435977678</v>
      </c>
      <c r="Y230">
        <v>421.08546435977678</v>
      </c>
      <c r="Z230">
        <v>423.93063641626179</v>
      </c>
      <c r="AA230">
        <v>423.21934340214051</v>
      </c>
      <c r="AB230">
        <v>423.93063641626179</v>
      </c>
      <c r="AC230">
        <v>424.64192943038302</v>
      </c>
      <c r="AD230">
        <v>426.06451545862558</v>
      </c>
      <c r="AE230">
        <v>5.9105319784213286</v>
      </c>
      <c r="AF230">
        <v>5.9105319784213286</v>
      </c>
      <c r="AG230">
        <v>5.9105319784213286</v>
      </c>
      <c r="AH230">
        <v>5.9105319784213286</v>
      </c>
      <c r="AI230">
        <v>5.9105319784213286</v>
      </c>
      <c r="AJ230">
        <v>5.9105319784213286</v>
      </c>
      <c r="AK230">
        <v>5.9105319784213286</v>
      </c>
    </row>
    <row r="231" spans="1:37" x14ac:dyDescent="0.25">
      <c r="A231" t="s">
        <v>90</v>
      </c>
      <c r="B231" t="s">
        <v>91</v>
      </c>
      <c r="C231" t="s">
        <v>264</v>
      </c>
      <c r="F231" t="s">
        <v>202</v>
      </c>
      <c r="G231" t="s">
        <v>124</v>
      </c>
      <c r="H231" t="s">
        <v>125</v>
      </c>
      <c r="I231" t="s">
        <v>265</v>
      </c>
      <c r="J231" t="s">
        <v>266</v>
      </c>
      <c r="K231" t="s">
        <v>98</v>
      </c>
      <c r="L231">
        <v>0</v>
      </c>
      <c r="M231">
        <v>1</v>
      </c>
      <c r="N231">
        <v>2020</v>
      </c>
      <c r="O231">
        <v>14.200511218403861</v>
      </c>
      <c r="P231">
        <v>0.1</v>
      </c>
      <c r="Q231">
        <v>0.14459157270029679</v>
      </c>
      <c r="R231">
        <v>0.14459157270029679</v>
      </c>
      <c r="S231">
        <v>0.1578568545994066</v>
      </c>
      <c r="T231">
        <v>0.1711221364985164</v>
      </c>
      <c r="U231">
        <v>0.1804078338278931</v>
      </c>
      <c r="V231">
        <v>0.18836700296735909</v>
      </c>
      <c r="W231">
        <v>0.1963261721068249</v>
      </c>
      <c r="X231">
        <v>421.08546435977678</v>
      </c>
      <c r="Y231">
        <v>421.08546435977678</v>
      </c>
      <c r="Z231">
        <v>423.93063641626179</v>
      </c>
      <c r="AA231">
        <v>423.21934340214051</v>
      </c>
      <c r="AB231">
        <v>423.93063641626179</v>
      </c>
      <c r="AC231">
        <v>424.64192943038302</v>
      </c>
      <c r="AD231">
        <v>426.06451545862558</v>
      </c>
      <c r="AE231">
        <v>5.9105319784213286</v>
      </c>
      <c r="AF231">
        <v>5.9105319784213286</v>
      </c>
      <c r="AG231">
        <v>5.9105319784213286</v>
      </c>
      <c r="AH231">
        <v>5.9105319784213286</v>
      </c>
      <c r="AI231">
        <v>5.9105319784213286</v>
      </c>
      <c r="AJ231">
        <v>5.9105319784213286</v>
      </c>
      <c r="AK231">
        <v>5.9105319784213286</v>
      </c>
    </row>
    <row r="232" spans="1:37" x14ac:dyDescent="0.25">
      <c r="A232" t="s">
        <v>90</v>
      </c>
      <c r="B232" t="s">
        <v>91</v>
      </c>
      <c r="C232" t="s">
        <v>264</v>
      </c>
      <c r="F232" t="s">
        <v>205</v>
      </c>
      <c r="G232" t="s">
        <v>119</v>
      </c>
      <c r="H232" t="s">
        <v>120</v>
      </c>
      <c r="I232" t="s">
        <v>265</v>
      </c>
      <c r="J232" t="s">
        <v>267</v>
      </c>
      <c r="K232" t="s">
        <v>98</v>
      </c>
      <c r="L232">
        <v>1</v>
      </c>
      <c r="M232">
        <v>1</v>
      </c>
      <c r="N232">
        <v>2020</v>
      </c>
      <c r="O232">
        <v>14.200511218403861</v>
      </c>
      <c r="P232">
        <v>1</v>
      </c>
      <c r="Q232">
        <v>0.14459157270029679</v>
      </c>
      <c r="R232">
        <v>0.14459157270029679</v>
      </c>
      <c r="S232">
        <v>0.1578568545994066</v>
      </c>
      <c r="T232">
        <v>0.17244866468842729</v>
      </c>
      <c r="U232">
        <v>0.1804078338278931</v>
      </c>
      <c r="V232">
        <v>0.18836700296735909</v>
      </c>
      <c r="W232">
        <v>0.19765270029673601</v>
      </c>
      <c r="X232">
        <v>461.62916616468777</v>
      </c>
      <c r="Y232">
        <v>461.62916616468777</v>
      </c>
      <c r="Z232">
        <v>465.18563123529401</v>
      </c>
      <c r="AA232">
        <v>463.7630452070515</v>
      </c>
      <c r="AB232">
        <v>463.7630452070515</v>
      </c>
      <c r="AC232">
        <v>464.47433822117279</v>
      </c>
      <c r="AD232">
        <v>465.18563123529401</v>
      </c>
      <c r="AE232">
        <v>5.9105319784213286</v>
      </c>
      <c r="AF232">
        <v>5.9105319784213286</v>
      </c>
      <c r="AG232">
        <v>5.9105319784213286</v>
      </c>
      <c r="AH232">
        <v>5.9105319784213286</v>
      </c>
      <c r="AI232">
        <v>5.9105319784213286</v>
      </c>
      <c r="AJ232">
        <v>5.9105319784213286</v>
      </c>
      <c r="AK232">
        <v>5.9105319784213286</v>
      </c>
    </row>
    <row r="233" spans="1:37" x14ac:dyDescent="0.25">
      <c r="A233" t="s">
        <v>90</v>
      </c>
      <c r="B233" t="s">
        <v>91</v>
      </c>
      <c r="C233" t="s">
        <v>264</v>
      </c>
      <c r="F233" t="s">
        <v>205</v>
      </c>
      <c r="G233" t="s">
        <v>122</v>
      </c>
      <c r="H233" t="s">
        <v>123</v>
      </c>
      <c r="I233" t="s">
        <v>265</v>
      </c>
      <c r="J233" t="s">
        <v>267</v>
      </c>
      <c r="K233" t="s">
        <v>98</v>
      </c>
      <c r="L233">
        <v>0</v>
      </c>
      <c r="M233">
        <v>1</v>
      </c>
      <c r="N233">
        <v>2020</v>
      </c>
      <c r="O233">
        <v>14.200511218403861</v>
      </c>
      <c r="P233">
        <v>1</v>
      </c>
      <c r="Q233">
        <v>0.14459157270029679</v>
      </c>
      <c r="R233">
        <v>0.14459157270029679</v>
      </c>
      <c r="S233">
        <v>0.1578568545994066</v>
      </c>
      <c r="T233">
        <v>0.17244866468842729</v>
      </c>
      <c r="U233">
        <v>0.1804078338278931</v>
      </c>
      <c r="V233">
        <v>0.18836700296735909</v>
      </c>
      <c r="W233">
        <v>0.19765270029673601</v>
      </c>
      <c r="X233">
        <v>461.62916616468777</v>
      </c>
      <c r="Y233">
        <v>461.62916616468777</v>
      </c>
      <c r="Z233">
        <v>465.18563123529401</v>
      </c>
      <c r="AA233">
        <v>463.7630452070515</v>
      </c>
      <c r="AB233">
        <v>463.7630452070515</v>
      </c>
      <c r="AC233">
        <v>464.47433822117279</v>
      </c>
      <c r="AD233">
        <v>465.18563123529401</v>
      </c>
      <c r="AE233">
        <v>5.9105319784213286</v>
      </c>
      <c r="AF233">
        <v>5.9105319784213286</v>
      </c>
      <c r="AG233">
        <v>5.9105319784213286</v>
      </c>
      <c r="AH233">
        <v>5.9105319784213286</v>
      </c>
      <c r="AI233">
        <v>5.9105319784213286</v>
      </c>
      <c r="AJ233">
        <v>5.9105319784213286</v>
      </c>
      <c r="AK233">
        <v>5.9105319784213286</v>
      </c>
    </row>
    <row r="234" spans="1:37" x14ac:dyDescent="0.25">
      <c r="A234" t="s">
        <v>90</v>
      </c>
      <c r="B234" t="s">
        <v>91</v>
      </c>
      <c r="C234" t="s">
        <v>264</v>
      </c>
      <c r="F234" t="s">
        <v>205</v>
      </c>
      <c r="G234" t="s">
        <v>124</v>
      </c>
      <c r="H234" t="s">
        <v>125</v>
      </c>
      <c r="I234" t="s">
        <v>265</v>
      </c>
      <c r="J234" t="s">
        <v>267</v>
      </c>
      <c r="K234" t="s">
        <v>98</v>
      </c>
      <c r="L234">
        <v>0</v>
      </c>
      <c r="M234">
        <v>1</v>
      </c>
      <c r="N234">
        <v>2020</v>
      </c>
      <c r="O234">
        <v>14.200511218403861</v>
      </c>
      <c r="P234">
        <v>0.1</v>
      </c>
      <c r="Q234">
        <v>0.14459157270029679</v>
      </c>
      <c r="R234">
        <v>0.14459157270029679</v>
      </c>
      <c r="S234">
        <v>0.1578568545994066</v>
      </c>
      <c r="T234">
        <v>0.17244866468842729</v>
      </c>
      <c r="U234">
        <v>0.1804078338278931</v>
      </c>
      <c r="V234">
        <v>0.18836700296735909</v>
      </c>
      <c r="W234">
        <v>0.19765270029673601</v>
      </c>
      <c r="X234">
        <v>461.62916616468777</v>
      </c>
      <c r="Y234">
        <v>461.62916616468777</v>
      </c>
      <c r="Z234">
        <v>465.18563123529401</v>
      </c>
      <c r="AA234">
        <v>463.7630452070515</v>
      </c>
      <c r="AB234">
        <v>463.7630452070515</v>
      </c>
      <c r="AC234">
        <v>464.47433822117279</v>
      </c>
      <c r="AD234">
        <v>465.18563123529401</v>
      </c>
      <c r="AE234">
        <v>5.9105319784213286</v>
      </c>
      <c r="AF234">
        <v>5.9105319784213286</v>
      </c>
      <c r="AG234">
        <v>5.9105319784213286</v>
      </c>
      <c r="AH234">
        <v>5.9105319784213286</v>
      </c>
      <c r="AI234">
        <v>5.9105319784213286</v>
      </c>
      <c r="AJ234">
        <v>5.9105319784213286</v>
      </c>
      <c r="AK234">
        <v>5.9105319784213286</v>
      </c>
    </row>
    <row r="235" spans="1:37" x14ac:dyDescent="0.25">
      <c r="A235" t="s">
        <v>90</v>
      </c>
      <c r="B235" t="s">
        <v>91</v>
      </c>
      <c r="C235" t="s">
        <v>264</v>
      </c>
      <c r="F235" t="s">
        <v>207</v>
      </c>
      <c r="G235" t="s">
        <v>119</v>
      </c>
      <c r="H235" t="s">
        <v>120</v>
      </c>
      <c r="I235" t="s">
        <v>265</v>
      </c>
      <c r="J235" t="s">
        <v>268</v>
      </c>
      <c r="K235" t="s">
        <v>98</v>
      </c>
      <c r="L235">
        <v>1</v>
      </c>
      <c r="M235">
        <v>1</v>
      </c>
      <c r="N235">
        <v>2020</v>
      </c>
      <c r="O235">
        <v>14.200511218403861</v>
      </c>
      <c r="P235">
        <v>1</v>
      </c>
      <c r="Q235">
        <v>0.14591810089020771</v>
      </c>
      <c r="R235">
        <v>0.14591810089020771</v>
      </c>
      <c r="S235">
        <v>0.16183643916913951</v>
      </c>
      <c r="T235">
        <v>0.1764282492581602</v>
      </c>
      <c r="U235">
        <v>0.18704047477744801</v>
      </c>
      <c r="V235">
        <v>0.1963261721068249</v>
      </c>
      <c r="W235">
        <v>0.2056118694362018</v>
      </c>
      <c r="X235">
        <v>465.89692424941529</v>
      </c>
      <c r="Y235">
        <v>465.89692424941529</v>
      </c>
      <c r="Z235">
        <v>464.47433822117279</v>
      </c>
      <c r="AA235">
        <v>460.91787315056649</v>
      </c>
      <c r="AB235">
        <v>459.49528712232399</v>
      </c>
      <c r="AC235">
        <v>458.78399410820282</v>
      </c>
      <c r="AD235">
        <v>458.07270109408159</v>
      </c>
      <c r="AE235">
        <v>5.9105319784213286</v>
      </c>
      <c r="AF235">
        <v>5.9105319784213286</v>
      </c>
      <c r="AG235">
        <v>5.9105319784213286</v>
      </c>
      <c r="AH235">
        <v>5.9105319784213286</v>
      </c>
      <c r="AI235">
        <v>5.9105319784213286</v>
      </c>
      <c r="AJ235">
        <v>5.9105319784213286</v>
      </c>
      <c r="AK235">
        <v>5.9105319784213286</v>
      </c>
    </row>
    <row r="236" spans="1:37" x14ac:dyDescent="0.25">
      <c r="A236" t="s">
        <v>90</v>
      </c>
      <c r="B236" t="s">
        <v>91</v>
      </c>
      <c r="C236" t="s">
        <v>264</v>
      </c>
      <c r="F236" t="s">
        <v>207</v>
      </c>
      <c r="G236" t="s">
        <v>122</v>
      </c>
      <c r="H236" t="s">
        <v>123</v>
      </c>
      <c r="I236" t="s">
        <v>265</v>
      </c>
      <c r="J236" t="s">
        <v>268</v>
      </c>
      <c r="K236" t="s">
        <v>98</v>
      </c>
      <c r="L236">
        <v>0</v>
      </c>
      <c r="M236">
        <v>1</v>
      </c>
      <c r="N236">
        <v>2020</v>
      </c>
      <c r="O236">
        <v>14.200511218403861</v>
      </c>
      <c r="P236">
        <v>1</v>
      </c>
      <c r="Q236">
        <v>0.14591810089020771</v>
      </c>
      <c r="R236">
        <v>0.14591810089020771</v>
      </c>
      <c r="S236">
        <v>0.16183643916913951</v>
      </c>
      <c r="T236">
        <v>0.1764282492581602</v>
      </c>
      <c r="U236">
        <v>0.18704047477744801</v>
      </c>
      <c r="V236">
        <v>0.1963261721068249</v>
      </c>
      <c r="W236">
        <v>0.2056118694362018</v>
      </c>
      <c r="X236">
        <v>465.89692424941529</v>
      </c>
      <c r="Y236">
        <v>465.89692424941529</v>
      </c>
      <c r="Z236">
        <v>464.47433822117279</v>
      </c>
      <c r="AA236">
        <v>460.91787315056649</v>
      </c>
      <c r="AB236">
        <v>459.49528712232399</v>
      </c>
      <c r="AC236">
        <v>458.78399410820282</v>
      </c>
      <c r="AD236">
        <v>458.07270109408159</v>
      </c>
      <c r="AE236">
        <v>5.9105319784213286</v>
      </c>
      <c r="AF236">
        <v>5.9105319784213286</v>
      </c>
      <c r="AG236">
        <v>5.9105319784213286</v>
      </c>
      <c r="AH236">
        <v>5.9105319784213286</v>
      </c>
      <c r="AI236">
        <v>5.9105319784213286</v>
      </c>
      <c r="AJ236">
        <v>5.9105319784213286</v>
      </c>
      <c r="AK236">
        <v>5.9105319784213286</v>
      </c>
    </row>
    <row r="237" spans="1:37" x14ac:dyDescent="0.25">
      <c r="A237" t="s">
        <v>90</v>
      </c>
      <c r="B237" t="s">
        <v>91</v>
      </c>
      <c r="C237" t="s">
        <v>264</v>
      </c>
      <c r="F237" t="s">
        <v>207</v>
      </c>
      <c r="G237" t="s">
        <v>124</v>
      </c>
      <c r="H237" t="s">
        <v>125</v>
      </c>
      <c r="I237" t="s">
        <v>265</v>
      </c>
      <c r="J237" t="s">
        <v>268</v>
      </c>
      <c r="K237" t="s">
        <v>98</v>
      </c>
      <c r="L237">
        <v>0</v>
      </c>
      <c r="M237">
        <v>1</v>
      </c>
      <c r="N237">
        <v>2020</v>
      </c>
      <c r="O237">
        <v>14.200511218403861</v>
      </c>
      <c r="P237">
        <v>0.1</v>
      </c>
      <c r="Q237">
        <v>0.14591810089020771</v>
      </c>
      <c r="R237">
        <v>0.14591810089020771</v>
      </c>
      <c r="S237">
        <v>0.16183643916913951</v>
      </c>
      <c r="T237">
        <v>0.1764282492581602</v>
      </c>
      <c r="U237">
        <v>0.18704047477744801</v>
      </c>
      <c r="V237">
        <v>0.1963261721068249</v>
      </c>
      <c r="W237">
        <v>0.2056118694362018</v>
      </c>
      <c r="X237">
        <v>465.89692424941529</v>
      </c>
      <c r="Y237">
        <v>465.89692424941529</v>
      </c>
      <c r="Z237">
        <v>464.47433822117279</v>
      </c>
      <c r="AA237">
        <v>460.91787315056649</v>
      </c>
      <c r="AB237">
        <v>459.49528712232399</v>
      </c>
      <c r="AC237">
        <v>458.78399410820282</v>
      </c>
      <c r="AD237">
        <v>458.07270109408159</v>
      </c>
      <c r="AE237">
        <v>5.9105319784213286</v>
      </c>
      <c r="AF237">
        <v>5.9105319784213286</v>
      </c>
      <c r="AG237">
        <v>5.9105319784213286</v>
      </c>
      <c r="AH237">
        <v>5.9105319784213286</v>
      </c>
      <c r="AI237">
        <v>5.9105319784213286</v>
      </c>
      <c r="AJ237">
        <v>5.9105319784213286</v>
      </c>
      <c r="AK237">
        <v>5.9105319784213286</v>
      </c>
    </row>
    <row r="238" spans="1:37" x14ac:dyDescent="0.25">
      <c r="A238" t="s">
        <v>90</v>
      </c>
      <c r="B238" t="s">
        <v>91</v>
      </c>
      <c r="C238" t="s">
        <v>264</v>
      </c>
      <c r="F238" t="s">
        <v>209</v>
      </c>
      <c r="G238" t="s">
        <v>119</v>
      </c>
      <c r="H238" t="s">
        <v>120</v>
      </c>
      <c r="I238" t="s">
        <v>265</v>
      </c>
      <c r="J238" t="s">
        <v>269</v>
      </c>
      <c r="K238" t="s">
        <v>98</v>
      </c>
      <c r="L238">
        <v>1</v>
      </c>
      <c r="M238">
        <v>1</v>
      </c>
      <c r="N238">
        <v>2020</v>
      </c>
      <c r="O238">
        <v>14.200511218403861</v>
      </c>
      <c r="P238">
        <v>0.30952380952381148</v>
      </c>
      <c r="Q238">
        <v>0.29979537091988079</v>
      </c>
      <c r="R238">
        <v>0.29979537091988079</v>
      </c>
      <c r="S238">
        <v>0.33030551928783392</v>
      </c>
      <c r="T238">
        <v>0.35816261127596438</v>
      </c>
      <c r="U238">
        <v>0.37408094955489479</v>
      </c>
      <c r="V238">
        <v>0.3899992878338272</v>
      </c>
      <c r="W238">
        <v>0.4059176261127605</v>
      </c>
      <c r="X238">
        <v>515.68743523790056</v>
      </c>
      <c r="Y238">
        <v>515.68743523790056</v>
      </c>
      <c r="Z238">
        <v>484.39054261656662</v>
      </c>
      <c r="AA238">
        <v>464.47433822117449</v>
      </c>
      <c r="AB238">
        <v>456.65011506583812</v>
      </c>
      <c r="AC238">
        <v>449.53718492462809</v>
      </c>
      <c r="AD238">
        <v>441.71296176929172</v>
      </c>
      <c r="AE238">
        <v>5.9105319784213153</v>
      </c>
      <c r="AF238">
        <v>5.9105319784213153</v>
      </c>
      <c r="AG238">
        <v>5.9105319784213153</v>
      </c>
      <c r="AH238">
        <v>5.9105319784213153</v>
      </c>
      <c r="AI238">
        <v>5.9105319784213153</v>
      </c>
      <c r="AJ238">
        <v>5.9105319784213153</v>
      </c>
      <c r="AK238">
        <v>5.9105319784213153</v>
      </c>
    </row>
    <row r="239" spans="1:37" x14ac:dyDescent="0.25">
      <c r="A239" t="s">
        <v>90</v>
      </c>
      <c r="B239" t="s">
        <v>91</v>
      </c>
      <c r="C239" t="s">
        <v>264</v>
      </c>
      <c r="F239" t="s">
        <v>209</v>
      </c>
      <c r="G239" t="s">
        <v>122</v>
      </c>
      <c r="H239" t="s">
        <v>123</v>
      </c>
      <c r="I239" t="s">
        <v>265</v>
      </c>
      <c r="J239" t="s">
        <v>269</v>
      </c>
      <c r="K239" t="s">
        <v>98</v>
      </c>
      <c r="L239">
        <v>0</v>
      </c>
      <c r="M239">
        <v>1</v>
      </c>
      <c r="N239">
        <v>2020</v>
      </c>
      <c r="O239">
        <v>14.200511218403861</v>
      </c>
      <c r="P239">
        <v>0.30952380952381148</v>
      </c>
      <c r="Q239">
        <v>0.29979537091988079</v>
      </c>
      <c r="R239">
        <v>0.29979537091988079</v>
      </c>
      <c r="S239">
        <v>0.33030551928783392</v>
      </c>
      <c r="T239">
        <v>0.35816261127596438</v>
      </c>
      <c r="U239">
        <v>0.37408094955489479</v>
      </c>
      <c r="V239">
        <v>0.3899992878338272</v>
      </c>
      <c r="W239">
        <v>0.4059176261127605</v>
      </c>
      <c r="X239">
        <v>515.68743523790056</v>
      </c>
      <c r="Y239">
        <v>515.68743523790056</v>
      </c>
      <c r="Z239">
        <v>484.39054261656662</v>
      </c>
      <c r="AA239">
        <v>464.47433822117449</v>
      </c>
      <c r="AB239">
        <v>456.65011506583812</v>
      </c>
      <c r="AC239">
        <v>449.53718492462809</v>
      </c>
      <c r="AD239">
        <v>441.71296176929172</v>
      </c>
      <c r="AE239">
        <v>5.9105319784213153</v>
      </c>
      <c r="AF239">
        <v>5.9105319784213153</v>
      </c>
      <c r="AG239">
        <v>5.9105319784213153</v>
      </c>
      <c r="AH239">
        <v>5.9105319784213153</v>
      </c>
      <c r="AI239">
        <v>5.9105319784213153</v>
      </c>
      <c r="AJ239">
        <v>5.9105319784213153</v>
      </c>
      <c r="AK239">
        <v>5.9105319784213153</v>
      </c>
    </row>
    <row r="240" spans="1:37" x14ac:dyDescent="0.25">
      <c r="A240" t="s">
        <v>90</v>
      </c>
      <c r="B240" t="s">
        <v>91</v>
      </c>
      <c r="C240" t="s">
        <v>264</v>
      </c>
      <c r="F240" t="s">
        <v>209</v>
      </c>
      <c r="G240" t="s">
        <v>124</v>
      </c>
      <c r="H240" t="s">
        <v>125</v>
      </c>
      <c r="I240" t="s">
        <v>265</v>
      </c>
      <c r="J240" t="s">
        <v>269</v>
      </c>
      <c r="K240" t="s">
        <v>98</v>
      </c>
      <c r="L240">
        <v>0</v>
      </c>
      <c r="M240">
        <v>1</v>
      </c>
      <c r="N240">
        <v>2020</v>
      </c>
      <c r="O240">
        <v>14.200511218403861</v>
      </c>
      <c r="P240">
        <v>0.1</v>
      </c>
      <c r="Q240">
        <v>0.29979537091988079</v>
      </c>
      <c r="R240">
        <v>0.29979537091988079</v>
      </c>
      <c r="S240">
        <v>0.33030551928783392</v>
      </c>
      <c r="T240">
        <v>0.35816261127596438</v>
      </c>
      <c r="U240">
        <v>0.37408094955489479</v>
      </c>
      <c r="V240">
        <v>0.3899992878338272</v>
      </c>
      <c r="W240">
        <v>0.4059176261127605</v>
      </c>
      <c r="X240">
        <v>515.68743523790056</v>
      </c>
      <c r="Y240">
        <v>515.68743523790056</v>
      </c>
      <c r="Z240">
        <v>484.39054261656662</v>
      </c>
      <c r="AA240">
        <v>464.47433822117449</v>
      </c>
      <c r="AB240">
        <v>456.65011506583812</v>
      </c>
      <c r="AC240">
        <v>449.53718492462809</v>
      </c>
      <c r="AD240">
        <v>441.71296176929172</v>
      </c>
      <c r="AE240">
        <v>5.9105319784213153</v>
      </c>
      <c r="AF240">
        <v>5.9105319784213153</v>
      </c>
      <c r="AG240">
        <v>5.9105319784213153</v>
      </c>
      <c r="AH240">
        <v>5.9105319784213153</v>
      </c>
      <c r="AI240">
        <v>5.9105319784213153</v>
      </c>
      <c r="AJ240">
        <v>5.9105319784213153</v>
      </c>
      <c r="AK240">
        <v>5.9105319784213153</v>
      </c>
    </row>
    <row r="241" spans="1:37" x14ac:dyDescent="0.25">
      <c r="A241" t="s">
        <v>90</v>
      </c>
      <c r="B241" t="s">
        <v>91</v>
      </c>
      <c r="C241" t="s">
        <v>264</v>
      </c>
      <c r="F241" t="s">
        <v>209</v>
      </c>
      <c r="G241" t="s">
        <v>114</v>
      </c>
      <c r="H241" t="s">
        <v>115</v>
      </c>
      <c r="I241" t="s">
        <v>265</v>
      </c>
      <c r="J241" t="s">
        <v>269</v>
      </c>
      <c r="K241" t="s">
        <v>98</v>
      </c>
      <c r="L241">
        <v>0</v>
      </c>
      <c r="M241">
        <v>1</v>
      </c>
      <c r="N241">
        <v>2020</v>
      </c>
      <c r="O241">
        <v>14.200511218403861</v>
      </c>
      <c r="P241">
        <v>0.69047619047618847</v>
      </c>
      <c r="Q241">
        <v>0.29979537091988079</v>
      </c>
      <c r="R241">
        <v>0.29979537091988079</v>
      </c>
      <c r="S241">
        <v>0.33030551928783392</v>
      </c>
      <c r="T241">
        <v>0.35816261127596438</v>
      </c>
      <c r="U241">
        <v>0.37408094955489479</v>
      </c>
      <c r="V241">
        <v>0.3899992878338272</v>
      </c>
      <c r="W241">
        <v>0.4059176261127605</v>
      </c>
      <c r="X241">
        <v>515.68743523790056</v>
      </c>
      <c r="Y241">
        <v>515.68743523790056</v>
      </c>
      <c r="Z241">
        <v>484.39054261656662</v>
      </c>
      <c r="AA241">
        <v>464.47433822117449</v>
      </c>
      <c r="AB241">
        <v>456.65011506583812</v>
      </c>
      <c r="AC241">
        <v>449.53718492462809</v>
      </c>
      <c r="AD241">
        <v>441.71296176929172</v>
      </c>
      <c r="AE241">
        <v>5.9105319784213153</v>
      </c>
      <c r="AF241">
        <v>5.9105319784213153</v>
      </c>
      <c r="AG241">
        <v>5.9105319784213153</v>
      </c>
      <c r="AH241">
        <v>5.9105319784213153</v>
      </c>
      <c r="AI241">
        <v>5.9105319784213153</v>
      </c>
      <c r="AJ241">
        <v>5.9105319784213153</v>
      </c>
      <c r="AK241">
        <v>5.9105319784213153</v>
      </c>
    </row>
    <row r="242" spans="1:37" x14ac:dyDescent="0.25">
      <c r="A242" t="s">
        <v>90</v>
      </c>
      <c r="B242" t="s">
        <v>91</v>
      </c>
      <c r="C242" t="s">
        <v>264</v>
      </c>
      <c r="F242" t="s">
        <v>213</v>
      </c>
      <c r="G242" t="s">
        <v>133</v>
      </c>
      <c r="H242" t="s">
        <v>134</v>
      </c>
      <c r="I242" t="s">
        <v>265</v>
      </c>
      <c r="J242" t="s">
        <v>270</v>
      </c>
      <c r="K242" t="s">
        <v>98</v>
      </c>
      <c r="L242">
        <v>1</v>
      </c>
      <c r="M242">
        <v>1</v>
      </c>
      <c r="N242">
        <v>2020</v>
      </c>
      <c r="O242">
        <v>14.200511218403861</v>
      </c>
      <c r="P242">
        <v>1</v>
      </c>
      <c r="Q242">
        <v>0.20030575667655801</v>
      </c>
      <c r="R242">
        <v>0.20030575667655801</v>
      </c>
      <c r="S242">
        <v>0.22020367952522271</v>
      </c>
      <c r="T242">
        <v>0.24142813056379819</v>
      </c>
      <c r="U242">
        <v>0.25071382789317492</v>
      </c>
      <c r="V242">
        <v>0.26132605341246301</v>
      </c>
      <c r="W242">
        <v>0.27061175074183957</v>
      </c>
      <c r="X242">
        <v>635.89595462439217</v>
      </c>
      <c r="Y242">
        <v>635.89595462439217</v>
      </c>
      <c r="Z242">
        <v>598.19742487596693</v>
      </c>
      <c r="AA242">
        <v>566.18923924051046</v>
      </c>
      <c r="AB242">
        <v>553.38596498632808</v>
      </c>
      <c r="AC242">
        <v>540.58269073214626</v>
      </c>
      <c r="AD242">
        <v>527.77941647796388</v>
      </c>
      <c r="AE242">
        <v>5.9105319784213251</v>
      </c>
      <c r="AF242">
        <v>5.9105319784213251</v>
      </c>
      <c r="AG242">
        <v>5.9105319784213251</v>
      </c>
      <c r="AH242">
        <v>5.9105319784213251</v>
      </c>
      <c r="AI242">
        <v>5.9105319784213251</v>
      </c>
      <c r="AJ242">
        <v>5.9105319784213251</v>
      </c>
      <c r="AK242">
        <v>5.9105319784213251</v>
      </c>
    </row>
    <row r="243" spans="1:37" x14ac:dyDescent="0.25">
      <c r="A243" t="s">
        <v>90</v>
      </c>
      <c r="B243" t="s">
        <v>91</v>
      </c>
      <c r="C243" t="s">
        <v>264</v>
      </c>
      <c r="F243" t="s">
        <v>215</v>
      </c>
      <c r="G243" t="s">
        <v>133</v>
      </c>
      <c r="H243" t="s">
        <v>134</v>
      </c>
      <c r="I243" t="s">
        <v>265</v>
      </c>
      <c r="J243" t="s">
        <v>271</v>
      </c>
      <c r="K243" t="s">
        <v>98</v>
      </c>
      <c r="L243">
        <v>1</v>
      </c>
      <c r="M243">
        <v>1</v>
      </c>
      <c r="N243">
        <v>2020</v>
      </c>
      <c r="O243">
        <v>14.200511218403861</v>
      </c>
      <c r="P243">
        <v>0.89763779527559173</v>
      </c>
      <c r="Q243">
        <v>0.2175506231454005</v>
      </c>
      <c r="R243">
        <v>0.2175506231454005</v>
      </c>
      <c r="S243">
        <v>0.24010160237388731</v>
      </c>
      <c r="T243">
        <v>0.25867299703264102</v>
      </c>
      <c r="U243">
        <v>0.26663216617210689</v>
      </c>
      <c r="V243">
        <v>0.27591786350148362</v>
      </c>
      <c r="W243">
        <v>0.28387703264094938</v>
      </c>
      <c r="X243">
        <v>537.02622566153968</v>
      </c>
      <c r="Y243">
        <v>537.02622566153968</v>
      </c>
      <c r="Z243">
        <v>500.03898892723481</v>
      </c>
      <c r="AA243">
        <v>476.56631946123417</v>
      </c>
      <c r="AB243">
        <v>466.60821726353652</v>
      </c>
      <c r="AC243">
        <v>456.65011506583892</v>
      </c>
      <c r="AD243">
        <v>446.69201286814172</v>
      </c>
      <c r="AE243">
        <v>5.9105319784213251</v>
      </c>
      <c r="AF243">
        <v>5.9105319784213251</v>
      </c>
      <c r="AG243">
        <v>5.9105319784213251</v>
      </c>
      <c r="AH243">
        <v>5.9105319784213251</v>
      </c>
      <c r="AI243">
        <v>5.9105319784213251</v>
      </c>
      <c r="AJ243">
        <v>5.9105319784213251</v>
      </c>
      <c r="AK243">
        <v>5.9105319784213251</v>
      </c>
    </row>
    <row r="244" spans="1:37" x14ac:dyDescent="0.25">
      <c r="A244" t="s">
        <v>90</v>
      </c>
      <c r="B244" t="s">
        <v>91</v>
      </c>
      <c r="C244" t="s">
        <v>264</v>
      </c>
      <c r="F244" t="s">
        <v>215</v>
      </c>
      <c r="G244" t="s">
        <v>114</v>
      </c>
      <c r="H244" t="s">
        <v>115</v>
      </c>
      <c r="I244" t="s">
        <v>265</v>
      </c>
      <c r="J244" t="s">
        <v>271</v>
      </c>
      <c r="K244" t="s">
        <v>98</v>
      </c>
      <c r="L244">
        <v>0</v>
      </c>
      <c r="M244">
        <v>1</v>
      </c>
      <c r="N244">
        <v>2020</v>
      </c>
      <c r="O244">
        <v>14.200511218403861</v>
      </c>
      <c r="P244">
        <v>0.1023622047244083</v>
      </c>
      <c r="Q244">
        <v>0.2175506231454005</v>
      </c>
      <c r="R244">
        <v>0.2175506231454005</v>
      </c>
      <c r="S244">
        <v>0.24010160237388731</v>
      </c>
      <c r="T244">
        <v>0.25867299703264102</v>
      </c>
      <c r="U244">
        <v>0.26663216617210689</v>
      </c>
      <c r="V244">
        <v>0.27591786350148362</v>
      </c>
      <c r="W244">
        <v>0.28387703264094938</v>
      </c>
      <c r="X244">
        <v>537.02622566153968</v>
      </c>
      <c r="Y244">
        <v>537.02622566153968</v>
      </c>
      <c r="Z244">
        <v>500.03898892723481</v>
      </c>
      <c r="AA244">
        <v>476.56631946123417</v>
      </c>
      <c r="AB244">
        <v>466.60821726353652</v>
      </c>
      <c r="AC244">
        <v>456.65011506583892</v>
      </c>
      <c r="AD244">
        <v>446.69201286814172</v>
      </c>
      <c r="AE244">
        <v>5.9105319784213251</v>
      </c>
      <c r="AF244">
        <v>5.9105319784213251</v>
      </c>
      <c r="AG244">
        <v>5.9105319784213251</v>
      </c>
      <c r="AH244">
        <v>5.9105319784213251</v>
      </c>
      <c r="AI244">
        <v>5.9105319784213251</v>
      </c>
      <c r="AJ244">
        <v>5.9105319784213251</v>
      </c>
      <c r="AK244">
        <v>5.9105319784213251</v>
      </c>
    </row>
    <row r="245" spans="1:37" x14ac:dyDescent="0.25">
      <c r="A245" t="s">
        <v>90</v>
      </c>
      <c r="B245" t="s">
        <v>91</v>
      </c>
      <c r="C245" t="s">
        <v>264</v>
      </c>
      <c r="F245" t="s">
        <v>217</v>
      </c>
      <c r="G245" t="s">
        <v>114</v>
      </c>
      <c r="H245" t="s">
        <v>115</v>
      </c>
      <c r="I245" t="s">
        <v>265</v>
      </c>
      <c r="J245" t="s">
        <v>272</v>
      </c>
      <c r="K245" t="s">
        <v>98</v>
      </c>
      <c r="L245">
        <v>1</v>
      </c>
      <c r="M245">
        <v>1</v>
      </c>
      <c r="N245">
        <v>2020</v>
      </c>
      <c r="O245">
        <v>14.200511218403861</v>
      </c>
      <c r="P245">
        <v>1</v>
      </c>
      <c r="Q245">
        <v>0.36877483679525219</v>
      </c>
      <c r="R245">
        <v>0.36877483679525219</v>
      </c>
      <c r="S245">
        <v>0.40061151335311579</v>
      </c>
      <c r="T245">
        <v>0.43510124629080099</v>
      </c>
      <c r="U245">
        <v>0.44969305637982182</v>
      </c>
      <c r="V245">
        <v>0.46428486646884271</v>
      </c>
      <c r="W245">
        <v>0.48152973293768542</v>
      </c>
      <c r="X245">
        <v>508.57450509669002</v>
      </c>
      <c r="Y245">
        <v>508.57450509669002</v>
      </c>
      <c r="Z245">
        <v>462.34045917880923</v>
      </c>
      <c r="AA245">
        <v>437.44520368456551</v>
      </c>
      <c r="AB245">
        <v>426.06451545862558</v>
      </c>
      <c r="AC245">
        <v>414.6838272326857</v>
      </c>
      <c r="AD245">
        <v>403.30313900674582</v>
      </c>
      <c r="AE245">
        <v>3.8067833081357718</v>
      </c>
      <c r="AF245">
        <v>3.8067833081357718</v>
      </c>
      <c r="AG245">
        <v>3.8067833081357718</v>
      </c>
      <c r="AH245">
        <v>3.8067833081357718</v>
      </c>
      <c r="AI245">
        <v>3.8067833081357718</v>
      </c>
      <c r="AJ245">
        <v>3.8067833081357718</v>
      </c>
      <c r="AK245">
        <v>3.8067833081357718</v>
      </c>
    </row>
    <row r="246" spans="1:37" x14ac:dyDescent="0.25">
      <c r="A246" t="s">
        <v>90</v>
      </c>
      <c r="B246" t="s">
        <v>91</v>
      </c>
      <c r="C246" t="s">
        <v>273</v>
      </c>
      <c r="F246" t="s">
        <v>202</v>
      </c>
      <c r="G246" t="s">
        <v>119</v>
      </c>
      <c r="H246" t="s">
        <v>120</v>
      </c>
      <c r="I246" t="s">
        <v>274</v>
      </c>
      <c r="J246" t="s">
        <v>275</v>
      </c>
      <c r="K246" t="s">
        <v>98</v>
      </c>
      <c r="L246">
        <v>1</v>
      </c>
      <c r="M246">
        <v>1</v>
      </c>
      <c r="N246">
        <v>2020</v>
      </c>
      <c r="O246">
        <v>4.6576618537494188</v>
      </c>
      <c r="P246">
        <v>1</v>
      </c>
      <c r="Q246">
        <v>0.14459157270029679</v>
      </c>
      <c r="R246">
        <v>0.14459157270029679</v>
      </c>
      <c r="S246">
        <v>0.1578568545994066</v>
      </c>
      <c r="T246">
        <v>0.1711221364985164</v>
      </c>
      <c r="U246">
        <v>0.1804078338278931</v>
      </c>
      <c r="V246">
        <v>0.18836700296735909</v>
      </c>
      <c r="W246">
        <v>0.1963261721068249</v>
      </c>
      <c r="X246">
        <v>421.08546435977678</v>
      </c>
      <c r="Y246">
        <v>421.08546435977678</v>
      </c>
      <c r="Z246">
        <v>423.93063641626179</v>
      </c>
      <c r="AA246">
        <v>423.21934340214051</v>
      </c>
      <c r="AB246">
        <v>423.93063641626179</v>
      </c>
      <c r="AC246">
        <v>424.64192943038302</v>
      </c>
      <c r="AD246">
        <v>426.06451545862558</v>
      </c>
      <c r="AE246">
        <v>18.02032399555608</v>
      </c>
      <c r="AF246">
        <v>18.02032399555608</v>
      </c>
      <c r="AG246">
        <v>18.02032399555608</v>
      </c>
      <c r="AH246">
        <v>18.02032399555608</v>
      </c>
      <c r="AI246">
        <v>18.02032399555608</v>
      </c>
      <c r="AJ246">
        <v>18.02032399555608</v>
      </c>
      <c r="AK246">
        <v>18.02032399555608</v>
      </c>
    </row>
    <row r="247" spans="1:37" x14ac:dyDescent="0.25">
      <c r="A247" t="s">
        <v>90</v>
      </c>
      <c r="B247" t="s">
        <v>91</v>
      </c>
      <c r="C247" t="s">
        <v>273</v>
      </c>
      <c r="F247" t="s">
        <v>202</v>
      </c>
      <c r="G247" t="s">
        <v>122</v>
      </c>
      <c r="H247" t="s">
        <v>123</v>
      </c>
      <c r="I247" t="s">
        <v>274</v>
      </c>
      <c r="J247" t="s">
        <v>275</v>
      </c>
      <c r="K247" t="s">
        <v>98</v>
      </c>
      <c r="L247">
        <v>0</v>
      </c>
      <c r="M247">
        <v>1</v>
      </c>
      <c r="N247">
        <v>2020</v>
      </c>
      <c r="O247">
        <v>4.6576618537494188</v>
      </c>
      <c r="P247">
        <v>1</v>
      </c>
      <c r="Q247">
        <v>0.14459157270029679</v>
      </c>
      <c r="R247">
        <v>0.14459157270029679</v>
      </c>
      <c r="S247">
        <v>0.1578568545994066</v>
      </c>
      <c r="T247">
        <v>0.1711221364985164</v>
      </c>
      <c r="U247">
        <v>0.1804078338278931</v>
      </c>
      <c r="V247">
        <v>0.18836700296735909</v>
      </c>
      <c r="W247">
        <v>0.1963261721068249</v>
      </c>
      <c r="X247">
        <v>421.08546435977678</v>
      </c>
      <c r="Y247">
        <v>421.08546435977678</v>
      </c>
      <c r="Z247">
        <v>423.93063641626179</v>
      </c>
      <c r="AA247">
        <v>423.21934340214051</v>
      </c>
      <c r="AB247">
        <v>423.93063641626179</v>
      </c>
      <c r="AC247">
        <v>424.64192943038302</v>
      </c>
      <c r="AD247">
        <v>426.06451545862558</v>
      </c>
      <c r="AE247">
        <v>18.02032399555608</v>
      </c>
      <c r="AF247">
        <v>18.02032399555608</v>
      </c>
      <c r="AG247">
        <v>18.02032399555608</v>
      </c>
      <c r="AH247">
        <v>18.02032399555608</v>
      </c>
      <c r="AI247">
        <v>18.02032399555608</v>
      </c>
      <c r="AJ247">
        <v>18.02032399555608</v>
      </c>
      <c r="AK247">
        <v>18.02032399555608</v>
      </c>
    </row>
    <row r="248" spans="1:37" x14ac:dyDescent="0.25">
      <c r="A248" t="s">
        <v>90</v>
      </c>
      <c r="B248" t="s">
        <v>91</v>
      </c>
      <c r="C248" t="s">
        <v>273</v>
      </c>
      <c r="F248" t="s">
        <v>202</v>
      </c>
      <c r="G248" t="s">
        <v>124</v>
      </c>
      <c r="H248" t="s">
        <v>125</v>
      </c>
      <c r="I248" t="s">
        <v>274</v>
      </c>
      <c r="J248" t="s">
        <v>275</v>
      </c>
      <c r="K248" t="s">
        <v>98</v>
      </c>
      <c r="L248">
        <v>0</v>
      </c>
      <c r="M248">
        <v>1</v>
      </c>
      <c r="N248">
        <v>2020</v>
      </c>
      <c r="O248">
        <v>4.6576618537494188</v>
      </c>
      <c r="P248">
        <v>0.1</v>
      </c>
      <c r="Q248">
        <v>0.14459157270029679</v>
      </c>
      <c r="R248">
        <v>0.14459157270029679</v>
      </c>
      <c r="S248">
        <v>0.1578568545994066</v>
      </c>
      <c r="T248">
        <v>0.1711221364985164</v>
      </c>
      <c r="U248">
        <v>0.1804078338278931</v>
      </c>
      <c r="V248">
        <v>0.18836700296735909</v>
      </c>
      <c r="W248">
        <v>0.1963261721068249</v>
      </c>
      <c r="X248">
        <v>421.08546435977678</v>
      </c>
      <c r="Y248">
        <v>421.08546435977678</v>
      </c>
      <c r="Z248">
        <v>423.93063641626179</v>
      </c>
      <c r="AA248">
        <v>423.21934340214051</v>
      </c>
      <c r="AB248">
        <v>423.93063641626179</v>
      </c>
      <c r="AC248">
        <v>424.64192943038302</v>
      </c>
      <c r="AD248">
        <v>426.06451545862558</v>
      </c>
      <c r="AE248">
        <v>18.02032399555608</v>
      </c>
      <c r="AF248">
        <v>18.02032399555608</v>
      </c>
      <c r="AG248">
        <v>18.02032399555608</v>
      </c>
      <c r="AH248">
        <v>18.02032399555608</v>
      </c>
      <c r="AI248">
        <v>18.02032399555608</v>
      </c>
      <c r="AJ248">
        <v>18.02032399555608</v>
      </c>
      <c r="AK248">
        <v>18.02032399555608</v>
      </c>
    </row>
    <row r="249" spans="1:37" x14ac:dyDescent="0.25">
      <c r="A249" t="s">
        <v>90</v>
      </c>
      <c r="B249" t="s">
        <v>91</v>
      </c>
      <c r="C249" t="s">
        <v>273</v>
      </c>
      <c r="F249" t="s">
        <v>205</v>
      </c>
      <c r="G249" t="s">
        <v>119</v>
      </c>
      <c r="H249" t="s">
        <v>120</v>
      </c>
      <c r="I249" t="s">
        <v>274</v>
      </c>
      <c r="J249" t="s">
        <v>276</v>
      </c>
      <c r="K249" t="s">
        <v>98</v>
      </c>
      <c r="L249">
        <v>1</v>
      </c>
      <c r="M249">
        <v>1</v>
      </c>
      <c r="N249">
        <v>2020</v>
      </c>
      <c r="O249">
        <v>4.6576618537494188</v>
      </c>
      <c r="P249">
        <v>1</v>
      </c>
      <c r="Q249">
        <v>0.14459157270029679</v>
      </c>
      <c r="R249">
        <v>0.14459157270029679</v>
      </c>
      <c r="S249">
        <v>0.1578568545994066</v>
      </c>
      <c r="T249">
        <v>0.17244866468842729</v>
      </c>
      <c r="U249">
        <v>0.1804078338278931</v>
      </c>
      <c r="V249">
        <v>0.18836700296735909</v>
      </c>
      <c r="W249">
        <v>0.19765270029673601</v>
      </c>
      <c r="X249">
        <v>461.62916616468777</v>
      </c>
      <c r="Y249">
        <v>461.62916616468777</v>
      </c>
      <c r="Z249">
        <v>465.18563123529401</v>
      </c>
      <c r="AA249">
        <v>463.7630452070515</v>
      </c>
      <c r="AB249">
        <v>463.7630452070515</v>
      </c>
      <c r="AC249">
        <v>464.47433822117279</v>
      </c>
      <c r="AD249">
        <v>465.18563123529401</v>
      </c>
      <c r="AE249">
        <v>18.02032399555608</v>
      </c>
      <c r="AF249">
        <v>18.02032399555608</v>
      </c>
      <c r="AG249">
        <v>18.02032399555608</v>
      </c>
      <c r="AH249">
        <v>18.02032399555608</v>
      </c>
      <c r="AI249">
        <v>18.02032399555608</v>
      </c>
      <c r="AJ249">
        <v>18.02032399555608</v>
      </c>
      <c r="AK249">
        <v>18.02032399555608</v>
      </c>
    </row>
    <row r="250" spans="1:37" x14ac:dyDescent="0.25">
      <c r="A250" t="s">
        <v>90</v>
      </c>
      <c r="B250" t="s">
        <v>91</v>
      </c>
      <c r="C250" t="s">
        <v>273</v>
      </c>
      <c r="F250" t="s">
        <v>205</v>
      </c>
      <c r="G250" t="s">
        <v>122</v>
      </c>
      <c r="H250" t="s">
        <v>123</v>
      </c>
      <c r="I250" t="s">
        <v>274</v>
      </c>
      <c r="J250" t="s">
        <v>276</v>
      </c>
      <c r="K250" t="s">
        <v>98</v>
      </c>
      <c r="L250">
        <v>0</v>
      </c>
      <c r="M250">
        <v>1</v>
      </c>
      <c r="N250">
        <v>2020</v>
      </c>
      <c r="O250">
        <v>4.6576618537494188</v>
      </c>
      <c r="P250">
        <v>1</v>
      </c>
      <c r="Q250">
        <v>0.14459157270029679</v>
      </c>
      <c r="R250">
        <v>0.14459157270029679</v>
      </c>
      <c r="S250">
        <v>0.1578568545994066</v>
      </c>
      <c r="T250">
        <v>0.17244866468842729</v>
      </c>
      <c r="U250">
        <v>0.1804078338278931</v>
      </c>
      <c r="V250">
        <v>0.18836700296735909</v>
      </c>
      <c r="W250">
        <v>0.19765270029673601</v>
      </c>
      <c r="X250">
        <v>461.62916616468777</v>
      </c>
      <c r="Y250">
        <v>461.62916616468777</v>
      </c>
      <c r="Z250">
        <v>465.18563123529401</v>
      </c>
      <c r="AA250">
        <v>463.7630452070515</v>
      </c>
      <c r="AB250">
        <v>463.7630452070515</v>
      </c>
      <c r="AC250">
        <v>464.47433822117279</v>
      </c>
      <c r="AD250">
        <v>465.18563123529401</v>
      </c>
      <c r="AE250">
        <v>18.02032399555608</v>
      </c>
      <c r="AF250">
        <v>18.02032399555608</v>
      </c>
      <c r="AG250">
        <v>18.02032399555608</v>
      </c>
      <c r="AH250">
        <v>18.02032399555608</v>
      </c>
      <c r="AI250">
        <v>18.02032399555608</v>
      </c>
      <c r="AJ250">
        <v>18.02032399555608</v>
      </c>
      <c r="AK250">
        <v>18.02032399555608</v>
      </c>
    </row>
    <row r="251" spans="1:37" x14ac:dyDescent="0.25">
      <c r="A251" t="s">
        <v>90</v>
      </c>
      <c r="B251" t="s">
        <v>91</v>
      </c>
      <c r="C251" t="s">
        <v>273</v>
      </c>
      <c r="F251" t="s">
        <v>205</v>
      </c>
      <c r="G251" t="s">
        <v>124</v>
      </c>
      <c r="H251" t="s">
        <v>125</v>
      </c>
      <c r="I251" t="s">
        <v>274</v>
      </c>
      <c r="J251" t="s">
        <v>276</v>
      </c>
      <c r="K251" t="s">
        <v>98</v>
      </c>
      <c r="L251">
        <v>0</v>
      </c>
      <c r="M251">
        <v>1</v>
      </c>
      <c r="N251">
        <v>2020</v>
      </c>
      <c r="O251">
        <v>4.6576618537494188</v>
      </c>
      <c r="P251">
        <v>0.1</v>
      </c>
      <c r="Q251">
        <v>0.14459157270029679</v>
      </c>
      <c r="R251">
        <v>0.14459157270029679</v>
      </c>
      <c r="S251">
        <v>0.1578568545994066</v>
      </c>
      <c r="T251">
        <v>0.17244866468842729</v>
      </c>
      <c r="U251">
        <v>0.1804078338278931</v>
      </c>
      <c r="V251">
        <v>0.18836700296735909</v>
      </c>
      <c r="W251">
        <v>0.19765270029673601</v>
      </c>
      <c r="X251">
        <v>461.62916616468777</v>
      </c>
      <c r="Y251">
        <v>461.62916616468777</v>
      </c>
      <c r="Z251">
        <v>465.18563123529401</v>
      </c>
      <c r="AA251">
        <v>463.7630452070515</v>
      </c>
      <c r="AB251">
        <v>463.7630452070515</v>
      </c>
      <c r="AC251">
        <v>464.47433822117279</v>
      </c>
      <c r="AD251">
        <v>465.18563123529401</v>
      </c>
      <c r="AE251">
        <v>18.02032399555608</v>
      </c>
      <c r="AF251">
        <v>18.02032399555608</v>
      </c>
      <c r="AG251">
        <v>18.02032399555608</v>
      </c>
      <c r="AH251">
        <v>18.02032399555608</v>
      </c>
      <c r="AI251">
        <v>18.02032399555608</v>
      </c>
      <c r="AJ251">
        <v>18.02032399555608</v>
      </c>
      <c r="AK251">
        <v>18.02032399555608</v>
      </c>
    </row>
    <row r="252" spans="1:37" x14ac:dyDescent="0.25">
      <c r="A252" t="s">
        <v>90</v>
      </c>
      <c r="B252" t="s">
        <v>91</v>
      </c>
      <c r="C252" t="s">
        <v>273</v>
      </c>
      <c r="F252" t="s">
        <v>207</v>
      </c>
      <c r="G252" t="s">
        <v>119</v>
      </c>
      <c r="H252" t="s">
        <v>120</v>
      </c>
      <c r="I252" t="s">
        <v>274</v>
      </c>
      <c r="J252" t="s">
        <v>277</v>
      </c>
      <c r="K252" t="s">
        <v>98</v>
      </c>
      <c r="L252">
        <v>1</v>
      </c>
      <c r="M252">
        <v>1</v>
      </c>
      <c r="N252">
        <v>2020</v>
      </c>
      <c r="O252">
        <v>4.6576618537494188</v>
      </c>
      <c r="P252">
        <v>1</v>
      </c>
      <c r="Q252">
        <v>0.14591810089020771</v>
      </c>
      <c r="R252">
        <v>0.14591810089020771</v>
      </c>
      <c r="S252">
        <v>0.16183643916913951</v>
      </c>
      <c r="T252">
        <v>0.1764282492581602</v>
      </c>
      <c r="U252">
        <v>0.18704047477744801</v>
      </c>
      <c r="V252">
        <v>0.1963261721068249</v>
      </c>
      <c r="W252">
        <v>0.2056118694362018</v>
      </c>
      <c r="X252">
        <v>465.89692424941529</v>
      </c>
      <c r="Y252">
        <v>465.89692424941529</v>
      </c>
      <c r="Z252">
        <v>464.47433822117279</v>
      </c>
      <c r="AA252">
        <v>460.91787315056649</v>
      </c>
      <c r="AB252">
        <v>459.49528712232399</v>
      </c>
      <c r="AC252">
        <v>458.78399410820282</v>
      </c>
      <c r="AD252">
        <v>458.07270109408159</v>
      </c>
      <c r="AE252">
        <v>18.02032399555608</v>
      </c>
      <c r="AF252">
        <v>18.02032399555608</v>
      </c>
      <c r="AG252">
        <v>18.02032399555608</v>
      </c>
      <c r="AH252">
        <v>18.02032399555608</v>
      </c>
      <c r="AI252">
        <v>18.02032399555608</v>
      </c>
      <c r="AJ252">
        <v>18.02032399555608</v>
      </c>
      <c r="AK252">
        <v>18.02032399555608</v>
      </c>
    </row>
    <row r="253" spans="1:37" x14ac:dyDescent="0.25">
      <c r="A253" t="s">
        <v>90</v>
      </c>
      <c r="B253" t="s">
        <v>91</v>
      </c>
      <c r="C253" t="s">
        <v>273</v>
      </c>
      <c r="F253" t="s">
        <v>207</v>
      </c>
      <c r="G253" t="s">
        <v>122</v>
      </c>
      <c r="H253" t="s">
        <v>123</v>
      </c>
      <c r="I253" t="s">
        <v>274</v>
      </c>
      <c r="J253" t="s">
        <v>277</v>
      </c>
      <c r="K253" t="s">
        <v>98</v>
      </c>
      <c r="L253">
        <v>0</v>
      </c>
      <c r="M253">
        <v>1</v>
      </c>
      <c r="N253">
        <v>2020</v>
      </c>
      <c r="O253">
        <v>4.6576618537494188</v>
      </c>
      <c r="P253">
        <v>1</v>
      </c>
      <c r="Q253">
        <v>0.14591810089020771</v>
      </c>
      <c r="R253">
        <v>0.14591810089020771</v>
      </c>
      <c r="S253">
        <v>0.16183643916913951</v>
      </c>
      <c r="T253">
        <v>0.1764282492581602</v>
      </c>
      <c r="U253">
        <v>0.18704047477744801</v>
      </c>
      <c r="V253">
        <v>0.1963261721068249</v>
      </c>
      <c r="W253">
        <v>0.2056118694362018</v>
      </c>
      <c r="X253">
        <v>465.89692424941529</v>
      </c>
      <c r="Y253">
        <v>465.89692424941529</v>
      </c>
      <c r="Z253">
        <v>464.47433822117279</v>
      </c>
      <c r="AA253">
        <v>460.91787315056649</v>
      </c>
      <c r="AB253">
        <v>459.49528712232399</v>
      </c>
      <c r="AC253">
        <v>458.78399410820282</v>
      </c>
      <c r="AD253">
        <v>458.07270109408159</v>
      </c>
      <c r="AE253">
        <v>18.02032399555608</v>
      </c>
      <c r="AF253">
        <v>18.02032399555608</v>
      </c>
      <c r="AG253">
        <v>18.02032399555608</v>
      </c>
      <c r="AH253">
        <v>18.02032399555608</v>
      </c>
      <c r="AI253">
        <v>18.02032399555608</v>
      </c>
      <c r="AJ253">
        <v>18.02032399555608</v>
      </c>
      <c r="AK253">
        <v>18.02032399555608</v>
      </c>
    </row>
    <row r="254" spans="1:37" x14ac:dyDescent="0.25">
      <c r="A254" t="s">
        <v>90</v>
      </c>
      <c r="B254" t="s">
        <v>91</v>
      </c>
      <c r="C254" t="s">
        <v>273</v>
      </c>
      <c r="F254" t="s">
        <v>207</v>
      </c>
      <c r="G254" t="s">
        <v>124</v>
      </c>
      <c r="H254" t="s">
        <v>125</v>
      </c>
      <c r="I254" t="s">
        <v>274</v>
      </c>
      <c r="J254" t="s">
        <v>277</v>
      </c>
      <c r="K254" t="s">
        <v>98</v>
      </c>
      <c r="L254">
        <v>0</v>
      </c>
      <c r="M254">
        <v>1</v>
      </c>
      <c r="N254">
        <v>2020</v>
      </c>
      <c r="O254">
        <v>4.6576618537494188</v>
      </c>
      <c r="P254">
        <v>0.1</v>
      </c>
      <c r="Q254">
        <v>0.14591810089020771</v>
      </c>
      <c r="R254">
        <v>0.14591810089020771</v>
      </c>
      <c r="S254">
        <v>0.16183643916913951</v>
      </c>
      <c r="T254">
        <v>0.1764282492581602</v>
      </c>
      <c r="U254">
        <v>0.18704047477744801</v>
      </c>
      <c r="V254">
        <v>0.1963261721068249</v>
      </c>
      <c r="W254">
        <v>0.2056118694362018</v>
      </c>
      <c r="X254">
        <v>465.89692424941529</v>
      </c>
      <c r="Y254">
        <v>465.89692424941529</v>
      </c>
      <c r="Z254">
        <v>464.47433822117279</v>
      </c>
      <c r="AA254">
        <v>460.91787315056649</v>
      </c>
      <c r="AB254">
        <v>459.49528712232399</v>
      </c>
      <c r="AC254">
        <v>458.78399410820282</v>
      </c>
      <c r="AD254">
        <v>458.07270109408159</v>
      </c>
      <c r="AE254">
        <v>18.02032399555608</v>
      </c>
      <c r="AF254">
        <v>18.02032399555608</v>
      </c>
      <c r="AG254">
        <v>18.02032399555608</v>
      </c>
      <c r="AH254">
        <v>18.02032399555608</v>
      </c>
      <c r="AI254">
        <v>18.02032399555608</v>
      </c>
      <c r="AJ254">
        <v>18.02032399555608</v>
      </c>
      <c r="AK254">
        <v>18.02032399555608</v>
      </c>
    </row>
    <row r="255" spans="1:37" x14ac:dyDescent="0.25">
      <c r="A255" t="s">
        <v>90</v>
      </c>
      <c r="B255" t="s">
        <v>91</v>
      </c>
      <c r="C255" t="s">
        <v>273</v>
      </c>
      <c r="F255" t="s">
        <v>209</v>
      </c>
      <c r="G255" t="s">
        <v>119</v>
      </c>
      <c r="H255" t="s">
        <v>120</v>
      </c>
      <c r="I255" t="s">
        <v>274</v>
      </c>
      <c r="J255" t="s">
        <v>278</v>
      </c>
      <c r="K255" t="s">
        <v>98</v>
      </c>
      <c r="L255">
        <v>1</v>
      </c>
      <c r="M255">
        <v>1</v>
      </c>
      <c r="N255">
        <v>2020</v>
      </c>
      <c r="O255">
        <v>4.6576618537494188</v>
      </c>
      <c r="P255">
        <v>0.30952380952381148</v>
      </c>
      <c r="Q255">
        <v>0.29979537091988079</v>
      </c>
      <c r="R255">
        <v>0.29979537091988079</v>
      </c>
      <c r="S255">
        <v>0.33030551928783392</v>
      </c>
      <c r="T255">
        <v>0.35816261127596438</v>
      </c>
      <c r="U255">
        <v>0.37408094955489479</v>
      </c>
      <c r="V255">
        <v>0.3899992878338272</v>
      </c>
      <c r="W255">
        <v>0.4059176261127605</v>
      </c>
      <c r="X255">
        <v>515.68743523790056</v>
      </c>
      <c r="Y255">
        <v>515.68743523790056</v>
      </c>
      <c r="Z255">
        <v>484.39054261656662</v>
      </c>
      <c r="AA255">
        <v>464.47433822117449</v>
      </c>
      <c r="AB255">
        <v>456.65011506583812</v>
      </c>
      <c r="AC255">
        <v>449.53718492462809</v>
      </c>
      <c r="AD255">
        <v>441.71296176929172</v>
      </c>
      <c r="AE255">
        <v>18.020323995556041</v>
      </c>
      <c r="AF255">
        <v>18.020323995556041</v>
      </c>
      <c r="AG255">
        <v>18.020323995556041</v>
      </c>
      <c r="AH255">
        <v>18.020323995556041</v>
      </c>
      <c r="AI255">
        <v>18.020323995556041</v>
      </c>
      <c r="AJ255">
        <v>18.020323995556041</v>
      </c>
      <c r="AK255">
        <v>18.020323995556041</v>
      </c>
    </row>
    <row r="256" spans="1:37" x14ac:dyDescent="0.25">
      <c r="A256" t="s">
        <v>90</v>
      </c>
      <c r="B256" t="s">
        <v>91</v>
      </c>
      <c r="C256" t="s">
        <v>273</v>
      </c>
      <c r="F256" t="s">
        <v>209</v>
      </c>
      <c r="G256" t="s">
        <v>122</v>
      </c>
      <c r="H256" t="s">
        <v>123</v>
      </c>
      <c r="I256" t="s">
        <v>274</v>
      </c>
      <c r="J256" t="s">
        <v>278</v>
      </c>
      <c r="K256" t="s">
        <v>98</v>
      </c>
      <c r="L256">
        <v>0</v>
      </c>
      <c r="M256">
        <v>1</v>
      </c>
      <c r="N256">
        <v>2020</v>
      </c>
      <c r="O256">
        <v>4.6576618537494188</v>
      </c>
      <c r="P256">
        <v>0.30952380952381148</v>
      </c>
      <c r="Q256">
        <v>0.29979537091988079</v>
      </c>
      <c r="R256">
        <v>0.29979537091988079</v>
      </c>
      <c r="S256">
        <v>0.33030551928783392</v>
      </c>
      <c r="T256">
        <v>0.35816261127596438</v>
      </c>
      <c r="U256">
        <v>0.37408094955489479</v>
      </c>
      <c r="V256">
        <v>0.3899992878338272</v>
      </c>
      <c r="W256">
        <v>0.4059176261127605</v>
      </c>
      <c r="X256">
        <v>515.68743523790056</v>
      </c>
      <c r="Y256">
        <v>515.68743523790056</v>
      </c>
      <c r="Z256">
        <v>484.39054261656662</v>
      </c>
      <c r="AA256">
        <v>464.47433822117449</v>
      </c>
      <c r="AB256">
        <v>456.65011506583812</v>
      </c>
      <c r="AC256">
        <v>449.53718492462809</v>
      </c>
      <c r="AD256">
        <v>441.71296176929172</v>
      </c>
      <c r="AE256">
        <v>18.020323995556041</v>
      </c>
      <c r="AF256">
        <v>18.020323995556041</v>
      </c>
      <c r="AG256">
        <v>18.020323995556041</v>
      </c>
      <c r="AH256">
        <v>18.020323995556041</v>
      </c>
      <c r="AI256">
        <v>18.020323995556041</v>
      </c>
      <c r="AJ256">
        <v>18.020323995556041</v>
      </c>
      <c r="AK256">
        <v>18.020323995556041</v>
      </c>
    </row>
    <row r="257" spans="1:37" x14ac:dyDescent="0.25">
      <c r="A257" t="s">
        <v>90</v>
      </c>
      <c r="B257" t="s">
        <v>91</v>
      </c>
      <c r="C257" t="s">
        <v>273</v>
      </c>
      <c r="F257" t="s">
        <v>209</v>
      </c>
      <c r="G257" t="s">
        <v>124</v>
      </c>
      <c r="H257" t="s">
        <v>125</v>
      </c>
      <c r="I257" t="s">
        <v>274</v>
      </c>
      <c r="J257" t="s">
        <v>278</v>
      </c>
      <c r="K257" t="s">
        <v>98</v>
      </c>
      <c r="L257">
        <v>0</v>
      </c>
      <c r="M257">
        <v>1</v>
      </c>
      <c r="N257">
        <v>2020</v>
      </c>
      <c r="O257">
        <v>4.6576618537494188</v>
      </c>
      <c r="P257">
        <v>0.1</v>
      </c>
      <c r="Q257">
        <v>0.29979537091988079</v>
      </c>
      <c r="R257">
        <v>0.29979537091988079</v>
      </c>
      <c r="S257">
        <v>0.33030551928783392</v>
      </c>
      <c r="T257">
        <v>0.35816261127596438</v>
      </c>
      <c r="U257">
        <v>0.37408094955489479</v>
      </c>
      <c r="V257">
        <v>0.3899992878338272</v>
      </c>
      <c r="W257">
        <v>0.4059176261127605</v>
      </c>
      <c r="X257">
        <v>515.68743523790056</v>
      </c>
      <c r="Y257">
        <v>515.68743523790056</v>
      </c>
      <c r="Z257">
        <v>484.39054261656662</v>
      </c>
      <c r="AA257">
        <v>464.47433822117449</v>
      </c>
      <c r="AB257">
        <v>456.65011506583812</v>
      </c>
      <c r="AC257">
        <v>449.53718492462809</v>
      </c>
      <c r="AD257">
        <v>441.71296176929172</v>
      </c>
      <c r="AE257">
        <v>18.020323995556041</v>
      </c>
      <c r="AF257">
        <v>18.020323995556041</v>
      </c>
      <c r="AG257">
        <v>18.020323995556041</v>
      </c>
      <c r="AH257">
        <v>18.020323995556041</v>
      </c>
      <c r="AI257">
        <v>18.020323995556041</v>
      </c>
      <c r="AJ257">
        <v>18.020323995556041</v>
      </c>
      <c r="AK257">
        <v>18.020323995556041</v>
      </c>
    </row>
    <row r="258" spans="1:37" x14ac:dyDescent="0.25">
      <c r="A258" t="s">
        <v>90</v>
      </c>
      <c r="B258" t="s">
        <v>91</v>
      </c>
      <c r="C258" t="s">
        <v>273</v>
      </c>
      <c r="F258" t="s">
        <v>209</v>
      </c>
      <c r="G258" t="s">
        <v>211</v>
      </c>
      <c r="H258" t="s">
        <v>212</v>
      </c>
      <c r="I258" t="s">
        <v>274</v>
      </c>
      <c r="J258" t="s">
        <v>278</v>
      </c>
      <c r="K258" t="s">
        <v>98</v>
      </c>
      <c r="L258">
        <v>0</v>
      </c>
      <c r="M258">
        <v>1</v>
      </c>
      <c r="N258">
        <v>2020</v>
      </c>
      <c r="O258">
        <v>4.6576618537494188</v>
      </c>
      <c r="P258">
        <v>0.69047619047618847</v>
      </c>
      <c r="Q258">
        <v>0.29979537091988079</v>
      </c>
      <c r="R258">
        <v>0.29979537091988079</v>
      </c>
      <c r="S258">
        <v>0.33030551928783392</v>
      </c>
      <c r="T258">
        <v>0.35816261127596438</v>
      </c>
      <c r="U258">
        <v>0.37408094955489479</v>
      </c>
      <c r="V258">
        <v>0.3899992878338272</v>
      </c>
      <c r="W258">
        <v>0.4059176261127605</v>
      </c>
      <c r="X258">
        <v>515.68743523790056</v>
      </c>
      <c r="Y258">
        <v>515.68743523790056</v>
      </c>
      <c r="Z258">
        <v>484.39054261656662</v>
      </c>
      <c r="AA258">
        <v>464.47433822117449</v>
      </c>
      <c r="AB258">
        <v>456.65011506583812</v>
      </c>
      <c r="AC258">
        <v>449.53718492462809</v>
      </c>
      <c r="AD258">
        <v>441.71296176929172</v>
      </c>
      <c r="AE258">
        <v>18.020323995556041</v>
      </c>
      <c r="AF258">
        <v>18.020323995556041</v>
      </c>
      <c r="AG258">
        <v>18.020323995556041</v>
      </c>
      <c r="AH258">
        <v>18.020323995556041</v>
      </c>
      <c r="AI258">
        <v>18.020323995556041</v>
      </c>
      <c r="AJ258">
        <v>18.020323995556041</v>
      </c>
      <c r="AK258">
        <v>18.020323995556041</v>
      </c>
    </row>
    <row r="259" spans="1:37" x14ac:dyDescent="0.25">
      <c r="A259" t="s">
        <v>90</v>
      </c>
      <c r="B259" t="s">
        <v>91</v>
      </c>
      <c r="C259" t="s">
        <v>273</v>
      </c>
      <c r="F259" t="s">
        <v>213</v>
      </c>
      <c r="G259" t="s">
        <v>133</v>
      </c>
      <c r="H259" t="s">
        <v>134</v>
      </c>
      <c r="I259" t="s">
        <v>274</v>
      </c>
      <c r="J259" t="s">
        <v>279</v>
      </c>
      <c r="K259" t="s">
        <v>98</v>
      </c>
      <c r="L259">
        <v>1</v>
      </c>
      <c r="M259">
        <v>1</v>
      </c>
      <c r="N259">
        <v>2020</v>
      </c>
      <c r="O259">
        <v>4.6576618537494188</v>
      </c>
      <c r="P259">
        <v>1</v>
      </c>
      <c r="Q259">
        <v>0.20030575667655801</v>
      </c>
      <c r="R259">
        <v>0.20030575667655801</v>
      </c>
      <c r="S259">
        <v>0.22020367952522271</v>
      </c>
      <c r="T259">
        <v>0.24142813056379819</v>
      </c>
      <c r="U259">
        <v>0.25071382789317492</v>
      </c>
      <c r="V259">
        <v>0.26132605341246301</v>
      </c>
      <c r="W259">
        <v>0.27061175074183957</v>
      </c>
      <c r="X259">
        <v>635.89595462439217</v>
      </c>
      <c r="Y259">
        <v>635.89595462439217</v>
      </c>
      <c r="Z259">
        <v>598.19742487596693</v>
      </c>
      <c r="AA259">
        <v>566.18923924051046</v>
      </c>
      <c r="AB259">
        <v>553.38596498632808</v>
      </c>
      <c r="AC259">
        <v>540.58269073214626</v>
      </c>
      <c r="AD259">
        <v>527.77941647796388</v>
      </c>
      <c r="AE259">
        <v>18.020323995556069</v>
      </c>
      <c r="AF259">
        <v>18.020323995556069</v>
      </c>
      <c r="AG259">
        <v>18.020323995556069</v>
      </c>
      <c r="AH259">
        <v>18.020323995556069</v>
      </c>
      <c r="AI259">
        <v>18.020323995556069</v>
      </c>
      <c r="AJ259">
        <v>18.020323995556069</v>
      </c>
      <c r="AK259">
        <v>18.020323995556069</v>
      </c>
    </row>
    <row r="260" spans="1:37" x14ac:dyDescent="0.25">
      <c r="A260" t="s">
        <v>90</v>
      </c>
      <c r="B260" t="s">
        <v>91</v>
      </c>
      <c r="C260" t="s">
        <v>273</v>
      </c>
      <c r="F260" t="s">
        <v>215</v>
      </c>
      <c r="G260" t="s">
        <v>133</v>
      </c>
      <c r="H260" t="s">
        <v>134</v>
      </c>
      <c r="I260" t="s">
        <v>274</v>
      </c>
      <c r="J260" t="s">
        <v>280</v>
      </c>
      <c r="K260" t="s">
        <v>98</v>
      </c>
      <c r="L260">
        <v>1</v>
      </c>
      <c r="M260">
        <v>1</v>
      </c>
      <c r="N260">
        <v>2020</v>
      </c>
      <c r="O260">
        <v>4.6576618537494188</v>
      </c>
      <c r="P260">
        <v>0.89763779527559173</v>
      </c>
      <c r="Q260">
        <v>0.2175506231454005</v>
      </c>
      <c r="R260">
        <v>0.2175506231454005</v>
      </c>
      <c r="S260">
        <v>0.24010160237388731</v>
      </c>
      <c r="T260">
        <v>0.25867299703264102</v>
      </c>
      <c r="U260">
        <v>0.26663216617210689</v>
      </c>
      <c r="V260">
        <v>0.27591786350148362</v>
      </c>
      <c r="W260">
        <v>0.28387703264094938</v>
      </c>
      <c r="X260">
        <v>537.02622566153968</v>
      </c>
      <c r="Y260">
        <v>537.02622566153968</v>
      </c>
      <c r="Z260">
        <v>500.03898892723481</v>
      </c>
      <c r="AA260">
        <v>476.56631946123417</v>
      </c>
      <c r="AB260">
        <v>466.60821726353652</v>
      </c>
      <c r="AC260">
        <v>456.65011506583892</v>
      </c>
      <c r="AD260">
        <v>446.69201286814172</v>
      </c>
      <c r="AE260">
        <v>18.020323995556069</v>
      </c>
      <c r="AF260">
        <v>18.020323995556069</v>
      </c>
      <c r="AG260">
        <v>18.020323995556069</v>
      </c>
      <c r="AH260">
        <v>18.020323995556069</v>
      </c>
      <c r="AI260">
        <v>18.020323995556069</v>
      </c>
      <c r="AJ260">
        <v>18.020323995556069</v>
      </c>
      <c r="AK260">
        <v>18.020323995556069</v>
      </c>
    </row>
    <row r="261" spans="1:37" x14ac:dyDescent="0.25">
      <c r="A261" t="s">
        <v>90</v>
      </c>
      <c r="B261" t="s">
        <v>91</v>
      </c>
      <c r="C261" t="s">
        <v>273</v>
      </c>
      <c r="F261" t="s">
        <v>215</v>
      </c>
      <c r="G261" t="s">
        <v>211</v>
      </c>
      <c r="H261" t="s">
        <v>212</v>
      </c>
      <c r="I261" t="s">
        <v>274</v>
      </c>
      <c r="J261" t="s">
        <v>280</v>
      </c>
      <c r="K261" t="s">
        <v>98</v>
      </c>
      <c r="L261">
        <v>0</v>
      </c>
      <c r="M261">
        <v>1</v>
      </c>
      <c r="N261">
        <v>2020</v>
      </c>
      <c r="O261">
        <v>4.6576618537494188</v>
      </c>
      <c r="P261">
        <v>0.1023622047244083</v>
      </c>
      <c r="Q261">
        <v>0.2175506231454005</v>
      </c>
      <c r="R261">
        <v>0.2175506231454005</v>
      </c>
      <c r="S261">
        <v>0.24010160237388731</v>
      </c>
      <c r="T261">
        <v>0.25867299703264102</v>
      </c>
      <c r="U261">
        <v>0.26663216617210689</v>
      </c>
      <c r="V261">
        <v>0.27591786350148362</v>
      </c>
      <c r="W261">
        <v>0.28387703264094938</v>
      </c>
      <c r="X261">
        <v>537.02622566153968</v>
      </c>
      <c r="Y261">
        <v>537.02622566153968</v>
      </c>
      <c r="Z261">
        <v>500.03898892723481</v>
      </c>
      <c r="AA261">
        <v>476.56631946123417</v>
      </c>
      <c r="AB261">
        <v>466.60821726353652</v>
      </c>
      <c r="AC261">
        <v>456.65011506583892</v>
      </c>
      <c r="AD261">
        <v>446.69201286814172</v>
      </c>
      <c r="AE261">
        <v>18.020323995556069</v>
      </c>
      <c r="AF261">
        <v>18.020323995556069</v>
      </c>
      <c r="AG261">
        <v>18.020323995556069</v>
      </c>
      <c r="AH261">
        <v>18.020323995556069</v>
      </c>
      <c r="AI261">
        <v>18.020323995556069</v>
      </c>
      <c r="AJ261">
        <v>18.020323995556069</v>
      </c>
      <c r="AK261">
        <v>18.020323995556069</v>
      </c>
    </row>
    <row r="262" spans="1:37" x14ac:dyDescent="0.25">
      <c r="A262" t="s">
        <v>90</v>
      </c>
      <c r="B262" t="s">
        <v>91</v>
      </c>
      <c r="C262" t="s">
        <v>273</v>
      </c>
      <c r="F262" t="s">
        <v>217</v>
      </c>
      <c r="G262" t="s">
        <v>211</v>
      </c>
      <c r="H262" t="s">
        <v>212</v>
      </c>
      <c r="I262" t="s">
        <v>274</v>
      </c>
      <c r="J262" t="s">
        <v>281</v>
      </c>
      <c r="K262" t="s">
        <v>98</v>
      </c>
      <c r="L262">
        <v>1</v>
      </c>
      <c r="M262">
        <v>1</v>
      </c>
      <c r="N262">
        <v>2020</v>
      </c>
      <c r="O262">
        <v>4.6576618537494188</v>
      </c>
      <c r="P262">
        <v>1</v>
      </c>
      <c r="Q262">
        <v>0.36877483679525219</v>
      </c>
      <c r="R262">
        <v>0.36877483679525219</v>
      </c>
      <c r="S262">
        <v>0.40061151335311579</v>
      </c>
      <c r="T262">
        <v>0.43510124629080099</v>
      </c>
      <c r="U262">
        <v>0.44969305637982182</v>
      </c>
      <c r="V262">
        <v>0.46428486646884271</v>
      </c>
      <c r="W262">
        <v>0.48152973293768542</v>
      </c>
      <c r="X262">
        <v>508.57450509669002</v>
      </c>
      <c r="Y262">
        <v>508.57450509669002</v>
      </c>
      <c r="Z262">
        <v>462.34045917880923</v>
      </c>
      <c r="AA262">
        <v>437.44520368456551</v>
      </c>
      <c r="AB262">
        <v>426.06451545862558</v>
      </c>
      <c r="AC262">
        <v>414.6838272326857</v>
      </c>
      <c r="AD262">
        <v>403.30313900674582</v>
      </c>
      <c r="AE262">
        <v>11.60631037001917</v>
      </c>
      <c r="AF262">
        <v>11.60631037001917</v>
      </c>
      <c r="AG262">
        <v>11.60631037001917</v>
      </c>
      <c r="AH262">
        <v>11.60631037001917</v>
      </c>
      <c r="AI262">
        <v>11.60631037001917</v>
      </c>
      <c r="AJ262">
        <v>11.60631037001917</v>
      </c>
      <c r="AK262">
        <v>11.60631037001917</v>
      </c>
    </row>
    <row r="263" spans="1:37" x14ac:dyDescent="0.25">
      <c r="A263" t="s">
        <v>90</v>
      </c>
      <c r="B263" t="s">
        <v>282</v>
      </c>
      <c r="C263" t="s">
        <v>283</v>
      </c>
      <c r="F263" t="s">
        <v>202</v>
      </c>
      <c r="G263" t="s">
        <v>119</v>
      </c>
      <c r="H263" t="s">
        <v>120</v>
      </c>
      <c r="I263" t="s">
        <v>284</v>
      </c>
      <c r="J263" t="s">
        <v>285</v>
      </c>
      <c r="K263" t="s">
        <v>98</v>
      </c>
      <c r="L263">
        <v>1</v>
      </c>
      <c r="M263">
        <v>1</v>
      </c>
      <c r="N263">
        <v>2020</v>
      </c>
      <c r="O263">
        <v>8</v>
      </c>
      <c r="P263">
        <v>1</v>
      </c>
      <c r="Q263">
        <v>0.14459157270029679</v>
      </c>
      <c r="R263">
        <v>0.14459157270029679</v>
      </c>
      <c r="S263">
        <v>0.1578568545994066</v>
      </c>
      <c r="T263">
        <v>0.1711221364985164</v>
      </c>
      <c r="U263">
        <v>0.1804078338278931</v>
      </c>
      <c r="V263">
        <v>0.18836700296735909</v>
      </c>
      <c r="W263">
        <v>0.1963261721068249</v>
      </c>
      <c r="X263">
        <v>421.08546435977678</v>
      </c>
      <c r="Y263">
        <v>421.08546435977678</v>
      </c>
      <c r="Z263">
        <v>423.93063641626179</v>
      </c>
      <c r="AA263">
        <v>423.21934340214051</v>
      </c>
      <c r="AB263">
        <v>423.93063641626179</v>
      </c>
      <c r="AC263">
        <v>424.64192943038302</v>
      </c>
      <c r="AD263">
        <v>426.06451545862558</v>
      </c>
      <c r="AE263">
        <v>10.491571958288359</v>
      </c>
      <c r="AF263">
        <v>10.491571958288359</v>
      </c>
      <c r="AG263">
        <v>10.491571958288359</v>
      </c>
      <c r="AH263">
        <v>10.491571958288359</v>
      </c>
      <c r="AI263">
        <v>10.491571958288359</v>
      </c>
      <c r="AJ263">
        <v>10.491571958288359</v>
      </c>
      <c r="AK263">
        <v>10.491571958288359</v>
      </c>
    </row>
    <row r="264" spans="1:37" x14ac:dyDescent="0.25">
      <c r="A264" t="s">
        <v>90</v>
      </c>
      <c r="B264" t="s">
        <v>282</v>
      </c>
      <c r="C264" t="s">
        <v>283</v>
      </c>
      <c r="F264" t="s">
        <v>202</v>
      </c>
      <c r="G264" t="s">
        <v>122</v>
      </c>
      <c r="H264" t="s">
        <v>123</v>
      </c>
      <c r="I264" t="s">
        <v>284</v>
      </c>
      <c r="J264" t="s">
        <v>285</v>
      </c>
      <c r="K264" t="s">
        <v>98</v>
      </c>
      <c r="L264">
        <v>0</v>
      </c>
      <c r="M264">
        <v>1</v>
      </c>
      <c r="N264">
        <v>2020</v>
      </c>
      <c r="O264">
        <v>8</v>
      </c>
      <c r="P264">
        <v>1</v>
      </c>
      <c r="Q264">
        <v>0.14459157270029679</v>
      </c>
      <c r="R264">
        <v>0.14459157270029679</v>
      </c>
      <c r="S264">
        <v>0.1578568545994066</v>
      </c>
      <c r="T264">
        <v>0.1711221364985164</v>
      </c>
      <c r="U264">
        <v>0.1804078338278931</v>
      </c>
      <c r="V264">
        <v>0.18836700296735909</v>
      </c>
      <c r="W264">
        <v>0.1963261721068249</v>
      </c>
      <c r="X264">
        <v>421.08546435977678</v>
      </c>
      <c r="Y264">
        <v>421.08546435977678</v>
      </c>
      <c r="Z264">
        <v>423.93063641626179</v>
      </c>
      <c r="AA264">
        <v>423.21934340214051</v>
      </c>
      <c r="AB264">
        <v>423.93063641626179</v>
      </c>
      <c r="AC264">
        <v>424.64192943038302</v>
      </c>
      <c r="AD264">
        <v>426.06451545862558</v>
      </c>
      <c r="AE264">
        <v>10.491571958288359</v>
      </c>
      <c r="AF264">
        <v>10.491571958288359</v>
      </c>
      <c r="AG264">
        <v>10.491571958288359</v>
      </c>
      <c r="AH264">
        <v>10.491571958288359</v>
      </c>
      <c r="AI264">
        <v>10.491571958288359</v>
      </c>
      <c r="AJ264">
        <v>10.491571958288359</v>
      </c>
      <c r="AK264">
        <v>10.491571958288359</v>
      </c>
    </row>
    <row r="265" spans="1:37" x14ac:dyDescent="0.25">
      <c r="A265" t="s">
        <v>90</v>
      </c>
      <c r="B265" t="s">
        <v>282</v>
      </c>
      <c r="C265" t="s">
        <v>283</v>
      </c>
      <c r="F265" t="s">
        <v>202</v>
      </c>
      <c r="G265" t="s">
        <v>124</v>
      </c>
      <c r="H265" t="s">
        <v>125</v>
      </c>
      <c r="I265" t="s">
        <v>284</v>
      </c>
      <c r="J265" t="s">
        <v>285</v>
      </c>
      <c r="K265" t="s">
        <v>98</v>
      </c>
      <c r="L265">
        <v>0</v>
      </c>
      <c r="M265">
        <v>1</v>
      </c>
      <c r="N265">
        <v>2020</v>
      </c>
      <c r="O265">
        <v>8</v>
      </c>
      <c r="P265">
        <v>0.1</v>
      </c>
      <c r="Q265">
        <v>0.14459157270029679</v>
      </c>
      <c r="R265">
        <v>0.14459157270029679</v>
      </c>
      <c r="S265">
        <v>0.1578568545994066</v>
      </c>
      <c r="T265">
        <v>0.1711221364985164</v>
      </c>
      <c r="U265">
        <v>0.1804078338278931</v>
      </c>
      <c r="V265">
        <v>0.18836700296735909</v>
      </c>
      <c r="W265">
        <v>0.1963261721068249</v>
      </c>
      <c r="X265">
        <v>421.08546435977678</v>
      </c>
      <c r="Y265">
        <v>421.08546435977678</v>
      </c>
      <c r="Z265">
        <v>423.93063641626179</v>
      </c>
      <c r="AA265">
        <v>423.21934340214051</v>
      </c>
      <c r="AB265">
        <v>423.93063641626179</v>
      </c>
      <c r="AC265">
        <v>424.64192943038302</v>
      </c>
      <c r="AD265">
        <v>426.06451545862558</v>
      </c>
      <c r="AE265">
        <v>10.491571958288359</v>
      </c>
      <c r="AF265">
        <v>10.491571958288359</v>
      </c>
      <c r="AG265">
        <v>10.491571958288359</v>
      </c>
      <c r="AH265">
        <v>10.491571958288359</v>
      </c>
      <c r="AI265">
        <v>10.491571958288359</v>
      </c>
      <c r="AJ265">
        <v>10.491571958288359</v>
      </c>
      <c r="AK265">
        <v>10.491571958288359</v>
      </c>
    </row>
    <row r="266" spans="1:37" x14ac:dyDescent="0.25">
      <c r="A266" t="s">
        <v>90</v>
      </c>
      <c r="B266" t="s">
        <v>282</v>
      </c>
      <c r="C266" t="s">
        <v>283</v>
      </c>
      <c r="F266" t="s">
        <v>205</v>
      </c>
      <c r="G266" t="s">
        <v>119</v>
      </c>
      <c r="H266" t="s">
        <v>120</v>
      </c>
      <c r="I266" t="s">
        <v>284</v>
      </c>
      <c r="J266" t="s">
        <v>286</v>
      </c>
      <c r="K266" t="s">
        <v>98</v>
      </c>
      <c r="L266">
        <v>1</v>
      </c>
      <c r="M266">
        <v>1</v>
      </c>
      <c r="N266">
        <v>2020</v>
      </c>
      <c r="O266">
        <v>8</v>
      </c>
      <c r="P266">
        <v>1</v>
      </c>
      <c r="Q266">
        <v>0.14459157270029679</v>
      </c>
      <c r="R266">
        <v>0.14459157270029679</v>
      </c>
      <c r="S266">
        <v>0.1578568545994066</v>
      </c>
      <c r="T266">
        <v>0.17244866468842729</v>
      </c>
      <c r="U266">
        <v>0.1804078338278931</v>
      </c>
      <c r="V266">
        <v>0.18836700296735909</v>
      </c>
      <c r="W266">
        <v>0.19765270029673601</v>
      </c>
      <c r="X266">
        <v>461.62916616468777</v>
      </c>
      <c r="Y266">
        <v>461.62916616468777</v>
      </c>
      <c r="Z266">
        <v>465.18563123529401</v>
      </c>
      <c r="AA266">
        <v>463.7630452070515</v>
      </c>
      <c r="AB266">
        <v>463.7630452070515</v>
      </c>
      <c r="AC266">
        <v>464.47433822117279</v>
      </c>
      <c r="AD266">
        <v>465.18563123529401</v>
      </c>
      <c r="AE266">
        <v>10.491571958288359</v>
      </c>
      <c r="AF266">
        <v>10.491571958288359</v>
      </c>
      <c r="AG266">
        <v>10.491571958288359</v>
      </c>
      <c r="AH266">
        <v>10.491571958288359</v>
      </c>
      <c r="AI266">
        <v>10.491571958288359</v>
      </c>
      <c r="AJ266">
        <v>10.491571958288359</v>
      </c>
      <c r="AK266">
        <v>10.491571958288359</v>
      </c>
    </row>
    <row r="267" spans="1:37" x14ac:dyDescent="0.25">
      <c r="A267" t="s">
        <v>90</v>
      </c>
      <c r="B267" t="s">
        <v>282</v>
      </c>
      <c r="C267" t="s">
        <v>283</v>
      </c>
      <c r="F267" t="s">
        <v>205</v>
      </c>
      <c r="G267" t="s">
        <v>122</v>
      </c>
      <c r="H267" t="s">
        <v>123</v>
      </c>
      <c r="I267" t="s">
        <v>284</v>
      </c>
      <c r="J267" t="s">
        <v>286</v>
      </c>
      <c r="K267" t="s">
        <v>98</v>
      </c>
      <c r="L267">
        <v>0</v>
      </c>
      <c r="M267">
        <v>1</v>
      </c>
      <c r="N267">
        <v>2020</v>
      </c>
      <c r="O267">
        <v>8</v>
      </c>
      <c r="P267">
        <v>1</v>
      </c>
      <c r="Q267">
        <v>0.14459157270029679</v>
      </c>
      <c r="R267">
        <v>0.14459157270029679</v>
      </c>
      <c r="S267">
        <v>0.1578568545994066</v>
      </c>
      <c r="T267">
        <v>0.17244866468842729</v>
      </c>
      <c r="U267">
        <v>0.1804078338278931</v>
      </c>
      <c r="V267">
        <v>0.18836700296735909</v>
      </c>
      <c r="W267">
        <v>0.19765270029673601</v>
      </c>
      <c r="X267">
        <v>461.62916616468777</v>
      </c>
      <c r="Y267">
        <v>461.62916616468777</v>
      </c>
      <c r="Z267">
        <v>465.18563123529401</v>
      </c>
      <c r="AA267">
        <v>463.7630452070515</v>
      </c>
      <c r="AB267">
        <v>463.7630452070515</v>
      </c>
      <c r="AC267">
        <v>464.47433822117279</v>
      </c>
      <c r="AD267">
        <v>465.18563123529401</v>
      </c>
      <c r="AE267">
        <v>10.491571958288359</v>
      </c>
      <c r="AF267">
        <v>10.491571958288359</v>
      </c>
      <c r="AG267">
        <v>10.491571958288359</v>
      </c>
      <c r="AH267">
        <v>10.491571958288359</v>
      </c>
      <c r="AI267">
        <v>10.491571958288359</v>
      </c>
      <c r="AJ267">
        <v>10.491571958288359</v>
      </c>
      <c r="AK267">
        <v>10.491571958288359</v>
      </c>
    </row>
    <row r="268" spans="1:37" x14ac:dyDescent="0.25">
      <c r="A268" t="s">
        <v>90</v>
      </c>
      <c r="B268" t="s">
        <v>282</v>
      </c>
      <c r="C268" t="s">
        <v>283</v>
      </c>
      <c r="F268" t="s">
        <v>205</v>
      </c>
      <c r="G268" t="s">
        <v>124</v>
      </c>
      <c r="H268" t="s">
        <v>125</v>
      </c>
      <c r="I268" t="s">
        <v>284</v>
      </c>
      <c r="J268" t="s">
        <v>286</v>
      </c>
      <c r="K268" t="s">
        <v>98</v>
      </c>
      <c r="L268">
        <v>0</v>
      </c>
      <c r="M268">
        <v>1</v>
      </c>
      <c r="N268">
        <v>2020</v>
      </c>
      <c r="O268">
        <v>8</v>
      </c>
      <c r="P268">
        <v>0.1</v>
      </c>
      <c r="Q268">
        <v>0.14459157270029679</v>
      </c>
      <c r="R268">
        <v>0.14459157270029679</v>
      </c>
      <c r="S268">
        <v>0.1578568545994066</v>
      </c>
      <c r="T268">
        <v>0.17244866468842729</v>
      </c>
      <c r="U268">
        <v>0.1804078338278931</v>
      </c>
      <c r="V268">
        <v>0.18836700296735909</v>
      </c>
      <c r="W268">
        <v>0.19765270029673601</v>
      </c>
      <c r="X268">
        <v>461.62916616468777</v>
      </c>
      <c r="Y268">
        <v>461.62916616468777</v>
      </c>
      <c r="Z268">
        <v>465.18563123529401</v>
      </c>
      <c r="AA268">
        <v>463.7630452070515</v>
      </c>
      <c r="AB268">
        <v>463.7630452070515</v>
      </c>
      <c r="AC268">
        <v>464.47433822117279</v>
      </c>
      <c r="AD268">
        <v>465.18563123529401</v>
      </c>
      <c r="AE268">
        <v>10.491571958288359</v>
      </c>
      <c r="AF268">
        <v>10.491571958288359</v>
      </c>
      <c r="AG268">
        <v>10.491571958288359</v>
      </c>
      <c r="AH268">
        <v>10.491571958288359</v>
      </c>
      <c r="AI268">
        <v>10.491571958288359</v>
      </c>
      <c r="AJ268">
        <v>10.491571958288359</v>
      </c>
      <c r="AK268">
        <v>10.491571958288359</v>
      </c>
    </row>
    <row r="269" spans="1:37" x14ac:dyDescent="0.25">
      <c r="A269" t="s">
        <v>90</v>
      </c>
      <c r="B269" t="s">
        <v>282</v>
      </c>
      <c r="C269" t="s">
        <v>283</v>
      </c>
      <c r="F269" t="s">
        <v>207</v>
      </c>
      <c r="G269" t="s">
        <v>119</v>
      </c>
      <c r="H269" t="s">
        <v>120</v>
      </c>
      <c r="I269" t="s">
        <v>284</v>
      </c>
      <c r="J269" t="s">
        <v>287</v>
      </c>
      <c r="K269" t="s">
        <v>98</v>
      </c>
      <c r="L269">
        <v>1</v>
      </c>
      <c r="M269">
        <v>1</v>
      </c>
      <c r="N269">
        <v>2020</v>
      </c>
      <c r="O269">
        <v>8</v>
      </c>
      <c r="P269">
        <v>1</v>
      </c>
      <c r="Q269">
        <v>0.14591810089020771</v>
      </c>
      <c r="R269">
        <v>0.14591810089020771</v>
      </c>
      <c r="S269">
        <v>0.16183643916913951</v>
      </c>
      <c r="T269">
        <v>0.1764282492581602</v>
      </c>
      <c r="U269">
        <v>0.18704047477744801</v>
      </c>
      <c r="V269">
        <v>0.1963261721068249</v>
      </c>
      <c r="W269">
        <v>0.2056118694362018</v>
      </c>
      <c r="X269">
        <v>465.89692424941529</v>
      </c>
      <c r="Y269">
        <v>465.89692424941529</v>
      </c>
      <c r="Z269">
        <v>464.47433822117279</v>
      </c>
      <c r="AA269">
        <v>460.91787315056649</v>
      </c>
      <c r="AB269">
        <v>459.49528712232399</v>
      </c>
      <c r="AC269">
        <v>458.78399410820282</v>
      </c>
      <c r="AD269">
        <v>458.07270109408159</v>
      </c>
      <c r="AE269">
        <v>10.491571958288359</v>
      </c>
      <c r="AF269">
        <v>10.491571958288359</v>
      </c>
      <c r="AG269">
        <v>10.491571958288359</v>
      </c>
      <c r="AH269">
        <v>10.491571958288359</v>
      </c>
      <c r="AI269">
        <v>10.491571958288359</v>
      </c>
      <c r="AJ269">
        <v>10.491571958288359</v>
      </c>
      <c r="AK269">
        <v>10.491571958288359</v>
      </c>
    </row>
    <row r="270" spans="1:37" x14ac:dyDescent="0.25">
      <c r="A270" t="s">
        <v>90</v>
      </c>
      <c r="B270" t="s">
        <v>282</v>
      </c>
      <c r="C270" t="s">
        <v>283</v>
      </c>
      <c r="F270" t="s">
        <v>207</v>
      </c>
      <c r="G270" t="s">
        <v>122</v>
      </c>
      <c r="H270" t="s">
        <v>123</v>
      </c>
      <c r="I270" t="s">
        <v>284</v>
      </c>
      <c r="J270" t="s">
        <v>287</v>
      </c>
      <c r="K270" t="s">
        <v>98</v>
      </c>
      <c r="L270">
        <v>0</v>
      </c>
      <c r="M270">
        <v>1</v>
      </c>
      <c r="N270">
        <v>2020</v>
      </c>
      <c r="O270">
        <v>8</v>
      </c>
      <c r="P270">
        <v>1</v>
      </c>
      <c r="Q270">
        <v>0.14591810089020771</v>
      </c>
      <c r="R270">
        <v>0.14591810089020771</v>
      </c>
      <c r="S270">
        <v>0.16183643916913951</v>
      </c>
      <c r="T270">
        <v>0.1764282492581602</v>
      </c>
      <c r="U270">
        <v>0.18704047477744801</v>
      </c>
      <c r="V270">
        <v>0.1963261721068249</v>
      </c>
      <c r="W270">
        <v>0.2056118694362018</v>
      </c>
      <c r="X270">
        <v>465.89692424941529</v>
      </c>
      <c r="Y270">
        <v>465.89692424941529</v>
      </c>
      <c r="Z270">
        <v>464.47433822117279</v>
      </c>
      <c r="AA270">
        <v>460.91787315056649</v>
      </c>
      <c r="AB270">
        <v>459.49528712232399</v>
      </c>
      <c r="AC270">
        <v>458.78399410820282</v>
      </c>
      <c r="AD270">
        <v>458.07270109408159</v>
      </c>
      <c r="AE270">
        <v>10.491571958288359</v>
      </c>
      <c r="AF270">
        <v>10.491571958288359</v>
      </c>
      <c r="AG270">
        <v>10.491571958288359</v>
      </c>
      <c r="AH270">
        <v>10.491571958288359</v>
      </c>
      <c r="AI270">
        <v>10.491571958288359</v>
      </c>
      <c r="AJ270">
        <v>10.491571958288359</v>
      </c>
      <c r="AK270">
        <v>10.491571958288359</v>
      </c>
    </row>
    <row r="271" spans="1:37" x14ac:dyDescent="0.25">
      <c r="A271" t="s">
        <v>90</v>
      </c>
      <c r="B271" t="s">
        <v>282</v>
      </c>
      <c r="C271" t="s">
        <v>283</v>
      </c>
      <c r="F271" t="s">
        <v>207</v>
      </c>
      <c r="G271" t="s">
        <v>124</v>
      </c>
      <c r="H271" t="s">
        <v>125</v>
      </c>
      <c r="I271" t="s">
        <v>284</v>
      </c>
      <c r="J271" t="s">
        <v>287</v>
      </c>
      <c r="K271" t="s">
        <v>98</v>
      </c>
      <c r="L271">
        <v>0</v>
      </c>
      <c r="M271">
        <v>1</v>
      </c>
      <c r="N271">
        <v>2020</v>
      </c>
      <c r="O271">
        <v>8</v>
      </c>
      <c r="P271">
        <v>0.1</v>
      </c>
      <c r="Q271">
        <v>0.14591810089020771</v>
      </c>
      <c r="R271">
        <v>0.14591810089020771</v>
      </c>
      <c r="S271">
        <v>0.16183643916913951</v>
      </c>
      <c r="T271">
        <v>0.1764282492581602</v>
      </c>
      <c r="U271">
        <v>0.18704047477744801</v>
      </c>
      <c r="V271">
        <v>0.1963261721068249</v>
      </c>
      <c r="W271">
        <v>0.2056118694362018</v>
      </c>
      <c r="X271">
        <v>465.89692424941529</v>
      </c>
      <c r="Y271">
        <v>465.89692424941529</v>
      </c>
      <c r="Z271">
        <v>464.47433822117279</v>
      </c>
      <c r="AA271">
        <v>460.91787315056649</v>
      </c>
      <c r="AB271">
        <v>459.49528712232399</v>
      </c>
      <c r="AC271">
        <v>458.78399410820282</v>
      </c>
      <c r="AD271">
        <v>458.07270109408159</v>
      </c>
      <c r="AE271">
        <v>10.491571958288359</v>
      </c>
      <c r="AF271">
        <v>10.491571958288359</v>
      </c>
      <c r="AG271">
        <v>10.491571958288359</v>
      </c>
      <c r="AH271">
        <v>10.491571958288359</v>
      </c>
      <c r="AI271">
        <v>10.491571958288359</v>
      </c>
      <c r="AJ271">
        <v>10.491571958288359</v>
      </c>
      <c r="AK271">
        <v>10.491571958288359</v>
      </c>
    </row>
    <row r="272" spans="1:37" x14ac:dyDescent="0.25">
      <c r="A272" t="s">
        <v>90</v>
      </c>
      <c r="B272" t="s">
        <v>282</v>
      </c>
      <c r="C272" t="s">
        <v>283</v>
      </c>
      <c r="F272" t="s">
        <v>209</v>
      </c>
      <c r="G272" t="s">
        <v>119</v>
      </c>
      <c r="H272" t="s">
        <v>120</v>
      </c>
      <c r="I272" t="s">
        <v>284</v>
      </c>
      <c r="J272" t="s">
        <v>288</v>
      </c>
      <c r="K272" t="s">
        <v>98</v>
      </c>
      <c r="L272">
        <v>1</v>
      </c>
      <c r="M272">
        <v>1</v>
      </c>
      <c r="N272">
        <v>2020</v>
      </c>
      <c r="O272">
        <v>8</v>
      </c>
      <c r="P272">
        <v>0.30952380952381148</v>
      </c>
      <c r="Q272">
        <v>0.29979537091988079</v>
      </c>
      <c r="R272">
        <v>0.29979537091988079</v>
      </c>
      <c r="S272">
        <v>0.33030551928783392</v>
      </c>
      <c r="T272">
        <v>0.35816261127596438</v>
      </c>
      <c r="U272">
        <v>0.37408094955489479</v>
      </c>
      <c r="V272">
        <v>0.3899992878338272</v>
      </c>
      <c r="W272">
        <v>0.4059176261127605</v>
      </c>
      <c r="X272">
        <v>515.68743523790056</v>
      </c>
      <c r="Y272">
        <v>515.68743523790056</v>
      </c>
      <c r="Z272">
        <v>484.39054261656662</v>
      </c>
      <c r="AA272">
        <v>464.47433822117449</v>
      </c>
      <c r="AB272">
        <v>456.65011506583812</v>
      </c>
      <c r="AC272">
        <v>449.53718492462809</v>
      </c>
      <c r="AD272">
        <v>441.71296176929172</v>
      </c>
      <c r="AE272">
        <v>10.491571958288329</v>
      </c>
      <c r="AF272">
        <v>10.491571958288329</v>
      </c>
      <c r="AG272">
        <v>10.491571958288329</v>
      </c>
      <c r="AH272">
        <v>10.491571958288329</v>
      </c>
      <c r="AI272">
        <v>10.491571958288329</v>
      </c>
      <c r="AJ272">
        <v>10.491571958288329</v>
      </c>
      <c r="AK272">
        <v>10.491571958288329</v>
      </c>
    </row>
    <row r="273" spans="1:37" x14ac:dyDescent="0.25">
      <c r="A273" t="s">
        <v>90</v>
      </c>
      <c r="B273" t="s">
        <v>282</v>
      </c>
      <c r="C273" t="s">
        <v>283</v>
      </c>
      <c r="F273" t="s">
        <v>209</v>
      </c>
      <c r="G273" t="s">
        <v>122</v>
      </c>
      <c r="H273" t="s">
        <v>123</v>
      </c>
      <c r="I273" t="s">
        <v>284</v>
      </c>
      <c r="J273" t="s">
        <v>288</v>
      </c>
      <c r="K273" t="s">
        <v>98</v>
      </c>
      <c r="L273">
        <v>0</v>
      </c>
      <c r="M273">
        <v>1</v>
      </c>
      <c r="N273">
        <v>2020</v>
      </c>
      <c r="O273">
        <v>8</v>
      </c>
      <c r="P273">
        <v>0.30952380952381148</v>
      </c>
      <c r="Q273">
        <v>0.29979537091988079</v>
      </c>
      <c r="R273">
        <v>0.29979537091988079</v>
      </c>
      <c r="S273">
        <v>0.33030551928783392</v>
      </c>
      <c r="T273">
        <v>0.35816261127596438</v>
      </c>
      <c r="U273">
        <v>0.37408094955489479</v>
      </c>
      <c r="V273">
        <v>0.3899992878338272</v>
      </c>
      <c r="W273">
        <v>0.4059176261127605</v>
      </c>
      <c r="X273">
        <v>515.68743523790056</v>
      </c>
      <c r="Y273">
        <v>515.68743523790056</v>
      </c>
      <c r="Z273">
        <v>484.39054261656662</v>
      </c>
      <c r="AA273">
        <v>464.47433822117449</v>
      </c>
      <c r="AB273">
        <v>456.65011506583812</v>
      </c>
      <c r="AC273">
        <v>449.53718492462809</v>
      </c>
      <c r="AD273">
        <v>441.71296176929172</v>
      </c>
      <c r="AE273">
        <v>10.491571958288329</v>
      </c>
      <c r="AF273">
        <v>10.491571958288329</v>
      </c>
      <c r="AG273">
        <v>10.491571958288329</v>
      </c>
      <c r="AH273">
        <v>10.491571958288329</v>
      </c>
      <c r="AI273">
        <v>10.491571958288329</v>
      </c>
      <c r="AJ273">
        <v>10.491571958288329</v>
      </c>
      <c r="AK273">
        <v>10.491571958288329</v>
      </c>
    </row>
    <row r="274" spans="1:37" x14ac:dyDescent="0.25">
      <c r="A274" t="s">
        <v>90</v>
      </c>
      <c r="B274" t="s">
        <v>282</v>
      </c>
      <c r="C274" t="s">
        <v>283</v>
      </c>
      <c r="F274" t="s">
        <v>209</v>
      </c>
      <c r="G274" t="s">
        <v>124</v>
      </c>
      <c r="H274" t="s">
        <v>125</v>
      </c>
      <c r="I274" t="s">
        <v>284</v>
      </c>
      <c r="J274" t="s">
        <v>288</v>
      </c>
      <c r="K274" t="s">
        <v>98</v>
      </c>
      <c r="L274">
        <v>0</v>
      </c>
      <c r="M274">
        <v>1</v>
      </c>
      <c r="N274">
        <v>2020</v>
      </c>
      <c r="O274">
        <v>8</v>
      </c>
      <c r="P274">
        <v>0.1</v>
      </c>
      <c r="Q274">
        <v>0.29979537091988079</v>
      </c>
      <c r="R274">
        <v>0.29979537091988079</v>
      </c>
      <c r="S274">
        <v>0.33030551928783392</v>
      </c>
      <c r="T274">
        <v>0.35816261127596438</v>
      </c>
      <c r="U274">
        <v>0.37408094955489479</v>
      </c>
      <c r="V274">
        <v>0.3899992878338272</v>
      </c>
      <c r="W274">
        <v>0.4059176261127605</v>
      </c>
      <c r="X274">
        <v>515.68743523790056</v>
      </c>
      <c r="Y274">
        <v>515.68743523790056</v>
      </c>
      <c r="Z274">
        <v>484.39054261656662</v>
      </c>
      <c r="AA274">
        <v>464.47433822117449</v>
      </c>
      <c r="AB274">
        <v>456.65011506583812</v>
      </c>
      <c r="AC274">
        <v>449.53718492462809</v>
      </c>
      <c r="AD274">
        <v>441.71296176929172</v>
      </c>
      <c r="AE274">
        <v>10.491571958288329</v>
      </c>
      <c r="AF274">
        <v>10.491571958288329</v>
      </c>
      <c r="AG274">
        <v>10.491571958288329</v>
      </c>
      <c r="AH274">
        <v>10.491571958288329</v>
      </c>
      <c r="AI274">
        <v>10.491571958288329</v>
      </c>
      <c r="AJ274">
        <v>10.491571958288329</v>
      </c>
      <c r="AK274">
        <v>10.491571958288329</v>
      </c>
    </row>
    <row r="275" spans="1:37" x14ac:dyDescent="0.25">
      <c r="A275" t="s">
        <v>90</v>
      </c>
      <c r="B275" t="s">
        <v>282</v>
      </c>
      <c r="C275" t="s">
        <v>283</v>
      </c>
      <c r="F275" t="s">
        <v>209</v>
      </c>
      <c r="G275" t="s">
        <v>211</v>
      </c>
      <c r="H275" t="s">
        <v>212</v>
      </c>
      <c r="I275" t="s">
        <v>284</v>
      </c>
      <c r="J275" t="s">
        <v>288</v>
      </c>
      <c r="K275" t="s">
        <v>98</v>
      </c>
      <c r="L275">
        <v>0</v>
      </c>
      <c r="M275">
        <v>1</v>
      </c>
      <c r="N275">
        <v>2020</v>
      </c>
      <c r="O275">
        <v>8</v>
      </c>
      <c r="P275">
        <v>0.69047619047618847</v>
      </c>
      <c r="Q275">
        <v>0.29979537091988079</v>
      </c>
      <c r="R275">
        <v>0.29979537091988079</v>
      </c>
      <c r="S275">
        <v>0.33030551928783392</v>
      </c>
      <c r="T275">
        <v>0.35816261127596438</v>
      </c>
      <c r="U275">
        <v>0.37408094955489479</v>
      </c>
      <c r="V275">
        <v>0.3899992878338272</v>
      </c>
      <c r="W275">
        <v>0.4059176261127605</v>
      </c>
      <c r="X275">
        <v>515.68743523790056</v>
      </c>
      <c r="Y275">
        <v>515.68743523790056</v>
      </c>
      <c r="Z275">
        <v>484.39054261656662</v>
      </c>
      <c r="AA275">
        <v>464.47433822117449</v>
      </c>
      <c r="AB275">
        <v>456.65011506583812</v>
      </c>
      <c r="AC275">
        <v>449.53718492462809</v>
      </c>
      <c r="AD275">
        <v>441.71296176929172</v>
      </c>
      <c r="AE275">
        <v>10.491571958288329</v>
      </c>
      <c r="AF275">
        <v>10.491571958288329</v>
      </c>
      <c r="AG275">
        <v>10.491571958288329</v>
      </c>
      <c r="AH275">
        <v>10.491571958288329</v>
      </c>
      <c r="AI275">
        <v>10.491571958288329</v>
      </c>
      <c r="AJ275">
        <v>10.491571958288329</v>
      </c>
      <c r="AK275">
        <v>10.491571958288329</v>
      </c>
    </row>
    <row r="276" spans="1:37" x14ac:dyDescent="0.25">
      <c r="A276" t="s">
        <v>90</v>
      </c>
      <c r="B276" t="s">
        <v>282</v>
      </c>
      <c r="C276" t="s">
        <v>283</v>
      </c>
      <c r="F276" t="s">
        <v>213</v>
      </c>
      <c r="G276" t="s">
        <v>133</v>
      </c>
      <c r="H276" t="s">
        <v>134</v>
      </c>
      <c r="I276" t="s">
        <v>284</v>
      </c>
      <c r="J276" t="s">
        <v>289</v>
      </c>
      <c r="K276" t="s">
        <v>98</v>
      </c>
      <c r="L276">
        <v>1</v>
      </c>
      <c r="M276">
        <v>1</v>
      </c>
      <c r="N276">
        <v>2020</v>
      </c>
      <c r="O276">
        <v>8</v>
      </c>
      <c r="P276">
        <v>1</v>
      </c>
      <c r="Q276">
        <v>0.20030575667655801</v>
      </c>
      <c r="R276">
        <v>0.20030575667655801</v>
      </c>
      <c r="S276">
        <v>0.22020367952522271</v>
      </c>
      <c r="T276">
        <v>0.24142813056379819</v>
      </c>
      <c r="U276">
        <v>0.25071382789317492</v>
      </c>
      <c r="V276">
        <v>0.26132605341246301</v>
      </c>
      <c r="W276">
        <v>0.27061175074183957</v>
      </c>
      <c r="X276">
        <v>635.89595462439217</v>
      </c>
      <c r="Y276">
        <v>635.89595462439217</v>
      </c>
      <c r="Z276">
        <v>598.19742487596693</v>
      </c>
      <c r="AA276">
        <v>566.18923924051046</v>
      </c>
      <c r="AB276">
        <v>553.38596498632808</v>
      </c>
      <c r="AC276">
        <v>540.58269073214626</v>
      </c>
      <c r="AD276">
        <v>527.77941647796388</v>
      </c>
      <c r="AE276">
        <v>10.49157195828835</v>
      </c>
      <c r="AF276">
        <v>10.49157195828835</v>
      </c>
      <c r="AG276">
        <v>10.49157195828835</v>
      </c>
      <c r="AH276">
        <v>10.49157195828835</v>
      </c>
      <c r="AI276">
        <v>10.49157195828835</v>
      </c>
      <c r="AJ276">
        <v>10.49157195828835</v>
      </c>
      <c r="AK276">
        <v>10.49157195828835</v>
      </c>
    </row>
    <row r="277" spans="1:37" x14ac:dyDescent="0.25">
      <c r="A277" t="s">
        <v>90</v>
      </c>
      <c r="B277" t="s">
        <v>282</v>
      </c>
      <c r="C277" t="s">
        <v>283</v>
      </c>
      <c r="F277" t="s">
        <v>215</v>
      </c>
      <c r="G277" t="s">
        <v>133</v>
      </c>
      <c r="H277" t="s">
        <v>134</v>
      </c>
      <c r="I277" t="s">
        <v>284</v>
      </c>
      <c r="J277" t="s">
        <v>290</v>
      </c>
      <c r="K277" t="s">
        <v>98</v>
      </c>
      <c r="L277">
        <v>1</v>
      </c>
      <c r="M277">
        <v>1</v>
      </c>
      <c r="N277">
        <v>2020</v>
      </c>
      <c r="O277">
        <v>8</v>
      </c>
      <c r="P277">
        <v>0.89763779527559173</v>
      </c>
      <c r="Q277">
        <v>0.2175506231454005</v>
      </c>
      <c r="R277">
        <v>0.2175506231454005</v>
      </c>
      <c r="S277">
        <v>0.24010160237388731</v>
      </c>
      <c r="T277">
        <v>0.25867299703264102</v>
      </c>
      <c r="U277">
        <v>0.26663216617210689</v>
      </c>
      <c r="V277">
        <v>0.27591786350148362</v>
      </c>
      <c r="W277">
        <v>0.28387703264094938</v>
      </c>
      <c r="X277">
        <v>537.02622566153968</v>
      </c>
      <c r="Y277">
        <v>537.02622566153968</v>
      </c>
      <c r="Z277">
        <v>500.03898892723481</v>
      </c>
      <c r="AA277">
        <v>476.56631946123417</v>
      </c>
      <c r="AB277">
        <v>466.60821726353652</v>
      </c>
      <c r="AC277">
        <v>456.65011506583892</v>
      </c>
      <c r="AD277">
        <v>446.69201286814172</v>
      </c>
      <c r="AE277">
        <v>10.49157195828835</v>
      </c>
      <c r="AF277">
        <v>10.49157195828835</v>
      </c>
      <c r="AG277">
        <v>10.49157195828835</v>
      </c>
      <c r="AH277">
        <v>10.49157195828835</v>
      </c>
      <c r="AI277">
        <v>10.49157195828835</v>
      </c>
      <c r="AJ277">
        <v>10.49157195828835</v>
      </c>
      <c r="AK277">
        <v>10.49157195828835</v>
      </c>
    </row>
    <row r="278" spans="1:37" x14ac:dyDescent="0.25">
      <c r="A278" t="s">
        <v>90</v>
      </c>
      <c r="B278" t="s">
        <v>282</v>
      </c>
      <c r="C278" t="s">
        <v>283</v>
      </c>
      <c r="F278" t="s">
        <v>215</v>
      </c>
      <c r="G278" t="s">
        <v>211</v>
      </c>
      <c r="H278" t="s">
        <v>212</v>
      </c>
      <c r="I278" t="s">
        <v>284</v>
      </c>
      <c r="J278" t="s">
        <v>290</v>
      </c>
      <c r="K278" t="s">
        <v>98</v>
      </c>
      <c r="L278">
        <v>0</v>
      </c>
      <c r="M278">
        <v>1</v>
      </c>
      <c r="N278">
        <v>2020</v>
      </c>
      <c r="O278">
        <v>8</v>
      </c>
      <c r="P278">
        <v>0.1023622047244083</v>
      </c>
      <c r="Q278">
        <v>0.2175506231454005</v>
      </c>
      <c r="R278">
        <v>0.2175506231454005</v>
      </c>
      <c r="S278">
        <v>0.24010160237388731</v>
      </c>
      <c r="T278">
        <v>0.25867299703264102</v>
      </c>
      <c r="U278">
        <v>0.26663216617210689</v>
      </c>
      <c r="V278">
        <v>0.27591786350148362</v>
      </c>
      <c r="W278">
        <v>0.28387703264094938</v>
      </c>
      <c r="X278">
        <v>537.02622566153968</v>
      </c>
      <c r="Y278">
        <v>537.02622566153968</v>
      </c>
      <c r="Z278">
        <v>500.03898892723481</v>
      </c>
      <c r="AA278">
        <v>476.56631946123417</v>
      </c>
      <c r="AB278">
        <v>466.60821726353652</v>
      </c>
      <c r="AC278">
        <v>456.65011506583892</v>
      </c>
      <c r="AD278">
        <v>446.69201286814172</v>
      </c>
      <c r="AE278">
        <v>10.49157195828835</v>
      </c>
      <c r="AF278">
        <v>10.49157195828835</v>
      </c>
      <c r="AG278">
        <v>10.49157195828835</v>
      </c>
      <c r="AH278">
        <v>10.49157195828835</v>
      </c>
      <c r="AI278">
        <v>10.49157195828835</v>
      </c>
      <c r="AJ278">
        <v>10.49157195828835</v>
      </c>
      <c r="AK278">
        <v>10.49157195828835</v>
      </c>
    </row>
    <row r="279" spans="1:37" x14ac:dyDescent="0.25">
      <c r="A279" t="s">
        <v>90</v>
      </c>
      <c r="B279" t="s">
        <v>282</v>
      </c>
      <c r="C279" t="s">
        <v>283</v>
      </c>
      <c r="F279" t="s">
        <v>217</v>
      </c>
      <c r="G279" t="s">
        <v>211</v>
      </c>
      <c r="H279" t="s">
        <v>212</v>
      </c>
      <c r="I279" t="s">
        <v>284</v>
      </c>
      <c r="J279" t="s">
        <v>291</v>
      </c>
      <c r="K279" t="s">
        <v>98</v>
      </c>
      <c r="L279">
        <v>1</v>
      </c>
      <c r="M279">
        <v>1</v>
      </c>
      <c r="N279">
        <v>2020</v>
      </c>
      <c r="O279">
        <v>8</v>
      </c>
      <c r="P279">
        <v>1</v>
      </c>
      <c r="Q279">
        <v>0.36877483679525219</v>
      </c>
      <c r="R279">
        <v>0.36877483679525219</v>
      </c>
      <c r="S279">
        <v>0.40061151335311579</v>
      </c>
      <c r="T279">
        <v>0.43510124629080099</v>
      </c>
      <c r="U279">
        <v>0.44969305637982182</v>
      </c>
      <c r="V279">
        <v>0.46428486646884271</v>
      </c>
      <c r="W279">
        <v>0.48152973293768542</v>
      </c>
      <c r="X279">
        <v>508.57450509669002</v>
      </c>
      <c r="Y279">
        <v>508.57450509669002</v>
      </c>
      <c r="Z279">
        <v>462.34045917880923</v>
      </c>
      <c r="AA279">
        <v>437.44520368456551</v>
      </c>
      <c r="AB279">
        <v>426.06451545862558</v>
      </c>
      <c r="AC279">
        <v>414.6838272326857</v>
      </c>
      <c r="AD279">
        <v>403.30313900674582</v>
      </c>
      <c r="AE279">
        <v>6.7572836341518263</v>
      </c>
      <c r="AF279">
        <v>6.7572836341518263</v>
      </c>
      <c r="AG279">
        <v>6.7572836341518263</v>
      </c>
      <c r="AH279">
        <v>6.7572836341518263</v>
      </c>
      <c r="AI279">
        <v>6.7572836341518263</v>
      </c>
      <c r="AJ279">
        <v>6.7572836341518263</v>
      </c>
      <c r="AK279">
        <v>6.7572836341518263</v>
      </c>
    </row>
    <row r="280" spans="1:37" x14ac:dyDescent="0.25">
      <c r="A280" t="s">
        <v>90</v>
      </c>
      <c r="B280" t="s">
        <v>91</v>
      </c>
      <c r="C280" t="s">
        <v>292</v>
      </c>
      <c r="F280" t="s">
        <v>293</v>
      </c>
      <c r="G280" t="s">
        <v>293</v>
      </c>
      <c r="H280" t="s">
        <v>294</v>
      </c>
      <c r="I280" t="s">
        <v>295</v>
      </c>
      <c r="J280" t="s">
        <v>296</v>
      </c>
      <c r="K280" t="s">
        <v>98</v>
      </c>
      <c r="L280">
        <v>1</v>
      </c>
      <c r="M280">
        <v>1</v>
      </c>
      <c r="N280">
        <v>2020</v>
      </c>
      <c r="P280">
        <v>0</v>
      </c>
    </row>
    <row r="281" spans="1:37" x14ac:dyDescent="0.25">
      <c r="A281" t="s">
        <v>90</v>
      </c>
      <c r="B281" t="s">
        <v>91</v>
      </c>
      <c r="C281" t="s">
        <v>297</v>
      </c>
      <c r="F281" t="s">
        <v>293</v>
      </c>
      <c r="G281" t="s">
        <v>293</v>
      </c>
      <c r="H281" t="s">
        <v>294</v>
      </c>
      <c r="I281" t="s">
        <v>298</v>
      </c>
      <c r="J281" t="s">
        <v>299</v>
      </c>
      <c r="K281" t="s">
        <v>98</v>
      </c>
      <c r="L281">
        <v>1</v>
      </c>
      <c r="M281">
        <v>1</v>
      </c>
      <c r="N281">
        <v>2020</v>
      </c>
      <c r="P281">
        <v>0</v>
      </c>
    </row>
    <row r="282" spans="1:37" x14ac:dyDescent="0.25">
      <c r="A282" t="s">
        <v>90</v>
      </c>
      <c r="B282" t="s">
        <v>91</v>
      </c>
      <c r="C282" t="s">
        <v>300</v>
      </c>
      <c r="F282" t="s">
        <v>202</v>
      </c>
      <c r="G282" t="s">
        <v>119</v>
      </c>
      <c r="H282" t="s">
        <v>120</v>
      </c>
      <c r="I282" t="s">
        <v>301</v>
      </c>
      <c r="J282" t="s">
        <v>302</v>
      </c>
      <c r="K282" t="s">
        <v>98</v>
      </c>
      <c r="L282">
        <v>1</v>
      </c>
      <c r="M282">
        <v>1</v>
      </c>
      <c r="N282">
        <v>2020</v>
      </c>
      <c r="O282">
        <v>30</v>
      </c>
      <c r="P282">
        <v>1</v>
      </c>
      <c r="Q282">
        <v>4.0874686539039071E-2</v>
      </c>
      <c r="R282">
        <v>4.0874686539039071E-2</v>
      </c>
      <c r="S282">
        <v>4.0874686539039071E-2</v>
      </c>
      <c r="T282">
        <v>4.0874686539039071E-2</v>
      </c>
      <c r="U282">
        <v>4.0874686539039071E-2</v>
      </c>
      <c r="V282">
        <v>4.0874686539039071E-2</v>
      </c>
      <c r="W282">
        <v>4.0874686539039071E-2</v>
      </c>
      <c r="X282">
        <v>35064.743526515987</v>
      </c>
      <c r="Y282">
        <v>35064.743526515987</v>
      </c>
      <c r="Z282">
        <v>35064.743526515987</v>
      </c>
      <c r="AA282">
        <v>35064.743526515987</v>
      </c>
      <c r="AB282">
        <v>35064.743526515987</v>
      </c>
      <c r="AC282">
        <v>35064.743526515987</v>
      </c>
      <c r="AD282">
        <v>35064.743526515987</v>
      </c>
      <c r="AE282">
        <v>3506.474352651599</v>
      </c>
      <c r="AF282">
        <v>3506.474352651599</v>
      </c>
      <c r="AG282">
        <v>3506.474352651599</v>
      </c>
      <c r="AH282">
        <v>3506.474352651599</v>
      </c>
      <c r="AI282">
        <v>3506.474352651599</v>
      </c>
      <c r="AJ282">
        <v>3506.474352651599</v>
      </c>
      <c r="AK282">
        <v>3506.474352651599</v>
      </c>
    </row>
    <row r="283" spans="1:37" x14ac:dyDescent="0.25">
      <c r="A283" t="s">
        <v>90</v>
      </c>
      <c r="B283" t="s">
        <v>91</v>
      </c>
      <c r="C283" t="s">
        <v>300</v>
      </c>
      <c r="F283" t="s">
        <v>202</v>
      </c>
      <c r="G283" t="s">
        <v>122</v>
      </c>
      <c r="H283" t="s">
        <v>123</v>
      </c>
      <c r="I283" t="s">
        <v>301</v>
      </c>
      <c r="J283" t="s">
        <v>302</v>
      </c>
      <c r="K283" t="s">
        <v>98</v>
      </c>
      <c r="L283">
        <v>0</v>
      </c>
      <c r="M283">
        <v>1</v>
      </c>
      <c r="N283">
        <v>2020</v>
      </c>
      <c r="O283">
        <v>30</v>
      </c>
      <c r="P283">
        <v>1</v>
      </c>
      <c r="Q283">
        <v>4.0874686539039071E-2</v>
      </c>
      <c r="R283">
        <v>4.0874686539039071E-2</v>
      </c>
      <c r="S283">
        <v>4.0874686539039071E-2</v>
      </c>
      <c r="T283">
        <v>4.0874686539039071E-2</v>
      </c>
      <c r="U283">
        <v>4.0874686539039071E-2</v>
      </c>
      <c r="V283">
        <v>4.0874686539039071E-2</v>
      </c>
      <c r="W283">
        <v>4.0874686539039071E-2</v>
      </c>
      <c r="X283">
        <v>35064.743526515987</v>
      </c>
      <c r="Y283">
        <v>35064.743526515987</v>
      </c>
      <c r="Z283">
        <v>35064.743526515987</v>
      </c>
      <c r="AA283">
        <v>35064.743526515987</v>
      </c>
      <c r="AB283">
        <v>35064.743526515987</v>
      </c>
      <c r="AC283">
        <v>35064.743526515987</v>
      </c>
      <c r="AD283">
        <v>35064.743526515987</v>
      </c>
      <c r="AE283">
        <v>3506.474352651599</v>
      </c>
      <c r="AF283">
        <v>3506.474352651599</v>
      </c>
      <c r="AG283">
        <v>3506.474352651599</v>
      </c>
      <c r="AH283">
        <v>3506.474352651599</v>
      </c>
      <c r="AI283">
        <v>3506.474352651599</v>
      </c>
      <c r="AJ283">
        <v>3506.474352651599</v>
      </c>
      <c r="AK283">
        <v>3506.474352651599</v>
      </c>
    </row>
    <row r="284" spans="1:37" x14ac:dyDescent="0.25">
      <c r="A284" t="s">
        <v>90</v>
      </c>
      <c r="B284" t="s">
        <v>91</v>
      </c>
      <c r="C284" t="s">
        <v>300</v>
      </c>
      <c r="F284" t="s">
        <v>202</v>
      </c>
      <c r="G284" t="s">
        <v>124</v>
      </c>
      <c r="H284" t="s">
        <v>125</v>
      </c>
      <c r="I284" t="s">
        <v>301</v>
      </c>
      <c r="J284" t="s">
        <v>302</v>
      </c>
      <c r="K284" t="s">
        <v>98</v>
      </c>
      <c r="L284">
        <v>0</v>
      </c>
      <c r="M284">
        <v>1</v>
      </c>
      <c r="N284">
        <v>2020</v>
      </c>
      <c r="O284">
        <v>30</v>
      </c>
      <c r="P284">
        <v>0.1</v>
      </c>
      <c r="Q284">
        <v>4.0874686539039071E-2</v>
      </c>
      <c r="R284">
        <v>4.0874686539039071E-2</v>
      </c>
      <c r="S284">
        <v>4.0874686539039071E-2</v>
      </c>
      <c r="T284">
        <v>4.0874686539039071E-2</v>
      </c>
      <c r="U284">
        <v>4.0874686539039071E-2</v>
      </c>
      <c r="V284">
        <v>4.0874686539039071E-2</v>
      </c>
      <c r="W284">
        <v>4.0874686539039071E-2</v>
      </c>
      <c r="X284">
        <v>35064.743526515987</v>
      </c>
      <c r="Y284">
        <v>35064.743526515987</v>
      </c>
      <c r="Z284">
        <v>35064.743526515987</v>
      </c>
      <c r="AA284">
        <v>35064.743526515987</v>
      </c>
      <c r="AB284">
        <v>35064.743526515987</v>
      </c>
      <c r="AC284">
        <v>35064.743526515987</v>
      </c>
      <c r="AD284">
        <v>35064.743526515987</v>
      </c>
      <c r="AE284">
        <v>3506.474352651599</v>
      </c>
      <c r="AF284">
        <v>3506.474352651599</v>
      </c>
      <c r="AG284">
        <v>3506.474352651599</v>
      </c>
      <c r="AH284">
        <v>3506.474352651599</v>
      </c>
      <c r="AI284">
        <v>3506.474352651599</v>
      </c>
      <c r="AJ284">
        <v>3506.474352651599</v>
      </c>
      <c r="AK284">
        <v>3506.474352651599</v>
      </c>
    </row>
    <row r="285" spans="1:37" x14ac:dyDescent="0.25">
      <c r="A285" t="s">
        <v>90</v>
      </c>
      <c r="B285" t="s">
        <v>91</v>
      </c>
      <c r="C285" t="s">
        <v>300</v>
      </c>
      <c r="F285" t="s">
        <v>303</v>
      </c>
      <c r="G285" t="s">
        <v>304</v>
      </c>
      <c r="H285" t="s">
        <v>305</v>
      </c>
      <c r="I285" t="s">
        <v>301</v>
      </c>
      <c r="J285" t="s">
        <v>306</v>
      </c>
      <c r="K285" t="s">
        <v>98</v>
      </c>
      <c r="L285">
        <v>1</v>
      </c>
      <c r="M285">
        <v>1</v>
      </c>
      <c r="N285">
        <v>2020</v>
      </c>
      <c r="O285">
        <v>30</v>
      </c>
      <c r="P285">
        <v>1</v>
      </c>
      <c r="Q285">
        <v>4.0874686539039071E-2</v>
      </c>
      <c r="R285">
        <v>4.0874686539039071E-2</v>
      </c>
      <c r="S285">
        <v>4.0874686539039071E-2</v>
      </c>
      <c r="T285">
        <v>4.0874686539039071E-2</v>
      </c>
      <c r="U285">
        <v>4.0874686539039071E-2</v>
      </c>
      <c r="V285">
        <v>4.0874686539039071E-2</v>
      </c>
      <c r="W285">
        <v>4.0874686539039071E-2</v>
      </c>
      <c r="X285">
        <v>35064.743526515987</v>
      </c>
      <c r="Y285">
        <v>35064.743526515987</v>
      </c>
      <c r="Z285">
        <v>35064.743526515987</v>
      </c>
      <c r="AA285">
        <v>35064.743526515987</v>
      </c>
      <c r="AB285">
        <v>35064.743526515987</v>
      </c>
      <c r="AC285">
        <v>35064.743526515987</v>
      </c>
      <c r="AD285">
        <v>35064.743526515987</v>
      </c>
      <c r="AE285">
        <v>3506.474352651599</v>
      </c>
      <c r="AF285">
        <v>3506.474352651599</v>
      </c>
      <c r="AG285">
        <v>3506.474352651599</v>
      </c>
      <c r="AH285">
        <v>3506.474352651599</v>
      </c>
      <c r="AI285">
        <v>3506.474352651599</v>
      </c>
      <c r="AJ285">
        <v>3506.474352651599</v>
      </c>
      <c r="AK285">
        <v>3506.474352651599</v>
      </c>
    </row>
    <row r="286" spans="1:37" x14ac:dyDescent="0.25">
      <c r="A286" t="s">
        <v>90</v>
      </c>
      <c r="B286" t="s">
        <v>91</v>
      </c>
      <c r="C286" t="s">
        <v>300</v>
      </c>
      <c r="F286" t="s">
        <v>213</v>
      </c>
      <c r="G286" t="s">
        <v>133</v>
      </c>
      <c r="H286" t="s">
        <v>134</v>
      </c>
      <c r="I286" t="s">
        <v>301</v>
      </c>
      <c r="J286" t="s">
        <v>307</v>
      </c>
      <c r="K286" t="s">
        <v>98</v>
      </c>
      <c r="L286">
        <v>1</v>
      </c>
      <c r="M286">
        <v>1</v>
      </c>
      <c r="N286">
        <v>2020</v>
      </c>
      <c r="O286">
        <v>30</v>
      </c>
      <c r="P286">
        <v>1</v>
      </c>
      <c r="Q286">
        <v>4.0874686539039071E-2</v>
      </c>
      <c r="R286">
        <v>4.0874686539039071E-2</v>
      </c>
      <c r="S286">
        <v>4.0874686539039071E-2</v>
      </c>
      <c r="T286">
        <v>4.0874686539039071E-2</v>
      </c>
      <c r="U286">
        <v>4.0874686539039071E-2</v>
      </c>
      <c r="V286">
        <v>4.0874686539039071E-2</v>
      </c>
      <c r="W286">
        <v>4.0874686539039071E-2</v>
      </c>
      <c r="X286">
        <v>35064.743526515987</v>
      </c>
      <c r="Y286">
        <v>35064.743526515987</v>
      </c>
      <c r="Z286">
        <v>35064.743526515987</v>
      </c>
      <c r="AA286">
        <v>35064.743526515987</v>
      </c>
      <c r="AB286">
        <v>35064.743526515987</v>
      </c>
      <c r="AC286">
        <v>35064.743526515987</v>
      </c>
      <c r="AD286">
        <v>35064.743526515987</v>
      </c>
      <c r="AE286">
        <v>3506.474352651599</v>
      </c>
      <c r="AF286">
        <v>3506.474352651599</v>
      </c>
      <c r="AG286">
        <v>3506.474352651599</v>
      </c>
      <c r="AH286">
        <v>3506.474352651599</v>
      </c>
      <c r="AI286">
        <v>3506.474352651599</v>
      </c>
      <c r="AJ286">
        <v>3506.474352651599</v>
      </c>
      <c r="AK286">
        <v>3506.474352651599</v>
      </c>
    </row>
    <row r="287" spans="1:37" x14ac:dyDescent="0.25">
      <c r="A287" t="s">
        <v>90</v>
      </c>
      <c r="B287" t="s">
        <v>91</v>
      </c>
      <c r="C287" t="s">
        <v>308</v>
      </c>
      <c r="F287" t="s">
        <v>303</v>
      </c>
      <c r="G287" t="s">
        <v>304</v>
      </c>
      <c r="H287" t="s">
        <v>305</v>
      </c>
      <c r="I287" t="s">
        <v>309</v>
      </c>
      <c r="J287" t="s">
        <v>310</v>
      </c>
      <c r="K287" t="s">
        <v>98</v>
      </c>
      <c r="L287">
        <v>1</v>
      </c>
      <c r="M287">
        <v>1</v>
      </c>
      <c r="N287">
        <v>2020</v>
      </c>
      <c r="O287">
        <v>30</v>
      </c>
      <c r="P287">
        <v>1</v>
      </c>
      <c r="Q287">
        <v>7.814652044054797E-2</v>
      </c>
      <c r="R287">
        <v>7.814652044054797E-2</v>
      </c>
      <c r="S287">
        <v>7.814652044054797E-2</v>
      </c>
      <c r="T287">
        <v>7.814652044054797E-2</v>
      </c>
      <c r="U287">
        <v>7.814652044054797E-2</v>
      </c>
      <c r="V287">
        <v>7.814652044054797E-2</v>
      </c>
      <c r="W287">
        <v>7.814652044054797E-2</v>
      </c>
      <c r="X287">
        <v>1585.923890582003</v>
      </c>
      <c r="Y287">
        <v>1585.923890582003</v>
      </c>
      <c r="Z287">
        <v>1585.923890582003</v>
      </c>
      <c r="AA287">
        <v>1585.923890582003</v>
      </c>
      <c r="AB287">
        <v>1585.923890582003</v>
      </c>
      <c r="AC287">
        <v>1585.923890582003</v>
      </c>
      <c r="AD287">
        <v>1585.923890582003</v>
      </c>
      <c r="AE287">
        <v>158.5923890582003</v>
      </c>
      <c r="AF287">
        <v>158.5923890582003</v>
      </c>
      <c r="AG287">
        <v>158.5923890582003</v>
      </c>
      <c r="AH287">
        <v>158.5923890582003</v>
      </c>
      <c r="AI287">
        <v>158.5923890582003</v>
      </c>
      <c r="AJ287">
        <v>158.5923890582003</v>
      </c>
      <c r="AK287">
        <v>158.5923890582003</v>
      </c>
    </row>
    <row r="288" spans="1:37" x14ac:dyDescent="0.25">
      <c r="A288" t="s">
        <v>90</v>
      </c>
      <c r="B288" t="s">
        <v>91</v>
      </c>
      <c r="C288" t="s">
        <v>311</v>
      </c>
      <c r="F288" t="s">
        <v>303</v>
      </c>
      <c r="G288" t="s">
        <v>304</v>
      </c>
      <c r="H288" t="s">
        <v>305</v>
      </c>
      <c r="I288" t="s">
        <v>312</v>
      </c>
      <c r="J288" t="s">
        <v>313</v>
      </c>
      <c r="K288" t="s">
        <v>98</v>
      </c>
      <c r="L288">
        <v>1</v>
      </c>
      <c r="M288">
        <v>1</v>
      </c>
      <c r="N288">
        <v>2020</v>
      </c>
      <c r="O288">
        <v>30</v>
      </c>
      <c r="P288">
        <v>1</v>
      </c>
      <c r="Q288">
        <v>7.814652044054797E-2</v>
      </c>
      <c r="R288">
        <v>7.814652044054797E-2</v>
      </c>
      <c r="S288">
        <v>7.814652044054797E-2</v>
      </c>
      <c r="T288">
        <v>7.814652044054797E-2</v>
      </c>
      <c r="U288">
        <v>7.814652044054797E-2</v>
      </c>
      <c r="V288">
        <v>7.814652044054797E-2</v>
      </c>
      <c r="W288">
        <v>7.814652044054797E-2</v>
      </c>
      <c r="X288">
        <v>1585.923890582003</v>
      </c>
      <c r="Y288">
        <v>1585.923890582003</v>
      </c>
      <c r="Z288">
        <v>1585.923890582003</v>
      </c>
      <c r="AA288">
        <v>1585.923890582003</v>
      </c>
      <c r="AB288">
        <v>1585.923890582003</v>
      </c>
      <c r="AC288">
        <v>1585.923890582003</v>
      </c>
      <c r="AD288">
        <v>1585.923890582003</v>
      </c>
      <c r="AE288">
        <v>158.5923890582003</v>
      </c>
      <c r="AF288">
        <v>158.5923890582003</v>
      </c>
      <c r="AG288">
        <v>158.5923890582003</v>
      </c>
      <c r="AH288">
        <v>158.5923890582003</v>
      </c>
      <c r="AI288">
        <v>158.5923890582003</v>
      </c>
      <c r="AJ288">
        <v>158.5923890582003</v>
      </c>
      <c r="AK288">
        <v>158.5923890582003</v>
      </c>
    </row>
    <row r="289" spans="1:37" x14ac:dyDescent="0.25">
      <c r="A289" t="s">
        <v>90</v>
      </c>
      <c r="B289" t="s">
        <v>282</v>
      </c>
      <c r="C289" t="s">
        <v>314</v>
      </c>
      <c r="F289" t="s">
        <v>202</v>
      </c>
      <c r="G289" t="s">
        <v>119</v>
      </c>
      <c r="H289" t="s">
        <v>120</v>
      </c>
      <c r="I289" t="s">
        <v>315</v>
      </c>
      <c r="J289" t="s">
        <v>316</v>
      </c>
      <c r="K289" t="s">
        <v>98</v>
      </c>
      <c r="L289">
        <v>1</v>
      </c>
      <c r="M289">
        <v>1</v>
      </c>
      <c r="N289">
        <v>2020</v>
      </c>
      <c r="O289">
        <v>30</v>
      </c>
      <c r="P289">
        <v>1</v>
      </c>
      <c r="Q289">
        <v>1.142762194627794E-3</v>
      </c>
      <c r="R289">
        <v>1.142762194627794E-3</v>
      </c>
      <c r="S289">
        <v>1.142762194627794E-3</v>
      </c>
      <c r="T289">
        <v>1.142762194627794E-3</v>
      </c>
      <c r="U289">
        <v>1.142762194627794E-3</v>
      </c>
      <c r="V289">
        <v>1.142762194627794E-3</v>
      </c>
      <c r="W289">
        <v>1.142762194627794E-3</v>
      </c>
      <c r="X289">
        <v>59271.955492113273</v>
      </c>
      <c r="Y289">
        <v>59271.955492113273</v>
      </c>
      <c r="Z289">
        <v>59271.955492113273</v>
      </c>
      <c r="AA289">
        <v>59271.955492113273</v>
      </c>
      <c r="AB289">
        <v>59271.955492113273</v>
      </c>
      <c r="AC289">
        <v>59271.955492113273</v>
      </c>
      <c r="AD289">
        <v>59271.955492113273</v>
      </c>
      <c r="AE289">
        <v>2963.5977746056642</v>
      </c>
      <c r="AF289">
        <v>2963.5977746056642</v>
      </c>
      <c r="AG289">
        <v>2963.5977746056642</v>
      </c>
      <c r="AH289">
        <v>2963.5977746056642</v>
      </c>
      <c r="AI289">
        <v>2963.5977746056642</v>
      </c>
      <c r="AJ289">
        <v>2963.5977746056642</v>
      </c>
      <c r="AK289">
        <v>2963.5977746056642</v>
      </c>
    </row>
    <row r="290" spans="1:37" x14ac:dyDescent="0.25">
      <c r="A290" t="s">
        <v>90</v>
      </c>
      <c r="B290" t="s">
        <v>282</v>
      </c>
      <c r="C290" t="s">
        <v>314</v>
      </c>
      <c r="F290" t="s">
        <v>202</v>
      </c>
      <c r="G290" t="s">
        <v>122</v>
      </c>
      <c r="H290" t="s">
        <v>123</v>
      </c>
      <c r="I290" t="s">
        <v>315</v>
      </c>
      <c r="J290" t="s">
        <v>316</v>
      </c>
      <c r="K290" t="s">
        <v>98</v>
      </c>
      <c r="L290">
        <v>0</v>
      </c>
      <c r="M290">
        <v>1</v>
      </c>
      <c r="N290">
        <v>2020</v>
      </c>
      <c r="O290">
        <v>30</v>
      </c>
      <c r="P290">
        <v>1</v>
      </c>
      <c r="Q290">
        <v>1.142762194627794E-3</v>
      </c>
      <c r="R290">
        <v>1.142762194627794E-3</v>
      </c>
      <c r="S290">
        <v>1.142762194627794E-3</v>
      </c>
      <c r="T290">
        <v>1.142762194627794E-3</v>
      </c>
      <c r="U290">
        <v>1.142762194627794E-3</v>
      </c>
      <c r="V290">
        <v>1.142762194627794E-3</v>
      </c>
      <c r="W290">
        <v>1.142762194627794E-3</v>
      </c>
      <c r="X290">
        <v>59271.955492113273</v>
      </c>
      <c r="Y290">
        <v>59271.955492113273</v>
      </c>
      <c r="Z290">
        <v>59271.955492113273</v>
      </c>
      <c r="AA290">
        <v>59271.955492113273</v>
      </c>
      <c r="AB290">
        <v>59271.955492113273</v>
      </c>
      <c r="AC290">
        <v>59271.955492113273</v>
      </c>
      <c r="AD290">
        <v>59271.955492113273</v>
      </c>
      <c r="AE290">
        <v>2963.5977746056642</v>
      </c>
      <c r="AF290">
        <v>2963.5977746056642</v>
      </c>
      <c r="AG290">
        <v>2963.5977746056642</v>
      </c>
      <c r="AH290">
        <v>2963.5977746056642</v>
      </c>
      <c r="AI290">
        <v>2963.5977746056642</v>
      </c>
      <c r="AJ290">
        <v>2963.5977746056642</v>
      </c>
      <c r="AK290">
        <v>2963.5977746056642</v>
      </c>
    </row>
    <row r="291" spans="1:37" x14ac:dyDescent="0.25">
      <c r="A291" t="s">
        <v>90</v>
      </c>
      <c r="B291" t="s">
        <v>282</v>
      </c>
      <c r="C291" t="s">
        <v>314</v>
      </c>
      <c r="F291" t="s">
        <v>202</v>
      </c>
      <c r="G291" t="s">
        <v>124</v>
      </c>
      <c r="H291" t="s">
        <v>125</v>
      </c>
      <c r="I291" t="s">
        <v>315</v>
      </c>
      <c r="J291" t="s">
        <v>316</v>
      </c>
      <c r="K291" t="s">
        <v>98</v>
      </c>
      <c r="L291">
        <v>0</v>
      </c>
      <c r="M291">
        <v>1</v>
      </c>
      <c r="N291">
        <v>2020</v>
      </c>
      <c r="O291">
        <v>30</v>
      </c>
      <c r="P291">
        <v>0.1</v>
      </c>
      <c r="Q291">
        <v>1.142762194627794E-3</v>
      </c>
      <c r="R291">
        <v>1.142762194627794E-3</v>
      </c>
      <c r="S291">
        <v>1.142762194627794E-3</v>
      </c>
      <c r="T291">
        <v>1.142762194627794E-3</v>
      </c>
      <c r="U291">
        <v>1.142762194627794E-3</v>
      </c>
      <c r="V291">
        <v>1.142762194627794E-3</v>
      </c>
      <c r="W291">
        <v>1.142762194627794E-3</v>
      </c>
      <c r="X291">
        <v>59271.955492113273</v>
      </c>
      <c r="Y291">
        <v>59271.955492113273</v>
      </c>
      <c r="Z291">
        <v>59271.955492113273</v>
      </c>
      <c r="AA291">
        <v>59271.955492113273</v>
      </c>
      <c r="AB291">
        <v>59271.955492113273</v>
      </c>
      <c r="AC291">
        <v>59271.955492113273</v>
      </c>
      <c r="AD291">
        <v>59271.955492113273</v>
      </c>
      <c r="AE291">
        <v>2963.5977746056642</v>
      </c>
      <c r="AF291">
        <v>2963.5977746056642</v>
      </c>
      <c r="AG291">
        <v>2963.5977746056642</v>
      </c>
      <c r="AH291">
        <v>2963.5977746056642</v>
      </c>
      <c r="AI291">
        <v>2963.5977746056642</v>
      </c>
      <c r="AJ291">
        <v>2963.5977746056642</v>
      </c>
      <c r="AK291">
        <v>2963.5977746056642</v>
      </c>
    </row>
    <row r="292" spans="1:37" x14ac:dyDescent="0.25">
      <c r="A292" t="s">
        <v>90</v>
      </c>
      <c r="B292" t="s">
        <v>282</v>
      </c>
      <c r="C292" t="s">
        <v>314</v>
      </c>
      <c r="F292" t="s">
        <v>317</v>
      </c>
      <c r="G292" t="s">
        <v>119</v>
      </c>
      <c r="H292" t="s">
        <v>120</v>
      </c>
      <c r="I292" t="s">
        <v>315</v>
      </c>
      <c r="J292" t="s">
        <v>316</v>
      </c>
      <c r="K292" t="s">
        <v>98</v>
      </c>
      <c r="L292">
        <v>0</v>
      </c>
      <c r="M292">
        <v>1</v>
      </c>
      <c r="N292">
        <v>2020</v>
      </c>
      <c r="O292">
        <v>30</v>
      </c>
      <c r="P292">
        <v>1</v>
      </c>
      <c r="Q292">
        <v>1.2985934029861291E-3</v>
      </c>
      <c r="R292">
        <v>1.2985934029861291E-3</v>
      </c>
      <c r="S292">
        <v>1.2985934029861291E-3</v>
      </c>
      <c r="T292">
        <v>1.2985934029861291E-3</v>
      </c>
      <c r="U292">
        <v>1.2985934029861291E-3</v>
      </c>
      <c r="V292">
        <v>1.2985934029861291E-3</v>
      </c>
      <c r="W292">
        <v>1.2985934029861291E-3</v>
      </c>
      <c r="X292">
        <v>61074.414708565899</v>
      </c>
      <c r="Y292">
        <v>61074.414708565899</v>
      </c>
      <c r="Z292">
        <v>61074.414708565899</v>
      </c>
      <c r="AA292">
        <v>61074.414708565899</v>
      </c>
      <c r="AB292">
        <v>61074.414708565899</v>
      </c>
      <c r="AC292">
        <v>61074.414708565899</v>
      </c>
      <c r="AD292">
        <v>61074.414708565899</v>
      </c>
      <c r="AE292">
        <v>3029.795657556575</v>
      </c>
      <c r="AF292">
        <v>3029.795657556575</v>
      </c>
      <c r="AG292">
        <v>3029.795657556575</v>
      </c>
      <c r="AH292">
        <v>3029.795657556575</v>
      </c>
      <c r="AI292">
        <v>3029.795657556575</v>
      </c>
      <c r="AJ292">
        <v>3029.795657556575</v>
      </c>
      <c r="AK292">
        <v>3029.795657556575</v>
      </c>
    </row>
    <row r="293" spans="1:37" x14ac:dyDescent="0.25">
      <c r="A293" t="s">
        <v>90</v>
      </c>
      <c r="B293" t="s">
        <v>282</v>
      </c>
      <c r="C293" t="s">
        <v>314</v>
      </c>
      <c r="F293" t="s">
        <v>317</v>
      </c>
      <c r="G293" t="s">
        <v>122</v>
      </c>
      <c r="H293" t="s">
        <v>123</v>
      </c>
      <c r="I293" t="s">
        <v>315</v>
      </c>
      <c r="J293" t="s">
        <v>316</v>
      </c>
      <c r="K293" t="s">
        <v>98</v>
      </c>
      <c r="L293">
        <v>0</v>
      </c>
      <c r="M293">
        <v>1</v>
      </c>
      <c r="N293">
        <v>2020</v>
      </c>
      <c r="O293">
        <v>30</v>
      </c>
      <c r="P293">
        <v>1</v>
      </c>
      <c r="Q293">
        <v>1.2985934029861291E-3</v>
      </c>
      <c r="R293">
        <v>1.2985934029861291E-3</v>
      </c>
      <c r="S293">
        <v>1.2985934029861291E-3</v>
      </c>
      <c r="T293">
        <v>1.2985934029861291E-3</v>
      </c>
      <c r="U293">
        <v>1.2985934029861291E-3</v>
      </c>
      <c r="V293">
        <v>1.2985934029861291E-3</v>
      </c>
      <c r="W293">
        <v>1.2985934029861291E-3</v>
      </c>
      <c r="X293">
        <v>61074.414708565899</v>
      </c>
      <c r="Y293">
        <v>61074.414708565899</v>
      </c>
      <c r="Z293">
        <v>61074.414708565899</v>
      </c>
      <c r="AA293">
        <v>61074.414708565899</v>
      </c>
      <c r="AB293">
        <v>61074.414708565899</v>
      </c>
      <c r="AC293">
        <v>61074.414708565899</v>
      </c>
      <c r="AD293">
        <v>61074.414708565899</v>
      </c>
      <c r="AE293">
        <v>3029.795657556575</v>
      </c>
      <c r="AF293">
        <v>3029.795657556575</v>
      </c>
      <c r="AG293">
        <v>3029.795657556575</v>
      </c>
      <c r="AH293">
        <v>3029.795657556575</v>
      </c>
      <c r="AI293">
        <v>3029.795657556575</v>
      </c>
      <c r="AJ293">
        <v>3029.795657556575</v>
      </c>
      <c r="AK293">
        <v>3029.795657556575</v>
      </c>
    </row>
    <row r="294" spans="1:37" x14ac:dyDescent="0.25">
      <c r="A294" t="s">
        <v>90</v>
      </c>
      <c r="B294" t="s">
        <v>282</v>
      </c>
      <c r="C294" t="s">
        <v>314</v>
      </c>
      <c r="F294" t="s">
        <v>317</v>
      </c>
      <c r="G294" t="s">
        <v>124</v>
      </c>
      <c r="H294" t="s">
        <v>125</v>
      </c>
      <c r="I294" t="s">
        <v>315</v>
      </c>
      <c r="J294" t="s">
        <v>316</v>
      </c>
      <c r="K294" t="s">
        <v>98</v>
      </c>
      <c r="L294">
        <v>0</v>
      </c>
      <c r="M294">
        <v>1</v>
      </c>
      <c r="N294">
        <v>2020</v>
      </c>
      <c r="O294">
        <v>30</v>
      </c>
      <c r="P294">
        <v>0.1</v>
      </c>
      <c r="Q294">
        <v>1.2985934029861291E-3</v>
      </c>
      <c r="R294">
        <v>1.2985934029861291E-3</v>
      </c>
      <c r="S294">
        <v>1.2985934029861291E-3</v>
      </c>
      <c r="T294">
        <v>1.2985934029861291E-3</v>
      </c>
      <c r="U294">
        <v>1.2985934029861291E-3</v>
      </c>
      <c r="V294">
        <v>1.2985934029861291E-3</v>
      </c>
      <c r="W294">
        <v>1.2985934029861291E-3</v>
      </c>
      <c r="X294">
        <v>61074.414708565899</v>
      </c>
      <c r="Y294">
        <v>61074.414708565899</v>
      </c>
      <c r="Z294">
        <v>61074.414708565899</v>
      </c>
      <c r="AA294">
        <v>61074.414708565899</v>
      </c>
      <c r="AB294">
        <v>61074.414708565899</v>
      </c>
      <c r="AC294">
        <v>61074.414708565899</v>
      </c>
      <c r="AD294">
        <v>61074.414708565899</v>
      </c>
      <c r="AE294">
        <v>3029.795657556575</v>
      </c>
      <c r="AF294">
        <v>3029.795657556575</v>
      </c>
      <c r="AG294">
        <v>3029.795657556575</v>
      </c>
      <c r="AH294">
        <v>3029.795657556575</v>
      </c>
      <c r="AI294">
        <v>3029.795657556575</v>
      </c>
      <c r="AJ294">
        <v>3029.795657556575</v>
      </c>
      <c r="AK294">
        <v>3029.795657556575</v>
      </c>
    </row>
    <row r="295" spans="1:37" x14ac:dyDescent="0.25">
      <c r="A295" t="s">
        <v>90</v>
      </c>
      <c r="B295" t="s">
        <v>282</v>
      </c>
      <c r="C295" t="s">
        <v>314</v>
      </c>
      <c r="F295" t="s">
        <v>318</v>
      </c>
      <c r="G295" t="s">
        <v>119</v>
      </c>
      <c r="H295" t="s">
        <v>120</v>
      </c>
      <c r="I295" t="s">
        <v>315</v>
      </c>
      <c r="J295" t="s">
        <v>319</v>
      </c>
      <c r="K295" t="s">
        <v>98</v>
      </c>
      <c r="L295">
        <v>1</v>
      </c>
      <c r="M295">
        <v>1</v>
      </c>
      <c r="N295">
        <v>2020</v>
      </c>
      <c r="O295">
        <v>30</v>
      </c>
      <c r="P295">
        <v>1</v>
      </c>
      <c r="Q295">
        <v>1.4284527432847419E-3</v>
      </c>
      <c r="R295">
        <v>1.4284527432847419E-3</v>
      </c>
      <c r="S295">
        <v>1.4284527432847419E-3</v>
      </c>
      <c r="T295">
        <v>1.4284527432847419E-3</v>
      </c>
      <c r="U295">
        <v>1.4284527432847419E-3</v>
      </c>
      <c r="V295">
        <v>1.4284527432847419E-3</v>
      </c>
      <c r="W295">
        <v>1.4284527432847419E-3</v>
      </c>
      <c r="X295">
        <v>70358.979429618339</v>
      </c>
      <c r="Y295">
        <v>70358.979429618339</v>
      </c>
      <c r="Z295">
        <v>70358.979429618339</v>
      </c>
      <c r="AA295">
        <v>70358.979429618339</v>
      </c>
      <c r="AB295">
        <v>70358.979429618339</v>
      </c>
      <c r="AC295">
        <v>70358.979429618339</v>
      </c>
      <c r="AD295">
        <v>70358.979429618339</v>
      </c>
      <c r="AE295">
        <v>3517.948971480917</v>
      </c>
      <c r="AF295">
        <v>3517.948971480917</v>
      </c>
      <c r="AG295">
        <v>3517.948971480917</v>
      </c>
      <c r="AH295">
        <v>3517.948971480917</v>
      </c>
      <c r="AI295">
        <v>3517.948971480917</v>
      </c>
      <c r="AJ295">
        <v>3517.948971480917</v>
      </c>
      <c r="AK295">
        <v>3517.948971480917</v>
      </c>
    </row>
    <row r="296" spans="1:37" x14ac:dyDescent="0.25">
      <c r="A296" t="s">
        <v>90</v>
      </c>
      <c r="B296" t="s">
        <v>282</v>
      </c>
      <c r="C296" t="s">
        <v>314</v>
      </c>
      <c r="F296" t="s">
        <v>318</v>
      </c>
      <c r="G296" t="s">
        <v>122</v>
      </c>
      <c r="H296" t="s">
        <v>123</v>
      </c>
      <c r="I296" t="s">
        <v>315</v>
      </c>
      <c r="J296" t="s">
        <v>319</v>
      </c>
      <c r="K296" t="s">
        <v>98</v>
      </c>
      <c r="L296">
        <v>0</v>
      </c>
      <c r="M296">
        <v>1</v>
      </c>
      <c r="N296">
        <v>2020</v>
      </c>
      <c r="O296">
        <v>30</v>
      </c>
      <c r="P296">
        <v>1</v>
      </c>
      <c r="Q296">
        <v>1.4284527432847419E-3</v>
      </c>
      <c r="R296">
        <v>1.4284527432847419E-3</v>
      </c>
      <c r="S296">
        <v>1.4284527432847419E-3</v>
      </c>
      <c r="T296">
        <v>1.4284527432847419E-3</v>
      </c>
      <c r="U296">
        <v>1.4284527432847419E-3</v>
      </c>
      <c r="V296">
        <v>1.4284527432847419E-3</v>
      </c>
      <c r="W296">
        <v>1.4284527432847419E-3</v>
      </c>
      <c r="X296">
        <v>70358.979429618339</v>
      </c>
      <c r="Y296">
        <v>70358.979429618339</v>
      </c>
      <c r="Z296">
        <v>70358.979429618339</v>
      </c>
      <c r="AA296">
        <v>70358.979429618339</v>
      </c>
      <c r="AB296">
        <v>70358.979429618339</v>
      </c>
      <c r="AC296">
        <v>70358.979429618339</v>
      </c>
      <c r="AD296">
        <v>70358.979429618339</v>
      </c>
      <c r="AE296">
        <v>3517.948971480917</v>
      </c>
      <c r="AF296">
        <v>3517.948971480917</v>
      </c>
      <c r="AG296">
        <v>3517.948971480917</v>
      </c>
      <c r="AH296">
        <v>3517.948971480917</v>
      </c>
      <c r="AI296">
        <v>3517.948971480917</v>
      </c>
      <c r="AJ296">
        <v>3517.948971480917</v>
      </c>
      <c r="AK296">
        <v>3517.948971480917</v>
      </c>
    </row>
    <row r="297" spans="1:37" x14ac:dyDescent="0.25">
      <c r="A297" t="s">
        <v>90</v>
      </c>
      <c r="B297" t="s">
        <v>282</v>
      </c>
      <c r="C297" t="s">
        <v>314</v>
      </c>
      <c r="F297" t="s">
        <v>318</v>
      </c>
      <c r="G297" t="s">
        <v>124</v>
      </c>
      <c r="H297" t="s">
        <v>125</v>
      </c>
      <c r="I297" t="s">
        <v>315</v>
      </c>
      <c r="J297" t="s">
        <v>319</v>
      </c>
      <c r="K297" t="s">
        <v>98</v>
      </c>
      <c r="L297">
        <v>0</v>
      </c>
      <c r="M297">
        <v>1</v>
      </c>
      <c r="N297">
        <v>2020</v>
      </c>
      <c r="O297">
        <v>30</v>
      </c>
      <c r="P297">
        <v>0.1</v>
      </c>
      <c r="Q297">
        <v>1.4284527432847419E-3</v>
      </c>
      <c r="R297">
        <v>1.4284527432847419E-3</v>
      </c>
      <c r="S297">
        <v>1.4284527432847419E-3</v>
      </c>
      <c r="T297">
        <v>1.4284527432847419E-3</v>
      </c>
      <c r="U297">
        <v>1.4284527432847419E-3</v>
      </c>
      <c r="V297">
        <v>1.4284527432847419E-3</v>
      </c>
      <c r="W297">
        <v>1.4284527432847419E-3</v>
      </c>
      <c r="X297">
        <v>70358.979429618339</v>
      </c>
      <c r="Y297">
        <v>70358.979429618339</v>
      </c>
      <c r="Z297">
        <v>70358.979429618339</v>
      </c>
      <c r="AA297">
        <v>70358.979429618339</v>
      </c>
      <c r="AB297">
        <v>70358.979429618339</v>
      </c>
      <c r="AC297">
        <v>70358.979429618339</v>
      </c>
      <c r="AD297">
        <v>70358.979429618339</v>
      </c>
      <c r="AE297">
        <v>3517.948971480917</v>
      </c>
      <c r="AF297">
        <v>3517.948971480917</v>
      </c>
      <c r="AG297">
        <v>3517.948971480917</v>
      </c>
      <c r="AH297">
        <v>3517.948971480917</v>
      </c>
      <c r="AI297">
        <v>3517.948971480917</v>
      </c>
      <c r="AJ297">
        <v>3517.948971480917</v>
      </c>
      <c r="AK297">
        <v>3517.948971480917</v>
      </c>
    </row>
    <row r="298" spans="1:37" x14ac:dyDescent="0.25">
      <c r="A298" t="s">
        <v>90</v>
      </c>
      <c r="B298" t="s">
        <v>282</v>
      </c>
      <c r="C298" t="s">
        <v>314</v>
      </c>
      <c r="F298" t="s">
        <v>320</v>
      </c>
      <c r="G298" t="s">
        <v>321</v>
      </c>
      <c r="H298" t="s">
        <v>322</v>
      </c>
      <c r="I298" t="s">
        <v>315</v>
      </c>
      <c r="J298" t="s">
        <v>323</v>
      </c>
      <c r="K298" t="s">
        <v>98</v>
      </c>
      <c r="L298">
        <v>1</v>
      </c>
      <c r="M298">
        <v>1</v>
      </c>
      <c r="N298">
        <v>2020</v>
      </c>
      <c r="O298">
        <v>30</v>
      </c>
      <c r="P298">
        <v>1</v>
      </c>
      <c r="Q298">
        <v>1.465216971197143E-3</v>
      </c>
      <c r="R298">
        <v>1.465216971197143E-3</v>
      </c>
      <c r="S298">
        <v>1.465216971197143E-3</v>
      </c>
      <c r="T298">
        <v>1.465216971197143E-3</v>
      </c>
      <c r="U298">
        <v>1.465216971197143E-3</v>
      </c>
      <c r="V298">
        <v>1.465216971197143E-3</v>
      </c>
      <c r="W298">
        <v>1.465216971197143E-3</v>
      </c>
      <c r="X298">
        <v>343962.96330090298</v>
      </c>
      <c r="Y298">
        <v>343962.96330090298</v>
      </c>
      <c r="Z298">
        <v>343962.96330090298</v>
      </c>
      <c r="AA298">
        <v>343962.96330090298</v>
      </c>
      <c r="AB298">
        <v>343962.96330090298</v>
      </c>
      <c r="AC298">
        <v>343962.96330090298</v>
      </c>
      <c r="AD298">
        <v>343962.96330090298</v>
      </c>
      <c r="AE298">
        <v>17198.14816504515</v>
      </c>
      <c r="AF298">
        <v>17198.14816504515</v>
      </c>
      <c r="AG298">
        <v>17198.14816504515</v>
      </c>
      <c r="AH298">
        <v>17198.14816504515</v>
      </c>
      <c r="AI298">
        <v>17198.14816504515</v>
      </c>
      <c r="AJ298">
        <v>17198.14816504515</v>
      </c>
      <c r="AK298">
        <v>17198.14816504515</v>
      </c>
    </row>
    <row r="299" spans="1:37" x14ac:dyDescent="0.25">
      <c r="A299" t="s">
        <v>90</v>
      </c>
      <c r="B299" t="s">
        <v>282</v>
      </c>
      <c r="C299" t="s">
        <v>314</v>
      </c>
      <c r="F299" t="s">
        <v>324</v>
      </c>
      <c r="G299" t="s">
        <v>321</v>
      </c>
      <c r="H299" t="s">
        <v>322</v>
      </c>
      <c r="I299" t="s">
        <v>315</v>
      </c>
      <c r="J299" t="s">
        <v>325</v>
      </c>
      <c r="K299" t="s">
        <v>98</v>
      </c>
      <c r="L299">
        <v>1</v>
      </c>
      <c r="M299">
        <v>1</v>
      </c>
      <c r="N299">
        <v>2020</v>
      </c>
      <c r="O299">
        <v>30</v>
      </c>
      <c r="P299">
        <v>1</v>
      </c>
      <c r="Q299">
        <v>1.6650192854512991E-3</v>
      </c>
      <c r="R299">
        <v>1.6650192854512991E-3</v>
      </c>
      <c r="S299">
        <v>1.6650192854512991E-3</v>
      </c>
      <c r="T299">
        <v>1.6650192854512991E-3</v>
      </c>
      <c r="U299">
        <v>1.6650192854512991E-3</v>
      </c>
      <c r="V299">
        <v>1.6650192854512991E-3</v>
      </c>
      <c r="W299">
        <v>1.6650192854512991E-3</v>
      </c>
      <c r="X299">
        <v>355838.65077076718</v>
      </c>
      <c r="Y299">
        <v>355838.65077076718</v>
      </c>
      <c r="Z299">
        <v>355838.65077076718</v>
      </c>
      <c r="AA299">
        <v>355838.65077076718</v>
      </c>
      <c r="AB299">
        <v>355838.65077076718</v>
      </c>
      <c r="AC299">
        <v>355838.65077076718</v>
      </c>
      <c r="AD299">
        <v>355838.65077076718</v>
      </c>
      <c r="AE299">
        <v>17791.93253853836</v>
      </c>
      <c r="AF299">
        <v>17791.93253853836</v>
      </c>
      <c r="AG299">
        <v>17791.93253853836</v>
      </c>
      <c r="AH299">
        <v>17791.93253853836</v>
      </c>
      <c r="AI299">
        <v>17791.93253853836</v>
      </c>
      <c r="AJ299">
        <v>17791.93253853836</v>
      </c>
      <c r="AK299">
        <v>17791.93253853836</v>
      </c>
    </row>
    <row r="300" spans="1:37" x14ac:dyDescent="0.25">
      <c r="A300" t="s">
        <v>90</v>
      </c>
      <c r="B300" t="s">
        <v>282</v>
      </c>
      <c r="C300" t="s">
        <v>314</v>
      </c>
      <c r="F300" t="s">
        <v>326</v>
      </c>
      <c r="G300" t="s">
        <v>321</v>
      </c>
      <c r="H300" t="s">
        <v>322</v>
      </c>
      <c r="I300" t="s">
        <v>315</v>
      </c>
      <c r="J300" t="s">
        <v>327</v>
      </c>
      <c r="K300" t="s">
        <v>98</v>
      </c>
      <c r="L300">
        <v>1</v>
      </c>
      <c r="M300">
        <v>1</v>
      </c>
      <c r="N300">
        <v>2020</v>
      </c>
      <c r="O300">
        <v>30</v>
      </c>
      <c r="P300">
        <v>1</v>
      </c>
      <c r="Q300">
        <v>1.674533681368163E-3</v>
      </c>
      <c r="R300">
        <v>1.674533681368163E-3</v>
      </c>
      <c r="S300">
        <v>1.674533681368163E-3</v>
      </c>
      <c r="T300">
        <v>1.674533681368163E-3</v>
      </c>
      <c r="U300">
        <v>1.674533681368163E-3</v>
      </c>
      <c r="V300">
        <v>1.674533681368163E-3</v>
      </c>
      <c r="W300">
        <v>1.674533681368163E-3</v>
      </c>
      <c r="X300">
        <v>356861.5744246869</v>
      </c>
      <c r="Y300">
        <v>356861.5744246869</v>
      </c>
      <c r="Z300">
        <v>356861.5744246869</v>
      </c>
      <c r="AA300">
        <v>356861.5744246869</v>
      </c>
      <c r="AB300">
        <v>356861.5744246869</v>
      </c>
      <c r="AC300">
        <v>356861.5744246869</v>
      </c>
      <c r="AD300">
        <v>356861.5744246869</v>
      </c>
      <c r="AE300">
        <v>17843.078721234349</v>
      </c>
      <c r="AF300">
        <v>17843.078721234349</v>
      </c>
      <c r="AG300">
        <v>17843.078721234349</v>
      </c>
      <c r="AH300">
        <v>17843.078721234349</v>
      </c>
      <c r="AI300">
        <v>17843.078721234349</v>
      </c>
      <c r="AJ300">
        <v>17843.078721234349</v>
      </c>
      <c r="AK300">
        <v>17843.078721234349</v>
      </c>
    </row>
    <row r="301" spans="1:37" x14ac:dyDescent="0.25">
      <c r="A301" t="s">
        <v>90</v>
      </c>
      <c r="B301" t="s">
        <v>282</v>
      </c>
      <c r="C301" t="s">
        <v>328</v>
      </c>
      <c r="F301" t="s">
        <v>329</v>
      </c>
      <c r="G301" t="s">
        <v>330</v>
      </c>
      <c r="H301" t="s">
        <v>331</v>
      </c>
      <c r="I301" t="s">
        <v>332</v>
      </c>
      <c r="J301" t="s">
        <v>333</v>
      </c>
      <c r="K301" t="s">
        <v>98</v>
      </c>
      <c r="L301">
        <v>1</v>
      </c>
      <c r="M301">
        <v>1</v>
      </c>
      <c r="N301">
        <v>2020</v>
      </c>
      <c r="O301">
        <v>25</v>
      </c>
      <c r="P301">
        <v>1</v>
      </c>
      <c r="Q301">
        <v>4.4035199083936726E-3</v>
      </c>
      <c r="R301">
        <v>4.4035199083936726E-3</v>
      </c>
      <c r="S301">
        <v>4.4035199083936726E-3</v>
      </c>
      <c r="T301">
        <v>4.4035199083936726E-3</v>
      </c>
      <c r="U301">
        <v>4.4035199083936726E-3</v>
      </c>
      <c r="V301">
        <v>4.4035199083936726E-3</v>
      </c>
      <c r="W301">
        <v>4.4035199083936726E-3</v>
      </c>
      <c r="X301">
        <v>146720.0337907295</v>
      </c>
      <c r="Y301">
        <v>146720.0337907295</v>
      </c>
      <c r="Z301">
        <v>146720.0337907295</v>
      </c>
      <c r="AA301">
        <v>146720.0337907295</v>
      </c>
      <c r="AB301">
        <v>146720.0337907295</v>
      </c>
      <c r="AC301">
        <v>146720.0337907295</v>
      </c>
      <c r="AD301">
        <v>146720.0337907295</v>
      </c>
      <c r="AE301">
        <v>1344.2183809101291</v>
      </c>
      <c r="AF301">
        <v>1344.2183809101291</v>
      </c>
      <c r="AG301">
        <v>1344.2183809101291</v>
      </c>
      <c r="AH301">
        <v>1344.2183809101291</v>
      </c>
      <c r="AI301">
        <v>1344.2183809101291</v>
      </c>
      <c r="AJ301">
        <v>1344.2183809101291</v>
      </c>
      <c r="AK301">
        <v>1344.2183809101291</v>
      </c>
    </row>
    <row r="302" spans="1:37" x14ac:dyDescent="0.25">
      <c r="A302" t="s">
        <v>90</v>
      </c>
      <c r="B302" t="s">
        <v>282</v>
      </c>
      <c r="C302" t="s">
        <v>328</v>
      </c>
      <c r="F302" t="s">
        <v>329</v>
      </c>
      <c r="G302" t="s">
        <v>334</v>
      </c>
      <c r="H302" t="s">
        <v>335</v>
      </c>
      <c r="I302" t="s">
        <v>332</v>
      </c>
      <c r="J302" t="s">
        <v>333</v>
      </c>
      <c r="K302" t="s">
        <v>98</v>
      </c>
      <c r="L302">
        <v>0</v>
      </c>
      <c r="M302">
        <v>1</v>
      </c>
      <c r="N302">
        <v>2020</v>
      </c>
      <c r="O302">
        <v>25</v>
      </c>
      <c r="P302">
        <v>1</v>
      </c>
      <c r="Q302">
        <v>4.4035199083936726E-3</v>
      </c>
      <c r="R302">
        <v>4.4035199083936726E-3</v>
      </c>
      <c r="S302">
        <v>4.4035199083936726E-3</v>
      </c>
      <c r="T302">
        <v>4.4035199083936726E-3</v>
      </c>
      <c r="U302">
        <v>4.4035199083936726E-3</v>
      </c>
      <c r="V302">
        <v>4.4035199083936726E-3</v>
      </c>
      <c r="W302">
        <v>4.4035199083936726E-3</v>
      </c>
      <c r="X302">
        <v>146720.0337907295</v>
      </c>
      <c r="Y302">
        <v>146720.0337907295</v>
      </c>
      <c r="Z302">
        <v>146720.0337907295</v>
      </c>
      <c r="AA302">
        <v>146720.0337907295</v>
      </c>
      <c r="AB302">
        <v>146720.0337907295</v>
      </c>
      <c r="AC302">
        <v>146720.0337907295</v>
      </c>
      <c r="AD302">
        <v>146720.0337907295</v>
      </c>
      <c r="AE302">
        <v>1344.2183809101291</v>
      </c>
      <c r="AF302">
        <v>1344.2183809101291</v>
      </c>
      <c r="AG302">
        <v>1344.2183809101291</v>
      </c>
      <c r="AH302">
        <v>1344.2183809101291</v>
      </c>
      <c r="AI302">
        <v>1344.2183809101291</v>
      </c>
      <c r="AJ302">
        <v>1344.2183809101291</v>
      </c>
      <c r="AK302">
        <v>1344.2183809101291</v>
      </c>
    </row>
    <row r="303" spans="1:37" x14ac:dyDescent="0.25">
      <c r="A303" t="s">
        <v>90</v>
      </c>
      <c r="B303" t="s">
        <v>282</v>
      </c>
      <c r="C303" t="s">
        <v>328</v>
      </c>
      <c r="F303" t="s">
        <v>336</v>
      </c>
      <c r="G303" t="s">
        <v>330</v>
      </c>
      <c r="H303" t="s">
        <v>331</v>
      </c>
      <c r="I303" t="s">
        <v>332</v>
      </c>
      <c r="J303" t="s">
        <v>337</v>
      </c>
      <c r="K303" t="s">
        <v>98</v>
      </c>
      <c r="L303">
        <v>1</v>
      </c>
      <c r="M303">
        <v>1</v>
      </c>
      <c r="N303">
        <v>2020</v>
      </c>
      <c r="O303">
        <v>25</v>
      </c>
      <c r="P303">
        <v>1</v>
      </c>
      <c r="Q303">
        <v>4.6110156108834276E-3</v>
      </c>
      <c r="R303">
        <v>4.6110156108834276E-3</v>
      </c>
      <c r="S303">
        <v>4.6110156108834276E-3</v>
      </c>
      <c r="T303">
        <v>4.6110156108834276E-3</v>
      </c>
      <c r="U303">
        <v>4.6110156108834276E-3</v>
      </c>
      <c r="V303">
        <v>4.6110156108834276E-3</v>
      </c>
      <c r="W303">
        <v>4.6110156108834276E-3</v>
      </c>
      <c r="X303">
        <v>147828.19114564441</v>
      </c>
      <c r="Y303">
        <v>147828.19114564441</v>
      </c>
      <c r="Z303">
        <v>147828.19114564441</v>
      </c>
      <c r="AA303">
        <v>147828.19114564441</v>
      </c>
      <c r="AB303">
        <v>147828.19114564441</v>
      </c>
      <c r="AC303">
        <v>147828.19114564441</v>
      </c>
      <c r="AD303">
        <v>147828.19114564441</v>
      </c>
      <c r="AE303">
        <v>1344.2183809101291</v>
      </c>
      <c r="AF303">
        <v>1344.2183809101291</v>
      </c>
      <c r="AG303">
        <v>1344.2183809101291</v>
      </c>
      <c r="AH303">
        <v>1344.2183809101291</v>
      </c>
      <c r="AI303">
        <v>1344.2183809101291</v>
      </c>
      <c r="AJ303">
        <v>1344.2183809101291</v>
      </c>
      <c r="AK303">
        <v>1344.2183809101291</v>
      </c>
    </row>
    <row r="304" spans="1:37" x14ac:dyDescent="0.25">
      <c r="A304" t="s">
        <v>90</v>
      </c>
      <c r="B304" t="s">
        <v>282</v>
      </c>
      <c r="C304" t="s">
        <v>328</v>
      </c>
      <c r="F304" t="s">
        <v>336</v>
      </c>
      <c r="G304" t="s">
        <v>334</v>
      </c>
      <c r="H304" t="s">
        <v>335</v>
      </c>
      <c r="I304" t="s">
        <v>332</v>
      </c>
      <c r="J304" t="s">
        <v>337</v>
      </c>
      <c r="K304" t="s">
        <v>98</v>
      </c>
      <c r="L304">
        <v>0</v>
      </c>
      <c r="M304">
        <v>1</v>
      </c>
      <c r="N304">
        <v>2020</v>
      </c>
      <c r="O304">
        <v>25</v>
      </c>
      <c r="P304">
        <v>1</v>
      </c>
      <c r="Q304">
        <v>4.6110156108834276E-3</v>
      </c>
      <c r="R304">
        <v>4.6110156108834276E-3</v>
      </c>
      <c r="S304">
        <v>4.6110156108834276E-3</v>
      </c>
      <c r="T304">
        <v>4.6110156108834276E-3</v>
      </c>
      <c r="U304">
        <v>4.6110156108834276E-3</v>
      </c>
      <c r="V304">
        <v>4.6110156108834276E-3</v>
      </c>
      <c r="W304">
        <v>4.6110156108834276E-3</v>
      </c>
      <c r="X304">
        <v>147828.19114564441</v>
      </c>
      <c r="Y304">
        <v>147828.19114564441</v>
      </c>
      <c r="Z304">
        <v>147828.19114564441</v>
      </c>
      <c r="AA304">
        <v>147828.19114564441</v>
      </c>
      <c r="AB304">
        <v>147828.19114564441</v>
      </c>
      <c r="AC304">
        <v>147828.19114564441</v>
      </c>
      <c r="AD304">
        <v>147828.19114564441</v>
      </c>
      <c r="AE304">
        <v>1344.2183809101291</v>
      </c>
      <c r="AF304">
        <v>1344.2183809101291</v>
      </c>
      <c r="AG304">
        <v>1344.2183809101291</v>
      </c>
      <c r="AH304">
        <v>1344.2183809101291</v>
      </c>
      <c r="AI304">
        <v>1344.2183809101291</v>
      </c>
      <c r="AJ304">
        <v>1344.2183809101291</v>
      </c>
      <c r="AK304">
        <v>1344.2183809101291</v>
      </c>
    </row>
    <row r="305" spans="1:37" x14ac:dyDescent="0.25">
      <c r="A305" t="s">
        <v>90</v>
      </c>
      <c r="B305" t="s">
        <v>282</v>
      </c>
      <c r="C305" t="s">
        <v>328</v>
      </c>
      <c r="F305" t="s">
        <v>338</v>
      </c>
      <c r="G305" t="s">
        <v>133</v>
      </c>
      <c r="H305" t="s">
        <v>134</v>
      </c>
      <c r="I305" t="s">
        <v>332</v>
      </c>
      <c r="J305" t="s">
        <v>339</v>
      </c>
      <c r="K305" t="s">
        <v>98</v>
      </c>
      <c r="L305">
        <v>1</v>
      </c>
      <c r="M305">
        <v>1</v>
      </c>
      <c r="N305">
        <v>2020</v>
      </c>
      <c r="O305">
        <v>25</v>
      </c>
      <c r="P305">
        <v>1</v>
      </c>
      <c r="Q305">
        <v>4.3171763807781111E-3</v>
      </c>
      <c r="R305">
        <v>4.3171763807781111E-3</v>
      </c>
      <c r="S305">
        <v>4.3171763807781111E-3</v>
      </c>
      <c r="T305">
        <v>4.3171763807781111E-3</v>
      </c>
      <c r="U305">
        <v>4.3171763807781111E-3</v>
      </c>
      <c r="V305">
        <v>4.3171763807781111E-3</v>
      </c>
      <c r="W305">
        <v>4.3171763807781111E-3</v>
      </c>
      <c r="X305">
        <v>221853.1024539581</v>
      </c>
      <c r="Y305">
        <v>221853.1024539581</v>
      </c>
      <c r="Z305">
        <v>221853.1024539581</v>
      </c>
      <c r="AA305">
        <v>221853.1024539581</v>
      </c>
      <c r="AB305">
        <v>221853.1024539581</v>
      </c>
      <c r="AC305">
        <v>221853.1024539581</v>
      </c>
      <c r="AD305">
        <v>221853.1024539581</v>
      </c>
      <c r="AE305">
        <v>1397.9871161465351</v>
      </c>
      <c r="AF305">
        <v>1397.9871161465351</v>
      </c>
      <c r="AG305">
        <v>1397.9871161465351</v>
      </c>
      <c r="AH305">
        <v>1397.9871161465351</v>
      </c>
      <c r="AI305">
        <v>1397.9871161465351</v>
      </c>
      <c r="AJ305">
        <v>1397.9871161465351</v>
      </c>
      <c r="AK305">
        <v>1397.9871161465351</v>
      </c>
    </row>
    <row r="306" spans="1:37" x14ac:dyDescent="0.25">
      <c r="A306" t="s">
        <v>90</v>
      </c>
      <c r="B306" t="s">
        <v>282</v>
      </c>
      <c r="C306" t="s">
        <v>328</v>
      </c>
      <c r="F306" t="s">
        <v>340</v>
      </c>
      <c r="G306" t="s">
        <v>330</v>
      </c>
      <c r="H306" t="s">
        <v>331</v>
      </c>
      <c r="I306" t="s">
        <v>332</v>
      </c>
      <c r="J306" t="s">
        <v>341</v>
      </c>
      <c r="K306" t="s">
        <v>98</v>
      </c>
      <c r="L306">
        <v>1</v>
      </c>
      <c r="M306">
        <v>1</v>
      </c>
      <c r="N306">
        <v>2020</v>
      </c>
      <c r="O306">
        <v>25</v>
      </c>
      <c r="P306">
        <v>1</v>
      </c>
      <c r="Q306">
        <v>4.4240919358955882E-3</v>
      </c>
      <c r="R306">
        <v>4.4240919358955882E-3</v>
      </c>
      <c r="S306">
        <v>4.4240919358955882E-3</v>
      </c>
      <c r="T306">
        <v>4.4240919358955882E-3</v>
      </c>
      <c r="U306">
        <v>4.4240919358955882E-3</v>
      </c>
      <c r="V306">
        <v>4.4240919358955882E-3</v>
      </c>
      <c r="W306">
        <v>4.4240919358955882E-3</v>
      </c>
      <c r="X306">
        <v>146887.46710107001</v>
      </c>
      <c r="Y306">
        <v>146887.46710107001</v>
      </c>
      <c r="Z306">
        <v>146887.46710107001</v>
      </c>
      <c r="AA306">
        <v>146887.46710107001</v>
      </c>
      <c r="AB306">
        <v>146887.46710107001</v>
      </c>
      <c r="AC306">
        <v>146887.46710107001</v>
      </c>
      <c r="AD306">
        <v>146887.46710107001</v>
      </c>
      <c r="AE306">
        <v>1352.457345260636</v>
      </c>
      <c r="AF306">
        <v>1352.457345260636</v>
      </c>
      <c r="AG306">
        <v>1352.457345260636</v>
      </c>
      <c r="AH306">
        <v>1352.457345260636</v>
      </c>
      <c r="AI306">
        <v>1352.457345260636</v>
      </c>
      <c r="AJ306">
        <v>1352.457345260636</v>
      </c>
      <c r="AK306">
        <v>1352.457345260636</v>
      </c>
    </row>
    <row r="307" spans="1:37" x14ac:dyDescent="0.25">
      <c r="A307" t="s">
        <v>90</v>
      </c>
      <c r="B307" t="s">
        <v>282</v>
      </c>
      <c r="C307" t="s">
        <v>328</v>
      </c>
      <c r="F307" t="s">
        <v>340</v>
      </c>
      <c r="G307" t="s">
        <v>334</v>
      </c>
      <c r="H307" t="s">
        <v>335</v>
      </c>
      <c r="I307" t="s">
        <v>332</v>
      </c>
      <c r="J307" t="s">
        <v>341</v>
      </c>
      <c r="K307" t="s">
        <v>98</v>
      </c>
      <c r="L307">
        <v>0</v>
      </c>
      <c r="M307">
        <v>1</v>
      </c>
      <c r="N307">
        <v>2020</v>
      </c>
      <c r="O307">
        <v>25</v>
      </c>
      <c r="P307">
        <v>1</v>
      </c>
      <c r="Q307">
        <v>4.4240919358955882E-3</v>
      </c>
      <c r="R307">
        <v>4.4240919358955882E-3</v>
      </c>
      <c r="S307">
        <v>4.4240919358955882E-3</v>
      </c>
      <c r="T307">
        <v>4.4240919358955882E-3</v>
      </c>
      <c r="U307">
        <v>4.4240919358955882E-3</v>
      </c>
      <c r="V307">
        <v>4.4240919358955882E-3</v>
      </c>
      <c r="W307">
        <v>4.4240919358955882E-3</v>
      </c>
      <c r="X307">
        <v>146887.46710107001</v>
      </c>
      <c r="Y307">
        <v>146887.46710107001</v>
      </c>
      <c r="Z307">
        <v>146887.46710107001</v>
      </c>
      <c r="AA307">
        <v>146887.46710107001</v>
      </c>
      <c r="AB307">
        <v>146887.46710107001</v>
      </c>
      <c r="AC307">
        <v>146887.46710107001</v>
      </c>
      <c r="AD307">
        <v>146887.46710107001</v>
      </c>
      <c r="AE307">
        <v>1352.457345260636</v>
      </c>
      <c r="AF307">
        <v>1352.457345260636</v>
      </c>
      <c r="AG307">
        <v>1352.457345260636</v>
      </c>
      <c r="AH307">
        <v>1352.457345260636</v>
      </c>
      <c r="AI307">
        <v>1352.457345260636</v>
      </c>
      <c r="AJ307">
        <v>1352.457345260636</v>
      </c>
      <c r="AK307">
        <v>1352.457345260636</v>
      </c>
    </row>
    <row r="308" spans="1:37" x14ac:dyDescent="0.25">
      <c r="A308" t="s">
        <v>90</v>
      </c>
      <c r="B308" t="s">
        <v>282</v>
      </c>
      <c r="C308" t="s">
        <v>328</v>
      </c>
      <c r="F308" t="s">
        <v>342</v>
      </c>
      <c r="G308" t="s">
        <v>330</v>
      </c>
      <c r="H308" t="s">
        <v>331</v>
      </c>
      <c r="I308" t="s">
        <v>332</v>
      </c>
      <c r="J308" t="s">
        <v>343</v>
      </c>
      <c r="K308" t="s">
        <v>98</v>
      </c>
      <c r="L308">
        <v>1</v>
      </c>
      <c r="M308">
        <v>1</v>
      </c>
      <c r="N308">
        <v>2020</v>
      </c>
      <c r="O308">
        <v>25</v>
      </c>
      <c r="P308">
        <v>1</v>
      </c>
      <c r="Q308">
        <v>6.2907427262766779E-3</v>
      </c>
      <c r="R308">
        <v>6.2907427262766779E-3</v>
      </c>
      <c r="S308">
        <v>6.2907427262766779E-3</v>
      </c>
      <c r="T308">
        <v>6.2907427262766779E-3</v>
      </c>
      <c r="U308">
        <v>6.2907427262766779E-3</v>
      </c>
      <c r="V308">
        <v>6.2907427262766779E-3</v>
      </c>
      <c r="W308">
        <v>6.2907427262766779E-3</v>
      </c>
      <c r="X308">
        <v>203129.0179554903</v>
      </c>
      <c r="Y308">
        <v>203129.0179554903</v>
      </c>
      <c r="Z308">
        <v>203129.0179554903</v>
      </c>
      <c r="AA308">
        <v>203129.0179554903</v>
      </c>
      <c r="AB308">
        <v>203129.0179554903</v>
      </c>
      <c r="AC308">
        <v>203129.0179554903</v>
      </c>
      <c r="AD308">
        <v>203129.0179554903</v>
      </c>
      <c r="AE308">
        <v>1344.2183809101291</v>
      </c>
      <c r="AF308">
        <v>1344.2183809101291</v>
      </c>
      <c r="AG308">
        <v>1344.2183809101291</v>
      </c>
      <c r="AH308">
        <v>1344.2183809101291</v>
      </c>
      <c r="AI308">
        <v>1344.2183809101291</v>
      </c>
      <c r="AJ308">
        <v>1344.2183809101291</v>
      </c>
      <c r="AK308">
        <v>1344.2183809101291</v>
      </c>
    </row>
    <row r="309" spans="1:37" x14ac:dyDescent="0.25">
      <c r="A309" t="s">
        <v>90</v>
      </c>
      <c r="B309" t="s">
        <v>282</v>
      </c>
      <c r="C309" t="s">
        <v>328</v>
      </c>
      <c r="F309" t="s">
        <v>342</v>
      </c>
      <c r="G309" t="s">
        <v>334</v>
      </c>
      <c r="H309" t="s">
        <v>335</v>
      </c>
      <c r="I309" t="s">
        <v>332</v>
      </c>
      <c r="J309" t="s">
        <v>343</v>
      </c>
      <c r="K309" t="s">
        <v>98</v>
      </c>
      <c r="L309">
        <v>0</v>
      </c>
      <c r="M309">
        <v>1</v>
      </c>
      <c r="N309">
        <v>2020</v>
      </c>
      <c r="O309">
        <v>25</v>
      </c>
      <c r="P309">
        <v>1</v>
      </c>
      <c r="Q309">
        <v>6.2907427262766779E-3</v>
      </c>
      <c r="R309">
        <v>6.2907427262766779E-3</v>
      </c>
      <c r="S309">
        <v>6.2907427262766779E-3</v>
      </c>
      <c r="T309">
        <v>6.2907427262766779E-3</v>
      </c>
      <c r="U309">
        <v>6.2907427262766779E-3</v>
      </c>
      <c r="V309">
        <v>6.2907427262766779E-3</v>
      </c>
      <c r="W309">
        <v>6.2907427262766779E-3</v>
      </c>
      <c r="X309">
        <v>203129.0179554903</v>
      </c>
      <c r="Y309">
        <v>203129.0179554903</v>
      </c>
      <c r="Z309">
        <v>203129.0179554903</v>
      </c>
      <c r="AA309">
        <v>203129.0179554903</v>
      </c>
      <c r="AB309">
        <v>203129.0179554903</v>
      </c>
      <c r="AC309">
        <v>203129.0179554903</v>
      </c>
      <c r="AD309">
        <v>203129.0179554903</v>
      </c>
      <c r="AE309">
        <v>1344.2183809101291</v>
      </c>
      <c r="AF309">
        <v>1344.2183809101291</v>
      </c>
      <c r="AG309">
        <v>1344.2183809101291</v>
      </c>
      <c r="AH309">
        <v>1344.2183809101291</v>
      </c>
      <c r="AI309">
        <v>1344.2183809101291</v>
      </c>
      <c r="AJ309">
        <v>1344.2183809101291</v>
      </c>
      <c r="AK309">
        <v>1344.2183809101291</v>
      </c>
    </row>
    <row r="310" spans="1:37" x14ac:dyDescent="0.25">
      <c r="A310" t="s">
        <v>90</v>
      </c>
      <c r="B310" t="s">
        <v>282</v>
      </c>
      <c r="C310" t="s">
        <v>328</v>
      </c>
      <c r="F310" t="s">
        <v>344</v>
      </c>
      <c r="G310" t="s">
        <v>330</v>
      </c>
      <c r="H310" t="s">
        <v>331</v>
      </c>
      <c r="I310" t="s">
        <v>332</v>
      </c>
      <c r="J310" t="s">
        <v>345</v>
      </c>
      <c r="K310" t="s">
        <v>98</v>
      </c>
      <c r="L310">
        <v>1</v>
      </c>
      <c r="M310">
        <v>1</v>
      </c>
      <c r="N310">
        <v>2020</v>
      </c>
      <c r="O310">
        <v>25</v>
      </c>
      <c r="P310">
        <v>1</v>
      </c>
      <c r="Q310">
        <v>4.892799898215193E-3</v>
      </c>
      <c r="R310">
        <v>4.892799898215193E-3</v>
      </c>
      <c r="S310">
        <v>4.892799898215193E-3</v>
      </c>
      <c r="T310">
        <v>4.892799898215193E-3</v>
      </c>
      <c r="U310">
        <v>4.892799898215193E-3</v>
      </c>
      <c r="V310">
        <v>4.892799898215193E-3</v>
      </c>
      <c r="W310">
        <v>4.892799898215193E-3</v>
      </c>
      <c r="X310">
        <v>161392.03716980241</v>
      </c>
      <c r="Y310">
        <v>161392.03716980241</v>
      </c>
      <c r="Z310">
        <v>161392.03716980241</v>
      </c>
      <c r="AA310">
        <v>161392.03716980241</v>
      </c>
      <c r="AB310">
        <v>161392.03716980241</v>
      </c>
      <c r="AC310">
        <v>161392.03716980241</v>
      </c>
      <c r="AD310">
        <v>161392.03716980241</v>
      </c>
      <c r="AE310">
        <v>1344.2183809101291</v>
      </c>
      <c r="AF310">
        <v>1344.2183809101291</v>
      </c>
      <c r="AG310">
        <v>1344.2183809101291</v>
      </c>
      <c r="AH310">
        <v>1344.2183809101291</v>
      </c>
      <c r="AI310">
        <v>1344.2183809101291</v>
      </c>
      <c r="AJ310">
        <v>1344.2183809101291</v>
      </c>
      <c r="AK310">
        <v>1344.2183809101291</v>
      </c>
    </row>
    <row r="311" spans="1:37" x14ac:dyDescent="0.25">
      <c r="A311" t="s">
        <v>90</v>
      </c>
      <c r="B311" t="s">
        <v>282</v>
      </c>
      <c r="C311" t="s">
        <v>328</v>
      </c>
      <c r="F311" t="s">
        <v>344</v>
      </c>
      <c r="G311" t="s">
        <v>334</v>
      </c>
      <c r="H311" t="s">
        <v>335</v>
      </c>
      <c r="I311" t="s">
        <v>332</v>
      </c>
      <c r="J311" t="s">
        <v>345</v>
      </c>
      <c r="K311" t="s">
        <v>98</v>
      </c>
      <c r="L311">
        <v>0</v>
      </c>
      <c r="M311">
        <v>1</v>
      </c>
      <c r="N311">
        <v>2020</v>
      </c>
      <c r="O311">
        <v>25</v>
      </c>
      <c r="P311">
        <v>1</v>
      </c>
      <c r="Q311">
        <v>4.892799898215193E-3</v>
      </c>
      <c r="R311">
        <v>4.892799898215193E-3</v>
      </c>
      <c r="S311">
        <v>4.892799898215193E-3</v>
      </c>
      <c r="T311">
        <v>4.892799898215193E-3</v>
      </c>
      <c r="U311">
        <v>4.892799898215193E-3</v>
      </c>
      <c r="V311">
        <v>4.892799898215193E-3</v>
      </c>
      <c r="W311">
        <v>4.892799898215193E-3</v>
      </c>
      <c r="X311">
        <v>161392.03716980241</v>
      </c>
      <c r="Y311">
        <v>161392.03716980241</v>
      </c>
      <c r="Z311">
        <v>161392.03716980241</v>
      </c>
      <c r="AA311">
        <v>161392.03716980241</v>
      </c>
      <c r="AB311">
        <v>161392.03716980241</v>
      </c>
      <c r="AC311">
        <v>161392.03716980241</v>
      </c>
      <c r="AD311">
        <v>161392.03716980241</v>
      </c>
      <c r="AE311">
        <v>1344.2183809101291</v>
      </c>
      <c r="AF311">
        <v>1344.2183809101291</v>
      </c>
      <c r="AG311">
        <v>1344.2183809101291</v>
      </c>
      <c r="AH311">
        <v>1344.2183809101291</v>
      </c>
      <c r="AI311">
        <v>1344.2183809101291</v>
      </c>
      <c r="AJ311">
        <v>1344.2183809101291</v>
      </c>
      <c r="AK311">
        <v>1344.2183809101291</v>
      </c>
    </row>
    <row r="312" spans="1:37" x14ac:dyDescent="0.25">
      <c r="A312" t="s">
        <v>90</v>
      </c>
      <c r="B312" t="s">
        <v>282</v>
      </c>
      <c r="C312" t="s">
        <v>328</v>
      </c>
      <c r="F312" t="s">
        <v>346</v>
      </c>
      <c r="G312" t="s">
        <v>330</v>
      </c>
      <c r="H312" t="s">
        <v>331</v>
      </c>
      <c r="I312" t="s">
        <v>332</v>
      </c>
      <c r="J312" t="s">
        <v>347</v>
      </c>
      <c r="K312" t="s">
        <v>98</v>
      </c>
      <c r="L312">
        <v>1</v>
      </c>
      <c r="M312">
        <v>1</v>
      </c>
      <c r="N312">
        <v>2020</v>
      </c>
      <c r="O312">
        <v>25</v>
      </c>
      <c r="P312">
        <v>1</v>
      </c>
      <c r="Q312">
        <v>5.0325941810213408E-3</v>
      </c>
      <c r="R312">
        <v>5.0325941810213408E-3</v>
      </c>
      <c r="S312">
        <v>5.0325941810213408E-3</v>
      </c>
      <c r="T312">
        <v>5.0325941810213408E-3</v>
      </c>
      <c r="U312">
        <v>5.0325941810213408E-3</v>
      </c>
      <c r="V312">
        <v>5.0325941810213408E-3</v>
      </c>
      <c r="W312">
        <v>5.0325941810213408E-3</v>
      </c>
      <c r="X312">
        <v>217642.10450528149</v>
      </c>
      <c r="Y312">
        <v>217642.10450528149</v>
      </c>
      <c r="Z312">
        <v>217642.10450528149</v>
      </c>
      <c r="AA312">
        <v>217642.10450528149</v>
      </c>
      <c r="AB312">
        <v>217642.10450528149</v>
      </c>
      <c r="AC312">
        <v>217642.10450528149</v>
      </c>
      <c r="AD312">
        <v>217642.10450528149</v>
      </c>
      <c r="AE312">
        <v>1993.9916163953881</v>
      </c>
      <c r="AF312">
        <v>1993.9916163953881</v>
      </c>
      <c r="AG312">
        <v>1993.9916163953881</v>
      </c>
      <c r="AH312">
        <v>1993.9916163953881</v>
      </c>
      <c r="AI312">
        <v>1993.9916163953881</v>
      </c>
      <c r="AJ312">
        <v>1993.9916163953881</v>
      </c>
      <c r="AK312">
        <v>1993.9916163953881</v>
      </c>
    </row>
    <row r="313" spans="1:37" x14ac:dyDescent="0.25">
      <c r="A313" t="s">
        <v>90</v>
      </c>
      <c r="B313" t="s">
        <v>282</v>
      </c>
      <c r="C313" t="s">
        <v>328</v>
      </c>
      <c r="F313" t="s">
        <v>346</v>
      </c>
      <c r="G313" t="s">
        <v>334</v>
      </c>
      <c r="H313" t="s">
        <v>335</v>
      </c>
      <c r="I313" t="s">
        <v>332</v>
      </c>
      <c r="J313" t="s">
        <v>347</v>
      </c>
      <c r="K313" t="s">
        <v>98</v>
      </c>
      <c r="L313">
        <v>0</v>
      </c>
      <c r="M313">
        <v>1</v>
      </c>
      <c r="N313">
        <v>2020</v>
      </c>
      <c r="O313">
        <v>25</v>
      </c>
      <c r="P313">
        <v>1</v>
      </c>
      <c r="Q313">
        <v>5.0325941810213408E-3</v>
      </c>
      <c r="R313">
        <v>5.0325941810213408E-3</v>
      </c>
      <c r="S313">
        <v>5.0325941810213408E-3</v>
      </c>
      <c r="T313">
        <v>5.0325941810213408E-3</v>
      </c>
      <c r="U313">
        <v>5.0325941810213408E-3</v>
      </c>
      <c r="V313">
        <v>5.0325941810213408E-3</v>
      </c>
      <c r="W313">
        <v>5.0325941810213408E-3</v>
      </c>
      <c r="X313">
        <v>217642.10450528149</v>
      </c>
      <c r="Y313">
        <v>217642.10450528149</v>
      </c>
      <c r="Z313">
        <v>217642.10450528149</v>
      </c>
      <c r="AA313">
        <v>217642.10450528149</v>
      </c>
      <c r="AB313">
        <v>217642.10450528149</v>
      </c>
      <c r="AC313">
        <v>217642.10450528149</v>
      </c>
      <c r="AD313">
        <v>217642.10450528149</v>
      </c>
      <c r="AE313">
        <v>1993.9916163953881</v>
      </c>
      <c r="AF313">
        <v>1993.9916163953881</v>
      </c>
      <c r="AG313">
        <v>1993.9916163953881</v>
      </c>
      <c r="AH313">
        <v>1993.9916163953881</v>
      </c>
      <c r="AI313">
        <v>1993.9916163953881</v>
      </c>
      <c r="AJ313">
        <v>1993.9916163953881</v>
      </c>
      <c r="AK313">
        <v>1993.9916163953881</v>
      </c>
    </row>
    <row r="314" spans="1:37" x14ac:dyDescent="0.25">
      <c r="A314" t="s">
        <v>90</v>
      </c>
      <c r="B314" t="s">
        <v>282</v>
      </c>
      <c r="C314" t="s">
        <v>328</v>
      </c>
      <c r="F314" t="s">
        <v>348</v>
      </c>
      <c r="G314" t="s">
        <v>330</v>
      </c>
      <c r="H314" t="s">
        <v>331</v>
      </c>
      <c r="I314" t="s">
        <v>332</v>
      </c>
      <c r="J314" t="s">
        <v>349</v>
      </c>
      <c r="K314" t="s">
        <v>98</v>
      </c>
      <c r="L314">
        <v>1</v>
      </c>
      <c r="M314">
        <v>1</v>
      </c>
      <c r="N314">
        <v>2020</v>
      </c>
      <c r="O314">
        <v>25</v>
      </c>
      <c r="P314">
        <v>1</v>
      </c>
      <c r="Q314">
        <v>5.0325941810213408E-3</v>
      </c>
      <c r="R314">
        <v>5.0325941810213408E-3</v>
      </c>
      <c r="S314">
        <v>5.0325941810213408E-3</v>
      </c>
      <c r="T314">
        <v>5.0325941810213408E-3</v>
      </c>
      <c r="U314">
        <v>5.0325941810213408E-3</v>
      </c>
      <c r="V314">
        <v>5.0325941810213408E-3</v>
      </c>
      <c r="W314">
        <v>5.0325941810213408E-3</v>
      </c>
      <c r="X314">
        <v>167450.02350561251</v>
      </c>
      <c r="Y314">
        <v>167450.02350561251</v>
      </c>
      <c r="Z314">
        <v>167450.02350561251</v>
      </c>
      <c r="AA314">
        <v>167450.02350561251</v>
      </c>
      <c r="AB314">
        <v>167450.02350561251</v>
      </c>
      <c r="AC314">
        <v>167450.02350561251</v>
      </c>
      <c r="AD314">
        <v>167450.02350561251</v>
      </c>
      <c r="AE314">
        <v>1534.1422276464859</v>
      </c>
      <c r="AF314">
        <v>1534.1422276464859</v>
      </c>
      <c r="AG314">
        <v>1534.1422276464859</v>
      </c>
      <c r="AH314">
        <v>1534.1422276464859</v>
      </c>
      <c r="AI314">
        <v>1534.1422276464859</v>
      </c>
      <c r="AJ314">
        <v>1534.1422276464859</v>
      </c>
      <c r="AK314">
        <v>1534.1422276464859</v>
      </c>
    </row>
    <row r="315" spans="1:37" x14ac:dyDescent="0.25">
      <c r="A315" t="s">
        <v>90</v>
      </c>
      <c r="B315" t="s">
        <v>282</v>
      </c>
      <c r="C315" t="s">
        <v>328</v>
      </c>
      <c r="F315" t="s">
        <v>348</v>
      </c>
      <c r="G315" t="s">
        <v>334</v>
      </c>
      <c r="H315" t="s">
        <v>335</v>
      </c>
      <c r="I315" t="s">
        <v>332</v>
      </c>
      <c r="J315" t="s">
        <v>349</v>
      </c>
      <c r="K315" t="s">
        <v>98</v>
      </c>
      <c r="L315">
        <v>0</v>
      </c>
      <c r="M315">
        <v>1</v>
      </c>
      <c r="N315">
        <v>2020</v>
      </c>
      <c r="O315">
        <v>25</v>
      </c>
      <c r="P315">
        <v>1</v>
      </c>
      <c r="Q315">
        <v>5.0325941810213408E-3</v>
      </c>
      <c r="R315">
        <v>5.0325941810213408E-3</v>
      </c>
      <c r="S315">
        <v>5.0325941810213408E-3</v>
      </c>
      <c r="T315">
        <v>5.0325941810213408E-3</v>
      </c>
      <c r="U315">
        <v>5.0325941810213408E-3</v>
      </c>
      <c r="V315">
        <v>5.0325941810213408E-3</v>
      </c>
      <c r="W315">
        <v>5.0325941810213408E-3</v>
      </c>
      <c r="X315">
        <v>167450.02350561251</v>
      </c>
      <c r="Y315">
        <v>167450.02350561251</v>
      </c>
      <c r="Z315">
        <v>167450.02350561251</v>
      </c>
      <c r="AA315">
        <v>167450.02350561251</v>
      </c>
      <c r="AB315">
        <v>167450.02350561251</v>
      </c>
      <c r="AC315">
        <v>167450.02350561251</v>
      </c>
      <c r="AD315">
        <v>167450.02350561251</v>
      </c>
      <c r="AE315">
        <v>1534.1422276464859</v>
      </c>
      <c r="AF315">
        <v>1534.1422276464859</v>
      </c>
      <c r="AG315">
        <v>1534.1422276464859</v>
      </c>
      <c r="AH315">
        <v>1534.1422276464859</v>
      </c>
      <c r="AI315">
        <v>1534.1422276464859</v>
      </c>
      <c r="AJ315">
        <v>1534.1422276464859</v>
      </c>
      <c r="AK315">
        <v>1534.1422276464859</v>
      </c>
    </row>
    <row r="316" spans="1:37" x14ac:dyDescent="0.25">
      <c r="A316" t="s">
        <v>90</v>
      </c>
      <c r="B316" t="s">
        <v>282</v>
      </c>
      <c r="C316" t="s">
        <v>328</v>
      </c>
      <c r="F316" t="s">
        <v>350</v>
      </c>
      <c r="G316" t="s">
        <v>330</v>
      </c>
      <c r="H316" t="s">
        <v>331</v>
      </c>
      <c r="I316" t="s">
        <v>332</v>
      </c>
      <c r="J316" t="s">
        <v>351</v>
      </c>
      <c r="K316" t="s">
        <v>98</v>
      </c>
      <c r="L316">
        <v>1</v>
      </c>
      <c r="M316">
        <v>1</v>
      </c>
      <c r="N316">
        <v>2020</v>
      </c>
      <c r="O316">
        <v>25</v>
      </c>
      <c r="P316">
        <v>1</v>
      </c>
      <c r="Q316">
        <v>5.180611656933733E-3</v>
      </c>
      <c r="R316">
        <v>5.180611656933733E-3</v>
      </c>
      <c r="S316">
        <v>5.180611656933733E-3</v>
      </c>
      <c r="T316">
        <v>5.180611656933733E-3</v>
      </c>
      <c r="U316">
        <v>5.180611656933733E-3</v>
      </c>
      <c r="V316">
        <v>5.180611656933733E-3</v>
      </c>
      <c r="W316">
        <v>5.180611656933733E-3</v>
      </c>
      <c r="X316">
        <v>306294.69289847172</v>
      </c>
      <c r="Y316">
        <v>306294.69289847172</v>
      </c>
      <c r="Z316">
        <v>306294.69289847172</v>
      </c>
      <c r="AA316">
        <v>306294.69289847172</v>
      </c>
      <c r="AB316">
        <v>306294.69289847172</v>
      </c>
      <c r="AC316">
        <v>306294.69289847172</v>
      </c>
      <c r="AD316">
        <v>306294.69289847172</v>
      </c>
      <c r="AE316">
        <v>2806.2081607519622</v>
      </c>
      <c r="AF316">
        <v>2806.2081607519622</v>
      </c>
      <c r="AG316">
        <v>2806.2081607519622</v>
      </c>
      <c r="AH316">
        <v>2806.2081607519622</v>
      </c>
      <c r="AI316">
        <v>2806.2081607519622</v>
      </c>
      <c r="AJ316">
        <v>2806.2081607519622</v>
      </c>
      <c r="AK316">
        <v>2806.2081607519622</v>
      </c>
    </row>
    <row r="317" spans="1:37" x14ac:dyDescent="0.25">
      <c r="A317" t="s">
        <v>90</v>
      </c>
      <c r="B317" t="s">
        <v>282</v>
      </c>
      <c r="C317" t="s">
        <v>328</v>
      </c>
      <c r="F317" t="s">
        <v>350</v>
      </c>
      <c r="G317" t="s">
        <v>334</v>
      </c>
      <c r="H317" t="s">
        <v>335</v>
      </c>
      <c r="I317" t="s">
        <v>332</v>
      </c>
      <c r="J317" t="s">
        <v>351</v>
      </c>
      <c r="K317" t="s">
        <v>98</v>
      </c>
      <c r="L317">
        <v>0</v>
      </c>
      <c r="M317">
        <v>1</v>
      </c>
      <c r="N317">
        <v>2020</v>
      </c>
      <c r="O317">
        <v>25</v>
      </c>
      <c r="P317">
        <v>1</v>
      </c>
      <c r="Q317">
        <v>5.180611656933733E-3</v>
      </c>
      <c r="R317">
        <v>5.180611656933733E-3</v>
      </c>
      <c r="S317">
        <v>5.180611656933733E-3</v>
      </c>
      <c r="T317">
        <v>5.180611656933733E-3</v>
      </c>
      <c r="U317">
        <v>5.180611656933733E-3</v>
      </c>
      <c r="V317">
        <v>5.180611656933733E-3</v>
      </c>
      <c r="W317">
        <v>5.180611656933733E-3</v>
      </c>
      <c r="X317">
        <v>306294.69289847172</v>
      </c>
      <c r="Y317">
        <v>306294.69289847172</v>
      </c>
      <c r="Z317">
        <v>306294.69289847172</v>
      </c>
      <c r="AA317">
        <v>306294.69289847172</v>
      </c>
      <c r="AB317">
        <v>306294.69289847172</v>
      </c>
      <c r="AC317">
        <v>306294.69289847172</v>
      </c>
      <c r="AD317">
        <v>306294.69289847172</v>
      </c>
      <c r="AE317">
        <v>2806.2081607519622</v>
      </c>
      <c r="AF317">
        <v>2806.2081607519622</v>
      </c>
      <c r="AG317">
        <v>2806.2081607519622</v>
      </c>
      <c r="AH317">
        <v>2806.2081607519622</v>
      </c>
      <c r="AI317">
        <v>2806.2081607519622</v>
      </c>
      <c r="AJ317">
        <v>2806.2081607519622</v>
      </c>
      <c r="AK317">
        <v>2806.2081607519622</v>
      </c>
    </row>
    <row r="318" spans="1:37" x14ac:dyDescent="0.25">
      <c r="A318" t="s">
        <v>90</v>
      </c>
      <c r="B318" t="s">
        <v>282</v>
      </c>
      <c r="C318" t="s">
        <v>328</v>
      </c>
      <c r="F318" t="s">
        <v>352</v>
      </c>
      <c r="G318" t="s">
        <v>353</v>
      </c>
      <c r="H318" t="s">
        <v>354</v>
      </c>
      <c r="I318" t="s">
        <v>332</v>
      </c>
      <c r="J318" t="s">
        <v>355</v>
      </c>
      <c r="K318" t="s">
        <v>98</v>
      </c>
      <c r="L318">
        <v>1</v>
      </c>
      <c r="M318">
        <v>1</v>
      </c>
      <c r="N318">
        <v>2020</v>
      </c>
      <c r="O318">
        <v>20</v>
      </c>
      <c r="P318">
        <v>1</v>
      </c>
      <c r="Q318">
        <v>3.9411544272050774E-3</v>
      </c>
      <c r="R318">
        <v>3.9411544272050774E-3</v>
      </c>
      <c r="S318">
        <v>3.9411544272050774E-3</v>
      </c>
      <c r="T318">
        <v>3.9411544272050774E-3</v>
      </c>
      <c r="U318">
        <v>3.9411544272050774E-3</v>
      </c>
      <c r="V318">
        <v>3.9411544272050774E-3</v>
      </c>
      <c r="W318">
        <v>3.9411544272050774E-3</v>
      </c>
      <c r="X318">
        <v>3154.2202085101062</v>
      </c>
      <c r="Y318">
        <v>3154.2202085101062</v>
      </c>
      <c r="Z318">
        <v>3154.2202085101062</v>
      </c>
      <c r="AA318">
        <v>3154.2202085101062</v>
      </c>
      <c r="AB318">
        <v>3154.2202085101062</v>
      </c>
      <c r="AC318">
        <v>3154.2202085101062</v>
      </c>
      <c r="AD318">
        <v>3154.2202085101062</v>
      </c>
      <c r="AE318">
        <v>315.42202085101059</v>
      </c>
      <c r="AF318">
        <v>315.42202085101059</v>
      </c>
      <c r="AG318">
        <v>315.42202085101059</v>
      </c>
      <c r="AH318">
        <v>315.42202085101059</v>
      </c>
      <c r="AI318">
        <v>315.42202085101059</v>
      </c>
      <c r="AJ318">
        <v>315.42202085101059</v>
      </c>
      <c r="AK318">
        <v>315.42202085101059</v>
      </c>
    </row>
    <row r="319" spans="1:37" x14ac:dyDescent="0.25">
      <c r="A319" t="s">
        <v>90</v>
      </c>
      <c r="B319" t="s">
        <v>282</v>
      </c>
      <c r="C319" t="s">
        <v>328</v>
      </c>
      <c r="F319" t="s">
        <v>356</v>
      </c>
      <c r="G319" t="s">
        <v>353</v>
      </c>
      <c r="H319" t="s">
        <v>354</v>
      </c>
      <c r="I319" t="s">
        <v>332</v>
      </c>
      <c r="J319" t="s">
        <v>357</v>
      </c>
      <c r="K319" t="s">
        <v>98</v>
      </c>
      <c r="L319">
        <v>1</v>
      </c>
      <c r="M319">
        <v>1</v>
      </c>
      <c r="N319">
        <v>2020</v>
      </c>
      <c r="O319">
        <v>20</v>
      </c>
      <c r="P319">
        <v>1</v>
      </c>
      <c r="Q319">
        <v>4.0699935799414022E-3</v>
      </c>
      <c r="R319">
        <v>4.0699935799414022E-3</v>
      </c>
      <c r="S319">
        <v>4.0699935799414022E-3</v>
      </c>
      <c r="T319">
        <v>4.0699935799414022E-3</v>
      </c>
      <c r="U319">
        <v>4.0699935799414022E-3</v>
      </c>
      <c r="V319">
        <v>4.0699935799414022E-3</v>
      </c>
      <c r="W319">
        <v>4.0699935799414022E-3</v>
      </c>
      <c r="X319">
        <v>3154.2202085101062</v>
      </c>
      <c r="Y319">
        <v>3154.2202085101062</v>
      </c>
      <c r="Z319">
        <v>3154.2202085101062</v>
      </c>
      <c r="AA319">
        <v>3154.2202085101062</v>
      </c>
      <c r="AB319">
        <v>3154.2202085101062</v>
      </c>
      <c r="AC319">
        <v>3154.2202085101062</v>
      </c>
      <c r="AD319">
        <v>3154.2202085101062</v>
      </c>
      <c r="AE319">
        <v>315.42202085101059</v>
      </c>
      <c r="AF319">
        <v>315.42202085101059</v>
      </c>
      <c r="AG319">
        <v>315.42202085101059</v>
      </c>
      <c r="AH319">
        <v>315.42202085101059</v>
      </c>
      <c r="AI319">
        <v>315.42202085101059</v>
      </c>
      <c r="AJ319">
        <v>315.42202085101059</v>
      </c>
      <c r="AK319">
        <v>315.42202085101059</v>
      </c>
    </row>
    <row r="320" spans="1:37" x14ac:dyDescent="0.25">
      <c r="A320" t="s">
        <v>358</v>
      </c>
      <c r="B320" t="s">
        <v>359</v>
      </c>
      <c r="J320" t="s">
        <v>358</v>
      </c>
      <c r="L320">
        <v>0</v>
      </c>
      <c r="M320" t="s">
        <v>358</v>
      </c>
    </row>
    <row r="321" spans="1:37" x14ac:dyDescent="0.25">
      <c r="A321" t="s">
        <v>90</v>
      </c>
      <c r="B321" t="s">
        <v>360</v>
      </c>
      <c r="E321" t="s">
        <v>114</v>
      </c>
      <c r="F321" t="s">
        <v>361</v>
      </c>
      <c r="G321" t="s">
        <v>304</v>
      </c>
      <c r="H321" t="s">
        <v>305</v>
      </c>
      <c r="I321" t="s">
        <v>115</v>
      </c>
      <c r="J321" t="s">
        <v>362</v>
      </c>
      <c r="K321" t="s">
        <v>363</v>
      </c>
      <c r="L321">
        <v>1</v>
      </c>
      <c r="M321">
        <v>1</v>
      </c>
      <c r="N321">
        <v>2019</v>
      </c>
      <c r="O321">
        <v>25</v>
      </c>
      <c r="Q321">
        <v>0.9</v>
      </c>
      <c r="R321">
        <v>0.91</v>
      </c>
      <c r="S321">
        <v>0.92</v>
      </c>
      <c r="T321">
        <v>0.93</v>
      </c>
      <c r="U321">
        <v>0.94</v>
      </c>
      <c r="V321">
        <v>0.95</v>
      </c>
      <c r="W321">
        <v>0.95</v>
      </c>
      <c r="X321">
        <v>1083.8776025609291</v>
      </c>
      <c r="Y321">
        <v>757.54886200495059</v>
      </c>
      <c r="Z321">
        <v>692.28311389375483</v>
      </c>
      <c r="AA321">
        <v>627.01736578255918</v>
      </c>
      <c r="AB321">
        <v>561.75161767136342</v>
      </c>
      <c r="AC321">
        <v>496.48586956016771</v>
      </c>
      <c r="AD321">
        <v>431.2201214489719</v>
      </c>
      <c r="AE321">
        <v>29.136494692498101</v>
      </c>
      <c r="AF321">
        <v>26.80557511709825</v>
      </c>
      <c r="AG321">
        <v>24.4746555416984</v>
      </c>
      <c r="AH321">
        <v>22.143735966298561</v>
      </c>
      <c r="AI321">
        <v>19.81281639089871</v>
      </c>
      <c r="AJ321">
        <v>17.48189681549886</v>
      </c>
      <c r="AK321">
        <v>15.15097724009901</v>
      </c>
    </row>
    <row r="322" spans="1:37" x14ac:dyDescent="0.25">
      <c r="A322" t="s">
        <v>90</v>
      </c>
      <c r="B322" t="s">
        <v>360</v>
      </c>
      <c r="E322" t="s">
        <v>114</v>
      </c>
      <c r="F322" t="s">
        <v>364</v>
      </c>
      <c r="G322" t="s">
        <v>304</v>
      </c>
      <c r="H322" t="s">
        <v>305</v>
      </c>
      <c r="I322" t="s">
        <v>115</v>
      </c>
      <c r="J322" t="s">
        <v>365</v>
      </c>
      <c r="K322" t="s">
        <v>363</v>
      </c>
      <c r="L322">
        <v>1</v>
      </c>
      <c r="M322">
        <v>1</v>
      </c>
      <c r="N322">
        <v>2019</v>
      </c>
      <c r="O322">
        <v>25</v>
      </c>
      <c r="Q322">
        <v>0.9</v>
      </c>
      <c r="R322">
        <v>0.91</v>
      </c>
      <c r="S322">
        <v>0.92</v>
      </c>
      <c r="T322">
        <v>0.93</v>
      </c>
      <c r="U322">
        <v>0.94</v>
      </c>
      <c r="V322">
        <v>0.95</v>
      </c>
      <c r="W322">
        <v>0.95</v>
      </c>
      <c r="X322">
        <v>970.82800315403665</v>
      </c>
      <c r="Y322">
        <v>675.96667686595595</v>
      </c>
      <c r="Z322">
        <v>617.69368748095974</v>
      </c>
      <c r="AA322">
        <v>559.42069809596353</v>
      </c>
      <c r="AB322">
        <v>501.14770871096732</v>
      </c>
      <c r="AC322">
        <v>442.87471932597111</v>
      </c>
      <c r="AD322">
        <v>384.60172994097491</v>
      </c>
      <c r="AE322">
        <v>37.294713206397567</v>
      </c>
      <c r="AF322">
        <v>34.186820439197767</v>
      </c>
      <c r="AG322">
        <v>31.07892767199797</v>
      </c>
      <c r="AH322">
        <v>27.97103490479817</v>
      </c>
      <c r="AI322">
        <v>24.863142137598381</v>
      </c>
      <c r="AJ322">
        <v>21.75524937039858</v>
      </c>
      <c r="AK322">
        <v>18.64735660319878</v>
      </c>
    </row>
    <row r="323" spans="1:37" x14ac:dyDescent="0.25">
      <c r="A323" t="s">
        <v>90</v>
      </c>
      <c r="B323" t="s">
        <v>360</v>
      </c>
      <c r="E323" t="s">
        <v>114</v>
      </c>
      <c r="F323" t="s">
        <v>366</v>
      </c>
      <c r="G323" t="s">
        <v>304</v>
      </c>
      <c r="H323" t="s">
        <v>305</v>
      </c>
      <c r="I323" t="s">
        <v>115</v>
      </c>
      <c r="J323" t="s">
        <v>367</v>
      </c>
      <c r="K323" t="s">
        <v>363</v>
      </c>
      <c r="L323">
        <v>1</v>
      </c>
      <c r="M323">
        <v>1</v>
      </c>
      <c r="N323">
        <v>2019</v>
      </c>
      <c r="O323">
        <v>25</v>
      </c>
      <c r="Q323">
        <v>0.9</v>
      </c>
      <c r="R323">
        <v>0.91</v>
      </c>
      <c r="S323">
        <v>0.92</v>
      </c>
      <c r="T323">
        <v>0.93</v>
      </c>
      <c r="U323">
        <v>0.94</v>
      </c>
      <c r="V323">
        <v>0.95</v>
      </c>
      <c r="W323">
        <v>0.95</v>
      </c>
      <c r="X323">
        <v>1165.4597876999239</v>
      </c>
      <c r="Y323">
        <v>815.8218513899468</v>
      </c>
      <c r="Z323">
        <v>745.89426412795137</v>
      </c>
      <c r="AA323">
        <v>675.96667686595595</v>
      </c>
      <c r="AB323">
        <v>606.03908960396052</v>
      </c>
      <c r="AC323">
        <v>536.11150234196498</v>
      </c>
      <c r="AD323">
        <v>466.18391507996961</v>
      </c>
      <c r="AE323">
        <v>44.287471932597107</v>
      </c>
      <c r="AF323">
        <v>40.596849271547363</v>
      </c>
      <c r="AG323">
        <v>36.906226610497598</v>
      </c>
      <c r="AH323">
        <v>33.215603949447839</v>
      </c>
      <c r="AI323">
        <v>29.52498128839807</v>
      </c>
      <c r="AJ323">
        <v>25.834358627348319</v>
      </c>
      <c r="AK323">
        <v>22.143735966298561</v>
      </c>
    </row>
    <row r="324" spans="1:37" x14ac:dyDescent="0.25">
      <c r="A324" t="s">
        <v>90</v>
      </c>
      <c r="B324" t="s">
        <v>360</v>
      </c>
      <c r="E324" t="s">
        <v>114</v>
      </c>
      <c r="F324" t="s">
        <v>368</v>
      </c>
      <c r="G324" t="s">
        <v>304</v>
      </c>
      <c r="H324" t="s">
        <v>305</v>
      </c>
      <c r="I324" t="s">
        <v>115</v>
      </c>
      <c r="J324" t="s">
        <v>369</v>
      </c>
      <c r="K324" t="s">
        <v>363</v>
      </c>
      <c r="L324">
        <v>1</v>
      </c>
      <c r="M324">
        <v>1</v>
      </c>
      <c r="N324">
        <v>2019</v>
      </c>
      <c r="O324">
        <v>25</v>
      </c>
      <c r="Q324">
        <v>0.9</v>
      </c>
      <c r="R324">
        <v>0.91</v>
      </c>
      <c r="S324">
        <v>0.92</v>
      </c>
      <c r="T324">
        <v>0.93</v>
      </c>
      <c r="U324">
        <v>0.94</v>
      </c>
      <c r="V324">
        <v>0.95</v>
      </c>
      <c r="W324">
        <v>0.95</v>
      </c>
      <c r="X324">
        <v>1748.189681549886</v>
      </c>
      <c r="Y324">
        <v>1223.7327770849199</v>
      </c>
      <c r="Z324">
        <v>1118.8413961919271</v>
      </c>
      <c r="AA324">
        <v>1118.8413961919271</v>
      </c>
      <c r="AB324">
        <v>1118.8413961919271</v>
      </c>
      <c r="AC324">
        <v>1118.8413961919271</v>
      </c>
      <c r="AD324">
        <v>699.27587261995438</v>
      </c>
      <c r="AE324">
        <v>60.603908960396048</v>
      </c>
      <c r="AF324">
        <v>55.553583213696378</v>
      </c>
      <c r="AG324">
        <v>50.503257466996708</v>
      </c>
      <c r="AH324">
        <v>45.45293172029703</v>
      </c>
      <c r="AI324">
        <v>40.40260597359736</v>
      </c>
      <c r="AJ324">
        <v>35.35228022689769</v>
      </c>
      <c r="AK324">
        <v>30.30195448019802</v>
      </c>
    </row>
    <row r="325" spans="1:37" x14ac:dyDescent="0.25">
      <c r="A325" t="s">
        <v>90</v>
      </c>
      <c r="B325" t="s">
        <v>370</v>
      </c>
      <c r="E325" t="s">
        <v>211</v>
      </c>
      <c r="F325" t="s">
        <v>371</v>
      </c>
      <c r="G325" t="s">
        <v>304</v>
      </c>
      <c r="H325" t="s">
        <v>305</v>
      </c>
      <c r="I325" t="s">
        <v>212</v>
      </c>
      <c r="J325" t="s">
        <v>372</v>
      </c>
      <c r="K325" t="s">
        <v>363</v>
      </c>
      <c r="L325">
        <v>1</v>
      </c>
      <c r="M325">
        <v>1</v>
      </c>
      <c r="N325">
        <v>2019</v>
      </c>
      <c r="O325">
        <v>25</v>
      </c>
      <c r="Q325">
        <v>0.9</v>
      </c>
      <c r="R325">
        <v>0.91</v>
      </c>
      <c r="S325">
        <v>0.92</v>
      </c>
      <c r="T325">
        <v>0.93</v>
      </c>
      <c r="U325">
        <v>0.94</v>
      </c>
      <c r="V325">
        <v>0.95</v>
      </c>
      <c r="W325">
        <v>0.95</v>
      </c>
      <c r="X325">
        <v>582.72989384996197</v>
      </c>
      <c r="Y325">
        <v>524.45690446496576</v>
      </c>
      <c r="Z325">
        <v>466.18391507996961</v>
      </c>
      <c r="AA325">
        <v>466.18391507996961</v>
      </c>
      <c r="AB325">
        <v>466.18391507996961</v>
      </c>
      <c r="AC325">
        <v>466.18391507996961</v>
      </c>
      <c r="AD325">
        <v>466.18391507996961</v>
      </c>
      <c r="AE325">
        <v>163.16437027798929</v>
      </c>
      <c r="AF325">
        <v>143.9342837809406</v>
      </c>
      <c r="AG325">
        <v>124.7041972838919</v>
      </c>
      <c r="AH325">
        <v>105.4741107868431</v>
      </c>
      <c r="AI325">
        <v>86.244024289794368</v>
      </c>
      <c r="AJ325">
        <v>67.013937792745622</v>
      </c>
      <c r="AK325">
        <v>47.783851295696877</v>
      </c>
    </row>
    <row r="326" spans="1:37" x14ac:dyDescent="0.25">
      <c r="A326" t="s">
        <v>90</v>
      </c>
      <c r="B326" t="s">
        <v>370</v>
      </c>
      <c r="E326" t="s">
        <v>211</v>
      </c>
      <c r="F326" t="s">
        <v>373</v>
      </c>
      <c r="G326" t="s">
        <v>304</v>
      </c>
      <c r="H326" t="s">
        <v>305</v>
      </c>
      <c r="I326" t="s">
        <v>212</v>
      </c>
      <c r="J326" t="s">
        <v>374</v>
      </c>
      <c r="K326" t="s">
        <v>363</v>
      </c>
      <c r="L326">
        <v>1</v>
      </c>
      <c r="M326">
        <v>1</v>
      </c>
      <c r="N326">
        <v>2019</v>
      </c>
      <c r="O326">
        <v>25</v>
      </c>
      <c r="Q326">
        <v>0.9</v>
      </c>
      <c r="R326">
        <v>0.91</v>
      </c>
      <c r="S326">
        <v>0.92</v>
      </c>
      <c r="T326">
        <v>0.93</v>
      </c>
      <c r="U326">
        <v>0.94</v>
      </c>
      <c r="V326">
        <v>0.95</v>
      </c>
      <c r="W326">
        <v>0.95</v>
      </c>
      <c r="X326">
        <v>874.09484077494301</v>
      </c>
      <c r="Y326">
        <v>757.54886200495059</v>
      </c>
      <c r="Z326">
        <v>641.00288323495818</v>
      </c>
      <c r="AA326">
        <v>641.00288323495818</v>
      </c>
      <c r="AB326">
        <v>641.00288323495818</v>
      </c>
      <c r="AC326">
        <v>641.00288323495818</v>
      </c>
      <c r="AD326">
        <v>641.00288323495818</v>
      </c>
      <c r="AE326">
        <v>174.8189681549886</v>
      </c>
      <c r="AF326">
        <v>156.3658548497398</v>
      </c>
      <c r="AG326">
        <v>137.91274154449101</v>
      </c>
      <c r="AH326">
        <v>119.45962823924221</v>
      </c>
      <c r="AI326">
        <v>101.0065149339934</v>
      </c>
      <c r="AJ326">
        <v>82.553401628744624</v>
      </c>
      <c r="AK326">
        <v>64.100288323495818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8"/>
  </sheetPr>
  <dimension ref="A1"/>
  <sheetViews>
    <sheetView workbookViewId="0">
      <selection activeCell="C6" sqref="C6"/>
    </sheetView>
  </sheetViews>
  <sheetFormatPr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I328"/>
  <sheetViews>
    <sheetView topLeftCell="A297" zoomScale="85" zoomScaleNormal="85" workbookViewId="0">
      <selection activeCell="B324" sqref="B324"/>
    </sheetView>
  </sheetViews>
  <sheetFormatPr defaultRowHeight="15" x14ac:dyDescent="0.25"/>
  <cols>
    <col min="2" max="2" width="22.42578125" bestFit="1" customWidth="1"/>
    <col min="3" max="3" width="24.140625" bestFit="1" customWidth="1"/>
    <col min="4" max="4" width="139.42578125" customWidth="1"/>
    <col min="5" max="5" width="10.42578125" bestFit="1" customWidth="1"/>
    <col min="6" max="6" width="11.85546875" bestFit="1" customWidth="1"/>
    <col min="7" max="7" width="22.5703125" bestFit="1" customWidth="1"/>
    <col min="8" max="8" width="17.28515625" bestFit="1" customWidth="1"/>
    <col min="9" max="9" width="15" bestFit="1" customWidth="1"/>
    <col min="10" max="10" width="23.42578125" bestFit="1" customWidth="1"/>
  </cols>
  <sheetData>
    <row r="2" spans="2:9" x14ac:dyDescent="0.25">
      <c r="B2" s="10" t="s">
        <v>375</v>
      </c>
    </row>
    <row r="3" spans="2:9" x14ac:dyDescent="0.25">
      <c r="B3" s="11" t="s">
        <v>376</v>
      </c>
      <c r="C3" s="11" t="s">
        <v>377</v>
      </c>
      <c r="D3" s="11" t="s">
        <v>378</v>
      </c>
      <c r="E3" s="11" t="s">
        <v>379</v>
      </c>
      <c r="F3" s="11" t="s">
        <v>380</v>
      </c>
      <c r="G3" s="11" t="s">
        <v>381</v>
      </c>
      <c r="H3" s="11" t="s">
        <v>382</v>
      </c>
      <c r="I3" s="11" t="s">
        <v>383</v>
      </c>
    </row>
    <row r="4" spans="2:9" ht="27.6" customHeight="1" thickBot="1" x14ac:dyDescent="0.3">
      <c r="B4" s="12" t="s">
        <v>384</v>
      </c>
      <c r="C4" s="12" t="s">
        <v>385</v>
      </c>
      <c r="D4" s="12" t="s">
        <v>386</v>
      </c>
      <c r="E4" s="12" t="s">
        <v>387</v>
      </c>
      <c r="F4" s="12" t="s">
        <v>81</v>
      </c>
      <c r="G4" s="12" t="s">
        <v>388</v>
      </c>
      <c r="H4" s="12" t="s">
        <v>389</v>
      </c>
      <c r="I4" s="12" t="s">
        <v>390</v>
      </c>
    </row>
    <row r="5" spans="2:9" x14ac:dyDescent="0.25">
      <c r="B5" t="str">
        <f>IF('TRA TECH'!M3=1,IF('TRA TECH'!L3=1,"PRE","*"),"*")</f>
        <v>PRE</v>
      </c>
      <c r="C5" t="str">
        <f>'TRA TECH'!J3</f>
        <v>TRAPASCARICEVGSL20</v>
      </c>
      <c r="D5" t="str">
        <f>IF(B5="*","*",_xlfn.XLOOKUP(C5,'TRA TECH'!$J:$J,'TRA TECH'!$A:$A)&amp;" "&amp;_xlfn.XLOOKUP(C5,'TRA TECH'!$J:$J,'TRA TECH'!$B:$B)&amp;" "&amp;_xlfn.XLOOKUP(C5,'TRA TECH'!$J:$J,'TRA TECH'!$C:$C)&amp;" "&amp;_xlfn.XLOOKUP(C5,'TRA TECH'!$J:$J,'TRA TECH'!$F:$F))</f>
        <v>Transportation Passenger Passenger Car Gasoline ICE Vehicle (spark ignition)</v>
      </c>
      <c r="E5" t="str">
        <f t="shared" ref="E5:E68" si="0">IF(F5="MW","TJ",F5)</f>
        <v>Mvkm</v>
      </c>
      <c r="F5" t="str">
        <f>IF(B5="*","*",_xlfn.XLOOKUP(C5,'TRA TECH'!J:J,'TRA TECH'!K:K))</f>
        <v>Mvkm</v>
      </c>
    </row>
    <row r="6" spans="2:9" x14ac:dyDescent="0.25">
      <c r="B6" t="str">
        <f>IF('TRA TECH'!M4=1,IF('TRA TECH'!L4=1,"PRE","*"),"*")</f>
        <v>*</v>
      </c>
      <c r="C6" t="str">
        <f>'TRA TECH'!J4</f>
        <v>TRAPASCARICEVGSL20</v>
      </c>
      <c r="D6" t="str">
        <f>IF(B6="*","*",_xlfn.XLOOKUP(C6,'TRA TECH'!$J:$J,'TRA TECH'!$A:$A)&amp;" "&amp;_xlfn.XLOOKUP(C6,'TRA TECH'!$J:$J,'TRA TECH'!$B:$B)&amp;" "&amp;_xlfn.XLOOKUP(C6,'TRA TECH'!$J:$J,'TRA TECH'!$C:$C)&amp;" "&amp;_xlfn.XLOOKUP(C6,'TRA TECH'!$J:$J,'TRA TECH'!$F:$F))</f>
        <v>*</v>
      </c>
      <c r="E6" t="str">
        <f t="shared" si="0"/>
        <v>*</v>
      </c>
      <c r="F6" t="str">
        <f>IF(B6="*","*",_xlfn.XLOOKUP(C6,'TRA TECH'!J:J,'TRA TECH'!K:K))</f>
        <v>*</v>
      </c>
    </row>
    <row r="7" spans="2:9" x14ac:dyDescent="0.25">
      <c r="B7" t="str">
        <f>IF('TRA TECH'!M5=1,IF('TRA TECH'!L5=1,"PRE","*"),"*")</f>
        <v>PRE</v>
      </c>
      <c r="C7" t="str">
        <f>'TRA TECH'!J5</f>
        <v>TRAPASCARICEVTGSL20</v>
      </c>
      <c r="D7" t="str">
        <f>IF(B7="*","*",_xlfn.XLOOKUP(C7,'TRA TECH'!$J:$J,'TRA TECH'!$A:$A)&amp;" "&amp;_xlfn.XLOOKUP(C7,'TRA TECH'!$J:$J,'TRA TECH'!$B:$B)&amp;" "&amp;_xlfn.XLOOKUP(C7,'TRA TECH'!$J:$J,'TRA TECH'!$C:$C)&amp;" "&amp;_xlfn.XLOOKUP(C7,'TRA TECH'!$J:$J,'TRA TECH'!$F:$F))</f>
        <v>Transportation Passenger Passenger Car Gasoline ICE Vehicle (spark ignition with turbo)</v>
      </c>
      <c r="E7" t="str">
        <f t="shared" si="0"/>
        <v>Mvkm</v>
      </c>
      <c r="F7" t="str">
        <f>IF(B7="*","*",_xlfn.XLOOKUP(C7,'TRA TECH'!J:J,'TRA TECH'!K:K))</f>
        <v>Mvkm</v>
      </c>
    </row>
    <row r="8" spans="2:9" x14ac:dyDescent="0.25">
      <c r="B8" t="str">
        <f>IF('TRA TECH'!M6=1,IF('TRA TECH'!L6=1,"PRE","*"),"*")</f>
        <v>*</v>
      </c>
      <c r="C8" t="str">
        <f>'TRA TECH'!J6</f>
        <v>TRAPASCARICEVTGSL20</v>
      </c>
      <c r="D8" t="str">
        <f>IF(B8="*","*",_xlfn.XLOOKUP(C8,'TRA TECH'!$J:$J,'TRA TECH'!$A:$A)&amp;" "&amp;_xlfn.XLOOKUP(C8,'TRA TECH'!$J:$J,'TRA TECH'!$B:$B)&amp;" "&amp;_xlfn.XLOOKUP(C8,'TRA TECH'!$J:$J,'TRA TECH'!$C:$C)&amp;" "&amp;_xlfn.XLOOKUP(C8,'TRA TECH'!$J:$J,'TRA TECH'!$F:$F))</f>
        <v>*</v>
      </c>
      <c r="E8" t="str">
        <f t="shared" si="0"/>
        <v>*</v>
      </c>
      <c r="F8" t="str">
        <f>IF(B8="*","*",_xlfn.XLOOKUP(C8,'TRA TECH'!J:J,'TRA TECH'!K:K))</f>
        <v>*</v>
      </c>
    </row>
    <row r="9" spans="2:9" x14ac:dyDescent="0.25">
      <c r="B9" t="str">
        <f>IF('TRA TECH'!M7=1,IF('TRA TECH'!L7=1,"PRE","*"),"*")</f>
        <v>PRE</v>
      </c>
      <c r="C9" t="str">
        <f>'TRA TECH'!J7</f>
        <v>TRAPASCARHEVGSL20</v>
      </c>
      <c r="D9" t="str">
        <f>IF(B9="*","*",_xlfn.XLOOKUP(C9,'TRA TECH'!$J:$J,'TRA TECH'!$A:$A)&amp;" "&amp;_xlfn.XLOOKUP(C9,'TRA TECH'!$J:$J,'TRA TECH'!$B:$B)&amp;" "&amp;_xlfn.XLOOKUP(C9,'TRA TECH'!$J:$J,'TRA TECH'!$C:$C)&amp;" "&amp;_xlfn.XLOOKUP(C9,'TRA TECH'!$J:$J,'TRA TECH'!$F:$F))</f>
        <v>Transportation Passenger Passenger Car Gasoline Micro Hybrid Electric Vehicle (spark ignition)</v>
      </c>
      <c r="E9" t="str">
        <f t="shared" si="0"/>
        <v>Mvkm</v>
      </c>
      <c r="F9" t="str">
        <f>IF(B9="*","*",_xlfn.XLOOKUP(C9,'TRA TECH'!J:J,'TRA TECH'!K:K))</f>
        <v>Mvkm</v>
      </c>
    </row>
    <row r="10" spans="2:9" x14ac:dyDescent="0.25">
      <c r="B10" t="str">
        <f>IF('TRA TECH'!M8=1,IF('TRA TECH'!L8=1,"PRE","*"),"*")</f>
        <v>*</v>
      </c>
      <c r="C10" t="str">
        <f>'TRA TECH'!J8</f>
        <v>TRAPASCARHEVGSL20</v>
      </c>
      <c r="D10" t="str">
        <f>IF(B10="*","*",_xlfn.XLOOKUP(C10,'TRA TECH'!$J:$J,'TRA TECH'!$A:$A)&amp;" "&amp;_xlfn.XLOOKUP(C10,'TRA TECH'!$J:$J,'TRA TECH'!$B:$B)&amp;" "&amp;_xlfn.XLOOKUP(C10,'TRA TECH'!$J:$J,'TRA TECH'!$C:$C)&amp;" "&amp;_xlfn.XLOOKUP(C10,'TRA TECH'!$J:$J,'TRA TECH'!$F:$F))</f>
        <v>*</v>
      </c>
      <c r="E10" t="str">
        <f t="shared" si="0"/>
        <v>*</v>
      </c>
      <c r="F10" t="str">
        <f>IF(B10="*","*",_xlfn.XLOOKUP(C10,'TRA TECH'!J:J,'TRA TECH'!K:K))</f>
        <v>*</v>
      </c>
    </row>
    <row r="11" spans="2:9" x14ac:dyDescent="0.25">
      <c r="B11" t="str">
        <f>IF('TRA TECH'!M9=1,IF('TRA TECH'!L9=1,"PRE","*"),"*")</f>
        <v>PRE</v>
      </c>
      <c r="C11" t="str">
        <f>'TRA TECH'!J9</f>
        <v>TRAPASCARHEVTGSL20</v>
      </c>
      <c r="D11" t="str">
        <f>IF(B11="*","*",_xlfn.XLOOKUP(C11,'TRA TECH'!$J:$J,'TRA TECH'!$A:$A)&amp;" "&amp;_xlfn.XLOOKUP(C11,'TRA TECH'!$J:$J,'TRA TECH'!$B:$B)&amp;" "&amp;_xlfn.XLOOKUP(C11,'TRA TECH'!$J:$J,'TRA TECH'!$C:$C)&amp;" "&amp;_xlfn.XLOOKUP(C11,'TRA TECH'!$J:$J,'TRA TECH'!$F:$F))</f>
        <v>Transportation Passenger Passenger Car Gasoline Micro Hybrid Electric Vehicle (spark ignition with turbo)</v>
      </c>
      <c r="E11" t="str">
        <f t="shared" si="0"/>
        <v>Mvkm</v>
      </c>
      <c r="F11" t="str">
        <f>IF(B11="*","*",_xlfn.XLOOKUP(C11,'TRA TECH'!J:J,'TRA TECH'!K:K))</f>
        <v>Mvkm</v>
      </c>
    </row>
    <row r="12" spans="2:9" x14ac:dyDescent="0.25">
      <c r="B12" t="str">
        <f>IF('TRA TECH'!M10=1,IF('TRA TECH'!L10=1,"PRE","*"),"*")</f>
        <v>*</v>
      </c>
      <c r="C12" t="str">
        <f>'TRA TECH'!J10</f>
        <v>TRAPASCARHEVTGSL20</v>
      </c>
      <c r="D12" t="str">
        <f>IF(B12="*","*",_xlfn.XLOOKUP(C12,'TRA TECH'!$J:$J,'TRA TECH'!$A:$A)&amp;" "&amp;_xlfn.XLOOKUP(C12,'TRA TECH'!$J:$J,'TRA TECH'!$B:$B)&amp;" "&amp;_xlfn.XLOOKUP(C12,'TRA TECH'!$J:$J,'TRA TECH'!$C:$C)&amp;" "&amp;_xlfn.XLOOKUP(C12,'TRA TECH'!$J:$J,'TRA TECH'!$F:$F))</f>
        <v>*</v>
      </c>
      <c r="E12" t="str">
        <f t="shared" si="0"/>
        <v>*</v>
      </c>
      <c r="F12" t="str">
        <f>IF(B12="*","*",_xlfn.XLOOKUP(C12,'TRA TECH'!J:J,'TRA TECH'!K:K))</f>
        <v>*</v>
      </c>
    </row>
    <row r="13" spans="2:9" x14ac:dyDescent="0.25">
      <c r="B13" t="str">
        <f>IF('TRA TECH'!M11=1,IF('TRA TECH'!L11=1,"PRE","*"),"*")</f>
        <v>PRE</v>
      </c>
      <c r="C13" t="str">
        <f>'TRA TECH'!J11</f>
        <v>TRAPASCARHEVIGSL20</v>
      </c>
      <c r="D13" t="str">
        <f>IF(B13="*","*",_xlfn.XLOOKUP(C13,'TRA TECH'!$J:$J,'TRA TECH'!$A:$A)&amp;" "&amp;_xlfn.XLOOKUP(C13,'TRA TECH'!$J:$J,'TRA TECH'!$B:$B)&amp;" "&amp;_xlfn.XLOOKUP(C13,'TRA TECH'!$J:$J,'TRA TECH'!$C:$C)&amp;" "&amp;_xlfn.XLOOKUP(C13,'TRA TECH'!$J:$J,'TRA TECH'!$F:$F))</f>
        <v>Transportation Passenger Passenger Car Gasoline Mild Hybrid Electric Vehicle (belt-driven integrated starter generator with spark ignition)</v>
      </c>
      <c r="E13" t="str">
        <f t="shared" si="0"/>
        <v>Mvkm</v>
      </c>
      <c r="F13" t="str">
        <f>IF(B13="*","*",_xlfn.XLOOKUP(C13,'TRA TECH'!J:J,'TRA TECH'!K:K))</f>
        <v>Mvkm</v>
      </c>
    </row>
    <row r="14" spans="2:9" x14ac:dyDescent="0.25">
      <c r="B14" t="str">
        <f>IF('TRA TECH'!M12=1,IF('TRA TECH'!L12=1,"PRE","*"),"*")</f>
        <v>*</v>
      </c>
      <c r="C14" t="str">
        <f>'TRA TECH'!J12</f>
        <v>TRAPASCARHEVIGSL20</v>
      </c>
      <c r="D14" t="str">
        <f>IF(B14="*","*",_xlfn.XLOOKUP(C14,'TRA TECH'!$J:$J,'TRA TECH'!$A:$A)&amp;" "&amp;_xlfn.XLOOKUP(C14,'TRA TECH'!$J:$J,'TRA TECH'!$B:$B)&amp;" "&amp;_xlfn.XLOOKUP(C14,'TRA TECH'!$J:$J,'TRA TECH'!$C:$C)&amp;" "&amp;_xlfn.XLOOKUP(C14,'TRA TECH'!$J:$J,'TRA TECH'!$F:$F))</f>
        <v>*</v>
      </c>
      <c r="E14" t="str">
        <f t="shared" si="0"/>
        <v>*</v>
      </c>
      <c r="F14" t="str">
        <f>IF(B14="*","*",_xlfn.XLOOKUP(C14,'TRA TECH'!J:J,'TRA TECH'!K:K))</f>
        <v>*</v>
      </c>
    </row>
    <row r="15" spans="2:9" x14ac:dyDescent="0.25">
      <c r="B15" t="str">
        <f>IF('TRA TECH'!M13=1,IF('TRA TECH'!L13=1,"PRE","*"),"*")</f>
        <v>*</v>
      </c>
      <c r="C15" t="str">
        <f>'TRA TECH'!J13</f>
        <v>TRAPASCARHEVIGSL20</v>
      </c>
      <c r="D15" t="str">
        <f>IF(B15="*","*",_xlfn.XLOOKUP(C15,'TRA TECH'!$J:$J,'TRA TECH'!$A:$A)&amp;" "&amp;_xlfn.XLOOKUP(C15,'TRA TECH'!$J:$J,'TRA TECH'!$B:$B)&amp;" "&amp;_xlfn.XLOOKUP(C15,'TRA TECH'!$J:$J,'TRA TECH'!$C:$C)&amp;" "&amp;_xlfn.XLOOKUP(C15,'TRA TECH'!$J:$J,'TRA TECH'!$F:$F))</f>
        <v>*</v>
      </c>
      <c r="E15" t="str">
        <f t="shared" si="0"/>
        <v>*</v>
      </c>
      <c r="F15" t="str">
        <f>IF(B15="*","*",_xlfn.XLOOKUP(C15,'TRA TECH'!J:J,'TRA TECH'!K:K))</f>
        <v>*</v>
      </c>
    </row>
    <row r="16" spans="2:9" x14ac:dyDescent="0.25">
      <c r="B16" t="str">
        <f>IF('TRA TECH'!M14=1,IF('TRA TECH'!L14=1,"PRE","*"),"*")</f>
        <v>*</v>
      </c>
      <c r="C16" t="str">
        <f>'TRA TECH'!J14</f>
        <v>TRAPASCARHEVIGSL20</v>
      </c>
      <c r="D16" t="str">
        <f>IF(B16="*","*",_xlfn.XLOOKUP(C16,'TRA TECH'!$J:$J,'TRA TECH'!$A:$A)&amp;" "&amp;_xlfn.XLOOKUP(C16,'TRA TECH'!$J:$J,'TRA TECH'!$B:$B)&amp;" "&amp;_xlfn.XLOOKUP(C16,'TRA TECH'!$J:$J,'TRA TECH'!$C:$C)&amp;" "&amp;_xlfn.XLOOKUP(C16,'TRA TECH'!$J:$J,'TRA TECH'!$F:$F))</f>
        <v>*</v>
      </c>
      <c r="E16" t="str">
        <f t="shared" si="0"/>
        <v>*</v>
      </c>
      <c r="F16" t="str">
        <f>IF(B16="*","*",_xlfn.XLOOKUP(C16,'TRA TECH'!J:J,'TRA TECH'!K:K))</f>
        <v>*</v>
      </c>
    </row>
    <row r="17" spans="2:6" x14ac:dyDescent="0.25">
      <c r="B17" t="str">
        <f>IF('TRA TECH'!M15=1,IF('TRA TECH'!L15=1,"PRE","*"),"*")</f>
        <v>PRE</v>
      </c>
      <c r="C17" t="str">
        <f>'TRA TECH'!J15</f>
        <v>TRAPASCARHEVPGSL20</v>
      </c>
      <c r="D17" t="str">
        <f>IF(B17="*","*",_xlfn.XLOOKUP(C17,'TRA TECH'!$J:$J,'TRA TECH'!$A:$A)&amp;" "&amp;_xlfn.XLOOKUP(C17,'TRA TECH'!$J:$J,'TRA TECH'!$B:$B)&amp;" "&amp;_xlfn.XLOOKUP(C17,'TRA TECH'!$J:$J,'TRA TECH'!$C:$C)&amp;" "&amp;_xlfn.XLOOKUP(C17,'TRA TECH'!$J:$J,'TRA TECH'!$F:$F))</f>
        <v>Transportation Passenger Passenger Car Gasoline Power Split Hybrid Electric Vehicle</v>
      </c>
      <c r="E17" t="str">
        <f t="shared" si="0"/>
        <v>Mvkm</v>
      </c>
      <c r="F17" t="str">
        <f>IF(B17="*","*",_xlfn.XLOOKUP(C17,'TRA TECH'!J:J,'TRA TECH'!K:K))</f>
        <v>Mvkm</v>
      </c>
    </row>
    <row r="18" spans="2:6" x14ac:dyDescent="0.25">
      <c r="B18" t="str">
        <f>IF('TRA TECH'!M16=1,IF('TRA TECH'!L16=1,"PRE","*"),"*")</f>
        <v>*</v>
      </c>
      <c r="C18" t="str">
        <f>'TRA TECH'!J16</f>
        <v>TRAPASCARHEVPGSL20</v>
      </c>
      <c r="D18" t="str">
        <f>IF(B18="*","*",_xlfn.XLOOKUP(C18,'TRA TECH'!$J:$J,'TRA TECH'!$A:$A)&amp;" "&amp;_xlfn.XLOOKUP(C18,'TRA TECH'!$J:$J,'TRA TECH'!$B:$B)&amp;" "&amp;_xlfn.XLOOKUP(C18,'TRA TECH'!$J:$J,'TRA TECH'!$C:$C)&amp;" "&amp;_xlfn.XLOOKUP(C18,'TRA TECH'!$J:$J,'TRA TECH'!$F:$F))</f>
        <v>*</v>
      </c>
      <c r="E18" t="str">
        <f t="shared" si="0"/>
        <v>*</v>
      </c>
      <c r="F18" t="str">
        <f>IF(B18="*","*",_xlfn.XLOOKUP(C18,'TRA TECH'!J:J,'TRA TECH'!K:K))</f>
        <v>*</v>
      </c>
    </row>
    <row r="19" spans="2:6" x14ac:dyDescent="0.25">
      <c r="B19" t="str">
        <f>IF('TRA TECH'!M17=1,IF('TRA TECH'!L17=1,"PRE","*"),"*")</f>
        <v>PRE</v>
      </c>
      <c r="C19" t="str">
        <f>'TRA TECH'!J17</f>
        <v>TRAPASCARPHEVPGSL20</v>
      </c>
      <c r="D19" t="str">
        <f>IF(B19="*","*",_xlfn.XLOOKUP(C19,'TRA TECH'!$J:$J,'TRA TECH'!$A:$A)&amp;" "&amp;_xlfn.XLOOKUP(C19,'TRA TECH'!$J:$J,'TRA TECH'!$B:$B)&amp;" "&amp;_xlfn.XLOOKUP(C19,'TRA TECH'!$J:$J,'TRA TECH'!$C:$C)&amp;" "&amp;_xlfn.XLOOKUP(C19,'TRA TECH'!$J:$J,'TRA TECH'!$F:$F))</f>
        <v>Transportation Passenger Passenger Car Gasoline Power Split Plug-in Hybrid Electric Vehicle (20-mile electric range)</v>
      </c>
      <c r="E19" t="str">
        <f t="shared" si="0"/>
        <v>Mvkm</v>
      </c>
      <c r="F19" t="str">
        <f>IF(B19="*","*",_xlfn.XLOOKUP(C19,'TRA TECH'!J:J,'TRA TECH'!K:K))</f>
        <v>Mvkm</v>
      </c>
    </row>
    <row r="20" spans="2:6" x14ac:dyDescent="0.25">
      <c r="B20" t="str">
        <f>IF('TRA TECH'!M18=1,IF('TRA TECH'!L18=1,"PRE","*"),"*")</f>
        <v>*</v>
      </c>
      <c r="C20" t="str">
        <f>'TRA TECH'!J18</f>
        <v>TRAPASCARPHEVPGSL20</v>
      </c>
      <c r="D20" t="str">
        <f>IF(B20="*","*",_xlfn.XLOOKUP(C20,'TRA TECH'!$J:$J,'TRA TECH'!$A:$A)&amp;" "&amp;_xlfn.XLOOKUP(C20,'TRA TECH'!$J:$J,'TRA TECH'!$B:$B)&amp;" "&amp;_xlfn.XLOOKUP(C20,'TRA TECH'!$J:$J,'TRA TECH'!$C:$C)&amp;" "&amp;_xlfn.XLOOKUP(C20,'TRA TECH'!$J:$J,'TRA TECH'!$F:$F))</f>
        <v>*</v>
      </c>
      <c r="E20" t="str">
        <f t="shared" si="0"/>
        <v>*</v>
      </c>
      <c r="F20" t="str">
        <f>IF(B20="*","*",_xlfn.XLOOKUP(C20,'TRA TECH'!J:J,'TRA TECH'!K:K))</f>
        <v>*</v>
      </c>
    </row>
    <row r="21" spans="2:6" x14ac:dyDescent="0.25">
      <c r="B21" t="str">
        <f>IF('TRA TECH'!M19=1,IF('TRA TECH'!L19=1,"PRE","*"),"*")</f>
        <v>*</v>
      </c>
      <c r="C21" t="str">
        <f>'TRA TECH'!J19</f>
        <v>TRAPASCARPHEVPGSL20</v>
      </c>
      <c r="D21" t="str">
        <f>IF(B21="*","*",_xlfn.XLOOKUP(C21,'TRA TECH'!$J:$J,'TRA TECH'!$A:$A)&amp;" "&amp;_xlfn.XLOOKUP(C21,'TRA TECH'!$J:$J,'TRA TECH'!$B:$B)&amp;" "&amp;_xlfn.XLOOKUP(C21,'TRA TECH'!$J:$J,'TRA TECH'!$C:$C)&amp;" "&amp;_xlfn.XLOOKUP(C21,'TRA TECH'!$J:$J,'TRA TECH'!$F:$F))</f>
        <v>*</v>
      </c>
      <c r="E21" t="str">
        <f t="shared" si="0"/>
        <v>*</v>
      </c>
      <c r="F21" t="str">
        <f>IF(B21="*","*",_xlfn.XLOOKUP(C21,'TRA TECH'!J:J,'TRA TECH'!K:K))</f>
        <v>*</v>
      </c>
    </row>
    <row r="22" spans="2:6" x14ac:dyDescent="0.25">
      <c r="B22" t="str">
        <f>IF('TRA TECH'!M20=1,IF('TRA TECH'!L20=1,"PRE","*"),"*")</f>
        <v>PRE</v>
      </c>
      <c r="C22" t="str">
        <f>'TRA TECH'!J20</f>
        <v>TRAPASCARPHEVEGSL20</v>
      </c>
      <c r="D22" t="str">
        <f>IF(B22="*","*",_xlfn.XLOOKUP(C22,'TRA TECH'!$J:$J,'TRA TECH'!$A:$A)&amp;" "&amp;_xlfn.XLOOKUP(C22,'TRA TECH'!$J:$J,'TRA TECH'!$B:$B)&amp;" "&amp;_xlfn.XLOOKUP(C22,'TRA TECH'!$J:$J,'TRA TECH'!$C:$C)&amp;" "&amp;_xlfn.XLOOKUP(C22,'TRA TECH'!$J:$J,'TRA TECH'!$F:$F))</f>
        <v>Transportation Passenger Passenger Car Gasoline Extended Range Plug-in Hybrid Electric Vehicle (50-mile electric range)</v>
      </c>
      <c r="E22" t="str">
        <f t="shared" si="0"/>
        <v>Mvkm</v>
      </c>
      <c r="F22" t="str">
        <f>IF(B22="*","*",_xlfn.XLOOKUP(C22,'TRA TECH'!J:J,'TRA TECH'!K:K))</f>
        <v>Mvkm</v>
      </c>
    </row>
    <row r="23" spans="2:6" x14ac:dyDescent="0.25">
      <c r="B23" t="str">
        <f>IF('TRA TECH'!M21=1,IF('TRA TECH'!L21=1,"PRE","*"),"*")</f>
        <v>*</v>
      </c>
      <c r="C23" t="str">
        <f>'TRA TECH'!J21</f>
        <v>TRAPASCARPHEVEGSL20</v>
      </c>
      <c r="D23" t="str">
        <f>IF(B23="*","*",_xlfn.XLOOKUP(C23,'TRA TECH'!$J:$J,'TRA TECH'!$A:$A)&amp;" "&amp;_xlfn.XLOOKUP(C23,'TRA TECH'!$J:$J,'TRA TECH'!$B:$B)&amp;" "&amp;_xlfn.XLOOKUP(C23,'TRA TECH'!$J:$J,'TRA TECH'!$C:$C)&amp;" "&amp;_xlfn.XLOOKUP(C23,'TRA TECH'!$J:$J,'TRA TECH'!$F:$F))</f>
        <v>*</v>
      </c>
      <c r="E23" t="str">
        <f t="shared" si="0"/>
        <v>*</v>
      </c>
      <c r="F23" t="str">
        <f>IF(B23="*","*",_xlfn.XLOOKUP(C23,'TRA TECH'!J:J,'TRA TECH'!K:K))</f>
        <v>*</v>
      </c>
    </row>
    <row r="24" spans="2:6" x14ac:dyDescent="0.25">
      <c r="B24" t="str">
        <f>IF('TRA TECH'!M22=1,IF('TRA TECH'!L22=1,"PRE","*"),"*")</f>
        <v>*</v>
      </c>
      <c r="C24" t="str">
        <f>'TRA TECH'!J22</f>
        <v>TRAPASCARPHEVEGSL20</v>
      </c>
      <c r="D24" t="str">
        <f>IF(B24="*","*",_xlfn.XLOOKUP(C24,'TRA TECH'!$J:$J,'TRA TECH'!$A:$A)&amp;" "&amp;_xlfn.XLOOKUP(C24,'TRA TECH'!$J:$J,'TRA TECH'!$B:$B)&amp;" "&amp;_xlfn.XLOOKUP(C24,'TRA TECH'!$J:$J,'TRA TECH'!$C:$C)&amp;" "&amp;_xlfn.XLOOKUP(C24,'TRA TECH'!$J:$J,'TRA TECH'!$F:$F))</f>
        <v>*</v>
      </c>
      <c r="E24" t="str">
        <f t="shared" si="0"/>
        <v>*</v>
      </c>
      <c r="F24" t="str">
        <f>IF(B24="*","*",_xlfn.XLOOKUP(C24,'TRA TECH'!J:J,'TRA TECH'!K:K))</f>
        <v>*</v>
      </c>
    </row>
    <row r="25" spans="2:6" x14ac:dyDescent="0.25">
      <c r="B25" t="str">
        <f>IF('TRA TECH'!M23=1,IF('TRA TECH'!L23=1,"PRE","*"),"*")</f>
        <v>PRE</v>
      </c>
      <c r="C25" t="str">
        <f>'TRA TECH'!J23</f>
        <v>TRAPASCARICEVDSL20</v>
      </c>
      <c r="D25" t="str">
        <f>IF(B25="*","*",_xlfn.XLOOKUP(C25,'TRA TECH'!$J:$J,'TRA TECH'!$A:$A)&amp;" "&amp;_xlfn.XLOOKUP(C25,'TRA TECH'!$J:$J,'TRA TECH'!$B:$B)&amp;" "&amp;_xlfn.XLOOKUP(C25,'TRA TECH'!$J:$J,'TRA TECH'!$C:$C)&amp;" "&amp;_xlfn.XLOOKUP(C25,'TRA TECH'!$J:$J,'TRA TECH'!$F:$F))</f>
        <v>Transportation Passenger Passenger Car Diesel Conventional Compression Ignition Vehicle</v>
      </c>
      <c r="E25" t="str">
        <f t="shared" si="0"/>
        <v>Mvkm</v>
      </c>
      <c r="F25" t="str">
        <f>IF(B25="*","*",_xlfn.XLOOKUP(C25,'TRA TECH'!J:J,'TRA TECH'!K:K))</f>
        <v>Mvkm</v>
      </c>
    </row>
    <row r="26" spans="2:6" x14ac:dyDescent="0.25">
      <c r="B26" t="str">
        <f>IF('TRA TECH'!M24=1,IF('TRA TECH'!L24=1,"PRE","*"),"*")</f>
        <v>*</v>
      </c>
      <c r="C26" t="str">
        <f>'TRA TECH'!J24</f>
        <v>TRAPASCARICEVDSL20</v>
      </c>
      <c r="D26" t="str">
        <f>IF(B26="*","*",_xlfn.XLOOKUP(C26,'TRA TECH'!$J:$J,'TRA TECH'!$A:$A)&amp;" "&amp;_xlfn.XLOOKUP(C26,'TRA TECH'!$J:$J,'TRA TECH'!$B:$B)&amp;" "&amp;_xlfn.XLOOKUP(C26,'TRA TECH'!$J:$J,'TRA TECH'!$C:$C)&amp;" "&amp;_xlfn.XLOOKUP(C26,'TRA TECH'!$J:$J,'TRA TECH'!$F:$F))</f>
        <v>*</v>
      </c>
      <c r="E26" t="str">
        <f t="shared" si="0"/>
        <v>*</v>
      </c>
      <c r="F26" t="str">
        <f>IF(B26="*","*",_xlfn.XLOOKUP(C26,'TRA TECH'!J:J,'TRA TECH'!K:K))</f>
        <v>*</v>
      </c>
    </row>
    <row r="27" spans="2:6" x14ac:dyDescent="0.25">
      <c r="B27" t="str">
        <f>IF('TRA TECH'!M25=1,IF('TRA TECH'!L25=1,"PRE","*"),"*")</f>
        <v>*</v>
      </c>
      <c r="C27" t="str">
        <f>'TRA TECH'!J25</f>
        <v>TRAPASCARICEVDSL20</v>
      </c>
      <c r="D27" t="str">
        <f>IF(B27="*","*",_xlfn.XLOOKUP(C27,'TRA TECH'!$J:$J,'TRA TECH'!$A:$A)&amp;" "&amp;_xlfn.XLOOKUP(C27,'TRA TECH'!$J:$J,'TRA TECH'!$B:$B)&amp;" "&amp;_xlfn.XLOOKUP(C27,'TRA TECH'!$J:$J,'TRA TECH'!$C:$C)&amp;" "&amp;_xlfn.XLOOKUP(C27,'TRA TECH'!$J:$J,'TRA TECH'!$F:$F))</f>
        <v>*</v>
      </c>
      <c r="E27" t="str">
        <f t="shared" si="0"/>
        <v>*</v>
      </c>
      <c r="F27" t="str">
        <f>IF(B27="*","*",_xlfn.XLOOKUP(C27,'TRA TECH'!J:J,'TRA TECH'!K:K))</f>
        <v>*</v>
      </c>
    </row>
    <row r="28" spans="2:6" x14ac:dyDescent="0.25">
      <c r="B28" t="str">
        <f>IF('TRA TECH'!M26=1,IF('TRA TECH'!L26=1,"PRE","*"),"*")</f>
        <v>PRE</v>
      </c>
      <c r="C28" t="str">
        <f>'TRA TECH'!J26</f>
        <v>TRAPASCARICEVCNG20</v>
      </c>
      <c r="D28" t="str">
        <f>IF(B28="*","*",_xlfn.XLOOKUP(C28,'TRA TECH'!$J:$J,'TRA TECH'!$A:$A)&amp;" "&amp;_xlfn.XLOOKUP(C28,'TRA TECH'!$J:$J,'TRA TECH'!$B:$B)&amp;" "&amp;_xlfn.XLOOKUP(C28,'TRA TECH'!$J:$J,'TRA TECH'!$C:$C)&amp;" "&amp;_xlfn.XLOOKUP(C28,'TRA TECH'!$J:$J,'TRA TECH'!$F:$F))</f>
        <v>Transportation Passenger Passenger Car Compressed Natural Gas Conventional Vehicle</v>
      </c>
      <c r="E28" t="str">
        <f t="shared" si="0"/>
        <v>Mvkm</v>
      </c>
      <c r="F28" t="str">
        <f>IF(B28="*","*",_xlfn.XLOOKUP(C28,'TRA TECH'!J:J,'TRA TECH'!K:K))</f>
        <v>Mvkm</v>
      </c>
    </row>
    <row r="29" spans="2:6" x14ac:dyDescent="0.25">
      <c r="B29" t="str">
        <f>IF('TRA TECH'!M27=1,IF('TRA TECH'!L27=1,"PRE","*"),"*")</f>
        <v>*</v>
      </c>
      <c r="C29" t="str">
        <f>'TRA TECH'!J27</f>
        <v>TRAPASCARICEVCNG20</v>
      </c>
      <c r="D29" t="str">
        <f>IF(B29="*","*",_xlfn.XLOOKUP(C29,'TRA TECH'!$J:$J,'TRA TECH'!$A:$A)&amp;" "&amp;_xlfn.XLOOKUP(C29,'TRA TECH'!$J:$J,'TRA TECH'!$B:$B)&amp;" "&amp;_xlfn.XLOOKUP(C29,'TRA TECH'!$J:$J,'TRA TECH'!$C:$C)&amp;" "&amp;_xlfn.XLOOKUP(C29,'TRA TECH'!$J:$J,'TRA TECH'!$F:$F))</f>
        <v>*</v>
      </c>
      <c r="E29" t="str">
        <f t="shared" si="0"/>
        <v>*</v>
      </c>
      <c r="F29" t="str">
        <f>IF(B29="*","*",_xlfn.XLOOKUP(C29,'TRA TECH'!J:J,'TRA TECH'!K:K))</f>
        <v>*</v>
      </c>
    </row>
    <row r="30" spans="2:6" x14ac:dyDescent="0.25">
      <c r="B30" t="str">
        <f>IF('TRA TECH'!M28=1,IF('TRA TECH'!L28=1,"PRE","*"),"*")</f>
        <v>PRE</v>
      </c>
      <c r="C30" t="str">
        <f>'TRA TECH'!J28</f>
        <v>TRAPASCAR300FCEV20</v>
      </c>
      <c r="D30" t="str">
        <f>IF(B30="*","*",_xlfn.XLOOKUP(C30,'TRA TECH'!$J:$J,'TRA TECH'!$A:$A)&amp;" "&amp;_xlfn.XLOOKUP(C30,'TRA TECH'!$J:$J,'TRA TECH'!$B:$B)&amp;" "&amp;_xlfn.XLOOKUP(C30,'TRA TECH'!$J:$J,'TRA TECH'!$C:$C)&amp;" "&amp;_xlfn.XLOOKUP(C30,'TRA TECH'!$J:$J,'TRA TECH'!$F:$F))</f>
        <v>Transportation Passenger Passenger Car Hydrogen Fuel Cell Electric Vehicle (300-mile range)</v>
      </c>
      <c r="E30" t="str">
        <f t="shared" si="0"/>
        <v>Mvkm</v>
      </c>
      <c r="F30" t="str">
        <f>IF(B30="*","*",_xlfn.XLOOKUP(C30,'TRA TECH'!J:J,'TRA TECH'!K:K))</f>
        <v>Mvkm</v>
      </c>
    </row>
    <row r="31" spans="2:6" x14ac:dyDescent="0.25">
      <c r="B31" t="str">
        <f>IF('TRA TECH'!M29=1,IF('TRA TECH'!L29=1,"PRE","*"),"*")</f>
        <v>PRE</v>
      </c>
      <c r="C31" t="str">
        <f>'TRA TECH'!J29</f>
        <v>TRAPASCAR400FCEV20</v>
      </c>
      <c r="D31" t="str">
        <f>IF(B31="*","*",_xlfn.XLOOKUP(C31,'TRA TECH'!$J:$J,'TRA TECH'!$A:$A)&amp;" "&amp;_xlfn.XLOOKUP(C31,'TRA TECH'!$J:$J,'TRA TECH'!$B:$B)&amp;" "&amp;_xlfn.XLOOKUP(C31,'TRA TECH'!$J:$J,'TRA TECH'!$C:$C)&amp;" "&amp;_xlfn.XLOOKUP(C31,'TRA TECH'!$J:$J,'TRA TECH'!$F:$F))</f>
        <v>Transportation Passenger Passenger Car Hydrogen Fuel Cell Electric Vehicle (400-mile range)</v>
      </c>
      <c r="E31" t="str">
        <f t="shared" si="0"/>
        <v>Mvkm</v>
      </c>
      <c r="F31" t="str">
        <f>IF(B31="*","*",_xlfn.XLOOKUP(C31,'TRA TECH'!J:J,'TRA TECH'!K:K))</f>
        <v>Mvkm</v>
      </c>
    </row>
    <row r="32" spans="2:6" x14ac:dyDescent="0.25">
      <c r="B32" t="str">
        <f>IF('TRA TECH'!M30=1,IF('TRA TECH'!L30=1,"PRE","*"),"*")</f>
        <v>PRE</v>
      </c>
      <c r="C32" t="str">
        <f>'TRA TECH'!J30</f>
        <v>TRAPASCAR200BEV20</v>
      </c>
      <c r="D32" t="str">
        <f>IF(B32="*","*",_xlfn.XLOOKUP(C32,'TRA TECH'!$J:$J,'TRA TECH'!$A:$A)&amp;" "&amp;_xlfn.XLOOKUP(C32,'TRA TECH'!$J:$J,'TRA TECH'!$B:$B)&amp;" "&amp;_xlfn.XLOOKUP(C32,'TRA TECH'!$J:$J,'TRA TECH'!$C:$C)&amp;" "&amp;_xlfn.XLOOKUP(C32,'TRA TECH'!$J:$J,'TRA TECH'!$F:$F))</f>
        <v>Transportation Passenger Passenger Car Battery Electric Vehicle (200-mile range)</v>
      </c>
      <c r="E32" t="str">
        <f t="shared" si="0"/>
        <v>Mvkm</v>
      </c>
      <c r="F32" t="str">
        <f>IF(B32="*","*",_xlfn.XLOOKUP(C32,'TRA TECH'!J:J,'TRA TECH'!K:K))</f>
        <v>Mvkm</v>
      </c>
    </row>
    <row r="33" spans="2:6" x14ac:dyDescent="0.25">
      <c r="B33" t="str">
        <f>IF('TRA TECH'!M31=1,IF('TRA TECH'!L31=1,"PRE","*"),"*")</f>
        <v>PRE</v>
      </c>
      <c r="C33" t="str">
        <f>'TRA TECH'!J31</f>
        <v>TRAPASCAR300BEV20</v>
      </c>
      <c r="D33" t="str">
        <f>IF(B33="*","*",_xlfn.XLOOKUP(C33,'TRA TECH'!$J:$J,'TRA TECH'!$A:$A)&amp;" "&amp;_xlfn.XLOOKUP(C33,'TRA TECH'!$J:$J,'TRA TECH'!$B:$B)&amp;" "&amp;_xlfn.XLOOKUP(C33,'TRA TECH'!$J:$J,'TRA TECH'!$C:$C)&amp;" "&amp;_xlfn.XLOOKUP(C33,'TRA TECH'!$J:$J,'TRA TECH'!$F:$F))</f>
        <v>Transportation Passenger Passenger Car Battery Electric Vehicle (300-mile range)</v>
      </c>
      <c r="E33" t="str">
        <f t="shared" si="0"/>
        <v>Mvkm</v>
      </c>
      <c r="F33" t="str">
        <f>IF(B33="*","*",_xlfn.XLOOKUP(C33,'TRA TECH'!J:J,'TRA TECH'!K:K))</f>
        <v>Mvkm</v>
      </c>
    </row>
    <row r="34" spans="2:6" x14ac:dyDescent="0.25">
      <c r="B34" t="str">
        <f>IF('TRA TECH'!M32=1,IF('TRA TECH'!L32=1,"PRE","*"),"*")</f>
        <v>PRE</v>
      </c>
      <c r="C34" t="str">
        <f>'TRA TECH'!J32</f>
        <v>TRAPASCAR400BEV20</v>
      </c>
      <c r="D34" t="str">
        <f>IF(B34="*","*",_xlfn.XLOOKUP(C34,'TRA TECH'!$J:$J,'TRA TECH'!$A:$A)&amp;" "&amp;_xlfn.XLOOKUP(C34,'TRA TECH'!$J:$J,'TRA TECH'!$B:$B)&amp;" "&amp;_xlfn.XLOOKUP(C34,'TRA TECH'!$J:$J,'TRA TECH'!$C:$C)&amp;" "&amp;_xlfn.XLOOKUP(C34,'TRA TECH'!$J:$J,'TRA TECH'!$F:$F))</f>
        <v>Transportation Passenger Passenger Car Battery Electric Vehicle (400-mile range)</v>
      </c>
      <c r="E34" t="str">
        <f t="shared" si="0"/>
        <v>Mvkm</v>
      </c>
      <c r="F34" t="str">
        <f>IF(B34="*","*",_xlfn.XLOOKUP(C34,'TRA TECH'!J:J,'TRA TECH'!K:K))</f>
        <v>Mvkm</v>
      </c>
    </row>
    <row r="35" spans="2:6" x14ac:dyDescent="0.25">
      <c r="B35" t="str">
        <f>IF('TRA TECH'!M33=1,IF('TRA TECH'!L33=1,"PRE","*"),"*")</f>
        <v>PRE</v>
      </c>
      <c r="C35" t="str">
        <f>'TRA TECH'!J33</f>
        <v>TRAPASCAR500BEV20</v>
      </c>
      <c r="D35" t="str">
        <f>IF(B35="*","*",_xlfn.XLOOKUP(C35,'TRA TECH'!$J:$J,'TRA TECH'!$A:$A)&amp;" "&amp;_xlfn.XLOOKUP(C35,'TRA TECH'!$J:$J,'TRA TECH'!$B:$B)&amp;" "&amp;_xlfn.XLOOKUP(C35,'TRA TECH'!$J:$J,'TRA TECH'!$C:$C)&amp;" "&amp;_xlfn.XLOOKUP(C35,'TRA TECH'!$J:$J,'TRA TECH'!$F:$F))</f>
        <v>Transportation Passenger Passenger Car Battery Electric Vehicle (500-mile range)</v>
      </c>
      <c r="E35" t="str">
        <f t="shared" si="0"/>
        <v>Mvkm</v>
      </c>
      <c r="F35" t="str">
        <f>IF(B35="*","*",_xlfn.XLOOKUP(C35,'TRA TECH'!J:J,'TRA TECH'!K:K))</f>
        <v>Mvkm</v>
      </c>
    </row>
    <row r="36" spans="2:6" x14ac:dyDescent="0.25">
      <c r="B36" t="str">
        <f>IF('TRA TECH'!M34=1,IF('TRA TECH'!L34=1,"PRE","*"),"*")</f>
        <v>PRE</v>
      </c>
      <c r="C36" t="str">
        <f>'TRA TECH'!J34</f>
        <v>TRAPASLDTICEVGSL20</v>
      </c>
      <c r="D36" t="str">
        <f>IF(B36="*","*",_xlfn.XLOOKUP(C36,'TRA TECH'!$J:$J,'TRA TECH'!$A:$A)&amp;" "&amp;_xlfn.XLOOKUP(C36,'TRA TECH'!$J:$J,'TRA TECH'!$B:$B)&amp;" "&amp;_xlfn.XLOOKUP(C36,'TRA TECH'!$J:$J,'TRA TECH'!$C:$C)&amp;" "&amp;_xlfn.XLOOKUP(C36,'TRA TECH'!$J:$J,'TRA TECH'!$F:$F))</f>
        <v>Transportation Passenger Passenger Truck Gasoline ICE Vehicle (spark ignition)</v>
      </c>
      <c r="E36" t="str">
        <f t="shared" si="0"/>
        <v>Mvkm</v>
      </c>
      <c r="F36" t="str">
        <f>IF(B36="*","*",_xlfn.XLOOKUP(C36,'TRA TECH'!J:J,'TRA TECH'!K:K))</f>
        <v>Mvkm</v>
      </c>
    </row>
    <row r="37" spans="2:6" x14ac:dyDescent="0.25">
      <c r="B37" t="str">
        <f>IF('TRA TECH'!M35=1,IF('TRA TECH'!L35=1,"PRE","*"),"*")</f>
        <v>*</v>
      </c>
      <c r="C37" t="str">
        <f>'TRA TECH'!J35</f>
        <v>TRAPASLDTICEVGSL20</v>
      </c>
      <c r="D37" t="str">
        <f>IF(B37="*","*",_xlfn.XLOOKUP(C37,'TRA TECH'!$J:$J,'TRA TECH'!$A:$A)&amp;" "&amp;_xlfn.XLOOKUP(C37,'TRA TECH'!$J:$J,'TRA TECH'!$B:$B)&amp;" "&amp;_xlfn.XLOOKUP(C37,'TRA TECH'!$J:$J,'TRA TECH'!$C:$C)&amp;" "&amp;_xlfn.XLOOKUP(C37,'TRA TECH'!$J:$J,'TRA TECH'!$F:$F))</f>
        <v>*</v>
      </c>
      <c r="E37" t="str">
        <f t="shared" si="0"/>
        <v>*</v>
      </c>
      <c r="F37" t="str">
        <f>IF(B37="*","*",_xlfn.XLOOKUP(C37,'TRA TECH'!J:J,'TRA TECH'!K:K))</f>
        <v>*</v>
      </c>
    </row>
    <row r="38" spans="2:6" x14ac:dyDescent="0.25">
      <c r="B38" t="str">
        <f>IF('TRA TECH'!M36=1,IF('TRA TECH'!L36=1,"PRE","*"),"*")</f>
        <v>PRE</v>
      </c>
      <c r="C38" t="str">
        <f>'TRA TECH'!J36</f>
        <v>TRAPASLDTICEVTGSL20</v>
      </c>
      <c r="D38" t="str">
        <f>IF(B38="*","*",_xlfn.XLOOKUP(C38,'TRA TECH'!$J:$J,'TRA TECH'!$A:$A)&amp;" "&amp;_xlfn.XLOOKUP(C38,'TRA TECH'!$J:$J,'TRA TECH'!$B:$B)&amp;" "&amp;_xlfn.XLOOKUP(C38,'TRA TECH'!$J:$J,'TRA TECH'!$C:$C)&amp;" "&amp;_xlfn.XLOOKUP(C38,'TRA TECH'!$J:$J,'TRA TECH'!$F:$F))</f>
        <v>Transportation Passenger Passenger Truck Gasoline ICE Vehicle (spark ignition with turbo)</v>
      </c>
      <c r="E38" t="str">
        <f t="shared" si="0"/>
        <v>Mvkm</v>
      </c>
      <c r="F38" t="str">
        <f>IF(B38="*","*",_xlfn.XLOOKUP(C38,'TRA TECH'!J:J,'TRA TECH'!K:K))</f>
        <v>Mvkm</v>
      </c>
    </row>
    <row r="39" spans="2:6" x14ac:dyDescent="0.25">
      <c r="B39" t="str">
        <f>IF('TRA TECH'!M37=1,IF('TRA TECH'!L37=1,"PRE","*"),"*")</f>
        <v>*</v>
      </c>
      <c r="C39" t="str">
        <f>'TRA TECH'!J37</f>
        <v>TRAPASLDTICEVTGSL20</v>
      </c>
      <c r="D39" t="str">
        <f>IF(B39="*","*",_xlfn.XLOOKUP(C39,'TRA TECH'!$J:$J,'TRA TECH'!$A:$A)&amp;" "&amp;_xlfn.XLOOKUP(C39,'TRA TECH'!$J:$J,'TRA TECH'!$B:$B)&amp;" "&amp;_xlfn.XLOOKUP(C39,'TRA TECH'!$J:$J,'TRA TECH'!$C:$C)&amp;" "&amp;_xlfn.XLOOKUP(C39,'TRA TECH'!$J:$J,'TRA TECH'!$F:$F))</f>
        <v>*</v>
      </c>
      <c r="E39" t="str">
        <f t="shared" si="0"/>
        <v>*</v>
      </c>
      <c r="F39" t="str">
        <f>IF(B39="*","*",_xlfn.XLOOKUP(C39,'TRA TECH'!J:J,'TRA TECH'!K:K))</f>
        <v>*</v>
      </c>
    </row>
    <row r="40" spans="2:6" x14ac:dyDescent="0.25">
      <c r="B40" t="str">
        <f>IF('TRA TECH'!M38=1,IF('TRA TECH'!L38=1,"PRE","*"),"*")</f>
        <v>PRE</v>
      </c>
      <c r="C40" t="str">
        <f>'TRA TECH'!J38</f>
        <v>TRAPASLDTHEVGSL20</v>
      </c>
      <c r="D40" t="str">
        <f>IF(B40="*","*",_xlfn.XLOOKUP(C40,'TRA TECH'!$J:$J,'TRA TECH'!$A:$A)&amp;" "&amp;_xlfn.XLOOKUP(C40,'TRA TECH'!$J:$J,'TRA TECH'!$B:$B)&amp;" "&amp;_xlfn.XLOOKUP(C40,'TRA TECH'!$J:$J,'TRA TECH'!$C:$C)&amp;" "&amp;_xlfn.XLOOKUP(C40,'TRA TECH'!$J:$J,'TRA TECH'!$F:$F))</f>
        <v>Transportation Passenger Passenger Truck Gasoline Micro Hybrid Electric Vehicle (spark ignition)</v>
      </c>
      <c r="E40" t="str">
        <f t="shared" si="0"/>
        <v>Mvkm</v>
      </c>
      <c r="F40" t="str">
        <f>IF(B40="*","*",_xlfn.XLOOKUP(C40,'TRA TECH'!J:J,'TRA TECH'!K:K))</f>
        <v>Mvkm</v>
      </c>
    </row>
    <row r="41" spans="2:6" x14ac:dyDescent="0.25">
      <c r="B41" t="str">
        <f>IF('TRA TECH'!M39=1,IF('TRA TECH'!L39=1,"PRE","*"),"*")</f>
        <v>*</v>
      </c>
      <c r="C41" t="str">
        <f>'TRA TECH'!J39</f>
        <v>TRAPASLDTHEVGSL20</v>
      </c>
      <c r="D41" t="str">
        <f>IF(B41="*","*",_xlfn.XLOOKUP(C41,'TRA TECH'!$J:$J,'TRA TECH'!$A:$A)&amp;" "&amp;_xlfn.XLOOKUP(C41,'TRA TECH'!$J:$J,'TRA TECH'!$B:$B)&amp;" "&amp;_xlfn.XLOOKUP(C41,'TRA TECH'!$J:$J,'TRA TECH'!$C:$C)&amp;" "&amp;_xlfn.XLOOKUP(C41,'TRA TECH'!$J:$J,'TRA TECH'!$F:$F))</f>
        <v>*</v>
      </c>
      <c r="E41" t="str">
        <f t="shared" si="0"/>
        <v>*</v>
      </c>
      <c r="F41" t="str">
        <f>IF(B41="*","*",_xlfn.XLOOKUP(C41,'TRA TECH'!J:J,'TRA TECH'!K:K))</f>
        <v>*</v>
      </c>
    </row>
    <row r="42" spans="2:6" x14ac:dyDescent="0.25">
      <c r="B42" t="str">
        <f>IF('TRA TECH'!M40=1,IF('TRA TECH'!L40=1,"PRE","*"),"*")</f>
        <v>PRE</v>
      </c>
      <c r="C42" t="str">
        <f>'TRA TECH'!J40</f>
        <v>TRAPASLDTHEVTGSL20</v>
      </c>
      <c r="D42" t="str">
        <f>IF(B42="*","*",_xlfn.XLOOKUP(C42,'TRA TECH'!$J:$J,'TRA TECH'!$A:$A)&amp;" "&amp;_xlfn.XLOOKUP(C42,'TRA TECH'!$J:$J,'TRA TECH'!$B:$B)&amp;" "&amp;_xlfn.XLOOKUP(C42,'TRA TECH'!$J:$J,'TRA TECH'!$C:$C)&amp;" "&amp;_xlfn.XLOOKUP(C42,'TRA TECH'!$J:$J,'TRA TECH'!$F:$F))</f>
        <v>Transportation Passenger Passenger Truck Gasoline Micro Hybrid Electric Vehicle (spark ignition with turbo)</v>
      </c>
      <c r="E42" t="str">
        <f t="shared" si="0"/>
        <v>Mvkm</v>
      </c>
      <c r="F42" t="str">
        <f>IF(B42="*","*",_xlfn.XLOOKUP(C42,'TRA TECH'!J:J,'TRA TECH'!K:K))</f>
        <v>Mvkm</v>
      </c>
    </row>
    <row r="43" spans="2:6" x14ac:dyDescent="0.25">
      <c r="B43" t="str">
        <f>IF('TRA TECH'!M41=1,IF('TRA TECH'!L41=1,"PRE","*"),"*")</f>
        <v>*</v>
      </c>
      <c r="C43" t="str">
        <f>'TRA TECH'!J41</f>
        <v>TRAPASLDTHEVTGSL20</v>
      </c>
      <c r="D43" t="str">
        <f>IF(B43="*","*",_xlfn.XLOOKUP(C43,'TRA TECH'!$J:$J,'TRA TECH'!$A:$A)&amp;" "&amp;_xlfn.XLOOKUP(C43,'TRA TECH'!$J:$J,'TRA TECH'!$B:$B)&amp;" "&amp;_xlfn.XLOOKUP(C43,'TRA TECH'!$J:$J,'TRA TECH'!$C:$C)&amp;" "&amp;_xlfn.XLOOKUP(C43,'TRA TECH'!$J:$J,'TRA TECH'!$F:$F))</f>
        <v>*</v>
      </c>
      <c r="E43" t="str">
        <f t="shared" si="0"/>
        <v>*</v>
      </c>
      <c r="F43" t="str">
        <f>IF(B43="*","*",_xlfn.XLOOKUP(C43,'TRA TECH'!J:J,'TRA TECH'!K:K))</f>
        <v>*</v>
      </c>
    </row>
    <row r="44" spans="2:6" x14ac:dyDescent="0.25">
      <c r="B44" t="str">
        <f>IF('TRA TECH'!M42=1,IF('TRA TECH'!L42=1,"PRE","*"),"*")</f>
        <v>PRE</v>
      </c>
      <c r="C44" t="str">
        <f>'TRA TECH'!J42</f>
        <v>TRAPASLDTHEVIGSL20</v>
      </c>
      <c r="D44" t="str">
        <f>IF(B44="*","*",_xlfn.XLOOKUP(C44,'TRA TECH'!$J:$J,'TRA TECH'!$A:$A)&amp;" "&amp;_xlfn.XLOOKUP(C44,'TRA TECH'!$J:$J,'TRA TECH'!$B:$B)&amp;" "&amp;_xlfn.XLOOKUP(C44,'TRA TECH'!$J:$J,'TRA TECH'!$C:$C)&amp;" "&amp;_xlfn.XLOOKUP(C44,'TRA TECH'!$J:$J,'TRA TECH'!$F:$F))</f>
        <v>Transportation Passenger Passenger Truck Gasoline Mild Hybrid Electric Vehicle (belt-driven integrated starter generator with spark ignition)</v>
      </c>
      <c r="E44" t="str">
        <f t="shared" si="0"/>
        <v>Mvkm</v>
      </c>
      <c r="F44" t="str">
        <f>IF(B44="*","*",_xlfn.XLOOKUP(C44,'TRA TECH'!J:J,'TRA TECH'!K:K))</f>
        <v>Mvkm</v>
      </c>
    </row>
    <row r="45" spans="2:6" x14ac:dyDescent="0.25">
      <c r="B45" t="str">
        <f>IF('TRA TECH'!M43=1,IF('TRA TECH'!L43=1,"PRE","*"),"*")</f>
        <v>*</v>
      </c>
      <c r="C45" t="str">
        <f>'TRA TECH'!J43</f>
        <v>TRAPASLDTHEVIGSL20</v>
      </c>
      <c r="D45" t="str">
        <f>IF(B45="*","*",_xlfn.XLOOKUP(C45,'TRA TECH'!$J:$J,'TRA TECH'!$A:$A)&amp;" "&amp;_xlfn.XLOOKUP(C45,'TRA TECH'!$J:$J,'TRA TECH'!$B:$B)&amp;" "&amp;_xlfn.XLOOKUP(C45,'TRA TECH'!$J:$J,'TRA TECH'!$C:$C)&amp;" "&amp;_xlfn.XLOOKUP(C45,'TRA TECH'!$J:$J,'TRA TECH'!$F:$F))</f>
        <v>*</v>
      </c>
      <c r="E45" t="str">
        <f t="shared" si="0"/>
        <v>*</v>
      </c>
      <c r="F45" t="str">
        <f>IF(B45="*","*",_xlfn.XLOOKUP(C45,'TRA TECH'!J:J,'TRA TECH'!K:K))</f>
        <v>*</v>
      </c>
    </row>
    <row r="46" spans="2:6" x14ac:dyDescent="0.25">
      <c r="B46" t="str">
        <f>IF('TRA TECH'!M44=1,IF('TRA TECH'!L44=1,"PRE","*"),"*")</f>
        <v>*</v>
      </c>
      <c r="C46" t="str">
        <f>'TRA TECH'!J44</f>
        <v>TRAPASLDTHEVIGSL20</v>
      </c>
      <c r="D46" t="str">
        <f>IF(B46="*","*",_xlfn.XLOOKUP(C46,'TRA TECH'!$J:$J,'TRA TECH'!$A:$A)&amp;" "&amp;_xlfn.XLOOKUP(C46,'TRA TECH'!$J:$J,'TRA TECH'!$B:$B)&amp;" "&amp;_xlfn.XLOOKUP(C46,'TRA TECH'!$J:$J,'TRA TECH'!$C:$C)&amp;" "&amp;_xlfn.XLOOKUP(C46,'TRA TECH'!$J:$J,'TRA TECH'!$F:$F))</f>
        <v>*</v>
      </c>
      <c r="E46" t="str">
        <f t="shared" si="0"/>
        <v>*</v>
      </c>
      <c r="F46" t="str">
        <f>IF(B46="*","*",_xlfn.XLOOKUP(C46,'TRA TECH'!J:J,'TRA TECH'!K:K))</f>
        <v>*</v>
      </c>
    </row>
    <row r="47" spans="2:6" x14ac:dyDescent="0.25">
      <c r="B47" t="str">
        <f>IF('TRA TECH'!M45=1,IF('TRA TECH'!L45=1,"PRE","*"),"*")</f>
        <v>*</v>
      </c>
      <c r="C47" t="str">
        <f>'TRA TECH'!J45</f>
        <v>TRAPASLDTHEVIGSL20</v>
      </c>
      <c r="D47" t="str">
        <f>IF(B47="*","*",_xlfn.XLOOKUP(C47,'TRA TECH'!$J:$J,'TRA TECH'!$A:$A)&amp;" "&amp;_xlfn.XLOOKUP(C47,'TRA TECH'!$J:$J,'TRA TECH'!$B:$B)&amp;" "&amp;_xlfn.XLOOKUP(C47,'TRA TECH'!$J:$J,'TRA TECH'!$C:$C)&amp;" "&amp;_xlfn.XLOOKUP(C47,'TRA TECH'!$J:$J,'TRA TECH'!$F:$F))</f>
        <v>*</v>
      </c>
      <c r="E47" t="str">
        <f t="shared" si="0"/>
        <v>*</v>
      </c>
      <c r="F47" t="str">
        <f>IF(B47="*","*",_xlfn.XLOOKUP(C47,'TRA TECH'!J:J,'TRA TECH'!K:K))</f>
        <v>*</v>
      </c>
    </row>
    <row r="48" spans="2:6" x14ac:dyDescent="0.25">
      <c r="B48" t="str">
        <f>IF('TRA TECH'!M46=1,IF('TRA TECH'!L46=1,"PRE","*"),"*")</f>
        <v>PRE</v>
      </c>
      <c r="C48" t="str">
        <f>'TRA TECH'!J46</f>
        <v>TRAPASLDTHEVPGSL20</v>
      </c>
      <c r="D48" t="str">
        <f>IF(B48="*","*",_xlfn.XLOOKUP(C48,'TRA TECH'!$J:$J,'TRA TECH'!$A:$A)&amp;" "&amp;_xlfn.XLOOKUP(C48,'TRA TECH'!$J:$J,'TRA TECH'!$B:$B)&amp;" "&amp;_xlfn.XLOOKUP(C48,'TRA TECH'!$J:$J,'TRA TECH'!$C:$C)&amp;" "&amp;_xlfn.XLOOKUP(C48,'TRA TECH'!$J:$J,'TRA TECH'!$F:$F))</f>
        <v>Transportation Passenger Passenger Truck Gasoline Power Split Hybrid Electric Vehicle</v>
      </c>
      <c r="E48" t="str">
        <f t="shared" si="0"/>
        <v>Mvkm</v>
      </c>
      <c r="F48" t="str">
        <f>IF(B48="*","*",_xlfn.XLOOKUP(C48,'TRA TECH'!J:J,'TRA TECH'!K:K))</f>
        <v>Mvkm</v>
      </c>
    </row>
    <row r="49" spans="2:6" x14ac:dyDescent="0.25">
      <c r="B49" t="str">
        <f>IF('TRA TECH'!M47=1,IF('TRA TECH'!L47=1,"PRE","*"),"*")</f>
        <v>*</v>
      </c>
      <c r="C49" t="str">
        <f>'TRA TECH'!J47</f>
        <v>TRAPASLDTHEVPGSL20</v>
      </c>
      <c r="D49" t="str">
        <f>IF(B49="*","*",_xlfn.XLOOKUP(C49,'TRA TECH'!$J:$J,'TRA TECH'!$A:$A)&amp;" "&amp;_xlfn.XLOOKUP(C49,'TRA TECH'!$J:$J,'TRA TECH'!$B:$B)&amp;" "&amp;_xlfn.XLOOKUP(C49,'TRA TECH'!$J:$J,'TRA TECH'!$C:$C)&amp;" "&amp;_xlfn.XLOOKUP(C49,'TRA TECH'!$J:$J,'TRA TECH'!$F:$F))</f>
        <v>*</v>
      </c>
      <c r="E49" t="str">
        <f t="shared" si="0"/>
        <v>*</v>
      </c>
      <c r="F49" t="str">
        <f>IF(B49="*","*",_xlfn.XLOOKUP(C49,'TRA TECH'!J:J,'TRA TECH'!K:K))</f>
        <v>*</v>
      </c>
    </row>
    <row r="50" spans="2:6" x14ac:dyDescent="0.25">
      <c r="B50" t="str">
        <f>IF('TRA TECH'!M48=1,IF('TRA TECH'!L48=1,"PRE","*"),"*")</f>
        <v>PRE</v>
      </c>
      <c r="C50" t="str">
        <f>'TRA TECH'!J48</f>
        <v>TRAPASLDTPHEVPGSL20</v>
      </c>
      <c r="D50" t="str">
        <f>IF(B50="*","*",_xlfn.XLOOKUP(C50,'TRA TECH'!$J:$J,'TRA TECH'!$A:$A)&amp;" "&amp;_xlfn.XLOOKUP(C50,'TRA TECH'!$J:$J,'TRA TECH'!$B:$B)&amp;" "&amp;_xlfn.XLOOKUP(C50,'TRA TECH'!$J:$J,'TRA TECH'!$C:$C)&amp;" "&amp;_xlfn.XLOOKUP(C50,'TRA TECH'!$J:$J,'TRA TECH'!$F:$F))</f>
        <v>Transportation Passenger Passenger Truck Gasoline Power Split Plug-in Hybrid Electric Vehicle (20-mile electric range)</v>
      </c>
      <c r="E50" t="str">
        <f t="shared" si="0"/>
        <v>Mvkm</v>
      </c>
      <c r="F50" t="str">
        <f>IF(B50="*","*",_xlfn.XLOOKUP(C50,'TRA TECH'!J:J,'TRA TECH'!K:K))</f>
        <v>Mvkm</v>
      </c>
    </row>
    <row r="51" spans="2:6" x14ac:dyDescent="0.25">
      <c r="B51" t="str">
        <f>IF('TRA TECH'!M49=1,IF('TRA TECH'!L49=1,"PRE","*"),"*")</f>
        <v>*</v>
      </c>
      <c r="C51" t="str">
        <f>'TRA TECH'!J49</f>
        <v>TRAPASLDTPHEVPGSL20</v>
      </c>
      <c r="D51" t="str">
        <f>IF(B51="*","*",_xlfn.XLOOKUP(C51,'TRA TECH'!$J:$J,'TRA TECH'!$A:$A)&amp;" "&amp;_xlfn.XLOOKUP(C51,'TRA TECH'!$J:$J,'TRA TECH'!$B:$B)&amp;" "&amp;_xlfn.XLOOKUP(C51,'TRA TECH'!$J:$J,'TRA TECH'!$C:$C)&amp;" "&amp;_xlfn.XLOOKUP(C51,'TRA TECH'!$J:$J,'TRA TECH'!$F:$F))</f>
        <v>*</v>
      </c>
      <c r="E51" t="str">
        <f t="shared" si="0"/>
        <v>*</v>
      </c>
      <c r="F51" t="str">
        <f>IF(B51="*","*",_xlfn.XLOOKUP(C51,'TRA TECH'!J:J,'TRA TECH'!K:K))</f>
        <v>*</v>
      </c>
    </row>
    <row r="52" spans="2:6" x14ac:dyDescent="0.25">
      <c r="B52" t="str">
        <f>IF('TRA TECH'!M50=1,IF('TRA TECH'!L50=1,"PRE","*"),"*")</f>
        <v>*</v>
      </c>
      <c r="C52" t="str">
        <f>'TRA TECH'!J50</f>
        <v>TRAPASLDTPHEVPGSL20</v>
      </c>
      <c r="D52" t="str">
        <f>IF(B52="*","*",_xlfn.XLOOKUP(C52,'TRA TECH'!$J:$J,'TRA TECH'!$A:$A)&amp;" "&amp;_xlfn.XLOOKUP(C52,'TRA TECH'!$J:$J,'TRA TECH'!$B:$B)&amp;" "&amp;_xlfn.XLOOKUP(C52,'TRA TECH'!$J:$J,'TRA TECH'!$C:$C)&amp;" "&amp;_xlfn.XLOOKUP(C52,'TRA TECH'!$J:$J,'TRA TECH'!$F:$F))</f>
        <v>*</v>
      </c>
      <c r="E52" t="str">
        <f t="shared" si="0"/>
        <v>*</v>
      </c>
      <c r="F52" t="str">
        <f>IF(B52="*","*",_xlfn.XLOOKUP(C52,'TRA TECH'!J:J,'TRA TECH'!K:K))</f>
        <v>*</v>
      </c>
    </row>
    <row r="53" spans="2:6" x14ac:dyDescent="0.25">
      <c r="B53" t="str">
        <f>IF('TRA TECH'!M51=1,IF('TRA TECH'!L51=1,"PRE","*"),"*")</f>
        <v>PRE</v>
      </c>
      <c r="C53" t="str">
        <f>'TRA TECH'!J51</f>
        <v>TRAPASLDTPHEVEGSL20</v>
      </c>
      <c r="D53" t="str">
        <f>IF(B53="*","*",_xlfn.XLOOKUP(C53,'TRA TECH'!$J:$J,'TRA TECH'!$A:$A)&amp;" "&amp;_xlfn.XLOOKUP(C53,'TRA TECH'!$J:$J,'TRA TECH'!$B:$B)&amp;" "&amp;_xlfn.XLOOKUP(C53,'TRA TECH'!$J:$J,'TRA TECH'!$C:$C)&amp;" "&amp;_xlfn.XLOOKUP(C53,'TRA TECH'!$J:$J,'TRA TECH'!$F:$F))</f>
        <v>Transportation Passenger Passenger Truck Gasoline Extended Range Plug-in Hybrid Electric Vehicle (50-mile electric range)</v>
      </c>
      <c r="E53" t="str">
        <f t="shared" si="0"/>
        <v>Mvkm</v>
      </c>
      <c r="F53" t="str">
        <f>IF(B53="*","*",_xlfn.XLOOKUP(C53,'TRA TECH'!J:J,'TRA TECH'!K:K))</f>
        <v>Mvkm</v>
      </c>
    </row>
    <row r="54" spans="2:6" x14ac:dyDescent="0.25">
      <c r="B54" t="str">
        <f>IF('TRA TECH'!M52=1,IF('TRA TECH'!L52=1,"PRE","*"),"*")</f>
        <v>*</v>
      </c>
      <c r="C54" t="str">
        <f>'TRA TECH'!J52</f>
        <v>TRAPASLDTPHEVEGSL20</v>
      </c>
      <c r="D54" t="str">
        <f>IF(B54="*","*",_xlfn.XLOOKUP(C54,'TRA TECH'!$J:$J,'TRA TECH'!$A:$A)&amp;" "&amp;_xlfn.XLOOKUP(C54,'TRA TECH'!$J:$J,'TRA TECH'!$B:$B)&amp;" "&amp;_xlfn.XLOOKUP(C54,'TRA TECH'!$J:$J,'TRA TECH'!$C:$C)&amp;" "&amp;_xlfn.XLOOKUP(C54,'TRA TECH'!$J:$J,'TRA TECH'!$F:$F))</f>
        <v>*</v>
      </c>
      <c r="E54" t="str">
        <f t="shared" si="0"/>
        <v>*</v>
      </c>
      <c r="F54" t="str">
        <f>IF(B54="*","*",_xlfn.XLOOKUP(C54,'TRA TECH'!J:J,'TRA TECH'!K:K))</f>
        <v>*</v>
      </c>
    </row>
    <row r="55" spans="2:6" x14ac:dyDescent="0.25">
      <c r="B55" t="str">
        <f>IF('TRA TECH'!M53=1,IF('TRA TECH'!L53=1,"PRE","*"),"*")</f>
        <v>*</v>
      </c>
      <c r="C55" t="str">
        <f>'TRA TECH'!J53</f>
        <v>TRAPASLDTPHEVEGSL20</v>
      </c>
      <c r="D55" t="str">
        <f>IF(B55="*","*",_xlfn.XLOOKUP(C55,'TRA TECH'!$J:$J,'TRA TECH'!$A:$A)&amp;" "&amp;_xlfn.XLOOKUP(C55,'TRA TECH'!$J:$J,'TRA TECH'!$B:$B)&amp;" "&amp;_xlfn.XLOOKUP(C55,'TRA TECH'!$J:$J,'TRA TECH'!$C:$C)&amp;" "&amp;_xlfn.XLOOKUP(C55,'TRA TECH'!$J:$J,'TRA TECH'!$F:$F))</f>
        <v>*</v>
      </c>
      <c r="E55" t="str">
        <f t="shared" si="0"/>
        <v>*</v>
      </c>
      <c r="F55" t="str">
        <f>IF(B55="*","*",_xlfn.XLOOKUP(C55,'TRA TECH'!J:J,'TRA TECH'!K:K))</f>
        <v>*</v>
      </c>
    </row>
    <row r="56" spans="2:6" x14ac:dyDescent="0.25">
      <c r="B56" t="str">
        <f>IF('TRA TECH'!M54=1,IF('TRA TECH'!L54=1,"PRE","*"),"*")</f>
        <v>PRE</v>
      </c>
      <c r="C56" t="str">
        <f>'TRA TECH'!J54</f>
        <v>TRAPASLDTICEVDSL20</v>
      </c>
      <c r="D56" t="str">
        <f>IF(B56="*","*",_xlfn.XLOOKUP(C56,'TRA TECH'!$J:$J,'TRA TECH'!$A:$A)&amp;" "&amp;_xlfn.XLOOKUP(C56,'TRA TECH'!$J:$J,'TRA TECH'!$B:$B)&amp;" "&amp;_xlfn.XLOOKUP(C56,'TRA TECH'!$J:$J,'TRA TECH'!$C:$C)&amp;" "&amp;_xlfn.XLOOKUP(C56,'TRA TECH'!$J:$J,'TRA TECH'!$F:$F))</f>
        <v>Transportation Passenger Passenger Truck Diesel Conventional Compression Ignition Vehicle</v>
      </c>
      <c r="E56" t="str">
        <f t="shared" si="0"/>
        <v>Mvkm</v>
      </c>
      <c r="F56" t="str">
        <f>IF(B56="*","*",_xlfn.XLOOKUP(C56,'TRA TECH'!J:J,'TRA TECH'!K:K))</f>
        <v>Mvkm</v>
      </c>
    </row>
    <row r="57" spans="2:6" x14ac:dyDescent="0.25">
      <c r="B57" t="str">
        <f>IF('TRA TECH'!M55=1,IF('TRA TECH'!L55=1,"PRE","*"),"*")</f>
        <v>*</v>
      </c>
      <c r="C57" t="str">
        <f>'TRA TECH'!J55</f>
        <v>TRAPASLDTICEVDSL20</v>
      </c>
      <c r="D57" t="str">
        <f>IF(B57="*","*",_xlfn.XLOOKUP(C57,'TRA TECH'!$J:$J,'TRA TECH'!$A:$A)&amp;" "&amp;_xlfn.XLOOKUP(C57,'TRA TECH'!$J:$J,'TRA TECH'!$B:$B)&amp;" "&amp;_xlfn.XLOOKUP(C57,'TRA TECH'!$J:$J,'TRA TECH'!$C:$C)&amp;" "&amp;_xlfn.XLOOKUP(C57,'TRA TECH'!$J:$J,'TRA TECH'!$F:$F))</f>
        <v>*</v>
      </c>
      <c r="E57" t="str">
        <f t="shared" si="0"/>
        <v>*</v>
      </c>
      <c r="F57" t="str">
        <f>IF(B57="*","*",_xlfn.XLOOKUP(C57,'TRA TECH'!J:J,'TRA TECH'!K:K))</f>
        <v>*</v>
      </c>
    </row>
    <row r="58" spans="2:6" x14ac:dyDescent="0.25">
      <c r="B58" t="str">
        <f>IF('TRA TECH'!M56=1,IF('TRA TECH'!L56=1,"PRE","*"),"*")</f>
        <v>*</v>
      </c>
      <c r="C58" t="str">
        <f>'TRA TECH'!J56</f>
        <v>TRAPASLDTICEVDSL20</v>
      </c>
      <c r="D58" t="str">
        <f>IF(B58="*","*",_xlfn.XLOOKUP(C58,'TRA TECH'!$J:$J,'TRA TECH'!$A:$A)&amp;" "&amp;_xlfn.XLOOKUP(C58,'TRA TECH'!$J:$J,'TRA TECH'!$B:$B)&amp;" "&amp;_xlfn.XLOOKUP(C58,'TRA TECH'!$J:$J,'TRA TECH'!$C:$C)&amp;" "&amp;_xlfn.XLOOKUP(C58,'TRA TECH'!$J:$J,'TRA TECH'!$F:$F))</f>
        <v>*</v>
      </c>
      <c r="E58" t="str">
        <f t="shared" si="0"/>
        <v>*</v>
      </c>
      <c r="F58" t="str">
        <f>IF(B58="*","*",_xlfn.XLOOKUP(C58,'TRA TECH'!J:J,'TRA TECH'!K:K))</f>
        <v>*</v>
      </c>
    </row>
    <row r="59" spans="2:6" x14ac:dyDescent="0.25">
      <c r="B59" t="str">
        <f>IF('TRA TECH'!M57=1,IF('TRA TECH'!L57=1,"PRE","*"),"*")</f>
        <v>PRE</v>
      </c>
      <c r="C59" t="str">
        <f>'TRA TECH'!J57</f>
        <v>TRAPASLDTICEVCNG20</v>
      </c>
      <c r="D59" t="str">
        <f>IF(B59="*","*",_xlfn.XLOOKUP(C59,'TRA TECH'!$J:$J,'TRA TECH'!$A:$A)&amp;" "&amp;_xlfn.XLOOKUP(C59,'TRA TECH'!$J:$J,'TRA TECH'!$B:$B)&amp;" "&amp;_xlfn.XLOOKUP(C59,'TRA TECH'!$J:$J,'TRA TECH'!$C:$C)&amp;" "&amp;_xlfn.XLOOKUP(C59,'TRA TECH'!$J:$J,'TRA TECH'!$F:$F))</f>
        <v>Transportation Passenger Passenger Truck Compressed Natural Gas Conventional Vehicle</v>
      </c>
      <c r="E59" t="str">
        <f t="shared" si="0"/>
        <v>Mvkm</v>
      </c>
      <c r="F59" t="str">
        <f>IF(B59="*","*",_xlfn.XLOOKUP(C59,'TRA TECH'!J:J,'TRA TECH'!K:K))</f>
        <v>Mvkm</v>
      </c>
    </row>
    <row r="60" spans="2:6" x14ac:dyDescent="0.25">
      <c r="B60" t="str">
        <f>IF('TRA TECH'!M58=1,IF('TRA TECH'!L58=1,"PRE","*"),"*")</f>
        <v>*</v>
      </c>
      <c r="C60" t="str">
        <f>'TRA TECH'!J58</f>
        <v>TRAPASLDTICEVCNG20</v>
      </c>
      <c r="D60" t="str">
        <f>IF(B60="*","*",_xlfn.XLOOKUP(C60,'TRA TECH'!$J:$J,'TRA TECH'!$A:$A)&amp;" "&amp;_xlfn.XLOOKUP(C60,'TRA TECH'!$J:$J,'TRA TECH'!$B:$B)&amp;" "&amp;_xlfn.XLOOKUP(C60,'TRA TECH'!$J:$J,'TRA TECH'!$C:$C)&amp;" "&amp;_xlfn.XLOOKUP(C60,'TRA TECH'!$J:$J,'TRA TECH'!$F:$F))</f>
        <v>*</v>
      </c>
      <c r="E60" t="str">
        <f t="shared" si="0"/>
        <v>*</v>
      </c>
      <c r="F60" t="str">
        <f>IF(B60="*","*",_xlfn.XLOOKUP(C60,'TRA TECH'!J:J,'TRA TECH'!K:K))</f>
        <v>*</v>
      </c>
    </row>
    <row r="61" spans="2:6" x14ac:dyDescent="0.25">
      <c r="B61" t="str">
        <f>IF('TRA TECH'!M59=1,IF('TRA TECH'!L59=1,"PRE","*"),"*")</f>
        <v>PRE</v>
      </c>
      <c r="C61" t="str">
        <f>'TRA TECH'!J59</f>
        <v>TRAPASLDT300FCEV20</v>
      </c>
      <c r="D61" t="str">
        <f>IF(B61="*","*",_xlfn.XLOOKUP(C61,'TRA TECH'!$J:$J,'TRA TECH'!$A:$A)&amp;" "&amp;_xlfn.XLOOKUP(C61,'TRA TECH'!$J:$J,'TRA TECH'!$B:$B)&amp;" "&amp;_xlfn.XLOOKUP(C61,'TRA TECH'!$J:$J,'TRA TECH'!$C:$C)&amp;" "&amp;_xlfn.XLOOKUP(C61,'TRA TECH'!$J:$J,'TRA TECH'!$F:$F))</f>
        <v>Transportation Passenger Passenger Truck Hydrogen Fuel Cell Electric Vehicle (300-mile range)</v>
      </c>
      <c r="E61" t="str">
        <f t="shared" si="0"/>
        <v>Mvkm</v>
      </c>
      <c r="F61" t="str">
        <f>IF(B61="*","*",_xlfn.XLOOKUP(C61,'TRA TECH'!J:J,'TRA TECH'!K:K))</f>
        <v>Mvkm</v>
      </c>
    </row>
    <row r="62" spans="2:6" x14ac:dyDescent="0.25">
      <c r="B62" t="str">
        <f>IF('TRA TECH'!M60=1,IF('TRA TECH'!L60=1,"PRE","*"),"*")</f>
        <v>PRE</v>
      </c>
      <c r="C62" t="str">
        <f>'TRA TECH'!J60</f>
        <v>TRAPASLDT400FCEV20</v>
      </c>
      <c r="D62" t="str">
        <f>IF(B62="*","*",_xlfn.XLOOKUP(C62,'TRA TECH'!$J:$J,'TRA TECH'!$A:$A)&amp;" "&amp;_xlfn.XLOOKUP(C62,'TRA TECH'!$J:$J,'TRA TECH'!$B:$B)&amp;" "&amp;_xlfn.XLOOKUP(C62,'TRA TECH'!$J:$J,'TRA TECH'!$C:$C)&amp;" "&amp;_xlfn.XLOOKUP(C62,'TRA TECH'!$J:$J,'TRA TECH'!$F:$F))</f>
        <v>Transportation Passenger Passenger Truck Hydrogen Fuel Cell Electric Vehicle (400-mile range)</v>
      </c>
      <c r="E62" t="str">
        <f t="shared" si="0"/>
        <v>Mvkm</v>
      </c>
      <c r="F62" t="str">
        <f>IF(B62="*","*",_xlfn.XLOOKUP(C62,'TRA TECH'!J:J,'TRA TECH'!K:K))</f>
        <v>Mvkm</v>
      </c>
    </row>
    <row r="63" spans="2:6" x14ac:dyDescent="0.25">
      <c r="B63" t="str">
        <f>IF('TRA TECH'!M61=1,IF('TRA TECH'!L61=1,"PRE","*"),"*")</f>
        <v>PRE</v>
      </c>
      <c r="C63" t="str">
        <f>'TRA TECH'!J61</f>
        <v>TRAPASLDT200BEV20</v>
      </c>
      <c r="D63" t="str">
        <f>IF(B63="*","*",_xlfn.XLOOKUP(C63,'TRA TECH'!$J:$J,'TRA TECH'!$A:$A)&amp;" "&amp;_xlfn.XLOOKUP(C63,'TRA TECH'!$J:$J,'TRA TECH'!$B:$B)&amp;" "&amp;_xlfn.XLOOKUP(C63,'TRA TECH'!$J:$J,'TRA TECH'!$C:$C)&amp;" "&amp;_xlfn.XLOOKUP(C63,'TRA TECH'!$J:$J,'TRA TECH'!$F:$F))</f>
        <v>Transportation Passenger Passenger Truck Battery Electric Vehicle (200-mile range)</v>
      </c>
      <c r="E63" t="str">
        <f t="shared" si="0"/>
        <v>Mvkm</v>
      </c>
      <c r="F63" t="str">
        <f>IF(B63="*","*",_xlfn.XLOOKUP(C63,'TRA TECH'!J:J,'TRA TECH'!K:K))</f>
        <v>Mvkm</v>
      </c>
    </row>
    <row r="64" spans="2:6" x14ac:dyDescent="0.25">
      <c r="B64" t="str">
        <f>IF('TRA TECH'!M62=1,IF('TRA TECH'!L62=1,"PRE","*"),"*")</f>
        <v>PRE</v>
      </c>
      <c r="C64" t="str">
        <f>'TRA TECH'!J62</f>
        <v>TRAPASLDT300BEV20</v>
      </c>
      <c r="D64" t="str">
        <f>IF(B64="*","*",_xlfn.XLOOKUP(C64,'TRA TECH'!$J:$J,'TRA TECH'!$A:$A)&amp;" "&amp;_xlfn.XLOOKUP(C64,'TRA TECH'!$J:$J,'TRA TECH'!$B:$B)&amp;" "&amp;_xlfn.XLOOKUP(C64,'TRA TECH'!$J:$J,'TRA TECH'!$C:$C)&amp;" "&amp;_xlfn.XLOOKUP(C64,'TRA TECH'!$J:$J,'TRA TECH'!$F:$F))</f>
        <v>Transportation Passenger Passenger Truck Battery Electric Vehicle (300-mile range)</v>
      </c>
      <c r="E64" t="str">
        <f t="shared" si="0"/>
        <v>Mvkm</v>
      </c>
      <c r="F64" t="str">
        <f>IF(B64="*","*",_xlfn.XLOOKUP(C64,'TRA TECH'!J:J,'TRA TECH'!K:K))</f>
        <v>Mvkm</v>
      </c>
    </row>
    <row r="65" spans="2:6" x14ac:dyDescent="0.25">
      <c r="B65" t="str">
        <f>IF('TRA TECH'!M63=1,IF('TRA TECH'!L63=1,"PRE","*"),"*")</f>
        <v>PRE</v>
      </c>
      <c r="C65" t="str">
        <f>'TRA TECH'!J63</f>
        <v>TRAPASLDT400BEV20</v>
      </c>
      <c r="D65" t="str">
        <f>IF(B65="*","*",_xlfn.XLOOKUP(C65,'TRA TECH'!$J:$J,'TRA TECH'!$A:$A)&amp;" "&amp;_xlfn.XLOOKUP(C65,'TRA TECH'!$J:$J,'TRA TECH'!$B:$B)&amp;" "&amp;_xlfn.XLOOKUP(C65,'TRA TECH'!$J:$J,'TRA TECH'!$C:$C)&amp;" "&amp;_xlfn.XLOOKUP(C65,'TRA TECH'!$J:$J,'TRA TECH'!$F:$F))</f>
        <v>Transportation Passenger Passenger Truck Battery Electric Vehicle (400-mile range)</v>
      </c>
      <c r="E65" t="str">
        <f t="shared" si="0"/>
        <v>Mvkm</v>
      </c>
      <c r="F65" t="str">
        <f>IF(B65="*","*",_xlfn.XLOOKUP(C65,'TRA TECH'!J:J,'TRA TECH'!K:K))</f>
        <v>Mvkm</v>
      </c>
    </row>
    <row r="66" spans="2:6" x14ac:dyDescent="0.25">
      <c r="B66" t="str">
        <f>IF('TRA TECH'!M64=1,IF('TRA TECH'!L64=1,"PRE","*"),"*")</f>
        <v>PRE</v>
      </c>
      <c r="C66" t="str">
        <f>'TRA TECH'!J64</f>
        <v>TRAPASLDT500BEV20</v>
      </c>
      <c r="D66" t="str">
        <f>IF(B66="*","*",_xlfn.XLOOKUP(C66,'TRA TECH'!$J:$J,'TRA TECH'!$A:$A)&amp;" "&amp;_xlfn.XLOOKUP(C66,'TRA TECH'!$J:$J,'TRA TECH'!$B:$B)&amp;" "&amp;_xlfn.XLOOKUP(C66,'TRA TECH'!$J:$J,'TRA TECH'!$C:$C)&amp;" "&amp;_xlfn.XLOOKUP(C66,'TRA TECH'!$J:$J,'TRA TECH'!$F:$F))</f>
        <v>Transportation Passenger Passenger Truck Battery Electric Vehicle (500-mile range)</v>
      </c>
      <c r="E66" t="str">
        <f t="shared" si="0"/>
        <v>Mvkm</v>
      </c>
      <c r="F66" t="str">
        <f>IF(B66="*","*",_xlfn.XLOOKUP(C66,'TRA TECH'!J:J,'TRA TECH'!K:K))</f>
        <v>Mvkm</v>
      </c>
    </row>
    <row r="67" spans="2:6" x14ac:dyDescent="0.25">
      <c r="B67" t="str">
        <f>IF('TRA TECH'!M65=1,IF('TRA TECH'!L65=1,"PRE","*"),"*")</f>
        <v>PRE</v>
      </c>
      <c r="C67" t="str">
        <f>'TRA TECH'!J65</f>
        <v>TRAPASMOTICEVGSL20</v>
      </c>
      <c r="D67" t="str">
        <f>IF(B67="*","*",_xlfn.XLOOKUP(C67,'TRA TECH'!$J:$J,'TRA TECH'!$A:$A)&amp;" "&amp;_xlfn.XLOOKUP(C67,'TRA TECH'!$J:$J,'TRA TECH'!$B:$B)&amp;" "&amp;_xlfn.XLOOKUP(C67,'TRA TECH'!$J:$J,'TRA TECH'!$C:$C)&amp;" "&amp;_xlfn.XLOOKUP(C67,'TRA TECH'!$J:$J,'TRA TECH'!$F:$F))</f>
        <v>Transportation Passenger Motorcycle Gasoline ICE Vehicle (spark ignition)</v>
      </c>
      <c r="E67" t="str">
        <f t="shared" si="0"/>
        <v>Mvkm</v>
      </c>
      <c r="F67" t="str">
        <f>IF(B67="*","*",_xlfn.XLOOKUP(C67,'TRA TECH'!J:J,'TRA TECH'!K:K))</f>
        <v>Mvkm</v>
      </c>
    </row>
    <row r="68" spans="2:6" x14ac:dyDescent="0.25">
      <c r="B68" t="str">
        <f>IF('TRA TECH'!M66=1,IF('TRA TECH'!L66=1,"PRE","*"),"*")</f>
        <v>*</v>
      </c>
      <c r="C68" t="str">
        <f>'TRA TECH'!J66</f>
        <v>TRAPASMOTICEVGSL20</v>
      </c>
      <c r="D68" t="str">
        <f>IF(B68="*","*",_xlfn.XLOOKUP(C68,'TRA TECH'!$J:$J,'TRA TECH'!$A:$A)&amp;" "&amp;_xlfn.XLOOKUP(C68,'TRA TECH'!$J:$J,'TRA TECH'!$B:$B)&amp;" "&amp;_xlfn.XLOOKUP(C68,'TRA TECH'!$J:$J,'TRA TECH'!$C:$C)&amp;" "&amp;_xlfn.XLOOKUP(C68,'TRA TECH'!$J:$J,'TRA TECH'!$F:$F))</f>
        <v>*</v>
      </c>
      <c r="E68" t="str">
        <f t="shared" si="0"/>
        <v>*</v>
      </c>
      <c r="F68" t="str">
        <f>IF(B68="*","*",_xlfn.XLOOKUP(C68,'TRA TECH'!J:J,'TRA TECH'!K:K))</f>
        <v>*</v>
      </c>
    </row>
    <row r="69" spans="2:6" x14ac:dyDescent="0.25">
      <c r="B69" t="str">
        <f>IF('TRA TECH'!M67=1,IF('TRA TECH'!L67=1,"PRE","*"),"*")</f>
        <v>PRE</v>
      </c>
      <c r="C69" t="str">
        <f>'TRA TECH'!J67</f>
        <v>TRAPASMOTICEVTGSL20</v>
      </c>
      <c r="D69" t="str">
        <f>IF(B69="*","*",_xlfn.XLOOKUP(C69,'TRA TECH'!$J:$J,'TRA TECH'!$A:$A)&amp;" "&amp;_xlfn.XLOOKUP(C69,'TRA TECH'!$J:$J,'TRA TECH'!$B:$B)&amp;" "&amp;_xlfn.XLOOKUP(C69,'TRA TECH'!$J:$J,'TRA TECH'!$C:$C)&amp;" "&amp;_xlfn.XLOOKUP(C69,'TRA TECH'!$J:$J,'TRA TECH'!$F:$F))</f>
        <v>Transportation Passenger Motorcycle Gasoline ICE Vehicle (spark ignition with turbo)</v>
      </c>
      <c r="E69" t="str">
        <f t="shared" ref="E69:E132" si="1">IF(F69="MW","TJ",F69)</f>
        <v>Mvkm</v>
      </c>
      <c r="F69" t="str">
        <f>IF(B69="*","*",_xlfn.XLOOKUP(C69,'TRA TECH'!J:J,'TRA TECH'!K:K))</f>
        <v>Mvkm</v>
      </c>
    </row>
    <row r="70" spans="2:6" x14ac:dyDescent="0.25">
      <c r="B70" t="str">
        <f>IF('TRA TECH'!M68=1,IF('TRA TECH'!L68=1,"PRE","*"),"*")</f>
        <v>*</v>
      </c>
      <c r="C70" t="str">
        <f>'TRA TECH'!J68</f>
        <v>TRAPASMOTICEVTGSL20</v>
      </c>
      <c r="D70" t="str">
        <f>IF(B70="*","*",_xlfn.XLOOKUP(C70,'TRA TECH'!$J:$J,'TRA TECH'!$A:$A)&amp;" "&amp;_xlfn.XLOOKUP(C70,'TRA TECH'!$J:$J,'TRA TECH'!$B:$B)&amp;" "&amp;_xlfn.XLOOKUP(C70,'TRA TECH'!$J:$J,'TRA TECH'!$C:$C)&amp;" "&amp;_xlfn.XLOOKUP(C70,'TRA TECH'!$J:$J,'TRA TECH'!$F:$F))</f>
        <v>*</v>
      </c>
      <c r="E70" t="str">
        <f t="shared" si="1"/>
        <v>*</v>
      </c>
      <c r="F70" t="str">
        <f>IF(B70="*","*",_xlfn.XLOOKUP(C70,'TRA TECH'!J:J,'TRA TECH'!K:K))</f>
        <v>*</v>
      </c>
    </row>
    <row r="71" spans="2:6" x14ac:dyDescent="0.25">
      <c r="B71" t="str">
        <f>IF('TRA TECH'!M69=1,IF('TRA TECH'!L69=1,"PRE","*"),"*")</f>
        <v>PRE</v>
      </c>
      <c r="C71" t="str">
        <f>'TRA TECH'!J69</f>
        <v>TRAPASMOTHEVGSL20</v>
      </c>
      <c r="D71" t="str">
        <f>IF(B71="*","*",_xlfn.XLOOKUP(C71,'TRA TECH'!$J:$J,'TRA TECH'!$A:$A)&amp;" "&amp;_xlfn.XLOOKUP(C71,'TRA TECH'!$J:$J,'TRA TECH'!$B:$B)&amp;" "&amp;_xlfn.XLOOKUP(C71,'TRA TECH'!$J:$J,'TRA TECH'!$C:$C)&amp;" "&amp;_xlfn.XLOOKUP(C71,'TRA TECH'!$J:$J,'TRA TECH'!$F:$F))</f>
        <v>Transportation Passenger Motorcycle Gasoline Micro Hybrid Electric Vehicle (spark ignition)</v>
      </c>
      <c r="E71" t="str">
        <f t="shared" si="1"/>
        <v>Mvkm</v>
      </c>
      <c r="F71" t="str">
        <f>IF(B71="*","*",_xlfn.XLOOKUP(C71,'TRA TECH'!J:J,'TRA TECH'!K:K))</f>
        <v>Mvkm</v>
      </c>
    </row>
    <row r="72" spans="2:6" x14ac:dyDescent="0.25">
      <c r="B72" t="str">
        <f>IF('TRA TECH'!M70=1,IF('TRA TECH'!L70=1,"PRE","*"),"*")</f>
        <v>*</v>
      </c>
      <c r="C72" t="str">
        <f>'TRA TECH'!J70</f>
        <v>TRAPASMOTHEVGSL20</v>
      </c>
      <c r="D72" t="str">
        <f>IF(B72="*","*",_xlfn.XLOOKUP(C72,'TRA TECH'!$J:$J,'TRA TECH'!$A:$A)&amp;" "&amp;_xlfn.XLOOKUP(C72,'TRA TECH'!$J:$J,'TRA TECH'!$B:$B)&amp;" "&amp;_xlfn.XLOOKUP(C72,'TRA TECH'!$J:$J,'TRA TECH'!$C:$C)&amp;" "&amp;_xlfn.XLOOKUP(C72,'TRA TECH'!$J:$J,'TRA TECH'!$F:$F))</f>
        <v>*</v>
      </c>
      <c r="E72" t="str">
        <f t="shared" si="1"/>
        <v>*</v>
      </c>
      <c r="F72" t="str">
        <f>IF(B72="*","*",_xlfn.XLOOKUP(C72,'TRA TECH'!J:J,'TRA TECH'!K:K))</f>
        <v>*</v>
      </c>
    </row>
    <row r="73" spans="2:6" x14ac:dyDescent="0.25">
      <c r="B73" t="str">
        <f>IF('TRA TECH'!M71=1,IF('TRA TECH'!L71=1,"PRE","*"),"*")</f>
        <v>PRE</v>
      </c>
      <c r="C73" t="str">
        <f>'TRA TECH'!J71</f>
        <v>TRAPASMOTHEVTGSL20</v>
      </c>
      <c r="D73" t="str">
        <f>IF(B73="*","*",_xlfn.XLOOKUP(C73,'TRA TECH'!$J:$J,'TRA TECH'!$A:$A)&amp;" "&amp;_xlfn.XLOOKUP(C73,'TRA TECH'!$J:$J,'TRA TECH'!$B:$B)&amp;" "&amp;_xlfn.XLOOKUP(C73,'TRA TECH'!$J:$J,'TRA TECH'!$C:$C)&amp;" "&amp;_xlfn.XLOOKUP(C73,'TRA TECH'!$J:$J,'TRA TECH'!$F:$F))</f>
        <v>Transportation Passenger Motorcycle Gasoline Micro Hybrid Electric Vehicle (spark ignition with turbo)</v>
      </c>
      <c r="E73" t="str">
        <f t="shared" si="1"/>
        <v>Mvkm</v>
      </c>
      <c r="F73" t="str">
        <f>IF(B73="*","*",_xlfn.XLOOKUP(C73,'TRA TECH'!J:J,'TRA TECH'!K:K))</f>
        <v>Mvkm</v>
      </c>
    </row>
    <row r="74" spans="2:6" x14ac:dyDescent="0.25">
      <c r="B74" t="str">
        <f>IF('TRA TECH'!M72=1,IF('TRA TECH'!L72=1,"PRE","*"),"*")</f>
        <v>*</v>
      </c>
      <c r="C74" t="str">
        <f>'TRA TECH'!J72</f>
        <v>TRAPASMOTHEVTGSL20</v>
      </c>
      <c r="D74" t="str">
        <f>IF(B74="*","*",_xlfn.XLOOKUP(C74,'TRA TECH'!$J:$J,'TRA TECH'!$A:$A)&amp;" "&amp;_xlfn.XLOOKUP(C74,'TRA TECH'!$J:$J,'TRA TECH'!$B:$B)&amp;" "&amp;_xlfn.XLOOKUP(C74,'TRA TECH'!$J:$J,'TRA TECH'!$C:$C)&amp;" "&amp;_xlfn.XLOOKUP(C74,'TRA TECH'!$J:$J,'TRA TECH'!$F:$F))</f>
        <v>*</v>
      </c>
      <c r="E74" t="str">
        <f t="shared" si="1"/>
        <v>*</v>
      </c>
      <c r="F74" t="str">
        <f>IF(B74="*","*",_xlfn.XLOOKUP(C74,'TRA TECH'!J:J,'TRA TECH'!K:K))</f>
        <v>*</v>
      </c>
    </row>
    <row r="75" spans="2:6" x14ac:dyDescent="0.25">
      <c r="B75" t="str">
        <f>IF('TRA TECH'!M73=1,IF('TRA TECH'!L73=1,"PRE","*"),"*")</f>
        <v>PRE</v>
      </c>
      <c r="C75" t="str">
        <f>'TRA TECH'!J73</f>
        <v>TRAPASMOTHEVIGSL20</v>
      </c>
      <c r="D75" t="str">
        <f>IF(B75="*","*",_xlfn.XLOOKUP(C75,'TRA TECH'!$J:$J,'TRA TECH'!$A:$A)&amp;" "&amp;_xlfn.XLOOKUP(C75,'TRA TECH'!$J:$J,'TRA TECH'!$B:$B)&amp;" "&amp;_xlfn.XLOOKUP(C75,'TRA TECH'!$J:$J,'TRA TECH'!$C:$C)&amp;" "&amp;_xlfn.XLOOKUP(C75,'TRA TECH'!$J:$J,'TRA TECH'!$F:$F))</f>
        <v>Transportation Passenger Motorcycle Gasoline Mild Hybrid Electric Vehicle (belt-driven integrated starter generator with spark ignition)</v>
      </c>
      <c r="E75" t="str">
        <f t="shared" si="1"/>
        <v>Mvkm</v>
      </c>
      <c r="F75" t="str">
        <f>IF(B75="*","*",_xlfn.XLOOKUP(C75,'TRA TECH'!J:J,'TRA TECH'!K:K))</f>
        <v>Mvkm</v>
      </c>
    </row>
    <row r="76" spans="2:6" x14ac:dyDescent="0.25">
      <c r="B76" t="str">
        <f>IF('TRA TECH'!M74=1,IF('TRA TECH'!L74=1,"PRE","*"),"*")</f>
        <v>*</v>
      </c>
      <c r="C76" t="str">
        <f>'TRA TECH'!J74</f>
        <v>TRAPASMOTHEVIGSL20</v>
      </c>
      <c r="D76" t="str">
        <f>IF(B76="*","*",_xlfn.XLOOKUP(C76,'TRA TECH'!$J:$J,'TRA TECH'!$A:$A)&amp;" "&amp;_xlfn.XLOOKUP(C76,'TRA TECH'!$J:$J,'TRA TECH'!$B:$B)&amp;" "&amp;_xlfn.XLOOKUP(C76,'TRA TECH'!$J:$J,'TRA TECH'!$C:$C)&amp;" "&amp;_xlfn.XLOOKUP(C76,'TRA TECH'!$J:$J,'TRA TECH'!$F:$F))</f>
        <v>*</v>
      </c>
      <c r="E76" t="str">
        <f t="shared" si="1"/>
        <v>*</v>
      </c>
      <c r="F76" t="str">
        <f>IF(B76="*","*",_xlfn.XLOOKUP(C76,'TRA TECH'!J:J,'TRA TECH'!K:K))</f>
        <v>*</v>
      </c>
    </row>
    <row r="77" spans="2:6" x14ac:dyDescent="0.25">
      <c r="B77" t="str">
        <f>IF('TRA TECH'!M75=1,IF('TRA TECH'!L75=1,"PRE","*"),"*")</f>
        <v>*</v>
      </c>
      <c r="C77" t="str">
        <f>'TRA TECH'!J75</f>
        <v>TRAPASMOTHEVIGSL20</v>
      </c>
      <c r="D77" t="str">
        <f>IF(B77="*","*",_xlfn.XLOOKUP(C77,'TRA TECH'!$J:$J,'TRA TECH'!$A:$A)&amp;" "&amp;_xlfn.XLOOKUP(C77,'TRA TECH'!$J:$J,'TRA TECH'!$B:$B)&amp;" "&amp;_xlfn.XLOOKUP(C77,'TRA TECH'!$J:$J,'TRA TECH'!$C:$C)&amp;" "&amp;_xlfn.XLOOKUP(C77,'TRA TECH'!$J:$J,'TRA TECH'!$F:$F))</f>
        <v>*</v>
      </c>
      <c r="E77" t="str">
        <f t="shared" si="1"/>
        <v>*</v>
      </c>
      <c r="F77" t="str">
        <f>IF(B77="*","*",_xlfn.XLOOKUP(C77,'TRA TECH'!J:J,'TRA TECH'!K:K))</f>
        <v>*</v>
      </c>
    </row>
    <row r="78" spans="2:6" x14ac:dyDescent="0.25">
      <c r="B78" t="str">
        <f>IF('TRA TECH'!M76=1,IF('TRA TECH'!L76=1,"PRE","*"),"*")</f>
        <v>*</v>
      </c>
      <c r="C78" t="str">
        <f>'TRA TECH'!J76</f>
        <v>TRAPASMOTHEVIGSL20</v>
      </c>
      <c r="D78" t="str">
        <f>IF(B78="*","*",_xlfn.XLOOKUP(C78,'TRA TECH'!$J:$J,'TRA TECH'!$A:$A)&amp;" "&amp;_xlfn.XLOOKUP(C78,'TRA TECH'!$J:$J,'TRA TECH'!$B:$B)&amp;" "&amp;_xlfn.XLOOKUP(C78,'TRA TECH'!$J:$J,'TRA TECH'!$C:$C)&amp;" "&amp;_xlfn.XLOOKUP(C78,'TRA TECH'!$J:$J,'TRA TECH'!$F:$F))</f>
        <v>*</v>
      </c>
      <c r="E78" t="str">
        <f t="shared" si="1"/>
        <v>*</v>
      </c>
      <c r="F78" t="str">
        <f>IF(B78="*","*",_xlfn.XLOOKUP(C78,'TRA TECH'!J:J,'TRA TECH'!K:K))</f>
        <v>*</v>
      </c>
    </row>
    <row r="79" spans="2:6" x14ac:dyDescent="0.25">
      <c r="B79" t="str">
        <f>IF('TRA TECH'!M77=1,IF('TRA TECH'!L77=1,"PRE","*"),"*")</f>
        <v>PRE</v>
      </c>
      <c r="C79" t="str">
        <f>'TRA TECH'!J77</f>
        <v>TRAPASMOTHEVPGSL20</v>
      </c>
      <c r="D79" t="str">
        <f>IF(B79="*","*",_xlfn.XLOOKUP(C79,'TRA TECH'!$J:$J,'TRA TECH'!$A:$A)&amp;" "&amp;_xlfn.XLOOKUP(C79,'TRA TECH'!$J:$J,'TRA TECH'!$B:$B)&amp;" "&amp;_xlfn.XLOOKUP(C79,'TRA TECH'!$J:$J,'TRA TECH'!$C:$C)&amp;" "&amp;_xlfn.XLOOKUP(C79,'TRA TECH'!$J:$J,'TRA TECH'!$F:$F))</f>
        <v>Transportation Passenger Motorcycle Gasoline Power Split Hybrid Electric Vehicle</v>
      </c>
      <c r="E79" t="str">
        <f t="shared" si="1"/>
        <v>Mvkm</v>
      </c>
      <c r="F79" t="str">
        <f>IF(B79="*","*",_xlfn.XLOOKUP(C79,'TRA TECH'!J:J,'TRA TECH'!K:K))</f>
        <v>Mvkm</v>
      </c>
    </row>
    <row r="80" spans="2:6" x14ac:dyDescent="0.25">
      <c r="B80" t="str">
        <f>IF('TRA TECH'!M78=1,IF('TRA TECH'!L78=1,"PRE","*"),"*")</f>
        <v>*</v>
      </c>
      <c r="C80" t="str">
        <f>'TRA TECH'!J78</f>
        <v>TRAPASMOTHEVPGSL20</v>
      </c>
      <c r="D80" t="str">
        <f>IF(B80="*","*",_xlfn.XLOOKUP(C80,'TRA TECH'!$J:$J,'TRA TECH'!$A:$A)&amp;" "&amp;_xlfn.XLOOKUP(C80,'TRA TECH'!$J:$J,'TRA TECH'!$B:$B)&amp;" "&amp;_xlfn.XLOOKUP(C80,'TRA TECH'!$J:$J,'TRA TECH'!$C:$C)&amp;" "&amp;_xlfn.XLOOKUP(C80,'TRA TECH'!$J:$J,'TRA TECH'!$F:$F))</f>
        <v>*</v>
      </c>
      <c r="E80" t="str">
        <f t="shared" si="1"/>
        <v>*</v>
      </c>
      <c r="F80" t="str">
        <f>IF(B80="*","*",_xlfn.XLOOKUP(C80,'TRA TECH'!J:J,'TRA TECH'!K:K))</f>
        <v>*</v>
      </c>
    </row>
    <row r="81" spans="2:6" x14ac:dyDescent="0.25">
      <c r="B81" t="str">
        <f>IF('TRA TECH'!M79=1,IF('TRA TECH'!L79=1,"PRE","*"),"*")</f>
        <v>PRE</v>
      </c>
      <c r="C81" t="str">
        <f>'TRA TECH'!J79</f>
        <v>TRAPASMOTPHEVPGSL20</v>
      </c>
      <c r="D81" t="str">
        <f>IF(B81="*","*",_xlfn.XLOOKUP(C81,'TRA TECH'!$J:$J,'TRA TECH'!$A:$A)&amp;" "&amp;_xlfn.XLOOKUP(C81,'TRA TECH'!$J:$J,'TRA TECH'!$B:$B)&amp;" "&amp;_xlfn.XLOOKUP(C81,'TRA TECH'!$J:$J,'TRA TECH'!$C:$C)&amp;" "&amp;_xlfn.XLOOKUP(C81,'TRA TECH'!$J:$J,'TRA TECH'!$F:$F))</f>
        <v>Transportation Passenger Motorcycle Gasoline Power Split Plug-in Hybrid Electric Vehicle (20-mile electric range)</v>
      </c>
      <c r="E81" t="str">
        <f t="shared" si="1"/>
        <v>Mvkm</v>
      </c>
      <c r="F81" t="str">
        <f>IF(B81="*","*",_xlfn.XLOOKUP(C81,'TRA TECH'!J:J,'TRA TECH'!K:K))</f>
        <v>Mvkm</v>
      </c>
    </row>
    <row r="82" spans="2:6" x14ac:dyDescent="0.25">
      <c r="B82" t="str">
        <f>IF('TRA TECH'!M80=1,IF('TRA TECH'!L80=1,"PRE","*"),"*")</f>
        <v>*</v>
      </c>
      <c r="C82" t="str">
        <f>'TRA TECH'!J80</f>
        <v>TRAPASMOTPHEVPGSL20</v>
      </c>
      <c r="D82" t="str">
        <f>IF(B82="*","*",_xlfn.XLOOKUP(C82,'TRA TECH'!$J:$J,'TRA TECH'!$A:$A)&amp;" "&amp;_xlfn.XLOOKUP(C82,'TRA TECH'!$J:$J,'TRA TECH'!$B:$B)&amp;" "&amp;_xlfn.XLOOKUP(C82,'TRA TECH'!$J:$J,'TRA TECH'!$C:$C)&amp;" "&amp;_xlfn.XLOOKUP(C82,'TRA TECH'!$J:$J,'TRA TECH'!$F:$F))</f>
        <v>*</v>
      </c>
      <c r="E82" t="str">
        <f t="shared" si="1"/>
        <v>*</v>
      </c>
      <c r="F82" t="str">
        <f>IF(B82="*","*",_xlfn.XLOOKUP(C82,'TRA TECH'!J:J,'TRA TECH'!K:K))</f>
        <v>*</v>
      </c>
    </row>
    <row r="83" spans="2:6" x14ac:dyDescent="0.25">
      <c r="B83" t="str">
        <f>IF('TRA TECH'!M81=1,IF('TRA TECH'!L81=1,"PRE","*"),"*")</f>
        <v>*</v>
      </c>
      <c r="C83" t="str">
        <f>'TRA TECH'!J81</f>
        <v>TRAPASMOTPHEVPGSL20</v>
      </c>
      <c r="D83" t="str">
        <f>IF(B83="*","*",_xlfn.XLOOKUP(C83,'TRA TECH'!$J:$J,'TRA TECH'!$A:$A)&amp;" "&amp;_xlfn.XLOOKUP(C83,'TRA TECH'!$J:$J,'TRA TECH'!$B:$B)&amp;" "&amp;_xlfn.XLOOKUP(C83,'TRA TECH'!$J:$J,'TRA TECH'!$C:$C)&amp;" "&amp;_xlfn.XLOOKUP(C83,'TRA TECH'!$J:$J,'TRA TECH'!$F:$F))</f>
        <v>*</v>
      </c>
      <c r="E83" t="str">
        <f t="shared" si="1"/>
        <v>*</v>
      </c>
      <c r="F83" t="str">
        <f>IF(B83="*","*",_xlfn.XLOOKUP(C83,'TRA TECH'!J:J,'TRA TECH'!K:K))</f>
        <v>*</v>
      </c>
    </row>
    <row r="84" spans="2:6" x14ac:dyDescent="0.25">
      <c r="B84" t="str">
        <f>IF('TRA TECH'!M82=1,IF('TRA TECH'!L82=1,"PRE","*"),"*")</f>
        <v>PRE</v>
      </c>
      <c r="C84" t="str">
        <f>'TRA TECH'!J82</f>
        <v>TRAPASMOTPHEVEGSL20</v>
      </c>
      <c r="D84" t="str">
        <f>IF(B84="*","*",_xlfn.XLOOKUP(C84,'TRA TECH'!$J:$J,'TRA TECH'!$A:$A)&amp;" "&amp;_xlfn.XLOOKUP(C84,'TRA TECH'!$J:$J,'TRA TECH'!$B:$B)&amp;" "&amp;_xlfn.XLOOKUP(C84,'TRA TECH'!$J:$J,'TRA TECH'!$C:$C)&amp;" "&amp;_xlfn.XLOOKUP(C84,'TRA TECH'!$J:$J,'TRA TECH'!$F:$F))</f>
        <v>Transportation Passenger Motorcycle Gasoline Extended Range Plug-in Hybrid Electric Vehicle (50-mile electric range)</v>
      </c>
      <c r="E84" t="str">
        <f t="shared" si="1"/>
        <v>Mvkm</v>
      </c>
      <c r="F84" t="str">
        <f>IF(B84="*","*",_xlfn.XLOOKUP(C84,'TRA TECH'!J:J,'TRA TECH'!K:K))</f>
        <v>Mvkm</v>
      </c>
    </row>
    <row r="85" spans="2:6" x14ac:dyDescent="0.25">
      <c r="B85" t="str">
        <f>IF('TRA TECH'!M83=1,IF('TRA TECH'!L83=1,"PRE","*"),"*")</f>
        <v>*</v>
      </c>
      <c r="C85" t="str">
        <f>'TRA TECH'!J83</f>
        <v>TRAPASMOTPHEVEGSL20</v>
      </c>
      <c r="D85" t="str">
        <f>IF(B85="*","*",_xlfn.XLOOKUP(C85,'TRA TECH'!$J:$J,'TRA TECH'!$A:$A)&amp;" "&amp;_xlfn.XLOOKUP(C85,'TRA TECH'!$J:$J,'TRA TECH'!$B:$B)&amp;" "&amp;_xlfn.XLOOKUP(C85,'TRA TECH'!$J:$J,'TRA TECH'!$C:$C)&amp;" "&amp;_xlfn.XLOOKUP(C85,'TRA TECH'!$J:$J,'TRA TECH'!$F:$F))</f>
        <v>*</v>
      </c>
      <c r="E85" t="str">
        <f t="shared" si="1"/>
        <v>*</v>
      </c>
      <c r="F85" t="str">
        <f>IF(B85="*","*",_xlfn.XLOOKUP(C85,'TRA TECH'!J:J,'TRA TECH'!K:K))</f>
        <v>*</v>
      </c>
    </row>
    <row r="86" spans="2:6" x14ac:dyDescent="0.25">
      <c r="B86" t="str">
        <f>IF('TRA TECH'!M84=1,IF('TRA TECH'!L84=1,"PRE","*"),"*")</f>
        <v>*</v>
      </c>
      <c r="C86" t="str">
        <f>'TRA TECH'!J84</f>
        <v>TRAPASMOTPHEVEGSL20</v>
      </c>
      <c r="D86" t="str">
        <f>IF(B86="*","*",_xlfn.XLOOKUP(C86,'TRA TECH'!$J:$J,'TRA TECH'!$A:$A)&amp;" "&amp;_xlfn.XLOOKUP(C86,'TRA TECH'!$J:$J,'TRA TECH'!$B:$B)&amp;" "&amp;_xlfn.XLOOKUP(C86,'TRA TECH'!$J:$J,'TRA TECH'!$C:$C)&amp;" "&amp;_xlfn.XLOOKUP(C86,'TRA TECH'!$J:$J,'TRA TECH'!$F:$F))</f>
        <v>*</v>
      </c>
      <c r="E86" t="str">
        <f t="shared" si="1"/>
        <v>*</v>
      </c>
      <c r="F86" t="str">
        <f>IF(B86="*","*",_xlfn.XLOOKUP(C86,'TRA TECH'!J:J,'TRA TECH'!K:K))</f>
        <v>*</v>
      </c>
    </row>
    <row r="87" spans="2:6" x14ac:dyDescent="0.25">
      <c r="B87" t="str">
        <f>IF('TRA TECH'!M85=1,IF('TRA TECH'!L85=1,"PRE","*"),"*")</f>
        <v>PRE</v>
      </c>
      <c r="C87" t="str">
        <f>'TRA TECH'!J85</f>
        <v>TRAPASMOTICEVDSL20</v>
      </c>
      <c r="D87" t="str">
        <f>IF(B87="*","*",_xlfn.XLOOKUP(C87,'TRA TECH'!$J:$J,'TRA TECH'!$A:$A)&amp;" "&amp;_xlfn.XLOOKUP(C87,'TRA TECH'!$J:$J,'TRA TECH'!$B:$B)&amp;" "&amp;_xlfn.XLOOKUP(C87,'TRA TECH'!$J:$J,'TRA TECH'!$C:$C)&amp;" "&amp;_xlfn.XLOOKUP(C87,'TRA TECH'!$J:$J,'TRA TECH'!$F:$F))</f>
        <v>Transportation Passenger Motorcycle Diesel Conventional Compression Ignition Vehicle</v>
      </c>
      <c r="E87" t="str">
        <f t="shared" si="1"/>
        <v>Mvkm</v>
      </c>
      <c r="F87" t="str">
        <f>IF(B87="*","*",_xlfn.XLOOKUP(C87,'TRA TECH'!J:J,'TRA TECH'!K:K))</f>
        <v>Mvkm</v>
      </c>
    </row>
    <row r="88" spans="2:6" x14ac:dyDescent="0.25">
      <c r="B88" t="str">
        <f>IF('TRA TECH'!M86=1,IF('TRA TECH'!L86=1,"PRE","*"),"*")</f>
        <v>*</v>
      </c>
      <c r="C88" t="str">
        <f>'TRA TECH'!J86</f>
        <v>TRAPASMOTICEVDSL20</v>
      </c>
      <c r="D88" t="str">
        <f>IF(B88="*","*",_xlfn.XLOOKUP(C88,'TRA TECH'!$J:$J,'TRA TECH'!$A:$A)&amp;" "&amp;_xlfn.XLOOKUP(C88,'TRA TECH'!$J:$J,'TRA TECH'!$B:$B)&amp;" "&amp;_xlfn.XLOOKUP(C88,'TRA TECH'!$J:$J,'TRA TECH'!$C:$C)&amp;" "&amp;_xlfn.XLOOKUP(C88,'TRA TECH'!$J:$J,'TRA TECH'!$F:$F))</f>
        <v>*</v>
      </c>
      <c r="E88" t="str">
        <f t="shared" si="1"/>
        <v>*</v>
      </c>
      <c r="F88" t="str">
        <f>IF(B88="*","*",_xlfn.XLOOKUP(C88,'TRA TECH'!J:J,'TRA TECH'!K:K))</f>
        <v>*</v>
      </c>
    </row>
    <row r="89" spans="2:6" x14ac:dyDescent="0.25">
      <c r="B89" t="str">
        <f>IF('TRA TECH'!M87=1,IF('TRA TECH'!L87=1,"PRE","*"),"*")</f>
        <v>*</v>
      </c>
      <c r="C89" t="str">
        <f>'TRA TECH'!J87</f>
        <v>TRAPASMOTICEVDSL20</v>
      </c>
      <c r="D89" t="str">
        <f>IF(B89="*","*",_xlfn.XLOOKUP(C89,'TRA TECH'!$J:$J,'TRA TECH'!$A:$A)&amp;" "&amp;_xlfn.XLOOKUP(C89,'TRA TECH'!$J:$J,'TRA TECH'!$B:$B)&amp;" "&amp;_xlfn.XLOOKUP(C89,'TRA TECH'!$J:$J,'TRA TECH'!$C:$C)&amp;" "&amp;_xlfn.XLOOKUP(C89,'TRA TECH'!$J:$J,'TRA TECH'!$F:$F))</f>
        <v>*</v>
      </c>
      <c r="E89" t="str">
        <f t="shared" si="1"/>
        <v>*</v>
      </c>
      <c r="F89" t="str">
        <f>IF(B89="*","*",_xlfn.XLOOKUP(C89,'TRA TECH'!J:J,'TRA TECH'!K:K))</f>
        <v>*</v>
      </c>
    </row>
    <row r="90" spans="2:6" x14ac:dyDescent="0.25">
      <c r="B90" t="str">
        <f>IF('TRA TECH'!M88=1,IF('TRA TECH'!L88=1,"PRE","*"),"*")</f>
        <v>PRE</v>
      </c>
      <c r="C90" t="str">
        <f>'TRA TECH'!J88</f>
        <v>TRAPASMOTICEVCNG20</v>
      </c>
      <c r="D90" t="str">
        <f>IF(B90="*","*",_xlfn.XLOOKUP(C90,'TRA TECH'!$J:$J,'TRA TECH'!$A:$A)&amp;" "&amp;_xlfn.XLOOKUP(C90,'TRA TECH'!$J:$J,'TRA TECH'!$B:$B)&amp;" "&amp;_xlfn.XLOOKUP(C90,'TRA TECH'!$J:$J,'TRA TECH'!$C:$C)&amp;" "&amp;_xlfn.XLOOKUP(C90,'TRA TECH'!$J:$J,'TRA TECH'!$F:$F))</f>
        <v>Transportation Passenger Motorcycle Compressed Natural Gas Conventional Vehicle</v>
      </c>
      <c r="E90" t="str">
        <f t="shared" si="1"/>
        <v>Mvkm</v>
      </c>
      <c r="F90" t="str">
        <f>IF(B90="*","*",_xlfn.XLOOKUP(C90,'TRA TECH'!J:J,'TRA TECH'!K:K))</f>
        <v>Mvkm</v>
      </c>
    </row>
    <row r="91" spans="2:6" x14ac:dyDescent="0.25">
      <c r="B91" t="str">
        <f>IF('TRA TECH'!M89=1,IF('TRA TECH'!L89=1,"PRE","*"),"*")</f>
        <v>*</v>
      </c>
      <c r="C91" t="str">
        <f>'TRA TECH'!J89</f>
        <v>TRAPASMOTICEVCNG20</v>
      </c>
      <c r="D91" t="str">
        <f>IF(B91="*","*",_xlfn.XLOOKUP(C91,'TRA TECH'!$J:$J,'TRA TECH'!$A:$A)&amp;" "&amp;_xlfn.XLOOKUP(C91,'TRA TECH'!$J:$J,'TRA TECH'!$B:$B)&amp;" "&amp;_xlfn.XLOOKUP(C91,'TRA TECH'!$J:$J,'TRA TECH'!$C:$C)&amp;" "&amp;_xlfn.XLOOKUP(C91,'TRA TECH'!$J:$J,'TRA TECH'!$F:$F))</f>
        <v>*</v>
      </c>
      <c r="E91" t="str">
        <f t="shared" si="1"/>
        <v>*</v>
      </c>
      <c r="F91" t="str">
        <f>IF(B91="*","*",_xlfn.XLOOKUP(C91,'TRA TECH'!J:J,'TRA TECH'!K:K))</f>
        <v>*</v>
      </c>
    </row>
    <row r="92" spans="2:6" x14ac:dyDescent="0.25">
      <c r="B92" t="str">
        <f>IF('TRA TECH'!M90=1,IF('TRA TECH'!L90=1,"PRE","*"),"*")</f>
        <v>PRE</v>
      </c>
      <c r="C92" t="str">
        <f>'TRA TECH'!J90</f>
        <v>TRAPASMOT300FCEV20</v>
      </c>
      <c r="D92" t="str">
        <f>IF(B92="*","*",_xlfn.XLOOKUP(C92,'TRA TECH'!$J:$J,'TRA TECH'!$A:$A)&amp;" "&amp;_xlfn.XLOOKUP(C92,'TRA TECH'!$J:$J,'TRA TECH'!$B:$B)&amp;" "&amp;_xlfn.XLOOKUP(C92,'TRA TECH'!$J:$J,'TRA TECH'!$C:$C)&amp;" "&amp;_xlfn.XLOOKUP(C92,'TRA TECH'!$J:$J,'TRA TECH'!$F:$F))</f>
        <v>Transportation Passenger Motorcycle Hydrogen Fuel Cell Electric Vehicle (300-mile range)</v>
      </c>
      <c r="E92" t="str">
        <f t="shared" si="1"/>
        <v>Mvkm</v>
      </c>
      <c r="F92" t="str">
        <f>IF(B92="*","*",_xlfn.XLOOKUP(C92,'TRA TECH'!J:J,'TRA TECH'!K:K))</f>
        <v>Mvkm</v>
      </c>
    </row>
    <row r="93" spans="2:6" x14ac:dyDescent="0.25">
      <c r="B93" t="str">
        <f>IF('TRA TECH'!M91=1,IF('TRA TECH'!L91=1,"PRE","*"),"*")</f>
        <v>PRE</v>
      </c>
      <c r="C93" t="str">
        <f>'TRA TECH'!J91</f>
        <v>TRAPASMOT400FCEV20</v>
      </c>
      <c r="D93" t="str">
        <f>IF(B93="*","*",_xlfn.XLOOKUP(C93,'TRA TECH'!$J:$J,'TRA TECH'!$A:$A)&amp;" "&amp;_xlfn.XLOOKUP(C93,'TRA TECH'!$J:$J,'TRA TECH'!$B:$B)&amp;" "&amp;_xlfn.XLOOKUP(C93,'TRA TECH'!$J:$J,'TRA TECH'!$C:$C)&amp;" "&amp;_xlfn.XLOOKUP(C93,'TRA TECH'!$J:$J,'TRA TECH'!$F:$F))</f>
        <v>Transportation Passenger Motorcycle Hydrogen Fuel Cell Electric Vehicle (400-mile range)</v>
      </c>
      <c r="E93" t="str">
        <f t="shared" si="1"/>
        <v>Mvkm</v>
      </c>
      <c r="F93" t="str">
        <f>IF(B93="*","*",_xlfn.XLOOKUP(C93,'TRA TECH'!J:J,'TRA TECH'!K:K))</f>
        <v>Mvkm</v>
      </c>
    </row>
    <row r="94" spans="2:6" x14ac:dyDescent="0.25">
      <c r="B94" t="str">
        <f>IF('TRA TECH'!M92=1,IF('TRA TECH'!L92=1,"PRE","*"),"*")</f>
        <v>PRE</v>
      </c>
      <c r="C94" t="str">
        <f>'TRA TECH'!J92</f>
        <v>TRAPASMOT200BEV20</v>
      </c>
      <c r="D94" t="str">
        <f>IF(B94="*","*",_xlfn.XLOOKUP(C94,'TRA TECH'!$J:$J,'TRA TECH'!$A:$A)&amp;" "&amp;_xlfn.XLOOKUP(C94,'TRA TECH'!$J:$J,'TRA TECH'!$B:$B)&amp;" "&amp;_xlfn.XLOOKUP(C94,'TRA TECH'!$J:$J,'TRA TECH'!$C:$C)&amp;" "&amp;_xlfn.XLOOKUP(C94,'TRA TECH'!$J:$J,'TRA TECH'!$F:$F))</f>
        <v>Transportation Passenger Motorcycle Battery Electric Vehicle (200-mile range)</v>
      </c>
      <c r="E94" t="str">
        <f t="shared" si="1"/>
        <v>Mvkm</v>
      </c>
      <c r="F94" t="str">
        <f>IF(B94="*","*",_xlfn.XLOOKUP(C94,'TRA TECH'!J:J,'TRA TECH'!K:K))</f>
        <v>Mvkm</v>
      </c>
    </row>
    <row r="95" spans="2:6" x14ac:dyDescent="0.25">
      <c r="B95" t="str">
        <f>IF('TRA TECH'!M93=1,IF('TRA TECH'!L93=1,"PRE","*"),"*")</f>
        <v>PRE</v>
      </c>
      <c r="C95" t="str">
        <f>'TRA TECH'!J93</f>
        <v>TRAPASMOT300BEV20</v>
      </c>
      <c r="D95" t="str">
        <f>IF(B95="*","*",_xlfn.XLOOKUP(C95,'TRA TECH'!$J:$J,'TRA TECH'!$A:$A)&amp;" "&amp;_xlfn.XLOOKUP(C95,'TRA TECH'!$J:$J,'TRA TECH'!$B:$B)&amp;" "&amp;_xlfn.XLOOKUP(C95,'TRA TECH'!$J:$J,'TRA TECH'!$C:$C)&amp;" "&amp;_xlfn.XLOOKUP(C95,'TRA TECH'!$J:$J,'TRA TECH'!$F:$F))</f>
        <v>Transportation Passenger Motorcycle Battery Electric Vehicle (300-mile range)</v>
      </c>
      <c r="E95" t="str">
        <f t="shared" si="1"/>
        <v>Mvkm</v>
      </c>
      <c r="F95" t="str">
        <f>IF(B95="*","*",_xlfn.XLOOKUP(C95,'TRA TECH'!J:J,'TRA TECH'!K:K))</f>
        <v>Mvkm</v>
      </c>
    </row>
    <row r="96" spans="2:6" x14ac:dyDescent="0.25">
      <c r="B96" t="str">
        <f>IF('TRA TECH'!M94=1,IF('TRA TECH'!L94=1,"PRE","*"),"*")</f>
        <v>PRE</v>
      </c>
      <c r="C96" t="str">
        <f>'TRA TECH'!J94</f>
        <v>TRAPASMOT400BEV20</v>
      </c>
      <c r="D96" t="str">
        <f>IF(B96="*","*",_xlfn.XLOOKUP(C96,'TRA TECH'!$J:$J,'TRA TECH'!$A:$A)&amp;" "&amp;_xlfn.XLOOKUP(C96,'TRA TECH'!$J:$J,'TRA TECH'!$B:$B)&amp;" "&amp;_xlfn.XLOOKUP(C96,'TRA TECH'!$J:$J,'TRA TECH'!$C:$C)&amp;" "&amp;_xlfn.XLOOKUP(C96,'TRA TECH'!$J:$J,'TRA TECH'!$F:$F))</f>
        <v>Transportation Passenger Motorcycle Battery Electric Vehicle (400-mile range)</v>
      </c>
      <c r="E96" t="str">
        <f t="shared" si="1"/>
        <v>Mvkm</v>
      </c>
      <c r="F96" t="str">
        <f>IF(B96="*","*",_xlfn.XLOOKUP(C96,'TRA TECH'!J:J,'TRA TECH'!K:K))</f>
        <v>Mvkm</v>
      </c>
    </row>
    <row r="97" spans="2:6" x14ac:dyDescent="0.25">
      <c r="B97" t="str">
        <f>IF('TRA TECH'!M95=1,IF('TRA TECH'!L95=1,"PRE","*"),"*")</f>
        <v>PRE</v>
      </c>
      <c r="C97" t="str">
        <f>'TRA TECH'!J95</f>
        <v>TRAPASMOT500BEV20</v>
      </c>
      <c r="D97" t="str">
        <f>IF(B97="*","*",_xlfn.XLOOKUP(C97,'TRA TECH'!$J:$J,'TRA TECH'!$A:$A)&amp;" "&amp;_xlfn.XLOOKUP(C97,'TRA TECH'!$J:$J,'TRA TECH'!$B:$B)&amp;" "&amp;_xlfn.XLOOKUP(C97,'TRA TECH'!$J:$J,'TRA TECH'!$C:$C)&amp;" "&amp;_xlfn.XLOOKUP(C97,'TRA TECH'!$J:$J,'TRA TECH'!$F:$F))</f>
        <v>Transportation Passenger Motorcycle Battery Electric Vehicle (500-mile range)</v>
      </c>
      <c r="E97" t="str">
        <f t="shared" si="1"/>
        <v>Mvkm</v>
      </c>
      <c r="F97" t="str">
        <f>IF(B97="*","*",_xlfn.XLOOKUP(C97,'TRA TECH'!J:J,'TRA TECH'!K:K))</f>
        <v>Mvkm</v>
      </c>
    </row>
    <row r="98" spans="2:6" x14ac:dyDescent="0.25">
      <c r="B98" t="str">
        <f>IF('TRA TECH'!M96=1,IF('TRA TECH'!L96=1,"PRE","*"),"*")</f>
        <v>PRE</v>
      </c>
      <c r="C98" t="str">
        <f>'TRA TECH'!J96</f>
        <v>TRAFRECLTICEVGSL20</v>
      </c>
      <c r="D98" t="str">
        <f>IF(B98="*","*",_xlfn.XLOOKUP(C98,'TRA TECH'!$J:$J,'TRA TECH'!$A:$A)&amp;" "&amp;_xlfn.XLOOKUP(C98,'TRA TECH'!$J:$J,'TRA TECH'!$B:$B)&amp;" "&amp;_xlfn.XLOOKUP(C98,'TRA TECH'!$J:$J,'TRA TECH'!$C:$C)&amp;" "&amp;_xlfn.XLOOKUP(C98,'TRA TECH'!$J:$J,'TRA TECH'!$F:$F))</f>
        <v>Transportation Freight Light Commercial Truck Gasoline ICE Vehicle (spark ignition)</v>
      </c>
      <c r="E98" t="str">
        <f t="shared" si="1"/>
        <v>Mvkm</v>
      </c>
      <c r="F98" t="str">
        <f>IF(B98="*","*",_xlfn.XLOOKUP(C98,'TRA TECH'!J:J,'TRA TECH'!K:K))</f>
        <v>Mvkm</v>
      </c>
    </row>
    <row r="99" spans="2:6" x14ac:dyDescent="0.25">
      <c r="B99" t="str">
        <f>IF('TRA TECH'!M97=1,IF('TRA TECH'!L97=1,"PRE","*"),"*")</f>
        <v>*</v>
      </c>
      <c r="C99" t="str">
        <f>'TRA TECH'!J97</f>
        <v>TRAFRECLTICEVGSL20</v>
      </c>
      <c r="D99" t="str">
        <f>IF(B99="*","*",_xlfn.XLOOKUP(C99,'TRA TECH'!$J:$J,'TRA TECH'!$A:$A)&amp;" "&amp;_xlfn.XLOOKUP(C99,'TRA TECH'!$J:$J,'TRA TECH'!$B:$B)&amp;" "&amp;_xlfn.XLOOKUP(C99,'TRA TECH'!$J:$J,'TRA TECH'!$C:$C)&amp;" "&amp;_xlfn.XLOOKUP(C99,'TRA TECH'!$J:$J,'TRA TECH'!$F:$F))</f>
        <v>*</v>
      </c>
      <c r="E99" t="str">
        <f t="shared" si="1"/>
        <v>*</v>
      </c>
      <c r="F99" t="str">
        <f>IF(B99="*","*",_xlfn.XLOOKUP(C99,'TRA TECH'!J:J,'TRA TECH'!K:K))</f>
        <v>*</v>
      </c>
    </row>
    <row r="100" spans="2:6" x14ac:dyDescent="0.25">
      <c r="B100" t="str">
        <f>IF('TRA TECH'!M98=1,IF('TRA TECH'!L98=1,"PRE","*"),"*")</f>
        <v>PRE</v>
      </c>
      <c r="C100" t="str">
        <f>'TRA TECH'!J98</f>
        <v>TRAFRECLTICEVTGSL20</v>
      </c>
      <c r="D100" t="str">
        <f>IF(B100="*","*",_xlfn.XLOOKUP(C100,'TRA TECH'!$J:$J,'TRA TECH'!$A:$A)&amp;" "&amp;_xlfn.XLOOKUP(C100,'TRA TECH'!$J:$J,'TRA TECH'!$B:$B)&amp;" "&amp;_xlfn.XLOOKUP(C100,'TRA TECH'!$J:$J,'TRA TECH'!$C:$C)&amp;" "&amp;_xlfn.XLOOKUP(C100,'TRA TECH'!$J:$J,'TRA TECH'!$F:$F))</f>
        <v>Transportation Freight Light Commercial Truck Gasoline ICE Vehicle (spark ignition with turbo)</v>
      </c>
      <c r="E100" t="str">
        <f t="shared" si="1"/>
        <v>Mvkm</v>
      </c>
      <c r="F100" t="str">
        <f>IF(B100="*","*",_xlfn.XLOOKUP(C100,'TRA TECH'!J:J,'TRA TECH'!K:K))</f>
        <v>Mvkm</v>
      </c>
    </row>
    <row r="101" spans="2:6" x14ac:dyDescent="0.25">
      <c r="B101" t="str">
        <f>IF('TRA TECH'!M99=1,IF('TRA TECH'!L99=1,"PRE","*"),"*")</f>
        <v>*</v>
      </c>
      <c r="C101" t="str">
        <f>'TRA TECH'!J99</f>
        <v>TRAFRECLTICEVTGSL20</v>
      </c>
      <c r="D101" t="str">
        <f>IF(B101="*","*",_xlfn.XLOOKUP(C101,'TRA TECH'!$J:$J,'TRA TECH'!$A:$A)&amp;" "&amp;_xlfn.XLOOKUP(C101,'TRA TECH'!$J:$J,'TRA TECH'!$B:$B)&amp;" "&amp;_xlfn.XLOOKUP(C101,'TRA TECH'!$J:$J,'TRA TECH'!$C:$C)&amp;" "&amp;_xlfn.XLOOKUP(C101,'TRA TECH'!$J:$J,'TRA TECH'!$F:$F))</f>
        <v>*</v>
      </c>
      <c r="E101" t="str">
        <f t="shared" si="1"/>
        <v>*</v>
      </c>
      <c r="F101" t="str">
        <f>IF(B101="*","*",_xlfn.XLOOKUP(C101,'TRA TECH'!J:J,'TRA TECH'!K:K))</f>
        <v>*</v>
      </c>
    </row>
    <row r="102" spans="2:6" x14ac:dyDescent="0.25">
      <c r="B102" t="str">
        <f>IF('TRA TECH'!M100=1,IF('TRA TECH'!L100=1,"PRE","*"),"*")</f>
        <v>PRE</v>
      </c>
      <c r="C102" t="str">
        <f>'TRA TECH'!J100</f>
        <v>TRAFRECLTHEVGSL20</v>
      </c>
      <c r="D102" t="str">
        <f>IF(B102="*","*",_xlfn.XLOOKUP(C102,'TRA TECH'!$J:$J,'TRA TECH'!$A:$A)&amp;" "&amp;_xlfn.XLOOKUP(C102,'TRA TECH'!$J:$J,'TRA TECH'!$B:$B)&amp;" "&amp;_xlfn.XLOOKUP(C102,'TRA TECH'!$J:$J,'TRA TECH'!$C:$C)&amp;" "&amp;_xlfn.XLOOKUP(C102,'TRA TECH'!$J:$J,'TRA TECH'!$F:$F))</f>
        <v>Transportation Freight Light Commercial Truck Gasoline Micro Hybrid Electric Vehicle (spark ignition)</v>
      </c>
      <c r="E102" t="str">
        <f t="shared" si="1"/>
        <v>Mvkm</v>
      </c>
      <c r="F102" t="str">
        <f>IF(B102="*","*",_xlfn.XLOOKUP(C102,'TRA TECH'!J:J,'TRA TECH'!K:K))</f>
        <v>Mvkm</v>
      </c>
    </row>
    <row r="103" spans="2:6" x14ac:dyDescent="0.25">
      <c r="B103" t="str">
        <f>IF('TRA TECH'!M101=1,IF('TRA TECH'!L101=1,"PRE","*"),"*")</f>
        <v>*</v>
      </c>
      <c r="C103" t="str">
        <f>'TRA TECH'!J101</f>
        <v>TRAFRECLTHEVGSL20</v>
      </c>
      <c r="D103" t="str">
        <f>IF(B103="*","*",_xlfn.XLOOKUP(C103,'TRA TECH'!$J:$J,'TRA TECH'!$A:$A)&amp;" "&amp;_xlfn.XLOOKUP(C103,'TRA TECH'!$J:$J,'TRA TECH'!$B:$B)&amp;" "&amp;_xlfn.XLOOKUP(C103,'TRA TECH'!$J:$J,'TRA TECH'!$C:$C)&amp;" "&amp;_xlfn.XLOOKUP(C103,'TRA TECH'!$J:$J,'TRA TECH'!$F:$F))</f>
        <v>*</v>
      </c>
      <c r="E103" t="str">
        <f t="shared" si="1"/>
        <v>*</v>
      </c>
      <c r="F103" t="str">
        <f>IF(B103="*","*",_xlfn.XLOOKUP(C103,'TRA TECH'!J:J,'TRA TECH'!K:K))</f>
        <v>*</v>
      </c>
    </row>
    <row r="104" spans="2:6" x14ac:dyDescent="0.25">
      <c r="B104" t="str">
        <f>IF('TRA TECH'!M102=1,IF('TRA TECH'!L102=1,"PRE","*"),"*")</f>
        <v>PRE</v>
      </c>
      <c r="C104" t="str">
        <f>'TRA TECH'!J102</f>
        <v>TRAFRECLTHEVTGSL20</v>
      </c>
      <c r="D104" t="str">
        <f>IF(B104="*","*",_xlfn.XLOOKUP(C104,'TRA TECH'!$J:$J,'TRA TECH'!$A:$A)&amp;" "&amp;_xlfn.XLOOKUP(C104,'TRA TECH'!$J:$J,'TRA TECH'!$B:$B)&amp;" "&amp;_xlfn.XLOOKUP(C104,'TRA TECH'!$J:$J,'TRA TECH'!$C:$C)&amp;" "&amp;_xlfn.XLOOKUP(C104,'TRA TECH'!$J:$J,'TRA TECH'!$F:$F))</f>
        <v>Transportation Freight Light Commercial Truck Gasoline Micro Hybrid Electric Vehicle (spark ignition with turbo)</v>
      </c>
      <c r="E104" t="str">
        <f t="shared" si="1"/>
        <v>Mvkm</v>
      </c>
      <c r="F104" t="str">
        <f>IF(B104="*","*",_xlfn.XLOOKUP(C104,'TRA TECH'!J:J,'TRA TECH'!K:K))</f>
        <v>Mvkm</v>
      </c>
    </row>
    <row r="105" spans="2:6" x14ac:dyDescent="0.25">
      <c r="B105" t="str">
        <f>IF('TRA TECH'!M103=1,IF('TRA TECH'!L103=1,"PRE","*"),"*")</f>
        <v>*</v>
      </c>
      <c r="C105" t="str">
        <f>'TRA TECH'!J103</f>
        <v>TRAFRECLTHEVTGSL20</v>
      </c>
      <c r="D105" t="str">
        <f>IF(B105="*","*",_xlfn.XLOOKUP(C105,'TRA TECH'!$J:$J,'TRA TECH'!$A:$A)&amp;" "&amp;_xlfn.XLOOKUP(C105,'TRA TECH'!$J:$J,'TRA TECH'!$B:$B)&amp;" "&amp;_xlfn.XLOOKUP(C105,'TRA TECH'!$J:$J,'TRA TECH'!$C:$C)&amp;" "&amp;_xlfn.XLOOKUP(C105,'TRA TECH'!$J:$J,'TRA TECH'!$F:$F))</f>
        <v>*</v>
      </c>
      <c r="E105" t="str">
        <f t="shared" si="1"/>
        <v>*</v>
      </c>
      <c r="F105" t="str">
        <f>IF(B105="*","*",_xlfn.XLOOKUP(C105,'TRA TECH'!J:J,'TRA TECH'!K:K))</f>
        <v>*</v>
      </c>
    </row>
    <row r="106" spans="2:6" x14ac:dyDescent="0.25">
      <c r="B106" t="str">
        <f>IF('TRA TECH'!M104=1,IF('TRA TECH'!L104=1,"PRE","*"),"*")</f>
        <v>PRE</v>
      </c>
      <c r="C106" t="str">
        <f>'TRA TECH'!J104</f>
        <v>TRAFRECLTHEVIGSL20</v>
      </c>
      <c r="D106" t="str">
        <f>IF(B106="*","*",_xlfn.XLOOKUP(C106,'TRA TECH'!$J:$J,'TRA TECH'!$A:$A)&amp;" "&amp;_xlfn.XLOOKUP(C106,'TRA TECH'!$J:$J,'TRA TECH'!$B:$B)&amp;" "&amp;_xlfn.XLOOKUP(C106,'TRA TECH'!$J:$J,'TRA TECH'!$C:$C)&amp;" "&amp;_xlfn.XLOOKUP(C106,'TRA TECH'!$J:$J,'TRA TECH'!$F:$F))</f>
        <v>Transportation Freight Light Commercial Truck Gasoline Mild Hybrid Electric Vehicle (belt-driven integrated starter generator with spark ignition)</v>
      </c>
      <c r="E106" t="str">
        <f t="shared" si="1"/>
        <v>Mvkm</v>
      </c>
      <c r="F106" t="str">
        <f>IF(B106="*","*",_xlfn.XLOOKUP(C106,'TRA TECH'!J:J,'TRA TECH'!K:K))</f>
        <v>Mvkm</v>
      </c>
    </row>
    <row r="107" spans="2:6" x14ac:dyDescent="0.25">
      <c r="B107" t="str">
        <f>IF('TRA TECH'!M105=1,IF('TRA TECH'!L105=1,"PRE","*"),"*")</f>
        <v>*</v>
      </c>
      <c r="C107" t="str">
        <f>'TRA TECH'!J105</f>
        <v>TRAFRECLTHEVIGSL20</v>
      </c>
      <c r="D107" t="str">
        <f>IF(B107="*","*",_xlfn.XLOOKUP(C107,'TRA TECH'!$J:$J,'TRA TECH'!$A:$A)&amp;" "&amp;_xlfn.XLOOKUP(C107,'TRA TECH'!$J:$J,'TRA TECH'!$B:$B)&amp;" "&amp;_xlfn.XLOOKUP(C107,'TRA TECH'!$J:$J,'TRA TECH'!$C:$C)&amp;" "&amp;_xlfn.XLOOKUP(C107,'TRA TECH'!$J:$J,'TRA TECH'!$F:$F))</f>
        <v>*</v>
      </c>
      <c r="E107" t="str">
        <f t="shared" si="1"/>
        <v>*</v>
      </c>
      <c r="F107" t="str">
        <f>IF(B107="*","*",_xlfn.XLOOKUP(C107,'TRA TECH'!J:J,'TRA TECH'!K:K))</f>
        <v>*</v>
      </c>
    </row>
    <row r="108" spans="2:6" x14ac:dyDescent="0.25">
      <c r="B108" t="str">
        <f>IF('TRA TECH'!M106=1,IF('TRA TECH'!L106=1,"PRE","*"),"*")</f>
        <v>*</v>
      </c>
      <c r="C108" t="str">
        <f>'TRA TECH'!J106</f>
        <v>TRAFRECLTHEVIGSL20</v>
      </c>
      <c r="D108" t="str">
        <f>IF(B108="*","*",_xlfn.XLOOKUP(C108,'TRA TECH'!$J:$J,'TRA TECH'!$A:$A)&amp;" "&amp;_xlfn.XLOOKUP(C108,'TRA TECH'!$J:$J,'TRA TECH'!$B:$B)&amp;" "&amp;_xlfn.XLOOKUP(C108,'TRA TECH'!$J:$J,'TRA TECH'!$C:$C)&amp;" "&amp;_xlfn.XLOOKUP(C108,'TRA TECH'!$J:$J,'TRA TECH'!$F:$F))</f>
        <v>*</v>
      </c>
      <c r="E108" t="str">
        <f t="shared" si="1"/>
        <v>*</v>
      </c>
      <c r="F108" t="str">
        <f>IF(B108="*","*",_xlfn.XLOOKUP(C108,'TRA TECH'!J:J,'TRA TECH'!K:K))</f>
        <v>*</v>
      </c>
    </row>
    <row r="109" spans="2:6" x14ac:dyDescent="0.25">
      <c r="B109" t="str">
        <f>IF('TRA TECH'!M107=1,IF('TRA TECH'!L107=1,"PRE","*"),"*")</f>
        <v>*</v>
      </c>
      <c r="C109" t="str">
        <f>'TRA TECH'!J107</f>
        <v>TRAFRECLTHEVIGSL20</v>
      </c>
      <c r="D109" t="str">
        <f>IF(B109="*","*",_xlfn.XLOOKUP(C109,'TRA TECH'!$J:$J,'TRA TECH'!$A:$A)&amp;" "&amp;_xlfn.XLOOKUP(C109,'TRA TECH'!$J:$J,'TRA TECH'!$B:$B)&amp;" "&amp;_xlfn.XLOOKUP(C109,'TRA TECH'!$J:$J,'TRA TECH'!$C:$C)&amp;" "&amp;_xlfn.XLOOKUP(C109,'TRA TECH'!$J:$J,'TRA TECH'!$F:$F))</f>
        <v>*</v>
      </c>
      <c r="E109" t="str">
        <f t="shared" si="1"/>
        <v>*</v>
      </c>
      <c r="F109" t="str">
        <f>IF(B109="*","*",_xlfn.XLOOKUP(C109,'TRA TECH'!J:J,'TRA TECH'!K:K))</f>
        <v>*</v>
      </c>
    </row>
    <row r="110" spans="2:6" x14ac:dyDescent="0.25">
      <c r="B110" t="str">
        <f>IF('TRA TECH'!M108=1,IF('TRA TECH'!L108=1,"PRE","*"),"*")</f>
        <v>PRE</v>
      </c>
      <c r="C110" t="str">
        <f>'TRA TECH'!J108</f>
        <v>TRAFRECLTHEVPGSL20</v>
      </c>
      <c r="D110" t="str">
        <f>IF(B110="*","*",_xlfn.XLOOKUP(C110,'TRA TECH'!$J:$J,'TRA TECH'!$A:$A)&amp;" "&amp;_xlfn.XLOOKUP(C110,'TRA TECH'!$J:$J,'TRA TECH'!$B:$B)&amp;" "&amp;_xlfn.XLOOKUP(C110,'TRA TECH'!$J:$J,'TRA TECH'!$C:$C)&amp;" "&amp;_xlfn.XLOOKUP(C110,'TRA TECH'!$J:$J,'TRA TECH'!$F:$F))</f>
        <v>Transportation Freight Light Commercial Truck Gasoline Power Split Hybrid Electric Vehicle</v>
      </c>
      <c r="E110" t="str">
        <f t="shared" si="1"/>
        <v>Mvkm</v>
      </c>
      <c r="F110" t="str">
        <f>IF(B110="*","*",_xlfn.XLOOKUP(C110,'TRA TECH'!J:J,'TRA TECH'!K:K))</f>
        <v>Mvkm</v>
      </c>
    </row>
    <row r="111" spans="2:6" x14ac:dyDescent="0.25">
      <c r="B111" t="str">
        <f>IF('TRA TECH'!M109=1,IF('TRA TECH'!L109=1,"PRE","*"),"*")</f>
        <v>*</v>
      </c>
      <c r="C111" t="str">
        <f>'TRA TECH'!J109</f>
        <v>TRAFRECLTHEVPGSL20</v>
      </c>
      <c r="D111" t="str">
        <f>IF(B111="*","*",_xlfn.XLOOKUP(C111,'TRA TECH'!$J:$J,'TRA TECH'!$A:$A)&amp;" "&amp;_xlfn.XLOOKUP(C111,'TRA TECH'!$J:$J,'TRA TECH'!$B:$B)&amp;" "&amp;_xlfn.XLOOKUP(C111,'TRA TECH'!$J:$J,'TRA TECH'!$C:$C)&amp;" "&amp;_xlfn.XLOOKUP(C111,'TRA TECH'!$J:$J,'TRA TECH'!$F:$F))</f>
        <v>*</v>
      </c>
      <c r="E111" t="str">
        <f t="shared" si="1"/>
        <v>*</v>
      </c>
      <c r="F111" t="str">
        <f>IF(B111="*","*",_xlfn.XLOOKUP(C111,'TRA TECH'!J:J,'TRA TECH'!K:K))</f>
        <v>*</v>
      </c>
    </row>
    <row r="112" spans="2:6" x14ac:dyDescent="0.25">
      <c r="B112" t="str">
        <f>IF('TRA TECH'!M110=1,IF('TRA TECH'!L110=1,"PRE","*"),"*")</f>
        <v>PRE</v>
      </c>
      <c r="C112" t="str">
        <f>'TRA TECH'!J110</f>
        <v>TRAFRECLTPHEVPGSL20</v>
      </c>
      <c r="D112" t="str">
        <f>IF(B112="*","*",_xlfn.XLOOKUP(C112,'TRA TECH'!$J:$J,'TRA TECH'!$A:$A)&amp;" "&amp;_xlfn.XLOOKUP(C112,'TRA TECH'!$J:$J,'TRA TECH'!$B:$B)&amp;" "&amp;_xlfn.XLOOKUP(C112,'TRA TECH'!$J:$J,'TRA TECH'!$C:$C)&amp;" "&amp;_xlfn.XLOOKUP(C112,'TRA TECH'!$J:$J,'TRA TECH'!$F:$F))</f>
        <v>Transportation Freight Light Commercial Truck Gasoline Power Split Plug-in Hybrid Electric Vehicle (20-mile electric range)</v>
      </c>
      <c r="E112" t="str">
        <f t="shared" si="1"/>
        <v>Mvkm</v>
      </c>
      <c r="F112" t="str">
        <f>IF(B112="*","*",_xlfn.XLOOKUP(C112,'TRA TECH'!J:J,'TRA TECH'!K:K))</f>
        <v>Mvkm</v>
      </c>
    </row>
    <row r="113" spans="2:6" x14ac:dyDescent="0.25">
      <c r="B113" t="str">
        <f>IF('TRA TECH'!M111=1,IF('TRA TECH'!L111=1,"PRE","*"),"*")</f>
        <v>*</v>
      </c>
      <c r="C113" t="str">
        <f>'TRA TECH'!J111</f>
        <v>TRAFRECLTPHEVPGSL20</v>
      </c>
      <c r="D113" t="str">
        <f>IF(B113="*","*",_xlfn.XLOOKUP(C113,'TRA TECH'!$J:$J,'TRA TECH'!$A:$A)&amp;" "&amp;_xlfn.XLOOKUP(C113,'TRA TECH'!$J:$J,'TRA TECH'!$B:$B)&amp;" "&amp;_xlfn.XLOOKUP(C113,'TRA TECH'!$J:$J,'TRA TECH'!$C:$C)&amp;" "&amp;_xlfn.XLOOKUP(C113,'TRA TECH'!$J:$J,'TRA TECH'!$F:$F))</f>
        <v>*</v>
      </c>
      <c r="E113" t="str">
        <f t="shared" si="1"/>
        <v>*</v>
      </c>
      <c r="F113" t="str">
        <f>IF(B113="*","*",_xlfn.XLOOKUP(C113,'TRA TECH'!J:J,'TRA TECH'!K:K))</f>
        <v>*</v>
      </c>
    </row>
    <row r="114" spans="2:6" x14ac:dyDescent="0.25">
      <c r="B114" t="str">
        <f>IF('TRA TECH'!M112=1,IF('TRA TECH'!L112=1,"PRE","*"),"*")</f>
        <v>*</v>
      </c>
      <c r="C114" t="str">
        <f>'TRA TECH'!J112</f>
        <v>TRAFRECLTPHEVPGSL20</v>
      </c>
      <c r="D114" t="str">
        <f>IF(B114="*","*",_xlfn.XLOOKUP(C114,'TRA TECH'!$J:$J,'TRA TECH'!$A:$A)&amp;" "&amp;_xlfn.XLOOKUP(C114,'TRA TECH'!$J:$J,'TRA TECH'!$B:$B)&amp;" "&amp;_xlfn.XLOOKUP(C114,'TRA TECH'!$J:$J,'TRA TECH'!$C:$C)&amp;" "&amp;_xlfn.XLOOKUP(C114,'TRA TECH'!$J:$J,'TRA TECH'!$F:$F))</f>
        <v>*</v>
      </c>
      <c r="E114" t="str">
        <f t="shared" si="1"/>
        <v>*</v>
      </c>
      <c r="F114" t="str">
        <f>IF(B114="*","*",_xlfn.XLOOKUP(C114,'TRA TECH'!J:J,'TRA TECH'!K:K))</f>
        <v>*</v>
      </c>
    </row>
    <row r="115" spans="2:6" x14ac:dyDescent="0.25">
      <c r="B115" t="str">
        <f>IF('TRA TECH'!M113=1,IF('TRA TECH'!L113=1,"PRE","*"),"*")</f>
        <v>PRE</v>
      </c>
      <c r="C115" t="str">
        <f>'TRA TECH'!J113</f>
        <v>TRAFRECLTPHEVEGSL20</v>
      </c>
      <c r="D115" t="str">
        <f>IF(B115="*","*",_xlfn.XLOOKUP(C115,'TRA TECH'!$J:$J,'TRA TECH'!$A:$A)&amp;" "&amp;_xlfn.XLOOKUP(C115,'TRA TECH'!$J:$J,'TRA TECH'!$B:$B)&amp;" "&amp;_xlfn.XLOOKUP(C115,'TRA TECH'!$J:$J,'TRA TECH'!$C:$C)&amp;" "&amp;_xlfn.XLOOKUP(C115,'TRA TECH'!$J:$J,'TRA TECH'!$F:$F))</f>
        <v>Transportation Freight Light Commercial Truck Gasoline Extended Range Plug-in Hybrid Electric Vehicle (50-mile electric range)</v>
      </c>
      <c r="E115" t="str">
        <f t="shared" si="1"/>
        <v>Mvkm</v>
      </c>
      <c r="F115" t="str">
        <f>IF(B115="*","*",_xlfn.XLOOKUP(C115,'TRA TECH'!J:J,'TRA TECH'!K:K))</f>
        <v>Mvkm</v>
      </c>
    </row>
    <row r="116" spans="2:6" x14ac:dyDescent="0.25">
      <c r="B116" t="str">
        <f>IF('TRA TECH'!M114=1,IF('TRA TECH'!L114=1,"PRE","*"),"*")</f>
        <v>*</v>
      </c>
      <c r="C116" t="str">
        <f>'TRA TECH'!J114</f>
        <v>TRAFRECLTPHEVEGSL20</v>
      </c>
      <c r="D116" t="str">
        <f>IF(B116="*","*",_xlfn.XLOOKUP(C116,'TRA TECH'!$J:$J,'TRA TECH'!$A:$A)&amp;" "&amp;_xlfn.XLOOKUP(C116,'TRA TECH'!$J:$J,'TRA TECH'!$B:$B)&amp;" "&amp;_xlfn.XLOOKUP(C116,'TRA TECH'!$J:$J,'TRA TECH'!$C:$C)&amp;" "&amp;_xlfn.XLOOKUP(C116,'TRA TECH'!$J:$J,'TRA TECH'!$F:$F))</f>
        <v>*</v>
      </c>
      <c r="E116" t="str">
        <f t="shared" si="1"/>
        <v>*</v>
      </c>
      <c r="F116" t="str">
        <f>IF(B116="*","*",_xlfn.XLOOKUP(C116,'TRA TECH'!J:J,'TRA TECH'!K:K))</f>
        <v>*</v>
      </c>
    </row>
    <row r="117" spans="2:6" x14ac:dyDescent="0.25">
      <c r="B117" t="str">
        <f>IF('TRA TECH'!M115=1,IF('TRA TECH'!L115=1,"PRE","*"),"*")</f>
        <v>*</v>
      </c>
      <c r="C117" t="str">
        <f>'TRA TECH'!J115</f>
        <v>TRAFRECLTPHEVEGSL20</v>
      </c>
      <c r="D117" t="str">
        <f>IF(B117="*","*",_xlfn.XLOOKUP(C117,'TRA TECH'!$J:$J,'TRA TECH'!$A:$A)&amp;" "&amp;_xlfn.XLOOKUP(C117,'TRA TECH'!$J:$J,'TRA TECH'!$B:$B)&amp;" "&amp;_xlfn.XLOOKUP(C117,'TRA TECH'!$J:$J,'TRA TECH'!$C:$C)&amp;" "&amp;_xlfn.XLOOKUP(C117,'TRA TECH'!$J:$J,'TRA TECH'!$F:$F))</f>
        <v>*</v>
      </c>
      <c r="E117" t="str">
        <f t="shared" si="1"/>
        <v>*</v>
      </c>
      <c r="F117" t="str">
        <f>IF(B117="*","*",_xlfn.XLOOKUP(C117,'TRA TECH'!J:J,'TRA TECH'!K:K))</f>
        <v>*</v>
      </c>
    </row>
    <row r="118" spans="2:6" x14ac:dyDescent="0.25">
      <c r="B118" t="str">
        <f>IF('TRA TECH'!M116=1,IF('TRA TECH'!L116=1,"PRE","*"),"*")</f>
        <v>PRE</v>
      </c>
      <c r="C118" t="str">
        <f>'TRA TECH'!J116</f>
        <v>TRAFRECLTICEVDSL20</v>
      </c>
      <c r="D118" t="str">
        <f>IF(B118="*","*",_xlfn.XLOOKUP(C118,'TRA TECH'!$J:$J,'TRA TECH'!$A:$A)&amp;" "&amp;_xlfn.XLOOKUP(C118,'TRA TECH'!$J:$J,'TRA TECH'!$B:$B)&amp;" "&amp;_xlfn.XLOOKUP(C118,'TRA TECH'!$J:$J,'TRA TECH'!$C:$C)&amp;" "&amp;_xlfn.XLOOKUP(C118,'TRA TECH'!$J:$J,'TRA TECH'!$F:$F))</f>
        <v>Transportation Freight Light Commercial Truck Diesel Conventional Compression Ignition Vehicle</v>
      </c>
      <c r="E118" t="str">
        <f t="shared" si="1"/>
        <v>Mvkm</v>
      </c>
      <c r="F118" t="str">
        <f>IF(B118="*","*",_xlfn.XLOOKUP(C118,'TRA TECH'!J:J,'TRA TECH'!K:K))</f>
        <v>Mvkm</v>
      </c>
    </row>
    <row r="119" spans="2:6" x14ac:dyDescent="0.25">
      <c r="B119" t="str">
        <f>IF('TRA TECH'!M117=1,IF('TRA TECH'!L117=1,"PRE","*"),"*")</f>
        <v>*</v>
      </c>
      <c r="C119" t="str">
        <f>'TRA TECH'!J117</f>
        <v>TRAFRECLTICEVDSL20</v>
      </c>
      <c r="D119" t="str">
        <f>IF(B119="*","*",_xlfn.XLOOKUP(C119,'TRA TECH'!$J:$J,'TRA TECH'!$A:$A)&amp;" "&amp;_xlfn.XLOOKUP(C119,'TRA TECH'!$J:$J,'TRA TECH'!$B:$B)&amp;" "&amp;_xlfn.XLOOKUP(C119,'TRA TECH'!$J:$J,'TRA TECH'!$C:$C)&amp;" "&amp;_xlfn.XLOOKUP(C119,'TRA TECH'!$J:$J,'TRA TECH'!$F:$F))</f>
        <v>*</v>
      </c>
      <c r="E119" t="str">
        <f t="shared" si="1"/>
        <v>*</v>
      </c>
      <c r="F119" t="str">
        <f>IF(B119="*","*",_xlfn.XLOOKUP(C119,'TRA TECH'!J:J,'TRA TECH'!K:K))</f>
        <v>*</v>
      </c>
    </row>
    <row r="120" spans="2:6" x14ac:dyDescent="0.25">
      <c r="B120" t="str">
        <f>IF('TRA TECH'!M118=1,IF('TRA TECH'!L118=1,"PRE","*"),"*")</f>
        <v>*</v>
      </c>
      <c r="C120" t="str">
        <f>'TRA TECH'!J118</f>
        <v>TRAFRECLTICEVDSL20</v>
      </c>
      <c r="D120" t="str">
        <f>IF(B120="*","*",_xlfn.XLOOKUP(C120,'TRA TECH'!$J:$J,'TRA TECH'!$A:$A)&amp;" "&amp;_xlfn.XLOOKUP(C120,'TRA TECH'!$J:$J,'TRA TECH'!$B:$B)&amp;" "&amp;_xlfn.XLOOKUP(C120,'TRA TECH'!$J:$J,'TRA TECH'!$C:$C)&amp;" "&amp;_xlfn.XLOOKUP(C120,'TRA TECH'!$J:$J,'TRA TECH'!$F:$F))</f>
        <v>*</v>
      </c>
      <c r="E120" t="str">
        <f t="shared" si="1"/>
        <v>*</v>
      </c>
      <c r="F120" t="str">
        <f>IF(B120="*","*",_xlfn.XLOOKUP(C120,'TRA TECH'!J:J,'TRA TECH'!K:K))</f>
        <v>*</v>
      </c>
    </row>
    <row r="121" spans="2:6" x14ac:dyDescent="0.25">
      <c r="B121" t="str">
        <f>IF('TRA TECH'!M119=1,IF('TRA TECH'!L119=1,"PRE","*"),"*")</f>
        <v>PRE</v>
      </c>
      <c r="C121" t="str">
        <f>'TRA TECH'!J119</f>
        <v>TRAFRECLTICEVCNG20</v>
      </c>
      <c r="D121" t="str">
        <f>IF(B121="*","*",_xlfn.XLOOKUP(C121,'TRA TECH'!$J:$J,'TRA TECH'!$A:$A)&amp;" "&amp;_xlfn.XLOOKUP(C121,'TRA TECH'!$J:$J,'TRA TECH'!$B:$B)&amp;" "&amp;_xlfn.XLOOKUP(C121,'TRA TECH'!$J:$J,'TRA TECH'!$C:$C)&amp;" "&amp;_xlfn.XLOOKUP(C121,'TRA TECH'!$J:$J,'TRA TECH'!$F:$F))</f>
        <v>Transportation Freight Light Commercial Truck Compressed Natural Gas Conventional Vehicle</v>
      </c>
      <c r="E121" t="str">
        <f t="shared" si="1"/>
        <v>Mvkm</v>
      </c>
      <c r="F121" t="str">
        <f>IF(B121="*","*",_xlfn.XLOOKUP(C121,'TRA TECH'!J:J,'TRA TECH'!K:K))</f>
        <v>Mvkm</v>
      </c>
    </row>
    <row r="122" spans="2:6" x14ac:dyDescent="0.25">
      <c r="B122" t="str">
        <f>IF('TRA TECH'!M120=1,IF('TRA TECH'!L120=1,"PRE","*"),"*")</f>
        <v>*</v>
      </c>
      <c r="C122" t="str">
        <f>'TRA TECH'!J120</f>
        <v>TRAFRECLTICEVCNG20</v>
      </c>
      <c r="D122" t="str">
        <f>IF(B122="*","*",_xlfn.XLOOKUP(C122,'TRA TECH'!$J:$J,'TRA TECH'!$A:$A)&amp;" "&amp;_xlfn.XLOOKUP(C122,'TRA TECH'!$J:$J,'TRA TECH'!$B:$B)&amp;" "&amp;_xlfn.XLOOKUP(C122,'TRA TECH'!$J:$J,'TRA TECH'!$C:$C)&amp;" "&amp;_xlfn.XLOOKUP(C122,'TRA TECH'!$J:$J,'TRA TECH'!$F:$F))</f>
        <v>*</v>
      </c>
      <c r="E122" t="str">
        <f t="shared" si="1"/>
        <v>*</v>
      </c>
      <c r="F122" t="str">
        <f>IF(B122="*","*",_xlfn.XLOOKUP(C122,'TRA TECH'!J:J,'TRA TECH'!K:K))</f>
        <v>*</v>
      </c>
    </row>
    <row r="123" spans="2:6" x14ac:dyDescent="0.25">
      <c r="B123" t="str">
        <f>IF('TRA TECH'!M121=1,IF('TRA TECH'!L121=1,"PRE","*"),"*")</f>
        <v>PRE</v>
      </c>
      <c r="C123" t="str">
        <f>'TRA TECH'!J121</f>
        <v>TRAFRECLT300FCEV20</v>
      </c>
      <c r="D123" t="str">
        <f>IF(B123="*","*",_xlfn.XLOOKUP(C123,'TRA TECH'!$J:$J,'TRA TECH'!$A:$A)&amp;" "&amp;_xlfn.XLOOKUP(C123,'TRA TECH'!$J:$J,'TRA TECH'!$B:$B)&amp;" "&amp;_xlfn.XLOOKUP(C123,'TRA TECH'!$J:$J,'TRA TECH'!$C:$C)&amp;" "&amp;_xlfn.XLOOKUP(C123,'TRA TECH'!$J:$J,'TRA TECH'!$F:$F))</f>
        <v>Transportation Freight Light Commercial Truck Hydrogen Fuel Cell Electric Vehicle (300-mile range)</v>
      </c>
      <c r="E123" t="str">
        <f t="shared" si="1"/>
        <v>Mvkm</v>
      </c>
      <c r="F123" t="str">
        <f>IF(B123="*","*",_xlfn.XLOOKUP(C123,'TRA TECH'!J:J,'TRA TECH'!K:K))</f>
        <v>Mvkm</v>
      </c>
    </row>
    <row r="124" spans="2:6" x14ac:dyDescent="0.25">
      <c r="B124" t="str">
        <f>IF('TRA TECH'!M122=1,IF('TRA TECH'!L122=1,"PRE","*"),"*")</f>
        <v>PRE</v>
      </c>
      <c r="C124" t="str">
        <f>'TRA TECH'!J122</f>
        <v>TRAFRECLT400FCEV20</v>
      </c>
      <c r="D124" t="str">
        <f>IF(B124="*","*",_xlfn.XLOOKUP(C124,'TRA TECH'!$J:$J,'TRA TECH'!$A:$A)&amp;" "&amp;_xlfn.XLOOKUP(C124,'TRA TECH'!$J:$J,'TRA TECH'!$B:$B)&amp;" "&amp;_xlfn.XLOOKUP(C124,'TRA TECH'!$J:$J,'TRA TECH'!$C:$C)&amp;" "&amp;_xlfn.XLOOKUP(C124,'TRA TECH'!$J:$J,'TRA TECH'!$F:$F))</f>
        <v>Transportation Freight Light Commercial Truck Hydrogen Fuel Cell Electric Vehicle (400-mile range)</v>
      </c>
      <c r="E124" t="str">
        <f t="shared" si="1"/>
        <v>Mvkm</v>
      </c>
      <c r="F124" t="str">
        <f>IF(B124="*","*",_xlfn.XLOOKUP(C124,'TRA TECH'!J:J,'TRA TECH'!K:K))</f>
        <v>Mvkm</v>
      </c>
    </row>
    <row r="125" spans="2:6" x14ac:dyDescent="0.25">
      <c r="B125" t="str">
        <f>IF('TRA TECH'!M123=1,IF('TRA TECH'!L123=1,"PRE","*"),"*")</f>
        <v>PRE</v>
      </c>
      <c r="C125" t="str">
        <f>'TRA TECH'!J123</f>
        <v>TRAFRECLT200BEV20</v>
      </c>
      <c r="D125" t="str">
        <f>IF(B125="*","*",_xlfn.XLOOKUP(C125,'TRA TECH'!$J:$J,'TRA TECH'!$A:$A)&amp;" "&amp;_xlfn.XLOOKUP(C125,'TRA TECH'!$J:$J,'TRA TECH'!$B:$B)&amp;" "&amp;_xlfn.XLOOKUP(C125,'TRA TECH'!$J:$J,'TRA TECH'!$C:$C)&amp;" "&amp;_xlfn.XLOOKUP(C125,'TRA TECH'!$J:$J,'TRA TECH'!$F:$F))</f>
        <v>Transportation Freight Light Commercial Truck Battery Electric Vehicle (200-mile range)</v>
      </c>
      <c r="E125" t="str">
        <f t="shared" si="1"/>
        <v>Mvkm</v>
      </c>
      <c r="F125" t="str">
        <f>IF(B125="*","*",_xlfn.XLOOKUP(C125,'TRA TECH'!J:J,'TRA TECH'!K:K))</f>
        <v>Mvkm</v>
      </c>
    </row>
    <row r="126" spans="2:6" x14ac:dyDescent="0.25">
      <c r="B126" t="str">
        <f>IF('TRA TECH'!M124=1,IF('TRA TECH'!L124=1,"PRE","*"),"*")</f>
        <v>PRE</v>
      </c>
      <c r="C126" t="str">
        <f>'TRA TECH'!J124</f>
        <v>TRAFRECLT300BEV20</v>
      </c>
      <c r="D126" t="str">
        <f>IF(B126="*","*",_xlfn.XLOOKUP(C126,'TRA TECH'!$J:$J,'TRA TECH'!$A:$A)&amp;" "&amp;_xlfn.XLOOKUP(C126,'TRA TECH'!$J:$J,'TRA TECH'!$B:$B)&amp;" "&amp;_xlfn.XLOOKUP(C126,'TRA TECH'!$J:$J,'TRA TECH'!$C:$C)&amp;" "&amp;_xlfn.XLOOKUP(C126,'TRA TECH'!$J:$J,'TRA TECH'!$F:$F))</f>
        <v>Transportation Freight Light Commercial Truck Battery Electric Vehicle (300-mile range)</v>
      </c>
      <c r="E126" t="str">
        <f t="shared" si="1"/>
        <v>Mvkm</v>
      </c>
      <c r="F126" t="str">
        <f>IF(B126="*","*",_xlfn.XLOOKUP(C126,'TRA TECH'!J:J,'TRA TECH'!K:K))</f>
        <v>Mvkm</v>
      </c>
    </row>
    <row r="127" spans="2:6" x14ac:dyDescent="0.25">
      <c r="B127" t="str">
        <f>IF('TRA TECH'!M125=1,IF('TRA TECH'!L125=1,"PRE","*"),"*")</f>
        <v>PRE</v>
      </c>
      <c r="C127" t="str">
        <f>'TRA TECH'!J125</f>
        <v>TRAFRECLT400BEV20</v>
      </c>
      <c r="D127" t="str">
        <f>IF(B127="*","*",_xlfn.XLOOKUP(C127,'TRA TECH'!$J:$J,'TRA TECH'!$A:$A)&amp;" "&amp;_xlfn.XLOOKUP(C127,'TRA TECH'!$J:$J,'TRA TECH'!$B:$B)&amp;" "&amp;_xlfn.XLOOKUP(C127,'TRA TECH'!$J:$J,'TRA TECH'!$C:$C)&amp;" "&amp;_xlfn.XLOOKUP(C127,'TRA TECH'!$J:$J,'TRA TECH'!$F:$F))</f>
        <v>Transportation Freight Light Commercial Truck Battery Electric Vehicle (400-mile range)</v>
      </c>
      <c r="E127" t="str">
        <f t="shared" si="1"/>
        <v>Mvkm</v>
      </c>
      <c r="F127" t="str">
        <f>IF(B127="*","*",_xlfn.XLOOKUP(C127,'TRA TECH'!J:J,'TRA TECH'!K:K))</f>
        <v>Mvkm</v>
      </c>
    </row>
    <row r="128" spans="2:6" x14ac:dyDescent="0.25">
      <c r="B128" t="str">
        <f>IF('TRA TECH'!M126=1,IF('TRA TECH'!L126=1,"PRE","*"),"*")</f>
        <v>PRE</v>
      </c>
      <c r="C128" t="str">
        <f>'TRA TECH'!J126</f>
        <v>TRAFRECLT500BEV20</v>
      </c>
      <c r="D128" t="str">
        <f>IF(B128="*","*",_xlfn.XLOOKUP(C128,'TRA TECH'!$J:$J,'TRA TECH'!$A:$A)&amp;" "&amp;_xlfn.XLOOKUP(C128,'TRA TECH'!$J:$J,'TRA TECH'!$B:$B)&amp;" "&amp;_xlfn.XLOOKUP(C128,'TRA TECH'!$J:$J,'TRA TECH'!$C:$C)&amp;" "&amp;_xlfn.XLOOKUP(C128,'TRA TECH'!$J:$J,'TRA TECH'!$F:$F))</f>
        <v>Transportation Freight Light Commercial Truck Battery Electric Vehicle (500-mile range)</v>
      </c>
      <c r="E128" t="str">
        <f t="shared" si="1"/>
        <v>Mvkm</v>
      </c>
      <c r="F128" t="str">
        <f>IF(B128="*","*",_xlfn.XLOOKUP(C128,'TRA TECH'!J:J,'TRA TECH'!K:K))</f>
        <v>Mvkm</v>
      </c>
    </row>
    <row r="129" spans="2:6" x14ac:dyDescent="0.25">
      <c r="B129" t="str">
        <f>IF('TRA TECH'!M127=1,IF('TRA TECH'!L127=1,"PRE","*"),"*")</f>
        <v>PRE</v>
      </c>
      <c r="C129" t="str">
        <f>'TRA TECH'!J127</f>
        <v>TRAFRERFTICEVDSL20</v>
      </c>
      <c r="D129" t="str">
        <f>IF(B129="*","*",_xlfn.XLOOKUP(C129,'TRA TECH'!$J:$J,'TRA TECH'!$A:$A)&amp;" "&amp;_xlfn.XLOOKUP(C129,'TRA TECH'!$J:$J,'TRA TECH'!$B:$B)&amp;" "&amp;_xlfn.XLOOKUP(C129,'TRA TECH'!$J:$J,'TRA TECH'!$C:$C)&amp;" "&amp;_xlfn.XLOOKUP(C129,'TRA TECH'!$J:$J,'TRA TECH'!$F:$F))</f>
        <v>Transportation Freight Refuse Truck Diesel ICE Vehicle</v>
      </c>
      <c r="E129" t="str">
        <f t="shared" si="1"/>
        <v>Mvkm</v>
      </c>
      <c r="F129" t="str">
        <f>IF(B129="*","*",_xlfn.XLOOKUP(C129,'TRA TECH'!J:J,'TRA TECH'!K:K))</f>
        <v>Mvkm</v>
      </c>
    </row>
    <row r="130" spans="2:6" x14ac:dyDescent="0.25">
      <c r="B130" t="str">
        <f>IF('TRA TECH'!M128=1,IF('TRA TECH'!L128=1,"PRE","*"),"*")</f>
        <v>*</v>
      </c>
      <c r="C130" t="str">
        <f>'TRA TECH'!J128</f>
        <v>TRAFRERFTICEVDSL20</v>
      </c>
      <c r="D130" t="str">
        <f>IF(B130="*","*",_xlfn.XLOOKUP(C130,'TRA TECH'!$J:$J,'TRA TECH'!$A:$A)&amp;" "&amp;_xlfn.XLOOKUP(C130,'TRA TECH'!$J:$J,'TRA TECH'!$B:$B)&amp;" "&amp;_xlfn.XLOOKUP(C130,'TRA TECH'!$J:$J,'TRA TECH'!$C:$C)&amp;" "&amp;_xlfn.XLOOKUP(C130,'TRA TECH'!$J:$J,'TRA TECH'!$F:$F))</f>
        <v>*</v>
      </c>
      <c r="E130" t="str">
        <f t="shared" si="1"/>
        <v>*</v>
      </c>
      <c r="F130" t="str">
        <f>IF(B130="*","*",_xlfn.XLOOKUP(C130,'TRA TECH'!J:J,'TRA TECH'!K:K))</f>
        <v>*</v>
      </c>
    </row>
    <row r="131" spans="2:6" x14ac:dyDescent="0.25">
      <c r="B131" t="str">
        <f>IF('TRA TECH'!M129=1,IF('TRA TECH'!L129=1,"PRE","*"),"*")</f>
        <v>*</v>
      </c>
      <c r="C131" t="str">
        <f>'TRA TECH'!J129</f>
        <v>TRAFRERFTICEVDSL20</v>
      </c>
      <c r="D131" t="str">
        <f>IF(B131="*","*",_xlfn.XLOOKUP(C131,'TRA TECH'!$J:$J,'TRA TECH'!$A:$A)&amp;" "&amp;_xlfn.XLOOKUP(C131,'TRA TECH'!$J:$J,'TRA TECH'!$B:$B)&amp;" "&amp;_xlfn.XLOOKUP(C131,'TRA TECH'!$J:$J,'TRA TECH'!$C:$C)&amp;" "&amp;_xlfn.XLOOKUP(C131,'TRA TECH'!$J:$J,'TRA TECH'!$F:$F))</f>
        <v>*</v>
      </c>
      <c r="E131" t="str">
        <f t="shared" si="1"/>
        <v>*</v>
      </c>
      <c r="F131" t="str">
        <f>IF(B131="*","*",_xlfn.XLOOKUP(C131,'TRA TECH'!J:J,'TRA TECH'!K:K))</f>
        <v>*</v>
      </c>
    </row>
    <row r="132" spans="2:6" x14ac:dyDescent="0.25">
      <c r="B132" t="str">
        <f>IF('TRA TECH'!M130=1,IF('TRA TECH'!L130=1,"PRE","*"),"*")</f>
        <v>PRE</v>
      </c>
      <c r="C132" t="str">
        <f>'TRA TECH'!J130</f>
        <v>TRAFRERFTICEIDSL20</v>
      </c>
      <c r="D132" t="str">
        <f>IF(B132="*","*",_xlfn.XLOOKUP(C132,'TRA TECH'!$J:$J,'TRA TECH'!$A:$A)&amp;" "&amp;_xlfn.XLOOKUP(C132,'TRA TECH'!$J:$J,'TRA TECH'!$B:$B)&amp;" "&amp;_xlfn.XLOOKUP(C132,'TRA TECH'!$J:$J,'TRA TECH'!$C:$C)&amp;" "&amp;_xlfn.XLOOKUP(C132,'TRA TECH'!$J:$J,'TRA TECH'!$F:$F))</f>
        <v>Transportation Freight Refuse Truck Diesel ICE Vehicle with Integrated Starter Generator</v>
      </c>
      <c r="E132" t="str">
        <f t="shared" si="1"/>
        <v>Mvkm</v>
      </c>
      <c r="F132" t="str">
        <f>IF(B132="*","*",_xlfn.XLOOKUP(C132,'TRA TECH'!J:J,'TRA TECH'!K:K))</f>
        <v>Mvkm</v>
      </c>
    </row>
    <row r="133" spans="2:6" x14ac:dyDescent="0.25">
      <c r="B133" t="str">
        <f>IF('TRA TECH'!M131=1,IF('TRA TECH'!L131=1,"PRE","*"),"*")</f>
        <v>*</v>
      </c>
      <c r="C133" t="str">
        <f>'TRA TECH'!J131</f>
        <v>TRAFRERFTICEIDSL20</v>
      </c>
      <c r="D133" t="str">
        <f>IF(B133="*","*",_xlfn.XLOOKUP(C133,'TRA TECH'!$J:$J,'TRA TECH'!$A:$A)&amp;" "&amp;_xlfn.XLOOKUP(C133,'TRA TECH'!$J:$J,'TRA TECH'!$B:$B)&amp;" "&amp;_xlfn.XLOOKUP(C133,'TRA TECH'!$J:$J,'TRA TECH'!$C:$C)&amp;" "&amp;_xlfn.XLOOKUP(C133,'TRA TECH'!$J:$J,'TRA TECH'!$F:$F))</f>
        <v>*</v>
      </c>
      <c r="E133" t="str">
        <f t="shared" ref="E133:E196" si="2">IF(F133="MW","TJ",F133)</f>
        <v>*</v>
      </c>
      <c r="F133" t="str">
        <f>IF(B133="*","*",_xlfn.XLOOKUP(C133,'TRA TECH'!J:J,'TRA TECH'!K:K))</f>
        <v>*</v>
      </c>
    </row>
    <row r="134" spans="2:6" x14ac:dyDescent="0.25">
      <c r="B134" t="str">
        <f>IF('TRA TECH'!M132=1,IF('TRA TECH'!L132=1,"PRE","*"),"*")</f>
        <v>*</v>
      </c>
      <c r="C134" t="str">
        <f>'TRA TECH'!J132</f>
        <v>TRAFRERFTICEIDSL20</v>
      </c>
      <c r="D134" t="str">
        <f>IF(B134="*","*",_xlfn.XLOOKUP(C134,'TRA TECH'!$J:$J,'TRA TECH'!$A:$A)&amp;" "&amp;_xlfn.XLOOKUP(C134,'TRA TECH'!$J:$J,'TRA TECH'!$B:$B)&amp;" "&amp;_xlfn.XLOOKUP(C134,'TRA TECH'!$J:$J,'TRA TECH'!$C:$C)&amp;" "&amp;_xlfn.XLOOKUP(C134,'TRA TECH'!$J:$J,'TRA TECH'!$F:$F))</f>
        <v>*</v>
      </c>
      <c r="E134" t="str">
        <f t="shared" si="2"/>
        <v>*</v>
      </c>
      <c r="F134" t="str">
        <f>IF(B134="*","*",_xlfn.XLOOKUP(C134,'TRA TECH'!J:J,'TRA TECH'!K:K))</f>
        <v>*</v>
      </c>
    </row>
    <row r="135" spans="2:6" x14ac:dyDescent="0.25">
      <c r="B135" t="str">
        <f>IF('TRA TECH'!M133=1,IF('TRA TECH'!L133=1,"PRE","*"),"*")</f>
        <v>PRE</v>
      </c>
      <c r="C135" t="str">
        <f>'TRA TECH'!J133</f>
        <v>TRAFRERFTHEVPDSL20</v>
      </c>
      <c r="D135" t="str">
        <f>IF(B135="*","*",_xlfn.XLOOKUP(C135,'TRA TECH'!$J:$J,'TRA TECH'!$A:$A)&amp;" "&amp;_xlfn.XLOOKUP(C135,'TRA TECH'!$J:$J,'TRA TECH'!$B:$B)&amp;" "&amp;_xlfn.XLOOKUP(C135,'TRA TECH'!$J:$J,'TRA TECH'!$C:$C)&amp;" "&amp;_xlfn.XLOOKUP(C135,'TRA TECH'!$J:$J,'TRA TECH'!$F:$F))</f>
        <v>Transportation Freight Refuse Truck Diesel Parallel Hybrid Electric Vehicle</v>
      </c>
      <c r="E135" t="str">
        <f t="shared" si="2"/>
        <v>Mvkm</v>
      </c>
      <c r="F135" t="str">
        <f>IF(B135="*","*",_xlfn.XLOOKUP(C135,'TRA TECH'!J:J,'TRA TECH'!K:K))</f>
        <v>Mvkm</v>
      </c>
    </row>
    <row r="136" spans="2:6" x14ac:dyDescent="0.25">
      <c r="B136" t="str">
        <f>IF('TRA TECH'!M134=1,IF('TRA TECH'!L134=1,"PRE","*"),"*")</f>
        <v>*</v>
      </c>
      <c r="C136" t="str">
        <f>'TRA TECH'!J134</f>
        <v>TRAFRERFTHEVPDSL20</v>
      </c>
      <c r="D136" t="str">
        <f>IF(B136="*","*",_xlfn.XLOOKUP(C136,'TRA TECH'!$J:$J,'TRA TECH'!$A:$A)&amp;" "&amp;_xlfn.XLOOKUP(C136,'TRA TECH'!$J:$J,'TRA TECH'!$B:$B)&amp;" "&amp;_xlfn.XLOOKUP(C136,'TRA TECH'!$J:$J,'TRA TECH'!$C:$C)&amp;" "&amp;_xlfn.XLOOKUP(C136,'TRA TECH'!$J:$J,'TRA TECH'!$F:$F))</f>
        <v>*</v>
      </c>
      <c r="E136" t="str">
        <f t="shared" si="2"/>
        <v>*</v>
      </c>
      <c r="F136" t="str">
        <f>IF(B136="*","*",_xlfn.XLOOKUP(C136,'TRA TECH'!J:J,'TRA TECH'!K:K))</f>
        <v>*</v>
      </c>
    </row>
    <row r="137" spans="2:6" x14ac:dyDescent="0.25">
      <c r="B137" t="str">
        <f>IF('TRA TECH'!M135=1,IF('TRA TECH'!L135=1,"PRE","*"),"*")</f>
        <v>*</v>
      </c>
      <c r="C137" t="str">
        <f>'TRA TECH'!J135</f>
        <v>TRAFRERFTHEVPDSL20</v>
      </c>
      <c r="D137" t="str">
        <f>IF(B137="*","*",_xlfn.XLOOKUP(C137,'TRA TECH'!$J:$J,'TRA TECH'!$A:$A)&amp;" "&amp;_xlfn.XLOOKUP(C137,'TRA TECH'!$J:$J,'TRA TECH'!$B:$B)&amp;" "&amp;_xlfn.XLOOKUP(C137,'TRA TECH'!$J:$J,'TRA TECH'!$C:$C)&amp;" "&amp;_xlfn.XLOOKUP(C137,'TRA TECH'!$J:$J,'TRA TECH'!$F:$F))</f>
        <v>*</v>
      </c>
      <c r="E137" t="str">
        <f t="shared" si="2"/>
        <v>*</v>
      </c>
      <c r="F137" t="str">
        <f>IF(B137="*","*",_xlfn.XLOOKUP(C137,'TRA TECH'!J:J,'TRA TECH'!K:K))</f>
        <v>*</v>
      </c>
    </row>
    <row r="138" spans="2:6" x14ac:dyDescent="0.25">
      <c r="B138" t="str">
        <f>IF('TRA TECH'!M136=1,IF('TRA TECH'!L136=1,"PRE","*"),"*")</f>
        <v>PRE</v>
      </c>
      <c r="C138" t="str">
        <f>'TRA TECH'!J136</f>
        <v>TRAFRERFTPHEVDSL20</v>
      </c>
      <c r="D138" t="str">
        <f>IF(B138="*","*",_xlfn.XLOOKUP(C138,'TRA TECH'!$J:$J,'TRA TECH'!$A:$A)&amp;" "&amp;_xlfn.XLOOKUP(C138,'TRA TECH'!$J:$J,'TRA TECH'!$B:$B)&amp;" "&amp;_xlfn.XLOOKUP(C138,'TRA TECH'!$J:$J,'TRA TECH'!$C:$C)&amp;" "&amp;_xlfn.XLOOKUP(C138,'TRA TECH'!$J:$J,'TRA TECH'!$F:$F))</f>
        <v>Transportation Freight Refuse Truck Diesel Series Plug-in Hybrid Electric Vehicle</v>
      </c>
      <c r="E138" t="str">
        <f t="shared" si="2"/>
        <v>Mvkm</v>
      </c>
      <c r="F138" t="str">
        <f>IF(B138="*","*",_xlfn.XLOOKUP(C138,'TRA TECH'!J:J,'TRA TECH'!K:K))</f>
        <v>Mvkm</v>
      </c>
    </row>
    <row r="139" spans="2:6" x14ac:dyDescent="0.25">
      <c r="B139" t="str">
        <f>IF('TRA TECH'!M137=1,IF('TRA TECH'!L137=1,"PRE","*"),"*")</f>
        <v>*</v>
      </c>
      <c r="C139" t="str">
        <f>'TRA TECH'!J137</f>
        <v>TRAFRERFTPHEVDSL20</v>
      </c>
      <c r="D139" t="str">
        <f>IF(B139="*","*",_xlfn.XLOOKUP(C139,'TRA TECH'!$J:$J,'TRA TECH'!$A:$A)&amp;" "&amp;_xlfn.XLOOKUP(C139,'TRA TECH'!$J:$J,'TRA TECH'!$B:$B)&amp;" "&amp;_xlfn.XLOOKUP(C139,'TRA TECH'!$J:$J,'TRA TECH'!$C:$C)&amp;" "&amp;_xlfn.XLOOKUP(C139,'TRA TECH'!$J:$J,'TRA TECH'!$F:$F))</f>
        <v>*</v>
      </c>
      <c r="E139" t="str">
        <f t="shared" si="2"/>
        <v>*</v>
      </c>
      <c r="F139" t="str">
        <f>IF(B139="*","*",_xlfn.XLOOKUP(C139,'TRA TECH'!J:J,'TRA TECH'!K:K))</f>
        <v>*</v>
      </c>
    </row>
    <row r="140" spans="2:6" x14ac:dyDescent="0.25">
      <c r="B140" t="str">
        <f>IF('TRA TECH'!M138=1,IF('TRA TECH'!L138=1,"PRE","*"),"*")</f>
        <v>*</v>
      </c>
      <c r="C140" t="str">
        <f>'TRA TECH'!J138</f>
        <v>TRAFRERFTPHEVDSL20</v>
      </c>
      <c r="D140" t="str">
        <f>IF(B140="*","*",_xlfn.XLOOKUP(C140,'TRA TECH'!$J:$J,'TRA TECH'!$A:$A)&amp;" "&amp;_xlfn.XLOOKUP(C140,'TRA TECH'!$J:$J,'TRA TECH'!$B:$B)&amp;" "&amp;_xlfn.XLOOKUP(C140,'TRA TECH'!$J:$J,'TRA TECH'!$C:$C)&amp;" "&amp;_xlfn.XLOOKUP(C140,'TRA TECH'!$J:$J,'TRA TECH'!$F:$F))</f>
        <v>*</v>
      </c>
      <c r="E140" t="str">
        <f t="shared" si="2"/>
        <v>*</v>
      </c>
      <c r="F140" t="str">
        <f>IF(B140="*","*",_xlfn.XLOOKUP(C140,'TRA TECH'!J:J,'TRA TECH'!K:K))</f>
        <v>*</v>
      </c>
    </row>
    <row r="141" spans="2:6" x14ac:dyDescent="0.25">
      <c r="B141" t="str">
        <f>IF('TRA TECH'!M139=1,IF('TRA TECH'!L139=1,"PRE","*"),"*")</f>
        <v>*</v>
      </c>
      <c r="C141" t="str">
        <f>'TRA TECH'!J139</f>
        <v>TRAFRERFTPHEVDSL20</v>
      </c>
      <c r="D141" t="str">
        <f>IF(B141="*","*",_xlfn.XLOOKUP(C141,'TRA TECH'!$J:$J,'TRA TECH'!$A:$A)&amp;" "&amp;_xlfn.XLOOKUP(C141,'TRA TECH'!$J:$J,'TRA TECH'!$B:$B)&amp;" "&amp;_xlfn.XLOOKUP(C141,'TRA TECH'!$J:$J,'TRA TECH'!$C:$C)&amp;" "&amp;_xlfn.XLOOKUP(C141,'TRA TECH'!$J:$J,'TRA TECH'!$F:$F))</f>
        <v>*</v>
      </c>
      <c r="E141" t="str">
        <f t="shared" si="2"/>
        <v>*</v>
      </c>
      <c r="F141" t="str">
        <f>IF(B141="*","*",_xlfn.XLOOKUP(C141,'TRA TECH'!J:J,'TRA TECH'!K:K))</f>
        <v>*</v>
      </c>
    </row>
    <row r="142" spans="2:6" x14ac:dyDescent="0.25">
      <c r="B142" t="str">
        <f>IF('TRA TECH'!M140=1,IF('TRA TECH'!L140=1,"PRE","*"),"*")</f>
        <v>PRE</v>
      </c>
      <c r="C142" t="str">
        <f>'TRA TECH'!J140</f>
        <v>TRAFRERFTFCEV20</v>
      </c>
      <c r="D142" t="str">
        <f>IF(B142="*","*",_xlfn.XLOOKUP(C142,'TRA TECH'!$J:$J,'TRA TECH'!$A:$A)&amp;" "&amp;_xlfn.XLOOKUP(C142,'TRA TECH'!$J:$J,'TRA TECH'!$B:$B)&amp;" "&amp;_xlfn.XLOOKUP(C142,'TRA TECH'!$J:$J,'TRA TECH'!$C:$C)&amp;" "&amp;_xlfn.XLOOKUP(C142,'TRA TECH'!$J:$J,'TRA TECH'!$F:$F))</f>
        <v>Transportation Freight Refuse Truck Hydrogen Fuel Cell Electric Vehicle</v>
      </c>
      <c r="E142" t="str">
        <f t="shared" si="2"/>
        <v>Mvkm</v>
      </c>
      <c r="F142" t="str">
        <f>IF(B142="*","*",_xlfn.XLOOKUP(C142,'TRA TECH'!J:J,'TRA TECH'!K:K))</f>
        <v>Mvkm</v>
      </c>
    </row>
    <row r="143" spans="2:6" x14ac:dyDescent="0.25">
      <c r="B143" t="str">
        <f>IF('TRA TECH'!M141=1,IF('TRA TECH'!L141=1,"PRE","*"),"*")</f>
        <v>PRE</v>
      </c>
      <c r="C143" t="str">
        <f>'TRA TECH'!J141</f>
        <v>TRAFRERFTFCHEV20</v>
      </c>
      <c r="D143" t="str">
        <f>IF(B143="*","*",_xlfn.XLOOKUP(C143,'TRA TECH'!$J:$J,'TRA TECH'!$A:$A)&amp;" "&amp;_xlfn.XLOOKUP(C143,'TRA TECH'!$J:$J,'TRA TECH'!$B:$B)&amp;" "&amp;_xlfn.XLOOKUP(C143,'TRA TECH'!$J:$J,'TRA TECH'!$C:$C)&amp;" "&amp;_xlfn.XLOOKUP(C143,'TRA TECH'!$J:$J,'TRA TECH'!$F:$F))</f>
        <v>Transportation Freight Refuse Truck Hydrogen Fuel Cell Hybrid Electric Vehicle</v>
      </c>
      <c r="E143" t="str">
        <f t="shared" si="2"/>
        <v>Mvkm</v>
      </c>
      <c r="F143" t="str">
        <f>IF(B143="*","*",_xlfn.XLOOKUP(C143,'TRA TECH'!J:J,'TRA TECH'!K:K))</f>
        <v>Mvkm</v>
      </c>
    </row>
    <row r="144" spans="2:6" x14ac:dyDescent="0.25">
      <c r="B144" t="str">
        <f>IF('TRA TECH'!M142=1,IF('TRA TECH'!L142=1,"PRE","*"),"*")</f>
        <v>*</v>
      </c>
      <c r="C144" t="str">
        <f>'TRA TECH'!J142</f>
        <v>TRAFRERFTFCHEV20</v>
      </c>
      <c r="D144" t="str">
        <f>IF(B144="*","*",_xlfn.XLOOKUP(C144,'TRA TECH'!$J:$J,'TRA TECH'!$A:$A)&amp;" "&amp;_xlfn.XLOOKUP(C144,'TRA TECH'!$J:$J,'TRA TECH'!$B:$B)&amp;" "&amp;_xlfn.XLOOKUP(C144,'TRA TECH'!$J:$J,'TRA TECH'!$C:$C)&amp;" "&amp;_xlfn.XLOOKUP(C144,'TRA TECH'!$J:$J,'TRA TECH'!$F:$F))</f>
        <v>*</v>
      </c>
      <c r="E144" t="str">
        <f t="shared" si="2"/>
        <v>*</v>
      </c>
      <c r="F144" t="str">
        <f>IF(B144="*","*",_xlfn.XLOOKUP(C144,'TRA TECH'!J:J,'TRA TECH'!K:K))</f>
        <v>*</v>
      </c>
    </row>
    <row r="145" spans="2:6" x14ac:dyDescent="0.25">
      <c r="B145" t="str">
        <f>IF('TRA TECH'!M143=1,IF('TRA TECH'!L143=1,"PRE","*"),"*")</f>
        <v>PRE</v>
      </c>
      <c r="C145" t="str">
        <f>'TRA TECH'!J143</f>
        <v>TRAFRERFTBEV20</v>
      </c>
      <c r="D145" t="str">
        <f>IF(B145="*","*",_xlfn.XLOOKUP(C145,'TRA TECH'!$J:$J,'TRA TECH'!$A:$A)&amp;" "&amp;_xlfn.XLOOKUP(C145,'TRA TECH'!$J:$J,'TRA TECH'!$B:$B)&amp;" "&amp;_xlfn.XLOOKUP(C145,'TRA TECH'!$J:$J,'TRA TECH'!$C:$C)&amp;" "&amp;_xlfn.XLOOKUP(C145,'TRA TECH'!$J:$J,'TRA TECH'!$F:$F))</f>
        <v>Transportation Freight Refuse Truck Battery Electric Vehicle</v>
      </c>
      <c r="E145" t="str">
        <f t="shared" si="2"/>
        <v>Mvkm</v>
      </c>
      <c r="F145" t="str">
        <f>IF(B145="*","*",_xlfn.XLOOKUP(C145,'TRA TECH'!J:J,'TRA TECH'!K:K))</f>
        <v>Mvkm</v>
      </c>
    </row>
    <row r="146" spans="2:6" x14ac:dyDescent="0.25">
      <c r="B146" t="str">
        <f>IF('TRA TECH'!M144=1,IF('TRA TECH'!L144=1,"PRE","*"),"*")</f>
        <v>PRE</v>
      </c>
      <c r="C146" t="str">
        <f>'TRA TECH'!J144</f>
        <v>TRAFRESLHICEVDSL20</v>
      </c>
      <c r="D146" t="str">
        <f>IF(B146="*","*",_xlfn.XLOOKUP(C146,'TRA TECH'!$J:$J,'TRA TECH'!$A:$A)&amp;" "&amp;_xlfn.XLOOKUP(C146,'TRA TECH'!$J:$J,'TRA TECH'!$B:$B)&amp;" "&amp;_xlfn.XLOOKUP(C146,'TRA TECH'!$J:$J,'TRA TECH'!$C:$C)&amp;" "&amp;_xlfn.XLOOKUP(C146,'TRA TECH'!$J:$J,'TRA TECH'!$F:$F))</f>
        <v>Transportation Freight Single Unit Long-haul Truck Diesel ICE Vehicle</v>
      </c>
      <c r="E146" t="str">
        <f t="shared" si="2"/>
        <v>Mvkm</v>
      </c>
      <c r="F146" t="str">
        <f>IF(B146="*","*",_xlfn.XLOOKUP(C146,'TRA TECH'!J:J,'TRA TECH'!K:K))</f>
        <v>Mvkm</v>
      </c>
    </row>
    <row r="147" spans="2:6" x14ac:dyDescent="0.25">
      <c r="B147" t="str">
        <f>IF('TRA TECH'!M145=1,IF('TRA TECH'!L145=1,"PRE","*"),"*")</f>
        <v>*</v>
      </c>
      <c r="C147" t="str">
        <f>'TRA TECH'!J145</f>
        <v>TRAFRESLHICEVDSL20</v>
      </c>
      <c r="D147" t="str">
        <f>IF(B147="*","*",_xlfn.XLOOKUP(C147,'TRA TECH'!$J:$J,'TRA TECH'!$A:$A)&amp;" "&amp;_xlfn.XLOOKUP(C147,'TRA TECH'!$J:$J,'TRA TECH'!$B:$B)&amp;" "&amp;_xlfn.XLOOKUP(C147,'TRA TECH'!$J:$J,'TRA TECH'!$C:$C)&amp;" "&amp;_xlfn.XLOOKUP(C147,'TRA TECH'!$J:$J,'TRA TECH'!$F:$F))</f>
        <v>*</v>
      </c>
      <c r="E147" t="str">
        <f t="shared" si="2"/>
        <v>*</v>
      </c>
      <c r="F147" t="str">
        <f>IF(B147="*","*",_xlfn.XLOOKUP(C147,'TRA TECH'!J:J,'TRA TECH'!K:K))</f>
        <v>*</v>
      </c>
    </row>
    <row r="148" spans="2:6" x14ac:dyDescent="0.25">
      <c r="B148" t="str">
        <f>IF('TRA TECH'!M146=1,IF('TRA TECH'!L146=1,"PRE","*"),"*")</f>
        <v>*</v>
      </c>
      <c r="C148" t="str">
        <f>'TRA TECH'!J146</f>
        <v>TRAFRESLHICEVDSL20</v>
      </c>
      <c r="D148" t="str">
        <f>IF(B148="*","*",_xlfn.XLOOKUP(C148,'TRA TECH'!$J:$J,'TRA TECH'!$A:$A)&amp;" "&amp;_xlfn.XLOOKUP(C148,'TRA TECH'!$J:$J,'TRA TECH'!$B:$B)&amp;" "&amp;_xlfn.XLOOKUP(C148,'TRA TECH'!$J:$J,'TRA TECH'!$C:$C)&amp;" "&amp;_xlfn.XLOOKUP(C148,'TRA TECH'!$J:$J,'TRA TECH'!$F:$F))</f>
        <v>*</v>
      </c>
      <c r="E148" t="str">
        <f t="shared" si="2"/>
        <v>*</v>
      </c>
      <c r="F148" t="str">
        <f>IF(B148="*","*",_xlfn.XLOOKUP(C148,'TRA TECH'!J:J,'TRA TECH'!K:K))</f>
        <v>*</v>
      </c>
    </row>
    <row r="149" spans="2:6" x14ac:dyDescent="0.25">
      <c r="B149" t="str">
        <f>IF('TRA TECH'!M147=1,IF('TRA TECH'!L147=1,"PRE","*"),"*")</f>
        <v>PRE</v>
      </c>
      <c r="C149" t="str">
        <f>'TRA TECH'!J147</f>
        <v>TRAFRESLHICEIDSL20</v>
      </c>
      <c r="D149" t="str">
        <f>IF(B149="*","*",_xlfn.XLOOKUP(C149,'TRA TECH'!$J:$J,'TRA TECH'!$A:$A)&amp;" "&amp;_xlfn.XLOOKUP(C149,'TRA TECH'!$J:$J,'TRA TECH'!$B:$B)&amp;" "&amp;_xlfn.XLOOKUP(C149,'TRA TECH'!$J:$J,'TRA TECH'!$C:$C)&amp;" "&amp;_xlfn.XLOOKUP(C149,'TRA TECH'!$J:$J,'TRA TECH'!$F:$F))</f>
        <v>Transportation Freight Single Unit Long-haul Truck Diesel ICE Vehicle with Integrated Starter Generator</v>
      </c>
      <c r="E149" t="str">
        <f t="shared" si="2"/>
        <v>Mvkm</v>
      </c>
      <c r="F149" t="str">
        <f>IF(B149="*","*",_xlfn.XLOOKUP(C149,'TRA TECH'!J:J,'TRA TECH'!K:K))</f>
        <v>Mvkm</v>
      </c>
    </row>
    <row r="150" spans="2:6" x14ac:dyDescent="0.25">
      <c r="B150" t="str">
        <f>IF('TRA TECH'!M148=1,IF('TRA TECH'!L148=1,"PRE","*"),"*")</f>
        <v>*</v>
      </c>
      <c r="C150" t="str">
        <f>'TRA TECH'!J148</f>
        <v>TRAFRESLHICEIDSL20</v>
      </c>
      <c r="D150" t="str">
        <f>IF(B150="*","*",_xlfn.XLOOKUP(C150,'TRA TECH'!$J:$J,'TRA TECH'!$A:$A)&amp;" "&amp;_xlfn.XLOOKUP(C150,'TRA TECH'!$J:$J,'TRA TECH'!$B:$B)&amp;" "&amp;_xlfn.XLOOKUP(C150,'TRA TECH'!$J:$J,'TRA TECH'!$C:$C)&amp;" "&amp;_xlfn.XLOOKUP(C150,'TRA TECH'!$J:$J,'TRA TECH'!$F:$F))</f>
        <v>*</v>
      </c>
      <c r="E150" t="str">
        <f t="shared" si="2"/>
        <v>*</v>
      </c>
      <c r="F150" t="str">
        <f>IF(B150="*","*",_xlfn.XLOOKUP(C150,'TRA TECH'!J:J,'TRA TECH'!K:K))</f>
        <v>*</v>
      </c>
    </row>
    <row r="151" spans="2:6" x14ac:dyDescent="0.25">
      <c r="B151" t="str">
        <f>IF('TRA TECH'!M149=1,IF('TRA TECH'!L149=1,"PRE","*"),"*")</f>
        <v>*</v>
      </c>
      <c r="C151" t="str">
        <f>'TRA TECH'!J149</f>
        <v>TRAFRESLHICEIDSL20</v>
      </c>
      <c r="D151" t="str">
        <f>IF(B151="*","*",_xlfn.XLOOKUP(C151,'TRA TECH'!$J:$J,'TRA TECH'!$A:$A)&amp;" "&amp;_xlfn.XLOOKUP(C151,'TRA TECH'!$J:$J,'TRA TECH'!$B:$B)&amp;" "&amp;_xlfn.XLOOKUP(C151,'TRA TECH'!$J:$J,'TRA TECH'!$C:$C)&amp;" "&amp;_xlfn.XLOOKUP(C151,'TRA TECH'!$J:$J,'TRA TECH'!$F:$F))</f>
        <v>*</v>
      </c>
      <c r="E151" t="str">
        <f t="shared" si="2"/>
        <v>*</v>
      </c>
      <c r="F151" t="str">
        <f>IF(B151="*","*",_xlfn.XLOOKUP(C151,'TRA TECH'!J:J,'TRA TECH'!K:K))</f>
        <v>*</v>
      </c>
    </row>
    <row r="152" spans="2:6" x14ac:dyDescent="0.25">
      <c r="B152" t="str">
        <f>IF('TRA TECH'!M150=1,IF('TRA TECH'!L150=1,"PRE","*"),"*")</f>
        <v>PRE</v>
      </c>
      <c r="C152" t="str">
        <f>'TRA TECH'!J150</f>
        <v>TRAFRESLHHEVPDSL20</v>
      </c>
      <c r="D152" t="str">
        <f>IF(B152="*","*",_xlfn.XLOOKUP(C152,'TRA TECH'!$J:$J,'TRA TECH'!$A:$A)&amp;" "&amp;_xlfn.XLOOKUP(C152,'TRA TECH'!$J:$J,'TRA TECH'!$B:$B)&amp;" "&amp;_xlfn.XLOOKUP(C152,'TRA TECH'!$J:$J,'TRA TECH'!$C:$C)&amp;" "&amp;_xlfn.XLOOKUP(C152,'TRA TECH'!$J:$J,'TRA TECH'!$F:$F))</f>
        <v>Transportation Freight Single Unit Long-haul Truck Diesel Parallel Hybrid Electric Vehicle</v>
      </c>
      <c r="E152" t="str">
        <f t="shared" si="2"/>
        <v>Mvkm</v>
      </c>
      <c r="F152" t="str">
        <f>IF(B152="*","*",_xlfn.XLOOKUP(C152,'TRA TECH'!J:J,'TRA TECH'!K:K))</f>
        <v>Mvkm</v>
      </c>
    </row>
    <row r="153" spans="2:6" x14ac:dyDescent="0.25">
      <c r="B153" t="str">
        <f>IF('TRA TECH'!M151=1,IF('TRA TECH'!L151=1,"PRE","*"),"*")</f>
        <v>*</v>
      </c>
      <c r="C153" t="str">
        <f>'TRA TECH'!J151</f>
        <v>TRAFRESLHHEVPDSL20</v>
      </c>
      <c r="D153" t="str">
        <f>IF(B153="*","*",_xlfn.XLOOKUP(C153,'TRA TECH'!$J:$J,'TRA TECH'!$A:$A)&amp;" "&amp;_xlfn.XLOOKUP(C153,'TRA TECH'!$J:$J,'TRA TECH'!$B:$B)&amp;" "&amp;_xlfn.XLOOKUP(C153,'TRA TECH'!$J:$J,'TRA TECH'!$C:$C)&amp;" "&amp;_xlfn.XLOOKUP(C153,'TRA TECH'!$J:$J,'TRA TECH'!$F:$F))</f>
        <v>*</v>
      </c>
      <c r="E153" t="str">
        <f t="shared" si="2"/>
        <v>*</v>
      </c>
      <c r="F153" t="str">
        <f>IF(B153="*","*",_xlfn.XLOOKUP(C153,'TRA TECH'!J:J,'TRA TECH'!K:K))</f>
        <v>*</v>
      </c>
    </row>
    <row r="154" spans="2:6" x14ac:dyDescent="0.25">
      <c r="B154" t="str">
        <f>IF('TRA TECH'!M152=1,IF('TRA TECH'!L152=1,"PRE","*"),"*")</f>
        <v>*</v>
      </c>
      <c r="C154" t="str">
        <f>'TRA TECH'!J152</f>
        <v>TRAFRESLHHEVPDSL20</v>
      </c>
      <c r="D154" t="str">
        <f>IF(B154="*","*",_xlfn.XLOOKUP(C154,'TRA TECH'!$J:$J,'TRA TECH'!$A:$A)&amp;" "&amp;_xlfn.XLOOKUP(C154,'TRA TECH'!$J:$J,'TRA TECH'!$B:$B)&amp;" "&amp;_xlfn.XLOOKUP(C154,'TRA TECH'!$J:$J,'TRA TECH'!$C:$C)&amp;" "&amp;_xlfn.XLOOKUP(C154,'TRA TECH'!$J:$J,'TRA TECH'!$F:$F))</f>
        <v>*</v>
      </c>
      <c r="E154" t="str">
        <f t="shared" si="2"/>
        <v>*</v>
      </c>
      <c r="F154" t="str">
        <f>IF(B154="*","*",_xlfn.XLOOKUP(C154,'TRA TECH'!J:J,'TRA TECH'!K:K))</f>
        <v>*</v>
      </c>
    </row>
    <row r="155" spans="2:6" x14ac:dyDescent="0.25">
      <c r="B155" t="str">
        <f>IF('TRA TECH'!M153=1,IF('TRA TECH'!L153=1,"PRE","*"),"*")</f>
        <v>PRE</v>
      </c>
      <c r="C155" t="str">
        <f>'TRA TECH'!J153</f>
        <v>TRAFRESLHPHEVDSL20</v>
      </c>
      <c r="D155" t="str">
        <f>IF(B155="*","*",_xlfn.XLOOKUP(C155,'TRA TECH'!$J:$J,'TRA TECH'!$A:$A)&amp;" "&amp;_xlfn.XLOOKUP(C155,'TRA TECH'!$J:$J,'TRA TECH'!$B:$B)&amp;" "&amp;_xlfn.XLOOKUP(C155,'TRA TECH'!$J:$J,'TRA TECH'!$C:$C)&amp;" "&amp;_xlfn.XLOOKUP(C155,'TRA TECH'!$J:$J,'TRA TECH'!$F:$F))</f>
        <v>Transportation Freight Single Unit Long-haul Truck Diesel Series Plug-in Hybrid Electric Vehicle</v>
      </c>
      <c r="E155" t="str">
        <f t="shared" si="2"/>
        <v>Mvkm</v>
      </c>
      <c r="F155" t="str">
        <f>IF(B155="*","*",_xlfn.XLOOKUP(C155,'TRA TECH'!J:J,'TRA TECH'!K:K))</f>
        <v>Mvkm</v>
      </c>
    </row>
    <row r="156" spans="2:6" x14ac:dyDescent="0.25">
      <c r="B156" t="str">
        <f>IF('TRA TECH'!M154=1,IF('TRA TECH'!L154=1,"PRE","*"),"*")</f>
        <v>*</v>
      </c>
      <c r="C156" t="str">
        <f>'TRA TECH'!J154</f>
        <v>TRAFRESLHPHEVDSL20</v>
      </c>
      <c r="D156" t="str">
        <f>IF(B156="*","*",_xlfn.XLOOKUP(C156,'TRA TECH'!$J:$J,'TRA TECH'!$A:$A)&amp;" "&amp;_xlfn.XLOOKUP(C156,'TRA TECH'!$J:$J,'TRA TECH'!$B:$B)&amp;" "&amp;_xlfn.XLOOKUP(C156,'TRA TECH'!$J:$J,'TRA TECH'!$C:$C)&amp;" "&amp;_xlfn.XLOOKUP(C156,'TRA TECH'!$J:$J,'TRA TECH'!$F:$F))</f>
        <v>*</v>
      </c>
      <c r="E156" t="str">
        <f t="shared" si="2"/>
        <v>*</v>
      </c>
      <c r="F156" t="str">
        <f>IF(B156="*","*",_xlfn.XLOOKUP(C156,'TRA TECH'!J:J,'TRA TECH'!K:K))</f>
        <v>*</v>
      </c>
    </row>
    <row r="157" spans="2:6" x14ac:dyDescent="0.25">
      <c r="B157" t="str">
        <f>IF('TRA TECH'!M155=1,IF('TRA TECH'!L155=1,"PRE","*"),"*")</f>
        <v>*</v>
      </c>
      <c r="C157" t="str">
        <f>'TRA TECH'!J155</f>
        <v>TRAFRESLHPHEVDSL20</v>
      </c>
      <c r="D157" t="str">
        <f>IF(B157="*","*",_xlfn.XLOOKUP(C157,'TRA TECH'!$J:$J,'TRA TECH'!$A:$A)&amp;" "&amp;_xlfn.XLOOKUP(C157,'TRA TECH'!$J:$J,'TRA TECH'!$B:$B)&amp;" "&amp;_xlfn.XLOOKUP(C157,'TRA TECH'!$J:$J,'TRA TECH'!$C:$C)&amp;" "&amp;_xlfn.XLOOKUP(C157,'TRA TECH'!$J:$J,'TRA TECH'!$F:$F))</f>
        <v>*</v>
      </c>
      <c r="E157" t="str">
        <f t="shared" si="2"/>
        <v>*</v>
      </c>
      <c r="F157" t="str">
        <f>IF(B157="*","*",_xlfn.XLOOKUP(C157,'TRA TECH'!J:J,'TRA TECH'!K:K))</f>
        <v>*</v>
      </c>
    </row>
    <row r="158" spans="2:6" x14ac:dyDescent="0.25">
      <c r="B158" t="str">
        <f>IF('TRA TECH'!M156=1,IF('TRA TECH'!L156=1,"PRE","*"),"*")</f>
        <v>*</v>
      </c>
      <c r="C158" t="str">
        <f>'TRA TECH'!J156</f>
        <v>TRAFRESLHPHEVDSL20</v>
      </c>
      <c r="D158" t="str">
        <f>IF(B158="*","*",_xlfn.XLOOKUP(C158,'TRA TECH'!$J:$J,'TRA TECH'!$A:$A)&amp;" "&amp;_xlfn.XLOOKUP(C158,'TRA TECH'!$J:$J,'TRA TECH'!$B:$B)&amp;" "&amp;_xlfn.XLOOKUP(C158,'TRA TECH'!$J:$J,'TRA TECH'!$C:$C)&amp;" "&amp;_xlfn.XLOOKUP(C158,'TRA TECH'!$J:$J,'TRA TECH'!$F:$F))</f>
        <v>*</v>
      </c>
      <c r="E158" t="str">
        <f t="shared" si="2"/>
        <v>*</v>
      </c>
      <c r="F158" t="str">
        <f>IF(B158="*","*",_xlfn.XLOOKUP(C158,'TRA TECH'!J:J,'TRA TECH'!K:K))</f>
        <v>*</v>
      </c>
    </row>
    <row r="159" spans="2:6" x14ac:dyDescent="0.25">
      <c r="B159" t="str">
        <f>IF('TRA TECH'!M157=1,IF('TRA TECH'!L157=1,"PRE","*"),"*")</f>
        <v>PRE</v>
      </c>
      <c r="C159" t="str">
        <f>'TRA TECH'!J157</f>
        <v>TRAFRESLHFCEV20</v>
      </c>
      <c r="D159" t="str">
        <f>IF(B159="*","*",_xlfn.XLOOKUP(C159,'TRA TECH'!$J:$J,'TRA TECH'!$A:$A)&amp;" "&amp;_xlfn.XLOOKUP(C159,'TRA TECH'!$J:$J,'TRA TECH'!$B:$B)&amp;" "&amp;_xlfn.XLOOKUP(C159,'TRA TECH'!$J:$J,'TRA TECH'!$C:$C)&amp;" "&amp;_xlfn.XLOOKUP(C159,'TRA TECH'!$J:$J,'TRA TECH'!$F:$F))</f>
        <v>Transportation Freight Single Unit Long-haul Truck Hydrogen Fuel Cell Electric Vehicle</v>
      </c>
      <c r="E159" t="str">
        <f t="shared" si="2"/>
        <v>Mvkm</v>
      </c>
      <c r="F159" t="str">
        <f>IF(B159="*","*",_xlfn.XLOOKUP(C159,'TRA TECH'!J:J,'TRA TECH'!K:K))</f>
        <v>Mvkm</v>
      </c>
    </row>
    <row r="160" spans="2:6" x14ac:dyDescent="0.25">
      <c r="B160" t="str">
        <f>IF('TRA TECH'!M158=1,IF('TRA TECH'!L158=1,"PRE","*"),"*")</f>
        <v>PRE</v>
      </c>
      <c r="C160" t="str">
        <f>'TRA TECH'!J158</f>
        <v>TRAFRESLHFCHEV20</v>
      </c>
      <c r="D160" t="str">
        <f>IF(B160="*","*",_xlfn.XLOOKUP(C160,'TRA TECH'!$J:$J,'TRA TECH'!$A:$A)&amp;" "&amp;_xlfn.XLOOKUP(C160,'TRA TECH'!$J:$J,'TRA TECH'!$B:$B)&amp;" "&amp;_xlfn.XLOOKUP(C160,'TRA TECH'!$J:$J,'TRA TECH'!$C:$C)&amp;" "&amp;_xlfn.XLOOKUP(C160,'TRA TECH'!$J:$J,'TRA TECH'!$F:$F))</f>
        <v>Transportation Freight Single Unit Long-haul Truck Hydrogen Fuel Cell Hybrid Electric Vehicle</v>
      </c>
      <c r="E160" t="str">
        <f t="shared" si="2"/>
        <v>Mvkm</v>
      </c>
      <c r="F160" t="str">
        <f>IF(B160="*","*",_xlfn.XLOOKUP(C160,'TRA TECH'!J:J,'TRA TECH'!K:K))</f>
        <v>Mvkm</v>
      </c>
    </row>
    <row r="161" spans="2:6" x14ac:dyDescent="0.25">
      <c r="B161" t="str">
        <f>IF('TRA TECH'!M159=1,IF('TRA TECH'!L159=1,"PRE","*"),"*")</f>
        <v>*</v>
      </c>
      <c r="C161" t="str">
        <f>'TRA TECH'!J159</f>
        <v>TRAFRESLHFCHEV20</v>
      </c>
      <c r="D161" t="str">
        <f>IF(B161="*","*",_xlfn.XLOOKUP(C161,'TRA TECH'!$J:$J,'TRA TECH'!$A:$A)&amp;" "&amp;_xlfn.XLOOKUP(C161,'TRA TECH'!$J:$J,'TRA TECH'!$B:$B)&amp;" "&amp;_xlfn.XLOOKUP(C161,'TRA TECH'!$J:$J,'TRA TECH'!$C:$C)&amp;" "&amp;_xlfn.XLOOKUP(C161,'TRA TECH'!$J:$J,'TRA TECH'!$F:$F))</f>
        <v>*</v>
      </c>
      <c r="E161" t="str">
        <f t="shared" si="2"/>
        <v>*</v>
      </c>
      <c r="F161" t="str">
        <f>IF(B161="*","*",_xlfn.XLOOKUP(C161,'TRA TECH'!J:J,'TRA TECH'!K:K))</f>
        <v>*</v>
      </c>
    </row>
    <row r="162" spans="2:6" x14ac:dyDescent="0.25">
      <c r="B162" t="str">
        <f>IF('TRA TECH'!M160=1,IF('TRA TECH'!L160=1,"PRE","*"),"*")</f>
        <v>PRE</v>
      </c>
      <c r="C162" t="str">
        <f>'TRA TECH'!J160</f>
        <v>TRAFRESLHBEV20</v>
      </c>
      <c r="D162" t="str">
        <f>IF(B162="*","*",_xlfn.XLOOKUP(C162,'TRA TECH'!$J:$J,'TRA TECH'!$A:$A)&amp;" "&amp;_xlfn.XLOOKUP(C162,'TRA TECH'!$J:$J,'TRA TECH'!$B:$B)&amp;" "&amp;_xlfn.XLOOKUP(C162,'TRA TECH'!$J:$J,'TRA TECH'!$C:$C)&amp;" "&amp;_xlfn.XLOOKUP(C162,'TRA TECH'!$J:$J,'TRA TECH'!$F:$F))</f>
        <v>Transportation Freight Single Unit Long-haul Truck Battery Electric Vehicle</v>
      </c>
      <c r="E162" t="str">
        <f t="shared" si="2"/>
        <v>Mvkm</v>
      </c>
      <c r="F162" t="str">
        <f>IF(B162="*","*",_xlfn.XLOOKUP(C162,'TRA TECH'!J:J,'TRA TECH'!K:K))</f>
        <v>Mvkm</v>
      </c>
    </row>
    <row r="163" spans="2:6" x14ac:dyDescent="0.25">
      <c r="B163" t="str">
        <f>IF('TRA TECH'!M161=1,IF('TRA TECH'!L161=1,"PRE","*"),"*")</f>
        <v>PRE</v>
      </c>
      <c r="C163" t="str">
        <f>'TRA TECH'!J161</f>
        <v>TRAFRESSHICEVDSL20</v>
      </c>
      <c r="D163" t="str">
        <f>IF(B163="*","*",_xlfn.XLOOKUP(C163,'TRA TECH'!$J:$J,'TRA TECH'!$A:$A)&amp;" "&amp;_xlfn.XLOOKUP(C163,'TRA TECH'!$J:$J,'TRA TECH'!$B:$B)&amp;" "&amp;_xlfn.XLOOKUP(C163,'TRA TECH'!$J:$J,'TRA TECH'!$C:$C)&amp;" "&amp;_xlfn.XLOOKUP(C163,'TRA TECH'!$J:$J,'TRA TECH'!$F:$F))</f>
        <v>Transportation Freight Single Unit Short-haul Truck Diesel ICE Vehicle</v>
      </c>
      <c r="E163" t="str">
        <f t="shared" si="2"/>
        <v>Mvkm</v>
      </c>
      <c r="F163" t="str">
        <f>IF(B163="*","*",_xlfn.XLOOKUP(C163,'TRA TECH'!J:J,'TRA TECH'!K:K))</f>
        <v>Mvkm</v>
      </c>
    </row>
    <row r="164" spans="2:6" x14ac:dyDescent="0.25">
      <c r="B164" t="str">
        <f>IF('TRA TECH'!M162=1,IF('TRA TECH'!L162=1,"PRE","*"),"*")</f>
        <v>*</v>
      </c>
      <c r="C164" t="str">
        <f>'TRA TECH'!J162</f>
        <v>TRAFRESSHICEVDSL20</v>
      </c>
      <c r="D164" t="str">
        <f>IF(B164="*","*",_xlfn.XLOOKUP(C164,'TRA TECH'!$J:$J,'TRA TECH'!$A:$A)&amp;" "&amp;_xlfn.XLOOKUP(C164,'TRA TECH'!$J:$J,'TRA TECH'!$B:$B)&amp;" "&amp;_xlfn.XLOOKUP(C164,'TRA TECH'!$J:$J,'TRA TECH'!$C:$C)&amp;" "&amp;_xlfn.XLOOKUP(C164,'TRA TECH'!$J:$J,'TRA TECH'!$F:$F))</f>
        <v>*</v>
      </c>
      <c r="E164" t="str">
        <f t="shared" si="2"/>
        <v>*</v>
      </c>
      <c r="F164" t="str">
        <f>IF(B164="*","*",_xlfn.XLOOKUP(C164,'TRA TECH'!J:J,'TRA TECH'!K:K))</f>
        <v>*</v>
      </c>
    </row>
    <row r="165" spans="2:6" x14ac:dyDescent="0.25">
      <c r="B165" t="str">
        <f>IF('TRA TECH'!M163=1,IF('TRA TECH'!L163=1,"PRE","*"),"*")</f>
        <v>*</v>
      </c>
      <c r="C165" t="str">
        <f>'TRA TECH'!J163</f>
        <v>TRAFRESSHICEVDSL20</v>
      </c>
      <c r="D165" t="str">
        <f>IF(B165="*","*",_xlfn.XLOOKUP(C165,'TRA TECH'!$J:$J,'TRA TECH'!$A:$A)&amp;" "&amp;_xlfn.XLOOKUP(C165,'TRA TECH'!$J:$J,'TRA TECH'!$B:$B)&amp;" "&amp;_xlfn.XLOOKUP(C165,'TRA TECH'!$J:$J,'TRA TECH'!$C:$C)&amp;" "&amp;_xlfn.XLOOKUP(C165,'TRA TECH'!$J:$J,'TRA TECH'!$F:$F))</f>
        <v>*</v>
      </c>
      <c r="E165" t="str">
        <f t="shared" si="2"/>
        <v>*</v>
      </c>
      <c r="F165" t="str">
        <f>IF(B165="*","*",_xlfn.XLOOKUP(C165,'TRA TECH'!J:J,'TRA TECH'!K:K))</f>
        <v>*</v>
      </c>
    </row>
    <row r="166" spans="2:6" x14ac:dyDescent="0.25">
      <c r="B166" t="str">
        <f>IF('TRA TECH'!M164=1,IF('TRA TECH'!L164=1,"PRE","*"),"*")</f>
        <v>PRE</v>
      </c>
      <c r="C166" t="str">
        <f>'TRA TECH'!J164</f>
        <v>TRAFRESSHICEIDSL20</v>
      </c>
      <c r="D166" t="str">
        <f>IF(B166="*","*",_xlfn.XLOOKUP(C166,'TRA TECH'!$J:$J,'TRA TECH'!$A:$A)&amp;" "&amp;_xlfn.XLOOKUP(C166,'TRA TECH'!$J:$J,'TRA TECH'!$B:$B)&amp;" "&amp;_xlfn.XLOOKUP(C166,'TRA TECH'!$J:$J,'TRA TECH'!$C:$C)&amp;" "&amp;_xlfn.XLOOKUP(C166,'TRA TECH'!$J:$J,'TRA TECH'!$F:$F))</f>
        <v>Transportation Freight Single Unit Short-haul Truck Diesel ICE Vehicle with Integrated Starter Generator</v>
      </c>
      <c r="E166" t="str">
        <f t="shared" si="2"/>
        <v>Mvkm</v>
      </c>
      <c r="F166" t="str">
        <f>IF(B166="*","*",_xlfn.XLOOKUP(C166,'TRA TECH'!J:J,'TRA TECH'!K:K))</f>
        <v>Mvkm</v>
      </c>
    </row>
    <row r="167" spans="2:6" x14ac:dyDescent="0.25">
      <c r="B167" t="str">
        <f>IF('TRA TECH'!M165=1,IF('TRA TECH'!L165=1,"PRE","*"),"*")</f>
        <v>*</v>
      </c>
      <c r="C167" t="str">
        <f>'TRA TECH'!J165</f>
        <v>TRAFRESSHICEIDSL20</v>
      </c>
      <c r="D167" t="str">
        <f>IF(B167="*","*",_xlfn.XLOOKUP(C167,'TRA TECH'!$J:$J,'TRA TECH'!$A:$A)&amp;" "&amp;_xlfn.XLOOKUP(C167,'TRA TECH'!$J:$J,'TRA TECH'!$B:$B)&amp;" "&amp;_xlfn.XLOOKUP(C167,'TRA TECH'!$J:$J,'TRA TECH'!$C:$C)&amp;" "&amp;_xlfn.XLOOKUP(C167,'TRA TECH'!$J:$J,'TRA TECH'!$F:$F))</f>
        <v>*</v>
      </c>
      <c r="E167" t="str">
        <f t="shared" si="2"/>
        <v>*</v>
      </c>
      <c r="F167" t="str">
        <f>IF(B167="*","*",_xlfn.XLOOKUP(C167,'TRA TECH'!J:J,'TRA TECH'!K:K))</f>
        <v>*</v>
      </c>
    </row>
    <row r="168" spans="2:6" x14ac:dyDescent="0.25">
      <c r="B168" t="str">
        <f>IF('TRA TECH'!M166=1,IF('TRA TECH'!L166=1,"PRE","*"),"*")</f>
        <v>*</v>
      </c>
      <c r="C168" t="str">
        <f>'TRA TECH'!J166</f>
        <v>TRAFRESSHICEIDSL20</v>
      </c>
      <c r="D168" t="str">
        <f>IF(B168="*","*",_xlfn.XLOOKUP(C168,'TRA TECH'!$J:$J,'TRA TECH'!$A:$A)&amp;" "&amp;_xlfn.XLOOKUP(C168,'TRA TECH'!$J:$J,'TRA TECH'!$B:$B)&amp;" "&amp;_xlfn.XLOOKUP(C168,'TRA TECH'!$J:$J,'TRA TECH'!$C:$C)&amp;" "&amp;_xlfn.XLOOKUP(C168,'TRA TECH'!$J:$J,'TRA TECH'!$F:$F))</f>
        <v>*</v>
      </c>
      <c r="E168" t="str">
        <f t="shared" si="2"/>
        <v>*</v>
      </c>
      <c r="F168" t="str">
        <f>IF(B168="*","*",_xlfn.XLOOKUP(C168,'TRA TECH'!J:J,'TRA TECH'!K:K))</f>
        <v>*</v>
      </c>
    </row>
    <row r="169" spans="2:6" x14ac:dyDescent="0.25">
      <c r="B169" t="str">
        <f>IF('TRA TECH'!M167=1,IF('TRA TECH'!L167=1,"PRE","*"),"*")</f>
        <v>PRE</v>
      </c>
      <c r="C169" t="str">
        <f>'TRA TECH'!J167</f>
        <v>TRAFRESSHHEVPDSL20</v>
      </c>
      <c r="D169" t="str">
        <f>IF(B169="*","*",_xlfn.XLOOKUP(C169,'TRA TECH'!$J:$J,'TRA TECH'!$A:$A)&amp;" "&amp;_xlfn.XLOOKUP(C169,'TRA TECH'!$J:$J,'TRA TECH'!$B:$B)&amp;" "&amp;_xlfn.XLOOKUP(C169,'TRA TECH'!$J:$J,'TRA TECH'!$C:$C)&amp;" "&amp;_xlfn.XLOOKUP(C169,'TRA TECH'!$J:$J,'TRA TECH'!$F:$F))</f>
        <v>Transportation Freight Single Unit Short-haul Truck Diesel Parallel Hybrid Electric Vehicle</v>
      </c>
      <c r="E169" t="str">
        <f t="shared" si="2"/>
        <v>Mvkm</v>
      </c>
      <c r="F169" t="str">
        <f>IF(B169="*","*",_xlfn.XLOOKUP(C169,'TRA TECH'!J:J,'TRA TECH'!K:K))</f>
        <v>Mvkm</v>
      </c>
    </row>
    <row r="170" spans="2:6" x14ac:dyDescent="0.25">
      <c r="B170" t="str">
        <f>IF('TRA TECH'!M168=1,IF('TRA TECH'!L168=1,"PRE","*"),"*")</f>
        <v>*</v>
      </c>
      <c r="C170" t="str">
        <f>'TRA TECH'!J168</f>
        <v>TRAFRESSHHEVPDSL20</v>
      </c>
      <c r="D170" t="str">
        <f>IF(B170="*","*",_xlfn.XLOOKUP(C170,'TRA TECH'!$J:$J,'TRA TECH'!$A:$A)&amp;" "&amp;_xlfn.XLOOKUP(C170,'TRA TECH'!$J:$J,'TRA TECH'!$B:$B)&amp;" "&amp;_xlfn.XLOOKUP(C170,'TRA TECH'!$J:$J,'TRA TECH'!$C:$C)&amp;" "&amp;_xlfn.XLOOKUP(C170,'TRA TECH'!$J:$J,'TRA TECH'!$F:$F))</f>
        <v>*</v>
      </c>
      <c r="E170" t="str">
        <f t="shared" si="2"/>
        <v>*</v>
      </c>
      <c r="F170" t="str">
        <f>IF(B170="*","*",_xlfn.XLOOKUP(C170,'TRA TECH'!J:J,'TRA TECH'!K:K))</f>
        <v>*</v>
      </c>
    </row>
    <row r="171" spans="2:6" x14ac:dyDescent="0.25">
      <c r="B171" t="str">
        <f>IF('TRA TECH'!M169=1,IF('TRA TECH'!L169=1,"PRE","*"),"*")</f>
        <v>*</v>
      </c>
      <c r="C171" t="str">
        <f>'TRA TECH'!J169</f>
        <v>TRAFRESSHHEVPDSL20</v>
      </c>
      <c r="D171" t="str">
        <f>IF(B171="*","*",_xlfn.XLOOKUP(C171,'TRA TECH'!$J:$J,'TRA TECH'!$A:$A)&amp;" "&amp;_xlfn.XLOOKUP(C171,'TRA TECH'!$J:$J,'TRA TECH'!$B:$B)&amp;" "&amp;_xlfn.XLOOKUP(C171,'TRA TECH'!$J:$J,'TRA TECH'!$C:$C)&amp;" "&amp;_xlfn.XLOOKUP(C171,'TRA TECH'!$J:$J,'TRA TECH'!$F:$F))</f>
        <v>*</v>
      </c>
      <c r="E171" t="str">
        <f t="shared" si="2"/>
        <v>*</v>
      </c>
      <c r="F171" t="str">
        <f>IF(B171="*","*",_xlfn.XLOOKUP(C171,'TRA TECH'!J:J,'TRA TECH'!K:K))</f>
        <v>*</v>
      </c>
    </row>
    <row r="172" spans="2:6" x14ac:dyDescent="0.25">
      <c r="B172" t="str">
        <f>IF('TRA TECH'!M170=1,IF('TRA TECH'!L170=1,"PRE","*"),"*")</f>
        <v>PRE</v>
      </c>
      <c r="C172" t="str">
        <f>'TRA TECH'!J170</f>
        <v>TRAFRESSHPHEVDSL20</v>
      </c>
      <c r="D172" t="str">
        <f>IF(B172="*","*",_xlfn.XLOOKUP(C172,'TRA TECH'!$J:$J,'TRA TECH'!$A:$A)&amp;" "&amp;_xlfn.XLOOKUP(C172,'TRA TECH'!$J:$J,'TRA TECH'!$B:$B)&amp;" "&amp;_xlfn.XLOOKUP(C172,'TRA TECH'!$J:$J,'TRA TECH'!$C:$C)&amp;" "&amp;_xlfn.XLOOKUP(C172,'TRA TECH'!$J:$J,'TRA TECH'!$F:$F))</f>
        <v>Transportation Freight Single Unit Short-haul Truck Diesel Series Plug-in Hybrid Electric Vehicle</v>
      </c>
      <c r="E172" t="str">
        <f t="shared" si="2"/>
        <v>Mvkm</v>
      </c>
      <c r="F172" t="str">
        <f>IF(B172="*","*",_xlfn.XLOOKUP(C172,'TRA TECH'!J:J,'TRA TECH'!K:K))</f>
        <v>Mvkm</v>
      </c>
    </row>
    <row r="173" spans="2:6" x14ac:dyDescent="0.25">
      <c r="B173" t="str">
        <f>IF('TRA TECH'!M171=1,IF('TRA TECH'!L171=1,"PRE","*"),"*")</f>
        <v>*</v>
      </c>
      <c r="C173" t="str">
        <f>'TRA TECH'!J171</f>
        <v>TRAFRESSHPHEVDSL20</v>
      </c>
      <c r="D173" t="str">
        <f>IF(B173="*","*",_xlfn.XLOOKUP(C173,'TRA TECH'!$J:$J,'TRA TECH'!$A:$A)&amp;" "&amp;_xlfn.XLOOKUP(C173,'TRA TECH'!$J:$J,'TRA TECH'!$B:$B)&amp;" "&amp;_xlfn.XLOOKUP(C173,'TRA TECH'!$J:$J,'TRA TECH'!$C:$C)&amp;" "&amp;_xlfn.XLOOKUP(C173,'TRA TECH'!$J:$J,'TRA TECH'!$F:$F))</f>
        <v>*</v>
      </c>
      <c r="E173" t="str">
        <f t="shared" si="2"/>
        <v>*</v>
      </c>
      <c r="F173" t="str">
        <f>IF(B173="*","*",_xlfn.XLOOKUP(C173,'TRA TECH'!J:J,'TRA TECH'!K:K))</f>
        <v>*</v>
      </c>
    </row>
    <row r="174" spans="2:6" x14ac:dyDescent="0.25">
      <c r="B174" t="str">
        <f>IF('TRA TECH'!M172=1,IF('TRA TECH'!L172=1,"PRE","*"),"*")</f>
        <v>*</v>
      </c>
      <c r="C174" t="str">
        <f>'TRA TECH'!J172</f>
        <v>TRAFRESSHPHEVDSL20</v>
      </c>
      <c r="D174" t="str">
        <f>IF(B174="*","*",_xlfn.XLOOKUP(C174,'TRA TECH'!$J:$J,'TRA TECH'!$A:$A)&amp;" "&amp;_xlfn.XLOOKUP(C174,'TRA TECH'!$J:$J,'TRA TECH'!$B:$B)&amp;" "&amp;_xlfn.XLOOKUP(C174,'TRA TECH'!$J:$J,'TRA TECH'!$C:$C)&amp;" "&amp;_xlfn.XLOOKUP(C174,'TRA TECH'!$J:$J,'TRA TECH'!$F:$F))</f>
        <v>*</v>
      </c>
      <c r="E174" t="str">
        <f t="shared" si="2"/>
        <v>*</v>
      </c>
      <c r="F174" t="str">
        <f>IF(B174="*","*",_xlfn.XLOOKUP(C174,'TRA TECH'!J:J,'TRA TECH'!K:K))</f>
        <v>*</v>
      </c>
    </row>
    <row r="175" spans="2:6" x14ac:dyDescent="0.25">
      <c r="B175" t="str">
        <f>IF('TRA TECH'!M173=1,IF('TRA TECH'!L173=1,"PRE","*"),"*")</f>
        <v>*</v>
      </c>
      <c r="C175" t="str">
        <f>'TRA TECH'!J173</f>
        <v>TRAFRESSHPHEVDSL20</v>
      </c>
      <c r="D175" t="str">
        <f>IF(B175="*","*",_xlfn.XLOOKUP(C175,'TRA TECH'!$J:$J,'TRA TECH'!$A:$A)&amp;" "&amp;_xlfn.XLOOKUP(C175,'TRA TECH'!$J:$J,'TRA TECH'!$B:$B)&amp;" "&amp;_xlfn.XLOOKUP(C175,'TRA TECH'!$J:$J,'TRA TECH'!$C:$C)&amp;" "&amp;_xlfn.XLOOKUP(C175,'TRA TECH'!$J:$J,'TRA TECH'!$F:$F))</f>
        <v>*</v>
      </c>
      <c r="E175" t="str">
        <f t="shared" si="2"/>
        <v>*</v>
      </c>
      <c r="F175" t="str">
        <f>IF(B175="*","*",_xlfn.XLOOKUP(C175,'TRA TECH'!J:J,'TRA TECH'!K:K))</f>
        <v>*</v>
      </c>
    </row>
    <row r="176" spans="2:6" x14ac:dyDescent="0.25">
      <c r="B176" t="str">
        <f>IF('TRA TECH'!M174=1,IF('TRA TECH'!L174=1,"PRE","*"),"*")</f>
        <v>PRE</v>
      </c>
      <c r="C176" t="str">
        <f>'TRA TECH'!J174</f>
        <v>TRAFRESSHFCEV20</v>
      </c>
      <c r="D176" t="str">
        <f>IF(B176="*","*",_xlfn.XLOOKUP(C176,'TRA TECH'!$J:$J,'TRA TECH'!$A:$A)&amp;" "&amp;_xlfn.XLOOKUP(C176,'TRA TECH'!$J:$J,'TRA TECH'!$B:$B)&amp;" "&amp;_xlfn.XLOOKUP(C176,'TRA TECH'!$J:$J,'TRA TECH'!$C:$C)&amp;" "&amp;_xlfn.XLOOKUP(C176,'TRA TECH'!$J:$J,'TRA TECH'!$F:$F))</f>
        <v>Transportation Freight Single Unit Short-haul Truck Hydrogen Fuel Cell Electric Vehicle</v>
      </c>
      <c r="E176" t="str">
        <f t="shared" si="2"/>
        <v>Mvkm</v>
      </c>
      <c r="F176" t="str">
        <f>IF(B176="*","*",_xlfn.XLOOKUP(C176,'TRA TECH'!J:J,'TRA TECH'!K:K))</f>
        <v>Mvkm</v>
      </c>
    </row>
    <row r="177" spans="2:6" x14ac:dyDescent="0.25">
      <c r="B177" t="str">
        <f>IF('TRA TECH'!M175=1,IF('TRA TECH'!L175=1,"PRE","*"),"*")</f>
        <v>PRE</v>
      </c>
      <c r="C177" t="str">
        <f>'TRA TECH'!J175</f>
        <v>TRAFRESSHFCHEV20</v>
      </c>
      <c r="D177" t="str">
        <f>IF(B177="*","*",_xlfn.XLOOKUP(C177,'TRA TECH'!$J:$J,'TRA TECH'!$A:$A)&amp;" "&amp;_xlfn.XLOOKUP(C177,'TRA TECH'!$J:$J,'TRA TECH'!$B:$B)&amp;" "&amp;_xlfn.XLOOKUP(C177,'TRA TECH'!$J:$J,'TRA TECH'!$C:$C)&amp;" "&amp;_xlfn.XLOOKUP(C177,'TRA TECH'!$J:$J,'TRA TECH'!$F:$F))</f>
        <v>Transportation Freight Single Unit Short-haul Truck Hydrogen Fuel Cell Hybrid Electric Vehicle</v>
      </c>
      <c r="E177" t="str">
        <f t="shared" si="2"/>
        <v>Mvkm</v>
      </c>
      <c r="F177" t="str">
        <f>IF(B177="*","*",_xlfn.XLOOKUP(C177,'TRA TECH'!J:J,'TRA TECH'!K:K))</f>
        <v>Mvkm</v>
      </c>
    </row>
    <row r="178" spans="2:6" x14ac:dyDescent="0.25">
      <c r="B178" t="str">
        <f>IF('TRA TECH'!M176=1,IF('TRA TECH'!L176=1,"PRE","*"),"*")</f>
        <v>*</v>
      </c>
      <c r="C178" t="str">
        <f>'TRA TECH'!J176</f>
        <v>TRAFRESSHFCHEV20</v>
      </c>
      <c r="D178" t="str">
        <f>IF(B178="*","*",_xlfn.XLOOKUP(C178,'TRA TECH'!$J:$J,'TRA TECH'!$A:$A)&amp;" "&amp;_xlfn.XLOOKUP(C178,'TRA TECH'!$J:$J,'TRA TECH'!$B:$B)&amp;" "&amp;_xlfn.XLOOKUP(C178,'TRA TECH'!$J:$J,'TRA TECH'!$C:$C)&amp;" "&amp;_xlfn.XLOOKUP(C178,'TRA TECH'!$J:$J,'TRA TECH'!$F:$F))</f>
        <v>*</v>
      </c>
      <c r="E178" t="str">
        <f t="shared" si="2"/>
        <v>*</v>
      </c>
      <c r="F178" t="str">
        <f>IF(B178="*","*",_xlfn.XLOOKUP(C178,'TRA TECH'!J:J,'TRA TECH'!K:K))</f>
        <v>*</v>
      </c>
    </row>
    <row r="179" spans="2:6" x14ac:dyDescent="0.25">
      <c r="B179" t="str">
        <f>IF('TRA TECH'!M177=1,IF('TRA TECH'!L177=1,"PRE","*"),"*")</f>
        <v>PRE</v>
      </c>
      <c r="C179" t="str">
        <f>'TRA TECH'!J177</f>
        <v>TRAFRESSHBEV20</v>
      </c>
      <c r="D179" t="str">
        <f>IF(B179="*","*",_xlfn.XLOOKUP(C179,'TRA TECH'!$J:$J,'TRA TECH'!$A:$A)&amp;" "&amp;_xlfn.XLOOKUP(C179,'TRA TECH'!$J:$J,'TRA TECH'!$B:$B)&amp;" "&amp;_xlfn.XLOOKUP(C179,'TRA TECH'!$J:$J,'TRA TECH'!$C:$C)&amp;" "&amp;_xlfn.XLOOKUP(C179,'TRA TECH'!$J:$J,'TRA TECH'!$F:$F))</f>
        <v>Transportation Freight Single Unit Short-haul Truck Battery Electric Vehicle</v>
      </c>
      <c r="E179" t="str">
        <f t="shared" si="2"/>
        <v>Mvkm</v>
      </c>
      <c r="F179" t="str">
        <f>IF(B179="*","*",_xlfn.XLOOKUP(C179,'TRA TECH'!J:J,'TRA TECH'!K:K))</f>
        <v>Mvkm</v>
      </c>
    </row>
    <row r="180" spans="2:6" x14ac:dyDescent="0.25">
      <c r="B180" t="str">
        <f>IF('TRA TECH'!M178=1,IF('TRA TECH'!L178=1,"PRE","*"),"*")</f>
        <v>PRE</v>
      </c>
      <c r="C180" t="str">
        <f>'TRA TECH'!J178</f>
        <v>TRAFRECLHICEVDSL20</v>
      </c>
      <c r="D180" t="str">
        <f>IF(B180="*","*",_xlfn.XLOOKUP(C180,'TRA TECH'!$J:$J,'TRA TECH'!$A:$A)&amp;" "&amp;_xlfn.XLOOKUP(C180,'TRA TECH'!$J:$J,'TRA TECH'!$B:$B)&amp;" "&amp;_xlfn.XLOOKUP(C180,'TRA TECH'!$J:$J,'TRA TECH'!$C:$C)&amp;" "&amp;_xlfn.XLOOKUP(C180,'TRA TECH'!$J:$J,'TRA TECH'!$F:$F))</f>
        <v>Transportation Freight Combination Long-haul Truck Diesel ICE Vehicle</v>
      </c>
      <c r="E180" t="str">
        <f t="shared" si="2"/>
        <v>Mvkm</v>
      </c>
      <c r="F180" t="str">
        <f>IF(B180="*","*",_xlfn.XLOOKUP(C180,'TRA TECH'!J:J,'TRA TECH'!K:K))</f>
        <v>Mvkm</v>
      </c>
    </row>
    <row r="181" spans="2:6" x14ac:dyDescent="0.25">
      <c r="B181" t="str">
        <f>IF('TRA TECH'!M179=1,IF('TRA TECH'!L179=1,"PRE","*"),"*")</f>
        <v>*</v>
      </c>
      <c r="C181" t="str">
        <f>'TRA TECH'!J179</f>
        <v>TRAFRECLHICEVDSL20</v>
      </c>
      <c r="D181" t="str">
        <f>IF(B181="*","*",_xlfn.XLOOKUP(C181,'TRA TECH'!$J:$J,'TRA TECH'!$A:$A)&amp;" "&amp;_xlfn.XLOOKUP(C181,'TRA TECH'!$J:$J,'TRA TECH'!$B:$B)&amp;" "&amp;_xlfn.XLOOKUP(C181,'TRA TECH'!$J:$J,'TRA TECH'!$C:$C)&amp;" "&amp;_xlfn.XLOOKUP(C181,'TRA TECH'!$J:$J,'TRA TECH'!$F:$F))</f>
        <v>*</v>
      </c>
      <c r="E181" t="str">
        <f t="shared" si="2"/>
        <v>*</v>
      </c>
      <c r="F181" t="str">
        <f>IF(B181="*","*",_xlfn.XLOOKUP(C181,'TRA TECH'!J:J,'TRA TECH'!K:K))</f>
        <v>*</v>
      </c>
    </row>
    <row r="182" spans="2:6" x14ac:dyDescent="0.25">
      <c r="B182" t="str">
        <f>IF('TRA TECH'!M180=1,IF('TRA TECH'!L180=1,"PRE","*"),"*")</f>
        <v>*</v>
      </c>
      <c r="C182" t="str">
        <f>'TRA TECH'!J180</f>
        <v>TRAFRECLHICEVDSL20</v>
      </c>
      <c r="D182" t="str">
        <f>IF(B182="*","*",_xlfn.XLOOKUP(C182,'TRA TECH'!$J:$J,'TRA TECH'!$A:$A)&amp;" "&amp;_xlfn.XLOOKUP(C182,'TRA TECH'!$J:$J,'TRA TECH'!$B:$B)&amp;" "&amp;_xlfn.XLOOKUP(C182,'TRA TECH'!$J:$J,'TRA TECH'!$C:$C)&amp;" "&amp;_xlfn.XLOOKUP(C182,'TRA TECH'!$J:$J,'TRA TECH'!$F:$F))</f>
        <v>*</v>
      </c>
      <c r="E182" t="str">
        <f t="shared" si="2"/>
        <v>*</v>
      </c>
      <c r="F182" t="str">
        <f>IF(B182="*","*",_xlfn.XLOOKUP(C182,'TRA TECH'!J:J,'TRA TECH'!K:K))</f>
        <v>*</v>
      </c>
    </row>
    <row r="183" spans="2:6" x14ac:dyDescent="0.25">
      <c r="B183" t="str">
        <f>IF('TRA TECH'!M181=1,IF('TRA TECH'!L181=1,"PRE","*"),"*")</f>
        <v>PRE</v>
      </c>
      <c r="C183" t="str">
        <f>'TRA TECH'!J181</f>
        <v>TRAFRECLHICEIDSL20</v>
      </c>
      <c r="D183" t="str">
        <f>IF(B183="*","*",_xlfn.XLOOKUP(C183,'TRA TECH'!$J:$J,'TRA TECH'!$A:$A)&amp;" "&amp;_xlfn.XLOOKUP(C183,'TRA TECH'!$J:$J,'TRA TECH'!$B:$B)&amp;" "&amp;_xlfn.XLOOKUP(C183,'TRA TECH'!$J:$J,'TRA TECH'!$C:$C)&amp;" "&amp;_xlfn.XLOOKUP(C183,'TRA TECH'!$J:$J,'TRA TECH'!$F:$F))</f>
        <v>Transportation Freight Combination Long-haul Truck Diesel ICE Vehicle with Integrated Starter Generator</v>
      </c>
      <c r="E183" t="str">
        <f t="shared" si="2"/>
        <v>Mvkm</v>
      </c>
      <c r="F183" t="str">
        <f>IF(B183="*","*",_xlfn.XLOOKUP(C183,'TRA TECH'!J:J,'TRA TECH'!K:K))</f>
        <v>Mvkm</v>
      </c>
    </row>
    <row r="184" spans="2:6" x14ac:dyDescent="0.25">
      <c r="B184" t="str">
        <f>IF('TRA TECH'!M182=1,IF('TRA TECH'!L182=1,"PRE","*"),"*")</f>
        <v>*</v>
      </c>
      <c r="C184" t="str">
        <f>'TRA TECH'!J182</f>
        <v>TRAFRECLHICEIDSL20</v>
      </c>
      <c r="D184" t="str">
        <f>IF(B184="*","*",_xlfn.XLOOKUP(C184,'TRA TECH'!$J:$J,'TRA TECH'!$A:$A)&amp;" "&amp;_xlfn.XLOOKUP(C184,'TRA TECH'!$J:$J,'TRA TECH'!$B:$B)&amp;" "&amp;_xlfn.XLOOKUP(C184,'TRA TECH'!$J:$J,'TRA TECH'!$C:$C)&amp;" "&amp;_xlfn.XLOOKUP(C184,'TRA TECH'!$J:$J,'TRA TECH'!$F:$F))</f>
        <v>*</v>
      </c>
      <c r="E184" t="str">
        <f t="shared" si="2"/>
        <v>*</v>
      </c>
      <c r="F184" t="str">
        <f>IF(B184="*","*",_xlfn.XLOOKUP(C184,'TRA TECH'!J:J,'TRA TECH'!K:K))</f>
        <v>*</v>
      </c>
    </row>
    <row r="185" spans="2:6" x14ac:dyDescent="0.25">
      <c r="B185" t="str">
        <f>IF('TRA TECH'!M183=1,IF('TRA TECH'!L183=1,"PRE","*"),"*")</f>
        <v>*</v>
      </c>
      <c r="C185" t="str">
        <f>'TRA TECH'!J183</f>
        <v>TRAFRECLHICEIDSL20</v>
      </c>
      <c r="D185" t="str">
        <f>IF(B185="*","*",_xlfn.XLOOKUP(C185,'TRA TECH'!$J:$J,'TRA TECH'!$A:$A)&amp;" "&amp;_xlfn.XLOOKUP(C185,'TRA TECH'!$J:$J,'TRA TECH'!$B:$B)&amp;" "&amp;_xlfn.XLOOKUP(C185,'TRA TECH'!$J:$J,'TRA TECH'!$C:$C)&amp;" "&amp;_xlfn.XLOOKUP(C185,'TRA TECH'!$J:$J,'TRA TECH'!$F:$F))</f>
        <v>*</v>
      </c>
      <c r="E185" t="str">
        <f t="shared" si="2"/>
        <v>*</v>
      </c>
      <c r="F185" t="str">
        <f>IF(B185="*","*",_xlfn.XLOOKUP(C185,'TRA TECH'!J:J,'TRA TECH'!K:K))</f>
        <v>*</v>
      </c>
    </row>
    <row r="186" spans="2:6" x14ac:dyDescent="0.25">
      <c r="B186" t="str">
        <f>IF('TRA TECH'!M184=1,IF('TRA TECH'!L184=1,"PRE","*"),"*")</f>
        <v>PRE</v>
      </c>
      <c r="C186" t="str">
        <f>'TRA TECH'!J184</f>
        <v>TRAFRECLHHEVPDSL20</v>
      </c>
      <c r="D186" t="str">
        <f>IF(B186="*","*",_xlfn.XLOOKUP(C186,'TRA TECH'!$J:$J,'TRA TECH'!$A:$A)&amp;" "&amp;_xlfn.XLOOKUP(C186,'TRA TECH'!$J:$J,'TRA TECH'!$B:$B)&amp;" "&amp;_xlfn.XLOOKUP(C186,'TRA TECH'!$J:$J,'TRA TECH'!$C:$C)&amp;" "&amp;_xlfn.XLOOKUP(C186,'TRA TECH'!$J:$J,'TRA TECH'!$F:$F))</f>
        <v>Transportation Freight Combination Long-haul Truck Diesel Parallel Hybrid Electric Vehicle</v>
      </c>
      <c r="E186" t="str">
        <f t="shared" si="2"/>
        <v>Mvkm</v>
      </c>
      <c r="F186" t="str">
        <f>IF(B186="*","*",_xlfn.XLOOKUP(C186,'TRA TECH'!J:J,'TRA TECH'!K:K))</f>
        <v>Mvkm</v>
      </c>
    </row>
    <row r="187" spans="2:6" x14ac:dyDescent="0.25">
      <c r="B187" t="str">
        <f>IF('TRA TECH'!M185=1,IF('TRA TECH'!L185=1,"PRE","*"),"*")</f>
        <v>*</v>
      </c>
      <c r="C187" t="str">
        <f>'TRA TECH'!J185</f>
        <v>TRAFRECLHHEVPDSL20</v>
      </c>
      <c r="D187" t="str">
        <f>IF(B187="*","*",_xlfn.XLOOKUP(C187,'TRA TECH'!$J:$J,'TRA TECH'!$A:$A)&amp;" "&amp;_xlfn.XLOOKUP(C187,'TRA TECH'!$J:$J,'TRA TECH'!$B:$B)&amp;" "&amp;_xlfn.XLOOKUP(C187,'TRA TECH'!$J:$J,'TRA TECH'!$C:$C)&amp;" "&amp;_xlfn.XLOOKUP(C187,'TRA TECH'!$J:$J,'TRA TECH'!$F:$F))</f>
        <v>*</v>
      </c>
      <c r="E187" t="str">
        <f t="shared" si="2"/>
        <v>*</v>
      </c>
      <c r="F187" t="str">
        <f>IF(B187="*","*",_xlfn.XLOOKUP(C187,'TRA TECH'!J:J,'TRA TECH'!K:K))</f>
        <v>*</v>
      </c>
    </row>
    <row r="188" spans="2:6" x14ac:dyDescent="0.25">
      <c r="B188" t="str">
        <f>IF('TRA TECH'!M186=1,IF('TRA TECH'!L186=1,"PRE","*"),"*")</f>
        <v>*</v>
      </c>
      <c r="C188" t="str">
        <f>'TRA TECH'!J186</f>
        <v>TRAFRECLHHEVPDSL20</v>
      </c>
      <c r="D188" t="str">
        <f>IF(B188="*","*",_xlfn.XLOOKUP(C188,'TRA TECH'!$J:$J,'TRA TECH'!$A:$A)&amp;" "&amp;_xlfn.XLOOKUP(C188,'TRA TECH'!$J:$J,'TRA TECH'!$B:$B)&amp;" "&amp;_xlfn.XLOOKUP(C188,'TRA TECH'!$J:$J,'TRA TECH'!$C:$C)&amp;" "&amp;_xlfn.XLOOKUP(C188,'TRA TECH'!$J:$J,'TRA TECH'!$F:$F))</f>
        <v>*</v>
      </c>
      <c r="E188" t="str">
        <f t="shared" si="2"/>
        <v>*</v>
      </c>
      <c r="F188" t="str">
        <f>IF(B188="*","*",_xlfn.XLOOKUP(C188,'TRA TECH'!J:J,'TRA TECH'!K:K))</f>
        <v>*</v>
      </c>
    </row>
    <row r="189" spans="2:6" x14ac:dyDescent="0.25">
      <c r="B189" t="str">
        <f>IF('TRA TECH'!M187=1,IF('TRA TECH'!L187=1,"PRE","*"),"*")</f>
        <v>PRE</v>
      </c>
      <c r="C189" t="str">
        <f>'TRA TECH'!J187</f>
        <v>TRAFRECLHPHEVDSL20</v>
      </c>
      <c r="D189" t="str">
        <f>IF(B189="*","*",_xlfn.XLOOKUP(C189,'TRA TECH'!$J:$J,'TRA TECH'!$A:$A)&amp;" "&amp;_xlfn.XLOOKUP(C189,'TRA TECH'!$J:$J,'TRA TECH'!$B:$B)&amp;" "&amp;_xlfn.XLOOKUP(C189,'TRA TECH'!$J:$J,'TRA TECH'!$C:$C)&amp;" "&amp;_xlfn.XLOOKUP(C189,'TRA TECH'!$J:$J,'TRA TECH'!$F:$F))</f>
        <v>Transportation Freight Combination Long-haul Truck Diesel Series Plug-in Hybrid Electric Vehicle</v>
      </c>
      <c r="E189" t="str">
        <f t="shared" si="2"/>
        <v>Mvkm</v>
      </c>
      <c r="F189" t="str">
        <f>IF(B189="*","*",_xlfn.XLOOKUP(C189,'TRA TECH'!J:J,'TRA TECH'!K:K))</f>
        <v>Mvkm</v>
      </c>
    </row>
    <row r="190" spans="2:6" x14ac:dyDescent="0.25">
      <c r="B190" t="str">
        <f>IF('TRA TECH'!M188=1,IF('TRA TECH'!L188=1,"PRE","*"),"*")</f>
        <v>*</v>
      </c>
      <c r="C190" t="str">
        <f>'TRA TECH'!J188</f>
        <v>TRAFRECLHPHEVDSL20</v>
      </c>
      <c r="D190" t="str">
        <f>IF(B190="*","*",_xlfn.XLOOKUP(C190,'TRA TECH'!$J:$J,'TRA TECH'!$A:$A)&amp;" "&amp;_xlfn.XLOOKUP(C190,'TRA TECH'!$J:$J,'TRA TECH'!$B:$B)&amp;" "&amp;_xlfn.XLOOKUP(C190,'TRA TECH'!$J:$J,'TRA TECH'!$C:$C)&amp;" "&amp;_xlfn.XLOOKUP(C190,'TRA TECH'!$J:$J,'TRA TECH'!$F:$F))</f>
        <v>*</v>
      </c>
      <c r="E190" t="str">
        <f t="shared" si="2"/>
        <v>*</v>
      </c>
      <c r="F190" t="str">
        <f>IF(B190="*","*",_xlfn.XLOOKUP(C190,'TRA TECH'!J:J,'TRA TECH'!K:K))</f>
        <v>*</v>
      </c>
    </row>
    <row r="191" spans="2:6" x14ac:dyDescent="0.25">
      <c r="B191" t="str">
        <f>IF('TRA TECH'!M189=1,IF('TRA TECH'!L189=1,"PRE","*"),"*")</f>
        <v>*</v>
      </c>
      <c r="C191" t="str">
        <f>'TRA TECH'!J189</f>
        <v>TRAFRECLHPHEVDSL20</v>
      </c>
      <c r="D191" t="str">
        <f>IF(B191="*","*",_xlfn.XLOOKUP(C191,'TRA TECH'!$J:$J,'TRA TECH'!$A:$A)&amp;" "&amp;_xlfn.XLOOKUP(C191,'TRA TECH'!$J:$J,'TRA TECH'!$B:$B)&amp;" "&amp;_xlfn.XLOOKUP(C191,'TRA TECH'!$J:$J,'TRA TECH'!$C:$C)&amp;" "&amp;_xlfn.XLOOKUP(C191,'TRA TECH'!$J:$J,'TRA TECH'!$F:$F))</f>
        <v>*</v>
      </c>
      <c r="E191" t="str">
        <f t="shared" si="2"/>
        <v>*</v>
      </c>
      <c r="F191" t="str">
        <f>IF(B191="*","*",_xlfn.XLOOKUP(C191,'TRA TECH'!J:J,'TRA TECH'!K:K))</f>
        <v>*</v>
      </c>
    </row>
    <row r="192" spans="2:6" x14ac:dyDescent="0.25">
      <c r="B192" t="str">
        <f>IF('TRA TECH'!M190=1,IF('TRA TECH'!L190=1,"PRE","*"),"*")</f>
        <v>*</v>
      </c>
      <c r="C192" t="str">
        <f>'TRA TECH'!J190</f>
        <v>TRAFRECLHPHEVDSL20</v>
      </c>
      <c r="D192" t="str">
        <f>IF(B192="*","*",_xlfn.XLOOKUP(C192,'TRA TECH'!$J:$J,'TRA TECH'!$A:$A)&amp;" "&amp;_xlfn.XLOOKUP(C192,'TRA TECH'!$J:$J,'TRA TECH'!$B:$B)&amp;" "&amp;_xlfn.XLOOKUP(C192,'TRA TECH'!$J:$J,'TRA TECH'!$C:$C)&amp;" "&amp;_xlfn.XLOOKUP(C192,'TRA TECH'!$J:$J,'TRA TECH'!$F:$F))</f>
        <v>*</v>
      </c>
      <c r="E192" t="str">
        <f t="shared" si="2"/>
        <v>*</v>
      </c>
      <c r="F192" t="str">
        <f>IF(B192="*","*",_xlfn.XLOOKUP(C192,'TRA TECH'!J:J,'TRA TECH'!K:K))</f>
        <v>*</v>
      </c>
    </row>
    <row r="193" spans="2:6" x14ac:dyDescent="0.25">
      <c r="B193" t="str">
        <f>IF('TRA TECH'!M191=1,IF('TRA TECH'!L191=1,"PRE","*"),"*")</f>
        <v>PRE</v>
      </c>
      <c r="C193" t="str">
        <f>'TRA TECH'!J191</f>
        <v>TRAFRECLHFCEV20</v>
      </c>
      <c r="D193" t="str">
        <f>IF(B193="*","*",_xlfn.XLOOKUP(C193,'TRA TECH'!$J:$J,'TRA TECH'!$A:$A)&amp;" "&amp;_xlfn.XLOOKUP(C193,'TRA TECH'!$J:$J,'TRA TECH'!$B:$B)&amp;" "&amp;_xlfn.XLOOKUP(C193,'TRA TECH'!$J:$J,'TRA TECH'!$C:$C)&amp;" "&amp;_xlfn.XLOOKUP(C193,'TRA TECH'!$J:$J,'TRA TECH'!$F:$F))</f>
        <v>Transportation Freight Combination Long-haul Truck Hydrogen Fuel Cell Electric Vehicle</v>
      </c>
      <c r="E193" t="str">
        <f t="shared" si="2"/>
        <v>Mvkm</v>
      </c>
      <c r="F193" t="str">
        <f>IF(B193="*","*",_xlfn.XLOOKUP(C193,'TRA TECH'!J:J,'TRA TECH'!K:K))</f>
        <v>Mvkm</v>
      </c>
    </row>
    <row r="194" spans="2:6" x14ac:dyDescent="0.25">
      <c r="B194" t="str">
        <f>IF('TRA TECH'!M192=1,IF('TRA TECH'!L192=1,"PRE","*"),"*")</f>
        <v>PRE</v>
      </c>
      <c r="C194" t="str">
        <f>'TRA TECH'!J192</f>
        <v>TRAFRECLHFCHEV20</v>
      </c>
      <c r="D194" t="str">
        <f>IF(B194="*","*",_xlfn.XLOOKUP(C194,'TRA TECH'!$J:$J,'TRA TECH'!$A:$A)&amp;" "&amp;_xlfn.XLOOKUP(C194,'TRA TECH'!$J:$J,'TRA TECH'!$B:$B)&amp;" "&amp;_xlfn.XLOOKUP(C194,'TRA TECH'!$J:$J,'TRA TECH'!$C:$C)&amp;" "&amp;_xlfn.XLOOKUP(C194,'TRA TECH'!$J:$J,'TRA TECH'!$F:$F))</f>
        <v>Transportation Freight Combination Long-haul Truck Hydrogen Fuel Cell Hybrid Electric Vehicle</v>
      </c>
      <c r="E194" t="str">
        <f t="shared" si="2"/>
        <v>Mvkm</v>
      </c>
      <c r="F194" t="str">
        <f>IF(B194="*","*",_xlfn.XLOOKUP(C194,'TRA TECH'!J:J,'TRA TECH'!K:K))</f>
        <v>Mvkm</v>
      </c>
    </row>
    <row r="195" spans="2:6" x14ac:dyDescent="0.25">
      <c r="B195" t="str">
        <f>IF('TRA TECH'!M193=1,IF('TRA TECH'!L193=1,"PRE","*"),"*")</f>
        <v>*</v>
      </c>
      <c r="C195" t="str">
        <f>'TRA TECH'!J193</f>
        <v>TRAFRECLHFCHEV20</v>
      </c>
      <c r="D195" t="str">
        <f>IF(B195="*","*",_xlfn.XLOOKUP(C195,'TRA TECH'!$J:$J,'TRA TECH'!$A:$A)&amp;" "&amp;_xlfn.XLOOKUP(C195,'TRA TECH'!$J:$J,'TRA TECH'!$B:$B)&amp;" "&amp;_xlfn.XLOOKUP(C195,'TRA TECH'!$J:$J,'TRA TECH'!$C:$C)&amp;" "&amp;_xlfn.XLOOKUP(C195,'TRA TECH'!$J:$J,'TRA TECH'!$F:$F))</f>
        <v>*</v>
      </c>
      <c r="E195" t="str">
        <f t="shared" si="2"/>
        <v>*</v>
      </c>
      <c r="F195" t="str">
        <f>IF(B195="*","*",_xlfn.XLOOKUP(C195,'TRA TECH'!J:J,'TRA TECH'!K:K))</f>
        <v>*</v>
      </c>
    </row>
    <row r="196" spans="2:6" x14ac:dyDescent="0.25">
      <c r="B196" t="str">
        <f>IF('TRA TECH'!M194=1,IF('TRA TECH'!L194=1,"PRE","*"),"*")</f>
        <v>PRE</v>
      </c>
      <c r="C196" t="str">
        <f>'TRA TECH'!J194</f>
        <v>TRAFRECLHBEV20</v>
      </c>
      <c r="D196" t="str">
        <f>IF(B196="*","*",_xlfn.XLOOKUP(C196,'TRA TECH'!$J:$J,'TRA TECH'!$A:$A)&amp;" "&amp;_xlfn.XLOOKUP(C196,'TRA TECH'!$J:$J,'TRA TECH'!$B:$B)&amp;" "&amp;_xlfn.XLOOKUP(C196,'TRA TECH'!$J:$J,'TRA TECH'!$C:$C)&amp;" "&amp;_xlfn.XLOOKUP(C196,'TRA TECH'!$J:$J,'TRA TECH'!$F:$F))</f>
        <v>Transportation Freight Combination Long-haul Truck Battery Electric Vehicle</v>
      </c>
      <c r="E196" t="str">
        <f t="shared" si="2"/>
        <v>Mvkm</v>
      </c>
      <c r="F196" t="str">
        <f>IF(B196="*","*",_xlfn.XLOOKUP(C196,'TRA TECH'!J:J,'TRA TECH'!K:K))</f>
        <v>Mvkm</v>
      </c>
    </row>
    <row r="197" spans="2:6" x14ac:dyDescent="0.25">
      <c r="B197" t="str">
        <f>IF('TRA TECH'!M195=1,IF('TRA TECH'!L195=1,"PRE","*"),"*")</f>
        <v>PRE</v>
      </c>
      <c r="C197" t="str">
        <f>'TRA TECH'!J195</f>
        <v>TRAFRECSHICEVDSL20</v>
      </c>
      <c r="D197" t="str">
        <f>IF(B197="*","*",_xlfn.XLOOKUP(C197,'TRA TECH'!$J:$J,'TRA TECH'!$A:$A)&amp;" "&amp;_xlfn.XLOOKUP(C197,'TRA TECH'!$J:$J,'TRA TECH'!$B:$B)&amp;" "&amp;_xlfn.XLOOKUP(C197,'TRA TECH'!$J:$J,'TRA TECH'!$C:$C)&amp;" "&amp;_xlfn.XLOOKUP(C197,'TRA TECH'!$J:$J,'TRA TECH'!$F:$F))</f>
        <v>Transportation Freight Combination Short-haul Truck Diesel ICE Vehicle</v>
      </c>
      <c r="E197" t="str">
        <f t="shared" ref="E197:E260" si="3">IF(F197="MW","TJ",F197)</f>
        <v>Mvkm</v>
      </c>
      <c r="F197" t="str">
        <f>IF(B197="*","*",_xlfn.XLOOKUP(C197,'TRA TECH'!J:J,'TRA TECH'!K:K))</f>
        <v>Mvkm</v>
      </c>
    </row>
    <row r="198" spans="2:6" x14ac:dyDescent="0.25">
      <c r="B198" t="str">
        <f>IF('TRA TECH'!M196=1,IF('TRA TECH'!L196=1,"PRE","*"),"*")</f>
        <v>*</v>
      </c>
      <c r="C198" t="str">
        <f>'TRA TECH'!J196</f>
        <v>TRAFRECSHICEVDSL20</v>
      </c>
      <c r="D198" t="str">
        <f>IF(B198="*","*",_xlfn.XLOOKUP(C198,'TRA TECH'!$J:$J,'TRA TECH'!$A:$A)&amp;" "&amp;_xlfn.XLOOKUP(C198,'TRA TECH'!$J:$J,'TRA TECH'!$B:$B)&amp;" "&amp;_xlfn.XLOOKUP(C198,'TRA TECH'!$J:$J,'TRA TECH'!$C:$C)&amp;" "&amp;_xlfn.XLOOKUP(C198,'TRA TECH'!$J:$J,'TRA TECH'!$F:$F))</f>
        <v>*</v>
      </c>
      <c r="E198" t="str">
        <f t="shared" si="3"/>
        <v>*</v>
      </c>
      <c r="F198" t="str">
        <f>IF(B198="*","*",_xlfn.XLOOKUP(C198,'TRA TECH'!J:J,'TRA TECH'!K:K))</f>
        <v>*</v>
      </c>
    </row>
    <row r="199" spans="2:6" x14ac:dyDescent="0.25">
      <c r="B199" t="str">
        <f>IF('TRA TECH'!M197=1,IF('TRA TECH'!L197=1,"PRE","*"),"*")</f>
        <v>*</v>
      </c>
      <c r="C199" t="str">
        <f>'TRA TECH'!J197</f>
        <v>TRAFRECSHICEVDSL20</v>
      </c>
      <c r="D199" t="str">
        <f>IF(B199="*","*",_xlfn.XLOOKUP(C199,'TRA TECH'!$J:$J,'TRA TECH'!$A:$A)&amp;" "&amp;_xlfn.XLOOKUP(C199,'TRA TECH'!$J:$J,'TRA TECH'!$B:$B)&amp;" "&amp;_xlfn.XLOOKUP(C199,'TRA TECH'!$J:$J,'TRA TECH'!$C:$C)&amp;" "&amp;_xlfn.XLOOKUP(C199,'TRA TECH'!$J:$J,'TRA TECH'!$F:$F))</f>
        <v>*</v>
      </c>
      <c r="E199" t="str">
        <f t="shared" si="3"/>
        <v>*</v>
      </c>
      <c r="F199" t="str">
        <f>IF(B199="*","*",_xlfn.XLOOKUP(C199,'TRA TECH'!J:J,'TRA TECH'!K:K))</f>
        <v>*</v>
      </c>
    </row>
    <row r="200" spans="2:6" x14ac:dyDescent="0.25">
      <c r="B200" t="str">
        <f>IF('TRA TECH'!M198=1,IF('TRA TECH'!L198=1,"PRE","*"),"*")</f>
        <v>PRE</v>
      </c>
      <c r="C200" t="str">
        <f>'TRA TECH'!J198</f>
        <v>TRAFRECSHICEIDSL20</v>
      </c>
      <c r="D200" t="str">
        <f>IF(B200="*","*",_xlfn.XLOOKUP(C200,'TRA TECH'!$J:$J,'TRA TECH'!$A:$A)&amp;" "&amp;_xlfn.XLOOKUP(C200,'TRA TECH'!$J:$J,'TRA TECH'!$B:$B)&amp;" "&amp;_xlfn.XLOOKUP(C200,'TRA TECH'!$J:$J,'TRA TECH'!$C:$C)&amp;" "&amp;_xlfn.XLOOKUP(C200,'TRA TECH'!$J:$J,'TRA TECH'!$F:$F))</f>
        <v>Transportation Freight Combination Short-haul Truck Diesel ICE Vehicle with Integrated Starter Generator</v>
      </c>
      <c r="E200" t="str">
        <f t="shared" si="3"/>
        <v>Mvkm</v>
      </c>
      <c r="F200" t="str">
        <f>IF(B200="*","*",_xlfn.XLOOKUP(C200,'TRA TECH'!J:J,'TRA TECH'!K:K))</f>
        <v>Mvkm</v>
      </c>
    </row>
    <row r="201" spans="2:6" x14ac:dyDescent="0.25">
      <c r="B201" t="str">
        <f>IF('TRA TECH'!M199=1,IF('TRA TECH'!L199=1,"PRE","*"),"*")</f>
        <v>*</v>
      </c>
      <c r="C201" t="str">
        <f>'TRA TECH'!J199</f>
        <v>TRAFRECSHICEIDSL20</v>
      </c>
      <c r="D201" t="str">
        <f>IF(B201="*","*",_xlfn.XLOOKUP(C201,'TRA TECH'!$J:$J,'TRA TECH'!$A:$A)&amp;" "&amp;_xlfn.XLOOKUP(C201,'TRA TECH'!$J:$J,'TRA TECH'!$B:$B)&amp;" "&amp;_xlfn.XLOOKUP(C201,'TRA TECH'!$J:$J,'TRA TECH'!$C:$C)&amp;" "&amp;_xlfn.XLOOKUP(C201,'TRA TECH'!$J:$J,'TRA TECH'!$F:$F))</f>
        <v>*</v>
      </c>
      <c r="E201" t="str">
        <f t="shared" si="3"/>
        <v>*</v>
      </c>
      <c r="F201" t="str">
        <f>IF(B201="*","*",_xlfn.XLOOKUP(C201,'TRA TECH'!J:J,'TRA TECH'!K:K))</f>
        <v>*</v>
      </c>
    </row>
    <row r="202" spans="2:6" x14ac:dyDescent="0.25">
      <c r="B202" t="str">
        <f>IF('TRA TECH'!M200=1,IF('TRA TECH'!L200=1,"PRE","*"),"*")</f>
        <v>*</v>
      </c>
      <c r="C202" t="str">
        <f>'TRA TECH'!J200</f>
        <v>TRAFRECSHICEIDSL20</v>
      </c>
      <c r="D202" t="str">
        <f>IF(B202="*","*",_xlfn.XLOOKUP(C202,'TRA TECH'!$J:$J,'TRA TECH'!$A:$A)&amp;" "&amp;_xlfn.XLOOKUP(C202,'TRA TECH'!$J:$J,'TRA TECH'!$B:$B)&amp;" "&amp;_xlfn.XLOOKUP(C202,'TRA TECH'!$J:$J,'TRA TECH'!$C:$C)&amp;" "&amp;_xlfn.XLOOKUP(C202,'TRA TECH'!$J:$J,'TRA TECH'!$F:$F))</f>
        <v>*</v>
      </c>
      <c r="E202" t="str">
        <f t="shared" si="3"/>
        <v>*</v>
      </c>
      <c r="F202" t="str">
        <f>IF(B202="*","*",_xlfn.XLOOKUP(C202,'TRA TECH'!J:J,'TRA TECH'!K:K))</f>
        <v>*</v>
      </c>
    </row>
    <row r="203" spans="2:6" x14ac:dyDescent="0.25">
      <c r="B203" t="str">
        <f>IF('TRA TECH'!M201=1,IF('TRA TECH'!L201=1,"PRE","*"),"*")</f>
        <v>PRE</v>
      </c>
      <c r="C203" t="str">
        <f>'TRA TECH'!J201</f>
        <v>TRAFRECSHHEVPDSL20</v>
      </c>
      <c r="D203" t="str">
        <f>IF(B203="*","*",_xlfn.XLOOKUP(C203,'TRA TECH'!$J:$J,'TRA TECH'!$A:$A)&amp;" "&amp;_xlfn.XLOOKUP(C203,'TRA TECH'!$J:$J,'TRA TECH'!$B:$B)&amp;" "&amp;_xlfn.XLOOKUP(C203,'TRA TECH'!$J:$J,'TRA TECH'!$C:$C)&amp;" "&amp;_xlfn.XLOOKUP(C203,'TRA TECH'!$J:$J,'TRA TECH'!$F:$F))</f>
        <v>Transportation Freight Combination Short-haul Truck Diesel Parallel Hybrid Electric Vehicle</v>
      </c>
      <c r="E203" t="str">
        <f t="shared" si="3"/>
        <v>Mvkm</v>
      </c>
      <c r="F203" t="str">
        <f>IF(B203="*","*",_xlfn.XLOOKUP(C203,'TRA TECH'!J:J,'TRA TECH'!K:K))</f>
        <v>Mvkm</v>
      </c>
    </row>
    <row r="204" spans="2:6" x14ac:dyDescent="0.25">
      <c r="B204" t="str">
        <f>IF('TRA TECH'!M202=1,IF('TRA TECH'!L202=1,"PRE","*"),"*")</f>
        <v>*</v>
      </c>
      <c r="C204" t="str">
        <f>'TRA TECH'!J202</f>
        <v>TRAFRECSHHEVPDSL20</v>
      </c>
      <c r="D204" t="str">
        <f>IF(B204="*","*",_xlfn.XLOOKUP(C204,'TRA TECH'!$J:$J,'TRA TECH'!$A:$A)&amp;" "&amp;_xlfn.XLOOKUP(C204,'TRA TECH'!$J:$J,'TRA TECH'!$B:$B)&amp;" "&amp;_xlfn.XLOOKUP(C204,'TRA TECH'!$J:$J,'TRA TECH'!$C:$C)&amp;" "&amp;_xlfn.XLOOKUP(C204,'TRA TECH'!$J:$J,'TRA TECH'!$F:$F))</f>
        <v>*</v>
      </c>
      <c r="E204" t="str">
        <f t="shared" si="3"/>
        <v>*</v>
      </c>
      <c r="F204" t="str">
        <f>IF(B204="*","*",_xlfn.XLOOKUP(C204,'TRA TECH'!J:J,'TRA TECH'!K:K))</f>
        <v>*</v>
      </c>
    </row>
    <row r="205" spans="2:6" x14ac:dyDescent="0.25">
      <c r="B205" t="str">
        <f>IF('TRA TECH'!M203=1,IF('TRA TECH'!L203=1,"PRE","*"),"*")</f>
        <v>*</v>
      </c>
      <c r="C205" t="str">
        <f>'TRA TECH'!J203</f>
        <v>TRAFRECSHHEVPDSL20</v>
      </c>
      <c r="D205" t="str">
        <f>IF(B205="*","*",_xlfn.XLOOKUP(C205,'TRA TECH'!$J:$J,'TRA TECH'!$A:$A)&amp;" "&amp;_xlfn.XLOOKUP(C205,'TRA TECH'!$J:$J,'TRA TECH'!$B:$B)&amp;" "&amp;_xlfn.XLOOKUP(C205,'TRA TECH'!$J:$J,'TRA TECH'!$C:$C)&amp;" "&amp;_xlfn.XLOOKUP(C205,'TRA TECH'!$J:$J,'TRA TECH'!$F:$F))</f>
        <v>*</v>
      </c>
      <c r="E205" t="str">
        <f t="shared" si="3"/>
        <v>*</v>
      </c>
      <c r="F205" t="str">
        <f>IF(B205="*","*",_xlfn.XLOOKUP(C205,'TRA TECH'!J:J,'TRA TECH'!K:K))</f>
        <v>*</v>
      </c>
    </row>
    <row r="206" spans="2:6" x14ac:dyDescent="0.25">
      <c r="B206" t="str">
        <f>IF('TRA TECH'!M204=1,IF('TRA TECH'!L204=1,"PRE","*"),"*")</f>
        <v>PRE</v>
      </c>
      <c r="C206" t="str">
        <f>'TRA TECH'!J204</f>
        <v>TRAFRECSHPHEVDSL20</v>
      </c>
      <c r="D206" t="str">
        <f>IF(B206="*","*",_xlfn.XLOOKUP(C206,'TRA TECH'!$J:$J,'TRA TECH'!$A:$A)&amp;" "&amp;_xlfn.XLOOKUP(C206,'TRA TECH'!$J:$J,'TRA TECH'!$B:$B)&amp;" "&amp;_xlfn.XLOOKUP(C206,'TRA TECH'!$J:$J,'TRA TECH'!$C:$C)&amp;" "&amp;_xlfn.XLOOKUP(C206,'TRA TECH'!$J:$J,'TRA TECH'!$F:$F))</f>
        <v>Transportation Freight Combination Short-haul Truck Diesel Series Plug-in Hybrid Electric Vehicle</v>
      </c>
      <c r="E206" t="str">
        <f t="shared" si="3"/>
        <v>Mvkm</v>
      </c>
      <c r="F206" t="str">
        <f>IF(B206="*","*",_xlfn.XLOOKUP(C206,'TRA TECH'!J:J,'TRA TECH'!K:K))</f>
        <v>Mvkm</v>
      </c>
    </row>
    <row r="207" spans="2:6" x14ac:dyDescent="0.25">
      <c r="B207" t="str">
        <f>IF('TRA TECH'!M205=1,IF('TRA TECH'!L205=1,"PRE","*"),"*")</f>
        <v>*</v>
      </c>
      <c r="C207" t="str">
        <f>'TRA TECH'!J205</f>
        <v>TRAFRECSHPHEVDSL20</v>
      </c>
      <c r="D207" t="str">
        <f>IF(B207="*","*",_xlfn.XLOOKUP(C207,'TRA TECH'!$J:$J,'TRA TECH'!$A:$A)&amp;" "&amp;_xlfn.XLOOKUP(C207,'TRA TECH'!$J:$J,'TRA TECH'!$B:$B)&amp;" "&amp;_xlfn.XLOOKUP(C207,'TRA TECH'!$J:$J,'TRA TECH'!$C:$C)&amp;" "&amp;_xlfn.XLOOKUP(C207,'TRA TECH'!$J:$J,'TRA TECH'!$F:$F))</f>
        <v>*</v>
      </c>
      <c r="E207" t="str">
        <f t="shared" si="3"/>
        <v>*</v>
      </c>
      <c r="F207" t="str">
        <f>IF(B207="*","*",_xlfn.XLOOKUP(C207,'TRA TECH'!J:J,'TRA TECH'!K:K))</f>
        <v>*</v>
      </c>
    </row>
    <row r="208" spans="2:6" x14ac:dyDescent="0.25">
      <c r="B208" t="str">
        <f>IF('TRA TECH'!M206=1,IF('TRA TECH'!L206=1,"PRE","*"),"*")</f>
        <v>*</v>
      </c>
      <c r="C208" t="str">
        <f>'TRA TECH'!J206</f>
        <v>TRAFRECSHPHEVDSL20</v>
      </c>
      <c r="D208" t="str">
        <f>IF(B208="*","*",_xlfn.XLOOKUP(C208,'TRA TECH'!$J:$J,'TRA TECH'!$A:$A)&amp;" "&amp;_xlfn.XLOOKUP(C208,'TRA TECH'!$J:$J,'TRA TECH'!$B:$B)&amp;" "&amp;_xlfn.XLOOKUP(C208,'TRA TECH'!$J:$J,'TRA TECH'!$C:$C)&amp;" "&amp;_xlfn.XLOOKUP(C208,'TRA TECH'!$J:$J,'TRA TECH'!$F:$F))</f>
        <v>*</v>
      </c>
      <c r="E208" t="str">
        <f t="shared" si="3"/>
        <v>*</v>
      </c>
      <c r="F208" t="str">
        <f>IF(B208="*","*",_xlfn.XLOOKUP(C208,'TRA TECH'!J:J,'TRA TECH'!K:K))</f>
        <v>*</v>
      </c>
    </row>
    <row r="209" spans="2:6" x14ac:dyDescent="0.25">
      <c r="B209" t="str">
        <f>IF('TRA TECH'!M207=1,IF('TRA TECH'!L207=1,"PRE","*"),"*")</f>
        <v>*</v>
      </c>
      <c r="C209" t="str">
        <f>'TRA TECH'!J207</f>
        <v>TRAFRECSHPHEVDSL20</v>
      </c>
      <c r="D209" t="str">
        <f>IF(B209="*","*",_xlfn.XLOOKUP(C209,'TRA TECH'!$J:$J,'TRA TECH'!$A:$A)&amp;" "&amp;_xlfn.XLOOKUP(C209,'TRA TECH'!$J:$J,'TRA TECH'!$B:$B)&amp;" "&amp;_xlfn.XLOOKUP(C209,'TRA TECH'!$J:$J,'TRA TECH'!$C:$C)&amp;" "&amp;_xlfn.XLOOKUP(C209,'TRA TECH'!$J:$J,'TRA TECH'!$F:$F))</f>
        <v>*</v>
      </c>
      <c r="E209" t="str">
        <f t="shared" si="3"/>
        <v>*</v>
      </c>
      <c r="F209" t="str">
        <f>IF(B209="*","*",_xlfn.XLOOKUP(C209,'TRA TECH'!J:J,'TRA TECH'!K:K))</f>
        <v>*</v>
      </c>
    </row>
    <row r="210" spans="2:6" x14ac:dyDescent="0.25">
      <c r="B210" t="str">
        <f>IF('TRA TECH'!M208=1,IF('TRA TECH'!L208=1,"PRE","*"),"*")</f>
        <v>PRE</v>
      </c>
      <c r="C210" t="str">
        <f>'TRA TECH'!J208</f>
        <v>TRAFRECSHFCEV20</v>
      </c>
      <c r="D210" t="str">
        <f>IF(B210="*","*",_xlfn.XLOOKUP(C210,'TRA TECH'!$J:$J,'TRA TECH'!$A:$A)&amp;" "&amp;_xlfn.XLOOKUP(C210,'TRA TECH'!$J:$J,'TRA TECH'!$B:$B)&amp;" "&amp;_xlfn.XLOOKUP(C210,'TRA TECH'!$J:$J,'TRA TECH'!$C:$C)&amp;" "&amp;_xlfn.XLOOKUP(C210,'TRA TECH'!$J:$J,'TRA TECH'!$F:$F))</f>
        <v>Transportation Freight Combination Short-haul Truck Hydrogen Fuel Cell Electric Vehicle</v>
      </c>
      <c r="E210" t="str">
        <f t="shared" si="3"/>
        <v>Mvkm</v>
      </c>
      <c r="F210" t="str">
        <f>IF(B210="*","*",_xlfn.XLOOKUP(C210,'TRA TECH'!J:J,'TRA TECH'!K:K))</f>
        <v>Mvkm</v>
      </c>
    </row>
    <row r="211" spans="2:6" x14ac:dyDescent="0.25">
      <c r="B211" t="str">
        <f>IF('TRA TECH'!M209=1,IF('TRA TECH'!L209=1,"PRE","*"),"*")</f>
        <v>PRE</v>
      </c>
      <c r="C211" t="str">
        <f>'TRA TECH'!J209</f>
        <v>TRAFRECSHFCHEV20</v>
      </c>
      <c r="D211" t="str">
        <f>IF(B211="*","*",_xlfn.XLOOKUP(C211,'TRA TECH'!$J:$J,'TRA TECH'!$A:$A)&amp;" "&amp;_xlfn.XLOOKUP(C211,'TRA TECH'!$J:$J,'TRA TECH'!$B:$B)&amp;" "&amp;_xlfn.XLOOKUP(C211,'TRA TECH'!$J:$J,'TRA TECH'!$C:$C)&amp;" "&amp;_xlfn.XLOOKUP(C211,'TRA TECH'!$J:$J,'TRA TECH'!$F:$F))</f>
        <v>Transportation Freight Combination Short-haul Truck Hydrogen Fuel Cell Hybrid Electric Vehicle</v>
      </c>
      <c r="E211" t="str">
        <f t="shared" si="3"/>
        <v>Mvkm</v>
      </c>
      <c r="F211" t="str">
        <f>IF(B211="*","*",_xlfn.XLOOKUP(C211,'TRA TECH'!J:J,'TRA TECH'!K:K))</f>
        <v>Mvkm</v>
      </c>
    </row>
    <row r="212" spans="2:6" x14ac:dyDescent="0.25">
      <c r="B212" t="str">
        <f>IF('TRA TECH'!M210=1,IF('TRA TECH'!L210=1,"PRE","*"),"*")</f>
        <v>*</v>
      </c>
      <c r="C212" t="str">
        <f>'TRA TECH'!J210</f>
        <v>TRAFRECSHFCHEV20</v>
      </c>
      <c r="D212" t="str">
        <f>IF(B212="*","*",_xlfn.XLOOKUP(C212,'TRA TECH'!$J:$J,'TRA TECH'!$A:$A)&amp;" "&amp;_xlfn.XLOOKUP(C212,'TRA TECH'!$J:$J,'TRA TECH'!$B:$B)&amp;" "&amp;_xlfn.XLOOKUP(C212,'TRA TECH'!$J:$J,'TRA TECH'!$C:$C)&amp;" "&amp;_xlfn.XLOOKUP(C212,'TRA TECH'!$J:$J,'TRA TECH'!$F:$F))</f>
        <v>*</v>
      </c>
      <c r="E212" t="str">
        <f t="shared" si="3"/>
        <v>*</v>
      </c>
      <c r="F212" t="str">
        <f>IF(B212="*","*",_xlfn.XLOOKUP(C212,'TRA TECH'!J:J,'TRA TECH'!K:K))</f>
        <v>*</v>
      </c>
    </row>
    <row r="213" spans="2:6" x14ac:dyDescent="0.25">
      <c r="B213" t="str">
        <f>IF('TRA TECH'!M211=1,IF('TRA TECH'!L211=1,"PRE","*"),"*")</f>
        <v>PRE</v>
      </c>
      <c r="C213" t="str">
        <f>'TRA TECH'!J211</f>
        <v>TRAFRECSHBEV20</v>
      </c>
      <c r="D213" t="str">
        <f>IF(B213="*","*",_xlfn.XLOOKUP(C213,'TRA TECH'!$J:$J,'TRA TECH'!$A:$A)&amp;" "&amp;_xlfn.XLOOKUP(C213,'TRA TECH'!$J:$J,'TRA TECH'!$B:$B)&amp;" "&amp;_xlfn.XLOOKUP(C213,'TRA TECH'!$J:$J,'TRA TECH'!$C:$C)&amp;" "&amp;_xlfn.XLOOKUP(C213,'TRA TECH'!$J:$J,'TRA TECH'!$F:$F))</f>
        <v>Transportation Freight Combination Short-haul Truck Battery Electric Vehicle</v>
      </c>
      <c r="E213" t="str">
        <f t="shared" si="3"/>
        <v>Mvkm</v>
      </c>
      <c r="F213" t="str">
        <f>IF(B213="*","*",_xlfn.XLOOKUP(C213,'TRA TECH'!J:J,'TRA TECH'!K:K))</f>
        <v>Mvkm</v>
      </c>
    </row>
    <row r="214" spans="2:6" x14ac:dyDescent="0.25">
      <c r="B214" t="str">
        <f>IF('TRA TECH'!M212=1,IF('TRA TECH'!L212=1,"PRE","*"),"*")</f>
        <v>PRE</v>
      </c>
      <c r="C214" t="str">
        <f>'TRA TECH'!J212</f>
        <v>TRAPASTBUICEVDSL20</v>
      </c>
      <c r="D214" t="str">
        <f>IF(B214="*","*",_xlfn.XLOOKUP(C214,'TRA TECH'!$J:$J,'TRA TECH'!$A:$A)&amp;" "&amp;_xlfn.XLOOKUP(C214,'TRA TECH'!$J:$J,'TRA TECH'!$B:$B)&amp;" "&amp;_xlfn.XLOOKUP(C214,'TRA TECH'!$J:$J,'TRA TECH'!$C:$C)&amp;" "&amp;_xlfn.XLOOKUP(C214,'TRA TECH'!$J:$J,'TRA TECH'!$F:$F))</f>
        <v>Transportation Passenger Transit Bus Diesel ICE Vehicle</v>
      </c>
      <c r="E214" t="str">
        <f t="shared" si="3"/>
        <v>Mvkm</v>
      </c>
      <c r="F214" t="str">
        <f>IF(B214="*","*",_xlfn.XLOOKUP(C214,'TRA TECH'!J:J,'TRA TECH'!K:K))</f>
        <v>Mvkm</v>
      </c>
    </row>
    <row r="215" spans="2:6" x14ac:dyDescent="0.25">
      <c r="B215" t="str">
        <f>IF('TRA TECH'!M213=1,IF('TRA TECH'!L213=1,"PRE","*"),"*")</f>
        <v>*</v>
      </c>
      <c r="C215" t="str">
        <f>'TRA TECH'!J213</f>
        <v>TRAPASTBUICEVDSL20</v>
      </c>
      <c r="D215" t="str">
        <f>IF(B215="*","*",_xlfn.XLOOKUP(C215,'TRA TECH'!$J:$J,'TRA TECH'!$A:$A)&amp;" "&amp;_xlfn.XLOOKUP(C215,'TRA TECH'!$J:$J,'TRA TECH'!$B:$B)&amp;" "&amp;_xlfn.XLOOKUP(C215,'TRA TECH'!$J:$J,'TRA TECH'!$C:$C)&amp;" "&amp;_xlfn.XLOOKUP(C215,'TRA TECH'!$J:$J,'TRA TECH'!$F:$F))</f>
        <v>*</v>
      </c>
      <c r="E215" t="str">
        <f t="shared" si="3"/>
        <v>*</v>
      </c>
      <c r="F215" t="str">
        <f>IF(B215="*","*",_xlfn.XLOOKUP(C215,'TRA TECH'!J:J,'TRA TECH'!K:K))</f>
        <v>*</v>
      </c>
    </row>
    <row r="216" spans="2:6" x14ac:dyDescent="0.25">
      <c r="B216" t="str">
        <f>IF('TRA TECH'!M214=1,IF('TRA TECH'!L214=1,"PRE","*"),"*")</f>
        <v>*</v>
      </c>
      <c r="C216" t="str">
        <f>'TRA TECH'!J214</f>
        <v>TRAPASTBUICEVDSL20</v>
      </c>
      <c r="D216" t="str">
        <f>IF(B216="*","*",_xlfn.XLOOKUP(C216,'TRA TECH'!$J:$J,'TRA TECH'!$A:$A)&amp;" "&amp;_xlfn.XLOOKUP(C216,'TRA TECH'!$J:$J,'TRA TECH'!$B:$B)&amp;" "&amp;_xlfn.XLOOKUP(C216,'TRA TECH'!$J:$J,'TRA TECH'!$C:$C)&amp;" "&amp;_xlfn.XLOOKUP(C216,'TRA TECH'!$J:$J,'TRA TECH'!$F:$F))</f>
        <v>*</v>
      </c>
      <c r="E216" t="str">
        <f t="shared" si="3"/>
        <v>*</v>
      </c>
      <c r="F216" t="str">
        <f>IF(B216="*","*",_xlfn.XLOOKUP(C216,'TRA TECH'!J:J,'TRA TECH'!K:K))</f>
        <v>*</v>
      </c>
    </row>
    <row r="217" spans="2:6" x14ac:dyDescent="0.25">
      <c r="B217" t="str">
        <f>IF('TRA TECH'!M215=1,IF('TRA TECH'!L215=1,"PRE","*"),"*")</f>
        <v>PRE</v>
      </c>
      <c r="C217" t="str">
        <f>'TRA TECH'!J215</f>
        <v>TRAPASTBUICEIDSL20</v>
      </c>
      <c r="D217" t="str">
        <f>IF(B217="*","*",_xlfn.XLOOKUP(C217,'TRA TECH'!$J:$J,'TRA TECH'!$A:$A)&amp;" "&amp;_xlfn.XLOOKUP(C217,'TRA TECH'!$J:$J,'TRA TECH'!$B:$B)&amp;" "&amp;_xlfn.XLOOKUP(C217,'TRA TECH'!$J:$J,'TRA TECH'!$C:$C)&amp;" "&amp;_xlfn.XLOOKUP(C217,'TRA TECH'!$J:$J,'TRA TECH'!$F:$F))</f>
        <v>Transportation Passenger Transit Bus Diesel ICE Vehicle with Integrated Starter Generator</v>
      </c>
      <c r="E217" t="str">
        <f t="shared" si="3"/>
        <v>Mvkm</v>
      </c>
      <c r="F217" t="str">
        <f>IF(B217="*","*",_xlfn.XLOOKUP(C217,'TRA TECH'!J:J,'TRA TECH'!K:K))</f>
        <v>Mvkm</v>
      </c>
    </row>
    <row r="218" spans="2:6" x14ac:dyDescent="0.25">
      <c r="B218" t="str">
        <f>IF('TRA TECH'!M216=1,IF('TRA TECH'!L216=1,"PRE","*"),"*")</f>
        <v>*</v>
      </c>
      <c r="C218" t="str">
        <f>'TRA TECH'!J216</f>
        <v>TRAPASTBUICEIDSL20</v>
      </c>
      <c r="D218" t="str">
        <f>IF(B218="*","*",_xlfn.XLOOKUP(C218,'TRA TECH'!$J:$J,'TRA TECH'!$A:$A)&amp;" "&amp;_xlfn.XLOOKUP(C218,'TRA TECH'!$J:$J,'TRA TECH'!$B:$B)&amp;" "&amp;_xlfn.XLOOKUP(C218,'TRA TECH'!$J:$J,'TRA TECH'!$C:$C)&amp;" "&amp;_xlfn.XLOOKUP(C218,'TRA TECH'!$J:$J,'TRA TECH'!$F:$F))</f>
        <v>*</v>
      </c>
      <c r="E218" t="str">
        <f t="shared" si="3"/>
        <v>*</v>
      </c>
      <c r="F218" t="str">
        <f>IF(B218="*","*",_xlfn.XLOOKUP(C218,'TRA TECH'!J:J,'TRA TECH'!K:K))</f>
        <v>*</v>
      </c>
    </row>
    <row r="219" spans="2:6" x14ac:dyDescent="0.25">
      <c r="B219" t="str">
        <f>IF('TRA TECH'!M217=1,IF('TRA TECH'!L217=1,"PRE","*"),"*")</f>
        <v>*</v>
      </c>
      <c r="C219" t="str">
        <f>'TRA TECH'!J217</f>
        <v>TRAPASTBUICEIDSL20</v>
      </c>
      <c r="D219" t="str">
        <f>IF(B219="*","*",_xlfn.XLOOKUP(C219,'TRA TECH'!$J:$J,'TRA TECH'!$A:$A)&amp;" "&amp;_xlfn.XLOOKUP(C219,'TRA TECH'!$J:$J,'TRA TECH'!$B:$B)&amp;" "&amp;_xlfn.XLOOKUP(C219,'TRA TECH'!$J:$J,'TRA TECH'!$C:$C)&amp;" "&amp;_xlfn.XLOOKUP(C219,'TRA TECH'!$J:$J,'TRA TECH'!$F:$F))</f>
        <v>*</v>
      </c>
      <c r="E219" t="str">
        <f t="shared" si="3"/>
        <v>*</v>
      </c>
      <c r="F219" t="str">
        <f>IF(B219="*","*",_xlfn.XLOOKUP(C219,'TRA TECH'!J:J,'TRA TECH'!K:K))</f>
        <v>*</v>
      </c>
    </row>
    <row r="220" spans="2:6" x14ac:dyDescent="0.25">
      <c r="B220" t="str">
        <f>IF('TRA TECH'!M218=1,IF('TRA TECH'!L218=1,"PRE","*"),"*")</f>
        <v>PRE</v>
      </c>
      <c r="C220" t="str">
        <f>'TRA TECH'!J218</f>
        <v>TRAPASTBUHEVPDSL20</v>
      </c>
      <c r="D220" t="str">
        <f>IF(B220="*","*",_xlfn.XLOOKUP(C220,'TRA TECH'!$J:$J,'TRA TECH'!$A:$A)&amp;" "&amp;_xlfn.XLOOKUP(C220,'TRA TECH'!$J:$J,'TRA TECH'!$B:$B)&amp;" "&amp;_xlfn.XLOOKUP(C220,'TRA TECH'!$J:$J,'TRA TECH'!$C:$C)&amp;" "&amp;_xlfn.XLOOKUP(C220,'TRA TECH'!$J:$J,'TRA TECH'!$F:$F))</f>
        <v>Transportation Passenger Transit Bus Diesel Parallel Hybrid Electric Vehicle</v>
      </c>
      <c r="E220" t="str">
        <f t="shared" si="3"/>
        <v>Mvkm</v>
      </c>
      <c r="F220" t="str">
        <f>IF(B220="*","*",_xlfn.XLOOKUP(C220,'TRA TECH'!J:J,'TRA TECH'!K:K))</f>
        <v>Mvkm</v>
      </c>
    </row>
    <row r="221" spans="2:6" x14ac:dyDescent="0.25">
      <c r="B221" t="str">
        <f>IF('TRA TECH'!M219=1,IF('TRA TECH'!L219=1,"PRE","*"),"*")</f>
        <v>*</v>
      </c>
      <c r="C221" t="str">
        <f>'TRA TECH'!J219</f>
        <v>TRAPASTBUHEVPDSL20</v>
      </c>
      <c r="D221" t="str">
        <f>IF(B221="*","*",_xlfn.XLOOKUP(C221,'TRA TECH'!$J:$J,'TRA TECH'!$A:$A)&amp;" "&amp;_xlfn.XLOOKUP(C221,'TRA TECH'!$J:$J,'TRA TECH'!$B:$B)&amp;" "&amp;_xlfn.XLOOKUP(C221,'TRA TECH'!$J:$J,'TRA TECH'!$C:$C)&amp;" "&amp;_xlfn.XLOOKUP(C221,'TRA TECH'!$J:$J,'TRA TECH'!$F:$F))</f>
        <v>*</v>
      </c>
      <c r="E221" t="str">
        <f t="shared" si="3"/>
        <v>*</v>
      </c>
      <c r="F221" t="str">
        <f>IF(B221="*","*",_xlfn.XLOOKUP(C221,'TRA TECH'!J:J,'TRA TECH'!K:K))</f>
        <v>*</v>
      </c>
    </row>
    <row r="222" spans="2:6" x14ac:dyDescent="0.25">
      <c r="B222" t="str">
        <f>IF('TRA TECH'!M220=1,IF('TRA TECH'!L220=1,"PRE","*"),"*")</f>
        <v>*</v>
      </c>
      <c r="C222" t="str">
        <f>'TRA TECH'!J220</f>
        <v>TRAPASTBUHEVPDSL20</v>
      </c>
      <c r="D222" t="str">
        <f>IF(B222="*","*",_xlfn.XLOOKUP(C222,'TRA TECH'!$J:$J,'TRA TECH'!$A:$A)&amp;" "&amp;_xlfn.XLOOKUP(C222,'TRA TECH'!$J:$J,'TRA TECH'!$B:$B)&amp;" "&amp;_xlfn.XLOOKUP(C222,'TRA TECH'!$J:$J,'TRA TECH'!$C:$C)&amp;" "&amp;_xlfn.XLOOKUP(C222,'TRA TECH'!$J:$J,'TRA TECH'!$F:$F))</f>
        <v>*</v>
      </c>
      <c r="E222" t="str">
        <f t="shared" si="3"/>
        <v>*</v>
      </c>
      <c r="F222" t="str">
        <f>IF(B222="*","*",_xlfn.XLOOKUP(C222,'TRA TECH'!J:J,'TRA TECH'!K:K))</f>
        <v>*</v>
      </c>
    </row>
    <row r="223" spans="2:6" x14ac:dyDescent="0.25">
      <c r="B223" t="str">
        <f>IF('TRA TECH'!M221=1,IF('TRA TECH'!L221=1,"PRE","*"),"*")</f>
        <v>PRE</v>
      </c>
      <c r="C223" t="str">
        <f>'TRA TECH'!J221</f>
        <v>TRAPASTBUPHEVDSL20</v>
      </c>
      <c r="D223" t="str">
        <f>IF(B223="*","*",_xlfn.XLOOKUP(C223,'TRA TECH'!$J:$J,'TRA TECH'!$A:$A)&amp;" "&amp;_xlfn.XLOOKUP(C223,'TRA TECH'!$J:$J,'TRA TECH'!$B:$B)&amp;" "&amp;_xlfn.XLOOKUP(C223,'TRA TECH'!$J:$J,'TRA TECH'!$C:$C)&amp;" "&amp;_xlfn.XLOOKUP(C223,'TRA TECH'!$J:$J,'TRA TECH'!$F:$F))</f>
        <v>Transportation Passenger Transit Bus Diesel Series Plug-in Hybrid Electric Vehicle</v>
      </c>
      <c r="E223" t="str">
        <f t="shared" si="3"/>
        <v>Mvkm</v>
      </c>
      <c r="F223" t="str">
        <f>IF(B223="*","*",_xlfn.XLOOKUP(C223,'TRA TECH'!J:J,'TRA TECH'!K:K))</f>
        <v>Mvkm</v>
      </c>
    </row>
    <row r="224" spans="2:6" x14ac:dyDescent="0.25">
      <c r="B224" t="str">
        <f>IF('TRA TECH'!M222=1,IF('TRA TECH'!L222=1,"PRE","*"),"*")</f>
        <v>*</v>
      </c>
      <c r="C224" t="str">
        <f>'TRA TECH'!J222</f>
        <v>TRAPASTBUPHEVDSL20</v>
      </c>
      <c r="D224" t="str">
        <f>IF(B224="*","*",_xlfn.XLOOKUP(C224,'TRA TECH'!$J:$J,'TRA TECH'!$A:$A)&amp;" "&amp;_xlfn.XLOOKUP(C224,'TRA TECH'!$J:$J,'TRA TECH'!$B:$B)&amp;" "&amp;_xlfn.XLOOKUP(C224,'TRA TECH'!$J:$J,'TRA TECH'!$C:$C)&amp;" "&amp;_xlfn.XLOOKUP(C224,'TRA TECH'!$J:$J,'TRA TECH'!$F:$F))</f>
        <v>*</v>
      </c>
      <c r="E224" t="str">
        <f t="shared" si="3"/>
        <v>*</v>
      </c>
      <c r="F224" t="str">
        <f>IF(B224="*","*",_xlfn.XLOOKUP(C224,'TRA TECH'!J:J,'TRA TECH'!K:K))</f>
        <v>*</v>
      </c>
    </row>
    <row r="225" spans="2:6" x14ac:dyDescent="0.25">
      <c r="B225" t="str">
        <f>IF('TRA TECH'!M223=1,IF('TRA TECH'!L223=1,"PRE","*"),"*")</f>
        <v>*</v>
      </c>
      <c r="C225" t="str">
        <f>'TRA TECH'!J223</f>
        <v>TRAPASTBUPHEVDSL20</v>
      </c>
      <c r="D225" t="str">
        <f>IF(B225="*","*",_xlfn.XLOOKUP(C225,'TRA TECH'!$J:$J,'TRA TECH'!$A:$A)&amp;" "&amp;_xlfn.XLOOKUP(C225,'TRA TECH'!$J:$J,'TRA TECH'!$B:$B)&amp;" "&amp;_xlfn.XLOOKUP(C225,'TRA TECH'!$J:$J,'TRA TECH'!$C:$C)&amp;" "&amp;_xlfn.XLOOKUP(C225,'TRA TECH'!$J:$J,'TRA TECH'!$F:$F))</f>
        <v>*</v>
      </c>
      <c r="E225" t="str">
        <f t="shared" si="3"/>
        <v>*</v>
      </c>
      <c r="F225" t="str">
        <f>IF(B225="*","*",_xlfn.XLOOKUP(C225,'TRA TECH'!J:J,'TRA TECH'!K:K))</f>
        <v>*</v>
      </c>
    </row>
    <row r="226" spans="2:6" x14ac:dyDescent="0.25">
      <c r="B226" t="str">
        <f>IF('TRA TECH'!M224=1,IF('TRA TECH'!L224=1,"PRE","*"),"*")</f>
        <v>*</v>
      </c>
      <c r="C226" t="str">
        <f>'TRA TECH'!J224</f>
        <v>TRAPASTBUPHEVDSL20</v>
      </c>
      <c r="D226" t="str">
        <f>IF(B226="*","*",_xlfn.XLOOKUP(C226,'TRA TECH'!$J:$J,'TRA TECH'!$A:$A)&amp;" "&amp;_xlfn.XLOOKUP(C226,'TRA TECH'!$J:$J,'TRA TECH'!$B:$B)&amp;" "&amp;_xlfn.XLOOKUP(C226,'TRA TECH'!$J:$J,'TRA TECH'!$C:$C)&amp;" "&amp;_xlfn.XLOOKUP(C226,'TRA TECH'!$J:$J,'TRA TECH'!$F:$F))</f>
        <v>*</v>
      </c>
      <c r="E226" t="str">
        <f t="shared" si="3"/>
        <v>*</v>
      </c>
      <c r="F226" t="str">
        <f>IF(B226="*","*",_xlfn.XLOOKUP(C226,'TRA TECH'!J:J,'TRA TECH'!K:K))</f>
        <v>*</v>
      </c>
    </row>
    <row r="227" spans="2:6" x14ac:dyDescent="0.25">
      <c r="B227" t="str">
        <f>IF('TRA TECH'!M225=1,IF('TRA TECH'!L225=1,"PRE","*"),"*")</f>
        <v>PRE</v>
      </c>
      <c r="C227" t="str">
        <f>'TRA TECH'!J225</f>
        <v>TRAPASTBUFCEV20</v>
      </c>
      <c r="D227" t="str">
        <f>IF(B227="*","*",_xlfn.XLOOKUP(C227,'TRA TECH'!$J:$J,'TRA TECH'!$A:$A)&amp;" "&amp;_xlfn.XLOOKUP(C227,'TRA TECH'!$J:$J,'TRA TECH'!$B:$B)&amp;" "&amp;_xlfn.XLOOKUP(C227,'TRA TECH'!$J:$J,'TRA TECH'!$C:$C)&amp;" "&amp;_xlfn.XLOOKUP(C227,'TRA TECH'!$J:$J,'TRA TECH'!$F:$F))</f>
        <v>Transportation Passenger Transit Bus Hydrogen Fuel Cell Electric Vehicle</v>
      </c>
      <c r="E227" t="str">
        <f t="shared" si="3"/>
        <v>Mvkm</v>
      </c>
      <c r="F227" t="str">
        <f>IF(B227="*","*",_xlfn.XLOOKUP(C227,'TRA TECH'!J:J,'TRA TECH'!K:K))</f>
        <v>Mvkm</v>
      </c>
    </row>
    <row r="228" spans="2:6" x14ac:dyDescent="0.25">
      <c r="B228" t="str">
        <f>IF('TRA TECH'!M226=1,IF('TRA TECH'!L226=1,"PRE","*"),"*")</f>
        <v>PRE</v>
      </c>
      <c r="C228" t="str">
        <f>'TRA TECH'!J226</f>
        <v>TRAPASTBUFCHEV20</v>
      </c>
      <c r="D228" t="str">
        <f>IF(B228="*","*",_xlfn.XLOOKUP(C228,'TRA TECH'!$J:$J,'TRA TECH'!$A:$A)&amp;" "&amp;_xlfn.XLOOKUP(C228,'TRA TECH'!$J:$J,'TRA TECH'!$B:$B)&amp;" "&amp;_xlfn.XLOOKUP(C228,'TRA TECH'!$J:$J,'TRA TECH'!$C:$C)&amp;" "&amp;_xlfn.XLOOKUP(C228,'TRA TECH'!$J:$J,'TRA TECH'!$F:$F))</f>
        <v>Transportation Passenger Transit Bus Hydrogen Fuel Cell Hybrid Electric Vehicle</v>
      </c>
      <c r="E228" t="str">
        <f t="shared" si="3"/>
        <v>Mvkm</v>
      </c>
      <c r="F228" t="str">
        <f>IF(B228="*","*",_xlfn.XLOOKUP(C228,'TRA TECH'!J:J,'TRA TECH'!K:K))</f>
        <v>Mvkm</v>
      </c>
    </row>
    <row r="229" spans="2:6" x14ac:dyDescent="0.25">
      <c r="B229" t="str">
        <f>IF('TRA TECH'!M227=1,IF('TRA TECH'!L227=1,"PRE","*"),"*")</f>
        <v>*</v>
      </c>
      <c r="C229" t="str">
        <f>'TRA TECH'!J227</f>
        <v>TRAPASTBUFCHEV20</v>
      </c>
      <c r="D229" t="str">
        <f>IF(B229="*","*",_xlfn.XLOOKUP(C229,'TRA TECH'!$J:$J,'TRA TECH'!$A:$A)&amp;" "&amp;_xlfn.XLOOKUP(C229,'TRA TECH'!$J:$J,'TRA TECH'!$B:$B)&amp;" "&amp;_xlfn.XLOOKUP(C229,'TRA TECH'!$J:$J,'TRA TECH'!$C:$C)&amp;" "&amp;_xlfn.XLOOKUP(C229,'TRA TECH'!$J:$J,'TRA TECH'!$F:$F))</f>
        <v>*</v>
      </c>
      <c r="E229" t="str">
        <f t="shared" si="3"/>
        <v>*</v>
      </c>
      <c r="F229" t="str">
        <f>IF(B229="*","*",_xlfn.XLOOKUP(C229,'TRA TECH'!J:J,'TRA TECH'!K:K))</f>
        <v>*</v>
      </c>
    </row>
    <row r="230" spans="2:6" x14ac:dyDescent="0.25">
      <c r="B230" t="str">
        <f>IF('TRA TECH'!M228=1,IF('TRA TECH'!L228=1,"PRE","*"),"*")</f>
        <v>PRE</v>
      </c>
      <c r="C230" t="str">
        <f>'TRA TECH'!J228</f>
        <v>TRAPASTBUBEV20</v>
      </c>
      <c r="D230" t="str">
        <f>IF(B230="*","*",_xlfn.XLOOKUP(C230,'TRA TECH'!$J:$J,'TRA TECH'!$A:$A)&amp;" "&amp;_xlfn.XLOOKUP(C230,'TRA TECH'!$J:$J,'TRA TECH'!$B:$B)&amp;" "&amp;_xlfn.XLOOKUP(C230,'TRA TECH'!$J:$J,'TRA TECH'!$C:$C)&amp;" "&amp;_xlfn.XLOOKUP(C230,'TRA TECH'!$J:$J,'TRA TECH'!$F:$F))</f>
        <v>Transportation Passenger Transit Bus Battery Electric Vehicle</v>
      </c>
      <c r="E230" t="str">
        <f t="shared" si="3"/>
        <v>Mvkm</v>
      </c>
      <c r="F230" t="str">
        <f>IF(B230="*","*",_xlfn.XLOOKUP(C230,'TRA TECH'!J:J,'TRA TECH'!K:K))</f>
        <v>Mvkm</v>
      </c>
    </row>
    <row r="231" spans="2:6" x14ac:dyDescent="0.25">
      <c r="B231" t="str">
        <f>IF('TRA TECH'!M229=1,IF('TRA TECH'!L229=1,"PRE","*"),"*")</f>
        <v>PRE</v>
      </c>
      <c r="C231" t="str">
        <f>'TRA TECH'!J229</f>
        <v>TRAPASSBUICEVDSL20</v>
      </c>
      <c r="D231" t="str">
        <f>IF(B231="*","*",_xlfn.XLOOKUP(C231,'TRA TECH'!$J:$J,'TRA TECH'!$A:$A)&amp;" "&amp;_xlfn.XLOOKUP(C231,'TRA TECH'!$J:$J,'TRA TECH'!$B:$B)&amp;" "&amp;_xlfn.XLOOKUP(C231,'TRA TECH'!$J:$J,'TRA TECH'!$C:$C)&amp;" "&amp;_xlfn.XLOOKUP(C231,'TRA TECH'!$J:$J,'TRA TECH'!$F:$F))</f>
        <v>Transportation Passenger School Bus Diesel ICE Vehicle</v>
      </c>
      <c r="E231" t="str">
        <f t="shared" si="3"/>
        <v>Mvkm</v>
      </c>
      <c r="F231" t="str">
        <f>IF(B231="*","*",_xlfn.XLOOKUP(C231,'TRA TECH'!J:J,'TRA TECH'!K:K))</f>
        <v>Mvkm</v>
      </c>
    </row>
    <row r="232" spans="2:6" x14ac:dyDescent="0.25">
      <c r="B232" t="str">
        <f>IF('TRA TECH'!M230=1,IF('TRA TECH'!L230=1,"PRE","*"),"*")</f>
        <v>*</v>
      </c>
      <c r="C232" t="str">
        <f>'TRA TECH'!J230</f>
        <v>TRAPASSBUICEVDSL20</v>
      </c>
      <c r="D232" t="str">
        <f>IF(B232="*","*",_xlfn.XLOOKUP(C232,'TRA TECH'!$J:$J,'TRA TECH'!$A:$A)&amp;" "&amp;_xlfn.XLOOKUP(C232,'TRA TECH'!$J:$J,'TRA TECH'!$B:$B)&amp;" "&amp;_xlfn.XLOOKUP(C232,'TRA TECH'!$J:$J,'TRA TECH'!$C:$C)&amp;" "&amp;_xlfn.XLOOKUP(C232,'TRA TECH'!$J:$J,'TRA TECH'!$F:$F))</f>
        <v>*</v>
      </c>
      <c r="E232" t="str">
        <f t="shared" si="3"/>
        <v>*</v>
      </c>
      <c r="F232" t="str">
        <f>IF(B232="*","*",_xlfn.XLOOKUP(C232,'TRA TECH'!J:J,'TRA TECH'!K:K))</f>
        <v>*</v>
      </c>
    </row>
    <row r="233" spans="2:6" x14ac:dyDescent="0.25">
      <c r="B233" t="str">
        <f>IF('TRA TECH'!M231=1,IF('TRA TECH'!L231=1,"PRE","*"),"*")</f>
        <v>*</v>
      </c>
      <c r="C233" t="str">
        <f>'TRA TECH'!J231</f>
        <v>TRAPASSBUICEVDSL20</v>
      </c>
      <c r="D233" t="str">
        <f>IF(B233="*","*",_xlfn.XLOOKUP(C233,'TRA TECH'!$J:$J,'TRA TECH'!$A:$A)&amp;" "&amp;_xlfn.XLOOKUP(C233,'TRA TECH'!$J:$J,'TRA TECH'!$B:$B)&amp;" "&amp;_xlfn.XLOOKUP(C233,'TRA TECH'!$J:$J,'TRA TECH'!$C:$C)&amp;" "&amp;_xlfn.XLOOKUP(C233,'TRA TECH'!$J:$J,'TRA TECH'!$F:$F))</f>
        <v>*</v>
      </c>
      <c r="E233" t="str">
        <f t="shared" si="3"/>
        <v>*</v>
      </c>
      <c r="F233" t="str">
        <f>IF(B233="*","*",_xlfn.XLOOKUP(C233,'TRA TECH'!J:J,'TRA TECH'!K:K))</f>
        <v>*</v>
      </c>
    </row>
    <row r="234" spans="2:6" x14ac:dyDescent="0.25">
      <c r="B234" t="str">
        <f>IF('TRA TECH'!M232=1,IF('TRA TECH'!L232=1,"PRE","*"),"*")</f>
        <v>PRE</v>
      </c>
      <c r="C234" t="str">
        <f>'TRA TECH'!J232</f>
        <v>TRAPASSBUICEIDSL20</v>
      </c>
      <c r="D234" t="str">
        <f>IF(B234="*","*",_xlfn.XLOOKUP(C234,'TRA TECH'!$J:$J,'TRA TECH'!$A:$A)&amp;" "&amp;_xlfn.XLOOKUP(C234,'TRA TECH'!$J:$J,'TRA TECH'!$B:$B)&amp;" "&amp;_xlfn.XLOOKUP(C234,'TRA TECH'!$J:$J,'TRA TECH'!$C:$C)&amp;" "&amp;_xlfn.XLOOKUP(C234,'TRA TECH'!$J:$J,'TRA TECH'!$F:$F))</f>
        <v>Transportation Passenger School Bus Diesel ICE Vehicle with Integrated Starter Generator</v>
      </c>
      <c r="E234" t="str">
        <f t="shared" si="3"/>
        <v>Mvkm</v>
      </c>
      <c r="F234" t="str">
        <f>IF(B234="*","*",_xlfn.XLOOKUP(C234,'TRA TECH'!J:J,'TRA TECH'!K:K))</f>
        <v>Mvkm</v>
      </c>
    </row>
    <row r="235" spans="2:6" x14ac:dyDescent="0.25">
      <c r="B235" t="str">
        <f>IF('TRA TECH'!M233=1,IF('TRA TECH'!L233=1,"PRE","*"),"*")</f>
        <v>*</v>
      </c>
      <c r="C235" t="str">
        <f>'TRA TECH'!J233</f>
        <v>TRAPASSBUICEIDSL20</v>
      </c>
      <c r="D235" t="str">
        <f>IF(B235="*","*",_xlfn.XLOOKUP(C235,'TRA TECH'!$J:$J,'TRA TECH'!$A:$A)&amp;" "&amp;_xlfn.XLOOKUP(C235,'TRA TECH'!$J:$J,'TRA TECH'!$B:$B)&amp;" "&amp;_xlfn.XLOOKUP(C235,'TRA TECH'!$J:$J,'TRA TECH'!$C:$C)&amp;" "&amp;_xlfn.XLOOKUP(C235,'TRA TECH'!$J:$J,'TRA TECH'!$F:$F))</f>
        <v>*</v>
      </c>
      <c r="E235" t="str">
        <f t="shared" si="3"/>
        <v>*</v>
      </c>
      <c r="F235" t="str">
        <f>IF(B235="*","*",_xlfn.XLOOKUP(C235,'TRA TECH'!J:J,'TRA TECH'!K:K))</f>
        <v>*</v>
      </c>
    </row>
    <row r="236" spans="2:6" x14ac:dyDescent="0.25">
      <c r="B236" t="str">
        <f>IF('TRA TECH'!M234=1,IF('TRA TECH'!L234=1,"PRE","*"),"*")</f>
        <v>*</v>
      </c>
      <c r="C236" t="str">
        <f>'TRA TECH'!J234</f>
        <v>TRAPASSBUICEIDSL20</v>
      </c>
      <c r="D236" t="str">
        <f>IF(B236="*","*",_xlfn.XLOOKUP(C236,'TRA TECH'!$J:$J,'TRA TECH'!$A:$A)&amp;" "&amp;_xlfn.XLOOKUP(C236,'TRA TECH'!$J:$J,'TRA TECH'!$B:$B)&amp;" "&amp;_xlfn.XLOOKUP(C236,'TRA TECH'!$J:$J,'TRA TECH'!$C:$C)&amp;" "&amp;_xlfn.XLOOKUP(C236,'TRA TECH'!$J:$J,'TRA TECH'!$F:$F))</f>
        <v>*</v>
      </c>
      <c r="E236" t="str">
        <f t="shared" si="3"/>
        <v>*</v>
      </c>
      <c r="F236" t="str">
        <f>IF(B236="*","*",_xlfn.XLOOKUP(C236,'TRA TECH'!J:J,'TRA TECH'!K:K))</f>
        <v>*</v>
      </c>
    </row>
    <row r="237" spans="2:6" x14ac:dyDescent="0.25">
      <c r="B237" t="str">
        <f>IF('TRA TECH'!M235=1,IF('TRA TECH'!L235=1,"PRE","*"),"*")</f>
        <v>PRE</v>
      </c>
      <c r="C237" t="str">
        <f>'TRA TECH'!J235</f>
        <v>TRAPASSBUHEVPDSL20</v>
      </c>
      <c r="D237" t="str">
        <f>IF(B237="*","*",_xlfn.XLOOKUP(C237,'TRA TECH'!$J:$J,'TRA TECH'!$A:$A)&amp;" "&amp;_xlfn.XLOOKUP(C237,'TRA TECH'!$J:$J,'TRA TECH'!$B:$B)&amp;" "&amp;_xlfn.XLOOKUP(C237,'TRA TECH'!$J:$J,'TRA TECH'!$C:$C)&amp;" "&amp;_xlfn.XLOOKUP(C237,'TRA TECH'!$J:$J,'TRA TECH'!$F:$F))</f>
        <v>Transportation Passenger School Bus Diesel Parallel Hybrid Electric Vehicle</v>
      </c>
      <c r="E237" t="str">
        <f t="shared" si="3"/>
        <v>Mvkm</v>
      </c>
      <c r="F237" t="str">
        <f>IF(B237="*","*",_xlfn.XLOOKUP(C237,'TRA TECH'!J:J,'TRA TECH'!K:K))</f>
        <v>Mvkm</v>
      </c>
    </row>
    <row r="238" spans="2:6" x14ac:dyDescent="0.25">
      <c r="B238" t="str">
        <f>IF('TRA TECH'!M236=1,IF('TRA TECH'!L236=1,"PRE","*"),"*")</f>
        <v>*</v>
      </c>
      <c r="C238" t="str">
        <f>'TRA TECH'!J236</f>
        <v>TRAPASSBUHEVPDSL20</v>
      </c>
      <c r="D238" t="str">
        <f>IF(B238="*","*",_xlfn.XLOOKUP(C238,'TRA TECH'!$J:$J,'TRA TECH'!$A:$A)&amp;" "&amp;_xlfn.XLOOKUP(C238,'TRA TECH'!$J:$J,'TRA TECH'!$B:$B)&amp;" "&amp;_xlfn.XLOOKUP(C238,'TRA TECH'!$J:$J,'TRA TECH'!$C:$C)&amp;" "&amp;_xlfn.XLOOKUP(C238,'TRA TECH'!$J:$J,'TRA TECH'!$F:$F))</f>
        <v>*</v>
      </c>
      <c r="E238" t="str">
        <f t="shared" si="3"/>
        <v>*</v>
      </c>
      <c r="F238" t="str">
        <f>IF(B238="*","*",_xlfn.XLOOKUP(C238,'TRA TECH'!J:J,'TRA TECH'!K:K))</f>
        <v>*</v>
      </c>
    </row>
    <row r="239" spans="2:6" x14ac:dyDescent="0.25">
      <c r="B239" t="str">
        <f>IF('TRA TECH'!M237=1,IF('TRA TECH'!L237=1,"PRE","*"),"*")</f>
        <v>*</v>
      </c>
      <c r="C239" t="str">
        <f>'TRA TECH'!J237</f>
        <v>TRAPASSBUHEVPDSL20</v>
      </c>
      <c r="D239" t="str">
        <f>IF(B239="*","*",_xlfn.XLOOKUP(C239,'TRA TECH'!$J:$J,'TRA TECH'!$A:$A)&amp;" "&amp;_xlfn.XLOOKUP(C239,'TRA TECH'!$J:$J,'TRA TECH'!$B:$B)&amp;" "&amp;_xlfn.XLOOKUP(C239,'TRA TECH'!$J:$J,'TRA TECH'!$C:$C)&amp;" "&amp;_xlfn.XLOOKUP(C239,'TRA TECH'!$J:$J,'TRA TECH'!$F:$F))</f>
        <v>*</v>
      </c>
      <c r="E239" t="str">
        <f t="shared" si="3"/>
        <v>*</v>
      </c>
      <c r="F239" t="str">
        <f>IF(B239="*","*",_xlfn.XLOOKUP(C239,'TRA TECH'!J:J,'TRA TECH'!K:K))</f>
        <v>*</v>
      </c>
    </row>
    <row r="240" spans="2:6" x14ac:dyDescent="0.25">
      <c r="B240" t="str">
        <f>IF('TRA TECH'!M238=1,IF('TRA TECH'!L238=1,"PRE","*"),"*")</f>
        <v>PRE</v>
      </c>
      <c r="C240" t="str">
        <f>'TRA TECH'!J238</f>
        <v>TRAPASSBUPHEVDSL20</v>
      </c>
      <c r="D240" t="str">
        <f>IF(B240="*","*",_xlfn.XLOOKUP(C240,'TRA TECH'!$J:$J,'TRA TECH'!$A:$A)&amp;" "&amp;_xlfn.XLOOKUP(C240,'TRA TECH'!$J:$J,'TRA TECH'!$B:$B)&amp;" "&amp;_xlfn.XLOOKUP(C240,'TRA TECH'!$J:$J,'TRA TECH'!$C:$C)&amp;" "&amp;_xlfn.XLOOKUP(C240,'TRA TECH'!$J:$J,'TRA TECH'!$F:$F))</f>
        <v>Transportation Passenger School Bus Diesel Series Plug-in Hybrid Electric Vehicle</v>
      </c>
      <c r="E240" t="str">
        <f t="shared" si="3"/>
        <v>Mvkm</v>
      </c>
      <c r="F240" t="str">
        <f>IF(B240="*","*",_xlfn.XLOOKUP(C240,'TRA TECH'!J:J,'TRA TECH'!K:K))</f>
        <v>Mvkm</v>
      </c>
    </row>
    <row r="241" spans="2:6" x14ac:dyDescent="0.25">
      <c r="B241" t="str">
        <f>IF('TRA TECH'!M239=1,IF('TRA TECH'!L239=1,"PRE","*"),"*")</f>
        <v>*</v>
      </c>
      <c r="C241" t="str">
        <f>'TRA TECH'!J239</f>
        <v>TRAPASSBUPHEVDSL20</v>
      </c>
      <c r="D241" t="str">
        <f>IF(B241="*","*",_xlfn.XLOOKUP(C241,'TRA TECH'!$J:$J,'TRA TECH'!$A:$A)&amp;" "&amp;_xlfn.XLOOKUP(C241,'TRA TECH'!$J:$J,'TRA TECH'!$B:$B)&amp;" "&amp;_xlfn.XLOOKUP(C241,'TRA TECH'!$J:$J,'TRA TECH'!$C:$C)&amp;" "&amp;_xlfn.XLOOKUP(C241,'TRA TECH'!$J:$J,'TRA TECH'!$F:$F))</f>
        <v>*</v>
      </c>
      <c r="E241" t="str">
        <f t="shared" si="3"/>
        <v>*</v>
      </c>
      <c r="F241" t="str">
        <f>IF(B241="*","*",_xlfn.XLOOKUP(C241,'TRA TECH'!J:J,'TRA TECH'!K:K))</f>
        <v>*</v>
      </c>
    </row>
    <row r="242" spans="2:6" x14ac:dyDescent="0.25">
      <c r="B242" t="str">
        <f>IF('TRA TECH'!M240=1,IF('TRA TECH'!L240=1,"PRE","*"),"*")</f>
        <v>*</v>
      </c>
      <c r="C242" t="str">
        <f>'TRA TECH'!J240</f>
        <v>TRAPASSBUPHEVDSL20</v>
      </c>
      <c r="D242" t="str">
        <f>IF(B242="*","*",_xlfn.XLOOKUP(C242,'TRA TECH'!$J:$J,'TRA TECH'!$A:$A)&amp;" "&amp;_xlfn.XLOOKUP(C242,'TRA TECH'!$J:$J,'TRA TECH'!$B:$B)&amp;" "&amp;_xlfn.XLOOKUP(C242,'TRA TECH'!$J:$J,'TRA TECH'!$C:$C)&amp;" "&amp;_xlfn.XLOOKUP(C242,'TRA TECH'!$J:$J,'TRA TECH'!$F:$F))</f>
        <v>*</v>
      </c>
      <c r="E242" t="str">
        <f t="shared" si="3"/>
        <v>*</v>
      </c>
      <c r="F242" t="str">
        <f>IF(B242="*","*",_xlfn.XLOOKUP(C242,'TRA TECH'!J:J,'TRA TECH'!K:K))</f>
        <v>*</v>
      </c>
    </row>
    <row r="243" spans="2:6" x14ac:dyDescent="0.25">
      <c r="B243" t="str">
        <f>IF('TRA TECH'!M241=1,IF('TRA TECH'!L241=1,"PRE","*"),"*")</f>
        <v>*</v>
      </c>
      <c r="C243" t="str">
        <f>'TRA TECH'!J241</f>
        <v>TRAPASSBUPHEVDSL20</v>
      </c>
      <c r="D243" t="str">
        <f>IF(B243="*","*",_xlfn.XLOOKUP(C243,'TRA TECH'!$J:$J,'TRA TECH'!$A:$A)&amp;" "&amp;_xlfn.XLOOKUP(C243,'TRA TECH'!$J:$J,'TRA TECH'!$B:$B)&amp;" "&amp;_xlfn.XLOOKUP(C243,'TRA TECH'!$J:$J,'TRA TECH'!$C:$C)&amp;" "&amp;_xlfn.XLOOKUP(C243,'TRA TECH'!$J:$J,'TRA TECH'!$F:$F))</f>
        <v>*</v>
      </c>
      <c r="E243" t="str">
        <f t="shared" si="3"/>
        <v>*</v>
      </c>
      <c r="F243" t="str">
        <f>IF(B243="*","*",_xlfn.XLOOKUP(C243,'TRA TECH'!J:J,'TRA TECH'!K:K))</f>
        <v>*</v>
      </c>
    </row>
    <row r="244" spans="2:6" x14ac:dyDescent="0.25">
      <c r="B244" t="str">
        <f>IF('TRA TECH'!M242=1,IF('TRA TECH'!L242=1,"PRE","*"),"*")</f>
        <v>PRE</v>
      </c>
      <c r="C244" t="str">
        <f>'TRA TECH'!J242</f>
        <v>TRAPASSBUFCEV20</v>
      </c>
      <c r="D244" t="str">
        <f>IF(B244="*","*",_xlfn.XLOOKUP(C244,'TRA TECH'!$J:$J,'TRA TECH'!$A:$A)&amp;" "&amp;_xlfn.XLOOKUP(C244,'TRA TECH'!$J:$J,'TRA TECH'!$B:$B)&amp;" "&amp;_xlfn.XLOOKUP(C244,'TRA TECH'!$J:$J,'TRA TECH'!$C:$C)&amp;" "&amp;_xlfn.XLOOKUP(C244,'TRA TECH'!$J:$J,'TRA TECH'!$F:$F))</f>
        <v>Transportation Passenger School Bus Hydrogen Fuel Cell Electric Vehicle</v>
      </c>
      <c r="E244" t="str">
        <f t="shared" si="3"/>
        <v>Mvkm</v>
      </c>
      <c r="F244" t="str">
        <f>IF(B244="*","*",_xlfn.XLOOKUP(C244,'TRA TECH'!J:J,'TRA TECH'!K:K))</f>
        <v>Mvkm</v>
      </c>
    </row>
    <row r="245" spans="2:6" x14ac:dyDescent="0.25">
      <c r="B245" t="str">
        <f>IF('TRA TECH'!M243=1,IF('TRA TECH'!L243=1,"PRE","*"),"*")</f>
        <v>PRE</v>
      </c>
      <c r="C245" t="str">
        <f>'TRA TECH'!J243</f>
        <v>TRAPASSBUFCHEV20</v>
      </c>
      <c r="D245" t="str">
        <f>IF(B245="*","*",_xlfn.XLOOKUP(C245,'TRA TECH'!$J:$J,'TRA TECH'!$A:$A)&amp;" "&amp;_xlfn.XLOOKUP(C245,'TRA TECH'!$J:$J,'TRA TECH'!$B:$B)&amp;" "&amp;_xlfn.XLOOKUP(C245,'TRA TECH'!$J:$J,'TRA TECH'!$C:$C)&amp;" "&amp;_xlfn.XLOOKUP(C245,'TRA TECH'!$J:$J,'TRA TECH'!$F:$F))</f>
        <v>Transportation Passenger School Bus Hydrogen Fuel Cell Hybrid Electric Vehicle</v>
      </c>
      <c r="E245" t="str">
        <f t="shared" si="3"/>
        <v>Mvkm</v>
      </c>
      <c r="F245" t="str">
        <f>IF(B245="*","*",_xlfn.XLOOKUP(C245,'TRA TECH'!J:J,'TRA TECH'!K:K))</f>
        <v>Mvkm</v>
      </c>
    </row>
    <row r="246" spans="2:6" x14ac:dyDescent="0.25">
      <c r="B246" t="str">
        <f>IF('TRA TECH'!M244=1,IF('TRA TECH'!L244=1,"PRE","*"),"*")</f>
        <v>*</v>
      </c>
      <c r="C246" t="str">
        <f>'TRA TECH'!J244</f>
        <v>TRAPASSBUFCHEV20</v>
      </c>
      <c r="D246" t="str">
        <f>IF(B246="*","*",_xlfn.XLOOKUP(C246,'TRA TECH'!$J:$J,'TRA TECH'!$A:$A)&amp;" "&amp;_xlfn.XLOOKUP(C246,'TRA TECH'!$J:$J,'TRA TECH'!$B:$B)&amp;" "&amp;_xlfn.XLOOKUP(C246,'TRA TECH'!$J:$J,'TRA TECH'!$C:$C)&amp;" "&amp;_xlfn.XLOOKUP(C246,'TRA TECH'!$J:$J,'TRA TECH'!$F:$F))</f>
        <v>*</v>
      </c>
      <c r="E246" t="str">
        <f t="shared" si="3"/>
        <v>*</v>
      </c>
      <c r="F246" t="str">
        <f>IF(B246="*","*",_xlfn.XLOOKUP(C246,'TRA TECH'!J:J,'TRA TECH'!K:K))</f>
        <v>*</v>
      </c>
    </row>
    <row r="247" spans="2:6" x14ac:dyDescent="0.25">
      <c r="B247" t="str">
        <f>IF('TRA TECH'!M245=1,IF('TRA TECH'!L245=1,"PRE","*"),"*")</f>
        <v>PRE</v>
      </c>
      <c r="C247" t="str">
        <f>'TRA TECH'!J245</f>
        <v>TRAPASSBUBEV20</v>
      </c>
      <c r="D247" t="str">
        <f>IF(B247="*","*",_xlfn.XLOOKUP(C247,'TRA TECH'!$J:$J,'TRA TECH'!$A:$A)&amp;" "&amp;_xlfn.XLOOKUP(C247,'TRA TECH'!$J:$J,'TRA TECH'!$B:$B)&amp;" "&amp;_xlfn.XLOOKUP(C247,'TRA TECH'!$J:$J,'TRA TECH'!$C:$C)&amp;" "&amp;_xlfn.XLOOKUP(C247,'TRA TECH'!$J:$J,'TRA TECH'!$F:$F))</f>
        <v>Transportation Passenger School Bus Battery Electric Vehicle</v>
      </c>
      <c r="E247" t="str">
        <f t="shared" si="3"/>
        <v>Mvkm</v>
      </c>
      <c r="F247" t="str">
        <f>IF(B247="*","*",_xlfn.XLOOKUP(C247,'TRA TECH'!J:J,'TRA TECH'!K:K))</f>
        <v>Mvkm</v>
      </c>
    </row>
    <row r="248" spans="2:6" x14ac:dyDescent="0.25">
      <c r="B248" t="str">
        <f>IF('TRA TECH'!M246=1,IF('TRA TECH'!L246=1,"PRE","*"),"*")</f>
        <v>PRE</v>
      </c>
      <c r="C248" t="str">
        <f>'TRA TECH'!J246</f>
        <v>TRAPASOBUICEVDSL20</v>
      </c>
      <c r="D248" t="str">
        <f>IF(B248="*","*",_xlfn.XLOOKUP(C248,'TRA TECH'!$J:$J,'TRA TECH'!$A:$A)&amp;" "&amp;_xlfn.XLOOKUP(C248,'TRA TECH'!$J:$J,'TRA TECH'!$B:$B)&amp;" "&amp;_xlfn.XLOOKUP(C248,'TRA TECH'!$J:$J,'TRA TECH'!$C:$C)&amp;" "&amp;_xlfn.XLOOKUP(C248,'TRA TECH'!$J:$J,'TRA TECH'!$F:$F))</f>
        <v>Transportation Passenger Other Buses Diesel ICE Vehicle</v>
      </c>
      <c r="E248" t="str">
        <f t="shared" si="3"/>
        <v>Mvkm</v>
      </c>
      <c r="F248" t="str">
        <f>IF(B248="*","*",_xlfn.XLOOKUP(C248,'TRA TECH'!J:J,'TRA TECH'!K:K))</f>
        <v>Mvkm</v>
      </c>
    </row>
    <row r="249" spans="2:6" x14ac:dyDescent="0.25">
      <c r="B249" t="str">
        <f>IF('TRA TECH'!M247=1,IF('TRA TECH'!L247=1,"PRE","*"),"*")</f>
        <v>*</v>
      </c>
      <c r="C249" t="str">
        <f>'TRA TECH'!J247</f>
        <v>TRAPASOBUICEVDSL20</v>
      </c>
      <c r="D249" t="str">
        <f>IF(B249="*","*",_xlfn.XLOOKUP(C249,'TRA TECH'!$J:$J,'TRA TECH'!$A:$A)&amp;" "&amp;_xlfn.XLOOKUP(C249,'TRA TECH'!$J:$J,'TRA TECH'!$B:$B)&amp;" "&amp;_xlfn.XLOOKUP(C249,'TRA TECH'!$J:$J,'TRA TECH'!$C:$C)&amp;" "&amp;_xlfn.XLOOKUP(C249,'TRA TECH'!$J:$J,'TRA TECH'!$F:$F))</f>
        <v>*</v>
      </c>
      <c r="E249" t="str">
        <f t="shared" si="3"/>
        <v>*</v>
      </c>
      <c r="F249" t="str">
        <f>IF(B249="*","*",_xlfn.XLOOKUP(C249,'TRA TECH'!J:J,'TRA TECH'!K:K))</f>
        <v>*</v>
      </c>
    </row>
    <row r="250" spans="2:6" x14ac:dyDescent="0.25">
      <c r="B250" t="str">
        <f>IF('TRA TECH'!M248=1,IF('TRA TECH'!L248=1,"PRE","*"),"*")</f>
        <v>*</v>
      </c>
      <c r="C250" t="str">
        <f>'TRA TECH'!J248</f>
        <v>TRAPASOBUICEVDSL20</v>
      </c>
      <c r="D250" t="str">
        <f>IF(B250="*","*",_xlfn.XLOOKUP(C250,'TRA TECH'!$J:$J,'TRA TECH'!$A:$A)&amp;" "&amp;_xlfn.XLOOKUP(C250,'TRA TECH'!$J:$J,'TRA TECH'!$B:$B)&amp;" "&amp;_xlfn.XLOOKUP(C250,'TRA TECH'!$J:$J,'TRA TECH'!$C:$C)&amp;" "&amp;_xlfn.XLOOKUP(C250,'TRA TECH'!$J:$J,'TRA TECH'!$F:$F))</f>
        <v>*</v>
      </c>
      <c r="E250" t="str">
        <f t="shared" si="3"/>
        <v>*</v>
      </c>
      <c r="F250" t="str">
        <f>IF(B250="*","*",_xlfn.XLOOKUP(C250,'TRA TECH'!J:J,'TRA TECH'!K:K))</f>
        <v>*</v>
      </c>
    </row>
    <row r="251" spans="2:6" x14ac:dyDescent="0.25">
      <c r="B251" t="str">
        <f>IF('TRA TECH'!M249=1,IF('TRA TECH'!L249=1,"PRE","*"),"*")</f>
        <v>PRE</v>
      </c>
      <c r="C251" t="str">
        <f>'TRA TECH'!J249</f>
        <v>TRAPASOBUICEIDSL20</v>
      </c>
      <c r="D251" t="str">
        <f>IF(B251="*","*",_xlfn.XLOOKUP(C251,'TRA TECH'!$J:$J,'TRA TECH'!$A:$A)&amp;" "&amp;_xlfn.XLOOKUP(C251,'TRA TECH'!$J:$J,'TRA TECH'!$B:$B)&amp;" "&amp;_xlfn.XLOOKUP(C251,'TRA TECH'!$J:$J,'TRA TECH'!$C:$C)&amp;" "&amp;_xlfn.XLOOKUP(C251,'TRA TECH'!$J:$J,'TRA TECH'!$F:$F))</f>
        <v>Transportation Passenger Other Buses Diesel ICE Vehicle with Integrated Starter Generator</v>
      </c>
      <c r="E251" t="str">
        <f t="shared" si="3"/>
        <v>Mvkm</v>
      </c>
      <c r="F251" t="str">
        <f>IF(B251="*","*",_xlfn.XLOOKUP(C251,'TRA TECH'!J:J,'TRA TECH'!K:K))</f>
        <v>Mvkm</v>
      </c>
    </row>
    <row r="252" spans="2:6" x14ac:dyDescent="0.25">
      <c r="B252" t="str">
        <f>IF('TRA TECH'!M250=1,IF('TRA TECH'!L250=1,"PRE","*"),"*")</f>
        <v>*</v>
      </c>
      <c r="C252" t="str">
        <f>'TRA TECH'!J250</f>
        <v>TRAPASOBUICEIDSL20</v>
      </c>
      <c r="D252" t="str">
        <f>IF(B252="*","*",_xlfn.XLOOKUP(C252,'TRA TECH'!$J:$J,'TRA TECH'!$A:$A)&amp;" "&amp;_xlfn.XLOOKUP(C252,'TRA TECH'!$J:$J,'TRA TECH'!$B:$B)&amp;" "&amp;_xlfn.XLOOKUP(C252,'TRA TECH'!$J:$J,'TRA TECH'!$C:$C)&amp;" "&amp;_xlfn.XLOOKUP(C252,'TRA TECH'!$J:$J,'TRA TECH'!$F:$F))</f>
        <v>*</v>
      </c>
      <c r="E252" t="str">
        <f t="shared" si="3"/>
        <v>*</v>
      </c>
      <c r="F252" t="str">
        <f>IF(B252="*","*",_xlfn.XLOOKUP(C252,'TRA TECH'!J:J,'TRA TECH'!K:K))</f>
        <v>*</v>
      </c>
    </row>
    <row r="253" spans="2:6" x14ac:dyDescent="0.25">
      <c r="B253" t="str">
        <f>IF('TRA TECH'!M251=1,IF('TRA TECH'!L251=1,"PRE","*"),"*")</f>
        <v>*</v>
      </c>
      <c r="C253" t="str">
        <f>'TRA TECH'!J251</f>
        <v>TRAPASOBUICEIDSL20</v>
      </c>
      <c r="D253" t="str">
        <f>IF(B253="*","*",_xlfn.XLOOKUP(C253,'TRA TECH'!$J:$J,'TRA TECH'!$A:$A)&amp;" "&amp;_xlfn.XLOOKUP(C253,'TRA TECH'!$J:$J,'TRA TECH'!$B:$B)&amp;" "&amp;_xlfn.XLOOKUP(C253,'TRA TECH'!$J:$J,'TRA TECH'!$C:$C)&amp;" "&amp;_xlfn.XLOOKUP(C253,'TRA TECH'!$J:$J,'TRA TECH'!$F:$F))</f>
        <v>*</v>
      </c>
      <c r="E253" t="str">
        <f t="shared" si="3"/>
        <v>*</v>
      </c>
      <c r="F253" t="str">
        <f>IF(B253="*","*",_xlfn.XLOOKUP(C253,'TRA TECH'!J:J,'TRA TECH'!K:K))</f>
        <v>*</v>
      </c>
    </row>
    <row r="254" spans="2:6" x14ac:dyDescent="0.25">
      <c r="B254" t="str">
        <f>IF('TRA TECH'!M252=1,IF('TRA TECH'!L252=1,"PRE","*"),"*")</f>
        <v>PRE</v>
      </c>
      <c r="C254" t="str">
        <f>'TRA TECH'!J252</f>
        <v>TRAPASOBUHEVPDSL20</v>
      </c>
      <c r="D254" t="str">
        <f>IF(B254="*","*",_xlfn.XLOOKUP(C254,'TRA TECH'!$J:$J,'TRA TECH'!$A:$A)&amp;" "&amp;_xlfn.XLOOKUP(C254,'TRA TECH'!$J:$J,'TRA TECH'!$B:$B)&amp;" "&amp;_xlfn.XLOOKUP(C254,'TRA TECH'!$J:$J,'TRA TECH'!$C:$C)&amp;" "&amp;_xlfn.XLOOKUP(C254,'TRA TECH'!$J:$J,'TRA TECH'!$F:$F))</f>
        <v>Transportation Passenger Other Buses Diesel Parallel Hybrid Electric Vehicle</v>
      </c>
      <c r="E254" t="str">
        <f t="shared" si="3"/>
        <v>Mvkm</v>
      </c>
      <c r="F254" t="str">
        <f>IF(B254="*","*",_xlfn.XLOOKUP(C254,'TRA TECH'!J:J,'TRA TECH'!K:K))</f>
        <v>Mvkm</v>
      </c>
    </row>
    <row r="255" spans="2:6" x14ac:dyDescent="0.25">
      <c r="B255" t="str">
        <f>IF('TRA TECH'!M253=1,IF('TRA TECH'!L253=1,"PRE","*"),"*")</f>
        <v>*</v>
      </c>
      <c r="C255" t="str">
        <f>'TRA TECH'!J253</f>
        <v>TRAPASOBUHEVPDSL20</v>
      </c>
      <c r="D255" t="str">
        <f>IF(B255="*","*",_xlfn.XLOOKUP(C255,'TRA TECH'!$J:$J,'TRA TECH'!$A:$A)&amp;" "&amp;_xlfn.XLOOKUP(C255,'TRA TECH'!$J:$J,'TRA TECH'!$B:$B)&amp;" "&amp;_xlfn.XLOOKUP(C255,'TRA TECH'!$J:$J,'TRA TECH'!$C:$C)&amp;" "&amp;_xlfn.XLOOKUP(C255,'TRA TECH'!$J:$J,'TRA TECH'!$F:$F))</f>
        <v>*</v>
      </c>
      <c r="E255" t="str">
        <f t="shared" si="3"/>
        <v>*</v>
      </c>
      <c r="F255" t="str">
        <f>IF(B255="*","*",_xlfn.XLOOKUP(C255,'TRA TECH'!J:J,'TRA TECH'!K:K))</f>
        <v>*</v>
      </c>
    </row>
    <row r="256" spans="2:6" x14ac:dyDescent="0.25">
      <c r="B256" t="str">
        <f>IF('TRA TECH'!M254=1,IF('TRA TECH'!L254=1,"PRE","*"),"*")</f>
        <v>*</v>
      </c>
      <c r="C256" t="str">
        <f>'TRA TECH'!J254</f>
        <v>TRAPASOBUHEVPDSL20</v>
      </c>
      <c r="D256" t="str">
        <f>IF(B256="*","*",_xlfn.XLOOKUP(C256,'TRA TECH'!$J:$J,'TRA TECH'!$A:$A)&amp;" "&amp;_xlfn.XLOOKUP(C256,'TRA TECH'!$J:$J,'TRA TECH'!$B:$B)&amp;" "&amp;_xlfn.XLOOKUP(C256,'TRA TECH'!$J:$J,'TRA TECH'!$C:$C)&amp;" "&amp;_xlfn.XLOOKUP(C256,'TRA TECH'!$J:$J,'TRA TECH'!$F:$F))</f>
        <v>*</v>
      </c>
      <c r="E256" t="str">
        <f t="shared" si="3"/>
        <v>*</v>
      </c>
      <c r="F256" t="str">
        <f>IF(B256="*","*",_xlfn.XLOOKUP(C256,'TRA TECH'!J:J,'TRA TECH'!K:K))</f>
        <v>*</v>
      </c>
    </row>
    <row r="257" spans="2:6" x14ac:dyDescent="0.25">
      <c r="B257" t="str">
        <f>IF('TRA TECH'!M255=1,IF('TRA TECH'!L255=1,"PRE","*"),"*")</f>
        <v>PRE</v>
      </c>
      <c r="C257" t="str">
        <f>'TRA TECH'!J255</f>
        <v>TRAPASOBUPHEVDSL20</v>
      </c>
      <c r="D257" t="str">
        <f>IF(B257="*","*",_xlfn.XLOOKUP(C257,'TRA TECH'!$J:$J,'TRA TECH'!$A:$A)&amp;" "&amp;_xlfn.XLOOKUP(C257,'TRA TECH'!$J:$J,'TRA TECH'!$B:$B)&amp;" "&amp;_xlfn.XLOOKUP(C257,'TRA TECH'!$J:$J,'TRA TECH'!$C:$C)&amp;" "&amp;_xlfn.XLOOKUP(C257,'TRA TECH'!$J:$J,'TRA TECH'!$F:$F))</f>
        <v>Transportation Passenger Other Buses Diesel Series Plug-in Hybrid Electric Vehicle</v>
      </c>
      <c r="E257" t="str">
        <f t="shared" si="3"/>
        <v>Mvkm</v>
      </c>
      <c r="F257" t="str">
        <f>IF(B257="*","*",_xlfn.XLOOKUP(C257,'TRA TECH'!J:J,'TRA TECH'!K:K))</f>
        <v>Mvkm</v>
      </c>
    </row>
    <row r="258" spans="2:6" x14ac:dyDescent="0.25">
      <c r="B258" t="str">
        <f>IF('TRA TECH'!M256=1,IF('TRA TECH'!L256=1,"PRE","*"),"*")</f>
        <v>*</v>
      </c>
      <c r="C258" t="str">
        <f>'TRA TECH'!J256</f>
        <v>TRAPASOBUPHEVDSL20</v>
      </c>
      <c r="D258" t="str">
        <f>IF(B258="*","*",_xlfn.XLOOKUP(C258,'TRA TECH'!$J:$J,'TRA TECH'!$A:$A)&amp;" "&amp;_xlfn.XLOOKUP(C258,'TRA TECH'!$J:$J,'TRA TECH'!$B:$B)&amp;" "&amp;_xlfn.XLOOKUP(C258,'TRA TECH'!$J:$J,'TRA TECH'!$C:$C)&amp;" "&amp;_xlfn.XLOOKUP(C258,'TRA TECH'!$J:$J,'TRA TECH'!$F:$F))</f>
        <v>*</v>
      </c>
      <c r="E258" t="str">
        <f t="shared" si="3"/>
        <v>*</v>
      </c>
      <c r="F258" t="str">
        <f>IF(B258="*","*",_xlfn.XLOOKUP(C258,'TRA TECH'!J:J,'TRA TECH'!K:K))</f>
        <v>*</v>
      </c>
    </row>
    <row r="259" spans="2:6" x14ac:dyDescent="0.25">
      <c r="B259" t="str">
        <f>IF('TRA TECH'!M257=1,IF('TRA TECH'!L257=1,"PRE","*"),"*")</f>
        <v>*</v>
      </c>
      <c r="C259" t="str">
        <f>'TRA TECH'!J257</f>
        <v>TRAPASOBUPHEVDSL20</v>
      </c>
      <c r="D259" t="str">
        <f>IF(B259="*","*",_xlfn.XLOOKUP(C259,'TRA TECH'!$J:$J,'TRA TECH'!$A:$A)&amp;" "&amp;_xlfn.XLOOKUP(C259,'TRA TECH'!$J:$J,'TRA TECH'!$B:$B)&amp;" "&amp;_xlfn.XLOOKUP(C259,'TRA TECH'!$J:$J,'TRA TECH'!$C:$C)&amp;" "&amp;_xlfn.XLOOKUP(C259,'TRA TECH'!$J:$J,'TRA TECH'!$F:$F))</f>
        <v>*</v>
      </c>
      <c r="E259" t="str">
        <f t="shared" si="3"/>
        <v>*</v>
      </c>
      <c r="F259" t="str">
        <f>IF(B259="*","*",_xlfn.XLOOKUP(C259,'TRA TECH'!J:J,'TRA TECH'!K:K))</f>
        <v>*</v>
      </c>
    </row>
    <row r="260" spans="2:6" x14ac:dyDescent="0.25">
      <c r="B260" t="str">
        <f>IF('TRA TECH'!M258=1,IF('TRA TECH'!L258=1,"PRE","*"),"*")</f>
        <v>*</v>
      </c>
      <c r="C260" t="str">
        <f>'TRA TECH'!J258</f>
        <v>TRAPASOBUPHEVDSL20</v>
      </c>
      <c r="D260" t="str">
        <f>IF(B260="*","*",_xlfn.XLOOKUP(C260,'TRA TECH'!$J:$J,'TRA TECH'!$A:$A)&amp;" "&amp;_xlfn.XLOOKUP(C260,'TRA TECH'!$J:$J,'TRA TECH'!$B:$B)&amp;" "&amp;_xlfn.XLOOKUP(C260,'TRA TECH'!$J:$J,'TRA TECH'!$C:$C)&amp;" "&amp;_xlfn.XLOOKUP(C260,'TRA TECH'!$J:$J,'TRA TECH'!$F:$F))</f>
        <v>*</v>
      </c>
      <c r="E260" t="str">
        <f t="shared" si="3"/>
        <v>*</v>
      </c>
      <c r="F260" t="str">
        <f>IF(B260="*","*",_xlfn.XLOOKUP(C260,'TRA TECH'!J:J,'TRA TECH'!K:K))</f>
        <v>*</v>
      </c>
    </row>
    <row r="261" spans="2:6" x14ac:dyDescent="0.25">
      <c r="B261" t="str">
        <f>IF('TRA TECH'!M259=1,IF('TRA TECH'!L259=1,"PRE","*"),"*")</f>
        <v>PRE</v>
      </c>
      <c r="C261" t="str">
        <f>'TRA TECH'!J259</f>
        <v>TRAPASOBUFCEV20</v>
      </c>
      <c r="D261" t="str">
        <f>IF(B261="*","*",_xlfn.XLOOKUP(C261,'TRA TECH'!$J:$J,'TRA TECH'!$A:$A)&amp;" "&amp;_xlfn.XLOOKUP(C261,'TRA TECH'!$J:$J,'TRA TECH'!$B:$B)&amp;" "&amp;_xlfn.XLOOKUP(C261,'TRA TECH'!$J:$J,'TRA TECH'!$C:$C)&amp;" "&amp;_xlfn.XLOOKUP(C261,'TRA TECH'!$J:$J,'TRA TECH'!$F:$F))</f>
        <v>Transportation Passenger Other Buses Hydrogen Fuel Cell Electric Vehicle</v>
      </c>
      <c r="E261" t="str">
        <f t="shared" ref="E261:E324" si="4">IF(F261="MW","TJ",F261)</f>
        <v>Mvkm</v>
      </c>
      <c r="F261" t="str">
        <f>IF(B261="*","*",_xlfn.XLOOKUP(C261,'TRA TECH'!J:J,'TRA TECH'!K:K))</f>
        <v>Mvkm</v>
      </c>
    </row>
    <row r="262" spans="2:6" x14ac:dyDescent="0.25">
      <c r="B262" t="str">
        <f>IF('TRA TECH'!M260=1,IF('TRA TECH'!L260=1,"PRE","*"),"*")</f>
        <v>PRE</v>
      </c>
      <c r="C262" t="str">
        <f>'TRA TECH'!J260</f>
        <v>TRAPASOBUFCHEV20</v>
      </c>
      <c r="D262" t="str">
        <f>IF(B262="*","*",_xlfn.XLOOKUP(C262,'TRA TECH'!$J:$J,'TRA TECH'!$A:$A)&amp;" "&amp;_xlfn.XLOOKUP(C262,'TRA TECH'!$J:$J,'TRA TECH'!$B:$B)&amp;" "&amp;_xlfn.XLOOKUP(C262,'TRA TECH'!$J:$J,'TRA TECH'!$C:$C)&amp;" "&amp;_xlfn.XLOOKUP(C262,'TRA TECH'!$J:$J,'TRA TECH'!$F:$F))</f>
        <v>Transportation Passenger Other Buses Hydrogen Fuel Cell Hybrid Electric Vehicle</v>
      </c>
      <c r="E262" t="str">
        <f t="shared" si="4"/>
        <v>Mvkm</v>
      </c>
      <c r="F262" t="str">
        <f>IF(B262="*","*",_xlfn.XLOOKUP(C262,'TRA TECH'!J:J,'TRA TECH'!K:K))</f>
        <v>Mvkm</v>
      </c>
    </row>
    <row r="263" spans="2:6" x14ac:dyDescent="0.25">
      <c r="B263" t="str">
        <f>IF('TRA TECH'!M261=1,IF('TRA TECH'!L261=1,"PRE","*"),"*")</f>
        <v>*</v>
      </c>
      <c r="C263" t="str">
        <f>'TRA TECH'!J261</f>
        <v>TRAPASOBUFCHEV20</v>
      </c>
      <c r="D263" t="str">
        <f>IF(B263="*","*",_xlfn.XLOOKUP(C263,'TRA TECH'!$J:$J,'TRA TECH'!$A:$A)&amp;" "&amp;_xlfn.XLOOKUP(C263,'TRA TECH'!$J:$J,'TRA TECH'!$B:$B)&amp;" "&amp;_xlfn.XLOOKUP(C263,'TRA TECH'!$J:$J,'TRA TECH'!$C:$C)&amp;" "&amp;_xlfn.XLOOKUP(C263,'TRA TECH'!$J:$J,'TRA TECH'!$F:$F))</f>
        <v>*</v>
      </c>
      <c r="E263" t="str">
        <f t="shared" si="4"/>
        <v>*</v>
      </c>
      <c r="F263" t="str">
        <f>IF(B263="*","*",_xlfn.XLOOKUP(C263,'TRA TECH'!J:J,'TRA TECH'!K:K))</f>
        <v>*</v>
      </c>
    </row>
    <row r="264" spans="2:6" x14ac:dyDescent="0.25">
      <c r="B264" t="str">
        <f>IF('TRA TECH'!M262=1,IF('TRA TECH'!L262=1,"PRE","*"),"*")</f>
        <v>PRE</v>
      </c>
      <c r="C264" t="str">
        <f>'TRA TECH'!J262</f>
        <v>TRAPASOBUBEV20</v>
      </c>
      <c r="D264" t="str">
        <f>IF(B264="*","*",_xlfn.XLOOKUP(C264,'TRA TECH'!$J:$J,'TRA TECH'!$A:$A)&amp;" "&amp;_xlfn.XLOOKUP(C264,'TRA TECH'!$J:$J,'TRA TECH'!$B:$B)&amp;" "&amp;_xlfn.XLOOKUP(C264,'TRA TECH'!$J:$J,'TRA TECH'!$C:$C)&amp;" "&amp;_xlfn.XLOOKUP(C264,'TRA TECH'!$J:$J,'TRA TECH'!$F:$F))</f>
        <v>Transportation Passenger Other Buses Battery Electric Vehicle</v>
      </c>
      <c r="E264" t="str">
        <f t="shared" si="4"/>
        <v>Mvkm</v>
      </c>
      <c r="F264" t="str">
        <f>IF(B264="*","*",_xlfn.XLOOKUP(C264,'TRA TECH'!J:J,'TRA TECH'!K:K))</f>
        <v>Mvkm</v>
      </c>
    </row>
    <row r="265" spans="2:6" x14ac:dyDescent="0.25">
      <c r="B265" t="str">
        <f>IF('TRA TECH'!M263=1,IF('TRA TECH'!L263=1,"PRE","*"),"*")</f>
        <v>PRE</v>
      </c>
      <c r="C265" t="str">
        <f>'TRA TECH'!J263</f>
        <v>TRAOTHOFRICEVDSL20</v>
      </c>
      <c r="D265" t="str">
        <f>IF(B265="*","*",_xlfn.XLOOKUP(C265,'TRA TECH'!$J:$J,'TRA TECH'!$A:$A)&amp;" "&amp;_xlfn.XLOOKUP(C265,'TRA TECH'!$J:$J,'TRA TECH'!$B:$B)&amp;" "&amp;_xlfn.XLOOKUP(C265,'TRA TECH'!$J:$J,'TRA TECH'!$C:$C)&amp;" "&amp;_xlfn.XLOOKUP(C265,'TRA TECH'!$J:$J,'TRA TECH'!$F:$F))</f>
        <v>Transportation Other Off-Road Diesel ICE Vehicle</v>
      </c>
      <c r="E265" t="str">
        <f t="shared" si="4"/>
        <v>Mvkm</v>
      </c>
      <c r="F265" t="str">
        <f>IF(B265="*","*",_xlfn.XLOOKUP(C265,'TRA TECH'!J:J,'TRA TECH'!K:K))</f>
        <v>Mvkm</v>
      </c>
    </row>
    <row r="266" spans="2:6" x14ac:dyDescent="0.25">
      <c r="B266" t="str">
        <f>IF('TRA TECH'!M264=1,IF('TRA TECH'!L264=1,"PRE","*"),"*")</f>
        <v>*</v>
      </c>
      <c r="C266" t="str">
        <f>'TRA TECH'!J264</f>
        <v>TRAOTHOFRICEVDSL20</v>
      </c>
      <c r="D266" t="str">
        <f>IF(B266="*","*",_xlfn.XLOOKUP(C266,'TRA TECH'!$J:$J,'TRA TECH'!$A:$A)&amp;" "&amp;_xlfn.XLOOKUP(C266,'TRA TECH'!$J:$J,'TRA TECH'!$B:$B)&amp;" "&amp;_xlfn.XLOOKUP(C266,'TRA TECH'!$J:$J,'TRA TECH'!$C:$C)&amp;" "&amp;_xlfn.XLOOKUP(C266,'TRA TECH'!$J:$J,'TRA TECH'!$F:$F))</f>
        <v>*</v>
      </c>
      <c r="E266" t="str">
        <f t="shared" si="4"/>
        <v>*</v>
      </c>
      <c r="F266" t="str">
        <f>IF(B266="*","*",_xlfn.XLOOKUP(C266,'TRA TECH'!J:J,'TRA TECH'!K:K))</f>
        <v>*</v>
      </c>
    </row>
    <row r="267" spans="2:6" x14ac:dyDescent="0.25">
      <c r="B267" t="str">
        <f>IF('TRA TECH'!M265=1,IF('TRA TECH'!L265=1,"PRE","*"),"*")</f>
        <v>*</v>
      </c>
      <c r="C267" t="str">
        <f>'TRA TECH'!J265</f>
        <v>TRAOTHOFRICEVDSL20</v>
      </c>
      <c r="D267" t="str">
        <f>IF(B267="*","*",_xlfn.XLOOKUP(C267,'TRA TECH'!$J:$J,'TRA TECH'!$A:$A)&amp;" "&amp;_xlfn.XLOOKUP(C267,'TRA TECH'!$J:$J,'TRA TECH'!$B:$B)&amp;" "&amp;_xlfn.XLOOKUP(C267,'TRA TECH'!$J:$J,'TRA TECH'!$C:$C)&amp;" "&amp;_xlfn.XLOOKUP(C267,'TRA TECH'!$J:$J,'TRA TECH'!$F:$F))</f>
        <v>*</v>
      </c>
      <c r="E267" t="str">
        <f t="shared" si="4"/>
        <v>*</v>
      </c>
      <c r="F267" t="str">
        <f>IF(B267="*","*",_xlfn.XLOOKUP(C267,'TRA TECH'!J:J,'TRA TECH'!K:K))</f>
        <v>*</v>
      </c>
    </row>
    <row r="268" spans="2:6" x14ac:dyDescent="0.25">
      <c r="B268" t="str">
        <f>IF('TRA TECH'!M266=1,IF('TRA TECH'!L266=1,"PRE","*"),"*")</f>
        <v>PRE</v>
      </c>
      <c r="C268" t="str">
        <f>'TRA TECH'!J266</f>
        <v>TRAOTHOFRICEIDSL20</v>
      </c>
      <c r="D268" t="str">
        <f>IF(B268="*","*",_xlfn.XLOOKUP(C268,'TRA TECH'!$J:$J,'TRA TECH'!$A:$A)&amp;" "&amp;_xlfn.XLOOKUP(C268,'TRA TECH'!$J:$J,'TRA TECH'!$B:$B)&amp;" "&amp;_xlfn.XLOOKUP(C268,'TRA TECH'!$J:$J,'TRA TECH'!$C:$C)&amp;" "&amp;_xlfn.XLOOKUP(C268,'TRA TECH'!$J:$J,'TRA TECH'!$F:$F))</f>
        <v>Transportation Other Off-Road Diesel ICE Vehicle with Integrated Starter Generator</v>
      </c>
      <c r="E268" t="str">
        <f t="shared" si="4"/>
        <v>Mvkm</v>
      </c>
      <c r="F268" t="str">
        <f>IF(B268="*","*",_xlfn.XLOOKUP(C268,'TRA TECH'!J:J,'TRA TECH'!K:K))</f>
        <v>Mvkm</v>
      </c>
    </row>
    <row r="269" spans="2:6" x14ac:dyDescent="0.25">
      <c r="B269" t="str">
        <f>IF('TRA TECH'!M267=1,IF('TRA TECH'!L267=1,"PRE","*"),"*")</f>
        <v>*</v>
      </c>
      <c r="C269" t="str">
        <f>'TRA TECH'!J267</f>
        <v>TRAOTHOFRICEIDSL20</v>
      </c>
      <c r="D269" t="str">
        <f>IF(B269="*","*",_xlfn.XLOOKUP(C269,'TRA TECH'!$J:$J,'TRA TECH'!$A:$A)&amp;" "&amp;_xlfn.XLOOKUP(C269,'TRA TECH'!$J:$J,'TRA TECH'!$B:$B)&amp;" "&amp;_xlfn.XLOOKUP(C269,'TRA TECH'!$J:$J,'TRA TECH'!$C:$C)&amp;" "&amp;_xlfn.XLOOKUP(C269,'TRA TECH'!$J:$J,'TRA TECH'!$F:$F))</f>
        <v>*</v>
      </c>
      <c r="E269" t="str">
        <f t="shared" si="4"/>
        <v>*</v>
      </c>
      <c r="F269" t="str">
        <f>IF(B269="*","*",_xlfn.XLOOKUP(C269,'TRA TECH'!J:J,'TRA TECH'!K:K))</f>
        <v>*</v>
      </c>
    </row>
    <row r="270" spans="2:6" x14ac:dyDescent="0.25">
      <c r="B270" t="str">
        <f>IF('TRA TECH'!M268=1,IF('TRA TECH'!L268=1,"PRE","*"),"*")</f>
        <v>*</v>
      </c>
      <c r="C270" t="str">
        <f>'TRA TECH'!J268</f>
        <v>TRAOTHOFRICEIDSL20</v>
      </c>
      <c r="D270" t="str">
        <f>IF(B270="*","*",_xlfn.XLOOKUP(C270,'TRA TECH'!$J:$J,'TRA TECH'!$A:$A)&amp;" "&amp;_xlfn.XLOOKUP(C270,'TRA TECH'!$J:$J,'TRA TECH'!$B:$B)&amp;" "&amp;_xlfn.XLOOKUP(C270,'TRA TECH'!$J:$J,'TRA TECH'!$C:$C)&amp;" "&amp;_xlfn.XLOOKUP(C270,'TRA TECH'!$J:$J,'TRA TECH'!$F:$F))</f>
        <v>*</v>
      </c>
      <c r="E270" t="str">
        <f t="shared" si="4"/>
        <v>*</v>
      </c>
      <c r="F270" t="str">
        <f>IF(B270="*","*",_xlfn.XLOOKUP(C270,'TRA TECH'!J:J,'TRA TECH'!K:K))</f>
        <v>*</v>
      </c>
    </row>
    <row r="271" spans="2:6" x14ac:dyDescent="0.25">
      <c r="B271" t="str">
        <f>IF('TRA TECH'!M269=1,IF('TRA TECH'!L269=1,"PRE","*"),"*")</f>
        <v>PRE</v>
      </c>
      <c r="C271" t="str">
        <f>'TRA TECH'!J269</f>
        <v>TRAOTHOFRHEVPDSL20</v>
      </c>
      <c r="D271" t="str">
        <f>IF(B271="*","*",_xlfn.XLOOKUP(C271,'TRA TECH'!$J:$J,'TRA TECH'!$A:$A)&amp;" "&amp;_xlfn.XLOOKUP(C271,'TRA TECH'!$J:$J,'TRA TECH'!$B:$B)&amp;" "&amp;_xlfn.XLOOKUP(C271,'TRA TECH'!$J:$J,'TRA TECH'!$C:$C)&amp;" "&amp;_xlfn.XLOOKUP(C271,'TRA TECH'!$J:$J,'TRA TECH'!$F:$F))</f>
        <v>Transportation Other Off-Road Diesel Parallel Hybrid Electric Vehicle</v>
      </c>
      <c r="E271" t="str">
        <f t="shared" si="4"/>
        <v>Mvkm</v>
      </c>
      <c r="F271" t="str">
        <f>IF(B271="*","*",_xlfn.XLOOKUP(C271,'TRA TECH'!J:J,'TRA TECH'!K:K))</f>
        <v>Mvkm</v>
      </c>
    </row>
    <row r="272" spans="2:6" x14ac:dyDescent="0.25">
      <c r="B272" t="str">
        <f>IF('TRA TECH'!M270=1,IF('TRA TECH'!L270=1,"PRE","*"),"*")</f>
        <v>*</v>
      </c>
      <c r="C272" t="str">
        <f>'TRA TECH'!J270</f>
        <v>TRAOTHOFRHEVPDSL20</v>
      </c>
      <c r="D272" t="str">
        <f>IF(B272="*","*",_xlfn.XLOOKUP(C272,'TRA TECH'!$J:$J,'TRA TECH'!$A:$A)&amp;" "&amp;_xlfn.XLOOKUP(C272,'TRA TECH'!$J:$J,'TRA TECH'!$B:$B)&amp;" "&amp;_xlfn.XLOOKUP(C272,'TRA TECH'!$J:$J,'TRA TECH'!$C:$C)&amp;" "&amp;_xlfn.XLOOKUP(C272,'TRA TECH'!$J:$J,'TRA TECH'!$F:$F))</f>
        <v>*</v>
      </c>
      <c r="E272" t="str">
        <f t="shared" si="4"/>
        <v>*</v>
      </c>
      <c r="F272" t="str">
        <f>IF(B272="*","*",_xlfn.XLOOKUP(C272,'TRA TECH'!J:J,'TRA TECH'!K:K))</f>
        <v>*</v>
      </c>
    </row>
    <row r="273" spans="2:6" x14ac:dyDescent="0.25">
      <c r="B273" t="str">
        <f>IF('TRA TECH'!M271=1,IF('TRA TECH'!L271=1,"PRE","*"),"*")</f>
        <v>*</v>
      </c>
      <c r="C273" t="str">
        <f>'TRA TECH'!J271</f>
        <v>TRAOTHOFRHEVPDSL20</v>
      </c>
      <c r="D273" t="str">
        <f>IF(B273="*","*",_xlfn.XLOOKUP(C273,'TRA TECH'!$J:$J,'TRA TECH'!$A:$A)&amp;" "&amp;_xlfn.XLOOKUP(C273,'TRA TECH'!$J:$J,'TRA TECH'!$B:$B)&amp;" "&amp;_xlfn.XLOOKUP(C273,'TRA TECH'!$J:$J,'TRA TECH'!$C:$C)&amp;" "&amp;_xlfn.XLOOKUP(C273,'TRA TECH'!$J:$J,'TRA TECH'!$F:$F))</f>
        <v>*</v>
      </c>
      <c r="E273" t="str">
        <f t="shared" si="4"/>
        <v>*</v>
      </c>
      <c r="F273" t="str">
        <f>IF(B273="*","*",_xlfn.XLOOKUP(C273,'TRA TECH'!J:J,'TRA TECH'!K:K))</f>
        <v>*</v>
      </c>
    </row>
    <row r="274" spans="2:6" x14ac:dyDescent="0.25">
      <c r="B274" t="str">
        <f>IF('TRA TECH'!M272=1,IF('TRA TECH'!L272=1,"PRE","*"),"*")</f>
        <v>PRE</v>
      </c>
      <c r="C274" t="str">
        <f>'TRA TECH'!J272</f>
        <v>TRAOTHOFRPHEVDSL20</v>
      </c>
      <c r="D274" t="str">
        <f>IF(B274="*","*",_xlfn.XLOOKUP(C274,'TRA TECH'!$J:$J,'TRA TECH'!$A:$A)&amp;" "&amp;_xlfn.XLOOKUP(C274,'TRA TECH'!$J:$J,'TRA TECH'!$B:$B)&amp;" "&amp;_xlfn.XLOOKUP(C274,'TRA TECH'!$J:$J,'TRA TECH'!$C:$C)&amp;" "&amp;_xlfn.XLOOKUP(C274,'TRA TECH'!$J:$J,'TRA TECH'!$F:$F))</f>
        <v>Transportation Other Off-Road Diesel Series Plug-in Hybrid Electric Vehicle</v>
      </c>
      <c r="E274" t="str">
        <f t="shared" si="4"/>
        <v>Mvkm</v>
      </c>
      <c r="F274" t="str">
        <f>IF(B274="*","*",_xlfn.XLOOKUP(C274,'TRA TECH'!J:J,'TRA TECH'!K:K))</f>
        <v>Mvkm</v>
      </c>
    </row>
    <row r="275" spans="2:6" x14ac:dyDescent="0.25">
      <c r="B275" t="str">
        <f>IF('TRA TECH'!M273=1,IF('TRA TECH'!L273=1,"PRE","*"),"*")</f>
        <v>*</v>
      </c>
      <c r="C275" t="str">
        <f>'TRA TECH'!J273</f>
        <v>TRAOTHOFRPHEVDSL20</v>
      </c>
      <c r="D275" t="str">
        <f>IF(B275="*","*",_xlfn.XLOOKUP(C275,'TRA TECH'!$J:$J,'TRA TECH'!$A:$A)&amp;" "&amp;_xlfn.XLOOKUP(C275,'TRA TECH'!$J:$J,'TRA TECH'!$B:$B)&amp;" "&amp;_xlfn.XLOOKUP(C275,'TRA TECH'!$J:$J,'TRA TECH'!$C:$C)&amp;" "&amp;_xlfn.XLOOKUP(C275,'TRA TECH'!$J:$J,'TRA TECH'!$F:$F))</f>
        <v>*</v>
      </c>
      <c r="E275" t="str">
        <f t="shared" si="4"/>
        <v>*</v>
      </c>
      <c r="F275" t="str">
        <f>IF(B275="*","*",_xlfn.XLOOKUP(C275,'TRA TECH'!J:J,'TRA TECH'!K:K))</f>
        <v>*</v>
      </c>
    </row>
    <row r="276" spans="2:6" x14ac:dyDescent="0.25">
      <c r="B276" t="str">
        <f>IF('TRA TECH'!M274=1,IF('TRA TECH'!L274=1,"PRE","*"),"*")</f>
        <v>*</v>
      </c>
      <c r="C276" t="str">
        <f>'TRA TECH'!J274</f>
        <v>TRAOTHOFRPHEVDSL20</v>
      </c>
      <c r="D276" t="str">
        <f>IF(B276="*","*",_xlfn.XLOOKUP(C276,'TRA TECH'!$J:$J,'TRA TECH'!$A:$A)&amp;" "&amp;_xlfn.XLOOKUP(C276,'TRA TECH'!$J:$J,'TRA TECH'!$B:$B)&amp;" "&amp;_xlfn.XLOOKUP(C276,'TRA TECH'!$J:$J,'TRA TECH'!$C:$C)&amp;" "&amp;_xlfn.XLOOKUP(C276,'TRA TECH'!$J:$J,'TRA TECH'!$F:$F))</f>
        <v>*</v>
      </c>
      <c r="E276" t="str">
        <f t="shared" si="4"/>
        <v>*</v>
      </c>
      <c r="F276" t="str">
        <f>IF(B276="*","*",_xlfn.XLOOKUP(C276,'TRA TECH'!J:J,'TRA TECH'!K:K))</f>
        <v>*</v>
      </c>
    </row>
    <row r="277" spans="2:6" x14ac:dyDescent="0.25">
      <c r="B277" t="str">
        <f>IF('TRA TECH'!M275=1,IF('TRA TECH'!L275=1,"PRE","*"),"*")</f>
        <v>*</v>
      </c>
      <c r="C277" t="str">
        <f>'TRA TECH'!J275</f>
        <v>TRAOTHOFRPHEVDSL20</v>
      </c>
      <c r="D277" t="str">
        <f>IF(B277="*","*",_xlfn.XLOOKUP(C277,'TRA TECH'!$J:$J,'TRA TECH'!$A:$A)&amp;" "&amp;_xlfn.XLOOKUP(C277,'TRA TECH'!$J:$J,'TRA TECH'!$B:$B)&amp;" "&amp;_xlfn.XLOOKUP(C277,'TRA TECH'!$J:$J,'TRA TECH'!$C:$C)&amp;" "&amp;_xlfn.XLOOKUP(C277,'TRA TECH'!$J:$J,'TRA TECH'!$F:$F))</f>
        <v>*</v>
      </c>
      <c r="E277" t="str">
        <f t="shared" si="4"/>
        <v>*</v>
      </c>
      <c r="F277" t="str">
        <f>IF(B277="*","*",_xlfn.XLOOKUP(C277,'TRA TECH'!J:J,'TRA TECH'!K:K))</f>
        <v>*</v>
      </c>
    </row>
    <row r="278" spans="2:6" x14ac:dyDescent="0.25">
      <c r="B278" t="str">
        <f>IF('TRA TECH'!M276=1,IF('TRA TECH'!L276=1,"PRE","*"),"*")</f>
        <v>PRE</v>
      </c>
      <c r="C278" t="str">
        <f>'TRA TECH'!J276</f>
        <v>TRAOTHOFRFCEV20</v>
      </c>
      <c r="D278" t="str">
        <f>IF(B278="*","*",_xlfn.XLOOKUP(C278,'TRA TECH'!$J:$J,'TRA TECH'!$A:$A)&amp;" "&amp;_xlfn.XLOOKUP(C278,'TRA TECH'!$J:$J,'TRA TECH'!$B:$B)&amp;" "&amp;_xlfn.XLOOKUP(C278,'TRA TECH'!$J:$J,'TRA TECH'!$C:$C)&amp;" "&amp;_xlfn.XLOOKUP(C278,'TRA TECH'!$J:$J,'TRA TECH'!$F:$F))</f>
        <v>Transportation Other Off-Road Hydrogen Fuel Cell Electric Vehicle</v>
      </c>
      <c r="E278" t="str">
        <f t="shared" si="4"/>
        <v>Mvkm</v>
      </c>
      <c r="F278" t="str">
        <f>IF(B278="*","*",_xlfn.XLOOKUP(C278,'TRA TECH'!J:J,'TRA TECH'!K:K))</f>
        <v>Mvkm</v>
      </c>
    </row>
    <row r="279" spans="2:6" x14ac:dyDescent="0.25">
      <c r="B279" t="str">
        <f>IF('TRA TECH'!M277=1,IF('TRA TECH'!L277=1,"PRE","*"),"*")</f>
        <v>PRE</v>
      </c>
      <c r="C279" t="str">
        <f>'TRA TECH'!J277</f>
        <v>TRAOTHOFRFCHEV20</v>
      </c>
      <c r="D279" t="str">
        <f>IF(B279="*","*",_xlfn.XLOOKUP(C279,'TRA TECH'!$J:$J,'TRA TECH'!$A:$A)&amp;" "&amp;_xlfn.XLOOKUP(C279,'TRA TECH'!$J:$J,'TRA TECH'!$B:$B)&amp;" "&amp;_xlfn.XLOOKUP(C279,'TRA TECH'!$J:$J,'TRA TECH'!$C:$C)&amp;" "&amp;_xlfn.XLOOKUP(C279,'TRA TECH'!$J:$J,'TRA TECH'!$F:$F))</f>
        <v>Transportation Other Off-Road Hydrogen Fuel Cell Hybrid Electric Vehicle</v>
      </c>
      <c r="E279" t="str">
        <f t="shared" si="4"/>
        <v>Mvkm</v>
      </c>
      <c r="F279" t="str">
        <f>IF(B279="*","*",_xlfn.XLOOKUP(C279,'TRA TECH'!J:J,'TRA TECH'!K:K))</f>
        <v>Mvkm</v>
      </c>
    </row>
    <row r="280" spans="2:6" x14ac:dyDescent="0.25">
      <c r="B280" t="str">
        <f>IF('TRA TECH'!M278=1,IF('TRA TECH'!L278=1,"PRE","*"),"*")</f>
        <v>*</v>
      </c>
      <c r="C280" t="str">
        <f>'TRA TECH'!J278</f>
        <v>TRAOTHOFRFCHEV20</v>
      </c>
      <c r="D280" t="str">
        <f>IF(B280="*","*",_xlfn.XLOOKUP(C280,'TRA TECH'!$J:$J,'TRA TECH'!$A:$A)&amp;" "&amp;_xlfn.XLOOKUP(C280,'TRA TECH'!$J:$J,'TRA TECH'!$B:$B)&amp;" "&amp;_xlfn.XLOOKUP(C280,'TRA TECH'!$J:$J,'TRA TECH'!$C:$C)&amp;" "&amp;_xlfn.XLOOKUP(C280,'TRA TECH'!$J:$J,'TRA TECH'!$F:$F))</f>
        <v>*</v>
      </c>
      <c r="E280" t="str">
        <f t="shared" si="4"/>
        <v>*</v>
      </c>
      <c r="F280" t="str">
        <f>IF(B280="*","*",_xlfn.XLOOKUP(C280,'TRA TECH'!J:J,'TRA TECH'!K:K))</f>
        <v>*</v>
      </c>
    </row>
    <row r="281" spans="2:6" x14ac:dyDescent="0.25">
      <c r="B281" t="str">
        <f>IF('TRA TECH'!M279=1,IF('TRA TECH'!L279=1,"PRE","*"),"*")</f>
        <v>PRE</v>
      </c>
      <c r="C281" t="str">
        <f>'TRA TECH'!J279</f>
        <v>TRAOTHOFRBEV20</v>
      </c>
      <c r="D281" t="str">
        <f>IF(B281="*","*",_xlfn.XLOOKUP(C281,'TRA TECH'!$J:$J,'TRA TECH'!$A:$A)&amp;" "&amp;_xlfn.XLOOKUP(C281,'TRA TECH'!$J:$J,'TRA TECH'!$B:$B)&amp;" "&amp;_xlfn.XLOOKUP(C281,'TRA TECH'!$J:$J,'TRA TECH'!$C:$C)&amp;" "&amp;_xlfn.XLOOKUP(C281,'TRA TECH'!$J:$J,'TRA TECH'!$F:$F))</f>
        <v>Transportation Other Off-Road Battery Electric Vehicle</v>
      </c>
      <c r="E281" t="str">
        <f t="shared" si="4"/>
        <v>Mvkm</v>
      </c>
      <c r="F281" t="str">
        <f>IF(B281="*","*",_xlfn.XLOOKUP(C281,'TRA TECH'!J:J,'TRA TECH'!K:K))</f>
        <v>Mvkm</v>
      </c>
    </row>
    <row r="282" spans="2:6" x14ac:dyDescent="0.25">
      <c r="B282" t="str">
        <f>IF('TRA TECH'!M280=1,IF('TRA TECH'!L280=1,"PRE","*"),"*")</f>
        <v>PRE</v>
      </c>
      <c r="C282" t="str">
        <f>'TRA TECH'!J280</f>
        <v>TRAPASBIC20</v>
      </c>
      <c r="D282" t="str">
        <f>IF(B282="*","*",_xlfn.XLOOKUP(C282,'TRA TECH'!$J:$J,'TRA TECH'!$A:$A)&amp;" "&amp;_xlfn.XLOOKUP(C282,'TRA TECH'!$J:$J,'TRA TECH'!$B:$B)&amp;" "&amp;_xlfn.XLOOKUP(C282,'TRA TECH'!$J:$J,'TRA TECH'!$C:$C)&amp;" "&amp;_xlfn.XLOOKUP(C282,'TRA TECH'!$J:$J,'TRA TECH'!$F:$F))</f>
        <v>Transportation Passenger Bicycle N/a</v>
      </c>
      <c r="E282" t="str">
        <f t="shared" si="4"/>
        <v>Mvkm</v>
      </c>
      <c r="F282" t="str">
        <f>IF(B282="*","*",_xlfn.XLOOKUP(C282,'TRA TECH'!J:J,'TRA TECH'!K:K))</f>
        <v>Mvkm</v>
      </c>
    </row>
    <row r="283" spans="2:6" x14ac:dyDescent="0.25">
      <c r="B283" t="str">
        <f>IF('TRA TECH'!M281=1,IF('TRA TECH'!L281=1,"PRE","*"),"*")</f>
        <v>PRE</v>
      </c>
      <c r="C283" t="str">
        <f>'TRA TECH'!J281</f>
        <v>TRAPASWAL20</v>
      </c>
      <c r="D283" t="str">
        <f>IF(B283="*","*",_xlfn.XLOOKUP(C283,'TRA TECH'!$J:$J,'TRA TECH'!$A:$A)&amp;" "&amp;_xlfn.XLOOKUP(C283,'TRA TECH'!$J:$J,'TRA TECH'!$B:$B)&amp;" "&amp;_xlfn.XLOOKUP(C283,'TRA TECH'!$J:$J,'TRA TECH'!$C:$C)&amp;" "&amp;_xlfn.XLOOKUP(C283,'TRA TECH'!$J:$J,'TRA TECH'!$F:$F))</f>
        <v>Transportation Passenger Walk N/a</v>
      </c>
      <c r="E283" t="str">
        <f t="shared" si="4"/>
        <v>Mvkm</v>
      </c>
      <c r="F283" t="str">
        <f>IF(B283="*","*",_xlfn.XLOOKUP(C283,'TRA TECH'!J:J,'TRA TECH'!K:K))</f>
        <v>Mvkm</v>
      </c>
    </row>
    <row r="284" spans="2:6" x14ac:dyDescent="0.25">
      <c r="B284" t="str">
        <f>IF('TRA TECH'!M282=1,IF('TRA TECH'!L282=1,"PRE","*"),"*")</f>
        <v>PRE</v>
      </c>
      <c r="C284" t="str">
        <f>'TRA TECH'!J282</f>
        <v>TRAPASRAIICEVDSL20</v>
      </c>
      <c r="D284" t="str">
        <f>IF(B284="*","*",_xlfn.XLOOKUP(C284,'TRA TECH'!$J:$J,'TRA TECH'!$A:$A)&amp;" "&amp;_xlfn.XLOOKUP(C284,'TRA TECH'!$J:$J,'TRA TECH'!$B:$B)&amp;" "&amp;_xlfn.XLOOKUP(C284,'TRA TECH'!$J:$J,'TRA TECH'!$C:$C)&amp;" "&amp;_xlfn.XLOOKUP(C284,'TRA TECH'!$J:$J,'TRA TECH'!$F:$F))</f>
        <v>Transportation Passenger Rail Diesel ICE Vehicle</v>
      </c>
      <c r="E284" t="str">
        <f t="shared" si="4"/>
        <v>Mvkm</v>
      </c>
      <c r="F284" t="str">
        <f>IF(B284="*","*",_xlfn.XLOOKUP(C284,'TRA TECH'!J:J,'TRA TECH'!K:K))</f>
        <v>Mvkm</v>
      </c>
    </row>
    <row r="285" spans="2:6" x14ac:dyDescent="0.25">
      <c r="B285" t="str">
        <f>IF('TRA TECH'!M283=1,IF('TRA TECH'!L283=1,"PRE","*"),"*")</f>
        <v>*</v>
      </c>
      <c r="C285" t="str">
        <f>'TRA TECH'!J283</f>
        <v>TRAPASRAIICEVDSL20</v>
      </c>
      <c r="D285" t="str">
        <f>IF(B285="*","*",_xlfn.XLOOKUP(C285,'TRA TECH'!$J:$J,'TRA TECH'!$A:$A)&amp;" "&amp;_xlfn.XLOOKUP(C285,'TRA TECH'!$J:$J,'TRA TECH'!$B:$B)&amp;" "&amp;_xlfn.XLOOKUP(C285,'TRA TECH'!$J:$J,'TRA TECH'!$C:$C)&amp;" "&amp;_xlfn.XLOOKUP(C285,'TRA TECH'!$J:$J,'TRA TECH'!$F:$F))</f>
        <v>*</v>
      </c>
      <c r="E285" t="str">
        <f t="shared" si="4"/>
        <v>*</v>
      </c>
      <c r="F285" t="str">
        <f>IF(B285="*","*",_xlfn.XLOOKUP(C285,'TRA TECH'!J:J,'TRA TECH'!K:K))</f>
        <v>*</v>
      </c>
    </row>
    <row r="286" spans="2:6" x14ac:dyDescent="0.25">
      <c r="B286" t="str">
        <f>IF('TRA TECH'!M284=1,IF('TRA TECH'!L284=1,"PRE","*"),"*")</f>
        <v>*</v>
      </c>
      <c r="C286" t="str">
        <f>'TRA TECH'!J284</f>
        <v>TRAPASRAIICEVDSL20</v>
      </c>
      <c r="D286" t="str">
        <f>IF(B286="*","*",_xlfn.XLOOKUP(C286,'TRA TECH'!$J:$J,'TRA TECH'!$A:$A)&amp;" "&amp;_xlfn.XLOOKUP(C286,'TRA TECH'!$J:$J,'TRA TECH'!$B:$B)&amp;" "&amp;_xlfn.XLOOKUP(C286,'TRA TECH'!$J:$J,'TRA TECH'!$C:$C)&amp;" "&amp;_xlfn.XLOOKUP(C286,'TRA TECH'!$J:$J,'TRA TECH'!$F:$F))</f>
        <v>*</v>
      </c>
      <c r="E286" t="str">
        <f t="shared" si="4"/>
        <v>*</v>
      </c>
      <c r="F286" t="str">
        <f>IF(B286="*","*",_xlfn.XLOOKUP(C286,'TRA TECH'!J:J,'TRA TECH'!K:K))</f>
        <v>*</v>
      </c>
    </row>
    <row r="287" spans="2:6" x14ac:dyDescent="0.25">
      <c r="B287" t="str">
        <f>IF('TRA TECH'!M285=1,IF('TRA TECH'!L285=1,"PRE","*"),"*")</f>
        <v>PRE</v>
      </c>
      <c r="C287" t="str">
        <f>'TRA TECH'!J285</f>
        <v>TRAPASRAIPROELC20</v>
      </c>
      <c r="D287" t="str">
        <f>IF(B287="*","*",_xlfn.XLOOKUP(C287,'TRA TECH'!$J:$J,'TRA TECH'!$A:$A)&amp;" "&amp;_xlfn.XLOOKUP(C287,'TRA TECH'!$J:$J,'TRA TECH'!$B:$B)&amp;" "&amp;_xlfn.XLOOKUP(C287,'TRA TECH'!$J:$J,'TRA TECH'!$C:$C)&amp;" "&amp;_xlfn.XLOOKUP(C287,'TRA TECH'!$J:$J,'TRA TECH'!$F:$F))</f>
        <v>Transportation Passenger Rail Electric Propulsion Vehicle</v>
      </c>
      <c r="E287" t="str">
        <f t="shared" si="4"/>
        <v>Mvkm</v>
      </c>
      <c r="F287" t="str">
        <f>IF(B287="*","*",_xlfn.XLOOKUP(C287,'TRA TECH'!J:J,'TRA TECH'!K:K))</f>
        <v>Mvkm</v>
      </c>
    </row>
    <row r="288" spans="2:6" x14ac:dyDescent="0.25">
      <c r="B288" t="str">
        <f>IF('TRA TECH'!M286=1,IF('TRA TECH'!L286=1,"PRE","*"),"*")</f>
        <v>PRE</v>
      </c>
      <c r="C288" t="str">
        <f>'TRA TECH'!J286</f>
        <v>TRAPASRAIFCEV20</v>
      </c>
      <c r="D288" t="str">
        <f>IF(B288="*","*",_xlfn.XLOOKUP(C288,'TRA TECH'!$J:$J,'TRA TECH'!$A:$A)&amp;" "&amp;_xlfn.XLOOKUP(C288,'TRA TECH'!$J:$J,'TRA TECH'!$B:$B)&amp;" "&amp;_xlfn.XLOOKUP(C288,'TRA TECH'!$J:$J,'TRA TECH'!$C:$C)&amp;" "&amp;_xlfn.XLOOKUP(C288,'TRA TECH'!$J:$J,'TRA TECH'!$F:$F))</f>
        <v>Transportation Passenger Rail Hydrogen Fuel Cell Electric Vehicle</v>
      </c>
      <c r="E288" t="str">
        <f t="shared" si="4"/>
        <v>Mvkm</v>
      </c>
      <c r="F288" t="str">
        <f>IF(B288="*","*",_xlfn.XLOOKUP(C288,'TRA TECH'!J:J,'TRA TECH'!K:K))</f>
        <v>Mvkm</v>
      </c>
    </row>
    <row r="289" spans="2:6" x14ac:dyDescent="0.25">
      <c r="B289" t="str">
        <f>IF('TRA TECH'!M287=1,IF('TRA TECH'!L287=1,"PRE","*"),"*")</f>
        <v>PRE</v>
      </c>
      <c r="C289" t="str">
        <f>'TRA TECH'!J287</f>
        <v>TRAPASTRMPROELC20</v>
      </c>
      <c r="D289" t="str">
        <f>IF(B289="*","*",_xlfn.XLOOKUP(C289,'TRA TECH'!$J:$J,'TRA TECH'!$A:$A)&amp;" "&amp;_xlfn.XLOOKUP(C289,'TRA TECH'!$J:$J,'TRA TECH'!$B:$B)&amp;" "&amp;_xlfn.XLOOKUP(C289,'TRA TECH'!$J:$J,'TRA TECH'!$C:$C)&amp;" "&amp;_xlfn.XLOOKUP(C289,'TRA TECH'!$J:$J,'TRA TECH'!$F:$F))</f>
        <v>Transportation Passenger Tram Electric Propulsion Vehicle</v>
      </c>
      <c r="E289" t="str">
        <f t="shared" si="4"/>
        <v>Mvkm</v>
      </c>
      <c r="F289" t="str">
        <f>IF(B289="*","*",_xlfn.XLOOKUP(C289,'TRA TECH'!J:J,'TRA TECH'!K:K))</f>
        <v>Mvkm</v>
      </c>
    </row>
    <row r="290" spans="2:6" x14ac:dyDescent="0.25">
      <c r="B290" t="str">
        <f>IF('TRA TECH'!M288=1,IF('TRA TECH'!L288=1,"PRE","*"),"*")</f>
        <v>PRE</v>
      </c>
      <c r="C290" t="str">
        <f>'TRA TECH'!J288</f>
        <v>TRAPASSUBPROELC20</v>
      </c>
      <c r="D290" t="str">
        <f>IF(B290="*","*",_xlfn.XLOOKUP(C290,'TRA TECH'!$J:$J,'TRA TECH'!$A:$A)&amp;" "&amp;_xlfn.XLOOKUP(C290,'TRA TECH'!$J:$J,'TRA TECH'!$B:$B)&amp;" "&amp;_xlfn.XLOOKUP(C290,'TRA TECH'!$J:$J,'TRA TECH'!$C:$C)&amp;" "&amp;_xlfn.XLOOKUP(C290,'TRA TECH'!$J:$J,'TRA TECH'!$F:$F))</f>
        <v>Transportation Passenger Subway Electric Propulsion Vehicle</v>
      </c>
      <c r="E290" t="str">
        <f t="shared" si="4"/>
        <v>Mvkm</v>
      </c>
      <c r="F290" t="str">
        <f>IF(B290="*","*",_xlfn.XLOOKUP(C290,'TRA TECH'!J:J,'TRA TECH'!K:K))</f>
        <v>Mvkm</v>
      </c>
    </row>
    <row r="291" spans="2:6" x14ac:dyDescent="0.25">
      <c r="B291" t="str">
        <f>IF('TRA TECH'!M289=1,IF('TRA TECH'!L289=1,"PRE","*"),"*")</f>
        <v>PRE</v>
      </c>
      <c r="C291" t="str">
        <f>'TRA TECH'!J289</f>
        <v>TRAOTHWATICEVDSL20</v>
      </c>
      <c r="D291" t="str">
        <f>IF(B291="*","*",_xlfn.XLOOKUP(C291,'TRA TECH'!$J:$J,'TRA TECH'!$A:$A)&amp;" "&amp;_xlfn.XLOOKUP(C291,'TRA TECH'!$J:$J,'TRA TECH'!$B:$B)&amp;" "&amp;_xlfn.XLOOKUP(C291,'TRA TECH'!$J:$J,'TRA TECH'!$C:$C)&amp;" "&amp;_xlfn.XLOOKUP(C291,'TRA TECH'!$J:$J,'TRA TECH'!$F:$F))</f>
        <v>Transportation Other Waterborne Diesel ICE Vehicle</v>
      </c>
      <c r="E291" t="str">
        <f t="shared" si="4"/>
        <v>Mvkm</v>
      </c>
      <c r="F291" t="str">
        <f>IF(B291="*","*",_xlfn.XLOOKUP(C291,'TRA TECH'!J:J,'TRA TECH'!K:K))</f>
        <v>Mvkm</v>
      </c>
    </row>
    <row r="292" spans="2:6" x14ac:dyDescent="0.25">
      <c r="B292" t="str">
        <f>IF('TRA TECH'!M290=1,IF('TRA TECH'!L290=1,"PRE","*"),"*")</f>
        <v>*</v>
      </c>
      <c r="C292" t="str">
        <f>'TRA TECH'!J290</f>
        <v>TRAOTHWATICEVDSL20</v>
      </c>
      <c r="D292" t="str">
        <f>IF(B292="*","*",_xlfn.XLOOKUP(C292,'TRA TECH'!$J:$J,'TRA TECH'!$A:$A)&amp;" "&amp;_xlfn.XLOOKUP(C292,'TRA TECH'!$J:$J,'TRA TECH'!$B:$B)&amp;" "&amp;_xlfn.XLOOKUP(C292,'TRA TECH'!$J:$J,'TRA TECH'!$C:$C)&amp;" "&amp;_xlfn.XLOOKUP(C292,'TRA TECH'!$J:$J,'TRA TECH'!$F:$F))</f>
        <v>*</v>
      </c>
      <c r="E292" t="str">
        <f t="shared" si="4"/>
        <v>*</v>
      </c>
      <c r="F292" t="str">
        <f>IF(B292="*","*",_xlfn.XLOOKUP(C292,'TRA TECH'!J:J,'TRA TECH'!K:K))</f>
        <v>*</v>
      </c>
    </row>
    <row r="293" spans="2:6" x14ac:dyDescent="0.25">
      <c r="B293" t="str">
        <f>IF('TRA TECH'!M291=1,IF('TRA TECH'!L291=1,"PRE","*"),"*")</f>
        <v>*</v>
      </c>
      <c r="C293" t="str">
        <f>'TRA TECH'!J291</f>
        <v>TRAOTHWATICEVDSL20</v>
      </c>
      <c r="D293" t="str">
        <f>IF(B293="*","*",_xlfn.XLOOKUP(C293,'TRA TECH'!$J:$J,'TRA TECH'!$A:$A)&amp;" "&amp;_xlfn.XLOOKUP(C293,'TRA TECH'!$J:$J,'TRA TECH'!$B:$B)&amp;" "&amp;_xlfn.XLOOKUP(C293,'TRA TECH'!$J:$J,'TRA TECH'!$C:$C)&amp;" "&amp;_xlfn.XLOOKUP(C293,'TRA TECH'!$J:$J,'TRA TECH'!$F:$F))</f>
        <v>*</v>
      </c>
      <c r="E293" t="str">
        <f t="shared" si="4"/>
        <v>*</v>
      </c>
      <c r="F293" t="str">
        <f>IF(B293="*","*",_xlfn.XLOOKUP(C293,'TRA TECH'!J:J,'TRA TECH'!K:K))</f>
        <v>*</v>
      </c>
    </row>
    <row r="294" spans="2:6" x14ac:dyDescent="0.25">
      <c r="B294" t="str">
        <f>IF('TRA TECH'!M292=1,IF('TRA TECH'!L292=1,"PRE","*"),"*")</f>
        <v>*</v>
      </c>
      <c r="C294" t="str">
        <f>'TRA TECH'!J292</f>
        <v>TRAOTHWATICEVDSL20</v>
      </c>
      <c r="D294" t="str">
        <f>IF(B294="*","*",_xlfn.XLOOKUP(C294,'TRA TECH'!$J:$J,'TRA TECH'!$A:$A)&amp;" "&amp;_xlfn.XLOOKUP(C294,'TRA TECH'!$J:$J,'TRA TECH'!$B:$B)&amp;" "&amp;_xlfn.XLOOKUP(C294,'TRA TECH'!$J:$J,'TRA TECH'!$C:$C)&amp;" "&amp;_xlfn.XLOOKUP(C294,'TRA TECH'!$J:$J,'TRA TECH'!$F:$F))</f>
        <v>*</v>
      </c>
      <c r="E294" t="str">
        <f t="shared" si="4"/>
        <v>*</v>
      </c>
      <c r="F294" t="str">
        <f>IF(B294="*","*",_xlfn.XLOOKUP(C294,'TRA TECH'!J:J,'TRA TECH'!K:K))</f>
        <v>*</v>
      </c>
    </row>
    <row r="295" spans="2:6" x14ac:dyDescent="0.25">
      <c r="B295" t="str">
        <f>IF('TRA TECH'!M293=1,IF('TRA TECH'!L293=1,"PRE","*"),"*")</f>
        <v>*</v>
      </c>
      <c r="C295" t="str">
        <f>'TRA TECH'!J293</f>
        <v>TRAOTHWATICEVDSL20</v>
      </c>
      <c r="D295" t="str">
        <f>IF(B295="*","*",_xlfn.XLOOKUP(C295,'TRA TECH'!$J:$J,'TRA TECH'!$A:$A)&amp;" "&amp;_xlfn.XLOOKUP(C295,'TRA TECH'!$J:$J,'TRA TECH'!$B:$B)&amp;" "&amp;_xlfn.XLOOKUP(C295,'TRA TECH'!$J:$J,'TRA TECH'!$C:$C)&amp;" "&amp;_xlfn.XLOOKUP(C295,'TRA TECH'!$J:$J,'TRA TECH'!$F:$F))</f>
        <v>*</v>
      </c>
      <c r="E295" t="str">
        <f t="shared" si="4"/>
        <v>*</v>
      </c>
      <c r="F295" t="str">
        <f>IF(B295="*","*",_xlfn.XLOOKUP(C295,'TRA TECH'!J:J,'TRA TECH'!K:K))</f>
        <v>*</v>
      </c>
    </row>
    <row r="296" spans="2:6" x14ac:dyDescent="0.25">
      <c r="B296" t="str">
        <f>IF('TRA TECH'!M294=1,IF('TRA TECH'!L294=1,"PRE","*"),"*")</f>
        <v>*</v>
      </c>
      <c r="C296" t="str">
        <f>'TRA TECH'!J294</f>
        <v>TRAOTHWATICEVDSL20</v>
      </c>
      <c r="D296" t="str">
        <f>IF(B296="*","*",_xlfn.XLOOKUP(C296,'TRA TECH'!$J:$J,'TRA TECH'!$A:$A)&amp;" "&amp;_xlfn.XLOOKUP(C296,'TRA TECH'!$J:$J,'TRA TECH'!$B:$B)&amp;" "&amp;_xlfn.XLOOKUP(C296,'TRA TECH'!$J:$J,'TRA TECH'!$C:$C)&amp;" "&amp;_xlfn.XLOOKUP(C296,'TRA TECH'!$J:$J,'TRA TECH'!$F:$F))</f>
        <v>*</v>
      </c>
      <c r="E296" t="str">
        <f t="shared" si="4"/>
        <v>*</v>
      </c>
      <c r="F296" t="str">
        <f>IF(B296="*","*",_xlfn.XLOOKUP(C296,'TRA TECH'!J:J,'TRA TECH'!K:K))</f>
        <v>*</v>
      </c>
    </row>
    <row r="297" spans="2:6" x14ac:dyDescent="0.25">
      <c r="B297" t="str">
        <f>IF('TRA TECH'!M295=1,IF('TRA TECH'!L295=1,"PRE","*"),"*")</f>
        <v>PRE</v>
      </c>
      <c r="C297" t="str">
        <f>'TRA TECH'!J295</f>
        <v>TRAOTHWATHYBDSL20</v>
      </c>
      <c r="D297" t="str">
        <f>IF(B297="*","*",_xlfn.XLOOKUP(C297,'TRA TECH'!$J:$J,'TRA TECH'!$A:$A)&amp;" "&amp;_xlfn.XLOOKUP(C297,'TRA TECH'!$J:$J,'TRA TECH'!$B:$B)&amp;" "&amp;_xlfn.XLOOKUP(C297,'TRA TECH'!$J:$J,'TRA TECH'!$C:$C)&amp;" "&amp;_xlfn.XLOOKUP(C297,'TRA TECH'!$J:$J,'TRA TECH'!$F:$F))</f>
        <v>Transportation Other Waterborne Diesel HYB Vehicle</v>
      </c>
      <c r="E297" t="str">
        <f t="shared" si="4"/>
        <v>Mvkm</v>
      </c>
      <c r="F297" t="str">
        <f>IF(B297="*","*",_xlfn.XLOOKUP(C297,'TRA TECH'!J:J,'TRA TECH'!K:K))</f>
        <v>Mvkm</v>
      </c>
    </row>
    <row r="298" spans="2:6" x14ac:dyDescent="0.25">
      <c r="B298" t="str">
        <f>IF('TRA TECH'!M296=1,IF('TRA TECH'!L296=1,"PRE","*"),"*")</f>
        <v>*</v>
      </c>
      <c r="C298" t="str">
        <f>'TRA TECH'!J296</f>
        <v>TRAOTHWATHYBDSL20</v>
      </c>
      <c r="D298" t="str">
        <f>IF(B298="*","*",_xlfn.XLOOKUP(C298,'TRA TECH'!$J:$J,'TRA TECH'!$A:$A)&amp;" "&amp;_xlfn.XLOOKUP(C298,'TRA TECH'!$J:$J,'TRA TECH'!$B:$B)&amp;" "&amp;_xlfn.XLOOKUP(C298,'TRA TECH'!$J:$J,'TRA TECH'!$C:$C)&amp;" "&amp;_xlfn.XLOOKUP(C298,'TRA TECH'!$J:$J,'TRA TECH'!$F:$F))</f>
        <v>*</v>
      </c>
      <c r="E298" t="str">
        <f t="shared" si="4"/>
        <v>*</v>
      </c>
      <c r="F298" t="str">
        <f>IF(B298="*","*",_xlfn.XLOOKUP(C298,'TRA TECH'!J:J,'TRA TECH'!K:K))</f>
        <v>*</v>
      </c>
    </row>
    <row r="299" spans="2:6" x14ac:dyDescent="0.25">
      <c r="B299" t="str">
        <f>IF('TRA TECH'!M297=1,IF('TRA TECH'!L297=1,"PRE","*"),"*")</f>
        <v>*</v>
      </c>
      <c r="C299" t="str">
        <f>'TRA TECH'!J297</f>
        <v>TRAOTHWATHYBDSL20</v>
      </c>
      <c r="D299" t="str">
        <f>IF(B299="*","*",_xlfn.XLOOKUP(C299,'TRA TECH'!$J:$J,'TRA TECH'!$A:$A)&amp;" "&amp;_xlfn.XLOOKUP(C299,'TRA TECH'!$J:$J,'TRA TECH'!$B:$B)&amp;" "&amp;_xlfn.XLOOKUP(C299,'TRA TECH'!$J:$J,'TRA TECH'!$C:$C)&amp;" "&amp;_xlfn.XLOOKUP(C299,'TRA TECH'!$J:$J,'TRA TECH'!$F:$F))</f>
        <v>*</v>
      </c>
      <c r="E299" t="str">
        <f t="shared" si="4"/>
        <v>*</v>
      </c>
      <c r="F299" t="str">
        <f>IF(B299="*","*",_xlfn.XLOOKUP(C299,'TRA TECH'!J:J,'TRA TECH'!K:K))</f>
        <v>*</v>
      </c>
    </row>
    <row r="300" spans="2:6" x14ac:dyDescent="0.25">
      <c r="B300" t="str">
        <f>IF('TRA TECH'!M298=1,IF('TRA TECH'!L298=1,"PRE","*"),"*")</f>
        <v>PRE</v>
      </c>
      <c r="C300" t="str">
        <f>'TRA TECH'!J298</f>
        <v>TRAOTHWATICEFOI20</v>
      </c>
      <c r="D300" t="str">
        <f>IF(B300="*","*",_xlfn.XLOOKUP(C300,'TRA TECH'!$J:$J,'TRA TECH'!$A:$A)&amp;" "&amp;_xlfn.XLOOKUP(C300,'TRA TECH'!$J:$J,'TRA TECH'!$B:$B)&amp;" "&amp;_xlfn.XLOOKUP(C300,'TRA TECH'!$J:$J,'TRA TECH'!$C:$C)&amp;" "&amp;_xlfn.XLOOKUP(C300,'TRA TECH'!$J:$J,'TRA TECH'!$F:$F))</f>
        <v>Transportation Other Waterborne Fuel oil ICE Vehicle</v>
      </c>
      <c r="E300" t="str">
        <f t="shared" si="4"/>
        <v>Mvkm</v>
      </c>
      <c r="F300" t="str">
        <f>IF(B300="*","*",_xlfn.XLOOKUP(C300,'TRA TECH'!J:J,'TRA TECH'!K:K))</f>
        <v>Mvkm</v>
      </c>
    </row>
    <row r="301" spans="2:6" x14ac:dyDescent="0.25">
      <c r="B301" t="str">
        <f>IF('TRA TECH'!M299=1,IF('TRA TECH'!L299=1,"PRE","*"),"*")</f>
        <v>PRE</v>
      </c>
      <c r="C301" t="str">
        <f>'TRA TECH'!J299</f>
        <v>TRAOTHWATICEDFOI20</v>
      </c>
      <c r="D301" t="str">
        <f>IF(B301="*","*",_xlfn.XLOOKUP(C301,'TRA TECH'!$J:$J,'TRA TECH'!$A:$A)&amp;" "&amp;_xlfn.XLOOKUP(C301,'TRA TECH'!$J:$J,'TRA TECH'!$B:$B)&amp;" "&amp;_xlfn.XLOOKUP(C301,'TRA TECH'!$J:$J,'TRA TECH'!$C:$C)&amp;" "&amp;_xlfn.XLOOKUP(C301,'TRA TECH'!$J:$J,'TRA TECH'!$F:$F))</f>
        <v>Transportation Other Waterborne Fuel oil ICE Vehicle Direct Injection</v>
      </c>
      <c r="E301" t="str">
        <f t="shared" si="4"/>
        <v>Mvkm</v>
      </c>
      <c r="F301" t="str">
        <f>IF(B301="*","*",_xlfn.XLOOKUP(C301,'TRA TECH'!J:J,'TRA TECH'!K:K))</f>
        <v>Mvkm</v>
      </c>
    </row>
    <row r="302" spans="2:6" x14ac:dyDescent="0.25">
      <c r="B302" t="str">
        <f>IF('TRA TECH'!M300=1,IF('TRA TECH'!L300=1,"PRE","*"),"*")</f>
        <v>PRE</v>
      </c>
      <c r="C302" t="str">
        <f>'TRA TECH'!J300</f>
        <v>TRAOTHWATHYBFOI20</v>
      </c>
      <c r="D302" t="str">
        <f>IF(B302="*","*",_xlfn.XLOOKUP(C302,'TRA TECH'!$J:$J,'TRA TECH'!$A:$A)&amp;" "&amp;_xlfn.XLOOKUP(C302,'TRA TECH'!$J:$J,'TRA TECH'!$B:$B)&amp;" "&amp;_xlfn.XLOOKUP(C302,'TRA TECH'!$J:$J,'TRA TECH'!$C:$C)&amp;" "&amp;_xlfn.XLOOKUP(C302,'TRA TECH'!$J:$J,'TRA TECH'!$F:$F))</f>
        <v>Transportation Other Waterborne Fuel oil HYB Vehicle</v>
      </c>
      <c r="E302" t="str">
        <f t="shared" si="4"/>
        <v>Mvkm</v>
      </c>
      <c r="F302" t="str">
        <f>IF(B302="*","*",_xlfn.XLOOKUP(C302,'TRA TECH'!J:J,'TRA TECH'!K:K))</f>
        <v>Mvkm</v>
      </c>
    </row>
    <row r="303" spans="2:6" x14ac:dyDescent="0.25">
      <c r="B303" t="str">
        <f>IF('TRA TECH'!M301=1,IF('TRA TECH'!L301=1,"PRE","*"),"*")</f>
        <v>PRE</v>
      </c>
      <c r="C303" t="str">
        <f>'TRA TECH'!J301</f>
        <v>TRAOTHAIRTURREA20</v>
      </c>
      <c r="D303" t="str">
        <f>IF(B303="*","*",_xlfn.XLOOKUP(C303,'TRA TECH'!$J:$J,'TRA TECH'!$A:$A)&amp;" "&amp;_xlfn.XLOOKUP(C303,'TRA TECH'!$J:$J,'TRA TECH'!$B:$B)&amp;" "&amp;_xlfn.XLOOKUP(C303,'TRA TECH'!$J:$J,'TRA TECH'!$C:$C)&amp;" "&amp;_xlfn.XLOOKUP(C303,'TRA TECH'!$J:$J,'TRA TECH'!$F:$F))</f>
        <v>Transportation Other Aviation Turbo-reactor</v>
      </c>
      <c r="E303" t="str">
        <f t="shared" si="4"/>
        <v>Mvkm</v>
      </c>
      <c r="F303" t="str">
        <f>IF(B303="*","*",_xlfn.XLOOKUP(C303,'TRA TECH'!J:J,'TRA TECH'!K:K))</f>
        <v>Mvkm</v>
      </c>
    </row>
    <row r="304" spans="2:6" x14ac:dyDescent="0.25">
      <c r="B304" t="str">
        <f>IF('TRA TECH'!M302=1,IF('TRA TECH'!L302=1,"PRE","*"),"*")</f>
        <v>*</v>
      </c>
      <c r="C304" t="str">
        <f>'TRA TECH'!J302</f>
        <v>TRAOTHAIRTURREA20</v>
      </c>
      <c r="D304" t="str">
        <f>IF(B304="*","*",_xlfn.XLOOKUP(C304,'TRA TECH'!$J:$J,'TRA TECH'!$A:$A)&amp;" "&amp;_xlfn.XLOOKUP(C304,'TRA TECH'!$J:$J,'TRA TECH'!$B:$B)&amp;" "&amp;_xlfn.XLOOKUP(C304,'TRA TECH'!$J:$J,'TRA TECH'!$C:$C)&amp;" "&amp;_xlfn.XLOOKUP(C304,'TRA TECH'!$J:$J,'TRA TECH'!$F:$F))</f>
        <v>*</v>
      </c>
      <c r="E304" t="str">
        <f t="shared" si="4"/>
        <v>*</v>
      </c>
      <c r="F304" t="str">
        <f>IF(B304="*","*",_xlfn.XLOOKUP(C304,'TRA TECH'!J:J,'TRA TECH'!K:K))</f>
        <v>*</v>
      </c>
    </row>
    <row r="305" spans="2:6" x14ac:dyDescent="0.25">
      <c r="B305" t="str">
        <f>IF('TRA TECH'!M303=1,IF('TRA TECH'!L303=1,"PRE","*"),"*")</f>
        <v>PRE</v>
      </c>
      <c r="C305" t="str">
        <f>'TRA TECH'!J303</f>
        <v>TRAOTHAIRTURWTD20</v>
      </c>
      <c r="D305" t="str">
        <f>IF(B305="*","*",_xlfn.XLOOKUP(C305,'TRA TECH'!$J:$J,'TRA TECH'!$A:$A)&amp;" "&amp;_xlfn.XLOOKUP(C305,'TRA TECH'!$J:$J,'TRA TECH'!$B:$B)&amp;" "&amp;_xlfn.XLOOKUP(C305,'TRA TECH'!$J:$J,'TRA TECH'!$C:$C)&amp;" "&amp;_xlfn.XLOOKUP(C305,'TRA TECH'!$J:$J,'TRA TECH'!$F:$F))</f>
        <v>Transportation Other Aviation Turbo-reactor Wing Tip Device</v>
      </c>
      <c r="E305" t="str">
        <f t="shared" si="4"/>
        <v>Mvkm</v>
      </c>
      <c r="F305" t="str">
        <f>IF(B305="*","*",_xlfn.XLOOKUP(C305,'TRA TECH'!J:J,'TRA TECH'!K:K))</f>
        <v>Mvkm</v>
      </c>
    </row>
    <row r="306" spans="2:6" x14ac:dyDescent="0.25">
      <c r="B306" t="str">
        <f>IF('TRA TECH'!M304=1,IF('TRA TECH'!L304=1,"PRE","*"),"*")</f>
        <v>*</v>
      </c>
      <c r="C306" t="str">
        <f>'TRA TECH'!J304</f>
        <v>TRAOTHAIRTURWTD20</v>
      </c>
      <c r="D306" t="str">
        <f>IF(B306="*","*",_xlfn.XLOOKUP(C306,'TRA TECH'!$J:$J,'TRA TECH'!$A:$A)&amp;" "&amp;_xlfn.XLOOKUP(C306,'TRA TECH'!$J:$J,'TRA TECH'!$B:$B)&amp;" "&amp;_xlfn.XLOOKUP(C306,'TRA TECH'!$J:$J,'TRA TECH'!$C:$C)&amp;" "&amp;_xlfn.XLOOKUP(C306,'TRA TECH'!$J:$J,'TRA TECH'!$F:$F))</f>
        <v>*</v>
      </c>
      <c r="E306" t="str">
        <f t="shared" si="4"/>
        <v>*</v>
      </c>
      <c r="F306" t="str">
        <f>IF(B306="*","*",_xlfn.XLOOKUP(C306,'TRA TECH'!J:J,'TRA TECH'!K:K))</f>
        <v>*</v>
      </c>
    </row>
    <row r="307" spans="2:6" x14ac:dyDescent="0.25">
      <c r="B307" t="str">
        <f>IF('TRA TECH'!M305=1,IF('TRA TECH'!L305=1,"PRE","*"),"*")</f>
        <v>PRE</v>
      </c>
      <c r="C307" t="str">
        <f>'TRA TECH'!J305</f>
        <v>TRAOTHAIRTURHH220</v>
      </c>
      <c r="D307" t="str">
        <f>IF(B307="*","*",_xlfn.XLOOKUP(C307,'TRA TECH'!$J:$J,'TRA TECH'!$A:$A)&amp;" "&amp;_xlfn.XLOOKUP(C307,'TRA TECH'!$J:$J,'TRA TECH'!$B:$B)&amp;" "&amp;_xlfn.XLOOKUP(C307,'TRA TECH'!$J:$J,'TRA TECH'!$C:$C)&amp;" "&amp;_xlfn.XLOOKUP(C307,'TRA TECH'!$J:$J,'TRA TECH'!$F:$F))</f>
        <v>Transportation Other Aviation Turbo-reactor Hydrogen</v>
      </c>
      <c r="E307" t="str">
        <f t="shared" si="4"/>
        <v>Mvkm</v>
      </c>
      <c r="F307" t="str">
        <f>IF(B307="*","*",_xlfn.XLOOKUP(C307,'TRA TECH'!J:J,'TRA TECH'!K:K))</f>
        <v>Mvkm</v>
      </c>
    </row>
    <row r="308" spans="2:6" x14ac:dyDescent="0.25">
      <c r="B308" t="str">
        <f>IF('TRA TECH'!M306=1,IF('TRA TECH'!L306=1,"PRE","*"),"*")</f>
        <v>PRE</v>
      </c>
      <c r="C308" t="str">
        <f>'TRA TECH'!J306</f>
        <v>TRAOTHAIRTURFCE20</v>
      </c>
      <c r="D308" t="str">
        <f>IF(B308="*","*",_xlfn.XLOOKUP(C308,'TRA TECH'!$J:$J,'TRA TECH'!$A:$A)&amp;" "&amp;_xlfn.XLOOKUP(C308,'TRA TECH'!$J:$J,'TRA TECH'!$B:$B)&amp;" "&amp;_xlfn.XLOOKUP(C308,'TRA TECH'!$J:$J,'TRA TECH'!$C:$C)&amp;" "&amp;_xlfn.XLOOKUP(C308,'TRA TECH'!$J:$J,'TRA TECH'!$F:$F))</f>
        <v>Transportation Other Aviation Turbo-reactor Fuel-cell Auxiliary Power Unit (APU)</v>
      </c>
      <c r="E308" t="str">
        <f t="shared" si="4"/>
        <v>Mvkm</v>
      </c>
      <c r="F308" t="str">
        <f>IF(B308="*","*",_xlfn.XLOOKUP(C308,'TRA TECH'!J:J,'TRA TECH'!K:K))</f>
        <v>Mvkm</v>
      </c>
    </row>
    <row r="309" spans="2:6" x14ac:dyDescent="0.25">
      <c r="B309" t="str">
        <f>IF('TRA TECH'!M307=1,IF('TRA TECH'!L307=1,"PRE","*"),"*")</f>
        <v>*</v>
      </c>
      <c r="C309" t="str">
        <f>'TRA TECH'!J307</f>
        <v>TRAOTHAIRTURFCE20</v>
      </c>
      <c r="D309" t="str">
        <f>IF(B309="*","*",_xlfn.XLOOKUP(C309,'TRA TECH'!$J:$J,'TRA TECH'!$A:$A)&amp;" "&amp;_xlfn.XLOOKUP(C309,'TRA TECH'!$J:$J,'TRA TECH'!$B:$B)&amp;" "&amp;_xlfn.XLOOKUP(C309,'TRA TECH'!$J:$J,'TRA TECH'!$C:$C)&amp;" "&amp;_xlfn.XLOOKUP(C309,'TRA TECH'!$J:$J,'TRA TECH'!$F:$F))</f>
        <v>*</v>
      </c>
      <c r="E309" t="str">
        <f t="shared" si="4"/>
        <v>*</v>
      </c>
      <c r="F309" t="str">
        <f>IF(B309="*","*",_xlfn.XLOOKUP(C309,'TRA TECH'!J:J,'TRA TECH'!K:K))</f>
        <v>*</v>
      </c>
    </row>
    <row r="310" spans="2:6" x14ac:dyDescent="0.25">
      <c r="B310" t="str">
        <f>IF('TRA TECH'!M308=1,IF('TRA TECH'!L308=1,"PRE","*"),"*")</f>
        <v>PRE</v>
      </c>
      <c r="C310" t="str">
        <f>'TRA TECH'!J308</f>
        <v>TRAOTHAIRTURBWD20</v>
      </c>
      <c r="D310" t="str">
        <f>IF(B310="*","*",_xlfn.XLOOKUP(C310,'TRA TECH'!$J:$J,'TRA TECH'!$A:$A)&amp;" "&amp;_xlfn.XLOOKUP(C310,'TRA TECH'!$J:$J,'TRA TECH'!$B:$B)&amp;" "&amp;_xlfn.XLOOKUP(C310,'TRA TECH'!$J:$J,'TRA TECH'!$C:$C)&amp;" "&amp;_xlfn.XLOOKUP(C310,'TRA TECH'!$J:$J,'TRA TECH'!$F:$F))</f>
        <v>Transportation Other Aviation Turbo-reactor Blended Wing Design</v>
      </c>
      <c r="E310" t="str">
        <f t="shared" si="4"/>
        <v>Mvkm</v>
      </c>
      <c r="F310" t="str">
        <f>IF(B310="*","*",_xlfn.XLOOKUP(C310,'TRA TECH'!J:J,'TRA TECH'!K:K))</f>
        <v>Mvkm</v>
      </c>
    </row>
    <row r="311" spans="2:6" x14ac:dyDescent="0.25">
      <c r="B311" t="str">
        <f>IF('TRA TECH'!M309=1,IF('TRA TECH'!L309=1,"PRE","*"),"*")</f>
        <v>*</v>
      </c>
      <c r="C311" t="str">
        <f>'TRA TECH'!J309</f>
        <v>TRAOTHAIRTURBWD20</v>
      </c>
      <c r="D311" t="str">
        <f>IF(B311="*","*",_xlfn.XLOOKUP(C311,'TRA TECH'!$J:$J,'TRA TECH'!$A:$A)&amp;" "&amp;_xlfn.XLOOKUP(C311,'TRA TECH'!$J:$J,'TRA TECH'!$B:$B)&amp;" "&amp;_xlfn.XLOOKUP(C311,'TRA TECH'!$J:$J,'TRA TECH'!$C:$C)&amp;" "&amp;_xlfn.XLOOKUP(C311,'TRA TECH'!$J:$J,'TRA TECH'!$F:$F))</f>
        <v>*</v>
      </c>
      <c r="E311" t="str">
        <f t="shared" si="4"/>
        <v>*</v>
      </c>
      <c r="F311" t="str">
        <f>IF(B311="*","*",_xlfn.XLOOKUP(C311,'TRA TECH'!J:J,'TRA TECH'!K:K))</f>
        <v>*</v>
      </c>
    </row>
    <row r="312" spans="2:6" x14ac:dyDescent="0.25">
      <c r="B312" t="str">
        <f>IF('TRA TECH'!M310=1,IF('TRA TECH'!L310=1,"PRE","*"),"*")</f>
        <v>PRE</v>
      </c>
      <c r="C312" t="str">
        <f>'TRA TECH'!J310</f>
        <v>TRAOTHAIRTURSAI20</v>
      </c>
      <c r="D312" t="str">
        <f>IF(B312="*","*",_xlfn.XLOOKUP(C312,'TRA TECH'!$J:$J,'TRA TECH'!$A:$A)&amp;" "&amp;_xlfn.XLOOKUP(C312,'TRA TECH'!$J:$J,'TRA TECH'!$B:$B)&amp;" "&amp;_xlfn.XLOOKUP(C312,'TRA TECH'!$J:$J,'TRA TECH'!$C:$C)&amp;" "&amp;_xlfn.XLOOKUP(C312,'TRA TECH'!$J:$J,'TRA TECH'!$F:$F))</f>
        <v>Transportation Other Aviation Turbo-reactor Subtle Aerodynamic Improvements</v>
      </c>
      <c r="E312" t="str">
        <f t="shared" si="4"/>
        <v>Mvkm</v>
      </c>
      <c r="F312" t="str">
        <f>IF(B312="*","*",_xlfn.XLOOKUP(C312,'TRA TECH'!J:J,'TRA TECH'!K:K))</f>
        <v>Mvkm</v>
      </c>
    </row>
    <row r="313" spans="2:6" x14ac:dyDescent="0.25">
      <c r="B313" t="str">
        <f>IF('TRA TECH'!M311=1,IF('TRA TECH'!L311=1,"PRE","*"),"*")</f>
        <v>*</v>
      </c>
      <c r="C313" t="str">
        <f>'TRA TECH'!J311</f>
        <v>TRAOTHAIRTURSAI20</v>
      </c>
      <c r="D313" t="str">
        <f>IF(B313="*","*",_xlfn.XLOOKUP(C313,'TRA TECH'!$J:$J,'TRA TECH'!$A:$A)&amp;" "&amp;_xlfn.XLOOKUP(C313,'TRA TECH'!$J:$J,'TRA TECH'!$B:$B)&amp;" "&amp;_xlfn.XLOOKUP(C313,'TRA TECH'!$J:$J,'TRA TECH'!$C:$C)&amp;" "&amp;_xlfn.XLOOKUP(C313,'TRA TECH'!$J:$J,'TRA TECH'!$F:$F))</f>
        <v>*</v>
      </c>
      <c r="E313" t="str">
        <f t="shared" si="4"/>
        <v>*</v>
      </c>
      <c r="F313" t="str">
        <f>IF(B313="*","*",_xlfn.XLOOKUP(C313,'TRA TECH'!J:J,'TRA TECH'!K:K))</f>
        <v>*</v>
      </c>
    </row>
    <row r="314" spans="2:6" x14ac:dyDescent="0.25">
      <c r="B314" t="str">
        <f>IF('TRA TECH'!M312=1,IF('TRA TECH'!L312=1,"PRE","*"),"*")</f>
        <v>PRE</v>
      </c>
      <c r="C314" t="str">
        <f>'TRA TECH'!J312</f>
        <v>TRAOTHAIRTURHBR20</v>
      </c>
      <c r="D314" t="str">
        <f>IF(B314="*","*",_xlfn.XLOOKUP(C314,'TRA TECH'!$J:$J,'TRA TECH'!$A:$A)&amp;" "&amp;_xlfn.XLOOKUP(C314,'TRA TECH'!$J:$J,'TRA TECH'!$B:$B)&amp;" "&amp;_xlfn.XLOOKUP(C314,'TRA TECH'!$J:$J,'TRA TECH'!$C:$C)&amp;" "&amp;_xlfn.XLOOKUP(C314,'TRA TECH'!$J:$J,'TRA TECH'!$F:$F))</f>
        <v>Transportation Other Aviation Turbo-reactor High Bypass Ratio Engine</v>
      </c>
      <c r="E314" t="str">
        <f t="shared" si="4"/>
        <v>Mvkm</v>
      </c>
      <c r="F314" t="str">
        <f>IF(B314="*","*",_xlfn.XLOOKUP(C314,'TRA TECH'!J:J,'TRA TECH'!K:K))</f>
        <v>Mvkm</v>
      </c>
    </row>
    <row r="315" spans="2:6" x14ac:dyDescent="0.25">
      <c r="B315" t="str">
        <f>IF('TRA TECH'!M313=1,IF('TRA TECH'!L313=1,"PRE","*"),"*")</f>
        <v>*</v>
      </c>
      <c r="C315" t="str">
        <f>'TRA TECH'!J313</f>
        <v>TRAOTHAIRTURHBR20</v>
      </c>
      <c r="D315" t="str">
        <f>IF(B315="*","*",_xlfn.XLOOKUP(C315,'TRA TECH'!$J:$J,'TRA TECH'!$A:$A)&amp;" "&amp;_xlfn.XLOOKUP(C315,'TRA TECH'!$J:$J,'TRA TECH'!$B:$B)&amp;" "&amp;_xlfn.XLOOKUP(C315,'TRA TECH'!$J:$J,'TRA TECH'!$C:$C)&amp;" "&amp;_xlfn.XLOOKUP(C315,'TRA TECH'!$J:$J,'TRA TECH'!$F:$F))</f>
        <v>*</v>
      </c>
      <c r="E315" t="str">
        <f t="shared" si="4"/>
        <v>*</v>
      </c>
      <c r="F315" t="str">
        <f>IF(B315="*","*",_xlfn.XLOOKUP(C315,'TRA TECH'!J:J,'TRA TECH'!K:K))</f>
        <v>*</v>
      </c>
    </row>
    <row r="316" spans="2:6" x14ac:dyDescent="0.25">
      <c r="B316" t="str">
        <f>IF('TRA TECH'!M314=1,IF('TRA TECH'!L314=1,"PRE","*"),"*")</f>
        <v>PRE</v>
      </c>
      <c r="C316" t="str">
        <f>'TRA TECH'!J314</f>
        <v>TRAOTHAIRTURGJE20</v>
      </c>
      <c r="D316" t="str">
        <f>IF(B316="*","*",_xlfn.XLOOKUP(C316,'TRA TECH'!$J:$J,'TRA TECH'!$A:$A)&amp;" "&amp;_xlfn.XLOOKUP(C316,'TRA TECH'!$J:$J,'TRA TECH'!$B:$B)&amp;" "&amp;_xlfn.XLOOKUP(C316,'TRA TECH'!$J:$J,'TRA TECH'!$C:$C)&amp;" "&amp;_xlfn.XLOOKUP(C316,'TRA TECH'!$J:$J,'TRA TECH'!$F:$F))</f>
        <v>Transportation Other Aviation Turbo-reactor Geared Jet Engine</v>
      </c>
      <c r="E316" t="str">
        <f t="shared" si="4"/>
        <v>Mvkm</v>
      </c>
      <c r="F316" t="str">
        <f>IF(B316="*","*",_xlfn.XLOOKUP(C316,'TRA TECH'!J:J,'TRA TECH'!K:K))</f>
        <v>Mvkm</v>
      </c>
    </row>
    <row r="317" spans="2:6" x14ac:dyDescent="0.25">
      <c r="B317" t="str">
        <f>IF('TRA TECH'!M315=1,IF('TRA TECH'!L315=1,"PRE","*"),"*")</f>
        <v>*</v>
      </c>
      <c r="C317" t="str">
        <f>'TRA TECH'!J315</f>
        <v>TRAOTHAIRTURGJE20</v>
      </c>
      <c r="D317" t="str">
        <f>IF(B317="*","*",_xlfn.XLOOKUP(C317,'TRA TECH'!$J:$J,'TRA TECH'!$A:$A)&amp;" "&amp;_xlfn.XLOOKUP(C317,'TRA TECH'!$J:$J,'TRA TECH'!$B:$B)&amp;" "&amp;_xlfn.XLOOKUP(C317,'TRA TECH'!$J:$J,'TRA TECH'!$C:$C)&amp;" "&amp;_xlfn.XLOOKUP(C317,'TRA TECH'!$J:$J,'TRA TECH'!$F:$F))</f>
        <v>*</v>
      </c>
      <c r="E317" t="str">
        <f t="shared" si="4"/>
        <v>*</v>
      </c>
      <c r="F317" t="str">
        <f>IF(B317="*","*",_xlfn.XLOOKUP(C317,'TRA TECH'!J:J,'TRA TECH'!K:K))</f>
        <v>*</v>
      </c>
    </row>
    <row r="318" spans="2:6" x14ac:dyDescent="0.25">
      <c r="B318" t="str">
        <f>IF('TRA TECH'!M316=1,IF('TRA TECH'!L316=1,"PRE","*"),"*")</f>
        <v>PRE</v>
      </c>
      <c r="C318" t="str">
        <f>'TRA TECH'!J316</f>
        <v>TRAOTHAIRTURORE20</v>
      </c>
      <c r="D318" t="str">
        <f>IF(B318="*","*",_xlfn.XLOOKUP(C318,'TRA TECH'!$J:$J,'TRA TECH'!$A:$A)&amp;" "&amp;_xlfn.XLOOKUP(C318,'TRA TECH'!$J:$J,'TRA TECH'!$B:$B)&amp;" "&amp;_xlfn.XLOOKUP(C318,'TRA TECH'!$J:$J,'TRA TECH'!$C:$C)&amp;" "&amp;_xlfn.XLOOKUP(C318,'TRA TECH'!$J:$J,'TRA TECH'!$F:$F))</f>
        <v>Transportation Other Aviation Turbo-reactor Open Rotor Engine (Propfan)</v>
      </c>
      <c r="E318" t="str">
        <f t="shared" si="4"/>
        <v>Mvkm</v>
      </c>
      <c r="F318" t="str">
        <f>IF(B318="*","*",_xlfn.XLOOKUP(C318,'TRA TECH'!J:J,'TRA TECH'!K:K))</f>
        <v>Mvkm</v>
      </c>
    </row>
    <row r="319" spans="2:6" x14ac:dyDescent="0.25">
      <c r="B319" t="str">
        <f>IF('TRA TECH'!M317=1,IF('TRA TECH'!L317=1,"PRE","*"),"*")</f>
        <v>*</v>
      </c>
      <c r="C319" t="str">
        <f>'TRA TECH'!J317</f>
        <v>TRAOTHAIRTURORE20</v>
      </c>
      <c r="D319" t="str">
        <f>IF(B319="*","*",_xlfn.XLOOKUP(C319,'TRA TECH'!$J:$J,'TRA TECH'!$A:$A)&amp;" "&amp;_xlfn.XLOOKUP(C319,'TRA TECH'!$J:$J,'TRA TECH'!$B:$B)&amp;" "&amp;_xlfn.XLOOKUP(C319,'TRA TECH'!$J:$J,'TRA TECH'!$C:$C)&amp;" "&amp;_xlfn.XLOOKUP(C319,'TRA TECH'!$J:$J,'TRA TECH'!$F:$F))</f>
        <v>*</v>
      </c>
      <c r="E319" t="str">
        <f t="shared" si="4"/>
        <v>*</v>
      </c>
      <c r="F319" t="str">
        <f>IF(B319="*","*",_xlfn.XLOOKUP(C319,'TRA TECH'!J:J,'TRA TECH'!K:K))</f>
        <v>*</v>
      </c>
    </row>
    <row r="320" spans="2:6" x14ac:dyDescent="0.25">
      <c r="B320" t="str">
        <f>IF('TRA TECH'!M318=1,IF('TRA TECH'!L318=1,"PRE","*"),"*")</f>
        <v>PRE</v>
      </c>
      <c r="C320" t="str">
        <f>'TRA TECH'!J318</f>
        <v>TRAOTHAIRICEVAGA20</v>
      </c>
      <c r="D320" t="str">
        <f>IF(B320="*","*",_xlfn.XLOOKUP(C320,'TRA TECH'!$J:$J,'TRA TECH'!$A:$A)&amp;" "&amp;_xlfn.XLOOKUP(C320,'TRA TECH'!$J:$J,'TRA TECH'!$B:$B)&amp;" "&amp;_xlfn.XLOOKUP(C320,'TRA TECH'!$J:$J,'TRA TECH'!$C:$C)&amp;" "&amp;_xlfn.XLOOKUP(C320,'TRA TECH'!$J:$J,'TRA TECH'!$F:$F))</f>
        <v>Transportation Other Aviation Aviation Gasoline ICE Vehicle</v>
      </c>
      <c r="E320" t="str">
        <f t="shared" si="4"/>
        <v>Mvkm</v>
      </c>
      <c r="F320" t="str">
        <f>IF(B320="*","*",_xlfn.XLOOKUP(C320,'TRA TECH'!J:J,'TRA TECH'!K:K))</f>
        <v>Mvkm</v>
      </c>
    </row>
    <row r="321" spans="2:6" x14ac:dyDescent="0.25">
      <c r="B321" t="str">
        <f>IF('TRA TECH'!M319=1,IF('TRA TECH'!L319=1,"PRE","*"),"*")</f>
        <v>PRE</v>
      </c>
      <c r="C321" t="str">
        <f>'TRA TECH'!J319</f>
        <v>TRAOTHAIRICEIAGA20</v>
      </c>
      <c r="D321" t="str">
        <f>IF(B321="*","*",_xlfn.XLOOKUP(C321,'TRA TECH'!$J:$J,'TRA TECH'!$A:$A)&amp;" "&amp;_xlfn.XLOOKUP(C321,'TRA TECH'!$J:$J,'TRA TECH'!$B:$B)&amp;" "&amp;_xlfn.XLOOKUP(C321,'TRA TECH'!$J:$J,'TRA TECH'!$C:$C)&amp;" "&amp;_xlfn.XLOOKUP(C321,'TRA TECH'!$J:$J,'TRA TECH'!$F:$F))</f>
        <v>Transportation Other Aviation Aviation Gasoline ICE Vehicle Improved</v>
      </c>
      <c r="E321" t="str">
        <f t="shared" si="4"/>
        <v>Mvkm</v>
      </c>
      <c r="F321" t="str">
        <f>IF(B321="*","*",_xlfn.XLOOKUP(C321,'TRA TECH'!J:J,'TRA TECH'!K:K))</f>
        <v>Mvkm</v>
      </c>
    </row>
    <row r="322" spans="2:6" x14ac:dyDescent="0.25">
      <c r="B322" t="str">
        <f>IF('TRA TECH'!M320=1,IF('TRA TECH'!L320=1,"PRE","*"),"*")</f>
        <v>*</v>
      </c>
      <c r="C322" t="str">
        <f>'TRA TECH'!J320</f>
        <v>*</v>
      </c>
      <c r="D322" t="str">
        <f>IF(B322="*","*",_xlfn.XLOOKUP(C322,'TRA TECH'!$J:$J,'TRA TECH'!$A:$A)&amp;" "&amp;_xlfn.XLOOKUP(C322,'TRA TECH'!$J:$J,'TRA TECH'!$B:$B)&amp;" "&amp;_xlfn.XLOOKUP(C322,'TRA TECH'!$J:$J,'TRA TECH'!$C:$C)&amp;" "&amp;_xlfn.XLOOKUP(C322,'TRA TECH'!$J:$J,'TRA TECH'!$F:$F))</f>
        <v>*</v>
      </c>
      <c r="E322" t="str">
        <f t="shared" si="4"/>
        <v>*</v>
      </c>
      <c r="F322" t="str">
        <f>IF(B322="*","*",_xlfn.XLOOKUP(C322,'TRA TECH'!J:J,'TRA TECH'!K:K))</f>
        <v>*</v>
      </c>
    </row>
    <row r="323" spans="2:6" x14ac:dyDescent="0.25">
      <c r="B323" t="str">
        <f>IF('TRA TECH'!M321=1,IF('TRA TECH'!L321=1,"PRE","*"),"*")</f>
        <v>PRE</v>
      </c>
      <c r="C323" t="str">
        <f>'TRA TECH'!J321</f>
        <v>TRALDTRESCHA19</v>
      </c>
      <c r="D323" t="str">
        <f>IF(B323="*","*",_xlfn.XLOOKUP(C323,'TRA TECH'!$J:$J,'TRA TECH'!$A:$A)&amp;" "&amp;_xlfn.XLOOKUP(C323,'TRA TECH'!$J:$J,'TRA TECH'!$B:$B)&amp;" "&amp;_xlfn.XLOOKUP(C323,'TRA TECH'!$J:$J,'TRA TECH'!$C:$C)&amp;" "&amp;_xlfn.XLOOKUP(C323,'TRA TECH'!$J:$J,'TRA TECH'!$F:$F))</f>
        <v>Transportation Light-duty  Residential Charging Station</v>
      </c>
      <c r="E323" t="str">
        <f t="shared" si="4"/>
        <v>TJ</v>
      </c>
      <c r="F323" t="str">
        <f>IF(B323="*","*",_xlfn.XLOOKUP(C323,'TRA TECH'!J:J,'TRA TECH'!K:K))</f>
        <v>MW</v>
      </c>
    </row>
    <row r="324" spans="2:6" x14ac:dyDescent="0.25">
      <c r="B324" t="str">
        <f>IF('TRA TECH'!M322=1,IF('TRA TECH'!L322=1,"PRE","*"),"*")</f>
        <v>PRE</v>
      </c>
      <c r="C324" t="str">
        <f>'TRA TECH'!J322</f>
        <v>TRALDTCOM1CHA19</v>
      </c>
      <c r="D324" t="str">
        <f>IF(B324="*","*",_xlfn.XLOOKUP(C324,'TRA TECH'!$J:$J,'TRA TECH'!$A:$A)&amp;" "&amp;_xlfn.XLOOKUP(C324,'TRA TECH'!$J:$J,'TRA TECH'!$B:$B)&amp;" "&amp;_xlfn.XLOOKUP(C324,'TRA TECH'!$J:$J,'TRA TECH'!$C:$C)&amp;" "&amp;_xlfn.XLOOKUP(C324,'TRA TECH'!$J:$J,'TRA TECH'!$F:$F))</f>
        <v>Transportation Light-duty  Commercial 120V  Charging Station</v>
      </c>
      <c r="E324" t="str">
        <f t="shared" si="4"/>
        <v>TJ</v>
      </c>
      <c r="F324" t="str">
        <f>IF(B324="*","*",_xlfn.XLOOKUP(C324,'TRA TECH'!J:J,'TRA TECH'!K:K))</f>
        <v>MW</v>
      </c>
    </row>
    <row r="325" spans="2:6" x14ac:dyDescent="0.25">
      <c r="B325" t="str">
        <f>IF('TRA TECH'!M323=1,IF('TRA TECH'!L323=1,"PRE","*"),"*")</f>
        <v>PRE</v>
      </c>
      <c r="C325" t="str">
        <f>'TRA TECH'!J323</f>
        <v>TRALDTCOM2CHA19</v>
      </c>
      <c r="D325" t="str">
        <f>IF(B325="*","*",_xlfn.XLOOKUP(C325,'TRA TECH'!$J:$J,'TRA TECH'!$A:$A)&amp;" "&amp;_xlfn.XLOOKUP(C325,'TRA TECH'!$J:$J,'TRA TECH'!$B:$B)&amp;" "&amp;_xlfn.XLOOKUP(C325,'TRA TECH'!$J:$J,'TRA TECH'!$C:$C)&amp;" "&amp;_xlfn.XLOOKUP(C325,'TRA TECH'!$J:$J,'TRA TECH'!$F:$F))</f>
        <v>Transportation Light-duty  Commercial 240V  Charging Station</v>
      </c>
      <c r="E325" t="str">
        <f t="shared" ref="E325:E388" si="5">IF(F325="MW","TJ",F325)</f>
        <v>TJ</v>
      </c>
      <c r="F325" t="str">
        <f>IF(B325="*","*",_xlfn.XLOOKUP(C325,'TRA TECH'!J:J,'TRA TECH'!K:K))</f>
        <v>MW</v>
      </c>
    </row>
    <row r="326" spans="2:6" x14ac:dyDescent="0.25">
      <c r="B326" t="str">
        <f>IF('TRA TECH'!M324=1,IF('TRA TECH'!L324=1,"PRE","*"),"*")</f>
        <v>PRE</v>
      </c>
      <c r="C326" t="str">
        <f>'TRA TECH'!J324</f>
        <v>TRALDTPUBCHA19</v>
      </c>
      <c r="D326" t="str">
        <f>IF(B326="*","*",_xlfn.XLOOKUP(C326,'TRA TECH'!$J:$J,'TRA TECH'!$A:$A)&amp;" "&amp;_xlfn.XLOOKUP(C326,'TRA TECH'!$J:$J,'TRA TECH'!$B:$B)&amp;" "&amp;_xlfn.XLOOKUP(C326,'TRA TECH'!$J:$J,'TRA TECH'!$C:$C)&amp;" "&amp;_xlfn.XLOOKUP(C326,'TRA TECH'!$J:$J,'TRA TECH'!$F:$F))</f>
        <v>Transportation Light-duty  Public  Charging Station</v>
      </c>
      <c r="E326" t="str">
        <f t="shared" si="5"/>
        <v>TJ</v>
      </c>
      <c r="F326" t="str">
        <f>IF(B326="*","*",_xlfn.XLOOKUP(C326,'TRA TECH'!J:J,'TRA TECH'!K:K))</f>
        <v>MW</v>
      </c>
    </row>
    <row r="327" spans="2:6" x14ac:dyDescent="0.25">
      <c r="B327" t="str">
        <f>IF('TRA TECH'!M325=1,IF('TRA TECH'!L325=1,"PRE","*"),"*")</f>
        <v>PRE</v>
      </c>
      <c r="C327" t="str">
        <f>'TRA TECH'!J325</f>
        <v>TRAHDTSLWCHA19</v>
      </c>
      <c r="D327" t="str">
        <f>IF(B327="*","*",_xlfn.XLOOKUP(C327,'TRA TECH'!$J:$J,'TRA TECH'!$A:$A)&amp;" "&amp;_xlfn.XLOOKUP(C327,'TRA TECH'!$J:$J,'TRA TECH'!$B:$B)&amp;" "&amp;_xlfn.XLOOKUP(C327,'TRA TECH'!$J:$J,'TRA TECH'!$C:$C)&amp;" "&amp;_xlfn.XLOOKUP(C327,'TRA TECH'!$J:$J,'TRA TECH'!$F:$F))</f>
        <v>Transportation Heavy-duty  Slow Charging Station</v>
      </c>
      <c r="E327" t="str">
        <f t="shared" si="5"/>
        <v>TJ</v>
      </c>
      <c r="F327" t="str">
        <f>IF(B327="*","*",_xlfn.XLOOKUP(C327,'TRA TECH'!J:J,'TRA TECH'!K:K))</f>
        <v>MW</v>
      </c>
    </row>
    <row r="328" spans="2:6" x14ac:dyDescent="0.25">
      <c r="B328" t="str">
        <f>IF('TRA TECH'!M326=1,IF('TRA TECH'!L326=1,"PRE","*"),"*")</f>
        <v>PRE</v>
      </c>
      <c r="C328" t="str">
        <f>'TRA TECH'!J326</f>
        <v>TRAHDTFASCHA19</v>
      </c>
      <c r="D328" t="str">
        <f>IF(B328="*","*",_xlfn.XLOOKUP(C328,'TRA TECH'!$J:$J,'TRA TECH'!$A:$A)&amp;" "&amp;_xlfn.XLOOKUP(C328,'TRA TECH'!$J:$J,'TRA TECH'!$B:$B)&amp;" "&amp;_xlfn.XLOOKUP(C328,'TRA TECH'!$J:$J,'TRA TECH'!$C:$C)&amp;" "&amp;_xlfn.XLOOKUP(C328,'TRA TECH'!$J:$J,'TRA TECH'!$F:$F))</f>
        <v>Transportation Heavy-duty  Fast Charging Station</v>
      </c>
      <c r="E328" t="str">
        <f t="shared" si="5"/>
        <v>TJ</v>
      </c>
      <c r="F328" t="str">
        <f>IF(B328="*","*",_xlfn.XLOOKUP(C328,'TRA TECH'!J:J,'TRA TECH'!K:K))</f>
        <v>MW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I4"/>
  <sheetViews>
    <sheetView workbookViewId="0">
      <selection activeCell="C12" sqref="C12"/>
    </sheetView>
  </sheetViews>
  <sheetFormatPr defaultRowHeight="15" x14ac:dyDescent="0.25"/>
  <cols>
    <col min="2" max="2" width="12.5703125" customWidth="1"/>
    <col min="3" max="3" width="21.28515625" bestFit="1" customWidth="1"/>
    <col min="4" max="4" width="70.28515625" bestFit="1" customWidth="1"/>
    <col min="5" max="5" width="4.5703125" bestFit="1" customWidth="1"/>
    <col min="6" max="6" width="15.7109375" customWidth="1"/>
    <col min="7" max="7" width="8.5703125" bestFit="1" customWidth="1"/>
    <col min="8" max="8" width="10.140625" customWidth="1"/>
    <col min="9" max="9" width="8.140625" bestFit="1" customWidth="1"/>
  </cols>
  <sheetData>
    <row r="2" spans="2:9" x14ac:dyDescent="0.25">
      <c r="B2" s="10" t="s">
        <v>391</v>
      </c>
    </row>
    <row r="3" spans="2:9" x14ac:dyDescent="0.25">
      <c r="B3" s="11" t="s">
        <v>392</v>
      </c>
      <c r="C3" s="11" t="s">
        <v>393</v>
      </c>
      <c r="D3" s="11" t="s">
        <v>394</v>
      </c>
      <c r="E3" s="11" t="s">
        <v>395</v>
      </c>
      <c r="F3" s="11" t="s">
        <v>396</v>
      </c>
      <c r="G3" s="11" t="s">
        <v>397</v>
      </c>
      <c r="H3" s="11" t="s">
        <v>398</v>
      </c>
      <c r="I3" s="11" t="s">
        <v>399</v>
      </c>
    </row>
    <row r="4" spans="2:9" ht="40.9" customHeight="1" thickBot="1" x14ac:dyDescent="0.3">
      <c r="B4" s="12" t="s">
        <v>400</v>
      </c>
      <c r="C4" s="12" t="s">
        <v>401</v>
      </c>
      <c r="D4" s="12" t="s">
        <v>402</v>
      </c>
      <c r="E4" s="12" t="s">
        <v>395</v>
      </c>
      <c r="F4" s="12" t="s">
        <v>403</v>
      </c>
      <c r="G4" s="12" t="s">
        <v>404</v>
      </c>
      <c r="H4" s="12" t="s">
        <v>405</v>
      </c>
      <c r="I4" s="12" t="s">
        <v>406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AK435"/>
  <sheetViews>
    <sheetView tabSelected="1" topLeftCell="L28" zoomScale="85" zoomScaleNormal="85" workbookViewId="0">
      <selection activeCell="M46" sqref="M46"/>
    </sheetView>
  </sheetViews>
  <sheetFormatPr defaultRowHeight="15" x14ac:dyDescent="0.25"/>
  <cols>
    <col min="2" max="2" width="23.42578125" bestFit="1" customWidth="1"/>
    <col min="3" max="4" width="9.7109375" bestFit="1" customWidth="1"/>
    <col min="5" max="5" width="5.7109375" bestFit="1" customWidth="1"/>
    <col min="8" max="8" width="23.42578125" bestFit="1" customWidth="1"/>
    <col min="9" max="9" width="16.7109375" bestFit="1" customWidth="1"/>
    <col min="10" max="10" width="13.42578125" bestFit="1" customWidth="1"/>
    <col min="11" max="11" width="12.28515625" bestFit="1" customWidth="1"/>
    <col min="12" max="12" width="13.7109375" bestFit="1" customWidth="1"/>
    <col min="13" max="20" width="12.28515625" bestFit="1" customWidth="1"/>
    <col min="21" max="28" width="17.7109375" bestFit="1" customWidth="1"/>
    <col min="29" max="37" width="16.5703125" bestFit="1" customWidth="1"/>
  </cols>
  <sheetData>
    <row r="1" spans="2:37" x14ac:dyDescent="0.25">
      <c r="M1">
        <f>'City characteristics'!$C$20+1</f>
        <v>2020</v>
      </c>
      <c r="N1">
        <v>2025</v>
      </c>
      <c r="O1">
        <v>2030</v>
      </c>
      <c r="P1">
        <v>2035</v>
      </c>
      <c r="Q1">
        <v>2040</v>
      </c>
      <c r="R1">
        <v>2045</v>
      </c>
      <c r="S1">
        <v>2050</v>
      </c>
      <c r="T1">
        <v>2100</v>
      </c>
      <c r="U1">
        <f>'City characteristics'!$C$20+1</f>
        <v>2020</v>
      </c>
      <c r="V1">
        <v>2025</v>
      </c>
      <c r="W1">
        <v>2030</v>
      </c>
      <c r="X1">
        <v>2035</v>
      </c>
      <c r="Y1">
        <v>2040</v>
      </c>
      <c r="Z1">
        <v>2045</v>
      </c>
      <c r="AA1">
        <v>2050</v>
      </c>
      <c r="AB1">
        <v>2100</v>
      </c>
      <c r="AC1">
        <f>'City characteristics'!$C$20+1</f>
        <v>2020</v>
      </c>
      <c r="AD1">
        <v>2025</v>
      </c>
      <c r="AE1">
        <v>2030</v>
      </c>
      <c r="AF1">
        <v>2035</v>
      </c>
      <c r="AG1">
        <v>2040</v>
      </c>
      <c r="AH1">
        <v>2045</v>
      </c>
      <c r="AI1">
        <v>2050</v>
      </c>
      <c r="AJ1">
        <v>2100</v>
      </c>
    </row>
    <row r="2" spans="2:37" x14ac:dyDescent="0.25">
      <c r="M2" t="s">
        <v>407</v>
      </c>
      <c r="N2" t="s">
        <v>407</v>
      </c>
      <c r="O2" t="s">
        <v>407</v>
      </c>
      <c r="P2" t="s">
        <v>407</v>
      </c>
      <c r="Q2" t="s">
        <v>407</v>
      </c>
      <c r="R2" t="s">
        <v>407</v>
      </c>
      <c r="S2" t="s">
        <v>407</v>
      </c>
      <c r="T2" t="s">
        <v>407</v>
      </c>
      <c r="U2" t="s">
        <v>408</v>
      </c>
      <c r="V2" t="s">
        <v>408</v>
      </c>
      <c r="W2" t="s">
        <v>408</v>
      </c>
      <c r="X2" t="s">
        <v>408</v>
      </c>
      <c r="Y2" t="s">
        <v>408</v>
      </c>
      <c r="Z2" t="s">
        <v>408</v>
      </c>
      <c r="AA2" t="s">
        <v>408</v>
      </c>
      <c r="AB2" t="s">
        <v>408</v>
      </c>
      <c r="AC2" t="s">
        <v>409</v>
      </c>
      <c r="AD2" t="s">
        <v>409</v>
      </c>
      <c r="AE2" t="s">
        <v>409</v>
      </c>
      <c r="AF2" t="s">
        <v>409</v>
      </c>
      <c r="AG2" t="s">
        <v>409</v>
      </c>
      <c r="AH2" t="s">
        <v>409</v>
      </c>
      <c r="AI2" t="s">
        <v>409</v>
      </c>
      <c r="AJ2" t="s">
        <v>409</v>
      </c>
    </row>
    <row r="4" spans="2:37" x14ac:dyDescent="0.25">
      <c r="C4" s="10" t="s">
        <v>410</v>
      </c>
      <c r="E4" s="10"/>
      <c r="I4" s="10" t="s">
        <v>410</v>
      </c>
    </row>
    <row r="5" spans="2:37" x14ac:dyDescent="0.25">
      <c r="B5" s="11" t="s">
        <v>377</v>
      </c>
      <c r="C5" s="11" t="s">
        <v>411</v>
      </c>
      <c r="D5" s="11" t="s">
        <v>412</v>
      </c>
      <c r="E5" s="11" t="s">
        <v>413</v>
      </c>
      <c r="H5" s="11" t="s">
        <v>377</v>
      </c>
      <c r="I5" s="11" t="s">
        <v>414</v>
      </c>
      <c r="J5" s="11" t="s">
        <v>415</v>
      </c>
      <c r="K5" s="11" t="s">
        <v>416</v>
      </c>
      <c r="L5" s="11" t="s">
        <v>417</v>
      </c>
      <c r="M5" s="11" t="str">
        <f t="shared" ref="M5:AJ5" si="0">M2&amp;"~"&amp;M1</f>
        <v>EFF~2020</v>
      </c>
      <c r="N5" s="11" t="str">
        <f t="shared" si="0"/>
        <v>EFF~2025</v>
      </c>
      <c r="O5" s="11" t="str">
        <f t="shared" si="0"/>
        <v>EFF~2030</v>
      </c>
      <c r="P5" s="11" t="str">
        <f t="shared" si="0"/>
        <v>EFF~2035</v>
      </c>
      <c r="Q5" s="11" t="str">
        <f t="shared" si="0"/>
        <v>EFF~2040</v>
      </c>
      <c r="R5" s="11" t="str">
        <f t="shared" si="0"/>
        <v>EFF~2045</v>
      </c>
      <c r="S5" s="11" t="str">
        <f t="shared" si="0"/>
        <v>EFF~2050</v>
      </c>
      <c r="T5" s="11" t="str">
        <f t="shared" si="0"/>
        <v>EFF~2100</v>
      </c>
      <c r="U5" s="11" t="str">
        <f t="shared" si="0"/>
        <v>NCAP_COST~2020</v>
      </c>
      <c r="V5" s="11" t="str">
        <f t="shared" si="0"/>
        <v>NCAP_COST~2025</v>
      </c>
      <c r="W5" s="11" t="str">
        <f t="shared" si="0"/>
        <v>NCAP_COST~2030</v>
      </c>
      <c r="X5" s="11" t="str">
        <f t="shared" si="0"/>
        <v>NCAP_COST~2035</v>
      </c>
      <c r="Y5" s="11" t="str">
        <f t="shared" si="0"/>
        <v>NCAP_COST~2040</v>
      </c>
      <c r="Z5" s="11" t="str">
        <f t="shared" si="0"/>
        <v>NCAP_COST~2045</v>
      </c>
      <c r="AA5" s="11" t="str">
        <f t="shared" si="0"/>
        <v>NCAP_COST~2050</v>
      </c>
      <c r="AB5" s="11" t="str">
        <f t="shared" si="0"/>
        <v>NCAP_COST~2100</v>
      </c>
      <c r="AC5" s="11" t="str">
        <f t="shared" si="0"/>
        <v>NCAP_FOM~2020</v>
      </c>
      <c r="AD5" s="11" t="str">
        <f t="shared" si="0"/>
        <v>NCAP_FOM~2025</v>
      </c>
      <c r="AE5" s="11" t="str">
        <f t="shared" si="0"/>
        <v>NCAP_FOM~2030</v>
      </c>
      <c r="AF5" s="11" t="str">
        <f t="shared" si="0"/>
        <v>NCAP_FOM~2035</v>
      </c>
      <c r="AG5" s="11" t="str">
        <f t="shared" si="0"/>
        <v>NCAP_FOM~2040</v>
      </c>
      <c r="AH5" s="11" t="str">
        <f t="shared" si="0"/>
        <v>NCAP_FOM~2045</v>
      </c>
      <c r="AI5" s="11" t="str">
        <f t="shared" si="0"/>
        <v>NCAP_FOM~2050</v>
      </c>
      <c r="AJ5" s="11" t="str">
        <f t="shared" si="0"/>
        <v>NCAP_FOM~2100</v>
      </c>
      <c r="AK5" s="11" t="s">
        <v>418</v>
      </c>
    </row>
    <row r="6" spans="2:37" ht="15" customHeight="1" thickBot="1" x14ac:dyDescent="0.3">
      <c r="B6" s="12" t="s">
        <v>358</v>
      </c>
      <c r="C6" s="12"/>
      <c r="D6" s="12"/>
      <c r="E6" s="12"/>
      <c r="H6" s="12" t="s">
        <v>358</v>
      </c>
      <c r="I6" s="12"/>
      <c r="J6" s="12" t="s">
        <v>419</v>
      </c>
      <c r="K6" s="12" t="s">
        <v>419</v>
      </c>
      <c r="L6" s="12" t="s">
        <v>420</v>
      </c>
      <c r="M6" s="12" t="s">
        <v>421</v>
      </c>
      <c r="N6" s="12" t="s">
        <v>421</v>
      </c>
      <c r="O6" s="12" t="s">
        <v>421</v>
      </c>
      <c r="P6" s="12" t="s">
        <v>421</v>
      </c>
      <c r="Q6" s="12" t="s">
        <v>421</v>
      </c>
      <c r="R6" s="12" t="s">
        <v>421</v>
      </c>
      <c r="S6" s="12" t="s">
        <v>421</v>
      </c>
      <c r="T6" s="12" t="s">
        <v>421</v>
      </c>
      <c r="U6" s="13" t="s">
        <v>422</v>
      </c>
      <c r="V6" s="13" t="s">
        <v>422</v>
      </c>
      <c r="W6" s="13" t="s">
        <v>422</v>
      </c>
      <c r="X6" s="13" t="s">
        <v>422</v>
      </c>
      <c r="Y6" s="13" t="s">
        <v>422</v>
      </c>
      <c r="Z6" s="13" t="s">
        <v>422</v>
      </c>
      <c r="AA6" s="13" t="s">
        <v>422</v>
      </c>
      <c r="AB6" s="13" t="s">
        <v>422</v>
      </c>
      <c r="AC6" s="13" t="s">
        <v>423</v>
      </c>
      <c r="AD6" s="13" t="s">
        <v>423</v>
      </c>
      <c r="AE6" s="13" t="s">
        <v>423</v>
      </c>
      <c r="AF6" s="13" t="s">
        <v>423</v>
      </c>
      <c r="AG6" s="13" t="s">
        <v>423</v>
      </c>
      <c r="AH6" s="13" t="s">
        <v>423</v>
      </c>
      <c r="AI6" s="13" t="s">
        <v>423</v>
      </c>
      <c r="AJ6" s="13" t="s">
        <v>423</v>
      </c>
      <c r="AK6" s="13"/>
    </row>
    <row r="7" spans="2:37" x14ac:dyDescent="0.25">
      <c r="B7" t="str">
        <f>IF('TRA TECH'!M3=0,"*",IF('TRA TECH'!H3="","*",'TRA TECH'!J3))</f>
        <v>TRAPASCARICEVGSL20</v>
      </c>
      <c r="C7" t="str">
        <f>IF('TRA TECH'!M3=0,"*",'TRA TECH'!H3)</f>
        <v>TRAGSL</v>
      </c>
      <c r="D7" t="s">
        <v>424</v>
      </c>
      <c r="E7" s="9">
        <f>'TRA TECH'!P3</f>
        <v>1</v>
      </c>
      <c r="H7" t="str">
        <f>IF('TRA TECH'!M3=1,IF('TRA TECH'!L3=1,'TRA TECH'!J3,"*"),"*")</f>
        <v>TRAPASCARICEVGSL20</v>
      </c>
      <c r="I7" t="str">
        <f>IF(H7="*","*",_xlfn.XLOOKUP(H7,'TRA TECH'!J:J,'TRA TECH'!I:I))</f>
        <v>TRAPASCARDMD</v>
      </c>
      <c r="J7">
        <f>IF(H7="*","*",_xlfn.XLOOKUP(H7,'TRA TECH'!J:J,'TRA TECH'!N:N))</f>
        <v>2020</v>
      </c>
      <c r="K7" s="15">
        <f>IF(H7="*","*",IF(_xlfn.XLOOKUP(H7,'TRA TECH'!J:J,'TRA TECH'!O:O)="","",_xlfn.XLOOKUP(H7,'TRA TECH'!J:J,'TRA TECH'!O:O)))</f>
        <v>16.861273869240819</v>
      </c>
      <c r="L7">
        <f t="shared" ref="L7:L70" si="1">IF(H7="*","*",1)</f>
        <v>1</v>
      </c>
      <c r="M7">
        <f>IF(H7="*","*",IF(_xlfn.XLOOKUP($H7,'TRA TECH'!$J:$J,'TRA TECH'!Q:Q)="","",_xlfn.XLOOKUP($H7,'TRA TECH'!$J:$J,'TRA TECH'!Q:Q)))</f>
        <v>0.37474421364985161</v>
      </c>
      <c r="N7">
        <f>IF(H7="*","*",IF(_xlfn.XLOOKUP($H7,'TRA TECH'!$J:$J,'TRA TECH'!R:R)="","",_xlfn.XLOOKUP($H7,'TRA TECH'!$J:$J,'TRA TECH'!R:R)))</f>
        <v>0.36943810089020762</v>
      </c>
      <c r="O7">
        <f>IF(H7="*","*",IF(_xlfn.XLOOKUP($H7,'TRA TECH'!$J:$J,'TRA TECH'!S:S)="","",_xlfn.XLOOKUP($H7,'TRA TECH'!$J:$J,'TRA TECH'!S:S)))</f>
        <v>0.4297951335311575</v>
      </c>
      <c r="P7">
        <f>IF(H7="*","*",IF(_xlfn.XLOOKUP($H7,'TRA TECH'!$J:$J,'TRA TECH'!T:T)="","",_xlfn.XLOOKUP($H7,'TRA TECH'!$J:$J,'TRA TECH'!T:T)))</f>
        <v>0.46959097922848653</v>
      </c>
      <c r="Q7">
        <f>IF(H7="*","*",IF(_xlfn.XLOOKUP($H7,'TRA TECH'!$J:$J,'TRA TECH'!U:U)="","",_xlfn.XLOOKUP($H7,'TRA TECH'!$J:$J,'TRA TECH'!U:U)))</f>
        <v>0.49413175074183979</v>
      </c>
      <c r="R7">
        <f>IF(H7="*","*",IF(_xlfn.XLOOKUP($H7,'TRA TECH'!$J:$J,'TRA TECH'!V:V)="","",_xlfn.XLOOKUP($H7,'TRA TECH'!$J:$J,'TRA TECH'!V:V)))</f>
        <v>0.51800925816023746</v>
      </c>
      <c r="S7">
        <f>IF(H7="*","*",IF(_xlfn.XLOOKUP($H7,'TRA TECH'!$J:$J,'TRA TECH'!W:W)="","",_xlfn.XLOOKUP($H7,'TRA TECH'!$J:$J,'TRA TECH'!W:W)))</f>
        <v>0.54255002967359056</v>
      </c>
      <c r="T7">
        <f t="shared" ref="T7:T70" si="2">IF(H7="*","*",S7)</f>
        <v>0.54255002967359056</v>
      </c>
      <c r="U7">
        <f>IF(H7="*","*",IF(_xlfn.XLOOKUP($H7,'TRA TECH'!$J:$J,'TRA TECH'!X:X)="","",_xlfn.XLOOKUP($H7,'TRA TECH'!$J:$J,'TRA TECH'!X:X)))</f>
        <v>149.3715329654614</v>
      </c>
      <c r="V7">
        <f>IF(H7="*","*",IF(_xlfn.XLOOKUP($H7,'TRA TECH'!$J:$J,'TRA TECH'!Y:Y)="","",_xlfn.XLOOKUP($H7,'TRA TECH'!$J:$J,'TRA TECH'!Y:Y)))</f>
        <v>151.8610585148858</v>
      </c>
      <c r="W7">
        <f>IF(H7="*","*",IF(_xlfn.XLOOKUP($H7,'TRA TECH'!$J:$J,'TRA TECH'!Z:Z)="","",_xlfn.XLOOKUP($H7,'TRA TECH'!$J:$J,'TRA TECH'!Z:Z)))</f>
        <v>152.21670502194641</v>
      </c>
      <c r="X7">
        <f>IF(H7="*","*",IF(_xlfn.XLOOKUP($H7,'TRA TECH'!$J:$J,'TRA TECH'!AA:AA)="","",_xlfn.XLOOKUP($H7,'TRA TECH'!$J:$J,'TRA TECH'!AA:AA)))</f>
        <v>163.9530397549469</v>
      </c>
      <c r="Y7">
        <f>IF(H7="*","*",IF(_xlfn.XLOOKUP($H7,'TRA TECH'!$J:$J,'TRA TECH'!AB:AB)="","",_xlfn.XLOOKUP($H7,'TRA TECH'!$J:$J,'TRA TECH'!AB:AB)))</f>
        <v>162.17480721964381</v>
      </c>
      <c r="Z7">
        <f>IF(H7="*","*",IF(_xlfn.XLOOKUP($H7,'TRA TECH'!$J:$J,'TRA TECH'!AC:AC)="","",_xlfn.XLOOKUP($H7,'TRA TECH'!$J:$J,'TRA TECH'!AC:AC)))</f>
        <v>160.04092817728011</v>
      </c>
      <c r="AA7">
        <f>IF(H7="*","*",IF(_xlfn.XLOOKUP($H7,'TRA TECH'!$J:$J,'TRA TECH'!AD:AD)="","",_xlfn.XLOOKUP($H7,'TRA TECH'!$J:$J,'TRA TECH'!AD:AD)))</f>
        <v>157.90704913491629</v>
      </c>
      <c r="AB7">
        <f t="shared" ref="AB7:AB70" si="3">IF(H7="*","*",AA7)</f>
        <v>157.90704913491629</v>
      </c>
      <c r="AC7" s="15">
        <f>IF(H7="*","*",IF(_xlfn.XLOOKUP($H7,'TRA TECH'!$J:$J,'TRA TECH'!AE:AE)="","",_xlfn.XLOOKUP($H7,'TRA TECH'!$J:$J,'TRA TECH'!AE:AE)))</f>
        <v>5.2309412939394706</v>
      </c>
      <c r="AD7" s="15">
        <f>IF(H7="*","*",IF(_xlfn.XLOOKUP($H7,'TRA TECH'!$J:$J,'TRA TECH'!AF:AF)="","",_xlfn.XLOOKUP($H7,'TRA TECH'!$J:$J,'TRA TECH'!AF:AF)))</f>
        <v>5.2309412939394706</v>
      </c>
      <c r="AE7" s="15">
        <f>IF(H7="*","*",IF(_xlfn.XLOOKUP($H7,'TRA TECH'!$J:$J,'TRA TECH'!AG:AG)="","",_xlfn.XLOOKUP($H7,'TRA TECH'!$J:$J,'TRA TECH'!AG:AG)))</f>
        <v>5.2309412939394706</v>
      </c>
      <c r="AF7" s="15">
        <f>IF(H7="*","*",IF(_xlfn.XLOOKUP($H7,'TRA TECH'!$J:$J,'TRA TECH'!AH:AH)="","",_xlfn.XLOOKUP($H7,'TRA TECH'!$J:$J,'TRA TECH'!AH:AH)))</f>
        <v>5.2309412939394706</v>
      </c>
      <c r="AG7" s="15">
        <f>IF(H7="*","*",IF(_xlfn.XLOOKUP($H7,'TRA TECH'!$J:$J,'TRA TECH'!AI:AI)="","",_xlfn.XLOOKUP($H7,'TRA TECH'!$J:$J,'TRA TECH'!AI:AI)))</f>
        <v>5.2309412939394706</v>
      </c>
      <c r="AH7" s="15">
        <f>IF(H7="*","*",IF(_xlfn.XLOOKUP($H7,'TRA TECH'!$J:$J,'TRA TECH'!AJ:AJ)="","",_xlfn.XLOOKUP($H7,'TRA TECH'!$J:$J,'TRA TECH'!AJ:AJ)))</f>
        <v>5.2309412939394706</v>
      </c>
      <c r="AI7" s="15">
        <f>IF(H7="*","*",IF(_xlfn.XLOOKUP($H7,'TRA TECH'!$J:$J,'TRA TECH'!AK:AK)="","",_xlfn.XLOOKUP($H7,'TRA TECH'!$J:$J,'TRA TECH'!AK:AK)))</f>
        <v>5.2309412939394706</v>
      </c>
      <c r="AJ7" s="15">
        <f t="shared" ref="AJ7:AJ70" si="4">IF(H7="*","*",AI7)</f>
        <v>5.2309412939394706</v>
      </c>
      <c r="AK7" s="16">
        <f t="shared" ref="AK7:AK70" si="5">IF(I7="*","*",IF(ISNUMBER(SEARCH("CNG",H7)),0.3,IF(ISNUMBER(SEARCH("BEV",H7)),0.4,IF(ISNUMBER(SEARCH("HEV",H7)),0.25,IF(ISNUMBER(SEARCH("FCEV",H7)),0.4,0.1)))))</f>
        <v>0.1</v>
      </c>
    </row>
    <row r="8" spans="2:37" x14ac:dyDescent="0.25">
      <c r="B8" t="str">
        <f>IF('TRA TECH'!M4=0,"*",IF('TRA TECH'!H4="","*",'TRA TECH'!J4))</f>
        <v>TRAPASCARICEVGSL20</v>
      </c>
      <c r="C8" t="str">
        <f>IF('TRA TECH'!M4=0,"*",'TRA TECH'!H4)</f>
        <v>TRAETH</v>
      </c>
      <c r="D8" t="s">
        <v>424</v>
      </c>
      <c r="E8" s="9">
        <f>'TRA TECH'!P4</f>
        <v>0.1</v>
      </c>
      <c r="H8" t="str">
        <f>IF('TRA TECH'!M4=1,IF('TRA TECH'!L4=1,'TRA TECH'!J4,"*"),"*")</f>
        <v>*</v>
      </c>
      <c r="I8" t="str">
        <f>IF(H8="*","*",_xlfn.XLOOKUP(H8,'TRA TECH'!J:J,'TRA TECH'!I:I))</f>
        <v>*</v>
      </c>
      <c r="J8" t="str">
        <f>IF(H8="*","*",_xlfn.XLOOKUP(H8,'TRA TECH'!J:J,'TRA TECH'!N:N))</f>
        <v>*</v>
      </c>
      <c r="K8" s="15" t="str">
        <f>IF(H8="*","*",IF(_xlfn.XLOOKUP(H8,'TRA TECH'!J:J,'TRA TECH'!O:O)="","",_xlfn.XLOOKUP(H8,'TRA TECH'!J:J,'TRA TECH'!O:O)))</f>
        <v>*</v>
      </c>
      <c r="L8" t="str">
        <f t="shared" si="1"/>
        <v>*</v>
      </c>
      <c r="M8" t="str">
        <f>IF(H8="*","*",IF(_xlfn.XLOOKUP($H8,'TRA TECH'!$J:$J,'TRA TECH'!Q:Q)="","",_xlfn.XLOOKUP($H8,'TRA TECH'!$J:$J,'TRA TECH'!Q:Q)))</f>
        <v>*</v>
      </c>
      <c r="N8" t="str">
        <f>IF(H8="*","*",IF(_xlfn.XLOOKUP($H8,'TRA TECH'!$J:$J,'TRA TECH'!R:R)="","",_xlfn.XLOOKUP($H8,'TRA TECH'!$J:$J,'TRA TECH'!R:R)))</f>
        <v>*</v>
      </c>
      <c r="O8" t="str">
        <f>IF(H8="*","*",IF(_xlfn.XLOOKUP($H8,'TRA TECH'!$J:$J,'TRA TECH'!S:S)="","",_xlfn.XLOOKUP($H8,'TRA TECH'!$J:$J,'TRA TECH'!S:S)))</f>
        <v>*</v>
      </c>
      <c r="P8" t="str">
        <f>IF(H8="*","*",IF(_xlfn.XLOOKUP($H8,'TRA TECH'!$J:$J,'TRA TECH'!T:T)="","",_xlfn.XLOOKUP($H8,'TRA TECH'!$J:$J,'TRA TECH'!T:T)))</f>
        <v>*</v>
      </c>
      <c r="Q8" t="str">
        <f>IF(H8="*","*",IF(_xlfn.XLOOKUP($H8,'TRA TECH'!$J:$J,'TRA TECH'!U:U)="","",_xlfn.XLOOKUP($H8,'TRA TECH'!$J:$J,'TRA TECH'!U:U)))</f>
        <v>*</v>
      </c>
      <c r="R8" t="str">
        <f>IF(H8="*","*",IF(_xlfn.XLOOKUP($H8,'TRA TECH'!$J:$J,'TRA TECH'!V:V)="","",_xlfn.XLOOKUP($H8,'TRA TECH'!$J:$J,'TRA TECH'!V:V)))</f>
        <v>*</v>
      </c>
      <c r="S8" t="str">
        <f>IF(H8="*","*",IF(_xlfn.XLOOKUP($H8,'TRA TECH'!$J:$J,'TRA TECH'!W:W)="","",_xlfn.XLOOKUP($H8,'TRA TECH'!$J:$J,'TRA TECH'!W:W)))</f>
        <v>*</v>
      </c>
      <c r="T8" t="str">
        <f t="shared" si="2"/>
        <v>*</v>
      </c>
      <c r="U8" t="str">
        <f>IF(H8="*","*",IF(_xlfn.XLOOKUP($H8,'TRA TECH'!$J:$J,'TRA TECH'!X:X)="","",_xlfn.XLOOKUP($H8,'TRA TECH'!$J:$J,'TRA TECH'!X:X)))</f>
        <v>*</v>
      </c>
      <c r="V8" t="str">
        <f>IF(H8="*","*",IF(_xlfn.XLOOKUP($H8,'TRA TECH'!$J:$J,'TRA TECH'!Y:Y)="","",_xlfn.XLOOKUP($H8,'TRA TECH'!$J:$J,'TRA TECH'!Y:Y)))</f>
        <v>*</v>
      </c>
      <c r="W8" t="str">
        <f>IF(H8="*","*",IF(_xlfn.XLOOKUP($H8,'TRA TECH'!$J:$J,'TRA TECH'!Z:Z)="","",_xlfn.XLOOKUP($H8,'TRA TECH'!$J:$J,'TRA TECH'!Z:Z)))</f>
        <v>*</v>
      </c>
      <c r="X8" t="str">
        <f>IF(H8="*","*",IF(_xlfn.XLOOKUP($H8,'TRA TECH'!$J:$J,'TRA TECH'!AA:AA)="","",_xlfn.XLOOKUP($H8,'TRA TECH'!$J:$J,'TRA TECH'!AA:AA)))</f>
        <v>*</v>
      </c>
      <c r="Y8" t="str">
        <f>IF(H8="*","*",IF(_xlfn.XLOOKUP($H8,'TRA TECH'!$J:$J,'TRA TECH'!AB:AB)="","",_xlfn.XLOOKUP($H8,'TRA TECH'!$J:$J,'TRA TECH'!AB:AB)))</f>
        <v>*</v>
      </c>
      <c r="Z8" t="str">
        <f>IF(H8="*","*",IF(_xlfn.XLOOKUP($H8,'TRA TECH'!$J:$J,'TRA TECH'!AC:AC)="","",_xlfn.XLOOKUP($H8,'TRA TECH'!$J:$J,'TRA TECH'!AC:AC)))</f>
        <v>*</v>
      </c>
      <c r="AA8" t="str">
        <f>IF(H8="*","*",IF(_xlfn.XLOOKUP($H8,'TRA TECH'!$J:$J,'TRA TECH'!AD:AD)="","",_xlfn.XLOOKUP($H8,'TRA TECH'!$J:$J,'TRA TECH'!AD:AD)))</f>
        <v>*</v>
      </c>
      <c r="AB8" t="str">
        <f t="shared" si="3"/>
        <v>*</v>
      </c>
      <c r="AC8" s="15" t="str">
        <f>IF(H8="*","*",IF(_xlfn.XLOOKUP($H8,'TRA TECH'!$J:$J,'TRA TECH'!AE:AE)="","",_xlfn.XLOOKUP($H8,'TRA TECH'!$J:$J,'TRA TECH'!AE:AE)))</f>
        <v>*</v>
      </c>
      <c r="AD8" s="15" t="str">
        <f>IF(H8="*","*",IF(_xlfn.XLOOKUP($H8,'TRA TECH'!$J:$J,'TRA TECH'!AF:AF)="","",_xlfn.XLOOKUP($H8,'TRA TECH'!$J:$J,'TRA TECH'!AF:AF)))</f>
        <v>*</v>
      </c>
      <c r="AE8" s="15" t="str">
        <f>IF(H8="*","*",IF(_xlfn.XLOOKUP($H8,'TRA TECH'!$J:$J,'TRA TECH'!AG:AG)="","",_xlfn.XLOOKUP($H8,'TRA TECH'!$J:$J,'TRA TECH'!AG:AG)))</f>
        <v>*</v>
      </c>
      <c r="AF8" s="15" t="str">
        <f>IF(H8="*","*",IF(_xlfn.XLOOKUP($H8,'TRA TECH'!$J:$J,'TRA TECH'!AH:AH)="","",_xlfn.XLOOKUP($H8,'TRA TECH'!$J:$J,'TRA TECH'!AH:AH)))</f>
        <v>*</v>
      </c>
      <c r="AG8" s="15" t="str">
        <f>IF(H8="*","*",IF(_xlfn.XLOOKUP($H8,'TRA TECH'!$J:$J,'TRA TECH'!AI:AI)="","",_xlfn.XLOOKUP($H8,'TRA TECH'!$J:$J,'TRA TECH'!AI:AI)))</f>
        <v>*</v>
      </c>
      <c r="AH8" s="15" t="str">
        <f>IF(H8="*","*",IF(_xlfn.XLOOKUP($H8,'TRA TECH'!$J:$J,'TRA TECH'!AJ:AJ)="","",_xlfn.XLOOKUP($H8,'TRA TECH'!$J:$J,'TRA TECH'!AJ:AJ)))</f>
        <v>*</v>
      </c>
      <c r="AI8" s="15" t="str">
        <f>IF(H8="*","*",IF(_xlfn.XLOOKUP($H8,'TRA TECH'!$J:$J,'TRA TECH'!AK:AK)="","",_xlfn.XLOOKUP($H8,'TRA TECH'!$J:$J,'TRA TECH'!AK:AK)))</f>
        <v>*</v>
      </c>
      <c r="AJ8" s="15" t="str">
        <f t="shared" si="4"/>
        <v>*</v>
      </c>
      <c r="AK8" s="16" t="str">
        <f t="shared" si="5"/>
        <v>*</v>
      </c>
    </row>
    <row r="9" spans="2:37" x14ac:dyDescent="0.25">
      <c r="B9" t="str">
        <f>IF('TRA TECH'!M5=0,"*",IF('TRA TECH'!H5="","*",'TRA TECH'!J5))</f>
        <v>TRAPASCARICEVTGSL20</v>
      </c>
      <c r="C9" t="str">
        <f>IF('TRA TECH'!M5=0,"*",'TRA TECH'!H5)</f>
        <v>TRAGSL</v>
      </c>
      <c r="D9" t="s">
        <v>424</v>
      </c>
      <c r="E9" s="9">
        <f>'TRA TECH'!P5</f>
        <v>1</v>
      </c>
      <c r="H9" t="str">
        <f>IF('TRA TECH'!M5=1,IF('TRA TECH'!L5=1,'TRA TECH'!J5,"*"),"*")</f>
        <v>TRAPASCARICEVTGSL20</v>
      </c>
      <c r="I9" t="str">
        <f>IF(H9="*","*",_xlfn.XLOOKUP(H9,'TRA TECH'!J:J,'TRA TECH'!I:I))</f>
        <v>TRAPASCARDMD</v>
      </c>
      <c r="J9">
        <f>IF(H9="*","*",_xlfn.XLOOKUP(H9,'TRA TECH'!J:J,'TRA TECH'!N:N))</f>
        <v>2020</v>
      </c>
      <c r="K9" s="15">
        <f>IF(H9="*","*",IF(_xlfn.XLOOKUP(H9,'TRA TECH'!J:J,'TRA TECH'!O:O)="","",_xlfn.XLOOKUP(H9,'TRA TECH'!J:J,'TRA TECH'!O:O)))</f>
        <v>16.861273869240819</v>
      </c>
      <c r="L9">
        <f t="shared" si="1"/>
        <v>1</v>
      </c>
      <c r="M9">
        <f>IF(H9="*","*",IF(_xlfn.XLOOKUP($H9,'TRA TECH'!$J:$J,'TRA TECH'!Q:Q)="","",_xlfn.XLOOKUP($H9,'TRA TECH'!$J:$J,'TRA TECH'!Q:Q)))</f>
        <v>0.41785637982195839</v>
      </c>
      <c r="N9">
        <f>IF(H9="*","*",IF(_xlfn.XLOOKUP($H9,'TRA TECH'!$J:$J,'TRA TECH'!R:R)="","",_xlfn.XLOOKUP($H9,'TRA TECH'!$J:$J,'TRA TECH'!R:R)))</f>
        <v>0.41586658753709183</v>
      </c>
      <c r="O9">
        <f>IF(H9="*","*",IF(_xlfn.XLOOKUP($H9,'TRA TECH'!$J:$J,'TRA TECH'!S:S)="","",_xlfn.XLOOKUP($H9,'TRA TECH'!$J:$J,'TRA TECH'!S:S)))</f>
        <v>0.4662746587537091</v>
      </c>
      <c r="P9">
        <f>IF(H9="*","*",IF(_xlfn.XLOOKUP($H9,'TRA TECH'!$J:$J,'TRA TECH'!T:T)="","",_xlfn.XLOOKUP($H9,'TRA TECH'!$J:$J,'TRA TECH'!T:T)))</f>
        <v>0.5054072403560832</v>
      </c>
      <c r="Q9">
        <f>IF(H9="*","*",IF(_xlfn.XLOOKUP($H9,'TRA TECH'!$J:$J,'TRA TECH'!U:U)="","",_xlfn.XLOOKUP($H9,'TRA TECH'!$J:$J,'TRA TECH'!U:U)))</f>
        <v>0.53326433234421389</v>
      </c>
      <c r="R9">
        <f>IF(H9="*","*",IF(_xlfn.XLOOKUP($H9,'TRA TECH'!$J:$J,'TRA TECH'!V:V)="","",_xlfn.XLOOKUP($H9,'TRA TECH'!$J:$J,'TRA TECH'!V:V)))</f>
        <v>0.56112142433234447</v>
      </c>
      <c r="S9">
        <f>IF(H9="*","*",IF(_xlfn.XLOOKUP($H9,'TRA TECH'!$J:$J,'TRA TECH'!W:W)="","",_xlfn.XLOOKUP($H9,'TRA TECH'!$J:$J,'TRA TECH'!W:W)))</f>
        <v>0.59030504451038568</v>
      </c>
      <c r="T9">
        <f t="shared" si="2"/>
        <v>0.59030504451038568</v>
      </c>
      <c r="U9">
        <f>IF(H9="*","*",IF(_xlfn.XLOOKUP($H9,'TRA TECH'!$J:$J,'TRA TECH'!X:X)="","",_xlfn.XLOOKUP($H9,'TRA TECH'!$J:$J,'TRA TECH'!X:X)))</f>
        <v>157.19575612079501</v>
      </c>
      <c r="V9">
        <f>IF(H9="*","*",IF(_xlfn.XLOOKUP($H9,'TRA TECH'!$J:$J,'TRA TECH'!Y:Y)="","",_xlfn.XLOOKUP($H9,'TRA TECH'!$J:$J,'TRA TECH'!Y:Y)))</f>
        <v>156.1288165996132</v>
      </c>
      <c r="W9">
        <f>IF(H9="*","*",IF(_xlfn.XLOOKUP($H9,'TRA TECH'!$J:$J,'TRA TECH'!Z:Z)="","",_xlfn.XLOOKUP($H9,'TRA TECH'!$J:$J,'TRA TECH'!Z:Z)))</f>
        <v>159.32963516315871</v>
      </c>
      <c r="X9">
        <f>IF(H9="*","*",IF(_xlfn.XLOOKUP($H9,'TRA TECH'!$J:$J,'TRA TECH'!AA:AA)="","",_xlfn.XLOOKUP($H9,'TRA TECH'!$J:$J,'TRA TECH'!AA:AA)))</f>
        <v>165.73127229024999</v>
      </c>
      <c r="Y9">
        <f>IF(H9="*","*",IF(_xlfn.XLOOKUP($H9,'TRA TECH'!$J:$J,'TRA TECH'!AB:AB)="","",_xlfn.XLOOKUP($H9,'TRA TECH'!$J:$J,'TRA TECH'!AB:AB)))</f>
        <v>165.37562578318929</v>
      </c>
      <c r="Z9">
        <f>IF(H9="*","*",IF(_xlfn.XLOOKUP($H9,'TRA TECH'!$J:$J,'TRA TECH'!AC:AC)="","",_xlfn.XLOOKUP($H9,'TRA TECH'!$J:$J,'TRA TECH'!AC:AC)))</f>
        <v>165.01997927612871</v>
      </c>
      <c r="AA9">
        <f>IF(H9="*","*",IF(_xlfn.XLOOKUP($H9,'TRA TECH'!$J:$J,'TRA TECH'!AD:AD)="","",_xlfn.XLOOKUP($H9,'TRA TECH'!$J:$J,'TRA TECH'!AD:AD)))</f>
        <v>164.66433276906821</v>
      </c>
      <c r="AB9">
        <f t="shared" si="3"/>
        <v>164.66433276906821</v>
      </c>
      <c r="AC9" s="15">
        <f>IF(H9="*","*",IF(_xlfn.XLOOKUP($H9,'TRA TECH'!$J:$J,'TRA TECH'!AE:AE)="","",_xlfn.XLOOKUP($H9,'TRA TECH'!$J:$J,'TRA TECH'!AE:AE)))</f>
        <v>5.2309412939394706</v>
      </c>
      <c r="AD9" s="15">
        <f>IF(H9="*","*",IF(_xlfn.XLOOKUP($H9,'TRA TECH'!$J:$J,'TRA TECH'!AF:AF)="","",_xlfn.XLOOKUP($H9,'TRA TECH'!$J:$J,'TRA TECH'!AF:AF)))</f>
        <v>5.2309412939394706</v>
      </c>
      <c r="AE9" s="15">
        <f>IF(H9="*","*",IF(_xlfn.XLOOKUP($H9,'TRA TECH'!$J:$J,'TRA TECH'!AG:AG)="","",_xlfn.XLOOKUP($H9,'TRA TECH'!$J:$J,'TRA TECH'!AG:AG)))</f>
        <v>5.2309412939394706</v>
      </c>
      <c r="AF9" s="15">
        <f>IF(H9="*","*",IF(_xlfn.XLOOKUP($H9,'TRA TECH'!$J:$J,'TRA TECH'!AH:AH)="","",_xlfn.XLOOKUP($H9,'TRA TECH'!$J:$J,'TRA TECH'!AH:AH)))</f>
        <v>5.2309412939394706</v>
      </c>
      <c r="AG9" s="15">
        <f>IF(H9="*","*",IF(_xlfn.XLOOKUP($H9,'TRA TECH'!$J:$J,'TRA TECH'!AI:AI)="","",_xlfn.XLOOKUP($H9,'TRA TECH'!$J:$J,'TRA TECH'!AI:AI)))</f>
        <v>5.2309412939394706</v>
      </c>
      <c r="AH9" s="15">
        <f>IF(H9="*","*",IF(_xlfn.XLOOKUP($H9,'TRA TECH'!$J:$J,'TRA TECH'!AJ:AJ)="","",_xlfn.XLOOKUP($H9,'TRA TECH'!$J:$J,'TRA TECH'!AJ:AJ)))</f>
        <v>5.2309412939394706</v>
      </c>
      <c r="AI9" s="15">
        <f>IF(H9="*","*",IF(_xlfn.XLOOKUP($H9,'TRA TECH'!$J:$J,'TRA TECH'!AK:AK)="","",_xlfn.XLOOKUP($H9,'TRA TECH'!$J:$J,'TRA TECH'!AK:AK)))</f>
        <v>5.2309412939394706</v>
      </c>
      <c r="AJ9" s="15">
        <f t="shared" si="4"/>
        <v>5.2309412939394706</v>
      </c>
      <c r="AK9" s="16">
        <f t="shared" si="5"/>
        <v>0.1</v>
      </c>
    </row>
    <row r="10" spans="2:37" x14ac:dyDescent="0.25">
      <c r="B10" t="str">
        <f>IF('TRA TECH'!M6=0,"*",IF('TRA TECH'!H6="","*",'TRA TECH'!J6))</f>
        <v>TRAPASCARICEVTGSL20</v>
      </c>
      <c r="C10" t="str">
        <f>IF('TRA TECH'!M6=0,"*",'TRA TECH'!H6)</f>
        <v>TRAETH</v>
      </c>
      <c r="D10" t="s">
        <v>424</v>
      </c>
      <c r="E10" s="9">
        <f>'TRA TECH'!P6</f>
        <v>0.1</v>
      </c>
      <c r="H10" t="str">
        <f>IF('TRA TECH'!M6=1,IF('TRA TECH'!L6=1,'TRA TECH'!J6,"*"),"*")</f>
        <v>*</v>
      </c>
      <c r="I10" t="str">
        <f>IF(H10="*","*",_xlfn.XLOOKUP(H10,'TRA TECH'!J:J,'TRA TECH'!I:I))</f>
        <v>*</v>
      </c>
      <c r="J10" t="str">
        <f>IF(H10="*","*",_xlfn.XLOOKUP(H10,'TRA TECH'!J:J,'TRA TECH'!N:N))</f>
        <v>*</v>
      </c>
      <c r="K10" s="15" t="str">
        <f>IF(H10="*","*",IF(_xlfn.XLOOKUP(H10,'TRA TECH'!J:J,'TRA TECH'!O:O)="","",_xlfn.XLOOKUP(H10,'TRA TECH'!J:J,'TRA TECH'!O:O)))</f>
        <v>*</v>
      </c>
      <c r="L10" t="str">
        <f t="shared" si="1"/>
        <v>*</v>
      </c>
      <c r="M10" t="str">
        <f>IF(H10="*","*",IF(_xlfn.XLOOKUP($H10,'TRA TECH'!$J:$J,'TRA TECH'!Q:Q)="","",_xlfn.XLOOKUP($H10,'TRA TECH'!$J:$J,'TRA TECH'!Q:Q)))</f>
        <v>*</v>
      </c>
      <c r="N10" t="str">
        <f>IF(H10="*","*",IF(_xlfn.XLOOKUP($H10,'TRA TECH'!$J:$J,'TRA TECH'!R:R)="","",_xlfn.XLOOKUP($H10,'TRA TECH'!$J:$J,'TRA TECH'!R:R)))</f>
        <v>*</v>
      </c>
      <c r="O10" t="str">
        <f>IF(H10="*","*",IF(_xlfn.XLOOKUP($H10,'TRA TECH'!$J:$J,'TRA TECH'!S:S)="","",_xlfn.XLOOKUP($H10,'TRA TECH'!$J:$J,'TRA TECH'!S:S)))</f>
        <v>*</v>
      </c>
      <c r="P10" t="str">
        <f>IF(H10="*","*",IF(_xlfn.XLOOKUP($H10,'TRA TECH'!$J:$J,'TRA TECH'!T:T)="","",_xlfn.XLOOKUP($H10,'TRA TECH'!$J:$J,'TRA TECH'!T:T)))</f>
        <v>*</v>
      </c>
      <c r="Q10" t="str">
        <f>IF(H10="*","*",IF(_xlfn.XLOOKUP($H10,'TRA TECH'!$J:$J,'TRA TECH'!U:U)="","",_xlfn.XLOOKUP($H10,'TRA TECH'!$J:$J,'TRA TECH'!U:U)))</f>
        <v>*</v>
      </c>
      <c r="R10" t="str">
        <f>IF(H10="*","*",IF(_xlfn.XLOOKUP($H10,'TRA TECH'!$J:$J,'TRA TECH'!V:V)="","",_xlfn.XLOOKUP($H10,'TRA TECH'!$J:$J,'TRA TECH'!V:V)))</f>
        <v>*</v>
      </c>
      <c r="S10" t="str">
        <f>IF(H10="*","*",IF(_xlfn.XLOOKUP($H10,'TRA TECH'!$J:$J,'TRA TECH'!W:W)="","",_xlfn.XLOOKUP($H10,'TRA TECH'!$J:$J,'TRA TECH'!W:W)))</f>
        <v>*</v>
      </c>
      <c r="T10" t="str">
        <f t="shared" si="2"/>
        <v>*</v>
      </c>
      <c r="U10" t="str">
        <f>IF(H10="*","*",IF(_xlfn.XLOOKUP($H10,'TRA TECH'!$J:$J,'TRA TECH'!X:X)="","",_xlfn.XLOOKUP($H10,'TRA TECH'!$J:$J,'TRA TECH'!X:X)))</f>
        <v>*</v>
      </c>
      <c r="V10" t="str">
        <f>IF(H10="*","*",IF(_xlfn.XLOOKUP($H10,'TRA TECH'!$J:$J,'TRA TECH'!Y:Y)="","",_xlfn.XLOOKUP($H10,'TRA TECH'!$J:$J,'TRA TECH'!Y:Y)))</f>
        <v>*</v>
      </c>
      <c r="W10" t="str">
        <f>IF(H10="*","*",IF(_xlfn.XLOOKUP($H10,'TRA TECH'!$J:$J,'TRA TECH'!Z:Z)="","",_xlfn.XLOOKUP($H10,'TRA TECH'!$J:$J,'TRA TECH'!Z:Z)))</f>
        <v>*</v>
      </c>
      <c r="X10" t="str">
        <f>IF(H10="*","*",IF(_xlfn.XLOOKUP($H10,'TRA TECH'!$J:$J,'TRA TECH'!AA:AA)="","",_xlfn.XLOOKUP($H10,'TRA TECH'!$J:$J,'TRA TECH'!AA:AA)))</f>
        <v>*</v>
      </c>
      <c r="Y10" t="str">
        <f>IF(H10="*","*",IF(_xlfn.XLOOKUP($H10,'TRA TECH'!$J:$J,'TRA TECH'!AB:AB)="","",_xlfn.XLOOKUP($H10,'TRA TECH'!$J:$J,'TRA TECH'!AB:AB)))</f>
        <v>*</v>
      </c>
      <c r="Z10" t="str">
        <f>IF(H10="*","*",IF(_xlfn.XLOOKUP($H10,'TRA TECH'!$J:$J,'TRA TECH'!AC:AC)="","",_xlfn.XLOOKUP($H10,'TRA TECH'!$J:$J,'TRA TECH'!AC:AC)))</f>
        <v>*</v>
      </c>
      <c r="AA10" t="str">
        <f>IF(H10="*","*",IF(_xlfn.XLOOKUP($H10,'TRA TECH'!$J:$J,'TRA TECH'!AD:AD)="","",_xlfn.XLOOKUP($H10,'TRA TECH'!$J:$J,'TRA TECH'!AD:AD)))</f>
        <v>*</v>
      </c>
      <c r="AB10" t="str">
        <f t="shared" si="3"/>
        <v>*</v>
      </c>
      <c r="AC10" s="15" t="str">
        <f>IF(H10="*","*",IF(_xlfn.XLOOKUP($H10,'TRA TECH'!$J:$J,'TRA TECH'!AE:AE)="","",_xlfn.XLOOKUP($H10,'TRA TECH'!$J:$J,'TRA TECH'!AE:AE)))</f>
        <v>*</v>
      </c>
      <c r="AD10" s="15" t="str">
        <f>IF(H10="*","*",IF(_xlfn.XLOOKUP($H10,'TRA TECH'!$J:$J,'TRA TECH'!AF:AF)="","",_xlfn.XLOOKUP($H10,'TRA TECH'!$J:$J,'TRA TECH'!AF:AF)))</f>
        <v>*</v>
      </c>
      <c r="AE10" s="15" t="str">
        <f>IF(H10="*","*",IF(_xlfn.XLOOKUP($H10,'TRA TECH'!$J:$J,'TRA TECH'!AG:AG)="","",_xlfn.XLOOKUP($H10,'TRA TECH'!$J:$J,'TRA TECH'!AG:AG)))</f>
        <v>*</v>
      </c>
      <c r="AF10" s="15" t="str">
        <f>IF(H10="*","*",IF(_xlfn.XLOOKUP($H10,'TRA TECH'!$J:$J,'TRA TECH'!AH:AH)="","",_xlfn.XLOOKUP($H10,'TRA TECH'!$J:$J,'TRA TECH'!AH:AH)))</f>
        <v>*</v>
      </c>
      <c r="AG10" s="15" t="str">
        <f>IF(H10="*","*",IF(_xlfn.XLOOKUP($H10,'TRA TECH'!$J:$J,'TRA TECH'!AI:AI)="","",_xlfn.XLOOKUP($H10,'TRA TECH'!$J:$J,'TRA TECH'!AI:AI)))</f>
        <v>*</v>
      </c>
      <c r="AH10" s="15" t="str">
        <f>IF(H10="*","*",IF(_xlfn.XLOOKUP($H10,'TRA TECH'!$J:$J,'TRA TECH'!AJ:AJ)="","",_xlfn.XLOOKUP($H10,'TRA TECH'!$J:$J,'TRA TECH'!AJ:AJ)))</f>
        <v>*</v>
      </c>
      <c r="AI10" s="15" t="str">
        <f>IF(H10="*","*",IF(_xlfn.XLOOKUP($H10,'TRA TECH'!$J:$J,'TRA TECH'!AK:AK)="","",_xlfn.XLOOKUP($H10,'TRA TECH'!$J:$J,'TRA TECH'!AK:AK)))</f>
        <v>*</v>
      </c>
      <c r="AJ10" s="15" t="str">
        <f t="shared" si="4"/>
        <v>*</v>
      </c>
      <c r="AK10" s="16" t="str">
        <f t="shared" si="5"/>
        <v>*</v>
      </c>
    </row>
    <row r="11" spans="2:37" x14ac:dyDescent="0.25">
      <c r="B11" t="str">
        <f>IF('TRA TECH'!M7=0,"*",IF('TRA TECH'!H7="","*",'TRA TECH'!J7))</f>
        <v>TRAPASCARHEVGSL20</v>
      </c>
      <c r="C11" t="str">
        <f>IF('TRA TECH'!M7=0,"*",'TRA TECH'!H7)</f>
        <v>TRAGSL</v>
      </c>
      <c r="D11" t="s">
        <v>424</v>
      </c>
      <c r="E11" s="9">
        <f>'TRA TECH'!P7</f>
        <v>1</v>
      </c>
      <c r="H11" t="str">
        <f>IF('TRA TECH'!M7=1,IF('TRA TECH'!L7=1,'TRA TECH'!J7,"*"),"*")</f>
        <v>TRAPASCARHEVGSL20</v>
      </c>
      <c r="I11" t="str">
        <f>IF(H11="*","*",_xlfn.XLOOKUP(H11,'TRA TECH'!J:J,'TRA TECH'!I:I))</f>
        <v>TRAPASCARDMD</v>
      </c>
      <c r="J11">
        <f>IF(H11="*","*",_xlfn.XLOOKUP(H11,'TRA TECH'!J:J,'TRA TECH'!N:N))</f>
        <v>2020</v>
      </c>
      <c r="K11" s="15">
        <f>IF(H11="*","*",IF(_xlfn.XLOOKUP(H11,'TRA TECH'!J:J,'TRA TECH'!O:O)="","",_xlfn.XLOOKUP(H11,'TRA TECH'!J:J,'TRA TECH'!O:O)))</f>
        <v>16.861273869240819</v>
      </c>
      <c r="L11">
        <f t="shared" si="1"/>
        <v>1</v>
      </c>
      <c r="M11">
        <f>IF(H11="*","*",IF(_xlfn.XLOOKUP($H11,'TRA TECH'!$J:$J,'TRA TECH'!Q:Q)="","",_xlfn.XLOOKUP($H11,'TRA TECH'!$J:$J,'TRA TECH'!Q:Q)))</f>
        <v>0.38469317507418399</v>
      </c>
      <c r="N11">
        <f>IF(H11="*","*",IF(_xlfn.XLOOKUP($H11,'TRA TECH'!$J:$J,'TRA TECH'!R:R)="","",_xlfn.XLOOKUP($H11,'TRA TECH'!$J:$J,'TRA TECH'!R:R)))</f>
        <v>0.37938706231454028</v>
      </c>
      <c r="O11">
        <f>IF(H11="*","*",IF(_xlfn.XLOOKUP($H11,'TRA TECH'!$J:$J,'TRA TECH'!S:S)="","",_xlfn.XLOOKUP($H11,'TRA TECH'!$J:$J,'TRA TECH'!S:S)))</f>
        <v>0.44173388724035628</v>
      </c>
      <c r="P11">
        <f>IF(H11="*","*",IF(_xlfn.XLOOKUP($H11,'TRA TECH'!$J:$J,'TRA TECH'!T:T)="","",_xlfn.XLOOKUP($H11,'TRA TECH'!$J:$J,'TRA TECH'!T:T)))</f>
        <v>0.48351952522255193</v>
      </c>
      <c r="Q11">
        <f>IF(H11="*","*",IF(_xlfn.XLOOKUP($H11,'TRA TECH'!$J:$J,'TRA TECH'!U:U)="","",_xlfn.XLOOKUP($H11,'TRA TECH'!$J:$J,'TRA TECH'!U:U)))</f>
        <v>0.50806029673590525</v>
      </c>
      <c r="R11">
        <f>IF(H11="*","*",IF(_xlfn.XLOOKUP($H11,'TRA TECH'!$J:$J,'TRA TECH'!V:V)="","",_xlfn.XLOOKUP($H11,'TRA TECH'!$J:$J,'TRA TECH'!V:V)))</f>
        <v>0.53326433234421344</v>
      </c>
      <c r="S11">
        <f>IF(H11="*","*",IF(_xlfn.XLOOKUP($H11,'TRA TECH'!$J:$J,'TRA TECH'!W:W)="","",_xlfn.XLOOKUP($H11,'TRA TECH'!$J:$J,'TRA TECH'!W:W)))</f>
        <v>0.55846836795252219</v>
      </c>
      <c r="T11">
        <f t="shared" si="2"/>
        <v>0.55846836795252219</v>
      </c>
      <c r="U11">
        <f>IF(H11="*","*",IF(_xlfn.XLOOKUP($H11,'TRA TECH'!$J:$J,'TRA TECH'!X:X)="","",_xlfn.XLOOKUP($H11,'TRA TECH'!$J:$J,'TRA TECH'!X:X)))</f>
        <v>150.7941189937039</v>
      </c>
      <c r="V11">
        <f>IF(H11="*","*",IF(_xlfn.XLOOKUP($H11,'TRA TECH'!$J:$J,'TRA TECH'!Y:Y)="","",_xlfn.XLOOKUP($H11,'TRA TECH'!$J:$J,'TRA TECH'!Y:Y)))</f>
        <v>153.28364454312819</v>
      </c>
      <c r="W11">
        <f>IF(H11="*","*",IF(_xlfn.XLOOKUP($H11,'TRA TECH'!$J:$J,'TRA TECH'!Z:Z)="","",_xlfn.XLOOKUP($H11,'TRA TECH'!$J:$J,'TRA TECH'!Z:Z)))</f>
        <v>153.6392910501888</v>
      </c>
      <c r="X11">
        <f>IF(H11="*","*",IF(_xlfn.XLOOKUP($H11,'TRA TECH'!$J:$J,'TRA TECH'!AA:AA)="","",_xlfn.XLOOKUP($H11,'TRA TECH'!$J:$J,'TRA TECH'!AA:AA)))</f>
        <v>165.01997927612891</v>
      </c>
      <c r="Y11">
        <f>IF(H11="*","*",IF(_xlfn.XLOOKUP($H11,'TRA TECH'!$J:$J,'TRA TECH'!AB:AB)="","",_xlfn.XLOOKUP($H11,'TRA TECH'!$J:$J,'TRA TECH'!AB:AB)))</f>
        <v>162.88610023376501</v>
      </c>
      <c r="Z11">
        <f>IF(H11="*","*",IF(_xlfn.XLOOKUP($H11,'TRA TECH'!$J:$J,'TRA TECH'!AC:AC)="","",_xlfn.XLOOKUP($H11,'TRA TECH'!$J:$J,'TRA TECH'!AC:AC)))</f>
        <v>161.10786769846189</v>
      </c>
      <c r="AA11">
        <f>IF(H11="*","*",IF(_xlfn.XLOOKUP($H11,'TRA TECH'!$J:$J,'TRA TECH'!AD:AD)="","",_xlfn.XLOOKUP($H11,'TRA TECH'!$J:$J,'TRA TECH'!AD:AD)))</f>
        <v>158.97398865609819</v>
      </c>
      <c r="AB11">
        <f t="shared" si="3"/>
        <v>158.97398865609819</v>
      </c>
      <c r="AC11" s="15">
        <f>IF(H11="*","*",IF(_xlfn.XLOOKUP($H11,'TRA TECH'!$J:$J,'TRA TECH'!AE:AE)="","",_xlfn.XLOOKUP($H11,'TRA TECH'!$J:$J,'TRA TECH'!AE:AE)))</f>
        <v>4.9356462208944993</v>
      </c>
      <c r="AD11" s="15">
        <f>IF(H11="*","*",IF(_xlfn.XLOOKUP($H11,'TRA TECH'!$J:$J,'TRA TECH'!AF:AF)="","",_xlfn.XLOOKUP($H11,'TRA TECH'!$J:$J,'TRA TECH'!AF:AF)))</f>
        <v>4.9356462208944993</v>
      </c>
      <c r="AE11" s="15">
        <f>IF(H11="*","*",IF(_xlfn.XLOOKUP($H11,'TRA TECH'!$J:$J,'TRA TECH'!AG:AG)="","",_xlfn.XLOOKUP($H11,'TRA TECH'!$J:$J,'TRA TECH'!AG:AG)))</f>
        <v>4.9356462208944993</v>
      </c>
      <c r="AF11" s="15">
        <f>IF(H11="*","*",IF(_xlfn.XLOOKUP($H11,'TRA TECH'!$J:$J,'TRA TECH'!AH:AH)="","",_xlfn.XLOOKUP($H11,'TRA TECH'!$J:$J,'TRA TECH'!AH:AH)))</f>
        <v>4.9356462208944993</v>
      </c>
      <c r="AG11" s="15">
        <f>IF(H11="*","*",IF(_xlfn.XLOOKUP($H11,'TRA TECH'!$J:$J,'TRA TECH'!AI:AI)="","",_xlfn.XLOOKUP($H11,'TRA TECH'!$J:$J,'TRA TECH'!AI:AI)))</f>
        <v>4.9356462208944993</v>
      </c>
      <c r="AH11" s="15">
        <f>IF(H11="*","*",IF(_xlfn.XLOOKUP($H11,'TRA TECH'!$J:$J,'TRA TECH'!AJ:AJ)="","",_xlfn.XLOOKUP($H11,'TRA TECH'!$J:$J,'TRA TECH'!AJ:AJ)))</f>
        <v>4.9356462208944993</v>
      </c>
      <c r="AI11" s="15">
        <f>IF(H11="*","*",IF(_xlfn.XLOOKUP($H11,'TRA TECH'!$J:$J,'TRA TECH'!AK:AK)="","",_xlfn.XLOOKUP($H11,'TRA TECH'!$J:$J,'TRA TECH'!AK:AK)))</f>
        <v>4.9356462208944993</v>
      </c>
      <c r="AJ11" s="15">
        <f t="shared" si="4"/>
        <v>4.9356462208944993</v>
      </c>
      <c r="AK11" s="16">
        <f t="shared" si="5"/>
        <v>0.25</v>
      </c>
    </row>
    <row r="12" spans="2:37" x14ac:dyDescent="0.25">
      <c r="B12" t="str">
        <f>IF('TRA TECH'!M8=0,"*",IF('TRA TECH'!H8="","*",'TRA TECH'!J8))</f>
        <v>TRAPASCARHEVGSL20</v>
      </c>
      <c r="C12" t="str">
        <f>IF('TRA TECH'!M8=0,"*",'TRA TECH'!H8)</f>
        <v>TRAETH</v>
      </c>
      <c r="D12" t="s">
        <v>424</v>
      </c>
      <c r="E12" s="9">
        <f>'TRA TECH'!P8</f>
        <v>0.1</v>
      </c>
      <c r="H12" t="str">
        <f>IF('TRA TECH'!M8=1,IF('TRA TECH'!L8=1,'TRA TECH'!J8,"*"),"*")</f>
        <v>*</v>
      </c>
      <c r="I12" t="str">
        <f>IF(H12="*","*",_xlfn.XLOOKUP(H12,'TRA TECH'!J:J,'TRA TECH'!I:I))</f>
        <v>*</v>
      </c>
      <c r="J12" t="str">
        <f>IF(H12="*","*",_xlfn.XLOOKUP(H12,'TRA TECH'!J:J,'TRA TECH'!N:N))</f>
        <v>*</v>
      </c>
      <c r="K12" s="15" t="str">
        <f>IF(H12="*","*",IF(_xlfn.XLOOKUP(H12,'TRA TECH'!J:J,'TRA TECH'!O:O)="","",_xlfn.XLOOKUP(H12,'TRA TECH'!J:J,'TRA TECH'!O:O)))</f>
        <v>*</v>
      </c>
      <c r="L12" t="str">
        <f t="shared" si="1"/>
        <v>*</v>
      </c>
      <c r="M12" t="str">
        <f>IF(H12="*","*",IF(_xlfn.XLOOKUP($H12,'TRA TECH'!$J:$J,'TRA TECH'!Q:Q)="","",_xlfn.XLOOKUP($H12,'TRA TECH'!$J:$J,'TRA TECH'!Q:Q)))</f>
        <v>*</v>
      </c>
      <c r="N12" t="str">
        <f>IF(H12="*","*",IF(_xlfn.XLOOKUP($H12,'TRA TECH'!$J:$J,'TRA TECH'!R:R)="","",_xlfn.XLOOKUP($H12,'TRA TECH'!$J:$J,'TRA TECH'!R:R)))</f>
        <v>*</v>
      </c>
      <c r="O12" t="str">
        <f>IF(H12="*","*",IF(_xlfn.XLOOKUP($H12,'TRA TECH'!$J:$J,'TRA TECH'!S:S)="","",_xlfn.XLOOKUP($H12,'TRA TECH'!$J:$J,'TRA TECH'!S:S)))</f>
        <v>*</v>
      </c>
      <c r="P12" t="str">
        <f>IF(H12="*","*",IF(_xlfn.XLOOKUP($H12,'TRA TECH'!$J:$J,'TRA TECH'!T:T)="","",_xlfn.XLOOKUP($H12,'TRA TECH'!$J:$J,'TRA TECH'!T:T)))</f>
        <v>*</v>
      </c>
      <c r="Q12" t="str">
        <f>IF(H12="*","*",IF(_xlfn.XLOOKUP($H12,'TRA TECH'!$J:$J,'TRA TECH'!U:U)="","",_xlfn.XLOOKUP($H12,'TRA TECH'!$J:$J,'TRA TECH'!U:U)))</f>
        <v>*</v>
      </c>
      <c r="R12" t="str">
        <f>IF(H12="*","*",IF(_xlfn.XLOOKUP($H12,'TRA TECH'!$J:$J,'TRA TECH'!V:V)="","",_xlfn.XLOOKUP($H12,'TRA TECH'!$J:$J,'TRA TECH'!V:V)))</f>
        <v>*</v>
      </c>
      <c r="S12" t="str">
        <f>IF(H12="*","*",IF(_xlfn.XLOOKUP($H12,'TRA TECH'!$J:$J,'TRA TECH'!W:W)="","",_xlfn.XLOOKUP($H12,'TRA TECH'!$J:$J,'TRA TECH'!W:W)))</f>
        <v>*</v>
      </c>
      <c r="T12" t="str">
        <f t="shared" si="2"/>
        <v>*</v>
      </c>
      <c r="U12" t="str">
        <f>IF(H12="*","*",IF(_xlfn.XLOOKUP($H12,'TRA TECH'!$J:$J,'TRA TECH'!X:X)="","",_xlfn.XLOOKUP($H12,'TRA TECH'!$J:$J,'TRA TECH'!X:X)))</f>
        <v>*</v>
      </c>
      <c r="V12" t="str">
        <f>IF(H12="*","*",IF(_xlfn.XLOOKUP($H12,'TRA TECH'!$J:$J,'TRA TECH'!Y:Y)="","",_xlfn.XLOOKUP($H12,'TRA TECH'!$J:$J,'TRA TECH'!Y:Y)))</f>
        <v>*</v>
      </c>
      <c r="W12" t="str">
        <f>IF(H12="*","*",IF(_xlfn.XLOOKUP($H12,'TRA TECH'!$J:$J,'TRA TECH'!Z:Z)="","",_xlfn.XLOOKUP($H12,'TRA TECH'!$J:$J,'TRA TECH'!Z:Z)))</f>
        <v>*</v>
      </c>
      <c r="X12" t="str">
        <f>IF(H12="*","*",IF(_xlfn.XLOOKUP($H12,'TRA TECH'!$J:$J,'TRA TECH'!AA:AA)="","",_xlfn.XLOOKUP($H12,'TRA TECH'!$J:$J,'TRA TECH'!AA:AA)))</f>
        <v>*</v>
      </c>
      <c r="Y12" t="str">
        <f>IF(H12="*","*",IF(_xlfn.XLOOKUP($H12,'TRA TECH'!$J:$J,'TRA TECH'!AB:AB)="","",_xlfn.XLOOKUP($H12,'TRA TECH'!$J:$J,'TRA TECH'!AB:AB)))</f>
        <v>*</v>
      </c>
      <c r="Z12" t="str">
        <f>IF(H12="*","*",IF(_xlfn.XLOOKUP($H12,'TRA TECH'!$J:$J,'TRA TECH'!AC:AC)="","",_xlfn.XLOOKUP($H12,'TRA TECH'!$J:$J,'TRA TECH'!AC:AC)))</f>
        <v>*</v>
      </c>
      <c r="AA12" t="str">
        <f>IF(H12="*","*",IF(_xlfn.XLOOKUP($H12,'TRA TECH'!$J:$J,'TRA TECH'!AD:AD)="","",_xlfn.XLOOKUP($H12,'TRA TECH'!$J:$J,'TRA TECH'!AD:AD)))</f>
        <v>*</v>
      </c>
      <c r="AB12" t="str">
        <f t="shared" si="3"/>
        <v>*</v>
      </c>
      <c r="AC12" s="15" t="str">
        <f>IF(H12="*","*",IF(_xlfn.XLOOKUP($H12,'TRA TECH'!$J:$J,'TRA TECH'!AE:AE)="","",_xlfn.XLOOKUP($H12,'TRA TECH'!$J:$J,'TRA TECH'!AE:AE)))</f>
        <v>*</v>
      </c>
      <c r="AD12" s="15" t="str">
        <f>IF(H12="*","*",IF(_xlfn.XLOOKUP($H12,'TRA TECH'!$J:$J,'TRA TECH'!AF:AF)="","",_xlfn.XLOOKUP($H12,'TRA TECH'!$J:$J,'TRA TECH'!AF:AF)))</f>
        <v>*</v>
      </c>
      <c r="AE12" s="15" t="str">
        <f>IF(H12="*","*",IF(_xlfn.XLOOKUP($H12,'TRA TECH'!$J:$J,'TRA TECH'!AG:AG)="","",_xlfn.XLOOKUP($H12,'TRA TECH'!$J:$J,'TRA TECH'!AG:AG)))</f>
        <v>*</v>
      </c>
      <c r="AF12" s="15" t="str">
        <f>IF(H12="*","*",IF(_xlfn.XLOOKUP($H12,'TRA TECH'!$J:$J,'TRA TECH'!AH:AH)="","",_xlfn.XLOOKUP($H12,'TRA TECH'!$J:$J,'TRA TECH'!AH:AH)))</f>
        <v>*</v>
      </c>
      <c r="AG12" s="15" t="str">
        <f>IF(H12="*","*",IF(_xlfn.XLOOKUP($H12,'TRA TECH'!$J:$J,'TRA TECH'!AI:AI)="","",_xlfn.XLOOKUP($H12,'TRA TECH'!$J:$J,'TRA TECH'!AI:AI)))</f>
        <v>*</v>
      </c>
      <c r="AH12" s="15" t="str">
        <f>IF(H12="*","*",IF(_xlfn.XLOOKUP($H12,'TRA TECH'!$J:$J,'TRA TECH'!AJ:AJ)="","",_xlfn.XLOOKUP($H12,'TRA TECH'!$J:$J,'TRA TECH'!AJ:AJ)))</f>
        <v>*</v>
      </c>
      <c r="AI12" s="15" t="str">
        <f>IF(H12="*","*",IF(_xlfn.XLOOKUP($H12,'TRA TECH'!$J:$J,'TRA TECH'!AK:AK)="","",_xlfn.XLOOKUP($H12,'TRA TECH'!$J:$J,'TRA TECH'!AK:AK)))</f>
        <v>*</v>
      </c>
      <c r="AJ12" s="15" t="str">
        <f t="shared" si="4"/>
        <v>*</v>
      </c>
      <c r="AK12" s="16" t="str">
        <f t="shared" si="5"/>
        <v>*</v>
      </c>
    </row>
    <row r="13" spans="2:37" x14ac:dyDescent="0.25">
      <c r="B13" t="str">
        <f>IF('TRA TECH'!M9=0,"*",IF('TRA TECH'!H9="","*",'TRA TECH'!J9))</f>
        <v>TRAPASCARHEVTGSL20</v>
      </c>
      <c r="C13" t="str">
        <f>IF('TRA TECH'!M9=0,"*",'TRA TECH'!H9)</f>
        <v>TRAGSL</v>
      </c>
      <c r="D13" t="s">
        <v>424</v>
      </c>
      <c r="E13" s="9">
        <f>'TRA TECH'!P9</f>
        <v>1</v>
      </c>
      <c r="H13" t="str">
        <f>IF('TRA TECH'!M9=1,IF('TRA TECH'!L9=1,'TRA TECH'!J9,"*"),"*")</f>
        <v>TRAPASCARHEVTGSL20</v>
      </c>
      <c r="I13" t="str">
        <f>IF(H13="*","*",_xlfn.XLOOKUP(H13,'TRA TECH'!J:J,'TRA TECH'!I:I))</f>
        <v>TRAPASCARDMD</v>
      </c>
      <c r="J13">
        <f>IF(H13="*","*",_xlfn.XLOOKUP(H13,'TRA TECH'!J:J,'TRA TECH'!N:N))</f>
        <v>2020</v>
      </c>
      <c r="K13" s="15">
        <f>IF(H13="*","*",IF(_xlfn.XLOOKUP(H13,'TRA TECH'!J:J,'TRA TECH'!O:O)="","",_xlfn.XLOOKUP(H13,'TRA TECH'!J:J,'TRA TECH'!O:O)))</f>
        <v>16.861273869240819</v>
      </c>
      <c r="L13">
        <f t="shared" si="1"/>
        <v>1</v>
      </c>
      <c r="M13">
        <f>IF(H13="*","*",IF(_xlfn.XLOOKUP($H13,'TRA TECH'!$J:$J,'TRA TECH'!Q:Q)="","",_xlfn.XLOOKUP($H13,'TRA TECH'!$J:$J,'TRA TECH'!Q:Q)))</f>
        <v>0.42515228486646889</v>
      </c>
      <c r="N13">
        <f>IF(H13="*","*",IF(_xlfn.XLOOKUP($H13,'TRA TECH'!$J:$J,'TRA TECH'!R:R)="","",_xlfn.XLOOKUP($H13,'TRA TECH'!$J:$J,'TRA TECH'!R:R)))</f>
        <v>0.42249922848664673</v>
      </c>
      <c r="O13">
        <f>IF(H13="*","*",IF(_xlfn.XLOOKUP($H13,'TRA TECH'!$J:$J,'TRA TECH'!S:S)="","",_xlfn.XLOOKUP($H13,'TRA TECH'!$J:$J,'TRA TECH'!S:S)))</f>
        <v>0.47489709198813063</v>
      </c>
      <c r="P13">
        <f>IF(H13="*","*",IF(_xlfn.XLOOKUP($H13,'TRA TECH'!$J:$J,'TRA TECH'!T:T)="","",_xlfn.XLOOKUP($H13,'TRA TECH'!$J:$J,'TRA TECH'!T:T)))</f>
        <v>0.51601946587537084</v>
      </c>
      <c r="Q13">
        <f>IF(H13="*","*",IF(_xlfn.XLOOKUP($H13,'TRA TECH'!$J:$J,'TRA TECH'!U:U)="","",_xlfn.XLOOKUP($H13,'TRA TECH'!$J:$J,'TRA TECH'!U:U)))</f>
        <v>0.54453982195845696</v>
      </c>
      <c r="R13">
        <f>IF(H13="*","*",IF(_xlfn.XLOOKUP($H13,'TRA TECH'!$J:$J,'TRA TECH'!V:V)="","",_xlfn.XLOOKUP($H13,'TRA TECH'!$J:$J,'TRA TECH'!V:V)))</f>
        <v>0.57306017804154274</v>
      </c>
      <c r="S13">
        <f>IF(H13="*","*",IF(_xlfn.XLOOKUP($H13,'TRA TECH'!$J:$J,'TRA TECH'!W:W)="","",_xlfn.XLOOKUP($H13,'TRA TECH'!$J:$J,'TRA TECH'!W:W)))</f>
        <v>0.60224379821958474</v>
      </c>
      <c r="T13">
        <f t="shared" si="2"/>
        <v>0.60224379821958474</v>
      </c>
      <c r="U13">
        <f>IF(H13="*","*",IF(_xlfn.XLOOKUP($H13,'TRA TECH'!$J:$J,'TRA TECH'!X:X)="","",_xlfn.XLOOKUP($H13,'TRA TECH'!$J:$J,'TRA TECH'!X:X)))</f>
        <v>158.97398865609819</v>
      </c>
      <c r="V13">
        <f>IF(H13="*","*",IF(_xlfn.XLOOKUP($H13,'TRA TECH'!$J:$J,'TRA TECH'!Y:Y)="","",_xlfn.XLOOKUP($H13,'TRA TECH'!$J:$J,'TRA TECH'!Y:Y)))</f>
        <v>157.55140262785571</v>
      </c>
      <c r="W13">
        <f>IF(H13="*","*",IF(_xlfn.XLOOKUP($H13,'TRA TECH'!$J:$J,'TRA TECH'!Z:Z)="","",_xlfn.XLOOKUP($H13,'TRA TECH'!$J:$J,'TRA TECH'!Z:Z)))</f>
        <v>160.39657468434069</v>
      </c>
      <c r="X13">
        <f>IF(H13="*","*",IF(_xlfn.XLOOKUP($H13,'TRA TECH'!$J:$J,'TRA TECH'!AA:AA)="","",_xlfn.XLOOKUP($H13,'TRA TECH'!$J:$J,'TRA TECH'!AA:AA)))</f>
        <v>166.7982118114318</v>
      </c>
      <c r="Y13">
        <f>IF(H13="*","*",IF(_xlfn.XLOOKUP($H13,'TRA TECH'!$J:$J,'TRA TECH'!AB:AB)="","",_xlfn.XLOOKUP($H13,'TRA TECH'!$J:$J,'TRA TECH'!AB:AB)))</f>
        <v>166.4425653043713</v>
      </c>
      <c r="Z13">
        <f>IF(H13="*","*",IF(_xlfn.XLOOKUP($H13,'TRA TECH'!$J:$J,'TRA TECH'!AC:AC)="","",_xlfn.XLOOKUP($H13,'TRA TECH'!$J:$J,'TRA TECH'!AC:AC)))</f>
        <v>166.08691879731069</v>
      </c>
      <c r="AA13">
        <f>IF(H13="*","*",IF(_xlfn.XLOOKUP($H13,'TRA TECH'!$J:$J,'TRA TECH'!AD:AD)="","",_xlfn.XLOOKUP($H13,'TRA TECH'!$J:$J,'TRA TECH'!AD:AD)))</f>
        <v>165.73127229024999</v>
      </c>
      <c r="AB13">
        <f t="shared" si="3"/>
        <v>165.73127229024999</v>
      </c>
      <c r="AC13" s="15">
        <f>IF(H13="*","*",IF(_xlfn.XLOOKUP($H13,'TRA TECH'!$J:$J,'TRA TECH'!AE:AE)="","",_xlfn.XLOOKUP($H13,'TRA TECH'!$J:$J,'TRA TECH'!AE:AE)))</f>
        <v>4.9356462208944993</v>
      </c>
      <c r="AD13" s="15">
        <f>IF(H13="*","*",IF(_xlfn.XLOOKUP($H13,'TRA TECH'!$J:$J,'TRA TECH'!AF:AF)="","",_xlfn.XLOOKUP($H13,'TRA TECH'!$J:$J,'TRA TECH'!AF:AF)))</f>
        <v>4.9356462208944993</v>
      </c>
      <c r="AE13" s="15">
        <f>IF(H13="*","*",IF(_xlfn.XLOOKUP($H13,'TRA TECH'!$J:$J,'TRA TECH'!AG:AG)="","",_xlfn.XLOOKUP($H13,'TRA TECH'!$J:$J,'TRA TECH'!AG:AG)))</f>
        <v>4.9356462208944993</v>
      </c>
      <c r="AF13" s="15">
        <f>IF(H13="*","*",IF(_xlfn.XLOOKUP($H13,'TRA TECH'!$J:$J,'TRA TECH'!AH:AH)="","",_xlfn.XLOOKUP($H13,'TRA TECH'!$J:$J,'TRA TECH'!AH:AH)))</f>
        <v>4.9356462208944993</v>
      </c>
      <c r="AG13" s="15">
        <f>IF(H13="*","*",IF(_xlfn.XLOOKUP($H13,'TRA TECH'!$J:$J,'TRA TECH'!AI:AI)="","",_xlfn.XLOOKUP($H13,'TRA TECH'!$J:$J,'TRA TECH'!AI:AI)))</f>
        <v>4.9356462208944993</v>
      </c>
      <c r="AH13" s="15">
        <f>IF(H13="*","*",IF(_xlfn.XLOOKUP($H13,'TRA TECH'!$J:$J,'TRA TECH'!AJ:AJ)="","",_xlfn.XLOOKUP($H13,'TRA TECH'!$J:$J,'TRA TECH'!AJ:AJ)))</f>
        <v>4.9356462208944993</v>
      </c>
      <c r="AI13" s="15">
        <f>IF(H13="*","*",IF(_xlfn.XLOOKUP($H13,'TRA TECH'!$J:$J,'TRA TECH'!AK:AK)="","",_xlfn.XLOOKUP($H13,'TRA TECH'!$J:$J,'TRA TECH'!AK:AK)))</f>
        <v>4.9356462208944993</v>
      </c>
      <c r="AJ13" s="15">
        <f t="shared" si="4"/>
        <v>4.9356462208944993</v>
      </c>
      <c r="AK13" s="16">
        <f t="shared" si="5"/>
        <v>0.25</v>
      </c>
    </row>
    <row r="14" spans="2:37" x14ac:dyDescent="0.25">
      <c r="B14" t="str">
        <f>IF('TRA TECH'!M10=0,"*",IF('TRA TECH'!H10="","*",'TRA TECH'!J10))</f>
        <v>TRAPASCARHEVTGSL20</v>
      </c>
      <c r="C14" t="str">
        <f>IF('TRA TECH'!M10=0,"*",'TRA TECH'!H10)</f>
        <v>TRAETH</v>
      </c>
      <c r="D14" t="s">
        <v>424</v>
      </c>
      <c r="E14" s="9">
        <f>'TRA TECH'!P10</f>
        <v>0.1</v>
      </c>
      <c r="H14" t="str">
        <f>IF('TRA TECH'!M10=1,IF('TRA TECH'!L10=1,'TRA TECH'!J10,"*"),"*")</f>
        <v>*</v>
      </c>
      <c r="I14" t="str">
        <f>IF(H14="*","*",_xlfn.XLOOKUP(H14,'TRA TECH'!J:J,'TRA TECH'!I:I))</f>
        <v>*</v>
      </c>
      <c r="J14" t="str">
        <f>IF(H14="*","*",_xlfn.XLOOKUP(H14,'TRA TECH'!J:J,'TRA TECH'!N:N))</f>
        <v>*</v>
      </c>
      <c r="K14" s="15" t="str">
        <f>IF(H14="*","*",IF(_xlfn.XLOOKUP(H14,'TRA TECH'!J:J,'TRA TECH'!O:O)="","",_xlfn.XLOOKUP(H14,'TRA TECH'!J:J,'TRA TECH'!O:O)))</f>
        <v>*</v>
      </c>
      <c r="L14" t="str">
        <f t="shared" si="1"/>
        <v>*</v>
      </c>
      <c r="M14" t="str">
        <f>IF(H14="*","*",IF(_xlfn.XLOOKUP($H14,'TRA TECH'!$J:$J,'TRA TECH'!Q:Q)="","",_xlfn.XLOOKUP($H14,'TRA TECH'!$J:$J,'TRA TECH'!Q:Q)))</f>
        <v>*</v>
      </c>
      <c r="N14" t="str">
        <f>IF(H14="*","*",IF(_xlfn.XLOOKUP($H14,'TRA TECH'!$J:$J,'TRA TECH'!R:R)="","",_xlfn.XLOOKUP($H14,'TRA TECH'!$J:$J,'TRA TECH'!R:R)))</f>
        <v>*</v>
      </c>
      <c r="O14" t="str">
        <f>IF(H14="*","*",IF(_xlfn.XLOOKUP($H14,'TRA TECH'!$J:$J,'TRA TECH'!S:S)="","",_xlfn.XLOOKUP($H14,'TRA TECH'!$J:$J,'TRA TECH'!S:S)))</f>
        <v>*</v>
      </c>
      <c r="P14" t="str">
        <f>IF(H14="*","*",IF(_xlfn.XLOOKUP($H14,'TRA TECH'!$J:$J,'TRA TECH'!T:T)="","",_xlfn.XLOOKUP($H14,'TRA TECH'!$J:$J,'TRA TECH'!T:T)))</f>
        <v>*</v>
      </c>
      <c r="Q14" t="str">
        <f>IF(H14="*","*",IF(_xlfn.XLOOKUP($H14,'TRA TECH'!$J:$J,'TRA TECH'!U:U)="","",_xlfn.XLOOKUP($H14,'TRA TECH'!$J:$J,'TRA TECH'!U:U)))</f>
        <v>*</v>
      </c>
      <c r="R14" t="str">
        <f>IF(H14="*","*",IF(_xlfn.XLOOKUP($H14,'TRA TECH'!$J:$J,'TRA TECH'!V:V)="","",_xlfn.XLOOKUP($H14,'TRA TECH'!$J:$J,'TRA TECH'!V:V)))</f>
        <v>*</v>
      </c>
      <c r="S14" t="str">
        <f>IF(H14="*","*",IF(_xlfn.XLOOKUP($H14,'TRA TECH'!$J:$J,'TRA TECH'!W:W)="","",_xlfn.XLOOKUP($H14,'TRA TECH'!$J:$J,'TRA TECH'!W:W)))</f>
        <v>*</v>
      </c>
      <c r="T14" t="str">
        <f t="shared" si="2"/>
        <v>*</v>
      </c>
      <c r="U14" t="str">
        <f>IF(H14="*","*",IF(_xlfn.XLOOKUP($H14,'TRA TECH'!$J:$J,'TRA TECH'!X:X)="","",_xlfn.XLOOKUP($H14,'TRA TECH'!$J:$J,'TRA TECH'!X:X)))</f>
        <v>*</v>
      </c>
      <c r="V14" t="str">
        <f>IF(H14="*","*",IF(_xlfn.XLOOKUP($H14,'TRA TECH'!$J:$J,'TRA TECH'!Y:Y)="","",_xlfn.XLOOKUP($H14,'TRA TECH'!$J:$J,'TRA TECH'!Y:Y)))</f>
        <v>*</v>
      </c>
      <c r="W14" t="str">
        <f>IF(H14="*","*",IF(_xlfn.XLOOKUP($H14,'TRA TECH'!$J:$J,'TRA TECH'!Z:Z)="","",_xlfn.XLOOKUP($H14,'TRA TECH'!$J:$J,'TRA TECH'!Z:Z)))</f>
        <v>*</v>
      </c>
      <c r="X14" t="str">
        <f>IF(H14="*","*",IF(_xlfn.XLOOKUP($H14,'TRA TECH'!$J:$J,'TRA TECH'!AA:AA)="","",_xlfn.XLOOKUP($H14,'TRA TECH'!$J:$J,'TRA TECH'!AA:AA)))</f>
        <v>*</v>
      </c>
      <c r="Y14" t="str">
        <f>IF(H14="*","*",IF(_xlfn.XLOOKUP($H14,'TRA TECH'!$J:$J,'TRA TECH'!AB:AB)="","",_xlfn.XLOOKUP($H14,'TRA TECH'!$J:$J,'TRA TECH'!AB:AB)))</f>
        <v>*</v>
      </c>
      <c r="Z14" t="str">
        <f>IF(H14="*","*",IF(_xlfn.XLOOKUP($H14,'TRA TECH'!$J:$J,'TRA TECH'!AC:AC)="","",_xlfn.XLOOKUP($H14,'TRA TECH'!$J:$J,'TRA TECH'!AC:AC)))</f>
        <v>*</v>
      </c>
      <c r="AA14" t="str">
        <f>IF(H14="*","*",IF(_xlfn.XLOOKUP($H14,'TRA TECH'!$J:$J,'TRA TECH'!AD:AD)="","",_xlfn.XLOOKUP($H14,'TRA TECH'!$J:$J,'TRA TECH'!AD:AD)))</f>
        <v>*</v>
      </c>
      <c r="AB14" t="str">
        <f t="shared" si="3"/>
        <v>*</v>
      </c>
      <c r="AC14" s="15" t="str">
        <f>IF(H14="*","*",IF(_xlfn.XLOOKUP($H14,'TRA TECH'!$J:$J,'TRA TECH'!AE:AE)="","",_xlfn.XLOOKUP($H14,'TRA TECH'!$J:$J,'TRA TECH'!AE:AE)))</f>
        <v>*</v>
      </c>
      <c r="AD14" s="15" t="str">
        <f>IF(H14="*","*",IF(_xlfn.XLOOKUP($H14,'TRA TECH'!$J:$J,'TRA TECH'!AF:AF)="","",_xlfn.XLOOKUP($H14,'TRA TECH'!$J:$J,'TRA TECH'!AF:AF)))</f>
        <v>*</v>
      </c>
      <c r="AE14" s="15" t="str">
        <f>IF(H14="*","*",IF(_xlfn.XLOOKUP($H14,'TRA TECH'!$J:$J,'TRA TECH'!AG:AG)="","",_xlfn.XLOOKUP($H14,'TRA TECH'!$J:$J,'TRA TECH'!AG:AG)))</f>
        <v>*</v>
      </c>
      <c r="AF14" s="15" t="str">
        <f>IF(H14="*","*",IF(_xlfn.XLOOKUP($H14,'TRA TECH'!$J:$J,'TRA TECH'!AH:AH)="","",_xlfn.XLOOKUP($H14,'TRA TECH'!$J:$J,'TRA TECH'!AH:AH)))</f>
        <v>*</v>
      </c>
      <c r="AG14" s="15" t="str">
        <f>IF(H14="*","*",IF(_xlfn.XLOOKUP($H14,'TRA TECH'!$J:$J,'TRA TECH'!AI:AI)="","",_xlfn.XLOOKUP($H14,'TRA TECH'!$J:$J,'TRA TECH'!AI:AI)))</f>
        <v>*</v>
      </c>
      <c r="AH14" s="15" t="str">
        <f>IF(H14="*","*",IF(_xlfn.XLOOKUP($H14,'TRA TECH'!$J:$J,'TRA TECH'!AJ:AJ)="","",_xlfn.XLOOKUP($H14,'TRA TECH'!$J:$J,'TRA TECH'!AJ:AJ)))</f>
        <v>*</v>
      </c>
      <c r="AI14" s="15" t="str">
        <f>IF(H14="*","*",IF(_xlfn.XLOOKUP($H14,'TRA TECH'!$J:$J,'TRA TECH'!AK:AK)="","",_xlfn.XLOOKUP($H14,'TRA TECH'!$J:$J,'TRA TECH'!AK:AK)))</f>
        <v>*</v>
      </c>
      <c r="AJ14" s="15" t="str">
        <f t="shared" si="4"/>
        <v>*</v>
      </c>
      <c r="AK14" s="16" t="str">
        <f t="shared" si="5"/>
        <v>*</v>
      </c>
    </row>
    <row r="15" spans="2:37" x14ac:dyDescent="0.25">
      <c r="B15" t="str">
        <f>IF('TRA TECH'!M11=0,"*",IF('TRA TECH'!H11="","*",'TRA TECH'!J11))</f>
        <v>TRAPASCARHEVIGSL20</v>
      </c>
      <c r="C15" t="str">
        <f>IF('TRA TECH'!M11=0,"*",'TRA TECH'!H11)</f>
        <v>TRAGSL</v>
      </c>
      <c r="D15" t="s">
        <v>424</v>
      </c>
      <c r="E15" s="9">
        <f>'TRA TECH'!P11</f>
        <v>1</v>
      </c>
      <c r="H15" t="str">
        <f>IF('TRA TECH'!M11=1,IF('TRA TECH'!L11=1,'TRA TECH'!J11,"*"),"*")</f>
        <v>TRAPASCARHEVIGSL20</v>
      </c>
      <c r="I15" t="str">
        <f>IF(H15="*","*",_xlfn.XLOOKUP(H15,'TRA TECH'!J:J,'TRA TECH'!I:I))</f>
        <v>TRAPASCARDMD</v>
      </c>
      <c r="J15">
        <f>IF(H15="*","*",_xlfn.XLOOKUP(H15,'TRA TECH'!J:J,'TRA TECH'!N:N))</f>
        <v>2020</v>
      </c>
      <c r="K15" s="15">
        <f>IF(H15="*","*",IF(_xlfn.XLOOKUP(H15,'TRA TECH'!J:J,'TRA TECH'!O:O)="","",_xlfn.XLOOKUP(H15,'TRA TECH'!J:J,'TRA TECH'!O:O)))</f>
        <v>16.861273869240819</v>
      </c>
      <c r="L15">
        <f t="shared" si="1"/>
        <v>1</v>
      </c>
      <c r="M15">
        <f>IF(H15="*","*",IF(_xlfn.XLOOKUP($H15,'TRA TECH'!$J:$J,'TRA TECH'!Q:Q)="","",_xlfn.XLOOKUP($H15,'TRA TECH'!$J:$J,'TRA TECH'!Q:Q)))</f>
        <v>0.39530540059347191</v>
      </c>
      <c r="N15">
        <f>IF(H15="*","*",IF(_xlfn.XLOOKUP($H15,'TRA TECH'!$J:$J,'TRA TECH'!R:R)="","",_xlfn.XLOOKUP($H15,'TRA TECH'!$J:$J,'TRA TECH'!R:R)))</f>
        <v>0.38933602373887222</v>
      </c>
      <c r="O15">
        <f>IF(H15="*","*",IF(_xlfn.XLOOKUP($H15,'TRA TECH'!$J:$J,'TRA TECH'!S:S)="","",_xlfn.XLOOKUP($H15,'TRA TECH'!$J:$J,'TRA TECH'!S:S)))</f>
        <v>0.45433590504451032</v>
      </c>
      <c r="P15">
        <f>IF(H15="*","*",IF(_xlfn.XLOOKUP($H15,'TRA TECH'!$J:$J,'TRA TECH'!T:T)="","",_xlfn.XLOOKUP($H15,'TRA TECH'!$J:$J,'TRA TECH'!T:T)))</f>
        <v>0.49612154302670608</v>
      </c>
      <c r="Q15">
        <f>IF(H15="*","*",IF(_xlfn.XLOOKUP($H15,'TRA TECH'!$J:$J,'TRA TECH'!U:U)="","",_xlfn.XLOOKUP($H15,'TRA TECH'!$J:$J,'TRA TECH'!U:U)))</f>
        <v>0.52397863501483688</v>
      </c>
      <c r="R15">
        <f>IF(H15="*","*",IF(_xlfn.XLOOKUP($H15,'TRA TECH'!$J:$J,'TRA TECH'!V:V)="","",_xlfn.XLOOKUP($H15,'TRA TECH'!$J:$J,'TRA TECH'!V:V)))</f>
        <v>0.55117246290801158</v>
      </c>
      <c r="S15">
        <f>IF(H15="*","*",IF(_xlfn.XLOOKUP($H15,'TRA TECH'!$J:$J,'TRA TECH'!W:W)="","",_xlfn.XLOOKUP($H15,'TRA TECH'!$J:$J,'TRA TECH'!W:W)))</f>
        <v>0.57969281899109804</v>
      </c>
      <c r="T15">
        <f t="shared" si="2"/>
        <v>0.57969281899109804</v>
      </c>
      <c r="U15">
        <f>IF(H15="*","*",IF(_xlfn.XLOOKUP($H15,'TRA TECH'!$J:$J,'TRA TECH'!X:X)="","",_xlfn.XLOOKUP($H15,'TRA TECH'!$J:$J,'TRA TECH'!X:X)))</f>
        <v>155.06187707843131</v>
      </c>
      <c r="V15">
        <f>IF(H15="*","*",IF(_xlfn.XLOOKUP($H15,'TRA TECH'!$J:$J,'TRA TECH'!Y:Y)="","",_xlfn.XLOOKUP($H15,'TRA TECH'!$J:$J,'TRA TECH'!Y:Y)))</f>
        <v>156.8401096137344</v>
      </c>
      <c r="W15">
        <f>IF(H15="*","*",IF(_xlfn.XLOOKUP($H15,'TRA TECH'!$J:$J,'TRA TECH'!Z:Z)="","",_xlfn.XLOOKUP($H15,'TRA TECH'!$J:$J,'TRA TECH'!Z:Z)))</f>
        <v>156.4844631066739</v>
      </c>
      <c r="X15">
        <f>IF(H15="*","*",IF(_xlfn.XLOOKUP($H15,'TRA TECH'!$J:$J,'TRA TECH'!AA:AA)="","",_xlfn.XLOOKUP($H15,'TRA TECH'!$J:$J,'TRA TECH'!AA:AA)))</f>
        <v>167.50950482555311</v>
      </c>
      <c r="Y15">
        <f>IF(H15="*","*",IF(_xlfn.XLOOKUP($H15,'TRA TECH'!$J:$J,'TRA TECH'!AB:AB)="","",_xlfn.XLOOKUP($H15,'TRA TECH'!$J:$J,'TRA TECH'!AB:AB)))</f>
        <v>165.01997927612871</v>
      </c>
      <c r="Z15">
        <f>IF(H15="*","*",IF(_xlfn.XLOOKUP($H15,'TRA TECH'!$J:$J,'TRA TECH'!AC:AC)="","",_xlfn.XLOOKUP($H15,'TRA TECH'!$J:$J,'TRA TECH'!AC:AC)))</f>
        <v>163.24174674082559</v>
      </c>
      <c r="AA15">
        <f>IF(H15="*","*",IF(_xlfn.XLOOKUP($H15,'TRA TECH'!$J:$J,'TRA TECH'!AD:AD)="","",_xlfn.XLOOKUP($H15,'TRA TECH'!$J:$J,'TRA TECH'!AD:AD)))</f>
        <v>160.7522211914013</v>
      </c>
      <c r="AB15">
        <f t="shared" si="3"/>
        <v>160.7522211914013</v>
      </c>
      <c r="AC15" s="15">
        <f>IF(H15="*","*",IF(_xlfn.XLOOKUP($H15,'TRA TECH'!$J:$J,'TRA TECH'!AE:AE)="","",_xlfn.XLOOKUP($H15,'TRA TECH'!$J:$J,'TRA TECH'!AE:AE)))</f>
        <v>4.9356462208944993</v>
      </c>
      <c r="AD15" s="15">
        <f>IF(H15="*","*",IF(_xlfn.XLOOKUP($H15,'TRA TECH'!$J:$J,'TRA TECH'!AF:AF)="","",_xlfn.XLOOKUP($H15,'TRA TECH'!$J:$J,'TRA TECH'!AF:AF)))</f>
        <v>4.9356462208944993</v>
      </c>
      <c r="AE15" s="15">
        <f>IF(H15="*","*",IF(_xlfn.XLOOKUP($H15,'TRA TECH'!$J:$J,'TRA TECH'!AG:AG)="","",_xlfn.XLOOKUP($H15,'TRA TECH'!$J:$J,'TRA TECH'!AG:AG)))</f>
        <v>4.9356462208944993</v>
      </c>
      <c r="AF15" s="15">
        <f>IF(H15="*","*",IF(_xlfn.XLOOKUP($H15,'TRA TECH'!$J:$J,'TRA TECH'!AH:AH)="","",_xlfn.XLOOKUP($H15,'TRA TECH'!$J:$J,'TRA TECH'!AH:AH)))</f>
        <v>4.9356462208944993</v>
      </c>
      <c r="AG15" s="15">
        <f>IF(H15="*","*",IF(_xlfn.XLOOKUP($H15,'TRA TECH'!$J:$J,'TRA TECH'!AI:AI)="","",_xlfn.XLOOKUP($H15,'TRA TECH'!$J:$J,'TRA TECH'!AI:AI)))</f>
        <v>4.9356462208944993</v>
      </c>
      <c r="AH15" s="15">
        <f>IF(H15="*","*",IF(_xlfn.XLOOKUP($H15,'TRA TECH'!$J:$J,'TRA TECH'!AJ:AJ)="","",_xlfn.XLOOKUP($H15,'TRA TECH'!$J:$J,'TRA TECH'!AJ:AJ)))</f>
        <v>4.9356462208944993</v>
      </c>
      <c r="AI15" s="15">
        <f>IF(H15="*","*",IF(_xlfn.XLOOKUP($H15,'TRA TECH'!$J:$J,'TRA TECH'!AK:AK)="","",_xlfn.XLOOKUP($H15,'TRA TECH'!$J:$J,'TRA TECH'!AK:AK)))</f>
        <v>4.9356462208944993</v>
      </c>
      <c r="AJ15" s="15">
        <f t="shared" si="4"/>
        <v>4.9356462208944993</v>
      </c>
      <c r="AK15" s="16">
        <f t="shared" si="5"/>
        <v>0.25</v>
      </c>
    </row>
    <row r="16" spans="2:37" x14ac:dyDescent="0.25">
      <c r="B16" t="str">
        <f>IF('TRA TECH'!M12=0,"*",IF('TRA TECH'!H12="","*",'TRA TECH'!J12))</f>
        <v>TRAPASCARHEVIGSL20</v>
      </c>
      <c r="C16" t="str">
        <f>IF('TRA TECH'!M12=0,"*",'TRA TECH'!H12)</f>
        <v>TRAETH</v>
      </c>
      <c r="D16" t="s">
        <v>424</v>
      </c>
      <c r="E16" s="9">
        <f>'TRA TECH'!P12</f>
        <v>0.1</v>
      </c>
      <c r="H16" t="str">
        <f>IF('TRA TECH'!M12=1,IF('TRA TECH'!L12=1,'TRA TECH'!J12,"*"),"*")</f>
        <v>*</v>
      </c>
      <c r="I16" t="str">
        <f>IF(H16="*","*",_xlfn.XLOOKUP(H16,'TRA TECH'!J:J,'TRA TECH'!I:I))</f>
        <v>*</v>
      </c>
      <c r="J16" t="str">
        <f>IF(H16="*","*",_xlfn.XLOOKUP(H16,'TRA TECH'!J:J,'TRA TECH'!N:N))</f>
        <v>*</v>
      </c>
      <c r="K16" s="15" t="str">
        <f>IF(H16="*","*",IF(_xlfn.XLOOKUP(H16,'TRA TECH'!J:J,'TRA TECH'!O:O)="","",_xlfn.XLOOKUP(H16,'TRA TECH'!J:J,'TRA TECH'!O:O)))</f>
        <v>*</v>
      </c>
      <c r="L16" t="str">
        <f t="shared" si="1"/>
        <v>*</v>
      </c>
      <c r="M16" t="str">
        <f>IF(H16="*","*",IF(_xlfn.XLOOKUP($H16,'TRA TECH'!$J:$J,'TRA TECH'!Q:Q)="","",_xlfn.XLOOKUP($H16,'TRA TECH'!$J:$J,'TRA TECH'!Q:Q)))</f>
        <v>*</v>
      </c>
      <c r="N16" t="str">
        <f>IF(H16="*","*",IF(_xlfn.XLOOKUP($H16,'TRA TECH'!$J:$J,'TRA TECH'!R:R)="","",_xlfn.XLOOKUP($H16,'TRA TECH'!$J:$J,'TRA TECH'!R:R)))</f>
        <v>*</v>
      </c>
      <c r="O16" t="str">
        <f>IF(H16="*","*",IF(_xlfn.XLOOKUP($H16,'TRA TECH'!$J:$J,'TRA TECH'!S:S)="","",_xlfn.XLOOKUP($H16,'TRA TECH'!$J:$J,'TRA TECH'!S:S)))</f>
        <v>*</v>
      </c>
      <c r="P16" t="str">
        <f>IF(H16="*","*",IF(_xlfn.XLOOKUP($H16,'TRA TECH'!$J:$J,'TRA TECH'!T:T)="","",_xlfn.XLOOKUP($H16,'TRA TECH'!$J:$J,'TRA TECH'!T:T)))</f>
        <v>*</v>
      </c>
      <c r="Q16" t="str">
        <f>IF(H16="*","*",IF(_xlfn.XLOOKUP($H16,'TRA TECH'!$J:$J,'TRA TECH'!U:U)="","",_xlfn.XLOOKUP($H16,'TRA TECH'!$J:$J,'TRA TECH'!U:U)))</f>
        <v>*</v>
      </c>
      <c r="R16" t="str">
        <f>IF(H16="*","*",IF(_xlfn.XLOOKUP($H16,'TRA TECH'!$J:$J,'TRA TECH'!V:V)="","",_xlfn.XLOOKUP($H16,'TRA TECH'!$J:$J,'TRA TECH'!V:V)))</f>
        <v>*</v>
      </c>
      <c r="S16" t="str">
        <f>IF(H16="*","*",IF(_xlfn.XLOOKUP($H16,'TRA TECH'!$J:$J,'TRA TECH'!W:W)="","",_xlfn.XLOOKUP($H16,'TRA TECH'!$J:$J,'TRA TECH'!W:W)))</f>
        <v>*</v>
      </c>
      <c r="T16" t="str">
        <f t="shared" si="2"/>
        <v>*</v>
      </c>
      <c r="U16" t="str">
        <f>IF(H16="*","*",IF(_xlfn.XLOOKUP($H16,'TRA TECH'!$J:$J,'TRA TECH'!X:X)="","",_xlfn.XLOOKUP($H16,'TRA TECH'!$J:$J,'TRA TECH'!X:X)))</f>
        <v>*</v>
      </c>
      <c r="V16" t="str">
        <f>IF(H16="*","*",IF(_xlfn.XLOOKUP($H16,'TRA TECH'!$J:$J,'TRA TECH'!Y:Y)="","",_xlfn.XLOOKUP($H16,'TRA TECH'!$J:$J,'TRA TECH'!Y:Y)))</f>
        <v>*</v>
      </c>
      <c r="W16" t="str">
        <f>IF(H16="*","*",IF(_xlfn.XLOOKUP($H16,'TRA TECH'!$J:$J,'TRA TECH'!Z:Z)="","",_xlfn.XLOOKUP($H16,'TRA TECH'!$J:$J,'TRA TECH'!Z:Z)))</f>
        <v>*</v>
      </c>
      <c r="X16" t="str">
        <f>IF(H16="*","*",IF(_xlfn.XLOOKUP($H16,'TRA TECH'!$J:$J,'TRA TECH'!AA:AA)="","",_xlfn.XLOOKUP($H16,'TRA TECH'!$J:$J,'TRA TECH'!AA:AA)))</f>
        <v>*</v>
      </c>
      <c r="Y16" t="str">
        <f>IF(H16="*","*",IF(_xlfn.XLOOKUP($H16,'TRA TECH'!$J:$J,'TRA TECH'!AB:AB)="","",_xlfn.XLOOKUP($H16,'TRA TECH'!$J:$J,'TRA TECH'!AB:AB)))</f>
        <v>*</v>
      </c>
      <c r="Z16" t="str">
        <f>IF(H16="*","*",IF(_xlfn.XLOOKUP($H16,'TRA TECH'!$J:$J,'TRA TECH'!AC:AC)="","",_xlfn.XLOOKUP($H16,'TRA TECH'!$J:$J,'TRA TECH'!AC:AC)))</f>
        <v>*</v>
      </c>
      <c r="AA16" t="str">
        <f>IF(H16="*","*",IF(_xlfn.XLOOKUP($H16,'TRA TECH'!$J:$J,'TRA TECH'!AD:AD)="","",_xlfn.XLOOKUP($H16,'TRA TECH'!$J:$J,'TRA TECH'!AD:AD)))</f>
        <v>*</v>
      </c>
      <c r="AB16" t="str">
        <f t="shared" si="3"/>
        <v>*</v>
      </c>
      <c r="AC16" s="15" t="str">
        <f>IF(H16="*","*",IF(_xlfn.XLOOKUP($H16,'TRA TECH'!$J:$J,'TRA TECH'!AE:AE)="","",_xlfn.XLOOKUP($H16,'TRA TECH'!$J:$J,'TRA TECH'!AE:AE)))</f>
        <v>*</v>
      </c>
      <c r="AD16" s="15" t="str">
        <f>IF(H16="*","*",IF(_xlfn.XLOOKUP($H16,'TRA TECH'!$J:$J,'TRA TECH'!AF:AF)="","",_xlfn.XLOOKUP($H16,'TRA TECH'!$J:$J,'TRA TECH'!AF:AF)))</f>
        <v>*</v>
      </c>
      <c r="AE16" s="15" t="str">
        <f>IF(H16="*","*",IF(_xlfn.XLOOKUP($H16,'TRA TECH'!$J:$J,'TRA TECH'!AG:AG)="","",_xlfn.XLOOKUP($H16,'TRA TECH'!$J:$J,'TRA TECH'!AG:AG)))</f>
        <v>*</v>
      </c>
      <c r="AF16" s="15" t="str">
        <f>IF(H16="*","*",IF(_xlfn.XLOOKUP($H16,'TRA TECH'!$J:$J,'TRA TECH'!AH:AH)="","",_xlfn.XLOOKUP($H16,'TRA TECH'!$J:$J,'TRA TECH'!AH:AH)))</f>
        <v>*</v>
      </c>
      <c r="AG16" s="15" t="str">
        <f>IF(H16="*","*",IF(_xlfn.XLOOKUP($H16,'TRA TECH'!$J:$J,'TRA TECH'!AI:AI)="","",_xlfn.XLOOKUP($H16,'TRA TECH'!$J:$J,'TRA TECH'!AI:AI)))</f>
        <v>*</v>
      </c>
      <c r="AH16" s="15" t="str">
        <f>IF(H16="*","*",IF(_xlfn.XLOOKUP($H16,'TRA TECH'!$J:$J,'TRA TECH'!AJ:AJ)="","",_xlfn.XLOOKUP($H16,'TRA TECH'!$J:$J,'TRA TECH'!AJ:AJ)))</f>
        <v>*</v>
      </c>
      <c r="AI16" s="15" t="str">
        <f>IF(H16="*","*",IF(_xlfn.XLOOKUP($H16,'TRA TECH'!$J:$J,'TRA TECH'!AK:AK)="","",_xlfn.XLOOKUP($H16,'TRA TECH'!$J:$J,'TRA TECH'!AK:AK)))</f>
        <v>*</v>
      </c>
      <c r="AJ16" s="15" t="str">
        <f t="shared" si="4"/>
        <v>*</v>
      </c>
      <c r="AK16" s="16" t="str">
        <f t="shared" si="5"/>
        <v>*</v>
      </c>
    </row>
    <row r="17" spans="2:37" x14ac:dyDescent="0.25">
      <c r="B17" t="str">
        <f>IF('TRA TECH'!M13=0,"*",IF('TRA TECH'!H13="","*",'TRA TECH'!J13))</f>
        <v>TRAPASCARHEVIGSL20</v>
      </c>
      <c r="C17" t="str">
        <f>IF('TRA TECH'!M13=0,"*",'TRA TECH'!H13)</f>
        <v>TRAGSL</v>
      </c>
      <c r="D17" t="s">
        <v>424</v>
      </c>
      <c r="E17" s="9">
        <f>'TRA TECH'!P13</f>
        <v>1</v>
      </c>
      <c r="H17" t="str">
        <f>IF('TRA TECH'!M13=1,IF('TRA TECH'!L13=1,'TRA TECH'!J13,"*"),"*")</f>
        <v>*</v>
      </c>
      <c r="I17" t="str">
        <f>IF(H17="*","*",_xlfn.XLOOKUP(H17,'TRA TECH'!J:J,'TRA TECH'!I:I))</f>
        <v>*</v>
      </c>
      <c r="J17" t="str">
        <f>IF(H17="*","*",_xlfn.XLOOKUP(H17,'TRA TECH'!J:J,'TRA TECH'!N:N))</f>
        <v>*</v>
      </c>
      <c r="K17" s="15" t="str">
        <f>IF(H17="*","*",IF(_xlfn.XLOOKUP(H17,'TRA TECH'!J:J,'TRA TECH'!O:O)="","",_xlfn.XLOOKUP(H17,'TRA TECH'!J:J,'TRA TECH'!O:O)))</f>
        <v>*</v>
      </c>
      <c r="L17" t="str">
        <f t="shared" si="1"/>
        <v>*</v>
      </c>
      <c r="M17" t="str">
        <f>IF(H17="*","*",IF(_xlfn.XLOOKUP($H17,'TRA TECH'!$J:$J,'TRA TECH'!Q:Q)="","",_xlfn.XLOOKUP($H17,'TRA TECH'!$J:$J,'TRA TECH'!Q:Q)))</f>
        <v>*</v>
      </c>
      <c r="N17" t="str">
        <f>IF(H17="*","*",IF(_xlfn.XLOOKUP($H17,'TRA TECH'!$J:$J,'TRA TECH'!R:R)="","",_xlfn.XLOOKUP($H17,'TRA TECH'!$J:$J,'TRA TECH'!R:R)))</f>
        <v>*</v>
      </c>
      <c r="O17" t="str">
        <f>IF(H17="*","*",IF(_xlfn.XLOOKUP($H17,'TRA TECH'!$J:$J,'TRA TECH'!S:S)="","",_xlfn.XLOOKUP($H17,'TRA TECH'!$J:$J,'TRA TECH'!S:S)))</f>
        <v>*</v>
      </c>
      <c r="P17" t="str">
        <f>IF(H17="*","*",IF(_xlfn.XLOOKUP($H17,'TRA TECH'!$J:$J,'TRA TECH'!T:T)="","",_xlfn.XLOOKUP($H17,'TRA TECH'!$J:$J,'TRA TECH'!T:T)))</f>
        <v>*</v>
      </c>
      <c r="Q17" t="str">
        <f>IF(H17="*","*",IF(_xlfn.XLOOKUP($H17,'TRA TECH'!$J:$J,'TRA TECH'!U:U)="","",_xlfn.XLOOKUP($H17,'TRA TECH'!$J:$J,'TRA TECH'!U:U)))</f>
        <v>*</v>
      </c>
      <c r="R17" t="str">
        <f>IF(H17="*","*",IF(_xlfn.XLOOKUP($H17,'TRA TECH'!$J:$J,'TRA TECH'!V:V)="","",_xlfn.XLOOKUP($H17,'TRA TECH'!$J:$J,'TRA TECH'!V:V)))</f>
        <v>*</v>
      </c>
      <c r="S17" t="str">
        <f>IF(H17="*","*",IF(_xlfn.XLOOKUP($H17,'TRA TECH'!$J:$J,'TRA TECH'!W:W)="","",_xlfn.XLOOKUP($H17,'TRA TECH'!$J:$J,'TRA TECH'!W:W)))</f>
        <v>*</v>
      </c>
      <c r="T17" t="str">
        <f t="shared" si="2"/>
        <v>*</v>
      </c>
      <c r="U17" t="str">
        <f>IF(H17="*","*",IF(_xlfn.XLOOKUP($H17,'TRA TECH'!$J:$J,'TRA TECH'!X:X)="","",_xlfn.XLOOKUP($H17,'TRA TECH'!$J:$J,'TRA TECH'!X:X)))</f>
        <v>*</v>
      </c>
      <c r="V17" t="str">
        <f>IF(H17="*","*",IF(_xlfn.XLOOKUP($H17,'TRA TECH'!$J:$J,'TRA TECH'!Y:Y)="","",_xlfn.XLOOKUP($H17,'TRA TECH'!$J:$J,'TRA TECH'!Y:Y)))</f>
        <v>*</v>
      </c>
      <c r="W17" t="str">
        <f>IF(H17="*","*",IF(_xlfn.XLOOKUP($H17,'TRA TECH'!$J:$J,'TRA TECH'!Z:Z)="","",_xlfn.XLOOKUP($H17,'TRA TECH'!$J:$J,'TRA TECH'!Z:Z)))</f>
        <v>*</v>
      </c>
      <c r="X17" t="str">
        <f>IF(H17="*","*",IF(_xlfn.XLOOKUP($H17,'TRA TECH'!$J:$J,'TRA TECH'!AA:AA)="","",_xlfn.XLOOKUP($H17,'TRA TECH'!$J:$J,'TRA TECH'!AA:AA)))</f>
        <v>*</v>
      </c>
      <c r="Y17" t="str">
        <f>IF(H17="*","*",IF(_xlfn.XLOOKUP($H17,'TRA TECH'!$J:$J,'TRA TECH'!AB:AB)="","",_xlfn.XLOOKUP($H17,'TRA TECH'!$J:$J,'TRA TECH'!AB:AB)))</f>
        <v>*</v>
      </c>
      <c r="Z17" t="str">
        <f>IF(H17="*","*",IF(_xlfn.XLOOKUP($H17,'TRA TECH'!$J:$J,'TRA TECH'!AC:AC)="","",_xlfn.XLOOKUP($H17,'TRA TECH'!$J:$J,'TRA TECH'!AC:AC)))</f>
        <v>*</v>
      </c>
      <c r="AA17" t="str">
        <f>IF(H17="*","*",IF(_xlfn.XLOOKUP($H17,'TRA TECH'!$J:$J,'TRA TECH'!AD:AD)="","",_xlfn.XLOOKUP($H17,'TRA TECH'!$J:$J,'TRA TECH'!AD:AD)))</f>
        <v>*</v>
      </c>
      <c r="AB17" t="str">
        <f t="shared" si="3"/>
        <v>*</v>
      </c>
      <c r="AC17" s="15" t="str">
        <f>IF(H17="*","*",IF(_xlfn.XLOOKUP($H17,'TRA TECH'!$J:$J,'TRA TECH'!AE:AE)="","",_xlfn.XLOOKUP($H17,'TRA TECH'!$J:$J,'TRA TECH'!AE:AE)))</f>
        <v>*</v>
      </c>
      <c r="AD17" s="15" t="str">
        <f>IF(H17="*","*",IF(_xlfn.XLOOKUP($H17,'TRA TECH'!$J:$J,'TRA TECH'!AF:AF)="","",_xlfn.XLOOKUP($H17,'TRA TECH'!$J:$J,'TRA TECH'!AF:AF)))</f>
        <v>*</v>
      </c>
      <c r="AE17" s="15" t="str">
        <f>IF(H17="*","*",IF(_xlfn.XLOOKUP($H17,'TRA TECH'!$J:$J,'TRA TECH'!AG:AG)="","",_xlfn.XLOOKUP($H17,'TRA TECH'!$J:$J,'TRA TECH'!AG:AG)))</f>
        <v>*</v>
      </c>
      <c r="AF17" s="15" t="str">
        <f>IF(H17="*","*",IF(_xlfn.XLOOKUP($H17,'TRA TECH'!$J:$J,'TRA TECH'!AH:AH)="","",_xlfn.XLOOKUP($H17,'TRA TECH'!$J:$J,'TRA TECH'!AH:AH)))</f>
        <v>*</v>
      </c>
      <c r="AG17" s="15" t="str">
        <f>IF(H17="*","*",IF(_xlfn.XLOOKUP($H17,'TRA TECH'!$J:$J,'TRA TECH'!AI:AI)="","",_xlfn.XLOOKUP($H17,'TRA TECH'!$J:$J,'TRA TECH'!AI:AI)))</f>
        <v>*</v>
      </c>
      <c r="AH17" s="15" t="str">
        <f>IF(H17="*","*",IF(_xlfn.XLOOKUP($H17,'TRA TECH'!$J:$J,'TRA TECH'!AJ:AJ)="","",_xlfn.XLOOKUP($H17,'TRA TECH'!$J:$J,'TRA TECH'!AJ:AJ)))</f>
        <v>*</v>
      </c>
      <c r="AI17" s="15" t="str">
        <f>IF(H17="*","*",IF(_xlfn.XLOOKUP($H17,'TRA TECH'!$J:$J,'TRA TECH'!AK:AK)="","",_xlfn.XLOOKUP($H17,'TRA TECH'!$J:$J,'TRA TECH'!AK:AK)))</f>
        <v>*</v>
      </c>
      <c r="AJ17" s="15" t="str">
        <f t="shared" si="4"/>
        <v>*</v>
      </c>
      <c r="AK17" s="16" t="str">
        <f t="shared" si="5"/>
        <v>*</v>
      </c>
    </row>
    <row r="18" spans="2:37" x14ac:dyDescent="0.25">
      <c r="B18" t="str">
        <f>IF('TRA TECH'!M14=0,"*",IF('TRA TECH'!H14="","*",'TRA TECH'!J14))</f>
        <v>TRAPASCARHEVIGSL20</v>
      </c>
      <c r="C18" t="str">
        <f>IF('TRA TECH'!M14=0,"*",'TRA TECH'!H14)</f>
        <v>TRAETH</v>
      </c>
      <c r="D18" t="s">
        <v>424</v>
      </c>
      <c r="E18" s="9">
        <f>'TRA TECH'!P14</f>
        <v>0.1</v>
      </c>
      <c r="H18" t="str">
        <f>IF('TRA TECH'!M14=1,IF('TRA TECH'!L14=1,'TRA TECH'!J14,"*"),"*")</f>
        <v>*</v>
      </c>
      <c r="I18" t="str">
        <f>IF(H18="*","*",_xlfn.XLOOKUP(H18,'TRA TECH'!J:J,'TRA TECH'!I:I))</f>
        <v>*</v>
      </c>
      <c r="J18" t="str">
        <f>IF(H18="*","*",_xlfn.XLOOKUP(H18,'TRA TECH'!J:J,'TRA TECH'!N:N))</f>
        <v>*</v>
      </c>
      <c r="K18" s="15" t="str">
        <f>IF(H18="*","*",IF(_xlfn.XLOOKUP(H18,'TRA TECH'!J:J,'TRA TECH'!O:O)="","",_xlfn.XLOOKUP(H18,'TRA TECH'!J:J,'TRA TECH'!O:O)))</f>
        <v>*</v>
      </c>
      <c r="L18" t="str">
        <f t="shared" si="1"/>
        <v>*</v>
      </c>
      <c r="M18" t="str">
        <f>IF(H18="*","*",IF(_xlfn.XLOOKUP($H18,'TRA TECH'!$J:$J,'TRA TECH'!Q:Q)="","",_xlfn.XLOOKUP($H18,'TRA TECH'!$J:$J,'TRA TECH'!Q:Q)))</f>
        <v>*</v>
      </c>
      <c r="N18" t="str">
        <f>IF(H18="*","*",IF(_xlfn.XLOOKUP($H18,'TRA TECH'!$J:$J,'TRA TECH'!R:R)="","",_xlfn.XLOOKUP($H18,'TRA TECH'!$J:$J,'TRA TECH'!R:R)))</f>
        <v>*</v>
      </c>
      <c r="O18" t="str">
        <f>IF(H18="*","*",IF(_xlfn.XLOOKUP($H18,'TRA TECH'!$J:$J,'TRA TECH'!S:S)="","",_xlfn.XLOOKUP($H18,'TRA TECH'!$J:$J,'TRA TECH'!S:S)))</f>
        <v>*</v>
      </c>
      <c r="P18" t="str">
        <f>IF(H18="*","*",IF(_xlfn.XLOOKUP($H18,'TRA TECH'!$J:$J,'TRA TECH'!T:T)="","",_xlfn.XLOOKUP($H18,'TRA TECH'!$J:$J,'TRA TECH'!T:T)))</f>
        <v>*</v>
      </c>
      <c r="Q18" t="str">
        <f>IF(H18="*","*",IF(_xlfn.XLOOKUP($H18,'TRA TECH'!$J:$J,'TRA TECH'!U:U)="","",_xlfn.XLOOKUP($H18,'TRA TECH'!$J:$J,'TRA TECH'!U:U)))</f>
        <v>*</v>
      </c>
      <c r="R18" t="str">
        <f>IF(H18="*","*",IF(_xlfn.XLOOKUP($H18,'TRA TECH'!$J:$J,'TRA TECH'!V:V)="","",_xlfn.XLOOKUP($H18,'TRA TECH'!$J:$J,'TRA TECH'!V:V)))</f>
        <v>*</v>
      </c>
      <c r="S18" t="str">
        <f>IF(H18="*","*",IF(_xlfn.XLOOKUP($H18,'TRA TECH'!$J:$J,'TRA TECH'!W:W)="","",_xlfn.XLOOKUP($H18,'TRA TECH'!$J:$J,'TRA TECH'!W:W)))</f>
        <v>*</v>
      </c>
      <c r="T18" t="str">
        <f t="shared" si="2"/>
        <v>*</v>
      </c>
      <c r="U18" t="str">
        <f>IF(H18="*","*",IF(_xlfn.XLOOKUP($H18,'TRA TECH'!$J:$J,'TRA TECH'!X:X)="","",_xlfn.XLOOKUP($H18,'TRA TECH'!$J:$J,'TRA TECH'!X:X)))</f>
        <v>*</v>
      </c>
      <c r="V18" t="str">
        <f>IF(H18="*","*",IF(_xlfn.XLOOKUP($H18,'TRA TECH'!$J:$J,'TRA TECH'!Y:Y)="","",_xlfn.XLOOKUP($H18,'TRA TECH'!$J:$J,'TRA TECH'!Y:Y)))</f>
        <v>*</v>
      </c>
      <c r="W18" t="str">
        <f>IF(H18="*","*",IF(_xlfn.XLOOKUP($H18,'TRA TECH'!$J:$J,'TRA TECH'!Z:Z)="","",_xlfn.XLOOKUP($H18,'TRA TECH'!$J:$J,'TRA TECH'!Z:Z)))</f>
        <v>*</v>
      </c>
      <c r="X18" t="str">
        <f>IF(H18="*","*",IF(_xlfn.XLOOKUP($H18,'TRA TECH'!$J:$J,'TRA TECH'!AA:AA)="","",_xlfn.XLOOKUP($H18,'TRA TECH'!$J:$J,'TRA TECH'!AA:AA)))</f>
        <v>*</v>
      </c>
      <c r="Y18" t="str">
        <f>IF(H18="*","*",IF(_xlfn.XLOOKUP($H18,'TRA TECH'!$J:$J,'TRA TECH'!AB:AB)="","",_xlfn.XLOOKUP($H18,'TRA TECH'!$J:$J,'TRA TECH'!AB:AB)))</f>
        <v>*</v>
      </c>
      <c r="Z18" t="str">
        <f>IF(H18="*","*",IF(_xlfn.XLOOKUP($H18,'TRA TECH'!$J:$J,'TRA TECH'!AC:AC)="","",_xlfn.XLOOKUP($H18,'TRA TECH'!$J:$J,'TRA TECH'!AC:AC)))</f>
        <v>*</v>
      </c>
      <c r="AA18" t="str">
        <f>IF(H18="*","*",IF(_xlfn.XLOOKUP($H18,'TRA TECH'!$J:$J,'TRA TECH'!AD:AD)="","",_xlfn.XLOOKUP($H18,'TRA TECH'!$J:$J,'TRA TECH'!AD:AD)))</f>
        <v>*</v>
      </c>
      <c r="AB18" t="str">
        <f t="shared" si="3"/>
        <v>*</v>
      </c>
      <c r="AC18" s="15" t="str">
        <f>IF(H18="*","*",IF(_xlfn.XLOOKUP($H18,'TRA TECH'!$J:$J,'TRA TECH'!AE:AE)="","",_xlfn.XLOOKUP($H18,'TRA TECH'!$J:$J,'TRA TECH'!AE:AE)))</f>
        <v>*</v>
      </c>
      <c r="AD18" s="15" t="str">
        <f>IF(H18="*","*",IF(_xlfn.XLOOKUP($H18,'TRA TECH'!$J:$J,'TRA TECH'!AF:AF)="","",_xlfn.XLOOKUP($H18,'TRA TECH'!$J:$J,'TRA TECH'!AF:AF)))</f>
        <v>*</v>
      </c>
      <c r="AE18" s="15" t="str">
        <f>IF(H18="*","*",IF(_xlfn.XLOOKUP($H18,'TRA TECH'!$J:$J,'TRA TECH'!AG:AG)="","",_xlfn.XLOOKUP($H18,'TRA TECH'!$J:$J,'TRA TECH'!AG:AG)))</f>
        <v>*</v>
      </c>
      <c r="AF18" s="15" t="str">
        <f>IF(H18="*","*",IF(_xlfn.XLOOKUP($H18,'TRA TECH'!$J:$J,'TRA TECH'!AH:AH)="","",_xlfn.XLOOKUP($H18,'TRA TECH'!$J:$J,'TRA TECH'!AH:AH)))</f>
        <v>*</v>
      </c>
      <c r="AG18" s="15" t="str">
        <f>IF(H18="*","*",IF(_xlfn.XLOOKUP($H18,'TRA TECH'!$J:$J,'TRA TECH'!AI:AI)="","",_xlfn.XLOOKUP($H18,'TRA TECH'!$J:$J,'TRA TECH'!AI:AI)))</f>
        <v>*</v>
      </c>
      <c r="AH18" s="15" t="str">
        <f>IF(H18="*","*",IF(_xlfn.XLOOKUP($H18,'TRA TECH'!$J:$J,'TRA TECH'!AJ:AJ)="","",_xlfn.XLOOKUP($H18,'TRA TECH'!$J:$J,'TRA TECH'!AJ:AJ)))</f>
        <v>*</v>
      </c>
      <c r="AI18" s="15" t="str">
        <f>IF(H18="*","*",IF(_xlfn.XLOOKUP($H18,'TRA TECH'!$J:$J,'TRA TECH'!AK:AK)="","",_xlfn.XLOOKUP($H18,'TRA TECH'!$J:$J,'TRA TECH'!AK:AK)))</f>
        <v>*</v>
      </c>
      <c r="AJ18" s="15" t="str">
        <f t="shared" si="4"/>
        <v>*</v>
      </c>
      <c r="AK18" s="16" t="str">
        <f t="shared" si="5"/>
        <v>*</v>
      </c>
    </row>
    <row r="19" spans="2:37" x14ac:dyDescent="0.25">
      <c r="B19" t="str">
        <f>IF('TRA TECH'!M15=0,"*",IF('TRA TECH'!H15="","*",'TRA TECH'!J15))</f>
        <v>TRAPASCARHEVPGSL20</v>
      </c>
      <c r="C19" t="str">
        <f>IF('TRA TECH'!M15=0,"*",'TRA TECH'!H15)</f>
        <v>TRAGSL</v>
      </c>
      <c r="D19" t="s">
        <v>424</v>
      </c>
      <c r="E19" s="9">
        <f>'TRA TECH'!P15</f>
        <v>1</v>
      </c>
      <c r="H19" t="str">
        <f>IF('TRA TECH'!M15=1,IF('TRA TECH'!L15=1,'TRA TECH'!J15,"*"),"*")</f>
        <v>TRAPASCARHEVPGSL20</v>
      </c>
      <c r="I19" t="str">
        <f>IF(H19="*","*",_xlfn.XLOOKUP(H19,'TRA TECH'!J:J,'TRA TECH'!I:I))</f>
        <v>TRAPASCARDMD</v>
      </c>
      <c r="J19">
        <f>IF(H19="*","*",_xlfn.XLOOKUP(H19,'TRA TECH'!J:J,'TRA TECH'!N:N))</f>
        <v>2020</v>
      </c>
      <c r="K19" s="15">
        <f>IF(H19="*","*",IF(_xlfn.XLOOKUP(H19,'TRA TECH'!J:J,'TRA TECH'!O:O)="","",_xlfn.XLOOKUP(H19,'TRA TECH'!J:J,'TRA TECH'!O:O)))</f>
        <v>16.861273869240819</v>
      </c>
      <c r="L19">
        <f t="shared" si="1"/>
        <v>1</v>
      </c>
      <c r="M19">
        <f>IF(H19="*","*",IF(_xlfn.XLOOKUP($H19,'TRA TECH'!$J:$J,'TRA TECH'!Q:Q)="","",_xlfn.XLOOKUP($H19,'TRA TECH'!$J:$J,'TRA TECH'!Q:Q)))</f>
        <v>0.63474373887240354</v>
      </c>
      <c r="N19">
        <f>IF(H19="*","*",IF(_xlfn.XLOOKUP($H19,'TRA TECH'!$J:$J,'TRA TECH'!R:R)="","",_xlfn.XLOOKUP($H19,'TRA TECH'!$J:$J,'TRA TECH'!R:R)))</f>
        <v>0.6526518694362019</v>
      </c>
      <c r="O19">
        <f>IF(H19="*","*",IF(_xlfn.XLOOKUP($H19,'TRA TECH'!$J:$J,'TRA TECH'!S:S)="","",_xlfn.XLOOKUP($H19,'TRA TECH'!$J:$J,'TRA TECH'!S:S)))</f>
        <v>0.66923347181008863</v>
      </c>
      <c r="P19">
        <f>IF(H19="*","*",IF(_xlfn.XLOOKUP($H19,'TRA TECH'!$J:$J,'TRA TECH'!T:T)="","",_xlfn.XLOOKUP($H19,'TRA TECH'!$J:$J,'TRA TECH'!T:T)))</f>
        <v>0.71300890207715129</v>
      </c>
      <c r="Q19">
        <f>IF(H19="*","*",IF(_xlfn.XLOOKUP($H19,'TRA TECH'!$J:$J,'TRA TECH'!U:U)="","",_xlfn.XLOOKUP($H19,'TRA TECH'!$J:$J,'TRA TECH'!U:U)))</f>
        <v>0.74219252225519305</v>
      </c>
      <c r="R19">
        <f>IF(H19="*","*",IF(_xlfn.XLOOKUP($H19,'TRA TECH'!$J:$J,'TRA TECH'!V:V)="","",_xlfn.XLOOKUP($H19,'TRA TECH'!$J:$J,'TRA TECH'!V:V)))</f>
        <v>0.77203940652819025</v>
      </c>
      <c r="S19">
        <f>IF(H19="*","*",IF(_xlfn.XLOOKUP($H19,'TRA TECH'!$J:$J,'TRA TECH'!W:W)="","",_xlfn.XLOOKUP($H19,'TRA TECH'!$J:$J,'TRA TECH'!W:W)))</f>
        <v>0.80188629080118656</v>
      </c>
      <c r="T19">
        <f t="shared" si="2"/>
        <v>0.80188629080118656</v>
      </c>
      <c r="U19">
        <f>IF(H19="*","*",IF(_xlfn.XLOOKUP($H19,'TRA TECH'!$J:$J,'TRA TECH'!X:X)="","",_xlfn.XLOOKUP($H19,'TRA TECH'!$J:$J,'TRA TECH'!X:X)))</f>
        <v>171.77726291028051</v>
      </c>
      <c r="V19">
        <f>IF(H19="*","*",IF(_xlfn.XLOOKUP($H19,'TRA TECH'!$J:$J,'TRA TECH'!Y:Y)="","",_xlfn.XLOOKUP($H19,'TRA TECH'!$J:$J,'TRA TECH'!Y:Y)))</f>
        <v>165.37562578318941</v>
      </c>
      <c r="W19">
        <f>IF(H19="*","*",IF(_xlfn.XLOOKUP($H19,'TRA TECH'!$J:$J,'TRA TECH'!Z:Z)="","",_xlfn.XLOOKUP($H19,'TRA TECH'!$J:$J,'TRA TECH'!Z:Z)))</f>
        <v>160.39657468434081</v>
      </c>
      <c r="X19">
        <f>IF(H19="*","*",IF(_xlfn.XLOOKUP($H19,'TRA TECH'!$J:$J,'TRA TECH'!AA:AA)="","",_xlfn.XLOOKUP($H19,'TRA TECH'!$J:$J,'TRA TECH'!AA:AA)))</f>
        <v>157.55140262785571</v>
      </c>
      <c r="Y19">
        <f>IF(H19="*","*",IF(_xlfn.XLOOKUP($H19,'TRA TECH'!$J:$J,'TRA TECH'!AB:AB)="","",_xlfn.XLOOKUP($H19,'TRA TECH'!$J:$J,'TRA TECH'!AB:AB)))</f>
        <v>155.41752358549189</v>
      </c>
      <c r="Z19">
        <f>IF(H19="*","*",IF(_xlfn.XLOOKUP($H19,'TRA TECH'!$J:$J,'TRA TECH'!AC:AC)="","",_xlfn.XLOOKUP($H19,'TRA TECH'!$J:$J,'TRA TECH'!AC:AC)))</f>
        <v>153.28364454312819</v>
      </c>
      <c r="AA19">
        <f>IF(H19="*","*",IF(_xlfn.XLOOKUP($H19,'TRA TECH'!$J:$J,'TRA TECH'!AD:AD)="","",_xlfn.XLOOKUP($H19,'TRA TECH'!$J:$J,'TRA TECH'!AD:AD)))</f>
        <v>151.14976550076449</v>
      </c>
      <c r="AB19">
        <f t="shared" si="3"/>
        <v>151.14976550076449</v>
      </c>
      <c r="AC19" s="15">
        <f>IF(H19="*","*",IF(_xlfn.XLOOKUP($H19,'TRA TECH'!$J:$J,'TRA TECH'!AE:AE)="","",_xlfn.XLOOKUP($H19,'TRA TECH'!$J:$J,'TRA TECH'!AE:AE)))</f>
        <v>4.9356462208944993</v>
      </c>
      <c r="AD19" s="15">
        <f>IF(H19="*","*",IF(_xlfn.XLOOKUP($H19,'TRA TECH'!$J:$J,'TRA TECH'!AF:AF)="","",_xlfn.XLOOKUP($H19,'TRA TECH'!$J:$J,'TRA TECH'!AF:AF)))</f>
        <v>4.9356462208944993</v>
      </c>
      <c r="AE19" s="15">
        <f>IF(H19="*","*",IF(_xlfn.XLOOKUP($H19,'TRA TECH'!$J:$J,'TRA TECH'!AG:AG)="","",_xlfn.XLOOKUP($H19,'TRA TECH'!$J:$J,'TRA TECH'!AG:AG)))</f>
        <v>4.9356462208944993</v>
      </c>
      <c r="AF19" s="15">
        <f>IF(H19="*","*",IF(_xlfn.XLOOKUP($H19,'TRA TECH'!$J:$J,'TRA TECH'!AH:AH)="","",_xlfn.XLOOKUP($H19,'TRA TECH'!$J:$J,'TRA TECH'!AH:AH)))</f>
        <v>4.9356462208944993</v>
      </c>
      <c r="AG19" s="15">
        <f>IF(H19="*","*",IF(_xlfn.XLOOKUP($H19,'TRA TECH'!$J:$J,'TRA TECH'!AI:AI)="","",_xlfn.XLOOKUP($H19,'TRA TECH'!$J:$J,'TRA TECH'!AI:AI)))</f>
        <v>4.9356462208944993</v>
      </c>
      <c r="AH19" s="15">
        <f>IF(H19="*","*",IF(_xlfn.XLOOKUP($H19,'TRA TECH'!$J:$J,'TRA TECH'!AJ:AJ)="","",_xlfn.XLOOKUP($H19,'TRA TECH'!$J:$J,'TRA TECH'!AJ:AJ)))</f>
        <v>4.9356462208944993</v>
      </c>
      <c r="AI19" s="15">
        <f>IF(H19="*","*",IF(_xlfn.XLOOKUP($H19,'TRA TECH'!$J:$J,'TRA TECH'!AK:AK)="","",_xlfn.XLOOKUP($H19,'TRA TECH'!$J:$J,'TRA TECH'!AK:AK)))</f>
        <v>4.9356462208944993</v>
      </c>
      <c r="AJ19" s="15">
        <f t="shared" si="4"/>
        <v>4.9356462208944993</v>
      </c>
      <c r="AK19" s="16">
        <f t="shared" si="5"/>
        <v>0.25</v>
      </c>
    </row>
    <row r="20" spans="2:37" x14ac:dyDescent="0.25">
      <c r="B20" t="str">
        <f>IF('TRA TECH'!M16=0,"*",IF('TRA TECH'!H16="","*",'TRA TECH'!J16))</f>
        <v>TRAPASCARHEVPGSL20</v>
      </c>
      <c r="C20" t="str">
        <f>IF('TRA TECH'!M16=0,"*",'TRA TECH'!H16)</f>
        <v>TRAETH</v>
      </c>
      <c r="D20" t="s">
        <v>424</v>
      </c>
      <c r="E20" s="9">
        <f>'TRA TECH'!P16</f>
        <v>0.1</v>
      </c>
      <c r="H20" t="str">
        <f>IF('TRA TECH'!M16=1,IF('TRA TECH'!L16=1,'TRA TECH'!J16,"*"),"*")</f>
        <v>*</v>
      </c>
      <c r="I20" t="str">
        <f>IF(H20="*","*",_xlfn.XLOOKUP(H20,'TRA TECH'!J:J,'TRA TECH'!I:I))</f>
        <v>*</v>
      </c>
      <c r="J20" t="str">
        <f>IF(H20="*","*",_xlfn.XLOOKUP(H20,'TRA TECH'!J:J,'TRA TECH'!N:N))</f>
        <v>*</v>
      </c>
      <c r="K20" s="15" t="str">
        <f>IF(H20="*","*",IF(_xlfn.XLOOKUP(H20,'TRA TECH'!J:J,'TRA TECH'!O:O)="","",_xlfn.XLOOKUP(H20,'TRA TECH'!J:J,'TRA TECH'!O:O)))</f>
        <v>*</v>
      </c>
      <c r="L20" t="str">
        <f t="shared" si="1"/>
        <v>*</v>
      </c>
      <c r="M20" t="str">
        <f>IF(H20="*","*",IF(_xlfn.XLOOKUP($H20,'TRA TECH'!$J:$J,'TRA TECH'!Q:Q)="","",_xlfn.XLOOKUP($H20,'TRA TECH'!$J:$J,'TRA TECH'!Q:Q)))</f>
        <v>*</v>
      </c>
      <c r="N20" t="str">
        <f>IF(H20="*","*",IF(_xlfn.XLOOKUP($H20,'TRA TECH'!$J:$J,'TRA TECH'!R:R)="","",_xlfn.XLOOKUP($H20,'TRA TECH'!$J:$J,'TRA TECH'!R:R)))</f>
        <v>*</v>
      </c>
      <c r="O20" t="str">
        <f>IF(H20="*","*",IF(_xlfn.XLOOKUP($H20,'TRA TECH'!$J:$J,'TRA TECH'!S:S)="","",_xlfn.XLOOKUP($H20,'TRA TECH'!$J:$J,'TRA TECH'!S:S)))</f>
        <v>*</v>
      </c>
      <c r="P20" t="str">
        <f>IF(H20="*","*",IF(_xlfn.XLOOKUP($H20,'TRA TECH'!$J:$J,'TRA TECH'!T:T)="","",_xlfn.XLOOKUP($H20,'TRA TECH'!$J:$J,'TRA TECH'!T:T)))</f>
        <v>*</v>
      </c>
      <c r="Q20" t="str">
        <f>IF(H20="*","*",IF(_xlfn.XLOOKUP($H20,'TRA TECH'!$J:$J,'TRA TECH'!U:U)="","",_xlfn.XLOOKUP($H20,'TRA TECH'!$J:$J,'TRA TECH'!U:U)))</f>
        <v>*</v>
      </c>
      <c r="R20" t="str">
        <f>IF(H20="*","*",IF(_xlfn.XLOOKUP($H20,'TRA TECH'!$J:$J,'TRA TECH'!V:V)="","",_xlfn.XLOOKUP($H20,'TRA TECH'!$J:$J,'TRA TECH'!V:V)))</f>
        <v>*</v>
      </c>
      <c r="S20" t="str">
        <f>IF(H20="*","*",IF(_xlfn.XLOOKUP($H20,'TRA TECH'!$J:$J,'TRA TECH'!W:W)="","",_xlfn.XLOOKUP($H20,'TRA TECH'!$J:$J,'TRA TECH'!W:W)))</f>
        <v>*</v>
      </c>
      <c r="T20" t="str">
        <f t="shared" si="2"/>
        <v>*</v>
      </c>
      <c r="U20" t="str">
        <f>IF(H20="*","*",IF(_xlfn.XLOOKUP($H20,'TRA TECH'!$J:$J,'TRA TECH'!X:X)="","",_xlfn.XLOOKUP($H20,'TRA TECH'!$J:$J,'TRA TECH'!X:X)))</f>
        <v>*</v>
      </c>
      <c r="V20" t="str">
        <f>IF(H20="*","*",IF(_xlfn.XLOOKUP($H20,'TRA TECH'!$J:$J,'TRA TECH'!Y:Y)="","",_xlfn.XLOOKUP($H20,'TRA TECH'!$J:$J,'TRA TECH'!Y:Y)))</f>
        <v>*</v>
      </c>
      <c r="W20" t="str">
        <f>IF(H20="*","*",IF(_xlfn.XLOOKUP($H20,'TRA TECH'!$J:$J,'TRA TECH'!Z:Z)="","",_xlfn.XLOOKUP($H20,'TRA TECH'!$J:$J,'TRA TECH'!Z:Z)))</f>
        <v>*</v>
      </c>
      <c r="X20" t="str">
        <f>IF(H20="*","*",IF(_xlfn.XLOOKUP($H20,'TRA TECH'!$J:$J,'TRA TECH'!AA:AA)="","",_xlfn.XLOOKUP($H20,'TRA TECH'!$J:$J,'TRA TECH'!AA:AA)))</f>
        <v>*</v>
      </c>
      <c r="Y20" t="str">
        <f>IF(H20="*","*",IF(_xlfn.XLOOKUP($H20,'TRA TECH'!$J:$J,'TRA TECH'!AB:AB)="","",_xlfn.XLOOKUP($H20,'TRA TECH'!$J:$J,'TRA TECH'!AB:AB)))</f>
        <v>*</v>
      </c>
      <c r="Z20" t="str">
        <f>IF(H20="*","*",IF(_xlfn.XLOOKUP($H20,'TRA TECH'!$J:$J,'TRA TECH'!AC:AC)="","",_xlfn.XLOOKUP($H20,'TRA TECH'!$J:$J,'TRA TECH'!AC:AC)))</f>
        <v>*</v>
      </c>
      <c r="AA20" t="str">
        <f>IF(H20="*","*",IF(_xlfn.XLOOKUP($H20,'TRA TECH'!$J:$J,'TRA TECH'!AD:AD)="","",_xlfn.XLOOKUP($H20,'TRA TECH'!$J:$J,'TRA TECH'!AD:AD)))</f>
        <v>*</v>
      </c>
      <c r="AB20" t="str">
        <f t="shared" si="3"/>
        <v>*</v>
      </c>
      <c r="AC20" s="15" t="str">
        <f>IF(H20="*","*",IF(_xlfn.XLOOKUP($H20,'TRA TECH'!$J:$J,'TRA TECH'!AE:AE)="","",_xlfn.XLOOKUP($H20,'TRA TECH'!$J:$J,'TRA TECH'!AE:AE)))</f>
        <v>*</v>
      </c>
      <c r="AD20" s="15" t="str">
        <f>IF(H20="*","*",IF(_xlfn.XLOOKUP($H20,'TRA TECH'!$J:$J,'TRA TECH'!AF:AF)="","",_xlfn.XLOOKUP($H20,'TRA TECH'!$J:$J,'TRA TECH'!AF:AF)))</f>
        <v>*</v>
      </c>
      <c r="AE20" s="15" t="str">
        <f>IF(H20="*","*",IF(_xlfn.XLOOKUP($H20,'TRA TECH'!$J:$J,'TRA TECH'!AG:AG)="","",_xlfn.XLOOKUP($H20,'TRA TECH'!$J:$J,'TRA TECH'!AG:AG)))</f>
        <v>*</v>
      </c>
      <c r="AF20" s="15" t="str">
        <f>IF(H20="*","*",IF(_xlfn.XLOOKUP($H20,'TRA TECH'!$J:$J,'TRA TECH'!AH:AH)="","",_xlfn.XLOOKUP($H20,'TRA TECH'!$J:$J,'TRA TECH'!AH:AH)))</f>
        <v>*</v>
      </c>
      <c r="AG20" s="15" t="str">
        <f>IF(H20="*","*",IF(_xlfn.XLOOKUP($H20,'TRA TECH'!$J:$J,'TRA TECH'!AI:AI)="","",_xlfn.XLOOKUP($H20,'TRA TECH'!$J:$J,'TRA TECH'!AI:AI)))</f>
        <v>*</v>
      </c>
      <c r="AH20" s="15" t="str">
        <f>IF(H20="*","*",IF(_xlfn.XLOOKUP($H20,'TRA TECH'!$J:$J,'TRA TECH'!AJ:AJ)="","",_xlfn.XLOOKUP($H20,'TRA TECH'!$J:$J,'TRA TECH'!AJ:AJ)))</f>
        <v>*</v>
      </c>
      <c r="AI20" s="15" t="str">
        <f>IF(H20="*","*",IF(_xlfn.XLOOKUP($H20,'TRA TECH'!$J:$J,'TRA TECH'!AK:AK)="","",_xlfn.XLOOKUP($H20,'TRA TECH'!$J:$J,'TRA TECH'!AK:AK)))</f>
        <v>*</v>
      </c>
      <c r="AJ20" s="15" t="str">
        <f t="shared" si="4"/>
        <v>*</v>
      </c>
      <c r="AK20" s="16" t="str">
        <f t="shared" si="5"/>
        <v>*</v>
      </c>
    </row>
    <row r="21" spans="2:37" x14ac:dyDescent="0.25">
      <c r="B21" t="str">
        <f>IF('TRA TECH'!M17=0,"*",IF('TRA TECH'!H17="","*",'TRA TECH'!J17))</f>
        <v>TRAPASCARPHEVPGSL20</v>
      </c>
      <c r="C21" t="str">
        <f>IF('TRA TECH'!M17=0,"*",'TRA TECH'!H17)</f>
        <v>TRAGSL</v>
      </c>
      <c r="D21" t="s">
        <v>424</v>
      </c>
      <c r="E21" s="9">
        <f>'TRA TECH'!P17</f>
        <v>0.79399884593191039</v>
      </c>
      <c r="H21" t="str">
        <f>IF('TRA TECH'!M17=1,IF('TRA TECH'!L17=1,'TRA TECH'!J17,"*"),"*")</f>
        <v>TRAPASCARPHEVPGSL20</v>
      </c>
      <c r="I21" t="str">
        <f>IF(H21="*","*",_xlfn.XLOOKUP(H21,'TRA TECH'!J:J,'TRA TECH'!I:I))</f>
        <v>TRAPASCARDMD</v>
      </c>
      <c r="J21">
        <f>IF(H21="*","*",_xlfn.XLOOKUP(H21,'TRA TECH'!J:J,'TRA TECH'!N:N))</f>
        <v>2020</v>
      </c>
      <c r="K21" s="15">
        <f>IF(H21="*","*",IF(_xlfn.XLOOKUP(H21,'TRA TECH'!J:J,'TRA TECH'!O:O)="","",_xlfn.XLOOKUP(H21,'TRA TECH'!J:J,'TRA TECH'!O:O)))</f>
        <v>16.861273869240819</v>
      </c>
      <c r="L21">
        <f t="shared" si="1"/>
        <v>1</v>
      </c>
      <c r="M21">
        <f>IF(H21="*","*",IF(_xlfn.XLOOKUP($H21,'TRA TECH'!$J:$J,'TRA TECH'!Q:Q)="","",_xlfn.XLOOKUP($H21,'TRA TECH'!$J:$J,'TRA TECH'!Q:Q)))</f>
        <v>0.87152902077151284</v>
      </c>
      <c r="N21">
        <f>IF(H21="*","*",IF(_xlfn.XLOOKUP($H21,'TRA TECH'!$J:$J,'TRA TECH'!R:R)="","",_xlfn.XLOOKUP($H21,'TRA TECH'!$J:$J,'TRA TECH'!R:R)))</f>
        <v>0.90734528189910768</v>
      </c>
      <c r="O21">
        <f>IF(H21="*","*",IF(_xlfn.XLOOKUP($H21,'TRA TECH'!$J:$J,'TRA TECH'!S:S)="","",_xlfn.XLOOKUP($H21,'TRA TECH'!$J:$J,'TRA TECH'!S:S)))</f>
        <v>0.92856973293768452</v>
      </c>
      <c r="P21">
        <f>IF(H21="*","*",IF(_xlfn.XLOOKUP($H21,'TRA TECH'!$J:$J,'TRA TECH'!T:T)="","",_xlfn.XLOOKUP($H21,'TRA TECH'!$J:$J,'TRA TECH'!T:T)))</f>
        <v>0.99887572700296956</v>
      </c>
      <c r="Q21">
        <f>IF(H21="*","*",IF(_xlfn.XLOOKUP($H21,'TRA TECH'!$J:$J,'TRA TECH'!U:U)="","",_xlfn.XLOOKUP($H21,'TRA TECH'!$J:$J,'TRA TECH'!U:U)))</f>
        <v>1.037345044510386</v>
      </c>
      <c r="R21">
        <f>IF(H21="*","*",IF(_xlfn.XLOOKUP($H21,'TRA TECH'!$J:$J,'TRA TECH'!V:V)="","",_xlfn.XLOOKUP($H21,'TRA TECH'!$J:$J,'TRA TECH'!V:V)))</f>
        <v>1.0771408902077151</v>
      </c>
      <c r="S21">
        <f>IF(H21="*","*",IF(_xlfn.XLOOKUP($H21,'TRA TECH'!$J:$J,'TRA TECH'!W:W)="","",_xlfn.XLOOKUP($H21,'TRA TECH'!$J:$J,'TRA TECH'!W:W)))</f>
        <v>1.1169367359050411</v>
      </c>
      <c r="T21">
        <f t="shared" si="2"/>
        <v>1.1169367359050411</v>
      </c>
      <c r="U21">
        <f>IF(H21="*","*",IF(_xlfn.XLOOKUP($H21,'TRA TECH'!$J:$J,'TRA TECH'!X:X)="","",_xlfn.XLOOKUP($H21,'TRA TECH'!$J:$J,'TRA TECH'!X:X)))</f>
        <v>185.64747668564439</v>
      </c>
      <c r="V21">
        <f>IF(H21="*","*",IF(_xlfn.XLOOKUP($H21,'TRA TECH'!$J:$J,'TRA TECH'!Y:Y)="","",_xlfn.XLOOKUP($H21,'TRA TECH'!$J:$J,'TRA TECH'!Y:Y)))</f>
        <v>176.0450209950088</v>
      </c>
      <c r="W21">
        <f>IF(H21="*","*",IF(_xlfn.XLOOKUP($H21,'TRA TECH'!$J:$J,'TRA TECH'!Z:Z)="","",_xlfn.XLOOKUP($H21,'TRA TECH'!$J:$J,'TRA TECH'!Z:Z)))</f>
        <v>170.71032338909831</v>
      </c>
      <c r="X21">
        <f>IF(H21="*","*",IF(_xlfn.XLOOKUP($H21,'TRA TECH'!$J:$J,'TRA TECH'!AA:AA)="","",_xlfn.XLOOKUP($H21,'TRA TECH'!$J:$J,'TRA TECH'!AA:AA)))</f>
        <v>166.79821181143211</v>
      </c>
      <c r="Y21">
        <f>IF(H21="*","*",IF(_xlfn.XLOOKUP($H21,'TRA TECH'!$J:$J,'TRA TECH'!AB:AB)="","",_xlfn.XLOOKUP($H21,'TRA TECH'!$J:$J,'TRA TECH'!AB:AB)))</f>
        <v>164.6643327690683</v>
      </c>
      <c r="Z21">
        <f>IF(H21="*","*",IF(_xlfn.XLOOKUP($H21,'TRA TECH'!$J:$J,'TRA TECH'!AC:AC)="","",_xlfn.XLOOKUP($H21,'TRA TECH'!$J:$J,'TRA TECH'!AC:AC)))</f>
        <v>162.53045372670459</v>
      </c>
      <c r="AA21">
        <f>IF(H21="*","*",IF(_xlfn.XLOOKUP($H21,'TRA TECH'!$J:$J,'TRA TECH'!AD:AD)="","",_xlfn.XLOOKUP($H21,'TRA TECH'!$J:$J,'TRA TECH'!AD:AD)))</f>
        <v>160.04092817728051</v>
      </c>
      <c r="AB21">
        <f t="shared" si="3"/>
        <v>160.04092817728051</v>
      </c>
      <c r="AC21" s="15">
        <f>IF(H21="*","*",IF(_xlfn.XLOOKUP($H21,'TRA TECH'!$J:$J,'TRA TECH'!AE:AE)="","",_xlfn.XLOOKUP($H21,'TRA TECH'!$J:$J,'TRA TECH'!AE:AE)))</f>
        <v>5.1465712730694726</v>
      </c>
      <c r="AD21" s="15">
        <f>IF(H21="*","*",IF(_xlfn.XLOOKUP($H21,'TRA TECH'!$J:$J,'TRA TECH'!AF:AF)="","",_xlfn.XLOOKUP($H21,'TRA TECH'!$J:$J,'TRA TECH'!AF:AF)))</f>
        <v>5.1465712730694726</v>
      </c>
      <c r="AE21" s="15">
        <f>IF(H21="*","*",IF(_xlfn.XLOOKUP($H21,'TRA TECH'!$J:$J,'TRA TECH'!AG:AG)="","",_xlfn.XLOOKUP($H21,'TRA TECH'!$J:$J,'TRA TECH'!AG:AG)))</f>
        <v>5.1465712730694726</v>
      </c>
      <c r="AF21" s="15">
        <f>IF(H21="*","*",IF(_xlfn.XLOOKUP($H21,'TRA TECH'!$J:$J,'TRA TECH'!AH:AH)="","",_xlfn.XLOOKUP($H21,'TRA TECH'!$J:$J,'TRA TECH'!AH:AH)))</f>
        <v>5.1465712730694726</v>
      </c>
      <c r="AG21" s="15">
        <f>IF(H21="*","*",IF(_xlfn.XLOOKUP($H21,'TRA TECH'!$J:$J,'TRA TECH'!AI:AI)="","",_xlfn.XLOOKUP($H21,'TRA TECH'!$J:$J,'TRA TECH'!AI:AI)))</f>
        <v>5.1465712730694726</v>
      </c>
      <c r="AH21" s="15">
        <f>IF(H21="*","*",IF(_xlfn.XLOOKUP($H21,'TRA TECH'!$J:$J,'TRA TECH'!AJ:AJ)="","",_xlfn.XLOOKUP($H21,'TRA TECH'!$J:$J,'TRA TECH'!AJ:AJ)))</f>
        <v>5.1465712730694726</v>
      </c>
      <c r="AI21" s="15">
        <f>IF(H21="*","*",IF(_xlfn.XLOOKUP($H21,'TRA TECH'!$J:$J,'TRA TECH'!AK:AK)="","",_xlfn.XLOOKUP($H21,'TRA TECH'!$J:$J,'TRA TECH'!AK:AK)))</f>
        <v>5.1465712730694726</v>
      </c>
      <c r="AJ21" s="15">
        <f t="shared" si="4"/>
        <v>5.1465712730694726</v>
      </c>
      <c r="AK21" s="16">
        <f t="shared" si="5"/>
        <v>0.25</v>
      </c>
    </row>
    <row r="22" spans="2:37" x14ac:dyDescent="0.25">
      <c r="B22" t="str">
        <f>IF('TRA TECH'!M18=0,"*",IF('TRA TECH'!H18="","*",'TRA TECH'!J18))</f>
        <v>TRAPASCARPHEVPGSL20</v>
      </c>
      <c r="C22" t="str">
        <f>IF('TRA TECH'!M18=0,"*",'TRA TECH'!H18)</f>
        <v>TRAETH</v>
      </c>
      <c r="D22" t="s">
        <v>424</v>
      </c>
      <c r="E22" s="9">
        <f>'TRA TECH'!P18</f>
        <v>0.1</v>
      </c>
      <c r="H22" t="str">
        <f>IF('TRA TECH'!M18=1,IF('TRA TECH'!L18=1,'TRA TECH'!J18,"*"),"*")</f>
        <v>*</v>
      </c>
      <c r="I22" t="str">
        <f>IF(H22="*","*",_xlfn.XLOOKUP(H22,'TRA TECH'!J:J,'TRA TECH'!I:I))</f>
        <v>*</v>
      </c>
      <c r="J22" t="str">
        <f>IF(H22="*","*",_xlfn.XLOOKUP(H22,'TRA TECH'!J:J,'TRA TECH'!N:N))</f>
        <v>*</v>
      </c>
      <c r="K22" s="15" t="str">
        <f>IF(H22="*","*",IF(_xlfn.XLOOKUP(H22,'TRA TECH'!J:J,'TRA TECH'!O:O)="","",_xlfn.XLOOKUP(H22,'TRA TECH'!J:J,'TRA TECH'!O:O)))</f>
        <v>*</v>
      </c>
      <c r="L22" t="str">
        <f t="shared" si="1"/>
        <v>*</v>
      </c>
      <c r="M22" t="str">
        <f>IF(H22="*","*",IF(_xlfn.XLOOKUP($H22,'TRA TECH'!$J:$J,'TRA TECH'!Q:Q)="","",_xlfn.XLOOKUP($H22,'TRA TECH'!$J:$J,'TRA TECH'!Q:Q)))</f>
        <v>*</v>
      </c>
      <c r="N22" t="str">
        <f>IF(H22="*","*",IF(_xlfn.XLOOKUP($H22,'TRA TECH'!$J:$J,'TRA TECH'!R:R)="","",_xlfn.XLOOKUP($H22,'TRA TECH'!$J:$J,'TRA TECH'!R:R)))</f>
        <v>*</v>
      </c>
      <c r="O22" t="str">
        <f>IF(H22="*","*",IF(_xlfn.XLOOKUP($H22,'TRA TECH'!$J:$J,'TRA TECH'!S:S)="","",_xlfn.XLOOKUP($H22,'TRA TECH'!$J:$J,'TRA TECH'!S:S)))</f>
        <v>*</v>
      </c>
      <c r="P22" t="str">
        <f>IF(H22="*","*",IF(_xlfn.XLOOKUP($H22,'TRA TECH'!$J:$J,'TRA TECH'!T:T)="","",_xlfn.XLOOKUP($H22,'TRA TECH'!$J:$J,'TRA TECH'!T:T)))</f>
        <v>*</v>
      </c>
      <c r="Q22" t="str">
        <f>IF(H22="*","*",IF(_xlfn.XLOOKUP($H22,'TRA TECH'!$J:$J,'TRA TECH'!U:U)="","",_xlfn.XLOOKUP($H22,'TRA TECH'!$J:$J,'TRA TECH'!U:U)))</f>
        <v>*</v>
      </c>
      <c r="R22" t="str">
        <f>IF(H22="*","*",IF(_xlfn.XLOOKUP($H22,'TRA TECH'!$J:$J,'TRA TECH'!V:V)="","",_xlfn.XLOOKUP($H22,'TRA TECH'!$J:$J,'TRA TECH'!V:V)))</f>
        <v>*</v>
      </c>
      <c r="S22" t="str">
        <f>IF(H22="*","*",IF(_xlfn.XLOOKUP($H22,'TRA TECH'!$J:$J,'TRA TECH'!W:W)="","",_xlfn.XLOOKUP($H22,'TRA TECH'!$J:$J,'TRA TECH'!W:W)))</f>
        <v>*</v>
      </c>
      <c r="T22" t="str">
        <f t="shared" si="2"/>
        <v>*</v>
      </c>
      <c r="U22" t="str">
        <f>IF(H22="*","*",IF(_xlfn.XLOOKUP($H22,'TRA TECH'!$J:$J,'TRA TECH'!X:X)="","",_xlfn.XLOOKUP($H22,'TRA TECH'!$J:$J,'TRA TECH'!X:X)))</f>
        <v>*</v>
      </c>
      <c r="V22" t="str">
        <f>IF(H22="*","*",IF(_xlfn.XLOOKUP($H22,'TRA TECH'!$J:$J,'TRA TECH'!Y:Y)="","",_xlfn.XLOOKUP($H22,'TRA TECH'!$J:$J,'TRA TECH'!Y:Y)))</f>
        <v>*</v>
      </c>
      <c r="W22" t="str">
        <f>IF(H22="*","*",IF(_xlfn.XLOOKUP($H22,'TRA TECH'!$J:$J,'TRA TECH'!Z:Z)="","",_xlfn.XLOOKUP($H22,'TRA TECH'!$J:$J,'TRA TECH'!Z:Z)))</f>
        <v>*</v>
      </c>
      <c r="X22" t="str">
        <f>IF(H22="*","*",IF(_xlfn.XLOOKUP($H22,'TRA TECH'!$J:$J,'TRA TECH'!AA:AA)="","",_xlfn.XLOOKUP($H22,'TRA TECH'!$J:$J,'TRA TECH'!AA:AA)))</f>
        <v>*</v>
      </c>
      <c r="Y22" t="str">
        <f>IF(H22="*","*",IF(_xlfn.XLOOKUP($H22,'TRA TECH'!$J:$J,'TRA TECH'!AB:AB)="","",_xlfn.XLOOKUP($H22,'TRA TECH'!$J:$J,'TRA TECH'!AB:AB)))</f>
        <v>*</v>
      </c>
      <c r="Z22" t="str">
        <f>IF(H22="*","*",IF(_xlfn.XLOOKUP($H22,'TRA TECH'!$J:$J,'TRA TECH'!AC:AC)="","",_xlfn.XLOOKUP($H22,'TRA TECH'!$J:$J,'TRA TECH'!AC:AC)))</f>
        <v>*</v>
      </c>
      <c r="AA22" t="str">
        <f>IF(H22="*","*",IF(_xlfn.XLOOKUP($H22,'TRA TECH'!$J:$J,'TRA TECH'!AD:AD)="","",_xlfn.XLOOKUP($H22,'TRA TECH'!$J:$J,'TRA TECH'!AD:AD)))</f>
        <v>*</v>
      </c>
      <c r="AB22" t="str">
        <f t="shared" si="3"/>
        <v>*</v>
      </c>
      <c r="AC22" s="15" t="str">
        <f>IF(H22="*","*",IF(_xlfn.XLOOKUP($H22,'TRA TECH'!$J:$J,'TRA TECH'!AE:AE)="","",_xlfn.XLOOKUP($H22,'TRA TECH'!$J:$J,'TRA TECH'!AE:AE)))</f>
        <v>*</v>
      </c>
      <c r="AD22" s="15" t="str">
        <f>IF(H22="*","*",IF(_xlfn.XLOOKUP($H22,'TRA TECH'!$J:$J,'TRA TECH'!AF:AF)="","",_xlfn.XLOOKUP($H22,'TRA TECH'!$J:$J,'TRA TECH'!AF:AF)))</f>
        <v>*</v>
      </c>
      <c r="AE22" s="15" t="str">
        <f>IF(H22="*","*",IF(_xlfn.XLOOKUP($H22,'TRA TECH'!$J:$J,'TRA TECH'!AG:AG)="","",_xlfn.XLOOKUP($H22,'TRA TECH'!$J:$J,'TRA TECH'!AG:AG)))</f>
        <v>*</v>
      </c>
      <c r="AF22" s="15" t="str">
        <f>IF(H22="*","*",IF(_xlfn.XLOOKUP($H22,'TRA TECH'!$J:$J,'TRA TECH'!AH:AH)="","",_xlfn.XLOOKUP($H22,'TRA TECH'!$J:$J,'TRA TECH'!AH:AH)))</f>
        <v>*</v>
      </c>
      <c r="AG22" s="15" t="str">
        <f>IF(H22="*","*",IF(_xlfn.XLOOKUP($H22,'TRA TECH'!$J:$J,'TRA TECH'!AI:AI)="","",_xlfn.XLOOKUP($H22,'TRA TECH'!$J:$J,'TRA TECH'!AI:AI)))</f>
        <v>*</v>
      </c>
      <c r="AH22" s="15" t="str">
        <f>IF(H22="*","*",IF(_xlfn.XLOOKUP($H22,'TRA TECH'!$J:$J,'TRA TECH'!AJ:AJ)="","",_xlfn.XLOOKUP($H22,'TRA TECH'!$J:$J,'TRA TECH'!AJ:AJ)))</f>
        <v>*</v>
      </c>
      <c r="AI22" s="15" t="str">
        <f>IF(H22="*","*",IF(_xlfn.XLOOKUP($H22,'TRA TECH'!$J:$J,'TRA TECH'!AK:AK)="","",_xlfn.XLOOKUP($H22,'TRA TECH'!$J:$J,'TRA TECH'!AK:AK)))</f>
        <v>*</v>
      </c>
      <c r="AJ22" s="15" t="str">
        <f t="shared" si="4"/>
        <v>*</v>
      </c>
      <c r="AK22" s="16" t="str">
        <f t="shared" si="5"/>
        <v>*</v>
      </c>
    </row>
    <row r="23" spans="2:37" x14ac:dyDescent="0.25">
      <c r="B23" t="str">
        <f>IF('TRA TECH'!M19=0,"*",IF('TRA TECH'!H19="","*",'TRA TECH'!J19))</f>
        <v>TRAPASCARPHEVPGSL20</v>
      </c>
      <c r="C23" t="str">
        <f>IF('TRA TECH'!M19=0,"*",'TRA TECH'!H19)</f>
        <v>TRABAT</v>
      </c>
      <c r="D23" t="s">
        <v>424</v>
      </c>
      <c r="E23" s="9">
        <f>'TRA TECH'!P19</f>
        <v>0.20600115406808961</v>
      </c>
      <c r="H23" t="str">
        <f>IF('TRA TECH'!M19=1,IF('TRA TECH'!L19=1,'TRA TECH'!J19,"*"),"*")</f>
        <v>*</v>
      </c>
      <c r="I23" t="str">
        <f>IF(H23="*","*",_xlfn.XLOOKUP(H23,'TRA TECH'!J:J,'TRA TECH'!I:I))</f>
        <v>*</v>
      </c>
      <c r="J23" t="str">
        <f>IF(H23="*","*",_xlfn.XLOOKUP(H23,'TRA TECH'!J:J,'TRA TECH'!N:N))</f>
        <v>*</v>
      </c>
      <c r="K23" s="15" t="str">
        <f>IF(H23="*","*",IF(_xlfn.XLOOKUP(H23,'TRA TECH'!J:J,'TRA TECH'!O:O)="","",_xlfn.XLOOKUP(H23,'TRA TECH'!J:J,'TRA TECH'!O:O)))</f>
        <v>*</v>
      </c>
      <c r="L23" t="str">
        <f t="shared" si="1"/>
        <v>*</v>
      </c>
      <c r="M23" t="str">
        <f>IF(H23="*","*",IF(_xlfn.XLOOKUP($H23,'TRA TECH'!$J:$J,'TRA TECH'!Q:Q)="","",_xlfn.XLOOKUP($H23,'TRA TECH'!$J:$J,'TRA TECH'!Q:Q)))</f>
        <v>*</v>
      </c>
      <c r="N23" t="str">
        <f>IF(H23="*","*",IF(_xlfn.XLOOKUP($H23,'TRA TECH'!$J:$J,'TRA TECH'!R:R)="","",_xlfn.XLOOKUP($H23,'TRA TECH'!$J:$J,'TRA TECH'!R:R)))</f>
        <v>*</v>
      </c>
      <c r="O23" t="str">
        <f>IF(H23="*","*",IF(_xlfn.XLOOKUP($H23,'TRA TECH'!$J:$J,'TRA TECH'!S:S)="","",_xlfn.XLOOKUP($H23,'TRA TECH'!$J:$J,'TRA TECH'!S:S)))</f>
        <v>*</v>
      </c>
      <c r="P23" t="str">
        <f>IF(H23="*","*",IF(_xlfn.XLOOKUP($H23,'TRA TECH'!$J:$J,'TRA TECH'!T:T)="","",_xlfn.XLOOKUP($H23,'TRA TECH'!$J:$J,'TRA TECH'!T:T)))</f>
        <v>*</v>
      </c>
      <c r="Q23" t="str">
        <f>IF(H23="*","*",IF(_xlfn.XLOOKUP($H23,'TRA TECH'!$J:$J,'TRA TECH'!U:U)="","",_xlfn.XLOOKUP($H23,'TRA TECH'!$J:$J,'TRA TECH'!U:U)))</f>
        <v>*</v>
      </c>
      <c r="R23" t="str">
        <f>IF(H23="*","*",IF(_xlfn.XLOOKUP($H23,'TRA TECH'!$J:$J,'TRA TECH'!V:V)="","",_xlfn.XLOOKUP($H23,'TRA TECH'!$J:$J,'TRA TECH'!V:V)))</f>
        <v>*</v>
      </c>
      <c r="S23" t="str">
        <f>IF(H23="*","*",IF(_xlfn.XLOOKUP($H23,'TRA TECH'!$J:$J,'TRA TECH'!W:W)="","",_xlfn.XLOOKUP($H23,'TRA TECH'!$J:$J,'TRA TECH'!W:W)))</f>
        <v>*</v>
      </c>
      <c r="T23" t="str">
        <f t="shared" si="2"/>
        <v>*</v>
      </c>
      <c r="U23" t="str">
        <f>IF(H23="*","*",IF(_xlfn.XLOOKUP($H23,'TRA TECH'!$J:$J,'TRA TECH'!X:X)="","",_xlfn.XLOOKUP($H23,'TRA TECH'!$J:$J,'TRA TECH'!X:X)))</f>
        <v>*</v>
      </c>
      <c r="V23" t="str">
        <f>IF(H23="*","*",IF(_xlfn.XLOOKUP($H23,'TRA TECH'!$J:$J,'TRA TECH'!Y:Y)="","",_xlfn.XLOOKUP($H23,'TRA TECH'!$J:$J,'TRA TECH'!Y:Y)))</f>
        <v>*</v>
      </c>
      <c r="W23" t="str">
        <f>IF(H23="*","*",IF(_xlfn.XLOOKUP($H23,'TRA TECH'!$J:$J,'TRA TECH'!Z:Z)="","",_xlfn.XLOOKUP($H23,'TRA TECH'!$J:$J,'TRA TECH'!Z:Z)))</f>
        <v>*</v>
      </c>
      <c r="X23" t="str">
        <f>IF(H23="*","*",IF(_xlfn.XLOOKUP($H23,'TRA TECH'!$J:$J,'TRA TECH'!AA:AA)="","",_xlfn.XLOOKUP($H23,'TRA TECH'!$J:$J,'TRA TECH'!AA:AA)))</f>
        <v>*</v>
      </c>
      <c r="Y23" t="str">
        <f>IF(H23="*","*",IF(_xlfn.XLOOKUP($H23,'TRA TECH'!$J:$J,'TRA TECH'!AB:AB)="","",_xlfn.XLOOKUP($H23,'TRA TECH'!$J:$J,'TRA TECH'!AB:AB)))</f>
        <v>*</v>
      </c>
      <c r="Z23" t="str">
        <f>IF(H23="*","*",IF(_xlfn.XLOOKUP($H23,'TRA TECH'!$J:$J,'TRA TECH'!AC:AC)="","",_xlfn.XLOOKUP($H23,'TRA TECH'!$J:$J,'TRA TECH'!AC:AC)))</f>
        <v>*</v>
      </c>
      <c r="AA23" t="str">
        <f>IF(H23="*","*",IF(_xlfn.XLOOKUP($H23,'TRA TECH'!$J:$J,'TRA TECH'!AD:AD)="","",_xlfn.XLOOKUP($H23,'TRA TECH'!$J:$J,'TRA TECH'!AD:AD)))</f>
        <v>*</v>
      </c>
      <c r="AB23" t="str">
        <f t="shared" si="3"/>
        <v>*</v>
      </c>
      <c r="AC23" s="15" t="str">
        <f>IF(H23="*","*",IF(_xlfn.XLOOKUP($H23,'TRA TECH'!$J:$J,'TRA TECH'!AE:AE)="","",_xlfn.XLOOKUP($H23,'TRA TECH'!$J:$J,'TRA TECH'!AE:AE)))</f>
        <v>*</v>
      </c>
      <c r="AD23" s="15" t="str">
        <f>IF(H23="*","*",IF(_xlfn.XLOOKUP($H23,'TRA TECH'!$J:$J,'TRA TECH'!AF:AF)="","",_xlfn.XLOOKUP($H23,'TRA TECH'!$J:$J,'TRA TECH'!AF:AF)))</f>
        <v>*</v>
      </c>
      <c r="AE23" s="15" t="str">
        <f>IF(H23="*","*",IF(_xlfn.XLOOKUP($H23,'TRA TECH'!$J:$J,'TRA TECH'!AG:AG)="","",_xlfn.XLOOKUP($H23,'TRA TECH'!$J:$J,'TRA TECH'!AG:AG)))</f>
        <v>*</v>
      </c>
      <c r="AF23" s="15" t="str">
        <f>IF(H23="*","*",IF(_xlfn.XLOOKUP($H23,'TRA TECH'!$J:$J,'TRA TECH'!AH:AH)="","",_xlfn.XLOOKUP($H23,'TRA TECH'!$J:$J,'TRA TECH'!AH:AH)))</f>
        <v>*</v>
      </c>
      <c r="AG23" s="15" t="str">
        <f>IF(H23="*","*",IF(_xlfn.XLOOKUP($H23,'TRA TECH'!$J:$J,'TRA TECH'!AI:AI)="","",_xlfn.XLOOKUP($H23,'TRA TECH'!$J:$J,'TRA TECH'!AI:AI)))</f>
        <v>*</v>
      </c>
      <c r="AH23" s="15" t="str">
        <f>IF(H23="*","*",IF(_xlfn.XLOOKUP($H23,'TRA TECH'!$J:$J,'TRA TECH'!AJ:AJ)="","",_xlfn.XLOOKUP($H23,'TRA TECH'!$J:$J,'TRA TECH'!AJ:AJ)))</f>
        <v>*</v>
      </c>
      <c r="AI23" s="15" t="str">
        <f>IF(H23="*","*",IF(_xlfn.XLOOKUP($H23,'TRA TECH'!$J:$J,'TRA TECH'!AK:AK)="","",_xlfn.XLOOKUP($H23,'TRA TECH'!$J:$J,'TRA TECH'!AK:AK)))</f>
        <v>*</v>
      </c>
      <c r="AJ23" s="15" t="str">
        <f t="shared" si="4"/>
        <v>*</v>
      </c>
      <c r="AK23" s="16" t="str">
        <f t="shared" si="5"/>
        <v>*</v>
      </c>
    </row>
    <row r="24" spans="2:37" x14ac:dyDescent="0.25">
      <c r="B24" t="str">
        <f>IF('TRA TECH'!M20=0,"*",IF('TRA TECH'!H20="","*",'TRA TECH'!J20))</f>
        <v>TRAPASCARPHEVEGSL20</v>
      </c>
      <c r="C24" t="str">
        <f>IF('TRA TECH'!M20=0,"*",'TRA TECH'!H20)</f>
        <v>TRAGSL</v>
      </c>
      <c r="D24" t="s">
        <v>424</v>
      </c>
      <c r="E24" s="9">
        <f>'TRA TECH'!P20</f>
        <v>0.59838430467397363</v>
      </c>
      <c r="H24" t="str">
        <f>IF('TRA TECH'!M20=1,IF('TRA TECH'!L20=1,'TRA TECH'!J20,"*"),"*")</f>
        <v>TRAPASCARPHEVEGSL20</v>
      </c>
      <c r="I24" t="str">
        <f>IF(H24="*","*",_xlfn.XLOOKUP(H24,'TRA TECH'!J:J,'TRA TECH'!I:I))</f>
        <v>TRAPASCARDMD</v>
      </c>
      <c r="J24">
        <f>IF(H24="*","*",_xlfn.XLOOKUP(H24,'TRA TECH'!J:J,'TRA TECH'!N:N))</f>
        <v>2020</v>
      </c>
      <c r="K24" s="15">
        <f>IF(H24="*","*",IF(_xlfn.XLOOKUP(H24,'TRA TECH'!J:J,'TRA TECH'!O:O)="","",_xlfn.XLOOKUP(H24,'TRA TECH'!J:J,'TRA TECH'!O:O)))</f>
        <v>16.861273869240819</v>
      </c>
      <c r="L24">
        <f t="shared" si="1"/>
        <v>1</v>
      </c>
      <c r="M24">
        <f>IF(H24="*","*",IF(_xlfn.XLOOKUP($H24,'TRA TECH'!$J:$J,'TRA TECH'!Q:Q)="","",_xlfn.XLOOKUP($H24,'TRA TECH'!$J:$J,'TRA TECH'!Q:Q)))</f>
        <v>1.0963755489614271</v>
      </c>
      <c r="N24">
        <f>IF(H24="*","*",IF(_xlfn.XLOOKUP($H24,'TRA TECH'!$J:$J,'TRA TECH'!R:R)="","",_xlfn.XLOOKUP($H24,'TRA TECH'!$J:$J,'TRA TECH'!R:R)))</f>
        <v>1.1534162611275931</v>
      </c>
      <c r="O24">
        <f>IF(H24="*","*",IF(_xlfn.XLOOKUP($H24,'TRA TECH'!$J:$J,'TRA TECH'!S:S)="","",_xlfn.XLOOKUP($H24,'TRA TECH'!$J:$J,'TRA TECH'!S:S)))</f>
        <v>1.1733141839762571</v>
      </c>
      <c r="P24">
        <f>IF(H24="*","*",IF(_xlfn.XLOOKUP($H24,'TRA TECH'!$J:$J,'TRA TECH'!T:T)="","",_xlfn.XLOOKUP($H24,'TRA TECH'!$J:$J,'TRA TECH'!T:T)))</f>
        <v>1.264181364985161</v>
      </c>
      <c r="Q24">
        <f>IF(H24="*","*",IF(_xlfn.XLOOKUP($H24,'TRA TECH'!$J:$J,'TRA TECH'!U:U)="","",_xlfn.XLOOKUP($H24,'TRA TECH'!$J:$J,'TRA TECH'!U:U)))</f>
        <v>1.3145894362017829</v>
      </c>
      <c r="R24">
        <f>IF(H24="*","*",IF(_xlfn.XLOOKUP($H24,'TRA TECH'!$J:$J,'TRA TECH'!V:V)="","",_xlfn.XLOOKUP($H24,'TRA TECH'!$J:$J,'TRA TECH'!V:V)))</f>
        <v>1.3656607715133551</v>
      </c>
      <c r="S24">
        <f>IF(H24="*","*",IF(_xlfn.XLOOKUP($H24,'TRA TECH'!$J:$J,'TRA TECH'!W:W)="","",_xlfn.XLOOKUP($H24,'TRA TECH'!$J:$J,'TRA TECH'!W:W)))</f>
        <v>1.4193851632047481</v>
      </c>
      <c r="T24">
        <f t="shared" si="2"/>
        <v>1.4193851632047481</v>
      </c>
      <c r="U24">
        <f>IF(H24="*","*",IF(_xlfn.XLOOKUP($H24,'TRA TECH'!$J:$J,'TRA TECH'!X:X)="","",_xlfn.XLOOKUP($H24,'TRA TECH'!$J:$J,'TRA TECH'!X:X)))</f>
        <v>205.5636810810403</v>
      </c>
      <c r="V24">
        <f>IF(H24="*","*",IF(_xlfn.XLOOKUP($H24,'TRA TECH'!$J:$J,'TRA TECH'!Y:Y)="","",_xlfn.XLOOKUP($H24,'TRA TECH'!$J:$J,'TRA TECH'!Y:Y)))</f>
        <v>189.20394175625171</v>
      </c>
      <c r="W24">
        <f>IF(H24="*","*",IF(_xlfn.XLOOKUP($H24,'TRA TECH'!$J:$J,'TRA TECH'!Z:Z)="","",_xlfn.XLOOKUP($H24,'TRA TECH'!$J:$J,'TRA TECH'!Z:Z)))</f>
        <v>175.68937448794739</v>
      </c>
      <c r="X24">
        <f>IF(H24="*","*",IF(_xlfn.XLOOKUP($H24,'TRA TECH'!$J:$J,'TRA TECH'!AA:AA)="","",_xlfn.XLOOKUP($H24,'TRA TECH'!$J:$J,'TRA TECH'!AA:AA)))</f>
        <v>168.9320908537959</v>
      </c>
      <c r="Y24">
        <f>IF(H24="*","*",IF(_xlfn.XLOOKUP($H24,'TRA TECH'!$J:$J,'TRA TECH'!AB:AB)="","",_xlfn.XLOOKUP($H24,'TRA TECH'!$J:$J,'TRA TECH'!AB:AB)))</f>
        <v>165.7312722902501</v>
      </c>
      <c r="Z24">
        <f>IF(H24="*","*",IF(_xlfn.XLOOKUP($H24,'TRA TECH'!$J:$J,'TRA TECH'!AC:AC)="","",_xlfn.XLOOKUP($H24,'TRA TECH'!$J:$J,'TRA TECH'!AC:AC)))</f>
        <v>162.88610023376469</v>
      </c>
      <c r="AA24">
        <f>IF(H24="*","*",IF(_xlfn.XLOOKUP($H24,'TRA TECH'!$J:$J,'TRA TECH'!AD:AD)="","",_xlfn.XLOOKUP($H24,'TRA TECH'!$J:$J,'TRA TECH'!AD:AD)))</f>
        <v>159.6852816702193</v>
      </c>
      <c r="AB24">
        <f t="shared" si="3"/>
        <v>159.6852816702193</v>
      </c>
      <c r="AC24" s="15">
        <f>IF(H24="*","*",IF(_xlfn.XLOOKUP($H24,'TRA TECH'!$J:$J,'TRA TECH'!AE:AE)="","",_xlfn.XLOOKUP($H24,'TRA TECH'!$J:$J,'TRA TECH'!AE:AE)))</f>
        <v>5.1465712730694726</v>
      </c>
      <c r="AD24" s="15">
        <f>IF(H24="*","*",IF(_xlfn.XLOOKUP($H24,'TRA TECH'!$J:$J,'TRA TECH'!AF:AF)="","",_xlfn.XLOOKUP($H24,'TRA TECH'!$J:$J,'TRA TECH'!AF:AF)))</f>
        <v>5.1465712730694726</v>
      </c>
      <c r="AE24" s="15">
        <f>IF(H24="*","*",IF(_xlfn.XLOOKUP($H24,'TRA TECH'!$J:$J,'TRA TECH'!AG:AG)="","",_xlfn.XLOOKUP($H24,'TRA TECH'!$J:$J,'TRA TECH'!AG:AG)))</f>
        <v>5.1465712730694726</v>
      </c>
      <c r="AF24" s="15">
        <f>IF(H24="*","*",IF(_xlfn.XLOOKUP($H24,'TRA TECH'!$J:$J,'TRA TECH'!AH:AH)="","",_xlfn.XLOOKUP($H24,'TRA TECH'!$J:$J,'TRA TECH'!AH:AH)))</f>
        <v>5.1465712730694726</v>
      </c>
      <c r="AG24" s="15">
        <f>IF(H24="*","*",IF(_xlfn.XLOOKUP($H24,'TRA TECH'!$J:$J,'TRA TECH'!AI:AI)="","",_xlfn.XLOOKUP($H24,'TRA TECH'!$J:$J,'TRA TECH'!AI:AI)))</f>
        <v>5.1465712730694726</v>
      </c>
      <c r="AH24" s="15">
        <f>IF(H24="*","*",IF(_xlfn.XLOOKUP($H24,'TRA TECH'!$J:$J,'TRA TECH'!AJ:AJ)="","",_xlfn.XLOOKUP($H24,'TRA TECH'!$J:$J,'TRA TECH'!AJ:AJ)))</f>
        <v>5.1465712730694726</v>
      </c>
      <c r="AI24" s="15">
        <f>IF(H24="*","*",IF(_xlfn.XLOOKUP($H24,'TRA TECH'!$J:$J,'TRA TECH'!AK:AK)="","",_xlfn.XLOOKUP($H24,'TRA TECH'!$J:$J,'TRA TECH'!AK:AK)))</f>
        <v>5.1465712730694726</v>
      </c>
      <c r="AJ24" s="15">
        <f t="shared" si="4"/>
        <v>5.1465712730694726</v>
      </c>
      <c r="AK24" s="16">
        <f t="shared" si="5"/>
        <v>0.25</v>
      </c>
    </row>
    <row r="25" spans="2:37" x14ac:dyDescent="0.25">
      <c r="B25" t="str">
        <f>IF('TRA TECH'!M21=0,"*",IF('TRA TECH'!H21="","*",'TRA TECH'!J21))</f>
        <v>TRAPASCARPHEVEGSL20</v>
      </c>
      <c r="C25" t="str">
        <f>IF('TRA TECH'!M21=0,"*",'TRA TECH'!H21)</f>
        <v>TRAETH</v>
      </c>
      <c r="D25" t="s">
        <v>424</v>
      </c>
      <c r="E25" s="9">
        <f>'TRA TECH'!P21</f>
        <v>0.1</v>
      </c>
      <c r="H25" t="str">
        <f>IF('TRA TECH'!M21=1,IF('TRA TECH'!L21=1,'TRA TECH'!J21,"*"),"*")</f>
        <v>*</v>
      </c>
      <c r="I25" t="str">
        <f>IF(H25="*","*",_xlfn.XLOOKUP(H25,'TRA TECH'!J:J,'TRA TECH'!I:I))</f>
        <v>*</v>
      </c>
      <c r="J25" t="str">
        <f>IF(H25="*","*",_xlfn.XLOOKUP(H25,'TRA TECH'!J:J,'TRA TECH'!N:N))</f>
        <v>*</v>
      </c>
      <c r="K25" s="15" t="str">
        <f>IF(H25="*","*",IF(_xlfn.XLOOKUP(H25,'TRA TECH'!J:J,'TRA TECH'!O:O)="","",_xlfn.XLOOKUP(H25,'TRA TECH'!J:J,'TRA TECH'!O:O)))</f>
        <v>*</v>
      </c>
      <c r="L25" t="str">
        <f t="shared" si="1"/>
        <v>*</v>
      </c>
      <c r="M25" t="str">
        <f>IF(H25="*","*",IF(_xlfn.XLOOKUP($H25,'TRA TECH'!$J:$J,'TRA TECH'!Q:Q)="","",_xlfn.XLOOKUP($H25,'TRA TECH'!$J:$J,'TRA TECH'!Q:Q)))</f>
        <v>*</v>
      </c>
      <c r="N25" t="str">
        <f>IF(H25="*","*",IF(_xlfn.XLOOKUP($H25,'TRA TECH'!$J:$J,'TRA TECH'!R:R)="","",_xlfn.XLOOKUP($H25,'TRA TECH'!$J:$J,'TRA TECH'!R:R)))</f>
        <v>*</v>
      </c>
      <c r="O25" t="str">
        <f>IF(H25="*","*",IF(_xlfn.XLOOKUP($H25,'TRA TECH'!$J:$J,'TRA TECH'!S:S)="","",_xlfn.XLOOKUP($H25,'TRA TECH'!$J:$J,'TRA TECH'!S:S)))</f>
        <v>*</v>
      </c>
      <c r="P25" t="str">
        <f>IF(H25="*","*",IF(_xlfn.XLOOKUP($H25,'TRA TECH'!$J:$J,'TRA TECH'!T:T)="","",_xlfn.XLOOKUP($H25,'TRA TECH'!$J:$J,'TRA TECH'!T:T)))</f>
        <v>*</v>
      </c>
      <c r="Q25" t="str">
        <f>IF(H25="*","*",IF(_xlfn.XLOOKUP($H25,'TRA TECH'!$J:$J,'TRA TECH'!U:U)="","",_xlfn.XLOOKUP($H25,'TRA TECH'!$J:$J,'TRA TECH'!U:U)))</f>
        <v>*</v>
      </c>
      <c r="R25" t="str">
        <f>IF(H25="*","*",IF(_xlfn.XLOOKUP($H25,'TRA TECH'!$J:$J,'TRA TECH'!V:V)="","",_xlfn.XLOOKUP($H25,'TRA TECH'!$J:$J,'TRA TECH'!V:V)))</f>
        <v>*</v>
      </c>
      <c r="S25" t="str">
        <f>IF(H25="*","*",IF(_xlfn.XLOOKUP($H25,'TRA TECH'!$J:$J,'TRA TECH'!W:W)="","",_xlfn.XLOOKUP($H25,'TRA TECH'!$J:$J,'TRA TECH'!W:W)))</f>
        <v>*</v>
      </c>
      <c r="T25" t="str">
        <f t="shared" si="2"/>
        <v>*</v>
      </c>
      <c r="U25" t="str">
        <f>IF(H25="*","*",IF(_xlfn.XLOOKUP($H25,'TRA TECH'!$J:$J,'TRA TECH'!X:X)="","",_xlfn.XLOOKUP($H25,'TRA TECH'!$J:$J,'TRA TECH'!X:X)))</f>
        <v>*</v>
      </c>
      <c r="V25" t="str">
        <f>IF(H25="*","*",IF(_xlfn.XLOOKUP($H25,'TRA TECH'!$J:$J,'TRA TECH'!Y:Y)="","",_xlfn.XLOOKUP($H25,'TRA TECH'!$J:$J,'TRA TECH'!Y:Y)))</f>
        <v>*</v>
      </c>
      <c r="W25" t="str">
        <f>IF(H25="*","*",IF(_xlfn.XLOOKUP($H25,'TRA TECH'!$J:$J,'TRA TECH'!Z:Z)="","",_xlfn.XLOOKUP($H25,'TRA TECH'!$J:$J,'TRA TECH'!Z:Z)))</f>
        <v>*</v>
      </c>
      <c r="X25" t="str">
        <f>IF(H25="*","*",IF(_xlfn.XLOOKUP($H25,'TRA TECH'!$J:$J,'TRA TECH'!AA:AA)="","",_xlfn.XLOOKUP($H25,'TRA TECH'!$J:$J,'TRA TECH'!AA:AA)))</f>
        <v>*</v>
      </c>
      <c r="Y25" t="str">
        <f>IF(H25="*","*",IF(_xlfn.XLOOKUP($H25,'TRA TECH'!$J:$J,'TRA TECH'!AB:AB)="","",_xlfn.XLOOKUP($H25,'TRA TECH'!$J:$J,'TRA TECH'!AB:AB)))</f>
        <v>*</v>
      </c>
      <c r="Z25" t="str">
        <f>IF(H25="*","*",IF(_xlfn.XLOOKUP($H25,'TRA TECH'!$J:$J,'TRA TECH'!AC:AC)="","",_xlfn.XLOOKUP($H25,'TRA TECH'!$J:$J,'TRA TECH'!AC:AC)))</f>
        <v>*</v>
      </c>
      <c r="AA25" t="str">
        <f>IF(H25="*","*",IF(_xlfn.XLOOKUP($H25,'TRA TECH'!$J:$J,'TRA TECH'!AD:AD)="","",_xlfn.XLOOKUP($H25,'TRA TECH'!$J:$J,'TRA TECH'!AD:AD)))</f>
        <v>*</v>
      </c>
      <c r="AB25" t="str">
        <f t="shared" si="3"/>
        <v>*</v>
      </c>
      <c r="AC25" s="15" t="str">
        <f>IF(H25="*","*",IF(_xlfn.XLOOKUP($H25,'TRA TECH'!$J:$J,'TRA TECH'!AE:AE)="","",_xlfn.XLOOKUP($H25,'TRA TECH'!$J:$J,'TRA TECH'!AE:AE)))</f>
        <v>*</v>
      </c>
      <c r="AD25" s="15" t="str">
        <f>IF(H25="*","*",IF(_xlfn.XLOOKUP($H25,'TRA TECH'!$J:$J,'TRA TECH'!AF:AF)="","",_xlfn.XLOOKUP($H25,'TRA TECH'!$J:$J,'TRA TECH'!AF:AF)))</f>
        <v>*</v>
      </c>
      <c r="AE25" s="15" t="str">
        <f>IF(H25="*","*",IF(_xlfn.XLOOKUP($H25,'TRA TECH'!$J:$J,'TRA TECH'!AG:AG)="","",_xlfn.XLOOKUP($H25,'TRA TECH'!$J:$J,'TRA TECH'!AG:AG)))</f>
        <v>*</v>
      </c>
      <c r="AF25" s="15" t="str">
        <f>IF(H25="*","*",IF(_xlfn.XLOOKUP($H25,'TRA TECH'!$J:$J,'TRA TECH'!AH:AH)="","",_xlfn.XLOOKUP($H25,'TRA TECH'!$J:$J,'TRA TECH'!AH:AH)))</f>
        <v>*</v>
      </c>
      <c r="AG25" s="15" t="str">
        <f>IF(H25="*","*",IF(_xlfn.XLOOKUP($H25,'TRA TECH'!$J:$J,'TRA TECH'!AI:AI)="","",_xlfn.XLOOKUP($H25,'TRA TECH'!$J:$J,'TRA TECH'!AI:AI)))</f>
        <v>*</v>
      </c>
      <c r="AH25" s="15" t="str">
        <f>IF(H25="*","*",IF(_xlfn.XLOOKUP($H25,'TRA TECH'!$J:$J,'TRA TECH'!AJ:AJ)="","",_xlfn.XLOOKUP($H25,'TRA TECH'!$J:$J,'TRA TECH'!AJ:AJ)))</f>
        <v>*</v>
      </c>
      <c r="AI25" s="15" t="str">
        <f>IF(H25="*","*",IF(_xlfn.XLOOKUP($H25,'TRA TECH'!$J:$J,'TRA TECH'!AK:AK)="","",_xlfn.XLOOKUP($H25,'TRA TECH'!$J:$J,'TRA TECH'!AK:AK)))</f>
        <v>*</v>
      </c>
      <c r="AJ25" s="15" t="str">
        <f t="shared" si="4"/>
        <v>*</v>
      </c>
      <c r="AK25" s="16" t="str">
        <f t="shared" si="5"/>
        <v>*</v>
      </c>
    </row>
    <row r="26" spans="2:37" x14ac:dyDescent="0.25">
      <c r="B26" t="str">
        <f>IF('TRA TECH'!M22=0,"*",IF('TRA TECH'!H22="","*",'TRA TECH'!J22))</f>
        <v>TRAPASCARPHEVEGSL20</v>
      </c>
      <c r="C26" t="str">
        <f>IF('TRA TECH'!M22=0,"*",'TRA TECH'!H22)</f>
        <v>TRABAT</v>
      </c>
      <c r="D26" t="s">
        <v>424</v>
      </c>
      <c r="E26" s="9">
        <f>'TRA TECH'!P22</f>
        <v>0.40161569532602631</v>
      </c>
      <c r="H26" t="str">
        <f>IF('TRA TECH'!M22=1,IF('TRA TECH'!L22=1,'TRA TECH'!J22,"*"),"*")</f>
        <v>*</v>
      </c>
      <c r="I26" t="str">
        <f>IF(H26="*","*",_xlfn.XLOOKUP(H26,'TRA TECH'!J:J,'TRA TECH'!I:I))</f>
        <v>*</v>
      </c>
      <c r="J26" t="str">
        <f>IF(H26="*","*",_xlfn.XLOOKUP(H26,'TRA TECH'!J:J,'TRA TECH'!N:N))</f>
        <v>*</v>
      </c>
      <c r="K26" s="15" t="str">
        <f>IF(H26="*","*",IF(_xlfn.XLOOKUP(H26,'TRA TECH'!J:J,'TRA TECH'!O:O)="","",_xlfn.XLOOKUP(H26,'TRA TECH'!J:J,'TRA TECH'!O:O)))</f>
        <v>*</v>
      </c>
      <c r="L26" t="str">
        <f t="shared" si="1"/>
        <v>*</v>
      </c>
      <c r="M26" t="str">
        <f>IF(H26="*","*",IF(_xlfn.XLOOKUP($H26,'TRA TECH'!$J:$J,'TRA TECH'!Q:Q)="","",_xlfn.XLOOKUP($H26,'TRA TECH'!$J:$J,'TRA TECH'!Q:Q)))</f>
        <v>*</v>
      </c>
      <c r="N26" t="str">
        <f>IF(H26="*","*",IF(_xlfn.XLOOKUP($H26,'TRA TECH'!$J:$J,'TRA TECH'!R:R)="","",_xlfn.XLOOKUP($H26,'TRA TECH'!$J:$J,'TRA TECH'!R:R)))</f>
        <v>*</v>
      </c>
      <c r="O26" t="str">
        <f>IF(H26="*","*",IF(_xlfn.XLOOKUP($H26,'TRA TECH'!$J:$J,'TRA TECH'!S:S)="","",_xlfn.XLOOKUP($H26,'TRA TECH'!$J:$J,'TRA TECH'!S:S)))</f>
        <v>*</v>
      </c>
      <c r="P26" t="str">
        <f>IF(H26="*","*",IF(_xlfn.XLOOKUP($H26,'TRA TECH'!$J:$J,'TRA TECH'!T:T)="","",_xlfn.XLOOKUP($H26,'TRA TECH'!$J:$J,'TRA TECH'!T:T)))</f>
        <v>*</v>
      </c>
      <c r="Q26" t="str">
        <f>IF(H26="*","*",IF(_xlfn.XLOOKUP($H26,'TRA TECH'!$J:$J,'TRA TECH'!U:U)="","",_xlfn.XLOOKUP($H26,'TRA TECH'!$J:$J,'TRA TECH'!U:U)))</f>
        <v>*</v>
      </c>
      <c r="R26" t="str">
        <f>IF(H26="*","*",IF(_xlfn.XLOOKUP($H26,'TRA TECH'!$J:$J,'TRA TECH'!V:V)="","",_xlfn.XLOOKUP($H26,'TRA TECH'!$J:$J,'TRA TECH'!V:V)))</f>
        <v>*</v>
      </c>
      <c r="S26" t="str">
        <f>IF(H26="*","*",IF(_xlfn.XLOOKUP($H26,'TRA TECH'!$J:$J,'TRA TECH'!W:W)="","",_xlfn.XLOOKUP($H26,'TRA TECH'!$J:$J,'TRA TECH'!W:W)))</f>
        <v>*</v>
      </c>
      <c r="T26" t="str">
        <f t="shared" si="2"/>
        <v>*</v>
      </c>
      <c r="U26" t="str">
        <f>IF(H26="*","*",IF(_xlfn.XLOOKUP($H26,'TRA TECH'!$J:$J,'TRA TECH'!X:X)="","",_xlfn.XLOOKUP($H26,'TRA TECH'!$J:$J,'TRA TECH'!X:X)))</f>
        <v>*</v>
      </c>
      <c r="V26" t="str">
        <f>IF(H26="*","*",IF(_xlfn.XLOOKUP($H26,'TRA TECH'!$J:$J,'TRA TECH'!Y:Y)="","",_xlfn.XLOOKUP($H26,'TRA TECH'!$J:$J,'TRA TECH'!Y:Y)))</f>
        <v>*</v>
      </c>
      <c r="W26" t="str">
        <f>IF(H26="*","*",IF(_xlfn.XLOOKUP($H26,'TRA TECH'!$J:$J,'TRA TECH'!Z:Z)="","",_xlfn.XLOOKUP($H26,'TRA TECH'!$J:$J,'TRA TECH'!Z:Z)))</f>
        <v>*</v>
      </c>
      <c r="X26" t="str">
        <f>IF(H26="*","*",IF(_xlfn.XLOOKUP($H26,'TRA TECH'!$J:$J,'TRA TECH'!AA:AA)="","",_xlfn.XLOOKUP($H26,'TRA TECH'!$J:$J,'TRA TECH'!AA:AA)))</f>
        <v>*</v>
      </c>
      <c r="Y26" t="str">
        <f>IF(H26="*","*",IF(_xlfn.XLOOKUP($H26,'TRA TECH'!$J:$J,'TRA TECH'!AB:AB)="","",_xlfn.XLOOKUP($H26,'TRA TECH'!$J:$J,'TRA TECH'!AB:AB)))</f>
        <v>*</v>
      </c>
      <c r="Z26" t="str">
        <f>IF(H26="*","*",IF(_xlfn.XLOOKUP($H26,'TRA TECH'!$J:$J,'TRA TECH'!AC:AC)="","",_xlfn.XLOOKUP($H26,'TRA TECH'!$J:$J,'TRA TECH'!AC:AC)))</f>
        <v>*</v>
      </c>
      <c r="AA26" t="str">
        <f>IF(H26="*","*",IF(_xlfn.XLOOKUP($H26,'TRA TECH'!$J:$J,'TRA TECH'!AD:AD)="","",_xlfn.XLOOKUP($H26,'TRA TECH'!$J:$J,'TRA TECH'!AD:AD)))</f>
        <v>*</v>
      </c>
      <c r="AB26" t="str">
        <f t="shared" si="3"/>
        <v>*</v>
      </c>
      <c r="AC26" s="15" t="str">
        <f>IF(H26="*","*",IF(_xlfn.XLOOKUP($H26,'TRA TECH'!$J:$J,'TRA TECH'!AE:AE)="","",_xlfn.XLOOKUP($H26,'TRA TECH'!$J:$J,'TRA TECH'!AE:AE)))</f>
        <v>*</v>
      </c>
      <c r="AD26" s="15" t="str">
        <f>IF(H26="*","*",IF(_xlfn.XLOOKUP($H26,'TRA TECH'!$J:$J,'TRA TECH'!AF:AF)="","",_xlfn.XLOOKUP($H26,'TRA TECH'!$J:$J,'TRA TECH'!AF:AF)))</f>
        <v>*</v>
      </c>
      <c r="AE26" s="15" t="str">
        <f>IF(H26="*","*",IF(_xlfn.XLOOKUP($H26,'TRA TECH'!$J:$J,'TRA TECH'!AG:AG)="","",_xlfn.XLOOKUP($H26,'TRA TECH'!$J:$J,'TRA TECH'!AG:AG)))</f>
        <v>*</v>
      </c>
      <c r="AF26" s="15" t="str">
        <f>IF(H26="*","*",IF(_xlfn.XLOOKUP($H26,'TRA TECH'!$J:$J,'TRA TECH'!AH:AH)="","",_xlfn.XLOOKUP($H26,'TRA TECH'!$J:$J,'TRA TECH'!AH:AH)))</f>
        <v>*</v>
      </c>
      <c r="AG26" s="15" t="str">
        <f>IF(H26="*","*",IF(_xlfn.XLOOKUP($H26,'TRA TECH'!$J:$J,'TRA TECH'!AI:AI)="","",_xlfn.XLOOKUP($H26,'TRA TECH'!$J:$J,'TRA TECH'!AI:AI)))</f>
        <v>*</v>
      </c>
      <c r="AH26" s="15" t="str">
        <f>IF(H26="*","*",IF(_xlfn.XLOOKUP($H26,'TRA TECH'!$J:$J,'TRA TECH'!AJ:AJ)="","",_xlfn.XLOOKUP($H26,'TRA TECH'!$J:$J,'TRA TECH'!AJ:AJ)))</f>
        <v>*</v>
      </c>
      <c r="AI26" s="15" t="str">
        <f>IF(H26="*","*",IF(_xlfn.XLOOKUP($H26,'TRA TECH'!$J:$J,'TRA TECH'!AK:AK)="","",_xlfn.XLOOKUP($H26,'TRA TECH'!$J:$J,'TRA TECH'!AK:AK)))</f>
        <v>*</v>
      </c>
      <c r="AJ26" s="15" t="str">
        <f t="shared" si="4"/>
        <v>*</v>
      </c>
      <c r="AK26" s="16" t="str">
        <f t="shared" si="5"/>
        <v>*</v>
      </c>
    </row>
    <row r="27" spans="2:37" x14ac:dyDescent="0.25">
      <c r="B27" t="str">
        <f>IF('TRA TECH'!M23=0,"*",IF('TRA TECH'!H23="","*",'TRA TECH'!J23))</f>
        <v>TRAPASCARICEVDSL20</v>
      </c>
      <c r="C27" t="str">
        <f>IF('TRA TECH'!M23=0,"*",'TRA TECH'!H23)</f>
        <v>TRADSL</v>
      </c>
      <c r="D27" t="s">
        <v>424</v>
      </c>
      <c r="E27" s="9">
        <f>'TRA TECH'!P23</f>
        <v>1</v>
      </c>
      <c r="H27" t="str">
        <f>IF('TRA TECH'!M23=1,IF('TRA TECH'!L23=1,'TRA TECH'!J23,"*"),"*")</f>
        <v>TRAPASCARICEVDSL20</v>
      </c>
      <c r="I27" t="str">
        <f>IF(H27="*","*",_xlfn.XLOOKUP(H27,'TRA TECH'!J:J,'TRA TECH'!I:I))</f>
        <v>TRAPASCARDMD</v>
      </c>
      <c r="J27">
        <f>IF(H27="*","*",_xlfn.XLOOKUP(H27,'TRA TECH'!J:J,'TRA TECH'!N:N))</f>
        <v>2020</v>
      </c>
      <c r="K27" s="15">
        <f>IF(H27="*","*",IF(_xlfn.XLOOKUP(H27,'TRA TECH'!J:J,'TRA TECH'!O:O)="","",_xlfn.XLOOKUP(H27,'TRA TECH'!J:J,'TRA TECH'!O:O)))</f>
        <v>16.861273869240819</v>
      </c>
      <c r="L27">
        <f t="shared" si="1"/>
        <v>1</v>
      </c>
      <c r="M27">
        <f>IF(H27="*","*",IF(_xlfn.XLOOKUP($H27,'TRA TECH'!$J:$J,'TRA TECH'!Q:Q)="","",_xlfn.XLOOKUP($H27,'TRA TECH'!$J:$J,'TRA TECH'!Q:Q)))</f>
        <v>0.46428486646884271</v>
      </c>
      <c r="N27">
        <f>IF(H27="*","*",IF(_xlfn.XLOOKUP($H27,'TRA TECH'!$J:$J,'TRA TECH'!R:R)="","",_xlfn.XLOOKUP($H27,'TRA TECH'!$J:$J,'TRA TECH'!R:R)))</f>
        <v>0.44969305637982188</v>
      </c>
      <c r="O27">
        <f>IF(H27="*","*",IF(_xlfn.XLOOKUP($H27,'TRA TECH'!$J:$J,'TRA TECH'!S:S)="","",_xlfn.XLOOKUP($H27,'TRA TECH'!$J:$J,'TRA TECH'!S:S)))</f>
        <v>0.51867252225519278</v>
      </c>
      <c r="P27">
        <f>IF(H27="*","*",IF(_xlfn.XLOOKUP($H27,'TRA TECH'!$J:$J,'TRA TECH'!T:T)="","",_xlfn.XLOOKUP($H27,'TRA TECH'!$J:$J,'TRA TECH'!T:T)))</f>
        <v>0.5432132937685461</v>
      </c>
      <c r="Q27">
        <f>IF(H27="*","*",IF(_xlfn.XLOOKUP($H27,'TRA TECH'!$J:$J,'TRA TECH'!U:U)="","",_xlfn.XLOOKUP($H27,'TRA TECH'!$J:$J,'TRA TECH'!U:U)))</f>
        <v>0.57306017804154308</v>
      </c>
      <c r="R27">
        <f>IF(H27="*","*",IF(_xlfn.XLOOKUP($H27,'TRA TECH'!$J:$J,'TRA TECH'!V:V)="","",_xlfn.XLOOKUP($H27,'TRA TECH'!$J:$J,'TRA TECH'!V:V)))</f>
        <v>0.60290706231454005</v>
      </c>
      <c r="S27">
        <f>IF(H27="*","*",IF(_xlfn.XLOOKUP($H27,'TRA TECH'!$J:$J,'TRA TECH'!W:W)="","",_xlfn.XLOOKUP($H27,'TRA TECH'!$J:$J,'TRA TECH'!W:W)))</f>
        <v>0.63275394658753703</v>
      </c>
      <c r="T27">
        <f t="shared" si="2"/>
        <v>0.63275394658753703</v>
      </c>
      <c r="U27">
        <f>IF(H27="*","*",IF(_xlfn.XLOOKUP($H27,'TRA TECH'!$J:$J,'TRA TECH'!X:X)="","",_xlfn.XLOOKUP($H27,'TRA TECH'!$J:$J,'TRA TECH'!X:X)))</f>
        <v>183.86924415034181</v>
      </c>
      <c r="V27">
        <f>IF(H27="*","*",IF(_xlfn.XLOOKUP($H27,'TRA TECH'!$J:$J,'TRA TECH'!Y:Y)="","",_xlfn.XLOOKUP($H27,'TRA TECH'!$J:$J,'TRA TECH'!Y:Y)))</f>
        <v>180.66842558679619</v>
      </c>
      <c r="W27">
        <f>IF(H27="*","*",IF(_xlfn.XLOOKUP($H27,'TRA TECH'!$J:$J,'TRA TECH'!Z:Z)="","",_xlfn.XLOOKUP($H27,'TRA TECH'!$J:$J,'TRA TECH'!Z:Z)))</f>
        <v>179.95713257267491</v>
      </c>
      <c r="X27">
        <f>IF(H27="*","*",IF(_xlfn.XLOOKUP($H27,'TRA TECH'!$J:$J,'TRA TECH'!AA:AA)="","",_xlfn.XLOOKUP($H27,'TRA TECH'!$J:$J,'TRA TECH'!AA:AA)))</f>
        <v>179.60148606561421</v>
      </c>
      <c r="Y27">
        <f>IF(H27="*","*",IF(_xlfn.XLOOKUP($H27,'TRA TECH'!$J:$J,'TRA TECH'!AB:AB)="","",_xlfn.XLOOKUP($H27,'TRA TECH'!$J:$J,'TRA TECH'!AB:AB)))</f>
        <v>179.24583955855371</v>
      </c>
      <c r="Z27">
        <f>IF(H27="*","*",IF(_xlfn.XLOOKUP($H27,'TRA TECH'!$J:$J,'TRA TECH'!AC:AC)="","",_xlfn.XLOOKUP($H27,'TRA TECH'!$J:$J,'TRA TECH'!AC:AC)))</f>
        <v>178.8901930514931</v>
      </c>
      <c r="AA27">
        <f>IF(H27="*","*",IF(_xlfn.XLOOKUP($H27,'TRA TECH'!$J:$J,'TRA TECH'!AD:AD)="","",_xlfn.XLOOKUP($H27,'TRA TECH'!$J:$J,'TRA TECH'!AD:AD)))</f>
        <v>178.5345465444324</v>
      </c>
      <c r="AB27">
        <f t="shared" si="3"/>
        <v>178.5345465444324</v>
      </c>
      <c r="AC27" s="15">
        <f>IF(H27="*","*",IF(_xlfn.XLOOKUP($H27,'TRA TECH'!$J:$J,'TRA TECH'!AE:AE)="","",_xlfn.XLOOKUP($H27,'TRA TECH'!$J:$J,'TRA TECH'!AE:AE)))</f>
        <v>5.2309412939394688</v>
      </c>
      <c r="AD27" s="15">
        <f>IF(H27="*","*",IF(_xlfn.XLOOKUP($H27,'TRA TECH'!$J:$J,'TRA TECH'!AF:AF)="","",_xlfn.XLOOKUP($H27,'TRA TECH'!$J:$J,'TRA TECH'!AF:AF)))</f>
        <v>5.2309412939394688</v>
      </c>
      <c r="AE27" s="15">
        <f>IF(H27="*","*",IF(_xlfn.XLOOKUP($H27,'TRA TECH'!$J:$J,'TRA TECH'!AG:AG)="","",_xlfn.XLOOKUP($H27,'TRA TECH'!$J:$J,'TRA TECH'!AG:AG)))</f>
        <v>5.2309412939394688</v>
      </c>
      <c r="AF27" s="15">
        <f>IF(H27="*","*",IF(_xlfn.XLOOKUP($H27,'TRA TECH'!$J:$J,'TRA TECH'!AH:AH)="","",_xlfn.XLOOKUP($H27,'TRA TECH'!$J:$J,'TRA TECH'!AH:AH)))</f>
        <v>5.2309412939394688</v>
      </c>
      <c r="AG27" s="15">
        <f>IF(H27="*","*",IF(_xlfn.XLOOKUP($H27,'TRA TECH'!$J:$J,'TRA TECH'!AI:AI)="","",_xlfn.XLOOKUP($H27,'TRA TECH'!$J:$J,'TRA TECH'!AI:AI)))</f>
        <v>5.2309412939394688</v>
      </c>
      <c r="AH27" s="15">
        <f>IF(H27="*","*",IF(_xlfn.XLOOKUP($H27,'TRA TECH'!$J:$J,'TRA TECH'!AJ:AJ)="","",_xlfn.XLOOKUP($H27,'TRA TECH'!$J:$J,'TRA TECH'!AJ:AJ)))</f>
        <v>5.2309412939394688</v>
      </c>
      <c r="AI27" s="15">
        <f>IF(H27="*","*",IF(_xlfn.XLOOKUP($H27,'TRA TECH'!$J:$J,'TRA TECH'!AK:AK)="","",_xlfn.XLOOKUP($H27,'TRA TECH'!$J:$J,'TRA TECH'!AK:AK)))</f>
        <v>5.2309412939394688</v>
      </c>
      <c r="AJ27" s="15">
        <f t="shared" si="4"/>
        <v>5.2309412939394688</v>
      </c>
      <c r="AK27" s="16">
        <f t="shared" si="5"/>
        <v>0.1</v>
      </c>
    </row>
    <row r="28" spans="2:37" x14ac:dyDescent="0.25">
      <c r="B28" t="str">
        <f>IF('TRA TECH'!M24=0,"*",IF('TRA TECH'!H24="","*",'TRA TECH'!J24))</f>
        <v>TRAPASCARICEVDSL20</v>
      </c>
      <c r="C28" t="str">
        <f>IF('TRA TECH'!M24=0,"*",'TRA TECH'!H24)</f>
        <v>TRARDS</v>
      </c>
      <c r="D28" t="s">
        <v>424</v>
      </c>
      <c r="E28" s="9">
        <f>'TRA TECH'!P24</f>
        <v>1</v>
      </c>
      <c r="H28" t="str">
        <f>IF('TRA TECH'!M24=1,IF('TRA TECH'!L24=1,'TRA TECH'!J24,"*"),"*")</f>
        <v>*</v>
      </c>
      <c r="I28" t="str">
        <f>IF(H28="*","*",_xlfn.XLOOKUP(H28,'TRA TECH'!J:J,'TRA TECH'!I:I))</f>
        <v>*</v>
      </c>
      <c r="J28" t="str">
        <f>IF(H28="*","*",_xlfn.XLOOKUP(H28,'TRA TECH'!J:J,'TRA TECH'!N:N))</f>
        <v>*</v>
      </c>
      <c r="K28" s="15" t="str">
        <f>IF(H28="*","*",IF(_xlfn.XLOOKUP(H28,'TRA TECH'!J:J,'TRA TECH'!O:O)="","",_xlfn.XLOOKUP(H28,'TRA TECH'!J:J,'TRA TECH'!O:O)))</f>
        <v>*</v>
      </c>
      <c r="L28" t="str">
        <f t="shared" si="1"/>
        <v>*</v>
      </c>
      <c r="M28" t="str">
        <f>IF(H28="*","*",IF(_xlfn.XLOOKUP($H28,'TRA TECH'!$J:$J,'TRA TECH'!Q:Q)="","",_xlfn.XLOOKUP($H28,'TRA TECH'!$J:$J,'TRA TECH'!Q:Q)))</f>
        <v>*</v>
      </c>
      <c r="N28" t="str">
        <f>IF(H28="*","*",IF(_xlfn.XLOOKUP($H28,'TRA TECH'!$J:$J,'TRA TECH'!R:R)="","",_xlfn.XLOOKUP($H28,'TRA TECH'!$J:$J,'TRA TECH'!R:R)))</f>
        <v>*</v>
      </c>
      <c r="O28" t="str">
        <f>IF(H28="*","*",IF(_xlfn.XLOOKUP($H28,'TRA TECH'!$J:$J,'TRA TECH'!S:S)="","",_xlfn.XLOOKUP($H28,'TRA TECH'!$J:$J,'TRA TECH'!S:S)))</f>
        <v>*</v>
      </c>
      <c r="P28" t="str">
        <f>IF(H28="*","*",IF(_xlfn.XLOOKUP($H28,'TRA TECH'!$J:$J,'TRA TECH'!T:T)="","",_xlfn.XLOOKUP($H28,'TRA TECH'!$J:$J,'TRA TECH'!T:T)))</f>
        <v>*</v>
      </c>
      <c r="Q28" t="str">
        <f>IF(H28="*","*",IF(_xlfn.XLOOKUP($H28,'TRA TECH'!$J:$J,'TRA TECH'!U:U)="","",_xlfn.XLOOKUP($H28,'TRA TECH'!$J:$J,'TRA TECH'!U:U)))</f>
        <v>*</v>
      </c>
      <c r="R28" t="str">
        <f>IF(H28="*","*",IF(_xlfn.XLOOKUP($H28,'TRA TECH'!$J:$J,'TRA TECH'!V:V)="","",_xlfn.XLOOKUP($H28,'TRA TECH'!$J:$J,'TRA TECH'!V:V)))</f>
        <v>*</v>
      </c>
      <c r="S28" t="str">
        <f>IF(H28="*","*",IF(_xlfn.XLOOKUP($H28,'TRA TECH'!$J:$J,'TRA TECH'!W:W)="","",_xlfn.XLOOKUP($H28,'TRA TECH'!$J:$J,'TRA TECH'!W:W)))</f>
        <v>*</v>
      </c>
      <c r="T28" t="str">
        <f t="shared" si="2"/>
        <v>*</v>
      </c>
      <c r="U28" t="str">
        <f>IF(H28="*","*",IF(_xlfn.XLOOKUP($H28,'TRA TECH'!$J:$J,'TRA TECH'!X:X)="","",_xlfn.XLOOKUP($H28,'TRA TECH'!$J:$J,'TRA TECH'!X:X)))</f>
        <v>*</v>
      </c>
      <c r="V28" t="str">
        <f>IF(H28="*","*",IF(_xlfn.XLOOKUP($H28,'TRA TECH'!$J:$J,'TRA TECH'!Y:Y)="","",_xlfn.XLOOKUP($H28,'TRA TECH'!$J:$J,'TRA TECH'!Y:Y)))</f>
        <v>*</v>
      </c>
      <c r="W28" t="str">
        <f>IF(H28="*","*",IF(_xlfn.XLOOKUP($H28,'TRA TECH'!$J:$J,'TRA TECH'!Z:Z)="","",_xlfn.XLOOKUP($H28,'TRA TECH'!$J:$J,'TRA TECH'!Z:Z)))</f>
        <v>*</v>
      </c>
      <c r="X28" t="str">
        <f>IF(H28="*","*",IF(_xlfn.XLOOKUP($H28,'TRA TECH'!$J:$J,'TRA TECH'!AA:AA)="","",_xlfn.XLOOKUP($H28,'TRA TECH'!$J:$J,'TRA TECH'!AA:AA)))</f>
        <v>*</v>
      </c>
      <c r="Y28" t="str">
        <f>IF(H28="*","*",IF(_xlfn.XLOOKUP($H28,'TRA TECH'!$J:$J,'TRA TECH'!AB:AB)="","",_xlfn.XLOOKUP($H28,'TRA TECH'!$J:$J,'TRA TECH'!AB:AB)))</f>
        <v>*</v>
      </c>
      <c r="Z28" t="str">
        <f>IF(H28="*","*",IF(_xlfn.XLOOKUP($H28,'TRA TECH'!$J:$J,'TRA TECH'!AC:AC)="","",_xlfn.XLOOKUP($H28,'TRA TECH'!$J:$J,'TRA TECH'!AC:AC)))</f>
        <v>*</v>
      </c>
      <c r="AA28" t="str">
        <f>IF(H28="*","*",IF(_xlfn.XLOOKUP($H28,'TRA TECH'!$J:$J,'TRA TECH'!AD:AD)="","",_xlfn.XLOOKUP($H28,'TRA TECH'!$J:$J,'TRA TECH'!AD:AD)))</f>
        <v>*</v>
      </c>
      <c r="AB28" t="str">
        <f t="shared" si="3"/>
        <v>*</v>
      </c>
      <c r="AC28" s="15" t="str">
        <f>IF(H28="*","*",IF(_xlfn.XLOOKUP($H28,'TRA TECH'!$J:$J,'TRA TECH'!AE:AE)="","",_xlfn.XLOOKUP($H28,'TRA TECH'!$J:$J,'TRA TECH'!AE:AE)))</f>
        <v>*</v>
      </c>
      <c r="AD28" s="15" t="str">
        <f>IF(H28="*","*",IF(_xlfn.XLOOKUP($H28,'TRA TECH'!$J:$J,'TRA TECH'!AF:AF)="","",_xlfn.XLOOKUP($H28,'TRA TECH'!$J:$J,'TRA TECH'!AF:AF)))</f>
        <v>*</v>
      </c>
      <c r="AE28" s="15" t="str">
        <f>IF(H28="*","*",IF(_xlfn.XLOOKUP($H28,'TRA TECH'!$J:$J,'TRA TECH'!AG:AG)="","",_xlfn.XLOOKUP($H28,'TRA TECH'!$J:$J,'TRA TECH'!AG:AG)))</f>
        <v>*</v>
      </c>
      <c r="AF28" s="15" t="str">
        <f>IF(H28="*","*",IF(_xlfn.XLOOKUP($H28,'TRA TECH'!$J:$J,'TRA TECH'!AH:AH)="","",_xlfn.XLOOKUP($H28,'TRA TECH'!$J:$J,'TRA TECH'!AH:AH)))</f>
        <v>*</v>
      </c>
      <c r="AG28" s="15" t="str">
        <f>IF(H28="*","*",IF(_xlfn.XLOOKUP($H28,'TRA TECH'!$J:$J,'TRA TECH'!AI:AI)="","",_xlfn.XLOOKUP($H28,'TRA TECH'!$J:$J,'TRA TECH'!AI:AI)))</f>
        <v>*</v>
      </c>
      <c r="AH28" s="15" t="str">
        <f>IF(H28="*","*",IF(_xlfn.XLOOKUP($H28,'TRA TECH'!$J:$J,'TRA TECH'!AJ:AJ)="","",_xlfn.XLOOKUP($H28,'TRA TECH'!$J:$J,'TRA TECH'!AJ:AJ)))</f>
        <v>*</v>
      </c>
      <c r="AI28" s="15" t="str">
        <f>IF(H28="*","*",IF(_xlfn.XLOOKUP($H28,'TRA TECH'!$J:$J,'TRA TECH'!AK:AK)="","",_xlfn.XLOOKUP($H28,'TRA TECH'!$J:$J,'TRA TECH'!AK:AK)))</f>
        <v>*</v>
      </c>
      <c r="AJ28" s="15" t="str">
        <f t="shared" si="4"/>
        <v>*</v>
      </c>
      <c r="AK28" s="16" t="str">
        <f t="shared" si="5"/>
        <v>*</v>
      </c>
    </row>
    <row r="29" spans="2:37" x14ac:dyDescent="0.25">
      <c r="B29" t="str">
        <f>IF('TRA TECH'!M25=0,"*",IF('TRA TECH'!H25="","*",'TRA TECH'!J25))</f>
        <v>TRAPASCARICEVDSL20</v>
      </c>
      <c r="C29" t="str">
        <f>IF('TRA TECH'!M25=0,"*",'TRA TECH'!H25)</f>
        <v>TRABDS</v>
      </c>
      <c r="D29" t="s">
        <v>424</v>
      </c>
      <c r="E29" s="9">
        <f>'TRA TECH'!P25</f>
        <v>0.1</v>
      </c>
      <c r="H29" t="str">
        <f>IF('TRA TECH'!M25=1,IF('TRA TECH'!L25=1,'TRA TECH'!J25,"*"),"*")</f>
        <v>*</v>
      </c>
      <c r="I29" t="str">
        <f>IF(H29="*","*",_xlfn.XLOOKUP(H29,'TRA TECH'!J:J,'TRA TECH'!I:I))</f>
        <v>*</v>
      </c>
      <c r="J29" t="str">
        <f>IF(H29="*","*",_xlfn.XLOOKUP(H29,'TRA TECH'!J:J,'TRA TECH'!N:N))</f>
        <v>*</v>
      </c>
      <c r="K29" s="15" t="str">
        <f>IF(H29="*","*",IF(_xlfn.XLOOKUP(H29,'TRA TECH'!J:J,'TRA TECH'!O:O)="","",_xlfn.XLOOKUP(H29,'TRA TECH'!J:J,'TRA TECH'!O:O)))</f>
        <v>*</v>
      </c>
      <c r="L29" t="str">
        <f t="shared" si="1"/>
        <v>*</v>
      </c>
      <c r="M29" t="str">
        <f>IF(H29="*","*",IF(_xlfn.XLOOKUP($H29,'TRA TECH'!$J:$J,'TRA TECH'!Q:Q)="","",_xlfn.XLOOKUP($H29,'TRA TECH'!$J:$J,'TRA TECH'!Q:Q)))</f>
        <v>*</v>
      </c>
      <c r="N29" t="str">
        <f>IF(H29="*","*",IF(_xlfn.XLOOKUP($H29,'TRA TECH'!$J:$J,'TRA TECH'!R:R)="","",_xlfn.XLOOKUP($H29,'TRA TECH'!$J:$J,'TRA TECH'!R:R)))</f>
        <v>*</v>
      </c>
      <c r="O29" t="str">
        <f>IF(H29="*","*",IF(_xlfn.XLOOKUP($H29,'TRA TECH'!$J:$J,'TRA TECH'!S:S)="","",_xlfn.XLOOKUP($H29,'TRA TECH'!$J:$J,'TRA TECH'!S:S)))</f>
        <v>*</v>
      </c>
      <c r="P29" t="str">
        <f>IF(H29="*","*",IF(_xlfn.XLOOKUP($H29,'TRA TECH'!$J:$J,'TRA TECH'!T:T)="","",_xlfn.XLOOKUP($H29,'TRA TECH'!$J:$J,'TRA TECH'!T:T)))</f>
        <v>*</v>
      </c>
      <c r="Q29" t="str">
        <f>IF(H29="*","*",IF(_xlfn.XLOOKUP($H29,'TRA TECH'!$J:$J,'TRA TECH'!U:U)="","",_xlfn.XLOOKUP($H29,'TRA TECH'!$J:$J,'TRA TECH'!U:U)))</f>
        <v>*</v>
      </c>
      <c r="R29" t="str">
        <f>IF(H29="*","*",IF(_xlfn.XLOOKUP($H29,'TRA TECH'!$J:$J,'TRA TECH'!V:V)="","",_xlfn.XLOOKUP($H29,'TRA TECH'!$J:$J,'TRA TECH'!V:V)))</f>
        <v>*</v>
      </c>
      <c r="S29" t="str">
        <f>IF(H29="*","*",IF(_xlfn.XLOOKUP($H29,'TRA TECH'!$J:$J,'TRA TECH'!W:W)="","",_xlfn.XLOOKUP($H29,'TRA TECH'!$J:$J,'TRA TECH'!W:W)))</f>
        <v>*</v>
      </c>
      <c r="T29" t="str">
        <f t="shared" si="2"/>
        <v>*</v>
      </c>
      <c r="U29" t="str">
        <f>IF(H29="*","*",IF(_xlfn.XLOOKUP($H29,'TRA TECH'!$J:$J,'TRA TECH'!X:X)="","",_xlfn.XLOOKUP($H29,'TRA TECH'!$J:$J,'TRA TECH'!X:X)))</f>
        <v>*</v>
      </c>
      <c r="V29" t="str">
        <f>IF(H29="*","*",IF(_xlfn.XLOOKUP($H29,'TRA TECH'!$J:$J,'TRA TECH'!Y:Y)="","",_xlfn.XLOOKUP($H29,'TRA TECH'!$J:$J,'TRA TECH'!Y:Y)))</f>
        <v>*</v>
      </c>
      <c r="W29" t="str">
        <f>IF(H29="*","*",IF(_xlfn.XLOOKUP($H29,'TRA TECH'!$J:$J,'TRA TECH'!Z:Z)="","",_xlfn.XLOOKUP($H29,'TRA TECH'!$J:$J,'TRA TECH'!Z:Z)))</f>
        <v>*</v>
      </c>
      <c r="X29" t="str">
        <f>IF(H29="*","*",IF(_xlfn.XLOOKUP($H29,'TRA TECH'!$J:$J,'TRA TECH'!AA:AA)="","",_xlfn.XLOOKUP($H29,'TRA TECH'!$J:$J,'TRA TECH'!AA:AA)))</f>
        <v>*</v>
      </c>
      <c r="Y29" t="str">
        <f>IF(H29="*","*",IF(_xlfn.XLOOKUP($H29,'TRA TECH'!$J:$J,'TRA TECH'!AB:AB)="","",_xlfn.XLOOKUP($H29,'TRA TECH'!$J:$J,'TRA TECH'!AB:AB)))</f>
        <v>*</v>
      </c>
      <c r="Z29" t="str">
        <f>IF(H29="*","*",IF(_xlfn.XLOOKUP($H29,'TRA TECH'!$J:$J,'TRA TECH'!AC:AC)="","",_xlfn.XLOOKUP($H29,'TRA TECH'!$J:$J,'TRA TECH'!AC:AC)))</f>
        <v>*</v>
      </c>
      <c r="AA29" t="str">
        <f>IF(H29="*","*",IF(_xlfn.XLOOKUP($H29,'TRA TECH'!$J:$J,'TRA TECH'!AD:AD)="","",_xlfn.XLOOKUP($H29,'TRA TECH'!$J:$J,'TRA TECH'!AD:AD)))</f>
        <v>*</v>
      </c>
      <c r="AB29" t="str">
        <f t="shared" si="3"/>
        <v>*</v>
      </c>
      <c r="AC29" s="15" t="str">
        <f>IF(H29="*","*",IF(_xlfn.XLOOKUP($H29,'TRA TECH'!$J:$J,'TRA TECH'!AE:AE)="","",_xlfn.XLOOKUP($H29,'TRA TECH'!$J:$J,'TRA TECH'!AE:AE)))</f>
        <v>*</v>
      </c>
      <c r="AD29" s="15" t="str">
        <f>IF(H29="*","*",IF(_xlfn.XLOOKUP($H29,'TRA TECH'!$J:$J,'TRA TECH'!AF:AF)="","",_xlfn.XLOOKUP($H29,'TRA TECH'!$J:$J,'TRA TECH'!AF:AF)))</f>
        <v>*</v>
      </c>
      <c r="AE29" s="15" t="str">
        <f>IF(H29="*","*",IF(_xlfn.XLOOKUP($H29,'TRA TECH'!$J:$J,'TRA TECH'!AG:AG)="","",_xlfn.XLOOKUP($H29,'TRA TECH'!$J:$J,'TRA TECH'!AG:AG)))</f>
        <v>*</v>
      </c>
      <c r="AF29" s="15" t="str">
        <f>IF(H29="*","*",IF(_xlfn.XLOOKUP($H29,'TRA TECH'!$J:$J,'TRA TECH'!AH:AH)="","",_xlfn.XLOOKUP($H29,'TRA TECH'!$J:$J,'TRA TECH'!AH:AH)))</f>
        <v>*</v>
      </c>
      <c r="AG29" s="15" t="str">
        <f>IF(H29="*","*",IF(_xlfn.XLOOKUP($H29,'TRA TECH'!$J:$J,'TRA TECH'!AI:AI)="","",_xlfn.XLOOKUP($H29,'TRA TECH'!$J:$J,'TRA TECH'!AI:AI)))</f>
        <v>*</v>
      </c>
      <c r="AH29" s="15" t="str">
        <f>IF(H29="*","*",IF(_xlfn.XLOOKUP($H29,'TRA TECH'!$J:$J,'TRA TECH'!AJ:AJ)="","",_xlfn.XLOOKUP($H29,'TRA TECH'!$J:$J,'TRA TECH'!AJ:AJ)))</f>
        <v>*</v>
      </c>
      <c r="AI29" s="15" t="str">
        <f>IF(H29="*","*",IF(_xlfn.XLOOKUP($H29,'TRA TECH'!$J:$J,'TRA TECH'!AK:AK)="","",_xlfn.XLOOKUP($H29,'TRA TECH'!$J:$J,'TRA TECH'!AK:AK)))</f>
        <v>*</v>
      </c>
      <c r="AJ29" s="15" t="str">
        <f t="shared" si="4"/>
        <v>*</v>
      </c>
      <c r="AK29" s="16" t="str">
        <f t="shared" si="5"/>
        <v>*</v>
      </c>
    </row>
    <row r="30" spans="2:37" x14ac:dyDescent="0.25">
      <c r="B30" t="str">
        <f>IF('TRA TECH'!M26=0,"*",IF('TRA TECH'!H26="","*",'TRA TECH'!J26))</f>
        <v>TRAPASCARICEVCNG20</v>
      </c>
      <c r="C30" t="str">
        <f>IF('TRA TECH'!M26=0,"*",'TRA TECH'!H26)</f>
        <v>TRACNG</v>
      </c>
      <c r="D30" t="s">
        <v>424</v>
      </c>
      <c r="E30" s="9">
        <f>'TRA TECH'!P26</f>
        <v>1</v>
      </c>
      <c r="H30" t="str">
        <f>IF('TRA TECH'!M26=1,IF('TRA TECH'!L26=1,'TRA TECH'!J26,"*"),"*")</f>
        <v>TRAPASCARICEVCNG20</v>
      </c>
      <c r="I30" t="str">
        <f>IF(H30="*","*",_xlfn.XLOOKUP(H30,'TRA TECH'!J:J,'TRA TECH'!I:I))</f>
        <v>TRAPASCARDMD</v>
      </c>
      <c r="J30">
        <f>IF(H30="*","*",_xlfn.XLOOKUP(H30,'TRA TECH'!J:J,'TRA TECH'!N:N))</f>
        <v>2020</v>
      </c>
      <c r="K30" s="15">
        <f>IF(H30="*","*",IF(_xlfn.XLOOKUP(H30,'TRA TECH'!J:J,'TRA TECH'!O:O)="","",_xlfn.XLOOKUP(H30,'TRA TECH'!J:J,'TRA TECH'!O:O)))</f>
        <v>16.861273869240819</v>
      </c>
      <c r="L30">
        <f t="shared" si="1"/>
        <v>1</v>
      </c>
      <c r="M30">
        <f>IF(H30="*","*",IF(_xlfn.XLOOKUP($H30,'TRA TECH'!$J:$J,'TRA TECH'!Q:Q)="","",_xlfn.XLOOKUP($H30,'TRA TECH'!$J:$J,'TRA TECH'!Q:Q)))</f>
        <v>0.37673400593471812</v>
      </c>
      <c r="N30">
        <f>IF(H30="*","*",IF(_xlfn.XLOOKUP($H30,'TRA TECH'!$J:$J,'TRA TECH'!R:R)="","",_xlfn.XLOOKUP($H30,'TRA TECH'!$J:$J,'TRA TECH'!R:R)))</f>
        <v>0.40193804154302659</v>
      </c>
      <c r="O30">
        <f>IF(H30="*","*",IF(_xlfn.XLOOKUP($H30,'TRA TECH'!$J:$J,'TRA TECH'!S:S)="","",_xlfn.XLOOKUP($H30,'TRA TECH'!$J:$J,'TRA TECH'!S:S)))</f>
        <v>0.45433590504451038</v>
      </c>
      <c r="P30">
        <f>IF(H30="*","*",IF(_xlfn.XLOOKUP($H30,'TRA TECH'!$J:$J,'TRA TECH'!T:T)="","",_xlfn.XLOOKUP($H30,'TRA TECH'!$J:$J,'TRA TECH'!T:T)))</f>
        <v>0.48683584569732952</v>
      </c>
      <c r="Q30">
        <f>IF(H30="*","*",IF(_xlfn.XLOOKUP($H30,'TRA TECH'!$J:$J,'TRA TECH'!U:U)="","",_xlfn.XLOOKUP($H30,'TRA TECH'!$J:$J,'TRA TECH'!U:U)))</f>
        <v>0.51336640949554901</v>
      </c>
      <c r="R30">
        <f>IF(H30="*","*",IF(_xlfn.XLOOKUP($H30,'TRA TECH'!$J:$J,'TRA TECH'!V:V)="","",_xlfn.XLOOKUP($H30,'TRA TECH'!$J:$J,'TRA TECH'!V:V)))</f>
        <v>0.53923370919881319</v>
      </c>
      <c r="S30">
        <f>IF(H30="*","*",IF(_xlfn.XLOOKUP($H30,'TRA TECH'!$J:$J,'TRA TECH'!W:W)="","",_xlfn.XLOOKUP($H30,'TRA TECH'!$J:$J,'TRA TECH'!W:W)))</f>
        <v>0.56510100890207715</v>
      </c>
      <c r="T30">
        <f t="shared" si="2"/>
        <v>0.56510100890207715</v>
      </c>
      <c r="U30">
        <f>IF(H30="*","*",IF(_xlfn.XLOOKUP($H30,'TRA TECH'!$J:$J,'TRA TECH'!X:X)="","",_xlfn.XLOOKUP($H30,'TRA TECH'!$J:$J,'TRA TECH'!X:X)))</f>
        <v>197.73945792570601</v>
      </c>
      <c r="V30">
        <f>IF(H30="*","*",IF(_xlfn.XLOOKUP($H30,'TRA TECH'!$J:$J,'TRA TECH'!Y:Y)="","",_xlfn.XLOOKUP($H30,'TRA TECH'!$J:$J,'TRA TECH'!Y:Y)))</f>
        <v>195.24993237628161</v>
      </c>
      <c r="W30">
        <f>IF(H30="*","*",IF(_xlfn.XLOOKUP($H30,'TRA TECH'!$J:$J,'TRA TECH'!Z:Z)="","",_xlfn.XLOOKUP($H30,'TRA TECH'!$J:$J,'TRA TECH'!Z:Z)))</f>
        <v>194.89428586922099</v>
      </c>
      <c r="X30">
        <f>IF(H30="*","*",IF(_xlfn.XLOOKUP($H30,'TRA TECH'!$J:$J,'TRA TECH'!AA:AA)="","",_xlfn.XLOOKUP($H30,'TRA TECH'!$J:$J,'TRA TECH'!AA:AA)))</f>
        <v>194.1829928550998</v>
      </c>
      <c r="Y30">
        <f>IF(H30="*","*",IF(_xlfn.XLOOKUP($H30,'TRA TECH'!$J:$J,'TRA TECH'!AB:AB)="","",_xlfn.XLOOKUP($H30,'TRA TECH'!$J:$J,'TRA TECH'!AB:AB)))</f>
        <v>194.1829928550998</v>
      </c>
      <c r="Z30">
        <f>IF(H30="*","*",IF(_xlfn.XLOOKUP($H30,'TRA TECH'!$J:$J,'TRA TECH'!AC:AC)="","",_xlfn.XLOOKUP($H30,'TRA TECH'!$J:$J,'TRA TECH'!AC:AC)))</f>
        <v>193.47169984097849</v>
      </c>
      <c r="AA30">
        <f>IF(H30="*","*",IF(_xlfn.XLOOKUP($H30,'TRA TECH'!$J:$J,'TRA TECH'!AD:AD)="","",_xlfn.XLOOKUP($H30,'TRA TECH'!$J:$J,'TRA TECH'!AD:AD)))</f>
        <v>193.47169984097849</v>
      </c>
      <c r="AB30">
        <f t="shared" si="3"/>
        <v>193.47169984097849</v>
      </c>
      <c r="AC30" s="15">
        <f>IF(H30="*","*",IF(_xlfn.XLOOKUP($H30,'TRA TECH'!$J:$J,'TRA TECH'!AE:AE)="","",_xlfn.XLOOKUP($H30,'TRA TECH'!$J:$J,'TRA TECH'!AE:AE)))</f>
        <v>5.2309412939394688</v>
      </c>
      <c r="AD30" s="15">
        <f>IF(H30="*","*",IF(_xlfn.XLOOKUP($H30,'TRA TECH'!$J:$J,'TRA TECH'!AF:AF)="","",_xlfn.XLOOKUP($H30,'TRA TECH'!$J:$J,'TRA TECH'!AF:AF)))</f>
        <v>5.2309412939394688</v>
      </c>
      <c r="AE30" s="15">
        <f>IF(H30="*","*",IF(_xlfn.XLOOKUP($H30,'TRA TECH'!$J:$J,'TRA TECH'!AG:AG)="","",_xlfn.XLOOKUP($H30,'TRA TECH'!$J:$J,'TRA TECH'!AG:AG)))</f>
        <v>5.2309412939394688</v>
      </c>
      <c r="AF30" s="15">
        <f>IF(H30="*","*",IF(_xlfn.XLOOKUP($H30,'TRA TECH'!$J:$J,'TRA TECH'!AH:AH)="","",_xlfn.XLOOKUP($H30,'TRA TECH'!$J:$J,'TRA TECH'!AH:AH)))</f>
        <v>5.2309412939394688</v>
      </c>
      <c r="AG30" s="15">
        <f>IF(H30="*","*",IF(_xlfn.XLOOKUP($H30,'TRA TECH'!$J:$J,'TRA TECH'!AI:AI)="","",_xlfn.XLOOKUP($H30,'TRA TECH'!$J:$J,'TRA TECH'!AI:AI)))</f>
        <v>5.2309412939394688</v>
      </c>
      <c r="AH30" s="15">
        <f>IF(H30="*","*",IF(_xlfn.XLOOKUP($H30,'TRA TECH'!$J:$J,'TRA TECH'!AJ:AJ)="","",_xlfn.XLOOKUP($H30,'TRA TECH'!$J:$J,'TRA TECH'!AJ:AJ)))</f>
        <v>5.2309412939394688</v>
      </c>
      <c r="AI30" s="15">
        <f>IF(H30="*","*",IF(_xlfn.XLOOKUP($H30,'TRA TECH'!$J:$J,'TRA TECH'!AK:AK)="","",_xlfn.XLOOKUP($H30,'TRA TECH'!$J:$J,'TRA TECH'!AK:AK)))</f>
        <v>5.2309412939394688</v>
      </c>
      <c r="AJ30" s="15">
        <f t="shared" si="4"/>
        <v>5.2309412939394688</v>
      </c>
      <c r="AK30" s="16">
        <f t="shared" si="5"/>
        <v>0.3</v>
      </c>
    </row>
    <row r="31" spans="2:37" x14ac:dyDescent="0.25">
      <c r="B31" t="str">
        <f>IF('TRA TECH'!M27=0,"*",IF('TRA TECH'!H27="","*",'TRA TECH'!J27))</f>
        <v>TRAPASCARICEVCNG20</v>
      </c>
      <c r="C31" t="str">
        <f>IF('TRA TECH'!M27=0,"*",'TRA TECH'!H27)</f>
        <v>TRARNG</v>
      </c>
      <c r="D31" t="s">
        <v>424</v>
      </c>
      <c r="E31" s="9">
        <f>'TRA TECH'!P27</f>
        <v>1</v>
      </c>
      <c r="H31" t="str">
        <f>IF('TRA TECH'!M27=1,IF('TRA TECH'!L27=1,'TRA TECH'!J27,"*"),"*")</f>
        <v>*</v>
      </c>
      <c r="I31" t="str">
        <f>IF(H31="*","*",_xlfn.XLOOKUP(H31,'TRA TECH'!J:J,'TRA TECH'!I:I))</f>
        <v>*</v>
      </c>
      <c r="J31" t="str">
        <f>IF(H31="*","*",_xlfn.XLOOKUP(H31,'TRA TECH'!J:J,'TRA TECH'!N:N))</f>
        <v>*</v>
      </c>
      <c r="K31" s="15" t="str">
        <f>IF(H31="*","*",IF(_xlfn.XLOOKUP(H31,'TRA TECH'!J:J,'TRA TECH'!O:O)="","",_xlfn.XLOOKUP(H31,'TRA TECH'!J:J,'TRA TECH'!O:O)))</f>
        <v>*</v>
      </c>
      <c r="L31" t="str">
        <f t="shared" si="1"/>
        <v>*</v>
      </c>
      <c r="M31" t="str">
        <f>IF(H31="*","*",IF(_xlfn.XLOOKUP($H31,'TRA TECH'!$J:$J,'TRA TECH'!Q:Q)="","",_xlfn.XLOOKUP($H31,'TRA TECH'!$J:$J,'TRA TECH'!Q:Q)))</f>
        <v>*</v>
      </c>
      <c r="N31" t="str">
        <f>IF(H31="*","*",IF(_xlfn.XLOOKUP($H31,'TRA TECH'!$J:$J,'TRA TECH'!R:R)="","",_xlfn.XLOOKUP($H31,'TRA TECH'!$J:$J,'TRA TECH'!R:R)))</f>
        <v>*</v>
      </c>
      <c r="O31" t="str">
        <f>IF(H31="*","*",IF(_xlfn.XLOOKUP($H31,'TRA TECH'!$J:$J,'TRA TECH'!S:S)="","",_xlfn.XLOOKUP($H31,'TRA TECH'!$J:$J,'TRA TECH'!S:S)))</f>
        <v>*</v>
      </c>
      <c r="P31" t="str">
        <f>IF(H31="*","*",IF(_xlfn.XLOOKUP($H31,'TRA TECH'!$J:$J,'TRA TECH'!T:T)="","",_xlfn.XLOOKUP($H31,'TRA TECH'!$J:$J,'TRA TECH'!T:T)))</f>
        <v>*</v>
      </c>
      <c r="Q31" t="str">
        <f>IF(H31="*","*",IF(_xlfn.XLOOKUP($H31,'TRA TECH'!$J:$J,'TRA TECH'!U:U)="","",_xlfn.XLOOKUP($H31,'TRA TECH'!$J:$J,'TRA TECH'!U:U)))</f>
        <v>*</v>
      </c>
      <c r="R31" t="str">
        <f>IF(H31="*","*",IF(_xlfn.XLOOKUP($H31,'TRA TECH'!$J:$J,'TRA TECH'!V:V)="","",_xlfn.XLOOKUP($H31,'TRA TECH'!$J:$J,'TRA TECH'!V:V)))</f>
        <v>*</v>
      </c>
      <c r="S31" t="str">
        <f>IF(H31="*","*",IF(_xlfn.XLOOKUP($H31,'TRA TECH'!$J:$J,'TRA TECH'!W:W)="","",_xlfn.XLOOKUP($H31,'TRA TECH'!$J:$J,'TRA TECH'!W:W)))</f>
        <v>*</v>
      </c>
      <c r="T31" t="str">
        <f t="shared" si="2"/>
        <v>*</v>
      </c>
      <c r="U31" t="str">
        <f>IF(H31="*","*",IF(_xlfn.XLOOKUP($H31,'TRA TECH'!$J:$J,'TRA TECH'!X:X)="","",_xlfn.XLOOKUP($H31,'TRA TECH'!$J:$J,'TRA TECH'!X:X)))</f>
        <v>*</v>
      </c>
      <c r="V31" t="str">
        <f>IF(H31="*","*",IF(_xlfn.XLOOKUP($H31,'TRA TECH'!$J:$J,'TRA TECH'!Y:Y)="","",_xlfn.XLOOKUP($H31,'TRA TECH'!$J:$J,'TRA TECH'!Y:Y)))</f>
        <v>*</v>
      </c>
      <c r="W31" t="str">
        <f>IF(H31="*","*",IF(_xlfn.XLOOKUP($H31,'TRA TECH'!$J:$J,'TRA TECH'!Z:Z)="","",_xlfn.XLOOKUP($H31,'TRA TECH'!$J:$J,'TRA TECH'!Z:Z)))</f>
        <v>*</v>
      </c>
      <c r="X31" t="str">
        <f>IF(H31="*","*",IF(_xlfn.XLOOKUP($H31,'TRA TECH'!$J:$J,'TRA TECH'!AA:AA)="","",_xlfn.XLOOKUP($H31,'TRA TECH'!$J:$J,'TRA TECH'!AA:AA)))</f>
        <v>*</v>
      </c>
      <c r="Y31" t="str">
        <f>IF(H31="*","*",IF(_xlfn.XLOOKUP($H31,'TRA TECH'!$J:$J,'TRA TECH'!AB:AB)="","",_xlfn.XLOOKUP($H31,'TRA TECH'!$J:$J,'TRA TECH'!AB:AB)))</f>
        <v>*</v>
      </c>
      <c r="Z31" t="str">
        <f>IF(H31="*","*",IF(_xlfn.XLOOKUP($H31,'TRA TECH'!$J:$J,'TRA TECH'!AC:AC)="","",_xlfn.XLOOKUP($H31,'TRA TECH'!$J:$J,'TRA TECH'!AC:AC)))</f>
        <v>*</v>
      </c>
      <c r="AA31" t="str">
        <f>IF(H31="*","*",IF(_xlfn.XLOOKUP($H31,'TRA TECH'!$J:$J,'TRA TECH'!AD:AD)="","",_xlfn.XLOOKUP($H31,'TRA TECH'!$J:$J,'TRA TECH'!AD:AD)))</f>
        <v>*</v>
      </c>
      <c r="AB31" t="str">
        <f t="shared" si="3"/>
        <v>*</v>
      </c>
      <c r="AC31" s="15" t="str">
        <f>IF(H31="*","*",IF(_xlfn.XLOOKUP($H31,'TRA TECH'!$J:$J,'TRA TECH'!AE:AE)="","",_xlfn.XLOOKUP($H31,'TRA TECH'!$J:$J,'TRA TECH'!AE:AE)))</f>
        <v>*</v>
      </c>
      <c r="AD31" s="15" t="str">
        <f>IF(H31="*","*",IF(_xlfn.XLOOKUP($H31,'TRA TECH'!$J:$J,'TRA TECH'!AF:AF)="","",_xlfn.XLOOKUP($H31,'TRA TECH'!$J:$J,'TRA TECH'!AF:AF)))</f>
        <v>*</v>
      </c>
      <c r="AE31" s="15" t="str">
        <f>IF(H31="*","*",IF(_xlfn.XLOOKUP($H31,'TRA TECH'!$J:$J,'TRA TECH'!AG:AG)="","",_xlfn.XLOOKUP($H31,'TRA TECH'!$J:$J,'TRA TECH'!AG:AG)))</f>
        <v>*</v>
      </c>
      <c r="AF31" s="15" t="str">
        <f>IF(H31="*","*",IF(_xlfn.XLOOKUP($H31,'TRA TECH'!$J:$J,'TRA TECH'!AH:AH)="","",_xlfn.XLOOKUP($H31,'TRA TECH'!$J:$J,'TRA TECH'!AH:AH)))</f>
        <v>*</v>
      </c>
      <c r="AG31" s="15" t="str">
        <f>IF(H31="*","*",IF(_xlfn.XLOOKUP($H31,'TRA TECH'!$J:$J,'TRA TECH'!AI:AI)="","",_xlfn.XLOOKUP($H31,'TRA TECH'!$J:$J,'TRA TECH'!AI:AI)))</f>
        <v>*</v>
      </c>
      <c r="AH31" s="15" t="str">
        <f>IF(H31="*","*",IF(_xlfn.XLOOKUP($H31,'TRA TECH'!$J:$J,'TRA TECH'!AJ:AJ)="","",_xlfn.XLOOKUP($H31,'TRA TECH'!$J:$J,'TRA TECH'!AJ:AJ)))</f>
        <v>*</v>
      </c>
      <c r="AI31" s="15" t="str">
        <f>IF(H31="*","*",IF(_xlfn.XLOOKUP($H31,'TRA TECH'!$J:$J,'TRA TECH'!AK:AK)="","",_xlfn.XLOOKUP($H31,'TRA TECH'!$J:$J,'TRA TECH'!AK:AK)))</f>
        <v>*</v>
      </c>
      <c r="AJ31" s="15" t="str">
        <f t="shared" si="4"/>
        <v>*</v>
      </c>
      <c r="AK31" s="16" t="str">
        <f t="shared" si="5"/>
        <v>*</v>
      </c>
    </row>
    <row r="32" spans="2:37" x14ac:dyDescent="0.25">
      <c r="B32" t="str">
        <f>IF('TRA TECH'!M28=0,"*",IF('TRA TECH'!H28="","*",'TRA TECH'!J28))</f>
        <v>TRAPASCAR300FCEV20</v>
      </c>
      <c r="C32" t="str">
        <f>IF('TRA TECH'!M28=0,"*",'TRA TECH'!H28)</f>
        <v>TRAH2G</v>
      </c>
      <c r="D32" t="s">
        <v>424</v>
      </c>
      <c r="E32" s="9">
        <f>'TRA TECH'!P28</f>
        <v>1</v>
      </c>
      <c r="H32" t="str">
        <f>IF('TRA TECH'!M28=1,IF('TRA TECH'!L28=1,'TRA TECH'!J28,"*"),"*")</f>
        <v>TRAPASCAR300FCEV20</v>
      </c>
      <c r="I32" t="str">
        <f>IF(H32="*","*",_xlfn.XLOOKUP(H32,'TRA TECH'!J:J,'TRA TECH'!I:I))</f>
        <v>TRAPASCARDMD</v>
      </c>
      <c r="J32">
        <f>IF(H32="*","*",_xlfn.XLOOKUP(H32,'TRA TECH'!J:J,'TRA TECH'!N:N))</f>
        <v>2020</v>
      </c>
      <c r="K32" s="15">
        <f>IF(H32="*","*",IF(_xlfn.XLOOKUP(H32,'TRA TECH'!J:J,'TRA TECH'!O:O)="","",_xlfn.XLOOKUP(H32,'TRA TECH'!J:J,'TRA TECH'!O:O)))</f>
        <v>16.861273869240819</v>
      </c>
      <c r="L32">
        <f t="shared" si="1"/>
        <v>1</v>
      </c>
      <c r="M32">
        <f>IF(H32="*","*",IF(_xlfn.XLOOKUP($H32,'TRA TECH'!$J:$J,'TRA TECH'!Q:Q)="","",_xlfn.XLOOKUP($H32,'TRA TECH'!$J:$J,'TRA TECH'!Q:Q)))</f>
        <v>0.95775335311572685</v>
      </c>
      <c r="N32">
        <f>IF(H32="*","*",IF(_xlfn.XLOOKUP($H32,'TRA TECH'!$J:$J,'TRA TECH'!R:R)="","",_xlfn.XLOOKUP($H32,'TRA TECH'!$J:$J,'TRA TECH'!R:R)))</f>
        <v>0.99290635014836748</v>
      </c>
      <c r="O32">
        <f>IF(H32="*","*",IF(_xlfn.XLOOKUP($H32,'TRA TECH'!$J:$J,'TRA TECH'!S:S)="","",_xlfn.XLOOKUP($H32,'TRA TECH'!$J:$J,'TRA TECH'!S:S)))</f>
        <v>1.0134675370919879</v>
      </c>
      <c r="P32">
        <f>IF(H32="*","*",IF(_xlfn.XLOOKUP($H32,'TRA TECH'!$J:$J,'TRA TECH'!T:T)="","",_xlfn.XLOOKUP($H32,'TRA TECH'!$J:$J,'TRA TECH'!T:T)))</f>
        <v>1.082447002967359</v>
      </c>
      <c r="Q32">
        <f>IF(H32="*","*",IF(_xlfn.XLOOKUP($H32,'TRA TECH'!$J:$J,'TRA TECH'!U:U)="","",_xlfn.XLOOKUP($H32,'TRA TECH'!$J:$J,'TRA TECH'!U:U)))</f>
        <v>1.1096408308605341</v>
      </c>
      <c r="R32">
        <f>IF(H32="*","*",IF(_xlfn.XLOOKUP($H32,'TRA TECH'!$J:$J,'TRA TECH'!V:V)="","",_xlfn.XLOOKUP($H32,'TRA TECH'!$J:$J,'TRA TECH'!V:V)))</f>
        <v>1.137497922848665</v>
      </c>
      <c r="S32">
        <f>IF(H32="*","*",IF(_xlfn.XLOOKUP($H32,'TRA TECH'!$J:$J,'TRA TECH'!W:W)="","",_xlfn.XLOOKUP($H32,'TRA TECH'!$J:$J,'TRA TECH'!W:W)))</f>
        <v>1.164028486646884</v>
      </c>
      <c r="T32">
        <f t="shared" si="2"/>
        <v>1.164028486646884</v>
      </c>
      <c r="U32">
        <f>IF(H32="*","*",IF(_xlfn.XLOOKUP($H32,'TRA TECH'!$J:$J,'TRA TECH'!X:X)="","",_xlfn.XLOOKUP($H32,'TRA TECH'!$J:$J,'TRA TECH'!X:X)))</f>
        <v>219.78954136346459</v>
      </c>
      <c r="V32">
        <f>IF(H32="*","*",IF(_xlfn.XLOOKUP($H32,'TRA TECH'!$J:$J,'TRA TECH'!Y:Y)="","",_xlfn.XLOOKUP($H32,'TRA TECH'!$J:$J,'TRA TECH'!Y:Y)))</f>
        <v>202.71850902455481</v>
      </c>
      <c r="W32">
        <f>IF(H32="*","*",IF(_xlfn.XLOOKUP($H32,'TRA TECH'!$J:$J,'TRA TECH'!Z:Z)="","",_xlfn.XLOOKUP($H32,'TRA TECH'!$J:$J,'TRA TECH'!Z:Z)))</f>
        <v>188.13700223506919</v>
      </c>
      <c r="X32">
        <f>IF(H32="*","*",IF(_xlfn.XLOOKUP($H32,'TRA TECH'!$J:$J,'TRA TECH'!AA:AA)="","",_xlfn.XLOOKUP($H32,'TRA TECH'!$J:$J,'TRA TECH'!AA:AA)))</f>
        <v>170.35467688203809</v>
      </c>
      <c r="Y32">
        <f>IF(H32="*","*",IF(_xlfn.XLOOKUP($H32,'TRA TECH'!$J:$J,'TRA TECH'!AB:AB)="","",_xlfn.XLOOKUP($H32,'TRA TECH'!$J:$J,'TRA TECH'!AB:AB)))</f>
        <v>165.73127229024999</v>
      </c>
      <c r="Z32">
        <f>IF(H32="*","*",IF(_xlfn.XLOOKUP($H32,'TRA TECH'!$J:$J,'TRA TECH'!AC:AC)="","",_xlfn.XLOOKUP($H32,'TRA TECH'!$J:$J,'TRA TECH'!AC:AC)))</f>
        <v>161.10786769846189</v>
      </c>
      <c r="AA32">
        <f>IF(H32="*","*",IF(_xlfn.XLOOKUP($H32,'TRA TECH'!$J:$J,'TRA TECH'!AD:AD)="","",_xlfn.XLOOKUP($H32,'TRA TECH'!$J:$J,'TRA TECH'!AD:AD)))</f>
        <v>156.48446310667379</v>
      </c>
      <c r="AB32">
        <f t="shared" si="3"/>
        <v>156.48446310667379</v>
      </c>
      <c r="AC32" s="15">
        <f>IF(H32="*","*",IF(_xlfn.XLOOKUP($H32,'TRA TECH'!$J:$J,'TRA TECH'!AE:AE)="","",_xlfn.XLOOKUP($H32,'TRA TECH'!$J:$J,'TRA TECH'!AE:AE)))</f>
        <v>3.7966509391496128</v>
      </c>
      <c r="AD32" s="15">
        <f>IF(H32="*","*",IF(_xlfn.XLOOKUP($H32,'TRA TECH'!$J:$J,'TRA TECH'!AF:AF)="","",_xlfn.XLOOKUP($H32,'TRA TECH'!$J:$J,'TRA TECH'!AF:AF)))</f>
        <v>3.7966509391496128</v>
      </c>
      <c r="AE32" s="15">
        <f>IF(H32="*","*",IF(_xlfn.XLOOKUP($H32,'TRA TECH'!$J:$J,'TRA TECH'!AG:AG)="","",_xlfn.XLOOKUP($H32,'TRA TECH'!$J:$J,'TRA TECH'!AG:AG)))</f>
        <v>3.7966509391496128</v>
      </c>
      <c r="AF32" s="15">
        <f>IF(H32="*","*",IF(_xlfn.XLOOKUP($H32,'TRA TECH'!$J:$J,'TRA TECH'!AH:AH)="","",_xlfn.XLOOKUP($H32,'TRA TECH'!$J:$J,'TRA TECH'!AH:AH)))</f>
        <v>3.7966509391496128</v>
      </c>
      <c r="AG32" s="15">
        <f>IF(H32="*","*",IF(_xlfn.XLOOKUP($H32,'TRA TECH'!$J:$J,'TRA TECH'!AI:AI)="","",_xlfn.XLOOKUP($H32,'TRA TECH'!$J:$J,'TRA TECH'!AI:AI)))</f>
        <v>3.7966509391496128</v>
      </c>
      <c r="AH32" s="15">
        <f>IF(H32="*","*",IF(_xlfn.XLOOKUP($H32,'TRA TECH'!$J:$J,'TRA TECH'!AJ:AJ)="","",_xlfn.XLOOKUP($H32,'TRA TECH'!$J:$J,'TRA TECH'!AJ:AJ)))</f>
        <v>3.7966509391496128</v>
      </c>
      <c r="AI32" s="15">
        <f>IF(H32="*","*",IF(_xlfn.XLOOKUP($H32,'TRA TECH'!$J:$J,'TRA TECH'!AK:AK)="","",_xlfn.XLOOKUP($H32,'TRA TECH'!$J:$J,'TRA TECH'!AK:AK)))</f>
        <v>3.7966509391496128</v>
      </c>
      <c r="AJ32" s="15">
        <f t="shared" si="4"/>
        <v>3.7966509391496128</v>
      </c>
      <c r="AK32" s="16">
        <f t="shared" si="5"/>
        <v>0.4</v>
      </c>
    </row>
    <row r="33" spans="2:37" x14ac:dyDescent="0.25">
      <c r="B33" t="str">
        <f>IF('TRA TECH'!M29=0,"*",IF('TRA TECH'!H29="","*",'TRA TECH'!J29))</f>
        <v>TRAPASCAR400FCEV20</v>
      </c>
      <c r="C33" t="str">
        <f>IF('TRA TECH'!M29=0,"*",'TRA TECH'!H29)</f>
        <v>TRAH2G</v>
      </c>
      <c r="D33" t="s">
        <v>424</v>
      </c>
      <c r="E33" s="9">
        <f>'TRA TECH'!P29</f>
        <v>1</v>
      </c>
      <c r="H33" t="str">
        <f>IF('TRA TECH'!M29=1,IF('TRA TECH'!L29=1,'TRA TECH'!J29,"*"),"*")</f>
        <v>TRAPASCAR400FCEV20</v>
      </c>
      <c r="I33" t="str">
        <f>IF(H33="*","*",_xlfn.XLOOKUP(H33,'TRA TECH'!J:J,'TRA TECH'!I:I))</f>
        <v>TRAPASCARDMD</v>
      </c>
      <c r="J33">
        <f>IF(H33="*","*",_xlfn.XLOOKUP(H33,'TRA TECH'!J:J,'TRA TECH'!N:N))</f>
        <v>2020</v>
      </c>
      <c r="K33" s="15">
        <f>IF(H33="*","*",IF(_xlfn.XLOOKUP(H33,'TRA TECH'!J:J,'TRA TECH'!O:O)="","",_xlfn.XLOOKUP(H33,'TRA TECH'!J:J,'TRA TECH'!O:O)))</f>
        <v>16.861273869240819</v>
      </c>
      <c r="L33">
        <f t="shared" si="1"/>
        <v>1</v>
      </c>
      <c r="M33">
        <f>IF(H33="*","*",IF(_xlfn.XLOOKUP($H33,'TRA TECH'!$J:$J,'TRA TECH'!Q:Q)="","",_xlfn.XLOOKUP($H33,'TRA TECH'!$J:$J,'TRA TECH'!Q:Q)))</f>
        <v>0.94647786350148322</v>
      </c>
      <c r="N33">
        <f>IF(H33="*","*",IF(_xlfn.XLOOKUP($H33,'TRA TECH'!$J:$J,'TRA TECH'!R:R)="","",_xlfn.XLOOKUP($H33,'TRA TECH'!$J:$J,'TRA TECH'!R:R)))</f>
        <v>0.98030433234421377</v>
      </c>
      <c r="O33">
        <f>IF(H33="*","*",IF(_xlfn.XLOOKUP($H33,'TRA TECH'!$J:$J,'TRA TECH'!S:S)="","",_xlfn.XLOOKUP($H33,'TRA TECH'!$J:$J,'TRA TECH'!S:S)))</f>
        <v>1.000865519287834</v>
      </c>
      <c r="P33">
        <f>IF(H33="*","*",IF(_xlfn.XLOOKUP($H33,'TRA TECH'!$J:$J,'TRA TECH'!T:T)="","",_xlfn.XLOOKUP($H33,'TRA TECH'!$J:$J,'TRA TECH'!T:T)))</f>
        <v>1.069844985163205</v>
      </c>
      <c r="Q33">
        <f>IF(H33="*","*",IF(_xlfn.XLOOKUP($H33,'TRA TECH'!$J:$J,'TRA TECH'!U:U)="","",_xlfn.XLOOKUP($H33,'TRA TECH'!$J:$J,'TRA TECH'!U:U)))</f>
        <v>1.096375548961424</v>
      </c>
      <c r="R33">
        <f>IF(H33="*","*",IF(_xlfn.XLOOKUP($H33,'TRA TECH'!$J:$J,'TRA TECH'!V:V)="","",_xlfn.XLOOKUP($H33,'TRA TECH'!$J:$J,'TRA TECH'!V:V)))</f>
        <v>1.1235693768546</v>
      </c>
      <c r="S33">
        <f>IF(H33="*","*",IF(_xlfn.XLOOKUP($H33,'TRA TECH'!$J:$J,'TRA TECH'!W:W)="","",_xlfn.XLOOKUP($H33,'TRA TECH'!$J:$J,'TRA TECH'!W:W)))</f>
        <v>1.150099940652819</v>
      </c>
      <c r="T33">
        <f t="shared" si="2"/>
        <v>1.150099940652819</v>
      </c>
      <c r="U33">
        <f>IF(H33="*","*",IF(_xlfn.XLOOKUP($H33,'TRA TECH'!$J:$J,'TRA TECH'!X:X)="","",_xlfn.XLOOKUP($H33,'TRA TECH'!$J:$J,'TRA TECH'!X:X)))</f>
        <v>226.54682499761631</v>
      </c>
      <c r="V33">
        <f>IF(H33="*","*",IF(_xlfn.XLOOKUP($H33,'TRA TECH'!$J:$J,'TRA TECH'!Y:Y)="","",_xlfn.XLOOKUP($H33,'TRA TECH'!$J:$J,'TRA TECH'!Y:Y)))</f>
        <v>208.76449964458519</v>
      </c>
      <c r="W33">
        <f>IF(H33="*","*",IF(_xlfn.XLOOKUP($H33,'TRA TECH'!$J:$J,'TRA TECH'!Z:Z)="","",_xlfn.XLOOKUP($H33,'TRA TECH'!$J:$J,'TRA TECH'!Z:Z)))</f>
        <v>193.82734634803921</v>
      </c>
      <c r="X33">
        <f>IF(H33="*","*",IF(_xlfn.XLOOKUP($H33,'TRA TECH'!$J:$J,'TRA TECH'!AA:AA)="","",_xlfn.XLOOKUP($H33,'TRA TECH'!$J:$J,'TRA TECH'!AA:AA)))</f>
        <v>174.97808147382619</v>
      </c>
      <c r="Y33">
        <f>IF(H33="*","*",IF(_xlfn.XLOOKUP($H33,'TRA TECH'!$J:$J,'TRA TECH'!AB:AB)="","",_xlfn.XLOOKUP($H33,'TRA TECH'!$J:$J,'TRA TECH'!AB:AB)))</f>
        <v>170.35467688203809</v>
      </c>
      <c r="Z33">
        <f>IF(H33="*","*",IF(_xlfn.XLOOKUP($H33,'TRA TECH'!$J:$J,'TRA TECH'!AC:AC)="","",_xlfn.XLOOKUP($H33,'TRA TECH'!$J:$J,'TRA TECH'!AC:AC)))</f>
        <v>165.73127229024999</v>
      </c>
      <c r="AA33">
        <f>IF(H33="*","*",IF(_xlfn.XLOOKUP($H33,'TRA TECH'!$J:$J,'TRA TECH'!AD:AD)="","",_xlfn.XLOOKUP($H33,'TRA TECH'!$J:$J,'TRA TECH'!AD:AD)))</f>
        <v>161.10786769846189</v>
      </c>
      <c r="AB33">
        <f t="shared" si="3"/>
        <v>161.10786769846189</v>
      </c>
      <c r="AC33" s="15">
        <f>IF(H33="*","*",IF(_xlfn.XLOOKUP($H33,'TRA TECH'!$J:$J,'TRA TECH'!AE:AE)="","",_xlfn.XLOOKUP($H33,'TRA TECH'!$J:$J,'TRA TECH'!AE:AE)))</f>
        <v>3.7966509391496128</v>
      </c>
      <c r="AD33" s="15">
        <f>IF(H33="*","*",IF(_xlfn.XLOOKUP($H33,'TRA TECH'!$J:$J,'TRA TECH'!AF:AF)="","",_xlfn.XLOOKUP($H33,'TRA TECH'!$J:$J,'TRA TECH'!AF:AF)))</f>
        <v>3.7966509391496128</v>
      </c>
      <c r="AE33" s="15">
        <f>IF(H33="*","*",IF(_xlfn.XLOOKUP($H33,'TRA TECH'!$J:$J,'TRA TECH'!AG:AG)="","",_xlfn.XLOOKUP($H33,'TRA TECH'!$J:$J,'TRA TECH'!AG:AG)))</f>
        <v>3.7966509391496128</v>
      </c>
      <c r="AF33" s="15">
        <f>IF(H33="*","*",IF(_xlfn.XLOOKUP($H33,'TRA TECH'!$J:$J,'TRA TECH'!AH:AH)="","",_xlfn.XLOOKUP($H33,'TRA TECH'!$J:$J,'TRA TECH'!AH:AH)))</f>
        <v>3.7966509391496128</v>
      </c>
      <c r="AG33" s="15">
        <f>IF(H33="*","*",IF(_xlfn.XLOOKUP($H33,'TRA TECH'!$J:$J,'TRA TECH'!AI:AI)="","",_xlfn.XLOOKUP($H33,'TRA TECH'!$J:$J,'TRA TECH'!AI:AI)))</f>
        <v>3.7966509391496128</v>
      </c>
      <c r="AH33" s="15">
        <f>IF(H33="*","*",IF(_xlfn.XLOOKUP($H33,'TRA TECH'!$J:$J,'TRA TECH'!AJ:AJ)="","",_xlfn.XLOOKUP($H33,'TRA TECH'!$J:$J,'TRA TECH'!AJ:AJ)))</f>
        <v>3.7966509391496128</v>
      </c>
      <c r="AI33" s="15">
        <f>IF(H33="*","*",IF(_xlfn.XLOOKUP($H33,'TRA TECH'!$J:$J,'TRA TECH'!AK:AK)="","",_xlfn.XLOOKUP($H33,'TRA TECH'!$J:$J,'TRA TECH'!AK:AK)))</f>
        <v>3.7966509391496128</v>
      </c>
      <c r="AJ33" s="15">
        <f t="shared" si="4"/>
        <v>3.7966509391496128</v>
      </c>
      <c r="AK33" s="16">
        <f t="shared" si="5"/>
        <v>0.4</v>
      </c>
    </row>
    <row r="34" spans="2:37" x14ac:dyDescent="0.25">
      <c r="B34" t="str">
        <f>IF('TRA TECH'!M30=0,"*",IF('TRA TECH'!H30="","*",'TRA TECH'!J30))</f>
        <v>TRAPASCAR200BEV20</v>
      </c>
      <c r="C34" t="str">
        <f>IF('TRA TECH'!M30=0,"*",'TRA TECH'!H30)</f>
        <v>TRABAT</v>
      </c>
      <c r="D34" t="s">
        <v>424</v>
      </c>
      <c r="E34" s="9">
        <f>'TRA TECH'!P30</f>
        <v>1</v>
      </c>
      <c r="H34" t="str">
        <f>IF('TRA TECH'!M30=1,IF('TRA TECH'!L30=1,'TRA TECH'!J30,"*"),"*")</f>
        <v>TRAPASCAR200BEV20</v>
      </c>
      <c r="I34" t="str">
        <f>IF(H34="*","*",_xlfn.XLOOKUP(H34,'TRA TECH'!J:J,'TRA TECH'!I:I))</f>
        <v>TRAPASCARDMD</v>
      </c>
      <c r="J34">
        <f>IF(H34="*","*",_xlfn.XLOOKUP(H34,'TRA TECH'!J:J,'TRA TECH'!N:N))</f>
        <v>2020</v>
      </c>
      <c r="K34" s="15">
        <f>IF(H34="*","*",IF(_xlfn.XLOOKUP(H34,'TRA TECH'!J:J,'TRA TECH'!O:O)="","",_xlfn.XLOOKUP(H34,'TRA TECH'!J:J,'TRA TECH'!O:O)))</f>
        <v>16.861273869240819</v>
      </c>
      <c r="L34">
        <f t="shared" si="1"/>
        <v>1</v>
      </c>
      <c r="M34">
        <f>IF(H34="*","*",IF(_xlfn.XLOOKUP($H34,'TRA TECH'!$J:$J,'TRA TECH'!Q:Q)="","",_xlfn.XLOOKUP($H34,'TRA TECH'!$J:$J,'TRA TECH'!Q:Q)))</f>
        <v>2.0892818991097921</v>
      </c>
      <c r="N34">
        <f>IF(H34="*","*",IF(_xlfn.XLOOKUP($H34,'TRA TECH'!$J:$J,'TRA TECH'!R:R)="","",_xlfn.XLOOKUP($H34,'TRA TECH'!$J:$J,'TRA TECH'!R:R)))</f>
        <v>2.1821388724035611</v>
      </c>
      <c r="O34">
        <f>IF(H34="*","*",IF(_xlfn.XLOOKUP($H34,'TRA TECH'!$J:$J,'TRA TECH'!S:S)="","",_xlfn.XLOOKUP($H34,'TRA TECH'!$J:$J,'TRA TECH'!S:S)))</f>
        <v>2.2285673590504449</v>
      </c>
      <c r="P34">
        <f>IF(H34="*","*",IF(_xlfn.XLOOKUP($H34,'TRA TECH'!$J:$J,'TRA TECH'!T:T)="","",_xlfn.XLOOKUP($H34,'TRA TECH'!$J:$J,'TRA TECH'!T:T)))</f>
        <v>2.4275465875370918</v>
      </c>
      <c r="Q34">
        <f>IF(H34="*","*",IF(_xlfn.XLOOKUP($H34,'TRA TECH'!$J:$J,'TRA TECH'!U:U)="","",_xlfn.XLOOKUP($H34,'TRA TECH'!$J:$J,'TRA TECH'!U:U)))</f>
        <v>2.5071382789317509</v>
      </c>
      <c r="R34">
        <f>IF(H34="*","*",IF(_xlfn.XLOOKUP($H34,'TRA TECH'!$J:$J,'TRA TECH'!V:V)="","",_xlfn.XLOOKUP($H34,'TRA TECH'!$J:$J,'TRA TECH'!V:V)))</f>
        <v>2.593362611275964</v>
      </c>
      <c r="S34">
        <f>IF(H34="*","*",IF(_xlfn.XLOOKUP($H34,'TRA TECH'!$J:$J,'TRA TECH'!W:W)="","",_xlfn.XLOOKUP($H34,'TRA TECH'!$J:$J,'TRA TECH'!W:W)))</f>
        <v>2.686219584569733</v>
      </c>
      <c r="T34">
        <f t="shared" si="2"/>
        <v>2.686219584569733</v>
      </c>
      <c r="U34">
        <f>IF(H34="*","*",IF(_xlfn.XLOOKUP($H34,'TRA TECH'!$J:$J,'TRA TECH'!X:X)="","",_xlfn.XLOOKUP($H34,'TRA TECH'!$J:$J,'TRA TECH'!X:X)))</f>
        <v>174.62243496676561</v>
      </c>
      <c r="V34">
        <f>IF(H34="*","*",IF(_xlfn.XLOOKUP($H34,'TRA TECH'!$J:$J,'TRA TECH'!Y:Y)="","",_xlfn.XLOOKUP($H34,'TRA TECH'!$J:$J,'TRA TECH'!Y:Y)))</f>
        <v>163.59739324788629</v>
      </c>
      <c r="W34">
        <f>IF(H34="*","*",IF(_xlfn.XLOOKUP($H34,'TRA TECH'!$J:$J,'TRA TECH'!Z:Z)="","",_xlfn.XLOOKUP($H34,'TRA TECH'!$J:$J,'TRA TECH'!Z:Z)))</f>
        <v>147.94894693721889</v>
      </c>
      <c r="X34">
        <f>IF(H34="*","*",IF(_xlfn.XLOOKUP($H34,'TRA TECH'!$J:$J,'TRA TECH'!AA:AA)="","",_xlfn.XLOOKUP($H34,'TRA TECH'!$J:$J,'TRA TECH'!AA:AA)))</f>
        <v>138.70213775364269</v>
      </c>
      <c r="Y34">
        <f>IF(H34="*","*",IF(_xlfn.XLOOKUP($H34,'TRA TECH'!$J:$J,'TRA TECH'!AB:AB)="","",_xlfn.XLOOKUP($H34,'TRA TECH'!$J:$J,'TRA TECH'!AB:AB)))</f>
        <v>134.07873316185459</v>
      </c>
      <c r="Z34">
        <f>IF(H34="*","*",IF(_xlfn.XLOOKUP($H34,'TRA TECH'!$J:$J,'TRA TECH'!AC:AC)="","",_xlfn.XLOOKUP($H34,'TRA TECH'!$J:$J,'TRA TECH'!AC:AC)))</f>
        <v>129.45532857006651</v>
      </c>
      <c r="AA34">
        <f>IF(H34="*","*",IF(_xlfn.XLOOKUP($H34,'TRA TECH'!$J:$J,'TRA TECH'!AD:AD)="","",_xlfn.XLOOKUP($H34,'TRA TECH'!$J:$J,'TRA TECH'!AD:AD)))</f>
        <v>125.18757048533909</v>
      </c>
      <c r="AB34">
        <f t="shared" si="3"/>
        <v>125.18757048533909</v>
      </c>
      <c r="AC34" s="15">
        <f>IF(H34="*","*",IF(_xlfn.XLOOKUP($H34,'TRA TECH'!$J:$J,'TRA TECH'!AE:AE)="","",_xlfn.XLOOKUP($H34,'TRA TECH'!$J:$J,'TRA TECH'!AE:AE)))</f>
        <v>3.5351038744526408</v>
      </c>
      <c r="AD34" s="15">
        <f>IF(H34="*","*",IF(_xlfn.XLOOKUP($H34,'TRA TECH'!$J:$J,'TRA TECH'!AF:AF)="","",_xlfn.XLOOKUP($H34,'TRA TECH'!$J:$J,'TRA TECH'!AF:AF)))</f>
        <v>3.5351038744526408</v>
      </c>
      <c r="AE34" s="15">
        <f>IF(H34="*","*",IF(_xlfn.XLOOKUP($H34,'TRA TECH'!$J:$J,'TRA TECH'!AG:AG)="","",_xlfn.XLOOKUP($H34,'TRA TECH'!$J:$J,'TRA TECH'!AG:AG)))</f>
        <v>3.5351038744526408</v>
      </c>
      <c r="AF34" s="15">
        <f>IF(H34="*","*",IF(_xlfn.XLOOKUP($H34,'TRA TECH'!$J:$J,'TRA TECH'!AH:AH)="","",_xlfn.XLOOKUP($H34,'TRA TECH'!$J:$J,'TRA TECH'!AH:AH)))</f>
        <v>3.5351038744526408</v>
      </c>
      <c r="AG34" s="15">
        <f>IF(H34="*","*",IF(_xlfn.XLOOKUP($H34,'TRA TECH'!$J:$J,'TRA TECH'!AI:AI)="","",_xlfn.XLOOKUP($H34,'TRA TECH'!$J:$J,'TRA TECH'!AI:AI)))</f>
        <v>3.5351038744526408</v>
      </c>
      <c r="AH34" s="15">
        <f>IF(H34="*","*",IF(_xlfn.XLOOKUP($H34,'TRA TECH'!$J:$J,'TRA TECH'!AJ:AJ)="","",_xlfn.XLOOKUP($H34,'TRA TECH'!$J:$J,'TRA TECH'!AJ:AJ)))</f>
        <v>3.5351038744526408</v>
      </c>
      <c r="AI34" s="15">
        <f>IF(H34="*","*",IF(_xlfn.XLOOKUP($H34,'TRA TECH'!$J:$J,'TRA TECH'!AK:AK)="","",_xlfn.XLOOKUP($H34,'TRA TECH'!$J:$J,'TRA TECH'!AK:AK)))</f>
        <v>3.5351038744526408</v>
      </c>
      <c r="AJ34" s="15">
        <f t="shared" si="4"/>
        <v>3.5351038744526408</v>
      </c>
      <c r="AK34" s="16">
        <f t="shared" si="5"/>
        <v>0.4</v>
      </c>
    </row>
    <row r="35" spans="2:37" x14ac:dyDescent="0.25">
      <c r="B35" t="str">
        <f>IF('TRA TECH'!M31=0,"*",IF('TRA TECH'!H31="","*",'TRA TECH'!J31))</f>
        <v>TRAPASCAR300BEV20</v>
      </c>
      <c r="C35" t="str">
        <f>IF('TRA TECH'!M31=0,"*",'TRA TECH'!H31)</f>
        <v>TRABAT</v>
      </c>
      <c r="D35" t="s">
        <v>424</v>
      </c>
      <c r="E35" s="9">
        <f>'TRA TECH'!P31</f>
        <v>1</v>
      </c>
      <c r="H35" t="str">
        <f>IF('TRA TECH'!M31=1,IF('TRA TECH'!L31=1,'TRA TECH'!J31,"*"),"*")</f>
        <v>TRAPASCAR300BEV20</v>
      </c>
      <c r="I35" t="str">
        <f>IF(H35="*","*",_xlfn.XLOOKUP(H35,'TRA TECH'!J:J,'TRA TECH'!I:I))</f>
        <v>TRAPASCARDMD</v>
      </c>
      <c r="J35">
        <f>IF(H35="*","*",_xlfn.XLOOKUP(H35,'TRA TECH'!J:J,'TRA TECH'!N:N))</f>
        <v>2020</v>
      </c>
      <c r="K35" s="15">
        <f>IF(H35="*","*",IF(_xlfn.XLOOKUP(H35,'TRA TECH'!J:J,'TRA TECH'!O:O)="","",_xlfn.XLOOKUP(H35,'TRA TECH'!J:J,'TRA TECH'!O:O)))</f>
        <v>16.861273869240819</v>
      </c>
      <c r="L35">
        <f t="shared" si="1"/>
        <v>1</v>
      </c>
      <c r="M35">
        <f>IF(H35="*","*",IF(_xlfn.XLOOKUP($H35,'TRA TECH'!$J:$J,'TRA TECH'!Q:Q)="","",_xlfn.XLOOKUP($H35,'TRA TECH'!$J:$J,'TRA TECH'!Q:Q)))</f>
        <v>1.9897922848664691</v>
      </c>
      <c r="N35">
        <f>IF(H35="*","*",IF(_xlfn.XLOOKUP($H35,'TRA TECH'!$J:$J,'TRA TECH'!R:R)="","",_xlfn.XLOOKUP($H35,'TRA TECH'!$J:$J,'TRA TECH'!R:R)))</f>
        <v>2.0826492581602372</v>
      </c>
      <c r="O35">
        <f>IF(H35="*","*",IF(_xlfn.XLOOKUP($H35,'TRA TECH'!$J:$J,'TRA TECH'!S:S)="","",_xlfn.XLOOKUP($H35,'TRA TECH'!$J:$J,'TRA TECH'!S:S)))</f>
        <v>2.1489756676557858</v>
      </c>
      <c r="P35">
        <f>IF(H35="*","*",IF(_xlfn.XLOOKUP($H35,'TRA TECH'!$J:$J,'TRA TECH'!T:T)="","",_xlfn.XLOOKUP($H35,'TRA TECH'!$J:$J,'TRA TECH'!T:T)))</f>
        <v>2.3479548961424328</v>
      </c>
      <c r="Q35">
        <f>IF(H35="*","*",IF(_xlfn.XLOOKUP($H35,'TRA TECH'!$J:$J,'TRA TECH'!U:U)="","",_xlfn.XLOOKUP($H35,'TRA TECH'!$J:$J,'TRA TECH'!U:U)))</f>
        <v>2.4275465875370918</v>
      </c>
      <c r="R35">
        <f>IF(H35="*","*",IF(_xlfn.XLOOKUP($H35,'TRA TECH'!$J:$J,'TRA TECH'!V:V)="","",_xlfn.XLOOKUP($H35,'TRA TECH'!$J:$J,'TRA TECH'!V:V)))</f>
        <v>2.5071382789317509</v>
      </c>
      <c r="S35">
        <f>IF(H35="*","*",IF(_xlfn.XLOOKUP($H35,'TRA TECH'!$J:$J,'TRA TECH'!W:W)="","",_xlfn.XLOOKUP($H35,'TRA TECH'!$J:$J,'TRA TECH'!W:W)))</f>
        <v>2.599995252225519</v>
      </c>
      <c r="T35">
        <f t="shared" si="2"/>
        <v>2.599995252225519</v>
      </c>
      <c r="U35">
        <f>IF(H35="*","*",IF(_xlfn.XLOOKUP($H35,'TRA TECH'!$J:$J,'TRA TECH'!X:X)="","",_xlfn.XLOOKUP($H35,'TRA TECH'!$J:$J,'TRA TECH'!X:X)))</f>
        <v>207.69756012340341</v>
      </c>
      <c r="V35">
        <f>IF(H35="*","*",IF(_xlfn.XLOOKUP($H35,'TRA TECH'!$J:$J,'TRA TECH'!Y:Y)="","",_xlfn.XLOOKUP($H35,'TRA TECH'!$J:$J,'TRA TECH'!Y:Y)))</f>
        <v>192.0491138127361</v>
      </c>
      <c r="W35">
        <f>IF(H35="*","*",IF(_xlfn.XLOOKUP($H35,'TRA TECH'!$J:$J,'TRA TECH'!Z:Z)="","",_xlfn.XLOOKUP($H35,'TRA TECH'!$J:$J,'TRA TECH'!Z:Z)))</f>
        <v>169.28773736085631</v>
      </c>
      <c r="X35">
        <f>IF(H35="*","*",IF(_xlfn.XLOOKUP($H35,'TRA TECH'!$J:$J,'TRA TECH'!AA:AA)="","",_xlfn.XLOOKUP($H35,'TRA TECH'!$J:$J,'TRA TECH'!AA:AA)))</f>
        <v>155.77317009255259</v>
      </c>
      <c r="Y35">
        <f>IF(H35="*","*",IF(_xlfn.XLOOKUP($H35,'TRA TECH'!$J:$J,'TRA TECH'!AB:AB)="","",_xlfn.XLOOKUP($H35,'TRA TECH'!$J:$J,'TRA TECH'!AB:AB)))</f>
        <v>149.3715329654614</v>
      </c>
      <c r="Z35">
        <f>IF(H35="*","*",IF(_xlfn.XLOOKUP($H35,'TRA TECH'!$J:$J,'TRA TECH'!AC:AC)="","",_xlfn.XLOOKUP($H35,'TRA TECH'!$J:$J,'TRA TECH'!AC:AC)))</f>
        <v>142.61424933130951</v>
      </c>
      <c r="AA35">
        <f>IF(H35="*","*",IF(_xlfn.XLOOKUP($H35,'TRA TECH'!$J:$J,'TRA TECH'!AD:AD)="","",_xlfn.XLOOKUP($H35,'TRA TECH'!$J:$J,'TRA TECH'!AD:AD)))</f>
        <v>136.21261220421829</v>
      </c>
      <c r="AB35">
        <f t="shared" si="3"/>
        <v>136.21261220421829</v>
      </c>
      <c r="AC35" s="15">
        <f>IF(H35="*","*",IF(_xlfn.XLOOKUP($H35,'TRA TECH'!$J:$J,'TRA TECH'!AE:AE)="","",_xlfn.XLOOKUP($H35,'TRA TECH'!$J:$J,'TRA TECH'!AE:AE)))</f>
        <v>3.5351038744526408</v>
      </c>
      <c r="AD35" s="15">
        <f>IF(H35="*","*",IF(_xlfn.XLOOKUP($H35,'TRA TECH'!$J:$J,'TRA TECH'!AF:AF)="","",_xlfn.XLOOKUP($H35,'TRA TECH'!$J:$J,'TRA TECH'!AF:AF)))</f>
        <v>3.5351038744526408</v>
      </c>
      <c r="AE35" s="15">
        <f>IF(H35="*","*",IF(_xlfn.XLOOKUP($H35,'TRA TECH'!$J:$J,'TRA TECH'!AG:AG)="","",_xlfn.XLOOKUP($H35,'TRA TECH'!$J:$J,'TRA TECH'!AG:AG)))</f>
        <v>3.5351038744526408</v>
      </c>
      <c r="AF35" s="15">
        <f>IF(H35="*","*",IF(_xlfn.XLOOKUP($H35,'TRA TECH'!$J:$J,'TRA TECH'!AH:AH)="","",_xlfn.XLOOKUP($H35,'TRA TECH'!$J:$J,'TRA TECH'!AH:AH)))</f>
        <v>3.5351038744526408</v>
      </c>
      <c r="AG35" s="15">
        <f>IF(H35="*","*",IF(_xlfn.XLOOKUP($H35,'TRA TECH'!$J:$J,'TRA TECH'!AI:AI)="","",_xlfn.XLOOKUP($H35,'TRA TECH'!$J:$J,'TRA TECH'!AI:AI)))</f>
        <v>3.5351038744526408</v>
      </c>
      <c r="AH35" s="15">
        <f>IF(H35="*","*",IF(_xlfn.XLOOKUP($H35,'TRA TECH'!$J:$J,'TRA TECH'!AJ:AJ)="","",_xlfn.XLOOKUP($H35,'TRA TECH'!$J:$J,'TRA TECH'!AJ:AJ)))</f>
        <v>3.5351038744526408</v>
      </c>
      <c r="AI35" s="15">
        <f>IF(H35="*","*",IF(_xlfn.XLOOKUP($H35,'TRA TECH'!$J:$J,'TRA TECH'!AK:AK)="","",_xlfn.XLOOKUP($H35,'TRA TECH'!$J:$J,'TRA TECH'!AK:AK)))</f>
        <v>3.5351038744526408</v>
      </c>
      <c r="AJ35" s="15">
        <f t="shared" si="4"/>
        <v>3.5351038744526408</v>
      </c>
      <c r="AK35" s="16">
        <f t="shared" si="5"/>
        <v>0.4</v>
      </c>
    </row>
    <row r="36" spans="2:37" x14ac:dyDescent="0.25">
      <c r="B36" t="str">
        <f>IF('TRA TECH'!M32=0,"*",IF('TRA TECH'!H32="","*",'TRA TECH'!J32))</f>
        <v>TRAPASCAR400BEV20</v>
      </c>
      <c r="C36" t="str">
        <f>IF('TRA TECH'!M32=0,"*",'TRA TECH'!H32)</f>
        <v>TRABAT</v>
      </c>
      <c r="D36" t="s">
        <v>424</v>
      </c>
      <c r="E36" s="9">
        <f>'TRA TECH'!P32</f>
        <v>1</v>
      </c>
      <c r="H36" t="str">
        <f>IF('TRA TECH'!M32=1,IF('TRA TECH'!L32=1,'TRA TECH'!J32,"*"),"*")</f>
        <v>TRAPASCAR400BEV20</v>
      </c>
      <c r="I36" t="str">
        <f>IF(H36="*","*",_xlfn.XLOOKUP(H36,'TRA TECH'!J:J,'TRA TECH'!I:I))</f>
        <v>TRAPASCARDMD</v>
      </c>
      <c r="J36">
        <f>IF(H36="*","*",_xlfn.XLOOKUP(H36,'TRA TECH'!J:J,'TRA TECH'!N:N))</f>
        <v>2020</v>
      </c>
      <c r="K36" s="15">
        <f>IF(H36="*","*",IF(_xlfn.XLOOKUP(H36,'TRA TECH'!J:J,'TRA TECH'!O:O)="","",_xlfn.XLOOKUP(H36,'TRA TECH'!J:J,'TRA TECH'!O:O)))</f>
        <v>16.861273869240819</v>
      </c>
      <c r="L36">
        <f t="shared" si="1"/>
        <v>1</v>
      </c>
      <c r="M36">
        <f>IF(H36="*","*",IF(_xlfn.XLOOKUP($H36,'TRA TECH'!$J:$J,'TRA TECH'!Q:Q)="","",_xlfn.XLOOKUP($H36,'TRA TECH'!$J:$J,'TRA TECH'!Q:Q)))</f>
        <v>1.784180415430267</v>
      </c>
      <c r="N36">
        <f>IF(H36="*","*",IF(_xlfn.XLOOKUP($H36,'TRA TECH'!$J:$J,'TRA TECH'!R:R)="","",_xlfn.XLOOKUP($H36,'TRA TECH'!$J:$J,'TRA TECH'!R:R)))</f>
        <v>1.870404747774481</v>
      </c>
      <c r="O36">
        <f>IF(H36="*","*",IF(_xlfn.XLOOKUP($H36,'TRA TECH'!$J:$J,'TRA TECH'!S:S)="","",_xlfn.XLOOKUP($H36,'TRA TECH'!$J:$J,'TRA TECH'!S:S)))</f>
        <v>1.9566290801186941</v>
      </c>
      <c r="P36">
        <f>IF(H36="*","*",IF(_xlfn.XLOOKUP($H36,'TRA TECH'!$J:$J,'TRA TECH'!T:T)="","",_xlfn.XLOOKUP($H36,'TRA TECH'!$J:$J,'TRA TECH'!T:T)))</f>
        <v>2.1357103857566768</v>
      </c>
      <c r="Q36">
        <f>IF(H36="*","*",IF(_xlfn.XLOOKUP($H36,'TRA TECH'!$J:$J,'TRA TECH'!U:U)="","",_xlfn.XLOOKUP($H36,'TRA TECH'!$J:$J,'TRA TECH'!U:U)))</f>
        <v>2.215302077151335</v>
      </c>
      <c r="R36">
        <f>IF(H36="*","*",IF(_xlfn.XLOOKUP($H36,'TRA TECH'!$J:$J,'TRA TECH'!V:V)="","",_xlfn.XLOOKUP($H36,'TRA TECH'!$J:$J,'TRA TECH'!V:V)))</f>
        <v>2.301526409495549</v>
      </c>
      <c r="S36">
        <f>IF(H36="*","*",IF(_xlfn.XLOOKUP($H36,'TRA TECH'!$J:$J,'TRA TECH'!W:W)="","",_xlfn.XLOOKUP($H36,'TRA TECH'!$J:$J,'TRA TECH'!W:W)))</f>
        <v>2.3943833827893179</v>
      </c>
      <c r="T36">
        <f t="shared" si="2"/>
        <v>2.3943833827893179</v>
      </c>
      <c r="U36">
        <f>IF(H36="*","*",IF(_xlfn.XLOOKUP($H36,'TRA TECH'!$J:$J,'TRA TECH'!X:X)="","",_xlfn.XLOOKUP($H36,'TRA TECH'!$J:$J,'TRA TECH'!X:X)))</f>
        <v>253.5759595342237</v>
      </c>
      <c r="V36">
        <f>IF(H36="*","*",IF(_xlfn.XLOOKUP($H36,'TRA TECH'!$J:$J,'TRA TECH'!Y:Y)="","",_xlfn.XLOOKUP($H36,'TRA TECH'!$J:$J,'TRA TECH'!Y:Y)))</f>
        <v>231.8815226035257</v>
      </c>
      <c r="W36">
        <f>IF(H36="*","*",IF(_xlfn.XLOOKUP($H36,'TRA TECH'!$J:$J,'TRA TECH'!Z:Z)="","",_xlfn.XLOOKUP($H36,'TRA TECH'!$J:$J,'TRA TECH'!Z:Z)))</f>
        <v>197.73945792570601</v>
      </c>
      <c r="X36">
        <f>IF(H36="*","*",IF(_xlfn.XLOOKUP($H36,'TRA TECH'!$J:$J,'TRA TECH'!AA:AA)="","",_xlfn.XLOOKUP($H36,'TRA TECH'!$J:$J,'TRA TECH'!AA:AA)))</f>
        <v>178.5345465444324</v>
      </c>
      <c r="Y36">
        <f>IF(H36="*","*",IF(_xlfn.XLOOKUP($H36,'TRA TECH'!$J:$J,'TRA TECH'!AB:AB)="","",_xlfn.XLOOKUP($H36,'TRA TECH'!$J:$J,'TRA TECH'!AB:AB)))</f>
        <v>169.6433838679169</v>
      </c>
      <c r="Z36">
        <f>IF(H36="*","*",IF(_xlfn.XLOOKUP($H36,'TRA TECH'!$J:$J,'TRA TECH'!AC:AC)="","",_xlfn.XLOOKUP($H36,'TRA TECH'!$J:$J,'TRA TECH'!AC:AC)))</f>
        <v>160.39657468434069</v>
      </c>
      <c r="AA36">
        <f>IF(H36="*","*",IF(_xlfn.XLOOKUP($H36,'TRA TECH'!$J:$J,'TRA TECH'!AD:AD)="","",_xlfn.XLOOKUP($H36,'TRA TECH'!$J:$J,'TRA TECH'!AD:AD)))</f>
        <v>151.5054120078251</v>
      </c>
      <c r="AB36">
        <f t="shared" si="3"/>
        <v>151.5054120078251</v>
      </c>
      <c r="AC36" s="15">
        <f>IF(H36="*","*",IF(_xlfn.XLOOKUP($H36,'TRA TECH'!$J:$J,'TRA TECH'!AE:AE)="","",_xlfn.XLOOKUP($H36,'TRA TECH'!$J:$J,'TRA TECH'!AE:AE)))</f>
        <v>3.5351038744526408</v>
      </c>
      <c r="AD36" s="15">
        <f>IF(H36="*","*",IF(_xlfn.XLOOKUP($H36,'TRA TECH'!$J:$J,'TRA TECH'!AF:AF)="","",_xlfn.XLOOKUP($H36,'TRA TECH'!$J:$J,'TRA TECH'!AF:AF)))</f>
        <v>3.5351038744526408</v>
      </c>
      <c r="AE36" s="15">
        <f>IF(H36="*","*",IF(_xlfn.XLOOKUP($H36,'TRA TECH'!$J:$J,'TRA TECH'!AG:AG)="","",_xlfn.XLOOKUP($H36,'TRA TECH'!$J:$J,'TRA TECH'!AG:AG)))</f>
        <v>3.5351038744526408</v>
      </c>
      <c r="AF36" s="15">
        <f>IF(H36="*","*",IF(_xlfn.XLOOKUP($H36,'TRA TECH'!$J:$J,'TRA TECH'!AH:AH)="","",_xlfn.XLOOKUP($H36,'TRA TECH'!$J:$J,'TRA TECH'!AH:AH)))</f>
        <v>3.5351038744526408</v>
      </c>
      <c r="AG36" s="15">
        <f>IF(H36="*","*",IF(_xlfn.XLOOKUP($H36,'TRA TECH'!$J:$J,'TRA TECH'!AI:AI)="","",_xlfn.XLOOKUP($H36,'TRA TECH'!$J:$J,'TRA TECH'!AI:AI)))</f>
        <v>3.5351038744526408</v>
      </c>
      <c r="AH36" s="15">
        <f>IF(H36="*","*",IF(_xlfn.XLOOKUP($H36,'TRA TECH'!$J:$J,'TRA TECH'!AJ:AJ)="","",_xlfn.XLOOKUP($H36,'TRA TECH'!$J:$J,'TRA TECH'!AJ:AJ)))</f>
        <v>3.5351038744526408</v>
      </c>
      <c r="AI36" s="15">
        <f>IF(H36="*","*",IF(_xlfn.XLOOKUP($H36,'TRA TECH'!$J:$J,'TRA TECH'!AK:AK)="","",_xlfn.XLOOKUP($H36,'TRA TECH'!$J:$J,'TRA TECH'!AK:AK)))</f>
        <v>3.5351038744526408</v>
      </c>
      <c r="AJ36" s="15">
        <f t="shared" si="4"/>
        <v>3.5351038744526408</v>
      </c>
      <c r="AK36" s="16">
        <f t="shared" si="5"/>
        <v>0.4</v>
      </c>
    </row>
    <row r="37" spans="2:37" x14ac:dyDescent="0.25">
      <c r="B37" t="str">
        <f>IF('TRA TECH'!M33=0,"*",IF('TRA TECH'!H33="","*",'TRA TECH'!J33))</f>
        <v>TRAPASCAR500BEV20</v>
      </c>
      <c r="C37" t="str">
        <f>IF('TRA TECH'!M33=0,"*",'TRA TECH'!H33)</f>
        <v>TRABAT</v>
      </c>
      <c r="D37" t="s">
        <v>424</v>
      </c>
      <c r="E37" s="9">
        <f>'TRA TECH'!P33</f>
        <v>1</v>
      </c>
      <c r="H37" t="str">
        <f>IF('TRA TECH'!M33=1,IF('TRA TECH'!L33=1,'TRA TECH'!J33,"*"),"*")</f>
        <v>TRAPASCAR500BEV20</v>
      </c>
      <c r="I37" t="str">
        <f>IF(H37="*","*",_xlfn.XLOOKUP(H37,'TRA TECH'!J:J,'TRA TECH'!I:I))</f>
        <v>TRAPASCARDMD</v>
      </c>
      <c r="J37">
        <f>IF(H37="*","*",_xlfn.XLOOKUP(H37,'TRA TECH'!J:J,'TRA TECH'!N:N))</f>
        <v>2020</v>
      </c>
      <c r="K37" s="15">
        <f>IF(H37="*","*",IF(_xlfn.XLOOKUP(H37,'TRA TECH'!J:J,'TRA TECH'!O:O)="","",_xlfn.XLOOKUP(H37,'TRA TECH'!J:J,'TRA TECH'!O:O)))</f>
        <v>16.861273869240819</v>
      </c>
      <c r="L37">
        <f t="shared" si="1"/>
        <v>1</v>
      </c>
      <c r="M37">
        <f>IF(H37="*","*",IF(_xlfn.XLOOKUP($H37,'TRA TECH'!$J:$J,'TRA TECH'!Q:Q)="","",_xlfn.XLOOKUP($H37,'TRA TECH'!$J:$J,'TRA TECH'!Q:Q)))</f>
        <v>1.6050991097922851</v>
      </c>
      <c r="N37">
        <f>IF(H37="*","*",IF(_xlfn.XLOOKUP($H37,'TRA TECH'!$J:$J,'TRA TECH'!R:R)="","",_xlfn.XLOOKUP($H37,'TRA TECH'!$J:$J,'TRA TECH'!R:R)))</f>
        <v>1.678058160237389</v>
      </c>
      <c r="O37">
        <f>IF(H37="*","*",IF(_xlfn.XLOOKUP($H37,'TRA TECH'!$J:$J,'TRA TECH'!S:S)="","",_xlfn.XLOOKUP($H37,'TRA TECH'!$J:$J,'TRA TECH'!S:S)))</f>
        <v>1.7974456973293771</v>
      </c>
      <c r="P37">
        <f>IF(H37="*","*",IF(_xlfn.XLOOKUP($H37,'TRA TECH'!$J:$J,'TRA TECH'!T:T)="","",_xlfn.XLOOKUP($H37,'TRA TECH'!$J:$J,'TRA TECH'!T:T)))</f>
        <v>1.963261721068249</v>
      </c>
      <c r="Q37">
        <f>IF(H37="*","*",IF(_xlfn.XLOOKUP($H37,'TRA TECH'!$J:$J,'TRA TECH'!U:U)="","",_xlfn.XLOOKUP($H37,'TRA TECH'!$J:$J,'TRA TECH'!U:U)))</f>
        <v>2.0295881305637979</v>
      </c>
      <c r="R37">
        <f>IF(H37="*","*",IF(_xlfn.XLOOKUP($H37,'TRA TECH'!$J:$J,'TRA TECH'!V:V)="","",_xlfn.XLOOKUP($H37,'TRA TECH'!$J:$J,'TRA TECH'!V:V)))</f>
        <v>2.109179821958457</v>
      </c>
      <c r="S37">
        <f>IF(H37="*","*",IF(_xlfn.XLOOKUP($H37,'TRA TECH'!$J:$J,'TRA TECH'!W:W)="","",_xlfn.XLOOKUP($H37,'TRA TECH'!$J:$J,'TRA TECH'!W:W)))</f>
        <v>2.202036795252226</v>
      </c>
      <c r="T37">
        <f t="shared" si="2"/>
        <v>2.202036795252226</v>
      </c>
      <c r="U37">
        <f>IF(H37="*","*",IF(_xlfn.XLOOKUP($H37,'TRA TECH'!$J:$J,'TRA TECH'!X:X)="","",_xlfn.XLOOKUP($H37,'TRA TECH'!$J:$J,'TRA TECH'!X:X)))</f>
        <v>308.70116812862022</v>
      </c>
      <c r="V37">
        <f>IF(H37="*","*",IF(_xlfn.XLOOKUP($H37,'TRA TECH'!$J:$J,'TRA TECH'!Y:Y)="","",_xlfn.XLOOKUP($H37,'TRA TECH'!$J:$J,'TRA TECH'!Y:Y)))</f>
        <v>279.89380105670978</v>
      </c>
      <c r="W37">
        <f>IF(H37="*","*",IF(_xlfn.XLOOKUP($H37,'TRA TECH'!$J:$J,'TRA TECH'!Z:Z)="","",_xlfn.XLOOKUP($H37,'TRA TECH'!$J:$J,'TRA TECH'!Z:Z)))</f>
        <v>230.4589365752833</v>
      </c>
      <c r="X37">
        <f>IF(H37="*","*",IF(_xlfn.XLOOKUP($H37,'TRA TECH'!$J:$J,'TRA TECH'!AA:AA)="","",_xlfn.XLOOKUP($H37,'TRA TECH'!$J:$J,'TRA TECH'!AA:AA)))</f>
        <v>204.85238806691851</v>
      </c>
      <c r="Y37">
        <f>IF(H37="*","*",IF(_xlfn.XLOOKUP($H37,'TRA TECH'!$J:$J,'TRA TECH'!AB:AB)="","",_xlfn.XLOOKUP($H37,'TRA TECH'!$J:$J,'TRA TECH'!AB:AB)))</f>
        <v>193.1160533339179</v>
      </c>
      <c r="Z37">
        <f>IF(H37="*","*",IF(_xlfn.XLOOKUP($H37,'TRA TECH'!$J:$J,'TRA TECH'!AC:AC)="","",_xlfn.XLOOKUP($H37,'TRA TECH'!$J:$J,'TRA TECH'!AC:AC)))</f>
        <v>181.37971860091741</v>
      </c>
      <c r="AA37">
        <f>IF(H37="*","*",IF(_xlfn.XLOOKUP($H37,'TRA TECH'!$J:$J,'TRA TECH'!AD:AD)="","",_xlfn.XLOOKUP($H37,'TRA TECH'!$J:$J,'TRA TECH'!AD:AD)))</f>
        <v>169.6433838679169</v>
      </c>
      <c r="AB37">
        <f t="shared" si="3"/>
        <v>169.6433838679169</v>
      </c>
      <c r="AC37" s="15">
        <f>IF(H37="*","*",IF(_xlfn.XLOOKUP($H37,'TRA TECH'!$J:$J,'TRA TECH'!AE:AE)="","",_xlfn.XLOOKUP($H37,'TRA TECH'!$J:$J,'TRA TECH'!AE:AE)))</f>
        <v>3.5351038744526408</v>
      </c>
      <c r="AD37" s="15">
        <f>IF(H37="*","*",IF(_xlfn.XLOOKUP($H37,'TRA TECH'!$J:$J,'TRA TECH'!AF:AF)="","",_xlfn.XLOOKUP($H37,'TRA TECH'!$J:$J,'TRA TECH'!AF:AF)))</f>
        <v>3.5351038744526408</v>
      </c>
      <c r="AE37" s="15">
        <f>IF(H37="*","*",IF(_xlfn.XLOOKUP($H37,'TRA TECH'!$J:$J,'TRA TECH'!AG:AG)="","",_xlfn.XLOOKUP($H37,'TRA TECH'!$J:$J,'TRA TECH'!AG:AG)))</f>
        <v>3.5351038744526408</v>
      </c>
      <c r="AF37" s="15">
        <f>IF(H37="*","*",IF(_xlfn.XLOOKUP($H37,'TRA TECH'!$J:$J,'TRA TECH'!AH:AH)="","",_xlfn.XLOOKUP($H37,'TRA TECH'!$J:$J,'TRA TECH'!AH:AH)))</f>
        <v>3.5351038744526408</v>
      </c>
      <c r="AG37" s="15">
        <f>IF(H37="*","*",IF(_xlfn.XLOOKUP($H37,'TRA TECH'!$J:$J,'TRA TECH'!AI:AI)="","",_xlfn.XLOOKUP($H37,'TRA TECH'!$J:$J,'TRA TECH'!AI:AI)))</f>
        <v>3.5351038744526408</v>
      </c>
      <c r="AH37" s="15">
        <f>IF(H37="*","*",IF(_xlfn.XLOOKUP($H37,'TRA TECH'!$J:$J,'TRA TECH'!AJ:AJ)="","",_xlfn.XLOOKUP($H37,'TRA TECH'!$J:$J,'TRA TECH'!AJ:AJ)))</f>
        <v>3.5351038744526408</v>
      </c>
      <c r="AI37" s="15">
        <f>IF(H37="*","*",IF(_xlfn.XLOOKUP($H37,'TRA TECH'!$J:$J,'TRA TECH'!AK:AK)="","",_xlfn.XLOOKUP($H37,'TRA TECH'!$J:$J,'TRA TECH'!AK:AK)))</f>
        <v>3.5351038744526408</v>
      </c>
      <c r="AJ37" s="15">
        <f t="shared" si="4"/>
        <v>3.5351038744526408</v>
      </c>
      <c r="AK37" s="16">
        <f t="shared" si="5"/>
        <v>0.4</v>
      </c>
    </row>
    <row r="38" spans="2:37" x14ac:dyDescent="0.25">
      <c r="B38" t="str">
        <f>IF('TRA TECH'!M34=0,"*",IF('TRA TECH'!H34="","*",'TRA TECH'!J34))</f>
        <v>TRAPASLDTICEVGSL20</v>
      </c>
      <c r="C38" t="str">
        <f>IF('TRA TECH'!M34=0,"*",'TRA TECH'!H34)</f>
        <v>TRAGSL</v>
      </c>
      <c r="D38" t="s">
        <v>424</v>
      </c>
      <c r="E38" s="9">
        <f>'TRA TECH'!P34</f>
        <v>1</v>
      </c>
      <c r="H38" t="str">
        <f>IF('TRA TECH'!M34=1,IF('TRA TECH'!L34=1,'TRA TECH'!J34,"*"),"*")</f>
        <v>TRAPASLDTICEVGSL20</v>
      </c>
      <c r="I38" t="str">
        <f>IF(H38="*","*",_xlfn.XLOOKUP(H38,'TRA TECH'!J:J,'TRA TECH'!I:I))</f>
        <v>TRAPASLDTDMD</v>
      </c>
      <c r="J38">
        <f>IF(H38="*","*",_xlfn.XLOOKUP(H38,'TRA TECH'!J:J,'TRA TECH'!N:N))</f>
        <v>2020</v>
      </c>
      <c r="K38" s="15">
        <f>IF(H38="*","*",IF(_xlfn.XLOOKUP(H38,'TRA TECH'!J:J,'TRA TECH'!O:O)="","",_xlfn.XLOOKUP(H38,'TRA TECH'!J:J,'TRA TECH'!O:O)))</f>
        <v>18.828422487318921</v>
      </c>
      <c r="L38">
        <f t="shared" si="1"/>
        <v>1</v>
      </c>
      <c r="M38">
        <f>IF(H38="*","*",IF(_xlfn.XLOOKUP($H38,'TRA TECH'!$J:$J,'TRA TECH'!Q:Q)="","",_xlfn.XLOOKUP($H38,'TRA TECH'!$J:$J,'TRA TECH'!Q:Q)))</f>
        <v>0.29714231454005929</v>
      </c>
      <c r="N38">
        <f>IF(H38="*","*",IF(_xlfn.XLOOKUP($H38,'TRA TECH'!$J:$J,'TRA TECH'!R:R)="","",_xlfn.XLOOKUP($H38,'TRA TECH'!$J:$J,'TRA TECH'!R:R)))</f>
        <v>0.29316272997032627</v>
      </c>
      <c r="O38">
        <f>IF(H38="*","*",IF(_xlfn.XLOOKUP($H38,'TRA TECH'!$J:$J,'TRA TECH'!S:S)="","",_xlfn.XLOOKUP($H38,'TRA TECH'!$J:$J,'TRA TECH'!S:S)))</f>
        <v>0.33826468842729968</v>
      </c>
      <c r="P38">
        <f>IF(H38="*","*",IF(_xlfn.XLOOKUP($H38,'TRA TECH'!$J:$J,'TRA TECH'!T:T)="","",_xlfn.XLOOKUP($H38,'TRA TECH'!$J:$J,'TRA TECH'!T:T)))</f>
        <v>0.36965918892185962</v>
      </c>
      <c r="Q38">
        <f>IF(H38="*","*",IF(_xlfn.XLOOKUP($H38,'TRA TECH'!$J:$J,'TRA TECH'!U:U)="","",_xlfn.XLOOKUP($H38,'TRA TECH'!$J:$J,'TRA TECH'!U:U)))</f>
        <v>0.38911493570722061</v>
      </c>
      <c r="R38">
        <f>IF(H38="*","*",IF(_xlfn.XLOOKUP($H38,'TRA TECH'!$J:$J,'TRA TECH'!V:V)="","",_xlfn.XLOOKUP($H38,'TRA TECH'!$J:$J,'TRA TECH'!V:V)))</f>
        <v>0.40724415430267058</v>
      </c>
      <c r="S38">
        <f>IF(H38="*","*",IF(_xlfn.XLOOKUP($H38,'TRA TECH'!$J:$J,'TRA TECH'!W:W)="","",_xlfn.XLOOKUP($H38,'TRA TECH'!$J:$J,'TRA TECH'!W:W)))</f>
        <v>0.42625772502472792</v>
      </c>
      <c r="T38">
        <f t="shared" si="2"/>
        <v>0.42625772502472792</v>
      </c>
      <c r="U38">
        <f>IF(H38="*","*",IF(_xlfn.XLOOKUP($H38,'TRA TECH'!$J:$J,'TRA TECH'!X:X)="","",_xlfn.XLOOKUP($H38,'TRA TECH'!$J:$J,'TRA TECH'!X:X)))</f>
        <v>175.45227681657369</v>
      </c>
      <c r="V38">
        <f>IF(H38="*","*",IF(_xlfn.XLOOKUP($H38,'TRA TECH'!$J:$J,'TRA TECH'!Y:Y)="","",_xlfn.XLOOKUP($H38,'TRA TECH'!$J:$J,'TRA TECH'!Y:Y)))</f>
        <v>175.2151791451999</v>
      </c>
      <c r="W38">
        <f>IF(H38="*","*",IF(_xlfn.XLOOKUP($H38,'TRA TECH'!$J:$J,'TRA TECH'!Z:Z)="","",_xlfn.XLOOKUP($H38,'TRA TECH'!$J:$J,'TRA TECH'!Z:Z)))</f>
        <v>179.00874188717989</v>
      </c>
      <c r="X38">
        <f>IF(H38="*","*",IF(_xlfn.XLOOKUP($H38,'TRA TECH'!$J:$J,'TRA TECH'!AA:AA)="","",_xlfn.XLOOKUP($H38,'TRA TECH'!$J:$J,'TRA TECH'!AA:AA)))</f>
        <v>187.54425805663479</v>
      </c>
      <c r="Y38">
        <f>IF(H38="*","*",IF(_xlfn.XLOOKUP($H38,'TRA TECH'!$J:$J,'TRA TECH'!AB:AB)="","",_xlfn.XLOOKUP($H38,'TRA TECH'!$J:$J,'TRA TECH'!AB:AB)))</f>
        <v>186.35876969976599</v>
      </c>
      <c r="Z38">
        <f>IF(H38="*","*",IF(_xlfn.XLOOKUP($H38,'TRA TECH'!$J:$J,'TRA TECH'!AC:AC)="","",_xlfn.XLOOKUP($H38,'TRA TECH'!$J:$J,'TRA TECH'!AC:AC)))</f>
        <v>184.93618367152359</v>
      </c>
      <c r="AA38">
        <f>IF(H38="*","*",IF(_xlfn.XLOOKUP($H38,'TRA TECH'!$J:$J,'TRA TECH'!AD:AD)="","",_xlfn.XLOOKUP($H38,'TRA TECH'!$J:$J,'TRA TECH'!AD:AD)))</f>
        <v>183.75069531465491</v>
      </c>
      <c r="AB38">
        <f t="shared" si="3"/>
        <v>183.75069531465491</v>
      </c>
      <c r="AC38" s="15">
        <f>IF(H38="*","*",IF(_xlfn.XLOOKUP($H38,'TRA TECH'!$J:$J,'TRA TECH'!AE:AE)="","",_xlfn.XLOOKUP($H38,'TRA TECH'!$J:$J,'TRA TECH'!AE:AE)))</f>
        <v>4.6970175797771363</v>
      </c>
      <c r="AD38" s="15">
        <f>IF(H38="*","*",IF(_xlfn.XLOOKUP($H38,'TRA TECH'!$J:$J,'TRA TECH'!AF:AF)="","",_xlfn.XLOOKUP($H38,'TRA TECH'!$J:$J,'TRA TECH'!AF:AF)))</f>
        <v>4.6970175797771363</v>
      </c>
      <c r="AE38" s="15">
        <f>IF(H38="*","*",IF(_xlfn.XLOOKUP($H38,'TRA TECH'!$J:$J,'TRA TECH'!AG:AG)="","",_xlfn.XLOOKUP($H38,'TRA TECH'!$J:$J,'TRA TECH'!AG:AG)))</f>
        <v>4.6970175797771363</v>
      </c>
      <c r="AF38" s="15">
        <f>IF(H38="*","*",IF(_xlfn.XLOOKUP($H38,'TRA TECH'!$J:$J,'TRA TECH'!AH:AH)="","",_xlfn.XLOOKUP($H38,'TRA TECH'!$J:$J,'TRA TECH'!AH:AH)))</f>
        <v>4.6970175797771363</v>
      </c>
      <c r="AG38" s="15">
        <f>IF(H38="*","*",IF(_xlfn.XLOOKUP($H38,'TRA TECH'!$J:$J,'TRA TECH'!AI:AI)="","",_xlfn.XLOOKUP($H38,'TRA TECH'!$J:$J,'TRA TECH'!AI:AI)))</f>
        <v>4.6970175797771363</v>
      </c>
      <c r="AH38" s="15">
        <f>IF(H38="*","*",IF(_xlfn.XLOOKUP($H38,'TRA TECH'!$J:$J,'TRA TECH'!AJ:AJ)="","",_xlfn.XLOOKUP($H38,'TRA TECH'!$J:$J,'TRA TECH'!AJ:AJ)))</f>
        <v>4.6970175797771363</v>
      </c>
      <c r="AI38" s="15">
        <f>IF(H38="*","*",IF(_xlfn.XLOOKUP($H38,'TRA TECH'!$J:$J,'TRA TECH'!AK:AK)="","",_xlfn.XLOOKUP($H38,'TRA TECH'!$J:$J,'TRA TECH'!AK:AK)))</f>
        <v>4.6970175797771363</v>
      </c>
      <c r="AJ38" s="15">
        <f t="shared" si="4"/>
        <v>4.6970175797771363</v>
      </c>
      <c r="AK38" s="16">
        <f t="shared" si="5"/>
        <v>0.1</v>
      </c>
    </row>
    <row r="39" spans="2:37" x14ac:dyDescent="0.25">
      <c r="B39" t="str">
        <f>IF('TRA TECH'!M35=0,"*",IF('TRA TECH'!H35="","*",'TRA TECH'!J35))</f>
        <v>TRAPASLDTICEVGSL20</v>
      </c>
      <c r="C39" t="str">
        <f>IF('TRA TECH'!M35=0,"*",'TRA TECH'!H35)</f>
        <v>TRAETH</v>
      </c>
      <c r="D39" t="s">
        <v>424</v>
      </c>
      <c r="E39" s="9">
        <f>'TRA TECH'!P35</f>
        <v>0.1</v>
      </c>
      <c r="H39" t="str">
        <f>IF('TRA TECH'!M35=1,IF('TRA TECH'!L35=1,'TRA TECH'!J35,"*"),"*")</f>
        <v>*</v>
      </c>
      <c r="I39" t="str">
        <f>IF(H39="*","*",_xlfn.XLOOKUP(H39,'TRA TECH'!J:J,'TRA TECH'!I:I))</f>
        <v>*</v>
      </c>
      <c r="J39" t="str">
        <f>IF(H39="*","*",_xlfn.XLOOKUP(H39,'TRA TECH'!J:J,'TRA TECH'!N:N))</f>
        <v>*</v>
      </c>
      <c r="K39" s="15" t="str">
        <f>IF(H39="*","*",IF(_xlfn.XLOOKUP(H39,'TRA TECH'!J:J,'TRA TECH'!O:O)="","",_xlfn.XLOOKUP(H39,'TRA TECH'!J:J,'TRA TECH'!O:O)))</f>
        <v>*</v>
      </c>
      <c r="L39" t="str">
        <f t="shared" si="1"/>
        <v>*</v>
      </c>
      <c r="M39" t="str">
        <f>IF(H39="*","*",IF(_xlfn.XLOOKUP($H39,'TRA TECH'!$J:$J,'TRA TECH'!Q:Q)="","",_xlfn.XLOOKUP($H39,'TRA TECH'!$J:$J,'TRA TECH'!Q:Q)))</f>
        <v>*</v>
      </c>
      <c r="N39" t="str">
        <f>IF(H39="*","*",IF(_xlfn.XLOOKUP($H39,'TRA TECH'!$J:$J,'TRA TECH'!R:R)="","",_xlfn.XLOOKUP($H39,'TRA TECH'!$J:$J,'TRA TECH'!R:R)))</f>
        <v>*</v>
      </c>
      <c r="O39" t="str">
        <f>IF(H39="*","*",IF(_xlfn.XLOOKUP($H39,'TRA TECH'!$J:$J,'TRA TECH'!S:S)="","",_xlfn.XLOOKUP($H39,'TRA TECH'!$J:$J,'TRA TECH'!S:S)))</f>
        <v>*</v>
      </c>
      <c r="P39" t="str">
        <f>IF(H39="*","*",IF(_xlfn.XLOOKUP($H39,'TRA TECH'!$J:$J,'TRA TECH'!T:T)="","",_xlfn.XLOOKUP($H39,'TRA TECH'!$J:$J,'TRA TECH'!T:T)))</f>
        <v>*</v>
      </c>
      <c r="Q39" t="str">
        <f>IF(H39="*","*",IF(_xlfn.XLOOKUP($H39,'TRA TECH'!$J:$J,'TRA TECH'!U:U)="","",_xlfn.XLOOKUP($H39,'TRA TECH'!$J:$J,'TRA TECH'!U:U)))</f>
        <v>*</v>
      </c>
      <c r="R39" t="str">
        <f>IF(H39="*","*",IF(_xlfn.XLOOKUP($H39,'TRA TECH'!$J:$J,'TRA TECH'!V:V)="","",_xlfn.XLOOKUP($H39,'TRA TECH'!$J:$J,'TRA TECH'!V:V)))</f>
        <v>*</v>
      </c>
      <c r="S39" t="str">
        <f>IF(H39="*","*",IF(_xlfn.XLOOKUP($H39,'TRA TECH'!$J:$J,'TRA TECH'!W:W)="","",_xlfn.XLOOKUP($H39,'TRA TECH'!$J:$J,'TRA TECH'!W:W)))</f>
        <v>*</v>
      </c>
      <c r="T39" t="str">
        <f t="shared" si="2"/>
        <v>*</v>
      </c>
      <c r="U39" t="str">
        <f>IF(H39="*","*",IF(_xlfn.XLOOKUP($H39,'TRA TECH'!$J:$J,'TRA TECH'!X:X)="","",_xlfn.XLOOKUP($H39,'TRA TECH'!$J:$J,'TRA TECH'!X:X)))</f>
        <v>*</v>
      </c>
      <c r="V39" t="str">
        <f>IF(H39="*","*",IF(_xlfn.XLOOKUP($H39,'TRA TECH'!$J:$J,'TRA TECH'!Y:Y)="","",_xlfn.XLOOKUP($H39,'TRA TECH'!$J:$J,'TRA TECH'!Y:Y)))</f>
        <v>*</v>
      </c>
      <c r="W39" t="str">
        <f>IF(H39="*","*",IF(_xlfn.XLOOKUP($H39,'TRA TECH'!$J:$J,'TRA TECH'!Z:Z)="","",_xlfn.XLOOKUP($H39,'TRA TECH'!$J:$J,'TRA TECH'!Z:Z)))</f>
        <v>*</v>
      </c>
      <c r="X39" t="str">
        <f>IF(H39="*","*",IF(_xlfn.XLOOKUP($H39,'TRA TECH'!$J:$J,'TRA TECH'!AA:AA)="","",_xlfn.XLOOKUP($H39,'TRA TECH'!$J:$J,'TRA TECH'!AA:AA)))</f>
        <v>*</v>
      </c>
      <c r="Y39" t="str">
        <f>IF(H39="*","*",IF(_xlfn.XLOOKUP($H39,'TRA TECH'!$J:$J,'TRA TECH'!AB:AB)="","",_xlfn.XLOOKUP($H39,'TRA TECH'!$J:$J,'TRA TECH'!AB:AB)))</f>
        <v>*</v>
      </c>
      <c r="Z39" t="str">
        <f>IF(H39="*","*",IF(_xlfn.XLOOKUP($H39,'TRA TECH'!$J:$J,'TRA TECH'!AC:AC)="","",_xlfn.XLOOKUP($H39,'TRA TECH'!$J:$J,'TRA TECH'!AC:AC)))</f>
        <v>*</v>
      </c>
      <c r="AA39" t="str">
        <f>IF(H39="*","*",IF(_xlfn.XLOOKUP($H39,'TRA TECH'!$J:$J,'TRA TECH'!AD:AD)="","",_xlfn.XLOOKUP($H39,'TRA TECH'!$J:$J,'TRA TECH'!AD:AD)))</f>
        <v>*</v>
      </c>
      <c r="AB39" t="str">
        <f t="shared" si="3"/>
        <v>*</v>
      </c>
      <c r="AC39" s="15" t="str">
        <f>IF(H39="*","*",IF(_xlfn.XLOOKUP($H39,'TRA TECH'!$J:$J,'TRA TECH'!AE:AE)="","",_xlfn.XLOOKUP($H39,'TRA TECH'!$J:$J,'TRA TECH'!AE:AE)))</f>
        <v>*</v>
      </c>
      <c r="AD39" s="15" t="str">
        <f>IF(H39="*","*",IF(_xlfn.XLOOKUP($H39,'TRA TECH'!$J:$J,'TRA TECH'!AF:AF)="","",_xlfn.XLOOKUP($H39,'TRA TECH'!$J:$J,'TRA TECH'!AF:AF)))</f>
        <v>*</v>
      </c>
      <c r="AE39" s="15" t="str">
        <f>IF(H39="*","*",IF(_xlfn.XLOOKUP($H39,'TRA TECH'!$J:$J,'TRA TECH'!AG:AG)="","",_xlfn.XLOOKUP($H39,'TRA TECH'!$J:$J,'TRA TECH'!AG:AG)))</f>
        <v>*</v>
      </c>
      <c r="AF39" s="15" t="str">
        <f>IF(H39="*","*",IF(_xlfn.XLOOKUP($H39,'TRA TECH'!$J:$J,'TRA TECH'!AH:AH)="","",_xlfn.XLOOKUP($H39,'TRA TECH'!$J:$J,'TRA TECH'!AH:AH)))</f>
        <v>*</v>
      </c>
      <c r="AG39" s="15" t="str">
        <f>IF(H39="*","*",IF(_xlfn.XLOOKUP($H39,'TRA TECH'!$J:$J,'TRA TECH'!AI:AI)="","",_xlfn.XLOOKUP($H39,'TRA TECH'!$J:$J,'TRA TECH'!AI:AI)))</f>
        <v>*</v>
      </c>
      <c r="AH39" s="15" t="str">
        <f>IF(H39="*","*",IF(_xlfn.XLOOKUP($H39,'TRA TECH'!$J:$J,'TRA TECH'!AJ:AJ)="","",_xlfn.XLOOKUP($H39,'TRA TECH'!$J:$J,'TRA TECH'!AJ:AJ)))</f>
        <v>*</v>
      </c>
      <c r="AI39" s="15" t="str">
        <f>IF(H39="*","*",IF(_xlfn.XLOOKUP($H39,'TRA TECH'!$J:$J,'TRA TECH'!AK:AK)="","",_xlfn.XLOOKUP($H39,'TRA TECH'!$J:$J,'TRA TECH'!AK:AK)))</f>
        <v>*</v>
      </c>
      <c r="AJ39" s="15" t="str">
        <f t="shared" si="4"/>
        <v>*</v>
      </c>
      <c r="AK39" s="16" t="str">
        <f t="shared" si="5"/>
        <v>*</v>
      </c>
    </row>
    <row r="40" spans="2:37" x14ac:dyDescent="0.25">
      <c r="B40" t="str">
        <f>IF('TRA TECH'!M36=0,"*",IF('TRA TECH'!H36="","*",'TRA TECH'!J36))</f>
        <v>TRAPASLDTICEVTGSL20</v>
      </c>
      <c r="C40" t="str">
        <f>IF('TRA TECH'!M36=0,"*",'TRA TECH'!H36)</f>
        <v>TRAGSL</v>
      </c>
      <c r="D40" t="s">
        <v>424</v>
      </c>
      <c r="E40" s="9">
        <f>'TRA TECH'!P36</f>
        <v>1</v>
      </c>
      <c r="H40" t="str">
        <f>IF('TRA TECH'!M36=1,IF('TRA TECH'!L36=1,'TRA TECH'!J36,"*"),"*")</f>
        <v>TRAPASLDTICEVTGSL20</v>
      </c>
      <c r="I40" t="str">
        <f>IF(H40="*","*",_xlfn.XLOOKUP(H40,'TRA TECH'!J:J,'TRA TECH'!I:I))</f>
        <v>TRAPASLDTDMD</v>
      </c>
      <c r="J40">
        <f>IF(H40="*","*",_xlfn.XLOOKUP(H40,'TRA TECH'!J:J,'TRA TECH'!N:N))</f>
        <v>2020</v>
      </c>
      <c r="K40" s="15">
        <f>IF(H40="*","*",IF(_xlfn.XLOOKUP(H40,'TRA TECH'!J:J,'TRA TECH'!O:O)="","",_xlfn.XLOOKUP(H40,'TRA TECH'!J:J,'TRA TECH'!O:O)))</f>
        <v>18.828422487318921</v>
      </c>
      <c r="L40">
        <f t="shared" si="1"/>
        <v>1</v>
      </c>
      <c r="M40">
        <f>IF(H40="*","*",IF(_xlfn.XLOOKUP($H40,'TRA TECH'!$J:$J,'TRA TECH'!Q:Q)="","",_xlfn.XLOOKUP($H40,'TRA TECH'!$J:$J,'TRA TECH'!Q:Q)))</f>
        <v>0.3241150544015825</v>
      </c>
      <c r="N40">
        <f>IF(H40="*","*",IF(_xlfn.XLOOKUP($H40,'TRA TECH'!$J:$J,'TRA TECH'!R:R)="","",_xlfn.XLOOKUP($H40,'TRA TECH'!$J:$J,'TRA TECH'!R:R)))</f>
        <v>0.32455723046488621</v>
      </c>
      <c r="O40">
        <f>IF(H40="*","*",IF(_xlfn.XLOOKUP($H40,'TRA TECH'!$J:$J,'TRA TECH'!S:S)="","",_xlfn.XLOOKUP($H40,'TRA TECH'!$J:$J,'TRA TECH'!S:S)))</f>
        <v>0.36081566765578638</v>
      </c>
      <c r="P40">
        <f>IF(H40="*","*",IF(_xlfn.XLOOKUP($H40,'TRA TECH'!$J:$J,'TRA TECH'!T:T)="","",_xlfn.XLOOKUP($H40,'TRA TECH'!$J:$J,'TRA TECH'!T:T)))</f>
        <v>0.39309452027695352</v>
      </c>
      <c r="Q40">
        <f>IF(H40="*","*",IF(_xlfn.XLOOKUP($H40,'TRA TECH'!$J:$J,'TRA TECH'!U:U)="","",_xlfn.XLOOKUP($H40,'TRA TECH'!$J:$J,'TRA TECH'!U:U)))</f>
        <v>0.41431897131552908</v>
      </c>
      <c r="R40">
        <f>IF(H40="*","*",IF(_xlfn.XLOOKUP($H40,'TRA TECH'!$J:$J,'TRA TECH'!V:V)="","",_xlfn.XLOOKUP($H40,'TRA TECH'!$J:$J,'TRA TECH'!V:V)))</f>
        <v>0.43510124629080132</v>
      </c>
      <c r="S40">
        <f>IF(H40="*","*",IF(_xlfn.XLOOKUP($H40,'TRA TECH'!$J:$J,'TRA TECH'!W:W)="","",_xlfn.XLOOKUP($H40,'TRA TECH'!$J:$J,'TRA TECH'!W:W)))</f>
        <v>0.45632569732937678</v>
      </c>
      <c r="T40">
        <f t="shared" si="2"/>
        <v>0.45632569732937678</v>
      </c>
      <c r="U40">
        <f>IF(H40="*","*",IF(_xlfn.XLOOKUP($H40,'TRA TECH'!$J:$J,'TRA TECH'!X:X)="","",_xlfn.XLOOKUP($H40,'TRA TECH'!$J:$J,'TRA TECH'!X:X)))</f>
        <v>179.00874188717989</v>
      </c>
      <c r="V40">
        <f>IF(H40="*","*",IF(_xlfn.XLOOKUP($H40,'TRA TECH'!$J:$J,'TRA TECH'!Y:Y)="","",_xlfn.XLOOKUP($H40,'TRA TECH'!$J:$J,'TRA TECH'!Y:Y)))</f>
        <v>178.06035120168499</v>
      </c>
      <c r="W40">
        <f>IF(H40="*","*",IF(_xlfn.XLOOKUP($H40,'TRA TECH'!$J:$J,'TRA TECH'!Z:Z)="","",_xlfn.XLOOKUP($H40,'TRA TECH'!$J:$J,'TRA TECH'!Z:Z)))</f>
        <v>180.90552325816981</v>
      </c>
      <c r="X40">
        <f>IF(H40="*","*",IF(_xlfn.XLOOKUP($H40,'TRA TECH'!$J:$J,'TRA TECH'!AA:AA)="","",_xlfn.XLOOKUP($H40,'TRA TECH'!$J:$J,'TRA TECH'!AA:AA)))</f>
        <v>187.78135572800849</v>
      </c>
      <c r="Y40">
        <f>IF(H40="*","*",IF(_xlfn.XLOOKUP($H40,'TRA TECH'!$J:$J,'TRA TECH'!AB:AB)="","",_xlfn.XLOOKUP($H40,'TRA TECH'!$J:$J,'TRA TECH'!AB:AB)))</f>
        <v>187.30716038526111</v>
      </c>
      <c r="Z40">
        <f>IF(H40="*","*",IF(_xlfn.XLOOKUP($H40,'TRA TECH'!$J:$J,'TRA TECH'!AC:AC)="","",_xlfn.XLOOKUP($H40,'TRA TECH'!$J:$J,'TRA TECH'!AC:AC)))</f>
        <v>187.07006271388741</v>
      </c>
      <c r="AA40">
        <f>IF(H40="*","*",IF(_xlfn.XLOOKUP($H40,'TRA TECH'!$J:$J,'TRA TECH'!AD:AD)="","",_xlfn.XLOOKUP($H40,'TRA TECH'!$J:$J,'TRA TECH'!AD:AD)))</f>
        <v>186.59586737113989</v>
      </c>
      <c r="AB40">
        <f t="shared" si="3"/>
        <v>186.59586737113989</v>
      </c>
      <c r="AC40" s="15">
        <f>IF(H40="*","*",IF(_xlfn.XLOOKUP($H40,'TRA TECH'!$J:$J,'TRA TECH'!AE:AE)="","",_xlfn.XLOOKUP($H40,'TRA TECH'!$J:$J,'TRA TECH'!AE:AE)))</f>
        <v>4.6970175797771363</v>
      </c>
      <c r="AD40" s="15">
        <f>IF(H40="*","*",IF(_xlfn.XLOOKUP($H40,'TRA TECH'!$J:$J,'TRA TECH'!AF:AF)="","",_xlfn.XLOOKUP($H40,'TRA TECH'!$J:$J,'TRA TECH'!AF:AF)))</f>
        <v>4.6970175797771363</v>
      </c>
      <c r="AE40" s="15">
        <f>IF(H40="*","*",IF(_xlfn.XLOOKUP($H40,'TRA TECH'!$J:$J,'TRA TECH'!AG:AG)="","",_xlfn.XLOOKUP($H40,'TRA TECH'!$J:$J,'TRA TECH'!AG:AG)))</f>
        <v>4.6970175797771363</v>
      </c>
      <c r="AF40" s="15">
        <f>IF(H40="*","*",IF(_xlfn.XLOOKUP($H40,'TRA TECH'!$J:$J,'TRA TECH'!AH:AH)="","",_xlfn.XLOOKUP($H40,'TRA TECH'!$J:$J,'TRA TECH'!AH:AH)))</f>
        <v>4.6970175797771363</v>
      </c>
      <c r="AG40" s="15">
        <f>IF(H40="*","*",IF(_xlfn.XLOOKUP($H40,'TRA TECH'!$J:$J,'TRA TECH'!AI:AI)="","",_xlfn.XLOOKUP($H40,'TRA TECH'!$J:$J,'TRA TECH'!AI:AI)))</f>
        <v>4.6970175797771363</v>
      </c>
      <c r="AH40" s="15">
        <f>IF(H40="*","*",IF(_xlfn.XLOOKUP($H40,'TRA TECH'!$J:$J,'TRA TECH'!AJ:AJ)="","",_xlfn.XLOOKUP($H40,'TRA TECH'!$J:$J,'TRA TECH'!AJ:AJ)))</f>
        <v>4.6970175797771363</v>
      </c>
      <c r="AI40" s="15">
        <f>IF(H40="*","*",IF(_xlfn.XLOOKUP($H40,'TRA TECH'!$J:$J,'TRA TECH'!AK:AK)="","",_xlfn.XLOOKUP($H40,'TRA TECH'!$J:$J,'TRA TECH'!AK:AK)))</f>
        <v>4.6970175797771363</v>
      </c>
      <c r="AJ40" s="15">
        <f t="shared" si="4"/>
        <v>4.6970175797771363</v>
      </c>
      <c r="AK40" s="16">
        <f t="shared" si="5"/>
        <v>0.1</v>
      </c>
    </row>
    <row r="41" spans="2:37" x14ac:dyDescent="0.25">
      <c r="B41" t="str">
        <f>IF('TRA TECH'!M37=0,"*",IF('TRA TECH'!H37="","*",'TRA TECH'!J37))</f>
        <v>TRAPASLDTICEVTGSL20</v>
      </c>
      <c r="C41" t="str">
        <f>IF('TRA TECH'!M37=0,"*",'TRA TECH'!H37)</f>
        <v>TRAETH</v>
      </c>
      <c r="D41" t="s">
        <v>424</v>
      </c>
      <c r="E41" s="9">
        <f>'TRA TECH'!P37</f>
        <v>0.1</v>
      </c>
      <c r="H41" t="str">
        <f>IF('TRA TECH'!M37=1,IF('TRA TECH'!L37=1,'TRA TECH'!J37,"*"),"*")</f>
        <v>*</v>
      </c>
      <c r="I41" t="str">
        <f>IF(H41="*","*",_xlfn.XLOOKUP(H41,'TRA TECH'!J:J,'TRA TECH'!I:I))</f>
        <v>*</v>
      </c>
      <c r="J41" t="str">
        <f>IF(H41="*","*",_xlfn.XLOOKUP(H41,'TRA TECH'!J:J,'TRA TECH'!N:N))</f>
        <v>*</v>
      </c>
      <c r="K41" s="15" t="str">
        <f>IF(H41="*","*",IF(_xlfn.XLOOKUP(H41,'TRA TECH'!J:J,'TRA TECH'!O:O)="","",_xlfn.XLOOKUP(H41,'TRA TECH'!J:J,'TRA TECH'!O:O)))</f>
        <v>*</v>
      </c>
      <c r="L41" t="str">
        <f t="shared" si="1"/>
        <v>*</v>
      </c>
      <c r="M41" t="str">
        <f>IF(H41="*","*",IF(_xlfn.XLOOKUP($H41,'TRA TECH'!$J:$J,'TRA TECH'!Q:Q)="","",_xlfn.XLOOKUP($H41,'TRA TECH'!$J:$J,'TRA TECH'!Q:Q)))</f>
        <v>*</v>
      </c>
      <c r="N41" t="str">
        <f>IF(H41="*","*",IF(_xlfn.XLOOKUP($H41,'TRA TECH'!$J:$J,'TRA TECH'!R:R)="","",_xlfn.XLOOKUP($H41,'TRA TECH'!$J:$J,'TRA TECH'!R:R)))</f>
        <v>*</v>
      </c>
      <c r="O41" t="str">
        <f>IF(H41="*","*",IF(_xlfn.XLOOKUP($H41,'TRA TECH'!$J:$J,'TRA TECH'!S:S)="","",_xlfn.XLOOKUP($H41,'TRA TECH'!$J:$J,'TRA TECH'!S:S)))</f>
        <v>*</v>
      </c>
      <c r="P41" t="str">
        <f>IF(H41="*","*",IF(_xlfn.XLOOKUP($H41,'TRA TECH'!$J:$J,'TRA TECH'!T:T)="","",_xlfn.XLOOKUP($H41,'TRA TECH'!$J:$J,'TRA TECH'!T:T)))</f>
        <v>*</v>
      </c>
      <c r="Q41" t="str">
        <f>IF(H41="*","*",IF(_xlfn.XLOOKUP($H41,'TRA TECH'!$J:$J,'TRA TECH'!U:U)="","",_xlfn.XLOOKUP($H41,'TRA TECH'!$J:$J,'TRA TECH'!U:U)))</f>
        <v>*</v>
      </c>
      <c r="R41" t="str">
        <f>IF(H41="*","*",IF(_xlfn.XLOOKUP($H41,'TRA TECH'!$J:$J,'TRA TECH'!V:V)="","",_xlfn.XLOOKUP($H41,'TRA TECH'!$J:$J,'TRA TECH'!V:V)))</f>
        <v>*</v>
      </c>
      <c r="S41" t="str">
        <f>IF(H41="*","*",IF(_xlfn.XLOOKUP($H41,'TRA TECH'!$J:$J,'TRA TECH'!W:W)="","",_xlfn.XLOOKUP($H41,'TRA TECH'!$J:$J,'TRA TECH'!W:W)))</f>
        <v>*</v>
      </c>
      <c r="T41" t="str">
        <f t="shared" si="2"/>
        <v>*</v>
      </c>
      <c r="U41" t="str">
        <f>IF(H41="*","*",IF(_xlfn.XLOOKUP($H41,'TRA TECH'!$J:$J,'TRA TECH'!X:X)="","",_xlfn.XLOOKUP($H41,'TRA TECH'!$J:$J,'TRA TECH'!X:X)))</f>
        <v>*</v>
      </c>
      <c r="V41" t="str">
        <f>IF(H41="*","*",IF(_xlfn.XLOOKUP($H41,'TRA TECH'!$J:$J,'TRA TECH'!Y:Y)="","",_xlfn.XLOOKUP($H41,'TRA TECH'!$J:$J,'TRA TECH'!Y:Y)))</f>
        <v>*</v>
      </c>
      <c r="W41" t="str">
        <f>IF(H41="*","*",IF(_xlfn.XLOOKUP($H41,'TRA TECH'!$J:$J,'TRA TECH'!Z:Z)="","",_xlfn.XLOOKUP($H41,'TRA TECH'!$J:$J,'TRA TECH'!Z:Z)))</f>
        <v>*</v>
      </c>
      <c r="X41" t="str">
        <f>IF(H41="*","*",IF(_xlfn.XLOOKUP($H41,'TRA TECH'!$J:$J,'TRA TECH'!AA:AA)="","",_xlfn.XLOOKUP($H41,'TRA TECH'!$J:$J,'TRA TECH'!AA:AA)))</f>
        <v>*</v>
      </c>
      <c r="Y41" t="str">
        <f>IF(H41="*","*",IF(_xlfn.XLOOKUP($H41,'TRA TECH'!$J:$J,'TRA TECH'!AB:AB)="","",_xlfn.XLOOKUP($H41,'TRA TECH'!$J:$J,'TRA TECH'!AB:AB)))</f>
        <v>*</v>
      </c>
      <c r="Z41" t="str">
        <f>IF(H41="*","*",IF(_xlfn.XLOOKUP($H41,'TRA TECH'!$J:$J,'TRA TECH'!AC:AC)="","",_xlfn.XLOOKUP($H41,'TRA TECH'!$J:$J,'TRA TECH'!AC:AC)))</f>
        <v>*</v>
      </c>
      <c r="AA41" t="str">
        <f>IF(H41="*","*",IF(_xlfn.XLOOKUP($H41,'TRA TECH'!$J:$J,'TRA TECH'!AD:AD)="","",_xlfn.XLOOKUP($H41,'TRA TECH'!$J:$J,'TRA TECH'!AD:AD)))</f>
        <v>*</v>
      </c>
      <c r="AB41" t="str">
        <f t="shared" si="3"/>
        <v>*</v>
      </c>
      <c r="AC41" s="15" t="str">
        <f>IF(H41="*","*",IF(_xlfn.XLOOKUP($H41,'TRA TECH'!$J:$J,'TRA TECH'!AE:AE)="","",_xlfn.XLOOKUP($H41,'TRA TECH'!$J:$J,'TRA TECH'!AE:AE)))</f>
        <v>*</v>
      </c>
      <c r="AD41" s="15" t="str">
        <f>IF(H41="*","*",IF(_xlfn.XLOOKUP($H41,'TRA TECH'!$J:$J,'TRA TECH'!AF:AF)="","",_xlfn.XLOOKUP($H41,'TRA TECH'!$J:$J,'TRA TECH'!AF:AF)))</f>
        <v>*</v>
      </c>
      <c r="AE41" s="15" t="str">
        <f>IF(H41="*","*",IF(_xlfn.XLOOKUP($H41,'TRA TECH'!$J:$J,'TRA TECH'!AG:AG)="","",_xlfn.XLOOKUP($H41,'TRA TECH'!$J:$J,'TRA TECH'!AG:AG)))</f>
        <v>*</v>
      </c>
      <c r="AF41" s="15" t="str">
        <f>IF(H41="*","*",IF(_xlfn.XLOOKUP($H41,'TRA TECH'!$J:$J,'TRA TECH'!AH:AH)="","",_xlfn.XLOOKUP($H41,'TRA TECH'!$J:$J,'TRA TECH'!AH:AH)))</f>
        <v>*</v>
      </c>
      <c r="AG41" s="15" t="str">
        <f>IF(H41="*","*",IF(_xlfn.XLOOKUP($H41,'TRA TECH'!$J:$J,'TRA TECH'!AI:AI)="","",_xlfn.XLOOKUP($H41,'TRA TECH'!$J:$J,'TRA TECH'!AI:AI)))</f>
        <v>*</v>
      </c>
      <c r="AH41" s="15" t="str">
        <f>IF(H41="*","*",IF(_xlfn.XLOOKUP($H41,'TRA TECH'!$J:$J,'TRA TECH'!AJ:AJ)="","",_xlfn.XLOOKUP($H41,'TRA TECH'!$J:$J,'TRA TECH'!AJ:AJ)))</f>
        <v>*</v>
      </c>
      <c r="AI41" s="15" t="str">
        <f>IF(H41="*","*",IF(_xlfn.XLOOKUP($H41,'TRA TECH'!$J:$J,'TRA TECH'!AK:AK)="","",_xlfn.XLOOKUP($H41,'TRA TECH'!$J:$J,'TRA TECH'!AK:AK)))</f>
        <v>*</v>
      </c>
      <c r="AJ41" s="15" t="str">
        <f t="shared" si="4"/>
        <v>*</v>
      </c>
      <c r="AK41" s="16" t="str">
        <f t="shared" si="5"/>
        <v>*</v>
      </c>
    </row>
    <row r="42" spans="2:37" x14ac:dyDescent="0.25">
      <c r="B42" t="str">
        <f>IF('TRA TECH'!M38=0,"*",IF('TRA TECH'!H38="","*",'TRA TECH'!J38))</f>
        <v>TRAPASLDTHEVGSL20</v>
      </c>
      <c r="C42" t="str">
        <f>IF('TRA TECH'!M38=0,"*",'TRA TECH'!H38)</f>
        <v>TRAGSL</v>
      </c>
      <c r="D42" t="s">
        <v>424</v>
      </c>
      <c r="E42" s="9">
        <f>'TRA TECH'!P38</f>
        <v>1</v>
      </c>
      <c r="H42" t="str">
        <f>IF('TRA TECH'!M38=1,IF('TRA TECH'!L38=1,'TRA TECH'!J38,"*"),"*")</f>
        <v>TRAPASLDTHEVGSL20</v>
      </c>
      <c r="I42" t="str">
        <f>IF(H42="*","*",_xlfn.XLOOKUP(H42,'TRA TECH'!J:J,'TRA TECH'!I:I))</f>
        <v>TRAPASLDTDMD</v>
      </c>
      <c r="J42">
        <f>IF(H42="*","*",_xlfn.XLOOKUP(H42,'TRA TECH'!J:J,'TRA TECH'!N:N))</f>
        <v>2020</v>
      </c>
      <c r="K42" s="15">
        <f>IF(H42="*","*",IF(_xlfn.XLOOKUP(H42,'TRA TECH'!J:J,'TRA TECH'!O:O)="","",_xlfn.XLOOKUP(H42,'TRA TECH'!J:J,'TRA TECH'!O:O)))</f>
        <v>18.828422487318921</v>
      </c>
      <c r="L42">
        <f t="shared" si="1"/>
        <v>1</v>
      </c>
      <c r="M42">
        <f>IF(H42="*","*",IF(_xlfn.XLOOKUP($H42,'TRA TECH'!$J:$J,'TRA TECH'!Q:Q)="","",_xlfn.XLOOKUP($H42,'TRA TECH'!$J:$J,'TRA TECH'!Q:Q)))</f>
        <v>0.30465930761622162</v>
      </c>
      <c r="N42">
        <f>IF(H42="*","*",IF(_xlfn.XLOOKUP($H42,'TRA TECH'!$J:$J,'TRA TECH'!R:R)="","",_xlfn.XLOOKUP($H42,'TRA TECH'!$J:$J,'TRA TECH'!R:R)))</f>
        <v>0.30112189910979242</v>
      </c>
      <c r="O42">
        <f>IF(H42="*","*",IF(_xlfn.XLOOKUP($H42,'TRA TECH'!$J:$J,'TRA TECH'!S:S)="","",_xlfn.XLOOKUP($H42,'TRA TECH'!$J:$J,'TRA TECH'!S:S)))</f>
        <v>0.34843473788328377</v>
      </c>
      <c r="P42">
        <f>IF(H42="*","*",IF(_xlfn.XLOOKUP($H42,'TRA TECH'!$J:$J,'TRA TECH'!T:T)="","",_xlfn.XLOOKUP($H42,'TRA TECH'!$J:$J,'TRA TECH'!T:T)))</f>
        <v>0.38071359050445108</v>
      </c>
      <c r="Q42">
        <f>IF(H42="*","*",IF(_xlfn.XLOOKUP($H42,'TRA TECH'!$J:$J,'TRA TECH'!U:U)="","",_xlfn.XLOOKUP($H42,'TRA TECH'!$J:$J,'TRA TECH'!U:U)))</f>
        <v>0.40016933728981208</v>
      </c>
      <c r="R42">
        <f>IF(H42="*","*",IF(_xlfn.XLOOKUP($H42,'TRA TECH'!$J:$J,'TRA TECH'!V:V)="","",_xlfn.XLOOKUP($H42,'TRA TECH'!$J:$J,'TRA TECH'!V:V)))</f>
        <v>0.42006726013847667</v>
      </c>
      <c r="S42">
        <f>IF(H42="*","*",IF(_xlfn.XLOOKUP($H42,'TRA TECH'!$J:$J,'TRA TECH'!W:W)="","",_xlfn.XLOOKUP($H42,'TRA TECH'!$J:$J,'TRA TECH'!W:W)))</f>
        <v>0.43952300692383778</v>
      </c>
      <c r="T42">
        <f t="shared" si="2"/>
        <v>0.43952300692383778</v>
      </c>
      <c r="U42">
        <f>IF(H42="*","*",IF(_xlfn.XLOOKUP($H42,'TRA TECH'!$J:$J,'TRA TECH'!X:X)="","",_xlfn.XLOOKUP($H42,'TRA TECH'!$J:$J,'TRA TECH'!X:X)))</f>
        <v>176.87486284481611</v>
      </c>
      <c r="V42">
        <f>IF(H42="*","*",IF(_xlfn.XLOOKUP($H42,'TRA TECH'!$J:$J,'TRA TECH'!Y:Y)="","",_xlfn.XLOOKUP($H42,'TRA TECH'!$J:$J,'TRA TECH'!Y:Y)))</f>
        <v>176.16356983069491</v>
      </c>
      <c r="W42">
        <f>IF(H42="*","*",IF(_xlfn.XLOOKUP($H42,'TRA TECH'!$J:$J,'TRA TECH'!Z:Z)="","",_xlfn.XLOOKUP($H42,'TRA TECH'!$J:$J,'TRA TECH'!Z:Z)))</f>
        <v>180.19423024404861</v>
      </c>
      <c r="X42">
        <f>IF(H42="*","*",IF(_xlfn.XLOOKUP($H42,'TRA TECH'!$J:$J,'TRA TECH'!AA:AA)="","",_xlfn.XLOOKUP($H42,'TRA TECH'!$J:$J,'TRA TECH'!AA:AA)))</f>
        <v>188.72974641350359</v>
      </c>
      <c r="Y42">
        <f>IF(H42="*","*",IF(_xlfn.XLOOKUP($H42,'TRA TECH'!$J:$J,'TRA TECH'!AB:AB)="","",_xlfn.XLOOKUP($H42,'TRA TECH'!$J:$J,'TRA TECH'!AB:AB)))</f>
        <v>187.30716038526111</v>
      </c>
      <c r="Z42">
        <f>IF(H42="*","*",IF(_xlfn.XLOOKUP($H42,'TRA TECH'!$J:$J,'TRA TECH'!AC:AC)="","",_xlfn.XLOOKUP($H42,'TRA TECH'!$J:$J,'TRA TECH'!AC:AC)))</f>
        <v>185.88457435701869</v>
      </c>
      <c r="AA42">
        <f>IF(H42="*","*",IF(_xlfn.XLOOKUP($H42,'TRA TECH'!$J:$J,'TRA TECH'!AD:AD)="","",_xlfn.XLOOKUP($H42,'TRA TECH'!$J:$J,'TRA TECH'!AD:AD)))</f>
        <v>184.4619883287761</v>
      </c>
      <c r="AB42">
        <f t="shared" si="3"/>
        <v>184.4619883287761</v>
      </c>
      <c r="AC42" s="15">
        <f>IF(H42="*","*",IF(_xlfn.XLOOKUP($H42,'TRA TECH'!$J:$J,'TRA TECH'!AE:AE)="","",_xlfn.XLOOKUP($H42,'TRA TECH'!$J:$J,'TRA TECH'!AE:AE)))</f>
        <v>4.4829443924950638</v>
      </c>
      <c r="AD42" s="15">
        <f>IF(H42="*","*",IF(_xlfn.XLOOKUP($H42,'TRA TECH'!$J:$J,'TRA TECH'!AF:AF)="","",_xlfn.XLOOKUP($H42,'TRA TECH'!$J:$J,'TRA TECH'!AF:AF)))</f>
        <v>4.4829443924950638</v>
      </c>
      <c r="AE42" s="15">
        <f>IF(H42="*","*",IF(_xlfn.XLOOKUP($H42,'TRA TECH'!$J:$J,'TRA TECH'!AG:AG)="","",_xlfn.XLOOKUP($H42,'TRA TECH'!$J:$J,'TRA TECH'!AG:AG)))</f>
        <v>4.4829443924950638</v>
      </c>
      <c r="AF42" s="15">
        <f>IF(H42="*","*",IF(_xlfn.XLOOKUP($H42,'TRA TECH'!$J:$J,'TRA TECH'!AH:AH)="","",_xlfn.XLOOKUP($H42,'TRA TECH'!$J:$J,'TRA TECH'!AH:AH)))</f>
        <v>4.4829443924950638</v>
      </c>
      <c r="AG42" s="15">
        <f>IF(H42="*","*",IF(_xlfn.XLOOKUP($H42,'TRA TECH'!$J:$J,'TRA TECH'!AI:AI)="","",_xlfn.XLOOKUP($H42,'TRA TECH'!$J:$J,'TRA TECH'!AI:AI)))</f>
        <v>4.4829443924950638</v>
      </c>
      <c r="AH42" s="15">
        <f>IF(H42="*","*",IF(_xlfn.XLOOKUP($H42,'TRA TECH'!$J:$J,'TRA TECH'!AJ:AJ)="","",_xlfn.XLOOKUP($H42,'TRA TECH'!$J:$J,'TRA TECH'!AJ:AJ)))</f>
        <v>4.4829443924950638</v>
      </c>
      <c r="AI42" s="15">
        <f>IF(H42="*","*",IF(_xlfn.XLOOKUP($H42,'TRA TECH'!$J:$J,'TRA TECH'!AK:AK)="","",_xlfn.XLOOKUP($H42,'TRA TECH'!$J:$J,'TRA TECH'!AK:AK)))</f>
        <v>4.4829443924950638</v>
      </c>
      <c r="AJ42" s="15">
        <f t="shared" si="4"/>
        <v>4.4829443924950638</v>
      </c>
      <c r="AK42" s="16">
        <f t="shared" si="5"/>
        <v>0.25</v>
      </c>
    </row>
    <row r="43" spans="2:37" x14ac:dyDescent="0.25">
      <c r="B43" t="str">
        <f>IF('TRA TECH'!M39=0,"*",IF('TRA TECH'!H39="","*",'TRA TECH'!J39))</f>
        <v>TRAPASLDTHEVGSL20</v>
      </c>
      <c r="C43" t="str">
        <f>IF('TRA TECH'!M39=0,"*",'TRA TECH'!H39)</f>
        <v>TRAETH</v>
      </c>
      <c r="D43" t="s">
        <v>424</v>
      </c>
      <c r="E43" s="9">
        <f>'TRA TECH'!P39</f>
        <v>0.1</v>
      </c>
      <c r="H43" t="str">
        <f>IF('TRA TECH'!M39=1,IF('TRA TECH'!L39=1,'TRA TECH'!J39,"*"),"*")</f>
        <v>*</v>
      </c>
      <c r="I43" t="str">
        <f>IF(H43="*","*",_xlfn.XLOOKUP(H43,'TRA TECH'!J:J,'TRA TECH'!I:I))</f>
        <v>*</v>
      </c>
      <c r="J43" t="str">
        <f>IF(H43="*","*",_xlfn.XLOOKUP(H43,'TRA TECH'!J:J,'TRA TECH'!N:N))</f>
        <v>*</v>
      </c>
      <c r="K43" s="15" t="str">
        <f>IF(H43="*","*",IF(_xlfn.XLOOKUP(H43,'TRA TECH'!J:J,'TRA TECH'!O:O)="","",_xlfn.XLOOKUP(H43,'TRA TECH'!J:J,'TRA TECH'!O:O)))</f>
        <v>*</v>
      </c>
      <c r="L43" t="str">
        <f t="shared" si="1"/>
        <v>*</v>
      </c>
      <c r="M43" t="str">
        <f>IF(H43="*","*",IF(_xlfn.XLOOKUP($H43,'TRA TECH'!$J:$J,'TRA TECH'!Q:Q)="","",_xlfn.XLOOKUP($H43,'TRA TECH'!$J:$J,'TRA TECH'!Q:Q)))</f>
        <v>*</v>
      </c>
      <c r="N43" t="str">
        <f>IF(H43="*","*",IF(_xlfn.XLOOKUP($H43,'TRA TECH'!$J:$J,'TRA TECH'!R:R)="","",_xlfn.XLOOKUP($H43,'TRA TECH'!$J:$J,'TRA TECH'!R:R)))</f>
        <v>*</v>
      </c>
      <c r="O43" t="str">
        <f>IF(H43="*","*",IF(_xlfn.XLOOKUP($H43,'TRA TECH'!$J:$J,'TRA TECH'!S:S)="","",_xlfn.XLOOKUP($H43,'TRA TECH'!$J:$J,'TRA TECH'!S:S)))</f>
        <v>*</v>
      </c>
      <c r="P43" t="str">
        <f>IF(H43="*","*",IF(_xlfn.XLOOKUP($H43,'TRA TECH'!$J:$J,'TRA TECH'!T:T)="","",_xlfn.XLOOKUP($H43,'TRA TECH'!$J:$J,'TRA TECH'!T:T)))</f>
        <v>*</v>
      </c>
      <c r="Q43" t="str">
        <f>IF(H43="*","*",IF(_xlfn.XLOOKUP($H43,'TRA TECH'!$J:$J,'TRA TECH'!U:U)="","",_xlfn.XLOOKUP($H43,'TRA TECH'!$J:$J,'TRA TECH'!U:U)))</f>
        <v>*</v>
      </c>
      <c r="R43" t="str">
        <f>IF(H43="*","*",IF(_xlfn.XLOOKUP($H43,'TRA TECH'!$J:$J,'TRA TECH'!V:V)="","",_xlfn.XLOOKUP($H43,'TRA TECH'!$J:$J,'TRA TECH'!V:V)))</f>
        <v>*</v>
      </c>
      <c r="S43" t="str">
        <f>IF(H43="*","*",IF(_xlfn.XLOOKUP($H43,'TRA TECH'!$J:$J,'TRA TECH'!W:W)="","",_xlfn.XLOOKUP($H43,'TRA TECH'!$J:$J,'TRA TECH'!W:W)))</f>
        <v>*</v>
      </c>
      <c r="T43" t="str">
        <f t="shared" si="2"/>
        <v>*</v>
      </c>
      <c r="U43" t="str">
        <f>IF(H43="*","*",IF(_xlfn.XLOOKUP($H43,'TRA TECH'!$J:$J,'TRA TECH'!X:X)="","",_xlfn.XLOOKUP($H43,'TRA TECH'!$J:$J,'TRA TECH'!X:X)))</f>
        <v>*</v>
      </c>
      <c r="V43" t="str">
        <f>IF(H43="*","*",IF(_xlfn.XLOOKUP($H43,'TRA TECH'!$J:$J,'TRA TECH'!Y:Y)="","",_xlfn.XLOOKUP($H43,'TRA TECH'!$J:$J,'TRA TECH'!Y:Y)))</f>
        <v>*</v>
      </c>
      <c r="W43" t="str">
        <f>IF(H43="*","*",IF(_xlfn.XLOOKUP($H43,'TRA TECH'!$J:$J,'TRA TECH'!Z:Z)="","",_xlfn.XLOOKUP($H43,'TRA TECH'!$J:$J,'TRA TECH'!Z:Z)))</f>
        <v>*</v>
      </c>
      <c r="X43" t="str">
        <f>IF(H43="*","*",IF(_xlfn.XLOOKUP($H43,'TRA TECH'!$J:$J,'TRA TECH'!AA:AA)="","",_xlfn.XLOOKUP($H43,'TRA TECH'!$J:$J,'TRA TECH'!AA:AA)))</f>
        <v>*</v>
      </c>
      <c r="Y43" t="str">
        <f>IF(H43="*","*",IF(_xlfn.XLOOKUP($H43,'TRA TECH'!$J:$J,'TRA TECH'!AB:AB)="","",_xlfn.XLOOKUP($H43,'TRA TECH'!$J:$J,'TRA TECH'!AB:AB)))</f>
        <v>*</v>
      </c>
      <c r="Z43" t="str">
        <f>IF(H43="*","*",IF(_xlfn.XLOOKUP($H43,'TRA TECH'!$J:$J,'TRA TECH'!AC:AC)="","",_xlfn.XLOOKUP($H43,'TRA TECH'!$J:$J,'TRA TECH'!AC:AC)))</f>
        <v>*</v>
      </c>
      <c r="AA43" t="str">
        <f>IF(H43="*","*",IF(_xlfn.XLOOKUP($H43,'TRA TECH'!$J:$J,'TRA TECH'!AD:AD)="","",_xlfn.XLOOKUP($H43,'TRA TECH'!$J:$J,'TRA TECH'!AD:AD)))</f>
        <v>*</v>
      </c>
      <c r="AB43" t="str">
        <f t="shared" si="3"/>
        <v>*</v>
      </c>
      <c r="AC43" s="15" t="str">
        <f>IF(H43="*","*",IF(_xlfn.XLOOKUP($H43,'TRA TECH'!$J:$J,'TRA TECH'!AE:AE)="","",_xlfn.XLOOKUP($H43,'TRA TECH'!$J:$J,'TRA TECH'!AE:AE)))</f>
        <v>*</v>
      </c>
      <c r="AD43" s="15" t="str">
        <f>IF(H43="*","*",IF(_xlfn.XLOOKUP($H43,'TRA TECH'!$J:$J,'TRA TECH'!AF:AF)="","",_xlfn.XLOOKUP($H43,'TRA TECH'!$J:$J,'TRA TECH'!AF:AF)))</f>
        <v>*</v>
      </c>
      <c r="AE43" s="15" t="str">
        <f>IF(H43="*","*",IF(_xlfn.XLOOKUP($H43,'TRA TECH'!$J:$J,'TRA TECH'!AG:AG)="","",_xlfn.XLOOKUP($H43,'TRA TECH'!$J:$J,'TRA TECH'!AG:AG)))</f>
        <v>*</v>
      </c>
      <c r="AF43" s="15" t="str">
        <f>IF(H43="*","*",IF(_xlfn.XLOOKUP($H43,'TRA TECH'!$J:$J,'TRA TECH'!AH:AH)="","",_xlfn.XLOOKUP($H43,'TRA TECH'!$J:$J,'TRA TECH'!AH:AH)))</f>
        <v>*</v>
      </c>
      <c r="AG43" s="15" t="str">
        <f>IF(H43="*","*",IF(_xlfn.XLOOKUP($H43,'TRA TECH'!$J:$J,'TRA TECH'!AI:AI)="","",_xlfn.XLOOKUP($H43,'TRA TECH'!$J:$J,'TRA TECH'!AI:AI)))</f>
        <v>*</v>
      </c>
      <c r="AH43" s="15" t="str">
        <f>IF(H43="*","*",IF(_xlfn.XLOOKUP($H43,'TRA TECH'!$J:$J,'TRA TECH'!AJ:AJ)="","",_xlfn.XLOOKUP($H43,'TRA TECH'!$J:$J,'TRA TECH'!AJ:AJ)))</f>
        <v>*</v>
      </c>
      <c r="AI43" s="15" t="str">
        <f>IF(H43="*","*",IF(_xlfn.XLOOKUP($H43,'TRA TECH'!$J:$J,'TRA TECH'!AK:AK)="","",_xlfn.XLOOKUP($H43,'TRA TECH'!$J:$J,'TRA TECH'!AK:AK)))</f>
        <v>*</v>
      </c>
      <c r="AJ43" s="15" t="str">
        <f t="shared" si="4"/>
        <v>*</v>
      </c>
      <c r="AK43" s="16" t="str">
        <f t="shared" si="5"/>
        <v>*</v>
      </c>
    </row>
    <row r="44" spans="2:37" x14ac:dyDescent="0.25">
      <c r="B44" t="str">
        <f>IF('TRA TECH'!M40=0,"*",IF('TRA TECH'!H40="","*",'TRA TECH'!J40))</f>
        <v>TRAPASLDTHEVTGSL20</v>
      </c>
      <c r="C44" t="str">
        <f>IF('TRA TECH'!M40=0,"*",'TRA TECH'!H40)</f>
        <v>TRAGSL</v>
      </c>
      <c r="D44" t="s">
        <v>424</v>
      </c>
      <c r="E44" s="9">
        <f>'TRA TECH'!P40</f>
        <v>1</v>
      </c>
      <c r="H44" t="str">
        <f>IF('TRA TECH'!M40=1,IF('TRA TECH'!L40=1,'TRA TECH'!J40,"*"),"*")</f>
        <v>TRAPASLDTHEVTGSL20</v>
      </c>
      <c r="I44" t="str">
        <f>IF(H44="*","*",_xlfn.XLOOKUP(H44,'TRA TECH'!J:J,'TRA TECH'!I:I))</f>
        <v>TRAPASLDTDMD</v>
      </c>
      <c r="J44">
        <f>IF(H44="*","*",_xlfn.XLOOKUP(H44,'TRA TECH'!J:J,'TRA TECH'!N:N))</f>
        <v>2020</v>
      </c>
      <c r="K44" s="15">
        <f>IF(H44="*","*",IF(_xlfn.XLOOKUP(H44,'TRA TECH'!J:J,'TRA TECH'!O:O)="","",_xlfn.XLOOKUP(H44,'TRA TECH'!J:J,'TRA TECH'!O:O)))</f>
        <v>18.828422487318921</v>
      </c>
      <c r="L44">
        <f t="shared" si="1"/>
        <v>1</v>
      </c>
      <c r="M44">
        <f>IF(H44="*","*",IF(_xlfn.XLOOKUP($H44,'TRA TECH'!$J:$J,'TRA TECH'!Q:Q)="","",_xlfn.XLOOKUP($H44,'TRA TECH'!$J:$J,'TRA TECH'!Q:Q)))</f>
        <v>0.32986334322453009</v>
      </c>
      <c r="N44">
        <f>IF(H44="*","*",IF(_xlfn.XLOOKUP($H44,'TRA TECH'!$J:$J,'TRA TECH'!R:R)="","",_xlfn.XLOOKUP($H44,'TRA TECH'!$J:$J,'TRA TECH'!R:R)))</f>
        <v>0.33074769535113741</v>
      </c>
      <c r="O44">
        <f>IF(H44="*","*",IF(_xlfn.XLOOKUP($H44,'TRA TECH'!$J:$J,'TRA TECH'!S:S)="","",_xlfn.XLOOKUP($H44,'TRA TECH'!$J:$J,'TRA TECH'!S:S)))</f>
        <v>0.36744830860534128</v>
      </c>
      <c r="P44">
        <f>IF(H44="*","*",IF(_xlfn.XLOOKUP($H44,'TRA TECH'!$J:$J,'TRA TECH'!T:T)="","",_xlfn.XLOOKUP($H44,'TRA TECH'!$J:$J,'TRA TECH'!T:T)))</f>
        <v>0.40105368941641939</v>
      </c>
      <c r="Q44">
        <f>IF(H44="*","*",IF(_xlfn.XLOOKUP($H44,'TRA TECH'!$J:$J,'TRA TECH'!U:U)="","",_xlfn.XLOOKUP($H44,'TRA TECH'!$J:$J,'TRA TECH'!U:U)))</f>
        <v>0.42360466864490609</v>
      </c>
      <c r="R44">
        <f>IF(H44="*","*",IF(_xlfn.XLOOKUP($H44,'TRA TECH'!$J:$J,'TRA TECH'!V:V)="","",_xlfn.XLOOKUP($H44,'TRA TECH'!$J:$J,'TRA TECH'!V:V)))</f>
        <v>0.44482911968348149</v>
      </c>
      <c r="S44">
        <f>IF(H44="*","*",IF(_xlfn.XLOOKUP($H44,'TRA TECH'!$J:$J,'TRA TECH'!W:W)="","",_xlfn.XLOOKUP($H44,'TRA TECH'!$J:$J,'TRA TECH'!W:W)))</f>
        <v>0.46693792284866492</v>
      </c>
      <c r="T44">
        <f t="shared" si="2"/>
        <v>0.46693792284866492</v>
      </c>
      <c r="U44">
        <f>IF(H44="*","*",IF(_xlfn.XLOOKUP($H44,'TRA TECH'!$J:$J,'TRA TECH'!X:X)="","",_xlfn.XLOOKUP($H44,'TRA TECH'!$J:$J,'TRA TECH'!X:X)))</f>
        <v>180.43132791542229</v>
      </c>
      <c r="V44">
        <f>IF(H44="*","*",IF(_xlfn.XLOOKUP($H44,'TRA TECH'!$J:$J,'TRA TECH'!Y:Y)="","",_xlfn.XLOOKUP($H44,'TRA TECH'!$J:$J,'TRA TECH'!Y:Y)))</f>
        <v>179.00874188717989</v>
      </c>
      <c r="W44">
        <f>IF(H44="*","*",IF(_xlfn.XLOOKUP($H44,'TRA TECH'!$J:$J,'TRA TECH'!Z:Z)="","",_xlfn.XLOOKUP($H44,'TRA TECH'!$J:$J,'TRA TECH'!Z:Z)))</f>
        <v>181.85391394366491</v>
      </c>
      <c r="X44">
        <f>IF(H44="*","*",IF(_xlfn.XLOOKUP($H44,'TRA TECH'!$J:$J,'TRA TECH'!AA:AA)="","",_xlfn.XLOOKUP($H44,'TRA TECH'!$J:$J,'TRA TECH'!AA:AA)))</f>
        <v>188.4926487421298</v>
      </c>
      <c r="Y44">
        <f>IF(H44="*","*",IF(_xlfn.XLOOKUP($H44,'TRA TECH'!$J:$J,'TRA TECH'!AB:AB)="","",_xlfn.XLOOKUP($H44,'TRA TECH'!$J:$J,'TRA TECH'!AB:AB)))</f>
        <v>188.01845339938239</v>
      </c>
      <c r="Z44">
        <f>IF(H44="*","*",IF(_xlfn.XLOOKUP($H44,'TRA TECH'!$J:$J,'TRA TECH'!AC:AC)="","",_xlfn.XLOOKUP($H44,'TRA TECH'!$J:$J,'TRA TECH'!AC:AC)))</f>
        <v>187.78135572800849</v>
      </c>
      <c r="AA44">
        <f>IF(H44="*","*",IF(_xlfn.XLOOKUP($H44,'TRA TECH'!$J:$J,'TRA TECH'!AD:AD)="","",_xlfn.XLOOKUP($H44,'TRA TECH'!$J:$J,'TRA TECH'!AD:AD)))</f>
        <v>187.54425805663479</v>
      </c>
      <c r="AB44">
        <f t="shared" si="3"/>
        <v>187.54425805663479</v>
      </c>
      <c r="AC44" s="15">
        <f>IF(H44="*","*",IF(_xlfn.XLOOKUP($H44,'TRA TECH'!$J:$J,'TRA TECH'!AE:AE)="","",_xlfn.XLOOKUP($H44,'TRA TECH'!$J:$J,'TRA TECH'!AE:AE)))</f>
        <v>4.4829443924950638</v>
      </c>
      <c r="AD44" s="15">
        <f>IF(H44="*","*",IF(_xlfn.XLOOKUP($H44,'TRA TECH'!$J:$J,'TRA TECH'!AF:AF)="","",_xlfn.XLOOKUP($H44,'TRA TECH'!$J:$J,'TRA TECH'!AF:AF)))</f>
        <v>4.4829443924950638</v>
      </c>
      <c r="AE44" s="15">
        <f>IF(H44="*","*",IF(_xlfn.XLOOKUP($H44,'TRA TECH'!$J:$J,'TRA TECH'!AG:AG)="","",_xlfn.XLOOKUP($H44,'TRA TECH'!$J:$J,'TRA TECH'!AG:AG)))</f>
        <v>4.4829443924950638</v>
      </c>
      <c r="AF44" s="15">
        <f>IF(H44="*","*",IF(_xlfn.XLOOKUP($H44,'TRA TECH'!$J:$J,'TRA TECH'!AH:AH)="","",_xlfn.XLOOKUP($H44,'TRA TECH'!$J:$J,'TRA TECH'!AH:AH)))</f>
        <v>4.4829443924950638</v>
      </c>
      <c r="AG44" s="15">
        <f>IF(H44="*","*",IF(_xlfn.XLOOKUP($H44,'TRA TECH'!$J:$J,'TRA TECH'!AI:AI)="","",_xlfn.XLOOKUP($H44,'TRA TECH'!$J:$J,'TRA TECH'!AI:AI)))</f>
        <v>4.4829443924950638</v>
      </c>
      <c r="AH44" s="15">
        <f>IF(H44="*","*",IF(_xlfn.XLOOKUP($H44,'TRA TECH'!$J:$J,'TRA TECH'!AJ:AJ)="","",_xlfn.XLOOKUP($H44,'TRA TECH'!$J:$J,'TRA TECH'!AJ:AJ)))</f>
        <v>4.4829443924950638</v>
      </c>
      <c r="AI44" s="15">
        <f>IF(H44="*","*",IF(_xlfn.XLOOKUP($H44,'TRA TECH'!$J:$J,'TRA TECH'!AK:AK)="","",_xlfn.XLOOKUP($H44,'TRA TECH'!$J:$J,'TRA TECH'!AK:AK)))</f>
        <v>4.4829443924950638</v>
      </c>
      <c r="AJ44" s="15">
        <f t="shared" si="4"/>
        <v>4.4829443924950638</v>
      </c>
      <c r="AK44" s="16">
        <f t="shared" si="5"/>
        <v>0.25</v>
      </c>
    </row>
    <row r="45" spans="2:37" x14ac:dyDescent="0.25">
      <c r="B45" t="str">
        <f>IF('TRA TECH'!M41=0,"*",IF('TRA TECH'!H41="","*",'TRA TECH'!J41))</f>
        <v>TRAPASLDTHEVTGSL20</v>
      </c>
      <c r="C45" t="str">
        <f>IF('TRA TECH'!M41=0,"*",'TRA TECH'!H41)</f>
        <v>TRAETH</v>
      </c>
      <c r="D45" t="s">
        <v>424</v>
      </c>
      <c r="E45" s="9">
        <f>'TRA TECH'!P41</f>
        <v>0.1</v>
      </c>
      <c r="H45" t="str">
        <f>IF('TRA TECH'!M41=1,IF('TRA TECH'!L41=1,'TRA TECH'!J41,"*"),"*")</f>
        <v>*</v>
      </c>
      <c r="I45" t="str">
        <f>IF(H45="*","*",_xlfn.XLOOKUP(H45,'TRA TECH'!J:J,'TRA TECH'!I:I))</f>
        <v>*</v>
      </c>
      <c r="J45" t="str">
        <f>IF(H45="*","*",_xlfn.XLOOKUP(H45,'TRA TECH'!J:J,'TRA TECH'!N:N))</f>
        <v>*</v>
      </c>
      <c r="K45" s="15" t="str">
        <f>IF(H45="*","*",IF(_xlfn.XLOOKUP(H45,'TRA TECH'!J:J,'TRA TECH'!O:O)="","",_xlfn.XLOOKUP(H45,'TRA TECH'!J:J,'TRA TECH'!O:O)))</f>
        <v>*</v>
      </c>
      <c r="L45" t="str">
        <f t="shared" si="1"/>
        <v>*</v>
      </c>
      <c r="M45" t="str">
        <f>IF(H45="*","*",IF(_xlfn.XLOOKUP($H45,'TRA TECH'!$J:$J,'TRA TECH'!Q:Q)="","",_xlfn.XLOOKUP($H45,'TRA TECH'!$J:$J,'TRA TECH'!Q:Q)))</f>
        <v>*</v>
      </c>
      <c r="N45" t="str">
        <f>IF(H45="*","*",IF(_xlfn.XLOOKUP($H45,'TRA TECH'!$J:$J,'TRA TECH'!R:R)="","",_xlfn.XLOOKUP($H45,'TRA TECH'!$J:$J,'TRA TECH'!R:R)))</f>
        <v>*</v>
      </c>
      <c r="O45" t="str">
        <f>IF(H45="*","*",IF(_xlfn.XLOOKUP($H45,'TRA TECH'!$J:$J,'TRA TECH'!S:S)="","",_xlfn.XLOOKUP($H45,'TRA TECH'!$J:$J,'TRA TECH'!S:S)))</f>
        <v>*</v>
      </c>
      <c r="P45" t="str">
        <f>IF(H45="*","*",IF(_xlfn.XLOOKUP($H45,'TRA TECH'!$J:$J,'TRA TECH'!T:T)="","",_xlfn.XLOOKUP($H45,'TRA TECH'!$J:$J,'TRA TECH'!T:T)))</f>
        <v>*</v>
      </c>
      <c r="Q45" t="str">
        <f>IF(H45="*","*",IF(_xlfn.XLOOKUP($H45,'TRA TECH'!$J:$J,'TRA TECH'!U:U)="","",_xlfn.XLOOKUP($H45,'TRA TECH'!$J:$J,'TRA TECH'!U:U)))</f>
        <v>*</v>
      </c>
      <c r="R45" t="str">
        <f>IF(H45="*","*",IF(_xlfn.XLOOKUP($H45,'TRA TECH'!$J:$J,'TRA TECH'!V:V)="","",_xlfn.XLOOKUP($H45,'TRA TECH'!$J:$J,'TRA TECH'!V:V)))</f>
        <v>*</v>
      </c>
      <c r="S45" t="str">
        <f>IF(H45="*","*",IF(_xlfn.XLOOKUP($H45,'TRA TECH'!$J:$J,'TRA TECH'!W:W)="","",_xlfn.XLOOKUP($H45,'TRA TECH'!$J:$J,'TRA TECH'!W:W)))</f>
        <v>*</v>
      </c>
      <c r="T45" t="str">
        <f t="shared" si="2"/>
        <v>*</v>
      </c>
      <c r="U45" t="str">
        <f>IF(H45="*","*",IF(_xlfn.XLOOKUP($H45,'TRA TECH'!$J:$J,'TRA TECH'!X:X)="","",_xlfn.XLOOKUP($H45,'TRA TECH'!$J:$J,'TRA TECH'!X:X)))</f>
        <v>*</v>
      </c>
      <c r="V45" t="str">
        <f>IF(H45="*","*",IF(_xlfn.XLOOKUP($H45,'TRA TECH'!$J:$J,'TRA TECH'!Y:Y)="","",_xlfn.XLOOKUP($H45,'TRA TECH'!$J:$J,'TRA TECH'!Y:Y)))</f>
        <v>*</v>
      </c>
      <c r="W45" t="str">
        <f>IF(H45="*","*",IF(_xlfn.XLOOKUP($H45,'TRA TECH'!$J:$J,'TRA TECH'!Z:Z)="","",_xlfn.XLOOKUP($H45,'TRA TECH'!$J:$J,'TRA TECH'!Z:Z)))</f>
        <v>*</v>
      </c>
      <c r="X45" t="str">
        <f>IF(H45="*","*",IF(_xlfn.XLOOKUP($H45,'TRA TECH'!$J:$J,'TRA TECH'!AA:AA)="","",_xlfn.XLOOKUP($H45,'TRA TECH'!$J:$J,'TRA TECH'!AA:AA)))</f>
        <v>*</v>
      </c>
      <c r="Y45" t="str">
        <f>IF(H45="*","*",IF(_xlfn.XLOOKUP($H45,'TRA TECH'!$J:$J,'TRA TECH'!AB:AB)="","",_xlfn.XLOOKUP($H45,'TRA TECH'!$J:$J,'TRA TECH'!AB:AB)))</f>
        <v>*</v>
      </c>
      <c r="Z45" t="str">
        <f>IF(H45="*","*",IF(_xlfn.XLOOKUP($H45,'TRA TECH'!$J:$J,'TRA TECH'!AC:AC)="","",_xlfn.XLOOKUP($H45,'TRA TECH'!$J:$J,'TRA TECH'!AC:AC)))</f>
        <v>*</v>
      </c>
      <c r="AA45" t="str">
        <f>IF(H45="*","*",IF(_xlfn.XLOOKUP($H45,'TRA TECH'!$J:$J,'TRA TECH'!AD:AD)="","",_xlfn.XLOOKUP($H45,'TRA TECH'!$J:$J,'TRA TECH'!AD:AD)))</f>
        <v>*</v>
      </c>
      <c r="AB45" t="str">
        <f t="shared" si="3"/>
        <v>*</v>
      </c>
      <c r="AC45" s="15" t="str">
        <f>IF(H45="*","*",IF(_xlfn.XLOOKUP($H45,'TRA TECH'!$J:$J,'TRA TECH'!AE:AE)="","",_xlfn.XLOOKUP($H45,'TRA TECH'!$J:$J,'TRA TECH'!AE:AE)))</f>
        <v>*</v>
      </c>
      <c r="AD45" s="15" t="str">
        <f>IF(H45="*","*",IF(_xlfn.XLOOKUP($H45,'TRA TECH'!$J:$J,'TRA TECH'!AF:AF)="","",_xlfn.XLOOKUP($H45,'TRA TECH'!$J:$J,'TRA TECH'!AF:AF)))</f>
        <v>*</v>
      </c>
      <c r="AE45" s="15" t="str">
        <f>IF(H45="*","*",IF(_xlfn.XLOOKUP($H45,'TRA TECH'!$J:$J,'TRA TECH'!AG:AG)="","",_xlfn.XLOOKUP($H45,'TRA TECH'!$J:$J,'TRA TECH'!AG:AG)))</f>
        <v>*</v>
      </c>
      <c r="AF45" s="15" t="str">
        <f>IF(H45="*","*",IF(_xlfn.XLOOKUP($H45,'TRA TECH'!$J:$J,'TRA TECH'!AH:AH)="","",_xlfn.XLOOKUP($H45,'TRA TECH'!$J:$J,'TRA TECH'!AH:AH)))</f>
        <v>*</v>
      </c>
      <c r="AG45" s="15" t="str">
        <f>IF(H45="*","*",IF(_xlfn.XLOOKUP($H45,'TRA TECH'!$J:$J,'TRA TECH'!AI:AI)="","",_xlfn.XLOOKUP($H45,'TRA TECH'!$J:$J,'TRA TECH'!AI:AI)))</f>
        <v>*</v>
      </c>
      <c r="AH45" s="15" t="str">
        <f>IF(H45="*","*",IF(_xlfn.XLOOKUP($H45,'TRA TECH'!$J:$J,'TRA TECH'!AJ:AJ)="","",_xlfn.XLOOKUP($H45,'TRA TECH'!$J:$J,'TRA TECH'!AJ:AJ)))</f>
        <v>*</v>
      </c>
      <c r="AI45" s="15" t="str">
        <f>IF(H45="*","*",IF(_xlfn.XLOOKUP($H45,'TRA TECH'!$J:$J,'TRA TECH'!AK:AK)="","",_xlfn.XLOOKUP($H45,'TRA TECH'!$J:$J,'TRA TECH'!AK:AK)))</f>
        <v>*</v>
      </c>
      <c r="AJ45" s="15" t="str">
        <f t="shared" si="4"/>
        <v>*</v>
      </c>
      <c r="AK45" s="16" t="str">
        <f t="shared" si="5"/>
        <v>*</v>
      </c>
    </row>
    <row r="46" spans="2:37" x14ac:dyDescent="0.25">
      <c r="B46" t="str">
        <f>IF('TRA TECH'!M42=0,"*",IF('TRA TECH'!H42="","*",'TRA TECH'!J42))</f>
        <v>TRAPASLDTHEVIGSL20</v>
      </c>
      <c r="C46" t="str">
        <f>IF('TRA TECH'!M42=0,"*",'TRA TECH'!H42)</f>
        <v>TRAGSL</v>
      </c>
      <c r="D46" t="s">
        <v>424</v>
      </c>
      <c r="E46" s="9">
        <f>'TRA TECH'!P42</f>
        <v>1</v>
      </c>
      <c r="H46" t="str">
        <f>IF('TRA TECH'!M42=1,IF('TRA TECH'!L42=1,'TRA TECH'!J42,"*"),"*")</f>
        <v>TRAPASLDTHEVIGSL20</v>
      </c>
      <c r="I46" t="str">
        <f>IF(H46="*","*",_xlfn.XLOOKUP(H46,'TRA TECH'!J:J,'TRA TECH'!I:I))</f>
        <v>TRAPASLDTDMD</v>
      </c>
      <c r="J46">
        <f>IF(H46="*","*",_xlfn.XLOOKUP(H46,'TRA TECH'!J:J,'TRA TECH'!N:N))</f>
        <v>2020</v>
      </c>
      <c r="K46" s="15">
        <f>IF(H46="*","*",IF(_xlfn.XLOOKUP(H46,'TRA TECH'!J:J,'TRA TECH'!O:O)="","",_xlfn.XLOOKUP(H46,'TRA TECH'!J:J,'TRA TECH'!O:O)))</f>
        <v>18.828422487318921</v>
      </c>
      <c r="L46">
        <f t="shared" si="1"/>
        <v>1</v>
      </c>
      <c r="M46">
        <f>IF(H46="*","*",IF(_xlfn.XLOOKUP($H46,'TRA TECH'!$J:$J,'TRA TECH'!Q:Q)="","",_xlfn.XLOOKUP($H46,'TRA TECH'!$J:$J,'TRA TECH'!Q:Q)))</f>
        <v>0.31306065281899109</v>
      </c>
      <c r="N46">
        <f>IF(H46="*","*",IF(_xlfn.XLOOKUP($H46,'TRA TECH'!$J:$J,'TRA TECH'!R:R)="","",_xlfn.XLOOKUP($H46,'TRA TECH'!$J:$J,'TRA TECH'!R:R)))</f>
        <v>0.30908106824925807</v>
      </c>
      <c r="O46">
        <f>IF(H46="*","*",IF(_xlfn.XLOOKUP($H46,'TRA TECH'!$J:$J,'TRA TECH'!S:S)="","",_xlfn.XLOOKUP($H46,'TRA TECH'!$J:$J,'TRA TECH'!S:S)))</f>
        <v>0.35772043521266078</v>
      </c>
      <c r="P46">
        <f>IF(H46="*","*",IF(_xlfn.XLOOKUP($H46,'TRA TECH'!$J:$J,'TRA TECH'!T:T)="","",_xlfn.XLOOKUP($H46,'TRA TECH'!$J:$J,'TRA TECH'!T:T)))</f>
        <v>0.39044146389713141</v>
      </c>
      <c r="Q46">
        <f>IF(H46="*","*",IF(_xlfn.XLOOKUP($H46,'TRA TECH'!$J:$J,'TRA TECH'!U:U)="","",_xlfn.XLOOKUP($H46,'TRA TECH'!$J:$J,'TRA TECH'!U:U)))</f>
        <v>0.41166591493570709</v>
      </c>
      <c r="R46">
        <f>IF(H46="*","*",IF(_xlfn.XLOOKUP($H46,'TRA TECH'!$J:$J,'TRA TECH'!V:V)="","",_xlfn.XLOOKUP($H46,'TRA TECH'!$J:$J,'TRA TECH'!V:V)))</f>
        <v>0.43289036597428282</v>
      </c>
      <c r="S46">
        <f>IF(H46="*","*",IF(_xlfn.XLOOKUP($H46,'TRA TECH'!$J:$J,'TRA TECH'!W:W)="","",_xlfn.XLOOKUP($H46,'TRA TECH'!$J:$J,'TRA TECH'!W:W)))</f>
        <v>0.45367264094955478</v>
      </c>
      <c r="T46">
        <f t="shared" si="2"/>
        <v>0.45367264094955478</v>
      </c>
      <c r="U46">
        <f>IF(H46="*","*",IF(_xlfn.XLOOKUP($H46,'TRA TECH'!$J:$J,'TRA TECH'!X:X)="","",_xlfn.XLOOKUP($H46,'TRA TECH'!$J:$J,'TRA TECH'!X:X)))</f>
        <v>180.19423024404861</v>
      </c>
      <c r="V46">
        <f>IF(H46="*","*",IF(_xlfn.XLOOKUP($H46,'TRA TECH'!$J:$J,'TRA TECH'!Y:Y)="","",_xlfn.XLOOKUP($H46,'TRA TECH'!$J:$J,'TRA TECH'!Y:Y)))</f>
        <v>179.00874188717989</v>
      </c>
      <c r="W46">
        <f>IF(H46="*","*",IF(_xlfn.XLOOKUP($H46,'TRA TECH'!$J:$J,'TRA TECH'!Z:Z)="","",_xlfn.XLOOKUP($H46,'TRA TECH'!$J:$J,'TRA TECH'!Z:Z)))</f>
        <v>182.5652069577861</v>
      </c>
      <c r="X46">
        <f>IF(H46="*","*",IF(_xlfn.XLOOKUP($H46,'TRA TECH'!$J:$J,'TRA TECH'!AA:AA)="","",_xlfn.XLOOKUP($H46,'TRA TECH'!$J:$J,'TRA TECH'!AA:AA)))</f>
        <v>190.86362545586729</v>
      </c>
      <c r="Y46">
        <f>IF(H46="*","*",IF(_xlfn.XLOOKUP($H46,'TRA TECH'!$J:$J,'TRA TECH'!AB:AB)="","",_xlfn.XLOOKUP($H46,'TRA TECH'!$J:$J,'TRA TECH'!AB:AB)))</f>
        <v>189.20394175625111</v>
      </c>
      <c r="Z46">
        <f>IF(H46="*","*",IF(_xlfn.XLOOKUP($H46,'TRA TECH'!$J:$J,'TRA TECH'!AC:AC)="","",_xlfn.XLOOKUP($H46,'TRA TECH'!$J:$J,'TRA TECH'!AC:AC)))</f>
        <v>187.78135572800849</v>
      </c>
      <c r="AA46">
        <f>IF(H46="*","*",IF(_xlfn.XLOOKUP($H46,'TRA TECH'!$J:$J,'TRA TECH'!AD:AD)="","",_xlfn.XLOOKUP($H46,'TRA TECH'!$J:$J,'TRA TECH'!AD:AD)))</f>
        <v>186.1216720283924</v>
      </c>
      <c r="AB46">
        <f t="shared" si="3"/>
        <v>186.1216720283924</v>
      </c>
      <c r="AC46" s="15">
        <f>IF(H46="*","*",IF(_xlfn.XLOOKUP($H46,'TRA TECH'!$J:$J,'TRA TECH'!AE:AE)="","",_xlfn.XLOOKUP($H46,'TRA TECH'!$J:$J,'TRA TECH'!AE:AE)))</f>
        <v>4.4829443924950638</v>
      </c>
      <c r="AD46" s="15">
        <f>IF(H46="*","*",IF(_xlfn.XLOOKUP($H46,'TRA TECH'!$J:$J,'TRA TECH'!AF:AF)="","",_xlfn.XLOOKUP($H46,'TRA TECH'!$J:$J,'TRA TECH'!AF:AF)))</f>
        <v>4.4829443924950638</v>
      </c>
      <c r="AE46" s="15">
        <f>IF(H46="*","*",IF(_xlfn.XLOOKUP($H46,'TRA TECH'!$J:$J,'TRA TECH'!AG:AG)="","",_xlfn.XLOOKUP($H46,'TRA TECH'!$J:$J,'TRA TECH'!AG:AG)))</f>
        <v>4.4829443924950638</v>
      </c>
      <c r="AF46" s="15">
        <f>IF(H46="*","*",IF(_xlfn.XLOOKUP($H46,'TRA TECH'!$J:$J,'TRA TECH'!AH:AH)="","",_xlfn.XLOOKUP($H46,'TRA TECH'!$J:$J,'TRA TECH'!AH:AH)))</f>
        <v>4.4829443924950638</v>
      </c>
      <c r="AG46" s="15">
        <f>IF(H46="*","*",IF(_xlfn.XLOOKUP($H46,'TRA TECH'!$J:$J,'TRA TECH'!AI:AI)="","",_xlfn.XLOOKUP($H46,'TRA TECH'!$J:$J,'TRA TECH'!AI:AI)))</f>
        <v>4.4829443924950638</v>
      </c>
      <c r="AH46" s="15">
        <f>IF(H46="*","*",IF(_xlfn.XLOOKUP($H46,'TRA TECH'!$J:$J,'TRA TECH'!AJ:AJ)="","",_xlfn.XLOOKUP($H46,'TRA TECH'!$J:$J,'TRA TECH'!AJ:AJ)))</f>
        <v>4.4829443924950638</v>
      </c>
      <c r="AI46" s="15">
        <f>IF(H46="*","*",IF(_xlfn.XLOOKUP($H46,'TRA TECH'!$J:$J,'TRA TECH'!AK:AK)="","",_xlfn.XLOOKUP($H46,'TRA TECH'!$J:$J,'TRA TECH'!AK:AK)))</f>
        <v>4.4829443924950638</v>
      </c>
      <c r="AJ46" s="15">
        <f t="shared" si="4"/>
        <v>4.4829443924950638</v>
      </c>
      <c r="AK46" s="16">
        <f t="shared" si="5"/>
        <v>0.25</v>
      </c>
    </row>
    <row r="47" spans="2:37" x14ac:dyDescent="0.25">
      <c r="B47" t="str">
        <f>IF('TRA TECH'!M43=0,"*",IF('TRA TECH'!H43="","*",'TRA TECH'!J43))</f>
        <v>TRAPASLDTHEVIGSL20</v>
      </c>
      <c r="C47" t="str">
        <f>IF('TRA TECH'!M43=0,"*",'TRA TECH'!H43)</f>
        <v>TRAETH</v>
      </c>
      <c r="D47" t="s">
        <v>424</v>
      </c>
      <c r="E47" s="9">
        <f>'TRA TECH'!P43</f>
        <v>0.1</v>
      </c>
      <c r="H47" t="str">
        <f>IF('TRA TECH'!M43=1,IF('TRA TECH'!L43=1,'TRA TECH'!J43,"*"),"*")</f>
        <v>*</v>
      </c>
      <c r="I47" t="str">
        <f>IF(H47="*","*",_xlfn.XLOOKUP(H47,'TRA TECH'!J:J,'TRA TECH'!I:I))</f>
        <v>*</v>
      </c>
      <c r="J47" t="str">
        <f>IF(H47="*","*",_xlfn.XLOOKUP(H47,'TRA TECH'!J:J,'TRA TECH'!N:N))</f>
        <v>*</v>
      </c>
      <c r="K47" s="15" t="str">
        <f>IF(H47="*","*",IF(_xlfn.XLOOKUP(H47,'TRA TECH'!J:J,'TRA TECH'!O:O)="","",_xlfn.XLOOKUP(H47,'TRA TECH'!J:J,'TRA TECH'!O:O)))</f>
        <v>*</v>
      </c>
      <c r="L47" t="str">
        <f t="shared" si="1"/>
        <v>*</v>
      </c>
      <c r="M47" t="str">
        <f>IF(H47="*","*",IF(_xlfn.XLOOKUP($H47,'TRA TECH'!$J:$J,'TRA TECH'!Q:Q)="","",_xlfn.XLOOKUP($H47,'TRA TECH'!$J:$J,'TRA TECH'!Q:Q)))</f>
        <v>*</v>
      </c>
      <c r="N47" t="str">
        <f>IF(H47="*","*",IF(_xlfn.XLOOKUP($H47,'TRA TECH'!$J:$J,'TRA TECH'!R:R)="","",_xlfn.XLOOKUP($H47,'TRA TECH'!$J:$J,'TRA TECH'!R:R)))</f>
        <v>*</v>
      </c>
      <c r="O47" t="str">
        <f>IF(H47="*","*",IF(_xlfn.XLOOKUP($H47,'TRA TECH'!$J:$J,'TRA TECH'!S:S)="","",_xlfn.XLOOKUP($H47,'TRA TECH'!$J:$J,'TRA TECH'!S:S)))</f>
        <v>*</v>
      </c>
      <c r="P47" t="str">
        <f>IF(H47="*","*",IF(_xlfn.XLOOKUP($H47,'TRA TECH'!$J:$J,'TRA TECH'!T:T)="","",_xlfn.XLOOKUP($H47,'TRA TECH'!$J:$J,'TRA TECH'!T:T)))</f>
        <v>*</v>
      </c>
      <c r="Q47" t="str">
        <f>IF(H47="*","*",IF(_xlfn.XLOOKUP($H47,'TRA TECH'!$J:$J,'TRA TECH'!U:U)="","",_xlfn.XLOOKUP($H47,'TRA TECH'!$J:$J,'TRA TECH'!U:U)))</f>
        <v>*</v>
      </c>
      <c r="R47" t="str">
        <f>IF(H47="*","*",IF(_xlfn.XLOOKUP($H47,'TRA TECH'!$J:$J,'TRA TECH'!V:V)="","",_xlfn.XLOOKUP($H47,'TRA TECH'!$J:$J,'TRA TECH'!V:V)))</f>
        <v>*</v>
      </c>
      <c r="S47" t="str">
        <f>IF(H47="*","*",IF(_xlfn.XLOOKUP($H47,'TRA TECH'!$J:$J,'TRA TECH'!W:W)="","",_xlfn.XLOOKUP($H47,'TRA TECH'!$J:$J,'TRA TECH'!W:W)))</f>
        <v>*</v>
      </c>
      <c r="T47" t="str">
        <f t="shared" si="2"/>
        <v>*</v>
      </c>
      <c r="U47" t="str">
        <f>IF(H47="*","*",IF(_xlfn.XLOOKUP($H47,'TRA TECH'!$J:$J,'TRA TECH'!X:X)="","",_xlfn.XLOOKUP($H47,'TRA TECH'!$J:$J,'TRA TECH'!X:X)))</f>
        <v>*</v>
      </c>
      <c r="V47" t="str">
        <f>IF(H47="*","*",IF(_xlfn.XLOOKUP($H47,'TRA TECH'!$J:$J,'TRA TECH'!Y:Y)="","",_xlfn.XLOOKUP($H47,'TRA TECH'!$J:$J,'TRA TECH'!Y:Y)))</f>
        <v>*</v>
      </c>
      <c r="W47" t="str">
        <f>IF(H47="*","*",IF(_xlfn.XLOOKUP($H47,'TRA TECH'!$J:$J,'TRA TECH'!Z:Z)="","",_xlfn.XLOOKUP($H47,'TRA TECH'!$J:$J,'TRA TECH'!Z:Z)))</f>
        <v>*</v>
      </c>
      <c r="X47" t="str">
        <f>IF(H47="*","*",IF(_xlfn.XLOOKUP($H47,'TRA TECH'!$J:$J,'TRA TECH'!AA:AA)="","",_xlfn.XLOOKUP($H47,'TRA TECH'!$J:$J,'TRA TECH'!AA:AA)))</f>
        <v>*</v>
      </c>
      <c r="Y47" t="str">
        <f>IF(H47="*","*",IF(_xlfn.XLOOKUP($H47,'TRA TECH'!$J:$J,'TRA TECH'!AB:AB)="","",_xlfn.XLOOKUP($H47,'TRA TECH'!$J:$J,'TRA TECH'!AB:AB)))</f>
        <v>*</v>
      </c>
      <c r="Z47" t="str">
        <f>IF(H47="*","*",IF(_xlfn.XLOOKUP($H47,'TRA TECH'!$J:$J,'TRA TECH'!AC:AC)="","",_xlfn.XLOOKUP($H47,'TRA TECH'!$J:$J,'TRA TECH'!AC:AC)))</f>
        <v>*</v>
      </c>
      <c r="AA47" t="str">
        <f>IF(H47="*","*",IF(_xlfn.XLOOKUP($H47,'TRA TECH'!$J:$J,'TRA TECH'!AD:AD)="","",_xlfn.XLOOKUP($H47,'TRA TECH'!$J:$J,'TRA TECH'!AD:AD)))</f>
        <v>*</v>
      </c>
      <c r="AB47" t="str">
        <f t="shared" si="3"/>
        <v>*</v>
      </c>
      <c r="AC47" s="15" t="str">
        <f>IF(H47="*","*",IF(_xlfn.XLOOKUP($H47,'TRA TECH'!$J:$J,'TRA TECH'!AE:AE)="","",_xlfn.XLOOKUP($H47,'TRA TECH'!$J:$J,'TRA TECH'!AE:AE)))</f>
        <v>*</v>
      </c>
      <c r="AD47" s="15" t="str">
        <f>IF(H47="*","*",IF(_xlfn.XLOOKUP($H47,'TRA TECH'!$J:$J,'TRA TECH'!AF:AF)="","",_xlfn.XLOOKUP($H47,'TRA TECH'!$J:$J,'TRA TECH'!AF:AF)))</f>
        <v>*</v>
      </c>
      <c r="AE47" s="15" t="str">
        <f>IF(H47="*","*",IF(_xlfn.XLOOKUP($H47,'TRA TECH'!$J:$J,'TRA TECH'!AG:AG)="","",_xlfn.XLOOKUP($H47,'TRA TECH'!$J:$J,'TRA TECH'!AG:AG)))</f>
        <v>*</v>
      </c>
      <c r="AF47" s="15" t="str">
        <f>IF(H47="*","*",IF(_xlfn.XLOOKUP($H47,'TRA TECH'!$J:$J,'TRA TECH'!AH:AH)="","",_xlfn.XLOOKUP($H47,'TRA TECH'!$J:$J,'TRA TECH'!AH:AH)))</f>
        <v>*</v>
      </c>
      <c r="AG47" s="15" t="str">
        <f>IF(H47="*","*",IF(_xlfn.XLOOKUP($H47,'TRA TECH'!$J:$J,'TRA TECH'!AI:AI)="","",_xlfn.XLOOKUP($H47,'TRA TECH'!$J:$J,'TRA TECH'!AI:AI)))</f>
        <v>*</v>
      </c>
      <c r="AH47" s="15" t="str">
        <f>IF(H47="*","*",IF(_xlfn.XLOOKUP($H47,'TRA TECH'!$J:$J,'TRA TECH'!AJ:AJ)="","",_xlfn.XLOOKUP($H47,'TRA TECH'!$J:$J,'TRA TECH'!AJ:AJ)))</f>
        <v>*</v>
      </c>
      <c r="AI47" s="15" t="str">
        <f>IF(H47="*","*",IF(_xlfn.XLOOKUP($H47,'TRA TECH'!$J:$J,'TRA TECH'!AK:AK)="","",_xlfn.XLOOKUP($H47,'TRA TECH'!$J:$J,'TRA TECH'!AK:AK)))</f>
        <v>*</v>
      </c>
      <c r="AJ47" s="15" t="str">
        <f t="shared" si="4"/>
        <v>*</v>
      </c>
      <c r="AK47" s="16" t="str">
        <f t="shared" si="5"/>
        <v>*</v>
      </c>
    </row>
    <row r="48" spans="2:37" x14ac:dyDescent="0.25">
      <c r="B48" t="str">
        <f>IF('TRA TECH'!M44=0,"*",IF('TRA TECH'!H44="","*",'TRA TECH'!J44))</f>
        <v>TRAPASLDTHEVIGSL20</v>
      </c>
      <c r="C48" t="str">
        <f>IF('TRA TECH'!M44=0,"*",'TRA TECH'!H44)</f>
        <v>TRAGSL</v>
      </c>
      <c r="D48" t="s">
        <v>424</v>
      </c>
      <c r="E48" s="9">
        <f>'TRA TECH'!P44</f>
        <v>1</v>
      </c>
      <c r="H48" t="str">
        <f>IF('TRA TECH'!M44=1,IF('TRA TECH'!L44=1,'TRA TECH'!J44,"*"),"*")</f>
        <v>*</v>
      </c>
      <c r="I48" t="str">
        <f>IF(H48="*","*",_xlfn.XLOOKUP(H48,'TRA TECH'!J:J,'TRA TECH'!I:I))</f>
        <v>*</v>
      </c>
      <c r="J48" t="str">
        <f>IF(H48="*","*",_xlfn.XLOOKUP(H48,'TRA TECH'!J:J,'TRA TECH'!N:N))</f>
        <v>*</v>
      </c>
      <c r="K48" s="15" t="str">
        <f>IF(H48="*","*",IF(_xlfn.XLOOKUP(H48,'TRA TECH'!J:J,'TRA TECH'!O:O)="","",_xlfn.XLOOKUP(H48,'TRA TECH'!J:J,'TRA TECH'!O:O)))</f>
        <v>*</v>
      </c>
      <c r="L48" t="str">
        <f t="shared" si="1"/>
        <v>*</v>
      </c>
      <c r="M48" t="str">
        <f>IF(H48="*","*",IF(_xlfn.XLOOKUP($H48,'TRA TECH'!$J:$J,'TRA TECH'!Q:Q)="","",_xlfn.XLOOKUP($H48,'TRA TECH'!$J:$J,'TRA TECH'!Q:Q)))</f>
        <v>*</v>
      </c>
      <c r="N48" t="str">
        <f>IF(H48="*","*",IF(_xlfn.XLOOKUP($H48,'TRA TECH'!$J:$J,'TRA TECH'!R:R)="","",_xlfn.XLOOKUP($H48,'TRA TECH'!$J:$J,'TRA TECH'!R:R)))</f>
        <v>*</v>
      </c>
      <c r="O48" t="str">
        <f>IF(H48="*","*",IF(_xlfn.XLOOKUP($H48,'TRA TECH'!$J:$J,'TRA TECH'!S:S)="","",_xlfn.XLOOKUP($H48,'TRA TECH'!$J:$J,'TRA TECH'!S:S)))</f>
        <v>*</v>
      </c>
      <c r="P48" t="str">
        <f>IF(H48="*","*",IF(_xlfn.XLOOKUP($H48,'TRA TECH'!$J:$J,'TRA TECH'!T:T)="","",_xlfn.XLOOKUP($H48,'TRA TECH'!$J:$J,'TRA TECH'!T:T)))</f>
        <v>*</v>
      </c>
      <c r="Q48" t="str">
        <f>IF(H48="*","*",IF(_xlfn.XLOOKUP($H48,'TRA TECH'!$J:$J,'TRA TECH'!U:U)="","",_xlfn.XLOOKUP($H48,'TRA TECH'!$J:$J,'TRA TECH'!U:U)))</f>
        <v>*</v>
      </c>
      <c r="R48" t="str">
        <f>IF(H48="*","*",IF(_xlfn.XLOOKUP($H48,'TRA TECH'!$J:$J,'TRA TECH'!V:V)="","",_xlfn.XLOOKUP($H48,'TRA TECH'!$J:$J,'TRA TECH'!V:V)))</f>
        <v>*</v>
      </c>
      <c r="S48" t="str">
        <f>IF(H48="*","*",IF(_xlfn.XLOOKUP($H48,'TRA TECH'!$J:$J,'TRA TECH'!W:W)="","",_xlfn.XLOOKUP($H48,'TRA TECH'!$J:$J,'TRA TECH'!W:W)))</f>
        <v>*</v>
      </c>
      <c r="T48" t="str">
        <f t="shared" si="2"/>
        <v>*</v>
      </c>
      <c r="U48" t="str">
        <f>IF(H48="*","*",IF(_xlfn.XLOOKUP($H48,'TRA TECH'!$J:$J,'TRA TECH'!X:X)="","",_xlfn.XLOOKUP($H48,'TRA TECH'!$J:$J,'TRA TECH'!X:X)))</f>
        <v>*</v>
      </c>
      <c r="V48" t="str">
        <f>IF(H48="*","*",IF(_xlfn.XLOOKUP($H48,'TRA TECH'!$J:$J,'TRA TECH'!Y:Y)="","",_xlfn.XLOOKUP($H48,'TRA TECH'!$J:$J,'TRA TECH'!Y:Y)))</f>
        <v>*</v>
      </c>
      <c r="W48" t="str">
        <f>IF(H48="*","*",IF(_xlfn.XLOOKUP($H48,'TRA TECH'!$J:$J,'TRA TECH'!Z:Z)="","",_xlfn.XLOOKUP($H48,'TRA TECH'!$J:$J,'TRA TECH'!Z:Z)))</f>
        <v>*</v>
      </c>
      <c r="X48" t="str">
        <f>IF(H48="*","*",IF(_xlfn.XLOOKUP($H48,'TRA TECH'!$J:$J,'TRA TECH'!AA:AA)="","",_xlfn.XLOOKUP($H48,'TRA TECH'!$J:$J,'TRA TECH'!AA:AA)))</f>
        <v>*</v>
      </c>
      <c r="Y48" t="str">
        <f>IF(H48="*","*",IF(_xlfn.XLOOKUP($H48,'TRA TECH'!$J:$J,'TRA TECH'!AB:AB)="","",_xlfn.XLOOKUP($H48,'TRA TECH'!$J:$J,'TRA TECH'!AB:AB)))</f>
        <v>*</v>
      </c>
      <c r="Z48" t="str">
        <f>IF(H48="*","*",IF(_xlfn.XLOOKUP($H48,'TRA TECH'!$J:$J,'TRA TECH'!AC:AC)="","",_xlfn.XLOOKUP($H48,'TRA TECH'!$J:$J,'TRA TECH'!AC:AC)))</f>
        <v>*</v>
      </c>
      <c r="AA48" t="str">
        <f>IF(H48="*","*",IF(_xlfn.XLOOKUP($H48,'TRA TECH'!$J:$J,'TRA TECH'!AD:AD)="","",_xlfn.XLOOKUP($H48,'TRA TECH'!$J:$J,'TRA TECH'!AD:AD)))</f>
        <v>*</v>
      </c>
      <c r="AB48" t="str">
        <f t="shared" si="3"/>
        <v>*</v>
      </c>
      <c r="AC48" s="15" t="str">
        <f>IF(H48="*","*",IF(_xlfn.XLOOKUP($H48,'TRA TECH'!$J:$J,'TRA TECH'!AE:AE)="","",_xlfn.XLOOKUP($H48,'TRA TECH'!$J:$J,'TRA TECH'!AE:AE)))</f>
        <v>*</v>
      </c>
      <c r="AD48" s="15" t="str">
        <f>IF(H48="*","*",IF(_xlfn.XLOOKUP($H48,'TRA TECH'!$J:$J,'TRA TECH'!AF:AF)="","",_xlfn.XLOOKUP($H48,'TRA TECH'!$J:$J,'TRA TECH'!AF:AF)))</f>
        <v>*</v>
      </c>
      <c r="AE48" s="15" t="str">
        <f>IF(H48="*","*",IF(_xlfn.XLOOKUP($H48,'TRA TECH'!$J:$J,'TRA TECH'!AG:AG)="","",_xlfn.XLOOKUP($H48,'TRA TECH'!$J:$J,'TRA TECH'!AG:AG)))</f>
        <v>*</v>
      </c>
      <c r="AF48" s="15" t="str">
        <f>IF(H48="*","*",IF(_xlfn.XLOOKUP($H48,'TRA TECH'!$J:$J,'TRA TECH'!AH:AH)="","",_xlfn.XLOOKUP($H48,'TRA TECH'!$J:$J,'TRA TECH'!AH:AH)))</f>
        <v>*</v>
      </c>
      <c r="AG48" s="15" t="str">
        <f>IF(H48="*","*",IF(_xlfn.XLOOKUP($H48,'TRA TECH'!$J:$J,'TRA TECH'!AI:AI)="","",_xlfn.XLOOKUP($H48,'TRA TECH'!$J:$J,'TRA TECH'!AI:AI)))</f>
        <v>*</v>
      </c>
      <c r="AH48" s="15" t="str">
        <f>IF(H48="*","*",IF(_xlfn.XLOOKUP($H48,'TRA TECH'!$J:$J,'TRA TECH'!AJ:AJ)="","",_xlfn.XLOOKUP($H48,'TRA TECH'!$J:$J,'TRA TECH'!AJ:AJ)))</f>
        <v>*</v>
      </c>
      <c r="AI48" s="15" t="str">
        <f>IF(H48="*","*",IF(_xlfn.XLOOKUP($H48,'TRA TECH'!$J:$J,'TRA TECH'!AK:AK)="","",_xlfn.XLOOKUP($H48,'TRA TECH'!$J:$J,'TRA TECH'!AK:AK)))</f>
        <v>*</v>
      </c>
      <c r="AJ48" s="15" t="str">
        <f t="shared" si="4"/>
        <v>*</v>
      </c>
      <c r="AK48" s="16" t="str">
        <f t="shared" si="5"/>
        <v>*</v>
      </c>
    </row>
    <row r="49" spans="2:37" x14ac:dyDescent="0.25">
      <c r="B49" t="str">
        <f>IF('TRA TECH'!M45=0,"*",IF('TRA TECH'!H45="","*",'TRA TECH'!J45))</f>
        <v>TRAPASLDTHEVIGSL20</v>
      </c>
      <c r="C49" t="str">
        <f>IF('TRA TECH'!M45=0,"*",'TRA TECH'!H45)</f>
        <v>TRAETH</v>
      </c>
      <c r="D49" t="s">
        <v>424</v>
      </c>
      <c r="E49" s="9">
        <f>'TRA TECH'!P45</f>
        <v>0.1</v>
      </c>
      <c r="H49" t="str">
        <f>IF('TRA TECH'!M45=1,IF('TRA TECH'!L45=1,'TRA TECH'!J45,"*"),"*")</f>
        <v>*</v>
      </c>
      <c r="I49" t="str">
        <f>IF(H49="*","*",_xlfn.XLOOKUP(H49,'TRA TECH'!J:J,'TRA TECH'!I:I))</f>
        <v>*</v>
      </c>
      <c r="J49" t="str">
        <f>IF(H49="*","*",_xlfn.XLOOKUP(H49,'TRA TECH'!J:J,'TRA TECH'!N:N))</f>
        <v>*</v>
      </c>
      <c r="K49" s="15" t="str">
        <f>IF(H49="*","*",IF(_xlfn.XLOOKUP(H49,'TRA TECH'!J:J,'TRA TECH'!O:O)="","",_xlfn.XLOOKUP(H49,'TRA TECH'!J:J,'TRA TECH'!O:O)))</f>
        <v>*</v>
      </c>
      <c r="L49" t="str">
        <f t="shared" si="1"/>
        <v>*</v>
      </c>
      <c r="M49" t="str">
        <f>IF(H49="*","*",IF(_xlfn.XLOOKUP($H49,'TRA TECH'!$J:$J,'TRA TECH'!Q:Q)="","",_xlfn.XLOOKUP($H49,'TRA TECH'!$J:$J,'TRA TECH'!Q:Q)))</f>
        <v>*</v>
      </c>
      <c r="N49" t="str">
        <f>IF(H49="*","*",IF(_xlfn.XLOOKUP($H49,'TRA TECH'!$J:$J,'TRA TECH'!R:R)="","",_xlfn.XLOOKUP($H49,'TRA TECH'!$J:$J,'TRA TECH'!R:R)))</f>
        <v>*</v>
      </c>
      <c r="O49" t="str">
        <f>IF(H49="*","*",IF(_xlfn.XLOOKUP($H49,'TRA TECH'!$J:$J,'TRA TECH'!S:S)="","",_xlfn.XLOOKUP($H49,'TRA TECH'!$J:$J,'TRA TECH'!S:S)))</f>
        <v>*</v>
      </c>
      <c r="P49" t="str">
        <f>IF(H49="*","*",IF(_xlfn.XLOOKUP($H49,'TRA TECH'!$J:$J,'TRA TECH'!T:T)="","",_xlfn.XLOOKUP($H49,'TRA TECH'!$J:$J,'TRA TECH'!T:T)))</f>
        <v>*</v>
      </c>
      <c r="Q49" t="str">
        <f>IF(H49="*","*",IF(_xlfn.XLOOKUP($H49,'TRA TECH'!$J:$J,'TRA TECH'!U:U)="","",_xlfn.XLOOKUP($H49,'TRA TECH'!$J:$J,'TRA TECH'!U:U)))</f>
        <v>*</v>
      </c>
      <c r="R49" t="str">
        <f>IF(H49="*","*",IF(_xlfn.XLOOKUP($H49,'TRA TECH'!$J:$J,'TRA TECH'!V:V)="","",_xlfn.XLOOKUP($H49,'TRA TECH'!$J:$J,'TRA TECH'!V:V)))</f>
        <v>*</v>
      </c>
      <c r="S49" t="str">
        <f>IF(H49="*","*",IF(_xlfn.XLOOKUP($H49,'TRA TECH'!$J:$J,'TRA TECH'!W:W)="","",_xlfn.XLOOKUP($H49,'TRA TECH'!$J:$J,'TRA TECH'!W:W)))</f>
        <v>*</v>
      </c>
      <c r="T49" t="str">
        <f t="shared" si="2"/>
        <v>*</v>
      </c>
      <c r="U49" t="str">
        <f>IF(H49="*","*",IF(_xlfn.XLOOKUP($H49,'TRA TECH'!$J:$J,'TRA TECH'!X:X)="","",_xlfn.XLOOKUP($H49,'TRA TECH'!$J:$J,'TRA TECH'!X:X)))</f>
        <v>*</v>
      </c>
      <c r="V49" t="str">
        <f>IF(H49="*","*",IF(_xlfn.XLOOKUP($H49,'TRA TECH'!$J:$J,'TRA TECH'!Y:Y)="","",_xlfn.XLOOKUP($H49,'TRA TECH'!$J:$J,'TRA TECH'!Y:Y)))</f>
        <v>*</v>
      </c>
      <c r="W49" t="str">
        <f>IF(H49="*","*",IF(_xlfn.XLOOKUP($H49,'TRA TECH'!$J:$J,'TRA TECH'!Z:Z)="","",_xlfn.XLOOKUP($H49,'TRA TECH'!$J:$J,'TRA TECH'!Z:Z)))</f>
        <v>*</v>
      </c>
      <c r="X49" t="str">
        <f>IF(H49="*","*",IF(_xlfn.XLOOKUP($H49,'TRA TECH'!$J:$J,'TRA TECH'!AA:AA)="","",_xlfn.XLOOKUP($H49,'TRA TECH'!$J:$J,'TRA TECH'!AA:AA)))</f>
        <v>*</v>
      </c>
      <c r="Y49" t="str">
        <f>IF(H49="*","*",IF(_xlfn.XLOOKUP($H49,'TRA TECH'!$J:$J,'TRA TECH'!AB:AB)="","",_xlfn.XLOOKUP($H49,'TRA TECH'!$J:$J,'TRA TECH'!AB:AB)))</f>
        <v>*</v>
      </c>
      <c r="Z49" t="str">
        <f>IF(H49="*","*",IF(_xlfn.XLOOKUP($H49,'TRA TECH'!$J:$J,'TRA TECH'!AC:AC)="","",_xlfn.XLOOKUP($H49,'TRA TECH'!$J:$J,'TRA TECH'!AC:AC)))</f>
        <v>*</v>
      </c>
      <c r="AA49" t="str">
        <f>IF(H49="*","*",IF(_xlfn.XLOOKUP($H49,'TRA TECH'!$J:$J,'TRA TECH'!AD:AD)="","",_xlfn.XLOOKUP($H49,'TRA TECH'!$J:$J,'TRA TECH'!AD:AD)))</f>
        <v>*</v>
      </c>
      <c r="AB49" t="str">
        <f t="shared" si="3"/>
        <v>*</v>
      </c>
      <c r="AC49" s="15" t="str">
        <f>IF(H49="*","*",IF(_xlfn.XLOOKUP($H49,'TRA TECH'!$J:$J,'TRA TECH'!AE:AE)="","",_xlfn.XLOOKUP($H49,'TRA TECH'!$J:$J,'TRA TECH'!AE:AE)))</f>
        <v>*</v>
      </c>
      <c r="AD49" s="15" t="str">
        <f>IF(H49="*","*",IF(_xlfn.XLOOKUP($H49,'TRA TECH'!$J:$J,'TRA TECH'!AF:AF)="","",_xlfn.XLOOKUP($H49,'TRA TECH'!$J:$J,'TRA TECH'!AF:AF)))</f>
        <v>*</v>
      </c>
      <c r="AE49" s="15" t="str">
        <f>IF(H49="*","*",IF(_xlfn.XLOOKUP($H49,'TRA TECH'!$J:$J,'TRA TECH'!AG:AG)="","",_xlfn.XLOOKUP($H49,'TRA TECH'!$J:$J,'TRA TECH'!AG:AG)))</f>
        <v>*</v>
      </c>
      <c r="AF49" s="15" t="str">
        <f>IF(H49="*","*",IF(_xlfn.XLOOKUP($H49,'TRA TECH'!$J:$J,'TRA TECH'!AH:AH)="","",_xlfn.XLOOKUP($H49,'TRA TECH'!$J:$J,'TRA TECH'!AH:AH)))</f>
        <v>*</v>
      </c>
      <c r="AG49" s="15" t="str">
        <f>IF(H49="*","*",IF(_xlfn.XLOOKUP($H49,'TRA TECH'!$J:$J,'TRA TECH'!AI:AI)="","",_xlfn.XLOOKUP($H49,'TRA TECH'!$J:$J,'TRA TECH'!AI:AI)))</f>
        <v>*</v>
      </c>
      <c r="AH49" s="15" t="str">
        <f>IF(H49="*","*",IF(_xlfn.XLOOKUP($H49,'TRA TECH'!$J:$J,'TRA TECH'!AJ:AJ)="","",_xlfn.XLOOKUP($H49,'TRA TECH'!$J:$J,'TRA TECH'!AJ:AJ)))</f>
        <v>*</v>
      </c>
      <c r="AI49" s="15" t="str">
        <f>IF(H49="*","*",IF(_xlfn.XLOOKUP($H49,'TRA TECH'!$J:$J,'TRA TECH'!AK:AK)="","",_xlfn.XLOOKUP($H49,'TRA TECH'!$J:$J,'TRA TECH'!AK:AK)))</f>
        <v>*</v>
      </c>
      <c r="AJ49" s="15" t="str">
        <f t="shared" si="4"/>
        <v>*</v>
      </c>
      <c r="AK49" s="16" t="str">
        <f t="shared" si="5"/>
        <v>*</v>
      </c>
    </row>
    <row r="50" spans="2:37" x14ac:dyDescent="0.25">
      <c r="B50" t="str">
        <f>IF('TRA TECH'!M46=0,"*",IF('TRA TECH'!H46="","*",'TRA TECH'!J46))</f>
        <v>TRAPASLDTHEVPGSL20</v>
      </c>
      <c r="C50" t="str">
        <f>IF('TRA TECH'!M46=0,"*",'TRA TECH'!H46)</f>
        <v>TRAGSL</v>
      </c>
      <c r="D50" t="s">
        <v>424</v>
      </c>
      <c r="E50" s="9">
        <f>'TRA TECH'!P46</f>
        <v>1</v>
      </c>
      <c r="H50" t="str">
        <f>IF('TRA TECH'!M46=1,IF('TRA TECH'!L46=1,'TRA TECH'!J46,"*"),"*")</f>
        <v>TRAPASLDTHEVPGSL20</v>
      </c>
      <c r="I50" t="str">
        <f>IF(H50="*","*",_xlfn.XLOOKUP(H50,'TRA TECH'!J:J,'TRA TECH'!I:I))</f>
        <v>TRAPASLDTDMD</v>
      </c>
      <c r="J50">
        <f>IF(H50="*","*",_xlfn.XLOOKUP(H50,'TRA TECH'!J:J,'TRA TECH'!N:N))</f>
        <v>2020</v>
      </c>
      <c r="K50" s="15">
        <f>IF(H50="*","*",IF(_xlfn.XLOOKUP(H50,'TRA TECH'!J:J,'TRA TECH'!O:O)="","",_xlfn.XLOOKUP(H50,'TRA TECH'!J:J,'TRA TECH'!O:O)))</f>
        <v>18.828422487318921</v>
      </c>
      <c r="L50">
        <f t="shared" si="1"/>
        <v>1</v>
      </c>
      <c r="M50">
        <f>IF(H50="*","*",IF(_xlfn.XLOOKUP($H50,'TRA TECH'!$J:$J,'TRA TECH'!Q:Q)="","",_xlfn.XLOOKUP($H50,'TRA TECH'!$J:$J,'TRA TECH'!Q:Q)))</f>
        <v>0.48108755687438159</v>
      </c>
      <c r="N50">
        <f>IF(H50="*","*",IF(_xlfn.XLOOKUP($H50,'TRA TECH'!$J:$J,'TRA TECH'!R:R)="","",_xlfn.XLOOKUP($H50,'TRA TECH'!$J:$J,'TRA TECH'!R:R)))</f>
        <v>0.49656371909000979</v>
      </c>
      <c r="O50">
        <f>IF(H50="*","*",IF(_xlfn.XLOOKUP($H50,'TRA TECH'!$J:$J,'TRA TECH'!S:S)="","",_xlfn.XLOOKUP($H50,'TRA TECH'!$J:$J,'TRA TECH'!S:S)))</f>
        <v>0.50894464886251245</v>
      </c>
      <c r="P50">
        <f>IF(H50="*","*",IF(_xlfn.XLOOKUP($H50,'TRA TECH'!$J:$J,'TRA TECH'!T:T)="","",_xlfn.XLOOKUP($H50,'TRA TECH'!$J:$J,'TRA TECH'!T:T)))</f>
        <v>0.54078132542037594</v>
      </c>
      <c r="Q50">
        <f>IF(H50="*","*",IF(_xlfn.XLOOKUP($H50,'TRA TECH'!$J:$J,'TRA TECH'!U:U)="","",_xlfn.XLOOKUP($H50,'TRA TECH'!$J:$J,'TRA TECH'!U:U)))</f>
        <v>0.56598536102868435</v>
      </c>
      <c r="R50">
        <f>IF(H50="*","*",IF(_xlfn.XLOOKUP($H50,'TRA TECH'!$J:$J,'TRA TECH'!V:V)="","",_xlfn.XLOOKUP($H50,'TRA TECH'!$J:$J,'TRA TECH'!V:V)))</f>
        <v>0.59074722057368922</v>
      </c>
      <c r="S50">
        <f>IF(H50="*","*",IF(_xlfn.XLOOKUP($H50,'TRA TECH'!$J:$J,'TRA TECH'!W:W)="","",_xlfn.XLOOKUP($H50,'TRA TECH'!$J:$J,'TRA TECH'!W:W)))</f>
        <v>0.61550908011869443</v>
      </c>
      <c r="T50">
        <f t="shared" si="2"/>
        <v>0.61550908011869443</v>
      </c>
      <c r="U50">
        <f>IF(H50="*","*",IF(_xlfn.XLOOKUP($H50,'TRA TECH'!$J:$J,'TRA TECH'!X:X)="","",_xlfn.XLOOKUP($H50,'TRA TECH'!$J:$J,'TRA TECH'!X:X)))</f>
        <v>204.61529039554469</v>
      </c>
      <c r="V50">
        <f>IF(H50="*","*",IF(_xlfn.XLOOKUP($H50,'TRA TECH'!$J:$J,'TRA TECH'!Y:Y)="","",_xlfn.XLOOKUP($H50,'TRA TECH'!$J:$J,'TRA TECH'!Y:Y)))</f>
        <v>196.5539695688372</v>
      </c>
      <c r="W50">
        <f>IF(H50="*","*",IF(_xlfn.XLOOKUP($H50,'TRA TECH'!$J:$J,'TRA TECH'!Z:Z)="","",_xlfn.XLOOKUP($H50,'TRA TECH'!$J:$J,'TRA TECH'!Z:Z)))</f>
        <v>190.3894301131198</v>
      </c>
      <c r="X50">
        <f>IF(H50="*","*",IF(_xlfn.XLOOKUP($H50,'TRA TECH'!$J:$J,'TRA TECH'!AA:AA)="","",_xlfn.XLOOKUP($H50,'TRA TECH'!$J:$J,'TRA TECH'!AA:AA)))</f>
        <v>186.83296504251359</v>
      </c>
      <c r="Y50">
        <f>IF(H50="*","*",IF(_xlfn.XLOOKUP($H50,'TRA TECH'!$J:$J,'TRA TECH'!AB:AB)="","",_xlfn.XLOOKUP($H50,'TRA TECH'!$J:$J,'TRA TECH'!AB:AB)))</f>
        <v>184.2248906574022</v>
      </c>
      <c r="Z50">
        <f>IF(H50="*","*",IF(_xlfn.XLOOKUP($H50,'TRA TECH'!$J:$J,'TRA TECH'!AC:AC)="","",_xlfn.XLOOKUP($H50,'TRA TECH'!$J:$J,'TRA TECH'!AC:AC)))</f>
        <v>181.85391394366479</v>
      </c>
      <c r="AA50">
        <f>IF(H50="*","*",IF(_xlfn.XLOOKUP($H50,'TRA TECH'!$J:$J,'TRA TECH'!AD:AD)="","",_xlfn.XLOOKUP($H50,'TRA TECH'!$J:$J,'TRA TECH'!AD:AD)))</f>
        <v>179.48293722992739</v>
      </c>
      <c r="AB50">
        <f t="shared" si="3"/>
        <v>179.48293722992739</v>
      </c>
      <c r="AC50" s="15">
        <f>IF(H50="*","*",IF(_xlfn.XLOOKUP($H50,'TRA TECH'!$J:$J,'TRA TECH'!AE:AE)="","",_xlfn.XLOOKUP($H50,'TRA TECH'!$J:$J,'TRA TECH'!AE:AE)))</f>
        <v>4.4829443924950638</v>
      </c>
      <c r="AD50" s="15">
        <f>IF(H50="*","*",IF(_xlfn.XLOOKUP($H50,'TRA TECH'!$J:$J,'TRA TECH'!AF:AF)="","",_xlfn.XLOOKUP($H50,'TRA TECH'!$J:$J,'TRA TECH'!AF:AF)))</f>
        <v>4.4829443924950638</v>
      </c>
      <c r="AE50" s="15">
        <f>IF(H50="*","*",IF(_xlfn.XLOOKUP($H50,'TRA TECH'!$J:$J,'TRA TECH'!AG:AG)="","",_xlfn.XLOOKUP($H50,'TRA TECH'!$J:$J,'TRA TECH'!AG:AG)))</f>
        <v>4.4829443924950638</v>
      </c>
      <c r="AF50" s="15">
        <f>IF(H50="*","*",IF(_xlfn.XLOOKUP($H50,'TRA TECH'!$J:$J,'TRA TECH'!AH:AH)="","",_xlfn.XLOOKUP($H50,'TRA TECH'!$J:$J,'TRA TECH'!AH:AH)))</f>
        <v>4.4829443924950638</v>
      </c>
      <c r="AG50" s="15">
        <f>IF(H50="*","*",IF(_xlfn.XLOOKUP($H50,'TRA TECH'!$J:$J,'TRA TECH'!AI:AI)="","",_xlfn.XLOOKUP($H50,'TRA TECH'!$J:$J,'TRA TECH'!AI:AI)))</f>
        <v>4.4829443924950638</v>
      </c>
      <c r="AH50" s="15">
        <f>IF(H50="*","*",IF(_xlfn.XLOOKUP($H50,'TRA TECH'!$J:$J,'TRA TECH'!AJ:AJ)="","",_xlfn.XLOOKUP($H50,'TRA TECH'!$J:$J,'TRA TECH'!AJ:AJ)))</f>
        <v>4.4829443924950638</v>
      </c>
      <c r="AI50" s="15">
        <f>IF(H50="*","*",IF(_xlfn.XLOOKUP($H50,'TRA TECH'!$J:$J,'TRA TECH'!AK:AK)="","",_xlfn.XLOOKUP($H50,'TRA TECH'!$J:$J,'TRA TECH'!AK:AK)))</f>
        <v>4.4829443924950638</v>
      </c>
      <c r="AJ50" s="15">
        <f t="shared" si="4"/>
        <v>4.4829443924950638</v>
      </c>
      <c r="AK50" s="16">
        <f t="shared" si="5"/>
        <v>0.25</v>
      </c>
    </row>
    <row r="51" spans="2:37" x14ac:dyDescent="0.25">
      <c r="B51" t="str">
        <f>IF('TRA TECH'!M47=0,"*",IF('TRA TECH'!H47="","*",'TRA TECH'!J47))</f>
        <v>TRAPASLDTHEVPGSL20</v>
      </c>
      <c r="C51" t="str">
        <f>IF('TRA TECH'!M47=0,"*",'TRA TECH'!H47)</f>
        <v>TRAETH</v>
      </c>
      <c r="D51" t="s">
        <v>424</v>
      </c>
      <c r="E51" s="9">
        <f>'TRA TECH'!P47</f>
        <v>0.1</v>
      </c>
      <c r="H51" t="str">
        <f>IF('TRA TECH'!M47=1,IF('TRA TECH'!L47=1,'TRA TECH'!J47,"*"),"*")</f>
        <v>*</v>
      </c>
      <c r="I51" t="str">
        <f>IF(H51="*","*",_xlfn.XLOOKUP(H51,'TRA TECH'!J:J,'TRA TECH'!I:I))</f>
        <v>*</v>
      </c>
      <c r="J51" t="str">
        <f>IF(H51="*","*",_xlfn.XLOOKUP(H51,'TRA TECH'!J:J,'TRA TECH'!N:N))</f>
        <v>*</v>
      </c>
      <c r="K51" s="15" t="str">
        <f>IF(H51="*","*",IF(_xlfn.XLOOKUP(H51,'TRA TECH'!J:J,'TRA TECH'!O:O)="","",_xlfn.XLOOKUP(H51,'TRA TECH'!J:J,'TRA TECH'!O:O)))</f>
        <v>*</v>
      </c>
      <c r="L51" t="str">
        <f t="shared" si="1"/>
        <v>*</v>
      </c>
      <c r="M51" t="str">
        <f>IF(H51="*","*",IF(_xlfn.XLOOKUP($H51,'TRA TECH'!$J:$J,'TRA TECH'!Q:Q)="","",_xlfn.XLOOKUP($H51,'TRA TECH'!$J:$J,'TRA TECH'!Q:Q)))</f>
        <v>*</v>
      </c>
      <c r="N51" t="str">
        <f>IF(H51="*","*",IF(_xlfn.XLOOKUP($H51,'TRA TECH'!$J:$J,'TRA TECH'!R:R)="","",_xlfn.XLOOKUP($H51,'TRA TECH'!$J:$J,'TRA TECH'!R:R)))</f>
        <v>*</v>
      </c>
      <c r="O51" t="str">
        <f>IF(H51="*","*",IF(_xlfn.XLOOKUP($H51,'TRA TECH'!$J:$J,'TRA TECH'!S:S)="","",_xlfn.XLOOKUP($H51,'TRA TECH'!$J:$J,'TRA TECH'!S:S)))</f>
        <v>*</v>
      </c>
      <c r="P51" t="str">
        <f>IF(H51="*","*",IF(_xlfn.XLOOKUP($H51,'TRA TECH'!$J:$J,'TRA TECH'!T:T)="","",_xlfn.XLOOKUP($H51,'TRA TECH'!$J:$J,'TRA TECH'!T:T)))</f>
        <v>*</v>
      </c>
      <c r="Q51" t="str">
        <f>IF(H51="*","*",IF(_xlfn.XLOOKUP($H51,'TRA TECH'!$J:$J,'TRA TECH'!U:U)="","",_xlfn.XLOOKUP($H51,'TRA TECH'!$J:$J,'TRA TECH'!U:U)))</f>
        <v>*</v>
      </c>
      <c r="R51" t="str">
        <f>IF(H51="*","*",IF(_xlfn.XLOOKUP($H51,'TRA TECH'!$J:$J,'TRA TECH'!V:V)="","",_xlfn.XLOOKUP($H51,'TRA TECH'!$J:$J,'TRA TECH'!V:V)))</f>
        <v>*</v>
      </c>
      <c r="S51" t="str">
        <f>IF(H51="*","*",IF(_xlfn.XLOOKUP($H51,'TRA TECH'!$J:$J,'TRA TECH'!W:W)="","",_xlfn.XLOOKUP($H51,'TRA TECH'!$J:$J,'TRA TECH'!W:W)))</f>
        <v>*</v>
      </c>
      <c r="T51" t="str">
        <f t="shared" si="2"/>
        <v>*</v>
      </c>
      <c r="U51" t="str">
        <f>IF(H51="*","*",IF(_xlfn.XLOOKUP($H51,'TRA TECH'!$J:$J,'TRA TECH'!X:X)="","",_xlfn.XLOOKUP($H51,'TRA TECH'!$J:$J,'TRA TECH'!X:X)))</f>
        <v>*</v>
      </c>
      <c r="V51" t="str">
        <f>IF(H51="*","*",IF(_xlfn.XLOOKUP($H51,'TRA TECH'!$J:$J,'TRA TECH'!Y:Y)="","",_xlfn.XLOOKUP($H51,'TRA TECH'!$J:$J,'TRA TECH'!Y:Y)))</f>
        <v>*</v>
      </c>
      <c r="W51" t="str">
        <f>IF(H51="*","*",IF(_xlfn.XLOOKUP($H51,'TRA TECH'!$J:$J,'TRA TECH'!Z:Z)="","",_xlfn.XLOOKUP($H51,'TRA TECH'!$J:$J,'TRA TECH'!Z:Z)))</f>
        <v>*</v>
      </c>
      <c r="X51" t="str">
        <f>IF(H51="*","*",IF(_xlfn.XLOOKUP($H51,'TRA TECH'!$J:$J,'TRA TECH'!AA:AA)="","",_xlfn.XLOOKUP($H51,'TRA TECH'!$J:$J,'TRA TECH'!AA:AA)))</f>
        <v>*</v>
      </c>
      <c r="Y51" t="str">
        <f>IF(H51="*","*",IF(_xlfn.XLOOKUP($H51,'TRA TECH'!$J:$J,'TRA TECH'!AB:AB)="","",_xlfn.XLOOKUP($H51,'TRA TECH'!$J:$J,'TRA TECH'!AB:AB)))</f>
        <v>*</v>
      </c>
      <c r="Z51" t="str">
        <f>IF(H51="*","*",IF(_xlfn.XLOOKUP($H51,'TRA TECH'!$J:$J,'TRA TECH'!AC:AC)="","",_xlfn.XLOOKUP($H51,'TRA TECH'!$J:$J,'TRA TECH'!AC:AC)))</f>
        <v>*</v>
      </c>
      <c r="AA51" t="str">
        <f>IF(H51="*","*",IF(_xlfn.XLOOKUP($H51,'TRA TECH'!$J:$J,'TRA TECH'!AD:AD)="","",_xlfn.XLOOKUP($H51,'TRA TECH'!$J:$J,'TRA TECH'!AD:AD)))</f>
        <v>*</v>
      </c>
      <c r="AB51" t="str">
        <f t="shared" si="3"/>
        <v>*</v>
      </c>
      <c r="AC51" s="15" t="str">
        <f>IF(H51="*","*",IF(_xlfn.XLOOKUP($H51,'TRA TECH'!$J:$J,'TRA TECH'!AE:AE)="","",_xlfn.XLOOKUP($H51,'TRA TECH'!$J:$J,'TRA TECH'!AE:AE)))</f>
        <v>*</v>
      </c>
      <c r="AD51" s="15" t="str">
        <f>IF(H51="*","*",IF(_xlfn.XLOOKUP($H51,'TRA TECH'!$J:$J,'TRA TECH'!AF:AF)="","",_xlfn.XLOOKUP($H51,'TRA TECH'!$J:$J,'TRA TECH'!AF:AF)))</f>
        <v>*</v>
      </c>
      <c r="AE51" s="15" t="str">
        <f>IF(H51="*","*",IF(_xlfn.XLOOKUP($H51,'TRA TECH'!$J:$J,'TRA TECH'!AG:AG)="","",_xlfn.XLOOKUP($H51,'TRA TECH'!$J:$J,'TRA TECH'!AG:AG)))</f>
        <v>*</v>
      </c>
      <c r="AF51" s="15" t="str">
        <f>IF(H51="*","*",IF(_xlfn.XLOOKUP($H51,'TRA TECH'!$J:$J,'TRA TECH'!AH:AH)="","",_xlfn.XLOOKUP($H51,'TRA TECH'!$J:$J,'TRA TECH'!AH:AH)))</f>
        <v>*</v>
      </c>
      <c r="AG51" s="15" t="str">
        <f>IF(H51="*","*",IF(_xlfn.XLOOKUP($H51,'TRA TECH'!$J:$J,'TRA TECH'!AI:AI)="","",_xlfn.XLOOKUP($H51,'TRA TECH'!$J:$J,'TRA TECH'!AI:AI)))</f>
        <v>*</v>
      </c>
      <c r="AH51" s="15" t="str">
        <f>IF(H51="*","*",IF(_xlfn.XLOOKUP($H51,'TRA TECH'!$J:$J,'TRA TECH'!AJ:AJ)="","",_xlfn.XLOOKUP($H51,'TRA TECH'!$J:$J,'TRA TECH'!AJ:AJ)))</f>
        <v>*</v>
      </c>
      <c r="AI51" s="15" t="str">
        <f>IF(H51="*","*",IF(_xlfn.XLOOKUP($H51,'TRA TECH'!$J:$J,'TRA TECH'!AK:AK)="","",_xlfn.XLOOKUP($H51,'TRA TECH'!$J:$J,'TRA TECH'!AK:AK)))</f>
        <v>*</v>
      </c>
      <c r="AJ51" s="15" t="str">
        <f t="shared" si="4"/>
        <v>*</v>
      </c>
      <c r="AK51" s="16" t="str">
        <f t="shared" si="5"/>
        <v>*</v>
      </c>
    </row>
    <row r="52" spans="2:37" x14ac:dyDescent="0.25">
      <c r="B52" t="str">
        <f>IF('TRA TECH'!M48=0,"*",IF('TRA TECH'!H48="","*",'TRA TECH'!J48))</f>
        <v>TRAPASLDTPHEVPGSL20</v>
      </c>
      <c r="C52" t="str">
        <f>IF('TRA TECH'!M48=0,"*",'TRA TECH'!H48)</f>
        <v>TRAGSL</v>
      </c>
      <c r="D52" t="s">
        <v>424</v>
      </c>
      <c r="E52" s="9">
        <f>'TRA TECH'!P48</f>
        <v>0.79385474860335326</v>
      </c>
      <c r="H52" t="str">
        <f>IF('TRA TECH'!M48=1,IF('TRA TECH'!L48=1,'TRA TECH'!J48,"*"),"*")</f>
        <v>TRAPASLDTPHEVPGSL20</v>
      </c>
      <c r="I52" t="str">
        <f>IF(H52="*","*",_xlfn.XLOOKUP(H52,'TRA TECH'!J:J,'TRA TECH'!I:I))</f>
        <v>TRAPASLDTDMD</v>
      </c>
      <c r="J52">
        <f>IF(H52="*","*",_xlfn.XLOOKUP(H52,'TRA TECH'!J:J,'TRA TECH'!N:N))</f>
        <v>2020</v>
      </c>
      <c r="K52" s="15">
        <f>IF(H52="*","*",IF(_xlfn.XLOOKUP(H52,'TRA TECH'!J:J,'TRA TECH'!O:O)="","",_xlfn.XLOOKUP(H52,'TRA TECH'!J:J,'TRA TECH'!O:O)))</f>
        <v>18.828422487318921</v>
      </c>
      <c r="L52">
        <f t="shared" si="1"/>
        <v>1</v>
      </c>
      <c r="M52">
        <f>IF(H52="*","*",IF(_xlfn.XLOOKUP($H52,'TRA TECH'!$J:$J,'TRA TECH'!Q:Q)="","",_xlfn.XLOOKUP($H52,'TRA TECH'!$J:$J,'TRA TECH'!Q:Q)))</f>
        <v>0.6442505242334311</v>
      </c>
      <c r="N52">
        <f>IF(H52="*","*",IF(_xlfn.XLOOKUP($H52,'TRA TECH'!$J:$J,'TRA TECH'!R:R)="","",_xlfn.XLOOKUP($H52,'TRA TECH'!$J:$J,'TRA TECH'!R:R)))</f>
        <v>0.67254979228486733</v>
      </c>
      <c r="O52">
        <f>IF(H52="*","*",IF(_xlfn.XLOOKUP($H52,'TRA TECH'!$J:$J,'TRA TECH'!S:S)="","",_xlfn.XLOOKUP($H52,'TRA TECH'!$J:$J,'TRA TECH'!S:S)))</f>
        <v>0.68802595450049164</v>
      </c>
      <c r="P52">
        <f>IF(H52="*","*",IF(_xlfn.XLOOKUP($H52,'TRA TECH'!$J:$J,'TRA TECH'!T:T)="","",_xlfn.XLOOKUP($H52,'TRA TECH'!$J:$J,'TRA TECH'!T:T)))</f>
        <v>0.74108708209693452</v>
      </c>
      <c r="Q52">
        <f>IF(H52="*","*",IF(_xlfn.XLOOKUP($H52,'TRA TECH'!$J:$J,'TRA TECH'!U:U)="","",_xlfn.XLOOKUP($H52,'TRA TECH'!$J:$J,'TRA TECH'!U:U)))</f>
        <v>0.77203940652819092</v>
      </c>
      <c r="R52">
        <f>IF(H52="*","*",IF(_xlfn.XLOOKUP($H52,'TRA TECH'!$J:$J,'TRA TECH'!V:V)="","",_xlfn.XLOOKUP($H52,'TRA TECH'!$J:$J,'TRA TECH'!V:V)))</f>
        <v>0.80254955489614233</v>
      </c>
      <c r="S52">
        <f>IF(H52="*","*",IF(_xlfn.XLOOKUP($H52,'TRA TECH'!$J:$J,'TRA TECH'!W:W)="","",_xlfn.XLOOKUP($H52,'TRA TECH'!$J:$J,'TRA TECH'!W:W)))</f>
        <v>0.83394405539070349</v>
      </c>
      <c r="T52">
        <f t="shared" si="2"/>
        <v>0.83394405539070349</v>
      </c>
      <c r="U52">
        <f>IF(H52="*","*",IF(_xlfn.XLOOKUP($H52,'TRA TECH'!$J:$J,'TRA TECH'!X:X)="","",_xlfn.XLOOKUP($H52,'TRA TECH'!$J:$J,'TRA TECH'!X:X)))</f>
        <v>219.07824834934419</v>
      </c>
      <c r="V52">
        <f>IF(H52="*","*",IF(_xlfn.XLOOKUP($H52,'TRA TECH'!$J:$J,'TRA TECH'!Y:Y)="","",_xlfn.XLOOKUP($H52,'TRA TECH'!$J:$J,'TRA TECH'!Y:Y)))</f>
        <v>205.08948573829241</v>
      </c>
      <c r="W52">
        <f>IF(H52="*","*",IF(_xlfn.XLOOKUP($H52,'TRA TECH'!$J:$J,'TRA TECH'!Z:Z)="","",_xlfn.XLOOKUP($H52,'TRA TECH'!$J:$J,'TRA TECH'!Z:Z)))</f>
        <v>196.3168718974633</v>
      </c>
      <c r="X52">
        <f>IF(H52="*","*",IF(_xlfn.XLOOKUP($H52,'TRA TECH'!$J:$J,'TRA TECH'!AA:AA)="","",_xlfn.XLOOKUP($H52,'TRA TECH'!$J:$J,'TRA TECH'!AA:AA)))</f>
        <v>192.04911381273621</v>
      </c>
      <c r="Y52">
        <f>IF(H52="*","*",IF(_xlfn.XLOOKUP($H52,'TRA TECH'!$J:$J,'TRA TECH'!AB:AB)="","",_xlfn.XLOOKUP($H52,'TRA TECH'!$J:$J,'TRA TECH'!AB:AB)))</f>
        <v>189.4410394276249</v>
      </c>
      <c r="Z52">
        <f>IF(H52="*","*",IF(_xlfn.XLOOKUP($H52,'TRA TECH'!$J:$J,'TRA TECH'!AC:AC)="","",_xlfn.XLOOKUP($H52,'TRA TECH'!$J:$J,'TRA TECH'!AC:AC)))</f>
        <v>187.07006271388761</v>
      </c>
      <c r="AA52">
        <f>IF(H52="*","*",IF(_xlfn.XLOOKUP($H52,'TRA TECH'!$J:$J,'TRA TECH'!AD:AD)="","",_xlfn.XLOOKUP($H52,'TRA TECH'!$J:$J,'TRA TECH'!AD:AD)))</f>
        <v>184.69908600014949</v>
      </c>
      <c r="AB52">
        <f t="shared" si="3"/>
        <v>184.69908600014949</v>
      </c>
      <c r="AC52" s="15">
        <f>IF(H52="*","*",IF(_xlfn.XLOOKUP($H52,'TRA TECH'!$J:$J,'TRA TECH'!AE:AE)="","",_xlfn.XLOOKUP($H52,'TRA TECH'!$J:$J,'TRA TECH'!AE:AE)))</f>
        <v>4.2185010434995602</v>
      </c>
      <c r="AD52" s="15">
        <f>IF(H52="*","*",IF(_xlfn.XLOOKUP($H52,'TRA TECH'!$J:$J,'TRA TECH'!AF:AF)="","",_xlfn.XLOOKUP($H52,'TRA TECH'!$J:$J,'TRA TECH'!AF:AF)))</f>
        <v>4.2185010434995602</v>
      </c>
      <c r="AE52" s="15">
        <f>IF(H52="*","*",IF(_xlfn.XLOOKUP($H52,'TRA TECH'!$J:$J,'TRA TECH'!AG:AG)="","",_xlfn.XLOOKUP($H52,'TRA TECH'!$J:$J,'TRA TECH'!AG:AG)))</f>
        <v>4.2185010434995602</v>
      </c>
      <c r="AF52" s="15">
        <f>IF(H52="*","*",IF(_xlfn.XLOOKUP($H52,'TRA TECH'!$J:$J,'TRA TECH'!AH:AH)="","",_xlfn.XLOOKUP($H52,'TRA TECH'!$J:$J,'TRA TECH'!AH:AH)))</f>
        <v>4.2185010434995602</v>
      </c>
      <c r="AG52" s="15">
        <f>IF(H52="*","*",IF(_xlfn.XLOOKUP($H52,'TRA TECH'!$J:$J,'TRA TECH'!AI:AI)="","",_xlfn.XLOOKUP($H52,'TRA TECH'!$J:$J,'TRA TECH'!AI:AI)))</f>
        <v>4.2185010434995602</v>
      </c>
      <c r="AH52" s="15">
        <f>IF(H52="*","*",IF(_xlfn.XLOOKUP($H52,'TRA TECH'!$J:$J,'TRA TECH'!AJ:AJ)="","",_xlfn.XLOOKUP($H52,'TRA TECH'!$J:$J,'TRA TECH'!AJ:AJ)))</f>
        <v>4.2185010434995602</v>
      </c>
      <c r="AI52" s="15">
        <f>IF(H52="*","*",IF(_xlfn.XLOOKUP($H52,'TRA TECH'!$J:$J,'TRA TECH'!AK:AK)="","",_xlfn.XLOOKUP($H52,'TRA TECH'!$J:$J,'TRA TECH'!AK:AK)))</f>
        <v>4.2185010434995602</v>
      </c>
      <c r="AJ52" s="15">
        <f t="shared" si="4"/>
        <v>4.2185010434995602</v>
      </c>
      <c r="AK52" s="16">
        <f t="shared" si="5"/>
        <v>0.25</v>
      </c>
    </row>
    <row r="53" spans="2:37" x14ac:dyDescent="0.25">
      <c r="B53" t="str">
        <f>IF('TRA TECH'!M49=0,"*",IF('TRA TECH'!H49="","*",'TRA TECH'!J49))</f>
        <v>TRAPASLDTPHEVPGSL20</v>
      </c>
      <c r="C53" t="str">
        <f>IF('TRA TECH'!M49=0,"*",'TRA TECH'!H49)</f>
        <v>TRAETH</v>
      </c>
      <c r="D53" t="s">
        <v>424</v>
      </c>
      <c r="E53" s="9">
        <f>'TRA TECH'!P49</f>
        <v>0.1</v>
      </c>
      <c r="H53" t="str">
        <f>IF('TRA TECH'!M49=1,IF('TRA TECH'!L49=1,'TRA TECH'!J49,"*"),"*")</f>
        <v>*</v>
      </c>
      <c r="I53" t="str">
        <f>IF(H53="*","*",_xlfn.XLOOKUP(H53,'TRA TECH'!J:J,'TRA TECH'!I:I))</f>
        <v>*</v>
      </c>
      <c r="J53" t="str">
        <f>IF(H53="*","*",_xlfn.XLOOKUP(H53,'TRA TECH'!J:J,'TRA TECH'!N:N))</f>
        <v>*</v>
      </c>
      <c r="K53" s="15" t="str">
        <f>IF(H53="*","*",IF(_xlfn.XLOOKUP(H53,'TRA TECH'!J:J,'TRA TECH'!O:O)="","",_xlfn.XLOOKUP(H53,'TRA TECH'!J:J,'TRA TECH'!O:O)))</f>
        <v>*</v>
      </c>
      <c r="L53" t="str">
        <f t="shared" si="1"/>
        <v>*</v>
      </c>
      <c r="M53" t="str">
        <f>IF(H53="*","*",IF(_xlfn.XLOOKUP($H53,'TRA TECH'!$J:$J,'TRA TECH'!Q:Q)="","",_xlfn.XLOOKUP($H53,'TRA TECH'!$J:$J,'TRA TECH'!Q:Q)))</f>
        <v>*</v>
      </c>
      <c r="N53" t="str">
        <f>IF(H53="*","*",IF(_xlfn.XLOOKUP($H53,'TRA TECH'!$J:$J,'TRA TECH'!R:R)="","",_xlfn.XLOOKUP($H53,'TRA TECH'!$J:$J,'TRA TECH'!R:R)))</f>
        <v>*</v>
      </c>
      <c r="O53" t="str">
        <f>IF(H53="*","*",IF(_xlfn.XLOOKUP($H53,'TRA TECH'!$J:$J,'TRA TECH'!S:S)="","",_xlfn.XLOOKUP($H53,'TRA TECH'!$J:$J,'TRA TECH'!S:S)))</f>
        <v>*</v>
      </c>
      <c r="P53" t="str">
        <f>IF(H53="*","*",IF(_xlfn.XLOOKUP($H53,'TRA TECH'!$J:$J,'TRA TECH'!T:T)="","",_xlfn.XLOOKUP($H53,'TRA TECH'!$J:$J,'TRA TECH'!T:T)))</f>
        <v>*</v>
      </c>
      <c r="Q53" t="str">
        <f>IF(H53="*","*",IF(_xlfn.XLOOKUP($H53,'TRA TECH'!$J:$J,'TRA TECH'!U:U)="","",_xlfn.XLOOKUP($H53,'TRA TECH'!$J:$J,'TRA TECH'!U:U)))</f>
        <v>*</v>
      </c>
      <c r="R53" t="str">
        <f>IF(H53="*","*",IF(_xlfn.XLOOKUP($H53,'TRA TECH'!$J:$J,'TRA TECH'!V:V)="","",_xlfn.XLOOKUP($H53,'TRA TECH'!$J:$J,'TRA TECH'!V:V)))</f>
        <v>*</v>
      </c>
      <c r="S53" t="str">
        <f>IF(H53="*","*",IF(_xlfn.XLOOKUP($H53,'TRA TECH'!$J:$J,'TRA TECH'!W:W)="","",_xlfn.XLOOKUP($H53,'TRA TECH'!$J:$J,'TRA TECH'!W:W)))</f>
        <v>*</v>
      </c>
      <c r="T53" t="str">
        <f t="shared" si="2"/>
        <v>*</v>
      </c>
      <c r="U53" t="str">
        <f>IF(H53="*","*",IF(_xlfn.XLOOKUP($H53,'TRA TECH'!$J:$J,'TRA TECH'!X:X)="","",_xlfn.XLOOKUP($H53,'TRA TECH'!$J:$J,'TRA TECH'!X:X)))</f>
        <v>*</v>
      </c>
      <c r="V53" t="str">
        <f>IF(H53="*","*",IF(_xlfn.XLOOKUP($H53,'TRA TECH'!$J:$J,'TRA TECH'!Y:Y)="","",_xlfn.XLOOKUP($H53,'TRA TECH'!$J:$J,'TRA TECH'!Y:Y)))</f>
        <v>*</v>
      </c>
      <c r="W53" t="str">
        <f>IF(H53="*","*",IF(_xlfn.XLOOKUP($H53,'TRA TECH'!$J:$J,'TRA TECH'!Z:Z)="","",_xlfn.XLOOKUP($H53,'TRA TECH'!$J:$J,'TRA TECH'!Z:Z)))</f>
        <v>*</v>
      </c>
      <c r="X53" t="str">
        <f>IF(H53="*","*",IF(_xlfn.XLOOKUP($H53,'TRA TECH'!$J:$J,'TRA TECH'!AA:AA)="","",_xlfn.XLOOKUP($H53,'TRA TECH'!$J:$J,'TRA TECH'!AA:AA)))</f>
        <v>*</v>
      </c>
      <c r="Y53" t="str">
        <f>IF(H53="*","*",IF(_xlfn.XLOOKUP($H53,'TRA TECH'!$J:$J,'TRA TECH'!AB:AB)="","",_xlfn.XLOOKUP($H53,'TRA TECH'!$J:$J,'TRA TECH'!AB:AB)))</f>
        <v>*</v>
      </c>
      <c r="Z53" t="str">
        <f>IF(H53="*","*",IF(_xlfn.XLOOKUP($H53,'TRA TECH'!$J:$J,'TRA TECH'!AC:AC)="","",_xlfn.XLOOKUP($H53,'TRA TECH'!$J:$J,'TRA TECH'!AC:AC)))</f>
        <v>*</v>
      </c>
      <c r="AA53" t="str">
        <f>IF(H53="*","*",IF(_xlfn.XLOOKUP($H53,'TRA TECH'!$J:$J,'TRA TECH'!AD:AD)="","",_xlfn.XLOOKUP($H53,'TRA TECH'!$J:$J,'TRA TECH'!AD:AD)))</f>
        <v>*</v>
      </c>
      <c r="AB53" t="str">
        <f t="shared" si="3"/>
        <v>*</v>
      </c>
      <c r="AC53" s="15" t="str">
        <f>IF(H53="*","*",IF(_xlfn.XLOOKUP($H53,'TRA TECH'!$J:$J,'TRA TECH'!AE:AE)="","",_xlfn.XLOOKUP($H53,'TRA TECH'!$J:$J,'TRA TECH'!AE:AE)))</f>
        <v>*</v>
      </c>
      <c r="AD53" s="15" t="str">
        <f>IF(H53="*","*",IF(_xlfn.XLOOKUP($H53,'TRA TECH'!$J:$J,'TRA TECH'!AF:AF)="","",_xlfn.XLOOKUP($H53,'TRA TECH'!$J:$J,'TRA TECH'!AF:AF)))</f>
        <v>*</v>
      </c>
      <c r="AE53" s="15" t="str">
        <f>IF(H53="*","*",IF(_xlfn.XLOOKUP($H53,'TRA TECH'!$J:$J,'TRA TECH'!AG:AG)="","",_xlfn.XLOOKUP($H53,'TRA TECH'!$J:$J,'TRA TECH'!AG:AG)))</f>
        <v>*</v>
      </c>
      <c r="AF53" s="15" t="str">
        <f>IF(H53="*","*",IF(_xlfn.XLOOKUP($H53,'TRA TECH'!$J:$J,'TRA TECH'!AH:AH)="","",_xlfn.XLOOKUP($H53,'TRA TECH'!$J:$J,'TRA TECH'!AH:AH)))</f>
        <v>*</v>
      </c>
      <c r="AG53" s="15" t="str">
        <f>IF(H53="*","*",IF(_xlfn.XLOOKUP($H53,'TRA TECH'!$J:$J,'TRA TECH'!AI:AI)="","",_xlfn.XLOOKUP($H53,'TRA TECH'!$J:$J,'TRA TECH'!AI:AI)))</f>
        <v>*</v>
      </c>
      <c r="AH53" s="15" t="str">
        <f>IF(H53="*","*",IF(_xlfn.XLOOKUP($H53,'TRA TECH'!$J:$J,'TRA TECH'!AJ:AJ)="","",_xlfn.XLOOKUP($H53,'TRA TECH'!$J:$J,'TRA TECH'!AJ:AJ)))</f>
        <v>*</v>
      </c>
      <c r="AI53" s="15" t="str">
        <f>IF(H53="*","*",IF(_xlfn.XLOOKUP($H53,'TRA TECH'!$J:$J,'TRA TECH'!AK:AK)="","",_xlfn.XLOOKUP($H53,'TRA TECH'!$J:$J,'TRA TECH'!AK:AK)))</f>
        <v>*</v>
      </c>
      <c r="AJ53" s="15" t="str">
        <f t="shared" si="4"/>
        <v>*</v>
      </c>
      <c r="AK53" s="16" t="str">
        <f t="shared" si="5"/>
        <v>*</v>
      </c>
    </row>
    <row r="54" spans="2:37" x14ac:dyDescent="0.25">
      <c r="B54" t="str">
        <f>IF('TRA TECH'!M50=0,"*",IF('TRA TECH'!H50="","*",'TRA TECH'!J50))</f>
        <v>TRAPASLDTPHEVPGSL20</v>
      </c>
      <c r="C54" t="str">
        <f>IF('TRA TECH'!M50=0,"*",'TRA TECH'!H50)</f>
        <v>TRABAT</v>
      </c>
      <c r="D54" t="s">
        <v>424</v>
      </c>
      <c r="E54" s="9">
        <f>'TRA TECH'!P50</f>
        <v>0.2061452513966468</v>
      </c>
      <c r="H54" t="str">
        <f>IF('TRA TECH'!M50=1,IF('TRA TECH'!L50=1,'TRA TECH'!J50,"*"),"*")</f>
        <v>*</v>
      </c>
      <c r="I54" t="str">
        <f>IF(H54="*","*",_xlfn.XLOOKUP(H54,'TRA TECH'!J:J,'TRA TECH'!I:I))</f>
        <v>*</v>
      </c>
      <c r="J54" t="str">
        <f>IF(H54="*","*",_xlfn.XLOOKUP(H54,'TRA TECH'!J:J,'TRA TECH'!N:N))</f>
        <v>*</v>
      </c>
      <c r="K54" s="15" t="str">
        <f>IF(H54="*","*",IF(_xlfn.XLOOKUP(H54,'TRA TECH'!J:J,'TRA TECH'!O:O)="","",_xlfn.XLOOKUP(H54,'TRA TECH'!J:J,'TRA TECH'!O:O)))</f>
        <v>*</v>
      </c>
      <c r="L54" t="str">
        <f t="shared" si="1"/>
        <v>*</v>
      </c>
      <c r="M54" t="str">
        <f>IF(H54="*","*",IF(_xlfn.XLOOKUP($H54,'TRA TECH'!$J:$J,'TRA TECH'!Q:Q)="","",_xlfn.XLOOKUP($H54,'TRA TECH'!$J:$J,'TRA TECH'!Q:Q)))</f>
        <v>*</v>
      </c>
      <c r="N54" t="str">
        <f>IF(H54="*","*",IF(_xlfn.XLOOKUP($H54,'TRA TECH'!$J:$J,'TRA TECH'!R:R)="","",_xlfn.XLOOKUP($H54,'TRA TECH'!$J:$J,'TRA TECH'!R:R)))</f>
        <v>*</v>
      </c>
      <c r="O54" t="str">
        <f>IF(H54="*","*",IF(_xlfn.XLOOKUP($H54,'TRA TECH'!$J:$J,'TRA TECH'!S:S)="","",_xlfn.XLOOKUP($H54,'TRA TECH'!$J:$J,'TRA TECH'!S:S)))</f>
        <v>*</v>
      </c>
      <c r="P54" t="str">
        <f>IF(H54="*","*",IF(_xlfn.XLOOKUP($H54,'TRA TECH'!$J:$J,'TRA TECH'!T:T)="","",_xlfn.XLOOKUP($H54,'TRA TECH'!$J:$J,'TRA TECH'!T:T)))</f>
        <v>*</v>
      </c>
      <c r="Q54" t="str">
        <f>IF(H54="*","*",IF(_xlfn.XLOOKUP($H54,'TRA TECH'!$J:$J,'TRA TECH'!U:U)="","",_xlfn.XLOOKUP($H54,'TRA TECH'!$J:$J,'TRA TECH'!U:U)))</f>
        <v>*</v>
      </c>
      <c r="R54" t="str">
        <f>IF(H54="*","*",IF(_xlfn.XLOOKUP($H54,'TRA TECH'!$J:$J,'TRA TECH'!V:V)="","",_xlfn.XLOOKUP($H54,'TRA TECH'!$J:$J,'TRA TECH'!V:V)))</f>
        <v>*</v>
      </c>
      <c r="S54" t="str">
        <f>IF(H54="*","*",IF(_xlfn.XLOOKUP($H54,'TRA TECH'!$J:$J,'TRA TECH'!W:W)="","",_xlfn.XLOOKUP($H54,'TRA TECH'!$J:$J,'TRA TECH'!W:W)))</f>
        <v>*</v>
      </c>
      <c r="T54" t="str">
        <f t="shared" si="2"/>
        <v>*</v>
      </c>
      <c r="U54" t="str">
        <f>IF(H54="*","*",IF(_xlfn.XLOOKUP($H54,'TRA TECH'!$J:$J,'TRA TECH'!X:X)="","",_xlfn.XLOOKUP($H54,'TRA TECH'!$J:$J,'TRA TECH'!X:X)))</f>
        <v>*</v>
      </c>
      <c r="V54" t="str">
        <f>IF(H54="*","*",IF(_xlfn.XLOOKUP($H54,'TRA TECH'!$J:$J,'TRA TECH'!Y:Y)="","",_xlfn.XLOOKUP($H54,'TRA TECH'!$J:$J,'TRA TECH'!Y:Y)))</f>
        <v>*</v>
      </c>
      <c r="W54" t="str">
        <f>IF(H54="*","*",IF(_xlfn.XLOOKUP($H54,'TRA TECH'!$J:$J,'TRA TECH'!Z:Z)="","",_xlfn.XLOOKUP($H54,'TRA TECH'!$J:$J,'TRA TECH'!Z:Z)))</f>
        <v>*</v>
      </c>
      <c r="X54" t="str">
        <f>IF(H54="*","*",IF(_xlfn.XLOOKUP($H54,'TRA TECH'!$J:$J,'TRA TECH'!AA:AA)="","",_xlfn.XLOOKUP($H54,'TRA TECH'!$J:$J,'TRA TECH'!AA:AA)))</f>
        <v>*</v>
      </c>
      <c r="Y54" t="str">
        <f>IF(H54="*","*",IF(_xlfn.XLOOKUP($H54,'TRA TECH'!$J:$J,'TRA TECH'!AB:AB)="","",_xlfn.XLOOKUP($H54,'TRA TECH'!$J:$J,'TRA TECH'!AB:AB)))</f>
        <v>*</v>
      </c>
      <c r="Z54" t="str">
        <f>IF(H54="*","*",IF(_xlfn.XLOOKUP($H54,'TRA TECH'!$J:$J,'TRA TECH'!AC:AC)="","",_xlfn.XLOOKUP($H54,'TRA TECH'!$J:$J,'TRA TECH'!AC:AC)))</f>
        <v>*</v>
      </c>
      <c r="AA54" t="str">
        <f>IF(H54="*","*",IF(_xlfn.XLOOKUP($H54,'TRA TECH'!$J:$J,'TRA TECH'!AD:AD)="","",_xlfn.XLOOKUP($H54,'TRA TECH'!$J:$J,'TRA TECH'!AD:AD)))</f>
        <v>*</v>
      </c>
      <c r="AB54" t="str">
        <f t="shared" si="3"/>
        <v>*</v>
      </c>
      <c r="AC54" s="15" t="str">
        <f>IF(H54="*","*",IF(_xlfn.XLOOKUP($H54,'TRA TECH'!$J:$J,'TRA TECH'!AE:AE)="","",_xlfn.XLOOKUP($H54,'TRA TECH'!$J:$J,'TRA TECH'!AE:AE)))</f>
        <v>*</v>
      </c>
      <c r="AD54" s="15" t="str">
        <f>IF(H54="*","*",IF(_xlfn.XLOOKUP($H54,'TRA TECH'!$J:$J,'TRA TECH'!AF:AF)="","",_xlfn.XLOOKUP($H54,'TRA TECH'!$J:$J,'TRA TECH'!AF:AF)))</f>
        <v>*</v>
      </c>
      <c r="AE54" s="15" t="str">
        <f>IF(H54="*","*",IF(_xlfn.XLOOKUP($H54,'TRA TECH'!$J:$J,'TRA TECH'!AG:AG)="","",_xlfn.XLOOKUP($H54,'TRA TECH'!$J:$J,'TRA TECH'!AG:AG)))</f>
        <v>*</v>
      </c>
      <c r="AF54" s="15" t="str">
        <f>IF(H54="*","*",IF(_xlfn.XLOOKUP($H54,'TRA TECH'!$J:$J,'TRA TECH'!AH:AH)="","",_xlfn.XLOOKUP($H54,'TRA TECH'!$J:$J,'TRA TECH'!AH:AH)))</f>
        <v>*</v>
      </c>
      <c r="AG54" s="15" t="str">
        <f>IF(H54="*","*",IF(_xlfn.XLOOKUP($H54,'TRA TECH'!$J:$J,'TRA TECH'!AI:AI)="","",_xlfn.XLOOKUP($H54,'TRA TECH'!$J:$J,'TRA TECH'!AI:AI)))</f>
        <v>*</v>
      </c>
      <c r="AH54" s="15" t="str">
        <f>IF(H54="*","*",IF(_xlfn.XLOOKUP($H54,'TRA TECH'!$J:$J,'TRA TECH'!AJ:AJ)="","",_xlfn.XLOOKUP($H54,'TRA TECH'!$J:$J,'TRA TECH'!AJ:AJ)))</f>
        <v>*</v>
      </c>
      <c r="AI54" s="15" t="str">
        <f>IF(H54="*","*",IF(_xlfn.XLOOKUP($H54,'TRA TECH'!$J:$J,'TRA TECH'!AK:AK)="","",_xlfn.XLOOKUP($H54,'TRA TECH'!$J:$J,'TRA TECH'!AK:AK)))</f>
        <v>*</v>
      </c>
      <c r="AJ54" s="15" t="str">
        <f t="shared" si="4"/>
        <v>*</v>
      </c>
      <c r="AK54" s="16" t="str">
        <f t="shared" si="5"/>
        <v>*</v>
      </c>
    </row>
    <row r="55" spans="2:37" x14ac:dyDescent="0.25">
      <c r="B55" t="str">
        <f>IF('TRA TECH'!M51=0,"*",IF('TRA TECH'!H51="","*",'TRA TECH'!J51))</f>
        <v>TRAPASLDTPHEVEGSL20</v>
      </c>
      <c r="C55" t="str">
        <f>IF('TRA TECH'!M51=0,"*",'TRA TECH'!H51)</f>
        <v>TRAGSL</v>
      </c>
      <c r="D55" t="s">
        <v>424</v>
      </c>
      <c r="E55" s="9">
        <f>'TRA TECH'!P51</f>
        <v>0.59329608938547262</v>
      </c>
      <c r="H55" t="str">
        <f>IF('TRA TECH'!M51=1,IF('TRA TECH'!L51=1,'TRA TECH'!J51,"*"),"*")</f>
        <v>TRAPASLDTPHEVEGSL20</v>
      </c>
      <c r="I55" t="str">
        <f>IF(H55="*","*",_xlfn.XLOOKUP(H55,'TRA TECH'!J:J,'TRA TECH'!I:I))</f>
        <v>TRAPASLDTDMD</v>
      </c>
      <c r="J55">
        <f>IF(H55="*","*",_xlfn.XLOOKUP(H55,'TRA TECH'!J:J,'TRA TECH'!N:N))</f>
        <v>2020</v>
      </c>
      <c r="K55" s="15">
        <f>IF(H55="*","*",IF(_xlfn.XLOOKUP(H55,'TRA TECH'!J:J,'TRA TECH'!O:O)="","",_xlfn.XLOOKUP(H55,'TRA TECH'!J:J,'TRA TECH'!O:O)))</f>
        <v>18.828422487318921</v>
      </c>
      <c r="L55">
        <f t="shared" si="1"/>
        <v>1</v>
      </c>
      <c r="M55">
        <f>IF(H55="*","*",IF(_xlfn.XLOOKUP($H55,'TRA TECH'!$J:$J,'TRA TECH'!Q:Q)="","",_xlfn.XLOOKUP($H55,'TRA TECH'!$J:$J,'TRA TECH'!Q:Q)))</f>
        <v>0.80299173095944776</v>
      </c>
      <c r="N55">
        <f>IF(H55="*","*",IF(_xlfn.XLOOKUP($H55,'TRA TECH'!$J:$J,'TRA TECH'!R:R)="","",_xlfn.XLOOKUP($H55,'TRA TECH'!$J:$J,'TRA TECH'!R:R)))</f>
        <v>0.8463249851632042</v>
      </c>
      <c r="O55">
        <f>IF(H55="*","*",IF(_xlfn.XLOOKUP($H55,'TRA TECH'!$J:$J,'TRA TECH'!S:S)="","",_xlfn.XLOOKUP($H55,'TRA TECH'!$J:$J,'TRA TECH'!S:S)))</f>
        <v>0.86268549950544016</v>
      </c>
      <c r="P55">
        <f>IF(H55="*","*",IF(_xlfn.XLOOKUP($H55,'TRA TECH'!$J:$J,'TRA TECH'!T:T)="","",_xlfn.XLOOKUP($H55,'TRA TECH'!$J:$J,'TRA TECH'!T:T)))</f>
        <v>0.93564454995054436</v>
      </c>
      <c r="Q55">
        <f>IF(H55="*","*",IF(_xlfn.XLOOKUP($H55,'TRA TECH'!$J:$J,'TRA TECH'!U:U)="","",_xlfn.XLOOKUP($H55,'TRA TECH'!$J:$J,'TRA TECH'!U:U)))</f>
        <v>0.97367169139465837</v>
      </c>
      <c r="R55">
        <f>IF(H55="*","*",IF(_xlfn.XLOOKUP($H55,'TRA TECH'!$J:$J,'TRA TECH'!V:V)="","",_xlfn.XLOOKUP($H55,'TRA TECH'!$J:$J,'TRA TECH'!V:V)))</f>
        <v>1.0116988328387719</v>
      </c>
      <c r="S55">
        <f>IF(H55="*","*",IF(_xlfn.XLOOKUP($H55,'TRA TECH'!$J:$J,'TRA TECH'!W:W)="","",_xlfn.XLOOKUP($H55,'TRA TECH'!$J:$J,'TRA TECH'!W:W)))</f>
        <v>1.0514946785361039</v>
      </c>
      <c r="T55">
        <f t="shared" si="2"/>
        <v>1.0514946785361039</v>
      </c>
      <c r="U55">
        <f>IF(H55="*","*",IF(_xlfn.XLOOKUP($H55,'TRA TECH'!$J:$J,'TRA TECH'!X:X)="","",_xlfn.XLOOKUP($H55,'TRA TECH'!$J:$J,'TRA TECH'!X:X)))</f>
        <v>242.07672247259629</v>
      </c>
      <c r="V55">
        <f>IF(H55="*","*",IF(_xlfn.XLOOKUP($H55,'TRA TECH'!$J:$J,'TRA TECH'!Y:Y)="","",_xlfn.XLOOKUP($H55,'TRA TECH'!$J:$J,'TRA TECH'!Y:Y)))</f>
        <v>221.92342040582801</v>
      </c>
      <c r="W55">
        <f>IF(H55="*","*",IF(_xlfn.XLOOKUP($H55,'TRA TECH'!$J:$J,'TRA TECH'!Z:Z)="","",_xlfn.XLOOKUP($H55,'TRA TECH'!$J:$J,'TRA TECH'!Z:Z)))</f>
        <v>205.80077875241361</v>
      </c>
      <c r="X55">
        <f>IF(H55="*","*",IF(_xlfn.XLOOKUP($H55,'TRA TECH'!$J:$J,'TRA TECH'!AA:AA)="","",_xlfn.XLOOKUP($H55,'TRA TECH'!$J:$J,'TRA TECH'!AA:AA)))</f>
        <v>197.5023602543325</v>
      </c>
      <c r="Y55">
        <f>IF(H55="*","*",IF(_xlfn.XLOOKUP($H55,'TRA TECH'!$J:$J,'TRA TECH'!AB:AB)="","",_xlfn.XLOOKUP($H55,'TRA TECH'!$J:$J,'TRA TECH'!AB:AB)))</f>
        <v>193.70879751235239</v>
      </c>
      <c r="Z55">
        <f>IF(H55="*","*",IF(_xlfn.XLOOKUP($H55,'TRA TECH'!$J:$J,'TRA TECH'!AC:AC)="","",_xlfn.XLOOKUP($H55,'TRA TECH'!$J:$J,'TRA TECH'!AC:AC)))</f>
        <v>190.15233244174621</v>
      </c>
      <c r="AA55">
        <f>IF(H55="*","*",IF(_xlfn.XLOOKUP($H55,'TRA TECH'!$J:$J,'TRA TECH'!AD:AD)="","",_xlfn.XLOOKUP($H55,'TRA TECH'!$J:$J,'TRA TECH'!AD:AD)))</f>
        <v>186.5958673711398</v>
      </c>
      <c r="AB55">
        <f t="shared" si="3"/>
        <v>186.5958673711398</v>
      </c>
      <c r="AC55" s="15">
        <f>IF(H55="*","*",IF(_xlfn.XLOOKUP($H55,'TRA TECH'!$J:$J,'TRA TECH'!AE:AE)="","",_xlfn.XLOOKUP($H55,'TRA TECH'!$J:$J,'TRA TECH'!AE:AE)))</f>
        <v>4.2185010434995602</v>
      </c>
      <c r="AD55" s="15">
        <f>IF(H55="*","*",IF(_xlfn.XLOOKUP($H55,'TRA TECH'!$J:$J,'TRA TECH'!AF:AF)="","",_xlfn.XLOOKUP($H55,'TRA TECH'!$J:$J,'TRA TECH'!AF:AF)))</f>
        <v>4.2185010434995602</v>
      </c>
      <c r="AE55" s="15">
        <f>IF(H55="*","*",IF(_xlfn.XLOOKUP($H55,'TRA TECH'!$J:$J,'TRA TECH'!AG:AG)="","",_xlfn.XLOOKUP($H55,'TRA TECH'!$J:$J,'TRA TECH'!AG:AG)))</f>
        <v>4.2185010434995602</v>
      </c>
      <c r="AF55" s="15">
        <f>IF(H55="*","*",IF(_xlfn.XLOOKUP($H55,'TRA TECH'!$J:$J,'TRA TECH'!AH:AH)="","",_xlfn.XLOOKUP($H55,'TRA TECH'!$J:$J,'TRA TECH'!AH:AH)))</f>
        <v>4.2185010434995602</v>
      </c>
      <c r="AG55" s="15">
        <f>IF(H55="*","*",IF(_xlfn.XLOOKUP($H55,'TRA TECH'!$J:$J,'TRA TECH'!AI:AI)="","",_xlfn.XLOOKUP($H55,'TRA TECH'!$J:$J,'TRA TECH'!AI:AI)))</f>
        <v>4.2185010434995602</v>
      </c>
      <c r="AH55" s="15">
        <f>IF(H55="*","*",IF(_xlfn.XLOOKUP($H55,'TRA TECH'!$J:$J,'TRA TECH'!AJ:AJ)="","",_xlfn.XLOOKUP($H55,'TRA TECH'!$J:$J,'TRA TECH'!AJ:AJ)))</f>
        <v>4.2185010434995602</v>
      </c>
      <c r="AI55" s="15">
        <f>IF(H55="*","*",IF(_xlfn.XLOOKUP($H55,'TRA TECH'!$J:$J,'TRA TECH'!AK:AK)="","",_xlfn.XLOOKUP($H55,'TRA TECH'!$J:$J,'TRA TECH'!AK:AK)))</f>
        <v>4.2185010434995602</v>
      </c>
      <c r="AJ55" s="15">
        <f t="shared" si="4"/>
        <v>4.2185010434995602</v>
      </c>
      <c r="AK55" s="16">
        <f t="shared" si="5"/>
        <v>0.25</v>
      </c>
    </row>
    <row r="56" spans="2:37" x14ac:dyDescent="0.25">
      <c r="B56" t="str">
        <f>IF('TRA TECH'!M52=0,"*",IF('TRA TECH'!H52="","*",'TRA TECH'!J52))</f>
        <v>TRAPASLDTPHEVEGSL20</v>
      </c>
      <c r="C56" t="str">
        <f>IF('TRA TECH'!M52=0,"*",'TRA TECH'!H52)</f>
        <v>TRAETH</v>
      </c>
      <c r="D56" t="s">
        <v>424</v>
      </c>
      <c r="E56" s="9">
        <f>'TRA TECH'!P52</f>
        <v>0.1</v>
      </c>
      <c r="H56" t="str">
        <f>IF('TRA TECH'!M52=1,IF('TRA TECH'!L52=1,'TRA TECH'!J52,"*"),"*")</f>
        <v>*</v>
      </c>
      <c r="I56" t="str">
        <f>IF(H56="*","*",_xlfn.XLOOKUP(H56,'TRA TECH'!J:J,'TRA TECH'!I:I))</f>
        <v>*</v>
      </c>
      <c r="J56" t="str">
        <f>IF(H56="*","*",_xlfn.XLOOKUP(H56,'TRA TECH'!J:J,'TRA TECH'!N:N))</f>
        <v>*</v>
      </c>
      <c r="K56" s="15" t="str">
        <f>IF(H56="*","*",IF(_xlfn.XLOOKUP(H56,'TRA TECH'!J:J,'TRA TECH'!O:O)="","",_xlfn.XLOOKUP(H56,'TRA TECH'!J:J,'TRA TECH'!O:O)))</f>
        <v>*</v>
      </c>
      <c r="L56" t="str">
        <f t="shared" si="1"/>
        <v>*</v>
      </c>
      <c r="M56" t="str">
        <f>IF(H56="*","*",IF(_xlfn.XLOOKUP($H56,'TRA TECH'!$J:$J,'TRA TECH'!Q:Q)="","",_xlfn.XLOOKUP($H56,'TRA TECH'!$J:$J,'TRA TECH'!Q:Q)))</f>
        <v>*</v>
      </c>
      <c r="N56" t="str">
        <f>IF(H56="*","*",IF(_xlfn.XLOOKUP($H56,'TRA TECH'!$J:$J,'TRA TECH'!R:R)="","",_xlfn.XLOOKUP($H56,'TRA TECH'!$J:$J,'TRA TECH'!R:R)))</f>
        <v>*</v>
      </c>
      <c r="O56" t="str">
        <f>IF(H56="*","*",IF(_xlfn.XLOOKUP($H56,'TRA TECH'!$J:$J,'TRA TECH'!S:S)="","",_xlfn.XLOOKUP($H56,'TRA TECH'!$J:$J,'TRA TECH'!S:S)))</f>
        <v>*</v>
      </c>
      <c r="P56" t="str">
        <f>IF(H56="*","*",IF(_xlfn.XLOOKUP($H56,'TRA TECH'!$J:$J,'TRA TECH'!T:T)="","",_xlfn.XLOOKUP($H56,'TRA TECH'!$J:$J,'TRA TECH'!T:T)))</f>
        <v>*</v>
      </c>
      <c r="Q56" t="str">
        <f>IF(H56="*","*",IF(_xlfn.XLOOKUP($H56,'TRA TECH'!$J:$J,'TRA TECH'!U:U)="","",_xlfn.XLOOKUP($H56,'TRA TECH'!$J:$J,'TRA TECH'!U:U)))</f>
        <v>*</v>
      </c>
      <c r="R56" t="str">
        <f>IF(H56="*","*",IF(_xlfn.XLOOKUP($H56,'TRA TECH'!$J:$J,'TRA TECH'!V:V)="","",_xlfn.XLOOKUP($H56,'TRA TECH'!$J:$J,'TRA TECH'!V:V)))</f>
        <v>*</v>
      </c>
      <c r="S56" t="str">
        <f>IF(H56="*","*",IF(_xlfn.XLOOKUP($H56,'TRA TECH'!$J:$J,'TRA TECH'!W:W)="","",_xlfn.XLOOKUP($H56,'TRA TECH'!$J:$J,'TRA TECH'!W:W)))</f>
        <v>*</v>
      </c>
      <c r="T56" t="str">
        <f t="shared" si="2"/>
        <v>*</v>
      </c>
      <c r="U56" t="str">
        <f>IF(H56="*","*",IF(_xlfn.XLOOKUP($H56,'TRA TECH'!$J:$J,'TRA TECH'!X:X)="","",_xlfn.XLOOKUP($H56,'TRA TECH'!$J:$J,'TRA TECH'!X:X)))</f>
        <v>*</v>
      </c>
      <c r="V56" t="str">
        <f>IF(H56="*","*",IF(_xlfn.XLOOKUP($H56,'TRA TECH'!$J:$J,'TRA TECH'!Y:Y)="","",_xlfn.XLOOKUP($H56,'TRA TECH'!$J:$J,'TRA TECH'!Y:Y)))</f>
        <v>*</v>
      </c>
      <c r="W56" t="str">
        <f>IF(H56="*","*",IF(_xlfn.XLOOKUP($H56,'TRA TECH'!$J:$J,'TRA TECH'!Z:Z)="","",_xlfn.XLOOKUP($H56,'TRA TECH'!$J:$J,'TRA TECH'!Z:Z)))</f>
        <v>*</v>
      </c>
      <c r="X56" t="str">
        <f>IF(H56="*","*",IF(_xlfn.XLOOKUP($H56,'TRA TECH'!$J:$J,'TRA TECH'!AA:AA)="","",_xlfn.XLOOKUP($H56,'TRA TECH'!$J:$J,'TRA TECH'!AA:AA)))</f>
        <v>*</v>
      </c>
      <c r="Y56" t="str">
        <f>IF(H56="*","*",IF(_xlfn.XLOOKUP($H56,'TRA TECH'!$J:$J,'TRA TECH'!AB:AB)="","",_xlfn.XLOOKUP($H56,'TRA TECH'!$J:$J,'TRA TECH'!AB:AB)))</f>
        <v>*</v>
      </c>
      <c r="Z56" t="str">
        <f>IF(H56="*","*",IF(_xlfn.XLOOKUP($H56,'TRA TECH'!$J:$J,'TRA TECH'!AC:AC)="","",_xlfn.XLOOKUP($H56,'TRA TECH'!$J:$J,'TRA TECH'!AC:AC)))</f>
        <v>*</v>
      </c>
      <c r="AA56" t="str">
        <f>IF(H56="*","*",IF(_xlfn.XLOOKUP($H56,'TRA TECH'!$J:$J,'TRA TECH'!AD:AD)="","",_xlfn.XLOOKUP($H56,'TRA TECH'!$J:$J,'TRA TECH'!AD:AD)))</f>
        <v>*</v>
      </c>
      <c r="AB56" t="str">
        <f t="shared" si="3"/>
        <v>*</v>
      </c>
      <c r="AC56" s="15" t="str">
        <f>IF(H56="*","*",IF(_xlfn.XLOOKUP($H56,'TRA TECH'!$J:$J,'TRA TECH'!AE:AE)="","",_xlfn.XLOOKUP($H56,'TRA TECH'!$J:$J,'TRA TECH'!AE:AE)))</f>
        <v>*</v>
      </c>
      <c r="AD56" s="15" t="str">
        <f>IF(H56="*","*",IF(_xlfn.XLOOKUP($H56,'TRA TECH'!$J:$J,'TRA TECH'!AF:AF)="","",_xlfn.XLOOKUP($H56,'TRA TECH'!$J:$J,'TRA TECH'!AF:AF)))</f>
        <v>*</v>
      </c>
      <c r="AE56" s="15" t="str">
        <f>IF(H56="*","*",IF(_xlfn.XLOOKUP($H56,'TRA TECH'!$J:$J,'TRA TECH'!AG:AG)="","",_xlfn.XLOOKUP($H56,'TRA TECH'!$J:$J,'TRA TECH'!AG:AG)))</f>
        <v>*</v>
      </c>
      <c r="AF56" s="15" t="str">
        <f>IF(H56="*","*",IF(_xlfn.XLOOKUP($H56,'TRA TECH'!$J:$J,'TRA TECH'!AH:AH)="","",_xlfn.XLOOKUP($H56,'TRA TECH'!$J:$J,'TRA TECH'!AH:AH)))</f>
        <v>*</v>
      </c>
      <c r="AG56" s="15" t="str">
        <f>IF(H56="*","*",IF(_xlfn.XLOOKUP($H56,'TRA TECH'!$J:$J,'TRA TECH'!AI:AI)="","",_xlfn.XLOOKUP($H56,'TRA TECH'!$J:$J,'TRA TECH'!AI:AI)))</f>
        <v>*</v>
      </c>
      <c r="AH56" s="15" t="str">
        <f>IF(H56="*","*",IF(_xlfn.XLOOKUP($H56,'TRA TECH'!$J:$J,'TRA TECH'!AJ:AJ)="","",_xlfn.XLOOKUP($H56,'TRA TECH'!$J:$J,'TRA TECH'!AJ:AJ)))</f>
        <v>*</v>
      </c>
      <c r="AI56" s="15" t="str">
        <f>IF(H56="*","*",IF(_xlfn.XLOOKUP($H56,'TRA TECH'!$J:$J,'TRA TECH'!AK:AK)="","",_xlfn.XLOOKUP($H56,'TRA TECH'!$J:$J,'TRA TECH'!AK:AK)))</f>
        <v>*</v>
      </c>
      <c r="AJ56" s="15" t="str">
        <f t="shared" si="4"/>
        <v>*</v>
      </c>
      <c r="AK56" s="16" t="str">
        <f t="shared" si="5"/>
        <v>*</v>
      </c>
    </row>
    <row r="57" spans="2:37" x14ac:dyDescent="0.25">
      <c r="B57" t="str">
        <f>IF('TRA TECH'!M53=0,"*",IF('TRA TECH'!H53="","*",'TRA TECH'!J53))</f>
        <v>TRAPASLDTPHEVEGSL20</v>
      </c>
      <c r="C57" t="str">
        <f>IF('TRA TECH'!M53=0,"*",'TRA TECH'!H53)</f>
        <v>TRABAT</v>
      </c>
      <c r="D57" t="s">
        <v>424</v>
      </c>
      <c r="E57" s="9">
        <f>'TRA TECH'!P53</f>
        <v>0.40670391061452732</v>
      </c>
      <c r="H57" t="str">
        <f>IF('TRA TECH'!M53=1,IF('TRA TECH'!L53=1,'TRA TECH'!J53,"*"),"*")</f>
        <v>*</v>
      </c>
      <c r="I57" t="str">
        <f>IF(H57="*","*",_xlfn.XLOOKUP(H57,'TRA TECH'!J:J,'TRA TECH'!I:I))</f>
        <v>*</v>
      </c>
      <c r="J57" t="str">
        <f>IF(H57="*","*",_xlfn.XLOOKUP(H57,'TRA TECH'!J:J,'TRA TECH'!N:N))</f>
        <v>*</v>
      </c>
      <c r="K57" s="15" t="str">
        <f>IF(H57="*","*",IF(_xlfn.XLOOKUP(H57,'TRA TECH'!J:J,'TRA TECH'!O:O)="","",_xlfn.XLOOKUP(H57,'TRA TECH'!J:J,'TRA TECH'!O:O)))</f>
        <v>*</v>
      </c>
      <c r="L57" t="str">
        <f t="shared" si="1"/>
        <v>*</v>
      </c>
      <c r="M57" t="str">
        <f>IF(H57="*","*",IF(_xlfn.XLOOKUP($H57,'TRA TECH'!$J:$J,'TRA TECH'!Q:Q)="","",_xlfn.XLOOKUP($H57,'TRA TECH'!$J:$J,'TRA TECH'!Q:Q)))</f>
        <v>*</v>
      </c>
      <c r="N57" t="str">
        <f>IF(H57="*","*",IF(_xlfn.XLOOKUP($H57,'TRA TECH'!$J:$J,'TRA TECH'!R:R)="","",_xlfn.XLOOKUP($H57,'TRA TECH'!$J:$J,'TRA TECH'!R:R)))</f>
        <v>*</v>
      </c>
      <c r="O57" t="str">
        <f>IF(H57="*","*",IF(_xlfn.XLOOKUP($H57,'TRA TECH'!$J:$J,'TRA TECH'!S:S)="","",_xlfn.XLOOKUP($H57,'TRA TECH'!$J:$J,'TRA TECH'!S:S)))</f>
        <v>*</v>
      </c>
      <c r="P57" t="str">
        <f>IF(H57="*","*",IF(_xlfn.XLOOKUP($H57,'TRA TECH'!$J:$J,'TRA TECH'!T:T)="","",_xlfn.XLOOKUP($H57,'TRA TECH'!$J:$J,'TRA TECH'!T:T)))</f>
        <v>*</v>
      </c>
      <c r="Q57" t="str">
        <f>IF(H57="*","*",IF(_xlfn.XLOOKUP($H57,'TRA TECH'!$J:$J,'TRA TECH'!U:U)="","",_xlfn.XLOOKUP($H57,'TRA TECH'!$J:$J,'TRA TECH'!U:U)))</f>
        <v>*</v>
      </c>
      <c r="R57" t="str">
        <f>IF(H57="*","*",IF(_xlfn.XLOOKUP($H57,'TRA TECH'!$J:$J,'TRA TECH'!V:V)="","",_xlfn.XLOOKUP($H57,'TRA TECH'!$J:$J,'TRA TECH'!V:V)))</f>
        <v>*</v>
      </c>
      <c r="S57" t="str">
        <f>IF(H57="*","*",IF(_xlfn.XLOOKUP($H57,'TRA TECH'!$J:$J,'TRA TECH'!W:W)="","",_xlfn.XLOOKUP($H57,'TRA TECH'!$J:$J,'TRA TECH'!W:W)))</f>
        <v>*</v>
      </c>
      <c r="T57" t="str">
        <f t="shared" si="2"/>
        <v>*</v>
      </c>
      <c r="U57" t="str">
        <f>IF(H57="*","*",IF(_xlfn.XLOOKUP($H57,'TRA TECH'!$J:$J,'TRA TECH'!X:X)="","",_xlfn.XLOOKUP($H57,'TRA TECH'!$J:$J,'TRA TECH'!X:X)))</f>
        <v>*</v>
      </c>
      <c r="V57" t="str">
        <f>IF(H57="*","*",IF(_xlfn.XLOOKUP($H57,'TRA TECH'!$J:$J,'TRA TECH'!Y:Y)="","",_xlfn.XLOOKUP($H57,'TRA TECH'!$J:$J,'TRA TECH'!Y:Y)))</f>
        <v>*</v>
      </c>
      <c r="W57" t="str">
        <f>IF(H57="*","*",IF(_xlfn.XLOOKUP($H57,'TRA TECH'!$J:$J,'TRA TECH'!Z:Z)="","",_xlfn.XLOOKUP($H57,'TRA TECH'!$J:$J,'TRA TECH'!Z:Z)))</f>
        <v>*</v>
      </c>
      <c r="X57" t="str">
        <f>IF(H57="*","*",IF(_xlfn.XLOOKUP($H57,'TRA TECH'!$J:$J,'TRA TECH'!AA:AA)="","",_xlfn.XLOOKUP($H57,'TRA TECH'!$J:$J,'TRA TECH'!AA:AA)))</f>
        <v>*</v>
      </c>
      <c r="Y57" t="str">
        <f>IF(H57="*","*",IF(_xlfn.XLOOKUP($H57,'TRA TECH'!$J:$J,'TRA TECH'!AB:AB)="","",_xlfn.XLOOKUP($H57,'TRA TECH'!$J:$J,'TRA TECH'!AB:AB)))</f>
        <v>*</v>
      </c>
      <c r="Z57" t="str">
        <f>IF(H57="*","*",IF(_xlfn.XLOOKUP($H57,'TRA TECH'!$J:$J,'TRA TECH'!AC:AC)="","",_xlfn.XLOOKUP($H57,'TRA TECH'!$J:$J,'TRA TECH'!AC:AC)))</f>
        <v>*</v>
      </c>
      <c r="AA57" t="str">
        <f>IF(H57="*","*",IF(_xlfn.XLOOKUP($H57,'TRA TECH'!$J:$J,'TRA TECH'!AD:AD)="","",_xlfn.XLOOKUP($H57,'TRA TECH'!$J:$J,'TRA TECH'!AD:AD)))</f>
        <v>*</v>
      </c>
      <c r="AB57" t="str">
        <f t="shared" si="3"/>
        <v>*</v>
      </c>
      <c r="AC57" s="15" t="str">
        <f>IF(H57="*","*",IF(_xlfn.XLOOKUP($H57,'TRA TECH'!$J:$J,'TRA TECH'!AE:AE)="","",_xlfn.XLOOKUP($H57,'TRA TECH'!$J:$J,'TRA TECH'!AE:AE)))</f>
        <v>*</v>
      </c>
      <c r="AD57" s="15" t="str">
        <f>IF(H57="*","*",IF(_xlfn.XLOOKUP($H57,'TRA TECH'!$J:$J,'TRA TECH'!AF:AF)="","",_xlfn.XLOOKUP($H57,'TRA TECH'!$J:$J,'TRA TECH'!AF:AF)))</f>
        <v>*</v>
      </c>
      <c r="AE57" s="15" t="str">
        <f>IF(H57="*","*",IF(_xlfn.XLOOKUP($H57,'TRA TECH'!$J:$J,'TRA TECH'!AG:AG)="","",_xlfn.XLOOKUP($H57,'TRA TECH'!$J:$J,'TRA TECH'!AG:AG)))</f>
        <v>*</v>
      </c>
      <c r="AF57" s="15" t="str">
        <f>IF(H57="*","*",IF(_xlfn.XLOOKUP($H57,'TRA TECH'!$J:$J,'TRA TECH'!AH:AH)="","",_xlfn.XLOOKUP($H57,'TRA TECH'!$J:$J,'TRA TECH'!AH:AH)))</f>
        <v>*</v>
      </c>
      <c r="AG57" s="15" t="str">
        <f>IF(H57="*","*",IF(_xlfn.XLOOKUP($H57,'TRA TECH'!$J:$J,'TRA TECH'!AI:AI)="","",_xlfn.XLOOKUP($H57,'TRA TECH'!$J:$J,'TRA TECH'!AI:AI)))</f>
        <v>*</v>
      </c>
      <c r="AH57" s="15" t="str">
        <f>IF(H57="*","*",IF(_xlfn.XLOOKUP($H57,'TRA TECH'!$J:$J,'TRA TECH'!AJ:AJ)="","",_xlfn.XLOOKUP($H57,'TRA TECH'!$J:$J,'TRA TECH'!AJ:AJ)))</f>
        <v>*</v>
      </c>
      <c r="AI57" s="15" t="str">
        <f>IF(H57="*","*",IF(_xlfn.XLOOKUP($H57,'TRA TECH'!$J:$J,'TRA TECH'!AK:AK)="","",_xlfn.XLOOKUP($H57,'TRA TECH'!$J:$J,'TRA TECH'!AK:AK)))</f>
        <v>*</v>
      </c>
      <c r="AJ57" s="15" t="str">
        <f t="shared" si="4"/>
        <v>*</v>
      </c>
      <c r="AK57" s="16" t="str">
        <f t="shared" si="5"/>
        <v>*</v>
      </c>
    </row>
    <row r="58" spans="2:37" x14ac:dyDescent="0.25">
      <c r="B58" t="str">
        <f>IF('TRA TECH'!M54=0,"*",IF('TRA TECH'!H54="","*",'TRA TECH'!J54))</f>
        <v>TRAPASLDTICEVDSL20</v>
      </c>
      <c r="C58" t="str">
        <f>IF('TRA TECH'!M54=0,"*",'TRA TECH'!H54)</f>
        <v>TRADSL</v>
      </c>
      <c r="D58" t="s">
        <v>424</v>
      </c>
      <c r="E58" s="9">
        <f>'TRA TECH'!P54</f>
        <v>1</v>
      </c>
      <c r="H58" t="str">
        <f>IF('TRA TECH'!M54=1,IF('TRA TECH'!L54=1,'TRA TECH'!J54,"*"),"*")</f>
        <v>TRAPASLDTICEVDSL20</v>
      </c>
      <c r="I58" t="str">
        <f>IF(H58="*","*",_xlfn.XLOOKUP(H58,'TRA TECH'!J:J,'TRA TECH'!I:I))</f>
        <v>TRAPASLDTDMD</v>
      </c>
      <c r="J58">
        <f>IF(H58="*","*",_xlfn.XLOOKUP(H58,'TRA TECH'!J:J,'TRA TECH'!N:N))</f>
        <v>2020</v>
      </c>
      <c r="K58" s="15">
        <f>IF(H58="*","*",IF(_xlfn.XLOOKUP(H58,'TRA TECH'!J:J,'TRA TECH'!O:O)="","",_xlfn.XLOOKUP(H58,'TRA TECH'!J:J,'TRA TECH'!O:O)))</f>
        <v>18.828422487318921</v>
      </c>
      <c r="L58">
        <f t="shared" si="1"/>
        <v>1</v>
      </c>
      <c r="M58">
        <f>IF(H58="*","*",IF(_xlfn.XLOOKUP($H58,'TRA TECH'!$J:$J,'TRA TECH'!Q:Q)="","",_xlfn.XLOOKUP($H58,'TRA TECH'!$J:$J,'TRA TECH'!Q:Q)))</f>
        <v>0.36391090009891192</v>
      </c>
      <c r="N58">
        <f>IF(H58="*","*",IF(_xlfn.XLOOKUP($H58,'TRA TECH'!$J:$J,'TRA TECH'!R:R)="","",_xlfn.XLOOKUP($H58,'TRA TECH'!$J:$J,'TRA TECH'!R:R)))</f>
        <v>0.35683608308605341</v>
      </c>
      <c r="O58">
        <f>IF(H58="*","*",IF(_xlfn.XLOOKUP($H58,'TRA TECH'!$J:$J,'TRA TECH'!S:S)="","",_xlfn.XLOOKUP($H58,'TRA TECH'!$J:$J,'TRA TECH'!S:S)))</f>
        <v>0.40680197823936692</v>
      </c>
      <c r="P58">
        <f>IF(H58="*","*",IF(_xlfn.XLOOKUP($H58,'TRA TECH'!$J:$J,'TRA TECH'!T:T)="","",_xlfn.XLOOKUP($H58,'TRA TECH'!$J:$J,'TRA TECH'!T:T)))</f>
        <v>0.44438694362017811</v>
      </c>
      <c r="Q58">
        <f>IF(H58="*","*",IF(_xlfn.XLOOKUP($H58,'TRA TECH'!$J:$J,'TRA TECH'!U:U)="","",_xlfn.XLOOKUP($H58,'TRA TECH'!$J:$J,'TRA TECH'!U:U)))</f>
        <v>0.4669379228486647</v>
      </c>
      <c r="R58">
        <f>IF(H58="*","*",IF(_xlfn.XLOOKUP($H58,'TRA TECH'!$J:$J,'TRA TECH'!V:V)="","",_xlfn.XLOOKUP($H58,'TRA TECH'!$J:$J,'TRA TECH'!V:V)))</f>
        <v>0.49081543026706231</v>
      </c>
      <c r="S58">
        <f>IF(H58="*","*",IF(_xlfn.XLOOKUP($H58,'TRA TECH'!$J:$J,'TRA TECH'!W:W)="","",_xlfn.XLOOKUP($H58,'TRA TECH'!$J:$J,'TRA TECH'!W:W)))</f>
        <v>0.51336640949554879</v>
      </c>
      <c r="T58">
        <f t="shared" si="2"/>
        <v>0.51336640949554879</v>
      </c>
      <c r="U58">
        <f>IF(H58="*","*",IF(_xlfn.XLOOKUP($H58,'TRA TECH'!$J:$J,'TRA TECH'!X:X)="","",_xlfn.XLOOKUP($H58,'TRA TECH'!$J:$J,'TRA TECH'!X:X)))</f>
        <v>204.37819272417099</v>
      </c>
      <c r="V58">
        <f>IF(H58="*","*",IF(_xlfn.XLOOKUP($H58,'TRA TECH'!$J:$J,'TRA TECH'!Y:Y)="","",_xlfn.XLOOKUP($H58,'TRA TECH'!$J:$J,'TRA TECH'!Y:Y)))</f>
        <v>201.77011833905971</v>
      </c>
      <c r="W58">
        <f>IF(H58="*","*",IF(_xlfn.XLOOKUP($H58,'TRA TECH'!$J:$J,'TRA TECH'!Z:Z)="","",_xlfn.XLOOKUP($H58,'TRA TECH'!$J:$J,'TRA TECH'!Z:Z)))</f>
        <v>200.82172765356469</v>
      </c>
      <c r="X58">
        <f>IF(H58="*","*",IF(_xlfn.XLOOKUP($H58,'TRA TECH'!$J:$J,'TRA TECH'!AA:AA)="","",_xlfn.XLOOKUP($H58,'TRA TECH'!$J:$J,'TRA TECH'!AA:AA)))</f>
        <v>200.58462998219099</v>
      </c>
      <c r="Y58">
        <f>IF(H58="*","*",IF(_xlfn.XLOOKUP($H58,'TRA TECH'!$J:$J,'TRA TECH'!AB:AB)="","",_xlfn.XLOOKUP($H58,'TRA TECH'!$J:$J,'TRA TECH'!AB:AB)))</f>
        <v>200.1104346394435</v>
      </c>
      <c r="Z58">
        <f>IF(H58="*","*",IF(_xlfn.XLOOKUP($H58,'TRA TECH'!$J:$J,'TRA TECH'!AC:AC)="","",_xlfn.XLOOKUP($H58,'TRA TECH'!$J:$J,'TRA TECH'!AC:AC)))</f>
        <v>199.87333696806979</v>
      </c>
      <c r="AA58">
        <f>IF(H58="*","*",IF(_xlfn.XLOOKUP($H58,'TRA TECH'!$J:$J,'TRA TECH'!AD:AD)="","",_xlfn.XLOOKUP($H58,'TRA TECH'!$J:$J,'TRA TECH'!AD:AD)))</f>
        <v>199.39914162532219</v>
      </c>
      <c r="AB58">
        <f t="shared" si="3"/>
        <v>199.39914162532219</v>
      </c>
      <c r="AC58" s="15">
        <f>IF(H58="*","*",IF(_xlfn.XLOOKUP($H58,'TRA TECH'!$J:$J,'TRA TECH'!AE:AE)="","",_xlfn.XLOOKUP($H58,'TRA TECH'!$J:$J,'TRA TECH'!AE:AE)))</f>
        <v>4.6970175797771354</v>
      </c>
      <c r="AD58" s="15">
        <f>IF(H58="*","*",IF(_xlfn.XLOOKUP($H58,'TRA TECH'!$J:$J,'TRA TECH'!AF:AF)="","",_xlfn.XLOOKUP($H58,'TRA TECH'!$J:$J,'TRA TECH'!AF:AF)))</f>
        <v>4.6970175797771354</v>
      </c>
      <c r="AE58" s="15">
        <f>IF(H58="*","*",IF(_xlfn.XLOOKUP($H58,'TRA TECH'!$J:$J,'TRA TECH'!AG:AG)="","",_xlfn.XLOOKUP($H58,'TRA TECH'!$J:$J,'TRA TECH'!AG:AG)))</f>
        <v>4.6970175797771354</v>
      </c>
      <c r="AF58" s="15">
        <f>IF(H58="*","*",IF(_xlfn.XLOOKUP($H58,'TRA TECH'!$J:$J,'TRA TECH'!AH:AH)="","",_xlfn.XLOOKUP($H58,'TRA TECH'!$J:$J,'TRA TECH'!AH:AH)))</f>
        <v>4.6970175797771354</v>
      </c>
      <c r="AG58" s="15">
        <f>IF(H58="*","*",IF(_xlfn.XLOOKUP($H58,'TRA TECH'!$J:$J,'TRA TECH'!AI:AI)="","",_xlfn.XLOOKUP($H58,'TRA TECH'!$J:$J,'TRA TECH'!AI:AI)))</f>
        <v>4.6970175797771354</v>
      </c>
      <c r="AH58" s="15">
        <f>IF(H58="*","*",IF(_xlfn.XLOOKUP($H58,'TRA TECH'!$J:$J,'TRA TECH'!AJ:AJ)="","",_xlfn.XLOOKUP($H58,'TRA TECH'!$J:$J,'TRA TECH'!AJ:AJ)))</f>
        <v>4.6970175797771354</v>
      </c>
      <c r="AI58" s="15">
        <f>IF(H58="*","*",IF(_xlfn.XLOOKUP($H58,'TRA TECH'!$J:$J,'TRA TECH'!AK:AK)="","",_xlfn.XLOOKUP($H58,'TRA TECH'!$J:$J,'TRA TECH'!AK:AK)))</f>
        <v>4.6970175797771354</v>
      </c>
      <c r="AJ58" s="15">
        <f t="shared" si="4"/>
        <v>4.6970175797771354</v>
      </c>
      <c r="AK58" s="16">
        <f t="shared" si="5"/>
        <v>0.1</v>
      </c>
    </row>
    <row r="59" spans="2:37" x14ac:dyDescent="0.25">
      <c r="B59" t="str">
        <f>IF('TRA TECH'!M55=0,"*",IF('TRA TECH'!H55="","*",'TRA TECH'!J55))</f>
        <v>TRAPASLDTICEVDSL20</v>
      </c>
      <c r="C59" t="str">
        <f>IF('TRA TECH'!M55=0,"*",'TRA TECH'!H55)</f>
        <v>TRARDS</v>
      </c>
      <c r="D59" t="s">
        <v>424</v>
      </c>
      <c r="E59" s="9">
        <f>'TRA TECH'!P55</f>
        <v>1</v>
      </c>
      <c r="H59" t="str">
        <f>IF('TRA TECH'!M55=1,IF('TRA TECH'!L55=1,'TRA TECH'!J55,"*"),"*")</f>
        <v>*</v>
      </c>
      <c r="I59" t="str">
        <f>IF(H59="*","*",_xlfn.XLOOKUP(H59,'TRA TECH'!J:J,'TRA TECH'!I:I))</f>
        <v>*</v>
      </c>
      <c r="J59" t="str">
        <f>IF(H59="*","*",_xlfn.XLOOKUP(H59,'TRA TECH'!J:J,'TRA TECH'!N:N))</f>
        <v>*</v>
      </c>
      <c r="K59" s="15" t="str">
        <f>IF(H59="*","*",IF(_xlfn.XLOOKUP(H59,'TRA TECH'!J:J,'TRA TECH'!O:O)="","",_xlfn.XLOOKUP(H59,'TRA TECH'!J:J,'TRA TECH'!O:O)))</f>
        <v>*</v>
      </c>
      <c r="L59" t="str">
        <f t="shared" si="1"/>
        <v>*</v>
      </c>
      <c r="M59" t="str">
        <f>IF(H59="*","*",IF(_xlfn.XLOOKUP($H59,'TRA TECH'!$J:$J,'TRA TECH'!Q:Q)="","",_xlfn.XLOOKUP($H59,'TRA TECH'!$J:$J,'TRA TECH'!Q:Q)))</f>
        <v>*</v>
      </c>
      <c r="N59" t="str">
        <f>IF(H59="*","*",IF(_xlfn.XLOOKUP($H59,'TRA TECH'!$J:$J,'TRA TECH'!R:R)="","",_xlfn.XLOOKUP($H59,'TRA TECH'!$J:$J,'TRA TECH'!R:R)))</f>
        <v>*</v>
      </c>
      <c r="O59" t="str">
        <f>IF(H59="*","*",IF(_xlfn.XLOOKUP($H59,'TRA TECH'!$J:$J,'TRA TECH'!S:S)="","",_xlfn.XLOOKUP($H59,'TRA TECH'!$J:$J,'TRA TECH'!S:S)))</f>
        <v>*</v>
      </c>
      <c r="P59" t="str">
        <f>IF(H59="*","*",IF(_xlfn.XLOOKUP($H59,'TRA TECH'!$J:$J,'TRA TECH'!T:T)="","",_xlfn.XLOOKUP($H59,'TRA TECH'!$J:$J,'TRA TECH'!T:T)))</f>
        <v>*</v>
      </c>
      <c r="Q59" t="str">
        <f>IF(H59="*","*",IF(_xlfn.XLOOKUP($H59,'TRA TECH'!$J:$J,'TRA TECH'!U:U)="","",_xlfn.XLOOKUP($H59,'TRA TECH'!$J:$J,'TRA TECH'!U:U)))</f>
        <v>*</v>
      </c>
      <c r="R59" t="str">
        <f>IF(H59="*","*",IF(_xlfn.XLOOKUP($H59,'TRA TECH'!$J:$J,'TRA TECH'!V:V)="","",_xlfn.XLOOKUP($H59,'TRA TECH'!$J:$J,'TRA TECH'!V:V)))</f>
        <v>*</v>
      </c>
      <c r="S59" t="str">
        <f>IF(H59="*","*",IF(_xlfn.XLOOKUP($H59,'TRA TECH'!$J:$J,'TRA TECH'!W:W)="","",_xlfn.XLOOKUP($H59,'TRA TECH'!$J:$J,'TRA TECH'!W:W)))</f>
        <v>*</v>
      </c>
      <c r="T59" t="str">
        <f t="shared" si="2"/>
        <v>*</v>
      </c>
      <c r="U59" t="str">
        <f>IF(H59="*","*",IF(_xlfn.XLOOKUP($H59,'TRA TECH'!$J:$J,'TRA TECH'!X:X)="","",_xlfn.XLOOKUP($H59,'TRA TECH'!$J:$J,'TRA TECH'!X:X)))</f>
        <v>*</v>
      </c>
      <c r="V59" t="str">
        <f>IF(H59="*","*",IF(_xlfn.XLOOKUP($H59,'TRA TECH'!$J:$J,'TRA TECH'!Y:Y)="","",_xlfn.XLOOKUP($H59,'TRA TECH'!$J:$J,'TRA TECH'!Y:Y)))</f>
        <v>*</v>
      </c>
      <c r="W59" t="str">
        <f>IF(H59="*","*",IF(_xlfn.XLOOKUP($H59,'TRA TECH'!$J:$J,'TRA TECH'!Z:Z)="","",_xlfn.XLOOKUP($H59,'TRA TECH'!$J:$J,'TRA TECH'!Z:Z)))</f>
        <v>*</v>
      </c>
      <c r="X59" t="str">
        <f>IF(H59="*","*",IF(_xlfn.XLOOKUP($H59,'TRA TECH'!$J:$J,'TRA TECH'!AA:AA)="","",_xlfn.XLOOKUP($H59,'TRA TECH'!$J:$J,'TRA TECH'!AA:AA)))</f>
        <v>*</v>
      </c>
      <c r="Y59" t="str">
        <f>IF(H59="*","*",IF(_xlfn.XLOOKUP($H59,'TRA TECH'!$J:$J,'TRA TECH'!AB:AB)="","",_xlfn.XLOOKUP($H59,'TRA TECH'!$J:$J,'TRA TECH'!AB:AB)))</f>
        <v>*</v>
      </c>
      <c r="Z59" t="str">
        <f>IF(H59="*","*",IF(_xlfn.XLOOKUP($H59,'TRA TECH'!$J:$J,'TRA TECH'!AC:AC)="","",_xlfn.XLOOKUP($H59,'TRA TECH'!$J:$J,'TRA TECH'!AC:AC)))</f>
        <v>*</v>
      </c>
      <c r="AA59" t="str">
        <f>IF(H59="*","*",IF(_xlfn.XLOOKUP($H59,'TRA TECH'!$J:$J,'TRA TECH'!AD:AD)="","",_xlfn.XLOOKUP($H59,'TRA TECH'!$J:$J,'TRA TECH'!AD:AD)))</f>
        <v>*</v>
      </c>
      <c r="AB59" t="str">
        <f t="shared" si="3"/>
        <v>*</v>
      </c>
      <c r="AC59" s="15" t="str">
        <f>IF(H59="*","*",IF(_xlfn.XLOOKUP($H59,'TRA TECH'!$J:$J,'TRA TECH'!AE:AE)="","",_xlfn.XLOOKUP($H59,'TRA TECH'!$J:$J,'TRA TECH'!AE:AE)))</f>
        <v>*</v>
      </c>
      <c r="AD59" s="15" t="str">
        <f>IF(H59="*","*",IF(_xlfn.XLOOKUP($H59,'TRA TECH'!$J:$J,'TRA TECH'!AF:AF)="","",_xlfn.XLOOKUP($H59,'TRA TECH'!$J:$J,'TRA TECH'!AF:AF)))</f>
        <v>*</v>
      </c>
      <c r="AE59" s="15" t="str">
        <f>IF(H59="*","*",IF(_xlfn.XLOOKUP($H59,'TRA TECH'!$J:$J,'TRA TECH'!AG:AG)="","",_xlfn.XLOOKUP($H59,'TRA TECH'!$J:$J,'TRA TECH'!AG:AG)))</f>
        <v>*</v>
      </c>
      <c r="AF59" s="15" t="str">
        <f>IF(H59="*","*",IF(_xlfn.XLOOKUP($H59,'TRA TECH'!$J:$J,'TRA TECH'!AH:AH)="","",_xlfn.XLOOKUP($H59,'TRA TECH'!$J:$J,'TRA TECH'!AH:AH)))</f>
        <v>*</v>
      </c>
      <c r="AG59" s="15" t="str">
        <f>IF(H59="*","*",IF(_xlfn.XLOOKUP($H59,'TRA TECH'!$J:$J,'TRA TECH'!AI:AI)="","",_xlfn.XLOOKUP($H59,'TRA TECH'!$J:$J,'TRA TECH'!AI:AI)))</f>
        <v>*</v>
      </c>
      <c r="AH59" s="15" t="str">
        <f>IF(H59="*","*",IF(_xlfn.XLOOKUP($H59,'TRA TECH'!$J:$J,'TRA TECH'!AJ:AJ)="","",_xlfn.XLOOKUP($H59,'TRA TECH'!$J:$J,'TRA TECH'!AJ:AJ)))</f>
        <v>*</v>
      </c>
      <c r="AI59" s="15" t="str">
        <f>IF(H59="*","*",IF(_xlfn.XLOOKUP($H59,'TRA TECH'!$J:$J,'TRA TECH'!AK:AK)="","",_xlfn.XLOOKUP($H59,'TRA TECH'!$J:$J,'TRA TECH'!AK:AK)))</f>
        <v>*</v>
      </c>
      <c r="AJ59" s="15" t="str">
        <f t="shared" si="4"/>
        <v>*</v>
      </c>
      <c r="AK59" s="16" t="str">
        <f t="shared" si="5"/>
        <v>*</v>
      </c>
    </row>
    <row r="60" spans="2:37" x14ac:dyDescent="0.25">
      <c r="B60" t="str">
        <f>IF('TRA TECH'!M56=0,"*",IF('TRA TECH'!H56="","*",'TRA TECH'!J56))</f>
        <v>TRAPASLDTICEVDSL20</v>
      </c>
      <c r="C60" t="str">
        <f>IF('TRA TECH'!M56=0,"*",'TRA TECH'!H56)</f>
        <v>TRABDS</v>
      </c>
      <c r="D60" t="s">
        <v>424</v>
      </c>
      <c r="E60" s="9">
        <f>'TRA TECH'!P56</f>
        <v>0.1</v>
      </c>
      <c r="H60" t="str">
        <f>IF('TRA TECH'!M56=1,IF('TRA TECH'!L56=1,'TRA TECH'!J56,"*"),"*")</f>
        <v>*</v>
      </c>
      <c r="I60" t="str">
        <f>IF(H60="*","*",_xlfn.XLOOKUP(H60,'TRA TECH'!J:J,'TRA TECH'!I:I))</f>
        <v>*</v>
      </c>
      <c r="J60" t="str">
        <f>IF(H60="*","*",_xlfn.XLOOKUP(H60,'TRA TECH'!J:J,'TRA TECH'!N:N))</f>
        <v>*</v>
      </c>
      <c r="K60" s="15" t="str">
        <f>IF(H60="*","*",IF(_xlfn.XLOOKUP(H60,'TRA TECH'!J:J,'TRA TECH'!O:O)="","",_xlfn.XLOOKUP(H60,'TRA TECH'!J:J,'TRA TECH'!O:O)))</f>
        <v>*</v>
      </c>
      <c r="L60" t="str">
        <f t="shared" si="1"/>
        <v>*</v>
      </c>
      <c r="M60" t="str">
        <f>IF(H60="*","*",IF(_xlfn.XLOOKUP($H60,'TRA TECH'!$J:$J,'TRA TECH'!Q:Q)="","",_xlfn.XLOOKUP($H60,'TRA TECH'!$J:$J,'TRA TECH'!Q:Q)))</f>
        <v>*</v>
      </c>
      <c r="N60" t="str">
        <f>IF(H60="*","*",IF(_xlfn.XLOOKUP($H60,'TRA TECH'!$J:$J,'TRA TECH'!R:R)="","",_xlfn.XLOOKUP($H60,'TRA TECH'!$J:$J,'TRA TECH'!R:R)))</f>
        <v>*</v>
      </c>
      <c r="O60" t="str">
        <f>IF(H60="*","*",IF(_xlfn.XLOOKUP($H60,'TRA TECH'!$J:$J,'TRA TECH'!S:S)="","",_xlfn.XLOOKUP($H60,'TRA TECH'!$J:$J,'TRA TECH'!S:S)))</f>
        <v>*</v>
      </c>
      <c r="P60" t="str">
        <f>IF(H60="*","*",IF(_xlfn.XLOOKUP($H60,'TRA TECH'!$J:$J,'TRA TECH'!T:T)="","",_xlfn.XLOOKUP($H60,'TRA TECH'!$J:$J,'TRA TECH'!T:T)))</f>
        <v>*</v>
      </c>
      <c r="Q60" t="str">
        <f>IF(H60="*","*",IF(_xlfn.XLOOKUP($H60,'TRA TECH'!$J:$J,'TRA TECH'!U:U)="","",_xlfn.XLOOKUP($H60,'TRA TECH'!$J:$J,'TRA TECH'!U:U)))</f>
        <v>*</v>
      </c>
      <c r="R60" t="str">
        <f>IF(H60="*","*",IF(_xlfn.XLOOKUP($H60,'TRA TECH'!$J:$J,'TRA TECH'!V:V)="","",_xlfn.XLOOKUP($H60,'TRA TECH'!$J:$J,'TRA TECH'!V:V)))</f>
        <v>*</v>
      </c>
      <c r="S60" t="str">
        <f>IF(H60="*","*",IF(_xlfn.XLOOKUP($H60,'TRA TECH'!$J:$J,'TRA TECH'!W:W)="","",_xlfn.XLOOKUP($H60,'TRA TECH'!$J:$J,'TRA TECH'!W:W)))</f>
        <v>*</v>
      </c>
      <c r="T60" t="str">
        <f t="shared" si="2"/>
        <v>*</v>
      </c>
      <c r="U60" t="str">
        <f>IF(H60="*","*",IF(_xlfn.XLOOKUP($H60,'TRA TECH'!$J:$J,'TRA TECH'!X:X)="","",_xlfn.XLOOKUP($H60,'TRA TECH'!$J:$J,'TRA TECH'!X:X)))</f>
        <v>*</v>
      </c>
      <c r="V60" t="str">
        <f>IF(H60="*","*",IF(_xlfn.XLOOKUP($H60,'TRA TECH'!$J:$J,'TRA TECH'!Y:Y)="","",_xlfn.XLOOKUP($H60,'TRA TECH'!$J:$J,'TRA TECH'!Y:Y)))</f>
        <v>*</v>
      </c>
      <c r="W60" t="str">
        <f>IF(H60="*","*",IF(_xlfn.XLOOKUP($H60,'TRA TECH'!$J:$J,'TRA TECH'!Z:Z)="","",_xlfn.XLOOKUP($H60,'TRA TECH'!$J:$J,'TRA TECH'!Z:Z)))</f>
        <v>*</v>
      </c>
      <c r="X60" t="str">
        <f>IF(H60="*","*",IF(_xlfn.XLOOKUP($H60,'TRA TECH'!$J:$J,'TRA TECH'!AA:AA)="","",_xlfn.XLOOKUP($H60,'TRA TECH'!$J:$J,'TRA TECH'!AA:AA)))</f>
        <v>*</v>
      </c>
      <c r="Y60" t="str">
        <f>IF(H60="*","*",IF(_xlfn.XLOOKUP($H60,'TRA TECH'!$J:$J,'TRA TECH'!AB:AB)="","",_xlfn.XLOOKUP($H60,'TRA TECH'!$J:$J,'TRA TECH'!AB:AB)))</f>
        <v>*</v>
      </c>
      <c r="Z60" t="str">
        <f>IF(H60="*","*",IF(_xlfn.XLOOKUP($H60,'TRA TECH'!$J:$J,'TRA TECH'!AC:AC)="","",_xlfn.XLOOKUP($H60,'TRA TECH'!$J:$J,'TRA TECH'!AC:AC)))</f>
        <v>*</v>
      </c>
      <c r="AA60" t="str">
        <f>IF(H60="*","*",IF(_xlfn.XLOOKUP($H60,'TRA TECH'!$J:$J,'TRA TECH'!AD:AD)="","",_xlfn.XLOOKUP($H60,'TRA TECH'!$J:$J,'TRA TECH'!AD:AD)))</f>
        <v>*</v>
      </c>
      <c r="AB60" t="str">
        <f t="shared" si="3"/>
        <v>*</v>
      </c>
      <c r="AC60" s="15" t="str">
        <f>IF(H60="*","*",IF(_xlfn.XLOOKUP($H60,'TRA TECH'!$J:$J,'TRA TECH'!AE:AE)="","",_xlfn.XLOOKUP($H60,'TRA TECH'!$J:$J,'TRA TECH'!AE:AE)))</f>
        <v>*</v>
      </c>
      <c r="AD60" s="15" t="str">
        <f>IF(H60="*","*",IF(_xlfn.XLOOKUP($H60,'TRA TECH'!$J:$J,'TRA TECH'!AF:AF)="","",_xlfn.XLOOKUP($H60,'TRA TECH'!$J:$J,'TRA TECH'!AF:AF)))</f>
        <v>*</v>
      </c>
      <c r="AE60" s="15" t="str">
        <f>IF(H60="*","*",IF(_xlfn.XLOOKUP($H60,'TRA TECH'!$J:$J,'TRA TECH'!AG:AG)="","",_xlfn.XLOOKUP($H60,'TRA TECH'!$J:$J,'TRA TECH'!AG:AG)))</f>
        <v>*</v>
      </c>
      <c r="AF60" s="15" t="str">
        <f>IF(H60="*","*",IF(_xlfn.XLOOKUP($H60,'TRA TECH'!$J:$J,'TRA TECH'!AH:AH)="","",_xlfn.XLOOKUP($H60,'TRA TECH'!$J:$J,'TRA TECH'!AH:AH)))</f>
        <v>*</v>
      </c>
      <c r="AG60" s="15" t="str">
        <f>IF(H60="*","*",IF(_xlfn.XLOOKUP($H60,'TRA TECH'!$J:$J,'TRA TECH'!AI:AI)="","",_xlfn.XLOOKUP($H60,'TRA TECH'!$J:$J,'TRA TECH'!AI:AI)))</f>
        <v>*</v>
      </c>
      <c r="AH60" s="15" t="str">
        <f>IF(H60="*","*",IF(_xlfn.XLOOKUP($H60,'TRA TECH'!$J:$J,'TRA TECH'!AJ:AJ)="","",_xlfn.XLOOKUP($H60,'TRA TECH'!$J:$J,'TRA TECH'!AJ:AJ)))</f>
        <v>*</v>
      </c>
      <c r="AI60" s="15" t="str">
        <f>IF(H60="*","*",IF(_xlfn.XLOOKUP($H60,'TRA TECH'!$J:$J,'TRA TECH'!AK:AK)="","",_xlfn.XLOOKUP($H60,'TRA TECH'!$J:$J,'TRA TECH'!AK:AK)))</f>
        <v>*</v>
      </c>
      <c r="AJ60" s="15" t="str">
        <f t="shared" si="4"/>
        <v>*</v>
      </c>
      <c r="AK60" s="16" t="str">
        <f t="shared" si="5"/>
        <v>*</v>
      </c>
    </row>
    <row r="61" spans="2:37" x14ac:dyDescent="0.25">
      <c r="B61" t="str">
        <f>IF('TRA TECH'!M57=0,"*",IF('TRA TECH'!H57="","*",'TRA TECH'!J57))</f>
        <v>TRAPASLDTICEVCNG20</v>
      </c>
      <c r="C61" t="str">
        <f>IF('TRA TECH'!M57=0,"*",'TRA TECH'!H57)</f>
        <v>TRACNG</v>
      </c>
      <c r="D61" t="s">
        <v>424</v>
      </c>
      <c r="E61" s="9">
        <f>'TRA TECH'!P57</f>
        <v>1</v>
      </c>
      <c r="H61" t="str">
        <f>IF('TRA TECH'!M57=1,IF('TRA TECH'!L57=1,'TRA TECH'!J57,"*"),"*")</f>
        <v>TRAPASLDTICEVCNG20</v>
      </c>
      <c r="I61" t="str">
        <f>IF(H61="*","*",_xlfn.XLOOKUP(H61,'TRA TECH'!J:J,'TRA TECH'!I:I))</f>
        <v>TRAPASLDTDMD</v>
      </c>
      <c r="J61">
        <f>IF(H61="*","*",_xlfn.XLOOKUP(H61,'TRA TECH'!J:J,'TRA TECH'!N:N))</f>
        <v>2020</v>
      </c>
      <c r="K61" s="15">
        <f>IF(H61="*","*",IF(_xlfn.XLOOKUP(H61,'TRA TECH'!J:J,'TRA TECH'!O:O)="","",_xlfn.XLOOKUP(H61,'TRA TECH'!J:J,'TRA TECH'!O:O)))</f>
        <v>18.828422487318921</v>
      </c>
      <c r="L61">
        <f t="shared" si="1"/>
        <v>1</v>
      </c>
      <c r="M61">
        <f>IF(H61="*","*",IF(_xlfn.XLOOKUP($H61,'TRA TECH'!$J:$J,'TRA TECH'!Q:Q)="","",_xlfn.XLOOKUP($H61,'TRA TECH'!$J:$J,'TRA TECH'!Q:Q)))</f>
        <v>0.29670013847675569</v>
      </c>
      <c r="N61">
        <f>IF(H61="*","*",IF(_xlfn.XLOOKUP($H61,'TRA TECH'!$J:$J,'TRA TECH'!R:R)="","",_xlfn.XLOOKUP($H61,'TRA TECH'!$J:$J,'TRA TECH'!R:R)))</f>
        <v>0.31969329376854588</v>
      </c>
      <c r="O61">
        <f>IF(H61="*","*",IF(_xlfn.XLOOKUP($H61,'TRA TECH'!$J:$J,'TRA TECH'!S:S)="","",_xlfn.XLOOKUP($H61,'TRA TECH'!$J:$J,'TRA TECH'!S:S)))</f>
        <v>0.35639390702274981</v>
      </c>
      <c r="P61">
        <f>IF(H61="*","*",IF(_xlfn.XLOOKUP($H61,'TRA TECH'!$J:$J,'TRA TECH'!T:T)="","",_xlfn.XLOOKUP($H61,'TRA TECH'!$J:$J,'TRA TECH'!T:T)))</f>
        <v>0.38292447082096942</v>
      </c>
      <c r="Q61">
        <f>IF(H61="*","*",IF(_xlfn.XLOOKUP($H61,'TRA TECH'!$J:$J,'TRA TECH'!U:U)="","",_xlfn.XLOOKUP($H61,'TRA TECH'!$J:$J,'TRA TECH'!U:U)))</f>
        <v>0.40193804154302659</v>
      </c>
      <c r="R61">
        <f>IF(H61="*","*",IF(_xlfn.XLOOKUP($H61,'TRA TECH'!$J:$J,'TRA TECH'!V:V)="","",_xlfn.XLOOKUP($H61,'TRA TECH'!$J:$J,'TRA TECH'!V:V)))</f>
        <v>0.4213937883283877</v>
      </c>
      <c r="S61">
        <f>IF(H61="*","*",IF(_xlfn.XLOOKUP($H61,'TRA TECH'!$J:$J,'TRA TECH'!W:W)="","",_xlfn.XLOOKUP($H61,'TRA TECH'!$J:$J,'TRA TECH'!W:W)))</f>
        <v>0.4412917111770524</v>
      </c>
      <c r="T61">
        <f t="shared" si="2"/>
        <v>0.4412917111770524</v>
      </c>
      <c r="U61">
        <f>IF(H61="*","*",IF(_xlfn.XLOOKUP($H61,'TRA TECH'!$J:$J,'TRA TECH'!X:X)="","",_xlfn.XLOOKUP($H61,'TRA TECH'!$J:$J,'TRA TECH'!X:X)))</f>
        <v>216.70727163560579</v>
      </c>
      <c r="V61">
        <f>IF(H61="*","*",IF(_xlfn.XLOOKUP($H61,'TRA TECH'!$J:$J,'TRA TECH'!Y:Y)="","",_xlfn.XLOOKUP($H61,'TRA TECH'!$J:$J,'TRA TECH'!Y:Y)))</f>
        <v>216.47017396423209</v>
      </c>
      <c r="W61">
        <f>IF(H61="*","*",IF(_xlfn.XLOOKUP($H61,'TRA TECH'!$J:$J,'TRA TECH'!Z:Z)="","",_xlfn.XLOOKUP($H61,'TRA TECH'!$J:$J,'TRA TECH'!Z:Z)))</f>
        <v>212.43951355087839</v>
      </c>
      <c r="X61">
        <f>IF(H61="*","*",IF(_xlfn.XLOOKUP($H61,'TRA TECH'!$J:$J,'TRA TECH'!AA:AA)="","",_xlfn.XLOOKUP($H61,'TRA TECH'!$J:$J,'TRA TECH'!AA:AA)))</f>
        <v>213.62500190774711</v>
      </c>
      <c r="Y61">
        <f>IF(H61="*","*",IF(_xlfn.XLOOKUP($H61,'TRA TECH'!$J:$J,'TRA TECH'!AB:AB)="","",_xlfn.XLOOKUP($H61,'TRA TECH'!$J:$J,'TRA TECH'!AB:AB)))</f>
        <v>212.91370889362591</v>
      </c>
      <c r="Z61">
        <f>IF(H61="*","*",IF(_xlfn.XLOOKUP($H61,'TRA TECH'!$J:$J,'TRA TECH'!AC:AC)="","",_xlfn.XLOOKUP($H61,'TRA TECH'!$J:$J,'TRA TECH'!AC:AC)))</f>
        <v>211.9653182081309</v>
      </c>
      <c r="AA61">
        <f>IF(H61="*","*",IF(_xlfn.XLOOKUP($H61,'TRA TECH'!$J:$J,'TRA TECH'!AD:AD)="","",_xlfn.XLOOKUP($H61,'TRA TECH'!$J:$J,'TRA TECH'!AD:AD)))</f>
        <v>211.01692752263591</v>
      </c>
      <c r="AB61">
        <f t="shared" si="3"/>
        <v>211.01692752263591</v>
      </c>
      <c r="AC61" s="15">
        <f>IF(H61="*","*",IF(_xlfn.XLOOKUP($H61,'TRA TECH'!$J:$J,'TRA TECH'!AE:AE)="","",_xlfn.XLOOKUP($H61,'TRA TECH'!$J:$J,'TRA TECH'!AE:AE)))</f>
        <v>4.6970175797771354</v>
      </c>
      <c r="AD61" s="15">
        <f>IF(H61="*","*",IF(_xlfn.XLOOKUP($H61,'TRA TECH'!$J:$J,'TRA TECH'!AF:AF)="","",_xlfn.XLOOKUP($H61,'TRA TECH'!$J:$J,'TRA TECH'!AF:AF)))</f>
        <v>4.6970175797771354</v>
      </c>
      <c r="AE61" s="15">
        <f>IF(H61="*","*",IF(_xlfn.XLOOKUP($H61,'TRA TECH'!$J:$J,'TRA TECH'!AG:AG)="","",_xlfn.XLOOKUP($H61,'TRA TECH'!$J:$J,'TRA TECH'!AG:AG)))</f>
        <v>4.6970175797771354</v>
      </c>
      <c r="AF61" s="15">
        <f>IF(H61="*","*",IF(_xlfn.XLOOKUP($H61,'TRA TECH'!$J:$J,'TRA TECH'!AH:AH)="","",_xlfn.XLOOKUP($H61,'TRA TECH'!$J:$J,'TRA TECH'!AH:AH)))</f>
        <v>4.6970175797771354</v>
      </c>
      <c r="AG61" s="15">
        <f>IF(H61="*","*",IF(_xlfn.XLOOKUP($H61,'TRA TECH'!$J:$J,'TRA TECH'!AI:AI)="","",_xlfn.XLOOKUP($H61,'TRA TECH'!$J:$J,'TRA TECH'!AI:AI)))</f>
        <v>4.6970175797771354</v>
      </c>
      <c r="AH61" s="15">
        <f>IF(H61="*","*",IF(_xlfn.XLOOKUP($H61,'TRA TECH'!$J:$J,'TRA TECH'!AJ:AJ)="","",_xlfn.XLOOKUP($H61,'TRA TECH'!$J:$J,'TRA TECH'!AJ:AJ)))</f>
        <v>4.6970175797771354</v>
      </c>
      <c r="AI61" s="15">
        <f>IF(H61="*","*",IF(_xlfn.XLOOKUP($H61,'TRA TECH'!$J:$J,'TRA TECH'!AK:AK)="","",_xlfn.XLOOKUP($H61,'TRA TECH'!$J:$J,'TRA TECH'!AK:AK)))</f>
        <v>4.6970175797771354</v>
      </c>
      <c r="AJ61" s="15">
        <f t="shared" si="4"/>
        <v>4.6970175797771354</v>
      </c>
      <c r="AK61" s="16">
        <f t="shared" si="5"/>
        <v>0.3</v>
      </c>
    </row>
    <row r="62" spans="2:37" x14ac:dyDescent="0.25">
      <c r="B62" t="str">
        <f>IF('TRA TECH'!M58=0,"*",IF('TRA TECH'!H58="","*",'TRA TECH'!J58))</f>
        <v>TRAPASLDTICEVCNG20</v>
      </c>
      <c r="C62" t="str">
        <f>IF('TRA TECH'!M58=0,"*",'TRA TECH'!H58)</f>
        <v>TRARNG</v>
      </c>
      <c r="D62" t="s">
        <v>424</v>
      </c>
      <c r="E62" s="9">
        <f>'TRA TECH'!P58</f>
        <v>1</v>
      </c>
      <c r="H62" t="str">
        <f>IF('TRA TECH'!M58=1,IF('TRA TECH'!L58=1,'TRA TECH'!J58,"*"),"*")</f>
        <v>*</v>
      </c>
      <c r="I62" t="str">
        <f>IF(H62="*","*",_xlfn.XLOOKUP(H62,'TRA TECH'!J:J,'TRA TECH'!I:I))</f>
        <v>*</v>
      </c>
      <c r="J62" t="str">
        <f>IF(H62="*","*",_xlfn.XLOOKUP(H62,'TRA TECH'!J:J,'TRA TECH'!N:N))</f>
        <v>*</v>
      </c>
      <c r="K62" s="15" t="str">
        <f>IF(H62="*","*",IF(_xlfn.XLOOKUP(H62,'TRA TECH'!J:J,'TRA TECH'!O:O)="","",_xlfn.XLOOKUP(H62,'TRA TECH'!J:J,'TRA TECH'!O:O)))</f>
        <v>*</v>
      </c>
      <c r="L62" t="str">
        <f t="shared" si="1"/>
        <v>*</v>
      </c>
      <c r="M62" t="str">
        <f>IF(H62="*","*",IF(_xlfn.XLOOKUP($H62,'TRA TECH'!$J:$J,'TRA TECH'!Q:Q)="","",_xlfn.XLOOKUP($H62,'TRA TECH'!$J:$J,'TRA TECH'!Q:Q)))</f>
        <v>*</v>
      </c>
      <c r="N62" t="str">
        <f>IF(H62="*","*",IF(_xlfn.XLOOKUP($H62,'TRA TECH'!$J:$J,'TRA TECH'!R:R)="","",_xlfn.XLOOKUP($H62,'TRA TECH'!$J:$J,'TRA TECH'!R:R)))</f>
        <v>*</v>
      </c>
      <c r="O62" t="str">
        <f>IF(H62="*","*",IF(_xlfn.XLOOKUP($H62,'TRA TECH'!$J:$J,'TRA TECH'!S:S)="","",_xlfn.XLOOKUP($H62,'TRA TECH'!$J:$J,'TRA TECH'!S:S)))</f>
        <v>*</v>
      </c>
      <c r="P62" t="str">
        <f>IF(H62="*","*",IF(_xlfn.XLOOKUP($H62,'TRA TECH'!$J:$J,'TRA TECH'!T:T)="","",_xlfn.XLOOKUP($H62,'TRA TECH'!$J:$J,'TRA TECH'!T:T)))</f>
        <v>*</v>
      </c>
      <c r="Q62" t="str">
        <f>IF(H62="*","*",IF(_xlfn.XLOOKUP($H62,'TRA TECH'!$J:$J,'TRA TECH'!U:U)="","",_xlfn.XLOOKUP($H62,'TRA TECH'!$J:$J,'TRA TECH'!U:U)))</f>
        <v>*</v>
      </c>
      <c r="R62" t="str">
        <f>IF(H62="*","*",IF(_xlfn.XLOOKUP($H62,'TRA TECH'!$J:$J,'TRA TECH'!V:V)="","",_xlfn.XLOOKUP($H62,'TRA TECH'!$J:$J,'TRA TECH'!V:V)))</f>
        <v>*</v>
      </c>
      <c r="S62" t="str">
        <f>IF(H62="*","*",IF(_xlfn.XLOOKUP($H62,'TRA TECH'!$J:$J,'TRA TECH'!W:W)="","",_xlfn.XLOOKUP($H62,'TRA TECH'!$J:$J,'TRA TECH'!W:W)))</f>
        <v>*</v>
      </c>
      <c r="T62" t="str">
        <f t="shared" si="2"/>
        <v>*</v>
      </c>
      <c r="U62" t="str">
        <f>IF(H62="*","*",IF(_xlfn.XLOOKUP($H62,'TRA TECH'!$J:$J,'TRA TECH'!X:X)="","",_xlfn.XLOOKUP($H62,'TRA TECH'!$J:$J,'TRA TECH'!X:X)))</f>
        <v>*</v>
      </c>
      <c r="V62" t="str">
        <f>IF(H62="*","*",IF(_xlfn.XLOOKUP($H62,'TRA TECH'!$J:$J,'TRA TECH'!Y:Y)="","",_xlfn.XLOOKUP($H62,'TRA TECH'!$J:$J,'TRA TECH'!Y:Y)))</f>
        <v>*</v>
      </c>
      <c r="W62" t="str">
        <f>IF(H62="*","*",IF(_xlfn.XLOOKUP($H62,'TRA TECH'!$J:$J,'TRA TECH'!Z:Z)="","",_xlfn.XLOOKUP($H62,'TRA TECH'!$J:$J,'TRA TECH'!Z:Z)))</f>
        <v>*</v>
      </c>
      <c r="X62" t="str">
        <f>IF(H62="*","*",IF(_xlfn.XLOOKUP($H62,'TRA TECH'!$J:$J,'TRA TECH'!AA:AA)="","",_xlfn.XLOOKUP($H62,'TRA TECH'!$J:$J,'TRA TECH'!AA:AA)))</f>
        <v>*</v>
      </c>
      <c r="Y62" t="str">
        <f>IF(H62="*","*",IF(_xlfn.XLOOKUP($H62,'TRA TECH'!$J:$J,'TRA TECH'!AB:AB)="","",_xlfn.XLOOKUP($H62,'TRA TECH'!$J:$J,'TRA TECH'!AB:AB)))</f>
        <v>*</v>
      </c>
      <c r="Z62" t="str">
        <f>IF(H62="*","*",IF(_xlfn.XLOOKUP($H62,'TRA TECH'!$J:$J,'TRA TECH'!AC:AC)="","",_xlfn.XLOOKUP($H62,'TRA TECH'!$J:$J,'TRA TECH'!AC:AC)))</f>
        <v>*</v>
      </c>
      <c r="AA62" t="str">
        <f>IF(H62="*","*",IF(_xlfn.XLOOKUP($H62,'TRA TECH'!$J:$J,'TRA TECH'!AD:AD)="","",_xlfn.XLOOKUP($H62,'TRA TECH'!$J:$J,'TRA TECH'!AD:AD)))</f>
        <v>*</v>
      </c>
      <c r="AB62" t="str">
        <f t="shared" si="3"/>
        <v>*</v>
      </c>
      <c r="AC62" s="15" t="str">
        <f>IF(H62="*","*",IF(_xlfn.XLOOKUP($H62,'TRA TECH'!$J:$J,'TRA TECH'!AE:AE)="","",_xlfn.XLOOKUP($H62,'TRA TECH'!$J:$J,'TRA TECH'!AE:AE)))</f>
        <v>*</v>
      </c>
      <c r="AD62" s="15" t="str">
        <f>IF(H62="*","*",IF(_xlfn.XLOOKUP($H62,'TRA TECH'!$J:$J,'TRA TECH'!AF:AF)="","",_xlfn.XLOOKUP($H62,'TRA TECH'!$J:$J,'TRA TECH'!AF:AF)))</f>
        <v>*</v>
      </c>
      <c r="AE62" s="15" t="str">
        <f>IF(H62="*","*",IF(_xlfn.XLOOKUP($H62,'TRA TECH'!$J:$J,'TRA TECH'!AG:AG)="","",_xlfn.XLOOKUP($H62,'TRA TECH'!$J:$J,'TRA TECH'!AG:AG)))</f>
        <v>*</v>
      </c>
      <c r="AF62" s="15" t="str">
        <f>IF(H62="*","*",IF(_xlfn.XLOOKUP($H62,'TRA TECH'!$J:$J,'TRA TECH'!AH:AH)="","",_xlfn.XLOOKUP($H62,'TRA TECH'!$J:$J,'TRA TECH'!AH:AH)))</f>
        <v>*</v>
      </c>
      <c r="AG62" s="15" t="str">
        <f>IF(H62="*","*",IF(_xlfn.XLOOKUP($H62,'TRA TECH'!$J:$J,'TRA TECH'!AI:AI)="","",_xlfn.XLOOKUP($H62,'TRA TECH'!$J:$J,'TRA TECH'!AI:AI)))</f>
        <v>*</v>
      </c>
      <c r="AH62" s="15" t="str">
        <f>IF(H62="*","*",IF(_xlfn.XLOOKUP($H62,'TRA TECH'!$J:$J,'TRA TECH'!AJ:AJ)="","",_xlfn.XLOOKUP($H62,'TRA TECH'!$J:$J,'TRA TECH'!AJ:AJ)))</f>
        <v>*</v>
      </c>
      <c r="AI62" s="15" t="str">
        <f>IF(H62="*","*",IF(_xlfn.XLOOKUP($H62,'TRA TECH'!$J:$J,'TRA TECH'!AK:AK)="","",_xlfn.XLOOKUP($H62,'TRA TECH'!$J:$J,'TRA TECH'!AK:AK)))</f>
        <v>*</v>
      </c>
      <c r="AJ62" s="15" t="str">
        <f t="shared" si="4"/>
        <v>*</v>
      </c>
      <c r="AK62" s="16" t="str">
        <f t="shared" si="5"/>
        <v>*</v>
      </c>
    </row>
    <row r="63" spans="2:37" x14ac:dyDescent="0.25">
      <c r="B63" t="str">
        <f>IF('TRA TECH'!M59=0,"*",IF('TRA TECH'!H59="","*",'TRA TECH'!J59))</f>
        <v>TRAPASLDT300FCEV20</v>
      </c>
      <c r="C63" t="str">
        <f>IF('TRA TECH'!M59=0,"*",'TRA TECH'!H59)</f>
        <v>TRAH2G</v>
      </c>
      <c r="D63" t="s">
        <v>424</v>
      </c>
      <c r="E63" s="9">
        <f>'TRA TECH'!P59</f>
        <v>1</v>
      </c>
      <c r="H63" t="str">
        <f>IF('TRA TECH'!M59=1,IF('TRA TECH'!L59=1,'TRA TECH'!J59,"*"),"*")</f>
        <v>TRAPASLDT300FCEV20</v>
      </c>
      <c r="I63" t="str">
        <f>IF(H63="*","*",_xlfn.XLOOKUP(H63,'TRA TECH'!J:J,'TRA TECH'!I:I))</f>
        <v>TRAPASLDTDMD</v>
      </c>
      <c r="J63">
        <f>IF(H63="*","*",_xlfn.XLOOKUP(H63,'TRA TECH'!J:J,'TRA TECH'!N:N))</f>
        <v>2020</v>
      </c>
      <c r="K63" s="15">
        <f>IF(H63="*","*",IF(_xlfn.XLOOKUP(H63,'TRA TECH'!J:J,'TRA TECH'!O:O)="","",_xlfn.XLOOKUP(H63,'TRA TECH'!J:J,'TRA TECH'!O:O)))</f>
        <v>18.828422487318921</v>
      </c>
      <c r="L63">
        <f t="shared" si="1"/>
        <v>1</v>
      </c>
      <c r="M63">
        <f>IF(H63="*","*",IF(_xlfn.XLOOKUP($H63,'TRA TECH'!$J:$J,'TRA TECH'!Q:Q)="","",_xlfn.XLOOKUP($H63,'TRA TECH'!$J:$J,'TRA TECH'!Q:Q)))</f>
        <v>0.6734341444114742</v>
      </c>
      <c r="N63">
        <f>IF(H63="*","*",IF(_xlfn.XLOOKUP($H63,'TRA TECH'!$J:$J,'TRA TECH'!R:R)="","",_xlfn.XLOOKUP($H63,'TRA TECH'!$J:$J,'TRA TECH'!R:R)))</f>
        <v>0.6968694757665681</v>
      </c>
      <c r="O63">
        <f>IF(H63="*","*",IF(_xlfn.XLOOKUP($H63,'TRA TECH'!$J:$J,'TRA TECH'!S:S)="","",_xlfn.XLOOKUP($H63,'TRA TECH'!$J:$J,'TRA TECH'!S:S)))</f>
        <v>0.70925040553907026</v>
      </c>
      <c r="P63">
        <f>IF(H63="*","*",IF(_xlfn.XLOOKUP($H63,'TRA TECH'!$J:$J,'TRA TECH'!T:T)="","",_xlfn.XLOOKUP($H63,'TRA TECH'!$J:$J,'TRA TECH'!T:T)))</f>
        <v>0.76054282888229485</v>
      </c>
      <c r="Q63">
        <f>IF(H63="*","*",IF(_xlfn.XLOOKUP($H63,'TRA TECH'!$J:$J,'TRA TECH'!U:U)="","",_xlfn.XLOOKUP($H63,'TRA TECH'!$J:$J,'TRA TECH'!U:U)))</f>
        <v>0.77955639960435208</v>
      </c>
      <c r="R63">
        <f>IF(H63="*","*",IF(_xlfn.XLOOKUP($H63,'TRA TECH'!$J:$J,'TRA TECH'!V:V)="","",_xlfn.XLOOKUP($H63,'TRA TECH'!$J:$J,'TRA TECH'!V:V)))</f>
        <v>0.79901214638971307</v>
      </c>
      <c r="S63">
        <f>IF(H63="*","*",IF(_xlfn.XLOOKUP($H63,'TRA TECH'!$J:$J,'TRA TECH'!W:W)="","",_xlfn.XLOOKUP($H63,'TRA TECH'!$J:$J,'TRA TECH'!W:W)))</f>
        <v>0.81758354104846653</v>
      </c>
      <c r="T63">
        <f t="shared" si="2"/>
        <v>0.81758354104846653</v>
      </c>
      <c r="U63">
        <f>IF(H63="*","*",IF(_xlfn.XLOOKUP($H63,'TRA TECH'!$J:$J,'TRA TECH'!X:X)="","",_xlfn.XLOOKUP($H63,'TRA TECH'!$J:$J,'TRA TECH'!X:X)))</f>
        <v>285.46559633399289</v>
      </c>
      <c r="V63">
        <f>IF(H63="*","*",IF(_xlfn.XLOOKUP($H63,'TRA TECH'!$J:$J,'TRA TECH'!Y:Y)="","",_xlfn.XLOOKUP($H63,'TRA TECH'!$J:$J,'TRA TECH'!Y:Y)))</f>
        <v>262.46712221073932</v>
      </c>
      <c r="W63">
        <f>IF(H63="*","*",IF(_xlfn.XLOOKUP($H63,'TRA TECH'!$J:$J,'TRA TECH'!Z:Z)="","",_xlfn.XLOOKUP($H63,'TRA TECH'!$J:$J,'TRA TECH'!Z:Z)))</f>
        <v>243.2622108294656</v>
      </c>
      <c r="X63">
        <f>IF(H63="*","*",IF(_xlfn.XLOOKUP($H63,'TRA TECH'!$J:$J,'TRA TECH'!AA:AA)="","",_xlfn.XLOOKUP($H63,'TRA TECH'!$J:$J,'TRA TECH'!AA:AA)))</f>
        <v>219.3153460207171</v>
      </c>
      <c r="Y63">
        <f>IF(H63="*","*",IF(_xlfn.XLOOKUP($H63,'TRA TECH'!$J:$J,'TRA TECH'!AB:AB)="","",_xlfn.XLOOKUP($H63,'TRA TECH'!$J:$J,'TRA TECH'!AB:AB)))</f>
        <v>213.15080656499961</v>
      </c>
      <c r="Z63">
        <f>IF(H63="*","*",IF(_xlfn.XLOOKUP($H63,'TRA TECH'!$J:$J,'TRA TECH'!AC:AC)="","",_xlfn.XLOOKUP($H63,'TRA TECH'!$J:$J,'TRA TECH'!AC:AC)))</f>
        <v>206.98626710928221</v>
      </c>
      <c r="AA63">
        <f>IF(H63="*","*",IF(_xlfn.XLOOKUP($H63,'TRA TECH'!$J:$J,'TRA TECH'!AD:AD)="","",_xlfn.XLOOKUP($H63,'TRA TECH'!$J:$J,'TRA TECH'!AD:AD)))</f>
        <v>200.82172765356469</v>
      </c>
      <c r="AB63">
        <f t="shared" si="3"/>
        <v>200.82172765356469</v>
      </c>
      <c r="AC63" s="15">
        <f>IF(H63="*","*",IF(_xlfn.XLOOKUP($H63,'TRA TECH'!$J:$J,'TRA TECH'!AE:AE)="","",_xlfn.XLOOKUP($H63,'TRA TECH'!$J:$J,'TRA TECH'!AE:AE)))</f>
        <v>3.4264302505559221</v>
      </c>
      <c r="AD63" s="15">
        <f>IF(H63="*","*",IF(_xlfn.XLOOKUP($H63,'TRA TECH'!$J:$J,'TRA TECH'!AF:AF)="","",_xlfn.XLOOKUP($H63,'TRA TECH'!$J:$J,'TRA TECH'!AF:AF)))</f>
        <v>3.4264302505559221</v>
      </c>
      <c r="AE63" s="15">
        <f>IF(H63="*","*",IF(_xlfn.XLOOKUP($H63,'TRA TECH'!$J:$J,'TRA TECH'!AG:AG)="","",_xlfn.XLOOKUP($H63,'TRA TECH'!$J:$J,'TRA TECH'!AG:AG)))</f>
        <v>3.4264302505559221</v>
      </c>
      <c r="AF63" s="15">
        <f>IF(H63="*","*",IF(_xlfn.XLOOKUP($H63,'TRA TECH'!$J:$J,'TRA TECH'!AH:AH)="","",_xlfn.XLOOKUP($H63,'TRA TECH'!$J:$J,'TRA TECH'!AH:AH)))</f>
        <v>3.4264302505559221</v>
      </c>
      <c r="AG63" s="15">
        <f>IF(H63="*","*",IF(_xlfn.XLOOKUP($H63,'TRA TECH'!$J:$J,'TRA TECH'!AI:AI)="","",_xlfn.XLOOKUP($H63,'TRA TECH'!$J:$J,'TRA TECH'!AI:AI)))</f>
        <v>3.4264302505559221</v>
      </c>
      <c r="AH63" s="15">
        <f>IF(H63="*","*",IF(_xlfn.XLOOKUP($H63,'TRA TECH'!$J:$J,'TRA TECH'!AJ:AJ)="","",_xlfn.XLOOKUP($H63,'TRA TECH'!$J:$J,'TRA TECH'!AJ:AJ)))</f>
        <v>3.4264302505559221</v>
      </c>
      <c r="AI63" s="15">
        <f>IF(H63="*","*",IF(_xlfn.XLOOKUP($H63,'TRA TECH'!$J:$J,'TRA TECH'!AK:AK)="","",_xlfn.XLOOKUP($H63,'TRA TECH'!$J:$J,'TRA TECH'!AK:AK)))</f>
        <v>3.4264302505559221</v>
      </c>
      <c r="AJ63" s="15">
        <f t="shared" si="4"/>
        <v>3.4264302505559221</v>
      </c>
      <c r="AK63" s="16">
        <f t="shared" si="5"/>
        <v>0.4</v>
      </c>
    </row>
    <row r="64" spans="2:37" x14ac:dyDescent="0.25">
      <c r="B64" t="str">
        <f>IF('TRA TECH'!M60=0,"*",IF('TRA TECH'!H60="","*",'TRA TECH'!J60))</f>
        <v>TRAPASLDT400FCEV20</v>
      </c>
      <c r="C64" t="str">
        <f>IF('TRA TECH'!M60=0,"*",'TRA TECH'!H60)</f>
        <v>TRAH2G</v>
      </c>
      <c r="D64" t="s">
        <v>424</v>
      </c>
      <c r="E64" s="9">
        <f>'TRA TECH'!P60</f>
        <v>1</v>
      </c>
      <c r="H64" t="str">
        <f>IF('TRA TECH'!M60=1,IF('TRA TECH'!L60=1,'TRA TECH'!J60,"*"),"*")</f>
        <v>TRAPASLDT400FCEV20</v>
      </c>
      <c r="I64" t="str">
        <f>IF(H64="*","*",_xlfn.XLOOKUP(H64,'TRA TECH'!J:J,'TRA TECH'!I:I))</f>
        <v>TRAPASLDTDMD</v>
      </c>
      <c r="J64">
        <f>IF(H64="*","*",_xlfn.XLOOKUP(H64,'TRA TECH'!J:J,'TRA TECH'!N:N))</f>
        <v>2020</v>
      </c>
      <c r="K64" s="15">
        <f>IF(H64="*","*",IF(_xlfn.XLOOKUP(H64,'TRA TECH'!J:J,'TRA TECH'!O:O)="","",_xlfn.XLOOKUP(H64,'TRA TECH'!J:J,'TRA TECH'!O:O)))</f>
        <v>18.828422487318921</v>
      </c>
      <c r="L64">
        <f t="shared" si="1"/>
        <v>1</v>
      </c>
      <c r="M64">
        <f>IF(H64="*","*",IF(_xlfn.XLOOKUP($H64,'TRA TECH'!$J:$J,'TRA TECH'!Q:Q)="","",_xlfn.XLOOKUP($H64,'TRA TECH'!$J:$J,'TRA TECH'!Q:Q)))</f>
        <v>0.66370627101879298</v>
      </c>
      <c r="N64">
        <f>IF(H64="*","*",IF(_xlfn.XLOOKUP($H64,'TRA TECH'!$J:$J,'TRA TECH'!R:R)="","",_xlfn.XLOOKUP($H64,'TRA TECH'!$J:$J,'TRA TECH'!R:R)))</f>
        <v>0.68714160237388744</v>
      </c>
      <c r="O64">
        <f>IF(H64="*","*",IF(_xlfn.XLOOKUP($H64,'TRA TECH'!$J:$J,'TRA TECH'!S:S)="","",_xlfn.XLOOKUP($H64,'TRA TECH'!$J:$J,'TRA TECH'!S:S)))</f>
        <v>0.69908035608308594</v>
      </c>
      <c r="P64">
        <f>IF(H64="*","*",IF(_xlfn.XLOOKUP($H64,'TRA TECH'!$J:$J,'TRA TECH'!T:T)="","",_xlfn.XLOOKUP($H64,'TRA TECH'!$J:$J,'TRA TECH'!T:T)))</f>
        <v>0.75037277942631053</v>
      </c>
      <c r="Q64">
        <f>IF(H64="*","*",IF(_xlfn.XLOOKUP($H64,'TRA TECH'!$J:$J,'TRA TECH'!U:U)="","",_xlfn.XLOOKUP($H64,'TRA TECH'!$J:$J,'TRA TECH'!U:U)))</f>
        <v>0.76938635014836798</v>
      </c>
      <c r="R64">
        <f>IF(H64="*","*",IF(_xlfn.XLOOKUP($H64,'TRA TECH'!$J:$J,'TRA TECH'!V:V)="","",_xlfn.XLOOKUP($H64,'TRA TECH'!$J:$J,'TRA TECH'!V:V)))</f>
        <v>0.78795774480712133</v>
      </c>
      <c r="S64">
        <f>IF(H64="*","*",IF(_xlfn.XLOOKUP($H64,'TRA TECH'!$J:$J,'TRA TECH'!W:W)="","",_xlfn.XLOOKUP($H64,'TRA TECH'!$J:$J,'TRA TECH'!W:W)))</f>
        <v>0.80652913946587568</v>
      </c>
      <c r="T64">
        <f t="shared" si="2"/>
        <v>0.80652913946587568</v>
      </c>
      <c r="U64">
        <f>IF(H64="*","*",IF(_xlfn.XLOOKUP($H64,'TRA TECH'!$J:$J,'TRA TECH'!X:X)="","",_xlfn.XLOOKUP($H64,'TRA TECH'!$J:$J,'TRA TECH'!X:X)))</f>
        <v>295.1866008603165</v>
      </c>
      <c r="V64">
        <f>IF(H64="*","*",IF(_xlfn.XLOOKUP($H64,'TRA TECH'!$J:$J,'TRA TECH'!Y:Y)="","",_xlfn.XLOOKUP($H64,'TRA TECH'!$J:$J,'TRA TECH'!Y:Y)))</f>
        <v>271.00263838019418</v>
      </c>
      <c r="W64">
        <f>IF(H64="*","*",IF(_xlfn.XLOOKUP($H64,'TRA TECH'!$J:$J,'TRA TECH'!Z:Z)="","",_xlfn.XLOOKUP($H64,'TRA TECH'!$J:$J,'TRA TECH'!Z:Z)))</f>
        <v>251.56062932754691</v>
      </c>
      <c r="X64">
        <f>IF(H64="*","*",IF(_xlfn.XLOOKUP($H64,'TRA TECH'!$J:$J,'TRA TECH'!AA:AA)="","",_xlfn.XLOOKUP($H64,'TRA TECH'!$J:$J,'TRA TECH'!AA:AA)))</f>
        <v>226.19117849055581</v>
      </c>
      <c r="Y64">
        <f>IF(H64="*","*",IF(_xlfn.XLOOKUP($H64,'TRA TECH'!$J:$J,'TRA TECH'!AB:AB)="","",_xlfn.XLOOKUP($H64,'TRA TECH'!$J:$J,'TRA TECH'!AB:AB)))</f>
        <v>219.78954136346451</v>
      </c>
      <c r="Z64">
        <f>IF(H64="*","*",IF(_xlfn.XLOOKUP($H64,'TRA TECH'!$J:$J,'TRA TECH'!AC:AC)="","",_xlfn.XLOOKUP($H64,'TRA TECH'!$J:$J,'TRA TECH'!AC:AC)))</f>
        <v>213.15080656499961</v>
      </c>
      <c r="AA64">
        <f>IF(H64="*","*",IF(_xlfn.XLOOKUP($H64,'TRA TECH'!$J:$J,'TRA TECH'!AD:AD)="","",_xlfn.XLOOKUP($H64,'TRA TECH'!$J:$J,'TRA TECH'!AD:AD)))</f>
        <v>206.74916943790839</v>
      </c>
      <c r="AB64">
        <f t="shared" si="3"/>
        <v>206.74916943790839</v>
      </c>
      <c r="AC64" s="15">
        <f>IF(H64="*","*",IF(_xlfn.XLOOKUP($H64,'TRA TECH'!$J:$J,'TRA TECH'!AE:AE)="","",_xlfn.XLOOKUP($H64,'TRA TECH'!$J:$J,'TRA TECH'!AE:AE)))</f>
        <v>3.4264302505559221</v>
      </c>
      <c r="AD64" s="15">
        <f>IF(H64="*","*",IF(_xlfn.XLOOKUP($H64,'TRA TECH'!$J:$J,'TRA TECH'!AF:AF)="","",_xlfn.XLOOKUP($H64,'TRA TECH'!$J:$J,'TRA TECH'!AF:AF)))</f>
        <v>3.4264302505559221</v>
      </c>
      <c r="AE64" s="15">
        <f>IF(H64="*","*",IF(_xlfn.XLOOKUP($H64,'TRA TECH'!$J:$J,'TRA TECH'!AG:AG)="","",_xlfn.XLOOKUP($H64,'TRA TECH'!$J:$J,'TRA TECH'!AG:AG)))</f>
        <v>3.4264302505559221</v>
      </c>
      <c r="AF64" s="15">
        <f>IF(H64="*","*",IF(_xlfn.XLOOKUP($H64,'TRA TECH'!$J:$J,'TRA TECH'!AH:AH)="","",_xlfn.XLOOKUP($H64,'TRA TECH'!$J:$J,'TRA TECH'!AH:AH)))</f>
        <v>3.4264302505559221</v>
      </c>
      <c r="AG64" s="15">
        <f>IF(H64="*","*",IF(_xlfn.XLOOKUP($H64,'TRA TECH'!$J:$J,'TRA TECH'!AI:AI)="","",_xlfn.XLOOKUP($H64,'TRA TECH'!$J:$J,'TRA TECH'!AI:AI)))</f>
        <v>3.4264302505559221</v>
      </c>
      <c r="AH64" s="15">
        <f>IF(H64="*","*",IF(_xlfn.XLOOKUP($H64,'TRA TECH'!$J:$J,'TRA TECH'!AJ:AJ)="","",_xlfn.XLOOKUP($H64,'TRA TECH'!$J:$J,'TRA TECH'!AJ:AJ)))</f>
        <v>3.4264302505559221</v>
      </c>
      <c r="AI64" s="15">
        <f>IF(H64="*","*",IF(_xlfn.XLOOKUP($H64,'TRA TECH'!$J:$J,'TRA TECH'!AK:AK)="","",_xlfn.XLOOKUP($H64,'TRA TECH'!$J:$J,'TRA TECH'!AK:AK)))</f>
        <v>3.4264302505559221</v>
      </c>
      <c r="AJ64" s="15">
        <f t="shared" si="4"/>
        <v>3.4264302505559221</v>
      </c>
      <c r="AK64" s="16">
        <f t="shared" si="5"/>
        <v>0.4</v>
      </c>
    </row>
    <row r="65" spans="2:37" x14ac:dyDescent="0.25">
      <c r="B65" t="str">
        <f>IF('TRA TECH'!M61=0,"*",IF('TRA TECH'!H61="","*",'TRA TECH'!J61))</f>
        <v>TRAPASLDT200BEV20</v>
      </c>
      <c r="C65" t="str">
        <f>IF('TRA TECH'!M61=0,"*",'TRA TECH'!H61)</f>
        <v>TRABAT</v>
      </c>
      <c r="D65" t="s">
        <v>424</v>
      </c>
      <c r="E65" s="9">
        <f>'TRA TECH'!P61</f>
        <v>1</v>
      </c>
      <c r="H65" t="str">
        <f>IF('TRA TECH'!M61=1,IF('TRA TECH'!L61=1,'TRA TECH'!J61,"*"),"*")</f>
        <v>TRAPASLDT200BEV20</v>
      </c>
      <c r="I65" t="str">
        <f>IF(H65="*","*",_xlfn.XLOOKUP(H65,'TRA TECH'!J:J,'TRA TECH'!I:I))</f>
        <v>TRAPASLDTDMD</v>
      </c>
      <c r="J65">
        <f>IF(H65="*","*",_xlfn.XLOOKUP(H65,'TRA TECH'!J:J,'TRA TECH'!N:N))</f>
        <v>2020</v>
      </c>
      <c r="K65" s="15">
        <f>IF(H65="*","*",IF(_xlfn.XLOOKUP(H65,'TRA TECH'!J:J,'TRA TECH'!O:O)="","",_xlfn.XLOOKUP(H65,'TRA TECH'!J:J,'TRA TECH'!O:O)))</f>
        <v>18.828422487318921</v>
      </c>
      <c r="L65">
        <f t="shared" si="1"/>
        <v>1</v>
      </c>
      <c r="M65">
        <f>IF(H65="*","*",IF(_xlfn.XLOOKUP($H65,'TRA TECH'!$J:$J,'TRA TECH'!Q:Q)="","",_xlfn.XLOOKUP($H65,'TRA TECH'!$J:$J,'TRA TECH'!Q:Q)))</f>
        <v>1.482174164193867</v>
      </c>
      <c r="N65">
        <f>IF(H65="*","*",IF(_xlfn.XLOOKUP($H65,'TRA TECH'!$J:$J,'TRA TECH'!R:R)="","",_xlfn.XLOOKUP($H65,'TRA TECH'!$J:$J,'TRA TECH'!R:R)))</f>
        <v>1.550269277942631</v>
      </c>
      <c r="O65">
        <f>IF(H65="*","*",IF(_xlfn.XLOOKUP($H65,'TRA TECH'!$J:$J,'TRA TECH'!S:S)="","",_xlfn.XLOOKUP($H65,'TRA TECH'!$J:$J,'TRA TECH'!S:S)))</f>
        <v>1.578568545994065</v>
      </c>
      <c r="P65">
        <f>IF(H65="*","*",IF(_xlfn.XLOOKUP($H65,'TRA TECH'!$J:$J,'TRA TECH'!T:T)="","",_xlfn.XLOOKUP($H65,'TRA TECH'!$J:$J,'TRA TECH'!T:T)))</f>
        <v>1.7289084075173089</v>
      </c>
      <c r="Q65">
        <f>IF(H65="*","*",IF(_xlfn.XLOOKUP($H65,'TRA TECH'!$J:$J,'TRA TECH'!U:U)="","",_xlfn.XLOOKUP($H65,'TRA TECH'!$J:$J,'TRA TECH'!U:U)))</f>
        <v>1.7908130563798219</v>
      </c>
      <c r="R65">
        <f>IF(H65="*","*",IF(_xlfn.XLOOKUP($H65,'TRA TECH'!$J:$J,'TRA TECH'!V:V)="","",_xlfn.XLOOKUP($H65,'TRA TECH'!$J:$J,'TRA TECH'!V:V)))</f>
        <v>1.852717705242334</v>
      </c>
      <c r="S65">
        <f>IF(H65="*","*",IF(_xlfn.XLOOKUP($H65,'TRA TECH'!$J:$J,'TRA TECH'!W:W)="","",_xlfn.XLOOKUP($H65,'TRA TECH'!$J:$J,'TRA TECH'!W:W)))</f>
        <v>1.92346587537092</v>
      </c>
      <c r="T65">
        <f t="shared" si="2"/>
        <v>1.92346587537092</v>
      </c>
      <c r="U65">
        <f>IF(H65="*","*",IF(_xlfn.XLOOKUP($H65,'TRA TECH'!$J:$J,'TRA TECH'!X:X)="","",_xlfn.XLOOKUP($H65,'TRA TECH'!$J:$J,'TRA TECH'!X:X)))</f>
        <v>218.84115067796961</v>
      </c>
      <c r="V65">
        <f>IF(H65="*","*",IF(_xlfn.XLOOKUP($H65,'TRA TECH'!$J:$J,'TRA TECH'!Y:Y)="","",_xlfn.XLOOKUP($H65,'TRA TECH'!$J:$J,'TRA TECH'!Y:Y)))</f>
        <v>204.85238806691851</v>
      </c>
      <c r="W65">
        <f>IF(H65="*","*",IF(_xlfn.XLOOKUP($H65,'TRA TECH'!$J:$J,'TRA TECH'!Z:Z)="","",_xlfn.XLOOKUP($H65,'TRA TECH'!$J:$J,'TRA TECH'!Z:Z)))</f>
        <v>185.41037901427109</v>
      </c>
      <c r="X65">
        <f>IF(H65="*","*",IF(_xlfn.XLOOKUP($H65,'TRA TECH'!$J:$J,'TRA TECH'!AA:AA)="","",_xlfn.XLOOKUP($H65,'TRA TECH'!$J:$J,'TRA TECH'!AA:AA)))</f>
        <v>173.31839777421001</v>
      </c>
      <c r="Y65">
        <f>IF(H65="*","*",IF(_xlfn.XLOOKUP($H65,'TRA TECH'!$J:$J,'TRA TECH'!AB:AB)="","",_xlfn.XLOOKUP($H65,'TRA TECH'!$J:$J,'TRA TECH'!AB:AB)))</f>
        <v>167.86515133261369</v>
      </c>
      <c r="Z65">
        <f>IF(H65="*","*",IF(_xlfn.XLOOKUP($H65,'TRA TECH'!$J:$J,'TRA TECH'!AC:AC)="","",_xlfn.XLOOKUP($H65,'TRA TECH'!$J:$J,'TRA TECH'!AC:AC)))</f>
        <v>162.17480721964381</v>
      </c>
      <c r="AA65">
        <f>IF(H65="*","*",IF(_xlfn.XLOOKUP($H65,'TRA TECH'!$J:$J,'TRA TECH'!AD:AD)="","",_xlfn.XLOOKUP($H65,'TRA TECH'!$J:$J,'TRA TECH'!AD:AD)))</f>
        <v>156.24736543530011</v>
      </c>
      <c r="AB65">
        <f t="shared" si="3"/>
        <v>156.24736543530011</v>
      </c>
      <c r="AC65" s="15">
        <f>IF(H65="*","*",IF(_xlfn.XLOOKUP($H65,'TRA TECH'!$J:$J,'TRA TECH'!AE:AE)="","",_xlfn.XLOOKUP($H65,'TRA TECH'!$J:$J,'TRA TECH'!AE:AE)))</f>
        <v>3.3332454513860799</v>
      </c>
      <c r="AD65" s="15">
        <f>IF(H65="*","*",IF(_xlfn.XLOOKUP($H65,'TRA TECH'!$J:$J,'TRA TECH'!AF:AF)="","",_xlfn.XLOOKUP($H65,'TRA TECH'!$J:$J,'TRA TECH'!AF:AF)))</f>
        <v>3.3332454513860799</v>
      </c>
      <c r="AE65" s="15">
        <f>IF(H65="*","*",IF(_xlfn.XLOOKUP($H65,'TRA TECH'!$J:$J,'TRA TECH'!AG:AG)="","",_xlfn.XLOOKUP($H65,'TRA TECH'!$J:$J,'TRA TECH'!AG:AG)))</f>
        <v>3.3332454513860799</v>
      </c>
      <c r="AF65" s="15">
        <f>IF(H65="*","*",IF(_xlfn.XLOOKUP($H65,'TRA TECH'!$J:$J,'TRA TECH'!AH:AH)="","",_xlfn.XLOOKUP($H65,'TRA TECH'!$J:$J,'TRA TECH'!AH:AH)))</f>
        <v>3.3332454513860799</v>
      </c>
      <c r="AG65" s="15">
        <f>IF(H65="*","*",IF(_xlfn.XLOOKUP($H65,'TRA TECH'!$J:$J,'TRA TECH'!AI:AI)="","",_xlfn.XLOOKUP($H65,'TRA TECH'!$J:$J,'TRA TECH'!AI:AI)))</f>
        <v>3.3332454513860799</v>
      </c>
      <c r="AH65" s="15">
        <f>IF(H65="*","*",IF(_xlfn.XLOOKUP($H65,'TRA TECH'!$J:$J,'TRA TECH'!AJ:AJ)="","",_xlfn.XLOOKUP($H65,'TRA TECH'!$J:$J,'TRA TECH'!AJ:AJ)))</f>
        <v>3.3332454513860799</v>
      </c>
      <c r="AI65" s="15">
        <f>IF(H65="*","*",IF(_xlfn.XLOOKUP($H65,'TRA TECH'!$J:$J,'TRA TECH'!AK:AK)="","",_xlfn.XLOOKUP($H65,'TRA TECH'!$J:$J,'TRA TECH'!AK:AK)))</f>
        <v>3.3332454513860799</v>
      </c>
      <c r="AJ65" s="15">
        <f t="shared" si="4"/>
        <v>3.3332454513860799</v>
      </c>
      <c r="AK65" s="16">
        <f t="shared" si="5"/>
        <v>0.4</v>
      </c>
    </row>
    <row r="66" spans="2:37" x14ac:dyDescent="0.25">
      <c r="B66" t="str">
        <f>IF('TRA TECH'!M62=0,"*",IF('TRA TECH'!H62="","*",'TRA TECH'!J62))</f>
        <v>TRAPASLDT300BEV20</v>
      </c>
      <c r="C66" t="str">
        <f>IF('TRA TECH'!M62=0,"*",'TRA TECH'!H62)</f>
        <v>TRABAT</v>
      </c>
      <c r="D66" t="s">
        <v>424</v>
      </c>
      <c r="E66" s="9">
        <f>'TRA TECH'!P62</f>
        <v>1</v>
      </c>
      <c r="H66" t="str">
        <f>IF('TRA TECH'!M62=1,IF('TRA TECH'!L62=1,'TRA TECH'!J62,"*"),"*")</f>
        <v>TRAPASLDT300BEV20</v>
      </c>
      <c r="I66" t="str">
        <f>IF(H66="*","*",_xlfn.XLOOKUP(H66,'TRA TECH'!J:J,'TRA TECH'!I:I))</f>
        <v>TRAPASLDTDMD</v>
      </c>
      <c r="J66">
        <f>IF(H66="*","*",_xlfn.XLOOKUP(H66,'TRA TECH'!J:J,'TRA TECH'!N:N))</f>
        <v>2020</v>
      </c>
      <c r="K66" s="15">
        <f>IF(H66="*","*",IF(_xlfn.XLOOKUP(H66,'TRA TECH'!J:J,'TRA TECH'!O:O)="","",_xlfn.XLOOKUP(H66,'TRA TECH'!J:J,'TRA TECH'!O:O)))</f>
        <v>18.828422487318921</v>
      </c>
      <c r="L66">
        <f t="shared" si="1"/>
        <v>1</v>
      </c>
      <c r="M66">
        <f>IF(H66="*","*",IF(_xlfn.XLOOKUP($H66,'TRA TECH'!$J:$J,'TRA TECH'!Q:Q)="","",_xlfn.XLOOKUP($H66,'TRA TECH'!$J:$J,'TRA TECH'!Q:Q)))</f>
        <v>1.4158477546983179</v>
      </c>
      <c r="N66">
        <f>IF(H66="*","*",IF(_xlfn.XLOOKUP($H66,'TRA TECH'!$J:$J,'TRA TECH'!R:R)="","",_xlfn.XLOOKUP($H66,'TRA TECH'!$J:$J,'TRA TECH'!R:R)))</f>
        <v>1.4835006923837779</v>
      </c>
      <c r="O66">
        <f>IF(H66="*","*",IF(_xlfn.XLOOKUP($H66,'TRA TECH'!$J:$J,'TRA TECH'!S:S)="","",_xlfn.XLOOKUP($H66,'TRA TECH'!$J:$J,'TRA TECH'!S:S)))</f>
        <v>1.527718298714144</v>
      </c>
      <c r="P66">
        <f>IF(H66="*","*",IF(_xlfn.XLOOKUP($H66,'TRA TECH'!$J:$J,'TRA TECH'!T:T)="","",_xlfn.XLOOKUP($H66,'TRA TECH'!$J:$J,'TRA TECH'!T:T)))</f>
        <v>1.6758472799208699</v>
      </c>
      <c r="Q66">
        <f>IF(H66="*","*",IF(_xlfn.XLOOKUP($H66,'TRA TECH'!$J:$J,'TRA TECH'!U:U)="","",_xlfn.XLOOKUP($H66,'TRA TECH'!$J:$J,'TRA TECH'!U:U)))</f>
        <v>1.7377519287833829</v>
      </c>
      <c r="R66">
        <f>IF(H66="*","*",IF(_xlfn.XLOOKUP($H66,'TRA TECH'!$J:$J,'TRA TECH'!V:V)="","",_xlfn.XLOOKUP($H66,'TRA TECH'!$J:$J,'TRA TECH'!V:V)))</f>
        <v>1.795234817012858</v>
      </c>
      <c r="S66">
        <f>IF(H66="*","*",IF(_xlfn.XLOOKUP($H66,'TRA TECH'!$J:$J,'TRA TECH'!W:W)="","",_xlfn.XLOOKUP($H66,'TRA TECH'!$J:$J,'TRA TECH'!W:W)))</f>
        <v>1.870404747774481</v>
      </c>
      <c r="T66">
        <f t="shared" si="2"/>
        <v>1.870404747774481</v>
      </c>
      <c r="U66">
        <f>IF(H66="*","*",IF(_xlfn.XLOOKUP($H66,'TRA TECH'!$J:$J,'TRA TECH'!X:X)="","",_xlfn.XLOOKUP($H66,'TRA TECH'!$J:$J,'TRA TECH'!X:X)))</f>
        <v>260.80743851112311</v>
      </c>
      <c r="V66">
        <f>IF(H66="*","*",IF(_xlfn.XLOOKUP($H66,'TRA TECH'!$J:$J,'TRA TECH'!Y:Y)="","",_xlfn.XLOOKUP($H66,'TRA TECH'!$J:$J,'TRA TECH'!Y:Y)))</f>
        <v>241.36542945847569</v>
      </c>
      <c r="W66">
        <f>IF(H66="*","*",IF(_xlfn.XLOOKUP($H66,'TRA TECH'!$J:$J,'TRA TECH'!Z:Z)="","",_xlfn.XLOOKUP($H66,'TRA TECH'!$J:$J,'TRA TECH'!Z:Z)))</f>
        <v>212.20241587950471</v>
      </c>
      <c r="X66">
        <f>IF(H66="*","*",IF(_xlfn.XLOOKUP($H66,'TRA TECH'!$J:$J,'TRA TECH'!AA:AA)="","",_xlfn.XLOOKUP($H66,'TRA TECH'!$J:$J,'TRA TECH'!AA:AA)))</f>
        <v>194.89428586922099</v>
      </c>
      <c r="Y66">
        <f>IF(H66="*","*",IF(_xlfn.XLOOKUP($H66,'TRA TECH'!$J:$J,'TRA TECH'!AB:AB)="","",_xlfn.XLOOKUP($H66,'TRA TECH'!$J:$J,'TRA TECH'!AB:AB)))</f>
        <v>186.83296504251359</v>
      </c>
      <c r="Z66">
        <f>IF(H66="*","*",IF(_xlfn.XLOOKUP($H66,'TRA TECH'!$J:$J,'TRA TECH'!AC:AC)="","",_xlfn.XLOOKUP($H66,'TRA TECH'!$J:$J,'TRA TECH'!AC:AC)))</f>
        <v>178.77164421580611</v>
      </c>
      <c r="AA66">
        <f>IF(H66="*","*",IF(_xlfn.XLOOKUP($H66,'TRA TECH'!$J:$J,'TRA TECH'!AD:AD)="","",_xlfn.XLOOKUP($H66,'TRA TECH'!$J:$J,'TRA TECH'!AD:AD)))</f>
        <v>170.7103233890987</v>
      </c>
      <c r="AB66">
        <f t="shared" si="3"/>
        <v>170.7103233890987</v>
      </c>
      <c r="AC66" s="15">
        <f>IF(H66="*","*",IF(_xlfn.XLOOKUP($H66,'TRA TECH'!$J:$J,'TRA TECH'!AE:AE)="","",_xlfn.XLOOKUP($H66,'TRA TECH'!$J:$J,'TRA TECH'!AE:AE)))</f>
        <v>3.3332454513860799</v>
      </c>
      <c r="AD66" s="15">
        <f>IF(H66="*","*",IF(_xlfn.XLOOKUP($H66,'TRA TECH'!$J:$J,'TRA TECH'!AF:AF)="","",_xlfn.XLOOKUP($H66,'TRA TECH'!$J:$J,'TRA TECH'!AF:AF)))</f>
        <v>3.3332454513860799</v>
      </c>
      <c r="AE66" s="15">
        <f>IF(H66="*","*",IF(_xlfn.XLOOKUP($H66,'TRA TECH'!$J:$J,'TRA TECH'!AG:AG)="","",_xlfn.XLOOKUP($H66,'TRA TECH'!$J:$J,'TRA TECH'!AG:AG)))</f>
        <v>3.3332454513860799</v>
      </c>
      <c r="AF66" s="15">
        <f>IF(H66="*","*",IF(_xlfn.XLOOKUP($H66,'TRA TECH'!$J:$J,'TRA TECH'!AH:AH)="","",_xlfn.XLOOKUP($H66,'TRA TECH'!$J:$J,'TRA TECH'!AH:AH)))</f>
        <v>3.3332454513860799</v>
      </c>
      <c r="AG66" s="15">
        <f>IF(H66="*","*",IF(_xlfn.XLOOKUP($H66,'TRA TECH'!$J:$J,'TRA TECH'!AI:AI)="","",_xlfn.XLOOKUP($H66,'TRA TECH'!$J:$J,'TRA TECH'!AI:AI)))</f>
        <v>3.3332454513860799</v>
      </c>
      <c r="AH66" s="15">
        <f>IF(H66="*","*",IF(_xlfn.XLOOKUP($H66,'TRA TECH'!$J:$J,'TRA TECH'!AJ:AJ)="","",_xlfn.XLOOKUP($H66,'TRA TECH'!$J:$J,'TRA TECH'!AJ:AJ)))</f>
        <v>3.3332454513860799</v>
      </c>
      <c r="AI66" s="15">
        <f>IF(H66="*","*",IF(_xlfn.XLOOKUP($H66,'TRA TECH'!$J:$J,'TRA TECH'!AK:AK)="","",_xlfn.XLOOKUP($H66,'TRA TECH'!$J:$J,'TRA TECH'!AK:AK)))</f>
        <v>3.3332454513860799</v>
      </c>
      <c r="AJ66" s="15">
        <f t="shared" si="4"/>
        <v>3.3332454513860799</v>
      </c>
      <c r="AK66" s="16">
        <f t="shared" si="5"/>
        <v>0.4</v>
      </c>
    </row>
    <row r="67" spans="2:37" x14ac:dyDescent="0.25">
      <c r="B67" t="str">
        <f>IF('TRA TECH'!M63=0,"*",IF('TRA TECH'!H63="","*",'TRA TECH'!J63))</f>
        <v>TRAPASLDT400BEV20</v>
      </c>
      <c r="C67" t="str">
        <f>IF('TRA TECH'!M63=0,"*",'TRA TECH'!H63)</f>
        <v>TRABAT</v>
      </c>
      <c r="D67" t="s">
        <v>424</v>
      </c>
      <c r="E67" s="9">
        <f>'TRA TECH'!P63</f>
        <v>1</v>
      </c>
      <c r="H67" t="str">
        <f>IF('TRA TECH'!M63=1,IF('TRA TECH'!L63=1,'TRA TECH'!J63,"*"),"*")</f>
        <v>TRAPASLDT400BEV20</v>
      </c>
      <c r="I67" t="str">
        <f>IF(H67="*","*",_xlfn.XLOOKUP(H67,'TRA TECH'!J:J,'TRA TECH'!I:I))</f>
        <v>TRAPASLDTDMD</v>
      </c>
      <c r="J67">
        <f>IF(H67="*","*",_xlfn.XLOOKUP(H67,'TRA TECH'!J:J,'TRA TECH'!N:N))</f>
        <v>2020</v>
      </c>
      <c r="K67" s="15">
        <f>IF(H67="*","*",IF(_xlfn.XLOOKUP(H67,'TRA TECH'!J:J,'TRA TECH'!O:O)="","",_xlfn.XLOOKUP(H67,'TRA TECH'!J:J,'TRA TECH'!O:O)))</f>
        <v>18.828422487318921</v>
      </c>
      <c r="L67">
        <f t="shared" si="1"/>
        <v>1</v>
      </c>
      <c r="M67">
        <f>IF(H67="*","*",IF(_xlfn.XLOOKUP($H67,'TRA TECH'!$J:$J,'TRA TECH'!Q:Q)="","",_xlfn.XLOOKUP($H67,'TRA TECH'!$J:$J,'TRA TECH'!Q:Q)))</f>
        <v>1.272582710187933</v>
      </c>
      <c r="N67">
        <f>IF(H67="*","*",IF(_xlfn.XLOOKUP($H67,'TRA TECH'!$J:$J,'TRA TECH'!R:R)="","",_xlfn.XLOOKUP($H67,'TRA TECH'!$J:$J,'TRA TECH'!R:R)))</f>
        <v>1.3309499505440161</v>
      </c>
      <c r="O67">
        <f>IF(H67="*","*",IF(_xlfn.XLOOKUP($H67,'TRA TECH'!$J:$J,'TRA TECH'!S:S)="","",_xlfn.XLOOKUP($H67,'TRA TECH'!$J:$J,'TRA TECH'!S:S)))</f>
        <v>1.393296775469832</v>
      </c>
      <c r="P67">
        <f>IF(H67="*","*",IF(_xlfn.XLOOKUP($H67,'TRA TECH'!$J:$J,'TRA TECH'!T:T)="","",_xlfn.XLOOKUP($H67,'TRA TECH'!$J:$J,'TRA TECH'!T:T)))</f>
        <v>1.5334665875370921</v>
      </c>
      <c r="Q67">
        <f>IF(H67="*","*",IF(_xlfn.XLOOKUP($H67,'TRA TECH'!$J:$J,'TRA TECH'!U:U)="","",_xlfn.XLOOKUP($H67,'TRA TECH'!$J:$J,'TRA TECH'!U:U)))</f>
        <v>1.5874120672601379</v>
      </c>
      <c r="R67">
        <f>IF(H67="*","*",IF(_xlfn.XLOOKUP($H67,'TRA TECH'!$J:$J,'TRA TECH'!V:V)="","",_xlfn.XLOOKUP($H67,'TRA TECH'!$J:$J,'TRA TECH'!V:V)))</f>
        <v>1.6537384767556871</v>
      </c>
      <c r="S67">
        <f>IF(H67="*","*",IF(_xlfn.XLOOKUP($H67,'TRA TECH'!$J:$J,'TRA TECH'!W:W)="","",_xlfn.XLOOKUP($H67,'TRA TECH'!$J:$J,'TRA TECH'!W:W)))</f>
        <v>1.7156431256182001</v>
      </c>
      <c r="T67">
        <f t="shared" si="2"/>
        <v>1.7156431256182001</v>
      </c>
      <c r="U67">
        <f>IF(H67="*","*",IF(_xlfn.XLOOKUP($H67,'TRA TECH'!$J:$J,'TRA TECH'!X:X)="","",_xlfn.XLOOKUP($H67,'TRA TECH'!$J:$J,'TRA TECH'!X:X)))</f>
        <v>319.37056334043882</v>
      </c>
      <c r="V67">
        <f>IF(H67="*","*",IF(_xlfn.XLOOKUP($H67,'TRA TECH'!$J:$J,'TRA TECH'!Y:Y)="","",_xlfn.XLOOKUP($H67,'TRA TECH'!$J:$J,'TRA TECH'!Y:Y)))</f>
        <v>292.34142880383149</v>
      </c>
      <c r="W67">
        <f>IF(H67="*","*",IF(_xlfn.XLOOKUP($H67,'TRA TECH'!$J:$J,'TRA TECH'!Z:Z)="","",_xlfn.XLOOKUP($H67,'TRA TECH'!$J:$J,'TRA TECH'!Z:Z)))</f>
        <v>248.71545727106189</v>
      </c>
      <c r="X67">
        <f>IF(H67="*","*",IF(_xlfn.XLOOKUP($H67,'TRA TECH'!$J:$J,'TRA TECH'!AA:AA)="","",_xlfn.XLOOKUP($H67,'TRA TECH'!$J:$J,'TRA TECH'!AA:AA)))</f>
        <v>224.05729944819211</v>
      </c>
      <c r="Y67">
        <f>IF(H67="*","*",IF(_xlfn.XLOOKUP($H67,'TRA TECH'!$J:$J,'TRA TECH'!AB:AB)="","",_xlfn.XLOOKUP($H67,'TRA TECH'!$J:$J,'TRA TECH'!AB:AB)))</f>
        <v>212.91370889362591</v>
      </c>
      <c r="Z67">
        <f>IF(H67="*","*",IF(_xlfn.XLOOKUP($H67,'TRA TECH'!$J:$J,'TRA TECH'!AC:AC)="","",_xlfn.XLOOKUP($H67,'TRA TECH'!$J:$J,'TRA TECH'!AC:AC)))</f>
        <v>201.533020667686</v>
      </c>
      <c r="AA67">
        <f>IF(H67="*","*",IF(_xlfn.XLOOKUP($H67,'TRA TECH'!$J:$J,'TRA TECH'!AD:AD)="","",_xlfn.XLOOKUP($H67,'TRA TECH'!$J:$J,'TRA TECH'!AD:AD)))</f>
        <v>190.1523324417461</v>
      </c>
      <c r="AB67">
        <f t="shared" si="3"/>
        <v>190.1523324417461</v>
      </c>
      <c r="AC67" s="15">
        <f>IF(H67="*","*",IF(_xlfn.XLOOKUP($H67,'TRA TECH'!$J:$J,'TRA TECH'!AE:AE)="","",_xlfn.XLOOKUP($H67,'TRA TECH'!$J:$J,'TRA TECH'!AE:AE)))</f>
        <v>3.3332454513860799</v>
      </c>
      <c r="AD67" s="15">
        <f>IF(H67="*","*",IF(_xlfn.XLOOKUP($H67,'TRA TECH'!$J:$J,'TRA TECH'!AF:AF)="","",_xlfn.XLOOKUP($H67,'TRA TECH'!$J:$J,'TRA TECH'!AF:AF)))</f>
        <v>3.3332454513860799</v>
      </c>
      <c r="AE67" s="15">
        <f>IF(H67="*","*",IF(_xlfn.XLOOKUP($H67,'TRA TECH'!$J:$J,'TRA TECH'!AG:AG)="","",_xlfn.XLOOKUP($H67,'TRA TECH'!$J:$J,'TRA TECH'!AG:AG)))</f>
        <v>3.3332454513860799</v>
      </c>
      <c r="AF67" s="15">
        <f>IF(H67="*","*",IF(_xlfn.XLOOKUP($H67,'TRA TECH'!$J:$J,'TRA TECH'!AH:AH)="","",_xlfn.XLOOKUP($H67,'TRA TECH'!$J:$J,'TRA TECH'!AH:AH)))</f>
        <v>3.3332454513860799</v>
      </c>
      <c r="AG67" s="15">
        <f>IF(H67="*","*",IF(_xlfn.XLOOKUP($H67,'TRA TECH'!$J:$J,'TRA TECH'!AI:AI)="","",_xlfn.XLOOKUP($H67,'TRA TECH'!$J:$J,'TRA TECH'!AI:AI)))</f>
        <v>3.3332454513860799</v>
      </c>
      <c r="AH67" s="15">
        <f>IF(H67="*","*",IF(_xlfn.XLOOKUP($H67,'TRA TECH'!$J:$J,'TRA TECH'!AJ:AJ)="","",_xlfn.XLOOKUP($H67,'TRA TECH'!$J:$J,'TRA TECH'!AJ:AJ)))</f>
        <v>3.3332454513860799</v>
      </c>
      <c r="AI67" s="15">
        <f>IF(H67="*","*",IF(_xlfn.XLOOKUP($H67,'TRA TECH'!$J:$J,'TRA TECH'!AK:AK)="","",_xlfn.XLOOKUP($H67,'TRA TECH'!$J:$J,'TRA TECH'!AK:AK)))</f>
        <v>3.3332454513860799</v>
      </c>
      <c r="AJ67" s="15">
        <f t="shared" si="4"/>
        <v>3.3332454513860799</v>
      </c>
      <c r="AK67" s="16">
        <f t="shared" si="5"/>
        <v>0.4</v>
      </c>
    </row>
    <row r="68" spans="2:37" x14ac:dyDescent="0.25">
      <c r="B68" t="str">
        <f>IF('TRA TECH'!M64=0,"*",IF('TRA TECH'!H64="","*",'TRA TECH'!J64))</f>
        <v>TRAPASLDT500BEV20</v>
      </c>
      <c r="C68" t="str">
        <f>IF('TRA TECH'!M64=0,"*",'TRA TECH'!H64)</f>
        <v>TRABAT</v>
      </c>
      <c r="D68" t="s">
        <v>424</v>
      </c>
      <c r="E68" s="9">
        <f>'TRA TECH'!P64</f>
        <v>1</v>
      </c>
      <c r="H68" t="str">
        <f>IF('TRA TECH'!M64=1,IF('TRA TECH'!L64=1,'TRA TECH'!J64,"*"),"*")</f>
        <v>TRAPASLDT500BEV20</v>
      </c>
      <c r="I68" t="str">
        <f>IF(H68="*","*",_xlfn.XLOOKUP(H68,'TRA TECH'!J:J,'TRA TECH'!I:I))</f>
        <v>TRAPASLDTDMD</v>
      </c>
      <c r="J68">
        <f>IF(H68="*","*",_xlfn.XLOOKUP(H68,'TRA TECH'!J:J,'TRA TECH'!N:N))</f>
        <v>2020</v>
      </c>
      <c r="K68" s="15">
        <f>IF(H68="*","*",IF(_xlfn.XLOOKUP(H68,'TRA TECH'!J:J,'TRA TECH'!O:O)="","",_xlfn.XLOOKUP(H68,'TRA TECH'!J:J,'TRA TECH'!O:O)))</f>
        <v>18.828422487318921</v>
      </c>
      <c r="L68">
        <f t="shared" si="1"/>
        <v>1</v>
      </c>
      <c r="M68">
        <f>IF(H68="*","*",IF(_xlfn.XLOOKUP($H68,'TRA TECH'!$J:$J,'TRA TECH'!Q:Q)="","",_xlfn.XLOOKUP($H68,'TRA TECH'!$J:$J,'TRA TECH'!Q:Q)))</f>
        <v>1.1483312363996041</v>
      </c>
      <c r="N68">
        <f>IF(H68="*","*",IF(_xlfn.XLOOKUP($H68,'TRA TECH'!$J:$J,'TRA TECH'!R:R)="","",_xlfn.XLOOKUP($H68,'TRA TECH'!$J:$J,'TRA TECH'!R:R)))</f>
        <v>1.2031610682492579</v>
      </c>
      <c r="O68">
        <f>IF(H68="*","*",IF(_xlfn.XLOOKUP($H68,'TRA TECH'!$J:$J,'TRA TECH'!S:S)="","",_xlfn.XLOOKUP($H68,'TRA TECH'!$J:$J,'TRA TECH'!S:S)))</f>
        <v>1.2880588724035611</v>
      </c>
      <c r="P68">
        <f>IF(H68="*","*",IF(_xlfn.XLOOKUP($H68,'TRA TECH'!$J:$J,'TRA TECH'!T:T)="","",_xlfn.XLOOKUP($H68,'TRA TECH'!$J:$J,'TRA TECH'!T:T)))</f>
        <v>1.411425994065282</v>
      </c>
      <c r="Q68">
        <f>IF(H68="*","*",IF(_xlfn.XLOOKUP($H68,'TRA TECH'!$J:$J,'TRA TECH'!U:U)="","",_xlfn.XLOOKUP($H68,'TRA TECH'!$J:$J,'TRA TECH'!U:U)))</f>
        <v>1.466698001978239</v>
      </c>
      <c r="R68">
        <f>IF(H68="*","*",IF(_xlfn.XLOOKUP($H68,'TRA TECH'!$J:$J,'TRA TECH'!V:V)="","",_xlfn.XLOOKUP($H68,'TRA TECH'!$J:$J,'TRA TECH'!V:V)))</f>
        <v>1.523738714144411</v>
      </c>
      <c r="S68">
        <f>IF(H68="*","*",IF(_xlfn.XLOOKUP($H68,'TRA TECH'!$J:$J,'TRA TECH'!W:W)="","",_xlfn.XLOOKUP($H68,'TRA TECH'!$J:$J,'TRA TECH'!W:W)))</f>
        <v>1.5874120672601379</v>
      </c>
      <c r="T68">
        <f t="shared" si="2"/>
        <v>1.5874120672601379</v>
      </c>
      <c r="U68">
        <f>IF(H68="*","*",IF(_xlfn.XLOOKUP($H68,'TRA TECH'!$J:$J,'TRA TECH'!X:X)="","",_xlfn.XLOOKUP($H68,'TRA TECH'!$J:$J,'TRA TECH'!X:X)))</f>
        <v>389.31437639569458</v>
      </c>
      <c r="V68">
        <f>IF(H68="*","*",IF(_xlfn.XLOOKUP($H68,'TRA TECH'!$J:$J,'TRA TECH'!Y:Y)="","",_xlfn.XLOOKUP($H68,'TRA TECH'!$J:$J,'TRA TECH'!Y:Y)))</f>
        <v>352.80133500413729</v>
      </c>
      <c r="W68">
        <f>IF(H68="*","*",IF(_xlfn.XLOOKUP($H68,'TRA TECH'!$J:$J,'TRA TECH'!Z:Z)="","",_xlfn.XLOOKUP($H68,'TRA TECH'!$J:$J,'TRA TECH'!Z:Z)))</f>
        <v>289.7333544187203</v>
      </c>
      <c r="X68">
        <f>IF(H68="*","*",IF(_xlfn.XLOOKUP($H68,'TRA TECH'!$J:$J,'TRA TECH'!AA:AA)="","",_xlfn.XLOOKUP($H68,'TRA TECH'!$J:$J,'TRA TECH'!AA:AA)))</f>
        <v>257.013875769143</v>
      </c>
      <c r="Y68">
        <f>IF(H68="*","*",IF(_xlfn.XLOOKUP($H68,'TRA TECH'!$J:$J,'TRA TECH'!AB:AB)="","",_xlfn.XLOOKUP($H68,'TRA TECH'!$J:$J,'TRA TECH'!AB:AB)))</f>
        <v>241.83962480122321</v>
      </c>
      <c r="Z68">
        <f>IF(H68="*","*",IF(_xlfn.XLOOKUP($H68,'TRA TECH'!$J:$J,'TRA TECH'!AC:AC)="","",_xlfn.XLOOKUP($H68,'TRA TECH'!$J:$J,'TRA TECH'!AC:AC)))</f>
        <v>227.1395691760508</v>
      </c>
      <c r="AA68">
        <f>IF(H68="*","*",IF(_xlfn.XLOOKUP($H68,'TRA TECH'!$J:$J,'TRA TECH'!AD:AD)="","",_xlfn.XLOOKUP($H68,'TRA TECH'!$J:$J,'TRA TECH'!AD:AD)))</f>
        <v>212.2024158795046</v>
      </c>
      <c r="AB68">
        <f t="shared" si="3"/>
        <v>212.2024158795046</v>
      </c>
      <c r="AC68" s="15">
        <f>IF(H68="*","*",IF(_xlfn.XLOOKUP($H68,'TRA TECH'!$J:$J,'TRA TECH'!AE:AE)="","",_xlfn.XLOOKUP($H68,'TRA TECH'!$J:$J,'TRA TECH'!AE:AE)))</f>
        <v>3.3332454513860799</v>
      </c>
      <c r="AD68" s="15">
        <f>IF(H68="*","*",IF(_xlfn.XLOOKUP($H68,'TRA TECH'!$J:$J,'TRA TECH'!AF:AF)="","",_xlfn.XLOOKUP($H68,'TRA TECH'!$J:$J,'TRA TECH'!AF:AF)))</f>
        <v>3.3332454513860799</v>
      </c>
      <c r="AE68" s="15">
        <f>IF(H68="*","*",IF(_xlfn.XLOOKUP($H68,'TRA TECH'!$J:$J,'TRA TECH'!AG:AG)="","",_xlfn.XLOOKUP($H68,'TRA TECH'!$J:$J,'TRA TECH'!AG:AG)))</f>
        <v>3.3332454513860799</v>
      </c>
      <c r="AF68" s="15">
        <f>IF(H68="*","*",IF(_xlfn.XLOOKUP($H68,'TRA TECH'!$J:$J,'TRA TECH'!AH:AH)="","",_xlfn.XLOOKUP($H68,'TRA TECH'!$J:$J,'TRA TECH'!AH:AH)))</f>
        <v>3.3332454513860799</v>
      </c>
      <c r="AG68" s="15">
        <f>IF(H68="*","*",IF(_xlfn.XLOOKUP($H68,'TRA TECH'!$J:$J,'TRA TECH'!AI:AI)="","",_xlfn.XLOOKUP($H68,'TRA TECH'!$J:$J,'TRA TECH'!AI:AI)))</f>
        <v>3.3332454513860799</v>
      </c>
      <c r="AH68" s="15">
        <f>IF(H68="*","*",IF(_xlfn.XLOOKUP($H68,'TRA TECH'!$J:$J,'TRA TECH'!AJ:AJ)="","",_xlfn.XLOOKUP($H68,'TRA TECH'!$J:$J,'TRA TECH'!AJ:AJ)))</f>
        <v>3.3332454513860799</v>
      </c>
      <c r="AI68" s="15">
        <f>IF(H68="*","*",IF(_xlfn.XLOOKUP($H68,'TRA TECH'!$J:$J,'TRA TECH'!AK:AK)="","",_xlfn.XLOOKUP($H68,'TRA TECH'!$J:$J,'TRA TECH'!AK:AK)))</f>
        <v>3.3332454513860799</v>
      </c>
      <c r="AJ68" s="15">
        <f t="shared" si="4"/>
        <v>3.3332454513860799</v>
      </c>
      <c r="AK68" s="16">
        <f t="shared" si="5"/>
        <v>0.4</v>
      </c>
    </row>
    <row r="69" spans="2:37" x14ac:dyDescent="0.25">
      <c r="B69" t="str">
        <f>IF('TRA TECH'!M65=0,"*",IF('TRA TECH'!H65="","*",'TRA TECH'!J65))</f>
        <v>TRAPASMOTICEVGSL20</v>
      </c>
      <c r="C69" t="str">
        <f>IF('TRA TECH'!M65=0,"*",'TRA TECH'!H65)</f>
        <v>TRAGSL</v>
      </c>
      <c r="D69" t="s">
        <v>424</v>
      </c>
      <c r="E69" s="9">
        <f>'TRA TECH'!P65</f>
        <v>1</v>
      </c>
      <c r="H69" t="str">
        <f>IF('TRA TECH'!M65=1,IF('TRA TECH'!L65=1,'TRA TECH'!J65,"*"),"*")</f>
        <v>TRAPASMOTICEVGSL20</v>
      </c>
      <c r="I69" t="str">
        <f>IF(H69="*","*",_xlfn.XLOOKUP(H69,'TRA TECH'!J:J,'TRA TECH'!I:I))</f>
        <v>TRAPASMOTDMD</v>
      </c>
      <c r="J69">
        <f>IF(H69="*","*",_xlfn.XLOOKUP(H69,'TRA TECH'!J:J,'TRA TECH'!N:N))</f>
        <v>2020</v>
      </c>
      <c r="K69" s="15">
        <f>IF(H69="*","*",IF(_xlfn.XLOOKUP(H69,'TRA TECH'!J:J,'TRA TECH'!O:O)="","",_xlfn.XLOOKUP(H69,'TRA TECH'!J:J,'TRA TECH'!O:O)))</f>
        <v>85.500534378339864</v>
      </c>
      <c r="L69">
        <f t="shared" si="1"/>
        <v>1</v>
      </c>
      <c r="M69">
        <f>IF(H69="*","*",IF(_xlfn.XLOOKUP($H69,'TRA TECH'!$J:$J,'TRA TECH'!Q:Q)="","",_xlfn.XLOOKUP($H69,'TRA TECH'!$J:$J,'TRA TECH'!Q:Q)))</f>
        <v>0.3966319287833826</v>
      </c>
      <c r="N69">
        <f>IF(H69="*","*",IF(_xlfn.XLOOKUP($H69,'TRA TECH'!$J:$J,'TRA TECH'!R:R)="","",_xlfn.XLOOKUP($H69,'TRA TECH'!$J:$J,'TRA TECH'!R:R)))</f>
        <v>0.38999928783382759</v>
      </c>
      <c r="O69">
        <f>IF(H69="*","*",IF(_xlfn.XLOOKUP($H69,'TRA TECH'!$J:$J,'TRA TECH'!S:S)="","",_xlfn.XLOOKUP($H69,'TRA TECH'!$J:$J,'TRA TECH'!S:S)))</f>
        <v>0.45367264094955512</v>
      </c>
      <c r="P69">
        <f>IF(H69="*","*",IF(_xlfn.XLOOKUP($H69,'TRA TECH'!$J:$J,'TRA TECH'!T:T)="","",_xlfn.XLOOKUP($H69,'TRA TECH'!$J:$J,'TRA TECH'!T:T)))</f>
        <v>0.49744807121661722</v>
      </c>
      <c r="Q69">
        <f>IF(H69="*","*",IF(_xlfn.XLOOKUP($H69,'TRA TECH'!$J:$J,'TRA TECH'!U:U)="","",_xlfn.XLOOKUP($H69,'TRA TECH'!$J:$J,'TRA TECH'!U:U)))</f>
        <v>0.52265210682492591</v>
      </c>
      <c r="R69">
        <f>IF(H69="*","*",IF(_xlfn.XLOOKUP($H69,'TRA TECH'!$J:$J,'TRA TECH'!V:V)="","",_xlfn.XLOOKUP($H69,'TRA TECH'!$J:$J,'TRA TECH'!V:V)))</f>
        <v>0.5465296142433238</v>
      </c>
      <c r="S69">
        <f>IF(H69="*","*",IF(_xlfn.XLOOKUP($H69,'TRA TECH'!$J:$J,'TRA TECH'!W:W)="","",_xlfn.XLOOKUP($H69,'TRA TECH'!$J:$J,'TRA TECH'!W:W)))</f>
        <v>0.57173364985163189</v>
      </c>
      <c r="T69">
        <f t="shared" si="2"/>
        <v>0.57173364985163189</v>
      </c>
      <c r="U69">
        <f>IF(H69="*","*",IF(_xlfn.XLOOKUP($H69,'TRA TECH'!$J:$J,'TRA TECH'!X:X)="","",_xlfn.XLOOKUP($H69,'TRA TECH'!$J:$J,'TRA TECH'!X:X)))</f>
        <v>137.27955172540021</v>
      </c>
      <c r="V69">
        <f>IF(H69="*","*",IF(_xlfn.XLOOKUP($H69,'TRA TECH'!$J:$J,'TRA TECH'!Y:Y)="","",_xlfn.XLOOKUP($H69,'TRA TECH'!$J:$J,'TRA TECH'!Y:Y)))</f>
        <v>136.56825871127899</v>
      </c>
      <c r="W69">
        <f>IF(H69="*","*",IF(_xlfn.XLOOKUP($H69,'TRA TECH'!$J:$J,'TRA TECH'!Z:Z)="","",_xlfn.XLOOKUP($H69,'TRA TECH'!$J:$J,'TRA TECH'!Z:Z)))</f>
        <v>140.12472378188519</v>
      </c>
      <c r="X69">
        <f>IF(H69="*","*",IF(_xlfn.XLOOKUP($H69,'TRA TECH'!$J:$J,'TRA TECH'!AA:AA)="","",_xlfn.XLOOKUP($H69,'TRA TECH'!$J:$J,'TRA TECH'!AA:AA)))</f>
        <v>146.5263609089765</v>
      </c>
      <c r="Y69">
        <f>IF(H69="*","*",IF(_xlfn.XLOOKUP($H69,'TRA TECH'!$J:$J,'TRA TECH'!AB:AB)="","",_xlfn.XLOOKUP($H69,'TRA TECH'!$J:$J,'TRA TECH'!AB:AB)))</f>
        <v>146.5263609089765</v>
      </c>
      <c r="Z69">
        <f>IF(H69="*","*",IF(_xlfn.XLOOKUP($H69,'TRA TECH'!$J:$J,'TRA TECH'!AC:AC)="","",_xlfn.XLOOKUP($H69,'TRA TECH'!$J:$J,'TRA TECH'!AC:AC)))</f>
        <v>145.81506789485519</v>
      </c>
      <c r="AA69">
        <f>IF(H69="*","*",IF(_xlfn.XLOOKUP($H69,'TRA TECH'!$J:$J,'TRA TECH'!AD:AD)="","",_xlfn.XLOOKUP($H69,'TRA TECH'!$J:$J,'TRA TECH'!AD:AD)))</f>
        <v>145.81506789485519</v>
      </c>
      <c r="AB69">
        <f t="shared" si="3"/>
        <v>145.81506789485519</v>
      </c>
      <c r="AC69" s="15">
        <f>IF(H69="*","*",IF(_xlfn.XLOOKUP($H69,'TRA TECH'!$J:$J,'TRA TECH'!AE:AE)="","",_xlfn.XLOOKUP($H69,'TRA TECH'!$J:$J,'TRA TECH'!AE:AE)))</f>
        <v>1.0315764034964729</v>
      </c>
      <c r="AD69" s="15">
        <f>IF(H69="*","*",IF(_xlfn.XLOOKUP($H69,'TRA TECH'!$J:$J,'TRA TECH'!AF:AF)="","",_xlfn.XLOOKUP($H69,'TRA TECH'!$J:$J,'TRA TECH'!AF:AF)))</f>
        <v>1.0315764034964729</v>
      </c>
      <c r="AE69" s="15">
        <f>IF(H69="*","*",IF(_xlfn.XLOOKUP($H69,'TRA TECH'!$J:$J,'TRA TECH'!AG:AG)="","",_xlfn.XLOOKUP($H69,'TRA TECH'!$J:$J,'TRA TECH'!AG:AG)))</f>
        <v>1.0315764034964729</v>
      </c>
      <c r="AF69" s="15">
        <f>IF(H69="*","*",IF(_xlfn.XLOOKUP($H69,'TRA TECH'!$J:$J,'TRA TECH'!AH:AH)="","",_xlfn.XLOOKUP($H69,'TRA TECH'!$J:$J,'TRA TECH'!AH:AH)))</f>
        <v>1.0315764034964729</v>
      </c>
      <c r="AG69" s="15">
        <f>IF(H69="*","*",IF(_xlfn.XLOOKUP($H69,'TRA TECH'!$J:$J,'TRA TECH'!AI:AI)="","",_xlfn.XLOOKUP($H69,'TRA TECH'!$J:$J,'TRA TECH'!AI:AI)))</f>
        <v>1.0315764034964729</v>
      </c>
      <c r="AH69" s="15">
        <f>IF(H69="*","*",IF(_xlfn.XLOOKUP($H69,'TRA TECH'!$J:$J,'TRA TECH'!AJ:AJ)="","",_xlfn.XLOOKUP($H69,'TRA TECH'!$J:$J,'TRA TECH'!AJ:AJ)))</f>
        <v>1.0315764034964729</v>
      </c>
      <c r="AI69" s="15">
        <f>IF(H69="*","*",IF(_xlfn.XLOOKUP($H69,'TRA TECH'!$J:$J,'TRA TECH'!AK:AK)="","",_xlfn.XLOOKUP($H69,'TRA TECH'!$J:$J,'TRA TECH'!AK:AK)))</f>
        <v>1.0315764034964729</v>
      </c>
      <c r="AJ69" s="15">
        <f t="shared" si="4"/>
        <v>1.0315764034964729</v>
      </c>
      <c r="AK69" s="16">
        <f t="shared" si="5"/>
        <v>0.1</v>
      </c>
    </row>
    <row r="70" spans="2:37" x14ac:dyDescent="0.25">
      <c r="B70" t="str">
        <f>IF('TRA TECH'!M66=0,"*",IF('TRA TECH'!H66="","*",'TRA TECH'!J66))</f>
        <v>TRAPASMOTICEVGSL20</v>
      </c>
      <c r="C70" t="str">
        <f>IF('TRA TECH'!M66=0,"*",'TRA TECH'!H66)</f>
        <v>TRAETH</v>
      </c>
      <c r="D70" t="s">
        <v>424</v>
      </c>
      <c r="E70" s="9">
        <f>'TRA TECH'!P66</f>
        <v>0.1</v>
      </c>
      <c r="H70" t="str">
        <f>IF('TRA TECH'!M66=1,IF('TRA TECH'!L66=1,'TRA TECH'!J66,"*"),"*")</f>
        <v>*</v>
      </c>
      <c r="I70" t="str">
        <f>IF(H70="*","*",_xlfn.XLOOKUP(H70,'TRA TECH'!J:J,'TRA TECH'!I:I))</f>
        <v>*</v>
      </c>
      <c r="J70" t="str">
        <f>IF(H70="*","*",_xlfn.XLOOKUP(H70,'TRA TECH'!J:J,'TRA TECH'!N:N))</f>
        <v>*</v>
      </c>
      <c r="K70" s="15" t="str">
        <f>IF(H70="*","*",IF(_xlfn.XLOOKUP(H70,'TRA TECH'!J:J,'TRA TECH'!O:O)="","",_xlfn.XLOOKUP(H70,'TRA TECH'!J:J,'TRA TECH'!O:O)))</f>
        <v>*</v>
      </c>
      <c r="L70" t="str">
        <f t="shared" si="1"/>
        <v>*</v>
      </c>
      <c r="M70" t="str">
        <f>IF(H70="*","*",IF(_xlfn.XLOOKUP($H70,'TRA TECH'!$J:$J,'TRA TECH'!Q:Q)="","",_xlfn.XLOOKUP($H70,'TRA TECH'!$J:$J,'TRA TECH'!Q:Q)))</f>
        <v>*</v>
      </c>
      <c r="N70" t="str">
        <f>IF(H70="*","*",IF(_xlfn.XLOOKUP($H70,'TRA TECH'!$J:$J,'TRA TECH'!R:R)="","",_xlfn.XLOOKUP($H70,'TRA TECH'!$J:$J,'TRA TECH'!R:R)))</f>
        <v>*</v>
      </c>
      <c r="O70" t="str">
        <f>IF(H70="*","*",IF(_xlfn.XLOOKUP($H70,'TRA TECH'!$J:$J,'TRA TECH'!S:S)="","",_xlfn.XLOOKUP($H70,'TRA TECH'!$J:$J,'TRA TECH'!S:S)))</f>
        <v>*</v>
      </c>
      <c r="P70" t="str">
        <f>IF(H70="*","*",IF(_xlfn.XLOOKUP($H70,'TRA TECH'!$J:$J,'TRA TECH'!T:T)="","",_xlfn.XLOOKUP($H70,'TRA TECH'!$J:$J,'TRA TECH'!T:T)))</f>
        <v>*</v>
      </c>
      <c r="Q70" t="str">
        <f>IF(H70="*","*",IF(_xlfn.XLOOKUP($H70,'TRA TECH'!$J:$J,'TRA TECH'!U:U)="","",_xlfn.XLOOKUP($H70,'TRA TECH'!$J:$J,'TRA TECH'!U:U)))</f>
        <v>*</v>
      </c>
      <c r="R70" t="str">
        <f>IF(H70="*","*",IF(_xlfn.XLOOKUP($H70,'TRA TECH'!$J:$J,'TRA TECH'!V:V)="","",_xlfn.XLOOKUP($H70,'TRA TECH'!$J:$J,'TRA TECH'!V:V)))</f>
        <v>*</v>
      </c>
      <c r="S70" t="str">
        <f>IF(H70="*","*",IF(_xlfn.XLOOKUP($H70,'TRA TECH'!$J:$J,'TRA TECH'!W:W)="","",_xlfn.XLOOKUP($H70,'TRA TECH'!$J:$J,'TRA TECH'!W:W)))</f>
        <v>*</v>
      </c>
      <c r="T70" t="str">
        <f t="shared" si="2"/>
        <v>*</v>
      </c>
      <c r="U70" t="str">
        <f>IF(H70="*","*",IF(_xlfn.XLOOKUP($H70,'TRA TECH'!$J:$J,'TRA TECH'!X:X)="","",_xlfn.XLOOKUP($H70,'TRA TECH'!$J:$J,'TRA TECH'!X:X)))</f>
        <v>*</v>
      </c>
      <c r="V70" t="str">
        <f>IF(H70="*","*",IF(_xlfn.XLOOKUP($H70,'TRA TECH'!$J:$J,'TRA TECH'!Y:Y)="","",_xlfn.XLOOKUP($H70,'TRA TECH'!$J:$J,'TRA TECH'!Y:Y)))</f>
        <v>*</v>
      </c>
      <c r="W70" t="str">
        <f>IF(H70="*","*",IF(_xlfn.XLOOKUP($H70,'TRA TECH'!$J:$J,'TRA TECH'!Z:Z)="","",_xlfn.XLOOKUP($H70,'TRA TECH'!$J:$J,'TRA TECH'!Z:Z)))</f>
        <v>*</v>
      </c>
      <c r="X70" t="str">
        <f>IF(H70="*","*",IF(_xlfn.XLOOKUP($H70,'TRA TECH'!$J:$J,'TRA TECH'!AA:AA)="","",_xlfn.XLOOKUP($H70,'TRA TECH'!$J:$J,'TRA TECH'!AA:AA)))</f>
        <v>*</v>
      </c>
      <c r="Y70" t="str">
        <f>IF(H70="*","*",IF(_xlfn.XLOOKUP($H70,'TRA TECH'!$J:$J,'TRA TECH'!AB:AB)="","",_xlfn.XLOOKUP($H70,'TRA TECH'!$J:$J,'TRA TECH'!AB:AB)))</f>
        <v>*</v>
      </c>
      <c r="Z70" t="str">
        <f>IF(H70="*","*",IF(_xlfn.XLOOKUP($H70,'TRA TECH'!$J:$J,'TRA TECH'!AC:AC)="","",_xlfn.XLOOKUP($H70,'TRA TECH'!$J:$J,'TRA TECH'!AC:AC)))</f>
        <v>*</v>
      </c>
      <c r="AA70" t="str">
        <f>IF(H70="*","*",IF(_xlfn.XLOOKUP($H70,'TRA TECH'!$J:$J,'TRA TECH'!AD:AD)="","",_xlfn.XLOOKUP($H70,'TRA TECH'!$J:$J,'TRA TECH'!AD:AD)))</f>
        <v>*</v>
      </c>
      <c r="AB70" t="str">
        <f t="shared" si="3"/>
        <v>*</v>
      </c>
      <c r="AC70" s="15" t="str">
        <f>IF(H70="*","*",IF(_xlfn.XLOOKUP($H70,'TRA TECH'!$J:$J,'TRA TECH'!AE:AE)="","",_xlfn.XLOOKUP($H70,'TRA TECH'!$J:$J,'TRA TECH'!AE:AE)))</f>
        <v>*</v>
      </c>
      <c r="AD70" s="15" t="str">
        <f>IF(H70="*","*",IF(_xlfn.XLOOKUP($H70,'TRA TECH'!$J:$J,'TRA TECH'!AF:AF)="","",_xlfn.XLOOKUP($H70,'TRA TECH'!$J:$J,'TRA TECH'!AF:AF)))</f>
        <v>*</v>
      </c>
      <c r="AE70" s="15" t="str">
        <f>IF(H70="*","*",IF(_xlfn.XLOOKUP($H70,'TRA TECH'!$J:$J,'TRA TECH'!AG:AG)="","",_xlfn.XLOOKUP($H70,'TRA TECH'!$J:$J,'TRA TECH'!AG:AG)))</f>
        <v>*</v>
      </c>
      <c r="AF70" s="15" t="str">
        <f>IF(H70="*","*",IF(_xlfn.XLOOKUP($H70,'TRA TECH'!$J:$J,'TRA TECH'!AH:AH)="","",_xlfn.XLOOKUP($H70,'TRA TECH'!$J:$J,'TRA TECH'!AH:AH)))</f>
        <v>*</v>
      </c>
      <c r="AG70" s="15" t="str">
        <f>IF(H70="*","*",IF(_xlfn.XLOOKUP($H70,'TRA TECH'!$J:$J,'TRA TECH'!AI:AI)="","",_xlfn.XLOOKUP($H70,'TRA TECH'!$J:$J,'TRA TECH'!AI:AI)))</f>
        <v>*</v>
      </c>
      <c r="AH70" s="15" t="str">
        <f>IF(H70="*","*",IF(_xlfn.XLOOKUP($H70,'TRA TECH'!$J:$J,'TRA TECH'!AJ:AJ)="","",_xlfn.XLOOKUP($H70,'TRA TECH'!$J:$J,'TRA TECH'!AJ:AJ)))</f>
        <v>*</v>
      </c>
      <c r="AI70" s="15" t="str">
        <f>IF(H70="*","*",IF(_xlfn.XLOOKUP($H70,'TRA TECH'!$J:$J,'TRA TECH'!AK:AK)="","",_xlfn.XLOOKUP($H70,'TRA TECH'!$J:$J,'TRA TECH'!AK:AK)))</f>
        <v>*</v>
      </c>
      <c r="AJ70" s="15" t="str">
        <f t="shared" si="4"/>
        <v>*</v>
      </c>
      <c r="AK70" s="16" t="str">
        <f t="shared" si="5"/>
        <v>*</v>
      </c>
    </row>
    <row r="71" spans="2:37" x14ac:dyDescent="0.25">
      <c r="B71" t="str">
        <f>IF('TRA TECH'!M67=0,"*",IF('TRA TECH'!H67="","*",'TRA TECH'!J67))</f>
        <v>TRAPASMOTICEVTGSL20</v>
      </c>
      <c r="C71" t="str">
        <f>IF('TRA TECH'!M67=0,"*",'TRA TECH'!H67)</f>
        <v>TRAGSL</v>
      </c>
      <c r="D71" t="s">
        <v>424</v>
      </c>
      <c r="E71" s="9">
        <f>'TRA TECH'!P67</f>
        <v>1</v>
      </c>
      <c r="H71" t="str">
        <f>IF('TRA TECH'!M67=1,IF('TRA TECH'!L67=1,'TRA TECH'!J67,"*"),"*")</f>
        <v>TRAPASMOTICEVTGSL20</v>
      </c>
      <c r="I71" t="str">
        <f>IF(H71="*","*",_xlfn.XLOOKUP(H71,'TRA TECH'!J:J,'TRA TECH'!I:I))</f>
        <v>TRAPASMOTDMD</v>
      </c>
      <c r="J71">
        <f>IF(H71="*","*",_xlfn.XLOOKUP(H71,'TRA TECH'!J:J,'TRA TECH'!N:N))</f>
        <v>2020</v>
      </c>
      <c r="K71" s="15">
        <f>IF(H71="*","*",IF(_xlfn.XLOOKUP(H71,'TRA TECH'!J:J,'TRA TECH'!O:O)="","",_xlfn.XLOOKUP(H71,'TRA TECH'!J:J,'TRA TECH'!O:O)))</f>
        <v>85.500534378339864</v>
      </c>
      <c r="L71">
        <f t="shared" ref="L71:L134" si="6">IF(H71="*","*",1)</f>
        <v>1</v>
      </c>
      <c r="M71">
        <f>IF(H71="*","*",IF(_xlfn.XLOOKUP($H71,'TRA TECH'!$J:$J,'TRA TECH'!Q:Q)="","",_xlfn.XLOOKUP($H71,'TRA TECH'!$J:$J,'TRA TECH'!Q:Q)))</f>
        <v>0.43908083086053429</v>
      </c>
      <c r="N71">
        <f>IF(H71="*","*",IF(_xlfn.XLOOKUP($H71,'TRA TECH'!$J:$J,'TRA TECH'!R:R)="","",_xlfn.XLOOKUP($H71,'TRA TECH'!$J:$J,'TRA TECH'!R:R)))</f>
        <v>0.43510124629080099</v>
      </c>
      <c r="O71">
        <f>IF(H71="*","*",IF(_xlfn.XLOOKUP($H71,'TRA TECH'!$J:$J,'TRA TECH'!S:S)="","",_xlfn.XLOOKUP($H71,'TRA TECH'!$J:$J,'TRA TECH'!S:S)))</f>
        <v>0.48816237388723999</v>
      </c>
      <c r="P71">
        <f>IF(H71="*","*",IF(_xlfn.XLOOKUP($H71,'TRA TECH'!$J:$J,'TRA TECH'!T:T)="","",_xlfn.XLOOKUP($H71,'TRA TECH'!$J:$J,'TRA TECH'!T:T)))</f>
        <v>0.53061127596439173</v>
      </c>
      <c r="Q71">
        <f>IF(H71="*","*",IF(_xlfn.XLOOKUP($H71,'TRA TECH'!$J:$J,'TRA TECH'!U:U)="","",_xlfn.XLOOKUP($H71,'TRA TECH'!$J:$J,'TRA TECH'!U:U)))</f>
        <v>0.5597948961424335</v>
      </c>
      <c r="R71">
        <f>IF(H71="*","*",IF(_xlfn.XLOOKUP($H71,'TRA TECH'!$J:$J,'TRA TECH'!V:V)="","",_xlfn.XLOOKUP($H71,'TRA TECH'!$J:$J,'TRA TECH'!V:V)))</f>
        <v>0.58897851632047493</v>
      </c>
      <c r="S71">
        <f>IF(H71="*","*",IF(_xlfn.XLOOKUP($H71,'TRA TECH'!$J:$J,'TRA TECH'!W:W)="","",_xlfn.XLOOKUP($H71,'TRA TECH'!$J:$J,'TRA TECH'!W:W)))</f>
        <v>0.61948866468842767</v>
      </c>
      <c r="T71">
        <f t="shared" ref="T71:T134" si="7">IF(H71="*","*",S71)</f>
        <v>0.61948866468842767</v>
      </c>
      <c r="U71">
        <f>IF(H71="*","*",IF(_xlfn.XLOOKUP($H71,'TRA TECH'!$J:$J,'TRA TECH'!X:X)="","",_xlfn.XLOOKUP($H71,'TRA TECH'!$J:$J,'TRA TECH'!X:X)))</f>
        <v>145.10377488073391</v>
      </c>
      <c r="V71">
        <f>IF(H71="*","*",IF(_xlfn.XLOOKUP($H71,'TRA TECH'!$J:$J,'TRA TECH'!Y:Y)="","",_xlfn.XLOOKUP($H71,'TRA TECH'!$J:$J,'TRA TECH'!Y:Y)))</f>
        <v>143.6811888524914</v>
      </c>
      <c r="W71">
        <f>IF(H71="*","*",IF(_xlfn.XLOOKUP($H71,'TRA TECH'!$J:$J,'TRA TECH'!Z:Z)="","",_xlfn.XLOOKUP($H71,'TRA TECH'!$J:$J,'TRA TECH'!Z:Z)))</f>
        <v>147.23765392309761</v>
      </c>
      <c r="X71">
        <f>IF(H71="*","*",IF(_xlfn.XLOOKUP($H71,'TRA TECH'!$J:$J,'TRA TECH'!AA:AA)="","",_xlfn.XLOOKUP($H71,'TRA TECH'!$J:$J,'TRA TECH'!AA:AA)))</f>
        <v>153.63929105018889</v>
      </c>
      <c r="Y71">
        <f>IF(H71="*","*",IF(_xlfn.XLOOKUP($H71,'TRA TECH'!$J:$J,'TRA TECH'!AB:AB)="","",_xlfn.XLOOKUP($H71,'TRA TECH'!$J:$J,'TRA TECH'!AB:AB)))</f>
        <v>152.92799803606749</v>
      </c>
      <c r="Z71">
        <f>IF(H71="*","*",IF(_xlfn.XLOOKUP($H71,'TRA TECH'!$J:$J,'TRA TECH'!AC:AC)="","",_xlfn.XLOOKUP($H71,'TRA TECH'!$J:$J,'TRA TECH'!AC:AC)))</f>
        <v>152.92799803606749</v>
      </c>
      <c r="AA71">
        <f>IF(H71="*","*",IF(_xlfn.XLOOKUP($H71,'TRA TECH'!$J:$J,'TRA TECH'!AD:AD)="","",_xlfn.XLOOKUP($H71,'TRA TECH'!$J:$J,'TRA TECH'!AD:AD)))</f>
        <v>152.2167050219465</v>
      </c>
      <c r="AB71">
        <f t="shared" ref="AB71:AB134" si="8">IF(H71="*","*",AA71)</f>
        <v>152.2167050219465</v>
      </c>
      <c r="AC71" s="15">
        <f>IF(H71="*","*",IF(_xlfn.XLOOKUP($H71,'TRA TECH'!$J:$J,'TRA TECH'!AE:AE)="","",_xlfn.XLOOKUP($H71,'TRA TECH'!$J:$J,'TRA TECH'!AE:AE)))</f>
        <v>1.0315764034964729</v>
      </c>
      <c r="AD71" s="15">
        <f>IF(H71="*","*",IF(_xlfn.XLOOKUP($H71,'TRA TECH'!$J:$J,'TRA TECH'!AF:AF)="","",_xlfn.XLOOKUP($H71,'TRA TECH'!$J:$J,'TRA TECH'!AF:AF)))</f>
        <v>1.0315764034964729</v>
      </c>
      <c r="AE71" s="15">
        <f>IF(H71="*","*",IF(_xlfn.XLOOKUP($H71,'TRA TECH'!$J:$J,'TRA TECH'!AG:AG)="","",_xlfn.XLOOKUP($H71,'TRA TECH'!$J:$J,'TRA TECH'!AG:AG)))</f>
        <v>1.0315764034964729</v>
      </c>
      <c r="AF71" s="15">
        <f>IF(H71="*","*",IF(_xlfn.XLOOKUP($H71,'TRA TECH'!$J:$J,'TRA TECH'!AH:AH)="","",_xlfn.XLOOKUP($H71,'TRA TECH'!$J:$J,'TRA TECH'!AH:AH)))</f>
        <v>1.0315764034964729</v>
      </c>
      <c r="AG71" s="15">
        <f>IF(H71="*","*",IF(_xlfn.XLOOKUP($H71,'TRA TECH'!$J:$J,'TRA TECH'!AI:AI)="","",_xlfn.XLOOKUP($H71,'TRA TECH'!$J:$J,'TRA TECH'!AI:AI)))</f>
        <v>1.0315764034964729</v>
      </c>
      <c r="AH71" s="15">
        <f>IF(H71="*","*",IF(_xlfn.XLOOKUP($H71,'TRA TECH'!$J:$J,'TRA TECH'!AJ:AJ)="","",_xlfn.XLOOKUP($H71,'TRA TECH'!$J:$J,'TRA TECH'!AJ:AJ)))</f>
        <v>1.0315764034964729</v>
      </c>
      <c r="AI71" s="15">
        <f>IF(H71="*","*",IF(_xlfn.XLOOKUP($H71,'TRA TECH'!$J:$J,'TRA TECH'!AK:AK)="","",_xlfn.XLOOKUP($H71,'TRA TECH'!$J:$J,'TRA TECH'!AK:AK)))</f>
        <v>1.0315764034964729</v>
      </c>
      <c r="AJ71" s="15">
        <f t="shared" ref="AJ71:AJ134" si="9">IF(H71="*","*",AI71)</f>
        <v>1.0315764034964729</v>
      </c>
      <c r="AK71" s="16">
        <f t="shared" ref="AK71:AK134" si="10">IF(I71="*","*",IF(ISNUMBER(SEARCH("CNG",H71)),0.3,IF(ISNUMBER(SEARCH("BEV",H71)),0.4,IF(ISNUMBER(SEARCH("HEV",H71)),0.25,IF(ISNUMBER(SEARCH("FCEV",H71)),0.4,0.1)))))</f>
        <v>0.1</v>
      </c>
    </row>
    <row r="72" spans="2:37" x14ac:dyDescent="0.25">
      <c r="B72" t="str">
        <f>IF('TRA TECH'!M68=0,"*",IF('TRA TECH'!H68="","*",'TRA TECH'!J68))</f>
        <v>TRAPASMOTICEVTGSL20</v>
      </c>
      <c r="C72" t="str">
        <f>IF('TRA TECH'!M68=0,"*",'TRA TECH'!H68)</f>
        <v>TRAETH</v>
      </c>
      <c r="D72" t="s">
        <v>424</v>
      </c>
      <c r="E72" s="9">
        <f>'TRA TECH'!P68</f>
        <v>0.1</v>
      </c>
      <c r="H72" t="str">
        <f>IF('TRA TECH'!M68=1,IF('TRA TECH'!L68=1,'TRA TECH'!J68,"*"),"*")</f>
        <v>*</v>
      </c>
      <c r="I72" t="str">
        <f>IF(H72="*","*",_xlfn.XLOOKUP(H72,'TRA TECH'!J:J,'TRA TECH'!I:I))</f>
        <v>*</v>
      </c>
      <c r="J72" t="str">
        <f>IF(H72="*","*",_xlfn.XLOOKUP(H72,'TRA TECH'!J:J,'TRA TECH'!N:N))</f>
        <v>*</v>
      </c>
      <c r="K72" s="15" t="str">
        <f>IF(H72="*","*",IF(_xlfn.XLOOKUP(H72,'TRA TECH'!J:J,'TRA TECH'!O:O)="","",_xlfn.XLOOKUP(H72,'TRA TECH'!J:J,'TRA TECH'!O:O)))</f>
        <v>*</v>
      </c>
      <c r="L72" t="str">
        <f t="shared" si="6"/>
        <v>*</v>
      </c>
      <c r="M72" t="str">
        <f>IF(H72="*","*",IF(_xlfn.XLOOKUP($H72,'TRA TECH'!$J:$J,'TRA TECH'!Q:Q)="","",_xlfn.XLOOKUP($H72,'TRA TECH'!$J:$J,'TRA TECH'!Q:Q)))</f>
        <v>*</v>
      </c>
      <c r="N72" t="str">
        <f>IF(H72="*","*",IF(_xlfn.XLOOKUP($H72,'TRA TECH'!$J:$J,'TRA TECH'!R:R)="","",_xlfn.XLOOKUP($H72,'TRA TECH'!$J:$J,'TRA TECH'!R:R)))</f>
        <v>*</v>
      </c>
      <c r="O72" t="str">
        <f>IF(H72="*","*",IF(_xlfn.XLOOKUP($H72,'TRA TECH'!$J:$J,'TRA TECH'!S:S)="","",_xlfn.XLOOKUP($H72,'TRA TECH'!$J:$J,'TRA TECH'!S:S)))</f>
        <v>*</v>
      </c>
      <c r="P72" t="str">
        <f>IF(H72="*","*",IF(_xlfn.XLOOKUP($H72,'TRA TECH'!$J:$J,'TRA TECH'!T:T)="","",_xlfn.XLOOKUP($H72,'TRA TECH'!$J:$J,'TRA TECH'!T:T)))</f>
        <v>*</v>
      </c>
      <c r="Q72" t="str">
        <f>IF(H72="*","*",IF(_xlfn.XLOOKUP($H72,'TRA TECH'!$J:$J,'TRA TECH'!U:U)="","",_xlfn.XLOOKUP($H72,'TRA TECH'!$J:$J,'TRA TECH'!U:U)))</f>
        <v>*</v>
      </c>
      <c r="R72" t="str">
        <f>IF(H72="*","*",IF(_xlfn.XLOOKUP($H72,'TRA TECH'!$J:$J,'TRA TECH'!V:V)="","",_xlfn.XLOOKUP($H72,'TRA TECH'!$J:$J,'TRA TECH'!V:V)))</f>
        <v>*</v>
      </c>
      <c r="S72" t="str">
        <f>IF(H72="*","*",IF(_xlfn.XLOOKUP($H72,'TRA TECH'!$J:$J,'TRA TECH'!W:W)="","",_xlfn.XLOOKUP($H72,'TRA TECH'!$J:$J,'TRA TECH'!W:W)))</f>
        <v>*</v>
      </c>
      <c r="T72" t="str">
        <f t="shared" si="7"/>
        <v>*</v>
      </c>
      <c r="U72" t="str">
        <f>IF(H72="*","*",IF(_xlfn.XLOOKUP($H72,'TRA TECH'!$J:$J,'TRA TECH'!X:X)="","",_xlfn.XLOOKUP($H72,'TRA TECH'!$J:$J,'TRA TECH'!X:X)))</f>
        <v>*</v>
      </c>
      <c r="V72" t="str">
        <f>IF(H72="*","*",IF(_xlfn.XLOOKUP($H72,'TRA TECH'!$J:$J,'TRA TECH'!Y:Y)="","",_xlfn.XLOOKUP($H72,'TRA TECH'!$J:$J,'TRA TECH'!Y:Y)))</f>
        <v>*</v>
      </c>
      <c r="W72" t="str">
        <f>IF(H72="*","*",IF(_xlfn.XLOOKUP($H72,'TRA TECH'!$J:$J,'TRA TECH'!Z:Z)="","",_xlfn.XLOOKUP($H72,'TRA TECH'!$J:$J,'TRA TECH'!Z:Z)))</f>
        <v>*</v>
      </c>
      <c r="X72" t="str">
        <f>IF(H72="*","*",IF(_xlfn.XLOOKUP($H72,'TRA TECH'!$J:$J,'TRA TECH'!AA:AA)="","",_xlfn.XLOOKUP($H72,'TRA TECH'!$J:$J,'TRA TECH'!AA:AA)))</f>
        <v>*</v>
      </c>
      <c r="Y72" t="str">
        <f>IF(H72="*","*",IF(_xlfn.XLOOKUP($H72,'TRA TECH'!$J:$J,'TRA TECH'!AB:AB)="","",_xlfn.XLOOKUP($H72,'TRA TECH'!$J:$J,'TRA TECH'!AB:AB)))</f>
        <v>*</v>
      </c>
      <c r="Z72" t="str">
        <f>IF(H72="*","*",IF(_xlfn.XLOOKUP($H72,'TRA TECH'!$J:$J,'TRA TECH'!AC:AC)="","",_xlfn.XLOOKUP($H72,'TRA TECH'!$J:$J,'TRA TECH'!AC:AC)))</f>
        <v>*</v>
      </c>
      <c r="AA72" t="str">
        <f>IF(H72="*","*",IF(_xlfn.XLOOKUP($H72,'TRA TECH'!$J:$J,'TRA TECH'!AD:AD)="","",_xlfn.XLOOKUP($H72,'TRA TECH'!$J:$J,'TRA TECH'!AD:AD)))</f>
        <v>*</v>
      </c>
      <c r="AB72" t="str">
        <f t="shared" si="8"/>
        <v>*</v>
      </c>
      <c r="AC72" s="15" t="str">
        <f>IF(H72="*","*",IF(_xlfn.XLOOKUP($H72,'TRA TECH'!$J:$J,'TRA TECH'!AE:AE)="","",_xlfn.XLOOKUP($H72,'TRA TECH'!$J:$J,'TRA TECH'!AE:AE)))</f>
        <v>*</v>
      </c>
      <c r="AD72" s="15" t="str">
        <f>IF(H72="*","*",IF(_xlfn.XLOOKUP($H72,'TRA TECH'!$J:$J,'TRA TECH'!AF:AF)="","",_xlfn.XLOOKUP($H72,'TRA TECH'!$J:$J,'TRA TECH'!AF:AF)))</f>
        <v>*</v>
      </c>
      <c r="AE72" s="15" t="str">
        <f>IF(H72="*","*",IF(_xlfn.XLOOKUP($H72,'TRA TECH'!$J:$J,'TRA TECH'!AG:AG)="","",_xlfn.XLOOKUP($H72,'TRA TECH'!$J:$J,'TRA TECH'!AG:AG)))</f>
        <v>*</v>
      </c>
      <c r="AF72" s="15" t="str">
        <f>IF(H72="*","*",IF(_xlfn.XLOOKUP($H72,'TRA TECH'!$J:$J,'TRA TECH'!AH:AH)="","",_xlfn.XLOOKUP($H72,'TRA TECH'!$J:$J,'TRA TECH'!AH:AH)))</f>
        <v>*</v>
      </c>
      <c r="AG72" s="15" t="str">
        <f>IF(H72="*","*",IF(_xlfn.XLOOKUP($H72,'TRA TECH'!$J:$J,'TRA TECH'!AI:AI)="","",_xlfn.XLOOKUP($H72,'TRA TECH'!$J:$J,'TRA TECH'!AI:AI)))</f>
        <v>*</v>
      </c>
      <c r="AH72" s="15" t="str">
        <f>IF(H72="*","*",IF(_xlfn.XLOOKUP($H72,'TRA TECH'!$J:$J,'TRA TECH'!AJ:AJ)="","",_xlfn.XLOOKUP($H72,'TRA TECH'!$J:$J,'TRA TECH'!AJ:AJ)))</f>
        <v>*</v>
      </c>
      <c r="AI72" s="15" t="str">
        <f>IF(H72="*","*",IF(_xlfn.XLOOKUP($H72,'TRA TECH'!$J:$J,'TRA TECH'!AK:AK)="","",_xlfn.XLOOKUP($H72,'TRA TECH'!$J:$J,'TRA TECH'!AK:AK)))</f>
        <v>*</v>
      </c>
      <c r="AJ72" s="15" t="str">
        <f t="shared" si="9"/>
        <v>*</v>
      </c>
      <c r="AK72" s="16" t="str">
        <f t="shared" si="10"/>
        <v>*</v>
      </c>
    </row>
    <row r="73" spans="2:37" x14ac:dyDescent="0.25">
      <c r="B73" t="str">
        <f>IF('TRA TECH'!M69=0,"*",IF('TRA TECH'!H69="","*",'TRA TECH'!J69))</f>
        <v>TRAPASMOTHEVGSL20</v>
      </c>
      <c r="C73" t="str">
        <f>IF('TRA TECH'!M69=0,"*",'TRA TECH'!H69)</f>
        <v>TRAGSL</v>
      </c>
      <c r="D73" t="s">
        <v>424</v>
      </c>
      <c r="E73" s="9">
        <f>'TRA TECH'!P69</f>
        <v>1</v>
      </c>
      <c r="H73" t="str">
        <f>IF('TRA TECH'!M69=1,IF('TRA TECH'!L69=1,'TRA TECH'!J69,"*"),"*")</f>
        <v>TRAPASMOTHEVGSL20</v>
      </c>
      <c r="I73" t="str">
        <f>IF(H73="*","*",_xlfn.XLOOKUP(H73,'TRA TECH'!J:J,'TRA TECH'!I:I))</f>
        <v>TRAPASMOTDMD</v>
      </c>
      <c r="J73">
        <f>IF(H73="*","*",_xlfn.XLOOKUP(H73,'TRA TECH'!J:J,'TRA TECH'!N:N))</f>
        <v>2020</v>
      </c>
      <c r="K73" s="15">
        <f>IF(H73="*","*",IF(_xlfn.XLOOKUP(H73,'TRA TECH'!J:J,'TRA TECH'!O:O)="","",_xlfn.XLOOKUP(H73,'TRA TECH'!J:J,'TRA TECH'!O:O)))</f>
        <v>85.500534378339864</v>
      </c>
      <c r="L73">
        <f t="shared" si="6"/>
        <v>1</v>
      </c>
      <c r="M73">
        <f>IF(H73="*","*",IF(_xlfn.XLOOKUP($H73,'TRA TECH'!$J:$J,'TRA TECH'!Q:Q)="","",_xlfn.XLOOKUP($H73,'TRA TECH'!$J:$J,'TRA TECH'!Q:Q)))</f>
        <v>0.40724415430267091</v>
      </c>
      <c r="N73">
        <f>IF(H73="*","*",IF(_xlfn.XLOOKUP($H73,'TRA TECH'!$J:$J,'TRA TECH'!R:R)="","",_xlfn.XLOOKUP($H73,'TRA TECH'!$J:$J,'TRA TECH'!R:R)))</f>
        <v>0.39928498516320488</v>
      </c>
      <c r="O73">
        <f>IF(H73="*","*",IF(_xlfn.XLOOKUP($H73,'TRA TECH'!$J:$J,'TRA TECH'!S:S)="","",_xlfn.XLOOKUP($H73,'TRA TECH'!$J:$J,'TRA TECH'!S:S)))</f>
        <v>0.46428486646884271</v>
      </c>
      <c r="P73">
        <f>IF(H73="*","*",IF(_xlfn.XLOOKUP($H73,'TRA TECH'!$J:$J,'TRA TECH'!T:T)="","",_xlfn.XLOOKUP($H73,'TRA TECH'!$J:$J,'TRA TECH'!T:T)))</f>
        <v>0.51071335311572696</v>
      </c>
      <c r="Q73">
        <f>IF(H73="*","*",IF(_xlfn.XLOOKUP($H73,'TRA TECH'!$J:$J,'TRA TECH'!U:U)="","",_xlfn.XLOOKUP($H73,'TRA TECH'!$J:$J,'TRA TECH'!U:U)))</f>
        <v>0.53591738872403571</v>
      </c>
      <c r="R73">
        <f>IF(H73="*","*",IF(_xlfn.XLOOKUP($H73,'TRA TECH'!$J:$J,'TRA TECH'!V:V)="","",_xlfn.XLOOKUP($H73,'TRA TECH'!$J:$J,'TRA TECH'!V:V)))</f>
        <v>0.56112142433234391</v>
      </c>
      <c r="S73">
        <f>IF(H73="*","*",IF(_xlfn.XLOOKUP($H73,'TRA TECH'!$J:$J,'TRA TECH'!W:W)="","",_xlfn.XLOOKUP($H73,'TRA TECH'!$J:$J,'TRA TECH'!W:W)))</f>
        <v>0.58765198813056352</v>
      </c>
      <c r="T73">
        <f t="shared" si="7"/>
        <v>0.58765198813056352</v>
      </c>
      <c r="U73">
        <f>IF(H73="*","*",IF(_xlfn.XLOOKUP($H73,'TRA TECH'!$J:$J,'TRA TECH'!X:X)="","",_xlfn.XLOOKUP($H73,'TRA TECH'!$J:$J,'TRA TECH'!X:X)))</f>
        <v>138.7021377536428</v>
      </c>
      <c r="V73">
        <f>IF(H73="*","*",IF(_xlfn.XLOOKUP($H73,'TRA TECH'!$J:$J,'TRA TECH'!Y:Y)="","",_xlfn.XLOOKUP($H73,'TRA TECH'!$J:$J,'TRA TECH'!Y:Y)))</f>
        <v>137.99084473952149</v>
      </c>
      <c r="W73">
        <f>IF(H73="*","*",IF(_xlfn.XLOOKUP($H73,'TRA TECH'!$J:$J,'TRA TECH'!Z:Z)="","",_xlfn.XLOOKUP($H73,'TRA TECH'!$J:$J,'TRA TECH'!Z:Z)))</f>
        <v>141.54730981012759</v>
      </c>
      <c r="X73">
        <f>IF(H73="*","*",IF(_xlfn.XLOOKUP($H73,'TRA TECH'!$J:$J,'TRA TECH'!AA:AA)="","",_xlfn.XLOOKUP($H73,'TRA TECH'!$J:$J,'TRA TECH'!AA:AA)))</f>
        <v>147.94894693721901</v>
      </c>
      <c r="Y73">
        <f>IF(H73="*","*",IF(_xlfn.XLOOKUP($H73,'TRA TECH'!$J:$J,'TRA TECH'!AB:AB)="","",_xlfn.XLOOKUP($H73,'TRA TECH'!$J:$J,'TRA TECH'!AB:AB)))</f>
        <v>147.23765392309761</v>
      </c>
      <c r="Z73">
        <f>IF(H73="*","*",IF(_xlfn.XLOOKUP($H73,'TRA TECH'!$J:$J,'TRA TECH'!AC:AC)="","",_xlfn.XLOOKUP($H73,'TRA TECH'!$J:$J,'TRA TECH'!AC:AC)))</f>
        <v>147.23765392309761</v>
      </c>
      <c r="AA73">
        <f>IF(H73="*","*",IF(_xlfn.XLOOKUP($H73,'TRA TECH'!$J:$J,'TRA TECH'!AD:AD)="","",_xlfn.XLOOKUP($H73,'TRA TECH'!$J:$J,'TRA TECH'!AD:AD)))</f>
        <v>146.5263609089765</v>
      </c>
      <c r="AB73">
        <f t="shared" si="8"/>
        <v>146.5263609089765</v>
      </c>
      <c r="AC73" s="15">
        <f>IF(H73="*","*",IF(_xlfn.XLOOKUP($H73,'TRA TECH'!$J:$J,'TRA TECH'!AE:AE)="","",_xlfn.XLOOKUP($H73,'TRA TECH'!$J:$J,'TRA TECH'!AE:AE)))</f>
        <v>0.97334225168618782</v>
      </c>
      <c r="AD73" s="15">
        <f>IF(H73="*","*",IF(_xlfn.XLOOKUP($H73,'TRA TECH'!$J:$J,'TRA TECH'!AF:AF)="","",_xlfn.XLOOKUP($H73,'TRA TECH'!$J:$J,'TRA TECH'!AF:AF)))</f>
        <v>0.97334225168618782</v>
      </c>
      <c r="AE73" s="15">
        <f>IF(H73="*","*",IF(_xlfn.XLOOKUP($H73,'TRA TECH'!$J:$J,'TRA TECH'!AG:AG)="","",_xlfn.XLOOKUP($H73,'TRA TECH'!$J:$J,'TRA TECH'!AG:AG)))</f>
        <v>0.97334225168618782</v>
      </c>
      <c r="AF73" s="15">
        <f>IF(H73="*","*",IF(_xlfn.XLOOKUP($H73,'TRA TECH'!$J:$J,'TRA TECH'!AH:AH)="","",_xlfn.XLOOKUP($H73,'TRA TECH'!$J:$J,'TRA TECH'!AH:AH)))</f>
        <v>0.97334225168618782</v>
      </c>
      <c r="AG73" s="15">
        <f>IF(H73="*","*",IF(_xlfn.XLOOKUP($H73,'TRA TECH'!$J:$J,'TRA TECH'!AI:AI)="","",_xlfn.XLOOKUP($H73,'TRA TECH'!$J:$J,'TRA TECH'!AI:AI)))</f>
        <v>0.97334225168618782</v>
      </c>
      <c r="AH73" s="15">
        <f>IF(H73="*","*",IF(_xlfn.XLOOKUP($H73,'TRA TECH'!$J:$J,'TRA TECH'!AJ:AJ)="","",_xlfn.XLOOKUP($H73,'TRA TECH'!$J:$J,'TRA TECH'!AJ:AJ)))</f>
        <v>0.97334225168618782</v>
      </c>
      <c r="AI73" s="15">
        <f>IF(H73="*","*",IF(_xlfn.XLOOKUP($H73,'TRA TECH'!$J:$J,'TRA TECH'!AK:AK)="","",_xlfn.XLOOKUP($H73,'TRA TECH'!$J:$J,'TRA TECH'!AK:AK)))</f>
        <v>0.97334225168618782</v>
      </c>
      <c r="AJ73" s="15">
        <f t="shared" si="9"/>
        <v>0.97334225168618782</v>
      </c>
      <c r="AK73" s="16">
        <f t="shared" si="10"/>
        <v>0.25</v>
      </c>
    </row>
    <row r="74" spans="2:37" x14ac:dyDescent="0.25">
      <c r="B74" t="str">
        <f>IF('TRA TECH'!M70=0,"*",IF('TRA TECH'!H70="","*",'TRA TECH'!J70))</f>
        <v>TRAPASMOTHEVGSL20</v>
      </c>
      <c r="C74" t="str">
        <f>IF('TRA TECH'!M70=0,"*",'TRA TECH'!H70)</f>
        <v>TRAETH</v>
      </c>
      <c r="D74" t="s">
        <v>424</v>
      </c>
      <c r="E74" s="9">
        <f>'TRA TECH'!P70</f>
        <v>0.1</v>
      </c>
      <c r="H74" t="str">
        <f>IF('TRA TECH'!M70=1,IF('TRA TECH'!L70=1,'TRA TECH'!J70,"*"),"*")</f>
        <v>*</v>
      </c>
      <c r="I74" t="str">
        <f>IF(H74="*","*",_xlfn.XLOOKUP(H74,'TRA TECH'!J:J,'TRA TECH'!I:I))</f>
        <v>*</v>
      </c>
      <c r="J74" t="str">
        <f>IF(H74="*","*",_xlfn.XLOOKUP(H74,'TRA TECH'!J:J,'TRA TECH'!N:N))</f>
        <v>*</v>
      </c>
      <c r="K74" s="15" t="str">
        <f>IF(H74="*","*",IF(_xlfn.XLOOKUP(H74,'TRA TECH'!J:J,'TRA TECH'!O:O)="","",_xlfn.XLOOKUP(H74,'TRA TECH'!J:J,'TRA TECH'!O:O)))</f>
        <v>*</v>
      </c>
      <c r="L74" t="str">
        <f t="shared" si="6"/>
        <v>*</v>
      </c>
      <c r="M74" t="str">
        <f>IF(H74="*","*",IF(_xlfn.XLOOKUP($H74,'TRA TECH'!$J:$J,'TRA TECH'!Q:Q)="","",_xlfn.XLOOKUP($H74,'TRA TECH'!$J:$J,'TRA TECH'!Q:Q)))</f>
        <v>*</v>
      </c>
      <c r="N74" t="str">
        <f>IF(H74="*","*",IF(_xlfn.XLOOKUP($H74,'TRA TECH'!$J:$J,'TRA TECH'!R:R)="","",_xlfn.XLOOKUP($H74,'TRA TECH'!$J:$J,'TRA TECH'!R:R)))</f>
        <v>*</v>
      </c>
      <c r="O74" t="str">
        <f>IF(H74="*","*",IF(_xlfn.XLOOKUP($H74,'TRA TECH'!$J:$J,'TRA TECH'!S:S)="","",_xlfn.XLOOKUP($H74,'TRA TECH'!$J:$J,'TRA TECH'!S:S)))</f>
        <v>*</v>
      </c>
      <c r="P74" t="str">
        <f>IF(H74="*","*",IF(_xlfn.XLOOKUP($H74,'TRA TECH'!$J:$J,'TRA TECH'!T:T)="","",_xlfn.XLOOKUP($H74,'TRA TECH'!$J:$J,'TRA TECH'!T:T)))</f>
        <v>*</v>
      </c>
      <c r="Q74" t="str">
        <f>IF(H74="*","*",IF(_xlfn.XLOOKUP($H74,'TRA TECH'!$J:$J,'TRA TECH'!U:U)="","",_xlfn.XLOOKUP($H74,'TRA TECH'!$J:$J,'TRA TECH'!U:U)))</f>
        <v>*</v>
      </c>
      <c r="R74" t="str">
        <f>IF(H74="*","*",IF(_xlfn.XLOOKUP($H74,'TRA TECH'!$J:$J,'TRA TECH'!V:V)="","",_xlfn.XLOOKUP($H74,'TRA TECH'!$J:$J,'TRA TECH'!V:V)))</f>
        <v>*</v>
      </c>
      <c r="S74" t="str">
        <f>IF(H74="*","*",IF(_xlfn.XLOOKUP($H74,'TRA TECH'!$J:$J,'TRA TECH'!W:W)="","",_xlfn.XLOOKUP($H74,'TRA TECH'!$J:$J,'TRA TECH'!W:W)))</f>
        <v>*</v>
      </c>
      <c r="T74" t="str">
        <f t="shared" si="7"/>
        <v>*</v>
      </c>
      <c r="U74" t="str">
        <f>IF(H74="*","*",IF(_xlfn.XLOOKUP($H74,'TRA TECH'!$J:$J,'TRA TECH'!X:X)="","",_xlfn.XLOOKUP($H74,'TRA TECH'!$J:$J,'TRA TECH'!X:X)))</f>
        <v>*</v>
      </c>
      <c r="V74" t="str">
        <f>IF(H74="*","*",IF(_xlfn.XLOOKUP($H74,'TRA TECH'!$J:$J,'TRA TECH'!Y:Y)="","",_xlfn.XLOOKUP($H74,'TRA TECH'!$J:$J,'TRA TECH'!Y:Y)))</f>
        <v>*</v>
      </c>
      <c r="W74" t="str">
        <f>IF(H74="*","*",IF(_xlfn.XLOOKUP($H74,'TRA TECH'!$J:$J,'TRA TECH'!Z:Z)="","",_xlfn.XLOOKUP($H74,'TRA TECH'!$J:$J,'TRA TECH'!Z:Z)))</f>
        <v>*</v>
      </c>
      <c r="X74" t="str">
        <f>IF(H74="*","*",IF(_xlfn.XLOOKUP($H74,'TRA TECH'!$J:$J,'TRA TECH'!AA:AA)="","",_xlfn.XLOOKUP($H74,'TRA TECH'!$J:$J,'TRA TECH'!AA:AA)))</f>
        <v>*</v>
      </c>
      <c r="Y74" t="str">
        <f>IF(H74="*","*",IF(_xlfn.XLOOKUP($H74,'TRA TECH'!$J:$J,'TRA TECH'!AB:AB)="","",_xlfn.XLOOKUP($H74,'TRA TECH'!$J:$J,'TRA TECH'!AB:AB)))</f>
        <v>*</v>
      </c>
      <c r="Z74" t="str">
        <f>IF(H74="*","*",IF(_xlfn.XLOOKUP($H74,'TRA TECH'!$J:$J,'TRA TECH'!AC:AC)="","",_xlfn.XLOOKUP($H74,'TRA TECH'!$J:$J,'TRA TECH'!AC:AC)))</f>
        <v>*</v>
      </c>
      <c r="AA74" t="str">
        <f>IF(H74="*","*",IF(_xlfn.XLOOKUP($H74,'TRA TECH'!$J:$J,'TRA TECH'!AD:AD)="","",_xlfn.XLOOKUP($H74,'TRA TECH'!$J:$J,'TRA TECH'!AD:AD)))</f>
        <v>*</v>
      </c>
      <c r="AB74" t="str">
        <f t="shared" si="8"/>
        <v>*</v>
      </c>
      <c r="AC74" s="15" t="str">
        <f>IF(H74="*","*",IF(_xlfn.XLOOKUP($H74,'TRA TECH'!$J:$J,'TRA TECH'!AE:AE)="","",_xlfn.XLOOKUP($H74,'TRA TECH'!$J:$J,'TRA TECH'!AE:AE)))</f>
        <v>*</v>
      </c>
      <c r="AD74" s="15" t="str">
        <f>IF(H74="*","*",IF(_xlfn.XLOOKUP($H74,'TRA TECH'!$J:$J,'TRA TECH'!AF:AF)="","",_xlfn.XLOOKUP($H74,'TRA TECH'!$J:$J,'TRA TECH'!AF:AF)))</f>
        <v>*</v>
      </c>
      <c r="AE74" s="15" t="str">
        <f>IF(H74="*","*",IF(_xlfn.XLOOKUP($H74,'TRA TECH'!$J:$J,'TRA TECH'!AG:AG)="","",_xlfn.XLOOKUP($H74,'TRA TECH'!$J:$J,'TRA TECH'!AG:AG)))</f>
        <v>*</v>
      </c>
      <c r="AF74" s="15" t="str">
        <f>IF(H74="*","*",IF(_xlfn.XLOOKUP($H74,'TRA TECH'!$J:$J,'TRA TECH'!AH:AH)="","",_xlfn.XLOOKUP($H74,'TRA TECH'!$J:$J,'TRA TECH'!AH:AH)))</f>
        <v>*</v>
      </c>
      <c r="AG74" s="15" t="str">
        <f>IF(H74="*","*",IF(_xlfn.XLOOKUP($H74,'TRA TECH'!$J:$J,'TRA TECH'!AI:AI)="","",_xlfn.XLOOKUP($H74,'TRA TECH'!$J:$J,'TRA TECH'!AI:AI)))</f>
        <v>*</v>
      </c>
      <c r="AH74" s="15" t="str">
        <f>IF(H74="*","*",IF(_xlfn.XLOOKUP($H74,'TRA TECH'!$J:$J,'TRA TECH'!AJ:AJ)="","",_xlfn.XLOOKUP($H74,'TRA TECH'!$J:$J,'TRA TECH'!AJ:AJ)))</f>
        <v>*</v>
      </c>
      <c r="AI74" s="15" t="str">
        <f>IF(H74="*","*",IF(_xlfn.XLOOKUP($H74,'TRA TECH'!$J:$J,'TRA TECH'!AK:AK)="","",_xlfn.XLOOKUP($H74,'TRA TECH'!$J:$J,'TRA TECH'!AK:AK)))</f>
        <v>*</v>
      </c>
      <c r="AJ74" s="15" t="str">
        <f t="shared" si="9"/>
        <v>*</v>
      </c>
      <c r="AK74" s="16" t="str">
        <f t="shared" si="10"/>
        <v>*</v>
      </c>
    </row>
    <row r="75" spans="2:37" x14ac:dyDescent="0.25">
      <c r="B75" t="str">
        <f>IF('TRA TECH'!M71=0,"*",IF('TRA TECH'!H71="","*",'TRA TECH'!J71))</f>
        <v>TRAPASMOTHEVTGSL20</v>
      </c>
      <c r="C75" t="str">
        <f>IF('TRA TECH'!M71=0,"*",'TRA TECH'!H71)</f>
        <v>TRAGSL</v>
      </c>
      <c r="D75" t="s">
        <v>424</v>
      </c>
      <c r="E75" s="9">
        <f>'TRA TECH'!P71</f>
        <v>1</v>
      </c>
      <c r="H75" t="str">
        <f>IF('TRA TECH'!M71=1,IF('TRA TECH'!L71=1,'TRA TECH'!J71,"*"),"*")</f>
        <v>TRAPASMOTHEVTGSL20</v>
      </c>
      <c r="I75" t="str">
        <f>IF(H75="*","*",_xlfn.XLOOKUP(H75,'TRA TECH'!J:J,'TRA TECH'!I:I))</f>
        <v>TRAPASMOTDMD</v>
      </c>
      <c r="J75">
        <f>IF(H75="*","*",_xlfn.XLOOKUP(H75,'TRA TECH'!J:J,'TRA TECH'!N:N))</f>
        <v>2020</v>
      </c>
      <c r="K75" s="15">
        <f>IF(H75="*","*",IF(_xlfn.XLOOKUP(H75,'TRA TECH'!J:J,'TRA TECH'!O:O)="","",_xlfn.XLOOKUP(H75,'TRA TECH'!J:J,'TRA TECH'!O:O)))</f>
        <v>85.500534378339864</v>
      </c>
      <c r="L75">
        <f t="shared" si="6"/>
        <v>1</v>
      </c>
      <c r="M75">
        <f>IF(H75="*","*",IF(_xlfn.XLOOKUP($H75,'TRA TECH'!$J:$J,'TRA TECH'!Q:Q)="","",_xlfn.XLOOKUP($H75,'TRA TECH'!$J:$J,'TRA TECH'!Q:Q)))</f>
        <v>0.44571347181008908</v>
      </c>
      <c r="N75">
        <f>IF(H75="*","*",IF(_xlfn.XLOOKUP($H75,'TRA TECH'!$J:$J,'TRA TECH'!R:R)="","",_xlfn.XLOOKUP($H75,'TRA TECH'!$J:$J,'TRA TECH'!R:R)))</f>
        <v>0.44173388724035578</v>
      </c>
      <c r="O75">
        <f>IF(H75="*","*",IF(_xlfn.XLOOKUP($H75,'TRA TECH'!$J:$J,'TRA TECH'!S:S)="","",_xlfn.XLOOKUP($H75,'TRA TECH'!$J:$J,'TRA TECH'!S:S)))</f>
        <v>0.49744807121661722</v>
      </c>
      <c r="P75">
        <f>IF(H75="*","*",IF(_xlfn.XLOOKUP($H75,'TRA TECH'!$J:$J,'TRA TECH'!T:T)="","",_xlfn.XLOOKUP($H75,'TRA TECH'!$J:$J,'TRA TECH'!T:T)))</f>
        <v>0.54122350148367915</v>
      </c>
      <c r="Q75">
        <f>IF(H75="*","*",IF(_xlfn.XLOOKUP($H75,'TRA TECH'!$J:$J,'TRA TECH'!U:U)="","",_xlfn.XLOOKUP($H75,'TRA TECH'!$J:$J,'TRA TECH'!U:U)))</f>
        <v>0.57040712166172114</v>
      </c>
      <c r="R75">
        <f>IF(H75="*","*",IF(_xlfn.XLOOKUP($H75,'TRA TECH'!$J:$J,'TRA TECH'!V:V)="","",_xlfn.XLOOKUP($H75,'TRA TECH'!$J:$J,'TRA TECH'!V:V)))</f>
        <v>0.60091727002967321</v>
      </c>
      <c r="S75">
        <f>IF(H75="*","*",IF(_xlfn.XLOOKUP($H75,'TRA TECH'!$J:$J,'TRA TECH'!W:W)="","",_xlfn.XLOOKUP($H75,'TRA TECH'!$J:$J,'TRA TECH'!W:W)))</f>
        <v>0.63142741839762584</v>
      </c>
      <c r="T75">
        <f t="shared" si="7"/>
        <v>0.63142741839762584</v>
      </c>
      <c r="U75">
        <f>IF(H75="*","*",IF(_xlfn.XLOOKUP($H75,'TRA TECH'!$J:$J,'TRA TECH'!X:X)="","",_xlfn.XLOOKUP($H75,'TRA TECH'!$J:$J,'TRA TECH'!X:X)))</f>
        <v>146.5263609089765</v>
      </c>
      <c r="V75">
        <f>IF(H75="*","*",IF(_xlfn.XLOOKUP($H75,'TRA TECH'!$J:$J,'TRA TECH'!Y:Y)="","",_xlfn.XLOOKUP($H75,'TRA TECH'!$J:$J,'TRA TECH'!Y:Y)))</f>
        <v>145.10377488073391</v>
      </c>
      <c r="W75">
        <f>IF(H75="*","*",IF(_xlfn.XLOOKUP($H75,'TRA TECH'!$J:$J,'TRA TECH'!Z:Z)="","",_xlfn.XLOOKUP($H75,'TRA TECH'!$J:$J,'TRA TECH'!Z:Z)))</f>
        <v>147.94894693721901</v>
      </c>
      <c r="X75">
        <f>IF(H75="*","*",IF(_xlfn.XLOOKUP($H75,'TRA TECH'!$J:$J,'TRA TECH'!AA:AA)="","",_xlfn.XLOOKUP($H75,'TRA TECH'!$J:$J,'TRA TECH'!AA:AA)))</f>
        <v>154.35058406431</v>
      </c>
      <c r="Y75">
        <f>IF(H75="*","*",IF(_xlfn.XLOOKUP($H75,'TRA TECH'!$J:$J,'TRA TECH'!AB:AB)="","",_xlfn.XLOOKUP($H75,'TRA TECH'!$J:$J,'TRA TECH'!AB:AB)))</f>
        <v>154.35058406431</v>
      </c>
      <c r="Z75">
        <f>IF(H75="*","*",IF(_xlfn.XLOOKUP($H75,'TRA TECH'!$J:$J,'TRA TECH'!AC:AC)="","",_xlfn.XLOOKUP($H75,'TRA TECH'!$J:$J,'TRA TECH'!AC:AC)))</f>
        <v>153.63929105018889</v>
      </c>
      <c r="AA75">
        <f>IF(H75="*","*",IF(_xlfn.XLOOKUP($H75,'TRA TECH'!$J:$J,'TRA TECH'!AD:AD)="","",_xlfn.XLOOKUP($H75,'TRA TECH'!$J:$J,'TRA TECH'!AD:AD)))</f>
        <v>153.63929105018889</v>
      </c>
      <c r="AB75">
        <f t="shared" si="8"/>
        <v>153.63929105018889</v>
      </c>
      <c r="AC75" s="15">
        <f>IF(H75="*","*",IF(_xlfn.XLOOKUP($H75,'TRA TECH'!$J:$J,'TRA TECH'!AE:AE)="","",_xlfn.XLOOKUP($H75,'TRA TECH'!$J:$J,'TRA TECH'!AE:AE)))</f>
        <v>0.97334225168618782</v>
      </c>
      <c r="AD75" s="15">
        <f>IF(H75="*","*",IF(_xlfn.XLOOKUP($H75,'TRA TECH'!$J:$J,'TRA TECH'!AF:AF)="","",_xlfn.XLOOKUP($H75,'TRA TECH'!$J:$J,'TRA TECH'!AF:AF)))</f>
        <v>0.97334225168618782</v>
      </c>
      <c r="AE75" s="15">
        <f>IF(H75="*","*",IF(_xlfn.XLOOKUP($H75,'TRA TECH'!$J:$J,'TRA TECH'!AG:AG)="","",_xlfn.XLOOKUP($H75,'TRA TECH'!$J:$J,'TRA TECH'!AG:AG)))</f>
        <v>0.97334225168618782</v>
      </c>
      <c r="AF75" s="15">
        <f>IF(H75="*","*",IF(_xlfn.XLOOKUP($H75,'TRA TECH'!$J:$J,'TRA TECH'!AH:AH)="","",_xlfn.XLOOKUP($H75,'TRA TECH'!$J:$J,'TRA TECH'!AH:AH)))</f>
        <v>0.97334225168618782</v>
      </c>
      <c r="AG75" s="15">
        <f>IF(H75="*","*",IF(_xlfn.XLOOKUP($H75,'TRA TECH'!$J:$J,'TRA TECH'!AI:AI)="","",_xlfn.XLOOKUP($H75,'TRA TECH'!$J:$J,'TRA TECH'!AI:AI)))</f>
        <v>0.97334225168618782</v>
      </c>
      <c r="AH75" s="15">
        <f>IF(H75="*","*",IF(_xlfn.XLOOKUP($H75,'TRA TECH'!$J:$J,'TRA TECH'!AJ:AJ)="","",_xlfn.XLOOKUP($H75,'TRA TECH'!$J:$J,'TRA TECH'!AJ:AJ)))</f>
        <v>0.97334225168618782</v>
      </c>
      <c r="AI75" s="15">
        <f>IF(H75="*","*",IF(_xlfn.XLOOKUP($H75,'TRA TECH'!$J:$J,'TRA TECH'!AK:AK)="","",_xlfn.XLOOKUP($H75,'TRA TECH'!$J:$J,'TRA TECH'!AK:AK)))</f>
        <v>0.97334225168618782</v>
      </c>
      <c r="AJ75" s="15">
        <f t="shared" si="9"/>
        <v>0.97334225168618782</v>
      </c>
      <c r="AK75" s="16">
        <f t="shared" si="10"/>
        <v>0.25</v>
      </c>
    </row>
    <row r="76" spans="2:37" x14ac:dyDescent="0.25">
      <c r="B76" t="str">
        <f>IF('TRA TECH'!M72=0,"*",IF('TRA TECH'!H72="","*",'TRA TECH'!J72))</f>
        <v>TRAPASMOTHEVTGSL20</v>
      </c>
      <c r="C76" t="str">
        <f>IF('TRA TECH'!M72=0,"*",'TRA TECH'!H72)</f>
        <v>TRAETH</v>
      </c>
      <c r="D76" t="s">
        <v>424</v>
      </c>
      <c r="E76" s="9">
        <f>'TRA TECH'!P72</f>
        <v>0.1</v>
      </c>
      <c r="H76" t="str">
        <f>IF('TRA TECH'!M72=1,IF('TRA TECH'!L72=1,'TRA TECH'!J72,"*"),"*")</f>
        <v>*</v>
      </c>
      <c r="I76" t="str">
        <f>IF(H76="*","*",_xlfn.XLOOKUP(H76,'TRA TECH'!J:J,'TRA TECH'!I:I))</f>
        <v>*</v>
      </c>
      <c r="J76" t="str">
        <f>IF(H76="*","*",_xlfn.XLOOKUP(H76,'TRA TECH'!J:J,'TRA TECH'!N:N))</f>
        <v>*</v>
      </c>
      <c r="K76" s="15" t="str">
        <f>IF(H76="*","*",IF(_xlfn.XLOOKUP(H76,'TRA TECH'!J:J,'TRA TECH'!O:O)="","",_xlfn.XLOOKUP(H76,'TRA TECH'!J:J,'TRA TECH'!O:O)))</f>
        <v>*</v>
      </c>
      <c r="L76" t="str">
        <f t="shared" si="6"/>
        <v>*</v>
      </c>
      <c r="M76" t="str">
        <f>IF(H76="*","*",IF(_xlfn.XLOOKUP($H76,'TRA TECH'!$J:$J,'TRA TECH'!Q:Q)="","",_xlfn.XLOOKUP($H76,'TRA TECH'!$J:$J,'TRA TECH'!Q:Q)))</f>
        <v>*</v>
      </c>
      <c r="N76" t="str">
        <f>IF(H76="*","*",IF(_xlfn.XLOOKUP($H76,'TRA TECH'!$J:$J,'TRA TECH'!R:R)="","",_xlfn.XLOOKUP($H76,'TRA TECH'!$J:$J,'TRA TECH'!R:R)))</f>
        <v>*</v>
      </c>
      <c r="O76" t="str">
        <f>IF(H76="*","*",IF(_xlfn.XLOOKUP($H76,'TRA TECH'!$J:$J,'TRA TECH'!S:S)="","",_xlfn.XLOOKUP($H76,'TRA TECH'!$J:$J,'TRA TECH'!S:S)))</f>
        <v>*</v>
      </c>
      <c r="P76" t="str">
        <f>IF(H76="*","*",IF(_xlfn.XLOOKUP($H76,'TRA TECH'!$J:$J,'TRA TECH'!T:T)="","",_xlfn.XLOOKUP($H76,'TRA TECH'!$J:$J,'TRA TECH'!T:T)))</f>
        <v>*</v>
      </c>
      <c r="Q76" t="str">
        <f>IF(H76="*","*",IF(_xlfn.XLOOKUP($H76,'TRA TECH'!$J:$J,'TRA TECH'!U:U)="","",_xlfn.XLOOKUP($H76,'TRA TECH'!$J:$J,'TRA TECH'!U:U)))</f>
        <v>*</v>
      </c>
      <c r="R76" t="str">
        <f>IF(H76="*","*",IF(_xlfn.XLOOKUP($H76,'TRA TECH'!$J:$J,'TRA TECH'!V:V)="","",_xlfn.XLOOKUP($H76,'TRA TECH'!$J:$J,'TRA TECH'!V:V)))</f>
        <v>*</v>
      </c>
      <c r="S76" t="str">
        <f>IF(H76="*","*",IF(_xlfn.XLOOKUP($H76,'TRA TECH'!$J:$J,'TRA TECH'!W:W)="","",_xlfn.XLOOKUP($H76,'TRA TECH'!$J:$J,'TRA TECH'!W:W)))</f>
        <v>*</v>
      </c>
      <c r="T76" t="str">
        <f t="shared" si="7"/>
        <v>*</v>
      </c>
      <c r="U76" t="str">
        <f>IF(H76="*","*",IF(_xlfn.XLOOKUP($H76,'TRA TECH'!$J:$J,'TRA TECH'!X:X)="","",_xlfn.XLOOKUP($H76,'TRA TECH'!$J:$J,'TRA TECH'!X:X)))</f>
        <v>*</v>
      </c>
      <c r="V76" t="str">
        <f>IF(H76="*","*",IF(_xlfn.XLOOKUP($H76,'TRA TECH'!$J:$J,'TRA TECH'!Y:Y)="","",_xlfn.XLOOKUP($H76,'TRA TECH'!$J:$J,'TRA TECH'!Y:Y)))</f>
        <v>*</v>
      </c>
      <c r="W76" t="str">
        <f>IF(H76="*","*",IF(_xlfn.XLOOKUP($H76,'TRA TECH'!$J:$J,'TRA TECH'!Z:Z)="","",_xlfn.XLOOKUP($H76,'TRA TECH'!$J:$J,'TRA TECH'!Z:Z)))</f>
        <v>*</v>
      </c>
      <c r="X76" t="str">
        <f>IF(H76="*","*",IF(_xlfn.XLOOKUP($H76,'TRA TECH'!$J:$J,'TRA TECH'!AA:AA)="","",_xlfn.XLOOKUP($H76,'TRA TECH'!$J:$J,'TRA TECH'!AA:AA)))</f>
        <v>*</v>
      </c>
      <c r="Y76" t="str">
        <f>IF(H76="*","*",IF(_xlfn.XLOOKUP($H76,'TRA TECH'!$J:$J,'TRA TECH'!AB:AB)="","",_xlfn.XLOOKUP($H76,'TRA TECH'!$J:$J,'TRA TECH'!AB:AB)))</f>
        <v>*</v>
      </c>
      <c r="Z76" t="str">
        <f>IF(H76="*","*",IF(_xlfn.XLOOKUP($H76,'TRA TECH'!$J:$J,'TRA TECH'!AC:AC)="","",_xlfn.XLOOKUP($H76,'TRA TECH'!$J:$J,'TRA TECH'!AC:AC)))</f>
        <v>*</v>
      </c>
      <c r="AA76" t="str">
        <f>IF(H76="*","*",IF(_xlfn.XLOOKUP($H76,'TRA TECH'!$J:$J,'TRA TECH'!AD:AD)="","",_xlfn.XLOOKUP($H76,'TRA TECH'!$J:$J,'TRA TECH'!AD:AD)))</f>
        <v>*</v>
      </c>
      <c r="AB76" t="str">
        <f t="shared" si="8"/>
        <v>*</v>
      </c>
      <c r="AC76" s="15" t="str">
        <f>IF(H76="*","*",IF(_xlfn.XLOOKUP($H76,'TRA TECH'!$J:$J,'TRA TECH'!AE:AE)="","",_xlfn.XLOOKUP($H76,'TRA TECH'!$J:$J,'TRA TECH'!AE:AE)))</f>
        <v>*</v>
      </c>
      <c r="AD76" s="15" t="str">
        <f>IF(H76="*","*",IF(_xlfn.XLOOKUP($H76,'TRA TECH'!$J:$J,'TRA TECH'!AF:AF)="","",_xlfn.XLOOKUP($H76,'TRA TECH'!$J:$J,'TRA TECH'!AF:AF)))</f>
        <v>*</v>
      </c>
      <c r="AE76" s="15" t="str">
        <f>IF(H76="*","*",IF(_xlfn.XLOOKUP($H76,'TRA TECH'!$J:$J,'TRA TECH'!AG:AG)="","",_xlfn.XLOOKUP($H76,'TRA TECH'!$J:$J,'TRA TECH'!AG:AG)))</f>
        <v>*</v>
      </c>
      <c r="AF76" s="15" t="str">
        <f>IF(H76="*","*",IF(_xlfn.XLOOKUP($H76,'TRA TECH'!$J:$J,'TRA TECH'!AH:AH)="","",_xlfn.XLOOKUP($H76,'TRA TECH'!$J:$J,'TRA TECH'!AH:AH)))</f>
        <v>*</v>
      </c>
      <c r="AG76" s="15" t="str">
        <f>IF(H76="*","*",IF(_xlfn.XLOOKUP($H76,'TRA TECH'!$J:$J,'TRA TECH'!AI:AI)="","",_xlfn.XLOOKUP($H76,'TRA TECH'!$J:$J,'TRA TECH'!AI:AI)))</f>
        <v>*</v>
      </c>
      <c r="AH76" s="15" t="str">
        <f>IF(H76="*","*",IF(_xlfn.XLOOKUP($H76,'TRA TECH'!$J:$J,'TRA TECH'!AJ:AJ)="","",_xlfn.XLOOKUP($H76,'TRA TECH'!$J:$J,'TRA TECH'!AJ:AJ)))</f>
        <v>*</v>
      </c>
      <c r="AI76" s="15" t="str">
        <f>IF(H76="*","*",IF(_xlfn.XLOOKUP($H76,'TRA TECH'!$J:$J,'TRA TECH'!AK:AK)="","",_xlfn.XLOOKUP($H76,'TRA TECH'!$J:$J,'TRA TECH'!AK:AK)))</f>
        <v>*</v>
      </c>
      <c r="AJ76" s="15" t="str">
        <f t="shared" si="9"/>
        <v>*</v>
      </c>
      <c r="AK76" s="16" t="str">
        <f t="shared" si="10"/>
        <v>*</v>
      </c>
    </row>
    <row r="77" spans="2:37" x14ac:dyDescent="0.25">
      <c r="B77" t="str">
        <f>IF('TRA TECH'!M73=0,"*",IF('TRA TECH'!H73="","*",'TRA TECH'!J73))</f>
        <v>TRAPASMOTHEVIGSL20</v>
      </c>
      <c r="C77" t="str">
        <f>IF('TRA TECH'!M73=0,"*",'TRA TECH'!H73)</f>
        <v>TRAGSL</v>
      </c>
      <c r="D77" t="s">
        <v>424</v>
      </c>
      <c r="E77" s="9">
        <f>'TRA TECH'!P73</f>
        <v>1</v>
      </c>
      <c r="H77" t="str">
        <f>IF('TRA TECH'!M73=1,IF('TRA TECH'!L73=1,'TRA TECH'!J73,"*"),"*")</f>
        <v>TRAPASMOTHEVIGSL20</v>
      </c>
      <c r="I77" t="str">
        <f>IF(H77="*","*",_xlfn.XLOOKUP(H77,'TRA TECH'!J:J,'TRA TECH'!I:I))</f>
        <v>TRAPASMOTDMD</v>
      </c>
      <c r="J77">
        <f>IF(H77="*","*",_xlfn.XLOOKUP(H77,'TRA TECH'!J:J,'TRA TECH'!N:N))</f>
        <v>2020</v>
      </c>
      <c r="K77" s="15">
        <f>IF(H77="*","*",IF(_xlfn.XLOOKUP(H77,'TRA TECH'!J:J,'TRA TECH'!O:O)="","",_xlfn.XLOOKUP(H77,'TRA TECH'!J:J,'TRA TECH'!O:O)))</f>
        <v>85.500534378339864</v>
      </c>
      <c r="L77">
        <f t="shared" si="6"/>
        <v>1</v>
      </c>
      <c r="M77">
        <f>IF(H77="*","*",IF(_xlfn.XLOOKUP($H77,'TRA TECH'!$J:$J,'TRA TECH'!Q:Q)="","",_xlfn.XLOOKUP($H77,'TRA TECH'!$J:$J,'TRA TECH'!Q:Q)))</f>
        <v>0.4178563798219585</v>
      </c>
      <c r="N77">
        <f>IF(H77="*","*",IF(_xlfn.XLOOKUP($H77,'TRA TECH'!$J:$J,'TRA TECH'!R:R)="","",_xlfn.XLOOKUP($H77,'TRA TECH'!$J:$J,'TRA TECH'!R:R)))</f>
        <v>0.40989721068249241</v>
      </c>
      <c r="O77">
        <f>IF(H77="*","*",IF(_xlfn.XLOOKUP($H77,'TRA TECH'!$J:$J,'TRA TECH'!S:S)="","",_xlfn.XLOOKUP($H77,'TRA TECH'!$J:$J,'TRA TECH'!S:S)))</f>
        <v>0.47887667655786348</v>
      </c>
      <c r="P77">
        <f>IF(H77="*","*",IF(_xlfn.XLOOKUP($H77,'TRA TECH'!$J:$J,'TRA TECH'!T:T)="","",_xlfn.XLOOKUP($H77,'TRA TECH'!$J:$J,'TRA TECH'!T:T)))</f>
        <v>0.52397863501483688</v>
      </c>
      <c r="Q77">
        <f>IF(H77="*","*",IF(_xlfn.XLOOKUP($H77,'TRA TECH'!$J:$J,'TRA TECH'!U:U)="","",_xlfn.XLOOKUP($H77,'TRA TECH'!$J:$J,'TRA TECH'!U:U)))</f>
        <v>0.55316225519287865</v>
      </c>
      <c r="R77">
        <f>IF(H77="*","*",IF(_xlfn.XLOOKUP($H77,'TRA TECH'!$J:$J,'TRA TECH'!V:V)="","",_xlfn.XLOOKUP($H77,'TRA TECH'!$J:$J,'TRA TECH'!V:V)))</f>
        <v>0.58101934718100867</v>
      </c>
      <c r="S77">
        <f>IF(H77="*","*",IF(_xlfn.XLOOKUP($H77,'TRA TECH'!$J:$J,'TRA TECH'!W:W)="","",_xlfn.XLOOKUP($H77,'TRA TECH'!$J:$J,'TRA TECH'!W:W)))</f>
        <v>0.61020296735905044</v>
      </c>
      <c r="T77">
        <f t="shared" si="7"/>
        <v>0.61020296735905044</v>
      </c>
      <c r="U77">
        <f>IF(H77="*","*",IF(_xlfn.XLOOKUP($H77,'TRA TECH'!$J:$J,'TRA TECH'!X:X)="","",_xlfn.XLOOKUP($H77,'TRA TECH'!$J:$J,'TRA TECH'!X:X)))</f>
        <v>142.96989583837009</v>
      </c>
      <c r="V77">
        <f>IF(H77="*","*",IF(_xlfn.XLOOKUP($H77,'TRA TECH'!$J:$J,'TRA TECH'!Y:Y)="","",_xlfn.XLOOKUP($H77,'TRA TECH'!$J:$J,'TRA TECH'!Y:Y)))</f>
        <v>141.54730981012759</v>
      </c>
      <c r="W77">
        <f>IF(H77="*","*",IF(_xlfn.XLOOKUP($H77,'TRA TECH'!$J:$J,'TRA TECH'!Z:Z)="","",_xlfn.XLOOKUP($H77,'TRA TECH'!$J:$J,'TRA TECH'!Z:Z)))</f>
        <v>144.39248186661271</v>
      </c>
      <c r="X77">
        <f>IF(H77="*","*",IF(_xlfn.XLOOKUP($H77,'TRA TECH'!$J:$J,'TRA TECH'!AA:AA)="","",_xlfn.XLOOKUP($H77,'TRA TECH'!$J:$J,'TRA TECH'!AA:AA)))</f>
        <v>150.08282597958271</v>
      </c>
      <c r="Y77">
        <f>IF(H77="*","*",IF(_xlfn.XLOOKUP($H77,'TRA TECH'!$J:$J,'TRA TECH'!AB:AB)="","",_xlfn.XLOOKUP($H77,'TRA TECH'!$J:$J,'TRA TECH'!AB:AB)))</f>
        <v>149.3715329654614</v>
      </c>
      <c r="Z77">
        <f>IF(H77="*","*",IF(_xlfn.XLOOKUP($H77,'TRA TECH'!$J:$J,'TRA TECH'!AC:AC)="","",_xlfn.XLOOKUP($H77,'TRA TECH'!$J:$J,'TRA TECH'!AC:AC)))</f>
        <v>149.3715329654614</v>
      </c>
      <c r="AA77">
        <f>IF(H77="*","*",IF(_xlfn.XLOOKUP($H77,'TRA TECH'!$J:$J,'TRA TECH'!AD:AD)="","",_xlfn.XLOOKUP($H77,'TRA TECH'!$J:$J,'TRA TECH'!AD:AD)))</f>
        <v>148.66023995134009</v>
      </c>
      <c r="AB77">
        <f t="shared" si="8"/>
        <v>148.66023995134009</v>
      </c>
      <c r="AC77" s="15">
        <f>IF(H77="*","*",IF(_xlfn.XLOOKUP($H77,'TRA TECH'!$J:$J,'TRA TECH'!AE:AE)="","",_xlfn.XLOOKUP($H77,'TRA TECH'!$J:$J,'TRA TECH'!AE:AE)))</f>
        <v>0.97334225168618782</v>
      </c>
      <c r="AD77" s="15">
        <f>IF(H77="*","*",IF(_xlfn.XLOOKUP($H77,'TRA TECH'!$J:$J,'TRA TECH'!AF:AF)="","",_xlfn.XLOOKUP($H77,'TRA TECH'!$J:$J,'TRA TECH'!AF:AF)))</f>
        <v>0.97334225168618782</v>
      </c>
      <c r="AE77" s="15">
        <f>IF(H77="*","*",IF(_xlfn.XLOOKUP($H77,'TRA TECH'!$J:$J,'TRA TECH'!AG:AG)="","",_xlfn.XLOOKUP($H77,'TRA TECH'!$J:$J,'TRA TECH'!AG:AG)))</f>
        <v>0.97334225168618782</v>
      </c>
      <c r="AF77" s="15">
        <f>IF(H77="*","*",IF(_xlfn.XLOOKUP($H77,'TRA TECH'!$J:$J,'TRA TECH'!AH:AH)="","",_xlfn.XLOOKUP($H77,'TRA TECH'!$J:$J,'TRA TECH'!AH:AH)))</f>
        <v>0.97334225168618782</v>
      </c>
      <c r="AG77" s="15">
        <f>IF(H77="*","*",IF(_xlfn.XLOOKUP($H77,'TRA TECH'!$J:$J,'TRA TECH'!AI:AI)="","",_xlfn.XLOOKUP($H77,'TRA TECH'!$J:$J,'TRA TECH'!AI:AI)))</f>
        <v>0.97334225168618782</v>
      </c>
      <c r="AH77" s="15">
        <f>IF(H77="*","*",IF(_xlfn.XLOOKUP($H77,'TRA TECH'!$J:$J,'TRA TECH'!AJ:AJ)="","",_xlfn.XLOOKUP($H77,'TRA TECH'!$J:$J,'TRA TECH'!AJ:AJ)))</f>
        <v>0.97334225168618782</v>
      </c>
      <c r="AI77" s="15">
        <f>IF(H77="*","*",IF(_xlfn.XLOOKUP($H77,'TRA TECH'!$J:$J,'TRA TECH'!AK:AK)="","",_xlfn.XLOOKUP($H77,'TRA TECH'!$J:$J,'TRA TECH'!AK:AK)))</f>
        <v>0.97334225168618782</v>
      </c>
      <c r="AJ77" s="15">
        <f t="shared" si="9"/>
        <v>0.97334225168618782</v>
      </c>
      <c r="AK77" s="16">
        <f t="shared" si="10"/>
        <v>0.25</v>
      </c>
    </row>
    <row r="78" spans="2:37" x14ac:dyDescent="0.25">
      <c r="B78" t="str">
        <f>IF('TRA TECH'!M74=0,"*",IF('TRA TECH'!H74="","*",'TRA TECH'!J74))</f>
        <v>TRAPASMOTHEVIGSL20</v>
      </c>
      <c r="C78" t="str">
        <f>IF('TRA TECH'!M74=0,"*",'TRA TECH'!H74)</f>
        <v>TRAETH</v>
      </c>
      <c r="D78" t="s">
        <v>424</v>
      </c>
      <c r="E78" s="9">
        <f>'TRA TECH'!P74</f>
        <v>0.1</v>
      </c>
      <c r="H78" t="str">
        <f>IF('TRA TECH'!M74=1,IF('TRA TECH'!L74=1,'TRA TECH'!J74,"*"),"*")</f>
        <v>*</v>
      </c>
      <c r="I78" t="str">
        <f>IF(H78="*","*",_xlfn.XLOOKUP(H78,'TRA TECH'!J:J,'TRA TECH'!I:I))</f>
        <v>*</v>
      </c>
      <c r="J78" t="str">
        <f>IF(H78="*","*",_xlfn.XLOOKUP(H78,'TRA TECH'!J:J,'TRA TECH'!N:N))</f>
        <v>*</v>
      </c>
      <c r="K78" s="15" t="str">
        <f>IF(H78="*","*",IF(_xlfn.XLOOKUP(H78,'TRA TECH'!J:J,'TRA TECH'!O:O)="","",_xlfn.XLOOKUP(H78,'TRA TECH'!J:J,'TRA TECH'!O:O)))</f>
        <v>*</v>
      </c>
      <c r="L78" t="str">
        <f t="shared" si="6"/>
        <v>*</v>
      </c>
      <c r="M78" t="str">
        <f>IF(H78="*","*",IF(_xlfn.XLOOKUP($H78,'TRA TECH'!$J:$J,'TRA TECH'!Q:Q)="","",_xlfn.XLOOKUP($H78,'TRA TECH'!$J:$J,'TRA TECH'!Q:Q)))</f>
        <v>*</v>
      </c>
      <c r="N78" t="str">
        <f>IF(H78="*","*",IF(_xlfn.XLOOKUP($H78,'TRA TECH'!$J:$J,'TRA TECH'!R:R)="","",_xlfn.XLOOKUP($H78,'TRA TECH'!$J:$J,'TRA TECH'!R:R)))</f>
        <v>*</v>
      </c>
      <c r="O78" t="str">
        <f>IF(H78="*","*",IF(_xlfn.XLOOKUP($H78,'TRA TECH'!$J:$J,'TRA TECH'!S:S)="","",_xlfn.XLOOKUP($H78,'TRA TECH'!$J:$J,'TRA TECH'!S:S)))</f>
        <v>*</v>
      </c>
      <c r="P78" t="str">
        <f>IF(H78="*","*",IF(_xlfn.XLOOKUP($H78,'TRA TECH'!$J:$J,'TRA TECH'!T:T)="","",_xlfn.XLOOKUP($H78,'TRA TECH'!$J:$J,'TRA TECH'!T:T)))</f>
        <v>*</v>
      </c>
      <c r="Q78" t="str">
        <f>IF(H78="*","*",IF(_xlfn.XLOOKUP($H78,'TRA TECH'!$J:$J,'TRA TECH'!U:U)="","",_xlfn.XLOOKUP($H78,'TRA TECH'!$J:$J,'TRA TECH'!U:U)))</f>
        <v>*</v>
      </c>
      <c r="R78" t="str">
        <f>IF(H78="*","*",IF(_xlfn.XLOOKUP($H78,'TRA TECH'!$J:$J,'TRA TECH'!V:V)="","",_xlfn.XLOOKUP($H78,'TRA TECH'!$J:$J,'TRA TECH'!V:V)))</f>
        <v>*</v>
      </c>
      <c r="S78" t="str">
        <f>IF(H78="*","*",IF(_xlfn.XLOOKUP($H78,'TRA TECH'!$J:$J,'TRA TECH'!W:W)="","",_xlfn.XLOOKUP($H78,'TRA TECH'!$J:$J,'TRA TECH'!W:W)))</f>
        <v>*</v>
      </c>
      <c r="T78" t="str">
        <f t="shared" si="7"/>
        <v>*</v>
      </c>
      <c r="U78" t="str">
        <f>IF(H78="*","*",IF(_xlfn.XLOOKUP($H78,'TRA TECH'!$J:$J,'TRA TECH'!X:X)="","",_xlfn.XLOOKUP($H78,'TRA TECH'!$J:$J,'TRA TECH'!X:X)))</f>
        <v>*</v>
      </c>
      <c r="V78" t="str">
        <f>IF(H78="*","*",IF(_xlfn.XLOOKUP($H78,'TRA TECH'!$J:$J,'TRA TECH'!Y:Y)="","",_xlfn.XLOOKUP($H78,'TRA TECH'!$J:$J,'TRA TECH'!Y:Y)))</f>
        <v>*</v>
      </c>
      <c r="W78" t="str">
        <f>IF(H78="*","*",IF(_xlfn.XLOOKUP($H78,'TRA TECH'!$J:$J,'TRA TECH'!Z:Z)="","",_xlfn.XLOOKUP($H78,'TRA TECH'!$J:$J,'TRA TECH'!Z:Z)))</f>
        <v>*</v>
      </c>
      <c r="X78" t="str">
        <f>IF(H78="*","*",IF(_xlfn.XLOOKUP($H78,'TRA TECH'!$J:$J,'TRA TECH'!AA:AA)="","",_xlfn.XLOOKUP($H78,'TRA TECH'!$J:$J,'TRA TECH'!AA:AA)))</f>
        <v>*</v>
      </c>
      <c r="Y78" t="str">
        <f>IF(H78="*","*",IF(_xlfn.XLOOKUP($H78,'TRA TECH'!$J:$J,'TRA TECH'!AB:AB)="","",_xlfn.XLOOKUP($H78,'TRA TECH'!$J:$J,'TRA TECH'!AB:AB)))</f>
        <v>*</v>
      </c>
      <c r="Z78" t="str">
        <f>IF(H78="*","*",IF(_xlfn.XLOOKUP($H78,'TRA TECH'!$J:$J,'TRA TECH'!AC:AC)="","",_xlfn.XLOOKUP($H78,'TRA TECH'!$J:$J,'TRA TECH'!AC:AC)))</f>
        <v>*</v>
      </c>
      <c r="AA78" t="str">
        <f>IF(H78="*","*",IF(_xlfn.XLOOKUP($H78,'TRA TECH'!$J:$J,'TRA TECH'!AD:AD)="","",_xlfn.XLOOKUP($H78,'TRA TECH'!$J:$J,'TRA TECH'!AD:AD)))</f>
        <v>*</v>
      </c>
      <c r="AB78" t="str">
        <f t="shared" si="8"/>
        <v>*</v>
      </c>
      <c r="AC78" s="15" t="str">
        <f>IF(H78="*","*",IF(_xlfn.XLOOKUP($H78,'TRA TECH'!$J:$J,'TRA TECH'!AE:AE)="","",_xlfn.XLOOKUP($H78,'TRA TECH'!$J:$J,'TRA TECH'!AE:AE)))</f>
        <v>*</v>
      </c>
      <c r="AD78" s="15" t="str">
        <f>IF(H78="*","*",IF(_xlfn.XLOOKUP($H78,'TRA TECH'!$J:$J,'TRA TECH'!AF:AF)="","",_xlfn.XLOOKUP($H78,'TRA TECH'!$J:$J,'TRA TECH'!AF:AF)))</f>
        <v>*</v>
      </c>
      <c r="AE78" s="15" t="str">
        <f>IF(H78="*","*",IF(_xlfn.XLOOKUP($H78,'TRA TECH'!$J:$J,'TRA TECH'!AG:AG)="","",_xlfn.XLOOKUP($H78,'TRA TECH'!$J:$J,'TRA TECH'!AG:AG)))</f>
        <v>*</v>
      </c>
      <c r="AF78" s="15" t="str">
        <f>IF(H78="*","*",IF(_xlfn.XLOOKUP($H78,'TRA TECH'!$J:$J,'TRA TECH'!AH:AH)="","",_xlfn.XLOOKUP($H78,'TRA TECH'!$J:$J,'TRA TECH'!AH:AH)))</f>
        <v>*</v>
      </c>
      <c r="AG78" s="15" t="str">
        <f>IF(H78="*","*",IF(_xlfn.XLOOKUP($H78,'TRA TECH'!$J:$J,'TRA TECH'!AI:AI)="","",_xlfn.XLOOKUP($H78,'TRA TECH'!$J:$J,'TRA TECH'!AI:AI)))</f>
        <v>*</v>
      </c>
      <c r="AH78" s="15" t="str">
        <f>IF(H78="*","*",IF(_xlfn.XLOOKUP($H78,'TRA TECH'!$J:$J,'TRA TECH'!AJ:AJ)="","",_xlfn.XLOOKUP($H78,'TRA TECH'!$J:$J,'TRA TECH'!AJ:AJ)))</f>
        <v>*</v>
      </c>
      <c r="AI78" s="15" t="str">
        <f>IF(H78="*","*",IF(_xlfn.XLOOKUP($H78,'TRA TECH'!$J:$J,'TRA TECH'!AK:AK)="","",_xlfn.XLOOKUP($H78,'TRA TECH'!$J:$J,'TRA TECH'!AK:AK)))</f>
        <v>*</v>
      </c>
      <c r="AJ78" s="15" t="str">
        <f t="shared" si="9"/>
        <v>*</v>
      </c>
      <c r="AK78" s="16" t="str">
        <f t="shared" si="10"/>
        <v>*</v>
      </c>
    </row>
    <row r="79" spans="2:37" x14ac:dyDescent="0.25">
      <c r="B79" t="str">
        <f>IF('TRA TECH'!M75=0,"*",IF('TRA TECH'!H75="","*",'TRA TECH'!J75))</f>
        <v>TRAPASMOTHEVIGSL20</v>
      </c>
      <c r="C79" t="str">
        <f>IF('TRA TECH'!M75=0,"*",'TRA TECH'!H75)</f>
        <v>TRAGSL</v>
      </c>
      <c r="D79" t="s">
        <v>424</v>
      </c>
      <c r="E79" s="9">
        <f>'TRA TECH'!P75</f>
        <v>1</v>
      </c>
      <c r="H79" t="str">
        <f>IF('TRA TECH'!M75=1,IF('TRA TECH'!L75=1,'TRA TECH'!J75,"*"),"*")</f>
        <v>*</v>
      </c>
      <c r="I79" t="str">
        <f>IF(H79="*","*",_xlfn.XLOOKUP(H79,'TRA TECH'!J:J,'TRA TECH'!I:I))</f>
        <v>*</v>
      </c>
      <c r="J79" t="str">
        <f>IF(H79="*","*",_xlfn.XLOOKUP(H79,'TRA TECH'!J:J,'TRA TECH'!N:N))</f>
        <v>*</v>
      </c>
      <c r="K79" s="15" t="str">
        <f>IF(H79="*","*",IF(_xlfn.XLOOKUP(H79,'TRA TECH'!J:J,'TRA TECH'!O:O)="","",_xlfn.XLOOKUP(H79,'TRA TECH'!J:J,'TRA TECH'!O:O)))</f>
        <v>*</v>
      </c>
      <c r="L79" t="str">
        <f t="shared" si="6"/>
        <v>*</v>
      </c>
      <c r="M79" t="str">
        <f>IF(H79="*","*",IF(_xlfn.XLOOKUP($H79,'TRA TECH'!$J:$J,'TRA TECH'!Q:Q)="","",_xlfn.XLOOKUP($H79,'TRA TECH'!$J:$J,'TRA TECH'!Q:Q)))</f>
        <v>*</v>
      </c>
      <c r="N79" t="str">
        <f>IF(H79="*","*",IF(_xlfn.XLOOKUP($H79,'TRA TECH'!$J:$J,'TRA TECH'!R:R)="","",_xlfn.XLOOKUP($H79,'TRA TECH'!$J:$J,'TRA TECH'!R:R)))</f>
        <v>*</v>
      </c>
      <c r="O79" t="str">
        <f>IF(H79="*","*",IF(_xlfn.XLOOKUP($H79,'TRA TECH'!$J:$J,'TRA TECH'!S:S)="","",_xlfn.XLOOKUP($H79,'TRA TECH'!$J:$J,'TRA TECH'!S:S)))</f>
        <v>*</v>
      </c>
      <c r="P79" t="str">
        <f>IF(H79="*","*",IF(_xlfn.XLOOKUP($H79,'TRA TECH'!$J:$J,'TRA TECH'!T:T)="","",_xlfn.XLOOKUP($H79,'TRA TECH'!$J:$J,'TRA TECH'!T:T)))</f>
        <v>*</v>
      </c>
      <c r="Q79" t="str">
        <f>IF(H79="*","*",IF(_xlfn.XLOOKUP($H79,'TRA TECH'!$J:$J,'TRA TECH'!U:U)="","",_xlfn.XLOOKUP($H79,'TRA TECH'!$J:$J,'TRA TECH'!U:U)))</f>
        <v>*</v>
      </c>
      <c r="R79" t="str">
        <f>IF(H79="*","*",IF(_xlfn.XLOOKUP($H79,'TRA TECH'!$J:$J,'TRA TECH'!V:V)="","",_xlfn.XLOOKUP($H79,'TRA TECH'!$J:$J,'TRA TECH'!V:V)))</f>
        <v>*</v>
      </c>
      <c r="S79" t="str">
        <f>IF(H79="*","*",IF(_xlfn.XLOOKUP($H79,'TRA TECH'!$J:$J,'TRA TECH'!W:W)="","",_xlfn.XLOOKUP($H79,'TRA TECH'!$J:$J,'TRA TECH'!W:W)))</f>
        <v>*</v>
      </c>
      <c r="T79" t="str">
        <f t="shared" si="7"/>
        <v>*</v>
      </c>
      <c r="U79" t="str">
        <f>IF(H79="*","*",IF(_xlfn.XLOOKUP($H79,'TRA TECH'!$J:$J,'TRA TECH'!X:X)="","",_xlfn.XLOOKUP($H79,'TRA TECH'!$J:$J,'TRA TECH'!X:X)))</f>
        <v>*</v>
      </c>
      <c r="V79" t="str">
        <f>IF(H79="*","*",IF(_xlfn.XLOOKUP($H79,'TRA TECH'!$J:$J,'TRA TECH'!Y:Y)="","",_xlfn.XLOOKUP($H79,'TRA TECH'!$J:$J,'TRA TECH'!Y:Y)))</f>
        <v>*</v>
      </c>
      <c r="W79" t="str">
        <f>IF(H79="*","*",IF(_xlfn.XLOOKUP($H79,'TRA TECH'!$J:$J,'TRA TECH'!Z:Z)="","",_xlfn.XLOOKUP($H79,'TRA TECH'!$J:$J,'TRA TECH'!Z:Z)))</f>
        <v>*</v>
      </c>
      <c r="X79" t="str">
        <f>IF(H79="*","*",IF(_xlfn.XLOOKUP($H79,'TRA TECH'!$J:$J,'TRA TECH'!AA:AA)="","",_xlfn.XLOOKUP($H79,'TRA TECH'!$J:$J,'TRA TECH'!AA:AA)))</f>
        <v>*</v>
      </c>
      <c r="Y79" t="str">
        <f>IF(H79="*","*",IF(_xlfn.XLOOKUP($H79,'TRA TECH'!$J:$J,'TRA TECH'!AB:AB)="","",_xlfn.XLOOKUP($H79,'TRA TECH'!$J:$J,'TRA TECH'!AB:AB)))</f>
        <v>*</v>
      </c>
      <c r="Z79" t="str">
        <f>IF(H79="*","*",IF(_xlfn.XLOOKUP($H79,'TRA TECH'!$J:$J,'TRA TECH'!AC:AC)="","",_xlfn.XLOOKUP($H79,'TRA TECH'!$J:$J,'TRA TECH'!AC:AC)))</f>
        <v>*</v>
      </c>
      <c r="AA79" t="str">
        <f>IF(H79="*","*",IF(_xlfn.XLOOKUP($H79,'TRA TECH'!$J:$J,'TRA TECH'!AD:AD)="","",_xlfn.XLOOKUP($H79,'TRA TECH'!$J:$J,'TRA TECH'!AD:AD)))</f>
        <v>*</v>
      </c>
      <c r="AB79" t="str">
        <f t="shared" si="8"/>
        <v>*</v>
      </c>
      <c r="AC79" s="15" t="str">
        <f>IF(H79="*","*",IF(_xlfn.XLOOKUP($H79,'TRA TECH'!$J:$J,'TRA TECH'!AE:AE)="","",_xlfn.XLOOKUP($H79,'TRA TECH'!$J:$J,'TRA TECH'!AE:AE)))</f>
        <v>*</v>
      </c>
      <c r="AD79" s="15" t="str">
        <f>IF(H79="*","*",IF(_xlfn.XLOOKUP($H79,'TRA TECH'!$J:$J,'TRA TECH'!AF:AF)="","",_xlfn.XLOOKUP($H79,'TRA TECH'!$J:$J,'TRA TECH'!AF:AF)))</f>
        <v>*</v>
      </c>
      <c r="AE79" s="15" t="str">
        <f>IF(H79="*","*",IF(_xlfn.XLOOKUP($H79,'TRA TECH'!$J:$J,'TRA TECH'!AG:AG)="","",_xlfn.XLOOKUP($H79,'TRA TECH'!$J:$J,'TRA TECH'!AG:AG)))</f>
        <v>*</v>
      </c>
      <c r="AF79" s="15" t="str">
        <f>IF(H79="*","*",IF(_xlfn.XLOOKUP($H79,'TRA TECH'!$J:$J,'TRA TECH'!AH:AH)="","",_xlfn.XLOOKUP($H79,'TRA TECH'!$J:$J,'TRA TECH'!AH:AH)))</f>
        <v>*</v>
      </c>
      <c r="AG79" s="15" t="str">
        <f>IF(H79="*","*",IF(_xlfn.XLOOKUP($H79,'TRA TECH'!$J:$J,'TRA TECH'!AI:AI)="","",_xlfn.XLOOKUP($H79,'TRA TECH'!$J:$J,'TRA TECH'!AI:AI)))</f>
        <v>*</v>
      </c>
      <c r="AH79" s="15" t="str">
        <f>IF(H79="*","*",IF(_xlfn.XLOOKUP($H79,'TRA TECH'!$J:$J,'TRA TECH'!AJ:AJ)="","",_xlfn.XLOOKUP($H79,'TRA TECH'!$J:$J,'TRA TECH'!AJ:AJ)))</f>
        <v>*</v>
      </c>
      <c r="AI79" s="15" t="str">
        <f>IF(H79="*","*",IF(_xlfn.XLOOKUP($H79,'TRA TECH'!$J:$J,'TRA TECH'!AK:AK)="","",_xlfn.XLOOKUP($H79,'TRA TECH'!$J:$J,'TRA TECH'!AK:AK)))</f>
        <v>*</v>
      </c>
      <c r="AJ79" s="15" t="str">
        <f t="shared" si="9"/>
        <v>*</v>
      </c>
      <c r="AK79" s="16" t="str">
        <f t="shared" si="10"/>
        <v>*</v>
      </c>
    </row>
    <row r="80" spans="2:37" x14ac:dyDescent="0.25">
      <c r="B80" t="str">
        <f>IF('TRA TECH'!M76=0,"*",IF('TRA TECH'!H76="","*",'TRA TECH'!J76))</f>
        <v>TRAPASMOTHEVIGSL20</v>
      </c>
      <c r="C80" t="str">
        <f>IF('TRA TECH'!M76=0,"*",'TRA TECH'!H76)</f>
        <v>TRAETH</v>
      </c>
      <c r="D80" t="s">
        <v>424</v>
      </c>
      <c r="E80" s="9">
        <f>'TRA TECH'!P76</f>
        <v>0.1</v>
      </c>
      <c r="H80" t="str">
        <f>IF('TRA TECH'!M76=1,IF('TRA TECH'!L76=1,'TRA TECH'!J76,"*"),"*")</f>
        <v>*</v>
      </c>
      <c r="I80" t="str">
        <f>IF(H80="*","*",_xlfn.XLOOKUP(H80,'TRA TECH'!J:J,'TRA TECH'!I:I))</f>
        <v>*</v>
      </c>
      <c r="J80" t="str">
        <f>IF(H80="*","*",_xlfn.XLOOKUP(H80,'TRA TECH'!J:J,'TRA TECH'!N:N))</f>
        <v>*</v>
      </c>
      <c r="K80" s="15" t="str">
        <f>IF(H80="*","*",IF(_xlfn.XLOOKUP(H80,'TRA TECH'!J:J,'TRA TECH'!O:O)="","",_xlfn.XLOOKUP(H80,'TRA TECH'!J:J,'TRA TECH'!O:O)))</f>
        <v>*</v>
      </c>
      <c r="L80" t="str">
        <f t="shared" si="6"/>
        <v>*</v>
      </c>
      <c r="M80" t="str">
        <f>IF(H80="*","*",IF(_xlfn.XLOOKUP($H80,'TRA TECH'!$J:$J,'TRA TECH'!Q:Q)="","",_xlfn.XLOOKUP($H80,'TRA TECH'!$J:$J,'TRA TECH'!Q:Q)))</f>
        <v>*</v>
      </c>
      <c r="N80" t="str">
        <f>IF(H80="*","*",IF(_xlfn.XLOOKUP($H80,'TRA TECH'!$J:$J,'TRA TECH'!R:R)="","",_xlfn.XLOOKUP($H80,'TRA TECH'!$J:$J,'TRA TECH'!R:R)))</f>
        <v>*</v>
      </c>
      <c r="O80" t="str">
        <f>IF(H80="*","*",IF(_xlfn.XLOOKUP($H80,'TRA TECH'!$J:$J,'TRA TECH'!S:S)="","",_xlfn.XLOOKUP($H80,'TRA TECH'!$J:$J,'TRA TECH'!S:S)))</f>
        <v>*</v>
      </c>
      <c r="P80" t="str">
        <f>IF(H80="*","*",IF(_xlfn.XLOOKUP($H80,'TRA TECH'!$J:$J,'TRA TECH'!T:T)="","",_xlfn.XLOOKUP($H80,'TRA TECH'!$J:$J,'TRA TECH'!T:T)))</f>
        <v>*</v>
      </c>
      <c r="Q80" t="str">
        <f>IF(H80="*","*",IF(_xlfn.XLOOKUP($H80,'TRA TECH'!$J:$J,'TRA TECH'!U:U)="","",_xlfn.XLOOKUP($H80,'TRA TECH'!$J:$J,'TRA TECH'!U:U)))</f>
        <v>*</v>
      </c>
      <c r="R80" t="str">
        <f>IF(H80="*","*",IF(_xlfn.XLOOKUP($H80,'TRA TECH'!$J:$J,'TRA TECH'!V:V)="","",_xlfn.XLOOKUP($H80,'TRA TECH'!$J:$J,'TRA TECH'!V:V)))</f>
        <v>*</v>
      </c>
      <c r="S80" t="str">
        <f>IF(H80="*","*",IF(_xlfn.XLOOKUP($H80,'TRA TECH'!$J:$J,'TRA TECH'!W:W)="","",_xlfn.XLOOKUP($H80,'TRA TECH'!$J:$J,'TRA TECH'!W:W)))</f>
        <v>*</v>
      </c>
      <c r="T80" t="str">
        <f t="shared" si="7"/>
        <v>*</v>
      </c>
      <c r="U80" t="str">
        <f>IF(H80="*","*",IF(_xlfn.XLOOKUP($H80,'TRA TECH'!$J:$J,'TRA TECH'!X:X)="","",_xlfn.XLOOKUP($H80,'TRA TECH'!$J:$J,'TRA TECH'!X:X)))</f>
        <v>*</v>
      </c>
      <c r="V80" t="str">
        <f>IF(H80="*","*",IF(_xlfn.XLOOKUP($H80,'TRA TECH'!$J:$J,'TRA TECH'!Y:Y)="","",_xlfn.XLOOKUP($H80,'TRA TECH'!$J:$J,'TRA TECH'!Y:Y)))</f>
        <v>*</v>
      </c>
      <c r="W80" t="str">
        <f>IF(H80="*","*",IF(_xlfn.XLOOKUP($H80,'TRA TECH'!$J:$J,'TRA TECH'!Z:Z)="","",_xlfn.XLOOKUP($H80,'TRA TECH'!$J:$J,'TRA TECH'!Z:Z)))</f>
        <v>*</v>
      </c>
      <c r="X80" t="str">
        <f>IF(H80="*","*",IF(_xlfn.XLOOKUP($H80,'TRA TECH'!$J:$J,'TRA TECH'!AA:AA)="","",_xlfn.XLOOKUP($H80,'TRA TECH'!$J:$J,'TRA TECH'!AA:AA)))</f>
        <v>*</v>
      </c>
      <c r="Y80" t="str">
        <f>IF(H80="*","*",IF(_xlfn.XLOOKUP($H80,'TRA TECH'!$J:$J,'TRA TECH'!AB:AB)="","",_xlfn.XLOOKUP($H80,'TRA TECH'!$J:$J,'TRA TECH'!AB:AB)))</f>
        <v>*</v>
      </c>
      <c r="Z80" t="str">
        <f>IF(H80="*","*",IF(_xlfn.XLOOKUP($H80,'TRA TECH'!$J:$J,'TRA TECH'!AC:AC)="","",_xlfn.XLOOKUP($H80,'TRA TECH'!$J:$J,'TRA TECH'!AC:AC)))</f>
        <v>*</v>
      </c>
      <c r="AA80" t="str">
        <f>IF(H80="*","*",IF(_xlfn.XLOOKUP($H80,'TRA TECH'!$J:$J,'TRA TECH'!AD:AD)="","",_xlfn.XLOOKUP($H80,'TRA TECH'!$J:$J,'TRA TECH'!AD:AD)))</f>
        <v>*</v>
      </c>
      <c r="AB80" t="str">
        <f t="shared" si="8"/>
        <v>*</v>
      </c>
      <c r="AC80" s="15" t="str">
        <f>IF(H80="*","*",IF(_xlfn.XLOOKUP($H80,'TRA TECH'!$J:$J,'TRA TECH'!AE:AE)="","",_xlfn.XLOOKUP($H80,'TRA TECH'!$J:$J,'TRA TECH'!AE:AE)))</f>
        <v>*</v>
      </c>
      <c r="AD80" s="15" t="str">
        <f>IF(H80="*","*",IF(_xlfn.XLOOKUP($H80,'TRA TECH'!$J:$J,'TRA TECH'!AF:AF)="","",_xlfn.XLOOKUP($H80,'TRA TECH'!$J:$J,'TRA TECH'!AF:AF)))</f>
        <v>*</v>
      </c>
      <c r="AE80" s="15" t="str">
        <f>IF(H80="*","*",IF(_xlfn.XLOOKUP($H80,'TRA TECH'!$J:$J,'TRA TECH'!AG:AG)="","",_xlfn.XLOOKUP($H80,'TRA TECH'!$J:$J,'TRA TECH'!AG:AG)))</f>
        <v>*</v>
      </c>
      <c r="AF80" s="15" t="str">
        <f>IF(H80="*","*",IF(_xlfn.XLOOKUP($H80,'TRA TECH'!$J:$J,'TRA TECH'!AH:AH)="","",_xlfn.XLOOKUP($H80,'TRA TECH'!$J:$J,'TRA TECH'!AH:AH)))</f>
        <v>*</v>
      </c>
      <c r="AG80" s="15" t="str">
        <f>IF(H80="*","*",IF(_xlfn.XLOOKUP($H80,'TRA TECH'!$J:$J,'TRA TECH'!AI:AI)="","",_xlfn.XLOOKUP($H80,'TRA TECH'!$J:$J,'TRA TECH'!AI:AI)))</f>
        <v>*</v>
      </c>
      <c r="AH80" s="15" t="str">
        <f>IF(H80="*","*",IF(_xlfn.XLOOKUP($H80,'TRA TECH'!$J:$J,'TRA TECH'!AJ:AJ)="","",_xlfn.XLOOKUP($H80,'TRA TECH'!$J:$J,'TRA TECH'!AJ:AJ)))</f>
        <v>*</v>
      </c>
      <c r="AI80" s="15" t="str">
        <f>IF(H80="*","*",IF(_xlfn.XLOOKUP($H80,'TRA TECH'!$J:$J,'TRA TECH'!AK:AK)="","",_xlfn.XLOOKUP($H80,'TRA TECH'!$J:$J,'TRA TECH'!AK:AK)))</f>
        <v>*</v>
      </c>
      <c r="AJ80" s="15" t="str">
        <f t="shared" si="9"/>
        <v>*</v>
      </c>
      <c r="AK80" s="16" t="str">
        <f t="shared" si="10"/>
        <v>*</v>
      </c>
    </row>
    <row r="81" spans="2:37" x14ac:dyDescent="0.25">
      <c r="B81" t="str">
        <f>IF('TRA TECH'!M77=0,"*",IF('TRA TECH'!H77="","*",'TRA TECH'!J77))</f>
        <v>TRAPASMOTHEVPGSL20</v>
      </c>
      <c r="C81" t="str">
        <f>IF('TRA TECH'!M77=0,"*",'TRA TECH'!H77)</f>
        <v>TRAGSL</v>
      </c>
      <c r="D81" t="s">
        <v>424</v>
      </c>
      <c r="E81" s="9">
        <f>'TRA TECH'!P77</f>
        <v>1</v>
      </c>
      <c r="H81" t="str">
        <f>IF('TRA TECH'!M77=1,IF('TRA TECH'!L77=1,'TRA TECH'!J77,"*"),"*")</f>
        <v>TRAPASMOTHEVPGSL20</v>
      </c>
      <c r="I81" t="str">
        <f>IF(H81="*","*",_xlfn.XLOOKUP(H81,'TRA TECH'!J:J,'TRA TECH'!I:I))</f>
        <v>TRAPASMOTDMD</v>
      </c>
      <c r="J81">
        <f>IF(H81="*","*",_xlfn.XLOOKUP(H81,'TRA TECH'!J:J,'TRA TECH'!N:N))</f>
        <v>2020</v>
      </c>
      <c r="K81" s="15">
        <f>IF(H81="*","*",IF(_xlfn.XLOOKUP(H81,'TRA TECH'!J:J,'TRA TECH'!O:O)="","",_xlfn.XLOOKUP(H81,'TRA TECH'!J:J,'TRA TECH'!O:O)))</f>
        <v>85.500534378339864</v>
      </c>
      <c r="L81">
        <f t="shared" si="6"/>
        <v>1</v>
      </c>
      <c r="M81">
        <f>IF(H81="*","*",IF(_xlfn.XLOOKUP($H81,'TRA TECH'!$J:$J,'TRA TECH'!Q:Q)="","",_xlfn.XLOOKUP($H81,'TRA TECH'!$J:$J,'TRA TECH'!Q:Q)))</f>
        <v>0.65530492581602395</v>
      </c>
      <c r="N81">
        <f>IF(H81="*","*",IF(_xlfn.XLOOKUP($H81,'TRA TECH'!$J:$J,'TRA TECH'!R:R)="","",_xlfn.XLOOKUP($H81,'TRA TECH'!$J:$J,'TRA TECH'!R:R)))</f>
        <v>0.67520284866468872</v>
      </c>
      <c r="O81">
        <f>IF(H81="*","*",IF(_xlfn.XLOOKUP($H81,'TRA TECH'!$J:$J,'TRA TECH'!S:S)="","",_xlfn.XLOOKUP($H81,'TRA TECH'!$J:$J,'TRA TECH'!S:S)))</f>
        <v>0.6911211869436199</v>
      </c>
      <c r="P81">
        <f>IF(H81="*","*",IF(_xlfn.XLOOKUP($H81,'TRA TECH'!$J:$J,'TRA TECH'!T:T)="","",_xlfn.XLOOKUP($H81,'TRA TECH'!$J:$J,'TRA TECH'!T:T)))</f>
        <v>0.73754967359050416</v>
      </c>
      <c r="Q81">
        <f>IF(H81="*","*",IF(_xlfn.XLOOKUP($H81,'TRA TECH'!$J:$J,'TRA TECH'!U:U)="","",_xlfn.XLOOKUP($H81,'TRA TECH'!$J:$J,'TRA TECH'!U:U)))</f>
        <v>0.76805982195845746</v>
      </c>
      <c r="R81">
        <f>IF(H81="*","*",IF(_xlfn.XLOOKUP($H81,'TRA TECH'!$J:$J,'TRA TECH'!V:V)="","",_xlfn.XLOOKUP($H81,'TRA TECH'!$J:$J,'TRA TECH'!V:V)))</f>
        <v>0.79856997032640986</v>
      </c>
      <c r="S81">
        <f>IF(H81="*","*",IF(_xlfn.XLOOKUP($H81,'TRA TECH'!$J:$J,'TRA TECH'!W:W)="","",_xlfn.XLOOKUP($H81,'TRA TECH'!$J:$J,'TRA TECH'!W:W)))</f>
        <v>0.83040664688427257</v>
      </c>
      <c r="T81">
        <f t="shared" si="7"/>
        <v>0.83040664688427257</v>
      </c>
      <c r="U81">
        <f>IF(H81="*","*",IF(_xlfn.XLOOKUP($H81,'TRA TECH'!$J:$J,'TRA TECH'!X:X)="","",_xlfn.XLOOKUP($H81,'TRA TECH'!$J:$J,'TRA TECH'!X:X)))</f>
        <v>156.48446310667379</v>
      </c>
      <c r="V81">
        <f>IF(H81="*","*",IF(_xlfn.XLOOKUP($H81,'TRA TECH'!$J:$J,'TRA TECH'!Y:Y)="","",_xlfn.XLOOKUP($H81,'TRA TECH'!$J:$J,'TRA TECH'!Y:Y)))</f>
        <v>150.79411899370379</v>
      </c>
      <c r="W81">
        <f>IF(H81="*","*",IF(_xlfn.XLOOKUP($H81,'TRA TECH'!$J:$J,'TRA TECH'!Z:Z)="","",_xlfn.XLOOKUP($H81,'TRA TECH'!$J:$J,'TRA TECH'!Z:Z)))</f>
        <v>145.81506789485519</v>
      </c>
      <c r="X81">
        <f>IF(H81="*","*",IF(_xlfn.XLOOKUP($H81,'TRA TECH'!$J:$J,'TRA TECH'!AA:AA)="","",_xlfn.XLOOKUP($H81,'TRA TECH'!$J:$J,'TRA TECH'!AA:AA)))</f>
        <v>143.6811888524914</v>
      </c>
      <c r="Y81">
        <f>IF(H81="*","*",IF(_xlfn.XLOOKUP($H81,'TRA TECH'!$J:$J,'TRA TECH'!AB:AB)="","",_xlfn.XLOOKUP($H81,'TRA TECH'!$J:$J,'TRA TECH'!AB:AB)))</f>
        <v>141.54730981012759</v>
      </c>
      <c r="Z81">
        <f>IF(H81="*","*",IF(_xlfn.XLOOKUP($H81,'TRA TECH'!$J:$J,'TRA TECH'!AC:AC)="","",_xlfn.XLOOKUP($H81,'TRA TECH'!$J:$J,'TRA TECH'!AC:AC)))</f>
        <v>139.41343076776391</v>
      </c>
      <c r="AA81">
        <f>IF(H81="*","*",IF(_xlfn.XLOOKUP($H81,'TRA TECH'!$J:$J,'TRA TECH'!AD:AD)="","",_xlfn.XLOOKUP($H81,'TRA TECH'!$J:$J,'TRA TECH'!AD:AD)))</f>
        <v>137.99084473952149</v>
      </c>
      <c r="AB81">
        <f t="shared" si="8"/>
        <v>137.99084473952149</v>
      </c>
      <c r="AC81" s="15">
        <f>IF(H81="*","*",IF(_xlfn.XLOOKUP($H81,'TRA TECH'!$J:$J,'TRA TECH'!AE:AE)="","",_xlfn.XLOOKUP($H81,'TRA TECH'!$J:$J,'TRA TECH'!AE:AE)))</f>
        <v>0.97334225168618782</v>
      </c>
      <c r="AD81" s="15">
        <f>IF(H81="*","*",IF(_xlfn.XLOOKUP($H81,'TRA TECH'!$J:$J,'TRA TECH'!AF:AF)="","",_xlfn.XLOOKUP($H81,'TRA TECH'!$J:$J,'TRA TECH'!AF:AF)))</f>
        <v>0.97334225168618782</v>
      </c>
      <c r="AE81" s="15">
        <f>IF(H81="*","*",IF(_xlfn.XLOOKUP($H81,'TRA TECH'!$J:$J,'TRA TECH'!AG:AG)="","",_xlfn.XLOOKUP($H81,'TRA TECH'!$J:$J,'TRA TECH'!AG:AG)))</f>
        <v>0.97334225168618782</v>
      </c>
      <c r="AF81" s="15">
        <f>IF(H81="*","*",IF(_xlfn.XLOOKUP($H81,'TRA TECH'!$J:$J,'TRA TECH'!AH:AH)="","",_xlfn.XLOOKUP($H81,'TRA TECH'!$J:$J,'TRA TECH'!AH:AH)))</f>
        <v>0.97334225168618782</v>
      </c>
      <c r="AG81" s="15">
        <f>IF(H81="*","*",IF(_xlfn.XLOOKUP($H81,'TRA TECH'!$J:$J,'TRA TECH'!AI:AI)="","",_xlfn.XLOOKUP($H81,'TRA TECH'!$J:$J,'TRA TECH'!AI:AI)))</f>
        <v>0.97334225168618782</v>
      </c>
      <c r="AH81" s="15">
        <f>IF(H81="*","*",IF(_xlfn.XLOOKUP($H81,'TRA TECH'!$J:$J,'TRA TECH'!AJ:AJ)="","",_xlfn.XLOOKUP($H81,'TRA TECH'!$J:$J,'TRA TECH'!AJ:AJ)))</f>
        <v>0.97334225168618782</v>
      </c>
      <c r="AI81" s="15">
        <f>IF(H81="*","*",IF(_xlfn.XLOOKUP($H81,'TRA TECH'!$J:$J,'TRA TECH'!AK:AK)="","",_xlfn.XLOOKUP($H81,'TRA TECH'!$J:$J,'TRA TECH'!AK:AK)))</f>
        <v>0.97334225168618782</v>
      </c>
      <c r="AJ81" s="15">
        <f t="shared" si="9"/>
        <v>0.97334225168618782</v>
      </c>
      <c r="AK81" s="16">
        <f t="shared" si="10"/>
        <v>0.25</v>
      </c>
    </row>
    <row r="82" spans="2:37" x14ac:dyDescent="0.25">
      <c r="B82" t="str">
        <f>IF('TRA TECH'!M78=0,"*",IF('TRA TECH'!H78="","*",'TRA TECH'!J78))</f>
        <v>TRAPASMOTHEVPGSL20</v>
      </c>
      <c r="C82" t="str">
        <f>IF('TRA TECH'!M78=0,"*",'TRA TECH'!H78)</f>
        <v>TRAETH</v>
      </c>
      <c r="D82" t="s">
        <v>424</v>
      </c>
      <c r="E82" s="9">
        <f>'TRA TECH'!P78</f>
        <v>0.1</v>
      </c>
      <c r="H82" t="str">
        <f>IF('TRA TECH'!M78=1,IF('TRA TECH'!L78=1,'TRA TECH'!J78,"*"),"*")</f>
        <v>*</v>
      </c>
      <c r="I82" t="str">
        <f>IF(H82="*","*",_xlfn.XLOOKUP(H82,'TRA TECH'!J:J,'TRA TECH'!I:I))</f>
        <v>*</v>
      </c>
      <c r="J82" t="str">
        <f>IF(H82="*","*",_xlfn.XLOOKUP(H82,'TRA TECH'!J:J,'TRA TECH'!N:N))</f>
        <v>*</v>
      </c>
      <c r="K82" s="15" t="str">
        <f>IF(H82="*","*",IF(_xlfn.XLOOKUP(H82,'TRA TECH'!J:J,'TRA TECH'!O:O)="","",_xlfn.XLOOKUP(H82,'TRA TECH'!J:J,'TRA TECH'!O:O)))</f>
        <v>*</v>
      </c>
      <c r="L82" t="str">
        <f t="shared" si="6"/>
        <v>*</v>
      </c>
      <c r="M82" t="str">
        <f>IF(H82="*","*",IF(_xlfn.XLOOKUP($H82,'TRA TECH'!$J:$J,'TRA TECH'!Q:Q)="","",_xlfn.XLOOKUP($H82,'TRA TECH'!$J:$J,'TRA TECH'!Q:Q)))</f>
        <v>*</v>
      </c>
      <c r="N82" t="str">
        <f>IF(H82="*","*",IF(_xlfn.XLOOKUP($H82,'TRA TECH'!$J:$J,'TRA TECH'!R:R)="","",_xlfn.XLOOKUP($H82,'TRA TECH'!$J:$J,'TRA TECH'!R:R)))</f>
        <v>*</v>
      </c>
      <c r="O82" t="str">
        <f>IF(H82="*","*",IF(_xlfn.XLOOKUP($H82,'TRA TECH'!$J:$J,'TRA TECH'!S:S)="","",_xlfn.XLOOKUP($H82,'TRA TECH'!$J:$J,'TRA TECH'!S:S)))</f>
        <v>*</v>
      </c>
      <c r="P82" t="str">
        <f>IF(H82="*","*",IF(_xlfn.XLOOKUP($H82,'TRA TECH'!$J:$J,'TRA TECH'!T:T)="","",_xlfn.XLOOKUP($H82,'TRA TECH'!$J:$J,'TRA TECH'!T:T)))</f>
        <v>*</v>
      </c>
      <c r="Q82" t="str">
        <f>IF(H82="*","*",IF(_xlfn.XLOOKUP($H82,'TRA TECH'!$J:$J,'TRA TECH'!U:U)="","",_xlfn.XLOOKUP($H82,'TRA TECH'!$J:$J,'TRA TECH'!U:U)))</f>
        <v>*</v>
      </c>
      <c r="R82" t="str">
        <f>IF(H82="*","*",IF(_xlfn.XLOOKUP($H82,'TRA TECH'!$J:$J,'TRA TECH'!V:V)="","",_xlfn.XLOOKUP($H82,'TRA TECH'!$J:$J,'TRA TECH'!V:V)))</f>
        <v>*</v>
      </c>
      <c r="S82" t="str">
        <f>IF(H82="*","*",IF(_xlfn.XLOOKUP($H82,'TRA TECH'!$J:$J,'TRA TECH'!W:W)="","",_xlfn.XLOOKUP($H82,'TRA TECH'!$J:$J,'TRA TECH'!W:W)))</f>
        <v>*</v>
      </c>
      <c r="T82" t="str">
        <f t="shared" si="7"/>
        <v>*</v>
      </c>
      <c r="U82" t="str">
        <f>IF(H82="*","*",IF(_xlfn.XLOOKUP($H82,'TRA TECH'!$J:$J,'TRA TECH'!X:X)="","",_xlfn.XLOOKUP($H82,'TRA TECH'!$J:$J,'TRA TECH'!X:X)))</f>
        <v>*</v>
      </c>
      <c r="V82" t="str">
        <f>IF(H82="*","*",IF(_xlfn.XLOOKUP($H82,'TRA TECH'!$J:$J,'TRA TECH'!Y:Y)="","",_xlfn.XLOOKUP($H82,'TRA TECH'!$J:$J,'TRA TECH'!Y:Y)))</f>
        <v>*</v>
      </c>
      <c r="W82" t="str">
        <f>IF(H82="*","*",IF(_xlfn.XLOOKUP($H82,'TRA TECH'!$J:$J,'TRA TECH'!Z:Z)="","",_xlfn.XLOOKUP($H82,'TRA TECH'!$J:$J,'TRA TECH'!Z:Z)))</f>
        <v>*</v>
      </c>
      <c r="X82" t="str">
        <f>IF(H82="*","*",IF(_xlfn.XLOOKUP($H82,'TRA TECH'!$J:$J,'TRA TECH'!AA:AA)="","",_xlfn.XLOOKUP($H82,'TRA TECH'!$J:$J,'TRA TECH'!AA:AA)))</f>
        <v>*</v>
      </c>
      <c r="Y82" t="str">
        <f>IF(H82="*","*",IF(_xlfn.XLOOKUP($H82,'TRA TECH'!$J:$J,'TRA TECH'!AB:AB)="","",_xlfn.XLOOKUP($H82,'TRA TECH'!$J:$J,'TRA TECH'!AB:AB)))</f>
        <v>*</v>
      </c>
      <c r="Z82" t="str">
        <f>IF(H82="*","*",IF(_xlfn.XLOOKUP($H82,'TRA TECH'!$J:$J,'TRA TECH'!AC:AC)="","",_xlfn.XLOOKUP($H82,'TRA TECH'!$J:$J,'TRA TECH'!AC:AC)))</f>
        <v>*</v>
      </c>
      <c r="AA82" t="str">
        <f>IF(H82="*","*",IF(_xlfn.XLOOKUP($H82,'TRA TECH'!$J:$J,'TRA TECH'!AD:AD)="","",_xlfn.XLOOKUP($H82,'TRA TECH'!$J:$J,'TRA TECH'!AD:AD)))</f>
        <v>*</v>
      </c>
      <c r="AB82" t="str">
        <f t="shared" si="8"/>
        <v>*</v>
      </c>
      <c r="AC82" s="15" t="str">
        <f>IF(H82="*","*",IF(_xlfn.XLOOKUP($H82,'TRA TECH'!$J:$J,'TRA TECH'!AE:AE)="","",_xlfn.XLOOKUP($H82,'TRA TECH'!$J:$J,'TRA TECH'!AE:AE)))</f>
        <v>*</v>
      </c>
      <c r="AD82" s="15" t="str">
        <f>IF(H82="*","*",IF(_xlfn.XLOOKUP($H82,'TRA TECH'!$J:$J,'TRA TECH'!AF:AF)="","",_xlfn.XLOOKUP($H82,'TRA TECH'!$J:$J,'TRA TECH'!AF:AF)))</f>
        <v>*</v>
      </c>
      <c r="AE82" s="15" t="str">
        <f>IF(H82="*","*",IF(_xlfn.XLOOKUP($H82,'TRA TECH'!$J:$J,'TRA TECH'!AG:AG)="","",_xlfn.XLOOKUP($H82,'TRA TECH'!$J:$J,'TRA TECH'!AG:AG)))</f>
        <v>*</v>
      </c>
      <c r="AF82" s="15" t="str">
        <f>IF(H82="*","*",IF(_xlfn.XLOOKUP($H82,'TRA TECH'!$J:$J,'TRA TECH'!AH:AH)="","",_xlfn.XLOOKUP($H82,'TRA TECH'!$J:$J,'TRA TECH'!AH:AH)))</f>
        <v>*</v>
      </c>
      <c r="AG82" s="15" t="str">
        <f>IF(H82="*","*",IF(_xlfn.XLOOKUP($H82,'TRA TECH'!$J:$J,'TRA TECH'!AI:AI)="","",_xlfn.XLOOKUP($H82,'TRA TECH'!$J:$J,'TRA TECH'!AI:AI)))</f>
        <v>*</v>
      </c>
      <c r="AH82" s="15" t="str">
        <f>IF(H82="*","*",IF(_xlfn.XLOOKUP($H82,'TRA TECH'!$J:$J,'TRA TECH'!AJ:AJ)="","",_xlfn.XLOOKUP($H82,'TRA TECH'!$J:$J,'TRA TECH'!AJ:AJ)))</f>
        <v>*</v>
      </c>
      <c r="AI82" s="15" t="str">
        <f>IF(H82="*","*",IF(_xlfn.XLOOKUP($H82,'TRA TECH'!$J:$J,'TRA TECH'!AK:AK)="","",_xlfn.XLOOKUP($H82,'TRA TECH'!$J:$J,'TRA TECH'!AK:AK)))</f>
        <v>*</v>
      </c>
      <c r="AJ82" s="15" t="str">
        <f t="shared" si="9"/>
        <v>*</v>
      </c>
      <c r="AK82" s="16" t="str">
        <f t="shared" si="10"/>
        <v>*</v>
      </c>
    </row>
    <row r="83" spans="2:37" x14ac:dyDescent="0.25">
      <c r="B83" t="str">
        <f>IF('TRA TECH'!M79=0,"*",IF('TRA TECH'!H79="","*",'TRA TECH'!J79))</f>
        <v>TRAPASMOTPHEVPGSL20</v>
      </c>
      <c r="C83" t="str">
        <f>IF('TRA TECH'!M79=0,"*",'TRA TECH'!H79)</f>
        <v>TRAGSL</v>
      </c>
      <c r="D83" t="s">
        <v>424</v>
      </c>
      <c r="E83" s="9">
        <f>'TRA TECH'!P79</f>
        <v>0.7889390519187337</v>
      </c>
      <c r="H83" t="str">
        <f>IF('TRA TECH'!M79=1,IF('TRA TECH'!L79=1,'TRA TECH'!J79,"*"),"*")</f>
        <v>TRAPASMOTPHEVPGSL20</v>
      </c>
      <c r="I83" t="str">
        <f>IF(H83="*","*",_xlfn.XLOOKUP(H83,'TRA TECH'!J:J,'TRA TECH'!I:I))</f>
        <v>TRAPASMOTDMD</v>
      </c>
      <c r="J83">
        <f>IF(H83="*","*",_xlfn.XLOOKUP(H83,'TRA TECH'!J:J,'TRA TECH'!N:N))</f>
        <v>2020</v>
      </c>
      <c r="K83" s="15">
        <f>IF(H83="*","*",IF(_xlfn.XLOOKUP(H83,'TRA TECH'!J:J,'TRA TECH'!O:O)="","",_xlfn.XLOOKUP(H83,'TRA TECH'!J:J,'TRA TECH'!O:O)))</f>
        <v>85.500534378339864</v>
      </c>
      <c r="L83">
        <f t="shared" si="6"/>
        <v>1</v>
      </c>
      <c r="M83">
        <f>IF(H83="*","*",IF(_xlfn.XLOOKUP($H83,'TRA TECH'!$J:$J,'TRA TECH'!Q:Q)="","",_xlfn.XLOOKUP($H83,'TRA TECH'!$J:$J,'TRA TECH'!Q:Q)))</f>
        <v>0.90336569732937955</v>
      </c>
      <c r="N83">
        <f>IF(H83="*","*",IF(_xlfn.XLOOKUP($H83,'TRA TECH'!$J:$J,'TRA TECH'!R:R)="","",_xlfn.XLOOKUP($H83,'TRA TECH'!$J:$J,'TRA TECH'!R:R)))</f>
        <v>0.93918195845696884</v>
      </c>
      <c r="O83">
        <f>IF(H83="*","*",IF(_xlfn.XLOOKUP($H83,'TRA TECH'!$J:$J,'TRA TECH'!S:S)="","",_xlfn.XLOOKUP($H83,'TRA TECH'!$J:$J,'TRA TECH'!S:S)))</f>
        <v>0.96305946587537217</v>
      </c>
      <c r="P83">
        <f>IF(H83="*","*",IF(_xlfn.XLOOKUP($H83,'TRA TECH'!$J:$J,'TRA TECH'!T:T)="","",_xlfn.XLOOKUP($H83,'TRA TECH'!$J:$J,'TRA TECH'!T:T)))</f>
        <v>1.033365459940653</v>
      </c>
      <c r="Q83">
        <f>IF(H83="*","*",IF(_xlfn.XLOOKUP($H83,'TRA TECH'!$J:$J,'TRA TECH'!U:U)="","",_xlfn.XLOOKUP($H83,'TRA TECH'!$J:$J,'TRA TECH'!U:U)))</f>
        <v>1.073161305637983</v>
      </c>
      <c r="R83">
        <f>IF(H83="*","*",IF(_xlfn.XLOOKUP($H83,'TRA TECH'!$J:$J,'TRA TECH'!V:V)="","",_xlfn.XLOOKUP($H83,'TRA TECH'!$J:$J,'TRA TECH'!V:V)))</f>
        <v>1.114283679525222</v>
      </c>
      <c r="S83">
        <f>IF(H83="*","*",IF(_xlfn.XLOOKUP($H83,'TRA TECH'!$J:$J,'TRA TECH'!W:W)="","",_xlfn.XLOOKUP($H83,'TRA TECH'!$J:$J,'TRA TECH'!W:W)))</f>
        <v>1.1554060534124611</v>
      </c>
      <c r="T83">
        <f t="shared" si="7"/>
        <v>1.1554060534124611</v>
      </c>
      <c r="U83">
        <f>IF(H83="*","*",IF(_xlfn.XLOOKUP($H83,'TRA TECH'!$J:$J,'TRA TECH'!X:X)="","",_xlfn.XLOOKUP($H83,'TRA TECH'!$J:$J,'TRA TECH'!X:X)))</f>
        <v>170.7103233890991</v>
      </c>
      <c r="V83">
        <f>IF(H83="*","*",IF(_xlfn.XLOOKUP($H83,'TRA TECH'!$J:$J,'TRA TECH'!Y:Y)="","",_xlfn.XLOOKUP($H83,'TRA TECH'!$J:$J,'TRA TECH'!Y:Y)))</f>
        <v>162.17480721964449</v>
      </c>
      <c r="W83">
        <f>IF(H83="*","*",IF(_xlfn.XLOOKUP($H83,'TRA TECH'!$J:$J,'TRA TECH'!Z:Z)="","",_xlfn.XLOOKUP($H83,'TRA TECH'!$J:$J,'TRA TECH'!Z:Z)))</f>
        <v>157.1957561207941</v>
      </c>
      <c r="X83">
        <f>IF(H83="*","*",IF(_xlfn.XLOOKUP($H83,'TRA TECH'!$J:$J,'TRA TECH'!AA:AA)="","",_xlfn.XLOOKUP($H83,'TRA TECH'!$J:$J,'TRA TECH'!AA:AA)))</f>
        <v>153.63929105018931</v>
      </c>
      <c r="Y83">
        <f>IF(H83="*","*",IF(_xlfn.XLOOKUP($H83,'TRA TECH'!$J:$J,'TRA TECH'!AB:AB)="","",_xlfn.XLOOKUP($H83,'TRA TECH'!$J:$J,'TRA TECH'!AB:AB)))</f>
        <v>151.5054120078255</v>
      </c>
      <c r="Z83">
        <f>IF(H83="*","*",IF(_xlfn.XLOOKUP($H83,'TRA TECH'!$J:$J,'TRA TECH'!AC:AC)="","",_xlfn.XLOOKUP($H83,'TRA TECH'!$J:$J,'TRA TECH'!AC:AC)))</f>
        <v>149.37153296546191</v>
      </c>
      <c r="AA83">
        <f>IF(H83="*","*",IF(_xlfn.XLOOKUP($H83,'TRA TECH'!$J:$J,'TRA TECH'!AD:AD)="","",_xlfn.XLOOKUP($H83,'TRA TECH'!$J:$J,'TRA TECH'!AD:AD)))</f>
        <v>147.23765392309809</v>
      </c>
      <c r="AB83">
        <f t="shared" si="8"/>
        <v>147.23765392309809</v>
      </c>
      <c r="AC83" s="15">
        <f>IF(H83="*","*",IF(_xlfn.XLOOKUP($H83,'TRA TECH'!$J:$J,'TRA TECH'!AE:AE)="","",_xlfn.XLOOKUP($H83,'TRA TECH'!$J:$J,'TRA TECH'!AE:AE)))</f>
        <v>1.0149380744078189</v>
      </c>
      <c r="AD83" s="15">
        <f>IF(H83="*","*",IF(_xlfn.XLOOKUP($H83,'TRA TECH'!$J:$J,'TRA TECH'!AF:AF)="","",_xlfn.XLOOKUP($H83,'TRA TECH'!$J:$J,'TRA TECH'!AF:AF)))</f>
        <v>1.0149380744078189</v>
      </c>
      <c r="AE83" s="15">
        <f>IF(H83="*","*",IF(_xlfn.XLOOKUP($H83,'TRA TECH'!$J:$J,'TRA TECH'!AG:AG)="","",_xlfn.XLOOKUP($H83,'TRA TECH'!$J:$J,'TRA TECH'!AG:AG)))</f>
        <v>1.0149380744078189</v>
      </c>
      <c r="AF83" s="15">
        <f>IF(H83="*","*",IF(_xlfn.XLOOKUP($H83,'TRA TECH'!$J:$J,'TRA TECH'!AH:AH)="","",_xlfn.XLOOKUP($H83,'TRA TECH'!$J:$J,'TRA TECH'!AH:AH)))</f>
        <v>1.0149380744078189</v>
      </c>
      <c r="AG83" s="15">
        <f>IF(H83="*","*",IF(_xlfn.XLOOKUP($H83,'TRA TECH'!$J:$J,'TRA TECH'!AI:AI)="","",_xlfn.XLOOKUP($H83,'TRA TECH'!$J:$J,'TRA TECH'!AI:AI)))</f>
        <v>1.0149380744078189</v>
      </c>
      <c r="AH83" s="15">
        <f>IF(H83="*","*",IF(_xlfn.XLOOKUP($H83,'TRA TECH'!$J:$J,'TRA TECH'!AJ:AJ)="","",_xlfn.XLOOKUP($H83,'TRA TECH'!$J:$J,'TRA TECH'!AJ:AJ)))</f>
        <v>1.0149380744078189</v>
      </c>
      <c r="AI83" s="15">
        <f>IF(H83="*","*",IF(_xlfn.XLOOKUP($H83,'TRA TECH'!$J:$J,'TRA TECH'!AK:AK)="","",_xlfn.XLOOKUP($H83,'TRA TECH'!$J:$J,'TRA TECH'!AK:AK)))</f>
        <v>1.0149380744078189</v>
      </c>
      <c r="AJ83" s="15">
        <f t="shared" si="9"/>
        <v>1.0149380744078189</v>
      </c>
      <c r="AK83" s="16">
        <f t="shared" si="10"/>
        <v>0.25</v>
      </c>
    </row>
    <row r="84" spans="2:37" x14ac:dyDescent="0.25">
      <c r="B84" t="str">
        <f>IF('TRA TECH'!M80=0,"*",IF('TRA TECH'!H80="","*",'TRA TECH'!J80))</f>
        <v>TRAPASMOTPHEVPGSL20</v>
      </c>
      <c r="C84" t="str">
        <f>IF('TRA TECH'!M80=0,"*",'TRA TECH'!H80)</f>
        <v>TRAETH</v>
      </c>
      <c r="D84" t="s">
        <v>424</v>
      </c>
      <c r="E84" s="9">
        <f>'TRA TECH'!P80</f>
        <v>0.1</v>
      </c>
      <c r="H84" t="str">
        <f>IF('TRA TECH'!M80=1,IF('TRA TECH'!L80=1,'TRA TECH'!J80,"*"),"*")</f>
        <v>*</v>
      </c>
      <c r="I84" t="str">
        <f>IF(H84="*","*",_xlfn.XLOOKUP(H84,'TRA TECH'!J:J,'TRA TECH'!I:I))</f>
        <v>*</v>
      </c>
      <c r="J84" t="str">
        <f>IF(H84="*","*",_xlfn.XLOOKUP(H84,'TRA TECH'!J:J,'TRA TECH'!N:N))</f>
        <v>*</v>
      </c>
      <c r="K84" s="15" t="str">
        <f>IF(H84="*","*",IF(_xlfn.XLOOKUP(H84,'TRA TECH'!J:J,'TRA TECH'!O:O)="","",_xlfn.XLOOKUP(H84,'TRA TECH'!J:J,'TRA TECH'!O:O)))</f>
        <v>*</v>
      </c>
      <c r="L84" t="str">
        <f t="shared" si="6"/>
        <v>*</v>
      </c>
      <c r="M84" t="str">
        <f>IF(H84="*","*",IF(_xlfn.XLOOKUP($H84,'TRA TECH'!$J:$J,'TRA TECH'!Q:Q)="","",_xlfn.XLOOKUP($H84,'TRA TECH'!$J:$J,'TRA TECH'!Q:Q)))</f>
        <v>*</v>
      </c>
      <c r="N84" t="str">
        <f>IF(H84="*","*",IF(_xlfn.XLOOKUP($H84,'TRA TECH'!$J:$J,'TRA TECH'!R:R)="","",_xlfn.XLOOKUP($H84,'TRA TECH'!$J:$J,'TRA TECH'!R:R)))</f>
        <v>*</v>
      </c>
      <c r="O84" t="str">
        <f>IF(H84="*","*",IF(_xlfn.XLOOKUP($H84,'TRA TECH'!$J:$J,'TRA TECH'!S:S)="","",_xlfn.XLOOKUP($H84,'TRA TECH'!$J:$J,'TRA TECH'!S:S)))</f>
        <v>*</v>
      </c>
      <c r="P84" t="str">
        <f>IF(H84="*","*",IF(_xlfn.XLOOKUP($H84,'TRA TECH'!$J:$J,'TRA TECH'!T:T)="","",_xlfn.XLOOKUP($H84,'TRA TECH'!$J:$J,'TRA TECH'!T:T)))</f>
        <v>*</v>
      </c>
      <c r="Q84" t="str">
        <f>IF(H84="*","*",IF(_xlfn.XLOOKUP($H84,'TRA TECH'!$J:$J,'TRA TECH'!U:U)="","",_xlfn.XLOOKUP($H84,'TRA TECH'!$J:$J,'TRA TECH'!U:U)))</f>
        <v>*</v>
      </c>
      <c r="R84" t="str">
        <f>IF(H84="*","*",IF(_xlfn.XLOOKUP($H84,'TRA TECH'!$J:$J,'TRA TECH'!V:V)="","",_xlfn.XLOOKUP($H84,'TRA TECH'!$J:$J,'TRA TECH'!V:V)))</f>
        <v>*</v>
      </c>
      <c r="S84" t="str">
        <f>IF(H84="*","*",IF(_xlfn.XLOOKUP($H84,'TRA TECH'!$J:$J,'TRA TECH'!W:W)="","",_xlfn.XLOOKUP($H84,'TRA TECH'!$J:$J,'TRA TECH'!W:W)))</f>
        <v>*</v>
      </c>
      <c r="T84" t="str">
        <f t="shared" si="7"/>
        <v>*</v>
      </c>
      <c r="U84" t="str">
        <f>IF(H84="*","*",IF(_xlfn.XLOOKUP($H84,'TRA TECH'!$J:$J,'TRA TECH'!X:X)="","",_xlfn.XLOOKUP($H84,'TRA TECH'!$J:$J,'TRA TECH'!X:X)))</f>
        <v>*</v>
      </c>
      <c r="V84" t="str">
        <f>IF(H84="*","*",IF(_xlfn.XLOOKUP($H84,'TRA TECH'!$J:$J,'TRA TECH'!Y:Y)="","",_xlfn.XLOOKUP($H84,'TRA TECH'!$J:$J,'TRA TECH'!Y:Y)))</f>
        <v>*</v>
      </c>
      <c r="W84" t="str">
        <f>IF(H84="*","*",IF(_xlfn.XLOOKUP($H84,'TRA TECH'!$J:$J,'TRA TECH'!Z:Z)="","",_xlfn.XLOOKUP($H84,'TRA TECH'!$J:$J,'TRA TECH'!Z:Z)))</f>
        <v>*</v>
      </c>
      <c r="X84" t="str">
        <f>IF(H84="*","*",IF(_xlfn.XLOOKUP($H84,'TRA TECH'!$J:$J,'TRA TECH'!AA:AA)="","",_xlfn.XLOOKUP($H84,'TRA TECH'!$J:$J,'TRA TECH'!AA:AA)))</f>
        <v>*</v>
      </c>
      <c r="Y84" t="str">
        <f>IF(H84="*","*",IF(_xlfn.XLOOKUP($H84,'TRA TECH'!$J:$J,'TRA TECH'!AB:AB)="","",_xlfn.XLOOKUP($H84,'TRA TECH'!$J:$J,'TRA TECH'!AB:AB)))</f>
        <v>*</v>
      </c>
      <c r="Z84" t="str">
        <f>IF(H84="*","*",IF(_xlfn.XLOOKUP($H84,'TRA TECH'!$J:$J,'TRA TECH'!AC:AC)="","",_xlfn.XLOOKUP($H84,'TRA TECH'!$J:$J,'TRA TECH'!AC:AC)))</f>
        <v>*</v>
      </c>
      <c r="AA84" t="str">
        <f>IF(H84="*","*",IF(_xlfn.XLOOKUP($H84,'TRA TECH'!$J:$J,'TRA TECH'!AD:AD)="","",_xlfn.XLOOKUP($H84,'TRA TECH'!$J:$J,'TRA TECH'!AD:AD)))</f>
        <v>*</v>
      </c>
      <c r="AB84" t="str">
        <f t="shared" si="8"/>
        <v>*</v>
      </c>
      <c r="AC84" s="15" t="str">
        <f>IF(H84="*","*",IF(_xlfn.XLOOKUP($H84,'TRA TECH'!$J:$J,'TRA TECH'!AE:AE)="","",_xlfn.XLOOKUP($H84,'TRA TECH'!$J:$J,'TRA TECH'!AE:AE)))</f>
        <v>*</v>
      </c>
      <c r="AD84" s="15" t="str">
        <f>IF(H84="*","*",IF(_xlfn.XLOOKUP($H84,'TRA TECH'!$J:$J,'TRA TECH'!AF:AF)="","",_xlfn.XLOOKUP($H84,'TRA TECH'!$J:$J,'TRA TECH'!AF:AF)))</f>
        <v>*</v>
      </c>
      <c r="AE84" s="15" t="str">
        <f>IF(H84="*","*",IF(_xlfn.XLOOKUP($H84,'TRA TECH'!$J:$J,'TRA TECH'!AG:AG)="","",_xlfn.XLOOKUP($H84,'TRA TECH'!$J:$J,'TRA TECH'!AG:AG)))</f>
        <v>*</v>
      </c>
      <c r="AF84" s="15" t="str">
        <f>IF(H84="*","*",IF(_xlfn.XLOOKUP($H84,'TRA TECH'!$J:$J,'TRA TECH'!AH:AH)="","",_xlfn.XLOOKUP($H84,'TRA TECH'!$J:$J,'TRA TECH'!AH:AH)))</f>
        <v>*</v>
      </c>
      <c r="AG84" s="15" t="str">
        <f>IF(H84="*","*",IF(_xlfn.XLOOKUP($H84,'TRA TECH'!$J:$J,'TRA TECH'!AI:AI)="","",_xlfn.XLOOKUP($H84,'TRA TECH'!$J:$J,'TRA TECH'!AI:AI)))</f>
        <v>*</v>
      </c>
      <c r="AH84" s="15" t="str">
        <f>IF(H84="*","*",IF(_xlfn.XLOOKUP($H84,'TRA TECH'!$J:$J,'TRA TECH'!AJ:AJ)="","",_xlfn.XLOOKUP($H84,'TRA TECH'!$J:$J,'TRA TECH'!AJ:AJ)))</f>
        <v>*</v>
      </c>
      <c r="AI84" s="15" t="str">
        <f>IF(H84="*","*",IF(_xlfn.XLOOKUP($H84,'TRA TECH'!$J:$J,'TRA TECH'!AK:AK)="","",_xlfn.XLOOKUP($H84,'TRA TECH'!$J:$J,'TRA TECH'!AK:AK)))</f>
        <v>*</v>
      </c>
      <c r="AJ84" s="15" t="str">
        <f t="shared" si="9"/>
        <v>*</v>
      </c>
      <c r="AK84" s="16" t="str">
        <f t="shared" si="10"/>
        <v>*</v>
      </c>
    </row>
    <row r="85" spans="2:37" x14ac:dyDescent="0.25">
      <c r="B85" t="str">
        <f>IF('TRA TECH'!M81=0,"*",IF('TRA TECH'!H81="","*",'TRA TECH'!J81))</f>
        <v>TRAPASMOTPHEVPGSL20</v>
      </c>
      <c r="C85" t="str">
        <f>IF('TRA TECH'!M81=0,"*",'TRA TECH'!H81)</f>
        <v>TRABAT</v>
      </c>
      <c r="D85" t="s">
        <v>424</v>
      </c>
      <c r="E85" s="9">
        <f>'TRA TECH'!P81</f>
        <v>0.2110609480812663</v>
      </c>
      <c r="H85" t="str">
        <f>IF('TRA TECH'!M81=1,IF('TRA TECH'!L81=1,'TRA TECH'!J81,"*"),"*")</f>
        <v>*</v>
      </c>
      <c r="I85" t="str">
        <f>IF(H85="*","*",_xlfn.XLOOKUP(H85,'TRA TECH'!J:J,'TRA TECH'!I:I))</f>
        <v>*</v>
      </c>
      <c r="J85" t="str">
        <f>IF(H85="*","*",_xlfn.XLOOKUP(H85,'TRA TECH'!J:J,'TRA TECH'!N:N))</f>
        <v>*</v>
      </c>
      <c r="K85" s="15" t="str">
        <f>IF(H85="*","*",IF(_xlfn.XLOOKUP(H85,'TRA TECH'!J:J,'TRA TECH'!O:O)="","",_xlfn.XLOOKUP(H85,'TRA TECH'!J:J,'TRA TECH'!O:O)))</f>
        <v>*</v>
      </c>
      <c r="L85" t="str">
        <f t="shared" si="6"/>
        <v>*</v>
      </c>
      <c r="M85" t="str">
        <f>IF(H85="*","*",IF(_xlfn.XLOOKUP($H85,'TRA TECH'!$J:$J,'TRA TECH'!Q:Q)="","",_xlfn.XLOOKUP($H85,'TRA TECH'!$J:$J,'TRA TECH'!Q:Q)))</f>
        <v>*</v>
      </c>
      <c r="N85" t="str">
        <f>IF(H85="*","*",IF(_xlfn.XLOOKUP($H85,'TRA TECH'!$J:$J,'TRA TECH'!R:R)="","",_xlfn.XLOOKUP($H85,'TRA TECH'!$J:$J,'TRA TECH'!R:R)))</f>
        <v>*</v>
      </c>
      <c r="O85" t="str">
        <f>IF(H85="*","*",IF(_xlfn.XLOOKUP($H85,'TRA TECH'!$J:$J,'TRA TECH'!S:S)="","",_xlfn.XLOOKUP($H85,'TRA TECH'!$J:$J,'TRA TECH'!S:S)))</f>
        <v>*</v>
      </c>
      <c r="P85" t="str">
        <f>IF(H85="*","*",IF(_xlfn.XLOOKUP($H85,'TRA TECH'!$J:$J,'TRA TECH'!T:T)="","",_xlfn.XLOOKUP($H85,'TRA TECH'!$J:$J,'TRA TECH'!T:T)))</f>
        <v>*</v>
      </c>
      <c r="Q85" t="str">
        <f>IF(H85="*","*",IF(_xlfn.XLOOKUP($H85,'TRA TECH'!$J:$J,'TRA TECH'!U:U)="","",_xlfn.XLOOKUP($H85,'TRA TECH'!$J:$J,'TRA TECH'!U:U)))</f>
        <v>*</v>
      </c>
      <c r="R85" t="str">
        <f>IF(H85="*","*",IF(_xlfn.XLOOKUP($H85,'TRA TECH'!$J:$J,'TRA TECH'!V:V)="","",_xlfn.XLOOKUP($H85,'TRA TECH'!$J:$J,'TRA TECH'!V:V)))</f>
        <v>*</v>
      </c>
      <c r="S85" t="str">
        <f>IF(H85="*","*",IF(_xlfn.XLOOKUP($H85,'TRA TECH'!$J:$J,'TRA TECH'!W:W)="","",_xlfn.XLOOKUP($H85,'TRA TECH'!$J:$J,'TRA TECH'!W:W)))</f>
        <v>*</v>
      </c>
      <c r="T85" t="str">
        <f t="shared" si="7"/>
        <v>*</v>
      </c>
      <c r="U85" t="str">
        <f>IF(H85="*","*",IF(_xlfn.XLOOKUP($H85,'TRA TECH'!$J:$J,'TRA TECH'!X:X)="","",_xlfn.XLOOKUP($H85,'TRA TECH'!$J:$J,'TRA TECH'!X:X)))</f>
        <v>*</v>
      </c>
      <c r="V85" t="str">
        <f>IF(H85="*","*",IF(_xlfn.XLOOKUP($H85,'TRA TECH'!$J:$J,'TRA TECH'!Y:Y)="","",_xlfn.XLOOKUP($H85,'TRA TECH'!$J:$J,'TRA TECH'!Y:Y)))</f>
        <v>*</v>
      </c>
      <c r="W85" t="str">
        <f>IF(H85="*","*",IF(_xlfn.XLOOKUP($H85,'TRA TECH'!$J:$J,'TRA TECH'!Z:Z)="","",_xlfn.XLOOKUP($H85,'TRA TECH'!$J:$J,'TRA TECH'!Z:Z)))</f>
        <v>*</v>
      </c>
      <c r="X85" t="str">
        <f>IF(H85="*","*",IF(_xlfn.XLOOKUP($H85,'TRA TECH'!$J:$J,'TRA TECH'!AA:AA)="","",_xlfn.XLOOKUP($H85,'TRA TECH'!$J:$J,'TRA TECH'!AA:AA)))</f>
        <v>*</v>
      </c>
      <c r="Y85" t="str">
        <f>IF(H85="*","*",IF(_xlfn.XLOOKUP($H85,'TRA TECH'!$J:$J,'TRA TECH'!AB:AB)="","",_xlfn.XLOOKUP($H85,'TRA TECH'!$J:$J,'TRA TECH'!AB:AB)))</f>
        <v>*</v>
      </c>
      <c r="Z85" t="str">
        <f>IF(H85="*","*",IF(_xlfn.XLOOKUP($H85,'TRA TECH'!$J:$J,'TRA TECH'!AC:AC)="","",_xlfn.XLOOKUP($H85,'TRA TECH'!$J:$J,'TRA TECH'!AC:AC)))</f>
        <v>*</v>
      </c>
      <c r="AA85" t="str">
        <f>IF(H85="*","*",IF(_xlfn.XLOOKUP($H85,'TRA TECH'!$J:$J,'TRA TECH'!AD:AD)="","",_xlfn.XLOOKUP($H85,'TRA TECH'!$J:$J,'TRA TECH'!AD:AD)))</f>
        <v>*</v>
      </c>
      <c r="AB85" t="str">
        <f t="shared" si="8"/>
        <v>*</v>
      </c>
      <c r="AC85" s="15" t="str">
        <f>IF(H85="*","*",IF(_xlfn.XLOOKUP($H85,'TRA TECH'!$J:$J,'TRA TECH'!AE:AE)="","",_xlfn.XLOOKUP($H85,'TRA TECH'!$J:$J,'TRA TECH'!AE:AE)))</f>
        <v>*</v>
      </c>
      <c r="AD85" s="15" t="str">
        <f>IF(H85="*","*",IF(_xlfn.XLOOKUP($H85,'TRA TECH'!$J:$J,'TRA TECH'!AF:AF)="","",_xlfn.XLOOKUP($H85,'TRA TECH'!$J:$J,'TRA TECH'!AF:AF)))</f>
        <v>*</v>
      </c>
      <c r="AE85" s="15" t="str">
        <f>IF(H85="*","*",IF(_xlfn.XLOOKUP($H85,'TRA TECH'!$J:$J,'TRA TECH'!AG:AG)="","",_xlfn.XLOOKUP($H85,'TRA TECH'!$J:$J,'TRA TECH'!AG:AG)))</f>
        <v>*</v>
      </c>
      <c r="AF85" s="15" t="str">
        <f>IF(H85="*","*",IF(_xlfn.XLOOKUP($H85,'TRA TECH'!$J:$J,'TRA TECH'!AH:AH)="","",_xlfn.XLOOKUP($H85,'TRA TECH'!$J:$J,'TRA TECH'!AH:AH)))</f>
        <v>*</v>
      </c>
      <c r="AG85" s="15" t="str">
        <f>IF(H85="*","*",IF(_xlfn.XLOOKUP($H85,'TRA TECH'!$J:$J,'TRA TECH'!AI:AI)="","",_xlfn.XLOOKUP($H85,'TRA TECH'!$J:$J,'TRA TECH'!AI:AI)))</f>
        <v>*</v>
      </c>
      <c r="AH85" s="15" t="str">
        <f>IF(H85="*","*",IF(_xlfn.XLOOKUP($H85,'TRA TECH'!$J:$J,'TRA TECH'!AJ:AJ)="","",_xlfn.XLOOKUP($H85,'TRA TECH'!$J:$J,'TRA TECH'!AJ:AJ)))</f>
        <v>*</v>
      </c>
      <c r="AI85" s="15" t="str">
        <f>IF(H85="*","*",IF(_xlfn.XLOOKUP($H85,'TRA TECH'!$J:$J,'TRA TECH'!AK:AK)="","",_xlfn.XLOOKUP($H85,'TRA TECH'!$J:$J,'TRA TECH'!AK:AK)))</f>
        <v>*</v>
      </c>
      <c r="AJ85" s="15" t="str">
        <f t="shared" si="9"/>
        <v>*</v>
      </c>
      <c r="AK85" s="16" t="str">
        <f t="shared" si="10"/>
        <v>*</v>
      </c>
    </row>
    <row r="86" spans="2:37" x14ac:dyDescent="0.25">
      <c r="B86" t="str">
        <f>IF('TRA TECH'!M82=0,"*",IF('TRA TECH'!H82="","*",'TRA TECH'!J82))</f>
        <v>TRAPASMOTPHEVEGSL20</v>
      </c>
      <c r="C86" t="str">
        <f>IF('TRA TECH'!M82=0,"*",'TRA TECH'!H82)</f>
        <v>TRAGSL</v>
      </c>
      <c r="D86" t="s">
        <v>424</v>
      </c>
      <c r="E86" s="9">
        <f>'TRA TECH'!P82</f>
        <v>0.59593679458238857</v>
      </c>
      <c r="H86" t="str">
        <f>IF('TRA TECH'!M82=1,IF('TRA TECH'!L82=1,'TRA TECH'!J82,"*"),"*")</f>
        <v>TRAPASMOTPHEVEGSL20</v>
      </c>
      <c r="I86" t="str">
        <f>IF(H86="*","*",_xlfn.XLOOKUP(H86,'TRA TECH'!J:J,'TRA TECH'!I:I))</f>
        <v>TRAPASMOTDMD</v>
      </c>
      <c r="J86">
        <f>IF(H86="*","*",_xlfn.XLOOKUP(H86,'TRA TECH'!J:J,'TRA TECH'!N:N))</f>
        <v>2020</v>
      </c>
      <c r="K86" s="15">
        <f>IF(H86="*","*",IF(_xlfn.XLOOKUP(H86,'TRA TECH'!J:J,'TRA TECH'!O:O)="","",_xlfn.XLOOKUP(H86,'TRA TECH'!J:J,'TRA TECH'!O:O)))</f>
        <v>85.500534378339864</v>
      </c>
      <c r="L86">
        <f t="shared" si="6"/>
        <v>1</v>
      </c>
      <c r="M86">
        <f>IF(H86="*","*",IF(_xlfn.XLOOKUP($H86,'TRA TECH'!$J:$J,'TRA TECH'!Q:Q)="","",_xlfn.XLOOKUP($H86,'TRA TECH'!$J:$J,'TRA TECH'!Q:Q)))</f>
        <v>1.130202017804159</v>
      </c>
      <c r="N86">
        <f>IF(H86="*","*",IF(_xlfn.XLOOKUP($H86,'TRA TECH'!$J:$J,'TRA TECH'!R:R)="","",_xlfn.XLOOKUP($H86,'TRA TECH'!$J:$J,'TRA TECH'!R:R)))</f>
        <v>1.188569258160235</v>
      </c>
      <c r="O86">
        <f>IF(H86="*","*",IF(_xlfn.XLOOKUP($H86,'TRA TECH'!$J:$J,'TRA TECH'!S:S)="","",_xlfn.XLOOKUP($H86,'TRA TECH'!$J:$J,'TRA TECH'!S:S)))</f>
        <v>1.2084671810088989</v>
      </c>
      <c r="P86">
        <f>IF(H86="*","*",IF(_xlfn.XLOOKUP($H86,'TRA TECH'!$J:$J,'TRA TECH'!T:T)="","",_xlfn.XLOOKUP($H86,'TRA TECH'!$J:$J,'TRA TECH'!T:T)))</f>
        <v>1.301324154302667</v>
      </c>
      <c r="Q86">
        <f>IF(H86="*","*",IF(_xlfn.XLOOKUP($H86,'TRA TECH'!$J:$J,'TRA TECH'!U:U)="","",_xlfn.XLOOKUP($H86,'TRA TECH'!$J:$J,'TRA TECH'!U:U)))</f>
        <v>1.3530587537091989</v>
      </c>
      <c r="R86">
        <f>IF(H86="*","*",IF(_xlfn.XLOOKUP($H86,'TRA TECH'!$J:$J,'TRA TECH'!V:V)="","",_xlfn.XLOOKUP($H86,'TRA TECH'!$J:$J,'TRA TECH'!V:V)))</f>
        <v>1.4061198813056379</v>
      </c>
      <c r="S86">
        <f>IF(H86="*","*",IF(_xlfn.XLOOKUP($H86,'TRA TECH'!$J:$J,'TRA TECH'!W:W)="","",_xlfn.XLOOKUP($H86,'TRA TECH'!$J:$J,'TRA TECH'!W:W)))</f>
        <v>1.4591810089020769</v>
      </c>
      <c r="T86">
        <f t="shared" si="7"/>
        <v>1.4591810089020769</v>
      </c>
      <c r="U86">
        <f>IF(H86="*","*",IF(_xlfn.XLOOKUP($H86,'TRA TECH'!$J:$J,'TRA TECH'!X:X)="","",_xlfn.XLOOKUP($H86,'TRA TECH'!$J:$J,'TRA TECH'!X:X)))</f>
        <v>190.62652778449399</v>
      </c>
      <c r="V86">
        <f>IF(H86="*","*",IF(_xlfn.XLOOKUP($H86,'TRA TECH'!$J:$J,'TRA TECH'!Y:Y)="","",_xlfn.XLOOKUP($H86,'TRA TECH'!$J:$J,'TRA TECH'!Y:Y)))</f>
        <v>174.97808147382671</v>
      </c>
      <c r="W86">
        <f>IF(H86="*","*",IF(_xlfn.XLOOKUP($H86,'TRA TECH'!$J:$J,'TRA TECH'!Z:Z)="","",_xlfn.XLOOKUP($H86,'TRA TECH'!$J:$J,'TRA TECH'!Z:Z)))</f>
        <v>162.17480721964449</v>
      </c>
      <c r="X86">
        <f>IF(H86="*","*",IF(_xlfn.XLOOKUP($H86,'TRA TECH'!$J:$J,'TRA TECH'!AA:AA)="","",_xlfn.XLOOKUP($H86,'TRA TECH'!$J:$J,'TRA TECH'!AA:AA)))</f>
        <v>155.7731700925531</v>
      </c>
      <c r="Y86">
        <f>IF(H86="*","*",IF(_xlfn.XLOOKUP($H86,'TRA TECH'!$J:$J,'TRA TECH'!AB:AB)="","",_xlfn.XLOOKUP($H86,'TRA TECH'!$J:$J,'TRA TECH'!AB:AB)))</f>
        <v>152.92799803606849</v>
      </c>
      <c r="Z86">
        <f>IF(H86="*","*",IF(_xlfn.XLOOKUP($H86,'TRA TECH'!$J:$J,'TRA TECH'!AC:AC)="","",_xlfn.XLOOKUP($H86,'TRA TECH'!$J:$J,'TRA TECH'!AC:AC)))</f>
        <v>150.08282597958191</v>
      </c>
      <c r="AA86">
        <f>IF(H86="*","*",IF(_xlfn.XLOOKUP($H86,'TRA TECH'!$J:$J,'TRA TECH'!AD:AD)="","",_xlfn.XLOOKUP($H86,'TRA TECH'!$J:$J,'TRA TECH'!AD:AD)))</f>
        <v>147.23765392309809</v>
      </c>
      <c r="AB86">
        <f t="shared" si="8"/>
        <v>147.23765392309809</v>
      </c>
      <c r="AC86" s="15">
        <f>IF(H86="*","*",IF(_xlfn.XLOOKUP($H86,'TRA TECH'!$J:$J,'TRA TECH'!AE:AE)="","",_xlfn.XLOOKUP($H86,'TRA TECH'!$J:$J,'TRA TECH'!AE:AE)))</f>
        <v>1.0149380744078189</v>
      </c>
      <c r="AD86" s="15">
        <f>IF(H86="*","*",IF(_xlfn.XLOOKUP($H86,'TRA TECH'!$J:$J,'TRA TECH'!AF:AF)="","",_xlfn.XLOOKUP($H86,'TRA TECH'!$J:$J,'TRA TECH'!AF:AF)))</f>
        <v>1.0149380744078189</v>
      </c>
      <c r="AE86" s="15">
        <f>IF(H86="*","*",IF(_xlfn.XLOOKUP($H86,'TRA TECH'!$J:$J,'TRA TECH'!AG:AG)="","",_xlfn.XLOOKUP($H86,'TRA TECH'!$J:$J,'TRA TECH'!AG:AG)))</f>
        <v>1.0149380744078189</v>
      </c>
      <c r="AF86" s="15">
        <f>IF(H86="*","*",IF(_xlfn.XLOOKUP($H86,'TRA TECH'!$J:$J,'TRA TECH'!AH:AH)="","",_xlfn.XLOOKUP($H86,'TRA TECH'!$J:$J,'TRA TECH'!AH:AH)))</f>
        <v>1.0149380744078189</v>
      </c>
      <c r="AG86" s="15">
        <f>IF(H86="*","*",IF(_xlfn.XLOOKUP($H86,'TRA TECH'!$J:$J,'TRA TECH'!AI:AI)="","",_xlfn.XLOOKUP($H86,'TRA TECH'!$J:$J,'TRA TECH'!AI:AI)))</f>
        <v>1.0149380744078189</v>
      </c>
      <c r="AH86" s="15">
        <f>IF(H86="*","*",IF(_xlfn.XLOOKUP($H86,'TRA TECH'!$J:$J,'TRA TECH'!AJ:AJ)="","",_xlfn.XLOOKUP($H86,'TRA TECH'!$J:$J,'TRA TECH'!AJ:AJ)))</f>
        <v>1.0149380744078189</v>
      </c>
      <c r="AI86" s="15">
        <f>IF(H86="*","*",IF(_xlfn.XLOOKUP($H86,'TRA TECH'!$J:$J,'TRA TECH'!AK:AK)="","",_xlfn.XLOOKUP($H86,'TRA TECH'!$J:$J,'TRA TECH'!AK:AK)))</f>
        <v>1.0149380744078189</v>
      </c>
      <c r="AJ86" s="15">
        <f t="shared" si="9"/>
        <v>1.0149380744078189</v>
      </c>
      <c r="AK86" s="16">
        <f t="shared" si="10"/>
        <v>0.25</v>
      </c>
    </row>
    <row r="87" spans="2:37" x14ac:dyDescent="0.25">
      <c r="B87" t="str">
        <f>IF('TRA TECH'!M83=0,"*",IF('TRA TECH'!H83="","*",'TRA TECH'!J83))</f>
        <v>TRAPASMOTPHEVEGSL20</v>
      </c>
      <c r="C87" t="str">
        <f>IF('TRA TECH'!M83=0,"*",'TRA TECH'!H83)</f>
        <v>TRAETH</v>
      </c>
      <c r="D87" t="s">
        <v>424</v>
      </c>
      <c r="E87" s="9">
        <f>'TRA TECH'!P83</f>
        <v>0.1</v>
      </c>
      <c r="H87" t="str">
        <f>IF('TRA TECH'!M83=1,IF('TRA TECH'!L83=1,'TRA TECH'!J83,"*"),"*")</f>
        <v>*</v>
      </c>
      <c r="I87" t="str">
        <f>IF(H87="*","*",_xlfn.XLOOKUP(H87,'TRA TECH'!J:J,'TRA TECH'!I:I))</f>
        <v>*</v>
      </c>
      <c r="J87" t="str">
        <f>IF(H87="*","*",_xlfn.XLOOKUP(H87,'TRA TECH'!J:J,'TRA TECH'!N:N))</f>
        <v>*</v>
      </c>
      <c r="K87" s="15" t="str">
        <f>IF(H87="*","*",IF(_xlfn.XLOOKUP(H87,'TRA TECH'!J:J,'TRA TECH'!O:O)="","",_xlfn.XLOOKUP(H87,'TRA TECH'!J:J,'TRA TECH'!O:O)))</f>
        <v>*</v>
      </c>
      <c r="L87" t="str">
        <f t="shared" si="6"/>
        <v>*</v>
      </c>
      <c r="M87" t="str">
        <f>IF(H87="*","*",IF(_xlfn.XLOOKUP($H87,'TRA TECH'!$J:$J,'TRA TECH'!Q:Q)="","",_xlfn.XLOOKUP($H87,'TRA TECH'!$J:$J,'TRA TECH'!Q:Q)))</f>
        <v>*</v>
      </c>
      <c r="N87" t="str">
        <f>IF(H87="*","*",IF(_xlfn.XLOOKUP($H87,'TRA TECH'!$J:$J,'TRA TECH'!R:R)="","",_xlfn.XLOOKUP($H87,'TRA TECH'!$J:$J,'TRA TECH'!R:R)))</f>
        <v>*</v>
      </c>
      <c r="O87" t="str">
        <f>IF(H87="*","*",IF(_xlfn.XLOOKUP($H87,'TRA TECH'!$J:$J,'TRA TECH'!S:S)="","",_xlfn.XLOOKUP($H87,'TRA TECH'!$J:$J,'TRA TECH'!S:S)))</f>
        <v>*</v>
      </c>
      <c r="P87" t="str">
        <f>IF(H87="*","*",IF(_xlfn.XLOOKUP($H87,'TRA TECH'!$J:$J,'TRA TECH'!T:T)="","",_xlfn.XLOOKUP($H87,'TRA TECH'!$J:$J,'TRA TECH'!T:T)))</f>
        <v>*</v>
      </c>
      <c r="Q87" t="str">
        <f>IF(H87="*","*",IF(_xlfn.XLOOKUP($H87,'TRA TECH'!$J:$J,'TRA TECH'!U:U)="","",_xlfn.XLOOKUP($H87,'TRA TECH'!$J:$J,'TRA TECH'!U:U)))</f>
        <v>*</v>
      </c>
      <c r="R87" t="str">
        <f>IF(H87="*","*",IF(_xlfn.XLOOKUP($H87,'TRA TECH'!$J:$J,'TRA TECH'!V:V)="","",_xlfn.XLOOKUP($H87,'TRA TECH'!$J:$J,'TRA TECH'!V:V)))</f>
        <v>*</v>
      </c>
      <c r="S87" t="str">
        <f>IF(H87="*","*",IF(_xlfn.XLOOKUP($H87,'TRA TECH'!$J:$J,'TRA TECH'!W:W)="","",_xlfn.XLOOKUP($H87,'TRA TECH'!$J:$J,'TRA TECH'!W:W)))</f>
        <v>*</v>
      </c>
      <c r="T87" t="str">
        <f t="shared" si="7"/>
        <v>*</v>
      </c>
      <c r="U87" t="str">
        <f>IF(H87="*","*",IF(_xlfn.XLOOKUP($H87,'TRA TECH'!$J:$J,'TRA TECH'!X:X)="","",_xlfn.XLOOKUP($H87,'TRA TECH'!$J:$J,'TRA TECH'!X:X)))</f>
        <v>*</v>
      </c>
      <c r="V87" t="str">
        <f>IF(H87="*","*",IF(_xlfn.XLOOKUP($H87,'TRA TECH'!$J:$J,'TRA TECH'!Y:Y)="","",_xlfn.XLOOKUP($H87,'TRA TECH'!$J:$J,'TRA TECH'!Y:Y)))</f>
        <v>*</v>
      </c>
      <c r="W87" t="str">
        <f>IF(H87="*","*",IF(_xlfn.XLOOKUP($H87,'TRA TECH'!$J:$J,'TRA TECH'!Z:Z)="","",_xlfn.XLOOKUP($H87,'TRA TECH'!$J:$J,'TRA TECH'!Z:Z)))</f>
        <v>*</v>
      </c>
      <c r="X87" t="str">
        <f>IF(H87="*","*",IF(_xlfn.XLOOKUP($H87,'TRA TECH'!$J:$J,'TRA TECH'!AA:AA)="","",_xlfn.XLOOKUP($H87,'TRA TECH'!$J:$J,'TRA TECH'!AA:AA)))</f>
        <v>*</v>
      </c>
      <c r="Y87" t="str">
        <f>IF(H87="*","*",IF(_xlfn.XLOOKUP($H87,'TRA TECH'!$J:$J,'TRA TECH'!AB:AB)="","",_xlfn.XLOOKUP($H87,'TRA TECH'!$J:$J,'TRA TECH'!AB:AB)))</f>
        <v>*</v>
      </c>
      <c r="Z87" t="str">
        <f>IF(H87="*","*",IF(_xlfn.XLOOKUP($H87,'TRA TECH'!$J:$J,'TRA TECH'!AC:AC)="","",_xlfn.XLOOKUP($H87,'TRA TECH'!$J:$J,'TRA TECH'!AC:AC)))</f>
        <v>*</v>
      </c>
      <c r="AA87" t="str">
        <f>IF(H87="*","*",IF(_xlfn.XLOOKUP($H87,'TRA TECH'!$J:$J,'TRA TECH'!AD:AD)="","",_xlfn.XLOOKUP($H87,'TRA TECH'!$J:$J,'TRA TECH'!AD:AD)))</f>
        <v>*</v>
      </c>
      <c r="AB87" t="str">
        <f t="shared" si="8"/>
        <v>*</v>
      </c>
      <c r="AC87" s="15" t="str">
        <f>IF(H87="*","*",IF(_xlfn.XLOOKUP($H87,'TRA TECH'!$J:$J,'TRA TECH'!AE:AE)="","",_xlfn.XLOOKUP($H87,'TRA TECH'!$J:$J,'TRA TECH'!AE:AE)))</f>
        <v>*</v>
      </c>
      <c r="AD87" s="15" t="str">
        <f>IF(H87="*","*",IF(_xlfn.XLOOKUP($H87,'TRA TECH'!$J:$J,'TRA TECH'!AF:AF)="","",_xlfn.XLOOKUP($H87,'TRA TECH'!$J:$J,'TRA TECH'!AF:AF)))</f>
        <v>*</v>
      </c>
      <c r="AE87" s="15" t="str">
        <f>IF(H87="*","*",IF(_xlfn.XLOOKUP($H87,'TRA TECH'!$J:$J,'TRA TECH'!AG:AG)="","",_xlfn.XLOOKUP($H87,'TRA TECH'!$J:$J,'TRA TECH'!AG:AG)))</f>
        <v>*</v>
      </c>
      <c r="AF87" s="15" t="str">
        <f>IF(H87="*","*",IF(_xlfn.XLOOKUP($H87,'TRA TECH'!$J:$J,'TRA TECH'!AH:AH)="","",_xlfn.XLOOKUP($H87,'TRA TECH'!$J:$J,'TRA TECH'!AH:AH)))</f>
        <v>*</v>
      </c>
      <c r="AG87" s="15" t="str">
        <f>IF(H87="*","*",IF(_xlfn.XLOOKUP($H87,'TRA TECH'!$J:$J,'TRA TECH'!AI:AI)="","",_xlfn.XLOOKUP($H87,'TRA TECH'!$J:$J,'TRA TECH'!AI:AI)))</f>
        <v>*</v>
      </c>
      <c r="AH87" s="15" t="str">
        <f>IF(H87="*","*",IF(_xlfn.XLOOKUP($H87,'TRA TECH'!$J:$J,'TRA TECH'!AJ:AJ)="","",_xlfn.XLOOKUP($H87,'TRA TECH'!$J:$J,'TRA TECH'!AJ:AJ)))</f>
        <v>*</v>
      </c>
      <c r="AI87" s="15" t="str">
        <f>IF(H87="*","*",IF(_xlfn.XLOOKUP($H87,'TRA TECH'!$J:$J,'TRA TECH'!AK:AK)="","",_xlfn.XLOOKUP($H87,'TRA TECH'!$J:$J,'TRA TECH'!AK:AK)))</f>
        <v>*</v>
      </c>
      <c r="AJ87" s="15" t="str">
        <f t="shared" si="9"/>
        <v>*</v>
      </c>
      <c r="AK87" s="16" t="str">
        <f t="shared" si="10"/>
        <v>*</v>
      </c>
    </row>
    <row r="88" spans="2:37" x14ac:dyDescent="0.25">
      <c r="B88" t="str">
        <f>IF('TRA TECH'!M84=0,"*",IF('TRA TECH'!H84="","*",'TRA TECH'!J84))</f>
        <v>TRAPASMOTPHEVEGSL20</v>
      </c>
      <c r="C88" t="str">
        <f>IF('TRA TECH'!M84=0,"*",'TRA TECH'!H84)</f>
        <v>TRABAT</v>
      </c>
      <c r="D88" t="s">
        <v>424</v>
      </c>
      <c r="E88" s="9">
        <f>'TRA TECH'!P84</f>
        <v>0.40406320541761148</v>
      </c>
      <c r="H88" t="str">
        <f>IF('TRA TECH'!M84=1,IF('TRA TECH'!L84=1,'TRA TECH'!J84,"*"),"*")</f>
        <v>*</v>
      </c>
      <c r="I88" t="str">
        <f>IF(H88="*","*",_xlfn.XLOOKUP(H88,'TRA TECH'!J:J,'TRA TECH'!I:I))</f>
        <v>*</v>
      </c>
      <c r="J88" t="str">
        <f>IF(H88="*","*",_xlfn.XLOOKUP(H88,'TRA TECH'!J:J,'TRA TECH'!N:N))</f>
        <v>*</v>
      </c>
      <c r="K88" s="15" t="str">
        <f>IF(H88="*","*",IF(_xlfn.XLOOKUP(H88,'TRA TECH'!J:J,'TRA TECH'!O:O)="","",_xlfn.XLOOKUP(H88,'TRA TECH'!J:J,'TRA TECH'!O:O)))</f>
        <v>*</v>
      </c>
      <c r="L88" t="str">
        <f t="shared" si="6"/>
        <v>*</v>
      </c>
      <c r="M88" t="str">
        <f>IF(H88="*","*",IF(_xlfn.XLOOKUP($H88,'TRA TECH'!$J:$J,'TRA TECH'!Q:Q)="","",_xlfn.XLOOKUP($H88,'TRA TECH'!$J:$J,'TRA TECH'!Q:Q)))</f>
        <v>*</v>
      </c>
      <c r="N88" t="str">
        <f>IF(H88="*","*",IF(_xlfn.XLOOKUP($H88,'TRA TECH'!$J:$J,'TRA TECH'!R:R)="","",_xlfn.XLOOKUP($H88,'TRA TECH'!$J:$J,'TRA TECH'!R:R)))</f>
        <v>*</v>
      </c>
      <c r="O88" t="str">
        <f>IF(H88="*","*",IF(_xlfn.XLOOKUP($H88,'TRA TECH'!$J:$J,'TRA TECH'!S:S)="","",_xlfn.XLOOKUP($H88,'TRA TECH'!$J:$J,'TRA TECH'!S:S)))</f>
        <v>*</v>
      </c>
      <c r="P88" t="str">
        <f>IF(H88="*","*",IF(_xlfn.XLOOKUP($H88,'TRA TECH'!$J:$J,'TRA TECH'!T:T)="","",_xlfn.XLOOKUP($H88,'TRA TECH'!$J:$J,'TRA TECH'!T:T)))</f>
        <v>*</v>
      </c>
      <c r="Q88" t="str">
        <f>IF(H88="*","*",IF(_xlfn.XLOOKUP($H88,'TRA TECH'!$J:$J,'TRA TECH'!U:U)="","",_xlfn.XLOOKUP($H88,'TRA TECH'!$J:$J,'TRA TECH'!U:U)))</f>
        <v>*</v>
      </c>
      <c r="R88" t="str">
        <f>IF(H88="*","*",IF(_xlfn.XLOOKUP($H88,'TRA TECH'!$J:$J,'TRA TECH'!V:V)="","",_xlfn.XLOOKUP($H88,'TRA TECH'!$J:$J,'TRA TECH'!V:V)))</f>
        <v>*</v>
      </c>
      <c r="S88" t="str">
        <f>IF(H88="*","*",IF(_xlfn.XLOOKUP($H88,'TRA TECH'!$J:$J,'TRA TECH'!W:W)="","",_xlfn.XLOOKUP($H88,'TRA TECH'!$J:$J,'TRA TECH'!W:W)))</f>
        <v>*</v>
      </c>
      <c r="T88" t="str">
        <f t="shared" si="7"/>
        <v>*</v>
      </c>
      <c r="U88" t="str">
        <f>IF(H88="*","*",IF(_xlfn.XLOOKUP($H88,'TRA TECH'!$J:$J,'TRA TECH'!X:X)="","",_xlfn.XLOOKUP($H88,'TRA TECH'!$J:$J,'TRA TECH'!X:X)))</f>
        <v>*</v>
      </c>
      <c r="V88" t="str">
        <f>IF(H88="*","*",IF(_xlfn.XLOOKUP($H88,'TRA TECH'!$J:$J,'TRA TECH'!Y:Y)="","",_xlfn.XLOOKUP($H88,'TRA TECH'!$J:$J,'TRA TECH'!Y:Y)))</f>
        <v>*</v>
      </c>
      <c r="W88" t="str">
        <f>IF(H88="*","*",IF(_xlfn.XLOOKUP($H88,'TRA TECH'!$J:$J,'TRA TECH'!Z:Z)="","",_xlfn.XLOOKUP($H88,'TRA TECH'!$J:$J,'TRA TECH'!Z:Z)))</f>
        <v>*</v>
      </c>
      <c r="X88" t="str">
        <f>IF(H88="*","*",IF(_xlfn.XLOOKUP($H88,'TRA TECH'!$J:$J,'TRA TECH'!AA:AA)="","",_xlfn.XLOOKUP($H88,'TRA TECH'!$J:$J,'TRA TECH'!AA:AA)))</f>
        <v>*</v>
      </c>
      <c r="Y88" t="str">
        <f>IF(H88="*","*",IF(_xlfn.XLOOKUP($H88,'TRA TECH'!$J:$J,'TRA TECH'!AB:AB)="","",_xlfn.XLOOKUP($H88,'TRA TECH'!$J:$J,'TRA TECH'!AB:AB)))</f>
        <v>*</v>
      </c>
      <c r="Z88" t="str">
        <f>IF(H88="*","*",IF(_xlfn.XLOOKUP($H88,'TRA TECH'!$J:$J,'TRA TECH'!AC:AC)="","",_xlfn.XLOOKUP($H88,'TRA TECH'!$J:$J,'TRA TECH'!AC:AC)))</f>
        <v>*</v>
      </c>
      <c r="AA88" t="str">
        <f>IF(H88="*","*",IF(_xlfn.XLOOKUP($H88,'TRA TECH'!$J:$J,'TRA TECH'!AD:AD)="","",_xlfn.XLOOKUP($H88,'TRA TECH'!$J:$J,'TRA TECH'!AD:AD)))</f>
        <v>*</v>
      </c>
      <c r="AB88" t="str">
        <f t="shared" si="8"/>
        <v>*</v>
      </c>
      <c r="AC88" s="15" t="str">
        <f>IF(H88="*","*",IF(_xlfn.XLOOKUP($H88,'TRA TECH'!$J:$J,'TRA TECH'!AE:AE)="","",_xlfn.XLOOKUP($H88,'TRA TECH'!$J:$J,'TRA TECH'!AE:AE)))</f>
        <v>*</v>
      </c>
      <c r="AD88" s="15" t="str">
        <f>IF(H88="*","*",IF(_xlfn.XLOOKUP($H88,'TRA TECH'!$J:$J,'TRA TECH'!AF:AF)="","",_xlfn.XLOOKUP($H88,'TRA TECH'!$J:$J,'TRA TECH'!AF:AF)))</f>
        <v>*</v>
      </c>
      <c r="AE88" s="15" t="str">
        <f>IF(H88="*","*",IF(_xlfn.XLOOKUP($H88,'TRA TECH'!$J:$J,'TRA TECH'!AG:AG)="","",_xlfn.XLOOKUP($H88,'TRA TECH'!$J:$J,'TRA TECH'!AG:AG)))</f>
        <v>*</v>
      </c>
      <c r="AF88" s="15" t="str">
        <f>IF(H88="*","*",IF(_xlfn.XLOOKUP($H88,'TRA TECH'!$J:$J,'TRA TECH'!AH:AH)="","",_xlfn.XLOOKUP($H88,'TRA TECH'!$J:$J,'TRA TECH'!AH:AH)))</f>
        <v>*</v>
      </c>
      <c r="AG88" s="15" t="str">
        <f>IF(H88="*","*",IF(_xlfn.XLOOKUP($H88,'TRA TECH'!$J:$J,'TRA TECH'!AI:AI)="","",_xlfn.XLOOKUP($H88,'TRA TECH'!$J:$J,'TRA TECH'!AI:AI)))</f>
        <v>*</v>
      </c>
      <c r="AH88" s="15" t="str">
        <f>IF(H88="*","*",IF(_xlfn.XLOOKUP($H88,'TRA TECH'!$J:$J,'TRA TECH'!AJ:AJ)="","",_xlfn.XLOOKUP($H88,'TRA TECH'!$J:$J,'TRA TECH'!AJ:AJ)))</f>
        <v>*</v>
      </c>
      <c r="AI88" s="15" t="str">
        <f>IF(H88="*","*",IF(_xlfn.XLOOKUP($H88,'TRA TECH'!$J:$J,'TRA TECH'!AK:AK)="","",_xlfn.XLOOKUP($H88,'TRA TECH'!$J:$J,'TRA TECH'!AK:AK)))</f>
        <v>*</v>
      </c>
      <c r="AJ88" s="15" t="str">
        <f t="shared" si="9"/>
        <v>*</v>
      </c>
      <c r="AK88" s="16" t="str">
        <f t="shared" si="10"/>
        <v>*</v>
      </c>
    </row>
    <row r="89" spans="2:37" x14ac:dyDescent="0.25">
      <c r="B89" t="str">
        <f>IF('TRA TECH'!M85=0,"*",IF('TRA TECH'!H85="","*",'TRA TECH'!J85))</f>
        <v>TRAPASMOTICEVDSL20</v>
      </c>
      <c r="C89" t="str">
        <f>IF('TRA TECH'!M85=0,"*",'TRA TECH'!H85)</f>
        <v>TRADSL</v>
      </c>
      <c r="D89" t="s">
        <v>424</v>
      </c>
      <c r="E89" s="9">
        <f>'TRA TECH'!P85</f>
        <v>1</v>
      </c>
      <c r="H89" t="str">
        <f>IF('TRA TECH'!M85=1,IF('TRA TECH'!L85=1,'TRA TECH'!J85,"*"),"*")</f>
        <v>TRAPASMOTICEVDSL20</v>
      </c>
      <c r="I89" t="str">
        <f>IF(H89="*","*",_xlfn.XLOOKUP(H89,'TRA TECH'!J:J,'TRA TECH'!I:I))</f>
        <v>TRAPASMOTDMD</v>
      </c>
      <c r="J89">
        <f>IF(H89="*","*",_xlfn.XLOOKUP(H89,'TRA TECH'!J:J,'TRA TECH'!N:N))</f>
        <v>2020</v>
      </c>
      <c r="K89" s="15">
        <f>IF(H89="*","*",IF(_xlfn.XLOOKUP(H89,'TRA TECH'!J:J,'TRA TECH'!O:O)="","",_xlfn.XLOOKUP(H89,'TRA TECH'!J:J,'TRA TECH'!O:O)))</f>
        <v>85.500534378339864</v>
      </c>
      <c r="L89">
        <f t="shared" si="6"/>
        <v>1</v>
      </c>
      <c r="M89">
        <f>IF(H89="*","*",IF(_xlfn.XLOOKUP($H89,'TRA TECH'!$J:$J,'TRA TECH'!Q:Q)="","",_xlfn.XLOOKUP($H89,'TRA TECH'!$J:$J,'TRA TECH'!Q:Q)))</f>
        <v>0.48816237388724038</v>
      </c>
      <c r="N89">
        <f>IF(H89="*","*",IF(_xlfn.XLOOKUP($H89,'TRA TECH'!$J:$J,'TRA TECH'!R:R)="","",_xlfn.XLOOKUP($H89,'TRA TECH'!$J:$J,'TRA TECH'!R:R)))</f>
        <v>0.47224403560830858</v>
      </c>
      <c r="O89">
        <f>IF(H89="*","*",IF(_xlfn.XLOOKUP($H89,'TRA TECH'!$J:$J,'TRA TECH'!S:S)="","",_xlfn.XLOOKUP($H89,'TRA TECH'!$J:$J,'TRA TECH'!S:S)))</f>
        <v>0.54387655786350142</v>
      </c>
      <c r="P89">
        <f>IF(H89="*","*",IF(_xlfn.XLOOKUP($H89,'TRA TECH'!$J:$J,'TRA TECH'!T:T)="","",_xlfn.XLOOKUP($H89,'TRA TECH'!$J:$J,'TRA TECH'!T:T)))</f>
        <v>0.57173364985163211</v>
      </c>
      <c r="Q89">
        <f>IF(H89="*","*",IF(_xlfn.XLOOKUP($H89,'TRA TECH'!$J:$J,'TRA TECH'!U:U)="","",_xlfn.XLOOKUP($H89,'TRA TECH'!$J:$J,'TRA TECH'!U:U)))</f>
        <v>0.60357032640949559</v>
      </c>
      <c r="R89">
        <f>IF(H89="*","*",IF(_xlfn.XLOOKUP($H89,'TRA TECH'!$J:$J,'TRA TECH'!V:V)="","",_xlfn.XLOOKUP($H89,'TRA TECH'!$J:$J,'TRA TECH'!V:V)))</f>
        <v>0.63408047477744811</v>
      </c>
      <c r="S89">
        <f>IF(H89="*","*",IF(_xlfn.XLOOKUP($H89,'TRA TECH'!$J:$J,'TRA TECH'!W:W)="","",_xlfn.XLOOKUP($H89,'TRA TECH'!$J:$J,'TRA TECH'!W:W)))</f>
        <v>0.66591715133531149</v>
      </c>
      <c r="T89">
        <f t="shared" si="7"/>
        <v>0.66591715133531149</v>
      </c>
      <c r="U89">
        <f>IF(H89="*","*",IF(_xlfn.XLOOKUP($H89,'TRA TECH'!$J:$J,'TRA TECH'!X:X)="","",_xlfn.XLOOKUP($H89,'TRA TECH'!$J:$J,'TRA TECH'!X:X)))</f>
        <v>171.42161640322001</v>
      </c>
      <c r="V89">
        <f>IF(H89="*","*",IF(_xlfn.XLOOKUP($H89,'TRA TECH'!$J:$J,'TRA TECH'!Y:Y)="","",_xlfn.XLOOKUP($H89,'TRA TECH'!$J:$J,'TRA TECH'!Y:Y)))</f>
        <v>168.576444346735</v>
      </c>
      <c r="W89">
        <f>IF(H89="*","*",IF(_xlfn.XLOOKUP($H89,'TRA TECH'!$J:$J,'TRA TECH'!Z:Z)="","",_xlfn.XLOOKUP($H89,'TRA TECH'!$J:$J,'TRA TECH'!Z:Z)))</f>
        <v>167.86515133261369</v>
      </c>
      <c r="X89">
        <f>IF(H89="*","*",IF(_xlfn.XLOOKUP($H89,'TRA TECH'!$J:$J,'TRA TECH'!AA:AA)="","",_xlfn.XLOOKUP($H89,'TRA TECH'!$J:$J,'TRA TECH'!AA:AA)))</f>
        <v>167.1538583184925</v>
      </c>
      <c r="Y89">
        <f>IF(H89="*","*",IF(_xlfn.XLOOKUP($H89,'TRA TECH'!$J:$J,'TRA TECH'!AB:AB)="","",_xlfn.XLOOKUP($H89,'TRA TECH'!$J:$J,'TRA TECH'!AB:AB)))</f>
        <v>167.1538583184925</v>
      </c>
      <c r="Z89">
        <f>IF(H89="*","*",IF(_xlfn.XLOOKUP($H89,'TRA TECH'!$J:$J,'TRA TECH'!AC:AC)="","",_xlfn.XLOOKUP($H89,'TRA TECH'!$J:$J,'TRA TECH'!AC:AC)))</f>
        <v>166.4425653043713</v>
      </c>
      <c r="AA89">
        <f>IF(H89="*","*",IF(_xlfn.XLOOKUP($H89,'TRA TECH'!$J:$J,'TRA TECH'!AD:AD)="","",_xlfn.XLOOKUP($H89,'TRA TECH'!$J:$J,'TRA TECH'!AD:AD)))</f>
        <v>166.4425653043713</v>
      </c>
      <c r="AB89">
        <f t="shared" si="8"/>
        <v>166.4425653043713</v>
      </c>
      <c r="AC89" s="15">
        <f>IF(H89="*","*",IF(_xlfn.XLOOKUP($H89,'TRA TECH'!$J:$J,'TRA TECH'!AE:AE)="","",_xlfn.XLOOKUP($H89,'TRA TECH'!$J:$J,'TRA TECH'!AE:AE)))</f>
        <v>1.0315764034964729</v>
      </c>
      <c r="AD89" s="15">
        <f>IF(H89="*","*",IF(_xlfn.XLOOKUP($H89,'TRA TECH'!$J:$J,'TRA TECH'!AF:AF)="","",_xlfn.XLOOKUP($H89,'TRA TECH'!$J:$J,'TRA TECH'!AF:AF)))</f>
        <v>1.0315764034964729</v>
      </c>
      <c r="AE89" s="15">
        <f>IF(H89="*","*",IF(_xlfn.XLOOKUP($H89,'TRA TECH'!$J:$J,'TRA TECH'!AG:AG)="","",_xlfn.XLOOKUP($H89,'TRA TECH'!$J:$J,'TRA TECH'!AG:AG)))</f>
        <v>1.0315764034964729</v>
      </c>
      <c r="AF89" s="15">
        <f>IF(H89="*","*",IF(_xlfn.XLOOKUP($H89,'TRA TECH'!$J:$J,'TRA TECH'!AH:AH)="","",_xlfn.XLOOKUP($H89,'TRA TECH'!$J:$J,'TRA TECH'!AH:AH)))</f>
        <v>1.0315764034964729</v>
      </c>
      <c r="AG89" s="15">
        <f>IF(H89="*","*",IF(_xlfn.XLOOKUP($H89,'TRA TECH'!$J:$J,'TRA TECH'!AI:AI)="","",_xlfn.XLOOKUP($H89,'TRA TECH'!$J:$J,'TRA TECH'!AI:AI)))</f>
        <v>1.0315764034964729</v>
      </c>
      <c r="AH89" s="15">
        <f>IF(H89="*","*",IF(_xlfn.XLOOKUP($H89,'TRA TECH'!$J:$J,'TRA TECH'!AJ:AJ)="","",_xlfn.XLOOKUP($H89,'TRA TECH'!$J:$J,'TRA TECH'!AJ:AJ)))</f>
        <v>1.0315764034964729</v>
      </c>
      <c r="AI89" s="15">
        <f>IF(H89="*","*",IF(_xlfn.XLOOKUP($H89,'TRA TECH'!$J:$J,'TRA TECH'!AK:AK)="","",_xlfn.XLOOKUP($H89,'TRA TECH'!$J:$J,'TRA TECH'!AK:AK)))</f>
        <v>1.0315764034964729</v>
      </c>
      <c r="AJ89" s="15">
        <f t="shared" si="9"/>
        <v>1.0315764034964729</v>
      </c>
      <c r="AK89" s="16">
        <f t="shared" si="10"/>
        <v>0.1</v>
      </c>
    </row>
    <row r="90" spans="2:37" x14ac:dyDescent="0.25">
      <c r="B90" t="str">
        <f>IF('TRA TECH'!M86=0,"*",IF('TRA TECH'!H86="","*",'TRA TECH'!J86))</f>
        <v>TRAPASMOTICEVDSL20</v>
      </c>
      <c r="C90" t="str">
        <f>IF('TRA TECH'!M86=0,"*",'TRA TECH'!H86)</f>
        <v>TRARDS</v>
      </c>
      <c r="D90" t="s">
        <v>424</v>
      </c>
      <c r="E90" s="9">
        <f>'TRA TECH'!P86</f>
        <v>1</v>
      </c>
      <c r="H90" t="str">
        <f>IF('TRA TECH'!M86=1,IF('TRA TECH'!L86=1,'TRA TECH'!J86,"*"),"*")</f>
        <v>*</v>
      </c>
      <c r="I90" t="str">
        <f>IF(H90="*","*",_xlfn.XLOOKUP(H90,'TRA TECH'!J:J,'TRA TECH'!I:I))</f>
        <v>*</v>
      </c>
      <c r="J90" t="str">
        <f>IF(H90="*","*",_xlfn.XLOOKUP(H90,'TRA TECH'!J:J,'TRA TECH'!N:N))</f>
        <v>*</v>
      </c>
      <c r="K90" s="15" t="str">
        <f>IF(H90="*","*",IF(_xlfn.XLOOKUP(H90,'TRA TECH'!J:J,'TRA TECH'!O:O)="","",_xlfn.XLOOKUP(H90,'TRA TECH'!J:J,'TRA TECH'!O:O)))</f>
        <v>*</v>
      </c>
      <c r="L90" t="str">
        <f t="shared" si="6"/>
        <v>*</v>
      </c>
      <c r="M90" t="str">
        <f>IF(H90="*","*",IF(_xlfn.XLOOKUP($H90,'TRA TECH'!$J:$J,'TRA TECH'!Q:Q)="","",_xlfn.XLOOKUP($H90,'TRA TECH'!$J:$J,'TRA TECH'!Q:Q)))</f>
        <v>*</v>
      </c>
      <c r="N90" t="str">
        <f>IF(H90="*","*",IF(_xlfn.XLOOKUP($H90,'TRA TECH'!$J:$J,'TRA TECH'!R:R)="","",_xlfn.XLOOKUP($H90,'TRA TECH'!$J:$J,'TRA TECH'!R:R)))</f>
        <v>*</v>
      </c>
      <c r="O90" t="str">
        <f>IF(H90="*","*",IF(_xlfn.XLOOKUP($H90,'TRA TECH'!$J:$J,'TRA TECH'!S:S)="","",_xlfn.XLOOKUP($H90,'TRA TECH'!$J:$J,'TRA TECH'!S:S)))</f>
        <v>*</v>
      </c>
      <c r="P90" t="str">
        <f>IF(H90="*","*",IF(_xlfn.XLOOKUP($H90,'TRA TECH'!$J:$J,'TRA TECH'!T:T)="","",_xlfn.XLOOKUP($H90,'TRA TECH'!$J:$J,'TRA TECH'!T:T)))</f>
        <v>*</v>
      </c>
      <c r="Q90" t="str">
        <f>IF(H90="*","*",IF(_xlfn.XLOOKUP($H90,'TRA TECH'!$J:$J,'TRA TECH'!U:U)="","",_xlfn.XLOOKUP($H90,'TRA TECH'!$J:$J,'TRA TECH'!U:U)))</f>
        <v>*</v>
      </c>
      <c r="R90" t="str">
        <f>IF(H90="*","*",IF(_xlfn.XLOOKUP($H90,'TRA TECH'!$J:$J,'TRA TECH'!V:V)="","",_xlfn.XLOOKUP($H90,'TRA TECH'!$J:$J,'TRA TECH'!V:V)))</f>
        <v>*</v>
      </c>
      <c r="S90" t="str">
        <f>IF(H90="*","*",IF(_xlfn.XLOOKUP($H90,'TRA TECH'!$J:$J,'TRA TECH'!W:W)="","",_xlfn.XLOOKUP($H90,'TRA TECH'!$J:$J,'TRA TECH'!W:W)))</f>
        <v>*</v>
      </c>
      <c r="T90" t="str">
        <f t="shared" si="7"/>
        <v>*</v>
      </c>
      <c r="U90" t="str">
        <f>IF(H90="*","*",IF(_xlfn.XLOOKUP($H90,'TRA TECH'!$J:$J,'TRA TECH'!X:X)="","",_xlfn.XLOOKUP($H90,'TRA TECH'!$J:$J,'TRA TECH'!X:X)))</f>
        <v>*</v>
      </c>
      <c r="V90" t="str">
        <f>IF(H90="*","*",IF(_xlfn.XLOOKUP($H90,'TRA TECH'!$J:$J,'TRA TECH'!Y:Y)="","",_xlfn.XLOOKUP($H90,'TRA TECH'!$J:$J,'TRA TECH'!Y:Y)))</f>
        <v>*</v>
      </c>
      <c r="W90" t="str">
        <f>IF(H90="*","*",IF(_xlfn.XLOOKUP($H90,'TRA TECH'!$J:$J,'TRA TECH'!Z:Z)="","",_xlfn.XLOOKUP($H90,'TRA TECH'!$J:$J,'TRA TECH'!Z:Z)))</f>
        <v>*</v>
      </c>
      <c r="X90" t="str">
        <f>IF(H90="*","*",IF(_xlfn.XLOOKUP($H90,'TRA TECH'!$J:$J,'TRA TECH'!AA:AA)="","",_xlfn.XLOOKUP($H90,'TRA TECH'!$J:$J,'TRA TECH'!AA:AA)))</f>
        <v>*</v>
      </c>
      <c r="Y90" t="str">
        <f>IF(H90="*","*",IF(_xlfn.XLOOKUP($H90,'TRA TECH'!$J:$J,'TRA TECH'!AB:AB)="","",_xlfn.XLOOKUP($H90,'TRA TECH'!$J:$J,'TRA TECH'!AB:AB)))</f>
        <v>*</v>
      </c>
      <c r="Z90" t="str">
        <f>IF(H90="*","*",IF(_xlfn.XLOOKUP($H90,'TRA TECH'!$J:$J,'TRA TECH'!AC:AC)="","",_xlfn.XLOOKUP($H90,'TRA TECH'!$J:$J,'TRA TECH'!AC:AC)))</f>
        <v>*</v>
      </c>
      <c r="AA90" t="str">
        <f>IF(H90="*","*",IF(_xlfn.XLOOKUP($H90,'TRA TECH'!$J:$J,'TRA TECH'!AD:AD)="","",_xlfn.XLOOKUP($H90,'TRA TECH'!$J:$J,'TRA TECH'!AD:AD)))</f>
        <v>*</v>
      </c>
      <c r="AB90" t="str">
        <f t="shared" si="8"/>
        <v>*</v>
      </c>
      <c r="AC90" s="15" t="str">
        <f>IF(H90="*","*",IF(_xlfn.XLOOKUP($H90,'TRA TECH'!$J:$J,'TRA TECH'!AE:AE)="","",_xlfn.XLOOKUP($H90,'TRA TECH'!$J:$J,'TRA TECH'!AE:AE)))</f>
        <v>*</v>
      </c>
      <c r="AD90" s="15" t="str">
        <f>IF(H90="*","*",IF(_xlfn.XLOOKUP($H90,'TRA TECH'!$J:$J,'TRA TECH'!AF:AF)="","",_xlfn.XLOOKUP($H90,'TRA TECH'!$J:$J,'TRA TECH'!AF:AF)))</f>
        <v>*</v>
      </c>
      <c r="AE90" s="15" t="str">
        <f>IF(H90="*","*",IF(_xlfn.XLOOKUP($H90,'TRA TECH'!$J:$J,'TRA TECH'!AG:AG)="","",_xlfn.XLOOKUP($H90,'TRA TECH'!$J:$J,'TRA TECH'!AG:AG)))</f>
        <v>*</v>
      </c>
      <c r="AF90" s="15" t="str">
        <f>IF(H90="*","*",IF(_xlfn.XLOOKUP($H90,'TRA TECH'!$J:$J,'TRA TECH'!AH:AH)="","",_xlfn.XLOOKUP($H90,'TRA TECH'!$J:$J,'TRA TECH'!AH:AH)))</f>
        <v>*</v>
      </c>
      <c r="AG90" s="15" t="str">
        <f>IF(H90="*","*",IF(_xlfn.XLOOKUP($H90,'TRA TECH'!$J:$J,'TRA TECH'!AI:AI)="","",_xlfn.XLOOKUP($H90,'TRA TECH'!$J:$J,'TRA TECH'!AI:AI)))</f>
        <v>*</v>
      </c>
      <c r="AH90" s="15" t="str">
        <f>IF(H90="*","*",IF(_xlfn.XLOOKUP($H90,'TRA TECH'!$J:$J,'TRA TECH'!AJ:AJ)="","",_xlfn.XLOOKUP($H90,'TRA TECH'!$J:$J,'TRA TECH'!AJ:AJ)))</f>
        <v>*</v>
      </c>
      <c r="AI90" s="15" t="str">
        <f>IF(H90="*","*",IF(_xlfn.XLOOKUP($H90,'TRA TECH'!$J:$J,'TRA TECH'!AK:AK)="","",_xlfn.XLOOKUP($H90,'TRA TECH'!$J:$J,'TRA TECH'!AK:AK)))</f>
        <v>*</v>
      </c>
      <c r="AJ90" s="15" t="str">
        <f t="shared" si="9"/>
        <v>*</v>
      </c>
      <c r="AK90" s="16" t="str">
        <f t="shared" si="10"/>
        <v>*</v>
      </c>
    </row>
    <row r="91" spans="2:37" x14ac:dyDescent="0.25">
      <c r="B91" t="str">
        <f>IF('TRA TECH'!M87=0,"*",IF('TRA TECH'!H87="","*",'TRA TECH'!J87))</f>
        <v>TRAPASMOTICEVDSL20</v>
      </c>
      <c r="C91" t="str">
        <f>IF('TRA TECH'!M87=0,"*",'TRA TECH'!H87)</f>
        <v>TRABDS</v>
      </c>
      <c r="D91" t="s">
        <v>424</v>
      </c>
      <c r="E91" s="9">
        <f>'TRA TECH'!P87</f>
        <v>0.1</v>
      </c>
      <c r="H91" t="str">
        <f>IF('TRA TECH'!M87=1,IF('TRA TECH'!L87=1,'TRA TECH'!J87,"*"),"*")</f>
        <v>*</v>
      </c>
      <c r="I91" t="str">
        <f>IF(H91="*","*",_xlfn.XLOOKUP(H91,'TRA TECH'!J:J,'TRA TECH'!I:I))</f>
        <v>*</v>
      </c>
      <c r="J91" t="str">
        <f>IF(H91="*","*",_xlfn.XLOOKUP(H91,'TRA TECH'!J:J,'TRA TECH'!N:N))</f>
        <v>*</v>
      </c>
      <c r="K91" s="15" t="str">
        <f>IF(H91="*","*",IF(_xlfn.XLOOKUP(H91,'TRA TECH'!J:J,'TRA TECH'!O:O)="","",_xlfn.XLOOKUP(H91,'TRA TECH'!J:J,'TRA TECH'!O:O)))</f>
        <v>*</v>
      </c>
      <c r="L91" t="str">
        <f t="shared" si="6"/>
        <v>*</v>
      </c>
      <c r="M91" t="str">
        <f>IF(H91="*","*",IF(_xlfn.XLOOKUP($H91,'TRA TECH'!$J:$J,'TRA TECH'!Q:Q)="","",_xlfn.XLOOKUP($H91,'TRA TECH'!$J:$J,'TRA TECH'!Q:Q)))</f>
        <v>*</v>
      </c>
      <c r="N91" t="str">
        <f>IF(H91="*","*",IF(_xlfn.XLOOKUP($H91,'TRA TECH'!$J:$J,'TRA TECH'!R:R)="","",_xlfn.XLOOKUP($H91,'TRA TECH'!$J:$J,'TRA TECH'!R:R)))</f>
        <v>*</v>
      </c>
      <c r="O91" t="str">
        <f>IF(H91="*","*",IF(_xlfn.XLOOKUP($H91,'TRA TECH'!$J:$J,'TRA TECH'!S:S)="","",_xlfn.XLOOKUP($H91,'TRA TECH'!$J:$J,'TRA TECH'!S:S)))</f>
        <v>*</v>
      </c>
      <c r="P91" t="str">
        <f>IF(H91="*","*",IF(_xlfn.XLOOKUP($H91,'TRA TECH'!$J:$J,'TRA TECH'!T:T)="","",_xlfn.XLOOKUP($H91,'TRA TECH'!$J:$J,'TRA TECH'!T:T)))</f>
        <v>*</v>
      </c>
      <c r="Q91" t="str">
        <f>IF(H91="*","*",IF(_xlfn.XLOOKUP($H91,'TRA TECH'!$J:$J,'TRA TECH'!U:U)="","",_xlfn.XLOOKUP($H91,'TRA TECH'!$J:$J,'TRA TECH'!U:U)))</f>
        <v>*</v>
      </c>
      <c r="R91" t="str">
        <f>IF(H91="*","*",IF(_xlfn.XLOOKUP($H91,'TRA TECH'!$J:$J,'TRA TECH'!V:V)="","",_xlfn.XLOOKUP($H91,'TRA TECH'!$J:$J,'TRA TECH'!V:V)))</f>
        <v>*</v>
      </c>
      <c r="S91" t="str">
        <f>IF(H91="*","*",IF(_xlfn.XLOOKUP($H91,'TRA TECH'!$J:$J,'TRA TECH'!W:W)="","",_xlfn.XLOOKUP($H91,'TRA TECH'!$J:$J,'TRA TECH'!W:W)))</f>
        <v>*</v>
      </c>
      <c r="T91" t="str">
        <f t="shared" si="7"/>
        <v>*</v>
      </c>
      <c r="U91" t="str">
        <f>IF(H91="*","*",IF(_xlfn.XLOOKUP($H91,'TRA TECH'!$J:$J,'TRA TECH'!X:X)="","",_xlfn.XLOOKUP($H91,'TRA TECH'!$J:$J,'TRA TECH'!X:X)))</f>
        <v>*</v>
      </c>
      <c r="V91" t="str">
        <f>IF(H91="*","*",IF(_xlfn.XLOOKUP($H91,'TRA TECH'!$J:$J,'TRA TECH'!Y:Y)="","",_xlfn.XLOOKUP($H91,'TRA TECH'!$J:$J,'TRA TECH'!Y:Y)))</f>
        <v>*</v>
      </c>
      <c r="W91" t="str">
        <f>IF(H91="*","*",IF(_xlfn.XLOOKUP($H91,'TRA TECH'!$J:$J,'TRA TECH'!Z:Z)="","",_xlfn.XLOOKUP($H91,'TRA TECH'!$J:$J,'TRA TECH'!Z:Z)))</f>
        <v>*</v>
      </c>
      <c r="X91" t="str">
        <f>IF(H91="*","*",IF(_xlfn.XLOOKUP($H91,'TRA TECH'!$J:$J,'TRA TECH'!AA:AA)="","",_xlfn.XLOOKUP($H91,'TRA TECH'!$J:$J,'TRA TECH'!AA:AA)))</f>
        <v>*</v>
      </c>
      <c r="Y91" t="str">
        <f>IF(H91="*","*",IF(_xlfn.XLOOKUP($H91,'TRA TECH'!$J:$J,'TRA TECH'!AB:AB)="","",_xlfn.XLOOKUP($H91,'TRA TECH'!$J:$J,'TRA TECH'!AB:AB)))</f>
        <v>*</v>
      </c>
      <c r="Z91" t="str">
        <f>IF(H91="*","*",IF(_xlfn.XLOOKUP($H91,'TRA TECH'!$J:$J,'TRA TECH'!AC:AC)="","",_xlfn.XLOOKUP($H91,'TRA TECH'!$J:$J,'TRA TECH'!AC:AC)))</f>
        <v>*</v>
      </c>
      <c r="AA91" t="str">
        <f>IF(H91="*","*",IF(_xlfn.XLOOKUP($H91,'TRA TECH'!$J:$J,'TRA TECH'!AD:AD)="","",_xlfn.XLOOKUP($H91,'TRA TECH'!$J:$J,'TRA TECH'!AD:AD)))</f>
        <v>*</v>
      </c>
      <c r="AB91" t="str">
        <f t="shared" si="8"/>
        <v>*</v>
      </c>
      <c r="AC91" s="15" t="str">
        <f>IF(H91="*","*",IF(_xlfn.XLOOKUP($H91,'TRA TECH'!$J:$J,'TRA TECH'!AE:AE)="","",_xlfn.XLOOKUP($H91,'TRA TECH'!$J:$J,'TRA TECH'!AE:AE)))</f>
        <v>*</v>
      </c>
      <c r="AD91" s="15" t="str">
        <f>IF(H91="*","*",IF(_xlfn.XLOOKUP($H91,'TRA TECH'!$J:$J,'TRA TECH'!AF:AF)="","",_xlfn.XLOOKUP($H91,'TRA TECH'!$J:$J,'TRA TECH'!AF:AF)))</f>
        <v>*</v>
      </c>
      <c r="AE91" s="15" t="str">
        <f>IF(H91="*","*",IF(_xlfn.XLOOKUP($H91,'TRA TECH'!$J:$J,'TRA TECH'!AG:AG)="","",_xlfn.XLOOKUP($H91,'TRA TECH'!$J:$J,'TRA TECH'!AG:AG)))</f>
        <v>*</v>
      </c>
      <c r="AF91" s="15" t="str">
        <f>IF(H91="*","*",IF(_xlfn.XLOOKUP($H91,'TRA TECH'!$J:$J,'TRA TECH'!AH:AH)="","",_xlfn.XLOOKUP($H91,'TRA TECH'!$J:$J,'TRA TECH'!AH:AH)))</f>
        <v>*</v>
      </c>
      <c r="AG91" s="15" t="str">
        <f>IF(H91="*","*",IF(_xlfn.XLOOKUP($H91,'TRA TECH'!$J:$J,'TRA TECH'!AI:AI)="","",_xlfn.XLOOKUP($H91,'TRA TECH'!$J:$J,'TRA TECH'!AI:AI)))</f>
        <v>*</v>
      </c>
      <c r="AH91" s="15" t="str">
        <f>IF(H91="*","*",IF(_xlfn.XLOOKUP($H91,'TRA TECH'!$J:$J,'TRA TECH'!AJ:AJ)="","",_xlfn.XLOOKUP($H91,'TRA TECH'!$J:$J,'TRA TECH'!AJ:AJ)))</f>
        <v>*</v>
      </c>
      <c r="AI91" s="15" t="str">
        <f>IF(H91="*","*",IF(_xlfn.XLOOKUP($H91,'TRA TECH'!$J:$J,'TRA TECH'!AK:AK)="","",_xlfn.XLOOKUP($H91,'TRA TECH'!$J:$J,'TRA TECH'!AK:AK)))</f>
        <v>*</v>
      </c>
      <c r="AJ91" s="15" t="str">
        <f t="shared" si="9"/>
        <v>*</v>
      </c>
      <c r="AK91" s="16" t="str">
        <f t="shared" si="10"/>
        <v>*</v>
      </c>
    </row>
    <row r="92" spans="2:37" x14ac:dyDescent="0.25">
      <c r="B92" t="str">
        <f>IF('TRA TECH'!M88=0,"*",IF('TRA TECH'!H88="","*",'TRA TECH'!J88))</f>
        <v>TRAPASMOTICEVCNG20</v>
      </c>
      <c r="C92" t="str">
        <f>IF('TRA TECH'!M88=0,"*",'TRA TECH'!H88)</f>
        <v>TRACNG</v>
      </c>
      <c r="D92" t="s">
        <v>424</v>
      </c>
      <c r="E92" s="9">
        <f>'TRA TECH'!P88</f>
        <v>1</v>
      </c>
      <c r="H92" t="str">
        <f>IF('TRA TECH'!M88=1,IF('TRA TECH'!L88=1,'TRA TECH'!J88,"*"),"*")</f>
        <v>TRAPASMOTICEVCNG20</v>
      </c>
      <c r="I92" t="str">
        <f>IF(H92="*","*",_xlfn.XLOOKUP(H92,'TRA TECH'!J:J,'TRA TECH'!I:I))</f>
        <v>TRAPASMOTDMD</v>
      </c>
      <c r="J92">
        <f>IF(H92="*","*",_xlfn.XLOOKUP(H92,'TRA TECH'!J:J,'TRA TECH'!N:N))</f>
        <v>2020</v>
      </c>
      <c r="K92" s="15">
        <f>IF(H92="*","*",IF(_xlfn.XLOOKUP(H92,'TRA TECH'!J:J,'TRA TECH'!O:O)="","",_xlfn.XLOOKUP(H92,'TRA TECH'!J:J,'TRA TECH'!O:O)))</f>
        <v>85.500534378339864</v>
      </c>
      <c r="L92">
        <f t="shared" si="6"/>
        <v>1</v>
      </c>
      <c r="M92">
        <f>IF(H92="*","*",IF(_xlfn.XLOOKUP($H92,'TRA TECH'!$J:$J,'TRA TECH'!Q:Q)="","",_xlfn.XLOOKUP($H92,'TRA TECH'!$J:$J,'TRA TECH'!Q:Q)))</f>
        <v>0.39397887240356078</v>
      </c>
      <c r="N92">
        <f>IF(H92="*","*",IF(_xlfn.XLOOKUP($H92,'TRA TECH'!$J:$J,'TRA TECH'!R:R)="","",_xlfn.XLOOKUP($H92,'TRA TECH'!$J:$J,'TRA TECH'!R:R)))</f>
        <v>0.42050943620178038</v>
      </c>
      <c r="O92">
        <f>IF(H92="*","*",IF(_xlfn.XLOOKUP($H92,'TRA TECH'!$J:$J,'TRA TECH'!S:S)="","",_xlfn.XLOOKUP($H92,'TRA TECH'!$J:$J,'TRA TECH'!S:S)))</f>
        <v>0.47489709198813052</v>
      </c>
      <c r="P92">
        <f>IF(H92="*","*",IF(_xlfn.XLOOKUP($H92,'TRA TECH'!$J:$J,'TRA TECH'!T:T)="","",_xlfn.XLOOKUP($H92,'TRA TECH'!$J:$J,'TRA TECH'!T:T)))</f>
        <v>0.509386824925816</v>
      </c>
      <c r="Q92">
        <f>IF(H92="*","*",IF(_xlfn.XLOOKUP($H92,'TRA TECH'!$J:$J,'TRA TECH'!U:U)="","",_xlfn.XLOOKUP($H92,'TRA TECH'!$J:$J,'TRA TECH'!U:U)))</f>
        <v>0.53724391691394657</v>
      </c>
      <c r="R92">
        <f>IF(H92="*","*",IF(_xlfn.XLOOKUP($H92,'TRA TECH'!$J:$J,'TRA TECH'!V:V)="","",_xlfn.XLOOKUP($H92,'TRA TECH'!$J:$J,'TRA TECH'!V:V)))</f>
        <v>0.56510100890207715</v>
      </c>
      <c r="S92">
        <f>IF(H92="*","*",IF(_xlfn.XLOOKUP($H92,'TRA TECH'!$J:$J,'TRA TECH'!W:W)="","",_xlfn.XLOOKUP($H92,'TRA TECH'!$J:$J,'TRA TECH'!W:W)))</f>
        <v>0.59163157270029676</v>
      </c>
      <c r="T92">
        <f t="shared" si="7"/>
        <v>0.59163157270029676</v>
      </c>
      <c r="U92">
        <f>IF(H92="*","*",IF(_xlfn.XLOOKUP($H92,'TRA TECH'!$J:$J,'TRA TECH'!X:X)="","",_xlfn.XLOOKUP($H92,'TRA TECH'!$J:$J,'TRA TECH'!X:X)))</f>
        <v>185.64747668564479</v>
      </c>
      <c r="V92">
        <f>IF(H92="*","*",IF(_xlfn.XLOOKUP($H92,'TRA TECH'!$J:$J,'TRA TECH'!Y:Y)="","",_xlfn.XLOOKUP($H92,'TRA TECH'!$J:$J,'TRA TECH'!Y:Y)))</f>
        <v>182.80230462915989</v>
      </c>
      <c r="W92">
        <f>IF(H92="*","*",IF(_xlfn.XLOOKUP($H92,'TRA TECH'!$J:$J,'TRA TECH'!Z:Z)="","",_xlfn.XLOOKUP($H92,'TRA TECH'!$J:$J,'TRA TECH'!Z:Z)))</f>
        <v>182.80230462915989</v>
      </c>
      <c r="X92">
        <f>IF(H92="*","*",IF(_xlfn.XLOOKUP($H92,'TRA TECH'!$J:$J,'TRA TECH'!AA:AA)="","",_xlfn.XLOOKUP($H92,'TRA TECH'!$J:$J,'TRA TECH'!AA:AA)))</f>
        <v>182.09101161503861</v>
      </c>
      <c r="Y92">
        <f>IF(H92="*","*",IF(_xlfn.XLOOKUP($H92,'TRA TECH'!$J:$J,'TRA TECH'!AB:AB)="","",_xlfn.XLOOKUP($H92,'TRA TECH'!$J:$J,'TRA TECH'!AB:AB)))</f>
        <v>182.09101161503861</v>
      </c>
      <c r="Z92">
        <f>IF(H92="*","*",IF(_xlfn.XLOOKUP($H92,'TRA TECH'!$J:$J,'TRA TECH'!AC:AC)="","",_xlfn.XLOOKUP($H92,'TRA TECH'!$J:$J,'TRA TECH'!AC:AC)))</f>
        <v>181.37971860091741</v>
      </c>
      <c r="AA92">
        <f>IF(H92="*","*",IF(_xlfn.XLOOKUP($H92,'TRA TECH'!$J:$J,'TRA TECH'!AD:AD)="","",_xlfn.XLOOKUP($H92,'TRA TECH'!$J:$J,'TRA TECH'!AD:AD)))</f>
        <v>181.37971860091741</v>
      </c>
      <c r="AB92">
        <f t="shared" si="8"/>
        <v>181.37971860091741</v>
      </c>
      <c r="AC92" s="15">
        <f>IF(H92="*","*",IF(_xlfn.XLOOKUP($H92,'TRA TECH'!$J:$J,'TRA TECH'!AE:AE)="","",_xlfn.XLOOKUP($H92,'TRA TECH'!$J:$J,'TRA TECH'!AE:AE)))</f>
        <v>1.0315764034964729</v>
      </c>
      <c r="AD92" s="15">
        <f>IF(H92="*","*",IF(_xlfn.XLOOKUP($H92,'TRA TECH'!$J:$J,'TRA TECH'!AF:AF)="","",_xlfn.XLOOKUP($H92,'TRA TECH'!$J:$J,'TRA TECH'!AF:AF)))</f>
        <v>1.0315764034964729</v>
      </c>
      <c r="AE92" s="15">
        <f>IF(H92="*","*",IF(_xlfn.XLOOKUP($H92,'TRA TECH'!$J:$J,'TRA TECH'!AG:AG)="","",_xlfn.XLOOKUP($H92,'TRA TECH'!$J:$J,'TRA TECH'!AG:AG)))</f>
        <v>1.0315764034964729</v>
      </c>
      <c r="AF92" s="15">
        <f>IF(H92="*","*",IF(_xlfn.XLOOKUP($H92,'TRA TECH'!$J:$J,'TRA TECH'!AH:AH)="","",_xlfn.XLOOKUP($H92,'TRA TECH'!$J:$J,'TRA TECH'!AH:AH)))</f>
        <v>1.0315764034964729</v>
      </c>
      <c r="AG92" s="15">
        <f>IF(H92="*","*",IF(_xlfn.XLOOKUP($H92,'TRA TECH'!$J:$J,'TRA TECH'!AI:AI)="","",_xlfn.XLOOKUP($H92,'TRA TECH'!$J:$J,'TRA TECH'!AI:AI)))</f>
        <v>1.0315764034964729</v>
      </c>
      <c r="AH92" s="15">
        <f>IF(H92="*","*",IF(_xlfn.XLOOKUP($H92,'TRA TECH'!$J:$J,'TRA TECH'!AJ:AJ)="","",_xlfn.XLOOKUP($H92,'TRA TECH'!$J:$J,'TRA TECH'!AJ:AJ)))</f>
        <v>1.0315764034964729</v>
      </c>
      <c r="AI92" s="15">
        <f>IF(H92="*","*",IF(_xlfn.XLOOKUP($H92,'TRA TECH'!$J:$J,'TRA TECH'!AK:AK)="","",_xlfn.XLOOKUP($H92,'TRA TECH'!$J:$J,'TRA TECH'!AK:AK)))</f>
        <v>1.0315764034964729</v>
      </c>
      <c r="AJ92" s="15">
        <f t="shared" si="9"/>
        <v>1.0315764034964729</v>
      </c>
      <c r="AK92" s="16">
        <f t="shared" si="10"/>
        <v>0.3</v>
      </c>
    </row>
    <row r="93" spans="2:37" x14ac:dyDescent="0.25">
      <c r="B93" t="str">
        <f>IF('TRA TECH'!M89=0,"*",IF('TRA TECH'!H89="","*",'TRA TECH'!J89))</f>
        <v>TRAPASMOTICEVCNG20</v>
      </c>
      <c r="C93" t="str">
        <f>IF('TRA TECH'!M89=0,"*",'TRA TECH'!H89)</f>
        <v>TRARNG</v>
      </c>
      <c r="D93" t="s">
        <v>424</v>
      </c>
      <c r="E93" s="9">
        <f>'TRA TECH'!P89</f>
        <v>1</v>
      </c>
      <c r="H93" t="str">
        <f>IF('TRA TECH'!M89=1,IF('TRA TECH'!L89=1,'TRA TECH'!J89,"*"),"*")</f>
        <v>*</v>
      </c>
      <c r="I93" t="str">
        <f>IF(H93="*","*",_xlfn.XLOOKUP(H93,'TRA TECH'!J:J,'TRA TECH'!I:I))</f>
        <v>*</v>
      </c>
      <c r="J93" t="str">
        <f>IF(H93="*","*",_xlfn.XLOOKUP(H93,'TRA TECH'!J:J,'TRA TECH'!N:N))</f>
        <v>*</v>
      </c>
      <c r="K93" s="15" t="str">
        <f>IF(H93="*","*",IF(_xlfn.XLOOKUP(H93,'TRA TECH'!J:J,'TRA TECH'!O:O)="","",_xlfn.XLOOKUP(H93,'TRA TECH'!J:J,'TRA TECH'!O:O)))</f>
        <v>*</v>
      </c>
      <c r="L93" t="str">
        <f t="shared" si="6"/>
        <v>*</v>
      </c>
      <c r="M93" t="str">
        <f>IF(H93="*","*",IF(_xlfn.XLOOKUP($H93,'TRA TECH'!$J:$J,'TRA TECH'!Q:Q)="","",_xlfn.XLOOKUP($H93,'TRA TECH'!$J:$J,'TRA TECH'!Q:Q)))</f>
        <v>*</v>
      </c>
      <c r="N93" t="str">
        <f>IF(H93="*","*",IF(_xlfn.XLOOKUP($H93,'TRA TECH'!$J:$J,'TRA TECH'!R:R)="","",_xlfn.XLOOKUP($H93,'TRA TECH'!$J:$J,'TRA TECH'!R:R)))</f>
        <v>*</v>
      </c>
      <c r="O93" t="str">
        <f>IF(H93="*","*",IF(_xlfn.XLOOKUP($H93,'TRA TECH'!$J:$J,'TRA TECH'!S:S)="","",_xlfn.XLOOKUP($H93,'TRA TECH'!$J:$J,'TRA TECH'!S:S)))</f>
        <v>*</v>
      </c>
      <c r="P93" t="str">
        <f>IF(H93="*","*",IF(_xlfn.XLOOKUP($H93,'TRA TECH'!$J:$J,'TRA TECH'!T:T)="","",_xlfn.XLOOKUP($H93,'TRA TECH'!$J:$J,'TRA TECH'!T:T)))</f>
        <v>*</v>
      </c>
      <c r="Q93" t="str">
        <f>IF(H93="*","*",IF(_xlfn.XLOOKUP($H93,'TRA TECH'!$J:$J,'TRA TECH'!U:U)="","",_xlfn.XLOOKUP($H93,'TRA TECH'!$J:$J,'TRA TECH'!U:U)))</f>
        <v>*</v>
      </c>
      <c r="R93" t="str">
        <f>IF(H93="*","*",IF(_xlfn.XLOOKUP($H93,'TRA TECH'!$J:$J,'TRA TECH'!V:V)="","",_xlfn.XLOOKUP($H93,'TRA TECH'!$J:$J,'TRA TECH'!V:V)))</f>
        <v>*</v>
      </c>
      <c r="S93" t="str">
        <f>IF(H93="*","*",IF(_xlfn.XLOOKUP($H93,'TRA TECH'!$J:$J,'TRA TECH'!W:W)="","",_xlfn.XLOOKUP($H93,'TRA TECH'!$J:$J,'TRA TECH'!W:W)))</f>
        <v>*</v>
      </c>
      <c r="T93" t="str">
        <f t="shared" si="7"/>
        <v>*</v>
      </c>
      <c r="U93" t="str">
        <f>IF(H93="*","*",IF(_xlfn.XLOOKUP($H93,'TRA TECH'!$J:$J,'TRA TECH'!X:X)="","",_xlfn.XLOOKUP($H93,'TRA TECH'!$J:$J,'TRA TECH'!X:X)))</f>
        <v>*</v>
      </c>
      <c r="V93" t="str">
        <f>IF(H93="*","*",IF(_xlfn.XLOOKUP($H93,'TRA TECH'!$J:$J,'TRA TECH'!Y:Y)="","",_xlfn.XLOOKUP($H93,'TRA TECH'!$J:$J,'TRA TECH'!Y:Y)))</f>
        <v>*</v>
      </c>
      <c r="W93" t="str">
        <f>IF(H93="*","*",IF(_xlfn.XLOOKUP($H93,'TRA TECH'!$J:$J,'TRA TECH'!Z:Z)="","",_xlfn.XLOOKUP($H93,'TRA TECH'!$J:$J,'TRA TECH'!Z:Z)))</f>
        <v>*</v>
      </c>
      <c r="X93" t="str">
        <f>IF(H93="*","*",IF(_xlfn.XLOOKUP($H93,'TRA TECH'!$J:$J,'TRA TECH'!AA:AA)="","",_xlfn.XLOOKUP($H93,'TRA TECH'!$J:$J,'TRA TECH'!AA:AA)))</f>
        <v>*</v>
      </c>
      <c r="Y93" t="str">
        <f>IF(H93="*","*",IF(_xlfn.XLOOKUP($H93,'TRA TECH'!$J:$J,'TRA TECH'!AB:AB)="","",_xlfn.XLOOKUP($H93,'TRA TECH'!$J:$J,'TRA TECH'!AB:AB)))</f>
        <v>*</v>
      </c>
      <c r="Z93" t="str">
        <f>IF(H93="*","*",IF(_xlfn.XLOOKUP($H93,'TRA TECH'!$J:$J,'TRA TECH'!AC:AC)="","",_xlfn.XLOOKUP($H93,'TRA TECH'!$J:$J,'TRA TECH'!AC:AC)))</f>
        <v>*</v>
      </c>
      <c r="AA93" t="str">
        <f>IF(H93="*","*",IF(_xlfn.XLOOKUP($H93,'TRA TECH'!$J:$J,'TRA TECH'!AD:AD)="","",_xlfn.XLOOKUP($H93,'TRA TECH'!$J:$J,'TRA TECH'!AD:AD)))</f>
        <v>*</v>
      </c>
      <c r="AB93" t="str">
        <f t="shared" si="8"/>
        <v>*</v>
      </c>
      <c r="AC93" s="15" t="str">
        <f>IF(H93="*","*",IF(_xlfn.XLOOKUP($H93,'TRA TECH'!$J:$J,'TRA TECH'!AE:AE)="","",_xlfn.XLOOKUP($H93,'TRA TECH'!$J:$J,'TRA TECH'!AE:AE)))</f>
        <v>*</v>
      </c>
      <c r="AD93" s="15" t="str">
        <f>IF(H93="*","*",IF(_xlfn.XLOOKUP($H93,'TRA TECH'!$J:$J,'TRA TECH'!AF:AF)="","",_xlfn.XLOOKUP($H93,'TRA TECH'!$J:$J,'TRA TECH'!AF:AF)))</f>
        <v>*</v>
      </c>
      <c r="AE93" s="15" t="str">
        <f>IF(H93="*","*",IF(_xlfn.XLOOKUP($H93,'TRA TECH'!$J:$J,'TRA TECH'!AG:AG)="","",_xlfn.XLOOKUP($H93,'TRA TECH'!$J:$J,'TRA TECH'!AG:AG)))</f>
        <v>*</v>
      </c>
      <c r="AF93" s="15" t="str">
        <f>IF(H93="*","*",IF(_xlfn.XLOOKUP($H93,'TRA TECH'!$J:$J,'TRA TECH'!AH:AH)="","",_xlfn.XLOOKUP($H93,'TRA TECH'!$J:$J,'TRA TECH'!AH:AH)))</f>
        <v>*</v>
      </c>
      <c r="AG93" s="15" t="str">
        <f>IF(H93="*","*",IF(_xlfn.XLOOKUP($H93,'TRA TECH'!$J:$J,'TRA TECH'!AI:AI)="","",_xlfn.XLOOKUP($H93,'TRA TECH'!$J:$J,'TRA TECH'!AI:AI)))</f>
        <v>*</v>
      </c>
      <c r="AH93" s="15" t="str">
        <f>IF(H93="*","*",IF(_xlfn.XLOOKUP($H93,'TRA TECH'!$J:$J,'TRA TECH'!AJ:AJ)="","",_xlfn.XLOOKUP($H93,'TRA TECH'!$J:$J,'TRA TECH'!AJ:AJ)))</f>
        <v>*</v>
      </c>
      <c r="AI93" s="15" t="str">
        <f>IF(H93="*","*",IF(_xlfn.XLOOKUP($H93,'TRA TECH'!$J:$J,'TRA TECH'!AK:AK)="","",_xlfn.XLOOKUP($H93,'TRA TECH'!$J:$J,'TRA TECH'!AK:AK)))</f>
        <v>*</v>
      </c>
      <c r="AJ93" s="15" t="str">
        <f t="shared" si="9"/>
        <v>*</v>
      </c>
      <c r="AK93" s="16" t="str">
        <f t="shared" si="10"/>
        <v>*</v>
      </c>
    </row>
    <row r="94" spans="2:37" x14ac:dyDescent="0.25">
      <c r="B94" t="str">
        <f>IF('TRA TECH'!M90=0,"*",IF('TRA TECH'!H90="","*",'TRA TECH'!J90))</f>
        <v>TRAPASMOT300FCEV20</v>
      </c>
      <c r="C94" t="str">
        <f>IF('TRA TECH'!M90=0,"*",'TRA TECH'!H90)</f>
        <v>TRAH2G</v>
      </c>
      <c r="D94" t="s">
        <v>424</v>
      </c>
      <c r="E94" s="9">
        <f>'TRA TECH'!P90</f>
        <v>1</v>
      </c>
      <c r="H94" t="str">
        <f>IF('TRA TECH'!M90=1,IF('TRA TECH'!L90=1,'TRA TECH'!J90,"*"),"*")</f>
        <v>TRAPASMOT300FCEV20</v>
      </c>
      <c r="I94" t="str">
        <f>IF(H94="*","*",_xlfn.XLOOKUP(H94,'TRA TECH'!J:J,'TRA TECH'!I:I))</f>
        <v>TRAPASMOTDMD</v>
      </c>
      <c r="J94">
        <f>IF(H94="*","*",_xlfn.XLOOKUP(H94,'TRA TECH'!J:J,'TRA TECH'!N:N))</f>
        <v>2020</v>
      </c>
      <c r="K94" s="15">
        <f>IF(H94="*","*",IF(_xlfn.XLOOKUP(H94,'TRA TECH'!J:J,'TRA TECH'!O:O)="","",_xlfn.XLOOKUP(H94,'TRA TECH'!J:J,'TRA TECH'!O:O)))</f>
        <v>85.500534378339864</v>
      </c>
      <c r="L94">
        <f t="shared" si="6"/>
        <v>1</v>
      </c>
      <c r="M94">
        <f>IF(H94="*","*",IF(_xlfn.XLOOKUP($H94,'TRA TECH'!$J:$J,'TRA TECH'!Q:Q)="","",_xlfn.XLOOKUP($H94,'TRA TECH'!$J:$J,'TRA TECH'!Q:Q)))</f>
        <v>0.99887572700296734</v>
      </c>
      <c r="N94">
        <f>IF(H94="*","*",IF(_xlfn.XLOOKUP($H94,'TRA TECH'!$J:$J,'TRA TECH'!R:R)="","",_xlfn.XLOOKUP($H94,'TRA TECH'!$J:$J,'TRA TECH'!R:R)))</f>
        <v>1.036018516320474</v>
      </c>
      <c r="O94">
        <f>IF(H94="*","*",IF(_xlfn.XLOOKUP($H94,'TRA TECH'!$J:$J,'TRA TECH'!S:S)="","",_xlfn.XLOOKUP($H94,'TRA TECH'!$J:$J,'TRA TECH'!S:S)))</f>
        <v>1.058569495548962</v>
      </c>
      <c r="P94">
        <f>IF(H94="*","*",IF(_xlfn.XLOOKUP($H94,'TRA TECH'!$J:$J,'TRA TECH'!T:T)="","",_xlfn.XLOOKUP($H94,'TRA TECH'!$J:$J,'TRA TECH'!T:T)))</f>
        <v>1.1328550741839769</v>
      </c>
      <c r="Q94">
        <f>IF(H94="*","*",IF(_xlfn.XLOOKUP($H94,'TRA TECH'!$J:$J,'TRA TECH'!U:U)="","",_xlfn.XLOOKUP($H94,'TRA TECH'!$J:$J,'TRA TECH'!U:U)))</f>
        <v>1.163365222551928</v>
      </c>
      <c r="R94">
        <f>IF(H94="*","*",IF(_xlfn.XLOOKUP($H94,'TRA TECH'!$J:$J,'TRA TECH'!V:V)="","",_xlfn.XLOOKUP($H94,'TRA TECH'!$J:$J,'TRA TECH'!V:V)))</f>
        <v>1.1938753709198811</v>
      </c>
      <c r="S94">
        <f>IF(H94="*","*",IF(_xlfn.XLOOKUP($H94,'TRA TECH'!$J:$J,'TRA TECH'!W:W)="","",_xlfn.XLOOKUP($H94,'TRA TECH'!$J:$J,'TRA TECH'!W:W)))</f>
        <v>1.2230589910979219</v>
      </c>
      <c r="T94">
        <f t="shared" si="7"/>
        <v>1.2230589910979219</v>
      </c>
      <c r="U94">
        <f>IF(H94="*","*",IF(_xlfn.XLOOKUP($H94,'TRA TECH'!$J:$J,'TRA TECH'!X:X)="","",_xlfn.XLOOKUP($H94,'TRA TECH'!$J:$J,'TRA TECH'!X:X)))</f>
        <v>197.7394579257062</v>
      </c>
      <c r="V94">
        <f>IF(H94="*","*",IF(_xlfn.XLOOKUP($H94,'TRA TECH'!$J:$J,'TRA TECH'!Y:Y)="","",_xlfn.XLOOKUP($H94,'TRA TECH'!$J:$J,'TRA TECH'!Y:Y)))</f>
        <v>182.09101161503881</v>
      </c>
      <c r="W94">
        <f>IF(H94="*","*",IF(_xlfn.XLOOKUP($H94,'TRA TECH'!$J:$J,'TRA TECH'!Z:Z)="","",_xlfn.XLOOKUP($H94,'TRA TECH'!$J:$J,'TRA TECH'!Z:Z)))</f>
        <v>168.57644434673509</v>
      </c>
      <c r="X94">
        <f>IF(H94="*","*",IF(_xlfn.XLOOKUP($H94,'TRA TECH'!$J:$J,'TRA TECH'!AA:AA)="","",_xlfn.XLOOKUP($H94,'TRA TECH'!$J:$J,'TRA TECH'!AA:AA)))</f>
        <v>152.2167050219465</v>
      </c>
      <c r="Y94">
        <f>IF(H94="*","*",IF(_xlfn.XLOOKUP($H94,'TRA TECH'!$J:$J,'TRA TECH'!AB:AB)="","",_xlfn.XLOOKUP($H94,'TRA TECH'!$J:$J,'TRA TECH'!AB:AB)))</f>
        <v>147.94894693721901</v>
      </c>
      <c r="Z94">
        <f>IF(H94="*","*",IF(_xlfn.XLOOKUP($H94,'TRA TECH'!$J:$J,'TRA TECH'!AC:AC)="","",_xlfn.XLOOKUP($H94,'TRA TECH'!$J:$J,'TRA TECH'!AC:AC)))</f>
        <v>143.6811888524914</v>
      </c>
      <c r="AA94">
        <f>IF(H94="*","*",IF(_xlfn.XLOOKUP($H94,'TRA TECH'!$J:$J,'TRA TECH'!AD:AD)="","",_xlfn.XLOOKUP($H94,'TRA TECH'!$J:$J,'TRA TECH'!AD:AD)))</f>
        <v>139.41343076776391</v>
      </c>
      <c r="AB94">
        <f t="shared" si="8"/>
        <v>139.41343076776391</v>
      </c>
      <c r="AC94" s="15">
        <f>IF(H94="*","*",IF(_xlfn.XLOOKUP($H94,'TRA TECH'!$J:$J,'TRA TECH'!AE:AE)="","",_xlfn.XLOOKUP($H94,'TRA TECH'!$J:$J,'TRA TECH'!AE:AE)))</f>
        <v>0.74872480898937499</v>
      </c>
      <c r="AD94" s="15">
        <f>IF(H94="*","*",IF(_xlfn.XLOOKUP($H94,'TRA TECH'!$J:$J,'TRA TECH'!AF:AF)="","",_xlfn.XLOOKUP($H94,'TRA TECH'!$J:$J,'TRA TECH'!AF:AF)))</f>
        <v>0.74872480898937499</v>
      </c>
      <c r="AE94" s="15">
        <f>IF(H94="*","*",IF(_xlfn.XLOOKUP($H94,'TRA TECH'!$J:$J,'TRA TECH'!AG:AG)="","",_xlfn.XLOOKUP($H94,'TRA TECH'!$J:$J,'TRA TECH'!AG:AG)))</f>
        <v>0.74872480898937499</v>
      </c>
      <c r="AF94" s="15">
        <f>IF(H94="*","*",IF(_xlfn.XLOOKUP($H94,'TRA TECH'!$J:$J,'TRA TECH'!AH:AH)="","",_xlfn.XLOOKUP($H94,'TRA TECH'!$J:$J,'TRA TECH'!AH:AH)))</f>
        <v>0.74872480898937499</v>
      </c>
      <c r="AG94" s="15">
        <f>IF(H94="*","*",IF(_xlfn.XLOOKUP($H94,'TRA TECH'!$J:$J,'TRA TECH'!AI:AI)="","",_xlfn.XLOOKUP($H94,'TRA TECH'!$J:$J,'TRA TECH'!AI:AI)))</f>
        <v>0.74872480898937499</v>
      </c>
      <c r="AH94" s="15">
        <f>IF(H94="*","*",IF(_xlfn.XLOOKUP($H94,'TRA TECH'!$J:$J,'TRA TECH'!AJ:AJ)="","",_xlfn.XLOOKUP($H94,'TRA TECH'!$J:$J,'TRA TECH'!AJ:AJ)))</f>
        <v>0.74872480898937499</v>
      </c>
      <c r="AI94" s="15">
        <f>IF(H94="*","*",IF(_xlfn.XLOOKUP($H94,'TRA TECH'!$J:$J,'TRA TECH'!AK:AK)="","",_xlfn.XLOOKUP($H94,'TRA TECH'!$J:$J,'TRA TECH'!AK:AK)))</f>
        <v>0.74872480898937499</v>
      </c>
      <c r="AJ94" s="15">
        <f t="shared" si="9"/>
        <v>0.74872480898937499</v>
      </c>
      <c r="AK94" s="16">
        <f t="shared" si="10"/>
        <v>0.4</v>
      </c>
    </row>
    <row r="95" spans="2:37" x14ac:dyDescent="0.25">
      <c r="B95" t="str">
        <f>IF('TRA TECH'!M91=0,"*",IF('TRA TECH'!H91="","*",'TRA TECH'!J91))</f>
        <v>TRAPASMOT400FCEV20</v>
      </c>
      <c r="C95" t="str">
        <f>IF('TRA TECH'!M91=0,"*",'TRA TECH'!H91)</f>
        <v>TRAH2G</v>
      </c>
      <c r="D95" t="s">
        <v>424</v>
      </c>
      <c r="E95" s="9">
        <f>'TRA TECH'!P91</f>
        <v>1</v>
      </c>
      <c r="H95" t="str">
        <f>IF('TRA TECH'!M91=1,IF('TRA TECH'!L91=1,'TRA TECH'!J91,"*"),"*")</f>
        <v>TRAPASMOT400FCEV20</v>
      </c>
      <c r="I95" t="str">
        <f>IF(H95="*","*",_xlfn.XLOOKUP(H95,'TRA TECH'!J:J,'TRA TECH'!I:I))</f>
        <v>TRAPASMOTDMD</v>
      </c>
      <c r="J95">
        <f>IF(H95="*","*",_xlfn.XLOOKUP(H95,'TRA TECH'!J:J,'TRA TECH'!N:N))</f>
        <v>2020</v>
      </c>
      <c r="K95" s="15">
        <f>IF(H95="*","*",IF(_xlfn.XLOOKUP(H95,'TRA TECH'!J:J,'TRA TECH'!O:O)="","",_xlfn.XLOOKUP(H95,'TRA TECH'!J:J,'TRA TECH'!O:O)))</f>
        <v>85.500534378339864</v>
      </c>
      <c r="L95">
        <f t="shared" si="6"/>
        <v>1</v>
      </c>
      <c r="M95">
        <f>IF(H95="*","*",IF(_xlfn.XLOOKUP($H95,'TRA TECH'!$J:$J,'TRA TECH'!Q:Q)="","",_xlfn.XLOOKUP($H95,'TRA TECH'!$J:$J,'TRA TECH'!Q:Q)))</f>
        <v>0.98959002967358989</v>
      </c>
      <c r="N95">
        <f>IF(H95="*","*",IF(_xlfn.XLOOKUP($H95,'TRA TECH'!$J:$J,'TRA TECH'!R:R)="","",_xlfn.XLOOKUP($H95,'TRA TECH'!$J:$J,'TRA TECH'!R:R)))</f>
        <v>1.0254062908011869</v>
      </c>
      <c r="O95">
        <f>IF(H95="*","*",IF(_xlfn.XLOOKUP($H95,'TRA TECH'!$J:$J,'TRA TECH'!S:S)="","",_xlfn.XLOOKUP($H95,'TRA TECH'!$J:$J,'TRA TECH'!S:S)))</f>
        <v>1.045304213649852</v>
      </c>
      <c r="P95">
        <f>IF(H95="*","*",IF(_xlfn.XLOOKUP($H95,'TRA TECH'!$J:$J,'TRA TECH'!T:T)="","",_xlfn.XLOOKUP($H95,'TRA TECH'!$J:$J,'TRA TECH'!T:T)))</f>
        <v>1.1209163204747781</v>
      </c>
      <c r="Q95">
        <f>IF(H95="*","*",IF(_xlfn.XLOOKUP($H95,'TRA TECH'!$J:$J,'TRA TECH'!U:U)="","",_xlfn.XLOOKUP($H95,'TRA TECH'!$J:$J,'TRA TECH'!U:U)))</f>
        <v>1.150099940652819</v>
      </c>
      <c r="R95">
        <f>IF(H95="*","*",IF(_xlfn.XLOOKUP($H95,'TRA TECH'!$J:$J,'TRA TECH'!V:V)="","",_xlfn.XLOOKUP($H95,'TRA TECH'!$J:$J,'TRA TECH'!V:V)))</f>
        <v>1.1792835608308609</v>
      </c>
      <c r="S95">
        <f>IF(H95="*","*",IF(_xlfn.XLOOKUP($H95,'TRA TECH'!$J:$J,'TRA TECH'!W:W)="","",_xlfn.XLOOKUP($H95,'TRA TECH'!$J:$J,'TRA TECH'!W:W)))</f>
        <v>1.2084671810089009</v>
      </c>
      <c r="T95">
        <f t="shared" si="7"/>
        <v>1.2084671810089009</v>
      </c>
      <c r="U95">
        <f>IF(H95="*","*",IF(_xlfn.XLOOKUP($H95,'TRA TECH'!$J:$J,'TRA TECH'!X:X)="","",_xlfn.XLOOKUP($H95,'TRA TECH'!$J:$J,'TRA TECH'!X:X)))</f>
        <v>203.4298020386758</v>
      </c>
      <c r="V95">
        <f>IF(H95="*","*",IF(_xlfn.XLOOKUP($H95,'TRA TECH'!$J:$J,'TRA TECH'!Y:Y)="","",_xlfn.XLOOKUP($H95,'TRA TECH'!$J:$J,'TRA TECH'!Y:Y)))</f>
        <v>187.0700627138873</v>
      </c>
      <c r="W95">
        <f>IF(H95="*","*",IF(_xlfn.XLOOKUP($H95,'TRA TECH'!$J:$J,'TRA TECH'!Z:Z)="","",_xlfn.XLOOKUP($H95,'TRA TECH'!$J:$J,'TRA TECH'!Z:Z)))</f>
        <v>174.266788459705</v>
      </c>
      <c r="X95">
        <f>IF(H95="*","*",IF(_xlfn.XLOOKUP($H95,'TRA TECH'!$J:$J,'TRA TECH'!AA:AA)="","",_xlfn.XLOOKUP($H95,'TRA TECH'!$J:$J,'TRA TECH'!AA:AA)))</f>
        <v>156.48446310667379</v>
      </c>
      <c r="Y95">
        <f>IF(H95="*","*",IF(_xlfn.XLOOKUP($H95,'TRA TECH'!$J:$J,'TRA TECH'!AB:AB)="","",_xlfn.XLOOKUP($H95,'TRA TECH'!$J:$J,'TRA TECH'!AB:AB)))</f>
        <v>152.2167050219465</v>
      </c>
      <c r="Z95">
        <f>IF(H95="*","*",IF(_xlfn.XLOOKUP($H95,'TRA TECH'!$J:$J,'TRA TECH'!AC:AC)="","",_xlfn.XLOOKUP($H95,'TRA TECH'!$J:$J,'TRA TECH'!AC:AC)))</f>
        <v>147.94894693721901</v>
      </c>
      <c r="AA95">
        <f>IF(H95="*","*",IF(_xlfn.XLOOKUP($H95,'TRA TECH'!$J:$J,'TRA TECH'!AD:AD)="","",_xlfn.XLOOKUP($H95,'TRA TECH'!$J:$J,'TRA TECH'!AD:AD)))</f>
        <v>143.6811888524914</v>
      </c>
      <c r="AB95">
        <f t="shared" si="8"/>
        <v>143.6811888524914</v>
      </c>
      <c r="AC95" s="15">
        <f>IF(H95="*","*",IF(_xlfn.XLOOKUP($H95,'TRA TECH'!$J:$J,'TRA TECH'!AE:AE)="","",_xlfn.XLOOKUP($H95,'TRA TECH'!$J:$J,'TRA TECH'!AE:AE)))</f>
        <v>0.74872480898937499</v>
      </c>
      <c r="AD95" s="15">
        <f>IF(H95="*","*",IF(_xlfn.XLOOKUP($H95,'TRA TECH'!$J:$J,'TRA TECH'!AF:AF)="","",_xlfn.XLOOKUP($H95,'TRA TECH'!$J:$J,'TRA TECH'!AF:AF)))</f>
        <v>0.74872480898937499</v>
      </c>
      <c r="AE95" s="15">
        <f>IF(H95="*","*",IF(_xlfn.XLOOKUP($H95,'TRA TECH'!$J:$J,'TRA TECH'!AG:AG)="","",_xlfn.XLOOKUP($H95,'TRA TECH'!$J:$J,'TRA TECH'!AG:AG)))</f>
        <v>0.74872480898937499</v>
      </c>
      <c r="AF95" s="15">
        <f>IF(H95="*","*",IF(_xlfn.XLOOKUP($H95,'TRA TECH'!$J:$J,'TRA TECH'!AH:AH)="","",_xlfn.XLOOKUP($H95,'TRA TECH'!$J:$J,'TRA TECH'!AH:AH)))</f>
        <v>0.74872480898937499</v>
      </c>
      <c r="AG95" s="15">
        <f>IF(H95="*","*",IF(_xlfn.XLOOKUP($H95,'TRA TECH'!$J:$J,'TRA TECH'!AI:AI)="","",_xlfn.XLOOKUP($H95,'TRA TECH'!$J:$J,'TRA TECH'!AI:AI)))</f>
        <v>0.74872480898937499</v>
      </c>
      <c r="AH95" s="15">
        <f>IF(H95="*","*",IF(_xlfn.XLOOKUP($H95,'TRA TECH'!$J:$J,'TRA TECH'!AJ:AJ)="","",_xlfn.XLOOKUP($H95,'TRA TECH'!$J:$J,'TRA TECH'!AJ:AJ)))</f>
        <v>0.74872480898937499</v>
      </c>
      <c r="AI95" s="15">
        <f>IF(H95="*","*",IF(_xlfn.XLOOKUP($H95,'TRA TECH'!$J:$J,'TRA TECH'!AK:AK)="","",_xlfn.XLOOKUP($H95,'TRA TECH'!$J:$J,'TRA TECH'!AK:AK)))</f>
        <v>0.74872480898937499</v>
      </c>
      <c r="AJ95" s="15">
        <f t="shared" si="9"/>
        <v>0.74872480898937499</v>
      </c>
      <c r="AK95" s="16">
        <f t="shared" si="10"/>
        <v>0.4</v>
      </c>
    </row>
    <row r="96" spans="2:37" x14ac:dyDescent="0.25">
      <c r="B96" t="str">
        <f>IF('TRA TECH'!M92=0,"*",IF('TRA TECH'!H92="","*",'TRA TECH'!J92))</f>
        <v>TRAPASMOT200BEV20</v>
      </c>
      <c r="C96" t="str">
        <f>IF('TRA TECH'!M92=0,"*",'TRA TECH'!H92)</f>
        <v>TRABAT</v>
      </c>
      <c r="D96" t="s">
        <v>424</v>
      </c>
      <c r="E96" s="9">
        <f>'TRA TECH'!P92</f>
        <v>1</v>
      </c>
      <c r="H96" t="str">
        <f>IF('TRA TECH'!M92=1,IF('TRA TECH'!L92=1,'TRA TECH'!J92,"*"),"*")</f>
        <v>TRAPASMOT200BEV20</v>
      </c>
      <c r="I96" t="str">
        <f>IF(H96="*","*",_xlfn.XLOOKUP(H96,'TRA TECH'!J:J,'TRA TECH'!I:I))</f>
        <v>TRAPASMOTDMD</v>
      </c>
      <c r="J96">
        <f>IF(H96="*","*",_xlfn.XLOOKUP(H96,'TRA TECH'!J:J,'TRA TECH'!N:N))</f>
        <v>2020</v>
      </c>
      <c r="K96" s="15">
        <f>IF(H96="*","*",IF(_xlfn.XLOOKUP(H96,'TRA TECH'!J:J,'TRA TECH'!O:O)="","",_xlfn.XLOOKUP(H96,'TRA TECH'!J:J,'TRA TECH'!O:O)))</f>
        <v>85.500534378339864</v>
      </c>
      <c r="L96">
        <f t="shared" si="6"/>
        <v>1</v>
      </c>
      <c r="M96">
        <f>IF(H96="*","*",IF(_xlfn.XLOOKUP($H96,'TRA TECH'!$J:$J,'TRA TECH'!Q:Q)="","",_xlfn.XLOOKUP($H96,'TRA TECH'!$J:$J,'TRA TECH'!Q:Q)))</f>
        <v>2.1357103857566768</v>
      </c>
      <c r="N96">
        <f>IF(H96="*","*",IF(_xlfn.XLOOKUP($H96,'TRA TECH'!$J:$J,'TRA TECH'!R:R)="","",_xlfn.XLOOKUP($H96,'TRA TECH'!$J:$J,'TRA TECH'!R:R)))</f>
        <v>2.2285673590504449</v>
      </c>
      <c r="O96">
        <f>IF(H96="*","*",IF(_xlfn.XLOOKUP($H96,'TRA TECH'!$J:$J,'TRA TECH'!S:S)="","",_xlfn.XLOOKUP($H96,'TRA TECH'!$J:$J,'TRA TECH'!S:S)))</f>
        <v>2.281628486646885</v>
      </c>
      <c r="P96">
        <f>IF(H96="*","*",IF(_xlfn.XLOOKUP($H96,'TRA TECH'!$J:$J,'TRA TECH'!T:T)="","",_xlfn.XLOOKUP($H96,'TRA TECH'!$J:$J,'TRA TECH'!T:T)))</f>
        <v>2.4806077151335311</v>
      </c>
      <c r="Q96">
        <f>IF(H96="*","*",IF(_xlfn.XLOOKUP($H96,'TRA TECH'!$J:$J,'TRA TECH'!U:U)="","",_xlfn.XLOOKUP($H96,'TRA TECH'!$J:$J,'TRA TECH'!U:U)))</f>
        <v>2.5601994065281901</v>
      </c>
      <c r="R96">
        <f>IF(H96="*","*",IF(_xlfn.XLOOKUP($H96,'TRA TECH'!$J:$J,'TRA TECH'!V:V)="","",_xlfn.XLOOKUP($H96,'TRA TECH'!$J:$J,'TRA TECH'!V:V)))</f>
        <v>2.6530563798219591</v>
      </c>
      <c r="S96">
        <f>IF(H96="*","*",IF(_xlfn.XLOOKUP($H96,'TRA TECH'!$J:$J,'TRA TECH'!W:W)="","",_xlfn.XLOOKUP($H96,'TRA TECH'!$J:$J,'TRA TECH'!W:W)))</f>
        <v>2.7459133531157272</v>
      </c>
      <c r="T96">
        <f t="shared" si="7"/>
        <v>2.7459133531157272</v>
      </c>
      <c r="U96">
        <f>IF(H96="*","*",IF(_xlfn.XLOOKUP($H96,'TRA TECH'!$J:$J,'TRA TECH'!X:X)="","",_xlfn.XLOOKUP($H96,'TRA TECH'!$J:$J,'TRA TECH'!X:X)))</f>
        <v>160.04092817728011</v>
      </c>
      <c r="V96">
        <f>IF(H96="*","*",IF(_xlfn.XLOOKUP($H96,'TRA TECH'!$J:$J,'TRA TECH'!Y:Y)="","",_xlfn.XLOOKUP($H96,'TRA TECH'!$J:$J,'TRA TECH'!Y:Y)))</f>
        <v>149.3715329654614</v>
      </c>
      <c r="W96">
        <f>IF(H96="*","*",IF(_xlfn.XLOOKUP($H96,'TRA TECH'!$J:$J,'TRA TECH'!Z:Z)="","",_xlfn.XLOOKUP($H96,'TRA TECH'!$J:$J,'TRA TECH'!Z:Z)))</f>
        <v>134.43437966891531</v>
      </c>
      <c r="X96">
        <f>IF(H96="*","*",IF(_xlfn.XLOOKUP($H96,'TRA TECH'!$J:$J,'TRA TECH'!AA:AA)="","",_xlfn.XLOOKUP($H96,'TRA TECH'!$J:$J,'TRA TECH'!AA:AA)))</f>
        <v>125.18757048533899</v>
      </c>
      <c r="Y96">
        <f>IF(H96="*","*",IF(_xlfn.XLOOKUP($H96,'TRA TECH'!$J:$J,'TRA TECH'!AB:AB)="","",_xlfn.XLOOKUP($H96,'TRA TECH'!$J:$J,'TRA TECH'!AB:AB)))</f>
        <v>120.9198124006116</v>
      </c>
      <c r="Z96">
        <f>IF(H96="*","*",IF(_xlfn.XLOOKUP($H96,'TRA TECH'!$J:$J,'TRA TECH'!AC:AC)="","",_xlfn.XLOOKUP($H96,'TRA TECH'!$J:$J,'TRA TECH'!AC:AC)))</f>
        <v>116.6520543158841</v>
      </c>
      <c r="AA96">
        <f>IF(H96="*","*",IF(_xlfn.XLOOKUP($H96,'TRA TECH'!$J:$J,'TRA TECH'!AD:AD)="","",_xlfn.XLOOKUP($H96,'TRA TECH'!$J:$J,'TRA TECH'!AD:AD)))</f>
        <v>112.3842962311567</v>
      </c>
      <c r="AB96">
        <f t="shared" si="8"/>
        <v>112.3842962311567</v>
      </c>
      <c r="AC96" s="15">
        <f>IF(H96="*","*",IF(_xlfn.XLOOKUP($H96,'TRA TECH'!$J:$J,'TRA TECH'!AE:AE)="","",_xlfn.XLOOKUP($H96,'TRA TECH'!$J:$J,'TRA TECH'!AE:AE)))</f>
        <v>0.69714598881455148</v>
      </c>
      <c r="AD96" s="15">
        <f>IF(H96="*","*",IF(_xlfn.XLOOKUP($H96,'TRA TECH'!$J:$J,'TRA TECH'!AF:AF)="","",_xlfn.XLOOKUP($H96,'TRA TECH'!$J:$J,'TRA TECH'!AF:AF)))</f>
        <v>0.69714598881455148</v>
      </c>
      <c r="AE96" s="15">
        <f>IF(H96="*","*",IF(_xlfn.XLOOKUP($H96,'TRA TECH'!$J:$J,'TRA TECH'!AG:AG)="","",_xlfn.XLOOKUP($H96,'TRA TECH'!$J:$J,'TRA TECH'!AG:AG)))</f>
        <v>0.69714598881455148</v>
      </c>
      <c r="AF96" s="15">
        <f>IF(H96="*","*",IF(_xlfn.XLOOKUP($H96,'TRA TECH'!$J:$J,'TRA TECH'!AH:AH)="","",_xlfn.XLOOKUP($H96,'TRA TECH'!$J:$J,'TRA TECH'!AH:AH)))</f>
        <v>0.69714598881455148</v>
      </c>
      <c r="AG96" s="15">
        <f>IF(H96="*","*",IF(_xlfn.XLOOKUP($H96,'TRA TECH'!$J:$J,'TRA TECH'!AI:AI)="","",_xlfn.XLOOKUP($H96,'TRA TECH'!$J:$J,'TRA TECH'!AI:AI)))</f>
        <v>0.69714598881455148</v>
      </c>
      <c r="AH96" s="15">
        <f>IF(H96="*","*",IF(_xlfn.XLOOKUP($H96,'TRA TECH'!$J:$J,'TRA TECH'!AJ:AJ)="","",_xlfn.XLOOKUP($H96,'TRA TECH'!$J:$J,'TRA TECH'!AJ:AJ)))</f>
        <v>0.69714598881455148</v>
      </c>
      <c r="AI96" s="15">
        <f>IF(H96="*","*",IF(_xlfn.XLOOKUP($H96,'TRA TECH'!$J:$J,'TRA TECH'!AK:AK)="","",_xlfn.XLOOKUP($H96,'TRA TECH'!$J:$J,'TRA TECH'!AK:AK)))</f>
        <v>0.69714598881455148</v>
      </c>
      <c r="AJ96" s="15">
        <f t="shared" si="9"/>
        <v>0.69714598881455148</v>
      </c>
      <c r="AK96" s="16">
        <f t="shared" si="10"/>
        <v>0.4</v>
      </c>
    </row>
    <row r="97" spans="2:37" x14ac:dyDescent="0.25">
      <c r="B97" t="str">
        <f>IF('TRA TECH'!M93=0,"*",IF('TRA TECH'!H93="","*",'TRA TECH'!J93))</f>
        <v>TRAPASMOT300BEV20</v>
      </c>
      <c r="C97" t="str">
        <f>IF('TRA TECH'!M93=0,"*",'TRA TECH'!H93)</f>
        <v>TRABAT</v>
      </c>
      <c r="D97" t="s">
        <v>424</v>
      </c>
      <c r="E97" s="9">
        <f>'TRA TECH'!P93</f>
        <v>1</v>
      </c>
      <c r="H97" t="str">
        <f>IF('TRA TECH'!M93=1,IF('TRA TECH'!L93=1,'TRA TECH'!J93,"*"),"*")</f>
        <v>TRAPASMOT300BEV20</v>
      </c>
      <c r="I97" t="str">
        <f>IF(H97="*","*",_xlfn.XLOOKUP(H97,'TRA TECH'!J:J,'TRA TECH'!I:I))</f>
        <v>TRAPASMOTDMD</v>
      </c>
      <c r="J97">
        <f>IF(H97="*","*",_xlfn.XLOOKUP(H97,'TRA TECH'!J:J,'TRA TECH'!N:N))</f>
        <v>2020</v>
      </c>
      <c r="K97" s="15">
        <f>IF(H97="*","*",IF(_xlfn.XLOOKUP(H97,'TRA TECH'!J:J,'TRA TECH'!O:O)="","",_xlfn.XLOOKUP(H97,'TRA TECH'!J:J,'TRA TECH'!O:O)))</f>
        <v>85.500534378339864</v>
      </c>
      <c r="L97">
        <f t="shared" si="6"/>
        <v>1</v>
      </c>
      <c r="M97">
        <f>IF(H97="*","*",IF(_xlfn.XLOOKUP($H97,'TRA TECH'!$J:$J,'TRA TECH'!Q:Q)="","",_xlfn.XLOOKUP($H97,'TRA TECH'!$J:$J,'TRA TECH'!Q:Q)))</f>
        <v>2.0295881305637979</v>
      </c>
      <c r="N97">
        <f>IF(H97="*","*",IF(_xlfn.XLOOKUP($H97,'TRA TECH'!$J:$J,'TRA TECH'!R:R)="","",_xlfn.XLOOKUP($H97,'TRA TECH'!$J:$J,'TRA TECH'!R:R)))</f>
        <v>2.1224451038575669</v>
      </c>
      <c r="O97">
        <f>IF(H97="*","*",IF(_xlfn.XLOOKUP($H97,'TRA TECH'!$J:$J,'TRA TECH'!S:S)="","",_xlfn.XLOOKUP($H97,'TRA TECH'!$J:$J,'TRA TECH'!S:S)))</f>
        <v>2.202036795252226</v>
      </c>
      <c r="P97">
        <f>IF(H97="*","*",IF(_xlfn.XLOOKUP($H97,'TRA TECH'!$J:$J,'TRA TECH'!T:T)="","",_xlfn.XLOOKUP($H97,'TRA TECH'!$J:$J,'TRA TECH'!T:T)))</f>
        <v>2.401016023738872</v>
      </c>
      <c r="Q97">
        <f>IF(H97="*","*",IF(_xlfn.XLOOKUP($H97,'TRA TECH'!$J:$J,'TRA TECH'!U:U)="","",_xlfn.XLOOKUP($H97,'TRA TECH'!$J:$J,'TRA TECH'!U:U)))</f>
        <v>2.4806077151335311</v>
      </c>
      <c r="R97">
        <f>IF(H97="*","*",IF(_xlfn.XLOOKUP($H97,'TRA TECH'!$J:$J,'TRA TECH'!V:V)="","",_xlfn.XLOOKUP($H97,'TRA TECH'!$J:$J,'TRA TECH'!V:V)))</f>
        <v>2.5601994065281901</v>
      </c>
      <c r="S97">
        <f>IF(H97="*","*",IF(_xlfn.XLOOKUP($H97,'TRA TECH'!$J:$J,'TRA TECH'!W:W)="","",_xlfn.XLOOKUP($H97,'TRA TECH'!$J:$J,'TRA TECH'!W:W)))</f>
        <v>2.6530563798219591</v>
      </c>
      <c r="T97">
        <f t="shared" si="7"/>
        <v>2.6530563798219591</v>
      </c>
      <c r="U97">
        <f>IF(H97="*","*",IF(_xlfn.XLOOKUP($H97,'TRA TECH'!$J:$J,'TRA TECH'!X:X)="","",_xlfn.XLOOKUP($H97,'TRA TECH'!$J:$J,'TRA TECH'!X:X)))</f>
        <v>192.76040682685729</v>
      </c>
      <c r="V97">
        <f>IF(H97="*","*",IF(_xlfn.XLOOKUP($H97,'TRA TECH'!$J:$J,'TRA TECH'!Y:Y)="","",_xlfn.XLOOKUP($H97,'TRA TECH'!$J:$J,'TRA TECH'!Y:Y)))</f>
        <v>177.11196051619001</v>
      </c>
      <c r="W97">
        <f>IF(H97="*","*",IF(_xlfn.XLOOKUP($H97,'TRA TECH'!$J:$J,'TRA TECH'!Z:Z)="","",_xlfn.XLOOKUP($H97,'TRA TECH'!$J:$J,'TRA TECH'!Z:Z)))</f>
        <v>155.06187707843131</v>
      </c>
      <c r="X97">
        <f>IF(H97="*","*",IF(_xlfn.XLOOKUP($H97,'TRA TECH'!$J:$J,'TRA TECH'!AA:AA)="","",_xlfn.XLOOKUP($H97,'TRA TECH'!$J:$J,'TRA TECH'!AA:AA)))</f>
        <v>142.2586028242489</v>
      </c>
      <c r="Y97">
        <f>IF(H97="*","*",IF(_xlfn.XLOOKUP($H97,'TRA TECH'!$J:$J,'TRA TECH'!AB:AB)="","",_xlfn.XLOOKUP($H97,'TRA TECH'!$J:$J,'TRA TECH'!AB:AB)))</f>
        <v>135.85696569715779</v>
      </c>
      <c r="Z97">
        <f>IF(H97="*","*",IF(_xlfn.XLOOKUP($H97,'TRA TECH'!$J:$J,'TRA TECH'!AC:AC)="","",_xlfn.XLOOKUP($H97,'TRA TECH'!$J:$J,'TRA TECH'!AC:AC)))</f>
        <v>129.45532857006651</v>
      </c>
      <c r="AA97">
        <f>IF(H97="*","*",IF(_xlfn.XLOOKUP($H97,'TRA TECH'!$J:$J,'TRA TECH'!AD:AD)="","",_xlfn.XLOOKUP($H97,'TRA TECH'!$J:$J,'TRA TECH'!AD:AD)))</f>
        <v>123.05369144297531</v>
      </c>
      <c r="AB97">
        <f t="shared" si="8"/>
        <v>123.05369144297531</v>
      </c>
      <c r="AC97" s="15">
        <f>IF(H97="*","*",IF(_xlfn.XLOOKUP($H97,'TRA TECH'!$J:$J,'TRA TECH'!AE:AE)="","",_xlfn.XLOOKUP($H97,'TRA TECH'!$J:$J,'TRA TECH'!AE:AE)))</f>
        <v>0.69714598881455148</v>
      </c>
      <c r="AD97" s="15">
        <f>IF(H97="*","*",IF(_xlfn.XLOOKUP($H97,'TRA TECH'!$J:$J,'TRA TECH'!AF:AF)="","",_xlfn.XLOOKUP($H97,'TRA TECH'!$J:$J,'TRA TECH'!AF:AF)))</f>
        <v>0.69714598881455148</v>
      </c>
      <c r="AE97" s="15">
        <f>IF(H97="*","*",IF(_xlfn.XLOOKUP($H97,'TRA TECH'!$J:$J,'TRA TECH'!AG:AG)="","",_xlfn.XLOOKUP($H97,'TRA TECH'!$J:$J,'TRA TECH'!AG:AG)))</f>
        <v>0.69714598881455148</v>
      </c>
      <c r="AF97" s="15">
        <f>IF(H97="*","*",IF(_xlfn.XLOOKUP($H97,'TRA TECH'!$J:$J,'TRA TECH'!AH:AH)="","",_xlfn.XLOOKUP($H97,'TRA TECH'!$J:$J,'TRA TECH'!AH:AH)))</f>
        <v>0.69714598881455148</v>
      </c>
      <c r="AG97" s="15">
        <f>IF(H97="*","*",IF(_xlfn.XLOOKUP($H97,'TRA TECH'!$J:$J,'TRA TECH'!AI:AI)="","",_xlfn.XLOOKUP($H97,'TRA TECH'!$J:$J,'TRA TECH'!AI:AI)))</f>
        <v>0.69714598881455148</v>
      </c>
      <c r="AH97" s="15">
        <f>IF(H97="*","*",IF(_xlfn.XLOOKUP($H97,'TRA TECH'!$J:$J,'TRA TECH'!AJ:AJ)="","",_xlfn.XLOOKUP($H97,'TRA TECH'!$J:$J,'TRA TECH'!AJ:AJ)))</f>
        <v>0.69714598881455148</v>
      </c>
      <c r="AI97" s="15">
        <f>IF(H97="*","*",IF(_xlfn.XLOOKUP($H97,'TRA TECH'!$J:$J,'TRA TECH'!AK:AK)="","",_xlfn.XLOOKUP($H97,'TRA TECH'!$J:$J,'TRA TECH'!AK:AK)))</f>
        <v>0.69714598881455148</v>
      </c>
      <c r="AJ97" s="15">
        <f t="shared" si="9"/>
        <v>0.69714598881455148</v>
      </c>
      <c r="AK97" s="16">
        <f t="shared" si="10"/>
        <v>0.4</v>
      </c>
    </row>
    <row r="98" spans="2:37" x14ac:dyDescent="0.25">
      <c r="B98" t="str">
        <f>IF('TRA TECH'!M94=0,"*",IF('TRA TECH'!H94="","*",'TRA TECH'!J94))</f>
        <v>TRAPASMOT400BEV20</v>
      </c>
      <c r="C98" t="str">
        <f>IF('TRA TECH'!M94=0,"*",'TRA TECH'!H94)</f>
        <v>TRABAT</v>
      </c>
      <c r="D98" t="s">
        <v>424</v>
      </c>
      <c r="E98" s="9">
        <f>'TRA TECH'!P94</f>
        <v>1</v>
      </c>
      <c r="H98" t="str">
        <f>IF('TRA TECH'!M94=1,IF('TRA TECH'!L94=1,'TRA TECH'!J94,"*"),"*")</f>
        <v>TRAPASMOT400BEV20</v>
      </c>
      <c r="I98" t="str">
        <f>IF(H98="*","*",_xlfn.XLOOKUP(H98,'TRA TECH'!J:J,'TRA TECH'!I:I))</f>
        <v>TRAPASMOTDMD</v>
      </c>
      <c r="J98">
        <f>IF(H98="*","*",_xlfn.XLOOKUP(H98,'TRA TECH'!J:J,'TRA TECH'!N:N))</f>
        <v>2020</v>
      </c>
      <c r="K98" s="15">
        <f>IF(H98="*","*",IF(_xlfn.XLOOKUP(H98,'TRA TECH'!J:J,'TRA TECH'!O:O)="","",_xlfn.XLOOKUP(H98,'TRA TECH'!J:J,'TRA TECH'!O:O)))</f>
        <v>85.500534378339864</v>
      </c>
      <c r="L98">
        <f t="shared" si="6"/>
        <v>1</v>
      </c>
      <c r="M98">
        <f>IF(H98="*","*",IF(_xlfn.XLOOKUP($H98,'TRA TECH'!$J:$J,'TRA TECH'!Q:Q)="","",_xlfn.XLOOKUP($H98,'TRA TECH'!$J:$J,'TRA TECH'!Q:Q)))</f>
        <v>1.830608902077151</v>
      </c>
      <c r="N98">
        <f>IF(H98="*","*",IF(_xlfn.XLOOKUP($H98,'TRA TECH'!$J:$J,'TRA TECH'!R:R)="","",_xlfn.XLOOKUP($H98,'TRA TECH'!$J:$J,'TRA TECH'!R:R)))</f>
        <v>1.91020059347181</v>
      </c>
      <c r="O98">
        <f>IF(H98="*","*",IF(_xlfn.XLOOKUP($H98,'TRA TECH'!$J:$J,'TRA TECH'!S:S)="","",_xlfn.XLOOKUP($H98,'TRA TECH'!$J:$J,'TRA TECH'!S:S)))</f>
        <v>2.003057566765579</v>
      </c>
      <c r="P98">
        <f>IF(H98="*","*",IF(_xlfn.XLOOKUP($H98,'TRA TECH'!$J:$J,'TRA TECH'!T:T)="","",_xlfn.XLOOKUP($H98,'TRA TECH'!$J:$J,'TRA TECH'!T:T)))</f>
        <v>2.188771513353116</v>
      </c>
      <c r="Q98">
        <f>IF(H98="*","*",IF(_xlfn.XLOOKUP($H98,'TRA TECH'!$J:$J,'TRA TECH'!U:U)="","",_xlfn.XLOOKUP($H98,'TRA TECH'!$J:$J,'TRA TECH'!U:U)))</f>
        <v>2.2683632047477751</v>
      </c>
      <c r="R98">
        <f>IF(H98="*","*",IF(_xlfn.XLOOKUP($H98,'TRA TECH'!$J:$J,'TRA TECH'!V:V)="","",_xlfn.XLOOKUP($H98,'TRA TECH'!$J:$J,'TRA TECH'!V:V)))</f>
        <v>2.3612201780415432</v>
      </c>
      <c r="S98">
        <f>IF(H98="*","*",IF(_xlfn.XLOOKUP($H98,'TRA TECH'!$J:$J,'TRA TECH'!W:W)="","",_xlfn.XLOOKUP($H98,'TRA TECH'!$J:$J,'TRA TECH'!W:W)))</f>
        <v>2.4540771513353121</v>
      </c>
      <c r="T98">
        <f t="shared" si="7"/>
        <v>2.4540771513353121</v>
      </c>
      <c r="U98">
        <f>IF(H98="*","*",IF(_xlfn.XLOOKUP($H98,'TRA TECH'!$J:$J,'TRA TECH'!X:X)="","",_xlfn.XLOOKUP($H98,'TRA TECH'!$J:$J,'TRA TECH'!X:X)))</f>
        <v>236.8605737023745</v>
      </c>
      <c r="V98">
        <f>IF(H98="*","*",IF(_xlfn.XLOOKUP($H98,'TRA TECH'!$J:$J,'TRA TECH'!Y:Y)="","",_xlfn.XLOOKUP($H98,'TRA TECH'!$J:$J,'TRA TECH'!Y:Y)))</f>
        <v>216.23307629285841</v>
      </c>
      <c r="W98">
        <f>IF(H98="*","*",IF(_xlfn.XLOOKUP($H98,'TRA TECH'!$J:$J,'TRA TECH'!Z:Z)="","",_xlfn.XLOOKUP($H98,'TRA TECH'!$J:$J,'TRA TECH'!Z:Z)))</f>
        <v>182.80230462915989</v>
      </c>
      <c r="X98">
        <f>IF(H98="*","*",IF(_xlfn.XLOOKUP($H98,'TRA TECH'!$J:$J,'TRA TECH'!AA:AA)="","",_xlfn.XLOOKUP($H98,'TRA TECH'!$J:$J,'TRA TECH'!AA:AA)))</f>
        <v>164.30868626200751</v>
      </c>
      <c r="Y98">
        <f>IF(H98="*","*",IF(_xlfn.XLOOKUP($H98,'TRA TECH'!$J:$J,'TRA TECH'!AB:AB)="","",_xlfn.XLOOKUP($H98,'TRA TECH'!$J:$J,'TRA TECH'!AB:AB)))</f>
        <v>155.77317009255259</v>
      </c>
      <c r="Z98">
        <f>IF(H98="*","*",IF(_xlfn.XLOOKUP($H98,'TRA TECH'!$J:$J,'TRA TECH'!AC:AC)="","",_xlfn.XLOOKUP($H98,'TRA TECH'!$J:$J,'TRA TECH'!AC:AC)))</f>
        <v>146.52636090897639</v>
      </c>
      <c r="AA98">
        <f>IF(H98="*","*",IF(_xlfn.XLOOKUP($H98,'TRA TECH'!$J:$J,'TRA TECH'!AD:AD)="","",_xlfn.XLOOKUP($H98,'TRA TECH'!$J:$J,'TRA TECH'!AD:AD)))</f>
        <v>137.99084473952149</v>
      </c>
      <c r="AB98">
        <f t="shared" si="8"/>
        <v>137.99084473952149</v>
      </c>
      <c r="AC98" s="15">
        <f>IF(H98="*","*",IF(_xlfn.XLOOKUP($H98,'TRA TECH'!$J:$J,'TRA TECH'!AE:AE)="","",_xlfn.XLOOKUP($H98,'TRA TECH'!$J:$J,'TRA TECH'!AE:AE)))</f>
        <v>0.69714598881455148</v>
      </c>
      <c r="AD98" s="15">
        <f>IF(H98="*","*",IF(_xlfn.XLOOKUP($H98,'TRA TECH'!$J:$J,'TRA TECH'!AF:AF)="","",_xlfn.XLOOKUP($H98,'TRA TECH'!$J:$J,'TRA TECH'!AF:AF)))</f>
        <v>0.69714598881455148</v>
      </c>
      <c r="AE98" s="15">
        <f>IF(H98="*","*",IF(_xlfn.XLOOKUP($H98,'TRA TECH'!$J:$J,'TRA TECH'!AG:AG)="","",_xlfn.XLOOKUP($H98,'TRA TECH'!$J:$J,'TRA TECH'!AG:AG)))</f>
        <v>0.69714598881455148</v>
      </c>
      <c r="AF98" s="15">
        <f>IF(H98="*","*",IF(_xlfn.XLOOKUP($H98,'TRA TECH'!$J:$J,'TRA TECH'!AH:AH)="","",_xlfn.XLOOKUP($H98,'TRA TECH'!$J:$J,'TRA TECH'!AH:AH)))</f>
        <v>0.69714598881455148</v>
      </c>
      <c r="AG98" s="15">
        <f>IF(H98="*","*",IF(_xlfn.XLOOKUP($H98,'TRA TECH'!$J:$J,'TRA TECH'!AI:AI)="","",_xlfn.XLOOKUP($H98,'TRA TECH'!$J:$J,'TRA TECH'!AI:AI)))</f>
        <v>0.69714598881455148</v>
      </c>
      <c r="AH98" s="15">
        <f>IF(H98="*","*",IF(_xlfn.XLOOKUP($H98,'TRA TECH'!$J:$J,'TRA TECH'!AJ:AJ)="","",_xlfn.XLOOKUP($H98,'TRA TECH'!$J:$J,'TRA TECH'!AJ:AJ)))</f>
        <v>0.69714598881455148</v>
      </c>
      <c r="AI98" s="15">
        <f>IF(H98="*","*",IF(_xlfn.XLOOKUP($H98,'TRA TECH'!$J:$J,'TRA TECH'!AK:AK)="","",_xlfn.XLOOKUP($H98,'TRA TECH'!$J:$J,'TRA TECH'!AK:AK)))</f>
        <v>0.69714598881455148</v>
      </c>
      <c r="AJ98" s="15">
        <f t="shared" si="9"/>
        <v>0.69714598881455148</v>
      </c>
      <c r="AK98" s="16">
        <f t="shared" si="10"/>
        <v>0.4</v>
      </c>
    </row>
    <row r="99" spans="2:37" x14ac:dyDescent="0.25">
      <c r="B99" t="str">
        <f>IF('TRA TECH'!M95=0,"*",IF('TRA TECH'!H95="","*",'TRA TECH'!J95))</f>
        <v>TRAPASMOT500BEV20</v>
      </c>
      <c r="C99" t="str">
        <f>IF('TRA TECH'!M95=0,"*",'TRA TECH'!H95)</f>
        <v>TRABAT</v>
      </c>
      <c r="D99" t="s">
        <v>424</v>
      </c>
      <c r="E99" s="9">
        <f>'TRA TECH'!P95</f>
        <v>1</v>
      </c>
      <c r="H99" t="str">
        <f>IF('TRA TECH'!M95=1,IF('TRA TECH'!L95=1,'TRA TECH'!J95,"*"),"*")</f>
        <v>TRAPASMOT500BEV20</v>
      </c>
      <c r="I99" t="str">
        <f>IF(H99="*","*",_xlfn.XLOOKUP(H99,'TRA TECH'!J:J,'TRA TECH'!I:I))</f>
        <v>TRAPASMOTDMD</v>
      </c>
      <c r="J99">
        <f>IF(H99="*","*",_xlfn.XLOOKUP(H99,'TRA TECH'!J:J,'TRA TECH'!N:N))</f>
        <v>2020</v>
      </c>
      <c r="K99" s="15">
        <f>IF(H99="*","*",IF(_xlfn.XLOOKUP(H99,'TRA TECH'!J:J,'TRA TECH'!O:O)="","",_xlfn.XLOOKUP(H99,'TRA TECH'!J:J,'TRA TECH'!O:O)))</f>
        <v>85.500534378339864</v>
      </c>
      <c r="L99">
        <f t="shared" si="6"/>
        <v>1</v>
      </c>
      <c r="M99">
        <f>IF(H99="*","*",IF(_xlfn.XLOOKUP($H99,'TRA TECH'!$J:$J,'TRA TECH'!Q:Q)="","",_xlfn.XLOOKUP($H99,'TRA TECH'!$J:$J,'TRA TECH'!Q:Q)))</f>
        <v>1.644894955489614</v>
      </c>
      <c r="N99">
        <f>IF(H99="*","*",IF(_xlfn.XLOOKUP($H99,'TRA TECH'!$J:$J,'TRA TECH'!R:R)="","",_xlfn.XLOOKUP($H99,'TRA TECH'!$J:$J,'TRA TECH'!R:R)))</f>
        <v>1.724486646884273</v>
      </c>
      <c r="O99">
        <f>IF(H99="*","*",IF(_xlfn.XLOOKUP($H99,'TRA TECH'!$J:$J,'TRA TECH'!S:S)="","",_xlfn.XLOOKUP($H99,'TRA TECH'!$J:$J,'TRA TECH'!S:S)))</f>
        <v>1.8438741839762609</v>
      </c>
      <c r="P99">
        <f>IF(H99="*","*",IF(_xlfn.XLOOKUP($H99,'TRA TECH'!$J:$J,'TRA TECH'!T:T)="","",_xlfn.XLOOKUP($H99,'TRA TECH'!$J:$J,'TRA TECH'!T:T)))</f>
        <v>2.016322848664688</v>
      </c>
      <c r="Q99">
        <f>IF(H99="*","*",IF(_xlfn.XLOOKUP($H99,'TRA TECH'!$J:$J,'TRA TECH'!U:U)="","",_xlfn.XLOOKUP($H99,'TRA TECH'!$J:$J,'TRA TECH'!U:U)))</f>
        <v>2.0826492581602372</v>
      </c>
      <c r="R99">
        <f>IF(H99="*","*",IF(_xlfn.XLOOKUP($H99,'TRA TECH'!$J:$J,'TRA TECH'!V:V)="","",_xlfn.XLOOKUP($H99,'TRA TECH'!$J:$J,'TRA TECH'!V:V)))</f>
        <v>2.1622409495548962</v>
      </c>
      <c r="S99">
        <f>IF(H99="*","*",IF(_xlfn.XLOOKUP($H99,'TRA TECH'!$J:$J,'TRA TECH'!W:W)="","",_xlfn.XLOOKUP($H99,'TRA TECH'!$J:$J,'TRA TECH'!W:W)))</f>
        <v>2.2550979228486652</v>
      </c>
      <c r="T99">
        <f t="shared" si="7"/>
        <v>2.2550979228486652</v>
      </c>
      <c r="U99">
        <f>IF(H99="*","*",IF(_xlfn.XLOOKUP($H99,'TRA TECH'!$J:$J,'TRA TECH'!X:X)="","",_xlfn.XLOOKUP($H99,'TRA TECH'!$J:$J,'TRA TECH'!X:X)))</f>
        <v>290.20754976146782</v>
      </c>
      <c r="V99">
        <f>IF(H99="*","*",IF(_xlfn.XLOOKUP($H99,'TRA TECH'!$J:$J,'TRA TECH'!Y:Y)="","",_xlfn.XLOOKUP($H99,'TRA TECH'!$J:$J,'TRA TECH'!Y:Y)))</f>
        <v>262.46712221073932</v>
      </c>
      <c r="W99">
        <f>IF(H99="*","*",IF(_xlfn.XLOOKUP($H99,'TRA TECH'!$J:$J,'TRA TECH'!Z:Z)="","",_xlfn.XLOOKUP($H99,'TRA TECH'!$J:$J,'TRA TECH'!Z:Z)))</f>
        <v>214.81049026461591</v>
      </c>
      <c r="X99">
        <f>IF(H99="*","*",IF(_xlfn.XLOOKUP($H99,'TRA TECH'!$J:$J,'TRA TECH'!AA:AA)="","",_xlfn.XLOOKUP($H99,'TRA TECH'!$J:$J,'TRA TECH'!AA:AA)))</f>
        <v>189.91523477037231</v>
      </c>
      <c r="Y99">
        <f>IF(H99="*","*",IF(_xlfn.XLOOKUP($H99,'TRA TECH'!$J:$J,'TRA TECH'!AB:AB)="","",_xlfn.XLOOKUP($H99,'TRA TECH'!$J:$J,'TRA TECH'!AB:AB)))</f>
        <v>178.5345465444324</v>
      </c>
      <c r="Z99">
        <f>IF(H99="*","*",IF(_xlfn.XLOOKUP($H99,'TRA TECH'!$J:$J,'TRA TECH'!AC:AC)="","",_xlfn.XLOOKUP($H99,'TRA TECH'!$J:$J,'TRA TECH'!AC:AC)))</f>
        <v>167.1538583184925</v>
      </c>
      <c r="AA99">
        <f>IF(H99="*","*",IF(_xlfn.XLOOKUP($H99,'TRA TECH'!$J:$J,'TRA TECH'!AD:AD)="","",_xlfn.XLOOKUP($H99,'TRA TECH'!$J:$J,'TRA TECH'!AD:AD)))</f>
        <v>155.77317009255259</v>
      </c>
      <c r="AB99">
        <f t="shared" si="8"/>
        <v>155.77317009255259</v>
      </c>
      <c r="AC99" s="15">
        <f>IF(H99="*","*",IF(_xlfn.XLOOKUP($H99,'TRA TECH'!$J:$J,'TRA TECH'!AE:AE)="","",_xlfn.XLOOKUP($H99,'TRA TECH'!$J:$J,'TRA TECH'!AE:AE)))</f>
        <v>0.69714598881455148</v>
      </c>
      <c r="AD99" s="15">
        <f>IF(H99="*","*",IF(_xlfn.XLOOKUP($H99,'TRA TECH'!$J:$J,'TRA TECH'!AF:AF)="","",_xlfn.XLOOKUP($H99,'TRA TECH'!$J:$J,'TRA TECH'!AF:AF)))</f>
        <v>0.69714598881455148</v>
      </c>
      <c r="AE99" s="15">
        <f>IF(H99="*","*",IF(_xlfn.XLOOKUP($H99,'TRA TECH'!$J:$J,'TRA TECH'!AG:AG)="","",_xlfn.XLOOKUP($H99,'TRA TECH'!$J:$J,'TRA TECH'!AG:AG)))</f>
        <v>0.69714598881455148</v>
      </c>
      <c r="AF99" s="15">
        <f>IF(H99="*","*",IF(_xlfn.XLOOKUP($H99,'TRA TECH'!$J:$J,'TRA TECH'!AH:AH)="","",_xlfn.XLOOKUP($H99,'TRA TECH'!$J:$J,'TRA TECH'!AH:AH)))</f>
        <v>0.69714598881455148</v>
      </c>
      <c r="AG99" s="15">
        <f>IF(H99="*","*",IF(_xlfn.XLOOKUP($H99,'TRA TECH'!$J:$J,'TRA TECH'!AI:AI)="","",_xlfn.XLOOKUP($H99,'TRA TECH'!$J:$J,'TRA TECH'!AI:AI)))</f>
        <v>0.69714598881455148</v>
      </c>
      <c r="AH99" s="15">
        <f>IF(H99="*","*",IF(_xlfn.XLOOKUP($H99,'TRA TECH'!$J:$J,'TRA TECH'!AJ:AJ)="","",_xlfn.XLOOKUP($H99,'TRA TECH'!$J:$J,'TRA TECH'!AJ:AJ)))</f>
        <v>0.69714598881455148</v>
      </c>
      <c r="AI99" s="15">
        <f>IF(H99="*","*",IF(_xlfn.XLOOKUP($H99,'TRA TECH'!$J:$J,'TRA TECH'!AK:AK)="","",_xlfn.XLOOKUP($H99,'TRA TECH'!$J:$J,'TRA TECH'!AK:AK)))</f>
        <v>0.69714598881455148</v>
      </c>
      <c r="AJ99" s="15">
        <f t="shared" si="9"/>
        <v>0.69714598881455148</v>
      </c>
      <c r="AK99" s="16">
        <f t="shared" si="10"/>
        <v>0.4</v>
      </c>
    </row>
    <row r="100" spans="2:37" x14ac:dyDescent="0.25">
      <c r="B100" t="str">
        <f>IF('TRA TECH'!M96=0,"*",IF('TRA TECH'!H96="","*",'TRA TECH'!J96))</f>
        <v>TRAFRECLTICEVGSL20</v>
      </c>
      <c r="C100" t="str">
        <f>IF('TRA TECH'!M96=0,"*",'TRA TECH'!H96)</f>
        <v>TRAGSL</v>
      </c>
      <c r="D100" t="s">
        <v>424</v>
      </c>
      <c r="E100" s="9">
        <f>'TRA TECH'!P96</f>
        <v>1</v>
      </c>
      <c r="H100" t="str">
        <f>IF('TRA TECH'!M96=1,IF('TRA TECH'!L96=1,'TRA TECH'!J96,"*"),"*")</f>
        <v>TRAFRECLTICEVGSL20</v>
      </c>
      <c r="I100" t="str">
        <f>IF(H100="*","*",_xlfn.XLOOKUP(H100,'TRA TECH'!J:J,'TRA TECH'!I:I))</f>
        <v>TRAFRECLTDMD</v>
      </c>
      <c r="J100">
        <f>IF(H100="*","*",_xlfn.XLOOKUP(H100,'TRA TECH'!J:J,'TRA TECH'!N:N))</f>
        <v>2020</v>
      </c>
      <c r="K100" s="15">
        <f>IF(H100="*","*",IF(_xlfn.XLOOKUP(H100,'TRA TECH'!J:J,'TRA TECH'!O:O)="","",_xlfn.XLOOKUP(H100,'TRA TECH'!J:J,'TRA TECH'!O:O)))</f>
        <v>15.579764908323551</v>
      </c>
      <c r="L100">
        <f t="shared" si="6"/>
        <v>1</v>
      </c>
      <c r="M100">
        <f>IF(H100="*","*",IF(_xlfn.XLOOKUP($H100,'TRA TECH'!$J:$J,'TRA TECH'!Q:Q)="","",_xlfn.XLOOKUP($H100,'TRA TECH'!$J:$J,'TRA TECH'!Q:Q)))</f>
        <v>0.2480607715133531</v>
      </c>
      <c r="N100">
        <f>IF(H100="*","*",IF(_xlfn.XLOOKUP($H100,'TRA TECH'!$J:$J,'TRA TECH'!R:R)="","",_xlfn.XLOOKUP($H100,'TRA TECH'!$J:$J,'TRA TECH'!R:R)))</f>
        <v>0.24540771513353121</v>
      </c>
      <c r="O100">
        <f>IF(H100="*","*",IF(_xlfn.XLOOKUP($H100,'TRA TECH'!$J:$J,'TRA TECH'!S:S)="","",_xlfn.XLOOKUP($H100,'TRA TECH'!$J:$J,'TRA TECH'!S:S)))</f>
        <v>0.28255050445103852</v>
      </c>
      <c r="P100">
        <f>IF(H100="*","*",IF(_xlfn.XLOOKUP($H100,'TRA TECH'!$J:$J,'TRA TECH'!T:T)="","",_xlfn.XLOOKUP($H100,'TRA TECH'!$J:$J,'TRA TECH'!T:T)))</f>
        <v>0.30908106824925802</v>
      </c>
      <c r="Q100">
        <f>IF(H100="*","*",IF(_xlfn.XLOOKUP($H100,'TRA TECH'!$J:$J,'TRA TECH'!U:U)="","",_xlfn.XLOOKUP($H100,'TRA TECH'!$J:$J,'TRA TECH'!U:U)))</f>
        <v>0.32499940652818993</v>
      </c>
      <c r="R100">
        <f>IF(H100="*","*",IF(_xlfn.XLOOKUP($H100,'TRA TECH'!$J:$J,'TRA TECH'!V:V)="","",_xlfn.XLOOKUP($H100,'TRA TECH'!$J:$J,'TRA TECH'!V:V)))</f>
        <v>0.33959121661721092</v>
      </c>
      <c r="S100">
        <f>IF(H100="*","*",IF(_xlfn.XLOOKUP($H100,'TRA TECH'!$J:$J,'TRA TECH'!W:W)="","",_xlfn.XLOOKUP($H100,'TRA TECH'!$J:$J,'TRA TECH'!W:W)))</f>
        <v>0.35418302670623159</v>
      </c>
      <c r="T100">
        <f t="shared" si="7"/>
        <v>0.35418302670623159</v>
      </c>
      <c r="U100">
        <f>IF(H100="*","*",IF(_xlfn.XLOOKUP($H100,'TRA TECH'!$J:$J,'TRA TECH'!X:X)="","",_xlfn.XLOOKUP($H100,'TRA TECH'!$J:$J,'TRA TECH'!X:X)))</f>
        <v>184.22489065740251</v>
      </c>
      <c r="V100">
        <f>IF(H100="*","*",IF(_xlfn.XLOOKUP($H100,'TRA TECH'!$J:$J,'TRA TECH'!Y:Y)="","",_xlfn.XLOOKUP($H100,'TRA TECH'!$J:$J,'TRA TECH'!Y:Y)))</f>
        <v>184.22489065740251</v>
      </c>
      <c r="W100">
        <f>IF(H100="*","*",IF(_xlfn.XLOOKUP($H100,'TRA TECH'!$J:$J,'TRA TECH'!Z:Z)="","",_xlfn.XLOOKUP($H100,'TRA TECH'!$J:$J,'TRA TECH'!Z:Z)))</f>
        <v>187.78135572800869</v>
      </c>
      <c r="X100">
        <f>IF(H100="*","*",IF(_xlfn.XLOOKUP($H100,'TRA TECH'!$J:$J,'TRA TECH'!AA:AA)="","",_xlfn.XLOOKUP($H100,'TRA TECH'!$J:$J,'TRA TECH'!AA:AA)))</f>
        <v>196.31687189746339</v>
      </c>
      <c r="Y100">
        <f>IF(H100="*","*",IF(_xlfn.XLOOKUP($H100,'TRA TECH'!$J:$J,'TRA TECH'!AB:AB)="","",_xlfn.XLOOKUP($H100,'TRA TECH'!$J:$J,'TRA TECH'!AB:AB)))</f>
        <v>196.31687189746339</v>
      </c>
      <c r="Z100">
        <f>IF(H100="*","*",IF(_xlfn.XLOOKUP($H100,'TRA TECH'!$J:$J,'TRA TECH'!AC:AC)="","",_xlfn.XLOOKUP($H100,'TRA TECH'!$J:$J,'TRA TECH'!AC:AC)))</f>
        <v>195.60557888334239</v>
      </c>
      <c r="AA100">
        <f>IF(H100="*","*",IF(_xlfn.XLOOKUP($H100,'TRA TECH'!$J:$J,'TRA TECH'!AD:AD)="","",_xlfn.XLOOKUP($H100,'TRA TECH'!$J:$J,'TRA TECH'!AD:AD)))</f>
        <v>195.60557888334239</v>
      </c>
      <c r="AB100">
        <f t="shared" si="8"/>
        <v>195.60557888334239</v>
      </c>
      <c r="AC100" s="15">
        <f>IF(H100="*","*",IF(_xlfn.XLOOKUP($H100,'TRA TECH'!$J:$J,'TRA TECH'!AE:AE)="","",_xlfn.XLOOKUP($H100,'TRA TECH'!$J:$J,'TRA TECH'!AE:AE)))</f>
        <v>5.6155558990605714</v>
      </c>
      <c r="AD100" s="15">
        <f>IF(H100="*","*",IF(_xlfn.XLOOKUP($H100,'TRA TECH'!$J:$J,'TRA TECH'!AF:AF)="","",_xlfn.XLOOKUP($H100,'TRA TECH'!$J:$J,'TRA TECH'!AF:AF)))</f>
        <v>5.6155558990605714</v>
      </c>
      <c r="AE100" s="15">
        <f>IF(H100="*","*",IF(_xlfn.XLOOKUP($H100,'TRA TECH'!$J:$J,'TRA TECH'!AG:AG)="","",_xlfn.XLOOKUP($H100,'TRA TECH'!$J:$J,'TRA TECH'!AG:AG)))</f>
        <v>5.6155558990605714</v>
      </c>
      <c r="AF100" s="15">
        <f>IF(H100="*","*",IF(_xlfn.XLOOKUP($H100,'TRA TECH'!$J:$J,'TRA TECH'!AH:AH)="","",_xlfn.XLOOKUP($H100,'TRA TECH'!$J:$J,'TRA TECH'!AH:AH)))</f>
        <v>5.6155558990605714</v>
      </c>
      <c r="AG100" s="15">
        <f>IF(H100="*","*",IF(_xlfn.XLOOKUP($H100,'TRA TECH'!$J:$J,'TRA TECH'!AI:AI)="","",_xlfn.XLOOKUP($H100,'TRA TECH'!$J:$J,'TRA TECH'!AI:AI)))</f>
        <v>5.6155558990605714</v>
      </c>
      <c r="AH100" s="15">
        <f>IF(H100="*","*",IF(_xlfn.XLOOKUP($H100,'TRA TECH'!$J:$J,'TRA TECH'!AJ:AJ)="","",_xlfn.XLOOKUP($H100,'TRA TECH'!$J:$J,'TRA TECH'!AJ:AJ)))</f>
        <v>5.6155558990605714</v>
      </c>
      <c r="AI100" s="15">
        <f>IF(H100="*","*",IF(_xlfn.XLOOKUP($H100,'TRA TECH'!$J:$J,'TRA TECH'!AK:AK)="","",_xlfn.XLOOKUP($H100,'TRA TECH'!$J:$J,'TRA TECH'!AK:AK)))</f>
        <v>5.6155558990605714</v>
      </c>
      <c r="AJ100" s="15">
        <f t="shared" si="9"/>
        <v>5.6155558990605714</v>
      </c>
      <c r="AK100" s="16">
        <f t="shared" si="10"/>
        <v>0.1</v>
      </c>
    </row>
    <row r="101" spans="2:37" x14ac:dyDescent="0.25">
      <c r="B101" t="str">
        <f>IF('TRA TECH'!M97=0,"*",IF('TRA TECH'!H97="","*",'TRA TECH'!J97))</f>
        <v>TRAFRECLTICEVGSL20</v>
      </c>
      <c r="C101" t="str">
        <f>IF('TRA TECH'!M97=0,"*",'TRA TECH'!H97)</f>
        <v>TRAETH</v>
      </c>
      <c r="D101" t="s">
        <v>424</v>
      </c>
      <c r="E101" s="9">
        <f>'TRA TECH'!P97</f>
        <v>0.1</v>
      </c>
      <c r="H101" t="str">
        <f>IF('TRA TECH'!M97=1,IF('TRA TECH'!L97=1,'TRA TECH'!J97,"*"),"*")</f>
        <v>*</v>
      </c>
      <c r="I101" t="str">
        <f>IF(H101="*","*",_xlfn.XLOOKUP(H101,'TRA TECH'!J:J,'TRA TECH'!I:I))</f>
        <v>*</v>
      </c>
      <c r="J101" t="str">
        <f>IF(H101="*","*",_xlfn.XLOOKUP(H101,'TRA TECH'!J:J,'TRA TECH'!N:N))</f>
        <v>*</v>
      </c>
      <c r="K101" s="15" t="str">
        <f>IF(H101="*","*",IF(_xlfn.XLOOKUP(H101,'TRA TECH'!J:J,'TRA TECH'!O:O)="","",_xlfn.XLOOKUP(H101,'TRA TECH'!J:J,'TRA TECH'!O:O)))</f>
        <v>*</v>
      </c>
      <c r="L101" t="str">
        <f t="shared" si="6"/>
        <v>*</v>
      </c>
      <c r="M101" t="str">
        <f>IF(H101="*","*",IF(_xlfn.XLOOKUP($H101,'TRA TECH'!$J:$J,'TRA TECH'!Q:Q)="","",_xlfn.XLOOKUP($H101,'TRA TECH'!$J:$J,'TRA TECH'!Q:Q)))</f>
        <v>*</v>
      </c>
      <c r="N101" t="str">
        <f>IF(H101="*","*",IF(_xlfn.XLOOKUP($H101,'TRA TECH'!$J:$J,'TRA TECH'!R:R)="","",_xlfn.XLOOKUP($H101,'TRA TECH'!$J:$J,'TRA TECH'!R:R)))</f>
        <v>*</v>
      </c>
      <c r="O101" t="str">
        <f>IF(H101="*","*",IF(_xlfn.XLOOKUP($H101,'TRA TECH'!$J:$J,'TRA TECH'!S:S)="","",_xlfn.XLOOKUP($H101,'TRA TECH'!$J:$J,'TRA TECH'!S:S)))</f>
        <v>*</v>
      </c>
      <c r="P101" t="str">
        <f>IF(H101="*","*",IF(_xlfn.XLOOKUP($H101,'TRA TECH'!$J:$J,'TRA TECH'!T:T)="","",_xlfn.XLOOKUP($H101,'TRA TECH'!$J:$J,'TRA TECH'!T:T)))</f>
        <v>*</v>
      </c>
      <c r="Q101" t="str">
        <f>IF(H101="*","*",IF(_xlfn.XLOOKUP($H101,'TRA TECH'!$J:$J,'TRA TECH'!U:U)="","",_xlfn.XLOOKUP($H101,'TRA TECH'!$J:$J,'TRA TECH'!U:U)))</f>
        <v>*</v>
      </c>
      <c r="R101" t="str">
        <f>IF(H101="*","*",IF(_xlfn.XLOOKUP($H101,'TRA TECH'!$J:$J,'TRA TECH'!V:V)="","",_xlfn.XLOOKUP($H101,'TRA TECH'!$J:$J,'TRA TECH'!V:V)))</f>
        <v>*</v>
      </c>
      <c r="S101" t="str">
        <f>IF(H101="*","*",IF(_xlfn.XLOOKUP($H101,'TRA TECH'!$J:$J,'TRA TECH'!W:W)="","",_xlfn.XLOOKUP($H101,'TRA TECH'!$J:$J,'TRA TECH'!W:W)))</f>
        <v>*</v>
      </c>
      <c r="T101" t="str">
        <f t="shared" si="7"/>
        <v>*</v>
      </c>
      <c r="U101" t="str">
        <f>IF(H101="*","*",IF(_xlfn.XLOOKUP($H101,'TRA TECH'!$J:$J,'TRA TECH'!X:X)="","",_xlfn.XLOOKUP($H101,'TRA TECH'!$J:$J,'TRA TECH'!X:X)))</f>
        <v>*</v>
      </c>
      <c r="V101" t="str">
        <f>IF(H101="*","*",IF(_xlfn.XLOOKUP($H101,'TRA TECH'!$J:$J,'TRA TECH'!Y:Y)="","",_xlfn.XLOOKUP($H101,'TRA TECH'!$J:$J,'TRA TECH'!Y:Y)))</f>
        <v>*</v>
      </c>
      <c r="W101" t="str">
        <f>IF(H101="*","*",IF(_xlfn.XLOOKUP($H101,'TRA TECH'!$J:$J,'TRA TECH'!Z:Z)="","",_xlfn.XLOOKUP($H101,'TRA TECH'!$J:$J,'TRA TECH'!Z:Z)))</f>
        <v>*</v>
      </c>
      <c r="X101" t="str">
        <f>IF(H101="*","*",IF(_xlfn.XLOOKUP($H101,'TRA TECH'!$J:$J,'TRA TECH'!AA:AA)="","",_xlfn.XLOOKUP($H101,'TRA TECH'!$J:$J,'TRA TECH'!AA:AA)))</f>
        <v>*</v>
      </c>
      <c r="Y101" t="str">
        <f>IF(H101="*","*",IF(_xlfn.XLOOKUP($H101,'TRA TECH'!$J:$J,'TRA TECH'!AB:AB)="","",_xlfn.XLOOKUP($H101,'TRA TECH'!$J:$J,'TRA TECH'!AB:AB)))</f>
        <v>*</v>
      </c>
      <c r="Z101" t="str">
        <f>IF(H101="*","*",IF(_xlfn.XLOOKUP($H101,'TRA TECH'!$J:$J,'TRA TECH'!AC:AC)="","",_xlfn.XLOOKUP($H101,'TRA TECH'!$J:$J,'TRA TECH'!AC:AC)))</f>
        <v>*</v>
      </c>
      <c r="AA101" t="str">
        <f>IF(H101="*","*",IF(_xlfn.XLOOKUP($H101,'TRA TECH'!$J:$J,'TRA TECH'!AD:AD)="","",_xlfn.XLOOKUP($H101,'TRA TECH'!$J:$J,'TRA TECH'!AD:AD)))</f>
        <v>*</v>
      </c>
      <c r="AB101" t="str">
        <f t="shared" si="8"/>
        <v>*</v>
      </c>
      <c r="AC101" s="15" t="str">
        <f>IF(H101="*","*",IF(_xlfn.XLOOKUP($H101,'TRA TECH'!$J:$J,'TRA TECH'!AE:AE)="","",_xlfn.XLOOKUP($H101,'TRA TECH'!$J:$J,'TRA TECH'!AE:AE)))</f>
        <v>*</v>
      </c>
      <c r="AD101" s="15" t="str">
        <f>IF(H101="*","*",IF(_xlfn.XLOOKUP($H101,'TRA TECH'!$J:$J,'TRA TECH'!AF:AF)="","",_xlfn.XLOOKUP($H101,'TRA TECH'!$J:$J,'TRA TECH'!AF:AF)))</f>
        <v>*</v>
      </c>
      <c r="AE101" s="15" t="str">
        <f>IF(H101="*","*",IF(_xlfn.XLOOKUP($H101,'TRA TECH'!$J:$J,'TRA TECH'!AG:AG)="","",_xlfn.XLOOKUP($H101,'TRA TECH'!$J:$J,'TRA TECH'!AG:AG)))</f>
        <v>*</v>
      </c>
      <c r="AF101" s="15" t="str">
        <f>IF(H101="*","*",IF(_xlfn.XLOOKUP($H101,'TRA TECH'!$J:$J,'TRA TECH'!AH:AH)="","",_xlfn.XLOOKUP($H101,'TRA TECH'!$J:$J,'TRA TECH'!AH:AH)))</f>
        <v>*</v>
      </c>
      <c r="AG101" s="15" t="str">
        <f>IF(H101="*","*",IF(_xlfn.XLOOKUP($H101,'TRA TECH'!$J:$J,'TRA TECH'!AI:AI)="","",_xlfn.XLOOKUP($H101,'TRA TECH'!$J:$J,'TRA TECH'!AI:AI)))</f>
        <v>*</v>
      </c>
      <c r="AH101" s="15" t="str">
        <f>IF(H101="*","*",IF(_xlfn.XLOOKUP($H101,'TRA TECH'!$J:$J,'TRA TECH'!AJ:AJ)="","",_xlfn.XLOOKUP($H101,'TRA TECH'!$J:$J,'TRA TECH'!AJ:AJ)))</f>
        <v>*</v>
      </c>
      <c r="AI101" s="15" t="str">
        <f>IF(H101="*","*",IF(_xlfn.XLOOKUP($H101,'TRA TECH'!$J:$J,'TRA TECH'!AK:AK)="","",_xlfn.XLOOKUP($H101,'TRA TECH'!$J:$J,'TRA TECH'!AK:AK)))</f>
        <v>*</v>
      </c>
      <c r="AJ101" s="15" t="str">
        <f t="shared" si="9"/>
        <v>*</v>
      </c>
      <c r="AK101" s="16" t="str">
        <f t="shared" si="10"/>
        <v>*</v>
      </c>
    </row>
    <row r="102" spans="2:37" x14ac:dyDescent="0.25">
      <c r="B102" t="str">
        <f>IF('TRA TECH'!M98=0,"*",IF('TRA TECH'!H98="","*",'TRA TECH'!J98))</f>
        <v>TRAFRECLTICEVTGSL20</v>
      </c>
      <c r="C102" t="str">
        <f>IF('TRA TECH'!M98=0,"*",'TRA TECH'!H98)</f>
        <v>TRAGSL</v>
      </c>
      <c r="D102" t="s">
        <v>424</v>
      </c>
      <c r="E102" s="9">
        <f>'TRA TECH'!P98</f>
        <v>1</v>
      </c>
      <c r="H102" t="str">
        <f>IF('TRA TECH'!M98=1,IF('TRA TECH'!L98=1,'TRA TECH'!J98,"*"),"*")</f>
        <v>TRAFRECLTICEVTGSL20</v>
      </c>
      <c r="I102" t="str">
        <f>IF(H102="*","*",_xlfn.XLOOKUP(H102,'TRA TECH'!J:J,'TRA TECH'!I:I))</f>
        <v>TRAFRECLTDMD</v>
      </c>
      <c r="J102">
        <f>IF(H102="*","*",_xlfn.XLOOKUP(H102,'TRA TECH'!J:J,'TRA TECH'!N:N))</f>
        <v>2020</v>
      </c>
      <c r="K102" s="15">
        <f>IF(H102="*","*",IF(_xlfn.XLOOKUP(H102,'TRA TECH'!J:J,'TRA TECH'!O:O)="","",_xlfn.XLOOKUP(H102,'TRA TECH'!J:J,'TRA TECH'!O:O)))</f>
        <v>15.579764908323551</v>
      </c>
      <c r="L102">
        <f t="shared" si="6"/>
        <v>1</v>
      </c>
      <c r="M102">
        <f>IF(H102="*","*",IF(_xlfn.XLOOKUP($H102,'TRA TECH'!$J:$J,'TRA TECH'!Q:Q)="","",_xlfn.XLOOKUP($H102,'TRA TECH'!$J:$J,'TRA TECH'!Q:Q)))</f>
        <v>0.2732648071216619</v>
      </c>
      <c r="N102">
        <f>IF(H102="*","*",IF(_xlfn.XLOOKUP($H102,'TRA TECH'!$J:$J,'TRA TECH'!R:R)="","",_xlfn.XLOOKUP($H102,'TRA TECH'!$J:$J,'TRA TECH'!R:R)))</f>
        <v>0.27459133531157282</v>
      </c>
      <c r="O102">
        <f>IF(H102="*","*",IF(_xlfn.XLOOKUP($H102,'TRA TECH'!$J:$J,'TRA TECH'!S:S)="","",_xlfn.XLOOKUP($H102,'TRA TECH'!$J:$J,'TRA TECH'!S:S)))</f>
        <v>0.30377495548961408</v>
      </c>
      <c r="P102">
        <f>IF(H102="*","*",IF(_xlfn.XLOOKUP($H102,'TRA TECH'!$J:$J,'TRA TECH'!T:T)="","",_xlfn.XLOOKUP($H102,'TRA TECH'!$J:$J,'TRA TECH'!T:T)))</f>
        <v>0.33163204747774477</v>
      </c>
      <c r="Q102">
        <f>IF(H102="*","*",IF(_xlfn.XLOOKUP($H102,'TRA TECH'!$J:$J,'TRA TECH'!U:U)="","",_xlfn.XLOOKUP($H102,'TRA TECH'!$J:$J,'TRA TECH'!U:U)))</f>
        <v>0.34887691394658737</v>
      </c>
      <c r="R102">
        <f>IF(H102="*","*",IF(_xlfn.XLOOKUP($H102,'TRA TECH'!$J:$J,'TRA TECH'!V:V)="","",_xlfn.XLOOKUP($H102,'TRA TECH'!$J:$J,'TRA TECH'!V:V)))</f>
        <v>0.36612178041543048</v>
      </c>
      <c r="S102">
        <f>IF(H102="*","*",IF(_xlfn.XLOOKUP($H102,'TRA TECH'!$J:$J,'TRA TECH'!W:W)="","",_xlfn.XLOOKUP($H102,'TRA TECH'!$J:$J,'TRA TECH'!W:W)))</f>
        <v>0.3833666468842728</v>
      </c>
      <c r="T102">
        <f t="shared" si="7"/>
        <v>0.3833666468842728</v>
      </c>
      <c r="U102">
        <f>IF(H102="*","*",IF(_xlfn.XLOOKUP($H102,'TRA TECH'!$J:$J,'TRA TECH'!X:X)="","",_xlfn.XLOOKUP($H102,'TRA TECH'!$J:$J,'TRA TECH'!X:X)))</f>
        <v>191.3378207986149</v>
      </c>
      <c r="V102">
        <f>IF(H102="*","*",IF(_xlfn.XLOOKUP($H102,'TRA TECH'!$J:$J,'TRA TECH'!Y:Y)="","",_xlfn.XLOOKUP($H102,'TRA TECH'!$J:$J,'TRA TECH'!Y:Y)))</f>
        <v>190.6265277844935</v>
      </c>
      <c r="W102">
        <f>IF(H102="*","*",IF(_xlfn.XLOOKUP($H102,'TRA TECH'!$J:$J,'TRA TECH'!Z:Z)="","",_xlfn.XLOOKUP($H102,'TRA TECH'!$J:$J,'TRA TECH'!Z:Z)))</f>
        <v>194.18299285509971</v>
      </c>
      <c r="X102">
        <f>IF(H102="*","*",IF(_xlfn.XLOOKUP($H102,'TRA TECH'!$J:$J,'TRA TECH'!AA:AA)="","",_xlfn.XLOOKUP($H102,'TRA TECH'!$J:$J,'TRA TECH'!AA:AA)))</f>
        <v>202.71850902455481</v>
      </c>
      <c r="Y102">
        <f>IF(H102="*","*",IF(_xlfn.XLOOKUP($H102,'TRA TECH'!$J:$J,'TRA TECH'!AB:AB)="","",_xlfn.XLOOKUP($H102,'TRA TECH'!$J:$J,'TRA TECH'!AB:AB)))</f>
        <v>202.0072160104335</v>
      </c>
      <c r="Z102">
        <f>IF(H102="*","*",IF(_xlfn.XLOOKUP($H102,'TRA TECH'!$J:$J,'TRA TECH'!AC:AC)="","",_xlfn.XLOOKUP($H102,'TRA TECH'!$J:$J,'TRA TECH'!AC:AC)))</f>
        <v>202.0072160104335</v>
      </c>
      <c r="AA102">
        <f>IF(H102="*","*",IF(_xlfn.XLOOKUP($H102,'TRA TECH'!$J:$J,'TRA TECH'!AD:AD)="","",_xlfn.XLOOKUP($H102,'TRA TECH'!$J:$J,'TRA TECH'!AD:AD)))</f>
        <v>201.2959229963123</v>
      </c>
      <c r="AB102">
        <f t="shared" si="8"/>
        <v>201.2959229963123</v>
      </c>
      <c r="AC102" s="15">
        <f>IF(H102="*","*",IF(_xlfn.XLOOKUP($H102,'TRA TECH'!$J:$J,'TRA TECH'!AE:AE)="","",_xlfn.XLOOKUP($H102,'TRA TECH'!$J:$J,'TRA TECH'!AE:AE)))</f>
        <v>5.6155558990605714</v>
      </c>
      <c r="AD102" s="15">
        <f>IF(H102="*","*",IF(_xlfn.XLOOKUP($H102,'TRA TECH'!$J:$J,'TRA TECH'!AF:AF)="","",_xlfn.XLOOKUP($H102,'TRA TECH'!$J:$J,'TRA TECH'!AF:AF)))</f>
        <v>5.6155558990605714</v>
      </c>
      <c r="AE102" s="15">
        <f>IF(H102="*","*",IF(_xlfn.XLOOKUP($H102,'TRA TECH'!$J:$J,'TRA TECH'!AG:AG)="","",_xlfn.XLOOKUP($H102,'TRA TECH'!$J:$J,'TRA TECH'!AG:AG)))</f>
        <v>5.6155558990605714</v>
      </c>
      <c r="AF102" s="15">
        <f>IF(H102="*","*",IF(_xlfn.XLOOKUP($H102,'TRA TECH'!$J:$J,'TRA TECH'!AH:AH)="","",_xlfn.XLOOKUP($H102,'TRA TECH'!$J:$J,'TRA TECH'!AH:AH)))</f>
        <v>5.6155558990605714</v>
      </c>
      <c r="AG102" s="15">
        <f>IF(H102="*","*",IF(_xlfn.XLOOKUP($H102,'TRA TECH'!$J:$J,'TRA TECH'!AI:AI)="","",_xlfn.XLOOKUP($H102,'TRA TECH'!$J:$J,'TRA TECH'!AI:AI)))</f>
        <v>5.6155558990605714</v>
      </c>
      <c r="AH102" s="15">
        <f>IF(H102="*","*",IF(_xlfn.XLOOKUP($H102,'TRA TECH'!$J:$J,'TRA TECH'!AJ:AJ)="","",_xlfn.XLOOKUP($H102,'TRA TECH'!$J:$J,'TRA TECH'!AJ:AJ)))</f>
        <v>5.6155558990605714</v>
      </c>
      <c r="AI102" s="15">
        <f>IF(H102="*","*",IF(_xlfn.XLOOKUP($H102,'TRA TECH'!$J:$J,'TRA TECH'!AK:AK)="","",_xlfn.XLOOKUP($H102,'TRA TECH'!$J:$J,'TRA TECH'!AK:AK)))</f>
        <v>5.6155558990605714</v>
      </c>
      <c r="AJ102" s="15">
        <f t="shared" si="9"/>
        <v>5.6155558990605714</v>
      </c>
      <c r="AK102" s="16">
        <f t="shared" si="10"/>
        <v>0.1</v>
      </c>
    </row>
    <row r="103" spans="2:37" x14ac:dyDescent="0.25">
      <c r="B103" t="str">
        <f>IF('TRA TECH'!M99=0,"*",IF('TRA TECH'!H99="","*",'TRA TECH'!J99))</f>
        <v>TRAFRECLTICEVTGSL20</v>
      </c>
      <c r="C103" t="str">
        <f>IF('TRA TECH'!M99=0,"*",'TRA TECH'!H99)</f>
        <v>TRAETH</v>
      </c>
      <c r="D103" t="s">
        <v>424</v>
      </c>
      <c r="E103" s="9">
        <f>'TRA TECH'!P99</f>
        <v>0.1</v>
      </c>
      <c r="H103" t="str">
        <f>IF('TRA TECH'!M99=1,IF('TRA TECH'!L99=1,'TRA TECH'!J99,"*"),"*")</f>
        <v>*</v>
      </c>
      <c r="I103" t="str">
        <f>IF(H103="*","*",_xlfn.XLOOKUP(H103,'TRA TECH'!J:J,'TRA TECH'!I:I))</f>
        <v>*</v>
      </c>
      <c r="J103" t="str">
        <f>IF(H103="*","*",_xlfn.XLOOKUP(H103,'TRA TECH'!J:J,'TRA TECH'!N:N))</f>
        <v>*</v>
      </c>
      <c r="K103" s="15" t="str">
        <f>IF(H103="*","*",IF(_xlfn.XLOOKUP(H103,'TRA TECH'!J:J,'TRA TECH'!O:O)="","",_xlfn.XLOOKUP(H103,'TRA TECH'!J:J,'TRA TECH'!O:O)))</f>
        <v>*</v>
      </c>
      <c r="L103" t="str">
        <f t="shared" si="6"/>
        <v>*</v>
      </c>
      <c r="M103" t="str">
        <f>IF(H103="*","*",IF(_xlfn.XLOOKUP($H103,'TRA TECH'!$J:$J,'TRA TECH'!Q:Q)="","",_xlfn.XLOOKUP($H103,'TRA TECH'!$J:$J,'TRA TECH'!Q:Q)))</f>
        <v>*</v>
      </c>
      <c r="N103" t="str">
        <f>IF(H103="*","*",IF(_xlfn.XLOOKUP($H103,'TRA TECH'!$J:$J,'TRA TECH'!R:R)="","",_xlfn.XLOOKUP($H103,'TRA TECH'!$J:$J,'TRA TECH'!R:R)))</f>
        <v>*</v>
      </c>
      <c r="O103" t="str">
        <f>IF(H103="*","*",IF(_xlfn.XLOOKUP($H103,'TRA TECH'!$J:$J,'TRA TECH'!S:S)="","",_xlfn.XLOOKUP($H103,'TRA TECH'!$J:$J,'TRA TECH'!S:S)))</f>
        <v>*</v>
      </c>
      <c r="P103" t="str">
        <f>IF(H103="*","*",IF(_xlfn.XLOOKUP($H103,'TRA TECH'!$J:$J,'TRA TECH'!T:T)="","",_xlfn.XLOOKUP($H103,'TRA TECH'!$J:$J,'TRA TECH'!T:T)))</f>
        <v>*</v>
      </c>
      <c r="Q103" t="str">
        <f>IF(H103="*","*",IF(_xlfn.XLOOKUP($H103,'TRA TECH'!$J:$J,'TRA TECH'!U:U)="","",_xlfn.XLOOKUP($H103,'TRA TECH'!$J:$J,'TRA TECH'!U:U)))</f>
        <v>*</v>
      </c>
      <c r="R103" t="str">
        <f>IF(H103="*","*",IF(_xlfn.XLOOKUP($H103,'TRA TECH'!$J:$J,'TRA TECH'!V:V)="","",_xlfn.XLOOKUP($H103,'TRA TECH'!$J:$J,'TRA TECH'!V:V)))</f>
        <v>*</v>
      </c>
      <c r="S103" t="str">
        <f>IF(H103="*","*",IF(_xlfn.XLOOKUP($H103,'TRA TECH'!$J:$J,'TRA TECH'!W:W)="","",_xlfn.XLOOKUP($H103,'TRA TECH'!$J:$J,'TRA TECH'!W:W)))</f>
        <v>*</v>
      </c>
      <c r="T103" t="str">
        <f t="shared" si="7"/>
        <v>*</v>
      </c>
      <c r="U103" t="str">
        <f>IF(H103="*","*",IF(_xlfn.XLOOKUP($H103,'TRA TECH'!$J:$J,'TRA TECH'!X:X)="","",_xlfn.XLOOKUP($H103,'TRA TECH'!$J:$J,'TRA TECH'!X:X)))</f>
        <v>*</v>
      </c>
      <c r="V103" t="str">
        <f>IF(H103="*","*",IF(_xlfn.XLOOKUP($H103,'TRA TECH'!$J:$J,'TRA TECH'!Y:Y)="","",_xlfn.XLOOKUP($H103,'TRA TECH'!$J:$J,'TRA TECH'!Y:Y)))</f>
        <v>*</v>
      </c>
      <c r="W103" t="str">
        <f>IF(H103="*","*",IF(_xlfn.XLOOKUP($H103,'TRA TECH'!$J:$J,'TRA TECH'!Z:Z)="","",_xlfn.XLOOKUP($H103,'TRA TECH'!$J:$J,'TRA TECH'!Z:Z)))</f>
        <v>*</v>
      </c>
      <c r="X103" t="str">
        <f>IF(H103="*","*",IF(_xlfn.XLOOKUP($H103,'TRA TECH'!$J:$J,'TRA TECH'!AA:AA)="","",_xlfn.XLOOKUP($H103,'TRA TECH'!$J:$J,'TRA TECH'!AA:AA)))</f>
        <v>*</v>
      </c>
      <c r="Y103" t="str">
        <f>IF(H103="*","*",IF(_xlfn.XLOOKUP($H103,'TRA TECH'!$J:$J,'TRA TECH'!AB:AB)="","",_xlfn.XLOOKUP($H103,'TRA TECH'!$J:$J,'TRA TECH'!AB:AB)))</f>
        <v>*</v>
      </c>
      <c r="Z103" t="str">
        <f>IF(H103="*","*",IF(_xlfn.XLOOKUP($H103,'TRA TECH'!$J:$J,'TRA TECH'!AC:AC)="","",_xlfn.XLOOKUP($H103,'TRA TECH'!$J:$J,'TRA TECH'!AC:AC)))</f>
        <v>*</v>
      </c>
      <c r="AA103" t="str">
        <f>IF(H103="*","*",IF(_xlfn.XLOOKUP($H103,'TRA TECH'!$J:$J,'TRA TECH'!AD:AD)="","",_xlfn.XLOOKUP($H103,'TRA TECH'!$J:$J,'TRA TECH'!AD:AD)))</f>
        <v>*</v>
      </c>
      <c r="AB103" t="str">
        <f t="shared" si="8"/>
        <v>*</v>
      </c>
      <c r="AC103" s="15" t="str">
        <f>IF(H103="*","*",IF(_xlfn.XLOOKUP($H103,'TRA TECH'!$J:$J,'TRA TECH'!AE:AE)="","",_xlfn.XLOOKUP($H103,'TRA TECH'!$J:$J,'TRA TECH'!AE:AE)))</f>
        <v>*</v>
      </c>
      <c r="AD103" s="15" t="str">
        <f>IF(H103="*","*",IF(_xlfn.XLOOKUP($H103,'TRA TECH'!$J:$J,'TRA TECH'!AF:AF)="","",_xlfn.XLOOKUP($H103,'TRA TECH'!$J:$J,'TRA TECH'!AF:AF)))</f>
        <v>*</v>
      </c>
      <c r="AE103" s="15" t="str">
        <f>IF(H103="*","*",IF(_xlfn.XLOOKUP($H103,'TRA TECH'!$J:$J,'TRA TECH'!AG:AG)="","",_xlfn.XLOOKUP($H103,'TRA TECH'!$J:$J,'TRA TECH'!AG:AG)))</f>
        <v>*</v>
      </c>
      <c r="AF103" s="15" t="str">
        <f>IF(H103="*","*",IF(_xlfn.XLOOKUP($H103,'TRA TECH'!$J:$J,'TRA TECH'!AH:AH)="","",_xlfn.XLOOKUP($H103,'TRA TECH'!$J:$J,'TRA TECH'!AH:AH)))</f>
        <v>*</v>
      </c>
      <c r="AG103" s="15" t="str">
        <f>IF(H103="*","*",IF(_xlfn.XLOOKUP($H103,'TRA TECH'!$J:$J,'TRA TECH'!AI:AI)="","",_xlfn.XLOOKUP($H103,'TRA TECH'!$J:$J,'TRA TECH'!AI:AI)))</f>
        <v>*</v>
      </c>
      <c r="AH103" s="15" t="str">
        <f>IF(H103="*","*",IF(_xlfn.XLOOKUP($H103,'TRA TECH'!$J:$J,'TRA TECH'!AJ:AJ)="","",_xlfn.XLOOKUP($H103,'TRA TECH'!$J:$J,'TRA TECH'!AJ:AJ)))</f>
        <v>*</v>
      </c>
      <c r="AI103" s="15" t="str">
        <f>IF(H103="*","*",IF(_xlfn.XLOOKUP($H103,'TRA TECH'!$J:$J,'TRA TECH'!AK:AK)="","",_xlfn.XLOOKUP($H103,'TRA TECH'!$J:$J,'TRA TECH'!AK:AK)))</f>
        <v>*</v>
      </c>
      <c r="AJ103" s="15" t="str">
        <f t="shared" si="9"/>
        <v>*</v>
      </c>
      <c r="AK103" s="16" t="str">
        <f t="shared" si="10"/>
        <v>*</v>
      </c>
    </row>
    <row r="104" spans="2:37" x14ac:dyDescent="0.25">
      <c r="B104" t="str">
        <f>IF('TRA TECH'!M100=0,"*",IF('TRA TECH'!H100="","*",'TRA TECH'!J100))</f>
        <v>TRAFRECLTHEVGSL20</v>
      </c>
      <c r="C104" t="str">
        <f>IF('TRA TECH'!M100=0,"*",'TRA TECH'!H100)</f>
        <v>TRAGSL</v>
      </c>
      <c r="D104" t="s">
        <v>424</v>
      </c>
      <c r="E104" s="9">
        <f>'TRA TECH'!P100</f>
        <v>1</v>
      </c>
      <c r="H104" t="str">
        <f>IF('TRA TECH'!M100=1,IF('TRA TECH'!L100=1,'TRA TECH'!J100,"*"),"*")</f>
        <v>TRAFRECLTHEVGSL20</v>
      </c>
      <c r="I104" t="str">
        <f>IF(H104="*","*",_xlfn.XLOOKUP(H104,'TRA TECH'!J:J,'TRA TECH'!I:I))</f>
        <v>TRAFRECLTDMD</v>
      </c>
      <c r="J104">
        <f>IF(H104="*","*",_xlfn.XLOOKUP(H104,'TRA TECH'!J:J,'TRA TECH'!N:N))</f>
        <v>2020</v>
      </c>
      <c r="K104" s="15">
        <f>IF(H104="*","*",IF(_xlfn.XLOOKUP(H104,'TRA TECH'!J:J,'TRA TECH'!O:O)="","",_xlfn.XLOOKUP(H104,'TRA TECH'!J:J,'TRA TECH'!O:O)))</f>
        <v>15.579764908323551</v>
      </c>
      <c r="L104">
        <f t="shared" si="6"/>
        <v>1</v>
      </c>
      <c r="M104">
        <f>IF(H104="*","*",IF(_xlfn.XLOOKUP($H104,'TRA TECH'!$J:$J,'TRA TECH'!Q:Q)="","",_xlfn.XLOOKUP($H104,'TRA TECH'!$J:$J,'TRA TECH'!Q:Q)))</f>
        <v>0.25469341246290811</v>
      </c>
      <c r="N104">
        <f>IF(H104="*","*",IF(_xlfn.XLOOKUP($H104,'TRA TECH'!$J:$J,'TRA TECH'!R:R)="","",_xlfn.XLOOKUP($H104,'TRA TECH'!$J:$J,'TRA TECH'!R:R)))</f>
        <v>0.25336688427299719</v>
      </c>
      <c r="O104">
        <f>IF(H104="*","*",IF(_xlfn.XLOOKUP($H104,'TRA TECH'!$J:$J,'TRA TECH'!S:S)="","",_xlfn.XLOOKUP($H104,'TRA TECH'!$J:$J,'TRA TECH'!S:S)))</f>
        <v>0.29183620178041542</v>
      </c>
      <c r="P104">
        <f>IF(H104="*","*",IF(_xlfn.XLOOKUP($H104,'TRA TECH'!$J:$J,'TRA TECH'!T:T)="","",_xlfn.XLOOKUP($H104,'TRA TECH'!$J:$J,'TRA TECH'!T:T)))</f>
        <v>0.31969329376854611</v>
      </c>
      <c r="Q104">
        <f>IF(H104="*","*",IF(_xlfn.XLOOKUP($H104,'TRA TECH'!$J:$J,'TRA TECH'!U:U)="","",_xlfn.XLOOKUP($H104,'TRA TECH'!$J:$J,'TRA TECH'!U:U)))</f>
        <v>0.33561163204747763</v>
      </c>
      <c r="R104">
        <f>IF(H104="*","*",IF(_xlfn.XLOOKUP($H104,'TRA TECH'!$J:$J,'TRA TECH'!V:V)="","",_xlfn.XLOOKUP($H104,'TRA TECH'!$J:$J,'TRA TECH'!V:V)))</f>
        <v>0.35152997032640948</v>
      </c>
      <c r="S104">
        <f>IF(H104="*","*",IF(_xlfn.XLOOKUP($H104,'TRA TECH'!$J:$J,'TRA TECH'!W:W)="","",_xlfn.XLOOKUP($H104,'TRA TECH'!$J:$J,'TRA TECH'!W:W)))</f>
        <v>0.36612178041543048</v>
      </c>
      <c r="T104">
        <f t="shared" si="7"/>
        <v>0.36612178041543048</v>
      </c>
      <c r="U104">
        <f>IF(H104="*","*",IF(_xlfn.XLOOKUP($H104,'TRA TECH'!$J:$J,'TRA TECH'!X:X)="","",_xlfn.XLOOKUP($H104,'TRA TECH'!$J:$J,'TRA TECH'!X:X)))</f>
        <v>185.6474766856449</v>
      </c>
      <c r="V104">
        <f>IF(H104="*","*",IF(_xlfn.XLOOKUP($H104,'TRA TECH'!$J:$J,'TRA TECH'!Y:Y)="","",_xlfn.XLOOKUP($H104,'TRA TECH'!$J:$J,'TRA TECH'!Y:Y)))</f>
        <v>184.93618367152351</v>
      </c>
      <c r="W104">
        <f>IF(H104="*","*",IF(_xlfn.XLOOKUP($H104,'TRA TECH'!$J:$J,'TRA TECH'!Z:Z)="","",_xlfn.XLOOKUP($H104,'TRA TECH'!$J:$J,'TRA TECH'!Z:Z)))</f>
        <v>189.20394175625111</v>
      </c>
      <c r="X104">
        <f>IF(H104="*","*",IF(_xlfn.XLOOKUP($H104,'TRA TECH'!$J:$J,'TRA TECH'!AA:AA)="","",_xlfn.XLOOKUP($H104,'TRA TECH'!$J:$J,'TRA TECH'!AA:AA)))</f>
        <v>197.7394579257062</v>
      </c>
      <c r="Y104">
        <f>IF(H104="*","*",IF(_xlfn.XLOOKUP($H104,'TRA TECH'!$J:$J,'TRA TECH'!AB:AB)="","",_xlfn.XLOOKUP($H104,'TRA TECH'!$J:$J,'TRA TECH'!AB:AB)))</f>
        <v>197.02816491158481</v>
      </c>
      <c r="Z104">
        <f>IF(H104="*","*",IF(_xlfn.XLOOKUP($H104,'TRA TECH'!$J:$J,'TRA TECH'!AC:AC)="","",_xlfn.XLOOKUP($H104,'TRA TECH'!$J:$J,'TRA TECH'!AC:AC)))</f>
        <v>197.02816491158481</v>
      </c>
      <c r="AA104">
        <f>IF(H104="*","*",IF(_xlfn.XLOOKUP($H104,'TRA TECH'!$J:$J,'TRA TECH'!AD:AD)="","",_xlfn.XLOOKUP($H104,'TRA TECH'!$J:$J,'TRA TECH'!AD:AD)))</f>
        <v>196.31687189746339</v>
      </c>
      <c r="AB104">
        <f t="shared" si="8"/>
        <v>196.31687189746339</v>
      </c>
      <c r="AC104" s="15">
        <f>IF(H104="*","*",IF(_xlfn.XLOOKUP($H104,'TRA TECH'!$J:$J,'TRA TECH'!AE:AE)="","",_xlfn.XLOOKUP($H104,'TRA TECH'!$J:$J,'TRA TECH'!AE:AE)))</f>
        <v>5.3872812690174499</v>
      </c>
      <c r="AD104" s="15">
        <f>IF(H104="*","*",IF(_xlfn.XLOOKUP($H104,'TRA TECH'!$J:$J,'TRA TECH'!AF:AF)="","",_xlfn.XLOOKUP($H104,'TRA TECH'!$J:$J,'TRA TECH'!AF:AF)))</f>
        <v>5.3872812690174499</v>
      </c>
      <c r="AE104" s="15">
        <f>IF(H104="*","*",IF(_xlfn.XLOOKUP($H104,'TRA TECH'!$J:$J,'TRA TECH'!AG:AG)="","",_xlfn.XLOOKUP($H104,'TRA TECH'!$J:$J,'TRA TECH'!AG:AG)))</f>
        <v>5.3872812690174499</v>
      </c>
      <c r="AF104" s="15">
        <f>IF(H104="*","*",IF(_xlfn.XLOOKUP($H104,'TRA TECH'!$J:$J,'TRA TECH'!AH:AH)="","",_xlfn.XLOOKUP($H104,'TRA TECH'!$J:$J,'TRA TECH'!AH:AH)))</f>
        <v>5.3872812690174499</v>
      </c>
      <c r="AG104" s="15">
        <f>IF(H104="*","*",IF(_xlfn.XLOOKUP($H104,'TRA TECH'!$J:$J,'TRA TECH'!AI:AI)="","",_xlfn.XLOOKUP($H104,'TRA TECH'!$J:$J,'TRA TECH'!AI:AI)))</f>
        <v>5.3872812690174499</v>
      </c>
      <c r="AH104" s="15">
        <f>IF(H104="*","*",IF(_xlfn.XLOOKUP($H104,'TRA TECH'!$J:$J,'TRA TECH'!AJ:AJ)="","",_xlfn.XLOOKUP($H104,'TRA TECH'!$J:$J,'TRA TECH'!AJ:AJ)))</f>
        <v>5.3872812690174499</v>
      </c>
      <c r="AI104" s="15">
        <f>IF(H104="*","*",IF(_xlfn.XLOOKUP($H104,'TRA TECH'!$J:$J,'TRA TECH'!AK:AK)="","",_xlfn.XLOOKUP($H104,'TRA TECH'!$J:$J,'TRA TECH'!AK:AK)))</f>
        <v>5.3872812690174499</v>
      </c>
      <c r="AJ104" s="15">
        <f t="shared" si="9"/>
        <v>5.3872812690174499</v>
      </c>
      <c r="AK104" s="16">
        <f t="shared" si="10"/>
        <v>0.25</v>
      </c>
    </row>
    <row r="105" spans="2:37" x14ac:dyDescent="0.25">
      <c r="B105" t="str">
        <f>IF('TRA TECH'!M101=0,"*",IF('TRA TECH'!H101="","*",'TRA TECH'!J101))</f>
        <v>TRAFRECLTHEVGSL20</v>
      </c>
      <c r="C105" t="str">
        <f>IF('TRA TECH'!M101=0,"*",'TRA TECH'!H101)</f>
        <v>TRAETH</v>
      </c>
      <c r="D105" t="s">
        <v>424</v>
      </c>
      <c r="E105" s="9">
        <f>'TRA TECH'!P101</f>
        <v>0.1</v>
      </c>
      <c r="H105" t="str">
        <f>IF('TRA TECH'!M101=1,IF('TRA TECH'!L101=1,'TRA TECH'!J101,"*"),"*")</f>
        <v>*</v>
      </c>
      <c r="I105" t="str">
        <f>IF(H105="*","*",_xlfn.XLOOKUP(H105,'TRA TECH'!J:J,'TRA TECH'!I:I))</f>
        <v>*</v>
      </c>
      <c r="J105" t="str">
        <f>IF(H105="*","*",_xlfn.XLOOKUP(H105,'TRA TECH'!J:J,'TRA TECH'!N:N))</f>
        <v>*</v>
      </c>
      <c r="K105" s="15" t="str">
        <f>IF(H105="*","*",IF(_xlfn.XLOOKUP(H105,'TRA TECH'!J:J,'TRA TECH'!O:O)="","",_xlfn.XLOOKUP(H105,'TRA TECH'!J:J,'TRA TECH'!O:O)))</f>
        <v>*</v>
      </c>
      <c r="L105" t="str">
        <f t="shared" si="6"/>
        <v>*</v>
      </c>
      <c r="M105" t="str">
        <f>IF(H105="*","*",IF(_xlfn.XLOOKUP($H105,'TRA TECH'!$J:$J,'TRA TECH'!Q:Q)="","",_xlfn.XLOOKUP($H105,'TRA TECH'!$J:$J,'TRA TECH'!Q:Q)))</f>
        <v>*</v>
      </c>
      <c r="N105" t="str">
        <f>IF(H105="*","*",IF(_xlfn.XLOOKUP($H105,'TRA TECH'!$J:$J,'TRA TECH'!R:R)="","",_xlfn.XLOOKUP($H105,'TRA TECH'!$J:$J,'TRA TECH'!R:R)))</f>
        <v>*</v>
      </c>
      <c r="O105" t="str">
        <f>IF(H105="*","*",IF(_xlfn.XLOOKUP($H105,'TRA TECH'!$J:$J,'TRA TECH'!S:S)="","",_xlfn.XLOOKUP($H105,'TRA TECH'!$J:$J,'TRA TECH'!S:S)))</f>
        <v>*</v>
      </c>
      <c r="P105" t="str">
        <f>IF(H105="*","*",IF(_xlfn.XLOOKUP($H105,'TRA TECH'!$J:$J,'TRA TECH'!T:T)="","",_xlfn.XLOOKUP($H105,'TRA TECH'!$J:$J,'TRA TECH'!T:T)))</f>
        <v>*</v>
      </c>
      <c r="Q105" t="str">
        <f>IF(H105="*","*",IF(_xlfn.XLOOKUP($H105,'TRA TECH'!$J:$J,'TRA TECH'!U:U)="","",_xlfn.XLOOKUP($H105,'TRA TECH'!$J:$J,'TRA TECH'!U:U)))</f>
        <v>*</v>
      </c>
      <c r="R105" t="str">
        <f>IF(H105="*","*",IF(_xlfn.XLOOKUP($H105,'TRA TECH'!$J:$J,'TRA TECH'!V:V)="","",_xlfn.XLOOKUP($H105,'TRA TECH'!$J:$J,'TRA TECH'!V:V)))</f>
        <v>*</v>
      </c>
      <c r="S105" t="str">
        <f>IF(H105="*","*",IF(_xlfn.XLOOKUP($H105,'TRA TECH'!$J:$J,'TRA TECH'!W:W)="","",_xlfn.XLOOKUP($H105,'TRA TECH'!$J:$J,'TRA TECH'!W:W)))</f>
        <v>*</v>
      </c>
      <c r="T105" t="str">
        <f t="shared" si="7"/>
        <v>*</v>
      </c>
      <c r="U105" t="str">
        <f>IF(H105="*","*",IF(_xlfn.XLOOKUP($H105,'TRA TECH'!$J:$J,'TRA TECH'!X:X)="","",_xlfn.XLOOKUP($H105,'TRA TECH'!$J:$J,'TRA TECH'!X:X)))</f>
        <v>*</v>
      </c>
      <c r="V105" t="str">
        <f>IF(H105="*","*",IF(_xlfn.XLOOKUP($H105,'TRA TECH'!$J:$J,'TRA TECH'!Y:Y)="","",_xlfn.XLOOKUP($H105,'TRA TECH'!$J:$J,'TRA TECH'!Y:Y)))</f>
        <v>*</v>
      </c>
      <c r="W105" t="str">
        <f>IF(H105="*","*",IF(_xlfn.XLOOKUP($H105,'TRA TECH'!$J:$J,'TRA TECH'!Z:Z)="","",_xlfn.XLOOKUP($H105,'TRA TECH'!$J:$J,'TRA TECH'!Z:Z)))</f>
        <v>*</v>
      </c>
      <c r="X105" t="str">
        <f>IF(H105="*","*",IF(_xlfn.XLOOKUP($H105,'TRA TECH'!$J:$J,'TRA TECH'!AA:AA)="","",_xlfn.XLOOKUP($H105,'TRA TECH'!$J:$J,'TRA TECH'!AA:AA)))</f>
        <v>*</v>
      </c>
      <c r="Y105" t="str">
        <f>IF(H105="*","*",IF(_xlfn.XLOOKUP($H105,'TRA TECH'!$J:$J,'TRA TECH'!AB:AB)="","",_xlfn.XLOOKUP($H105,'TRA TECH'!$J:$J,'TRA TECH'!AB:AB)))</f>
        <v>*</v>
      </c>
      <c r="Z105" t="str">
        <f>IF(H105="*","*",IF(_xlfn.XLOOKUP($H105,'TRA TECH'!$J:$J,'TRA TECH'!AC:AC)="","",_xlfn.XLOOKUP($H105,'TRA TECH'!$J:$J,'TRA TECH'!AC:AC)))</f>
        <v>*</v>
      </c>
      <c r="AA105" t="str">
        <f>IF(H105="*","*",IF(_xlfn.XLOOKUP($H105,'TRA TECH'!$J:$J,'TRA TECH'!AD:AD)="","",_xlfn.XLOOKUP($H105,'TRA TECH'!$J:$J,'TRA TECH'!AD:AD)))</f>
        <v>*</v>
      </c>
      <c r="AB105" t="str">
        <f t="shared" si="8"/>
        <v>*</v>
      </c>
      <c r="AC105" s="15" t="str">
        <f>IF(H105="*","*",IF(_xlfn.XLOOKUP($H105,'TRA TECH'!$J:$J,'TRA TECH'!AE:AE)="","",_xlfn.XLOOKUP($H105,'TRA TECH'!$J:$J,'TRA TECH'!AE:AE)))</f>
        <v>*</v>
      </c>
      <c r="AD105" s="15" t="str">
        <f>IF(H105="*","*",IF(_xlfn.XLOOKUP($H105,'TRA TECH'!$J:$J,'TRA TECH'!AF:AF)="","",_xlfn.XLOOKUP($H105,'TRA TECH'!$J:$J,'TRA TECH'!AF:AF)))</f>
        <v>*</v>
      </c>
      <c r="AE105" s="15" t="str">
        <f>IF(H105="*","*",IF(_xlfn.XLOOKUP($H105,'TRA TECH'!$J:$J,'TRA TECH'!AG:AG)="","",_xlfn.XLOOKUP($H105,'TRA TECH'!$J:$J,'TRA TECH'!AG:AG)))</f>
        <v>*</v>
      </c>
      <c r="AF105" s="15" t="str">
        <f>IF(H105="*","*",IF(_xlfn.XLOOKUP($H105,'TRA TECH'!$J:$J,'TRA TECH'!AH:AH)="","",_xlfn.XLOOKUP($H105,'TRA TECH'!$J:$J,'TRA TECH'!AH:AH)))</f>
        <v>*</v>
      </c>
      <c r="AG105" s="15" t="str">
        <f>IF(H105="*","*",IF(_xlfn.XLOOKUP($H105,'TRA TECH'!$J:$J,'TRA TECH'!AI:AI)="","",_xlfn.XLOOKUP($H105,'TRA TECH'!$J:$J,'TRA TECH'!AI:AI)))</f>
        <v>*</v>
      </c>
      <c r="AH105" s="15" t="str">
        <f>IF(H105="*","*",IF(_xlfn.XLOOKUP($H105,'TRA TECH'!$J:$J,'TRA TECH'!AJ:AJ)="","",_xlfn.XLOOKUP($H105,'TRA TECH'!$J:$J,'TRA TECH'!AJ:AJ)))</f>
        <v>*</v>
      </c>
      <c r="AI105" s="15" t="str">
        <f>IF(H105="*","*",IF(_xlfn.XLOOKUP($H105,'TRA TECH'!$J:$J,'TRA TECH'!AK:AK)="","",_xlfn.XLOOKUP($H105,'TRA TECH'!$J:$J,'TRA TECH'!AK:AK)))</f>
        <v>*</v>
      </c>
      <c r="AJ105" s="15" t="str">
        <f t="shared" si="9"/>
        <v>*</v>
      </c>
      <c r="AK105" s="16" t="str">
        <f t="shared" si="10"/>
        <v>*</v>
      </c>
    </row>
    <row r="106" spans="2:37" x14ac:dyDescent="0.25">
      <c r="B106" t="str">
        <f>IF('TRA TECH'!M102=0,"*",IF('TRA TECH'!H102="","*",'TRA TECH'!J102))</f>
        <v>TRAFRECLTHEVTGSL20</v>
      </c>
      <c r="C106" t="str">
        <f>IF('TRA TECH'!M102=0,"*",'TRA TECH'!H102)</f>
        <v>TRAGSL</v>
      </c>
      <c r="D106" t="s">
        <v>424</v>
      </c>
      <c r="E106" s="9">
        <f>'TRA TECH'!P102</f>
        <v>1</v>
      </c>
      <c r="H106" t="str">
        <f>IF('TRA TECH'!M102=1,IF('TRA TECH'!L102=1,'TRA TECH'!J102,"*"),"*")</f>
        <v>TRAFRECLTHEVTGSL20</v>
      </c>
      <c r="I106" t="str">
        <f>IF(H106="*","*",_xlfn.XLOOKUP(H106,'TRA TECH'!J:J,'TRA TECH'!I:I))</f>
        <v>TRAFRECLTDMD</v>
      </c>
      <c r="J106">
        <f>IF(H106="*","*",_xlfn.XLOOKUP(H106,'TRA TECH'!J:J,'TRA TECH'!N:N))</f>
        <v>2020</v>
      </c>
      <c r="K106" s="15">
        <f>IF(H106="*","*",IF(_xlfn.XLOOKUP(H106,'TRA TECH'!J:J,'TRA TECH'!O:O)="","",_xlfn.XLOOKUP(H106,'TRA TECH'!J:J,'TRA TECH'!O:O)))</f>
        <v>15.579764908323551</v>
      </c>
      <c r="L106">
        <f t="shared" si="6"/>
        <v>1</v>
      </c>
      <c r="M106">
        <f>IF(H106="*","*",IF(_xlfn.XLOOKUP($H106,'TRA TECH'!$J:$J,'TRA TECH'!Q:Q)="","",_xlfn.XLOOKUP($H106,'TRA TECH'!$J:$J,'TRA TECH'!Q:Q)))</f>
        <v>0.27857091988130561</v>
      </c>
      <c r="N106">
        <f>IF(H106="*","*",IF(_xlfn.XLOOKUP($H106,'TRA TECH'!$J:$J,'TRA TECH'!R:R)="","",_xlfn.XLOOKUP($H106,'TRA TECH'!$J:$J,'TRA TECH'!R:R)))</f>
        <v>0.28122397626112772</v>
      </c>
      <c r="O106">
        <f>IF(H106="*","*",IF(_xlfn.XLOOKUP($H106,'TRA TECH'!$J:$J,'TRA TECH'!S:S)="","",_xlfn.XLOOKUP($H106,'TRA TECH'!$J:$J,'TRA TECH'!S:S)))</f>
        <v>0.31040759643916899</v>
      </c>
      <c r="P106">
        <f>IF(H106="*","*",IF(_xlfn.XLOOKUP($H106,'TRA TECH'!$J:$J,'TRA TECH'!T:T)="","",_xlfn.XLOOKUP($H106,'TRA TECH'!$J:$J,'TRA TECH'!T:T)))</f>
        <v>0.33959121661721092</v>
      </c>
      <c r="Q106">
        <f>IF(H106="*","*",IF(_xlfn.XLOOKUP($H106,'TRA TECH'!$J:$J,'TRA TECH'!U:U)="","",_xlfn.XLOOKUP($H106,'TRA TECH'!$J:$J,'TRA TECH'!U:U)))</f>
        <v>0.35816261127596438</v>
      </c>
      <c r="R106">
        <f>IF(H106="*","*",IF(_xlfn.XLOOKUP($H106,'TRA TECH'!$J:$J,'TRA TECH'!V:V)="","",_xlfn.XLOOKUP($H106,'TRA TECH'!$J:$J,'TRA TECH'!V:V)))</f>
        <v>0.37540747774480687</v>
      </c>
      <c r="S106">
        <f>IF(H106="*","*",IF(_xlfn.XLOOKUP($H106,'TRA TECH'!$J:$J,'TRA TECH'!W:W)="","",_xlfn.XLOOKUP($H106,'TRA TECH'!$J:$J,'TRA TECH'!W:W)))</f>
        <v>0.39397887240356111</v>
      </c>
      <c r="T106">
        <f t="shared" si="7"/>
        <v>0.39397887240356111</v>
      </c>
      <c r="U106">
        <f>IF(H106="*","*",IF(_xlfn.XLOOKUP($H106,'TRA TECH'!$J:$J,'TRA TECH'!X:X)="","",_xlfn.XLOOKUP($H106,'TRA TECH'!$J:$J,'TRA TECH'!X:X)))</f>
        <v>192.76040682685729</v>
      </c>
      <c r="V106">
        <f>IF(H106="*","*",IF(_xlfn.XLOOKUP($H106,'TRA TECH'!$J:$J,'TRA TECH'!Y:Y)="","",_xlfn.XLOOKUP($H106,'TRA TECH'!$J:$J,'TRA TECH'!Y:Y)))</f>
        <v>191.3378207986149</v>
      </c>
      <c r="W106">
        <f>IF(H106="*","*",IF(_xlfn.XLOOKUP($H106,'TRA TECH'!$J:$J,'TRA TECH'!Z:Z)="","",_xlfn.XLOOKUP($H106,'TRA TECH'!$J:$J,'TRA TECH'!Z:Z)))</f>
        <v>194.89428586922099</v>
      </c>
      <c r="X106">
        <f>IF(H106="*","*",IF(_xlfn.XLOOKUP($H106,'TRA TECH'!$J:$J,'TRA TECH'!AA:AA)="","",_xlfn.XLOOKUP($H106,'TRA TECH'!$J:$J,'TRA TECH'!AA:AA)))</f>
        <v>203.4298020386758</v>
      </c>
      <c r="Y106">
        <f>IF(H106="*","*",IF(_xlfn.XLOOKUP($H106,'TRA TECH'!$J:$J,'TRA TECH'!AB:AB)="","",_xlfn.XLOOKUP($H106,'TRA TECH'!$J:$J,'TRA TECH'!AB:AB)))</f>
        <v>202.71850902455481</v>
      </c>
      <c r="Z106">
        <f>IF(H106="*","*",IF(_xlfn.XLOOKUP($H106,'TRA TECH'!$J:$J,'TRA TECH'!AC:AC)="","",_xlfn.XLOOKUP($H106,'TRA TECH'!$J:$J,'TRA TECH'!AC:AC)))</f>
        <v>202.71850902455481</v>
      </c>
      <c r="AA106">
        <f>IF(H106="*","*",IF(_xlfn.XLOOKUP($H106,'TRA TECH'!$J:$J,'TRA TECH'!AD:AD)="","",_xlfn.XLOOKUP($H106,'TRA TECH'!$J:$J,'TRA TECH'!AD:AD)))</f>
        <v>202.0072160104335</v>
      </c>
      <c r="AB106">
        <f t="shared" si="8"/>
        <v>202.0072160104335</v>
      </c>
      <c r="AC106" s="15">
        <f>IF(H106="*","*",IF(_xlfn.XLOOKUP($H106,'TRA TECH'!$J:$J,'TRA TECH'!AE:AE)="","",_xlfn.XLOOKUP($H106,'TRA TECH'!$J:$J,'TRA TECH'!AE:AE)))</f>
        <v>5.3872812690174499</v>
      </c>
      <c r="AD106" s="15">
        <f>IF(H106="*","*",IF(_xlfn.XLOOKUP($H106,'TRA TECH'!$J:$J,'TRA TECH'!AF:AF)="","",_xlfn.XLOOKUP($H106,'TRA TECH'!$J:$J,'TRA TECH'!AF:AF)))</f>
        <v>5.3872812690174499</v>
      </c>
      <c r="AE106" s="15">
        <f>IF(H106="*","*",IF(_xlfn.XLOOKUP($H106,'TRA TECH'!$J:$J,'TRA TECH'!AG:AG)="","",_xlfn.XLOOKUP($H106,'TRA TECH'!$J:$J,'TRA TECH'!AG:AG)))</f>
        <v>5.3872812690174499</v>
      </c>
      <c r="AF106" s="15">
        <f>IF(H106="*","*",IF(_xlfn.XLOOKUP($H106,'TRA TECH'!$J:$J,'TRA TECH'!AH:AH)="","",_xlfn.XLOOKUP($H106,'TRA TECH'!$J:$J,'TRA TECH'!AH:AH)))</f>
        <v>5.3872812690174499</v>
      </c>
      <c r="AG106" s="15">
        <f>IF(H106="*","*",IF(_xlfn.XLOOKUP($H106,'TRA TECH'!$J:$J,'TRA TECH'!AI:AI)="","",_xlfn.XLOOKUP($H106,'TRA TECH'!$J:$J,'TRA TECH'!AI:AI)))</f>
        <v>5.3872812690174499</v>
      </c>
      <c r="AH106" s="15">
        <f>IF(H106="*","*",IF(_xlfn.XLOOKUP($H106,'TRA TECH'!$J:$J,'TRA TECH'!AJ:AJ)="","",_xlfn.XLOOKUP($H106,'TRA TECH'!$J:$J,'TRA TECH'!AJ:AJ)))</f>
        <v>5.3872812690174499</v>
      </c>
      <c r="AI106" s="15">
        <f>IF(H106="*","*",IF(_xlfn.XLOOKUP($H106,'TRA TECH'!$J:$J,'TRA TECH'!AK:AK)="","",_xlfn.XLOOKUP($H106,'TRA TECH'!$J:$J,'TRA TECH'!AK:AK)))</f>
        <v>5.3872812690174499</v>
      </c>
      <c r="AJ106" s="15">
        <f t="shared" si="9"/>
        <v>5.3872812690174499</v>
      </c>
      <c r="AK106" s="16">
        <f t="shared" si="10"/>
        <v>0.25</v>
      </c>
    </row>
    <row r="107" spans="2:37" x14ac:dyDescent="0.25">
      <c r="B107" t="str">
        <f>IF('TRA TECH'!M103=0,"*",IF('TRA TECH'!H103="","*",'TRA TECH'!J103))</f>
        <v>TRAFRECLTHEVTGSL20</v>
      </c>
      <c r="C107" t="str">
        <f>IF('TRA TECH'!M103=0,"*",'TRA TECH'!H103)</f>
        <v>TRAETH</v>
      </c>
      <c r="D107" t="s">
        <v>424</v>
      </c>
      <c r="E107" s="9">
        <f>'TRA TECH'!P103</f>
        <v>0.1</v>
      </c>
      <c r="H107" t="str">
        <f>IF('TRA TECH'!M103=1,IF('TRA TECH'!L103=1,'TRA TECH'!J103,"*"),"*")</f>
        <v>*</v>
      </c>
      <c r="I107" t="str">
        <f>IF(H107="*","*",_xlfn.XLOOKUP(H107,'TRA TECH'!J:J,'TRA TECH'!I:I))</f>
        <v>*</v>
      </c>
      <c r="J107" t="str">
        <f>IF(H107="*","*",_xlfn.XLOOKUP(H107,'TRA TECH'!J:J,'TRA TECH'!N:N))</f>
        <v>*</v>
      </c>
      <c r="K107" s="15" t="str">
        <f>IF(H107="*","*",IF(_xlfn.XLOOKUP(H107,'TRA TECH'!J:J,'TRA TECH'!O:O)="","",_xlfn.XLOOKUP(H107,'TRA TECH'!J:J,'TRA TECH'!O:O)))</f>
        <v>*</v>
      </c>
      <c r="L107" t="str">
        <f t="shared" si="6"/>
        <v>*</v>
      </c>
      <c r="M107" t="str">
        <f>IF(H107="*","*",IF(_xlfn.XLOOKUP($H107,'TRA TECH'!$J:$J,'TRA TECH'!Q:Q)="","",_xlfn.XLOOKUP($H107,'TRA TECH'!$J:$J,'TRA TECH'!Q:Q)))</f>
        <v>*</v>
      </c>
      <c r="N107" t="str">
        <f>IF(H107="*","*",IF(_xlfn.XLOOKUP($H107,'TRA TECH'!$J:$J,'TRA TECH'!R:R)="","",_xlfn.XLOOKUP($H107,'TRA TECH'!$J:$J,'TRA TECH'!R:R)))</f>
        <v>*</v>
      </c>
      <c r="O107" t="str">
        <f>IF(H107="*","*",IF(_xlfn.XLOOKUP($H107,'TRA TECH'!$J:$J,'TRA TECH'!S:S)="","",_xlfn.XLOOKUP($H107,'TRA TECH'!$J:$J,'TRA TECH'!S:S)))</f>
        <v>*</v>
      </c>
      <c r="P107" t="str">
        <f>IF(H107="*","*",IF(_xlfn.XLOOKUP($H107,'TRA TECH'!$J:$J,'TRA TECH'!T:T)="","",_xlfn.XLOOKUP($H107,'TRA TECH'!$J:$J,'TRA TECH'!T:T)))</f>
        <v>*</v>
      </c>
      <c r="Q107" t="str">
        <f>IF(H107="*","*",IF(_xlfn.XLOOKUP($H107,'TRA TECH'!$J:$J,'TRA TECH'!U:U)="","",_xlfn.XLOOKUP($H107,'TRA TECH'!$J:$J,'TRA TECH'!U:U)))</f>
        <v>*</v>
      </c>
      <c r="R107" t="str">
        <f>IF(H107="*","*",IF(_xlfn.XLOOKUP($H107,'TRA TECH'!$J:$J,'TRA TECH'!V:V)="","",_xlfn.XLOOKUP($H107,'TRA TECH'!$J:$J,'TRA TECH'!V:V)))</f>
        <v>*</v>
      </c>
      <c r="S107" t="str">
        <f>IF(H107="*","*",IF(_xlfn.XLOOKUP($H107,'TRA TECH'!$J:$J,'TRA TECH'!W:W)="","",_xlfn.XLOOKUP($H107,'TRA TECH'!$J:$J,'TRA TECH'!W:W)))</f>
        <v>*</v>
      </c>
      <c r="T107" t="str">
        <f t="shared" si="7"/>
        <v>*</v>
      </c>
      <c r="U107" t="str">
        <f>IF(H107="*","*",IF(_xlfn.XLOOKUP($H107,'TRA TECH'!$J:$J,'TRA TECH'!X:X)="","",_xlfn.XLOOKUP($H107,'TRA TECH'!$J:$J,'TRA TECH'!X:X)))</f>
        <v>*</v>
      </c>
      <c r="V107" t="str">
        <f>IF(H107="*","*",IF(_xlfn.XLOOKUP($H107,'TRA TECH'!$J:$J,'TRA TECH'!Y:Y)="","",_xlfn.XLOOKUP($H107,'TRA TECH'!$J:$J,'TRA TECH'!Y:Y)))</f>
        <v>*</v>
      </c>
      <c r="W107" t="str">
        <f>IF(H107="*","*",IF(_xlfn.XLOOKUP($H107,'TRA TECH'!$J:$J,'TRA TECH'!Z:Z)="","",_xlfn.XLOOKUP($H107,'TRA TECH'!$J:$J,'TRA TECH'!Z:Z)))</f>
        <v>*</v>
      </c>
      <c r="X107" t="str">
        <f>IF(H107="*","*",IF(_xlfn.XLOOKUP($H107,'TRA TECH'!$J:$J,'TRA TECH'!AA:AA)="","",_xlfn.XLOOKUP($H107,'TRA TECH'!$J:$J,'TRA TECH'!AA:AA)))</f>
        <v>*</v>
      </c>
      <c r="Y107" t="str">
        <f>IF(H107="*","*",IF(_xlfn.XLOOKUP($H107,'TRA TECH'!$J:$J,'TRA TECH'!AB:AB)="","",_xlfn.XLOOKUP($H107,'TRA TECH'!$J:$J,'TRA TECH'!AB:AB)))</f>
        <v>*</v>
      </c>
      <c r="Z107" t="str">
        <f>IF(H107="*","*",IF(_xlfn.XLOOKUP($H107,'TRA TECH'!$J:$J,'TRA TECH'!AC:AC)="","",_xlfn.XLOOKUP($H107,'TRA TECH'!$J:$J,'TRA TECH'!AC:AC)))</f>
        <v>*</v>
      </c>
      <c r="AA107" t="str">
        <f>IF(H107="*","*",IF(_xlfn.XLOOKUP($H107,'TRA TECH'!$J:$J,'TRA TECH'!AD:AD)="","",_xlfn.XLOOKUP($H107,'TRA TECH'!$J:$J,'TRA TECH'!AD:AD)))</f>
        <v>*</v>
      </c>
      <c r="AB107" t="str">
        <f t="shared" si="8"/>
        <v>*</v>
      </c>
      <c r="AC107" s="15" t="str">
        <f>IF(H107="*","*",IF(_xlfn.XLOOKUP($H107,'TRA TECH'!$J:$J,'TRA TECH'!AE:AE)="","",_xlfn.XLOOKUP($H107,'TRA TECH'!$J:$J,'TRA TECH'!AE:AE)))</f>
        <v>*</v>
      </c>
      <c r="AD107" s="15" t="str">
        <f>IF(H107="*","*",IF(_xlfn.XLOOKUP($H107,'TRA TECH'!$J:$J,'TRA TECH'!AF:AF)="","",_xlfn.XLOOKUP($H107,'TRA TECH'!$J:$J,'TRA TECH'!AF:AF)))</f>
        <v>*</v>
      </c>
      <c r="AE107" s="15" t="str">
        <f>IF(H107="*","*",IF(_xlfn.XLOOKUP($H107,'TRA TECH'!$J:$J,'TRA TECH'!AG:AG)="","",_xlfn.XLOOKUP($H107,'TRA TECH'!$J:$J,'TRA TECH'!AG:AG)))</f>
        <v>*</v>
      </c>
      <c r="AF107" s="15" t="str">
        <f>IF(H107="*","*",IF(_xlfn.XLOOKUP($H107,'TRA TECH'!$J:$J,'TRA TECH'!AH:AH)="","",_xlfn.XLOOKUP($H107,'TRA TECH'!$J:$J,'TRA TECH'!AH:AH)))</f>
        <v>*</v>
      </c>
      <c r="AG107" s="15" t="str">
        <f>IF(H107="*","*",IF(_xlfn.XLOOKUP($H107,'TRA TECH'!$J:$J,'TRA TECH'!AI:AI)="","",_xlfn.XLOOKUP($H107,'TRA TECH'!$J:$J,'TRA TECH'!AI:AI)))</f>
        <v>*</v>
      </c>
      <c r="AH107" s="15" t="str">
        <f>IF(H107="*","*",IF(_xlfn.XLOOKUP($H107,'TRA TECH'!$J:$J,'TRA TECH'!AJ:AJ)="","",_xlfn.XLOOKUP($H107,'TRA TECH'!$J:$J,'TRA TECH'!AJ:AJ)))</f>
        <v>*</v>
      </c>
      <c r="AI107" s="15" t="str">
        <f>IF(H107="*","*",IF(_xlfn.XLOOKUP($H107,'TRA TECH'!$J:$J,'TRA TECH'!AK:AK)="","",_xlfn.XLOOKUP($H107,'TRA TECH'!$J:$J,'TRA TECH'!AK:AK)))</f>
        <v>*</v>
      </c>
      <c r="AJ107" s="15" t="str">
        <f t="shared" si="9"/>
        <v>*</v>
      </c>
      <c r="AK107" s="16" t="str">
        <f t="shared" si="10"/>
        <v>*</v>
      </c>
    </row>
    <row r="108" spans="2:37" x14ac:dyDescent="0.25">
      <c r="B108" t="str">
        <f>IF('TRA TECH'!M104=0,"*",IF('TRA TECH'!H104="","*",'TRA TECH'!J104))</f>
        <v>TRAFRECLTHEVIGSL20</v>
      </c>
      <c r="C108" t="str">
        <f>IF('TRA TECH'!M104=0,"*",'TRA TECH'!H104)</f>
        <v>TRAGSL</v>
      </c>
      <c r="D108" t="s">
        <v>424</v>
      </c>
      <c r="E108" s="9">
        <f>'TRA TECH'!P104</f>
        <v>1</v>
      </c>
      <c r="H108" t="str">
        <f>IF('TRA TECH'!M104=1,IF('TRA TECH'!L104=1,'TRA TECH'!J104,"*"),"*")</f>
        <v>TRAFRECLTHEVIGSL20</v>
      </c>
      <c r="I108" t="str">
        <f>IF(H108="*","*",_xlfn.XLOOKUP(H108,'TRA TECH'!J:J,'TRA TECH'!I:I))</f>
        <v>TRAFRECLTDMD</v>
      </c>
      <c r="J108">
        <f>IF(H108="*","*",_xlfn.XLOOKUP(H108,'TRA TECH'!J:J,'TRA TECH'!N:N))</f>
        <v>2020</v>
      </c>
      <c r="K108" s="15">
        <f>IF(H108="*","*",IF(_xlfn.XLOOKUP(H108,'TRA TECH'!J:J,'TRA TECH'!O:O)="","",_xlfn.XLOOKUP(H108,'TRA TECH'!J:J,'TRA TECH'!O:O)))</f>
        <v>15.579764908323551</v>
      </c>
      <c r="L108">
        <f t="shared" si="6"/>
        <v>1</v>
      </c>
      <c r="M108">
        <f>IF(H108="*","*",IF(_xlfn.XLOOKUP($H108,'TRA TECH'!$J:$J,'TRA TECH'!Q:Q)="","",_xlfn.XLOOKUP($H108,'TRA TECH'!$J:$J,'TRA TECH'!Q:Q)))</f>
        <v>0.26132605341246301</v>
      </c>
      <c r="N108">
        <f>IF(H108="*","*",IF(_xlfn.XLOOKUP($H108,'TRA TECH'!$J:$J,'TRA TECH'!R:R)="","",_xlfn.XLOOKUP($H108,'TRA TECH'!$J:$J,'TRA TECH'!R:R)))</f>
        <v>0.25867299703264102</v>
      </c>
      <c r="O108">
        <f>IF(H108="*","*",IF(_xlfn.XLOOKUP($H108,'TRA TECH'!$J:$J,'TRA TECH'!S:S)="","",_xlfn.XLOOKUP($H108,'TRA TECH'!$J:$J,'TRA TECH'!S:S)))</f>
        <v>0.29846884272997032</v>
      </c>
      <c r="P108">
        <f>IF(H108="*","*",IF(_xlfn.XLOOKUP($H108,'TRA TECH'!$J:$J,'TRA TECH'!T:T)="","",_xlfn.XLOOKUP($H108,'TRA TECH'!$J:$J,'TRA TECH'!T:T)))</f>
        <v>0.32632593471810112</v>
      </c>
      <c r="Q108">
        <f>IF(H108="*","*",IF(_xlfn.XLOOKUP($H108,'TRA TECH'!$J:$J,'TRA TECH'!U:U)="","",_xlfn.XLOOKUP($H108,'TRA TECH'!$J:$J,'TRA TECH'!U:U)))</f>
        <v>0.34357080118694339</v>
      </c>
      <c r="R108">
        <f>IF(H108="*","*",IF(_xlfn.XLOOKUP($H108,'TRA TECH'!$J:$J,'TRA TECH'!V:V)="","",_xlfn.XLOOKUP($H108,'TRA TECH'!$J:$J,'TRA TECH'!V:V)))</f>
        <v>0.36081566765578649</v>
      </c>
      <c r="S108">
        <f>IF(H108="*","*",IF(_xlfn.XLOOKUP($H108,'TRA TECH'!$J:$J,'TRA TECH'!W:W)="","",_xlfn.XLOOKUP($H108,'TRA TECH'!$J:$J,'TRA TECH'!W:W)))</f>
        <v>0.3767340059347179</v>
      </c>
      <c r="T108">
        <f t="shared" si="7"/>
        <v>0.3767340059347179</v>
      </c>
      <c r="U108">
        <f>IF(H108="*","*",IF(_xlfn.XLOOKUP($H108,'TRA TECH'!$J:$J,'TRA TECH'!X:X)="","",_xlfn.XLOOKUP($H108,'TRA TECH'!$J:$J,'TRA TECH'!X:X)))</f>
        <v>189.20394175625111</v>
      </c>
      <c r="V108">
        <f>IF(H108="*","*",IF(_xlfn.XLOOKUP($H108,'TRA TECH'!$J:$J,'TRA TECH'!Y:Y)="","",_xlfn.XLOOKUP($H108,'TRA TECH'!$J:$J,'TRA TECH'!Y:Y)))</f>
        <v>187.78135572800869</v>
      </c>
      <c r="W108">
        <f>IF(H108="*","*",IF(_xlfn.XLOOKUP($H108,'TRA TECH'!$J:$J,'TRA TECH'!Z:Z)="","",_xlfn.XLOOKUP($H108,'TRA TECH'!$J:$J,'TRA TECH'!Z:Z)))</f>
        <v>191.3378207986149</v>
      </c>
      <c r="X108">
        <f>IF(H108="*","*",IF(_xlfn.XLOOKUP($H108,'TRA TECH'!$J:$J,'TRA TECH'!AA:AA)="","",_xlfn.XLOOKUP($H108,'TRA TECH'!$J:$J,'TRA TECH'!AA:AA)))</f>
        <v>199.87333696806979</v>
      </c>
      <c r="Y108">
        <f>IF(H108="*","*",IF(_xlfn.XLOOKUP($H108,'TRA TECH'!$J:$J,'TRA TECH'!AB:AB)="","",_xlfn.XLOOKUP($H108,'TRA TECH'!$J:$J,'TRA TECH'!AB:AB)))</f>
        <v>199.16204395394851</v>
      </c>
      <c r="Z108">
        <f>IF(H108="*","*",IF(_xlfn.XLOOKUP($H108,'TRA TECH'!$J:$J,'TRA TECH'!AC:AC)="","",_xlfn.XLOOKUP($H108,'TRA TECH'!$J:$J,'TRA TECH'!AC:AC)))</f>
        <v>198.4507509398272</v>
      </c>
      <c r="AA108">
        <f>IF(H108="*","*",IF(_xlfn.XLOOKUP($H108,'TRA TECH'!$J:$J,'TRA TECH'!AD:AD)="","",_xlfn.XLOOKUP($H108,'TRA TECH'!$J:$J,'TRA TECH'!AD:AD)))</f>
        <v>197.7394579257062</v>
      </c>
      <c r="AB108">
        <f t="shared" si="8"/>
        <v>197.7394579257062</v>
      </c>
      <c r="AC108" s="15">
        <f>IF(H108="*","*",IF(_xlfn.XLOOKUP($H108,'TRA TECH'!$J:$J,'TRA TECH'!AE:AE)="","",_xlfn.XLOOKUP($H108,'TRA TECH'!$J:$J,'TRA TECH'!AE:AE)))</f>
        <v>5.3872812690174499</v>
      </c>
      <c r="AD108" s="15">
        <f>IF(H108="*","*",IF(_xlfn.XLOOKUP($H108,'TRA TECH'!$J:$J,'TRA TECH'!AF:AF)="","",_xlfn.XLOOKUP($H108,'TRA TECH'!$J:$J,'TRA TECH'!AF:AF)))</f>
        <v>5.3872812690174499</v>
      </c>
      <c r="AE108" s="15">
        <f>IF(H108="*","*",IF(_xlfn.XLOOKUP($H108,'TRA TECH'!$J:$J,'TRA TECH'!AG:AG)="","",_xlfn.XLOOKUP($H108,'TRA TECH'!$J:$J,'TRA TECH'!AG:AG)))</f>
        <v>5.3872812690174499</v>
      </c>
      <c r="AF108" s="15">
        <f>IF(H108="*","*",IF(_xlfn.XLOOKUP($H108,'TRA TECH'!$J:$J,'TRA TECH'!AH:AH)="","",_xlfn.XLOOKUP($H108,'TRA TECH'!$J:$J,'TRA TECH'!AH:AH)))</f>
        <v>5.3872812690174499</v>
      </c>
      <c r="AG108" s="15">
        <f>IF(H108="*","*",IF(_xlfn.XLOOKUP($H108,'TRA TECH'!$J:$J,'TRA TECH'!AI:AI)="","",_xlfn.XLOOKUP($H108,'TRA TECH'!$J:$J,'TRA TECH'!AI:AI)))</f>
        <v>5.3872812690174499</v>
      </c>
      <c r="AH108" s="15">
        <f>IF(H108="*","*",IF(_xlfn.XLOOKUP($H108,'TRA TECH'!$J:$J,'TRA TECH'!AJ:AJ)="","",_xlfn.XLOOKUP($H108,'TRA TECH'!$J:$J,'TRA TECH'!AJ:AJ)))</f>
        <v>5.3872812690174499</v>
      </c>
      <c r="AI108" s="15">
        <f>IF(H108="*","*",IF(_xlfn.XLOOKUP($H108,'TRA TECH'!$J:$J,'TRA TECH'!AK:AK)="","",_xlfn.XLOOKUP($H108,'TRA TECH'!$J:$J,'TRA TECH'!AK:AK)))</f>
        <v>5.3872812690174499</v>
      </c>
      <c r="AJ108" s="15">
        <f t="shared" si="9"/>
        <v>5.3872812690174499</v>
      </c>
      <c r="AK108" s="16">
        <f t="shared" si="10"/>
        <v>0.25</v>
      </c>
    </row>
    <row r="109" spans="2:37" x14ac:dyDescent="0.25">
      <c r="B109" t="str">
        <f>IF('TRA TECH'!M105=0,"*",IF('TRA TECH'!H105="","*",'TRA TECH'!J105))</f>
        <v>TRAFRECLTHEVIGSL20</v>
      </c>
      <c r="C109" t="str">
        <f>IF('TRA TECH'!M105=0,"*",'TRA TECH'!H105)</f>
        <v>TRAETH</v>
      </c>
      <c r="D109" t="s">
        <v>424</v>
      </c>
      <c r="E109" s="9">
        <f>'TRA TECH'!P105</f>
        <v>0.1</v>
      </c>
      <c r="H109" t="str">
        <f>IF('TRA TECH'!M105=1,IF('TRA TECH'!L105=1,'TRA TECH'!J105,"*"),"*")</f>
        <v>*</v>
      </c>
      <c r="I109" t="str">
        <f>IF(H109="*","*",_xlfn.XLOOKUP(H109,'TRA TECH'!J:J,'TRA TECH'!I:I))</f>
        <v>*</v>
      </c>
      <c r="J109" t="str">
        <f>IF(H109="*","*",_xlfn.XLOOKUP(H109,'TRA TECH'!J:J,'TRA TECH'!N:N))</f>
        <v>*</v>
      </c>
      <c r="K109" s="15" t="str">
        <f>IF(H109="*","*",IF(_xlfn.XLOOKUP(H109,'TRA TECH'!J:J,'TRA TECH'!O:O)="","",_xlfn.XLOOKUP(H109,'TRA TECH'!J:J,'TRA TECH'!O:O)))</f>
        <v>*</v>
      </c>
      <c r="L109" t="str">
        <f t="shared" si="6"/>
        <v>*</v>
      </c>
      <c r="M109" t="str">
        <f>IF(H109="*","*",IF(_xlfn.XLOOKUP($H109,'TRA TECH'!$J:$J,'TRA TECH'!Q:Q)="","",_xlfn.XLOOKUP($H109,'TRA TECH'!$J:$J,'TRA TECH'!Q:Q)))</f>
        <v>*</v>
      </c>
      <c r="N109" t="str">
        <f>IF(H109="*","*",IF(_xlfn.XLOOKUP($H109,'TRA TECH'!$J:$J,'TRA TECH'!R:R)="","",_xlfn.XLOOKUP($H109,'TRA TECH'!$J:$J,'TRA TECH'!R:R)))</f>
        <v>*</v>
      </c>
      <c r="O109" t="str">
        <f>IF(H109="*","*",IF(_xlfn.XLOOKUP($H109,'TRA TECH'!$J:$J,'TRA TECH'!S:S)="","",_xlfn.XLOOKUP($H109,'TRA TECH'!$J:$J,'TRA TECH'!S:S)))</f>
        <v>*</v>
      </c>
      <c r="P109" t="str">
        <f>IF(H109="*","*",IF(_xlfn.XLOOKUP($H109,'TRA TECH'!$J:$J,'TRA TECH'!T:T)="","",_xlfn.XLOOKUP($H109,'TRA TECH'!$J:$J,'TRA TECH'!T:T)))</f>
        <v>*</v>
      </c>
      <c r="Q109" t="str">
        <f>IF(H109="*","*",IF(_xlfn.XLOOKUP($H109,'TRA TECH'!$J:$J,'TRA TECH'!U:U)="","",_xlfn.XLOOKUP($H109,'TRA TECH'!$J:$J,'TRA TECH'!U:U)))</f>
        <v>*</v>
      </c>
      <c r="R109" t="str">
        <f>IF(H109="*","*",IF(_xlfn.XLOOKUP($H109,'TRA TECH'!$J:$J,'TRA TECH'!V:V)="","",_xlfn.XLOOKUP($H109,'TRA TECH'!$J:$J,'TRA TECH'!V:V)))</f>
        <v>*</v>
      </c>
      <c r="S109" t="str">
        <f>IF(H109="*","*",IF(_xlfn.XLOOKUP($H109,'TRA TECH'!$J:$J,'TRA TECH'!W:W)="","",_xlfn.XLOOKUP($H109,'TRA TECH'!$J:$J,'TRA TECH'!W:W)))</f>
        <v>*</v>
      </c>
      <c r="T109" t="str">
        <f t="shared" si="7"/>
        <v>*</v>
      </c>
      <c r="U109" t="str">
        <f>IF(H109="*","*",IF(_xlfn.XLOOKUP($H109,'TRA TECH'!$J:$J,'TRA TECH'!X:X)="","",_xlfn.XLOOKUP($H109,'TRA TECH'!$J:$J,'TRA TECH'!X:X)))</f>
        <v>*</v>
      </c>
      <c r="V109" t="str">
        <f>IF(H109="*","*",IF(_xlfn.XLOOKUP($H109,'TRA TECH'!$J:$J,'TRA TECH'!Y:Y)="","",_xlfn.XLOOKUP($H109,'TRA TECH'!$J:$J,'TRA TECH'!Y:Y)))</f>
        <v>*</v>
      </c>
      <c r="W109" t="str">
        <f>IF(H109="*","*",IF(_xlfn.XLOOKUP($H109,'TRA TECH'!$J:$J,'TRA TECH'!Z:Z)="","",_xlfn.XLOOKUP($H109,'TRA TECH'!$J:$J,'TRA TECH'!Z:Z)))</f>
        <v>*</v>
      </c>
      <c r="X109" t="str">
        <f>IF(H109="*","*",IF(_xlfn.XLOOKUP($H109,'TRA TECH'!$J:$J,'TRA TECH'!AA:AA)="","",_xlfn.XLOOKUP($H109,'TRA TECH'!$J:$J,'TRA TECH'!AA:AA)))</f>
        <v>*</v>
      </c>
      <c r="Y109" t="str">
        <f>IF(H109="*","*",IF(_xlfn.XLOOKUP($H109,'TRA TECH'!$J:$J,'TRA TECH'!AB:AB)="","",_xlfn.XLOOKUP($H109,'TRA TECH'!$J:$J,'TRA TECH'!AB:AB)))</f>
        <v>*</v>
      </c>
      <c r="Z109" t="str">
        <f>IF(H109="*","*",IF(_xlfn.XLOOKUP($H109,'TRA TECH'!$J:$J,'TRA TECH'!AC:AC)="","",_xlfn.XLOOKUP($H109,'TRA TECH'!$J:$J,'TRA TECH'!AC:AC)))</f>
        <v>*</v>
      </c>
      <c r="AA109" t="str">
        <f>IF(H109="*","*",IF(_xlfn.XLOOKUP($H109,'TRA TECH'!$J:$J,'TRA TECH'!AD:AD)="","",_xlfn.XLOOKUP($H109,'TRA TECH'!$J:$J,'TRA TECH'!AD:AD)))</f>
        <v>*</v>
      </c>
      <c r="AB109" t="str">
        <f t="shared" si="8"/>
        <v>*</v>
      </c>
      <c r="AC109" s="15" t="str">
        <f>IF(H109="*","*",IF(_xlfn.XLOOKUP($H109,'TRA TECH'!$J:$J,'TRA TECH'!AE:AE)="","",_xlfn.XLOOKUP($H109,'TRA TECH'!$J:$J,'TRA TECH'!AE:AE)))</f>
        <v>*</v>
      </c>
      <c r="AD109" s="15" t="str">
        <f>IF(H109="*","*",IF(_xlfn.XLOOKUP($H109,'TRA TECH'!$J:$J,'TRA TECH'!AF:AF)="","",_xlfn.XLOOKUP($H109,'TRA TECH'!$J:$J,'TRA TECH'!AF:AF)))</f>
        <v>*</v>
      </c>
      <c r="AE109" s="15" t="str">
        <f>IF(H109="*","*",IF(_xlfn.XLOOKUP($H109,'TRA TECH'!$J:$J,'TRA TECH'!AG:AG)="","",_xlfn.XLOOKUP($H109,'TRA TECH'!$J:$J,'TRA TECH'!AG:AG)))</f>
        <v>*</v>
      </c>
      <c r="AF109" s="15" t="str">
        <f>IF(H109="*","*",IF(_xlfn.XLOOKUP($H109,'TRA TECH'!$J:$J,'TRA TECH'!AH:AH)="","",_xlfn.XLOOKUP($H109,'TRA TECH'!$J:$J,'TRA TECH'!AH:AH)))</f>
        <v>*</v>
      </c>
      <c r="AG109" s="15" t="str">
        <f>IF(H109="*","*",IF(_xlfn.XLOOKUP($H109,'TRA TECH'!$J:$J,'TRA TECH'!AI:AI)="","",_xlfn.XLOOKUP($H109,'TRA TECH'!$J:$J,'TRA TECH'!AI:AI)))</f>
        <v>*</v>
      </c>
      <c r="AH109" s="15" t="str">
        <f>IF(H109="*","*",IF(_xlfn.XLOOKUP($H109,'TRA TECH'!$J:$J,'TRA TECH'!AJ:AJ)="","",_xlfn.XLOOKUP($H109,'TRA TECH'!$J:$J,'TRA TECH'!AJ:AJ)))</f>
        <v>*</v>
      </c>
      <c r="AI109" s="15" t="str">
        <f>IF(H109="*","*",IF(_xlfn.XLOOKUP($H109,'TRA TECH'!$J:$J,'TRA TECH'!AK:AK)="","",_xlfn.XLOOKUP($H109,'TRA TECH'!$J:$J,'TRA TECH'!AK:AK)))</f>
        <v>*</v>
      </c>
      <c r="AJ109" s="15" t="str">
        <f t="shared" si="9"/>
        <v>*</v>
      </c>
      <c r="AK109" s="16" t="str">
        <f t="shared" si="10"/>
        <v>*</v>
      </c>
    </row>
    <row r="110" spans="2:37" x14ac:dyDescent="0.25">
      <c r="B110" t="str">
        <f>IF('TRA TECH'!M106=0,"*",IF('TRA TECH'!H106="","*",'TRA TECH'!J106))</f>
        <v>TRAFRECLTHEVIGSL20</v>
      </c>
      <c r="C110" t="str">
        <f>IF('TRA TECH'!M106=0,"*",'TRA TECH'!H106)</f>
        <v>TRAGSL</v>
      </c>
      <c r="D110" t="s">
        <v>424</v>
      </c>
      <c r="E110" s="9">
        <f>'TRA TECH'!P106</f>
        <v>1</v>
      </c>
      <c r="H110" t="str">
        <f>IF('TRA TECH'!M106=1,IF('TRA TECH'!L106=1,'TRA TECH'!J106,"*"),"*")</f>
        <v>*</v>
      </c>
      <c r="I110" t="str">
        <f>IF(H110="*","*",_xlfn.XLOOKUP(H110,'TRA TECH'!J:J,'TRA TECH'!I:I))</f>
        <v>*</v>
      </c>
      <c r="J110" t="str">
        <f>IF(H110="*","*",_xlfn.XLOOKUP(H110,'TRA TECH'!J:J,'TRA TECH'!N:N))</f>
        <v>*</v>
      </c>
      <c r="K110" s="15" t="str">
        <f>IF(H110="*","*",IF(_xlfn.XLOOKUP(H110,'TRA TECH'!J:J,'TRA TECH'!O:O)="","",_xlfn.XLOOKUP(H110,'TRA TECH'!J:J,'TRA TECH'!O:O)))</f>
        <v>*</v>
      </c>
      <c r="L110" t="str">
        <f t="shared" si="6"/>
        <v>*</v>
      </c>
      <c r="M110" t="str">
        <f>IF(H110="*","*",IF(_xlfn.XLOOKUP($H110,'TRA TECH'!$J:$J,'TRA TECH'!Q:Q)="","",_xlfn.XLOOKUP($H110,'TRA TECH'!$J:$J,'TRA TECH'!Q:Q)))</f>
        <v>*</v>
      </c>
      <c r="N110" t="str">
        <f>IF(H110="*","*",IF(_xlfn.XLOOKUP($H110,'TRA TECH'!$J:$J,'TRA TECH'!R:R)="","",_xlfn.XLOOKUP($H110,'TRA TECH'!$J:$J,'TRA TECH'!R:R)))</f>
        <v>*</v>
      </c>
      <c r="O110" t="str">
        <f>IF(H110="*","*",IF(_xlfn.XLOOKUP($H110,'TRA TECH'!$J:$J,'TRA TECH'!S:S)="","",_xlfn.XLOOKUP($H110,'TRA TECH'!$J:$J,'TRA TECH'!S:S)))</f>
        <v>*</v>
      </c>
      <c r="P110" t="str">
        <f>IF(H110="*","*",IF(_xlfn.XLOOKUP($H110,'TRA TECH'!$J:$J,'TRA TECH'!T:T)="","",_xlfn.XLOOKUP($H110,'TRA TECH'!$J:$J,'TRA TECH'!T:T)))</f>
        <v>*</v>
      </c>
      <c r="Q110" t="str">
        <f>IF(H110="*","*",IF(_xlfn.XLOOKUP($H110,'TRA TECH'!$J:$J,'TRA TECH'!U:U)="","",_xlfn.XLOOKUP($H110,'TRA TECH'!$J:$J,'TRA TECH'!U:U)))</f>
        <v>*</v>
      </c>
      <c r="R110" t="str">
        <f>IF(H110="*","*",IF(_xlfn.XLOOKUP($H110,'TRA TECH'!$J:$J,'TRA TECH'!V:V)="","",_xlfn.XLOOKUP($H110,'TRA TECH'!$J:$J,'TRA TECH'!V:V)))</f>
        <v>*</v>
      </c>
      <c r="S110" t="str">
        <f>IF(H110="*","*",IF(_xlfn.XLOOKUP($H110,'TRA TECH'!$J:$J,'TRA TECH'!W:W)="","",_xlfn.XLOOKUP($H110,'TRA TECH'!$J:$J,'TRA TECH'!W:W)))</f>
        <v>*</v>
      </c>
      <c r="T110" t="str">
        <f t="shared" si="7"/>
        <v>*</v>
      </c>
      <c r="U110" t="str">
        <f>IF(H110="*","*",IF(_xlfn.XLOOKUP($H110,'TRA TECH'!$J:$J,'TRA TECH'!X:X)="","",_xlfn.XLOOKUP($H110,'TRA TECH'!$J:$J,'TRA TECH'!X:X)))</f>
        <v>*</v>
      </c>
      <c r="V110" t="str">
        <f>IF(H110="*","*",IF(_xlfn.XLOOKUP($H110,'TRA TECH'!$J:$J,'TRA TECH'!Y:Y)="","",_xlfn.XLOOKUP($H110,'TRA TECH'!$J:$J,'TRA TECH'!Y:Y)))</f>
        <v>*</v>
      </c>
      <c r="W110" t="str">
        <f>IF(H110="*","*",IF(_xlfn.XLOOKUP($H110,'TRA TECH'!$J:$J,'TRA TECH'!Z:Z)="","",_xlfn.XLOOKUP($H110,'TRA TECH'!$J:$J,'TRA TECH'!Z:Z)))</f>
        <v>*</v>
      </c>
      <c r="X110" t="str">
        <f>IF(H110="*","*",IF(_xlfn.XLOOKUP($H110,'TRA TECH'!$J:$J,'TRA TECH'!AA:AA)="","",_xlfn.XLOOKUP($H110,'TRA TECH'!$J:$J,'TRA TECH'!AA:AA)))</f>
        <v>*</v>
      </c>
      <c r="Y110" t="str">
        <f>IF(H110="*","*",IF(_xlfn.XLOOKUP($H110,'TRA TECH'!$J:$J,'TRA TECH'!AB:AB)="","",_xlfn.XLOOKUP($H110,'TRA TECH'!$J:$J,'TRA TECH'!AB:AB)))</f>
        <v>*</v>
      </c>
      <c r="Z110" t="str">
        <f>IF(H110="*","*",IF(_xlfn.XLOOKUP($H110,'TRA TECH'!$J:$J,'TRA TECH'!AC:AC)="","",_xlfn.XLOOKUP($H110,'TRA TECH'!$J:$J,'TRA TECH'!AC:AC)))</f>
        <v>*</v>
      </c>
      <c r="AA110" t="str">
        <f>IF(H110="*","*",IF(_xlfn.XLOOKUP($H110,'TRA TECH'!$J:$J,'TRA TECH'!AD:AD)="","",_xlfn.XLOOKUP($H110,'TRA TECH'!$J:$J,'TRA TECH'!AD:AD)))</f>
        <v>*</v>
      </c>
      <c r="AB110" t="str">
        <f t="shared" si="8"/>
        <v>*</v>
      </c>
      <c r="AC110" s="15" t="str">
        <f>IF(H110="*","*",IF(_xlfn.XLOOKUP($H110,'TRA TECH'!$J:$J,'TRA TECH'!AE:AE)="","",_xlfn.XLOOKUP($H110,'TRA TECH'!$J:$J,'TRA TECH'!AE:AE)))</f>
        <v>*</v>
      </c>
      <c r="AD110" s="15" t="str">
        <f>IF(H110="*","*",IF(_xlfn.XLOOKUP($H110,'TRA TECH'!$J:$J,'TRA TECH'!AF:AF)="","",_xlfn.XLOOKUP($H110,'TRA TECH'!$J:$J,'TRA TECH'!AF:AF)))</f>
        <v>*</v>
      </c>
      <c r="AE110" s="15" t="str">
        <f>IF(H110="*","*",IF(_xlfn.XLOOKUP($H110,'TRA TECH'!$J:$J,'TRA TECH'!AG:AG)="","",_xlfn.XLOOKUP($H110,'TRA TECH'!$J:$J,'TRA TECH'!AG:AG)))</f>
        <v>*</v>
      </c>
      <c r="AF110" s="15" t="str">
        <f>IF(H110="*","*",IF(_xlfn.XLOOKUP($H110,'TRA TECH'!$J:$J,'TRA TECH'!AH:AH)="","",_xlfn.XLOOKUP($H110,'TRA TECH'!$J:$J,'TRA TECH'!AH:AH)))</f>
        <v>*</v>
      </c>
      <c r="AG110" s="15" t="str">
        <f>IF(H110="*","*",IF(_xlfn.XLOOKUP($H110,'TRA TECH'!$J:$J,'TRA TECH'!AI:AI)="","",_xlfn.XLOOKUP($H110,'TRA TECH'!$J:$J,'TRA TECH'!AI:AI)))</f>
        <v>*</v>
      </c>
      <c r="AH110" s="15" t="str">
        <f>IF(H110="*","*",IF(_xlfn.XLOOKUP($H110,'TRA TECH'!$J:$J,'TRA TECH'!AJ:AJ)="","",_xlfn.XLOOKUP($H110,'TRA TECH'!$J:$J,'TRA TECH'!AJ:AJ)))</f>
        <v>*</v>
      </c>
      <c r="AI110" s="15" t="str">
        <f>IF(H110="*","*",IF(_xlfn.XLOOKUP($H110,'TRA TECH'!$J:$J,'TRA TECH'!AK:AK)="","",_xlfn.XLOOKUP($H110,'TRA TECH'!$J:$J,'TRA TECH'!AK:AK)))</f>
        <v>*</v>
      </c>
      <c r="AJ110" s="15" t="str">
        <f t="shared" si="9"/>
        <v>*</v>
      </c>
      <c r="AK110" s="16" t="str">
        <f t="shared" si="10"/>
        <v>*</v>
      </c>
    </row>
    <row r="111" spans="2:37" x14ac:dyDescent="0.25">
      <c r="B111" t="str">
        <f>IF('TRA TECH'!M107=0,"*",IF('TRA TECH'!H107="","*",'TRA TECH'!J107))</f>
        <v>TRAFRECLTHEVIGSL20</v>
      </c>
      <c r="C111" t="str">
        <f>IF('TRA TECH'!M107=0,"*",'TRA TECH'!H107)</f>
        <v>TRAETH</v>
      </c>
      <c r="D111" t="s">
        <v>424</v>
      </c>
      <c r="E111" s="9">
        <f>'TRA TECH'!P107</f>
        <v>0.1</v>
      </c>
      <c r="H111" t="str">
        <f>IF('TRA TECH'!M107=1,IF('TRA TECH'!L107=1,'TRA TECH'!J107,"*"),"*")</f>
        <v>*</v>
      </c>
      <c r="I111" t="str">
        <f>IF(H111="*","*",_xlfn.XLOOKUP(H111,'TRA TECH'!J:J,'TRA TECH'!I:I))</f>
        <v>*</v>
      </c>
      <c r="J111" t="str">
        <f>IF(H111="*","*",_xlfn.XLOOKUP(H111,'TRA TECH'!J:J,'TRA TECH'!N:N))</f>
        <v>*</v>
      </c>
      <c r="K111" s="15" t="str">
        <f>IF(H111="*","*",IF(_xlfn.XLOOKUP(H111,'TRA TECH'!J:J,'TRA TECH'!O:O)="","",_xlfn.XLOOKUP(H111,'TRA TECH'!J:J,'TRA TECH'!O:O)))</f>
        <v>*</v>
      </c>
      <c r="L111" t="str">
        <f t="shared" si="6"/>
        <v>*</v>
      </c>
      <c r="M111" t="str">
        <f>IF(H111="*","*",IF(_xlfn.XLOOKUP($H111,'TRA TECH'!$J:$J,'TRA TECH'!Q:Q)="","",_xlfn.XLOOKUP($H111,'TRA TECH'!$J:$J,'TRA TECH'!Q:Q)))</f>
        <v>*</v>
      </c>
      <c r="N111" t="str">
        <f>IF(H111="*","*",IF(_xlfn.XLOOKUP($H111,'TRA TECH'!$J:$J,'TRA TECH'!R:R)="","",_xlfn.XLOOKUP($H111,'TRA TECH'!$J:$J,'TRA TECH'!R:R)))</f>
        <v>*</v>
      </c>
      <c r="O111" t="str">
        <f>IF(H111="*","*",IF(_xlfn.XLOOKUP($H111,'TRA TECH'!$J:$J,'TRA TECH'!S:S)="","",_xlfn.XLOOKUP($H111,'TRA TECH'!$J:$J,'TRA TECH'!S:S)))</f>
        <v>*</v>
      </c>
      <c r="P111" t="str">
        <f>IF(H111="*","*",IF(_xlfn.XLOOKUP($H111,'TRA TECH'!$J:$J,'TRA TECH'!T:T)="","",_xlfn.XLOOKUP($H111,'TRA TECH'!$J:$J,'TRA TECH'!T:T)))</f>
        <v>*</v>
      </c>
      <c r="Q111" t="str">
        <f>IF(H111="*","*",IF(_xlfn.XLOOKUP($H111,'TRA TECH'!$J:$J,'TRA TECH'!U:U)="","",_xlfn.XLOOKUP($H111,'TRA TECH'!$J:$J,'TRA TECH'!U:U)))</f>
        <v>*</v>
      </c>
      <c r="R111" t="str">
        <f>IF(H111="*","*",IF(_xlfn.XLOOKUP($H111,'TRA TECH'!$J:$J,'TRA TECH'!V:V)="","",_xlfn.XLOOKUP($H111,'TRA TECH'!$J:$J,'TRA TECH'!V:V)))</f>
        <v>*</v>
      </c>
      <c r="S111" t="str">
        <f>IF(H111="*","*",IF(_xlfn.XLOOKUP($H111,'TRA TECH'!$J:$J,'TRA TECH'!W:W)="","",_xlfn.XLOOKUP($H111,'TRA TECH'!$J:$J,'TRA TECH'!W:W)))</f>
        <v>*</v>
      </c>
      <c r="T111" t="str">
        <f t="shared" si="7"/>
        <v>*</v>
      </c>
      <c r="U111" t="str">
        <f>IF(H111="*","*",IF(_xlfn.XLOOKUP($H111,'TRA TECH'!$J:$J,'TRA TECH'!X:X)="","",_xlfn.XLOOKUP($H111,'TRA TECH'!$J:$J,'TRA TECH'!X:X)))</f>
        <v>*</v>
      </c>
      <c r="V111" t="str">
        <f>IF(H111="*","*",IF(_xlfn.XLOOKUP($H111,'TRA TECH'!$J:$J,'TRA TECH'!Y:Y)="","",_xlfn.XLOOKUP($H111,'TRA TECH'!$J:$J,'TRA TECH'!Y:Y)))</f>
        <v>*</v>
      </c>
      <c r="W111" t="str">
        <f>IF(H111="*","*",IF(_xlfn.XLOOKUP($H111,'TRA TECH'!$J:$J,'TRA TECH'!Z:Z)="","",_xlfn.XLOOKUP($H111,'TRA TECH'!$J:$J,'TRA TECH'!Z:Z)))</f>
        <v>*</v>
      </c>
      <c r="X111" t="str">
        <f>IF(H111="*","*",IF(_xlfn.XLOOKUP($H111,'TRA TECH'!$J:$J,'TRA TECH'!AA:AA)="","",_xlfn.XLOOKUP($H111,'TRA TECH'!$J:$J,'TRA TECH'!AA:AA)))</f>
        <v>*</v>
      </c>
      <c r="Y111" t="str">
        <f>IF(H111="*","*",IF(_xlfn.XLOOKUP($H111,'TRA TECH'!$J:$J,'TRA TECH'!AB:AB)="","",_xlfn.XLOOKUP($H111,'TRA TECH'!$J:$J,'TRA TECH'!AB:AB)))</f>
        <v>*</v>
      </c>
      <c r="Z111" t="str">
        <f>IF(H111="*","*",IF(_xlfn.XLOOKUP($H111,'TRA TECH'!$J:$J,'TRA TECH'!AC:AC)="","",_xlfn.XLOOKUP($H111,'TRA TECH'!$J:$J,'TRA TECH'!AC:AC)))</f>
        <v>*</v>
      </c>
      <c r="AA111" t="str">
        <f>IF(H111="*","*",IF(_xlfn.XLOOKUP($H111,'TRA TECH'!$J:$J,'TRA TECH'!AD:AD)="","",_xlfn.XLOOKUP($H111,'TRA TECH'!$J:$J,'TRA TECH'!AD:AD)))</f>
        <v>*</v>
      </c>
      <c r="AB111" t="str">
        <f t="shared" si="8"/>
        <v>*</v>
      </c>
      <c r="AC111" s="15" t="str">
        <f>IF(H111="*","*",IF(_xlfn.XLOOKUP($H111,'TRA TECH'!$J:$J,'TRA TECH'!AE:AE)="","",_xlfn.XLOOKUP($H111,'TRA TECH'!$J:$J,'TRA TECH'!AE:AE)))</f>
        <v>*</v>
      </c>
      <c r="AD111" s="15" t="str">
        <f>IF(H111="*","*",IF(_xlfn.XLOOKUP($H111,'TRA TECH'!$J:$J,'TRA TECH'!AF:AF)="","",_xlfn.XLOOKUP($H111,'TRA TECH'!$J:$J,'TRA TECH'!AF:AF)))</f>
        <v>*</v>
      </c>
      <c r="AE111" s="15" t="str">
        <f>IF(H111="*","*",IF(_xlfn.XLOOKUP($H111,'TRA TECH'!$J:$J,'TRA TECH'!AG:AG)="","",_xlfn.XLOOKUP($H111,'TRA TECH'!$J:$J,'TRA TECH'!AG:AG)))</f>
        <v>*</v>
      </c>
      <c r="AF111" s="15" t="str">
        <f>IF(H111="*","*",IF(_xlfn.XLOOKUP($H111,'TRA TECH'!$J:$J,'TRA TECH'!AH:AH)="","",_xlfn.XLOOKUP($H111,'TRA TECH'!$J:$J,'TRA TECH'!AH:AH)))</f>
        <v>*</v>
      </c>
      <c r="AG111" s="15" t="str">
        <f>IF(H111="*","*",IF(_xlfn.XLOOKUP($H111,'TRA TECH'!$J:$J,'TRA TECH'!AI:AI)="","",_xlfn.XLOOKUP($H111,'TRA TECH'!$J:$J,'TRA TECH'!AI:AI)))</f>
        <v>*</v>
      </c>
      <c r="AH111" s="15" t="str">
        <f>IF(H111="*","*",IF(_xlfn.XLOOKUP($H111,'TRA TECH'!$J:$J,'TRA TECH'!AJ:AJ)="","",_xlfn.XLOOKUP($H111,'TRA TECH'!$J:$J,'TRA TECH'!AJ:AJ)))</f>
        <v>*</v>
      </c>
      <c r="AI111" s="15" t="str">
        <f>IF(H111="*","*",IF(_xlfn.XLOOKUP($H111,'TRA TECH'!$J:$J,'TRA TECH'!AK:AK)="","",_xlfn.XLOOKUP($H111,'TRA TECH'!$J:$J,'TRA TECH'!AK:AK)))</f>
        <v>*</v>
      </c>
      <c r="AJ111" s="15" t="str">
        <f t="shared" si="9"/>
        <v>*</v>
      </c>
      <c r="AK111" s="16" t="str">
        <f t="shared" si="10"/>
        <v>*</v>
      </c>
    </row>
    <row r="112" spans="2:37" x14ac:dyDescent="0.25">
      <c r="B112" t="str">
        <f>IF('TRA TECH'!M108=0,"*",IF('TRA TECH'!H108="","*",'TRA TECH'!J108))</f>
        <v>TRAFRECLTHEVPGSL20</v>
      </c>
      <c r="C112" t="str">
        <f>IF('TRA TECH'!M108=0,"*",'TRA TECH'!H108)</f>
        <v>TRAGSL</v>
      </c>
      <c r="D112" t="s">
        <v>424</v>
      </c>
      <c r="E112" s="9">
        <f>'TRA TECH'!P108</f>
        <v>1</v>
      </c>
      <c r="H112" t="str">
        <f>IF('TRA TECH'!M108=1,IF('TRA TECH'!L108=1,'TRA TECH'!J108,"*"),"*")</f>
        <v>TRAFRECLTHEVPGSL20</v>
      </c>
      <c r="I112" t="str">
        <f>IF(H112="*","*",_xlfn.XLOOKUP(H112,'TRA TECH'!J:J,'TRA TECH'!I:I))</f>
        <v>TRAFRECLTDMD</v>
      </c>
      <c r="J112">
        <f>IF(H112="*","*",_xlfn.XLOOKUP(H112,'TRA TECH'!J:J,'TRA TECH'!N:N))</f>
        <v>2020</v>
      </c>
      <c r="K112" s="15">
        <f>IF(H112="*","*",IF(_xlfn.XLOOKUP(H112,'TRA TECH'!J:J,'TRA TECH'!O:O)="","",_xlfn.XLOOKUP(H112,'TRA TECH'!J:J,'TRA TECH'!O:O)))</f>
        <v>15.579764908323551</v>
      </c>
      <c r="L112">
        <f t="shared" si="6"/>
        <v>1</v>
      </c>
      <c r="M112">
        <f>IF(H112="*","*",IF(_xlfn.XLOOKUP($H112,'TRA TECH'!$J:$J,'TRA TECH'!Q:Q)="","",_xlfn.XLOOKUP($H112,'TRA TECH'!$J:$J,'TRA TECH'!Q:Q)))</f>
        <v>0.40989721068249241</v>
      </c>
      <c r="N112">
        <f>IF(H112="*","*",IF(_xlfn.XLOOKUP($H112,'TRA TECH'!$J:$J,'TRA TECH'!R:R)="","",_xlfn.XLOOKUP($H112,'TRA TECH'!$J:$J,'TRA TECH'!R:R)))</f>
        <v>0.42183596439169119</v>
      </c>
      <c r="O112">
        <f>IF(H112="*","*",IF(_xlfn.XLOOKUP($H112,'TRA TECH'!$J:$J,'TRA TECH'!S:S)="","",_xlfn.XLOOKUP($H112,'TRA TECH'!$J:$J,'TRA TECH'!S:S)))</f>
        <v>0.43377471810089052</v>
      </c>
      <c r="P112">
        <f>IF(H112="*","*",IF(_xlfn.XLOOKUP($H112,'TRA TECH'!$J:$J,'TRA TECH'!T:T)="","",_xlfn.XLOOKUP($H112,'TRA TECH'!$J:$J,'TRA TECH'!T:T)))</f>
        <v>0.46030528189911002</v>
      </c>
      <c r="Q112">
        <f>IF(H112="*","*",IF(_xlfn.XLOOKUP($H112,'TRA TECH'!$J:$J,'TRA TECH'!U:U)="","",_xlfn.XLOOKUP($H112,'TRA TECH'!$J:$J,'TRA TECH'!U:U)))</f>
        <v>0.48285626112759639</v>
      </c>
      <c r="R112">
        <f>IF(H112="*","*",IF(_xlfn.XLOOKUP($H112,'TRA TECH'!$J:$J,'TRA TECH'!V:V)="","",_xlfn.XLOOKUP($H112,'TRA TECH'!$J:$J,'TRA TECH'!V:V)))</f>
        <v>0.50408071216617212</v>
      </c>
      <c r="S112">
        <f>IF(H112="*","*",IF(_xlfn.XLOOKUP($H112,'TRA TECH'!$J:$J,'TRA TECH'!W:W)="","",_xlfn.XLOOKUP($H112,'TRA TECH'!$J:$J,'TRA TECH'!W:W)))</f>
        <v>0.52663169139465904</v>
      </c>
      <c r="T112">
        <f t="shared" si="7"/>
        <v>0.52663169139465904</v>
      </c>
      <c r="U112">
        <f>IF(H112="*","*",IF(_xlfn.XLOOKUP($H112,'TRA TECH'!$J:$J,'TRA TECH'!X:X)="","",_xlfn.XLOOKUP($H112,'TRA TECH'!$J:$J,'TRA TECH'!X:X)))</f>
        <v>229.03635054704071</v>
      </c>
      <c r="V112">
        <f>IF(H112="*","*",IF(_xlfn.XLOOKUP($H112,'TRA TECH'!$J:$J,'TRA TECH'!Y:Y)="","",_xlfn.XLOOKUP($H112,'TRA TECH'!$J:$J,'TRA TECH'!Y:Y)))</f>
        <v>219.07824834934331</v>
      </c>
      <c r="W112">
        <f>IF(H112="*","*",IF(_xlfn.XLOOKUP($H112,'TRA TECH'!$J:$J,'TRA TECH'!Z:Z)="","",_xlfn.XLOOKUP($H112,'TRA TECH'!$J:$J,'TRA TECH'!Z:Z)))</f>
        <v>211.2540251940097</v>
      </c>
      <c r="X112">
        <f>IF(H112="*","*",IF(_xlfn.XLOOKUP($H112,'TRA TECH'!$J:$J,'TRA TECH'!AA:AA)="","",_xlfn.XLOOKUP($H112,'TRA TECH'!$J:$J,'TRA TECH'!AA:AA)))</f>
        <v>206.98626710928241</v>
      </c>
      <c r="Y112">
        <f>IF(H112="*","*",IF(_xlfn.XLOOKUP($H112,'TRA TECH'!$J:$J,'TRA TECH'!AB:AB)="","",_xlfn.XLOOKUP($H112,'TRA TECH'!$J:$J,'TRA TECH'!AB:AB)))</f>
        <v>203.4298020386758</v>
      </c>
      <c r="Z112">
        <f>IF(H112="*","*",IF(_xlfn.XLOOKUP($H112,'TRA TECH'!$J:$J,'TRA TECH'!AC:AC)="","",_xlfn.XLOOKUP($H112,'TRA TECH'!$J:$J,'TRA TECH'!AC:AC)))</f>
        <v>200.58462998219099</v>
      </c>
      <c r="AA112">
        <f>IF(H112="*","*",IF(_xlfn.XLOOKUP($H112,'TRA TECH'!$J:$J,'TRA TECH'!AD:AD)="","",_xlfn.XLOOKUP($H112,'TRA TECH'!$J:$J,'TRA TECH'!AD:AD)))</f>
        <v>197.7394579257062</v>
      </c>
      <c r="AB112">
        <f t="shared" si="8"/>
        <v>197.7394579257062</v>
      </c>
      <c r="AC112" s="15">
        <f>IF(H112="*","*",IF(_xlfn.XLOOKUP($H112,'TRA TECH'!$J:$J,'TRA TECH'!AE:AE)="","",_xlfn.XLOOKUP($H112,'TRA TECH'!$J:$J,'TRA TECH'!AE:AE)))</f>
        <v>5.3872812690174499</v>
      </c>
      <c r="AD112" s="15">
        <f>IF(H112="*","*",IF(_xlfn.XLOOKUP($H112,'TRA TECH'!$J:$J,'TRA TECH'!AF:AF)="","",_xlfn.XLOOKUP($H112,'TRA TECH'!$J:$J,'TRA TECH'!AF:AF)))</f>
        <v>5.3872812690174499</v>
      </c>
      <c r="AE112" s="15">
        <f>IF(H112="*","*",IF(_xlfn.XLOOKUP($H112,'TRA TECH'!$J:$J,'TRA TECH'!AG:AG)="","",_xlfn.XLOOKUP($H112,'TRA TECH'!$J:$J,'TRA TECH'!AG:AG)))</f>
        <v>5.3872812690174499</v>
      </c>
      <c r="AF112" s="15">
        <f>IF(H112="*","*",IF(_xlfn.XLOOKUP($H112,'TRA TECH'!$J:$J,'TRA TECH'!AH:AH)="","",_xlfn.XLOOKUP($H112,'TRA TECH'!$J:$J,'TRA TECH'!AH:AH)))</f>
        <v>5.3872812690174499</v>
      </c>
      <c r="AG112" s="15">
        <f>IF(H112="*","*",IF(_xlfn.XLOOKUP($H112,'TRA TECH'!$J:$J,'TRA TECH'!AI:AI)="","",_xlfn.XLOOKUP($H112,'TRA TECH'!$J:$J,'TRA TECH'!AI:AI)))</f>
        <v>5.3872812690174499</v>
      </c>
      <c r="AH112" s="15">
        <f>IF(H112="*","*",IF(_xlfn.XLOOKUP($H112,'TRA TECH'!$J:$J,'TRA TECH'!AJ:AJ)="","",_xlfn.XLOOKUP($H112,'TRA TECH'!$J:$J,'TRA TECH'!AJ:AJ)))</f>
        <v>5.3872812690174499</v>
      </c>
      <c r="AI112" s="15">
        <f>IF(H112="*","*",IF(_xlfn.XLOOKUP($H112,'TRA TECH'!$J:$J,'TRA TECH'!AK:AK)="","",_xlfn.XLOOKUP($H112,'TRA TECH'!$J:$J,'TRA TECH'!AK:AK)))</f>
        <v>5.3872812690174499</v>
      </c>
      <c r="AJ112" s="15">
        <f t="shared" si="9"/>
        <v>5.3872812690174499</v>
      </c>
      <c r="AK112" s="16">
        <f t="shared" si="10"/>
        <v>0.25</v>
      </c>
    </row>
    <row r="113" spans="2:37" x14ac:dyDescent="0.25">
      <c r="B113" t="str">
        <f>IF('TRA TECH'!M109=0,"*",IF('TRA TECH'!H109="","*",'TRA TECH'!J109))</f>
        <v>TRAFRECLTHEVPGSL20</v>
      </c>
      <c r="C113" t="str">
        <f>IF('TRA TECH'!M109=0,"*",'TRA TECH'!H109)</f>
        <v>TRAETH</v>
      </c>
      <c r="D113" t="s">
        <v>424</v>
      </c>
      <c r="E113" s="9">
        <f>'TRA TECH'!P109</f>
        <v>0.1</v>
      </c>
      <c r="H113" t="str">
        <f>IF('TRA TECH'!M109=1,IF('TRA TECH'!L109=1,'TRA TECH'!J109,"*"),"*")</f>
        <v>*</v>
      </c>
      <c r="I113" t="str">
        <f>IF(H113="*","*",_xlfn.XLOOKUP(H113,'TRA TECH'!J:J,'TRA TECH'!I:I))</f>
        <v>*</v>
      </c>
      <c r="J113" t="str">
        <f>IF(H113="*","*",_xlfn.XLOOKUP(H113,'TRA TECH'!J:J,'TRA TECH'!N:N))</f>
        <v>*</v>
      </c>
      <c r="K113" s="15" t="str">
        <f>IF(H113="*","*",IF(_xlfn.XLOOKUP(H113,'TRA TECH'!J:J,'TRA TECH'!O:O)="","",_xlfn.XLOOKUP(H113,'TRA TECH'!J:J,'TRA TECH'!O:O)))</f>
        <v>*</v>
      </c>
      <c r="L113" t="str">
        <f t="shared" si="6"/>
        <v>*</v>
      </c>
      <c r="M113" t="str">
        <f>IF(H113="*","*",IF(_xlfn.XLOOKUP($H113,'TRA TECH'!$J:$J,'TRA TECH'!Q:Q)="","",_xlfn.XLOOKUP($H113,'TRA TECH'!$J:$J,'TRA TECH'!Q:Q)))</f>
        <v>*</v>
      </c>
      <c r="N113" t="str">
        <f>IF(H113="*","*",IF(_xlfn.XLOOKUP($H113,'TRA TECH'!$J:$J,'TRA TECH'!R:R)="","",_xlfn.XLOOKUP($H113,'TRA TECH'!$J:$J,'TRA TECH'!R:R)))</f>
        <v>*</v>
      </c>
      <c r="O113" t="str">
        <f>IF(H113="*","*",IF(_xlfn.XLOOKUP($H113,'TRA TECH'!$J:$J,'TRA TECH'!S:S)="","",_xlfn.XLOOKUP($H113,'TRA TECH'!$J:$J,'TRA TECH'!S:S)))</f>
        <v>*</v>
      </c>
      <c r="P113" t="str">
        <f>IF(H113="*","*",IF(_xlfn.XLOOKUP($H113,'TRA TECH'!$J:$J,'TRA TECH'!T:T)="","",_xlfn.XLOOKUP($H113,'TRA TECH'!$J:$J,'TRA TECH'!T:T)))</f>
        <v>*</v>
      </c>
      <c r="Q113" t="str">
        <f>IF(H113="*","*",IF(_xlfn.XLOOKUP($H113,'TRA TECH'!$J:$J,'TRA TECH'!U:U)="","",_xlfn.XLOOKUP($H113,'TRA TECH'!$J:$J,'TRA TECH'!U:U)))</f>
        <v>*</v>
      </c>
      <c r="R113" t="str">
        <f>IF(H113="*","*",IF(_xlfn.XLOOKUP($H113,'TRA TECH'!$J:$J,'TRA TECH'!V:V)="","",_xlfn.XLOOKUP($H113,'TRA TECH'!$J:$J,'TRA TECH'!V:V)))</f>
        <v>*</v>
      </c>
      <c r="S113" t="str">
        <f>IF(H113="*","*",IF(_xlfn.XLOOKUP($H113,'TRA TECH'!$J:$J,'TRA TECH'!W:W)="","",_xlfn.XLOOKUP($H113,'TRA TECH'!$J:$J,'TRA TECH'!W:W)))</f>
        <v>*</v>
      </c>
      <c r="T113" t="str">
        <f t="shared" si="7"/>
        <v>*</v>
      </c>
      <c r="U113" t="str">
        <f>IF(H113="*","*",IF(_xlfn.XLOOKUP($H113,'TRA TECH'!$J:$J,'TRA TECH'!X:X)="","",_xlfn.XLOOKUP($H113,'TRA TECH'!$J:$J,'TRA TECH'!X:X)))</f>
        <v>*</v>
      </c>
      <c r="V113" t="str">
        <f>IF(H113="*","*",IF(_xlfn.XLOOKUP($H113,'TRA TECH'!$J:$J,'TRA TECH'!Y:Y)="","",_xlfn.XLOOKUP($H113,'TRA TECH'!$J:$J,'TRA TECH'!Y:Y)))</f>
        <v>*</v>
      </c>
      <c r="W113" t="str">
        <f>IF(H113="*","*",IF(_xlfn.XLOOKUP($H113,'TRA TECH'!$J:$J,'TRA TECH'!Z:Z)="","",_xlfn.XLOOKUP($H113,'TRA TECH'!$J:$J,'TRA TECH'!Z:Z)))</f>
        <v>*</v>
      </c>
      <c r="X113" t="str">
        <f>IF(H113="*","*",IF(_xlfn.XLOOKUP($H113,'TRA TECH'!$J:$J,'TRA TECH'!AA:AA)="","",_xlfn.XLOOKUP($H113,'TRA TECH'!$J:$J,'TRA TECH'!AA:AA)))</f>
        <v>*</v>
      </c>
      <c r="Y113" t="str">
        <f>IF(H113="*","*",IF(_xlfn.XLOOKUP($H113,'TRA TECH'!$J:$J,'TRA TECH'!AB:AB)="","",_xlfn.XLOOKUP($H113,'TRA TECH'!$J:$J,'TRA TECH'!AB:AB)))</f>
        <v>*</v>
      </c>
      <c r="Z113" t="str">
        <f>IF(H113="*","*",IF(_xlfn.XLOOKUP($H113,'TRA TECH'!$J:$J,'TRA TECH'!AC:AC)="","",_xlfn.XLOOKUP($H113,'TRA TECH'!$J:$J,'TRA TECH'!AC:AC)))</f>
        <v>*</v>
      </c>
      <c r="AA113" t="str">
        <f>IF(H113="*","*",IF(_xlfn.XLOOKUP($H113,'TRA TECH'!$J:$J,'TRA TECH'!AD:AD)="","",_xlfn.XLOOKUP($H113,'TRA TECH'!$J:$J,'TRA TECH'!AD:AD)))</f>
        <v>*</v>
      </c>
      <c r="AB113" t="str">
        <f t="shared" si="8"/>
        <v>*</v>
      </c>
      <c r="AC113" s="15" t="str">
        <f>IF(H113="*","*",IF(_xlfn.XLOOKUP($H113,'TRA TECH'!$J:$J,'TRA TECH'!AE:AE)="","",_xlfn.XLOOKUP($H113,'TRA TECH'!$J:$J,'TRA TECH'!AE:AE)))</f>
        <v>*</v>
      </c>
      <c r="AD113" s="15" t="str">
        <f>IF(H113="*","*",IF(_xlfn.XLOOKUP($H113,'TRA TECH'!$J:$J,'TRA TECH'!AF:AF)="","",_xlfn.XLOOKUP($H113,'TRA TECH'!$J:$J,'TRA TECH'!AF:AF)))</f>
        <v>*</v>
      </c>
      <c r="AE113" s="15" t="str">
        <f>IF(H113="*","*",IF(_xlfn.XLOOKUP($H113,'TRA TECH'!$J:$J,'TRA TECH'!AG:AG)="","",_xlfn.XLOOKUP($H113,'TRA TECH'!$J:$J,'TRA TECH'!AG:AG)))</f>
        <v>*</v>
      </c>
      <c r="AF113" s="15" t="str">
        <f>IF(H113="*","*",IF(_xlfn.XLOOKUP($H113,'TRA TECH'!$J:$J,'TRA TECH'!AH:AH)="","",_xlfn.XLOOKUP($H113,'TRA TECH'!$J:$J,'TRA TECH'!AH:AH)))</f>
        <v>*</v>
      </c>
      <c r="AG113" s="15" t="str">
        <f>IF(H113="*","*",IF(_xlfn.XLOOKUP($H113,'TRA TECH'!$J:$J,'TRA TECH'!AI:AI)="","",_xlfn.XLOOKUP($H113,'TRA TECH'!$J:$J,'TRA TECH'!AI:AI)))</f>
        <v>*</v>
      </c>
      <c r="AH113" s="15" t="str">
        <f>IF(H113="*","*",IF(_xlfn.XLOOKUP($H113,'TRA TECH'!$J:$J,'TRA TECH'!AJ:AJ)="","",_xlfn.XLOOKUP($H113,'TRA TECH'!$J:$J,'TRA TECH'!AJ:AJ)))</f>
        <v>*</v>
      </c>
      <c r="AI113" s="15" t="str">
        <f>IF(H113="*","*",IF(_xlfn.XLOOKUP($H113,'TRA TECH'!$J:$J,'TRA TECH'!AK:AK)="","",_xlfn.XLOOKUP($H113,'TRA TECH'!$J:$J,'TRA TECH'!AK:AK)))</f>
        <v>*</v>
      </c>
      <c r="AJ113" s="15" t="str">
        <f t="shared" si="9"/>
        <v>*</v>
      </c>
      <c r="AK113" s="16" t="str">
        <f t="shared" si="10"/>
        <v>*</v>
      </c>
    </row>
    <row r="114" spans="2:37" x14ac:dyDescent="0.25">
      <c r="B114" t="str">
        <f>IF('TRA TECH'!M110=0,"*",IF('TRA TECH'!H110="","*",'TRA TECH'!J110))</f>
        <v>TRAFRECLTPHEVPGSL20</v>
      </c>
      <c r="C114" t="str">
        <f>IF('TRA TECH'!M110=0,"*",'TRA TECH'!H110)</f>
        <v>TRAGSL</v>
      </c>
      <c r="D114" t="s">
        <v>424</v>
      </c>
      <c r="E114" s="9">
        <f>'TRA TECH'!P110</f>
        <v>0.80278884462151479</v>
      </c>
      <c r="H114" t="str">
        <f>IF('TRA TECH'!M110=1,IF('TRA TECH'!L110=1,'TRA TECH'!J110,"*"),"*")</f>
        <v>TRAFRECLTPHEVPGSL20</v>
      </c>
      <c r="I114" t="str">
        <f>IF(H114="*","*",_xlfn.XLOOKUP(H114,'TRA TECH'!J:J,'TRA TECH'!I:I))</f>
        <v>TRAFRECLTDMD</v>
      </c>
      <c r="J114">
        <f>IF(H114="*","*",_xlfn.XLOOKUP(H114,'TRA TECH'!J:J,'TRA TECH'!N:N))</f>
        <v>2020</v>
      </c>
      <c r="K114" s="15">
        <f>IF(H114="*","*",IF(_xlfn.XLOOKUP(H114,'TRA TECH'!J:J,'TRA TECH'!O:O)="","",_xlfn.XLOOKUP(H114,'TRA TECH'!J:J,'TRA TECH'!O:O)))</f>
        <v>15.579764908323551</v>
      </c>
      <c r="L114">
        <f t="shared" si="6"/>
        <v>1</v>
      </c>
      <c r="M114">
        <f>IF(H114="*","*",IF(_xlfn.XLOOKUP($H114,'TRA TECH'!$J:$J,'TRA TECH'!Q:Q)="","",_xlfn.XLOOKUP($H114,'TRA TECH'!$J:$J,'TRA TECH'!Q:Q)))</f>
        <v>0.54122350148367893</v>
      </c>
      <c r="N114">
        <f>IF(H114="*","*",IF(_xlfn.XLOOKUP($H114,'TRA TECH'!$J:$J,'TRA TECH'!R:R)="","",_xlfn.XLOOKUP($H114,'TRA TECH'!$J:$J,'TRA TECH'!R:R)))</f>
        <v>0.5651010089020797</v>
      </c>
      <c r="O114">
        <f>IF(H114="*","*",IF(_xlfn.XLOOKUP($H114,'TRA TECH'!$J:$J,'TRA TECH'!S:S)="","",_xlfn.XLOOKUP($H114,'TRA TECH'!$J:$J,'TRA TECH'!S:S)))</f>
        <v>0.57571323442136235</v>
      </c>
      <c r="P114">
        <f>IF(H114="*","*",IF(_xlfn.XLOOKUP($H114,'TRA TECH'!$J:$J,'TRA TECH'!T:T)="","",_xlfn.XLOOKUP($H114,'TRA TECH'!$J:$J,'TRA TECH'!T:T)))</f>
        <v>0.62479477744807399</v>
      </c>
      <c r="Q114">
        <f>IF(H114="*","*",IF(_xlfn.XLOOKUP($H114,'TRA TECH'!$J:$J,'TRA TECH'!U:U)="","",_xlfn.XLOOKUP($H114,'TRA TECH'!$J:$J,'TRA TECH'!U:U)))</f>
        <v>0.65132534124629371</v>
      </c>
      <c r="R114">
        <f>IF(H114="*","*",IF(_xlfn.XLOOKUP($H114,'TRA TECH'!$J:$J,'TRA TECH'!V:V)="","",_xlfn.XLOOKUP($H114,'TRA TECH'!$J:$J,'TRA TECH'!V:V)))</f>
        <v>0.67785590504451332</v>
      </c>
      <c r="S114">
        <f>IF(H114="*","*",IF(_xlfn.XLOOKUP($H114,'TRA TECH'!$J:$J,'TRA TECH'!W:W)="","",_xlfn.XLOOKUP($H114,'TRA TECH'!$J:$J,'TRA TECH'!W:W)))</f>
        <v>0.70438646884273293</v>
      </c>
      <c r="T114">
        <f t="shared" si="7"/>
        <v>0.70438646884273293</v>
      </c>
      <c r="U114">
        <f>IF(H114="*","*",IF(_xlfn.XLOOKUP($H114,'TRA TECH'!$J:$J,'TRA TECH'!X:X)="","",_xlfn.XLOOKUP($H114,'TRA TECH'!$J:$J,'TRA TECH'!X:X)))</f>
        <v>243.97350384358839</v>
      </c>
      <c r="V114">
        <f>IF(H114="*","*",IF(_xlfn.XLOOKUP($H114,'TRA TECH'!$J:$J,'TRA TECH'!Y:Y)="","",_xlfn.XLOOKUP($H114,'TRA TECH'!$J:$J,'TRA TECH'!Y:Y)))</f>
        <v>226.902471504678</v>
      </c>
      <c r="W114">
        <f>IF(H114="*","*",IF(_xlfn.XLOOKUP($H114,'TRA TECH'!$J:$J,'TRA TECH'!Z:Z)="","",_xlfn.XLOOKUP($H114,'TRA TECH'!$J:$J,'TRA TECH'!Z:Z)))</f>
        <v>214.81049026461639</v>
      </c>
      <c r="X114">
        <f>IF(H114="*","*",IF(_xlfn.XLOOKUP($H114,'TRA TECH'!$J:$J,'TRA TECH'!AA:AA)="","",_xlfn.XLOOKUP($H114,'TRA TECH'!$J:$J,'TRA TECH'!AA:AA)))</f>
        <v>209.1201461516448</v>
      </c>
      <c r="Y114">
        <f>IF(H114="*","*",IF(_xlfn.XLOOKUP($H114,'TRA TECH'!$J:$J,'TRA TECH'!AB:AB)="","",_xlfn.XLOOKUP($H114,'TRA TECH'!$J:$J,'TRA TECH'!AB:AB)))</f>
        <v>206.27497409516101</v>
      </c>
      <c r="Z114">
        <f>IF(H114="*","*",IF(_xlfn.XLOOKUP($H114,'TRA TECH'!$J:$J,'TRA TECH'!AC:AC)="","",_xlfn.XLOOKUP($H114,'TRA TECH'!$J:$J,'TRA TECH'!AC:AC)))</f>
        <v>203.42980203867671</v>
      </c>
      <c r="AA114">
        <f>IF(H114="*","*",IF(_xlfn.XLOOKUP($H114,'TRA TECH'!$J:$J,'TRA TECH'!AD:AD)="","",_xlfn.XLOOKUP($H114,'TRA TECH'!$J:$J,'TRA TECH'!AD:AD)))</f>
        <v>200.5846299821896</v>
      </c>
      <c r="AB114">
        <f t="shared" si="8"/>
        <v>200.5846299821896</v>
      </c>
      <c r="AC114" s="15">
        <f>IF(H114="*","*",IF(_xlfn.XLOOKUP($H114,'TRA TECH'!$J:$J,'TRA TECH'!AE:AE)="","",_xlfn.XLOOKUP($H114,'TRA TECH'!$J:$J,'TRA TECH'!AE:AE)))</f>
        <v>5.0676967869571161</v>
      </c>
      <c r="AD114" s="15">
        <f>IF(H114="*","*",IF(_xlfn.XLOOKUP($H114,'TRA TECH'!$J:$J,'TRA TECH'!AF:AF)="","",_xlfn.XLOOKUP($H114,'TRA TECH'!$J:$J,'TRA TECH'!AF:AF)))</f>
        <v>5.0676967869571161</v>
      </c>
      <c r="AE114" s="15">
        <f>IF(H114="*","*",IF(_xlfn.XLOOKUP($H114,'TRA TECH'!$J:$J,'TRA TECH'!AG:AG)="","",_xlfn.XLOOKUP($H114,'TRA TECH'!$J:$J,'TRA TECH'!AG:AG)))</f>
        <v>5.0676967869571161</v>
      </c>
      <c r="AF114" s="15">
        <f>IF(H114="*","*",IF(_xlfn.XLOOKUP($H114,'TRA TECH'!$J:$J,'TRA TECH'!AH:AH)="","",_xlfn.XLOOKUP($H114,'TRA TECH'!$J:$J,'TRA TECH'!AH:AH)))</f>
        <v>5.0676967869571161</v>
      </c>
      <c r="AG114" s="15">
        <f>IF(H114="*","*",IF(_xlfn.XLOOKUP($H114,'TRA TECH'!$J:$J,'TRA TECH'!AI:AI)="","",_xlfn.XLOOKUP($H114,'TRA TECH'!$J:$J,'TRA TECH'!AI:AI)))</f>
        <v>5.0676967869571161</v>
      </c>
      <c r="AH114" s="15">
        <f>IF(H114="*","*",IF(_xlfn.XLOOKUP($H114,'TRA TECH'!$J:$J,'TRA TECH'!AJ:AJ)="","",_xlfn.XLOOKUP($H114,'TRA TECH'!$J:$J,'TRA TECH'!AJ:AJ)))</f>
        <v>5.0676967869571161</v>
      </c>
      <c r="AI114" s="15">
        <f>IF(H114="*","*",IF(_xlfn.XLOOKUP($H114,'TRA TECH'!$J:$J,'TRA TECH'!AK:AK)="","",_xlfn.XLOOKUP($H114,'TRA TECH'!$J:$J,'TRA TECH'!AK:AK)))</f>
        <v>5.0676967869571161</v>
      </c>
      <c r="AJ114" s="15">
        <f t="shared" si="9"/>
        <v>5.0676967869571161</v>
      </c>
      <c r="AK114" s="16">
        <f t="shared" si="10"/>
        <v>0.25</v>
      </c>
    </row>
    <row r="115" spans="2:37" x14ac:dyDescent="0.25">
      <c r="B115" t="str">
        <f>IF('TRA TECH'!M111=0,"*",IF('TRA TECH'!H111="","*",'TRA TECH'!J111))</f>
        <v>TRAFRECLTPHEVPGSL20</v>
      </c>
      <c r="C115" t="str">
        <f>IF('TRA TECH'!M111=0,"*",'TRA TECH'!H111)</f>
        <v>TRAETH</v>
      </c>
      <c r="D115" t="s">
        <v>424</v>
      </c>
      <c r="E115" s="9">
        <f>'TRA TECH'!P111</f>
        <v>0.1</v>
      </c>
      <c r="H115" t="str">
        <f>IF('TRA TECH'!M111=1,IF('TRA TECH'!L111=1,'TRA TECH'!J111,"*"),"*")</f>
        <v>*</v>
      </c>
      <c r="I115" t="str">
        <f>IF(H115="*","*",_xlfn.XLOOKUP(H115,'TRA TECH'!J:J,'TRA TECH'!I:I))</f>
        <v>*</v>
      </c>
      <c r="J115" t="str">
        <f>IF(H115="*","*",_xlfn.XLOOKUP(H115,'TRA TECH'!J:J,'TRA TECH'!N:N))</f>
        <v>*</v>
      </c>
      <c r="K115" s="15" t="str">
        <f>IF(H115="*","*",IF(_xlfn.XLOOKUP(H115,'TRA TECH'!J:J,'TRA TECH'!O:O)="","",_xlfn.XLOOKUP(H115,'TRA TECH'!J:J,'TRA TECH'!O:O)))</f>
        <v>*</v>
      </c>
      <c r="L115" t="str">
        <f t="shared" si="6"/>
        <v>*</v>
      </c>
      <c r="M115" t="str">
        <f>IF(H115="*","*",IF(_xlfn.XLOOKUP($H115,'TRA TECH'!$J:$J,'TRA TECH'!Q:Q)="","",_xlfn.XLOOKUP($H115,'TRA TECH'!$J:$J,'TRA TECH'!Q:Q)))</f>
        <v>*</v>
      </c>
      <c r="N115" t="str">
        <f>IF(H115="*","*",IF(_xlfn.XLOOKUP($H115,'TRA TECH'!$J:$J,'TRA TECH'!R:R)="","",_xlfn.XLOOKUP($H115,'TRA TECH'!$J:$J,'TRA TECH'!R:R)))</f>
        <v>*</v>
      </c>
      <c r="O115" t="str">
        <f>IF(H115="*","*",IF(_xlfn.XLOOKUP($H115,'TRA TECH'!$J:$J,'TRA TECH'!S:S)="","",_xlfn.XLOOKUP($H115,'TRA TECH'!$J:$J,'TRA TECH'!S:S)))</f>
        <v>*</v>
      </c>
      <c r="P115" t="str">
        <f>IF(H115="*","*",IF(_xlfn.XLOOKUP($H115,'TRA TECH'!$J:$J,'TRA TECH'!T:T)="","",_xlfn.XLOOKUP($H115,'TRA TECH'!$J:$J,'TRA TECH'!T:T)))</f>
        <v>*</v>
      </c>
      <c r="Q115" t="str">
        <f>IF(H115="*","*",IF(_xlfn.XLOOKUP($H115,'TRA TECH'!$J:$J,'TRA TECH'!U:U)="","",_xlfn.XLOOKUP($H115,'TRA TECH'!$J:$J,'TRA TECH'!U:U)))</f>
        <v>*</v>
      </c>
      <c r="R115" t="str">
        <f>IF(H115="*","*",IF(_xlfn.XLOOKUP($H115,'TRA TECH'!$J:$J,'TRA TECH'!V:V)="","",_xlfn.XLOOKUP($H115,'TRA TECH'!$J:$J,'TRA TECH'!V:V)))</f>
        <v>*</v>
      </c>
      <c r="S115" t="str">
        <f>IF(H115="*","*",IF(_xlfn.XLOOKUP($H115,'TRA TECH'!$J:$J,'TRA TECH'!W:W)="","",_xlfn.XLOOKUP($H115,'TRA TECH'!$J:$J,'TRA TECH'!W:W)))</f>
        <v>*</v>
      </c>
      <c r="T115" t="str">
        <f t="shared" si="7"/>
        <v>*</v>
      </c>
      <c r="U115" t="str">
        <f>IF(H115="*","*",IF(_xlfn.XLOOKUP($H115,'TRA TECH'!$J:$J,'TRA TECH'!X:X)="","",_xlfn.XLOOKUP($H115,'TRA TECH'!$J:$J,'TRA TECH'!X:X)))</f>
        <v>*</v>
      </c>
      <c r="V115" t="str">
        <f>IF(H115="*","*",IF(_xlfn.XLOOKUP($H115,'TRA TECH'!$J:$J,'TRA TECH'!Y:Y)="","",_xlfn.XLOOKUP($H115,'TRA TECH'!$J:$J,'TRA TECH'!Y:Y)))</f>
        <v>*</v>
      </c>
      <c r="W115" t="str">
        <f>IF(H115="*","*",IF(_xlfn.XLOOKUP($H115,'TRA TECH'!$J:$J,'TRA TECH'!Z:Z)="","",_xlfn.XLOOKUP($H115,'TRA TECH'!$J:$J,'TRA TECH'!Z:Z)))</f>
        <v>*</v>
      </c>
      <c r="X115" t="str">
        <f>IF(H115="*","*",IF(_xlfn.XLOOKUP($H115,'TRA TECH'!$J:$J,'TRA TECH'!AA:AA)="","",_xlfn.XLOOKUP($H115,'TRA TECH'!$J:$J,'TRA TECH'!AA:AA)))</f>
        <v>*</v>
      </c>
      <c r="Y115" t="str">
        <f>IF(H115="*","*",IF(_xlfn.XLOOKUP($H115,'TRA TECH'!$J:$J,'TRA TECH'!AB:AB)="","",_xlfn.XLOOKUP($H115,'TRA TECH'!$J:$J,'TRA TECH'!AB:AB)))</f>
        <v>*</v>
      </c>
      <c r="Z115" t="str">
        <f>IF(H115="*","*",IF(_xlfn.XLOOKUP($H115,'TRA TECH'!$J:$J,'TRA TECH'!AC:AC)="","",_xlfn.XLOOKUP($H115,'TRA TECH'!$J:$J,'TRA TECH'!AC:AC)))</f>
        <v>*</v>
      </c>
      <c r="AA115" t="str">
        <f>IF(H115="*","*",IF(_xlfn.XLOOKUP($H115,'TRA TECH'!$J:$J,'TRA TECH'!AD:AD)="","",_xlfn.XLOOKUP($H115,'TRA TECH'!$J:$J,'TRA TECH'!AD:AD)))</f>
        <v>*</v>
      </c>
      <c r="AB115" t="str">
        <f t="shared" si="8"/>
        <v>*</v>
      </c>
      <c r="AC115" s="15" t="str">
        <f>IF(H115="*","*",IF(_xlfn.XLOOKUP($H115,'TRA TECH'!$J:$J,'TRA TECH'!AE:AE)="","",_xlfn.XLOOKUP($H115,'TRA TECH'!$J:$J,'TRA TECH'!AE:AE)))</f>
        <v>*</v>
      </c>
      <c r="AD115" s="15" t="str">
        <f>IF(H115="*","*",IF(_xlfn.XLOOKUP($H115,'TRA TECH'!$J:$J,'TRA TECH'!AF:AF)="","",_xlfn.XLOOKUP($H115,'TRA TECH'!$J:$J,'TRA TECH'!AF:AF)))</f>
        <v>*</v>
      </c>
      <c r="AE115" s="15" t="str">
        <f>IF(H115="*","*",IF(_xlfn.XLOOKUP($H115,'TRA TECH'!$J:$J,'TRA TECH'!AG:AG)="","",_xlfn.XLOOKUP($H115,'TRA TECH'!$J:$J,'TRA TECH'!AG:AG)))</f>
        <v>*</v>
      </c>
      <c r="AF115" s="15" t="str">
        <f>IF(H115="*","*",IF(_xlfn.XLOOKUP($H115,'TRA TECH'!$J:$J,'TRA TECH'!AH:AH)="","",_xlfn.XLOOKUP($H115,'TRA TECH'!$J:$J,'TRA TECH'!AH:AH)))</f>
        <v>*</v>
      </c>
      <c r="AG115" s="15" t="str">
        <f>IF(H115="*","*",IF(_xlfn.XLOOKUP($H115,'TRA TECH'!$J:$J,'TRA TECH'!AI:AI)="","",_xlfn.XLOOKUP($H115,'TRA TECH'!$J:$J,'TRA TECH'!AI:AI)))</f>
        <v>*</v>
      </c>
      <c r="AH115" s="15" t="str">
        <f>IF(H115="*","*",IF(_xlfn.XLOOKUP($H115,'TRA TECH'!$J:$J,'TRA TECH'!AJ:AJ)="","",_xlfn.XLOOKUP($H115,'TRA TECH'!$J:$J,'TRA TECH'!AJ:AJ)))</f>
        <v>*</v>
      </c>
      <c r="AI115" s="15" t="str">
        <f>IF(H115="*","*",IF(_xlfn.XLOOKUP($H115,'TRA TECH'!$J:$J,'TRA TECH'!AK:AK)="","",_xlfn.XLOOKUP($H115,'TRA TECH'!$J:$J,'TRA TECH'!AK:AK)))</f>
        <v>*</v>
      </c>
      <c r="AJ115" s="15" t="str">
        <f t="shared" si="9"/>
        <v>*</v>
      </c>
      <c r="AK115" s="16" t="str">
        <f t="shared" si="10"/>
        <v>*</v>
      </c>
    </row>
    <row r="116" spans="2:37" x14ac:dyDescent="0.25">
      <c r="B116" t="str">
        <f>IF('TRA TECH'!M112=0,"*",IF('TRA TECH'!H112="","*",'TRA TECH'!J112))</f>
        <v>TRAFRECLTPHEVPGSL20</v>
      </c>
      <c r="C116" t="str">
        <f>IF('TRA TECH'!M112=0,"*",'TRA TECH'!H112)</f>
        <v>TRABAT</v>
      </c>
      <c r="D116" t="s">
        <v>424</v>
      </c>
      <c r="E116" s="9">
        <f>'TRA TECH'!P112</f>
        <v>0.1972111553784853</v>
      </c>
      <c r="H116" t="str">
        <f>IF('TRA TECH'!M112=1,IF('TRA TECH'!L112=1,'TRA TECH'!J112,"*"),"*")</f>
        <v>*</v>
      </c>
      <c r="I116" t="str">
        <f>IF(H116="*","*",_xlfn.XLOOKUP(H116,'TRA TECH'!J:J,'TRA TECH'!I:I))</f>
        <v>*</v>
      </c>
      <c r="J116" t="str">
        <f>IF(H116="*","*",_xlfn.XLOOKUP(H116,'TRA TECH'!J:J,'TRA TECH'!N:N))</f>
        <v>*</v>
      </c>
      <c r="K116" s="15" t="str">
        <f>IF(H116="*","*",IF(_xlfn.XLOOKUP(H116,'TRA TECH'!J:J,'TRA TECH'!O:O)="","",_xlfn.XLOOKUP(H116,'TRA TECH'!J:J,'TRA TECH'!O:O)))</f>
        <v>*</v>
      </c>
      <c r="L116" t="str">
        <f t="shared" si="6"/>
        <v>*</v>
      </c>
      <c r="M116" t="str">
        <f>IF(H116="*","*",IF(_xlfn.XLOOKUP($H116,'TRA TECH'!$J:$J,'TRA TECH'!Q:Q)="","",_xlfn.XLOOKUP($H116,'TRA TECH'!$J:$J,'TRA TECH'!Q:Q)))</f>
        <v>*</v>
      </c>
      <c r="N116" t="str">
        <f>IF(H116="*","*",IF(_xlfn.XLOOKUP($H116,'TRA TECH'!$J:$J,'TRA TECH'!R:R)="","",_xlfn.XLOOKUP($H116,'TRA TECH'!$J:$J,'TRA TECH'!R:R)))</f>
        <v>*</v>
      </c>
      <c r="O116" t="str">
        <f>IF(H116="*","*",IF(_xlfn.XLOOKUP($H116,'TRA TECH'!$J:$J,'TRA TECH'!S:S)="","",_xlfn.XLOOKUP($H116,'TRA TECH'!$J:$J,'TRA TECH'!S:S)))</f>
        <v>*</v>
      </c>
      <c r="P116" t="str">
        <f>IF(H116="*","*",IF(_xlfn.XLOOKUP($H116,'TRA TECH'!$J:$J,'TRA TECH'!T:T)="","",_xlfn.XLOOKUP($H116,'TRA TECH'!$J:$J,'TRA TECH'!T:T)))</f>
        <v>*</v>
      </c>
      <c r="Q116" t="str">
        <f>IF(H116="*","*",IF(_xlfn.XLOOKUP($H116,'TRA TECH'!$J:$J,'TRA TECH'!U:U)="","",_xlfn.XLOOKUP($H116,'TRA TECH'!$J:$J,'TRA TECH'!U:U)))</f>
        <v>*</v>
      </c>
      <c r="R116" t="str">
        <f>IF(H116="*","*",IF(_xlfn.XLOOKUP($H116,'TRA TECH'!$J:$J,'TRA TECH'!V:V)="","",_xlfn.XLOOKUP($H116,'TRA TECH'!$J:$J,'TRA TECH'!V:V)))</f>
        <v>*</v>
      </c>
      <c r="S116" t="str">
        <f>IF(H116="*","*",IF(_xlfn.XLOOKUP($H116,'TRA TECH'!$J:$J,'TRA TECH'!W:W)="","",_xlfn.XLOOKUP($H116,'TRA TECH'!$J:$J,'TRA TECH'!W:W)))</f>
        <v>*</v>
      </c>
      <c r="T116" t="str">
        <f t="shared" si="7"/>
        <v>*</v>
      </c>
      <c r="U116" t="str">
        <f>IF(H116="*","*",IF(_xlfn.XLOOKUP($H116,'TRA TECH'!$J:$J,'TRA TECH'!X:X)="","",_xlfn.XLOOKUP($H116,'TRA TECH'!$J:$J,'TRA TECH'!X:X)))</f>
        <v>*</v>
      </c>
      <c r="V116" t="str">
        <f>IF(H116="*","*",IF(_xlfn.XLOOKUP($H116,'TRA TECH'!$J:$J,'TRA TECH'!Y:Y)="","",_xlfn.XLOOKUP($H116,'TRA TECH'!$J:$J,'TRA TECH'!Y:Y)))</f>
        <v>*</v>
      </c>
      <c r="W116" t="str">
        <f>IF(H116="*","*",IF(_xlfn.XLOOKUP($H116,'TRA TECH'!$J:$J,'TRA TECH'!Z:Z)="","",_xlfn.XLOOKUP($H116,'TRA TECH'!$J:$J,'TRA TECH'!Z:Z)))</f>
        <v>*</v>
      </c>
      <c r="X116" t="str">
        <f>IF(H116="*","*",IF(_xlfn.XLOOKUP($H116,'TRA TECH'!$J:$J,'TRA TECH'!AA:AA)="","",_xlfn.XLOOKUP($H116,'TRA TECH'!$J:$J,'TRA TECH'!AA:AA)))</f>
        <v>*</v>
      </c>
      <c r="Y116" t="str">
        <f>IF(H116="*","*",IF(_xlfn.XLOOKUP($H116,'TRA TECH'!$J:$J,'TRA TECH'!AB:AB)="","",_xlfn.XLOOKUP($H116,'TRA TECH'!$J:$J,'TRA TECH'!AB:AB)))</f>
        <v>*</v>
      </c>
      <c r="Z116" t="str">
        <f>IF(H116="*","*",IF(_xlfn.XLOOKUP($H116,'TRA TECH'!$J:$J,'TRA TECH'!AC:AC)="","",_xlfn.XLOOKUP($H116,'TRA TECH'!$J:$J,'TRA TECH'!AC:AC)))</f>
        <v>*</v>
      </c>
      <c r="AA116" t="str">
        <f>IF(H116="*","*",IF(_xlfn.XLOOKUP($H116,'TRA TECH'!$J:$J,'TRA TECH'!AD:AD)="","",_xlfn.XLOOKUP($H116,'TRA TECH'!$J:$J,'TRA TECH'!AD:AD)))</f>
        <v>*</v>
      </c>
      <c r="AB116" t="str">
        <f t="shared" si="8"/>
        <v>*</v>
      </c>
      <c r="AC116" s="15" t="str">
        <f>IF(H116="*","*",IF(_xlfn.XLOOKUP($H116,'TRA TECH'!$J:$J,'TRA TECH'!AE:AE)="","",_xlfn.XLOOKUP($H116,'TRA TECH'!$J:$J,'TRA TECH'!AE:AE)))</f>
        <v>*</v>
      </c>
      <c r="AD116" s="15" t="str">
        <f>IF(H116="*","*",IF(_xlfn.XLOOKUP($H116,'TRA TECH'!$J:$J,'TRA TECH'!AF:AF)="","",_xlfn.XLOOKUP($H116,'TRA TECH'!$J:$J,'TRA TECH'!AF:AF)))</f>
        <v>*</v>
      </c>
      <c r="AE116" s="15" t="str">
        <f>IF(H116="*","*",IF(_xlfn.XLOOKUP($H116,'TRA TECH'!$J:$J,'TRA TECH'!AG:AG)="","",_xlfn.XLOOKUP($H116,'TRA TECH'!$J:$J,'TRA TECH'!AG:AG)))</f>
        <v>*</v>
      </c>
      <c r="AF116" s="15" t="str">
        <f>IF(H116="*","*",IF(_xlfn.XLOOKUP($H116,'TRA TECH'!$J:$J,'TRA TECH'!AH:AH)="","",_xlfn.XLOOKUP($H116,'TRA TECH'!$J:$J,'TRA TECH'!AH:AH)))</f>
        <v>*</v>
      </c>
      <c r="AG116" s="15" t="str">
        <f>IF(H116="*","*",IF(_xlfn.XLOOKUP($H116,'TRA TECH'!$J:$J,'TRA TECH'!AI:AI)="","",_xlfn.XLOOKUP($H116,'TRA TECH'!$J:$J,'TRA TECH'!AI:AI)))</f>
        <v>*</v>
      </c>
      <c r="AH116" s="15" t="str">
        <f>IF(H116="*","*",IF(_xlfn.XLOOKUP($H116,'TRA TECH'!$J:$J,'TRA TECH'!AJ:AJ)="","",_xlfn.XLOOKUP($H116,'TRA TECH'!$J:$J,'TRA TECH'!AJ:AJ)))</f>
        <v>*</v>
      </c>
      <c r="AI116" s="15" t="str">
        <f>IF(H116="*","*",IF(_xlfn.XLOOKUP($H116,'TRA TECH'!$J:$J,'TRA TECH'!AK:AK)="","",_xlfn.XLOOKUP($H116,'TRA TECH'!$J:$J,'TRA TECH'!AK:AK)))</f>
        <v>*</v>
      </c>
      <c r="AJ116" s="15" t="str">
        <f t="shared" si="9"/>
        <v>*</v>
      </c>
      <c r="AK116" s="16" t="str">
        <f t="shared" si="10"/>
        <v>*</v>
      </c>
    </row>
    <row r="117" spans="2:37" x14ac:dyDescent="0.25">
      <c r="B117" t="str">
        <f>IF('TRA TECH'!M113=0,"*",IF('TRA TECH'!H113="","*",'TRA TECH'!J113))</f>
        <v>TRAFRECLTPHEVEGSL20</v>
      </c>
      <c r="C117" t="str">
        <f>IF('TRA TECH'!M113=0,"*",'TRA TECH'!H113)</f>
        <v>TRAGSL</v>
      </c>
      <c r="D117" t="s">
        <v>424</v>
      </c>
      <c r="E117" s="9">
        <f>'TRA TECH'!P113</f>
        <v>0.6035856573705215</v>
      </c>
      <c r="H117" t="str">
        <f>IF('TRA TECH'!M113=1,IF('TRA TECH'!L113=1,'TRA TECH'!J113,"*"),"*")</f>
        <v>TRAFRECLTPHEVEGSL20</v>
      </c>
      <c r="I117" t="str">
        <f>IF(H117="*","*",_xlfn.XLOOKUP(H117,'TRA TECH'!J:J,'TRA TECH'!I:I))</f>
        <v>TRAFRECLTDMD</v>
      </c>
      <c r="J117">
        <f>IF(H117="*","*",_xlfn.XLOOKUP(H117,'TRA TECH'!J:J,'TRA TECH'!N:N))</f>
        <v>2020</v>
      </c>
      <c r="K117" s="15">
        <f>IF(H117="*","*",IF(_xlfn.XLOOKUP(H117,'TRA TECH'!J:J,'TRA TECH'!O:O)="","",_xlfn.XLOOKUP(H117,'TRA TECH'!J:J,'TRA TECH'!O:O)))</f>
        <v>15.579764908323551</v>
      </c>
      <c r="L117">
        <f t="shared" si="6"/>
        <v>1</v>
      </c>
      <c r="M117">
        <f>IF(H117="*","*",IF(_xlfn.XLOOKUP($H117,'TRA TECH'!$J:$J,'TRA TECH'!Q:Q)="","",_xlfn.XLOOKUP($H117,'TRA TECH'!$J:$J,'TRA TECH'!Q:Q)))</f>
        <v>0.67387632047477508</v>
      </c>
      <c r="N117">
        <f>IF(H117="*","*",IF(_xlfn.XLOOKUP($H117,'TRA TECH'!$J:$J,'TRA TECH'!R:R)="","",_xlfn.XLOOKUP($H117,'TRA TECH'!$J:$J,'TRA TECH'!R:R)))</f>
        <v>0.711019109792288</v>
      </c>
      <c r="O117">
        <f>IF(H117="*","*",IF(_xlfn.XLOOKUP($H117,'TRA TECH'!$J:$J,'TRA TECH'!S:S)="","",_xlfn.XLOOKUP($H117,'TRA TECH'!$J:$J,'TRA TECH'!S:S)))</f>
        <v>0.72561091988130844</v>
      </c>
      <c r="P117">
        <f>IF(H117="*","*",IF(_xlfn.XLOOKUP($H117,'TRA TECH'!$J:$J,'TRA TECH'!T:T)="","",_xlfn.XLOOKUP($H117,'TRA TECH'!$J:$J,'TRA TECH'!T:T)))</f>
        <v>0.78795774480711844</v>
      </c>
      <c r="Q117">
        <f>IF(H117="*","*",IF(_xlfn.XLOOKUP($H117,'TRA TECH'!$J:$J,'TRA TECH'!U:U)="","",_xlfn.XLOOKUP($H117,'TRA TECH'!$J:$J,'TRA TECH'!U:U)))</f>
        <v>0.82244747774480709</v>
      </c>
      <c r="R117">
        <f>IF(H117="*","*",IF(_xlfn.XLOOKUP($H117,'TRA TECH'!$J:$J,'TRA TECH'!V:V)="","",_xlfn.XLOOKUP($H117,'TRA TECH'!$J:$J,'TRA TECH'!V:V)))</f>
        <v>0.85561068249258154</v>
      </c>
      <c r="S117">
        <f>IF(H117="*","*",IF(_xlfn.XLOOKUP($H117,'TRA TECH'!$J:$J,'TRA TECH'!W:W)="","",_xlfn.XLOOKUP($H117,'TRA TECH'!$J:$J,'TRA TECH'!W:W)))</f>
        <v>0.89142694362018204</v>
      </c>
      <c r="T117">
        <f t="shared" si="7"/>
        <v>0.89142694362018204</v>
      </c>
      <c r="U117">
        <f>IF(H117="*","*",IF(_xlfn.XLOOKUP($H117,'TRA TECH'!$J:$J,'TRA TECH'!X:X)="","",_xlfn.XLOOKUP($H117,'TRA TECH'!$J:$J,'TRA TECH'!X:X)))</f>
        <v>270.29134536607239</v>
      </c>
      <c r="V117">
        <f>IF(H117="*","*",IF(_xlfn.XLOOKUP($H117,'TRA TECH'!$J:$J,'TRA TECH'!Y:Y)="","",_xlfn.XLOOKUP($H117,'TRA TECH'!$J:$J,'TRA TECH'!Y:Y)))</f>
        <v>246.10738288595039</v>
      </c>
      <c r="W117">
        <f>IF(H117="*","*",IF(_xlfn.XLOOKUP($H117,'TRA TECH'!$J:$J,'TRA TECH'!Z:Z)="","",_xlfn.XLOOKUP($H117,'TRA TECH'!$J:$J,'TRA TECH'!Z:Z)))</f>
        <v>226.902471504678</v>
      </c>
      <c r="X117">
        <f>IF(H117="*","*",IF(_xlfn.XLOOKUP($H117,'TRA TECH'!$J:$J,'TRA TECH'!AA:AA)="","",_xlfn.XLOOKUP($H117,'TRA TECH'!$J:$J,'TRA TECH'!AA:AA)))</f>
        <v>216.94436930698029</v>
      </c>
      <c r="Y117">
        <f>IF(H117="*","*",IF(_xlfn.XLOOKUP($H117,'TRA TECH'!$J:$J,'TRA TECH'!AB:AB)="","",_xlfn.XLOOKUP($H117,'TRA TECH'!$J:$J,'TRA TECH'!AB:AB)))</f>
        <v>212.67661122225249</v>
      </c>
      <c r="Z117">
        <f>IF(H117="*","*",IF(_xlfn.XLOOKUP($H117,'TRA TECH'!$J:$J,'TRA TECH'!AC:AC)="","",_xlfn.XLOOKUP($H117,'TRA TECH'!$J:$J,'TRA TECH'!AC:AC)))</f>
        <v>208.40885313752489</v>
      </c>
      <c r="AA117">
        <f>IF(H117="*","*",IF(_xlfn.XLOOKUP($H117,'TRA TECH'!$J:$J,'TRA TECH'!AD:AD)="","",_xlfn.XLOOKUP($H117,'TRA TECH'!$J:$J,'TRA TECH'!AD:AD)))</f>
        <v>204.14109505279731</v>
      </c>
      <c r="AB117">
        <f t="shared" si="8"/>
        <v>204.14109505279731</v>
      </c>
      <c r="AC117" s="15">
        <f>IF(H117="*","*",IF(_xlfn.XLOOKUP($H117,'TRA TECH'!$J:$J,'TRA TECH'!AE:AE)="","",_xlfn.XLOOKUP($H117,'TRA TECH'!$J:$J,'TRA TECH'!AE:AE)))</f>
        <v>5.0676967869571161</v>
      </c>
      <c r="AD117" s="15">
        <f>IF(H117="*","*",IF(_xlfn.XLOOKUP($H117,'TRA TECH'!$J:$J,'TRA TECH'!AF:AF)="","",_xlfn.XLOOKUP($H117,'TRA TECH'!$J:$J,'TRA TECH'!AF:AF)))</f>
        <v>5.0676967869571161</v>
      </c>
      <c r="AE117" s="15">
        <f>IF(H117="*","*",IF(_xlfn.XLOOKUP($H117,'TRA TECH'!$J:$J,'TRA TECH'!AG:AG)="","",_xlfn.XLOOKUP($H117,'TRA TECH'!$J:$J,'TRA TECH'!AG:AG)))</f>
        <v>5.0676967869571161</v>
      </c>
      <c r="AF117" s="15">
        <f>IF(H117="*","*",IF(_xlfn.XLOOKUP($H117,'TRA TECH'!$J:$J,'TRA TECH'!AH:AH)="","",_xlfn.XLOOKUP($H117,'TRA TECH'!$J:$J,'TRA TECH'!AH:AH)))</f>
        <v>5.0676967869571161</v>
      </c>
      <c r="AG117" s="15">
        <f>IF(H117="*","*",IF(_xlfn.XLOOKUP($H117,'TRA TECH'!$J:$J,'TRA TECH'!AI:AI)="","",_xlfn.XLOOKUP($H117,'TRA TECH'!$J:$J,'TRA TECH'!AI:AI)))</f>
        <v>5.0676967869571161</v>
      </c>
      <c r="AH117" s="15">
        <f>IF(H117="*","*",IF(_xlfn.XLOOKUP($H117,'TRA TECH'!$J:$J,'TRA TECH'!AJ:AJ)="","",_xlfn.XLOOKUP($H117,'TRA TECH'!$J:$J,'TRA TECH'!AJ:AJ)))</f>
        <v>5.0676967869571161</v>
      </c>
      <c r="AI117" s="15">
        <f>IF(H117="*","*",IF(_xlfn.XLOOKUP($H117,'TRA TECH'!$J:$J,'TRA TECH'!AK:AK)="","",_xlfn.XLOOKUP($H117,'TRA TECH'!$J:$J,'TRA TECH'!AK:AK)))</f>
        <v>5.0676967869571161</v>
      </c>
      <c r="AJ117" s="15">
        <f t="shared" si="9"/>
        <v>5.0676967869571161</v>
      </c>
      <c r="AK117" s="16">
        <f t="shared" si="10"/>
        <v>0.25</v>
      </c>
    </row>
    <row r="118" spans="2:37" x14ac:dyDescent="0.25">
      <c r="B118" t="str">
        <f>IF('TRA TECH'!M114=0,"*",IF('TRA TECH'!H114="","*",'TRA TECH'!J114))</f>
        <v>TRAFRECLTPHEVEGSL20</v>
      </c>
      <c r="C118" t="str">
        <f>IF('TRA TECH'!M114=0,"*",'TRA TECH'!H114)</f>
        <v>TRAETH</v>
      </c>
      <c r="D118" t="s">
        <v>424</v>
      </c>
      <c r="E118" s="9">
        <f>'TRA TECH'!P114</f>
        <v>0.1</v>
      </c>
      <c r="H118" t="str">
        <f>IF('TRA TECH'!M114=1,IF('TRA TECH'!L114=1,'TRA TECH'!J114,"*"),"*")</f>
        <v>*</v>
      </c>
      <c r="I118" t="str">
        <f>IF(H118="*","*",_xlfn.XLOOKUP(H118,'TRA TECH'!J:J,'TRA TECH'!I:I))</f>
        <v>*</v>
      </c>
      <c r="J118" t="str">
        <f>IF(H118="*","*",_xlfn.XLOOKUP(H118,'TRA TECH'!J:J,'TRA TECH'!N:N))</f>
        <v>*</v>
      </c>
      <c r="K118" s="15" t="str">
        <f>IF(H118="*","*",IF(_xlfn.XLOOKUP(H118,'TRA TECH'!J:J,'TRA TECH'!O:O)="","",_xlfn.XLOOKUP(H118,'TRA TECH'!J:J,'TRA TECH'!O:O)))</f>
        <v>*</v>
      </c>
      <c r="L118" t="str">
        <f t="shared" si="6"/>
        <v>*</v>
      </c>
      <c r="M118" t="str">
        <f>IF(H118="*","*",IF(_xlfn.XLOOKUP($H118,'TRA TECH'!$J:$J,'TRA TECH'!Q:Q)="","",_xlfn.XLOOKUP($H118,'TRA TECH'!$J:$J,'TRA TECH'!Q:Q)))</f>
        <v>*</v>
      </c>
      <c r="N118" t="str">
        <f>IF(H118="*","*",IF(_xlfn.XLOOKUP($H118,'TRA TECH'!$J:$J,'TRA TECH'!R:R)="","",_xlfn.XLOOKUP($H118,'TRA TECH'!$J:$J,'TRA TECH'!R:R)))</f>
        <v>*</v>
      </c>
      <c r="O118" t="str">
        <f>IF(H118="*","*",IF(_xlfn.XLOOKUP($H118,'TRA TECH'!$J:$J,'TRA TECH'!S:S)="","",_xlfn.XLOOKUP($H118,'TRA TECH'!$J:$J,'TRA TECH'!S:S)))</f>
        <v>*</v>
      </c>
      <c r="P118" t="str">
        <f>IF(H118="*","*",IF(_xlfn.XLOOKUP($H118,'TRA TECH'!$J:$J,'TRA TECH'!T:T)="","",_xlfn.XLOOKUP($H118,'TRA TECH'!$J:$J,'TRA TECH'!T:T)))</f>
        <v>*</v>
      </c>
      <c r="Q118" t="str">
        <f>IF(H118="*","*",IF(_xlfn.XLOOKUP($H118,'TRA TECH'!$J:$J,'TRA TECH'!U:U)="","",_xlfn.XLOOKUP($H118,'TRA TECH'!$J:$J,'TRA TECH'!U:U)))</f>
        <v>*</v>
      </c>
      <c r="R118" t="str">
        <f>IF(H118="*","*",IF(_xlfn.XLOOKUP($H118,'TRA TECH'!$J:$J,'TRA TECH'!V:V)="","",_xlfn.XLOOKUP($H118,'TRA TECH'!$J:$J,'TRA TECH'!V:V)))</f>
        <v>*</v>
      </c>
      <c r="S118" t="str">
        <f>IF(H118="*","*",IF(_xlfn.XLOOKUP($H118,'TRA TECH'!$J:$J,'TRA TECH'!W:W)="","",_xlfn.XLOOKUP($H118,'TRA TECH'!$J:$J,'TRA TECH'!W:W)))</f>
        <v>*</v>
      </c>
      <c r="T118" t="str">
        <f t="shared" si="7"/>
        <v>*</v>
      </c>
      <c r="U118" t="str">
        <f>IF(H118="*","*",IF(_xlfn.XLOOKUP($H118,'TRA TECH'!$J:$J,'TRA TECH'!X:X)="","",_xlfn.XLOOKUP($H118,'TRA TECH'!$J:$J,'TRA TECH'!X:X)))</f>
        <v>*</v>
      </c>
      <c r="V118" t="str">
        <f>IF(H118="*","*",IF(_xlfn.XLOOKUP($H118,'TRA TECH'!$J:$J,'TRA TECH'!Y:Y)="","",_xlfn.XLOOKUP($H118,'TRA TECH'!$J:$J,'TRA TECH'!Y:Y)))</f>
        <v>*</v>
      </c>
      <c r="W118" t="str">
        <f>IF(H118="*","*",IF(_xlfn.XLOOKUP($H118,'TRA TECH'!$J:$J,'TRA TECH'!Z:Z)="","",_xlfn.XLOOKUP($H118,'TRA TECH'!$J:$J,'TRA TECH'!Z:Z)))</f>
        <v>*</v>
      </c>
      <c r="X118" t="str">
        <f>IF(H118="*","*",IF(_xlfn.XLOOKUP($H118,'TRA TECH'!$J:$J,'TRA TECH'!AA:AA)="","",_xlfn.XLOOKUP($H118,'TRA TECH'!$J:$J,'TRA TECH'!AA:AA)))</f>
        <v>*</v>
      </c>
      <c r="Y118" t="str">
        <f>IF(H118="*","*",IF(_xlfn.XLOOKUP($H118,'TRA TECH'!$J:$J,'TRA TECH'!AB:AB)="","",_xlfn.XLOOKUP($H118,'TRA TECH'!$J:$J,'TRA TECH'!AB:AB)))</f>
        <v>*</v>
      </c>
      <c r="Z118" t="str">
        <f>IF(H118="*","*",IF(_xlfn.XLOOKUP($H118,'TRA TECH'!$J:$J,'TRA TECH'!AC:AC)="","",_xlfn.XLOOKUP($H118,'TRA TECH'!$J:$J,'TRA TECH'!AC:AC)))</f>
        <v>*</v>
      </c>
      <c r="AA118" t="str">
        <f>IF(H118="*","*",IF(_xlfn.XLOOKUP($H118,'TRA TECH'!$J:$J,'TRA TECH'!AD:AD)="","",_xlfn.XLOOKUP($H118,'TRA TECH'!$J:$J,'TRA TECH'!AD:AD)))</f>
        <v>*</v>
      </c>
      <c r="AB118" t="str">
        <f t="shared" si="8"/>
        <v>*</v>
      </c>
      <c r="AC118" s="15" t="str">
        <f>IF(H118="*","*",IF(_xlfn.XLOOKUP($H118,'TRA TECH'!$J:$J,'TRA TECH'!AE:AE)="","",_xlfn.XLOOKUP($H118,'TRA TECH'!$J:$J,'TRA TECH'!AE:AE)))</f>
        <v>*</v>
      </c>
      <c r="AD118" s="15" t="str">
        <f>IF(H118="*","*",IF(_xlfn.XLOOKUP($H118,'TRA TECH'!$J:$J,'TRA TECH'!AF:AF)="","",_xlfn.XLOOKUP($H118,'TRA TECH'!$J:$J,'TRA TECH'!AF:AF)))</f>
        <v>*</v>
      </c>
      <c r="AE118" s="15" t="str">
        <f>IF(H118="*","*",IF(_xlfn.XLOOKUP($H118,'TRA TECH'!$J:$J,'TRA TECH'!AG:AG)="","",_xlfn.XLOOKUP($H118,'TRA TECH'!$J:$J,'TRA TECH'!AG:AG)))</f>
        <v>*</v>
      </c>
      <c r="AF118" s="15" t="str">
        <f>IF(H118="*","*",IF(_xlfn.XLOOKUP($H118,'TRA TECH'!$J:$J,'TRA TECH'!AH:AH)="","",_xlfn.XLOOKUP($H118,'TRA TECH'!$J:$J,'TRA TECH'!AH:AH)))</f>
        <v>*</v>
      </c>
      <c r="AG118" s="15" t="str">
        <f>IF(H118="*","*",IF(_xlfn.XLOOKUP($H118,'TRA TECH'!$J:$J,'TRA TECH'!AI:AI)="","",_xlfn.XLOOKUP($H118,'TRA TECH'!$J:$J,'TRA TECH'!AI:AI)))</f>
        <v>*</v>
      </c>
      <c r="AH118" s="15" t="str">
        <f>IF(H118="*","*",IF(_xlfn.XLOOKUP($H118,'TRA TECH'!$J:$J,'TRA TECH'!AJ:AJ)="","",_xlfn.XLOOKUP($H118,'TRA TECH'!$J:$J,'TRA TECH'!AJ:AJ)))</f>
        <v>*</v>
      </c>
      <c r="AI118" s="15" t="str">
        <f>IF(H118="*","*",IF(_xlfn.XLOOKUP($H118,'TRA TECH'!$J:$J,'TRA TECH'!AK:AK)="","",_xlfn.XLOOKUP($H118,'TRA TECH'!$J:$J,'TRA TECH'!AK:AK)))</f>
        <v>*</v>
      </c>
      <c r="AJ118" s="15" t="str">
        <f t="shared" si="9"/>
        <v>*</v>
      </c>
      <c r="AK118" s="16" t="str">
        <f t="shared" si="10"/>
        <v>*</v>
      </c>
    </row>
    <row r="119" spans="2:37" x14ac:dyDescent="0.25">
      <c r="B119" t="str">
        <f>IF('TRA TECH'!M115=0,"*",IF('TRA TECH'!H115="","*",'TRA TECH'!J115))</f>
        <v>TRAFRECLTPHEVEGSL20</v>
      </c>
      <c r="C119" t="str">
        <f>IF('TRA TECH'!M115=0,"*",'TRA TECH'!H115)</f>
        <v>TRABAT</v>
      </c>
      <c r="D119" t="s">
        <v>424</v>
      </c>
      <c r="E119" s="9">
        <f>'TRA TECH'!P115</f>
        <v>0.3964143426294785</v>
      </c>
      <c r="H119" t="str">
        <f>IF('TRA TECH'!M115=1,IF('TRA TECH'!L115=1,'TRA TECH'!J115,"*"),"*")</f>
        <v>*</v>
      </c>
      <c r="I119" t="str">
        <f>IF(H119="*","*",_xlfn.XLOOKUP(H119,'TRA TECH'!J:J,'TRA TECH'!I:I))</f>
        <v>*</v>
      </c>
      <c r="J119" t="str">
        <f>IF(H119="*","*",_xlfn.XLOOKUP(H119,'TRA TECH'!J:J,'TRA TECH'!N:N))</f>
        <v>*</v>
      </c>
      <c r="K119" s="15" t="str">
        <f>IF(H119="*","*",IF(_xlfn.XLOOKUP(H119,'TRA TECH'!J:J,'TRA TECH'!O:O)="","",_xlfn.XLOOKUP(H119,'TRA TECH'!J:J,'TRA TECH'!O:O)))</f>
        <v>*</v>
      </c>
      <c r="L119" t="str">
        <f t="shared" si="6"/>
        <v>*</v>
      </c>
      <c r="M119" t="str">
        <f>IF(H119="*","*",IF(_xlfn.XLOOKUP($H119,'TRA TECH'!$J:$J,'TRA TECH'!Q:Q)="","",_xlfn.XLOOKUP($H119,'TRA TECH'!$J:$J,'TRA TECH'!Q:Q)))</f>
        <v>*</v>
      </c>
      <c r="N119" t="str">
        <f>IF(H119="*","*",IF(_xlfn.XLOOKUP($H119,'TRA TECH'!$J:$J,'TRA TECH'!R:R)="","",_xlfn.XLOOKUP($H119,'TRA TECH'!$J:$J,'TRA TECH'!R:R)))</f>
        <v>*</v>
      </c>
      <c r="O119" t="str">
        <f>IF(H119="*","*",IF(_xlfn.XLOOKUP($H119,'TRA TECH'!$J:$J,'TRA TECH'!S:S)="","",_xlfn.XLOOKUP($H119,'TRA TECH'!$J:$J,'TRA TECH'!S:S)))</f>
        <v>*</v>
      </c>
      <c r="P119" t="str">
        <f>IF(H119="*","*",IF(_xlfn.XLOOKUP($H119,'TRA TECH'!$J:$J,'TRA TECH'!T:T)="","",_xlfn.XLOOKUP($H119,'TRA TECH'!$J:$J,'TRA TECH'!T:T)))</f>
        <v>*</v>
      </c>
      <c r="Q119" t="str">
        <f>IF(H119="*","*",IF(_xlfn.XLOOKUP($H119,'TRA TECH'!$J:$J,'TRA TECH'!U:U)="","",_xlfn.XLOOKUP($H119,'TRA TECH'!$J:$J,'TRA TECH'!U:U)))</f>
        <v>*</v>
      </c>
      <c r="R119" t="str">
        <f>IF(H119="*","*",IF(_xlfn.XLOOKUP($H119,'TRA TECH'!$J:$J,'TRA TECH'!V:V)="","",_xlfn.XLOOKUP($H119,'TRA TECH'!$J:$J,'TRA TECH'!V:V)))</f>
        <v>*</v>
      </c>
      <c r="S119" t="str">
        <f>IF(H119="*","*",IF(_xlfn.XLOOKUP($H119,'TRA TECH'!$J:$J,'TRA TECH'!W:W)="","",_xlfn.XLOOKUP($H119,'TRA TECH'!$J:$J,'TRA TECH'!W:W)))</f>
        <v>*</v>
      </c>
      <c r="T119" t="str">
        <f t="shared" si="7"/>
        <v>*</v>
      </c>
      <c r="U119" t="str">
        <f>IF(H119="*","*",IF(_xlfn.XLOOKUP($H119,'TRA TECH'!$J:$J,'TRA TECH'!X:X)="","",_xlfn.XLOOKUP($H119,'TRA TECH'!$J:$J,'TRA TECH'!X:X)))</f>
        <v>*</v>
      </c>
      <c r="V119" t="str">
        <f>IF(H119="*","*",IF(_xlfn.XLOOKUP($H119,'TRA TECH'!$J:$J,'TRA TECH'!Y:Y)="","",_xlfn.XLOOKUP($H119,'TRA TECH'!$J:$J,'TRA TECH'!Y:Y)))</f>
        <v>*</v>
      </c>
      <c r="W119" t="str">
        <f>IF(H119="*","*",IF(_xlfn.XLOOKUP($H119,'TRA TECH'!$J:$J,'TRA TECH'!Z:Z)="","",_xlfn.XLOOKUP($H119,'TRA TECH'!$J:$J,'TRA TECH'!Z:Z)))</f>
        <v>*</v>
      </c>
      <c r="X119" t="str">
        <f>IF(H119="*","*",IF(_xlfn.XLOOKUP($H119,'TRA TECH'!$J:$J,'TRA TECH'!AA:AA)="","",_xlfn.XLOOKUP($H119,'TRA TECH'!$J:$J,'TRA TECH'!AA:AA)))</f>
        <v>*</v>
      </c>
      <c r="Y119" t="str">
        <f>IF(H119="*","*",IF(_xlfn.XLOOKUP($H119,'TRA TECH'!$J:$J,'TRA TECH'!AB:AB)="","",_xlfn.XLOOKUP($H119,'TRA TECH'!$J:$J,'TRA TECH'!AB:AB)))</f>
        <v>*</v>
      </c>
      <c r="Z119" t="str">
        <f>IF(H119="*","*",IF(_xlfn.XLOOKUP($H119,'TRA TECH'!$J:$J,'TRA TECH'!AC:AC)="","",_xlfn.XLOOKUP($H119,'TRA TECH'!$J:$J,'TRA TECH'!AC:AC)))</f>
        <v>*</v>
      </c>
      <c r="AA119" t="str">
        <f>IF(H119="*","*",IF(_xlfn.XLOOKUP($H119,'TRA TECH'!$J:$J,'TRA TECH'!AD:AD)="","",_xlfn.XLOOKUP($H119,'TRA TECH'!$J:$J,'TRA TECH'!AD:AD)))</f>
        <v>*</v>
      </c>
      <c r="AB119" t="str">
        <f t="shared" si="8"/>
        <v>*</v>
      </c>
      <c r="AC119" s="15" t="str">
        <f>IF(H119="*","*",IF(_xlfn.XLOOKUP($H119,'TRA TECH'!$J:$J,'TRA TECH'!AE:AE)="","",_xlfn.XLOOKUP($H119,'TRA TECH'!$J:$J,'TRA TECH'!AE:AE)))</f>
        <v>*</v>
      </c>
      <c r="AD119" s="15" t="str">
        <f>IF(H119="*","*",IF(_xlfn.XLOOKUP($H119,'TRA TECH'!$J:$J,'TRA TECH'!AF:AF)="","",_xlfn.XLOOKUP($H119,'TRA TECH'!$J:$J,'TRA TECH'!AF:AF)))</f>
        <v>*</v>
      </c>
      <c r="AE119" s="15" t="str">
        <f>IF(H119="*","*",IF(_xlfn.XLOOKUP($H119,'TRA TECH'!$J:$J,'TRA TECH'!AG:AG)="","",_xlfn.XLOOKUP($H119,'TRA TECH'!$J:$J,'TRA TECH'!AG:AG)))</f>
        <v>*</v>
      </c>
      <c r="AF119" s="15" t="str">
        <f>IF(H119="*","*",IF(_xlfn.XLOOKUP($H119,'TRA TECH'!$J:$J,'TRA TECH'!AH:AH)="","",_xlfn.XLOOKUP($H119,'TRA TECH'!$J:$J,'TRA TECH'!AH:AH)))</f>
        <v>*</v>
      </c>
      <c r="AG119" s="15" t="str">
        <f>IF(H119="*","*",IF(_xlfn.XLOOKUP($H119,'TRA TECH'!$J:$J,'TRA TECH'!AI:AI)="","",_xlfn.XLOOKUP($H119,'TRA TECH'!$J:$J,'TRA TECH'!AI:AI)))</f>
        <v>*</v>
      </c>
      <c r="AH119" s="15" t="str">
        <f>IF(H119="*","*",IF(_xlfn.XLOOKUP($H119,'TRA TECH'!$J:$J,'TRA TECH'!AJ:AJ)="","",_xlfn.XLOOKUP($H119,'TRA TECH'!$J:$J,'TRA TECH'!AJ:AJ)))</f>
        <v>*</v>
      </c>
      <c r="AI119" s="15" t="str">
        <f>IF(H119="*","*",IF(_xlfn.XLOOKUP($H119,'TRA TECH'!$J:$J,'TRA TECH'!AK:AK)="","",_xlfn.XLOOKUP($H119,'TRA TECH'!$J:$J,'TRA TECH'!AK:AK)))</f>
        <v>*</v>
      </c>
      <c r="AJ119" s="15" t="str">
        <f t="shared" si="9"/>
        <v>*</v>
      </c>
      <c r="AK119" s="16" t="str">
        <f t="shared" si="10"/>
        <v>*</v>
      </c>
    </row>
    <row r="120" spans="2:37" x14ac:dyDescent="0.25">
      <c r="B120" t="str">
        <f>IF('TRA TECH'!M116=0,"*",IF('TRA TECH'!H116="","*",'TRA TECH'!J116))</f>
        <v>TRAFRECLTICEVDSL20</v>
      </c>
      <c r="C120" t="str">
        <f>IF('TRA TECH'!M116=0,"*",'TRA TECH'!H116)</f>
        <v>TRADSL</v>
      </c>
      <c r="D120" t="s">
        <v>424</v>
      </c>
      <c r="E120" s="9">
        <f>'TRA TECH'!P116</f>
        <v>1</v>
      </c>
      <c r="H120" t="str">
        <f>IF('TRA TECH'!M116=1,IF('TRA TECH'!L116=1,'TRA TECH'!J116,"*"),"*")</f>
        <v>TRAFRECLTICEVDSL20</v>
      </c>
      <c r="I120" t="str">
        <f>IF(H120="*","*",_xlfn.XLOOKUP(H120,'TRA TECH'!J:J,'TRA TECH'!I:I))</f>
        <v>TRAFRECLTDMD</v>
      </c>
      <c r="J120">
        <f>IF(H120="*","*",_xlfn.XLOOKUP(H120,'TRA TECH'!J:J,'TRA TECH'!N:N))</f>
        <v>2020</v>
      </c>
      <c r="K120" s="15">
        <f>IF(H120="*","*",IF(_xlfn.XLOOKUP(H120,'TRA TECH'!J:J,'TRA TECH'!O:O)="","",_xlfn.XLOOKUP(H120,'TRA TECH'!J:J,'TRA TECH'!O:O)))</f>
        <v>15.579764908323551</v>
      </c>
      <c r="L120">
        <f t="shared" si="6"/>
        <v>1</v>
      </c>
      <c r="M120">
        <f>IF(H120="*","*",IF(_xlfn.XLOOKUP($H120,'TRA TECH'!$J:$J,'TRA TECH'!Q:Q)="","",_xlfn.XLOOKUP($H120,'TRA TECH'!$J:$J,'TRA TECH'!Q:Q)))</f>
        <v>0.30510148367952522</v>
      </c>
      <c r="N120">
        <f>IF(H120="*","*",IF(_xlfn.XLOOKUP($H120,'TRA TECH'!$J:$J,'TRA TECH'!R:R)="","",_xlfn.XLOOKUP($H120,'TRA TECH'!$J:$J,'TRA TECH'!R:R)))</f>
        <v>0.30112189910979231</v>
      </c>
      <c r="O120">
        <f>IF(H120="*","*",IF(_xlfn.XLOOKUP($H120,'TRA TECH'!$J:$J,'TRA TECH'!S:S)="","",_xlfn.XLOOKUP($H120,'TRA TECH'!$J:$J,'TRA TECH'!S:S)))</f>
        <v>0.34489732937685458</v>
      </c>
      <c r="P120">
        <f>IF(H120="*","*",IF(_xlfn.XLOOKUP($H120,'TRA TECH'!$J:$J,'TRA TECH'!T:T)="","",_xlfn.XLOOKUP($H120,'TRA TECH'!$J:$J,'TRA TECH'!T:T)))</f>
        <v>0.37673400593471812</v>
      </c>
      <c r="Q120">
        <f>IF(H120="*","*",IF(_xlfn.XLOOKUP($H120,'TRA TECH'!$J:$J,'TRA TECH'!U:U)="","",_xlfn.XLOOKUP($H120,'TRA TECH'!$J:$J,'TRA TECH'!U:U)))</f>
        <v>0.39530540059347191</v>
      </c>
      <c r="R120">
        <f>IF(H120="*","*",IF(_xlfn.XLOOKUP($H120,'TRA TECH'!$J:$J,'TRA TECH'!V:V)="","",_xlfn.XLOOKUP($H120,'TRA TECH'!$J:$J,'TRA TECH'!V:V)))</f>
        <v>0.41520332344213662</v>
      </c>
      <c r="S120">
        <f>IF(H120="*","*",IF(_xlfn.XLOOKUP($H120,'TRA TECH'!$J:$J,'TRA TECH'!W:W)="","",_xlfn.XLOOKUP($H120,'TRA TECH'!$J:$J,'TRA TECH'!W:W)))</f>
        <v>0.43377471810089008</v>
      </c>
      <c r="T120">
        <f t="shared" si="7"/>
        <v>0.43377471810089008</v>
      </c>
      <c r="U120">
        <f>IF(H120="*","*",IF(_xlfn.XLOOKUP($H120,'TRA TECH'!$J:$J,'TRA TECH'!X:X)="","",_xlfn.XLOOKUP($H120,'TRA TECH'!$J:$J,'TRA TECH'!X:X)))</f>
        <v>220.50083437758579</v>
      </c>
      <c r="V120">
        <f>IF(H120="*","*",IF(_xlfn.XLOOKUP($H120,'TRA TECH'!$J:$J,'TRA TECH'!Y:Y)="","",_xlfn.XLOOKUP($H120,'TRA TECH'!$J:$J,'TRA TECH'!Y:Y)))</f>
        <v>217.65566232110089</v>
      </c>
      <c r="W120">
        <f>IF(H120="*","*",IF(_xlfn.XLOOKUP($H120,'TRA TECH'!$J:$J,'TRA TECH'!Z:Z)="","",_xlfn.XLOOKUP($H120,'TRA TECH'!$J:$J,'TRA TECH'!Z:Z)))</f>
        <v>216.23307629285841</v>
      </c>
      <c r="X120">
        <f>IF(H120="*","*",IF(_xlfn.XLOOKUP($H120,'TRA TECH'!$J:$J,'TRA TECH'!AA:AA)="","",_xlfn.XLOOKUP($H120,'TRA TECH'!$J:$J,'TRA TECH'!AA:AA)))</f>
        <v>216.23307629285841</v>
      </c>
      <c r="Y120">
        <f>IF(H120="*","*",IF(_xlfn.XLOOKUP($H120,'TRA TECH'!$J:$J,'TRA TECH'!AB:AB)="","",_xlfn.XLOOKUP($H120,'TRA TECH'!$J:$J,'TRA TECH'!AB:AB)))</f>
        <v>215.5217832787371</v>
      </c>
      <c r="Z120">
        <f>IF(H120="*","*",IF(_xlfn.XLOOKUP($H120,'TRA TECH'!$J:$J,'TRA TECH'!AC:AC)="","",_xlfn.XLOOKUP($H120,'TRA TECH'!$J:$J,'TRA TECH'!AC:AC)))</f>
        <v>215.5217832787371</v>
      </c>
      <c r="AA120">
        <f>IF(H120="*","*",IF(_xlfn.XLOOKUP($H120,'TRA TECH'!$J:$J,'TRA TECH'!AD:AD)="","",_xlfn.XLOOKUP($H120,'TRA TECH'!$J:$J,'TRA TECH'!AD:AD)))</f>
        <v>214.81049026461591</v>
      </c>
      <c r="AB120">
        <f t="shared" si="8"/>
        <v>214.81049026461591</v>
      </c>
      <c r="AC120" s="15">
        <f>IF(H120="*","*",IF(_xlfn.XLOOKUP($H120,'TRA TECH'!$J:$J,'TRA TECH'!AE:AE)="","",_xlfn.XLOOKUP($H120,'TRA TECH'!$J:$J,'TRA TECH'!AE:AE)))</f>
        <v>5.6155558990605661</v>
      </c>
      <c r="AD120" s="15">
        <f>IF(H120="*","*",IF(_xlfn.XLOOKUP($H120,'TRA TECH'!$J:$J,'TRA TECH'!AF:AF)="","",_xlfn.XLOOKUP($H120,'TRA TECH'!$J:$J,'TRA TECH'!AF:AF)))</f>
        <v>5.6155558990605661</v>
      </c>
      <c r="AE120" s="15">
        <f>IF(H120="*","*",IF(_xlfn.XLOOKUP($H120,'TRA TECH'!$J:$J,'TRA TECH'!AG:AG)="","",_xlfn.XLOOKUP($H120,'TRA TECH'!$J:$J,'TRA TECH'!AG:AG)))</f>
        <v>5.6155558990605661</v>
      </c>
      <c r="AF120" s="15">
        <f>IF(H120="*","*",IF(_xlfn.XLOOKUP($H120,'TRA TECH'!$J:$J,'TRA TECH'!AH:AH)="","",_xlfn.XLOOKUP($H120,'TRA TECH'!$J:$J,'TRA TECH'!AH:AH)))</f>
        <v>5.6155558990605661</v>
      </c>
      <c r="AG120" s="15">
        <f>IF(H120="*","*",IF(_xlfn.XLOOKUP($H120,'TRA TECH'!$J:$J,'TRA TECH'!AI:AI)="","",_xlfn.XLOOKUP($H120,'TRA TECH'!$J:$J,'TRA TECH'!AI:AI)))</f>
        <v>5.6155558990605661</v>
      </c>
      <c r="AH120" s="15">
        <f>IF(H120="*","*",IF(_xlfn.XLOOKUP($H120,'TRA TECH'!$J:$J,'TRA TECH'!AJ:AJ)="","",_xlfn.XLOOKUP($H120,'TRA TECH'!$J:$J,'TRA TECH'!AJ:AJ)))</f>
        <v>5.6155558990605661</v>
      </c>
      <c r="AI120" s="15">
        <f>IF(H120="*","*",IF(_xlfn.XLOOKUP($H120,'TRA TECH'!$J:$J,'TRA TECH'!AK:AK)="","",_xlfn.XLOOKUP($H120,'TRA TECH'!$J:$J,'TRA TECH'!AK:AK)))</f>
        <v>5.6155558990605661</v>
      </c>
      <c r="AJ120" s="15">
        <f t="shared" si="9"/>
        <v>5.6155558990605661</v>
      </c>
      <c r="AK120" s="16">
        <f t="shared" si="10"/>
        <v>0.1</v>
      </c>
    </row>
    <row r="121" spans="2:37" x14ac:dyDescent="0.25">
      <c r="B121" t="str">
        <f>IF('TRA TECH'!M117=0,"*",IF('TRA TECH'!H117="","*",'TRA TECH'!J117))</f>
        <v>TRAFRECLTICEVDSL20</v>
      </c>
      <c r="C121" t="str">
        <f>IF('TRA TECH'!M117=0,"*",'TRA TECH'!H117)</f>
        <v>TRARDS</v>
      </c>
      <c r="D121" t="s">
        <v>424</v>
      </c>
      <c r="E121" s="9">
        <f>'TRA TECH'!P117</f>
        <v>1</v>
      </c>
      <c r="H121" t="str">
        <f>IF('TRA TECH'!M117=1,IF('TRA TECH'!L117=1,'TRA TECH'!J117,"*"),"*")</f>
        <v>*</v>
      </c>
      <c r="I121" t="str">
        <f>IF(H121="*","*",_xlfn.XLOOKUP(H121,'TRA TECH'!J:J,'TRA TECH'!I:I))</f>
        <v>*</v>
      </c>
      <c r="J121" t="str">
        <f>IF(H121="*","*",_xlfn.XLOOKUP(H121,'TRA TECH'!J:J,'TRA TECH'!N:N))</f>
        <v>*</v>
      </c>
      <c r="K121" s="15" t="str">
        <f>IF(H121="*","*",IF(_xlfn.XLOOKUP(H121,'TRA TECH'!J:J,'TRA TECH'!O:O)="","",_xlfn.XLOOKUP(H121,'TRA TECH'!J:J,'TRA TECH'!O:O)))</f>
        <v>*</v>
      </c>
      <c r="L121" t="str">
        <f t="shared" si="6"/>
        <v>*</v>
      </c>
      <c r="M121" t="str">
        <f>IF(H121="*","*",IF(_xlfn.XLOOKUP($H121,'TRA TECH'!$J:$J,'TRA TECH'!Q:Q)="","",_xlfn.XLOOKUP($H121,'TRA TECH'!$J:$J,'TRA TECH'!Q:Q)))</f>
        <v>*</v>
      </c>
      <c r="N121" t="str">
        <f>IF(H121="*","*",IF(_xlfn.XLOOKUP($H121,'TRA TECH'!$J:$J,'TRA TECH'!R:R)="","",_xlfn.XLOOKUP($H121,'TRA TECH'!$J:$J,'TRA TECH'!R:R)))</f>
        <v>*</v>
      </c>
      <c r="O121" t="str">
        <f>IF(H121="*","*",IF(_xlfn.XLOOKUP($H121,'TRA TECH'!$J:$J,'TRA TECH'!S:S)="","",_xlfn.XLOOKUP($H121,'TRA TECH'!$J:$J,'TRA TECH'!S:S)))</f>
        <v>*</v>
      </c>
      <c r="P121" t="str">
        <f>IF(H121="*","*",IF(_xlfn.XLOOKUP($H121,'TRA TECH'!$J:$J,'TRA TECH'!T:T)="","",_xlfn.XLOOKUP($H121,'TRA TECH'!$J:$J,'TRA TECH'!T:T)))</f>
        <v>*</v>
      </c>
      <c r="Q121" t="str">
        <f>IF(H121="*","*",IF(_xlfn.XLOOKUP($H121,'TRA TECH'!$J:$J,'TRA TECH'!U:U)="","",_xlfn.XLOOKUP($H121,'TRA TECH'!$J:$J,'TRA TECH'!U:U)))</f>
        <v>*</v>
      </c>
      <c r="R121" t="str">
        <f>IF(H121="*","*",IF(_xlfn.XLOOKUP($H121,'TRA TECH'!$J:$J,'TRA TECH'!V:V)="","",_xlfn.XLOOKUP($H121,'TRA TECH'!$J:$J,'TRA TECH'!V:V)))</f>
        <v>*</v>
      </c>
      <c r="S121" t="str">
        <f>IF(H121="*","*",IF(_xlfn.XLOOKUP($H121,'TRA TECH'!$J:$J,'TRA TECH'!W:W)="","",_xlfn.XLOOKUP($H121,'TRA TECH'!$J:$J,'TRA TECH'!W:W)))</f>
        <v>*</v>
      </c>
      <c r="T121" t="str">
        <f t="shared" si="7"/>
        <v>*</v>
      </c>
      <c r="U121" t="str">
        <f>IF(H121="*","*",IF(_xlfn.XLOOKUP($H121,'TRA TECH'!$J:$J,'TRA TECH'!X:X)="","",_xlfn.XLOOKUP($H121,'TRA TECH'!$J:$J,'TRA TECH'!X:X)))</f>
        <v>*</v>
      </c>
      <c r="V121" t="str">
        <f>IF(H121="*","*",IF(_xlfn.XLOOKUP($H121,'TRA TECH'!$J:$J,'TRA TECH'!Y:Y)="","",_xlfn.XLOOKUP($H121,'TRA TECH'!$J:$J,'TRA TECH'!Y:Y)))</f>
        <v>*</v>
      </c>
      <c r="W121" t="str">
        <f>IF(H121="*","*",IF(_xlfn.XLOOKUP($H121,'TRA TECH'!$J:$J,'TRA TECH'!Z:Z)="","",_xlfn.XLOOKUP($H121,'TRA TECH'!$J:$J,'TRA TECH'!Z:Z)))</f>
        <v>*</v>
      </c>
      <c r="X121" t="str">
        <f>IF(H121="*","*",IF(_xlfn.XLOOKUP($H121,'TRA TECH'!$J:$J,'TRA TECH'!AA:AA)="","",_xlfn.XLOOKUP($H121,'TRA TECH'!$J:$J,'TRA TECH'!AA:AA)))</f>
        <v>*</v>
      </c>
      <c r="Y121" t="str">
        <f>IF(H121="*","*",IF(_xlfn.XLOOKUP($H121,'TRA TECH'!$J:$J,'TRA TECH'!AB:AB)="","",_xlfn.XLOOKUP($H121,'TRA TECH'!$J:$J,'TRA TECH'!AB:AB)))</f>
        <v>*</v>
      </c>
      <c r="Z121" t="str">
        <f>IF(H121="*","*",IF(_xlfn.XLOOKUP($H121,'TRA TECH'!$J:$J,'TRA TECH'!AC:AC)="","",_xlfn.XLOOKUP($H121,'TRA TECH'!$J:$J,'TRA TECH'!AC:AC)))</f>
        <v>*</v>
      </c>
      <c r="AA121" t="str">
        <f>IF(H121="*","*",IF(_xlfn.XLOOKUP($H121,'TRA TECH'!$J:$J,'TRA TECH'!AD:AD)="","",_xlfn.XLOOKUP($H121,'TRA TECH'!$J:$J,'TRA TECH'!AD:AD)))</f>
        <v>*</v>
      </c>
      <c r="AB121" t="str">
        <f t="shared" si="8"/>
        <v>*</v>
      </c>
      <c r="AC121" s="15" t="str">
        <f>IF(H121="*","*",IF(_xlfn.XLOOKUP($H121,'TRA TECH'!$J:$J,'TRA TECH'!AE:AE)="","",_xlfn.XLOOKUP($H121,'TRA TECH'!$J:$J,'TRA TECH'!AE:AE)))</f>
        <v>*</v>
      </c>
      <c r="AD121" s="15" t="str">
        <f>IF(H121="*","*",IF(_xlfn.XLOOKUP($H121,'TRA TECH'!$J:$J,'TRA TECH'!AF:AF)="","",_xlfn.XLOOKUP($H121,'TRA TECH'!$J:$J,'TRA TECH'!AF:AF)))</f>
        <v>*</v>
      </c>
      <c r="AE121" s="15" t="str">
        <f>IF(H121="*","*",IF(_xlfn.XLOOKUP($H121,'TRA TECH'!$J:$J,'TRA TECH'!AG:AG)="","",_xlfn.XLOOKUP($H121,'TRA TECH'!$J:$J,'TRA TECH'!AG:AG)))</f>
        <v>*</v>
      </c>
      <c r="AF121" s="15" t="str">
        <f>IF(H121="*","*",IF(_xlfn.XLOOKUP($H121,'TRA TECH'!$J:$J,'TRA TECH'!AH:AH)="","",_xlfn.XLOOKUP($H121,'TRA TECH'!$J:$J,'TRA TECH'!AH:AH)))</f>
        <v>*</v>
      </c>
      <c r="AG121" s="15" t="str">
        <f>IF(H121="*","*",IF(_xlfn.XLOOKUP($H121,'TRA TECH'!$J:$J,'TRA TECH'!AI:AI)="","",_xlfn.XLOOKUP($H121,'TRA TECH'!$J:$J,'TRA TECH'!AI:AI)))</f>
        <v>*</v>
      </c>
      <c r="AH121" s="15" t="str">
        <f>IF(H121="*","*",IF(_xlfn.XLOOKUP($H121,'TRA TECH'!$J:$J,'TRA TECH'!AJ:AJ)="","",_xlfn.XLOOKUP($H121,'TRA TECH'!$J:$J,'TRA TECH'!AJ:AJ)))</f>
        <v>*</v>
      </c>
      <c r="AI121" s="15" t="str">
        <f>IF(H121="*","*",IF(_xlfn.XLOOKUP($H121,'TRA TECH'!$J:$J,'TRA TECH'!AK:AK)="","",_xlfn.XLOOKUP($H121,'TRA TECH'!$J:$J,'TRA TECH'!AK:AK)))</f>
        <v>*</v>
      </c>
      <c r="AJ121" s="15" t="str">
        <f t="shared" si="9"/>
        <v>*</v>
      </c>
      <c r="AK121" s="16" t="str">
        <f t="shared" si="10"/>
        <v>*</v>
      </c>
    </row>
    <row r="122" spans="2:37" x14ac:dyDescent="0.25">
      <c r="B122" t="str">
        <f>IF('TRA TECH'!M118=0,"*",IF('TRA TECH'!H118="","*",'TRA TECH'!J118))</f>
        <v>TRAFRECLTICEVDSL20</v>
      </c>
      <c r="C122" t="str">
        <f>IF('TRA TECH'!M118=0,"*",'TRA TECH'!H118)</f>
        <v>TRABDS</v>
      </c>
      <c r="D122" t="s">
        <v>424</v>
      </c>
      <c r="E122" s="9">
        <f>'TRA TECH'!P118</f>
        <v>0.1</v>
      </c>
      <c r="H122" t="str">
        <f>IF('TRA TECH'!M118=1,IF('TRA TECH'!L118=1,'TRA TECH'!J118,"*"),"*")</f>
        <v>*</v>
      </c>
      <c r="I122" t="str">
        <f>IF(H122="*","*",_xlfn.XLOOKUP(H122,'TRA TECH'!J:J,'TRA TECH'!I:I))</f>
        <v>*</v>
      </c>
      <c r="J122" t="str">
        <f>IF(H122="*","*",_xlfn.XLOOKUP(H122,'TRA TECH'!J:J,'TRA TECH'!N:N))</f>
        <v>*</v>
      </c>
      <c r="K122" s="15" t="str">
        <f>IF(H122="*","*",IF(_xlfn.XLOOKUP(H122,'TRA TECH'!J:J,'TRA TECH'!O:O)="","",_xlfn.XLOOKUP(H122,'TRA TECH'!J:J,'TRA TECH'!O:O)))</f>
        <v>*</v>
      </c>
      <c r="L122" t="str">
        <f t="shared" si="6"/>
        <v>*</v>
      </c>
      <c r="M122" t="str">
        <f>IF(H122="*","*",IF(_xlfn.XLOOKUP($H122,'TRA TECH'!$J:$J,'TRA TECH'!Q:Q)="","",_xlfn.XLOOKUP($H122,'TRA TECH'!$J:$J,'TRA TECH'!Q:Q)))</f>
        <v>*</v>
      </c>
      <c r="N122" t="str">
        <f>IF(H122="*","*",IF(_xlfn.XLOOKUP($H122,'TRA TECH'!$J:$J,'TRA TECH'!R:R)="","",_xlfn.XLOOKUP($H122,'TRA TECH'!$J:$J,'TRA TECH'!R:R)))</f>
        <v>*</v>
      </c>
      <c r="O122" t="str">
        <f>IF(H122="*","*",IF(_xlfn.XLOOKUP($H122,'TRA TECH'!$J:$J,'TRA TECH'!S:S)="","",_xlfn.XLOOKUP($H122,'TRA TECH'!$J:$J,'TRA TECH'!S:S)))</f>
        <v>*</v>
      </c>
      <c r="P122" t="str">
        <f>IF(H122="*","*",IF(_xlfn.XLOOKUP($H122,'TRA TECH'!$J:$J,'TRA TECH'!T:T)="","",_xlfn.XLOOKUP($H122,'TRA TECH'!$J:$J,'TRA TECH'!T:T)))</f>
        <v>*</v>
      </c>
      <c r="Q122" t="str">
        <f>IF(H122="*","*",IF(_xlfn.XLOOKUP($H122,'TRA TECH'!$J:$J,'TRA TECH'!U:U)="","",_xlfn.XLOOKUP($H122,'TRA TECH'!$J:$J,'TRA TECH'!U:U)))</f>
        <v>*</v>
      </c>
      <c r="R122" t="str">
        <f>IF(H122="*","*",IF(_xlfn.XLOOKUP($H122,'TRA TECH'!$J:$J,'TRA TECH'!V:V)="","",_xlfn.XLOOKUP($H122,'TRA TECH'!$J:$J,'TRA TECH'!V:V)))</f>
        <v>*</v>
      </c>
      <c r="S122" t="str">
        <f>IF(H122="*","*",IF(_xlfn.XLOOKUP($H122,'TRA TECH'!$J:$J,'TRA TECH'!W:W)="","",_xlfn.XLOOKUP($H122,'TRA TECH'!$J:$J,'TRA TECH'!W:W)))</f>
        <v>*</v>
      </c>
      <c r="T122" t="str">
        <f t="shared" si="7"/>
        <v>*</v>
      </c>
      <c r="U122" t="str">
        <f>IF(H122="*","*",IF(_xlfn.XLOOKUP($H122,'TRA TECH'!$J:$J,'TRA TECH'!X:X)="","",_xlfn.XLOOKUP($H122,'TRA TECH'!$J:$J,'TRA TECH'!X:X)))</f>
        <v>*</v>
      </c>
      <c r="V122" t="str">
        <f>IF(H122="*","*",IF(_xlfn.XLOOKUP($H122,'TRA TECH'!$J:$J,'TRA TECH'!Y:Y)="","",_xlfn.XLOOKUP($H122,'TRA TECH'!$J:$J,'TRA TECH'!Y:Y)))</f>
        <v>*</v>
      </c>
      <c r="W122" t="str">
        <f>IF(H122="*","*",IF(_xlfn.XLOOKUP($H122,'TRA TECH'!$J:$J,'TRA TECH'!Z:Z)="","",_xlfn.XLOOKUP($H122,'TRA TECH'!$J:$J,'TRA TECH'!Z:Z)))</f>
        <v>*</v>
      </c>
      <c r="X122" t="str">
        <f>IF(H122="*","*",IF(_xlfn.XLOOKUP($H122,'TRA TECH'!$J:$J,'TRA TECH'!AA:AA)="","",_xlfn.XLOOKUP($H122,'TRA TECH'!$J:$J,'TRA TECH'!AA:AA)))</f>
        <v>*</v>
      </c>
      <c r="Y122" t="str">
        <f>IF(H122="*","*",IF(_xlfn.XLOOKUP($H122,'TRA TECH'!$J:$J,'TRA TECH'!AB:AB)="","",_xlfn.XLOOKUP($H122,'TRA TECH'!$J:$J,'TRA TECH'!AB:AB)))</f>
        <v>*</v>
      </c>
      <c r="Z122" t="str">
        <f>IF(H122="*","*",IF(_xlfn.XLOOKUP($H122,'TRA TECH'!$J:$J,'TRA TECH'!AC:AC)="","",_xlfn.XLOOKUP($H122,'TRA TECH'!$J:$J,'TRA TECH'!AC:AC)))</f>
        <v>*</v>
      </c>
      <c r="AA122" t="str">
        <f>IF(H122="*","*",IF(_xlfn.XLOOKUP($H122,'TRA TECH'!$J:$J,'TRA TECH'!AD:AD)="","",_xlfn.XLOOKUP($H122,'TRA TECH'!$J:$J,'TRA TECH'!AD:AD)))</f>
        <v>*</v>
      </c>
      <c r="AB122" t="str">
        <f t="shared" si="8"/>
        <v>*</v>
      </c>
      <c r="AC122" s="15" t="str">
        <f>IF(H122="*","*",IF(_xlfn.XLOOKUP($H122,'TRA TECH'!$J:$J,'TRA TECH'!AE:AE)="","",_xlfn.XLOOKUP($H122,'TRA TECH'!$J:$J,'TRA TECH'!AE:AE)))</f>
        <v>*</v>
      </c>
      <c r="AD122" s="15" t="str">
        <f>IF(H122="*","*",IF(_xlfn.XLOOKUP($H122,'TRA TECH'!$J:$J,'TRA TECH'!AF:AF)="","",_xlfn.XLOOKUP($H122,'TRA TECH'!$J:$J,'TRA TECH'!AF:AF)))</f>
        <v>*</v>
      </c>
      <c r="AE122" s="15" t="str">
        <f>IF(H122="*","*",IF(_xlfn.XLOOKUP($H122,'TRA TECH'!$J:$J,'TRA TECH'!AG:AG)="","",_xlfn.XLOOKUP($H122,'TRA TECH'!$J:$J,'TRA TECH'!AG:AG)))</f>
        <v>*</v>
      </c>
      <c r="AF122" s="15" t="str">
        <f>IF(H122="*","*",IF(_xlfn.XLOOKUP($H122,'TRA TECH'!$J:$J,'TRA TECH'!AH:AH)="","",_xlfn.XLOOKUP($H122,'TRA TECH'!$J:$J,'TRA TECH'!AH:AH)))</f>
        <v>*</v>
      </c>
      <c r="AG122" s="15" t="str">
        <f>IF(H122="*","*",IF(_xlfn.XLOOKUP($H122,'TRA TECH'!$J:$J,'TRA TECH'!AI:AI)="","",_xlfn.XLOOKUP($H122,'TRA TECH'!$J:$J,'TRA TECH'!AI:AI)))</f>
        <v>*</v>
      </c>
      <c r="AH122" s="15" t="str">
        <f>IF(H122="*","*",IF(_xlfn.XLOOKUP($H122,'TRA TECH'!$J:$J,'TRA TECH'!AJ:AJ)="","",_xlfn.XLOOKUP($H122,'TRA TECH'!$J:$J,'TRA TECH'!AJ:AJ)))</f>
        <v>*</v>
      </c>
      <c r="AI122" s="15" t="str">
        <f>IF(H122="*","*",IF(_xlfn.XLOOKUP($H122,'TRA TECH'!$J:$J,'TRA TECH'!AK:AK)="","",_xlfn.XLOOKUP($H122,'TRA TECH'!$J:$J,'TRA TECH'!AK:AK)))</f>
        <v>*</v>
      </c>
      <c r="AJ122" s="15" t="str">
        <f t="shared" si="9"/>
        <v>*</v>
      </c>
      <c r="AK122" s="16" t="str">
        <f t="shared" si="10"/>
        <v>*</v>
      </c>
    </row>
    <row r="123" spans="2:37" x14ac:dyDescent="0.25">
      <c r="B123" t="str">
        <f>IF('TRA TECH'!M119=0,"*",IF('TRA TECH'!H119="","*",'TRA TECH'!J119))</f>
        <v>TRAFRECLTICEVCNG20</v>
      </c>
      <c r="C123" t="str">
        <f>IF('TRA TECH'!M119=0,"*",'TRA TECH'!H119)</f>
        <v>TRACNG</v>
      </c>
      <c r="D123" t="s">
        <v>424</v>
      </c>
      <c r="E123" s="9">
        <f>'TRA TECH'!P119</f>
        <v>1</v>
      </c>
      <c r="H123" t="str">
        <f>IF('TRA TECH'!M119=1,IF('TRA TECH'!L119=1,'TRA TECH'!J119,"*"),"*")</f>
        <v>TRAFRECLTICEVCNG20</v>
      </c>
      <c r="I123" t="str">
        <f>IF(H123="*","*",_xlfn.XLOOKUP(H123,'TRA TECH'!J:J,'TRA TECH'!I:I))</f>
        <v>TRAFRECLTDMD</v>
      </c>
      <c r="J123">
        <f>IF(H123="*","*",_xlfn.XLOOKUP(H123,'TRA TECH'!J:J,'TRA TECH'!N:N))</f>
        <v>2020</v>
      </c>
      <c r="K123" s="15">
        <f>IF(H123="*","*",IF(_xlfn.XLOOKUP(H123,'TRA TECH'!J:J,'TRA TECH'!O:O)="","",_xlfn.XLOOKUP(H123,'TRA TECH'!J:J,'TRA TECH'!O:O)))</f>
        <v>15.579764908323551</v>
      </c>
      <c r="L123">
        <f t="shared" si="6"/>
        <v>1</v>
      </c>
      <c r="M123">
        <f>IF(H123="*","*",IF(_xlfn.XLOOKUP($H123,'TRA TECH'!$J:$J,'TRA TECH'!Q:Q)="","",_xlfn.XLOOKUP($H123,'TRA TECH'!$J:$J,'TRA TECH'!Q:Q)))</f>
        <v>0.25071382789317498</v>
      </c>
      <c r="N123">
        <f>IF(H123="*","*",IF(_xlfn.XLOOKUP($H123,'TRA TECH'!$J:$J,'TRA TECH'!R:R)="","",_xlfn.XLOOKUP($H123,'TRA TECH'!$J:$J,'TRA TECH'!R:R)))</f>
        <v>0.27193827893175071</v>
      </c>
      <c r="O123">
        <f>IF(H123="*","*",IF(_xlfn.XLOOKUP($H123,'TRA TECH'!$J:$J,'TRA TECH'!S:S)="","",_xlfn.XLOOKUP($H123,'TRA TECH'!$J:$J,'TRA TECH'!S:S)))</f>
        <v>0.30244842729970328</v>
      </c>
      <c r="P123">
        <f>IF(H123="*","*",IF(_xlfn.XLOOKUP($H123,'TRA TECH'!$J:$J,'TRA TECH'!T:T)="","",_xlfn.XLOOKUP($H123,'TRA TECH'!$J:$J,'TRA TECH'!T:T)))</f>
        <v>0.32499940652818993</v>
      </c>
      <c r="Q123">
        <f>IF(H123="*","*",IF(_xlfn.XLOOKUP($H123,'TRA TECH'!$J:$J,'TRA TECH'!U:U)="","",_xlfn.XLOOKUP($H123,'TRA TECH'!$J:$J,'TRA TECH'!U:U)))</f>
        <v>0.34091774480712173</v>
      </c>
      <c r="R123">
        <f>IF(H123="*","*",IF(_xlfn.XLOOKUP($H123,'TRA TECH'!$J:$J,'TRA TECH'!V:V)="","",_xlfn.XLOOKUP($H123,'TRA TECH'!$J:$J,'TRA TECH'!V:V)))</f>
        <v>0.35683608308605341</v>
      </c>
      <c r="S123">
        <f>IF(H123="*","*",IF(_xlfn.XLOOKUP($H123,'TRA TECH'!$J:$J,'TRA TECH'!W:W)="","",_xlfn.XLOOKUP($H123,'TRA TECH'!$J:$J,'TRA TECH'!W:W)))</f>
        <v>0.37275442136498521</v>
      </c>
      <c r="T123">
        <f t="shared" si="7"/>
        <v>0.37275442136498521</v>
      </c>
      <c r="U123">
        <f>IF(H123="*","*",IF(_xlfn.XLOOKUP($H123,'TRA TECH'!$J:$J,'TRA TECH'!X:X)="","",_xlfn.XLOOKUP($H123,'TRA TECH'!$J:$J,'TRA TECH'!X:X)))</f>
        <v>227.61376451879829</v>
      </c>
      <c r="V123">
        <f>IF(H123="*","*",IF(_xlfn.XLOOKUP($H123,'TRA TECH'!$J:$J,'TRA TECH'!Y:Y)="","",_xlfn.XLOOKUP($H123,'TRA TECH'!$J:$J,'TRA TECH'!Y:Y)))</f>
        <v>225.47988547643459</v>
      </c>
      <c r="W123">
        <f>IF(H123="*","*",IF(_xlfn.XLOOKUP($H123,'TRA TECH'!$J:$J,'TRA TECH'!Z:Z)="","",_xlfn.XLOOKUP($H123,'TRA TECH'!$J:$J,'TRA TECH'!Z:Z)))</f>
        <v>224.76859246231331</v>
      </c>
      <c r="X123">
        <f>IF(H123="*","*",IF(_xlfn.XLOOKUP($H123,'TRA TECH'!$J:$J,'TRA TECH'!AA:AA)="","",_xlfn.XLOOKUP($H123,'TRA TECH'!$J:$J,'TRA TECH'!AA:AA)))</f>
        <v>224.05729944819211</v>
      </c>
      <c r="Y123">
        <f>IF(H123="*","*",IF(_xlfn.XLOOKUP($H123,'TRA TECH'!$J:$J,'TRA TECH'!AB:AB)="","",_xlfn.XLOOKUP($H123,'TRA TECH'!$J:$J,'TRA TECH'!AB:AB)))</f>
        <v>224.05729944819211</v>
      </c>
      <c r="Z123">
        <f>IF(H123="*","*",IF(_xlfn.XLOOKUP($H123,'TRA TECH'!$J:$J,'TRA TECH'!AC:AC)="","",_xlfn.XLOOKUP($H123,'TRA TECH'!$J:$J,'TRA TECH'!AC:AC)))</f>
        <v>224.05729944819211</v>
      </c>
      <c r="AA123">
        <f>IF(H123="*","*",IF(_xlfn.XLOOKUP($H123,'TRA TECH'!$J:$J,'TRA TECH'!AD:AD)="","",_xlfn.XLOOKUP($H123,'TRA TECH'!$J:$J,'TRA TECH'!AD:AD)))</f>
        <v>223.3460064340708</v>
      </c>
      <c r="AB123">
        <f t="shared" si="8"/>
        <v>223.3460064340708</v>
      </c>
      <c r="AC123" s="15">
        <f>IF(H123="*","*",IF(_xlfn.XLOOKUP($H123,'TRA TECH'!$J:$J,'TRA TECH'!AE:AE)="","",_xlfn.XLOOKUP($H123,'TRA TECH'!$J:$J,'TRA TECH'!AE:AE)))</f>
        <v>5.6155558990605661</v>
      </c>
      <c r="AD123" s="15">
        <f>IF(H123="*","*",IF(_xlfn.XLOOKUP($H123,'TRA TECH'!$J:$J,'TRA TECH'!AF:AF)="","",_xlfn.XLOOKUP($H123,'TRA TECH'!$J:$J,'TRA TECH'!AF:AF)))</f>
        <v>5.6155558990605661</v>
      </c>
      <c r="AE123" s="15">
        <f>IF(H123="*","*",IF(_xlfn.XLOOKUP($H123,'TRA TECH'!$J:$J,'TRA TECH'!AG:AG)="","",_xlfn.XLOOKUP($H123,'TRA TECH'!$J:$J,'TRA TECH'!AG:AG)))</f>
        <v>5.6155558990605661</v>
      </c>
      <c r="AF123" s="15">
        <f>IF(H123="*","*",IF(_xlfn.XLOOKUP($H123,'TRA TECH'!$J:$J,'TRA TECH'!AH:AH)="","",_xlfn.XLOOKUP($H123,'TRA TECH'!$J:$J,'TRA TECH'!AH:AH)))</f>
        <v>5.6155558990605661</v>
      </c>
      <c r="AG123" s="15">
        <f>IF(H123="*","*",IF(_xlfn.XLOOKUP($H123,'TRA TECH'!$J:$J,'TRA TECH'!AI:AI)="","",_xlfn.XLOOKUP($H123,'TRA TECH'!$J:$J,'TRA TECH'!AI:AI)))</f>
        <v>5.6155558990605661</v>
      </c>
      <c r="AH123" s="15">
        <f>IF(H123="*","*",IF(_xlfn.XLOOKUP($H123,'TRA TECH'!$J:$J,'TRA TECH'!AJ:AJ)="","",_xlfn.XLOOKUP($H123,'TRA TECH'!$J:$J,'TRA TECH'!AJ:AJ)))</f>
        <v>5.6155558990605661</v>
      </c>
      <c r="AI123" s="15">
        <f>IF(H123="*","*",IF(_xlfn.XLOOKUP($H123,'TRA TECH'!$J:$J,'TRA TECH'!AK:AK)="","",_xlfn.XLOOKUP($H123,'TRA TECH'!$J:$J,'TRA TECH'!AK:AK)))</f>
        <v>5.6155558990605661</v>
      </c>
      <c r="AJ123" s="15">
        <f t="shared" si="9"/>
        <v>5.6155558990605661</v>
      </c>
      <c r="AK123" s="16">
        <f t="shared" si="10"/>
        <v>0.3</v>
      </c>
    </row>
    <row r="124" spans="2:37" x14ac:dyDescent="0.25">
      <c r="B124" t="str">
        <f>IF('TRA TECH'!M120=0,"*",IF('TRA TECH'!H120="","*",'TRA TECH'!J120))</f>
        <v>TRAFRECLTICEVCNG20</v>
      </c>
      <c r="C124" t="str">
        <f>IF('TRA TECH'!M120=0,"*",'TRA TECH'!H120)</f>
        <v>TRARNG</v>
      </c>
      <c r="D124" t="s">
        <v>424</v>
      </c>
      <c r="E124" s="9">
        <f>'TRA TECH'!P120</f>
        <v>1</v>
      </c>
      <c r="H124" t="str">
        <f>IF('TRA TECH'!M120=1,IF('TRA TECH'!L120=1,'TRA TECH'!J120,"*"),"*")</f>
        <v>*</v>
      </c>
      <c r="I124" t="str">
        <f>IF(H124="*","*",_xlfn.XLOOKUP(H124,'TRA TECH'!J:J,'TRA TECH'!I:I))</f>
        <v>*</v>
      </c>
      <c r="J124" t="str">
        <f>IF(H124="*","*",_xlfn.XLOOKUP(H124,'TRA TECH'!J:J,'TRA TECH'!N:N))</f>
        <v>*</v>
      </c>
      <c r="K124" s="15" t="str">
        <f>IF(H124="*","*",IF(_xlfn.XLOOKUP(H124,'TRA TECH'!J:J,'TRA TECH'!O:O)="","",_xlfn.XLOOKUP(H124,'TRA TECH'!J:J,'TRA TECH'!O:O)))</f>
        <v>*</v>
      </c>
      <c r="L124" t="str">
        <f t="shared" si="6"/>
        <v>*</v>
      </c>
      <c r="M124" t="str">
        <f>IF(H124="*","*",IF(_xlfn.XLOOKUP($H124,'TRA TECH'!$J:$J,'TRA TECH'!Q:Q)="","",_xlfn.XLOOKUP($H124,'TRA TECH'!$J:$J,'TRA TECH'!Q:Q)))</f>
        <v>*</v>
      </c>
      <c r="N124" t="str">
        <f>IF(H124="*","*",IF(_xlfn.XLOOKUP($H124,'TRA TECH'!$J:$J,'TRA TECH'!R:R)="","",_xlfn.XLOOKUP($H124,'TRA TECH'!$J:$J,'TRA TECH'!R:R)))</f>
        <v>*</v>
      </c>
      <c r="O124" t="str">
        <f>IF(H124="*","*",IF(_xlfn.XLOOKUP($H124,'TRA TECH'!$J:$J,'TRA TECH'!S:S)="","",_xlfn.XLOOKUP($H124,'TRA TECH'!$J:$J,'TRA TECH'!S:S)))</f>
        <v>*</v>
      </c>
      <c r="P124" t="str">
        <f>IF(H124="*","*",IF(_xlfn.XLOOKUP($H124,'TRA TECH'!$J:$J,'TRA TECH'!T:T)="","",_xlfn.XLOOKUP($H124,'TRA TECH'!$J:$J,'TRA TECH'!T:T)))</f>
        <v>*</v>
      </c>
      <c r="Q124" t="str">
        <f>IF(H124="*","*",IF(_xlfn.XLOOKUP($H124,'TRA TECH'!$J:$J,'TRA TECH'!U:U)="","",_xlfn.XLOOKUP($H124,'TRA TECH'!$J:$J,'TRA TECH'!U:U)))</f>
        <v>*</v>
      </c>
      <c r="R124" t="str">
        <f>IF(H124="*","*",IF(_xlfn.XLOOKUP($H124,'TRA TECH'!$J:$J,'TRA TECH'!V:V)="","",_xlfn.XLOOKUP($H124,'TRA TECH'!$J:$J,'TRA TECH'!V:V)))</f>
        <v>*</v>
      </c>
      <c r="S124" t="str">
        <f>IF(H124="*","*",IF(_xlfn.XLOOKUP($H124,'TRA TECH'!$J:$J,'TRA TECH'!W:W)="","",_xlfn.XLOOKUP($H124,'TRA TECH'!$J:$J,'TRA TECH'!W:W)))</f>
        <v>*</v>
      </c>
      <c r="T124" t="str">
        <f t="shared" si="7"/>
        <v>*</v>
      </c>
      <c r="U124" t="str">
        <f>IF(H124="*","*",IF(_xlfn.XLOOKUP($H124,'TRA TECH'!$J:$J,'TRA TECH'!X:X)="","",_xlfn.XLOOKUP($H124,'TRA TECH'!$J:$J,'TRA TECH'!X:X)))</f>
        <v>*</v>
      </c>
      <c r="V124" t="str">
        <f>IF(H124="*","*",IF(_xlfn.XLOOKUP($H124,'TRA TECH'!$J:$J,'TRA TECH'!Y:Y)="","",_xlfn.XLOOKUP($H124,'TRA TECH'!$J:$J,'TRA TECH'!Y:Y)))</f>
        <v>*</v>
      </c>
      <c r="W124" t="str">
        <f>IF(H124="*","*",IF(_xlfn.XLOOKUP($H124,'TRA TECH'!$J:$J,'TRA TECH'!Z:Z)="","",_xlfn.XLOOKUP($H124,'TRA TECH'!$J:$J,'TRA TECH'!Z:Z)))</f>
        <v>*</v>
      </c>
      <c r="X124" t="str">
        <f>IF(H124="*","*",IF(_xlfn.XLOOKUP($H124,'TRA TECH'!$J:$J,'TRA TECH'!AA:AA)="","",_xlfn.XLOOKUP($H124,'TRA TECH'!$J:$J,'TRA TECH'!AA:AA)))</f>
        <v>*</v>
      </c>
      <c r="Y124" t="str">
        <f>IF(H124="*","*",IF(_xlfn.XLOOKUP($H124,'TRA TECH'!$J:$J,'TRA TECH'!AB:AB)="","",_xlfn.XLOOKUP($H124,'TRA TECH'!$J:$J,'TRA TECH'!AB:AB)))</f>
        <v>*</v>
      </c>
      <c r="Z124" t="str">
        <f>IF(H124="*","*",IF(_xlfn.XLOOKUP($H124,'TRA TECH'!$J:$J,'TRA TECH'!AC:AC)="","",_xlfn.XLOOKUP($H124,'TRA TECH'!$J:$J,'TRA TECH'!AC:AC)))</f>
        <v>*</v>
      </c>
      <c r="AA124" t="str">
        <f>IF(H124="*","*",IF(_xlfn.XLOOKUP($H124,'TRA TECH'!$J:$J,'TRA TECH'!AD:AD)="","",_xlfn.XLOOKUP($H124,'TRA TECH'!$J:$J,'TRA TECH'!AD:AD)))</f>
        <v>*</v>
      </c>
      <c r="AB124" t="str">
        <f t="shared" si="8"/>
        <v>*</v>
      </c>
      <c r="AC124" s="15" t="str">
        <f>IF(H124="*","*",IF(_xlfn.XLOOKUP($H124,'TRA TECH'!$J:$J,'TRA TECH'!AE:AE)="","",_xlfn.XLOOKUP($H124,'TRA TECH'!$J:$J,'TRA TECH'!AE:AE)))</f>
        <v>*</v>
      </c>
      <c r="AD124" s="15" t="str">
        <f>IF(H124="*","*",IF(_xlfn.XLOOKUP($H124,'TRA TECH'!$J:$J,'TRA TECH'!AF:AF)="","",_xlfn.XLOOKUP($H124,'TRA TECH'!$J:$J,'TRA TECH'!AF:AF)))</f>
        <v>*</v>
      </c>
      <c r="AE124" s="15" t="str">
        <f>IF(H124="*","*",IF(_xlfn.XLOOKUP($H124,'TRA TECH'!$J:$J,'TRA TECH'!AG:AG)="","",_xlfn.XLOOKUP($H124,'TRA TECH'!$J:$J,'TRA TECH'!AG:AG)))</f>
        <v>*</v>
      </c>
      <c r="AF124" s="15" t="str">
        <f>IF(H124="*","*",IF(_xlfn.XLOOKUP($H124,'TRA TECH'!$J:$J,'TRA TECH'!AH:AH)="","",_xlfn.XLOOKUP($H124,'TRA TECH'!$J:$J,'TRA TECH'!AH:AH)))</f>
        <v>*</v>
      </c>
      <c r="AG124" s="15" t="str">
        <f>IF(H124="*","*",IF(_xlfn.XLOOKUP($H124,'TRA TECH'!$J:$J,'TRA TECH'!AI:AI)="","",_xlfn.XLOOKUP($H124,'TRA TECH'!$J:$J,'TRA TECH'!AI:AI)))</f>
        <v>*</v>
      </c>
      <c r="AH124" s="15" t="str">
        <f>IF(H124="*","*",IF(_xlfn.XLOOKUP($H124,'TRA TECH'!$J:$J,'TRA TECH'!AJ:AJ)="","",_xlfn.XLOOKUP($H124,'TRA TECH'!$J:$J,'TRA TECH'!AJ:AJ)))</f>
        <v>*</v>
      </c>
      <c r="AI124" s="15" t="str">
        <f>IF(H124="*","*",IF(_xlfn.XLOOKUP($H124,'TRA TECH'!$J:$J,'TRA TECH'!AK:AK)="","",_xlfn.XLOOKUP($H124,'TRA TECH'!$J:$J,'TRA TECH'!AK:AK)))</f>
        <v>*</v>
      </c>
      <c r="AJ124" s="15" t="str">
        <f t="shared" si="9"/>
        <v>*</v>
      </c>
      <c r="AK124" s="16" t="str">
        <f t="shared" si="10"/>
        <v>*</v>
      </c>
    </row>
    <row r="125" spans="2:37" x14ac:dyDescent="0.25">
      <c r="B125" t="str">
        <f>IF('TRA TECH'!M121=0,"*",IF('TRA TECH'!H121="","*",'TRA TECH'!J121))</f>
        <v>TRAFRECLT300FCEV20</v>
      </c>
      <c r="C125" t="str">
        <f>IF('TRA TECH'!M121=0,"*",'TRA TECH'!H121)</f>
        <v>TRAH2G</v>
      </c>
      <c r="D125" t="s">
        <v>424</v>
      </c>
      <c r="E125" s="9">
        <f>'TRA TECH'!P121</f>
        <v>1</v>
      </c>
      <c r="H125" t="str">
        <f>IF('TRA TECH'!M121=1,IF('TRA TECH'!L121=1,'TRA TECH'!J121,"*"),"*")</f>
        <v>TRAFRECLT300FCEV20</v>
      </c>
      <c r="I125" t="str">
        <f>IF(H125="*","*",_xlfn.XLOOKUP(H125,'TRA TECH'!J:J,'TRA TECH'!I:I))</f>
        <v>TRAFRECLTDMD</v>
      </c>
      <c r="J125">
        <f>IF(H125="*","*",_xlfn.XLOOKUP(H125,'TRA TECH'!J:J,'TRA TECH'!N:N))</f>
        <v>2020</v>
      </c>
      <c r="K125" s="15">
        <f>IF(H125="*","*",IF(_xlfn.XLOOKUP(H125,'TRA TECH'!J:J,'TRA TECH'!O:O)="","",_xlfn.XLOOKUP(H125,'TRA TECH'!J:J,'TRA TECH'!O:O)))</f>
        <v>15.579764908323551</v>
      </c>
      <c r="L125">
        <f t="shared" si="6"/>
        <v>1</v>
      </c>
      <c r="M125">
        <f>IF(H125="*","*",IF(_xlfn.XLOOKUP($H125,'TRA TECH'!$J:$J,'TRA TECH'!Q:Q)="","",_xlfn.XLOOKUP($H125,'TRA TECH'!$J:$J,'TRA TECH'!Q:Q)))</f>
        <v>0.54918267062314552</v>
      </c>
      <c r="N125">
        <f>IF(H125="*","*",IF(_xlfn.XLOOKUP($H125,'TRA TECH'!$J:$J,'TRA TECH'!R:R)="","",_xlfn.XLOOKUP($H125,'TRA TECH'!$J:$J,'TRA TECH'!R:R)))</f>
        <v>0.56642753709198845</v>
      </c>
      <c r="O125">
        <f>IF(H125="*","*",IF(_xlfn.XLOOKUP($H125,'TRA TECH'!$J:$J,'TRA TECH'!S:S)="","",_xlfn.XLOOKUP($H125,'TRA TECH'!$J:$J,'TRA TECH'!S:S)))</f>
        <v>0.57571323442136513</v>
      </c>
      <c r="P125">
        <f>IF(H125="*","*",IF(_xlfn.XLOOKUP($H125,'TRA TECH'!$J:$J,'TRA TECH'!T:T)="","",_xlfn.XLOOKUP($H125,'TRA TECH'!$J:$J,'TRA TECH'!T:T)))</f>
        <v>0.61152949554896119</v>
      </c>
      <c r="Q125">
        <f>IF(H125="*","*",IF(_xlfn.XLOOKUP($H125,'TRA TECH'!$J:$J,'TRA TECH'!U:U)="","",_xlfn.XLOOKUP($H125,'TRA TECH'!$J:$J,'TRA TECH'!U:U)))</f>
        <v>0.62612130563798252</v>
      </c>
      <c r="R125">
        <f>IF(H125="*","*",IF(_xlfn.XLOOKUP($H125,'TRA TECH'!$J:$J,'TRA TECH'!V:V)="","",_xlfn.XLOOKUP($H125,'TRA TECH'!$J:$J,'TRA TECH'!V:V)))</f>
        <v>0.64071311572700262</v>
      </c>
      <c r="S125">
        <f>IF(H125="*","*",IF(_xlfn.XLOOKUP($H125,'TRA TECH'!$J:$J,'TRA TECH'!W:W)="","",_xlfn.XLOOKUP($H125,'TRA TECH'!$J:$J,'TRA TECH'!W:W)))</f>
        <v>0.65397839762611243</v>
      </c>
      <c r="T125">
        <f t="shared" si="7"/>
        <v>0.65397839762611243</v>
      </c>
      <c r="U125">
        <f>IF(H125="*","*",IF(_xlfn.XLOOKUP($H125,'TRA TECH'!$J:$J,'TRA TECH'!X:X)="","",_xlfn.XLOOKUP($H125,'TRA TECH'!$J:$J,'TRA TECH'!X:X)))</f>
        <v>344.26581883468242</v>
      </c>
      <c r="V125">
        <f>IF(H125="*","*",IF(_xlfn.XLOOKUP($H125,'TRA TECH'!$J:$J,'TRA TECH'!Y:Y)="","",_xlfn.XLOOKUP($H125,'TRA TECH'!$J:$J,'TRA TECH'!Y:Y)))</f>
        <v>313.68021922746908</v>
      </c>
      <c r="W125">
        <f>IF(H125="*","*",IF(_xlfn.XLOOKUP($H125,'TRA TECH'!$J:$J,'TRA TECH'!Z:Z)="","",_xlfn.XLOOKUP($H125,'TRA TECH'!$J:$J,'TRA TECH'!Z:Z)))</f>
        <v>288.07367071910397</v>
      </c>
      <c r="X125">
        <f>IF(H125="*","*",IF(_xlfn.XLOOKUP($H125,'TRA TECH'!$J:$J,'TRA TECH'!AA:AA)="","",_xlfn.XLOOKUP($H125,'TRA TECH'!$J:$J,'TRA TECH'!AA:AA)))</f>
        <v>257.48807111189058</v>
      </c>
      <c r="Y125">
        <f>IF(H125="*","*",IF(_xlfn.XLOOKUP($H125,'TRA TECH'!$J:$J,'TRA TECH'!AB:AB)="","",_xlfn.XLOOKUP($H125,'TRA TECH'!$J:$J,'TRA TECH'!AB:AB)))</f>
        <v>248.95255494243551</v>
      </c>
      <c r="Z125">
        <f>IF(H125="*","*",IF(_xlfn.XLOOKUP($H125,'TRA TECH'!$J:$J,'TRA TECH'!AC:AC)="","",_xlfn.XLOOKUP($H125,'TRA TECH'!$J:$J,'TRA TECH'!AC:AC)))</f>
        <v>241.1283317871021</v>
      </c>
      <c r="AA125">
        <f>IF(H125="*","*",IF(_xlfn.XLOOKUP($H125,'TRA TECH'!$J:$J,'TRA TECH'!AD:AD)="","",_xlfn.XLOOKUP($H125,'TRA TECH'!$J:$J,'TRA TECH'!AD:AD)))</f>
        <v>232.59281561764701</v>
      </c>
      <c r="AB125">
        <f t="shared" si="8"/>
        <v>232.59281561764701</v>
      </c>
      <c r="AC125" s="15">
        <f>IF(H125="*","*",IF(_xlfn.XLOOKUP($H125,'TRA TECH'!$J:$J,'TRA TECH'!AE:AE)="","",_xlfn.XLOOKUP($H125,'TRA TECH'!$J:$J,'TRA TECH'!AE:AE)))</f>
        <v>4.2322116409993011</v>
      </c>
      <c r="AD125" s="15">
        <f>IF(H125="*","*",IF(_xlfn.XLOOKUP($H125,'TRA TECH'!$J:$J,'TRA TECH'!AF:AF)="","",_xlfn.XLOOKUP($H125,'TRA TECH'!$J:$J,'TRA TECH'!AF:AF)))</f>
        <v>4.2322116409993011</v>
      </c>
      <c r="AE125" s="15">
        <f>IF(H125="*","*",IF(_xlfn.XLOOKUP($H125,'TRA TECH'!$J:$J,'TRA TECH'!AG:AG)="","",_xlfn.XLOOKUP($H125,'TRA TECH'!$J:$J,'TRA TECH'!AG:AG)))</f>
        <v>4.2322116409993011</v>
      </c>
      <c r="AF125" s="15">
        <f>IF(H125="*","*",IF(_xlfn.XLOOKUP($H125,'TRA TECH'!$J:$J,'TRA TECH'!AH:AH)="","",_xlfn.XLOOKUP($H125,'TRA TECH'!$J:$J,'TRA TECH'!AH:AH)))</f>
        <v>4.2322116409993011</v>
      </c>
      <c r="AG125" s="15">
        <f>IF(H125="*","*",IF(_xlfn.XLOOKUP($H125,'TRA TECH'!$J:$J,'TRA TECH'!AI:AI)="","",_xlfn.XLOOKUP($H125,'TRA TECH'!$J:$J,'TRA TECH'!AI:AI)))</f>
        <v>4.2322116409993011</v>
      </c>
      <c r="AH125" s="15">
        <f>IF(H125="*","*",IF(_xlfn.XLOOKUP($H125,'TRA TECH'!$J:$J,'TRA TECH'!AJ:AJ)="","",_xlfn.XLOOKUP($H125,'TRA TECH'!$J:$J,'TRA TECH'!AJ:AJ)))</f>
        <v>4.2322116409993011</v>
      </c>
      <c r="AI125" s="15">
        <f>IF(H125="*","*",IF(_xlfn.XLOOKUP($H125,'TRA TECH'!$J:$J,'TRA TECH'!AK:AK)="","",_xlfn.XLOOKUP($H125,'TRA TECH'!$J:$J,'TRA TECH'!AK:AK)))</f>
        <v>4.2322116409993011</v>
      </c>
      <c r="AJ125" s="15">
        <f t="shared" si="9"/>
        <v>4.2322116409993011</v>
      </c>
      <c r="AK125" s="16">
        <f t="shared" si="10"/>
        <v>0.4</v>
      </c>
    </row>
    <row r="126" spans="2:37" x14ac:dyDescent="0.25">
      <c r="B126" t="str">
        <f>IF('TRA TECH'!M122=0,"*",IF('TRA TECH'!H122="","*",'TRA TECH'!J122))</f>
        <v>TRAFRECLT400FCEV20</v>
      </c>
      <c r="C126" t="str">
        <f>IF('TRA TECH'!M122=0,"*",'TRA TECH'!H122)</f>
        <v>TRAH2G</v>
      </c>
      <c r="D126" t="s">
        <v>424</v>
      </c>
      <c r="E126" s="9">
        <f>'TRA TECH'!P122</f>
        <v>1</v>
      </c>
      <c r="H126" t="str">
        <f>IF('TRA TECH'!M122=1,IF('TRA TECH'!L122=1,'TRA TECH'!J122,"*"),"*")</f>
        <v>TRAFRECLT400FCEV20</v>
      </c>
      <c r="I126" t="str">
        <f>IF(H126="*","*",_xlfn.XLOOKUP(H126,'TRA TECH'!J:J,'TRA TECH'!I:I))</f>
        <v>TRAFRECLTDMD</v>
      </c>
      <c r="J126">
        <f>IF(H126="*","*",_xlfn.XLOOKUP(H126,'TRA TECH'!J:J,'TRA TECH'!N:N))</f>
        <v>2020</v>
      </c>
      <c r="K126" s="15">
        <f>IF(H126="*","*",IF(_xlfn.XLOOKUP(H126,'TRA TECH'!J:J,'TRA TECH'!O:O)="","",_xlfn.XLOOKUP(H126,'TRA TECH'!J:J,'TRA TECH'!O:O)))</f>
        <v>15.579764908323551</v>
      </c>
      <c r="L126">
        <f t="shared" si="6"/>
        <v>1</v>
      </c>
      <c r="M126">
        <f>IF(H126="*","*",IF(_xlfn.XLOOKUP($H126,'TRA TECH'!$J:$J,'TRA TECH'!Q:Q)="","",_xlfn.XLOOKUP($H126,'TRA TECH'!$J:$J,'TRA TECH'!Q:Q)))</f>
        <v>0.54122350148367915</v>
      </c>
      <c r="N126">
        <f>IF(H126="*","*",IF(_xlfn.XLOOKUP($H126,'TRA TECH'!$J:$J,'TRA TECH'!R:R)="","",_xlfn.XLOOKUP($H126,'TRA TECH'!$J:$J,'TRA TECH'!R:R)))</f>
        <v>0.5597948961424335</v>
      </c>
      <c r="O126">
        <f>IF(H126="*","*",IF(_xlfn.XLOOKUP($H126,'TRA TECH'!$J:$J,'TRA TECH'!S:S)="","",_xlfn.XLOOKUP($H126,'TRA TECH'!$J:$J,'TRA TECH'!S:S)))</f>
        <v>0.56775406528189876</v>
      </c>
      <c r="P126">
        <f>IF(H126="*","*",IF(_xlfn.XLOOKUP($H126,'TRA TECH'!$J:$J,'TRA TECH'!T:T)="","",_xlfn.XLOOKUP($H126,'TRA TECH'!$J:$J,'TRA TECH'!T:T)))</f>
        <v>0.60357032640949559</v>
      </c>
      <c r="Q126">
        <f>IF(H126="*","*",IF(_xlfn.XLOOKUP($H126,'TRA TECH'!$J:$J,'TRA TECH'!U:U)="","",_xlfn.XLOOKUP($H126,'TRA TECH'!$J:$J,'TRA TECH'!U:U)))</f>
        <v>0.61816213649851603</v>
      </c>
      <c r="R126">
        <f>IF(H126="*","*",IF(_xlfn.XLOOKUP($H126,'TRA TECH'!$J:$J,'TRA TECH'!V:V)="","",_xlfn.XLOOKUP($H126,'TRA TECH'!$J:$J,'TRA TECH'!V:V)))</f>
        <v>0.63142741839762584</v>
      </c>
      <c r="S126">
        <f>IF(H126="*","*",IF(_xlfn.XLOOKUP($H126,'TRA TECH'!$J:$J,'TRA TECH'!W:W)="","",_xlfn.XLOOKUP($H126,'TRA TECH'!$J:$J,'TRA TECH'!W:W)))</f>
        <v>0.64601922848664728</v>
      </c>
      <c r="T126">
        <f t="shared" si="7"/>
        <v>0.64601922848664728</v>
      </c>
      <c r="U126">
        <f>IF(H126="*","*",IF(_xlfn.XLOOKUP($H126,'TRA TECH'!$J:$J,'TRA TECH'!X:X)="","",_xlfn.XLOOKUP($H126,'TRA TECH'!$J:$J,'TRA TECH'!X:X)))</f>
        <v>356.35780007474341</v>
      </c>
      <c r="V126">
        <f>IF(H126="*","*",IF(_xlfn.XLOOKUP($H126,'TRA TECH'!$J:$J,'TRA TECH'!Y:Y)="","",_xlfn.XLOOKUP($H126,'TRA TECH'!$J:$J,'TRA TECH'!Y:Y)))</f>
        <v>324.34961443928739</v>
      </c>
      <c r="W126">
        <f>IF(H126="*","*",IF(_xlfn.XLOOKUP($H126,'TRA TECH'!$J:$J,'TRA TECH'!Z:Z)="","",_xlfn.XLOOKUP($H126,'TRA TECH'!$J:$J,'TRA TECH'!Z:Z)))</f>
        <v>298.74306593092268</v>
      </c>
      <c r="X126">
        <f>IF(H126="*","*",IF(_xlfn.XLOOKUP($H126,'TRA TECH'!$J:$J,'TRA TECH'!AA:AA)="","",_xlfn.XLOOKUP($H126,'TRA TECH'!$J:$J,'TRA TECH'!AA:AA)))</f>
        <v>266.73488029546672</v>
      </c>
      <c r="Y126">
        <f>IF(H126="*","*",IF(_xlfn.XLOOKUP($H126,'TRA TECH'!$J:$J,'TRA TECH'!AB:AB)="","",_xlfn.XLOOKUP($H126,'TRA TECH'!$J:$J,'TRA TECH'!AB:AB)))</f>
        <v>258.19936412601157</v>
      </c>
      <c r="Z126">
        <f>IF(H126="*","*",IF(_xlfn.XLOOKUP($H126,'TRA TECH'!$J:$J,'TRA TECH'!AC:AC)="","",_xlfn.XLOOKUP($H126,'TRA TECH'!$J:$J,'TRA TECH'!AC:AC)))</f>
        <v>248.95255494243551</v>
      </c>
      <c r="AA126">
        <f>IF(H126="*","*",IF(_xlfn.XLOOKUP($H126,'TRA TECH'!$J:$J,'TRA TECH'!AD:AD)="","",_xlfn.XLOOKUP($H126,'TRA TECH'!$J:$J,'TRA TECH'!AD:AD)))</f>
        <v>240.4170387729805</v>
      </c>
      <c r="AB126">
        <f t="shared" si="8"/>
        <v>240.4170387729805</v>
      </c>
      <c r="AC126" s="15">
        <f>IF(H126="*","*",IF(_xlfn.XLOOKUP($H126,'TRA TECH'!$J:$J,'TRA TECH'!AE:AE)="","",_xlfn.XLOOKUP($H126,'TRA TECH'!$J:$J,'TRA TECH'!AE:AE)))</f>
        <v>4.2322116409993011</v>
      </c>
      <c r="AD126" s="15">
        <f>IF(H126="*","*",IF(_xlfn.XLOOKUP($H126,'TRA TECH'!$J:$J,'TRA TECH'!AF:AF)="","",_xlfn.XLOOKUP($H126,'TRA TECH'!$J:$J,'TRA TECH'!AF:AF)))</f>
        <v>4.2322116409993011</v>
      </c>
      <c r="AE126" s="15">
        <f>IF(H126="*","*",IF(_xlfn.XLOOKUP($H126,'TRA TECH'!$J:$J,'TRA TECH'!AG:AG)="","",_xlfn.XLOOKUP($H126,'TRA TECH'!$J:$J,'TRA TECH'!AG:AG)))</f>
        <v>4.2322116409993011</v>
      </c>
      <c r="AF126" s="15">
        <f>IF(H126="*","*",IF(_xlfn.XLOOKUP($H126,'TRA TECH'!$J:$J,'TRA TECH'!AH:AH)="","",_xlfn.XLOOKUP($H126,'TRA TECH'!$J:$J,'TRA TECH'!AH:AH)))</f>
        <v>4.2322116409993011</v>
      </c>
      <c r="AG126" s="15">
        <f>IF(H126="*","*",IF(_xlfn.XLOOKUP($H126,'TRA TECH'!$J:$J,'TRA TECH'!AI:AI)="","",_xlfn.XLOOKUP($H126,'TRA TECH'!$J:$J,'TRA TECH'!AI:AI)))</f>
        <v>4.2322116409993011</v>
      </c>
      <c r="AH126" s="15">
        <f>IF(H126="*","*",IF(_xlfn.XLOOKUP($H126,'TRA TECH'!$J:$J,'TRA TECH'!AJ:AJ)="","",_xlfn.XLOOKUP($H126,'TRA TECH'!$J:$J,'TRA TECH'!AJ:AJ)))</f>
        <v>4.2322116409993011</v>
      </c>
      <c r="AI126" s="15">
        <f>IF(H126="*","*",IF(_xlfn.XLOOKUP($H126,'TRA TECH'!$J:$J,'TRA TECH'!AK:AK)="","",_xlfn.XLOOKUP($H126,'TRA TECH'!$J:$J,'TRA TECH'!AK:AK)))</f>
        <v>4.2322116409993011</v>
      </c>
      <c r="AJ126" s="15">
        <f t="shared" si="9"/>
        <v>4.2322116409993011</v>
      </c>
      <c r="AK126" s="16">
        <f t="shared" si="10"/>
        <v>0.4</v>
      </c>
    </row>
    <row r="127" spans="2:37" x14ac:dyDescent="0.25">
      <c r="B127" t="str">
        <f>IF('TRA TECH'!M123=0,"*",IF('TRA TECH'!H123="","*",'TRA TECH'!J123))</f>
        <v>TRAFRECLT200BEV20</v>
      </c>
      <c r="C127" t="str">
        <f>IF('TRA TECH'!M123=0,"*",'TRA TECH'!H123)</f>
        <v>TRABAT</v>
      </c>
      <c r="D127" t="s">
        <v>424</v>
      </c>
      <c r="E127" s="9">
        <f>'TRA TECH'!P123</f>
        <v>1</v>
      </c>
      <c r="H127" t="str">
        <f>IF('TRA TECH'!M123=1,IF('TRA TECH'!L123=1,'TRA TECH'!J123,"*"),"*")</f>
        <v>TRAFRECLT200BEV20</v>
      </c>
      <c r="I127" t="str">
        <f>IF(H127="*","*",_xlfn.XLOOKUP(H127,'TRA TECH'!J:J,'TRA TECH'!I:I))</f>
        <v>TRAFRECLTDMD</v>
      </c>
      <c r="J127">
        <f>IF(H127="*","*",_xlfn.XLOOKUP(H127,'TRA TECH'!J:J,'TRA TECH'!N:N))</f>
        <v>2020</v>
      </c>
      <c r="K127" s="15">
        <f>IF(H127="*","*",IF(_xlfn.XLOOKUP(H127,'TRA TECH'!J:J,'TRA TECH'!O:O)="","",_xlfn.XLOOKUP(H127,'TRA TECH'!J:J,'TRA TECH'!O:O)))</f>
        <v>15.579764908323551</v>
      </c>
      <c r="L127">
        <f t="shared" si="6"/>
        <v>1</v>
      </c>
      <c r="M127">
        <f>IF(H127="*","*",IF(_xlfn.XLOOKUP($H127,'TRA TECH'!$J:$J,'TRA TECH'!Q:Q)="","",_xlfn.XLOOKUP($H127,'TRA TECH'!$J:$J,'TRA TECH'!Q:Q)))</f>
        <v>1.2495895548961431</v>
      </c>
      <c r="N127">
        <f>IF(H127="*","*",IF(_xlfn.XLOOKUP($H127,'TRA TECH'!$J:$J,'TRA TECH'!R:R)="","",_xlfn.XLOOKUP($H127,'TRA TECH'!$J:$J,'TRA TECH'!R:R)))</f>
        <v>1.307956795252226</v>
      </c>
      <c r="O127">
        <f>IF(H127="*","*",IF(_xlfn.XLOOKUP($H127,'TRA TECH'!$J:$J,'TRA TECH'!S:S)="","",_xlfn.XLOOKUP($H127,'TRA TECH'!$J:$J,'TRA TECH'!S:S)))</f>
        <v>1.339793471810089</v>
      </c>
      <c r="P127">
        <f>IF(H127="*","*",IF(_xlfn.XLOOKUP($H127,'TRA TECH'!$J:$J,'TRA TECH'!T:T)="","",_xlfn.XLOOKUP($H127,'TRA TECH'!$J:$J,'TRA TECH'!T:T)))</f>
        <v>1.4591810089020769</v>
      </c>
      <c r="Q127">
        <f>IF(H127="*","*",IF(_xlfn.XLOOKUP($H127,'TRA TECH'!$J:$J,'TRA TECH'!U:U)="","",_xlfn.XLOOKUP($H127,'TRA TECH'!$J:$J,'TRA TECH'!U:U)))</f>
        <v>1.5122421364985159</v>
      </c>
      <c r="R127">
        <f>IF(H127="*","*",IF(_xlfn.XLOOKUP($H127,'TRA TECH'!$J:$J,'TRA TECH'!V:V)="","",_xlfn.XLOOKUP($H127,'TRA TECH'!$J:$J,'TRA TECH'!V:V)))</f>
        <v>1.565303264094956</v>
      </c>
      <c r="S127">
        <f>IF(H127="*","*",IF(_xlfn.XLOOKUP($H127,'TRA TECH'!$J:$J,'TRA TECH'!W:W)="","",_xlfn.XLOOKUP($H127,'TRA TECH'!$J:$J,'TRA TECH'!W:W)))</f>
        <v>1.631629673590504</v>
      </c>
      <c r="T127">
        <f t="shared" si="7"/>
        <v>1.631629673590504</v>
      </c>
      <c r="U127">
        <f>IF(H127="*","*",IF(_xlfn.XLOOKUP($H127,'TRA TECH'!$J:$J,'TRA TECH'!X:X)="","",_xlfn.XLOOKUP($H127,'TRA TECH'!$J:$J,'TRA TECH'!X:X)))</f>
        <v>243.97350384358691</v>
      </c>
      <c r="V127">
        <f>IF(H127="*","*",IF(_xlfn.XLOOKUP($H127,'TRA TECH'!$J:$J,'TRA TECH'!Y:Y)="","",_xlfn.XLOOKUP($H127,'TRA TECH'!$J:$J,'TRA TECH'!Y:Y)))</f>
        <v>226.90247150467701</v>
      </c>
      <c r="W127">
        <f>IF(H127="*","*",IF(_xlfn.XLOOKUP($H127,'TRA TECH'!$J:$J,'TRA TECH'!Z:Z)="","",_xlfn.XLOOKUP($H127,'TRA TECH'!$J:$J,'TRA TECH'!Z:Z)))</f>
        <v>204.1410950527972</v>
      </c>
      <c r="X127">
        <f>IF(H127="*","*",IF(_xlfn.XLOOKUP($H127,'TRA TECH'!$J:$J,'TRA TECH'!AA:AA)="","",_xlfn.XLOOKUP($H127,'TRA TECH'!$J:$J,'TRA TECH'!AA:AA)))</f>
        <v>189.91523477037231</v>
      </c>
      <c r="Y127">
        <f>IF(H127="*","*",IF(_xlfn.XLOOKUP($H127,'TRA TECH'!$J:$J,'TRA TECH'!AB:AB)="","",_xlfn.XLOOKUP($H127,'TRA TECH'!$J:$J,'TRA TECH'!AB:AB)))</f>
        <v>183.51359764328109</v>
      </c>
      <c r="Z127">
        <f>IF(H127="*","*",IF(_xlfn.XLOOKUP($H127,'TRA TECH'!$J:$J,'TRA TECH'!AC:AC)="","",_xlfn.XLOOKUP($H127,'TRA TECH'!$J:$J,'TRA TECH'!AC:AC)))</f>
        <v>177.11196051619001</v>
      </c>
      <c r="AA127">
        <f>IF(H127="*","*",IF(_xlfn.XLOOKUP($H127,'TRA TECH'!$J:$J,'TRA TECH'!AD:AD)="","",_xlfn.XLOOKUP($H127,'TRA TECH'!$J:$J,'TRA TECH'!AD:AD)))</f>
        <v>169.99903037497739</v>
      </c>
      <c r="AB127">
        <f t="shared" si="8"/>
        <v>169.99903037497739</v>
      </c>
      <c r="AC127" s="15">
        <f>IF(H127="*","*",IF(_xlfn.XLOOKUP($H127,'TRA TECH'!$J:$J,'TRA TECH'!AE:AE)="","",_xlfn.XLOOKUP($H127,'TRA TECH'!$J:$J,'TRA TECH'!AE:AE)))</f>
        <v>4.0952468629734371</v>
      </c>
      <c r="AD127" s="15">
        <f>IF(H127="*","*",IF(_xlfn.XLOOKUP($H127,'TRA TECH'!$J:$J,'TRA TECH'!AF:AF)="","",_xlfn.XLOOKUP($H127,'TRA TECH'!$J:$J,'TRA TECH'!AF:AF)))</f>
        <v>4.0952468629734371</v>
      </c>
      <c r="AE127" s="15">
        <f>IF(H127="*","*",IF(_xlfn.XLOOKUP($H127,'TRA TECH'!$J:$J,'TRA TECH'!AG:AG)="","",_xlfn.XLOOKUP($H127,'TRA TECH'!$J:$J,'TRA TECH'!AG:AG)))</f>
        <v>4.0952468629734371</v>
      </c>
      <c r="AF127" s="15">
        <f>IF(H127="*","*",IF(_xlfn.XLOOKUP($H127,'TRA TECH'!$J:$J,'TRA TECH'!AH:AH)="","",_xlfn.XLOOKUP($H127,'TRA TECH'!$J:$J,'TRA TECH'!AH:AH)))</f>
        <v>4.0952468629734371</v>
      </c>
      <c r="AG127" s="15">
        <f>IF(H127="*","*",IF(_xlfn.XLOOKUP($H127,'TRA TECH'!$J:$J,'TRA TECH'!AI:AI)="","",_xlfn.XLOOKUP($H127,'TRA TECH'!$J:$J,'TRA TECH'!AI:AI)))</f>
        <v>4.0952468629734371</v>
      </c>
      <c r="AH127" s="15">
        <f>IF(H127="*","*",IF(_xlfn.XLOOKUP($H127,'TRA TECH'!$J:$J,'TRA TECH'!AJ:AJ)="","",_xlfn.XLOOKUP($H127,'TRA TECH'!$J:$J,'TRA TECH'!AJ:AJ)))</f>
        <v>4.0952468629734371</v>
      </c>
      <c r="AI127" s="15">
        <f>IF(H127="*","*",IF(_xlfn.XLOOKUP($H127,'TRA TECH'!$J:$J,'TRA TECH'!AK:AK)="","",_xlfn.XLOOKUP($H127,'TRA TECH'!$J:$J,'TRA TECH'!AK:AK)))</f>
        <v>4.0952468629734371</v>
      </c>
      <c r="AJ127" s="15">
        <f t="shared" si="9"/>
        <v>4.0952468629734371</v>
      </c>
      <c r="AK127" s="16">
        <f t="shared" si="10"/>
        <v>0.4</v>
      </c>
    </row>
    <row r="128" spans="2:37" x14ac:dyDescent="0.25">
      <c r="B128" t="str">
        <f>IF('TRA TECH'!M124=0,"*",IF('TRA TECH'!H124="","*",'TRA TECH'!J124))</f>
        <v>TRAFRECLT300BEV20</v>
      </c>
      <c r="C128" t="str">
        <f>IF('TRA TECH'!M124=0,"*",'TRA TECH'!H124)</f>
        <v>TRABAT</v>
      </c>
      <c r="D128" t="s">
        <v>424</v>
      </c>
      <c r="E128" s="9">
        <f>'TRA TECH'!P124</f>
        <v>1</v>
      </c>
      <c r="H128" t="str">
        <f>IF('TRA TECH'!M124=1,IF('TRA TECH'!L124=1,'TRA TECH'!J124,"*"),"*")</f>
        <v>TRAFRECLT300BEV20</v>
      </c>
      <c r="I128" t="str">
        <f>IF(H128="*","*",_xlfn.XLOOKUP(H128,'TRA TECH'!J:J,'TRA TECH'!I:I))</f>
        <v>TRAFRECLTDMD</v>
      </c>
      <c r="J128">
        <f>IF(H128="*","*",_xlfn.XLOOKUP(H128,'TRA TECH'!J:J,'TRA TECH'!N:N))</f>
        <v>2020</v>
      </c>
      <c r="K128" s="15">
        <f>IF(H128="*","*",IF(_xlfn.XLOOKUP(H128,'TRA TECH'!J:J,'TRA TECH'!O:O)="","",_xlfn.XLOOKUP(H128,'TRA TECH'!J:J,'TRA TECH'!O:O)))</f>
        <v>15.579764908323551</v>
      </c>
      <c r="L128">
        <f t="shared" si="6"/>
        <v>1</v>
      </c>
      <c r="M128">
        <f>IF(H128="*","*",IF(_xlfn.XLOOKUP($H128,'TRA TECH'!$J:$J,'TRA TECH'!Q:Q)="","",_xlfn.XLOOKUP($H128,'TRA TECH'!$J:$J,'TRA TECH'!Q:Q)))</f>
        <v>1.196528427299703</v>
      </c>
      <c r="N128">
        <f>IF(H128="*","*",IF(_xlfn.XLOOKUP($H128,'TRA TECH'!$J:$J,'TRA TECH'!R:R)="","",_xlfn.XLOOKUP($H128,'TRA TECH'!$J:$J,'TRA TECH'!R:R)))</f>
        <v>1.253569139465875</v>
      </c>
      <c r="O128">
        <f>IF(H128="*","*",IF(_xlfn.XLOOKUP($H128,'TRA TECH'!$J:$J,'TRA TECH'!S:S)="","",_xlfn.XLOOKUP($H128,'TRA TECH'!$J:$J,'TRA TECH'!S:S)))</f>
        <v>1.293364985163205</v>
      </c>
      <c r="P128">
        <f>IF(H128="*","*",IF(_xlfn.XLOOKUP($H128,'TRA TECH'!$J:$J,'TRA TECH'!T:T)="","",_xlfn.XLOOKUP($H128,'TRA TECH'!$J:$J,'TRA TECH'!T:T)))</f>
        <v>1.4193851632047481</v>
      </c>
      <c r="Q128">
        <f>IF(H128="*","*",IF(_xlfn.XLOOKUP($H128,'TRA TECH'!$J:$J,'TRA TECH'!U:U)="","",_xlfn.XLOOKUP($H128,'TRA TECH'!$J:$J,'TRA TECH'!U:U)))</f>
        <v>1.4724462908011871</v>
      </c>
      <c r="R128">
        <f>IF(H128="*","*",IF(_xlfn.XLOOKUP($H128,'TRA TECH'!$J:$J,'TRA TECH'!V:V)="","",_xlfn.XLOOKUP($H128,'TRA TECH'!$J:$J,'TRA TECH'!V:V)))</f>
        <v>1.525507418397626</v>
      </c>
      <c r="S128">
        <f>IF(H128="*","*",IF(_xlfn.XLOOKUP($H128,'TRA TECH'!$J:$J,'TRA TECH'!W:W)="","",_xlfn.XLOOKUP($H128,'TRA TECH'!$J:$J,'TRA TECH'!W:W)))</f>
        <v>1.591833827893175</v>
      </c>
      <c r="T128">
        <f t="shared" si="7"/>
        <v>1.591833827893175</v>
      </c>
      <c r="U128">
        <f>IF(H128="*","*",IF(_xlfn.XLOOKUP($H128,'TRA TECH'!$J:$J,'TRA TECH'!X:X)="","",_xlfn.XLOOKUP($H128,'TRA TECH'!$J:$J,'TRA TECH'!X:X)))</f>
        <v>293.05272181795277</v>
      </c>
      <c r="V128">
        <f>IF(H128="*","*",IF(_xlfn.XLOOKUP($H128,'TRA TECH'!$J:$J,'TRA TECH'!Y:Y)="","",_xlfn.XLOOKUP($H128,'TRA TECH'!$J:$J,'TRA TECH'!Y:Y)))</f>
        <v>269.58005235195168</v>
      </c>
      <c r="W128">
        <f>IF(H128="*","*",IF(_xlfn.XLOOKUP($H128,'TRA TECH'!$J:$J,'TRA TECH'!Z:Z)="","",_xlfn.XLOOKUP($H128,'TRA TECH'!$J:$J,'TRA TECH'!Z:Z)))</f>
        <v>235.43798767413199</v>
      </c>
      <c r="X128">
        <f>IF(H128="*","*",IF(_xlfn.XLOOKUP($H128,'TRA TECH'!$J:$J,'TRA TECH'!AA:AA)="","",_xlfn.XLOOKUP($H128,'TRA TECH'!$J:$J,'TRA TECH'!AA:AA)))</f>
        <v>214.81049026461591</v>
      </c>
      <c r="Y128">
        <f>IF(H128="*","*",IF(_xlfn.XLOOKUP($H128,'TRA TECH'!$J:$J,'TRA TECH'!AB:AB)="","",_xlfn.XLOOKUP($H128,'TRA TECH'!$J:$J,'TRA TECH'!AB:AB)))</f>
        <v>205.5636810810397</v>
      </c>
      <c r="Z128">
        <f>IF(H128="*","*",IF(_xlfn.XLOOKUP($H128,'TRA TECH'!$J:$J,'TRA TECH'!AC:AC)="","",_xlfn.XLOOKUP($H128,'TRA TECH'!$J:$J,'TRA TECH'!AC:AC)))</f>
        <v>196.3168718974635</v>
      </c>
      <c r="AA128">
        <f>IF(H128="*","*",IF(_xlfn.XLOOKUP($H128,'TRA TECH'!$J:$J,'TRA TECH'!AD:AD)="","",_xlfn.XLOOKUP($H128,'TRA TECH'!$J:$J,'TRA TECH'!AD:AD)))</f>
        <v>186.3587696997661</v>
      </c>
      <c r="AB128">
        <f t="shared" si="8"/>
        <v>186.3587696997661</v>
      </c>
      <c r="AC128" s="15">
        <f>IF(H128="*","*",IF(_xlfn.XLOOKUP($H128,'TRA TECH'!$J:$J,'TRA TECH'!AE:AE)="","",_xlfn.XLOOKUP($H128,'TRA TECH'!$J:$J,'TRA TECH'!AE:AE)))</f>
        <v>4.0952468629734371</v>
      </c>
      <c r="AD128" s="15">
        <f>IF(H128="*","*",IF(_xlfn.XLOOKUP($H128,'TRA TECH'!$J:$J,'TRA TECH'!AF:AF)="","",_xlfn.XLOOKUP($H128,'TRA TECH'!$J:$J,'TRA TECH'!AF:AF)))</f>
        <v>4.0952468629734371</v>
      </c>
      <c r="AE128" s="15">
        <f>IF(H128="*","*",IF(_xlfn.XLOOKUP($H128,'TRA TECH'!$J:$J,'TRA TECH'!AG:AG)="","",_xlfn.XLOOKUP($H128,'TRA TECH'!$J:$J,'TRA TECH'!AG:AG)))</f>
        <v>4.0952468629734371</v>
      </c>
      <c r="AF128" s="15">
        <f>IF(H128="*","*",IF(_xlfn.XLOOKUP($H128,'TRA TECH'!$J:$J,'TRA TECH'!AH:AH)="","",_xlfn.XLOOKUP($H128,'TRA TECH'!$J:$J,'TRA TECH'!AH:AH)))</f>
        <v>4.0952468629734371</v>
      </c>
      <c r="AG128" s="15">
        <f>IF(H128="*","*",IF(_xlfn.XLOOKUP($H128,'TRA TECH'!$J:$J,'TRA TECH'!AI:AI)="","",_xlfn.XLOOKUP($H128,'TRA TECH'!$J:$J,'TRA TECH'!AI:AI)))</f>
        <v>4.0952468629734371</v>
      </c>
      <c r="AH128" s="15">
        <f>IF(H128="*","*",IF(_xlfn.XLOOKUP($H128,'TRA TECH'!$J:$J,'TRA TECH'!AJ:AJ)="","",_xlfn.XLOOKUP($H128,'TRA TECH'!$J:$J,'TRA TECH'!AJ:AJ)))</f>
        <v>4.0952468629734371</v>
      </c>
      <c r="AI128" s="15">
        <f>IF(H128="*","*",IF(_xlfn.XLOOKUP($H128,'TRA TECH'!$J:$J,'TRA TECH'!AK:AK)="","",_xlfn.XLOOKUP($H128,'TRA TECH'!$J:$J,'TRA TECH'!AK:AK)))</f>
        <v>4.0952468629734371</v>
      </c>
      <c r="AJ128" s="15">
        <f t="shared" si="9"/>
        <v>4.0952468629734371</v>
      </c>
      <c r="AK128" s="16">
        <f t="shared" si="10"/>
        <v>0.4</v>
      </c>
    </row>
    <row r="129" spans="2:37" x14ac:dyDescent="0.25">
      <c r="B129" t="str">
        <f>IF('TRA TECH'!M125=0,"*",IF('TRA TECH'!H125="","*",'TRA TECH'!J125))</f>
        <v>TRAFRECLT400BEV20</v>
      </c>
      <c r="C129" t="str">
        <f>IF('TRA TECH'!M125=0,"*",'TRA TECH'!H125)</f>
        <v>TRABAT</v>
      </c>
      <c r="D129" t="s">
        <v>424</v>
      </c>
      <c r="E129" s="9">
        <f>'TRA TECH'!P125</f>
        <v>1</v>
      </c>
      <c r="H129" t="str">
        <f>IF('TRA TECH'!M125=1,IF('TRA TECH'!L125=1,'TRA TECH'!J125,"*"),"*")</f>
        <v>TRAFRECLT400BEV20</v>
      </c>
      <c r="I129" t="str">
        <f>IF(H129="*","*",_xlfn.XLOOKUP(H129,'TRA TECH'!J:J,'TRA TECH'!I:I))</f>
        <v>TRAFRECLTDMD</v>
      </c>
      <c r="J129">
        <f>IF(H129="*","*",_xlfn.XLOOKUP(H129,'TRA TECH'!J:J,'TRA TECH'!N:N))</f>
        <v>2020</v>
      </c>
      <c r="K129" s="15">
        <f>IF(H129="*","*",IF(_xlfn.XLOOKUP(H129,'TRA TECH'!J:J,'TRA TECH'!O:O)="","",_xlfn.XLOOKUP(H129,'TRA TECH'!J:J,'TRA TECH'!O:O)))</f>
        <v>15.579764908323551</v>
      </c>
      <c r="L129">
        <f t="shared" si="6"/>
        <v>1</v>
      </c>
      <c r="M129">
        <f>IF(H129="*","*",IF(_xlfn.XLOOKUP($H129,'TRA TECH'!$J:$J,'TRA TECH'!Q:Q)="","",_xlfn.XLOOKUP($H129,'TRA TECH'!$J:$J,'TRA TECH'!Q:Q)))</f>
        <v>1.075814362017804</v>
      </c>
      <c r="N129">
        <f>IF(H129="*","*",IF(_xlfn.XLOOKUP($H129,'TRA TECH'!$J:$J,'TRA TECH'!R:R)="","",_xlfn.XLOOKUP($H129,'TRA TECH'!$J:$J,'TRA TECH'!R:R)))</f>
        <v>1.1275489614243319</v>
      </c>
      <c r="O129">
        <f>IF(H129="*","*",IF(_xlfn.XLOOKUP($H129,'TRA TECH'!$J:$J,'TRA TECH'!S:S)="","",_xlfn.XLOOKUP($H129,'TRA TECH'!$J:$J,'TRA TECH'!S:S)))</f>
        <v>1.1819366172106831</v>
      </c>
      <c r="P129">
        <f>IF(H129="*","*",IF(_xlfn.XLOOKUP($H129,'TRA TECH'!$J:$J,'TRA TECH'!T:T)="","",_xlfn.XLOOKUP($H129,'TRA TECH'!$J:$J,'TRA TECH'!T:T)))</f>
        <v>1.297344569732938</v>
      </c>
      <c r="Q129">
        <f>IF(H129="*","*",IF(_xlfn.XLOOKUP($H129,'TRA TECH'!$J:$J,'TRA TECH'!U:U)="","",_xlfn.XLOOKUP($H129,'TRA TECH'!$J:$J,'TRA TECH'!U:U)))</f>
        <v>1.3530587537091989</v>
      </c>
      <c r="R129">
        <f>IF(H129="*","*",IF(_xlfn.XLOOKUP($H129,'TRA TECH'!$J:$J,'TRA TECH'!V:V)="","",_xlfn.XLOOKUP($H129,'TRA TECH'!$J:$J,'TRA TECH'!V:V)))</f>
        <v>1.4061198813056379</v>
      </c>
      <c r="S129">
        <f>IF(H129="*","*",IF(_xlfn.XLOOKUP($H129,'TRA TECH'!$J:$J,'TRA TECH'!W:W)="","",_xlfn.XLOOKUP($H129,'TRA TECH'!$J:$J,'TRA TECH'!W:W)))</f>
        <v>1.4591810089020769</v>
      </c>
      <c r="T129">
        <f t="shared" si="7"/>
        <v>1.4591810089020769</v>
      </c>
      <c r="U129">
        <f>IF(H129="*","*",IF(_xlfn.XLOOKUP($H129,'TRA TECH'!$J:$J,'TRA TECH'!X:X)="","",_xlfn.XLOOKUP($H129,'TRA TECH'!$J:$J,'TRA TECH'!X:X)))</f>
        <v>361.33685117359232</v>
      </c>
      <c r="V129">
        <f>IF(H129="*","*",IF(_xlfn.XLOOKUP($H129,'TRA TECH'!$J:$J,'TRA TECH'!Y:Y)="","",_xlfn.XLOOKUP($H129,'TRA TECH'!$J:$J,'TRA TECH'!Y:Y)))</f>
        <v>329.32866553813631</v>
      </c>
      <c r="W129">
        <f>IF(H129="*","*",IF(_xlfn.XLOOKUP($H129,'TRA TECH'!$J:$J,'TRA TECH'!Z:Z)="","",_xlfn.XLOOKUP($H129,'TRA TECH'!$J:$J,'TRA TECH'!Z:Z)))</f>
        <v>278.11556852140671</v>
      </c>
      <c r="X129">
        <f>IF(H129="*","*",IF(_xlfn.XLOOKUP($H129,'TRA TECH'!$J:$J,'TRA TECH'!AA:AA)="","",_xlfn.XLOOKUP($H129,'TRA TECH'!$J:$J,'TRA TECH'!AA:AA)))</f>
        <v>248.95255494243571</v>
      </c>
      <c r="Y129">
        <f>IF(H129="*","*",IF(_xlfn.XLOOKUP($H129,'TRA TECH'!$J:$J,'TRA TECH'!AB:AB)="","",_xlfn.XLOOKUP($H129,'TRA TECH'!$J:$J,'TRA TECH'!AB:AB)))</f>
        <v>236.14928068825321</v>
      </c>
      <c r="Z129">
        <f>IF(H129="*","*",IF(_xlfn.XLOOKUP($H129,'TRA TECH'!$J:$J,'TRA TECH'!AC:AC)="","",_xlfn.XLOOKUP($H129,'TRA TECH'!$J:$J,'TRA TECH'!AC:AC)))</f>
        <v>222.63471341994961</v>
      </c>
      <c r="AA129">
        <f>IF(H129="*","*",IF(_xlfn.XLOOKUP($H129,'TRA TECH'!$J:$J,'TRA TECH'!AD:AD)="","",_xlfn.XLOOKUP($H129,'TRA TECH'!$J:$J,'TRA TECH'!AD:AD)))</f>
        <v>209.12014615164591</v>
      </c>
      <c r="AB129">
        <f t="shared" si="8"/>
        <v>209.12014615164591</v>
      </c>
      <c r="AC129" s="15">
        <f>IF(H129="*","*",IF(_xlfn.XLOOKUP($H129,'TRA TECH'!$J:$J,'TRA TECH'!AE:AE)="","",_xlfn.XLOOKUP($H129,'TRA TECH'!$J:$J,'TRA TECH'!AE:AE)))</f>
        <v>4.0952468629734371</v>
      </c>
      <c r="AD129" s="15">
        <f>IF(H129="*","*",IF(_xlfn.XLOOKUP($H129,'TRA TECH'!$J:$J,'TRA TECH'!AF:AF)="","",_xlfn.XLOOKUP($H129,'TRA TECH'!$J:$J,'TRA TECH'!AF:AF)))</f>
        <v>4.0952468629734371</v>
      </c>
      <c r="AE129" s="15">
        <f>IF(H129="*","*",IF(_xlfn.XLOOKUP($H129,'TRA TECH'!$J:$J,'TRA TECH'!AG:AG)="","",_xlfn.XLOOKUP($H129,'TRA TECH'!$J:$J,'TRA TECH'!AG:AG)))</f>
        <v>4.0952468629734371</v>
      </c>
      <c r="AF129" s="15">
        <f>IF(H129="*","*",IF(_xlfn.XLOOKUP($H129,'TRA TECH'!$J:$J,'TRA TECH'!AH:AH)="","",_xlfn.XLOOKUP($H129,'TRA TECH'!$J:$J,'TRA TECH'!AH:AH)))</f>
        <v>4.0952468629734371</v>
      </c>
      <c r="AG129" s="15">
        <f>IF(H129="*","*",IF(_xlfn.XLOOKUP($H129,'TRA TECH'!$J:$J,'TRA TECH'!AI:AI)="","",_xlfn.XLOOKUP($H129,'TRA TECH'!$J:$J,'TRA TECH'!AI:AI)))</f>
        <v>4.0952468629734371</v>
      </c>
      <c r="AH129" s="15">
        <f>IF(H129="*","*",IF(_xlfn.XLOOKUP($H129,'TRA TECH'!$J:$J,'TRA TECH'!AJ:AJ)="","",_xlfn.XLOOKUP($H129,'TRA TECH'!$J:$J,'TRA TECH'!AJ:AJ)))</f>
        <v>4.0952468629734371</v>
      </c>
      <c r="AI129" s="15">
        <f>IF(H129="*","*",IF(_xlfn.XLOOKUP($H129,'TRA TECH'!$J:$J,'TRA TECH'!AK:AK)="","",_xlfn.XLOOKUP($H129,'TRA TECH'!$J:$J,'TRA TECH'!AK:AK)))</f>
        <v>4.0952468629734371</v>
      </c>
      <c r="AJ129" s="15">
        <f t="shared" si="9"/>
        <v>4.0952468629734371</v>
      </c>
      <c r="AK129" s="16">
        <f t="shared" si="10"/>
        <v>0.4</v>
      </c>
    </row>
    <row r="130" spans="2:37" x14ac:dyDescent="0.25">
      <c r="B130" t="str">
        <f>IF('TRA TECH'!M126=0,"*",IF('TRA TECH'!H126="","*",'TRA TECH'!J126))</f>
        <v>TRAFRECLT500BEV20</v>
      </c>
      <c r="C130" t="str">
        <f>IF('TRA TECH'!M126=0,"*",'TRA TECH'!H126)</f>
        <v>TRABAT</v>
      </c>
      <c r="D130" t="s">
        <v>424</v>
      </c>
      <c r="E130" s="9">
        <f>'TRA TECH'!P126</f>
        <v>1</v>
      </c>
      <c r="H130" t="str">
        <f>IF('TRA TECH'!M126=1,IF('TRA TECH'!L126=1,'TRA TECH'!J126,"*"),"*")</f>
        <v>TRAFRECLT500BEV20</v>
      </c>
      <c r="I130" t="str">
        <f>IF(H130="*","*",_xlfn.XLOOKUP(H130,'TRA TECH'!J:J,'TRA TECH'!I:I))</f>
        <v>TRAFRECLTDMD</v>
      </c>
      <c r="J130">
        <f>IF(H130="*","*",_xlfn.XLOOKUP(H130,'TRA TECH'!J:J,'TRA TECH'!N:N))</f>
        <v>2020</v>
      </c>
      <c r="K130" s="15">
        <f>IF(H130="*","*",IF(_xlfn.XLOOKUP(H130,'TRA TECH'!J:J,'TRA TECH'!O:O)="","",_xlfn.XLOOKUP(H130,'TRA TECH'!J:J,'TRA TECH'!O:O)))</f>
        <v>15.579764908323551</v>
      </c>
      <c r="L130">
        <f t="shared" si="6"/>
        <v>1</v>
      </c>
      <c r="M130">
        <f>IF(H130="*","*",IF(_xlfn.XLOOKUP($H130,'TRA TECH'!$J:$J,'TRA TECH'!Q:Q)="","",_xlfn.XLOOKUP($H130,'TRA TECH'!$J:$J,'TRA TECH'!Q:Q)))</f>
        <v>0.97101863501483687</v>
      </c>
      <c r="N130">
        <f>IF(H130="*","*",IF(_xlfn.XLOOKUP($H130,'TRA TECH'!$J:$J,'TRA TECH'!R:R)="","",_xlfn.XLOOKUP($H130,'TRA TECH'!$J:$J,'TRA TECH'!R:R)))</f>
        <v>1.0174471216617209</v>
      </c>
      <c r="O130">
        <f>IF(H130="*","*",IF(_xlfn.XLOOKUP($H130,'TRA TECH'!$J:$J,'TRA TECH'!S:S)="","",_xlfn.XLOOKUP($H130,'TRA TECH'!$J:$J,'TRA TECH'!S:S)))</f>
        <v>1.0917327002967361</v>
      </c>
      <c r="P130">
        <f>IF(H130="*","*",IF(_xlfn.XLOOKUP($H130,'TRA TECH'!$J:$J,'TRA TECH'!T:T)="","",_xlfn.XLOOKUP($H130,'TRA TECH'!$J:$J,'TRA TECH'!T:T)))</f>
        <v>1.196528427299703</v>
      </c>
      <c r="Q130">
        <f>IF(H130="*","*",IF(_xlfn.XLOOKUP($H130,'TRA TECH'!$J:$J,'TRA TECH'!U:U)="","",_xlfn.XLOOKUP($H130,'TRA TECH'!$J:$J,'TRA TECH'!U:U)))</f>
        <v>1.2429569139465879</v>
      </c>
      <c r="R130">
        <f>IF(H130="*","*",IF(_xlfn.XLOOKUP($H130,'TRA TECH'!$J:$J,'TRA TECH'!V:V)="","",_xlfn.XLOOKUP($H130,'TRA TECH'!$J:$J,'TRA TECH'!V:V)))</f>
        <v>1.2946915133531161</v>
      </c>
      <c r="S130">
        <f>IF(H130="*","*",IF(_xlfn.XLOOKUP($H130,'TRA TECH'!$J:$J,'TRA TECH'!W:W)="","",_xlfn.XLOOKUP($H130,'TRA TECH'!$J:$J,'TRA TECH'!W:W)))</f>
        <v>1.3530587537091989</v>
      </c>
      <c r="T130">
        <f t="shared" si="7"/>
        <v>1.3530587537091989</v>
      </c>
      <c r="U130">
        <f>IF(H130="*","*",IF(_xlfn.XLOOKUP($H130,'TRA TECH'!$J:$J,'TRA TECH'!X:X)="","",_xlfn.XLOOKUP($H130,'TRA TECH'!$J:$J,'TRA TECH'!X:X)))</f>
        <v>443.13554779753542</v>
      </c>
      <c r="V130">
        <f>IF(H130="*","*",IF(_xlfn.XLOOKUP($H130,'TRA TECH'!$J:$J,'TRA TECH'!Y:Y)="","",_xlfn.XLOOKUP($H130,'TRA TECH'!$J:$J,'TRA TECH'!Y:Y)))</f>
        <v>399.74667393613959</v>
      </c>
      <c r="W130">
        <f>IF(H130="*","*",IF(_xlfn.XLOOKUP($H130,'TRA TECH'!$J:$J,'TRA TECH'!Z:Z)="","",_xlfn.XLOOKUP($H130,'TRA TECH'!$J:$J,'TRA TECH'!Z:Z)))</f>
        <v>325.77220046753013</v>
      </c>
      <c r="X130">
        <f>IF(H130="*","*",IF(_xlfn.XLOOKUP($H130,'TRA TECH'!$J:$J,'TRA TECH'!AA:AA)="","",_xlfn.XLOOKUP($H130,'TRA TECH'!$J:$J,'TRA TECH'!AA:AA)))</f>
        <v>287.3623777049828</v>
      </c>
      <c r="Y130">
        <f>IF(H130="*","*",IF(_xlfn.XLOOKUP($H130,'TRA TECH'!$J:$J,'TRA TECH'!AB:AB)="","",_xlfn.XLOOKUP($H130,'TRA TECH'!$J:$J,'TRA TECH'!AB:AB)))</f>
        <v>269.58005235195168</v>
      </c>
      <c r="Z130">
        <f>IF(H130="*","*",IF(_xlfn.XLOOKUP($H130,'TRA TECH'!$J:$J,'TRA TECH'!AC:AC)="","",_xlfn.XLOOKUP($H130,'TRA TECH'!$J:$J,'TRA TECH'!AC:AC)))</f>
        <v>252.50902001304189</v>
      </c>
      <c r="AA130">
        <f>IF(H130="*","*",IF(_xlfn.XLOOKUP($H130,'TRA TECH'!$J:$J,'TRA TECH'!AD:AD)="","",_xlfn.XLOOKUP($H130,'TRA TECH'!$J:$J,'TRA TECH'!AD:AD)))</f>
        <v>234.72669466001071</v>
      </c>
      <c r="AB130">
        <f t="shared" si="8"/>
        <v>234.72669466001071</v>
      </c>
      <c r="AC130" s="15">
        <f>IF(H130="*","*",IF(_xlfn.XLOOKUP($H130,'TRA TECH'!$J:$J,'TRA TECH'!AE:AE)="","",_xlfn.XLOOKUP($H130,'TRA TECH'!$J:$J,'TRA TECH'!AE:AE)))</f>
        <v>4.0952468629734371</v>
      </c>
      <c r="AD130" s="15">
        <f>IF(H130="*","*",IF(_xlfn.XLOOKUP($H130,'TRA TECH'!$J:$J,'TRA TECH'!AF:AF)="","",_xlfn.XLOOKUP($H130,'TRA TECH'!$J:$J,'TRA TECH'!AF:AF)))</f>
        <v>4.0952468629734371</v>
      </c>
      <c r="AE130" s="15">
        <f>IF(H130="*","*",IF(_xlfn.XLOOKUP($H130,'TRA TECH'!$J:$J,'TRA TECH'!AG:AG)="","",_xlfn.XLOOKUP($H130,'TRA TECH'!$J:$J,'TRA TECH'!AG:AG)))</f>
        <v>4.0952468629734371</v>
      </c>
      <c r="AF130" s="15">
        <f>IF(H130="*","*",IF(_xlfn.XLOOKUP($H130,'TRA TECH'!$J:$J,'TRA TECH'!AH:AH)="","",_xlfn.XLOOKUP($H130,'TRA TECH'!$J:$J,'TRA TECH'!AH:AH)))</f>
        <v>4.0952468629734371</v>
      </c>
      <c r="AG130" s="15">
        <f>IF(H130="*","*",IF(_xlfn.XLOOKUP($H130,'TRA TECH'!$J:$J,'TRA TECH'!AI:AI)="","",_xlfn.XLOOKUP($H130,'TRA TECH'!$J:$J,'TRA TECH'!AI:AI)))</f>
        <v>4.0952468629734371</v>
      </c>
      <c r="AH130" s="15">
        <f>IF(H130="*","*",IF(_xlfn.XLOOKUP($H130,'TRA TECH'!$J:$J,'TRA TECH'!AJ:AJ)="","",_xlfn.XLOOKUP($H130,'TRA TECH'!$J:$J,'TRA TECH'!AJ:AJ)))</f>
        <v>4.0952468629734371</v>
      </c>
      <c r="AI130" s="15">
        <f>IF(H130="*","*",IF(_xlfn.XLOOKUP($H130,'TRA TECH'!$J:$J,'TRA TECH'!AK:AK)="","",_xlfn.XLOOKUP($H130,'TRA TECH'!$J:$J,'TRA TECH'!AK:AK)))</f>
        <v>4.0952468629734371</v>
      </c>
      <c r="AJ130" s="15">
        <f t="shared" si="9"/>
        <v>4.0952468629734371</v>
      </c>
      <c r="AK130" s="16">
        <f t="shared" si="10"/>
        <v>0.4</v>
      </c>
    </row>
    <row r="131" spans="2:37" x14ac:dyDescent="0.25">
      <c r="B131" t="str">
        <f>IF('TRA TECH'!M127=0,"*",IF('TRA TECH'!H127="","*",'TRA TECH'!J127))</f>
        <v>TRAFRERFTICEVDSL20</v>
      </c>
      <c r="C131" t="str">
        <f>IF('TRA TECH'!M127=0,"*",'TRA TECH'!H127)</f>
        <v>TRADSL</v>
      </c>
      <c r="D131" t="s">
        <v>424</v>
      </c>
      <c r="E131" s="9">
        <f>'TRA TECH'!P127</f>
        <v>1</v>
      </c>
      <c r="H131" t="str">
        <f>IF('TRA TECH'!M127=1,IF('TRA TECH'!L127=1,'TRA TECH'!J127,"*"),"*")</f>
        <v>TRAFRERFTICEVDSL20</v>
      </c>
      <c r="I131" t="str">
        <f>IF(H131="*","*",_xlfn.XLOOKUP(H131,'TRA TECH'!J:J,'TRA TECH'!I:I))</f>
        <v>TRAFRERFTDMD</v>
      </c>
      <c r="J131">
        <f>IF(H131="*","*",_xlfn.XLOOKUP(H131,'TRA TECH'!J:J,'TRA TECH'!N:N))</f>
        <v>2020</v>
      </c>
      <c r="K131" s="15">
        <f>IF(H131="*","*",IF(_xlfn.XLOOKUP(H131,'TRA TECH'!J:J,'TRA TECH'!O:O)="","",_xlfn.XLOOKUP(H131,'TRA TECH'!J:J,'TRA TECH'!O:O)))</f>
        <v>8</v>
      </c>
      <c r="L131">
        <f t="shared" si="6"/>
        <v>1</v>
      </c>
      <c r="M131">
        <f>IF(H131="*","*",IF(_xlfn.XLOOKUP($H131,'TRA TECH'!$J:$J,'TRA TECH'!Q:Q)="","",_xlfn.XLOOKUP($H131,'TRA TECH'!$J:$J,'TRA TECH'!Q:Q)))</f>
        <v>0.14459157270029679</v>
      </c>
      <c r="N131">
        <f>IF(H131="*","*",IF(_xlfn.XLOOKUP($H131,'TRA TECH'!$J:$J,'TRA TECH'!R:R)="","",_xlfn.XLOOKUP($H131,'TRA TECH'!$J:$J,'TRA TECH'!R:R)))</f>
        <v>0.14459157270029679</v>
      </c>
      <c r="O131">
        <f>IF(H131="*","*",IF(_xlfn.XLOOKUP($H131,'TRA TECH'!$J:$J,'TRA TECH'!S:S)="","",_xlfn.XLOOKUP($H131,'TRA TECH'!$J:$J,'TRA TECH'!S:S)))</f>
        <v>0.1578568545994066</v>
      </c>
      <c r="P131">
        <f>IF(H131="*","*",IF(_xlfn.XLOOKUP($H131,'TRA TECH'!$J:$J,'TRA TECH'!T:T)="","",_xlfn.XLOOKUP($H131,'TRA TECH'!$J:$J,'TRA TECH'!T:T)))</f>
        <v>0.1711221364985164</v>
      </c>
      <c r="Q131">
        <f>IF(H131="*","*",IF(_xlfn.XLOOKUP($H131,'TRA TECH'!$J:$J,'TRA TECH'!U:U)="","",_xlfn.XLOOKUP($H131,'TRA TECH'!$J:$J,'TRA TECH'!U:U)))</f>
        <v>0.1804078338278931</v>
      </c>
      <c r="R131">
        <f>IF(H131="*","*",IF(_xlfn.XLOOKUP($H131,'TRA TECH'!$J:$J,'TRA TECH'!V:V)="","",_xlfn.XLOOKUP($H131,'TRA TECH'!$J:$J,'TRA TECH'!V:V)))</f>
        <v>0.18836700296735909</v>
      </c>
      <c r="S131">
        <f>IF(H131="*","*",IF(_xlfn.XLOOKUP($H131,'TRA TECH'!$J:$J,'TRA TECH'!W:W)="","",_xlfn.XLOOKUP($H131,'TRA TECH'!$J:$J,'TRA TECH'!W:W)))</f>
        <v>0.1963261721068249</v>
      </c>
      <c r="T131">
        <f t="shared" si="7"/>
        <v>0.1963261721068249</v>
      </c>
      <c r="U131">
        <f>IF(H131="*","*",IF(_xlfn.XLOOKUP($H131,'TRA TECH'!$J:$J,'TRA TECH'!X:X)="","",_xlfn.XLOOKUP($H131,'TRA TECH'!$J:$J,'TRA TECH'!X:X)))</f>
        <v>421.08546435977678</v>
      </c>
      <c r="V131">
        <f>IF(H131="*","*",IF(_xlfn.XLOOKUP($H131,'TRA TECH'!$J:$J,'TRA TECH'!Y:Y)="","",_xlfn.XLOOKUP($H131,'TRA TECH'!$J:$J,'TRA TECH'!Y:Y)))</f>
        <v>421.08546435977678</v>
      </c>
      <c r="W131">
        <f>IF(H131="*","*",IF(_xlfn.XLOOKUP($H131,'TRA TECH'!$J:$J,'TRA TECH'!Z:Z)="","",_xlfn.XLOOKUP($H131,'TRA TECH'!$J:$J,'TRA TECH'!Z:Z)))</f>
        <v>423.93063641626179</v>
      </c>
      <c r="X131">
        <f>IF(H131="*","*",IF(_xlfn.XLOOKUP($H131,'TRA TECH'!$J:$J,'TRA TECH'!AA:AA)="","",_xlfn.XLOOKUP($H131,'TRA TECH'!$J:$J,'TRA TECH'!AA:AA)))</f>
        <v>423.21934340214051</v>
      </c>
      <c r="Y131">
        <f>IF(H131="*","*",IF(_xlfn.XLOOKUP($H131,'TRA TECH'!$J:$J,'TRA TECH'!AB:AB)="","",_xlfn.XLOOKUP($H131,'TRA TECH'!$J:$J,'TRA TECH'!AB:AB)))</f>
        <v>423.93063641626179</v>
      </c>
      <c r="Z131">
        <f>IF(H131="*","*",IF(_xlfn.XLOOKUP($H131,'TRA TECH'!$J:$J,'TRA TECH'!AC:AC)="","",_xlfn.XLOOKUP($H131,'TRA TECH'!$J:$J,'TRA TECH'!AC:AC)))</f>
        <v>424.64192943038302</v>
      </c>
      <c r="AA131">
        <f>IF(H131="*","*",IF(_xlfn.XLOOKUP($H131,'TRA TECH'!$J:$J,'TRA TECH'!AD:AD)="","",_xlfn.XLOOKUP($H131,'TRA TECH'!$J:$J,'TRA TECH'!AD:AD)))</f>
        <v>426.06451545862558</v>
      </c>
      <c r="AB131">
        <f t="shared" si="8"/>
        <v>426.06451545862558</v>
      </c>
      <c r="AC131" s="15">
        <f>IF(H131="*","*",IF(_xlfn.XLOOKUP($H131,'TRA TECH'!$J:$J,'TRA TECH'!AE:AE)="","",_xlfn.XLOOKUP($H131,'TRA TECH'!$J:$J,'TRA TECH'!AE:AE)))</f>
        <v>10.491571958288359</v>
      </c>
      <c r="AD131" s="15">
        <f>IF(H131="*","*",IF(_xlfn.XLOOKUP($H131,'TRA TECH'!$J:$J,'TRA TECH'!AF:AF)="","",_xlfn.XLOOKUP($H131,'TRA TECH'!$J:$J,'TRA TECH'!AF:AF)))</f>
        <v>10.491571958288359</v>
      </c>
      <c r="AE131" s="15">
        <f>IF(H131="*","*",IF(_xlfn.XLOOKUP($H131,'TRA TECH'!$J:$J,'TRA TECH'!AG:AG)="","",_xlfn.XLOOKUP($H131,'TRA TECH'!$J:$J,'TRA TECH'!AG:AG)))</f>
        <v>10.491571958288359</v>
      </c>
      <c r="AF131" s="15">
        <f>IF(H131="*","*",IF(_xlfn.XLOOKUP($H131,'TRA TECH'!$J:$J,'TRA TECH'!AH:AH)="","",_xlfn.XLOOKUP($H131,'TRA TECH'!$J:$J,'TRA TECH'!AH:AH)))</f>
        <v>10.491571958288359</v>
      </c>
      <c r="AG131" s="15">
        <f>IF(H131="*","*",IF(_xlfn.XLOOKUP($H131,'TRA TECH'!$J:$J,'TRA TECH'!AI:AI)="","",_xlfn.XLOOKUP($H131,'TRA TECH'!$J:$J,'TRA TECH'!AI:AI)))</f>
        <v>10.491571958288359</v>
      </c>
      <c r="AH131" s="15">
        <f>IF(H131="*","*",IF(_xlfn.XLOOKUP($H131,'TRA TECH'!$J:$J,'TRA TECH'!AJ:AJ)="","",_xlfn.XLOOKUP($H131,'TRA TECH'!$J:$J,'TRA TECH'!AJ:AJ)))</f>
        <v>10.491571958288359</v>
      </c>
      <c r="AI131" s="15">
        <f>IF(H131="*","*",IF(_xlfn.XLOOKUP($H131,'TRA TECH'!$J:$J,'TRA TECH'!AK:AK)="","",_xlfn.XLOOKUP($H131,'TRA TECH'!$J:$J,'TRA TECH'!AK:AK)))</f>
        <v>10.491571958288359</v>
      </c>
      <c r="AJ131" s="15">
        <f t="shared" si="9"/>
        <v>10.491571958288359</v>
      </c>
      <c r="AK131" s="16">
        <f t="shared" si="10"/>
        <v>0.1</v>
      </c>
    </row>
    <row r="132" spans="2:37" x14ac:dyDescent="0.25">
      <c r="B132" t="str">
        <f>IF('TRA TECH'!M128=0,"*",IF('TRA TECH'!H128="","*",'TRA TECH'!J128))</f>
        <v>TRAFRERFTICEVDSL20</v>
      </c>
      <c r="C132" t="str">
        <f>IF('TRA TECH'!M128=0,"*",'TRA TECH'!H128)</f>
        <v>TRARDS</v>
      </c>
      <c r="D132" t="s">
        <v>424</v>
      </c>
      <c r="E132" s="9">
        <f>'TRA TECH'!P128</f>
        <v>1</v>
      </c>
      <c r="H132" t="str">
        <f>IF('TRA TECH'!M128=1,IF('TRA TECH'!L128=1,'TRA TECH'!J128,"*"),"*")</f>
        <v>*</v>
      </c>
      <c r="I132" t="str">
        <f>IF(H132="*","*",_xlfn.XLOOKUP(H132,'TRA TECH'!J:J,'TRA TECH'!I:I))</f>
        <v>*</v>
      </c>
      <c r="J132" t="str">
        <f>IF(H132="*","*",_xlfn.XLOOKUP(H132,'TRA TECH'!J:J,'TRA TECH'!N:N))</f>
        <v>*</v>
      </c>
      <c r="K132" s="15" t="str">
        <f>IF(H132="*","*",IF(_xlfn.XLOOKUP(H132,'TRA TECH'!J:J,'TRA TECH'!O:O)="","",_xlfn.XLOOKUP(H132,'TRA TECH'!J:J,'TRA TECH'!O:O)))</f>
        <v>*</v>
      </c>
      <c r="L132" t="str">
        <f t="shared" si="6"/>
        <v>*</v>
      </c>
      <c r="M132" t="str">
        <f>IF(H132="*","*",IF(_xlfn.XLOOKUP($H132,'TRA TECH'!$J:$J,'TRA TECH'!Q:Q)="","",_xlfn.XLOOKUP($H132,'TRA TECH'!$J:$J,'TRA TECH'!Q:Q)))</f>
        <v>*</v>
      </c>
      <c r="N132" t="str">
        <f>IF(H132="*","*",IF(_xlfn.XLOOKUP($H132,'TRA TECH'!$J:$J,'TRA TECH'!R:R)="","",_xlfn.XLOOKUP($H132,'TRA TECH'!$J:$J,'TRA TECH'!R:R)))</f>
        <v>*</v>
      </c>
      <c r="O132" t="str">
        <f>IF(H132="*","*",IF(_xlfn.XLOOKUP($H132,'TRA TECH'!$J:$J,'TRA TECH'!S:S)="","",_xlfn.XLOOKUP($H132,'TRA TECH'!$J:$J,'TRA TECH'!S:S)))</f>
        <v>*</v>
      </c>
      <c r="P132" t="str">
        <f>IF(H132="*","*",IF(_xlfn.XLOOKUP($H132,'TRA TECH'!$J:$J,'TRA TECH'!T:T)="","",_xlfn.XLOOKUP($H132,'TRA TECH'!$J:$J,'TRA TECH'!T:T)))</f>
        <v>*</v>
      </c>
      <c r="Q132" t="str">
        <f>IF(H132="*","*",IF(_xlfn.XLOOKUP($H132,'TRA TECH'!$J:$J,'TRA TECH'!U:U)="","",_xlfn.XLOOKUP($H132,'TRA TECH'!$J:$J,'TRA TECH'!U:U)))</f>
        <v>*</v>
      </c>
      <c r="R132" t="str">
        <f>IF(H132="*","*",IF(_xlfn.XLOOKUP($H132,'TRA TECH'!$J:$J,'TRA TECH'!V:V)="","",_xlfn.XLOOKUP($H132,'TRA TECH'!$J:$J,'TRA TECH'!V:V)))</f>
        <v>*</v>
      </c>
      <c r="S132" t="str">
        <f>IF(H132="*","*",IF(_xlfn.XLOOKUP($H132,'TRA TECH'!$J:$J,'TRA TECH'!W:W)="","",_xlfn.XLOOKUP($H132,'TRA TECH'!$J:$J,'TRA TECH'!W:W)))</f>
        <v>*</v>
      </c>
      <c r="T132" t="str">
        <f t="shared" si="7"/>
        <v>*</v>
      </c>
      <c r="U132" t="str">
        <f>IF(H132="*","*",IF(_xlfn.XLOOKUP($H132,'TRA TECH'!$J:$J,'TRA TECH'!X:X)="","",_xlfn.XLOOKUP($H132,'TRA TECH'!$J:$J,'TRA TECH'!X:X)))</f>
        <v>*</v>
      </c>
      <c r="V132" t="str">
        <f>IF(H132="*","*",IF(_xlfn.XLOOKUP($H132,'TRA TECH'!$J:$J,'TRA TECH'!Y:Y)="","",_xlfn.XLOOKUP($H132,'TRA TECH'!$J:$J,'TRA TECH'!Y:Y)))</f>
        <v>*</v>
      </c>
      <c r="W132" t="str">
        <f>IF(H132="*","*",IF(_xlfn.XLOOKUP($H132,'TRA TECH'!$J:$J,'TRA TECH'!Z:Z)="","",_xlfn.XLOOKUP($H132,'TRA TECH'!$J:$J,'TRA TECH'!Z:Z)))</f>
        <v>*</v>
      </c>
      <c r="X132" t="str">
        <f>IF(H132="*","*",IF(_xlfn.XLOOKUP($H132,'TRA TECH'!$J:$J,'TRA TECH'!AA:AA)="","",_xlfn.XLOOKUP($H132,'TRA TECH'!$J:$J,'TRA TECH'!AA:AA)))</f>
        <v>*</v>
      </c>
      <c r="Y132" t="str">
        <f>IF(H132="*","*",IF(_xlfn.XLOOKUP($H132,'TRA TECH'!$J:$J,'TRA TECH'!AB:AB)="","",_xlfn.XLOOKUP($H132,'TRA TECH'!$J:$J,'TRA TECH'!AB:AB)))</f>
        <v>*</v>
      </c>
      <c r="Z132" t="str">
        <f>IF(H132="*","*",IF(_xlfn.XLOOKUP($H132,'TRA TECH'!$J:$J,'TRA TECH'!AC:AC)="","",_xlfn.XLOOKUP($H132,'TRA TECH'!$J:$J,'TRA TECH'!AC:AC)))</f>
        <v>*</v>
      </c>
      <c r="AA132" t="str">
        <f>IF(H132="*","*",IF(_xlfn.XLOOKUP($H132,'TRA TECH'!$J:$J,'TRA TECH'!AD:AD)="","",_xlfn.XLOOKUP($H132,'TRA TECH'!$J:$J,'TRA TECH'!AD:AD)))</f>
        <v>*</v>
      </c>
      <c r="AB132" t="str">
        <f t="shared" si="8"/>
        <v>*</v>
      </c>
      <c r="AC132" s="15" t="str">
        <f>IF(H132="*","*",IF(_xlfn.XLOOKUP($H132,'TRA TECH'!$J:$J,'TRA TECH'!AE:AE)="","",_xlfn.XLOOKUP($H132,'TRA TECH'!$J:$J,'TRA TECH'!AE:AE)))</f>
        <v>*</v>
      </c>
      <c r="AD132" s="15" t="str">
        <f>IF(H132="*","*",IF(_xlfn.XLOOKUP($H132,'TRA TECH'!$J:$J,'TRA TECH'!AF:AF)="","",_xlfn.XLOOKUP($H132,'TRA TECH'!$J:$J,'TRA TECH'!AF:AF)))</f>
        <v>*</v>
      </c>
      <c r="AE132" s="15" t="str">
        <f>IF(H132="*","*",IF(_xlfn.XLOOKUP($H132,'TRA TECH'!$J:$J,'TRA TECH'!AG:AG)="","",_xlfn.XLOOKUP($H132,'TRA TECH'!$J:$J,'TRA TECH'!AG:AG)))</f>
        <v>*</v>
      </c>
      <c r="AF132" s="15" t="str">
        <f>IF(H132="*","*",IF(_xlfn.XLOOKUP($H132,'TRA TECH'!$J:$J,'TRA TECH'!AH:AH)="","",_xlfn.XLOOKUP($H132,'TRA TECH'!$J:$J,'TRA TECH'!AH:AH)))</f>
        <v>*</v>
      </c>
      <c r="AG132" s="15" t="str">
        <f>IF(H132="*","*",IF(_xlfn.XLOOKUP($H132,'TRA TECH'!$J:$J,'TRA TECH'!AI:AI)="","",_xlfn.XLOOKUP($H132,'TRA TECH'!$J:$J,'TRA TECH'!AI:AI)))</f>
        <v>*</v>
      </c>
      <c r="AH132" s="15" t="str">
        <f>IF(H132="*","*",IF(_xlfn.XLOOKUP($H132,'TRA TECH'!$J:$J,'TRA TECH'!AJ:AJ)="","",_xlfn.XLOOKUP($H132,'TRA TECH'!$J:$J,'TRA TECH'!AJ:AJ)))</f>
        <v>*</v>
      </c>
      <c r="AI132" s="15" t="str">
        <f>IF(H132="*","*",IF(_xlfn.XLOOKUP($H132,'TRA TECH'!$J:$J,'TRA TECH'!AK:AK)="","",_xlfn.XLOOKUP($H132,'TRA TECH'!$J:$J,'TRA TECH'!AK:AK)))</f>
        <v>*</v>
      </c>
      <c r="AJ132" s="15" t="str">
        <f t="shared" si="9"/>
        <v>*</v>
      </c>
      <c r="AK132" s="16" t="str">
        <f t="shared" si="10"/>
        <v>*</v>
      </c>
    </row>
    <row r="133" spans="2:37" x14ac:dyDescent="0.25">
      <c r="B133" t="str">
        <f>IF('TRA TECH'!M129=0,"*",IF('TRA TECH'!H129="","*",'TRA TECH'!J129))</f>
        <v>TRAFRERFTICEVDSL20</v>
      </c>
      <c r="C133" t="str">
        <f>IF('TRA TECH'!M129=0,"*",'TRA TECH'!H129)</f>
        <v>TRABDS</v>
      </c>
      <c r="D133" t="s">
        <v>424</v>
      </c>
      <c r="E133" s="9">
        <f>'TRA TECH'!P129</f>
        <v>0.1</v>
      </c>
      <c r="H133" t="str">
        <f>IF('TRA TECH'!M129=1,IF('TRA TECH'!L129=1,'TRA TECH'!J129,"*"),"*")</f>
        <v>*</v>
      </c>
      <c r="I133" t="str">
        <f>IF(H133="*","*",_xlfn.XLOOKUP(H133,'TRA TECH'!J:J,'TRA TECH'!I:I))</f>
        <v>*</v>
      </c>
      <c r="J133" t="str">
        <f>IF(H133="*","*",_xlfn.XLOOKUP(H133,'TRA TECH'!J:J,'TRA TECH'!N:N))</f>
        <v>*</v>
      </c>
      <c r="K133" s="15" t="str">
        <f>IF(H133="*","*",IF(_xlfn.XLOOKUP(H133,'TRA TECH'!J:J,'TRA TECH'!O:O)="","",_xlfn.XLOOKUP(H133,'TRA TECH'!J:J,'TRA TECH'!O:O)))</f>
        <v>*</v>
      </c>
      <c r="L133" t="str">
        <f t="shared" si="6"/>
        <v>*</v>
      </c>
      <c r="M133" t="str">
        <f>IF(H133="*","*",IF(_xlfn.XLOOKUP($H133,'TRA TECH'!$J:$J,'TRA TECH'!Q:Q)="","",_xlfn.XLOOKUP($H133,'TRA TECH'!$J:$J,'TRA TECH'!Q:Q)))</f>
        <v>*</v>
      </c>
      <c r="N133" t="str">
        <f>IF(H133="*","*",IF(_xlfn.XLOOKUP($H133,'TRA TECH'!$J:$J,'TRA TECH'!R:R)="","",_xlfn.XLOOKUP($H133,'TRA TECH'!$J:$J,'TRA TECH'!R:R)))</f>
        <v>*</v>
      </c>
      <c r="O133" t="str">
        <f>IF(H133="*","*",IF(_xlfn.XLOOKUP($H133,'TRA TECH'!$J:$J,'TRA TECH'!S:S)="","",_xlfn.XLOOKUP($H133,'TRA TECH'!$J:$J,'TRA TECH'!S:S)))</f>
        <v>*</v>
      </c>
      <c r="P133" t="str">
        <f>IF(H133="*","*",IF(_xlfn.XLOOKUP($H133,'TRA TECH'!$J:$J,'TRA TECH'!T:T)="","",_xlfn.XLOOKUP($H133,'TRA TECH'!$J:$J,'TRA TECH'!T:T)))</f>
        <v>*</v>
      </c>
      <c r="Q133" t="str">
        <f>IF(H133="*","*",IF(_xlfn.XLOOKUP($H133,'TRA TECH'!$J:$J,'TRA TECH'!U:U)="","",_xlfn.XLOOKUP($H133,'TRA TECH'!$J:$J,'TRA TECH'!U:U)))</f>
        <v>*</v>
      </c>
      <c r="R133" t="str">
        <f>IF(H133="*","*",IF(_xlfn.XLOOKUP($H133,'TRA TECH'!$J:$J,'TRA TECH'!V:V)="","",_xlfn.XLOOKUP($H133,'TRA TECH'!$J:$J,'TRA TECH'!V:V)))</f>
        <v>*</v>
      </c>
      <c r="S133" t="str">
        <f>IF(H133="*","*",IF(_xlfn.XLOOKUP($H133,'TRA TECH'!$J:$J,'TRA TECH'!W:W)="","",_xlfn.XLOOKUP($H133,'TRA TECH'!$J:$J,'TRA TECH'!W:W)))</f>
        <v>*</v>
      </c>
      <c r="T133" t="str">
        <f t="shared" si="7"/>
        <v>*</v>
      </c>
      <c r="U133" t="str">
        <f>IF(H133="*","*",IF(_xlfn.XLOOKUP($H133,'TRA TECH'!$J:$J,'TRA TECH'!X:X)="","",_xlfn.XLOOKUP($H133,'TRA TECH'!$J:$J,'TRA TECH'!X:X)))</f>
        <v>*</v>
      </c>
      <c r="V133" t="str">
        <f>IF(H133="*","*",IF(_xlfn.XLOOKUP($H133,'TRA TECH'!$J:$J,'TRA TECH'!Y:Y)="","",_xlfn.XLOOKUP($H133,'TRA TECH'!$J:$J,'TRA TECH'!Y:Y)))</f>
        <v>*</v>
      </c>
      <c r="W133" t="str">
        <f>IF(H133="*","*",IF(_xlfn.XLOOKUP($H133,'TRA TECH'!$J:$J,'TRA TECH'!Z:Z)="","",_xlfn.XLOOKUP($H133,'TRA TECH'!$J:$J,'TRA TECH'!Z:Z)))</f>
        <v>*</v>
      </c>
      <c r="X133" t="str">
        <f>IF(H133="*","*",IF(_xlfn.XLOOKUP($H133,'TRA TECH'!$J:$J,'TRA TECH'!AA:AA)="","",_xlfn.XLOOKUP($H133,'TRA TECH'!$J:$J,'TRA TECH'!AA:AA)))</f>
        <v>*</v>
      </c>
      <c r="Y133" t="str">
        <f>IF(H133="*","*",IF(_xlfn.XLOOKUP($H133,'TRA TECH'!$J:$J,'TRA TECH'!AB:AB)="","",_xlfn.XLOOKUP($H133,'TRA TECH'!$J:$J,'TRA TECH'!AB:AB)))</f>
        <v>*</v>
      </c>
      <c r="Z133" t="str">
        <f>IF(H133="*","*",IF(_xlfn.XLOOKUP($H133,'TRA TECH'!$J:$J,'TRA TECH'!AC:AC)="","",_xlfn.XLOOKUP($H133,'TRA TECH'!$J:$J,'TRA TECH'!AC:AC)))</f>
        <v>*</v>
      </c>
      <c r="AA133" t="str">
        <f>IF(H133="*","*",IF(_xlfn.XLOOKUP($H133,'TRA TECH'!$J:$J,'TRA TECH'!AD:AD)="","",_xlfn.XLOOKUP($H133,'TRA TECH'!$J:$J,'TRA TECH'!AD:AD)))</f>
        <v>*</v>
      </c>
      <c r="AB133" t="str">
        <f t="shared" si="8"/>
        <v>*</v>
      </c>
      <c r="AC133" s="15" t="str">
        <f>IF(H133="*","*",IF(_xlfn.XLOOKUP($H133,'TRA TECH'!$J:$J,'TRA TECH'!AE:AE)="","",_xlfn.XLOOKUP($H133,'TRA TECH'!$J:$J,'TRA TECH'!AE:AE)))</f>
        <v>*</v>
      </c>
      <c r="AD133" s="15" t="str">
        <f>IF(H133="*","*",IF(_xlfn.XLOOKUP($H133,'TRA TECH'!$J:$J,'TRA TECH'!AF:AF)="","",_xlfn.XLOOKUP($H133,'TRA TECH'!$J:$J,'TRA TECH'!AF:AF)))</f>
        <v>*</v>
      </c>
      <c r="AE133" s="15" t="str">
        <f>IF(H133="*","*",IF(_xlfn.XLOOKUP($H133,'TRA TECH'!$J:$J,'TRA TECH'!AG:AG)="","",_xlfn.XLOOKUP($H133,'TRA TECH'!$J:$J,'TRA TECH'!AG:AG)))</f>
        <v>*</v>
      </c>
      <c r="AF133" s="15" t="str">
        <f>IF(H133="*","*",IF(_xlfn.XLOOKUP($H133,'TRA TECH'!$J:$J,'TRA TECH'!AH:AH)="","",_xlfn.XLOOKUP($H133,'TRA TECH'!$J:$J,'TRA TECH'!AH:AH)))</f>
        <v>*</v>
      </c>
      <c r="AG133" s="15" t="str">
        <f>IF(H133="*","*",IF(_xlfn.XLOOKUP($H133,'TRA TECH'!$J:$J,'TRA TECH'!AI:AI)="","",_xlfn.XLOOKUP($H133,'TRA TECH'!$J:$J,'TRA TECH'!AI:AI)))</f>
        <v>*</v>
      </c>
      <c r="AH133" s="15" t="str">
        <f>IF(H133="*","*",IF(_xlfn.XLOOKUP($H133,'TRA TECH'!$J:$J,'TRA TECH'!AJ:AJ)="","",_xlfn.XLOOKUP($H133,'TRA TECH'!$J:$J,'TRA TECH'!AJ:AJ)))</f>
        <v>*</v>
      </c>
      <c r="AI133" s="15" t="str">
        <f>IF(H133="*","*",IF(_xlfn.XLOOKUP($H133,'TRA TECH'!$J:$J,'TRA TECH'!AK:AK)="","",_xlfn.XLOOKUP($H133,'TRA TECH'!$J:$J,'TRA TECH'!AK:AK)))</f>
        <v>*</v>
      </c>
      <c r="AJ133" s="15" t="str">
        <f t="shared" si="9"/>
        <v>*</v>
      </c>
      <c r="AK133" s="16" t="str">
        <f t="shared" si="10"/>
        <v>*</v>
      </c>
    </row>
    <row r="134" spans="2:37" x14ac:dyDescent="0.25">
      <c r="B134" t="str">
        <f>IF('TRA TECH'!M130=0,"*",IF('TRA TECH'!H130="","*",'TRA TECH'!J130))</f>
        <v>TRAFRERFTICEIDSL20</v>
      </c>
      <c r="C134" t="str">
        <f>IF('TRA TECH'!M130=0,"*",'TRA TECH'!H130)</f>
        <v>TRADSL</v>
      </c>
      <c r="D134" t="s">
        <v>424</v>
      </c>
      <c r="E134" s="9">
        <f>'TRA TECH'!P130</f>
        <v>1</v>
      </c>
      <c r="H134" t="str">
        <f>IF('TRA TECH'!M130=1,IF('TRA TECH'!L130=1,'TRA TECH'!J130,"*"),"*")</f>
        <v>TRAFRERFTICEIDSL20</v>
      </c>
      <c r="I134" t="str">
        <f>IF(H134="*","*",_xlfn.XLOOKUP(H134,'TRA TECH'!J:J,'TRA TECH'!I:I))</f>
        <v>TRAFRERFTDMD</v>
      </c>
      <c r="J134">
        <f>IF(H134="*","*",_xlfn.XLOOKUP(H134,'TRA TECH'!J:J,'TRA TECH'!N:N))</f>
        <v>2020</v>
      </c>
      <c r="K134" s="15">
        <f>IF(H134="*","*",IF(_xlfn.XLOOKUP(H134,'TRA TECH'!J:J,'TRA TECH'!O:O)="","",_xlfn.XLOOKUP(H134,'TRA TECH'!J:J,'TRA TECH'!O:O)))</f>
        <v>8</v>
      </c>
      <c r="L134">
        <f t="shared" si="6"/>
        <v>1</v>
      </c>
      <c r="M134">
        <f>IF(H134="*","*",IF(_xlfn.XLOOKUP($H134,'TRA TECH'!$J:$J,'TRA TECH'!Q:Q)="","",_xlfn.XLOOKUP($H134,'TRA TECH'!$J:$J,'TRA TECH'!Q:Q)))</f>
        <v>0.14459157270029679</v>
      </c>
      <c r="N134">
        <f>IF(H134="*","*",IF(_xlfn.XLOOKUP($H134,'TRA TECH'!$J:$J,'TRA TECH'!R:R)="","",_xlfn.XLOOKUP($H134,'TRA TECH'!$J:$J,'TRA TECH'!R:R)))</f>
        <v>0.14459157270029679</v>
      </c>
      <c r="O134">
        <f>IF(H134="*","*",IF(_xlfn.XLOOKUP($H134,'TRA TECH'!$J:$J,'TRA TECH'!S:S)="","",_xlfn.XLOOKUP($H134,'TRA TECH'!$J:$J,'TRA TECH'!S:S)))</f>
        <v>0.1578568545994066</v>
      </c>
      <c r="P134">
        <f>IF(H134="*","*",IF(_xlfn.XLOOKUP($H134,'TRA TECH'!$J:$J,'TRA TECH'!T:T)="","",_xlfn.XLOOKUP($H134,'TRA TECH'!$J:$J,'TRA TECH'!T:T)))</f>
        <v>0.17244866468842729</v>
      </c>
      <c r="Q134">
        <f>IF(H134="*","*",IF(_xlfn.XLOOKUP($H134,'TRA TECH'!$J:$J,'TRA TECH'!U:U)="","",_xlfn.XLOOKUP($H134,'TRA TECH'!$J:$J,'TRA TECH'!U:U)))</f>
        <v>0.1804078338278931</v>
      </c>
      <c r="R134">
        <f>IF(H134="*","*",IF(_xlfn.XLOOKUP($H134,'TRA TECH'!$J:$J,'TRA TECH'!V:V)="","",_xlfn.XLOOKUP($H134,'TRA TECH'!$J:$J,'TRA TECH'!V:V)))</f>
        <v>0.18836700296735909</v>
      </c>
      <c r="S134">
        <f>IF(H134="*","*",IF(_xlfn.XLOOKUP($H134,'TRA TECH'!$J:$J,'TRA TECH'!W:W)="","",_xlfn.XLOOKUP($H134,'TRA TECH'!$J:$J,'TRA TECH'!W:W)))</f>
        <v>0.19765270029673601</v>
      </c>
      <c r="T134">
        <f t="shared" si="7"/>
        <v>0.19765270029673601</v>
      </c>
      <c r="U134">
        <f>IF(H134="*","*",IF(_xlfn.XLOOKUP($H134,'TRA TECH'!$J:$J,'TRA TECH'!X:X)="","",_xlfn.XLOOKUP($H134,'TRA TECH'!$J:$J,'TRA TECH'!X:X)))</f>
        <v>461.62916616468777</v>
      </c>
      <c r="V134">
        <f>IF(H134="*","*",IF(_xlfn.XLOOKUP($H134,'TRA TECH'!$J:$J,'TRA TECH'!Y:Y)="","",_xlfn.XLOOKUP($H134,'TRA TECH'!$J:$J,'TRA TECH'!Y:Y)))</f>
        <v>461.62916616468777</v>
      </c>
      <c r="W134">
        <f>IF(H134="*","*",IF(_xlfn.XLOOKUP($H134,'TRA TECH'!$J:$J,'TRA TECH'!Z:Z)="","",_xlfn.XLOOKUP($H134,'TRA TECH'!$J:$J,'TRA TECH'!Z:Z)))</f>
        <v>465.18563123529401</v>
      </c>
      <c r="X134">
        <f>IF(H134="*","*",IF(_xlfn.XLOOKUP($H134,'TRA TECH'!$J:$J,'TRA TECH'!AA:AA)="","",_xlfn.XLOOKUP($H134,'TRA TECH'!$J:$J,'TRA TECH'!AA:AA)))</f>
        <v>463.7630452070515</v>
      </c>
      <c r="Y134">
        <f>IF(H134="*","*",IF(_xlfn.XLOOKUP($H134,'TRA TECH'!$J:$J,'TRA TECH'!AB:AB)="","",_xlfn.XLOOKUP($H134,'TRA TECH'!$J:$J,'TRA TECH'!AB:AB)))</f>
        <v>463.7630452070515</v>
      </c>
      <c r="Z134">
        <f>IF(H134="*","*",IF(_xlfn.XLOOKUP($H134,'TRA TECH'!$J:$J,'TRA TECH'!AC:AC)="","",_xlfn.XLOOKUP($H134,'TRA TECH'!$J:$J,'TRA TECH'!AC:AC)))</f>
        <v>464.47433822117279</v>
      </c>
      <c r="AA134">
        <f>IF(H134="*","*",IF(_xlfn.XLOOKUP($H134,'TRA TECH'!$J:$J,'TRA TECH'!AD:AD)="","",_xlfn.XLOOKUP($H134,'TRA TECH'!$J:$J,'TRA TECH'!AD:AD)))</f>
        <v>465.18563123529401</v>
      </c>
      <c r="AB134">
        <f t="shared" si="8"/>
        <v>465.18563123529401</v>
      </c>
      <c r="AC134" s="15">
        <f>IF(H134="*","*",IF(_xlfn.XLOOKUP($H134,'TRA TECH'!$J:$J,'TRA TECH'!AE:AE)="","",_xlfn.XLOOKUP($H134,'TRA TECH'!$J:$J,'TRA TECH'!AE:AE)))</f>
        <v>10.491571958288359</v>
      </c>
      <c r="AD134" s="15">
        <f>IF(H134="*","*",IF(_xlfn.XLOOKUP($H134,'TRA TECH'!$J:$J,'TRA TECH'!AF:AF)="","",_xlfn.XLOOKUP($H134,'TRA TECH'!$J:$J,'TRA TECH'!AF:AF)))</f>
        <v>10.491571958288359</v>
      </c>
      <c r="AE134" s="15">
        <f>IF(H134="*","*",IF(_xlfn.XLOOKUP($H134,'TRA TECH'!$J:$J,'TRA TECH'!AG:AG)="","",_xlfn.XLOOKUP($H134,'TRA TECH'!$J:$J,'TRA TECH'!AG:AG)))</f>
        <v>10.491571958288359</v>
      </c>
      <c r="AF134" s="15">
        <f>IF(H134="*","*",IF(_xlfn.XLOOKUP($H134,'TRA TECH'!$J:$J,'TRA TECH'!AH:AH)="","",_xlfn.XLOOKUP($H134,'TRA TECH'!$J:$J,'TRA TECH'!AH:AH)))</f>
        <v>10.491571958288359</v>
      </c>
      <c r="AG134" s="15">
        <f>IF(H134="*","*",IF(_xlfn.XLOOKUP($H134,'TRA TECH'!$J:$J,'TRA TECH'!AI:AI)="","",_xlfn.XLOOKUP($H134,'TRA TECH'!$J:$J,'TRA TECH'!AI:AI)))</f>
        <v>10.491571958288359</v>
      </c>
      <c r="AH134" s="15">
        <f>IF(H134="*","*",IF(_xlfn.XLOOKUP($H134,'TRA TECH'!$J:$J,'TRA TECH'!AJ:AJ)="","",_xlfn.XLOOKUP($H134,'TRA TECH'!$J:$J,'TRA TECH'!AJ:AJ)))</f>
        <v>10.491571958288359</v>
      </c>
      <c r="AI134" s="15">
        <f>IF(H134="*","*",IF(_xlfn.XLOOKUP($H134,'TRA TECH'!$J:$J,'TRA TECH'!AK:AK)="","",_xlfn.XLOOKUP($H134,'TRA TECH'!$J:$J,'TRA TECH'!AK:AK)))</f>
        <v>10.491571958288359</v>
      </c>
      <c r="AJ134" s="15">
        <f t="shared" si="9"/>
        <v>10.491571958288359</v>
      </c>
      <c r="AK134" s="16">
        <f t="shared" si="10"/>
        <v>0.1</v>
      </c>
    </row>
    <row r="135" spans="2:37" x14ac:dyDescent="0.25">
      <c r="B135" t="str">
        <f>IF('TRA TECH'!M131=0,"*",IF('TRA TECH'!H131="","*",'TRA TECH'!J131))</f>
        <v>TRAFRERFTICEIDSL20</v>
      </c>
      <c r="C135" t="str">
        <f>IF('TRA TECH'!M131=0,"*",'TRA TECH'!H131)</f>
        <v>TRARDS</v>
      </c>
      <c r="D135" t="s">
        <v>424</v>
      </c>
      <c r="E135" s="9">
        <f>'TRA TECH'!P131</f>
        <v>1</v>
      </c>
      <c r="H135" t="str">
        <f>IF('TRA TECH'!M131=1,IF('TRA TECH'!L131=1,'TRA TECH'!J131,"*"),"*")</f>
        <v>*</v>
      </c>
      <c r="I135" t="str">
        <f>IF(H135="*","*",_xlfn.XLOOKUP(H135,'TRA TECH'!J:J,'TRA TECH'!I:I))</f>
        <v>*</v>
      </c>
      <c r="J135" t="str">
        <f>IF(H135="*","*",_xlfn.XLOOKUP(H135,'TRA TECH'!J:J,'TRA TECH'!N:N))</f>
        <v>*</v>
      </c>
      <c r="K135" s="15" t="str">
        <f>IF(H135="*","*",IF(_xlfn.XLOOKUP(H135,'TRA TECH'!J:J,'TRA TECH'!O:O)="","",_xlfn.XLOOKUP(H135,'TRA TECH'!J:J,'TRA TECH'!O:O)))</f>
        <v>*</v>
      </c>
      <c r="L135" t="str">
        <f t="shared" ref="L135:L198" si="11">IF(H135="*","*",1)</f>
        <v>*</v>
      </c>
      <c r="M135" t="str">
        <f>IF(H135="*","*",IF(_xlfn.XLOOKUP($H135,'TRA TECH'!$J:$J,'TRA TECH'!Q:Q)="","",_xlfn.XLOOKUP($H135,'TRA TECH'!$J:$J,'TRA TECH'!Q:Q)))</f>
        <v>*</v>
      </c>
      <c r="N135" t="str">
        <f>IF(H135="*","*",IF(_xlfn.XLOOKUP($H135,'TRA TECH'!$J:$J,'TRA TECH'!R:R)="","",_xlfn.XLOOKUP($H135,'TRA TECH'!$J:$J,'TRA TECH'!R:R)))</f>
        <v>*</v>
      </c>
      <c r="O135" t="str">
        <f>IF(H135="*","*",IF(_xlfn.XLOOKUP($H135,'TRA TECH'!$J:$J,'TRA TECH'!S:S)="","",_xlfn.XLOOKUP($H135,'TRA TECH'!$J:$J,'TRA TECH'!S:S)))</f>
        <v>*</v>
      </c>
      <c r="P135" t="str">
        <f>IF(H135="*","*",IF(_xlfn.XLOOKUP($H135,'TRA TECH'!$J:$J,'TRA TECH'!T:T)="","",_xlfn.XLOOKUP($H135,'TRA TECH'!$J:$J,'TRA TECH'!T:T)))</f>
        <v>*</v>
      </c>
      <c r="Q135" t="str">
        <f>IF(H135="*","*",IF(_xlfn.XLOOKUP($H135,'TRA TECH'!$J:$J,'TRA TECH'!U:U)="","",_xlfn.XLOOKUP($H135,'TRA TECH'!$J:$J,'TRA TECH'!U:U)))</f>
        <v>*</v>
      </c>
      <c r="R135" t="str">
        <f>IF(H135="*","*",IF(_xlfn.XLOOKUP($H135,'TRA TECH'!$J:$J,'TRA TECH'!V:V)="","",_xlfn.XLOOKUP($H135,'TRA TECH'!$J:$J,'TRA TECH'!V:V)))</f>
        <v>*</v>
      </c>
      <c r="S135" t="str">
        <f>IF(H135="*","*",IF(_xlfn.XLOOKUP($H135,'TRA TECH'!$J:$J,'TRA TECH'!W:W)="","",_xlfn.XLOOKUP($H135,'TRA TECH'!$J:$J,'TRA TECH'!W:W)))</f>
        <v>*</v>
      </c>
      <c r="T135" t="str">
        <f t="shared" ref="T135:T198" si="12">IF(H135="*","*",S135)</f>
        <v>*</v>
      </c>
      <c r="U135" t="str">
        <f>IF(H135="*","*",IF(_xlfn.XLOOKUP($H135,'TRA TECH'!$J:$J,'TRA TECH'!X:X)="","",_xlfn.XLOOKUP($H135,'TRA TECH'!$J:$J,'TRA TECH'!X:X)))</f>
        <v>*</v>
      </c>
      <c r="V135" t="str">
        <f>IF(H135="*","*",IF(_xlfn.XLOOKUP($H135,'TRA TECH'!$J:$J,'TRA TECH'!Y:Y)="","",_xlfn.XLOOKUP($H135,'TRA TECH'!$J:$J,'TRA TECH'!Y:Y)))</f>
        <v>*</v>
      </c>
      <c r="W135" t="str">
        <f>IF(H135="*","*",IF(_xlfn.XLOOKUP($H135,'TRA TECH'!$J:$J,'TRA TECH'!Z:Z)="","",_xlfn.XLOOKUP($H135,'TRA TECH'!$J:$J,'TRA TECH'!Z:Z)))</f>
        <v>*</v>
      </c>
      <c r="X135" t="str">
        <f>IF(H135="*","*",IF(_xlfn.XLOOKUP($H135,'TRA TECH'!$J:$J,'TRA TECH'!AA:AA)="","",_xlfn.XLOOKUP($H135,'TRA TECH'!$J:$J,'TRA TECH'!AA:AA)))</f>
        <v>*</v>
      </c>
      <c r="Y135" t="str">
        <f>IF(H135="*","*",IF(_xlfn.XLOOKUP($H135,'TRA TECH'!$J:$J,'TRA TECH'!AB:AB)="","",_xlfn.XLOOKUP($H135,'TRA TECH'!$J:$J,'TRA TECH'!AB:AB)))</f>
        <v>*</v>
      </c>
      <c r="Z135" t="str">
        <f>IF(H135="*","*",IF(_xlfn.XLOOKUP($H135,'TRA TECH'!$J:$J,'TRA TECH'!AC:AC)="","",_xlfn.XLOOKUP($H135,'TRA TECH'!$J:$J,'TRA TECH'!AC:AC)))</f>
        <v>*</v>
      </c>
      <c r="AA135" t="str">
        <f>IF(H135="*","*",IF(_xlfn.XLOOKUP($H135,'TRA TECH'!$J:$J,'TRA TECH'!AD:AD)="","",_xlfn.XLOOKUP($H135,'TRA TECH'!$J:$J,'TRA TECH'!AD:AD)))</f>
        <v>*</v>
      </c>
      <c r="AB135" t="str">
        <f t="shared" ref="AB135:AB198" si="13">IF(H135="*","*",AA135)</f>
        <v>*</v>
      </c>
      <c r="AC135" s="15" t="str">
        <f>IF(H135="*","*",IF(_xlfn.XLOOKUP($H135,'TRA TECH'!$J:$J,'TRA TECH'!AE:AE)="","",_xlfn.XLOOKUP($H135,'TRA TECH'!$J:$J,'TRA TECH'!AE:AE)))</f>
        <v>*</v>
      </c>
      <c r="AD135" s="15" t="str">
        <f>IF(H135="*","*",IF(_xlfn.XLOOKUP($H135,'TRA TECH'!$J:$J,'TRA TECH'!AF:AF)="","",_xlfn.XLOOKUP($H135,'TRA TECH'!$J:$J,'TRA TECH'!AF:AF)))</f>
        <v>*</v>
      </c>
      <c r="AE135" s="15" t="str">
        <f>IF(H135="*","*",IF(_xlfn.XLOOKUP($H135,'TRA TECH'!$J:$J,'TRA TECH'!AG:AG)="","",_xlfn.XLOOKUP($H135,'TRA TECH'!$J:$J,'TRA TECH'!AG:AG)))</f>
        <v>*</v>
      </c>
      <c r="AF135" s="15" t="str">
        <f>IF(H135="*","*",IF(_xlfn.XLOOKUP($H135,'TRA TECH'!$J:$J,'TRA TECH'!AH:AH)="","",_xlfn.XLOOKUP($H135,'TRA TECH'!$J:$J,'TRA TECH'!AH:AH)))</f>
        <v>*</v>
      </c>
      <c r="AG135" s="15" t="str">
        <f>IF(H135="*","*",IF(_xlfn.XLOOKUP($H135,'TRA TECH'!$J:$J,'TRA TECH'!AI:AI)="","",_xlfn.XLOOKUP($H135,'TRA TECH'!$J:$J,'TRA TECH'!AI:AI)))</f>
        <v>*</v>
      </c>
      <c r="AH135" s="15" t="str">
        <f>IF(H135="*","*",IF(_xlfn.XLOOKUP($H135,'TRA TECH'!$J:$J,'TRA TECH'!AJ:AJ)="","",_xlfn.XLOOKUP($H135,'TRA TECH'!$J:$J,'TRA TECH'!AJ:AJ)))</f>
        <v>*</v>
      </c>
      <c r="AI135" s="15" t="str">
        <f>IF(H135="*","*",IF(_xlfn.XLOOKUP($H135,'TRA TECH'!$J:$J,'TRA TECH'!AK:AK)="","",_xlfn.XLOOKUP($H135,'TRA TECH'!$J:$J,'TRA TECH'!AK:AK)))</f>
        <v>*</v>
      </c>
      <c r="AJ135" s="15" t="str">
        <f t="shared" ref="AJ135:AJ198" si="14">IF(H135="*","*",AI135)</f>
        <v>*</v>
      </c>
      <c r="AK135" s="16" t="str">
        <f t="shared" ref="AK135:AK198" si="15">IF(I135="*","*",IF(ISNUMBER(SEARCH("CNG",H135)),0.3,IF(ISNUMBER(SEARCH("BEV",H135)),0.4,IF(ISNUMBER(SEARCH("HEV",H135)),0.25,IF(ISNUMBER(SEARCH("FCEV",H135)),0.4,0.1)))))</f>
        <v>*</v>
      </c>
    </row>
    <row r="136" spans="2:37" x14ac:dyDescent="0.25">
      <c r="B136" t="str">
        <f>IF('TRA TECH'!M132=0,"*",IF('TRA TECH'!H132="","*",'TRA TECH'!J132))</f>
        <v>TRAFRERFTICEIDSL20</v>
      </c>
      <c r="C136" t="str">
        <f>IF('TRA TECH'!M132=0,"*",'TRA TECH'!H132)</f>
        <v>TRABDS</v>
      </c>
      <c r="D136" t="s">
        <v>424</v>
      </c>
      <c r="E136" s="9">
        <f>'TRA TECH'!P132</f>
        <v>0.1</v>
      </c>
      <c r="H136" t="str">
        <f>IF('TRA TECH'!M132=1,IF('TRA TECH'!L132=1,'TRA TECH'!J132,"*"),"*")</f>
        <v>*</v>
      </c>
      <c r="I136" t="str">
        <f>IF(H136="*","*",_xlfn.XLOOKUP(H136,'TRA TECH'!J:J,'TRA TECH'!I:I))</f>
        <v>*</v>
      </c>
      <c r="J136" t="str">
        <f>IF(H136="*","*",_xlfn.XLOOKUP(H136,'TRA TECH'!J:J,'TRA TECH'!N:N))</f>
        <v>*</v>
      </c>
      <c r="K136" s="15" t="str">
        <f>IF(H136="*","*",IF(_xlfn.XLOOKUP(H136,'TRA TECH'!J:J,'TRA TECH'!O:O)="","",_xlfn.XLOOKUP(H136,'TRA TECH'!J:J,'TRA TECH'!O:O)))</f>
        <v>*</v>
      </c>
      <c r="L136" t="str">
        <f t="shared" si="11"/>
        <v>*</v>
      </c>
      <c r="M136" t="str">
        <f>IF(H136="*","*",IF(_xlfn.XLOOKUP($H136,'TRA TECH'!$J:$J,'TRA TECH'!Q:Q)="","",_xlfn.XLOOKUP($H136,'TRA TECH'!$J:$J,'TRA TECH'!Q:Q)))</f>
        <v>*</v>
      </c>
      <c r="N136" t="str">
        <f>IF(H136="*","*",IF(_xlfn.XLOOKUP($H136,'TRA TECH'!$J:$J,'TRA TECH'!R:R)="","",_xlfn.XLOOKUP($H136,'TRA TECH'!$J:$J,'TRA TECH'!R:R)))</f>
        <v>*</v>
      </c>
      <c r="O136" t="str">
        <f>IF(H136="*","*",IF(_xlfn.XLOOKUP($H136,'TRA TECH'!$J:$J,'TRA TECH'!S:S)="","",_xlfn.XLOOKUP($H136,'TRA TECH'!$J:$J,'TRA TECH'!S:S)))</f>
        <v>*</v>
      </c>
      <c r="P136" t="str">
        <f>IF(H136="*","*",IF(_xlfn.XLOOKUP($H136,'TRA TECH'!$J:$J,'TRA TECH'!T:T)="","",_xlfn.XLOOKUP($H136,'TRA TECH'!$J:$J,'TRA TECH'!T:T)))</f>
        <v>*</v>
      </c>
      <c r="Q136" t="str">
        <f>IF(H136="*","*",IF(_xlfn.XLOOKUP($H136,'TRA TECH'!$J:$J,'TRA TECH'!U:U)="","",_xlfn.XLOOKUP($H136,'TRA TECH'!$J:$J,'TRA TECH'!U:U)))</f>
        <v>*</v>
      </c>
      <c r="R136" t="str">
        <f>IF(H136="*","*",IF(_xlfn.XLOOKUP($H136,'TRA TECH'!$J:$J,'TRA TECH'!V:V)="","",_xlfn.XLOOKUP($H136,'TRA TECH'!$J:$J,'TRA TECH'!V:V)))</f>
        <v>*</v>
      </c>
      <c r="S136" t="str">
        <f>IF(H136="*","*",IF(_xlfn.XLOOKUP($H136,'TRA TECH'!$J:$J,'TRA TECH'!W:W)="","",_xlfn.XLOOKUP($H136,'TRA TECH'!$J:$J,'TRA TECH'!W:W)))</f>
        <v>*</v>
      </c>
      <c r="T136" t="str">
        <f t="shared" si="12"/>
        <v>*</v>
      </c>
      <c r="U136" t="str">
        <f>IF(H136="*","*",IF(_xlfn.XLOOKUP($H136,'TRA TECH'!$J:$J,'TRA TECH'!X:X)="","",_xlfn.XLOOKUP($H136,'TRA TECH'!$J:$J,'TRA TECH'!X:X)))</f>
        <v>*</v>
      </c>
      <c r="V136" t="str">
        <f>IF(H136="*","*",IF(_xlfn.XLOOKUP($H136,'TRA TECH'!$J:$J,'TRA TECH'!Y:Y)="","",_xlfn.XLOOKUP($H136,'TRA TECH'!$J:$J,'TRA TECH'!Y:Y)))</f>
        <v>*</v>
      </c>
      <c r="W136" t="str">
        <f>IF(H136="*","*",IF(_xlfn.XLOOKUP($H136,'TRA TECH'!$J:$J,'TRA TECH'!Z:Z)="","",_xlfn.XLOOKUP($H136,'TRA TECH'!$J:$J,'TRA TECH'!Z:Z)))</f>
        <v>*</v>
      </c>
      <c r="X136" t="str">
        <f>IF(H136="*","*",IF(_xlfn.XLOOKUP($H136,'TRA TECH'!$J:$J,'TRA TECH'!AA:AA)="","",_xlfn.XLOOKUP($H136,'TRA TECH'!$J:$J,'TRA TECH'!AA:AA)))</f>
        <v>*</v>
      </c>
      <c r="Y136" t="str">
        <f>IF(H136="*","*",IF(_xlfn.XLOOKUP($H136,'TRA TECH'!$J:$J,'TRA TECH'!AB:AB)="","",_xlfn.XLOOKUP($H136,'TRA TECH'!$J:$J,'TRA TECH'!AB:AB)))</f>
        <v>*</v>
      </c>
      <c r="Z136" t="str">
        <f>IF(H136="*","*",IF(_xlfn.XLOOKUP($H136,'TRA TECH'!$J:$J,'TRA TECH'!AC:AC)="","",_xlfn.XLOOKUP($H136,'TRA TECH'!$J:$J,'TRA TECH'!AC:AC)))</f>
        <v>*</v>
      </c>
      <c r="AA136" t="str">
        <f>IF(H136="*","*",IF(_xlfn.XLOOKUP($H136,'TRA TECH'!$J:$J,'TRA TECH'!AD:AD)="","",_xlfn.XLOOKUP($H136,'TRA TECH'!$J:$J,'TRA TECH'!AD:AD)))</f>
        <v>*</v>
      </c>
      <c r="AB136" t="str">
        <f t="shared" si="13"/>
        <v>*</v>
      </c>
      <c r="AC136" s="15" t="str">
        <f>IF(H136="*","*",IF(_xlfn.XLOOKUP($H136,'TRA TECH'!$J:$J,'TRA TECH'!AE:AE)="","",_xlfn.XLOOKUP($H136,'TRA TECH'!$J:$J,'TRA TECH'!AE:AE)))</f>
        <v>*</v>
      </c>
      <c r="AD136" s="15" t="str">
        <f>IF(H136="*","*",IF(_xlfn.XLOOKUP($H136,'TRA TECH'!$J:$J,'TRA TECH'!AF:AF)="","",_xlfn.XLOOKUP($H136,'TRA TECH'!$J:$J,'TRA TECH'!AF:AF)))</f>
        <v>*</v>
      </c>
      <c r="AE136" s="15" t="str">
        <f>IF(H136="*","*",IF(_xlfn.XLOOKUP($H136,'TRA TECH'!$J:$J,'TRA TECH'!AG:AG)="","",_xlfn.XLOOKUP($H136,'TRA TECH'!$J:$J,'TRA TECH'!AG:AG)))</f>
        <v>*</v>
      </c>
      <c r="AF136" s="15" t="str">
        <f>IF(H136="*","*",IF(_xlfn.XLOOKUP($H136,'TRA TECH'!$J:$J,'TRA TECH'!AH:AH)="","",_xlfn.XLOOKUP($H136,'TRA TECH'!$J:$J,'TRA TECH'!AH:AH)))</f>
        <v>*</v>
      </c>
      <c r="AG136" s="15" t="str">
        <f>IF(H136="*","*",IF(_xlfn.XLOOKUP($H136,'TRA TECH'!$J:$J,'TRA TECH'!AI:AI)="","",_xlfn.XLOOKUP($H136,'TRA TECH'!$J:$J,'TRA TECH'!AI:AI)))</f>
        <v>*</v>
      </c>
      <c r="AH136" s="15" t="str">
        <f>IF(H136="*","*",IF(_xlfn.XLOOKUP($H136,'TRA TECH'!$J:$J,'TRA TECH'!AJ:AJ)="","",_xlfn.XLOOKUP($H136,'TRA TECH'!$J:$J,'TRA TECH'!AJ:AJ)))</f>
        <v>*</v>
      </c>
      <c r="AI136" s="15" t="str">
        <f>IF(H136="*","*",IF(_xlfn.XLOOKUP($H136,'TRA TECH'!$J:$J,'TRA TECH'!AK:AK)="","",_xlfn.XLOOKUP($H136,'TRA TECH'!$J:$J,'TRA TECH'!AK:AK)))</f>
        <v>*</v>
      </c>
      <c r="AJ136" s="15" t="str">
        <f t="shared" si="14"/>
        <v>*</v>
      </c>
      <c r="AK136" s="16" t="str">
        <f t="shared" si="15"/>
        <v>*</v>
      </c>
    </row>
    <row r="137" spans="2:37" x14ac:dyDescent="0.25">
      <c r="B137" t="str">
        <f>IF('TRA TECH'!M133=0,"*",IF('TRA TECH'!H133="","*",'TRA TECH'!J133))</f>
        <v>TRAFRERFTHEVPDSL20</v>
      </c>
      <c r="C137" t="str">
        <f>IF('TRA TECH'!M133=0,"*",'TRA TECH'!H133)</f>
        <v>TRADSL</v>
      </c>
      <c r="D137" t="s">
        <v>424</v>
      </c>
      <c r="E137" s="9">
        <f>'TRA TECH'!P133</f>
        <v>1</v>
      </c>
      <c r="H137" t="str">
        <f>IF('TRA TECH'!M133=1,IF('TRA TECH'!L133=1,'TRA TECH'!J133,"*"),"*")</f>
        <v>TRAFRERFTHEVPDSL20</v>
      </c>
      <c r="I137" t="str">
        <f>IF(H137="*","*",_xlfn.XLOOKUP(H137,'TRA TECH'!J:J,'TRA TECH'!I:I))</f>
        <v>TRAFRERFTDMD</v>
      </c>
      <c r="J137">
        <f>IF(H137="*","*",_xlfn.XLOOKUP(H137,'TRA TECH'!J:J,'TRA TECH'!N:N))</f>
        <v>2020</v>
      </c>
      <c r="K137" s="15">
        <f>IF(H137="*","*",IF(_xlfn.XLOOKUP(H137,'TRA TECH'!J:J,'TRA TECH'!O:O)="","",_xlfn.XLOOKUP(H137,'TRA TECH'!J:J,'TRA TECH'!O:O)))</f>
        <v>8</v>
      </c>
      <c r="L137">
        <f t="shared" si="11"/>
        <v>1</v>
      </c>
      <c r="M137">
        <f>IF(H137="*","*",IF(_xlfn.XLOOKUP($H137,'TRA TECH'!$J:$J,'TRA TECH'!Q:Q)="","",_xlfn.XLOOKUP($H137,'TRA TECH'!$J:$J,'TRA TECH'!Q:Q)))</f>
        <v>0.14591810089020771</v>
      </c>
      <c r="N137">
        <f>IF(H137="*","*",IF(_xlfn.XLOOKUP($H137,'TRA TECH'!$J:$J,'TRA TECH'!R:R)="","",_xlfn.XLOOKUP($H137,'TRA TECH'!$J:$J,'TRA TECH'!R:R)))</f>
        <v>0.14591810089020771</v>
      </c>
      <c r="O137">
        <f>IF(H137="*","*",IF(_xlfn.XLOOKUP($H137,'TRA TECH'!$J:$J,'TRA TECH'!S:S)="","",_xlfn.XLOOKUP($H137,'TRA TECH'!$J:$J,'TRA TECH'!S:S)))</f>
        <v>0.16183643916913951</v>
      </c>
      <c r="P137">
        <f>IF(H137="*","*",IF(_xlfn.XLOOKUP($H137,'TRA TECH'!$J:$J,'TRA TECH'!T:T)="","",_xlfn.XLOOKUP($H137,'TRA TECH'!$J:$J,'TRA TECH'!T:T)))</f>
        <v>0.1764282492581602</v>
      </c>
      <c r="Q137">
        <f>IF(H137="*","*",IF(_xlfn.XLOOKUP($H137,'TRA TECH'!$J:$J,'TRA TECH'!U:U)="","",_xlfn.XLOOKUP($H137,'TRA TECH'!$J:$J,'TRA TECH'!U:U)))</f>
        <v>0.18704047477744801</v>
      </c>
      <c r="R137">
        <f>IF(H137="*","*",IF(_xlfn.XLOOKUP($H137,'TRA TECH'!$J:$J,'TRA TECH'!V:V)="","",_xlfn.XLOOKUP($H137,'TRA TECH'!$J:$J,'TRA TECH'!V:V)))</f>
        <v>0.1963261721068249</v>
      </c>
      <c r="S137">
        <f>IF(H137="*","*",IF(_xlfn.XLOOKUP($H137,'TRA TECH'!$J:$J,'TRA TECH'!W:W)="","",_xlfn.XLOOKUP($H137,'TRA TECH'!$J:$J,'TRA TECH'!W:W)))</f>
        <v>0.2056118694362018</v>
      </c>
      <c r="T137">
        <f t="shared" si="12"/>
        <v>0.2056118694362018</v>
      </c>
      <c r="U137">
        <f>IF(H137="*","*",IF(_xlfn.XLOOKUP($H137,'TRA TECH'!$J:$J,'TRA TECH'!X:X)="","",_xlfn.XLOOKUP($H137,'TRA TECH'!$J:$J,'TRA TECH'!X:X)))</f>
        <v>465.89692424941529</v>
      </c>
      <c r="V137">
        <f>IF(H137="*","*",IF(_xlfn.XLOOKUP($H137,'TRA TECH'!$J:$J,'TRA TECH'!Y:Y)="","",_xlfn.XLOOKUP($H137,'TRA TECH'!$J:$J,'TRA TECH'!Y:Y)))</f>
        <v>465.89692424941529</v>
      </c>
      <c r="W137">
        <f>IF(H137="*","*",IF(_xlfn.XLOOKUP($H137,'TRA TECH'!$J:$J,'TRA TECH'!Z:Z)="","",_xlfn.XLOOKUP($H137,'TRA TECH'!$J:$J,'TRA TECH'!Z:Z)))</f>
        <v>464.47433822117279</v>
      </c>
      <c r="X137">
        <f>IF(H137="*","*",IF(_xlfn.XLOOKUP($H137,'TRA TECH'!$J:$J,'TRA TECH'!AA:AA)="","",_xlfn.XLOOKUP($H137,'TRA TECH'!$J:$J,'TRA TECH'!AA:AA)))</f>
        <v>460.91787315056649</v>
      </c>
      <c r="Y137">
        <f>IF(H137="*","*",IF(_xlfn.XLOOKUP($H137,'TRA TECH'!$J:$J,'TRA TECH'!AB:AB)="","",_xlfn.XLOOKUP($H137,'TRA TECH'!$J:$J,'TRA TECH'!AB:AB)))</f>
        <v>459.49528712232399</v>
      </c>
      <c r="Z137">
        <f>IF(H137="*","*",IF(_xlfn.XLOOKUP($H137,'TRA TECH'!$J:$J,'TRA TECH'!AC:AC)="","",_xlfn.XLOOKUP($H137,'TRA TECH'!$J:$J,'TRA TECH'!AC:AC)))</f>
        <v>458.78399410820282</v>
      </c>
      <c r="AA137">
        <f>IF(H137="*","*",IF(_xlfn.XLOOKUP($H137,'TRA TECH'!$J:$J,'TRA TECH'!AD:AD)="","",_xlfn.XLOOKUP($H137,'TRA TECH'!$J:$J,'TRA TECH'!AD:AD)))</f>
        <v>458.07270109408159</v>
      </c>
      <c r="AB137">
        <f t="shared" si="13"/>
        <v>458.07270109408159</v>
      </c>
      <c r="AC137" s="15">
        <f>IF(H137="*","*",IF(_xlfn.XLOOKUP($H137,'TRA TECH'!$J:$J,'TRA TECH'!AE:AE)="","",_xlfn.XLOOKUP($H137,'TRA TECH'!$J:$J,'TRA TECH'!AE:AE)))</f>
        <v>10.491571958288359</v>
      </c>
      <c r="AD137" s="15">
        <f>IF(H137="*","*",IF(_xlfn.XLOOKUP($H137,'TRA TECH'!$J:$J,'TRA TECH'!AF:AF)="","",_xlfn.XLOOKUP($H137,'TRA TECH'!$J:$J,'TRA TECH'!AF:AF)))</f>
        <v>10.491571958288359</v>
      </c>
      <c r="AE137" s="15">
        <f>IF(H137="*","*",IF(_xlfn.XLOOKUP($H137,'TRA TECH'!$J:$J,'TRA TECH'!AG:AG)="","",_xlfn.XLOOKUP($H137,'TRA TECH'!$J:$J,'TRA TECH'!AG:AG)))</f>
        <v>10.491571958288359</v>
      </c>
      <c r="AF137" s="15">
        <f>IF(H137="*","*",IF(_xlfn.XLOOKUP($H137,'TRA TECH'!$J:$J,'TRA TECH'!AH:AH)="","",_xlfn.XLOOKUP($H137,'TRA TECH'!$J:$J,'TRA TECH'!AH:AH)))</f>
        <v>10.491571958288359</v>
      </c>
      <c r="AG137" s="15">
        <f>IF(H137="*","*",IF(_xlfn.XLOOKUP($H137,'TRA TECH'!$J:$J,'TRA TECH'!AI:AI)="","",_xlfn.XLOOKUP($H137,'TRA TECH'!$J:$J,'TRA TECH'!AI:AI)))</f>
        <v>10.491571958288359</v>
      </c>
      <c r="AH137" s="15">
        <f>IF(H137="*","*",IF(_xlfn.XLOOKUP($H137,'TRA TECH'!$J:$J,'TRA TECH'!AJ:AJ)="","",_xlfn.XLOOKUP($H137,'TRA TECH'!$J:$J,'TRA TECH'!AJ:AJ)))</f>
        <v>10.491571958288359</v>
      </c>
      <c r="AI137" s="15">
        <f>IF(H137="*","*",IF(_xlfn.XLOOKUP($H137,'TRA TECH'!$J:$J,'TRA TECH'!AK:AK)="","",_xlfn.XLOOKUP($H137,'TRA TECH'!$J:$J,'TRA TECH'!AK:AK)))</f>
        <v>10.491571958288359</v>
      </c>
      <c r="AJ137" s="15">
        <f t="shared" si="14"/>
        <v>10.491571958288359</v>
      </c>
      <c r="AK137" s="16">
        <f t="shared" si="15"/>
        <v>0.25</v>
      </c>
    </row>
    <row r="138" spans="2:37" x14ac:dyDescent="0.25">
      <c r="B138" t="str">
        <f>IF('TRA TECH'!M134=0,"*",IF('TRA TECH'!H134="","*",'TRA TECH'!J134))</f>
        <v>TRAFRERFTHEVPDSL20</v>
      </c>
      <c r="C138" t="str">
        <f>IF('TRA TECH'!M134=0,"*",'TRA TECH'!H134)</f>
        <v>TRARDS</v>
      </c>
      <c r="D138" t="s">
        <v>424</v>
      </c>
      <c r="E138" s="9">
        <f>'TRA TECH'!P134</f>
        <v>1</v>
      </c>
      <c r="H138" t="str">
        <f>IF('TRA TECH'!M134=1,IF('TRA TECH'!L134=1,'TRA TECH'!J134,"*"),"*")</f>
        <v>*</v>
      </c>
      <c r="I138" t="str">
        <f>IF(H138="*","*",_xlfn.XLOOKUP(H138,'TRA TECH'!J:J,'TRA TECH'!I:I))</f>
        <v>*</v>
      </c>
      <c r="J138" t="str">
        <f>IF(H138="*","*",_xlfn.XLOOKUP(H138,'TRA TECH'!J:J,'TRA TECH'!N:N))</f>
        <v>*</v>
      </c>
      <c r="K138" s="15" t="str">
        <f>IF(H138="*","*",IF(_xlfn.XLOOKUP(H138,'TRA TECH'!J:J,'TRA TECH'!O:O)="","",_xlfn.XLOOKUP(H138,'TRA TECH'!J:J,'TRA TECH'!O:O)))</f>
        <v>*</v>
      </c>
      <c r="L138" t="str">
        <f t="shared" si="11"/>
        <v>*</v>
      </c>
      <c r="M138" t="str">
        <f>IF(H138="*","*",IF(_xlfn.XLOOKUP($H138,'TRA TECH'!$J:$J,'TRA TECH'!Q:Q)="","",_xlfn.XLOOKUP($H138,'TRA TECH'!$J:$J,'TRA TECH'!Q:Q)))</f>
        <v>*</v>
      </c>
      <c r="N138" t="str">
        <f>IF(H138="*","*",IF(_xlfn.XLOOKUP($H138,'TRA TECH'!$J:$J,'TRA TECH'!R:R)="","",_xlfn.XLOOKUP($H138,'TRA TECH'!$J:$J,'TRA TECH'!R:R)))</f>
        <v>*</v>
      </c>
      <c r="O138" t="str">
        <f>IF(H138="*","*",IF(_xlfn.XLOOKUP($H138,'TRA TECH'!$J:$J,'TRA TECH'!S:S)="","",_xlfn.XLOOKUP($H138,'TRA TECH'!$J:$J,'TRA TECH'!S:S)))</f>
        <v>*</v>
      </c>
      <c r="P138" t="str">
        <f>IF(H138="*","*",IF(_xlfn.XLOOKUP($H138,'TRA TECH'!$J:$J,'TRA TECH'!T:T)="","",_xlfn.XLOOKUP($H138,'TRA TECH'!$J:$J,'TRA TECH'!T:T)))</f>
        <v>*</v>
      </c>
      <c r="Q138" t="str">
        <f>IF(H138="*","*",IF(_xlfn.XLOOKUP($H138,'TRA TECH'!$J:$J,'TRA TECH'!U:U)="","",_xlfn.XLOOKUP($H138,'TRA TECH'!$J:$J,'TRA TECH'!U:U)))</f>
        <v>*</v>
      </c>
      <c r="R138" t="str">
        <f>IF(H138="*","*",IF(_xlfn.XLOOKUP($H138,'TRA TECH'!$J:$J,'TRA TECH'!V:V)="","",_xlfn.XLOOKUP($H138,'TRA TECH'!$J:$J,'TRA TECH'!V:V)))</f>
        <v>*</v>
      </c>
      <c r="S138" t="str">
        <f>IF(H138="*","*",IF(_xlfn.XLOOKUP($H138,'TRA TECH'!$J:$J,'TRA TECH'!W:W)="","",_xlfn.XLOOKUP($H138,'TRA TECH'!$J:$J,'TRA TECH'!W:W)))</f>
        <v>*</v>
      </c>
      <c r="T138" t="str">
        <f t="shared" si="12"/>
        <v>*</v>
      </c>
      <c r="U138" t="str">
        <f>IF(H138="*","*",IF(_xlfn.XLOOKUP($H138,'TRA TECH'!$J:$J,'TRA TECH'!X:X)="","",_xlfn.XLOOKUP($H138,'TRA TECH'!$J:$J,'TRA TECH'!X:X)))</f>
        <v>*</v>
      </c>
      <c r="V138" t="str">
        <f>IF(H138="*","*",IF(_xlfn.XLOOKUP($H138,'TRA TECH'!$J:$J,'TRA TECH'!Y:Y)="","",_xlfn.XLOOKUP($H138,'TRA TECH'!$J:$J,'TRA TECH'!Y:Y)))</f>
        <v>*</v>
      </c>
      <c r="W138" t="str">
        <f>IF(H138="*","*",IF(_xlfn.XLOOKUP($H138,'TRA TECH'!$J:$J,'TRA TECH'!Z:Z)="","",_xlfn.XLOOKUP($H138,'TRA TECH'!$J:$J,'TRA TECH'!Z:Z)))</f>
        <v>*</v>
      </c>
      <c r="X138" t="str">
        <f>IF(H138="*","*",IF(_xlfn.XLOOKUP($H138,'TRA TECH'!$J:$J,'TRA TECH'!AA:AA)="","",_xlfn.XLOOKUP($H138,'TRA TECH'!$J:$J,'TRA TECH'!AA:AA)))</f>
        <v>*</v>
      </c>
      <c r="Y138" t="str">
        <f>IF(H138="*","*",IF(_xlfn.XLOOKUP($H138,'TRA TECH'!$J:$J,'TRA TECH'!AB:AB)="","",_xlfn.XLOOKUP($H138,'TRA TECH'!$J:$J,'TRA TECH'!AB:AB)))</f>
        <v>*</v>
      </c>
      <c r="Z138" t="str">
        <f>IF(H138="*","*",IF(_xlfn.XLOOKUP($H138,'TRA TECH'!$J:$J,'TRA TECH'!AC:AC)="","",_xlfn.XLOOKUP($H138,'TRA TECH'!$J:$J,'TRA TECH'!AC:AC)))</f>
        <v>*</v>
      </c>
      <c r="AA138" t="str">
        <f>IF(H138="*","*",IF(_xlfn.XLOOKUP($H138,'TRA TECH'!$J:$J,'TRA TECH'!AD:AD)="","",_xlfn.XLOOKUP($H138,'TRA TECH'!$J:$J,'TRA TECH'!AD:AD)))</f>
        <v>*</v>
      </c>
      <c r="AB138" t="str">
        <f t="shared" si="13"/>
        <v>*</v>
      </c>
      <c r="AC138" s="15" t="str">
        <f>IF(H138="*","*",IF(_xlfn.XLOOKUP($H138,'TRA TECH'!$J:$J,'TRA TECH'!AE:AE)="","",_xlfn.XLOOKUP($H138,'TRA TECH'!$J:$J,'TRA TECH'!AE:AE)))</f>
        <v>*</v>
      </c>
      <c r="AD138" s="15" t="str">
        <f>IF(H138="*","*",IF(_xlfn.XLOOKUP($H138,'TRA TECH'!$J:$J,'TRA TECH'!AF:AF)="","",_xlfn.XLOOKUP($H138,'TRA TECH'!$J:$J,'TRA TECH'!AF:AF)))</f>
        <v>*</v>
      </c>
      <c r="AE138" s="15" t="str">
        <f>IF(H138="*","*",IF(_xlfn.XLOOKUP($H138,'TRA TECH'!$J:$J,'TRA TECH'!AG:AG)="","",_xlfn.XLOOKUP($H138,'TRA TECH'!$J:$J,'TRA TECH'!AG:AG)))</f>
        <v>*</v>
      </c>
      <c r="AF138" s="15" t="str">
        <f>IF(H138="*","*",IF(_xlfn.XLOOKUP($H138,'TRA TECH'!$J:$J,'TRA TECH'!AH:AH)="","",_xlfn.XLOOKUP($H138,'TRA TECH'!$J:$J,'TRA TECH'!AH:AH)))</f>
        <v>*</v>
      </c>
      <c r="AG138" s="15" t="str">
        <f>IF(H138="*","*",IF(_xlfn.XLOOKUP($H138,'TRA TECH'!$J:$J,'TRA TECH'!AI:AI)="","",_xlfn.XLOOKUP($H138,'TRA TECH'!$J:$J,'TRA TECH'!AI:AI)))</f>
        <v>*</v>
      </c>
      <c r="AH138" s="15" t="str">
        <f>IF(H138="*","*",IF(_xlfn.XLOOKUP($H138,'TRA TECH'!$J:$J,'TRA TECH'!AJ:AJ)="","",_xlfn.XLOOKUP($H138,'TRA TECH'!$J:$J,'TRA TECH'!AJ:AJ)))</f>
        <v>*</v>
      </c>
      <c r="AI138" s="15" t="str">
        <f>IF(H138="*","*",IF(_xlfn.XLOOKUP($H138,'TRA TECH'!$J:$J,'TRA TECH'!AK:AK)="","",_xlfn.XLOOKUP($H138,'TRA TECH'!$J:$J,'TRA TECH'!AK:AK)))</f>
        <v>*</v>
      </c>
      <c r="AJ138" s="15" t="str">
        <f t="shared" si="14"/>
        <v>*</v>
      </c>
      <c r="AK138" s="16" t="str">
        <f t="shared" si="15"/>
        <v>*</v>
      </c>
    </row>
    <row r="139" spans="2:37" x14ac:dyDescent="0.25">
      <c r="B139" t="str">
        <f>IF('TRA TECH'!M135=0,"*",IF('TRA TECH'!H135="","*",'TRA TECH'!J135))</f>
        <v>TRAFRERFTHEVPDSL20</v>
      </c>
      <c r="C139" t="str">
        <f>IF('TRA TECH'!M135=0,"*",'TRA TECH'!H135)</f>
        <v>TRABDS</v>
      </c>
      <c r="D139" t="s">
        <v>424</v>
      </c>
      <c r="E139" s="9">
        <f>'TRA TECH'!P135</f>
        <v>0.1</v>
      </c>
      <c r="H139" t="str">
        <f>IF('TRA TECH'!M135=1,IF('TRA TECH'!L135=1,'TRA TECH'!J135,"*"),"*")</f>
        <v>*</v>
      </c>
      <c r="I139" t="str">
        <f>IF(H139="*","*",_xlfn.XLOOKUP(H139,'TRA TECH'!J:J,'TRA TECH'!I:I))</f>
        <v>*</v>
      </c>
      <c r="J139" t="str">
        <f>IF(H139="*","*",_xlfn.XLOOKUP(H139,'TRA TECH'!J:J,'TRA TECH'!N:N))</f>
        <v>*</v>
      </c>
      <c r="K139" s="15" t="str">
        <f>IF(H139="*","*",IF(_xlfn.XLOOKUP(H139,'TRA TECH'!J:J,'TRA TECH'!O:O)="","",_xlfn.XLOOKUP(H139,'TRA TECH'!J:J,'TRA TECH'!O:O)))</f>
        <v>*</v>
      </c>
      <c r="L139" t="str">
        <f t="shared" si="11"/>
        <v>*</v>
      </c>
      <c r="M139" t="str">
        <f>IF(H139="*","*",IF(_xlfn.XLOOKUP($H139,'TRA TECH'!$J:$J,'TRA TECH'!Q:Q)="","",_xlfn.XLOOKUP($H139,'TRA TECH'!$J:$J,'TRA TECH'!Q:Q)))</f>
        <v>*</v>
      </c>
      <c r="N139" t="str">
        <f>IF(H139="*","*",IF(_xlfn.XLOOKUP($H139,'TRA TECH'!$J:$J,'TRA TECH'!R:R)="","",_xlfn.XLOOKUP($H139,'TRA TECH'!$J:$J,'TRA TECH'!R:R)))</f>
        <v>*</v>
      </c>
      <c r="O139" t="str">
        <f>IF(H139="*","*",IF(_xlfn.XLOOKUP($H139,'TRA TECH'!$J:$J,'TRA TECH'!S:S)="","",_xlfn.XLOOKUP($H139,'TRA TECH'!$J:$J,'TRA TECH'!S:S)))</f>
        <v>*</v>
      </c>
      <c r="P139" t="str">
        <f>IF(H139="*","*",IF(_xlfn.XLOOKUP($H139,'TRA TECH'!$J:$J,'TRA TECH'!T:T)="","",_xlfn.XLOOKUP($H139,'TRA TECH'!$J:$J,'TRA TECH'!T:T)))</f>
        <v>*</v>
      </c>
      <c r="Q139" t="str">
        <f>IF(H139="*","*",IF(_xlfn.XLOOKUP($H139,'TRA TECH'!$J:$J,'TRA TECH'!U:U)="","",_xlfn.XLOOKUP($H139,'TRA TECH'!$J:$J,'TRA TECH'!U:U)))</f>
        <v>*</v>
      </c>
      <c r="R139" t="str">
        <f>IF(H139="*","*",IF(_xlfn.XLOOKUP($H139,'TRA TECH'!$J:$J,'TRA TECH'!V:V)="","",_xlfn.XLOOKUP($H139,'TRA TECH'!$J:$J,'TRA TECH'!V:V)))</f>
        <v>*</v>
      </c>
      <c r="S139" t="str">
        <f>IF(H139="*","*",IF(_xlfn.XLOOKUP($H139,'TRA TECH'!$J:$J,'TRA TECH'!W:W)="","",_xlfn.XLOOKUP($H139,'TRA TECH'!$J:$J,'TRA TECH'!W:W)))</f>
        <v>*</v>
      </c>
      <c r="T139" t="str">
        <f t="shared" si="12"/>
        <v>*</v>
      </c>
      <c r="U139" t="str">
        <f>IF(H139="*","*",IF(_xlfn.XLOOKUP($H139,'TRA TECH'!$J:$J,'TRA TECH'!X:X)="","",_xlfn.XLOOKUP($H139,'TRA TECH'!$J:$J,'TRA TECH'!X:X)))</f>
        <v>*</v>
      </c>
      <c r="V139" t="str">
        <f>IF(H139="*","*",IF(_xlfn.XLOOKUP($H139,'TRA TECH'!$J:$J,'TRA TECH'!Y:Y)="","",_xlfn.XLOOKUP($H139,'TRA TECH'!$J:$J,'TRA TECH'!Y:Y)))</f>
        <v>*</v>
      </c>
      <c r="W139" t="str">
        <f>IF(H139="*","*",IF(_xlfn.XLOOKUP($H139,'TRA TECH'!$J:$J,'TRA TECH'!Z:Z)="","",_xlfn.XLOOKUP($H139,'TRA TECH'!$J:$J,'TRA TECH'!Z:Z)))</f>
        <v>*</v>
      </c>
      <c r="X139" t="str">
        <f>IF(H139="*","*",IF(_xlfn.XLOOKUP($H139,'TRA TECH'!$J:$J,'TRA TECH'!AA:AA)="","",_xlfn.XLOOKUP($H139,'TRA TECH'!$J:$J,'TRA TECH'!AA:AA)))</f>
        <v>*</v>
      </c>
      <c r="Y139" t="str">
        <f>IF(H139="*","*",IF(_xlfn.XLOOKUP($H139,'TRA TECH'!$J:$J,'TRA TECH'!AB:AB)="","",_xlfn.XLOOKUP($H139,'TRA TECH'!$J:$J,'TRA TECH'!AB:AB)))</f>
        <v>*</v>
      </c>
      <c r="Z139" t="str">
        <f>IF(H139="*","*",IF(_xlfn.XLOOKUP($H139,'TRA TECH'!$J:$J,'TRA TECH'!AC:AC)="","",_xlfn.XLOOKUP($H139,'TRA TECH'!$J:$J,'TRA TECH'!AC:AC)))</f>
        <v>*</v>
      </c>
      <c r="AA139" t="str">
        <f>IF(H139="*","*",IF(_xlfn.XLOOKUP($H139,'TRA TECH'!$J:$J,'TRA TECH'!AD:AD)="","",_xlfn.XLOOKUP($H139,'TRA TECH'!$J:$J,'TRA TECH'!AD:AD)))</f>
        <v>*</v>
      </c>
      <c r="AB139" t="str">
        <f t="shared" si="13"/>
        <v>*</v>
      </c>
      <c r="AC139" s="15" t="str">
        <f>IF(H139="*","*",IF(_xlfn.XLOOKUP($H139,'TRA TECH'!$J:$J,'TRA TECH'!AE:AE)="","",_xlfn.XLOOKUP($H139,'TRA TECH'!$J:$J,'TRA TECH'!AE:AE)))</f>
        <v>*</v>
      </c>
      <c r="AD139" s="15" t="str">
        <f>IF(H139="*","*",IF(_xlfn.XLOOKUP($H139,'TRA TECH'!$J:$J,'TRA TECH'!AF:AF)="","",_xlfn.XLOOKUP($H139,'TRA TECH'!$J:$J,'TRA TECH'!AF:AF)))</f>
        <v>*</v>
      </c>
      <c r="AE139" s="15" t="str">
        <f>IF(H139="*","*",IF(_xlfn.XLOOKUP($H139,'TRA TECH'!$J:$J,'TRA TECH'!AG:AG)="","",_xlfn.XLOOKUP($H139,'TRA TECH'!$J:$J,'TRA TECH'!AG:AG)))</f>
        <v>*</v>
      </c>
      <c r="AF139" s="15" t="str">
        <f>IF(H139="*","*",IF(_xlfn.XLOOKUP($H139,'TRA TECH'!$J:$J,'TRA TECH'!AH:AH)="","",_xlfn.XLOOKUP($H139,'TRA TECH'!$J:$J,'TRA TECH'!AH:AH)))</f>
        <v>*</v>
      </c>
      <c r="AG139" s="15" t="str">
        <f>IF(H139="*","*",IF(_xlfn.XLOOKUP($H139,'TRA TECH'!$J:$J,'TRA TECH'!AI:AI)="","",_xlfn.XLOOKUP($H139,'TRA TECH'!$J:$J,'TRA TECH'!AI:AI)))</f>
        <v>*</v>
      </c>
      <c r="AH139" s="15" t="str">
        <f>IF(H139="*","*",IF(_xlfn.XLOOKUP($H139,'TRA TECH'!$J:$J,'TRA TECH'!AJ:AJ)="","",_xlfn.XLOOKUP($H139,'TRA TECH'!$J:$J,'TRA TECH'!AJ:AJ)))</f>
        <v>*</v>
      </c>
      <c r="AI139" s="15" t="str">
        <f>IF(H139="*","*",IF(_xlfn.XLOOKUP($H139,'TRA TECH'!$J:$J,'TRA TECH'!AK:AK)="","",_xlfn.XLOOKUP($H139,'TRA TECH'!$J:$J,'TRA TECH'!AK:AK)))</f>
        <v>*</v>
      </c>
      <c r="AJ139" s="15" t="str">
        <f t="shared" si="14"/>
        <v>*</v>
      </c>
      <c r="AK139" s="16" t="str">
        <f t="shared" si="15"/>
        <v>*</v>
      </c>
    </row>
    <row r="140" spans="2:37" x14ac:dyDescent="0.25">
      <c r="B140" t="str">
        <f>IF('TRA TECH'!M136=0,"*",IF('TRA TECH'!H136="","*",'TRA TECH'!J136))</f>
        <v>TRAFRERFTPHEVDSL20</v>
      </c>
      <c r="C140" t="str">
        <f>IF('TRA TECH'!M136=0,"*",'TRA TECH'!H136)</f>
        <v>TRADSL</v>
      </c>
      <c r="D140" t="s">
        <v>424</v>
      </c>
      <c r="E140" s="9">
        <f>'TRA TECH'!P136</f>
        <v>0.30952380952381148</v>
      </c>
      <c r="H140" t="str">
        <f>IF('TRA TECH'!M136=1,IF('TRA TECH'!L136=1,'TRA TECH'!J136,"*"),"*")</f>
        <v>TRAFRERFTPHEVDSL20</v>
      </c>
      <c r="I140" t="str">
        <f>IF(H140="*","*",_xlfn.XLOOKUP(H140,'TRA TECH'!J:J,'TRA TECH'!I:I))</f>
        <v>TRAFRERFTDMD</v>
      </c>
      <c r="J140">
        <f>IF(H140="*","*",_xlfn.XLOOKUP(H140,'TRA TECH'!J:J,'TRA TECH'!N:N))</f>
        <v>2020</v>
      </c>
      <c r="K140" s="15">
        <f>IF(H140="*","*",IF(_xlfn.XLOOKUP(H140,'TRA TECH'!J:J,'TRA TECH'!O:O)="","",_xlfn.XLOOKUP(H140,'TRA TECH'!J:J,'TRA TECH'!O:O)))</f>
        <v>8</v>
      </c>
      <c r="L140">
        <f t="shared" si="11"/>
        <v>1</v>
      </c>
      <c r="M140">
        <f>IF(H140="*","*",IF(_xlfn.XLOOKUP($H140,'TRA TECH'!$J:$J,'TRA TECH'!Q:Q)="","",_xlfn.XLOOKUP($H140,'TRA TECH'!$J:$J,'TRA TECH'!Q:Q)))</f>
        <v>0.29979537091988079</v>
      </c>
      <c r="N140">
        <f>IF(H140="*","*",IF(_xlfn.XLOOKUP($H140,'TRA TECH'!$J:$J,'TRA TECH'!R:R)="","",_xlfn.XLOOKUP($H140,'TRA TECH'!$J:$J,'TRA TECH'!R:R)))</f>
        <v>0.29979537091988079</v>
      </c>
      <c r="O140">
        <f>IF(H140="*","*",IF(_xlfn.XLOOKUP($H140,'TRA TECH'!$J:$J,'TRA TECH'!S:S)="","",_xlfn.XLOOKUP($H140,'TRA TECH'!$J:$J,'TRA TECH'!S:S)))</f>
        <v>0.33030551928783392</v>
      </c>
      <c r="P140">
        <f>IF(H140="*","*",IF(_xlfn.XLOOKUP($H140,'TRA TECH'!$J:$J,'TRA TECH'!T:T)="","",_xlfn.XLOOKUP($H140,'TRA TECH'!$J:$J,'TRA TECH'!T:T)))</f>
        <v>0.35816261127596438</v>
      </c>
      <c r="Q140">
        <f>IF(H140="*","*",IF(_xlfn.XLOOKUP($H140,'TRA TECH'!$J:$J,'TRA TECH'!U:U)="","",_xlfn.XLOOKUP($H140,'TRA TECH'!$J:$J,'TRA TECH'!U:U)))</f>
        <v>0.37408094955489479</v>
      </c>
      <c r="R140">
        <f>IF(H140="*","*",IF(_xlfn.XLOOKUP($H140,'TRA TECH'!$J:$J,'TRA TECH'!V:V)="","",_xlfn.XLOOKUP($H140,'TRA TECH'!$J:$J,'TRA TECH'!V:V)))</f>
        <v>0.3899992878338272</v>
      </c>
      <c r="S140">
        <f>IF(H140="*","*",IF(_xlfn.XLOOKUP($H140,'TRA TECH'!$J:$J,'TRA TECH'!W:W)="","",_xlfn.XLOOKUP($H140,'TRA TECH'!$J:$J,'TRA TECH'!W:W)))</f>
        <v>0.4059176261127605</v>
      </c>
      <c r="T140">
        <f t="shared" si="12"/>
        <v>0.4059176261127605</v>
      </c>
      <c r="U140">
        <f>IF(H140="*","*",IF(_xlfn.XLOOKUP($H140,'TRA TECH'!$J:$J,'TRA TECH'!X:X)="","",_xlfn.XLOOKUP($H140,'TRA TECH'!$J:$J,'TRA TECH'!X:X)))</f>
        <v>515.68743523790056</v>
      </c>
      <c r="V140">
        <f>IF(H140="*","*",IF(_xlfn.XLOOKUP($H140,'TRA TECH'!$J:$J,'TRA TECH'!Y:Y)="","",_xlfn.XLOOKUP($H140,'TRA TECH'!$J:$J,'TRA TECH'!Y:Y)))</f>
        <v>515.68743523790056</v>
      </c>
      <c r="W140">
        <f>IF(H140="*","*",IF(_xlfn.XLOOKUP($H140,'TRA TECH'!$J:$J,'TRA TECH'!Z:Z)="","",_xlfn.XLOOKUP($H140,'TRA TECH'!$J:$J,'TRA TECH'!Z:Z)))</f>
        <v>484.39054261656662</v>
      </c>
      <c r="X140">
        <f>IF(H140="*","*",IF(_xlfn.XLOOKUP($H140,'TRA TECH'!$J:$J,'TRA TECH'!AA:AA)="","",_xlfn.XLOOKUP($H140,'TRA TECH'!$J:$J,'TRA TECH'!AA:AA)))</f>
        <v>464.47433822117449</v>
      </c>
      <c r="Y140">
        <f>IF(H140="*","*",IF(_xlfn.XLOOKUP($H140,'TRA TECH'!$J:$J,'TRA TECH'!AB:AB)="","",_xlfn.XLOOKUP($H140,'TRA TECH'!$J:$J,'TRA TECH'!AB:AB)))</f>
        <v>456.65011506583812</v>
      </c>
      <c r="Z140">
        <f>IF(H140="*","*",IF(_xlfn.XLOOKUP($H140,'TRA TECH'!$J:$J,'TRA TECH'!AC:AC)="","",_xlfn.XLOOKUP($H140,'TRA TECH'!$J:$J,'TRA TECH'!AC:AC)))</f>
        <v>449.53718492462809</v>
      </c>
      <c r="AA140">
        <f>IF(H140="*","*",IF(_xlfn.XLOOKUP($H140,'TRA TECH'!$J:$J,'TRA TECH'!AD:AD)="","",_xlfn.XLOOKUP($H140,'TRA TECH'!$J:$J,'TRA TECH'!AD:AD)))</f>
        <v>441.71296176929172</v>
      </c>
      <c r="AB140">
        <f t="shared" si="13"/>
        <v>441.71296176929172</v>
      </c>
      <c r="AC140" s="15">
        <f>IF(H140="*","*",IF(_xlfn.XLOOKUP($H140,'TRA TECH'!$J:$J,'TRA TECH'!AE:AE)="","",_xlfn.XLOOKUP($H140,'TRA TECH'!$J:$J,'TRA TECH'!AE:AE)))</f>
        <v>10.491571958288329</v>
      </c>
      <c r="AD140" s="15">
        <f>IF(H140="*","*",IF(_xlfn.XLOOKUP($H140,'TRA TECH'!$J:$J,'TRA TECH'!AF:AF)="","",_xlfn.XLOOKUP($H140,'TRA TECH'!$J:$J,'TRA TECH'!AF:AF)))</f>
        <v>10.491571958288329</v>
      </c>
      <c r="AE140" s="15">
        <f>IF(H140="*","*",IF(_xlfn.XLOOKUP($H140,'TRA TECH'!$J:$J,'TRA TECH'!AG:AG)="","",_xlfn.XLOOKUP($H140,'TRA TECH'!$J:$J,'TRA TECH'!AG:AG)))</f>
        <v>10.491571958288329</v>
      </c>
      <c r="AF140" s="15">
        <f>IF(H140="*","*",IF(_xlfn.XLOOKUP($H140,'TRA TECH'!$J:$J,'TRA TECH'!AH:AH)="","",_xlfn.XLOOKUP($H140,'TRA TECH'!$J:$J,'TRA TECH'!AH:AH)))</f>
        <v>10.491571958288329</v>
      </c>
      <c r="AG140" s="15">
        <f>IF(H140="*","*",IF(_xlfn.XLOOKUP($H140,'TRA TECH'!$J:$J,'TRA TECH'!AI:AI)="","",_xlfn.XLOOKUP($H140,'TRA TECH'!$J:$J,'TRA TECH'!AI:AI)))</f>
        <v>10.491571958288329</v>
      </c>
      <c r="AH140" s="15">
        <f>IF(H140="*","*",IF(_xlfn.XLOOKUP($H140,'TRA TECH'!$J:$J,'TRA TECH'!AJ:AJ)="","",_xlfn.XLOOKUP($H140,'TRA TECH'!$J:$J,'TRA TECH'!AJ:AJ)))</f>
        <v>10.491571958288329</v>
      </c>
      <c r="AI140" s="15">
        <f>IF(H140="*","*",IF(_xlfn.XLOOKUP($H140,'TRA TECH'!$J:$J,'TRA TECH'!AK:AK)="","",_xlfn.XLOOKUP($H140,'TRA TECH'!$J:$J,'TRA TECH'!AK:AK)))</f>
        <v>10.491571958288329</v>
      </c>
      <c r="AJ140" s="15">
        <f t="shared" si="14"/>
        <v>10.491571958288329</v>
      </c>
      <c r="AK140" s="16">
        <f t="shared" si="15"/>
        <v>0.25</v>
      </c>
    </row>
    <row r="141" spans="2:37" x14ac:dyDescent="0.25">
      <c r="B141" t="str">
        <f>IF('TRA TECH'!M137=0,"*",IF('TRA TECH'!H137="","*",'TRA TECH'!J137))</f>
        <v>TRAFRERFTPHEVDSL20</v>
      </c>
      <c r="C141" t="str">
        <f>IF('TRA TECH'!M137=0,"*",'TRA TECH'!H137)</f>
        <v>TRARDS</v>
      </c>
      <c r="D141" t="s">
        <v>424</v>
      </c>
      <c r="E141" s="9">
        <f>'TRA TECH'!P137</f>
        <v>0.30952380952381148</v>
      </c>
      <c r="H141" t="str">
        <f>IF('TRA TECH'!M137=1,IF('TRA TECH'!L137=1,'TRA TECH'!J137,"*"),"*")</f>
        <v>*</v>
      </c>
      <c r="I141" t="str">
        <f>IF(H141="*","*",_xlfn.XLOOKUP(H141,'TRA TECH'!J:J,'TRA TECH'!I:I))</f>
        <v>*</v>
      </c>
      <c r="J141" t="str">
        <f>IF(H141="*","*",_xlfn.XLOOKUP(H141,'TRA TECH'!J:J,'TRA TECH'!N:N))</f>
        <v>*</v>
      </c>
      <c r="K141" s="15" t="str">
        <f>IF(H141="*","*",IF(_xlfn.XLOOKUP(H141,'TRA TECH'!J:J,'TRA TECH'!O:O)="","",_xlfn.XLOOKUP(H141,'TRA TECH'!J:J,'TRA TECH'!O:O)))</f>
        <v>*</v>
      </c>
      <c r="L141" t="str">
        <f t="shared" si="11"/>
        <v>*</v>
      </c>
      <c r="M141" t="str">
        <f>IF(H141="*","*",IF(_xlfn.XLOOKUP($H141,'TRA TECH'!$J:$J,'TRA TECH'!Q:Q)="","",_xlfn.XLOOKUP($H141,'TRA TECH'!$J:$J,'TRA TECH'!Q:Q)))</f>
        <v>*</v>
      </c>
      <c r="N141" t="str">
        <f>IF(H141="*","*",IF(_xlfn.XLOOKUP($H141,'TRA TECH'!$J:$J,'TRA TECH'!R:R)="","",_xlfn.XLOOKUP($H141,'TRA TECH'!$J:$J,'TRA TECH'!R:R)))</f>
        <v>*</v>
      </c>
      <c r="O141" t="str">
        <f>IF(H141="*","*",IF(_xlfn.XLOOKUP($H141,'TRA TECH'!$J:$J,'TRA TECH'!S:S)="","",_xlfn.XLOOKUP($H141,'TRA TECH'!$J:$J,'TRA TECH'!S:S)))</f>
        <v>*</v>
      </c>
      <c r="P141" t="str">
        <f>IF(H141="*","*",IF(_xlfn.XLOOKUP($H141,'TRA TECH'!$J:$J,'TRA TECH'!T:T)="","",_xlfn.XLOOKUP($H141,'TRA TECH'!$J:$J,'TRA TECH'!T:T)))</f>
        <v>*</v>
      </c>
      <c r="Q141" t="str">
        <f>IF(H141="*","*",IF(_xlfn.XLOOKUP($H141,'TRA TECH'!$J:$J,'TRA TECH'!U:U)="","",_xlfn.XLOOKUP($H141,'TRA TECH'!$J:$J,'TRA TECH'!U:U)))</f>
        <v>*</v>
      </c>
      <c r="R141" t="str">
        <f>IF(H141="*","*",IF(_xlfn.XLOOKUP($H141,'TRA TECH'!$J:$J,'TRA TECH'!V:V)="","",_xlfn.XLOOKUP($H141,'TRA TECH'!$J:$J,'TRA TECH'!V:V)))</f>
        <v>*</v>
      </c>
      <c r="S141" t="str">
        <f>IF(H141="*","*",IF(_xlfn.XLOOKUP($H141,'TRA TECH'!$J:$J,'TRA TECH'!W:W)="","",_xlfn.XLOOKUP($H141,'TRA TECH'!$J:$J,'TRA TECH'!W:W)))</f>
        <v>*</v>
      </c>
      <c r="T141" t="str">
        <f t="shared" si="12"/>
        <v>*</v>
      </c>
      <c r="U141" t="str">
        <f>IF(H141="*","*",IF(_xlfn.XLOOKUP($H141,'TRA TECH'!$J:$J,'TRA TECH'!X:X)="","",_xlfn.XLOOKUP($H141,'TRA TECH'!$J:$J,'TRA TECH'!X:X)))</f>
        <v>*</v>
      </c>
      <c r="V141" t="str">
        <f>IF(H141="*","*",IF(_xlfn.XLOOKUP($H141,'TRA TECH'!$J:$J,'TRA TECH'!Y:Y)="","",_xlfn.XLOOKUP($H141,'TRA TECH'!$J:$J,'TRA TECH'!Y:Y)))</f>
        <v>*</v>
      </c>
      <c r="W141" t="str">
        <f>IF(H141="*","*",IF(_xlfn.XLOOKUP($H141,'TRA TECH'!$J:$J,'TRA TECH'!Z:Z)="","",_xlfn.XLOOKUP($H141,'TRA TECH'!$J:$J,'TRA TECH'!Z:Z)))</f>
        <v>*</v>
      </c>
      <c r="X141" t="str">
        <f>IF(H141="*","*",IF(_xlfn.XLOOKUP($H141,'TRA TECH'!$J:$J,'TRA TECH'!AA:AA)="","",_xlfn.XLOOKUP($H141,'TRA TECH'!$J:$J,'TRA TECH'!AA:AA)))</f>
        <v>*</v>
      </c>
      <c r="Y141" t="str">
        <f>IF(H141="*","*",IF(_xlfn.XLOOKUP($H141,'TRA TECH'!$J:$J,'TRA TECH'!AB:AB)="","",_xlfn.XLOOKUP($H141,'TRA TECH'!$J:$J,'TRA TECH'!AB:AB)))</f>
        <v>*</v>
      </c>
      <c r="Z141" t="str">
        <f>IF(H141="*","*",IF(_xlfn.XLOOKUP($H141,'TRA TECH'!$J:$J,'TRA TECH'!AC:AC)="","",_xlfn.XLOOKUP($H141,'TRA TECH'!$J:$J,'TRA TECH'!AC:AC)))</f>
        <v>*</v>
      </c>
      <c r="AA141" t="str">
        <f>IF(H141="*","*",IF(_xlfn.XLOOKUP($H141,'TRA TECH'!$J:$J,'TRA TECH'!AD:AD)="","",_xlfn.XLOOKUP($H141,'TRA TECH'!$J:$J,'TRA TECH'!AD:AD)))</f>
        <v>*</v>
      </c>
      <c r="AB141" t="str">
        <f t="shared" si="13"/>
        <v>*</v>
      </c>
      <c r="AC141" s="15" t="str">
        <f>IF(H141="*","*",IF(_xlfn.XLOOKUP($H141,'TRA TECH'!$J:$J,'TRA TECH'!AE:AE)="","",_xlfn.XLOOKUP($H141,'TRA TECH'!$J:$J,'TRA TECH'!AE:AE)))</f>
        <v>*</v>
      </c>
      <c r="AD141" s="15" t="str">
        <f>IF(H141="*","*",IF(_xlfn.XLOOKUP($H141,'TRA TECH'!$J:$J,'TRA TECH'!AF:AF)="","",_xlfn.XLOOKUP($H141,'TRA TECH'!$J:$J,'TRA TECH'!AF:AF)))</f>
        <v>*</v>
      </c>
      <c r="AE141" s="15" t="str">
        <f>IF(H141="*","*",IF(_xlfn.XLOOKUP($H141,'TRA TECH'!$J:$J,'TRA TECH'!AG:AG)="","",_xlfn.XLOOKUP($H141,'TRA TECH'!$J:$J,'TRA TECH'!AG:AG)))</f>
        <v>*</v>
      </c>
      <c r="AF141" s="15" t="str">
        <f>IF(H141="*","*",IF(_xlfn.XLOOKUP($H141,'TRA TECH'!$J:$J,'TRA TECH'!AH:AH)="","",_xlfn.XLOOKUP($H141,'TRA TECH'!$J:$J,'TRA TECH'!AH:AH)))</f>
        <v>*</v>
      </c>
      <c r="AG141" s="15" t="str">
        <f>IF(H141="*","*",IF(_xlfn.XLOOKUP($H141,'TRA TECH'!$J:$J,'TRA TECH'!AI:AI)="","",_xlfn.XLOOKUP($H141,'TRA TECH'!$J:$J,'TRA TECH'!AI:AI)))</f>
        <v>*</v>
      </c>
      <c r="AH141" s="15" t="str">
        <f>IF(H141="*","*",IF(_xlfn.XLOOKUP($H141,'TRA TECH'!$J:$J,'TRA TECH'!AJ:AJ)="","",_xlfn.XLOOKUP($H141,'TRA TECH'!$J:$J,'TRA TECH'!AJ:AJ)))</f>
        <v>*</v>
      </c>
      <c r="AI141" s="15" t="str">
        <f>IF(H141="*","*",IF(_xlfn.XLOOKUP($H141,'TRA TECH'!$J:$J,'TRA TECH'!AK:AK)="","",_xlfn.XLOOKUP($H141,'TRA TECH'!$J:$J,'TRA TECH'!AK:AK)))</f>
        <v>*</v>
      </c>
      <c r="AJ141" s="15" t="str">
        <f t="shared" si="14"/>
        <v>*</v>
      </c>
      <c r="AK141" s="16" t="str">
        <f t="shared" si="15"/>
        <v>*</v>
      </c>
    </row>
    <row r="142" spans="2:37" x14ac:dyDescent="0.25">
      <c r="B142" t="str">
        <f>IF('TRA TECH'!M138=0,"*",IF('TRA TECH'!H138="","*",'TRA TECH'!J138))</f>
        <v>TRAFRERFTPHEVDSL20</v>
      </c>
      <c r="C142" t="str">
        <f>IF('TRA TECH'!M138=0,"*",'TRA TECH'!H138)</f>
        <v>TRABDS</v>
      </c>
      <c r="D142" t="s">
        <v>424</v>
      </c>
      <c r="E142" s="9">
        <f>'TRA TECH'!P138</f>
        <v>0.1</v>
      </c>
      <c r="H142" t="str">
        <f>IF('TRA TECH'!M138=1,IF('TRA TECH'!L138=1,'TRA TECH'!J138,"*"),"*")</f>
        <v>*</v>
      </c>
      <c r="I142" t="str">
        <f>IF(H142="*","*",_xlfn.XLOOKUP(H142,'TRA TECH'!J:J,'TRA TECH'!I:I))</f>
        <v>*</v>
      </c>
      <c r="J142" t="str">
        <f>IF(H142="*","*",_xlfn.XLOOKUP(H142,'TRA TECH'!J:J,'TRA TECH'!N:N))</f>
        <v>*</v>
      </c>
      <c r="K142" s="15" t="str">
        <f>IF(H142="*","*",IF(_xlfn.XLOOKUP(H142,'TRA TECH'!J:J,'TRA TECH'!O:O)="","",_xlfn.XLOOKUP(H142,'TRA TECH'!J:J,'TRA TECH'!O:O)))</f>
        <v>*</v>
      </c>
      <c r="L142" t="str">
        <f t="shared" si="11"/>
        <v>*</v>
      </c>
      <c r="M142" t="str">
        <f>IF(H142="*","*",IF(_xlfn.XLOOKUP($H142,'TRA TECH'!$J:$J,'TRA TECH'!Q:Q)="","",_xlfn.XLOOKUP($H142,'TRA TECH'!$J:$J,'TRA TECH'!Q:Q)))</f>
        <v>*</v>
      </c>
      <c r="N142" t="str">
        <f>IF(H142="*","*",IF(_xlfn.XLOOKUP($H142,'TRA TECH'!$J:$J,'TRA TECH'!R:R)="","",_xlfn.XLOOKUP($H142,'TRA TECH'!$J:$J,'TRA TECH'!R:R)))</f>
        <v>*</v>
      </c>
      <c r="O142" t="str">
        <f>IF(H142="*","*",IF(_xlfn.XLOOKUP($H142,'TRA TECH'!$J:$J,'TRA TECH'!S:S)="","",_xlfn.XLOOKUP($H142,'TRA TECH'!$J:$J,'TRA TECH'!S:S)))</f>
        <v>*</v>
      </c>
      <c r="P142" t="str">
        <f>IF(H142="*","*",IF(_xlfn.XLOOKUP($H142,'TRA TECH'!$J:$J,'TRA TECH'!T:T)="","",_xlfn.XLOOKUP($H142,'TRA TECH'!$J:$J,'TRA TECH'!T:T)))</f>
        <v>*</v>
      </c>
      <c r="Q142" t="str">
        <f>IF(H142="*","*",IF(_xlfn.XLOOKUP($H142,'TRA TECH'!$J:$J,'TRA TECH'!U:U)="","",_xlfn.XLOOKUP($H142,'TRA TECH'!$J:$J,'TRA TECH'!U:U)))</f>
        <v>*</v>
      </c>
      <c r="R142" t="str">
        <f>IF(H142="*","*",IF(_xlfn.XLOOKUP($H142,'TRA TECH'!$J:$J,'TRA TECH'!V:V)="","",_xlfn.XLOOKUP($H142,'TRA TECH'!$J:$J,'TRA TECH'!V:V)))</f>
        <v>*</v>
      </c>
      <c r="S142" t="str">
        <f>IF(H142="*","*",IF(_xlfn.XLOOKUP($H142,'TRA TECH'!$J:$J,'TRA TECH'!W:W)="","",_xlfn.XLOOKUP($H142,'TRA TECH'!$J:$J,'TRA TECH'!W:W)))</f>
        <v>*</v>
      </c>
      <c r="T142" t="str">
        <f t="shared" si="12"/>
        <v>*</v>
      </c>
      <c r="U142" t="str">
        <f>IF(H142="*","*",IF(_xlfn.XLOOKUP($H142,'TRA TECH'!$J:$J,'TRA TECH'!X:X)="","",_xlfn.XLOOKUP($H142,'TRA TECH'!$J:$J,'TRA TECH'!X:X)))</f>
        <v>*</v>
      </c>
      <c r="V142" t="str">
        <f>IF(H142="*","*",IF(_xlfn.XLOOKUP($H142,'TRA TECH'!$J:$J,'TRA TECH'!Y:Y)="","",_xlfn.XLOOKUP($H142,'TRA TECH'!$J:$J,'TRA TECH'!Y:Y)))</f>
        <v>*</v>
      </c>
      <c r="W142" t="str">
        <f>IF(H142="*","*",IF(_xlfn.XLOOKUP($H142,'TRA TECH'!$J:$J,'TRA TECH'!Z:Z)="","",_xlfn.XLOOKUP($H142,'TRA TECH'!$J:$J,'TRA TECH'!Z:Z)))</f>
        <v>*</v>
      </c>
      <c r="X142" t="str">
        <f>IF(H142="*","*",IF(_xlfn.XLOOKUP($H142,'TRA TECH'!$J:$J,'TRA TECH'!AA:AA)="","",_xlfn.XLOOKUP($H142,'TRA TECH'!$J:$J,'TRA TECH'!AA:AA)))</f>
        <v>*</v>
      </c>
      <c r="Y142" t="str">
        <f>IF(H142="*","*",IF(_xlfn.XLOOKUP($H142,'TRA TECH'!$J:$J,'TRA TECH'!AB:AB)="","",_xlfn.XLOOKUP($H142,'TRA TECH'!$J:$J,'TRA TECH'!AB:AB)))</f>
        <v>*</v>
      </c>
      <c r="Z142" t="str">
        <f>IF(H142="*","*",IF(_xlfn.XLOOKUP($H142,'TRA TECH'!$J:$J,'TRA TECH'!AC:AC)="","",_xlfn.XLOOKUP($H142,'TRA TECH'!$J:$J,'TRA TECH'!AC:AC)))</f>
        <v>*</v>
      </c>
      <c r="AA142" t="str">
        <f>IF(H142="*","*",IF(_xlfn.XLOOKUP($H142,'TRA TECH'!$J:$J,'TRA TECH'!AD:AD)="","",_xlfn.XLOOKUP($H142,'TRA TECH'!$J:$J,'TRA TECH'!AD:AD)))</f>
        <v>*</v>
      </c>
      <c r="AB142" t="str">
        <f t="shared" si="13"/>
        <v>*</v>
      </c>
      <c r="AC142" s="15" t="str">
        <f>IF(H142="*","*",IF(_xlfn.XLOOKUP($H142,'TRA TECH'!$J:$J,'TRA TECH'!AE:AE)="","",_xlfn.XLOOKUP($H142,'TRA TECH'!$J:$J,'TRA TECH'!AE:AE)))</f>
        <v>*</v>
      </c>
      <c r="AD142" s="15" t="str">
        <f>IF(H142="*","*",IF(_xlfn.XLOOKUP($H142,'TRA TECH'!$J:$J,'TRA TECH'!AF:AF)="","",_xlfn.XLOOKUP($H142,'TRA TECH'!$J:$J,'TRA TECH'!AF:AF)))</f>
        <v>*</v>
      </c>
      <c r="AE142" s="15" t="str">
        <f>IF(H142="*","*",IF(_xlfn.XLOOKUP($H142,'TRA TECH'!$J:$J,'TRA TECH'!AG:AG)="","",_xlfn.XLOOKUP($H142,'TRA TECH'!$J:$J,'TRA TECH'!AG:AG)))</f>
        <v>*</v>
      </c>
      <c r="AF142" s="15" t="str">
        <f>IF(H142="*","*",IF(_xlfn.XLOOKUP($H142,'TRA TECH'!$J:$J,'TRA TECH'!AH:AH)="","",_xlfn.XLOOKUP($H142,'TRA TECH'!$J:$J,'TRA TECH'!AH:AH)))</f>
        <v>*</v>
      </c>
      <c r="AG142" s="15" t="str">
        <f>IF(H142="*","*",IF(_xlfn.XLOOKUP($H142,'TRA TECH'!$J:$J,'TRA TECH'!AI:AI)="","",_xlfn.XLOOKUP($H142,'TRA TECH'!$J:$J,'TRA TECH'!AI:AI)))</f>
        <v>*</v>
      </c>
      <c r="AH142" s="15" t="str">
        <f>IF(H142="*","*",IF(_xlfn.XLOOKUP($H142,'TRA TECH'!$J:$J,'TRA TECH'!AJ:AJ)="","",_xlfn.XLOOKUP($H142,'TRA TECH'!$J:$J,'TRA TECH'!AJ:AJ)))</f>
        <v>*</v>
      </c>
      <c r="AI142" s="15" t="str">
        <f>IF(H142="*","*",IF(_xlfn.XLOOKUP($H142,'TRA TECH'!$J:$J,'TRA TECH'!AK:AK)="","",_xlfn.XLOOKUP($H142,'TRA TECH'!$J:$J,'TRA TECH'!AK:AK)))</f>
        <v>*</v>
      </c>
      <c r="AJ142" s="15" t="str">
        <f t="shared" si="14"/>
        <v>*</v>
      </c>
      <c r="AK142" s="16" t="str">
        <f t="shared" si="15"/>
        <v>*</v>
      </c>
    </row>
    <row r="143" spans="2:37" x14ac:dyDescent="0.25">
      <c r="B143" t="str">
        <f>IF('TRA TECH'!M139=0,"*",IF('TRA TECH'!H139="","*",'TRA TECH'!J139))</f>
        <v>TRAFRERFTPHEVDSL20</v>
      </c>
      <c r="C143" t="str">
        <f>IF('TRA TECH'!M139=0,"*",'TRA TECH'!H139)</f>
        <v>TRABAF</v>
      </c>
      <c r="D143" t="s">
        <v>424</v>
      </c>
      <c r="E143" s="9">
        <f>'TRA TECH'!P139</f>
        <v>0.69047619047618847</v>
      </c>
      <c r="H143" t="str">
        <f>IF('TRA TECH'!M139=1,IF('TRA TECH'!L139=1,'TRA TECH'!J139,"*"),"*")</f>
        <v>*</v>
      </c>
      <c r="I143" t="str">
        <f>IF(H143="*","*",_xlfn.XLOOKUP(H143,'TRA TECH'!J:J,'TRA TECH'!I:I))</f>
        <v>*</v>
      </c>
      <c r="J143" t="str">
        <f>IF(H143="*","*",_xlfn.XLOOKUP(H143,'TRA TECH'!J:J,'TRA TECH'!N:N))</f>
        <v>*</v>
      </c>
      <c r="K143" s="15" t="str">
        <f>IF(H143="*","*",IF(_xlfn.XLOOKUP(H143,'TRA TECH'!J:J,'TRA TECH'!O:O)="","",_xlfn.XLOOKUP(H143,'TRA TECH'!J:J,'TRA TECH'!O:O)))</f>
        <v>*</v>
      </c>
      <c r="L143" t="str">
        <f t="shared" si="11"/>
        <v>*</v>
      </c>
      <c r="M143" t="str">
        <f>IF(H143="*","*",IF(_xlfn.XLOOKUP($H143,'TRA TECH'!$J:$J,'TRA TECH'!Q:Q)="","",_xlfn.XLOOKUP($H143,'TRA TECH'!$J:$J,'TRA TECH'!Q:Q)))</f>
        <v>*</v>
      </c>
      <c r="N143" t="str">
        <f>IF(H143="*","*",IF(_xlfn.XLOOKUP($H143,'TRA TECH'!$J:$J,'TRA TECH'!R:R)="","",_xlfn.XLOOKUP($H143,'TRA TECH'!$J:$J,'TRA TECH'!R:R)))</f>
        <v>*</v>
      </c>
      <c r="O143" t="str">
        <f>IF(H143="*","*",IF(_xlfn.XLOOKUP($H143,'TRA TECH'!$J:$J,'TRA TECH'!S:S)="","",_xlfn.XLOOKUP($H143,'TRA TECH'!$J:$J,'TRA TECH'!S:S)))</f>
        <v>*</v>
      </c>
      <c r="P143" t="str">
        <f>IF(H143="*","*",IF(_xlfn.XLOOKUP($H143,'TRA TECH'!$J:$J,'TRA TECH'!T:T)="","",_xlfn.XLOOKUP($H143,'TRA TECH'!$J:$J,'TRA TECH'!T:T)))</f>
        <v>*</v>
      </c>
      <c r="Q143" t="str">
        <f>IF(H143="*","*",IF(_xlfn.XLOOKUP($H143,'TRA TECH'!$J:$J,'TRA TECH'!U:U)="","",_xlfn.XLOOKUP($H143,'TRA TECH'!$J:$J,'TRA TECH'!U:U)))</f>
        <v>*</v>
      </c>
      <c r="R143" t="str">
        <f>IF(H143="*","*",IF(_xlfn.XLOOKUP($H143,'TRA TECH'!$J:$J,'TRA TECH'!V:V)="","",_xlfn.XLOOKUP($H143,'TRA TECH'!$J:$J,'TRA TECH'!V:V)))</f>
        <v>*</v>
      </c>
      <c r="S143" t="str">
        <f>IF(H143="*","*",IF(_xlfn.XLOOKUP($H143,'TRA TECH'!$J:$J,'TRA TECH'!W:W)="","",_xlfn.XLOOKUP($H143,'TRA TECH'!$J:$J,'TRA TECH'!W:W)))</f>
        <v>*</v>
      </c>
      <c r="T143" t="str">
        <f t="shared" si="12"/>
        <v>*</v>
      </c>
      <c r="U143" t="str">
        <f>IF(H143="*","*",IF(_xlfn.XLOOKUP($H143,'TRA TECH'!$J:$J,'TRA TECH'!X:X)="","",_xlfn.XLOOKUP($H143,'TRA TECH'!$J:$J,'TRA TECH'!X:X)))</f>
        <v>*</v>
      </c>
      <c r="V143" t="str">
        <f>IF(H143="*","*",IF(_xlfn.XLOOKUP($H143,'TRA TECH'!$J:$J,'TRA TECH'!Y:Y)="","",_xlfn.XLOOKUP($H143,'TRA TECH'!$J:$J,'TRA TECH'!Y:Y)))</f>
        <v>*</v>
      </c>
      <c r="W143" t="str">
        <f>IF(H143="*","*",IF(_xlfn.XLOOKUP($H143,'TRA TECH'!$J:$J,'TRA TECH'!Z:Z)="","",_xlfn.XLOOKUP($H143,'TRA TECH'!$J:$J,'TRA TECH'!Z:Z)))</f>
        <v>*</v>
      </c>
      <c r="X143" t="str">
        <f>IF(H143="*","*",IF(_xlfn.XLOOKUP($H143,'TRA TECH'!$J:$J,'TRA TECH'!AA:AA)="","",_xlfn.XLOOKUP($H143,'TRA TECH'!$J:$J,'TRA TECH'!AA:AA)))</f>
        <v>*</v>
      </c>
      <c r="Y143" t="str">
        <f>IF(H143="*","*",IF(_xlfn.XLOOKUP($H143,'TRA TECH'!$J:$J,'TRA TECH'!AB:AB)="","",_xlfn.XLOOKUP($H143,'TRA TECH'!$J:$J,'TRA TECH'!AB:AB)))</f>
        <v>*</v>
      </c>
      <c r="Z143" t="str">
        <f>IF(H143="*","*",IF(_xlfn.XLOOKUP($H143,'TRA TECH'!$J:$J,'TRA TECH'!AC:AC)="","",_xlfn.XLOOKUP($H143,'TRA TECH'!$J:$J,'TRA TECH'!AC:AC)))</f>
        <v>*</v>
      </c>
      <c r="AA143" t="str">
        <f>IF(H143="*","*",IF(_xlfn.XLOOKUP($H143,'TRA TECH'!$J:$J,'TRA TECH'!AD:AD)="","",_xlfn.XLOOKUP($H143,'TRA TECH'!$J:$J,'TRA TECH'!AD:AD)))</f>
        <v>*</v>
      </c>
      <c r="AB143" t="str">
        <f t="shared" si="13"/>
        <v>*</v>
      </c>
      <c r="AC143" s="15" t="str">
        <f>IF(H143="*","*",IF(_xlfn.XLOOKUP($H143,'TRA TECH'!$J:$J,'TRA TECH'!AE:AE)="","",_xlfn.XLOOKUP($H143,'TRA TECH'!$J:$J,'TRA TECH'!AE:AE)))</f>
        <v>*</v>
      </c>
      <c r="AD143" s="15" t="str">
        <f>IF(H143="*","*",IF(_xlfn.XLOOKUP($H143,'TRA TECH'!$J:$J,'TRA TECH'!AF:AF)="","",_xlfn.XLOOKUP($H143,'TRA TECH'!$J:$J,'TRA TECH'!AF:AF)))</f>
        <v>*</v>
      </c>
      <c r="AE143" s="15" t="str">
        <f>IF(H143="*","*",IF(_xlfn.XLOOKUP($H143,'TRA TECH'!$J:$J,'TRA TECH'!AG:AG)="","",_xlfn.XLOOKUP($H143,'TRA TECH'!$J:$J,'TRA TECH'!AG:AG)))</f>
        <v>*</v>
      </c>
      <c r="AF143" s="15" t="str">
        <f>IF(H143="*","*",IF(_xlfn.XLOOKUP($H143,'TRA TECH'!$J:$J,'TRA TECH'!AH:AH)="","",_xlfn.XLOOKUP($H143,'TRA TECH'!$J:$J,'TRA TECH'!AH:AH)))</f>
        <v>*</v>
      </c>
      <c r="AG143" s="15" t="str">
        <f>IF(H143="*","*",IF(_xlfn.XLOOKUP($H143,'TRA TECH'!$J:$J,'TRA TECH'!AI:AI)="","",_xlfn.XLOOKUP($H143,'TRA TECH'!$J:$J,'TRA TECH'!AI:AI)))</f>
        <v>*</v>
      </c>
      <c r="AH143" s="15" t="str">
        <f>IF(H143="*","*",IF(_xlfn.XLOOKUP($H143,'TRA TECH'!$J:$J,'TRA TECH'!AJ:AJ)="","",_xlfn.XLOOKUP($H143,'TRA TECH'!$J:$J,'TRA TECH'!AJ:AJ)))</f>
        <v>*</v>
      </c>
      <c r="AI143" s="15" t="str">
        <f>IF(H143="*","*",IF(_xlfn.XLOOKUP($H143,'TRA TECH'!$J:$J,'TRA TECH'!AK:AK)="","",_xlfn.XLOOKUP($H143,'TRA TECH'!$J:$J,'TRA TECH'!AK:AK)))</f>
        <v>*</v>
      </c>
      <c r="AJ143" s="15" t="str">
        <f t="shared" si="14"/>
        <v>*</v>
      </c>
      <c r="AK143" s="16" t="str">
        <f t="shared" si="15"/>
        <v>*</v>
      </c>
    </row>
    <row r="144" spans="2:37" x14ac:dyDescent="0.25">
      <c r="B144" t="str">
        <f>IF('TRA TECH'!M140=0,"*",IF('TRA TECH'!H140="","*",'TRA TECH'!J140))</f>
        <v>TRAFRERFTFCEV20</v>
      </c>
      <c r="C144" t="str">
        <f>IF('TRA TECH'!M140=0,"*",'TRA TECH'!H140)</f>
        <v>TRAH2G</v>
      </c>
      <c r="D144" t="s">
        <v>424</v>
      </c>
      <c r="E144" s="9">
        <f>'TRA TECH'!P140</f>
        <v>1</v>
      </c>
      <c r="H144" t="str">
        <f>IF('TRA TECH'!M140=1,IF('TRA TECH'!L140=1,'TRA TECH'!J140,"*"),"*")</f>
        <v>TRAFRERFTFCEV20</v>
      </c>
      <c r="I144" t="str">
        <f>IF(H144="*","*",_xlfn.XLOOKUP(H144,'TRA TECH'!J:J,'TRA TECH'!I:I))</f>
        <v>TRAFRERFTDMD</v>
      </c>
      <c r="J144">
        <f>IF(H144="*","*",_xlfn.XLOOKUP(H144,'TRA TECH'!J:J,'TRA TECH'!N:N))</f>
        <v>2020</v>
      </c>
      <c r="K144" s="15">
        <f>IF(H144="*","*",IF(_xlfn.XLOOKUP(H144,'TRA TECH'!J:J,'TRA TECH'!O:O)="","",_xlfn.XLOOKUP(H144,'TRA TECH'!J:J,'TRA TECH'!O:O)))</f>
        <v>8</v>
      </c>
      <c r="L144">
        <f t="shared" si="11"/>
        <v>1</v>
      </c>
      <c r="M144">
        <f>IF(H144="*","*",IF(_xlfn.XLOOKUP($H144,'TRA TECH'!$J:$J,'TRA TECH'!Q:Q)="","",_xlfn.XLOOKUP($H144,'TRA TECH'!$J:$J,'TRA TECH'!Q:Q)))</f>
        <v>0.20030575667655801</v>
      </c>
      <c r="N144">
        <f>IF(H144="*","*",IF(_xlfn.XLOOKUP($H144,'TRA TECH'!$J:$J,'TRA TECH'!R:R)="","",_xlfn.XLOOKUP($H144,'TRA TECH'!$J:$J,'TRA TECH'!R:R)))</f>
        <v>0.20030575667655801</v>
      </c>
      <c r="O144">
        <f>IF(H144="*","*",IF(_xlfn.XLOOKUP($H144,'TRA TECH'!$J:$J,'TRA TECH'!S:S)="","",_xlfn.XLOOKUP($H144,'TRA TECH'!$J:$J,'TRA TECH'!S:S)))</f>
        <v>0.22020367952522271</v>
      </c>
      <c r="P144">
        <f>IF(H144="*","*",IF(_xlfn.XLOOKUP($H144,'TRA TECH'!$J:$J,'TRA TECH'!T:T)="","",_xlfn.XLOOKUP($H144,'TRA TECH'!$J:$J,'TRA TECH'!T:T)))</f>
        <v>0.24142813056379819</v>
      </c>
      <c r="Q144">
        <f>IF(H144="*","*",IF(_xlfn.XLOOKUP($H144,'TRA TECH'!$J:$J,'TRA TECH'!U:U)="","",_xlfn.XLOOKUP($H144,'TRA TECH'!$J:$J,'TRA TECH'!U:U)))</f>
        <v>0.25071382789317492</v>
      </c>
      <c r="R144">
        <f>IF(H144="*","*",IF(_xlfn.XLOOKUP($H144,'TRA TECH'!$J:$J,'TRA TECH'!V:V)="","",_xlfn.XLOOKUP($H144,'TRA TECH'!$J:$J,'TRA TECH'!V:V)))</f>
        <v>0.26132605341246301</v>
      </c>
      <c r="S144">
        <f>IF(H144="*","*",IF(_xlfn.XLOOKUP($H144,'TRA TECH'!$J:$J,'TRA TECH'!W:W)="","",_xlfn.XLOOKUP($H144,'TRA TECH'!$J:$J,'TRA TECH'!W:W)))</f>
        <v>0.27061175074183957</v>
      </c>
      <c r="T144">
        <f t="shared" si="12"/>
        <v>0.27061175074183957</v>
      </c>
      <c r="U144">
        <f>IF(H144="*","*",IF(_xlfn.XLOOKUP($H144,'TRA TECH'!$J:$J,'TRA TECH'!X:X)="","",_xlfn.XLOOKUP($H144,'TRA TECH'!$J:$J,'TRA TECH'!X:X)))</f>
        <v>635.89595462439217</v>
      </c>
      <c r="V144">
        <f>IF(H144="*","*",IF(_xlfn.XLOOKUP($H144,'TRA TECH'!$J:$J,'TRA TECH'!Y:Y)="","",_xlfn.XLOOKUP($H144,'TRA TECH'!$J:$J,'TRA TECH'!Y:Y)))</f>
        <v>635.89595462439217</v>
      </c>
      <c r="W144">
        <f>IF(H144="*","*",IF(_xlfn.XLOOKUP($H144,'TRA TECH'!$J:$J,'TRA TECH'!Z:Z)="","",_xlfn.XLOOKUP($H144,'TRA TECH'!$J:$J,'TRA TECH'!Z:Z)))</f>
        <v>598.19742487596693</v>
      </c>
      <c r="X144">
        <f>IF(H144="*","*",IF(_xlfn.XLOOKUP($H144,'TRA TECH'!$J:$J,'TRA TECH'!AA:AA)="","",_xlfn.XLOOKUP($H144,'TRA TECH'!$J:$J,'TRA TECH'!AA:AA)))</f>
        <v>566.18923924051046</v>
      </c>
      <c r="Y144">
        <f>IF(H144="*","*",IF(_xlfn.XLOOKUP($H144,'TRA TECH'!$J:$J,'TRA TECH'!AB:AB)="","",_xlfn.XLOOKUP($H144,'TRA TECH'!$J:$J,'TRA TECH'!AB:AB)))</f>
        <v>553.38596498632808</v>
      </c>
      <c r="Z144">
        <f>IF(H144="*","*",IF(_xlfn.XLOOKUP($H144,'TRA TECH'!$J:$J,'TRA TECH'!AC:AC)="","",_xlfn.XLOOKUP($H144,'TRA TECH'!$J:$J,'TRA TECH'!AC:AC)))</f>
        <v>540.58269073214626</v>
      </c>
      <c r="AA144">
        <f>IF(H144="*","*",IF(_xlfn.XLOOKUP($H144,'TRA TECH'!$J:$J,'TRA TECH'!AD:AD)="","",_xlfn.XLOOKUP($H144,'TRA TECH'!$J:$J,'TRA TECH'!AD:AD)))</f>
        <v>527.77941647796388</v>
      </c>
      <c r="AB144">
        <f t="shared" si="13"/>
        <v>527.77941647796388</v>
      </c>
      <c r="AC144" s="15">
        <f>IF(H144="*","*",IF(_xlfn.XLOOKUP($H144,'TRA TECH'!$J:$J,'TRA TECH'!AE:AE)="","",_xlfn.XLOOKUP($H144,'TRA TECH'!$J:$J,'TRA TECH'!AE:AE)))</f>
        <v>10.49157195828835</v>
      </c>
      <c r="AD144" s="15">
        <f>IF(H144="*","*",IF(_xlfn.XLOOKUP($H144,'TRA TECH'!$J:$J,'TRA TECH'!AF:AF)="","",_xlfn.XLOOKUP($H144,'TRA TECH'!$J:$J,'TRA TECH'!AF:AF)))</f>
        <v>10.49157195828835</v>
      </c>
      <c r="AE144" s="15">
        <f>IF(H144="*","*",IF(_xlfn.XLOOKUP($H144,'TRA TECH'!$J:$J,'TRA TECH'!AG:AG)="","",_xlfn.XLOOKUP($H144,'TRA TECH'!$J:$J,'TRA TECH'!AG:AG)))</f>
        <v>10.49157195828835</v>
      </c>
      <c r="AF144" s="15">
        <f>IF(H144="*","*",IF(_xlfn.XLOOKUP($H144,'TRA TECH'!$J:$J,'TRA TECH'!AH:AH)="","",_xlfn.XLOOKUP($H144,'TRA TECH'!$J:$J,'TRA TECH'!AH:AH)))</f>
        <v>10.49157195828835</v>
      </c>
      <c r="AG144" s="15">
        <f>IF(H144="*","*",IF(_xlfn.XLOOKUP($H144,'TRA TECH'!$J:$J,'TRA TECH'!AI:AI)="","",_xlfn.XLOOKUP($H144,'TRA TECH'!$J:$J,'TRA TECH'!AI:AI)))</f>
        <v>10.49157195828835</v>
      </c>
      <c r="AH144" s="15">
        <f>IF(H144="*","*",IF(_xlfn.XLOOKUP($H144,'TRA TECH'!$J:$J,'TRA TECH'!AJ:AJ)="","",_xlfn.XLOOKUP($H144,'TRA TECH'!$J:$J,'TRA TECH'!AJ:AJ)))</f>
        <v>10.49157195828835</v>
      </c>
      <c r="AI144" s="15">
        <f>IF(H144="*","*",IF(_xlfn.XLOOKUP($H144,'TRA TECH'!$J:$J,'TRA TECH'!AK:AK)="","",_xlfn.XLOOKUP($H144,'TRA TECH'!$J:$J,'TRA TECH'!AK:AK)))</f>
        <v>10.49157195828835</v>
      </c>
      <c r="AJ144" s="15">
        <f t="shared" si="14"/>
        <v>10.49157195828835</v>
      </c>
      <c r="AK144" s="16">
        <f t="shared" si="15"/>
        <v>0.4</v>
      </c>
    </row>
    <row r="145" spans="2:37" x14ac:dyDescent="0.25">
      <c r="B145" t="str">
        <f>IF('TRA TECH'!M141=0,"*",IF('TRA TECH'!H141="","*",'TRA TECH'!J141))</f>
        <v>TRAFRERFTFCHEV20</v>
      </c>
      <c r="C145" t="str">
        <f>IF('TRA TECH'!M141=0,"*",'TRA TECH'!H141)</f>
        <v>TRAH2G</v>
      </c>
      <c r="D145" t="s">
        <v>424</v>
      </c>
      <c r="E145" s="9">
        <f>'TRA TECH'!P141</f>
        <v>0.89763779527559173</v>
      </c>
      <c r="H145" t="str">
        <f>IF('TRA TECH'!M141=1,IF('TRA TECH'!L141=1,'TRA TECH'!J141,"*"),"*")</f>
        <v>TRAFRERFTFCHEV20</v>
      </c>
      <c r="I145" t="str">
        <f>IF(H145="*","*",_xlfn.XLOOKUP(H145,'TRA TECH'!J:J,'TRA TECH'!I:I))</f>
        <v>TRAFRERFTDMD</v>
      </c>
      <c r="J145">
        <f>IF(H145="*","*",_xlfn.XLOOKUP(H145,'TRA TECH'!J:J,'TRA TECH'!N:N))</f>
        <v>2020</v>
      </c>
      <c r="K145" s="15">
        <f>IF(H145="*","*",IF(_xlfn.XLOOKUP(H145,'TRA TECH'!J:J,'TRA TECH'!O:O)="","",_xlfn.XLOOKUP(H145,'TRA TECH'!J:J,'TRA TECH'!O:O)))</f>
        <v>8</v>
      </c>
      <c r="L145">
        <f t="shared" si="11"/>
        <v>1</v>
      </c>
      <c r="M145">
        <f>IF(H145="*","*",IF(_xlfn.XLOOKUP($H145,'TRA TECH'!$J:$J,'TRA TECH'!Q:Q)="","",_xlfn.XLOOKUP($H145,'TRA TECH'!$J:$J,'TRA TECH'!Q:Q)))</f>
        <v>0.2175506231454005</v>
      </c>
      <c r="N145">
        <f>IF(H145="*","*",IF(_xlfn.XLOOKUP($H145,'TRA TECH'!$J:$J,'TRA TECH'!R:R)="","",_xlfn.XLOOKUP($H145,'TRA TECH'!$J:$J,'TRA TECH'!R:R)))</f>
        <v>0.2175506231454005</v>
      </c>
      <c r="O145">
        <f>IF(H145="*","*",IF(_xlfn.XLOOKUP($H145,'TRA TECH'!$J:$J,'TRA TECH'!S:S)="","",_xlfn.XLOOKUP($H145,'TRA TECH'!$J:$J,'TRA TECH'!S:S)))</f>
        <v>0.24010160237388731</v>
      </c>
      <c r="P145">
        <f>IF(H145="*","*",IF(_xlfn.XLOOKUP($H145,'TRA TECH'!$J:$J,'TRA TECH'!T:T)="","",_xlfn.XLOOKUP($H145,'TRA TECH'!$J:$J,'TRA TECH'!T:T)))</f>
        <v>0.25867299703264102</v>
      </c>
      <c r="Q145">
        <f>IF(H145="*","*",IF(_xlfn.XLOOKUP($H145,'TRA TECH'!$J:$J,'TRA TECH'!U:U)="","",_xlfn.XLOOKUP($H145,'TRA TECH'!$J:$J,'TRA TECH'!U:U)))</f>
        <v>0.26663216617210689</v>
      </c>
      <c r="R145">
        <f>IF(H145="*","*",IF(_xlfn.XLOOKUP($H145,'TRA TECH'!$J:$J,'TRA TECH'!V:V)="","",_xlfn.XLOOKUP($H145,'TRA TECH'!$J:$J,'TRA TECH'!V:V)))</f>
        <v>0.27591786350148362</v>
      </c>
      <c r="S145">
        <f>IF(H145="*","*",IF(_xlfn.XLOOKUP($H145,'TRA TECH'!$J:$J,'TRA TECH'!W:W)="","",_xlfn.XLOOKUP($H145,'TRA TECH'!$J:$J,'TRA TECH'!W:W)))</f>
        <v>0.28387703264094938</v>
      </c>
      <c r="T145">
        <f t="shared" si="12"/>
        <v>0.28387703264094938</v>
      </c>
      <c r="U145">
        <f>IF(H145="*","*",IF(_xlfn.XLOOKUP($H145,'TRA TECH'!$J:$J,'TRA TECH'!X:X)="","",_xlfn.XLOOKUP($H145,'TRA TECH'!$J:$J,'TRA TECH'!X:X)))</f>
        <v>537.02622566153968</v>
      </c>
      <c r="V145">
        <f>IF(H145="*","*",IF(_xlfn.XLOOKUP($H145,'TRA TECH'!$J:$J,'TRA TECH'!Y:Y)="","",_xlfn.XLOOKUP($H145,'TRA TECH'!$J:$J,'TRA TECH'!Y:Y)))</f>
        <v>537.02622566153968</v>
      </c>
      <c r="W145">
        <f>IF(H145="*","*",IF(_xlfn.XLOOKUP($H145,'TRA TECH'!$J:$J,'TRA TECH'!Z:Z)="","",_xlfn.XLOOKUP($H145,'TRA TECH'!$J:$J,'TRA TECH'!Z:Z)))</f>
        <v>500.03898892723481</v>
      </c>
      <c r="X145">
        <f>IF(H145="*","*",IF(_xlfn.XLOOKUP($H145,'TRA TECH'!$J:$J,'TRA TECH'!AA:AA)="","",_xlfn.XLOOKUP($H145,'TRA TECH'!$J:$J,'TRA TECH'!AA:AA)))</f>
        <v>476.56631946123417</v>
      </c>
      <c r="Y145">
        <f>IF(H145="*","*",IF(_xlfn.XLOOKUP($H145,'TRA TECH'!$J:$J,'TRA TECH'!AB:AB)="","",_xlfn.XLOOKUP($H145,'TRA TECH'!$J:$J,'TRA TECH'!AB:AB)))</f>
        <v>466.60821726353652</v>
      </c>
      <c r="Z145">
        <f>IF(H145="*","*",IF(_xlfn.XLOOKUP($H145,'TRA TECH'!$J:$J,'TRA TECH'!AC:AC)="","",_xlfn.XLOOKUP($H145,'TRA TECH'!$J:$J,'TRA TECH'!AC:AC)))</f>
        <v>456.65011506583892</v>
      </c>
      <c r="AA145">
        <f>IF(H145="*","*",IF(_xlfn.XLOOKUP($H145,'TRA TECH'!$J:$J,'TRA TECH'!AD:AD)="","",_xlfn.XLOOKUP($H145,'TRA TECH'!$J:$J,'TRA TECH'!AD:AD)))</f>
        <v>446.69201286814172</v>
      </c>
      <c r="AB145">
        <f t="shared" si="13"/>
        <v>446.69201286814172</v>
      </c>
      <c r="AC145" s="15">
        <f>IF(H145="*","*",IF(_xlfn.XLOOKUP($H145,'TRA TECH'!$J:$J,'TRA TECH'!AE:AE)="","",_xlfn.XLOOKUP($H145,'TRA TECH'!$J:$J,'TRA TECH'!AE:AE)))</f>
        <v>10.49157195828835</v>
      </c>
      <c r="AD145" s="15">
        <f>IF(H145="*","*",IF(_xlfn.XLOOKUP($H145,'TRA TECH'!$J:$J,'TRA TECH'!AF:AF)="","",_xlfn.XLOOKUP($H145,'TRA TECH'!$J:$J,'TRA TECH'!AF:AF)))</f>
        <v>10.49157195828835</v>
      </c>
      <c r="AE145" s="15">
        <f>IF(H145="*","*",IF(_xlfn.XLOOKUP($H145,'TRA TECH'!$J:$J,'TRA TECH'!AG:AG)="","",_xlfn.XLOOKUP($H145,'TRA TECH'!$J:$J,'TRA TECH'!AG:AG)))</f>
        <v>10.49157195828835</v>
      </c>
      <c r="AF145" s="15">
        <f>IF(H145="*","*",IF(_xlfn.XLOOKUP($H145,'TRA TECH'!$J:$J,'TRA TECH'!AH:AH)="","",_xlfn.XLOOKUP($H145,'TRA TECH'!$J:$J,'TRA TECH'!AH:AH)))</f>
        <v>10.49157195828835</v>
      </c>
      <c r="AG145" s="15">
        <f>IF(H145="*","*",IF(_xlfn.XLOOKUP($H145,'TRA TECH'!$J:$J,'TRA TECH'!AI:AI)="","",_xlfn.XLOOKUP($H145,'TRA TECH'!$J:$J,'TRA TECH'!AI:AI)))</f>
        <v>10.49157195828835</v>
      </c>
      <c r="AH145" s="15">
        <f>IF(H145="*","*",IF(_xlfn.XLOOKUP($H145,'TRA TECH'!$J:$J,'TRA TECH'!AJ:AJ)="","",_xlfn.XLOOKUP($H145,'TRA TECH'!$J:$J,'TRA TECH'!AJ:AJ)))</f>
        <v>10.49157195828835</v>
      </c>
      <c r="AI145" s="15">
        <f>IF(H145="*","*",IF(_xlfn.XLOOKUP($H145,'TRA TECH'!$J:$J,'TRA TECH'!AK:AK)="","",_xlfn.XLOOKUP($H145,'TRA TECH'!$J:$J,'TRA TECH'!AK:AK)))</f>
        <v>10.49157195828835</v>
      </c>
      <c r="AJ145" s="15">
        <f t="shared" si="14"/>
        <v>10.49157195828835</v>
      </c>
      <c r="AK145" s="16">
        <f t="shared" si="15"/>
        <v>0.25</v>
      </c>
    </row>
    <row r="146" spans="2:37" x14ac:dyDescent="0.25">
      <c r="B146" t="str">
        <f>IF('TRA TECH'!M142=0,"*",IF('TRA TECH'!H142="","*",'TRA TECH'!J142))</f>
        <v>TRAFRERFTFCHEV20</v>
      </c>
      <c r="C146" t="str">
        <f>IF('TRA TECH'!M142=0,"*",'TRA TECH'!H142)</f>
        <v>TRABAF</v>
      </c>
      <c r="D146" t="s">
        <v>424</v>
      </c>
      <c r="E146" s="9">
        <f>'TRA TECH'!P142</f>
        <v>0.1023622047244083</v>
      </c>
      <c r="H146" t="str">
        <f>IF('TRA TECH'!M142=1,IF('TRA TECH'!L142=1,'TRA TECH'!J142,"*"),"*")</f>
        <v>*</v>
      </c>
      <c r="I146" t="str">
        <f>IF(H146="*","*",_xlfn.XLOOKUP(H146,'TRA TECH'!J:J,'TRA TECH'!I:I))</f>
        <v>*</v>
      </c>
      <c r="J146" t="str">
        <f>IF(H146="*","*",_xlfn.XLOOKUP(H146,'TRA TECH'!J:J,'TRA TECH'!N:N))</f>
        <v>*</v>
      </c>
      <c r="K146" s="15" t="str">
        <f>IF(H146="*","*",IF(_xlfn.XLOOKUP(H146,'TRA TECH'!J:J,'TRA TECH'!O:O)="","",_xlfn.XLOOKUP(H146,'TRA TECH'!J:J,'TRA TECH'!O:O)))</f>
        <v>*</v>
      </c>
      <c r="L146" t="str">
        <f t="shared" si="11"/>
        <v>*</v>
      </c>
      <c r="M146" t="str">
        <f>IF(H146="*","*",IF(_xlfn.XLOOKUP($H146,'TRA TECH'!$J:$J,'TRA TECH'!Q:Q)="","",_xlfn.XLOOKUP($H146,'TRA TECH'!$J:$J,'TRA TECH'!Q:Q)))</f>
        <v>*</v>
      </c>
      <c r="N146" t="str">
        <f>IF(H146="*","*",IF(_xlfn.XLOOKUP($H146,'TRA TECH'!$J:$J,'TRA TECH'!R:R)="","",_xlfn.XLOOKUP($H146,'TRA TECH'!$J:$J,'TRA TECH'!R:R)))</f>
        <v>*</v>
      </c>
      <c r="O146" t="str">
        <f>IF(H146="*","*",IF(_xlfn.XLOOKUP($H146,'TRA TECH'!$J:$J,'TRA TECH'!S:S)="","",_xlfn.XLOOKUP($H146,'TRA TECH'!$J:$J,'TRA TECH'!S:S)))</f>
        <v>*</v>
      </c>
      <c r="P146" t="str">
        <f>IF(H146="*","*",IF(_xlfn.XLOOKUP($H146,'TRA TECH'!$J:$J,'TRA TECH'!T:T)="","",_xlfn.XLOOKUP($H146,'TRA TECH'!$J:$J,'TRA TECH'!T:T)))</f>
        <v>*</v>
      </c>
      <c r="Q146" t="str">
        <f>IF(H146="*","*",IF(_xlfn.XLOOKUP($H146,'TRA TECH'!$J:$J,'TRA TECH'!U:U)="","",_xlfn.XLOOKUP($H146,'TRA TECH'!$J:$J,'TRA TECH'!U:U)))</f>
        <v>*</v>
      </c>
      <c r="R146" t="str">
        <f>IF(H146="*","*",IF(_xlfn.XLOOKUP($H146,'TRA TECH'!$J:$J,'TRA TECH'!V:V)="","",_xlfn.XLOOKUP($H146,'TRA TECH'!$J:$J,'TRA TECH'!V:V)))</f>
        <v>*</v>
      </c>
      <c r="S146" t="str">
        <f>IF(H146="*","*",IF(_xlfn.XLOOKUP($H146,'TRA TECH'!$J:$J,'TRA TECH'!W:W)="","",_xlfn.XLOOKUP($H146,'TRA TECH'!$J:$J,'TRA TECH'!W:W)))</f>
        <v>*</v>
      </c>
      <c r="T146" t="str">
        <f t="shared" si="12"/>
        <v>*</v>
      </c>
      <c r="U146" t="str">
        <f>IF(H146="*","*",IF(_xlfn.XLOOKUP($H146,'TRA TECH'!$J:$J,'TRA TECH'!X:X)="","",_xlfn.XLOOKUP($H146,'TRA TECH'!$J:$J,'TRA TECH'!X:X)))</f>
        <v>*</v>
      </c>
      <c r="V146" t="str">
        <f>IF(H146="*","*",IF(_xlfn.XLOOKUP($H146,'TRA TECH'!$J:$J,'TRA TECH'!Y:Y)="","",_xlfn.XLOOKUP($H146,'TRA TECH'!$J:$J,'TRA TECH'!Y:Y)))</f>
        <v>*</v>
      </c>
      <c r="W146" t="str">
        <f>IF(H146="*","*",IF(_xlfn.XLOOKUP($H146,'TRA TECH'!$J:$J,'TRA TECH'!Z:Z)="","",_xlfn.XLOOKUP($H146,'TRA TECH'!$J:$J,'TRA TECH'!Z:Z)))</f>
        <v>*</v>
      </c>
      <c r="X146" t="str">
        <f>IF(H146="*","*",IF(_xlfn.XLOOKUP($H146,'TRA TECH'!$J:$J,'TRA TECH'!AA:AA)="","",_xlfn.XLOOKUP($H146,'TRA TECH'!$J:$J,'TRA TECH'!AA:AA)))</f>
        <v>*</v>
      </c>
      <c r="Y146" t="str">
        <f>IF(H146="*","*",IF(_xlfn.XLOOKUP($H146,'TRA TECH'!$J:$J,'TRA TECH'!AB:AB)="","",_xlfn.XLOOKUP($H146,'TRA TECH'!$J:$J,'TRA TECH'!AB:AB)))</f>
        <v>*</v>
      </c>
      <c r="Z146" t="str">
        <f>IF(H146="*","*",IF(_xlfn.XLOOKUP($H146,'TRA TECH'!$J:$J,'TRA TECH'!AC:AC)="","",_xlfn.XLOOKUP($H146,'TRA TECH'!$J:$J,'TRA TECH'!AC:AC)))</f>
        <v>*</v>
      </c>
      <c r="AA146" t="str">
        <f>IF(H146="*","*",IF(_xlfn.XLOOKUP($H146,'TRA TECH'!$J:$J,'TRA TECH'!AD:AD)="","",_xlfn.XLOOKUP($H146,'TRA TECH'!$J:$J,'TRA TECH'!AD:AD)))</f>
        <v>*</v>
      </c>
      <c r="AB146" t="str">
        <f t="shared" si="13"/>
        <v>*</v>
      </c>
      <c r="AC146" s="15" t="str">
        <f>IF(H146="*","*",IF(_xlfn.XLOOKUP($H146,'TRA TECH'!$J:$J,'TRA TECH'!AE:AE)="","",_xlfn.XLOOKUP($H146,'TRA TECH'!$J:$J,'TRA TECH'!AE:AE)))</f>
        <v>*</v>
      </c>
      <c r="AD146" s="15" t="str">
        <f>IF(H146="*","*",IF(_xlfn.XLOOKUP($H146,'TRA TECH'!$J:$J,'TRA TECH'!AF:AF)="","",_xlfn.XLOOKUP($H146,'TRA TECH'!$J:$J,'TRA TECH'!AF:AF)))</f>
        <v>*</v>
      </c>
      <c r="AE146" s="15" t="str">
        <f>IF(H146="*","*",IF(_xlfn.XLOOKUP($H146,'TRA TECH'!$J:$J,'TRA TECH'!AG:AG)="","",_xlfn.XLOOKUP($H146,'TRA TECH'!$J:$J,'TRA TECH'!AG:AG)))</f>
        <v>*</v>
      </c>
      <c r="AF146" s="15" t="str">
        <f>IF(H146="*","*",IF(_xlfn.XLOOKUP($H146,'TRA TECH'!$J:$J,'TRA TECH'!AH:AH)="","",_xlfn.XLOOKUP($H146,'TRA TECH'!$J:$J,'TRA TECH'!AH:AH)))</f>
        <v>*</v>
      </c>
      <c r="AG146" s="15" t="str">
        <f>IF(H146="*","*",IF(_xlfn.XLOOKUP($H146,'TRA TECH'!$J:$J,'TRA TECH'!AI:AI)="","",_xlfn.XLOOKUP($H146,'TRA TECH'!$J:$J,'TRA TECH'!AI:AI)))</f>
        <v>*</v>
      </c>
      <c r="AH146" s="15" t="str">
        <f>IF(H146="*","*",IF(_xlfn.XLOOKUP($H146,'TRA TECH'!$J:$J,'TRA TECH'!AJ:AJ)="","",_xlfn.XLOOKUP($H146,'TRA TECH'!$J:$J,'TRA TECH'!AJ:AJ)))</f>
        <v>*</v>
      </c>
      <c r="AI146" s="15" t="str">
        <f>IF(H146="*","*",IF(_xlfn.XLOOKUP($H146,'TRA TECH'!$J:$J,'TRA TECH'!AK:AK)="","",_xlfn.XLOOKUP($H146,'TRA TECH'!$J:$J,'TRA TECH'!AK:AK)))</f>
        <v>*</v>
      </c>
      <c r="AJ146" s="15" t="str">
        <f t="shared" si="14"/>
        <v>*</v>
      </c>
      <c r="AK146" s="16" t="str">
        <f t="shared" si="15"/>
        <v>*</v>
      </c>
    </row>
    <row r="147" spans="2:37" x14ac:dyDescent="0.25">
      <c r="B147" t="str">
        <f>IF('TRA TECH'!M143=0,"*",IF('TRA TECH'!H143="","*",'TRA TECH'!J143))</f>
        <v>TRAFRERFTBEV20</v>
      </c>
      <c r="C147" t="str">
        <f>IF('TRA TECH'!M143=0,"*",'TRA TECH'!H143)</f>
        <v>TRABAF</v>
      </c>
      <c r="D147" t="s">
        <v>424</v>
      </c>
      <c r="E147" s="9">
        <f>'TRA TECH'!P143</f>
        <v>1</v>
      </c>
      <c r="H147" t="str">
        <f>IF('TRA TECH'!M143=1,IF('TRA TECH'!L143=1,'TRA TECH'!J143,"*"),"*")</f>
        <v>TRAFRERFTBEV20</v>
      </c>
      <c r="I147" t="str">
        <f>IF(H147="*","*",_xlfn.XLOOKUP(H147,'TRA TECH'!J:J,'TRA TECH'!I:I))</f>
        <v>TRAFRERFTDMD</v>
      </c>
      <c r="J147">
        <f>IF(H147="*","*",_xlfn.XLOOKUP(H147,'TRA TECH'!J:J,'TRA TECH'!N:N))</f>
        <v>2020</v>
      </c>
      <c r="K147" s="15">
        <f>IF(H147="*","*",IF(_xlfn.XLOOKUP(H147,'TRA TECH'!J:J,'TRA TECH'!O:O)="","",_xlfn.XLOOKUP(H147,'TRA TECH'!J:J,'TRA TECH'!O:O)))</f>
        <v>8</v>
      </c>
      <c r="L147">
        <f t="shared" si="11"/>
        <v>1</v>
      </c>
      <c r="M147">
        <f>IF(H147="*","*",IF(_xlfn.XLOOKUP($H147,'TRA TECH'!$J:$J,'TRA TECH'!Q:Q)="","",_xlfn.XLOOKUP($H147,'TRA TECH'!$J:$J,'TRA TECH'!Q:Q)))</f>
        <v>0.36877483679525219</v>
      </c>
      <c r="N147">
        <f>IF(H147="*","*",IF(_xlfn.XLOOKUP($H147,'TRA TECH'!$J:$J,'TRA TECH'!R:R)="","",_xlfn.XLOOKUP($H147,'TRA TECH'!$J:$J,'TRA TECH'!R:R)))</f>
        <v>0.36877483679525219</v>
      </c>
      <c r="O147">
        <f>IF(H147="*","*",IF(_xlfn.XLOOKUP($H147,'TRA TECH'!$J:$J,'TRA TECH'!S:S)="","",_xlfn.XLOOKUP($H147,'TRA TECH'!$J:$J,'TRA TECH'!S:S)))</f>
        <v>0.40061151335311579</v>
      </c>
      <c r="P147">
        <f>IF(H147="*","*",IF(_xlfn.XLOOKUP($H147,'TRA TECH'!$J:$J,'TRA TECH'!T:T)="","",_xlfn.XLOOKUP($H147,'TRA TECH'!$J:$J,'TRA TECH'!T:T)))</f>
        <v>0.43510124629080099</v>
      </c>
      <c r="Q147">
        <f>IF(H147="*","*",IF(_xlfn.XLOOKUP($H147,'TRA TECH'!$J:$J,'TRA TECH'!U:U)="","",_xlfn.XLOOKUP($H147,'TRA TECH'!$J:$J,'TRA TECH'!U:U)))</f>
        <v>0.44969305637982182</v>
      </c>
      <c r="R147">
        <f>IF(H147="*","*",IF(_xlfn.XLOOKUP($H147,'TRA TECH'!$J:$J,'TRA TECH'!V:V)="","",_xlfn.XLOOKUP($H147,'TRA TECH'!$J:$J,'TRA TECH'!V:V)))</f>
        <v>0.46428486646884271</v>
      </c>
      <c r="S147">
        <f>IF(H147="*","*",IF(_xlfn.XLOOKUP($H147,'TRA TECH'!$J:$J,'TRA TECH'!W:W)="","",_xlfn.XLOOKUP($H147,'TRA TECH'!$J:$J,'TRA TECH'!W:W)))</f>
        <v>0.48152973293768542</v>
      </c>
      <c r="T147">
        <f t="shared" si="12"/>
        <v>0.48152973293768542</v>
      </c>
      <c r="U147">
        <f>IF(H147="*","*",IF(_xlfn.XLOOKUP($H147,'TRA TECH'!$J:$J,'TRA TECH'!X:X)="","",_xlfn.XLOOKUP($H147,'TRA TECH'!$J:$J,'TRA TECH'!X:X)))</f>
        <v>508.57450509669002</v>
      </c>
      <c r="V147">
        <f>IF(H147="*","*",IF(_xlfn.XLOOKUP($H147,'TRA TECH'!$J:$J,'TRA TECH'!Y:Y)="","",_xlfn.XLOOKUP($H147,'TRA TECH'!$J:$J,'TRA TECH'!Y:Y)))</f>
        <v>508.57450509669002</v>
      </c>
      <c r="W147">
        <f>IF(H147="*","*",IF(_xlfn.XLOOKUP($H147,'TRA TECH'!$J:$J,'TRA TECH'!Z:Z)="","",_xlfn.XLOOKUP($H147,'TRA TECH'!$J:$J,'TRA TECH'!Z:Z)))</f>
        <v>462.34045917880923</v>
      </c>
      <c r="X147">
        <f>IF(H147="*","*",IF(_xlfn.XLOOKUP($H147,'TRA TECH'!$J:$J,'TRA TECH'!AA:AA)="","",_xlfn.XLOOKUP($H147,'TRA TECH'!$J:$J,'TRA TECH'!AA:AA)))</f>
        <v>437.44520368456551</v>
      </c>
      <c r="Y147">
        <f>IF(H147="*","*",IF(_xlfn.XLOOKUP($H147,'TRA TECH'!$J:$J,'TRA TECH'!AB:AB)="","",_xlfn.XLOOKUP($H147,'TRA TECH'!$J:$J,'TRA TECH'!AB:AB)))</f>
        <v>426.06451545862558</v>
      </c>
      <c r="Z147">
        <f>IF(H147="*","*",IF(_xlfn.XLOOKUP($H147,'TRA TECH'!$J:$J,'TRA TECH'!AC:AC)="","",_xlfn.XLOOKUP($H147,'TRA TECH'!$J:$J,'TRA TECH'!AC:AC)))</f>
        <v>414.6838272326857</v>
      </c>
      <c r="AA147">
        <f>IF(H147="*","*",IF(_xlfn.XLOOKUP($H147,'TRA TECH'!$J:$J,'TRA TECH'!AD:AD)="","",_xlfn.XLOOKUP($H147,'TRA TECH'!$J:$J,'TRA TECH'!AD:AD)))</f>
        <v>403.30313900674582</v>
      </c>
      <c r="AB147">
        <f t="shared" si="13"/>
        <v>403.30313900674582</v>
      </c>
      <c r="AC147" s="15">
        <f>IF(H147="*","*",IF(_xlfn.XLOOKUP($H147,'TRA TECH'!$J:$J,'TRA TECH'!AE:AE)="","",_xlfn.XLOOKUP($H147,'TRA TECH'!$J:$J,'TRA TECH'!AE:AE)))</f>
        <v>6.7572836341518263</v>
      </c>
      <c r="AD147" s="15">
        <f>IF(H147="*","*",IF(_xlfn.XLOOKUP($H147,'TRA TECH'!$J:$J,'TRA TECH'!AF:AF)="","",_xlfn.XLOOKUP($H147,'TRA TECH'!$J:$J,'TRA TECH'!AF:AF)))</f>
        <v>6.7572836341518263</v>
      </c>
      <c r="AE147" s="15">
        <f>IF(H147="*","*",IF(_xlfn.XLOOKUP($H147,'TRA TECH'!$J:$J,'TRA TECH'!AG:AG)="","",_xlfn.XLOOKUP($H147,'TRA TECH'!$J:$J,'TRA TECH'!AG:AG)))</f>
        <v>6.7572836341518263</v>
      </c>
      <c r="AF147" s="15">
        <f>IF(H147="*","*",IF(_xlfn.XLOOKUP($H147,'TRA TECH'!$J:$J,'TRA TECH'!AH:AH)="","",_xlfn.XLOOKUP($H147,'TRA TECH'!$J:$J,'TRA TECH'!AH:AH)))</f>
        <v>6.7572836341518263</v>
      </c>
      <c r="AG147" s="15">
        <f>IF(H147="*","*",IF(_xlfn.XLOOKUP($H147,'TRA TECH'!$J:$J,'TRA TECH'!AI:AI)="","",_xlfn.XLOOKUP($H147,'TRA TECH'!$J:$J,'TRA TECH'!AI:AI)))</f>
        <v>6.7572836341518263</v>
      </c>
      <c r="AH147" s="15">
        <f>IF(H147="*","*",IF(_xlfn.XLOOKUP($H147,'TRA TECH'!$J:$J,'TRA TECH'!AJ:AJ)="","",_xlfn.XLOOKUP($H147,'TRA TECH'!$J:$J,'TRA TECH'!AJ:AJ)))</f>
        <v>6.7572836341518263</v>
      </c>
      <c r="AI147" s="15">
        <f>IF(H147="*","*",IF(_xlfn.XLOOKUP($H147,'TRA TECH'!$J:$J,'TRA TECH'!AK:AK)="","",_xlfn.XLOOKUP($H147,'TRA TECH'!$J:$J,'TRA TECH'!AK:AK)))</f>
        <v>6.7572836341518263</v>
      </c>
      <c r="AJ147" s="15">
        <f t="shared" si="14"/>
        <v>6.7572836341518263</v>
      </c>
      <c r="AK147" s="16">
        <f t="shared" si="15"/>
        <v>0.4</v>
      </c>
    </row>
    <row r="148" spans="2:37" x14ac:dyDescent="0.25">
      <c r="B148" t="str">
        <f>IF('TRA TECH'!M144=0,"*",IF('TRA TECH'!H144="","*",'TRA TECH'!J144))</f>
        <v>TRAFRESLHICEVDSL20</v>
      </c>
      <c r="C148" t="str">
        <f>IF('TRA TECH'!M144=0,"*",'TRA TECH'!H144)</f>
        <v>TRADSL</v>
      </c>
      <c r="D148" t="s">
        <v>424</v>
      </c>
      <c r="E148" s="9">
        <f>'TRA TECH'!P144</f>
        <v>1</v>
      </c>
      <c r="H148" t="str">
        <f>IF('TRA TECH'!M144=1,IF('TRA TECH'!L144=1,'TRA TECH'!J144,"*"),"*")</f>
        <v>TRAFRESLHICEVDSL20</v>
      </c>
      <c r="I148" t="str">
        <f>IF(H148="*","*",_xlfn.XLOOKUP(H148,'TRA TECH'!J:J,'TRA TECH'!I:I))</f>
        <v>TRAFRESLHDMD</v>
      </c>
      <c r="J148">
        <f>IF(H148="*","*",_xlfn.XLOOKUP(H148,'TRA TECH'!J:J,'TRA TECH'!N:N))</f>
        <v>2020</v>
      </c>
      <c r="K148" s="15">
        <f>IF(H148="*","*",IF(_xlfn.XLOOKUP(H148,'TRA TECH'!J:J,'TRA TECH'!O:O)="","",_xlfn.XLOOKUP(H148,'TRA TECH'!J:J,'TRA TECH'!O:O)))</f>
        <v>10.89196958520898</v>
      </c>
      <c r="L148">
        <f t="shared" si="11"/>
        <v>1</v>
      </c>
      <c r="M148">
        <f>IF(H148="*","*",IF(_xlfn.XLOOKUP($H148,'TRA TECH'!$J:$J,'TRA TECH'!Q:Q)="","",_xlfn.XLOOKUP($H148,'TRA TECH'!$J:$J,'TRA TECH'!Q:Q)))</f>
        <v>0.1014794065281899</v>
      </c>
      <c r="N148">
        <f>IF(H148="*","*",IF(_xlfn.XLOOKUP($H148,'TRA TECH'!$J:$J,'TRA TECH'!R:R)="","",_xlfn.XLOOKUP($H148,'TRA TECH'!$J:$J,'TRA TECH'!R:R)))</f>
        <v>0.1014794065281899</v>
      </c>
      <c r="O148">
        <f>IF(H148="*","*",IF(_xlfn.XLOOKUP($H148,'TRA TECH'!$J:$J,'TRA TECH'!S:S)="","",_xlfn.XLOOKUP($H148,'TRA TECH'!$J:$J,'TRA TECH'!S:S)))</f>
        <v>0.1114283679525223</v>
      </c>
      <c r="P148">
        <f>IF(H148="*","*",IF(_xlfn.XLOOKUP($H148,'TRA TECH'!$J:$J,'TRA TECH'!T:T)="","",_xlfn.XLOOKUP($H148,'TRA TECH'!$J:$J,'TRA TECH'!T:T)))</f>
        <v>0.120581412462908</v>
      </c>
      <c r="Q148">
        <f>IF(H148="*","*",IF(_xlfn.XLOOKUP($H148,'TRA TECH'!$J:$J,'TRA TECH'!U:U)="","",_xlfn.XLOOKUP($H148,'TRA TECH'!$J:$J,'TRA TECH'!U:U)))</f>
        <v>0.12548956676557871</v>
      </c>
      <c r="R148">
        <f>IF(H148="*","*",IF(_xlfn.XLOOKUP($H148,'TRA TECH'!$J:$J,'TRA TECH'!V:V)="","",_xlfn.XLOOKUP($H148,'TRA TECH'!$J:$J,'TRA TECH'!V:V)))</f>
        <v>0.13039772106824929</v>
      </c>
      <c r="S148">
        <f>IF(H148="*","*",IF(_xlfn.XLOOKUP($H148,'TRA TECH'!$J:$J,'TRA TECH'!W:W)="","",_xlfn.XLOOKUP($H148,'TRA TECH'!$J:$J,'TRA TECH'!W:W)))</f>
        <v>0.1353058753709199</v>
      </c>
      <c r="T148">
        <f t="shared" si="12"/>
        <v>0.1353058753709199</v>
      </c>
      <c r="U148">
        <f>IF(H148="*","*",IF(_xlfn.XLOOKUP($H148,'TRA TECH'!$J:$J,'TRA TECH'!X:X)="","",_xlfn.XLOOKUP($H148,'TRA TECH'!$J:$J,'TRA TECH'!X:X)))</f>
        <v>241.12833178710201</v>
      </c>
      <c r="V148">
        <f>IF(H148="*","*",IF(_xlfn.XLOOKUP($H148,'TRA TECH'!$J:$J,'TRA TECH'!Y:Y)="","",_xlfn.XLOOKUP($H148,'TRA TECH'!$J:$J,'TRA TECH'!Y:Y)))</f>
        <v>241.12833178710201</v>
      </c>
      <c r="W148">
        <f>IF(H148="*","*",IF(_xlfn.XLOOKUP($H148,'TRA TECH'!$J:$J,'TRA TECH'!Z:Z)="","",_xlfn.XLOOKUP($H148,'TRA TECH'!$J:$J,'TRA TECH'!Z:Z)))</f>
        <v>243.26221082946569</v>
      </c>
      <c r="X148">
        <f>IF(H148="*","*",IF(_xlfn.XLOOKUP($H148,'TRA TECH'!$J:$J,'TRA TECH'!AA:AA)="","",_xlfn.XLOOKUP($H148,'TRA TECH'!$J:$J,'TRA TECH'!AA:AA)))</f>
        <v>243.97350384358691</v>
      </c>
      <c r="Y148">
        <f>IF(H148="*","*",IF(_xlfn.XLOOKUP($H148,'TRA TECH'!$J:$J,'TRA TECH'!AB:AB)="","",_xlfn.XLOOKUP($H148,'TRA TECH'!$J:$J,'TRA TECH'!AB:AB)))</f>
        <v>246.1073828859507</v>
      </c>
      <c r="Z148">
        <f>IF(H148="*","*",IF(_xlfn.XLOOKUP($H148,'TRA TECH'!$J:$J,'TRA TECH'!AC:AC)="","",_xlfn.XLOOKUP($H148,'TRA TECH'!$J:$J,'TRA TECH'!AC:AC)))</f>
        <v>247.52996891419309</v>
      </c>
      <c r="AA148">
        <f>IF(H148="*","*",IF(_xlfn.XLOOKUP($H148,'TRA TECH'!$J:$J,'TRA TECH'!AD:AD)="","",_xlfn.XLOOKUP($H148,'TRA TECH'!$J:$J,'TRA TECH'!AD:AD)))</f>
        <v>249.66384795655691</v>
      </c>
      <c r="AB148">
        <f t="shared" si="13"/>
        <v>249.66384795655691</v>
      </c>
      <c r="AC148" s="15">
        <f>IF(H148="*","*",IF(_xlfn.XLOOKUP($H148,'TRA TECH'!$J:$J,'TRA TECH'!AE:AE)="","",_xlfn.XLOOKUP($H148,'TRA TECH'!$J:$J,'TRA TECH'!AE:AE)))</f>
        <v>9.9262614810501049</v>
      </c>
      <c r="AD148" s="15">
        <f>IF(H148="*","*",IF(_xlfn.XLOOKUP($H148,'TRA TECH'!$J:$J,'TRA TECH'!AF:AF)="","",_xlfn.XLOOKUP($H148,'TRA TECH'!$J:$J,'TRA TECH'!AF:AF)))</f>
        <v>9.9262614810501049</v>
      </c>
      <c r="AE148" s="15">
        <f>IF(H148="*","*",IF(_xlfn.XLOOKUP($H148,'TRA TECH'!$J:$J,'TRA TECH'!AG:AG)="","",_xlfn.XLOOKUP($H148,'TRA TECH'!$J:$J,'TRA TECH'!AG:AG)))</f>
        <v>9.9262614810501049</v>
      </c>
      <c r="AF148" s="15">
        <f>IF(H148="*","*",IF(_xlfn.XLOOKUP($H148,'TRA TECH'!$J:$J,'TRA TECH'!AH:AH)="","",_xlfn.XLOOKUP($H148,'TRA TECH'!$J:$J,'TRA TECH'!AH:AH)))</f>
        <v>9.9262614810501049</v>
      </c>
      <c r="AG148" s="15">
        <f>IF(H148="*","*",IF(_xlfn.XLOOKUP($H148,'TRA TECH'!$J:$J,'TRA TECH'!AI:AI)="","",_xlfn.XLOOKUP($H148,'TRA TECH'!$J:$J,'TRA TECH'!AI:AI)))</f>
        <v>9.9262614810501049</v>
      </c>
      <c r="AH148" s="15">
        <f>IF(H148="*","*",IF(_xlfn.XLOOKUP($H148,'TRA TECH'!$J:$J,'TRA TECH'!AJ:AJ)="","",_xlfn.XLOOKUP($H148,'TRA TECH'!$J:$J,'TRA TECH'!AJ:AJ)))</f>
        <v>9.9262614810501049</v>
      </c>
      <c r="AI148" s="15">
        <f>IF(H148="*","*",IF(_xlfn.XLOOKUP($H148,'TRA TECH'!$J:$J,'TRA TECH'!AK:AK)="","",_xlfn.XLOOKUP($H148,'TRA TECH'!$J:$J,'TRA TECH'!AK:AK)))</f>
        <v>9.9262614810501049</v>
      </c>
      <c r="AJ148" s="15">
        <f t="shared" si="14"/>
        <v>9.9262614810501049</v>
      </c>
      <c r="AK148" s="16">
        <f t="shared" si="15"/>
        <v>0.1</v>
      </c>
    </row>
    <row r="149" spans="2:37" x14ac:dyDescent="0.25">
      <c r="B149" t="str">
        <f>IF('TRA TECH'!M145=0,"*",IF('TRA TECH'!H145="","*",'TRA TECH'!J145))</f>
        <v>TRAFRESLHICEVDSL20</v>
      </c>
      <c r="C149" t="str">
        <f>IF('TRA TECH'!M145=0,"*",'TRA TECH'!H145)</f>
        <v>TRARDS</v>
      </c>
      <c r="D149" t="s">
        <v>424</v>
      </c>
      <c r="E149" s="9">
        <f>'TRA TECH'!P145</f>
        <v>1</v>
      </c>
      <c r="H149" t="str">
        <f>IF('TRA TECH'!M145=1,IF('TRA TECH'!L145=1,'TRA TECH'!J145,"*"),"*")</f>
        <v>*</v>
      </c>
      <c r="I149" t="str">
        <f>IF(H149="*","*",_xlfn.XLOOKUP(H149,'TRA TECH'!J:J,'TRA TECH'!I:I))</f>
        <v>*</v>
      </c>
      <c r="J149" t="str">
        <f>IF(H149="*","*",_xlfn.XLOOKUP(H149,'TRA TECH'!J:J,'TRA TECH'!N:N))</f>
        <v>*</v>
      </c>
      <c r="K149" s="15" t="str">
        <f>IF(H149="*","*",IF(_xlfn.XLOOKUP(H149,'TRA TECH'!J:J,'TRA TECH'!O:O)="","",_xlfn.XLOOKUP(H149,'TRA TECH'!J:J,'TRA TECH'!O:O)))</f>
        <v>*</v>
      </c>
      <c r="L149" t="str">
        <f t="shared" si="11"/>
        <v>*</v>
      </c>
      <c r="M149" t="str">
        <f>IF(H149="*","*",IF(_xlfn.XLOOKUP($H149,'TRA TECH'!$J:$J,'TRA TECH'!Q:Q)="","",_xlfn.XLOOKUP($H149,'TRA TECH'!$J:$J,'TRA TECH'!Q:Q)))</f>
        <v>*</v>
      </c>
      <c r="N149" t="str">
        <f>IF(H149="*","*",IF(_xlfn.XLOOKUP($H149,'TRA TECH'!$J:$J,'TRA TECH'!R:R)="","",_xlfn.XLOOKUP($H149,'TRA TECH'!$J:$J,'TRA TECH'!R:R)))</f>
        <v>*</v>
      </c>
      <c r="O149" t="str">
        <f>IF(H149="*","*",IF(_xlfn.XLOOKUP($H149,'TRA TECH'!$J:$J,'TRA TECH'!S:S)="","",_xlfn.XLOOKUP($H149,'TRA TECH'!$J:$J,'TRA TECH'!S:S)))</f>
        <v>*</v>
      </c>
      <c r="P149" t="str">
        <f>IF(H149="*","*",IF(_xlfn.XLOOKUP($H149,'TRA TECH'!$J:$J,'TRA TECH'!T:T)="","",_xlfn.XLOOKUP($H149,'TRA TECH'!$J:$J,'TRA TECH'!T:T)))</f>
        <v>*</v>
      </c>
      <c r="Q149" t="str">
        <f>IF(H149="*","*",IF(_xlfn.XLOOKUP($H149,'TRA TECH'!$J:$J,'TRA TECH'!U:U)="","",_xlfn.XLOOKUP($H149,'TRA TECH'!$J:$J,'TRA TECH'!U:U)))</f>
        <v>*</v>
      </c>
      <c r="R149" t="str">
        <f>IF(H149="*","*",IF(_xlfn.XLOOKUP($H149,'TRA TECH'!$J:$J,'TRA TECH'!V:V)="","",_xlfn.XLOOKUP($H149,'TRA TECH'!$J:$J,'TRA TECH'!V:V)))</f>
        <v>*</v>
      </c>
      <c r="S149" t="str">
        <f>IF(H149="*","*",IF(_xlfn.XLOOKUP($H149,'TRA TECH'!$J:$J,'TRA TECH'!W:W)="","",_xlfn.XLOOKUP($H149,'TRA TECH'!$J:$J,'TRA TECH'!W:W)))</f>
        <v>*</v>
      </c>
      <c r="T149" t="str">
        <f t="shared" si="12"/>
        <v>*</v>
      </c>
      <c r="U149" t="str">
        <f>IF(H149="*","*",IF(_xlfn.XLOOKUP($H149,'TRA TECH'!$J:$J,'TRA TECH'!X:X)="","",_xlfn.XLOOKUP($H149,'TRA TECH'!$J:$J,'TRA TECH'!X:X)))</f>
        <v>*</v>
      </c>
      <c r="V149" t="str">
        <f>IF(H149="*","*",IF(_xlfn.XLOOKUP($H149,'TRA TECH'!$J:$J,'TRA TECH'!Y:Y)="","",_xlfn.XLOOKUP($H149,'TRA TECH'!$J:$J,'TRA TECH'!Y:Y)))</f>
        <v>*</v>
      </c>
      <c r="W149" t="str">
        <f>IF(H149="*","*",IF(_xlfn.XLOOKUP($H149,'TRA TECH'!$J:$J,'TRA TECH'!Z:Z)="","",_xlfn.XLOOKUP($H149,'TRA TECH'!$J:$J,'TRA TECH'!Z:Z)))</f>
        <v>*</v>
      </c>
      <c r="X149" t="str">
        <f>IF(H149="*","*",IF(_xlfn.XLOOKUP($H149,'TRA TECH'!$J:$J,'TRA TECH'!AA:AA)="","",_xlfn.XLOOKUP($H149,'TRA TECH'!$J:$J,'TRA TECH'!AA:AA)))</f>
        <v>*</v>
      </c>
      <c r="Y149" t="str">
        <f>IF(H149="*","*",IF(_xlfn.XLOOKUP($H149,'TRA TECH'!$J:$J,'TRA TECH'!AB:AB)="","",_xlfn.XLOOKUP($H149,'TRA TECH'!$J:$J,'TRA TECH'!AB:AB)))</f>
        <v>*</v>
      </c>
      <c r="Z149" t="str">
        <f>IF(H149="*","*",IF(_xlfn.XLOOKUP($H149,'TRA TECH'!$J:$J,'TRA TECH'!AC:AC)="","",_xlfn.XLOOKUP($H149,'TRA TECH'!$J:$J,'TRA TECH'!AC:AC)))</f>
        <v>*</v>
      </c>
      <c r="AA149" t="str">
        <f>IF(H149="*","*",IF(_xlfn.XLOOKUP($H149,'TRA TECH'!$J:$J,'TRA TECH'!AD:AD)="","",_xlfn.XLOOKUP($H149,'TRA TECH'!$J:$J,'TRA TECH'!AD:AD)))</f>
        <v>*</v>
      </c>
      <c r="AB149" t="str">
        <f t="shared" si="13"/>
        <v>*</v>
      </c>
      <c r="AC149" s="15" t="str">
        <f>IF(H149="*","*",IF(_xlfn.XLOOKUP($H149,'TRA TECH'!$J:$J,'TRA TECH'!AE:AE)="","",_xlfn.XLOOKUP($H149,'TRA TECH'!$J:$J,'TRA TECH'!AE:AE)))</f>
        <v>*</v>
      </c>
      <c r="AD149" s="15" t="str">
        <f>IF(H149="*","*",IF(_xlfn.XLOOKUP($H149,'TRA TECH'!$J:$J,'TRA TECH'!AF:AF)="","",_xlfn.XLOOKUP($H149,'TRA TECH'!$J:$J,'TRA TECH'!AF:AF)))</f>
        <v>*</v>
      </c>
      <c r="AE149" s="15" t="str">
        <f>IF(H149="*","*",IF(_xlfn.XLOOKUP($H149,'TRA TECH'!$J:$J,'TRA TECH'!AG:AG)="","",_xlfn.XLOOKUP($H149,'TRA TECH'!$J:$J,'TRA TECH'!AG:AG)))</f>
        <v>*</v>
      </c>
      <c r="AF149" s="15" t="str">
        <f>IF(H149="*","*",IF(_xlfn.XLOOKUP($H149,'TRA TECH'!$J:$J,'TRA TECH'!AH:AH)="","",_xlfn.XLOOKUP($H149,'TRA TECH'!$J:$J,'TRA TECH'!AH:AH)))</f>
        <v>*</v>
      </c>
      <c r="AG149" s="15" t="str">
        <f>IF(H149="*","*",IF(_xlfn.XLOOKUP($H149,'TRA TECH'!$J:$J,'TRA TECH'!AI:AI)="","",_xlfn.XLOOKUP($H149,'TRA TECH'!$J:$J,'TRA TECH'!AI:AI)))</f>
        <v>*</v>
      </c>
      <c r="AH149" s="15" t="str">
        <f>IF(H149="*","*",IF(_xlfn.XLOOKUP($H149,'TRA TECH'!$J:$J,'TRA TECH'!AJ:AJ)="","",_xlfn.XLOOKUP($H149,'TRA TECH'!$J:$J,'TRA TECH'!AJ:AJ)))</f>
        <v>*</v>
      </c>
      <c r="AI149" s="15" t="str">
        <f>IF(H149="*","*",IF(_xlfn.XLOOKUP($H149,'TRA TECH'!$J:$J,'TRA TECH'!AK:AK)="","",_xlfn.XLOOKUP($H149,'TRA TECH'!$J:$J,'TRA TECH'!AK:AK)))</f>
        <v>*</v>
      </c>
      <c r="AJ149" s="15" t="str">
        <f t="shared" si="14"/>
        <v>*</v>
      </c>
      <c r="AK149" s="16" t="str">
        <f t="shared" si="15"/>
        <v>*</v>
      </c>
    </row>
    <row r="150" spans="2:37" x14ac:dyDescent="0.25">
      <c r="B150" t="str">
        <f>IF('TRA TECH'!M146=0,"*",IF('TRA TECH'!H146="","*",'TRA TECH'!J146))</f>
        <v>TRAFRESLHICEVDSL20</v>
      </c>
      <c r="C150" t="str">
        <f>IF('TRA TECH'!M146=0,"*",'TRA TECH'!H146)</f>
        <v>TRABDS</v>
      </c>
      <c r="D150" t="s">
        <v>424</v>
      </c>
      <c r="E150" s="9">
        <f>'TRA TECH'!P146</f>
        <v>0.1</v>
      </c>
      <c r="H150" t="str">
        <f>IF('TRA TECH'!M146=1,IF('TRA TECH'!L146=1,'TRA TECH'!J146,"*"),"*")</f>
        <v>*</v>
      </c>
      <c r="I150" t="str">
        <f>IF(H150="*","*",_xlfn.XLOOKUP(H150,'TRA TECH'!J:J,'TRA TECH'!I:I))</f>
        <v>*</v>
      </c>
      <c r="J150" t="str">
        <f>IF(H150="*","*",_xlfn.XLOOKUP(H150,'TRA TECH'!J:J,'TRA TECH'!N:N))</f>
        <v>*</v>
      </c>
      <c r="K150" s="15" t="str">
        <f>IF(H150="*","*",IF(_xlfn.XLOOKUP(H150,'TRA TECH'!J:J,'TRA TECH'!O:O)="","",_xlfn.XLOOKUP(H150,'TRA TECH'!J:J,'TRA TECH'!O:O)))</f>
        <v>*</v>
      </c>
      <c r="L150" t="str">
        <f t="shared" si="11"/>
        <v>*</v>
      </c>
      <c r="M150" t="str">
        <f>IF(H150="*","*",IF(_xlfn.XLOOKUP($H150,'TRA TECH'!$J:$J,'TRA TECH'!Q:Q)="","",_xlfn.XLOOKUP($H150,'TRA TECH'!$J:$J,'TRA TECH'!Q:Q)))</f>
        <v>*</v>
      </c>
      <c r="N150" t="str">
        <f>IF(H150="*","*",IF(_xlfn.XLOOKUP($H150,'TRA TECH'!$J:$J,'TRA TECH'!R:R)="","",_xlfn.XLOOKUP($H150,'TRA TECH'!$J:$J,'TRA TECH'!R:R)))</f>
        <v>*</v>
      </c>
      <c r="O150" t="str">
        <f>IF(H150="*","*",IF(_xlfn.XLOOKUP($H150,'TRA TECH'!$J:$J,'TRA TECH'!S:S)="","",_xlfn.XLOOKUP($H150,'TRA TECH'!$J:$J,'TRA TECH'!S:S)))</f>
        <v>*</v>
      </c>
      <c r="P150" t="str">
        <f>IF(H150="*","*",IF(_xlfn.XLOOKUP($H150,'TRA TECH'!$J:$J,'TRA TECH'!T:T)="","",_xlfn.XLOOKUP($H150,'TRA TECH'!$J:$J,'TRA TECH'!T:T)))</f>
        <v>*</v>
      </c>
      <c r="Q150" t="str">
        <f>IF(H150="*","*",IF(_xlfn.XLOOKUP($H150,'TRA TECH'!$J:$J,'TRA TECH'!U:U)="","",_xlfn.XLOOKUP($H150,'TRA TECH'!$J:$J,'TRA TECH'!U:U)))</f>
        <v>*</v>
      </c>
      <c r="R150" t="str">
        <f>IF(H150="*","*",IF(_xlfn.XLOOKUP($H150,'TRA TECH'!$J:$J,'TRA TECH'!V:V)="","",_xlfn.XLOOKUP($H150,'TRA TECH'!$J:$J,'TRA TECH'!V:V)))</f>
        <v>*</v>
      </c>
      <c r="S150" t="str">
        <f>IF(H150="*","*",IF(_xlfn.XLOOKUP($H150,'TRA TECH'!$J:$J,'TRA TECH'!W:W)="","",_xlfn.XLOOKUP($H150,'TRA TECH'!$J:$J,'TRA TECH'!W:W)))</f>
        <v>*</v>
      </c>
      <c r="T150" t="str">
        <f t="shared" si="12"/>
        <v>*</v>
      </c>
      <c r="U150" t="str">
        <f>IF(H150="*","*",IF(_xlfn.XLOOKUP($H150,'TRA TECH'!$J:$J,'TRA TECH'!X:X)="","",_xlfn.XLOOKUP($H150,'TRA TECH'!$J:$J,'TRA TECH'!X:X)))</f>
        <v>*</v>
      </c>
      <c r="V150" t="str">
        <f>IF(H150="*","*",IF(_xlfn.XLOOKUP($H150,'TRA TECH'!$J:$J,'TRA TECH'!Y:Y)="","",_xlfn.XLOOKUP($H150,'TRA TECH'!$J:$J,'TRA TECH'!Y:Y)))</f>
        <v>*</v>
      </c>
      <c r="W150" t="str">
        <f>IF(H150="*","*",IF(_xlfn.XLOOKUP($H150,'TRA TECH'!$J:$J,'TRA TECH'!Z:Z)="","",_xlfn.XLOOKUP($H150,'TRA TECH'!$J:$J,'TRA TECH'!Z:Z)))</f>
        <v>*</v>
      </c>
      <c r="X150" t="str">
        <f>IF(H150="*","*",IF(_xlfn.XLOOKUP($H150,'TRA TECH'!$J:$J,'TRA TECH'!AA:AA)="","",_xlfn.XLOOKUP($H150,'TRA TECH'!$J:$J,'TRA TECH'!AA:AA)))</f>
        <v>*</v>
      </c>
      <c r="Y150" t="str">
        <f>IF(H150="*","*",IF(_xlfn.XLOOKUP($H150,'TRA TECH'!$J:$J,'TRA TECH'!AB:AB)="","",_xlfn.XLOOKUP($H150,'TRA TECH'!$J:$J,'TRA TECH'!AB:AB)))</f>
        <v>*</v>
      </c>
      <c r="Z150" t="str">
        <f>IF(H150="*","*",IF(_xlfn.XLOOKUP($H150,'TRA TECH'!$J:$J,'TRA TECH'!AC:AC)="","",_xlfn.XLOOKUP($H150,'TRA TECH'!$J:$J,'TRA TECH'!AC:AC)))</f>
        <v>*</v>
      </c>
      <c r="AA150" t="str">
        <f>IF(H150="*","*",IF(_xlfn.XLOOKUP($H150,'TRA TECH'!$J:$J,'TRA TECH'!AD:AD)="","",_xlfn.XLOOKUP($H150,'TRA TECH'!$J:$J,'TRA TECH'!AD:AD)))</f>
        <v>*</v>
      </c>
      <c r="AB150" t="str">
        <f t="shared" si="13"/>
        <v>*</v>
      </c>
      <c r="AC150" s="15" t="str">
        <f>IF(H150="*","*",IF(_xlfn.XLOOKUP($H150,'TRA TECH'!$J:$J,'TRA TECH'!AE:AE)="","",_xlfn.XLOOKUP($H150,'TRA TECH'!$J:$J,'TRA TECH'!AE:AE)))</f>
        <v>*</v>
      </c>
      <c r="AD150" s="15" t="str">
        <f>IF(H150="*","*",IF(_xlfn.XLOOKUP($H150,'TRA TECH'!$J:$J,'TRA TECH'!AF:AF)="","",_xlfn.XLOOKUP($H150,'TRA TECH'!$J:$J,'TRA TECH'!AF:AF)))</f>
        <v>*</v>
      </c>
      <c r="AE150" s="15" t="str">
        <f>IF(H150="*","*",IF(_xlfn.XLOOKUP($H150,'TRA TECH'!$J:$J,'TRA TECH'!AG:AG)="","",_xlfn.XLOOKUP($H150,'TRA TECH'!$J:$J,'TRA TECH'!AG:AG)))</f>
        <v>*</v>
      </c>
      <c r="AF150" s="15" t="str">
        <f>IF(H150="*","*",IF(_xlfn.XLOOKUP($H150,'TRA TECH'!$J:$J,'TRA TECH'!AH:AH)="","",_xlfn.XLOOKUP($H150,'TRA TECH'!$J:$J,'TRA TECH'!AH:AH)))</f>
        <v>*</v>
      </c>
      <c r="AG150" s="15" t="str">
        <f>IF(H150="*","*",IF(_xlfn.XLOOKUP($H150,'TRA TECH'!$J:$J,'TRA TECH'!AI:AI)="","",_xlfn.XLOOKUP($H150,'TRA TECH'!$J:$J,'TRA TECH'!AI:AI)))</f>
        <v>*</v>
      </c>
      <c r="AH150" s="15" t="str">
        <f>IF(H150="*","*",IF(_xlfn.XLOOKUP($H150,'TRA TECH'!$J:$J,'TRA TECH'!AJ:AJ)="","",_xlfn.XLOOKUP($H150,'TRA TECH'!$J:$J,'TRA TECH'!AJ:AJ)))</f>
        <v>*</v>
      </c>
      <c r="AI150" s="15" t="str">
        <f>IF(H150="*","*",IF(_xlfn.XLOOKUP($H150,'TRA TECH'!$J:$J,'TRA TECH'!AK:AK)="","",_xlfn.XLOOKUP($H150,'TRA TECH'!$J:$J,'TRA TECH'!AK:AK)))</f>
        <v>*</v>
      </c>
      <c r="AJ150" s="15" t="str">
        <f t="shared" si="14"/>
        <v>*</v>
      </c>
      <c r="AK150" s="16" t="str">
        <f t="shared" si="15"/>
        <v>*</v>
      </c>
    </row>
    <row r="151" spans="2:37" x14ac:dyDescent="0.25">
      <c r="B151" t="str">
        <f>IF('TRA TECH'!M147=0,"*",IF('TRA TECH'!H147="","*",'TRA TECH'!J147))</f>
        <v>TRAFRESLHICEIDSL20</v>
      </c>
      <c r="C151" t="str">
        <f>IF('TRA TECH'!M147=0,"*",'TRA TECH'!H147)</f>
        <v>TRADSL</v>
      </c>
      <c r="D151" t="s">
        <v>424</v>
      </c>
      <c r="E151" s="9">
        <f>'TRA TECH'!P147</f>
        <v>1</v>
      </c>
      <c r="H151" t="str">
        <f>IF('TRA TECH'!M147=1,IF('TRA TECH'!L147=1,'TRA TECH'!J147,"*"),"*")</f>
        <v>TRAFRESLHICEIDSL20</v>
      </c>
      <c r="I151" t="str">
        <f>IF(H151="*","*",_xlfn.XLOOKUP(H151,'TRA TECH'!J:J,'TRA TECH'!I:I))</f>
        <v>TRAFRESLHDMD</v>
      </c>
      <c r="J151">
        <f>IF(H151="*","*",_xlfn.XLOOKUP(H151,'TRA TECH'!J:J,'TRA TECH'!N:N))</f>
        <v>2020</v>
      </c>
      <c r="K151" s="15">
        <f>IF(H151="*","*",IF(_xlfn.XLOOKUP(H151,'TRA TECH'!J:J,'TRA TECH'!O:O)="","",_xlfn.XLOOKUP(H151,'TRA TECH'!J:J,'TRA TECH'!O:O)))</f>
        <v>10.89196958520898</v>
      </c>
      <c r="L151">
        <f t="shared" si="11"/>
        <v>1</v>
      </c>
      <c r="M151">
        <f>IF(H151="*","*",IF(_xlfn.XLOOKUP($H151,'TRA TECH'!$J:$J,'TRA TECH'!Q:Q)="","",_xlfn.XLOOKUP($H151,'TRA TECH'!$J:$J,'TRA TECH'!Q:Q)))</f>
        <v>0.1028059347181009</v>
      </c>
      <c r="N151">
        <f>IF(H151="*","*",IF(_xlfn.XLOOKUP($H151,'TRA TECH'!$J:$J,'TRA TECH'!R:R)="","",_xlfn.XLOOKUP($H151,'TRA TECH'!$J:$J,'TRA TECH'!R:R)))</f>
        <v>0.1028059347181009</v>
      </c>
      <c r="O151">
        <f>IF(H151="*","*",IF(_xlfn.XLOOKUP($H151,'TRA TECH'!$J:$J,'TRA TECH'!S:S)="","",_xlfn.XLOOKUP($H151,'TRA TECH'!$J:$J,'TRA TECH'!S:S)))</f>
        <v>0.1111630623145401</v>
      </c>
      <c r="P151">
        <f>IF(H151="*","*",IF(_xlfn.XLOOKUP($H151,'TRA TECH'!$J:$J,'TRA TECH'!T:T)="","",_xlfn.XLOOKUP($H151,'TRA TECH'!$J:$J,'TRA TECH'!T:T)))</f>
        <v>0.12177528783382791</v>
      </c>
      <c r="Q151">
        <f>IF(H151="*","*",IF(_xlfn.XLOOKUP($H151,'TRA TECH'!$J:$J,'TRA TECH'!U:U)="","",_xlfn.XLOOKUP($H151,'TRA TECH'!$J:$J,'TRA TECH'!U:U)))</f>
        <v>0.12668344213649849</v>
      </c>
      <c r="R151">
        <f>IF(H151="*","*",IF(_xlfn.XLOOKUP($H151,'TRA TECH'!$J:$J,'TRA TECH'!V:V)="","",_xlfn.XLOOKUP($H151,'TRA TECH'!$J:$J,'TRA TECH'!V:V)))</f>
        <v>0.1315915964391691</v>
      </c>
      <c r="S151">
        <f>IF(H151="*","*",IF(_xlfn.XLOOKUP($H151,'TRA TECH'!$J:$J,'TRA TECH'!W:W)="","",_xlfn.XLOOKUP($H151,'TRA TECH'!$J:$J,'TRA TECH'!W:W)))</f>
        <v>0.1366324035608309</v>
      </c>
      <c r="T151">
        <f t="shared" si="12"/>
        <v>0.1366324035608309</v>
      </c>
      <c r="U151">
        <f>IF(H151="*","*",IF(_xlfn.XLOOKUP($H151,'TRA TECH'!$J:$J,'TRA TECH'!X:X)="","",_xlfn.XLOOKUP($H151,'TRA TECH'!$J:$J,'TRA TECH'!X:X)))</f>
        <v>253.22031302716309</v>
      </c>
      <c r="V151">
        <f>IF(H151="*","*",IF(_xlfn.XLOOKUP($H151,'TRA TECH'!$J:$J,'TRA TECH'!Y:Y)="","",_xlfn.XLOOKUP($H151,'TRA TECH'!$J:$J,'TRA TECH'!Y:Y)))</f>
        <v>253.22031302716309</v>
      </c>
      <c r="W151">
        <f>IF(H151="*","*",IF(_xlfn.XLOOKUP($H151,'TRA TECH'!$J:$J,'TRA TECH'!Z:Z)="","",_xlfn.XLOOKUP($H151,'TRA TECH'!$J:$J,'TRA TECH'!Z:Z)))</f>
        <v>255.35419206952679</v>
      </c>
      <c r="X151">
        <f>IF(H151="*","*",IF(_xlfn.XLOOKUP($H151,'TRA TECH'!$J:$J,'TRA TECH'!AA:AA)="","",_xlfn.XLOOKUP($H151,'TRA TECH'!$J:$J,'TRA TECH'!AA:AA)))</f>
        <v>256.06548508364801</v>
      </c>
      <c r="Y151">
        <f>IF(H151="*","*",IF(_xlfn.XLOOKUP($H151,'TRA TECH'!$J:$J,'TRA TECH'!AB:AB)="","",_xlfn.XLOOKUP($H151,'TRA TECH'!$J:$J,'TRA TECH'!AB:AB)))</f>
        <v>257.48807111189058</v>
      </c>
      <c r="Z151">
        <f>IF(H151="*","*",IF(_xlfn.XLOOKUP($H151,'TRA TECH'!$J:$J,'TRA TECH'!AC:AC)="","",_xlfn.XLOOKUP($H151,'TRA TECH'!$J:$J,'TRA TECH'!AC:AC)))</f>
        <v>259.62195015425431</v>
      </c>
      <c r="AA151">
        <f>IF(H151="*","*",IF(_xlfn.XLOOKUP($H151,'TRA TECH'!$J:$J,'TRA TECH'!AD:AD)="","",_xlfn.XLOOKUP($H151,'TRA TECH'!$J:$J,'TRA TECH'!AD:AD)))</f>
        <v>261.75582919661798</v>
      </c>
      <c r="AB151">
        <f t="shared" si="13"/>
        <v>261.75582919661798</v>
      </c>
      <c r="AC151" s="15">
        <f>IF(H151="*","*",IF(_xlfn.XLOOKUP($H151,'TRA TECH'!$J:$J,'TRA TECH'!AE:AE)="","",_xlfn.XLOOKUP($H151,'TRA TECH'!$J:$J,'TRA TECH'!AE:AE)))</f>
        <v>9.9262614810501049</v>
      </c>
      <c r="AD151" s="15">
        <f>IF(H151="*","*",IF(_xlfn.XLOOKUP($H151,'TRA TECH'!$J:$J,'TRA TECH'!AF:AF)="","",_xlfn.XLOOKUP($H151,'TRA TECH'!$J:$J,'TRA TECH'!AF:AF)))</f>
        <v>9.9262614810501049</v>
      </c>
      <c r="AE151" s="15">
        <f>IF(H151="*","*",IF(_xlfn.XLOOKUP($H151,'TRA TECH'!$J:$J,'TRA TECH'!AG:AG)="","",_xlfn.XLOOKUP($H151,'TRA TECH'!$J:$J,'TRA TECH'!AG:AG)))</f>
        <v>9.9262614810501049</v>
      </c>
      <c r="AF151" s="15">
        <f>IF(H151="*","*",IF(_xlfn.XLOOKUP($H151,'TRA TECH'!$J:$J,'TRA TECH'!AH:AH)="","",_xlfn.XLOOKUP($H151,'TRA TECH'!$J:$J,'TRA TECH'!AH:AH)))</f>
        <v>9.9262614810501049</v>
      </c>
      <c r="AG151" s="15">
        <f>IF(H151="*","*",IF(_xlfn.XLOOKUP($H151,'TRA TECH'!$J:$J,'TRA TECH'!AI:AI)="","",_xlfn.XLOOKUP($H151,'TRA TECH'!$J:$J,'TRA TECH'!AI:AI)))</f>
        <v>9.9262614810501049</v>
      </c>
      <c r="AH151" s="15">
        <f>IF(H151="*","*",IF(_xlfn.XLOOKUP($H151,'TRA TECH'!$J:$J,'TRA TECH'!AJ:AJ)="","",_xlfn.XLOOKUP($H151,'TRA TECH'!$J:$J,'TRA TECH'!AJ:AJ)))</f>
        <v>9.9262614810501049</v>
      </c>
      <c r="AI151" s="15">
        <f>IF(H151="*","*",IF(_xlfn.XLOOKUP($H151,'TRA TECH'!$J:$J,'TRA TECH'!AK:AK)="","",_xlfn.XLOOKUP($H151,'TRA TECH'!$J:$J,'TRA TECH'!AK:AK)))</f>
        <v>9.9262614810501049</v>
      </c>
      <c r="AJ151" s="15">
        <f t="shared" si="14"/>
        <v>9.9262614810501049</v>
      </c>
      <c r="AK151" s="16">
        <f t="shared" si="15"/>
        <v>0.1</v>
      </c>
    </row>
    <row r="152" spans="2:37" x14ac:dyDescent="0.25">
      <c r="B152" t="str">
        <f>IF('TRA TECH'!M148=0,"*",IF('TRA TECH'!H148="","*",'TRA TECH'!J148))</f>
        <v>TRAFRESLHICEIDSL20</v>
      </c>
      <c r="C152" t="str">
        <f>IF('TRA TECH'!M148=0,"*",'TRA TECH'!H148)</f>
        <v>TRARDS</v>
      </c>
      <c r="D152" t="s">
        <v>424</v>
      </c>
      <c r="E152" s="9">
        <f>'TRA TECH'!P148</f>
        <v>1</v>
      </c>
      <c r="H152" t="str">
        <f>IF('TRA TECH'!M148=1,IF('TRA TECH'!L148=1,'TRA TECH'!J148,"*"),"*")</f>
        <v>*</v>
      </c>
      <c r="I152" t="str">
        <f>IF(H152="*","*",_xlfn.XLOOKUP(H152,'TRA TECH'!J:J,'TRA TECH'!I:I))</f>
        <v>*</v>
      </c>
      <c r="J152" t="str">
        <f>IF(H152="*","*",_xlfn.XLOOKUP(H152,'TRA TECH'!J:J,'TRA TECH'!N:N))</f>
        <v>*</v>
      </c>
      <c r="K152" s="15" t="str">
        <f>IF(H152="*","*",IF(_xlfn.XLOOKUP(H152,'TRA TECH'!J:J,'TRA TECH'!O:O)="","",_xlfn.XLOOKUP(H152,'TRA TECH'!J:J,'TRA TECH'!O:O)))</f>
        <v>*</v>
      </c>
      <c r="L152" t="str">
        <f t="shared" si="11"/>
        <v>*</v>
      </c>
      <c r="M152" t="str">
        <f>IF(H152="*","*",IF(_xlfn.XLOOKUP($H152,'TRA TECH'!$J:$J,'TRA TECH'!Q:Q)="","",_xlfn.XLOOKUP($H152,'TRA TECH'!$J:$J,'TRA TECH'!Q:Q)))</f>
        <v>*</v>
      </c>
      <c r="N152" t="str">
        <f>IF(H152="*","*",IF(_xlfn.XLOOKUP($H152,'TRA TECH'!$J:$J,'TRA TECH'!R:R)="","",_xlfn.XLOOKUP($H152,'TRA TECH'!$J:$J,'TRA TECH'!R:R)))</f>
        <v>*</v>
      </c>
      <c r="O152" t="str">
        <f>IF(H152="*","*",IF(_xlfn.XLOOKUP($H152,'TRA TECH'!$J:$J,'TRA TECH'!S:S)="","",_xlfn.XLOOKUP($H152,'TRA TECH'!$J:$J,'TRA TECH'!S:S)))</f>
        <v>*</v>
      </c>
      <c r="P152" t="str">
        <f>IF(H152="*","*",IF(_xlfn.XLOOKUP($H152,'TRA TECH'!$J:$J,'TRA TECH'!T:T)="","",_xlfn.XLOOKUP($H152,'TRA TECH'!$J:$J,'TRA TECH'!T:T)))</f>
        <v>*</v>
      </c>
      <c r="Q152" t="str">
        <f>IF(H152="*","*",IF(_xlfn.XLOOKUP($H152,'TRA TECH'!$J:$J,'TRA TECH'!U:U)="","",_xlfn.XLOOKUP($H152,'TRA TECH'!$J:$J,'TRA TECH'!U:U)))</f>
        <v>*</v>
      </c>
      <c r="R152" t="str">
        <f>IF(H152="*","*",IF(_xlfn.XLOOKUP($H152,'TRA TECH'!$J:$J,'TRA TECH'!V:V)="","",_xlfn.XLOOKUP($H152,'TRA TECH'!$J:$J,'TRA TECH'!V:V)))</f>
        <v>*</v>
      </c>
      <c r="S152" t="str">
        <f>IF(H152="*","*",IF(_xlfn.XLOOKUP($H152,'TRA TECH'!$J:$J,'TRA TECH'!W:W)="","",_xlfn.XLOOKUP($H152,'TRA TECH'!$J:$J,'TRA TECH'!W:W)))</f>
        <v>*</v>
      </c>
      <c r="T152" t="str">
        <f t="shared" si="12"/>
        <v>*</v>
      </c>
      <c r="U152" t="str">
        <f>IF(H152="*","*",IF(_xlfn.XLOOKUP($H152,'TRA TECH'!$J:$J,'TRA TECH'!X:X)="","",_xlfn.XLOOKUP($H152,'TRA TECH'!$J:$J,'TRA TECH'!X:X)))</f>
        <v>*</v>
      </c>
      <c r="V152" t="str">
        <f>IF(H152="*","*",IF(_xlfn.XLOOKUP($H152,'TRA TECH'!$J:$J,'TRA TECH'!Y:Y)="","",_xlfn.XLOOKUP($H152,'TRA TECH'!$J:$J,'TRA TECH'!Y:Y)))</f>
        <v>*</v>
      </c>
      <c r="W152" t="str">
        <f>IF(H152="*","*",IF(_xlfn.XLOOKUP($H152,'TRA TECH'!$J:$J,'TRA TECH'!Z:Z)="","",_xlfn.XLOOKUP($H152,'TRA TECH'!$J:$J,'TRA TECH'!Z:Z)))</f>
        <v>*</v>
      </c>
      <c r="X152" t="str">
        <f>IF(H152="*","*",IF(_xlfn.XLOOKUP($H152,'TRA TECH'!$J:$J,'TRA TECH'!AA:AA)="","",_xlfn.XLOOKUP($H152,'TRA TECH'!$J:$J,'TRA TECH'!AA:AA)))</f>
        <v>*</v>
      </c>
      <c r="Y152" t="str">
        <f>IF(H152="*","*",IF(_xlfn.XLOOKUP($H152,'TRA TECH'!$J:$J,'TRA TECH'!AB:AB)="","",_xlfn.XLOOKUP($H152,'TRA TECH'!$J:$J,'TRA TECH'!AB:AB)))</f>
        <v>*</v>
      </c>
      <c r="Z152" t="str">
        <f>IF(H152="*","*",IF(_xlfn.XLOOKUP($H152,'TRA TECH'!$J:$J,'TRA TECH'!AC:AC)="","",_xlfn.XLOOKUP($H152,'TRA TECH'!$J:$J,'TRA TECH'!AC:AC)))</f>
        <v>*</v>
      </c>
      <c r="AA152" t="str">
        <f>IF(H152="*","*",IF(_xlfn.XLOOKUP($H152,'TRA TECH'!$J:$J,'TRA TECH'!AD:AD)="","",_xlfn.XLOOKUP($H152,'TRA TECH'!$J:$J,'TRA TECH'!AD:AD)))</f>
        <v>*</v>
      </c>
      <c r="AB152" t="str">
        <f t="shared" si="13"/>
        <v>*</v>
      </c>
      <c r="AC152" s="15" t="str">
        <f>IF(H152="*","*",IF(_xlfn.XLOOKUP($H152,'TRA TECH'!$J:$J,'TRA TECH'!AE:AE)="","",_xlfn.XLOOKUP($H152,'TRA TECH'!$J:$J,'TRA TECH'!AE:AE)))</f>
        <v>*</v>
      </c>
      <c r="AD152" s="15" t="str">
        <f>IF(H152="*","*",IF(_xlfn.XLOOKUP($H152,'TRA TECH'!$J:$J,'TRA TECH'!AF:AF)="","",_xlfn.XLOOKUP($H152,'TRA TECH'!$J:$J,'TRA TECH'!AF:AF)))</f>
        <v>*</v>
      </c>
      <c r="AE152" s="15" t="str">
        <f>IF(H152="*","*",IF(_xlfn.XLOOKUP($H152,'TRA TECH'!$J:$J,'TRA TECH'!AG:AG)="","",_xlfn.XLOOKUP($H152,'TRA TECH'!$J:$J,'TRA TECH'!AG:AG)))</f>
        <v>*</v>
      </c>
      <c r="AF152" s="15" t="str">
        <f>IF(H152="*","*",IF(_xlfn.XLOOKUP($H152,'TRA TECH'!$J:$J,'TRA TECH'!AH:AH)="","",_xlfn.XLOOKUP($H152,'TRA TECH'!$J:$J,'TRA TECH'!AH:AH)))</f>
        <v>*</v>
      </c>
      <c r="AG152" s="15" t="str">
        <f>IF(H152="*","*",IF(_xlfn.XLOOKUP($H152,'TRA TECH'!$J:$J,'TRA TECH'!AI:AI)="","",_xlfn.XLOOKUP($H152,'TRA TECH'!$J:$J,'TRA TECH'!AI:AI)))</f>
        <v>*</v>
      </c>
      <c r="AH152" s="15" t="str">
        <f>IF(H152="*","*",IF(_xlfn.XLOOKUP($H152,'TRA TECH'!$J:$J,'TRA TECH'!AJ:AJ)="","",_xlfn.XLOOKUP($H152,'TRA TECH'!$J:$J,'TRA TECH'!AJ:AJ)))</f>
        <v>*</v>
      </c>
      <c r="AI152" s="15" t="str">
        <f>IF(H152="*","*",IF(_xlfn.XLOOKUP($H152,'TRA TECH'!$J:$J,'TRA TECH'!AK:AK)="","",_xlfn.XLOOKUP($H152,'TRA TECH'!$J:$J,'TRA TECH'!AK:AK)))</f>
        <v>*</v>
      </c>
      <c r="AJ152" s="15" t="str">
        <f t="shared" si="14"/>
        <v>*</v>
      </c>
      <c r="AK152" s="16" t="str">
        <f t="shared" si="15"/>
        <v>*</v>
      </c>
    </row>
    <row r="153" spans="2:37" x14ac:dyDescent="0.25">
      <c r="B153" t="str">
        <f>IF('TRA TECH'!M149=0,"*",IF('TRA TECH'!H149="","*",'TRA TECH'!J149))</f>
        <v>TRAFRESLHICEIDSL20</v>
      </c>
      <c r="C153" t="str">
        <f>IF('TRA TECH'!M149=0,"*",'TRA TECH'!H149)</f>
        <v>TRABDS</v>
      </c>
      <c r="D153" t="s">
        <v>424</v>
      </c>
      <c r="E153" s="9">
        <f>'TRA TECH'!P149</f>
        <v>0.1</v>
      </c>
      <c r="H153" t="str">
        <f>IF('TRA TECH'!M149=1,IF('TRA TECH'!L149=1,'TRA TECH'!J149,"*"),"*")</f>
        <v>*</v>
      </c>
      <c r="I153" t="str">
        <f>IF(H153="*","*",_xlfn.XLOOKUP(H153,'TRA TECH'!J:J,'TRA TECH'!I:I))</f>
        <v>*</v>
      </c>
      <c r="J153" t="str">
        <f>IF(H153="*","*",_xlfn.XLOOKUP(H153,'TRA TECH'!J:J,'TRA TECH'!N:N))</f>
        <v>*</v>
      </c>
      <c r="K153" s="15" t="str">
        <f>IF(H153="*","*",IF(_xlfn.XLOOKUP(H153,'TRA TECH'!J:J,'TRA TECH'!O:O)="","",_xlfn.XLOOKUP(H153,'TRA TECH'!J:J,'TRA TECH'!O:O)))</f>
        <v>*</v>
      </c>
      <c r="L153" t="str">
        <f t="shared" si="11"/>
        <v>*</v>
      </c>
      <c r="M153" t="str">
        <f>IF(H153="*","*",IF(_xlfn.XLOOKUP($H153,'TRA TECH'!$J:$J,'TRA TECH'!Q:Q)="","",_xlfn.XLOOKUP($H153,'TRA TECH'!$J:$J,'TRA TECH'!Q:Q)))</f>
        <v>*</v>
      </c>
      <c r="N153" t="str">
        <f>IF(H153="*","*",IF(_xlfn.XLOOKUP($H153,'TRA TECH'!$J:$J,'TRA TECH'!R:R)="","",_xlfn.XLOOKUP($H153,'TRA TECH'!$J:$J,'TRA TECH'!R:R)))</f>
        <v>*</v>
      </c>
      <c r="O153" t="str">
        <f>IF(H153="*","*",IF(_xlfn.XLOOKUP($H153,'TRA TECH'!$J:$J,'TRA TECH'!S:S)="","",_xlfn.XLOOKUP($H153,'TRA TECH'!$J:$J,'TRA TECH'!S:S)))</f>
        <v>*</v>
      </c>
      <c r="P153" t="str">
        <f>IF(H153="*","*",IF(_xlfn.XLOOKUP($H153,'TRA TECH'!$J:$J,'TRA TECH'!T:T)="","",_xlfn.XLOOKUP($H153,'TRA TECH'!$J:$J,'TRA TECH'!T:T)))</f>
        <v>*</v>
      </c>
      <c r="Q153" t="str">
        <f>IF(H153="*","*",IF(_xlfn.XLOOKUP($H153,'TRA TECH'!$J:$J,'TRA TECH'!U:U)="","",_xlfn.XLOOKUP($H153,'TRA TECH'!$J:$J,'TRA TECH'!U:U)))</f>
        <v>*</v>
      </c>
      <c r="R153" t="str">
        <f>IF(H153="*","*",IF(_xlfn.XLOOKUP($H153,'TRA TECH'!$J:$J,'TRA TECH'!V:V)="","",_xlfn.XLOOKUP($H153,'TRA TECH'!$J:$J,'TRA TECH'!V:V)))</f>
        <v>*</v>
      </c>
      <c r="S153" t="str">
        <f>IF(H153="*","*",IF(_xlfn.XLOOKUP($H153,'TRA TECH'!$J:$J,'TRA TECH'!W:W)="","",_xlfn.XLOOKUP($H153,'TRA TECH'!$J:$J,'TRA TECH'!W:W)))</f>
        <v>*</v>
      </c>
      <c r="T153" t="str">
        <f t="shared" si="12"/>
        <v>*</v>
      </c>
      <c r="U153" t="str">
        <f>IF(H153="*","*",IF(_xlfn.XLOOKUP($H153,'TRA TECH'!$J:$J,'TRA TECH'!X:X)="","",_xlfn.XLOOKUP($H153,'TRA TECH'!$J:$J,'TRA TECH'!X:X)))</f>
        <v>*</v>
      </c>
      <c r="V153" t="str">
        <f>IF(H153="*","*",IF(_xlfn.XLOOKUP($H153,'TRA TECH'!$J:$J,'TRA TECH'!Y:Y)="","",_xlfn.XLOOKUP($H153,'TRA TECH'!$J:$J,'TRA TECH'!Y:Y)))</f>
        <v>*</v>
      </c>
      <c r="W153" t="str">
        <f>IF(H153="*","*",IF(_xlfn.XLOOKUP($H153,'TRA TECH'!$J:$J,'TRA TECH'!Z:Z)="","",_xlfn.XLOOKUP($H153,'TRA TECH'!$J:$J,'TRA TECH'!Z:Z)))</f>
        <v>*</v>
      </c>
      <c r="X153" t="str">
        <f>IF(H153="*","*",IF(_xlfn.XLOOKUP($H153,'TRA TECH'!$J:$J,'TRA TECH'!AA:AA)="","",_xlfn.XLOOKUP($H153,'TRA TECH'!$J:$J,'TRA TECH'!AA:AA)))</f>
        <v>*</v>
      </c>
      <c r="Y153" t="str">
        <f>IF(H153="*","*",IF(_xlfn.XLOOKUP($H153,'TRA TECH'!$J:$J,'TRA TECH'!AB:AB)="","",_xlfn.XLOOKUP($H153,'TRA TECH'!$J:$J,'TRA TECH'!AB:AB)))</f>
        <v>*</v>
      </c>
      <c r="Z153" t="str">
        <f>IF(H153="*","*",IF(_xlfn.XLOOKUP($H153,'TRA TECH'!$J:$J,'TRA TECH'!AC:AC)="","",_xlfn.XLOOKUP($H153,'TRA TECH'!$J:$J,'TRA TECH'!AC:AC)))</f>
        <v>*</v>
      </c>
      <c r="AA153" t="str">
        <f>IF(H153="*","*",IF(_xlfn.XLOOKUP($H153,'TRA TECH'!$J:$J,'TRA TECH'!AD:AD)="","",_xlfn.XLOOKUP($H153,'TRA TECH'!$J:$J,'TRA TECH'!AD:AD)))</f>
        <v>*</v>
      </c>
      <c r="AB153" t="str">
        <f t="shared" si="13"/>
        <v>*</v>
      </c>
      <c r="AC153" s="15" t="str">
        <f>IF(H153="*","*",IF(_xlfn.XLOOKUP($H153,'TRA TECH'!$J:$J,'TRA TECH'!AE:AE)="","",_xlfn.XLOOKUP($H153,'TRA TECH'!$J:$J,'TRA TECH'!AE:AE)))</f>
        <v>*</v>
      </c>
      <c r="AD153" s="15" t="str">
        <f>IF(H153="*","*",IF(_xlfn.XLOOKUP($H153,'TRA TECH'!$J:$J,'TRA TECH'!AF:AF)="","",_xlfn.XLOOKUP($H153,'TRA TECH'!$J:$J,'TRA TECH'!AF:AF)))</f>
        <v>*</v>
      </c>
      <c r="AE153" s="15" t="str">
        <f>IF(H153="*","*",IF(_xlfn.XLOOKUP($H153,'TRA TECH'!$J:$J,'TRA TECH'!AG:AG)="","",_xlfn.XLOOKUP($H153,'TRA TECH'!$J:$J,'TRA TECH'!AG:AG)))</f>
        <v>*</v>
      </c>
      <c r="AF153" s="15" t="str">
        <f>IF(H153="*","*",IF(_xlfn.XLOOKUP($H153,'TRA TECH'!$J:$J,'TRA TECH'!AH:AH)="","",_xlfn.XLOOKUP($H153,'TRA TECH'!$J:$J,'TRA TECH'!AH:AH)))</f>
        <v>*</v>
      </c>
      <c r="AG153" s="15" t="str">
        <f>IF(H153="*","*",IF(_xlfn.XLOOKUP($H153,'TRA TECH'!$J:$J,'TRA TECH'!AI:AI)="","",_xlfn.XLOOKUP($H153,'TRA TECH'!$J:$J,'TRA TECH'!AI:AI)))</f>
        <v>*</v>
      </c>
      <c r="AH153" s="15" t="str">
        <f>IF(H153="*","*",IF(_xlfn.XLOOKUP($H153,'TRA TECH'!$J:$J,'TRA TECH'!AJ:AJ)="","",_xlfn.XLOOKUP($H153,'TRA TECH'!$J:$J,'TRA TECH'!AJ:AJ)))</f>
        <v>*</v>
      </c>
      <c r="AI153" s="15" t="str">
        <f>IF(H153="*","*",IF(_xlfn.XLOOKUP($H153,'TRA TECH'!$J:$J,'TRA TECH'!AK:AK)="","",_xlfn.XLOOKUP($H153,'TRA TECH'!$J:$J,'TRA TECH'!AK:AK)))</f>
        <v>*</v>
      </c>
      <c r="AJ153" s="15" t="str">
        <f t="shared" si="14"/>
        <v>*</v>
      </c>
      <c r="AK153" s="16" t="str">
        <f t="shared" si="15"/>
        <v>*</v>
      </c>
    </row>
    <row r="154" spans="2:37" x14ac:dyDescent="0.25">
      <c r="B154" t="str">
        <f>IF('TRA TECH'!M150=0,"*",IF('TRA TECH'!H150="","*",'TRA TECH'!J150))</f>
        <v>TRAFRESLHHEVPDSL20</v>
      </c>
      <c r="C154" t="str">
        <f>IF('TRA TECH'!M150=0,"*",'TRA TECH'!H150)</f>
        <v>TRADSL</v>
      </c>
      <c r="D154" t="s">
        <v>424</v>
      </c>
      <c r="E154" s="9">
        <f>'TRA TECH'!P150</f>
        <v>1</v>
      </c>
      <c r="H154" t="str">
        <f>IF('TRA TECH'!M150=1,IF('TRA TECH'!L150=1,'TRA TECH'!J150,"*"),"*")</f>
        <v>TRAFRESLHHEVPDSL20</v>
      </c>
      <c r="I154" t="str">
        <f>IF(H154="*","*",_xlfn.XLOOKUP(H154,'TRA TECH'!J:J,'TRA TECH'!I:I))</f>
        <v>TRAFRESLHDMD</v>
      </c>
      <c r="J154">
        <f>IF(H154="*","*",_xlfn.XLOOKUP(H154,'TRA TECH'!J:J,'TRA TECH'!N:N))</f>
        <v>2020</v>
      </c>
      <c r="K154" s="15">
        <f>IF(H154="*","*",IF(_xlfn.XLOOKUP(H154,'TRA TECH'!J:J,'TRA TECH'!O:O)="","",_xlfn.XLOOKUP(H154,'TRA TECH'!J:J,'TRA TECH'!O:O)))</f>
        <v>10.89196958520898</v>
      </c>
      <c r="L154">
        <f t="shared" si="11"/>
        <v>1</v>
      </c>
      <c r="M154">
        <f>IF(H154="*","*",IF(_xlfn.XLOOKUP($H154,'TRA TECH'!$J:$J,'TRA TECH'!Q:Q)="","",_xlfn.XLOOKUP($H154,'TRA TECH'!$J:$J,'TRA TECH'!Q:Q)))</f>
        <v>0.10293858753709199</v>
      </c>
      <c r="N154">
        <f>IF(H154="*","*",IF(_xlfn.XLOOKUP($H154,'TRA TECH'!$J:$J,'TRA TECH'!R:R)="","",_xlfn.XLOOKUP($H154,'TRA TECH'!$J:$J,'TRA TECH'!R:R)))</f>
        <v>0.10293858753709199</v>
      </c>
      <c r="O154">
        <f>IF(H154="*","*",IF(_xlfn.XLOOKUP($H154,'TRA TECH'!$J:$J,'TRA TECH'!S:S)="","",_xlfn.XLOOKUP($H154,'TRA TECH'!$J:$J,'TRA TECH'!S:S)))</f>
        <v>0.1142140771513353</v>
      </c>
      <c r="P154">
        <f>IF(H154="*","*",IF(_xlfn.XLOOKUP($H154,'TRA TECH'!$J:$J,'TRA TECH'!T:T)="","",_xlfn.XLOOKUP($H154,'TRA TECH'!$J:$J,'TRA TECH'!T:T)))</f>
        <v>0.1241630385756677</v>
      </c>
      <c r="Q154">
        <f>IF(H154="*","*",IF(_xlfn.XLOOKUP($H154,'TRA TECH'!$J:$J,'TRA TECH'!U:U)="","",_xlfn.XLOOKUP($H154,'TRA TECH'!$J:$J,'TRA TECH'!U:U)))</f>
        <v>0.12986710979228491</v>
      </c>
      <c r="R154">
        <f>IF(H154="*","*",IF(_xlfn.XLOOKUP($H154,'TRA TECH'!$J:$J,'TRA TECH'!V:V)="","",_xlfn.XLOOKUP($H154,'TRA TECH'!$J:$J,'TRA TECH'!V:V)))</f>
        <v>0.1353058753709199</v>
      </c>
      <c r="S154">
        <f>IF(H154="*","*",IF(_xlfn.XLOOKUP($H154,'TRA TECH'!$J:$J,'TRA TECH'!W:W)="","",_xlfn.XLOOKUP($H154,'TRA TECH'!$J:$J,'TRA TECH'!W:W)))</f>
        <v>0.1406119881305638</v>
      </c>
      <c r="T154">
        <f t="shared" si="12"/>
        <v>0.1406119881305638</v>
      </c>
      <c r="U154">
        <f>IF(H154="*","*",IF(_xlfn.XLOOKUP($H154,'TRA TECH'!$J:$J,'TRA TECH'!X:X)="","",_xlfn.XLOOKUP($H154,'TRA TECH'!$J:$J,'TRA TECH'!X:X)))</f>
        <v>259.62195015425431</v>
      </c>
      <c r="V154">
        <f>IF(H154="*","*",IF(_xlfn.XLOOKUP($H154,'TRA TECH'!$J:$J,'TRA TECH'!Y:Y)="","",_xlfn.XLOOKUP($H154,'TRA TECH'!$J:$J,'TRA TECH'!Y:Y)))</f>
        <v>259.62195015425431</v>
      </c>
      <c r="W154">
        <f>IF(H154="*","*",IF(_xlfn.XLOOKUP($H154,'TRA TECH'!$J:$J,'TRA TECH'!Z:Z)="","",_xlfn.XLOOKUP($H154,'TRA TECH'!$J:$J,'TRA TECH'!Z:Z)))</f>
        <v>260.33324316837559</v>
      </c>
      <c r="X154">
        <f>IF(H154="*","*",IF(_xlfn.XLOOKUP($H154,'TRA TECH'!$J:$J,'TRA TECH'!AA:AA)="","",_xlfn.XLOOKUP($H154,'TRA TECH'!$J:$J,'TRA TECH'!AA:AA)))</f>
        <v>260.33324316837559</v>
      </c>
      <c r="Y154">
        <f>IF(H154="*","*",IF(_xlfn.XLOOKUP($H154,'TRA TECH'!$J:$J,'TRA TECH'!AB:AB)="","",_xlfn.XLOOKUP($H154,'TRA TECH'!$J:$J,'TRA TECH'!AB:AB)))</f>
        <v>261.75582919661798</v>
      </c>
      <c r="Z154">
        <f>IF(H154="*","*",IF(_xlfn.XLOOKUP($H154,'TRA TECH'!$J:$J,'TRA TECH'!AC:AC)="","",_xlfn.XLOOKUP($H154,'TRA TECH'!$J:$J,'TRA TECH'!AC:AC)))</f>
        <v>263.88970823898183</v>
      </c>
      <c r="AA154">
        <f>IF(H154="*","*",IF(_xlfn.XLOOKUP($H154,'TRA TECH'!$J:$J,'TRA TECH'!AD:AD)="","",_xlfn.XLOOKUP($H154,'TRA TECH'!$J:$J,'TRA TECH'!AD:AD)))</f>
        <v>266.02358728134561</v>
      </c>
      <c r="AB154">
        <f t="shared" si="13"/>
        <v>266.02358728134561</v>
      </c>
      <c r="AC154" s="15">
        <f>IF(H154="*","*",IF(_xlfn.XLOOKUP($H154,'TRA TECH'!$J:$J,'TRA TECH'!AE:AE)="","",_xlfn.XLOOKUP($H154,'TRA TECH'!$J:$J,'TRA TECH'!AE:AE)))</f>
        <v>9.9262614810501049</v>
      </c>
      <c r="AD154" s="15">
        <f>IF(H154="*","*",IF(_xlfn.XLOOKUP($H154,'TRA TECH'!$J:$J,'TRA TECH'!AF:AF)="","",_xlfn.XLOOKUP($H154,'TRA TECH'!$J:$J,'TRA TECH'!AF:AF)))</f>
        <v>9.9262614810501049</v>
      </c>
      <c r="AE154" s="15">
        <f>IF(H154="*","*",IF(_xlfn.XLOOKUP($H154,'TRA TECH'!$J:$J,'TRA TECH'!AG:AG)="","",_xlfn.XLOOKUP($H154,'TRA TECH'!$J:$J,'TRA TECH'!AG:AG)))</f>
        <v>9.9262614810501049</v>
      </c>
      <c r="AF154" s="15">
        <f>IF(H154="*","*",IF(_xlfn.XLOOKUP($H154,'TRA TECH'!$J:$J,'TRA TECH'!AH:AH)="","",_xlfn.XLOOKUP($H154,'TRA TECH'!$J:$J,'TRA TECH'!AH:AH)))</f>
        <v>9.9262614810501049</v>
      </c>
      <c r="AG154" s="15">
        <f>IF(H154="*","*",IF(_xlfn.XLOOKUP($H154,'TRA TECH'!$J:$J,'TRA TECH'!AI:AI)="","",_xlfn.XLOOKUP($H154,'TRA TECH'!$J:$J,'TRA TECH'!AI:AI)))</f>
        <v>9.9262614810501049</v>
      </c>
      <c r="AH154" s="15">
        <f>IF(H154="*","*",IF(_xlfn.XLOOKUP($H154,'TRA TECH'!$J:$J,'TRA TECH'!AJ:AJ)="","",_xlfn.XLOOKUP($H154,'TRA TECH'!$J:$J,'TRA TECH'!AJ:AJ)))</f>
        <v>9.9262614810501049</v>
      </c>
      <c r="AI154" s="15">
        <f>IF(H154="*","*",IF(_xlfn.XLOOKUP($H154,'TRA TECH'!$J:$J,'TRA TECH'!AK:AK)="","",_xlfn.XLOOKUP($H154,'TRA TECH'!$J:$J,'TRA TECH'!AK:AK)))</f>
        <v>9.9262614810501049</v>
      </c>
      <c r="AJ154" s="15">
        <f t="shared" si="14"/>
        <v>9.9262614810501049</v>
      </c>
      <c r="AK154" s="16">
        <f t="shared" si="15"/>
        <v>0.25</v>
      </c>
    </row>
    <row r="155" spans="2:37" x14ac:dyDescent="0.25">
      <c r="B155" t="str">
        <f>IF('TRA TECH'!M151=0,"*",IF('TRA TECH'!H151="","*",'TRA TECH'!J151))</f>
        <v>TRAFRESLHHEVPDSL20</v>
      </c>
      <c r="C155" t="str">
        <f>IF('TRA TECH'!M151=0,"*",'TRA TECH'!H151)</f>
        <v>TRARDS</v>
      </c>
      <c r="D155" t="s">
        <v>424</v>
      </c>
      <c r="E155" s="9">
        <f>'TRA TECH'!P151</f>
        <v>1</v>
      </c>
      <c r="H155" t="str">
        <f>IF('TRA TECH'!M151=1,IF('TRA TECH'!L151=1,'TRA TECH'!J151,"*"),"*")</f>
        <v>*</v>
      </c>
      <c r="I155" t="str">
        <f>IF(H155="*","*",_xlfn.XLOOKUP(H155,'TRA TECH'!J:J,'TRA TECH'!I:I))</f>
        <v>*</v>
      </c>
      <c r="J155" t="str">
        <f>IF(H155="*","*",_xlfn.XLOOKUP(H155,'TRA TECH'!J:J,'TRA TECH'!N:N))</f>
        <v>*</v>
      </c>
      <c r="K155" s="15" t="str">
        <f>IF(H155="*","*",IF(_xlfn.XLOOKUP(H155,'TRA TECH'!J:J,'TRA TECH'!O:O)="","",_xlfn.XLOOKUP(H155,'TRA TECH'!J:J,'TRA TECH'!O:O)))</f>
        <v>*</v>
      </c>
      <c r="L155" t="str">
        <f t="shared" si="11"/>
        <v>*</v>
      </c>
      <c r="M155" t="str">
        <f>IF(H155="*","*",IF(_xlfn.XLOOKUP($H155,'TRA TECH'!$J:$J,'TRA TECH'!Q:Q)="","",_xlfn.XLOOKUP($H155,'TRA TECH'!$J:$J,'TRA TECH'!Q:Q)))</f>
        <v>*</v>
      </c>
      <c r="N155" t="str">
        <f>IF(H155="*","*",IF(_xlfn.XLOOKUP($H155,'TRA TECH'!$J:$J,'TRA TECH'!R:R)="","",_xlfn.XLOOKUP($H155,'TRA TECH'!$J:$J,'TRA TECH'!R:R)))</f>
        <v>*</v>
      </c>
      <c r="O155" t="str">
        <f>IF(H155="*","*",IF(_xlfn.XLOOKUP($H155,'TRA TECH'!$J:$J,'TRA TECH'!S:S)="","",_xlfn.XLOOKUP($H155,'TRA TECH'!$J:$J,'TRA TECH'!S:S)))</f>
        <v>*</v>
      </c>
      <c r="P155" t="str">
        <f>IF(H155="*","*",IF(_xlfn.XLOOKUP($H155,'TRA TECH'!$J:$J,'TRA TECH'!T:T)="","",_xlfn.XLOOKUP($H155,'TRA TECH'!$J:$J,'TRA TECH'!T:T)))</f>
        <v>*</v>
      </c>
      <c r="Q155" t="str">
        <f>IF(H155="*","*",IF(_xlfn.XLOOKUP($H155,'TRA TECH'!$J:$J,'TRA TECH'!U:U)="","",_xlfn.XLOOKUP($H155,'TRA TECH'!$J:$J,'TRA TECH'!U:U)))</f>
        <v>*</v>
      </c>
      <c r="R155" t="str">
        <f>IF(H155="*","*",IF(_xlfn.XLOOKUP($H155,'TRA TECH'!$J:$J,'TRA TECH'!V:V)="","",_xlfn.XLOOKUP($H155,'TRA TECH'!$J:$J,'TRA TECH'!V:V)))</f>
        <v>*</v>
      </c>
      <c r="S155" t="str">
        <f>IF(H155="*","*",IF(_xlfn.XLOOKUP($H155,'TRA TECH'!$J:$J,'TRA TECH'!W:W)="","",_xlfn.XLOOKUP($H155,'TRA TECH'!$J:$J,'TRA TECH'!W:W)))</f>
        <v>*</v>
      </c>
      <c r="T155" t="str">
        <f t="shared" si="12"/>
        <v>*</v>
      </c>
      <c r="U155" t="str">
        <f>IF(H155="*","*",IF(_xlfn.XLOOKUP($H155,'TRA TECH'!$J:$J,'TRA TECH'!X:X)="","",_xlfn.XLOOKUP($H155,'TRA TECH'!$J:$J,'TRA TECH'!X:X)))</f>
        <v>*</v>
      </c>
      <c r="V155" t="str">
        <f>IF(H155="*","*",IF(_xlfn.XLOOKUP($H155,'TRA TECH'!$J:$J,'TRA TECH'!Y:Y)="","",_xlfn.XLOOKUP($H155,'TRA TECH'!$J:$J,'TRA TECH'!Y:Y)))</f>
        <v>*</v>
      </c>
      <c r="W155" t="str">
        <f>IF(H155="*","*",IF(_xlfn.XLOOKUP($H155,'TRA TECH'!$J:$J,'TRA TECH'!Z:Z)="","",_xlfn.XLOOKUP($H155,'TRA TECH'!$J:$J,'TRA TECH'!Z:Z)))</f>
        <v>*</v>
      </c>
      <c r="X155" t="str">
        <f>IF(H155="*","*",IF(_xlfn.XLOOKUP($H155,'TRA TECH'!$J:$J,'TRA TECH'!AA:AA)="","",_xlfn.XLOOKUP($H155,'TRA TECH'!$J:$J,'TRA TECH'!AA:AA)))</f>
        <v>*</v>
      </c>
      <c r="Y155" t="str">
        <f>IF(H155="*","*",IF(_xlfn.XLOOKUP($H155,'TRA TECH'!$J:$J,'TRA TECH'!AB:AB)="","",_xlfn.XLOOKUP($H155,'TRA TECH'!$J:$J,'TRA TECH'!AB:AB)))</f>
        <v>*</v>
      </c>
      <c r="Z155" t="str">
        <f>IF(H155="*","*",IF(_xlfn.XLOOKUP($H155,'TRA TECH'!$J:$J,'TRA TECH'!AC:AC)="","",_xlfn.XLOOKUP($H155,'TRA TECH'!$J:$J,'TRA TECH'!AC:AC)))</f>
        <v>*</v>
      </c>
      <c r="AA155" t="str">
        <f>IF(H155="*","*",IF(_xlfn.XLOOKUP($H155,'TRA TECH'!$J:$J,'TRA TECH'!AD:AD)="","",_xlfn.XLOOKUP($H155,'TRA TECH'!$J:$J,'TRA TECH'!AD:AD)))</f>
        <v>*</v>
      </c>
      <c r="AB155" t="str">
        <f t="shared" si="13"/>
        <v>*</v>
      </c>
      <c r="AC155" s="15" t="str">
        <f>IF(H155="*","*",IF(_xlfn.XLOOKUP($H155,'TRA TECH'!$J:$J,'TRA TECH'!AE:AE)="","",_xlfn.XLOOKUP($H155,'TRA TECH'!$J:$J,'TRA TECH'!AE:AE)))</f>
        <v>*</v>
      </c>
      <c r="AD155" s="15" t="str">
        <f>IF(H155="*","*",IF(_xlfn.XLOOKUP($H155,'TRA TECH'!$J:$J,'TRA TECH'!AF:AF)="","",_xlfn.XLOOKUP($H155,'TRA TECH'!$J:$J,'TRA TECH'!AF:AF)))</f>
        <v>*</v>
      </c>
      <c r="AE155" s="15" t="str">
        <f>IF(H155="*","*",IF(_xlfn.XLOOKUP($H155,'TRA TECH'!$J:$J,'TRA TECH'!AG:AG)="","",_xlfn.XLOOKUP($H155,'TRA TECH'!$J:$J,'TRA TECH'!AG:AG)))</f>
        <v>*</v>
      </c>
      <c r="AF155" s="15" t="str">
        <f>IF(H155="*","*",IF(_xlfn.XLOOKUP($H155,'TRA TECH'!$J:$J,'TRA TECH'!AH:AH)="","",_xlfn.XLOOKUP($H155,'TRA TECH'!$J:$J,'TRA TECH'!AH:AH)))</f>
        <v>*</v>
      </c>
      <c r="AG155" s="15" t="str">
        <f>IF(H155="*","*",IF(_xlfn.XLOOKUP($H155,'TRA TECH'!$J:$J,'TRA TECH'!AI:AI)="","",_xlfn.XLOOKUP($H155,'TRA TECH'!$J:$J,'TRA TECH'!AI:AI)))</f>
        <v>*</v>
      </c>
      <c r="AH155" s="15" t="str">
        <f>IF(H155="*","*",IF(_xlfn.XLOOKUP($H155,'TRA TECH'!$J:$J,'TRA TECH'!AJ:AJ)="","",_xlfn.XLOOKUP($H155,'TRA TECH'!$J:$J,'TRA TECH'!AJ:AJ)))</f>
        <v>*</v>
      </c>
      <c r="AI155" s="15" t="str">
        <f>IF(H155="*","*",IF(_xlfn.XLOOKUP($H155,'TRA TECH'!$J:$J,'TRA TECH'!AK:AK)="","",_xlfn.XLOOKUP($H155,'TRA TECH'!$J:$J,'TRA TECH'!AK:AK)))</f>
        <v>*</v>
      </c>
      <c r="AJ155" s="15" t="str">
        <f t="shared" si="14"/>
        <v>*</v>
      </c>
      <c r="AK155" s="16" t="str">
        <f t="shared" si="15"/>
        <v>*</v>
      </c>
    </row>
    <row r="156" spans="2:37" x14ac:dyDescent="0.25">
      <c r="B156" t="str">
        <f>IF('TRA TECH'!M152=0,"*",IF('TRA TECH'!H152="","*",'TRA TECH'!J152))</f>
        <v>TRAFRESLHHEVPDSL20</v>
      </c>
      <c r="C156" t="str">
        <f>IF('TRA TECH'!M152=0,"*",'TRA TECH'!H152)</f>
        <v>TRABDS</v>
      </c>
      <c r="D156" t="s">
        <v>424</v>
      </c>
      <c r="E156" s="9">
        <f>'TRA TECH'!P152</f>
        <v>0.1</v>
      </c>
      <c r="H156" t="str">
        <f>IF('TRA TECH'!M152=1,IF('TRA TECH'!L152=1,'TRA TECH'!J152,"*"),"*")</f>
        <v>*</v>
      </c>
      <c r="I156" t="str">
        <f>IF(H156="*","*",_xlfn.XLOOKUP(H156,'TRA TECH'!J:J,'TRA TECH'!I:I))</f>
        <v>*</v>
      </c>
      <c r="J156" t="str">
        <f>IF(H156="*","*",_xlfn.XLOOKUP(H156,'TRA TECH'!J:J,'TRA TECH'!N:N))</f>
        <v>*</v>
      </c>
      <c r="K156" s="15" t="str">
        <f>IF(H156="*","*",IF(_xlfn.XLOOKUP(H156,'TRA TECH'!J:J,'TRA TECH'!O:O)="","",_xlfn.XLOOKUP(H156,'TRA TECH'!J:J,'TRA TECH'!O:O)))</f>
        <v>*</v>
      </c>
      <c r="L156" t="str">
        <f t="shared" si="11"/>
        <v>*</v>
      </c>
      <c r="M156" t="str">
        <f>IF(H156="*","*",IF(_xlfn.XLOOKUP($H156,'TRA TECH'!$J:$J,'TRA TECH'!Q:Q)="","",_xlfn.XLOOKUP($H156,'TRA TECH'!$J:$J,'TRA TECH'!Q:Q)))</f>
        <v>*</v>
      </c>
      <c r="N156" t="str">
        <f>IF(H156="*","*",IF(_xlfn.XLOOKUP($H156,'TRA TECH'!$J:$J,'TRA TECH'!R:R)="","",_xlfn.XLOOKUP($H156,'TRA TECH'!$J:$J,'TRA TECH'!R:R)))</f>
        <v>*</v>
      </c>
      <c r="O156" t="str">
        <f>IF(H156="*","*",IF(_xlfn.XLOOKUP($H156,'TRA TECH'!$J:$J,'TRA TECH'!S:S)="","",_xlfn.XLOOKUP($H156,'TRA TECH'!$J:$J,'TRA TECH'!S:S)))</f>
        <v>*</v>
      </c>
      <c r="P156" t="str">
        <f>IF(H156="*","*",IF(_xlfn.XLOOKUP($H156,'TRA TECH'!$J:$J,'TRA TECH'!T:T)="","",_xlfn.XLOOKUP($H156,'TRA TECH'!$J:$J,'TRA TECH'!T:T)))</f>
        <v>*</v>
      </c>
      <c r="Q156" t="str">
        <f>IF(H156="*","*",IF(_xlfn.XLOOKUP($H156,'TRA TECH'!$J:$J,'TRA TECH'!U:U)="","",_xlfn.XLOOKUP($H156,'TRA TECH'!$J:$J,'TRA TECH'!U:U)))</f>
        <v>*</v>
      </c>
      <c r="R156" t="str">
        <f>IF(H156="*","*",IF(_xlfn.XLOOKUP($H156,'TRA TECH'!$J:$J,'TRA TECH'!V:V)="","",_xlfn.XLOOKUP($H156,'TRA TECH'!$J:$J,'TRA TECH'!V:V)))</f>
        <v>*</v>
      </c>
      <c r="S156" t="str">
        <f>IF(H156="*","*",IF(_xlfn.XLOOKUP($H156,'TRA TECH'!$J:$J,'TRA TECH'!W:W)="","",_xlfn.XLOOKUP($H156,'TRA TECH'!$J:$J,'TRA TECH'!W:W)))</f>
        <v>*</v>
      </c>
      <c r="T156" t="str">
        <f t="shared" si="12"/>
        <v>*</v>
      </c>
      <c r="U156" t="str">
        <f>IF(H156="*","*",IF(_xlfn.XLOOKUP($H156,'TRA TECH'!$J:$J,'TRA TECH'!X:X)="","",_xlfn.XLOOKUP($H156,'TRA TECH'!$J:$J,'TRA TECH'!X:X)))</f>
        <v>*</v>
      </c>
      <c r="V156" t="str">
        <f>IF(H156="*","*",IF(_xlfn.XLOOKUP($H156,'TRA TECH'!$J:$J,'TRA TECH'!Y:Y)="","",_xlfn.XLOOKUP($H156,'TRA TECH'!$J:$J,'TRA TECH'!Y:Y)))</f>
        <v>*</v>
      </c>
      <c r="W156" t="str">
        <f>IF(H156="*","*",IF(_xlfn.XLOOKUP($H156,'TRA TECH'!$J:$J,'TRA TECH'!Z:Z)="","",_xlfn.XLOOKUP($H156,'TRA TECH'!$J:$J,'TRA TECH'!Z:Z)))</f>
        <v>*</v>
      </c>
      <c r="X156" t="str">
        <f>IF(H156="*","*",IF(_xlfn.XLOOKUP($H156,'TRA TECH'!$J:$J,'TRA TECH'!AA:AA)="","",_xlfn.XLOOKUP($H156,'TRA TECH'!$J:$J,'TRA TECH'!AA:AA)))</f>
        <v>*</v>
      </c>
      <c r="Y156" t="str">
        <f>IF(H156="*","*",IF(_xlfn.XLOOKUP($H156,'TRA TECH'!$J:$J,'TRA TECH'!AB:AB)="","",_xlfn.XLOOKUP($H156,'TRA TECH'!$J:$J,'TRA TECH'!AB:AB)))</f>
        <v>*</v>
      </c>
      <c r="Z156" t="str">
        <f>IF(H156="*","*",IF(_xlfn.XLOOKUP($H156,'TRA TECH'!$J:$J,'TRA TECH'!AC:AC)="","",_xlfn.XLOOKUP($H156,'TRA TECH'!$J:$J,'TRA TECH'!AC:AC)))</f>
        <v>*</v>
      </c>
      <c r="AA156" t="str">
        <f>IF(H156="*","*",IF(_xlfn.XLOOKUP($H156,'TRA TECH'!$J:$J,'TRA TECH'!AD:AD)="","",_xlfn.XLOOKUP($H156,'TRA TECH'!$J:$J,'TRA TECH'!AD:AD)))</f>
        <v>*</v>
      </c>
      <c r="AB156" t="str">
        <f t="shared" si="13"/>
        <v>*</v>
      </c>
      <c r="AC156" s="15" t="str">
        <f>IF(H156="*","*",IF(_xlfn.XLOOKUP($H156,'TRA TECH'!$J:$J,'TRA TECH'!AE:AE)="","",_xlfn.XLOOKUP($H156,'TRA TECH'!$J:$J,'TRA TECH'!AE:AE)))</f>
        <v>*</v>
      </c>
      <c r="AD156" s="15" t="str">
        <f>IF(H156="*","*",IF(_xlfn.XLOOKUP($H156,'TRA TECH'!$J:$J,'TRA TECH'!AF:AF)="","",_xlfn.XLOOKUP($H156,'TRA TECH'!$J:$J,'TRA TECH'!AF:AF)))</f>
        <v>*</v>
      </c>
      <c r="AE156" s="15" t="str">
        <f>IF(H156="*","*",IF(_xlfn.XLOOKUP($H156,'TRA TECH'!$J:$J,'TRA TECH'!AG:AG)="","",_xlfn.XLOOKUP($H156,'TRA TECH'!$J:$J,'TRA TECH'!AG:AG)))</f>
        <v>*</v>
      </c>
      <c r="AF156" s="15" t="str">
        <f>IF(H156="*","*",IF(_xlfn.XLOOKUP($H156,'TRA TECH'!$J:$J,'TRA TECH'!AH:AH)="","",_xlfn.XLOOKUP($H156,'TRA TECH'!$J:$J,'TRA TECH'!AH:AH)))</f>
        <v>*</v>
      </c>
      <c r="AG156" s="15" t="str">
        <f>IF(H156="*","*",IF(_xlfn.XLOOKUP($H156,'TRA TECH'!$J:$J,'TRA TECH'!AI:AI)="","",_xlfn.XLOOKUP($H156,'TRA TECH'!$J:$J,'TRA TECH'!AI:AI)))</f>
        <v>*</v>
      </c>
      <c r="AH156" s="15" t="str">
        <f>IF(H156="*","*",IF(_xlfn.XLOOKUP($H156,'TRA TECH'!$J:$J,'TRA TECH'!AJ:AJ)="","",_xlfn.XLOOKUP($H156,'TRA TECH'!$J:$J,'TRA TECH'!AJ:AJ)))</f>
        <v>*</v>
      </c>
      <c r="AI156" s="15" t="str">
        <f>IF(H156="*","*",IF(_xlfn.XLOOKUP($H156,'TRA TECH'!$J:$J,'TRA TECH'!AK:AK)="","",_xlfn.XLOOKUP($H156,'TRA TECH'!$J:$J,'TRA TECH'!AK:AK)))</f>
        <v>*</v>
      </c>
      <c r="AJ156" s="15" t="str">
        <f t="shared" si="14"/>
        <v>*</v>
      </c>
      <c r="AK156" s="16" t="str">
        <f t="shared" si="15"/>
        <v>*</v>
      </c>
    </row>
    <row r="157" spans="2:37" x14ac:dyDescent="0.25">
      <c r="B157" t="str">
        <f>IF('TRA TECH'!M153=0,"*",IF('TRA TECH'!H153="","*",'TRA TECH'!J153))</f>
        <v>TRAFRESLHPHEVDSL20</v>
      </c>
      <c r="C157" t="str">
        <f>IF('TRA TECH'!M153=0,"*",'TRA TECH'!H153)</f>
        <v>TRADSL</v>
      </c>
      <c r="D157" t="s">
        <v>424</v>
      </c>
      <c r="E157" s="9">
        <f>'TRA TECH'!P153</f>
        <v>0.34675615212528432</v>
      </c>
      <c r="H157" t="str">
        <f>IF('TRA TECH'!M153=1,IF('TRA TECH'!L153=1,'TRA TECH'!J153,"*"),"*")</f>
        <v>TRAFRESLHPHEVDSL20</v>
      </c>
      <c r="I157" t="str">
        <f>IF(H157="*","*",_xlfn.XLOOKUP(H157,'TRA TECH'!J:J,'TRA TECH'!I:I))</f>
        <v>TRAFRESLHDMD</v>
      </c>
      <c r="J157">
        <f>IF(H157="*","*",_xlfn.XLOOKUP(H157,'TRA TECH'!J:J,'TRA TECH'!N:N))</f>
        <v>2020</v>
      </c>
      <c r="K157" s="15">
        <f>IF(H157="*","*",IF(_xlfn.XLOOKUP(H157,'TRA TECH'!J:J,'TRA TECH'!O:O)="","",_xlfn.XLOOKUP(H157,'TRA TECH'!J:J,'TRA TECH'!O:O)))</f>
        <v>10.89196958520898</v>
      </c>
      <c r="L157">
        <f t="shared" si="11"/>
        <v>1</v>
      </c>
      <c r="M157">
        <f>IF(H157="*","*",IF(_xlfn.XLOOKUP($H157,'TRA TECH'!$J:$J,'TRA TECH'!Q:Q)="","",_xlfn.XLOOKUP($H157,'TRA TECH'!$J:$J,'TRA TECH'!Q:Q)))</f>
        <v>0.18040783382789249</v>
      </c>
      <c r="N157">
        <f>IF(H157="*","*",IF(_xlfn.XLOOKUP($H157,'TRA TECH'!$J:$J,'TRA TECH'!R:R)="","",_xlfn.XLOOKUP($H157,'TRA TECH'!$J:$J,'TRA TECH'!R:R)))</f>
        <v>0.18040783382789249</v>
      </c>
      <c r="O157">
        <f>IF(H157="*","*",IF(_xlfn.XLOOKUP($H157,'TRA TECH'!$J:$J,'TRA TECH'!S:S)="","",_xlfn.XLOOKUP($H157,'TRA TECH'!$J:$J,'TRA TECH'!S:S)))</f>
        <v>0.20163228486646839</v>
      </c>
      <c r="P157">
        <f>IF(H157="*","*",IF(_xlfn.XLOOKUP($H157,'TRA TECH'!$J:$J,'TRA TECH'!T:T)="","",_xlfn.XLOOKUP($H157,'TRA TECH'!$J:$J,'TRA TECH'!T:T)))</f>
        <v>0.22285673590504509</v>
      </c>
      <c r="Q157">
        <f>IF(H157="*","*",IF(_xlfn.XLOOKUP($H157,'TRA TECH'!$J:$J,'TRA TECH'!U:U)="","",_xlfn.XLOOKUP($H157,'TRA TECH'!$J:$J,'TRA TECH'!U:U)))</f>
        <v>0.23214243323442141</v>
      </c>
      <c r="R157">
        <f>IF(H157="*","*",IF(_xlfn.XLOOKUP($H157,'TRA TECH'!$J:$J,'TRA TECH'!V:V)="","",_xlfn.XLOOKUP($H157,'TRA TECH'!$J:$J,'TRA TECH'!V:V)))</f>
        <v>0.2414281305637975</v>
      </c>
      <c r="S157">
        <f>IF(H157="*","*",IF(_xlfn.XLOOKUP($H157,'TRA TECH'!$J:$J,'TRA TECH'!W:W)="","",_xlfn.XLOOKUP($H157,'TRA TECH'!$J:$J,'TRA TECH'!W:W)))</f>
        <v>0.25204035608308611</v>
      </c>
      <c r="T157">
        <f t="shared" si="12"/>
        <v>0.25204035608308611</v>
      </c>
      <c r="U157">
        <f>IF(H157="*","*",IF(_xlfn.XLOOKUP($H157,'TRA TECH'!$J:$J,'TRA TECH'!X:X)="","",_xlfn.XLOOKUP($H157,'TRA TECH'!$J:$J,'TRA TECH'!X:X)))</f>
        <v>374.14012542777448</v>
      </c>
      <c r="V157">
        <f>IF(H157="*","*",IF(_xlfn.XLOOKUP($H157,'TRA TECH'!$J:$J,'TRA TECH'!Y:Y)="","",_xlfn.XLOOKUP($H157,'TRA TECH'!$J:$J,'TRA TECH'!Y:Y)))</f>
        <v>374.14012542777448</v>
      </c>
      <c r="W157">
        <f>IF(H157="*","*",IF(_xlfn.XLOOKUP($H157,'TRA TECH'!$J:$J,'TRA TECH'!Z:Z)="","",_xlfn.XLOOKUP($H157,'TRA TECH'!$J:$J,'TRA TECH'!Z:Z)))</f>
        <v>325.06090745340788</v>
      </c>
      <c r="X157">
        <f>IF(H157="*","*",IF(_xlfn.XLOOKUP($H157,'TRA TECH'!$J:$J,'TRA TECH'!AA:AA)="","",_xlfn.XLOOKUP($H157,'TRA TECH'!$J:$J,'TRA TECH'!AA:AA)))</f>
        <v>300.16565195916411</v>
      </c>
      <c r="Y157">
        <f>IF(H157="*","*",IF(_xlfn.XLOOKUP($H157,'TRA TECH'!$J:$J,'TRA TECH'!AB:AB)="","",_xlfn.XLOOKUP($H157,'TRA TECH'!$J:$J,'TRA TECH'!AB:AB)))</f>
        <v>290.91884277558938</v>
      </c>
      <c r="Z157">
        <f>IF(H157="*","*",IF(_xlfn.XLOOKUP($H157,'TRA TECH'!$J:$J,'TRA TECH'!AC:AC)="","",_xlfn.XLOOKUP($H157,'TRA TECH'!$J:$J,'TRA TECH'!AC:AC)))</f>
        <v>280.96074057789201</v>
      </c>
      <c r="AA157">
        <f>IF(H157="*","*",IF(_xlfn.XLOOKUP($H157,'TRA TECH'!$J:$J,'TRA TECH'!AD:AD)="","",_xlfn.XLOOKUP($H157,'TRA TECH'!$J:$J,'TRA TECH'!AD:AD)))</f>
        <v>271.71393139431541</v>
      </c>
      <c r="AB157">
        <f t="shared" si="13"/>
        <v>271.71393139431541</v>
      </c>
      <c r="AC157" s="15">
        <f>IF(H157="*","*",IF(_xlfn.XLOOKUP($H157,'TRA TECH'!$J:$J,'TRA TECH'!AE:AE)="","",_xlfn.XLOOKUP($H157,'TRA TECH'!$J:$J,'TRA TECH'!AE:AE)))</f>
        <v>9.9262614810501226</v>
      </c>
      <c r="AD157" s="15">
        <f>IF(H157="*","*",IF(_xlfn.XLOOKUP($H157,'TRA TECH'!$J:$J,'TRA TECH'!AF:AF)="","",_xlfn.XLOOKUP($H157,'TRA TECH'!$J:$J,'TRA TECH'!AF:AF)))</f>
        <v>9.9262614810501226</v>
      </c>
      <c r="AE157" s="15">
        <f>IF(H157="*","*",IF(_xlfn.XLOOKUP($H157,'TRA TECH'!$J:$J,'TRA TECH'!AG:AG)="","",_xlfn.XLOOKUP($H157,'TRA TECH'!$J:$J,'TRA TECH'!AG:AG)))</f>
        <v>9.9262614810501226</v>
      </c>
      <c r="AF157" s="15">
        <f>IF(H157="*","*",IF(_xlfn.XLOOKUP($H157,'TRA TECH'!$J:$J,'TRA TECH'!AH:AH)="","",_xlfn.XLOOKUP($H157,'TRA TECH'!$J:$J,'TRA TECH'!AH:AH)))</f>
        <v>9.9262614810501226</v>
      </c>
      <c r="AG157" s="15">
        <f>IF(H157="*","*",IF(_xlfn.XLOOKUP($H157,'TRA TECH'!$J:$J,'TRA TECH'!AI:AI)="","",_xlfn.XLOOKUP($H157,'TRA TECH'!$J:$J,'TRA TECH'!AI:AI)))</f>
        <v>9.9262614810501226</v>
      </c>
      <c r="AH157" s="15">
        <f>IF(H157="*","*",IF(_xlfn.XLOOKUP($H157,'TRA TECH'!$J:$J,'TRA TECH'!AJ:AJ)="","",_xlfn.XLOOKUP($H157,'TRA TECH'!$J:$J,'TRA TECH'!AJ:AJ)))</f>
        <v>9.9262614810501226</v>
      </c>
      <c r="AI157" s="15">
        <f>IF(H157="*","*",IF(_xlfn.XLOOKUP($H157,'TRA TECH'!$J:$J,'TRA TECH'!AK:AK)="","",_xlfn.XLOOKUP($H157,'TRA TECH'!$J:$J,'TRA TECH'!AK:AK)))</f>
        <v>9.9262614810501226</v>
      </c>
      <c r="AJ157" s="15">
        <f t="shared" si="14"/>
        <v>9.9262614810501226</v>
      </c>
      <c r="AK157" s="16">
        <f t="shared" si="15"/>
        <v>0.25</v>
      </c>
    </row>
    <row r="158" spans="2:37" x14ac:dyDescent="0.25">
      <c r="B158" t="str">
        <f>IF('TRA TECH'!M154=0,"*",IF('TRA TECH'!H154="","*",'TRA TECH'!J154))</f>
        <v>TRAFRESLHPHEVDSL20</v>
      </c>
      <c r="C158" t="str">
        <f>IF('TRA TECH'!M154=0,"*",'TRA TECH'!H154)</f>
        <v>TRARDS</v>
      </c>
      <c r="D158" t="s">
        <v>424</v>
      </c>
      <c r="E158" s="9">
        <f>'TRA TECH'!P154</f>
        <v>0.34675615212528432</v>
      </c>
      <c r="H158" t="str">
        <f>IF('TRA TECH'!M154=1,IF('TRA TECH'!L154=1,'TRA TECH'!J154,"*"),"*")</f>
        <v>*</v>
      </c>
      <c r="I158" t="str">
        <f>IF(H158="*","*",_xlfn.XLOOKUP(H158,'TRA TECH'!J:J,'TRA TECH'!I:I))</f>
        <v>*</v>
      </c>
      <c r="J158" t="str">
        <f>IF(H158="*","*",_xlfn.XLOOKUP(H158,'TRA TECH'!J:J,'TRA TECH'!N:N))</f>
        <v>*</v>
      </c>
      <c r="K158" s="15" t="str">
        <f>IF(H158="*","*",IF(_xlfn.XLOOKUP(H158,'TRA TECH'!J:J,'TRA TECH'!O:O)="","",_xlfn.XLOOKUP(H158,'TRA TECH'!J:J,'TRA TECH'!O:O)))</f>
        <v>*</v>
      </c>
      <c r="L158" t="str">
        <f t="shared" si="11"/>
        <v>*</v>
      </c>
      <c r="M158" t="str">
        <f>IF(H158="*","*",IF(_xlfn.XLOOKUP($H158,'TRA TECH'!$J:$J,'TRA TECH'!Q:Q)="","",_xlfn.XLOOKUP($H158,'TRA TECH'!$J:$J,'TRA TECH'!Q:Q)))</f>
        <v>*</v>
      </c>
      <c r="N158" t="str">
        <f>IF(H158="*","*",IF(_xlfn.XLOOKUP($H158,'TRA TECH'!$J:$J,'TRA TECH'!R:R)="","",_xlfn.XLOOKUP($H158,'TRA TECH'!$J:$J,'TRA TECH'!R:R)))</f>
        <v>*</v>
      </c>
      <c r="O158" t="str">
        <f>IF(H158="*","*",IF(_xlfn.XLOOKUP($H158,'TRA TECH'!$J:$J,'TRA TECH'!S:S)="","",_xlfn.XLOOKUP($H158,'TRA TECH'!$J:$J,'TRA TECH'!S:S)))</f>
        <v>*</v>
      </c>
      <c r="P158" t="str">
        <f>IF(H158="*","*",IF(_xlfn.XLOOKUP($H158,'TRA TECH'!$J:$J,'TRA TECH'!T:T)="","",_xlfn.XLOOKUP($H158,'TRA TECH'!$J:$J,'TRA TECH'!T:T)))</f>
        <v>*</v>
      </c>
      <c r="Q158" t="str">
        <f>IF(H158="*","*",IF(_xlfn.XLOOKUP($H158,'TRA TECH'!$J:$J,'TRA TECH'!U:U)="","",_xlfn.XLOOKUP($H158,'TRA TECH'!$J:$J,'TRA TECH'!U:U)))</f>
        <v>*</v>
      </c>
      <c r="R158" t="str">
        <f>IF(H158="*","*",IF(_xlfn.XLOOKUP($H158,'TRA TECH'!$J:$J,'TRA TECH'!V:V)="","",_xlfn.XLOOKUP($H158,'TRA TECH'!$J:$J,'TRA TECH'!V:V)))</f>
        <v>*</v>
      </c>
      <c r="S158" t="str">
        <f>IF(H158="*","*",IF(_xlfn.XLOOKUP($H158,'TRA TECH'!$J:$J,'TRA TECH'!W:W)="","",_xlfn.XLOOKUP($H158,'TRA TECH'!$J:$J,'TRA TECH'!W:W)))</f>
        <v>*</v>
      </c>
      <c r="T158" t="str">
        <f t="shared" si="12"/>
        <v>*</v>
      </c>
      <c r="U158" t="str">
        <f>IF(H158="*","*",IF(_xlfn.XLOOKUP($H158,'TRA TECH'!$J:$J,'TRA TECH'!X:X)="","",_xlfn.XLOOKUP($H158,'TRA TECH'!$J:$J,'TRA TECH'!X:X)))</f>
        <v>*</v>
      </c>
      <c r="V158" t="str">
        <f>IF(H158="*","*",IF(_xlfn.XLOOKUP($H158,'TRA TECH'!$J:$J,'TRA TECH'!Y:Y)="","",_xlfn.XLOOKUP($H158,'TRA TECH'!$J:$J,'TRA TECH'!Y:Y)))</f>
        <v>*</v>
      </c>
      <c r="W158" t="str">
        <f>IF(H158="*","*",IF(_xlfn.XLOOKUP($H158,'TRA TECH'!$J:$J,'TRA TECH'!Z:Z)="","",_xlfn.XLOOKUP($H158,'TRA TECH'!$J:$J,'TRA TECH'!Z:Z)))</f>
        <v>*</v>
      </c>
      <c r="X158" t="str">
        <f>IF(H158="*","*",IF(_xlfn.XLOOKUP($H158,'TRA TECH'!$J:$J,'TRA TECH'!AA:AA)="","",_xlfn.XLOOKUP($H158,'TRA TECH'!$J:$J,'TRA TECH'!AA:AA)))</f>
        <v>*</v>
      </c>
      <c r="Y158" t="str">
        <f>IF(H158="*","*",IF(_xlfn.XLOOKUP($H158,'TRA TECH'!$J:$J,'TRA TECH'!AB:AB)="","",_xlfn.XLOOKUP($H158,'TRA TECH'!$J:$J,'TRA TECH'!AB:AB)))</f>
        <v>*</v>
      </c>
      <c r="Z158" t="str">
        <f>IF(H158="*","*",IF(_xlfn.XLOOKUP($H158,'TRA TECH'!$J:$J,'TRA TECH'!AC:AC)="","",_xlfn.XLOOKUP($H158,'TRA TECH'!$J:$J,'TRA TECH'!AC:AC)))</f>
        <v>*</v>
      </c>
      <c r="AA158" t="str">
        <f>IF(H158="*","*",IF(_xlfn.XLOOKUP($H158,'TRA TECH'!$J:$J,'TRA TECH'!AD:AD)="","",_xlfn.XLOOKUP($H158,'TRA TECH'!$J:$J,'TRA TECH'!AD:AD)))</f>
        <v>*</v>
      </c>
      <c r="AB158" t="str">
        <f t="shared" si="13"/>
        <v>*</v>
      </c>
      <c r="AC158" s="15" t="str">
        <f>IF(H158="*","*",IF(_xlfn.XLOOKUP($H158,'TRA TECH'!$J:$J,'TRA TECH'!AE:AE)="","",_xlfn.XLOOKUP($H158,'TRA TECH'!$J:$J,'TRA TECH'!AE:AE)))</f>
        <v>*</v>
      </c>
      <c r="AD158" s="15" t="str">
        <f>IF(H158="*","*",IF(_xlfn.XLOOKUP($H158,'TRA TECH'!$J:$J,'TRA TECH'!AF:AF)="","",_xlfn.XLOOKUP($H158,'TRA TECH'!$J:$J,'TRA TECH'!AF:AF)))</f>
        <v>*</v>
      </c>
      <c r="AE158" s="15" t="str">
        <f>IF(H158="*","*",IF(_xlfn.XLOOKUP($H158,'TRA TECH'!$J:$J,'TRA TECH'!AG:AG)="","",_xlfn.XLOOKUP($H158,'TRA TECH'!$J:$J,'TRA TECH'!AG:AG)))</f>
        <v>*</v>
      </c>
      <c r="AF158" s="15" t="str">
        <f>IF(H158="*","*",IF(_xlfn.XLOOKUP($H158,'TRA TECH'!$J:$J,'TRA TECH'!AH:AH)="","",_xlfn.XLOOKUP($H158,'TRA TECH'!$J:$J,'TRA TECH'!AH:AH)))</f>
        <v>*</v>
      </c>
      <c r="AG158" s="15" t="str">
        <f>IF(H158="*","*",IF(_xlfn.XLOOKUP($H158,'TRA TECH'!$J:$J,'TRA TECH'!AI:AI)="","",_xlfn.XLOOKUP($H158,'TRA TECH'!$J:$J,'TRA TECH'!AI:AI)))</f>
        <v>*</v>
      </c>
      <c r="AH158" s="15" t="str">
        <f>IF(H158="*","*",IF(_xlfn.XLOOKUP($H158,'TRA TECH'!$J:$J,'TRA TECH'!AJ:AJ)="","",_xlfn.XLOOKUP($H158,'TRA TECH'!$J:$J,'TRA TECH'!AJ:AJ)))</f>
        <v>*</v>
      </c>
      <c r="AI158" s="15" t="str">
        <f>IF(H158="*","*",IF(_xlfn.XLOOKUP($H158,'TRA TECH'!$J:$J,'TRA TECH'!AK:AK)="","",_xlfn.XLOOKUP($H158,'TRA TECH'!$J:$J,'TRA TECH'!AK:AK)))</f>
        <v>*</v>
      </c>
      <c r="AJ158" s="15" t="str">
        <f t="shared" si="14"/>
        <v>*</v>
      </c>
      <c r="AK158" s="16" t="str">
        <f t="shared" si="15"/>
        <v>*</v>
      </c>
    </row>
    <row r="159" spans="2:37" x14ac:dyDescent="0.25">
      <c r="B159" t="str">
        <f>IF('TRA TECH'!M155=0,"*",IF('TRA TECH'!H155="","*",'TRA TECH'!J155))</f>
        <v>TRAFRESLHPHEVDSL20</v>
      </c>
      <c r="C159" t="str">
        <f>IF('TRA TECH'!M155=0,"*",'TRA TECH'!H155)</f>
        <v>TRABDS</v>
      </c>
      <c r="D159" t="s">
        <v>424</v>
      </c>
      <c r="E159" s="9">
        <f>'TRA TECH'!P155</f>
        <v>0.1</v>
      </c>
      <c r="H159" t="str">
        <f>IF('TRA TECH'!M155=1,IF('TRA TECH'!L155=1,'TRA TECH'!J155,"*"),"*")</f>
        <v>*</v>
      </c>
      <c r="I159" t="str">
        <f>IF(H159="*","*",_xlfn.XLOOKUP(H159,'TRA TECH'!J:J,'TRA TECH'!I:I))</f>
        <v>*</v>
      </c>
      <c r="J159" t="str">
        <f>IF(H159="*","*",_xlfn.XLOOKUP(H159,'TRA TECH'!J:J,'TRA TECH'!N:N))</f>
        <v>*</v>
      </c>
      <c r="K159" s="15" t="str">
        <f>IF(H159="*","*",IF(_xlfn.XLOOKUP(H159,'TRA TECH'!J:J,'TRA TECH'!O:O)="","",_xlfn.XLOOKUP(H159,'TRA TECH'!J:J,'TRA TECH'!O:O)))</f>
        <v>*</v>
      </c>
      <c r="L159" t="str">
        <f t="shared" si="11"/>
        <v>*</v>
      </c>
      <c r="M159" t="str">
        <f>IF(H159="*","*",IF(_xlfn.XLOOKUP($H159,'TRA TECH'!$J:$J,'TRA TECH'!Q:Q)="","",_xlfn.XLOOKUP($H159,'TRA TECH'!$J:$J,'TRA TECH'!Q:Q)))</f>
        <v>*</v>
      </c>
      <c r="N159" t="str">
        <f>IF(H159="*","*",IF(_xlfn.XLOOKUP($H159,'TRA TECH'!$J:$J,'TRA TECH'!R:R)="","",_xlfn.XLOOKUP($H159,'TRA TECH'!$J:$J,'TRA TECH'!R:R)))</f>
        <v>*</v>
      </c>
      <c r="O159" t="str">
        <f>IF(H159="*","*",IF(_xlfn.XLOOKUP($H159,'TRA TECH'!$J:$J,'TRA TECH'!S:S)="","",_xlfn.XLOOKUP($H159,'TRA TECH'!$J:$J,'TRA TECH'!S:S)))</f>
        <v>*</v>
      </c>
      <c r="P159" t="str">
        <f>IF(H159="*","*",IF(_xlfn.XLOOKUP($H159,'TRA TECH'!$J:$J,'TRA TECH'!T:T)="","",_xlfn.XLOOKUP($H159,'TRA TECH'!$J:$J,'TRA TECH'!T:T)))</f>
        <v>*</v>
      </c>
      <c r="Q159" t="str">
        <f>IF(H159="*","*",IF(_xlfn.XLOOKUP($H159,'TRA TECH'!$J:$J,'TRA TECH'!U:U)="","",_xlfn.XLOOKUP($H159,'TRA TECH'!$J:$J,'TRA TECH'!U:U)))</f>
        <v>*</v>
      </c>
      <c r="R159" t="str">
        <f>IF(H159="*","*",IF(_xlfn.XLOOKUP($H159,'TRA TECH'!$J:$J,'TRA TECH'!V:V)="","",_xlfn.XLOOKUP($H159,'TRA TECH'!$J:$J,'TRA TECH'!V:V)))</f>
        <v>*</v>
      </c>
      <c r="S159" t="str">
        <f>IF(H159="*","*",IF(_xlfn.XLOOKUP($H159,'TRA TECH'!$J:$J,'TRA TECH'!W:W)="","",_xlfn.XLOOKUP($H159,'TRA TECH'!$J:$J,'TRA TECH'!W:W)))</f>
        <v>*</v>
      </c>
      <c r="T159" t="str">
        <f t="shared" si="12"/>
        <v>*</v>
      </c>
      <c r="U159" t="str">
        <f>IF(H159="*","*",IF(_xlfn.XLOOKUP($H159,'TRA TECH'!$J:$J,'TRA TECH'!X:X)="","",_xlfn.XLOOKUP($H159,'TRA TECH'!$J:$J,'TRA TECH'!X:X)))</f>
        <v>*</v>
      </c>
      <c r="V159" t="str">
        <f>IF(H159="*","*",IF(_xlfn.XLOOKUP($H159,'TRA TECH'!$J:$J,'TRA TECH'!Y:Y)="","",_xlfn.XLOOKUP($H159,'TRA TECH'!$J:$J,'TRA TECH'!Y:Y)))</f>
        <v>*</v>
      </c>
      <c r="W159" t="str">
        <f>IF(H159="*","*",IF(_xlfn.XLOOKUP($H159,'TRA TECH'!$J:$J,'TRA TECH'!Z:Z)="","",_xlfn.XLOOKUP($H159,'TRA TECH'!$J:$J,'TRA TECH'!Z:Z)))</f>
        <v>*</v>
      </c>
      <c r="X159" t="str">
        <f>IF(H159="*","*",IF(_xlfn.XLOOKUP($H159,'TRA TECH'!$J:$J,'TRA TECH'!AA:AA)="","",_xlfn.XLOOKUP($H159,'TRA TECH'!$J:$J,'TRA TECH'!AA:AA)))</f>
        <v>*</v>
      </c>
      <c r="Y159" t="str">
        <f>IF(H159="*","*",IF(_xlfn.XLOOKUP($H159,'TRA TECH'!$J:$J,'TRA TECH'!AB:AB)="","",_xlfn.XLOOKUP($H159,'TRA TECH'!$J:$J,'TRA TECH'!AB:AB)))</f>
        <v>*</v>
      </c>
      <c r="Z159" t="str">
        <f>IF(H159="*","*",IF(_xlfn.XLOOKUP($H159,'TRA TECH'!$J:$J,'TRA TECH'!AC:AC)="","",_xlfn.XLOOKUP($H159,'TRA TECH'!$J:$J,'TRA TECH'!AC:AC)))</f>
        <v>*</v>
      </c>
      <c r="AA159" t="str">
        <f>IF(H159="*","*",IF(_xlfn.XLOOKUP($H159,'TRA TECH'!$J:$J,'TRA TECH'!AD:AD)="","",_xlfn.XLOOKUP($H159,'TRA TECH'!$J:$J,'TRA TECH'!AD:AD)))</f>
        <v>*</v>
      </c>
      <c r="AB159" t="str">
        <f t="shared" si="13"/>
        <v>*</v>
      </c>
      <c r="AC159" s="15" t="str">
        <f>IF(H159="*","*",IF(_xlfn.XLOOKUP($H159,'TRA TECH'!$J:$J,'TRA TECH'!AE:AE)="","",_xlfn.XLOOKUP($H159,'TRA TECH'!$J:$J,'TRA TECH'!AE:AE)))</f>
        <v>*</v>
      </c>
      <c r="AD159" s="15" t="str">
        <f>IF(H159="*","*",IF(_xlfn.XLOOKUP($H159,'TRA TECH'!$J:$J,'TRA TECH'!AF:AF)="","",_xlfn.XLOOKUP($H159,'TRA TECH'!$J:$J,'TRA TECH'!AF:AF)))</f>
        <v>*</v>
      </c>
      <c r="AE159" s="15" t="str">
        <f>IF(H159="*","*",IF(_xlfn.XLOOKUP($H159,'TRA TECH'!$J:$J,'TRA TECH'!AG:AG)="","",_xlfn.XLOOKUP($H159,'TRA TECH'!$J:$J,'TRA TECH'!AG:AG)))</f>
        <v>*</v>
      </c>
      <c r="AF159" s="15" t="str">
        <f>IF(H159="*","*",IF(_xlfn.XLOOKUP($H159,'TRA TECH'!$J:$J,'TRA TECH'!AH:AH)="","",_xlfn.XLOOKUP($H159,'TRA TECH'!$J:$J,'TRA TECH'!AH:AH)))</f>
        <v>*</v>
      </c>
      <c r="AG159" s="15" t="str">
        <f>IF(H159="*","*",IF(_xlfn.XLOOKUP($H159,'TRA TECH'!$J:$J,'TRA TECH'!AI:AI)="","",_xlfn.XLOOKUP($H159,'TRA TECH'!$J:$J,'TRA TECH'!AI:AI)))</f>
        <v>*</v>
      </c>
      <c r="AH159" s="15" t="str">
        <f>IF(H159="*","*",IF(_xlfn.XLOOKUP($H159,'TRA TECH'!$J:$J,'TRA TECH'!AJ:AJ)="","",_xlfn.XLOOKUP($H159,'TRA TECH'!$J:$J,'TRA TECH'!AJ:AJ)))</f>
        <v>*</v>
      </c>
      <c r="AI159" s="15" t="str">
        <f>IF(H159="*","*",IF(_xlfn.XLOOKUP($H159,'TRA TECH'!$J:$J,'TRA TECH'!AK:AK)="","",_xlfn.XLOOKUP($H159,'TRA TECH'!$J:$J,'TRA TECH'!AK:AK)))</f>
        <v>*</v>
      </c>
      <c r="AJ159" s="15" t="str">
        <f t="shared" si="14"/>
        <v>*</v>
      </c>
      <c r="AK159" s="16" t="str">
        <f t="shared" si="15"/>
        <v>*</v>
      </c>
    </row>
    <row r="160" spans="2:37" x14ac:dyDescent="0.25">
      <c r="B160" t="str">
        <f>IF('TRA TECH'!M156=0,"*",IF('TRA TECH'!H156="","*",'TRA TECH'!J156))</f>
        <v>TRAFRESLHPHEVDSL20</v>
      </c>
      <c r="C160" t="str">
        <f>IF('TRA TECH'!M156=0,"*",'TRA TECH'!H156)</f>
        <v>TRABAF</v>
      </c>
      <c r="D160" t="s">
        <v>424</v>
      </c>
      <c r="E160" s="9">
        <f>'TRA TECH'!P156</f>
        <v>0.65324384787471568</v>
      </c>
      <c r="H160" t="str">
        <f>IF('TRA TECH'!M156=1,IF('TRA TECH'!L156=1,'TRA TECH'!J156,"*"),"*")</f>
        <v>*</v>
      </c>
      <c r="I160" t="str">
        <f>IF(H160="*","*",_xlfn.XLOOKUP(H160,'TRA TECH'!J:J,'TRA TECH'!I:I))</f>
        <v>*</v>
      </c>
      <c r="J160" t="str">
        <f>IF(H160="*","*",_xlfn.XLOOKUP(H160,'TRA TECH'!J:J,'TRA TECH'!N:N))</f>
        <v>*</v>
      </c>
      <c r="K160" s="15" t="str">
        <f>IF(H160="*","*",IF(_xlfn.XLOOKUP(H160,'TRA TECH'!J:J,'TRA TECH'!O:O)="","",_xlfn.XLOOKUP(H160,'TRA TECH'!J:J,'TRA TECH'!O:O)))</f>
        <v>*</v>
      </c>
      <c r="L160" t="str">
        <f t="shared" si="11"/>
        <v>*</v>
      </c>
      <c r="M160" t="str">
        <f>IF(H160="*","*",IF(_xlfn.XLOOKUP($H160,'TRA TECH'!$J:$J,'TRA TECH'!Q:Q)="","",_xlfn.XLOOKUP($H160,'TRA TECH'!$J:$J,'TRA TECH'!Q:Q)))</f>
        <v>*</v>
      </c>
      <c r="N160" t="str">
        <f>IF(H160="*","*",IF(_xlfn.XLOOKUP($H160,'TRA TECH'!$J:$J,'TRA TECH'!R:R)="","",_xlfn.XLOOKUP($H160,'TRA TECH'!$J:$J,'TRA TECH'!R:R)))</f>
        <v>*</v>
      </c>
      <c r="O160" t="str">
        <f>IF(H160="*","*",IF(_xlfn.XLOOKUP($H160,'TRA TECH'!$J:$J,'TRA TECH'!S:S)="","",_xlfn.XLOOKUP($H160,'TRA TECH'!$J:$J,'TRA TECH'!S:S)))</f>
        <v>*</v>
      </c>
      <c r="P160" t="str">
        <f>IF(H160="*","*",IF(_xlfn.XLOOKUP($H160,'TRA TECH'!$J:$J,'TRA TECH'!T:T)="","",_xlfn.XLOOKUP($H160,'TRA TECH'!$J:$J,'TRA TECH'!T:T)))</f>
        <v>*</v>
      </c>
      <c r="Q160" t="str">
        <f>IF(H160="*","*",IF(_xlfn.XLOOKUP($H160,'TRA TECH'!$J:$J,'TRA TECH'!U:U)="","",_xlfn.XLOOKUP($H160,'TRA TECH'!$J:$J,'TRA TECH'!U:U)))</f>
        <v>*</v>
      </c>
      <c r="R160" t="str">
        <f>IF(H160="*","*",IF(_xlfn.XLOOKUP($H160,'TRA TECH'!$J:$J,'TRA TECH'!V:V)="","",_xlfn.XLOOKUP($H160,'TRA TECH'!$J:$J,'TRA TECH'!V:V)))</f>
        <v>*</v>
      </c>
      <c r="S160" t="str">
        <f>IF(H160="*","*",IF(_xlfn.XLOOKUP($H160,'TRA TECH'!$J:$J,'TRA TECH'!W:W)="","",_xlfn.XLOOKUP($H160,'TRA TECH'!$J:$J,'TRA TECH'!W:W)))</f>
        <v>*</v>
      </c>
      <c r="T160" t="str">
        <f t="shared" si="12"/>
        <v>*</v>
      </c>
      <c r="U160" t="str">
        <f>IF(H160="*","*",IF(_xlfn.XLOOKUP($H160,'TRA TECH'!$J:$J,'TRA TECH'!X:X)="","",_xlfn.XLOOKUP($H160,'TRA TECH'!$J:$J,'TRA TECH'!X:X)))</f>
        <v>*</v>
      </c>
      <c r="V160" t="str">
        <f>IF(H160="*","*",IF(_xlfn.XLOOKUP($H160,'TRA TECH'!$J:$J,'TRA TECH'!Y:Y)="","",_xlfn.XLOOKUP($H160,'TRA TECH'!$J:$J,'TRA TECH'!Y:Y)))</f>
        <v>*</v>
      </c>
      <c r="W160" t="str">
        <f>IF(H160="*","*",IF(_xlfn.XLOOKUP($H160,'TRA TECH'!$J:$J,'TRA TECH'!Z:Z)="","",_xlfn.XLOOKUP($H160,'TRA TECH'!$J:$J,'TRA TECH'!Z:Z)))</f>
        <v>*</v>
      </c>
      <c r="X160" t="str">
        <f>IF(H160="*","*",IF(_xlfn.XLOOKUP($H160,'TRA TECH'!$J:$J,'TRA TECH'!AA:AA)="","",_xlfn.XLOOKUP($H160,'TRA TECH'!$J:$J,'TRA TECH'!AA:AA)))</f>
        <v>*</v>
      </c>
      <c r="Y160" t="str">
        <f>IF(H160="*","*",IF(_xlfn.XLOOKUP($H160,'TRA TECH'!$J:$J,'TRA TECH'!AB:AB)="","",_xlfn.XLOOKUP($H160,'TRA TECH'!$J:$J,'TRA TECH'!AB:AB)))</f>
        <v>*</v>
      </c>
      <c r="Z160" t="str">
        <f>IF(H160="*","*",IF(_xlfn.XLOOKUP($H160,'TRA TECH'!$J:$J,'TRA TECH'!AC:AC)="","",_xlfn.XLOOKUP($H160,'TRA TECH'!$J:$J,'TRA TECH'!AC:AC)))</f>
        <v>*</v>
      </c>
      <c r="AA160" t="str">
        <f>IF(H160="*","*",IF(_xlfn.XLOOKUP($H160,'TRA TECH'!$J:$J,'TRA TECH'!AD:AD)="","",_xlfn.XLOOKUP($H160,'TRA TECH'!$J:$J,'TRA TECH'!AD:AD)))</f>
        <v>*</v>
      </c>
      <c r="AB160" t="str">
        <f t="shared" si="13"/>
        <v>*</v>
      </c>
      <c r="AC160" s="15" t="str">
        <f>IF(H160="*","*",IF(_xlfn.XLOOKUP($H160,'TRA TECH'!$J:$J,'TRA TECH'!AE:AE)="","",_xlfn.XLOOKUP($H160,'TRA TECH'!$J:$J,'TRA TECH'!AE:AE)))</f>
        <v>*</v>
      </c>
      <c r="AD160" s="15" t="str">
        <f>IF(H160="*","*",IF(_xlfn.XLOOKUP($H160,'TRA TECH'!$J:$J,'TRA TECH'!AF:AF)="","",_xlfn.XLOOKUP($H160,'TRA TECH'!$J:$J,'TRA TECH'!AF:AF)))</f>
        <v>*</v>
      </c>
      <c r="AE160" s="15" t="str">
        <f>IF(H160="*","*",IF(_xlfn.XLOOKUP($H160,'TRA TECH'!$J:$J,'TRA TECH'!AG:AG)="","",_xlfn.XLOOKUP($H160,'TRA TECH'!$J:$J,'TRA TECH'!AG:AG)))</f>
        <v>*</v>
      </c>
      <c r="AF160" s="15" t="str">
        <f>IF(H160="*","*",IF(_xlfn.XLOOKUP($H160,'TRA TECH'!$J:$J,'TRA TECH'!AH:AH)="","",_xlfn.XLOOKUP($H160,'TRA TECH'!$J:$J,'TRA TECH'!AH:AH)))</f>
        <v>*</v>
      </c>
      <c r="AG160" s="15" t="str">
        <f>IF(H160="*","*",IF(_xlfn.XLOOKUP($H160,'TRA TECH'!$J:$J,'TRA TECH'!AI:AI)="","",_xlfn.XLOOKUP($H160,'TRA TECH'!$J:$J,'TRA TECH'!AI:AI)))</f>
        <v>*</v>
      </c>
      <c r="AH160" s="15" t="str">
        <f>IF(H160="*","*",IF(_xlfn.XLOOKUP($H160,'TRA TECH'!$J:$J,'TRA TECH'!AJ:AJ)="","",_xlfn.XLOOKUP($H160,'TRA TECH'!$J:$J,'TRA TECH'!AJ:AJ)))</f>
        <v>*</v>
      </c>
      <c r="AI160" s="15" t="str">
        <f>IF(H160="*","*",IF(_xlfn.XLOOKUP($H160,'TRA TECH'!$J:$J,'TRA TECH'!AK:AK)="","",_xlfn.XLOOKUP($H160,'TRA TECH'!$J:$J,'TRA TECH'!AK:AK)))</f>
        <v>*</v>
      </c>
      <c r="AJ160" s="15" t="str">
        <f t="shared" si="14"/>
        <v>*</v>
      </c>
      <c r="AK160" s="16" t="str">
        <f t="shared" si="15"/>
        <v>*</v>
      </c>
    </row>
    <row r="161" spans="2:37" x14ac:dyDescent="0.25">
      <c r="B161" t="str">
        <f>IF('TRA TECH'!M157=0,"*",IF('TRA TECH'!H157="","*",'TRA TECH'!J157))</f>
        <v>TRAFRESLHFCEV20</v>
      </c>
      <c r="C161" t="str">
        <f>IF('TRA TECH'!M157=0,"*",'TRA TECH'!H157)</f>
        <v>TRAH2G</v>
      </c>
      <c r="D161" t="s">
        <v>424</v>
      </c>
      <c r="E161" s="9">
        <f>'TRA TECH'!P157</f>
        <v>1</v>
      </c>
      <c r="H161" t="str">
        <f>IF('TRA TECH'!M157=1,IF('TRA TECH'!L157=1,'TRA TECH'!J157,"*"),"*")</f>
        <v>TRAFRESLHFCEV20</v>
      </c>
      <c r="I161" t="str">
        <f>IF(H161="*","*",_xlfn.XLOOKUP(H161,'TRA TECH'!J:J,'TRA TECH'!I:I))</f>
        <v>TRAFRESLHDMD</v>
      </c>
      <c r="J161">
        <f>IF(H161="*","*",_xlfn.XLOOKUP(H161,'TRA TECH'!J:J,'TRA TECH'!N:N))</f>
        <v>2020</v>
      </c>
      <c r="K161" s="15">
        <f>IF(H161="*","*",IF(_xlfn.XLOOKUP(H161,'TRA TECH'!J:J,'TRA TECH'!O:O)="","",_xlfn.XLOOKUP(H161,'TRA TECH'!J:J,'TRA TECH'!O:O)))</f>
        <v>10.89196958520898</v>
      </c>
      <c r="L161">
        <f t="shared" si="11"/>
        <v>1</v>
      </c>
      <c r="M161">
        <f>IF(H161="*","*",IF(_xlfn.XLOOKUP($H161,'TRA TECH'!$J:$J,'TRA TECH'!Q:Q)="","",_xlfn.XLOOKUP($H161,'TRA TECH'!$J:$J,'TRA TECH'!Q:Q)))</f>
        <v>0.1150099940652819</v>
      </c>
      <c r="N161">
        <f>IF(H161="*","*",IF(_xlfn.XLOOKUP($H161,'TRA TECH'!$J:$J,'TRA TECH'!R:R)="","",_xlfn.XLOOKUP($H161,'TRA TECH'!$J:$J,'TRA TECH'!R:R)))</f>
        <v>0.1150099940652819</v>
      </c>
      <c r="O161">
        <f>IF(H161="*","*",IF(_xlfn.XLOOKUP($H161,'TRA TECH'!$J:$J,'TRA TECH'!S:S)="","",_xlfn.XLOOKUP($H161,'TRA TECH'!$J:$J,'TRA TECH'!S:S)))</f>
        <v>0.12933649851632051</v>
      </c>
      <c r="P161">
        <f>IF(H161="*","*",IF(_xlfn.XLOOKUP($H161,'TRA TECH'!$J:$J,'TRA TECH'!T:T)="","",_xlfn.XLOOKUP($H161,'TRA TECH'!$J:$J,'TRA TECH'!T:T)))</f>
        <v>0.14326504451038591</v>
      </c>
      <c r="Q161">
        <f>IF(H161="*","*",IF(_xlfn.XLOOKUP($H161,'TRA TECH'!$J:$J,'TRA TECH'!U:U)="","",_xlfn.XLOOKUP($H161,'TRA TECH'!$J:$J,'TRA TECH'!U:U)))</f>
        <v>0.15122421364985161</v>
      </c>
      <c r="R161">
        <f>IF(H161="*","*",IF(_xlfn.XLOOKUP($H161,'TRA TECH'!$J:$J,'TRA TECH'!V:V)="","",_xlfn.XLOOKUP($H161,'TRA TECH'!$J:$J,'TRA TECH'!V:V)))</f>
        <v>0.15918338278931751</v>
      </c>
      <c r="S161">
        <f>IF(H161="*","*",IF(_xlfn.XLOOKUP($H161,'TRA TECH'!$J:$J,'TRA TECH'!W:W)="","",_xlfn.XLOOKUP($H161,'TRA TECH'!$J:$J,'TRA TECH'!W:W)))</f>
        <v>0.16714255192878349</v>
      </c>
      <c r="T161">
        <f t="shared" si="12"/>
        <v>0.16714255192878349</v>
      </c>
      <c r="U161">
        <f>IF(H161="*","*",IF(_xlfn.XLOOKUP($H161,'TRA TECH'!$J:$J,'TRA TECH'!X:X)="","",_xlfn.XLOOKUP($H161,'TRA TECH'!$J:$J,'TRA TECH'!X:X)))</f>
        <v>409.70477613383707</v>
      </c>
      <c r="V161">
        <f>IF(H161="*","*",IF(_xlfn.XLOOKUP($H161,'TRA TECH'!$J:$J,'TRA TECH'!Y:Y)="","",_xlfn.XLOOKUP($H161,'TRA TECH'!$J:$J,'TRA TECH'!Y:Y)))</f>
        <v>409.70477613383707</v>
      </c>
      <c r="W161">
        <f>IF(H161="*","*",IF(_xlfn.XLOOKUP($H161,'TRA TECH'!$J:$J,'TRA TECH'!Z:Z)="","",_xlfn.XLOOKUP($H161,'TRA TECH'!$J:$J,'TRA TECH'!Z:Z)))</f>
        <v>364.89331624419862</v>
      </c>
      <c r="X161">
        <f>IF(H161="*","*",IF(_xlfn.XLOOKUP($H161,'TRA TECH'!$J:$J,'TRA TECH'!AA:AA)="","",_xlfn.XLOOKUP($H161,'TRA TECH'!$J:$J,'TRA TECH'!AA:AA)))</f>
        <v>340.70935376407601</v>
      </c>
      <c r="Y161">
        <f>IF(H161="*","*",IF(_xlfn.XLOOKUP($H161,'TRA TECH'!$J:$J,'TRA TECH'!AB:AB)="","",_xlfn.XLOOKUP($H161,'TRA TECH'!$J:$J,'TRA TECH'!AB:AB)))</f>
        <v>331.46254458049981</v>
      </c>
      <c r="Z161">
        <f>IF(H161="*","*",IF(_xlfn.XLOOKUP($H161,'TRA TECH'!$J:$J,'TRA TECH'!AC:AC)="","",_xlfn.XLOOKUP($H161,'TRA TECH'!$J:$J,'TRA TECH'!AC:AC)))</f>
        <v>322.21573539692372</v>
      </c>
      <c r="AA161">
        <f>IF(H161="*","*",IF(_xlfn.XLOOKUP($H161,'TRA TECH'!$J:$J,'TRA TECH'!AD:AD)="","",_xlfn.XLOOKUP($H161,'TRA TECH'!$J:$J,'TRA TECH'!AD:AD)))</f>
        <v>313.68021922746908</v>
      </c>
      <c r="AB161">
        <f t="shared" si="13"/>
        <v>313.68021922746908</v>
      </c>
      <c r="AC161" s="15">
        <f>IF(H161="*","*",IF(_xlfn.XLOOKUP($H161,'TRA TECH'!$J:$J,'TRA TECH'!AE:AE)="","",_xlfn.XLOOKUP($H161,'TRA TECH'!$J:$J,'TRA TECH'!AE:AE)))</f>
        <v>9.9915658328991128</v>
      </c>
      <c r="AD161" s="15">
        <f>IF(H161="*","*",IF(_xlfn.XLOOKUP($H161,'TRA TECH'!$J:$J,'TRA TECH'!AF:AF)="","",_xlfn.XLOOKUP($H161,'TRA TECH'!$J:$J,'TRA TECH'!AF:AF)))</f>
        <v>9.9915658328991128</v>
      </c>
      <c r="AE161" s="15">
        <f>IF(H161="*","*",IF(_xlfn.XLOOKUP($H161,'TRA TECH'!$J:$J,'TRA TECH'!AG:AG)="","",_xlfn.XLOOKUP($H161,'TRA TECH'!$J:$J,'TRA TECH'!AG:AG)))</f>
        <v>9.9915658328991128</v>
      </c>
      <c r="AF161" s="15">
        <f>IF(H161="*","*",IF(_xlfn.XLOOKUP($H161,'TRA TECH'!$J:$J,'TRA TECH'!AH:AH)="","",_xlfn.XLOOKUP($H161,'TRA TECH'!$J:$J,'TRA TECH'!AH:AH)))</f>
        <v>9.9915658328991128</v>
      </c>
      <c r="AG161" s="15">
        <f>IF(H161="*","*",IF(_xlfn.XLOOKUP($H161,'TRA TECH'!$J:$J,'TRA TECH'!AI:AI)="","",_xlfn.XLOOKUP($H161,'TRA TECH'!$J:$J,'TRA TECH'!AI:AI)))</f>
        <v>9.9915658328991128</v>
      </c>
      <c r="AH161" s="15">
        <f>IF(H161="*","*",IF(_xlfn.XLOOKUP($H161,'TRA TECH'!$J:$J,'TRA TECH'!AJ:AJ)="","",_xlfn.XLOOKUP($H161,'TRA TECH'!$J:$J,'TRA TECH'!AJ:AJ)))</f>
        <v>9.9915658328991128</v>
      </c>
      <c r="AI161" s="15">
        <f>IF(H161="*","*",IF(_xlfn.XLOOKUP($H161,'TRA TECH'!$J:$J,'TRA TECH'!AK:AK)="","",_xlfn.XLOOKUP($H161,'TRA TECH'!$J:$J,'TRA TECH'!AK:AK)))</f>
        <v>9.9915658328991128</v>
      </c>
      <c r="AJ161" s="15">
        <f t="shared" si="14"/>
        <v>9.9915658328991128</v>
      </c>
      <c r="AK161" s="16">
        <f t="shared" si="15"/>
        <v>0.4</v>
      </c>
    </row>
    <row r="162" spans="2:37" x14ac:dyDescent="0.25">
      <c r="B162" t="str">
        <f>IF('TRA TECH'!M158=0,"*",IF('TRA TECH'!H158="","*",'TRA TECH'!J158))</f>
        <v>TRAFRESLHFCHEV20</v>
      </c>
      <c r="C162" t="str">
        <f>IF('TRA TECH'!M158=0,"*",'TRA TECH'!H158)</f>
        <v>TRAH2G</v>
      </c>
      <c r="D162" t="s">
        <v>424</v>
      </c>
      <c r="E162" s="9">
        <f>'TRA TECH'!P158</f>
        <v>0.92029887920298814</v>
      </c>
      <c r="H162" t="str">
        <f>IF('TRA TECH'!M158=1,IF('TRA TECH'!L158=1,'TRA TECH'!J158,"*"),"*")</f>
        <v>TRAFRESLHFCHEV20</v>
      </c>
      <c r="I162" t="str">
        <f>IF(H162="*","*",_xlfn.XLOOKUP(H162,'TRA TECH'!J:J,'TRA TECH'!I:I))</f>
        <v>TRAFRESLHDMD</v>
      </c>
      <c r="J162">
        <f>IF(H162="*","*",_xlfn.XLOOKUP(H162,'TRA TECH'!J:J,'TRA TECH'!N:N))</f>
        <v>2020</v>
      </c>
      <c r="K162" s="15">
        <f>IF(H162="*","*",IF(_xlfn.XLOOKUP(H162,'TRA TECH'!J:J,'TRA TECH'!O:O)="","",_xlfn.XLOOKUP(H162,'TRA TECH'!J:J,'TRA TECH'!O:O)))</f>
        <v>10.89196958520898</v>
      </c>
      <c r="L162">
        <f t="shared" si="11"/>
        <v>1</v>
      </c>
      <c r="M162">
        <f>IF(H162="*","*",IF(_xlfn.XLOOKUP($H162,'TRA TECH'!$J:$J,'TRA TECH'!Q:Q)="","",_xlfn.XLOOKUP($H162,'TRA TECH'!$J:$J,'TRA TECH'!Q:Q)))</f>
        <v>0.1234997744807122</v>
      </c>
      <c r="N162">
        <f>IF(H162="*","*",IF(_xlfn.XLOOKUP($H162,'TRA TECH'!$J:$J,'TRA TECH'!R:R)="","",_xlfn.XLOOKUP($H162,'TRA TECH'!$J:$J,'TRA TECH'!R:R)))</f>
        <v>0.1234997744807122</v>
      </c>
      <c r="O162">
        <f>IF(H162="*","*",IF(_xlfn.XLOOKUP($H162,'TRA TECH'!$J:$J,'TRA TECH'!S:S)="","",_xlfn.XLOOKUP($H162,'TRA TECH'!$J:$J,'TRA TECH'!S:S)))</f>
        <v>0.13928545994065281</v>
      </c>
      <c r="P162">
        <f>IF(H162="*","*",IF(_xlfn.XLOOKUP($H162,'TRA TECH'!$J:$J,'TRA TECH'!T:T)="","",_xlfn.XLOOKUP($H162,'TRA TECH'!$J:$J,'TRA TECH'!T:T)))</f>
        <v>0.15918338278931751</v>
      </c>
      <c r="Q162">
        <f>IF(H162="*","*",IF(_xlfn.XLOOKUP($H162,'TRA TECH'!$J:$J,'TRA TECH'!U:U)="","",_xlfn.XLOOKUP($H162,'TRA TECH'!$J:$J,'TRA TECH'!U:U)))</f>
        <v>0.16979560830860541</v>
      </c>
      <c r="R162">
        <f>IF(H162="*","*",IF(_xlfn.XLOOKUP($H162,'TRA TECH'!$J:$J,'TRA TECH'!V:V)="","",_xlfn.XLOOKUP($H162,'TRA TECH'!$J:$J,'TRA TECH'!V:V)))</f>
        <v>0.17908130563798219</v>
      </c>
      <c r="S162">
        <f>IF(H162="*","*",IF(_xlfn.XLOOKUP($H162,'TRA TECH'!$J:$J,'TRA TECH'!W:W)="","",_xlfn.XLOOKUP($H162,'TRA TECH'!$J:$J,'TRA TECH'!W:W)))</f>
        <v>0.18969353115727011</v>
      </c>
      <c r="T162">
        <f t="shared" si="12"/>
        <v>0.18969353115727011</v>
      </c>
      <c r="U162">
        <f>IF(H162="*","*",IF(_xlfn.XLOOKUP($H162,'TRA TECH'!$J:$J,'TRA TECH'!X:X)="","",_xlfn.XLOOKUP($H162,'TRA TECH'!$J:$J,'TRA TECH'!X:X)))</f>
        <v>322.92702841104523</v>
      </c>
      <c r="V162">
        <f>IF(H162="*","*",IF(_xlfn.XLOOKUP($H162,'TRA TECH'!$J:$J,'TRA TECH'!Y:Y)="","",_xlfn.XLOOKUP($H162,'TRA TECH'!$J:$J,'TRA TECH'!Y:Y)))</f>
        <v>322.92702841104523</v>
      </c>
      <c r="W162">
        <f>IF(H162="*","*",IF(_xlfn.XLOOKUP($H162,'TRA TECH'!$J:$J,'TRA TECH'!Z:Z)="","",_xlfn.XLOOKUP($H162,'TRA TECH'!$J:$J,'TRA TECH'!Z:Z)))</f>
        <v>289.49625674734659</v>
      </c>
      <c r="X162">
        <f>IF(H162="*","*",IF(_xlfn.XLOOKUP($H162,'TRA TECH'!$J:$J,'TRA TECH'!AA:AA)="","",_xlfn.XLOOKUP($H162,'TRA TECH'!$J:$J,'TRA TECH'!AA:AA)))</f>
        <v>270.29134536607307</v>
      </c>
      <c r="Y162">
        <f>IF(H162="*","*",IF(_xlfn.XLOOKUP($H162,'TRA TECH'!$J:$J,'TRA TECH'!AB:AB)="","",_xlfn.XLOOKUP($H162,'TRA TECH'!$J:$J,'TRA TECH'!AB:AB)))</f>
        <v>262.46712221073909</v>
      </c>
      <c r="Z162">
        <f>IF(H162="*","*",IF(_xlfn.XLOOKUP($H162,'TRA TECH'!$J:$J,'TRA TECH'!AC:AC)="","",_xlfn.XLOOKUP($H162,'TRA TECH'!$J:$J,'TRA TECH'!AC:AC)))</f>
        <v>255.35419206952679</v>
      </c>
      <c r="AA162">
        <f>IF(H162="*","*",IF(_xlfn.XLOOKUP($H162,'TRA TECH'!$J:$J,'TRA TECH'!AD:AD)="","",_xlfn.XLOOKUP($H162,'TRA TECH'!$J:$J,'TRA TECH'!AD:AD)))</f>
        <v>248.24126192831449</v>
      </c>
      <c r="AB162">
        <f t="shared" si="13"/>
        <v>248.24126192831449</v>
      </c>
      <c r="AC162" s="15">
        <f>IF(H162="*","*",IF(_xlfn.XLOOKUP($H162,'TRA TECH'!$J:$J,'TRA TECH'!AE:AE)="","",_xlfn.XLOOKUP($H162,'TRA TECH'!$J:$J,'TRA TECH'!AE:AE)))</f>
        <v>9.9915658328991128</v>
      </c>
      <c r="AD162" s="15">
        <f>IF(H162="*","*",IF(_xlfn.XLOOKUP($H162,'TRA TECH'!$J:$J,'TRA TECH'!AF:AF)="","",_xlfn.XLOOKUP($H162,'TRA TECH'!$J:$J,'TRA TECH'!AF:AF)))</f>
        <v>9.9915658328991128</v>
      </c>
      <c r="AE162" s="15">
        <f>IF(H162="*","*",IF(_xlfn.XLOOKUP($H162,'TRA TECH'!$J:$J,'TRA TECH'!AG:AG)="","",_xlfn.XLOOKUP($H162,'TRA TECH'!$J:$J,'TRA TECH'!AG:AG)))</f>
        <v>9.9915658328991128</v>
      </c>
      <c r="AF162" s="15">
        <f>IF(H162="*","*",IF(_xlfn.XLOOKUP($H162,'TRA TECH'!$J:$J,'TRA TECH'!AH:AH)="","",_xlfn.XLOOKUP($H162,'TRA TECH'!$J:$J,'TRA TECH'!AH:AH)))</f>
        <v>9.9915658328991128</v>
      </c>
      <c r="AG162" s="15">
        <f>IF(H162="*","*",IF(_xlfn.XLOOKUP($H162,'TRA TECH'!$J:$J,'TRA TECH'!AI:AI)="","",_xlfn.XLOOKUP($H162,'TRA TECH'!$J:$J,'TRA TECH'!AI:AI)))</f>
        <v>9.9915658328991128</v>
      </c>
      <c r="AH162" s="15">
        <f>IF(H162="*","*",IF(_xlfn.XLOOKUP($H162,'TRA TECH'!$J:$J,'TRA TECH'!AJ:AJ)="","",_xlfn.XLOOKUP($H162,'TRA TECH'!$J:$J,'TRA TECH'!AJ:AJ)))</f>
        <v>9.9915658328991128</v>
      </c>
      <c r="AI162" s="15">
        <f>IF(H162="*","*",IF(_xlfn.XLOOKUP($H162,'TRA TECH'!$J:$J,'TRA TECH'!AK:AK)="","",_xlfn.XLOOKUP($H162,'TRA TECH'!$J:$J,'TRA TECH'!AK:AK)))</f>
        <v>9.9915658328991128</v>
      </c>
      <c r="AJ162" s="15">
        <f t="shared" si="14"/>
        <v>9.9915658328991128</v>
      </c>
      <c r="AK162" s="16">
        <f t="shared" si="15"/>
        <v>0.25</v>
      </c>
    </row>
    <row r="163" spans="2:37" x14ac:dyDescent="0.25">
      <c r="B163" t="str">
        <f>IF('TRA TECH'!M159=0,"*",IF('TRA TECH'!H159="","*",'TRA TECH'!J159))</f>
        <v>TRAFRESLHFCHEV20</v>
      </c>
      <c r="C163" t="str">
        <f>IF('TRA TECH'!M159=0,"*",'TRA TECH'!H159)</f>
        <v>TRABAF</v>
      </c>
      <c r="D163" t="s">
        <v>424</v>
      </c>
      <c r="E163" s="9">
        <f>'TRA TECH'!P159</f>
        <v>7.9701120797011846E-2</v>
      </c>
      <c r="H163" t="str">
        <f>IF('TRA TECH'!M159=1,IF('TRA TECH'!L159=1,'TRA TECH'!J159,"*"),"*")</f>
        <v>*</v>
      </c>
      <c r="I163" t="str">
        <f>IF(H163="*","*",_xlfn.XLOOKUP(H163,'TRA TECH'!J:J,'TRA TECH'!I:I))</f>
        <v>*</v>
      </c>
      <c r="J163" t="str">
        <f>IF(H163="*","*",_xlfn.XLOOKUP(H163,'TRA TECH'!J:J,'TRA TECH'!N:N))</f>
        <v>*</v>
      </c>
      <c r="K163" s="15" t="str">
        <f>IF(H163="*","*",IF(_xlfn.XLOOKUP(H163,'TRA TECH'!J:J,'TRA TECH'!O:O)="","",_xlfn.XLOOKUP(H163,'TRA TECH'!J:J,'TRA TECH'!O:O)))</f>
        <v>*</v>
      </c>
      <c r="L163" t="str">
        <f t="shared" si="11"/>
        <v>*</v>
      </c>
      <c r="M163" t="str">
        <f>IF(H163="*","*",IF(_xlfn.XLOOKUP($H163,'TRA TECH'!$J:$J,'TRA TECH'!Q:Q)="","",_xlfn.XLOOKUP($H163,'TRA TECH'!$J:$J,'TRA TECH'!Q:Q)))</f>
        <v>*</v>
      </c>
      <c r="N163" t="str">
        <f>IF(H163="*","*",IF(_xlfn.XLOOKUP($H163,'TRA TECH'!$J:$J,'TRA TECH'!R:R)="","",_xlfn.XLOOKUP($H163,'TRA TECH'!$J:$J,'TRA TECH'!R:R)))</f>
        <v>*</v>
      </c>
      <c r="O163" t="str">
        <f>IF(H163="*","*",IF(_xlfn.XLOOKUP($H163,'TRA TECH'!$J:$J,'TRA TECH'!S:S)="","",_xlfn.XLOOKUP($H163,'TRA TECH'!$J:$J,'TRA TECH'!S:S)))</f>
        <v>*</v>
      </c>
      <c r="P163" t="str">
        <f>IF(H163="*","*",IF(_xlfn.XLOOKUP($H163,'TRA TECH'!$J:$J,'TRA TECH'!T:T)="","",_xlfn.XLOOKUP($H163,'TRA TECH'!$J:$J,'TRA TECH'!T:T)))</f>
        <v>*</v>
      </c>
      <c r="Q163" t="str">
        <f>IF(H163="*","*",IF(_xlfn.XLOOKUP($H163,'TRA TECH'!$J:$J,'TRA TECH'!U:U)="","",_xlfn.XLOOKUP($H163,'TRA TECH'!$J:$J,'TRA TECH'!U:U)))</f>
        <v>*</v>
      </c>
      <c r="R163" t="str">
        <f>IF(H163="*","*",IF(_xlfn.XLOOKUP($H163,'TRA TECH'!$J:$J,'TRA TECH'!V:V)="","",_xlfn.XLOOKUP($H163,'TRA TECH'!$J:$J,'TRA TECH'!V:V)))</f>
        <v>*</v>
      </c>
      <c r="S163" t="str">
        <f>IF(H163="*","*",IF(_xlfn.XLOOKUP($H163,'TRA TECH'!$J:$J,'TRA TECH'!W:W)="","",_xlfn.XLOOKUP($H163,'TRA TECH'!$J:$J,'TRA TECH'!W:W)))</f>
        <v>*</v>
      </c>
      <c r="T163" t="str">
        <f t="shared" si="12"/>
        <v>*</v>
      </c>
      <c r="U163" t="str">
        <f>IF(H163="*","*",IF(_xlfn.XLOOKUP($H163,'TRA TECH'!$J:$J,'TRA TECH'!X:X)="","",_xlfn.XLOOKUP($H163,'TRA TECH'!$J:$J,'TRA TECH'!X:X)))</f>
        <v>*</v>
      </c>
      <c r="V163" t="str">
        <f>IF(H163="*","*",IF(_xlfn.XLOOKUP($H163,'TRA TECH'!$J:$J,'TRA TECH'!Y:Y)="","",_xlfn.XLOOKUP($H163,'TRA TECH'!$J:$J,'TRA TECH'!Y:Y)))</f>
        <v>*</v>
      </c>
      <c r="W163" t="str">
        <f>IF(H163="*","*",IF(_xlfn.XLOOKUP($H163,'TRA TECH'!$J:$J,'TRA TECH'!Z:Z)="","",_xlfn.XLOOKUP($H163,'TRA TECH'!$J:$J,'TRA TECH'!Z:Z)))</f>
        <v>*</v>
      </c>
      <c r="X163" t="str">
        <f>IF(H163="*","*",IF(_xlfn.XLOOKUP($H163,'TRA TECH'!$J:$J,'TRA TECH'!AA:AA)="","",_xlfn.XLOOKUP($H163,'TRA TECH'!$J:$J,'TRA TECH'!AA:AA)))</f>
        <v>*</v>
      </c>
      <c r="Y163" t="str">
        <f>IF(H163="*","*",IF(_xlfn.XLOOKUP($H163,'TRA TECH'!$J:$J,'TRA TECH'!AB:AB)="","",_xlfn.XLOOKUP($H163,'TRA TECH'!$J:$J,'TRA TECH'!AB:AB)))</f>
        <v>*</v>
      </c>
      <c r="Z163" t="str">
        <f>IF(H163="*","*",IF(_xlfn.XLOOKUP($H163,'TRA TECH'!$J:$J,'TRA TECH'!AC:AC)="","",_xlfn.XLOOKUP($H163,'TRA TECH'!$J:$J,'TRA TECH'!AC:AC)))</f>
        <v>*</v>
      </c>
      <c r="AA163" t="str">
        <f>IF(H163="*","*",IF(_xlfn.XLOOKUP($H163,'TRA TECH'!$J:$J,'TRA TECH'!AD:AD)="","",_xlfn.XLOOKUP($H163,'TRA TECH'!$J:$J,'TRA TECH'!AD:AD)))</f>
        <v>*</v>
      </c>
      <c r="AB163" t="str">
        <f t="shared" si="13"/>
        <v>*</v>
      </c>
      <c r="AC163" s="15" t="str">
        <f>IF(H163="*","*",IF(_xlfn.XLOOKUP($H163,'TRA TECH'!$J:$J,'TRA TECH'!AE:AE)="","",_xlfn.XLOOKUP($H163,'TRA TECH'!$J:$J,'TRA TECH'!AE:AE)))</f>
        <v>*</v>
      </c>
      <c r="AD163" s="15" t="str">
        <f>IF(H163="*","*",IF(_xlfn.XLOOKUP($H163,'TRA TECH'!$J:$J,'TRA TECH'!AF:AF)="","",_xlfn.XLOOKUP($H163,'TRA TECH'!$J:$J,'TRA TECH'!AF:AF)))</f>
        <v>*</v>
      </c>
      <c r="AE163" s="15" t="str">
        <f>IF(H163="*","*",IF(_xlfn.XLOOKUP($H163,'TRA TECH'!$J:$J,'TRA TECH'!AG:AG)="","",_xlfn.XLOOKUP($H163,'TRA TECH'!$J:$J,'TRA TECH'!AG:AG)))</f>
        <v>*</v>
      </c>
      <c r="AF163" s="15" t="str">
        <f>IF(H163="*","*",IF(_xlfn.XLOOKUP($H163,'TRA TECH'!$J:$J,'TRA TECH'!AH:AH)="","",_xlfn.XLOOKUP($H163,'TRA TECH'!$J:$J,'TRA TECH'!AH:AH)))</f>
        <v>*</v>
      </c>
      <c r="AG163" s="15" t="str">
        <f>IF(H163="*","*",IF(_xlfn.XLOOKUP($H163,'TRA TECH'!$J:$J,'TRA TECH'!AI:AI)="","",_xlfn.XLOOKUP($H163,'TRA TECH'!$J:$J,'TRA TECH'!AI:AI)))</f>
        <v>*</v>
      </c>
      <c r="AH163" s="15" t="str">
        <f>IF(H163="*","*",IF(_xlfn.XLOOKUP($H163,'TRA TECH'!$J:$J,'TRA TECH'!AJ:AJ)="","",_xlfn.XLOOKUP($H163,'TRA TECH'!$J:$J,'TRA TECH'!AJ:AJ)))</f>
        <v>*</v>
      </c>
      <c r="AI163" s="15" t="str">
        <f>IF(H163="*","*",IF(_xlfn.XLOOKUP($H163,'TRA TECH'!$J:$J,'TRA TECH'!AK:AK)="","",_xlfn.XLOOKUP($H163,'TRA TECH'!$J:$J,'TRA TECH'!AK:AK)))</f>
        <v>*</v>
      </c>
      <c r="AJ163" s="15" t="str">
        <f t="shared" si="14"/>
        <v>*</v>
      </c>
      <c r="AK163" s="16" t="str">
        <f t="shared" si="15"/>
        <v>*</v>
      </c>
    </row>
    <row r="164" spans="2:37" x14ac:dyDescent="0.25">
      <c r="B164" t="str">
        <f>IF('TRA TECH'!M160=0,"*",IF('TRA TECH'!H160="","*",'TRA TECH'!J160))</f>
        <v>TRAFRESLHBEV20</v>
      </c>
      <c r="C164" t="str">
        <f>IF('TRA TECH'!M160=0,"*",'TRA TECH'!H160)</f>
        <v>TRABAF</v>
      </c>
      <c r="D164" t="s">
        <v>424</v>
      </c>
      <c r="E164" s="9">
        <f>'TRA TECH'!P160</f>
        <v>1</v>
      </c>
      <c r="H164" t="str">
        <f>IF('TRA TECH'!M160=1,IF('TRA TECH'!L160=1,'TRA TECH'!J160,"*"),"*")</f>
        <v>TRAFRESLHBEV20</v>
      </c>
      <c r="I164" t="str">
        <f>IF(H164="*","*",_xlfn.XLOOKUP(H164,'TRA TECH'!J:J,'TRA TECH'!I:I))</f>
        <v>TRAFRESLHDMD</v>
      </c>
      <c r="J164">
        <f>IF(H164="*","*",_xlfn.XLOOKUP(H164,'TRA TECH'!J:J,'TRA TECH'!N:N))</f>
        <v>2020</v>
      </c>
      <c r="K164" s="15">
        <f>IF(H164="*","*",IF(_xlfn.XLOOKUP(H164,'TRA TECH'!J:J,'TRA TECH'!O:O)="","",_xlfn.XLOOKUP(H164,'TRA TECH'!J:J,'TRA TECH'!O:O)))</f>
        <v>10.89196958520898</v>
      </c>
      <c r="L164">
        <f t="shared" si="11"/>
        <v>1</v>
      </c>
      <c r="M164">
        <f>IF(H164="*","*",IF(_xlfn.XLOOKUP($H164,'TRA TECH'!$J:$J,'TRA TECH'!Q:Q)="","",_xlfn.XLOOKUP($H164,'TRA TECH'!$J:$J,'TRA TECH'!Q:Q)))</f>
        <v>0.2215302077151334</v>
      </c>
      <c r="N164">
        <f>IF(H164="*","*",IF(_xlfn.XLOOKUP($H164,'TRA TECH'!$J:$J,'TRA TECH'!R:R)="","",_xlfn.XLOOKUP($H164,'TRA TECH'!$J:$J,'TRA TECH'!R:R)))</f>
        <v>0.2215302077151334</v>
      </c>
      <c r="O164">
        <f>IF(H164="*","*",IF(_xlfn.XLOOKUP($H164,'TRA TECH'!$J:$J,'TRA TECH'!S:S)="","",_xlfn.XLOOKUP($H164,'TRA TECH'!$J:$J,'TRA TECH'!S:S)))</f>
        <v>0.24673424332344221</v>
      </c>
      <c r="P164">
        <f>IF(H164="*","*",IF(_xlfn.XLOOKUP($H164,'TRA TECH'!$J:$J,'TRA TECH'!T:T)="","",_xlfn.XLOOKUP($H164,'TRA TECH'!$J:$J,'TRA TECH'!T:T)))</f>
        <v>0.27193827893175071</v>
      </c>
      <c r="Q164">
        <f>IF(H164="*","*",IF(_xlfn.XLOOKUP($H164,'TRA TECH'!$J:$J,'TRA TECH'!U:U)="","",_xlfn.XLOOKUP($H164,'TRA TECH'!$J:$J,'TRA TECH'!U:U)))</f>
        <v>0.2812239762611275</v>
      </c>
      <c r="R164">
        <f>IF(H164="*","*",IF(_xlfn.XLOOKUP($H164,'TRA TECH'!$J:$J,'TRA TECH'!V:V)="","",_xlfn.XLOOKUP($H164,'TRA TECH'!$J:$J,'TRA TECH'!V:V)))</f>
        <v>0.29316272997032661</v>
      </c>
      <c r="S164">
        <f>IF(H164="*","*",IF(_xlfn.XLOOKUP($H164,'TRA TECH'!$J:$J,'TRA TECH'!W:W)="","",_xlfn.XLOOKUP($H164,'TRA TECH'!$J:$J,'TRA TECH'!W:W)))</f>
        <v>0.30510148367952522</v>
      </c>
      <c r="T164">
        <f t="shared" si="12"/>
        <v>0.30510148367952522</v>
      </c>
      <c r="U164">
        <f>IF(H164="*","*",IF(_xlfn.XLOOKUP($H164,'TRA TECH'!$J:$J,'TRA TECH'!X:X)="","",_xlfn.XLOOKUP($H164,'TRA TECH'!$J:$J,'TRA TECH'!X:X)))</f>
        <v>477.277612475355</v>
      </c>
      <c r="V164">
        <f>IF(H164="*","*",IF(_xlfn.XLOOKUP($H164,'TRA TECH'!$J:$J,'TRA TECH'!Y:Y)="","",_xlfn.XLOOKUP($H164,'TRA TECH'!$J:$J,'TRA TECH'!Y:Y)))</f>
        <v>477.277612475355</v>
      </c>
      <c r="W164">
        <f>IF(H164="*","*",IF(_xlfn.XLOOKUP($H164,'TRA TECH'!$J:$J,'TRA TECH'!Z:Z)="","",_xlfn.XLOOKUP($H164,'TRA TECH'!$J:$J,'TRA TECH'!Z:Z)))</f>
        <v>392.63374379492677</v>
      </c>
      <c r="X164">
        <f>IF(H164="*","*",IF(_xlfn.XLOOKUP($H164,'TRA TECH'!$J:$J,'TRA TECH'!AA:AA)="","",_xlfn.XLOOKUP($H164,'TRA TECH'!$J:$J,'TRA TECH'!AA:AA)))</f>
        <v>348.53357691941</v>
      </c>
      <c r="Y164">
        <f>IF(H164="*","*",IF(_xlfn.XLOOKUP($H164,'TRA TECH'!$J:$J,'TRA TECH'!AB:AB)="","",_xlfn.XLOOKUP($H164,'TRA TECH'!$J:$J,'TRA TECH'!AB:AB)))</f>
        <v>330.0399585522577</v>
      </c>
      <c r="Z164">
        <f>IF(H164="*","*",IF(_xlfn.XLOOKUP($H164,'TRA TECH'!$J:$J,'TRA TECH'!AC:AC)="","",_xlfn.XLOOKUP($H164,'TRA TECH'!$J:$J,'TRA TECH'!AC:AC)))</f>
        <v>310.83504717098378</v>
      </c>
      <c r="AA164">
        <f>IF(H164="*","*",IF(_xlfn.XLOOKUP($H164,'TRA TECH'!$J:$J,'TRA TECH'!AD:AD)="","",_xlfn.XLOOKUP($H164,'TRA TECH'!$J:$J,'TRA TECH'!AD:AD)))</f>
        <v>292.34142880383138</v>
      </c>
      <c r="AB164">
        <f t="shared" si="13"/>
        <v>292.34142880383138</v>
      </c>
      <c r="AC164" s="15">
        <f>IF(H164="*","*",IF(_xlfn.XLOOKUP($H164,'TRA TECH'!$J:$J,'TRA TECH'!AE:AE)="","",_xlfn.XLOOKUP($H164,'TRA TECH'!$J:$J,'TRA TECH'!AE:AE)))</f>
        <v>6.3998264812033572</v>
      </c>
      <c r="AD164" s="15">
        <f>IF(H164="*","*",IF(_xlfn.XLOOKUP($H164,'TRA TECH'!$J:$J,'TRA TECH'!AF:AF)="","",_xlfn.XLOOKUP($H164,'TRA TECH'!$J:$J,'TRA TECH'!AF:AF)))</f>
        <v>6.3998264812033572</v>
      </c>
      <c r="AE164" s="15">
        <f>IF(H164="*","*",IF(_xlfn.XLOOKUP($H164,'TRA TECH'!$J:$J,'TRA TECH'!AG:AG)="","",_xlfn.XLOOKUP($H164,'TRA TECH'!$J:$J,'TRA TECH'!AG:AG)))</f>
        <v>6.3998264812033572</v>
      </c>
      <c r="AF164" s="15">
        <f>IF(H164="*","*",IF(_xlfn.XLOOKUP($H164,'TRA TECH'!$J:$J,'TRA TECH'!AH:AH)="","",_xlfn.XLOOKUP($H164,'TRA TECH'!$J:$J,'TRA TECH'!AH:AH)))</f>
        <v>6.3998264812033572</v>
      </c>
      <c r="AG164" s="15">
        <f>IF(H164="*","*",IF(_xlfn.XLOOKUP($H164,'TRA TECH'!$J:$J,'TRA TECH'!AI:AI)="","",_xlfn.XLOOKUP($H164,'TRA TECH'!$J:$J,'TRA TECH'!AI:AI)))</f>
        <v>6.3998264812033572</v>
      </c>
      <c r="AH164" s="15">
        <f>IF(H164="*","*",IF(_xlfn.XLOOKUP($H164,'TRA TECH'!$J:$J,'TRA TECH'!AJ:AJ)="","",_xlfn.XLOOKUP($H164,'TRA TECH'!$J:$J,'TRA TECH'!AJ:AJ)))</f>
        <v>6.3998264812033572</v>
      </c>
      <c r="AI164" s="15">
        <f>IF(H164="*","*",IF(_xlfn.XLOOKUP($H164,'TRA TECH'!$J:$J,'TRA TECH'!AK:AK)="","",_xlfn.XLOOKUP($H164,'TRA TECH'!$J:$J,'TRA TECH'!AK:AK)))</f>
        <v>6.3998264812033572</v>
      </c>
      <c r="AJ164" s="15">
        <f t="shared" si="14"/>
        <v>6.3998264812033572</v>
      </c>
      <c r="AK164" s="16">
        <f t="shared" si="15"/>
        <v>0.4</v>
      </c>
    </row>
    <row r="165" spans="2:37" x14ac:dyDescent="0.25">
      <c r="B165" t="str">
        <f>IF('TRA TECH'!M161=0,"*",IF('TRA TECH'!H161="","*",'TRA TECH'!J161))</f>
        <v>TRAFRESSHICEVDSL20</v>
      </c>
      <c r="C165" t="str">
        <f>IF('TRA TECH'!M161=0,"*",'TRA TECH'!H161)</f>
        <v>TRADSL</v>
      </c>
      <c r="D165" t="s">
        <v>424</v>
      </c>
      <c r="E165" s="9">
        <f>'TRA TECH'!P161</f>
        <v>1</v>
      </c>
      <c r="H165" t="str">
        <f>IF('TRA TECH'!M161=1,IF('TRA TECH'!L161=1,'TRA TECH'!J161,"*"),"*")</f>
        <v>TRAFRESSHICEVDSL20</v>
      </c>
      <c r="I165" t="str">
        <f>IF(H165="*","*",_xlfn.XLOOKUP(H165,'TRA TECH'!J:J,'TRA TECH'!I:I))</f>
        <v>TRAFRESSHDMD</v>
      </c>
      <c r="J165">
        <f>IF(H165="*","*",_xlfn.XLOOKUP(H165,'TRA TECH'!J:J,'TRA TECH'!N:N))</f>
        <v>2020</v>
      </c>
      <c r="K165" s="15">
        <f>IF(H165="*","*",IF(_xlfn.XLOOKUP(H165,'TRA TECH'!J:J,'TRA TECH'!O:O)="","",_xlfn.XLOOKUP(H165,'TRA TECH'!J:J,'TRA TECH'!O:O)))</f>
        <v>8.7089799004097141</v>
      </c>
      <c r="L165">
        <f t="shared" si="11"/>
        <v>1</v>
      </c>
      <c r="M165">
        <f>IF(H165="*","*",IF(_xlfn.XLOOKUP($H165,'TRA TECH'!$J:$J,'TRA TECH'!Q:Q)="","",_xlfn.XLOOKUP($H165,'TRA TECH'!$J:$J,'TRA TECH'!Q:Q)))</f>
        <v>0.15255074183976261</v>
      </c>
      <c r="N165">
        <f>IF(H165="*","*",IF(_xlfn.XLOOKUP($H165,'TRA TECH'!$J:$J,'TRA TECH'!R:R)="","",_xlfn.XLOOKUP($H165,'TRA TECH'!$J:$J,'TRA TECH'!R:R)))</f>
        <v>0.15255074183976261</v>
      </c>
      <c r="O165">
        <f>IF(H165="*","*",IF(_xlfn.XLOOKUP($H165,'TRA TECH'!$J:$J,'TRA TECH'!S:S)="","",_xlfn.XLOOKUP($H165,'TRA TECH'!$J:$J,'TRA TECH'!S:S)))</f>
        <v>0.16846908011869441</v>
      </c>
      <c r="P165">
        <f>IF(H165="*","*",IF(_xlfn.XLOOKUP($H165,'TRA TECH'!$J:$J,'TRA TECH'!T:T)="","",_xlfn.XLOOKUP($H165,'TRA TECH'!$J:$J,'TRA TECH'!T:T)))</f>
        <v>0.18372415430267069</v>
      </c>
      <c r="Q165">
        <f>IF(H165="*","*",IF(_xlfn.XLOOKUP($H165,'TRA TECH'!$J:$J,'TRA TECH'!U:U)="","",_xlfn.XLOOKUP($H165,'TRA TECH'!$J:$J,'TRA TECH'!U:U)))</f>
        <v>0.19367311572700291</v>
      </c>
      <c r="R165">
        <f>IF(H165="*","*",IF(_xlfn.XLOOKUP($H165,'TRA TECH'!$J:$J,'TRA TECH'!V:V)="","",_xlfn.XLOOKUP($H165,'TRA TECH'!$J:$J,'TRA TECH'!V:V)))</f>
        <v>0.20295881305637981</v>
      </c>
      <c r="S165">
        <f>IF(H165="*","*",IF(_xlfn.XLOOKUP($H165,'TRA TECH'!$J:$J,'TRA TECH'!W:W)="","",_xlfn.XLOOKUP($H165,'TRA TECH'!$J:$J,'TRA TECH'!W:W)))</f>
        <v>0.21158124629080119</v>
      </c>
      <c r="T165">
        <f t="shared" si="12"/>
        <v>0.21158124629080119</v>
      </c>
      <c r="U165">
        <f>IF(H165="*","*",IF(_xlfn.XLOOKUP($H165,'TRA TECH'!$J:$J,'TRA TECH'!X:X)="","",_xlfn.XLOOKUP($H165,'TRA TECH'!$J:$J,'TRA TECH'!X:X)))</f>
        <v>301.23259148034708</v>
      </c>
      <c r="V165">
        <f>IF(H165="*","*",IF(_xlfn.XLOOKUP($H165,'TRA TECH'!$J:$J,'TRA TECH'!Y:Y)="","",_xlfn.XLOOKUP($H165,'TRA TECH'!$J:$J,'TRA TECH'!Y:Y)))</f>
        <v>301.23259148034708</v>
      </c>
      <c r="W165">
        <f>IF(H165="*","*",IF(_xlfn.XLOOKUP($H165,'TRA TECH'!$J:$J,'TRA TECH'!Z:Z)="","",_xlfn.XLOOKUP($H165,'TRA TECH'!$J:$J,'TRA TECH'!Z:Z)))</f>
        <v>302.29953100152898</v>
      </c>
      <c r="X165">
        <f>IF(H165="*","*",IF(_xlfn.XLOOKUP($H165,'TRA TECH'!$J:$J,'TRA TECH'!AA:AA)="","",_xlfn.XLOOKUP($H165,'TRA TECH'!$J:$J,'TRA TECH'!AA:AA)))</f>
        <v>301.94388449446831</v>
      </c>
      <c r="Y165">
        <f>IF(H165="*","*",IF(_xlfn.XLOOKUP($H165,'TRA TECH'!$J:$J,'TRA TECH'!AB:AB)="","",_xlfn.XLOOKUP($H165,'TRA TECH'!$J:$J,'TRA TECH'!AB:AB)))</f>
        <v>302.65517750858959</v>
      </c>
      <c r="Z165">
        <f>IF(H165="*","*",IF(_xlfn.XLOOKUP($H165,'TRA TECH'!$J:$J,'TRA TECH'!AC:AC)="","",_xlfn.XLOOKUP($H165,'TRA TECH'!$J:$J,'TRA TECH'!AC:AC)))</f>
        <v>303.0108240156502</v>
      </c>
      <c r="AA165">
        <f>IF(H165="*","*",IF(_xlfn.XLOOKUP($H165,'TRA TECH'!$J:$J,'TRA TECH'!AD:AD)="","",_xlfn.XLOOKUP($H165,'TRA TECH'!$J:$J,'TRA TECH'!AD:AD)))</f>
        <v>304.07776353683221</v>
      </c>
      <c r="AB165">
        <f t="shared" si="13"/>
        <v>304.07776353683221</v>
      </c>
      <c r="AC165" s="15">
        <f>IF(H165="*","*",IF(_xlfn.XLOOKUP($H165,'TRA TECH'!$J:$J,'TRA TECH'!AE:AE)="","",_xlfn.XLOOKUP($H165,'TRA TECH'!$J:$J,'TRA TECH'!AE:AE)))</f>
        <v>9.637474954139952</v>
      </c>
      <c r="AD165" s="15">
        <f>IF(H165="*","*",IF(_xlfn.XLOOKUP($H165,'TRA TECH'!$J:$J,'TRA TECH'!AF:AF)="","",_xlfn.XLOOKUP($H165,'TRA TECH'!$J:$J,'TRA TECH'!AF:AF)))</f>
        <v>9.637474954139952</v>
      </c>
      <c r="AE165" s="15">
        <f>IF(H165="*","*",IF(_xlfn.XLOOKUP($H165,'TRA TECH'!$J:$J,'TRA TECH'!AG:AG)="","",_xlfn.XLOOKUP($H165,'TRA TECH'!$J:$J,'TRA TECH'!AG:AG)))</f>
        <v>9.637474954139952</v>
      </c>
      <c r="AF165" s="15">
        <f>IF(H165="*","*",IF(_xlfn.XLOOKUP($H165,'TRA TECH'!$J:$J,'TRA TECH'!AH:AH)="","",_xlfn.XLOOKUP($H165,'TRA TECH'!$J:$J,'TRA TECH'!AH:AH)))</f>
        <v>9.637474954139952</v>
      </c>
      <c r="AG165" s="15">
        <f>IF(H165="*","*",IF(_xlfn.XLOOKUP($H165,'TRA TECH'!$J:$J,'TRA TECH'!AI:AI)="","",_xlfn.XLOOKUP($H165,'TRA TECH'!$J:$J,'TRA TECH'!AI:AI)))</f>
        <v>9.637474954139952</v>
      </c>
      <c r="AH165" s="15">
        <f>IF(H165="*","*",IF(_xlfn.XLOOKUP($H165,'TRA TECH'!$J:$J,'TRA TECH'!AJ:AJ)="","",_xlfn.XLOOKUP($H165,'TRA TECH'!$J:$J,'TRA TECH'!AJ:AJ)))</f>
        <v>9.637474954139952</v>
      </c>
      <c r="AI165" s="15">
        <f>IF(H165="*","*",IF(_xlfn.XLOOKUP($H165,'TRA TECH'!$J:$J,'TRA TECH'!AK:AK)="","",_xlfn.XLOOKUP($H165,'TRA TECH'!$J:$J,'TRA TECH'!AK:AK)))</f>
        <v>9.637474954139952</v>
      </c>
      <c r="AJ165" s="15">
        <f t="shared" si="14"/>
        <v>9.637474954139952</v>
      </c>
      <c r="AK165" s="16">
        <f t="shared" si="15"/>
        <v>0.1</v>
      </c>
    </row>
    <row r="166" spans="2:37" x14ac:dyDescent="0.25">
      <c r="B166" t="str">
        <f>IF('TRA TECH'!M162=0,"*",IF('TRA TECH'!H162="","*",'TRA TECH'!J162))</f>
        <v>TRAFRESSHICEVDSL20</v>
      </c>
      <c r="C166" t="str">
        <f>IF('TRA TECH'!M162=0,"*",'TRA TECH'!H162)</f>
        <v>TRARDS</v>
      </c>
      <c r="D166" t="s">
        <v>424</v>
      </c>
      <c r="E166" s="9">
        <f>'TRA TECH'!P162</f>
        <v>1</v>
      </c>
      <c r="H166" t="str">
        <f>IF('TRA TECH'!M162=1,IF('TRA TECH'!L162=1,'TRA TECH'!J162,"*"),"*")</f>
        <v>*</v>
      </c>
      <c r="I166" t="str">
        <f>IF(H166="*","*",_xlfn.XLOOKUP(H166,'TRA TECH'!J:J,'TRA TECH'!I:I))</f>
        <v>*</v>
      </c>
      <c r="J166" t="str">
        <f>IF(H166="*","*",_xlfn.XLOOKUP(H166,'TRA TECH'!J:J,'TRA TECH'!N:N))</f>
        <v>*</v>
      </c>
      <c r="K166" s="15" t="str">
        <f>IF(H166="*","*",IF(_xlfn.XLOOKUP(H166,'TRA TECH'!J:J,'TRA TECH'!O:O)="","",_xlfn.XLOOKUP(H166,'TRA TECH'!J:J,'TRA TECH'!O:O)))</f>
        <v>*</v>
      </c>
      <c r="L166" t="str">
        <f t="shared" si="11"/>
        <v>*</v>
      </c>
      <c r="M166" t="str">
        <f>IF(H166="*","*",IF(_xlfn.XLOOKUP($H166,'TRA TECH'!$J:$J,'TRA TECH'!Q:Q)="","",_xlfn.XLOOKUP($H166,'TRA TECH'!$J:$J,'TRA TECH'!Q:Q)))</f>
        <v>*</v>
      </c>
      <c r="N166" t="str">
        <f>IF(H166="*","*",IF(_xlfn.XLOOKUP($H166,'TRA TECH'!$J:$J,'TRA TECH'!R:R)="","",_xlfn.XLOOKUP($H166,'TRA TECH'!$J:$J,'TRA TECH'!R:R)))</f>
        <v>*</v>
      </c>
      <c r="O166" t="str">
        <f>IF(H166="*","*",IF(_xlfn.XLOOKUP($H166,'TRA TECH'!$J:$J,'TRA TECH'!S:S)="","",_xlfn.XLOOKUP($H166,'TRA TECH'!$J:$J,'TRA TECH'!S:S)))</f>
        <v>*</v>
      </c>
      <c r="P166" t="str">
        <f>IF(H166="*","*",IF(_xlfn.XLOOKUP($H166,'TRA TECH'!$J:$J,'TRA TECH'!T:T)="","",_xlfn.XLOOKUP($H166,'TRA TECH'!$J:$J,'TRA TECH'!T:T)))</f>
        <v>*</v>
      </c>
      <c r="Q166" t="str">
        <f>IF(H166="*","*",IF(_xlfn.XLOOKUP($H166,'TRA TECH'!$J:$J,'TRA TECH'!U:U)="","",_xlfn.XLOOKUP($H166,'TRA TECH'!$J:$J,'TRA TECH'!U:U)))</f>
        <v>*</v>
      </c>
      <c r="R166" t="str">
        <f>IF(H166="*","*",IF(_xlfn.XLOOKUP($H166,'TRA TECH'!$J:$J,'TRA TECH'!V:V)="","",_xlfn.XLOOKUP($H166,'TRA TECH'!$J:$J,'TRA TECH'!V:V)))</f>
        <v>*</v>
      </c>
      <c r="S166" t="str">
        <f>IF(H166="*","*",IF(_xlfn.XLOOKUP($H166,'TRA TECH'!$J:$J,'TRA TECH'!W:W)="","",_xlfn.XLOOKUP($H166,'TRA TECH'!$J:$J,'TRA TECH'!W:W)))</f>
        <v>*</v>
      </c>
      <c r="T166" t="str">
        <f t="shared" si="12"/>
        <v>*</v>
      </c>
      <c r="U166" t="str">
        <f>IF(H166="*","*",IF(_xlfn.XLOOKUP($H166,'TRA TECH'!$J:$J,'TRA TECH'!X:X)="","",_xlfn.XLOOKUP($H166,'TRA TECH'!$J:$J,'TRA TECH'!X:X)))</f>
        <v>*</v>
      </c>
      <c r="V166" t="str">
        <f>IF(H166="*","*",IF(_xlfn.XLOOKUP($H166,'TRA TECH'!$J:$J,'TRA TECH'!Y:Y)="","",_xlfn.XLOOKUP($H166,'TRA TECH'!$J:$J,'TRA TECH'!Y:Y)))</f>
        <v>*</v>
      </c>
      <c r="W166" t="str">
        <f>IF(H166="*","*",IF(_xlfn.XLOOKUP($H166,'TRA TECH'!$J:$J,'TRA TECH'!Z:Z)="","",_xlfn.XLOOKUP($H166,'TRA TECH'!$J:$J,'TRA TECH'!Z:Z)))</f>
        <v>*</v>
      </c>
      <c r="X166" t="str">
        <f>IF(H166="*","*",IF(_xlfn.XLOOKUP($H166,'TRA TECH'!$J:$J,'TRA TECH'!AA:AA)="","",_xlfn.XLOOKUP($H166,'TRA TECH'!$J:$J,'TRA TECH'!AA:AA)))</f>
        <v>*</v>
      </c>
      <c r="Y166" t="str">
        <f>IF(H166="*","*",IF(_xlfn.XLOOKUP($H166,'TRA TECH'!$J:$J,'TRA TECH'!AB:AB)="","",_xlfn.XLOOKUP($H166,'TRA TECH'!$J:$J,'TRA TECH'!AB:AB)))</f>
        <v>*</v>
      </c>
      <c r="Z166" t="str">
        <f>IF(H166="*","*",IF(_xlfn.XLOOKUP($H166,'TRA TECH'!$J:$J,'TRA TECH'!AC:AC)="","",_xlfn.XLOOKUP($H166,'TRA TECH'!$J:$J,'TRA TECH'!AC:AC)))</f>
        <v>*</v>
      </c>
      <c r="AA166" t="str">
        <f>IF(H166="*","*",IF(_xlfn.XLOOKUP($H166,'TRA TECH'!$J:$J,'TRA TECH'!AD:AD)="","",_xlfn.XLOOKUP($H166,'TRA TECH'!$J:$J,'TRA TECH'!AD:AD)))</f>
        <v>*</v>
      </c>
      <c r="AB166" t="str">
        <f t="shared" si="13"/>
        <v>*</v>
      </c>
      <c r="AC166" s="15" t="str">
        <f>IF(H166="*","*",IF(_xlfn.XLOOKUP($H166,'TRA TECH'!$J:$J,'TRA TECH'!AE:AE)="","",_xlfn.XLOOKUP($H166,'TRA TECH'!$J:$J,'TRA TECH'!AE:AE)))</f>
        <v>*</v>
      </c>
      <c r="AD166" s="15" t="str">
        <f>IF(H166="*","*",IF(_xlfn.XLOOKUP($H166,'TRA TECH'!$J:$J,'TRA TECH'!AF:AF)="","",_xlfn.XLOOKUP($H166,'TRA TECH'!$J:$J,'TRA TECH'!AF:AF)))</f>
        <v>*</v>
      </c>
      <c r="AE166" s="15" t="str">
        <f>IF(H166="*","*",IF(_xlfn.XLOOKUP($H166,'TRA TECH'!$J:$J,'TRA TECH'!AG:AG)="","",_xlfn.XLOOKUP($H166,'TRA TECH'!$J:$J,'TRA TECH'!AG:AG)))</f>
        <v>*</v>
      </c>
      <c r="AF166" s="15" t="str">
        <f>IF(H166="*","*",IF(_xlfn.XLOOKUP($H166,'TRA TECH'!$J:$J,'TRA TECH'!AH:AH)="","",_xlfn.XLOOKUP($H166,'TRA TECH'!$J:$J,'TRA TECH'!AH:AH)))</f>
        <v>*</v>
      </c>
      <c r="AG166" s="15" t="str">
        <f>IF(H166="*","*",IF(_xlfn.XLOOKUP($H166,'TRA TECH'!$J:$J,'TRA TECH'!AI:AI)="","",_xlfn.XLOOKUP($H166,'TRA TECH'!$J:$J,'TRA TECH'!AI:AI)))</f>
        <v>*</v>
      </c>
      <c r="AH166" s="15" t="str">
        <f>IF(H166="*","*",IF(_xlfn.XLOOKUP($H166,'TRA TECH'!$J:$J,'TRA TECH'!AJ:AJ)="","",_xlfn.XLOOKUP($H166,'TRA TECH'!$J:$J,'TRA TECH'!AJ:AJ)))</f>
        <v>*</v>
      </c>
      <c r="AI166" s="15" t="str">
        <f>IF(H166="*","*",IF(_xlfn.XLOOKUP($H166,'TRA TECH'!$J:$J,'TRA TECH'!AK:AK)="","",_xlfn.XLOOKUP($H166,'TRA TECH'!$J:$J,'TRA TECH'!AK:AK)))</f>
        <v>*</v>
      </c>
      <c r="AJ166" s="15" t="str">
        <f t="shared" si="14"/>
        <v>*</v>
      </c>
      <c r="AK166" s="16" t="str">
        <f t="shared" si="15"/>
        <v>*</v>
      </c>
    </row>
    <row r="167" spans="2:37" x14ac:dyDescent="0.25">
      <c r="B167" t="str">
        <f>IF('TRA TECH'!M163=0,"*",IF('TRA TECH'!H163="","*",'TRA TECH'!J163))</f>
        <v>TRAFRESSHICEVDSL20</v>
      </c>
      <c r="C167" t="str">
        <f>IF('TRA TECH'!M163=0,"*",'TRA TECH'!H163)</f>
        <v>TRABDS</v>
      </c>
      <c r="D167" t="s">
        <v>424</v>
      </c>
      <c r="E167" s="9">
        <f>'TRA TECH'!P163</f>
        <v>0.1</v>
      </c>
      <c r="H167" t="str">
        <f>IF('TRA TECH'!M163=1,IF('TRA TECH'!L163=1,'TRA TECH'!J163,"*"),"*")</f>
        <v>*</v>
      </c>
      <c r="I167" t="str">
        <f>IF(H167="*","*",_xlfn.XLOOKUP(H167,'TRA TECH'!J:J,'TRA TECH'!I:I))</f>
        <v>*</v>
      </c>
      <c r="J167" t="str">
        <f>IF(H167="*","*",_xlfn.XLOOKUP(H167,'TRA TECH'!J:J,'TRA TECH'!N:N))</f>
        <v>*</v>
      </c>
      <c r="K167" s="15" t="str">
        <f>IF(H167="*","*",IF(_xlfn.XLOOKUP(H167,'TRA TECH'!J:J,'TRA TECH'!O:O)="","",_xlfn.XLOOKUP(H167,'TRA TECH'!J:J,'TRA TECH'!O:O)))</f>
        <v>*</v>
      </c>
      <c r="L167" t="str">
        <f t="shared" si="11"/>
        <v>*</v>
      </c>
      <c r="M167" t="str">
        <f>IF(H167="*","*",IF(_xlfn.XLOOKUP($H167,'TRA TECH'!$J:$J,'TRA TECH'!Q:Q)="","",_xlfn.XLOOKUP($H167,'TRA TECH'!$J:$J,'TRA TECH'!Q:Q)))</f>
        <v>*</v>
      </c>
      <c r="N167" t="str">
        <f>IF(H167="*","*",IF(_xlfn.XLOOKUP($H167,'TRA TECH'!$J:$J,'TRA TECH'!R:R)="","",_xlfn.XLOOKUP($H167,'TRA TECH'!$J:$J,'TRA TECH'!R:R)))</f>
        <v>*</v>
      </c>
      <c r="O167" t="str">
        <f>IF(H167="*","*",IF(_xlfn.XLOOKUP($H167,'TRA TECH'!$J:$J,'TRA TECH'!S:S)="","",_xlfn.XLOOKUP($H167,'TRA TECH'!$J:$J,'TRA TECH'!S:S)))</f>
        <v>*</v>
      </c>
      <c r="P167" t="str">
        <f>IF(H167="*","*",IF(_xlfn.XLOOKUP($H167,'TRA TECH'!$J:$J,'TRA TECH'!T:T)="","",_xlfn.XLOOKUP($H167,'TRA TECH'!$J:$J,'TRA TECH'!T:T)))</f>
        <v>*</v>
      </c>
      <c r="Q167" t="str">
        <f>IF(H167="*","*",IF(_xlfn.XLOOKUP($H167,'TRA TECH'!$J:$J,'TRA TECH'!U:U)="","",_xlfn.XLOOKUP($H167,'TRA TECH'!$J:$J,'TRA TECH'!U:U)))</f>
        <v>*</v>
      </c>
      <c r="R167" t="str">
        <f>IF(H167="*","*",IF(_xlfn.XLOOKUP($H167,'TRA TECH'!$J:$J,'TRA TECH'!V:V)="","",_xlfn.XLOOKUP($H167,'TRA TECH'!$J:$J,'TRA TECH'!V:V)))</f>
        <v>*</v>
      </c>
      <c r="S167" t="str">
        <f>IF(H167="*","*",IF(_xlfn.XLOOKUP($H167,'TRA TECH'!$J:$J,'TRA TECH'!W:W)="","",_xlfn.XLOOKUP($H167,'TRA TECH'!$J:$J,'TRA TECH'!W:W)))</f>
        <v>*</v>
      </c>
      <c r="T167" t="str">
        <f t="shared" si="12"/>
        <v>*</v>
      </c>
      <c r="U167" t="str">
        <f>IF(H167="*","*",IF(_xlfn.XLOOKUP($H167,'TRA TECH'!$J:$J,'TRA TECH'!X:X)="","",_xlfn.XLOOKUP($H167,'TRA TECH'!$J:$J,'TRA TECH'!X:X)))</f>
        <v>*</v>
      </c>
      <c r="V167" t="str">
        <f>IF(H167="*","*",IF(_xlfn.XLOOKUP($H167,'TRA TECH'!$J:$J,'TRA TECH'!Y:Y)="","",_xlfn.XLOOKUP($H167,'TRA TECH'!$J:$J,'TRA TECH'!Y:Y)))</f>
        <v>*</v>
      </c>
      <c r="W167" t="str">
        <f>IF(H167="*","*",IF(_xlfn.XLOOKUP($H167,'TRA TECH'!$J:$J,'TRA TECH'!Z:Z)="","",_xlfn.XLOOKUP($H167,'TRA TECH'!$J:$J,'TRA TECH'!Z:Z)))</f>
        <v>*</v>
      </c>
      <c r="X167" t="str">
        <f>IF(H167="*","*",IF(_xlfn.XLOOKUP($H167,'TRA TECH'!$J:$J,'TRA TECH'!AA:AA)="","",_xlfn.XLOOKUP($H167,'TRA TECH'!$J:$J,'TRA TECH'!AA:AA)))</f>
        <v>*</v>
      </c>
      <c r="Y167" t="str">
        <f>IF(H167="*","*",IF(_xlfn.XLOOKUP($H167,'TRA TECH'!$J:$J,'TRA TECH'!AB:AB)="","",_xlfn.XLOOKUP($H167,'TRA TECH'!$J:$J,'TRA TECH'!AB:AB)))</f>
        <v>*</v>
      </c>
      <c r="Z167" t="str">
        <f>IF(H167="*","*",IF(_xlfn.XLOOKUP($H167,'TRA TECH'!$J:$J,'TRA TECH'!AC:AC)="","",_xlfn.XLOOKUP($H167,'TRA TECH'!$J:$J,'TRA TECH'!AC:AC)))</f>
        <v>*</v>
      </c>
      <c r="AA167" t="str">
        <f>IF(H167="*","*",IF(_xlfn.XLOOKUP($H167,'TRA TECH'!$J:$J,'TRA TECH'!AD:AD)="","",_xlfn.XLOOKUP($H167,'TRA TECH'!$J:$J,'TRA TECH'!AD:AD)))</f>
        <v>*</v>
      </c>
      <c r="AB167" t="str">
        <f t="shared" si="13"/>
        <v>*</v>
      </c>
      <c r="AC167" s="15" t="str">
        <f>IF(H167="*","*",IF(_xlfn.XLOOKUP($H167,'TRA TECH'!$J:$J,'TRA TECH'!AE:AE)="","",_xlfn.XLOOKUP($H167,'TRA TECH'!$J:$J,'TRA TECH'!AE:AE)))</f>
        <v>*</v>
      </c>
      <c r="AD167" s="15" t="str">
        <f>IF(H167="*","*",IF(_xlfn.XLOOKUP($H167,'TRA TECH'!$J:$J,'TRA TECH'!AF:AF)="","",_xlfn.XLOOKUP($H167,'TRA TECH'!$J:$J,'TRA TECH'!AF:AF)))</f>
        <v>*</v>
      </c>
      <c r="AE167" s="15" t="str">
        <f>IF(H167="*","*",IF(_xlfn.XLOOKUP($H167,'TRA TECH'!$J:$J,'TRA TECH'!AG:AG)="","",_xlfn.XLOOKUP($H167,'TRA TECH'!$J:$J,'TRA TECH'!AG:AG)))</f>
        <v>*</v>
      </c>
      <c r="AF167" s="15" t="str">
        <f>IF(H167="*","*",IF(_xlfn.XLOOKUP($H167,'TRA TECH'!$J:$J,'TRA TECH'!AH:AH)="","",_xlfn.XLOOKUP($H167,'TRA TECH'!$J:$J,'TRA TECH'!AH:AH)))</f>
        <v>*</v>
      </c>
      <c r="AG167" s="15" t="str">
        <f>IF(H167="*","*",IF(_xlfn.XLOOKUP($H167,'TRA TECH'!$J:$J,'TRA TECH'!AI:AI)="","",_xlfn.XLOOKUP($H167,'TRA TECH'!$J:$J,'TRA TECH'!AI:AI)))</f>
        <v>*</v>
      </c>
      <c r="AH167" s="15" t="str">
        <f>IF(H167="*","*",IF(_xlfn.XLOOKUP($H167,'TRA TECH'!$J:$J,'TRA TECH'!AJ:AJ)="","",_xlfn.XLOOKUP($H167,'TRA TECH'!$J:$J,'TRA TECH'!AJ:AJ)))</f>
        <v>*</v>
      </c>
      <c r="AI167" s="15" t="str">
        <f>IF(H167="*","*",IF(_xlfn.XLOOKUP($H167,'TRA TECH'!$J:$J,'TRA TECH'!AK:AK)="","",_xlfn.XLOOKUP($H167,'TRA TECH'!$J:$J,'TRA TECH'!AK:AK)))</f>
        <v>*</v>
      </c>
      <c r="AJ167" s="15" t="str">
        <f t="shared" si="14"/>
        <v>*</v>
      </c>
      <c r="AK167" s="16" t="str">
        <f t="shared" si="15"/>
        <v>*</v>
      </c>
    </row>
    <row r="168" spans="2:37" x14ac:dyDescent="0.25">
      <c r="B168" t="str">
        <f>IF('TRA TECH'!M164=0,"*",IF('TRA TECH'!H164="","*",'TRA TECH'!J164))</f>
        <v>TRAFRESSHICEIDSL20</v>
      </c>
      <c r="C168" t="str">
        <f>IF('TRA TECH'!M164=0,"*",'TRA TECH'!H164)</f>
        <v>TRADSL</v>
      </c>
      <c r="D168" t="s">
        <v>424</v>
      </c>
      <c r="E168" s="9">
        <f>'TRA TECH'!P164</f>
        <v>1</v>
      </c>
      <c r="H168" t="str">
        <f>IF('TRA TECH'!M164=1,IF('TRA TECH'!L164=1,'TRA TECH'!J164,"*"),"*")</f>
        <v>TRAFRESSHICEIDSL20</v>
      </c>
      <c r="I168" t="str">
        <f>IF(H168="*","*",_xlfn.XLOOKUP(H168,'TRA TECH'!J:J,'TRA TECH'!I:I))</f>
        <v>TRAFRESSHDMD</v>
      </c>
      <c r="J168">
        <f>IF(H168="*","*",_xlfn.XLOOKUP(H168,'TRA TECH'!J:J,'TRA TECH'!N:N))</f>
        <v>2020</v>
      </c>
      <c r="K168" s="15">
        <f>IF(H168="*","*",IF(_xlfn.XLOOKUP(H168,'TRA TECH'!J:J,'TRA TECH'!O:O)="","",_xlfn.XLOOKUP(H168,'TRA TECH'!J:J,'TRA TECH'!O:O)))</f>
        <v>8.7089799004097141</v>
      </c>
      <c r="L168">
        <f t="shared" si="11"/>
        <v>1</v>
      </c>
      <c r="M168">
        <f>IF(H168="*","*",IF(_xlfn.XLOOKUP($H168,'TRA TECH'!$J:$J,'TRA TECH'!Q:Q)="","",_xlfn.XLOOKUP($H168,'TRA TECH'!$J:$J,'TRA TECH'!Q:Q)))</f>
        <v>0.15387727002967361</v>
      </c>
      <c r="N168">
        <f>IF(H168="*","*",IF(_xlfn.XLOOKUP($H168,'TRA TECH'!$J:$J,'TRA TECH'!R:R)="","",_xlfn.XLOOKUP($H168,'TRA TECH'!$J:$J,'TRA TECH'!R:R)))</f>
        <v>0.15387727002967361</v>
      </c>
      <c r="O168">
        <f>IF(H168="*","*",IF(_xlfn.XLOOKUP($H168,'TRA TECH'!$J:$J,'TRA TECH'!S:S)="","",_xlfn.XLOOKUP($H168,'TRA TECH'!$J:$J,'TRA TECH'!S:S)))</f>
        <v>0.16913234421364989</v>
      </c>
      <c r="P168">
        <f>IF(H168="*","*",IF(_xlfn.XLOOKUP($H168,'TRA TECH'!$J:$J,'TRA TECH'!T:T)="","",_xlfn.XLOOKUP($H168,'TRA TECH'!$J:$J,'TRA TECH'!T:T)))</f>
        <v>0.18505068249258161</v>
      </c>
      <c r="Q168">
        <f>IF(H168="*","*",IF(_xlfn.XLOOKUP($H168,'TRA TECH'!$J:$J,'TRA TECH'!U:U)="","",_xlfn.XLOOKUP($H168,'TRA TECH'!$J:$J,'TRA TECH'!U:U)))</f>
        <v>0.19433637982195839</v>
      </c>
      <c r="R168">
        <f>IF(H168="*","*",IF(_xlfn.XLOOKUP($H168,'TRA TECH'!$J:$J,'TRA TECH'!V:V)="","",_xlfn.XLOOKUP($H168,'TRA TECH'!$J:$J,'TRA TECH'!V:V)))</f>
        <v>0.20362207715133529</v>
      </c>
      <c r="S168">
        <f>IF(H168="*","*",IF(_xlfn.XLOOKUP($H168,'TRA TECH'!$J:$J,'TRA TECH'!W:W)="","",_xlfn.XLOOKUP($H168,'TRA TECH'!$J:$J,'TRA TECH'!W:W)))</f>
        <v>0.21290777448071219</v>
      </c>
      <c r="T168">
        <f t="shared" si="12"/>
        <v>0.21290777448071219</v>
      </c>
      <c r="U168">
        <f>IF(H168="*","*",IF(_xlfn.XLOOKUP($H168,'TRA TECH'!$J:$J,'TRA TECH'!X:X)="","",_xlfn.XLOOKUP($H168,'TRA TECH'!$J:$J,'TRA TECH'!X:X)))</f>
        <v>333.2407771158031</v>
      </c>
      <c r="V168">
        <f>IF(H168="*","*",IF(_xlfn.XLOOKUP($H168,'TRA TECH'!$J:$J,'TRA TECH'!Y:Y)="","",_xlfn.XLOOKUP($H168,'TRA TECH'!$J:$J,'TRA TECH'!Y:Y)))</f>
        <v>333.2407771158031</v>
      </c>
      <c r="W168">
        <f>IF(H168="*","*",IF(_xlfn.XLOOKUP($H168,'TRA TECH'!$J:$J,'TRA TECH'!Z:Z)="","",_xlfn.XLOOKUP($H168,'TRA TECH'!$J:$J,'TRA TECH'!Z:Z)))</f>
        <v>335.01900965110627</v>
      </c>
      <c r="X168">
        <f>IF(H168="*","*",IF(_xlfn.XLOOKUP($H168,'TRA TECH'!$J:$J,'TRA TECH'!AA:AA)="","",_xlfn.XLOOKUP($H168,'TRA TECH'!$J:$J,'TRA TECH'!AA:AA)))</f>
        <v>333.95207012992438</v>
      </c>
      <c r="Y168">
        <f>IF(H168="*","*",IF(_xlfn.XLOOKUP($H168,'TRA TECH'!$J:$J,'TRA TECH'!AB:AB)="","",_xlfn.XLOOKUP($H168,'TRA TECH'!$J:$J,'TRA TECH'!AB:AB)))</f>
        <v>333.95207012992438</v>
      </c>
      <c r="Z168">
        <f>IF(H168="*","*",IF(_xlfn.XLOOKUP($H168,'TRA TECH'!$J:$J,'TRA TECH'!AC:AC)="","",_xlfn.XLOOKUP($H168,'TRA TECH'!$J:$J,'TRA TECH'!AC:AC)))</f>
        <v>334.66336314404572</v>
      </c>
      <c r="AA168">
        <f>IF(H168="*","*",IF(_xlfn.XLOOKUP($H168,'TRA TECH'!$J:$J,'TRA TECH'!AD:AD)="","",_xlfn.XLOOKUP($H168,'TRA TECH'!$J:$J,'TRA TECH'!AD:AD)))</f>
        <v>335.01900965110627</v>
      </c>
      <c r="AB168">
        <f t="shared" si="13"/>
        <v>335.01900965110627</v>
      </c>
      <c r="AC168" s="15">
        <f>IF(H168="*","*",IF(_xlfn.XLOOKUP($H168,'TRA TECH'!$J:$J,'TRA TECH'!AE:AE)="","",_xlfn.XLOOKUP($H168,'TRA TECH'!$J:$J,'TRA TECH'!AE:AE)))</f>
        <v>9.637474954139952</v>
      </c>
      <c r="AD168" s="15">
        <f>IF(H168="*","*",IF(_xlfn.XLOOKUP($H168,'TRA TECH'!$J:$J,'TRA TECH'!AF:AF)="","",_xlfn.XLOOKUP($H168,'TRA TECH'!$J:$J,'TRA TECH'!AF:AF)))</f>
        <v>9.637474954139952</v>
      </c>
      <c r="AE168" s="15">
        <f>IF(H168="*","*",IF(_xlfn.XLOOKUP($H168,'TRA TECH'!$J:$J,'TRA TECH'!AG:AG)="","",_xlfn.XLOOKUP($H168,'TRA TECH'!$J:$J,'TRA TECH'!AG:AG)))</f>
        <v>9.637474954139952</v>
      </c>
      <c r="AF168" s="15">
        <f>IF(H168="*","*",IF(_xlfn.XLOOKUP($H168,'TRA TECH'!$J:$J,'TRA TECH'!AH:AH)="","",_xlfn.XLOOKUP($H168,'TRA TECH'!$J:$J,'TRA TECH'!AH:AH)))</f>
        <v>9.637474954139952</v>
      </c>
      <c r="AG168" s="15">
        <f>IF(H168="*","*",IF(_xlfn.XLOOKUP($H168,'TRA TECH'!$J:$J,'TRA TECH'!AI:AI)="","",_xlfn.XLOOKUP($H168,'TRA TECH'!$J:$J,'TRA TECH'!AI:AI)))</f>
        <v>9.637474954139952</v>
      </c>
      <c r="AH168" s="15">
        <f>IF(H168="*","*",IF(_xlfn.XLOOKUP($H168,'TRA TECH'!$J:$J,'TRA TECH'!AJ:AJ)="","",_xlfn.XLOOKUP($H168,'TRA TECH'!$J:$J,'TRA TECH'!AJ:AJ)))</f>
        <v>9.637474954139952</v>
      </c>
      <c r="AI168" s="15">
        <f>IF(H168="*","*",IF(_xlfn.XLOOKUP($H168,'TRA TECH'!$J:$J,'TRA TECH'!AK:AK)="","",_xlfn.XLOOKUP($H168,'TRA TECH'!$J:$J,'TRA TECH'!AK:AK)))</f>
        <v>9.637474954139952</v>
      </c>
      <c r="AJ168" s="15">
        <f t="shared" si="14"/>
        <v>9.637474954139952</v>
      </c>
      <c r="AK168" s="16">
        <f t="shared" si="15"/>
        <v>0.1</v>
      </c>
    </row>
    <row r="169" spans="2:37" x14ac:dyDescent="0.25">
      <c r="B169" t="str">
        <f>IF('TRA TECH'!M165=0,"*",IF('TRA TECH'!H165="","*",'TRA TECH'!J165))</f>
        <v>TRAFRESSHICEIDSL20</v>
      </c>
      <c r="C169" t="str">
        <f>IF('TRA TECH'!M165=0,"*",'TRA TECH'!H165)</f>
        <v>TRARDS</v>
      </c>
      <c r="D169" t="s">
        <v>424</v>
      </c>
      <c r="E169" s="9">
        <f>'TRA TECH'!P165</f>
        <v>1</v>
      </c>
      <c r="H169" t="str">
        <f>IF('TRA TECH'!M165=1,IF('TRA TECH'!L165=1,'TRA TECH'!J165,"*"),"*")</f>
        <v>*</v>
      </c>
      <c r="I169" t="str">
        <f>IF(H169="*","*",_xlfn.XLOOKUP(H169,'TRA TECH'!J:J,'TRA TECH'!I:I))</f>
        <v>*</v>
      </c>
      <c r="J169" t="str">
        <f>IF(H169="*","*",_xlfn.XLOOKUP(H169,'TRA TECH'!J:J,'TRA TECH'!N:N))</f>
        <v>*</v>
      </c>
      <c r="K169" s="15" t="str">
        <f>IF(H169="*","*",IF(_xlfn.XLOOKUP(H169,'TRA TECH'!J:J,'TRA TECH'!O:O)="","",_xlfn.XLOOKUP(H169,'TRA TECH'!J:J,'TRA TECH'!O:O)))</f>
        <v>*</v>
      </c>
      <c r="L169" t="str">
        <f t="shared" si="11"/>
        <v>*</v>
      </c>
      <c r="M169" t="str">
        <f>IF(H169="*","*",IF(_xlfn.XLOOKUP($H169,'TRA TECH'!$J:$J,'TRA TECH'!Q:Q)="","",_xlfn.XLOOKUP($H169,'TRA TECH'!$J:$J,'TRA TECH'!Q:Q)))</f>
        <v>*</v>
      </c>
      <c r="N169" t="str">
        <f>IF(H169="*","*",IF(_xlfn.XLOOKUP($H169,'TRA TECH'!$J:$J,'TRA TECH'!R:R)="","",_xlfn.XLOOKUP($H169,'TRA TECH'!$J:$J,'TRA TECH'!R:R)))</f>
        <v>*</v>
      </c>
      <c r="O169" t="str">
        <f>IF(H169="*","*",IF(_xlfn.XLOOKUP($H169,'TRA TECH'!$J:$J,'TRA TECH'!S:S)="","",_xlfn.XLOOKUP($H169,'TRA TECH'!$J:$J,'TRA TECH'!S:S)))</f>
        <v>*</v>
      </c>
      <c r="P169" t="str">
        <f>IF(H169="*","*",IF(_xlfn.XLOOKUP($H169,'TRA TECH'!$J:$J,'TRA TECH'!T:T)="","",_xlfn.XLOOKUP($H169,'TRA TECH'!$J:$J,'TRA TECH'!T:T)))</f>
        <v>*</v>
      </c>
      <c r="Q169" t="str">
        <f>IF(H169="*","*",IF(_xlfn.XLOOKUP($H169,'TRA TECH'!$J:$J,'TRA TECH'!U:U)="","",_xlfn.XLOOKUP($H169,'TRA TECH'!$J:$J,'TRA TECH'!U:U)))</f>
        <v>*</v>
      </c>
      <c r="R169" t="str">
        <f>IF(H169="*","*",IF(_xlfn.XLOOKUP($H169,'TRA TECH'!$J:$J,'TRA TECH'!V:V)="","",_xlfn.XLOOKUP($H169,'TRA TECH'!$J:$J,'TRA TECH'!V:V)))</f>
        <v>*</v>
      </c>
      <c r="S169" t="str">
        <f>IF(H169="*","*",IF(_xlfn.XLOOKUP($H169,'TRA TECH'!$J:$J,'TRA TECH'!W:W)="","",_xlfn.XLOOKUP($H169,'TRA TECH'!$J:$J,'TRA TECH'!W:W)))</f>
        <v>*</v>
      </c>
      <c r="T169" t="str">
        <f t="shared" si="12"/>
        <v>*</v>
      </c>
      <c r="U169" t="str">
        <f>IF(H169="*","*",IF(_xlfn.XLOOKUP($H169,'TRA TECH'!$J:$J,'TRA TECH'!X:X)="","",_xlfn.XLOOKUP($H169,'TRA TECH'!$J:$J,'TRA TECH'!X:X)))</f>
        <v>*</v>
      </c>
      <c r="V169" t="str">
        <f>IF(H169="*","*",IF(_xlfn.XLOOKUP($H169,'TRA TECH'!$J:$J,'TRA TECH'!Y:Y)="","",_xlfn.XLOOKUP($H169,'TRA TECH'!$J:$J,'TRA TECH'!Y:Y)))</f>
        <v>*</v>
      </c>
      <c r="W169" t="str">
        <f>IF(H169="*","*",IF(_xlfn.XLOOKUP($H169,'TRA TECH'!$J:$J,'TRA TECH'!Z:Z)="","",_xlfn.XLOOKUP($H169,'TRA TECH'!$J:$J,'TRA TECH'!Z:Z)))</f>
        <v>*</v>
      </c>
      <c r="X169" t="str">
        <f>IF(H169="*","*",IF(_xlfn.XLOOKUP($H169,'TRA TECH'!$J:$J,'TRA TECH'!AA:AA)="","",_xlfn.XLOOKUP($H169,'TRA TECH'!$J:$J,'TRA TECH'!AA:AA)))</f>
        <v>*</v>
      </c>
      <c r="Y169" t="str">
        <f>IF(H169="*","*",IF(_xlfn.XLOOKUP($H169,'TRA TECH'!$J:$J,'TRA TECH'!AB:AB)="","",_xlfn.XLOOKUP($H169,'TRA TECH'!$J:$J,'TRA TECH'!AB:AB)))</f>
        <v>*</v>
      </c>
      <c r="Z169" t="str">
        <f>IF(H169="*","*",IF(_xlfn.XLOOKUP($H169,'TRA TECH'!$J:$J,'TRA TECH'!AC:AC)="","",_xlfn.XLOOKUP($H169,'TRA TECH'!$J:$J,'TRA TECH'!AC:AC)))</f>
        <v>*</v>
      </c>
      <c r="AA169" t="str">
        <f>IF(H169="*","*",IF(_xlfn.XLOOKUP($H169,'TRA TECH'!$J:$J,'TRA TECH'!AD:AD)="","",_xlfn.XLOOKUP($H169,'TRA TECH'!$J:$J,'TRA TECH'!AD:AD)))</f>
        <v>*</v>
      </c>
      <c r="AB169" t="str">
        <f t="shared" si="13"/>
        <v>*</v>
      </c>
      <c r="AC169" s="15" t="str">
        <f>IF(H169="*","*",IF(_xlfn.XLOOKUP($H169,'TRA TECH'!$J:$J,'TRA TECH'!AE:AE)="","",_xlfn.XLOOKUP($H169,'TRA TECH'!$J:$J,'TRA TECH'!AE:AE)))</f>
        <v>*</v>
      </c>
      <c r="AD169" s="15" t="str">
        <f>IF(H169="*","*",IF(_xlfn.XLOOKUP($H169,'TRA TECH'!$J:$J,'TRA TECH'!AF:AF)="","",_xlfn.XLOOKUP($H169,'TRA TECH'!$J:$J,'TRA TECH'!AF:AF)))</f>
        <v>*</v>
      </c>
      <c r="AE169" s="15" t="str">
        <f>IF(H169="*","*",IF(_xlfn.XLOOKUP($H169,'TRA TECH'!$J:$J,'TRA TECH'!AG:AG)="","",_xlfn.XLOOKUP($H169,'TRA TECH'!$J:$J,'TRA TECH'!AG:AG)))</f>
        <v>*</v>
      </c>
      <c r="AF169" s="15" t="str">
        <f>IF(H169="*","*",IF(_xlfn.XLOOKUP($H169,'TRA TECH'!$J:$J,'TRA TECH'!AH:AH)="","",_xlfn.XLOOKUP($H169,'TRA TECH'!$J:$J,'TRA TECH'!AH:AH)))</f>
        <v>*</v>
      </c>
      <c r="AG169" s="15" t="str">
        <f>IF(H169="*","*",IF(_xlfn.XLOOKUP($H169,'TRA TECH'!$J:$J,'TRA TECH'!AI:AI)="","",_xlfn.XLOOKUP($H169,'TRA TECH'!$J:$J,'TRA TECH'!AI:AI)))</f>
        <v>*</v>
      </c>
      <c r="AH169" s="15" t="str">
        <f>IF(H169="*","*",IF(_xlfn.XLOOKUP($H169,'TRA TECH'!$J:$J,'TRA TECH'!AJ:AJ)="","",_xlfn.XLOOKUP($H169,'TRA TECH'!$J:$J,'TRA TECH'!AJ:AJ)))</f>
        <v>*</v>
      </c>
      <c r="AI169" s="15" t="str">
        <f>IF(H169="*","*",IF(_xlfn.XLOOKUP($H169,'TRA TECH'!$J:$J,'TRA TECH'!AK:AK)="","",_xlfn.XLOOKUP($H169,'TRA TECH'!$J:$J,'TRA TECH'!AK:AK)))</f>
        <v>*</v>
      </c>
      <c r="AJ169" s="15" t="str">
        <f t="shared" si="14"/>
        <v>*</v>
      </c>
      <c r="AK169" s="16" t="str">
        <f t="shared" si="15"/>
        <v>*</v>
      </c>
    </row>
    <row r="170" spans="2:37" x14ac:dyDescent="0.25">
      <c r="B170" t="str">
        <f>IF('TRA TECH'!M166=0,"*",IF('TRA TECH'!H166="","*",'TRA TECH'!J166))</f>
        <v>TRAFRESSHICEIDSL20</v>
      </c>
      <c r="C170" t="str">
        <f>IF('TRA TECH'!M166=0,"*",'TRA TECH'!H166)</f>
        <v>TRABDS</v>
      </c>
      <c r="D170" t="s">
        <v>424</v>
      </c>
      <c r="E170" s="9">
        <f>'TRA TECH'!P166</f>
        <v>0.1</v>
      </c>
      <c r="H170" t="str">
        <f>IF('TRA TECH'!M166=1,IF('TRA TECH'!L166=1,'TRA TECH'!J166,"*"),"*")</f>
        <v>*</v>
      </c>
      <c r="I170" t="str">
        <f>IF(H170="*","*",_xlfn.XLOOKUP(H170,'TRA TECH'!J:J,'TRA TECH'!I:I))</f>
        <v>*</v>
      </c>
      <c r="J170" t="str">
        <f>IF(H170="*","*",_xlfn.XLOOKUP(H170,'TRA TECH'!J:J,'TRA TECH'!N:N))</f>
        <v>*</v>
      </c>
      <c r="K170" s="15" t="str">
        <f>IF(H170="*","*",IF(_xlfn.XLOOKUP(H170,'TRA TECH'!J:J,'TRA TECH'!O:O)="","",_xlfn.XLOOKUP(H170,'TRA TECH'!J:J,'TRA TECH'!O:O)))</f>
        <v>*</v>
      </c>
      <c r="L170" t="str">
        <f t="shared" si="11"/>
        <v>*</v>
      </c>
      <c r="M170" t="str">
        <f>IF(H170="*","*",IF(_xlfn.XLOOKUP($H170,'TRA TECH'!$J:$J,'TRA TECH'!Q:Q)="","",_xlfn.XLOOKUP($H170,'TRA TECH'!$J:$J,'TRA TECH'!Q:Q)))</f>
        <v>*</v>
      </c>
      <c r="N170" t="str">
        <f>IF(H170="*","*",IF(_xlfn.XLOOKUP($H170,'TRA TECH'!$J:$J,'TRA TECH'!R:R)="","",_xlfn.XLOOKUP($H170,'TRA TECH'!$J:$J,'TRA TECH'!R:R)))</f>
        <v>*</v>
      </c>
      <c r="O170" t="str">
        <f>IF(H170="*","*",IF(_xlfn.XLOOKUP($H170,'TRA TECH'!$J:$J,'TRA TECH'!S:S)="","",_xlfn.XLOOKUP($H170,'TRA TECH'!$J:$J,'TRA TECH'!S:S)))</f>
        <v>*</v>
      </c>
      <c r="P170" t="str">
        <f>IF(H170="*","*",IF(_xlfn.XLOOKUP($H170,'TRA TECH'!$J:$J,'TRA TECH'!T:T)="","",_xlfn.XLOOKUP($H170,'TRA TECH'!$J:$J,'TRA TECH'!T:T)))</f>
        <v>*</v>
      </c>
      <c r="Q170" t="str">
        <f>IF(H170="*","*",IF(_xlfn.XLOOKUP($H170,'TRA TECH'!$J:$J,'TRA TECH'!U:U)="","",_xlfn.XLOOKUP($H170,'TRA TECH'!$J:$J,'TRA TECH'!U:U)))</f>
        <v>*</v>
      </c>
      <c r="R170" t="str">
        <f>IF(H170="*","*",IF(_xlfn.XLOOKUP($H170,'TRA TECH'!$J:$J,'TRA TECH'!V:V)="","",_xlfn.XLOOKUP($H170,'TRA TECH'!$J:$J,'TRA TECH'!V:V)))</f>
        <v>*</v>
      </c>
      <c r="S170" t="str">
        <f>IF(H170="*","*",IF(_xlfn.XLOOKUP($H170,'TRA TECH'!$J:$J,'TRA TECH'!W:W)="","",_xlfn.XLOOKUP($H170,'TRA TECH'!$J:$J,'TRA TECH'!W:W)))</f>
        <v>*</v>
      </c>
      <c r="T170" t="str">
        <f t="shared" si="12"/>
        <v>*</v>
      </c>
      <c r="U170" t="str">
        <f>IF(H170="*","*",IF(_xlfn.XLOOKUP($H170,'TRA TECH'!$J:$J,'TRA TECH'!X:X)="","",_xlfn.XLOOKUP($H170,'TRA TECH'!$J:$J,'TRA TECH'!X:X)))</f>
        <v>*</v>
      </c>
      <c r="V170" t="str">
        <f>IF(H170="*","*",IF(_xlfn.XLOOKUP($H170,'TRA TECH'!$J:$J,'TRA TECH'!Y:Y)="","",_xlfn.XLOOKUP($H170,'TRA TECH'!$J:$J,'TRA TECH'!Y:Y)))</f>
        <v>*</v>
      </c>
      <c r="W170" t="str">
        <f>IF(H170="*","*",IF(_xlfn.XLOOKUP($H170,'TRA TECH'!$J:$J,'TRA TECH'!Z:Z)="","",_xlfn.XLOOKUP($H170,'TRA TECH'!$J:$J,'TRA TECH'!Z:Z)))</f>
        <v>*</v>
      </c>
      <c r="X170" t="str">
        <f>IF(H170="*","*",IF(_xlfn.XLOOKUP($H170,'TRA TECH'!$J:$J,'TRA TECH'!AA:AA)="","",_xlfn.XLOOKUP($H170,'TRA TECH'!$J:$J,'TRA TECH'!AA:AA)))</f>
        <v>*</v>
      </c>
      <c r="Y170" t="str">
        <f>IF(H170="*","*",IF(_xlfn.XLOOKUP($H170,'TRA TECH'!$J:$J,'TRA TECH'!AB:AB)="","",_xlfn.XLOOKUP($H170,'TRA TECH'!$J:$J,'TRA TECH'!AB:AB)))</f>
        <v>*</v>
      </c>
      <c r="Z170" t="str">
        <f>IF(H170="*","*",IF(_xlfn.XLOOKUP($H170,'TRA TECH'!$J:$J,'TRA TECH'!AC:AC)="","",_xlfn.XLOOKUP($H170,'TRA TECH'!$J:$J,'TRA TECH'!AC:AC)))</f>
        <v>*</v>
      </c>
      <c r="AA170" t="str">
        <f>IF(H170="*","*",IF(_xlfn.XLOOKUP($H170,'TRA TECH'!$J:$J,'TRA TECH'!AD:AD)="","",_xlfn.XLOOKUP($H170,'TRA TECH'!$J:$J,'TRA TECH'!AD:AD)))</f>
        <v>*</v>
      </c>
      <c r="AB170" t="str">
        <f t="shared" si="13"/>
        <v>*</v>
      </c>
      <c r="AC170" s="15" t="str">
        <f>IF(H170="*","*",IF(_xlfn.XLOOKUP($H170,'TRA TECH'!$J:$J,'TRA TECH'!AE:AE)="","",_xlfn.XLOOKUP($H170,'TRA TECH'!$J:$J,'TRA TECH'!AE:AE)))</f>
        <v>*</v>
      </c>
      <c r="AD170" s="15" t="str">
        <f>IF(H170="*","*",IF(_xlfn.XLOOKUP($H170,'TRA TECH'!$J:$J,'TRA TECH'!AF:AF)="","",_xlfn.XLOOKUP($H170,'TRA TECH'!$J:$J,'TRA TECH'!AF:AF)))</f>
        <v>*</v>
      </c>
      <c r="AE170" s="15" t="str">
        <f>IF(H170="*","*",IF(_xlfn.XLOOKUP($H170,'TRA TECH'!$J:$J,'TRA TECH'!AG:AG)="","",_xlfn.XLOOKUP($H170,'TRA TECH'!$J:$J,'TRA TECH'!AG:AG)))</f>
        <v>*</v>
      </c>
      <c r="AF170" s="15" t="str">
        <f>IF(H170="*","*",IF(_xlfn.XLOOKUP($H170,'TRA TECH'!$J:$J,'TRA TECH'!AH:AH)="","",_xlfn.XLOOKUP($H170,'TRA TECH'!$J:$J,'TRA TECH'!AH:AH)))</f>
        <v>*</v>
      </c>
      <c r="AG170" s="15" t="str">
        <f>IF(H170="*","*",IF(_xlfn.XLOOKUP($H170,'TRA TECH'!$J:$J,'TRA TECH'!AI:AI)="","",_xlfn.XLOOKUP($H170,'TRA TECH'!$J:$J,'TRA TECH'!AI:AI)))</f>
        <v>*</v>
      </c>
      <c r="AH170" s="15" t="str">
        <f>IF(H170="*","*",IF(_xlfn.XLOOKUP($H170,'TRA TECH'!$J:$J,'TRA TECH'!AJ:AJ)="","",_xlfn.XLOOKUP($H170,'TRA TECH'!$J:$J,'TRA TECH'!AJ:AJ)))</f>
        <v>*</v>
      </c>
      <c r="AI170" s="15" t="str">
        <f>IF(H170="*","*",IF(_xlfn.XLOOKUP($H170,'TRA TECH'!$J:$J,'TRA TECH'!AK:AK)="","",_xlfn.XLOOKUP($H170,'TRA TECH'!$J:$J,'TRA TECH'!AK:AK)))</f>
        <v>*</v>
      </c>
      <c r="AJ170" s="15" t="str">
        <f t="shared" si="14"/>
        <v>*</v>
      </c>
      <c r="AK170" s="16" t="str">
        <f t="shared" si="15"/>
        <v>*</v>
      </c>
    </row>
    <row r="171" spans="2:37" x14ac:dyDescent="0.25">
      <c r="B171" t="str">
        <f>IF('TRA TECH'!M167=0,"*",IF('TRA TECH'!H167="","*",'TRA TECH'!J167))</f>
        <v>TRAFRESSHHEVPDSL20</v>
      </c>
      <c r="C171" t="str">
        <f>IF('TRA TECH'!M167=0,"*",'TRA TECH'!H167)</f>
        <v>TRADSL</v>
      </c>
      <c r="D171" t="s">
        <v>424</v>
      </c>
      <c r="E171" s="9">
        <f>'TRA TECH'!P167</f>
        <v>1</v>
      </c>
      <c r="H171" t="str">
        <f>IF('TRA TECH'!M167=1,IF('TRA TECH'!L167=1,'TRA TECH'!J167,"*"),"*")</f>
        <v>TRAFRESSHHEVPDSL20</v>
      </c>
      <c r="I171" t="str">
        <f>IF(H171="*","*",_xlfn.XLOOKUP(H171,'TRA TECH'!J:J,'TRA TECH'!I:I))</f>
        <v>TRAFRESSHDMD</v>
      </c>
      <c r="J171">
        <f>IF(H171="*","*",_xlfn.XLOOKUP(H171,'TRA TECH'!J:J,'TRA TECH'!N:N))</f>
        <v>2020</v>
      </c>
      <c r="K171" s="15">
        <f>IF(H171="*","*",IF(_xlfn.XLOOKUP(H171,'TRA TECH'!J:J,'TRA TECH'!O:O)="","",_xlfn.XLOOKUP(H171,'TRA TECH'!J:J,'TRA TECH'!O:O)))</f>
        <v>8.7089799004097141</v>
      </c>
      <c r="L171">
        <f t="shared" si="11"/>
        <v>1</v>
      </c>
      <c r="M171">
        <f>IF(H171="*","*",IF(_xlfn.XLOOKUP($H171,'TRA TECH'!$J:$J,'TRA TECH'!Q:Q)="","",_xlfn.XLOOKUP($H171,'TRA TECH'!$J:$J,'TRA TECH'!Q:Q)))</f>
        <v>0.15586706231454009</v>
      </c>
      <c r="N171">
        <f>IF(H171="*","*",IF(_xlfn.XLOOKUP($H171,'TRA TECH'!$J:$J,'TRA TECH'!R:R)="","",_xlfn.XLOOKUP($H171,'TRA TECH'!$J:$J,'TRA TECH'!R:R)))</f>
        <v>0.15586706231454009</v>
      </c>
      <c r="O171">
        <f>IF(H171="*","*",IF(_xlfn.XLOOKUP($H171,'TRA TECH'!$J:$J,'TRA TECH'!S:S)="","",_xlfn.XLOOKUP($H171,'TRA TECH'!$J:$J,'TRA TECH'!S:S)))</f>
        <v>0.17377519287833831</v>
      </c>
      <c r="P171">
        <f>IF(H171="*","*",IF(_xlfn.XLOOKUP($H171,'TRA TECH'!$J:$J,'TRA TECH'!T:T)="","",_xlfn.XLOOKUP($H171,'TRA TECH'!$J:$J,'TRA TECH'!T:T)))</f>
        <v>0.191020059347181</v>
      </c>
      <c r="Q171">
        <f>IF(H171="*","*",IF(_xlfn.XLOOKUP($H171,'TRA TECH'!$J:$J,'TRA TECH'!U:U)="","",_xlfn.XLOOKUP($H171,'TRA TECH'!$J:$J,'TRA TECH'!U:U)))</f>
        <v>0.20163228486646881</v>
      </c>
      <c r="R171">
        <f>IF(H171="*","*",IF(_xlfn.XLOOKUP($H171,'TRA TECH'!$J:$J,'TRA TECH'!V:V)="","",_xlfn.XLOOKUP($H171,'TRA TECH'!$J:$J,'TRA TECH'!V:V)))</f>
        <v>0.21158124629080119</v>
      </c>
      <c r="S171">
        <f>IF(H171="*","*",IF(_xlfn.XLOOKUP($H171,'TRA TECH'!$J:$J,'TRA TECH'!W:W)="","",_xlfn.XLOOKUP($H171,'TRA TECH'!$J:$J,'TRA TECH'!W:W)))</f>
        <v>0.2215302077151336</v>
      </c>
      <c r="T171">
        <f t="shared" si="12"/>
        <v>0.2215302077151336</v>
      </c>
      <c r="U171">
        <f>IF(H171="*","*",IF(_xlfn.XLOOKUP($H171,'TRA TECH'!$J:$J,'TRA TECH'!X:X)="","",_xlfn.XLOOKUP($H171,'TRA TECH'!$J:$J,'TRA TECH'!X:X)))</f>
        <v>333.59642362286382</v>
      </c>
      <c r="V171">
        <f>IF(H171="*","*",IF(_xlfn.XLOOKUP($H171,'TRA TECH'!$J:$J,'TRA TECH'!Y:Y)="","",_xlfn.XLOOKUP($H171,'TRA TECH'!$J:$J,'TRA TECH'!Y:Y)))</f>
        <v>333.59642362286382</v>
      </c>
      <c r="W171">
        <f>IF(H171="*","*",IF(_xlfn.XLOOKUP($H171,'TRA TECH'!$J:$J,'TRA TECH'!Z:Z)="","",_xlfn.XLOOKUP($H171,'TRA TECH'!$J:$J,'TRA TECH'!Z:Z)))</f>
        <v>332.88513060874249</v>
      </c>
      <c r="X171">
        <f>IF(H171="*","*",IF(_xlfn.XLOOKUP($H171,'TRA TECH'!$J:$J,'TRA TECH'!AA:AA)="","",_xlfn.XLOOKUP($H171,'TRA TECH'!$J:$J,'TRA TECH'!AA:AA)))</f>
        <v>330.39560505931809</v>
      </c>
      <c r="Y171">
        <f>IF(H171="*","*",IF(_xlfn.XLOOKUP($H171,'TRA TECH'!$J:$J,'TRA TECH'!AB:AB)="","",_xlfn.XLOOKUP($H171,'TRA TECH'!$J:$J,'TRA TECH'!AB:AB)))</f>
        <v>329.68431204519692</v>
      </c>
      <c r="Z171">
        <f>IF(H171="*","*",IF(_xlfn.XLOOKUP($H171,'TRA TECH'!$J:$J,'TRA TECH'!AC:AC)="","",_xlfn.XLOOKUP($H171,'TRA TECH'!$J:$J,'TRA TECH'!AC:AC)))</f>
        <v>329.32866553813631</v>
      </c>
      <c r="AA171">
        <f>IF(H171="*","*",IF(_xlfn.XLOOKUP($H171,'TRA TECH'!$J:$J,'TRA TECH'!AD:AD)="","",_xlfn.XLOOKUP($H171,'TRA TECH'!$J:$J,'TRA TECH'!AD:AD)))</f>
        <v>328.97301903107558</v>
      </c>
      <c r="AB171">
        <f t="shared" si="13"/>
        <v>328.97301903107558</v>
      </c>
      <c r="AC171" s="15">
        <f>IF(H171="*","*",IF(_xlfn.XLOOKUP($H171,'TRA TECH'!$J:$J,'TRA TECH'!AE:AE)="","",_xlfn.XLOOKUP($H171,'TRA TECH'!$J:$J,'TRA TECH'!AE:AE)))</f>
        <v>9.637474954139952</v>
      </c>
      <c r="AD171" s="15">
        <f>IF(H171="*","*",IF(_xlfn.XLOOKUP($H171,'TRA TECH'!$J:$J,'TRA TECH'!AF:AF)="","",_xlfn.XLOOKUP($H171,'TRA TECH'!$J:$J,'TRA TECH'!AF:AF)))</f>
        <v>9.637474954139952</v>
      </c>
      <c r="AE171" s="15">
        <f>IF(H171="*","*",IF(_xlfn.XLOOKUP($H171,'TRA TECH'!$J:$J,'TRA TECH'!AG:AG)="","",_xlfn.XLOOKUP($H171,'TRA TECH'!$J:$J,'TRA TECH'!AG:AG)))</f>
        <v>9.637474954139952</v>
      </c>
      <c r="AF171" s="15">
        <f>IF(H171="*","*",IF(_xlfn.XLOOKUP($H171,'TRA TECH'!$J:$J,'TRA TECH'!AH:AH)="","",_xlfn.XLOOKUP($H171,'TRA TECH'!$J:$J,'TRA TECH'!AH:AH)))</f>
        <v>9.637474954139952</v>
      </c>
      <c r="AG171" s="15">
        <f>IF(H171="*","*",IF(_xlfn.XLOOKUP($H171,'TRA TECH'!$J:$J,'TRA TECH'!AI:AI)="","",_xlfn.XLOOKUP($H171,'TRA TECH'!$J:$J,'TRA TECH'!AI:AI)))</f>
        <v>9.637474954139952</v>
      </c>
      <c r="AH171" s="15">
        <f>IF(H171="*","*",IF(_xlfn.XLOOKUP($H171,'TRA TECH'!$J:$J,'TRA TECH'!AJ:AJ)="","",_xlfn.XLOOKUP($H171,'TRA TECH'!$J:$J,'TRA TECH'!AJ:AJ)))</f>
        <v>9.637474954139952</v>
      </c>
      <c r="AI171" s="15">
        <f>IF(H171="*","*",IF(_xlfn.XLOOKUP($H171,'TRA TECH'!$J:$J,'TRA TECH'!AK:AK)="","",_xlfn.XLOOKUP($H171,'TRA TECH'!$J:$J,'TRA TECH'!AK:AK)))</f>
        <v>9.637474954139952</v>
      </c>
      <c r="AJ171" s="15">
        <f t="shared" si="14"/>
        <v>9.637474954139952</v>
      </c>
      <c r="AK171" s="16">
        <f t="shared" si="15"/>
        <v>0.25</v>
      </c>
    </row>
    <row r="172" spans="2:37" x14ac:dyDescent="0.25">
      <c r="B172" t="str">
        <f>IF('TRA TECH'!M168=0,"*",IF('TRA TECH'!H168="","*",'TRA TECH'!J168))</f>
        <v>TRAFRESSHHEVPDSL20</v>
      </c>
      <c r="C172" t="str">
        <f>IF('TRA TECH'!M168=0,"*",'TRA TECH'!H168)</f>
        <v>TRARDS</v>
      </c>
      <c r="D172" t="s">
        <v>424</v>
      </c>
      <c r="E172" s="9">
        <f>'TRA TECH'!P168</f>
        <v>1</v>
      </c>
      <c r="H172" t="str">
        <f>IF('TRA TECH'!M168=1,IF('TRA TECH'!L168=1,'TRA TECH'!J168,"*"),"*")</f>
        <v>*</v>
      </c>
      <c r="I172" t="str">
        <f>IF(H172="*","*",_xlfn.XLOOKUP(H172,'TRA TECH'!J:J,'TRA TECH'!I:I))</f>
        <v>*</v>
      </c>
      <c r="J172" t="str">
        <f>IF(H172="*","*",_xlfn.XLOOKUP(H172,'TRA TECH'!J:J,'TRA TECH'!N:N))</f>
        <v>*</v>
      </c>
      <c r="K172" s="15" t="str">
        <f>IF(H172="*","*",IF(_xlfn.XLOOKUP(H172,'TRA TECH'!J:J,'TRA TECH'!O:O)="","",_xlfn.XLOOKUP(H172,'TRA TECH'!J:J,'TRA TECH'!O:O)))</f>
        <v>*</v>
      </c>
      <c r="L172" t="str">
        <f t="shared" si="11"/>
        <v>*</v>
      </c>
      <c r="M172" t="str">
        <f>IF(H172="*","*",IF(_xlfn.XLOOKUP($H172,'TRA TECH'!$J:$J,'TRA TECH'!Q:Q)="","",_xlfn.XLOOKUP($H172,'TRA TECH'!$J:$J,'TRA TECH'!Q:Q)))</f>
        <v>*</v>
      </c>
      <c r="N172" t="str">
        <f>IF(H172="*","*",IF(_xlfn.XLOOKUP($H172,'TRA TECH'!$J:$J,'TRA TECH'!R:R)="","",_xlfn.XLOOKUP($H172,'TRA TECH'!$J:$J,'TRA TECH'!R:R)))</f>
        <v>*</v>
      </c>
      <c r="O172" t="str">
        <f>IF(H172="*","*",IF(_xlfn.XLOOKUP($H172,'TRA TECH'!$J:$J,'TRA TECH'!S:S)="","",_xlfn.XLOOKUP($H172,'TRA TECH'!$J:$J,'TRA TECH'!S:S)))</f>
        <v>*</v>
      </c>
      <c r="P172" t="str">
        <f>IF(H172="*","*",IF(_xlfn.XLOOKUP($H172,'TRA TECH'!$J:$J,'TRA TECH'!T:T)="","",_xlfn.XLOOKUP($H172,'TRA TECH'!$J:$J,'TRA TECH'!T:T)))</f>
        <v>*</v>
      </c>
      <c r="Q172" t="str">
        <f>IF(H172="*","*",IF(_xlfn.XLOOKUP($H172,'TRA TECH'!$J:$J,'TRA TECH'!U:U)="","",_xlfn.XLOOKUP($H172,'TRA TECH'!$J:$J,'TRA TECH'!U:U)))</f>
        <v>*</v>
      </c>
      <c r="R172" t="str">
        <f>IF(H172="*","*",IF(_xlfn.XLOOKUP($H172,'TRA TECH'!$J:$J,'TRA TECH'!V:V)="","",_xlfn.XLOOKUP($H172,'TRA TECH'!$J:$J,'TRA TECH'!V:V)))</f>
        <v>*</v>
      </c>
      <c r="S172" t="str">
        <f>IF(H172="*","*",IF(_xlfn.XLOOKUP($H172,'TRA TECH'!$J:$J,'TRA TECH'!W:W)="","",_xlfn.XLOOKUP($H172,'TRA TECH'!$J:$J,'TRA TECH'!W:W)))</f>
        <v>*</v>
      </c>
      <c r="T172" t="str">
        <f t="shared" si="12"/>
        <v>*</v>
      </c>
      <c r="U172" t="str">
        <f>IF(H172="*","*",IF(_xlfn.XLOOKUP($H172,'TRA TECH'!$J:$J,'TRA TECH'!X:X)="","",_xlfn.XLOOKUP($H172,'TRA TECH'!$J:$J,'TRA TECH'!X:X)))</f>
        <v>*</v>
      </c>
      <c r="V172" t="str">
        <f>IF(H172="*","*",IF(_xlfn.XLOOKUP($H172,'TRA TECH'!$J:$J,'TRA TECH'!Y:Y)="","",_xlfn.XLOOKUP($H172,'TRA TECH'!$J:$J,'TRA TECH'!Y:Y)))</f>
        <v>*</v>
      </c>
      <c r="W172" t="str">
        <f>IF(H172="*","*",IF(_xlfn.XLOOKUP($H172,'TRA TECH'!$J:$J,'TRA TECH'!Z:Z)="","",_xlfn.XLOOKUP($H172,'TRA TECH'!$J:$J,'TRA TECH'!Z:Z)))</f>
        <v>*</v>
      </c>
      <c r="X172" t="str">
        <f>IF(H172="*","*",IF(_xlfn.XLOOKUP($H172,'TRA TECH'!$J:$J,'TRA TECH'!AA:AA)="","",_xlfn.XLOOKUP($H172,'TRA TECH'!$J:$J,'TRA TECH'!AA:AA)))</f>
        <v>*</v>
      </c>
      <c r="Y172" t="str">
        <f>IF(H172="*","*",IF(_xlfn.XLOOKUP($H172,'TRA TECH'!$J:$J,'TRA TECH'!AB:AB)="","",_xlfn.XLOOKUP($H172,'TRA TECH'!$J:$J,'TRA TECH'!AB:AB)))</f>
        <v>*</v>
      </c>
      <c r="Z172" t="str">
        <f>IF(H172="*","*",IF(_xlfn.XLOOKUP($H172,'TRA TECH'!$J:$J,'TRA TECH'!AC:AC)="","",_xlfn.XLOOKUP($H172,'TRA TECH'!$J:$J,'TRA TECH'!AC:AC)))</f>
        <v>*</v>
      </c>
      <c r="AA172" t="str">
        <f>IF(H172="*","*",IF(_xlfn.XLOOKUP($H172,'TRA TECH'!$J:$J,'TRA TECH'!AD:AD)="","",_xlfn.XLOOKUP($H172,'TRA TECH'!$J:$J,'TRA TECH'!AD:AD)))</f>
        <v>*</v>
      </c>
      <c r="AB172" t="str">
        <f t="shared" si="13"/>
        <v>*</v>
      </c>
      <c r="AC172" s="15" t="str">
        <f>IF(H172="*","*",IF(_xlfn.XLOOKUP($H172,'TRA TECH'!$J:$J,'TRA TECH'!AE:AE)="","",_xlfn.XLOOKUP($H172,'TRA TECH'!$J:$J,'TRA TECH'!AE:AE)))</f>
        <v>*</v>
      </c>
      <c r="AD172" s="15" t="str">
        <f>IF(H172="*","*",IF(_xlfn.XLOOKUP($H172,'TRA TECH'!$J:$J,'TRA TECH'!AF:AF)="","",_xlfn.XLOOKUP($H172,'TRA TECH'!$J:$J,'TRA TECH'!AF:AF)))</f>
        <v>*</v>
      </c>
      <c r="AE172" s="15" t="str">
        <f>IF(H172="*","*",IF(_xlfn.XLOOKUP($H172,'TRA TECH'!$J:$J,'TRA TECH'!AG:AG)="","",_xlfn.XLOOKUP($H172,'TRA TECH'!$J:$J,'TRA TECH'!AG:AG)))</f>
        <v>*</v>
      </c>
      <c r="AF172" s="15" t="str">
        <f>IF(H172="*","*",IF(_xlfn.XLOOKUP($H172,'TRA TECH'!$J:$J,'TRA TECH'!AH:AH)="","",_xlfn.XLOOKUP($H172,'TRA TECH'!$J:$J,'TRA TECH'!AH:AH)))</f>
        <v>*</v>
      </c>
      <c r="AG172" s="15" t="str">
        <f>IF(H172="*","*",IF(_xlfn.XLOOKUP($H172,'TRA TECH'!$J:$J,'TRA TECH'!AI:AI)="","",_xlfn.XLOOKUP($H172,'TRA TECH'!$J:$J,'TRA TECH'!AI:AI)))</f>
        <v>*</v>
      </c>
      <c r="AH172" s="15" t="str">
        <f>IF(H172="*","*",IF(_xlfn.XLOOKUP($H172,'TRA TECH'!$J:$J,'TRA TECH'!AJ:AJ)="","",_xlfn.XLOOKUP($H172,'TRA TECH'!$J:$J,'TRA TECH'!AJ:AJ)))</f>
        <v>*</v>
      </c>
      <c r="AI172" s="15" t="str">
        <f>IF(H172="*","*",IF(_xlfn.XLOOKUP($H172,'TRA TECH'!$J:$J,'TRA TECH'!AK:AK)="","",_xlfn.XLOOKUP($H172,'TRA TECH'!$J:$J,'TRA TECH'!AK:AK)))</f>
        <v>*</v>
      </c>
      <c r="AJ172" s="15" t="str">
        <f t="shared" si="14"/>
        <v>*</v>
      </c>
      <c r="AK172" s="16" t="str">
        <f t="shared" si="15"/>
        <v>*</v>
      </c>
    </row>
    <row r="173" spans="2:37" x14ac:dyDescent="0.25">
      <c r="B173" t="str">
        <f>IF('TRA TECH'!M169=0,"*",IF('TRA TECH'!H169="","*",'TRA TECH'!J169))</f>
        <v>TRAFRESSHHEVPDSL20</v>
      </c>
      <c r="C173" t="str">
        <f>IF('TRA TECH'!M169=0,"*",'TRA TECH'!H169)</f>
        <v>TRABDS</v>
      </c>
      <c r="D173" t="s">
        <v>424</v>
      </c>
      <c r="E173" s="9">
        <f>'TRA TECH'!P169</f>
        <v>0.1</v>
      </c>
      <c r="H173" t="str">
        <f>IF('TRA TECH'!M169=1,IF('TRA TECH'!L169=1,'TRA TECH'!J169,"*"),"*")</f>
        <v>*</v>
      </c>
      <c r="I173" t="str">
        <f>IF(H173="*","*",_xlfn.XLOOKUP(H173,'TRA TECH'!J:J,'TRA TECH'!I:I))</f>
        <v>*</v>
      </c>
      <c r="J173" t="str">
        <f>IF(H173="*","*",_xlfn.XLOOKUP(H173,'TRA TECH'!J:J,'TRA TECH'!N:N))</f>
        <v>*</v>
      </c>
      <c r="K173" s="15" t="str">
        <f>IF(H173="*","*",IF(_xlfn.XLOOKUP(H173,'TRA TECH'!J:J,'TRA TECH'!O:O)="","",_xlfn.XLOOKUP(H173,'TRA TECH'!J:J,'TRA TECH'!O:O)))</f>
        <v>*</v>
      </c>
      <c r="L173" t="str">
        <f t="shared" si="11"/>
        <v>*</v>
      </c>
      <c r="M173" t="str">
        <f>IF(H173="*","*",IF(_xlfn.XLOOKUP($H173,'TRA TECH'!$J:$J,'TRA TECH'!Q:Q)="","",_xlfn.XLOOKUP($H173,'TRA TECH'!$J:$J,'TRA TECH'!Q:Q)))</f>
        <v>*</v>
      </c>
      <c r="N173" t="str">
        <f>IF(H173="*","*",IF(_xlfn.XLOOKUP($H173,'TRA TECH'!$J:$J,'TRA TECH'!R:R)="","",_xlfn.XLOOKUP($H173,'TRA TECH'!$J:$J,'TRA TECH'!R:R)))</f>
        <v>*</v>
      </c>
      <c r="O173" t="str">
        <f>IF(H173="*","*",IF(_xlfn.XLOOKUP($H173,'TRA TECH'!$J:$J,'TRA TECH'!S:S)="","",_xlfn.XLOOKUP($H173,'TRA TECH'!$J:$J,'TRA TECH'!S:S)))</f>
        <v>*</v>
      </c>
      <c r="P173" t="str">
        <f>IF(H173="*","*",IF(_xlfn.XLOOKUP($H173,'TRA TECH'!$J:$J,'TRA TECH'!T:T)="","",_xlfn.XLOOKUP($H173,'TRA TECH'!$J:$J,'TRA TECH'!T:T)))</f>
        <v>*</v>
      </c>
      <c r="Q173" t="str">
        <f>IF(H173="*","*",IF(_xlfn.XLOOKUP($H173,'TRA TECH'!$J:$J,'TRA TECH'!U:U)="","",_xlfn.XLOOKUP($H173,'TRA TECH'!$J:$J,'TRA TECH'!U:U)))</f>
        <v>*</v>
      </c>
      <c r="R173" t="str">
        <f>IF(H173="*","*",IF(_xlfn.XLOOKUP($H173,'TRA TECH'!$J:$J,'TRA TECH'!V:V)="","",_xlfn.XLOOKUP($H173,'TRA TECH'!$J:$J,'TRA TECH'!V:V)))</f>
        <v>*</v>
      </c>
      <c r="S173" t="str">
        <f>IF(H173="*","*",IF(_xlfn.XLOOKUP($H173,'TRA TECH'!$J:$J,'TRA TECH'!W:W)="","",_xlfn.XLOOKUP($H173,'TRA TECH'!$J:$J,'TRA TECH'!W:W)))</f>
        <v>*</v>
      </c>
      <c r="T173" t="str">
        <f t="shared" si="12"/>
        <v>*</v>
      </c>
      <c r="U173" t="str">
        <f>IF(H173="*","*",IF(_xlfn.XLOOKUP($H173,'TRA TECH'!$J:$J,'TRA TECH'!X:X)="","",_xlfn.XLOOKUP($H173,'TRA TECH'!$J:$J,'TRA TECH'!X:X)))</f>
        <v>*</v>
      </c>
      <c r="V173" t="str">
        <f>IF(H173="*","*",IF(_xlfn.XLOOKUP($H173,'TRA TECH'!$J:$J,'TRA TECH'!Y:Y)="","",_xlfn.XLOOKUP($H173,'TRA TECH'!$J:$J,'TRA TECH'!Y:Y)))</f>
        <v>*</v>
      </c>
      <c r="W173" t="str">
        <f>IF(H173="*","*",IF(_xlfn.XLOOKUP($H173,'TRA TECH'!$J:$J,'TRA TECH'!Z:Z)="","",_xlfn.XLOOKUP($H173,'TRA TECH'!$J:$J,'TRA TECH'!Z:Z)))</f>
        <v>*</v>
      </c>
      <c r="X173" t="str">
        <f>IF(H173="*","*",IF(_xlfn.XLOOKUP($H173,'TRA TECH'!$J:$J,'TRA TECH'!AA:AA)="","",_xlfn.XLOOKUP($H173,'TRA TECH'!$J:$J,'TRA TECH'!AA:AA)))</f>
        <v>*</v>
      </c>
      <c r="Y173" t="str">
        <f>IF(H173="*","*",IF(_xlfn.XLOOKUP($H173,'TRA TECH'!$J:$J,'TRA TECH'!AB:AB)="","",_xlfn.XLOOKUP($H173,'TRA TECH'!$J:$J,'TRA TECH'!AB:AB)))</f>
        <v>*</v>
      </c>
      <c r="Z173" t="str">
        <f>IF(H173="*","*",IF(_xlfn.XLOOKUP($H173,'TRA TECH'!$J:$J,'TRA TECH'!AC:AC)="","",_xlfn.XLOOKUP($H173,'TRA TECH'!$J:$J,'TRA TECH'!AC:AC)))</f>
        <v>*</v>
      </c>
      <c r="AA173" t="str">
        <f>IF(H173="*","*",IF(_xlfn.XLOOKUP($H173,'TRA TECH'!$J:$J,'TRA TECH'!AD:AD)="","",_xlfn.XLOOKUP($H173,'TRA TECH'!$J:$J,'TRA TECH'!AD:AD)))</f>
        <v>*</v>
      </c>
      <c r="AB173" t="str">
        <f t="shared" si="13"/>
        <v>*</v>
      </c>
      <c r="AC173" s="15" t="str">
        <f>IF(H173="*","*",IF(_xlfn.XLOOKUP($H173,'TRA TECH'!$J:$J,'TRA TECH'!AE:AE)="","",_xlfn.XLOOKUP($H173,'TRA TECH'!$J:$J,'TRA TECH'!AE:AE)))</f>
        <v>*</v>
      </c>
      <c r="AD173" s="15" t="str">
        <f>IF(H173="*","*",IF(_xlfn.XLOOKUP($H173,'TRA TECH'!$J:$J,'TRA TECH'!AF:AF)="","",_xlfn.XLOOKUP($H173,'TRA TECH'!$J:$J,'TRA TECH'!AF:AF)))</f>
        <v>*</v>
      </c>
      <c r="AE173" s="15" t="str">
        <f>IF(H173="*","*",IF(_xlfn.XLOOKUP($H173,'TRA TECH'!$J:$J,'TRA TECH'!AG:AG)="","",_xlfn.XLOOKUP($H173,'TRA TECH'!$J:$J,'TRA TECH'!AG:AG)))</f>
        <v>*</v>
      </c>
      <c r="AF173" s="15" t="str">
        <f>IF(H173="*","*",IF(_xlfn.XLOOKUP($H173,'TRA TECH'!$J:$J,'TRA TECH'!AH:AH)="","",_xlfn.XLOOKUP($H173,'TRA TECH'!$J:$J,'TRA TECH'!AH:AH)))</f>
        <v>*</v>
      </c>
      <c r="AG173" s="15" t="str">
        <f>IF(H173="*","*",IF(_xlfn.XLOOKUP($H173,'TRA TECH'!$J:$J,'TRA TECH'!AI:AI)="","",_xlfn.XLOOKUP($H173,'TRA TECH'!$J:$J,'TRA TECH'!AI:AI)))</f>
        <v>*</v>
      </c>
      <c r="AH173" s="15" t="str">
        <f>IF(H173="*","*",IF(_xlfn.XLOOKUP($H173,'TRA TECH'!$J:$J,'TRA TECH'!AJ:AJ)="","",_xlfn.XLOOKUP($H173,'TRA TECH'!$J:$J,'TRA TECH'!AJ:AJ)))</f>
        <v>*</v>
      </c>
      <c r="AI173" s="15" t="str">
        <f>IF(H173="*","*",IF(_xlfn.XLOOKUP($H173,'TRA TECH'!$J:$J,'TRA TECH'!AK:AK)="","",_xlfn.XLOOKUP($H173,'TRA TECH'!$J:$J,'TRA TECH'!AK:AK)))</f>
        <v>*</v>
      </c>
      <c r="AJ173" s="15" t="str">
        <f t="shared" si="14"/>
        <v>*</v>
      </c>
      <c r="AK173" s="16" t="str">
        <f t="shared" si="15"/>
        <v>*</v>
      </c>
    </row>
    <row r="174" spans="2:37" x14ac:dyDescent="0.25">
      <c r="B174" t="str">
        <f>IF('TRA TECH'!M170=0,"*",IF('TRA TECH'!H170="","*",'TRA TECH'!J170))</f>
        <v>TRAFRESSHPHEVDSL20</v>
      </c>
      <c r="C174" t="str">
        <f>IF('TRA TECH'!M170=0,"*",'TRA TECH'!H170)</f>
        <v>TRADSL</v>
      </c>
      <c r="D174" t="s">
        <v>424</v>
      </c>
      <c r="E174" s="9">
        <f>'TRA TECH'!P170</f>
        <v>0.53273809523809801</v>
      </c>
      <c r="H174" t="str">
        <f>IF('TRA TECH'!M170=1,IF('TRA TECH'!L170=1,'TRA TECH'!J170,"*"),"*")</f>
        <v>TRAFRESSHPHEVDSL20</v>
      </c>
      <c r="I174" t="str">
        <f>IF(H174="*","*",_xlfn.XLOOKUP(H174,'TRA TECH'!J:J,'TRA TECH'!I:I))</f>
        <v>TRAFRESSHDMD</v>
      </c>
      <c r="J174">
        <f>IF(H174="*","*",_xlfn.XLOOKUP(H174,'TRA TECH'!J:J,'TRA TECH'!N:N))</f>
        <v>2020</v>
      </c>
      <c r="K174" s="15">
        <f>IF(H174="*","*",IF(_xlfn.XLOOKUP(H174,'TRA TECH'!J:J,'TRA TECH'!O:O)="","",_xlfn.XLOOKUP(H174,'TRA TECH'!J:J,'TRA TECH'!O:O)))</f>
        <v>8.7089799004097141</v>
      </c>
      <c r="L174">
        <f t="shared" si="11"/>
        <v>1</v>
      </c>
      <c r="M174">
        <f>IF(H174="*","*",IF(_xlfn.XLOOKUP($H174,'TRA TECH'!$J:$J,'TRA TECH'!Q:Q)="","",_xlfn.XLOOKUP($H174,'TRA TECH'!$J:$J,'TRA TECH'!Q:Q)))</f>
        <v>0.25999952522255132</v>
      </c>
      <c r="N174">
        <f>IF(H174="*","*",IF(_xlfn.XLOOKUP($H174,'TRA TECH'!$J:$J,'TRA TECH'!R:R)="","",_xlfn.XLOOKUP($H174,'TRA TECH'!$J:$J,'TRA TECH'!R:R)))</f>
        <v>0.25999952522255132</v>
      </c>
      <c r="O174">
        <f>IF(H174="*","*",IF(_xlfn.XLOOKUP($H174,'TRA TECH'!$J:$J,'TRA TECH'!S:S)="","",_xlfn.XLOOKUP($H174,'TRA TECH'!$J:$J,'TRA TECH'!S:S)))</f>
        <v>0.28653008902077193</v>
      </c>
      <c r="P174">
        <f>IF(H174="*","*",IF(_xlfn.XLOOKUP($H174,'TRA TECH'!$J:$J,'TRA TECH'!T:T)="","",_xlfn.XLOOKUP($H174,'TRA TECH'!$J:$J,'TRA TECH'!T:T)))</f>
        <v>0.31438718100890251</v>
      </c>
      <c r="Q174">
        <f>IF(H174="*","*",IF(_xlfn.XLOOKUP($H174,'TRA TECH'!$J:$J,'TRA TECH'!U:U)="","",_xlfn.XLOOKUP($H174,'TRA TECH'!$J:$J,'TRA TECH'!U:U)))</f>
        <v>0.33030551928783269</v>
      </c>
      <c r="R174">
        <f>IF(H174="*","*",IF(_xlfn.XLOOKUP($H174,'TRA TECH'!$J:$J,'TRA TECH'!V:V)="","",_xlfn.XLOOKUP($H174,'TRA TECH'!$J:$J,'TRA TECH'!V:V)))</f>
        <v>0.34556059347180917</v>
      </c>
      <c r="S174">
        <f>IF(H174="*","*",IF(_xlfn.XLOOKUP($H174,'TRA TECH'!$J:$J,'TRA TECH'!W:W)="","",_xlfn.XLOOKUP($H174,'TRA TECH'!$J:$J,'TRA TECH'!W:W)))</f>
        <v>0.36147893175074242</v>
      </c>
      <c r="T174">
        <f t="shared" si="12"/>
        <v>0.36147893175074242</v>
      </c>
      <c r="U174">
        <f>IF(H174="*","*",IF(_xlfn.XLOOKUP($H174,'TRA TECH'!$J:$J,'TRA TECH'!X:X)="","",_xlfn.XLOOKUP($H174,'TRA TECH'!$J:$J,'TRA TECH'!X:X)))</f>
        <v>378.40788351250092</v>
      </c>
      <c r="V174">
        <f>IF(H174="*","*",IF(_xlfn.XLOOKUP($H174,'TRA TECH'!$J:$J,'TRA TECH'!Y:Y)="","",_xlfn.XLOOKUP($H174,'TRA TECH'!$J:$J,'TRA TECH'!Y:Y)))</f>
        <v>378.40788351250092</v>
      </c>
      <c r="W174">
        <f>IF(H174="*","*",IF(_xlfn.XLOOKUP($H174,'TRA TECH'!$J:$J,'TRA TECH'!Z:Z)="","",_xlfn.XLOOKUP($H174,'TRA TECH'!$J:$J,'TRA TECH'!Z:Z)))</f>
        <v>354.57956753944029</v>
      </c>
      <c r="X174">
        <f>IF(H174="*","*",IF(_xlfn.XLOOKUP($H174,'TRA TECH'!$J:$J,'TRA TECH'!AA:AA)="","",_xlfn.XLOOKUP($H174,'TRA TECH'!$J:$J,'TRA TECH'!AA:AA)))</f>
        <v>338.93112122877358</v>
      </c>
      <c r="Y174">
        <f>IF(H174="*","*",IF(_xlfn.XLOOKUP($H174,'TRA TECH'!$J:$J,'TRA TECH'!AB:AB)="","",_xlfn.XLOOKUP($H174,'TRA TECH'!$J:$J,'TRA TECH'!AB:AB)))</f>
        <v>332.88513060874158</v>
      </c>
      <c r="Z174">
        <f>IF(H174="*","*",IF(_xlfn.XLOOKUP($H174,'TRA TECH'!$J:$J,'TRA TECH'!AC:AC)="","",_xlfn.XLOOKUP($H174,'TRA TECH'!$J:$J,'TRA TECH'!AC:AC)))</f>
        <v>327.19478649577292</v>
      </c>
      <c r="AA174">
        <f>IF(H174="*","*",IF(_xlfn.XLOOKUP($H174,'TRA TECH'!$J:$J,'TRA TECH'!AD:AD)="","",_xlfn.XLOOKUP($H174,'TRA TECH'!$J:$J,'TRA TECH'!AD:AD)))</f>
        <v>321.14879587574069</v>
      </c>
      <c r="AB174">
        <f t="shared" si="13"/>
        <v>321.14879587574069</v>
      </c>
      <c r="AC174" s="15">
        <f>IF(H174="*","*",IF(_xlfn.XLOOKUP($H174,'TRA TECH'!$J:$J,'TRA TECH'!AE:AE)="","",_xlfn.XLOOKUP($H174,'TRA TECH'!$J:$J,'TRA TECH'!AE:AE)))</f>
        <v>9.6374749541399289</v>
      </c>
      <c r="AD174" s="15">
        <f>IF(H174="*","*",IF(_xlfn.XLOOKUP($H174,'TRA TECH'!$J:$J,'TRA TECH'!AF:AF)="","",_xlfn.XLOOKUP($H174,'TRA TECH'!$J:$J,'TRA TECH'!AF:AF)))</f>
        <v>9.6374749541399289</v>
      </c>
      <c r="AE174" s="15">
        <f>IF(H174="*","*",IF(_xlfn.XLOOKUP($H174,'TRA TECH'!$J:$J,'TRA TECH'!AG:AG)="","",_xlfn.XLOOKUP($H174,'TRA TECH'!$J:$J,'TRA TECH'!AG:AG)))</f>
        <v>9.6374749541399289</v>
      </c>
      <c r="AF174" s="15">
        <f>IF(H174="*","*",IF(_xlfn.XLOOKUP($H174,'TRA TECH'!$J:$J,'TRA TECH'!AH:AH)="","",_xlfn.XLOOKUP($H174,'TRA TECH'!$J:$J,'TRA TECH'!AH:AH)))</f>
        <v>9.6374749541399289</v>
      </c>
      <c r="AG174" s="15">
        <f>IF(H174="*","*",IF(_xlfn.XLOOKUP($H174,'TRA TECH'!$J:$J,'TRA TECH'!AI:AI)="","",_xlfn.XLOOKUP($H174,'TRA TECH'!$J:$J,'TRA TECH'!AI:AI)))</f>
        <v>9.6374749541399289</v>
      </c>
      <c r="AH174" s="15">
        <f>IF(H174="*","*",IF(_xlfn.XLOOKUP($H174,'TRA TECH'!$J:$J,'TRA TECH'!AJ:AJ)="","",_xlfn.XLOOKUP($H174,'TRA TECH'!$J:$J,'TRA TECH'!AJ:AJ)))</f>
        <v>9.6374749541399289</v>
      </c>
      <c r="AI174" s="15">
        <f>IF(H174="*","*",IF(_xlfn.XLOOKUP($H174,'TRA TECH'!$J:$J,'TRA TECH'!AK:AK)="","",_xlfn.XLOOKUP($H174,'TRA TECH'!$J:$J,'TRA TECH'!AK:AK)))</f>
        <v>9.6374749541399289</v>
      </c>
      <c r="AJ174" s="15">
        <f t="shared" si="14"/>
        <v>9.6374749541399289</v>
      </c>
      <c r="AK174" s="16">
        <f t="shared" si="15"/>
        <v>0.25</v>
      </c>
    </row>
    <row r="175" spans="2:37" x14ac:dyDescent="0.25">
      <c r="B175" t="str">
        <f>IF('TRA TECH'!M171=0,"*",IF('TRA TECH'!H171="","*",'TRA TECH'!J171))</f>
        <v>TRAFRESSHPHEVDSL20</v>
      </c>
      <c r="C175" t="str">
        <f>IF('TRA TECH'!M171=0,"*",'TRA TECH'!H171)</f>
        <v>TRARDS</v>
      </c>
      <c r="D175" t="s">
        <v>424</v>
      </c>
      <c r="E175" s="9">
        <f>'TRA TECH'!P171</f>
        <v>0.53273809523809801</v>
      </c>
      <c r="H175" t="str">
        <f>IF('TRA TECH'!M171=1,IF('TRA TECH'!L171=1,'TRA TECH'!J171,"*"),"*")</f>
        <v>*</v>
      </c>
      <c r="I175" t="str">
        <f>IF(H175="*","*",_xlfn.XLOOKUP(H175,'TRA TECH'!J:J,'TRA TECH'!I:I))</f>
        <v>*</v>
      </c>
      <c r="J175" t="str">
        <f>IF(H175="*","*",_xlfn.XLOOKUP(H175,'TRA TECH'!J:J,'TRA TECH'!N:N))</f>
        <v>*</v>
      </c>
      <c r="K175" s="15" t="str">
        <f>IF(H175="*","*",IF(_xlfn.XLOOKUP(H175,'TRA TECH'!J:J,'TRA TECH'!O:O)="","",_xlfn.XLOOKUP(H175,'TRA TECH'!J:J,'TRA TECH'!O:O)))</f>
        <v>*</v>
      </c>
      <c r="L175" t="str">
        <f t="shared" si="11"/>
        <v>*</v>
      </c>
      <c r="M175" t="str">
        <f>IF(H175="*","*",IF(_xlfn.XLOOKUP($H175,'TRA TECH'!$J:$J,'TRA TECH'!Q:Q)="","",_xlfn.XLOOKUP($H175,'TRA TECH'!$J:$J,'TRA TECH'!Q:Q)))</f>
        <v>*</v>
      </c>
      <c r="N175" t="str">
        <f>IF(H175="*","*",IF(_xlfn.XLOOKUP($H175,'TRA TECH'!$J:$J,'TRA TECH'!R:R)="","",_xlfn.XLOOKUP($H175,'TRA TECH'!$J:$J,'TRA TECH'!R:R)))</f>
        <v>*</v>
      </c>
      <c r="O175" t="str">
        <f>IF(H175="*","*",IF(_xlfn.XLOOKUP($H175,'TRA TECH'!$J:$J,'TRA TECH'!S:S)="","",_xlfn.XLOOKUP($H175,'TRA TECH'!$J:$J,'TRA TECH'!S:S)))</f>
        <v>*</v>
      </c>
      <c r="P175" t="str">
        <f>IF(H175="*","*",IF(_xlfn.XLOOKUP($H175,'TRA TECH'!$J:$J,'TRA TECH'!T:T)="","",_xlfn.XLOOKUP($H175,'TRA TECH'!$J:$J,'TRA TECH'!T:T)))</f>
        <v>*</v>
      </c>
      <c r="Q175" t="str">
        <f>IF(H175="*","*",IF(_xlfn.XLOOKUP($H175,'TRA TECH'!$J:$J,'TRA TECH'!U:U)="","",_xlfn.XLOOKUP($H175,'TRA TECH'!$J:$J,'TRA TECH'!U:U)))</f>
        <v>*</v>
      </c>
      <c r="R175" t="str">
        <f>IF(H175="*","*",IF(_xlfn.XLOOKUP($H175,'TRA TECH'!$J:$J,'TRA TECH'!V:V)="","",_xlfn.XLOOKUP($H175,'TRA TECH'!$J:$J,'TRA TECH'!V:V)))</f>
        <v>*</v>
      </c>
      <c r="S175" t="str">
        <f>IF(H175="*","*",IF(_xlfn.XLOOKUP($H175,'TRA TECH'!$J:$J,'TRA TECH'!W:W)="","",_xlfn.XLOOKUP($H175,'TRA TECH'!$J:$J,'TRA TECH'!W:W)))</f>
        <v>*</v>
      </c>
      <c r="T175" t="str">
        <f t="shared" si="12"/>
        <v>*</v>
      </c>
      <c r="U175" t="str">
        <f>IF(H175="*","*",IF(_xlfn.XLOOKUP($H175,'TRA TECH'!$J:$J,'TRA TECH'!X:X)="","",_xlfn.XLOOKUP($H175,'TRA TECH'!$J:$J,'TRA TECH'!X:X)))</f>
        <v>*</v>
      </c>
      <c r="V175" t="str">
        <f>IF(H175="*","*",IF(_xlfn.XLOOKUP($H175,'TRA TECH'!$J:$J,'TRA TECH'!Y:Y)="","",_xlfn.XLOOKUP($H175,'TRA TECH'!$J:$J,'TRA TECH'!Y:Y)))</f>
        <v>*</v>
      </c>
      <c r="W175" t="str">
        <f>IF(H175="*","*",IF(_xlfn.XLOOKUP($H175,'TRA TECH'!$J:$J,'TRA TECH'!Z:Z)="","",_xlfn.XLOOKUP($H175,'TRA TECH'!$J:$J,'TRA TECH'!Z:Z)))</f>
        <v>*</v>
      </c>
      <c r="X175" t="str">
        <f>IF(H175="*","*",IF(_xlfn.XLOOKUP($H175,'TRA TECH'!$J:$J,'TRA TECH'!AA:AA)="","",_xlfn.XLOOKUP($H175,'TRA TECH'!$J:$J,'TRA TECH'!AA:AA)))</f>
        <v>*</v>
      </c>
      <c r="Y175" t="str">
        <f>IF(H175="*","*",IF(_xlfn.XLOOKUP($H175,'TRA TECH'!$J:$J,'TRA TECH'!AB:AB)="","",_xlfn.XLOOKUP($H175,'TRA TECH'!$J:$J,'TRA TECH'!AB:AB)))</f>
        <v>*</v>
      </c>
      <c r="Z175" t="str">
        <f>IF(H175="*","*",IF(_xlfn.XLOOKUP($H175,'TRA TECH'!$J:$J,'TRA TECH'!AC:AC)="","",_xlfn.XLOOKUP($H175,'TRA TECH'!$J:$J,'TRA TECH'!AC:AC)))</f>
        <v>*</v>
      </c>
      <c r="AA175" t="str">
        <f>IF(H175="*","*",IF(_xlfn.XLOOKUP($H175,'TRA TECH'!$J:$J,'TRA TECH'!AD:AD)="","",_xlfn.XLOOKUP($H175,'TRA TECH'!$J:$J,'TRA TECH'!AD:AD)))</f>
        <v>*</v>
      </c>
      <c r="AB175" t="str">
        <f t="shared" si="13"/>
        <v>*</v>
      </c>
      <c r="AC175" s="15" t="str">
        <f>IF(H175="*","*",IF(_xlfn.XLOOKUP($H175,'TRA TECH'!$J:$J,'TRA TECH'!AE:AE)="","",_xlfn.XLOOKUP($H175,'TRA TECH'!$J:$J,'TRA TECH'!AE:AE)))</f>
        <v>*</v>
      </c>
      <c r="AD175" s="15" t="str">
        <f>IF(H175="*","*",IF(_xlfn.XLOOKUP($H175,'TRA TECH'!$J:$J,'TRA TECH'!AF:AF)="","",_xlfn.XLOOKUP($H175,'TRA TECH'!$J:$J,'TRA TECH'!AF:AF)))</f>
        <v>*</v>
      </c>
      <c r="AE175" s="15" t="str">
        <f>IF(H175="*","*",IF(_xlfn.XLOOKUP($H175,'TRA TECH'!$J:$J,'TRA TECH'!AG:AG)="","",_xlfn.XLOOKUP($H175,'TRA TECH'!$J:$J,'TRA TECH'!AG:AG)))</f>
        <v>*</v>
      </c>
      <c r="AF175" s="15" t="str">
        <f>IF(H175="*","*",IF(_xlfn.XLOOKUP($H175,'TRA TECH'!$J:$J,'TRA TECH'!AH:AH)="","",_xlfn.XLOOKUP($H175,'TRA TECH'!$J:$J,'TRA TECH'!AH:AH)))</f>
        <v>*</v>
      </c>
      <c r="AG175" s="15" t="str">
        <f>IF(H175="*","*",IF(_xlfn.XLOOKUP($H175,'TRA TECH'!$J:$J,'TRA TECH'!AI:AI)="","",_xlfn.XLOOKUP($H175,'TRA TECH'!$J:$J,'TRA TECH'!AI:AI)))</f>
        <v>*</v>
      </c>
      <c r="AH175" s="15" t="str">
        <f>IF(H175="*","*",IF(_xlfn.XLOOKUP($H175,'TRA TECH'!$J:$J,'TRA TECH'!AJ:AJ)="","",_xlfn.XLOOKUP($H175,'TRA TECH'!$J:$J,'TRA TECH'!AJ:AJ)))</f>
        <v>*</v>
      </c>
      <c r="AI175" s="15" t="str">
        <f>IF(H175="*","*",IF(_xlfn.XLOOKUP($H175,'TRA TECH'!$J:$J,'TRA TECH'!AK:AK)="","",_xlfn.XLOOKUP($H175,'TRA TECH'!$J:$J,'TRA TECH'!AK:AK)))</f>
        <v>*</v>
      </c>
      <c r="AJ175" s="15" t="str">
        <f t="shared" si="14"/>
        <v>*</v>
      </c>
      <c r="AK175" s="16" t="str">
        <f t="shared" si="15"/>
        <v>*</v>
      </c>
    </row>
    <row r="176" spans="2:37" x14ac:dyDescent="0.25">
      <c r="B176" t="str">
        <f>IF('TRA TECH'!M172=0,"*",IF('TRA TECH'!H172="","*",'TRA TECH'!J172))</f>
        <v>TRAFRESSHPHEVDSL20</v>
      </c>
      <c r="C176" t="str">
        <f>IF('TRA TECH'!M172=0,"*",'TRA TECH'!H172)</f>
        <v>TRABDS</v>
      </c>
      <c r="D176" t="s">
        <v>424</v>
      </c>
      <c r="E176" s="9">
        <f>'TRA TECH'!P172</f>
        <v>0.1</v>
      </c>
      <c r="H176" t="str">
        <f>IF('TRA TECH'!M172=1,IF('TRA TECH'!L172=1,'TRA TECH'!J172,"*"),"*")</f>
        <v>*</v>
      </c>
      <c r="I176" t="str">
        <f>IF(H176="*","*",_xlfn.XLOOKUP(H176,'TRA TECH'!J:J,'TRA TECH'!I:I))</f>
        <v>*</v>
      </c>
      <c r="J176" t="str">
        <f>IF(H176="*","*",_xlfn.XLOOKUP(H176,'TRA TECH'!J:J,'TRA TECH'!N:N))</f>
        <v>*</v>
      </c>
      <c r="K176" s="15" t="str">
        <f>IF(H176="*","*",IF(_xlfn.XLOOKUP(H176,'TRA TECH'!J:J,'TRA TECH'!O:O)="","",_xlfn.XLOOKUP(H176,'TRA TECH'!J:J,'TRA TECH'!O:O)))</f>
        <v>*</v>
      </c>
      <c r="L176" t="str">
        <f t="shared" si="11"/>
        <v>*</v>
      </c>
      <c r="M176" t="str">
        <f>IF(H176="*","*",IF(_xlfn.XLOOKUP($H176,'TRA TECH'!$J:$J,'TRA TECH'!Q:Q)="","",_xlfn.XLOOKUP($H176,'TRA TECH'!$J:$J,'TRA TECH'!Q:Q)))</f>
        <v>*</v>
      </c>
      <c r="N176" t="str">
        <f>IF(H176="*","*",IF(_xlfn.XLOOKUP($H176,'TRA TECH'!$J:$J,'TRA TECH'!R:R)="","",_xlfn.XLOOKUP($H176,'TRA TECH'!$J:$J,'TRA TECH'!R:R)))</f>
        <v>*</v>
      </c>
      <c r="O176" t="str">
        <f>IF(H176="*","*",IF(_xlfn.XLOOKUP($H176,'TRA TECH'!$J:$J,'TRA TECH'!S:S)="","",_xlfn.XLOOKUP($H176,'TRA TECH'!$J:$J,'TRA TECH'!S:S)))</f>
        <v>*</v>
      </c>
      <c r="P176" t="str">
        <f>IF(H176="*","*",IF(_xlfn.XLOOKUP($H176,'TRA TECH'!$J:$J,'TRA TECH'!T:T)="","",_xlfn.XLOOKUP($H176,'TRA TECH'!$J:$J,'TRA TECH'!T:T)))</f>
        <v>*</v>
      </c>
      <c r="Q176" t="str">
        <f>IF(H176="*","*",IF(_xlfn.XLOOKUP($H176,'TRA TECH'!$J:$J,'TRA TECH'!U:U)="","",_xlfn.XLOOKUP($H176,'TRA TECH'!$J:$J,'TRA TECH'!U:U)))</f>
        <v>*</v>
      </c>
      <c r="R176" t="str">
        <f>IF(H176="*","*",IF(_xlfn.XLOOKUP($H176,'TRA TECH'!$J:$J,'TRA TECH'!V:V)="","",_xlfn.XLOOKUP($H176,'TRA TECH'!$J:$J,'TRA TECH'!V:V)))</f>
        <v>*</v>
      </c>
      <c r="S176" t="str">
        <f>IF(H176="*","*",IF(_xlfn.XLOOKUP($H176,'TRA TECH'!$J:$J,'TRA TECH'!W:W)="","",_xlfn.XLOOKUP($H176,'TRA TECH'!$J:$J,'TRA TECH'!W:W)))</f>
        <v>*</v>
      </c>
      <c r="T176" t="str">
        <f t="shared" si="12"/>
        <v>*</v>
      </c>
      <c r="U176" t="str">
        <f>IF(H176="*","*",IF(_xlfn.XLOOKUP($H176,'TRA TECH'!$J:$J,'TRA TECH'!X:X)="","",_xlfn.XLOOKUP($H176,'TRA TECH'!$J:$J,'TRA TECH'!X:X)))</f>
        <v>*</v>
      </c>
      <c r="V176" t="str">
        <f>IF(H176="*","*",IF(_xlfn.XLOOKUP($H176,'TRA TECH'!$J:$J,'TRA TECH'!Y:Y)="","",_xlfn.XLOOKUP($H176,'TRA TECH'!$J:$J,'TRA TECH'!Y:Y)))</f>
        <v>*</v>
      </c>
      <c r="W176" t="str">
        <f>IF(H176="*","*",IF(_xlfn.XLOOKUP($H176,'TRA TECH'!$J:$J,'TRA TECH'!Z:Z)="","",_xlfn.XLOOKUP($H176,'TRA TECH'!$J:$J,'TRA TECH'!Z:Z)))</f>
        <v>*</v>
      </c>
      <c r="X176" t="str">
        <f>IF(H176="*","*",IF(_xlfn.XLOOKUP($H176,'TRA TECH'!$J:$J,'TRA TECH'!AA:AA)="","",_xlfn.XLOOKUP($H176,'TRA TECH'!$J:$J,'TRA TECH'!AA:AA)))</f>
        <v>*</v>
      </c>
      <c r="Y176" t="str">
        <f>IF(H176="*","*",IF(_xlfn.XLOOKUP($H176,'TRA TECH'!$J:$J,'TRA TECH'!AB:AB)="","",_xlfn.XLOOKUP($H176,'TRA TECH'!$J:$J,'TRA TECH'!AB:AB)))</f>
        <v>*</v>
      </c>
      <c r="Z176" t="str">
        <f>IF(H176="*","*",IF(_xlfn.XLOOKUP($H176,'TRA TECH'!$J:$J,'TRA TECH'!AC:AC)="","",_xlfn.XLOOKUP($H176,'TRA TECH'!$J:$J,'TRA TECH'!AC:AC)))</f>
        <v>*</v>
      </c>
      <c r="AA176" t="str">
        <f>IF(H176="*","*",IF(_xlfn.XLOOKUP($H176,'TRA TECH'!$J:$J,'TRA TECH'!AD:AD)="","",_xlfn.XLOOKUP($H176,'TRA TECH'!$J:$J,'TRA TECH'!AD:AD)))</f>
        <v>*</v>
      </c>
      <c r="AB176" t="str">
        <f t="shared" si="13"/>
        <v>*</v>
      </c>
      <c r="AC176" s="15" t="str">
        <f>IF(H176="*","*",IF(_xlfn.XLOOKUP($H176,'TRA TECH'!$J:$J,'TRA TECH'!AE:AE)="","",_xlfn.XLOOKUP($H176,'TRA TECH'!$J:$J,'TRA TECH'!AE:AE)))</f>
        <v>*</v>
      </c>
      <c r="AD176" s="15" t="str">
        <f>IF(H176="*","*",IF(_xlfn.XLOOKUP($H176,'TRA TECH'!$J:$J,'TRA TECH'!AF:AF)="","",_xlfn.XLOOKUP($H176,'TRA TECH'!$J:$J,'TRA TECH'!AF:AF)))</f>
        <v>*</v>
      </c>
      <c r="AE176" s="15" t="str">
        <f>IF(H176="*","*",IF(_xlfn.XLOOKUP($H176,'TRA TECH'!$J:$J,'TRA TECH'!AG:AG)="","",_xlfn.XLOOKUP($H176,'TRA TECH'!$J:$J,'TRA TECH'!AG:AG)))</f>
        <v>*</v>
      </c>
      <c r="AF176" s="15" t="str">
        <f>IF(H176="*","*",IF(_xlfn.XLOOKUP($H176,'TRA TECH'!$J:$J,'TRA TECH'!AH:AH)="","",_xlfn.XLOOKUP($H176,'TRA TECH'!$J:$J,'TRA TECH'!AH:AH)))</f>
        <v>*</v>
      </c>
      <c r="AG176" s="15" t="str">
        <f>IF(H176="*","*",IF(_xlfn.XLOOKUP($H176,'TRA TECH'!$J:$J,'TRA TECH'!AI:AI)="","",_xlfn.XLOOKUP($H176,'TRA TECH'!$J:$J,'TRA TECH'!AI:AI)))</f>
        <v>*</v>
      </c>
      <c r="AH176" s="15" t="str">
        <f>IF(H176="*","*",IF(_xlfn.XLOOKUP($H176,'TRA TECH'!$J:$J,'TRA TECH'!AJ:AJ)="","",_xlfn.XLOOKUP($H176,'TRA TECH'!$J:$J,'TRA TECH'!AJ:AJ)))</f>
        <v>*</v>
      </c>
      <c r="AI176" s="15" t="str">
        <f>IF(H176="*","*",IF(_xlfn.XLOOKUP($H176,'TRA TECH'!$J:$J,'TRA TECH'!AK:AK)="","",_xlfn.XLOOKUP($H176,'TRA TECH'!$J:$J,'TRA TECH'!AK:AK)))</f>
        <v>*</v>
      </c>
      <c r="AJ176" s="15" t="str">
        <f t="shared" si="14"/>
        <v>*</v>
      </c>
      <c r="AK176" s="16" t="str">
        <f t="shared" si="15"/>
        <v>*</v>
      </c>
    </row>
    <row r="177" spans="2:37" x14ac:dyDescent="0.25">
      <c r="B177" t="str">
        <f>IF('TRA TECH'!M173=0,"*",IF('TRA TECH'!H173="","*",'TRA TECH'!J173))</f>
        <v>TRAFRESSHPHEVDSL20</v>
      </c>
      <c r="C177" t="str">
        <f>IF('TRA TECH'!M173=0,"*",'TRA TECH'!H173)</f>
        <v>TRABAF</v>
      </c>
      <c r="D177" t="s">
        <v>424</v>
      </c>
      <c r="E177" s="9">
        <f>'TRA TECH'!P173</f>
        <v>0.46726190476190199</v>
      </c>
      <c r="H177" t="str">
        <f>IF('TRA TECH'!M173=1,IF('TRA TECH'!L173=1,'TRA TECH'!J173,"*"),"*")</f>
        <v>*</v>
      </c>
      <c r="I177" t="str">
        <f>IF(H177="*","*",_xlfn.XLOOKUP(H177,'TRA TECH'!J:J,'TRA TECH'!I:I))</f>
        <v>*</v>
      </c>
      <c r="J177" t="str">
        <f>IF(H177="*","*",_xlfn.XLOOKUP(H177,'TRA TECH'!J:J,'TRA TECH'!N:N))</f>
        <v>*</v>
      </c>
      <c r="K177" s="15" t="str">
        <f>IF(H177="*","*",IF(_xlfn.XLOOKUP(H177,'TRA TECH'!J:J,'TRA TECH'!O:O)="","",_xlfn.XLOOKUP(H177,'TRA TECH'!J:J,'TRA TECH'!O:O)))</f>
        <v>*</v>
      </c>
      <c r="L177" t="str">
        <f t="shared" si="11"/>
        <v>*</v>
      </c>
      <c r="M177" t="str">
        <f>IF(H177="*","*",IF(_xlfn.XLOOKUP($H177,'TRA TECH'!$J:$J,'TRA TECH'!Q:Q)="","",_xlfn.XLOOKUP($H177,'TRA TECH'!$J:$J,'TRA TECH'!Q:Q)))</f>
        <v>*</v>
      </c>
      <c r="N177" t="str">
        <f>IF(H177="*","*",IF(_xlfn.XLOOKUP($H177,'TRA TECH'!$J:$J,'TRA TECH'!R:R)="","",_xlfn.XLOOKUP($H177,'TRA TECH'!$J:$J,'TRA TECH'!R:R)))</f>
        <v>*</v>
      </c>
      <c r="O177" t="str">
        <f>IF(H177="*","*",IF(_xlfn.XLOOKUP($H177,'TRA TECH'!$J:$J,'TRA TECH'!S:S)="","",_xlfn.XLOOKUP($H177,'TRA TECH'!$J:$J,'TRA TECH'!S:S)))</f>
        <v>*</v>
      </c>
      <c r="P177" t="str">
        <f>IF(H177="*","*",IF(_xlfn.XLOOKUP($H177,'TRA TECH'!$J:$J,'TRA TECH'!T:T)="","",_xlfn.XLOOKUP($H177,'TRA TECH'!$J:$J,'TRA TECH'!T:T)))</f>
        <v>*</v>
      </c>
      <c r="Q177" t="str">
        <f>IF(H177="*","*",IF(_xlfn.XLOOKUP($H177,'TRA TECH'!$J:$J,'TRA TECH'!U:U)="","",_xlfn.XLOOKUP($H177,'TRA TECH'!$J:$J,'TRA TECH'!U:U)))</f>
        <v>*</v>
      </c>
      <c r="R177" t="str">
        <f>IF(H177="*","*",IF(_xlfn.XLOOKUP($H177,'TRA TECH'!$J:$J,'TRA TECH'!V:V)="","",_xlfn.XLOOKUP($H177,'TRA TECH'!$J:$J,'TRA TECH'!V:V)))</f>
        <v>*</v>
      </c>
      <c r="S177" t="str">
        <f>IF(H177="*","*",IF(_xlfn.XLOOKUP($H177,'TRA TECH'!$J:$J,'TRA TECH'!W:W)="","",_xlfn.XLOOKUP($H177,'TRA TECH'!$J:$J,'TRA TECH'!W:W)))</f>
        <v>*</v>
      </c>
      <c r="T177" t="str">
        <f t="shared" si="12"/>
        <v>*</v>
      </c>
      <c r="U177" t="str">
        <f>IF(H177="*","*",IF(_xlfn.XLOOKUP($H177,'TRA TECH'!$J:$J,'TRA TECH'!X:X)="","",_xlfn.XLOOKUP($H177,'TRA TECH'!$J:$J,'TRA TECH'!X:X)))</f>
        <v>*</v>
      </c>
      <c r="V177" t="str">
        <f>IF(H177="*","*",IF(_xlfn.XLOOKUP($H177,'TRA TECH'!$J:$J,'TRA TECH'!Y:Y)="","",_xlfn.XLOOKUP($H177,'TRA TECH'!$J:$J,'TRA TECH'!Y:Y)))</f>
        <v>*</v>
      </c>
      <c r="W177" t="str">
        <f>IF(H177="*","*",IF(_xlfn.XLOOKUP($H177,'TRA TECH'!$J:$J,'TRA TECH'!Z:Z)="","",_xlfn.XLOOKUP($H177,'TRA TECH'!$J:$J,'TRA TECH'!Z:Z)))</f>
        <v>*</v>
      </c>
      <c r="X177" t="str">
        <f>IF(H177="*","*",IF(_xlfn.XLOOKUP($H177,'TRA TECH'!$J:$J,'TRA TECH'!AA:AA)="","",_xlfn.XLOOKUP($H177,'TRA TECH'!$J:$J,'TRA TECH'!AA:AA)))</f>
        <v>*</v>
      </c>
      <c r="Y177" t="str">
        <f>IF(H177="*","*",IF(_xlfn.XLOOKUP($H177,'TRA TECH'!$J:$J,'TRA TECH'!AB:AB)="","",_xlfn.XLOOKUP($H177,'TRA TECH'!$J:$J,'TRA TECH'!AB:AB)))</f>
        <v>*</v>
      </c>
      <c r="Z177" t="str">
        <f>IF(H177="*","*",IF(_xlfn.XLOOKUP($H177,'TRA TECH'!$J:$J,'TRA TECH'!AC:AC)="","",_xlfn.XLOOKUP($H177,'TRA TECH'!$J:$J,'TRA TECH'!AC:AC)))</f>
        <v>*</v>
      </c>
      <c r="AA177" t="str">
        <f>IF(H177="*","*",IF(_xlfn.XLOOKUP($H177,'TRA TECH'!$J:$J,'TRA TECH'!AD:AD)="","",_xlfn.XLOOKUP($H177,'TRA TECH'!$J:$J,'TRA TECH'!AD:AD)))</f>
        <v>*</v>
      </c>
      <c r="AB177" t="str">
        <f t="shared" si="13"/>
        <v>*</v>
      </c>
      <c r="AC177" s="15" t="str">
        <f>IF(H177="*","*",IF(_xlfn.XLOOKUP($H177,'TRA TECH'!$J:$J,'TRA TECH'!AE:AE)="","",_xlfn.XLOOKUP($H177,'TRA TECH'!$J:$J,'TRA TECH'!AE:AE)))</f>
        <v>*</v>
      </c>
      <c r="AD177" s="15" t="str">
        <f>IF(H177="*","*",IF(_xlfn.XLOOKUP($H177,'TRA TECH'!$J:$J,'TRA TECH'!AF:AF)="","",_xlfn.XLOOKUP($H177,'TRA TECH'!$J:$J,'TRA TECH'!AF:AF)))</f>
        <v>*</v>
      </c>
      <c r="AE177" s="15" t="str">
        <f>IF(H177="*","*",IF(_xlfn.XLOOKUP($H177,'TRA TECH'!$J:$J,'TRA TECH'!AG:AG)="","",_xlfn.XLOOKUP($H177,'TRA TECH'!$J:$J,'TRA TECH'!AG:AG)))</f>
        <v>*</v>
      </c>
      <c r="AF177" s="15" t="str">
        <f>IF(H177="*","*",IF(_xlfn.XLOOKUP($H177,'TRA TECH'!$J:$J,'TRA TECH'!AH:AH)="","",_xlfn.XLOOKUP($H177,'TRA TECH'!$J:$J,'TRA TECH'!AH:AH)))</f>
        <v>*</v>
      </c>
      <c r="AG177" s="15" t="str">
        <f>IF(H177="*","*",IF(_xlfn.XLOOKUP($H177,'TRA TECH'!$J:$J,'TRA TECH'!AI:AI)="","",_xlfn.XLOOKUP($H177,'TRA TECH'!$J:$J,'TRA TECH'!AI:AI)))</f>
        <v>*</v>
      </c>
      <c r="AH177" s="15" t="str">
        <f>IF(H177="*","*",IF(_xlfn.XLOOKUP($H177,'TRA TECH'!$J:$J,'TRA TECH'!AJ:AJ)="","",_xlfn.XLOOKUP($H177,'TRA TECH'!$J:$J,'TRA TECH'!AJ:AJ)))</f>
        <v>*</v>
      </c>
      <c r="AI177" s="15" t="str">
        <f>IF(H177="*","*",IF(_xlfn.XLOOKUP($H177,'TRA TECH'!$J:$J,'TRA TECH'!AK:AK)="","",_xlfn.XLOOKUP($H177,'TRA TECH'!$J:$J,'TRA TECH'!AK:AK)))</f>
        <v>*</v>
      </c>
      <c r="AJ177" s="15" t="str">
        <f t="shared" si="14"/>
        <v>*</v>
      </c>
      <c r="AK177" s="16" t="str">
        <f t="shared" si="15"/>
        <v>*</v>
      </c>
    </row>
    <row r="178" spans="2:37" x14ac:dyDescent="0.25">
      <c r="B178" t="str">
        <f>IF('TRA TECH'!M174=0,"*",IF('TRA TECH'!H174="","*",'TRA TECH'!J174))</f>
        <v>TRAFRESSHFCEV20</v>
      </c>
      <c r="C178" t="str">
        <f>IF('TRA TECH'!M174=0,"*",'TRA TECH'!H174)</f>
        <v>TRAH2G</v>
      </c>
      <c r="D178" t="s">
        <v>424</v>
      </c>
      <c r="E178" s="9">
        <f>'TRA TECH'!P174</f>
        <v>1</v>
      </c>
      <c r="H178" t="str">
        <f>IF('TRA TECH'!M174=1,IF('TRA TECH'!L174=1,'TRA TECH'!J174,"*"),"*")</f>
        <v>TRAFRESSHFCEV20</v>
      </c>
      <c r="I178" t="str">
        <f>IF(H178="*","*",_xlfn.XLOOKUP(H178,'TRA TECH'!J:J,'TRA TECH'!I:I))</f>
        <v>TRAFRESSHDMD</v>
      </c>
      <c r="J178">
        <f>IF(H178="*","*",_xlfn.XLOOKUP(H178,'TRA TECH'!J:J,'TRA TECH'!N:N))</f>
        <v>2020</v>
      </c>
      <c r="K178" s="15">
        <f>IF(H178="*","*",IF(_xlfn.XLOOKUP(H178,'TRA TECH'!J:J,'TRA TECH'!O:O)="","",_xlfn.XLOOKUP(H178,'TRA TECH'!J:J,'TRA TECH'!O:O)))</f>
        <v>8.7089799004097141</v>
      </c>
      <c r="L178">
        <f t="shared" si="11"/>
        <v>1</v>
      </c>
      <c r="M178">
        <f>IF(H178="*","*",IF(_xlfn.XLOOKUP($H178,'TRA TECH'!$J:$J,'TRA TECH'!Q:Q)="","",_xlfn.XLOOKUP($H178,'TRA TECH'!$J:$J,'TRA TECH'!Q:Q)))</f>
        <v>0.2042853412462908</v>
      </c>
      <c r="N178">
        <f>IF(H178="*","*",IF(_xlfn.XLOOKUP($H178,'TRA TECH'!$J:$J,'TRA TECH'!R:R)="","",_xlfn.XLOOKUP($H178,'TRA TECH'!$J:$J,'TRA TECH'!R:R)))</f>
        <v>0.2042853412462908</v>
      </c>
      <c r="O178">
        <f>IF(H178="*","*",IF(_xlfn.XLOOKUP($H178,'TRA TECH'!$J:$J,'TRA TECH'!S:S)="","",_xlfn.XLOOKUP($H178,'TRA TECH'!$J:$J,'TRA TECH'!S:S)))</f>
        <v>0.22484652818991099</v>
      </c>
      <c r="P178">
        <f>IF(H178="*","*",IF(_xlfn.XLOOKUP($H178,'TRA TECH'!$J:$J,'TRA TECH'!T:T)="","",_xlfn.XLOOKUP($H178,'TRA TECH'!$J:$J,'TRA TECH'!T:T)))</f>
        <v>0.24673424332344221</v>
      </c>
      <c r="Q178">
        <f>IF(H178="*","*",IF(_xlfn.XLOOKUP($H178,'TRA TECH'!$J:$J,'TRA TECH'!U:U)="","",_xlfn.XLOOKUP($H178,'TRA TECH'!$J:$J,'TRA TECH'!U:U)))</f>
        <v>0.2566832047477744</v>
      </c>
      <c r="R178">
        <f>IF(H178="*","*",IF(_xlfn.XLOOKUP($H178,'TRA TECH'!$J:$J,'TRA TECH'!V:V)="","",_xlfn.XLOOKUP($H178,'TRA TECH'!$J:$J,'TRA TECH'!V:V)))</f>
        <v>0.26729543026706237</v>
      </c>
      <c r="S178">
        <f>IF(H178="*","*",IF(_xlfn.XLOOKUP($H178,'TRA TECH'!$J:$J,'TRA TECH'!W:W)="","",_xlfn.XLOOKUP($H178,'TRA TECH'!$J:$J,'TRA TECH'!W:W)))</f>
        <v>0.27724439169139448</v>
      </c>
      <c r="T178">
        <f t="shared" si="12"/>
        <v>0.27724439169139448</v>
      </c>
      <c r="U178">
        <f>IF(H178="*","*",IF(_xlfn.XLOOKUP($H178,'TRA TECH'!$J:$J,'TRA TECH'!X:X)="","",_xlfn.XLOOKUP($H178,'TRA TECH'!$J:$J,'TRA TECH'!X:X)))</f>
        <v>456.29446855877808</v>
      </c>
      <c r="V178">
        <f>IF(H178="*","*",IF(_xlfn.XLOOKUP($H178,'TRA TECH'!$J:$J,'TRA TECH'!Y:Y)="","",_xlfn.XLOOKUP($H178,'TRA TECH'!$J:$J,'TRA TECH'!Y:Y)))</f>
        <v>456.29446855877808</v>
      </c>
      <c r="W178">
        <f>IF(H178="*","*",IF(_xlfn.XLOOKUP($H178,'TRA TECH'!$J:$J,'TRA TECH'!Z:Z)="","",_xlfn.XLOOKUP($H178,'TRA TECH'!$J:$J,'TRA TECH'!Z:Z)))</f>
        <v>426.06451545862558</v>
      </c>
      <c r="X178">
        <f>IF(H178="*","*",IF(_xlfn.XLOOKUP($H178,'TRA TECH'!$J:$J,'TRA TECH'!AA:AA)="","",_xlfn.XLOOKUP($H178,'TRA TECH'!$J:$J,'TRA TECH'!AA:AA)))</f>
        <v>401.88055297850298</v>
      </c>
      <c r="Y178">
        <f>IF(H178="*","*",IF(_xlfn.XLOOKUP($H178,'TRA TECH'!$J:$J,'TRA TECH'!AB:AB)="","",_xlfn.XLOOKUP($H178,'TRA TECH'!$J:$J,'TRA TECH'!AB:AB)))</f>
        <v>392.63374379492689</v>
      </c>
      <c r="Z178">
        <f>IF(H178="*","*",IF(_xlfn.XLOOKUP($H178,'TRA TECH'!$J:$J,'TRA TECH'!AC:AC)="","",_xlfn.XLOOKUP($H178,'TRA TECH'!$J:$J,'TRA TECH'!AC:AC)))</f>
        <v>383.38693461135102</v>
      </c>
      <c r="AA178">
        <f>IF(H178="*","*",IF(_xlfn.XLOOKUP($H178,'TRA TECH'!$J:$J,'TRA TECH'!AD:AD)="","",_xlfn.XLOOKUP($H178,'TRA TECH'!$J:$J,'TRA TECH'!AD:AD)))</f>
        <v>374.14012542777488</v>
      </c>
      <c r="AB178">
        <f t="shared" si="13"/>
        <v>374.14012542777488</v>
      </c>
      <c r="AC178" s="15">
        <f>IF(H178="*","*",IF(_xlfn.XLOOKUP($H178,'TRA TECH'!$J:$J,'TRA TECH'!AE:AE)="","",_xlfn.XLOOKUP($H178,'TRA TECH'!$J:$J,'TRA TECH'!AE:AE)))</f>
        <v>9.6374749541399449</v>
      </c>
      <c r="AD178" s="15">
        <f>IF(H178="*","*",IF(_xlfn.XLOOKUP($H178,'TRA TECH'!$J:$J,'TRA TECH'!AF:AF)="","",_xlfn.XLOOKUP($H178,'TRA TECH'!$J:$J,'TRA TECH'!AF:AF)))</f>
        <v>9.6374749541399449</v>
      </c>
      <c r="AE178" s="15">
        <f>IF(H178="*","*",IF(_xlfn.XLOOKUP($H178,'TRA TECH'!$J:$J,'TRA TECH'!AG:AG)="","",_xlfn.XLOOKUP($H178,'TRA TECH'!$J:$J,'TRA TECH'!AG:AG)))</f>
        <v>9.6374749541399449</v>
      </c>
      <c r="AF178" s="15">
        <f>IF(H178="*","*",IF(_xlfn.XLOOKUP($H178,'TRA TECH'!$J:$J,'TRA TECH'!AH:AH)="","",_xlfn.XLOOKUP($H178,'TRA TECH'!$J:$J,'TRA TECH'!AH:AH)))</f>
        <v>9.6374749541399449</v>
      </c>
      <c r="AG178" s="15">
        <f>IF(H178="*","*",IF(_xlfn.XLOOKUP($H178,'TRA TECH'!$J:$J,'TRA TECH'!AI:AI)="","",_xlfn.XLOOKUP($H178,'TRA TECH'!$J:$J,'TRA TECH'!AI:AI)))</f>
        <v>9.6374749541399449</v>
      </c>
      <c r="AH178" s="15">
        <f>IF(H178="*","*",IF(_xlfn.XLOOKUP($H178,'TRA TECH'!$J:$J,'TRA TECH'!AJ:AJ)="","",_xlfn.XLOOKUP($H178,'TRA TECH'!$J:$J,'TRA TECH'!AJ:AJ)))</f>
        <v>9.6374749541399449</v>
      </c>
      <c r="AI178" s="15">
        <f>IF(H178="*","*",IF(_xlfn.XLOOKUP($H178,'TRA TECH'!$J:$J,'TRA TECH'!AK:AK)="","",_xlfn.XLOOKUP($H178,'TRA TECH'!$J:$J,'TRA TECH'!AK:AK)))</f>
        <v>9.6374749541399449</v>
      </c>
      <c r="AJ178" s="15">
        <f t="shared" si="14"/>
        <v>9.6374749541399449</v>
      </c>
      <c r="AK178" s="16">
        <f t="shared" si="15"/>
        <v>0.4</v>
      </c>
    </row>
    <row r="179" spans="2:37" x14ac:dyDescent="0.25">
      <c r="B179" t="str">
        <f>IF('TRA TECH'!M175=0,"*",IF('TRA TECH'!H175="","*",'TRA TECH'!J175))</f>
        <v>TRAFRESSHFCHEV20</v>
      </c>
      <c r="C179" t="str">
        <f>IF('TRA TECH'!M175=0,"*",'TRA TECH'!H175)</f>
        <v>TRAH2G</v>
      </c>
      <c r="D179" t="s">
        <v>424</v>
      </c>
      <c r="E179" s="9">
        <f>'TRA TECH'!P175</f>
        <v>0.88973384030418268</v>
      </c>
      <c r="H179" t="str">
        <f>IF('TRA TECH'!M175=1,IF('TRA TECH'!L175=1,'TRA TECH'!J175,"*"),"*")</f>
        <v>TRAFRESSHFCHEV20</v>
      </c>
      <c r="I179" t="str">
        <f>IF(H179="*","*",_xlfn.XLOOKUP(H179,'TRA TECH'!J:J,'TRA TECH'!I:I))</f>
        <v>TRAFRESSHDMD</v>
      </c>
      <c r="J179">
        <f>IF(H179="*","*",_xlfn.XLOOKUP(H179,'TRA TECH'!J:J,'TRA TECH'!N:N))</f>
        <v>2020</v>
      </c>
      <c r="K179" s="15">
        <f>IF(H179="*","*",IF(_xlfn.XLOOKUP(H179,'TRA TECH'!J:J,'TRA TECH'!O:O)="","",_xlfn.XLOOKUP(H179,'TRA TECH'!J:J,'TRA TECH'!O:O)))</f>
        <v>8.7089799004097141</v>
      </c>
      <c r="L179">
        <f t="shared" si="11"/>
        <v>1</v>
      </c>
      <c r="M179">
        <f>IF(H179="*","*",IF(_xlfn.XLOOKUP($H179,'TRA TECH'!$J:$J,'TRA TECH'!Q:Q)="","",_xlfn.XLOOKUP($H179,'TRA TECH'!$J:$J,'TRA TECH'!Q:Q)))</f>
        <v>0.22352</v>
      </c>
      <c r="N179">
        <f>IF(H179="*","*",IF(_xlfn.XLOOKUP($H179,'TRA TECH'!$J:$J,'TRA TECH'!R:R)="","",_xlfn.XLOOKUP($H179,'TRA TECH'!$J:$J,'TRA TECH'!R:R)))</f>
        <v>0.22352</v>
      </c>
      <c r="O179">
        <f>IF(H179="*","*",IF(_xlfn.XLOOKUP($H179,'TRA TECH'!$J:$J,'TRA TECH'!S:S)="","",_xlfn.XLOOKUP($H179,'TRA TECH'!$J:$J,'TRA TECH'!S:S)))</f>
        <v>0.24739750741839769</v>
      </c>
      <c r="P179">
        <f>IF(H179="*","*",IF(_xlfn.XLOOKUP($H179,'TRA TECH'!$J:$J,'TRA TECH'!T:T)="","",_xlfn.XLOOKUP($H179,'TRA TECH'!$J:$J,'TRA TECH'!T:T)))</f>
        <v>0.26795869436201769</v>
      </c>
      <c r="Q179">
        <f>IF(H179="*","*",IF(_xlfn.XLOOKUP($H179,'TRA TECH'!$J:$J,'TRA TECH'!U:U)="","",_xlfn.XLOOKUP($H179,'TRA TECH'!$J:$J,'TRA TECH'!U:U)))</f>
        <v>0.27658112759643932</v>
      </c>
      <c r="R179">
        <f>IF(H179="*","*",IF(_xlfn.XLOOKUP($H179,'TRA TECH'!$J:$J,'TRA TECH'!V:V)="","",_xlfn.XLOOKUP($H179,'TRA TECH'!$J:$J,'TRA TECH'!V:V)))</f>
        <v>0.28653008902077137</v>
      </c>
      <c r="S179">
        <f>IF(H179="*","*",IF(_xlfn.XLOOKUP($H179,'TRA TECH'!$J:$J,'TRA TECH'!W:W)="","",_xlfn.XLOOKUP($H179,'TRA TECH'!$J:$J,'TRA TECH'!W:W)))</f>
        <v>0.29581578635014832</v>
      </c>
      <c r="T179">
        <f t="shared" si="12"/>
        <v>0.29581578635014832</v>
      </c>
      <c r="U179">
        <f>IF(H179="*","*",IF(_xlfn.XLOOKUP($H179,'TRA TECH'!$J:$J,'TRA TECH'!X:X)="","",_xlfn.XLOOKUP($H179,'TRA TECH'!$J:$J,'TRA TECH'!X:X)))</f>
        <v>386.58775317489648</v>
      </c>
      <c r="V179">
        <f>IF(H179="*","*",IF(_xlfn.XLOOKUP($H179,'TRA TECH'!$J:$J,'TRA TECH'!Y:Y)="","",_xlfn.XLOOKUP($H179,'TRA TECH'!$J:$J,'TRA TECH'!Y:Y)))</f>
        <v>386.58775317489648</v>
      </c>
      <c r="W179">
        <f>IF(H179="*","*",IF(_xlfn.XLOOKUP($H179,'TRA TECH'!$J:$J,'TRA TECH'!Z:Z)="","",_xlfn.XLOOKUP($H179,'TRA TECH'!$J:$J,'TRA TECH'!Z:Z)))</f>
        <v>358.84732562416781</v>
      </c>
      <c r="X179">
        <f>IF(H179="*","*",IF(_xlfn.XLOOKUP($H179,'TRA TECH'!$J:$J,'TRA TECH'!AA:AA)="","",_xlfn.XLOOKUP($H179,'TRA TECH'!$J:$J,'TRA TECH'!AA:AA)))</f>
        <v>340.70935376407652</v>
      </c>
      <c r="Y179">
        <f>IF(H179="*","*",IF(_xlfn.XLOOKUP($H179,'TRA TECH'!$J:$J,'TRA TECH'!AB:AB)="","",_xlfn.XLOOKUP($H179,'TRA TECH'!$J:$J,'TRA TECH'!AB:AB)))</f>
        <v>333.59642362286371</v>
      </c>
      <c r="Z179">
        <f>IF(H179="*","*",IF(_xlfn.XLOOKUP($H179,'TRA TECH'!$J:$J,'TRA TECH'!AC:AC)="","",_xlfn.XLOOKUP($H179,'TRA TECH'!$J:$J,'TRA TECH'!AC:AC)))</f>
        <v>326.12784697459062</v>
      </c>
      <c r="AA179">
        <f>IF(H179="*","*",IF(_xlfn.XLOOKUP($H179,'TRA TECH'!$J:$J,'TRA TECH'!AD:AD)="","",_xlfn.XLOOKUP($H179,'TRA TECH'!$J:$J,'TRA TECH'!AD:AD)))</f>
        <v>318.6592703263176</v>
      </c>
      <c r="AB179">
        <f t="shared" si="13"/>
        <v>318.6592703263176</v>
      </c>
      <c r="AC179" s="15">
        <f>IF(H179="*","*",IF(_xlfn.XLOOKUP($H179,'TRA TECH'!$J:$J,'TRA TECH'!AE:AE)="","",_xlfn.XLOOKUP($H179,'TRA TECH'!$J:$J,'TRA TECH'!AE:AE)))</f>
        <v>9.6374749541399449</v>
      </c>
      <c r="AD179" s="15">
        <f>IF(H179="*","*",IF(_xlfn.XLOOKUP($H179,'TRA TECH'!$J:$J,'TRA TECH'!AF:AF)="","",_xlfn.XLOOKUP($H179,'TRA TECH'!$J:$J,'TRA TECH'!AF:AF)))</f>
        <v>9.6374749541399449</v>
      </c>
      <c r="AE179" s="15">
        <f>IF(H179="*","*",IF(_xlfn.XLOOKUP($H179,'TRA TECH'!$J:$J,'TRA TECH'!AG:AG)="","",_xlfn.XLOOKUP($H179,'TRA TECH'!$J:$J,'TRA TECH'!AG:AG)))</f>
        <v>9.6374749541399449</v>
      </c>
      <c r="AF179" s="15">
        <f>IF(H179="*","*",IF(_xlfn.XLOOKUP($H179,'TRA TECH'!$J:$J,'TRA TECH'!AH:AH)="","",_xlfn.XLOOKUP($H179,'TRA TECH'!$J:$J,'TRA TECH'!AH:AH)))</f>
        <v>9.6374749541399449</v>
      </c>
      <c r="AG179" s="15">
        <f>IF(H179="*","*",IF(_xlfn.XLOOKUP($H179,'TRA TECH'!$J:$J,'TRA TECH'!AI:AI)="","",_xlfn.XLOOKUP($H179,'TRA TECH'!$J:$J,'TRA TECH'!AI:AI)))</f>
        <v>9.6374749541399449</v>
      </c>
      <c r="AH179" s="15">
        <f>IF(H179="*","*",IF(_xlfn.XLOOKUP($H179,'TRA TECH'!$J:$J,'TRA TECH'!AJ:AJ)="","",_xlfn.XLOOKUP($H179,'TRA TECH'!$J:$J,'TRA TECH'!AJ:AJ)))</f>
        <v>9.6374749541399449</v>
      </c>
      <c r="AI179" s="15">
        <f>IF(H179="*","*",IF(_xlfn.XLOOKUP($H179,'TRA TECH'!$J:$J,'TRA TECH'!AK:AK)="","",_xlfn.XLOOKUP($H179,'TRA TECH'!$J:$J,'TRA TECH'!AK:AK)))</f>
        <v>9.6374749541399449</v>
      </c>
      <c r="AJ179" s="15">
        <f t="shared" si="14"/>
        <v>9.6374749541399449</v>
      </c>
      <c r="AK179" s="16">
        <f t="shared" si="15"/>
        <v>0.25</v>
      </c>
    </row>
    <row r="180" spans="2:37" x14ac:dyDescent="0.25">
      <c r="B180" t="str">
        <f>IF('TRA TECH'!M176=0,"*",IF('TRA TECH'!H176="","*",'TRA TECH'!J176))</f>
        <v>TRAFRESSHFCHEV20</v>
      </c>
      <c r="C180" t="str">
        <f>IF('TRA TECH'!M176=0,"*",'TRA TECH'!H176)</f>
        <v>TRABAF</v>
      </c>
      <c r="D180" t="s">
        <v>424</v>
      </c>
      <c r="E180" s="9">
        <f>'TRA TECH'!P176</f>
        <v>0.1102661596958173</v>
      </c>
      <c r="H180" t="str">
        <f>IF('TRA TECH'!M176=1,IF('TRA TECH'!L176=1,'TRA TECH'!J176,"*"),"*")</f>
        <v>*</v>
      </c>
      <c r="I180" t="str">
        <f>IF(H180="*","*",_xlfn.XLOOKUP(H180,'TRA TECH'!J:J,'TRA TECH'!I:I))</f>
        <v>*</v>
      </c>
      <c r="J180" t="str">
        <f>IF(H180="*","*",_xlfn.XLOOKUP(H180,'TRA TECH'!J:J,'TRA TECH'!N:N))</f>
        <v>*</v>
      </c>
      <c r="K180" s="15" t="str">
        <f>IF(H180="*","*",IF(_xlfn.XLOOKUP(H180,'TRA TECH'!J:J,'TRA TECH'!O:O)="","",_xlfn.XLOOKUP(H180,'TRA TECH'!J:J,'TRA TECH'!O:O)))</f>
        <v>*</v>
      </c>
      <c r="L180" t="str">
        <f t="shared" si="11"/>
        <v>*</v>
      </c>
      <c r="M180" t="str">
        <f>IF(H180="*","*",IF(_xlfn.XLOOKUP($H180,'TRA TECH'!$J:$J,'TRA TECH'!Q:Q)="","",_xlfn.XLOOKUP($H180,'TRA TECH'!$J:$J,'TRA TECH'!Q:Q)))</f>
        <v>*</v>
      </c>
      <c r="N180" t="str">
        <f>IF(H180="*","*",IF(_xlfn.XLOOKUP($H180,'TRA TECH'!$J:$J,'TRA TECH'!R:R)="","",_xlfn.XLOOKUP($H180,'TRA TECH'!$J:$J,'TRA TECH'!R:R)))</f>
        <v>*</v>
      </c>
      <c r="O180" t="str">
        <f>IF(H180="*","*",IF(_xlfn.XLOOKUP($H180,'TRA TECH'!$J:$J,'TRA TECH'!S:S)="","",_xlfn.XLOOKUP($H180,'TRA TECH'!$J:$J,'TRA TECH'!S:S)))</f>
        <v>*</v>
      </c>
      <c r="P180" t="str">
        <f>IF(H180="*","*",IF(_xlfn.XLOOKUP($H180,'TRA TECH'!$J:$J,'TRA TECH'!T:T)="","",_xlfn.XLOOKUP($H180,'TRA TECH'!$J:$J,'TRA TECH'!T:T)))</f>
        <v>*</v>
      </c>
      <c r="Q180" t="str">
        <f>IF(H180="*","*",IF(_xlfn.XLOOKUP($H180,'TRA TECH'!$J:$J,'TRA TECH'!U:U)="","",_xlfn.XLOOKUP($H180,'TRA TECH'!$J:$J,'TRA TECH'!U:U)))</f>
        <v>*</v>
      </c>
      <c r="R180" t="str">
        <f>IF(H180="*","*",IF(_xlfn.XLOOKUP($H180,'TRA TECH'!$J:$J,'TRA TECH'!V:V)="","",_xlfn.XLOOKUP($H180,'TRA TECH'!$J:$J,'TRA TECH'!V:V)))</f>
        <v>*</v>
      </c>
      <c r="S180" t="str">
        <f>IF(H180="*","*",IF(_xlfn.XLOOKUP($H180,'TRA TECH'!$J:$J,'TRA TECH'!W:W)="","",_xlfn.XLOOKUP($H180,'TRA TECH'!$J:$J,'TRA TECH'!W:W)))</f>
        <v>*</v>
      </c>
      <c r="T180" t="str">
        <f t="shared" si="12"/>
        <v>*</v>
      </c>
      <c r="U180" t="str">
        <f>IF(H180="*","*",IF(_xlfn.XLOOKUP($H180,'TRA TECH'!$J:$J,'TRA TECH'!X:X)="","",_xlfn.XLOOKUP($H180,'TRA TECH'!$J:$J,'TRA TECH'!X:X)))</f>
        <v>*</v>
      </c>
      <c r="V180" t="str">
        <f>IF(H180="*","*",IF(_xlfn.XLOOKUP($H180,'TRA TECH'!$J:$J,'TRA TECH'!Y:Y)="","",_xlfn.XLOOKUP($H180,'TRA TECH'!$J:$J,'TRA TECH'!Y:Y)))</f>
        <v>*</v>
      </c>
      <c r="W180" t="str">
        <f>IF(H180="*","*",IF(_xlfn.XLOOKUP($H180,'TRA TECH'!$J:$J,'TRA TECH'!Z:Z)="","",_xlfn.XLOOKUP($H180,'TRA TECH'!$J:$J,'TRA TECH'!Z:Z)))</f>
        <v>*</v>
      </c>
      <c r="X180" t="str">
        <f>IF(H180="*","*",IF(_xlfn.XLOOKUP($H180,'TRA TECH'!$J:$J,'TRA TECH'!AA:AA)="","",_xlfn.XLOOKUP($H180,'TRA TECH'!$J:$J,'TRA TECH'!AA:AA)))</f>
        <v>*</v>
      </c>
      <c r="Y180" t="str">
        <f>IF(H180="*","*",IF(_xlfn.XLOOKUP($H180,'TRA TECH'!$J:$J,'TRA TECH'!AB:AB)="","",_xlfn.XLOOKUP($H180,'TRA TECH'!$J:$J,'TRA TECH'!AB:AB)))</f>
        <v>*</v>
      </c>
      <c r="Z180" t="str">
        <f>IF(H180="*","*",IF(_xlfn.XLOOKUP($H180,'TRA TECH'!$J:$J,'TRA TECH'!AC:AC)="","",_xlfn.XLOOKUP($H180,'TRA TECH'!$J:$J,'TRA TECH'!AC:AC)))</f>
        <v>*</v>
      </c>
      <c r="AA180" t="str">
        <f>IF(H180="*","*",IF(_xlfn.XLOOKUP($H180,'TRA TECH'!$J:$J,'TRA TECH'!AD:AD)="","",_xlfn.XLOOKUP($H180,'TRA TECH'!$J:$J,'TRA TECH'!AD:AD)))</f>
        <v>*</v>
      </c>
      <c r="AB180" t="str">
        <f t="shared" si="13"/>
        <v>*</v>
      </c>
      <c r="AC180" s="15" t="str">
        <f>IF(H180="*","*",IF(_xlfn.XLOOKUP($H180,'TRA TECH'!$J:$J,'TRA TECH'!AE:AE)="","",_xlfn.XLOOKUP($H180,'TRA TECH'!$J:$J,'TRA TECH'!AE:AE)))</f>
        <v>*</v>
      </c>
      <c r="AD180" s="15" t="str">
        <f>IF(H180="*","*",IF(_xlfn.XLOOKUP($H180,'TRA TECH'!$J:$J,'TRA TECH'!AF:AF)="","",_xlfn.XLOOKUP($H180,'TRA TECH'!$J:$J,'TRA TECH'!AF:AF)))</f>
        <v>*</v>
      </c>
      <c r="AE180" s="15" t="str">
        <f>IF(H180="*","*",IF(_xlfn.XLOOKUP($H180,'TRA TECH'!$J:$J,'TRA TECH'!AG:AG)="","",_xlfn.XLOOKUP($H180,'TRA TECH'!$J:$J,'TRA TECH'!AG:AG)))</f>
        <v>*</v>
      </c>
      <c r="AF180" s="15" t="str">
        <f>IF(H180="*","*",IF(_xlfn.XLOOKUP($H180,'TRA TECH'!$J:$J,'TRA TECH'!AH:AH)="","",_xlfn.XLOOKUP($H180,'TRA TECH'!$J:$J,'TRA TECH'!AH:AH)))</f>
        <v>*</v>
      </c>
      <c r="AG180" s="15" t="str">
        <f>IF(H180="*","*",IF(_xlfn.XLOOKUP($H180,'TRA TECH'!$J:$J,'TRA TECH'!AI:AI)="","",_xlfn.XLOOKUP($H180,'TRA TECH'!$J:$J,'TRA TECH'!AI:AI)))</f>
        <v>*</v>
      </c>
      <c r="AH180" s="15" t="str">
        <f>IF(H180="*","*",IF(_xlfn.XLOOKUP($H180,'TRA TECH'!$J:$J,'TRA TECH'!AJ:AJ)="","",_xlfn.XLOOKUP($H180,'TRA TECH'!$J:$J,'TRA TECH'!AJ:AJ)))</f>
        <v>*</v>
      </c>
      <c r="AI180" s="15" t="str">
        <f>IF(H180="*","*",IF(_xlfn.XLOOKUP($H180,'TRA TECH'!$J:$J,'TRA TECH'!AK:AK)="","",_xlfn.XLOOKUP($H180,'TRA TECH'!$J:$J,'TRA TECH'!AK:AK)))</f>
        <v>*</v>
      </c>
      <c r="AJ180" s="15" t="str">
        <f t="shared" si="14"/>
        <v>*</v>
      </c>
      <c r="AK180" s="16" t="str">
        <f t="shared" si="15"/>
        <v>*</v>
      </c>
    </row>
    <row r="181" spans="2:37" x14ac:dyDescent="0.25">
      <c r="B181" t="str">
        <f>IF('TRA TECH'!M177=0,"*",IF('TRA TECH'!H177="","*",'TRA TECH'!J177))</f>
        <v>TRAFRESSHBEV20</v>
      </c>
      <c r="C181" t="str">
        <f>IF('TRA TECH'!M177=0,"*",'TRA TECH'!H177)</f>
        <v>TRABAF</v>
      </c>
      <c r="D181" t="s">
        <v>424</v>
      </c>
      <c r="E181" s="9">
        <f>'TRA TECH'!P177</f>
        <v>1</v>
      </c>
      <c r="H181" t="str">
        <f>IF('TRA TECH'!M177=1,IF('TRA TECH'!L177=1,'TRA TECH'!J177,"*"),"*")</f>
        <v>TRAFRESSHBEV20</v>
      </c>
      <c r="I181" t="str">
        <f>IF(H181="*","*",_xlfn.XLOOKUP(H181,'TRA TECH'!J:J,'TRA TECH'!I:I))</f>
        <v>TRAFRESSHDMD</v>
      </c>
      <c r="J181">
        <f>IF(H181="*","*",_xlfn.XLOOKUP(H181,'TRA TECH'!J:J,'TRA TECH'!N:N))</f>
        <v>2020</v>
      </c>
      <c r="K181" s="15">
        <f>IF(H181="*","*",IF(_xlfn.XLOOKUP(H181,'TRA TECH'!J:J,'TRA TECH'!O:O)="","",_xlfn.XLOOKUP(H181,'TRA TECH'!J:J,'TRA TECH'!O:O)))</f>
        <v>8.7089799004097141</v>
      </c>
      <c r="L181">
        <f t="shared" si="11"/>
        <v>1</v>
      </c>
      <c r="M181">
        <f>IF(H181="*","*",IF(_xlfn.XLOOKUP($H181,'TRA TECH'!$J:$J,'TRA TECH'!Q:Q)="","",_xlfn.XLOOKUP($H181,'TRA TECH'!$J:$J,'TRA TECH'!Q:Q)))</f>
        <v>0.37872379821958457</v>
      </c>
      <c r="N181">
        <f>IF(H181="*","*",IF(_xlfn.XLOOKUP($H181,'TRA TECH'!$J:$J,'TRA TECH'!R:R)="","",_xlfn.XLOOKUP($H181,'TRA TECH'!$J:$J,'TRA TECH'!R:R)))</f>
        <v>0.37872379821958457</v>
      </c>
      <c r="O181">
        <f>IF(H181="*","*",IF(_xlfn.XLOOKUP($H181,'TRA TECH'!$J:$J,'TRA TECH'!S:S)="","",_xlfn.XLOOKUP($H181,'TRA TECH'!$J:$J,'TRA TECH'!S:S)))</f>
        <v>0.41188700296735897</v>
      </c>
      <c r="P181">
        <f>IF(H181="*","*",IF(_xlfn.XLOOKUP($H181,'TRA TECH'!$J:$J,'TRA TECH'!T:T)="","",_xlfn.XLOOKUP($H181,'TRA TECH'!$J:$J,'TRA TECH'!T:T)))</f>
        <v>0.44902979228486628</v>
      </c>
      <c r="Q181">
        <f>IF(H181="*","*",IF(_xlfn.XLOOKUP($H181,'TRA TECH'!$J:$J,'TRA TECH'!U:U)="","",_xlfn.XLOOKUP($H181,'TRA TECH'!$J:$J,'TRA TECH'!U:U)))</f>
        <v>0.46428486646884271</v>
      </c>
      <c r="R181">
        <f>IF(H181="*","*",IF(_xlfn.XLOOKUP($H181,'TRA TECH'!$J:$J,'TRA TECH'!V:V)="","",_xlfn.XLOOKUP($H181,'TRA TECH'!$J:$J,'TRA TECH'!V:V)))</f>
        <v>0.47953994065281891</v>
      </c>
      <c r="S181">
        <f>IF(H181="*","*",IF(_xlfn.XLOOKUP($H181,'TRA TECH'!$J:$J,'TRA TECH'!W:W)="","",_xlfn.XLOOKUP($H181,'TRA TECH'!$J:$J,'TRA TECH'!W:W)))</f>
        <v>0.49612154302670608</v>
      </c>
      <c r="T181">
        <f t="shared" si="12"/>
        <v>0.49612154302670608</v>
      </c>
      <c r="U181">
        <f>IF(H181="*","*",IF(_xlfn.XLOOKUP($H181,'TRA TECH'!$J:$J,'TRA TECH'!X:X)="","",_xlfn.XLOOKUP($H181,'TRA TECH'!$J:$J,'TRA TECH'!X:X)))</f>
        <v>369.51672083598658</v>
      </c>
      <c r="V181">
        <f>IF(H181="*","*",IF(_xlfn.XLOOKUP($H181,'TRA TECH'!$J:$J,'TRA TECH'!Y:Y)="","",_xlfn.XLOOKUP($H181,'TRA TECH'!$J:$J,'TRA TECH'!Y:Y)))</f>
        <v>369.51672083598658</v>
      </c>
      <c r="W181">
        <f>IF(H181="*","*",IF(_xlfn.XLOOKUP($H181,'TRA TECH'!$J:$J,'TRA TECH'!Z:Z)="","",_xlfn.XLOOKUP($H181,'TRA TECH'!$J:$J,'TRA TECH'!Z:Z)))</f>
        <v>333.95207012992438</v>
      </c>
      <c r="X181">
        <f>IF(H181="*","*",IF(_xlfn.XLOOKUP($H181,'TRA TECH'!$J:$J,'TRA TECH'!AA:AA)="","",_xlfn.XLOOKUP($H181,'TRA TECH'!$J:$J,'TRA TECH'!AA:AA)))</f>
        <v>315.10280525571142</v>
      </c>
      <c r="Y181">
        <f>IF(H181="*","*",IF(_xlfn.XLOOKUP($H181,'TRA TECH'!$J:$J,'TRA TECH'!AB:AB)="","",_xlfn.XLOOKUP($H181,'TRA TECH'!$J:$J,'TRA TECH'!AB:AB)))</f>
        <v>306.21164257919588</v>
      </c>
      <c r="Z181">
        <f>IF(H181="*","*",IF(_xlfn.XLOOKUP($H181,'TRA TECH'!$J:$J,'TRA TECH'!AC:AC)="","",_xlfn.XLOOKUP($H181,'TRA TECH'!$J:$J,'TRA TECH'!AC:AC)))</f>
        <v>297.32047990268029</v>
      </c>
      <c r="AA181">
        <f>IF(H181="*","*",IF(_xlfn.XLOOKUP($H181,'TRA TECH'!$J:$J,'TRA TECH'!AD:AD)="","",_xlfn.XLOOKUP($H181,'TRA TECH'!$J:$J,'TRA TECH'!AD:AD)))</f>
        <v>288.78496373322542</v>
      </c>
      <c r="AB181">
        <f t="shared" si="13"/>
        <v>288.78496373322542</v>
      </c>
      <c r="AC181" s="15">
        <f>IF(H181="*","*",IF(_xlfn.XLOOKUP($H181,'TRA TECH'!$J:$J,'TRA TECH'!AE:AE)="","",_xlfn.XLOOKUP($H181,'TRA TECH'!$J:$J,'TRA TECH'!AE:AE)))</f>
        <v>6.2071872585986148</v>
      </c>
      <c r="AD181" s="15">
        <f>IF(H181="*","*",IF(_xlfn.XLOOKUP($H181,'TRA TECH'!$J:$J,'TRA TECH'!AF:AF)="","",_xlfn.XLOOKUP($H181,'TRA TECH'!$J:$J,'TRA TECH'!AF:AF)))</f>
        <v>6.2071872585986148</v>
      </c>
      <c r="AE181" s="15">
        <f>IF(H181="*","*",IF(_xlfn.XLOOKUP($H181,'TRA TECH'!$J:$J,'TRA TECH'!AG:AG)="","",_xlfn.XLOOKUP($H181,'TRA TECH'!$J:$J,'TRA TECH'!AG:AG)))</f>
        <v>6.2071872585986148</v>
      </c>
      <c r="AF181" s="15">
        <f>IF(H181="*","*",IF(_xlfn.XLOOKUP($H181,'TRA TECH'!$J:$J,'TRA TECH'!AH:AH)="","",_xlfn.XLOOKUP($H181,'TRA TECH'!$J:$J,'TRA TECH'!AH:AH)))</f>
        <v>6.2071872585986148</v>
      </c>
      <c r="AG181" s="15">
        <f>IF(H181="*","*",IF(_xlfn.XLOOKUP($H181,'TRA TECH'!$J:$J,'TRA TECH'!AI:AI)="","",_xlfn.XLOOKUP($H181,'TRA TECH'!$J:$J,'TRA TECH'!AI:AI)))</f>
        <v>6.2071872585986148</v>
      </c>
      <c r="AH181" s="15">
        <f>IF(H181="*","*",IF(_xlfn.XLOOKUP($H181,'TRA TECH'!$J:$J,'TRA TECH'!AJ:AJ)="","",_xlfn.XLOOKUP($H181,'TRA TECH'!$J:$J,'TRA TECH'!AJ:AJ)))</f>
        <v>6.2071872585986148</v>
      </c>
      <c r="AI181" s="15">
        <f>IF(H181="*","*",IF(_xlfn.XLOOKUP($H181,'TRA TECH'!$J:$J,'TRA TECH'!AK:AK)="","",_xlfn.XLOOKUP($H181,'TRA TECH'!$J:$J,'TRA TECH'!AK:AK)))</f>
        <v>6.2071872585986148</v>
      </c>
      <c r="AJ181" s="15">
        <f t="shared" si="14"/>
        <v>6.2071872585986148</v>
      </c>
      <c r="AK181" s="16">
        <f t="shared" si="15"/>
        <v>0.4</v>
      </c>
    </row>
    <row r="182" spans="2:37" x14ac:dyDescent="0.25">
      <c r="B182" t="str">
        <f>IF('TRA TECH'!M178=0,"*",IF('TRA TECH'!H178="","*",'TRA TECH'!J178))</f>
        <v>TRAFRECLHICEVDSL20</v>
      </c>
      <c r="C182" t="str">
        <f>IF('TRA TECH'!M178=0,"*",'TRA TECH'!H178)</f>
        <v>TRADSL</v>
      </c>
      <c r="D182" t="s">
        <v>424</v>
      </c>
      <c r="E182" s="9">
        <f>'TRA TECH'!P178</f>
        <v>1</v>
      </c>
      <c r="H182" t="str">
        <f>IF('TRA TECH'!M178=1,IF('TRA TECH'!L178=1,'TRA TECH'!J178,"*"),"*")</f>
        <v>TRAFRECLHICEVDSL20</v>
      </c>
      <c r="I182" t="str">
        <f>IF(H182="*","*",_xlfn.XLOOKUP(H182,'TRA TECH'!J:J,'TRA TECH'!I:I))</f>
        <v>TRAFRECLHDMD</v>
      </c>
      <c r="J182">
        <f>IF(H182="*","*",_xlfn.XLOOKUP(H182,'TRA TECH'!J:J,'TRA TECH'!N:N))</f>
        <v>2020</v>
      </c>
      <c r="K182" s="15">
        <f>IF(H182="*","*",IF(_xlfn.XLOOKUP(H182,'TRA TECH'!J:J,'TRA TECH'!O:O)="","",_xlfn.XLOOKUP(H182,'TRA TECH'!J:J,'TRA TECH'!O:O)))</f>
        <v>10.89196958520898</v>
      </c>
      <c r="L182">
        <f t="shared" si="11"/>
        <v>1</v>
      </c>
      <c r="M182">
        <f>IF(H182="*","*",IF(_xlfn.XLOOKUP($H182,'TRA TECH'!$J:$J,'TRA TECH'!Q:Q)="","",_xlfn.XLOOKUP($H182,'TRA TECH'!$J:$J,'TRA TECH'!Q:Q)))</f>
        <v>0.1014794065281899</v>
      </c>
      <c r="N182">
        <f>IF(H182="*","*",IF(_xlfn.XLOOKUP($H182,'TRA TECH'!$J:$J,'TRA TECH'!R:R)="","",_xlfn.XLOOKUP($H182,'TRA TECH'!$J:$J,'TRA TECH'!R:R)))</f>
        <v>0.1014794065281899</v>
      </c>
      <c r="O182">
        <f>IF(H182="*","*",IF(_xlfn.XLOOKUP($H182,'TRA TECH'!$J:$J,'TRA TECH'!S:S)="","",_xlfn.XLOOKUP($H182,'TRA TECH'!$J:$J,'TRA TECH'!S:S)))</f>
        <v>0.1114283679525223</v>
      </c>
      <c r="P182">
        <f>IF(H182="*","*",IF(_xlfn.XLOOKUP($H182,'TRA TECH'!$J:$J,'TRA TECH'!T:T)="","",_xlfn.XLOOKUP($H182,'TRA TECH'!$J:$J,'TRA TECH'!T:T)))</f>
        <v>0.120581412462908</v>
      </c>
      <c r="Q182">
        <f>IF(H182="*","*",IF(_xlfn.XLOOKUP($H182,'TRA TECH'!$J:$J,'TRA TECH'!U:U)="","",_xlfn.XLOOKUP($H182,'TRA TECH'!$J:$J,'TRA TECH'!U:U)))</f>
        <v>0.12548956676557871</v>
      </c>
      <c r="R182">
        <f>IF(H182="*","*",IF(_xlfn.XLOOKUP($H182,'TRA TECH'!$J:$J,'TRA TECH'!V:V)="","",_xlfn.XLOOKUP($H182,'TRA TECH'!$J:$J,'TRA TECH'!V:V)))</f>
        <v>0.13039772106824929</v>
      </c>
      <c r="S182">
        <f>IF(H182="*","*",IF(_xlfn.XLOOKUP($H182,'TRA TECH'!$J:$J,'TRA TECH'!W:W)="","",_xlfn.XLOOKUP($H182,'TRA TECH'!$J:$J,'TRA TECH'!W:W)))</f>
        <v>0.1353058753709199</v>
      </c>
      <c r="T182">
        <f t="shared" si="12"/>
        <v>0.1353058753709199</v>
      </c>
      <c r="U182">
        <f>IF(H182="*","*",IF(_xlfn.XLOOKUP($H182,'TRA TECH'!$J:$J,'TRA TECH'!X:X)="","",_xlfn.XLOOKUP($H182,'TRA TECH'!$J:$J,'TRA TECH'!X:X)))</f>
        <v>241.12833178710201</v>
      </c>
      <c r="V182">
        <f>IF(H182="*","*",IF(_xlfn.XLOOKUP($H182,'TRA TECH'!$J:$J,'TRA TECH'!Y:Y)="","",_xlfn.XLOOKUP($H182,'TRA TECH'!$J:$J,'TRA TECH'!Y:Y)))</f>
        <v>241.12833178710201</v>
      </c>
      <c r="W182">
        <f>IF(H182="*","*",IF(_xlfn.XLOOKUP($H182,'TRA TECH'!$J:$J,'TRA TECH'!Z:Z)="","",_xlfn.XLOOKUP($H182,'TRA TECH'!$J:$J,'TRA TECH'!Z:Z)))</f>
        <v>243.26221082946569</v>
      </c>
      <c r="X182">
        <f>IF(H182="*","*",IF(_xlfn.XLOOKUP($H182,'TRA TECH'!$J:$J,'TRA TECH'!AA:AA)="","",_xlfn.XLOOKUP($H182,'TRA TECH'!$J:$J,'TRA TECH'!AA:AA)))</f>
        <v>243.97350384358691</v>
      </c>
      <c r="Y182">
        <f>IF(H182="*","*",IF(_xlfn.XLOOKUP($H182,'TRA TECH'!$J:$J,'TRA TECH'!AB:AB)="","",_xlfn.XLOOKUP($H182,'TRA TECH'!$J:$J,'TRA TECH'!AB:AB)))</f>
        <v>246.1073828859507</v>
      </c>
      <c r="Z182">
        <f>IF(H182="*","*",IF(_xlfn.XLOOKUP($H182,'TRA TECH'!$J:$J,'TRA TECH'!AC:AC)="","",_xlfn.XLOOKUP($H182,'TRA TECH'!$J:$J,'TRA TECH'!AC:AC)))</f>
        <v>247.52996891419309</v>
      </c>
      <c r="AA182">
        <f>IF(H182="*","*",IF(_xlfn.XLOOKUP($H182,'TRA TECH'!$J:$J,'TRA TECH'!AD:AD)="","",_xlfn.XLOOKUP($H182,'TRA TECH'!$J:$J,'TRA TECH'!AD:AD)))</f>
        <v>249.66384795655691</v>
      </c>
      <c r="AB182">
        <f t="shared" si="13"/>
        <v>249.66384795655691</v>
      </c>
      <c r="AC182" s="15">
        <f>IF(H182="*","*",IF(_xlfn.XLOOKUP($H182,'TRA TECH'!$J:$J,'TRA TECH'!AE:AE)="","",_xlfn.XLOOKUP($H182,'TRA TECH'!$J:$J,'TRA TECH'!AE:AE)))</f>
        <v>9.9262614810501049</v>
      </c>
      <c r="AD182" s="15">
        <f>IF(H182="*","*",IF(_xlfn.XLOOKUP($H182,'TRA TECH'!$J:$J,'TRA TECH'!AF:AF)="","",_xlfn.XLOOKUP($H182,'TRA TECH'!$J:$J,'TRA TECH'!AF:AF)))</f>
        <v>9.9262614810501049</v>
      </c>
      <c r="AE182" s="15">
        <f>IF(H182="*","*",IF(_xlfn.XLOOKUP($H182,'TRA TECH'!$J:$J,'TRA TECH'!AG:AG)="","",_xlfn.XLOOKUP($H182,'TRA TECH'!$J:$J,'TRA TECH'!AG:AG)))</f>
        <v>9.9262614810501049</v>
      </c>
      <c r="AF182" s="15">
        <f>IF(H182="*","*",IF(_xlfn.XLOOKUP($H182,'TRA TECH'!$J:$J,'TRA TECH'!AH:AH)="","",_xlfn.XLOOKUP($H182,'TRA TECH'!$J:$J,'TRA TECH'!AH:AH)))</f>
        <v>9.9262614810501049</v>
      </c>
      <c r="AG182" s="15">
        <f>IF(H182="*","*",IF(_xlfn.XLOOKUP($H182,'TRA TECH'!$J:$J,'TRA TECH'!AI:AI)="","",_xlfn.XLOOKUP($H182,'TRA TECH'!$J:$J,'TRA TECH'!AI:AI)))</f>
        <v>9.9262614810501049</v>
      </c>
      <c r="AH182" s="15">
        <f>IF(H182="*","*",IF(_xlfn.XLOOKUP($H182,'TRA TECH'!$J:$J,'TRA TECH'!AJ:AJ)="","",_xlfn.XLOOKUP($H182,'TRA TECH'!$J:$J,'TRA TECH'!AJ:AJ)))</f>
        <v>9.9262614810501049</v>
      </c>
      <c r="AI182" s="15">
        <f>IF(H182="*","*",IF(_xlfn.XLOOKUP($H182,'TRA TECH'!$J:$J,'TRA TECH'!AK:AK)="","",_xlfn.XLOOKUP($H182,'TRA TECH'!$J:$J,'TRA TECH'!AK:AK)))</f>
        <v>9.9262614810501049</v>
      </c>
      <c r="AJ182" s="15">
        <f t="shared" si="14"/>
        <v>9.9262614810501049</v>
      </c>
      <c r="AK182" s="16">
        <f t="shared" si="15"/>
        <v>0.1</v>
      </c>
    </row>
    <row r="183" spans="2:37" x14ac:dyDescent="0.25">
      <c r="B183" t="str">
        <f>IF('TRA TECH'!M179=0,"*",IF('TRA TECH'!H179="","*",'TRA TECH'!J179))</f>
        <v>TRAFRECLHICEVDSL20</v>
      </c>
      <c r="C183" t="str">
        <f>IF('TRA TECH'!M179=0,"*",'TRA TECH'!H179)</f>
        <v>TRARDS</v>
      </c>
      <c r="D183" t="s">
        <v>424</v>
      </c>
      <c r="E183" s="9">
        <f>'TRA TECH'!P179</f>
        <v>1</v>
      </c>
      <c r="H183" t="str">
        <f>IF('TRA TECH'!M179=1,IF('TRA TECH'!L179=1,'TRA TECH'!J179,"*"),"*")</f>
        <v>*</v>
      </c>
      <c r="I183" t="str">
        <f>IF(H183="*","*",_xlfn.XLOOKUP(H183,'TRA TECH'!J:J,'TRA TECH'!I:I))</f>
        <v>*</v>
      </c>
      <c r="J183" t="str">
        <f>IF(H183="*","*",_xlfn.XLOOKUP(H183,'TRA TECH'!J:J,'TRA TECH'!N:N))</f>
        <v>*</v>
      </c>
      <c r="K183" s="15" t="str">
        <f>IF(H183="*","*",IF(_xlfn.XLOOKUP(H183,'TRA TECH'!J:J,'TRA TECH'!O:O)="","",_xlfn.XLOOKUP(H183,'TRA TECH'!J:J,'TRA TECH'!O:O)))</f>
        <v>*</v>
      </c>
      <c r="L183" t="str">
        <f t="shared" si="11"/>
        <v>*</v>
      </c>
      <c r="M183" t="str">
        <f>IF(H183="*","*",IF(_xlfn.XLOOKUP($H183,'TRA TECH'!$J:$J,'TRA TECH'!Q:Q)="","",_xlfn.XLOOKUP($H183,'TRA TECH'!$J:$J,'TRA TECH'!Q:Q)))</f>
        <v>*</v>
      </c>
      <c r="N183" t="str">
        <f>IF(H183="*","*",IF(_xlfn.XLOOKUP($H183,'TRA TECH'!$J:$J,'TRA TECH'!R:R)="","",_xlfn.XLOOKUP($H183,'TRA TECH'!$J:$J,'TRA TECH'!R:R)))</f>
        <v>*</v>
      </c>
      <c r="O183" t="str">
        <f>IF(H183="*","*",IF(_xlfn.XLOOKUP($H183,'TRA TECH'!$J:$J,'TRA TECH'!S:S)="","",_xlfn.XLOOKUP($H183,'TRA TECH'!$J:$J,'TRA TECH'!S:S)))</f>
        <v>*</v>
      </c>
      <c r="P183" t="str">
        <f>IF(H183="*","*",IF(_xlfn.XLOOKUP($H183,'TRA TECH'!$J:$J,'TRA TECH'!T:T)="","",_xlfn.XLOOKUP($H183,'TRA TECH'!$J:$J,'TRA TECH'!T:T)))</f>
        <v>*</v>
      </c>
      <c r="Q183" t="str">
        <f>IF(H183="*","*",IF(_xlfn.XLOOKUP($H183,'TRA TECH'!$J:$J,'TRA TECH'!U:U)="","",_xlfn.XLOOKUP($H183,'TRA TECH'!$J:$J,'TRA TECH'!U:U)))</f>
        <v>*</v>
      </c>
      <c r="R183" t="str">
        <f>IF(H183="*","*",IF(_xlfn.XLOOKUP($H183,'TRA TECH'!$J:$J,'TRA TECH'!V:V)="","",_xlfn.XLOOKUP($H183,'TRA TECH'!$J:$J,'TRA TECH'!V:V)))</f>
        <v>*</v>
      </c>
      <c r="S183" t="str">
        <f>IF(H183="*","*",IF(_xlfn.XLOOKUP($H183,'TRA TECH'!$J:$J,'TRA TECH'!W:W)="","",_xlfn.XLOOKUP($H183,'TRA TECH'!$J:$J,'TRA TECH'!W:W)))</f>
        <v>*</v>
      </c>
      <c r="T183" t="str">
        <f t="shared" si="12"/>
        <v>*</v>
      </c>
      <c r="U183" t="str">
        <f>IF(H183="*","*",IF(_xlfn.XLOOKUP($H183,'TRA TECH'!$J:$J,'TRA TECH'!X:X)="","",_xlfn.XLOOKUP($H183,'TRA TECH'!$J:$J,'TRA TECH'!X:X)))</f>
        <v>*</v>
      </c>
      <c r="V183" t="str">
        <f>IF(H183="*","*",IF(_xlfn.XLOOKUP($H183,'TRA TECH'!$J:$J,'TRA TECH'!Y:Y)="","",_xlfn.XLOOKUP($H183,'TRA TECH'!$J:$J,'TRA TECH'!Y:Y)))</f>
        <v>*</v>
      </c>
      <c r="W183" t="str">
        <f>IF(H183="*","*",IF(_xlfn.XLOOKUP($H183,'TRA TECH'!$J:$J,'TRA TECH'!Z:Z)="","",_xlfn.XLOOKUP($H183,'TRA TECH'!$J:$J,'TRA TECH'!Z:Z)))</f>
        <v>*</v>
      </c>
      <c r="X183" t="str">
        <f>IF(H183="*","*",IF(_xlfn.XLOOKUP($H183,'TRA TECH'!$J:$J,'TRA TECH'!AA:AA)="","",_xlfn.XLOOKUP($H183,'TRA TECH'!$J:$J,'TRA TECH'!AA:AA)))</f>
        <v>*</v>
      </c>
      <c r="Y183" t="str">
        <f>IF(H183="*","*",IF(_xlfn.XLOOKUP($H183,'TRA TECH'!$J:$J,'TRA TECH'!AB:AB)="","",_xlfn.XLOOKUP($H183,'TRA TECH'!$J:$J,'TRA TECH'!AB:AB)))</f>
        <v>*</v>
      </c>
      <c r="Z183" t="str">
        <f>IF(H183="*","*",IF(_xlfn.XLOOKUP($H183,'TRA TECH'!$J:$J,'TRA TECH'!AC:AC)="","",_xlfn.XLOOKUP($H183,'TRA TECH'!$J:$J,'TRA TECH'!AC:AC)))</f>
        <v>*</v>
      </c>
      <c r="AA183" t="str">
        <f>IF(H183="*","*",IF(_xlfn.XLOOKUP($H183,'TRA TECH'!$J:$J,'TRA TECH'!AD:AD)="","",_xlfn.XLOOKUP($H183,'TRA TECH'!$J:$J,'TRA TECH'!AD:AD)))</f>
        <v>*</v>
      </c>
      <c r="AB183" t="str">
        <f t="shared" si="13"/>
        <v>*</v>
      </c>
      <c r="AC183" s="15" t="str">
        <f>IF(H183="*","*",IF(_xlfn.XLOOKUP($H183,'TRA TECH'!$J:$J,'TRA TECH'!AE:AE)="","",_xlfn.XLOOKUP($H183,'TRA TECH'!$J:$J,'TRA TECH'!AE:AE)))</f>
        <v>*</v>
      </c>
      <c r="AD183" s="15" t="str">
        <f>IF(H183="*","*",IF(_xlfn.XLOOKUP($H183,'TRA TECH'!$J:$J,'TRA TECH'!AF:AF)="","",_xlfn.XLOOKUP($H183,'TRA TECH'!$J:$J,'TRA TECH'!AF:AF)))</f>
        <v>*</v>
      </c>
      <c r="AE183" s="15" t="str">
        <f>IF(H183="*","*",IF(_xlfn.XLOOKUP($H183,'TRA TECH'!$J:$J,'TRA TECH'!AG:AG)="","",_xlfn.XLOOKUP($H183,'TRA TECH'!$J:$J,'TRA TECH'!AG:AG)))</f>
        <v>*</v>
      </c>
      <c r="AF183" s="15" t="str">
        <f>IF(H183="*","*",IF(_xlfn.XLOOKUP($H183,'TRA TECH'!$J:$J,'TRA TECH'!AH:AH)="","",_xlfn.XLOOKUP($H183,'TRA TECH'!$J:$J,'TRA TECH'!AH:AH)))</f>
        <v>*</v>
      </c>
      <c r="AG183" s="15" t="str">
        <f>IF(H183="*","*",IF(_xlfn.XLOOKUP($H183,'TRA TECH'!$J:$J,'TRA TECH'!AI:AI)="","",_xlfn.XLOOKUP($H183,'TRA TECH'!$J:$J,'TRA TECH'!AI:AI)))</f>
        <v>*</v>
      </c>
      <c r="AH183" s="15" t="str">
        <f>IF(H183="*","*",IF(_xlfn.XLOOKUP($H183,'TRA TECH'!$J:$J,'TRA TECH'!AJ:AJ)="","",_xlfn.XLOOKUP($H183,'TRA TECH'!$J:$J,'TRA TECH'!AJ:AJ)))</f>
        <v>*</v>
      </c>
      <c r="AI183" s="15" t="str">
        <f>IF(H183="*","*",IF(_xlfn.XLOOKUP($H183,'TRA TECH'!$J:$J,'TRA TECH'!AK:AK)="","",_xlfn.XLOOKUP($H183,'TRA TECH'!$J:$J,'TRA TECH'!AK:AK)))</f>
        <v>*</v>
      </c>
      <c r="AJ183" s="15" t="str">
        <f t="shared" si="14"/>
        <v>*</v>
      </c>
      <c r="AK183" s="16" t="str">
        <f t="shared" si="15"/>
        <v>*</v>
      </c>
    </row>
    <row r="184" spans="2:37" x14ac:dyDescent="0.25">
      <c r="B184" t="str">
        <f>IF('TRA TECH'!M180=0,"*",IF('TRA TECH'!H180="","*",'TRA TECH'!J180))</f>
        <v>TRAFRECLHICEVDSL20</v>
      </c>
      <c r="C184" t="str">
        <f>IF('TRA TECH'!M180=0,"*",'TRA TECH'!H180)</f>
        <v>TRABDS</v>
      </c>
      <c r="D184" t="s">
        <v>424</v>
      </c>
      <c r="E184" s="9">
        <f>'TRA TECH'!P180</f>
        <v>0.1</v>
      </c>
      <c r="H184" t="str">
        <f>IF('TRA TECH'!M180=1,IF('TRA TECH'!L180=1,'TRA TECH'!J180,"*"),"*")</f>
        <v>*</v>
      </c>
      <c r="I184" t="str">
        <f>IF(H184="*","*",_xlfn.XLOOKUP(H184,'TRA TECH'!J:J,'TRA TECH'!I:I))</f>
        <v>*</v>
      </c>
      <c r="J184" t="str">
        <f>IF(H184="*","*",_xlfn.XLOOKUP(H184,'TRA TECH'!J:J,'TRA TECH'!N:N))</f>
        <v>*</v>
      </c>
      <c r="K184" s="15" t="str">
        <f>IF(H184="*","*",IF(_xlfn.XLOOKUP(H184,'TRA TECH'!J:J,'TRA TECH'!O:O)="","",_xlfn.XLOOKUP(H184,'TRA TECH'!J:J,'TRA TECH'!O:O)))</f>
        <v>*</v>
      </c>
      <c r="L184" t="str">
        <f t="shared" si="11"/>
        <v>*</v>
      </c>
      <c r="M184" t="str">
        <f>IF(H184="*","*",IF(_xlfn.XLOOKUP($H184,'TRA TECH'!$J:$J,'TRA TECH'!Q:Q)="","",_xlfn.XLOOKUP($H184,'TRA TECH'!$J:$J,'TRA TECH'!Q:Q)))</f>
        <v>*</v>
      </c>
      <c r="N184" t="str">
        <f>IF(H184="*","*",IF(_xlfn.XLOOKUP($H184,'TRA TECH'!$J:$J,'TRA TECH'!R:R)="","",_xlfn.XLOOKUP($H184,'TRA TECH'!$J:$J,'TRA TECH'!R:R)))</f>
        <v>*</v>
      </c>
      <c r="O184" t="str">
        <f>IF(H184="*","*",IF(_xlfn.XLOOKUP($H184,'TRA TECH'!$J:$J,'TRA TECH'!S:S)="","",_xlfn.XLOOKUP($H184,'TRA TECH'!$J:$J,'TRA TECH'!S:S)))</f>
        <v>*</v>
      </c>
      <c r="P184" t="str">
        <f>IF(H184="*","*",IF(_xlfn.XLOOKUP($H184,'TRA TECH'!$J:$J,'TRA TECH'!T:T)="","",_xlfn.XLOOKUP($H184,'TRA TECH'!$J:$J,'TRA TECH'!T:T)))</f>
        <v>*</v>
      </c>
      <c r="Q184" t="str">
        <f>IF(H184="*","*",IF(_xlfn.XLOOKUP($H184,'TRA TECH'!$J:$J,'TRA TECH'!U:U)="","",_xlfn.XLOOKUP($H184,'TRA TECH'!$J:$J,'TRA TECH'!U:U)))</f>
        <v>*</v>
      </c>
      <c r="R184" t="str">
        <f>IF(H184="*","*",IF(_xlfn.XLOOKUP($H184,'TRA TECH'!$J:$J,'TRA TECH'!V:V)="","",_xlfn.XLOOKUP($H184,'TRA TECH'!$J:$J,'TRA TECH'!V:V)))</f>
        <v>*</v>
      </c>
      <c r="S184" t="str">
        <f>IF(H184="*","*",IF(_xlfn.XLOOKUP($H184,'TRA TECH'!$J:$J,'TRA TECH'!W:W)="","",_xlfn.XLOOKUP($H184,'TRA TECH'!$J:$J,'TRA TECH'!W:W)))</f>
        <v>*</v>
      </c>
      <c r="T184" t="str">
        <f t="shared" si="12"/>
        <v>*</v>
      </c>
      <c r="U184" t="str">
        <f>IF(H184="*","*",IF(_xlfn.XLOOKUP($H184,'TRA TECH'!$J:$J,'TRA TECH'!X:X)="","",_xlfn.XLOOKUP($H184,'TRA TECH'!$J:$J,'TRA TECH'!X:X)))</f>
        <v>*</v>
      </c>
      <c r="V184" t="str">
        <f>IF(H184="*","*",IF(_xlfn.XLOOKUP($H184,'TRA TECH'!$J:$J,'TRA TECH'!Y:Y)="","",_xlfn.XLOOKUP($H184,'TRA TECH'!$J:$J,'TRA TECH'!Y:Y)))</f>
        <v>*</v>
      </c>
      <c r="W184" t="str">
        <f>IF(H184="*","*",IF(_xlfn.XLOOKUP($H184,'TRA TECH'!$J:$J,'TRA TECH'!Z:Z)="","",_xlfn.XLOOKUP($H184,'TRA TECH'!$J:$J,'TRA TECH'!Z:Z)))</f>
        <v>*</v>
      </c>
      <c r="X184" t="str">
        <f>IF(H184="*","*",IF(_xlfn.XLOOKUP($H184,'TRA TECH'!$J:$J,'TRA TECH'!AA:AA)="","",_xlfn.XLOOKUP($H184,'TRA TECH'!$J:$J,'TRA TECH'!AA:AA)))</f>
        <v>*</v>
      </c>
      <c r="Y184" t="str">
        <f>IF(H184="*","*",IF(_xlfn.XLOOKUP($H184,'TRA TECH'!$J:$J,'TRA TECH'!AB:AB)="","",_xlfn.XLOOKUP($H184,'TRA TECH'!$J:$J,'TRA TECH'!AB:AB)))</f>
        <v>*</v>
      </c>
      <c r="Z184" t="str">
        <f>IF(H184="*","*",IF(_xlfn.XLOOKUP($H184,'TRA TECH'!$J:$J,'TRA TECH'!AC:AC)="","",_xlfn.XLOOKUP($H184,'TRA TECH'!$J:$J,'TRA TECH'!AC:AC)))</f>
        <v>*</v>
      </c>
      <c r="AA184" t="str">
        <f>IF(H184="*","*",IF(_xlfn.XLOOKUP($H184,'TRA TECH'!$J:$J,'TRA TECH'!AD:AD)="","",_xlfn.XLOOKUP($H184,'TRA TECH'!$J:$J,'TRA TECH'!AD:AD)))</f>
        <v>*</v>
      </c>
      <c r="AB184" t="str">
        <f t="shared" si="13"/>
        <v>*</v>
      </c>
      <c r="AC184" s="15" t="str">
        <f>IF(H184="*","*",IF(_xlfn.XLOOKUP($H184,'TRA TECH'!$J:$J,'TRA TECH'!AE:AE)="","",_xlfn.XLOOKUP($H184,'TRA TECH'!$J:$J,'TRA TECH'!AE:AE)))</f>
        <v>*</v>
      </c>
      <c r="AD184" s="15" t="str">
        <f>IF(H184="*","*",IF(_xlfn.XLOOKUP($H184,'TRA TECH'!$J:$J,'TRA TECH'!AF:AF)="","",_xlfn.XLOOKUP($H184,'TRA TECH'!$J:$J,'TRA TECH'!AF:AF)))</f>
        <v>*</v>
      </c>
      <c r="AE184" s="15" t="str">
        <f>IF(H184="*","*",IF(_xlfn.XLOOKUP($H184,'TRA TECH'!$J:$J,'TRA TECH'!AG:AG)="","",_xlfn.XLOOKUP($H184,'TRA TECH'!$J:$J,'TRA TECH'!AG:AG)))</f>
        <v>*</v>
      </c>
      <c r="AF184" s="15" t="str">
        <f>IF(H184="*","*",IF(_xlfn.XLOOKUP($H184,'TRA TECH'!$J:$J,'TRA TECH'!AH:AH)="","",_xlfn.XLOOKUP($H184,'TRA TECH'!$J:$J,'TRA TECH'!AH:AH)))</f>
        <v>*</v>
      </c>
      <c r="AG184" s="15" t="str">
        <f>IF(H184="*","*",IF(_xlfn.XLOOKUP($H184,'TRA TECH'!$J:$J,'TRA TECH'!AI:AI)="","",_xlfn.XLOOKUP($H184,'TRA TECH'!$J:$J,'TRA TECH'!AI:AI)))</f>
        <v>*</v>
      </c>
      <c r="AH184" s="15" t="str">
        <f>IF(H184="*","*",IF(_xlfn.XLOOKUP($H184,'TRA TECH'!$J:$J,'TRA TECH'!AJ:AJ)="","",_xlfn.XLOOKUP($H184,'TRA TECH'!$J:$J,'TRA TECH'!AJ:AJ)))</f>
        <v>*</v>
      </c>
      <c r="AI184" s="15" t="str">
        <f>IF(H184="*","*",IF(_xlfn.XLOOKUP($H184,'TRA TECH'!$J:$J,'TRA TECH'!AK:AK)="","",_xlfn.XLOOKUP($H184,'TRA TECH'!$J:$J,'TRA TECH'!AK:AK)))</f>
        <v>*</v>
      </c>
      <c r="AJ184" s="15" t="str">
        <f t="shared" si="14"/>
        <v>*</v>
      </c>
      <c r="AK184" s="16" t="str">
        <f t="shared" si="15"/>
        <v>*</v>
      </c>
    </row>
    <row r="185" spans="2:37" x14ac:dyDescent="0.25">
      <c r="B185" t="str">
        <f>IF('TRA TECH'!M181=0,"*",IF('TRA TECH'!H181="","*",'TRA TECH'!J181))</f>
        <v>TRAFRECLHICEIDSL20</v>
      </c>
      <c r="C185" t="str">
        <f>IF('TRA TECH'!M181=0,"*",'TRA TECH'!H181)</f>
        <v>TRADSL</v>
      </c>
      <c r="D185" t="s">
        <v>424</v>
      </c>
      <c r="E185" s="9">
        <f>'TRA TECH'!P181</f>
        <v>1</v>
      </c>
      <c r="H185" t="str">
        <f>IF('TRA TECH'!M181=1,IF('TRA TECH'!L181=1,'TRA TECH'!J181,"*"),"*")</f>
        <v>TRAFRECLHICEIDSL20</v>
      </c>
      <c r="I185" t="str">
        <f>IF(H185="*","*",_xlfn.XLOOKUP(H185,'TRA TECH'!J:J,'TRA TECH'!I:I))</f>
        <v>TRAFRECLHDMD</v>
      </c>
      <c r="J185">
        <f>IF(H185="*","*",_xlfn.XLOOKUP(H185,'TRA TECH'!J:J,'TRA TECH'!N:N))</f>
        <v>2020</v>
      </c>
      <c r="K185" s="15">
        <f>IF(H185="*","*",IF(_xlfn.XLOOKUP(H185,'TRA TECH'!J:J,'TRA TECH'!O:O)="","",_xlfn.XLOOKUP(H185,'TRA TECH'!J:J,'TRA TECH'!O:O)))</f>
        <v>10.89196958520898</v>
      </c>
      <c r="L185">
        <f t="shared" si="11"/>
        <v>1</v>
      </c>
      <c r="M185">
        <f>IF(H185="*","*",IF(_xlfn.XLOOKUP($H185,'TRA TECH'!$J:$J,'TRA TECH'!Q:Q)="","",_xlfn.XLOOKUP($H185,'TRA TECH'!$J:$J,'TRA TECH'!Q:Q)))</f>
        <v>0.1028059347181009</v>
      </c>
      <c r="N185">
        <f>IF(H185="*","*",IF(_xlfn.XLOOKUP($H185,'TRA TECH'!$J:$J,'TRA TECH'!R:R)="","",_xlfn.XLOOKUP($H185,'TRA TECH'!$J:$J,'TRA TECH'!R:R)))</f>
        <v>0.1028059347181009</v>
      </c>
      <c r="O185">
        <f>IF(H185="*","*",IF(_xlfn.XLOOKUP($H185,'TRA TECH'!$J:$J,'TRA TECH'!S:S)="","",_xlfn.XLOOKUP($H185,'TRA TECH'!$J:$J,'TRA TECH'!S:S)))</f>
        <v>0.1111630623145401</v>
      </c>
      <c r="P185">
        <f>IF(H185="*","*",IF(_xlfn.XLOOKUP($H185,'TRA TECH'!$J:$J,'TRA TECH'!T:T)="","",_xlfn.XLOOKUP($H185,'TRA TECH'!$J:$J,'TRA TECH'!T:T)))</f>
        <v>0.12177528783382791</v>
      </c>
      <c r="Q185">
        <f>IF(H185="*","*",IF(_xlfn.XLOOKUP($H185,'TRA TECH'!$J:$J,'TRA TECH'!U:U)="","",_xlfn.XLOOKUP($H185,'TRA TECH'!$J:$J,'TRA TECH'!U:U)))</f>
        <v>0.12668344213649849</v>
      </c>
      <c r="R185">
        <f>IF(H185="*","*",IF(_xlfn.XLOOKUP($H185,'TRA TECH'!$J:$J,'TRA TECH'!V:V)="","",_xlfn.XLOOKUP($H185,'TRA TECH'!$J:$J,'TRA TECH'!V:V)))</f>
        <v>0.1315915964391691</v>
      </c>
      <c r="S185">
        <f>IF(H185="*","*",IF(_xlfn.XLOOKUP($H185,'TRA TECH'!$J:$J,'TRA TECH'!W:W)="","",_xlfn.XLOOKUP($H185,'TRA TECH'!$J:$J,'TRA TECH'!W:W)))</f>
        <v>0.1366324035608309</v>
      </c>
      <c r="T185">
        <f t="shared" si="12"/>
        <v>0.1366324035608309</v>
      </c>
      <c r="U185">
        <f>IF(H185="*","*",IF(_xlfn.XLOOKUP($H185,'TRA TECH'!$J:$J,'TRA TECH'!X:X)="","",_xlfn.XLOOKUP($H185,'TRA TECH'!$J:$J,'TRA TECH'!X:X)))</f>
        <v>253.22031302716309</v>
      </c>
      <c r="V185">
        <f>IF(H185="*","*",IF(_xlfn.XLOOKUP($H185,'TRA TECH'!$J:$J,'TRA TECH'!Y:Y)="","",_xlfn.XLOOKUP($H185,'TRA TECH'!$J:$J,'TRA TECH'!Y:Y)))</f>
        <v>253.22031302716309</v>
      </c>
      <c r="W185">
        <f>IF(H185="*","*",IF(_xlfn.XLOOKUP($H185,'TRA TECH'!$J:$J,'TRA TECH'!Z:Z)="","",_xlfn.XLOOKUP($H185,'TRA TECH'!$J:$J,'TRA TECH'!Z:Z)))</f>
        <v>255.35419206952679</v>
      </c>
      <c r="X185">
        <f>IF(H185="*","*",IF(_xlfn.XLOOKUP($H185,'TRA TECH'!$J:$J,'TRA TECH'!AA:AA)="","",_xlfn.XLOOKUP($H185,'TRA TECH'!$J:$J,'TRA TECH'!AA:AA)))</f>
        <v>256.06548508364801</v>
      </c>
      <c r="Y185">
        <f>IF(H185="*","*",IF(_xlfn.XLOOKUP($H185,'TRA TECH'!$J:$J,'TRA TECH'!AB:AB)="","",_xlfn.XLOOKUP($H185,'TRA TECH'!$J:$J,'TRA TECH'!AB:AB)))</f>
        <v>257.48807111189058</v>
      </c>
      <c r="Z185">
        <f>IF(H185="*","*",IF(_xlfn.XLOOKUP($H185,'TRA TECH'!$J:$J,'TRA TECH'!AC:AC)="","",_xlfn.XLOOKUP($H185,'TRA TECH'!$J:$J,'TRA TECH'!AC:AC)))</f>
        <v>259.62195015425431</v>
      </c>
      <c r="AA185">
        <f>IF(H185="*","*",IF(_xlfn.XLOOKUP($H185,'TRA TECH'!$J:$J,'TRA TECH'!AD:AD)="","",_xlfn.XLOOKUP($H185,'TRA TECH'!$J:$J,'TRA TECH'!AD:AD)))</f>
        <v>261.75582919661798</v>
      </c>
      <c r="AB185">
        <f t="shared" si="13"/>
        <v>261.75582919661798</v>
      </c>
      <c r="AC185" s="15">
        <f>IF(H185="*","*",IF(_xlfn.XLOOKUP($H185,'TRA TECH'!$J:$J,'TRA TECH'!AE:AE)="","",_xlfn.XLOOKUP($H185,'TRA TECH'!$J:$J,'TRA TECH'!AE:AE)))</f>
        <v>9.9262614810501049</v>
      </c>
      <c r="AD185" s="15">
        <f>IF(H185="*","*",IF(_xlfn.XLOOKUP($H185,'TRA TECH'!$J:$J,'TRA TECH'!AF:AF)="","",_xlfn.XLOOKUP($H185,'TRA TECH'!$J:$J,'TRA TECH'!AF:AF)))</f>
        <v>9.9262614810501049</v>
      </c>
      <c r="AE185" s="15">
        <f>IF(H185="*","*",IF(_xlfn.XLOOKUP($H185,'TRA TECH'!$J:$J,'TRA TECH'!AG:AG)="","",_xlfn.XLOOKUP($H185,'TRA TECH'!$J:$J,'TRA TECH'!AG:AG)))</f>
        <v>9.9262614810501049</v>
      </c>
      <c r="AF185" s="15">
        <f>IF(H185="*","*",IF(_xlfn.XLOOKUP($H185,'TRA TECH'!$J:$J,'TRA TECH'!AH:AH)="","",_xlfn.XLOOKUP($H185,'TRA TECH'!$J:$J,'TRA TECH'!AH:AH)))</f>
        <v>9.9262614810501049</v>
      </c>
      <c r="AG185" s="15">
        <f>IF(H185="*","*",IF(_xlfn.XLOOKUP($H185,'TRA TECH'!$J:$J,'TRA TECH'!AI:AI)="","",_xlfn.XLOOKUP($H185,'TRA TECH'!$J:$J,'TRA TECH'!AI:AI)))</f>
        <v>9.9262614810501049</v>
      </c>
      <c r="AH185" s="15">
        <f>IF(H185="*","*",IF(_xlfn.XLOOKUP($H185,'TRA TECH'!$J:$J,'TRA TECH'!AJ:AJ)="","",_xlfn.XLOOKUP($H185,'TRA TECH'!$J:$J,'TRA TECH'!AJ:AJ)))</f>
        <v>9.9262614810501049</v>
      </c>
      <c r="AI185" s="15">
        <f>IF(H185="*","*",IF(_xlfn.XLOOKUP($H185,'TRA TECH'!$J:$J,'TRA TECH'!AK:AK)="","",_xlfn.XLOOKUP($H185,'TRA TECH'!$J:$J,'TRA TECH'!AK:AK)))</f>
        <v>9.9262614810501049</v>
      </c>
      <c r="AJ185" s="15">
        <f t="shared" si="14"/>
        <v>9.9262614810501049</v>
      </c>
      <c r="AK185" s="16">
        <f t="shared" si="15"/>
        <v>0.1</v>
      </c>
    </row>
    <row r="186" spans="2:37" x14ac:dyDescent="0.25">
      <c r="B186" t="str">
        <f>IF('TRA TECH'!M182=0,"*",IF('TRA TECH'!H182="","*",'TRA TECH'!J182))</f>
        <v>TRAFRECLHICEIDSL20</v>
      </c>
      <c r="C186" t="str">
        <f>IF('TRA TECH'!M182=0,"*",'TRA TECH'!H182)</f>
        <v>TRARDS</v>
      </c>
      <c r="D186" t="s">
        <v>424</v>
      </c>
      <c r="E186" s="9">
        <f>'TRA TECH'!P182</f>
        <v>1</v>
      </c>
      <c r="H186" t="str">
        <f>IF('TRA TECH'!M182=1,IF('TRA TECH'!L182=1,'TRA TECH'!J182,"*"),"*")</f>
        <v>*</v>
      </c>
      <c r="I186" t="str">
        <f>IF(H186="*","*",_xlfn.XLOOKUP(H186,'TRA TECH'!J:J,'TRA TECH'!I:I))</f>
        <v>*</v>
      </c>
      <c r="J186" t="str">
        <f>IF(H186="*","*",_xlfn.XLOOKUP(H186,'TRA TECH'!J:J,'TRA TECH'!N:N))</f>
        <v>*</v>
      </c>
      <c r="K186" s="15" t="str">
        <f>IF(H186="*","*",IF(_xlfn.XLOOKUP(H186,'TRA TECH'!J:J,'TRA TECH'!O:O)="","",_xlfn.XLOOKUP(H186,'TRA TECH'!J:J,'TRA TECH'!O:O)))</f>
        <v>*</v>
      </c>
      <c r="L186" t="str">
        <f t="shared" si="11"/>
        <v>*</v>
      </c>
      <c r="M186" t="str">
        <f>IF(H186="*","*",IF(_xlfn.XLOOKUP($H186,'TRA TECH'!$J:$J,'TRA TECH'!Q:Q)="","",_xlfn.XLOOKUP($H186,'TRA TECH'!$J:$J,'TRA TECH'!Q:Q)))</f>
        <v>*</v>
      </c>
      <c r="N186" t="str">
        <f>IF(H186="*","*",IF(_xlfn.XLOOKUP($H186,'TRA TECH'!$J:$J,'TRA TECH'!R:R)="","",_xlfn.XLOOKUP($H186,'TRA TECH'!$J:$J,'TRA TECH'!R:R)))</f>
        <v>*</v>
      </c>
      <c r="O186" t="str">
        <f>IF(H186="*","*",IF(_xlfn.XLOOKUP($H186,'TRA TECH'!$J:$J,'TRA TECH'!S:S)="","",_xlfn.XLOOKUP($H186,'TRA TECH'!$J:$J,'TRA TECH'!S:S)))</f>
        <v>*</v>
      </c>
      <c r="P186" t="str">
        <f>IF(H186="*","*",IF(_xlfn.XLOOKUP($H186,'TRA TECH'!$J:$J,'TRA TECH'!T:T)="","",_xlfn.XLOOKUP($H186,'TRA TECH'!$J:$J,'TRA TECH'!T:T)))</f>
        <v>*</v>
      </c>
      <c r="Q186" t="str">
        <f>IF(H186="*","*",IF(_xlfn.XLOOKUP($H186,'TRA TECH'!$J:$J,'TRA TECH'!U:U)="","",_xlfn.XLOOKUP($H186,'TRA TECH'!$J:$J,'TRA TECH'!U:U)))</f>
        <v>*</v>
      </c>
      <c r="R186" t="str">
        <f>IF(H186="*","*",IF(_xlfn.XLOOKUP($H186,'TRA TECH'!$J:$J,'TRA TECH'!V:V)="","",_xlfn.XLOOKUP($H186,'TRA TECH'!$J:$J,'TRA TECH'!V:V)))</f>
        <v>*</v>
      </c>
      <c r="S186" t="str">
        <f>IF(H186="*","*",IF(_xlfn.XLOOKUP($H186,'TRA TECH'!$J:$J,'TRA TECH'!W:W)="","",_xlfn.XLOOKUP($H186,'TRA TECH'!$J:$J,'TRA TECH'!W:W)))</f>
        <v>*</v>
      </c>
      <c r="T186" t="str">
        <f t="shared" si="12"/>
        <v>*</v>
      </c>
      <c r="U186" t="str">
        <f>IF(H186="*","*",IF(_xlfn.XLOOKUP($H186,'TRA TECH'!$J:$J,'TRA TECH'!X:X)="","",_xlfn.XLOOKUP($H186,'TRA TECH'!$J:$J,'TRA TECH'!X:X)))</f>
        <v>*</v>
      </c>
      <c r="V186" t="str">
        <f>IF(H186="*","*",IF(_xlfn.XLOOKUP($H186,'TRA TECH'!$J:$J,'TRA TECH'!Y:Y)="","",_xlfn.XLOOKUP($H186,'TRA TECH'!$J:$J,'TRA TECH'!Y:Y)))</f>
        <v>*</v>
      </c>
      <c r="W186" t="str">
        <f>IF(H186="*","*",IF(_xlfn.XLOOKUP($H186,'TRA TECH'!$J:$J,'TRA TECH'!Z:Z)="","",_xlfn.XLOOKUP($H186,'TRA TECH'!$J:$J,'TRA TECH'!Z:Z)))</f>
        <v>*</v>
      </c>
      <c r="X186" t="str">
        <f>IF(H186="*","*",IF(_xlfn.XLOOKUP($H186,'TRA TECH'!$J:$J,'TRA TECH'!AA:AA)="","",_xlfn.XLOOKUP($H186,'TRA TECH'!$J:$J,'TRA TECH'!AA:AA)))</f>
        <v>*</v>
      </c>
      <c r="Y186" t="str">
        <f>IF(H186="*","*",IF(_xlfn.XLOOKUP($H186,'TRA TECH'!$J:$J,'TRA TECH'!AB:AB)="","",_xlfn.XLOOKUP($H186,'TRA TECH'!$J:$J,'TRA TECH'!AB:AB)))</f>
        <v>*</v>
      </c>
      <c r="Z186" t="str">
        <f>IF(H186="*","*",IF(_xlfn.XLOOKUP($H186,'TRA TECH'!$J:$J,'TRA TECH'!AC:AC)="","",_xlfn.XLOOKUP($H186,'TRA TECH'!$J:$J,'TRA TECH'!AC:AC)))</f>
        <v>*</v>
      </c>
      <c r="AA186" t="str">
        <f>IF(H186="*","*",IF(_xlfn.XLOOKUP($H186,'TRA TECH'!$J:$J,'TRA TECH'!AD:AD)="","",_xlfn.XLOOKUP($H186,'TRA TECH'!$J:$J,'TRA TECH'!AD:AD)))</f>
        <v>*</v>
      </c>
      <c r="AB186" t="str">
        <f t="shared" si="13"/>
        <v>*</v>
      </c>
      <c r="AC186" s="15" t="str">
        <f>IF(H186="*","*",IF(_xlfn.XLOOKUP($H186,'TRA TECH'!$J:$J,'TRA TECH'!AE:AE)="","",_xlfn.XLOOKUP($H186,'TRA TECH'!$J:$J,'TRA TECH'!AE:AE)))</f>
        <v>*</v>
      </c>
      <c r="AD186" s="15" t="str">
        <f>IF(H186="*","*",IF(_xlfn.XLOOKUP($H186,'TRA TECH'!$J:$J,'TRA TECH'!AF:AF)="","",_xlfn.XLOOKUP($H186,'TRA TECH'!$J:$J,'TRA TECH'!AF:AF)))</f>
        <v>*</v>
      </c>
      <c r="AE186" s="15" t="str">
        <f>IF(H186="*","*",IF(_xlfn.XLOOKUP($H186,'TRA TECH'!$J:$J,'TRA TECH'!AG:AG)="","",_xlfn.XLOOKUP($H186,'TRA TECH'!$J:$J,'TRA TECH'!AG:AG)))</f>
        <v>*</v>
      </c>
      <c r="AF186" s="15" t="str">
        <f>IF(H186="*","*",IF(_xlfn.XLOOKUP($H186,'TRA TECH'!$J:$J,'TRA TECH'!AH:AH)="","",_xlfn.XLOOKUP($H186,'TRA TECH'!$J:$J,'TRA TECH'!AH:AH)))</f>
        <v>*</v>
      </c>
      <c r="AG186" s="15" t="str">
        <f>IF(H186="*","*",IF(_xlfn.XLOOKUP($H186,'TRA TECH'!$J:$J,'TRA TECH'!AI:AI)="","",_xlfn.XLOOKUP($H186,'TRA TECH'!$J:$J,'TRA TECH'!AI:AI)))</f>
        <v>*</v>
      </c>
      <c r="AH186" s="15" t="str">
        <f>IF(H186="*","*",IF(_xlfn.XLOOKUP($H186,'TRA TECH'!$J:$J,'TRA TECH'!AJ:AJ)="","",_xlfn.XLOOKUP($H186,'TRA TECH'!$J:$J,'TRA TECH'!AJ:AJ)))</f>
        <v>*</v>
      </c>
      <c r="AI186" s="15" t="str">
        <f>IF(H186="*","*",IF(_xlfn.XLOOKUP($H186,'TRA TECH'!$J:$J,'TRA TECH'!AK:AK)="","",_xlfn.XLOOKUP($H186,'TRA TECH'!$J:$J,'TRA TECH'!AK:AK)))</f>
        <v>*</v>
      </c>
      <c r="AJ186" s="15" t="str">
        <f t="shared" si="14"/>
        <v>*</v>
      </c>
      <c r="AK186" s="16" t="str">
        <f t="shared" si="15"/>
        <v>*</v>
      </c>
    </row>
    <row r="187" spans="2:37" x14ac:dyDescent="0.25">
      <c r="B187" t="str">
        <f>IF('TRA TECH'!M183=0,"*",IF('TRA TECH'!H183="","*",'TRA TECH'!J183))</f>
        <v>TRAFRECLHICEIDSL20</v>
      </c>
      <c r="C187" t="str">
        <f>IF('TRA TECH'!M183=0,"*",'TRA TECH'!H183)</f>
        <v>TRABDS</v>
      </c>
      <c r="D187" t="s">
        <v>424</v>
      </c>
      <c r="E187" s="9">
        <f>'TRA TECH'!P183</f>
        <v>0.1</v>
      </c>
      <c r="H187" t="str">
        <f>IF('TRA TECH'!M183=1,IF('TRA TECH'!L183=1,'TRA TECH'!J183,"*"),"*")</f>
        <v>*</v>
      </c>
      <c r="I187" t="str">
        <f>IF(H187="*","*",_xlfn.XLOOKUP(H187,'TRA TECH'!J:J,'TRA TECH'!I:I))</f>
        <v>*</v>
      </c>
      <c r="J187" t="str">
        <f>IF(H187="*","*",_xlfn.XLOOKUP(H187,'TRA TECH'!J:J,'TRA TECH'!N:N))</f>
        <v>*</v>
      </c>
      <c r="K187" s="15" t="str">
        <f>IF(H187="*","*",IF(_xlfn.XLOOKUP(H187,'TRA TECH'!J:J,'TRA TECH'!O:O)="","",_xlfn.XLOOKUP(H187,'TRA TECH'!J:J,'TRA TECH'!O:O)))</f>
        <v>*</v>
      </c>
      <c r="L187" t="str">
        <f t="shared" si="11"/>
        <v>*</v>
      </c>
      <c r="M187" t="str">
        <f>IF(H187="*","*",IF(_xlfn.XLOOKUP($H187,'TRA TECH'!$J:$J,'TRA TECH'!Q:Q)="","",_xlfn.XLOOKUP($H187,'TRA TECH'!$J:$J,'TRA TECH'!Q:Q)))</f>
        <v>*</v>
      </c>
      <c r="N187" t="str">
        <f>IF(H187="*","*",IF(_xlfn.XLOOKUP($H187,'TRA TECH'!$J:$J,'TRA TECH'!R:R)="","",_xlfn.XLOOKUP($H187,'TRA TECH'!$J:$J,'TRA TECH'!R:R)))</f>
        <v>*</v>
      </c>
      <c r="O187" t="str">
        <f>IF(H187="*","*",IF(_xlfn.XLOOKUP($H187,'TRA TECH'!$J:$J,'TRA TECH'!S:S)="","",_xlfn.XLOOKUP($H187,'TRA TECH'!$J:$J,'TRA TECH'!S:S)))</f>
        <v>*</v>
      </c>
      <c r="P187" t="str">
        <f>IF(H187="*","*",IF(_xlfn.XLOOKUP($H187,'TRA TECH'!$J:$J,'TRA TECH'!T:T)="","",_xlfn.XLOOKUP($H187,'TRA TECH'!$J:$J,'TRA TECH'!T:T)))</f>
        <v>*</v>
      </c>
      <c r="Q187" t="str">
        <f>IF(H187="*","*",IF(_xlfn.XLOOKUP($H187,'TRA TECH'!$J:$J,'TRA TECH'!U:U)="","",_xlfn.XLOOKUP($H187,'TRA TECH'!$J:$J,'TRA TECH'!U:U)))</f>
        <v>*</v>
      </c>
      <c r="R187" t="str">
        <f>IF(H187="*","*",IF(_xlfn.XLOOKUP($H187,'TRA TECH'!$J:$J,'TRA TECH'!V:V)="","",_xlfn.XLOOKUP($H187,'TRA TECH'!$J:$J,'TRA TECH'!V:V)))</f>
        <v>*</v>
      </c>
      <c r="S187" t="str">
        <f>IF(H187="*","*",IF(_xlfn.XLOOKUP($H187,'TRA TECH'!$J:$J,'TRA TECH'!W:W)="","",_xlfn.XLOOKUP($H187,'TRA TECH'!$J:$J,'TRA TECH'!W:W)))</f>
        <v>*</v>
      </c>
      <c r="T187" t="str">
        <f t="shared" si="12"/>
        <v>*</v>
      </c>
      <c r="U187" t="str">
        <f>IF(H187="*","*",IF(_xlfn.XLOOKUP($H187,'TRA TECH'!$J:$J,'TRA TECH'!X:X)="","",_xlfn.XLOOKUP($H187,'TRA TECH'!$J:$J,'TRA TECH'!X:X)))</f>
        <v>*</v>
      </c>
      <c r="V187" t="str">
        <f>IF(H187="*","*",IF(_xlfn.XLOOKUP($H187,'TRA TECH'!$J:$J,'TRA TECH'!Y:Y)="","",_xlfn.XLOOKUP($H187,'TRA TECH'!$J:$J,'TRA TECH'!Y:Y)))</f>
        <v>*</v>
      </c>
      <c r="W187" t="str">
        <f>IF(H187="*","*",IF(_xlfn.XLOOKUP($H187,'TRA TECH'!$J:$J,'TRA TECH'!Z:Z)="","",_xlfn.XLOOKUP($H187,'TRA TECH'!$J:$J,'TRA TECH'!Z:Z)))</f>
        <v>*</v>
      </c>
      <c r="X187" t="str">
        <f>IF(H187="*","*",IF(_xlfn.XLOOKUP($H187,'TRA TECH'!$J:$J,'TRA TECH'!AA:AA)="","",_xlfn.XLOOKUP($H187,'TRA TECH'!$J:$J,'TRA TECH'!AA:AA)))</f>
        <v>*</v>
      </c>
      <c r="Y187" t="str">
        <f>IF(H187="*","*",IF(_xlfn.XLOOKUP($H187,'TRA TECH'!$J:$J,'TRA TECH'!AB:AB)="","",_xlfn.XLOOKUP($H187,'TRA TECH'!$J:$J,'TRA TECH'!AB:AB)))</f>
        <v>*</v>
      </c>
      <c r="Z187" t="str">
        <f>IF(H187="*","*",IF(_xlfn.XLOOKUP($H187,'TRA TECH'!$J:$J,'TRA TECH'!AC:AC)="","",_xlfn.XLOOKUP($H187,'TRA TECH'!$J:$J,'TRA TECH'!AC:AC)))</f>
        <v>*</v>
      </c>
      <c r="AA187" t="str">
        <f>IF(H187="*","*",IF(_xlfn.XLOOKUP($H187,'TRA TECH'!$J:$J,'TRA TECH'!AD:AD)="","",_xlfn.XLOOKUP($H187,'TRA TECH'!$J:$J,'TRA TECH'!AD:AD)))</f>
        <v>*</v>
      </c>
      <c r="AB187" t="str">
        <f t="shared" si="13"/>
        <v>*</v>
      </c>
      <c r="AC187" s="15" t="str">
        <f>IF(H187="*","*",IF(_xlfn.XLOOKUP($H187,'TRA TECH'!$J:$J,'TRA TECH'!AE:AE)="","",_xlfn.XLOOKUP($H187,'TRA TECH'!$J:$J,'TRA TECH'!AE:AE)))</f>
        <v>*</v>
      </c>
      <c r="AD187" s="15" t="str">
        <f>IF(H187="*","*",IF(_xlfn.XLOOKUP($H187,'TRA TECH'!$J:$J,'TRA TECH'!AF:AF)="","",_xlfn.XLOOKUP($H187,'TRA TECH'!$J:$J,'TRA TECH'!AF:AF)))</f>
        <v>*</v>
      </c>
      <c r="AE187" s="15" t="str">
        <f>IF(H187="*","*",IF(_xlfn.XLOOKUP($H187,'TRA TECH'!$J:$J,'TRA TECH'!AG:AG)="","",_xlfn.XLOOKUP($H187,'TRA TECH'!$J:$J,'TRA TECH'!AG:AG)))</f>
        <v>*</v>
      </c>
      <c r="AF187" s="15" t="str">
        <f>IF(H187="*","*",IF(_xlfn.XLOOKUP($H187,'TRA TECH'!$J:$J,'TRA TECH'!AH:AH)="","",_xlfn.XLOOKUP($H187,'TRA TECH'!$J:$J,'TRA TECH'!AH:AH)))</f>
        <v>*</v>
      </c>
      <c r="AG187" s="15" t="str">
        <f>IF(H187="*","*",IF(_xlfn.XLOOKUP($H187,'TRA TECH'!$J:$J,'TRA TECH'!AI:AI)="","",_xlfn.XLOOKUP($H187,'TRA TECH'!$J:$J,'TRA TECH'!AI:AI)))</f>
        <v>*</v>
      </c>
      <c r="AH187" s="15" t="str">
        <f>IF(H187="*","*",IF(_xlfn.XLOOKUP($H187,'TRA TECH'!$J:$J,'TRA TECH'!AJ:AJ)="","",_xlfn.XLOOKUP($H187,'TRA TECH'!$J:$J,'TRA TECH'!AJ:AJ)))</f>
        <v>*</v>
      </c>
      <c r="AI187" s="15" t="str">
        <f>IF(H187="*","*",IF(_xlfn.XLOOKUP($H187,'TRA TECH'!$J:$J,'TRA TECH'!AK:AK)="","",_xlfn.XLOOKUP($H187,'TRA TECH'!$J:$J,'TRA TECH'!AK:AK)))</f>
        <v>*</v>
      </c>
      <c r="AJ187" s="15" t="str">
        <f t="shared" si="14"/>
        <v>*</v>
      </c>
      <c r="AK187" s="16" t="str">
        <f t="shared" si="15"/>
        <v>*</v>
      </c>
    </row>
    <row r="188" spans="2:37" x14ac:dyDescent="0.25">
      <c r="B188" t="str">
        <f>IF('TRA TECH'!M184=0,"*",IF('TRA TECH'!H184="","*",'TRA TECH'!J184))</f>
        <v>TRAFRECLHHEVPDSL20</v>
      </c>
      <c r="C188" t="str">
        <f>IF('TRA TECH'!M184=0,"*",'TRA TECH'!H184)</f>
        <v>TRADSL</v>
      </c>
      <c r="D188" t="s">
        <v>424</v>
      </c>
      <c r="E188" s="9">
        <f>'TRA TECH'!P184</f>
        <v>1</v>
      </c>
      <c r="H188" t="str">
        <f>IF('TRA TECH'!M184=1,IF('TRA TECH'!L184=1,'TRA TECH'!J184,"*"),"*")</f>
        <v>TRAFRECLHHEVPDSL20</v>
      </c>
      <c r="I188" t="str">
        <f>IF(H188="*","*",_xlfn.XLOOKUP(H188,'TRA TECH'!J:J,'TRA TECH'!I:I))</f>
        <v>TRAFRECLHDMD</v>
      </c>
      <c r="J188">
        <f>IF(H188="*","*",_xlfn.XLOOKUP(H188,'TRA TECH'!J:J,'TRA TECH'!N:N))</f>
        <v>2020</v>
      </c>
      <c r="K188" s="15">
        <f>IF(H188="*","*",IF(_xlfn.XLOOKUP(H188,'TRA TECH'!J:J,'TRA TECH'!O:O)="","",_xlfn.XLOOKUP(H188,'TRA TECH'!J:J,'TRA TECH'!O:O)))</f>
        <v>10.89196958520898</v>
      </c>
      <c r="L188">
        <f t="shared" si="11"/>
        <v>1</v>
      </c>
      <c r="M188">
        <f>IF(H188="*","*",IF(_xlfn.XLOOKUP($H188,'TRA TECH'!$J:$J,'TRA TECH'!Q:Q)="","",_xlfn.XLOOKUP($H188,'TRA TECH'!$J:$J,'TRA TECH'!Q:Q)))</f>
        <v>0.10293858753709199</v>
      </c>
      <c r="N188">
        <f>IF(H188="*","*",IF(_xlfn.XLOOKUP($H188,'TRA TECH'!$J:$J,'TRA TECH'!R:R)="","",_xlfn.XLOOKUP($H188,'TRA TECH'!$J:$J,'TRA TECH'!R:R)))</f>
        <v>0.10293858753709199</v>
      </c>
      <c r="O188">
        <f>IF(H188="*","*",IF(_xlfn.XLOOKUP($H188,'TRA TECH'!$J:$J,'TRA TECH'!S:S)="","",_xlfn.XLOOKUP($H188,'TRA TECH'!$J:$J,'TRA TECH'!S:S)))</f>
        <v>0.1142140771513353</v>
      </c>
      <c r="P188">
        <f>IF(H188="*","*",IF(_xlfn.XLOOKUP($H188,'TRA TECH'!$J:$J,'TRA TECH'!T:T)="","",_xlfn.XLOOKUP($H188,'TRA TECH'!$J:$J,'TRA TECH'!T:T)))</f>
        <v>0.1241630385756677</v>
      </c>
      <c r="Q188">
        <f>IF(H188="*","*",IF(_xlfn.XLOOKUP($H188,'TRA TECH'!$J:$J,'TRA TECH'!U:U)="","",_xlfn.XLOOKUP($H188,'TRA TECH'!$J:$J,'TRA TECH'!U:U)))</f>
        <v>0.12986710979228491</v>
      </c>
      <c r="R188">
        <f>IF(H188="*","*",IF(_xlfn.XLOOKUP($H188,'TRA TECH'!$J:$J,'TRA TECH'!V:V)="","",_xlfn.XLOOKUP($H188,'TRA TECH'!$J:$J,'TRA TECH'!V:V)))</f>
        <v>0.1353058753709199</v>
      </c>
      <c r="S188">
        <f>IF(H188="*","*",IF(_xlfn.XLOOKUP($H188,'TRA TECH'!$J:$J,'TRA TECH'!W:W)="","",_xlfn.XLOOKUP($H188,'TRA TECH'!$J:$J,'TRA TECH'!W:W)))</f>
        <v>0.1406119881305638</v>
      </c>
      <c r="T188">
        <f t="shared" si="12"/>
        <v>0.1406119881305638</v>
      </c>
      <c r="U188">
        <f>IF(H188="*","*",IF(_xlfn.XLOOKUP($H188,'TRA TECH'!$J:$J,'TRA TECH'!X:X)="","",_xlfn.XLOOKUP($H188,'TRA TECH'!$J:$J,'TRA TECH'!X:X)))</f>
        <v>259.62195015425431</v>
      </c>
      <c r="V188">
        <f>IF(H188="*","*",IF(_xlfn.XLOOKUP($H188,'TRA TECH'!$J:$J,'TRA TECH'!Y:Y)="","",_xlfn.XLOOKUP($H188,'TRA TECH'!$J:$J,'TRA TECH'!Y:Y)))</f>
        <v>259.62195015425431</v>
      </c>
      <c r="W188">
        <f>IF(H188="*","*",IF(_xlfn.XLOOKUP($H188,'TRA TECH'!$J:$J,'TRA TECH'!Z:Z)="","",_xlfn.XLOOKUP($H188,'TRA TECH'!$J:$J,'TRA TECH'!Z:Z)))</f>
        <v>260.33324316837559</v>
      </c>
      <c r="X188">
        <f>IF(H188="*","*",IF(_xlfn.XLOOKUP($H188,'TRA TECH'!$J:$J,'TRA TECH'!AA:AA)="","",_xlfn.XLOOKUP($H188,'TRA TECH'!$J:$J,'TRA TECH'!AA:AA)))</f>
        <v>260.33324316837559</v>
      </c>
      <c r="Y188">
        <f>IF(H188="*","*",IF(_xlfn.XLOOKUP($H188,'TRA TECH'!$J:$J,'TRA TECH'!AB:AB)="","",_xlfn.XLOOKUP($H188,'TRA TECH'!$J:$J,'TRA TECH'!AB:AB)))</f>
        <v>261.75582919661798</v>
      </c>
      <c r="Z188">
        <f>IF(H188="*","*",IF(_xlfn.XLOOKUP($H188,'TRA TECH'!$J:$J,'TRA TECH'!AC:AC)="","",_xlfn.XLOOKUP($H188,'TRA TECH'!$J:$J,'TRA TECH'!AC:AC)))</f>
        <v>263.88970823898183</v>
      </c>
      <c r="AA188">
        <f>IF(H188="*","*",IF(_xlfn.XLOOKUP($H188,'TRA TECH'!$J:$J,'TRA TECH'!AD:AD)="","",_xlfn.XLOOKUP($H188,'TRA TECH'!$J:$J,'TRA TECH'!AD:AD)))</f>
        <v>266.02358728134561</v>
      </c>
      <c r="AB188">
        <f t="shared" si="13"/>
        <v>266.02358728134561</v>
      </c>
      <c r="AC188" s="15">
        <f>IF(H188="*","*",IF(_xlfn.XLOOKUP($H188,'TRA TECH'!$J:$J,'TRA TECH'!AE:AE)="","",_xlfn.XLOOKUP($H188,'TRA TECH'!$J:$J,'TRA TECH'!AE:AE)))</f>
        <v>9.9262614810501049</v>
      </c>
      <c r="AD188" s="15">
        <f>IF(H188="*","*",IF(_xlfn.XLOOKUP($H188,'TRA TECH'!$J:$J,'TRA TECH'!AF:AF)="","",_xlfn.XLOOKUP($H188,'TRA TECH'!$J:$J,'TRA TECH'!AF:AF)))</f>
        <v>9.9262614810501049</v>
      </c>
      <c r="AE188" s="15">
        <f>IF(H188="*","*",IF(_xlfn.XLOOKUP($H188,'TRA TECH'!$J:$J,'TRA TECH'!AG:AG)="","",_xlfn.XLOOKUP($H188,'TRA TECH'!$J:$J,'TRA TECH'!AG:AG)))</f>
        <v>9.9262614810501049</v>
      </c>
      <c r="AF188" s="15">
        <f>IF(H188="*","*",IF(_xlfn.XLOOKUP($H188,'TRA TECH'!$J:$J,'TRA TECH'!AH:AH)="","",_xlfn.XLOOKUP($H188,'TRA TECH'!$J:$J,'TRA TECH'!AH:AH)))</f>
        <v>9.9262614810501049</v>
      </c>
      <c r="AG188" s="15">
        <f>IF(H188="*","*",IF(_xlfn.XLOOKUP($H188,'TRA TECH'!$J:$J,'TRA TECH'!AI:AI)="","",_xlfn.XLOOKUP($H188,'TRA TECH'!$J:$J,'TRA TECH'!AI:AI)))</f>
        <v>9.9262614810501049</v>
      </c>
      <c r="AH188" s="15">
        <f>IF(H188="*","*",IF(_xlfn.XLOOKUP($H188,'TRA TECH'!$J:$J,'TRA TECH'!AJ:AJ)="","",_xlfn.XLOOKUP($H188,'TRA TECH'!$J:$J,'TRA TECH'!AJ:AJ)))</f>
        <v>9.9262614810501049</v>
      </c>
      <c r="AI188" s="15">
        <f>IF(H188="*","*",IF(_xlfn.XLOOKUP($H188,'TRA TECH'!$J:$J,'TRA TECH'!AK:AK)="","",_xlfn.XLOOKUP($H188,'TRA TECH'!$J:$J,'TRA TECH'!AK:AK)))</f>
        <v>9.9262614810501049</v>
      </c>
      <c r="AJ188" s="15">
        <f t="shared" si="14"/>
        <v>9.9262614810501049</v>
      </c>
      <c r="AK188" s="16">
        <f t="shared" si="15"/>
        <v>0.25</v>
      </c>
    </row>
    <row r="189" spans="2:37" x14ac:dyDescent="0.25">
      <c r="B189" t="str">
        <f>IF('TRA TECH'!M185=0,"*",IF('TRA TECH'!H185="","*",'TRA TECH'!J185))</f>
        <v>TRAFRECLHHEVPDSL20</v>
      </c>
      <c r="C189" t="str">
        <f>IF('TRA TECH'!M185=0,"*",'TRA TECH'!H185)</f>
        <v>TRARDS</v>
      </c>
      <c r="D189" t="s">
        <v>424</v>
      </c>
      <c r="E189" s="9">
        <f>'TRA TECH'!P185</f>
        <v>1</v>
      </c>
      <c r="H189" t="str">
        <f>IF('TRA TECH'!M185=1,IF('TRA TECH'!L185=1,'TRA TECH'!J185,"*"),"*")</f>
        <v>*</v>
      </c>
      <c r="I189" t="str">
        <f>IF(H189="*","*",_xlfn.XLOOKUP(H189,'TRA TECH'!J:J,'TRA TECH'!I:I))</f>
        <v>*</v>
      </c>
      <c r="J189" t="str">
        <f>IF(H189="*","*",_xlfn.XLOOKUP(H189,'TRA TECH'!J:J,'TRA TECH'!N:N))</f>
        <v>*</v>
      </c>
      <c r="K189" s="15" t="str">
        <f>IF(H189="*","*",IF(_xlfn.XLOOKUP(H189,'TRA TECH'!J:J,'TRA TECH'!O:O)="","",_xlfn.XLOOKUP(H189,'TRA TECH'!J:J,'TRA TECH'!O:O)))</f>
        <v>*</v>
      </c>
      <c r="L189" t="str">
        <f t="shared" si="11"/>
        <v>*</v>
      </c>
      <c r="M189" t="str">
        <f>IF(H189="*","*",IF(_xlfn.XLOOKUP($H189,'TRA TECH'!$J:$J,'TRA TECH'!Q:Q)="","",_xlfn.XLOOKUP($H189,'TRA TECH'!$J:$J,'TRA TECH'!Q:Q)))</f>
        <v>*</v>
      </c>
      <c r="N189" t="str">
        <f>IF(H189="*","*",IF(_xlfn.XLOOKUP($H189,'TRA TECH'!$J:$J,'TRA TECH'!R:R)="","",_xlfn.XLOOKUP($H189,'TRA TECH'!$J:$J,'TRA TECH'!R:R)))</f>
        <v>*</v>
      </c>
      <c r="O189" t="str">
        <f>IF(H189="*","*",IF(_xlfn.XLOOKUP($H189,'TRA TECH'!$J:$J,'TRA TECH'!S:S)="","",_xlfn.XLOOKUP($H189,'TRA TECH'!$J:$J,'TRA TECH'!S:S)))</f>
        <v>*</v>
      </c>
      <c r="P189" t="str">
        <f>IF(H189="*","*",IF(_xlfn.XLOOKUP($H189,'TRA TECH'!$J:$J,'TRA TECH'!T:T)="","",_xlfn.XLOOKUP($H189,'TRA TECH'!$J:$J,'TRA TECH'!T:T)))</f>
        <v>*</v>
      </c>
      <c r="Q189" t="str">
        <f>IF(H189="*","*",IF(_xlfn.XLOOKUP($H189,'TRA TECH'!$J:$J,'TRA TECH'!U:U)="","",_xlfn.XLOOKUP($H189,'TRA TECH'!$J:$J,'TRA TECH'!U:U)))</f>
        <v>*</v>
      </c>
      <c r="R189" t="str">
        <f>IF(H189="*","*",IF(_xlfn.XLOOKUP($H189,'TRA TECH'!$J:$J,'TRA TECH'!V:V)="","",_xlfn.XLOOKUP($H189,'TRA TECH'!$J:$J,'TRA TECH'!V:V)))</f>
        <v>*</v>
      </c>
      <c r="S189" t="str">
        <f>IF(H189="*","*",IF(_xlfn.XLOOKUP($H189,'TRA TECH'!$J:$J,'TRA TECH'!W:W)="","",_xlfn.XLOOKUP($H189,'TRA TECH'!$J:$J,'TRA TECH'!W:W)))</f>
        <v>*</v>
      </c>
      <c r="T189" t="str">
        <f t="shared" si="12"/>
        <v>*</v>
      </c>
      <c r="U189" t="str">
        <f>IF(H189="*","*",IF(_xlfn.XLOOKUP($H189,'TRA TECH'!$J:$J,'TRA TECH'!X:X)="","",_xlfn.XLOOKUP($H189,'TRA TECH'!$J:$J,'TRA TECH'!X:X)))</f>
        <v>*</v>
      </c>
      <c r="V189" t="str">
        <f>IF(H189="*","*",IF(_xlfn.XLOOKUP($H189,'TRA TECH'!$J:$J,'TRA TECH'!Y:Y)="","",_xlfn.XLOOKUP($H189,'TRA TECH'!$J:$J,'TRA TECH'!Y:Y)))</f>
        <v>*</v>
      </c>
      <c r="W189" t="str">
        <f>IF(H189="*","*",IF(_xlfn.XLOOKUP($H189,'TRA TECH'!$J:$J,'TRA TECH'!Z:Z)="","",_xlfn.XLOOKUP($H189,'TRA TECH'!$J:$J,'TRA TECH'!Z:Z)))</f>
        <v>*</v>
      </c>
      <c r="X189" t="str">
        <f>IF(H189="*","*",IF(_xlfn.XLOOKUP($H189,'TRA TECH'!$J:$J,'TRA TECH'!AA:AA)="","",_xlfn.XLOOKUP($H189,'TRA TECH'!$J:$J,'TRA TECH'!AA:AA)))</f>
        <v>*</v>
      </c>
      <c r="Y189" t="str">
        <f>IF(H189="*","*",IF(_xlfn.XLOOKUP($H189,'TRA TECH'!$J:$J,'TRA TECH'!AB:AB)="","",_xlfn.XLOOKUP($H189,'TRA TECH'!$J:$J,'TRA TECH'!AB:AB)))</f>
        <v>*</v>
      </c>
      <c r="Z189" t="str">
        <f>IF(H189="*","*",IF(_xlfn.XLOOKUP($H189,'TRA TECH'!$J:$J,'TRA TECH'!AC:AC)="","",_xlfn.XLOOKUP($H189,'TRA TECH'!$J:$J,'TRA TECH'!AC:AC)))</f>
        <v>*</v>
      </c>
      <c r="AA189" t="str">
        <f>IF(H189="*","*",IF(_xlfn.XLOOKUP($H189,'TRA TECH'!$J:$J,'TRA TECH'!AD:AD)="","",_xlfn.XLOOKUP($H189,'TRA TECH'!$J:$J,'TRA TECH'!AD:AD)))</f>
        <v>*</v>
      </c>
      <c r="AB189" t="str">
        <f t="shared" si="13"/>
        <v>*</v>
      </c>
      <c r="AC189" s="15" t="str">
        <f>IF(H189="*","*",IF(_xlfn.XLOOKUP($H189,'TRA TECH'!$J:$J,'TRA TECH'!AE:AE)="","",_xlfn.XLOOKUP($H189,'TRA TECH'!$J:$J,'TRA TECH'!AE:AE)))</f>
        <v>*</v>
      </c>
      <c r="AD189" s="15" t="str">
        <f>IF(H189="*","*",IF(_xlfn.XLOOKUP($H189,'TRA TECH'!$J:$J,'TRA TECH'!AF:AF)="","",_xlfn.XLOOKUP($H189,'TRA TECH'!$J:$J,'TRA TECH'!AF:AF)))</f>
        <v>*</v>
      </c>
      <c r="AE189" s="15" t="str">
        <f>IF(H189="*","*",IF(_xlfn.XLOOKUP($H189,'TRA TECH'!$J:$J,'TRA TECH'!AG:AG)="","",_xlfn.XLOOKUP($H189,'TRA TECH'!$J:$J,'TRA TECH'!AG:AG)))</f>
        <v>*</v>
      </c>
      <c r="AF189" s="15" t="str">
        <f>IF(H189="*","*",IF(_xlfn.XLOOKUP($H189,'TRA TECH'!$J:$J,'TRA TECH'!AH:AH)="","",_xlfn.XLOOKUP($H189,'TRA TECH'!$J:$J,'TRA TECH'!AH:AH)))</f>
        <v>*</v>
      </c>
      <c r="AG189" s="15" t="str">
        <f>IF(H189="*","*",IF(_xlfn.XLOOKUP($H189,'TRA TECH'!$J:$J,'TRA TECH'!AI:AI)="","",_xlfn.XLOOKUP($H189,'TRA TECH'!$J:$J,'TRA TECH'!AI:AI)))</f>
        <v>*</v>
      </c>
      <c r="AH189" s="15" t="str">
        <f>IF(H189="*","*",IF(_xlfn.XLOOKUP($H189,'TRA TECH'!$J:$J,'TRA TECH'!AJ:AJ)="","",_xlfn.XLOOKUP($H189,'TRA TECH'!$J:$J,'TRA TECH'!AJ:AJ)))</f>
        <v>*</v>
      </c>
      <c r="AI189" s="15" t="str">
        <f>IF(H189="*","*",IF(_xlfn.XLOOKUP($H189,'TRA TECH'!$J:$J,'TRA TECH'!AK:AK)="","",_xlfn.XLOOKUP($H189,'TRA TECH'!$J:$J,'TRA TECH'!AK:AK)))</f>
        <v>*</v>
      </c>
      <c r="AJ189" s="15" t="str">
        <f t="shared" si="14"/>
        <v>*</v>
      </c>
      <c r="AK189" s="16" t="str">
        <f t="shared" si="15"/>
        <v>*</v>
      </c>
    </row>
    <row r="190" spans="2:37" x14ac:dyDescent="0.25">
      <c r="B190" t="str">
        <f>IF('TRA TECH'!M186=0,"*",IF('TRA TECH'!H186="","*",'TRA TECH'!J186))</f>
        <v>TRAFRECLHHEVPDSL20</v>
      </c>
      <c r="C190" t="str">
        <f>IF('TRA TECH'!M186=0,"*",'TRA TECH'!H186)</f>
        <v>TRABDS</v>
      </c>
      <c r="D190" t="s">
        <v>424</v>
      </c>
      <c r="E190" s="9">
        <f>'TRA TECH'!P186</f>
        <v>0.1</v>
      </c>
      <c r="H190" t="str">
        <f>IF('TRA TECH'!M186=1,IF('TRA TECH'!L186=1,'TRA TECH'!J186,"*"),"*")</f>
        <v>*</v>
      </c>
      <c r="I190" t="str">
        <f>IF(H190="*","*",_xlfn.XLOOKUP(H190,'TRA TECH'!J:J,'TRA TECH'!I:I))</f>
        <v>*</v>
      </c>
      <c r="J190" t="str">
        <f>IF(H190="*","*",_xlfn.XLOOKUP(H190,'TRA TECH'!J:J,'TRA TECH'!N:N))</f>
        <v>*</v>
      </c>
      <c r="K190" s="15" t="str">
        <f>IF(H190="*","*",IF(_xlfn.XLOOKUP(H190,'TRA TECH'!J:J,'TRA TECH'!O:O)="","",_xlfn.XLOOKUP(H190,'TRA TECH'!J:J,'TRA TECH'!O:O)))</f>
        <v>*</v>
      </c>
      <c r="L190" t="str">
        <f t="shared" si="11"/>
        <v>*</v>
      </c>
      <c r="M190" t="str">
        <f>IF(H190="*","*",IF(_xlfn.XLOOKUP($H190,'TRA TECH'!$J:$J,'TRA TECH'!Q:Q)="","",_xlfn.XLOOKUP($H190,'TRA TECH'!$J:$J,'TRA TECH'!Q:Q)))</f>
        <v>*</v>
      </c>
      <c r="N190" t="str">
        <f>IF(H190="*","*",IF(_xlfn.XLOOKUP($H190,'TRA TECH'!$J:$J,'TRA TECH'!R:R)="","",_xlfn.XLOOKUP($H190,'TRA TECH'!$J:$J,'TRA TECH'!R:R)))</f>
        <v>*</v>
      </c>
      <c r="O190" t="str">
        <f>IF(H190="*","*",IF(_xlfn.XLOOKUP($H190,'TRA TECH'!$J:$J,'TRA TECH'!S:S)="","",_xlfn.XLOOKUP($H190,'TRA TECH'!$J:$J,'TRA TECH'!S:S)))</f>
        <v>*</v>
      </c>
      <c r="P190" t="str">
        <f>IF(H190="*","*",IF(_xlfn.XLOOKUP($H190,'TRA TECH'!$J:$J,'TRA TECH'!T:T)="","",_xlfn.XLOOKUP($H190,'TRA TECH'!$J:$J,'TRA TECH'!T:T)))</f>
        <v>*</v>
      </c>
      <c r="Q190" t="str">
        <f>IF(H190="*","*",IF(_xlfn.XLOOKUP($H190,'TRA TECH'!$J:$J,'TRA TECH'!U:U)="","",_xlfn.XLOOKUP($H190,'TRA TECH'!$J:$J,'TRA TECH'!U:U)))</f>
        <v>*</v>
      </c>
      <c r="R190" t="str">
        <f>IF(H190="*","*",IF(_xlfn.XLOOKUP($H190,'TRA TECH'!$J:$J,'TRA TECH'!V:V)="","",_xlfn.XLOOKUP($H190,'TRA TECH'!$J:$J,'TRA TECH'!V:V)))</f>
        <v>*</v>
      </c>
      <c r="S190" t="str">
        <f>IF(H190="*","*",IF(_xlfn.XLOOKUP($H190,'TRA TECH'!$J:$J,'TRA TECH'!W:W)="","",_xlfn.XLOOKUP($H190,'TRA TECH'!$J:$J,'TRA TECH'!W:W)))</f>
        <v>*</v>
      </c>
      <c r="T190" t="str">
        <f t="shared" si="12"/>
        <v>*</v>
      </c>
      <c r="U190" t="str">
        <f>IF(H190="*","*",IF(_xlfn.XLOOKUP($H190,'TRA TECH'!$J:$J,'TRA TECH'!X:X)="","",_xlfn.XLOOKUP($H190,'TRA TECH'!$J:$J,'TRA TECH'!X:X)))</f>
        <v>*</v>
      </c>
      <c r="V190" t="str">
        <f>IF(H190="*","*",IF(_xlfn.XLOOKUP($H190,'TRA TECH'!$J:$J,'TRA TECH'!Y:Y)="","",_xlfn.XLOOKUP($H190,'TRA TECH'!$J:$J,'TRA TECH'!Y:Y)))</f>
        <v>*</v>
      </c>
      <c r="W190" t="str">
        <f>IF(H190="*","*",IF(_xlfn.XLOOKUP($H190,'TRA TECH'!$J:$J,'TRA TECH'!Z:Z)="","",_xlfn.XLOOKUP($H190,'TRA TECH'!$J:$J,'TRA TECH'!Z:Z)))</f>
        <v>*</v>
      </c>
      <c r="X190" t="str">
        <f>IF(H190="*","*",IF(_xlfn.XLOOKUP($H190,'TRA TECH'!$J:$J,'TRA TECH'!AA:AA)="","",_xlfn.XLOOKUP($H190,'TRA TECH'!$J:$J,'TRA TECH'!AA:AA)))</f>
        <v>*</v>
      </c>
      <c r="Y190" t="str">
        <f>IF(H190="*","*",IF(_xlfn.XLOOKUP($H190,'TRA TECH'!$J:$J,'TRA TECH'!AB:AB)="","",_xlfn.XLOOKUP($H190,'TRA TECH'!$J:$J,'TRA TECH'!AB:AB)))</f>
        <v>*</v>
      </c>
      <c r="Z190" t="str">
        <f>IF(H190="*","*",IF(_xlfn.XLOOKUP($H190,'TRA TECH'!$J:$J,'TRA TECH'!AC:AC)="","",_xlfn.XLOOKUP($H190,'TRA TECH'!$J:$J,'TRA TECH'!AC:AC)))</f>
        <v>*</v>
      </c>
      <c r="AA190" t="str">
        <f>IF(H190="*","*",IF(_xlfn.XLOOKUP($H190,'TRA TECH'!$J:$J,'TRA TECH'!AD:AD)="","",_xlfn.XLOOKUP($H190,'TRA TECH'!$J:$J,'TRA TECH'!AD:AD)))</f>
        <v>*</v>
      </c>
      <c r="AB190" t="str">
        <f t="shared" si="13"/>
        <v>*</v>
      </c>
      <c r="AC190" s="15" t="str">
        <f>IF(H190="*","*",IF(_xlfn.XLOOKUP($H190,'TRA TECH'!$J:$J,'TRA TECH'!AE:AE)="","",_xlfn.XLOOKUP($H190,'TRA TECH'!$J:$J,'TRA TECH'!AE:AE)))</f>
        <v>*</v>
      </c>
      <c r="AD190" s="15" t="str">
        <f>IF(H190="*","*",IF(_xlfn.XLOOKUP($H190,'TRA TECH'!$J:$J,'TRA TECH'!AF:AF)="","",_xlfn.XLOOKUP($H190,'TRA TECH'!$J:$J,'TRA TECH'!AF:AF)))</f>
        <v>*</v>
      </c>
      <c r="AE190" s="15" t="str">
        <f>IF(H190="*","*",IF(_xlfn.XLOOKUP($H190,'TRA TECH'!$J:$J,'TRA TECH'!AG:AG)="","",_xlfn.XLOOKUP($H190,'TRA TECH'!$J:$J,'TRA TECH'!AG:AG)))</f>
        <v>*</v>
      </c>
      <c r="AF190" s="15" t="str">
        <f>IF(H190="*","*",IF(_xlfn.XLOOKUP($H190,'TRA TECH'!$J:$J,'TRA TECH'!AH:AH)="","",_xlfn.XLOOKUP($H190,'TRA TECH'!$J:$J,'TRA TECH'!AH:AH)))</f>
        <v>*</v>
      </c>
      <c r="AG190" s="15" t="str">
        <f>IF(H190="*","*",IF(_xlfn.XLOOKUP($H190,'TRA TECH'!$J:$J,'TRA TECH'!AI:AI)="","",_xlfn.XLOOKUP($H190,'TRA TECH'!$J:$J,'TRA TECH'!AI:AI)))</f>
        <v>*</v>
      </c>
      <c r="AH190" s="15" t="str">
        <f>IF(H190="*","*",IF(_xlfn.XLOOKUP($H190,'TRA TECH'!$J:$J,'TRA TECH'!AJ:AJ)="","",_xlfn.XLOOKUP($H190,'TRA TECH'!$J:$J,'TRA TECH'!AJ:AJ)))</f>
        <v>*</v>
      </c>
      <c r="AI190" s="15" t="str">
        <f>IF(H190="*","*",IF(_xlfn.XLOOKUP($H190,'TRA TECH'!$J:$J,'TRA TECH'!AK:AK)="","",_xlfn.XLOOKUP($H190,'TRA TECH'!$J:$J,'TRA TECH'!AK:AK)))</f>
        <v>*</v>
      </c>
      <c r="AJ190" s="15" t="str">
        <f t="shared" si="14"/>
        <v>*</v>
      </c>
      <c r="AK190" s="16" t="str">
        <f t="shared" si="15"/>
        <v>*</v>
      </c>
    </row>
    <row r="191" spans="2:37" x14ac:dyDescent="0.25">
      <c r="B191" t="str">
        <f>IF('TRA TECH'!M187=0,"*",IF('TRA TECH'!H187="","*",'TRA TECH'!J187))</f>
        <v>TRAFRECLHPHEVDSL20</v>
      </c>
      <c r="C191" t="str">
        <f>IF('TRA TECH'!M187=0,"*",'TRA TECH'!H187)</f>
        <v>TRADSL</v>
      </c>
      <c r="D191" t="s">
        <v>424</v>
      </c>
      <c r="E191" s="9">
        <f>'TRA TECH'!P187</f>
        <v>0.34675615212528432</v>
      </c>
      <c r="H191" t="str">
        <f>IF('TRA TECH'!M187=1,IF('TRA TECH'!L187=1,'TRA TECH'!J187,"*"),"*")</f>
        <v>TRAFRECLHPHEVDSL20</v>
      </c>
      <c r="I191" t="str">
        <f>IF(H191="*","*",_xlfn.XLOOKUP(H191,'TRA TECH'!J:J,'TRA TECH'!I:I))</f>
        <v>TRAFRECLHDMD</v>
      </c>
      <c r="J191">
        <f>IF(H191="*","*",_xlfn.XLOOKUP(H191,'TRA TECH'!J:J,'TRA TECH'!N:N))</f>
        <v>2020</v>
      </c>
      <c r="K191" s="15">
        <f>IF(H191="*","*",IF(_xlfn.XLOOKUP(H191,'TRA TECH'!J:J,'TRA TECH'!O:O)="","",_xlfn.XLOOKUP(H191,'TRA TECH'!J:J,'TRA TECH'!O:O)))</f>
        <v>10.89196958520898</v>
      </c>
      <c r="L191">
        <f t="shared" si="11"/>
        <v>1</v>
      </c>
      <c r="M191">
        <f>IF(H191="*","*",IF(_xlfn.XLOOKUP($H191,'TRA TECH'!$J:$J,'TRA TECH'!Q:Q)="","",_xlfn.XLOOKUP($H191,'TRA TECH'!$J:$J,'TRA TECH'!Q:Q)))</f>
        <v>0.18040783382789249</v>
      </c>
      <c r="N191">
        <f>IF(H191="*","*",IF(_xlfn.XLOOKUP($H191,'TRA TECH'!$J:$J,'TRA TECH'!R:R)="","",_xlfn.XLOOKUP($H191,'TRA TECH'!$J:$J,'TRA TECH'!R:R)))</f>
        <v>0.18040783382789249</v>
      </c>
      <c r="O191">
        <f>IF(H191="*","*",IF(_xlfn.XLOOKUP($H191,'TRA TECH'!$J:$J,'TRA TECH'!S:S)="","",_xlfn.XLOOKUP($H191,'TRA TECH'!$J:$J,'TRA TECH'!S:S)))</f>
        <v>0.20163228486646839</v>
      </c>
      <c r="P191">
        <f>IF(H191="*","*",IF(_xlfn.XLOOKUP($H191,'TRA TECH'!$J:$J,'TRA TECH'!T:T)="","",_xlfn.XLOOKUP($H191,'TRA TECH'!$J:$J,'TRA TECH'!T:T)))</f>
        <v>0.22285673590504509</v>
      </c>
      <c r="Q191">
        <f>IF(H191="*","*",IF(_xlfn.XLOOKUP($H191,'TRA TECH'!$J:$J,'TRA TECH'!U:U)="","",_xlfn.XLOOKUP($H191,'TRA TECH'!$J:$J,'TRA TECH'!U:U)))</f>
        <v>0.23214243323442141</v>
      </c>
      <c r="R191">
        <f>IF(H191="*","*",IF(_xlfn.XLOOKUP($H191,'TRA TECH'!$J:$J,'TRA TECH'!V:V)="","",_xlfn.XLOOKUP($H191,'TRA TECH'!$J:$J,'TRA TECH'!V:V)))</f>
        <v>0.2414281305637975</v>
      </c>
      <c r="S191">
        <f>IF(H191="*","*",IF(_xlfn.XLOOKUP($H191,'TRA TECH'!$J:$J,'TRA TECH'!W:W)="","",_xlfn.XLOOKUP($H191,'TRA TECH'!$J:$J,'TRA TECH'!W:W)))</f>
        <v>0.25204035608308611</v>
      </c>
      <c r="T191">
        <f t="shared" si="12"/>
        <v>0.25204035608308611</v>
      </c>
      <c r="U191">
        <f>IF(H191="*","*",IF(_xlfn.XLOOKUP($H191,'TRA TECH'!$J:$J,'TRA TECH'!X:X)="","",_xlfn.XLOOKUP($H191,'TRA TECH'!$J:$J,'TRA TECH'!X:X)))</f>
        <v>374.14012542777448</v>
      </c>
      <c r="V191">
        <f>IF(H191="*","*",IF(_xlfn.XLOOKUP($H191,'TRA TECH'!$J:$J,'TRA TECH'!Y:Y)="","",_xlfn.XLOOKUP($H191,'TRA TECH'!$J:$J,'TRA TECH'!Y:Y)))</f>
        <v>374.14012542777448</v>
      </c>
      <c r="W191">
        <f>IF(H191="*","*",IF(_xlfn.XLOOKUP($H191,'TRA TECH'!$J:$J,'TRA TECH'!Z:Z)="","",_xlfn.XLOOKUP($H191,'TRA TECH'!$J:$J,'TRA TECH'!Z:Z)))</f>
        <v>325.06090745340788</v>
      </c>
      <c r="X191">
        <f>IF(H191="*","*",IF(_xlfn.XLOOKUP($H191,'TRA TECH'!$J:$J,'TRA TECH'!AA:AA)="","",_xlfn.XLOOKUP($H191,'TRA TECH'!$J:$J,'TRA TECH'!AA:AA)))</f>
        <v>300.16565195916411</v>
      </c>
      <c r="Y191">
        <f>IF(H191="*","*",IF(_xlfn.XLOOKUP($H191,'TRA TECH'!$J:$J,'TRA TECH'!AB:AB)="","",_xlfn.XLOOKUP($H191,'TRA TECH'!$J:$J,'TRA TECH'!AB:AB)))</f>
        <v>290.91884277558938</v>
      </c>
      <c r="Z191">
        <f>IF(H191="*","*",IF(_xlfn.XLOOKUP($H191,'TRA TECH'!$J:$J,'TRA TECH'!AC:AC)="","",_xlfn.XLOOKUP($H191,'TRA TECH'!$J:$J,'TRA TECH'!AC:AC)))</f>
        <v>280.96074057789201</v>
      </c>
      <c r="AA191">
        <f>IF(H191="*","*",IF(_xlfn.XLOOKUP($H191,'TRA TECH'!$J:$J,'TRA TECH'!AD:AD)="","",_xlfn.XLOOKUP($H191,'TRA TECH'!$J:$J,'TRA TECH'!AD:AD)))</f>
        <v>271.71393139431541</v>
      </c>
      <c r="AB191">
        <f t="shared" si="13"/>
        <v>271.71393139431541</v>
      </c>
      <c r="AC191" s="15">
        <f>IF(H191="*","*",IF(_xlfn.XLOOKUP($H191,'TRA TECH'!$J:$J,'TRA TECH'!AE:AE)="","",_xlfn.XLOOKUP($H191,'TRA TECH'!$J:$J,'TRA TECH'!AE:AE)))</f>
        <v>9.9262614810501226</v>
      </c>
      <c r="AD191" s="15">
        <f>IF(H191="*","*",IF(_xlfn.XLOOKUP($H191,'TRA TECH'!$J:$J,'TRA TECH'!AF:AF)="","",_xlfn.XLOOKUP($H191,'TRA TECH'!$J:$J,'TRA TECH'!AF:AF)))</f>
        <v>9.9262614810501226</v>
      </c>
      <c r="AE191" s="15">
        <f>IF(H191="*","*",IF(_xlfn.XLOOKUP($H191,'TRA TECH'!$J:$J,'TRA TECH'!AG:AG)="","",_xlfn.XLOOKUP($H191,'TRA TECH'!$J:$J,'TRA TECH'!AG:AG)))</f>
        <v>9.9262614810501226</v>
      </c>
      <c r="AF191" s="15">
        <f>IF(H191="*","*",IF(_xlfn.XLOOKUP($H191,'TRA TECH'!$J:$J,'TRA TECH'!AH:AH)="","",_xlfn.XLOOKUP($H191,'TRA TECH'!$J:$J,'TRA TECH'!AH:AH)))</f>
        <v>9.9262614810501226</v>
      </c>
      <c r="AG191" s="15">
        <f>IF(H191="*","*",IF(_xlfn.XLOOKUP($H191,'TRA TECH'!$J:$J,'TRA TECH'!AI:AI)="","",_xlfn.XLOOKUP($H191,'TRA TECH'!$J:$J,'TRA TECH'!AI:AI)))</f>
        <v>9.9262614810501226</v>
      </c>
      <c r="AH191" s="15">
        <f>IF(H191="*","*",IF(_xlfn.XLOOKUP($H191,'TRA TECH'!$J:$J,'TRA TECH'!AJ:AJ)="","",_xlfn.XLOOKUP($H191,'TRA TECH'!$J:$J,'TRA TECH'!AJ:AJ)))</f>
        <v>9.9262614810501226</v>
      </c>
      <c r="AI191" s="15">
        <f>IF(H191="*","*",IF(_xlfn.XLOOKUP($H191,'TRA TECH'!$J:$J,'TRA TECH'!AK:AK)="","",_xlfn.XLOOKUP($H191,'TRA TECH'!$J:$J,'TRA TECH'!AK:AK)))</f>
        <v>9.9262614810501226</v>
      </c>
      <c r="AJ191" s="15">
        <f t="shared" si="14"/>
        <v>9.9262614810501226</v>
      </c>
      <c r="AK191" s="16">
        <f t="shared" si="15"/>
        <v>0.25</v>
      </c>
    </row>
    <row r="192" spans="2:37" x14ac:dyDescent="0.25">
      <c r="B192" t="str">
        <f>IF('TRA TECH'!M188=0,"*",IF('TRA TECH'!H188="","*",'TRA TECH'!J188))</f>
        <v>TRAFRECLHPHEVDSL20</v>
      </c>
      <c r="C192" t="str">
        <f>IF('TRA TECH'!M188=0,"*",'TRA TECH'!H188)</f>
        <v>TRARDS</v>
      </c>
      <c r="D192" t="s">
        <v>424</v>
      </c>
      <c r="E192" s="9">
        <f>'TRA TECH'!P188</f>
        <v>0.34675615212528432</v>
      </c>
      <c r="H192" t="str">
        <f>IF('TRA TECH'!M188=1,IF('TRA TECH'!L188=1,'TRA TECH'!J188,"*"),"*")</f>
        <v>*</v>
      </c>
      <c r="I192" t="str">
        <f>IF(H192="*","*",_xlfn.XLOOKUP(H192,'TRA TECH'!J:J,'TRA TECH'!I:I))</f>
        <v>*</v>
      </c>
      <c r="J192" t="str">
        <f>IF(H192="*","*",_xlfn.XLOOKUP(H192,'TRA TECH'!J:J,'TRA TECH'!N:N))</f>
        <v>*</v>
      </c>
      <c r="K192" s="15" t="str">
        <f>IF(H192="*","*",IF(_xlfn.XLOOKUP(H192,'TRA TECH'!J:J,'TRA TECH'!O:O)="","",_xlfn.XLOOKUP(H192,'TRA TECH'!J:J,'TRA TECH'!O:O)))</f>
        <v>*</v>
      </c>
      <c r="L192" t="str">
        <f t="shared" si="11"/>
        <v>*</v>
      </c>
      <c r="M192" t="str">
        <f>IF(H192="*","*",IF(_xlfn.XLOOKUP($H192,'TRA TECH'!$J:$J,'TRA TECH'!Q:Q)="","",_xlfn.XLOOKUP($H192,'TRA TECH'!$J:$J,'TRA TECH'!Q:Q)))</f>
        <v>*</v>
      </c>
      <c r="N192" t="str">
        <f>IF(H192="*","*",IF(_xlfn.XLOOKUP($H192,'TRA TECH'!$J:$J,'TRA TECH'!R:R)="","",_xlfn.XLOOKUP($H192,'TRA TECH'!$J:$J,'TRA TECH'!R:R)))</f>
        <v>*</v>
      </c>
      <c r="O192" t="str">
        <f>IF(H192="*","*",IF(_xlfn.XLOOKUP($H192,'TRA TECH'!$J:$J,'TRA TECH'!S:S)="","",_xlfn.XLOOKUP($H192,'TRA TECH'!$J:$J,'TRA TECH'!S:S)))</f>
        <v>*</v>
      </c>
      <c r="P192" t="str">
        <f>IF(H192="*","*",IF(_xlfn.XLOOKUP($H192,'TRA TECH'!$J:$J,'TRA TECH'!T:T)="","",_xlfn.XLOOKUP($H192,'TRA TECH'!$J:$J,'TRA TECH'!T:T)))</f>
        <v>*</v>
      </c>
      <c r="Q192" t="str">
        <f>IF(H192="*","*",IF(_xlfn.XLOOKUP($H192,'TRA TECH'!$J:$J,'TRA TECH'!U:U)="","",_xlfn.XLOOKUP($H192,'TRA TECH'!$J:$J,'TRA TECH'!U:U)))</f>
        <v>*</v>
      </c>
      <c r="R192" t="str">
        <f>IF(H192="*","*",IF(_xlfn.XLOOKUP($H192,'TRA TECH'!$J:$J,'TRA TECH'!V:V)="","",_xlfn.XLOOKUP($H192,'TRA TECH'!$J:$J,'TRA TECH'!V:V)))</f>
        <v>*</v>
      </c>
      <c r="S192" t="str">
        <f>IF(H192="*","*",IF(_xlfn.XLOOKUP($H192,'TRA TECH'!$J:$J,'TRA TECH'!W:W)="","",_xlfn.XLOOKUP($H192,'TRA TECH'!$J:$J,'TRA TECH'!W:W)))</f>
        <v>*</v>
      </c>
      <c r="T192" t="str">
        <f t="shared" si="12"/>
        <v>*</v>
      </c>
      <c r="U192" t="str">
        <f>IF(H192="*","*",IF(_xlfn.XLOOKUP($H192,'TRA TECH'!$J:$J,'TRA TECH'!X:X)="","",_xlfn.XLOOKUP($H192,'TRA TECH'!$J:$J,'TRA TECH'!X:X)))</f>
        <v>*</v>
      </c>
      <c r="V192" t="str">
        <f>IF(H192="*","*",IF(_xlfn.XLOOKUP($H192,'TRA TECH'!$J:$J,'TRA TECH'!Y:Y)="","",_xlfn.XLOOKUP($H192,'TRA TECH'!$J:$J,'TRA TECH'!Y:Y)))</f>
        <v>*</v>
      </c>
      <c r="W192" t="str">
        <f>IF(H192="*","*",IF(_xlfn.XLOOKUP($H192,'TRA TECH'!$J:$J,'TRA TECH'!Z:Z)="","",_xlfn.XLOOKUP($H192,'TRA TECH'!$J:$J,'TRA TECH'!Z:Z)))</f>
        <v>*</v>
      </c>
      <c r="X192" t="str">
        <f>IF(H192="*","*",IF(_xlfn.XLOOKUP($H192,'TRA TECH'!$J:$J,'TRA TECH'!AA:AA)="","",_xlfn.XLOOKUP($H192,'TRA TECH'!$J:$J,'TRA TECH'!AA:AA)))</f>
        <v>*</v>
      </c>
      <c r="Y192" t="str">
        <f>IF(H192="*","*",IF(_xlfn.XLOOKUP($H192,'TRA TECH'!$J:$J,'TRA TECH'!AB:AB)="","",_xlfn.XLOOKUP($H192,'TRA TECH'!$J:$J,'TRA TECH'!AB:AB)))</f>
        <v>*</v>
      </c>
      <c r="Z192" t="str">
        <f>IF(H192="*","*",IF(_xlfn.XLOOKUP($H192,'TRA TECH'!$J:$J,'TRA TECH'!AC:AC)="","",_xlfn.XLOOKUP($H192,'TRA TECH'!$J:$J,'TRA TECH'!AC:AC)))</f>
        <v>*</v>
      </c>
      <c r="AA192" t="str">
        <f>IF(H192="*","*",IF(_xlfn.XLOOKUP($H192,'TRA TECH'!$J:$J,'TRA TECH'!AD:AD)="","",_xlfn.XLOOKUP($H192,'TRA TECH'!$J:$J,'TRA TECH'!AD:AD)))</f>
        <v>*</v>
      </c>
      <c r="AB192" t="str">
        <f t="shared" si="13"/>
        <v>*</v>
      </c>
      <c r="AC192" s="15" t="str">
        <f>IF(H192="*","*",IF(_xlfn.XLOOKUP($H192,'TRA TECH'!$J:$J,'TRA TECH'!AE:AE)="","",_xlfn.XLOOKUP($H192,'TRA TECH'!$J:$J,'TRA TECH'!AE:AE)))</f>
        <v>*</v>
      </c>
      <c r="AD192" s="15" t="str">
        <f>IF(H192="*","*",IF(_xlfn.XLOOKUP($H192,'TRA TECH'!$J:$J,'TRA TECH'!AF:AF)="","",_xlfn.XLOOKUP($H192,'TRA TECH'!$J:$J,'TRA TECH'!AF:AF)))</f>
        <v>*</v>
      </c>
      <c r="AE192" s="15" t="str">
        <f>IF(H192="*","*",IF(_xlfn.XLOOKUP($H192,'TRA TECH'!$J:$J,'TRA TECH'!AG:AG)="","",_xlfn.XLOOKUP($H192,'TRA TECH'!$J:$J,'TRA TECH'!AG:AG)))</f>
        <v>*</v>
      </c>
      <c r="AF192" s="15" t="str">
        <f>IF(H192="*","*",IF(_xlfn.XLOOKUP($H192,'TRA TECH'!$J:$J,'TRA TECH'!AH:AH)="","",_xlfn.XLOOKUP($H192,'TRA TECH'!$J:$J,'TRA TECH'!AH:AH)))</f>
        <v>*</v>
      </c>
      <c r="AG192" s="15" t="str">
        <f>IF(H192="*","*",IF(_xlfn.XLOOKUP($H192,'TRA TECH'!$J:$J,'TRA TECH'!AI:AI)="","",_xlfn.XLOOKUP($H192,'TRA TECH'!$J:$J,'TRA TECH'!AI:AI)))</f>
        <v>*</v>
      </c>
      <c r="AH192" s="15" t="str">
        <f>IF(H192="*","*",IF(_xlfn.XLOOKUP($H192,'TRA TECH'!$J:$J,'TRA TECH'!AJ:AJ)="","",_xlfn.XLOOKUP($H192,'TRA TECH'!$J:$J,'TRA TECH'!AJ:AJ)))</f>
        <v>*</v>
      </c>
      <c r="AI192" s="15" t="str">
        <f>IF(H192="*","*",IF(_xlfn.XLOOKUP($H192,'TRA TECH'!$J:$J,'TRA TECH'!AK:AK)="","",_xlfn.XLOOKUP($H192,'TRA TECH'!$J:$J,'TRA TECH'!AK:AK)))</f>
        <v>*</v>
      </c>
      <c r="AJ192" s="15" t="str">
        <f t="shared" si="14"/>
        <v>*</v>
      </c>
      <c r="AK192" s="16" t="str">
        <f t="shared" si="15"/>
        <v>*</v>
      </c>
    </row>
    <row r="193" spans="2:37" x14ac:dyDescent="0.25">
      <c r="B193" t="str">
        <f>IF('TRA TECH'!M189=0,"*",IF('TRA TECH'!H189="","*",'TRA TECH'!J189))</f>
        <v>TRAFRECLHPHEVDSL20</v>
      </c>
      <c r="C193" t="str">
        <f>IF('TRA TECH'!M189=0,"*",'TRA TECH'!H189)</f>
        <v>TRABDS</v>
      </c>
      <c r="D193" t="s">
        <v>424</v>
      </c>
      <c r="E193" s="9">
        <f>'TRA TECH'!P189</f>
        <v>0.1</v>
      </c>
      <c r="H193" t="str">
        <f>IF('TRA TECH'!M189=1,IF('TRA TECH'!L189=1,'TRA TECH'!J189,"*"),"*")</f>
        <v>*</v>
      </c>
      <c r="I193" t="str">
        <f>IF(H193="*","*",_xlfn.XLOOKUP(H193,'TRA TECH'!J:J,'TRA TECH'!I:I))</f>
        <v>*</v>
      </c>
      <c r="J193" t="str">
        <f>IF(H193="*","*",_xlfn.XLOOKUP(H193,'TRA TECH'!J:J,'TRA TECH'!N:N))</f>
        <v>*</v>
      </c>
      <c r="K193" s="15" t="str">
        <f>IF(H193="*","*",IF(_xlfn.XLOOKUP(H193,'TRA TECH'!J:J,'TRA TECH'!O:O)="","",_xlfn.XLOOKUP(H193,'TRA TECH'!J:J,'TRA TECH'!O:O)))</f>
        <v>*</v>
      </c>
      <c r="L193" t="str">
        <f t="shared" si="11"/>
        <v>*</v>
      </c>
      <c r="M193" t="str">
        <f>IF(H193="*","*",IF(_xlfn.XLOOKUP($H193,'TRA TECH'!$J:$J,'TRA TECH'!Q:Q)="","",_xlfn.XLOOKUP($H193,'TRA TECH'!$J:$J,'TRA TECH'!Q:Q)))</f>
        <v>*</v>
      </c>
      <c r="N193" t="str">
        <f>IF(H193="*","*",IF(_xlfn.XLOOKUP($H193,'TRA TECH'!$J:$J,'TRA TECH'!R:R)="","",_xlfn.XLOOKUP($H193,'TRA TECH'!$J:$J,'TRA TECH'!R:R)))</f>
        <v>*</v>
      </c>
      <c r="O193" t="str">
        <f>IF(H193="*","*",IF(_xlfn.XLOOKUP($H193,'TRA TECH'!$J:$J,'TRA TECH'!S:S)="","",_xlfn.XLOOKUP($H193,'TRA TECH'!$J:$J,'TRA TECH'!S:S)))</f>
        <v>*</v>
      </c>
      <c r="P193" t="str">
        <f>IF(H193="*","*",IF(_xlfn.XLOOKUP($H193,'TRA TECH'!$J:$J,'TRA TECH'!T:T)="","",_xlfn.XLOOKUP($H193,'TRA TECH'!$J:$J,'TRA TECH'!T:T)))</f>
        <v>*</v>
      </c>
      <c r="Q193" t="str">
        <f>IF(H193="*","*",IF(_xlfn.XLOOKUP($H193,'TRA TECH'!$J:$J,'TRA TECH'!U:U)="","",_xlfn.XLOOKUP($H193,'TRA TECH'!$J:$J,'TRA TECH'!U:U)))</f>
        <v>*</v>
      </c>
      <c r="R193" t="str">
        <f>IF(H193="*","*",IF(_xlfn.XLOOKUP($H193,'TRA TECH'!$J:$J,'TRA TECH'!V:V)="","",_xlfn.XLOOKUP($H193,'TRA TECH'!$J:$J,'TRA TECH'!V:V)))</f>
        <v>*</v>
      </c>
      <c r="S193" t="str">
        <f>IF(H193="*","*",IF(_xlfn.XLOOKUP($H193,'TRA TECH'!$J:$J,'TRA TECH'!W:W)="","",_xlfn.XLOOKUP($H193,'TRA TECH'!$J:$J,'TRA TECH'!W:W)))</f>
        <v>*</v>
      </c>
      <c r="T193" t="str">
        <f t="shared" si="12"/>
        <v>*</v>
      </c>
      <c r="U193" t="str">
        <f>IF(H193="*","*",IF(_xlfn.XLOOKUP($H193,'TRA TECH'!$J:$J,'TRA TECH'!X:X)="","",_xlfn.XLOOKUP($H193,'TRA TECH'!$J:$J,'TRA TECH'!X:X)))</f>
        <v>*</v>
      </c>
      <c r="V193" t="str">
        <f>IF(H193="*","*",IF(_xlfn.XLOOKUP($H193,'TRA TECH'!$J:$J,'TRA TECH'!Y:Y)="","",_xlfn.XLOOKUP($H193,'TRA TECH'!$J:$J,'TRA TECH'!Y:Y)))</f>
        <v>*</v>
      </c>
      <c r="W193" t="str">
        <f>IF(H193="*","*",IF(_xlfn.XLOOKUP($H193,'TRA TECH'!$J:$J,'TRA TECH'!Z:Z)="","",_xlfn.XLOOKUP($H193,'TRA TECH'!$J:$J,'TRA TECH'!Z:Z)))</f>
        <v>*</v>
      </c>
      <c r="X193" t="str">
        <f>IF(H193="*","*",IF(_xlfn.XLOOKUP($H193,'TRA TECH'!$J:$J,'TRA TECH'!AA:AA)="","",_xlfn.XLOOKUP($H193,'TRA TECH'!$J:$J,'TRA TECH'!AA:AA)))</f>
        <v>*</v>
      </c>
      <c r="Y193" t="str">
        <f>IF(H193="*","*",IF(_xlfn.XLOOKUP($H193,'TRA TECH'!$J:$J,'TRA TECH'!AB:AB)="","",_xlfn.XLOOKUP($H193,'TRA TECH'!$J:$J,'TRA TECH'!AB:AB)))</f>
        <v>*</v>
      </c>
      <c r="Z193" t="str">
        <f>IF(H193="*","*",IF(_xlfn.XLOOKUP($H193,'TRA TECH'!$J:$J,'TRA TECH'!AC:AC)="","",_xlfn.XLOOKUP($H193,'TRA TECH'!$J:$J,'TRA TECH'!AC:AC)))</f>
        <v>*</v>
      </c>
      <c r="AA193" t="str">
        <f>IF(H193="*","*",IF(_xlfn.XLOOKUP($H193,'TRA TECH'!$J:$J,'TRA TECH'!AD:AD)="","",_xlfn.XLOOKUP($H193,'TRA TECH'!$J:$J,'TRA TECH'!AD:AD)))</f>
        <v>*</v>
      </c>
      <c r="AB193" t="str">
        <f t="shared" si="13"/>
        <v>*</v>
      </c>
      <c r="AC193" s="15" t="str">
        <f>IF(H193="*","*",IF(_xlfn.XLOOKUP($H193,'TRA TECH'!$J:$J,'TRA TECH'!AE:AE)="","",_xlfn.XLOOKUP($H193,'TRA TECH'!$J:$J,'TRA TECH'!AE:AE)))</f>
        <v>*</v>
      </c>
      <c r="AD193" s="15" t="str">
        <f>IF(H193="*","*",IF(_xlfn.XLOOKUP($H193,'TRA TECH'!$J:$J,'TRA TECH'!AF:AF)="","",_xlfn.XLOOKUP($H193,'TRA TECH'!$J:$J,'TRA TECH'!AF:AF)))</f>
        <v>*</v>
      </c>
      <c r="AE193" s="15" t="str">
        <f>IF(H193="*","*",IF(_xlfn.XLOOKUP($H193,'TRA TECH'!$J:$J,'TRA TECH'!AG:AG)="","",_xlfn.XLOOKUP($H193,'TRA TECH'!$J:$J,'TRA TECH'!AG:AG)))</f>
        <v>*</v>
      </c>
      <c r="AF193" s="15" t="str">
        <f>IF(H193="*","*",IF(_xlfn.XLOOKUP($H193,'TRA TECH'!$J:$J,'TRA TECH'!AH:AH)="","",_xlfn.XLOOKUP($H193,'TRA TECH'!$J:$J,'TRA TECH'!AH:AH)))</f>
        <v>*</v>
      </c>
      <c r="AG193" s="15" t="str">
        <f>IF(H193="*","*",IF(_xlfn.XLOOKUP($H193,'TRA TECH'!$J:$J,'TRA TECH'!AI:AI)="","",_xlfn.XLOOKUP($H193,'TRA TECH'!$J:$J,'TRA TECH'!AI:AI)))</f>
        <v>*</v>
      </c>
      <c r="AH193" s="15" t="str">
        <f>IF(H193="*","*",IF(_xlfn.XLOOKUP($H193,'TRA TECH'!$J:$J,'TRA TECH'!AJ:AJ)="","",_xlfn.XLOOKUP($H193,'TRA TECH'!$J:$J,'TRA TECH'!AJ:AJ)))</f>
        <v>*</v>
      </c>
      <c r="AI193" s="15" t="str">
        <f>IF(H193="*","*",IF(_xlfn.XLOOKUP($H193,'TRA TECH'!$J:$J,'TRA TECH'!AK:AK)="","",_xlfn.XLOOKUP($H193,'TRA TECH'!$J:$J,'TRA TECH'!AK:AK)))</f>
        <v>*</v>
      </c>
      <c r="AJ193" s="15" t="str">
        <f t="shared" si="14"/>
        <v>*</v>
      </c>
      <c r="AK193" s="16" t="str">
        <f t="shared" si="15"/>
        <v>*</v>
      </c>
    </row>
    <row r="194" spans="2:37" x14ac:dyDescent="0.25">
      <c r="B194" t="str">
        <f>IF('TRA TECH'!M190=0,"*",IF('TRA TECH'!H190="","*",'TRA TECH'!J190))</f>
        <v>TRAFRECLHPHEVDSL20</v>
      </c>
      <c r="C194" t="str">
        <f>IF('TRA TECH'!M190=0,"*",'TRA TECH'!H190)</f>
        <v>TRABAF</v>
      </c>
      <c r="D194" t="s">
        <v>424</v>
      </c>
      <c r="E194" s="9">
        <f>'TRA TECH'!P190</f>
        <v>0.65324384787471568</v>
      </c>
      <c r="H194" t="str">
        <f>IF('TRA TECH'!M190=1,IF('TRA TECH'!L190=1,'TRA TECH'!J190,"*"),"*")</f>
        <v>*</v>
      </c>
      <c r="I194" t="str">
        <f>IF(H194="*","*",_xlfn.XLOOKUP(H194,'TRA TECH'!J:J,'TRA TECH'!I:I))</f>
        <v>*</v>
      </c>
      <c r="J194" t="str">
        <f>IF(H194="*","*",_xlfn.XLOOKUP(H194,'TRA TECH'!J:J,'TRA TECH'!N:N))</f>
        <v>*</v>
      </c>
      <c r="K194" s="15" t="str">
        <f>IF(H194="*","*",IF(_xlfn.XLOOKUP(H194,'TRA TECH'!J:J,'TRA TECH'!O:O)="","",_xlfn.XLOOKUP(H194,'TRA TECH'!J:J,'TRA TECH'!O:O)))</f>
        <v>*</v>
      </c>
      <c r="L194" t="str">
        <f t="shared" si="11"/>
        <v>*</v>
      </c>
      <c r="M194" t="str">
        <f>IF(H194="*","*",IF(_xlfn.XLOOKUP($H194,'TRA TECH'!$J:$J,'TRA TECH'!Q:Q)="","",_xlfn.XLOOKUP($H194,'TRA TECH'!$J:$J,'TRA TECH'!Q:Q)))</f>
        <v>*</v>
      </c>
      <c r="N194" t="str">
        <f>IF(H194="*","*",IF(_xlfn.XLOOKUP($H194,'TRA TECH'!$J:$J,'TRA TECH'!R:R)="","",_xlfn.XLOOKUP($H194,'TRA TECH'!$J:$J,'TRA TECH'!R:R)))</f>
        <v>*</v>
      </c>
      <c r="O194" t="str">
        <f>IF(H194="*","*",IF(_xlfn.XLOOKUP($H194,'TRA TECH'!$J:$J,'TRA TECH'!S:S)="","",_xlfn.XLOOKUP($H194,'TRA TECH'!$J:$J,'TRA TECH'!S:S)))</f>
        <v>*</v>
      </c>
      <c r="P194" t="str">
        <f>IF(H194="*","*",IF(_xlfn.XLOOKUP($H194,'TRA TECH'!$J:$J,'TRA TECH'!T:T)="","",_xlfn.XLOOKUP($H194,'TRA TECH'!$J:$J,'TRA TECH'!T:T)))</f>
        <v>*</v>
      </c>
      <c r="Q194" t="str">
        <f>IF(H194="*","*",IF(_xlfn.XLOOKUP($H194,'TRA TECH'!$J:$J,'TRA TECH'!U:U)="","",_xlfn.XLOOKUP($H194,'TRA TECH'!$J:$J,'TRA TECH'!U:U)))</f>
        <v>*</v>
      </c>
      <c r="R194" t="str">
        <f>IF(H194="*","*",IF(_xlfn.XLOOKUP($H194,'TRA TECH'!$J:$J,'TRA TECH'!V:V)="","",_xlfn.XLOOKUP($H194,'TRA TECH'!$J:$J,'TRA TECH'!V:V)))</f>
        <v>*</v>
      </c>
      <c r="S194" t="str">
        <f>IF(H194="*","*",IF(_xlfn.XLOOKUP($H194,'TRA TECH'!$J:$J,'TRA TECH'!W:W)="","",_xlfn.XLOOKUP($H194,'TRA TECH'!$J:$J,'TRA TECH'!W:W)))</f>
        <v>*</v>
      </c>
      <c r="T194" t="str">
        <f t="shared" si="12"/>
        <v>*</v>
      </c>
      <c r="U194" t="str">
        <f>IF(H194="*","*",IF(_xlfn.XLOOKUP($H194,'TRA TECH'!$J:$J,'TRA TECH'!X:X)="","",_xlfn.XLOOKUP($H194,'TRA TECH'!$J:$J,'TRA TECH'!X:X)))</f>
        <v>*</v>
      </c>
      <c r="V194" t="str">
        <f>IF(H194="*","*",IF(_xlfn.XLOOKUP($H194,'TRA TECH'!$J:$J,'TRA TECH'!Y:Y)="","",_xlfn.XLOOKUP($H194,'TRA TECH'!$J:$J,'TRA TECH'!Y:Y)))</f>
        <v>*</v>
      </c>
      <c r="W194" t="str">
        <f>IF(H194="*","*",IF(_xlfn.XLOOKUP($H194,'TRA TECH'!$J:$J,'TRA TECH'!Z:Z)="","",_xlfn.XLOOKUP($H194,'TRA TECH'!$J:$J,'TRA TECH'!Z:Z)))</f>
        <v>*</v>
      </c>
      <c r="X194" t="str">
        <f>IF(H194="*","*",IF(_xlfn.XLOOKUP($H194,'TRA TECH'!$J:$J,'TRA TECH'!AA:AA)="","",_xlfn.XLOOKUP($H194,'TRA TECH'!$J:$J,'TRA TECH'!AA:AA)))</f>
        <v>*</v>
      </c>
      <c r="Y194" t="str">
        <f>IF(H194="*","*",IF(_xlfn.XLOOKUP($H194,'TRA TECH'!$J:$J,'TRA TECH'!AB:AB)="","",_xlfn.XLOOKUP($H194,'TRA TECH'!$J:$J,'TRA TECH'!AB:AB)))</f>
        <v>*</v>
      </c>
      <c r="Z194" t="str">
        <f>IF(H194="*","*",IF(_xlfn.XLOOKUP($H194,'TRA TECH'!$J:$J,'TRA TECH'!AC:AC)="","",_xlfn.XLOOKUP($H194,'TRA TECH'!$J:$J,'TRA TECH'!AC:AC)))</f>
        <v>*</v>
      </c>
      <c r="AA194" t="str">
        <f>IF(H194="*","*",IF(_xlfn.XLOOKUP($H194,'TRA TECH'!$J:$J,'TRA TECH'!AD:AD)="","",_xlfn.XLOOKUP($H194,'TRA TECH'!$J:$J,'TRA TECH'!AD:AD)))</f>
        <v>*</v>
      </c>
      <c r="AB194" t="str">
        <f t="shared" si="13"/>
        <v>*</v>
      </c>
      <c r="AC194" s="15" t="str">
        <f>IF(H194="*","*",IF(_xlfn.XLOOKUP($H194,'TRA TECH'!$J:$J,'TRA TECH'!AE:AE)="","",_xlfn.XLOOKUP($H194,'TRA TECH'!$J:$J,'TRA TECH'!AE:AE)))</f>
        <v>*</v>
      </c>
      <c r="AD194" s="15" t="str">
        <f>IF(H194="*","*",IF(_xlfn.XLOOKUP($H194,'TRA TECH'!$J:$J,'TRA TECH'!AF:AF)="","",_xlfn.XLOOKUP($H194,'TRA TECH'!$J:$J,'TRA TECH'!AF:AF)))</f>
        <v>*</v>
      </c>
      <c r="AE194" s="15" t="str">
        <f>IF(H194="*","*",IF(_xlfn.XLOOKUP($H194,'TRA TECH'!$J:$J,'TRA TECH'!AG:AG)="","",_xlfn.XLOOKUP($H194,'TRA TECH'!$J:$J,'TRA TECH'!AG:AG)))</f>
        <v>*</v>
      </c>
      <c r="AF194" s="15" t="str">
        <f>IF(H194="*","*",IF(_xlfn.XLOOKUP($H194,'TRA TECH'!$J:$J,'TRA TECH'!AH:AH)="","",_xlfn.XLOOKUP($H194,'TRA TECH'!$J:$J,'TRA TECH'!AH:AH)))</f>
        <v>*</v>
      </c>
      <c r="AG194" s="15" t="str">
        <f>IF(H194="*","*",IF(_xlfn.XLOOKUP($H194,'TRA TECH'!$J:$J,'TRA TECH'!AI:AI)="","",_xlfn.XLOOKUP($H194,'TRA TECH'!$J:$J,'TRA TECH'!AI:AI)))</f>
        <v>*</v>
      </c>
      <c r="AH194" s="15" t="str">
        <f>IF(H194="*","*",IF(_xlfn.XLOOKUP($H194,'TRA TECH'!$J:$J,'TRA TECH'!AJ:AJ)="","",_xlfn.XLOOKUP($H194,'TRA TECH'!$J:$J,'TRA TECH'!AJ:AJ)))</f>
        <v>*</v>
      </c>
      <c r="AI194" s="15" t="str">
        <f>IF(H194="*","*",IF(_xlfn.XLOOKUP($H194,'TRA TECH'!$J:$J,'TRA TECH'!AK:AK)="","",_xlfn.XLOOKUP($H194,'TRA TECH'!$J:$J,'TRA TECH'!AK:AK)))</f>
        <v>*</v>
      </c>
      <c r="AJ194" s="15" t="str">
        <f t="shared" si="14"/>
        <v>*</v>
      </c>
      <c r="AK194" s="16" t="str">
        <f t="shared" si="15"/>
        <v>*</v>
      </c>
    </row>
    <row r="195" spans="2:37" x14ac:dyDescent="0.25">
      <c r="B195" t="str">
        <f>IF('TRA TECH'!M191=0,"*",IF('TRA TECH'!H191="","*",'TRA TECH'!J191))</f>
        <v>TRAFRECLHFCEV20</v>
      </c>
      <c r="C195" t="str">
        <f>IF('TRA TECH'!M191=0,"*",'TRA TECH'!H191)</f>
        <v>TRAH2G</v>
      </c>
      <c r="D195" t="s">
        <v>424</v>
      </c>
      <c r="E195" s="9">
        <f>'TRA TECH'!P191</f>
        <v>1</v>
      </c>
      <c r="H195" t="str">
        <f>IF('TRA TECH'!M191=1,IF('TRA TECH'!L191=1,'TRA TECH'!J191,"*"),"*")</f>
        <v>TRAFRECLHFCEV20</v>
      </c>
      <c r="I195" t="str">
        <f>IF(H195="*","*",_xlfn.XLOOKUP(H195,'TRA TECH'!J:J,'TRA TECH'!I:I))</f>
        <v>TRAFRECLHDMD</v>
      </c>
      <c r="J195">
        <f>IF(H195="*","*",_xlfn.XLOOKUP(H195,'TRA TECH'!J:J,'TRA TECH'!N:N))</f>
        <v>2020</v>
      </c>
      <c r="K195" s="15">
        <f>IF(H195="*","*",IF(_xlfn.XLOOKUP(H195,'TRA TECH'!J:J,'TRA TECH'!O:O)="","",_xlfn.XLOOKUP(H195,'TRA TECH'!J:J,'TRA TECH'!O:O)))</f>
        <v>10.89196958520898</v>
      </c>
      <c r="L195">
        <f t="shared" si="11"/>
        <v>1</v>
      </c>
      <c r="M195">
        <f>IF(H195="*","*",IF(_xlfn.XLOOKUP($H195,'TRA TECH'!$J:$J,'TRA TECH'!Q:Q)="","",_xlfn.XLOOKUP($H195,'TRA TECH'!$J:$J,'TRA TECH'!Q:Q)))</f>
        <v>0.1150099940652819</v>
      </c>
      <c r="N195">
        <f>IF(H195="*","*",IF(_xlfn.XLOOKUP($H195,'TRA TECH'!$J:$J,'TRA TECH'!R:R)="","",_xlfn.XLOOKUP($H195,'TRA TECH'!$J:$J,'TRA TECH'!R:R)))</f>
        <v>0.1150099940652819</v>
      </c>
      <c r="O195">
        <f>IF(H195="*","*",IF(_xlfn.XLOOKUP($H195,'TRA TECH'!$J:$J,'TRA TECH'!S:S)="","",_xlfn.XLOOKUP($H195,'TRA TECH'!$J:$J,'TRA TECH'!S:S)))</f>
        <v>0.12933649851632051</v>
      </c>
      <c r="P195">
        <f>IF(H195="*","*",IF(_xlfn.XLOOKUP($H195,'TRA TECH'!$J:$J,'TRA TECH'!T:T)="","",_xlfn.XLOOKUP($H195,'TRA TECH'!$J:$J,'TRA TECH'!T:T)))</f>
        <v>0.14326504451038591</v>
      </c>
      <c r="Q195">
        <f>IF(H195="*","*",IF(_xlfn.XLOOKUP($H195,'TRA TECH'!$J:$J,'TRA TECH'!U:U)="","",_xlfn.XLOOKUP($H195,'TRA TECH'!$J:$J,'TRA TECH'!U:U)))</f>
        <v>0.15122421364985161</v>
      </c>
      <c r="R195">
        <f>IF(H195="*","*",IF(_xlfn.XLOOKUP($H195,'TRA TECH'!$J:$J,'TRA TECH'!V:V)="","",_xlfn.XLOOKUP($H195,'TRA TECH'!$J:$J,'TRA TECH'!V:V)))</f>
        <v>0.15918338278931751</v>
      </c>
      <c r="S195">
        <f>IF(H195="*","*",IF(_xlfn.XLOOKUP($H195,'TRA TECH'!$J:$J,'TRA TECH'!W:W)="","",_xlfn.XLOOKUP($H195,'TRA TECH'!$J:$J,'TRA TECH'!W:W)))</f>
        <v>0.16714255192878349</v>
      </c>
      <c r="T195">
        <f t="shared" si="12"/>
        <v>0.16714255192878349</v>
      </c>
      <c r="U195">
        <f>IF(H195="*","*",IF(_xlfn.XLOOKUP($H195,'TRA TECH'!$J:$J,'TRA TECH'!X:X)="","",_xlfn.XLOOKUP($H195,'TRA TECH'!$J:$J,'TRA TECH'!X:X)))</f>
        <v>409.70477613383707</v>
      </c>
      <c r="V195">
        <f>IF(H195="*","*",IF(_xlfn.XLOOKUP($H195,'TRA TECH'!$J:$J,'TRA TECH'!Y:Y)="","",_xlfn.XLOOKUP($H195,'TRA TECH'!$J:$J,'TRA TECH'!Y:Y)))</f>
        <v>409.70477613383707</v>
      </c>
      <c r="W195">
        <f>IF(H195="*","*",IF(_xlfn.XLOOKUP($H195,'TRA TECH'!$J:$J,'TRA TECH'!Z:Z)="","",_xlfn.XLOOKUP($H195,'TRA TECH'!$J:$J,'TRA TECH'!Z:Z)))</f>
        <v>364.89331624419862</v>
      </c>
      <c r="X195">
        <f>IF(H195="*","*",IF(_xlfn.XLOOKUP($H195,'TRA TECH'!$J:$J,'TRA TECH'!AA:AA)="","",_xlfn.XLOOKUP($H195,'TRA TECH'!$J:$J,'TRA TECH'!AA:AA)))</f>
        <v>340.70935376407601</v>
      </c>
      <c r="Y195">
        <f>IF(H195="*","*",IF(_xlfn.XLOOKUP($H195,'TRA TECH'!$J:$J,'TRA TECH'!AB:AB)="","",_xlfn.XLOOKUP($H195,'TRA TECH'!$J:$J,'TRA TECH'!AB:AB)))</f>
        <v>331.46254458049981</v>
      </c>
      <c r="Z195">
        <f>IF(H195="*","*",IF(_xlfn.XLOOKUP($H195,'TRA TECH'!$J:$J,'TRA TECH'!AC:AC)="","",_xlfn.XLOOKUP($H195,'TRA TECH'!$J:$J,'TRA TECH'!AC:AC)))</f>
        <v>322.21573539692372</v>
      </c>
      <c r="AA195">
        <f>IF(H195="*","*",IF(_xlfn.XLOOKUP($H195,'TRA TECH'!$J:$J,'TRA TECH'!AD:AD)="","",_xlfn.XLOOKUP($H195,'TRA TECH'!$J:$J,'TRA TECH'!AD:AD)))</f>
        <v>313.68021922746908</v>
      </c>
      <c r="AB195">
        <f t="shared" si="13"/>
        <v>313.68021922746908</v>
      </c>
      <c r="AC195" s="15">
        <f>IF(H195="*","*",IF(_xlfn.XLOOKUP($H195,'TRA TECH'!$J:$J,'TRA TECH'!AE:AE)="","",_xlfn.XLOOKUP($H195,'TRA TECH'!$J:$J,'TRA TECH'!AE:AE)))</f>
        <v>9.9915658328991128</v>
      </c>
      <c r="AD195" s="15">
        <f>IF(H195="*","*",IF(_xlfn.XLOOKUP($H195,'TRA TECH'!$J:$J,'TRA TECH'!AF:AF)="","",_xlfn.XLOOKUP($H195,'TRA TECH'!$J:$J,'TRA TECH'!AF:AF)))</f>
        <v>9.9915658328991128</v>
      </c>
      <c r="AE195" s="15">
        <f>IF(H195="*","*",IF(_xlfn.XLOOKUP($H195,'TRA TECH'!$J:$J,'TRA TECH'!AG:AG)="","",_xlfn.XLOOKUP($H195,'TRA TECH'!$J:$J,'TRA TECH'!AG:AG)))</f>
        <v>9.9915658328991128</v>
      </c>
      <c r="AF195" s="15">
        <f>IF(H195="*","*",IF(_xlfn.XLOOKUP($H195,'TRA TECH'!$J:$J,'TRA TECH'!AH:AH)="","",_xlfn.XLOOKUP($H195,'TRA TECH'!$J:$J,'TRA TECH'!AH:AH)))</f>
        <v>9.9915658328991128</v>
      </c>
      <c r="AG195" s="15">
        <f>IF(H195="*","*",IF(_xlfn.XLOOKUP($H195,'TRA TECH'!$J:$J,'TRA TECH'!AI:AI)="","",_xlfn.XLOOKUP($H195,'TRA TECH'!$J:$J,'TRA TECH'!AI:AI)))</f>
        <v>9.9915658328991128</v>
      </c>
      <c r="AH195" s="15">
        <f>IF(H195="*","*",IF(_xlfn.XLOOKUP($H195,'TRA TECH'!$J:$J,'TRA TECH'!AJ:AJ)="","",_xlfn.XLOOKUP($H195,'TRA TECH'!$J:$J,'TRA TECH'!AJ:AJ)))</f>
        <v>9.9915658328991128</v>
      </c>
      <c r="AI195" s="15">
        <f>IF(H195="*","*",IF(_xlfn.XLOOKUP($H195,'TRA TECH'!$J:$J,'TRA TECH'!AK:AK)="","",_xlfn.XLOOKUP($H195,'TRA TECH'!$J:$J,'TRA TECH'!AK:AK)))</f>
        <v>9.9915658328991128</v>
      </c>
      <c r="AJ195" s="15">
        <f t="shared" si="14"/>
        <v>9.9915658328991128</v>
      </c>
      <c r="AK195" s="16">
        <f t="shared" si="15"/>
        <v>0.4</v>
      </c>
    </row>
    <row r="196" spans="2:37" x14ac:dyDescent="0.25">
      <c r="B196" t="str">
        <f>IF('TRA TECH'!M192=0,"*",IF('TRA TECH'!H192="","*",'TRA TECH'!J192))</f>
        <v>TRAFRECLHFCHEV20</v>
      </c>
      <c r="C196" t="str">
        <f>IF('TRA TECH'!M192=0,"*",'TRA TECH'!H192)</f>
        <v>TRAH2G</v>
      </c>
      <c r="D196" t="s">
        <v>424</v>
      </c>
      <c r="E196" s="9">
        <f>'TRA TECH'!P192</f>
        <v>0.92029887920298814</v>
      </c>
      <c r="H196" t="str">
        <f>IF('TRA TECH'!M192=1,IF('TRA TECH'!L192=1,'TRA TECH'!J192,"*"),"*")</f>
        <v>TRAFRECLHFCHEV20</v>
      </c>
      <c r="I196" t="str">
        <f>IF(H196="*","*",_xlfn.XLOOKUP(H196,'TRA TECH'!J:J,'TRA TECH'!I:I))</f>
        <v>TRAFRECLHDMD</v>
      </c>
      <c r="J196">
        <f>IF(H196="*","*",_xlfn.XLOOKUP(H196,'TRA TECH'!J:J,'TRA TECH'!N:N))</f>
        <v>2020</v>
      </c>
      <c r="K196" s="15">
        <f>IF(H196="*","*",IF(_xlfn.XLOOKUP(H196,'TRA TECH'!J:J,'TRA TECH'!O:O)="","",_xlfn.XLOOKUP(H196,'TRA TECH'!J:J,'TRA TECH'!O:O)))</f>
        <v>10.89196958520898</v>
      </c>
      <c r="L196">
        <f t="shared" si="11"/>
        <v>1</v>
      </c>
      <c r="M196">
        <f>IF(H196="*","*",IF(_xlfn.XLOOKUP($H196,'TRA TECH'!$J:$J,'TRA TECH'!Q:Q)="","",_xlfn.XLOOKUP($H196,'TRA TECH'!$J:$J,'TRA TECH'!Q:Q)))</f>
        <v>0.1234997744807122</v>
      </c>
      <c r="N196">
        <f>IF(H196="*","*",IF(_xlfn.XLOOKUP($H196,'TRA TECH'!$J:$J,'TRA TECH'!R:R)="","",_xlfn.XLOOKUP($H196,'TRA TECH'!$J:$J,'TRA TECH'!R:R)))</f>
        <v>0.1234997744807122</v>
      </c>
      <c r="O196">
        <f>IF(H196="*","*",IF(_xlfn.XLOOKUP($H196,'TRA TECH'!$J:$J,'TRA TECH'!S:S)="","",_xlfn.XLOOKUP($H196,'TRA TECH'!$J:$J,'TRA TECH'!S:S)))</f>
        <v>0.13928545994065281</v>
      </c>
      <c r="P196">
        <f>IF(H196="*","*",IF(_xlfn.XLOOKUP($H196,'TRA TECH'!$J:$J,'TRA TECH'!T:T)="","",_xlfn.XLOOKUP($H196,'TRA TECH'!$J:$J,'TRA TECH'!T:T)))</f>
        <v>0.15918338278931751</v>
      </c>
      <c r="Q196">
        <f>IF(H196="*","*",IF(_xlfn.XLOOKUP($H196,'TRA TECH'!$J:$J,'TRA TECH'!U:U)="","",_xlfn.XLOOKUP($H196,'TRA TECH'!$J:$J,'TRA TECH'!U:U)))</f>
        <v>0.16979560830860541</v>
      </c>
      <c r="R196">
        <f>IF(H196="*","*",IF(_xlfn.XLOOKUP($H196,'TRA TECH'!$J:$J,'TRA TECH'!V:V)="","",_xlfn.XLOOKUP($H196,'TRA TECH'!$J:$J,'TRA TECH'!V:V)))</f>
        <v>0.17908130563798219</v>
      </c>
      <c r="S196">
        <f>IF(H196="*","*",IF(_xlfn.XLOOKUP($H196,'TRA TECH'!$J:$J,'TRA TECH'!W:W)="","",_xlfn.XLOOKUP($H196,'TRA TECH'!$J:$J,'TRA TECH'!W:W)))</f>
        <v>0.18969353115727011</v>
      </c>
      <c r="T196">
        <f t="shared" si="12"/>
        <v>0.18969353115727011</v>
      </c>
      <c r="U196">
        <f>IF(H196="*","*",IF(_xlfn.XLOOKUP($H196,'TRA TECH'!$J:$J,'TRA TECH'!X:X)="","",_xlfn.XLOOKUP($H196,'TRA TECH'!$J:$J,'TRA TECH'!X:X)))</f>
        <v>322.92702841104523</v>
      </c>
      <c r="V196">
        <f>IF(H196="*","*",IF(_xlfn.XLOOKUP($H196,'TRA TECH'!$J:$J,'TRA TECH'!Y:Y)="","",_xlfn.XLOOKUP($H196,'TRA TECH'!$J:$J,'TRA TECH'!Y:Y)))</f>
        <v>322.92702841104523</v>
      </c>
      <c r="W196">
        <f>IF(H196="*","*",IF(_xlfn.XLOOKUP($H196,'TRA TECH'!$J:$J,'TRA TECH'!Z:Z)="","",_xlfn.XLOOKUP($H196,'TRA TECH'!$J:$J,'TRA TECH'!Z:Z)))</f>
        <v>289.49625674734659</v>
      </c>
      <c r="X196">
        <f>IF(H196="*","*",IF(_xlfn.XLOOKUP($H196,'TRA TECH'!$J:$J,'TRA TECH'!AA:AA)="","",_xlfn.XLOOKUP($H196,'TRA TECH'!$J:$J,'TRA TECH'!AA:AA)))</f>
        <v>270.29134536607307</v>
      </c>
      <c r="Y196">
        <f>IF(H196="*","*",IF(_xlfn.XLOOKUP($H196,'TRA TECH'!$J:$J,'TRA TECH'!AB:AB)="","",_xlfn.XLOOKUP($H196,'TRA TECH'!$J:$J,'TRA TECH'!AB:AB)))</f>
        <v>262.46712221073909</v>
      </c>
      <c r="Z196">
        <f>IF(H196="*","*",IF(_xlfn.XLOOKUP($H196,'TRA TECH'!$J:$J,'TRA TECH'!AC:AC)="","",_xlfn.XLOOKUP($H196,'TRA TECH'!$J:$J,'TRA TECH'!AC:AC)))</f>
        <v>255.35419206952679</v>
      </c>
      <c r="AA196">
        <f>IF(H196="*","*",IF(_xlfn.XLOOKUP($H196,'TRA TECH'!$J:$J,'TRA TECH'!AD:AD)="","",_xlfn.XLOOKUP($H196,'TRA TECH'!$J:$J,'TRA TECH'!AD:AD)))</f>
        <v>248.24126192831449</v>
      </c>
      <c r="AB196">
        <f t="shared" si="13"/>
        <v>248.24126192831449</v>
      </c>
      <c r="AC196" s="15">
        <f>IF(H196="*","*",IF(_xlfn.XLOOKUP($H196,'TRA TECH'!$J:$J,'TRA TECH'!AE:AE)="","",_xlfn.XLOOKUP($H196,'TRA TECH'!$J:$J,'TRA TECH'!AE:AE)))</f>
        <v>9.9915658328991128</v>
      </c>
      <c r="AD196" s="15">
        <f>IF(H196="*","*",IF(_xlfn.XLOOKUP($H196,'TRA TECH'!$J:$J,'TRA TECH'!AF:AF)="","",_xlfn.XLOOKUP($H196,'TRA TECH'!$J:$J,'TRA TECH'!AF:AF)))</f>
        <v>9.9915658328991128</v>
      </c>
      <c r="AE196" s="15">
        <f>IF(H196="*","*",IF(_xlfn.XLOOKUP($H196,'TRA TECH'!$J:$J,'TRA TECH'!AG:AG)="","",_xlfn.XLOOKUP($H196,'TRA TECH'!$J:$J,'TRA TECH'!AG:AG)))</f>
        <v>9.9915658328991128</v>
      </c>
      <c r="AF196" s="15">
        <f>IF(H196="*","*",IF(_xlfn.XLOOKUP($H196,'TRA TECH'!$J:$J,'TRA TECH'!AH:AH)="","",_xlfn.XLOOKUP($H196,'TRA TECH'!$J:$J,'TRA TECH'!AH:AH)))</f>
        <v>9.9915658328991128</v>
      </c>
      <c r="AG196" s="15">
        <f>IF(H196="*","*",IF(_xlfn.XLOOKUP($H196,'TRA TECH'!$J:$J,'TRA TECH'!AI:AI)="","",_xlfn.XLOOKUP($H196,'TRA TECH'!$J:$J,'TRA TECH'!AI:AI)))</f>
        <v>9.9915658328991128</v>
      </c>
      <c r="AH196" s="15">
        <f>IF(H196="*","*",IF(_xlfn.XLOOKUP($H196,'TRA TECH'!$J:$J,'TRA TECH'!AJ:AJ)="","",_xlfn.XLOOKUP($H196,'TRA TECH'!$J:$J,'TRA TECH'!AJ:AJ)))</f>
        <v>9.9915658328991128</v>
      </c>
      <c r="AI196" s="15">
        <f>IF(H196="*","*",IF(_xlfn.XLOOKUP($H196,'TRA TECH'!$J:$J,'TRA TECH'!AK:AK)="","",_xlfn.XLOOKUP($H196,'TRA TECH'!$J:$J,'TRA TECH'!AK:AK)))</f>
        <v>9.9915658328991128</v>
      </c>
      <c r="AJ196" s="15">
        <f t="shared" si="14"/>
        <v>9.9915658328991128</v>
      </c>
      <c r="AK196" s="16">
        <f t="shared" si="15"/>
        <v>0.25</v>
      </c>
    </row>
    <row r="197" spans="2:37" x14ac:dyDescent="0.25">
      <c r="B197" t="str">
        <f>IF('TRA TECH'!M193=0,"*",IF('TRA TECH'!H193="","*",'TRA TECH'!J193))</f>
        <v>TRAFRECLHFCHEV20</v>
      </c>
      <c r="C197" t="str">
        <f>IF('TRA TECH'!M193=0,"*",'TRA TECH'!H193)</f>
        <v>TRABAF</v>
      </c>
      <c r="D197" t="s">
        <v>424</v>
      </c>
      <c r="E197" s="9">
        <f>'TRA TECH'!P193</f>
        <v>7.9701120797011846E-2</v>
      </c>
      <c r="H197" t="str">
        <f>IF('TRA TECH'!M193=1,IF('TRA TECH'!L193=1,'TRA TECH'!J193,"*"),"*")</f>
        <v>*</v>
      </c>
      <c r="I197" t="str">
        <f>IF(H197="*","*",_xlfn.XLOOKUP(H197,'TRA TECH'!J:J,'TRA TECH'!I:I))</f>
        <v>*</v>
      </c>
      <c r="J197" t="str">
        <f>IF(H197="*","*",_xlfn.XLOOKUP(H197,'TRA TECH'!J:J,'TRA TECH'!N:N))</f>
        <v>*</v>
      </c>
      <c r="K197" s="15" t="str">
        <f>IF(H197="*","*",IF(_xlfn.XLOOKUP(H197,'TRA TECH'!J:J,'TRA TECH'!O:O)="","",_xlfn.XLOOKUP(H197,'TRA TECH'!J:J,'TRA TECH'!O:O)))</f>
        <v>*</v>
      </c>
      <c r="L197" t="str">
        <f t="shared" si="11"/>
        <v>*</v>
      </c>
      <c r="M197" t="str">
        <f>IF(H197="*","*",IF(_xlfn.XLOOKUP($H197,'TRA TECH'!$J:$J,'TRA TECH'!Q:Q)="","",_xlfn.XLOOKUP($H197,'TRA TECH'!$J:$J,'TRA TECH'!Q:Q)))</f>
        <v>*</v>
      </c>
      <c r="N197" t="str">
        <f>IF(H197="*","*",IF(_xlfn.XLOOKUP($H197,'TRA TECH'!$J:$J,'TRA TECH'!R:R)="","",_xlfn.XLOOKUP($H197,'TRA TECH'!$J:$J,'TRA TECH'!R:R)))</f>
        <v>*</v>
      </c>
      <c r="O197" t="str">
        <f>IF(H197="*","*",IF(_xlfn.XLOOKUP($H197,'TRA TECH'!$J:$J,'TRA TECH'!S:S)="","",_xlfn.XLOOKUP($H197,'TRA TECH'!$J:$J,'TRA TECH'!S:S)))</f>
        <v>*</v>
      </c>
      <c r="P197" t="str">
        <f>IF(H197="*","*",IF(_xlfn.XLOOKUP($H197,'TRA TECH'!$J:$J,'TRA TECH'!T:T)="","",_xlfn.XLOOKUP($H197,'TRA TECH'!$J:$J,'TRA TECH'!T:T)))</f>
        <v>*</v>
      </c>
      <c r="Q197" t="str">
        <f>IF(H197="*","*",IF(_xlfn.XLOOKUP($H197,'TRA TECH'!$J:$J,'TRA TECH'!U:U)="","",_xlfn.XLOOKUP($H197,'TRA TECH'!$J:$J,'TRA TECH'!U:U)))</f>
        <v>*</v>
      </c>
      <c r="R197" t="str">
        <f>IF(H197="*","*",IF(_xlfn.XLOOKUP($H197,'TRA TECH'!$J:$J,'TRA TECH'!V:V)="","",_xlfn.XLOOKUP($H197,'TRA TECH'!$J:$J,'TRA TECH'!V:V)))</f>
        <v>*</v>
      </c>
      <c r="S197" t="str">
        <f>IF(H197="*","*",IF(_xlfn.XLOOKUP($H197,'TRA TECH'!$J:$J,'TRA TECH'!W:W)="","",_xlfn.XLOOKUP($H197,'TRA TECH'!$J:$J,'TRA TECH'!W:W)))</f>
        <v>*</v>
      </c>
      <c r="T197" t="str">
        <f t="shared" si="12"/>
        <v>*</v>
      </c>
      <c r="U197" t="str">
        <f>IF(H197="*","*",IF(_xlfn.XLOOKUP($H197,'TRA TECH'!$J:$J,'TRA TECH'!X:X)="","",_xlfn.XLOOKUP($H197,'TRA TECH'!$J:$J,'TRA TECH'!X:X)))</f>
        <v>*</v>
      </c>
      <c r="V197" t="str">
        <f>IF(H197="*","*",IF(_xlfn.XLOOKUP($H197,'TRA TECH'!$J:$J,'TRA TECH'!Y:Y)="","",_xlfn.XLOOKUP($H197,'TRA TECH'!$J:$J,'TRA TECH'!Y:Y)))</f>
        <v>*</v>
      </c>
      <c r="W197" t="str">
        <f>IF(H197="*","*",IF(_xlfn.XLOOKUP($H197,'TRA TECH'!$J:$J,'TRA TECH'!Z:Z)="","",_xlfn.XLOOKUP($H197,'TRA TECH'!$J:$J,'TRA TECH'!Z:Z)))</f>
        <v>*</v>
      </c>
      <c r="X197" t="str">
        <f>IF(H197="*","*",IF(_xlfn.XLOOKUP($H197,'TRA TECH'!$J:$J,'TRA TECH'!AA:AA)="","",_xlfn.XLOOKUP($H197,'TRA TECH'!$J:$J,'TRA TECH'!AA:AA)))</f>
        <v>*</v>
      </c>
      <c r="Y197" t="str">
        <f>IF(H197="*","*",IF(_xlfn.XLOOKUP($H197,'TRA TECH'!$J:$J,'TRA TECH'!AB:AB)="","",_xlfn.XLOOKUP($H197,'TRA TECH'!$J:$J,'TRA TECH'!AB:AB)))</f>
        <v>*</v>
      </c>
      <c r="Z197" t="str">
        <f>IF(H197="*","*",IF(_xlfn.XLOOKUP($H197,'TRA TECH'!$J:$J,'TRA TECH'!AC:AC)="","",_xlfn.XLOOKUP($H197,'TRA TECH'!$J:$J,'TRA TECH'!AC:AC)))</f>
        <v>*</v>
      </c>
      <c r="AA197" t="str">
        <f>IF(H197="*","*",IF(_xlfn.XLOOKUP($H197,'TRA TECH'!$J:$J,'TRA TECH'!AD:AD)="","",_xlfn.XLOOKUP($H197,'TRA TECH'!$J:$J,'TRA TECH'!AD:AD)))</f>
        <v>*</v>
      </c>
      <c r="AB197" t="str">
        <f t="shared" si="13"/>
        <v>*</v>
      </c>
      <c r="AC197" s="15" t="str">
        <f>IF(H197="*","*",IF(_xlfn.XLOOKUP($H197,'TRA TECH'!$J:$J,'TRA TECH'!AE:AE)="","",_xlfn.XLOOKUP($H197,'TRA TECH'!$J:$J,'TRA TECH'!AE:AE)))</f>
        <v>*</v>
      </c>
      <c r="AD197" s="15" t="str">
        <f>IF(H197="*","*",IF(_xlfn.XLOOKUP($H197,'TRA TECH'!$J:$J,'TRA TECH'!AF:AF)="","",_xlfn.XLOOKUP($H197,'TRA TECH'!$J:$J,'TRA TECH'!AF:AF)))</f>
        <v>*</v>
      </c>
      <c r="AE197" s="15" t="str">
        <f>IF(H197="*","*",IF(_xlfn.XLOOKUP($H197,'TRA TECH'!$J:$J,'TRA TECH'!AG:AG)="","",_xlfn.XLOOKUP($H197,'TRA TECH'!$J:$J,'TRA TECH'!AG:AG)))</f>
        <v>*</v>
      </c>
      <c r="AF197" s="15" t="str">
        <f>IF(H197="*","*",IF(_xlfn.XLOOKUP($H197,'TRA TECH'!$J:$J,'TRA TECH'!AH:AH)="","",_xlfn.XLOOKUP($H197,'TRA TECH'!$J:$J,'TRA TECH'!AH:AH)))</f>
        <v>*</v>
      </c>
      <c r="AG197" s="15" t="str">
        <f>IF(H197="*","*",IF(_xlfn.XLOOKUP($H197,'TRA TECH'!$J:$J,'TRA TECH'!AI:AI)="","",_xlfn.XLOOKUP($H197,'TRA TECH'!$J:$J,'TRA TECH'!AI:AI)))</f>
        <v>*</v>
      </c>
      <c r="AH197" s="15" t="str">
        <f>IF(H197="*","*",IF(_xlfn.XLOOKUP($H197,'TRA TECH'!$J:$J,'TRA TECH'!AJ:AJ)="","",_xlfn.XLOOKUP($H197,'TRA TECH'!$J:$J,'TRA TECH'!AJ:AJ)))</f>
        <v>*</v>
      </c>
      <c r="AI197" s="15" t="str">
        <f>IF(H197="*","*",IF(_xlfn.XLOOKUP($H197,'TRA TECH'!$J:$J,'TRA TECH'!AK:AK)="","",_xlfn.XLOOKUP($H197,'TRA TECH'!$J:$J,'TRA TECH'!AK:AK)))</f>
        <v>*</v>
      </c>
      <c r="AJ197" s="15" t="str">
        <f t="shared" si="14"/>
        <v>*</v>
      </c>
      <c r="AK197" s="16" t="str">
        <f t="shared" si="15"/>
        <v>*</v>
      </c>
    </row>
    <row r="198" spans="2:37" x14ac:dyDescent="0.25">
      <c r="B198" t="str">
        <f>IF('TRA TECH'!M194=0,"*",IF('TRA TECH'!H194="","*",'TRA TECH'!J194))</f>
        <v>TRAFRECLHBEV20</v>
      </c>
      <c r="C198" t="str">
        <f>IF('TRA TECH'!M194=0,"*",'TRA TECH'!H194)</f>
        <v>TRABAF</v>
      </c>
      <c r="D198" t="s">
        <v>424</v>
      </c>
      <c r="E198" s="9">
        <f>'TRA TECH'!P194</f>
        <v>1</v>
      </c>
      <c r="H198" t="str">
        <f>IF('TRA TECH'!M194=1,IF('TRA TECH'!L194=1,'TRA TECH'!J194,"*"),"*")</f>
        <v>TRAFRECLHBEV20</v>
      </c>
      <c r="I198" t="str">
        <f>IF(H198="*","*",_xlfn.XLOOKUP(H198,'TRA TECH'!J:J,'TRA TECH'!I:I))</f>
        <v>TRAFRECLHDMD</v>
      </c>
      <c r="J198">
        <f>IF(H198="*","*",_xlfn.XLOOKUP(H198,'TRA TECH'!J:J,'TRA TECH'!N:N))</f>
        <v>2020</v>
      </c>
      <c r="K198" s="15">
        <f>IF(H198="*","*",IF(_xlfn.XLOOKUP(H198,'TRA TECH'!J:J,'TRA TECH'!O:O)="","",_xlfn.XLOOKUP(H198,'TRA TECH'!J:J,'TRA TECH'!O:O)))</f>
        <v>10.89196958520898</v>
      </c>
      <c r="L198">
        <f t="shared" si="11"/>
        <v>1</v>
      </c>
      <c r="M198">
        <f>IF(H198="*","*",IF(_xlfn.XLOOKUP($H198,'TRA TECH'!$J:$J,'TRA TECH'!Q:Q)="","",_xlfn.XLOOKUP($H198,'TRA TECH'!$J:$J,'TRA TECH'!Q:Q)))</f>
        <v>0.2215302077151334</v>
      </c>
      <c r="N198">
        <f>IF(H198="*","*",IF(_xlfn.XLOOKUP($H198,'TRA TECH'!$J:$J,'TRA TECH'!R:R)="","",_xlfn.XLOOKUP($H198,'TRA TECH'!$J:$J,'TRA TECH'!R:R)))</f>
        <v>0.2215302077151334</v>
      </c>
      <c r="O198">
        <f>IF(H198="*","*",IF(_xlfn.XLOOKUP($H198,'TRA TECH'!$J:$J,'TRA TECH'!S:S)="","",_xlfn.XLOOKUP($H198,'TRA TECH'!$J:$J,'TRA TECH'!S:S)))</f>
        <v>0.24673424332344221</v>
      </c>
      <c r="P198">
        <f>IF(H198="*","*",IF(_xlfn.XLOOKUP($H198,'TRA TECH'!$J:$J,'TRA TECH'!T:T)="","",_xlfn.XLOOKUP($H198,'TRA TECH'!$J:$J,'TRA TECH'!T:T)))</f>
        <v>0.27193827893175071</v>
      </c>
      <c r="Q198">
        <f>IF(H198="*","*",IF(_xlfn.XLOOKUP($H198,'TRA TECH'!$J:$J,'TRA TECH'!U:U)="","",_xlfn.XLOOKUP($H198,'TRA TECH'!$J:$J,'TRA TECH'!U:U)))</f>
        <v>0.2812239762611275</v>
      </c>
      <c r="R198">
        <f>IF(H198="*","*",IF(_xlfn.XLOOKUP($H198,'TRA TECH'!$J:$J,'TRA TECH'!V:V)="","",_xlfn.XLOOKUP($H198,'TRA TECH'!$J:$J,'TRA TECH'!V:V)))</f>
        <v>0.29316272997032661</v>
      </c>
      <c r="S198">
        <f>IF(H198="*","*",IF(_xlfn.XLOOKUP($H198,'TRA TECH'!$J:$J,'TRA TECH'!W:W)="","",_xlfn.XLOOKUP($H198,'TRA TECH'!$J:$J,'TRA TECH'!W:W)))</f>
        <v>0.30510148367952522</v>
      </c>
      <c r="T198">
        <f t="shared" si="12"/>
        <v>0.30510148367952522</v>
      </c>
      <c r="U198">
        <f>IF(H198="*","*",IF(_xlfn.XLOOKUP($H198,'TRA TECH'!$J:$J,'TRA TECH'!X:X)="","",_xlfn.XLOOKUP($H198,'TRA TECH'!$J:$J,'TRA TECH'!X:X)))</f>
        <v>477.277612475355</v>
      </c>
      <c r="V198">
        <f>IF(H198="*","*",IF(_xlfn.XLOOKUP($H198,'TRA TECH'!$J:$J,'TRA TECH'!Y:Y)="","",_xlfn.XLOOKUP($H198,'TRA TECH'!$J:$J,'TRA TECH'!Y:Y)))</f>
        <v>477.277612475355</v>
      </c>
      <c r="W198">
        <f>IF(H198="*","*",IF(_xlfn.XLOOKUP($H198,'TRA TECH'!$J:$J,'TRA TECH'!Z:Z)="","",_xlfn.XLOOKUP($H198,'TRA TECH'!$J:$J,'TRA TECH'!Z:Z)))</f>
        <v>392.63374379492677</v>
      </c>
      <c r="X198">
        <f>IF(H198="*","*",IF(_xlfn.XLOOKUP($H198,'TRA TECH'!$J:$J,'TRA TECH'!AA:AA)="","",_xlfn.XLOOKUP($H198,'TRA TECH'!$J:$J,'TRA TECH'!AA:AA)))</f>
        <v>348.53357691941</v>
      </c>
      <c r="Y198">
        <f>IF(H198="*","*",IF(_xlfn.XLOOKUP($H198,'TRA TECH'!$J:$J,'TRA TECH'!AB:AB)="","",_xlfn.XLOOKUP($H198,'TRA TECH'!$J:$J,'TRA TECH'!AB:AB)))</f>
        <v>330.0399585522577</v>
      </c>
      <c r="Z198">
        <f>IF(H198="*","*",IF(_xlfn.XLOOKUP($H198,'TRA TECH'!$J:$J,'TRA TECH'!AC:AC)="","",_xlfn.XLOOKUP($H198,'TRA TECH'!$J:$J,'TRA TECH'!AC:AC)))</f>
        <v>310.83504717098378</v>
      </c>
      <c r="AA198">
        <f>IF(H198="*","*",IF(_xlfn.XLOOKUP($H198,'TRA TECH'!$J:$J,'TRA TECH'!AD:AD)="","",_xlfn.XLOOKUP($H198,'TRA TECH'!$J:$J,'TRA TECH'!AD:AD)))</f>
        <v>292.34142880383138</v>
      </c>
      <c r="AB198">
        <f t="shared" si="13"/>
        <v>292.34142880383138</v>
      </c>
      <c r="AC198" s="15">
        <f>IF(H198="*","*",IF(_xlfn.XLOOKUP($H198,'TRA TECH'!$J:$J,'TRA TECH'!AE:AE)="","",_xlfn.XLOOKUP($H198,'TRA TECH'!$J:$J,'TRA TECH'!AE:AE)))</f>
        <v>6.3998264812033572</v>
      </c>
      <c r="AD198" s="15">
        <f>IF(H198="*","*",IF(_xlfn.XLOOKUP($H198,'TRA TECH'!$J:$J,'TRA TECH'!AF:AF)="","",_xlfn.XLOOKUP($H198,'TRA TECH'!$J:$J,'TRA TECH'!AF:AF)))</f>
        <v>6.3998264812033572</v>
      </c>
      <c r="AE198" s="15">
        <f>IF(H198="*","*",IF(_xlfn.XLOOKUP($H198,'TRA TECH'!$J:$J,'TRA TECH'!AG:AG)="","",_xlfn.XLOOKUP($H198,'TRA TECH'!$J:$J,'TRA TECH'!AG:AG)))</f>
        <v>6.3998264812033572</v>
      </c>
      <c r="AF198" s="15">
        <f>IF(H198="*","*",IF(_xlfn.XLOOKUP($H198,'TRA TECH'!$J:$J,'TRA TECH'!AH:AH)="","",_xlfn.XLOOKUP($H198,'TRA TECH'!$J:$J,'TRA TECH'!AH:AH)))</f>
        <v>6.3998264812033572</v>
      </c>
      <c r="AG198" s="15">
        <f>IF(H198="*","*",IF(_xlfn.XLOOKUP($H198,'TRA TECH'!$J:$J,'TRA TECH'!AI:AI)="","",_xlfn.XLOOKUP($H198,'TRA TECH'!$J:$J,'TRA TECH'!AI:AI)))</f>
        <v>6.3998264812033572</v>
      </c>
      <c r="AH198" s="15">
        <f>IF(H198="*","*",IF(_xlfn.XLOOKUP($H198,'TRA TECH'!$J:$J,'TRA TECH'!AJ:AJ)="","",_xlfn.XLOOKUP($H198,'TRA TECH'!$J:$J,'TRA TECH'!AJ:AJ)))</f>
        <v>6.3998264812033572</v>
      </c>
      <c r="AI198" s="15">
        <f>IF(H198="*","*",IF(_xlfn.XLOOKUP($H198,'TRA TECH'!$J:$J,'TRA TECH'!AK:AK)="","",_xlfn.XLOOKUP($H198,'TRA TECH'!$J:$J,'TRA TECH'!AK:AK)))</f>
        <v>6.3998264812033572</v>
      </c>
      <c r="AJ198" s="15">
        <f t="shared" si="14"/>
        <v>6.3998264812033572</v>
      </c>
      <c r="AK198" s="16">
        <f t="shared" si="15"/>
        <v>0.4</v>
      </c>
    </row>
    <row r="199" spans="2:37" x14ac:dyDescent="0.25">
      <c r="B199" t="str">
        <f>IF('TRA TECH'!M195=0,"*",IF('TRA TECH'!H195="","*",'TRA TECH'!J195))</f>
        <v>TRAFRECSHICEVDSL20</v>
      </c>
      <c r="C199" t="str">
        <f>IF('TRA TECH'!M195=0,"*",'TRA TECH'!H195)</f>
        <v>TRADSL</v>
      </c>
      <c r="D199" t="s">
        <v>424</v>
      </c>
      <c r="E199" s="9">
        <f>'TRA TECH'!P195</f>
        <v>1</v>
      </c>
      <c r="H199" t="str">
        <f>IF('TRA TECH'!M195=1,IF('TRA TECH'!L195=1,'TRA TECH'!J195,"*"),"*")</f>
        <v>TRAFRECSHICEVDSL20</v>
      </c>
      <c r="I199" t="str">
        <f>IF(H199="*","*",_xlfn.XLOOKUP(H199,'TRA TECH'!J:J,'TRA TECH'!I:I))</f>
        <v>TRAFRECSHDMD</v>
      </c>
      <c r="J199">
        <f>IF(H199="*","*",_xlfn.XLOOKUP(H199,'TRA TECH'!J:J,'TRA TECH'!N:N))</f>
        <v>2020</v>
      </c>
      <c r="K199" s="15">
        <f>IF(H199="*","*",IF(_xlfn.XLOOKUP(H199,'TRA TECH'!J:J,'TRA TECH'!O:O)="","",_xlfn.XLOOKUP(H199,'TRA TECH'!J:J,'TRA TECH'!O:O)))</f>
        <v>21.783939170417959</v>
      </c>
      <c r="L199">
        <f t="shared" ref="L199:L262" si="16">IF(H199="*","*",1)</f>
        <v>1</v>
      </c>
      <c r="M199">
        <f>IF(H199="*","*",IF(_xlfn.XLOOKUP($H199,'TRA TECH'!$J:$J,'TRA TECH'!Q:Q)="","",_xlfn.XLOOKUP($H199,'TRA TECH'!$J:$J,'TRA TECH'!Q:Q)))</f>
        <v>0.1014794065281899</v>
      </c>
      <c r="N199">
        <f>IF(H199="*","*",IF(_xlfn.XLOOKUP($H199,'TRA TECH'!$J:$J,'TRA TECH'!R:R)="","",_xlfn.XLOOKUP($H199,'TRA TECH'!$J:$J,'TRA TECH'!R:R)))</f>
        <v>0.1014794065281899</v>
      </c>
      <c r="O199">
        <f>IF(H199="*","*",IF(_xlfn.XLOOKUP($H199,'TRA TECH'!$J:$J,'TRA TECH'!S:S)="","",_xlfn.XLOOKUP($H199,'TRA TECH'!$J:$J,'TRA TECH'!S:S)))</f>
        <v>0.1114283679525223</v>
      </c>
      <c r="P199">
        <f>IF(H199="*","*",IF(_xlfn.XLOOKUP($H199,'TRA TECH'!$J:$J,'TRA TECH'!T:T)="","",_xlfn.XLOOKUP($H199,'TRA TECH'!$J:$J,'TRA TECH'!T:T)))</f>
        <v>0.120581412462908</v>
      </c>
      <c r="Q199">
        <f>IF(H199="*","*",IF(_xlfn.XLOOKUP($H199,'TRA TECH'!$J:$J,'TRA TECH'!U:U)="","",_xlfn.XLOOKUP($H199,'TRA TECH'!$J:$J,'TRA TECH'!U:U)))</f>
        <v>0.12548956676557871</v>
      </c>
      <c r="R199">
        <f>IF(H199="*","*",IF(_xlfn.XLOOKUP($H199,'TRA TECH'!$J:$J,'TRA TECH'!V:V)="","",_xlfn.XLOOKUP($H199,'TRA TECH'!$J:$J,'TRA TECH'!V:V)))</f>
        <v>0.13039772106824929</v>
      </c>
      <c r="S199">
        <f>IF(H199="*","*",IF(_xlfn.XLOOKUP($H199,'TRA TECH'!$J:$J,'TRA TECH'!W:W)="","",_xlfn.XLOOKUP($H199,'TRA TECH'!$J:$J,'TRA TECH'!W:W)))</f>
        <v>0.1353058753709199</v>
      </c>
      <c r="T199">
        <f t="shared" ref="T199:T262" si="17">IF(H199="*","*",S199)</f>
        <v>0.1353058753709199</v>
      </c>
      <c r="U199">
        <f>IF(H199="*","*",IF(_xlfn.XLOOKUP($H199,'TRA TECH'!$J:$J,'TRA TECH'!X:X)="","",_xlfn.XLOOKUP($H199,'TRA TECH'!$J:$J,'TRA TECH'!X:X)))</f>
        <v>241.12833178710201</v>
      </c>
      <c r="V199">
        <f>IF(H199="*","*",IF(_xlfn.XLOOKUP($H199,'TRA TECH'!$J:$J,'TRA TECH'!Y:Y)="","",_xlfn.XLOOKUP($H199,'TRA TECH'!$J:$J,'TRA TECH'!Y:Y)))</f>
        <v>241.12833178710201</v>
      </c>
      <c r="W199">
        <f>IF(H199="*","*",IF(_xlfn.XLOOKUP($H199,'TRA TECH'!$J:$J,'TRA TECH'!Z:Z)="","",_xlfn.XLOOKUP($H199,'TRA TECH'!$J:$J,'TRA TECH'!Z:Z)))</f>
        <v>243.26221082946569</v>
      </c>
      <c r="X199">
        <f>IF(H199="*","*",IF(_xlfn.XLOOKUP($H199,'TRA TECH'!$J:$J,'TRA TECH'!AA:AA)="","",_xlfn.XLOOKUP($H199,'TRA TECH'!$J:$J,'TRA TECH'!AA:AA)))</f>
        <v>243.97350384358691</v>
      </c>
      <c r="Y199">
        <f>IF(H199="*","*",IF(_xlfn.XLOOKUP($H199,'TRA TECH'!$J:$J,'TRA TECH'!AB:AB)="","",_xlfn.XLOOKUP($H199,'TRA TECH'!$J:$J,'TRA TECH'!AB:AB)))</f>
        <v>246.1073828859507</v>
      </c>
      <c r="Z199">
        <f>IF(H199="*","*",IF(_xlfn.XLOOKUP($H199,'TRA TECH'!$J:$J,'TRA TECH'!AC:AC)="","",_xlfn.XLOOKUP($H199,'TRA TECH'!$J:$J,'TRA TECH'!AC:AC)))</f>
        <v>247.52996891419309</v>
      </c>
      <c r="AA199">
        <f>IF(H199="*","*",IF(_xlfn.XLOOKUP($H199,'TRA TECH'!$J:$J,'TRA TECH'!AD:AD)="","",_xlfn.XLOOKUP($H199,'TRA TECH'!$J:$J,'TRA TECH'!AD:AD)))</f>
        <v>249.66384795655691</v>
      </c>
      <c r="AB199">
        <f t="shared" ref="AB199:AB262" si="18">IF(H199="*","*",AA199)</f>
        <v>249.66384795655691</v>
      </c>
      <c r="AC199" s="15">
        <f>IF(H199="*","*",IF(_xlfn.XLOOKUP($H199,'TRA TECH'!$J:$J,'TRA TECH'!AE:AE)="","",_xlfn.XLOOKUP($H199,'TRA TECH'!$J:$J,'TRA TECH'!AE:AE)))</f>
        <v>4.9631307405250524</v>
      </c>
      <c r="AD199" s="15">
        <f>IF(H199="*","*",IF(_xlfn.XLOOKUP($H199,'TRA TECH'!$J:$J,'TRA TECH'!AF:AF)="","",_xlfn.XLOOKUP($H199,'TRA TECH'!$J:$J,'TRA TECH'!AF:AF)))</f>
        <v>4.9631307405250524</v>
      </c>
      <c r="AE199" s="15">
        <f>IF(H199="*","*",IF(_xlfn.XLOOKUP($H199,'TRA TECH'!$J:$J,'TRA TECH'!AG:AG)="","",_xlfn.XLOOKUP($H199,'TRA TECH'!$J:$J,'TRA TECH'!AG:AG)))</f>
        <v>4.9631307405250524</v>
      </c>
      <c r="AF199" s="15">
        <f>IF(H199="*","*",IF(_xlfn.XLOOKUP($H199,'TRA TECH'!$J:$J,'TRA TECH'!AH:AH)="","",_xlfn.XLOOKUP($H199,'TRA TECH'!$J:$J,'TRA TECH'!AH:AH)))</f>
        <v>4.9631307405250524</v>
      </c>
      <c r="AG199" s="15">
        <f>IF(H199="*","*",IF(_xlfn.XLOOKUP($H199,'TRA TECH'!$J:$J,'TRA TECH'!AI:AI)="","",_xlfn.XLOOKUP($H199,'TRA TECH'!$J:$J,'TRA TECH'!AI:AI)))</f>
        <v>4.9631307405250524</v>
      </c>
      <c r="AH199" s="15">
        <f>IF(H199="*","*",IF(_xlfn.XLOOKUP($H199,'TRA TECH'!$J:$J,'TRA TECH'!AJ:AJ)="","",_xlfn.XLOOKUP($H199,'TRA TECH'!$J:$J,'TRA TECH'!AJ:AJ)))</f>
        <v>4.9631307405250524</v>
      </c>
      <c r="AI199" s="15">
        <f>IF(H199="*","*",IF(_xlfn.XLOOKUP($H199,'TRA TECH'!$J:$J,'TRA TECH'!AK:AK)="","",_xlfn.XLOOKUP($H199,'TRA TECH'!$J:$J,'TRA TECH'!AK:AK)))</f>
        <v>4.9631307405250524</v>
      </c>
      <c r="AJ199" s="15">
        <f t="shared" ref="AJ199:AJ262" si="19">IF(H199="*","*",AI199)</f>
        <v>4.9631307405250524</v>
      </c>
      <c r="AK199" s="16">
        <f t="shared" ref="AK199:AK262" si="20">IF(I199="*","*",IF(ISNUMBER(SEARCH("CNG",H199)),0.3,IF(ISNUMBER(SEARCH("BEV",H199)),0.4,IF(ISNUMBER(SEARCH("HEV",H199)),0.25,IF(ISNUMBER(SEARCH("FCEV",H199)),0.4,0.1)))))</f>
        <v>0.1</v>
      </c>
    </row>
    <row r="200" spans="2:37" x14ac:dyDescent="0.25">
      <c r="B200" t="str">
        <f>IF('TRA TECH'!M196=0,"*",IF('TRA TECH'!H196="","*",'TRA TECH'!J196))</f>
        <v>TRAFRECSHICEVDSL20</v>
      </c>
      <c r="C200" t="str">
        <f>IF('TRA TECH'!M196=0,"*",'TRA TECH'!H196)</f>
        <v>TRARDS</v>
      </c>
      <c r="D200" t="s">
        <v>424</v>
      </c>
      <c r="E200" s="9">
        <f>'TRA TECH'!P196</f>
        <v>1</v>
      </c>
      <c r="H200" t="str">
        <f>IF('TRA TECH'!M196=1,IF('TRA TECH'!L196=1,'TRA TECH'!J196,"*"),"*")</f>
        <v>*</v>
      </c>
      <c r="I200" t="str">
        <f>IF(H200="*","*",_xlfn.XLOOKUP(H200,'TRA TECH'!J:J,'TRA TECH'!I:I))</f>
        <v>*</v>
      </c>
      <c r="J200" t="str">
        <f>IF(H200="*","*",_xlfn.XLOOKUP(H200,'TRA TECH'!J:J,'TRA TECH'!N:N))</f>
        <v>*</v>
      </c>
      <c r="K200" s="15" t="str">
        <f>IF(H200="*","*",IF(_xlfn.XLOOKUP(H200,'TRA TECH'!J:J,'TRA TECH'!O:O)="","",_xlfn.XLOOKUP(H200,'TRA TECH'!J:J,'TRA TECH'!O:O)))</f>
        <v>*</v>
      </c>
      <c r="L200" t="str">
        <f t="shared" si="16"/>
        <v>*</v>
      </c>
      <c r="M200" t="str">
        <f>IF(H200="*","*",IF(_xlfn.XLOOKUP($H200,'TRA TECH'!$J:$J,'TRA TECH'!Q:Q)="","",_xlfn.XLOOKUP($H200,'TRA TECH'!$J:$J,'TRA TECH'!Q:Q)))</f>
        <v>*</v>
      </c>
      <c r="N200" t="str">
        <f>IF(H200="*","*",IF(_xlfn.XLOOKUP($H200,'TRA TECH'!$J:$J,'TRA TECH'!R:R)="","",_xlfn.XLOOKUP($H200,'TRA TECH'!$J:$J,'TRA TECH'!R:R)))</f>
        <v>*</v>
      </c>
      <c r="O200" t="str">
        <f>IF(H200="*","*",IF(_xlfn.XLOOKUP($H200,'TRA TECH'!$J:$J,'TRA TECH'!S:S)="","",_xlfn.XLOOKUP($H200,'TRA TECH'!$J:$J,'TRA TECH'!S:S)))</f>
        <v>*</v>
      </c>
      <c r="P200" t="str">
        <f>IF(H200="*","*",IF(_xlfn.XLOOKUP($H200,'TRA TECH'!$J:$J,'TRA TECH'!T:T)="","",_xlfn.XLOOKUP($H200,'TRA TECH'!$J:$J,'TRA TECH'!T:T)))</f>
        <v>*</v>
      </c>
      <c r="Q200" t="str">
        <f>IF(H200="*","*",IF(_xlfn.XLOOKUP($H200,'TRA TECH'!$J:$J,'TRA TECH'!U:U)="","",_xlfn.XLOOKUP($H200,'TRA TECH'!$J:$J,'TRA TECH'!U:U)))</f>
        <v>*</v>
      </c>
      <c r="R200" t="str">
        <f>IF(H200="*","*",IF(_xlfn.XLOOKUP($H200,'TRA TECH'!$J:$J,'TRA TECH'!V:V)="","",_xlfn.XLOOKUP($H200,'TRA TECH'!$J:$J,'TRA TECH'!V:V)))</f>
        <v>*</v>
      </c>
      <c r="S200" t="str">
        <f>IF(H200="*","*",IF(_xlfn.XLOOKUP($H200,'TRA TECH'!$J:$J,'TRA TECH'!W:W)="","",_xlfn.XLOOKUP($H200,'TRA TECH'!$J:$J,'TRA TECH'!W:W)))</f>
        <v>*</v>
      </c>
      <c r="T200" t="str">
        <f t="shared" si="17"/>
        <v>*</v>
      </c>
      <c r="U200" t="str">
        <f>IF(H200="*","*",IF(_xlfn.XLOOKUP($H200,'TRA TECH'!$J:$J,'TRA TECH'!X:X)="","",_xlfn.XLOOKUP($H200,'TRA TECH'!$J:$J,'TRA TECH'!X:X)))</f>
        <v>*</v>
      </c>
      <c r="V200" t="str">
        <f>IF(H200="*","*",IF(_xlfn.XLOOKUP($H200,'TRA TECH'!$J:$J,'TRA TECH'!Y:Y)="","",_xlfn.XLOOKUP($H200,'TRA TECH'!$J:$J,'TRA TECH'!Y:Y)))</f>
        <v>*</v>
      </c>
      <c r="W200" t="str">
        <f>IF(H200="*","*",IF(_xlfn.XLOOKUP($H200,'TRA TECH'!$J:$J,'TRA TECH'!Z:Z)="","",_xlfn.XLOOKUP($H200,'TRA TECH'!$J:$J,'TRA TECH'!Z:Z)))</f>
        <v>*</v>
      </c>
      <c r="X200" t="str">
        <f>IF(H200="*","*",IF(_xlfn.XLOOKUP($H200,'TRA TECH'!$J:$J,'TRA TECH'!AA:AA)="","",_xlfn.XLOOKUP($H200,'TRA TECH'!$J:$J,'TRA TECH'!AA:AA)))</f>
        <v>*</v>
      </c>
      <c r="Y200" t="str">
        <f>IF(H200="*","*",IF(_xlfn.XLOOKUP($H200,'TRA TECH'!$J:$J,'TRA TECH'!AB:AB)="","",_xlfn.XLOOKUP($H200,'TRA TECH'!$J:$J,'TRA TECH'!AB:AB)))</f>
        <v>*</v>
      </c>
      <c r="Z200" t="str">
        <f>IF(H200="*","*",IF(_xlfn.XLOOKUP($H200,'TRA TECH'!$J:$J,'TRA TECH'!AC:AC)="","",_xlfn.XLOOKUP($H200,'TRA TECH'!$J:$J,'TRA TECH'!AC:AC)))</f>
        <v>*</v>
      </c>
      <c r="AA200" t="str">
        <f>IF(H200="*","*",IF(_xlfn.XLOOKUP($H200,'TRA TECH'!$J:$J,'TRA TECH'!AD:AD)="","",_xlfn.XLOOKUP($H200,'TRA TECH'!$J:$J,'TRA TECH'!AD:AD)))</f>
        <v>*</v>
      </c>
      <c r="AB200" t="str">
        <f t="shared" si="18"/>
        <v>*</v>
      </c>
      <c r="AC200" s="15" t="str">
        <f>IF(H200="*","*",IF(_xlfn.XLOOKUP($H200,'TRA TECH'!$J:$J,'TRA TECH'!AE:AE)="","",_xlfn.XLOOKUP($H200,'TRA TECH'!$J:$J,'TRA TECH'!AE:AE)))</f>
        <v>*</v>
      </c>
      <c r="AD200" s="15" t="str">
        <f>IF(H200="*","*",IF(_xlfn.XLOOKUP($H200,'TRA TECH'!$J:$J,'TRA TECH'!AF:AF)="","",_xlfn.XLOOKUP($H200,'TRA TECH'!$J:$J,'TRA TECH'!AF:AF)))</f>
        <v>*</v>
      </c>
      <c r="AE200" s="15" t="str">
        <f>IF(H200="*","*",IF(_xlfn.XLOOKUP($H200,'TRA TECH'!$J:$J,'TRA TECH'!AG:AG)="","",_xlfn.XLOOKUP($H200,'TRA TECH'!$J:$J,'TRA TECH'!AG:AG)))</f>
        <v>*</v>
      </c>
      <c r="AF200" s="15" t="str">
        <f>IF(H200="*","*",IF(_xlfn.XLOOKUP($H200,'TRA TECH'!$J:$J,'TRA TECH'!AH:AH)="","",_xlfn.XLOOKUP($H200,'TRA TECH'!$J:$J,'TRA TECH'!AH:AH)))</f>
        <v>*</v>
      </c>
      <c r="AG200" s="15" t="str">
        <f>IF(H200="*","*",IF(_xlfn.XLOOKUP($H200,'TRA TECH'!$J:$J,'TRA TECH'!AI:AI)="","",_xlfn.XLOOKUP($H200,'TRA TECH'!$J:$J,'TRA TECH'!AI:AI)))</f>
        <v>*</v>
      </c>
      <c r="AH200" s="15" t="str">
        <f>IF(H200="*","*",IF(_xlfn.XLOOKUP($H200,'TRA TECH'!$J:$J,'TRA TECH'!AJ:AJ)="","",_xlfn.XLOOKUP($H200,'TRA TECH'!$J:$J,'TRA TECH'!AJ:AJ)))</f>
        <v>*</v>
      </c>
      <c r="AI200" s="15" t="str">
        <f>IF(H200="*","*",IF(_xlfn.XLOOKUP($H200,'TRA TECH'!$J:$J,'TRA TECH'!AK:AK)="","",_xlfn.XLOOKUP($H200,'TRA TECH'!$J:$J,'TRA TECH'!AK:AK)))</f>
        <v>*</v>
      </c>
      <c r="AJ200" s="15" t="str">
        <f t="shared" si="19"/>
        <v>*</v>
      </c>
      <c r="AK200" s="16" t="str">
        <f t="shared" si="20"/>
        <v>*</v>
      </c>
    </row>
    <row r="201" spans="2:37" x14ac:dyDescent="0.25">
      <c r="B201" t="str">
        <f>IF('TRA TECH'!M197=0,"*",IF('TRA TECH'!H197="","*",'TRA TECH'!J197))</f>
        <v>TRAFRECSHICEVDSL20</v>
      </c>
      <c r="C201" t="str">
        <f>IF('TRA TECH'!M197=0,"*",'TRA TECH'!H197)</f>
        <v>TRABDS</v>
      </c>
      <c r="D201" t="s">
        <v>424</v>
      </c>
      <c r="E201" s="9">
        <f>'TRA TECH'!P197</f>
        <v>0.1</v>
      </c>
      <c r="H201" t="str">
        <f>IF('TRA TECH'!M197=1,IF('TRA TECH'!L197=1,'TRA TECH'!J197,"*"),"*")</f>
        <v>*</v>
      </c>
      <c r="I201" t="str">
        <f>IF(H201="*","*",_xlfn.XLOOKUP(H201,'TRA TECH'!J:J,'TRA TECH'!I:I))</f>
        <v>*</v>
      </c>
      <c r="J201" t="str">
        <f>IF(H201="*","*",_xlfn.XLOOKUP(H201,'TRA TECH'!J:J,'TRA TECH'!N:N))</f>
        <v>*</v>
      </c>
      <c r="K201" s="15" t="str">
        <f>IF(H201="*","*",IF(_xlfn.XLOOKUP(H201,'TRA TECH'!J:J,'TRA TECH'!O:O)="","",_xlfn.XLOOKUP(H201,'TRA TECH'!J:J,'TRA TECH'!O:O)))</f>
        <v>*</v>
      </c>
      <c r="L201" t="str">
        <f t="shared" si="16"/>
        <v>*</v>
      </c>
      <c r="M201" t="str">
        <f>IF(H201="*","*",IF(_xlfn.XLOOKUP($H201,'TRA TECH'!$J:$J,'TRA TECH'!Q:Q)="","",_xlfn.XLOOKUP($H201,'TRA TECH'!$J:$J,'TRA TECH'!Q:Q)))</f>
        <v>*</v>
      </c>
      <c r="N201" t="str">
        <f>IF(H201="*","*",IF(_xlfn.XLOOKUP($H201,'TRA TECH'!$J:$J,'TRA TECH'!R:R)="","",_xlfn.XLOOKUP($H201,'TRA TECH'!$J:$J,'TRA TECH'!R:R)))</f>
        <v>*</v>
      </c>
      <c r="O201" t="str">
        <f>IF(H201="*","*",IF(_xlfn.XLOOKUP($H201,'TRA TECH'!$J:$J,'TRA TECH'!S:S)="","",_xlfn.XLOOKUP($H201,'TRA TECH'!$J:$J,'TRA TECH'!S:S)))</f>
        <v>*</v>
      </c>
      <c r="P201" t="str">
        <f>IF(H201="*","*",IF(_xlfn.XLOOKUP($H201,'TRA TECH'!$J:$J,'TRA TECH'!T:T)="","",_xlfn.XLOOKUP($H201,'TRA TECH'!$J:$J,'TRA TECH'!T:T)))</f>
        <v>*</v>
      </c>
      <c r="Q201" t="str">
        <f>IF(H201="*","*",IF(_xlfn.XLOOKUP($H201,'TRA TECH'!$J:$J,'TRA TECH'!U:U)="","",_xlfn.XLOOKUP($H201,'TRA TECH'!$J:$J,'TRA TECH'!U:U)))</f>
        <v>*</v>
      </c>
      <c r="R201" t="str">
        <f>IF(H201="*","*",IF(_xlfn.XLOOKUP($H201,'TRA TECH'!$J:$J,'TRA TECH'!V:V)="","",_xlfn.XLOOKUP($H201,'TRA TECH'!$J:$J,'TRA TECH'!V:V)))</f>
        <v>*</v>
      </c>
      <c r="S201" t="str">
        <f>IF(H201="*","*",IF(_xlfn.XLOOKUP($H201,'TRA TECH'!$J:$J,'TRA TECH'!W:W)="","",_xlfn.XLOOKUP($H201,'TRA TECH'!$J:$J,'TRA TECH'!W:W)))</f>
        <v>*</v>
      </c>
      <c r="T201" t="str">
        <f t="shared" si="17"/>
        <v>*</v>
      </c>
      <c r="U201" t="str">
        <f>IF(H201="*","*",IF(_xlfn.XLOOKUP($H201,'TRA TECH'!$J:$J,'TRA TECH'!X:X)="","",_xlfn.XLOOKUP($H201,'TRA TECH'!$J:$J,'TRA TECH'!X:X)))</f>
        <v>*</v>
      </c>
      <c r="V201" t="str">
        <f>IF(H201="*","*",IF(_xlfn.XLOOKUP($H201,'TRA TECH'!$J:$J,'TRA TECH'!Y:Y)="","",_xlfn.XLOOKUP($H201,'TRA TECH'!$J:$J,'TRA TECH'!Y:Y)))</f>
        <v>*</v>
      </c>
      <c r="W201" t="str">
        <f>IF(H201="*","*",IF(_xlfn.XLOOKUP($H201,'TRA TECH'!$J:$J,'TRA TECH'!Z:Z)="","",_xlfn.XLOOKUP($H201,'TRA TECH'!$J:$J,'TRA TECH'!Z:Z)))</f>
        <v>*</v>
      </c>
      <c r="X201" t="str">
        <f>IF(H201="*","*",IF(_xlfn.XLOOKUP($H201,'TRA TECH'!$J:$J,'TRA TECH'!AA:AA)="","",_xlfn.XLOOKUP($H201,'TRA TECH'!$J:$J,'TRA TECH'!AA:AA)))</f>
        <v>*</v>
      </c>
      <c r="Y201" t="str">
        <f>IF(H201="*","*",IF(_xlfn.XLOOKUP($H201,'TRA TECH'!$J:$J,'TRA TECH'!AB:AB)="","",_xlfn.XLOOKUP($H201,'TRA TECH'!$J:$J,'TRA TECH'!AB:AB)))</f>
        <v>*</v>
      </c>
      <c r="Z201" t="str">
        <f>IF(H201="*","*",IF(_xlfn.XLOOKUP($H201,'TRA TECH'!$J:$J,'TRA TECH'!AC:AC)="","",_xlfn.XLOOKUP($H201,'TRA TECH'!$J:$J,'TRA TECH'!AC:AC)))</f>
        <v>*</v>
      </c>
      <c r="AA201" t="str">
        <f>IF(H201="*","*",IF(_xlfn.XLOOKUP($H201,'TRA TECH'!$J:$J,'TRA TECH'!AD:AD)="","",_xlfn.XLOOKUP($H201,'TRA TECH'!$J:$J,'TRA TECH'!AD:AD)))</f>
        <v>*</v>
      </c>
      <c r="AB201" t="str">
        <f t="shared" si="18"/>
        <v>*</v>
      </c>
      <c r="AC201" s="15" t="str">
        <f>IF(H201="*","*",IF(_xlfn.XLOOKUP($H201,'TRA TECH'!$J:$J,'TRA TECH'!AE:AE)="","",_xlfn.XLOOKUP($H201,'TRA TECH'!$J:$J,'TRA TECH'!AE:AE)))</f>
        <v>*</v>
      </c>
      <c r="AD201" s="15" t="str">
        <f>IF(H201="*","*",IF(_xlfn.XLOOKUP($H201,'TRA TECH'!$J:$J,'TRA TECH'!AF:AF)="","",_xlfn.XLOOKUP($H201,'TRA TECH'!$J:$J,'TRA TECH'!AF:AF)))</f>
        <v>*</v>
      </c>
      <c r="AE201" s="15" t="str">
        <f>IF(H201="*","*",IF(_xlfn.XLOOKUP($H201,'TRA TECH'!$J:$J,'TRA TECH'!AG:AG)="","",_xlfn.XLOOKUP($H201,'TRA TECH'!$J:$J,'TRA TECH'!AG:AG)))</f>
        <v>*</v>
      </c>
      <c r="AF201" s="15" t="str">
        <f>IF(H201="*","*",IF(_xlfn.XLOOKUP($H201,'TRA TECH'!$J:$J,'TRA TECH'!AH:AH)="","",_xlfn.XLOOKUP($H201,'TRA TECH'!$J:$J,'TRA TECH'!AH:AH)))</f>
        <v>*</v>
      </c>
      <c r="AG201" s="15" t="str">
        <f>IF(H201="*","*",IF(_xlfn.XLOOKUP($H201,'TRA TECH'!$J:$J,'TRA TECH'!AI:AI)="","",_xlfn.XLOOKUP($H201,'TRA TECH'!$J:$J,'TRA TECH'!AI:AI)))</f>
        <v>*</v>
      </c>
      <c r="AH201" s="15" t="str">
        <f>IF(H201="*","*",IF(_xlfn.XLOOKUP($H201,'TRA TECH'!$J:$J,'TRA TECH'!AJ:AJ)="","",_xlfn.XLOOKUP($H201,'TRA TECH'!$J:$J,'TRA TECH'!AJ:AJ)))</f>
        <v>*</v>
      </c>
      <c r="AI201" s="15" t="str">
        <f>IF(H201="*","*",IF(_xlfn.XLOOKUP($H201,'TRA TECH'!$J:$J,'TRA TECH'!AK:AK)="","",_xlfn.XLOOKUP($H201,'TRA TECH'!$J:$J,'TRA TECH'!AK:AK)))</f>
        <v>*</v>
      </c>
      <c r="AJ201" s="15" t="str">
        <f t="shared" si="19"/>
        <v>*</v>
      </c>
      <c r="AK201" s="16" t="str">
        <f t="shared" si="20"/>
        <v>*</v>
      </c>
    </row>
    <row r="202" spans="2:37" x14ac:dyDescent="0.25">
      <c r="B202" t="str">
        <f>IF('TRA TECH'!M198=0,"*",IF('TRA TECH'!H198="","*",'TRA TECH'!J198))</f>
        <v>TRAFRECSHICEIDSL20</v>
      </c>
      <c r="C202" t="str">
        <f>IF('TRA TECH'!M198=0,"*",'TRA TECH'!H198)</f>
        <v>TRADSL</v>
      </c>
      <c r="D202" t="s">
        <v>424</v>
      </c>
      <c r="E202" s="9">
        <f>'TRA TECH'!P198</f>
        <v>1</v>
      </c>
      <c r="H202" t="str">
        <f>IF('TRA TECH'!M198=1,IF('TRA TECH'!L198=1,'TRA TECH'!J198,"*"),"*")</f>
        <v>TRAFRECSHICEIDSL20</v>
      </c>
      <c r="I202" t="str">
        <f>IF(H202="*","*",_xlfn.XLOOKUP(H202,'TRA TECH'!J:J,'TRA TECH'!I:I))</f>
        <v>TRAFRECSHDMD</v>
      </c>
      <c r="J202">
        <f>IF(H202="*","*",_xlfn.XLOOKUP(H202,'TRA TECH'!J:J,'TRA TECH'!N:N))</f>
        <v>2020</v>
      </c>
      <c r="K202" s="15">
        <f>IF(H202="*","*",IF(_xlfn.XLOOKUP(H202,'TRA TECH'!J:J,'TRA TECH'!O:O)="","",_xlfn.XLOOKUP(H202,'TRA TECH'!J:J,'TRA TECH'!O:O)))</f>
        <v>21.783939170417959</v>
      </c>
      <c r="L202">
        <f t="shared" si="16"/>
        <v>1</v>
      </c>
      <c r="M202">
        <f>IF(H202="*","*",IF(_xlfn.XLOOKUP($H202,'TRA TECH'!$J:$J,'TRA TECH'!Q:Q)="","",_xlfn.XLOOKUP($H202,'TRA TECH'!$J:$J,'TRA TECH'!Q:Q)))</f>
        <v>0.1028059347181009</v>
      </c>
      <c r="N202">
        <f>IF(H202="*","*",IF(_xlfn.XLOOKUP($H202,'TRA TECH'!$J:$J,'TRA TECH'!R:R)="","",_xlfn.XLOOKUP($H202,'TRA TECH'!$J:$J,'TRA TECH'!R:R)))</f>
        <v>0.1028059347181009</v>
      </c>
      <c r="O202">
        <f>IF(H202="*","*",IF(_xlfn.XLOOKUP($H202,'TRA TECH'!$J:$J,'TRA TECH'!S:S)="","",_xlfn.XLOOKUP($H202,'TRA TECH'!$J:$J,'TRA TECH'!S:S)))</f>
        <v>0.1111630623145401</v>
      </c>
      <c r="P202">
        <f>IF(H202="*","*",IF(_xlfn.XLOOKUP($H202,'TRA TECH'!$J:$J,'TRA TECH'!T:T)="","",_xlfn.XLOOKUP($H202,'TRA TECH'!$J:$J,'TRA TECH'!T:T)))</f>
        <v>0.12177528783382791</v>
      </c>
      <c r="Q202">
        <f>IF(H202="*","*",IF(_xlfn.XLOOKUP($H202,'TRA TECH'!$J:$J,'TRA TECH'!U:U)="","",_xlfn.XLOOKUP($H202,'TRA TECH'!$J:$J,'TRA TECH'!U:U)))</f>
        <v>0.12668344213649849</v>
      </c>
      <c r="R202">
        <f>IF(H202="*","*",IF(_xlfn.XLOOKUP($H202,'TRA TECH'!$J:$J,'TRA TECH'!V:V)="","",_xlfn.XLOOKUP($H202,'TRA TECH'!$J:$J,'TRA TECH'!V:V)))</f>
        <v>0.1315915964391691</v>
      </c>
      <c r="S202">
        <f>IF(H202="*","*",IF(_xlfn.XLOOKUP($H202,'TRA TECH'!$J:$J,'TRA TECH'!W:W)="","",_xlfn.XLOOKUP($H202,'TRA TECH'!$J:$J,'TRA TECH'!W:W)))</f>
        <v>0.1366324035608309</v>
      </c>
      <c r="T202">
        <f t="shared" si="17"/>
        <v>0.1366324035608309</v>
      </c>
      <c r="U202">
        <f>IF(H202="*","*",IF(_xlfn.XLOOKUP($H202,'TRA TECH'!$J:$J,'TRA TECH'!X:X)="","",_xlfn.XLOOKUP($H202,'TRA TECH'!$J:$J,'TRA TECH'!X:X)))</f>
        <v>253.22031302716309</v>
      </c>
      <c r="V202">
        <f>IF(H202="*","*",IF(_xlfn.XLOOKUP($H202,'TRA TECH'!$J:$J,'TRA TECH'!Y:Y)="","",_xlfn.XLOOKUP($H202,'TRA TECH'!$J:$J,'TRA TECH'!Y:Y)))</f>
        <v>253.22031302716309</v>
      </c>
      <c r="W202">
        <f>IF(H202="*","*",IF(_xlfn.XLOOKUP($H202,'TRA TECH'!$J:$J,'TRA TECH'!Z:Z)="","",_xlfn.XLOOKUP($H202,'TRA TECH'!$J:$J,'TRA TECH'!Z:Z)))</f>
        <v>255.35419206952679</v>
      </c>
      <c r="X202">
        <f>IF(H202="*","*",IF(_xlfn.XLOOKUP($H202,'TRA TECH'!$J:$J,'TRA TECH'!AA:AA)="","",_xlfn.XLOOKUP($H202,'TRA TECH'!$J:$J,'TRA TECH'!AA:AA)))</f>
        <v>256.06548508364801</v>
      </c>
      <c r="Y202">
        <f>IF(H202="*","*",IF(_xlfn.XLOOKUP($H202,'TRA TECH'!$J:$J,'TRA TECH'!AB:AB)="","",_xlfn.XLOOKUP($H202,'TRA TECH'!$J:$J,'TRA TECH'!AB:AB)))</f>
        <v>257.48807111189058</v>
      </c>
      <c r="Z202">
        <f>IF(H202="*","*",IF(_xlfn.XLOOKUP($H202,'TRA TECH'!$J:$J,'TRA TECH'!AC:AC)="","",_xlfn.XLOOKUP($H202,'TRA TECH'!$J:$J,'TRA TECH'!AC:AC)))</f>
        <v>259.62195015425431</v>
      </c>
      <c r="AA202">
        <f>IF(H202="*","*",IF(_xlfn.XLOOKUP($H202,'TRA TECH'!$J:$J,'TRA TECH'!AD:AD)="","",_xlfn.XLOOKUP($H202,'TRA TECH'!$J:$J,'TRA TECH'!AD:AD)))</f>
        <v>261.75582919661798</v>
      </c>
      <c r="AB202">
        <f t="shared" si="18"/>
        <v>261.75582919661798</v>
      </c>
      <c r="AC202" s="15">
        <f>IF(H202="*","*",IF(_xlfn.XLOOKUP($H202,'TRA TECH'!$J:$J,'TRA TECH'!AE:AE)="","",_xlfn.XLOOKUP($H202,'TRA TECH'!$J:$J,'TRA TECH'!AE:AE)))</f>
        <v>4.9631307405250524</v>
      </c>
      <c r="AD202" s="15">
        <f>IF(H202="*","*",IF(_xlfn.XLOOKUP($H202,'TRA TECH'!$J:$J,'TRA TECH'!AF:AF)="","",_xlfn.XLOOKUP($H202,'TRA TECH'!$J:$J,'TRA TECH'!AF:AF)))</f>
        <v>4.9631307405250524</v>
      </c>
      <c r="AE202" s="15">
        <f>IF(H202="*","*",IF(_xlfn.XLOOKUP($H202,'TRA TECH'!$J:$J,'TRA TECH'!AG:AG)="","",_xlfn.XLOOKUP($H202,'TRA TECH'!$J:$J,'TRA TECH'!AG:AG)))</f>
        <v>4.9631307405250524</v>
      </c>
      <c r="AF202" s="15">
        <f>IF(H202="*","*",IF(_xlfn.XLOOKUP($H202,'TRA TECH'!$J:$J,'TRA TECH'!AH:AH)="","",_xlfn.XLOOKUP($H202,'TRA TECH'!$J:$J,'TRA TECH'!AH:AH)))</f>
        <v>4.9631307405250524</v>
      </c>
      <c r="AG202" s="15">
        <f>IF(H202="*","*",IF(_xlfn.XLOOKUP($H202,'TRA TECH'!$J:$J,'TRA TECH'!AI:AI)="","",_xlfn.XLOOKUP($H202,'TRA TECH'!$J:$J,'TRA TECH'!AI:AI)))</f>
        <v>4.9631307405250524</v>
      </c>
      <c r="AH202" s="15">
        <f>IF(H202="*","*",IF(_xlfn.XLOOKUP($H202,'TRA TECH'!$J:$J,'TRA TECH'!AJ:AJ)="","",_xlfn.XLOOKUP($H202,'TRA TECH'!$J:$J,'TRA TECH'!AJ:AJ)))</f>
        <v>4.9631307405250524</v>
      </c>
      <c r="AI202" s="15">
        <f>IF(H202="*","*",IF(_xlfn.XLOOKUP($H202,'TRA TECH'!$J:$J,'TRA TECH'!AK:AK)="","",_xlfn.XLOOKUP($H202,'TRA TECH'!$J:$J,'TRA TECH'!AK:AK)))</f>
        <v>4.9631307405250524</v>
      </c>
      <c r="AJ202" s="15">
        <f t="shared" si="19"/>
        <v>4.9631307405250524</v>
      </c>
      <c r="AK202" s="16">
        <f t="shared" si="20"/>
        <v>0.1</v>
      </c>
    </row>
    <row r="203" spans="2:37" x14ac:dyDescent="0.25">
      <c r="B203" t="str">
        <f>IF('TRA TECH'!M199=0,"*",IF('TRA TECH'!H199="","*",'TRA TECH'!J199))</f>
        <v>TRAFRECSHICEIDSL20</v>
      </c>
      <c r="C203" t="str">
        <f>IF('TRA TECH'!M199=0,"*",'TRA TECH'!H199)</f>
        <v>TRARDS</v>
      </c>
      <c r="D203" t="s">
        <v>424</v>
      </c>
      <c r="E203" s="9">
        <f>'TRA TECH'!P199</f>
        <v>1</v>
      </c>
      <c r="H203" t="str">
        <f>IF('TRA TECH'!M199=1,IF('TRA TECH'!L199=1,'TRA TECH'!J199,"*"),"*")</f>
        <v>*</v>
      </c>
      <c r="I203" t="str">
        <f>IF(H203="*","*",_xlfn.XLOOKUP(H203,'TRA TECH'!J:J,'TRA TECH'!I:I))</f>
        <v>*</v>
      </c>
      <c r="J203" t="str">
        <f>IF(H203="*","*",_xlfn.XLOOKUP(H203,'TRA TECH'!J:J,'TRA TECH'!N:N))</f>
        <v>*</v>
      </c>
      <c r="K203" s="15" t="str">
        <f>IF(H203="*","*",IF(_xlfn.XLOOKUP(H203,'TRA TECH'!J:J,'TRA TECH'!O:O)="","",_xlfn.XLOOKUP(H203,'TRA TECH'!J:J,'TRA TECH'!O:O)))</f>
        <v>*</v>
      </c>
      <c r="L203" t="str">
        <f t="shared" si="16"/>
        <v>*</v>
      </c>
      <c r="M203" t="str">
        <f>IF(H203="*","*",IF(_xlfn.XLOOKUP($H203,'TRA TECH'!$J:$J,'TRA TECH'!Q:Q)="","",_xlfn.XLOOKUP($H203,'TRA TECH'!$J:$J,'TRA TECH'!Q:Q)))</f>
        <v>*</v>
      </c>
      <c r="N203" t="str">
        <f>IF(H203="*","*",IF(_xlfn.XLOOKUP($H203,'TRA TECH'!$J:$J,'TRA TECH'!R:R)="","",_xlfn.XLOOKUP($H203,'TRA TECH'!$J:$J,'TRA TECH'!R:R)))</f>
        <v>*</v>
      </c>
      <c r="O203" t="str">
        <f>IF(H203="*","*",IF(_xlfn.XLOOKUP($H203,'TRA TECH'!$J:$J,'TRA TECH'!S:S)="","",_xlfn.XLOOKUP($H203,'TRA TECH'!$J:$J,'TRA TECH'!S:S)))</f>
        <v>*</v>
      </c>
      <c r="P203" t="str">
        <f>IF(H203="*","*",IF(_xlfn.XLOOKUP($H203,'TRA TECH'!$J:$J,'TRA TECH'!T:T)="","",_xlfn.XLOOKUP($H203,'TRA TECH'!$J:$J,'TRA TECH'!T:T)))</f>
        <v>*</v>
      </c>
      <c r="Q203" t="str">
        <f>IF(H203="*","*",IF(_xlfn.XLOOKUP($H203,'TRA TECH'!$J:$J,'TRA TECH'!U:U)="","",_xlfn.XLOOKUP($H203,'TRA TECH'!$J:$J,'TRA TECH'!U:U)))</f>
        <v>*</v>
      </c>
      <c r="R203" t="str">
        <f>IF(H203="*","*",IF(_xlfn.XLOOKUP($H203,'TRA TECH'!$J:$J,'TRA TECH'!V:V)="","",_xlfn.XLOOKUP($H203,'TRA TECH'!$J:$J,'TRA TECH'!V:V)))</f>
        <v>*</v>
      </c>
      <c r="S203" t="str">
        <f>IF(H203="*","*",IF(_xlfn.XLOOKUP($H203,'TRA TECH'!$J:$J,'TRA TECH'!W:W)="","",_xlfn.XLOOKUP($H203,'TRA TECH'!$J:$J,'TRA TECH'!W:W)))</f>
        <v>*</v>
      </c>
      <c r="T203" t="str">
        <f t="shared" si="17"/>
        <v>*</v>
      </c>
      <c r="U203" t="str">
        <f>IF(H203="*","*",IF(_xlfn.XLOOKUP($H203,'TRA TECH'!$J:$J,'TRA TECH'!X:X)="","",_xlfn.XLOOKUP($H203,'TRA TECH'!$J:$J,'TRA TECH'!X:X)))</f>
        <v>*</v>
      </c>
      <c r="V203" t="str">
        <f>IF(H203="*","*",IF(_xlfn.XLOOKUP($H203,'TRA TECH'!$J:$J,'TRA TECH'!Y:Y)="","",_xlfn.XLOOKUP($H203,'TRA TECH'!$J:$J,'TRA TECH'!Y:Y)))</f>
        <v>*</v>
      </c>
      <c r="W203" t="str">
        <f>IF(H203="*","*",IF(_xlfn.XLOOKUP($H203,'TRA TECH'!$J:$J,'TRA TECH'!Z:Z)="","",_xlfn.XLOOKUP($H203,'TRA TECH'!$J:$J,'TRA TECH'!Z:Z)))</f>
        <v>*</v>
      </c>
      <c r="X203" t="str">
        <f>IF(H203="*","*",IF(_xlfn.XLOOKUP($H203,'TRA TECH'!$J:$J,'TRA TECH'!AA:AA)="","",_xlfn.XLOOKUP($H203,'TRA TECH'!$J:$J,'TRA TECH'!AA:AA)))</f>
        <v>*</v>
      </c>
      <c r="Y203" t="str">
        <f>IF(H203="*","*",IF(_xlfn.XLOOKUP($H203,'TRA TECH'!$J:$J,'TRA TECH'!AB:AB)="","",_xlfn.XLOOKUP($H203,'TRA TECH'!$J:$J,'TRA TECH'!AB:AB)))</f>
        <v>*</v>
      </c>
      <c r="Z203" t="str">
        <f>IF(H203="*","*",IF(_xlfn.XLOOKUP($H203,'TRA TECH'!$J:$J,'TRA TECH'!AC:AC)="","",_xlfn.XLOOKUP($H203,'TRA TECH'!$J:$J,'TRA TECH'!AC:AC)))</f>
        <v>*</v>
      </c>
      <c r="AA203" t="str">
        <f>IF(H203="*","*",IF(_xlfn.XLOOKUP($H203,'TRA TECH'!$J:$J,'TRA TECH'!AD:AD)="","",_xlfn.XLOOKUP($H203,'TRA TECH'!$J:$J,'TRA TECH'!AD:AD)))</f>
        <v>*</v>
      </c>
      <c r="AB203" t="str">
        <f t="shared" si="18"/>
        <v>*</v>
      </c>
      <c r="AC203" s="15" t="str">
        <f>IF(H203="*","*",IF(_xlfn.XLOOKUP($H203,'TRA TECH'!$J:$J,'TRA TECH'!AE:AE)="","",_xlfn.XLOOKUP($H203,'TRA TECH'!$J:$J,'TRA TECH'!AE:AE)))</f>
        <v>*</v>
      </c>
      <c r="AD203" s="15" t="str">
        <f>IF(H203="*","*",IF(_xlfn.XLOOKUP($H203,'TRA TECH'!$J:$J,'TRA TECH'!AF:AF)="","",_xlfn.XLOOKUP($H203,'TRA TECH'!$J:$J,'TRA TECH'!AF:AF)))</f>
        <v>*</v>
      </c>
      <c r="AE203" s="15" t="str">
        <f>IF(H203="*","*",IF(_xlfn.XLOOKUP($H203,'TRA TECH'!$J:$J,'TRA TECH'!AG:AG)="","",_xlfn.XLOOKUP($H203,'TRA TECH'!$J:$J,'TRA TECH'!AG:AG)))</f>
        <v>*</v>
      </c>
      <c r="AF203" s="15" t="str">
        <f>IF(H203="*","*",IF(_xlfn.XLOOKUP($H203,'TRA TECH'!$J:$J,'TRA TECH'!AH:AH)="","",_xlfn.XLOOKUP($H203,'TRA TECH'!$J:$J,'TRA TECH'!AH:AH)))</f>
        <v>*</v>
      </c>
      <c r="AG203" s="15" t="str">
        <f>IF(H203="*","*",IF(_xlfn.XLOOKUP($H203,'TRA TECH'!$J:$J,'TRA TECH'!AI:AI)="","",_xlfn.XLOOKUP($H203,'TRA TECH'!$J:$J,'TRA TECH'!AI:AI)))</f>
        <v>*</v>
      </c>
      <c r="AH203" s="15" t="str">
        <f>IF(H203="*","*",IF(_xlfn.XLOOKUP($H203,'TRA TECH'!$J:$J,'TRA TECH'!AJ:AJ)="","",_xlfn.XLOOKUP($H203,'TRA TECH'!$J:$J,'TRA TECH'!AJ:AJ)))</f>
        <v>*</v>
      </c>
      <c r="AI203" s="15" t="str">
        <f>IF(H203="*","*",IF(_xlfn.XLOOKUP($H203,'TRA TECH'!$J:$J,'TRA TECH'!AK:AK)="","",_xlfn.XLOOKUP($H203,'TRA TECH'!$J:$J,'TRA TECH'!AK:AK)))</f>
        <v>*</v>
      </c>
      <c r="AJ203" s="15" t="str">
        <f t="shared" si="19"/>
        <v>*</v>
      </c>
      <c r="AK203" s="16" t="str">
        <f t="shared" si="20"/>
        <v>*</v>
      </c>
    </row>
    <row r="204" spans="2:37" x14ac:dyDescent="0.25">
      <c r="B204" t="str">
        <f>IF('TRA TECH'!M200=0,"*",IF('TRA TECH'!H200="","*",'TRA TECH'!J200))</f>
        <v>TRAFRECSHICEIDSL20</v>
      </c>
      <c r="C204" t="str">
        <f>IF('TRA TECH'!M200=0,"*",'TRA TECH'!H200)</f>
        <v>TRABDS</v>
      </c>
      <c r="D204" t="s">
        <v>424</v>
      </c>
      <c r="E204" s="9">
        <f>'TRA TECH'!P200</f>
        <v>0.1</v>
      </c>
      <c r="H204" t="str">
        <f>IF('TRA TECH'!M200=1,IF('TRA TECH'!L200=1,'TRA TECH'!J200,"*"),"*")</f>
        <v>*</v>
      </c>
      <c r="I204" t="str">
        <f>IF(H204="*","*",_xlfn.XLOOKUP(H204,'TRA TECH'!J:J,'TRA TECH'!I:I))</f>
        <v>*</v>
      </c>
      <c r="J204" t="str">
        <f>IF(H204="*","*",_xlfn.XLOOKUP(H204,'TRA TECH'!J:J,'TRA TECH'!N:N))</f>
        <v>*</v>
      </c>
      <c r="K204" s="15" t="str">
        <f>IF(H204="*","*",IF(_xlfn.XLOOKUP(H204,'TRA TECH'!J:J,'TRA TECH'!O:O)="","",_xlfn.XLOOKUP(H204,'TRA TECH'!J:J,'TRA TECH'!O:O)))</f>
        <v>*</v>
      </c>
      <c r="L204" t="str">
        <f t="shared" si="16"/>
        <v>*</v>
      </c>
      <c r="M204" t="str">
        <f>IF(H204="*","*",IF(_xlfn.XLOOKUP($H204,'TRA TECH'!$J:$J,'TRA TECH'!Q:Q)="","",_xlfn.XLOOKUP($H204,'TRA TECH'!$J:$J,'TRA TECH'!Q:Q)))</f>
        <v>*</v>
      </c>
      <c r="N204" t="str">
        <f>IF(H204="*","*",IF(_xlfn.XLOOKUP($H204,'TRA TECH'!$J:$J,'TRA TECH'!R:R)="","",_xlfn.XLOOKUP($H204,'TRA TECH'!$J:$J,'TRA TECH'!R:R)))</f>
        <v>*</v>
      </c>
      <c r="O204" t="str">
        <f>IF(H204="*","*",IF(_xlfn.XLOOKUP($H204,'TRA TECH'!$J:$J,'TRA TECH'!S:S)="","",_xlfn.XLOOKUP($H204,'TRA TECH'!$J:$J,'TRA TECH'!S:S)))</f>
        <v>*</v>
      </c>
      <c r="P204" t="str">
        <f>IF(H204="*","*",IF(_xlfn.XLOOKUP($H204,'TRA TECH'!$J:$J,'TRA TECH'!T:T)="","",_xlfn.XLOOKUP($H204,'TRA TECH'!$J:$J,'TRA TECH'!T:T)))</f>
        <v>*</v>
      </c>
      <c r="Q204" t="str">
        <f>IF(H204="*","*",IF(_xlfn.XLOOKUP($H204,'TRA TECH'!$J:$J,'TRA TECH'!U:U)="","",_xlfn.XLOOKUP($H204,'TRA TECH'!$J:$J,'TRA TECH'!U:U)))</f>
        <v>*</v>
      </c>
      <c r="R204" t="str">
        <f>IF(H204="*","*",IF(_xlfn.XLOOKUP($H204,'TRA TECH'!$J:$J,'TRA TECH'!V:V)="","",_xlfn.XLOOKUP($H204,'TRA TECH'!$J:$J,'TRA TECH'!V:V)))</f>
        <v>*</v>
      </c>
      <c r="S204" t="str">
        <f>IF(H204="*","*",IF(_xlfn.XLOOKUP($H204,'TRA TECH'!$J:$J,'TRA TECH'!W:W)="","",_xlfn.XLOOKUP($H204,'TRA TECH'!$J:$J,'TRA TECH'!W:W)))</f>
        <v>*</v>
      </c>
      <c r="T204" t="str">
        <f t="shared" si="17"/>
        <v>*</v>
      </c>
      <c r="U204" t="str">
        <f>IF(H204="*","*",IF(_xlfn.XLOOKUP($H204,'TRA TECH'!$J:$J,'TRA TECH'!X:X)="","",_xlfn.XLOOKUP($H204,'TRA TECH'!$J:$J,'TRA TECH'!X:X)))</f>
        <v>*</v>
      </c>
      <c r="V204" t="str">
        <f>IF(H204="*","*",IF(_xlfn.XLOOKUP($H204,'TRA TECH'!$J:$J,'TRA TECH'!Y:Y)="","",_xlfn.XLOOKUP($H204,'TRA TECH'!$J:$J,'TRA TECH'!Y:Y)))</f>
        <v>*</v>
      </c>
      <c r="W204" t="str">
        <f>IF(H204="*","*",IF(_xlfn.XLOOKUP($H204,'TRA TECH'!$J:$J,'TRA TECH'!Z:Z)="","",_xlfn.XLOOKUP($H204,'TRA TECH'!$J:$J,'TRA TECH'!Z:Z)))</f>
        <v>*</v>
      </c>
      <c r="X204" t="str">
        <f>IF(H204="*","*",IF(_xlfn.XLOOKUP($H204,'TRA TECH'!$J:$J,'TRA TECH'!AA:AA)="","",_xlfn.XLOOKUP($H204,'TRA TECH'!$J:$J,'TRA TECH'!AA:AA)))</f>
        <v>*</v>
      </c>
      <c r="Y204" t="str">
        <f>IF(H204="*","*",IF(_xlfn.XLOOKUP($H204,'TRA TECH'!$J:$J,'TRA TECH'!AB:AB)="","",_xlfn.XLOOKUP($H204,'TRA TECH'!$J:$J,'TRA TECH'!AB:AB)))</f>
        <v>*</v>
      </c>
      <c r="Z204" t="str">
        <f>IF(H204="*","*",IF(_xlfn.XLOOKUP($H204,'TRA TECH'!$J:$J,'TRA TECH'!AC:AC)="","",_xlfn.XLOOKUP($H204,'TRA TECH'!$J:$J,'TRA TECH'!AC:AC)))</f>
        <v>*</v>
      </c>
      <c r="AA204" t="str">
        <f>IF(H204="*","*",IF(_xlfn.XLOOKUP($H204,'TRA TECH'!$J:$J,'TRA TECH'!AD:AD)="","",_xlfn.XLOOKUP($H204,'TRA TECH'!$J:$J,'TRA TECH'!AD:AD)))</f>
        <v>*</v>
      </c>
      <c r="AB204" t="str">
        <f t="shared" si="18"/>
        <v>*</v>
      </c>
      <c r="AC204" s="15" t="str">
        <f>IF(H204="*","*",IF(_xlfn.XLOOKUP($H204,'TRA TECH'!$J:$J,'TRA TECH'!AE:AE)="","",_xlfn.XLOOKUP($H204,'TRA TECH'!$J:$J,'TRA TECH'!AE:AE)))</f>
        <v>*</v>
      </c>
      <c r="AD204" s="15" t="str">
        <f>IF(H204="*","*",IF(_xlfn.XLOOKUP($H204,'TRA TECH'!$J:$J,'TRA TECH'!AF:AF)="","",_xlfn.XLOOKUP($H204,'TRA TECH'!$J:$J,'TRA TECH'!AF:AF)))</f>
        <v>*</v>
      </c>
      <c r="AE204" s="15" t="str">
        <f>IF(H204="*","*",IF(_xlfn.XLOOKUP($H204,'TRA TECH'!$J:$J,'TRA TECH'!AG:AG)="","",_xlfn.XLOOKUP($H204,'TRA TECH'!$J:$J,'TRA TECH'!AG:AG)))</f>
        <v>*</v>
      </c>
      <c r="AF204" s="15" t="str">
        <f>IF(H204="*","*",IF(_xlfn.XLOOKUP($H204,'TRA TECH'!$J:$J,'TRA TECH'!AH:AH)="","",_xlfn.XLOOKUP($H204,'TRA TECH'!$J:$J,'TRA TECH'!AH:AH)))</f>
        <v>*</v>
      </c>
      <c r="AG204" s="15" t="str">
        <f>IF(H204="*","*",IF(_xlfn.XLOOKUP($H204,'TRA TECH'!$J:$J,'TRA TECH'!AI:AI)="","",_xlfn.XLOOKUP($H204,'TRA TECH'!$J:$J,'TRA TECH'!AI:AI)))</f>
        <v>*</v>
      </c>
      <c r="AH204" s="15" t="str">
        <f>IF(H204="*","*",IF(_xlfn.XLOOKUP($H204,'TRA TECH'!$J:$J,'TRA TECH'!AJ:AJ)="","",_xlfn.XLOOKUP($H204,'TRA TECH'!$J:$J,'TRA TECH'!AJ:AJ)))</f>
        <v>*</v>
      </c>
      <c r="AI204" s="15" t="str">
        <f>IF(H204="*","*",IF(_xlfn.XLOOKUP($H204,'TRA TECH'!$J:$J,'TRA TECH'!AK:AK)="","",_xlfn.XLOOKUP($H204,'TRA TECH'!$J:$J,'TRA TECH'!AK:AK)))</f>
        <v>*</v>
      </c>
      <c r="AJ204" s="15" t="str">
        <f t="shared" si="19"/>
        <v>*</v>
      </c>
      <c r="AK204" s="16" t="str">
        <f t="shared" si="20"/>
        <v>*</v>
      </c>
    </row>
    <row r="205" spans="2:37" x14ac:dyDescent="0.25">
      <c r="B205" t="str">
        <f>IF('TRA TECH'!M201=0,"*",IF('TRA TECH'!H201="","*",'TRA TECH'!J201))</f>
        <v>TRAFRECSHHEVPDSL20</v>
      </c>
      <c r="C205" t="str">
        <f>IF('TRA TECH'!M201=0,"*",'TRA TECH'!H201)</f>
        <v>TRADSL</v>
      </c>
      <c r="D205" t="s">
        <v>424</v>
      </c>
      <c r="E205" s="9">
        <f>'TRA TECH'!P201</f>
        <v>1</v>
      </c>
      <c r="H205" t="str">
        <f>IF('TRA TECH'!M201=1,IF('TRA TECH'!L201=1,'TRA TECH'!J201,"*"),"*")</f>
        <v>TRAFRECSHHEVPDSL20</v>
      </c>
      <c r="I205" t="str">
        <f>IF(H205="*","*",_xlfn.XLOOKUP(H205,'TRA TECH'!J:J,'TRA TECH'!I:I))</f>
        <v>TRAFRECSHDMD</v>
      </c>
      <c r="J205">
        <f>IF(H205="*","*",_xlfn.XLOOKUP(H205,'TRA TECH'!J:J,'TRA TECH'!N:N))</f>
        <v>2020</v>
      </c>
      <c r="K205" s="15">
        <f>IF(H205="*","*",IF(_xlfn.XLOOKUP(H205,'TRA TECH'!J:J,'TRA TECH'!O:O)="","",_xlfn.XLOOKUP(H205,'TRA TECH'!J:J,'TRA TECH'!O:O)))</f>
        <v>21.783939170417959</v>
      </c>
      <c r="L205">
        <f t="shared" si="16"/>
        <v>1</v>
      </c>
      <c r="M205">
        <f>IF(H205="*","*",IF(_xlfn.XLOOKUP($H205,'TRA TECH'!$J:$J,'TRA TECH'!Q:Q)="","",_xlfn.XLOOKUP($H205,'TRA TECH'!$J:$J,'TRA TECH'!Q:Q)))</f>
        <v>0.10293858753709199</v>
      </c>
      <c r="N205">
        <f>IF(H205="*","*",IF(_xlfn.XLOOKUP($H205,'TRA TECH'!$J:$J,'TRA TECH'!R:R)="","",_xlfn.XLOOKUP($H205,'TRA TECH'!$J:$J,'TRA TECH'!R:R)))</f>
        <v>0.10293858753709199</v>
      </c>
      <c r="O205">
        <f>IF(H205="*","*",IF(_xlfn.XLOOKUP($H205,'TRA TECH'!$J:$J,'TRA TECH'!S:S)="","",_xlfn.XLOOKUP($H205,'TRA TECH'!$J:$J,'TRA TECH'!S:S)))</f>
        <v>0.1142140771513353</v>
      </c>
      <c r="P205">
        <f>IF(H205="*","*",IF(_xlfn.XLOOKUP($H205,'TRA TECH'!$J:$J,'TRA TECH'!T:T)="","",_xlfn.XLOOKUP($H205,'TRA TECH'!$J:$J,'TRA TECH'!T:T)))</f>
        <v>0.1241630385756677</v>
      </c>
      <c r="Q205">
        <f>IF(H205="*","*",IF(_xlfn.XLOOKUP($H205,'TRA TECH'!$J:$J,'TRA TECH'!U:U)="","",_xlfn.XLOOKUP($H205,'TRA TECH'!$J:$J,'TRA TECH'!U:U)))</f>
        <v>0.12986710979228491</v>
      </c>
      <c r="R205">
        <f>IF(H205="*","*",IF(_xlfn.XLOOKUP($H205,'TRA TECH'!$J:$J,'TRA TECH'!V:V)="","",_xlfn.XLOOKUP($H205,'TRA TECH'!$J:$J,'TRA TECH'!V:V)))</f>
        <v>0.1353058753709199</v>
      </c>
      <c r="S205">
        <f>IF(H205="*","*",IF(_xlfn.XLOOKUP($H205,'TRA TECH'!$J:$J,'TRA TECH'!W:W)="","",_xlfn.XLOOKUP($H205,'TRA TECH'!$J:$J,'TRA TECH'!W:W)))</f>
        <v>0.1406119881305638</v>
      </c>
      <c r="T205">
        <f t="shared" si="17"/>
        <v>0.1406119881305638</v>
      </c>
      <c r="U205">
        <f>IF(H205="*","*",IF(_xlfn.XLOOKUP($H205,'TRA TECH'!$J:$J,'TRA TECH'!X:X)="","",_xlfn.XLOOKUP($H205,'TRA TECH'!$J:$J,'TRA TECH'!X:X)))</f>
        <v>259.62195015425431</v>
      </c>
      <c r="V205">
        <f>IF(H205="*","*",IF(_xlfn.XLOOKUP($H205,'TRA TECH'!$J:$J,'TRA TECH'!Y:Y)="","",_xlfn.XLOOKUP($H205,'TRA TECH'!$J:$J,'TRA TECH'!Y:Y)))</f>
        <v>259.62195015425431</v>
      </c>
      <c r="W205">
        <f>IF(H205="*","*",IF(_xlfn.XLOOKUP($H205,'TRA TECH'!$J:$J,'TRA TECH'!Z:Z)="","",_xlfn.XLOOKUP($H205,'TRA TECH'!$J:$J,'TRA TECH'!Z:Z)))</f>
        <v>260.33324316837559</v>
      </c>
      <c r="X205">
        <f>IF(H205="*","*",IF(_xlfn.XLOOKUP($H205,'TRA TECH'!$J:$J,'TRA TECH'!AA:AA)="","",_xlfn.XLOOKUP($H205,'TRA TECH'!$J:$J,'TRA TECH'!AA:AA)))</f>
        <v>260.33324316837559</v>
      </c>
      <c r="Y205">
        <f>IF(H205="*","*",IF(_xlfn.XLOOKUP($H205,'TRA TECH'!$J:$J,'TRA TECH'!AB:AB)="","",_xlfn.XLOOKUP($H205,'TRA TECH'!$J:$J,'TRA TECH'!AB:AB)))</f>
        <v>261.75582919661798</v>
      </c>
      <c r="Z205">
        <f>IF(H205="*","*",IF(_xlfn.XLOOKUP($H205,'TRA TECH'!$J:$J,'TRA TECH'!AC:AC)="","",_xlfn.XLOOKUP($H205,'TRA TECH'!$J:$J,'TRA TECH'!AC:AC)))</f>
        <v>263.88970823898183</v>
      </c>
      <c r="AA205">
        <f>IF(H205="*","*",IF(_xlfn.XLOOKUP($H205,'TRA TECH'!$J:$J,'TRA TECH'!AD:AD)="","",_xlfn.XLOOKUP($H205,'TRA TECH'!$J:$J,'TRA TECH'!AD:AD)))</f>
        <v>266.02358728134561</v>
      </c>
      <c r="AB205">
        <f t="shared" si="18"/>
        <v>266.02358728134561</v>
      </c>
      <c r="AC205" s="15">
        <f>IF(H205="*","*",IF(_xlfn.XLOOKUP($H205,'TRA TECH'!$J:$J,'TRA TECH'!AE:AE)="","",_xlfn.XLOOKUP($H205,'TRA TECH'!$J:$J,'TRA TECH'!AE:AE)))</f>
        <v>4.9631307405250524</v>
      </c>
      <c r="AD205" s="15">
        <f>IF(H205="*","*",IF(_xlfn.XLOOKUP($H205,'TRA TECH'!$J:$J,'TRA TECH'!AF:AF)="","",_xlfn.XLOOKUP($H205,'TRA TECH'!$J:$J,'TRA TECH'!AF:AF)))</f>
        <v>4.9631307405250524</v>
      </c>
      <c r="AE205" s="15">
        <f>IF(H205="*","*",IF(_xlfn.XLOOKUP($H205,'TRA TECH'!$J:$J,'TRA TECH'!AG:AG)="","",_xlfn.XLOOKUP($H205,'TRA TECH'!$J:$J,'TRA TECH'!AG:AG)))</f>
        <v>4.9631307405250524</v>
      </c>
      <c r="AF205" s="15">
        <f>IF(H205="*","*",IF(_xlfn.XLOOKUP($H205,'TRA TECH'!$J:$J,'TRA TECH'!AH:AH)="","",_xlfn.XLOOKUP($H205,'TRA TECH'!$J:$J,'TRA TECH'!AH:AH)))</f>
        <v>4.9631307405250524</v>
      </c>
      <c r="AG205" s="15">
        <f>IF(H205="*","*",IF(_xlfn.XLOOKUP($H205,'TRA TECH'!$J:$J,'TRA TECH'!AI:AI)="","",_xlfn.XLOOKUP($H205,'TRA TECH'!$J:$J,'TRA TECH'!AI:AI)))</f>
        <v>4.9631307405250524</v>
      </c>
      <c r="AH205" s="15">
        <f>IF(H205="*","*",IF(_xlfn.XLOOKUP($H205,'TRA TECH'!$J:$J,'TRA TECH'!AJ:AJ)="","",_xlfn.XLOOKUP($H205,'TRA TECH'!$J:$J,'TRA TECH'!AJ:AJ)))</f>
        <v>4.9631307405250524</v>
      </c>
      <c r="AI205" s="15">
        <f>IF(H205="*","*",IF(_xlfn.XLOOKUP($H205,'TRA TECH'!$J:$J,'TRA TECH'!AK:AK)="","",_xlfn.XLOOKUP($H205,'TRA TECH'!$J:$J,'TRA TECH'!AK:AK)))</f>
        <v>4.9631307405250524</v>
      </c>
      <c r="AJ205" s="15">
        <f t="shared" si="19"/>
        <v>4.9631307405250524</v>
      </c>
      <c r="AK205" s="16">
        <f t="shared" si="20"/>
        <v>0.25</v>
      </c>
    </row>
    <row r="206" spans="2:37" x14ac:dyDescent="0.25">
      <c r="B206" t="str">
        <f>IF('TRA TECH'!M202=0,"*",IF('TRA TECH'!H202="","*",'TRA TECH'!J202))</f>
        <v>TRAFRECSHHEVPDSL20</v>
      </c>
      <c r="C206" t="str">
        <f>IF('TRA TECH'!M202=0,"*",'TRA TECH'!H202)</f>
        <v>TRARDS</v>
      </c>
      <c r="D206" t="s">
        <v>424</v>
      </c>
      <c r="E206" s="9">
        <f>'TRA TECH'!P202</f>
        <v>1</v>
      </c>
      <c r="H206" t="str">
        <f>IF('TRA TECH'!M202=1,IF('TRA TECH'!L202=1,'TRA TECH'!J202,"*"),"*")</f>
        <v>*</v>
      </c>
      <c r="I206" t="str">
        <f>IF(H206="*","*",_xlfn.XLOOKUP(H206,'TRA TECH'!J:J,'TRA TECH'!I:I))</f>
        <v>*</v>
      </c>
      <c r="J206" t="str">
        <f>IF(H206="*","*",_xlfn.XLOOKUP(H206,'TRA TECH'!J:J,'TRA TECH'!N:N))</f>
        <v>*</v>
      </c>
      <c r="K206" s="15" t="str">
        <f>IF(H206="*","*",IF(_xlfn.XLOOKUP(H206,'TRA TECH'!J:J,'TRA TECH'!O:O)="","",_xlfn.XLOOKUP(H206,'TRA TECH'!J:J,'TRA TECH'!O:O)))</f>
        <v>*</v>
      </c>
      <c r="L206" t="str">
        <f t="shared" si="16"/>
        <v>*</v>
      </c>
      <c r="M206" t="str">
        <f>IF(H206="*","*",IF(_xlfn.XLOOKUP($H206,'TRA TECH'!$J:$J,'TRA TECH'!Q:Q)="","",_xlfn.XLOOKUP($H206,'TRA TECH'!$J:$J,'TRA TECH'!Q:Q)))</f>
        <v>*</v>
      </c>
      <c r="N206" t="str">
        <f>IF(H206="*","*",IF(_xlfn.XLOOKUP($H206,'TRA TECH'!$J:$J,'TRA TECH'!R:R)="","",_xlfn.XLOOKUP($H206,'TRA TECH'!$J:$J,'TRA TECH'!R:R)))</f>
        <v>*</v>
      </c>
      <c r="O206" t="str">
        <f>IF(H206="*","*",IF(_xlfn.XLOOKUP($H206,'TRA TECH'!$J:$J,'TRA TECH'!S:S)="","",_xlfn.XLOOKUP($H206,'TRA TECH'!$J:$J,'TRA TECH'!S:S)))</f>
        <v>*</v>
      </c>
      <c r="P206" t="str">
        <f>IF(H206="*","*",IF(_xlfn.XLOOKUP($H206,'TRA TECH'!$J:$J,'TRA TECH'!T:T)="","",_xlfn.XLOOKUP($H206,'TRA TECH'!$J:$J,'TRA TECH'!T:T)))</f>
        <v>*</v>
      </c>
      <c r="Q206" t="str">
        <f>IF(H206="*","*",IF(_xlfn.XLOOKUP($H206,'TRA TECH'!$J:$J,'TRA TECH'!U:U)="","",_xlfn.XLOOKUP($H206,'TRA TECH'!$J:$J,'TRA TECH'!U:U)))</f>
        <v>*</v>
      </c>
      <c r="R206" t="str">
        <f>IF(H206="*","*",IF(_xlfn.XLOOKUP($H206,'TRA TECH'!$J:$J,'TRA TECH'!V:V)="","",_xlfn.XLOOKUP($H206,'TRA TECH'!$J:$J,'TRA TECH'!V:V)))</f>
        <v>*</v>
      </c>
      <c r="S206" t="str">
        <f>IF(H206="*","*",IF(_xlfn.XLOOKUP($H206,'TRA TECH'!$J:$J,'TRA TECH'!W:W)="","",_xlfn.XLOOKUP($H206,'TRA TECH'!$J:$J,'TRA TECH'!W:W)))</f>
        <v>*</v>
      </c>
      <c r="T206" t="str">
        <f t="shared" si="17"/>
        <v>*</v>
      </c>
      <c r="U206" t="str">
        <f>IF(H206="*","*",IF(_xlfn.XLOOKUP($H206,'TRA TECH'!$J:$J,'TRA TECH'!X:X)="","",_xlfn.XLOOKUP($H206,'TRA TECH'!$J:$J,'TRA TECH'!X:X)))</f>
        <v>*</v>
      </c>
      <c r="V206" t="str">
        <f>IF(H206="*","*",IF(_xlfn.XLOOKUP($H206,'TRA TECH'!$J:$J,'TRA TECH'!Y:Y)="","",_xlfn.XLOOKUP($H206,'TRA TECH'!$J:$J,'TRA TECH'!Y:Y)))</f>
        <v>*</v>
      </c>
      <c r="W206" t="str">
        <f>IF(H206="*","*",IF(_xlfn.XLOOKUP($H206,'TRA TECH'!$J:$J,'TRA TECH'!Z:Z)="","",_xlfn.XLOOKUP($H206,'TRA TECH'!$J:$J,'TRA TECH'!Z:Z)))</f>
        <v>*</v>
      </c>
      <c r="X206" t="str">
        <f>IF(H206="*","*",IF(_xlfn.XLOOKUP($H206,'TRA TECH'!$J:$J,'TRA TECH'!AA:AA)="","",_xlfn.XLOOKUP($H206,'TRA TECH'!$J:$J,'TRA TECH'!AA:AA)))</f>
        <v>*</v>
      </c>
      <c r="Y206" t="str">
        <f>IF(H206="*","*",IF(_xlfn.XLOOKUP($H206,'TRA TECH'!$J:$J,'TRA TECH'!AB:AB)="","",_xlfn.XLOOKUP($H206,'TRA TECH'!$J:$J,'TRA TECH'!AB:AB)))</f>
        <v>*</v>
      </c>
      <c r="Z206" t="str">
        <f>IF(H206="*","*",IF(_xlfn.XLOOKUP($H206,'TRA TECH'!$J:$J,'TRA TECH'!AC:AC)="","",_xlfn.XLOOKUP($H206,'TRA TECH'!$J:$J,'TRA TECH'!AC:AC)))</f>
        <v>*</v>
      </c>
      <c r="AA206" t="str">
        <f>IF(H206="*","*",IF(_xlfn.XLOOKUP($H206,'TRA TECH'!$J:$J,'TRA TECH'!AD:AD)="","",_xlfn.XLOOKUP($H206,'TRA TECH'!$J:$J,'TRA TECH'!AD:AD)))</f>
        <v>*</v>
      </c>
      <c r="AB206" t="str">
        <f t="shared" si="18"/>
        <v>*</v>
      </c>
      <c r="AC206" s="15" t="str">
        <f>IF(H206="*","*",IF(_xlfn.XLOOKUP($H206,'TRA TECH'!$J:$J,'TRA TECH'!AE:AE)="","",_xlfn.XLOOKUP($H206,'TRA TECH'!$J:$J,'TRA TECH'!AE:AE)))</f>
        <v>*</v>
      </c>
      <c r="AD206" s="15" t="str">
        <f>IF(H206="*","*",IF(_xlfn.XLOOKUP($H206,'TRA TECH'!$J:$J,'TRA TECH'!AF:AF)="","",_xlfn.XLOOKUP($H206,'TRA TECH'!$J:$J,'TRA TECH'!AF:AF)))</f>
        <v>*</v>
      </c>
      <c r="AE206" s="15" t="str">
        <f>IF(H206="*","*",IF(_xlfn.XLOOKUP($H206,'TRA TECH'!$J:$J,'TRA TECH'!AG:AG)="","",_xlfn.XLOOKUP($H206,'TRA TECH'!$J:$J,'TRA TECH'!AG:AG)))</f>
        <v>*</v>
      </c>
      <c r="AF206" s="15" t="str">
        <f>IF(H206="*","*",IF(_xlfn.XLOOKUP($H206,'TRA TECH'!$J:$J,'TRA TECH'!AH:AH)="","",_xlfn.XLOOKUP($H206,'TRA TECH'!$J:$J,'TRA TECH'!AH:AH)))</f>
        <v>*</v>
      </c>
      <c r="AG206" s="15" t="str">
        <f>IF(H206="*","*",IF(_xlfn.XLOOKUP($H206,'TRA TECH'!$J:$J,'TRA TECH'!AI:AI)="","",_xlfn.XLOOKUP($H206,'TRA TECH'!$J:$J,'TRA TECH'!AI:AI)))</f>
        <v>*</v>
      </c>
      <c r="AH206" s="15" t="str">
        <f>IF(H206="*","*",IF(_xlfn.XLOOKUP($H206,'TRA TECH'!$J:$J,'TRA TECH'!AJ:AJ)="","",_xlfn.XLOOKUP($H206,'TRA TECH'!$J:$J,'TRA TECH'!AJ:AJ)))</f>
        <v>*</v>
      </c>
      <c r="AI206" s="15" t="str">
        <f>IF(H206="*","*",IF(_xlfn.XLOOKUP($H206,'TRA TECH'!$J:$J,'TRA TECH'!AK:AK)="","",_xlfn.XLOOKUP($H206,'TRA TECH'!$J:$J,'TRA TECH'!AK:AK)))</f>
        <v>*</v>
      </c>
      <c r="AJ206" s="15" t="str">
        <f t="shared" si="19"/>
        <v>*</v>
      </c>
      <c r="AK206" s="16" t="str">
        <f t="shared" si="20"/>
        <v>*</v>
      </c>
    </row>
    <row r="207" spans="2:37" x14ac:dyDescent="0.25">
      <c r="B207" t="str">
        <f>IF('TRA TECH'!M203=0,"*",IF('TRA TECH'!H203="","*",'TRA TECH'!J203))</f>
        <v>TRAFRECSHHEVPDSL20</v>
      </c>
      <c r="C207" t="str">
        <f>IF('TRA TECH'!M203=0,"*",'TRA TECH'!H203)</f>
        <v>TRABDS</v>
      </c>
      <c r="D207" t="s">
        <v>424</v>
      </c>
      <c r="E207" s="9">
        <f>'TRA TECH'!P203</f>
        <v>0.1</v>
      </c>
      <c r="H207" t="str">
        <f>IF('TRA TECH'!M203=1,IF('TRA TECH'!L203=1,'TRA TECH'!J203,"*"),"*")</f>
        <v>*</v>
      </c>
      <c r="I207" t="str">
        <f>IF(H207="*","*",_xlfn.XLOOKUP(H207,'TRA TECH'!J:J,'TRA TECH'!I:I))</f>
        <v>*</v>
      </c>
      <c r="J207" t="str">
        <f>IF(H207="*","*",_xlfn.XLOOKUP(H207,'TRA TECH'!J:J,'TRA TECH'!N:N))</f>
        <v>*</v>
      </c>
      <c r="K207" s="15" t="str">
        <f>IF(H207="*","*",IF(_xlfn.XLOOKUP(H207,'TRA TECH'!J:J,'TRA TECH'!O:O)="","",_xlfn.XLOOKUP(H207,'TRA TECH'!J:J,'TRA TECH'!O:O)))</f>
        <v>*</v>
      </c>
      <c r="L207" t="str">
        <f t="shared" si="16"/>
        <v>*</v>
      </c>
      <c r="M207" t="str">
        <f>IF(H207="*","*",IF(_xlfn.XLOOKUP($H207,'TRA TECH'!$J:$J,'TRA TECH'!Q:Q)="","",_xlfn.XLOOKUP($H207,'TRA TECH'!$J:$J,'TRA TECH'!Q:Q)))</f>
        <v>*</v>
      </c>
      <c r="N207" t="str">
        <f>IF(H207="*","*",IF(_xlfn.XLOOKUP($H207,'TRA TECH'!$J:$J,'TRA TECH'!R:R)="","",_xlfn.XLOOKUP($H207,'TRA TECH'!$J:$J,'TRA TECH'!R:R)))</f>
        <v>*</v>
      </c>
      <c r="O207" t="str">
        <f>IF(H207="*","*",IF(_xlfn.XLOOKUP($H207,'TRA TECH'!$J:$J,'TRA TECH'!S:S)="","",_xlfn.XLOOKUP($H207,'TRA TECH'!$J:$J,'TRA TECH'!S:S)))</f>
        <v>*</v>
      </c>
      <c r="P207" t="str">
        <f>IF(H207="*","*",IF(_xlfn.XLOOKUP($H207,'TRA TECH'!$J:$J,'TRA TECH'!T:T)="","",_xlfn.XLOOKUP($H207,'TRA TECH'!$J:$J,'TRA TECH'!T:T)))</f>
        <v>*</v>
      </c>
      <c r="Q207" t="str">
        <f>IF(H207="*","*",IF(_xlfn.XLOOKUP($H207,'TRA TECH'!$J:$J,'TRA TECH'!U:U)="","",_xlfn.XLOOKUP($H207,'TRA TECH'!$J:$J,'TRA TECH'!U:U)))</f>
        <v>*</v>
      </c>
      <c r="R207" t="str">
        <f>IF(H207="*","*",IF(_xlfn.XLOOKUP($H207,'TRA TECH'!$J:$J,'TRA TECH'!V:V)="","",_xlfn.XLOOKUP($H207,'TRA TECH'!$J:$J,'TRA TECH'!V:V)))</f>
        <v>*</v>
      </c>
      <c r="S207" t="str">
        <f>IF(H207="*","*",IF(_xlfn.XLOOKUP($H207,'TRA TECH'!$J:$J,'TRA TECH'!W:W)="","",_xlfn.XLOOKUP($H207,'TRA TECH'!$J:$J,'TRA TECH'!W:W)))</f>
        <v>*</v>
      </c>
      <c r="T207" t="str">
        <f t="shared" si="17"/>
        <v>*</v>
      </c>
      <c r="U207" t="str">
        <f>IF(H207="*","*",IF(_xlfn.XLOOKUP($H207,'TRA TECH'!$J:$J,'TRA TECH'!X:X)="","",_xlfn.XLOOKUP($H207,'TRA TECH'!$J:$J,'TRA TECH'!X:X)))</f>
        <v>*</v>
      </c>
      <c r="V207" t="str">
        <f>IF(H207="*","*",IF(_xlfn.XLOOKUP($H207,'TRA TECH'!$J:$J,'TRA TECH'!Y:Y)="","",_xlfn.XLOOKUP($H207,'TRA TECH'!$J:$J,'TRA TECH'!Y:Y)))</f>
        <v>*</v>
      </c>
      <c r="W207" t="str">
        <f>IF(H207="*","*",IF(_xlfn.XLOOKUP($H207,'TRA TECH'!$J:$J,'TRA TECH'!Z:Z)="","",_xlfn.XLOOKUP($H207,'TRA TECH'!$J:$J,'TRA TECH'!Z:Z)))</f>
        <v>*</v>
      </c>
      <c r="X207" t="str">
        <f>IF(H207="*","*",IF(_xlfn.XLOOKUP($H207,'TRA TECH'!$J:$J,'TRA TECH'!AA:AA)="","",_xlfn.XLOOKUP($H207,'TRA TECH'!$J:$J,'TRA TECH'!AA:AA)))</f>
        <v>*</v>
      </c>
      <c r="Y207" t="str">
        <f>IF(H207="*","*",IF(_xlfn.XLOOKUP($H207,'TRA TECH'!$J:$J,'TRA TECH'!AB:AB)="","",_xlfn.XLOOKUP($H207,'TRA TECH'!$J:$J,'TRA TECH'!AB:AB)))</f>
        <v>*</v>
      </c>
      <c r="Z207" t="str">
        <f>IF(H207="*","*",IF(_xlfn.XLOOKUP($H207,'TRA TECH'!$J:$J,'TRA TECH'!AC:AC)="","",_xlfn.XLOOKUP($H207,'TRA TECH'!$J:$J,'TRA TECH'!AC:AC)))</f>
        <v>*</v>
      </c>
      <c r="AA207" t="str">
        <f>IF(H207="*","*",IF(_xlfn.XLOOKUP($H207,'TRA TECH'!$J:$J,'TRA TECH'!AD:AD)="","",_xlfn.XLOOKUP($H207,'TRA TECH'!$J:$J,'TRA TECH'!AD:AD)))</f>
        <v>*</v>
      </c>
      <c r="AB207" t="str">
        <f t="shared" si="18"/>
        <v>*</v>
      </c>
      <c r="AC207" s="15" t="str">
        <f>IF(H207="*","*",IF(_xlfn.XLOOKUP($H207,'TRA TECH'!$J:$J,'TRA TECH'!AE:AE)="","",_xlfn.XLOOKUP($H207,'TRA TECH'!$J:$J,'TRA TECH'!AE:AE)))</f>
        <v>*</v>
      </c>
      <c r="AD207" s="15" t="str">
        <f>IF(H207="*","*",IF(_xlfn.XLOOKUP($H207,'TRA TECH'!$J:$J,'TRA TECH'!AF:AF)="","",_xlfn.XLOOKUP($H207,'TRA TECH'!$J:$J,'TRA TECH'!AF:AF)))</f>
        <v>*</v>
      </c>
      <c r="AE207" s="15" t="str">
        <f>IF(H207="*","*",IF(_xlfn.XLOOKUP($H207,'TRA TECH'!$J:$J,'TRA TECH'!AG:AG)="","",_xlfn.XLOOKUP($H207,'TRA TECH'!$J:$J,'TRA TECH'!AG:AG)))</f>
        <v>*</v>
      </c>
      <c r="AF207" s="15" t="str">
        <f>IF(H207="*","*",IF(_xlfn.XLOOKUP($H207,'TRA TECH'!$J:$J,'TRA TECH'!AH:AH)="","",_xlfn.XLOOKUP($H207,'TRA TECH'!$J:$J,'TRA TECH'!AH:AH)))</f>
        <v>*</v>
      </c>
      <c r="AG207" s="15" t="str">
        <f>IF(H207="*","*",IF(_xlfn.XLOOKUP($H207,'TRA TECH'!$J:$J,'TRA TECH'!AI:AI)="","",_xlfn.XLOOKUP($H207,'TRA TECH'!$J:$J,'TRA TECH'!AI:AI)))</f>
        <v>*</v>
      </c>
      <c r="AH207" s="15" t="str">
        <f>IF(H207="*","*",IF(_xlfn.XLOOKUP($H207,'TRA TECH'!$J:$J,'TRA TECH'!AJ:AJ)="","",_xlfn.XLOOKUP($H207,'TRA TECH'!$J:$J,'TRA TECH'!AJ:AJ)))</f>
        <v>*</v>
      </c>
      <c r="AI207" s="15" t="str">
        <f>IF(H207="*","*",IF(_xlfn.XLOOKUP($H207,'TRA TECH'!$J:$J,'TRA TECH'!AK:AK)="","",_xlfn.XLOOKUP($H207,'TRA TECH'!$J:$J,'TRA TECH'!AK:AK)))</f>
        <v>*</v>
      </c>
      <c r="AJ207" s="15" t="str">
        <f t="shared" si="19"/>
        <v>*</v>
      </c>
      <c r="AK207" s="16" t="str">
        <f t="shared" si="20"/>
        <v>*</v>
      </c>
    </row>
    <row r="208" spans="2:37" x14ac:dyDescent="0.25">
      <c r="B208" t="str">
        <f>IF('TRA TECH'!M204=0,"*",IF('TRA TECH'!H204="","*",'TRA TECH'!J204))</f>
        <v>TRAFRECSHPHEVDSL20</v>
      </c>
      <c r="C208" t="str">
        <f>IF('TRA TECH'!M204=0,"*",'TRA TECH'!H204)</f>
        <v>TRADSL</v>
      </c>
      <c r="D208" t="s">
        <v>424</v>
      </c>
      <c r="E208" s="9">
        <f>'TRA TECH'!P204</f>
        <v>0.34675615212528432</v>
      </c>
      <c r="H208" t="str">
        <f>IF('TRA TECH'!M204=1,IF('TRA TECH'!L204=1,'TRA TECH'!J204,"*"),"*")</f>
        <v>TRAFRECSHPHEVDSL20</v>
      </c>
      <c r="I208" t="str">
        <f>IF(H208="*","*",_xlfn.XLOOKUP(H208,'TRA TECH'!J:J,'TRA TECH'!I:I))</f>
        <v>TRAFRECSHDMD</v>
      </c>
      <c r="J208">
        <f>IF(H208="*","*",_xlfn.XLOOKUP(H208,'TRA TECH'!J:J,'TRA TECH'!N:N))</f>
        <v>2020</v>
      </c>
      <c r="K208" s="15">
        <f>IF(H208="*","*",IF(_xlfn.XLOOKUP(H208,'TRA TECH'!J:J,'TRA TECH'!O:O)="","",_xlfn.XLOOKUP(H208,'TRA TECH'!J:J,'TRA TECH'!O:O)))</f>
        <v>21.783939170417959</v>
      </c>
      <c r="L208">
        <f t="shared" si="16"/>
        <v>1</v>
      </c>
      <c r="M208">
        <f>IF(H208="*","*",IF(_xlfn.XLOOKUP($H208,'TRA TECH'!$J:$J,'TRA TECH'!Q:Q)="","",_xlfn.XLOOKUP($H208,'TRA TECH'!$J:$J,'TRA TECH'!Q:Q)))</f>
        <v>0.18040783382789249</v>
      </c>
      <c r="N208">
        <f>IF(H208="*","*",IF(_xlfn.XLOOKUP($H208,'TRA TECH'!$J:$J,'TRA TECH'!R:R)="","",_xlfn.XLOOKUP($H208,'TRA TECH'!$J:$J,'TRA TECH'!R:R)))</f>
        <v>0.18040783382789249</v>
      </c>
      <c r="O208">
        <f>IF(H208="*","*",IF(_xlfn.XLOOKUP($H208,'TRA TECH'!$J:$J,'TRA TECH'!S:S)="","",_xlfn.XLOOKUP($H208,'TRA TECH'!$J:$J,'TRA TECH'!S:S)))</f>
        <v>0.20163228486646839</v>
      </c>
      <c r="P208">
        <f>IF(H208="*","*",IF(_xlfn.XLOOKUP($H208,'TRA TECH'!$J:$J,'TRA TECH'!T:T)="","",_xlfn.XLOOKUP($H208,'TRA TECH'!$J:$J,'TRA TECH'!T:T)))</f>
        <v>0.22285673590504509</v>
      </c>
      <c r="Q208">
        <f>IF(H208="*","*",IF(_xlfn.XLOOKUP($H208,'TRA TECH'!$J:$J,'TRA TECH'!U:U)="","",_xlfn.XLOOKUP($H208,'TRA TECH'!$J:$J,'TRA TECH'!U:U)))</f>
        <v>0.23214243323442141</v>
      </c>
      <c r="R208">
        <f>IF(H208="*","*",IF(_xlfn.XLOOKUP($H208,'TRA TECH'!$J:$J,'TRA TECH'!V:V)="","",_xlfn.XLOOKUP($H208,'TRA TECH'!$J:$J,'TRA TECH'!V:V)))</f>
        <v>0.2414281305637975</v>
      </c>
      <c r="S208">
        <f>IF(H208="*","*",IF(_xlfn.XLOOKUP($H208,'TRA TECH'!$J:$J,'TRA TECH'!W:W)="","",_xlfn.XLOOKUP($H208,'TRA TECH'!$J:$J,'TRA TECH'!W:W)))</f>
        <v>0.25204035608308611</v>
      </c>
      <c r="T208">
        <f t="shared" si="17"/>
        <v>0.25204035608308611</v>
      </c>
      <c r="U208">
        <f>IF(H208="*","*",IF(_xlfn.XLOOKUP($H208,'TRA TECH'!$J:$J,'TRA TECH'!X:X)="","",_xlfn.XLOOKUP($H208,'TRA TECH'!$J:$J,'TRA TECH'!X:X)))</f>
        <v>374.14012542777448</v>
      </c>
      <c r="V208">
        <f>IF(H208="*","*",IF(_xlfn.XLOOKUP($H208,'TRA TECH'!$J:$J,'TRA TECH'!Y:Y)="","",_xlfn.XLOOKUP($H208,'TRA TECH'!$J:$J,'TRA TECH'!Y:Y)))</f>
        <v>374.14012542777448</v>
      </c>
      <c r="W208">
        <f>IF(H208="*","*",IF(_xlfn.XLOOKUP($H208,'TRA TECH'!$J:$J,'TRA TECH'!Z:Z)="","",_xlfn.XLOOKUP($H208,'TRA TECH'!$J:$J,'TRA TECH'!Z:Z)))</f>
        <v>325.06090745340788</v>
      </c>
      <c r="X208">
        <f>IF(H208="*","*",IF(_xlfn.XLOOKUP($H208,'TRA TECH'!$J:$J,'TRA TECH'!AA:AA)="","",_xlfn.XLOOKUP($H208,'TRA TECH'!$J:$J,'TRA TECH'!AA:AA)))</f>
        <v>300.16565195916411</v>
      </c>
      <c r="Y208">
        <f>IF(H208="*","*",IF(_xlfn.XLOOKUP($H208,'TRA TECH'!$J:$J,'TRA TECH'!AB:AB)="","",_xlfn.XLOOKUP($H208,'TRA TECH'!$J:$J,'TRA TECH'!AB:AB)))</f>
        <v>290.91884277558938</v>
      </c>
      <c r="Z208">
        <f>IF(H208="*","*",IF(_xlfn.XLOOKUP($H208,'TRA TECH'!$J:$J,'TRA TECH'!AC:AC)="","",_xlfn.XLOOKUP($H208,'TRA TECH'!$J:$J,'TRA TECH'!AC:AC)))</f>
        <v>280.96074057789201</v>
      </c>
      <c r="AA208">
        <f>IF(H208="*","*",IF(_xlfn.XLOOKUP($H208,'TRA TECH'!$J:$J,'TRA TECH'!AD:AD)="","",_xlfn.XLOOKUP($H208,'TRA TECH'!$J:$J,'TRA TECH'!AD:AD)))</f>
        <v>271.71393139431541</v>
      </c>
      <c r="AB208">
        <f t="shared" si="18"/>
        <v>271.71393139431541</v>
      </c>
      <c r="AC208" s="15">
        <f>IF(H208="*","*",IF(_xlfn.XLOOKUP($H208,'TRA TECH'!$J:$J,'TRA TECH'!AE:AE)="","",_xlfn.XLOOKUP($H208,'TRA TECH'!$J:$J,'TRA TECH'!AE:AE)))</f>
        <v>4.9631307405250613</v>
      </c>
      <c r="AD208" s="15">
        <f>IF(H208="*","*",IF(_xlfn.XLOOKUP($H208,'TRA TECH'!$J:$J,'TRA TECH'!AF:AF)="","",_xlfn.XLOOKUP($H208,'TRA TECH'!$J:$J,'TRA TECH'!AF:AF)))</f>
        <v>4.9631307405250613</v>
      </c>
      <c r="AE208" s="15">
        <f>IF(H208="*","*",IF(_xlfn.XLOOKUP($H208,'TRA TECH'!$J:$J,'TRA TECH'!AG:AG)="","",_xlfn.XLOOKUP($H208,'TRA TECH'!$J:$J,'TRA TECH'!AG:AG)))</f>
        <v>4.9631307405250613</v>
      </c>
      <c r="AF208" s="15">
        <f>IF(H208="*","*",IF(_xlfn.XLOOKUP($H208,'TRA TECH'!$J:$J,'TRA TECH'!AH:AH)="","",_xlfn.XLOOKUP($H208,'TRA TECH'!$J:$J,'TRA TECH'!AH:AH)))</f>
        <v>4.9631307405250613</v>
      </c>
      <c r="AG208" s="15">
        <f>IF(H208="*","*",IF(_xlfn.XLOOKUP($H208,'TRA TECH'!$J:$J,'TRA TECH'!AI:AI)="","",_xlfn.XLOOKUP($H208,'TRA TECH'!$J:$J,'TRA TECH'!AI:AI)))</f>
        <v>4.9631307405250613</v>
      </c>
      <c r="AH208" s="15">
        <f>IF(H208="*","*",IF(_xlfn.XLOOKUP($H208,'TRA TECH'!$J:$J,'TRA TECH'!AJ:AJ)="","",_xlfn.XLOOKUP($H208,'TRA TECH'!$J:$J,'TRA TECH'!AJ:AJ)))</f>
        <v>4.9631307405250613</v>
      </c>
      <c r="AI208" s="15">
        <f>IF(H208="*","*",IF(_xlfn.XLOOKUP($H208,'TRA TECH'!$J:$J,'TRA TECH'!AK:AK)="","",_xlfn.XLOOKUP($H208,'TRA TECH'!$J:$J,'TRA TECH'!AK:AK)))</f>
        <v>4.9631307405250613</v>
      </c>
      <c r="AJ208" s="15">
        <f t="shared" si="19"/>
        <v>4.9631307405250613</v>
      </c>
      <c r="AK208" s="16">
        <f t="shared" si="20"/>
        <v>0.25</v>
      </c>
    </row>
    <row r="209" spans="2:37" x14ac:dyDescent="0.25">
      <c r="B209" t="str">
        <f>IF('TRA TECH'!M205=0,"*",IF('TRA TECH'!H205="","*",'TRA TECH'!J205))</f>
        <v>TRAFRECSHPHEVDSL20</v>
      </c>
      <c r="C209" t="str">
        <f>IF('TRA TECH'!M205=0,"*",'TRA TECH'!H205)</f>
        <v>TRARDS</v>
      </c>
      <c r="D209" t="s">
        <v>424</v>
      </c>
      <c r="E209" s="9">
        <f>'TRA TECH'!P205</f>
        <v>0.34675615212528432</v>
      </c>
      <c r="H209" t="str">
        <f>IF('TRA TECH'!M205=1,IF('TRA TECH'!L205=1,'TRA TECH'!J205,"*"),"*")</f>
        <v>*</v>
      </c>
      <c r="I209" t="str">
        <f>IF(H209="*","*",_xlfn.XLOOKUP(H209,'TRA TECH'!J:J,'TRA TECH'!I:I))</f>
        <v>*</v>
      </c>
      <c r="J209" t="str">
        <f>IF(H209="*","*",_xlfn.XLOOKUP(H209,'TRA TECH'!J:J,'TRA TECH'!N:N))</f>
        <v>*</v>
      </c>
      <c r="K209" s="15" t="str">
        <f>IF(H209="*","*",IF(_xlfn.XLOOKUP(H209,'TRA TECH'!J:J,'TRA TECH'!O:O)="","",_xlfn.XLOOKUP(H209,'TRA TECH'!J:J,'TRA TECH'!O:O)))</f>
        <v>*</v>
      </c>
      <c r="L209" t="str">
        <f t="shared" si="16"/>
        <v>*</v>
      </c>
      <c r="M209" t="str">
        <f>IF(H209="*","*",IF(_xlfn.XLOOKUP($H209,'TRA TECH'!$J:$J,'TRA TECH'!Q:Q)="","",_xlfn.XLOOKUP($H209,'TRA TECH'!$J:$J,'TRA TECH'!Q:Q)))</f>
        <v>*</v>
      </c>
      <c r="N209" t="str">
        <f>IF(H209="*","*",IF(_xlfn.XLOOKUP($H209,'TRA TECH'!$J:$J,'TRA TECH'!R:R)="","",_xlfn.XLOOKUP($H209,'TRA TECH'!$J:$J,'TRA TECH'!R:R)))</f>
        <v>*</v>
      </c>
      <c r="O209" t="str">
        <f>IF(H209="*","*",IF(_xlfn.XLOOKUP($H209,'TRA TECH'!$J:$J,'TRA TECH'!S:S)="","",_xlfn.XLOOKUP($H209,'TRA TECH'!$J:$J,'TRA TECH'!S:S)))</f>
        <v>*</v>
      </c>
      <c r="P209" t="str">
        <f>IF(H209="*","*",IF(_xlfn.XLOOKUP($H209,'TRA TECH'!$J:$J,'TRA TECH'!T:T)="","",_xlfn.XLOOKUP($H209,'TRA TECH'!$J:$J,'TRA TECH'!T:T)))</f>
        <v>*</v>
      </c>
      <c r="Q209" t="str">
        <f>IF(H209="*","*",IF(_xlfn.XLOOKUP($H209,'TRA TECH'!$J:$J,'TRA TECH'!U:U)="","",_xlfn.XLOOKUP($H209,'TRA TECH'!$J:$J,'TRA TECH'!U:U)))</f>
        <v>*</v>
      </c>
      <c r="R209" t="str">
        <f>IF(H209="*","*",IF(_xlfn.XLOOKUP($H209,'TRA TECH'!$J:$J,'TRA TECH'!V:V)="","",_xlfn.XLOOKUP($H209,'TRA TECH'!$J:$J,'TRA TECH'!V:V)))</f>
        <v>*</v>
      </c>
      <c r="S209" t="str">
        <f>IF(H209="*","*",IF(_xlfn.XLOOKUP($H209,'TRA TECH'!$J:$J,'TRA TECH'!W:W)="","",_xlfn.XLOOKUP($H209,'TRA TECH'!$J:$J,'TRA TECH'!W:W)))</f>
        <v>*</v>
      </c>
      <c r="T209" t="str">
        <f t="shared" si="17"/>
        <v>*</v>
      </c>
      <c r="U209" t="str">
        <f>IF(H209="*","*",IF(_xlfn.XLOOKUP($H209,'TRA TECH'!$J:$J,'TRA TECH'!X:X)="","",_xlfn.XLOOKUP($H209,'TRA TECH'!$J:$J,'TRA TECH'!X:X)))</f>
        <v>*</v>
      </c>
      <c r="V209" t="str">
        <f>IF(H209="*","*",IF(_xlfn.XLOOKUP($H209,'TRA TECH'!$J:$J,'TRA TECH'!Y:Y)="","",_xlfn.XLOOKUP($H209,'TRA TECH'!$J:$J,'TRA TECH'!Y:Y)))</f>
        <v>*</v>
      </c>
      <c r="W209" t="str">
        <f>IF(H209="*","*",IF(_xlfn.XLOOKUP($H209,'TRA TECH'!$J:$J,'TRA TECH'!Z:Z)="","",_xlfn.XLOOKUP($H209,'TRA TECH'!$J:$J,'TRA TECH'!Z:Z)))</f>
        <v>*</v>
      </c>
      <c r="X209" t="str">
        <f>IF(H209="*","*",IF(_xlfn.XLOOKUP($H209,'TRA TECH'!$J:$J,'TRA TECH'!AA:AA)="","",_xlfn.XLOOKUP($H209,'TRA TECH'!$J:$J,'TRA TECH'!AA:AA)))</f>
        <v>*</v>
      </c>
      <c r="Y209" t="str">
        <f>IF(H209="*","*",IF(_xlfn.XLOOKUP($H209,'TRA TECH'!$J:$J,'TRA TECH'!AB:AB)="","",_xlfn.XLOOKUP($H209,'TRA TECH'!$J:$J,'TRA TECH'!AB:AB)))</f>
        <v>*</v>
      </c>
      <c r="Z209" t="str">
        <f>IF(H209="*","*",IF(_xlfn.XLOOKUP($H209,'TRA TECH'!$J:$J,'TRA TECH'!AC:AC)="","",_xlfn.XLOOKUP($H209,'TRA TECH'!$J:$J,'TRA TECH'!AC:AC)))</f>
        <v>*</v>
      </c>
      <c r="AA209" t="str">
        <f>IF(H209="*","*",IF(_xlfn.XLOOKUP($H209,'TRA TECH'!$J:$J,'TRA TECH'!AD:AD)="","",_xlfn.XLOOKUP($H209,'TRA TECH'!$J:$J,'TRA TECH'!AD:AD)))</f>
        <v>*</v>
      </c>
      <c r="AB209" t="str">
        <f t="shared" si="18"/>
        <v>*</v>
      </c>
      <c r="AC209" s="15" t="str">
        <f>IF(H209="*","*",IF(_xlfn.XLOOKUP($H209,'TRA TECH'!$J:$J,'TRA TECH'!AE:AE)="","",_xlfn.XLOOKUP($H209,'TRA TECH'!$J:$J,'TRA TECH'!AE:AE)))</f>
        <v>*</v>
      </c>
      <c r="AD209" s="15" t="str">
        <f>IF(H209="*","*",IF(_xlfn.XLOOKUP($H209,'TRA TECH'!$J:$J,'TRA TECH'!AF:AF)="","",_xlfn.XLOOKUP($H209,'TRA TECH'!$J:$J,'TRA TECH'!AF:AF)))</f>
        <v>*</v>
      </c>
      <c r="AE209" s="15" t="str">
        <f>IF(H209="*","*",IF(_xlfn.XLOOKUP($H209,'TRA TECH'!$J:$J,'TRA TECH'!AG:AG)="","",_xlfn.XLOOKUP($H209,'TRA TECH'!$J:$J,'TRA TECH'!AG:AG)))</f>
        <v>*</v>
      </c>
      <c r="AF209" s="15" t="str">
        <f>IF(H209="*","*",IF(_xlfn.XLOOKUP($H209,'TRA TECH'!$J:$J,'TRA TECH'!AH:AH)="","",_xlfn.XLOOKUP($H209,'TRA TECH'!$J:$J,'TRA TECH'!AH:AH)))</f>
        <v>*</v>
      </c>
      <c r="AG209" s="15" t="str">
        <f>IF(H209="*","*",IF(_xlfn.XLOOKUP($H209,'TRA TECH'!$J:$J,'TRA TECH'!AI:AI)="","",_xlfn.XLOOKUP($H209,'TRA TECH'!$J:$J,'TRA TECH'!AI:AI)))</f>
        <v>*</v>
      </c>
      <c r="AH209" s="15" t="str">
        <f>IF(H209="*","*",IF(_xlfn.XLOOKUP($H209,'TRA TECH'!$J:$J,'TRA TECH'!AJ:AJ)="","",_xlfn.XLOOKUP($H209,'TRA TECH'!$J:$J,'TRA TECH'!AJ:AJ)))</f>
        <v>*</v>
      </c>
      <c r="AI209" s="15" t="str">
        <f>IF(H209="*","*",IF(_xlfn.XLOOKUP($H209,'TRA TECH'!$J:$J,'TRA TECH'!AK:AK)="","",_xlfn.XLOOKUP($H209,'TRA TECH'!$J:$J,'TRA TECH'!AK:AK)))</f>
        <v>*</v>
      </c>
      <c r="AJ209" s="15" t="str">
        <f t="shared" si="19"/>
        <v>*</v>
      </c>
      <c r="AK209" s="16" t="str">
        <f t="shared" si="20"/>
        <v>*</v>
      </c>
    </row>
    <row r="210" spans="2:37" x14ac:dyDescent="0.25">
      <c r="B210" t="str">
        <f>IF('TRA TECH'!M206=0,"*",IF('TRA TECH'!H206="","*",'TRA TECH'!J206))</f>
        <v>TRAFRECSHPHEVDSL20</v>
      </c>
      <c r="C210" t="str">
        <f>IF('TRA TECH'!M206=0,"*",'TRA TECH'!H206)</f>
        <v>TRABDS</v>
      </c>
      <c r="D210" t="s">
        <v>424</v>
      </c>
      <c r="E210" s="9">
        <f>'TRA TECH'!P206</f>
        <v>0.1</v>
      </c>
      <c r="H210" t="str">
        <f>IF('TRA TECH'!M206=1,IF('TRA TECH'!L206=1,'TRA TECH'!J206,"*"),"*")</f>
        <v>*</v>
      </c>
      <c r="I210" t="str">
        <f>IF(H210="*","*",_xlfn.XLOOKUP(H210,'TRA TECH'!J:J,'TRA TECH'!I:I))</f>
        <v>*</v>
      </c>
      <c r="J210" t="str">
        <f>IF(H210="*","*",_xlfn.XLOOKUP(H210,'TRA TECH'!J:J,'TRA TECH'!N:N))</f>
        <v>*</v>
      </c>
      <c r="K210" s="15" t="str">
        <f>IF(H210="*","*",IF(_xlfn.XLOOKUP(H210,'TRA TECH'!J:J,'TRA TECH'!O:O)="","",_xlfn.XLOOKUP(H210,'TRA TECH'!J:J,'TRA TECH'!O:O)))</f>
        <v>*</v>
      </c>
      <c r="L210" t="str">
        <f t="shared" si="16"/>
        <v>*</v>
      </c>
      <c r="M210" t="str">
        <f>IF(H210="*","*",IF(_xlfn.XLOOKUP($H210,'TRA TECH'!$J:$J,'TRA TECH'!Q:Q)="","",_xlfn.XLOOKUP($H210,'TRA TECH'!$J:$J,'TRA TECH'!Q:Q)))</f>
        <v>*</v>
      </c>
      <c r="N210" t="str">
        <f>IF(H210="*","*",IF(_xlfn.XLOOKUP($H210,'TRA TECH'!$J:$J,'TRA TECH'!R:R)="","",_xlfn.XLOOKUP($H210,'TRA TECH'!$J:$J,'TRA TECH'!R:R)))</f>
        <v>*</v>
      </c>
      <c r="O210" t="str">
        <f>IF(H210="*","*",IF(_xlfn.XLOOKUP($H210,'TRA TECH'!$J:$J,'TRA TECH'!S:S)="","",_xlfn.XLOOKUP($H210,'TRA TECH'!$J:$J,'TRA TECH'!S:S)))</f>
        <v>*</v>
      </c>
      <c r="P210" t="str">
        <f>IF(H210="*","*",IF(_xlfn.XLOOKUP($H210,'TRA TECH'!$J:$J,'TRA TECH'!T:T)="","",_xlfn.XLOOKUP($H210,'TRA TECH'!$J:$J,'TRA TECH'!T:T)))</f>
        <v>*</v>
      </c>
      <c r="Q210" t="str">
        <f>IF(H210="*","*",IF(_xlfn.XLOOKUP($H210,'TRA TECH'!$J:$J,'TRA TECH'!U:U)="","",_xlfn.XLOOKUP($H210,'TRA TECH'!$J:$J,'TRA TECH'!U:U)))</f>
        <v>*</v>
      </c>
      <c r="R210" t="str">
        <f>IF(H210="*","*",IF(_xlfn.XLOOKUP($H210,'TRA TECH'!$J:$J,'TRA TECH'!V:V)="","",_xlfn.XLOOKUP($H210,'TRA TECH'!$J:$J,'TRA TECH'!V:V)))</f>
        <v>*</v>
      </c>
      <c r="S210" t="str">
        <f>IF(H210="*","*",IF(_xlfn.XLOOKUP($H210,'TRA TECH'!$J:$J,'TRA TECH'!W:W)="","",_xlfn.XLOOKUP($H210,'TRA TECH'!$J:$J,'TRA TECH'!W:W)))</f>
        <v>*</v>
      </c>
      <c r="T210" t="str">
        <f t="shared" si="17"/>
        <v>*</v>
      </c>
      <c r="U210" t="str">
        <f>IF(H210="*","*",IF(_xlfn.XLOOKUP($H210,'TRA TECH'!$J:$J,'TRA TECH'!X:X)="","",_xlfn.XLOOKUP($H210,'TRA TECH'!$J:$J,'TRA TECH'!X:X)))</f>
        <v>*</v>
      </c>
      <c r="V210" t="str">
        <f>IF(H210="*","*",IF(_xlfn.XLOOKUP($H210,'TRA TECH'!$J:$J,'TRA TECH'!Y:Y)="","",_xlfn.XLOOKUP($H210,'TRA TECH'!$J:$J,'TRA TECH'!Y:Y)))</f>
        <v>*</v>
      </c>
      <c r="W210" t="str">
        <f>IF(H210="*","*",IF(_xlfn.XLOOKUP($H210,'TRA TECH'!$J:$J,'TRA TECH'!Z:Z)="","",_xlfn.XLOOKUP($H210,'TRA TECH'!$J:$J,'TRA TECH'!Z:Z)))</f>
        <v>*</v>
      </c>
      <c r="X210" t="str">
        <f>IF(H210="*","*",IF(_xlfn.XLOOKUP($H210,'TRA TECH'!$J:$J,'TRA TECH'!AA:AA)="","",_xlfn.XLOOKUP($H210,'TRA TECH'!$J:$J,'TRA TECH'!AA:AA)))</f>
        <v>*</v>
      </c>
      <c r="Y210" t="str">
        <f>IF(H210="*","*",IF(_xlfn.XLOOKUP($H210,'TRA TECH'!$J:$J,'TRA TECH'!AB:AB)="","",_xlfn.XLOOKUP($H210,'TRA TECH'!$J:$J,'TRA TECH'!AB:AB)))</f>
        <v>*</v>
      </c>
      <c r="Z210" t="str">
        <f>IF(H210="*","*",IF(_xlfn.XLOOKUP($H210,'TRA TECH'!$J:$J,'TRA TECH'!AC:AC)="","",_xlfn.XLOOKUP($H210,'TRA TECH'!$J:$J,'TRA TECH'!AC:AC)))</f>
        <v>*</v>
      </c>
      <c r="AA210" t="str">
        <f>IF(H210="*","*",IF(_xlfn.XLOOKUP($H210,'TRA TECH'!$J:$J,'TRA TECH'!AD:AD)="","",_xlfn.XLOOKUP($H210,'TRA TECH'!$J:$J,'TRA TECH'!AD:AD)))</f>
        <v>*</v>
      </c>
      <c r="AB210" t="str">
        <f t="shared" si="18"/>
        <v>*</v>
      </c>
      <c r="AC210" s="15" t="str">
        <f>IF(H210="*","*",IF(_xlfn.XLOOKUP($H210,'TRA TECH'!$J:$J,'TRA TECH'!AE:AE)="","",_xlfn.XLOOKUP($H210,'TRA TECH'!$J:$J,'TRA TECH'!AE:AE)))</f>
        <v>*</v>
      </c>
      <c r="AD210" s="15" t="str">
        <f>IF(H210="*","*",IF(_xlfn.XLOOKUP($H210,'TRA TECH'!$J:$J,'TRA TECH'!AF:AF)="","",_xlfn.XLOOKUP($H210,'TRA TECH'!$J:$J,'TRA TECH'!AF:AF)))</f>
        <v>*</v>
      </c>
      <c r="AE210" s="15" t="str">
        <f>IF(H210="*","*",IF(_xlfn.XLOOKUP($H210,'TRA TECH'!$J:$J,'TRA TECH'!AG:AG)="","",_xlfn.XLOOKUP($H210,'TRA TECH'!$J:$J,'TRA TECH'!AG:AG)))</f>
        <v>*</v>
      </c>
      <c r="AF210" s="15" t="str">
        <f>IF(H210="*","*",IF(_xlfn.XLOOKUP($H210,'TRA TECH'!$J:$J,'TRA TECH'!AH:AH)="","",_xlfn.XLOOKUP($H210,'TRA TECH'!$J:$J,'TRA TECH'!AH:AH)))</f>
        <v>*</v>
      </c>
      <c r="AG210" s="15" t="str">
        <f>IF(H210="*","*",IF(_xlfn.XLOOKUP($H210,'TRA TECH'!$J:$J,'TRA TECH'!AI:AI)="","",_xlfn.XLOOKUP($H210,'TRA TECH'!$J:$J,'TRA TECH'!AI:AI)))</f>
        <v>*</v>
      </c>
      <c r="AH210" s="15" t="str">
        <f>IF(H210="*","*",IF(_xlfn.XLOOKUP($H210,'TRA TECH'!$J:$J,'TRA TECH'!AJ:AJ)="","",_xlfn.XLOOKUP($H210,'TRA TECH'!$J:$J,'TRA TECH'!AJ:AJ)))</f>
        <v>*</v>
      </c>
      <c r="AI210" s="15" t="str">
        <f>IF(H210="*","*",IF(_xlfn.XLOOKUP($H210,'TRA TECH'!$J:$J,'TRA TECH'!AK:AK)="","",_xlfn.XLOOKUP($H210,'TRA TECH'!$J:$J,'TRA TECH'!AK:AK)))</f>
        <v>*</v>
      </c>
      <c r="AJ210" s="15" t="str">
        <f t="shared" si="19"/>
        <v>*</v>
      </c>
      <c r="AK210" s="16" t="str">
        <f t="shared" si="20"/>
        <v>*</v>
      </c>
    </row>
    <row r="211" spans="2:37" x14ac:dyDescent="0.25">
      <c r="B211" t="str">
        <f>IF('TRA TECH'!M207=0,"*",IF('TRA TECH'!H207="","*",'TRA TECH'!J207))</f>
        <v>TRAFRECSHPHEVDSL20</v>
      </c>
      <c r="C211" t="str">
        <f>IF('TRA TECH'!M207=0,"*",'TRA TECH'!H207)</f>
        <v>TRABAF</v>
      </c>
      <c r="D211" t="s">
        <v>424</v>
      </c>
      <c r="E211" s="9">
        <f>'TRA TECH'!P207</f>
        <v>0.65324384787471568</v>
      </c>
      <c r="H211" t="str">
        <f>IF('TRA TECH'!M207=1,IF('TRA TECH'!L207=1,'TRA TECH'!J207,"*"),"*")</f>
        <v>*</v>
      </c>
      <c r="I211" t="str">
        <f>IF(H211="*","*",_xlfn.XLOOKUP(H211,'TRA TECH'!J:J,'TRA TECH'!I:I))</f>
        <v>*</v>
      </c>
      <c r="J211" t="str">
        <f>IF(H211="*","*",_xlfn.XLOOKUP(H211,'TRA TECH'!J:J,'TRA TECH'!N:N))</f>
        <v>*</v>
      </c>
      <c r="K211" s="15" t="str">
        <f>IF(H211="*","*",IF(_xlfn.XLOOKUP(H211,'TRA TECH'!J:J,'TRA TECH'!O:O)="","",_xlfn.XLOOKUP(H211,'TRA TECH'!J:J,'TRA TECH'!O:O)))</f>
        <v>*</v>
      </c>
      <c r="L211" t="str">
        <f t="shared" si="16"/>
        <v>*</v>
      </c>
      <c r="M211" t="str">
        <f>IF(H211="*","*",IF(_xlfn.XLOOKUP($H211,'TRA TECH'!$J:$J,'TRA TECH'!Q:Q)="","",_xlfn.XLOOKUP($H211,'TRA TECH'!$J:$J,'TRA TECH'!Q:Q)))</f>
        <v>*</v>
      </c>
      <c r="N211" t="str">
        <f>IF(H211="*","*",IF(_xlfn.XLOOKUP($H211,'TRA TECH'!$J:$J,'TRA TECH'!R:R)="","",_xlfn.XLOOKUP($H211,'TRA TECH'!$J:$J,'TRA TECH'!R:R)))</f>
        <v>*</v>
      </c>
      <c r="O211" t="str">
        <f>IF(H211="*","*",IF(_xlfn.XLOOKUP($H211,'TRA TECH'!$J:$J,'TRA TECH'!S:S)="","",_xlfn.XLOOKUP($H211,'TRA TECH'!$J:$J,'TRA TECH'!S:S)))</f>
        <v>*</v>
      </c>
      <c r="P211" t="str">
        <f>IF(H211="*","*",IF(_xlfn.XLOOKUP($H211,'TRA TECH'!$J:$J,'TRA TECH'!T:T)="","",_xlfn.XLOOKUP($H211,'TRA TECH'!$J:$J,'TRA TECH'!T:T)))</f>
        <v>*</v>
      </c>
      <c r="Q211" t="str">
        <f>IF(H211="*","*",IF(_xlfn.XLOOKUP($H211,'TRA TECH'!$J:$J,'TRA TECH'!U:U)="","",_xlfn.XLOOKUP($H211,'TRA TECH'!$J:$J,'TRA TECH'!U:U)))</f>
        <v>*</v>
      </c>
      <c r="R211" t="str">
        <f>IF(H211="*","*",IF(_xlfn.XLOOKUP($H211,'TRA TECH'!$J:$J,'TRA TECH'!V:V)="","",_xlfn.XLOOKUP($H211,'TRA TECH'!$J:$J,'TRA TECH'!V:V)))</f>
        <v>*</v>
      </c>
      <c r="S211" t="str">
        <f>IF(H211="*","*",IF(_xlfn.XLOOKUP($H211,'TRA TECH'!$J:$J,'TRA TECH'!W:W)="","",_xlfn.XLOOKUP($H211,'TRA TECH'!$J:$J,'TRA TECH'!W:W)))</f>
        <v>*</v>
      </c>
      <c r="T211" t="str">
        <f t="shared" si="17"/>
        <v>*</v>
      </c>
      <c r="U211" t="str">
        <f>IF(H211="*","*",IF(_xlfn.XLOOKUP($H211,'TRA TECH'!$J:$J,'TRA TECH'!X:X)="","",_xlfn.XLOOKUP($H211,'TRA TECH'!$J:$J,'TRA TECH'!X:X)))</f>
        <v>*</v>
      </c>
      <c r="V211" t="str">
        <f>IF(H211="*","*",IF(_xlfn.XLOOKUP($H211,'TRA TECH'!$J:$J,'TRA TECH'!Y:Y)="","",_xlfn.XLOOKUP($H211,'TRA TECH'!$J:$J,'TRA TECH'!Y:Y)))</f>
        <v>*</v>
      </c>
      <c r="W211" t="str">
        <f>IF(H211="*","*",IF(_xlfn.XLOOKUP($H211,'TRA TECH'!$J:$J,'TRA TECH'!Z:Z)="","",_xlfn.XLOOKUP($H211,'TRA TECH'!$J:$J,'TRA TECH'!Z:Z)))</f>
        <v>*</v>
      </c>
      <c r="X211" t="str">
        <f>IF(H211="*","*",IF(_xlfn.XLOOKUP($H211,'TRA TECH'!$J:$J,'TRA TECH'!AA:AA)="","",_xlfn.XLOOKUP($H211,'TRA TECH'!$J:$J,'TRA TECH'!AA:AA)))</f>
        <v>*</v>
      </c>
      <c r="Y211" t="str">
        <f>IF(H211="*","*",IF(_xlfn.XLOOKUP($H211,'TRA TECH'!$J:$J,'TRA TECH'!AB:AB)="","",_xlfn.XLOOKUP($H211,'TRA TECH'!$J:$J,'TRA TECH'!AB:AB)))</f>
        <v>*</v>
      </c>
      <c r="Z211" t="str">
        <f>IF(H211="*","*",IF(_xlfn.XLOOKUP($H211,'TRA TECH'!$J:$J,'TRA TECH'!AC:AC)="","",_xlfn.XLOOKUP($H211,'TRA TECH'!$J:$J,'TRA TECH'!AC:AC)))</f>
        <v>*</v>
      </c>
      <c r="AA211" t="str">
        <f>IF(H211="*","*",IF(_xlfn.XLOOKUP($H211,'TRA TECH'!$J:$J,'TRA TECH'!AD:AD)="","",_xlfn.XLOOKUP($H211,'TRA TECH'!$J:$J,'TRA TECH'!AD:AD)))</f>
        <v>*</v>
      </c>
      <c r="AB211" t="str">
        <f t="shared" si="18"/>
        <v>*</v>
      </c>
      <c r="AC211" s="15" t="str">
        <f>IF(H211="*","*",IF(_xlfn.XLOOKUP($H211,'TRA TECH'!$J:$J,'TRA TECH'!AE:AE)="","",_xlfn.XLOOKUP($H211,'TRA TECH'!$J:$J,'TRA TECH'!AE:AE)))</f>
        <v>*</v>
      </c>
      <c r="AD211" s="15" t="str">
        <f>IF(H211="*","*",IF(_xlfn.XLOOKUP($H211,'TRA TECH'!$J:$J,'TRA TECH'!AF:AF)="","",_xlfn.XLOOKUP($H211,'TRA TECH'!$J:$J,'TRA TECH'!AF:AF)))</f>
        <v>*</v>
      </c>
      <c r="AE211" s="15" t="str">
        <f>IF(H211="*","*",IF(_xlfn.XLOOKUP($H211,'TRA TECH'!$J:$J,'TRA TECH'!AG:AG)="","",_xlfn.XLOOKUP($H211,'TRA TECH'!$J:$J,'TRA TECH'!AG:AG)))</f>
        <v>*</v>
      </c>
      <c r="AF211" s="15" t="str">
        <f>IF(H211="*","*",IF(_xlfn.XLOOKUP($H211,'TRA TECH'!$J:$J,'TRA TECH'!AH:AH)="","",_xlfn.XLOOKUP($H211,'TRA TECH'!$J:$J,'TRA TECH'!AH:AH)))</f>
        <v>*</v>
      </c>
      <c r="AG211" s="15" t="str">
        <f>IF(H211="*","*",IF(_xlfn.XLOOKUP($H211,'TRA TECH'!$J:$J,'TRA TECH'!AI:AI)="","",_xlfn.XLOOKUP($H211,'TRA TECH'!$J:$J,'TRA TECH'!AI:AI)))</f>
        <v>*</v>
      </c>
      <c r="AH211" s="15" t="str">
        <f>IF(H211="*","*",IF(_xlfn.XLOOKUP($H211,'TRA TECH'!$J:$J,'TRA TECH'!AJ:AJ)="","",_xlfn.XLOOKUP($H211,'TRA TECH'!$J:$J,'TRA TECH'!AJ:AJ)))</f>
        <v>*</v>
      </c>
      <c r="AI211" s="15" t="str">
        <f>IF(H211="*","*",IF(_xlfn.XLOOKUP($H211,'TRA TECH'!$J:$J,'TRA TECH'!AK:AK)="","",_xlfn.XLOOKUP($H211,'TRA TECH'!$J:$J,'TRA TECH'!AK:AK)))</f>
        <v>*</v>
      </c>
      <c r="AJ211" s="15" t="str">
        <f t="shared" si="19"/>
        <v>*</v>
      </c>
      <c r="AK211" s="16" t="str">
        <f t="shared" si="20"/>
        <v>*</v>
      </c>
    </row>
    <row r="212" spans="2:37" x14ac:dyDescent="0.25">
      <c r="B212" t="str">
        <f>IF('TRA TECH'!M208=0,"*",IF('TRA TECH'!H208="","*",'TRA TECH'!J208))</f>
        <v>TRAFRECSHFCEV20</v>
      </c>
      <c r="C212" t="str">
        <f>IF('TRA TECH'!M208=0,"*",'TRA TECH'!H208)</f>
        <v>TRAH2G</v>
      </c>
      <c r="D212" t="s">
        <v>424</v>
      </c>
      <c r="E212" s="9">
        <f>'TRA TECH'!P208</f>
        <v>1</v>
      </c>
      <c r="H212" t="str">
        <f>IF('TRA TECH'!M208=1,IF('TRA TECH'!L208=1,'TRA TECH'!J208,"*"),"*")</f>
        <v>TRAFRECSHFCEV20</v>
      </c>
      <c r="I212" t="str">
        <f>IF(H212="*","*",_xlfn.XLOOKUP(H212,'TRA TECH'!J:J,'TRA TECH'!I:I))</f>
        <v>TRAFRECSHDMD</v>
      </c>
      <c r="J212">
        <f>IF(H212="*","*",_xlfn.XLOOKUP(H212,'TRA TECH'!J:J,'TRA TECH'!N:N))</f>
        <v>2020</v>
      </c>
      <c r="K212" s="15">
        <f>IF(H212="*","*",IF(_xlfn.XLOOKUP(H212,'TRA TECH'!J:J,'TRA TECH'!O:O)="","",_xlfn.XLOOKUP(H212,'TRA TECH'!J:J,'TRA TECH'!O:O)))</f>
        <v>21.783939170417959</v>
      </c>
      <c r="L212">
        <f t="shared" si="16"/>
        <v>1</v>
      </c>
      <c r="M212">
        <f>IF(H212="*","*",IF(_xlfn.XLOOKUP($H212,'TRA TECH'!$J:$J,'TRA TECH'!Q:Q)="","",_xlfn.XLOOKUP($H212,'TRA TECH'!$J:$J,'TRA TECH'!Q:Q)))</f>
        <v>0.1150099940652819</v>
      </c>
      <c r="N212">
        <f>IF(H212="*","*",IF(_xlfn.XLOOKUP($H212,'TRA TECH'!$J:$J,'TRA TECH'!R:R)="","",_xlfn.XLOOKUP($H212,'TRA TECH'!$J:$J,'TRA TECH'!R:R)))</f>
        <v>0.1150099940652819</v>
      </c>
      <c r="O212">
        <f>IF(H212="*","*",IF(_xlfn.XLOOKUP($H212,'TRA TECH'!$J:$J,'TRA TECH'!S:S)="","",_xlfn.XLOOKUP($H212,'TRA TECH'!$J:$J,'TRA TECH'!S:S)))</f>
        <v>0.12933649851632051</v>
      </c>
      <c r="P212">
        <f>IF(H212="*","*",IF(_xlfn.XLOOKUP($H212,'TRA TECH'!$J:$J,'TRA TECH'!T:T)="","",_xlfn.XLOOKUP($H212,'TRA TECH'!$J:$J,'TRA TECH'!T:T)))</f>
        <v>0.14326504451038591</v>
      </c>
      <c r="Q212">
        <f>IF(H212="*","*",IF(_xlfn.XLOOKUP($H212,'TRA TECH'!$J:$J,'TRA TECH'!U:U)="","",_xlfn.XLOOKUP($H212,'TRA TECH'!$J:$J,'TRA TECH'!U:U)))</f>
        <v>0.15122421364985161</v>
      </c>
      <c r="R212">
        <f>IF(H212="*","*",IF(_xlfn.XLOOKUP($H212,'TRA TECH'!$J:$J,'TRA TECH'!V:V)="","",_xlfn.XLOOKUP($H212,'TRA TECH'!$J:$J,'TRA TECH'!V:V)))</f>
        <v>0.15918338278931751</v>
      </c>
      <c r="S212">
        <f>IF(H212="*","*",IF(_xlfn.XLOOKUP($H212,'TRA TECH'!$J:$J,'TRA TECH'!W:W)="","",_xlfn.XLOOKUP($H212,'TRA TECH'!$J:$J,'TRA TECH'!W:W)))</f>
        <v>0.16714255192878349</v>
      </c>
      <c r="T212">
        <f t="shared" si="17"/>
        <v>0.16714255192878349</v>
      </c>
      <c r="U212">
        <f>IF(H212="*","*",IF(_xlfn.XLOOKUP($H212,'TRA TECH'!$J:$J,'TRA TECH'!X:X)="","",_xlfn.XLOOKUP($H212,'TRA TECH'!$J:$J,'TRA TECH'!X:X)))</f>
        <v>409.70477613383707</v>
      </c>
      <c r="V212">
        <f>IF(H212="*","*",IF(_xlfn.XLOOKUP($H212,'TRA TECH'!$J:$J,'TRA TECH'!Y:Y)="","",_xlfn.XLOOKUP($H212,'TRA TECH'!$J:$J,'TRA TECH'!Y:Y)))</f>
        <v>409.70477613383707</v>
      </c>
      <c r="W212">
        <f>IF(H212="*","*",IF(_xlfn.XLOOKUP($H212,'TRA TECH'!$J:$J,'TRA TECH'!Z:Z)="","",_xlfn.XLOOKUP($H212,'TRA TECH'!$J:$J,'TRA TECH'!Z:Z)))</f>
        <v>364.89331624419862</v>
      </c>
      <c r="X212">
        <f>IF(H212="*","*",IF(_xlfn.XLOOKUP($H212,'TRA TECH'!$J:$J,'TRA TECH'!AA:AA)="","",_xlfn.XLOOKUP($H212,'TRA TECH'!$J:$J,'TRA TECH'!AA:AA)))</f>
        <v>340.70935376407601</v>
      </c>
      <c r="Y212">
        <f>IF(H212="*","*",IF(_xlfn.XLOOKUP($H212,'TRA TECH'!$J:$J,'TRA TECH'!AB:AB)="","",_xlfn.XLOOKUP($H212,'TRA TECH'!$J:$J,'TRA TECH'!AB:AB)))</f>
        <v>331.46254458049981</v>
      </c>
      <c r="Z212">
        <f>IF(H212="*","*",IF(_xlfn.XLOOKUP($H212,'TRA TECH'!$J:$J,'TRA TECH'!AC:AC)="","",_xlfn.XLOOKUP($H212,'TRA TECH'!$J:$J,'TRA TECH'!AC:AC)))</f>
        <v>322.21573539692372</v>
      </c>
      <c r="AA212">
        <f>IF(H212="*","*",IF(_xlfn.XLOOKUP($H212,'TRA TECH'!$J:$J,'TRA TECH'!AD:AD)="","",_xlfn.XLOOKUP($H212,'TRA TECH'!$J:$J,'TRA TECH'!AD:AD)))</f>
        <v>313.68021922746908</v>
      </c>
      <c r="AB212">
        <f t="shared" si="18"/>
        <v>313.68021922746908</v>
      </c>
      <c r="AC212" s="15">
        <f>IF(H212="*","*",IF(_xlfn.XLOOKUP($H212,'TRA TECH'!$J:$J,'TRA TECH'!AE:AE)="","",_xlfn.XLOOKUP($H212,'TRA TECH'!$J:$J,'TRA TECH'!AE:AE)))</f>
        <v>4.9957829164495564</v>
      </c>
      <c r="AD212" s="15">
        <f>IF(H212="*","*",IF(_xlfn.XLOOKUP($H212,'TRA TECH'!$J:$J,'TRA TECH'!AF:AF)="","",_xlfn.XLOOKUP($H212,'TRA TECH'!$J:$J,'TRA TECH'!AF:AF)))</f>
        <v>4.9957829164495564</v>
      </c>
      <c r="AE212" s="15">
        <f>IF(H212="*","*",IF(_xlfn.XLOOKUP($H212,'TRA TECH'!$J:$J,'TRA TECH'!AG:AG)="","",_xlfn.XLOOKUP($H212,'TRA TECH'!$J:$J,'TRA TECH'!AG:AG)))</f>
        <v>4.9957829164495564</v>
      </c>
      <c r="AF212" s="15">
        <f>IF(H212="*","*",IF(_xlfn.XLOOKUP($H212,'TRA TECH'!$J:$J,'TRA TECH'!AH:AH)="","",_xlfn.XLOOKUP($H212,'TRA TECH'!$J:$J,'TRA TECH'!AH:AH)))</f>
        <v>4.9957829164495564</v>
      </c>
      <c r="AG212" s="15">
        <f>IF(H212="*","*",IF(_xlfn.XLOOKUP($H212,'TRA TECH'!$J:$J,'TRA TECH'!AI:AI)="","",_xlfn.XLOOKUP($H212,'TRA TECH'!$J:$J,'TRA TECH'!AI:AI)))</f>
        <v>4.9957829164495564</v>
      </c>
      <c r="AH212" s="15">
        <f>IF(H212="*","*",IF(_xlfn.XLOOKUP($H212,'TRA TECH'!$J:$J,'TRA TECH'!AJ:AJ)="","",_xlfn.XLOOKUP($H212,'TRA TECH'!$J:$J,'TRA TECH'!AJ:AJ)))</f>
        <v>4.9957829164495564</v>
      </c>
      <c r="AI212" s="15">
        <f>IF(H212="*","*",IF(_xlfn.XLOOKUP($H212,'TRA TECH'!$J:$J,'TRA TECH'!AK:AK)="","",_xlfn.XLOOKUP($H212,'TRA TECH'!$J:$J,'TRA TECH'!AK:AK)))</f>
        <v>4.9957829164495564</v>
      </c>
      <c r="AJ212" s="15">
        <f t="shared" si="19"/>
        <v>4.9957829164495564</v>
      </c>
      <c r="AK212" s="16">
        <f t="shared" si="20"/>
        <v>0.4</v>
      </c>
    </row>
    <row r="213" spans="2:37" x14ac:dyDescent="0.25">
      <c r="B213" t="str">
        <f>IF('TRA TECH'!M209=0,"*",IF('TRA TECH'!H209="","*",'TRA TECH'!J209))</f>
        <v>TRAFRECSHFCHEV20</v>
      </c>
      <c r="C213" t="str">
        <f>IF('TRA TECH'!M209=0,"*",'TRA TECH'!H209)</f>
        <v>TRAH2G</v>
      </c>
      <c r="D213" t="s">
        <v>424</v>
      </c>
      <c r="E213" s="9">
        <f>'TRA TECH'!P209</f>
        <v>0.92029887920298814</v>
      </c>
      <c r="H213" t="str">
        <f>IF('TRA TECH'!M209=1,IF('TRA TECH'!L209=1,'TRA TECH'!J209,"*"),"*")</f>
        <v>TRAFRECSHFCHEV20</v>
      </c>
      <c r="I213" t="str">
        <f>IF(H213="*","*",_xlfn.XLOOKUP(H213,'TRA TECH'!J:J,'TRA TECH'!I:I))</f>
        <v>TRAFRECSHDMD</v>
      </c>
      <c r="J213">
        <f>IF(H213="*","*",_xlfn.XLOOKUP(H213,'TRA TECH'!J:J,'TRA TECH'!N:N))</f>
        <v>2020</v>
      </c>
      <c r="K213" s="15">
        <f>IF(H213="*","*",IF(_xlfn.XLOOKUP(H213,'TRA TECH'!J:J,'TRA TECH'!O:O)="","",_xlfn.XLOOKUP(H213,'TRA TECH'!J:J,'TRA TECH'!O:O)))</f>
        <v>21.783939170417959</v>
      </c>
      <c r="L213">
        <f t="shared" si="16"/>
        <v>1</v>
      </c>
      <c r="M213">
        <f>IF(H213="*","*",IF(_xlfn.XLOOKUP($H213,'TRA TECH'!$J:$J,'TRA TECH'!Q:Q)="","",_xlfn.XLOOKUP($H213,'TRA TECH'!$J:$J,'TRA TECH'!Q:Q)))</f>
        <v>0.1234997744807122</v>
      </c>
      <c r="N213">
        <f>IF(H213="*","*",IF(_xlfn.XLOOKUP($H213,'TRA TECH'!$J:$J,'TRA TECH'!R:R)="","",_xlfn.XLOOKUP($H213,'TRA TECH'!$J:$J,'TRA TECH'!R:R)))</f>
        <v>0.1234997744807122</v>
      </c>
      <c r="O213">
        <f>IF(H213="*","*",IF(_xlfn.XLOOKUP($H213,'TRA TECH'!$J:$J,'TRA TECH'!S:S)="","",_xlfn.XLOOKUP($H213,'TRA TECH'!$J:$J,'TRA TECH'!S:S)))</f>
        <v>0.13928545994065281</v>
      </c>
      <c r="P213">
        <f>IF(H213="*","*",IF(_xlfn.XLOOKUP($H213,'TRA TECH'!$J:$J,'TRA TECH'!T:T)="","",_xlfn.XLOOKUP($H213,'TRA TECH'!$J:$J,'TRA TECH'!T:T)))</f>
        <v>0.15918338278931751</v>
      </c>
      <c r="Q213">
        <f>IF(H213="*","*",IF(_xlfn.XLOOKUP($H213,'TRA TECH'!$J:$J,'TRA TECH'!U:U)="","",_xlfn.XLOOKUP($H213,'TRA TECH'!$J:$J,'TRA TECH'!U:U)))</f>
        <v>0.16979560830860541</v>
      </c>
      <c r="R213">
        <f>IF(H213="*","*",IF(_xlfn.XLOOKUP($H213,'TRA TECH'!$J:$J,'TRA TECH'!V:V)="","",_xlfn.XLOOKUP($H213,'TRA TECH'!$J:$J,'TRA TECH'!V:V)))</f>
        <v>0.17908130563798219</v>
      </c>
      <c r="S213">
        <f>IF(H213="*","*",IF(_xlfn.XLOOKUP($H213,'TRA TECH'!$J:$J,'TRA TECH'!W:W)="","",_xlfn.XLOOKUP($H213,'TRA TECH'!$J:$J,'TRA TECH'!W:W)))</f>
        <v>0.18969353115727011</v>
      </c>
      <c r="T213">
        <f t="shared" si="17"/>
        <v>0.18969353115727011</v>
      </c>
      <c r="U213">
        <f>IF(H213="*","*",IF(_xlfn.XLOOKUP($H213,'TRA TECH'!$J:$J,'TRA TECH'!X:X)="","",_xlfn.XLOOKUP($H213,'TRA TECH'!$J:$J,'TRA TECH'!X:X)))</f>
        <v>322.92702841104523</v>
      </c>
      <c r="V213">
        <f>IF(H213="*","*",IF(_xlfn.XLOOKUP($H213,'TRA TECH'!$J:$J,'TRA TECH'!Y:Y)="","",_xlfn.XLOOKUP($H213,'TRA TECH'!$J:$J,'TRA TECH'!Y:Y)))</f>
        <v>322.92702841104523</v>
      </c>
      <c r="W213">
        <f>IF(H213="*","*",IF(_xlfn.XLOOKUP($H213,'TRA TECH'!$J:$J,'TRA TECH'!Z:Z)="","",_xlfn.XLOOKUP($H213,'TRA TECH'!$J:$J,'TRA TECH'!Z:Z)))</f>
        <v>289.49625674734659</v>
      </c>
      <c r="X213">
        <f>IF(H213="*","*",IF(_xlfn.XLOOKUP($H213,'TRA TECH'!$J:$J,'TRA TECH'!AA:AA)="","",_xlfn.XLOOKUP($H213,'TRA TECH'!$J:$J,'TRA TECH'!AA:AA)))</f>
        <v>270.29134536607307</v>
      </c>
      <c r="Y213">
        <f>IF(H213="*","*",IF(_xlfn.XLOOKUP($H213,'TRA TECH'!$J:$J,'TRA TECH'!AB:AB)="","",_xlfn.XLOOKUP($H213,'TRA TECH'!$J:$J,'TRA TECH'!AB:AB)))</f>
        <v>262.46712221073909</v>
      </c>
      <c r="Z213">
        <f>IF(H213="*","*",IF(_xlfn.XLOOKUP($H213,'TRA TECH'!$J:$J,'TRA TECH'!AC:AC)="","",_xlfn.XLOOKUP($H213,'TRA TECH'!$J:$J,'TRA TECH'!AC:AC)))</f>
        <v>255.35419206952679</v>
      </c>
      <c r="AA213">
        <f>IF(H213="*","*",IF(_xlfn.XLOOKUP($H213,'TRA TECH'!$J:$J,'TRA TECH'!AD:AD)="","",_xlfn.XLOOKUP($H213,'TRA TECH'!$J:$J,'TRA TECH'!AD:AD)))</f>
        <v>248.24126192831449</v>
      </c>
      <c r="AB213">
        <f t="shared" si="18"/>
        <v>248.24126192831449</v>
      </c>
      <c r="AC213" s="15">
        <f>IF(H213="*","*",IF(_xlfn.XLOOKUP($H213,'TRA TECH'!$J:$J,'TRA TECH'!AE:AE)="","",_xlfn.XLOOKUP($H213,'TRA TECH'!$J:$J,'TRA TECH'!AE:AE)))</f>
        <v>4.9957829164495564</v>
      </c>
      <c r="AD213" s="15">
        <f>IF(H213="*","*",IF(_xlfn.XLOOKUP($H213,'TRA TECH'!$J:$J,'TRA TECH'!AF:AF)="","",_xlfn.XLOOKUP($H213,'TRA TECH'!$J:$J,'TRA TECH'!AF:AF)))</f>
        <v>4.9957829164495564</v>
      </c>
      <c r="AE213" s="15">
        <f>IF(H213="*","*",IF(_xlfn.XLOOKUP($H213,'TRA TECH'!$J:$J,'TRA TECH'!AG:AG)="","",_xlfn.XLOOKUP($H213,'TRA TECH'!$J:$J,'TRA TECH'!AG:AG)))</f>
        <v>4.9957829164495564</v>
      </c>
      <c r="AF213" s="15">
        <f>IF(H213="*","*",IF(_xlfn.XLOOKUP($H213,'TRA TECH'!$J:$J,'TRA TECH'!AH:AH)="","",_xlfn.XLOOKUP($H213,'TRA TECH'!$J:$J,'TRA TECH'!AH:AH)))</f>
        <v>4.9957829164495564</v>
      </c>
      <c r="AG213" s="15">
        <f>IF(H213="*","*",IF(_xlfn.XLOOKUP($H213,'TRA TECH'!$J:$J,'TRA TECH'!AI:AI)="","",_xlfn.XLOOKUP($H213,'TRA TECH'!$J:$J,'TRA TECH'!AI:AI)))</f>
        <v>4.9957829164495564</v>
      </c>
      <c r="AH213" s="15">
        <f>IF(H213="*","*",IF(_xlfn.XLOOKUP($H213,'TRA TECH'!$J:$J,'TRA TECH'!AJ:AJ)="","",_xlfn.XLOOKUP($H213,'TRA TECH'!$J:$J,'TRA TECH'!AJ:AJ)))</f>
        <v>4.9957829164495564</v>
      </c>
      <c r="AI213" s="15">
        <f>IF(H213="*","*",IF(_xlfn.XLOOKUP($H213,'TRA TECH'!$J:$J,'TRA TECH'!AK:AK)="","",_xlfn.XLOOKUP($H213,'TRA TECH'!$J:$J,'TRA TECH'!AK:AK)))</f>
        <v>4.9957829164495564</v>
      </c>
      <c r="AJ213" s="15">
        <f t="shared" si="19"/>
        <v>4.9957829164495564</v>
      </c>
      <c r="AK213" s="16">
        <f t="shared" si="20"/>
        <v>0.25</v>
      </c>
    </row>
    <row r="214" spans="2:37" x14ac:dyDescent="0.25">
      <c r="B214" t="str">
        <f>IF('TRA TECH'!M210=0,"*",IF('TRA TECH'!H210="","*",'TRA TECH'!J210))</f>
        <v>TRAFRECSHFCHEV20</v>
      </c>
      <c r="C214" t="str">
        <f>IF('TRA TECH'!M210=0,"*",'TRA TECH'!H210)</f>
        <v>TRABAF</v>
      </c>
      <c r="D214" t="s">
        <v>424</v>
      </c>
      <c r="E214" s="9">
        <f>'TRA TECH'!P210</f>
        <v>7.9701120797011846E-2</v>
      </c>
      <c r="H214" t="str">
        <f>IF('TRA TECH'!M210=1,IF('TRA TECH'!L210=1,'TRA TECH'!J210,"*"),"*")</f>
        <v>*</v>
      </c>
      <c r="I214" t="str">
        <f>IF(H214="*","*",_xlfn.XLOOKUP(H214,'TRA TECH'!J:J,'TRA TECH'!I:I))</f>
        <v>*</v>
      </c>
      <c r="J214" t="str">
        <f>IF(H214="*","*",_xlfn.XLOOKUP(H214,'TRA TECH'!J:J,'TRA TECH'!N:N))</f>
        <v>*</v>
      </c>
      <c r="K214" s="15" t="str">
        <f>IF(H214="*","*",IF(_xlfn.XLOOKUP(H214,'TRA TECH'!J:J,'TRA TECH'!O:O)="","",_xlfn.XLOOKUP(H214,'TRA TECH'!J:J,'TRA TECH'!O:O)))</f>
        <v>*</v>
      </c>
      <c r="L214" t="str">
        <f t="shared" si="16"/>
        <v>*</v>
      </c>
      <c r="M214" t="str">
        <f>IF(H214="*","*",IF(_xlfn.XLOOKUP($H214,'TRA TECH'!$J:$J,'TRA TECH'!Q:Q)="","",_xlfn.XLOOKUP($H214,'TRA TECH'!$J:$J,'TRA TECH'!Q:Q)))</f>
        <v>*</v>
      </c>
      <c r="N214" t="str">
        <f>IF(H214="*","*",IF(_xlfn.XLOOKUP($H214,'TRA TECH'!$J:$J,'TRA TECH'!R:R)="","",_xlfn.XLOOKUP($H214,'TRA TECH'!$J:$J,'TRA TECH'!R:R)))</f>
        <v>*</v>
      </c>
      <c r="O214" t="str">
        <f>IF(H214="*","*",IF(_xlfn.XLOOKUP($H214,'TRA TECH'!$J:$J,'TRA TECH'!S:S)="","",_xlfn.XLOOKUP($H214,'TRA TECH'!$J:$J,'TRA TECH'!S:S)))</f>
        <v>*</v>
      </c>
      <c r="P214" t="str">
        <f>IF(H214="*","*",IF(_xlfn.XLOOKUP($H214,'TRA TECH'!$J:$J,'TRA TECH'!T:T)="","",_xlfn.XLOOKUP($H214,'TRA TECH'!$J:$J,'TRA TECH'!T:T)))</f>
        <v>*</v>
      </c>
      <c r="Q214" t="str">
        <f>IF(H214="*","*",IF(_xlfn.XLOOKUP($H214,'TRA TECH'!$J:$J,'TRA TECH'!U:U)="","",_xlfn.XLOOKUP($H214,'TRA TECH'!$J:$J,'TRA TECH'!U:U)))</f>
        <v>*</v>
      </c>
      <c r="R214" t="str">
        <f>IF(H214="*","*",IF(_xlfn.XLOOKUP($H214,'TRA TECH'!$J:$J,'TRA TECH'!V:V)="","",_xlfn.XLOOKUP($H214,'TRA TECH'!$J:$J,'TRA TECH'!V:V)))</f>
        <v>*</v>
      </c>
      <c r="S214" t="str">
        <f>IF(H214="*","*",IF(_xlfn.XLOOKUP($H214,'TRA TECH'!$J:$J,'TRA TECH'!W:W)="","",_xlfn.XLOOKUP($H214,'TRA TECH'!$J:$J,'TRA TECH'!W:W)))</f>
        <v>*</v>
      </c>
      <c r="T214" t="str">
        <f t="shared" si="17"/>
        <v>*</v>
      </c>
      <c r="U214" t="str">
        <f>IF(H214="*","*",IF(_xlfn.XLOOKUP($H214,'TRA TECH'!$J:$J,'TRA TECH'!X:X)="","",_xlfn.XLOOKUP($H214,'TRA TECH'!$J:$J,'TRA TECH'!X:X)))</f>
        <v>*</v>
      </c>
      <c r="V214" t="str">
        <f>IF(H214="*","*",IF(_xlfn.XLOOKUP($H214,'TRA TECH'!$J:$J,'TRA TECH'!Y:Y)="","",_xlfn.XLOOKUP($H214,'TRA TECH'!$J:$J,'TRA TECH'!Y:Y)))</f>
        <v>*</v>
      </c>
      <c r="W214" t="str">
        <f>IF(H214="*","*",IF(_xlfn.XLOOKUP($H214,'TRA TECH'!$J:$J,'TRA TECH'!Z:Z)="","",_xlfn.XLOOKUP($H214,'TRA TECH'!$J:$J,'TRA TECH'!Z:Z)))</f>
        <v>*</v>
      </c>
      <c r="X214" t="str">
        <f>IF(H214="*","*",IF(_xlfn.XLOOKUP($H214,'TRA TECH'!$J:$J,'TRA TECH'!AA:AA)="","",_xlfn.XLOOKUP($H214,'TRA TECH'!$J:$J,'TRA TECH'!AA:AA)))</f>
        <v>*</v>
      </c>
      <c r="Y214" t="str">
        <f>IF(H214="*","*",IF(_xlfn.XLOOKUP($H214,'TRA TECH'!$J:$J,'TRA TECH'!AB:AB)="","",_xlfn.XLOOKUP($H214,'TRA TECH'!$J:$J,'TRA TECH'!AB:AB)))</f>
        <v>*</v>
      </c>
      <c r="Z214" t="str">
        <f>IF(H214="*","*",IF(_xlfn.XLOOKUP($H214,'TRA TECH'!$J:$J,'TRA TECH'!AC:AC)="","",_xlfn.XLOOKUP($H214,'TRA TECH'!$J:$J,'TRA TECH'!AC:AC)))</f>
        <v>*</v>
      </c>
      <c r="AA214" t="str">
        <f>IF(H214="*","*",IF(_xlfn.XLOOKUP($H214,'TRA TECH'!$J:$J,'TRA TECH'!AD:AD)="","",_xlfn.XLOOKUP($H214,'TRA TECH'!$J:$J,'TRA TECH'!AD:AD)))</f>
        <v>*</v>
      </c>
      <c r="AB214" t="str">
        <f t="shared" si="18"/>
        <v>*</v>
      </c>
      <c r="AC214" s="15" t="str">
        <f>IF(H214="*","*",IF(_xlfn.XLOOKUP($H214,'TRA TECH'!$J:$J,'TRA TECH'!AE:AE)="","",_xlfn.XLOOKUP($H214,'TRA TECH'!$J:$J,'TRA TECH'!AE:AE)))</f>
        <v>*</v>
      </c>
      <c r="AD214" s="15" t="str">
        <f>IF(H214="*","*",IF(_xlfn.XLOOKUP($H214,'TRA TECH'!$J:$J,'TRA TECH'!AF:AF)="","",_xlfn.XLOOKUP($H214,'TRA TECH'!$J:$J,'TRA TECH'!AF:AF)))</f>
        <v>*</v>
      </c>
      <c r="AE214" s="15" t="str">
        <f>IF(H214="*","*",IF(_xlfn.XLOOKUP($H214,'TRA TECH'!$J:$J,'TRA TECH'!AG:AG)="","",_xlfn.XLOOKUP($H214,'TRA TECH'!$J:$J,'TRA TECH'!AG:AG)))</f>
        <v>*</v>
      </c>
      <c r="AF214" s="15" t="str">
        <f>IF(H214="*","*",IF(_xlfn.XLOOKUP($H214,'TRA TECH'!$J:$J,'TRA TECH'!AH:AH)="","",_xlfn.XLOOKUP($H214,'TRA TECH'!$J:$J,'TRA TECH'!AH:AH)))</f>
        <v>*</v>
      </c>
      <c r="AG214" s="15" t="str">
        <f>IF(H214="*","*",IF(_xlfn.XLOOKUP($H214,'TRA TECH'!$J:$J,'TRA TECH'!AI:AI)="","",_xlfn.XLOOKUP($H214,'TRA TECH'!$J:$J,'TRA TECH'!AI:AI)))</f>
        <v>*</v>
      </c>
      <c r="AH214" s="15" t="str">
        <f>IF(H214="*","*",IF(_xlfn.XLOOKUP($H214,'TRA TECH'!$J:$J,'TRA TECH'!AJ:AJ)="","",_xlfn.XLOOKUP($H214,'TRA TECH'!$J:$J,'TRA TECH'!AJ:AJ)))</f>
        <v>*</v>
      </c>
      <c r="AI214" s="15" t="str">
        <f>IF(H214="*","*",IF(_xlfn.XLOOKUP($H214,'TRA TECH'!$J:$J,'TRA TECH'!AK:AK)="","",_xlfn.XLOOKUP($H214,'TRA TECH'!$J:$J,'TRA TECH'!AK:AK)))</f>
        <v>*</v>
      </c>
      <c r="AJ214" s="15" t="str">
        <f t="shared" si="19"/>
        <v>*</v>
      </c>
      <c r="AK214" s="16" t="str">
        <f t="shared" si="20"/>
        <v>*</v>
      </c>
    </row>
    <row r="215" spans="2:37" x14ac:dyDescent="0.25">
      <c r="B215" t="str">
        <f>IF('TRA TECH'!M211=0,"*",IF('TRA TECH'!H211="","*",'TRA TECH'!J211))</f>
        <v>TRAFRECSHBEV20</v>
      </c>
      <c r="C215" t="str">
        <f>IF('TRA TECH'!M211=0,"*",'TRA TECH'!H211)</f>
        <v>TRABAF</v>
      </c>
      <c r="D215" t="s">
        <v>424</v>
      </c>
      <c r="E215" s="9">
        <f>'TRA TECH'!P211</f>
        <v>1</v>
      </c>
      <c r="H215" t="str">
        <f>IF('TRA TECH'!M211=1,IF('TRA TECH'!L211=1,'TRA TECH'!J211,"*"),"*")</f>
        <v>TRAFRECSHBEV20</v>
      </c>
      <c r="I215" t="str">
        <f>IF(H215="*","*",_xlfn.XLOOKUP(H215,'TRA TECH'!J:J,'TRA TECH'!I:I))</f>
        <v>TRAFRECSHDMD</v>
      </c>
      <c r="J215">
        <f>IF(H215="*","*",_xlfn.XLOOKUP(H215,'TRA TECH'!J:J,'TRA TECH'!N:N))</f>
        <v>2020</v>
      </c>
      <c r="K215" s="15">
        <f>IF(H215="*","*",IF(_xlfn.XLOOKUP(H215,'TRA TECH'!J:J,'TRA TECH'!O:O)="","",_xlfn.XLOOKUP(H215,'TRA TECH'!J:J,'TRA TECH'!O:O)))</f>
        <v>21.783939170417959</v>
      </c>
      <c r="L215">
        <f t="shared" si="16"/>
        <v>1</v>
      </c>
      <c r="M215">
        <f>IF(H215="*","*",IF(_xlfn.XLOOKUP($H215,'TRA TECH'!$J:$J,'TRA TECH'!Q:Q)="","",_xlfn.XLOOKUP($H215,'TRA TECH'!$J:$J,'TRA TECH'!Q:Q)))</f>
        <v>0.2215302077151334</v>
      </c>
      <c r="N215">
        <f>IF(H215="*","*",IF(_xlfn.XLOOKUP($H215,'TRA TECH'!$J:$J,'TRA TECH'!R:R)="","",_xlfn.XLOOKUP($H215,'TRA TECH'!$J:$J,'TRA TECH'!R:R)))</f>
        <v>0.2215302077151334</v>
      </c>
      <c r="O215">
        <f>IF(H215="*","*",IF(_xlfn.XLOOKUP($H215,'TRA TECH'!$J:$J,'TRA TECH'!S:S)="","",_xlfn.XLOOKUP($H215,'TRA TECH'!$J:$J,'TRA TECH'!S:S)))</f>
        <v>0.24673424332344221</v>
      </c>
      <c r="P215">
        <f>IF(H215="*","*",IF(_xlfn.XLOOKUP($H215,'TRA TECH'!$J:$J,'TRA TECH'!T:T)="","",_xlfn.XLOOKUP($H215,'TRA TECH'!$J:$J,'TRA TECH'!T:T)))</f>
        <v>0.27193827893175071</v>
      </c>
      <c r="Q215">
        <f>IF(H215="*","*",IF(_xlfn.XLOOKUP($H215,'TRA TECH'!$J:$J,'TRA TECH'!U:U)="","",_xlfn.XLOOKUP($H215,'TRA TECH'!$J:$J,'TRA TECH'!U:U)))</f>
        <v>0.2812239762611275</v>
      </c>
      <c r="R215">
        <f>IF(H215="*","*",IF(_xlfn.XLOOKUP($H215,'TRA TECH'!$J:$J,'TRA TECH'!V:V)="","",_xlfn.XLOOKUP($H215,'TRA TECH'!$J:$J,'TRA TECH'!V:V)))</f>
        <v>0.29316272997032661</v>
      </c>
      <c r="S215">
        <f>IF(H215="*","*",IF(_xlfn.XLOOKUP($H215,'TRA TECH'!$J:$J,'TRA TECH'!W:W)="","",_xlfn.XLOOKUP($H215,'TRA TECH'!$J:$J,'TRA TECH'!W:W)))</f>
        <v>0.30510148367952522</v>
      </c>
      <c r="T215">
        <f t="shared" si="17"/>
        <v>0.30510148367952522</v>
      </c>
      <c r="U215">
        <f>IF(H215="*","*",IF(_xlfn.XLOOKUP($H215,'TRA TECH'!$J:$J,'TRA TECH'!X:X)="","",_xlfn.XLOOKUP($H215,'TRA TECH'!$J:$J,'TRA TECH'!X:X)))</f>
        <v>477.277612475355</v>
      </c>
      <c r="V215">
        <f>IF(H215="*","*",IF(_xlfn.XLOOKUP($H215,'TRA TECH'!$J:$J,'TRA TECH'!Y:Y)="","",_xlfn.XLOOKUP($H215,'TRA TECH'!$J:$J,'TRA TECH'!Y:Y)))</f>
        <v>477.277612475355</v>
      </c>
      <c r="W215">
        <f>IF(H215="*","*",IF(_xlfn.XLOOKUP($H215,'TRA TECH'!$J:$J,'TRA TECH'!Z:Z)="","",_xlfn.XLOOKUP($H215,'TRA TECH'!$J:$J,'TRA TECH'!Z:Z)))</f>
        <v>392.63374379492677</v>
      </c>
      <c r="X215">
        <f>IF(H215="*","*",IF(_xlfn.XLOOKUP($H215,'TRA TECH'!$J:$J,'TRA TECH'!AA:AA)="","",_xlfn.XLOOKUP($H215,'TRA TECH'!$J:$J,'TRA TECH'!AA:AA)))</f>
        <v>348.53357691941</v>
      </c>
      <c r="Y215">
        <f>IF(H215="*","*",IF(_xlfn.XLOOKUP($H215,'TRA TECH'!$J:$J,'TRA TECH'!AB:AB)="","",_xlfn.XLOOKUP($H215,'TRA TECH'!$J:$J,'TRA TECH'!AB:AB)))</f>
        <v>330.0399585522577</v>
      </c>
      <c r="Z215">
        <f>IF(H215="*","*",IF(_xlfn.XLOOKUP($H215,'TRA TECH'!$J:$J,'TRA TECH'!AC:AC)="","",_xlfn.XLOOKUP($H215,'TRA TECH'!$J:$J,'TRA TECH'!AC:AC)))</f>
        <v>310.83504717098378</v>
      </c>
      <c r="AA215">
        <f>IF(H215="*","*",IF(_xlfn.XLOOKUP($H215,'TRA TECH'!$J:$J,'TRA TECH'!AD:AD)="","",_xlfn.XLOOKUP($H215,'TRA TECH'!$J:$J,'TRA TECH'!AD:AD)))</f>
        <v>292.34142880383138</v>
      </c>
      <c r="AB215">
        <f t="shared" si="18"/>
        <v>292.34142880383138</v>
      </c>
      <c r="AC215" s="15">
        <f>IF(H215="*","*",IF(_xlfn.XLOOKUP($H215,'TRA TECH'!$J:$J,'TRA TECH'!AE:AE)="","",_xlfn.XLOOKUP($H215,'TRA TECH'!$J:$J,'TRA TECH'!AE:AE)))</f>
        <v>3.199913240601679</v>
      </c>
      <c r="AD215" s="15">
        <f>IF(H215="*","*",IF(_xlfn.XLOOKUP($H215,'TRA TECH'!$J:$J,'TRA TECH'!AF:AF)="","",_xlfn.XLOOKUP($H215,'TRA TECH'!$J:$J,'TRA TECH'!AF:AF)))</f>
        <v>3.199913240601679</v>
      </c>
      <c r="AE215" s="15">
        <f>IF(H215="*","*",IF(_xlfn.XLOOKUP($H215,'TRA TECH'!$J:$J,'TRA TECH'!AG:AG)="","",_xlfn.XLOOKUP($H215,'TRA TECH'!$J:$J,'TRA TECH'!AG:AG)))</f>
        <v>3.199913240601679</v>
      </c>
      <c r="AF215" s="15">
        <f>IF(H215="*","*",IF(_xlfn.XLOOKUP($H215,'TRA TECH'!$J:$J,'TRA TECH'!AH:AH)="","",_xlfn.XLOOKUP($H215,'TRA TECH'!$J:$J,'TRA TECH'!AH:AH)))</f>
        <v>3.199913240601679</v>
      </c>
      <c r="AG215" s="15">
        <f>IF(H215="*","*",IF(_xlfn.XLOOKUP($H215,'TRA TECH'!$J:$J,'TRA TECH'!AI:AI)="","",_xlfn.XLOOKUP($H215,'TRA TECH'!$J:$J,'TRA TECH'!AI:AI)))</f>
        <v>3.199913240601679</v>
      </c>
      <c r="AH215" s="15">
        <f>IF(H215="*","*",IF(_xlfn.XLOOKUP($H215,'TRA TECH'!$J:$J,'TRA TECH'!AJ:AJ)="","",_xlfn.XLOOKUP($H215,'TRA TECH'!$J:$J,'TRA TECH'!AJ:AJ)))</f>
        <v>3.199913240601679</v>
      </c>
      <c r="AI215" s="15">
        <f>IF(H215="*","*",IF(_xlfn.XLOOKUP($H215,'TRA TECH'!$J:$J,'TRA TECH'!AK:AK)="","",_xlfn.XLOOKUP($H215,'TRA TECH'!$J:$J,'TRA TECH'!AK:AK)))</f>
        <v>3.199913240601679</v>
      </c>
      <c r="AJ215" s="15">
        <f t="shared" si="19"/>
        <v>3.199913240601679</v>
      </c>
      <c r="AK215" s="16">
        <f t="shared" si="20"/>
        <v>0.4</v>
      </c>
    </row>
    <row r="216" spans="2:37" x14ac:dyDescent="0.25">
      <c r="B216" t="str">
        <f>IF('TRA TECH'!M212=0,"*",IF('TRA TECH'!H212="","*",'TRA TECH'!J212))</f>
        <v>TRAPASTBUICEVDSL20</v>
      </c>
      <c r="C216" t="str">
        <f>IF('TRA TECH'!M212=0,"*",'TRA TECH'!H212)</f>
        <v>TRADSL</v>
      </c>
      <c r="D216" t="s">
        <v>424</v>
      </c>
      <c r="E216" s="9">
        <f>'TRA TECH'!P212</f>
        <v>1</v>
      </c>
      <c r="H216" t="str">
        <f>IF('TRA TECH'!M212=1,IF('TRA TECH'!L212=1,'TRA TECH'!J212,"*"),"*")</f>
        <v>TRAPASTBUICEVDSL20</v>
      </c>
      <c r="I216" t="str">
        <f>IF(H216="*","*",_xlfn.XLOOKUP(H216,'TRA TECH'!J:J,'TRA TECH'!I:I))</f>
        <v>TRAPASTBUDMD</v>
      </c>
      <c r="J216">
        <f>IF(H216="*","*",_xlfn.XLOOKUP(H216,'TRA TECH'!J:J,'TRA TECH'!N:N))</f>
        <v>2020</v>
      </c>
      <c r="K216" s="15">
        <f>IF(H216="*","*",IF(_xlfn.XLOOKUP(H216,'TRA TECH'!J:J,'TRA TECH'!O:O)="","",_xlfn.XLOOKUP(H216,'TRA TECH'!J:J,'TRA TECH'!O:O)))</f>
        <v>4.6576618537494188</v>
      </c>
      <c r="L216">
        <f t="shared" si="16"/>
        <v>1</v>
      </c>
      <c r="M216">
        <f>IF(H216="*","*",IF(_xlfn.XLOOKUP($H216,'TRA TECH'!$J:$J,'TRA TECH'!Q:Q)="","",_xlfn.XLOOKUP($H216,'TRA TECH'!$J:$J,'TRA TECH'!Q:Q)))</f>
        <v>0.14459157270029679</v>
      </c>
      <c r="N216">
        <f>IF(H216="*","*",IF(_xlfn.XLOOKUP($H216,'TRA TECH'!$J:$J,'TRA TECH'!R:R)="","",_xlfn.XLOOKUP($H216,'TRA TECH'!$J:$J,'TRA TECH'!R:R)))</f>
        <v>0.14459157270029679</v>
      </c>
      <c r="O216">
        <f>IF(H216="*","*",IF(_xlfn.XLOOKUP($H216,'TRA TECH'!$J:$J,'TRA TECH'!S:S)="","",_xlfn.XLOOKUP($H216,'TRA TECH'!$J:$J,'TRA TECH'!S:S)))</f>
        <v>0.1578568545994066</v>
      </c>
      <c r="P216">
        <f>IF(H216="*","*",IF(_xlfn.XLOOKUP($H216,'TRA TECH'!$J:$J,'TRA TECH'!T:T)="","",_xlfn.XLOOKUP($H216,'TRA TECH'!$J:$J,'TRA TECH'!T:T)))</f>
        <v>0.1711221364985164</v>
      </c>
      <c r="Q216">
        <f>IF(H216="*","*",IF(_xlfn.XLOOKUP($H216,'TRA TECH'!$J:$J,'TRA TECH'!U:U)="","",_xlfn.XLOOKUP($H216,'TRA TECH'!$J:$J,'TRA TECH'!U:U)))</f>
        <v>0.1804078338278931</v>
      </c>
      <c r="R216">
        <f>IF(H216="*","*",IF(_xlfn.XLOOKUP($H216,'TRA TECH'!$J:$J,'TRA TECH'!V:V)="","",_xlfn.XLOOKUP($H216,'TRA TECH'!$J:$J,'TRA TECH'!V:V)))</f>
        <v>0.18836700296735909</v>
      </c>
      <c r="S216">
        <f>IF(H216="*","*",IF(_xlfn.XLOOKUP($H216,'TRA TECH'!$J:$J,'TRA TECH'!W:W)="","",_xlfn.XLOOKUP($H216,'TRA TECH'!$J:$J,'TRA TECH'!W:W)))</f>
        <v>0.1963261721068249</v>
      </c>
      <c r="T216">
        <f t="shared" si="17"/>
        <v>0.1963261721068249</v>
      </c>
      <c r="U216">
        <f>IF(H216="*","*",IF(_xlfn.XLOOKUP($H216,'TRA TECH'!$J:$J,'TRA TECH'!X:X)="","",_xlfn.XLOOKUP($H216,'TRA TECH'!$J:$J,'TRA TECH'!X:X)))</f>
        <v>421.08546435977678</v>
      </c>
      <c r="V216">
        <f>IF(H216="*","*",IF(_xlfn.XLOOKUP($H216,'TRA TECH'!$J:$J,'TRA TECH'!Y:Y)="","",_xlfn.XLOOKUP($H216,'TRA TECH'!$J:$J,'TRA TECH'!Y:Y)))</f>
        <v>421.08546435977678</v>
      </c>
      <c r="W216">
        <f>IF(H216="*","*",IF(_xlfn.XLOOKUP($H216,'TRA TECH'!$J:$J,'TRA TECH'!Z:Z)="","",_xlfn.XLOOKUP($H216,'TRA TECH'!$J:$J,'TRA TECH'!Z:Z)))</f>
        <v>423.93063641626179</v>
      </c>
      <c r="X216">
        <f>IF(H216="*","*",IF(_xlfn.XLOOKUP($H216,'TRA TECH'!$J:$J,'TRA TECH'!AA:AA)="","",_xlfn.XLOOKUP($H216,'TRA TECH'!$J:$J,'TRA TECH'!AA:AA)))</f>
        <v>423.21934340214051</v>
      </c>
      <c r="Y216">
        <f>IF(H216="*","*",IF(_xlfn.XLOOKUP($H216,'TRA TECH'!$J:$J,'TRA TECH'!AB:AB)="","",_xlfn.XLOOKUP($H216,'TRA TECH'!$J:$J,'TRA TECH'!AB:AB)))</f>
        <v>423.93063641626179</v>
      </c>
      <c r="Z216">
        <f>IF(H216="*","*",IF(_xlfn.XLOOKUP($H216,'TRA TECH'!$J:$J,'TRA TECH'!AC:AC)="","",_xlfn.XLOOKUP($H216,'TRA TECH'!$J:$J,'TRA TECH'!AC:AC)))</f>
        <v>424.64192943038302</v>
      </c>
      <c r="AA216">
        <f>IF(H216="*","*",IF(_xlfn.XLOOKUP($H216,'TRA TECH'!$J:$J,'TRA TECH'!AD:AD)="","",_xlfn.XLOOKUP($H216,'TRA TECH'!$J:$J,'TRA TECH'!AD:AD)))</f>
        <v>426.06451545862558</v>
      </c>
      <c r="AB216">
        <f t="shared" si="18"/>
        <v>426.06451545862558</v>
      </c>
      <c r="AC216" s="15">
        <f>IF(H216="*","*",IF(_xlfn.XLOOKUP($H216,'TRA TECH'!$J:$J,'TRA TECH'!AE:AE)="","",_xlfn.XLOOKUP($H216,'TRA TECH'!$J:$J,'TRA TECH'!AE:AE)))</f>
        <v>18.02032399555608</v>
      </c>
      <c r="AD216" s="15">
        <f>IF(H216="*","*",IF(_xlfn.XLOOKUP($H216,'TRA TECH'!$J:$J,'TRA TECH'!AF:AF)="","",_xlfn.XLOOKUP($H216,'TRA TECH'!$J:$J,'TRA TECH'!AF:AF)))</f>
        <v>18.02032399555608</v>
      </c>
      <c r="AE216" s="15">
        <f>IF(H216="*","*",IF(_xlfn.XLOOKUP($H216,'TRA TECH'!$J:$J,'TRA TECH'!AG:AG)="","",_xlfn.XLOOKUP($H216,'TRA TECH'!$J:$J,'TRA TECH'!AG:AG)))</f>
        <v>18.02032399555608</v>
      </c>
      <c r="AF216" s="15">
        <f>IF(H216="*","*",IF(_xlfn.XLOOKUP($H216,'TRA TECH'!$J:$J,'TRA TECH'!AH:AH)="","",_xlfn.XLOOKUP($H216,'TRA TECH'!$J:$J,'TRA TECH'!AH:AH)))</f>
        <v>18.02032399555608</v>
      </c>
      <c r="AG216" s="15">
        <f>IF(H216="*","*",IF(_xlfn.XLOOKUP($H216,'TRA TECH'!$J:$J,'TRA TECH'!AI:AI)="","",_xlfn.XLOOKUP($H216,'TRA TECH'!$J:$J,'TRA TECH'!AI:AI)))</f>
        <v>18.02032399555608</v>
      </c>
      <c r="AH216" s="15">
        <f>IF(H216="*","*",IF(_xlfn.XLOOKUP($H216,'TRA TECH'!$J:$J,'TRA TECH'!AJ:AJ)="","",_xlfn.XLOOKUP($H216,'TRA TECH'!$J:$J,'TRA TECH'!AJ:AJ)))</f>
        <v>18.02032399555608</v>
      </c>
      <c r="AI216" s="15">
        <f>IF(H216="*","*",IF(_xlfn.XLOOKUP($H216,'TRA TECH'!$J:$J,'TRA TECH'!AK:AK)="","",_xlfn.XLOOKUP($H216,'TRA TECH'!$J:$J,'TRA TECH'!AK:AK)))</f>
        <v>18.02032399555608</v>
      </c>
      <c r="AJ216" s="15">
        <f t="shared" si="19"/>
        <v>18.02032399555608</v>
      </c>
      <c r="AK216" s="16">
        <f t="shared" si="20"/>
        <v>0.1</v>
      </c>
    </row>
    <row r="217" spans="2:37" x14ac:dyDescent="0.25">
      <c r="B217" t="str">
        <f>IF('TRA TECH'!M213=0,"*",IF('TRA TECH'!H213="","*",'TRA TECH'!J213))</f>
        <v>TRAPASTBUICEVDSL20</v>
      </c>
      <c r="C217" t="str">
        <f>IF('TRA TECH'!M213=0,"*",'TRA TECH'!H213)</f>
        <v>TRARDS</v>
      </c>
      <c r="D217" t="s">
        <v>424</v>
      </c>
      <c r="E217" s="9">
        <f>'TRA TECH'!P213</f>
        <v>1</v>
      </c>
      <c r="H217" t="str">
        <f>IF('TRA TECH'!M213=1,IF('TRA TECH'!L213=1,'TRA TECH'!J213,"*"),"*")</f>
        <v>*</v>
      </c>
      <c r="I217" t="str">
        <f>IF(H217="*","*",_xlfn.XLOOKUP(H217,'TRA TECH'!J:J,'TRA TECH'!I:I))</f>
        <v>*</v>
      </c>
      <c r="J217" t="str">
        <f>IF(H217="*","*",_xlfn.XLOOKUP(H217,'TRA TECH'!J:J,'TRA TECH'!N:N))</f>
        <v>*</v>
      </c>
      <c r="K217" s="15" t="str">
        <f>IF(H217="*","*",IF(_xlfn.XLOOKUP(H217,'TRA TECH'!J:J,'TRA TECH'!O:O)="","",_xlfn.XLOOKUP(H217,'TRA TECH'!J:J,'TRA TECH'!O:O)))</f>
        <v>*</v>
      </c>
      <c r="L217" t="str">
        <f t="shared" si="16"/>
        <v>*</v>
      </c>
      <c r="M217" t="str">
        <f>IF(H217="*","*",IF(_xlfn.XLOOKUP($H217,'TRA TECH'!$J:$J,'TRA TECH'!Q:Q)="","",_xlfn.XLOOKUP($H217,'TRA TECH'!$J:$J,'TRA TECH'!Q:Q)))</f>
        <v>*</v>
      </c>
      <c r="N217" t="str">
        <f>IF(H217="*","*",IF(_xlfn.XLOOKUP($H217,'TRA TECH'!$J:$J,'TRA TECH'!R:R)="","",_xlfn.XLOOKUP($H217,'TRA TECH'!$J:$J,'TRA TECH'!R:R)))</f>
        <v>*</v>
      </c>
      <c r="O217" t="str">
        <f>IF(H217="*","*",IF(_xlfn.XLOOKUP($H217,'TRA TECH'!$J:$J,'TRA TECH'!S:S)="","",_xlfn.XLOOKUP($H217,'TRA TECH'!$J:$J,'TRA TECH'!S:S)))</f>
        <v>*</v>
      </c>
      <c r="P217" t="str">
        <f>IF(H217="*","*",IF(_xlfn.XLOOKUP($H217,'TRA TECH'!$J:$J,'TRA TECH'!T:T)="","",_xlfn.XLOOKUP($H217,'TRA TECH'!$J:$J,'TRA TECH'!T:T)))</f>
        <v>*</v>
      </c>
      <c r="Q217" t="str">
        <f>IF(H217="*","*",IF(_xlfn.XLOOKUP($H217,'TRA TECH'!$J:$J,'TRA TECH'!U:U)="","",_xlfn.XLOOKUP($H217,'TRA TECH'!$J:$J,'TRA TECH'!U:U)))</f>
        <v>*</v>
      </c>
      <c r="R217" t="str">
        <f>IF(H217="*","*",IF(_xlfn.XLOOKUP($H217,'TRA TECH'!$J:$J,'TRA TECH'!V:V)="","",_xlfn.XLOOKUP($H217,'TRA TECH'!$J:$J,'TRA TECH'!V:V)))</f>
        <v>*</v>
      </c>
      <c r="S217" t="str">
        <f>IF(H217="*","*",IF(_xlfn.XLOOKUP($H217,'TRA TECH'!$J:$J,'TRA TECH'!W:W)="","",_xlfn.XLOOKUP($H217,'TRA TECH'!$J:$J,'TRA TECH'!W:W)))</f>
        <v>*</v>
      </c>
      <c r="T217" t="str">
        <f t="shared" si="17"/>
        <v>*</v>
      </c>
      <c r="U217" t="str">
        <f>IF(H217="*","*",IF(_xlfn.XLOOKUP($H217,'TRA TECH'!$J:$J,'TRA TECH'!X:X)="","",_xlfn.XLOOKUP($H217,'TRA TECH'!$J:$J,'TRA TECH'!X:X)))</f>
        <v>*</v>
      </c>
      <c r="V217" t="str">
        <f>IF(H217="*","*",IF(_xlfn.XLOOKUP($H217,'TRA TECH'!$J:$J,'TRA TECH'!Y:Y)="","",_xlfn.XLOOKUP($H217,'TRA TECH'!$J:$J,'TRA TECH'!Y:Y)))</f>
        <v>*</v>
      </c>
      <c r="W217" t="str">
        <f>IF(H217="*","*",IF(_xlfn.XLOOKUP($H217,'TRA TECH'!$J:$J,'TRA TECH'!Z:Z)="","",_xlfn.XLOOKUP($H217,'TRA TECH'!$J:$J,'TRA TECH'!Z:Z)))</f>
        <v>*</v>
      </c>
      <c r="X217" t="str">
        <f>IF(H217="*","*",IF(_xlfn.XLOOKUP($H217,'TRA TECH'!$J:$J,'TRA TECH'!AA:AA)="","",_xlfn.XLOOKUP($H217,'TRA TECH'!$J:$J,'TRA TECH'!AA:AA)))</f>
        <v>*</v>
      </c>
      <c r="Y217" t="str">
        <f>IF(H217="*","*",IF(_xlfn.XLOOKUP($H217,'TRA TECH'!$J:$J,'TRA TECH'!AB:AB)="","",_xlfn.XLOOKUP($H217,'TRA TECH'!$J:$J,'TRA TECH'!AB:AB)))</f>
        <v>*</v>
      </c>
      <c r="Z217" t="str">
        <f>IF(H217="*","*",IF(_xlfn.XLOOKUP($H217,'TRA TECH'!$J:$J,'TRA TECH'!AC:AC)="","",_xlfn.XLOOKUP($H217,'TRA TECH'!$J:$J,'TRA TECH'!AC:AC)))</f>
        <v>*</v>
      </c>
      <c r="AA217" t="str">
        <f>IF(H217="*","*",IF(_xlfn.XLOOKUP($H217,'TRA TECH'!$J:$J,'TRA TECH'!AD:AD)="","",_xlfn.XLOOKUP($H217,'TRA TECH'!$J:$J,'TRA TECH'!AD:AD)))</f>
        <v>*</v>
      </c>
      <c r="AB217" t="str">
        <f t="shared" si="18"/>
        <v>*</v>
      </c>
      <c r="AC217" s="15" t="str">
        <f>IF(H217="*","*",IF(_xlfn.XLOOKUP($H217,'TRA TECH'!$J:$J,'TRA TECH'!AE:AE)="","",_xlfn.XLOOKUP($H217,'TRA TECH'!$J:$J,'TRA TECH'!AE:AE)))</f>
        <v>*</v>
      </c>
      <c r="AD217" s="15" t="str">
        <f>IF(H217="*","*",IF(_xlfn.XLOOKUP($H217,'TRA TECH'!$J:$J,'TRA TECH'!AF:AF)="","",_xlfn.XLOOKUP($H217,'TRA TECH'!$J:$J,'TRA TECH'!AF:AF)))</f>
        <v>*</v>
      </c>
      <c r="AE217" s="15" t="str">
        <f>IF(H217="*","*",IF(_xlfn.XLOOKUP($H217,'TRA TECH'!$J:$J,'TRA TECH'!AG:AG)="","",_xlfn.XLOOKUP($H217,'TRA TECH'!$J:$J,'TRA TECH'!AG:AG)))</f>
        <v>*</v>
      </c>
      <c r="AF217" s="15" t="str">
        <f>IF(H217="*","*",IF(_xlfn.XLOOKUP($H217,'TRA TECH'!$J:$J,'TRA TECH'!AH:AH)="","",_xlfn.XLOOKUP($H217,'TRA TECH'!$J:$J,'TRA TECH'!AH:AH)))</f>
        <v>*</v>
      </c>
      <c r="AG217" s="15" t="str">
        <f>IF(H217="*","*",IF(_xlfn.XLOOKUP($H217,'TRA TECH'!$J:$J,'TRA TECH'!AI:AI)="","",_xlfn.XLOOKUP($H217,'TRA TECH'!$J:$J,'TRA TECH'!AI:AI)))</f>
        <v>*</v>
      </c>
      <c r="AH217" s="15" t="str">
        <f>IF(H217="*","*",IF(_xlfn.XLOOKUP($H217,'TRA TECH'!$J:$J,'TRA TECH'!AJ:AJ)="","",_xlfn.XLOOKUP($H217,'TRA TECH'!$J:$J,'TRA TECH'!AJ:AJ)))</f>
        <v>*</v>
      </c>
      <c r="AI217" s="15" t="str">
        <f>IF(H217="*","*",IF(_xlfn.XLOOKUP($H217,'TRA TECH'!$J:$J,'TRA TECH'!AK:AK)="","",_xlfn.XLOOKUP($H217,'TRA TECH'!$J:$J,'TRA TECH'!AK:AK)))</f>
        <v>*</v>
      </c>
      <c r="AJ217" s="15" t="str">
        <f t="shared" si="19"/>
        <v>*</v>
      </c>
      <c r="AK217" s="16" t="str">
        <f t="shared" si="20"/>
        <v>*</v>
      </c>
    </row>
    <row r="218" spans="2:37" x14ac:dyDescent="0.25">
      <c r="B218" t="str">
        <f>IF('TRA TECH'!M214=0,"*",IF('TRA TECH'!H214="","*",'TRA TECH'!J214))</f>
        <v>TRAPASTBUICEVDSL20</v>
      </c>
      <c r="C218" t="str">
        <f>IF('TRA TECH'!M214=0,"*",'TRA TECH'!H214)</f>
        <v>TRABDS</v>
      </c>
      <c r="D218" t="s">
        <v>424</v>
      </c>
      <c r="E218" s="9">
        <f>'TRA TECH'!P214</f>
        <v>0.1</v>
      </c>
      <c r="H218" t="str">
        <f>IF('TRA TECH'!M214=1,IF('TRA TECH'!L214=1,'TRA TECH'!J214,"*"),"*")</f>
        <v>*</v>
      </c>
      <c r="I218" t="str">
        <f>IF(H218="*","*",_xlfn.XLOOKUP(H218,'TRA TECH'!J:J,'TRA TECH'!I:I))</f>
        <v>*</v>
      </c>
      <c r="J218" t="str">
        <f>IF(H218="*","*",_xlfn.XLOOKUP(H218,'TRA TECH'!J:J,'TRA TECH'!N:N))</f>
        <v>*</v>
      </c>
      <c r="K218" s="15" t="str">
        <f>IF(H218="*","*",IF(_xlfn.XLOOKUP(H218,'TRA TECH'!J:J,'TRA TECH'!O:O)="","",_xlfn.XLOOKUP(H218,'TRA TECH'!J:J,'TRA TECH'!O:O)))</f>
        <v>*</v>
      </c>
      <c r="L218" t="str">
        <f t="shared" si="16"/>
        <v>*</v>
      </c>
      <c r="M218" t="str">
        <f>IF(H218="*","*",IF(_xlfn.XLOOKUP($H218,'TRA TECH'!$J:$J,'TRA TECH'!Q:Q)="","",_xlfn.XLOOKUP($H218,'TRA TECH'!$J:$J,'TRA TECH'!Q:Q)))</f>
        <v>*</v>
      </c>
      <c r="N218" t="str">
        <f>IF(H218="*","*",IF(_xlfn.XLOOKUP($H218,'TRA TECH'!$J:$J,'TRA TECH'!R:R)="","",_xlfn.XLOOKUP($H218,'TRA TECH'!$J:$J,'TRA TECH'!R:R)))</f>
        <v>*</v>
      </c>
      <c r="O218" t="str">
        <f>IF(H218="*","*",IF(_xlfn.XLOOKUP($H218,'TRA TECH'!$J:$J,'TRA TECH'!S:S)="","",_xlfn.XLOOKUP($H218,'TRA TECH'!$J:$J,'TRA TECH'!S:S)))</f>
        <v>*</v>
      </c>
      <c r="P218" t="str">
        <f>IF(H218="*","*",IF(_xlfn.XLOOKUP($H218,'TRA TECH'!$J:$J,'TRA TECH'!T:T)="","",_xlfn.XLOOKUP($H218,'TRA TECH'!$J:$J,'TRA TECH'!T:T)))</f>
        <v>*</v>
      </c>
      <c r="Q218" t="str">
        <f>IF(H218="*","*",IF(_xlfn.XLOOKUP($H218,'TRA TECH'!$J:$J,'TRA TECH'!U:U)="","",_xlfn.XLOOKUP($H218,'TRA TECH'!$J:$J,'TRA TECH'!U:U)))</f>
        <v>*</v>
      </c>
      <c r="R218" t="str">
        <f>IF(H218="*","*",IF(_xlfn.XLOOKUP($H218,'TRA TECH'!$J:$J,'TRA TECH'!V:V)="","",_xlfn.XLOOKUP($H218,'TRA TECH'!$J:$J,'TRA TECH'!V:V)))</f>
        <v>*</v>
      </c>
      <c r="S218" t="str">
        <f>IF(H218="*","*",IF(_xlfn.XLOOKUP($H218,'TRA TECH'!$J:$J,'TRA TECH'!W:W)="","",_xlfn.XLOOKUP($H218,'TRA TECH'!$J:$J,'TRA TECH'!W:W)))</f>
        <v>*</v>
      </c>
      <c r="T218" t="str">
        <f t="shared" si="17"/>
        <v>*</v>
      </c>
      <c r="U218" t="str">
        <f>IF(H218="*","*",IF(_xlfn.XLOOKUP($H218,'TRA TECH'!$J:$J,'TRA TECH'!X:X)="","",_xlfn.XLOOKUP($H218,'TRA TECH'!$J:$J,'TRA TECH'!X:X)))</f>
        <v>*</v>
      </c>
      <c r="V218" t="str">
        <f>IF(H218="*","*",IF(_xlfn.XLOOKUP($H218,'TRA TECH'!$J:$J,'TRA TECH'!Y:Y)="","",_xlfn.XLOOKUP($H218,'TRA TECH'!$J:$J,'TRA TECH'!Y:Y)))</f>
        <v>*</v>
      </c>
      <c r="W218" t="str">
        <f>IF(H218="*","*",IF(_xlfn.XLOOKUP($H218,'TRA TECH'!$J:$J,'TRA TECH'!Z:Z)="","",_xlfn.XLOOKUP($H218,'TRA TECH'!$J:$J,'TRA TECH'!Z:Z)))</f>
        <v>*</v>
      </c>
      <c r="X218" t="str">
        <f>IF(H218="*","*",IF(_xlfn.XLOOKUP($H218,'TRA TECH'!$J:$J,'TRA TECH'!AA:AA)="","",_xlfn.XLOOKUP($H218,'TRA TECH'!$J:$J,'TRA TECH'!AA:AA)))</f>
        <v>*</v>
      </c>
      <c r="Y218" t="str">
        <f>IF(H218="*","*",IF(_xlfn.XLOOKUP($H218,'TRA TECH'!$J:$J,'TRA TECH'!AB:AB)="","",_xlfn.XLOOKUP($H218,'TRA TECH'!$J:$J,'TRA TECH'!AB:AB)))</f>
        <v>*</v>
      </c>
      <c r="Z218" t="str">
        <f>IF(H218="*","*",IF(_xlfn.XLOOKUP($H218,'TRA TECH'!$J:$J,'TRA TECH'!AC:AC)="","",_xlfn.XLOOKUP($H218,'TRA TECH'!$J:$J,'TRA TECH'!AC:AC)))</f>
        <v>*</v>
      </c>
      <c r="AA218" t="str">
        <f>IF(H218="*","*",IF(_xlfn.XLOOKUP($H218,'TRA TECH'!$J:$J,'TRA TECH'!AD:AD)="","",_xlfn.XLOOKUP($H218,'TRA TECH'!$J:$J,'TRA TECH'!AD:AD)))</f>
        <v>*</v>
      </c>
      <c r="AB218" t="str">
        <f t="shared" si="18"/>
        <v>*</v>
      </c>
      <c r="AC218" s="15" t="str">
        <f>IF(H218="*","*",IF(_xlfn.XLOOKUP($H218,'TRA TECH'!$J:$J,'TRA TECH'!AE:AE)="","",_xlfn.XLOOKUP($H218,'TRA TECH'!$J:$J,'TRA TECH'!AE:AE)))</f>
        <v>*</v>
      </c>
      <c r="AD218" s="15" t="str">
        <f>IF(H218="*","*",IF(_xlfn.XLOOKUP($H218,'TRA TECH'!$J:$J,'TRA TECH'!AF:AF)="","",_xlfn.XLOOKUP($H218,'TRA TECH'!$J:$J,'TRA TECH'!AF:AF)))</f>
        <v>*</v>
      </c>
      <c r="AE218" s="15" t="str">
        <f>IF(H218="*","*",IF(_xlfn.XLOOKUP($H218,'TRA TECH'!$J:$J,'TRA TECH'!AG:AG)="","",_xlfn.XLOOKUP($H218,'TRA TECH'!$J:$J,'TRA TECH'!AG:AG)))</f>
        <v>*</v>
      </c>
      <c r="AF218" s="15" t="str">
        <f>IF(H218="*","*",IF(_xlfn.XLOOKUP($H218,'TRA TECH'!$J:$J,'TRA TECH'!AH:AH)="","",_xlfn.XLOOKUP($H218,'TRA TECH'!$J:$J,'TRA TECH'!AH:AH)))</f>
        <v>*</v>
      </c>
      <c r="AG218" s="15" t="str">
        <f>IF(H218="*","*",IF(_xlfn.XLOOKUP($H218,'TRA TECH'!$J:$J,'TRA TECH'!AI:AI)="","",_xlfn.XLOOKUP($H218,'TRA TECH'!$J:$J,'TRA TECH'!AI:AI)))</f>
        <v>*</v>
      </c>
      <c r="AH218" s="15" t="str">
        <f>IF(H218="*","*",IF(_xlfn.XLOOKUP($H218,'TRA TECH'!$J:$J,'TRA TECH'!AJ:AJ)="","",_xlfn.XLOOKUP($H218,'TRA TECH'!$J:$J,'TRA TECH'!AJ:AJ)))</f>
        <v>*</v>
      </c>
      <c r="AI218" s="15" t="str">
        <f>IF(H218="*","*",IF(_xlfn.XLOOKUP($H218,'TRA TECH'!$J:$J,'TRA TECH'!AK:AK)="","",_xlfn.XLOOKUP($H218,'TRA TECH'!$J:$J,'TRA TECH'!AK:AK)))</f>
        <v>*</v>
      </c>
      <c r="AJ218" s="15" t="str">
        <f t="shared" si="19"/>
        <v>*</v>
      </c>
      <c r="AK218" s="16" t="str">
        <f t="shared" si="20"/>
        <v>*</v>
      </c>
    </row>
    <row r="219" spans="2:37" x14ac:dyDescent="0.25">
      <c r="B219" t="str">
        <f>IF('TRA TECH'!M215=0,"*",IF('TRA TECH'!H215="","*",'TRA TECH'!J215))</f>
        <v>TRAPASTBUICEIDSL20</v>
      </c>
      <c r="C219" t="str">
        <f>IF('TRA TECH'!M215=0,"*",'TRA TECH'!H215)</f>
        <v>TRADSL</v>
      </c>
      <c r="D219" t="s">
        <v>424</v>
      </c>
      <c r="E219" s="9">
        <f>'TRA TECH'!P215</f>
        <v>1</v>
      </c>
      <c r="H219" t="str">
        <f>IF('TRA TECH'!M215=1,IF('TRA TECH'!L215=1,'TRA TECH'!J215,"*"),"*")</f>
        <v>TRAPASTBUICEIDSL20</v>
      </c>
      <c r="I219" t="str">
        <f>IF(H219="*","*",_xlfn.XLOOKUP(H219,'TRA TECH'!J:J,'TRA TECH'!I:I))</f>
        <v>TRAPASTBUDMD</v>
      </c>
      <c r="J219">
        <f>IF(H219="*","*",_xlfn.XLOOKUP(H219,'TRA TECH'!J:J,'TRA TECH'!N:N))</f>
        <v>2020</v>
      </c>
      <c r="K219" s="15">
        <f>IF(H219="*","*",IF(_xlfn.XLOOKUP(H219,'TRA TECH'!J:J,'TRA TECH'!O:O)="","",_xlfn.XLOOKUP(H219,'TRA TECH'!J:J,'TRA TECH'!O:O)))</f>
        <v>4.6576618537494188</v>
      </c>
      <c r="L219">
        <f t="shared" si="16"/>
        <v>1</v>
      </c>
      <c r="M219">
        <f>IF(H219="*","*",IF(_xlfn.XLOOKUP($H219,'TRA TECH'!$J:$J,'TRA TECH'!Q:Q)="","",_xlfn.XLOOKUP($H219,'TRA TECH'!$J:$J,'TRA TECH'!Q:Q)))</f>
        <v>0.14459157270029679</v>
      </c>
      <c r="N219">
        <f>IF(H219="*","*",IF(_xlfn.XLOOKUP($H219,'TRA TECH'!$J:$J,'TRA TECH'!R:R)="","",_xlfn.XLOOKUP($H219,'TRA TECH'!$J:$J,'TRA TECH'!R:R)))</f>
        <v>0.14459157270029679</v>
      </c>
      <c r="O219">
        <f>IF(H219="*","*",IF(_xlfn.XLOOKUP($H219,'TRA TECH'!$J:$J,'TRA TECH'!S:S)="","",_xlfn.XLOOKUP($H219,'TRA TECH'!$J:$J,'TRA TECH'!S:S)))</f>
        <v>0.1578568545994066</v>
      </c>
      <c r="P219">
        <f>IF(H219="*","*",IF(_xlfn.XLOOKUP($H219,'TRA TECH'!$J:$J,'TRA TECH'!T:T)="","",_xlfn.XLOOKUP($H219,'TRA TECH'!$J:$J,'TRA TECH'!T:T)))</f>
        <v>0.17244866468842729</v>
      </c>
      <c r="Q219">
        <f>IF(H219="*","*",IF(_xlfn.XLOOKUP($H219,'TRA TECH'!$J:$J,'TRA TECH'!U:U)="","",_xlfn.XLOOKUP($H219,'TRA TECH'!$J:$J,'TRA TECH'!U:U)))</f>
        <v>0.1804078338278931</v>
      </c>
      <c r="R219">
        <f>IF(H219="*","*",IF(_xlfn.XLOOKUP($H219,'TRA TECH'!$J:$J,'TRA TECH'!V:V)="","",_xlfn.XLOOKUP($H219,'TRA TECH'!$J:$J,'TRA TECH'!V:V)))</f>
        <v>0.18836700296735909</v>
      </c>
      <c r="S219">
        <f>IF(H219="*","*",IF(_xlfn.XLOOKUP($H219,'TRA TECH'!$J:$J,'TRA TECH'!W:W)="","",_xlfn.XLOOKUP($H219,'TRA TECH'!$J:$J,'TRA TECH'!W:W)))</f>
        <v>0.19765270029673601</v>
      </c>
      <c r="T219">
        <f t="shared" si="17"/>
        <v>0.19765270029673601</v>
      </c>
      <c r="U219">
        <f>IF(H219="*","*",IF(_xlfn.XLOOKUP($H219,'TRA TECH'!$J:$J,'TRA TECH'!X:X)="","",_xlfn.XLOOKUP($H219,'TRA TECH'!$J:$J,'TRA TECH'!X:X)))</f>
        <v>461.62916616468777</v>
      </c>
      <c r="V219">
        <f>IF(H219="*","*",IF(_xlfn.XLOOKUP($H219,'TRA TECH'!$J:$J,'TRA TECH'!Y:Y)="","",_xlfn.XLOOKUP($H219,'TRA TECH'!$J:$J,'TRA TECH'!Y:Y)))</f>
        <v>461.62916616468777</v>
      </c>
      <c r="W219">
        <f>IF(H219="*","*",IF(_xlfn.XLOOKUP($H219,'TRA TECH'!$J:$J,'TRA TECH'!Z:Z)="","",_xlfn.XLOOKUP($H219,'TRA TECH'!$J:$J,'TRA TECH'!Z:Z)))</f>
        <v>465.18563123529401</v>
      </c>
      <c r="X219">
        <f>IF(H219="*","*",IF(_xlfn.XLOOKUP($H219,'TRA TECH'!$J:$J,'TRA TECH'!AA:AA)="","",_xlfn.XLOOKUP($H219,'TRA TECH'!$J:$J,'TRA TECH'!AA:AA)))</f>
        <v>463.7630452070515</v>
      </c>
      <c r="Y219">
        <f>IF(H219="*","*",IF(_xlfn.XLOOKUP($H219,'TRA TECH'!$J:$J,'TRA TECH'!AB:AB)="","",_xlfn.XLOOKUP($H219,'TRA TECH'!$J:$J,'TRA TECH'!AB:AB)))</f>
        <v>463.7630452070515</v>
      </c>
      <c r="Z219">
        <f>IF(H219="*","*",IF(_xlfn.XLOOKUP($H219,'TRA TECH'!$J:$J,'TRA TECH'!AC:AC)="","",_xlfn.XLOOKUP($H219,'TRA TECH'!$J:$J,'TRA TECH'!AC:AC)))</f>
        <v>464.47433822117279</v>
      </c>
      <c r="AA219">
        <f>IF(H219="*","*",IF(_xlfn.XLOOKUP($H219,'TRA TECH'!$J:$J,'TRA TECH'!AD:AD)="","",_xlfn.XLOOKUP($H219,'TRA TECH'!$J:$J,'TRA TECH'!AD:AD)))</f>
        <v>465.18563123529401</v>
      </c>
      <c r="AB219">
        <f t="shared" si="18"/>
        <v>465.18563123529401</v>
      </c>
      <c r="AC219" s="15">
        <f>IF(H219="*","*",IF(_xlfn.XLOOKUP($H219,'TRA TECH'!$J:$J,'TRA TECH'!AE:AE)="","",_xlfn.XLOOKUP($H219,'TRA TECH'!$J:$J,'TRA TECH'!AE:AE)))</f>
        <v>18.02032399555608</v>
      </c>
      <c r="AD219" s="15">
        <f>IF(H219="*","*",IF(_xlfn.XLOOKUP($H219,'TRA TECH'!$J:$J,'TRA TECH'!AF:AF)="","",_xlfn.XLOOKUP($H219,'TRA TECH'!$J:$J,'TRA TECH'!AF:AF)))</f>
        <v>18.02032399555608</v>
      </c>
      <c r="AE219" s="15">
        <f>IF(H219="*","*",IF(_xlfn.XLOOKUP($H219,'TRA TECH'!$J:$J,'TRA TECH'!AG:AG)="","",_xlfn.XLOOKUP($H219,'TRA TECH'!$J:$J,'TRA TECH'!AG:AG)))</f>
        <v>18.02032399555608</v>
      </c>
      <c r="AF219" s="15">
        <f>IF(H219="*","*",IF(_xlfn.XLOOKUP($H219,'TRA TECH'!$J:$J,'TRA TECH'!AH:AH)="","",_xlfn.XLOOKUP($H219,'TRA TECH'!$J:$J,'TRA TECH'!AH:AH)))</f>
        <v>18.02032399555608</v>
      </c>
      <c r="AG219" s="15">
        <f>IF(H219="*","*",IF(_xlfn.XLOOKUP($H219,'TRA TECH'!$J:$J,'TRA TECH'!AI:AI)="","",_xlfn.XLOOKUP($H219,'TRA TECH'!$J:$J,'TRA TECH'!AI:AI)))</f>
        <v>18.02032399555608</v>
      </c>
      <c r="AH219" s="15">
        <f>IF(H219="*","*",IF(_xlfn.XLOOKUP($H219,'TRA TECH'!$J:$J,'TRA TECH'!AJ:AJ)="","",_xlfn.XLOOKUP($H219,'TRA TECH'!$J:$J,'TRA TECH'!AJ:AJ)))</f>
        <v>18.02032399555608</v>
      </c>
      <c r="AI219" s="15">
        <f>IF(H219="*","*",IF(_xlfn.XLOOKUP($H219,'TRA TECH'!$J:$J,'TRA TECH'!AK:AK)="","",_xlfn.XLOOKUP($H219,'TRA TECH'!$J:$J,'TRA TECH'!AK:AK)))</f>
        <v>18.02032399555608</v>
      </c>
      <c r="AJ219" s="15">
        <f t="shared" si="19"/>
        <v>18.02032399555608</v>
      </c>
      <c r="AK219" s="16">
        <f t="shared" si="20"/>
        <v>0.1</v>
      </c>
    </row>
    <row r="220" spans="2:37" x14ac:dyDescent="0.25">
      <c r="B220" t="str">
        <f>IF('TRA TECH'!M216=0,"*",IF('TRA TECH'!H216="","*",'TRA TECH'!J216))</f>
        <v>TRAPASTBUICEIDSL20</v>
      </c>
      <c r="C220" t="str">
        <f>IF('TRA TECH'!M216=0,"*",'TRA TECH'!H216)</f>
        <v>TRARDS</v>
      </c>
      <c r="D220" t="s">
        <v>424</v>
      </c>
      <c r="E220" s="9">
        <f>'TRA TECH'!P216</f>
        <v>1</v>
      </c>
      <c r="H220" t="str">
        <f>IF('TRA TECH'!M216=1,IF('TRA TECH'!L216=1,'TRA TECH'!J216,"*"),"*")</f>
        <v>*</v>
      </c>
      <c r="I220" t="str">
        <f>IF(H220="*","*",_xlfn.XLOOKUP(H220,'TRA TECH'!J:J,'TRA TECH'!I:I))</f>
        <v>*</v>
      </c>
      <c r="J220" t="str">
        <f>IF(H220="*","*",_xlfn.XLOOKUP(H220,'TRA TECH'!J:J,'TRA TECH'!N:N))</f>
        <v>*</v>
      </c>
      <c r="K220" s="15" t="str">
        <f>IF(H220="*","*",IF(_xlfn.XLOOKUP(H220,'TRA TECH'!J:J,'TRA TECH'!O:O)="","",_xlfn.XLOOKUP(H220,'TRA TECH'!J:J,'TRA TECH'!O:O)))</f>
        <v>*</v>
      </c>
      <c r="L220" t="str">
        <f t="shared" si="16"/>
        <v>*</v>
      </c>
      <c r="M220" t="str">
        <f>IF(H220="*","*",IF(_xlfn.XLOOKUP($H220,'TRA TECH'!$J:$J,'TRA TECH'!Q:Q)="","",_xlfn.XLOOKUP($H220,'TRA TECH'!$J:$J,'TRA TECH'!Q:Q)))</f>
        <v>*</v>
      </c>
      <c r="N220" t="str">
        <f>IF(H220="*","*",IF(_xlfn.XLOOKUP($H220,'TRA TECH'!$J:$J,'TRA TECH'!R:R)="","",_xlfn.XLOOKUP($H220,'TRA TECH'!$J:$J,'TRA TECH'!R:R)))</f>
        <v>*</v>
      </c>
      <c r="O220" t="str">
        <f>IF(H220="*","*",IF(_xlfn.XLOOKUP($H220,'TRA TECH'!$J:$J,'TRA TECH'!S:S)="","",_xlfn.XLOOKUP($H220,'TRA TECH'!$J:$J,'TRA TECH'!S:S)))</f>
        <v>*</v>
      </c>
      <c r="P220" t="str">
        <f>IF(H220="*","*",IF(_xlfn.XLOOKUP($H220,'TRA TECH'!$J:$J,'TRA TECH'!T:T)="","",_xlfn.XLOOKUP($H220,'TRA TECH'!$J:$J,'TRA TECH'!T:T)))</f>
        <v>*</v>
      </c>
      <c r="Q220" t="str">
        <f>IF(H220="*","*",IF(_xlfn.XLOOKUP($H220,'TRA TECH'!$J:$J,'TRA TECH'!U:U)="","",_xlfn.XLOOKUP($H220,'TRA TECH'!$J:$J,'TRA TECH'!U:U)))</f>
        <v>*</v>
      </c>
      <c r="R220" t="str">
        <f>IF(H220="*","*",IF(_xlfn.XLOOKUP($H220,'TRA TECH'!$J:$J,'TRA TECH'!V:V)="","",_xlfn.XLOOKUP($H220,'TRA TECH'!$J:$J,'TRA TECH'!V:V)))</f>
        <v>*</v>
      </c>
      <c r="S220" t="str">
        <f>IF(H220="*","*",IF(_xlfn.XLOOKUP($H220,'TRA TECH'!$J:$J,'TRA TECH'!W:W)="","",_xlfn.XLOOKUP($H220,'TRA TECH'!$J:$J,'TRA TECH'!W:W)))</f>
        <v>*</v>
      </c>
      <c r="T220" t="str">
        <f t="shared" si="17"/>
        <v>*</v>
      </c>
      <c r="U220" t="str">
        <f>IF(H220="*","*",IF(_xlfn.XLOOKUP($H220,'TRA TECH'!$J:$J,'TRA TECH'!X:X)="","",_xlfn.XLOOKUP($H220,'TRA TECH'!$J:$J,'TRA TECH'!X:X)))</f>
        <v>*</v>
      </c>
      <c r="V220" t="str">
        <f>IF(H220="*","*",IF(_xlfn.XLOOKUP($H220,'TRA TECH'!$J:$J,'TRA TECH'!Y:Y)="","",_xlfn.XLOOKUP($H220,'TRA TECH'!$J:$J,'TRA TECH'!Y:Y)))</f>
        <v>*</v>
      </c>
      <c r="W220" t="str">
        <f>IF(H220="*","*",IF(_xlfn.XLOOKUP($H220,'TRA TECH'!$J:$J,'TRA TECH'!Z:Z)="","",_xlfn.XLOOKUP($H220,'TRA TECH'!$J:$J,'TRA TECH'!Z:Z)))</f>
        <v>*</v>
      </c>
      <c r="X220" t="str">
        <f>IF(H220="*","*",IF(_xlfn.XLOOKUP($H220,'TRA TECH'!$J:$J,'TRA TECH'!AA:AA)="","",_xlfn.XLOOKUP($H220,'TRA TECH'!$J:$J,'TRA TECH'!AA:AA)))</f>
        <v>*</v>
      </c>
      <c r="Y220" t="str">
        <f>IF(H220="*","*",IF(_xlfn.XLOOKUP($H220,'TRA TECH'!$J:$J,'TRA TECH'!AB:AB)="","",_xlfn.XLOOKUP($H220,'TRA TECH'!$J:$J,'TRA TECH'!AB:AB)))</f>
        <v>*</v>
      </c>
      <c r="Z220" t="str">
        <f>IF(H220="*","*",IF(_xlfn.XLOOKUP($H220,'TRA TECH'!$J:$J,'TRA TECH'!AC:AC)="","",_xlfn.XLOOKUP($H220,'TRA TECH'!$J:$J,'TRA TECH'!AC:AC)))</f>
        <v>*</v>
      </c>
      <c r="AA220" t="str">
        <f>IF(H220="*","*",IF(_xlfn.XLOOKUP($H220,'TRA TECH'!$J:$J,'TRA TECH'!AD:AD)="","",_xlfn.XLOOKUP($H220,'TRA TECH'!$J:$J,'TRA TECH'!AD:AD)))</f>
        <v>*</v>
      </c>
      <c r="AB220" t="str">
        <f t="shared" si="18"/>
        <v>*</v>
      </c>
      <c r="AC220" s="15" t="str">
        <f>IF(H220="*","*",IF(_xlfn.XLOOKUP($H220,'TRA TECH'!$J:$J,'TRA TECH'!AE:AE)="","",_xlfn.XLOOKUP($H220,'TRA TECH'!$J:$J,'TRA TECH'!AE:AE)))</f>
        <v>*</v>
      </c>
      <c r="AD220" s="15" t="str">
        <f>IF(H220="*","*",IF(_xlfn.XLOOKUP($H220,'TRA TECH'!$J:$J,'TRA TECH'!AF:AF)="","",_xlfn.XLOOKUP($H220,'TRA TECH'!$J:$J,'TRA TECH'!AF:AF)))</f>
        <v>*</v>
      </c>
      <c r="AE220" s="15" t="str">
        <f>IF(H220="*","*",IF(_xlfn.XLOOKUP($H220,'TRA TECH'!$J:$J,'TRA TECH'!AG:AG)="","",_xlfn.XLOOKUP($H220,'TRA TECH'!$J:$J,'TRA TECH'!AG:AG)))</f>
        <v>*</v>
      </c>
      <c r="AF220" s="15" t="str">
        <f>IF(H220="*","*",IF(_xlfn.XLOOKUP($H220,'TRA TECH'!$J:$J,'TRA TECH'!AH:AH)="","",_xlfn.XLOOKUP($H220,'TRA TECH'!$J:$J,'TRA TECH'!AH:AH)))</f>
        <v>*</v>
      </c>
      <c r="AG220" s="15" t="str">
        <f>IF(H220="*","*",IF(_xlfn.XLOOKUP($H220,'TRA TECH'!$J:$J,'TRA TECH'!AI:AI)="","",_xlfn.XLOOKUP($H220,'TRA TECH'!$J:$J,'TRA TECH'!AI:AI)))</f>
        <v>*</v>
      </c>
      <c r="AH220" s="15" t="str">
        <f>IF(H220="*","*",IF(_xlfn.XLOOKUP($H220,'TRA TECH'!$J:$J,'TRA TECH'!AJ:AJ)="","",_xlfn.XLOOKUP($H220,'TRA TECH'!$J:$J,'TRA TECH'!AJ:AJ)))</f>
        <v>*</v>
      </c>
      <c r="AI220" s="15" t="str">
        <f>IF(H220="*","*",IF(_xlfn.XLOOKUP($H220,'TRA TECH'!$J:$J,'TRA TECH'!AK:AK)="","",_xlfn.XLOOKUP($H220,'TRA TECH'!$J:$J,'TRA TECH'!AK:AK)))</f>
        <v>*</v>
      </c>
      <c r="AJ220" s="15" t="str">
        <f t="shared" si="19"/>
        <v>*</v>
      </c>
      <c r="AK220" s="16" t="str">
        <f t="shared" si="20"/>
        <v>*</v>
      </c>
    </row>
    <row r="221" spans="2:37" x14ac:dyDescent="0.25">
      <c r="B221" t="str">
        <f>IF('TRA TECH'!M217=0,"*",IF('TRA TECH'!H217="","*",'TRA TECH'!J217))</f>
        <v>TRAPASTBUICEIDSL20</v>
      </c>
      <c r="C221" t="str">
        <f>IF('TRA TECH'!M217=0,"*",'TRA TECH'!H217)</f>
        <v>TRABDS</v>
      </c>
      <c r="D221" t="s">
        <v>424</v>
      </c>
      <c r="E221" s="9">
        <f>'TRA TECH'!P217</f>
        <v>0.1</v>
      </c>
      <c r="H221" t="str">
        <f>IF('TRA TECH'!M217=1,IF('TRA TECH'!L217=1,'TRA TECH'!J217,"*"),"*")</f>
        <v>*</v>
      </c>
      <c r="I221" t="str">
        <f>IF(H221="*","*",_xlfn.XLOOKUP(H221,'TRA TECH'!J:J,'TRA TECH'!I:I))</f>
        <v>*</v>
      </c>
      <c r="J221" t="str">
        <f>IF(H221="*","*",_xlfn.XLOOKUP(H221,'TRA TECH'!J:J,'TRA TECH'!N:N))</f>
        <v>*</v>
      </c>
      <c r="K221" s="15" t="str">
        <f>IF(H221="*","*",IF(_xlfn.XLOOKUP(H221,'TRA TECH'!J:J,'TRA TECH'!O:O)="","",_xlfn.XLOOKUP(H221,'TRA TECH'!J:J,'TRA TECH'!O:O)))</f>
        <v>*</v>
      </c>
      <c r="L221" t="str">
        <f t="shared" si="16"/>
        <v>*</v>
      </c>
      <c r="M221" t="str">
        <f>IF(H221="*","*",IF(_xlfn.XLOOKUP($H221,'TRA TECH'!$J:$J,'TRA TECH'!Q:Q)="","",_xlfn.XLOOKUP($H221,'TRA TECH'!$J:$J,'TRA TECH'!Q:Q)))</f>
        <v>*</v>
      </c>
      <c r="N221" t="str">
        <f>IF(H221="*","*",IF(_xlfn.XLOOKUP($H221,'TRA TECH'!$J:$J,'TRA TECH'!R:R)="","",_xlfn.XLOOKUP($H221,'TRA TECH'!$J:$J,'TRA TECH'!R:R)))</f>
        <v>*</v>
      </c>
      <c r="O221" t="str">
        <f>IF(H221="*","*",IF(_xlfn.XLOOKUP($H221,'TRA TECH'!$J:$J,'TRA TECH'!S:S)="","",_xlfn.XLOOKUP($H221,'TRA TECH'!$J:$J,'TRA TECH'!S:S)))</f>
        <v>*</v>
      </c>
      <c r="P221" t="str">
        <f>IF(H221="*","*",IF(_xlfn.XLOOKUP($H221,'TRA TECH'!$J:$J,'TRA TECH'!T:T)="","",_xlfn.XLOOKUP($H221,'TRA TECH'!$J:$J,'TRA TECH'!T:T)))</f>
        <v>*</v>
      </c>
      <c r="Q221" t="str">
        <f>IF(H221="*","*",IF(_xlfn.XLOOKUP($H221,'TRA TECH'!$J:$J,'TRA TECH'!U:U)="","",_xlfn.XLOOKUP($H221,'TRA TECH'!$J:$J,'TRA TECH'!U:U)))</f>
        <v>*</v>
      </c>
      <c r="R221" t="str">
        <f>IF(H221="*","*",IF(_xlfn.XLOOKUP($H221,'TRA TECH'!$J:$J,'TRA TECH'!V:V)="","",_xlfn.XLOOKUP($H221,'TRA TECH'!$J:$J,'TRA TECH'!V:V)))</f>
        <v>*</v>
      </c>
      <c r="S221" t="str">
        <f>IF(H221="*","*",IF(_xlfn.XLOOKUP($H221,'TRA TECH'!$J:$J,'TRA TECH'!W:W)="","",_xlfn.XLOOKUP($H221,'TRA TECH'!$J:$J,'TRA TECH'!W:W)))</f>
        <v>*</v>
      </c>
      <c r="T221" t="str">
        <f t="shared" si="17"/>
        <v>*</v>
      </c>
      <c r="U221" t="str">
        <f>IF(H221="*","*",IF(_xlfn.XLOOKUP($H221,'TRA TECH'!$J:$J,'TRA TECH'!X:X)="","",_xlfn.XLOOKUP($H221,'TRA TECH'!$J:$J,'TRA TECH'!X:X)))</f>
        <v>*</v>
      </c>
      <c r="V221" t="str">
        <f>IF(H221="*","*",IF(_xlfn.XLOOKUP($H221,'TRA TECH'!$J:$J,'TRA TECH'!Y:Y)="","",_xlfn.XLOOKUP($H221,'TRA TECH'!$J:$J,'TRA TECH'!Y:Y)))</f>
        <v>*</v>
      </c>
      <c r="W221" t="str">
        <f>IF(H221="*","*",IF(_xlfn.XLOOKUP($H221,'TRA TECH'!$J:$J,'TRA TECH'!Z:Z)="","",_xlfn.XLOOKUP($H221,'TRA TECH'!$J:$J,'TRA TECH'!Z:Z)))</f>
        <v>*</v>
      </c>
      <c r="X221" t="str">
        <f>IF(H221="*","*",IF(_xlfn.XLOOKUP($H221,'TRA TECH'!$J:$J,'TRA TECH'!AA:AA)="","",_xlfn.XLOOKUP($H221,'TRA TECH'!$J:$J,'TRA TECH'!AA:AA)))</f>
        <v>*</v>
      </c>
      <c r="Y221" t="str">
        <f>IF(H221="*","*",IF(_xlfn.XLOOKUP($H221,'TRA TECH'!$J:$J,'TRA TECH'!AB:AB)="","",_xlfn.XLOOKUP($H221,'TRA TECH'!$J:$J,'TRA TECH'!AB:AB)))</f>
        <v>*</v>
      </c>
      <c r="Z221" t="str">
        <f>IF(H221="*","*",IF(_xlfn.XLOOKUP($H221,'TRA TECH'!$J:$J,'TRA TECH'!AC:AC)="","",_xlfn.XLOOKUP($H221,'TRA TECH'!$J:$J,'TRA TECH'!AC:AC)))</f>
        <v>*</v>
      </c>
      <c r="AA221" t="str">
        <f>IF(H221="*","*",IF(_xlfn.XLOOKUP($H221,'TRA TECH'!$J:$J,'TRA TECH'!AD:AD)="","",_xlfn.XLOOKUP($H221,'TRA TECH'!$J:$J,'TRA TECH'!AD:AD)))</f>
        <v>*</v>
      </c>
      <c r="AB221" t="str">
        <f t="shared" si="18"/>
        <v>*</v>
      </c>
      <c r="AC221" s="15" t="str">
        <f>IF(H221="*","*",IF(_xlfn.XLOOKUP($H221,'TRA TECH'!$J:$J,'TRA TECH'!AE:AE)="","",_xlfn.XLOOKUP($H221,'TRA TECH'!$J:$J,'TRA TECH'!AE:AE)))</f>
        <v>*</v>
      </c>
      <c r="AD221" s="15" t="str">
        <f>IF(H221="*","*",IF(_xlfn.XLOOKUP($H221,'TRA TECH'!$J:$J,'TRA TECH'!AF:AF)="","",_xlfn.XLOOKUP($H221,'TRA TECH'!$J:$J,'TRA TECH'!AF:AF)))</f>
        <v>*</v>
      </c>
      <c r="AE221" s="15" t="str">
        <f>IF(H221="*","*",IF(_xlfn.XLOOKUP($H221,'TRA TECH'!$J:$J,'TRA TECH'!AG:AG)="","",_xlfn.XLOOKUP($H221,'TRA TECH'!$J:$J,'TRA TECH'!AG:AG)))</f>
        <v>*</v>
      </c>
      <c r="AF221" s="15" t="str">
        <f>IF(H221="*","*",IF(_xlfn.XLOOKUP($H221,'TRA TECH'!$J:$J,'TRA TECH'!AH:AH)="","",_xlfn.XLOOKUP($H221,'TRA TECH'!$J:$J,'TRA TECH'!AH:AH)))</f>
        <v>*</v>
      </c>
      <c r="AG221" s="15" t="str">
        <f>IF(H221="*","*",IF(_xlfn.XLOOKUP($H221,'TRA TECH'!$J:$J,'TRA TECH'!AI:AI)="","",_xlfn.XLOOKUP($H221,'TRA TECH'!$J:$J,'TRA TECH'!AI:AI)))</f>
        <v>*</v>
      </c>
      <c r="AH221" s="15" t="str">
        <f>IF(H221="*","*",IF(_xlfn.XLOOKUP($H221,'TRA TECH'!$J:$J,'TRA TECH'!AJ:AJ)="","",_xlfn.XLOOKUP($H221,'TRA TECH'!$J:$J,'TRA TECH'!AJ:AJ)))</f>
        <v>*</v>
      </c>
      <c r="AI221" s="15" t="str">
        <f>IF(H221="*","*",IF(_xlfn.XLOOKUP($H221,'TRA TECH'!$J:$J,'TRA TECH'!AK:AK)="","",_xlfn.XLOOKUP($H221,'TRA TECH'!$J:$J,'TRA TECH'!AK:AK)))</f>
        <v>*</v>
      </c>
      <c r="AJ221" s="15" t="str">
        <f t="shared" si="19"/>
        <v>*</v>
      </c>
      <c r="AK221" s="16" t="str">
        <f t="shared" si="20"/>
        <v>*</v>
      </c>
    </row>
    <row r="222" spans="2:37" x14ac:dyDescent="0.25">
      <c r="B222" t="str">
        <f>IF('TRA TECH'!M218=0,"*",IF('TRA TECH'!H218="","*",'TRA TECH'!J218))</f>
        <v>TRAPASTBUHEVPDSL20</v>
      </c>
      <c r="C222" t="str">
        <f>IF('TRA TECH'!M218=0,"*",'TRA TECH'!H218)</f>
        <v>TRADSL</v>
      </c>
      <c r="D222" t="s">
        <v>424</v>
      </c>
      <c r="E222" s="9">
        <f>'TRA TECH'!P218</f>
        <v>1</v>
      </c>
      <c r="H222" t="str">
        <f>IF('TRA TECH'!M218=1,IF('TRA TECH'!L218=1,'TRA TECH'!J218,"*"),"*")</f>
        <v>TRAPASTBUHEVPDSL20</v>
      </c>
      <c r="I222" t="str">
        <f>IF(H222="*","*",_xlfn.XLOOKUP(H222,'TRA TECH'!J:J,'TRA TECH'!I:I))</f>
        <v>TRAPASTBUDMD</v>
      </c>
      <c r="J222">
        <f>IF(H222="*","*",_xlfn.XLOOKUP(H222,'TRA TECH'!J:J,'TRA TECH'!N:N))</f>
        <v>2020</v>
      </c>
      <c r="K222" s="15">
        <f>IF(H222="*","*",IF(_xlfn.XLOOKUP(H222,'TRA TECH'!J:J,'TRA TECH'!O:O)="","",_xlfn.XLOOKUP(H222,'TRA TECH'!J:J,'TRA TECH'!O:O)))</f>
        <v>4.6576618537494188</v>
      </c>
      <c r="L222">
        <f t="shared" si="16"/>
        <v>1</v>
      </c>
      <c r="M222">
        <f>IF(H222="*","*",IF(_xlfn.XLOOKUP($H222,'TRA TECH'!$J:$J,'TRA TECH'!Q:Q)="","",_xlfn.XLOOKUP($H222,'TRA TECH'!$J:$J,'TRA TECH'!Q:Q)))</f>
        <v>0.14591810089020771</v>
      </c>
      <c r="N222">
        <f>IF(H222="*","*",IF(_xlfn.XLOOKUP($H222,'TRA TECH'!$J:$J,'TRA TECH'!R:R)="","",_xlfn.XLOOKUP($H222,'TRA TECH'!$J:$J,'TRA TECH'!R:R)))</f>
        <v>0.14591810089020771</v>
      </c>
      <c r="O222">
        <f>IF(H222="*","*",IF(_xlfn.XLOOKUP($H222,'TRA TECH'!$J:$J,'TRA TECH'!S:S)="","",_xlfn.XLOOKUP($H222,'TRA TECH'!$J:$J,'TRA TECH'!S:S)))</f>
        <v>0.16183643916913951</v>
      </c>
      <c r="P222">
        <f>IF(H222="*","*",IF(_xlfn.XLOOKUP($H222,'TRA TECH'!$J:$J,'TRA TECH'!T:T)="","",_xlfn.XLOOKUP($H222,'TRA TECH'!$J:$J,'TRA TECH'!T:T)))</f>
        <v>0.1764282492581602</v>
      </c>
      <c r="Q222">
        <f>IF(H222="*","*",IF(_xlfn.XLOOKUP($H222,'TRA TECH'!$J:$J,'TRA TECH'!U:U)="","",_xlfn.XLOOKUP($H222,'TRA TECH'!$J:$J,'TRA TECH'!U:U)))</f>
        <v>0.18704047477744801</v>
      </c>
      <c r="R222">
        <f>IF(H222="*","*",IF(_xlfn.XLOOKUP($H222,'TRA TECH'!$J:$J,'TRA TECH'!V:V)="","",_xlfn.XLOOKUP($H222,'TRA TECH'!$J:$J,'TRA TECH'!V:V)))</f>
        <v>0.1963261721068249</v>
      </c>
      <c r="S222">
        <f>IF(H222="*","*",IF(_xlfn.XLOOKUP($H222,'TRA TECH'!$J:$J,'TRA TECH'!W:W)="","",_xlfn.XLOOKUP($H222,'TRA TECH'!$J:$J,'TRA TECH'!W:W)))</f>
        <v>0.2056118694362018</v>
      </c>
      <c r="T222">
        <f t="shared" si="17"/>
        <v>0.2056118694362018</v>
      </c>
      <c r="U222">
        <f>IF(H222="*","*",IF(_xlfn.XLOOKUP($H222,'TRA TECH'!$J:$J,'TRA TECH'!X:X)="","",_xlfn.XLOOKUP($H222,'TRA TECH'!$J:$J,'TRA TECH'!X:X)))</f>
        <v>465.89692424941529</v>
      </c>
      <c r="V222">
        <f>IF(H222="*","*",IF(_xlfn.XLOOKUP($H222,'TRA TECH'!$J:$J,'TRA TECH'!Y:Y)="","",_xlfn.XLOOKUP($H222,'TRA TECH'!$J:$J,'TRA TECH'!Y:Y)))</f>
        <v>465.89692424941529</v>
      </c>
      <c r="W222">
        <f>IF(H222="*","*",IF(_xlfn.XLOOKUP($H222,'TRA TECH'!$J:$J,'TRA TECH'!Z:Z)="","",_xlfn.XLOOKUP($H222,'TRA TECH'!$J:$J,'TRA TECH'!Z:Z)))</f>
        <v>464.47433822117279</v>
      </c>
      <c r="X222">
        <f>IF(H222="*","*",IF(_xlfn.XLOOKUP($H222,'TRA TECH'!$J:$J,'TRA TECH'!AA:AA)="","",_xlfn.XLOOKUP($H222,'TRA TECH'!$J:$J,'TRA TECH'!AA:AA)))</f>
        <v>460.91787315056649</v>
      </c>
      <c r="Y222">
        <f>IF(H222="*","*",IF(_xlfn.XLOOKUP($H222,'TRA TECH'!$J:$J,'TRA TECH'!AB:AB)="","",_xlfn.XLOOKUP($H222,'TRA TECH'!$J:$J,'TRA TECH'!AB:AB)))</f>
        <v>459.49528712232399</v>
      </c>
      <c r="Z222">
        <f>IF(H222="*","*",IF(_xlfn.XLOOKUP($H222,'TRA TECH'!$J:$J,'TRA TECH'!AC:AC)="","",_xlfn.XLOOKUP($H222,'TRA TECH'!$J:$J,'TRA TECH'!AC:AC)))</f>
        <v>458.78399410820282</v>
      </c>
      <c r="AA222">
        <f>IF(H222="*","*",IF(_xlfn.XLOOKUP($H222,'TRA TECH'!$J:$J,'TRA TECH'!AD:AD)="","",_xlfn.XLOOKUP($H222,'TRA TECH'!$J:$J,'TRA TECH'!AD:AD)))</f>
        <v>458.07270109408159</v>
      </c>
      <c r="AB222">
        <f t="shared" si="18"/>
        <v>458.07270109408159</v>
      </c>
      <c r="AC222" s="15">
        <f>IF(H222="*","*",IF(_xlfn.XLOOKUP($H222,'TRA TECH'!$J:$J,'TRA TECH'!AE:AE)="","",_xlfn.XLOOKUP($H222,'TRA TECH'!$J:$J,'TRA TECH'!AE:AE)))</f>
        <v>18.02032399555608</v>
      </c>
      <c r="AD222" s="15">
        <f>IF(H222="*","*",IF(_xlfn.XLOOKUP($H222,'TRA TECH'!$J:$J,'TRA TECH'!AF:AF)="","",_xlfn.XLOOKUP($H222,'TRA TECH'!$J:$J,'TRA TECH'!AF:AF)))</f>
        <v>18.02032399555608</v>
      </c>
      <c r="AE222" s="15">
        <f>IF(H222="*","*",IF(_xlfn.XLOOKUP($H222,'TRA TECH'!$J:$J,'TRA TECH'!AG:AG)="","",_xlfn.XLOOKUP($H222,'TRA TECH'!$J:$J,'TRA TECH'!AG:AG)))</f>
        <v>18.02032399555608</v>
      </c>
      <c r="AF222" s="15">
        <f>IF(H222="*","*",IF(_xlfn.XLOOKUP($H222,'TRA TECH'!$J:$J,'TRA TECH'!AH:AH)="","",_xlfn.XLOOKUP($H222,'TRA TECH'!$J:$J,'TRA TECH'!AH:AH)))</f>
        <v>18.02032399555608</v>
      </c>
      <c r="AG222" s="15">
        <f>IF(H222="*","*",IF(_xlfn.XLOOKUP($H222,'TRA TECH'!$J:$J,'TRA TECH'!AI:AI)="","",_xlfn.XLOOKUP($H222,'TRA TECH'!$J:$J,'TRA TECH'!AI:AI)))</f>
        <v>18.02032399555608</v>
      </c>
      <c r="AH222" s="15">
        <f>IF(H222="*","*",IF(_xlfn.XLOOKUP($H222,'TRA TECH'!$J:$J,'TRA TECH'!AJ:AJ)="","",_xlfn.XLOOKUP($H222,'TRA TECH'!$J:$J,'TRA TECH'!AJ:AJ)))</f>
        <v>18.02032399555608</v>
      </c>
      <c r="AI222" s="15">
        <f>IF(H222="*","*",IF(_xlfn.XLOOKUP($H222,'TRA TECH'!$J:$J,'TRA TECH'!AK:AK)="","",_xlfn.XLOOKUP($H222,'TRA TECH'!$J:$J,'TRA TECH'!AK:AK)))</f>
        <v>18.02032399555608</v>
      </c>
      <c r="AJ222" s="15">
        <f t="shared" si="19"/>
        <v>18.02032399555608</v>
      </c>
      <c r="AK222" s="16">
        <f t="shared" si="20"/>
        <v>0.25</v>
      </c>
    </row>
    <row r="223" spans="2:37" x14ac:dyDescent="0.25">
      <c r="B223" t="str">
        <f>IF('TRA TECH'!M219=0,"*",IF('TRA TECH'!H219="","*",'TRA TECH'!J219))</f>
        <v>TRAPASTBUHEVPDSL20</v>
      </c>
      <c r="C223" t="str">
        <f>IF('TRA TECH'!M219=0,"*",'TRA TECH'!H219)</f>
        <v>TRARDS</v>
      </c>
      <c r="D223" t="s">
        <v>424</v>
      </c>
      <c r="E223" s="9">
        <f>'TRA TECH'!P219</f>
        <v>1</v>
      </c>
      <c r="H223" t="str">
        <f>IF('TRA TECH'!M219=1,IF('TRA TECH'!L219=1,'TRA TECH'!J219,"*"),"*")</f>
        <v>*</v>
      </c>
      <c r="I223" t="str">
        <f>IF(H223="*","*",_xlfn.XLOOKUP(H223,'TRA TECH'!J:J,'TRA TECH'!I:I))</f>
        <v>*</v>
      </c>
      <c r="J223" t="str">
        <f>IF(H223="*","*",_xlfn.XLOOKUP(H223,'TRA TECH'!J:J,'TRA TECH'!N:N))</f>
        <v>*</v>
      </c>
      <c r="K223" s="15" t="str">
        <f>IF(H223="*","*",IF(_xlfn.XLOOKUP(H223,'TRA TECH'!J:J,'TRA TECH'!O:O)="","",_xlfn.XLOOKUP(H223,'TRA TECH'!J:J,'TRA TECH'!O:O)))</f>
        <v>*</v>
      </c>
      <c r="L223" t="str">
        <f t="shared" si="16"/>
        <v>*</v>
      </c>
      <c r="M223" t="str">
        <f>IF(H223="*","*",IF(_xlfn.XLOOKUP($H223,'TRA TECH'!$J:$J,'TRA TECH'!Q:Q)="","",_xlfn.XLOOKUP($H223,'TRA TECH'!$J:$J,'TRA TECH'!Q:Q)))</f>
        <v>*</v>
      </c>
      <c r="N223" t="str">
        <f>IF(H223="*","*",IF(_xlfn.XLOOKUP($H223,'TRA TECH'!$J:$J,'TRA TECH'!R:R)="","",_xlfn.XLOOKUP($H223,'TRA TECH'!$J:$J,'TRA TECH'!R:R)))</f>
        <v>*</v>
      </c>
      <c r="O223" t="str">
        <f>IF(H223="*","*",IF(_xlfn.XLOOKUP($H223,'TRA TECH'!$J:$J,'TRA TECH'!S:S)="","",_xlfn.XLOOKUP($H223,'TRA TECH'!$J:$J,'TRA TECH'!S:S)))</f>
        <v>*</v>
      </c>
      <c r="P223" t="str">
        <f>IF(H223="*","*",IF(_xlfn.XLOOKUP($H223,'TRA TECH'!$J:$J,'TRA TECH'!T:T)="","",_xlfn.XLOOKUP($H223,'TRA TECH'!$J:$J,'TRA TECH'!T:T)))</f>
        <v>*</v>
      </c>
      <c r="Q223" t="str">
        <f>IF(H223="*","*",IF(_xlfn.XLOOKUP($H223,'TRA TECH'!$J:$J,'TRA TECH'!U:U)="","",_xlfn.XLOOKUP($H223,'TRA TECH'!$J:$J,'TRA TECH'!U:U)))</f>
        <v>*</v>
      </c>
      <c r="R223" t="str">
        <f>IF(H223="*","*",IF(_xlfn.XLOOKUP($H223,'TRA TECH'!$J:$J,'TRA TECH'!V:V)="","",_xlfn.XLOOKUP($H223,'TRA TECH'!$J:$J,'TRA TECH'!V:V)))</f>
        <v>*</v>
      </c>
      <c r="S223" t="str">
        <f>IF(H223="*","*",IF(_xlfn.XLOOKUP($H223,'TRA TECH'!$J:$J,'TRA TECH'!W:W)="","",_xlfn.XLOOKUP($H223,'TRA TECH'!$J:$J,'TRA TECH'!W:W)))</f>
        <v>*</v>
      </c>
      <c r="T223" t="str">
        <f t="shared" si="17"/>
        <v>*</v>
      </c>
      <c r="U223" t="str">
        <f>IF(H223="*","*",IF(_xlfn.XLOOKUP($H223,'TRA TECH'!$J:$J,'TRA TECH'!X:X)="","",_xlfn.XLOOKUP($H223,'TRA TECH'!$J:$J,'TRA TECH'!X:X)))</f>
        <v>*</v>
      </c>
      <c r="V223" t="str">
        <f>IF(H223="*","*",IF(_xlfn.XLOOKUP($H223,'TRA TECH'!$J:$J,'TRA TECH'!Y:Y)="","",_xlfn.XLOOKUP($H223,'TRA TECH'!$J:$J,'TRA TECH'!Y:Y)))</f>
        <v>*</v>
      </c>
      <c r="W223" t="str">
        <f>IF(H223="*","*",IF(_xlfn.XLOOKUP($H223,'TRA TECH'!$J:$J,'TRA TECH'!Z:Z)="","",_xlfn.XLOOKUP($H223,'TRA TECH'!$J:$J,'TRA TECH'!Z:Z)))</f>
        <v>*</v>
      </c>
      <c r="X223" t="str">
        <f>IF(H223="*","*",IF(_xlfn.XLOOKUP($H223,'TRA TECH'!$J:$J,'TRA TECH'!AA:AA)="","",_xlfn.XLOOKUP($H223,'TRA TECH'!$J:$J,'TRA TECH'!AA:AA)))</f>
        <v>*</v>
      </c>
      <c r="Y223" t="str">
        <f>IF(H223="*","*",IF(_xlfn.XLOOKUP($H223,'TRA TECH'!$J:$J,'TRA TECH'!AB:AB)="","",_xlfn.XLOOKUP($H223,'TRA TECH'!$J:$J,'TRA TECH'!AB:AB)))</f>
        <v>*</v>
      </c>
      <c r="Z223" t="str">
        <f>IF(H223="*","*",IF(_xlfn.XLOOKUP($H223,'TRA TECH'!$J:$J,'TRA TECH'!AC:AC)="","",_xlfn.XLOOKUP($H223,'TRA TECH'!$J:$J,'TRA TECH'!AC:AC)))</f>
        <v>*</v>
      </c>
      <c r="AA223" t="str">
        <f>IF(H223="*","*",IF(_xlfn.XLOOKUP($H223,'TRA TECH'!$J:$J,'TRA TECH'!AD:AD)="","",_xlfn.XLOOKUP($H223,'TRA TECH'!$J:$J,'TRA TECH'!AD:AD)))</f>
        <v>*</v>
      </c>
      <c r="AB223" t="str">
        <f t="shared" si="18"/>
        <v>*</v>
      </c>
      <c r="AC223" s="15" t="str">
        <f>IF(H223="*","*",IF(_xlfn.XLOOKUP($H223,'TRA TECH'!$J:$J,'TRA TECH'!AE:AE)="","",_xlfn.XLOOKUP($H223,'TRA TECH'!$J:$J,'TRA TECH'!AE:AE)))</f>
        <v>*</v>
      </c>
      <c r="AD223" s="15" t="str">
        <f>IF(H223="*","*",IF(_xlfn.XLOOKUP($H223,'TRA TECH'!$J:$J,'TRA TECH'!AF:AF)="","",_xlfn.XLOOKUP($H223,'TRA TECH'!$J:$J,'TRA TECH'!AF:AF)))</f>
        <v>*</v>
      </c>
      <c r="AE223" s="15" t="str">
        <f>IF(H223="*","*",IF(_xlfn.XLOOKUP($H223,'TRA TECH'!$J:$J,'TRA TECH'!AG:AG)="","",_xlfn.XLOOKUP($H223,'TRA TECH'!$J:$J,'TRA TECH'!AG:AG)))</f>
        <v>*</v>
      </c>
      <c r="AF223" s="15" t="str">
        <f>IF(H223="*","*",IF(_xlfn.XLOOKUP($H223,'TRA TECH'!$J:$J,'TRA TECH'!AH:AH)="","",_xlfn.XLOOKUP($H223,'TRA TECH'!$J:$J,'TRA TECH'!AH:AH)))</f>
        <v>*</v>
      </c>
      <c r="AG223" s="15" t="str">
        <f>IF(H223="*","*",IF(_xlfn.XLOOKUP($H223,'TRA TECH'!$J:$J,'TRA TECH'!AI:AI)="","",_xlfn.XLOOKUP($H223,'TRA TECH'!$J:$J,'TRA TECH'!AI:AI)))</f>
        <v>*</v>
      </c>
      <c r="AH223" s="15" t="str">
        <f>IF(H223="*","*",IF(_xlfn.XLOOKUP($H223,'TRA TECH'!$J:$J,'TRA TECH'!AJ:AJ)="","",_xlfn.XLOOKUP($H223,'TRA TECH'!$J:$J,'TRA TECH'!AJ:AJ)))</f>
        <v>*</v>
      </c>
      <c r="AI223" s="15" t="str">
        <f>IF(H223="*","*",IF(_xlfn.XLOOKUP($H223,'TRA TECH'!$J:$J,'TRA TECH'!AK:AK)="","",_xlfn.XLOOKUP($H223,'TRA TECH'!$J:$J,'TRA TECH'!AK:AK)))</f>
        <v>*</v>
      </c>
      <c r="AJ223" s="15" t="str">
        <f t="shared" si="19"/>
        <v>*</v>
      </c>
      <c r="AK223" s="16" t="str">
        <f t="shared" si="20"/>
        <v>*</v>
      </c>
    </row>
    <row r="224" spans="2:37" x14ac:dyDescent="0.25">
      <c r="B224" t="str">
        <f>IF('TRA TECH'!M220=0,"*",IF('TRA TECH'!H220="","*",'TRA TECH'!J220))</f>
        <v>TRAPASTBUHEVPDSL20</v>
      </c>
      <c r="C224" t="str">
        <f>IF('TRA TECH'!M220=0,"*",'TRA TECH'!H220)</f>
        <v>TRABDS</v>
      </c>
      <c r="D224" t="s">
        <v>424</v>
      </c>
      <c r="E224" s="9">
        <f>'TRA TECH'!P220</f>
        <v>0.1</v>
      </c>
      <c r="H224" t="str">
        <f>IF('TRA TECH'!M220=1,IF('TRA TECH'!L220=1,'TRA TECH'!J220,"*"),"*")</f>
        <v>*</v>
      </c>
      <c r="I224" t="str">
        <f>IF(H224="*","*",_xlfn.XLOOKUP(H224,'TRA TECH'!J:J,'TRA TECH'!I:I))</f>
        <v>*</v>
      </c>
      <c r="J224" t="str">
        <f>IF(H224="*","*",_xlfn.XLOOKUP(H224,'TRA TECH'!J:J,'TRA TECH'!N:N))</f>
        <v>*</v>
      </c>
      <c r="K224" s="15" t="str">
        <f>IF(H224="*","*",IF(_xlfn.XLOOKUP(H224,'TRA TECH'!J:J,'TRA TECH'!O:O)="","",_xlfn.XLOOKUP(H224,'TRA TECH'!J:J,'TRA TECH'!O:O)))</f>
        <v>*</v>
      </c>
      <c r="L224" t="str">
        <f t="shared" si="16"/>
        <v>*</v>
      </c>
      <c r="M224" t="str">
        <f>IF(H224="*","*",IF(_xlfn.XLOOKUP($H224,'TRA TECH'!$J:$J,'TRA TECH'!Q:Q)="","",_xlfn.XLOOKUP($H224,'TRA TECH'!$J:$J,'TRA TECH'!Q:Q)))</f>
        <v>*</v>
      </c>
      <c r="N224" t="str">
        <f>IF(H224="*","*",IF(_xlfn.XLOOKUP($H224,'TRA TECH'!$J:$J,'TRA TECH'!R:R)="","",_xlfn.XLOOKUP($H224,'TRA TECH'!$J:$J,'TRA TECH'!R:R)))</f>
        <v>*</v>
      </c>
      <c r="O224" t="str">
        <f>IF(H224="*","*",IF(_xlfn.XLOOKUP($H224,'TRA TECH'!$J:$J,'TRA TECH'!S:S)="","",_xlfn.XLOOKUP($H224,'TRA TECH'!$J:$J,'TRA TECH'!S:S)))</f>
        <v>*</v>
      </c>
      <c r="P224" t="str">
        <f>IF(H224="*","*",IF(_xlfn.XLOOKUP($H224,'TRA TECH'!$J:$J,'TRA TECH'!T:T)="","",_xlfn.XLOOKUP($H224,'TRA TECH'!$J:$J,'TRA TECH'!T:T)))</f>
        <v>*</v>
      </c>
      <c r="Q224" t="str">
        <f>IF(H224="*","*",IF(_xlfn.XLOOKUP($H224,'TRA TECH'!$J:$J,'TRA TECH'!U:U)="","",_xlfn.XLOOKUP($H224,'TRA TECH'!$J:$J,'TRA TECH'!U:U)))</f>
        <v>*</v>
      </c>
      <c r="R224" t="str">
        <f>IF(H224="*","*",IF(_xlfn.XLOOKUP($H224,'TRA TECH'!$J:$J,'TRA TECH'!V:V)="","",_xlfn.XLOOKUP($H224,'TRA TECH'!$J:$J,'TRA TECH'!V:V)))</f>
        <v>*</v>
      </c>
      <c r="S224" t="str">
        <f>IF(H224="*","*",IF(_xlfn.XLOOKUP($H224,'TRA TECH'!$J:$J,'TRA TECH'!W:W)="","",_xlfn.XLOOKUP($H224,'TRA TECH'!$J:$J,'TRA TECH'!W:W)))</f>
        <v>*</v>
      </c>
      <c r="T224" t="str">
        <f t="shared" si="17"/>
        <v>*</v>
      </c>
      <c r="U224" t="str">
        <f>IF(H224="*","*",IF(_xlfn.XLOOKUP($H224,'TRA TECH'!$J:$J,'TRA TECH'!X:X)="","",_xlfn.XLOOKUP($H224,'TRA TECH'!$J:$J,'TRA TECH'!X:X)))</f>
        <v>*</v>
      </c>
      <c r="V224" t="str">
        <f>IF(H224="*","*",IF(_xlfn.XLOOKUP($H224,'TRA TECH'!$J:$J,'TRA TECH'!Y:Y)="","",_xlfn.XLOOKUP($H224,'TRA TECH'!$J:$J,'TRA TECH'!Y:Y)))</f>
        <v>*</v>
      </c>
      <c r="W224" t="str">
        <f>IF(H224="*","*",IF(_xlfn.XLOOKUP($H224,'TRA TECH'!$J:$J,'TRA TECH'!Z:Z)="","",_xlfn.XLOOKUP($H224,'TRA TECH'!$J:$J,'TRA TECH'!Z:Z)))</f>
        <v>*</v>
      </c>
      <c r="X224" t="str">
        <f>IF(H224="*","*",IF(_xlfn.XLOOKUP($H224,'TRA TECH'!$J:$J,'TRA TECH'!AA:AA)="","",_xlfn.XLOOKUP($H224,'TRA TECH'!$J:$J,'TRA TECH'!AA:AA)))</f>
        <v>*</v>
      </c>
      <c r="Y224" t="str">
        <f>IF(H224="*","*",IF(_xlfn.XLOOKUP($H224,'TRA TECH'!$J:$J,'TRA TECH'!AB:AB)="","",_xlfn.XLOOKUP($H224,'TRA TECH'!$J:$J,'TRA TECH'!AB:AB)))</f>
        <v>*</v>
      </c>
      <c r="Z224" t="str">
        <f>IF(H224="*","*",IF(_xlfn.XLOOKUP($H224,'TRA TECH'!$J:$J,'TRA TECH'!AC:AC)="","",_xlfn.XLOOKUP($H224,'TRA TECH'!$J:$J,'TRA TECH'!AC:AC)))</f>
        <v>*</v>
      </c>
      <c r="AA224" t="str">
        <f>IF(H224="*","*",IF(_xlfn.XLOOKUP($H224,'TRA TECH'!$J:$J,'TRA TECH'!AD:AD)="","",_xlfn.XLOOKUP($H224,'TRA TECH'!$J:$J,'TRA TECH'!AD:AD)))</f>
        <v>*</v>
      </c>
      <c r="AB224" t="str">
        <f t="shared" si="18"/>
        <v>*</v>
      </c>
      <c r="AC224" s="15" t="str">
        <f>IF(H224="*","*",IF(_xlfn.XLOOKUP($H224,'TRA TECH'!$J:$J,'TRA TECH'!AE:AE)="","",_xlfn.XLOOKUP($H224,'TRA TECH'!$J:$J,'TRA TECH'!AE:AE)))</f>
        <v>*</v>
      </c>
      <c r="AD224" s="15" t="str">
        <f>IF(H224="*","*",IF(_xlfn.XLOOKUP($H224,'TRA TECH'!$J:$J,'TRA TECH'!AF:AF)="","",_xlfn.XLOOKUP($H224,'TRA TECH'!$J:$J,'TRA TECH'!AF:AF)))</f>
        <v>*</v>
      </c>
      <c r="AE224" s="15" t="str">
        <f>IF(H224="*","*",IF(_xlfn.XLOOKUP($H224,'TRA TECH'!$J:$J,'TRA TECH'!AG:AG)="","",_xlfn.XLOOKUP($H224,'TRA TECH'!$J:$J,'TRA TECH'!AG:AG)))</f>
        <v>*</v>
      </c>
      <c r="AF224" s="15" t="str">
        <f>IF(H224="*","*",IF(_xlfn.XLOOKUP($H224,'TRA TECH'!$J:$J,'TRA TECH'!AH:AH)="","",_xlfn.XLOOKUP($H224,'TRA TECH'!$J:$J,'TRA TECH'!AH:AH)))</f>
        <v>*</v>
      </c>
      <c r="AG224" s="15" t="str">
        <f>IF(H224="*","*",IF(_xlfn.XLOOKUP($H224,'TRA TECH'!$J:$J,'TRA TECH'!AI:AI)="","",_xlfn.XLOOKUP($H224,'TRA TECH'!$J:$J,'TRA TECH'!AI:AI)))</f>
        <v>*</v>
      </c>
      <c r="AH224" s="15" t="str">
        <f>IF(H224="*","*",IF(_xlfn.XLOOKUP($H224,'TRA TECH'!$J:$J,'TRA TECH'!AJ:AJ)="","",_xlfn.XLOOKUP($H224,'TRA TECH'!$J:$J,'TRA TECH'!AJ:AJ)))</f>
        <v>*</v>
      </c>
      <c r="AI224" s="15" t="str">
        <f>IF(H224="*","*",IF(_xlfn.XLOOKUP($H224,'TRA TECH'!$J:$J,'TRA TECH'!AK:AK)="","",_xlfn.XLOOKUP($H224,'TRA TECH'!$J:$J,'TRA TECH'!AK:AK)))</f>
        <v>*</v>
      </c>
      <c r="AJ224" s="15" t="str">
        <f t="shared" si="19"/>
        <v>*</v>
      </c>
      <c r="AK224" s="16" t="str">
        <f t="shared" si="20"/>
        <v>*</v>
      </c>
    </row>
    <row r="225" spans="2:37" x14ac:dyDescent="0.25">
      <c r="B225" t="str">
        <f>IF('TRA TECH'!M221=0,"*",IF('TRA TECH'!H221="","*",'TRA TECH'!J221))</f>
        <v>TRAPASTBUPHEVDSL20</v>
      </c>
      <c r="C225" t="str">
        <f>IF('TRA TECH'!M221=0,"*",'TRA TECH'!H221)</f>
        <v>TRADSL</v>
      </c>
      <c r="D225" t="s">
        <v>424</v>
      </c>
      <c r="E225" s="9">
        <f>'TRA TECH'!P221</f>
        <v>0.30952380952381148</v>
      </c>
      <c r="H225" t="str">
        <f>IF('TRA TECH'!M221=1,IF('TRA TECH'!L221=1,'TRA TECH'!J221,"*"),"*")</f>
        <v>TRAPASTBUPHEVDSL20</v>
      </c>
      <c r="I225" t="str">
        <f>IF(H225="*","*",_xlfn.XLOOKUP(H225,'TRA TECH'!J:J,'TRA TECH'!I:I))</f>
        <v>TRAPASTBUDMD</v>
      </c>
      <c r="J225">
        <f>IF(H225="*","*",_xlfn.XLOOKUP(H225,'TRA TECH'!J:J,'TRA TECH'!N:N))</f>
        <v>2020</v>
      </c>
      <c r="K225" s="15">
        <f>IF(H225="*","*",IF(_xlfn.XLOOKUP(H225,'TRA TECH'!J:J,'TRA TECH'!O:O)="","",_xlfn.XLOOKUP(H225,'TRA TECH'!J:J,'TRA TECH'!O:O)))</f>
        <v>4.6576618537494188</v>
      </c>
      <c r="L225">
        <f t="shared" si="16"/>
        <v>1</v>
      </c>
      <c r="M225">
        <f>IF(H225="*","*",IF(_xlfn.XLOOKUP($H225,'TRA TECH'!$J:$J,'TRA TECH'!Q:Q)="","",_xlfn.XLOOKUP($H225,'TRA TECH'!$J:$J,'TRA TECH'!Q:Q)))</f>
        <v>0.29979537091988079</v>
      </c>
      <c r="N225">
        <f>IF(H225="*","*",IF(_xlfn.XLOOKUP($H225,'TRA TECH'!$J:$J,'TRA TECH'!R:R)="","",_xlfn.XLOOKUP($H225,'TRA TECH'!$J:$J,'TRA TECH'!R:R)))</f>
        <v>0.29979537091988079</v>
      </c>
      <c r="O225">
        <f>IF(H225="*","*",IF(_xlfn.XLOOKUP($H225,'TRA TECH'!$J:$J,'TRA TECH'!S:S)="","",_xlfn.XLOOKUP($H225,'TRA TECH'!$J:$J,'TRA TECH'!S:S)))</f>
        <v>0.33030551928783392</v>
      </c>
      <c r="P225">
        <f>IF(H225="*","*",IF(_xlfn.XLOOKUP($H225,'TRA TECH'!$J:$J,'TRA TECH'!T:T)="","",_xlfn.XLOOKUP($H225,'TRA TECH'!$J:$J,'TRA TECH'!T:T)))</f>
        <v>0.35816261127596438</v>
      </c>
      <c r="Q225">
        <f>IF(H225="*","*",IF(_xlfn.XLOOKUP($H225,'TRA TECH'!$J:$J,'TRA TECH'!U:U)="","",_xlfn.XLOOKUP($H225,'TRA TECH'!$J:$J,'TRA TECH'!U:U)))</f>
        <v>0.37408094955489479</v>
      </c>
      <c r="R225">
        <f>IF(H225="*","*",IF(_xlfn.XLOOKUP($H225,'TRA TECH'!$J:$J,'TRA TECH'!V:V)="","",_xlfn.XLOOKUP($H225,'TRA TECH'!$J:$J,'TRA TECH'!V:V)))</f>
        <v>0.3899992878338272</v>
      </c>
      <c r="S225">
        <f>IF(H225="*","*",IF(_xlfn.XLOOKUP($H225,'TRA TECH'!$J:$J,'TRA TECH'!W:W)="","",_xlfn.XLOOKUP($H225,'TRA TECH'!$J:$J,'TRA TECH'!W:W)))</f>
        <v>0.4059176261127605</v>
      </c>
      <c r="T225">
        <f t="shared" si="17"/>
        <v>0.4059176261127605</v>
      </c>
      <c r="U225">
        <f>IF(H225="*","*",IF(_xlfn.XLOOKUP($H225,'TRA TECH'!$J:$J,'TRA TECH'!X:X)="","",_xlfn.XLOOKUP($H225,'TRA TECH'!$J:$J,'TRA TECH'!X:X)))</f>
        <v>515.68743523790056</v>
      </c>
      <c r="V225">
        <f>IF(H225="*","*",IF(_xlfn.XLOOKUP($H225,'TRA TECH'!$J:$J,'TRA TECH'!Y:Y)="","",_xlfn.XLOOKUP($H225,'TRA TECH'!$J:$J,'TRA TECH'!Y:Y)))</f>
        <v>515.68743523790056</v>
      </c>
      <c r="W225">
        <f>IF(H225="*","*",IF(_xlfn.XLOOKUP($H225,'TRA TECH'!$J:$J,'TRA TECH'!Z:Z)="","",_xlfn.XLOOKUP($H225,'TRA TECH'!$J:$J,'TRA TECH'!Z:Z)))</f>
        <v>484.39054261656662</v>
      </c>
      <c r="X225">
        <f>IF(H225="*","*",IF(_xlfn.XLOOKUP($H225,'TRA TECH'!$J:$J,'TRA TECH'!AA:AA)="","",_xlfn.XLOOKUP($H225,'TRA TECH'!$J:$J,'TRA TECH'!AA:AA)))</f>
        <v>464.47433822117449</v>
      </c>
      <c r="Y225">
        <f>IF(H225="*","*",IF(_xlfn.XLOOKUP($H225,'TRA TECH'!$J:$J,'TRA TECH'!AB:AB)="","",_xlfn.XLOOKUP($H225,'TRA TECH'!$J:$J,'TRA TECH'!AB:AB)))</f>
        <v>456.65011506583812</v>
      </c>
      <c r="Z225">
        <f>IF(H225="*","*",IF(_xlfn.XLOOKUP($H225,'TRA TECH'!$J:$J,'TRA TECH'!AC:AC)="","",_xlfn.XLOOKUP($H225,'TRA TECH'!$J:$J,'TRA TECH'!AC:AC)))</f>
        <v>449.53718492462809</v>
      </c>
      <c r="AA225">
        <f>IF(H225="*","*",IF(_xlfn.XLOOKUP($H225,'TRA TECH'!$J:$J,'TRA TECH'!AD:AD)="","",_xlfn.XLOOKUP($H225,'TRA TECH'!$J:$J,'TRA TECH'!AD:AD)))</f>
        <v>441.71296176929172</v>
      </c>
      <c r="AB225">
        <f t="shared" si="18"/>
        <v>441.71296176929172</v>
      </c>
      <c r="AC225" s="15">
        <f>IF(H225="*","*",IF(_xlfn.XLOOKUP($H225,'TRA TECH'!$J:$J,'TRA TECH'!AE:AE)="","",_xlfn.XLOOKUP($H225,'TRA TECH'!$J:$J,'TRA TECH'!AE:AE)))</f>
        <v>18.020323995556041</v>
      </c>
      <c r="AD225" s="15">
        <f>IF(H225="*","*",IF(_xlfn.XLOOKUP($H225,'TRA TECH'!$J:$J,'TRA TECH'!AF:AF)="","",_xlfn.XLOOKUP($H225,'TRA TECH'!$J:$J,'TRA TECH'!AF:AF)))</f>
        <v>18.020323995556041</v>
      </c>
      <c r="AE225" s="15">
        <f>IF(H225="*","*",IF(_xlfn.XLOOKUP($H225,'TRA TECH'!$J:$J,'TRA TECH'!AG:AG)="","",_xlfn.XLOOKUP($H225,'TRA TECH'!$J:$J,'TRA TECH'!AG:AG)))</f>
        <v>18.020323995556041</v>
      </c>
      <c r="AF225" s="15">
        <f>IF(H225="*","*",IF(_xlfn.XLOOKUP($H225,'TRA TECH'!$J:$J,'TRA TECH'!AH:AH)="","",_xlfn.XLOOKUP($H225,'TRA TECH'!$J:$J,'TRA TECH'!AH:AH)))</f>
        <v>18.020323995556041</v>
      </c>
      <c r="AG225" s="15">
        <f>IF(H225="*","*",IF(_xlfn.XLOOKUP($H225,'TRA TECH'!$J:$J,'TRA TECH'!AI:AI)="","",_xlfn.XLOOKUP($H225,'TRA TECH'!$J:$J,'TRA TECH'!AI:AI)))</f>
        <v>18.020323995556041</v>
      </c>
      <c r="AH225" s="15">
        <f>IF(H225="*","*",IF(_xlfn.XLOOKUP($H225,'TRA TECH'!$J:$J,'TRA TECH'!AJ:AJ)="","",_xlfn.XLOOKUP($H225,'TRA TECH'!$J:$J,'TRA TECH'!AJ:AJ)))</f>
        <v>18.020323995556041</v>
      </c>
      <c r="AI225" s="15">
        <f>IF(H225="*","*",IF(_xlfn.XLOOKUP($H225,'TRA TECH'!$J:$J,'TRA TECH'!AK:AK)="","",_xlfn.XLOOKUP($H225,'TRA TECH'!$J:$J,'TRA TECH'!AK:AK)))</f>
        <v>18.020323995556041</v>
      </c>
      <c r="AJ225" s="15">
        <f t="shared" si="19"/>
        <v>18.020323995556041</v>
      </c>
      <c r="AK225" s="16">
        <f t="shared" si="20"/>
        <v>0.25</v>
      </c>
    </row>
    <row r="226" spans="2:37" x14ac:dyDescent="0.25">
      <c r="B226" t="str">
        <f>IF('TRA TECH'!M222=0,"*",IF('TRA TECH'!H222="","*",'TRA TECH'!J222))</f>
        <v>TRAPASTBUPHEVDSL20</v>
      </c>
      <c r="C226" t="str">
        <f>IF('TRA TECH'!M222=0,"*",'TRA TECH'!H222)</f>
        <v>TRARDS</v>
      </c>
      <c r="D226" t="s">
        <v>424</v>
      </c>
      <c r="E226" s="9">
        <f>'TRA TECH'!P222</f>
        <v>0.30952380952381148</v>
      </c>
      <c r="H226" t="str">
        <f>IF('TRA TECH'!M222=1,IF('TRA TECH'!L222=1,'TRA TECH'!J222,"*"),"*")</f>
        <v>*</v>
      </c>
      <c r="I226" t="str">
        <f>IF(H226="*","*",_xlfn.XLOOKUP(H226,'TRA TECH'!J:J,'TRA TECH'!I:I))</f>
        <v>*</v>
      </c>
      <c r="J226" t="str">
        <f>IF(H226="*","*",_xlfn.XLOOKUP(H226,'TRA TECH'!J:J,'TRA TECH'!N:N))</f>
        <v>*</v>
      </c>
      <c r="K226" s="15" t="str">
        <f>IF(H226="*","*",IF(_xlfn.XLOOKUP(H226,'TRA TECH'!J:J,'TRA TECH'!O:O)="","",_xlfn.XLOOKUP(H226,'TRA TECH'!J:J,'TRA TECH'!O:O)))</f>
        <v>*</v>
      </c>
      <c r="L226" t="str">
        <f t="shared" si="16"/>
        <v>*</v>
      </c>
      <c r="M226" t="str">
        <f>IF(H226="*","*",IF(_xlfn.XLOOKUP($H226,'TRA TECH'!$J:$J,'TRA TECH'!Q:Q)="","",_xlfn.XLOOKUP($H226,'TRA TECH'!$J:$J,'TRA TECH'!Q:Q)))</f>
        <v>*</v>
      </c>
      <c r="N226" t="str">
        <f>IF(H226="*","*",IF(_xlfn.XLOOKUP($H226,'TRA TECH'!$J:$J,'TRA TECH'!R:R)="","",_xlfn.XLOOKUP($H226,'TRA TECH'!$J:$J,'TRA TECH'!R:R)))</f>
        <v>*</v>
      </c>
      <c r="O226" t="str">
        <f>IF(H226="*","*",IF(_xlfn.XLOOKUP($H226,'TRA TECH'!$J:$J,'TRA TECH'!S:S)="","",_xlfn.XLOOKUP($H226,'TRA TECH'!$J:$J,'TRA TECH'!S:S)))</f>
        <v>*</v>
      </c>
      <c r="P226" t="str">
        <f>IF(H226="*","*",IF(_xlfn.XLOOKUP($H226,'TRA TECH'!$J:$J,'TRA TECH'!T:T)="","",_xlfn.XLOOKUP($H226,'TRA TECH'!$J:$J,'TRA TECH'!T:T)))</f>
        <v>*</v>
      </c>
      <c r="Q226" t="str">
        <f>IF(H226="*","*",IF(_xlfn.XLOOKUP($H226,'TRA TECH'!$J:$J,'TRA TECH'!U:U)="","",_xlfn.XLOOKUP($H226,'TRA TECH'!$J:$J,'TRA TECH'!U:U)))</f>
        <v>*</v>
      </c>
      <c r="R226" t="str">
        <f>IF(H226="*","*",IF(_xlfn.XLOOKUP($H226,'TRA TECH'!$J:$J,'TRA TECH'!V:V)="","",_xlfn.XLOOKUP($H226,'TRA TECH'!$J:$J,'TRA TECH'!V:V)))</f>
        <v>*</v>
      </c>
      <c r="S226" t="str">
        <f>IF(H226="*","*",IF(_xlfn.XLOOKUP($H226,'TRA TECH'!$J:$J,'TRA TECH'!W:W)="","",_xlfn.XLOOKUP($H226,'TRA TECH'!$J:$J,'TRA TECH'!W:W)))</f>
        <v>*</v>
      </c>
      <c r="T226" t="str">
        <f t="shared" si="17"/>
        <v>*</v>
      </c>
      <c r="U226" t="str">
        <f>IF(H226="*","*",IF(_xlfn.XLOOKUP($H226,'TRA TECH'!$J:$J,'TRA TECH'!X:X)="","",_xlfn.XLOOKUP($H226,'TRA TECH'!$J:$J,'TRA TECH'!X:X)))</f>
        <v>*</v>
      </c>
      <c r="V226" t="str">
        <f>IF(H226="*","*",IF(_xlfn.XLOOKUP($H226,'TRA TECH'!$J:$J,'TRA TECH'!Y:Y)="","",_xlfn.XLOOKUP($H226,'TRA TECH'!$J:$J,'TRA TECH'!Y:Y)))</f>
        <v>*</v>
      </c>
      <c r="W226" t="str">
        <f>IF(H226="*","*",IF(_xlfn.XLOOKUP($H226,'TRA TECH'!$J:$J,'TRA TECH'!Z:Z)="","",_xlfn.XLOOKUP($H226,'TRA TECH'!$J:$J,'TRA TECH'!Z:Z)))</f>
        <v>*</v>
      </c>
      <c r="X226" t="str">
        <f>IF(H226="*","*",IF(_xlfn.XLOOKUP($H226,'TRA TECH'!$J:$J,'TRA TECH'!AA:AA)="","",_xlfn.XLOOKUP($H226,'TRA TECH'!$J:$J,'TRA TECH'!AA:AA)))</f>
        <v>*</v>
      </c>
      <c r="Y226" t="str">
        <f>IF(H226="*","*",IF(_xlfn.XLOOKUP($H226,'TRA TECH'!$J:$J,'TRA TECH'!AB:AB)="","",_xlfn.XLOOKUP($H226,'TRA TECH'!$J:$J,'TRA TECH'!AB:AB)))</f>
        <v>*</v>
      </c>
      <c r="Z226" t="str">
        <f>IF(H226="*","*",IF(_xlfn.XLOOKUP($H226,'TRA TECH'!$J:$J,'TRA TECH'!AC:AC)="","",_xlfn.XLOOKUP($H226,'TRA TECH'!$J:$J,'TRA TECH'!AC:AC)))</f>
        <v>*</v>
      </c>
      <c r="AA226" t="str">
        <f>IF(H226="*","*",IF(_xlfn.XLOOKUP($H226,'TRA TECH'!$J:$J,'TRA TECH'!AD:AD)="","",_xlfn.XLOOKUP($H226,'TRA TECH'!$J:$J,'TRA TECH'!AD:AD)))</f>
        <v>*</v>
      </c>
      <c r="AB226" t="str">
        <f t="shared" si="18"/>
        <v>*</v>
      </c>
      <c r="AC226" s="15" t="str">
        <f>IF(H226="*","*",IF(_xlfn.XLOOKUP($H226,'TRA TECH'!$J:$J,'TRA TECH'!AE:AE)="","",_xlfn.XLOOKUP($H226,'TRA TECH'!$J:$J,'TRA TECH'!AE:AE)))</f>
        <v>*</v>
      </c>
      <c r="AD226" s="15" t="str">
        <f>IF(H226="*","*",IF(_xlfn.XLOOKUP($H226,'TRA TECH'!$J:$J,'TRA TECH'!AF:AF)="","",_xlfn.XLOOKUP($H226,'TRA TECH'!$J:$J,'TRA TECH'!AF:AF)))</f>
        <v>*</v>
      </c>
      <c r="AE226" s="15" t="str">
        <f>IF(H226="*","*",IF(_xlfn.XLOOKUP($H226,'TRA TECH'!$J:$J,'TRA TECH'!AG:AG)="","",_xlfn.XLOOKUP($H226,'TRA TECH'!$J:$J,'TRA TECH'!AG:AG)))</f>
        <v>*</v>
      </c>
      <c r="AF226" s="15" t="str">
        <f>IF(H226="*","*",IF(_xlfn.XLOOKUP($H226,'TRA TECH'!$J:$J,'TRA TECH'!AH:AH)="","",_xlfn.XLOOKUP($H226,'TRA TECH'!$J:$J,'TRA TECH'!AH:AH)))</f>
        <v>*</v>
      </c>
      <c r="AG226" s="15" t="str">
        <f>IF(H226="*","*",IF(_xlfn.XLOOKUP($H226,'TRA TECH'!$J:$J,'TRA TECH'!AI:AI)="","",_xlfn.XLOOKUP($H226,'TRA TECH'!$J:$J,'TRA TECH'!AI:AI)))</f>
        <v>*</v>
      </c>
      <c r="AH226" s="15" t="str">
        <f>IF(H226="*","*",IF(_xlfn.XLOOKUP($H226,'TRA TECH'!$J:$J,'TRA TECH'!AJ:AJ)="","",_xlfn.XLOOKUP($H226,'TRA TECH'!$J:$J,'TRA TECH'!AJ:AJ)))</f>
        <v>*</v>
      </c>
      <c r="AI226" s="15" t="str">
        <f>IF(H226="*","*",IF(_xlfn.XLOOKUP($H226,'TRA TECH'!$J:$J,'TRA TECH'!AK:AK)="","",_xlfn.XLOOKUP($H226,'TRA TECH'!$J:$J,'TRA TECH'!AK:AK)))</f>
        <v>*</v>
      </c>
      <c r="AJ226" s="15" t="str">
        <f t="shared" si="19"/>
        <v>*</v>
      </c>
      <c r="AK226" s="16" t="str">
        <f t="shared" si="20"/>
        <v>*</v>
      </c>
    </row>
    <row r="227" spans="2:37" x14ac:dyDescent="0.25">
      <c r="B227" t="str">
        <f>IF('TRA TECH'!M223=0,"*",IF('TRA TECH'!H223="","*",'TRA TECH'!J223))</f>
        <v>TRAPASTBUPHEVDSL20</v>
      </c>
      <c r="C227" t="str">
        <f>IF('TRA TECH'!M223=0,"*",'TRA TECH'!H223)</f>
        <v>TRABDS</v>
      </c>
      <c r="D227" t="s">
        <v>424</v>
      </c>
      <c r="E227" s="9">
        <f>'TRA TECH'!P223</f>
        <v>0.1</v>
      </c>
      <c r="H227" t="str">
        <f>IF('TRA TECH'!M223=1,IF('TRA TECH'!L223=1,'TRA TECH'!J223,"*"),"*")</f>
        <v>*</v>
      </c>
      <c r="I227" t="str">
        <f>IF(H227="*","*",_xlfn.XLOOKUP(H227,'TRA TECH'!J:J,'TRA TECH'!I:I))</f>
        <v>*</v>
      </c>
      <c r="J227" t="str">
        <f>IF(H227="*","*",_xlfn.XLOOKUP(H227,'TRA TECH'!J:J,'TRA TECH'!N:N))</f>
        <v>*</v>
      </c>
      <c r="K227" s="15" t="str">
        <f>IF(H227="*","*",IF(_xlfn.XLOOKUP(H227,'TRA TECH'!J:J,'TRA TECH'!O:O)="","",_xlfn.XLOOKUP(H227,'TRA TECH'!J:J,'TRA TECH'!O:O)))</f>
        <v>*</v>
      </c>
      <c r="L227" t="str">
        <f t="shared" si="16"/>
        <v>*</v>
      </c>
      <c r="M227" t="str">
        <f>IF(H227="*","*",IF(_xlfn.XLOOKUP($H227,'TRA TECH'!$J:$J,'TRA TECH'!Q:Q)="","",_xlfn.XLOOKUP($H227,'TRA TECH'!$J:$J,'TRA TECH'!Q:Q)))</f>
        <v>*</v>
      </c>
      <c r="N227" t="str">
        <f>IF(H227="*","*",IF(_xlfn.XLOOKUP($H227,'TRA TECH'!$J:$J,'TRA TECH'!R:R)="","",_xlfn.XLOOKUP($H227,'TRA TECH'!$J:$J,'TRA TECH'!R:R)))</f>
        <v>*</v>
      </c>
      <c r="O227" t="str">
        <f>IF(H227="*","*",IF(_xlfn.XLOOKUP($H227,'TRA TECH'!$J:$J,'TRA TECH'!S:S)="","",_xlfn.XLOOKUP($H227,'TRA TECH'!$J:$J,'TRA TECH'!S:S)))</f>
        <v>*</v>
      </c>
      <c r="P227" t="str">
        <f>IF(H227="*","*",IF(_xlfn.XLOOKUP($H227,'TRA TECH'!$J:$J,'TRA TECH'!T:T)="","",_xlfn.XLOOKUP($H227,'TRA TECH'!$J:$J,'TRA TECH'!T:T)))</f>
        <v>*</v>
      </c>
      <c r="Q227" t="str">
        <f>IF(H227="*","*",IF(_xlfn.XLOOKUP($H227,'TRA TECH'!$J:$J,'TRA TECH'!U:U)="","",_xlfn.XLOOKUP($H227,'TRA TECH'!$J:$J,'TRA TECH'!U:U)))</f>
        <v>*</v>
      </c>
      <c r="R227" t="str">
        <f>IF(H227="*","*",IF(_xlfn.XLOOKUP($H227,'TRA TECH'!$J:$J,'TRA TECH'!V:V)="","",_xlfn.XLOOKUP($H227,'TRA TECH'!$J:$J,'TRA TECH'!V:V)))</f>
        <v>*</v>
      </c>
      <c r="S227" t="str">
        <f>IF(H227="*","*",IF(_xlfn.XLOOKUP($H227,'TRA TECH'!$J:$J,'TRA TECH'!W:W)="","",_xlfn.XLOOKUP($H227,'TRA TECH'!$J:$J,'TRA TECH'!W:W)))</f>
        <v>*</v>
      </c>
      <c r="T227" t="str">
        <f t="shared" si="17"/>
        <v>*</v>
      </c>
      <c r="U227" t="str">
        <f>IF(H227="*","*",IF(_xlfn.XLOOKUP($H227,'TRA TECH'!$J:$J,'TRA TECH'!X:X)="","",_xlfn.XLOOKUP($H227,'TRA TECH'!$J:$J,'TRA TECH'!X:X)))</f>
        <v>*</v>
      </c>
      <c r="V227" t="str">
        <f>IF(H227="*","*",IF(_xlfn.XLOOKUP($H227,'TRA TECH'!$J:$J,'TRA TECH'!Y:Y)="","",_xlfn.XLOOKUP($H227,'TRA TECH'!$J:$J,'TRA TECH'!Y:Y)))</f>
        <v>*</v>
      </c>
      <c r="W227" t="str">
        <f>IF(H227="*","*",IF(_xlfn.XLOOKUP($H227,'TRA TECH'!$J:$J,'TRA TECH'!Z:Z)="","",_xlfn.XLOOKUP($H227,'TRA TECH'!$J:$J,'TRA TECH'!Z:Z)))</f>
        <v>*</v>
      </c>
      <c r="X227" t="str">
        <f>IF(H227="*","*",IF(_xlfn.XLOOKUP($H227,'TRA TECH'!$J:$J,'TRA TECH'!AA:AA)="","",_xlfn.XLOOKUP($H227,'TRA TECH'!$J:$J,'TRA TECH'!AA:AA)))</f>
        <v>*</v>
      </c>
      <c r="Y227" t="str">
        <f>IF(H227="*","*",IF(_xlfn.XLOOKUP($H227,'TRA TECH'!$J:$J,'TRA TECH'!AB:AB)="","",_xlfn.XLOOKUP($H227,'TRA TECH'!$J:$J,'TRA TECH'!AB:AB)))</f>
        <v>*</v>
      </c>
      <c r="Z227" t="str">
        <f>IF(H227="*","*",IF(_xlfn.XLOOKUP($H227,'TRA TECH'!$J:$J,'TRA TECH'!AC:AC)="","",_xlfn.XLOOKUP($H227,'TRA TECH'!$J:$J,'TRA TECH'!AC:AC)))</f>
        <v>*</v>
      </c>
      <c r="AA227" t="str">
        <f>IF(H227="*","*",IF(_xlfn.XLOOKUP($H227,'TRA TECH'!$J:$J,'TRA TECH'!AD:AD)="","",_xlfn.XLOOKUP($H227,'TRA TECH'!$J:$J,'TRA TECH'!AD:AD)))</f>
        <v>*</v>
      </c>
      <c r="AB227" t="str">
        <f t="shared" si="18"/>
        <v>*</v>
      </c>
      <c r="AC227" s="15" t="str">
        <f>IF(H227="*","*",IF(_xlfn.XLOOKUP($H227,'TRA TECH'!$J:$J,'TRA TECH'!AE:AE)="","",_xlfn.XLOOKUP($H227,'TRA TECH'!$J:$J,'TRA TECH'!AE:AE)))</f>
        <v>*</v>
      </c>
      <c r="AD227" s="15" t="str">
        <f>IF(H227="*","*",IF(_xlfn.XLOOKUP($H227,'TRA TECH'!$J:$J,'TRA TECH'!AF:AF)="","",_xlfn.XLOOKUP($H227,'TRA TECH'!$J:$J,'TRA TECH'!AF:AF)))</f>
        <v>*</v>
      </c>
      <c r="AE227" s="15" t="str">
        <f>IF(H227="*","*",IF(_xlfn.XLOOKUP($H227,'TRA TECH'!$J:$J,'TRA TECH'!AG:AG)="","",_xlfn.XLOOKUP($H227,'TRA TECH'!$J:$J,'TRA TECH'!AG:AG)))</f>
        <v>*</v>
      </c>
      <c r="AF227" s="15" t="str">
        <f>IF(H227="*","*",IF(_xlfn.XLOOKUP($H227,'TRA TECH'!$J:$J,'TRA TECH'!AH:AH)="","",_xlfn.XLOOKUP($H227,'TRA TECH'!$J:$J,'TRA TECH'!AH:AH)))</f>
        <v>*</v>
      </c>
      <c r="AG227" s="15" t="str">
        <f>IF(H227="*","*",IF(_xlfn.XLOOKUP($H227,'TRA TECH'!$J:$J,'TRA TECH'!AI:AI)="","",_xlfn.XLOOKUP($H227,'TRA TECH'!$J:$J,'TRA TECH'!AI:AI)))</f>
        <v>*</v>
      </c>
      <c r="AH227" s="15" t="str">
        <f>IF(H227="*","*",IF(_xlfn.XLOOKUP($H227,'TRA TECH'!$J:$J,'TRA TECH'!AJ:AJ)="","",_xlfn.XLOOKUP($H227,'TRA TECH'!$J:$J,'TRA TECH'!AJ:AJ)))</f>
        <v>*</v>
      </c>
      <c r="AI227" s="15" t="str">
        <f>IF(H227="*","*",IF(_xlfn.XLOOKUP($H227,'TRA TECH'!$J:$J,'TRA TECH'!AK:AK)="","",_xlfn.XLOOKUP($H227,'TRA TECH'!$J:$J,'TRA TECH'!AK:AK)))</f>
        <v>*</v>
      </c>
      <c r="AJ227" s="15" t="str">
        <f t="shared" si="19"/>
        <v>*</v>
      </c>
      <c r="AK227" s="16" t="str">
        <f t="shared" si="20"/>
        <v>*</v>
      </c>
    </row>
    <row r="228" spans="2:37" x14ac:dyDescent="0.25">
      <c r="B228" t="str">
        <f>IF('TRA TECH'!M224=0,"*",IF('TRA TECH'!H224="","*",'TRA TECH'!J224))</f>
        <v>TRAPASTBUPHEVDSL20</v>
      </c>
      <c r="C228" t="str">
        <f>IF('TRA TECH'!M224=0,"*",'TRA TECH'!H224)</f>
        <v>TRABAF</v>
      </c>
      <c r="D228" t="s">
        <v>424</v>
      </c>
      <c r="E228" s="9">
        <f>'TRA TECH'!P224</f>
        <v>0.69047619047618847</v>
      </c>
      <c r="H228" t="str">
        <f>IF('TRA TECH'!M224=1,IF('TRA TECH'!L224=1,'TRA TECH'!J224,"*"),"*")</f>
        <v>*</v>
      </c>
      <c r="I228" t="str">
        <f>IF(H228="*","*",_xlfn.XLOOKUP(H228,'TRA TECH'!J:J,'TRA TECH'!I:I))</f>
        <v>*</v>
      </c>
      <c r="J228" t="str">
        <f>IF(H228="*","*",_xlfn.XLOOKUP(H228,'TRA TECH'!J:J,'TRA TECH'!N:N))</f>
        <v>*</v>
      </c>
      <c r="K228" s="15" t="str">
        <f>IF(H228="*","*",IF(_xlfn.XLOOKUP(H228,'TRA TECH'!J:J,'TRA TECH'!O:O)="","",_xlfn.XLOOKUP(H228,'TRA TECH'!J:J,'TRA TECH'!O:O)))</f>
        <v>*</v>
      </c>
      <c r="L228" t="str">
        <f t="shared" si="16"/>
        <v>*</v>
      </c>
      <c r="M228" t="str">
        <f>IF(H228="*","*",IF(_xlfn.XLOOKUP($H228,'TRA TECH'!$J:$J,'TRA TECH'!Q:Q)="","",_xlfn.XLOOKUP($H228,'TRA TECH'!$J:$J,'TRA TECH'!Q:Q)))</f>
        <v>*</v>
      </c>
      <c r="N228" t="str">
        <f>IF(H228="*","*",IF(_xlfn.XLOOKUP($H228,'TRA TECH'!$J:$J,'TRA TECH'!R:R)="","",_xlfn.XLOOKUP($H228,'TRA TECH'!$J:$J,'TRA TECH'!R:R)))</f>
        <v>*</v>
      </c>
      <c r="O228" t="str">
        <f>IF(H228="*","*",IF(_xlfn.XLOOKUP($H228,'TRA TECH'!$J:$J,'TRA TECH'!S:S)="","",_xlfn.XLOOKUP($H228,'TRA TECH'!$J:$J,'TRA TECH'!S:S)))</f>
        <v>*</v>
      </c>
      <c r="P228" t="str">
        <f>IF(H228="*","*",IF(_xlfn.XLOOKUP($H228,'TRA TECH'!$J:$J,'TRA TECH'!T:T)="","",_xlfn.XLOOKUP($H228,'TRA TECH'!$J:$J,'TRA TECH'!T:T)))</f>
        <v>*</v>
      </c>
      <c r="Q228" t="str">
        <f>IF(H228="*","*",IF(_xlfn.XLOOKUP($H228,'TRA TECH'!$J:$J,'TRA TECH'!U:U)="","",_xlfn.XLOOKUP($H228,'TRA TECH'!$J:$J,'TRA TECH'!U:U)))</f>
        <v>*</v>
      </c>
      <c r="R228" t="str">
        <f>IF(H228="*","*",IF(_xlfn.XLOOKUP($H228,'TRA TECH'!$J:$J,'TRA TECH'!V:V)="","",_xlfn.XLOOKUP($H228,'TRA TECH'!$J:$J,'TRA TECH'!V:V)))</f>
        <v>*</v>
      </c>
      <c r="S228" t="str">
        <f>IF(H228="*","*",IF(_xlfn.XLOOKUP($H228,'TRA TECH'!$J:$J,'TRA TECH'!W:W)="","",_xlfn.XLOOKUP($H228,'TRA TECH'!$J:$J,'TRA TECH'!W:W)))</f>
        <v>*</v>
      </c>
      <c r="T228" t="str">
        <f t="shared" si="17"/>
        <v>*</v>
      </c>
      <c r="U228" t="str">
        <f>IF(H228="*","*",IF(_xlfn.XLOOKUP($H228,'TRA TECH'!$J:$J,'TRA TECH'!X:X)="","",_xlfn.XLOOKUP($H228,'TRA TECH'!$J:$J,'TRA TECH'!X:X)))</f>
        <v>*</v>
      </c>
      <c r="V228" t="str">
        <f>IF(H228="*","*",IF(_xlfn.XLOOKUP($H228,'TRA TECH'!$J:$J,'TRA TECH'!Y:Y)="","",_xlfn.XLOOKUP($H228,'TRA TECH'!$J:$J,'TRA TECH'!Y:Y)))</f>
        <v>*</v>
      </c>
      <c r="W228" t="str">
        <f>IF(H228="*","*",IF(_xlfn.XLOOKUP($H228,'TRA TECH'!$J:$J,'TRA TECH'!Z:Z)="","",_xlfn.XLOOKUP($H228,'TRA TECH'!$J:$J,'TRA TECH'!Z:Z)))</f>
        <v>*</v>
      </c>
      <c r="X228" t="str">
        <f>IF(H228="*","*",IF(_xlfn.XLOOKUP($H228,'TRA TECH'!$J:$J,'TRA TECH'!AA:AA)="","",_xlfn.XLOOKUP($H228,'TRA TECH'!$J:$J,'TRA TECH'!AA:AA)))</f>
        <v>*</v>
      </c>
      <c r="Y228" t="str">
        <f>IF(H228="*","*",IF(_xlfn.XLOOKUP($H228,'TRA TECH'!$J:$J,'TRA TECH'!AB:AB)="","",_xlfn.XLOOKUP($H228,'TRA TECH'!$J:$J,'TRA TECH'!AB:AB)))</f>
        <v>*</v>
      </c>
      <c r="Z228" t="str">
        <f>IF(H228="*","*",IF(_xlfn.XLOOKUP($H228,'TRA TECH'!$J:$J,'TRA TECH'!AC:AC)="","",_xlfn.XLOOKUP($H228,'TRA TECH'!$J:$J,'TRA TECH'!AC:AC)))</f>
        <v>*</v>
      </c>
      <c r="AA228" t="str">
        <f>IF(H228="*","*",IF(_xlfn.XLOOKUP($H228,'TRA TECH'!$J:$J,'TRA TECH'!AD:AD)="","",_xlfn.XLOOKUP($H228,'TRA TECH'!$J:$J,'TRA TECH'!AD:AD)))</f>
        <v>*</v>
      </c>
      <c r="AB228" t="str">
        <f t="shared" si="18"/>
        <v>*</v>
      </c>
      <c r="AC228" s="15" t="str">
        <f>IF(H228="*","*",IF(_xlfn.XLOOKUP($H228,'TRA TECH'!$J:$J,'TRA TECH'!AE:AE)="","",_xlfn.XLOOKUP($H228,'TRA TECH'!$J:$J,'TRA TECH'!AE:AE)))</f>
        <v>*</v>
      </c>
      <c r="AD228" s="15" t="str">
        <f>IF(H228="*","*",IF(_xlfn.XLOOKUP($H228,'TRA TECH'!$J:$J,'TRA TECH'!AF:AF)="","",_xlfn.XLOOKUP($H228,'TRA TECH'!$J:$J,'TRA TECH'!AF:AF)))</f>
        <v>*</v>
      </c>
      <c r="AE228" s="15" t="str">
        <f>IF(H228="*","*",IF(_xlfn.XLOOKUP($H228,'TRA TECH'!$J:$J,'TRA TECH'!AG:AG)="","",_xlfn.XLOOKUP($H228,'TRA TECH'!$J:$J,'TRA TECH'!AG:AG)))</f>
        <v>*</v>
      </c>
      <c r="AF228" s="15" t="str">
        <f>IF(H228="*","*",IF(_xlfn.XLOOKUP($H228,'TRA TECH'!$J:$J,'TRA TECH'!AH:AH)="","",_xlfn.XLOOKUP($H228,'TRA TECH'!$J:$J,'TRA TECH'!AH:AH)))</f>
        <v>*</v>
      </c>
      <c r="AG228" s="15" t="str">
        <f>IF(H228="*","*",IF(_xlfn.XLOOKUP($H228,'TRA TECH'!$J:$J,'TRA TECH'!AI:AI)="","",_xlfn.XLOOKUP($H228,'TRA TECH'!$J:$J,'TRA TECH'!AI:AI)))</f>
        <v>*</v>
      </c>
      <c r="AH228" s="15" t="str">
        <f>IF(H228="*","*",IF(_xlfn.XLOOKUP($H228,'TRA TECH'!$J:$J,'TRA TECH'!AJ:AJ)="","",_xlfn.XLOOKUP($H228,'TRA TECH'!$J:$J,'TRA TECH'!AJ:AJ)))</f>
        <v>*</v>
      </c>
      <c r="AI228" s="15" t="str">
        <f>IF(H228="*","*",IF(_xlfn.XLOOKUP($H228,'TRA TECH'!$J:$J,'TRA TECH'!AK:AK)="","",_xlfn.XLOOKUP($H228,'TRA TECH'!$J:$J,'TRA TECH'!AK:AK)))</f>
        <v>*</v>
      </c>
      <c r="AJ228" s="15" t="str">
        <f t="shared" si="19"/>
        <v>*</v>
      </c>
      <c r="AK228" s="16" t="str">
        <f t="shared" si="20"/>
        <v>*</v>
      </c>
    </row>
    <row r="229" spans="2:37" x14ac:dyDescent="0.25">
      <c r="B229" t="str">
        <f>IF('TRA TECH'!M225=0,"*",IF('TRA TECH'!H225="","*",'TRA TECH'!J225))</f>
        <v>TRAPASTBUFCEV20</v>
      </c>
      <c r="C229" t="str">
        <f>IF('TRA TECH'!M225=0,"*",'TRA TECH'!H225)</f>
        <v>TRAH2G</v>
      </c>
      <c r="D229" t="s">
        <v>424</v>
      </c>
      <c r="E229" s="9">
        <f>'TRA TECH'!P225</f>
        <v>1</v>
      </c>
      <c r="H229" t="str">
        <f>IF('TRA TECH'!M225=1,IF('TRA TECH'!L225=1,'TRA TECH'!J225,"*"),"*")</f>
        <v>TRAPASTBUFCEV20</v>
      </c>
      <c r="I229" t="str">
        <f>IF(H229="*","*",_xlfn.XLOOKUP(H229,'TRA TECH'!J:J,'TRA TECH'!I:I))</f>
        <v>TRAPASTBUDMD</v>
      </c>
      <c r="J229">
        <f>IF(H229="*","*",_xlfn.XLOOKUP(H229,'TRA TECH'!J:J,'TRA TECH'!N:N))</f>
        <v>2020</v>
      </c>
      <c r="K229" s="15">
        <f>IF(H229="*","*",IF(_xlfn.XLOOKUP(H229,'TRA TECH'!J:J,'TRA TECH'!O:O)="","",_xlfn.XLOOKUP(H229,'TRA TECH'!J:J,'TRA TECH'!O:O)))</f>
        <v>4.6576618537494188</v>
      </c>
      <c r="L229">
        <f t="shared" si="16"/>
        <v>1</v>
      </c>
      <c r="M229">
        <f>IF(H229="*","*",IF(_xlfn.XLOOKUP($H229,'TRA TECH'!$J:$J,'TRA TECH'!Q:Q)="","",_xlfn.XLOOKUP($H229,'TRA TECH'!$J:$J,'TRA TECH'!Q:Q)))</f>
        <v>0.20030575667655801</v>
      </c>
      <c r="N229">
        <f>IF(H229="*","*",IF(_xlfn.XLOOKUP($H229,'TRA TECH'!$J:$J,'TRA TECH'!R:R)="","",_xlfn.XLOOKUP($H229,'TRA TECH'!$J:$J,'TRA TECH'!R:R)))</f>
        <v>0.20030575667655801</v>
      </c>
      <c r="O229">
        <f>IF(H229="*","*",IF(_xlfn.XLOOKUP($H229,'TRA TECH'!$J:$J,'TRA TECH'!S:S)="","",_xlfn.XLOOKUP($H229,'TRA TECH'!$J:$J,'TRA TECH'!S:S)))</f>
        <v>0.22020367952522271</v>
      </c>
      <c r="P229">
        <f>IF(H229="*","*",IF(_xlfn.XLOOKUP($H229,'TRA TECH'!$J:$J,'TRA TECH'!T:T)="","",_xlfn.XLOOKUP($H229,'TRA TECH'!$J:$J,'TRA TECH'!T:T)))</f>
        <v>0.24142813056379819</v>
      </c>
      <c r="Q229">
        <f>IF(H229="*","*",IF(_xlfn.XLOOKUP($H229,'TRA TECH'!$J:$J,'TRA TECH'!U:U)="","",_xlfn.XLOOKUP($H229,'TRA TECH'!$J:$J,'TRA TECH'!U:U)))</f>
        <v>0.25071382789317492</v>
      </c>
      <c r="R229">
        <f>IF(H229="*","*",IF(_xlfn.XLOOKUP($H229,'TRA TECH'!$J:$J,'TRA TECH'!V:V)="","",_xlfn.XLOOKUP($H229,'TRA TECH'!$J:$J,'TRA TECH'!V:V)))</f>
        <v>0.26132605341246301</v>
      </c>
      <c r="S229">
        <f>IF(H229="*","*",IF(_xlfn.XLOOKUP($H229,'TRA TECH'!$J:$J,'TRA TECH'!W:W)="","",_xlfn.XLOOKUP($H229,'TRA TECH'!$J:$J,'TRA TECH'!W:W)))</f>
        <v>0.27061175074183957</v>
      </c>
      <c r="T229">
        <f t="shared" si="17"/>
        <v>0.27061175074183957</v>
      </c>
      <c r="U229">
        <f>IF(H229="*","*",IF(_xlfn.XLOOKUP($H229,'TRA TECH'!$J:$J,'TRA TECH'!X:X)="","",_xlfn.XLOOKUP($H229,'TRA TECH'!$J:$J,'TRA TECH'!X:X)))</f>
        <v>635.89595462439217</v>
      </c>
      <c r="V229">
        <f>IF(H229="*","*",IF(_xlfn.XLOOKUP($H229,'TRA TECH'!$J:$J,'TRA TECH'!Y:Y)="","",_xlfn.XLOOKUP($H229,'TRA TECH'!$J:$J,'TRA TECH'!Y:Y)))</f>
        <v>635.89595462439217</v>
      </c>
      <c r="W229">
        <f>IF(H229="*","*",IF(_xlfn.XLOOKUP($H229,'TRA TECH'!$J:$J,'TRA TECH'!Z:Z)="","",_xlfn.XLOOKUP($H229,'TRA TECH'!$J:$J,'TRA TECH'!Z:Z)))</f>
        <v>598.19742487596693</v>
      </c>
      <c r="X229">
        <f>IF(H229="*","*",IF(_xlfn.XLOOKUP($H229,'TRA TECH'!$J:$J,'TRA TECH'!AA:AA)="","",_xlfn.XLOOKUP($H229,'TRA TECH'!$J:$J,'TRA TECH'!AA:AA)))</f>
        <v>566.18923924051046</v>
      </c>
      <c r="Y229">
        <f>IF(H229="*","*",IF(_xlfn.XLOOKUP($H229,'TRA TECH'!$J:$J,'TRA TECH'!AB:AB)="","",_xlfn.XLOOKUP($H229,'TRA TECH'!$J:$J,'TRA TECH'!AB:AB)))</f>
        <v>553.38596498632808</v>
      </c>
      <c r="Z229">
        <f>IF(H229="*","*",IF(_xlfn.XLOOKUP($H229,'TRA TECH'!$J:$J,'TRA TECH'!AC:AC)="","",_xlfn.XLOOKUP($H229,'TRA TECH'!$J:$J,'TRA TECH'!AC:AC)))</f>
        <v>540.58269073214626</v>
      </c>
      <c r="AA229">
        <f>IF(H229="*","*",IF(_xlfn.XLOOKUP($H229,'TRA TECH'!$J:$J,'TRA TECH'!AD:AD)="","",_xlfn.XLOOKUP($H229,'TRA TECH'!$J:$J,'TRA TECH'!AD:AD)))</f>
        <v>527.77941647796388</v>
      </c>
      <c r="AB229">
        <f t="shared" si="18"/>
        <v>527.77941647796388</v>
      </c>
      <c r="AC229" s="15">
        <f>IF(H229="*","*",IF(_xlfn.XLOOKUP($H229,'TRA TECH'!$J:$J,'TRA TECH'!AE:AE)="","",_xlfn.XLOOKUP($H229,'TRA TECH'!$J:$J,'TRA TECH'!AE:AE)))</f>
        <v>18.020323995556069</v>
      </c>
      <c r="AD229" s="15">
        <f>IF(H229="*","*",IF(_xlfn.XLOOKUP($H229,'TRA TECH'!$J:$J,'TRA TECH'!AF:AF)="","",_xlfn.XLOOKUP($H229,'TRA TECH'!$J:$J,'TRA TECH'!AF:AF)))</f>
        <v>18.020323995556069</v>
      </c>
      <c r="AE229" s="15">
        <f>IF(H229="*","*",IF(_xlfn.XLOOKUP($H229,'TRA TECH'!$J:$J,'TRA TECH'!AG:AG)="","",_xlfn.XLOOKUP($H229,'TRA TECH'!$J:$J,'TRA TECH'!AG:AG)))</f>
        <v>18.020323995556069</v>
      </c>
      <c r="AF229" s="15">
        <f>IF(H229="*","*",IF(_xlfn.XLOOKUP($H229,'TRA TECH'!$J:$J,'TRA TECH'!AH:AH)="","",_xlfn.XLOOKUP($H229,'TRA TECH'!$J:$J,'TRA TECH'!AH:AH)))</f>
        <v>18.020323995556069</v>
      </c>
      <c r="AG229" s="15">
        <f>IF(H229="*","*",IF(_xlfn.XLOOKUP($H229,'TRA TECH'!$J:$J,'TRA TECH'!AI:AI)="","",_xlfn.XLOOKUP($H229,'TRA TECH'!$J:$J,'TRA TECH'!AI:AI)))</f>
        <v>18.020323995556069</v>
      </c>
      <c r="AH229" s="15">
        <f>IF(H229="*","*",IF(_xlfn.XLOOKUP($H229,'TRA TECH'!$J:$J,'TRA TECH'!AJ:AJ)="","",_xlfn.XLOOKUP($H229,'TRA TECH'!$J:$J,'TRA TECH'!AJ:AJ)))</f>
        <v>18.020323995556069</v>
      </c>
      <c r="AI229" s="15">
        <f>IF(H229="*","*",IF(_xlfn.XLOOKUP($H229,'TRA TECH'!$J:$J,'TRA TECH'!AK:AK)="","",_xlfn.XLOOKUP($H229,'TRA TECH'!$J:$J,'TRA TECH'!AK:AK)))</f>
        <v>18.020323995556069</v>
      </c>
      <c r="AJ229" s="15">
        <f t="shared" si="19"/>
        <v>18.020323995556069</v>
      </c>
      <c r="AK229" s="16">
        <f t="shared" si="20"/>
        <v>0.4</v>
      </c>
    </row>
    <row r="230" spans="2:37" x14ac:dyDescent="0.25">
      <c r="B230" t="str">
        <f>IF('TRA TECH'!M226=0,"*",IF('TRA TECH'!H226="","*",'TRA TECH'!J226))</f>
        <v>TRAPASTBUFCHEV20</v>
      </c>
      <c r="C230" t="str">
        <f>IF('TRA TECH'!M226=0,"*",'TRA TECH'!H226)</f>
        <v>TRAH2G</v>
      </c>
      <c r="D230" t="s">
        <v>424</v>
      </c>
      <c r="E230" s="9">
        <f>'TRA TECH'!P226</f>
        <v>0.89763779527559173</v>
      </c>
      <c r="H230" t="str">
        <f>IF('TRA TECH'!M226=1,IF('TRA TECH'!L226=1,'TRA TECH'!J226,"*"),"*")</f>
        <v>TRAPASTBUFCHEV20</v>
      </c>
      <c r="I230" t="str">
        <f>IF(H230="*","*",_xlfn.XLOOKUP(H230,'TRA TECH'!J:J,'TRA TECH'!I:I))</f>
        <v>TRAPASTBUDMD</v>
      </c>
      <c r="J230">
        <f>IF(H230="*","*",_xlfn.XLOOKUP(H230,'TRA TECH'!J:J,'TRA TECH'!N:N))</f>
        <v>2020</v>
      </c>
      <c r="K230" s="15">
        <f>IF(H230="*","*",IF(_xlfn.XLOOKUP(H230,'TRA TECH'!J:J,'TRA TECH'!O:O)="","",_xlfn.XLOOKUP(H230,'TRA TECH'!J:J,'TRA TECH'!O:O)))</f>
        <v>4.6576618537494188</v>
      </c>
      <c r="L230">
        <f t="shared" si="16"/>
        <v>1</v>
      </c>
      <c r="M230">
        <f>IF(H230="*","*",IF(_xlfn.XLOOKUP($H230,'TRA TECH'!$J:$J,'TRA TECH'!Q:Q)="","",_xlfn.XLOOKUP($H230,'TRA TECH'!$J:$J,'TRA TECH'!Q:Q)))</f>
        <v>0.2175506231454005</v>
      </c>
      <c r="N230">
        <f>IF(H230="*","*",IF(_xlfn.XLOOKUP($H230,'TRA TECH'!$J:$J,'TRA TECH'!R:R)="","",_xlfn.XLOOKUP($H230,'TRA TECH'!$J:$J,'TRA TECH'!R:R)))</f>
        <v>0.2175506231454005</v>
      </c>
      <c r="O230">
        <f>IF(H230="*","*",IF(_xlfn.XLOOKUP($H230,'TRA TECH'!$J:$J,'TRA TECH'!S:S)="","",_xlfn.XLOOKUP($H230,'TRA TECH'!$J:$J,'TRA TECH'!S:S)))</f>
        <v>0.24010160237388731</v>
      </c>
      <c r="P230">
        <f>IF(H230="*","*",IF(_xlfn.XLOOKUP($H230,'TRA TECH'!$J:$J,'TRA TECH'!T:T)="","",_xlfn.XLOOKUP($H230,'TRA TECH'!$J:$J,'TRA TECH'!T:T)))</f>
        <v>0.25867299703264102</v>
      </c>
      <c r="Q230">
        <f>IF(H230="*","*",IF(_xlfn.XLOOKUP($H230,'TRA TECH'!$J:$J,'TRA TECH'!U:U)="","",_xlfn.XLOOKUP($H230,'TRA TECH'!$J:$J,'TRA TECH'!U:U)))</f>
        <v>0.26663216617210689</v>
      </c>
      <c r="R230">
        <f>IF(H230="*","*",IF(_xlfn.XLOOKUP($H230,'TRA TECH'!$J:$J,'TRA TECH'!V:V)="","",_xlfn.XLOOKUP($H230,'TRA TECH'!$J:$J,'TRA TECH'!V:V)))</f>
        <v>0.27591786350148362</v>
      </c>
      <c r="S230">
        <f>IF(H230="*","*",IF(_xlfn.XLOOKUP($H230,'TRA TECH'!$J:$J,'TRA TECH'!W:W)="","",_xlfn.XLOOKUP($H230,'TRA TECH'!$J:$J,'TRA TECH'!W:W)))</f>
        <v>0.28387703264094938</v>
      </c>
      <c r="T230">
        <f t="shared" si="17"/>
        <v>0.28387703264094938</v>
      </c>
      <c r="U230">
        <f>IF(H230="*","*",IF(_xlfn.XLOOKUP($H230,'TRA TECH'!$J:$J,'TRA TECH'!X:X)="","",_xlfn.XLOOKUP($H230,'TRA TECH'!$J:$J,'TRA TECH'!X:X)))</f>
        <v>537.02622566153968</v>
      </c>
      <c r="V230">
        <f>IF(H230="*","*",IF(_xlfn.XLOOKUP($H230,'TRA TECH'!$J:$J,'TRA TECH'!Y:Y)="","",_xlfn.XLOOKUP($H230,'TRA TECH'!$J:$J,'TRA TECH'!Y:Y)))</f>
        <v>537.02622566153968</v>
      </c>
      <c r="W230">
        <f>IF(H230="*","*",IF(_xlfn.XLOOKUP($H230,'TRA TECH'!$J:$J,'TRA TECH'!Z:Z)="","",_xlfn.XLOOKUP($H230,'TRA TECH'!$J:$J,'TRA TECH'!Z:Z)))</f>
        <v>500.03898892723481</v>
      </c>
      <c r="X230">
        <f>IF(H230="*","*",IF(_xlfn.XLOOKUP($H230,'TRA TECH'!$J:$J,'TRA TECH'!AA:AA)="","",_xlfn.XLOOKUP($H230,'TRA TECH'!$J:$J,'TRA TECH'!AA:AA)))</f>
        <v>476.56631946123417</v>
      </c>
      <c r="Y230">
        <f>IF(H230="*","*",IF(_xlfn.XLOOKUP($H230,'TRA TECH'!$J:$J,'TRA TECH'!AB:AB)="","",_xlfn.XLOOKUP($H230,'TRA TECH'!$J:$J,'TRA TECH'!AB:AB)))</f>
        <v>466.60821726353652</v>
      </c>
      <c r="Z230">
        <f>IF(H230="*","*",IF(_xlfn.XLOOKUP($H230,'TRA TECH'!$J:$J,'TRA TECH'!AC:AC)="","",_xlfn.XLOOKUP($H230,'TRA TECH'!$J:$J,'TRA TECH'!AC:AC)))</f>
        <v>456.65011506583892</v>
      </c>
      <c r="AA230">
        <f>IF(H230="*","*",IF(_xlfn.XLOOKUP($H230,'TRA TECH'!$J:$J,'TRA TECH'!AD:AD)="","",_xlfn.XLOOKUP($H230,'TRA TECH'!$J:$J,'TRA TECH'!AD:AD)))</f>
        <v>446.69201286814172</v>
      </c>
      <c r="AB230">
        <f t="shared" si="18"/>
        <v>446.69201286814172</v>
      </c>
      <c r="AC230" s="15">
        <f>IF(H230="*","*",IF(_xlfn.XLOOKUP($H230,'TRA TECH'!$J:$J,'TRA TECH'!AE:AE)="","",_xlfn.XLOOKUP($H230,'TRA TECH'!$J:$J,'TRA TECH'!AE:AE)))</f>
        <v>18.020323995556069</v>
      </c>
      <c r="AD230" s="15">
        <f>IF(H230="*","*",IF(_xlfn.XLOOKUP($H230,'TRA TECH'!$J:$J,'TRA TECH'!AF:AF)="","",_xlfn.XLOOKUP($H230,'TRA TECH'!$J:$J,'TRA TECH'!AF:AF)))</f>
        <v>18.020323995556069</v>
      </c>
      <c r="AE230" s="15">
        <f>IF(H230="*","*",IF(_xlfn.XLOOKUP($H230,'TRA TECH'!$J:$J,'TRA TECH'!AG:AG)="","",_xlfn.XLOOKUP($H230,'TRA TECH'!$J:$J,'TRA TECH'!AG:AG)))</f>
        <v>18.020323995556069</v>
      </c>
      <c r="AF230" s="15">
        <f>IF(H230="*","*",IF(_xlfn.XLOOKUP($H230,'TRA TECH'!$J:$J,'TRA TECH'!AH:AH)="","",_xlfn.XLOOKUP($H230,'TRA TECH'!$J:$J,'TRA TECH'!AH:AH)))</f>
        <v>18.020323995556069</v>
      </c>
      <c r="AG230" s="15">
        <f>IF(H230="*","*",IF(_xlfn.XLOOKUP($H230,'TRA TECH'!$J:$J,'TRA TECH'!AI:AI)="","",_xlfn.XLOOKUP($H230,'TRA TECH'!$J:$J,'TRA TECH'!AI:AI)))</f>
        <v>18.020323995556069</v>
      </c>
      <c r="AH230" s="15">
        <f>IF(H230="*","*",IF(_xlfn.XLOOKUP($H230,'TRA TECH'!$J:$J,'TRA TECH'!AJ:AJ)="","",_xlfn.XLOOKUP($H230,'TRA TECH'!$J:$J,'TRA TECH'!AJ:AJ)))</f>
        <v>18.020323995556069</v>
      </c>
      <c r="AI230" s="15">
        <f>IF(H230="*","*",IF(_xlfn.XLOOKUP($H230,'TRA TECH'!$J:$J,'TRA TECH'!AK:AK)="","",_xlfn.XLOOKUP($H230,'TRA TECH'!$J:$J,'TRA TECH'!AK:AK)))</f>
        <v>18.020323995556069</v>
      </c>
      <c r="AJ230" s="15">
        <f t="shared" si="19"/>
        <v>18.020323995556069</v>
      </c>
      <c r="AK230" s="16">
        <f t="shared" si="20"/>
        <v>0.25</v>
      </c>
    </row>
    <row r="231" spans="2:37" x14ac:dyDescent="0.25">
      <c r="B231" t="str">
        <f>IF('TRA TECH'!M227=0,"*",IF('TRA TECH'!H227="","*",'TRA TECH'!J227))</f>
        <v>TRAPASTBUFCHEV20</v>
      </c>
      <c r="C231" t="str">
        <f>IF('TRA TECH'!M227=0,"*",'TRA TECH'!H227)</f>
        <v>TRABAF</v>
      </c>
      <c r="D231" t="s">
        <v>424</v>
      </c>
      <c r="E231" s="9">
        <f>'TRA TECH'!P227</f>
        <v>0.1023622047244083</v>
      </c>
      <c r="H231" t="str">
        <f>IF('TRA TECH'!M227=1,IF('TRA TECH'!L227=1,'TRA TECH'!J227,"*"),"*")</f>
        <v>*</v>
      </c>
      <c r="I231" t="str">
        <f>IF(H231="*","*",_xlfn.XLOOKUP(H231,'TRA TECH'!J:J,'TRA TECH'!I:I))</f>
        <v>*</v>
      </c>
      <c r="J231" t="str">
        <f>IF(H231="*","*",_xlfn.XLOOKUP(H231,'TRA TECH'!J:J,'TRA TECH'!N:N))</f>
        <v>*</v>
      </c>
      <c r="K231" s="15" t="str">
        <f>IF(H231="*","*",IF(_xlfn.XLOOKUP(H231,'TRA TECH'!J:J,'TRA TECH'!O:O)="","",_xlfn.XLOOKUP(H231,'TRA TECH'!J:J,'TRA TECH'!O:O)))</f>
        <v>*</v>
      </c>
      <c r="L231" t="str">
        <f t="shared" si="16"/>
        <v>*</v>
      </c>
      <c r="M231" t="str">
        <f>IF(H231="*","*",IF(_xlfn.XLOOKUP($H231,'TRA TECH'!$J:$J,'TRA TECH'!Q:Q)="","",_xlfn.XLOOKUP($H231,'TRA TECH'!$J:$J,'TRA TECH'!Q:Q)))</f>
        <v>*</v>
      </c>
      <c r="N231" t="str">
        <f>IF(H231="*","*",IF(_xlfn.XLOOKUP($H231,'TRA TECH'!$J:$J,'TRA TECH'!R:R)="","",_xlfn.XLOOKUP($H231,'TRA TECH'!$J:$J,'TRA TECH'!R:R)))</f>
        <v>*</v>
      </c>
      <c r="O231" t="str">
        <f>IF(H231="*","*",IF(_xlfn.XLOOKUP($H231,'TRA TECH'!$J:$J,'TRA TECH'!S:S)="","",_xlfn.XLOOKUP($H231,'TRA TECH'!$J:$J,'TRA TECH'!S:S)))</f>
        <v>*</v>
      </c>
      <c r="P231" t="str">
        <f>IF(H231="*","*",IF(_xlfn.XLOOKUP($H231,'TRA TECH'!$J:$J,'TRA TECH'!T:T)="","",_xlfn.XLOOKUP($H231,'TRA TECH'!$J:$J,'TRA TECH'!T:T)))</f>
        <v>*</v>
      </c>
      <c r="Q231" t="str">
        <f>IF(H231="*","*",IF(_xlfn.XLOOKUP($H231,'TRA TECH'!$J:$J,'TRA TECH'!U:U)="","",_xlfn.XLOOKUP($H231,'TRA TECH'!$J:$J,'TRA TECH'!U:U)))</f>
        <v>*</v>
      </c>
      <c r="R231" t="str">
        <f>IF(H231="*","*",IF(_xlfn.XLOOKUP($H231,'TRA TECH'!$J:$J,'TRA TECH'!V:V)="","",_xlfn.XLOOKUP($H231,'TRA TECH'!$J:$J,'TRA TECH'!V:V)))</f>
        <v>*</v>
      </c>
      <c r="S231" t="str">
        <f>IF(H231="*","*",IF(_xlfn.XLOOKUP($H231,'TRA TECH'!$J:$J,'TRA TECH'!W:W)="","",_xlfn.XLOOKUP($H231,'TRA TECH'!$J:$J,'TRA TECH'!W:W)))</f>
        <v>*</v>
      </c>
      <c r="T231" t="str">
        <f t="shared" si="17"/>
        <v>*</v>
      </c>
      <c r="U231" t="str">
        <f>IF(H231="*","*",IF(_xlfn.XLOOKUP($H231,'TRA TECH'!$J:$J,'TRA TECH'!X:X)="","",_xlfn.XLOOKUP($H231,'TRA TECH'!$J:$J,'TRA TECH'!X:X)))</f>
        <v>*</v>
      </c>
      <c r="V231" t="str">
        <f>IF(H231="*","*",IF(_xlfn.XLOOKUP($H231,'TRA TECH'!$J:$J,'TRA TECH'!Y:Y)="","",_xlfn.XLOOKUP($H231,'TRA TECH'!$J:$J,'TRA TECH'!Y:Y)))</f>
        <v>*</v>
      </c>
      <c r="W231" t="str">
        <f>IF(H231="*","*",IF(_xlfn.XLOOKUP($H231,'TRA TECH'!$J:$J,'TRA TECH'!Z:Z)="","",_xlfn.XLOOKUP($H231,'TRA TECH'!$J:$J,'TRA TECH'!Z:Z)))</f>
        <v>*</v>
      </c>
      <c r="X231" t="str">
        <f>IF(H231="*","*",IF(_xlfn.XLOOKUP($H231,'TRA TECH'!$J:$J,'TRA TECH'!AA:AA)="","",_xlfn.XLOOKUP($H231,'TRA TECH'!$J:$J,'TRA TECH'!AA:AA)))</f>
        <v>*</v>
      </c>
      <c r="Y231" t="str">
        <f>IF(H231="*","*",IF(_xlfn.XLOOKUP($H231,'TRA TECH'!$J:$J,'TRA TECH'!AB:AB)="","",_xlfn.XLOOKUP($H231,'TRA TECH'!$J:$J,'TRA TECH'!AB:AB)))</f>
        <v>*</v>
      </c>
      <c r="Z231" t="str">
        <f>IF(H231="*","*",IF(_xlfn.XLOOKUP($H231,'TRA TECH'!$J:$J,'TRA TECH'!AC:AC)="","",_xlfn.XLOOKUP($H231,'TRA TECH'!$J:$J,'TRA TECH'!AC:AC)))</f>
        <v>*</v>
      </c>
      <c r="AA231" t="str">
        <f>IF(H231="*","*",IF(_xlfn.XLOOKUP($H231,'TRA TECH'!$J:$J,'TRA TECH'!AD:AD)="","",_xlfn.XLOOKUP($H231,'TRA TECH'!$J:$J,'TRA TECH'!AD:AD)))</f>
        <v>*</v>
      </c>
      <c r="AB231" t="str">
        <f t="shared" si="18"/>
        <v>*</v>
      </c>
      <c r="AC231" s="15" t="str">
        <f>IF(H231="*","*",IF(_xlfn.XLOOKUP($H231,'TRA TECH'!$J:$J,'TRA TECH'!AE:AE)="","",_xlfn.XLOOKUP($H231,'TRA TECH'!$J:$J,'TRA TECH'!AE:AE)))</f>
        <v>*</v>
      </c>
      <c r="AD231" s="15" t="str">
        <f>IF(H231="*","*",IF(_xlfn.XLOOKUP($H231,'TRA TECH'!$J:$J,'TRA TECH'!AF:AF)="","",_xlfn.XLOOKUP($H231,'TRA TECH'!$J:$J,'TRA TECH'!AF:AF)))</f>
        <v>*</v>
      </c>
      <c r="AE231" s="15" t="str">
        <f>IF(H231="*","*",IF(_xlfn.XLOOKUP($H231,'TRA TECH'!$J:$J,'TRA TECH'!AG:AG)="","",_xlfn.XLOOKUP($H231,'TRA TECH'!$J:$J,'TRA TECH'!AG:AG)))</f>
        <v>*</v>
      </c>
      <c r="AF231" s="15" t="str">
        <f>IF(H231="*","*",IF(_xlfn.XLOOKUP($H231,'TRA TECH'!$J:$J,'TRA TECH'!AH:AH)="","",_xlfn.XLOOKUP($H231,'TRA TECH'!$J:$J,'TRA TECH'!AH:AH)))</f>
        <v>*</v>
      </c>
      <c r="AG231" s="15" t="str">
        <f>IF(H231="*","*",IF(_xlfn.XLOOKUP($H231,'TRA TECH'!$J:$J,'TRA TECH'!AI:AI)="","",_xlfn.XLOOKUP($H231,'TRA TECH'!$J:$J,'TRA TECH'!AI:AI)))</f>
        <v>*</v>
      </c>
      <c r="AH231" s="15" t="str">
        <f>IF(H231="*","*",IF(_xlfn.XLOOKUP($H231,'TRA TECH'!$J:$J,'TRA TECH'!AJ:AJ)="","",_xlfn.XLOOKUP($H231,'TRA TECH'!$J:$J,'TRA TECH'!AJ:AJ)))</f>
        <v>*</v>
      </c>
      <c r="AI231" s="15" t="str">
        <f>IF(H231="*","*",IF(_xlfn.XLOOKUP($H231,'TRA TECH'!$J:$J,'TRA TECH'!AK:AK)="","",_xlfn.XLOOKUP($H231,'TRA TECH'!$J:$J,'TRA TECH'!AK:AK)))</f>
        <v>*</v>
      </c>
      <c r="AJ231" s="15" t="str">
        <f t="shared" si="19"/>
        <v>*</v>
      </c>
      <c r="AK231" s="16" t="str">
        <f t="shared" si="20"/>
        <v>*</v>
      </c>
    </row>
    <row r="232" spans="2:37" x14ac:dyDescent="0.25">
      <c r="B232" t="str">
        <f>IF('TRA TECH'!M228=0,"*",IF('TRA TECH'!H228="","*",'TRA TECH'!J228))</f>
        <v>TRAPASTBUBEV20</v>
      </c>
      <c r="C232" t="str">
        <f>IF('TRA TECH'!M228=0,"*",'TRA TECH'!H228)</f>
        <v>TRABAF</v>
      </c>
      <c r="D232" t="s">
        <v>424</v>
      </c>
      <c r="E232" s="9">
        <f>'TRA TECH'!P228</f>
        <v>1</v>
      </c>
      <c r="H232" t="str">
        <f>IF('TRA TECH'!M228=1,IF('TRA TECH'!L228=1,'TRA TECH'!J228,"*"),"*")</f>
        <v>TRAPASTBUBEV20</v>
      </c>
      <c r="I232" t="str">
        <f>IF(H232="*","*",_xlfn.XLOOKUP(H232,'TRA TECH'!J:J,'TRA TECH'!I:I))</f>
        <v>TRAPASTBUDMD</v>
      </c>
      <c r="J232">
        <f>IF(H232="*","*",_xlfn.XLOOKUP(H232,'TRA TECH'!J:J,'TRA TECH'!N:N))</f>
        <v>2020</v>
      </c>
      <c r="K232" s="15">
        <f>IF(H232="*","*",IF(_xlfn.XLOOKUP(H232,'TRA TECH'!J:J,'TRA TECH'!O:O)="","",_xlfn.XLOOKUP(H232,'TRA TECH'!J:J,'TRA TECH'!O:O)))</f>
        <v>4.6576618537494188</v>
      </c>
      <c r="L232">
        <f t="shared" si="16"/>
        <v>1</v>
      </c>
      <c r="M232">
        <f>IF(H232="*","*",IF(_xlfn.XLOOKUP($H232,'TRA TECH'!$J:$J,'TRA TECH'!Q:Q)="","",_xlfn.XLOOKUP($H232,'TRA TECH'!$J:$J,'TRA TECH'!Q:Q)))</f>
        <v>0.36877483679525219</v>
      </c>
      <c r="N232">
        <f>IF(H232="*","*",IF(_xlfn.XLOOKUP($H232,'TRA TECH'!$J:$J,'TRA TECH'!R:R)="","",_xlfn.XLOOKUP($H232,'TRA TECH'!$J:$J,'TRA TECH'!R:R)))</f>
        <v>0.36877483679525219</v>
      </c>
      <c r="O232">
        <f>IF(H232="*","*",IF(_xlfn.XLOOKUP($H232,'TRA TECH'!$J:$J,'TRA TECH'!S:S)="","",_xlfn.XLOOKUP($H232,'TRA TECH'!$J:$J,'TRA TECH'!S:S)))</f>
        <v>0.40061151335311579</v>
      </c>
      <c r="P232">
        <f>IF(H232="*","*",IF(_xlfn.XLOOKUP($H232,'TRA TECH'!$J:$J,'TRA TECH'!T:T)="","",_xlfn.XLOOKUP($H232,'TRA TECH'!$J:$J,'TRA TECH'!T:T)))</f>
        <v>0.43510124629080099</v>
      </c>
      <c r="Q232">
        <f>IF(H232="*","*",IF(_xlfn.XLOOKUP($H232,'TRA TECH'!$J:$J,'TRA TECH'!U:U)="","",_xlfn.XLOOKUP($H232,'TRA TECH'!$J:$J,'TRA TECH'!U:U)))</f>
        <v>0.44969305637982182</v>
      </c>
      <c r="R232">
        <f>IF(H232="*","*",IF(_xlfn.XLOOKUP($H232,'TRA TECH'!$J:$J,'TRA TECH'!V:V)="","",_xlfn.XLOOKUP($H232,'TRA TECH'!$J:$J,'TRA TECH'!V:V)))</f>
        <v>0.46428486646884271</v>
      </c>
      <c r="S232">
        <f>IF(H232="*","*",IF(_xlfn.XLOOKUP($H232,'TRA TECH'!$J:$J,'TRA TECH'!W:W)="","",_xlfn.XLOOKUP($H232,'TRA TECH'!$J:$J,'TRA TECH'!W:W)))</f>
        <v>0.48152973293768542</v>
      </c>
      <c r="T232">
        <f t="shared" si="17"/>
        <v>0.48152973293768542</v>
      </c>
      <c r="U232">
        <f>IF(H232="*","*",IF(_xlfn.XLOOKUP($H232,'TRA TECH'!$J:$J,'TRA TECH'!X:X)="","",_xlfn.XLOOKUP($H232,'TRA TECH'!$J:$J,'TRA TECH'!X:X)))</f>
        <v>508.57450509669002</v>
      </c>
      <c r="V232">
        <f>IF(H232="*","*",IF(_xlfn.XLOOKUP($H232,'TRA TECH'!$J:$J,'TRA TECH'!Y:Y)="","",_xlfn.XLOOKUP($H232,'TRA TECH'!$J:$J,'TRA TECH'!Y:Y)))</f>
        <v>508.57450509669002</v>
      </c>
      <c r="W232">
        <f>IF(H232="*","*",IF(_xlfn.XLOOKUP($H232,'TRA TECH'!$J:$J,'TRA TECH'!Z:Z)="","",_xlfn.XLOOKUP($H232,'TRA TECH'!$J:$J,'TRA TECH'!Z:Z)))</f>
        <v>462.34045917880923</v>
      </c>
      <c r="X232">
        <f>IF(H232="*","*",IF(_xlfn.XLOOKUP($H232,'TRA TECH'!$J:$J,'TRA TECH'!AA:AA)="","",_xlfn.XLOOKUP($H232,'TRA TECH'!$J:$J,'TRA TECH'!AA:AA)))</f>
        <v>437.44520368456551</v>
      </c>
      <c r="Y232">
        <f>IF(H232="*","*",IF(_xlfn.XLOOKUP($H232,'TRA TECH'!$J:$J,'TRA TECH'!AB:AB)="","",_xlfn.XLOOKUP($H232,'TRA TECH'!$J:$J,'TRA TECH'!AB:AB)))</f>
        <v>426.06451545862558</v>
      </c>
      <c r="Z232">
        <f>IF(H232="*","*",IF(_xlfn.XLOOKUP($H232,'TRA TECH'!$J:$J,'TRA TECH'!AC:AC)="","",_xlfn.XLOOKUP($H232,'TRA TECH'!$J:$J,'TRA TECH'!AC:AC)))</f>
        <v>414.6838272326857</v>
      </c>
      <c r="AA232">
        <f>IF(H232="*","*",IF(_xlfn.XLOOKUP($H232,'TRA TECH'!$J:$J,'TRA TECH'!AD:AD)="","",_xlfn.XLOOKUP($H232,'TRA TECH'!$J:$J,'TRA TECH'!AD:AD)))</f>
        <v>403.30313900674582</v>
      </c>
      <c r="AB232">
        <f t="shared" si="18"/>
        <v>403.30313900674582</v>
      </c>
      <c r="AC232" s="15">
        <f>IF(H232="*","*",IF(_xlfn.XLOOKUP($H232,'TRA TECH'!$J:$J,'TRA TECH'!AE:AE)="","",_xlfn.XLOOKUP($H232,'TRA TECH'!$J:$J,'TRA TECH'!AE:AE)))</f>
        <v>11.60631037001917</v>
      </c>
      <c r="AD232" s="15">
        <f>IF(H232="*","*",IF(_xlfn.XLOOKUP($H232,'TRA TECH'!$J:$J,'TRA TECH'!AF:AF)="","",_xlfn.XLOOKUP($H232,'TRA TECH'!$J:$J,'TRA TECH'!AF:AF)))</f>
        <v>11.60631037001917</v>
      </c>
      <c r="AE232" s="15">
        <f>IF(H232="*","*",IF(_xlfn.XLOOKUP($H232,'TRA TECH'!$J:$J,'TRA TECH'!AG:AG)="","",_xlfn.XLOOKUP($H232,'TRA TECH'!$J:$J,'TRA TECH'!AG:AG)))</f>
        <v>11.60631037001917</v>
      </c>
      <c r="AF232" s="15">
        <f>IF(H232="*","*",IF(_xlfn.XLOOKUP($H232,'TRA TECH'!$J:$J,'TRA TECH'!AH:AH)="","",_xlfn.XLOOKUP($H232,'TRA TECH'!$J:$J,'TRA TECH'!AH:AH)))</f>
        <v>11.60631037001917</v>
      </c>
      <c r="AG232" s="15">
        <f>IF(H232="*","*",IF(_xlfn.XLOOKUP($H232,'TRA TECH'!$J:$J,'TRA TECH'!AI:AI)="","",_xlfn.XLOOKUP($H232,'TRA TECH'!$J:$J,'TRA TECH'!AI:AI)))</f>
        <v>11.60631037001917</v>
      </c>
      <c r="AH232" s="15">
        <f>IF(H232="*","*",IF(_xlfn.XLOOKUP($H232,'TRA TECH'!$J:$J,'TRA TECH'!AJ:AJ)="","",_xlfn.XLOOKUP($H232,'TRA TECH'!$J:$J,'TRA TECH'!AJ:AJ)))</f>
        <v>11.60631037001917</v>
      </c>
      <c r="AI232" s="15">
        <f>IF(H232="*","*",IF(_xlfn.XLOOKUP($H232,'TRA TECH'!$J:$J,'TRA TECH'!AK:AK)="","",_xlfn.XLOOKUP($H232,'TRA TECH'!$J:$J,'TRA TECH'!AK:AK)))</f>
        <v>11.60631037001917</v>
      </c>
      <c r="AJ232" s="15">
        <f t="shared" si="19"/>
        <v>11.60631037001917</v>
      </c>
      <c r="AK232" s="16">
        <f t="shared" si="20"/>
        <v>0.4</v>
      </c>
    </row>
    <row r="233" spans="2:37" x14ac:dyDescent="0.25">
      <c r="B233" t="str">
        <f>IF('TRA TECH'!M229=0,"*",IF('TRA TECH'!H229="","*",'TRA TECH'!J229))</f>
        <v>TRAPASSBUICEVDSL20</v>
      </c>
      <c r="C233" t="str">
        <f>IF('TRA TECH'!M229=0,"*",'TRA TECH'!H229)</f>
        <v>TRADSL</v>
      </c>
      <c r="D233" t="s">
        <v>424</v>
      </c>
      <c r="E233" s="9">
        <f>'TRA TECH'!P229</f>
        <v>1</v>
      </c>
      <c r="H233" t="str">
        <f>IF('TRA TECH'!M229=1,IF('TRA TECH'!L229=1,'TRA TECH'!J229,"*"),"*")</f>
        <v>TRAPASSBUICEVDSL20</v>
      </c>
      <c r="I233" t="str">
        <f>IF(H233="*","*",_xlfn.XLOOKUP(H233,'TRA TECH'!J:J,'TRA TECH'!I:I))</f>
        <v>TRAPASSBUDMD</v>
      </c>
      <c r="J233">
        <f>IF(H233="*","*",_xlfn.XLOOKUP(H233,'TRA TECH'!J:J,'TRA TECH'!N:N))</f>
        <v>2020</v>
      </c>
      <c r="K233" s="15">
        <f>IF(H233="*","*",IF(_xlfn.XLOOKUP(H233,'TRA TECH'!J:J,'TRA TECH'!O:O)="","",_xlfn.XLOOKUP(H233,'TRA TECH'!J:J,'TRA TECH'!O:O)))</f>
        <v>14.200511218403861</v>
      </c>
      <c r="L233">
        <f t="shared" si="16"/>
        <v>1</v>
      </c>
      <c r="M233">
        <f>IF(H233="*","*",IF(_xlfn.XLOOKUP($H233,'TRA TECH'!$J:$J,'TRA TECH'!Q:Q)="","",_xlfn.XLOOKUP($H233,'TRA TECH'!$J:$J,'TRA TECH'!Q:Q)))</f>
        <v>0.14459157270029679</v>
      </c>
      <c r="N233">
        <f>IF(H233="*","*",IF(_xlfn.XLOOKUP($H233,'TRA TECH'!$J:$J,'TRA TECH'!R:R)="","",_xlfn.XLOOKUP($H233,'TRA TECH'!$J:$J,'TRA TECH'!R:R)))</f>
        <v>0.14459157270029679</v>
      </c>
      <c r="O233">
        <f>IF(H233="*","*",IF(_xlfn.XLOOKUP($H233,'TRA TECH'!$J:$J,'TRA TECH'!S:S)="","",_xlfn.XLOOKUP($H233,'TRA TECH'!$J:$J,'TRA TECH'!S:S)))</f>
        <v>0.1578568545994066</v>
      </c>
      <c r="P233">
        <f>IF(H233="*","*",IF(_xlfn.XLOOKUP($H233,'TRA TECH'!$J:$J,'TRA TECH'!T:T)="","",_xlfn.XLOOKUP($H233,'TRA TECH'!$J:$J,'TRA TECH'!T:T)))</f>
        <v>0.1711221364985164</v>
      </c>
      <c r="Q233">
        <f>IF(H233="*","*",IF(_xlfn.XLOOKUP($H233,'TRA TECH'!$J:$J,'TRA TECH'!U:U)="","",_xlfn.XLOOKUP($H233,'TRA TECH'!$J:$J,'TRA TECH'!U:U)))</f>
        <v>0.1804078338278931</v>
      </c>
      <c r="R233">
        <f>IF(H233="*","*",IF(_xlfn.XLOOKUP($H233,'TRA TECH'!$J:$J,'TRA TECH'!V:V)="","",_xlfn.XLOOKUP($H233,'TRA TECH'!$J:$J,'TRA TECH'!V:V)))</f>
        <v>0.18836700296735909</v>
      </c>
      <c r="S233">
        <f>IF(H233="*","*",IF(_xlfn.XLOOKUP($H233,'TRA TECH'!$J:$J,'TRA TECH'!W:W)="","",_xlfn.XLOOKUP($H233,'TRA TECH'!$J:$J,'TRA TECH'!W:W)))</f>
        <v>0.1963261721068249</v>
      </c>
      <c r="T233">
        <f t="shared" si="17"/>
        <v>0.1963261721068249</v>
      </c>
      <c r="U233">
        <f>IF(H233="*","*",IF(_xlfn.XLOOKUP($H233,'TRA TECH'!$J:$J,'TRA TECH'!X:X)="","",_xlfn.XLOOKUP($H233,'TRA TECH'!$J:$J,'TRA TECH'!X:X)))</f>
        <v>421.08546435977678</v>
      </c>
      <c r="V233">
        <f>IF(H233="*","*",IF(_xlfn.XLOOKUP($H233,'TRA TECH'!$J:$J,'TRA TECH'!Y:Y)="","",_xlfn.XLOOKUP($H233,'TRA TECH'!$J:$J,'TRA TECH'!Y:Y)))</f>
        <v>421.08546435977678</v>
      </c>
      <c r="W233">
        <f>IF(H233="*","*",IF(_xlfn.XLOOKUP($H233,'TRA TECH'!$J:$J,'TRA TECH'!Z:Z)="","",_xlfn.XLOOKUP($H233,'TRA TECH'!$J:$J,'TRA TECH'!Z:Z)))</f>
        <v>423.93063641626179</v>
      </c>
      <c r="X233">
        <f>IF(H233="*","*",IF(_xlfn.XLOOKUP($H233,'TRA TECH'!$J:$J,'TRA TECH'!AA:AA)="","",_xlfn.XLOOKUP($H233,'TRA TECH'!$J:$J,'TRA TECH'!AA:AA)))</f>
        <v>423.21934340214051</v>
      </c>
      <c r="Y233">
        <f>IF(H233="*","*",IF(_xlfn.XLOOKUP($H233,'TRA TECH'!$J:$J,'TRA TECH'!AB:AB)="","",_xlfn.XLOOKUP($H233,'TRA TECH'!$J:$J,'TRA TECH'!AB:AB)))</f>
        <v>423.93063641626179</v>
      </c>
      <c r="Z233">
        <f>IF(H233="*","*",IF(_xlfn.XLOOKUP($H233,'TRA TECH'!$J:$J,'TRA TECH'!AC:AC)="","",_xlfn.XLOOKUP($H233,'TRA TECH'!$J:$J,'TRA TECH'!AC:AC)))</f>
        <v>424.64192943038302</v>
      </c>
      <c r="AA233">
        <f>IF(H233="*","*",IF(_xlfn.XLOOKUP($H233,'TRA TECH'!$J:$J,'TRA TECH'!AD:AD)="","",_xlfn.XLOOKUP($H233,'TRA TECH'!$J:$J,'TRA TECH'!AD:AD)))</f>
        <v>426.06451545862558</v>
      </c>
      <c r="AB233">
        <f t="shared" si="18"/>
        <v>426.06451545862558</v>
      </c>
      <c r="AC233" s="15">
        <f>IF(H233="*","*",IF(_xlfn.XLOOKUP($H233,'TRA TECH'!$J:$J,'TRA TECH'!AE:AE)="","",_xlfn.XLOOKUP($H233,'TRA TECH'!$J:$J,'TRA TECH'!AE:AE)))</f>
        <v>5.9105319784213286</v>
      </c>
      <c r="AD233" s="15">
        <f>IF(H233="*","*",IF(_xlfn.XLOOKUP($H233,'TRA TECH'!$J:$J,'TRA TECH'!AF:AF)="","",_xlfn.XLOOKUP($H233,'TRA TECH'!$J:$J,'TRA TECH'!AF:AF)))</f>
        <v>5.9105319784213286</v>
      </c>
      <c r="AE233" s="15">
        <f>IF(H233="*","*",IF(_xlfn.XLOOKUP($H233,'TRA TECH'!$J:$J,'TRA TECH'!AG:AG)="","",_xlfn.XLOOKUP($H233,'TRA TECH'!$J:$J,'TRA TECH'!AG:AG)))</f>
        <v>5.9105319784213286</v>
      </c>
      <c r="AF233" s="15">
        <f>IF(H233="*","*",IF(_xlfn.XLOOKUP($H233,'TRA TECH'!$J:$J,'TRA TECH'!AH:AH)="","",_xlfn.XLOOKUP($H233,'TRA TECH'!$J:$J,'TRA TECH'!AH:AH)))</f>
        <v>5.9105319784213286</v>
      </c>
      <c r="AG233" s="15">
        <f>IF(H233="*","*",IF(_xlfn.XLOOKUP($H233,'TRA TECH'!$J:$J,'TRA TECH'!AI:AI)="","",_xlfn.XLOOKUP($H233,'TRA TECH'!$J:$J,'TRA TECH'!AI:AI)))</f>
        <v>5.9105319784213286</v>
      </c>
      <c r="AH233" s="15">
        <f>IF(H233="*","*",IF(_xlfn.XLOOKUP($H233,'TRA TECH'!$J:$J,'TRA TECH'!AJ:AJ)="","",_xlfn.XLOOKUP($H233,'TRA TECH'!$J:$J,'TRA TECH'!AJ:AJ)))</f>
        <v>5.9105319784213286</v>
      </c>
      <c r="AI233" s="15">
        <f>IF(H233="*","*",IF(_xlfn.XLOOKUP($H233,'TRA TECH'!$J:$J,'TRA TECH'!AK:AK)="","",_xlfn.XLOOKUP($H233,'TRA TECH'!$J:$J,'TRA TECH'!AK:AK)))</f>
        <v>5.9105319784213286</v>
      </c>
      <c r="AJ233" s="15">
        <f t="shared" si="19"/>
        <v>5.9105319784213286</v>
      </c>
      <c r="AK233" s="16">
        <f t="shared" si="20"/>
        <v>0.1</v>
      </c>
    </row>
    <row r="234" spans="2:37" x14ac:dyDescent="0.25">
      <c r="B234" t="str">
        <f>IF('TRA TECH'!M230=0,"*",IF('TRA TECH'!H230="","*",'TRA TECH'!J230))</f>
        <v>TRAPASSBUICEVDSL20</v>
      </c>
      <c r="C234" t="str">
        <f>IF('TRA TECH'!M230=0,"*",'TRA TECH'!H230)</f>
        <v>TRARDS</v>
      </c>
      <c r="D234" t="s">
        <v>424</v>
      </c>
      <c r="E234" s="9">
        <f>'TRA TECH'!P230</f>
        <v>1</v>
      </c>
      <c r="H234" t="str">
        <f>IF('TRA TECH'!M230=1,IF('TRA TECH'!L230=1,'TRA TECH'!J230,"*"),"*")</f>
        <v>*</v>
      </c>
      <c r="I234" t="str">
        <f>IF(H234="*","*",_xlfn.XLOOKUP(H234,'TRA TECH'!J:J,'TRA TECH'!I:I))</f>
        <v>*</v>
      </c>
      <c r="J234" t="str">
        <f>IF(H234="*","*",_xlfn.XLOOKUP(H234,'TRA TECH'!J:J,'TRA TECH'!N:N))</f>
        <v>*</v>
      </c>
      <c r="K234" s="15" t="str">
        <f>IF(H234="*","*",IF(_xlfn.XLOOKUP(H234,'TRA TECH'!J:J,'TRA TECH'!O:O)="","",_xlfn.XLOOKUP(H234,'TRA TECH'!J:J,'TRA TECH'!O:O)))</f>
        <v>*</v>
      </c>
      <c r="L234" t="str">
        <f t="shared" si="16"/>
        <v>*</v>
      </c>
      <c r="M234" t="str">
        <f>IF(H234="*","*",IF(_xlfn.XLOOKUP($H234,'TRA TECH'!$J:$J,'TRA TECH'!Q:Q)="","",_xlfn.XLOOKUP($H234,'TRA TECH'!$J:$J,'TRA TECH'!Q:Q)))</f>
        <v>*</v>
      </c>
      <c r="N234" t="str">
        <f>IF(H234="*","*",IF(_xlfn.XLOOKUP($H234,'TRA TECH'!$J:$J,'TRA TECH'!R:R)="","",_xlfn.XLOOKUP($H234,'TRA TECH'!$J:$J,'TRA TECH'!R:R)))</f>
        <v>*</v>
      </c>
      <c r="O234" t="str">
        <f>IF(H234="*","*",IF(_xlfn.XLOOKUP($H234,'TRA TECH'!$J:$J,'TRA TECH'!S:S)="","",_xlfn.XLOOKUP($H234,'TRA TECH'!$J:$J,'TRA TECH'!S:S)))</f>
        <v>*</v>
      </c>
      <c r="P234" t="str">
        <f>IF(H234="*","*",IF(_xlfn.XLOOKUP($H234,'TRA TECH'!$J:$J,'TRA TECH'!T:T)="","",_xlfn.XLOOKUP($H234,'TRA TECH'!$J:$J,'TRA TECH'!T:T)))</f>
        <v>*</v>
      </c>
      <c r="Q234" t="str">
        <f>IF(H234="*","*",IF(_xlfn.XLOOKUP($H234,'TRA TECH'!$J:$J,'TRA TECH'!U:U)="","",_xlfn.XLOOKUP($H234,'TRA TECH'!$J:$J,'TRA TECH'!U:U)))</f>
        <v>*</v>
      </c>
      <c r="R234" t="str">
        <f>IF(H234="*","*",IF(_xlfn.XLOOKUP($H234,'TRA TECH'!$J:$J,'TRA TECH'!V:V)="","",_xlfn.XLOOKUP($H234,'TRA TECH'!$J:$J,'TRA TECH'!V:V)))</f>
        <v>*</v>
      </c>
      <c r="S234" t="str">
        <f>IF(H234="*","*",IF(_xlfn.XLOOKUP($H234,'TRA TECH'!$J:$J,'TRA TECH'!W:W)="","",_xlfn.XLOOKUP($H234,'TRA TECH'!$J:$J,'TRA TECH'!W:W)))</f>
        <v>*</v>
      </c>
      <c r="T234" t="str">
        <f t="shared" si="17"/>
        <v>*</v>
      </c>
      <c r="U234" t="str">
        <f>IF(H234="*","*",IF(_xlfn.XLOOKUP($H234,'TRA TECH'!$J:$J,'TRA TECH'!X:X)="","",_xlfn.XLOOKUP($H234,'TRA TECH'!$J:$J,'TRA TECH'!X:X)))</f>
        <v>*</v>
      </c>
      <c r="V234" t="str">
        <f>IF(H234="*","*",IF(_xlfn.XLOOKUP($H234,'TRA TECH'!$J:$J,'TRA TECH'!Y:Y)="","",_xlfn.XLOOKUP($H234,'TRA TECH'!$J:$J,'TRA TECH'!Y:Y)))</f>
        <v>*</v>
      </c>
      <c r="W234" t="str">
        <f>IF(H234="*","*",IF(_xlfn.XLOOKUP($H234,'TRA TECH'!$J:$J,'TRA TECH'!Z:Z)="","",_xlfn.XLOOKUP($H234,'TRA TECH'!$J:$J,'TRA TECH'!Z:Z)))</f>
        <v>*</v>
      </c>
      <c r="X234" t="str">
        <f>IF(H234="*","*",IF(_xlfn.XLOOKUP($H234,'TRA TECH'!$J:$J,'TRA TECH'!AA:AA)="","",_xlfn.XLOOKUP($H234,'TRA TECH'!$J:$J,'TRA TECH'!AA:AA)))</f>
        <v>*</v>
      </c>
      <c r="Y234" t="str">
        <f>IF(H234="*","*",IF(_xlfn.XLOOKUP($H234,'TRA TECH'!$J:$J,'TRA TECH'!AB:AB)="","",_xlfn.XLOOKUP($H234,'TRA TECH'!$J:$J,'TRA TECH'!AB:AB)))</f>
        <v>*</v>
      </c>
      <c r="Z234" t="str">
        <f>IF(H234="*","*",IF(_xlfn.XLOOKUP($H234,'TRA TECH'!$J:$J,'TRA TECH'!AC:AC)="","",_xlfn.XLOOKUP($H234,'TRA TECH'!$J:$J,'TRA TECH'!AC:AC)))</f>
        <v>*</v>
      </c>
      <c r="AA234" t="str">
        <f>IF(H234="*","*",IF(_xlfn.XLOOKUP($H234,'TRA TECH'!$J:$J,'TRA TECH'!AD:AD)="","",_xlfn.XLOOKUP($H234,'TRA TECH'!$J:$J,'TRA TECH'!AD:AD)))</f>
        <v>*</v>
      </c>
      <c r="AB234" t="str">
        <f t="shared" si="18"/>
        <v>*</v>
      </c>
      <c r="AC234" s="15" t="str">
        <f>IF(H234="*","*",IF(_xlfn.XLOOKUP($H234,'TRA TECH'!$J:$J,'TRA TECH'!AE:AE)="","",_xlfn.XLOOKUP($H234,'TRA TECH'!$J:$J,'TRA TECH'!AE:AE)))</f>
        <v>*</v>
      </c>
      <c r="AD234" s="15" t="str">
        <f>IF(H234="*","*",IF(_xlfn.XLOOKUP($H234,'TRA TECH'!$J:$J,'TRA TECH'!AF:AF)="","",_xlfn.XLOOKUP($H234,'TRA TECH'!$J:$J,'TRA TECH'!AF:AF)))</f>
        <v>*</v>
      </c>
      <c r="AE234" s="15" t="str">
        <f>IF(H234="*","*",IF(_xlfn.XLOOKUP($H234,'TRA TECH'!$J:$J,'TRA TECH'!AG:AG)="","",_xlfn.XLOOKUP($H234,'TRA TECH'!$J:$J,'TRA TECH'!AG:AG)))</f>
        <v>*</v>
      </c>
      <c r="AF234" s="15" t="str">
        <f>IF(H234="*","*",IF(_xlfn.XLOOKUP($H234,'TRA TECH'!$J:$J,'TRA TECH'!AH:AH)="","",_xlfn.XLOOKUP($H234,'TRA TECH'!$J:$J,'TRA TECH'!AH:AH)))</f>
        <v>*</v>
      </c>
      <c r="AG234" s="15" t="str">
        <f>IF(H234="*","*",IF(_xlfn.XLOOKUP($H234,'TRA TECH'!$J:$J,'TRA TECH'!AI:AI)="","",_xlfn.XLOOKUP($H234,'TRA TECH'!$J:$J,'TRA TECH'!AI:AI)))</f>
        <v>*</v>
      </c>
      <c r="AH234" s="15" t="str">
        <f>IF(H234="*","*",IF(_xlfn.XLOOKUP($H234,'TRA TECH'!$J:$J,'TRA TECH'!AJ:AJ)="","",_xlfn.XLOOKUP($H234,'TRA TECH'!$J:$J,'TRA TECH'!AJ:AJ)))</f>
        <v>*</v>
      </c>
      <c r="AI234" s="15" t="str">
        <f>IF(H234="*","*",IF(_xlfn.XLOOKUP($H234,'TRA TECH'!$J:$J,'TRA TECH'!AK:AK)="","",_xlfn.XLOOKUP($H234,'TRA TECH'!$J:$J,'TRA TECH'!AK:AK)))</f>
        <v>*</v>
      </c>
      <c r="AJ234" s="15" t="str">
        <f t="shared" si="19"/>
        <v>*</v>
      </c>
      <c r="AK234" s="16" t="str">
        <f t="shared" si="20"/>
        <v>*</v>
      </c>
    </row>
    <row r="235" spans="2:37" x14ac:dyDescent="0.25">
      <c r="B235" t="str">
        <f>IF('TRA TECH'!M231=0,"*",IF('TRA TECH'!H231="","*",'TRA TECH'!J231))</f>
        <v>TRAPASSBUICEVDSL20</v>
      </c>
      <c r="C235" t="str">
        <f>IF('TRA TECH'!M231=0,"*",'TRA TECH'!H231)</f>
        <v>TRABDS</v>
      </c>
      <c r="D235" t="s">
        <v>424</v>
      </c>
      <c r="E235" s="9">
        <f>'TRA TECH'!P231</f>
        <v>0.1</v>
      </c>
      <c r="H235" t="str">
        <f>IF('TRA TECH'!M231=1,IF('TRA TECH'!L231=1,'TRA TECH'!J231,"*"),"*")</f>
        <v>*</v>
      </c>
      <c r="I235" t="str">
        <f>IF(H235="*","*",_xlfn.XLOOKUP(H235,'TRA TECH'!J:J,'TRA TECH'!I:I))</f>
        <v>*</v>
      </c>
      <c r="J235" t="str">
        <f>IF(H235="*","*",_xlfn.XLOOKUP(H235,'TRA TECH'!J:J,'TRA TECH'!N:N))</f>
        <v>*</v>
      </c>
      <c r="K235" s="15" t="str">
        <f>IF(H235="*","*",IF(_xlfn.XLOOKUP(H235,'TRA TECH'!J:J,'TRA TECH'!O:O)="","",_xlfn.XLOOKUP(H235,'TRA TECH'!J:J,'TRA TECH'!O:O)))</f>
        <v>*</v>
      </c>
      <c r="L235" t="str">
        <f t="shared" si="16"/>
        <v>*</v>
      </c>
      <c r="M235" t="str">
        <f>IF(H235="*","*",IF(_xlfn.XLOOKUP($H235,'TRA TECH'!$J:$J,'TRA TECH'!Q:Q)="","",_xlfn.XLOOKUP($H235,'TRA TECH'!$J:$J,'TRA TECH'!Q:Q)))</f>
        <v>*</v>
      </c>
      <c r="N235" t="str">
        <f>IF(H235="*","*",IF(_xlfn.XLOOKUP($H235,'TRA TECH'!$J:$J,'TRA TECH'!R:R)="","",_xlfn.XLOOKUP($H235,'TRA TECH'!$J:$J,'TRA TECH'!R:R)))</f>
        <v>*</v>
      </c>
      <c r="O235" t="str">
        <f>IF(H235="*","*",IF(_xlfn.XLOOKUP($H235,'TRA TECH'!$J:$J,'TRA TECH'!S:S)="","",_xlfn.XLOOKUP($H235,'TRA TECH'!$J:$J,'TRA TECH'!S:S)))</f>
        <v>*</v>
      </c>
      <c r="P235" t="str">
        <f>IF(H235="*","*",IF(_xlfn.XLOOKUP($H235,'TRA TECH'!$J:$J,'TRA TECH'!T:T)="","",_xlfn.XLOOKUP($H235,'TRA TECH'!$J:$J,'TRA TECH'!T:T)))</f>
        <v>*</v>
      </c>
      <c r="Q235" t="str">
        <f>IF(H235="*","*",IF(_xlfn.XLOOKUP($H235,'TRA TECH'!$J:$J,'TRA TECH'!U:U)="","",_xlfn.XLOOKUP($H235,'TRA TECH'!$J:$J,'TRA TECH'!U:U)))</f>
        <v>*</v>
      </c>
      <c r="R235" t="str">
        <f>IF(H235="*","*",IF(_xlfn.XLOOKUP($H235,'TRA TECH'!$J:$J,'TRA TECH'!V:V)="","",_xlfn.XLOOKUP($H235,'TRA TECH'!$J:$J,'TRA TECH'!V:V)))</f>
        <v>*</v>
      </c>
      <c r="S235" t="str">
        <f>IF(H235="*","*",IF(_xlfn.XLOOKUP($H235,'TRA TECH'!$J:$J,'TRA TECH'!W:W)="","",_xlfn.XLOOKUP($H235,'TRA TECH'!$J:$J,'TRA TECH'!W:W)))</f>
        <v>*</v>
      </c>
      <c r="T235" t="str">
        <f t="shared" si="17"/>
        <v>*</v>
      </c>
      <c r="U235" t="str">
        <f>IF(H235="*","*",IF(_xlfn.XLOOKUP($H235,'TRA TECH'!$J:$J,'TRA TECH'!X:X)="","",_xlfn.XLOOKUP($H235,'TRA TECH'!$J:$J,'TRA TECH'!X:X)))</f>
        <v>*</v>
      </c>
      <c r="V235" t="str">
        <f>IF(H235="*","*",IF(_xlfn.XLOOKUP($H235,'TRA TECH'!$J:$J,'TRA TECH'!Y:Y)="","",_xlfn.XLOOKUP($H235,'TRA TECH'!$J:$J,'TRA TECH'!Y:Y)))</f>
        <v>*</v>
      </c>
      <c r="W235" t="str">
        <f>IF(H235="*","*",IF(_xlfn.XLOOKUP($H235,'TRA TECH'!$J:$J,'TRA TECH'!Z:Z)="","",_xlfn.XLOOKUP($H235,'TRA TECH'!$J:$J,'TRA TECH'!Z:Z)))</f>
        <v>*</v>
      </c>
      <c r="X235" t="str">
        <f>IF(H235="*","*",IF(_xlfn.XLOOKUP($H235,'TRA TECH'!$J:$J,'TRA TECH'!AA:AA)="","",_xlfn.XLOOKUP($H235,'TRA TECH'!$J:$J,'TRA TECH'!AA:AA)))</f>
        <v>*</v>
      </c>
      <c r="Y235" t="str">
        <f>IF(H235="*","*",IF(_xlfn.XLOOKUP($H235,'TRA TECH'!$J:$J,'TRA TECH'!AB:AB)="","",_xlfn.XLOOKUP($H235,'TRA TECH'!$J:$J,'TRA TECH'!AB:AB)))</f>
        <v>*</v>
      </c>
      <c r="Z235" t="str">
        <f>IF(H235="*","*",IF(_xlfn.XLOOKUP($H235,'TRA TECH'!$J:$J,'TRA TECH'!AC:AC)="","",_xlfn.XLOOKUP($H235,'TRA TECH'!$J:$J,'TRA TECH'!AC:AC)))</f>
        <v>*</v>
      </c>
      <c r="AA235" t="str">
        <f>IF(H235="*","*",IF(_xlfn.XLOOKUP($H235,'TRA TECH'!$J:$J,'TRA TECH'!AD:AD)="","",_xlfn.XLOOKUP($H235,'TRA TECH'!$J:$J,'TRA TECH'!AD:AD)))</f>
        <v>*</v>
      </c>
      <c r="AB235" t="str">
        <f t="shared" si="18"/>
        <v>*</v>
      </c>
      <c r="AC235" s="15" t="str">
        <f>IF(H235="*","*",IF(_xlfn.XLOOKUP($H235,'TRA TECH'!$J:$J,'TRA TECH'!AE:AE)="","",_xlfn.XLOOKUP($H235,'TRA TECH'!$J:$J,'TRA TECH'!AE:AE)))</f>
        <v>*</v>
      </c>
      <c r="AD235" s="15" t="str">
        <f>IF(H235="*","*",IF(_xlfn.XLOOKUP($H235,'TRA TECH'!$J:$J,'TRA TECH'!AF:AF)="","",_xlfn.XLOOKUP($H235,'TRA TECH'!$J:$J,'TRA TECH'!AF:AF)))</f>
        <v>*</v>
      </c>
      <c r="AE235" s="15" t="str">
        <f>IF(H235="*","*",IF(_xlfn.XLOOKUP($H235,'TRA TECH'!$J:$J,'TRA TECH'!AG:AG)="","",_xlfn.XLOOKUP($H235,'TRA TECH'!$J:$J,'TRA TECH'!AG:AG)))</f>
        <v>*</v>
      </c>
      <c r="AF235" s="15" t="str">
        <f>IF(H235="*","*",IF(_xlfn.XLOOKUP($H235,'TRA TECH'!$J:$J,'TRA TECH'!AH:AH)="","",_xlfn.XLOOKUP($H235,'TRA TECH'!$J:$J,'TRA TECH'!AH:AH)))</f>
        <v>*</v>
      </c>
      <c r="AG235" s="15" t="str">
        <f>IF(H235="*","*",IF(_xlfn.XLOOKUP($H235,'TRA TECH'!$J:$J,'TRA TECH'!AI:AI)="","",_xlfn.XLOOKUP($H235,'TRA TECH'!$J:$J,'TRA TECH'!AI:AI)))</f>
        <v>*</v>
      </c>
      <c r="AH235" s="15" t="str">
        <f>IF(H235="*","*",IF(_xlfn.XLOOKUP($H235,'TRA TECH'!$J:$J,'TRA TECH'!AJ:AJ)="","",_xlfn.XLOOKUP($H235,'TRA TECH'!$J:$J,'TRA TECH'!AJ:AJ)))</f>
        <v>*</v>
      </c>
      <c r="AI235" s="15" t="str">
        <f>IF(H235="*","*",IF(_xlfn.XLOOKUP($H235,'TRA TECH'!$J:$J,'TRA TECH'!AK:AK)="","",_xlfn.XLOOKUP($H235,'TRA TECH'!$J:$J,'TRA TECH'!AK:AK)))</f>
        <v>*</v>
      </c>
      <c r="AJ235" s="15" t="str">
        <f t="shared" si="19"/>
        <v>*</v>
      </c>
      <c r="AK235" s="16" t="str">
        <f t="shared" si="20"/>
        <v>*</v>
      </c>
    </row>
    <row r="236" spans="2:37" x14ac:dyDescent="0.25">
      <c r="B236" t="str">
        <f>IF('TRA TECH'!M232=0,"*",IF('TRA TECH'!H232="","*",'TRA TECH'!J232))</f>
        <v>TRAPASSBUICEIDSL20</v>
      </c>
      <c r="C236" t="str">
        <f>IF('TRA TECH'!M232=0,"*",'TRA TECH'!H232)</f>
        <v>TRADSL</v>
      </c>
      <c r="D236" t="s">
        <v>424</v>
      </c>
      <c r="E236" s="9">
        <f>'TRA TECH'!P232</f>
        <v>1</v>
      </c>
      <c r="H236" t="str">
        <f>IF('TRA TECH'!M232=1,IF('TRA TECH'!L232=1,'TRA TECH'!J232,"*"),"*")</f>
        <v>TRAPASSBUICEIDSL20</v>
      </c>
      <c r="I236" t="str">
        <f>IF(H236="*","*",_xlfn.XLOOKUP(H236,'TRA TECH'!J:J,'TRA TECH'!I:I))</f>
        <v>TRAPASSBUDMD</v>
      </c>
      <c r="J236">
        <f>IF(H236="*","*",_xlfn.XLOOKUP(H236,'TRA TECH'!J:J,'TRA TECH'!N:N))</f>
        <v>2020</v>
      </c>
      <c r="K236" s="15">
        <f>IF(H236="*","*",IF(_xlfn.XLOOKUP(H236,'TRA TECH'!J:J,'TRA TECH'!O:O)="","",_xlfn.XLOOKUP(H236,'TRA TECH'!J:J,'TRA TECH'!O:O)))</f>
        <v>14.200511218403861</v>
      </c>
      <c r="L236">
        <f t="shared" si="16"/>
        <v>1</v>
      </c>
      <c r="M236">
        <f>IF(H236="*","*",IF(_xlfn.XLOOKUP($H236,'TRA TECH'!$J:$J,'TRA TECH'!Q:Q)="","",_xlfn.XLOOKUP($H236,'TRA TECH'!$J:$J,'TRA TECH'!Q:Q)))</f>
        <v>0.14459157270029679</v>
      </c>
      <c r="N236">
        <f>IF(H236="*","*",IF(_xlfn.XLOOKUP($H236,'TRA TECH'!$J:$J,'TRA TECH'!R:R)="","",_xlfn.XLOOKUP($H236,'TRA TECH'!$J:$J,'TRA TECH'!R:R)))</f>
        <v>0.14459157270029679</v>
      </c>
      <c r="O236">
        <f>IF(H236="*","*",IF(_xlfn.XLOOKUP($H236,'TRA TECH'!$J:$J,'TRA TECH'!S:S)="","",_xlfn.XLOOKUP($H236,'TRA TECH'!$J:$J,'TRA TECH'!S:S)))</f>
        <v>0.1578568545994066</v>
      </c>
      <c r="P236">
        <f>IF(H236="*","*",IF(_xlfn.XLOOKUP($H236,'TRA TECH'!$J:$J,'TRA TECH'!T:T)="","",_xlfn.XLOOKUP($H236,'TRA TECH'!$J:$J,'TRA TECH'!T:T)))</f>
        <v>0.17244866468842729</v>
      </c>
      <c r="Q236">
        <f>IF(H236="*","*",IF(_xlfn.XLOOKUP($H236,'TRA TECH'!$J:$J,'TRA TECH'!U:U)="","",_xlfn.XLOOKUP($H236,'TRA TECH'!$J:$J,'TRA TECH'!U:U)))</f>
        <v>0.1804078338278931</v>
      </c>
      <c r="R236">
        <f>IF(H236="*","*",IF(_xlfn.XLOOKUP($H236,'TRA TECH'!$J:$J,'TRA TECH'!V:V)="","",_xlfn.XLOOKUP($H236,'TRA TECH'!$J:$J,'TRA TECH'!V:V)))</f>
        <v>0.18836700296735909</v>
      </c>
      <c r="S236">
        <f>IF(H236="*","*",IF(_xlfn.XLOOKUP($H236,'TRA TECH'!$J:$J,'TRA TECH'!W:W)="","",_xlfn.XLOOKUP($H236,'TRA TECH'!$J:$J,'TRA TECH'!W:W)))</f>
        <v>0.19765270029673601</v>
      </c>
      <c r="T236">
        <f t="shared" si="17"/>
        <v>0.19765270029673601</v>
      </c>
      <c r="U236">
        <f>IF(H236="*","*",IF(_xlfn.XLOOKUP($H236,'TRA TECH'!$J:$J,'TRA TECH'!X:X)="","",_xlfn.XLOOKUP($H236,'TRA TECH'!$J:$J,'TRA TECH'!X:X)))</f>
        <v>461.62916616468777</v>
      </c>
      <c r="V236">
        <f>IF(H236="*","*",IF(_xlfn.XLOOKUP($H236,'TRA TECH'!$J:$J,'TRA TECH'!Y:Y)="","",_xlfn.XLOOKUP($H236,'TRA TECH'!$J:$J,'TRA TECH'!Y:Y)))</f>
        <v>461.62916616468777</v>
      </c>
      <c r="W236">
        <f>IF(H236="*","*",IF(_xlfn.XLOOKUP($H236,'TRA TECH'!$J:$J,'TRA TECH'!Z:Z)="","",_xlfn.XLOOKUP($H236,'TRA TECH'!$J:$J,'TRA TECH'!Z:Z)))</f>
        <v>465.18563123529401</v>
      </c>
      <c r="X236">
        <f>IF(H236="*","*",IF(_xlfn.XLOOKUP($H236,'TRA TECH'!$J:$J,'TRA TECH'!AA:AA)="","",_xlfn.XLOOKUP($H236,'TRA TECH'!$J:$J,'TRA TECH'!AA:AA)))</f>
        <v>463.7630452070515</v>
      </c>
      <c r="Y236">
        <f>IF(H236="*","*",IF(_xlfn.XLOOKUP($H236,'TRA TECH'!$J:$J,'TRA TECH'!AB:AB)="","",_xlfn.XLOOKUP($H236,'TRA TECH'!$J:$J,'TRA TECH'!AB:AB)))</f>
        <v>463.7630452070515</v>
      </c>
      <c r="Z236">
        <f>IF(H236="*","*",IF(_xlfn.XLOOKUP($H236,'TRA TECH'!$J:$J,'TRA TECH'!AC:AC)="","",_xlfn.XLOOKUP($H236,'TRA TECH'!$J:$J,'TRA TECH'!AC:AC)))</f>
        <v>464.47433822117279</v>
      </c>
      <c r="AA236">
        <f>IF(H236="*","*",IF(_xlfn.XLOOKUP($H236,'TRA TECH'!$J:$J,'TRA TECH'!AD:AD)="","",_xlfn.XLOOKUP($H236,'TRA TECH'!$J:$J,'TRA TECH'!AD:AD)))</f>
        <v>465.18563123529401</v>
      </c>
      <c r="AB236">
        <f t="shared" si="18"/>
        <v>465.18563123529401</v>
      </c>
      <c r="AC236" s="15">
        <f>IF(H236="*","*",IF(_xlfn.XLOOKUP($H236,'TRA TECH'!$J:$J,'TRA TECH'!AE:AE)="","",_xlfn.XLOOKUP($H236,'TRA TECH'!$J:$J,'TRA TECH'!AE:AE)))</f>
        <v>5.9105319784213286</v>
      </c>
      <c r="AD236" s="15">
        <f>IF(H236="*","*",IF(_xlfn.XLOOKUP($H236,'TRA TECH'!$J:$J,'TRA TECH'!AF:AF)="","",_xlfn.XLOOKUP($H236,'TRA TECH'!$J:$J,'TRA TECH'!AF:AF)))</f>
        <v>5.9105319784213286</v>
      </c>
      <c r="AE236" s="15">
        <f>IF(H236="*","*",IF(_xlfn.XLOOKUP($H236,'TRA TECH'!$J:$J,'TRA TECH'!AG:AG)="","",_xlfn.XLOOKUP($H236,'TRA TECH'!$J:$J,'TRA TECH'!AG:AG)))</f>
        <v>5.9105319784213286</v>
      </c>
      <c r="AF236" s="15">
        <f>IF(H236="*","*",IF(_xlfn.XLOOKUP($H236,'TRA TECH'!$J:$J,'TRA TECH'!AH:AH)="","",_xlfn.XLOOKUP($H236,'TRA TECH'!$J:$J,'TRA TECH'!AH:AH)))</f>
        <v>5.9105319784213286</v>
      </c>
      <c r="AG236" s="15">
        <f>IF(H236="*","*",IF(_xlfn.XLOOKUP($H236,'TRA TECH'!$J:$J,'TRA TECH'!AI:AI)="","",_xlfn.XLOOKUP($H236,'TRA TECH'!$J:$J,'TRA TECH'!AI:AI)))</f>
        <v>5.9105319784213286</v>
      </c>
      <c r="AH236" s="15">
        <f>IF(H236="*","*",IF(_xlfn.XLOOKUP($H236,'TRA TECH'!$J:$J,'TRA TECH'!AJ:AJ)="","",_xlfn.XLOOKUP($H236,'TRA TECH'!$J:$J,'TRA TECH'!AJ:AJ)))</f>
        <v>5.9105319784213286</v>
      </c>
      <c r="AI236" s="15">
        <f>IF(H236="*","*",IF(_xlfn.XLOOKUP($H236,'TRA TECH'!$J:$J,'TRA TECH'!AK:AK)="","",_xlfn.XLOOKUP($H236,'TRA TECH'!$J:$J,'TRA TECH'!AK:AK)))</f>
        <v>5.9105319784213286</v>
      </c>
      <c r="AJ236" s="15">
        <f t="shared" si="19"/>
        <v>5.9105319784213286</v>
      </c>
      <c r="AK236" s="16">
        <f t="shared" si="20"/>
        <v>0.1</v>
      </c>
    </row>
    <row r="237" spans="2:37" x14ac:dyDescent="0.25">
      <c r="B237" t="str">
        <f>IF('TRA TECH'!M233=0,"*",IF('TRA TECH'!H233="","*",'TRA TECH'!J233))</f>
        <v>TRAPASSBUICEIDSL20</v>
      </c>
      <c r="C237" t="str">
        <f>IF('TRA TECH'!M233=0,"*",'TRA TECH'!H233)</f>
        <v>TRARDS</v>
      </c>
      <c r="D237" t="s">
        <v>424</v>
      </c>
      <c r="E237" s="9">
        <f>'TRA TECH'!P233</f>
        <v>1</v>
      </c>
      <c r="H237" t="str">
        <f>IF('TRA TECH'!M233=1,IF('TRA TECH'!L233=1,'TRA TECH'!J233,"*"),"*")</f>
        <v>*</v>
      </c>
      <c r="I237" t="str">
        <f>IF(H237="*","*",_xlfn.XLOOKUP(H237,'TRA TECH'!J:J,'TRA TECH'!I:I))</f>
        <v>*</v>
      </c>
      <c r="J237" t="str">
        <f>IF(H237="*","*",_xlfn.XLOOKUP(H237,'TRA TECH'!J:J,'TRA TECH'!N:N))</f>
        <v>*</v>
      </c>
      <c r="K237" s="15" t="str">
        <f>IF(H237="*","*",IF(_xlfn.XLOOKUP(H237,'TRA TECH'!J:J,'TRA TECH'!O:O)="","",_xlfn.XLOOKUP(H237,'TRA TECH'!J:J,'TRA TECH'!O:O)))</f>
        <v>*</v>
      </c>
      <c r="L237" t="str">
        <f t="shared" si="16"/>
        <v>*</v>
      </c>
      <c r="M237" t="str">
        <f>IF(H237="*","*",IF(_xlfn.XLOOKUP($H237,'TRA TECH'!$J:$J,'TRA TECH'!Q:Q)="","",_xlfn.XLOOKUP($H237,'TRA TECH'!$J:$J,'TRA TECH'!Q:Q)))</f>
        <v>*</v>
      </c>
      <c r="N237" t="str">
        <f>IF(H237="*","*",IF(_xlfn.XLOOKUP($H237,'TRA TECH'!$J:$J,'TRA TECH'!R:R)="","",_xlfn.XLOOKUP($H237,'TRA TECH'!$J:$J,'TRA TECH'!R:R)))</f>
        <v>*</v>
      </c>
      <c r="O237" t="str">
        <f>IF(H237="*","*",IF(_xlfn.XLOOKUP($H237,'TRA TECH'!$J:$J,'TRA TECH'!S:S)="","",_xlfn.XLOOKUP($H237,'TRA TECH'!$J:$J,'TRA TECH'!S:S)))</f>
        <v>*</v>
      </c>
      <c r="P237" t="str">
        <f>IF(H237="*","*",IF(_xlfn.XLOOKUP($H237,'TRA TECH'!$J:$J,'TRA TECH'!T:T)="","",_xlfn.XLOOKUP($H237,'TRA TECH'!$J:$J,'TRA TECH'!T:T)))</f>
        <v>*</v>
      </c>
      <c r="Q237" t="str">
        <f>IF(H237="*","*",IF(_xlfn.XLOOKUP($H237,'TRA TECH'!$J:$J,'TRA TECH'!U:U)="","",_xlfn.XLOOKUP($H237,'TRA TECH'!$J:$J,'TRA TECH'!U:U)))</f>
        <v>*</v>
      </c>
      <c r="R237" t="str">
        <f>IF(H237="*","*",IF(_xlfn.XLOOKUP($H237,'TRA TECH'!$J:$J,'TRA TECH'!V:V)="","",_xlfn.XLOOKUP($H237,'TRA TECH'!$J:$J,'TRA TECH'!V:V)))</f>
        <v>*</v>
      </c>
      <c r="S237" t="str">
        <f>IF(H237="*","*",IF(_xlfn.XLOOKUP($H237,'TRA TECH'!$J:$J,'TRA TECH'!W:W)="","",_xlfn.XLOOKUP($H237,'TRA TECH'!$J:$J,'TRA TECH'!W:W)))</f>
        <v>*</v>
      </c>
      <c r="T237" t="str">
        <f t="shared" si="17"/>
        <v>*</v>
      </c>
      <c r="U237" t="str">
        <f>IF(H237="*","*",IF(_xlfn.XLOOKUP($H237,'TRA TECH'!$J:$J,'TRA TECH'!X:X)="","",_xlfn.XLOOKUP($H237,'TRA TECH'!$J:$J,'TRA TECH'!X:X)))</f>
        <v>*</v>
      </c>
      <c r="V237" t="str">
        <f>IF(H237="*","*",IF(_xlfn.XLOOKUP($H237,'TRA TECH'!$J:$J,'TRA TECH'!Y:Y)="","",_xlfn.XLOOKUP($H237,'TRA TECH'!$J:$J,'TRA TECH'!Y:Y)))</f>
        <v>*</v>
      </c>
      <c r="W237" t="str">
        <f>IF(H237="*","*",IF(_xlfn.XLOOKUP($H237,'TRA TECH'!$J:$J,'TRA TECH'!Z:Z)="","",_xlfn.XLOOKUP($H237,'TRA TECH'!$J:$J,'TRA TECH'!Z:Z)))</f>
        <v>*</v>
      </c>
      <c r="X237" t="str">
        <f>IF(H237="*","*",IF(_xlfn.XLOOKUP($H237,'TRA TECH'!$J:$J,'TRA TECH'!AA:AA)="","",_xlfn.XLOOKUP($H237,'TRA TECH'!$J:$J,'TRA TECH'!AA:AA)))</f>
        <v>*</v>
      </c>
      <c r="Y237" t="str">
        <f>IF(H237="*","*",IF(_xlfn.XLOOKUP($H237,'TRA TECH'!$J:$J,'TRA TECH'!AB:AB)="","",_xlfn.XLOOKUP($H237,'TRA TECH'!$J:$J,'TRA TECH'!AB:AB)))</f>
        <v>*</v>
      </c>
      <c r="Z237" t="str">
        <f>IF(H237="*","*",IF(_xlfn.XLOOKUP($H237,'TRA TECH'!$J:$J,'TRA TECH'!AC:AC)="","",_xlfn.XLOOKUP($H237,'TRA TECH'!$J:$J,'TRA TECH'!AC:AC)))</f>
        <v>*</v>
      </c>
      <c r="AA237" t="str">
        <f>IF(H237="*","*",IF(_xlfn.XLOOKUP($H237,'TRA TECH'!$J:$J,'TRA TECH'!AD:AD)="","",_xlfn.XLOOKUP($H237,'TRA TECH'!$J:$J,'TRA TECH'!AD:AD)))</f>
        <v>*</v>
      </c>
      <c r="AB237" t="str">
        <f t="shared" si="18"/>
        <v>*</v>
      </c>
      <c r="AC237" s="15" t="str">
        <f>IF(H237="*","*",IF(_xlfn.XLOOKUP($H237,'TRA TECH'!$J:$J,'TRA TECH'!AE:AE)="","",_xlfn.XLOOKUP($H237,'TRA TECH'!$J:$J,'TRA TECH'!AE:AE)))</f>
        <v>*</v>
      </c>
      <c r="AD237" s="15" t="str">
        <f>IF(H237="*","*",IF(_xlfn.XLOOKUP($H237,'TRA TECH'!$J:$J,'TRA TECH'!AF:AF)="","",_xlfn.XLOOKUP($H237,'TRA TECH'!$J:$J,'TRA TECH'!AF:AF)))</f>
        <v>*</v>
      </c>
      <c r="AE237" s="15" t="str">
        <f>IF(H237="*","*",IF(_xlfn.XLOOKUP($H237,'TRA TECH'!$J:$J,'TRA TECH'!AG:AG)="","",_xlfn.XLOOKUP($H237,'TRA TECH'!$J:$J,'TRA TECH'!AG:AG)))</f>
        <v>*</v>
      </c>
      <c r="AF237" s="15" t="str">
        <f>IF(H237="*","*",IF(_xlfn.XLOOKUP($H237,'TRA TECH'!$J:$J,'TRA TECH'!AH:AH)="","",_xlfn.XLOOKUP($H237,'TRA TECH'!$J:$J,'TRA TECH'!AH:AH)))</f>
        <v>*</v>
      </c>
      <c r="AG237" s="15" t="str">
        <f>IF(H237="*","*",IF(_xlfn.XLOOKUP($H237,'TRA TECH'!$J:$J,'TRA TECH'!AI:AI)="","",_xlfn.XLOOKUP($H237,'TRA TECH'!$J:$J,'TRA TECH'!AI:AI)))</f>
        <v>*</v>
      </c>
      <c r="AH237" s="15" t="str">
        <f>IF(H237="*","*",IF(_xlfn.XLOOKUP($H237,'TRA TECH'!$J:$J,'TRA TECH'!AJ:AJ)="","",_xlfn.XLOOKUP($H237,'TRA TECH'!$J:$J,'TRA TECH'!AJ:AJ)))</f>
        <v>*</v>
      </c>
      <c r="AI237" s="15" t="str">
        <f>IF(H237="*","*",IF(_xlfn.XLOOKUP($H237,'TRA TECH'!$J:$J,'TRA TECH'!AK:AK)="","",_xlfn.XLOOKUP($H237,'TRA TECH'!$J:$J,'TRA TECH'!AK:AK)))</f>
        <v>*</v>
      </c>
      <c r="AJ237" s="15" t="str">
        <f t="shared" si="19"/>
        <v>*</v>
      </c>
      <c r="AK237" s="16" t="str">
        <f t="shared" si="20"/>
        <v>*</v>
      </c>
    </row>
    <row r="238" spans="2:37" x14ac:dyDescent="0.25">
      <c r="B238" t="str">
        <f>IF('TRA TECH'!M234=0,"*",IF('TRA TECH'!H234="","*",'TRA TECH'!J234))</f>
        <v>TRAPASSBUICEIDSL20</v>
      </c>
      <c r="C238" t="str">
        <f>IF('TRA TECH'!M234=0,"*",'TRA TECH'!H234)</f>
        <v>TRABDS</v>
      </c>
      <c r="D238" t="s">
        <v>424</v>
      </c>
      <c r="E238" s="9">
        <f>'TRA TECH'!P234</f>
        <v>0.1</v>
      </c>
      <c r="H238" t="str">
        <f>IF('TRA TECH'!M234=1,IF('TRA TECH'!L234=1,'TRA TECH'!J234,"*"),"*")</f>
        <v>*</v>
      </c>
      <c r="I238" t="str">
        <f>IF(H238="*","*",_xlfn.XLOOKUP(H238,'TRA TECH'!J:J,'TRA TECH'!I:I))</f>
        <v>*</v>
      </c>
      <c r="J238" t="str">
        <f>IF(H238="*","*",_xlfn.XLOOKUP(H238,'TRA TECH'!J:J,'TRA TECH'!N:N))</f>
        <v>*</v>
      </c>
      <c r="K238" s="15" t="str">
        <f>IF(H238="*","*",IF(_xlfn.XLOOKUP(H238,'TRA TECH'!J:J,'TRA TECH'!O:O)="","",_xlfn.XLOOKUP(H238,'TRA TECH'!J:J,'TRA TECH'!O:O)))</f>
        <v>*</v>
      </c>
      <c r="L238" t="str">
        <f t="shared" si="16"/>
        <v>*</v>
      </c>
      <c r="M238" t="str">
        <f>IF(H238="*","*",IF(_xlfn.XLOOKUP($H238,'TRA TECH'!$J:$J,'TRA TECH'!Q:Q)="","",_xlfn.XLOOKUP($H238,'TRA TECH'!$J:$J,'TRA TECH'!Q:Q)))</f>
        <v>*</v>
      </c>
      <c r="N238" t="str">
        <f>IF(H238="*","*",IF(_xlfn.XLOOKUP($H238,'TRA TECH'!$J:$J,'TRA TECH'!R:R)="","",_xlfn.XLOOKUP($H238,'TRA TECH'!$J:$J,'TRA TECH'!R:R)))</f>
        <v>*</v>
      </c>
      <c r="O238" t="str">
        <f>IF(H238="*","*",IF(_xlfn.XLOOKUP($H238,'TRA TECH'!$J:$J,'TRA TECH'!S:S)="","",_xlfn.XLOOKUP($H238,'TRA TECH'!$J:$J,'TRA TECH'!S:S)))</f>
        <v>*</v>
      </c>
      <c r="P238" t="str">
        <f>IF(H238="*","*",IF(_xlfn.XLOOKUP($H238,'TRA TECH'!$J:$J,'TRA TECH'!T:T)="","",_xlfn.XLOOKUP($H238,'TRA TECH'!$J:$J,'TRA TECH'!T:T)))</f>
        <v>*</v>
      </c>
      <c r="Q238" t="str">
        <f>IF(H238="*","*",IF(_xlfn.XLOOKUP($H238,'TRA TECH'!$J:$J,'TRA TECH'!U:U)="","",_xlfn.XLOOKUP($H238,'TRA TECH'!$J:$J,'TRA TECH'!U:U)))</f>
        <v>*</v>
      </c>
      <c r="R238" t="str">
        <f>IF(H238="*","*",IF(_xlfn.XLOOKUP($H238,'TRA TECH'!$J:$J,'TRA TECH'!V:V)="","",_xlfn.XLOOKUP($H238,'TRA TECH'!$J:$J,'TRA TECH'!V:V)))</f>
        <v>*</v>
      </c>
      <c r="S238" t="str">
        <f>IF(H238="*","*",IF(_xlfn.XLOOKUP($H238,'TRA TECH'!$J:$J,'TRA TECH'!W:W)="","",_xlfn.XLOOKUP($H238,'TRA TECH'!$J:$J,'TRA TECH'!W:W)))</f>
        <v>*</v>
      </c>
      <c r="T238" t="str">
        <f t="shared" si="17"/>
        <v>*</v>
      </c>
      <c r="U238" t="str">
        <f>IF(H238="*","*",IF(_xlfn.XLOOKUP($H238,'TRA TECH'!$J:$J,'TRA TECH'!X:X)="","",_xlfn.XLOOKUP($H238,'TRA TECH'!$J:$J,'TRA TECH'!X:X)))</f>
        <v>*</v>
      </c>
      <c r="V238" t="str">
        <f>IF(H238="*","*",IF(_xlfn.XLOOKUP($H238,'TRA TECH'!$J:$J,'TRA TECH'!Y:Y)="","",_xlfn.XLOOKUP($H238,'TRA TECH'!$J:$J,'TRA TECH'!Y:Y)))</f>
        <v>*</v>
      </c>
      <c r="W238" t="str">
        <f>IF(H238="*","*",IF(_xlfn.XLOOKUP($H238,'TRA TECH'!$J:$J,'TRA TECH'!Z:Z)="","",_xlfn.XLOOKUP($H238,'TRA TECH'!$J:$J,'TRA TECH'!Z:Z)))</f>
        <v>*</v>
      </c>
      <c r="X238" t="str">
        <f>IF(H238="*","*",IF(_xlfn.XLOOKUP($H238,'TRA TECH'!$J:$J,'TRA TECH'!AA:AA)="","",_xlfn.XLOOKUP($H238,'TRA TECH'!$J:$J,'TRA TECH'!AA:AA)))</f>
        <v>*</v>
      </c>
      <c r="Y238" t="str">
        <f>IF(H238="*","*",IF(_xlfn.XLOOKUP($H238,'TRA TECH'!$J:$J,'TRA TECH'!AB:AB)="","",_xlfn.XLOOKUP($H238,'TRA TECH'!$J:$J,'TRA TECH'!AB:AB)))</f>
        <v>*</v>
      </c>
      <c r="Z238" t="str">
        <f>IF(H238="*","*",IF(_xlfn.XLOOKUP($H238,'TRA TECH'!$J:$J,'TRA TECH'!AC:AC)="","",_xlfn.XLOOKUP($H238,'TRA TECH'!$J:$J,'TRA TECH'!AC:AC)))</f>
        <v>*</v>
      </c>
      <c r="AA238" t="str">
        <f>IF(H238="*","*",IF(_xlfn.XLOOKUP($H238,'TRA TECH'!$J:$J,'TRA TECH'!AD:AD)="","",_xlfn.XLOOKUP($H238,'TRA TECH'!$J:$J,'TRA TECH'!AD:AD)))</f>
        <v>*</v>
      </c>
      <c r="AB238" t="str">
        <f t="shared" si="18"/>
        <v>*</v>
      </c>
      <c r="AC238" s="15" t="str">
        <f>IF(H238="*","*",IF(_xlfn.XLOOKUP($H238,'TRA TECH'!$J:$J,'TRA TECH'!AE:AE)="","",_xlfn.XLOOKUP($H238,'TRA TECH'!$J:$J,'TRA TECH'!AE:AE)))</f>
        <v>*</v>
      </c>
      <c r="AD238" s="15" t="str">
        <f>IF(H238="*","*",IF(_xlfn.XLOOKUP($H238,'TRA TECH'!$J:$J,'TRA TECH'!AF:AF)="","",_xlfn.XLOOKUP($H238,'TRA TECH'!$J:$J,'TRA TECH'!AF:AF)))</f>
        <v>*</v>
      </c>
      <c r="AE238" s="15" t="str">
        <f>IF(H238="*","*",IF(_xlfn.XLOOKUP($H238,'TRA TECH'!$J:$J,'TRA TECH'!AG:AG)="","",_xlfn.XLOOKUP($H238,'TRA TECH'!$J:$J,'TRA TECH'!AG:AG)))</f>
        <v>*</v>
      </c>
      <c r="AF238" s="15" t="str">
        <f>IF(H238="*","*",IF(_xlfn.XLOOKUP($H238,'TRA TECH'!$J:$J,'TRA TECH'!AH:AH)="","",_xlfn.XLOOKUP($H238,'TRA TECH'!$J:$J,'TRA TECH'!AH:AH)))</f>
        <v>*</v>
      </c>
      <c r="AG238" s="15" t="str">
        <f>IF(H238="*","*",IF(_xlfn.XLOOKUP($H238,'TRA TECH'!$J:$J,'TRA TECH'!AI:AI)="","",_xlfn.XLOOKUP($H238,'TRA TECH'!$J:$J,'TRA TECH'!AI:AI)))</f>
        <v>*</v>
      </c>
      <c r="AH238" s="15" t="str">
        <f>IF(H238="*","*",IF(_xlfn.XLOOKUP($H238,'TRA TECH'!$J:$J,'TRA TECH'!AJ:AJ)="","",_xlfn.XLOOKUP($H238,'TRA TECH'!$J:$J,'TRA TECH'!AJ:AJ)))</f>
        <v>*</v>
      </c>
      <c r="AI238" s="15" t="str">
        <f>IF(H238="*","*",IF(_xlfn.XLOOKUP($H238,'TRA TECH'!$J:$J,'TRA TECH'!AK:AK)="","",_xlfn.XLOOKUP($H238,'TRA TECH'!$J:$J,'TRA TECH'!AK:AK)))</f>
        <v>*</v>
      </c>
      <c r="AJ238" s="15" t="str">
        <f t="shared" si="19"/>
        <v>*</v>
      </c>
      <c r="AK238" s="16" t="str">
        <f t="shared" si="20"/>
        <v>*</v>
      </c>
    </row>
    <row r="239" spans="2:37" x14ac:dyDescent="0.25">
      <c r="B239" t="str">
        <f>IF('TRA TECH'!M235=0,"*",IF('TRA TECH'!H235="","*",'TRA TECH'!J235))</f>
        <v>TRAPASSBUHEVPDSL20</v>
      </c>
      <c r="C239" t="str">
        <f>IF('TRA TECH'!M235=0,"*",'TRA TECH'!H235)</f>
        <v>TRADSL</v>
      </c>
      <c r="D239" t="s">
        <v>424</v>
      </c>
      <c r="E239" s="9">
        <f>'TRA TECH'!P235</f>
        <v>1</v>
      </c>
      <c r="H239" t="str">
        <f>IF('TRA TECH'!M235=1,IF('TRA TECH'!L235=1,'TRA TECH'!J235,"*"),"*")</f>
        <v>TRAPASSBUHEVPDSL20</v>
      </c>
      <c r="I239" t="str">
        <f>IF(H239="*","*",_xlfn.XLOOKUP(H239,'TRA TECH'!J:J,'TRA TECH'!I:I))</f>
        <v>TRAPASSBUDMD</v>
      </c>
      <c r="J239">
        <f>IF(H239="*","*",_xlfn.XLOOKUP(H239,'TRA TECH'!J:J,'TRA TECH'!N:N))</f>
        <v>2020</v>
      </c>
      <c r="K239" s="15">
        <f>IF(H239="*","*",IF(_xlfn.XLOOKUP(H239,'TRA TECH'!J:J,'TRA TECH'!O:O)="","",_xlfn.XLOOKUP(H239,'TRA TECH'!J:J,'TRA TECH'!O:O)))</f>
        <v>14.200511218403861</v>
      </c>
      <c r="L239">
        <f t="shared" si="16"/>
        <v>1</v>
      </c>
      <c r="M239">
        <f>IF(H239="*","*",IF(_xlfn.XLOOKUP($H239,'TRA TECH'!$J:$J,'TRA TECH'!Q:Q)="","",_xlfn.XLOOKUP($H239,'TRA TECH'!$J:$J,'TRA TECH'!Q:Q)))</f>
        <v>0.14591810089020771</v>
      </c>
      <c r="N239">
        <f>IF(H239="*","*",IF(_xlfn.XLOOKUP($H239,'TRA TECH'!$J:$J,'TRA TECH'!R:R)="","",_xlfn.XLOOKUP($H239,'TRA TECH'!$J:$J,'TRA TECH'!R:R)))</f>
        <v>0.14591810089020771</v>
      </c>
      <c r="O239">
        <f>IF(H239="*","*",IF(_xlfn.XLOOKUP($H239,'TRA TECH'!$J:$J,'TRA TECH'!S:S)="","",_xlfn.XLOOKUP($H239,'TRA TECH'!$J:$J,'TRA TECH'!S:S)))</f>
        <v>0.16183643916913951</v>
      </c>
      <c r="P239">
        <f>IF(H239="*","*",IF(_xlfn.XLOOKUP($H239,'TRA TECH'!$J:$J,'TRA TECH'!T:T)="","",_xlfn.XLOOKUP($H239,'TRA TECH'!$J:$J,'TRA TECH'!T:T)))</f>
        <v>0.1764282492581602</v>
      </c>
      <c r="Q239">
        <f>IF(H239="*","*",IF(_xlfn.XLOOKUP($H239,'TRA TECH'!$J:$J,'TRA TECH'!U:U)="","",_xlfn.XLOOKUP($H239,'TRA TECH'!$J:$J,'TRA TECH'!U:U)))</f>
        <v>0.18704047477744801</v>
      </c>
      <c r="R239">
        <f>IF(H239="*","*",IF(_xlfn.XLOOKUP($H239,'TRA TECH'!$J:$J,'TRA TECH'!V:V)="","",_xlfn.XLOOKUP($H239,'TRA TECH'!$J:$J,'TRA TECH'!V:V)))</f>
        <v>0.1963261721068249</v>
      </c>
      <c r="S239">
        <f>IF(H239="*","*",IF(_xlfn.XLOOKUP($H239,'TRA TECH'!$J:$J,'TRA TECH'!W:W)="","",_xlfn.XLOOKUP($H239,'TRA TECH'!$J:$J,'TRA TECH'!W:W)))</f>
        <v>0.2056118694362018</v>
      </c>
      <c r="T239">
        <f t="shared" si="17"/>
        <v>0.2056118694362018</v>
      </c>
      <c r="U239">
        <f>IF(H239="*","*",IF(_xlfn.XLOOKUP($H239,'TRA TECH'!$J:$J,'TRA TECH'!X:X)="","",_xlfn.XLOOKUP($H239,'TRA TECH'!$J:$J,'TRA TECH'!X:X)))</f>
        <v>465.89692424941529</v>
      </c>
      <c r="V239">
        <f>IF(H239="*","*",IF(_xlfn.XLOOKUP($H239,'TRA TECH'!$J:$J,'TRA TECH'!Y:Y)="","",_xlfn.XLOOKUP($H239,'TRA TECH'!$J:$J,'TRA TECH'!Y:Y)))</f>
        <v>465.89692424941529</v>
      </c>
      <c r="W239">
        <f>IF(H239="*","*",IF(_xlfn.XLOOKUP($H239,'TRA TECH'!$J:$J,'TRA TECH'!Z:Z)="","",_xlfn.XLOOKUP($H239,'TRA TECH'!$J:$J,'TRA TECH'!Z:Z)))</f>
        <v>464.47433822117279</v>
      </c>
      <c r="X239">
        <f>IF(H239="*","*",IF(_xlfn.XLOOKUP($H239,'TRA TECH'!$J:$J,'TRA TECH'!AA:AA)="","",_xlfn.XLOOKUP($H239,'TRA TECH'!$J:$J,'TRA TECH'!AA:AA)))</f>
        <v>460.91787315056649</v>
      </c>
      <c r="Y239">
        <f>IF(H239="*","*",IF(_xlfn.XLOOKUP($H239,'TRA TECH'!$J:$J,'TRA TECH'!AB:AB)="","",_xlfn.XLOOKUP($H239,'TRA TECH'!$J:$J,'TRA TECH'!AB:AB)))</f>
        <v>459.49528712232399</v>
      </c>
      <c r="Z239">
        <f>IF(H239="*","*",IF(_xlfn.XLOOKUP($H239,'TRA TECH'!$J:$J,'TRA TECH'!AC:AC)="","",_xlfn.XLOOKUP($H239,'TRA TECH'!$J:$J,'TRA TECH'!AC:AC)))</f>
        <v>458.78399410820282</v>
      </c>
      <c r="AA239">
        <f>IF(H239="*","*",IF(_xlfn.XLOOKUP($H239,'TRA TECH'!$J:$J,'TRA TECH'!AD:AD)="","",_xlfn.XLOOKUP($H239,'TRA TECH'!$J:$J,'TRA TECH'!AD:AD)))</f>
        <v>458.07270109408159</v>
      </c>
      <c r="AB239">
        <f t="shared" si="18"/>
        <v>458.07270109408159</v>
      </c>
      <c r="AC239" s="15">
        <f>IF(H239="*","*",IF(_xlfn.XLOOKUP($H239,'TRA TECH'!$J:$J,'TRA TECH'!AE:AE)="","",_xlfn.XLOOKUP($H239,'TRA TECH'!$J:$J,'TRA TECH'!AE:AE)))</f>
        <v>5.9105319784213286</v>
      </c>
      <c r="AD239" s="15">
        <f>IF(H239="*","*",IF(_xlfn.XLOOKUP($H239,'TRA TECH'!$J:$J,'TRA TECH'!AF:AF)="","",_xlfn.XLOOKUP($H239,'TRA TECH'!$J:$J,'TRA TECH'!AF:AF)))</f>
        <v>5.9105319784213286</v>
      </c>
      <c r="AE239" s="15">
        <f>IF(H239="*","*",IF(_xlfn.XLOOKUP($H239,'TRA TECH'!$J:$J,'TRA TECH'!AG:AG)="","",_xlfn.XLOOKUP($H239,'TRA TECH'!$J:$J,'TRA TECH'!AG:AG)))</f>
        <v>5.9105319784213286</v>
      </c>
      <c r="AF239" s="15">
        <f>IF(H239="*","*",IF(_xlfn.XLOOKUP($H239,'TRA TECH'!$J:$J,'TRA TECH'!AH:AH)="","",_xlfn.XLOOKUP($H239,'TRA TECH'!$J:$J,'TRA TECH'!AH:AH)))</f>
        <v>5.9105319784213286</v>
      </c>
      <c r="AG239" s="15">
        <f>IF(H239="*","*",IF(_xlfn.XLOOKUP($H239,'TRA TECH'!$J:$J,'TRA TECH'!AI:AI)="","",_xlfn.XLOOKUP($H239,'TRA TECH'!$J:$J,'TRA TECH'!AI:AI)))</f>
        <v>5.9105319784213286</v>
      </c>
      <c r="AH239" s="15">
        <f>IF(H239="*","*",IF(_xlfn.XLOOKUP($H239,'TRA TECH'!$J:$J,'TRA TECH'!AJ:AJ)="","",_xlfn.XLOOKUP($H239,'TRA TECH'!$J:$J,'TRA TECH'!AJ:AJ)))</f>
        <v>5.9105319784213286</v>
      </c>
      <c r="AI239" s="15">
        <f>IF(H239="*","*",IF(_xlfn.XLOOKUP($H239,'TRA TECH'!$J:$J,'TRA TECH'!AK:AK)="","",_xlfn.XLOOKUP($H239,'TRA TECH'!$J:$J,'TRA TECH'!AK:AK)))</f>
        <v>5.9105319784213286</v>
      </c>
      <c r="AJ239" s="15">
        <f t="shared" si="19"/>
        <v>5.9105319784213286</v>
      </c>
      <c r="AK239" s="16">
        <f t="shared" si="20"/>
        <v>0.25</v>
      </c>
    </row>
    <row r="240" spans="2:37" x14ac:dyDescent="0.25">
      <c r="B240" t="str">
        <f>IF('TRA TECH'!M236=0,"*",IF('TRA TECH'!H236="","*",'TRA TECH'!J236))</f>
        <v>TRAPASSBUHEVPDSL20</v>
      </c>
      <c r="C240" t="str">
        <f>IF('TRA TECH'!M236=0,"*",'TRA TECH'!H236)</f>
        <v>TRARDS</v>
      </c>
      <c r="D240" t="s">
        <v>424</v>
      </c>
      <c r="E240" s="9">
        <f>'TRA TECH'!P236</f>
        <v>1</v>
      </c>
      <c r="H240" t="str">
        <f>IF('TRA TECH'!M236=1,IF('TRA TECH'!L236=1,'TRA TECH'!J236,"*"),"*")</f>
        <v>*</v>
      </c>
      <c r="I240" t="str">
        <f>IF(H240="*","*",_xlfn.XLOOKUP(H240,'TRA TECH'!J:J,'TRA TECH'!I:I))</f>
        <v>*</v>
      </c>
      <c r="J240" t="str">
        <f>IF(H240="*","*",_xlfn.XLOOKUP(H240,'TRA TECH'!J:J,'TRA TECH'!N:N))</f>
        <v>*</v>
      </c>
      <c r="K240" s="15" t="str">
        <f>IF(H240="*","*",IF(_xlfn.XLOOKUP(H240,'TRA TECH'!J:J,'TRA TECH'!O:O)="","",_xlfn.XLOOKUP(H240,'TRA TECH'!J:J,'TRA TECH'!O:O)))</f>
        <v>*</v>
      </c>
      <c r="L240" t="str">
        <f t="shared" si="16"/>
        <v>*</v>
      </c>
      <c r="M240" t="str">
        <f>IF(H240="*","*",IF(_xlfn.XLOOKUP($H240,'TRA TECH'!$J:$J,'TRA TECH'!Q:Q)="","",_xlfn.XLOOKUP($H240,'TRA TECH'!$J:$J,'TRA TECH'!Q:Q)))</f>
        <v>*</v>
      </c>
      <c r="N240" t="str">
        <f>IF(H240="*","*",IF(_xlfn.XLOOKUP($H240,'TRA TECH'!$J:$J,'TRA TECH'!R:R)="","",_xlfn.XLOOKUP($H240,'TRA TECH'!$J:$J,'TRA TECH'!R:R)))</f>
        <v>*</v>
      </c>
      <c r="O240" t="str">
        <f>IF(H240="*","*",IF(_xlfn.XLOOKUP($H240,'TRA TECH'!$J:$J,'TRA TECH'!S:S)="","",_xlfn.XLOOKUP($H240,'TRA TECH'!$J:$J,'TRA TECH'!S:S)))</f>
        <v>*</v>
      </c>
      <c r="P240" t="str">
        <f>IF(H240="*","*",IF(_xlfn.XLOOKUP($H240,'TRA TECH'!$J:$J,'TRA TECH'!T:T)="","",_xlfn.XLOOKUP($H240,'TRA TECH'!$J:$J,'TRA TECH'!T:T)))</f>
        <v>*</v>
      </c>
      <c r="Q240" t="str">
        <f>IF(H240="*","*",IF(_xlfn.XLOOKUP($H240,'TRA TECH'!$J:$J,'TRA TECH'!U:U)="","",_xlfn.XLOOKUP($H240,'TRA TECH'!$J:$J,'TRA TECH'!U:U)))</f>
        <v>*</v>
      </c>
      <c r="R240" t="str">
        <f>IF(H240="*","*",IF(_xlfn.XLOOKUP($H240,'TRA TECH'!$J:$J,'TRA TECH'!V:V)="","",_xlfn.XLOOKUP($H240,'TRA TECH'!$J:$J,'TRA TECH'!V:V)))</f>
        <v>*</v>
      </c>
      <c r="S240" t="str">
        <f>IF(H240="*","*",IF(_xlfn.XLOOKUP($H240,'TRA TECH'!$J:$J,'TRA TECH'!W:W)="","",_xlfn.XLOOKUP($H240,'TRA TECH'!$J:$J,'TRA TECH'!W:W)))</f>
        <v>*</v>
      </c>
      <c r="T240" t="str">
        <f t="shared" si="17"/>
        <v>*</v>
      </c>
      <c r="U240" t="str">
        <f>IF(H240="*","*",IF(_xlfn.XLOOKUP($H240,'TRA TECH'!$J:$J,'TRA TECH'!X:X)="","",_xlfn.XLOOKUP($H240,'TRA TECH'!$J:$J,'TRA TECH'!X:X)))</f>
        <v>*</v>
      </c>
      <c r="V240" t="str">
        <f>IF(H240="*","*",IF(_xlfn.XLOOKUP($H240,'TRA TECH'!$J:$J,'TRA TECH'!Y:Y)="","",_xlfn.XLOOKUP($H240,'TRA TECH'!$J:$J,'TRA TECH'!Y:Y)))</f>
        <v>*</v>
      </c>
      <c r="W240" t="str">
        <f>IF(H240="*","*",IF(_xlfn.XLOOKUP($H240,'TRA TECH'!$J:$J,'TRA TECH'!Z:Z)="","",_xlfn.XLOOKUP($H240,'TRA TECH'!$J:$J,'TRA TECH'!Z:Z)))</f>
        <v>*</v>
      </c>
      <c r="X240" t="str">
        <f>IF(H240="*","*",IF(_xlfn.XLOOKUP($H240,'TRA TECH'!$J:$J,'TRA TECH'!AA:AA)="","",_xlfn.XLOOKUP($H240,'TRA TECH'!$J:$J,'TRA TECH'!AA:AA)))</f>
        <v>*</v>
      </c>
      <c r="Y240" t="str">
        <f>IF(H240="*","*",IF(_xlfn.XLOOKUP($H240,'TRA TECH'!$J:$J,'TRA TECH'!AB:AB)="","",_xlfn.XLOOKUP($H240,'TRA TECH'!$J:$J,'TRA TECH'!AB:AB)))</f>
        <v>*</v>
      </c>
      <c r="Z240" t="str">
        <f>IF(H240="*","*",IF(_xlfn.XLOOKUP($H240,'TRA TECH'!$J:$J,'TRA TECH'!AC:AC)="","",_xlfn.XLOOKUP($H240,'TRA TECH'!$J:$J,'TRA TECH'!AC:AC)))</f>
        <v>*</v>
      </c>
      <c r="AA240" t="str">
        <f>IF(H240="*","*",IF(_xlfn.XLOOKUP($H240,'TRA TECH'!$J:$J,'TRA TECH'!AD:AD)="","",_xlfn.XLOOKUP($H240,'TRA TECH'!$J:$J,'TRA TECH'!AD:AD)))</f>
        <v>*</v>
      </c>
      <c r="AB240" t="str">
        <f t="shared" si="18"/>
        <v>*</v>
      </c>
      <c r="AC240" s="15" t="str">
        <f>IF(H240="*","*",IF(_xlfn.XLOOKUP($H240,'TRA TECH'!$J:$J,'TRA TECH'!AE:AE)="","",_xlfn.XLOOKUP($H240,'TRA TECH'!$J:$J,'TRA TECH'!AE:AE)))</f>
        <v>*</v>
      </c>
      <c r="AD240" s="15" t="str">
        <f>IF(H240="*","*",IF(_xlfn.XLOOKUP($H240,'TRA TECH'!$J:$J,'TRA TECH'!AF:AF)="","",_xlfn.XLOOKUP($H240,'TRA TECH'!$J:$J,'TRA TECH'!AF:AF)))</f>
        <v>*</v>
      </c>
      <c r="AE240" s="15" t="str">
        <f>IF(H240="*","*",IF(_xlfn.XLOOKUP($H240,'TRA TECH'!$J:$J,'TRA TECH'!AG:AG)="","",_xlfn.XLOOKUP($H240,'TRA TECH'!$J:$J,'TRA TECH'!AG:AG)))</f>
        <v>*</v>
      </c>
      <c r="AF240" s="15" t="str">
        <f>IF(H240="*","*",IF(_xlfn.XLOOKUP($H240,'TRA TECH'!$J:$J,'TRA TECH'!AH:AH)="","",_xlfn.XLOOKUP($H240,'TRA TECH'!$J:$J,'TRA TECH'!AH:AH)))</f>
        <v>*</v>
      </c>
      <c r="AG240" s="15" t="str">
        <f>IF(H240="*","*",IF(_xlfn.XLOOKUP($H240,'TRA TECH'!$J:$J,'TRA TECH'!AI:AI)="","",_xlfn.XLOOKUP($H240,'TRA TECH'!$J:$J,'TRA TECH'!AI:AI)))</f>
        <v>*</v>
      </c>
      <c r="AH240" s="15" t="str">
        <f>IF(H240="*","*",IF(_xlfn.XLOOKUP($H240,'TRA TECH'!$J:$J,'TRA TECH'!AJ:AJ)="","",_xlfn.XLOOKUP($H240,'TRA TECH'!$J:$J,'TRA TECH'!AJ:AJ)))</f>
        <v>*</v>
      </c>
      <c r="AI240" s="15" t="str">
        <f>IF(H240="*","*",IF(_xlfn.XLOOKUP($H240,'TRA TECH'!$J:$J,'TRA TECH'!AK:AK)="","",_xlfn.XLOOKUP($H240,'TRA TECH'!$J:$J,'TRA TECH'!AK:AK)))</f>
        <v>*</v>
      </c>
      <c r="AJ240" s="15" t="str">
        <f t="shared" si="19"/>
        <v>*</v>
      </c>
      <c r="AK240" s="16" t="str">
        <f t="shared" si="20"/>
        <v>*</v>
      </c>
    </row>
    <row r="241" spans="2:37" x14ac:dyDescent="0.25">
      <c r="B241" t="str">
        <f>IF('TRA TECH'!M237=0,"*",IF('TRA TECH'!H237="","*",'TRA TECH'!J237))</f>
        <v>TRAPASSBUHEVPDSL20</v>
      </c>
      <c r="C241" t="str">
        <f>IF('TRA TECH'!M237=0,"*",'TRA TECH'!H237)</f>
        <v>TRABDS</v>
      </c>
      <c r="D241" t="s">
        <v>424</v>
      </c>
      <c r="E241" s="9">
        <f>'TRA TECH'!P237</f>
        <v>0.1</v>
      </c>
      <c r="H241" t="str">
        <f>IF('TRA TECH'!M237=1,IF('TRA TECH'!L237=1,'TRA TECH'!J237,"*"),"*")</f>
        <v>*</v>
      </c>
      <c r="I241" t="str">
        <f>IF(H241="*","*",_xlfn.XLOOKUP(H241,'TRA TECH'!J:J,'TRA TECH'!I:I))</f>
        <v>*</v>
      </c>
      <c r="J241" t="str">
        <f>IF(H241="*","*",_xlfn.XLOOKUP(H241,'TRA TECH'!J:J,'TRA TECH'!N:N))</f>
        <v>*</v>
      </c>
      <c r="K241" s="15" t="str">
        <f>IF(H241="*","*",IF(_xlfn.XLOOKUP(H241,'TRA TECH'!J:J,'TRA TECH'!O:O)="","",_xlfn.XLOOKUP(H241,'TRA TECH'!J:J,'TRA TECH'!O:O)))</f>
        <v>*</v>
      </c>
      <c r="L241" t="str">
        <f t="shared" si="16"/>
        <v>*</v>
      </c>
      <c r="M241" t="str">
        <f>IF(H241="*","*",IF(_xlfn.XLOOKUP($H241,'TRA TECH'!$J:$J,'TRA TECH'!Q:Q)="","",_xlfn.XLOOKUP($H241,'TRA TECH'!$J:$J,'TRA TECH'!Q:Q)))</f>
        <v>*</v>
      </c>
      <c r="N241" t="str">
        <f>IF(H241="*","*",IF(_xlfn.XLOOKUP($H241,'TRA TECH'!$J:$J,'TRA TECH'!R:R)="","",_xlfn.XLOOKUP($H241,'TRA TECH'!$J:$J,'TRA TECH'!R:R)))</f>
        <v>*</v>
      </c>
      <c r="O241" t="str">
        <f>IF(H241="*","*",IF(_xlfn.XLOOKUP($H241,'TRA TECH'!$J:$J,'TRA TECH'!S:S)="","",_xlfn.XLOOKUP($H241,'TRA TECH'!$J:$J,'TRA TECH'!S:S)))</f>
        <v>*</v>
      </c>
      <c r="P241" t="str">
        <f>IF(H241="*","*",IF(_xlfn.XLOOKUP($H241,'TRA TECH'!$J:$J,'TRA TECH'!T:T)="","",_xlfn.XLOOKUP($H241,'TRA TECH'!$J:$J,'TRA TECH'!T:T)))</f>
        <v>*</v>
      </c>
      <c r="Q241" t="str">
        <f>IF(H241="*","*",IF(_xlfn.XLOOKUP($H241,'TRA TECH'!$J:$J,'TRA TECH'!U:U)="","",_xlfn.XLOOKUP($H241,'TRA TECH'!$J:$J,'TRA TECH'!U:U)))</f>
        <v>*</v>
      </c>
      <c r="R241" t="str">
        <f>IF(H241="*","*",IF(_xlfn.XLOOKUP($H241,'TRA TECH'!$J:$J,'TRA TECH'!V:V)="","",_xlfn.XLOOKUP($H241,'TRA TECH'!$J:$J,'TRA TECH'!V:V)))</f>
        <v>*</v>
      </c>
      <c r="S241" t="str">
        <f>IF(H241="*","*",IF(_xlfn.XLOOKUP($H241,'TRA TECH'!$J:$J,'TRA TECH'!W:W)="","",_xlfn.XLOOKUP($H241,'TRA TECH'!$J:$J,'TRA TECH'!W:W)))</f>
        <v>*</v>
      </c>
      <c r="T241" t="str">
        <f t="shared" si="17"/>
        <v>*</v>
      </c>
      <c r="U241" t="str">
        <f>IF(H241="*","*",IF(_xlfn.XLOOKUP($H241,'TRA TECH'!$J:$J,'TRA TECH'!X:X)="","",_xlfn.XLOOKUP($H241,'TRA TECH'!$J:$J,'TRA TECH'!X:X)))</f>
        <v>*</v>
      </c>
      <c r="V241" t="str">
        <f>IF(H241="*","*",IF(_xlfn.XLOOKUP($H241,'TRA TECH'!$J:$J,'TRA TECH'!Y:Y)="","",_xlfn.XLOOKUP($H241,'TRA TECH'!$J:$J,'TRA TECH'!Y:Y)))</f>
        <v>*</v>
      </c>
      <c r="W241" t="str">
        <f>IF(H241="*","*",IF(_xlfn.XLOOKUP($H241,'TRA TECH'!$J:$J,'TRA TECH'!Z:Z)="","",_xlfn.XLOOKUP($H241,'TRA TECH'!$J:$J,'TRA TECH'!Z:Z)))</f>
        <v>*</v>
      </c>
      <c r="X241" t="str">
        <f>IF(H241="*","*",IF(_xlfn.XLOOKUP($H241,'TRA TECH'!$J:$J,'TRA TECH'!AA:AA)="","",_xlfn.XLOOKUP($H241,'TRA TECH'!$J:$J,'TRA TECH'!AA:AA)))</f>
        <v>*</v>
      </c>
      <c r="Y241" t="str">
        <f>IF(H241="*","*",IF(_xlfn.XLOOKUP($H241,'TRA TECH'!$J:$J,'TRA TECH'!AB:AB)="","",_xlfn.XLOOKUP($H241,'TRA TECH'!$J:$J,'TRA TECH'!AB:AB)))</f>
        <v>*</v>
      </c>
      <c r="Z241" t="str">
        <f>IF(H241="*","*",IF(_xlfn.XLOOKUP($H241,'TRA TECH'!$J:$J,'TRA TECH'!AC:AC)="","",_xlfn.XLOOKUP($H241,'TRA TECH'!$J:$J,'TRA TECH'!AC:AC)))</f>
        <v>*</v>
      </c>
      <c r="AA241" t="str">
        <f>IF(H241="*","*",IF(_xlfn.XLOOKUP($H241,'TRA TECH'!$J:$J,'TRA TECH'!AD:AD)="","",_xlfn.XLOOKUP($H241,'TRA TECH'!$J:$J,'TRA TECH'!AD:AD)))</f>
        <v>*</v>
      </c>
      <c r="AB241" t="str">
        <f t="shared" si="18"/>
        <v>*</v>
      </c>
      <c r="AC241" s="15" t="str">
        <f>IF(H241="*","*",IF(_xlfn.XLOOKUP($H241,'TRA TECH'!$J:$J,'TRA TECH'!AE:AE)="","",_xlfn.XLOOKUP($H241,'TRA TECH'!$J:$J,'TRA TECH'!AE:AE)))</f>
        <v>*</v>
      </c>
      <c r="AD241" s="15" t="str">
        <f>IF(H241="*","*",IF(_xlfn.XLOOKUP($H241,'TRA TECH'!$J:$J,'TRA TECH'!AF:AF)="","",_xlfn.XLOOKUP($H241,'TRA TECH'!$J:$J,'TRA TECH'!AF:AF)))</f>
        <v>*</v>
      </c>
      <c r="AE241" s="15" t="str">
        <f>IF(H241="*","*",IF(_xlfn.XLOOKUP($H241,'TRA TECH'!$J:$J,'TRA TECH'!AG:AG)="","",_xlfn.XLOOKUP($H241,'TRA TECH'!$J:$J,'TRA TECH'!AG:AG)))</f>
        <v>*</v>
      </c>
      <c r="AF241" s="15" t="str">
        <f>IF(H241="*","*",IF(_xlfn.XLOOKUP($H241,'TRA TECH'!$J:$J,'TRA TECH'!AH:AH)="","",_xlfn.XLOOKUP($H241,'TRA TECH'!$J:$J,'TRA TECH'!AH:AH)))</f>
        <v>*</v>
      </c>
      <c r="AG241" s="15" t="str">
        <f>IF(H241="*","*",IF(_xlfn.XLOOKUP($H241,'TRA TECH'!$J:$J,'TRA TECH'!AI:AI)="","",_xlfn.XLOOKUP($H241,'TRA TECH'!$J:$J,'TRA TECH'!AI:AI)))</f>
        <v>*</v>
      </c>
      <c r="AH241" s="15" t="str">
        <f>IF(H241="*","*",IF(_xlfn.XLOOKUP($H241,'TRA TECH'!$J:$J,'TRA TECH'!AJ:AJ)="","",_xlfn.XLOOKUP($H241,'TRA TECH'!$J:$J,'TRA TECH'!AJ:AJ)))</f>
        <v>*</v>
      </c>
      <c r="AI241" s="15" t="str">
        <f>IF(H241="*","*",IF(_xlfn.XLOOKUP($H241,'TRA TECH'!$J:$J,'TRA TECH'!AK:AK)="","",_xlfn.XLOOKUP($H241,'TRA TECH'!$J:$J,'TRA TECH'!AK:AK)))</f>
        <v>*</v>
      </c>
      <c r="AJ241" s="15" t="str">
        <f t="shared" si="19"/>
        <v>*</v>
      </c>
      <c r="AK241" s="16" t="str">
        <f t="shared" si="20"/>
        <v>*</v>
      </c>
    </row>
    <row r="242" spans="2:37" x14ac:dyDescent="0.25">
      <c r="B242" t="str">
        <f>IF('TRA TECH'!M238=0,"*",IF('TRA TECH'!H238="","*",'TRA TECH'!J238))</f>
        <v>TRAPASSBUPHEVDSL20</v>
      </c>
      <c r="C242" t="str">
        <f>IF('TRA TECH'!M238=0,"*",'TRA TECH'!H238)</f>
        <v>TRADSL</v>
      </c>
      <c r="D242" t="s">
        <v>424</v>
      </c>
      <c r="E242" s="9">
        <f>'TRA TECH'!P238</f>
        <v>0.30952380952381148</v>
      </c>
      <c r="H242" t="str">
        <f>IF('TRA TECH'!M238=1,IF('TRA TECH'!L238=1,'TRA TECH'!J238,"*"),"*")</f>
        <v>TRAPASSBUPHEVDSL20</v>
      </c>
      <c r="I242" t="str">
        <f>IF(H242="*","*",_xlfn.XLOOKUP(H242,'TRA TECH'!J:J,'TRA TECH'!I:I))</f>
        <v>TRAPASSBUDMD</v>
      </c>
      <c r="J242">
        <f>IF(H242="*","*",_xlfn.XLOOKUP(H242,'TRA TECH'!J:J,'TRA TECH'!N:N))</f>
        <v>2020</v>
      </c>
      <c r="K242" s="15">
        <f>IF(H242="*","*",IF(_xlfn.XLOOKUP(H242,'TRA TECH'!J:J,'TRA TECH'!O:O)="","",_xlfn.XLOOKUP(H242,'TRA TECH'!J:J,'TRA TECH'!O:O)))</f>
        <v>14.200511218403861</v>
      </c>
      <c r="L242">
        <f t="shared" si="16"/>
        <v>1</v>
      </c>
      <c r="M242">
        <f>IF(H242="*","*",IF(_xlfn.XLOOKUP($H242,'TRA TECH'!$J:$J,'TRA TECH'!Q:Q)="","",_xlfn.XLOOKUP($H242,'TRA TECH'!$J:$J,'TRA TECH'!Q:Q)))</f>
        <v>0.29979537091988079</v>
      </c>
      <c r="N242">
        <f>IF(H242="*","*",IF(_xlfn.XLOOKUP($H242,'TRA TECH'!$J:$J,'TRA TECH'!R:R)="","",_xlfn.XLOOKUP($H242,'TRA TECH'!$J:$J,'TRA TECH'!R:R)))</f>
        <v>0.29979537091988079</v>
      </c>
      <c r="O242">
        <f>IF(H242="*","*",IF(_xlfn.XLOOKUP($H242,'TRA TECH'!$J:$J,'TRA TECH'!S:S)="","",_xlfn.XLOOKUP($H242,'TRA TECH'!$J:$J,'TRA TECH'!S:S)))</f>
        <v>0.33030551928783392</v>
      </c>
      <c r="P242">
        <f>IF(H242="*","*",IF(_xlfn.XLOOKUP($H242,'TRA TECH'!$J:$J,'TRA TECH'!T:T)="","",_xlfn.XLOOKUP($H242,'TRA TECH'!$J:$J,'TRA TECH'!T:T)))</f>
        <v>0.35816261127596438</v>
      </c>
      <c r="Q242">
        <f>IF(H242="*","*",IF(_xlfn.XLOOKUP($H242,'TRA TECH'!$J:$J,'TRA TECH'!U:U)="","",_xlfn.XLOOKUP($H242,'TRA TECH'!$J:$J,'TRA TECH'!U:U)))</f>
        <v>0.37408094955489479</v>
      </c>
      <c r="R242">
        <f>IF(H242="*","*",IF(_xlfn.XLOOKUP($H242,'TRA TECH'!$J:$J,'TRA TECH'!V:V)="","",_xlfn.XLOOKUP($H242,'TRA TECH'!$J:$J,'TRA TECH'!V:V)))</f>
        <v>0.3899992878338272</v>
      </c>
      <c r="S242">
        <f>IF(H242="*","*",IF(_xlfn.XLOOKUP($H242,'TRA TECH'!$J:$J,'TRA TECH'!W:W)="","",_xlfn.XLOOKUP($H242,'TRA TECH'!$J:$J,'TRA TECH'!W:W)))</f>
        <v>0.4059176261127605</v>
      </c>
      <c r="T242">
        <f t="shared" si="17"/>
        <v>0.4059176261127605</v>
      </c>
      <c r="U242">
        <f>IF(H242="*","*",IF(_xlfn.XLOOKUP($H242,'TRA TECH'!$J:$J,'TRA TECH'!X:X)="","",_xlfn.XLOOKUP($H242,'TRA TECH'!$J:$J,'TRA TECH'!X:X)))</f>
        <v>515.68743523790056</v>
      </c>
      <c r="V242">
        <f>IF(H242="*","*",IF(_xlfn.XLOOKUP($H242,'TRA TECH'!$J:$J,'TRA TECH'!Y:Y)="","",_xlfn.XLOOKUP($H242,'TRA TECH'!$J:$J,'TRA TECH'!Y:Y)))</f>
        <v>515.68743523790056</v>
      </c>
      <c r="W242">
        <f>IF(H242="*","*",IF(_xlfn.XLOOKUP($H242,'TRA TECH'!$J:$J,'TRA TECH'!Z:Z)="","",_xlfn.XLOOKUP($H242,'TRA TECH'!$J:$J,'TRA TECH'!Z:Z)))</f>
        <v>484.39054261656662</v>
      </c>
      <c r="X242">
        <f>IF(H242="*","*",IF(_xlfn.XLOOKUP($H242,'TRA TECH'!$J:$J,'TRA TECH'!AA:AA)="","",_xlfn.XLOOKUP($H242,'TRA TECH'!$J:$J,'TRA TECH'!AA:AA)))</f>
        <v>464.47433822117449</v>
      </c>
      <c r="Y242">
        <f>IF(H242="*","*",IF(_xlfn.XLOOKUP($H242,'TRA TECH'!$J:$J,'TRA TECH'!AB:AB)="","",_xlfn.XLOOKUP($H242,'TRA TECH'!$J:$J,'TRA TECH'!AB:AB)))</f>
        <v>456.65011506583812</v>
      </c>
      <c r="Z242">
        <f>IF(H242="*","*",IF(_xlfn.XLOOKUP($H242,'TRA TECH'!$J:$J,'TRA TECH'!AC:AC)="","",_xlfn.XLOOKUP($H242,'TRA TECH'!$J:$J,'TRA TECH'!AC:AC)))</f>
        <v>449.53718492462809</v>
      </c>
      <c r="AA242">
        <f>IF(H242="*","*",IF(_xlfn.XLOOKUP($H242,'TRA TECH'!$J:$J,'TRA TECH'!AD:AD)="","",_xlfn.XLOOKUP($H242,'TRA TECH'!$J:$J,'TRA TECH'!AD:AD)))</f>
        <v>441.71296176929172</v>
      </c>
      <c r="AB242">
        <f t="shared" si="18"/>
        <v>441.71296176929172</v>
      </c>
      <c r="AC242" s="15">
        <f>IF(H242="*","*",IF(_xlfn.XLOOKUP($H242,'TRA TECH'!$J:$J,'TRA TECH'!AE:AE)="","",_xlfn.XLOOKUP($H242,'TRA TECH'!$J:$J,'TRA TECH'!AE:AE)))</f>
        <v>5.9105319784213153</v>
      </c>
      <c r="AD242" s="15">
        <f>IF(H242="*","*",IF(_xlfn.XLOOKUP($H242,'TRA TECH'!$J:$J,'TRA TECH'!AF:AF)="","",_xlfn.XLOOKUP($H242,'TRA TECH'!$J:$J,'TRA TECH'!AF:AF)))</f>
        <v>5.9105319784213153</v>
      </c>
      <c r="AE242" s="15">
        <f>IF(H242="*","*",IF(_xlfn.XLOOKUP($H242,'TRA TECH'!$J:$J,'TRA TECH'!AG:AG)="","",_xlfn.XLOOKUP($H242,'TRA TECH'!$J:$J,'TRA TECH'!AG:AG)))</f>
        <v>5.9105319784213153</v>
      </c>
      <c r="AF242" s="15">
        <f>IF(H242="*","*",IF(_xlfn.XLOOKUP($H242,'TRA TECH'!$J:$J,'TRA TECH'!AH:AH)="","",_xlfn.XLOOKUP($H242,'TRA TECH'!$J:$J,'TRA TECH'!AH:AH)))</f>
        <v>5.9105319784213153</v>
      </c>
      <c r="AG242" s="15">
        <f>IF(H242="*","*",IF(_xlfn.XLOOKUP($H242,'TRA TECH'!$J:$J,'TRA TECH'!AI:AI)="","",_xlfn.XLOOKUP($H242,'TRA TECH'!$J:$J,'TRA TECH'!AI:AI)))</f>
        <v>5.9105319784213153</v>
      </c>
      <c r="AH242" s="15">
        <f>IF(H242="*","*",IF(_xlfn.XLOOKUP($H242,'TRA TECH'!$J:$J,'TRA TECH'!AJ:AJ)="","",_xlfn.XLOOKUP($H242,'TRA TECH'!$J:$J,'TRA TECH'!AJ:AJ)))</f>
        <v>5.9105319784213153</v>
      </c>
      <c r="AI242" s="15">
        <f>IF(H242="*","*",IF(_xlfn.XLOOKUP($H242,'TRA TECH'!$J:$J,'TRA TECH'!AK:AK)="","",_xlfn.XLOOKUP($H242,'TRA TECH'!$J:$J,'TRA TECH'!AK:AK)))</f>
        <v>5.9105319784213153</v>
      </c>
      <c r="AJ242" s="15">
        <f t="shared" si="19"/>
        <v>5.9105319784213153</v>
      </c>
      <c r="AK242" s="16">
        <f t="shared" si="20"/>
        <v>0.25</v>
      </c>
    </row>
    <row r="243" spans="2:37" x14ac:dyDescent="0.25">
      <c r="B243" t="str">
        <f>IF('TRA TECH'!M239=0,"*",IF('TRA TECH'!H239="","*",'TRA TECH'!J239))</f>
        <v>TRAPASSBUPHEVDSL20</v>
      </c>
      <c r="C243" t="str">
        <f>IF('TRA TECH'!M239=0,"*",'TRA TECH'!H239)</f>
        <v>TRARDS</v>
      </c>
      <c r="D243" t="s">
        <v>424</v>
      </c>
      <c r="E243" s="9">
        <f>'TRA TECH'!P239</f>
        <v>0.30952380952381148</v>
      </c>
      <c r="H243" t="str">
        <f>IF('TRA TECH'!M239=1,IF('TRA TECH'!L239=1,'TRA TECH'!J239,"*"),"*")</f>
        <v>*</v>
      </c>
      <c r="I243" t="str">
        <f>IF(H243="*","*",_xlfn.XLOOKUP(H243,'TRA TECH'!J:J,'TRA TECH'!I:I))</f>
        <v>*</v>
      </c>
      <c r="J243" t="str">
        <f>IF(H243="*","*",_xlfn.XLOOKUP(H243,'TRA TECH'!J:J,'TRA TECH'!N:N))</f>
        <v>*</v>
      </c>
      <c r="K243" s="15" t="str">
        <f>IF(H243="*","*",IF(_xlfn.XLOOKUP(H243,'TRA TECH'!J:J,'TRA TECH'!O:O)="","",_xlfn.XLOOKUP(H243,'TRA TECH'!J:J,'TRA TECH'!O:O)))</f>
        <v>*</v>
      </c>
      <c r="L243" t="str">
        <f t="shared" si="16"/>
        <v>*</v>
      </c>
      <c r="M243" t="str">
        <f>IF(H243="*","*",IF(_xlfn.XLOOKUP($H243,'TRA TECH'!$J:$J,'TRA TECH'!Q:Q)="","",_xlfn.XLOOKUP($H243,'TRA TECH'!$J:$J,'TRA TECH'!Q:Q)))</f>
        <v>*</v>
      </c>
      <c r="N243" t="str">
        <f>IF(H243="*","*",IF(_xlfn.XLOOKUP($H243,'TRA TECH'!$J:$J,'TRA TECH'!R:R)="","",_xlfn.XLOOKUP($H243,'TRA TECH'!$J:$J,'TRA TECH'!R:R)))</f>
        <v>*</v>
      </c>
      <c r="O243" t="str">
        <f>IF(H243="*","*",IF(_xlfn.XLOOKUP($H243,'TRA TECH'!$J:$J,'TRA TECH'!S:S)="","",_xlfn.XLOOKUP($H243,'TRA TECH'!$J:$J,'TRA TECH'!S:S)))</f>
        <v>*</v>
      </c>
      <c r="P243" t="str">
        <f>IF(H243="*","*",IF(_xlfn.XLOOKUP($H243,'TRA TECH'!$J:$J,'TRA TECH'!T:T)="","",_xlfn.XLOOKUP($H243,'TRA TECH'!$J:$J,'TRA TECH'!T:T)))</f>
        <v>*</v>
      </c>
      <c r="Q243" t="str">
        <f>IF(H243="*","*",IF(_xlfn.XLOOKUP($H243,'TRA TECH'!$J:$J,'TRA TECH'!U:U)="","",_xlfn.XLOOKUP($H243,'TRA TECH'!$J:$J,'TRA TECH'!U:U)))</f>
        <v>*</v>
      </c>
      <c r="R243" t="str">
        <f>IF(H243="*","*",IF(_xlfn.XLOOKUP($H243,'TRA TECH'!$J:$J,'TRA TECH'!V:V)="","",_xlfn.XLOOKUP($H243,'TRA TECH'!$J:$J,'TRA TECH'!V:V)))</f>
        <v>*</v>
      </c>
      <c r="S243" t="str">
        <f>IF(H243="*","*",IF(_xlfn.XLOOKUP($H243,'TRA TECH'!$J:$J,'TRA TECH'!W:W)="","",_xlfn.XLOOKUP($H243,'TRA TECH'!$J:$J,'TRA TECH'!W:W)))</f>
        <v>*</v>
      </c>
      <c r="T243" t="str">
        <f t="shared" si="17"/>
        <v>*</v>
      </c>
      <c r="U243" t="str">
        <f>IF(H243="*","*",IF(_xlfn.XLOOKUP($H243,'TRA TECH'!$J:$J,'TRA TECH'!X:X)="","",_xlfn.XLOOKUP($H243,'TRA TECH'!$J:$J,'TRA TECH'!X:X)))</f>
        <v>*</v>
      </c>
      <c r="V243" t="str">
        <f>IF(H243="*","*",IF(_xlfn.XLOOKUP($H243,'TRA TECH'!$J:$J,'TRA TECH'!Y:Y)="","",_xlfn.XLOOKUP($H243,'TRA TECH'!$J:$J,'TRA TECH'!Y:Y)))</f>
        <v>*</v>
      </c>
      <c r="W243" t="str">
        <f>IF(H243="*","*",IF(_xlfn.XLOOKUP($H243,'TRA TECH'!$J:$J,'TRA TECH'!Z:Z)="","",_xlfn.XLOOKUP($H243,'TRA TECH'!$J:$J,'TRA TECH'!Z:Z)))</f>
        <v>*</v>
      </c>
      <c r="X243" t="str">
        <f>IF(H243="*","*",IF(_xlfn.XLOOKUP($H243,'TRA TECH'!$J:$J,'TRA TECH'!AA:AA)="","",_xlfn.XLOOKUP($H243,'TRA TECH'!$J:$J,'TRA TECH'!AA:AA)))</f>
        <v>*</v>
      </c>
      <c r="Y243" t="str">
        <f>IF(H243="*","*",IF(_xlfn.XLOOKUP($H243,'TRA TECH'!$J:$J,'TRA TECH'!AB:AB)="","",_xlfn.XLOOKUP($H243,'TRA TECH'!$J:$J,'TRA TECH'!AB:AB)))</f>
        <v>*</v>
      </c>
      <c r="Z243" t="str">
        <f>IF(H243="*","*",IF(_xlfn.XLOOKUP($H243,'TRA TECH'!$J:$J,'TRA TECH'!AC:AC)="","",_xlfn.XLOOKUP($H243,'TRA TECH'!$J:$J,'TRA TECH'!AC:AC)))</f>
        <v>*</v>
      </c>
      <c r="AA243" t="str">
        <f>IF(H243="*","*",IF(_xlfn.XLOOKUP($H243,'TRA TECH'!$J:$J,'TRA TECH'!AD:AD)="","",_xlfn.XLOOKUP($H243,'TRA TECH'!$J:$J,'TRA TECH'!AD:AD)))</f>
        <v>*</v>
      </c>
      <c r="AB243" t="str">
        <f t="shared" si="18"/>
        <v>*</v>
      </c>
      <c r="AC243" s="15" t="str">
        <f>IF(H243="*","*",IF(_xlfn.XLOOKUP($H243,'TRA TECH'!$J:$J,'TRA TECH'!AE:AE)="","",_xlfn.XLOOKUP($H243,'TRA TECH'!$J:$J,'TRA TECH'!AE:AE)))</f>
        <v>*</v>
      </c>
      <c r="AD243" s="15" t="str">
        <f>IF(H243="*","*",IF(_xlfn.XLOOKUP($H243,'TRA TECH'!$J:$J,'TRA TECH'!AF:AF)="","",_xlfn.XLOOKUP($H243,'TRA TECH'!$J:$J,'TRA TECH'!AF:AF)))</f>
        <v>*</v>
      </c>
      <c r="AE243" s="15" t="str">
        <f>IF(H243="*","*",IF(_xlfn.XLOOKUP($H243,'TRA TECH'!$J:$J,'TRA TECH'!AG:AG)="","",_xlfn.XLOOKUP($H243,'TRA TECH'!$J:$J,'TRA TECH'!AG:AG)))</f>
        <v>*</v>
      </c>
      <c r="AF243" s="15" t="str">
        <f>IF(H243="*","*",IF(_xlfn.XLOOKUP($H243,'TRA TECH'!$J:$J,'TRA TECH'!AH:AH)="","",_xlfn.XLOOKUP($H243,'TRA TECH'!$J:$J,'TRA TECH'!AH:AH)))</f>
        <v>*</v>
      </c>
      <c r="AG243" s="15" t="str">
        <f>IF(H243="*","*",IF(_xlfn.XLOOKUP($H243,'TRA TECH'!$J:$J,'TRA TECH'!AI:AI)="","",_xlfn.XLOOKUP($H243,'TRA TECH'!$J:$J,'TRA TECH'!AI:AI)))</f>
        <v>*</v>
      </c>
      <c r="AH243" s="15" t="str">
        <f>IF(H243="*","*",IF(_xlfn.XLOOKUP($H243,'TRA TECH'!$J:$J,'TRA TECH'!AJ:AJ)="","",_xlfn.XLOOKUP($H243,'TRA TECH'!$J:$J,'TRA TECH'!AJ:AJ)))</f>
        <v>*</v>
      </c>
      <c r="AI243" s="15" t="str">
        <f>IF(H243="*","*",IF(_xlfn.XLOOKUP($H243,'TRA TECH'!$J:$J,'TRA TECH'!AK:AK)="","",_xlfn.XLOOKUP($H243,'TRA TECH'!$J:$J,'TRA TECH'!AK:AK)))</f>
        <v>*</v>
      </c>
      <c r="AJ243" s="15" t="str">
        <f t="shared" si="19"/>
        <v>*</v>
      </c>
      <c r="AK243" s="16" t="str">
        <f t="shared" si="20"/>
        <v>*</v>
      </c>
    </row>
    <row r="244" spans="2:37" x14ac:dyDescent="0.25">
      <c r="B244" t="str">
        <f>IF('TRA TECH'!M240=0,"*",IF('TRA TECH'!H240="","*",'TRA TECH'!J240))</f>
        <v>TRAPASSBUPHEVDSL20</v>
      </c>
      <c r="C244" t="str">
        <f>IF('TRA TECH'!M240=0,"*",'TRA TECH'!H240)</f>
        <v>TRABDS</v>
      </c>
      <c r="D244" t="s">
        <v>424</v>
      </c>
      <c r="E244" s="9">
        <f>'TRA TECH'!P240</f>
        <v>0.1</v>
      </c>
      <c r="H244" t="str">
        <f>IF('TRA TECH'!M240=1,IF('TRA TECH'!L240=1,'TRA TECH'!J240,"*"),"*")</f>
        <v>*</v>
      </c>
      <c r="I244" t="str">
        <f>IF(H244="*","*",_xlfn.XLOOKUP(H244,'TRA TECH'!J:J,'TRA TECH'!I:I))</f>
        <v>*</v>
      </c>
      <c r="J244" t="str">
        <f>IF(H244="*","*",_xlfn.XLOOKUP(H244,'TRA TECH'!J:J,'TRA TECH'!N:N))</f>
        <v>*</v>
      </c>
      <c r="K244" s="15" t="str">
        <f>IF(H244="*","*",IF(_xlfn.XLOOKUP(H244,'TRA TECH'!J:J,'TRA TECH'!O:O)="","",_xlfn.XLOOKUP(H244,'TRA TECH'!J:J,'TRA TECH'!O:O)))</f>
        <v>*</v>
      </c>
      <c r="L244" t="str">
        <f t="shared" si="16"/>
        <v>*</v>
      </c>
      <c r="M244" t="str">
        <f>IF(H244="*","*",IF(_xlfn.XLOOKUP($H244,'TRA TECH'!$J:$J,'TRA TECH'!Q:Q)="","",_xlfn.XLOOKUP($H244,'TRA TECH'!$J:$J,'TRA TECH'!Q:Q)))</f>
        <v>*</v>
      </c>
      <c r="N244" t="str">
        <f>IF(H244="*","*",IF(_xlfn.XLOOKUP($H244,'TRA TECH'!$J:$J,'TRA TECH'!R:R)="","",_xlfn.XLOOKUP($H244,'TRA TECH'!$J:$J,'TRA TECH'!R:R)))</f>
        <v>*</v>
      </c>
      <c r="O244" t="str">
        <f>IF(H244="*","*",IF(_xlfn.XLOOKUP($H244,'TRA TECH'!$J:$J,'TRA TECH'!S:S)="","",_xlfn.XLOOKUP($H244,'TRA TECH'!$J:$J,'TRA TECH'!S:S)))</f>
        <v>*</v>
      </c>
      <c r="P244" t="str">
        <f>IF(H244="*","*",IF(_xlfn.XLOOKUP($H244,'TRA TECH'!$J:$J,'TRA TECH'!T:T)="","",_xlfn.XLOOKUP($H244,'TRA TECH'!$J:$J,'TRA TECH'!T:T)))</f>
        <v>*</v>
      </c>
      <c r="Q244" t="str">
        <f>IF(H244="*","*",IF(_xlfn.XLOOKUP($H244,'TRA TECH'!$J:$J,'TRA TECH'!U:U)="","",_xlfn.XLOOKUP($H244,'TRA TECH'!$J:$J,'TRA TECH'!U:U)))</f>
        <v>*</v>
      </c>
      <c r="R244" t="str">
        <f>IF(H244="*","*",IF(_xlfn.XLOOKUP($H244,'TRA TECH'!$J:$J,'TRA TECH'!V:V)="","",_xlfn.XLOOKUP($H244,'TRA TECH'!$J:$J,'TRA TECH'!V:V)))</f>
        <v>*</v>
      </c>
      <c r="S244" t="str">
        <f>IF(H244="*","*",IF(_xlfn.XLOOKUP($H244,'TRA TECH'!$J:$J,'TRA TECH'!W:W)="","",_xlfn.XLOOKUP($H244,'TRA TECH'!$J:$J,'TRA TECH'!W:W)))</f>
        <v>*</v>
      </c>
      <c r="T244" t="str">
        <f t="shared" si="17"/>
        <v>*</v>
      </c>
      <c r="U244" t="str">
        <f>IF(H244="*","*",IF(_xlfn.XLOOKUP($H244,'TRA TECH'!$J:$J,'TRA TECH'!X:X)="","",_xlfn.XLOOKUP($H244,'TRA TECH'!$J:$J,'TRA TECH'!X:X)))</f>
        <v>*</v>
      </c>
      <c r="V244" t="str">
        <f>IF(H244="*","*",IF(_xlfn.XLOOKUP($H244,'TRA TECH'!$J:$J,'TRA TECH'!Y:Y)="","",_xlfn.XLOOKUP($H244,'TRA TECH'!$J:$J,'TRA TECH'!Y:Y)))</f>
        <v>*</v>
      </c>
      <c r="W244" t="str">
        <f>IF(H244="*","*",IF(_xlfn.XLOOKUP($H244,'TRA TECH'!$J:$J,'TRA TECH'!Z:Z)="","",_xlfn.XLOOKUP($H244,'TRA TECH'!$J:$J,'TRA TECH'!Z:Z)))</f>
        <v>*</v>
      </c>
      <c r="X244" t="str">
        <f>IF(H244="*","*",IF(_xlfn.XLOOKUP($H244,'TRA TECH'!$J:$J,'TRA TECH'!AA:AA)="","",_xlfn.XLOOKUP($H244,'TRA TECH'!$J:$J,'TRA TECH'!AA:AA)))</f>
        <v>*</v>
      </c>
      <c r="Y244" t="str">
        <f>IF(H244="*","*",IF(_xlfn.XLOOKUP($H244,'TRA TECH'!$J:$J,'TRA TECH'!AB:AB)="","",_xlfn.XLOOKUP($H244,'TRA TECH'!$J:$J,'TRA TECH'!AB:AB)))</f>
        <v>*</v>
      </c>
      <c r="Z244" t="str">
        <f>IF(H244="*","*",IF(_xlfn.XLOOKUP($H244,'TRA TECH'!$J:$J,'TRA TECH'!AC:AC)="","",_xlfn.XLOOKUP($H244,'TRA TECH'!$J:$J,'TRA TECH'!AC:AC)))</f>
        <v>*</v>
      </c>
      <c r="AA244" t="str">
        <f>IF(H244="*","*",IF(_xlfn.XLOOKUP($H244,'TRA TECH'!$J:$J,'TRA TECH'!AD:AD)="","",_xlfn.XLOOKUP($H244,'TRA TECH'!$J:$J,'TRA TECH'!AD:AD)))</f>
        <v>*</v>
      </c>
      <c r="AB244" t="str">
        <f t="shared" si="18"/>
        <v>*</v>
      </c>
      <c r="AC244" s="15" t="str">
        <f>IF(H244="*","*",IF(_xlfn.XLOOKUP($H244,'TRA TECH'!$J:$J,'TRA TECH'!AE:AE)="","",_xlfn.XLOOKUP($H244,'TRA TECH'!$J:$J,'TRA TECH'!AE:AE)))</f>
        <v>*</v>
      </c>
      <c r="AD244" s="15" t="str">
        <f>IF(H244="*","*",IF(_xlfn.XLOOKUP($H244,'TRA TECH'!$J:$J,'TRA TECH'!AF:AF)="","",_xlfn.XLOOKUP($H244,'TRA TECH'!$J:$J,'TRA TECH'!AF:AF)))</f>
        <v>*</v>
      </c>
      <c r="AE244" s="15" t="str">
        <f>IF(H244="*","*",IF(_xlfn.XLOOKUP($H244,'TRA TECH'!$J:$J,'TRA TECH'!AG:AG)="","",_xlfn.XLOOKUP($H244,'TRA TECH'!$J:$J,'TRA TECH'!AG:AG)))</f>
        <v>*</v>
      </c>
      <c r="AF244" s="15" t="str">
        <f>IF(H244="*","*",IF(_xlfn.XLOOKUP($H244,'TRA TECH'!$J:$J,'TRA TECH'!AH:AH)="","",_xlfn.XLOOKUP($H244,'TRA TECH'!$J:$J,'TRA TECH'!AH:AH)))</f>
        <v>*</v>
      </c>
      <c r="AG244" s="15" t="str">
        <f>IF(H244="*","*",IF(_xlfn.XLOOKUP($H244,'TRA TECH'!$J:$J,'TRA TECH'!AI:AI)="","",_xlfn.XLOOKUP($H244,'TRA TECH'!$J:$J,'TRA TECH'!AI:AI)))</f>
        <v>*</v>
      </c>
      <c r="AH244" s="15" t="str">
        <f>IF(H244="*","*",IF(_xlfn.XLOOKUP($H244,'TRA TECH'!$J:$J,'TRA TECH'!AJ:AJ)="","",_xlfn.XLOOKUP($H244,'TRA TECH'!$J:$J,'TRA TECH'!AJ:AJ)))</f>
        <v>*</v>
      </c>
      <c r="AI244" s="15" t="str">
        <f>IF(H244="*","*",IF(_xlfn.XLOOKUP($H244,'TRA TECH'!$J:$J,'TRA TECH'!AK:AK)="","",_xlfn.XLOOKUP($H244,'TRA TECH'!$J:$J,'TRA TECH'!AK:AK)))</f>
        <v>*</v>
      </c>
      <c r="AJ244" s="15" t="str">
        <f t="shared" si="19"/>
        <v>*</v>
      </c>
      <c r="AK244" s="16" t="str">
        <f t="shared" si="20"/>
        <v>*</v>
      </c>
    </row>
    <row r="245" spans="2:37" x14ac:dyDescent="0.25">
      <c r="B245" t="str">
        <f>IF('TRA TECH'!M241=0,"*",IF('TRA TECH'!H241="","*",'TRA TECH'!J241))</f>
        <v>TRAPASSBUPHEVDSL20</v>
      </c>
      <c r="C245" t="str">
        <f>IF('TRA TECH'!M241=0,"*",'TRA TECH'!H241)</f>
        <v>TRABAT</v>
      </c>
      <c r="D245" t="s">
        <v>424</v>
      </c>
      <c r="E245" s="9">
        <f>'TRA TECH'!P241</f>
        <v>0.69047619047618847</v>
      </c>
      <c r="H245" t="str">
        <f>IF('TRA TECH'!M241=1,IF('TRA TECH'!L241=1,'TRA TECH'!J241,"*"),"*")</f>
        <v>*</v>
      </c>
      <c r="I245" t="str">
        <f>IF(H245="*","*",_xlfn.XLOOKUP(H245,'TRA TECH'!J:J,'TRA TECH'!I:I))</f>
        <v>*</v>
      </c>
      <c r="J245" t="str">
        <f>IF(H245="*","*",_xlfn.XLOOKUP(H245,'TRA TECH'!J:J,'TRA TECH'!N:N))</f>
        <v>*</v>
      </c>
      <c r="K245" s="15" t="str">
        <f>IF(H245="*","*",IF(_xlfn.XLOOKUP(H245,'TRA TECH'!J:J,'TRA TECH'!O:O)="","",_xlfn.XLOOKUP(H245,'TRA TECH'!J:J,'TRA TECH'!O:O)))</f>
        <v>*</v>
      </c>
      <c r="L245" t="str">
        <f t="shared" si="16"/>
        <v>*</v>
      </c>
      <c r="M245" t="str">
        <f>IF(H245="*","*",IF(_xlfn.XLOOKUP($H245,'TRA TECH'!$J:$J,'TRA TECH'!Q:Q)="","",_xlfn.XLOOKUP($H245,'TRA TECH'!$J:$J,'TRA TECH'!Q:Q)))</f>
        <v>*</v>
      </c>
      <c r="N245" t="str">
        <f>IF(H245="*","*",IF(_xlfn.XLOOKUP($H245,'TRA TECH'!$J:$J,'TRA TECH'!R:R)="","",_xlfn.XLOOKUP($H245,'TRA TECH'!$J:$J,'TRA TECH'!R:R)))</f>
        <v>*</v>
      </c>
      <c r="O245" t="str">
        <f>IF(H245="*","*",IF(_xlfn.XLOOKUP($H245,'TRA TECH'!$J:$J,'TRA TECH'!S:S)="","",_xlfn.XLOOKUP($H245,'TRA TECH'!$J:$J,'TRA TECH'!S:S)))</f>
        <v>*</v>
      </c>
      <c r="P245" t="str">
        <f>IF(H245="*","*",IF(_xlfn.XLOOKUP($H245,'TRA TECH'!$J:$J,'TRA TECH'!T:T)="","",_xlfn.XLOOKUP($H245,'TRA TECH'!$J:$J,'TRA TECH'!T:T)))</f>
        <v>*</v>
      </c>
      <c r="Q245" t="str">
        <f>IF(H245="*","*",IF(_xlfn.XLOOKUP($H245,'TRA TECH'!$J:$J,'TRA TECH'!U:U)="","",_xlfn.XLOOKUP($H245,'TRA TECH'!$J:$J,'TRA TECH'!U:U)))</f>
        <v>*</v>
      </c>
      <c r="R245" t="str">
        <f>IF(H245="*","*",IF(_xlfn.XLOOKUP($H245,'TRA TECH'!$J:$J,'TRA TECH'!V:V)="","",_xlfn.XLOOKUP($H245,'TRA TECH'!$J:$J,'TRA TECH'!V:V)))</f>
        <v>*</v>
      </c>
      <c r="S245" t="str">
        <f>IF(H245="*","*",IF(_xlfn.XLOOKUP($H245,'TRA TECH'!$J:$J,'TRA TECH'!W:W)="","",_xlfn.XLOOKUP($H245,'TRA TECH'!$J:$J,'TRA TECH'!W:W)))</f>
        <v>*</v>
      </c>
      <c r="T245" t="str">
        <f t="shared" si="17"/>
        <v>*</v>
      </c>
      <c r="U245" t="str">
        <f>IF(H245="*","*",IF(_xlfn.XLOOKUP($H245,'TRA TECH'!$J:$J,'TRA TECH'!X:X)="","",_xlfn.XLOOKUP($H245,'TRA TECH'!$J:$J,'TRA TECH'!X:X)))</f>
        <v>*</v>
      </c>
      <c r="V245" t="str">
        <f>IF(H245="*","*",IF(_xlfn.XLOOKUP($H245,'TRA TECH'!$J:$J,'TRA TECH'!Y:Y)="","",_xlfn.XLOOKUP($H245,'TRA TECH'!$J:$J,'TRA TECH'!Y:Y)))</f>
        <v>*</v>
      </c>
      <c r="W245" t="str">
        <f>IF(H245="*","*",IF(_xlfn.XLOOKUP($H245,'TRA TECH'!$J:$J,'TRA TECH'!Z:Z)="","",_xlfn.XLOOKUP($H245,'TRA TECH'!$J:$J,'TRA TECH'!Z:Z)))</f>
        <v>*</v>
      </c>
      <c r="X245" t="str">
        <f>IF(H245="*","*",IF(_xlfn.XLOOKUP($H245,'TRA TECH'!$J:$J,'TRA TECH'!AA:AA)="","",_xlfn.XLOOKUP($H245,'TRA TECH'!$J:$J,'TRA TECH'!AA:AA)))</f>
        <v>*</v>
      </c>
      <c r="Y245" t="str">
        <f>IF(H245="*","*",IF(_xlfn.XLOOKUP($H245,'TRA TECH'!$J:$J,'TRA TECH'!AB:AB)="","",_xlfn.XLOOKUP($H245,'TRA TECH'!$J:$J,'TRA TECH'!AB:AB)))</f>
        <v>*</v>
      </c>
      <c r="Z245" t="str">
        <f>IF(H245="*","*",IF(_xlfn.XLOOKUP($H245,'TRA TECH'!$J:$J,'TRA TECH'!AC:AC)="","",_xlfn.XLOOKUP($H245,'TRA TECH'!$J:$J,'TRA TECH'!AC:AC)))</f>
        <v>*</v>
      </c>
      <c r="AA245" t="str">
        <f>IF(H245="*","*",IF(_xlfn.XLOOKUP($H245,'TRA TECH'!$J:$J,'TRA TECH'!AD:AD)="","",_xlfn.XLOOKUP($H245,'TRA TECH'!$J:$J,'TRA TECH'!AD:AD)))</f>
        <v>*</v>
      </c>
      <c r="AB245" t="str">
        <f t="shared" si="18"/>
        <v>*</v>
      </c>
      <c r="AC245" s="15" t="str">
        <f>IF(H245="*","*",IF(_xlfn.XLOOKUP($H245,'TRA TECH'!$J:$J,'TRA TECH'!AE:AE)="","",_xlfn.XLOOKUP($H245,'TRA TECH'!$J:$J,'TRA TECH'!AE:AE)))</f>
        <v>*</v>
      </c>
      <c r="AD245" s="15" t="str">
        <f>IF(H245="*","*",IF(_xlfn.XLOOKUP($H245,'TRA TECH'!$J:$J,'TRA TECH'!AF:AF)="","",_xlfn.XLOOKUP($H245,'TRA TECH'!$J:$J,'TRA TECH'!AF:AF)))</f>
        <v>*</v>
      </c>
      <c r="AE245" s="15" t="str">
        <f>IF(H245="*","*",IF(_xlfn.XLOOKUP($H245,'TRA TECH'!$J:$J,'TRA TECH'!AG:AG)="","",_xlfn.XLOOKUP($H245,'TRA TECH'!$J:$J,'TRA TECH'!AG:AG)))</f>
        <v>*</v>
      </c>
      <c r="AF245" s="15" t="str">
        <f>IF(H245="*","*",IF(_xlfn.XLOOKUP($H245,'TRA TECH'!$J:$J,'TRA TECH'!AH:AH)="","",_xlfn.XLOOKUP($H245,'TRA TECH'!$J:$J,'TRA TECH'!AH:AH)))</f>
        <v>*</v>
      </c>
      <c r="AG245" s="15" t="str">
        <f>IF(H245="*","*",IF(_xlfn.XLOOKUP($H245,'TRA TECH'!$J:$J,'TRA TECH'!AI:AI)="","",_xlfn.XLOOKUP($H245,'TRA TECH'!$J:$J,'TRA TECH'!AI:AI)))</f>
        <v>*</v>
      </c>
      <c r="AH245" s="15" t="str">
        <f>IF(H245="*","*",IF(_xlfn.XLOOKUP($H245,'TRA TECH'!$J:$J,'TRA TECH'!AJ:AJ)="","",_xlfn.XLOOKUP($H245,'TRA TECH'!$J:$J,'TRA TECH'!AJ:AJ)))</f>
        <v>*</v>
      </c>
      <c r="AI245" s="15" t="str">
        <f>IF(H245="*","*",IF(_xlfn.XLOOKUP($H245,'TRA TECH'!$J:$J,'TRA TECH'!AK:AK)="","",_xlfn.XLOOKUP($H245,'TRA TECH'!$J:$J,'TRA TECH'!AK:AK)))</f>
        <v>*</v>
      </c>
      <c r="AJ245" s="15" t="str">
        <f t="shared" si="19"/>
        <v>*</v>
      </c>
      <c r="AK245" s="16" t="str">
        <f t="shared" si="20"/>
        <v>*</v>
      </c>
    </row>
    <row r="246" spans="2:37" x14ac:dyDescent="0.25">
      <c r="B246" t="str">
        <f>IF('TRA TECH'!M242=0,"*",IF('TRA TECH'!H242="","*",'TRA TECH'!J242))</f>
        <v>TRAPASSBUFCEV20</v>
      </c>
      <c r="C246" t="str">
        <f>IF('TRA TECH'!M242=0,"*",'TRA TECH'!H242)</f>
        <v>TRAH2G</v>
      </c>
      <c r="D246" t="s">
        <v>424</v>
      </c>
      <c r="E246" s="9">
        <f>'TRA TECH'!P242</f>
        <v>1</v>
      </c>
      <c r="H246" t="str">
        <f>IF('TRA TECH'!M242=1,IF('TRA TECH'!L242=1,'TRA TECH'!J242,"*"),"*")</f>
        <v>TRAPASSBUFCEV20</v>
      </c>
      <c r="I246" t="str">
        <f>IF(H246="*","*",_xlfn.XLOOKUP(H246,'TRA TECH'!J:J,'TRA TECH'!I:I))</f>
        <v>TRAPASSBUDMD</v>
      </c>
      <c r="J246">
        <f>IF(H246="*","*",_xlfn.XLOOKUP(H246,'TRA TECH'!J:J,'TRA TECH'!N:N))</f>
        <v>2020</v>
      </c>
      <c r="K246" s="15">
        <f>IF(H246="*","*",IF(_xlfn.XLOOKUP(H246,'TRA TECH'!J:J,'TRA TECH'!O:O)="","",_xlfn.XLOOKUP(H246,'TRA TECH'!J:J,'TRA TECH'!O:O)))</f>
        <v>14.200511218403861</v>
      </c>
      <c r="L246">
        <f t="shared" si="16"/>
        <v>1</v>
      </c>
      <c r="M246">
        <f>IF(H246="*","*",IF(_xlfn.XLOOKUP($H246,'TRA TECH'!$J:$J,'TRA TECH'!Q:Q)="","",_xlfn.XLOOKUP($H246,'TRA TECH'!$J:$J,'TRA TECH'!Q:Q)))</f>
        <v>0.20030575667655801</v>
      </c>
      <c r="N246">
        <f>IF(H246="*","*",IF(_xlfn.XLOOKUP($H246,'TRA TECH'!$J:$J,'TRA TECH'!R:R)="","",_xlfn.XLOOKUP($H246,'TRA TECH'!$J:$J,'TRA TECH'!R:R)))</f>
        <v>0.20030575667655801</v>
      </c>
      <c r="O246">
        <f>IF(H246="*","*",IF(_xlfn.XLOOKUP($H246,'TRA TECH'!$J:$J,'TRA TECH'!S:S)="","",_xlfn.XLOOKUP($H246,'TRA TECH'!$J:$J,'TRA TECH'!S:S)))</f>
        <v>0.22020367952522271</v>
      </c>
      <c r="P246">
        <f>IF(H246="*","*",IF(_xlfn.XLOOKUP($H246,'TRA TECH'!$J:$J,'TRA TECH'!T:T)="","",_xlfn.XLOOKUP($H246,'TRA TECH'!$J:$J,'TRA TECH'!T:T)))</f>
        <v>0.24142813056379819</v>
      </c>
      <c r="Q246">
        <f>IF(H246="*","*",IF(_xlfn.XLOOKUP($H246,'TRA TECH'!$J:$J,'TRA TECH'!U:U)="","",_xlfn.XLOOKUP($H246,'TRA TECH'!$J:$J,'TRA TECH'!U:U)))</f>
        <v>0.25071382789317492</v>
      </c>
      <c r="R246">
        <f>IF(H246="*","*",IF(_xlfn.XLOOKUP($H246,'TRA TECH'!$J:$J,'TRA TECH'!V:V)="","",_xlfn.XLOOKUP($H246,'TRA TECH'!$J:$J,'TRA TECH'!V:V)))</f>
        <v>0.26132605341246301</v>
      </c>
      <c r="S246">
        <f>IF(H246="*","*",IF(_xlfn.XLOOKUP($H246,'TRA TECH'!$J:$J,'TRA TECH'!W:W)="","",_xlfn.XLOOKUP($H246,'TRA TECH'!$J:$J,'TRA TECH'!W:W)))</f>
        <v>0.27061175074183957</v>
      </c>
      <c r="T246">
        <f t="shared" si="17"/>
        <v>0.27061175074183957</v>
      </c>
      <c r="U246">
        <f>IF(H246="*","*",IF(_xlfn.XLOOKUP($H246,'TRA TECH'!$J:$J,'TRA TECH'!X:X)="","",_xlfn.XLOOKUP($H246,'TRA TECH'!$J:$J,'TRA TECH'!X:X)))</f>
        <v>635.89595462439217</v>
      </c>
      <c r="V246">
        <f>IF(H246="*","*",IF(_xlfn.XLOOKUP($H246,'TRA TECH'!$J:$J,'TRA TECH'!Y:Y)="","",_xlfn.XLOOKUP($H246,'TRA TECH'!$J:$J,'TRA TECH'!Y:Y)))</f>
        <v>635.89595462439217</v>
      </c>
      <c r="W246">
        <f>IF(H246="*","*",IF(_xlfn.XLOOKUP($H246,'TRA TECH'!$J:$J,'TRA TECH'!Z:Z)="","",_xlfn.XLOOKUP($H246,'TRA TECH'!$J:$J,'TRA TECH'!Z:Z)))</f>
        <v>598.19742487596693</v>
      </c>
      <c r="X246">
        <f>IF(H246="*","*",IF(_xlfn.XLOOKUP($H246,'TRA TECH'!$J:$J,'TRA TECH'!AA:AA)="","",_xlfn.XLOOKUP($H246,'TRA TECH'!$J:$J,'TRA TECH'!AA:AA)))</f>
        <v>566.18923924051046</v>
      </c>
      <c r="Y246">
        <f>IF(H246="*","*",IF(_xlfn.XLOOKUP($H246,'TRA TECH'!$J:$J,'TRA TECH'!AB:AB)="","",_xlfn.XLOOKUP($H246,'TRA TECH'!$J:$J,'TRA TECH'!AB:AB)))</f>
        <v>553.38596498632808</v>
      </c>
      <c r="Z246">
        <f>IF(H246="*","*",IF(_xlfn.XLOOKUP($H246,'TRA TECH'!$J:$J,'TRA TECH'!AC:AC)="","",_xlfn.XLOOKUP($H246,'TRA TECH'!$J:$J,'TRA TECH'!AC:AC)))</f>
        <v>540.58269073214626</v>
      </c>
      <c r="AA246">
        <f>IF(H246="*","*",IF(_xlfn.XLOOKUP($H246,'TRA TECH'!$J:$J,'TRA TECH'!AD:AD)="","",_xlfn.XLOOKUP($H246,'TRA TECH'!$J:$J,'TRA TECH'!AD:AD)))</f>
        <v>527.77941647796388</v>
      </c>
      <c r="AB246">
        <f t="shared" si="18"/>
        <v>527.77941647796388</v>
      </c>
      <c r="AC246" s="15">
        <f>IF(H246="*","*",IF(_xlfn.XLOOKUP($H246,'TRA TECH'!$J:$J,'TRA TECH'!AE:AE)="","",_xlfn.XLOOKUP($H246,'TRA TECH'!$J:$J,'TRA TECH'!AE:AE)))</f>
        <v>5.9105319784213251</v>
      </c>
      <c r="AD246" s="15">
        <f>IF(H246="*","*",IF(_xlfn.XLOOKUP($H246,'TRA TECH'!$J:$J,'TRA TECH'!AF:AF)="","",_xlfn.XLOOKUP($H246,'TRA TECH'!$J:$J,'TRA TECH'!AF:AF)))</f>
        <v>5.9105319784213251</v>
      </c>
      <c r="AE246" s="15">
        <f>IF(H246="*","*",IF(_xlfn.XLOOKUP($H246,'TRA TECH'!$J:$J,'TRA TECH'!AG:AG)="","",_xlfn.XLOOKUP($H246,'TRA TECH'!$J:$J,'TRA TECH'!AG:AG)))</f>
        <v>5.9105319784213251</v>
      </c>
      <c r="AF246" s="15">
        <f>IF(H246="*","*",IF(_xlfn.XLOOKUP($H246,'TRA TECH'!$J:$J,'TRA TECH'!AH:AH)="","",_xlfn.XLOOKUP($H246,'TRA TECH'!$J:$J,'TRA TECH'!AH:AH)))</f>
        <v>5.9105319784213251</v>
      </c>
      <c r="AG246" s="15">
        <f>IF(H246="*","*",IF(_xlfn.XLOOKUP($H246,'TRA TECH'!$J:$J,'TRA TECH'!AI:AI)="","",_xlfn.XLOOKUP($H246,'TRA TECH'!$J:$J,'TRA TECH'!AI:AI)))</f>
        <v>5.9105319784213251</v>
      </c>
      <c r="AH246" s="15">
        <f>IF(H246="*","*",IF(_xlfn.XLOOKUP($H246,'TRA TECH'!$J:$J,'TRA TECH'!AJ:AJ)="","",_xlfn.XLOOKUP($H246,'TRA TECH'!$J:$J,'TRA TECH'!AJ:AJ)))</f>
        <v>5.9105319784213251</v>
      </c>
      <c r="AI246" s="15">
        <f>IF(H246="*","*",IF(_xlfn.XLOOKUP($H246,'TRA TECH'!$J:$J,'TRA TECH'!AK:AK)="","",_xlfn.XLOOKUP($H246,'TRA TECH'!$J:$J,'TRA TECH'!AK:AK)))</f>
        <v>5.9105319784213251</v>
      </c>
      <c r="AJ246" s="15">
        <f t="shared" si="19"/>
        <v>5.9105319784213251</v>
      </c>
      <c r="AK246" s="16">
        <f t="shared" si="20"/>
        <v>0.4</v>
      </c>
    </row>
    <row r="247" spans="2:37" x14ac:dyDescent="0.25">
      <c r="B247" t="str">
        <f>IF('TRA TECH'!M243=0,"*",IF('TRA TECH'!H243="","*",'TRA TECH'!J243))</f>
        <v>TRAPASSBUFCHEV20</v>
      </c>
      <c r="C247" t="str">
        <f>IF('TRA TECH'!M243=0,"*",'TRA TECH'!H243)</f>
        <v>TRAH2G</v>
      </c>
      <c r="D247" t="s">
        <v>424</v>
      </c>
      <c r="E247" s="9">
        <f>'TRA TECH'!P243</f>
        <v>0.89763779527559173</v>
      </c>
      <c r="H247" t="str">
        <f>IF('TRA TECH'!M243=1,IF('TRA TECH'!L243=1,'TRA TECH'!J243,"*"),"*")</f>
        <v>TRAPASSBUFCHEV20</v>
      </c>
      <c r="I247" t="str">
        <f>IF(H247="*","*",_xlfn.XLOOKUP(H247,'TRA TECH'!J:J,'TRA TECH'!I:I))</f>
        <v>TRAPASSBUDMD</v>
      </c>
      <c r="J247">
        <f>IF(H247="*","*",_xlfn.XLOOKUP(H247,'TRA TECH'!J:J,'TRA TECH'!N:N))</f>
        <v>2020</v>
      </c>
      <c r="K247" s="15">
        <f>IF(H247="*","*",IF(_xlfn.XLOOKUP(H247,'TRA TECH'!J:J,'TRA TECH'!O:O)="","",_xlfn.XLOOKUP(H247,'TRA TECH'!J:J,'TRA TECH'!O:O)))</f>
        <v>14.200511218403861</v>
      </c>
      <c r="L247">
        <f t="shared" si="16"/>
        <v>1</v>
      </c>
      <c r="M247">
        <f>IF(H247="*","*",IF(_xlfn.XLOOKUP($H247,'TRA TECH'!$J:$J,'TRA TECH'!Q:Q)="","",_xlfn.XLOOKUP($H247,'TRA TECH'!$J:$J,'TRA TECH'!Q:Q)))</f>
        <v>0.2175506231454005</v>
      </c>
      <c r="N247">
        <f>IF(H247="*","*",IF(_xlfn.XLOOKUP($H247,'TRA TECH'!$J:$J,'TRA TECH'!R:R)="","",_xlfn.XLOOKUP($H247,'TRA TECH'!$J:$J,'TRA TECH'!R:R)))</f>
        <v>0.2175506231454005</v>
      </c>
      <c r="O247">
        <f>IF(H247="*","*",IF(_xlfn.XLOOKUP($H247,'TRA TECH'!$J:$J,'TRA TECH'!S:S)="","",_xlfn.XLOOKUP($H247,'TRA TECH'!$J:$J,'TRA TECH'!S:S)))</f>
        <v>0.24010160237388731</v>
      </c>
      <c r="P247">
        <f>IF(H247="*","*",IF(_xlfn.XLOOKUP($H247,'TRA TECH'!$J:$J,'TRA TECH'!T:T)="","",_xlfn.XLOOKUP($H247,'TRA TECH'!$J:$J,'TRA TECH'!T:T)))</f>
        <v>0.25867299703264102</v>
      </c>
      <c r="Q247">
        <f>IF(H247="*","*",IF(_xlfn.XLOOKUP($H247,'TRA TECH'!$J:$J,'TRA TECH'!U:U)="","",_xlfn.XLOOKUP($H247,'TRA TECH'!$J:$J,'TRA TECH'!U:U)))</f>
        <v>0.26663216617210689</v>
      </c>
      <c r="R247">
        <f>IF(H247="*","*",IF(_xlfn.XLOOKUP($H247,'TRA TECH'!$J:$J,'TRA TECH'!V:V)="","",_xlfn.XLOOKUP($H247,'TRA TECH'!$J:$J,'TRA TECH'!V:V)))</f>
        <v>0.27591786350148362</v>
      </c>
      <c r="S247">
        <f>IF(H247="*","*",IF(_xlfn.XLOOKUP($H247,'TRA TECH'!$J:$J,'TRA TECH'!W:W)="","",_xlfn.XLOOKUP($H247,'TRA TECH'!$J:$J,'TRA TECH'!W:W)))</f>
        <v>0.28387703264094938</v>
      </c>
      <c r="T247">
        <f t="shared" si="17"/>
        <v>0.28387703264094938</v>
      </c>
      <c r="U247">
        <f>IF(H247="*","*",IF(_xlfn.XLOOKUP($H247,'TRA TECH'!$J:$J,'TRA TECH'!X:X)="","",_xlfn.XLOOKUP($H247,'TRA TECH'!$J:$J,'TRA TECH'!X:X)))</f>
        <v>537.02622566153968</v>
      </c>
      <c r="V247">
        <f>IF(H247="*","*",IF(_xlfn.XLOOKUP($H247,'TRA TECH'!$J:$J,'TRA TECH'!Y:Y)="","",_xlfn.XLOOKUP($H247,'TRA TECH'!$J:$J,'TRA TECH'!Y:Y)))</f>
        <v>537.02622566153968</v>
      </c>
      <c r="W247">
        <f>IF(H247="*","*",IF(_xlfn.XLOOKUP($H247,'TRA TECH'!$J:$J,'TRA TECH'!Z:Z)="","",_xlfn.XLOOKUP($H247,'TRA TECH'!$J:$J,'TRA TECH'!Z:Z)))</f>
        <v>500.03898892723481</v>
      </c>
      <c r="X247">
        <f>IF(H247="*","*",IF(_xlfn.XLOOKUP($H247,'TRA TECH'!$J:$J,'TRA TECH'!AA:AA)="","",_xlfn.XLOOKUP($H247,'TRA TECH'!$J:$J,'TRA TECH'!AA:AA)))</f>
        <v>476.56631946123417</v>
      </c>
      <c r="Y247">
        <f>IF(H247="*","*",IF(_xlfn.XLOOKUP($H247,'TRA TECH'!$J:$J,'TRA TECH'!AB:AB)="","",_xlfn.XLOOKUP($H247,'TRA TECH'!$J:$J,'TRA TECH'!AB:AB)))</f>
        <v>466.60821726353652</v>
      </c>
      <c r="Z247">
        <f>IF(H247="*","*",IF(_xlfn.XLOOKUP($H247,'TRA TECH'!$J:$J,'TRA TECH'!AC:AC)="","",_xlfn.XLOOKUP($H247,'TRA TECH'!$J:$J,'TRA TECH'!AC:AC)))</f>
        <v>456.65011506583892</v>
      </c>
      <c r="AA247">
        <f>IF(H247="*","*",IF(_xlfn.XLOOKUP($H247,'TRA TECH'!$J:$J,'TRA TECH'!AD:AD)="","",_xlfn.XLOOKUP($H247,'TRA TECH'!$J:$J,'TRA TECH'!AD:AD)))</f>
        <v>446.69201286814172</v>
      </c>
      <c r="AB247">
        <f t="shared" si="18"/>
        <v>446.69201286814172</v>
      </c>
      <c r="AC247" s="15">
        <f>IF(H247="*","*",IF(_xlfn.XLOOKUP($H247,'TRA TECH'!$J:$J,'TRA TECH'!AE:AE)="","",_xlfn.XLOOKUP($H247,'TRA TECH'!$J:$J,'TRA TECH'!AE:AE)))</f>
        <v>5.9105319784213251</v>
      </c>
      <c r="AD247" s="15">
        <f>IF(H247="*","*",IF(_xlfn.XLOOKUP($H247,'TRA TECH'!$J:$J,'TRA TECH'!AF:AF)="","",_xlfn.XLOOKUP($H247,'TRA TECH'!$J:$J,'TRA TECH'!AF:AF)))</f>
        <v>5.9105319784213251</v>
      </c>
      <c r="AE247" s="15">
        <f>IF(H247="*","*",IF(_xlfn.XLOOKUP($H247,'TRA TECH'!$J:$J,'TRA TECH'!AG:AG)="","",_xlfn.XLOOKUP($H247,'TRA TECH'!$J:$J,'TRA TECH'!AG:AG)))</f>
        <v>5.9105319784213251</v>
      </c>
      <c r="AF247" s="15">
        <f>IF(H247="*","*",IF(_xlfn.XLOOKUP($H247,'TRA TECH'!$J:$J,'TRA TECH'!AH:AH)="","",_xlfn.XLOOKUP($H247,'TRA TECH'!$J:$J,'TRA TECH'!AH:AH)))</f>
        <v>5.9105319784213251</v>
      </c>
      <c r="AG247" s="15">
        <f>IF(H247="*","*",IF(_xlfn.XLOOKUP($H247,'TRA TECH'!$J:$J,'TRA TECH'!AI:AI)="","",_xlfn.XLOOKUP($H247,'TRA TECH'!$J:$J,'TRA TECH'!AI:AI)))</f>
        <v>5.9105319784213251</v>
      </c>
      <c r="AH247" s="15">
        <f>IF(H247="*","*",IF(_xlfn.XLOOKUP($H247,'TRA TECH'!$J:$J,'TRA TECH'!AJ:AJ)="","",_xlfn.XLOOKUP($H247,'TRA TECH'!$J:$J,'TRA TECH'!AJ:AJ)))</f>
        <v>5.9105319784213251</v>
      </c>
      <c r="AI247" s="15">
        <f>IF(H247="*","*",IF(_xlfn.XLOOKUP($H247,'TRA TECH'!$J:$J,'TRA TECH'!AK:AK)="","",_xlfn.XLOOKUP($H247,'TRA TECH'!$J:$J,'TRA TECH'!AK:AK)))</f>
        <v>5.9105319784213251</v>
      </c>
      <c r="AJ247" s="15">
        <f t="shared" si="19"/>
        <v>5.9105319784213251</v>
      </c>
      <c r="AK247" s="16">
        <f t="shared" si="20"/>
        <v>0.25</v>
      </c>
    </row>
    <row r="248" spans="2:37" x14ac:dyDescent="0.25">
      <c r="B248" t="str">
        <f>IF('TRA TECH'!M244=0,"*",IF('TRA TECH'!H244="","*",'TRA TECH'!J244))</f>
        <v>TRAPASSBUFCHEV20</v>
      </c>
      <c r="C248" t="str">
        <f>IF('TRA TECH'!M244=0,"*",'TRA TECH'!H244)</f>
        <v>TRABAT</v>
      </c>
      <c r="D248" t="s">
        <v>424</v>
      </c>
      <c r="E248" s="9">
        <f>'TRA TECH'!P244</f>
        <v>0.1023622047244083</v>
      </c>
      <c r="H248" t="str">
        <f>IF('TRA TECH'!M244=1,IF('TRA TECH'!L244=1,'TRA TECH'!J244,"*"),"*")</f>
        <v>*</v>
      </c>
      <c r="I248" t="str">
        <f>IF(H248="*","*",_xlfn.XLOOKUP(H248,'TRA TECH'!J:J,'TRA TECH'!I:I))</f>
        <v>*</v>
      </c>
      <c r="J248" t="str">
        <f>IF(H248="*","*",_xlfn.XLOOKUP(H248,'TRA TECH'!J:J,'TRA TECH'!N:N))</f>
        <v>*</v>
      </c>
      <c r="K248" s="15" t="str">
        <f>IF(H248="*","*",IF(_xlfn.XLOOKUP(H248,'TRA TECH'!J:J,'TRA TECH'!O:O)="","",_xlfn.XLOOKUP(H248,'TRA TECH'!J:J,'TRA TECH'!O:O)))</f>
        <v>*</v>
      </c>
      <c r="L248" t="str">
        <f t="shared" si="16"/>
        <v>*</v>
      </c>
      <c r="M248" t="str">
        <f>IF(H248="*","*",IF(_xlfn.XLOOKUP($H248,'TRA TECH'!$J:$J,'TRA TECH'!Q:Q)="","",_xlfn.XLOOKUP($H248,'TRA TECH'!$J:$J,'TRA TECH'!Q:Q)))</f>
        <v>*</v>
      </c>
      <c r="N248" t="str">
        <f>IF(H248="*","*",IF(_xlfn.XLOOKUP($H248,'TRA TECH'!$J:$J,'TRA TECH'!R:R)="","",_xlfn.XLOOKUP($H248,'TRA TECH'!$J:$J,'TRA TECH'!R:R)))</f>
        <v>*</v>
      </c>
      <c r="O248" t="str">
        <f>IF(H248="*","*",IF(_xlfn.XLOOKUP($H248,'TRA TECH'!$J:$J,'TRA TECH'!S:S)="","",_xlfn.XLOOKUP($H248,'TRA TECH'!$J:$J,'TRA TECH'!S:S)))</f>
        <v>*</v>
      </c>
      <c r="P248" t="str">
        <f>IF(H248="*","*",IF(_xlfn.XLOOKUP($H248,'TRA TECH'!$J:$J,'TRA TECH'!T:T)="","",_xlfn.XLOOKUP($H248,'TRA TECH'!$J:$J,'TRA TECH'!T:T)))</f>
        <v>*</v>
      </c>
      <c r="Q248" t="str">
        <f>IF(H248="*","*",IF(_xlfn.XLOOKUP($H248,'TRA TECH'!$J:$J,'TRA TECH'!U:U)="","",_xlfn.XLOOKUP($H248,'TRA TECH'!$J:$J,'TRA TECH'!U:U)))</f>
        <v>*</v>
      </c>
      <c r="R248" t="str">
        <f>IF(H248="*","*",IF(_xlfn.XLOOKUP($H248,'TRA TECH'!$J:$J,'TRA TECH'!V:V)="","",_xlfn.XLOOKUP($H248,'TRA TECH'!$J:$J,'TRA TECH'!V:V)))</f>
        <v>*</v>
      </c>
      <c r="S248" t="str">
        <f>IF(H248="*","*",IF(_xlfn.XLOOKUP($H248,'TRA TECH'!$J:$J,'TRA TECH'!W:W)="","",_xlfn.XLOOKUP($H248,'TRA TECH'!$J:$J,'TRA TECH'!W:W)))</f>
        <v>*</v>
      </c>
      <c r="T248" t="str">
        <f t="shared" si="17"/>
        <v>*</v>
      </c>
      <c r="U248" t="str">
        <f>IF(H248="*","*",IF(_xlfn.XLOOKUP($H248,'TRA TECH'!$J:$J,'TRA TECH'!X:X)="","",_xlfn.XLOOKUP($H248,'TRA TECH'!$J:$J,'TRA TECH'!X:X)))</f>
        <v>*</v>
      </c>
      <c r="V248" t="str">
        <f>IF(H248="*","*",IF(_xlfn.XLOOKUP($H248,'TRA TECH'!$J:$J,'TRA TECH'!Y:Y)="","",_xlfn.XLOOKUP($H248,'TRA TECH'!$J:$J,'TRA TECH'!Y:Y)))</f>
        <v>*</v>
      </c>
      <c r="W248" t="str">
        <f>IF(H248="*","*",IF(_xlfn.XLOOKUP($H248,'TRA TECH'!$J:$J,'TRA TECH'!Z:Z)="","",_xlfn.XLOOKUP($H248,'TRA TECH'!$J:$J,'TRA TECH'!Z:Z)))</f>
        <v>*</v>
      </c>
      <c r="X248" t="str">
        <f>IF(H248="*","*",IF(_xlfn.XLOOKUP($H248,'TRA TECH'!$J:$J,'TRA TECH'!AA:AA)="","",_xlfn.XLOOKUP($H248,'TRA TECH'!$J:$J,'TRA TECH'!AA:AA)))</f>
        <v>*</v>
      </c>
      <c r="Y248" t="str">
        <f>IF(H248="*","*",IF(_xlfn.XLOOKUP($H248,'TRA TECH'!$J:$J,'TRA TECH'!AB:AB)="","",_xlfn.XLOOKUP($H248,'TRA TECH'!$J:$J,'TRA TECH'!AB:AB)))</f>
        <v>*</v>
      </c>
      <c r="Z248" t="str">
        <f>IF(H248="*","*",IF(_xlfn.XLOOKUP($H248,'TRA TECH'!$J:$J,'TRA TECH'!AC:AC)="","",_xlfn.XLOOKUP($H248,'TRA TECH'!$J:$J,'TRA TECH'!AC:AC)))</f>
        <v>*</v>
      </c>
      <c r="AA248" t="str">
        <f>IF(H248="*","*",IF(_xlfn.XLOOKUP($H248,'TRA TECH'!$J:$J,'TRA TECH'!AD:AD)="","",_xlfn.XLOOKUP($H248,'TRA TECH'!$J:$J,'TRA TECH'!AD:AD)))</f>
        <v>*</v>
      </c>
      <c r="AB248" t="str">
        <f t="shared" si="18"/>
        <v>*</v>
      </c>
      <c r="AC248" s="15" t="str">
        <f>IF(H248="*","*",IF(_xlfn.XLOOKUP($H248,'TRA TECH'!$J:$J,'TRA TECH'!AE:AE)="","",_xlfn.XLOOKUP($H248,'TRA TECH'!$J:$J,'TRA TECH'!AE:AE)))</f>
        <v>*</v>
      </c>
      <c r="AD248" s="15" t="str">
        <f>IF(H248="*","*",IF(_xlfn.XLOOKUP($H248,'TRA TECH'!$J:$J,'TRA TECH'!AF:AF)="","",_xlfn.XLOOKUP($H248,'TRA TECH'!$J:$J,'TRA TECH'!AF:AF)))</f>
        <v>*</v>
      </c>
      <c r="AE248" s="15" t="str">
        <f>IF(H248="*","*",IF(_xlfn.XLOOKUP($H248,'TRA TECH'!$J:$J,'TRA TECH'!AG:AG)="","",_xlfn.XLOOKUP($H248,'TRA TECH'!$J:$J,'TRA TECH'!AG:AG)))</f>
        <v>*</v>
      </c>
      <c r="AF248" s="15" t="str">
        <f>IF(H248="*","*",IF(_xlfn.XLOOKUP($H248,'TRA TECH'!$J:$J,'TRA TECH'!AH:AH)="","",_xlfn.XLOOKUP($H248,'TRA TECH'!$J:$J,'TRA TECH'!AH:AH)))</f>
        <v>*</v>
      </c>
      <c r="AG248" s="15" t="str">
        <f>IF(H248="*","*",IF(_xlfn.XLOOKUP($H248,'TRA TECH'!$J:$J,'TRA TECH'!AI:AI)="","",_xlfn.XLOOKUP($H248,'TRA TECH'!$J:$J,'TRA TECH'!AI:AI)))</f>
        <v>*</v>
      </c>
      <c r="AH248" s="15" t="str">
        <f>IF(H248="*","*",IF(_xlfn.XLOOKUP($H248,'TRA TECH'!$J:$J,'TRA TECH'!AJ:AJ)="","",_xlfn.XLOOKUP($H248,'TRA TECH'!$J:$J,'TRA TECH'!AJ:AJ)))</f>
        <v>*</v>
      </c>
      <c r="AI248" s="15" t="str">
        <f>IF(H248="*","*",IF(_xlfn.XLOOKUP($H248,'TRA TECH'!$J:$J,'TRA TECH'!AK:AK)="","",_xlfn.XLOOKUP($H248,'TRA TECH'!$J:$J,'TRA TECH'!AK:AK)))</f>
        <v>*</v>
      </c>
      <c r="AJ248" s="15" t="str">
        <f t="shared" si="19"/>
        <v>*</v>
      </c>
      <c r="AK248" s="16" t="str">
        <f t="shared" si="20"/>
        <v>*</v>
      </c>
    </row>
    <row r="249" spans="2:37" x14ac:dyDescent="0.25">
      <c r="B249" t="str">
        <f>IF('TRA TECH'!M245=0,"*",IF('TRA TECH'!H245="","*",'TRA TECH'!J245))</f>
        <v>TRAPASSBUBEV20</v>
      </c>
      <c r="C249" t="str">
        <f>IF('TRA TECH'!M245=0,"*",'TRA TECH'!H245)</f>
        <v>TRABAT</v>
      </c>
      <c r="D249" t="s">
        <v>424</v>
      </c>
      <c r="E249" s="9">
        <f>'TRA TECH'!P245</f>
        <v>1</v>
      </c>
      <c r="H249" t="str">
        <f>IF('TRA TECH'!M245=1,IF('TRA TECH'!L245=1,'TRA TECH'!J245,"*"),"*")</f>
        <v>TRAPASSBUBEV20</v>
      </c>
      <c r="I249" t="str">
        <f>IF(H249="*","*",_xlfn.XLOOKUP(H249,'TRA TECH'!J:J,'TRA TECH'!I:I))</f>
        <v>TRAPASSBUDMD</v>
      </c>
      <c r="J249">
        <f>IF(H249="*","*",_xlfn.XLOOKUP(H249,'TRA TECH'!J:J,'TRA TECH'!N:N))</f>
        <v>2020</v>
      </c>
      <c r="K249" s="15">
        <f>IF(H249="*","*",IF(_xlfn.XLOOKUP(H249,'TRA TECH'!J:J,'TRA TECH'!O:O)="","",_xlfn.XLOOKUP(H249,'TRA TECH'!J:J,'TRA TECH'!O:O)))</f>
        <v>14.200511218403861</v>
      </c>
      <c r="L249">
        <f t="shared" si="16"/>
        <v>1</v>
      </c>
      <c r="M249">
        <f>IF(H249="*","*",IF(_xlfn.XLOOKUP($H249,'TRA TECH'!$J:$J,'TRA TECH'!Q:Q)="","",_xlfn.XLOOKUP($H249,'TRA TECH'!$J:$J,'TRA TECH'!Q:Q)))</f>
        <v>0.36877483679525219</v>
      </c>
      <c r="N249">
        <f>IF(H249="*","*",IF(_xlfn.XLOOKUP($H249,'TRA TECH'!$J:$J,'TRA TECH'!R:R)="","",_xlfn.XLOOKUP($H249,'TRA TECH'!$J:$J,'TRA TECH'!R:R)))</f>
        <v>0.36877483679525219</v>
      </c>
      <c r="O249">
        <f>IF(H249="*","*",IF(_xlfn.XLOOKUP($H249,'TRA TECH'!$J:$J,'TRA TECH'!S:S)="","",_xlfn.XLOOKUP($H249,'TRA TECH'!$J:$J,'TRA TECH'!S:S)))</f>
        <v>0.40061151335311579</v>
      </c>
      <c r="P249">
        <f>IF(H249="*","*",IF(_xlfn.XLOOKUP($H249,'TRA TECH'!$J:$J,'TRA TECH'!T:T)="","",_xlfn.XLOOKUP($H249,'TRA TECH'!$J:$J,'TRA TECH'!T:T)))</f>
        <v>0.43510124629080099</v>
      </c>
      <c r="Q249">
        <f>IF(H249="*","*",IF(_xlfn.XLOOKUP($H249,'TRA TECH'!$J:$J,'TRA TECH'!U:U)="","",_xlfn.XLOOKUP($H249,'TRA TECH'!$J:$J,'TRA TECH'!U:U)))</f>
        <v>0.44969305637982182</v>
      </c>
      <c r="R249">
        <f>IF(H249="*","*",IF(_xlfn.XLOOKUP($H249,'TRA TECH'!$J:$J,'TRA TECH'!V:V)="","",_xlfn.XLOOKUP($H249,'TRA TECH'!$J:$J,'TRA TECH'!V:V)))</f>
        <v>0.46428486646884271</v>
      </c>
      <c r="S249">
        <f>IF(H249="*","*",IF(_xlfn.XLOOKUP($H249,'TRA TECH'!$J:$J,'TRA TECH'!W:W)="","",_xlfn.XLOOKUP($H249,'TRA TECH'!$J:$J,'TRA TECH'!W:W)))</f>
        <v>0.48152973293768542</v>
      </c>
      <c r="T249">
        <f t="shared" si="17"/>
        <v>0.48152973293768542</v>
      </c>
      <c r="U249">
        <f>IF(H249="*","*",IF(_xlfn.XLOOKUP($H249,'TRA TECH'!$J:$J,'TRA TECH'!X:X)="","",_xlfn.XLOOKUP($H249,'TRA TECH'!$J:$J,'TRA TECH'!X:X)))</f>
        <v>508.57450509669002</v>
      </c>
      <c r="V249">
        <f>IF(H249="*","*",IF(_xlfn.XLOOKUP($H249,'TRA TECH'!$J:$J,'TRA TECH'!Y:Y)="","",_xlfn.XLOOKUP($H249,'TRA TECH'!$J:$J,'TRA TECH'!Y:Y)))</f>
        <v>508.57450509669002</v>
      </c>
      <c r="W249">
        <f>IF(H249="*","*",IF(_xlfn.XLOOKUP($H249,'TRA TECH'!$J:$J,'TRA TECH'!Z:Z)="","",_xlfn.XLOOKUP($H249,'TRA TECH'!$J:$J,'TRA TECH'!Z:Z)))</f>
        <v>462.34045917880923</v>
      </c>
      <c r="X249">
        <f>IF(H249="*","*",IF(_xlfn.XLOOKUP($H249,'TRA TECH'!$J:$J,'TRA TECH'!AA:AA)="","",_xlfn.XLOOKUP($H249,'TRA TECH'!$J:$J,'TRA TECH'!AA:AA)))</f>
        <v>437.44520368456551</v>
      </c>
      <c r="Y249">
        <f>IF(H249="*","*",IF(_xlfn.XLOOKUP($H249,'TRA TECH'!$J:$J,'TRA TECH'!AB:AB)="","",_xlfn.XLOOKUP($H249,'TRA TECH'!$J:$J,'TRA TECH'!AB:AB)))</f>
        <v>426.06451545862558</v>
      </c>
      <c r="Z249">
        <f>IF(H249="*","*",IF(_xlfn.XLOOKUP($H249,'TRA TECH'!$J:$J,'TRA TECH'!AC:AC)="","",_xlfn.XLOOKUP($H249,'TRA TECH'!$J:$J,'TRA TECH'!AC:AC)))</f>
        <v>414.6838272326857</v>
      </c>
      <c r="AA249">
        <f>IF(H249="*","*",IF(_xlfn.XLOOKUP($H249,'TRA TECH'!$J:$J,'TRA TECH'!AD:AD)="","",_xlfn.XLOOKUP($H249,'TRA TECH'!$J:$J,'TRA TECH'!AD:AD)))</f>
        <v>403.30313900674582</v>
      </c>
      <c r="AB249">
        <f t="shared" si="18"/>
        <v>403.30313900674582</v>
      </c>
      <c r="AC249" s="15">
        <f>IF(H249="*","*",IF(_xlfn.XLOOKUP($H249,'TRA TECH'!$J:$J,'TRA TECH'!AE:AE)="","",_xlfn.XLOOKUP($H249,'TRA TECH'!$J:$J,'TRA TECH'!AE:AE)))</f>
        <v>3.8067833081357718</v>
      </c>
      <c r="AD249" s="15">
        <f>IF(H249="*","*",IF(_xlfn.XLOOKUP($H249,'TRA TECH'!$J:$J,'TRA TECH'!AF:AF)="","",_xlfn.XLOOKUP($H249,'TRA TECH'!$J:$J,'TRA TECH'!AF:AF)))</f>
        <v>3.8067833081357718</v>
      </c>
      <c r="AE249" s="15">
        <f>IF(H249="*","*",IF(_xlfn.XLOOKUP($H249,'TRA TECH'!$J:$J,'TRA TECH'!AG:AG)="","",_xlfn.XLOOKUP($H249,'TRA TECH'!$J:$J,'TRA TECH'!AG:AG)))</f>
        <v>3.8067833081357718</v>
      </c>
      <c r="AF249" s="15">
        <f>IF(H249="*","*",IF(_xlfn.XLOOKUP($H249,'TRA TECH'!$J:$J,'TRA TECH'!AH:AH)="","",_xlfn.XLOOKUP($H249,'TRA TECH'!$J:$J,'TRA TECH'!AH:AH)))</f>
        <v>3.8067833081357718</v>
      </c>
      <c r="AG249" s="15">
        <f>IF(H249="*","*",IF(_xlfn.XLOOKUP($H249,'TRA TECH'!$J:$J,'TRA TECH'!AI:AI)="","",_xlfn.XLOOKUP($H249,'TRA TECH'!$J:$J,'TRA TECH'!AI:AI)))</f>
        <v>3.8067833081357718</v>
      </c>
      <c r="AH249" s="15">
        <f>IF(H249="*","*",IF(_xlfn.XLOOKUP($H249,'TRA TECH'!$J:$J,'TRA TECH'!AJ:AJ)="","",_xlfn.XLOOKUP($H249,'TRA TECH'!$J:$J,'TRA TECH'!AJ:AJ)))</f>
        <v>3.8067833081357718</v>
      </c>
      <c r="AI249" s="15">
        <f>IF(H249="*","*",IF(_xlfn.XLOOKUP($H249,'TRA TECH'!$J:$J,'TRA TECH'!AK:AK)="","",_xlfn.XLOOKUP($H249,'TRA TECH'!$J:$J,'TRA TECH'!AK:AK)))</f>
        <v>3.8067833081357718</v>
      </c>
      <c r="AJ249" s="15">
        <f t="shared" si="19"/>
        <v>3.8067833081357718</v>
      </c>
      <c r="AK249" s="16">
        <f t="shared" si="20"/>
        <v>0.4</v>
      </c>
    </row>
    <row r="250" spans="2:37" x14ac:dyDescent="0.25">
      <c r="B250" t="str">
        <f>IF('TRA TECH'!M246=0,"*",IF('TRA TECH'!H246="","*",'TRA TECH'!J246))</f>
        <v>TRAPASOBUICEVDSL20</v>
      </c>
      <c r="C250" t="str">
        <f>IF('TRA TECH'!M246=0,"*",'TRA TECH'!H246)</f>
        <v>TRADSL</v>
      </c>
      <c r="D250" t="s">
        <v>424</v>
      </c>
      <c r="E250" s="9">
        <f>'TRA TECH'!P246</f>
        <v>1</v>
      </c>
      <c r="H250" t="str">
        <f>IF('TRA TECH'!M246=1,IF('TRA TECH'!L246=1,'TRA TECH'!J246,"*"),"*")</f>
        <v>TRAPASOBUICEVDSL20</v>
      </c>
      <c r="I250" t="str">
        <f>IF(H250="*","*",_xlfn.XLOOKUP(H250,'TRA TECH'!J:J,'TRA TECH'!I:I))</f>
        <v>TRAPASOBUDMD</v>
      </c>
      <c r="J250">
        <f>IF(H250="*","*",_xlfn.XLOOKUP(H250,'TRA TECH'!J:J,'TRA TECH'!N:N))</f>
        <v>2020</v>
      </c>
      <c r="K250" s="15">
        <f>IF(H250="*","*",IF(_xlfn.XLOOKUP(H250,'TRA TECH'!J:J,'TRA TECH'!O:O)="","",_xlfn.XLOOKUP(H250,'TRA TECH'!J:J,'TRA TECH'!O:O)))</f>
        <v>4.6576618537494188</v>
      </c>
      <c r="L250">
        <f t="shared" si="16"/>
        <v>1</v>
      </c>
      <c r="M250">
        <f>IF(H250="*","*",IF(_xlfn.XLOOKUP($H250,'TRA TECH'!$J:$J,'TRA TECH'!Q:Q)="","",_xlfn.XLOOKUP($H250,'TRA TECH'!$J:$J,'TRA TECH'!Q:Q)))</f>
        <v>0.14459157270029679</v>
      </c>
      <c r="N250">
        <f>IF(H250="*","*",IF(_xlfn.XLOOKUP($H250,'TRA TECH'!$J:$J,'TRA TECH'!R:R)="","",_xlfn.XLOOKUP($H250,'TRA TECH'!$J:$J,'TRA TECH'!R:R)))</f>
        <v>0.14459157270029679</v>
      </c>
      <c r="O250">
        <f>IF(H250="*","*",IF(_xlfn.XLOOKUP($H250,'TRA TECH'!$J:$J,'TRA TECH'!S:S)="","",_xlfn.XLOOKUP($H250,'TRA TECH'!$J:$J,'TRA TECH'!S:S)))</f>
        <v>0.1578568545994066</v>
      </c>
      <c r="P250">
        <f>IF(H250="*","*",IF(_xlfn.XLOOKUP($H250,'TRA TECH'!$J:$J,'TRA TECH'!T:T)="","",_xlfn.XLOOKUP($H250,'TRA TECH'!$J:$J,'TRA TECH'!T:T)))</f>
        <v>0.1711221364985164</v>
      </c>
      <c r="Q250">
        <f>IF(H250="*","*",IF(_xlfn.XLOOKUP($H250,'TRA TECH'!$J:$J,'TRA TECH'!U:U)="","",_xlfn.XLOOKUP($H250,'TRA TECH'!$J:$J,'TRA TECH'!U:U)))</f>
        <v>0.1804078338278931</v>
      </c>
      <c r="R250">
        <f>IF(H250="*","*",IF(_xlfn.XLOOKUP($H250,'TRA TECH'!$J:$J,'TRA TECH'!V:V)="","",_xlfn.XLOOKUP($H250,'TRA TECH'!$J:$J,'TRA TECH'!V:V)))</f>
        <v>0.18836700296735909</v>
      </c>
      <c r="S250">
        <f>IF(H250="*","*",IF(_xlfn.XLOOKUP($H250,'TRA TECH'!$J:$J,'TRA TECH'!W:W)="","",_xlfn.XLOOKUP($H250,'TRA TECH'!$J:$J,'TRA TECH'!W:W)))</f>
        <v>0.1963261721068249</v>
      </c>
      <c r="T250">
        <f t="shared" si="17"/>
        <v>0.1963261721068249</v>
      </c>
      <c r="U250">
        <f>IF(H250="*","*",IF(_xlfn.XLOOKUP($H250,'TRA TECH'!$J:$J,'TRA TECH'!X:X)="","",_xlfn.XLOOKUP($H250,'TRA TECH'!$J:$J,'TRA TECH'!X:X)))</f>
        <v>421.08546435977678</v>
      </c>
      <c r="V250">
        <f>IF(H250="*","*",IF(_xlfn.XLOOKUP($H250,'TRA TECH'!$J:$J,'TRA TECH'!Y:Y)="","",_xlfn.XLOOKUP($H250,'TRA TECH'!$J:$J,'TRA TECH'!Y:Y)))</f>
        <v>421.08546435977678</v>
      </c>
      <c r="W250">
        <f>IF(H250="*","*",IF(_xlfn.XLOOKUP($H250,'TRA TECH'!$J:$J,'TRA TECH'!Z:Z)="","",_xlfn.XLOOKUP($H250,'TRA TECH'!$J:$J,'TRA TECH'!Z:Z)))</f>
        <v>423.93063641626179</v>
      </c>
      <c r="X250">
        <f>IF(H250="*","*",IF(_xlfn.XLOOKUP($H250,'TRA TECH'!$J:$J,'TRA TECH'!AA:AA)="","",_xlfn.XLOOKUP($H250,'TRA TECH'!$J:$J,'TRA TECH'!AA:AA)))</f>
        <v>423.21934340214051</v>
      </c>
      <c r="Y250">
        <f>IF(H250="*","*",IF(_xlfn.XLOOKUP($H250,'TRA TECH'!$J:$J,'TRA TECH'!AB:AB)="","",_xlfn.XLOOKUP($H250,'TRA TECH'!$J:$J,'TRA TECH'!AB:AB)))</f>
        <v>423.93063641626179</v>
      </c>
      <c r="Z250">
        <f>IF(H250="*","*",IF(_xlfn.XLOOKUP($H250,'TRA TECH'!$J:$J,'TRA TECH'!AC:AC)="","",_xlfn.XLOOKUP($H250,'TRA TECH'!$J:$J,'TRA TECH'!AC:AC)))</f>
        <v>424.64192943038302</v>
      </c>
      <c r="AA250">
        <f>IF(H250="*","*",IF(_xlfn.XLOOKUP($H250,'TRA TECH'!$J:$J,'TRA TECH'!AD:AD)="","",_xlfn.XLOOKUP($H250,'TRA TECH'!$J:$J,'TRA TECH'!AD:AD)))</f>
        <v>426.06451545862558</v>
      </c>
      <c r="AB250">
        <f t="shared" si="18"/>
        <v>426.06451545862558</v>
      </c>
      <c r="AC250" s="15">
        <f>IF(H250="*","*",IF(_xlfn.XLOOKUP($H250,'TRA TECH'!$J:$J,'TRA TECH'!AE:AE)="","",_xlfn.XLOOKUP($H250,'TRA TECH'!$J:$J,'TRA TECH'!AE:AE)))</f>
        <v>18.02032399555608</v>
      </c>
      <c r="AD250" s="15">
        <f>IF(H250="*","*",IF(_xlfn.XLOOKUP($H250,'TRA TECH'!$J:$J,'TRA TECH'!AF:AF)="","",_xlfn.XLOOKUP($H250,'TRA TECH'!$J:$J,'TRA TECH'!AF:AF)))</f>
        <v>18.02032399555608</v>
      </c>
      <c r="AE250" s="15">
        <f>IF(H250="*","*",IF(_xlfn.XLOOKUP($H250,'TRA TECH'!$J:$J,'TRA TECH'!AG:AG)="","",_xlfn.XLOOKUP($H250,'TRA TECH'!$J:$J,'TRA TECH'!AG:AG)))</f>
        <v>18.02032399555608</v>
      </c>
      <c r="AF250" s="15">
        <f>IF(H250="*","*",IF(_xlfn.XLOOKUP($H250,'TRA TECH'!$J:$J,'TRA TECH'!AH:AH)="","",_xlfn.XLOOKUP($H250,'TRA TECH'!$J:$J,'TRA TECH'!AH:AH)))</f>
        <v>18.02032399555608</v>
      </c>
      <c r="AG250" s="15">
        <f>IF(H250="*","*",IF(_xlfn.XLOOKUP($H250,'TRA TECH'!$J:$J,'TRA TECH'!AI:AI)="","",_xlfn.XLOOKUP($H250,'TRA TECH'!$J:$J,'TRA TECH'!AI:AI)))</f>
        <v>18.02032399555608</v>
      </c>
      <c r="AH250" s="15">
        <f>IF(H250="*","*",IF(_xlfn.XLOOKUP($H250,'TRA TECH'!$J:$J,'TRA TECH'!AJ:AJ)="","",_xlfn.XLOOKUP($H250,'TRA TECH'!$J:$J,'TRA TECH'!AJ:AJ)))</f>
        <v>18.02032399555608</v>
      </c>
      <c r="AI250" s="15">
        <f>IF(H250="*","*",IF(_xlfn.XLOOKUP($H250,'TRA TECH'!$J:$J,'TRA TECH'!AK:AK)="","",_xlfn.XLOOKUP($H250,'TRA TECH'!$J:$J,'TRA TECH'!AK:AK)))</f>
        <v>18.02032399555608</v>
      </c>
      <c r="AJ250" s="15">
        <f t="shared" si="19"/>
        <v>18.02032399555608</v>
      </c>
      <c r="AK250" s="16">
        <f t="shared" si="20"/>
        <v>0.1</v>
      </c>
    </row>
    <row r="251" spans="2:37" x14ac:dyDescent="0.25">
      <c r="B251" t="str">
        <f>IF('TRA TECH'!M247=0,"*",IF('TRA TECH'!H247="","*",'TRA TECH'!J247))</f>
        <v>TRAPASOBUICEVDSL20</v>
      </c>
      <c r="C251" t="str">
        <f>IF('TRA TECH'!M247=0,"*",'TRA TECH'!H247)</f>
        <v>TRARDS</v>
      </c>
      <c r="D251" t="s">
        <v>424</v>
      </c>
      <c r="E251" s="9">
        <f>'TRA TECH'!P247</f>
        <v>1</v>
      </c>
      <c r="H251" t="str">
        <f>IF('TRA TECH'!M247=1,IF('TRA TECH'!L247=1,'TRA TECH'!J247,"*"),"*")</f>
        <v>*</v>
      </c>
      <c r="I251" t="str">
        <f>IF(H251="*","*",_xlfn.XLOOKUP(H251,'TRA TECH'!J:J,'TRA TECH'!I:I))</f>
        <v>*</v>
      </c>
      <c r="J251" t="str">
        <f>IF(H251="*","*",_xlfn.XLOOKUP(H251,'TRA TECH'!J:J,'TRA TECH'!N:N))</f>
        <v>*</v>
      </c>
      <c r="K251" s="15" t="str">
        <f>IF(H251="*","*",IF(_xlfn.XLOOKUP(H251,'TRA TECH'!J:J,'TRA TECH'!O:O)="","",_xlfn.XLOOKUP(H251,'TRA TECH'!J:J,'TRA TECH'!O:O)))</f>
        <v>*</v>
      </c>
      <c r="L251" t="str">
        <f t="shared" si="16"/>
        <v>*</v>
      </c>
      <c r="M251" t="str">
        <f>IF(H251="*","*",IF(_xlfn.XLOOKUP($H251,'TRA TECH'!$J:$J,'TRA TECH'!Q:Q)="","",_xlfn.XLOOKUP($H251,'TRA TECH'!$J:$J,'TRA TECH'!Q:Q)))</f>
        <v>*</v>
      </c>
      <c r="N251" t="str">
        <f>IF(H251="*","*",IF(_xlfn.XLOOKUP($H251,'TRA TECH'!$J:$J,'TRA TECH'!R:R)="","",_xlfn.XLOOKUP($H251,'TRA TECH'!$J:$J,'TRA TECH'!R:R)))</f>
        <v>*</v>
      </c>
      <c r="O251" t="str">
        <f>IF(H251="*","*",IF(_xlfn.XLOOKUP($H251,'TRA TECH'!$J:$J,'TRA TECH'!S:S)="","",_xlfn.XLOOKUP($H251,'TRA TECH'!$J:$J,'TRA TECH'!S:S)))</f>
        <v>*</v>
      </c>
      <c r="P251" t="str">
        <f>IF(H251="*","*",IF(_xlfn.XLOOKUP($H251,'TRA TECH'!$J:$J,'TRA TECH'!T:T)="","",_xlfn.XLOOKUP($H251,'TRA TECH'!$J:$J,'TRA TECH'!T:T)))</f>
        <v>*</v>
      </c>
      <c r="Q251" t="str">
        <f>IF(H251="*","*",IF(_xlfn.XLOOKUP($H251,'TRA TECH'!$J:$J,'TRA TECH'!U:U)="","",_xlfn.XLOOKUP($H251,'TRA TECH'!$J:$J,'TRA TECH'!U:U)))</f>
        <v>*</v>
      </c>
      <c r="R251" t="str">
        <f>IF(H251="*","*",IF(_xlfn.XLOOKUP($H251,'TRA TECH'!$J:$J,'TRA TECH'!V:V)="","",_xlfn.XLOOKUP($H251,'TRA TECH'!$J:$J,'TRA TECH'!V:V)))</f>
        <v>*</v>
      </c>
      <c r="S251" t="str">
        <f>IF(H251="*","*",IF(_xlfn.XLOOKUP($H251,'TRA TECH'!$J:$J,'TRA TECH'!W:W)="","",_xlfn.XLOOKUP($H251,'TRA TECH'!$J:$J,'TRA TECH'!W:W)))</f>
        <v>*</v>
      </c>
      <c r="T251" t="str">
        <f t="shared" si="17"/>
        <v>*</v>
      </c>
      <c r="U251" t="str">
        <f>IF(H251="*","*",IF(_xlfn.XLOOKUP($H251,'TRA TECH'!$J:$J,'TRA TECH'!X:X)="","",_xlfn.XLOOKUP($H251,'TRA TECH'!$J:$J,'TRA TECH'!X:X)))</f>
        <v>*</v>
      </c>
      <c r="V251" t="str">
        <f>IF(H251="*","*",IF(_xlfn.XLOOKUP($H251,'TRA TECH'!$J:$J,'TRA TECH'!Y:Y)="","",_xlfn.XLOOKUP($H251,'TRA TECH'!$J:$J,'TRA TECH'!Y:Y)))</f>
        <v>*</v>
      </c>
      <c r="W251" t="str">
        <f>IF(H251="*","*",IF(_xlfn.XLOOKUP($H251,'TRA TECH'!$J:$J,'TRA TECH'!Z:Z)="","",_xlfn.XLOOKUP($H251,'TRA TECH'!$J:$J,'TRA TECH'!Z:Z)))</f>
        <v>*</v>
      </c>
      <c r="X251" t="str">
        <f>IF(H251="*","*",IF(_xlfn.XLOOKUP($H251,'TRA TECH'!$J:$J,'TRA TECH'!AA:AA)="","",_xlfn.XLOOKUP($H251,'TRA TECH'!$J:$J,'TRA TECH'!AA:AA)))</f>
        <v>*</v>
      </c>
      <c r="Y251" t="str">
        <f>IF(H251="*","*",IF(_xlfn.XLOOKUP($H251,'TRA TECH'!$J:$J,'TRA TECH'!AB:AB)="","",_xlfn.XLOOKUP($H251,'TRA TECH'!$J:$J,'TRA TECH'!AB:AB)))</f>
        <v>*</v>
      </c>
      <c r="Z251" t="str">
        <f>IF(H251="*","*",IF(_xlfn.XLOOKUP($H251,'TRA TECH'!$J:$J,'TRA TECH'!AC:AC)="","",_xlfn.XLOOKUP($H251,'TRA TECH'!$J:$J,'TRA TECH'!AC:AC)))</f>
        <v>*</v>
      </c>
      <c r="AA251" t="str">
        <f>IF(H251="*","*",IF(_xlfn.XLOOKUP($H251,'TRA TECH'!$J:$J,'TRA TECH'!AD:AD)="","",_xlfn.XLOOKUP($H251,'TRA TECH'!$J:$J,'TRA TECH'!AD:AD)))</f>
        <v>*</v>
      </c>
      <c r="AB251" t="str">
        <f t="shared" si="18"/>
        <v>*</v>
      </c>
      <c r="AC251" s="15" t="str">
        <f>IF(H251="*","*",IF(_xlfn.XLOOKUP($H251,'TRA TECH'!$J:$J,'TRA TECH'!AE:AE)="","",_xlfn.XLOOKUP($H251,'TRA TECH'!$J:$J,'TRA TECH'!AE:AE)))</f>
        <v>*</v>
      </c>
      <c r="AD251" s="15" t="str">
        <f>IF(H251="*","*",IF(_xlfn.XLOOKUP($H251,'TRA TECH'!$J:$J,'TRA TECH'!AF:AF)="","",_xlfn.XLOOKUP($H251,'TRA TECH'!$J:$J,'TRA TECH'!AF:AF)))</f>
        <v>*</v>
      </c>
      <c r="AE251" s="15" t="str">
        <f>IF(H251="*","*",IF(_xlfn.XLOOKUP($H251,'TRA TECH'!$J:$J,'TRA TECH'!AG:AG)="","",_xlfn.XLOOKUP($H251,'TRA TECH'!$J:$J,'TRA TECH'!AG:AG)))</f>
        <v>*</v>
      </c>
      <c r="AF251" s="15" t="str">
        <f>IF(H251="*","*",IF(_xlfn.XLOOKUP($H251,'TRA TECH'!$J:$J,'TRA TECH'!AH:AH)="","",_xlfn.XLOOKUP($H251,'TRA TECH'!$J:$J,'TRA TECH'!AH:AH)))</f>
        <v>*</v>
      </c>
      <c r="AG251" s="15" t="str">
        <f>IF(H251="*","*",IF(_xlfn.XLOOKUP($H251,'TRA TECH'!$J:$J,'TRA TECH'!AI:AI)="","",_xlfn.XLOOKUP($H251,'TRA TECH'!$J:$J,'TRA TECH'!AI:AI)))</f>
        <v>*</v>
      </c>
      <c r="AH251" s="15" t="str">
        <f>IF(H251="*","*",IF(_xlfn.XLOOKUP($H251,'TRA TECH'!$J:$J,'TRA TECH'!AJ:AJ)="","",_xlfn.XLOOKUP($H251,'TRA TECH'!$J:$J,'TRA TECH'!AJ:AJ)))</f>
        <v>*</v>
      </c>
      <c r="AI251" s="15" t="str">
        <f>IF(H251="*","*",IF(_xlfn.XLOOKUP($H251,'TRA TECH'!$J:$J,'TRA TECH'!AK:AK)="","",_xlfn.XLOOKUP($H251,'TRA TECH'!$J:$J,'TRA TECH'!AK:AK)))</f>
        <v>*</v>
      </c>
      <c r="AJ251" s="15" t="str">
        <f t="shared" si="19"/>
        <v>*</v>
      </c>
      <c r="AK251" s="16" t="str">
        <f t="shared" si="20"/>
        <v>*</v>
      </c>
    </row>
    <row r="252" spans="2:37" x14ac:dyDescent="0.25">
      <c r="B252" t="str">
        <f>IF('TRA TECH'!M248=0,"*",IF('TRA TECH'!H248="","*",'TRA TECH'!J248))</f>
        <v>TRAPASOBUICEVDSL20</v>
      </c>
      <c r="C252" t="str">
        <f>IF('TRA TECH'!M248=0,"*",'TRA TECH'!H248)</f>
        <v>TRABDS</v>
      </c>
      <c r="D252" t="s">
        <v>424</v>
      </c>
      <c r="E252" s="9">
        <f>'TRA TECH'!P248</f>
        <v>0.1</v>
      </c>
      <c r="H252" t="str">
        <f>IF('TRA TECH'!M248=1,IF('TRA TECH'!L248=1,'TRA TECH'!J248,"*"),"*")</f>
        <v>*</v>
      </c>
      <c r="I252" t="str">
        <f>IF(H252="*","*",_xlfn.XLOOKUP(H252,'TRA TECH'!J:J,'TRA TECH'!I:I))</f>
        <v>*</v>
      </c>
      <c r="J252" t="str">
        <f>IF(H252="*","*",_xlfn.XLOOKUP(H252,'TRA TECH'!J:J,'TRA TECH'!N:N))</f>
        <v>*</v>
      </c>
      <c r="K252" s="15" t="str">
        <f>IF(H252="*","*",IF(_xlfn.XLOOKUP(H252,'TRA TECH'!J:J,'TRA TECH'!O:O)="","",_xlfn.XLOOKUP(H252,'TRA TECH'!J:J,'TRA TECH'!O:O)))</f>
        <v>*</v>
      </c>
      <c r="L252" t="str">
        <f t="shared" si="16"/>
        <v>*</v>
      </c>
      <c r="M252" t="str">
        <f>IF(H252="*","*",IF(_xlfn.XLOOKUP($H252,'TRA TECH'!$J:$J,'TRA TECH'!Q:Q)="","",_xlfn.XLOOKUP($H252,'TRA TECH'!$J:$J,'TRA TECH'!Q:Q)))</f>
        <v>*</v>
      </c>
      <c r="N252" t="str">
        <f>IF(H252="*","*",IF(_xlfn.XLOOKUP($H252,'TRA TECH'!$J:$J,'TRA TECH'!R:R)="","",_xlfn.XLOOKUP($H252,'TRA TECH'!$J:$J,'TRA TECH'!R:R)))</f>
        <v>*</v>
      </c>
      <c r="O252" t="str">
        <f>IF(H252="*","*",IF(_xlfn.XLOOKUP($H252,'TRA TECH'!$J:$J,'TRA TECH'!S:S)="","",_xlfn.XLOOKUP($H252,'TRA TECH'!$J:$J,'TRA TECH'!S:S)))</f>
        <v>*</v>
      </c>
      <c r="P252" t="str">
        <f>IF(H252="*","*",IF(_xlfn.XLOOKUP($H252,'TRA TECH'!$J:$J,'TRA TECH'!T:T)="","",_xlfn.XLOOKUP($H252,'TRA TECH'!$J:$J,'TRA TECH'!T:T)))</f>
        <v>*</v>
      </c>
      <c r="Q252" t="str">
        <f>IF(H252="*","*",IF(_xlfn.XLOOKUP($H252,'TRA TECH'!$J:$J,'TRA TECH'!U:U)="","",_xlfn.XLOOKUP($H252,'TRA TECH'!$J:$J,'TRA TECH'!U:U)))</f>
        <v>*</v>
      </c>
      <c r="R252" t="str">
        <f>IF(H252="*","*",IF(_xlfn.XLOOKUP($H252,'TRA TECH'!$J:$J,'TRA TECH'!V:V)="","",_xlfn.XLOOKUP($H252,'TRA TECH'!$J:$J,'TRA TECH'!V:V)))</f>
        <v>*</v>
      </c>
      <c r="S252" t="str">
        <f>IF(H252="*","*",IF(_xlfn.XLOOKUP($H252,'TRA TECH'!$J:$J,'TRA TECH'!W:W)="","",_xlfn.XLOOKUP($H252,'TRA TECH'!$J:$J,'TRA TECH'!W:W)))</f>
        <v>*</v>
      </c>
      <c r="T252" t="str">
        <f t="shared" si="17"/>
        <v>*</v>
      </c>
      <c r="U252" t="str">
        <f>IF(H252="*","*",IF(_xlfn.XLOOKUP($H252,'TRA TECH'!$J:$J,'TRA TECH'!X:X)="","",_xlfn.XLOOKUP($H252,'TRA TECH'!$J:$J,'TRA TECH'!X:X)))</f>
        <v>*</v>
      </c>
      <c r="V252" t="str">
        <f>IF(H252="*","*",IF(_xlfn.XLOOKUP($H252,'TRA TECH'!$J:$J,'TRA TECH'!Y:Y)="","",_xlfn.XLOOKUP($H252,'TRA TECH'!$J:$J,'TRA TECH'!Y:Y)))</f>
        <v>*</v>
      </c>
      <c r="W252" t="str">
        <f>IF(H252="*","*",IF(_xlfn.XLOOKUP($H252,'TRA TECH'!$J:$J,'TRA TECH'!Z:Z)="","",_xlfn.XLOOKUP($H252,'TRA TECH'!$J:$J,'TRA TECH'!Z:Z)))</f>
        <v>*</v>
      </c>
      <c r="X252" t="str">
        <f>IF(H252="*","*",IF(_xlfn.XLOOKUP($H252,'TRA TECH'!$J:$J,'TRA TECH'!AA:AA)="","",_xlfn.XLOOKUP($H252,'TRA TECH'!$J:$J,'TRA TECH'!AA:AA)))</f>
        <v>*</v>
      </c>
      <c r="Y252" t="str">
        <f>IF(H252="*","*",IF(_xlfn.XLOOKUP($H252,'TRA TECH'!$J:$J,'TRA TECH'!AB:AB)="","",_xlfn.XLOOKUP($H252,'TRA TECH'!$J:$J,'TRA TECH'!AB:AB)))</f>
        <v>*</v>
      </c>
      <c r="Z252" t="str">
        <f>IF(H252="*","*",IF(_xlfn.XLOOKUP($H252,'TRA TECH'!$J:$J,'TRA TECH'!AC:AC)="","",_xlfn.XLOOKUP($H252,'TRA TECH'!$J:$J,'TRA TECH'!AC:AC)))</f>
        <v>*</v>
      </c>
      <c r="AA252" t="str">
        <f>IF(H252="*","*",IF(_xlfn.XLOOKUP($H252,'TRA TECH'!$J:$J,'TRA TECH'!AD:AD)="","",_xlfn.XLOOKUP($H252,'TRA TECH'!$J:$J,'TRA TECH'!AD:AD)))</f>
        <v>*</v>
      </c>
      <c r="AB252" t="str">
        <f t="shared" si="18"/>
        <v>*</v>
      </c>
      <c r="AC252" s="15" t="str">
        <f>IF(H252="*","*",IF(_xlfn.XLOOKUP($H252,'TRA TECH'!$J:$J,'TRA TECH'!AE:AE)="","",_xlfn.XLOOKUP($H252,'TRA TECH'!$J:$J,'TRA TECH'!AE:AE)))</f>
        <v>*</v>
      </c>
      <c r="AD252" s="15" t="str">
        <f>IF(H252="*","*",IF(_xlfn.XLOOKUP($H252,'TRA TECH'!$J:$J,'TRA TECH'!AF:AF)="","",_xlfn.XLOOKUP($H252,'TRA TECH'!$J:$J,'TRA TECH'!AF:AF)))</f>
        <v>*</v>
      </c>
      <c r="AE252" s="15" t="str">
        <f>IF(H252="*","*",IF(_xlfn.XLOOKUP($H252,'TRA TECH'!$J:$J,'TRA TECH'!AG:AG)="","",_xlfn.XLOOKUP($H252,'TRA TECH'!$J:$J,'TRA TECH'!AG:AG)))</f>
        <v>*</v>
      </c>
      <c r="AF252" s="15" t="str">
        <f>IF(H252="*","*",IF(_xlfn.XLOOKUP($H252,'TRA TECH'!$J:$J,'TRA TECH'!AH:AH)="","",_xlfn.XLOOKUP($H252,'TRA TECH'!$J:$J,'TRA TECH'!AH:AH)))</f>
        <v>*</v>
      </c>
      <c r="AG252" s="15" t="str">
        <f>IF(H252="*","*",IF(_xlfn.XLOOKUP($H252,'TRA TECH'!$J:$J,'TRA TECH'!AI:AI)="","",_xlfn.XLOOKUP($H252,'TRA TECH'!$J:$J,'TRA TECH'!AI:AI)))</f>
        <v>*</v>
      </c>
      <c r="AH252" s="15" t="str">
        <f>IF(H252="*","*",IF(_xlfn.XLOOKUP($H252,'TRA TECH'!$J:$J,'TRA TECH'!AJ:AJ)="","",_xlfn.XLOOKUP($H252,'TRA TECH'!$J:$J,'TRA TECH'!AJ:AJ)))</f>
        <v>*</v>
      </c>
      <c r="AI252" s="15" t="str">
        <f>IF(H252="*","*",IF(_xlfn.XLOOKUP($H252,'TRA TECH'!$J:$J,'TRA TECH'!AK:AK)="","",_xlfn.XLOOKUP($H252,'TRA TECH'!$J:$J,'TRA TECH'!AK:AK)))</f>
        <v>*</v>
      </c>
      <c r="AJ252" s="15" t="str">
        <f t="shared" si="19"/>
        <v>*</v>
      </c>
      <c r="AK252" s="16" t="str">
        <f t="shared" si="20"/>
        <v>*</v>
      </c>
    </row>
    <row r="253" spans="2:37" x14ac:dyDescent="0.25">
      <c r="B253" t="str">
        <f>IF('TRA TECH'!M249=0,"*",IF('TRA TECH'!H249="","*",'TRA TECH'!J249))</f>
        <v>TRAPASOBUICEIDSL20</v>
      </c>
      <c r="C253" t="str">
        <f>IF('TRA TECH'!M249=0,"*",'TRA TECH'!H249)</f>
        <v>TRADSL</v>
      </c>
      <c r="D253" t="s">
        <v>424</v>
      </c>
      <c r="E253" s="9">
        <f>'TRA TECH'!P249</f>
        <v>1</v>
      </c>
      <c r="H253" t="str">
        <f>IF('TRA TECH'!M249=1,IF('TRA TECH'!L249=1,'TRA TECH'!J249,"*"),"*")</f>
        <v>TRAPASOBUICEIDSL20</v>
      </c>
      <c r="I253" t="str">
        <f>IF(H253="*","*",_xlfn.XLOOKUP(H253,'TRA TECH'!J:J,'TRA TECH'!I:I))</f>
        <v>TRAPASOBUDMD</v>
      </c>
      <c r="J253">
        <f>IF(H253="*","*",_xlfn.XLOOKUP(H253,'TRA TECH'!J:J,'TRA TECH'!N:N))</f>
        <v>2020</v>
      </c>
      <c r="K253" s="15">
        <f>IF(H253="*","*",IF(_xlfn.XLOOKUP(H253,'TRA TECH'!J:J,'TRA TECH'!O:O)="","",_xlfn.XLOOKUP(H253,'TRA TECH'!J:J,'TRA TECH'!O:O)))</f>
        <v>4.6576618537494188</v>
      </c>
      <c r="L253">
        <f t="shared" si="16"/>
        <v>1</v>
      </c>
      <c r="M253">
        <f>IF(H253="*","*",IF(_xlfn.XLOOKUP($H253,'TRA TECH'!$J:$J,'TRA TECH'!Q:Q)="","",_xlfn.XLOOKUP($H253,'TRA TECH'!$J:$J,'TRA TECH'!Q:Q)))</f>
        <v>0.14459157270029679</v>
      </c>
      <c r="N253">
        <f>IF(H253="*","*",IF(_xlfn.XLOOKUP($H253,'TRA TECH'!$J:$J,'TRA TECH'!R:R)="","",_xlfn.XLOOKUP($H253,'TRA TECH'!$J:$J,'TRA TECH'!R:R)))</f>
        <v>0.14459157270029679</v>
      </c>
      <c r="O253">
        <f>IF(H253="*","*",IF(_xlfn.XLOOKUP($H253,'TRA TECH'!$J:$J,'TRA TECH'!S:S)="","",_xlfn.XLOOKUP($H253,'TRA TECH'!$J:$J,'TRA TECH'!S:S)))</f>
        <v>0.1578568545994066</v>
      </c>
      <c r="P253">
        <f>IF(H253="*","*",IF(_xlfn.XLOOKUP($H253,'TRA TECH'!$J:$J,'TRA TECH'!T:T)="","",_xlfn.XLOOKUP($H253,'TRA TECH'!$J:$J,'TRA TECH'!T:T)))</f>
        <v>0.17244866468842729</v>
      </c>
      <c r="Q253">
        <f>IF(H253="*","*",IF(_xlfn.XLOOKUP($H253,'TRA TECH'!$J:$J,'TRA TECH'!U:U)="","",_xlfn.XLOOKUP($H253,'TRA TECH'!$J:$J,'TRA TECH'!U:U)))</f>
        <v>0.1804078338278931</v>
      </c>
      <c r="R253">
        <f>IF(H253="*","*",IF(_xlfn.XLOOKUP($H253,'TRA TECH'!$J:$J,'TRA TECH'!V:V)="","",_xlfn.XLOOKUP($H253,'TRA TECH'!$J:$J,'TRA TECH'!V:V)))</f>
        <v>0.18836700296735909</v>
      </c>
      <c r="S253">
        <f>IF(H253="*","*",IF(_xlfn.XLOOKUP($H253,'TRA TECH'!$J:$J,'TRA TECH'!W:W)="","",_xlfn.XLOOKUP($H253,'TRA TECH'!$J:$J,'TRA TECH'!W:W)))</f>
        <v>0.19765270029673601</v>
      </c>
      <c r="T253">
        <f t="shared" si="17"/>
        <v>0.19765270029673601</v>
      </c>
      <c r="U253">
        <f>IF(H253="*","*",IF(_xlfn.XLOOKUP($H253,'TRA TECH'!$J:$J,'TRA TECH'!X:X)="","",_xlfn.XLOOKUP($H253,'TRA TECH'!$J:$J,'TRA TECH'!X:X)))</f>
        <v>461.62916616468777</v>
      </c>
      <c r="V253">
        <f>IF(H253="*","*",IF(_xlfn.XLOOKUP($H253,'TRA TECH'!$J:$J,'TRA TECH'!Y:Y)="","",_xlfn.XLOOKUP($H253,'TRA TECH'!$J:$J,'TRA TECH'!Y:Y)))</f>
        <v>461.62916616468777</v>
      </c>
      <c r="W253">
        <f>IF(H253="*","*",IF(_xlfn.XLOOKUP($H253,'TRA TECH'!$J:$J,'TRA TECH'!Z:Z)="","",_xlfn.XLOOKUP($H253,'TRA TECH'!$J:$J,'TRA TECH'!Z:Z)))</f>
        <v>465.18563123529401</v>
      </c>
      <c r="X253">
        <f>IF(H253="*","*",IF(_xlfn.XLOOKUP($H253,'TRA TECH'!$J:$J,'TRA TECH'!AA:AA)="","",_xlfn.XLOOKUP($H253,'TRA TECH'!$J:$J,'TRA TECH'!AA:AA)))</f>
        <v>463.7630452070515</v>
      </c>
      <c r="Y253">
        <f>IF(H253="*","*",IF(_xlfn.XLOOKUP($H253,'TRA TECH'!$J:$J,'TRA TECH'!AB:AB)="","",_xlfn.XLOOKUP($H253,'TRA TECH'!$J:$J,'TRA TECH'!AB:AB)))</f>
        <v>463.7630452070515</v>
      </c>
      <c r="Z253">
        <f>IF(H253="*","*",IF(_xlfn.XLOOKUP($H253,'TRA TECH'!$J:$J,'TRA TECH'!AC:AC)="","",_xlfn.XLOOKUP($H253,'TRA TECH'!$J:$J,'TRA TECH'!AC:AC)))</f>
        <v>464.47433822117279</v>
      </c>
      <c r="AA253">
        <f>IF(H253="*","*",IF(_xlfn.XLOOKUP($H253,'TRA TECH'!$J:$J,'TRA TECH'!AD:AD)="","",_xlfn.XLOOKUP($H253,'TRA TECH'!$J:$J,'TRA TECH'!AD:AD)))</f>
        <v>465.18563123529401</v>
      </c>
      <c r="AB253">
        <f t="shared" si="18"/>
        <v>465.18563123529401</v>
      </c>
      <c r="AC253" s="15">
        <f>IF(H253="*","*",IF(_xlfn.XLOOKUP($H253,'TRA TECH'!$J:$J,'TRA TECH'!AE:AE)="","",_xlfn.XLOOKUP($H253,'TRA TECH'!$J:$J,'TRA TECH'!AE:AE)))</f>
        <v>18.02032399555608</v>
      </c>
      <c r="AD253" s="15">
        <f>IF(H253="*","*",IF(_xlfn.XLOOKUP($H253,'TRA TECH'!$J:$J,'TRA TECH'!AF:AF)="","",_xlfn.XLOOKUP($H253,'TRA TECH'!$J:$J,'TRA TECH'!AF:AF)))</f>
        <v>18.02032399555608</v>
      </c>
      <c r="AE253" s="15">
        <f>IF(H253="*","*",IF(_xlfn.XLOOKUP($H253,'TRA TECH'!$J:$J,'TRA TECH'!AG:AG)="","",_xlfn.XLOOKUP($H253,'TRA TECH'!$J:$J,'TRA TECH'!AG:AG)))</f>
        <v>18.02032399555608</v>
      </c>
      <c r="AF253" s="15">
        <f>IF(H253="*","*",IF(_xlfn.XLOOKUP($H253,'TRA TECH'!$J:$J,'TRA TECH'!AH:AH)="","",_xlfn.XLOOKUP($H253,'TRA TECH'!$J:$J,'TRA TECH'!AH:AH)))</f>
        <v>18.02032399555608</v>
      </c>
      <c r="AG253" s="15">
        <f>IF(H253="*","*",IF(_xlfn.XLOOKUP($H253,'TRA TECH'!$J:$J,'TRA TECH'!AI:AI)="","",_xlfn.XLOOKUP($H253,'TRA TECH'!$J:$J,'TRA TECH'!AI:AI)))</f>
        <v>18.02032399555608</v>
      </c>
      <c r="AH253" s="15">
        <f>IF(H253="*","*",IF(_xlfn.XLOOKUP($H253,'TRA TECH'!$J:$J,'TRA TECH'!AJ:AJ)="","",_xlfn.XLOOKUP($H253,'TRA TECH'!$J:$J,'TRA TECH'!AJ:AJ)))</f>
        <v>18.02032399555608</v>
      </c>
      <c r="AI253" s="15">
        <f>IF(H253="*","*",IF(_xlfn.XLOOKUP($H253,'TRA TECH'!$J:$J,'TRA TECH'!AK:AK)="","",_xlfn.XLOOKUP($H253,'TRA TECH'!$J:$J,'TRA TECH'!AK:AK)))</f>
        <v>18.02032399555608</v>
      </c>
      <c r="AJ253" s="15">
        <f t="shared" si="19"/>
        <v>18.02032399555608</v>
      </c>
      <c r="AK253" s="16">
        <f t="shared" si="20"/>
        <v>0.1</v>
      </c>
    </row>
    <row r="254" spans="2:37" x14ac:dyDescent="0.25">
      <c r="B254" t="str">
        <f>IF('TRA TECH'!M250=0,"*",IF('TRA TECH'!H250="","*",'TRA TECH'!J250))</f>
        <v>TRAPASOBUICEIDSL20</v>
      </c>
      <c r="C254" t="str">
        <f>IF('TRA TECH'!M250=0,"*",'TRA TECH'!H250)</f>
        <v>TRARDS</v>
      </c>
      <c r="D254" t="s">
        <v>424</v>
      </c>
      <c r="E254" s="9">
        <f>'TRA TECH'!P250</f>
        <v>1</v>
      </c>
      <c r="H254" t="str">
        <f>IF('TRA TECH'!M250=1,IF('TRA TECH'!L250=1,'TRA TECH'!J250,"*"),"*")</f>
        <v>*</v>
      </c>
      <c r="I254" t="str">
        <f>IF(H254="*","*",_xlfn.XLOOKUP(H254,'TRA TECH'!J:J,'TRA TECH'!I:I))</f>
        <v>*</v>
      </c>
      <c r="J254" t="str">
        <f>IF(H254="*","*",_xlfn.XLOOKUP(H254,'TRA TECH'!J:J,'TRA TECH'!N:N))</f>
        <v>*</v>
      </c>
      <c r="K254" s="15" t="str">
        <f>IF(H254="*","*",IF(_xlfn.XLOOKUP(H254,'TRA TECH'!J:J,'TRA TECH'!O:O)="","",_xlfn.XLOOKUP(H254,'TRA TECH'!J:J,'TRA TECH'!O:O)))</f>
        <v>*</v>
      </c>
      <c r="L254" t="str">
        <f t="shared" si="16"/>
        <v>*</v>
      </c>
      <c r="M254" t="str">
        <f>IF(H254="*","*",IF(_xlfn.XLOOKUP($H254,'TRA TECH'!$J:$J,'TRA TECH'!Q:Q)="","",_xlfn.XLOOKUP($H254,'TRA TECH'!$J:$J,'TRA TECH'!Q:Q)))</f>
        <v>*</v>
      </c>
      <c r="N254" t="str">
        <f>IF(H254="*","*",IF(_xlfn.XLOOKUP($H254,'TRA TECH'!$J:$J,'TRA TECH'!R:R)="","",_xlfn.XLOOKUP($H254,'TRA TECH'!$J:$J,'TRA TECH'!R:R)))</f>
        <v>*</v>
      </c>
      <c r="O254" t="str">
        <f>IF(H254="*","*",IF(_xlfn.XLOOKUP($H254,'TRA TECH'!$J:$J,'TRA TECH'!S:S)="","",_xlfn.XLOOKUP($H254,'TRA TECH'!$J:$J,'TRA TECH'!S:S)))</f>
        <v>*</v>
      </c>
      <c r="P254" t="str">
        <f>IF(H254="*","*",IF(_xlfn.XLOOKUP($H254,'TRA TECH'!$J:$J,'TRA TECH'!T:T)="","",_xlfn.XLOOKUP($H254,'TRA TECH'!$J:$J,'TRA TECH'!T:T)))</f>
        <v>*</v>
      </c>
      <c r="Q254" t="str">
        <f>IF(H254="*","*",IF(_xlfn.XLOOKUP($H254,'TRA TECH'!$J:$J,'TRA TECH'!U:U)="","",_xlfn.XLOOKUP($H254,'TRA TECH'!$J:$J,'TRA TECH'!U:U)))</f>
        <v>*</v>
      </c>
      <c r="R254" t="str">
        <f>IF(H254="*","*",IF(_xlfn.XLOOKUP($H254,'TRA TECH'!$J:$J,'TRA TECH'!V:V)="","",_xlfn.XLOOKUP($H254,'TRA TECH'!$J:$J,'TRA TECH'!V:V)))</f>
        <v>*</v>
      </c>
      <c r="S254" t="str">
        <f>IF(H254="*","*",IF(_xlfn.XLOOKUP($H254,'TRA TECH'!$J:$J,'TRA TECH'!W:W)="","",_xlfn.XLOOKUP($H254,'TRA TECH'!$J:$J,'TRA TECH'!W:W)))</f>
        <v>*</v>
      </c>
      <c r="T254" t="str">
        <f t="shared" si="17"/>
        <v>*</v>
      </c>
      <c r="U254" t="str">
        <f>IF(H254="*","*",IF(_xlfn.XLOOKUP($H254,'TRA TECH'!$J:$J,'TRA TECH'!X:X)="","",_xlfn.XLOOKUP($H254,'TRA TECH'!$J:$J,'TRA TECH'!X:X)))</f>
        <v>*</v>
      </c>
      <c r="V254" t="str">
        <f>IF(H254="*","*",IF(_xlfn.XLOOKUP($H254,'TRA TECH'!$J:$J,'TRA TECH'!Y:Y)="","",_xlfn.XLOOKUP($H254,'TRA TECH'!$J:$J,'TRA TECH'!Y:Y)))</f>
        <v>*</v>
      </c>
      <c r="W254" t="str">
        <f>IF(H254="*","*",IF(_xlfn.XLOOKUP($H254,'TRA TECH'!$J:$J,'TRA TECH'!Z:Z)="","",_xlfn.XLOOKUP($H254,'TRA TECH'!$J:$J,'TRA TECH'!Z:Z)))</f>
        <v>*</v>
      </c>
      <c r="X254" t="str">
        <f>IF(H254="*","*",IF(_xlfn.XLOOKUP($H254,'TRA TECH'!$J:$J,'TRA TECH'!AA:AA)="","",_xlfn.XLOOKUP($H254,'TRA TECH'!$J:$J,'TRA TECH'!AA:AA)))</f>
        <v>*</v>
      </c>
      <c r="Y254" t="str">
        <f>IF(H254="*","*",IF(_xlfn.XLOOKUP($H254,'TRA TECH'!$J:$J,'TRA TECH'!AB:AB)="","",_xlfn.XLOOKUP($H254,'TRA TECH'!$J:$J,'TRA TECH'!AB:AB)))</f>
        <v>*</v>
      </c>
      <c r="Z254" t="str">
        <f>IF(H254="*","*",IF(_xlfn.XLOOKUP($H254,'TRA TECH'!$J:$J,'TRA TECH'!AC:AC)="","",_xlfn.XLOOKUP($H254,'TRA TECH'!$J:$J,'TRA TECH'!AC:AC)))</f>
        <v>*</v>
      </c>
      <c r="AA254" t="str">
        <f>IF(H254="*","*",IF(_xlfn.XLOOKUP($H254,'TRA TECH'!$J:$J,'TRA TECH'!AD:AD)="","",_xlfn.XLOOKUP($H254,'TRA TECH'!$J:$J,'TRA TECH'!AD:AD)))</f>
        <v>*</v>
      </c>
      <c r="AB254" t="str">
        <f t="shared" si="18"/>
        <v>*</v>
      </c>
      <c r="AC254" s="15" t="str">
        <f>IF(H254="*","*",IF(_xlfn.XLOOKUP($H254,'TRA TECH'!$J:$J,'TRA TECH'!AE:AE)="","",_xlfn.XLOOKUP($H254,'TRA TECH'!$J:$J,'TRA TECH'!AE:AE)))</f>
        <v>*</v>
      </c>
      <c r="AD254" s="15" t="str">
        <f>IF(H254="*","*",IF(_xlfn.XLOOKUP($H254,'TRA TECH'!$J:$J,'TRA TECH'!AF:AF)="","",_xlfn.XLOOKUP($H254,'TRA TECH'!$J:$J,'TRA TECH'!AF:AF)))</f>
        <v>*</v>
      </c>
      <c r="AE254" s="15" t="str">
        <f>IF(H254="*","*",IF(_xlfn.XLOOKUP($H254,'TRA TECH'!$J:$J,'TRA TECH'!AG:AG)="","",_xlfn.XLOOKUP($H254,'TRA TECH'!$J:$J,'TRA TECH'!AG:AG)))</f>
        <v>*</v>
      </c>
      <c r="AF254" s="15" t="str">
        <f>IF(H254="*","*",IF(_xlfn.XLOOKUP($H254,'TRA TECH'!$J:$J,'TRA TECH'!AH:AH)="","",_xlfn.XLOOKUP($H254,'TRA TECH'!$J:$J,'TRA TECH'!AH:AH)))</f>
        <v>*</v>
      </c>
      <c r="AG254" s="15" t="str">
        <f>IF(H254="*","*",IF(_xlfn.XLOOKUP($H254,'TRA TECH'!$J:$J,'TRA TECH'!AI:AI)="","",_xlfn.XLOOKUP($H254,'TRA TECH'!$J:$J,'TRA TECH'!AI:AI)))</f>
        <v>*</v>
      </c>
      <c r="AH254" s="15" t="str">
        <f>IF(H254="*","*",IF(_xlfn.XLOOKUP($H254,'TRA TECH'!$J:$J,'TRA TECH'!AJ:AJ)="","",_xlfn.XLOOKUP($H254,'TRA TECH'!$J:$J,'TRA TECH'!AJ:AJ)))</f>
        <v>*</v>
      </c>
      <c r="AI254" s="15" t="str">
        <f>IF(H254="*","*",IF(_xlfn.XLOOKUP($H254,'TRA TECH'!$J:$J,'TRA TECH'!AK:AK)="","",_xlfn.XLOOKUP($H254,'TRA TECH'!$J:$J,'TRA TECH'!AK:AK)))</f>
        <v>*</v>
      </c>
      <c r="AJ254" s="15" t="str">
        <f t="shared" si="19"/>
        <v>*</v>
      </c>
      <c r="AK254" s="16" t="str">
        <f t="shared" si="20"/>
        <v>*</v>
      </c>
    </row>
    <row r="255" spans="2:37" x14ac:dyDescent="0.25">
      <c r="B255" t="str">
        <f>IF('TRA TECH'!M251=0,"*",IF('TRA TECH'!H251="","*",'TRA TECH'!J251))</f>
        <v>TRAPASOBUICEIDSL20</v>
      </c>
      <c r="C255" t="str">
        <f>IF('TRA TECH'!M251=0,"*",'TRA TECH'!H251)</f>
        <v>TRABDS</v>
      </c>
      <c r="D255" t="s">
        <v>424</v>
      </c>
      <c r="E255" s="9">
        <f>'TRA TECH'!P251</f>
        <v>0.1</v>
      </c>
      <c r="H255" t="str">
        <f>IF('TRA TECH'!M251=1,IF('TRA TECH'!L251=1,'TRA TECH'!J251,"*"),"*")</f>
        <v>*</v>
      </c>
      <c r="I255" t="str">
        <f>IF(H255="*","*",_xlfn.XLOOKUP(H255,'TRA TECH'!J:J,'TRA TECH'!I:I))</f>
        <v>*</v>
      </c>
      <c r="J255" t="str">
        <f>IF(H255="*","*",_xlfn.XLOOKUP(H255,'TRA TECH'!J:J,'TRA TECH'!N:N))</f>
        <v>*</v>
      </c>
      <c r="K255" s="15" t="str">
        <f>IF(H255="*","*",IF(_xlfn.XLOOKUP(H255,'TRA TECH'!J:J,'TRA TECH'!O:O)="","",_xlfn.XLOOKUP(H255,'TRA TECH'!J:J,'TRA TECH'!O:O)))</f>
        <v>*</v>
      </c>
      <c r="L255" t="str">
        <f t="shared" si="16"/>
        <v>*</v>
      </c>
      <c r="M255" t="str">
        <f>IF(H255="*","*",IF(_xlfn.XLOOKUP($H255,'TRA TECH'!$J:$J,'TRA TECH'!Q:Q)="","",_xlfn.XLOOKUP($H255,'TRA TECH'!$J:$J,'TRA TECH'!Q:Q)))</f>
        <v>*</v>
      </c>
      <c r="N255" t="str">
        <f>IF(H255="*","*",IF(_xlfn.XLOOKUP($H255,'TRA TECH'!$J:$J,'TRA TECH'!R:R)="","",_xlfn.XLOOKUP($H255,'TRA TECH'!$J:$J,'TRA TECH'!R:R)))</f>
        <v>*</v>
      </c>
      <c r="O255" t="str">
        <f>IF(H255="*","*",IF(_xlfn.XLOOKUP($H255,'TRA TECH'!$J:$J,'TRA TECH'!S:S)="","",_xlfn.XLOOKUP($H255,'TRA TECH'!$J:$J,'TRA TECH'!S:S)))</f>
        <v>*</v>
      </c>
      <c r="P255" t="str">
        <f>IF(H255="*","*",IF(_xlfn.XLOOKUP($H255,'TRA TECH'!$J:$J,'TRA TECH'!T:T)="","",_xlfn.XLOOKUP($H255,'TRA TECH'!$J:$J,'TRA TECH'!T:T)))</f>
        <v>*</v>
      </c>
      <c r="Q255" t="str">
        <f>IF(H255="*","*",IF(_xlfn.XLOOKUP($H255,'TRA TECH'!$J:$J,'TRA TECH'!U:U)="","",_xlfn.XLOOKUP($H255,'TRA TECH'!$J:$J,'TRA TECH'!U:U)))</f>
        <v>*</v>
      </c>
      <c r="R255" t="str">
        <f>IF(H255="*","*",IF(_xlfn.XLOOKUP($H255,'TRA TECH'!$J:$J,'TRA TECH'!V:V)="","",_xlfn.XLOOKUP($H255,'TRA TECH'!$J:$J,'TRA TECH'!V:V)))</f>
        <v>*</v>
      </c>
      <c r="S255" t="str">
        <f>IF(H255="*","*",IF(_xlfn.XLOOKUP($H255,'TRA TECH'!$J:$J,'TRA TECH'!W:W)="","",_xlfn.XLOOKUP($H255,'TRA TECH'!$J:$J,'TRA TECH'!W:W)))</f>
        <v>*</v>
      </c>
      <c r="T255" t="str">
        <f t="shared" si="17"/>
        <v>*</v>
      </c>
      <c r="U255" t="str">
        <f>IF(H255="*","*",IF(_xlfn.XLOOKUP($H255,'TRA TECH'!$J:$J,'TRA TECH'!X:X)="","",_xlfn.XLOOKUP($H255,'TRA TECH'!$J:$J,'TRA TECH'!X:X)))</f>
        <v>*</v>
      </c>
      <c r="V255" t="str">
        <f>IF(H255="*","*",IF(_xlfn.XLOOKUP($H255,'TRA TECH'!$J:$J,'TRA TECH'!Y:Y)="","",_xlfn.XLOOKUP($H255,'TRA TECH'!$J:$J,'TRA TECH'!Y:Y)))</f>
        <v>*</v>
      </c>
      <c r="W255" t="str">
        <f>IF(H255="*","*",IF(_xlfn.XLOOKUP($H255,'TRA TECH'!$J:$J,'TRA TECH'!Z:Z)="","",_xlfn.XLOOKUP($H255,'TRA TECH'!$J:$J,'TRA TECH'!Z:Z)))</f>
        <v>*</v>
      </c>
      <c r="X255" t="str">
        <f>IF(H255="*","*",IF(_xlfn.XLOOKUP($H255,'TRA TECH'!$J:$J,'TRA TECH'!AA:AA)="","",_xlfn.XLOOKUP($H255,'TRA TECH'!$J:$J,'TRA TECH'!AA:AA)))</f>
        <v>*</v>
      </c>
      <c r="Y255" t="str">
        <f>IF(H255="*","*",IF(_xlfn.XLOOKUP($H255,'TRA TECH'!$J:$J,'TRA TECH'!AB:AB)="","",_xlfn.XLOOKUP($H255,'TRA TECH'!$J:$J,'TRA TECH'!AB:AB)))</f>
        <v>*</v>
      </c>
      <c r="Z255" t="str">
        <f>IF(H255="*","*",IF(_xlfn.XLOOKUP($H255,'TRA TECH'!$J:$J,'TRA TECH'!AC:AC)="","",_xlfn.XLOOKUP($H255,'TRA TECH'!$J:$J,'TRA TECH'!AC:AC)))</f>
        <v>*</v>
      </c>
      <c r="AA255" t="str">
        <f>IF(H255="*","*",IF(_xlfn.XLOOKUP($H255,'TRA TECH'!$J:$J,'TRA TECH'!AD:AD)="","",_xlfn.XLOOKUP($H255,'TRA TECH'!$J:$J,'TRA TECH'!AD:AD)))</f>
        <v>*</v>
      </c>
      <c r="AB255" t="str">
        <f t="shared" si="18"/>
        <v>*</v>
      </c>
      <c r="AC255" s="15" t="str">
        <f>IF(H255="*","*",IF(_xlfn.XLOOKUP($H255,'TRA TECH'!$J:$J,'TRA TECH'!AE:AE)="","",_xlfn.XLOOKUP($H255,'TRA TECH'!$J:$J,'TRA TECH'!AE:AE)))</f>
        <v>*</v>
      </c>
      <c r="AD255" s="15" t="str">
        <f>IF(H255="*","*",IF(_xlfn.XLOOKUP($H255,'TRA TECH'!$J:$J,'TRA TECH'!AF:AF)="","",_xlfn.XLOOKUP($H255,'TRA TECH'!$J:$J,'TRA TECH'!AF:AF)))</f>
        <v>*</v>
      </c>
      <c r="AE255" s="15" t="str">
        <f>IF(H255="*","*",IF(_xlfn.XLOOKUP($H255,'TRA TECH'!$J:$J,'TRA TECH'!AG:AG)="","",_xlfn.XLOOKUP($H255,'TRA TECH'!$J:$J,'TRA TECH'!AG:AG)))</f>
        <v>*</v>
      </c>
      <c r="AF255" s="15" t="str">
        <f>IF(H255="*","*",IF(_xlfn.XLOOKUP($H255,'TRA TECH'!$J:$J,'TRA TECH'!AH:AH)="","",_xlfn.XLOOKUP($H255,'TRA TECH'!$J:$J,'TRA TECH'!AH:AH)))</f>
        <v>*</v>
      </c>
      <c r="AG255" s="15" t="str">
        <f>IF(H255="*","*",IF(_xlfn.XLOOKUP($H255,'TRA TECH'!$J:$J,'TRA TECH'!AI:AI)="","",_xlfn.XLOOKUP($H255,'TRA TECH'!$J:$J,'TRA TECH'!AI:AI)))</f>
        <v>*</v>
      </c>
      <c r="AH255" s="15" t="str">
        <f>IF(H255="*","*",IF(_xlfn.XLOOKUP($H255,'TRA TECH'!$J:$J,'TRA TECH'!AJ:AJ)="","",_xlfn.XLOOKUP($H255,'TRA TECH'!$J:$J,'TRA TECH'!AJ:AJ)))</f>
        <v>*</v>
      </c>
      <c r="AI255" s="15" t="str">
        <f>IF(H255="*","*",IF(_xlfn.XLOOKUP($H255,'TRA TECH'!$J:$J,'TRA TECH'!AK:AK)="","",_xlfn.XLOOKUP($H255,'TRA TECH'!$J:$J,'TRA TECH'!AK:AK)))</f>
        <v>*</v>
      </c>
      <c r="AJ255" s="15" t="str">
        <f t="shared" si="19"/>
        <v>*</v>
      </c>
      <c r="AK255" s="16" t="str">
        <f t="shared" si="20"/>
        <v>*</v>
      </c>
    </row>
    <row r="256" spans="2:37" x14ac:dyDescent="0.25">
      <c r="B256" t="str">
        <f>IF('TRA TECH'!M252=0,"*",IF('TRA TECH'!H252="","*",'TRA TECH'!J252))</f>
        <v>TRAPASOBUHEVPDSL20</v>
      </c>
      <c r="C256" t="str">
        <f>IF('TRA TECH'!M252=0,"*",'TRA TECH'!H252)</f>
        <v>TRADSL</v>
      </c>
      <c r="D256" t="s">
        <v>424</v>
      </c>
      <c r="E256" s="9">
        <f>'TRA TECH'!P252</f>
        <v>1</v>
      </c>
      <c r="H256" t="str">
        <f>IF('TRA TECH'!M252=1,IF('TRA TECH'!L252=1,'TRA TECH'!J252,"*"),"*")</f>
        <v>TRAPASOBUHEVPDSL20</v>
      </c>
      <c r="I256" t="str">
        <f>IF(H256="*","*",_xlfn.XLOOKUP(H256,'TRA TECH'!J:J,'TRA TECH'!I:I))</f>
        <v>TRAPASOBUDMD</v>
      </c>
      <c r="J256">
        <f>IF(H256="*","*",_xlfn.XLOOKUP(H256,'TRA TECH'!J:J,'TRA TECH'!N:N))</f>
        <v>2020</v>
      </c>
      <c r="K256" s="15">
        <f>IF(H256="*","*",IF(_xlfn.XLOOKUP(H256,'TRA TECH'!J:J,'TRA TECH'!O:O)="","",_xlfn.XLOOKUP(H256,'TRA TECH'!J:J,'TRA TECH'!O:O)))</f>
        <v>4.6576618537494188</v>
      </c>
      <c r="L256">
        <f t="shared" si="16"/>
        <v>1</v>
      </c>
      <c r="M256">
        <f>IF(H256="*","*",IF(_xlfn.XLOOKUP($H256,'TRA TECH'!$J:$J,'TRA TECH'!Q:Q)="","",_xlfn.XLOOKUP($H256,'TRA TECH'!$J:$J,'TRA TECH'!Q:Q)))</f>
        <v>0.14591810089020771</v>
      </c>
      <c r="N256">
        <f>IF(H256="*","*",IF(_xlfn.XLOOKUP($H256,'TRA TECH'!$J:$J,'TRA TECH'!R:R)="","",_xlfn.XLOOKUP($H256,'TRA TECH'!$J:$J,'TRA TECH'!R:R)))</f>
        <v>0.14591810089020771</v>
      </c>
      <c r="O256">
        <f>IF(H256="*","*",IF(_xlfn.XLOOKUP($H256,'TRA TECH'!$J:$J,'TRA TECH'!S:S)="","",_xlfn.XLOOKUP($H256,'TRA TECH'!$J:$J,'TRA TECH'!S:S)))</f>
        <v>0.16183643916913951</v>
      </c>
      <c r="P256">
        <f>IF(H256="*","*",IF(_xlfn.XLOOKUP($H256,'TRA TECH'!$J:$J,'TRA TECH'!T:T)="","",_xlfn.XLOOKUP($H256,'TRA TECH'!$J:$J,'TRA TECH'!T:T)))</f>
        <v>0.1764282492581602</v>
      </c>
      <c r="Q256">
        <f>IF(H256="*","*",IF(_xlfn.XLOOKUP($H256,'TRA TECH'!$J:$J,'TRA TECH'!U:U)="","",_xlfn.XLOOKUP($H256,'TRA TECH'!$J:$J,'TRA TECH'!U:U)))</f>
        <v>0.18704047477744801</v>
      </c>
      <c r="R256">
        <f>IF(H256="*","*",IF(_xlfn.XLOOKUP($H256,'TRA TECH'!$J:$J,'TRA TECH'!V:V)="","",_xlfn.XLOOKUP($H256,'TRA TECH'!$J:$J,'TRA TECH'!V:V)))</f>
        <v>0.1963261721068249</v>
      </c>
      <c r="S256">
        <f>IF(H256="*","*",IF(_xlfn.XLOOKUP($H256,'TRA TECH'!$J:$J,'TRA TECH'!W:W)="","",_xlfn.XLOOKUP($H256,'TRA TECH'!$J:$J,'TRA TECH'!W:W)))</f>
        <v>0.2056118694362018</v>
      </c>
      <c r="T256">
        <f t="shared" si="17"/>
        <v>0.2056118694362018</v>
      </c>
      <c r="U256">
        <f>IF(H256="*","*",IF(_xlfn.XLOOKUP($H256,'TRA TECH'!$J:$J,'TRA TECH'!X:X)="","",_xlfn.XLOOKUP($H256,'TRA TECH'!$J:$J,'TRA TECH'!X:X)))</f>
        <v>465.89692424941529</v>
      </c>
      <c r="V256">
        <f>IF(H256="*","*",IF(_xlfn.XLOOKUP($H256,'TRA TECH'!$J:$J,'TRA TECH'!Y:Y)="","",_xlfn.XLOOKUP($H256,'TRA TECH'!$J:$J,'TRA TECH'!Y:Y)))</f>
        <v>465.89692424941529</v>
      </c>
      <c r="W256">
        <f>IF(H256="*","*",IF(_xlfn.XLOOKUP($H256,'TRA TECH'!$J:$J,'TRA TECH'!Z:Z)="","",_xlfn.XLOOKUP($H256,'TRA TECH'!$J:$J,'TRA TECH'!Z:Z)))</f>
        <v>464.47433822117279</v>
      </c>
      <c r="X256">
        <f>IF(H256="*","*",IF(_xlfn.XLOOKUP($H256,'TRA TECH'!$J:$J,'TRA TECH'!AA:AA)="","",_xlfn.XLOOKUP($H256,'TRA TECH'!$J:$J,'TRA TECH'!AA:AA)))</f>
        <v>460.91787315056649</v>
      </c>
      <c r="Y256">
        <f>IF(H256="*","*",IF(_xlfn.XLOOKUP($H256,'TRA TECH'!$J:$J,'TRA TECH'!AB:AB)="","",_xlfn.XLOOKUP($H256,'TRA TECH'!$J:$J,'TRA TECH'!AB:AB)))</f>
        <v>459.49528712232399</v>
      </c>
      <c r="Z256">
        <f>IF(H256="*","*",IF(_xlfn.XLOOKUP($H256,'TRA TECH'!$J:$J,'TRA TECH'!AC:AC)="","",_xlfn.XLOOKUP($H256,'TRA TECH'!$J:$J,'TRA TECH'!AC:AC)))</f>
        <v>458.78399410820282</v>
      </c>
      <c r="AA256">
        <f>IF(H256="*","*",IF(_xlfn.XLOOKUP($H256,'TRA TECH'!$J:$J,'TRA TECH'!AD:AD)="","",_xlfn.XLOOKUP($H256,'TRA TECH'!$J:$J,'TRA TECH'!AD:AD)))</f>
        <v>458.07270109408159</v>
      </c>
      <c r="AB256">
        <f t="shared" si="18"/>
        <v>458.07270109408159</v>
      </c>
      <c r="AC256" s="15">
        <f>IF(H256="*","*",IF(_xlfn.XLOOKUP($H256,'TRA TECH'!$J:$J,'TRA TECH'!AE:AE)="","",_xlfn.XLOOKUP($H256,'TRA TECH'!$J:$J,'TRA TECH'!AE:AE)))</f>
        <v>18.02032399555608</v>
      </c>
      <c r="AD256" s="15">
        <f>IF(H256="*","*",IF(_xlfn.XLOOKUP($H256,'TRA TECH'!$J:$J,'TRA TECH'!AF:AF)="","",_xlfn.XLOOKUP($H256,'TRA TECH'!$J:$J,'TRA TECH'!AF:AF)))</f>
        <v>18.02032399555608</v>
      </c>
      <c r="AE256" s="15">
        <f>IF(H256="*","*",IF(_xlfn.XLOOKUP($H256,'TRA TECH'!$J:$J,'TRA TECH'!AG:AG)="","",_xlfn.XLOOKUP($H256,'TRA TECH'!$J:$J,'TRA TECH'!AG:AG)))</f>
        <v>18.02032399555608</v>
      </c>
      <c r="AF256" s="15">
        <f>IF(H256="*","*",IF(_xlfn.XLOOKUP($H256,'TRA TECH'!$J:$J,'TRA TECH'!AH:AH)="","",_xlfn.XLOOKUP($H256,'TRA TECH'!$J:$J,'TRA TECH'!AH:AH)))</f>
        <v>18.02032399555608</v>
      </c>
      <c r="AG256" s="15">
        <f>IF(H256="*","*",IF(_xlfn.XLOOKUP($H256,'TRA TECH'!$J:$J,'TRA TECH'!AI:AI)="","",_xlfn.XLOOKUP($H256,'TRA TECH'!$J:$J,'TRA TECH'!AI:AI)))</f>
        <v>18.02032399555608</v>
      </c>
      <c r="AH256" s="15">
        <f>IF(H256="*","*",IF(_xlfn.XLOOKUP($H256,'TRA TECH'!$J:$J,'TRA TECH'!AJ:AJ)="","",_xlfn.XLOOKUP($H256,'TRA TECH'!$J:$J,'TRA TECH'!AJ:AJ)))</f>
        <v>18.02032399555608</v>
      </c>
      <c r="AI256" s="15">
        <f>IF(H256="*","*",IF(_xlfn.XLOOKUP($H256,'TRA TECH'!$J:$J,'TRA TECH'!AK:AK)="","",_xlfn.XLOOKUP($H256,'TRA TECH'!$J:$J,'TRA TECH'!AK:AK)))</f>
        <v>18.02032399555608</v>
      </c>
      <c r="AJ256" s="15">
        <f t="shared" si="19"/>
        <v>18.02032399555608</v>
      </c>
      <c r="AK256" s="16">
        <f t="shared" si="20"/>
        <v>0.25</v>
      </c>
    </row>
    <row r="257" spans="2:37" x14ac:dyDescent="0.25">
      <c r="B257" t="str">
        <f>IF('TRA TECH'!M253=0,"*",IF('TRA TECH'!H253="","*",'TRA TECH'!J253))</f>
        <v>TRAPASOBUHEVPDSL20</v>
      </c>
      <c r="C257" t="str">
        <f>IF('TRA TECH'!M253=0,"*",'TRA TECH'!H253)</f>
        <v>TRARDS</v>
      </c>
      <c r="D257" t="s">
        <v>424</v>
      </c>
      <c r="E257" s="9">
        <f>'TRA TECH'!P253</f>
        <v>1</v>
      </c>
      <c r="H257" t="str">
        <f>IF('TRA TECH'!M253=1,IF('TRA TECH'!L253=1,'TRA TECH'!J253,"*"),"*")</f>
        <v>*</v>
      </c>
      <c r="I257" t="str">
        <f>IF(H257="*","*",_xlfn.XLOOKUP(H257,'TRA TECH'!J:J,'TRA TECH'!I:I))</f>
        <v>*</v>
      </c>
      <c r="J257" t="str">
        <f>IF(H257="*","*",_xlfn.XLOOKUP(H257,'TRA TECH'!J:J,'TRA TECH'!N:N))</f>
        <v>*</v>
      </c>
      <c r="K257" s="15" t="str">
        <f>IF(H257="*","*",IF(_xlfn.XLOOKUP(H257,'TRA TECH'!J:J,'TRA TECH'!O:O)="","",_xlfn.XLOOKUP(H257,'TRA TECH'!J:J,'TRA TECH'!O:O)))</f>
        <v>*</v>
      </c>
      <c r="L257" t="str">
        <f t="shared" si="16"/>
        <v>*</v>
      </c>
      <c r="M257" t="str">
        <f>IF(H257="*","*",IF(_xlfn.XLOOKUP($H257,'TRA TECH'!$J:$J,'TRA TECH'!Q:Q)="","",_xlfn.XLOOKUP($H257,'TRA TECH'!$J:$J,'TRA TECH'!Q:Q)))</f>
        <v>*</v>
      </c>
      <c r="N257" t="str">
        <f>IF(H257="*","*",IF(_xlfn.XLOOKUP($H257,'TRA TECH'!$J:$J,'TRA TECH'!R:R)="","",_xlfn.XLOOKUP($H257,'TRA TECH'!$J:$J,'TRA TECH'!R:R)))</f>
        <v>*</v>
      </c>
      <c r="O257" t="str">
        <f>IF(H257="*","*",IF(_xlfn.XLOOKUP($H257,'TRA TECH'!$J:$J,'TRA TECH'!S:S)="","",_xlfn.XLOOKUP($H257,'TRA TECH'!$J:$J,'TRA TECH'!S:S)))</f>
        <v>*</v>
      </c>
      <c r="P257" t="str">
        <f>IF(H257="*","*",IF(_xlfn.XLOOKUP($H257,'TRA TECH'!$J:$J,'TRA TECH'!T:T)="","",_xlfn.XLOOKUP($H257,'TRA TECH'!$J:$J,'TRA TECH'!T:T)))</f>
        <v>*</v>
      </c>
      <c r="Q257" t="str">
        <f>IF(H257="*","*",IF(_xlfn.XLOOKUP($H257,'TRA TECH'!$J:$J,'TRA TECH'!U:U)="","",_xlfn.XLOOKUP($H257,'TRA TECH'!$J:$J,'TRA TECH'!U:U)))</f>
        <v>*</v>
      </c>
      <c r="R257" t="str">
        <f>IF(H257="*","*",IF(_xlfn.XLOOKUP($H257,'TRA TECH'!$J:$J,'TRA TECH'!V:V)="","",_xlfn.XLOOKUP($H257,'TRA TECH'!$J:$J,'TRA TECH'!V:V)))</f>
        <v>*</v>
      </c>
      <c r="S257" t="str">
        <f>IF(H257="*","*",IF(_xlfn.XLOOKUP($H257,'TRA TECH'!$J:$J,'TRA TECH'!W:W)="","",_xlfn.XLOOKUP($H257,'TRA TECH'!$J:$J,'TRA TECH'!W:W)))</f>
        <v>*</v>
      </c>
      <c r="T257" t="str">
        <f t="shared" si="17"/>
        <v>*</v>
      </c>
      <c r="U257" t="str">
        <f>IF(H257="*","*",IF(_xlfn.XLOOKUP($H257,'TRA TECH'!$J:$J,'TRA TECH'!X:X)="","",_xlfn.XLOOKUP($H257,'TRA TECH'!$J:$J,'TRA TECH'!X:X)))</f>
        <v>*</v>
      </c>
      <c r="V257" t="str">
        <f>IF(H257="*","*",IF(_xlfn.XLOOKUP($H257,'TRA TECH'!$J:$J,'TRA TECH'!Y:Y)="","",_xlfn.XLOOKUP($H257,'TRA TECH'!$J:$J,'TRA TECH'!Y:Y)))</f>
        <v>*</v>
      </c>
      <c r="W257" t="str">
        <f>IF(H257="*","*",IF(_xlfn.XLOOKUP($H257,'TRA TECH'!$J:$J,'TRA TECH'!Z:Z)="","",_xlfn.XLOOKUP($H257,'TRA TECH'!$J:$J,'TRA TECH'!Z:Z)))</f>
        <v>*</v>
      </c>
      <c r="X257" t="str">
        <f>IF(H257="*","*",IF(_xlfn.XLOOKUP($H257,'TRA TECH'!$J:$J,'TRA TECH'!AA:AA)="","",_xlfn.XLOOKUP($H257,'TRA TECH'!$J:$J,'TRA TECH'!AA:AA)))</f>
        <v>*</v>
      </c>
      <c r="Y257" t="str">
        <f>IF(H257="*","*",IF(_xlfn.XLOOKUP($H257,'TRA TECH'!$J:$J,'TRA TECH'!AB:AB)="","",_xlfn.XLOOKUP($H257,'TRA TECH'!$J:$J,'TRA TECH'!AB:AB)))</f>
        <v>*</v>
      </c>
      <c r="Z257" t="str">
        <f>IF(H257="*","*",IF(_xlfn.XLOOKUP($H257,'TRA TECH'!$J:$J,'TRA TECH'!AC:AC)="","",_xlfn.XLOOKUP($H257,'TRA TECH'!$J:$J,'TRA TECH'!AC:AC)))</f>
        <v>*</v>
      </c>
      <c r="AA257" t="str">
        <f>IF(H257="*","*",IF(_xlfn.XLOOKUP($H257,'TRA TECH'!$J:$J,'TRA TECH'!AD:AD)="","",_xlfn.XLOOKUP($H257,'TRA TECH'!$J:$J,'TRA TECH'!AD:AD)))</f>
        <v>*</v>
      </c>
      <c r="AB257" t="str">
        <f t="shared" si="18"/>
        <v>*</v>
      </c>
      <c r="AC257" s="15" t="str">
        <f>IF(H257="*","*",IF(_xlfn.XLOOKUP($H257,'TRA TECH'!$J:$J,'TRA TECH'!AE:AE)="","",_xlfn.XLOOKUP($H257,'TRA TECH'!$J:$J,'TRA TECH'!AE:AE)))</f>
        <v>*</v>
      </c>
      <c r="AD257" s="15" t="str">
        <f>IF(H257="*","*",IF(_xlfn.XLOOKUP($H257,'TRA TECH'!$J:$J,'TRA TECH'!AF:AF)="","",_xlfn.XLOOKUP($H257,'TRA TECH'!$J:$J,'TRA TECH'!AF:AF)))</f>
        <v>*</v>
      </c>
      <c r="AE257" s="15" t="str">
        <f>IF(H257="*","*",IF(_xlfn.XLOOKUP($H257,'TRA TECH'!$J:$J,'TRA TECH'!AG:AG)="","",_xlfn.XLOOKUP($H257,'TRA TECH'!$J:$J,'TRA TECH'!AG:AG)))</f>
        <v>*</v>
      </c>
      <c r="AF257" s="15" t="str">
        <f>IF(H257="*","*",IF(_xlfn.XLOOKUP($H257,'TRA TECH'!$J:$J,'TRA TECH'!AH:AH)="","",_xlfn.XLOOKUP($H257,'TRA TECH'!$J:$J,'TRA TECH'!AH:AH)))</f>
        <v>*</v>
      </c>
      <c r="AG257" s="15" t="str">
        <f>IF(H257="*","*",IF(_xlfn.XLOOKUP($H257,'TRA TECH'!$J:$J,'TRA TECH'!AI:AI)="","",_xlfn.XLOOKUP($H257,'TRA TECH'!$J:$J,'TRA TECH'!AI:AI)))</f>
        <v>*</v>
      </c>
      <c r="AH257" s="15" t="str">
        <f>IF(H257="*","*",IF(_xlfn.XLOOKUP($H257,'TRA TECH'!$J:$J,'TRA TECH'!AJ:AJ)="","",_xlfn.XLOOKUP($H257,'TRA TECH'!$J:$J,'TRA TECH'!AJ:AJ)))</f>
        <v>*</v>
      </c>
      <c r="AI257" s="15" t="str">
        <f>IF(H257="*","*",IF(_xlfn.XLOOKUP($H257,'TRA TECH'!$J:$J,'TRA TECH'!AK:AK)="","",_xlfn.XLOOKUP($H257,'TRA TECH'!$J:$J,'TRA TECH'!AK:AK)))</f>
        <v>*</v>
      </c>
      <c r="AJ257" s="15" t="str">
        <f t="shared" si="19"/>
        <v>*</v>
      </c>
      <c r="AK257" s="16" t="str">
        <f t="shared" si="20"/>
        <v>*</v>
      </c>
    </row>
    <row r="258" spans="2:37" x14ac:dyDescent="0.25">
      <c r="B258" t="str">
        <f>IF('TRA TECH'!M254=0,"*",IF('TRA TECH'!H254="","*",'TRA TECH'!J254))</f>
        <v>TRAPASOBUHEVPDSL20</v>
      </c>
      <c r="C258" t="str">
        <f>IF('TRA TECH'!M254=0,"*",'TRA TECH'!H254)</f>
        <v>TRABDS</v>
      </c>
      <c r="D258" t="s">
        <v>424</v>
      </c>
      <c r="E258" s="9">
        <f>'TRA TECH'!P254</f>
        <v>0.1</v>
      </c>
      <c r="H258" t="str">
        <f>IF('TRA TECH'!M254=1,IF('TRA TECH'!L254=1,'TRA TECH'!J254,"*"),"*")</f>
        <v>*</v>
      </c>
      <c r="I258" t="str">
        <f>IF(H258="*","*",_xlfn.XLOOKUP(H258,'TRA TECH'!J:J,'TRA TECH'!I:I))</f>
        <v>*</v>
      </c>
      <c r="J258" t="str">
        <f>IF(H258="*","*",_xlfn.XLOOKUP(H258,'TRA TECH'!J:J,'TRA TECH'!N:N))</f>
        <v>*</v>
      </c>
      <c r="K258" s="15" t="str">
        <f>IF(H258="*","*",IF(_xlfn.XLOOKUP(H258,'TRA TECH'!J:J,'TRA TECH'!O:O)="","",_xlfn.XLOOKUP(H258,'TRA TECH'!J:J,'TRA TECH'!O:O)))</f>
        <v>*</v>
      </c>
      <c r="L258" t="str">
        <f t="shared" si="16"/>
        <v>*</v>
      </c>
      <c r="M258" t="str">
        <f>IF(H258="*","*",IF(_xlfn.XLOOKUP($H258,'TRA TECH'!$J:$J,'TRA TECH'!Q:Q)="","",_xlfn.XLOOKUP($H258,'TRA TECH'!$J:$J,'TRA TECH'!Q:Q)))</f>
        <v>*</v>
      </c>
      <c r="N258" t="str">
        <f>IF(H258="*","*",IF(_xlfn.XLOOKUP($H258,'TRA TECH'!$J:$J,'TRA TECH'!R:R)="","",_xlfn.XLOOKUP($H258,'TRA TECH'!$J:$J,'TRA TECH'!R:R)))</f>
        <v>*</v>
      </c>
      <c r="O258" t="str">
        <f>IF(H258="*","*",IF(_xlfn.XLOOKUP($H258,'TRA TECH'!$J:$J,'TRA TECH'!S:S)="","",_xlfn.XLOOKUP($H258,'TRA TECH'!$J:$J,'TRA TECH'!S:S)))</f>
        <v>*</v>
      </c>
      <c r="P258" t="str">
        <f>IF(H258="*","*",IF(_xlfn.XLOOKUP($H258,'TRA TECH'!$J:$J,'TRA TECH'!T:T)="","",_xlfn.XLOOKUP($H258,'TRA TECH'!$J:$J,'TRA TECH'!T:T)))</f>
        <v>*</v>
      </c>
      <c r="Q258" t="str">
        <f>IF(H258="*","*",IF(_xlfn.XLOOKUP($H258,'TRA TECH'!$J:$J,'TRA TECH'!U:U)="","",_xlfn.XLOOKUP($H258,'TRA TECH'!$J:$J,'TRA TECH'!U:U)))</f>
        <v>*</v>
      </c>
      <c r="R258" t="str">
        <f>IF(H258="*","*",IF(_xlfn.XLOOKUP($H258,'TRA TECH'!$J:$J,'TRA TECH'!V:V)="","",_xlfn.XLOOKUP($H258,'TRA TECH'!$J:$J,'TRA TECH'!V:V)))</f>
        <v>*</v>
      </c>
      <c r="S258" t="str">
        <f>IF(H258="*","*",IF(_xlfn.XLOOKUP($H258,'TRA TECH'!$J:$J,'TRA TECH'!W:W)="","",_xlfn.XLOOKUP($H258,'TRA TECH'!$J:$J,'TRA TECH'!W:W)))</f>
        <v>*</v>
      </c>
      <c r="T258" t="str">
        <f t="shared" si="17"/>
        <v>*</v>
      </c>
      <c r="U258" t="str">
        <f>IF(H258="*","*",IF(_xlfn.XLOOKUP($H258,'TRA TECH'!$J:$J,'TRA TECH'!X:X)="","",_xlfn.XLOOKUP($H258,'TRA TECH'!$J:$J,'TRA TECH'!X:X)))</f>
        <v>*</v>
      </c>
      <c r="V258" t="str">
        <f>IF(H258="*","*",IF(_xlfn.XLOOKUP($H258,'TRA TECH'!$J:$J,'TRA TECH'!Y:Y)="","",_xlfn.XLOOKUP($H258,'TRA TECH'!$J:$J,'TRA TECH'!Y:Y)))</f>
        <v>*</v>
      </c>
      <c r="W258" t="str">
        <f>IF(H258="*","*",IF(_xlfn.XLOOKUP($H258,'TRA TECH'!$J:$J,'TRA TECH'!Z:Z)="","",_xlfn.XLOOKUP($H258,'TRA TECH'!$J:$J,'TRA TECH'!Z:Z)))</f>
        <v>*</v>
      </c>
      <c r="X258" t="str">
        <f>IF(H258="*","*",IF(_xlfn.XLOOKUP($H258,'TRA TECH'!$J:$J,'TRA TECH'!AA:AA)="","",_xlfn.XLOOKUP($H258,'TRA TECH'!$J:$J,'TRA TECH'!AA:AA)))</f>
        <v>*</v>
      </c>
      <c r="Y258" t="str">
        <f>IF(H258="*","*",IF(_xlfn.XLOOKUP($H258,'TRA TECH'!$J:$J,'TRA TECH'!AB:AB)="","",_xlfn.XLOOKUP($H258,'TRA TECH'!$J:$J,'TRA TECH'!AB:AB)))</f>
        <v>*</v>
      </c>
      <c r="Z258" t="str">
        <f>IF(H258="*","*",IF(_xlfn.XLOOKUP($H258,'TRA TECH'!$J:$J,'TRA TECH'!AC:AC)="","",_xlfn.XLOOKUP($H258,'TRA TECH'!$J:$J,'TRA TECH'!AC:AC)))</f>
        <v>*</v>
      </c>
      <c r="AA258" t="str">
        <f>IF(H258="*","*",IF(_xlfn.XLOOKUP($H258,'TRA TECH'!$J:$J,'TRA TECH'!AD:AD)="","",_xlfn.XLOOKUP($H258,'TRA TECH'!$J:$J,'TRA TECH'!AD:AD)))</f>
        <v>*</v>
      </c>
      <c r="AB258" t="str">
        <f t="shared" si="18"/>
        <v>*</v>
      </c>
      <c r="AC258" s="15" t="str">
        <f>IF(H258="*","*",IF(_xlfn.XLOOKUP($H258,'TRA TECH'!$J:$J,'TRA TECH'!AE:AE)="","",_xlfn.XLOOKUP($H258,'TRA TECH'!$J:$J,'TRA TECH'!AE:AE)))</f>
        <v>*</v>
      </c>
      <c r="AD258" s="15" t="str">
        <f>IF(H258="*","*",IF(_xlfn.XLOOKUP($H258,'TRA TECH'!$J:$J,'TRA TECH'!AF:AF)="","",_xlfn.XLOOKUP($H258,'TRA TECH'!$J:$J,'TRA TECH'!AF:AF)))</f>
        <v>*</v>
      </c>
      <c r="AE258" s="15" t="str">
        <f>IF(H258="*","*",IF(_xlfn.XLOOKUP($H258,'TRA TECH'!$J:$J,'TRA TECH'!AG:AG)="","",_xlfn.XLOOKUP($H258,'TRA TECH'!$J:$J,'TRA TECH'!AG:AG)))</f>
        <v>*</v>
      </c>
      <c r="AF258" s="15" t="str">
        <f>IF(H258="*","*",IF(_xlfn.XLOOKUP($H258,'TRA TECH'!$J:$J,'TRA TECH'!AH:AH)="","",_xlfn.XLOOKUP($H258,'TRA TECH'!$J:$J,'TRA TECH'!AH:AH)))</f>
        <v>*</v>
      </c>
      <c r="AG258" s="15" t="str">
        <f>IF(H258="*","*",IF(_xlfn.XLOOKUP($H258,'TRA TECH'!$J:$J,'TRA TECH'!AI:AI)="","",_xlfn.XLOOKUP($H258,'TRA TECH'!$J:$J,'TRA TECH'!AI:AI)))</f>
        <v>*</v>
      </c>
      <c r="AH258" s="15" t="str">
        <f>IF(H258="*","*",IF(_xlfn.XLOOKUP($H258,'TRA TECH'!$J:$J,'TRA TECH'!AJ:AJ)="","",_xlfn.XLOOKUP($H258,'TRA TECH'!$J:$J,'TRA TECH'!AJ:AJ)))</f>
        <v>*</v>
      </c>
      <c r="AI258" s="15" t="str">
        <f>IF(H258="*","*",IF(_xlfn.XLOOKUP($H258,'TRA TECH'!$J:$J,'TRA TECH'!AK:AK)="","",_xlfn.XLOOKUP($H258,'TRA TECH'!$J:$J,'TRA TECH'!AK:AK)))</f>
        <v>*</v>
      </c>
      <c r="AJ258" s="15" t="str">
        <f t="shared" si="19"/>
        <v>*</v>
      </c>
      <c r="AK258" s="16" t="str">
        <f t="shared" si="20"/>
        <v>*</v>
      </c>
    </row>
    <row r="259" spans="2:37" x14ac:dyDescent="0.25">
      <c r="B259" t="str">
        <f>IF('TRA TECH'!M255=0,"*",IF('TRA TECH'!H255="","*",'TRA TECH'!J255))</f>
        <v>TRAPASOBUPHEVDSL20</v>
      </c>
      <c r="C259" t="str">
        <f>IF('TRA TECH'!M255=0,"*",'TRA TECH'!H255)</f>
        <v>TRADSL</v>
      </c>
      <c r="D259" t="s">
        <v>424</v>
      </c>
      <c r="E259" s="9">
        <f>'TRA TECH'!P255</f>
        <v>0.30952380952381148</v>
      </c>
      <c r="H259" t="str">
        <f>IF('TRA TECH'!M255=1,IF('TRA TECH'!L255=1,'TRA TECH'!J255,"*"),"*")</f>
        <v>TRAPASOBUPHEVDSL20</v>
      </c>
      <c r="I259" t="str">
        <f>IF(H259="*","*",_xlfn.XLOOKUP(H259,'TRA TECH'!J:J,'TRA TECH'!I:I))</f>
        <v>TRAPASOBUDMD</v>
      </c>
      <c r="J259">
        <f>IF(H259="*","*",_xlfn.XLOOKUP(H259,'TRA TECH'!J:J,'TRA TECH'!N:N))</f>
        <v>2020</v>
      </c>
      <c r="K259" s="15">
        <f>IF(H259="*","*",IF(_xlfn.XLOOKUP(H259,'TRA TECH'!J:J,'TRA TECH'!O:O)="","",_xlfn.XLOOKUP(H259,'TRA TECH'!J:J,'TRA TECH'!O:O)))</f>
        <v>4.6576618537494188</v>
      </c>
      <c r="L259">
        <f t="shared" si="16"/>
        <v>1</v>
      </c>
      <c r="M259">
        <f>IF(H259="*","*",IF(_xlfn.XLOOKUP($H259,'TRA TECH'!$J:$J,'TRA TECH'!Q:Q)="","",_xlfn.XLOOKUP($H259,'TRA TECH'!$J:$J,'TRA TECH'!Q:Q)))</f>
        <v>0.29979537091988079</v>
      </c>
      <c r="N259">
        <f>IF(H259="*","*",IF(_xlfn.XLOOKUP($H259,'TRA TECH'!$J:$J,'TRA TECH'!R:R)="","",_xlfn.XLOOKUP($H259,'TRA TECH'!$J:$J,'TRA TECH'!R:R)))</f>
        <v>0.29979537091988079</v>
      </c>
      <c r="O259">
        <f>IF(H259="*","*",IF(_xlfn.XLOOKUP($H259,'TRA TECH'!$J:$J,'TRA TECH'!S:S)="","",_xlfn.XLOOKUP($H259,'TRA TECH'!$J:$J,'TRA TECH'!S:S)))</f>
        <v>0.33030551928783392</v>
      </c>
      <c r="P259">
        <f>IF(H259="*","*",IF(_xlfn.XLOOKUP($H259,'TRA TECH'!$J:$J,'TRA TECH'!T:T)="","",_xlfn.XLOOKUP($H259,'TRA TECH'!$J:$J,'TRA TECH'!T:T)))</f>
        <v>0.35816261127596438</v>
      </c>
      <c r="Q259">
        <f>IF(H259="*","*",IF(_xlfn.XLOOKUP($H259,'TRA TECH'!$J:$J,'TRA TECH'!U:U)="","",_xlfn.XLOOKUP($H259,'TRA TECH'!$J:$J,'TRA TECH'!U:U)))</f>
        <v>0.37408094955489479</v>
      </c>
      <c r="R259">
        <f>IF(H259="*","*",IF(_xlfn.XLOOKUP($H259,'TRA TECH'!$J:$J,'TRA TECH'!V:V)="","",_xlfn.XLOOKUP($H259,'TRA TECH'!$J:$J,'TRA TECH'!V:V)))</f>
        <v>0.3899992878338272</v>
      </c>
      <c r="S259">
        <f>IF(H259="*","*",IF(_xlfn.XLOOKUP($H259,'TRA TECH'!$J:$J,'TRA TECH'!W:W)="","",_xlfn.XLOOKUP($H259,'TRA TECH'!$J:$J,'TRA TECH'!W:W)))</f>
        <v>0.4059176261127605</v>
      </c>
      <c r="T259">
        <f t="shared" si="17"/>
        <v>0.4059176261127605</v>
      </c>
      <c r="U259">
        <f>IF(H259="*","*",IF(_xlfn.XLOOKUP($H259,'TRA TECH'!$J:$J,'TRA TECH'!X:X)="","",_xlfn.XLOOKUP($H259,'TRA TECH'!$J:$J,'TRA TECH'!X:X)))</f>
        <v>515.68743523790056</v>
      </c>
      <c r="V259">
        <f>IF(H259="*","*",IF(_xlfn.XLOOKUP($H259,'TRA TECH'!$J:$J,'TRA TECH'!Y:Y)="","",_xlfn.XLOOKUP($H259,'TRA TECH'!$J:$J,'TRA TECH'!Y:Y)))</f>
        <v>515.68743523790056</v>
      </c>
      <c r="W259">
        <f>IF(H259="*","*",IF(_xlfn.XLOOKUP($H259,'TRA TECH'!$J:$J,'TRA TECH'!Z:Z)="","",_xlfn.XLOOKUP($H259,'TRA TECH'!$J:$J,'TRA TECH'!Z:Z)))</f>
        <v>484.39054261656662</v>
      </c>
      <c r="X259">
        <f>IF(H259="*","*",IF(_xlfn.XLOOKUP($H259,'TRA TECH'!$J:$J,'TRA TECH'!AA:AA)="","",_xlfn.XLOOKUP($H259,'TRA TECH'!$J:$J,'TRA TECH'!AA:AA)))</f>
        <v>464.47433822117449</v>
      </c>
      <c r="Y259">
        <f>IF(H259="*","*",IF(_xlfn.XLOOKUP($H259,'TRA TECH'!$J:$J,'TRA TECH'!AB:AB)="","",_xlfn.XLOOKUP($H259,'TRA TECH'!$J:$J,'TRA TECH'!AB:AB)))</f>
        <v>456.65011506583812</v>
      </c>
      <c r="Z259">
        <f>IF(H259="*","*",IF(_xlfn.XLOOKUP($H259,'TRA TECH'!$J:$J,'TRA TECH'!AC:AC)="","",_xlfn.XLOOKUP($H259,'TRA TECH'!$J:$J,'TRA TECH'!AC:AC)))</f>
        <v>449.53718492462809</v>
      </c>
      <c r="AA259">
        <f>IF(H259="*","*",IF(_xlfn.XLOOKUP($H259,'TRA TECH'!$J:$J,'TRA TECH'!AD:AD)="","",_xlfn.XLOOKUP($H259,'TRA TECH'!$J:$J,'TRA TECH'!AD:AD)))</f>
        <v>441.71296176929172</v>
      </c>
      <c r="AB259">
        <f t="shared" si="18"/>
        <v>441.71296176929172</v>
      </c>
      <c r="AC259" s="15">
        <f>IF(H259="*","*",IF(_xlfn.XLOOKUP($H259,'TRA TECH'!$J:$J,'TRA TECH'!AE:AE)="","",_xlfn.XLOOKUP($H259,'TRA TECH'!$J:$J,'TRA TECH'!AE:AE)))</f>
        <v>18.020323995556041</v>
      </c>
      <c r="AD259" s="15">
        <f>IF(H259="*","*",IF(_xlfn.XLOOKUP($H259,'TRA TECH'!$J:$J,'TRA TECH'!AF:AF)="","",_xlfn.XLOOKUP($H259,'TRA TECH'!$J:$J,'TRA TECH'!AF:AF)))</f>
        <v>18.020323995556041</v>
      </c>
      <c r="AE259" s="15">
        <f>IF(H259="*","*",IF(_xlfn.XLOOKUP($H259,'TRA TECH'!$J:$J,'TRA TECH'!AG:AG)="","",_xlfn.XLOOKUP($H259,'TRA TECH'!$J:$J,'TRA TECH'!AG:AG)))</f>
        <v>18.020323995556041</v>
      </c>
      <c r="AF259" s="15">
        <f>IF(H259="*","*",IF(_xlfn.XLOOKUP($H259,'TRA TECH'!$J:$J,'TRA TECH'!AH:AH)="","",_xlfn.XLOOKUP($H259,'TRA TECH'!$J:$J,'TRA TECH'!AH:AH)))</f>
        <v>18.020323995556041</v>
      </c>
      <c r="AG259" s="15">
        <f>IF(H259="*","*",IF(_xlfn.XLOOKUP($H259,'TRA TECH'!$J:$J,'TRA TECH'!AI:AI)="","",_xlfn.XLOOKUP($H259,'TRA TECH'!$J:$J,'TRA TECH'!AI:AI)))</f>
        <v>18.020323995556041</v>
      </c>
      <c r="AH259" s="15">
        <f>IF(H259="*","*",IF(_xlfn.XLOOKUP($H259,'TRA TECH'!$J:$J,'TRA TECH'!AJ:AJ)="","",_xlfn.XLOOKUP($H259,'TRA TECH'!$J:$J,'TRA TECH'!AJ:AJ)))</f>
        <v>18.020323995556041</v>
      </c>
      <c r="AI259" s="15">
        <f>IF(H259="*","*",IF(_xlfn.XLOOKUP($H259,'TRA TECH'!$J:$J,'TRA TECH'!AK:AK)="","",_xlfn.XLOOKUP($H259,'TRA TECH'!$J:$J,'TRA TECH'!AK:AK)))</f>
        <v>18.020323995556041</v>
      </c>
      <c r="AJ259" s="15">
        <f t="shared" si="19"/>
        <v>18.020323995556041</v>
      </c>
      <c r="AK259" s="16">
        <f t="shared" si="20"/>
        <v>0.25</v>
      </c>
    </row>
    <row r="260" spans="2:37" x14ac:dyDescent="0.25">
      <c r="B260" t="str">
        <f>IF('TRA TECH'!M256=0,"*",IF('TRA TECH'!H256="","*",'TRA TECH'!J256))</f>
        <v>TRAPASOBUPHEVDSL20</v>
      </c>
      <c r="C260" t="str">
        <f>IF('TRA TECH'!M256=0,"*",'TRA TECH'!H256)</f>
        <v>TRARDS</v>
      </c>
      <c r="D260" t="s">
        <v>424</v>
      </c>
      <c r="E260" s="9">
        <f>'TRA TECH'!P256</f>
        <v>0.30952380952381148</v>
      </c>
      <c r="H260" t="str">
        <f>IF('TRA TECH'!M256=1,IF('TRA TECH'!L256=1,'TRA TECH'!J256,"*"),"*")</f>
        <v>*</v>
      </c>
      <c r="I260" t="str">
        <f>IF(H260="*","*",_xlfn.XLOOKUP(H260,'TRA TECH'!J:J,'TRA TECH'!I:I))</f>
        <v>*</v>
      </c>
      <c r="J260" t="str">
        <f>IF(H260="*","*",_xlfn.XLOOKUP(H260,'TRA TECH'!J:J,'TRA TECH'!N:N))</f>
        <v>*</v>
      </c>
      <c r="K260" s="15" t="str">
        <f>IF(H260="*","*",IF(_xlfn.XLOOKUP(H260,'TRA TECH'!J:J,'TRA TECH'!O:O)="","",_xlfn.XLOOKUP(H260,'TRA TECH'!J:J,'TRA TECH'!O:O)))</f>
        <v>*</v>
      </c>
      <c r="L260" t="str">
        <f t="shared" si="16"/>
        <v>*</v>
      </c>
      <c r="M260" t="str">
        <f>IF(H260="*","*",IF(_xlfn.XLOOKUP($H260,'TRA TECH'!$J:$J,'TRA TECH'!Q:Q)="","",_xlfn.XLOOKUP($H260,'TRA TECH'!$J:$J,'TRA TECH'!Q:Q)))</f>
        <v>*</v>
      </c>
      <c r="N260" t="str">
        <f>IF(H260="*","*",IF(_xlfn.XLOOKUP($H260,'TRA TECH'!$J:$J,'TRA TECH'!R:R)="","",_xlfn.XLOOKUP($H260,'TRA TECH'!$J:$J,'TRA TECH'!R:R)))</f>
        <v>*</v>
      </c>
      <c r="O260" t="str">
        <f>IF(H260="*","*",IF(_xlfn.XLOOKUP($H260,'TRA TECH'!$J:$J,'TRA TECH'!S:S)="","",_xlfn.XLOOKUP($H260,'TRA TECH'!$J:$J,'TRA TECH'!S:S)))</f>
        <v>*</v>
      </c>
      <c r="P260" t="str">
        <f>IF(H260="*","*",IF(_xlfn.XLOOKUP($H260,'TRA TECH'!$J:$J,'TRA TECH'!T:T)="","",_xlfn.XLOOKUP($H260,'TRA TECH'!$J:$J,'TRA TECH'!T:T)))</f>
        <v>*</v>
      </c>
      <c r="Q260" t="str">
        <f>IF(H260="*","*",IF(_xlfn.XLOOKUP($H260,'TRA TECH'!$J:$J,'TRA TECH'!U:U)="","",_xlfn.XLOOKUP($H260,'TRA TECH'!$J:$J,'TRA TECH'!U:U)))</f>
        <v>*</v>
      </c>
      <c r="R260" t="str">
        <f>IF(H260="*","*",IF(_xlfn.XLOOKUP($H260,'TRA TECH'!$J:$J,'TRA TECH'!V:V)="","",_xlfn.XLOOKUP($H260,'TRA TECH'!$J:$J,'TRA TECH'!V:V)))</f>
        <v>*</v>
      </c>
      <c r="S260" t="str">
        <f>IF(H260="*","*",IF(_xlfn.XLOOKUP($H260,'TRA TECH'!$J:$J,'TRA TECH'!W:W)="","",_xlfn.XLOOKUP($H260,'TRA TECH'!$J:$J,'TRA TECH'!W:W)))</f>
        <v>*</v>
      </c>
      <c r="T260" t="str">
        <f t="shared" si="17"/>
        <v>*</v>
      </c>
      <c r="U260" t="str">
        <f>IF(H260="*","*",IF(_xlfn.XLOOKUP($H260,'TRA TECH'!$J:$J,'TRA TECH'!X:X)="","",_xlfn.XLOOKUP($H260,'TRA TECH'!$J:$J,'TRA TECH'!X:X)))</f>
        <v>*</v>
      </c>
      <c r="V260" t="str">
        <f>IF(H260="*","*",IF(_xlfn.XLOOKUP($H260,'TRA TECH'!$J:$J,'TRA TECH'!Y:Y)="","",_xlfn.XLOOKUP($H260,'TRA TECH'!$J:$J,'TRA TECH'!Y:Y)))</f>
        <v>*</v>
      </c>
      <c r="W260" t="str">
        <f>IF(H260="*","*",IF(_xlfn.XLOOKUP($H260,'TRA TECH'!$J:$J,'TRA TECH'!Z:Z)="","",_xlfn.XLOOKUP($H260,'TRA TECH'!$J:$J,'TRA TECH'!Z:Z)))</f>
        <v>*</v>
      </c>
      <c r="X260" t="str">
        <f>IF(H260="*","*",IF(_xlfn.XLOOKUP($H260,'TRA TECH'!$J:$J,'TRA TECH'!AA:AA)="","",_xlfn.XLOOKUP($H260,'TRA TECH'!$J:$J,'TRA TECH'!AA:AA)))</f>
        <v>*</v>
      </c>
      <c r="Y260" t="str">
        <f>IF(H260="*","*",IF(_xlfn.XLOOKUP($H260,'TRA TECH'!$J:$J,'TRA TECH'!AB:AB)="","",_xlfn.XLOOKUP($H260,'TRA TECH'!$J:$J,'TRA TECH'!AB:AB)))</f>
        <v>*</v>
      </c>
      <c r="Z260" t="str">
        <f>IF(H260="*","*",IF(_xlfn.XLOOKUP($H260,'TRA TECH'!$J:$J,'TRA TECH'!AC:AC)="","",_xlfn.XLOOKUP($H260,'TRA TECH'!$J:$J,'TRA TECH'!AC:AC)))</f>
        <v>*</v>
      </c>
      <c r="AA260" t="str">
        <f>IF(H260="*","*",IF(_xlfn.XLOOKUP($H260,'TRA TECH'!$J:$J,'TRA TECH'!AD:AD)="","",_xlfn.XLOOKUP($H260,'TRA TECH'!$J:$J,'TRA TECH'!AD:AD)))</f>
        <v>*</v>
      </c>
      <c r="AB260" t="str">
        <f t="shared" si="18"/>
        <v>*</v>
      </c>
      <c r="AC260" s="15" t="str">
        <f>IF(H260="*","*",IF(_xlfn.XLOOKUP($H260,'TRA TECH'!$J:$J,'TRA TECH'!AE:AE)="","",_xlfn.XLOOKUP($H260,'TRA TECH'!$J:$J,'TRA TECH'!AE:AE)))</f>
        <v>*</v>
      </c>
      <c r="AD260" s="15" t="str">
        <f>IF(H260="*","*",IF(_xlfn.XLOOKUP($H260,'TRA TECH'!$J:$J,'TRA TECH'!AF:AF)="","",_xlfn.XLOOKUP($H260,'TRA TECH'!$J:$J,'TRA TECH'!AF:AF)))</f>
        <v>*</v>
      </c>
      <c r="AE260" s="15" t="str">
        <f>IF(H260="*","*",IF(_xlfn.XLOOKUP($H260,'TRA TECH'!$J:$J,'TRA TECH'!AG:AG)="","",_xlfn.XLOOKUP($H260,'TRA TECH'!$J:$J,'TRA TECH'!AG:AG)))</f>
        <v>*</v>
      </c>
      <c r="AF260" s="15" t="str">
        <f>IF(H260="*","*",IF(_xlfn.XLOOKUP($H260,'TRA TECH'!$J:$J,'TRA TECH'!AH:AH)="","",_xlfn.XLOOKUP($H260,'TRA TECH'!$J:$J,'TRA TECH'!AH:AH)))</f>
        <v>*</v>
      </c>
      <c r="AG260" s="15" t="str">
        <f>IF(H260="*","*",IF(_xlfn.XLOOKUP($H260,'TRA TECH'!$J:$J,'TRA TECH'!AI:AI)="","",_xlfn.XLOOKUP($H260,'TRA TECH'!$J:$J,'TRA TECH'!AI:AI)))</f>
        <v>*</v>
      </c>
      <c r="AH260" s="15" t="str">
        <f>IF(H260="*","*",IF(_xlfn.XLOOKUP($H260,'TRA TECH'!$J:$J,'TRA TECH'!AJ:AJ)="","",_xlfn.XLOOKUP($H260,'TRA TECH'!$J:$J,'TRA TECH'!AJ:AJ)))</f>
        <v>*</v>
      </c>
      <c r="AI260" s="15" t="str">
        <f>IF(H260="*","*",IF(_xlfn.XLOOKUP($H260,'TRA TECH'!$J:$J,'TRA TECH'!AK:AK)="","",_xlfn.XLOOKUP($H260,'TRA TECH'!$J:$J,'TRA TECH'!AK:AK)))</f>
        <v>*</v>
      </c>
      <c r="AJ260" s="15" t="str">
        <f t="shared" si="19"/>
        <v>*</v>
      </c>
      <c r="AK260" s="16" t="str">
        <f t="shared" si="20"/>
        <v>*</v>
      </c>
    </row>
    <row r="261" spans="2:37" x14ac:dyDescent="0.25">
      <c r="B261" t="str">
        <f>IF('TRA TECH'!M257=0,"*",IF('TRA TECH'!H257="","*",'TRA TECH'!J257))</f>
        <v>TRAPASOBUPHEVDSL20</v>
      </c>
      <c r="C261" t="str">
        <f>IF('TRA TECH'!M257=0,"*",'TRA TECH'!H257)</f>
        <v>TRABDS</v>
      </c>
      <c r="D261" t="s">
        <v>424</v>
      </c>
      <c r="E261" s="9">
        <f>'TRA TECH'!P257</f>
        <v>0.1</v>
      </c>
      <c r="H261" t="str">
        <f>IF('TRA TECH'!M257=1,IF('TRA TECH'!L257=1,'TRA TECH'!J257,"*"),"*")</f>
        <v>*</v>
      </c>
      <c r="I261" t="str">
        <f>IF(H261="*","*",_xlfn.XLOOKUP(H261,'TRA TECH'!J:J,'TRA TECH'!I:I))</f>
        <v>*</v>
      </c>
      <c r="J261" t="str">
        <f>IF(H261="*","*",_xlfn.XLOOKUP(H261,'TRA TECH'!J:J,'TRA TECH'!N:N))</f>
        <v>*</v>
      </c>
      <c r="K261" s="15" t="str">
        <f>IF(H261="*","*",IF(_xlfn.XLOOKUP(H261,'TRA TECH'!J:J,'TRA TECH'!O:O)="","",_xlfn.XLOOKUP(H261,'TRA TECH'!J:J,'TRA TECH'!O:O)))</f>
        <v>*</v>
      </c>
      <c r="L261" t="str">
        <f t="shared" si="16"/>
        <v>*</v>
      </c>
      <c r="M261" t="str">
        <f>IF(H261="*","*",IF(_xlfn.XLOOKUP($H261,'TRA TECH'!$J:$J,'TRA TECH'!Q:Q)="","",_xlfn.XLOOKUP($H261,'TRA TECH'!$J:$J,'TRA TECH'!Q:Q)))</f>
        <v>*</v>
      </c>
      <c r="N261" t="str">
        <f>IF(H261="*","*",IF(_xlfn.XLOOKUP($H261,'TRA TECH'!$J:$J,'TRA TECH'!R:R)="","",_xlfn.XLOOKUP($H261,'TRA TECH'!$J:$J,'TRA TECH'!R:R)))</f>
        <v>*</v>
      </c>
      <c r="O261" t="str">
        <f>IF(H261="*","*",IF(_xlfn.XLOOKUP($H261,'TRA TECH'!$J:$J,'TRA TECH'!S:S)="","",_xlfn.XLOOKUP($H261,'TRA TECH'!$J:$J,'TRA TECH'!S:S)))</f>
        <v>*</v>
      </c>
      <c r="P261" t="str">
        <f>IF(H261="*","*",IF(_xlfn.XLOOKUP($H261,'TRA TECH'!$J:$J,'TRA TECH'!T:T)="","",_xlfn.XLOOKUP($H261,'TRA TECH'!$J:$J,'TRA TECH'!T:T)))</f>
        <v>*</v>
      </c>
      <c r="Q261" t="str">
        <f>IF(H261="*","*",IF(_xlfn.XLOOKUP($H261,'TRA TECH'!$J:$J,'TRA TECH'!U:U)="","",_xlfn.XLOOKUP($H261,'TRA TECH'!$J:$J,'TRA TECH'!U:U)))</f>
        <v>*</v>
      </c>
      <c r="R261" t="str">
        <f>IF(H261="*","*",IF(_xlfn.XLOOKUP($H261,'TRA TECH'!$J:$J,'TRA TECH'!V:V)="","",_xlfn.XLOOKUP($H261,'TRA TECH'!$J:$J,'TRA TECH'!V:V)))</f>
        <v>*</v>
      </c>
      <c r="S261" t="str">
        <f>IF(H261="*","*",IF(_xlfn.XLOOKUP($H261,'TRA TECH'!$J:$J,'TRA TECH'!W:W)="","",_xlfn.XLOOKUP($H261,'TRA TECH'!$J:$J,'TRA TECH'!W:W)))</f>
        <v>*</v>
      </c>
      <c r="T261" t="str">
        <f t="shared" si="17"/>
        <v>*</v>
      </c>
      <c r="U261" t="str">
        <f>IF(H261="*","*",IF(_xlfn.XLOOKUP($H261,'TRA TECH'!$J:$J,'TRA TECH'!X:X)="","",_xlfn.XLOOKUP($H261,'TRA TECH'!$J:$J,'TRA TECH'!X:X)))</f>
        <v>*</v>
      </c>
      <c r="V261" t="str">
        <f>IF(H261="*","*",IF(_xlfn.XLOOKUP($H261,'TRA TECH'!$J:$J,'TRA TECH'!Y:Y)="","",_xlfn.XLOOKUP($H261,'TRA TECH'!$J:$J,'TRA TECH'!Y:Y)))</f>
        <v>*</v>
      </c>
      <c r="W261" t="str">
        <f>IF(H261="*","*",IF(_xlfn.XLOOKUP($H261,'TRA TECH'!$J:$J,'TRA TECH'!Z:Z)="","",_xlfn.XLOOKUP($H261,'TRA TECH'!$J:$J,'TRA TECH'!Z:Z)))</f>
        <v>*</v>
      </c>
      <c r="X261" t="str">
        <f>IF(H261="*","*",IF(_xlfn.XLOOKUP($H261,'TRA TECH'!$J:$J,'TRA TECH'!AA:AA)="","",_xlfn.XLOOKUP($H261,'TRA TECH'!$J:$J,'TRA TECH'!AA:AA)))</f>
        <v>*</v>
      </c>
      <c r="Y261" t="str">
        <f>IF(H261="*","*",IF(_xlfn.XLOOKUP($H261,'TRA TECH'!$J:$J,'TRA TECH'!AB:AB)="","",_xlfn.XLOOKUP($H261,'TRA TECH'!$J:$J,'TRA TECH'!AB:AB)))</f>
        <v>*</v>
      </c>
      <c r="Z261" t="str">
        <f>IF(H261="*","*",IF(_xlfn.XLOOKUP($H261,'TRA TECH'!$J:$J,'TRA TECH'!AC:AC)="","",_xlfn.XLOOKUP($H261,'TRA TECH'!$J:$J,'TRA TECH'!AC:AC)))</f>
        <v>*</v>
      </c>
      <c r="AA261" t="str">
        <f>IF(H261="*","*",IF(_xlfn.XLOOKUP($H261,'TRA TECH'!$J:$J,'TRA TECH'!AD:AD)="","",_xlfn.XLOOKUP($H261,'TRA TECH'!$J:$J,'TRA TECH'!AD:AD)))</f>
        <v>*</v>
      </c>
      <c r="AB261" t="str">
        <f t="shared" si="18"/>
        <v>*</v>
      </c>
      <c r="AC261" s="15" t="str">
        <f>IF(H261="*","*",IF(_xlfn.XLOOKUP($H261,'TRA TECH'!$J:$J,'TRA TECH'!AE:AE)="","",_xlfn.XLOOKUP($H261,'TRA TECH'!$J:$J,'TRA TECH'!AE:AE)))</f>
        <v>*</v>
      </c>
      <c r="AD261" s="15" t="str">
        <f>IF(H261="*","*",IF(_xlfn.XLOOKUP($H261,'TRA TECH'!$J:$J,'TRA TECH'!AF:AF)="","",_xlfn.XLOOKUP($H261,'TRA TECH'!$J:$J,'TRA TECH'!AF:AF)))</f>
        <v>*</v>
      </c>
      <c r="AE261" s="15" t="str">
        <f>IF(H261="*","*",IF(_xlfn.XLOOKUP($H261,'TRA TECH'!$J:$J,'TRA TECH'!AG:AG)="","",_xlfn.XLOOKUP($H261,'TRA TECH'!$J:$J,'TRA TECH'!AG:AG)))</f>
        <v>*</v>
      </c>
      <c r="AF261" s="15" t="str">
        <f>IF(H261="*","*",IF(_xlfn.XLOOKUP($H261,'TRA TECH'!$J:$J,'TRA TECH'!AH:AH)="","",_xlfn.XLOOKUP($H261,'TRA TECH'!$J:$J,'TRA TECH'!AH:AH)))</f>
        <v>*</v>
      </c>
      <c r="AG261" s="15" t="str">
        <f>IF(H261="*","*",IF(_xlfn.XLOOKUP($H261,'TRA TECH'!$J:$J,'TRA TECH'!AI:AI)="","",_xlfn.XLOOKUP($H261,'TRA TECH'!$J:$J,'TRA TECH'!AI:AI)))</f>
        <v>*</v>
      </c>
      <c r="AH261" s="15" t="str">
        <f>IF(H261="*","*",IF(_xlfn.XLOOKUP($H261,'TRA TECH'!$J:$J,'TRA TECH'!AJ:AJ)="","",_xlfn.XLOOKUP($H261,'TRA TECH'!$J:$J,'TRA TECH'!AJ:AJ)))</f>
        <v>*</v>
      </c>
      <c r="AI261" s="15" t="str">
        <f>IF(H261="*","*",IF(_xlfn.XLOOKUP($H261,'TRA TECH'!$J:$J,'TRA TECH'!AK:AK)="","",_xlfn.XLOOKUP($H261,'TRA TECH'!$J:$J,'TRA TECH'!AK:AK)))</f>
        <v>*</v>
      </c>
      <c r="AJ261" s="15" t="str">
        <f t="shared" si="19"/>
        <v>*</v>
      </c>
      <c r="AK261" s="16" t="str">
        <f t="shared" si="20"/>
        <v>*</v>
      </c>
    </row>
    <row r="262" spans="2:37" x14ac:dyDescent="0.25">
      <c r="B262" t="str">
        <f>IF('TRA TECH'!M258=0,"*",IF('TRA TECH'!H258="","*",'TRA TECH'!J258))</f>
        <v>TRAPASOBUPHEVDSL20</v>
      </c>
      <c r="C262" t="str">
        <f>IF('TRA TECH'!M258=0,"*",'TRA TECH'!H258)</f>
        <v>TRABAF</v>
      </c>
      <c r="D262" t="s">
        <v>424</v>
      </c>
      <c r="E262" s="9">
        <f>'TRA TECH'!P258</f>
        <v>0.69047619047618847</v>
      </c>
      <c r="H262" t="str">
        <f>IF('TRA TECH'!M258=1,IF('TRA TECH'!L258=1,'TRA TECH'!J258,"*"),"*")</f>
        <v>*</v>
      </c>
      <c r="I262" t="str">
        <f>IF(H262="*","*",_xlfn.XLOOKUP(H262,'TRA TECH'!J:J,'TRA TECH'!I:I))</f>
        <v>*</v>
      </c>
      <c r="J262" t="str">
        <f>IF(H262="*","*",_xlfn.XLOOKUP(H262,'TRA TECH'!J:J,'TRA TECH'!N:N))</f>
        <v>*</v>
      </c>
      <c r="K262" s="15" t="str">
        <f>IF(H262="*","*",IF(_xlfn.XLOOKUP(H262,'TRA TECH'!J:J,'TRA TECH'!O:O)="","",_xlfn.XLOOKUP(H262,'TRA TECH'!J:J,'TRA TECH'!O:O)))</f>
        <v>*</v>
      </c>
      <c r="L262" t="str">
        <f t="shared" si="16"/>
        <v>*</v>
      </c>
      <c r="M262" t="str">
        <f>IF(H262="*","*",IF(_xlfn.XLOOKUP($H262,'TRA TECH'!$J:$J,'TRA TECH'!Q:Q)="","",_xlfn.XLOOKUP($H262,'TRA TECH'!$J:$J,'TRA TECH'!Q:Q)))</f>
        <v>*</v>
      </c>
      <c r="N262" t="str">
        <f>IF(H262="*","*",IF(_xlfn.XLOOKUP($H262,'TRA TECH'!$J:$J,'TRA TECH'!R:R)="","",_xlfn.XLOOKUP($H262,'TRA TECH'!$J:$J,'TRA TECH'!R:R)))</f>
        <v>*</v>
      </c>
      <c r="O262" t="str">
        <f>IF(H262="*","*",IF(_xlfn.XLOOKUP($H262,'TRA TECH'!$J:$J,'TRA TECH'!S:S)="","",_xlfn.XLOOKUP($H262,'TRA TECH'!$J:$J,'TRA TECH'!S:S)))</f>
        <v>*</v>
      </c>
      <c r="P262" t="str">
        <f>IF(H262="*","*",IF(_xlfn.XLOOKUP($H262,'TRA TECH'!$J:$J,'TRA TECH'!T:T)="","",_xlfn.XLOOKUP($H262,'TRA TECH'!$J:$J,'TRA TECH'!T:T)))</f>
        <v>*</v>
      </c>
      <c r="Q262" t="str">
        <f>IF(H262="*","*",IF(_xlfn.XLOOKUP($H262,'TRA TECH'!$J:$J,'TRA TECH'!U:U)="","",_xlfn.XLOOKUP($H262,'TRA TECH'!$J:$J,'TRA TECH'!U:U)))</f>
        <v>*</v>
      </c>
      <c r="R262" t="str">
        <f>IF(H262="*","*",IF(_xlfn.XLOOKUP($H262,'TRA TECH'!$J:$J,'TRA TECH'!V:V)="","",_xlfn.XLOOKUP($H262,'TRA TECH'!$J:$J,'TRA TECH'!V:V)))</f>
        <v>*</v>
      </c>
      <c r="S262" t="str">
        <f>IF(H262="*","*",IF(_xlfn.XLOOKUP($H262,'TRA TECH'!$J:$J,'TRA TECH'!W:W)="","",_xlfn.XLOOKUP($H262,'TRA TECH'!$J:$J,'TRA TECH'!W:W)))</f>
        <v>*</v>
      </c>
      <c r="T262" t="str">
        <f t="shared" si="17"/>
        <v>*</v>
      </c>
      <c r="U262" t="str">
        <f>IF(H262="*","*",IF(_xlfn.XLOOKUP($H262,'TRA TECH'!$J:$J,'TRA TECH'!X:X)="","",_xlfn.XLOOKUP($H262,'TRA TECH'!$J:$J,'TRA TECH'!X:X)))</f>
        <v>*</v>
      </c>
      <c r="V262" t="str">
        <f>IF(H262="*","*",IF(_xlfn.XLOOKUP($H262,'TRA TECH'!$J:$J,'TRA TECH'!Y:Y)="","",_xlfn.XLOOKUP($H262,'TRA TECH'!$J:$J,'TRA TECH'!Y:Y)))</f>
        <v>*</v>
      </c>
      <c r="W262" t="str">
        <f>IF(H262="*","*",IF(_xlfn.XLOOKUP($H262,'TRA TECH'!$J:$J,'TRA TECH'!Z:Z)="","",_xlfn.XLOOKUP($H262,'TRA TECH'!$J:$J,'TRA TECH'!Z:Z)))</f>
        <v>*</v>
      </c>
      <c r="X262" t="str">
        <f>IF(H262="*","*",IF(_xlfn.XLOOKUP($H262,'TRA TECH'!$J:$J,'TRA TECH'!AA:AA)="","",_xlfn.XLOOKUP($H262,'TRA TECH'!$J:$J,'TRA TECH'!AA:AA)))</f>
        <v>*</v>
      </c>
      <c r="Y262" t="str">
        <f>IF(H262="*","*",IF(_xlfn.XLOOKUP($H262,'TRA TECH'!$J:$J,'TRA TECH'!AB:AB)="","",_xlfn.XLOOKUP($H262,'TRA TECH'!$J:$J,'TRA TECH'!AB:AB)))</f>
        <v>*</v>
      </c>
      <c r="Z262" t="str">
        <f>IF(H262="*","*",IF(_xlfn.XLOOKUP($H262,'TRA TECH'!$J:$J,'TRA TECH'!AC:AC)="","",_xlfn.XLOOKUP($H262,'TRA TECH'!$J:$J,'TRA TECH'!AC:AC)))</f>
        <v>*</v>
      </c>
      <c r="AA262" t="str">
        <f>IF(H262="*","*",IF(_xlfn.XLOOKUP($H262,'TRA TECH'!$J:$J,'TRA TECH'!AD:AD)="","",_xlfn.XLOOKUP($H262,'TRA TECH'!$J:$J,'TRA TECH'!AD:AD)))</f>
        <v>*</v>
      </c>
      <c r="AB262" t="str">
        <f t="shared" si="18"/>
        <v>*</v>
      </c>
      <c r="AC262" s="15" t="str">
        <f>IF(H262="*","*",IF(_xlfn.XLOOKUP($H262,'TRA TECH'!$J:$J,'TRA TECH'!AE:AE)="","",_xlfn.XLOOKUP($H262,'TRA TECH'!$J:$J,'TRA TECH'!AE:AE)))</f>
        <v>*</v>
      </c>
      <c r="AD262" s="15" t="str">
        <f>IF(H262="*","*",IF(_xlfn.XLOOKUP($H262,'TRA TECH'!$J:$J,'TRA TECH'!AF:AF)="","",_xlfn.XLOOKUP($H262,'TRA TECH'!$J:$J,'TRA TECH'!AF:AF)))</f>
        <v>*</v>
      </c>
      <c r="AE262" s="15" t="str">
        <f>IF(H262="*","*",IF(_xlfn.XLOOKUP($H262,'TRA TECH'!$J:$J,'TRA TECH'!AG:AG)="","",_xlfn.XLOOKUP($H262,'TRA TECH'!$J:$J,'TRA TECH'!AG:AG)))</f>
        <v>*</v>
      </c>
      <c r="AF262" s="15" t="str">
        <f>IF(H262="*","*",IF(_xlfn.XLOOKUP($H262,'TRA TECH'!$J:$J,'TRA TECH'!AH:AH)="","",_xlfn.XLOOKUP($H262,'TRA TECH'!$J:$J,'TRA TECH'!AH:AH)))</f>
        <v>*</v>
      </c>
      <c r="AG262" s="15" t="str">
        <f>IF(H262="*","*",IF(_xlfn.XLOOKUP($H262,'TRA TECH'!$J:$J,'TRA TECH'!AI:AI)="","",_xlfn.XLOOKUP($H262,'TRA TECH'!$J:$J,'TRA TECH'!AI:AI)))</f>
        <v>*</v>
      </c>
      <c r="AH262" s="15" t="str">
        <f>IF(H262="*","*",IF(_xlfn.XLOOKUP($H262,'TRA TECH'!$J:$J,'TRA TECH'!AJ:AJ)="","",_xlfn.XLOOKUP($H262,'TRA TECH'!$J:$J,'TRA TECH'!AJ:AJ)))</f>
        <v>*</v>
      </c>
      <c r="AI262" s="15" t="str">
        <f>IF(H262="*","*",IF(_xlfn.XLOOKUP($H262,'TRA TECH'!$J:$J,'TRA TECH'!AK:AK)="","",_xlfn.XLOOKUP($H262,'TRA TECH'!$J:$J,'TRA TECH'!AK:AK)))</f>
        <v>*</v>
      </c>
      <c r="AJ262" s="15" t="str">
        <f t="shared" si="19"/>
        <v>*</v>
      </c>
      <c r="AK262" s="16" t="str">
        <f t="shared" si="20"/>
        <v>*</v>
      </c>
    </row>
    <row r="263" spans="2:37" x14ac:dyDescent="0.25">
      <c r="B263" t="str">
        <f>IF('TRA TECH'!M259=0,"*",IF('TRA TECH'!H259="","*",'TRA TECH'!J259))</f>
        <v>TRAPASOBUFCEV20</v>
      </c>
      <c r="C263" t="str">
        <f>IF('TRA TECH'!M259=0,"*",'TRA TECH'!H259)</f>
        <v>TRAH2G</v>
      </c>
      <c r="D263" t="s">
        <v>424</v>
      </c>
      <c r="E263" s="9">
        <f>'TRA TECH'!P259</f>
        <v>1</v>
      </c>
      <c r="H263" t="str">
        <f>IF('TRA TECH'!M259=1,IF('TRA TECH'!L259=1,'TRA TECH'!J259,"*"),"*")</f>
        <v>TRAPASOBUFCEV20</v>
      </c>
      <c r="I263" t="str">
        <f>IF(H263="*","*",_xlfn.XLOOKUP(H263,'TRA TECH'!J:J,'TRA TECH'!I:I))</f>
        <v>TRAPASOBUDMD</v>
      </c>
      <c r="J263">
        <f>IF(H263="*","*",_xlfn.XLOOKUP(H263,'TRA TECH'!J:J,'TRA TECH'!N:N))</f>
        <v>2020</v>
      </c>
      <c r="K263" s="15">
        <f>IF(H263="*","*",IF(_xlfn.XLOOKUP(H263,'TRA TECH'!J:J,'TRA TECH'!O:O)="","",_xlfn.XLOOKUP(H263,'TRA TECH'!J:J,'TRA TECH'!O:O)))</f>
        <v>4.6576618537494188</v>
      </c>
      <c r="L263">
        <f t="shared" ref="L263:L323" si="21">IF(H263="*","*",1)</f>
        <v>1</v>
      </c>
      <c r="M263">
        <f>IF(H263="*","*",IF(_xlfn.XLOOKUP($H263,'TRA TECH'!$J:$J,'TRA TECH'!Q:Q)="","",_xlfn.XLOOKUP($H263,'TRA TECH'!$J:$J,'TRA TECH'!Q:Q)))</f>
        <v>0.20030575667655801</v>
      </c>
      <c r="N263">
        <f>IF(H263="*","*",IF(_xlfn.XLOOKUP($H263,'TRA TECH'!$J:$J,'TRA TECH'!R:R)="","",_xlfn.XLOOKUP($H263,'TRA TECH'!$J:$J,'TRA TECH'!R:R)))</f>
        <v>0.20030575667655801</v>
      </c>
      <c r="O263">
        <f>IF(H263="*","*",IF(_xlfn.XLOOKUP($H263,'TRA TECH'!$J:$J,'TRA TECH'!S:S)="","",_xlfn.XLOOKUP($H263,'TRA TECH'!$J:$J,'TRA TECH'!S:S)))</f>
        <v>0.22020367952522271</v>
      </c>
      <c r="P263">
        <f>IF(H263="*","*",IF(_xlfn.XLOOKUP($H263,'TRA TECH'!$J:$J,'TRA TECH'!T:T)="","",_xlfn.XLOOKUP($H263,'TRA TECH'!$J:$J,'TRA TECH'!T:T)))</f>
        <v>0.24142813056379819</v>
      </c>
      <c r="Q263">
        <f>IF(H263="*","*",IF(_xlfn.XLOOKUP($H263,'TRA TECH'!$J:$J,'TRA TECH'!U:U)="","",_xlfn.XLOOKUP($H263,'TRA TECH'!$J:$J,'TRA TECH'!U:U)))</f>
        <v>0.25071382789317492</v>
      </c>
      <c r="R263">
        <f>IF(H263="*","*",IF(_xlfn.XLOOKUP($H263,'TRA TECH'!$J:$J,'TRA TECH'!V:V)="","",_xlfn.XLOOKUP($H263,'TRA TECH'!$J:$J,'TRA TECH'!V:V)))</f>
        <v>0.26132605341246301</v>
      </c>
      <c r="S263">
        <f>IF(H263="*","*",IF(_xlfn.XLOOKUP($H263,'TRA TECH'!$J:$J,'TRA TECH'!W:W)="","",_xlfn.XLOOKUP($H263,'TRA TECH'!$J:$J,'TRA TECH'!W:W)))</f>
        <v>0.27061175074183957</v>
      </c>
      <c r="T263">
        <f t="shared" ref="T263:T326" si="22">IF(H263="*","*",S263)</f>
        <v>0.27061175074183957</v>
      </c>
      <c r="U263">
        <f>IF(H263="*","*",IF(_xlfn.XLOOKUP($H263,'TRA TECH'!$J:$J,'TRA TECH'!X:X)="","",_xlfn.XLOOKUP($H263,'TRA TECH'!$J:$J,'TRA TECH'!X:X)))</f>
        <v>635.89595462439217</v>
      </c>
      <c r="V263">
        <f>IF(H263="*","*",IF(_xlfn.XLOOKUP($H263,'TRA TECH'!$J:$J,'TRA TECH'!Y:Y)="","",_xlfn.XLOOKUP($H263,'TRA TECH'!$J:$J,'TRA TECH'!Y:Y)))</f>
        <v>635.89595462439217</v>
      </c>
      <c r="W263">
        <f>IF(H263="*","*",IF(_xlfn.XLOOKUP($H263,'TRA TECH'!$J:$J,'TRA TECH'!Z:Z)="","",_xlfn.XLOOKUP($H263,'TRA TECH'!$J:$J,'TRA TECH'!Z:Z)))</f>
        <v>598.19742487596693</v>
      </c>
      <c r="X263">
        <f>IF(H263="*","*",IF(_xlfn.XLOOKUP($H263,'TRA TECH'!$J:$J,'TRA TECH'!AA:AA)="","",_xlfn.XLOOKUP($H263,'TRA TECH'!$J:$J,'TRA TECH'!AA:AA)))</f>
        <v>566.18923924051046</v>
      </c>
      <c r="Y263">
        <f>IF(H263="*","*",IF(_xlfn.XLOOKUP($H263,'TRA TECH'!$J:$J,'TRA TECH'!AB:AB)="","",_xlfn.XLOOKUP($H263,'TRA TECH'!$J:$J,'TRA TECH'!AB:AB)))</f>
        <v>553.38596498632808</v>
      </c>
      <c r="Z263">
        <f>IF(H263="*","*",IF(_xlfn.XLOOKUP($H263,'TRA TECH'!$J:$J,'TRA TECH'!AC:AC)="","",_xlfn.XLOOKUP($H263,'TRA TECH'!$J:$J,'TRA TECH'!AC:AC)))</f>
        <v>540.58269073214626</v>
      </c>
      <c r="AA263">
        <f>IF(H263="*","*",IF(_xlfn.XLOOKUP($H263,'TRA TECH'!$J:$J,'TRA TECH'!AD:AD)="","",_xlfn.XLOOKUP($H263,'TRA TECH'!$J:$J,'TRA TECH'!AD:AD)))</f>
        <v>527.77941647796388</v>
      </c>
      <c r="AB263">
        <f t="shared" ref="AB263:AB326" si="23">IF(H263="*","*",AA263)</f>
        <v>527.77941647796388</v>
      </c>
      <c r="AC263" s="15">
        <f>IF(H263="*","*",IF(_xlfn.XLOOKUP($H263,'TRA TECH'!$J:$J,'TRA TECH'!AE:AE)="","",_xlfn.XLOOKUP($H263,'TRA TECH'!$J:$J,'TRA TECH'!AE:AE)))</f>
        <v>18.020323995556069</v>
      </c>
      <c r="AD263" s="15">
        <f>IF(H263="*","*",IF(_xlfn.XLOOKUP($H263,'TRA TECH'!$J:$J,'TRA TECH'!AF:AF)="","",_xlfn.XLOOKUP($H263,'TRA TECH'!$J:$J,'TRA TECH'!AF:AF)))</f>
        <v>18.020323995556069</v>
      </c>
      <c r="AE263" s="15">
        <f>IF(H263="*","*",IF(_xlfn.XLOOKUP($H263,'TRA TECH'!$J:$J,'TRA TECH'!AG:AG)="","",_xlfn.XLOOKUP($H263,'TRA TECH'!$J:$J,'TRA TECH'!AG:AG)))</f>
        <v>18.020323995556069</v>
      </c>
      <c r="AF263" s="15">
        <f>IF(H263="*","*",IF(_xlfn.XLOOKUP($H263,'TRA TECH'!$J:$J,'TRA TECH'!AH:AH)="","",_xlfn.XLOOKUP($H263,'TRA TECH'!$J:$J,'TRA TECH'!AH:AH)))</f>
        <v>18.020323995556069</v>
      </c>
      <c r="AG263" s="15">
        <f>IF(H263="*","*",IF(_xlfn.XLOOKUP($H263,'TRA TECH'!$J:$J,'TRA TECH'!AI:AI)="","",_xlfn.XLOOKUP($H263,'TRA TECH'!$J:$J,'TRA TECH'!AI:AI)))</f>
        <v>18.020323995556069</v>
      </c>
      <c r="AH263" s="15">
        <f>IF(H263="*","*",IF(_xlfn.XLOOKUP($H263,'TRA TECH'!$J:$J,'TRA TECH'!AJ:AJ)="","",_xlfn.XLOOKUP($H263,'TRA TECH'!$J:$J,'TRA TECH'!AJ:AJ)))</f>
        <v>18.020323995556069</v>
      </c>
      <c r="AI263" s="15">
        <f>IF(H263="*","*",IF(_xlfn.XLOOKUP($H263,'TRA TECH'!$J:$J,'TRA TECH'!AK:AK)="","",_xlfn.XLOOKUP($H263,'TRA TECH'!$J:$J,'TRA TECH'!AK:AK)))</f>
        <v>18.020323995556069</v>
      </c>
      <c r="AJ263" s="15">
        <f t="shared" ref="AJ263:AJ326" si="24">IF(H263="*","*",AI263)</f>
        <v>18.020323995556069</v>
      </c>
      <c r="AK263" s="16">
        <f t="shared" ref="AK263:AK323" si="25">IF(I263="*","*",IF(ISNUMBER(SEARCH("CNG",H263)),0.3,IF(ISNUMBER(SEARCH("BEV",H263)),0.4,IF(ISNUMBER(SEARCH("HEV",H263)),0.25,IF(ISNUMBER(SEARCH("FCEV",H263)),0.4,0.1)))))</f>
        <v>0.4</v>
      </c>
    </row>
    <row r="264" spans="2:37" x14ac:dyDescent="0.25">
      <c r="B264" t="str">
        <f>IF('TRA TECH'!M260=0,"*",IF('TRA TECH'!H260="","*",'TRA TECH'!J260))</f>
        <v>TRAPASOBUFCHEV20</v>
      </c>
      <c r="C264" t="str">
        <f>IF('TRA TECH'!M260=0,"*",'TRA TECH'!H260)</f>
        <v>TRAH2G</v>
      </c>
      <c r="D264" t="s">
        <v>424</v>
      </c>
      <c r="E264" s="9">
        <f>'TRA TECH'!P260</f>
        <v>0.89763779527559173</v>
      </c>
      <c r="H264" t="str">
        <f>IF('TRA TECH'!M260=1,IF('TRA TECH'!L260=1,'TRA TECH'!J260,"*"),"*")</f>
        <v>TRAPASOBUFCHEV20</v>
      </c>
      <c r="I264" t="str">
        <f>IF(H264="*","*",_xlfn.XLOOKUP(H264,'TRA TECH'!J:J,'TRA TECH'!I:I))</f>
        <v>TRAPASOBUDMD</v>
      </c>
      <c r="J264">
        <f>IF(H264="*","*",_xlfn.XLOOKUP(H264,'TRA TECH'!J:J,'TRA TECH'!N:N))</f>
        <v>2020</v>
      </c>
      <c r="K264" s="15">
        <f>IF(H264="*","*",IF(_xlfn.XLOOKUP(H264,'TRA TECH'!J:J,'TRA TECH'!O:O)="","",_xlfn.XLOOKUP(H264,'TRA TECH'!J:J,'TRA TECH'!O:O)))</f>
        <v>4.6576618537494188</v>
      </c>
      <c r="L264">
        <f t="shared" si="21"/>
        <v>1</v>
      </c>
      <c r="M264">
        <f>IF(H264="*","*",IF(_xlfn.XLOOKUP($H264,'TRA TECH'!$J:$J,'TRA TECH'!Q:Q)="","",_xlfn.XLOOKUP($H264,'TRA TECH'!$J:$J,'TRA TECH'!Q:Q)))</f>
        <v>0.2175506231454005</v>
      </c>
      <c r="N264">
        <f>IF(H264="*","*",IF(_xlfn.XLOOKUP($H264,'TRA TECH'!$J:$J,'TRA TECH'!R:R)="","",_xlfn.XLOOKUP($H264,'TRA TECH'!$J:$J,'TRA TECH'!R:R)))</f>
        <v>0.2175506231454005</v>
      </c>
      <c r="O264">
        <f>IF(H264="*","*",IF(_xlfn.XLOOKUP($H264,'TRA TECH'!$J:$J,'TRA TECH'!S:S)="","",_xlfn.XLOOKUP($H264,'TRA TECH'!$J:$J,'TRA TECH'!S:S)))</f>
        <v>0.24010160237388731</v>
      </c>
      <c r="P264">
        <f>IF(H264="*","*",IF(_xlfn.XLOOKUP($H264,'TRA TECH'!$J:$J,'TRA TECH'!T:T)="","",_xlfn.XLOOKUP($H264,'TRA TECH'!$J:$J,'TRA TECH'!T:T)))</f>
        <v>0.25867299703264102</v>
      </c>
      <c r="Q264">
        <f>IF(H264="*","*",IF(_xlfn.XLOOKUP($H264,'TRA TECH'!$J:$J,'TRA TECH'!U:U)="","",_xlfn.XLOOKUP($H264,'TRA TECH'!$J:$J,'TRA TECH'!U:U)))</f>
        <v>0.26663216617210689</v>
      </c>
      <c r="R264">
        <f>IF(H264="*","*",IF(_xlfn.XLOOKUP($H264,'TRA TECH'!$J:$J,'TRA TECH'!V:V)="","",_xlfn.XLOOKUP($H264,'TRA TECH'!$J:$J,'TRA TECH'!V:V)))</f>
        <v>0.27591786350148362</v>
      </c>
      <c r="S264">
        <f>IF(H264="*","*",IF(_xlfn.XLOOKUP($H264,'TRA TECH'!$J:$J,'TRA TECH'!W:W)="","",_xlfn.XLOOKUP($H264,'TRA TECH'!$J:$J,'TRA TECH'!W:W)))</f>
        <v>0.28387703264094938</v>
      </c>
      <c r="T264">
        <f t="shared" si="22"/>
        <v>0.28387703264094938</v>
      </c>
      <c r="U264">
        <f>IF(H264="*","*",IF(_xlfn.XLOOKUP($H264,'TRA TECH'!$J:$J,'TRA TECH'!X:X)="","",_xlfn.XLOOKUP($H264,'TRA TECH'!$J:$J,'TRA TECH'!X:X)))</f>
        <v>537.02622566153968</v>
      </c>
      <c r="V264">
        <f>IF(H264="*","*",IF(_xlfn.XLOOKUP($H264,'TRA TECH'!$J:$J,'TRA TECH'!Y:Y)="","",_xlfn.XLOOKUP($H264,'TRA TECH'!$J:$J,'TRA TECH'!Y:Y)))</f>
        <v>537.02622566153968</v>
      </c>
      <c r="W264">
        <f>IF(H264="*","*",IF(_xlfn.XLOOKUP($H264,'TRA TECH'!$J:$J,'TRA TECH'!Z:Z)="","",_xlfn.XLOOKUP($H264,'TRA TECH'!$J:$J,'TRA TECH'!Z:Z)))</f>
        <v>500.03898892723481</v>
      </c>
      <c r="X264">
        <f>IF(H264="*","*",IF(_xlfn.XLOOKUP($H264,'TRA TECH'!$J:$J,'TRA TECH'!AA:AA)="","",_xlfn.XLOOKUP($H264,'TRA TECH'!$J:$J,'TRA TECH'!AA:AA)))</f>
        <v>476.56631946123417</v>
      </c>
      <c r="Y264">
        <f>IF(H264="*","*",IF(_xlfn.XLOOKUP($H264,'TRA TECH'!$J:$J,'TRA TECH'!AB:AB)="","",_xlfn.XLOOKUP($H264,'TRA TECH'!$J:$J,'TRA TECH'!AB:AB)))</f>
        <v>466.60821726353652</v>
      </c>
      <c r="Z264">
        <f>IF(H264="*","*",IF(_xlfn.XLOOKUP($H264,'TRA TECH'!$J:$J,'TRA TECH'!AC:AC)="","",_xlfn.XLOOKUP($H264,'TRA TECH'!$J:$J,'TRA TECH'!AC:AC)))</f>
        <v>456.65011506583892</v>
      </c>
      <c r="AA264">
        <f>IF(H264="*","*",IF(_xlfn.XLOOKUP($H264,'TRA TECH'!$J:$J,'TRA TECH'!AD:AD)="","",_xlfn.XLOOKUP($H264,'TRA TECH'!$J:$J,'TRA TECH'!AD:AD)))</f>
        <v>446.69201286814172</v>
      </c>
      <c r="AB264">
        <f t="shared" si="23"/>
        <v>446.69201286814172</v>
      </c>
      <c r="AC264" s="15">
        <f>IF(H264="*","*",IF(_xlfn.XLOOKUP($H264,'TRA TECH'!$J:$J,'TRA TECH'!AE:AE)="","",_xlfn.XLOOKUP($H264,'TRA TECH'!$J:$J,'TRA TECH'!AE:AE)))</f>
        <v>18.020323995556069</v>
      </c>
      <c r="AD264" s="15">
        <f>IF(H264="*","*",IF(_xlfn.XLOOKUP($H264,'TRA TECH'!$J:$J,'TRA TECH'!AF:AF)="","",_xlfn.XLOOKUP($H264,'TRA TECH'!$J:$J,'TRA TECH'!AF:AF)))</f>
        <v>18.020323995556069</v>
      </c>
      <c r="AE264" s="15">
        <f>IF(H264="*","*",IF(_xlfn.XLOOKUP($H264,'TRA TECH'!$J:$J,'TRA TECH'!AG:AG)="","",_xlfn.XLOOKUP($H264,'TRA TECH'!$J:$J,'TRA TECH'!AG:AG)))</f>
        <v>18.020323995556069</v>
      </c>
      <c r="AF264" s="15">
        <f>IF(H264="*","*",IF(_xlfn.XLOOKUP($H264,'TRA TECH'!$J:$J,'TRA TECH'!AH:AH)="","",_xlfn.XLOOKUP($H264,'TRA TECH'!$J:$J,'TRA TECH'!AH:AH)))</f>
        <v>18.020323995556069</v>
      </c>
      <c r="AG264" s="15">
        <f>IF(H264="*","*",IF(_xlfn.XLOOKUP($H264,'TRA TECH'!$J:$J,'TRA TECH'!AI:AI)="","",_xlfn.XLOOKUP($H264,'TRA TECH'!$J:$J,'TRA TECH'!AI:AI)))</f>
        <v>18.020323995556069</v>
      </c>
      <c r="AH264" s="15">
        <f>IF(H264="*","*",IF(_xlfn.XLOOKUP($H264,'TRA TECH'!$J:$J,'TRA TECH'!AJ:AJ)="","",_xlfn.XLOOKUP($H264,'TRA TECH'!$J:$J,'TRA TECH'!AJ:AJ)))</f>
        <v>18.020323995556069</v>
      </c>
      <c r="AI264" s="15">
        <f>IF(H264="*","*",IF(_xlfn.XLOOKUP($H264,'TRA TECH'!$J:$J,'TRA TECH'!AK:AK)="","",_xlfn.XLOOKUP($H264,'TRA TECH'!$J:$J,'TRA TECH'!AK:AK)))</f>
        <v>18.020323995556069</v>
      </c>
      <c r="AJ264" s="15">
        <f t="shared" si="24"/>
        <v>18.020323995556069</v>
      </c>
      <c r="AK264" s="16">
        <f t="shared" si="25"/>
        <v>0.25</v>
      </c>
    </row>
    <row r="265" spans="2:37" x14ac:dyDescent="0.25">
      <c r="B265" t="str">
        <f>IF('TRA TECH'!M261=0,"*",IF('TRA TECH'!H261="","*",'TRA TECH'!J261))</f>
        <v>TRAPASOBUFCHEV20</v>
      </c>
      <c r="C265" t="str">
        <f>IF('TRA TECH'!M261=0,"*",'TRA TECH'!H261)</f>
        <v>TRABAF</v>
      </c>
      <c r="D265" t="s">
        <v>424</v>
      </c>
      <c r="E265" s="9">
        <f>'TRA TECH'!P261</f>
        <v>0.1023622047244083</v>
      </c>
      <c r="H265" t="str">
        <f>IF('TRA TECH'!M261=1,IF('TRA TECH'!L261=1,'TRA TECH'!J261,"*"),"*")</f>
        <v>*</v>
      </c>
      <c r="I265" t="str">
        <f>IF(H265="*","*",_xlfn.XLOOKUP(H265,'TRA TECH'!J:J,'TRA TECH'!I:I))</f>
        <v>*</v>
      </c>
      <c r="J265" t="str">
        <f>IF(H265="*","*",_xlfn.XLOOKUP(H265,'TRA TECH'!J:J,'TRA TECH'!N:N))</f>
        <v>*</v>
      </c>
      <c r="K265" s="15" t="str">
        <f>IF(H265="*","*",IF(_xlfn.XLOOKUP(H265,'TRA TECH'!J:J,'TRA TECH'!O:O)="","",_xlfn.XLOOKUP(H265,'TRA TECH'!J:J,'TRA TECH'!O:O)))</f>
        <v>*</v>
      </c>
      <c r="L265" t="str">
        <f t="shared" si="21"/>
        <v>*</v>
      </c>
      <c r="M265" t="str">
        <f>IF(H265="*","*",IF(_xlfn.XLOOKUP($H265,'TRA TECH'!$J:$J,'TRA TECH'!Q:Q)="","",_xlfn.XLOOKUP($H265,'TRA TECH'!$J:$J,'TRA TECH'!Q:Q)))</f>
        <v>*</v>
      </c>
      <c r="N265" t="str">
        <f>IF(H265="*","*",IF(_xlfn.XLOOKUP($H265,'TRA TECH'!$J:$J,'TRA TECH'!R:R)="","",_xlfn.XLOOKUP($H265,'TRA TECH'!$J:$J,'TRA TECH'!R:R)))</f>
        <v>*</v>
      </c>
      <c r="O265" t="str">
        <f>IF(H265="*","*",IF(_xlfn.XLOOKUP($H265,'TRA TECH'!$J:$J,'TRA TECH'!S:S)="","",_xlfn.XLOOKUP($H265,'TRA TECH'!$J:$J,'TRA TECH'!S:S)))</f>
        <v>*</v>
      </c>
      <c r="P265" t="str">
        <f>IF(H265="*","*",IF(_xlfn.XLOOKUP($H265,'TRA TECH'!$J:$J,'TRA TECH'!T:T)="","",_xlfn.XLOOKUP($H265,'TRA TECH'!$J:$J,'TRA TECH'!T:T)))</f>
        <v>*</v>
      </c>
      <c r="Q265" t="str">
        <f>IF(H265="*","*",IF(_xlfn.XLOOKUP($H265,'TRA TECH'!$J:$J,'TRA TECH'!U:U)="","",_xlfn.XLOOKUP($H265,'TRA TECH'!$J:$J,'TRA TECH'!U:U)))</f>
        <v>*</v>
      </c>
      <c r="R265" t="str">
        <f>IF(H265="*","*",IF(_xlfn.XLOOKUP($H265,'TRA TECH'!$J:$J,'TRA TECH'!V:V)="","",_xlfn.XLOOKUP($H265,'TRA TECH'!$J:$J,'TRA TECH'!V:V)))</f>
        <v>*</v>
      </c>
      <c r="S265" t="str">
        <f>IF(H265="*","*",IF(_xlfn.XLOOKUP($H265,'TRA TECH'!$J:$J,'TRA TECH'!W:W)="","",_xlfn.XLOOKUP($H265,'TRA TECH'!$J:$J,'TRA TECH'!W:W)))</f>
        <v>*</v>
      </c>
      <c r="T265" t="str">
        <f t="shared" si="22"/>
        <v>*</v>
      </c>
      <c r="U265" t="str">
        <f>IF(H265="*","*",IF(_xlfn.XLOOKUP($H265,'TRA TECH'!$J:$J,'TRA TECH'!X:X)="","",_xlfn.XLOOKUP($H265,'TRA TECH'!$J:$J,'TRA TECH'!X:X)))</f>
        <v>*</v>
      </c>
      <c r="V265" t="str">
        <f>IF(H265="*","*",IF(_xlfn.XLOOKUP($H265,'TRA TECH'!$J:$J,'TRA TECH'!Y:Y)="","",_xlfn.XLOOKUP($H265,'TRA TECH'!$J:$J,'TRA TECH'!Y:Y)))</f>
        <v>*</v>
      </c>
      <c r="W265" t="str">
        <f>IF(H265="*","*",IF(_xlfn.XLOOKUP($H265,'TRA TECH'!$J:$J,'TRA TECH'!Z:Z)="","",_xlfn.XLOOKUP($H265,'TRA TECH'!$J:$J,'TRA TECH'!Z:Z)))</f>
        <v>*</v>
      </c>
      <c r="X265" t="str">
        <f>IF(H265="*","*",IF(_xlfn.XLOOKUP($H265,'TRA TECH'!$J:$J,'TRA TECH'!AA:AA)="","",_xlfn.XLOOKUP($H265,'TRA TECH'!$J:$J,'TRA TECH'!AA:AA)))</f>
        <v>*</v>
      </c>
      <c r="Y265" t="str">
        <f>IF(H265="*","*",IF(_xlfn.XLOOKUP($H265,'TRA TECH'!$J:$J,'TRA TECH'!AB:AB)="","",_xlfn.XLOOKUP($H265,'TRA TECH'!$J:$J,'TRA TECH'!AB:AB)))</f>
        <v>*</v>
      </c>
      <c r="Z265" t="str">
        <f>IF(H265="*","*",IF(_xlfn.XLOOKUP($H265,'TRA TECH'!$J:$J,'TRA TECH'!AC:AC)="","",_xlfn.XLOOKUP($H265,'TRA TECH'!$J:$J,'TRA TECH'!AC:AC)))</f>
        <v>*</v>
      </c>
      <c r="AA265" t="str">
        <f>IF(H265="*","*",IF(_xlfn.XLOOKUP($H265,'TRA TECH'!$J:$J,'TRA TECH'!AD:AD)="","",_xlfn.XLOOKUP($H265,'TRA TECH'!$J:$J,'TRA TECH'!AD:AD)))</f>
        <v>*</v>
      </c>
      <c r="AB265" t="str">
        <f t="shared" si="23"/>
        <v>*</v>
      </c>
      <c r="AC265" s="15" t="str">
        <f>IF(H265="*","*",IF(_xlfn.XLOOKUP($H265,'TRA TECH'!$J:$J,'TRA TECH'!AE:AE)="","",_xlfn.XLOOKUP($H265,'TRA TECH'!$J:$J,'TRA TECH'!AE:AE)))</f>
        <v>*</v>
      </c>
      <c r="AD265" s="15" t="str">
        <f>IF(H265="*","*",IF(_xlfn.XLOOKUP($H265,'TRA TECH'!$J:$J,'TRA TECH'!AF:AF)="","",_xlfn.XLOOKUP($H265,'TRA TECH'!$J:$J,'TRA TECH'!AF:AF)))</f>
        <v>*</v>
      </c>
      <c r="AE265" s="15" t="str">
        <f>IF(H265="*","*",IF(_xlfn.XLOOKUP($H265,'TRA TECH'!$J:$J,'TRA TECH'!AG:AG)="","",_xlfn.XLOOKUP($H265,'TRA TECH'!$J:$J,'TRA TECH'!AG:AG)))</f>
        <v>*</v>
      </c>
      <c r="AF265" s="15" t="str">
        <f>IF(H265="*","*",IF(_xlfn.XLOOKUP($H265,'TRA TECH'!$J:$J,'TRA TECH'!AH:AH)="","",_xlfn.XLOOKUP($H265,'TRA TECH'!$J:$J,'TRA TECH'!AH:AH)))</f>
        <v>*</v>
      </c>
      <c r="AG265" s="15" t="str">
        <f>IF(H265="*","*",IF(_xlfn.XLOOKUP($H265,'TRA TECH'!$J:$J,'TRA TECH'!AI:AI)="","",_xlfn.XLOOKUP($H265,'TRA TECH'!$J:$J,'TRA TECH'!AI:AI)))</f>
        <v>*</v>
      </c>
      <c r="AH265" s="15" t="str">
        <f>IF(H265="*","*",IF(_xlfn.XLOOKUP($H265,'TRA TECH'!$J:$J,'TRA TECH'!AJ:AJ)="","",_xlfn.XLOOKUP($H265,'TRA TECH'!$J:$J,'TRA TECH'!AJ:AJ)))</f>
        <v>*</v>
      </c>
      <c r="AI265" s="15" t="str">
        <f>IF(H265="*","*",IF(_xlfn.XLOOKUP($H265,'TRA TECH'!$J:$J,'TRA TECH'!AK:AK)="","",_xlfn.XLOOKUP($H265,'TRA TECH'!$J:$J,'TRA TECH'!AK:AK)))</f>
        <v>*</v>
      </c>
      <c r="AJ265" s="15" t="str">
        <f t="shared" si="24"/>
        <v>*</v>
      </c>
      <c r="AK265" s="16" t="str">
        <f t="shared" si="25"/>
        <v>*</v>
      </c>
    </row>
    <row r="266" spans="2:37" x14ac:dyDescent="0.25">
      <c r="B266" t="str">
        <f>IF('TRA TECH'!M262=0,"*",IF('TRA TECH'!H262="","*",'TRA TECH'!J262))</f>
        <v>TRAPASOBUBEV20</v>
      </c>
      <c r="C266" t="str">
        <f>IF('TRA TECH'!M262=0,"*",'TRA TECH'!H262)</f>
        <v>TRABAF</v>
      </c>
      <c r="D266" t="s">
        <v>424</v>
      </c>
      <c r="E266" s="9">
        <f>'TRA TECH'!P262</f>
        <v>1</v>
      </c>
      <c r="H266" t="str">
        <f>IF('TRA TECH'!M262=1,IF('TRA TECH'!L262=1,'TRA TECH'!J262,"*"),"*")</f>
        <v>TRAPASOBUBEV20</v>
      </c>
      <c r="I266" t="str">
        <f>IF(H266="*","*",_xlfn.XLOOKUP(H266,'TRA TECH'!J:J,'TRA TECH'!I:I))</f>
        <v>TRAPASOBUDMD</v>
      </c>
      <c r="J266">
        <f>IF(H266="*","*",_xlfn.XLOOKUP(H266,'TRA TECH'!J:J,'TRA TECH'!N:N))</f>
        <v>2020</v>
      </c>
      <c r="K266" s="15">
        <f>IF(H266="*","*",IF(_xlfn.XLOOKUP(H266,'TRA TECH'!J:J,'TRA TECH'!O:O)="","",_xlfn.XLOOKUP(H266,'TRA TECH'!J:J,'TRA TECH'!O:O)))</f>
        <v>4.6576618537494188</v>
      </c>
      <c r="L266">
        <f t="shared" si="21"/>
        <v>1</v>
      </c>
      <c r="M266">
        <f>IF(H266="*","*",IF(_xlfn.XLOOKUP($H266,'TRA TECH'!$J:$J,'TRA TECH'!Q:Q)="","",_xlfn.XLOOKUP($H266,'TRA TECH'!$J:$J,'TRA TECH'!Q:Q)))</f>
        <v>0.36877483679525219</v>
      </c>
      <c r="N266">
        <f>IF(H266="*","*",IF(_xlfn.XLOOKUP($H266,'TRA TECH'!$J:$J,'TRA TECH'!R:R)="","",_xlfn.XLOOKUP($H266,'TRA TECH'!$J:$J,'TRA TECH'!R:R)))</f>
        <v>0.36877483679525219</v>
      </c>
      <c r="O266">
        <f>IF(H266="*","*",IF(_xlfn.XLOOKUP($H266,'TRA TECH'!$J:$J,'TRA TECH'!S:S)="","",_xlfn.XLOOKUP($H266,'TRA TECH'!$J:$J,'TRA TECH'!S:S)))</f>
        <v>0.40061151335311579</v>
      </c>
      <c r="P266">
        <f>IF(H266="*","*",IF(_xlfn.XLOOKUP($H266,'TRA TECH'!$J:$J,'TRA TECH'!T:T)="","",_xlfn.XLOOKUP($H266,'TRA TECH'!$J:$J,'TRA TECH'!T:T)))</f>
        <v>0.43510124629080099</v>
      </c>
      <c r="Q266">
        <f>IF(H266="*","*",IF(_xlfn.XLOOKUP($H266,'TRA TECH'!$J:$J,'TRA TECH'!U:U)="","",_xlfn.XLOOKUP($H266,'TRA TECH'!$J:$J,'TRA TECH'!U:U)))</f>
        <v>0.44969305637982182</v>
      </c>
      <c r="R266">
        <f>IF(H266="*","*",IF(_xlfn.XLOOKUP($H266,'TRA TECH'!$J:$J,'TRA TECH'!V:V)="","",_xlfn.XLOOKUP($H266,'TRA TECH'!$J:$J,'TRA TECH'!V:V)))</f>
        <v>0.46428486646884271</v>
      </c>
      <c r="S266">
        <f>IF(H266="*","*",IF(_xlfn.XLOOKUP($H266,'TRA TECH'!$J:$J,'TRA TECH'!W:W)="","",_xlfn.XLOOKUP($H266,'TRA TECH'!$J:$J,'TRA TECH'!W:W)))</f>
        <v>0.48152973293768542</v>
      </c>
      <c r="T266">
        <f t="shared" si="22"/>
        <v>0.48152973293768542</v>
      </c>
      <c r="U266">
        <f>IF(H266="*","*",IF(_xlfn.XLOOKUP($H266,'TRA TECH'!$J:$J,'TRA TECH'!X:X)="","",_xlfn.XLOOKUP($H266,'TRA TECH'!$J:$J,'TRA TECH'!X:X)))</f>
        <v>508.57450509669002</v>
      </c>
      <c r="V266">
        <f>IF(H266="*","*",IF(_xlfn.XLOOKUP($H266,'TRA TECH'!$J:$J,'TRA TECH'!Y:Y)="","",_xlfn.XLOOKUP($H266,'TRA TECH'!$J:$J,'TRA TECH'!Y:Y)))</f>
        <v>508.57450509669002</v>
      </c>
      <c r="W266">
        <f>IF(H266="*","*",IF(_xlfn.XLOOKUP($H266,'TRA TECH'!$J:$J,'TRA TECH'!Z:Z)="","",_xlfn.XLOOKUP($H266,'TRA TECH'!$J:$J,'TRA TECH'!Z:Z)))</f>
        <v>462.34045917880923</v>
      </c>
      <c r="X266">
        <f>IF(H266="*","*",IF(_xlfn.XLOOKUP($H266,'TRA TECH'!$J:$J,'TRA TECH'!AA:AA)="","",_xlfn.XLOOKUP($H266,'TRA TECH'!$J:$J,'TRA TECH'!AA:AA)))</f>
        <v>437.44520368456551</v>
      </c>
      <c r="Y266">
        <f>IF(H266="*","*",IF(_xlfn.XLOOKUP($H266,'TRA TECH'!$J:$J,'TRA TECH'!AB:AB)="","",_xlfn.XLOOKUP($H266,'TRA TECH'!$J:$J,'TRA TECH'!AB:AB)))</f>
        <v>426.06451545862558</v>
      </c>
      <c r="Z266">
        <f>IF(H266="*","*",IF(_xlfn.XLOOKUP($H266,'TRA TECH'!$J:$J,'TRA TECH'!AC:AC)="","",_xlfn.XLOOKUP($H266,'TRA TECH'!$J:$J,'TRA TECH'!AC:AC)))</f>
        <v>414.6838272326857</v>
      </c>
      <c r="AA266">
        <f>IF(H266="*","*",IF(_xlfn.XLOOKUP($H266,'TRA TECH'!$J:$J,'TRA TECH'!AD:AD)="","",_xlfn.XLOOKUP($H266,'TRA TECH'!$J:$J,'TRA TECH'!AD:AD)))</f>
        <v>403.30313900674582</v>
      </c>
      <c r="AB266">
        <f t="shared" si="23"/>
        <v>403.30313900674582</v>
      </c>
      <c r="AC266" s="15">
        <f>IF(H266="*","*",IF(_xlfn.XLOOKUP($H266,'TRA TECH'!$J:$J,'TRA TECH'!AE:AE)="","",_xlfn.XLOOKUP($H266,'TRA TECH'!$J:$J,'TRA TECH'!AE:AE)))</f>
        <v>11.60631037001917</v>
      </c>
      <c r="AD266" s="15">
        <f>IF(H266="*","*",IF(_xlfn.XLOOKUP($H266,'TRA TECH'!$J:$J,'TRA TECH'!AF:AF)="","",_xlfn.XLOOKUP($H266,'TRA TECH'!$J:$J,'TRA TECH'!AF:AF)))</f>
        <v>11.60631037001917</v>
      </c>
      <c r="AE266" s="15">
        <f>IF(H266="*","*",IF(_xlfn.XLOOKUP($H266,'TRA TECH'!$J:$J,'TRA TECH'!AG:AG)="","",_xlfn.XLOOKUP($H266,'TRA TECH'!$J:$J,'TRA TECH'!AG:AG)))</f>
        <v>11.60631037001917</v>
      </c>
      <c r="AF266" s="15">
        <f>IF(H266="*","*",IF(_xlfn.XLOOKUP($H266,'TRA TECH'!$J:$J,'TRA TECH'!AH:AH)="","",_xlfn.XLOOKUP($H266,'TRA TECH'!$J:$J,'TRA TECH'!AH:AH)))</f>
        <v>11.60631037001917</v>
      </c>
      <c r="AG266" s="15">
        <f>IF(H266="*","*",IF(_xlfn.XLOOKUP($H266,'TRA TECH'!$J:$J,'TRA TECH'!AI:AI)="","",_xlfn.XLOOKUP($H266,'TRA TECH'!$J:$J,'TRA TECH'!AI:AI)))</f>
        <v>11.60631037001917</v>
      </c>
      <c r="AH266" s="15">
        <f>IF(H266="*","*",IF(_xlfn.XLOOKUP($H266,'TRA TECH'!$J:$J,'TRA TECH'!AJ:AJ)="","",_xlfn.XLOOKUP($H266,'TRA TECH'!$J:$J,'TRA TECH'!AJ:AJ)))</f>
        <v>11.60631037001917</v>
      </c>
      <c r="AI266" s="15">
        <f>IF(H266="*","*",IF(_xlfn.XLOOKUP($H266,'TRA TECH'!$J:$J,'TRA TECH'!AK:AK)="","",_xlfn.XLOOKUP($H266,'TRA TECH'!$J:$J,'TRA TECH'!AK:AK)))</f>
        <v>11.60631037001917</v>
      </c>
      <c r="AJ266" s="15">
        <f t="shared" si="24"/>
        <v>11.60631037001917</v>
      </c>
      <c r="AK266" s="16">
        <f t="shared" si="25"/>
        <v>0.4</v>
      </c>
    </row>
    <row r="267" spans="2:37" x14ac:dyDescent="0.25">
      <c r="B267" t="str">
        <f>IF('TRA TECH'!M263=0,"*",IF('TRA TECH'!H263="","*",'TRA TECH'!J263))</f>
        <v>TRAOTHOFRICEVDSL20</v>
      </c>
      <c r="C267" t="str">
        <f>IF('TRA TECH'!M263=0,"*",'TRA TECH'!H263)</f>
        <v>TRADSL</v>
      </c>
      <c r="D267" t="s">
        <v>424</v>
      </c>
      <c r="E267" s="9">
        <f>'TRA TECH'!P263</f>
        <v>1</v>
      </c>
      <c r="H267" t="str">
        <f>IF('TRA TECH'!M263=1,IF('TRA TECH'!L263=1,'TRA TECH'!J263,"*"),"*")</f>
        <v>TRAOTHOFRICEVDSL20</v>
      </c>
      <c r="I267" t="str">
        <f>IF(H267="*","*",_xlfn.XLOOKUP(H267,'TRA TECH'!J:J,'TRA TECH'!I:I))</f>
        <v>TRAOTHOFRDMD</v>
      </c>
      <c r="J267">
        <f>IF(H267="*","*",_xlfn.XLOOKUP(H267,'TRA TECH'!J:J,'TRA TECH'!N:N))</f>
        <v>2020</v>
      </c>
      <c r="K267" s="15">
        <f>IF(H267="*","*",IF(_xlfn.XLOOKUP(H267,'TRA TECH'!J:J,'TRA TECH'!O:O)="","",_xlfn.XLOOKUP(H267,'TRA TECH'!J:J,'TRA TECH'!O:O)))</f>
        <v>8</v>
      </c>
      <c r="L267">
        <f t="shared" si="21"/>
        <v>1</v>
      </c>
      <c r="M267">
        <f>IF(H267="*","*",IF(_xlfn.XLOOKUP($H267,'TRA TECH'!$J:$J,'TRA TECH'!Q:Q)="","",_xlfn.XLOOKUP($H267,'TRA TECH'!$J:$J,'TRA TECH'!Q:Q)))</f>
        <v>0.14459157270029679</v>
      </c>
      <c r="N267">
        <f>IF(H267="*","*",IF(_xlfn.XLOOKUP($H267,'TRA TECH'!$J:$J,'TRA TECH'!R:R)="","",_xlfn.XLOOKUP($H267,'TRA TECH'!$J:$J,'TRA TECH'!R:R)))</f>
        <v>0.14459157270029679</v>
      </c>
      <c r="O267">
        <f>IF(H267="*","*",IF(_xlfn.XLOOKUP($H267,'TRA TECH'!$J:$J,'TRA TECH'!S:S)="","",_xlfn.XLOOKUP($H267,'TRA TECH'!$J:$J,'TRA TECH'!S:S)))</f>
        <v>0.1578568545994066</v>
      </c>
      <c r="P267">
        <f>IF(H267="*","*",IF(_xlfn.XLOOKUP($H267,'TRA TECH'!$J:$J,'TRA TECH'!T:T)="","",_xlfn.XLOOKUP($H267,'TRA TECH'!$J:$J,'TRA TECH'!T:T)))</f>
        <v>0.1711221364985164</v>
      </c>
      <c r="Q267">
        <f>IF(H267="*","*",IF(_xlfn.XLOOKUP($H267,'TRA TECH'!$J:$J,'TRA TECH'!U:U)="","",_xlfn.XLOOKUP($H267,'TRA TECH'!$J:$J,'TRA TECH'!U:U)))</f>
        <v>0.1804078338278931</v>
      </c>
      <c r="R267">
        <f>IF(H267="*","*",IF(_xlfn.XLOOKUP($H267,'TRA TECH'!$J:$J,'TRA TECH'!V:V)="","",_xlfn.XLOOKUP($H267,'TRA TECH'!$J:$J,'TRA TECH'!V:V)))</f>
        <v>0.18836700296735909</v>
      </c>
      <c r="S267">
        <f>IF(H267="*","*",IF(_xlfn.XLOOKUP($H267,'TRA TECH'!$J:$J,'TRA TECH'!W:W)="","",_xlfn.XLOOKUP($H267,'TRA TECH'!$J:$J,'TRA TECH'!W:W)))</f>
        <v>0.1963261721068249</v>
      </c>
      <c r="T267">
        <f t="shared" si="22"/>
        <v>0.1963261721068249</v>
      </c>
      <c r="U267">
        <f>IF(H267="*","*",IF(_xlfn.XLOOKUP($H267,'TRA TECH'!$J:$J,'TRA TECH'!X:X)="","",_xlfn.XLOOKUP($H267,'TRA TECH'!$J:$J,'TRA TECH'!X:X)))</f>
        <v>421.08546435977678</v>
      </c>
      <c r="V267">
        <f>IF(H267="*","*",IF(_xlfn.XLOOKUP($H267,'TRA TECH'!$J:$J,'TRA TECH'!Y:Y)="","",_xlfn.XLOOKUP($H267,'TRA TECH'!$J:$J,'TRA TECH'!Y:Y)))</f>
        <v>421.08546435977678</v>
      </c>
      <c r="W267">
        <f>IF(H267="*","*",IF(_xlfn.XLOOKUP($H267,'TRA TECH'!$J:$J,'TRA TECH'!Z:Z)="","",_xlfn.XLOOKUP($H267,'TRA TECH'!$J:$J,'TRA TECH'!Z:Z)))</f>
        <v>423.93063641626179</v>
      </c>
      <c r="X267">
        <f>IF(H267="*","*",IF(_xlfn.XLOOKUP($H267,'TRA TECH'!$J:$J,'TRA TECH'!AA:AA)="","",_xlfn.XLOOKUP($H267,'TRA TECH'!$J:$J,'TRA TECH'!AA:AA)))</f>
        <v>423.21934340214051</v>
      </c>
      <c r="Y267">
        <f>IF(H267="*","*",IF(_xlfn.XLOOKUP($H267,'TRA TECH'!$J:$J,'TRA TECH'!AB:AB)="","",_xlfn.XLOOKUP($H267,'TRA TECH'!$J:$J,'TRA TECH'!AB:AB)))</f>
        <v>423.93063641626179</v>
      </c>
      <c r="Z267">
        <f>IF(H267="*","*",IF(_xlfn.XLOOKUP($H267,'TRA TECH'!$J:$J,'TRA TECH'!AC:AC)="","",_xlfn.XLOOKUP($H267,'TRA TECH'!$J:$J,'TRA TECH'!AC:AC)))</f>
        <v>424.64192943038302</v>
      </c>
      <c r="AA267">
        <f>IF(H267="*","*",IF(_xlfn.XLOOKUP($H267,'TRA TECH'!$J:$J,'TRA TECH'!AD:AD)="","",_xlfn.XLOOKUP($H267,'TRA TECH'!$J:$J,'TRA TECH'!AD:AD)))</f>
        <v>426.06451545862558</v>
      </c>
      <c r="AB267">
        <f t="shared" si="23"/>
        <v>426.06451545862558</v>
      </c>
      <c r="AC267" s="15">
        <f>IF(H267="*","*",IF(_xlfn.XLOOKUP($H267,'TRA TECH'!$J:$J,'TRA TECH'!AE:AE)="","",_xlfn.XLOOKUP($H267,'TRA TECH'!$J:$J,'TRA TECH'!AE:AE)))</f>
        <v>10.491571958288359</v>
      </c>
      <c r="AD267" s="15">
        <f>IF(H267="*","*",IF(_xlfn.XLOOKUP($H267,'TRA TECH'!$J:$J,'TRA TECH'!AF:AF)="","",_xlfn.XLOOKUP($H267,'TRA TECH'!$J:$J,'TRA TECH'!AF:AF)))</f>
        <v>10.491571958288359</v>
      </c>
      <c r="AE267" s="15">
        <f>IF(H267="*","*",IF(_xlfn.XLOOKUP($H267,'TRA TECH'!$J:$J,'TRA TECH'!AG:AG)="","",_xlfn.XLOOKUP($H267,'TRA TECH'!$J:$J,'TRA TECH'!AG:AG)))</f>
        <v>10.491571958288359</v>
      </c>
      <c r="AF267" s="15">
        <f>IF(H267="*","*",IF(_xlfn.XLOOKUP($H267,'TRA TECH'!$J:$J,'TRA TECH'!AH:AH)="","",_xlfn.XLOOKUP($H267,'TRA TECH'!$J:$J,'TRA TECH'!AH:AH)))</f>
        <v>10.491571958288359</v>
      </c>
      <c r="AG267" s="15">
        <f>IF(H267="*","*",IF(_xlfn.XLOOKUP($H267,'TRA TECH'!$J:$J,'TRA TECH'!AI:AI)="","",_xlfn.XLOOKUP($H267,'TRA TECH'!$J:$J,'TRA TECH'!AI:AI)))</f>
        <v>10.491571958288359</v>
      </c>
      <c r="AH267" s="15">
        <f>IF(H267="*","*",IF(_xlfn.XLOOKUP($H267,'TRA TECH'!$J:$J,'TRA TECH'!AJ:AJ)="","",_xlfn.XLOOKUP($H267,'TRA TECH'!$J:$J,'TRA TECH'!AJ:AJ)))</f>
        <v>10.491571958288359</v>
      </c>
      <c r="AI267" s="15">
        <f>IF(H267="*","*",IF(_xlfn.XLOOKUP($H267,'TRA TECH'!$J:$J,'TRA TECH'!AK:AK)="","",_xlfn.XLOOKUP($H267,'TRA TECH'!$J:$J,'TRA TECH'!AK:AK)))</f>
        <v>10.491571958288359</v>
      </c>
      <c r="AJ267" s="15">
        <f t="shared" si="24"/>
        <v>10.491571958288359</v>
      </c>
      <c r="AK267" s="16">
        <f t="shared" si="25"/>
        <v>0.1</v>
      </c>
    </row>
    <row r="268" spans="2:37" x14ac:dyDescent="0.25">
      <c r="B268" t="str">
        <f>IF('TRA TECH'!M264=0,"*",IF('TRA TECH'!H264="","*",'TRA TECH'!J264))</f>
        <v>TRAOTHOFRICEVDSL20</v>
      </c>
      <c r="C268" t="str">
        <f>IF('TRA TECH'!M264=0,"*",'TRA TECH'!H264)</f>
        <v>TRARDS</v>
      </c>
      <c r="D268" t="s">
        <v>424</v>
      </c>
      <c r="E268" s="9">
        <f>'TRA TECH'!P264</f>
        <v>1</v>
      </c>
      <c r="H268" t="str">
        <f>IF('TRA TECH'!M264=1,IF('TRA TECH'!L264=1,'TRA TECH'!J264,"*"),"*")</f>
        <v>*</v>
      </c>
      <c r="I268" t="str">
        <f>IF(H268="*","*",_xlfn.XLOOKUP(H268,'TRA TECH'!J:J,'TRA TECH'!I:I))</f>
        <v>*</v>
      </c>
      <c r="J268" t="str">
        <f>IF(H268="*","*",_xlfn.XLOOKUP(H268,'TRA TECH'!J:J,'TRA TECH'!N:N))</f>
        <v>*</v>
      </c>
      <c r="K268" s="15" t="str">
        <f>IF(H268="*","*",IF(_xlfn.XLOOKUP(H268,'TRA TECH'!J:J,'TRA TECH'!O:O)="","",_xlfn.XLOOKUP(H268,'TRA TECH'!J:J,'TRA TECH'!O:O)))</f>
        <v>*</v>
      </c>
      <c r="L268" t="str">
        <f t="shared" si="21"/>
        <v>*</v>
      </c>
      <c r="M268" t="str">
        <f>IF(H268="*","*",IF(_xlfn.XLOOKUP($H268,'TRA TECH'!$J:$J,'TRA TECH'!Q:Q)="","",_xlfn.XLOOKUP($H268,'TRA TECH'!$J:$J,'TRA TECH'!Q:Q)))</f>
        <v>*</v>
      </c>
      <c r="N268" t="str">
        <f>IF(H268="*","*",IF(_xlfn.XLOOKUP($H268,'TRA TECH'!$J:$J,'TRA TECH'!R:R)="","",_xlfn.XLOOKUP($H268,'TRA TECH'!$J:$J,'TRA TECH'!R:R)))</f>
        <v>*</v>
      </c>
      <c r="O268" t="str">
        <f>IF(H268="*","*",IF(_xlfn.XLOOKUP($H268,'TRA TECH'!$J:$J,'TRA TECH'!S:S)="","",_xlfn.XLOOKUP($H268,'TRA TECH'!$J:$J,'TRA TECH'!S:S)))</f>
        <v>*</v>
      </c>
      <c r="P268" t="str">
        <f>IF(H268="*","*",IF(_xlfn.XLOOKUP($H268,'TRA TECH'!$J:$J,'TRA TECH'!T:T)="","",_xlfn.XLOOKUP($H268,'TRA TECH'!$J:$J,'TRA TECH'!T:T)))</f>
        <v>*</v>
      </c>
      <c r="Q268" t="str">
        <f>IF(H268="*","*",IF(_xlfn.XLOOKUP($H268,'TRA TECH'!$J:$J,'TRA TECH'!U:U)="","",_xlfn.XLOOKUP($H268,'TRA TECH'!$J:$J,'TRA TECH'!U:U)))</f>
        <v>*</v>
      </c>
      <c r="R268" t="str">
        <f>IF(H268="*","*",IF(_xlfn.XLOOKUP($H268,'TRA TECH'!$J:$J,'TRA TECH'!V:V)="","",_xlfn.XLOOKUP($H268,'TRA TECH'!$J:$J,'TRA TECH'!V:V)))</f>
        <v>*</v>
      </c>
      <c r="S268" t="str">
        <f>IF(H268="*","*",IF(_xlfn.XLOOKUP($H268,'TRA TECH'!$J:$J,'TRA TECH'!W:W)="","",_xlfn.XLOOKUP($H268,'TRA TECH'!$J:$J,'TRA TECH'!W:W)))</f>
        <v>*</v>
      </c>
      <c r="T268" t="str">
        <f t="shared" si="22"/>
        <v>*</v>
      </c>
      <c r="U268" t="str">
        <f>IF(H268="*","*",IF(_xlfn.XLOOKUP($H268,'TRA TECH'!$J:$J,'TRA TECH'!X:X)="","",_xlfn.XLOOKUP($H268,'TRA TECH'!$J:$J,'TRA TECH'!X:X)))</f>
        <v>*</v>
      </c>
      <c r="V268" t="str">
        <f>IF(H268="*","*",IF(_xlfn.XLOOKUP($H268,'TRA TECH'!$J:$J,'TRA TECH'!Y:Y)="","",_xlfn.XLOOKUP($H268,'TRA TECH'!$J:$J,'TRA TECH'!Y:Y)))</f>
        <v>*</v>
      </c>
      <c r="W268" t="str">
        <f>IF(H268="*","*",IF(_xlfn.XLOOKUP($H268,'TRA TECH'!$J:$J,'TRA TECH'!Z:Z)="","",_xlfn.XLOOKUP($H268,'TRA TECH'!$J:$J,'TRA TECH'!Z:Z)))</f>
        <v>*</v>
      </c>
      <c r="X268" t="str">
        <f>IF(H268="*","*",IF(_xlfn.XLOOKUP($H268,'TRA TECH'!$J:$J,'TRA TECH'!AA:AA)="","",_xlfn.XLOOKUP($H268,'TRA TECH'!$J:$J,'TRA TECH'!AA:AA)))</f>
        <v>*</v>
      </c>
      <c r="Y268" t="str">
        <f>IF(H268="*","*",IF(_xlfn.XLOOKUP($H268,'TRA TECH'!$J:$J,'TRA TECH'!AB:AB)="","",_xlfn.XLOOKUP($H268,'TRA TECH'!$J:$J,'TRA TECH'!AB:AB)))</f>
        <v>*</v>
      </c>
      <c r="Z268" t="str">
        <f>IF(H268="*","*",IF(_xlfn.XLOOKUP($H268,'TRA TECH'!$J:$J,'TRA TECH'!AC:AC)="","",_xlfn.XLOOKUP($H268,'TRA TECH'!$J:$J,'TRA TECH'!AC:AC)))</f>
        <v>*</v>
      </c>
      <c r="AA268" t="str">
        <f>IF(H268="*","*",IF(_xlfn.XLOOKUP($H268,'TRA TECH'!$J:$J,'TRA TECH'!AD:AD)="","",_xlfn.XLOOKUP($H268,'TRA TECH'!$J:$J,'TRA TECH'!AD:AD)))</f>
        <v>*</v>
      </c>
      <c r="AB268" t="str">
        <f t="shared" si="23"/>
        <v>*</v>
      </c>
      <c r="AC268" s="15" t="str">
        <f>IF(H268="*","*",IF(_xlfn.XLOOKUP($H268,'TRA TECH'!$J:$J,'TRA TECH'!AE:AE)="","",_xlfn.XLOOKUP($H268,'TRA TECH'!$J:$J,'TRA TECH'!AE:AE)))</f>
        <v>*</v>
      </c>
      <c r="AD268" s="15" t="str">
        <f>IF(H268="*","*",IF(_xlfn.XLOOKUP($H268,'TRA TECH'!$J:$J,'TRA TECH'!AF:AF)="","",_xlfn.XLOOKUP($H268,'TRA TECH'!$J:$J,'TRA TECH'!AF:AF)))</f>
        <v>*</v>
      </c>
      <c r="AE268" s="15" t="str">
        <f>IF(H268="*","*",IF(_xlfn.XLOOKUP($H268,'TRA TECH'!$J:$J,'TRA TECH'!AG:AG)="","",_xlfn.XLOOKUP($H268,'TRA TECH'!$J:$J,'TRA TECH'!AG:AG)))</f>
        <v>*</v>
      </c>
      <c r="AF268" s="15" t="str">
        <f>IF(H268="*","*",IF(_xlfn.XLOOKUP($H268,'TRA TECH'!$J:$J,'TRA TECH'!AH:AH)="","",_xlfn.XLOOKUP($H268,'TRA TECH'!$J:$J,'TRA TECH'!AH:AH)))</f>
        <v>*</v>
      </c>
      <c r="AG268" s="15" t="str">
        <f>IF(H268="*","*",IF(_xlfn.XLOOKUP($H268,'TRA TECH'!$J:$J,'TRA TECH'!AI:AI)="","",_xlfn.XLOOKUP($H268,'TRA TECH'!$J:$J,'TRA TECH'!AI:AI)))</f>
        <v>*</v>
      </c>
      <c r="AH268" s="15" t="str">
        <f>IF(H268="*","*",IF(_xlfn.XLOOKUP($H268,'TRA TECH'!$J:$J,'TRA TECH'!AJ:AJ)="","",_xlfn.XLOOKUP($H268,'TRA TECH'!$J:$J,'TRA TECH'!AJ:AJ)))</f>
        <v>*</v>
      </c>
      <c r="AI268" s="15" t="str">
        <f>IF(H268="*","*",IF(_xlfn.XLOOKUP($H268,'TRA TECH'!$J:$J,'TRA TECH'!AK:AK)="","",_xlfn.XLOOKUP($H268,'TRA TECH'!$J:$J,'TRA TECH'!AK:AK)))</f>
        <v>*</v>
      </c>
      <c r="AJ268" s="15" t="str">
        <f t="shared" si="24"/>
        <v>*</v>
      </c>
      <c r="AK268" s="16" t="str">
        <f t="shared" si="25"/>
        <v>*</v>
      </c>
    </row>
    <row r="269" spans="2:37" x14ac:dyDescent="0.25">
      <c r="B269" t="str">
        <f>IF('TRA TECH'!M265=0,"*",IF('TRA TECH'!H265="","*",'TRA TECH'!J265))</f>
        <v>TRAOTHOFRICEVDSL20</v>
      </c>
      <c r="C269" t="str">
        <f>IF('TRA TECH'!M265=0,"*",'TRA TECH'!H265)</f>
        <v>TRABDS</v>
      </c>
      <c r="D269" t="s">
        <v>424</v>
      </c>
      <c r="E269" s="9">
        <f>'TRA TECH'!P265</f>
        <v>0.1</v>
      </c>
      <c r="H269" t="str">
        <f>IF('TRA TECH'!M265=1,IF('TRA TECH'!L265=1,'TRA TECH'!J265,"*"),"*")</f>
        <v>*</v>
      </c>
      <c r="I269" t="str">
        <f>IF(H269="*","*",_xlfn.XLOOKUP(H269,'TRA TECH'!J:J,'TRA TECH'!I:I))</f>
        <v>*</v>
      </c>
      <c r="J269" t="str">
        <f>IF(H269="*","*",_xlfn.XLOOKUP(H269,'TRA TECH'!J:J,'TRA TECH'!N:N))</f>
        <v>*</v>
      </c>
      <c r="K269" s="15" t="str">
        <f>IF(H269="*","*",IF(_xlfn.XLOOKUP(H269,'TRA TECH'!J:J,'TRA TECH'!O:O)="","",_xlfn.XLOOKUP(H269,'TRA TECH'!J:J,'TRA TECH'!O:O)))</f>
        <v>*</v>
      </c>
      <c r="L269" t="str">
        <f t="shared" si="21"/>
        <v>*</v>
      </c>
      <c r="M269" t="str">
        <f>IF(H269="*","*",IF(_xlfn.XLOOKUP($H269,'TRA TECH'!$J:$J,'TRA TECH'!Q:Q)="","",_xlfn.XLOOKUP($H269,'TRA TECH'!$J:$J,'TRA TECH'!Q:Q)))</f>
        <v>*</v>
      </c>
      <c r="N269" t="str">
        <f>IF(H269="*","*",IF(_xlfn.XLOOKUP($H269,'TRA TECH'!$J:$J,'TRA TECH'!R:R)="","",_xlfn.XLOOKUP($H269,'TRA TECH'!$J:$J,'TRA TECH'!R:R)))</f>
        <v>*</v>
      </c>
      <c r="O269" t="str">
        <f>IF(H269="*","*",IF(_xlfn.XLOOKUP($H269,'TRA TECH'!$J:$J,'TRA TECH'!S:S)="","",_xlfn.XLOOKUP($H269,'TRA TECH'!$J:$J,'TRA TECH'!S:S)))</f>
        <v>*</v>
      </c>
      <c r="P269" t="str">
        <f>IF(H269="*","*",IF(_xlfn.XLOOKUP($H269,'TRA TECH'!$J:$J,'TRA TECH'!T:T)="","",_xlfn.XLOOKUP($H269,'TRA TECH'!$J:$J,'TRA TECH'!T:T)))</f>
        <v>*</v>
      </c>
      <c r="Q269" t="str">
        <f>IF(H269="*","*",IF(_xlfn.XLOOKUP($H269,'TRA TECH'!$J:$J,'TRA TECH'!U:U)="","",_xlfn.XLOOKUP($H269,'TRA TECH'!$J:$J,'TRA TECH'!U:U)))</f>
        <v>*</v>
      </c>
      <c r="R269" t="str">
        <f>IF(H269="*","*",IF(_xlfn.XLOOKUP($H269,'TRA TECH'!$J:$J,'TRA TECH'!V:V)="","",_xlfn.XLOOKUP($H269,'TRA TECH'!$J:$J,'TRA TECH'!V:V)))</f>
        <v>*</v>
      </c>
      <c r="S269" t="str">
        <f>IF(H269="*","*",IF(_xlfn.XLOOKUP($H269,'TRA TECH'!$J:$J,'TRA TECH'!W:W)="","",_xlfn.XLOOKUP($H269,'TRA TECH'!$J:$J,'TRA TECH'!W:W)))</f>
        <v>*</v>
      </c>
      <c r="T269" t="str">
        <f t="shared" si="22"/>
        <v>*</v>
      </c>
      <c r="U269" t="str">
        <f>IF(H269="*","*",IF(_xlfn.XLOOKUP($H269,'TRA TECH'!$J:$J,'TRA TECH'!X:X)="","",_xlfn.XLOOKUP($H269,'TRA TECH'!$J:$J,'TRA TECH'!X:X)))</f>
        <v>*</v>
      </c>
      <c r="V269" t="str">
        <f>IF(H269="*","*",IF(_xlfn.XLOOKUP($H269,'TRA TECH'!$J:$J,'TRA TECH'!Y:Y)="","",_xlfn.XLOOKUP($H269,'TRA TECH'!$J:$J,'TRA TECH'!Y:Y)))</f>
        <v>*</v>
      </c>
      <c r="W269" t="str">
        <f>IF(H269="*","*",IF(_xlfn.XLOOKUP($H269,'TRA TECH'!$J:$J,'TRA TECH'!Z:Z)="","",_xlfn.XLOOKUP($H269,'TRA TECH'!$J:$J,'TRA TECH'!Z:Z)))</f>
        <v>*</v>
      </c>
      <c r="X269" t="str">
        <f>IF(H269="*","*",IF(_xlfn.XLOOKUP($H269,'TRA TECH'!$J:$J,'TRA TECH'!AA:AA)="","",_xlfn.XLOOKUP($H269,'TRA TECH'!$J:$J,'TRA TECH'!AA:AA)))</f>
        <v>*</v>
      </c>
      <c r="Y269" t="str">
        <f>IF(H269="*","*",IF(_xlfn.XLOOKUP($H269,'TRA TECH'!$J:$J,'TRA TECH'!AB:AB)="","",_xlfn.XLOOKUP($H269,'TRA TECH'!$J:$J,'TRA TECH'!AB:AB)))</f>
        <v>*</v>
      </c>
      <c r="Z269" t="str">
        <f>IF(H269="*","*",IF(_xlfn.XLOOKUP($H269,'TRA TECH'!$J:$J,'TRA TECH'!AC:AC)="","",_xlfn.XLOOKUP($H269,'TRA TECH'!$J:$J,'TRA TECH'!AC:AC)))</f>
        <v>*</v>
      </c>
      <c r="AA269" t="str">
        <f>IF(H269="*","*",IF(_xlfn.XLOOKUP($H269,'TRA TECH'!$J:$J,'TRA TECH'!AD:AD)="","",_xlfn.XLOOKUP($H269,'TRA TECH'!$J:$J,'TRA TECH'!AD:AD)))</f>
        <v>*</v>
      </c>
      <c r="AB269" t="str">
        <f t="shared" si="23"/>
        <v>*</v>
      </c>
      <c r="AC269" s="15" t="str">
        <f>IF(H269="*","*",IF(_xlfn.XLOOKUP($H269,'TRA TECH'!$J:$J,'TRA TECH'!AE:AE)="","",_xlfn.XLOOKUP($H269,'TRA TECH'!$J:$J,'TRA TECH'!AE:AE)))</f>
        <v>*</v>
      </c>
      <c r="AD269" s="15" t="str">
        <f>IF(H269="*","*",IF(_xlfn.XLOOKUP($H269,'TRA TECH'!$J:$J,'TRA TECH'!AF:AF)="","",_xlfn.XLOOKUP($H269,'TRA TECH'!$J:$J,'TRA TECH'!AF:AF)))</f>
        <v>*</v>
      </c>
      <c r="AE269" s="15" t="str">
        <f>IF(H269="*","*",IF(_xlfn.XLOOKUP($H269,'TRA TECH'!$J:$J,'TRA TECH'!AG:AG)="","",_xlfn.XLOOKUP($H269,'TRA TECH'!$J:$J,'TRA TECH'!AG:AG)))</f>
        <v>*</v>
      </c>
      <c r="AF269" s="15" t="str">
        <f>IF(H269="*","*",IF(_xlfn.XLOOKUP($H269,'TRA TECH'!$J:$J,'TRA TECH'!AH:AH)="","",_xlfn.XLOOKUP($H269,'TRA TECH'!$J:$J,'TRA TECH'!AH:AH)))</f>
        <v>*</v>
      </c>
      <c r="AG269" s="15" t="str">
        <f>IF(H269="*","*",IF(_xlfn.XLOOKUP($H269,'TRA TECH'!$J:$J,'TRA TECH'!AI:AI)="","",_xlfn.XLOOKUP($H269,'TRA TECH'!$J:$J,'TRA TECH'!AI:AI)))</f>
        <v>*</v>
      </c>
      <c r="AH269" s="15" t="str">
        <f>IF(H269="*","*",IF(_xlfn.XLOOKUP($H269,'TRA TECH'!$J:$J,'TRA TECH'!AJ:AJ)="","",_xlfn.XLOOKUP($H269,'TRA TECH'!$J:$J,'TRA TECH'!AJ:AJ)))</f>
        <v>*</v>
      </c>
      <c r="AI269" s="15" t="str">
        <f>IF(H269="*","*",IF(_xlfn.XLOOKUP($H269,'TRA TECH'!$J:$J,'TRA TECH'!AK:AK)="","",_xlfn.XLOOKUP($H269,'TRA TECH'!$J:$J,'TRA TECH'!AK:AK)))</f>
        <v>*</v>
      </c>
      <c r="AJ269" s="15" t="str">
        <f t="shared" si="24"/>
        <v>*</v>
      </c>
      <c r="AK269" s="16" t="str">
        <f t="shared" si="25"/>
        <v>*</v>
      </c>
    </row>
    <row r="270" spans="2:37" x14ac:dyDescent="0.25">
      <c r="B270" t="str">
        <f>IF('TRA TECH'!M266=0,"*",IF('TRA TECH'!H266="","*",'TRA TECH'!J266))</f>
        <v>TRAOTHOFRICEIDSL20</v>
      </c>
      <c r="C270" t="str">
        <f>IF('TRA TECH'!M266=0,"*",'TRA TECH'!H266)</f>
        <v>TRADSL</v>
      </c>
      <c r="D270" t="s">
        <v>424</v>
      </c>
      <c r="E270" s="9">
        <f>'TRA TECH'!P266</f>
        <v>1</v>
      </c>
      <c r="H270" t="str">
        <f>IF('TRA TECH'!M266=1,IF('TRA TECH'!L266=1,'TRA TECH'!J266,"*"),"*")</f>
        <v>TRAOTHOFRICEIDSL20</v>
      </c>
      <c r="I270" t="str">
        <f>IF(H270="*","*",_xlfn.XLOOKUP(H270,'TRA TECH'!J:J,'TRA TECH'!I:I))</f>
        <v>TRAOTHOFRDMD</v>
      </c>
      <c r="J270">
        <f>IF(H270="*","*",_xlfn.XLOOKUP(H270,'TRA TECH'!J:J,'TRA TECH'!N:N))</f>
        <v>2020</v>
      </c>
      <c r="K270" s="15">
        <f>IF(H270="*","*",IF(_xlfn.XLOOKUP(H270,'TRA TECH'!J:J,'TRA TECH'!O:O)="","",_xlfn.XLOOKUP(H270,'TRA TECH'!J:J,'TRA TECH'!O:O)))</f>
        <v>8</v>
      </c>
      <c r="L270">
        <f t="shared" si="21"/>
        <v>1</v>
      </c>
      <c r="M270">
        <f>IF(H270="*","*",IF(_xlfn.XLOOKUP($H270,'TRA TECH'!$J:$J,'TRA TECH'!Q:Q)="","",_xlfn.XLOOKUP($H270,'TRA TECH'!$J:$J,'TRA TECH'!Q:Q)))</f>
        <v>0.14459157270029679</v>
      </c>
      <c r="N270">
        <f>IF(H270="*","*",IF(_xlfn.XLOOKUP($H270,'TRA TECH'!$J:$J,'TRA TECH'!R:R)="","",_xlfn.XLOOKUP($H270,'TRA TECH'!$J:$J,'TRA TECH'!R:R)))</f>
        <v>0.14459157270029679</v>
      </c>
      <c r="O270">
        <f>IF(H270="*","*",IF(_xlfn.XLOOKUP($H270,'TRA TECH'!$J:$J,'TRA TECH'!S:S)="","",_xlfn.XLOOKUP($H270,'TRA TECH'!$J:$J,'TRA TECH'!S:S)))</f>
        <v>0.1578568545994066</v>
      </c>
      <c r="P270">
        <f>IF(H270="*","*",IF(_xlfn.XLOOKUP($H270,'TRA TECH'!$J:$J,'TRA TECH'!T:T)="","",_xlfn.XLOOKUP($H270,'TRA TECH'!$J:$J,'TRA TECH'!T:T)))</f>
        <v>0.17244866468842729</v>
      </c>
      <c r="Q270">
        <f>IF(H270="*","*",IF(_xlfn.XLOOKUP($H270,'TRA TECH'!$J:$J,'TRA TECH'!U:U)="","",_xlfn.XLOOKUP($H270,'TRA TECH'!$J:$J,'TRA TECH'!U:U)))</f>
        <v>0.1804078338278931</v>
      </c>
      <c r="R270">
        <f>IF(H270="*","*",IF(_xlfn.XLOOKUP($H270,'TRA TECH'!$J:$J,'TRA TECH'!V:V)="","",_xlfn.XLOOKUP($H270,'TRA TECH'!$J:$J,'TRA TECH'!V:V)))</f>
        <v>0.18836700296735909</v>
      </c>
      <c r="S270">
        <f>IF(H270="*","*",IF(_xlfn.XLOOKUP($H270,'TRA TECH'!$J:$J,'TRA TECH'!W:W)="","",_xlfn.XLOOKUP($H270,'TRA TECH'!$J:$J,'TRA TECH'!W:W)))</f>
        <v>0.19765270029673601</v>
      </c>
      <c r="T270">
        <f t="shared" si="22"/>
        <v>0.19765270029673601</v>
      </c>
      <c r="U270">
        <f>IF(H270="*","*",IF(_xlfn.XLOOKUP($H270,'TRA TECH'!$J:$J,'TRA TECH'!X:X)="","",_xlfn.XLOOKUP($H270,'TRA TECH'!$J:$J,'TRA TECH'!X:X)))</f>
        <v>461.62916616468777</v>
      </c>
      <c r="V270">
        <f>IF(H270="*","*",IF(_xlfn.XLOOKUP($H270,'TRA TECH'!$J:$J,'TRA TECH'!Y:Y)="","",_xlfn.XLOOKUP($H270,'TRA TECH'!$J:$J,'TRA TECH'!Y:Y)))</f>
        <v>461.62916616468777</v>
      </c>
      <c r="W270">
        <f>IF(H270="*","*",IF(_xlfn.XLOOKUP($H270,'TRA TECH'!$J:$J,'TRA TECH'!Z:Z)="","",_xlfn.XLOOKUP($H270,'TRA TECH'!$J:$J,'TRA TECH'!Z:Z)))</f>
        <v>465.18563123529401</v>
      </c>
      <c r="X270">
        <f>IF(H270="*","*",IF(_xlfn.XLOOKUP($H270,'TRA TECH'!$J:$J,'TRA TECH'!AA:AA)="","",_xlfn.XLOOKUP($H270,'TRA TECH'!$J:$J,'TRA TECH'!AA:AA)))</f>
        <v>463.7630452070515</v>
      </c>
      <c r="Y270">
        <f>IF(H270="*","*",IF(_xlfn.XLOOKUP($H270,'TRA TECH'!$J:$J,'TRA TECH'!AB:AB)="","",_xlfn.XLOOKUP($H270,'TRA TECH'!$J:$J,'TRA TECH'!AB:AB)))</f>
        <v>463.7630452070515</v>
      </c>
      <c r="Z270">
        <f>IF(H270="*","*",IF(_xlfn.XLOOKUP($H270,'TRA TECH'!$J:$J,'TRA TECH'!AC:AC)="","",_xlfn.XLOOKUP($H270,'TRA TECH'!$J:$J,'TRA TECH'!AC:AC)))</f>
        <v>464.47433822117279</v>
      </c>
      <c r="AA270">
        <f>IF(H270="*","*",IF(_xlfn.XLOOKUP($H270,'TRA TECH'!$J:$J,'TRA TECH'!AD:AD)="","",_xlfn.XLOOKUP($H270,'TRA TECH'!$J:$J,'TRA TECH'!AD:AD)))</f>
        <v>465.18563123529401</v>
      </c>
      <c r="AB270">
        <f t="shared" si="23"/>
        <v>465.18563123529401</v>
      </c>
      <c r="AC270" s="15">
        <f>IF(H270="*","*",IF(_xlfn.XLOOKUP($H270,'TRA TECH'!$J:$J,'TRA TECH'!AE:AE)="","",_xlfn.XLOOKUP($H270,'TRA TECH'!$J:$J,'TRA TECH'!AE:AE)))</f>
        <v>10.491571958288359</v>
      </c>
      <c r="AD270" s="15">
        <f>IF(H270="*","*",IF(_xlfn.XLOOKUP($H270,'TRA TECH'!$J:$J,'TRA TECH'!AF:AF)="","",_xlfn.XLOOKUP($H270,'TRA TECH'!$J:$J,'TRA TECH'!AF:AF)))</f>
        <v>10.491571958288359</v>
      </c>
      <c r="AE270" s="15">
        <f>IF(H270="*","*",IF(_xlfn.XLOOKUP($H270,'TRA TECH'!$J:$J,'TRA TECH'!AG:AG)="","",_xlfn.XLOOKUP($H270,'TRA TECH'!$J:$J,'TRA TECH'!AG:AG)))</f>
        <v>10.491571958288359</v>
      </c>
      <c r="AF270" s="15">
        <f>IF(H270="*","*",IF(_xlfn.XLOOKUP($H270,'TRA TECH'!$J:$J,'TRA TECH'!AH:AH)="","",_xlfn.XLOOKUP($H270,'TRA TECH'!$J:$J,'TRA TECH'!AH:AH)))</f>
        <v>10.491571958288359</v>
      </c>
      <c r="AG270" s="15">
        <f>IF(H270="*","*",IF(_xlfn.XLOOKUP($H270,'TRA TECH'!$J:$J,'TRA TECH'!AI:AI)="","",_xlfn.XLOOKUP($H270,'TRA TECH'!$J:$J,'TRA TECH'!AI:AI)))</f>
        <v>10.491571958288359</v>
      </c>
      <c r="AH270" s="15">
        <f>IF(H270="*","*",IF(_xlfn.XLOOKUP($H270,'TRA TECH'!$J:$J,'TRA TECH'!AJ:AJ)="","",_xlfn.XLOOKUP($H270,'TRA TECH'!$J:$J,'TRA TECH'!AJ:AJ)))</f>
        <v>10.491571958288359</v>
      </c>
      <c r="AI270" s="15">
        <f>IF(H270="*","*",IF(_xlfn.XLOOKUP($H270,'TRA TECH'!$J:$J,'TRA TECH'!AK:AK)="","",_xlfn.XLOOKUP($H270,'TRA TECH'!$J:$J,'TRA TECH'!AK:AK)))</f>
        <v>10.491571958288359</v>
      </c>
      <c r="AJ270" s="15">
        <f t="shared" si="24"/>
        <v>10.491571958288359</v>
      </c>
      <c r="AK270" s="16">
        <f t="shared" si="25"/>
        <v>0.1</v>
      </c>
    </row>
    <row r="271" spans="2:37" x14ac:dyDescent="0.25">
      <c r="B271" t="str">
        <f>IF('TRA TECH'!M267=0,"*",IF('TRA TECH'!H267="","*",'TRA TECH'!J267))</f>
        <v>TRAOTHOFRICEIDSL20</v>
      </c>
      <c r="C271" t="str">
        <f>IF('TRA TECH'!M267=0,"*",'TRA TECH'!H267)</f>
        <v>TRARDS</v>
      </c>
      <c r="D271" t="s">
        <v>424</v>
      </c>
      <c r="E271" s="9">
        <f>'TRA TECH'!P267</f>
        <v>1</v>
      </c>
      <c r="H271" t="str">
        <f>IF('TRA TECH'!M267=1,IF('TRA TECH'!L267=1,'TRA TECH'!J267,"*"),"*")</f>
        <v>*</v>
      </c>
      <c r="I271" t="str">
        <f>IF(H271="*","*",_xlfn.XLOOKUP(H271,'TRA TECH'!J:J,'TRA TECH'!I:I))</f>
        <v>*</v>
      </c>
      <c r="J271" t="str">
        <f>IF(H271="*","*",_xlfn.XLOOKUP(H271,'TRA TECH'!J:J,'TRA TECH'!N:N))</f>
        <v>*</v>
      </c>
      <c r="K271" s="15" t="str">
        <f>IF(H271="*","*",IF(_xlfn.XLOOKUP(H271,'TRA TECH'!J:J,'TRA TECH'!O:O)="","",_xlfn.XLOOKUP(H271,'TRA TECH'!J:J,'TRA TECH'!O:O)))</f>
        <v>*</v>
      </c>
      <c r="L271" t="str">
        <f t="shared" si="21"/>
        <v>*</v>
      </c>
      <c r="M271" t="str">
        <f>IF(H271="*","*",IF(_xlfn.XLOOKUP($H271,'TRA TECH'!$J:$J,'TRA TECH'!Q:Q)="","",_xlfn.XLOOKUP($H271,'TRA TECH'!$J:$J,'TRA TECH'!Q:Q)))</f>
        <v>*</v>
      </c>
      <c r="N271" t="str">
        <f>IF(H271="*","*",IF(_xlfn.XLOOKUP($H271,'TRA TECH'!$J:$J,'TRA TECH'!R:R)="","",_xlfn.XLOOKUP($H271,'TRA TECH'!$J:$J,'TRA TECH'!R:R)))</f>
        <v>*</v>
      </c>
      <c r="O271" t="str">
        <f>IF(H271="*","*",IF(_xlfn.XLOOKUP($H271,'TRA TECH'!$J:$J,'TRA TECH'!S:S)="","",_xlfn.XLOOKUP($H271,'TRA TECH'!$J:$J,'TRA TECH'!S:S)))</f>
        <v>*</v>
      </c>
      <c r="P271" t="str">
        <f>IF(H271="*","*",IF(_xlfn.XLOOKUP($H271,'TRA TECH'!$J:$J,'TRA TECH'!T:T)="","",_xlfn.XLOOKUP($H271,'TRA TECH'!$J:$J,'TRA TECH'!T:T)))</f>
        <v>*</v>
      </c>
      <c r="Q271" t="str">
        <f>IF(H271="*","*",IF(_xlfn.XLOOKUP($H271,'TRA TECH'!$J:$J,'TRA TECH'!U:U)="","",_xlfn.XLOOKUP($H271,'TRA TECH'!$J:$J,'TRA TECH'!U:U)))</f>
        <v>*</v>
      </c>
      <c r="R271" t="str">
        <f>IF(H271="*","*",IF(_xlfn.XLOOKUP($H271,'TRA TECH'!$J:$J,'TRA TECH'!V:V)="","",_xlfn.XLOOKUP($H271,'TRA TECH'!$J:$J,'TRA TECH'!V:V)))</f>
        <v>*</v>
      </c>
      <c r="S271" t="str">
        <f>IF(H271="*","*",IF(_xlfn.XLOOKUP($H271,'TRA TECH'!$J:$J,'TRA TECH'!W:W)="","",_xlfn.XLOOKUP($H271,'TRA TECH'!$J:$J,'TRA TECH'!W:W)))</f>
        <v>*</v>
      </c>
      <c r="T271" t="str">
        <f t="shared" si="22"/>
        <v>*</v>
      </c>
      <c r="U271" t="str">
        <f>IF(H271="*","*",IF(_xlfn.XLOOKUP($H271,'TRA TECH'!$J:$J,'TRA TECH'!X:X)="","",_xlfn.XLOOKUP($H271,'TRA TECH'!$J:$J,'TRA TECH'!X:X)))</f>
        <v>*</v>
      </c>
      <c r="V271" t="str">
        <f>IF(H271="*","*",IF(_xlfn.XLOOKUP($H271,'TRA TECH'!$J:$J,'TRA TECH'!Y:Y)="","",_xlfn.XLOOKUP($H271,'TRA TECH'!$J:$J,'TRA TECH'!Y:Y)))</f>
        <v>*</v>
      </c>
      <c r="W271" t="str">
        <f>IF(H271="*","*",IF(_xlfn.XLOOKUP($H271,'TRA TECH'!$J:$J,'TRA TECH'!Z:Z)="","",_xlfn.XLOOKUP($H271,'TRA TECH'!$J:$J,'TRA TECH'!Z:Z)))</f>
        <v>*</v>
      </c>
      <c r="X271" t="str">
        <f>IF(H271="*","*",IF(_xlfn.XLOOKUP($H271,'TRA TECH'!$J:$J,'TRA TECH'!AA:AA)="","",_xlfn.XLOOKUP($H271,'TRA TECH'!$J:$J,'TRA TECH'!AA:AA)))</f>
        <v>*</v>
      </c>
      <c r="Y271" t="str">
        <f>IF(H271="*","*",IF(_xlfn.XLOOKUP($H271,'TRA TECH'!$J:$J,'TRA TECH'!AB:AB)="","",_xlfn.XLOOKUP($H271,'TRA TECH'!$J:$J,'TRA TECH'!AB:AB)))</f>
        <v>*</v>
      </c>
      <c r="Z271" t="str">
        <f>IF(H271="*","*",IF(_xlfn.XLOOKUP($H271,'TRA TECH'!$J:$J,'TRA TECH'!AC:AC)="","",_xlfn.XLOOKUP($H271,'TRA TECH'!$J:$J,'TRA TECH'!AC:AC)))</f>
        <v>*</v>
      </c>
      <c r="AA271" t="str">
        <f>IF(H271="*","*",IF(_xlfn.XLOOKUP($H271,'TRA TECH'!$J:$J,'TRA TECH'!AD:AD)="","",_xlfn.XLOOKUP($H271,'TRA TECH'!$J:$J,'TRA TECH'!AD:AD)))</f>
        <v>*</v>
      </c>
      <c r="AB271" t="str">
        <f t="shared" si="23"/>
        <v>*</v>
      </c>
      <c r="AC271" s="15" t="str">
        <f>IF(H271="*","*",IF(_xlfn.XLOOKUP($H271,'TRA TECH'!$J:$J,'TRA TECH'!AE:AE)="","",_xlfn.XLOOKUP($H271,'TRA TECH'!$J:$J,'TRA TECH'!AE:AE)))</f>
        <v>*</v>
      </c>
      <c r="AD271" s="15" t="str">
        <f>IF(H271="*","*",IF(_xlfn.XLOOKUP($H271,'TRA TECH'!$J:$J,'TRA TECH'!AF:AF)="","",_xlfn.XLOOKUP($H271,'TRA TECH'!$J:$J,'TRA TECH'!AF:AF)))</f>
        <v>*</v>
      </c>
      <c r="AE271" s="15" t="str">
        <f>IF(H271="*","*",IF(_xlfn.XLOOKUP($H271,'TRA TECH'!$J:$J,'TRA TECH'!AG:AG)="","",_xlfn.XLOOKUP($H271,'TRA TECH'!$J:$J,'TRA TECH'!AG:AG)))</f>
        <v>*</v>
      </c>
      <c r="AF271" s="15" t="str">
        <f>IF(H271="*","*",IF(_xlfn.XLOOKUP($H271,'TRA TECH'!$J:$J,'TRA TECH'!AH:AH)="","",_xlfn.XLOOKUP($H271,'TRA TECH'!$J:$J,'TRA TECH'!AH:AH)))</f>
        <v>*</v>
      </c>
      <c r="AG271" s="15" t="str">
        <f>IF(H271="*","*",IF(_xlfn.XLOOKUP($H271,'TRA TECH'!$J:$J,'TRA TECH'!AI:AI)="","",_xlfn.XLOOKUP($H271,'TRA TECH'!$J:$J,'TRA TECH'!AI:AI)))</f>
        <v>*</v>
      </c>
      <c r="AH271" s="15" t="str">
        <f>IF(H271="*","*",IF(_xlfn.XLOOKUP($H271,'TRA TECH'!$J:$J,'TRA TECH'!AJ:AJ)="","",_xlfn.XLOOKUP($H271,'TRA TECH'!$J:$J,'TRA TECH'!AJ:AJ)))</f>
        <v>*</v>
      </c>
      <c r="AI271" s="15" t="str">
        <f>IF(H271="*","*",IF(_xlfn.XLOOKUP($H271,'TRA TECH'!$J:$J,'TRA TECH'!AK:AK)="","",_xlfn.XLOOKUP($H271,'TRA TECH'!$J:$J,'TRA TECH'!AK:AK)))</f>
        <v>*</v>
      </c>
      <c r="AJ271" s="15" t="str">
        <f t="shared" si="24"/>
        <v>*</v>
      </c>
      <c r="AK271" s="16" t="str">
        <f t="shared" si="25"/>
        <v>*</v>
      </c>
    </row>
    <row r="272" spans="2:37" x14ac:dyDescent="0.25">
      <c r="B272" t="str">
        <f>IF('TRA TECH'!M268=0,"*",IF('TRA TECH'!H268="","*",'TRA TECH'!J268))</f>
        <v>TRAOTHOFRICEIDSL20</v>
      </c>
      <c r="C272" t="str">
        <f>IF('TRA TECH'!M268=0,"*",'TRA TECH'!H268)</f>
        <v>TRABDS</v>
      </c>
      <c r="D272" t="s">
        <v>424</v>
      </c>
      <c r="E272" s="9">
        <f>'TRA TECH'!P268</f>
        <v>0.1</v>
      </c>
      <c r="H272" t="str">
        <f>IF('TRA TECH'!M268=1,IF('TRA TECH'!L268=1,'TRA TECH'!J268,"*"),"*")</f>
        <v>*</v>
      </c>
      <c r="I272" t="str">
        <f>IF(H272="*","*",_xlfn.XLOOKUP(H272,'TRA TECH'!J:J,'TRA TECH'!I:I))</f>
        <v>*</v>
      </c>
      <c r="J272" t="str">
        <f>IF(H272="*","*",_xlfn.XLOOKUP(H272,'TRA TECH'!J:J,'TRA TECH'!N:N))</f>
        <v>*</v>
      </c>
      <c r="K272" s="15" t="str">
        <f>IF(H272="*","*",IF(_xlfn.XLOOKUP(H272,'TRA TECH'!J:J,'TRA TECH'!O:O)="","",_xlfn.XLOOKUP(H272,'TRA TECH'!J:J,'TRA TECH'!O:O)))</f>
        <v>*</v>
      </c>
      <c r="L272" t="str">
        <f t="shared" si="21"/>
        <v>*</v>
      </c>
      <c r="M272" t="str">
        <f>IF(H272="*","*",IF(_xlfn.XLOOKUP($H272,'TRA TECH'!$J:$J,'TRA TECH'!Q:Q)="","",_xlfn.XLOOKUP($H272,'TRA TECH'!$J:$J,'TRA TECH'!Q:Q)))</f>
        <v>*</v>
      </c>
      <c r="N272" t="str">
        <f>IF(H272="*","*",IF(_xlfn.XLOOKUP($H272,'TRA TECH'!$J:$J,'TRA TECH'!R:R)="","",_xlfn.XLOOKUP($H272,'TRA TECH'!$J:$J,'TRA TECH'!R:R)))</f>
        <v>*</v>
      </c>
      <c r="O272" t="str">
        <f>IF(H272="*","*",IF(_xlfn.XLOOKUP($H272,'TRA TECH'!$J:$J,'TRA TECH'!S:S)="","",_xlfn.XLOOKUP($H272,'TRA TECH'!$J:$J,'TRA TECH'!S:S)))</f>
        <v>*</v>
      </c>
      <c r="P272" t="str">
        <f>IF(H272="*","*",IF(_xlfn.XLOOKUP($H272,'TRA TECH'!$J:$J,'TRA TECH'!T:T)="","",_xlfn.XLOOKUP($H272,'TRA TECH'!$J:$J,'TRA TECH'!T:T)))</f>
        <v>*</v>
      </c>
      <c r="Q272" t="str">
        <f>IF(H272="*","*",IF(_xlfn.XLOOKUP($H272,'TRA TECH'!$J:$J,'TRA TECH'!U:U)="","",_xlfn.XLOOKUP($H272,'TRA TECH'!$J:$J,'TRA TECH'!U:U)))</f>
        <v>*</v>
      </c>
      <c r="R272" t="str">
        <f>IF(H272="*","*",IF(_xlfn.XLOOKUP($H272,'TRA TECH'!$J:$J,'TRA TECH'!V:V)="","",_xlfn.XLOOKUP($H272,'TRA TECH'!$J:$J,'TRA TECH'!V:V)))</f>
        <v>*</v>
      </c>
      <c r="S272" t="str">
        <f>IF(H272="*","*",IF(_xlfn.XLOOKUP($H272,'TRA TECH'!$J:$J,'TRA TECH'!W:W)="","",_xlfn.XLOOKUP($H272,'TRA TECH'!$J:$J,'TRA TECH'!W:W)))</f>
        <v>*</v>
      </c>
      <c r="T272" t="str">
        <f t="shared" si="22"/>
        <v>*</v>
      </c>
      <c r="U272" t="str">
        <f>IF(H272="*","*",IF(_xlfn.XLOOKUP($H272,'TRA TECH'!$J:$J,'TRA TECH'!X:X)="","",_xlfn.XLOOKUP($H272,'TRA TECH'!$J:$J,'TRA TECH'!X:X)))</f>
        <v>*</v>
      </c>
      <c r="V272" t="str">
        <f>IF(H272="*","*",IF(_xlfn.XLOOKUP($H272,'TRA TECH'!$J:$J,'TRA TECH'!Y:Y)="","",_xlfn.XLOOKUP($H272,'TRA TECH'!$J:$J,'TRA TECH'!Y:Y)))</f>
        <v>*</v>
      </c>
      <c r="W272" t="str">
        <f>IF(H272="*","*",IF(_xlfn.XLOOKUP($H272,'TRA TECH'!$J:$J,'TRA TECH'!Z:Z)="","",_xlfn.XLOOKUP($H272,'TRA TECH'!$J:$J,'TRA TECH'!Z:Z)))</f>
        <v>*</v>
      </c>
      <c r="X272" t="str">
        <f>IF(H272="*","*",IF(_xlfn.XLOOKUP($H272,'TRA TECH'!$J:$J,'TRA TECH'!AA:AA)="","",_xlfn.XLOOKUP($H272,'TRA TECH'!$J:$J,'TRA TECH'!AA:AA)))</f>
        <v>*</v>
      </c>
      <c r="Y272" t="str">
        <f>IF(H272="*","*",IF(_xlfn.XLOOKUP($H272,'TRA TECH'!$J:$J,'TRA TECH'!AB:AB)="","",_xlfn.XLOOKUP($H272,'TRA TECH'!$J:$J,'TRA TECH'!AB:AB)))</f>
        <v>*</v>
      </c>
      <c r="Z272" t="str">
        <f>IF(H272="*","*",IF(_xlfn.XLOOKUP($H272,'TRA TECH'!$J:$J,'TRA TECH'!AC:AC)="","",_xlfn.XLOOKUP($H272,'TRA TECH'!$J:$J,'TRA TECH'!AC:AC)))</f>
        <v>*</v>
      </c>
      <c r="AA272" t="str">
        <f>IF(H272="*","*",IF(_xlfn.XLOOKUP($H272,'TRA TECH'!$J:$J,'TRA TECH'!AD:AD)="","",_xlfn.XLOOKUP($H272,'TRA TECH'!$J:$J,'TRA TECH'!AD:AD)))</f>
        <v>*</v>
      </c>
      <c r="AB272" t="str">
        <f t="shared" si="23"/>
        <v>*</v>
      </c>
      <c r="AC272" s="15" t="str">
        <f>IF(H272="*","*",IF(_xlfn.XLOOKUP($H272,'TRA TECH'!$J:$J,'TRA TECH'!AE:AE)="","",_xlfn.XLOOKUP($H272,'TRA TECH'!$J:$J,'TRA TECH'!AE:AE)))</f>
        <v>*</v>
      </c>
      <c r="AD272" s="15" t="str">
        <f>IF(H272="*","*",IF(_xlfn.XLOOKUP($H272,'TRA TECH'!$J:$J,'TRA TECH'!AF:AF)="","",_xlfn.XLOOKUP($H272,'TRA TECH'!$J:$J,'TRA TECH'!AF:AF)))</f>
        <v>*</v>
      </c>
      <c r="AE272" s="15" t="str">
        <f>IF(H272="*","*",IF(_xlfn.XLOOKUP($H272,'TRA TECH'!$J:$J,'TRA TECH'!AG:AG)="","",_xlfn.XLOOKUP($H272,'TRA TECH'!$J:$J,'TRA TECH'!AG:AG)))</f>
        <v>*</v>
      </c>
      <c r="AF272" s="15" t="str">
        <f>IF(H272="*","*",IF(_xlfn.XLOOKUP($H272,'TRA TECH'!$J:$J,'TRA TECH'!AH:AH)="","",_xlfn.XLOOKUP($H272,'TRA TECH'!$J:$J,'TRA TECH'!AH:AH)))</f>
        <v>*</v>
      </c>
      <c r="AG272" s="15" t="str">
        <f>IF(H272="*","*",IF(_xlfn.XLOOKUP($H272,'TRA TECH'!$J:$J,'TRA TECH'!AI:AI)="","",_xlfn.XLOOKUP($H272,'TRA TECH'!$J:$J,'TRA TECH'!AI:AI)))</f>
        <v>*</v>
      </c>
      <c r="AH272" s="15" t="str">
        <f>IF(H272="*","*",IF(_xlfn.XLOOKUP($H272,'TRA TECH'!$J:$J,'TRA TECH'!AJ:AJ)="","",_xlfn.XLOOKUP($H272,'TRA TECH'!$J:$J,'TRA TECH'!AJ:AJ)))</f>
        <v>*</v>
      </c>
      <c r="AI272" s="15" t="str">
        <f>IF(H272="*","*",IF(_xlfn.XLOOKUP($H272,'TRA TECH'!$J:$J,'TRA TECH'!AK:AK)="","",_xlfn.XLOOKUP($H272,'TRA TECH'!$J:$J,'TRA TECH'!AK:AK)))</f>
        <v>*</v>
      </c>
      <c r="AJ272" s="15" t="str">
        <f t="shared" si="24"/>
        <v>*</v>
      </c>
      <c r="AK272" s="16" t="str">
        <f t="shared" si="25"/>
        <v>*</v>
      </c>
    </row>
    <row r="273" spans="2:37" x14ac:dyDescent="0.25">
      <c r="B273" t="str">
        <f>IF('TRA TECH'!M269=0,"*",IF('TRA TECH'!H269="","*",'TRA TECH'!J269))</f>
        <v>TRAOTHOFRHEVPDSL20</v>
      </c>
      <c r="C273" t="str">
        <f>IF('TRA TECH'!M269=0,"*",'TRA TECH'!H269)</f>
        <v>TRADSL</v>
      </c>
      <c r="D273" t="s">
        <v>424</v>
      </c>
      <c r="E273" s="9">
        <f>'TRA TECH'!P269</f>
        <v>1</v>
      </c>
      <c r="H273" t="str">
        <f>IF('TRA TECH'!M269=1,IF('TRA TECH'!L269=1,'TRA TECH'!J269,"*"),"*")</f>
        <v>TRAOTHOFRHEVPDSL20</v>
      </c>
      <c r="I273" t="str">
        <f>IF(H273="*","*",_xlfn.XLOOKUP(H273,'TRA TECH'!J:J,'TRA TECH'!I:I))</f>
        <v>TRAOTHOFRDMD</v>
      </c>
      <c r="J273">
        <f>IF(H273="*","*",_xlfn.XLOOKUP(H273,'TRA TECH'!J:J,'TRA TECH'!N:N))</f>
        <v>2020</v>
      </c>
      <c r="K273" s="15">
        <f>IF(H273="*","*",IF(_xlfn.XLOOKUP(H273,'TRA TECH'!J:J,'TRA TECH'!O:O)="","",_xlfn.XLOOKUP(H273,'TRA TECH'!J:J,'TRA TECH'!O:O)))</f>
        <v>8</v>
      </c>
      <c r="L273">
        <f t="shared" si="21"/>
        <v>1</v>
      </c>
      <c r="M273">
        <f>IF(H273="*","*",IF(_xlfn.XLOOKUP($H273,'TRA TECH'!$J:$J,'TRA TECH'!Q:Q)="","",_xlfn.XLOOKUP($H273,'TRA TECH'!$J:$J,'TRA TECH'!Q:Q)))</f>
        <v>0.14591810089020771</v>
      </c>
      <c r="N273">
        <f>IF(H273="*","*",IF(_xlfn.XLOOKUP($H273,'TRA TECH'!$J:$J,'TRA TECH'!R:R)="","",_xlfn.XLOOKUP($H273,'TRA TECH'!$J:$J,'TRA TECH'!R:R)))</f>
        <v>0.14591810089020771</v>
      </c>
      <c r="O273">
        <f>IF(H273="*","*",IF(_xlfn.XLOOKUP($H273,'TRA TECH'!$J:$J,'TRA TECH'!S:S)="","",_xlfn.XLOOKUP($H273,'TRA TECH'!$J:$J,'TRA TECH'!S:S)))</f>
        <v>0.16183643916913951</v>
      </c>
      <c r="P273">
        <f>IF(H273="*","*",IF(_xlfn.XLOOKUP($H273,'TRA TECH'!$J:$J,'TRA TECH'!T:T)="","",_xlfn.XLOOKUP($H273,'TRA TECH'!$J:$J,'TRA TECH'!T:T)))</f>
        <v>0.1764282492581602</v>
      </c>
      <c r="Q273">
        <f>IF(H273="*","*",IF(_xlfn.XLOOKUP($H273,'TRA TECH'!$J:$J,'TRA TECH'!U:U)="","",_xlfn.XLOOKUP($H273,'TRA TECH'!$J:$J,'TRA TECH'!U:U)))</f>
        <v>0.18704047477744801</v>
      </c>
      <c r="R273">
        <f>IF(H273="*","*",IF(_xlfn.XLOOKUP($H273,'TRA TECH'!$J:$J,'TRA TECH'!V:V)="","",_xlfn.XLOOKUP($H273,'TRA TECH'!$J:$J,'TRA TECH'!V:V)))</f>
        <v>0.1963261721068249</v>
      </c>
      <c r="S273">
        <f>IF(H273="*","*",IF(_xlfn.XLOOKUP($H273,'TRA TECH'!$J:$J,'TRA TECH'!W:W)="","",_xlfn.XLOOKUP($H273,'TRA TECH'!$J:$J,'TRA TECH'!W:W)))</f>
        <v>0.2056118694362018</v>
      </c>
      <c r="T273">
        <f t="shared" si="22"/>
        <v>0.2056118694362018</v>
      </c>
      <c r="U273">
        <f>IF(H273="*","*",IF(_xlfn.XLOOKUP($H273,'TRA TECH'!$J:$J,'TRA TECH'!X:X)="","",_xlfn.XLOOKUP($H273,'TRA TECH'!$J:$J,'TRA TECH'!X:X)))</f>
        <v>465.89692424941529</v>
      </c>
      <c r="V273">
        <f>IF(H273="*","*",IF(_xlfn.XLOOKUP($H273,'TRA TECH'!$J:$J,'TRA TECH'!Y:Y)="","",_xlfn.XLOOKUP($H273,'TRA TECH'!$J:$J,'TRA TECH'!Y:Y)))</f>
        <v>465.89692424941529</v>
      </c>
      <c r="W273">
        <f>IF(H273="*","*",IF(_xlfn.XLOOKUP($H273,'TRA TECH'!$J:$J,'TRA TECH'!Z:Z)="","",_xlfn.XLOOKUP($H273,'TRA TECH'!$J:$J,'TRA TECH'!Z:Z)))</f>
        <v>464.47433822117279</v>
      </c>
      <c r="X273">
        <f>IF(H273="*","*",IF(_xlfn.XLOOKUP($H273,'TRA TECH'!$J:$J,'TRA TECH'!AA:AA)="","",_xlfn.XLOOKUP($H273,'TRA TECH'!$J:$J,'TRA TECH'!AA:AA)))</f>
        <v>460.91787315056649</v>
      </c>
      <c r="Y273">
        <f>IF(H273="*","*",IF(_xlfn.XLOOKUP($H273,'TRA TECH'!$J:$J,'TRA TECH'!AB:AB)="","",_xlfn.XLOOKUP($H273,'TRA TECH'!$J:$J,'TRA TECH'!AB:AB)))</f>
        <v>459.49528712232399</v>
      </c>
      <c r="Z273">
        <f>IF(H273="*","*",IF(_xlfn.XLOOKUP($H273,'TRA TECH'!$J:$J,'TRA TECH'!AC:AC)="","",_xlfn.XLOOKUP($H273,'TRA TECH'!$J:$J,'TRA TECH'!AC:AC)))</f>
        <v>458.78399410820282</v>
      </c>
      <c r="AA273">
        <f>IF(H273="*","*",IF(_xlfn.XLOOKUP($H273,'TRA TECH'!$J:$J,'TRA TECH'!AD:AD)="","",_xlfn.XLOOKUP($H273,'TRA TECH'!$J:$J,'TRA TECH'!AD:AD)))</f>
        <v>458.07270109408159</v>
      </c>
      <c r="AB273">
        <f t="shared" si="23"/>
        <v>458.07270109408159</v>
      </c>
      <c r="AC273" s="15">
        <f>IF(H273="*","*",IF(_xlfn.XLOOKUP($H273,'TRA TECH'!$J:$J,'TRA TECH'!AE:AE)="","",_xlfn.XLOOKUP($H273,'TRA TECH'!$J:$J,'TRA TECH'!AE:AE)))</f>
        <v>10.491571958288359</v>
      </c>
      <c r="AD273" s="15">
        <f>IF(H273="*","*",IF(_xlfn.XLOOKUP($H273,'TRA TECH'!$J:$J,'TRA TECH'!AF:AF)="","",_xlfn.XLOOKUP($H273,'TRA TECH'!$J:$J,'TRA TECH'!AF:AF)))</f>
        <v>10.491571958288359</v>
      </c>
      <c r="AE273" s="15">
        <f>IF(H273="*","*",IF(_xlfn.XLOOKUP($H273,'TRA TECH'!$J:$J,'TRA TECH'!AG:AG)="","",_xlfn.XLOOKUP($H273,'TRA TECH'!$J:$J,'TRA TECH'!AG:AG)))</f>
        <v>10.491571958288359</v>
      </c>
      <c r="AF273" s="15">
        <f>IF(H273="*","*",IF(_xlfn.XLOOKUP($H273,'TRA TECH'!$J:$J,'TRA TECH'!AH:AH)="","",_xlfn.XLOOKUP($H273,'TRA TECH'!$J:$J,'TRA TECH'!AH:AH)))</f>
        <v>10.491571958288359</v>
      </c>
      <c r="AG273" s="15">
        <f>IF(H273="*","*",IF(_xlfn.XLOOKUP($H273,'TRA TECH'!$J:$J,'TRA TECH'!AI:AI)="","",_xlfn.XLOOKUP($H273,'TRA TECH'!$J:$J,'TRA TECH'!AI:AI)))</f>
        <v>10.491571958288359</v>
      </c>
      <c r="AH273" s="15">
        <f>IF(H273="*","*",IF(_xlfn.XLOOKUP($H273,'TRA TECH'!$J:$J,'TRA TECH'!AJ:AJ)="","",_xlfn.XLOOKUP($H273,'TRA TECH'!$J:$J,'TRA TECH'!AJ:AJ)))</f>
        <v>10.491571958288359</v>
      </c>
      <c r="AI273" s="15">
        <f>IF(H273="*","*",IF(_xlfn.XLOOKUP($H273,'TRA TECH'!$J:$J,'TRA TECH'!AK:AK)="","",_xlfn.XLOOKUP($H273,'TRA TECH'!$J:$J,'TRA TECH'!AK:AK)))</f>
        <v>10.491571958288359</v>
      </c>
      <c r="AJ273" s="15">
        <f t="shared" si="24"/>
        <v>10.491571958288359</v>
      </c>
      <c r="AK273" s="16">
        <f t="shared" si="25"/>
        <v>0.25</v>
      </c>
    </row>
    <row r="274" spans="2:37" x14ac:dyDescent="0.25">
      <c r="B274" t="str">
        <f>IF('TRA TECH'!M270=0,"*",IF('TRA TECH'!H270="","*",'TRA TECH'!J270))</f>
        <v>TRAOTHOFRHEVPDSL20</v>
      </c>
      <c r="C274" t="str">
        <f>IF('TRA TECH'!M270=0,"*",'TRA TECH'!H270)</f>
        <v>TRARDS</v>
      </c>
      <c r="D274" t="s">
        <v>424</v>
      </c>
      <c r="E274" s="9">
        <f>'TRA TECH'!P270</f>
        <v>1</v>
      </c>
      <c r="H274" t="str">
        <f>IF('TRA TECH'!M270=1,IF('TRA TECH'!L270=1,'TRA TECH'!J270,"*"),"*")</f>
        <v>*</v>
      </c>
      <c r="I274" t="str">
        <f>IF(H274="*","*",_xlfn.XLOOKUP(H274,'TRA TECH'!J:J,'TRA TECH'!I:I))</f>
        <v>*</v>
      </c>
      <c r="J274" t="str">
        <f>IF(H274="*","*",_xlfn.XLOOKUP(H274,'TRA TECH'!J:J,'TRA TECH'!N:N))</f>
        <v>*</v>
      </c>
      <c r="K274" s="15" t="str">
        <f>IF(H274="*","*",IF(_xlfn.XLOOKUP(H274,'TRA TECH'!J:J,'TRA TECH'!O:O)="","",_xlfn.XLOOKUP(H274,'TRA TECH'!J:J,'TRA TECH'!O:O)))</f>
        <v>*</v>
      </c>
      <c r="L274" t="str">
        <f t="shared" si="21"/>
        <v>*</v>
      </c>
      <c r="M274" t="str">
        <f>IF(H274="*","*",IF(_xlfn.XLOOKUP($H274,'TRA TECH'!$J:$J,'TRA TECH'!Q:Q)="","",_xlfn.XLOOKUP($H274,'TRA TECH'!$J:$J,'TRA TECH'!Q:Q)))</f>
        <v>*</v>
      </c>
      <c r="N274" t="str">
        <f>IF(H274="*","*",IF(_xlfn.XLOOKUP($H274,'TRA TECH'!$J:$J,'TRA TECH'!R:R)="","",_xlfn.XLOOKUP($H274,'TRA TECH'!$J:$J,'TRA TECH'!R:R)))</f>
        <v>*</v>
      </c>
      <c r="O274" t="str">
        <f>IF(H274="*","*",IF(_xlfn.XLOOKUP($H274,'TRA TECH'!$J:$J,'TRA TECH'!S:S)="","",_xlfn.XLOOKUP($H274,'TRA TECH'!$J:$J,'TRA TECH'!S:S)))</f>
        <v>*</v>
      </c>
      <c r="P274" t="str">
        <f>IF(H274="*","*",IF(_xlfn.XLOOKUP($H274,'TRA TECH'!$J:$J,'TRA TECH'!T:T)="","",_xlfn.XLOOKUP($H274,'TRA TECH'!$J:$J,'TRA TECH'!T:T)))</f>
        <v>*</v>
      </c>
      <c r="Q274" t="str">
        <f>IF(H274="*","*",IF(_xlfn.XLOOKUP($H274,'TRA TECH'!$J:$J,'TRA TECH'!U:U)="","",_xlfn.XLOOKUP($H274,'TRA TECH'!$J:$J,'TRA TECH'!U:U)))</f>
        <v>*</v>
      </c>
      <c r="R274" t="str">
        <f>IF(H274="*","*",IF(_xlfn.XLOOKUP($H274,'TRA TECH'!$J:$J,'TRA TECH'!V:V)="","",_xlfn.XLOOKUP($H274,'TRA TECH'!$J:$J,'TRA TECH'!V:V)))</f>
        <v>*</v>
      </c>
      <c r="S274" t="str">
        <f>IF(H274="*","*",IF(_xlfn.XLOOKUP($H274,'TRA TECH'!$J:$J,'TRA TECH'!W:W)="","",_xlfn.XLOOKUP($H274,'TRA TECH'!$J:$J,'TRA TECH'!W:W)))</f>
        <v>*</v>
      </c>
      <c r="T274" t="str">
        <f t="shared" si="22"/>
        <v>*</v>
      </c>
      <c r="U274" t="str">
        <f>IF(H274="*","*",IF(_xlfn.XLOOKUP($H274,'TRA TECH'!$J:$J,'TRA TECH'!X:X)="","",_xlfn.XLOOKUP($H274,'TRA TECH'!$J:$J,'TRA TECH'!X:X)))</f>
        <v>*</v>
      </c>
      <c r="V274" t="str">
        <f>IF(H274="*","*",IF(_xlfn.XLOOKUP($H274,'TRA TECH'!$J:$J,'TRA TECH'!Y:Y)="","",_xlfn.XLOOKUP($H274,'TRA TECH'!$J:$J,'TRA TECH'!Y:Y)))</f>
        <v>*</v>
      </c>
      <c r="W274" t="str">
        <f>IF(H274="*","*",IF(_xlfn.XLOOKUP($H274,'TRA TECH'!$J:$J,'TRA TECH'!Z:Z)="","",_xlfn.XLOOKUP($H274,'TRA TECH'!$J:$J,'TRA TECH'!Z:Z)))</f>
        <v>*</v>
      </c>
      <c r="X274" t="str">
        <f>IF(H274="*","*",IF(_xlfn.XLOOKUP($H274,'TRA TECH'!$J:$J,'TRA TECH'!AA:AA)="","",_xlfn.XLOOKUP($H274,'TRA TECH'!$J:$J,'TRA TECH'!AA:AA)))</f>
        <v>*</v>
      </c>
      <c r="Y274" t="str">
        <f>IF(H274="*","*",IF(_xlfn.XLOOKUP($H274,'TRA TECH'!$J:$J,'TRA TECH'!AB:AB)="","",_xlfn.XLOOKUP($H274,'TRA TECH'!$J:$J,'TRA TECH'!AB:AB)))</f>
        <v>*</v>
      </c>
      <c r="Z274" t="str">
        <f>IF(H274="*","*",IF(_xlfn.XLOOKUP($H274,'TRA TECH'!$J:$J,'TRA TECH'!AC:AC)="","",_xlfn.XLOOKUP($H274,'TRA TECH'!$J:$J,'TRA TECH'!AC:AC)))</f>
        <v>*</v>
      </c>
      <c r="AA274" t="str">
        <f>IF(H274="*","*",IF(_xlfn.XLOOKUP($H274,'TRA TECH'!$J:$J,'TRA TECH'!AD:AD)="","",_xlfn.XLOOKUP($H274,'TRA TECH'!$J:$J,'TRA TECH'!AD:AD)))</f>
        <v>*</v>
      </c>
      <c r="AB274" t="str">
        <f t="shared" si="23"/>
        <v>*</v>
      </c>
      <c r="AC274" s="15" t="str">
        <f>IF(H274="*","*",IF(_xlfn.XLOOKUP($H274,'TRA TECH'!$J:$J,'TRA TECH'!AE:AE)="","",_xlfn.XLOOKUP($H274,'TRA TECH'!$J:$J,'TRA TECH'!AE:AE)))</f>
        <v>*</v>
      </c>
      <c r="AD274" s="15" t="str">
        <f>IF(H274="*","*",IF(_xlfn.XLOOKUP($H274,'TRA TECH'!$J:$J,'TRA TECH'!AF:AF)="","",_xlfn.XLOOKUP($H274,'TRA TECH'!$J:$J,'TRA TECH'!AF:AF)))</f>
        <v>*</v>
      </c>
      <c r="AE274" s="15" t="str">
        <f>IF(H274="*","*",IF(_xlfn.XLOOKUP($H274,'TRA TECH'!$J:$J,'TRA TECH'!AG:AG)="","",_xlfn.XLOOKUP($H274,'TRA TECH'!$J:$J,'TRA TECH'!AG:AG)))</f>
        <v>*</v>
      </c>
      <c r="AF274" s="15" t="str">
        <f>IF(H274="*","*",IF(_xlfn.XLOOKUP($H274,'TRA TECH'!$J:$J,'TRA TECH'!AH:AH)="","",_xlfn.XLOOKUP($H274,'TRA TECH'!$J:$J,'TRA TECH'!AH:AH)))</f>
        <v>*</v>
      </c>
      <c r="AG274" s="15" t="str">
        <f>IF(H274="*","*",IF(_xlfn.XLOOKUP($H274,'TRA TECH'!$J:$J,'TRA TECH'!AI:AI)="","",_xlfn.XLOOKUP($H274,'TRA TECH'!$J:$J,'TRA TECH'!AI:AI)))</f>
        <v>*</v>
      </c>
      <c r="AH274" s="15" t="str">
        <f>IF(H274="*","*",IF(_xlfn.XLOOKUP($H274,'TRA TECH'!$J:$J,'TRA TECH'!AJ:AJ)="","",_xlfn.XLOOKUP($H274,'TRA TECH'!$J:$J,'TRA TECH'!AJ:AJ)))</f>
        <v>*</v>
      </c>
      <c r="AI274" s="15" t="str">
        <f>IF(H274="*","*",IF(_xlfn.XLOOKUP($H274,'TRA TECH'!$J:$J,'TRA TECH'!AK:AK)="","",_xlfn.XLOOKUP($H274,'TRA TECH'!$J:$J,'TRA TECH'!AK:AK)))</f>
        <v>*</v>
      </c>
      <c r="AJ274" s="15" t="str">
        <f t="shared" si="24"/>
        <v>*</v>
      </c>
      <c r="AK274" s="16" t="str">
        <f t="shared" si="25"/>
        <v>*</v>
      </c>
    </row>
    <row r="275" spans="2:37" x14ac:dyDescent="0.25">
      <c r="B275" t="str">
        <f>IF('TRA TECH'!M271=0,"*",IF('TRA TECH'!H271="","*",'TRA TECH'!J271))</f>
        <v>TRAOTHOFRHEVPDSL20</v>
      </c>
      <c r="C275" t="str">
        <f>IF('TRA TECH'!M271=0,"*",'TRA TECH'!H271)</f>
        <v>TRABDS</v>
      </c>
      <c r="D275" t="s">
        <v>424</v>
      </c>
      <c r="E275" s="9">
        <f>'TRA TECH'!P271</f>
        <v>0.1</v>
      </c>
      <c r="H275" t="str">
        <f>IF('TRA TECH'!M271=1,IF('TRA TECH'!L271=1,'TRA TECH'!J271,"*"),"*")</f>
        <v>*</v>
      </c>
      <c r="I275" t="str">
        <f>IF(H275="*","*",_xlfn.XLOOKUP(H275,'TRA TECH'!J:J,'TRA TECH'!I:I))</f>
        <v>*</v>
      </c>
      <c r="J275" t="str">
        <f>IF(H275="*","*",_xlfn.XLOOKUP(H275,'TRA TECH'!J:J,'TRA TECH'!N:N))</f>
        <v>*</v>
      </c>
      <c r="K275" s="15" t="str">
        <f>IF(H275="*","*",IF(_xlfn.XLOOKUP(H275,'TRA TECH'!J:J,'TRA TECH'!O:O)="","",_xlfn.XLOOKUP(H275,'TRA TECH'!J:J,'TRA TECH'!O:O)))</f>
        <v>*</v>
      </c>
      <c r="L275" t="str">
        <f t="shared" si="21"/>
        <v>*</v>
      </c>
      <c r="M275" t="str">
        <f>IF(H275="*","*",IF(_xlfn.XLOOKUP($H275,'TRA TECH'!$J:$J,'TRA TECH'!Q:Q)="","",_xlfn.XLOOKUP($H275,'TRA TECH'!$J:$J,'TRA TECH'!Q:Q)))</f>
        <v>*</v>
      </c>
      <c r="N275" t="str">
        <f>IF(H275="*","*",IF(_xlfn.XLOOKUP($H275,'TRA TECH'!$J:$J,'TRA TECH'!R:R)="","",_xlfn.XLOOKUP($H275,'TRA TECH'!$J:$J,'TRA TECH'!R:R)))</f>
        <v>*</v>
      </c>
      <c r="O275" t="str">
        <f>IF(H275="*","*",IF(_xlfn.XLOOKUP($H275,'TRA TECH'!$J:$J,'TRA TECH'!S:S)="","",_xlfn.XLOOKUP($H275,'TRA TECH'!$J:$J,'TRA TECH'!S:S)))</f>
        <v>*</v>
      </c>
      <c r="P275" t="str">
        <f>IF(H275="*","*",IF(_xlfn.XLOOKUP($H275,'TRA TECH'!$J:$J,'TRA TECH'!T:T)="","",_xlfn.XLOOKUP($H275,'TRA TECH'!$J:$J,'TRA TECH'!T:T)))</f>
        <v>*</v>
      </c>
      <c r="Q275" t="str">
        <f>IF(H275="*","*",IF(_xlfn.XLOOKUP($H275,'TRA TECH'!$J:$J,'TRA TECH'!U:U)="","",_xlfn.XLOOKUP($H275,'TRA TECH'!$J:$J,'TRA TECH'!U:U)))</f>
        <v>*</v>
      </c>
      <c r="R275" t="str">
        <f>IF(H275="*","*",IF(_xlfn.XLOOKUP($H275,'TRA TECH'!$J:$J,'TRA TECH'!V:V)="","",_xlfn.XLOOKUP($H275,'TRA TECH'!$J:$J,'TRA TECH'!V:V)))</f>
        <v>*</v>
      </c>
      <c r="S275" t="str">
        <f>IF(H275="*","*",IF(_xlfn.XLOOKUP($H275,'TRA TECH'!$J:$J,'TRA TECH'!W:W)="","",_xlfn.XLOOKUP($H275,'TRA TECH'!$J:$J,'TRA TECH'!W:W)))</f>
        <v>*</v>
      </c>
      <c r="T275" t="str">
        <f t="shared" si="22"/>
        <v>*</v>
      </c>
      <c r="U275" t="str">
        <f>IF(H275="*","*",IF(_xlfn.XLOOKUP($H275,'TRA TECH'!$J:$J,'TRA TECH'!X:X)="","",_xlfn.XLOOKUP($H275,'TRA TECH'!$J:$J,'TRA TECH'!X:X)))</f>
        <v>*</v>
      </c>
      <c r="V275" t="str">
        <f>IF(H275="*","*",IF(_xlfn.XLOOKUP($H275,'TRA TECH'!$J:$J,'TRA TECH'!Y:Y)="","",_xlfn.XLOOKUP($H275,'TRA TECH'!$J:$J,'TRA TECH'!Y:Y)))</f>
        <v>*</v>
      </c>
      <c r="W275" t="str">
        <f>IF(H275="*","*",IF(_xlfn.XLOOKUP($H275,'TRA TECH'!$J:$J,'TRA TECH'!Z:Z)="","",_xlfn.XLOOKUP($H275,'TRA TECH'!$J:$J,'TRA TECH'!Z:Z)))</f>
        <v>*</v>
      </c>
      <c r="X275" t="str">
        <f>IF(H275="*","*",IF(_xlfn.XLOOKUP($H275,'TRA TECH'!$J:$J,'TRA TECH'!AA:AA)="","",_xlfn.XLOOKUP($H275,'TRA TECH'!$J:$J,'TRA TECH'!AA:AA)))</f>
        <v>*</v>
      </c>
      <c r="Y275" t="str">
        <f>IF(H275="*","*",IF(_xlfn.XLOOKUP($H275,'TRA TECH'!$J:$J,'TRA TECH'!AB:AB)="","",_xlfn.XLOOKUP($H275,'TRA TECH'!$J:$J,'TRA TECH'!AB:AB)))</f>
        <v>*</v>
      </c>
      <c r="Z275" t="str">
        <f>IF(H275="*","*",IF(_xlfn.XLOOKUP($H275,'TRA TECH'!$J:$J,'TRA TECH'!AC:AC)="","",_xlfn.XLOOKUP($H275,'TRA TECH'!$J:$J,'TRA TECH'!AC:AC)))</f>
        <v>*</v>
      </c>
      <c r="AA275" t="str">
        <f>IF(H275="*","*",IF(_xlfn.XLOOKUP($H275,'TRA TECH'!$J:$J,'TRA TECH'!AD:AD)="","",_xlfn.XLOOKUP($H275,'TRA TECH'!$J:$J,'TRA TECH'!AD:AD)))</f>
        <v>*</v>
      </c>
      <c r="AB275" t="str">
        <f t="shared" si="23"/>
        <v>*</v>
      </c>
      <c r="AC275" s="15" t="str">
        <f>IF(H275="*","*",IF(_xlfn.XLOOKUP($H275,'TRA TECH'!$J:$J,'TRA TECH'!AE:AE)="","",_xlfn.XLOOKUP($H275,'TRA TECH'!$J:$J,'TRA TECH'!AE:AE)))</f>
        <v>*</v>
      </c>
      <c r="AD275" s="15" t="str">
        <f>IF(H275="*","*",IF(_xlfn.XLOOKUP($H275,'TRA TECH'!$J:$J,'TRA TECH'!AF:AF)="","",_xlfn.XLOOKUP($H275,'TRA TECH'!$J:$J,'TRA TECH'!AF:AF)))</f>
        <v>*</v>
      </c>
      <c r="AE275" s="15" t="str">
        <f>IF(H275="*","*",IF(_xlfn.XLOOKUP($H275,'TRA TECH'!$J:$J,'TRA TECH'!AG:AG)="","",_xlfn.XLOOKUP($H275,'TRA TECH'!$J:$J,'TRA TECH'!AG:AG)))</f>
        <v>*</v>
      </c>
      <c r="AF275" s="15" t="str">
        <f>IF(H275="*","*",IF(_xlfn.XLOOKUP($H275,'TRA TECH'!$J:$J,'TRA TECH'!AH:AH)="","",_xlfn.XLOOKUP($H275,'TRA TECH'!$J:$J,'TRA TECH'!AH:AH)))</f>
        <v>*</v>
      </c>
      <c r="AG275" s="15" t="str">
        <f>IF(H275="*","*",IF(_xlfn.XLOOKUP($H275,'TRA TECH'!$J:$J,'TRA TECH'!AI:AI)="","",_xlfn.XLOOKUP($H275,'TRA TECH'!$J:$J,'TRA TECH'!AI:AI)))</f>
        <v>*</v>
      </c>
      <c r="AH275" s="15" t="str">
        <f>IF(H275="*","*",IF(_xlfn.XLOOKUP($H275,'TRA TECH'!$J:$J,'TRA TECH'!AJ:AJ)="","",_xlfn.XLOOKUP($H275,'TRA TECH'!$J:$J,'TRA TECH'!AJ:AJ)))</f>
        <v>*</v>
      </c>
      <c r="AI275" s="15" t="str">
        <f>IF(H275="*","*",IF(_xlfn.XLOOKUP($H275,'TRA TECH'!$J:$J,'TRA TECH'!AK:AK)="","",_xlfn.XLOOKUP($H275,'TRA TECH'!$J:$J,'TRA TECH'!AK:AK)))</f>
        <v>*</v>
      </c>
      <c r="AJ275" s="15" t="str">
        <f t="shared" si="24"/>
        <v>*</v>
      </c>
      <c r="AK275" s="16" t="str">
        <f t="shared" si="25"/>
        <v>*</v>
      </c>
    </row>
    <row r="276" spans="2:37" x14ac:dyDescent="0.25">
      <c r="B276" t="str">
        <f>IF('TRA TECH'!M272=0,"*",IF('TRA TECH'!H272="","*",'TRA TECH'!J272))</f>
        <v>TRAOTHOFRPHEVDSL20</v>
      </c>
      <c r="C276" t="str">
        <f>IF('TRA TECH'!M272=0,"*",'TRA TECH'!H272)</f>
        <v>TRADSL</v>
      </c>
      <c r="D276" t="s">
        <v>424</v>
      </c>
      <c r="E276" s="9">
        <f>'TRA TECH'!P272</f>
        <v>0.30952380952381148</v>
      </c>
      <c r="H276" t="str">
        <f>IF('TRA TECH'!M272=1,IF('TRA TECH'!L272=1,'TRA TECH'!J272,"*"),"*")</f>
        <v>TRAOTHOFRPHEVDSL20</v>
      </c>
      <c r="I276" t="str">
        <f>IF(H276="*","*",_xlfn.XLOOKUP(H276,'TRA TECH'!J:J,'TRA TECH'!I:I))</f>
        <v>TRAOTHOFRDMD</v>
      </c>
      <c r="J276">
        <f>IF(H276="*","*",_xlfn.XLOOKUP(H276,'TRA TECH'!J:J,'TRA TECH'!N:N))</f>
        <v>2020</v>
      </c>
      <c r="K276" s="15">
        <f>IF(H276="*","*",IF(_xlfn.XLOOKUP(H276,'TRA TECH'!J:J,'TRA TECH'!O:O)="","",_xlfn.XLOOKUP(H276,'TRA TECH'!J:J,'TRA TECH'!O:O)))</f>
        <v>8</v>
      </c>
      <c r="L276">
        <f t="shared" si="21"/>
        <v>1</v>
      </c>
      <c r="M276">
        <f>IF(H276="*","*",IF(_xlfn.XLOOKUP($H276,'TRA TECH'!$J:$J,'TRA TECH'!Q:Q)="","",_xlfn.XLOOKUP($H276,'TRA TECH'!$J:$J,'TRA TECH'!Q:Q)))</f>
        <v>0.29979537091988079</v>
      </c>
      <c r="N276">
        <f>IF(H276="*","*",IF(_xlfn.XLOOKUP($H276,'TRA TECH'!$J:$J,'TRA TECH'!R:R)="","",_xlfn.XLOOKUP($H276,'TRA TECH'!$J:$J,'TRA TECH'!R:R)))</f>
        <v>0.29979537091988079</v>
      </c>
      <c r="O276">
        <f>IF(H276="*","*",IF(_xlfn.XLOOKUP($H276,'TRA TECH'!$J:$J,'TRA TECH'!S:S)="","",_xlfn.XLOOKUP($H276,'TRA TECH'!$J:$J,'TRA TECH'!S:S)))</f>
        <v>0.33030551928783392</v>
      </c>
      <c r="P276">
        <f>IF(H276="*","*",IF(_xlfn.XLOOKUP($H276,'TRA TECH'!$J:$J,'TRA TECH'!T:T)="","",_xlfn.XLOOKUP($H276,'TRA TECH'!$J:$J,'TRA TECH'!T:T)))</f>
        <v>0.35816261127596438</v>
      </c>
      <c r="Q276">
        <f>IF(H276="*","*",IF(_xlfn.XLOOKUP($H276,'TRA TECH'!$J:$J,'TRA TECH'!U:U)="","",_xlfn.XLOOKUP($H276,'TRA TECH'!$J:$J,'TRA TECH'!U:U)))</f>
        <v>0.37408094955489479</v>
      </c>
      <c r="R276">
        <f>IF(H276="*","*",IF(_xlfn.XLOOKUP($H276,'TRA TECH'!$J:$J,'TRA TECH'!V:V)="","",_xlfn.XLOOKUP($H276,'TRA TECH'!$J:$J,'TRA TECH'!V:V)))</f>
        <v>0.3899992878338272</v>
      </c>
      <c r="S276">
        <f>IF(H276="*","*",IF(_xlfn.XLOOKUP($H276,'TRA TECH'!$J:$J,'TRA TECH'!W:W)="","",_xlfn.XLOOKUP($H276,'TRA TECH'!$J:$J,'TRA TECH'!W:W)))</f>
        <v>0.4059176261127605</v>
      </c>
      <c r="T276">
        <f t="shared" si="22"/>
        <v>0.4059176261127605</v>
      </c>
      <c r="U276">
        <f>IF(H276="*","*",IF(_xlfn.XLOOKUP($H276,'TRA TECH'!$J:$J,'TRA TECH'!X:X)="","",_xlfn.XLOOKUP($H276,'TRA TECH'!$J:$J,'TRA TECH'!X:X)))</f>
        <v>515.68743523790056</v>
      </c>
      <c r="V276">
        <f>IF(H276="*","*",IF(_xlfn.XLOOKUP($H276,'TRA TECH'!$J:$J,'TRA TECH'!Y:Y)="","",_xlfn.XLOOKUP($H276,'TRA TECH'!$J:$J,'TRA TECH'!Y:Y)))</f>
        <v>515.68743523790056</v>
      </c>
      <c r="W276">
        <f>IF(H276="*","*",IF(_xlfn.XLOOKUP($H276,'TRA TECH'!$J:$J,'TRA TECH'!Z:Z)="","",_xlfn.XLOOKUP($H276,'TRA TECH'!$J:$J,'TRA TECH'!Z:Z)))</f>
        <v>484.39054261656662</v>
      </c>
      <c r="X276">
        <f>IF(H276="*","*",IF(_xlfn.XLOOKUP($H276,'TRA TECH'!$J:$J,'TRA TECH'!AA:AA)="","",_xlfn.XLOOKUP($H276,'TRA TECH'!$J:$J,'TRA TECH'!AA:AA)))</f>
        <v>464.47433822117449</v>
      </c>
      <c r="Y276">
        <f>IF(H276="*","*",IF(_xlfn.XLOOKUP($H276,'TRA TECH'!$J:$J,'TRA TECH'!AB:AB)="","",_xlfn.XLOOKUP($H276,'TRA TECH'!$J:$J,'TRA TECH'!AB:AB)))</f>
        <v>456.65011506583812</v>
      </c>
      <c r="Z276">
        <f>IF(H276="*","*",IF(_xlfn.XLOOKUP($H276,'TRA TECH'!$J:$J,'TRA TECH'!AC:AC)="","",_xlfn.XLOOKUP($H276,'TRA TECH'!$J:$J,'TRA TECH'!AC:AC)))</f>
        <v>449.53718492462809</v>
      </c>
      <c r="AA276">
        <f>IF(H276="*","*",IF(_xlfn.XLOOKUP($H276,'TRA TECH'!$J:$J,'TRA TECH'!AD:AD)="","",_xlfn.XLOOKUP($H276,'TRA TECH'!$J:$J,'TRA TECH'!AD:AD)))</f>
        <v>441.71296176929172</v>
      </c>
      <c r="AB276">
        <f t="shared" si="23"/>
        <v>441.71296176929172</v>
      </c>
      <c r="AC276" s="15">
        <f>IF(H276="*","*",IF(_xlfn.XLOOKUP($H276,'TRA TECH'!$J:$J,'TRA TECH'!AE:AE)="","",_xlfn.XLOOKUP($H276,'TRA TECH'!$J:$J,'TRA TECH'!AE:AE)))</f>
        <v>10.491571958288329</v>
      </c>
      <c r="AD276" s="15">
        <f>IF(H276="*","*",IF(_xlfn.XLOOKUP($H276,'TRA TECH'!$J:$J,'TRA TECH'!AF:AF)="","",_xlfn.XLOOKUP($H276,'TRA TECH'!$J:$J,'TRA TECH'!AF:AF)))</f>
        <v>10.491571958288329</v>
      </c>
      <c r="AE276" s="15">
        <f>IF(H276="*","*",IF(_xlfn.XLOOKUP($H276,'TRA TECH'!$J:$J,'TRA TECH'!AG:AG)="","",_xlfn.XLOOKUP($H276,'TRA TECH'!$J:$J,'TRA TECH'!AG:AG)))</f>
        <v>10.491571958288329</v>
      </c>
      <c r="AF276" s="15">
        <f>IF(H276="*","*",IF(_xlfn.XLOOKUP($H276,'TRA TECH'!$J:$J,'TRA TECH'!AH:AH)="","",_xlfn.XLOOKUP($H276,'TRA TECH'!$J:$J,'TRA TECH'!AH:AH)))</f>
        <v>10.491571958288329</v>
      </c>
      <c r="AG276" s="15">
        <f>IF(H276="*","*",IF(_xlfn.XLOOKUP($H276,'TRA TECH'!$J:$J,'TRA TECH'!AI:AI)="","",_xlfn.XLOOKUP($H276,'TRA TECH'!$J:$J,'TRA TECH'!AI:AI)))</f>
        <v>10.491571958288329</v>
      </c>
      <c r="AH276" s="15">
        <f>IF(H276="*","*",IF(_xlfn.XLOOKUP($H276,'TRA TECH'!$J:$J,'TRA TECH'!AJ:AJ)="","",_xlfn.XLOOKUP($H276,'TRA TECH'!$J:$J,'TRA TECH'!AJ:AJ)))</f>
        <v>10.491571958288329</v>
      </c>
      <c r="AI276" s="15">
        <f>IF(H276="*","*",IF(_xlfn.XLOOKUP($H276,'TRA TECH'!$J:$J,'TRA TECH'!AK:AK)="","",_xlfn.XLOOKUP($H276,'TRA TECH'!$J:$J,'TRA TECH'!AK:AK)))</f>
        <v>10.491571958288329</v>
      </c>
      <c r="AJ276" s="15">
        <f t="shared" si="24"/>
        <v>10.491571958288329</v>
      </c>
      <c r="AK276" s="16">
        <f t="shared" si="25"/>
        <v>0.25</v>
      </c>
    </row>
    <row r="277" spans="2:37" x14ac:dyDescent="0.25">
      <c r="B277" t="str">
        <f>IF('TRA TECH'!M273=0,"*",IF('TRA TECH'!H273="","*",'TRA TECH'!J273))</f>
        <v>TRAOTHOFRPHEVDSL20</v>
      </c>
      <c r="C277" t="str">
        <f>IF('TRA TECH'!M273=0,"*",'TRA TECH'!H273)</f>
        <v>TRARDS</v>
      </c>
      <c r="D277" t="s">
        <v>424</v>
      </c>
      <c r="E277" s="9">
        <f>'TRA TECH'!P273</f>
        <v>0.30952380952381148</v>
      </c>
      <c r="H277" t="str">
        <f>IF('TRA TECH'!M273=1,IF('TRA TECH'!L273=1,'TRA TECH'!J273,"*"),"*")</f>
        <v>*</v>
      </c>
      <c r="I277" t="str">
        <f>IF(H277="*","*",_xlfn.XLOOKUP(H277,'TRA TECH'!J:J,'TRA TECH'!I:I))</f>
        <v>*</v>
      </c>
      <c r="J277" t="str">
        <f>IF(H277="*","*",_xlfn.XLOOKUP(H277,'TRA TECH'!J:J,'TRA TECH'!N:N))</f>
        <v>*</v>
      </c>
      <c r="K277" s="15" t="str">
        <f>IF(H277="*","*",IF(_xlfn.XLOOKUP(H277,'TRA TECH'!J:J,'TRA TECH'!O:O)="","",_xlfn.XLOOKUP(H277,'TRA TECH'!J:J,'TRA TECH'!O:O)))</f>
        <v>*</v>
      </c>
      <c r="L277" t="str">
        <f t="shared" si="21"/>
        <v>*</v>
      </c>
      <c r="M277" t="str">
        <f>IF(H277="*","*",IF(_xlfn.XLOOKUP($H277,'TRA TECH'!$J:$J,'TRA TECH'!Q:Q)="","",_xlfn.XLOOKUP($H277,'TRA TECH'!$J:$J,'TRA TECH'!Q:Q)))</f>
        <v>*</v>
      </c>
      <c r="N277" t="str">
        <f>IF(H277="*","*",IF(_xlfn.XLOOKUP($H277,'TRA TECH'!$J:$J,'TRA TECH'!R:R)="","",_xlfn.XLOOKUP($H277,'TRA TECH'!$J:$J,'TRA TECH'!R:R)))</f>
        <v>*</v>
      </c>
      <c r="O277" t="str">
        <f>IF(H277="*","*",IF(_xlfn.XLOOKUP($H277,'TRA TECH'!$J:$J,'TRA TECH'!S:S)="","",_xlfn.XLOOKUP($H277,'TRA TECH'!$J:$J,'TRA TECH'!S:S)))</f>
        <v>*</v>
      </c>
      <c r="P277" t="str">
        <f>IF(H277="*","*",IF(_xlfn.XLOOKUP($H277,'TRA TECH'!$J:$J,'TRA TECH'!T:T)="","",_xlfn.XLOOKUP($H277,'TRA TECH'!$J:$J,'TRA TECH'!T:T)))</f>
        <v>*</v>
      </c>
      <c r="Q277" t="str">
        <f>IF(H277="*","*",IF(_xlfn.XLOOKUP($H277,'TRA TECH'!$J:$J,'TRA TECH'!U:U)="","",_xlfn.XLOOKUP($H277,'TRA TECH'!$J:$J,'TRA TECH'!U:U)))</f>
        <v>*</v>
      </c>
      <c r="R277" t="str">
        <f>IF(H277="*","*",IF(_xlfn.XLOOKUP($H277,'TRA TECH'!$J:$J,'TRA TECH'!V:V)="","",_xlfn.XLOOKUP($H277,'TRA TECH'!$J:$J,'TRA TECH'!V:V)))</f>
        <v>*</v>
      </c>
      <c r="S277" t="str">
        <f>IF(H277="*","*",IF(_xlfn.XLOOKUP($H277,'TRA TECH'!$J:$J,'TRA TECH'!W:W)="","",_xlfn.XLOOKUP($H277,'TRA TECH'!$J:$J,'TRA TECH'!W:W)))</f>
        <v>*</v>
      </c>
      <c r="T277" t="str">
        <f t="shared" si="22"/>
        <v>*</v>
      </c>
      <c r="U277" t="str">
        <f>IF(H277="*","*",IF(_xlfn.XLOOKUP($H277,'TRA TECH'!$J:$J,'TRA TECH'!X:X)="","",_xlfn.XLOOKUP($H277,'TRA TECH'!$J:$J,'TRA TECH'!X:X)))</f>
        <v>*</v>
      </c>
      <c r="V277" t="str">
        <f>IF(H277="*","*",IF(_xlfn.XLOOKUP($H277,'TRA TECH'!$J:$J,'TRA TECH'!Y:Y)="","",_xlfn.XLOOKUP($H277,'TRA TECH'!$J:$J,'TRA TECH'!Y:Y)))</f>
        <v>*</v>
      </c>
      <c r="W277" t="str">
        <f>IF(H277="*","*",IF(_xlfn.XLOOKUP($H277,'TRA TECH'!$J:$J,'TRA TECH'!Z:Z)="","",_xlfn.XLOOKUP($H277,'TRA TECH'!$J:$J,'TRA TECH'!Z:Z)))</f>
        <v>*</v>
      </c>
      <c r="X277" t="str">
        <f>IF(H277="*","*",IF(_xlfn.XLOOKUP($H277,'TRA TECH'!$J:$J,'TRA TECH'!AA:AA)="","",_xlfn.XLOOKUP($H277,'TRA TECH'!$J:$J,'TRA TECH'!AA:AA)))</f>
        <v>*</v>
      </c>
      <c r="Y277" t="str">
        <f>IF(H277="*","*",IF(_xlfn.XLOOKUP($H277,'TRA TECH'!$J:$J,'TRA TECH'!AB:AB)="","",_xlfn.XLOOKUP($H277,'TRA TECH'!$J:$J,'TRA TECH'!AB:AB)))</f>
        <v>*</v>
      </c>
      <c r="Z277" t="str">
        <f>IF(H277="*","*",IF(_xlfn.XLOOKUP($H277,'TRA TECH'!$J:$J,'TRA TECH'!AC:AC)="","",_xlfn.XLOOKUP($H277,'TRA TECH'!$J:$J,'TRA TECH'!AC:AC)))</f>
        <v>*</v>
      </c>
      <c r="AA277" t="str">
        <f>IF(H277="*","*",IF(_xlfn.XLOOKUP($H277,'TRA TECH'!$J:$J,'TRA TECH'!AD:AD)="","",_xlfn.XLOOKUP($H277,'TRA TECH'!$J:$J,'TRA TECH'!AD:AD)))</f>
        <v>*</v>
      </c>
      <c r="AB277" t="str">
        <f t="shared" si="23"/>
        <v>*</v>
      </c>
      <c r="AC277" s="15" t="str">
        <f>IF(H277="*","*",IF(_xlfn.XLOOKUP($H277,'TRA TECH'!$J:$J,'TRA TECH'!AE:AE)="","",_xlfn.XLOOKUP($H277,'TRA TECH'!$J:$J,'TRA TECH'!AE:AE)))</f>
        <v>*</v>
      </c>
      <c r="AD277" s="15" t="str">
        <f>IF(H277="*","*",IF(_xlfn.XLOOKUP($H277,'TRA TECH'!$J:$J,'TRA TECH'!AF:AF)="","",_xlfn.XLOOKUP($H277,'TRA TECH'!$J:$J,'TRA TECH'!AF:AF)))</f>
        <v>*</v>
      </c>
      <c r="AE277" s="15" t="str">
        <f>IF(H277="*","*",IF(_xlfn.XLOOKUP($H277,'TRA TECH'!$J:$J,'TRA TECH'!AG:AG)="","",_xlfn.XLOOKUP($H277,'TRA TECH'!$J:$J,'TRA TECH'!AG:AG)))</f>
        <v>*</v>
      </c>
      <c r="AF277" s="15" t="str">
        <f>IF(H277="*","*",IF(_xlfn.XLOOKUP($H277,'TRA TECH'!$J:$J,'TRA TECH'!AH:AH)="","",_xlfn.XLOOKUP($H277,'TRA TECH'!$J:$J,'TRA TECH'!AH:AH)))</f>
        <v>*</v>
      </c>
      <c r="AG277" s="15" t="str">
        <f>IF(H277="*","*",IF(_xlfn.XLOOKUP($H277,'TRA TECH'!$J:$J,'TRA TECH'!AI:AI)="","",_xlfn.XLOOKUP($H277,'TRA TECH'!$J:$J,'TRA TECH'!AI:AI)))</f>
        <v>*</v>
      </c>
      <c r="AH277" s="15" t="str">
        <f>IF(H277="*","*",IF(_xlfn.XLOOKUP($H277,'TRA TECH'!$J:$J,'TRA TECH'!AJ:AJ)="","",_xlfn.XLOOKUP($H277,'TRA TECH'!$J:$J,'TRA TECH'!AJ:AJ)))</f>
        <v>*</v>
      </c>
      <c r="AI277" s="15" t="str">
        <f>IF(H277="*","*",IF(_xlfn.XLOOKUP($H277,'TRA TECH'!$J:$J,'TRA TECH'!AK:AK)="","",_xlfn.XLOOKUP($H277,'TRA TECH'!$J:$J,'TRA TECH'!AK:AK)))</f>
        <v>*</v>
      </c>
      <c r="AJ277" s="15" t="str">
        <f t="shared" si="24"/>
        <v>*</v>
      </c>
      <c r="AK277" s="16" t="str">
        <f t="shared" si="25"/>
        <v>*</v>
      </c>
    </row>
    <row r="278" spans="2:37" x14ac:dyDescent="0.25">
      <c r="B278" t="str">
        <f>IF('TRA TECH'!M274=0,"*",IF('TRA TECH'!H274="","*",'TRA TECH'!J274))</f>
        <v>TRAOTHOFRPHEVDSL20</v>
      </c>
      <c r="C278" t="str">
        <f>IF('TRA TECH'!M274=0,"*",'TRA TECH'!H274)</f>
        <v>TRABDS</v>
      </c>
      <c r="D278" t="s">
        <v>424</v>
      </c>
      <c r="E278" s="9">
        <f>'TRA TECH'!P274</f>
        <v>0.1</v>
      </c>
      <c r="H278" t="str">
        <f>IF('TRA TECH'!M274=1,IF('TRA TECH'!L274=1,'TRA TECH'!J274,"*"),"*")</f>
        <v>*</v>
      </c>
      <c r="I278" t="str">
        <f>IF(H278="*","*",_xlfn.XLOOKUP(H278,'TRA TECH'!J:J,'TRA TECH'!I:I))</f>
        <v>*</v>
      </c>
      <c r="J278" t="str">
        <f>IF(H278="*","*",_xlfn.XLOOKUP(H278,'TRA TECH'!J:J,'TRA TECH'!N:N))</f>
        <v>*</v>
      </c>
      <c r="K278" s="15" t="str">
        <f>IF(H278="*","*",IF(_xlfn.XLOOKUP(H278,'TRA TECH'!J:J,'TRA TECH'!O:O)="","",_xlfn.XLOOKUP(H278,'TRA TECH'!J:J,'TRA TECH'!O:O)))</f>
        <v>*</v>
      </c>
      <c r="L278" t="str">
        <f t="shared" si="21"/>
        <v>*</v>
      </c>
      <c r="M278" t="str">
        <f>IF(H278="*","*",IF(_xlfn.XLOOKUP($H278,'TRA TECH'!$J:$J,'TRA TECH'!Q:Q)="","",_xlfn.XLOOKUP($H278,'TRA TECH'!$J:$J,'TRA TECH'!Q:Q)))</f>
        <v>*</v>
      </c>
      <c r="N278" t="str">
        <f>IF(H278="*","*",IF(_xlfn.XLOOKUP($H278,'TRA TECH'!$J:$J,'TRA TECH'!R:R)="","",_xlfn.XLOOKUP($H278,'TRA TECH'!$J:$J,'TRA TECH'!R:R)))</f>
        <v>*</v>
      </c>
      <c r="O278" t="str">
        <f>IF(H278="*","*",IF(_xlfn.XLOOKUP($H278,'TRA TECH'!$J:$J,'TRA TECH'!S:S)="","",_xlfn.XLOOKUP($H278,'TRA TECH'!$J:$J,'TRA TECH'!S:S)))</f>
        <v>*</v>
      </c>
      <c r="P278" t="str">
        <f>IF(H278="*","*",IF(_xlfn.XLOOKUP($H278,'TRA TECH'!$J:$J,'TRA TECH'!T:T)="","",_xlfn.XLOOKUP($H278,'TRA TECH'!$J:$J,'TRA TECH'!T:T)))</f>
        <v>*</v>
      </c>
      <c r="Q278" t="str">
        <f>IF(H278="*","*",IF(_xlfn.XLOOKUP($H278,'TRA TECH'!$J:$J,'TRA TECH'!U:U)="","",_xlfn.XLOOKUP($H278,'TRA TECH'!$J:$J,'TRA TECH'!U:U)))</f>
        <v>*</v>
      </c>
      <c r="R278" t="str">
        <f>IF(H278="*","*",IF(_xlfn.XLOOKUP($H278,'TRA TECH'!$J:$J,'TRA TECH'!V:V)="","",_xlfn.XLOOKUP($H278,'TRA TECH'!$J:$J,'TRA TECH'!V:V)))</f>
        <v>*</v>
      </c>
      <c r="S278" t="str">
        <f>IF(H278="*","*",IF(_xlfn.XLOOKUP($H278,'TRA TECH'!$J:$J,'TRA TECH'!W:W)="","",_xlfn.XLOOKUP($H278,'TRA TECH'!$J:$J,'TRA TECH'!W:W)))</f>
        <v>*</v>
      </c>
      <c r="T278" t="str">
        <f t="shared" si="22"/>
        <v>*</v>
      </c>
      <c r="U278" t="str">
        <f>IF(H278="*","*",IF(_xlfn.XLOOKUP($H278,'TRA TECH'!$J:$J,'TRA TECH'!X:X)="","",_xlfn.XLOOKUP($H278,'TRA TECH'!$J:$J,'TRA TECH'!X:X)))</f>
        <v>*</v>
      </c>
      <c r="V278" t="str">
        <f>IF(H278="*","*",IF(_xlfn.XLOOKUP($H278,'TRA TECH'!$J:$J,'TRA TECH'!Y:Y)="","",_xlfn.XLOOKUP($H278,'TRA TECH'!$J:$J,'TRA TECH'!Y:Y)))</f>
        <v>*</v>
      </c>
      <c r="W278" t="str">
        <f>IF(H278="*","*",IF(_xlfn.XLOOKUP($H278,'TRA TECH'!$J:$J,'TRA TECH'!Z:Z)="","",_xlfn.XLOOKUP($H278,'TRA TECH'!$J:$J,'TRA TECH'!Z:Z)))</f>
        <v>*</v>
      </c>
      <c r="X278" t="str">
        <f>IF(H278="*","*",IF(_xlfn.XLOOKUP($H278,'TRA TECH'!$J:$J,'TRA TECH'!AA:AA)="","",_xlfn.XLOOKUP($H278,'TRA TECH'!$J:$J,'TRA TECH'!AA:AA)))</f>
        <v>*</v>
      </c>
      <c r="Y278" t="str">
        <f>IF(H278="*","*",IF(_xlfn.XLOOKUP($H278,'TRA TECH'!$J:$J,'TRA TECH'!AB:AB)="","",_xlfn.XLOOKUP($H278,'TRA TECH'!$J:$J,'TRA TECH'!AB:AB)))</f>
        <v>*</v>
      </c>
      <c r="Z278" t="str">
        <f>IF(H278="*","*",IF(_xlfn.XLOOKUP($H278,'TRA TECH'!$J:$J,'TRA TECH'!AC:AC)="","",_xlfn.XLOOKUP($H278,'TRA TECH'!$J:$J,'TRA TECH'!AC:AC)))</f>
        <v>*</v>
      </c>
      <c r="AA278" t="str">
        <f>IF(H278="*","*",IF(_xlfn.XLOOKUP($H278,'TRA TECH'!$J:$J,'TRA TECH'!AD:AD)="","",_xlfn.XLOOKUP($H278,'TRA TECH'!$J:$J,'TRA TECH'!AD:AD)))</f>
        <v>*</v>
      </c>
      <c r="AB278" t="str">
        <f t="shared" si="23"/>
        <v>*</v>
      </c>
      <c r="AC278" s="15" t="str">
        <f>IF(H278="*","*",IF(_xlfn.XLOOKUP($H278,'TRA TECH'!$J:$J,'TRA TECH'!AE:AE)="","",_xlfn.XLOOKUP($H278,'TRA TECH'!$J:$J,'TRA TECH'!AE:AE)))</f>
        <v>*</v>
      </c>
      <c r="AD278" s="15" t="str">
        <f>IF(H278="*","*",IF(_xlfn.XLOOKUP($H278,'TRA TECH'!$J:$J,'TRA TECH'!AF:AF)="","",_xlfn.XLOOKUP($H278,'TRA TECH'!$J:$J,'TRA TECH'!AF:AF)))</f>
        <v>*</v>
      </c>
      <c r="AE278" s="15" t="str">
        <f>IF(H278="*","*",IF(_xlfn.XLOOKUP($H278,'TRA TECH'!$J:$J,'TRA TECH'!AG:AG)="","",_xlfn.XLOOKUP($H278,'TRA TECH'!$J:$J,'TRA TECH'!AG:AG)))</f>
        <v>*</v>
      </c>
      <c r="AF278" s="15" t="str">
        <f>IF(H278="*","*",IF(_xlfn.XLOOKUP($H278,'TRA TECH'!$J:$J,'TRA TECH'!AH:AH)="","",_xlfn.XLOOKUP($H278,'TRA TECH'!$J:$J,'TRA TECH'!AH:AH)))</f>
        <v>*</v>
      </c>
      <c r="AG278" s="15" t="str">
        <f>IF(H278="*","*",IF(_xlfn.XLOOKUP($H278,'TRA TECH'!$J:$J,'TRA TECH'!AI:AI)="","",_xlfn.XLOOKUP($H278,'TRA TECH'!$J:$J,'TRA TECH'!AI:AI)))</f>
        <v>*</v>
      </c>
      <c r="AH278" s="15" t="str">
        <f>IF(H278="*","*",IF(_xlfn.XLOOKUP($H278,'TRA TECH'!$J:$J,'TRA TECH'!AJ:AJ)="","",_xlfn.XLOOKUP($H278,'TRA TECH'!$J:$J,'TRA TECH'!AJ:AJ)))</f>
        <v>*</v>
      </c>
      <c r="AI278" s="15" t="str">
        <f>IF(H278="*","*",IF(_xlfn.XLOOKUP($H278,'TRA TECH'!$J:$J,'TRA TECH'!AK:AK)="","",_xlfn.XLOOKUP($H278,'TRA TECH'!$J:$J,'TRA TECH'!AK:AK)))</f>
        <v>*</v>
      </c>
      <c r="AJ278" s="15" t="str">
        <f t="shared" si="24"/>
        <v>*</v>
      </c>
      <c r="AK278" s="16" t="str">
        <f t="shared" si="25"/>
        <v>*</v>
      </c>
    </row>
    <row r="279" spans="2:37" x14ac:dyDescent="0.25">
      <c r="B279" t="str">
        <f>IF('TRA TECH'!M275=0,"*",IF('TRA TECH'!H275="","*",'TRA TECH'!J275))</f>
        <v>TRAOTHOFRPHEVDSL20</v>
      </c>
      <c r="C279" t="str">
        <f>IF('TRA TECH'!M275=0,"*",'TRA TECH'!H275)</f>
        <v>TRABAF</v>
      </c>
      <c r="D279" t="s">
        <v>424</v>
      </c>
      <c r="E279" s="9">
        <f>'TRA TECH'!P275</f>
        <v>0.69047619047618847</v>
      </c>
      <c r="H279" t="str">
        <f>IF('TRA TECH'!M275=1,IF('TRA TECH'!L275=1,'TRA TECH'!J275,"*"),"*")</f>
        <v>*</v>
      </c>
      <c r="I279" t="str">
        <f>IF(H279="*","*",_xlfn.XLOOKUP(H279,'TRA TECH'!J:J,'TRA TECH'!I:I))</f>
        <v>*</v>
      </c>
      <c r="J279" t="str">
        <f>IF(H279="*","*",_xlfn.XLOOKUP(H279,'TRA TECH'!J:J,'TRA TECH'!N:N))</f>
        <v>*</v>
      </c>
      <c r="K279" s="15" t="str">
        <f>IF(H279="*","*",IF(_xlfn.XLOOKUP(H279,'TRA TECH'!J:J,'TRA TECH'!O:O)="","",_xlfn.XLOOKUP(H279,'TRA TECH'!J:J,'TRA TECH'!O:O)))</f>
        <v>*</v>
      </c>
      <c r="L279" t="str">
        <f t="shared" si="21"/>
        <v>*</v>
      </c>
      <c r="M279" t="str">
        <f>IF(H279="*","*",IF(_xlfn.XLOOKUP($H279,'TRA TECH'!$J:$J,'TRA TECH'!Q:Q)="","",_xlfn.XLOOKUP($H279,'TRA TECH'!$J:$J,'TRA TECH'!Q:Q)))</f>
        <v>*</v>
      </c>
      <c r="N279" t="str">
        <f>IF(H279="*","*",IF(_xlfn.XLOOKUP($H279,'TRA TECH'!$J:$J,'TRA TECH'!R:R)="","",_xlfn.XLOOKUP($H279,'TRA TECH'!$J:$J,'TRA TECH'!R:R)))</f>
        <v>*</v>
      </c>
      <c r="O279" t="str">
        <f>IF(H279="*","*",IF(_xlfn.XLOOKUP($H279,'TRA TECH'!$J:$J,'TRA TECH'!S:S)="","",_xlfn.XLOOKUP($H279,'TRA TECH'!$J:$J,'TRA TECH'!S:S)))</f>
        <v>*</v>
      </c>
      <c r="P279" t="str">
        <f>IF(H279="*","*",IF(_xlfn.XLOOKUP($H279,'TRA TECH'!$J:$J,'TRA TECH'!T:T)="","",_xlfn.XLOOKUP($H279,'TRA TECH'!$J:$J,'TRA TECH'!T:T)))</f>
        <v>*</v>
      </c>
      <c r="Q279" t="str">
        <f>IF(H279="*","*",IF(_xlfn.XLOOKUP($H279,'TRA TECH'!$J:$J,'TRA TECH'!U:U)="","",_xlfn.XLOOKUP($H279,'TRA TECH'!$J:$J,'TRA TECH'!U:U)))</f>
        <v>*</v>
      </c>
      <c r="R279" t="str">
        <f>IF(H279="*","*",IF(_xlfn.XLOOKUP($H279,'TRA TECH'!$J:$J,'TRA TECH'!V:V)="","",_xlfn.XLOOKUP($H279,'TRA TECH'!$J:$J,'TRA TECH'!V:V)))</f>
        <v>*</v>
      </c>
      <c r="S279" t="str">
        <f>IF(H279="*","*",IF(_xlfn.XLOOKUP($H279,'TRA TECH'!$J:$J,'TRA TECH'!W:W)="","",_xlfn.XLOOKUP($H279,'TRA TECH'!$J:$J,'TRA TECH'!W:W)))</f>
        <v>*</v>
      </c>
      <c r="T279" t="str">
        <f t="shared" si="22"/>
        <v>*</v>
      </c>
      <c r="U279" t="str">
        <f>IF(H279="*","*",IF(_xlfn.XLOOKUP($H279,'TRA TECH'!$J:$J,'TRA TECH'!X:X)="","",_xlfn.XLOOKUP($H279,'TRA TECH'!$J:$J,'TRA TECH'!X:X)))</f>
        <v>*</v>
      </c>
      <c r="V279" t="str">
        <f>IF(H279="*","*",IF(_xlfn.XLOOKUP($H279,'TRA TECH'!$J:$J,'TRA TECH'!Y:Y)="","",_xlfn.XLOOKUP($H279,'TRA TECH'!$J:$J,'TRA TECH'!Y:Y)))</f>
        <v>*</v>
      </c>
      <c r="W279" t="str">
        <f>IF(H279="*","*",IF(_xlfn.XLOOKUP($H279,'TRA TECH'!$J:$J,'TRA TECH'!Z:Z)="","",_xlfn.XLOOKUP($H279,'TRA TECH'!$J:$J,'TRA TECH'!Z:Z)))</f>
        <v>*</v>
      </c>
      <c r="X279" t="str">
        <f>IF(H279="*","*",IF(_xlfn.XLOOKUP($H279,'TRA TECH'!$J:$J,'TRA TECH'!AA:AA)="","",_xlfn.XLOOKUP($H279,'TRA TECH'!$J:$J,'TRA TECH'!AA:AA)))</f>
        <v>*</v>
      </c>
      <c r="Y279" t="str">
        <f>IF(H279="*","*",IF(_xlfn.XLOOKUP($H279,'TRA TECH'!$J:$J,'TRA TECH'!AB:AB)="","",_xlfn.XLOOKUP($H279,'TRA TECH'!$J:$J,'TRA TECH'!AB:AB)))</f>
        <v>*</v>
      </c>
      <c r="Z279" t="str">
        <f>IF(H279="*","*",IF(_xlfn.XLOOKUP($H279,'TRA TECH'!$J:$J,'TRA TECH'!AC:AC)="","",_xlfn.XLOOKUP($H279,'TRA TECH'!$J:$J,'TRA TECH'!AC:AC)))</f>
        <v>*</v>
      </c>
      <c r="AA279" t="str">
        <f>IF(H279="*","*",IF(_xlfn.XLOOKUP($H279,'TRA TECH'!$J:$J,'TRA TECH'!AD:AD)="","",_xlfn.XLOOKUP($H279,'TRA TECH'!$J:$J,'TRA TECH'!AD:AD)))</f>
        <v>*</v>
      </c>
      <c r="AB279" t="str">
        <f t="shared" si="23"/>
        <v>*</v>
      </c>
      <c r="AC279" s="15" t="str">
        <f>IF(H279="*","*",IF(_xlfn.XLOOKUP($H279,'TRA TECH'!$J:$J,'TRA TECH'!AE:AE)="","",_xlfn.XLOOKUP($H279,'TRA TECH'!$J:$J,'TRA TECH'!AE:AE)))</f>
        <v>*</v>
      </c>
      <c r="AD279" s="15" t="str">
        <f>IF(H279="*","*",IF(_xlfn.XLOOKUP($H279,'TRA TECH'!$J:$J,'TRA TECH'!AF:AF)="","",_xlfn.XLOOKUP($H279,'TRA TECH'!$J:$J,'TRA TECH'!AF:AF)))</f>
        <v>*</v>
      </c>
      <c r="AE279" s="15" t="str">
        <f>IF(H279="*","*",IF(_xlfn.XLOOKUP($H279,'TRA TECH'!$J:$J,'TRA TECH'!AG:AG)="","",_xlfn.XLOOKUP($H279,'TRA TECH'!$J:$J,'TRA TECH'!AG:AG)))</f>
        <v>*</v>
      </c>
      <c r="AF279" s="15" t="str">
        <f>IF(H279="*","*",IF(_xlfn.XLOOKUP($H279,'TRA TECH'!$J:$J,'TRA TECH'!AH:AH)="","",_xlfn.XLOOKUP($H279,'TRA TECH'!$J:$J,'TRA TECH'!AH:AH)))</f>
        <v>*</v>
      </c>
      <c r="AG279" s="15" t="str">
        <f>IF(H279="*","*",IF(_xlfn.XLOOKUP($H279,'TRA TECH'!$J:$J,'TRA TECH'!AI:AI)="","",_xlfn.XLOOKUP($H279,'TRA TECH'!$J:$J,'TRA TECH'!AI:AI)))</f>
        <v>*</v>
      </c>
      <c r="AH279" s="15" t="str">
        <f>IF(H279="*","*",IF(_xlfn.XLOOKUP($H279,'TRA TECH'!$J:$J,'TRA TECH'!AJ:AJ)="","",_xlfn.XLOOKUP($H279,'TRA TECH'!$J:$J,'TRA TECH'!AJ:AJ)))</f>
        <v>*</v>
      </c>
      <c r="AI279" s="15" t="str">
        <f>IF(H279="*","*",IF(_xlfn.XLOOKUP($H279,'TRA TECH'!$J:$J,'TRA TECH'!AK:AK)="","",_xlfn.XLOOKUP($H279,'TRA TECH'!$J:$J,'TRA TECH'!AK:AK)))</f>
        <v>*</v>
      </c>
      <c r="AJ279" s="15" t="str">
        <f t="shared" si="24"/>
        <v>*</v>
      </c>
      <c r="AK279" s="16" t="str">
        <f t="shared" si="25"/>
        <v>*</v>
      </c>
    </row>
    <row r="280" spans="2:37" x14ac:dyDescent="0.25">
      <c r="B280" t="str">
        <f>IF('TRA TECH'!M276=0,"*",IF('TRA TECH'!H276="","*",'TRA TECH'!J276))</f>
        <v>TRAOTHOFRFCEV20</v>
      </c>
      <c r="C280" t="str">
        <f>IF('TRA TECH'!M276=0,"*",'TRA TECH'!H276)</f>
        <v>TRAH2G</v>
      </c>
      <c r="D280" t="s">
        <v>424</v>
      </c>
      <c r="E280" s="9">
        <f>'TRA TECH'!P276</f>
        <v>1</v>
      </c>
      <c r="H280" t="str">
        <f>IF('TRA TECH'!M276=1,IF('TRA TECH'!L276=1,'TRA TECH'!J276,"*"),"*")</f>
        <v>TRAOTHOFRFCEV20</v>
      </c>
      <c r="I280" t="str">
        <f>IF(H280="*","*",_xlfn.XLOOKUP(H280,'TRA TECH'!J:J,'TRA TECH'!I:I))</f>
        <v>TRAOTHOFRDMD</v>
      </c>
      <c r="J280">
        <f>IF(H280="*","*",_xlfn.XLOOKUP(H280,'TRA TECH'!J:J,'TRA TECH'!N:N))</f>
        <v>2020</v>
      </c>
      <c r="K280" s="15">
        <f>IF(H280="*","*",IF(_xlfn.XLOOKUP(H280,'TRA TECH'!J:J,'TRA TECH'!O:O)="","",_xlfn.XLOOKUP(H280,'TRA TECH'!J:J,'TRA TECH'!O:O)))</f>
        <v>8</v>
      </c>
      <c r="L280">
        <f t="shared" si="21"/>
        <v>1</v>
      </c>
      <c r="M280">
        <f>IF(H280="*","*",IF(_xlfn.XLOOKUP($H280,'TRA TECH'!$J:$J,'TRA TECH'!Q:Q)="","",_xlfn.XLOOKUP($H280,'TRA TECH'!$J:$J,'TRA TECH'!Q:Q)))</f>
        <v>0.20030575667655801</v>
      </c>
      <c r="N280">
        <f>IF(H280="*","*",IF(_xlfn.XLOOKUP($H280,'TRA TECH'!$J:$J,'TRA TECH'!R:R)="","",_xlfn.XLOOKUP($H280,'TRA TECH'!$J:$J,'TRA TECH'!R:R)))</f>
        <v>0.20030575667655801</v>
      </c>
      <c r="O280">
        <f>IF(H280="*","*",IF(_xlfn.XLOOKUP($H280,'TRA TECH'!$J:$J,'TRA TECH'!S:S)="","",_xlfn.XLOOKUP($H280,'TRA TECH'!$J:$J,'TRA TECH'!S:S)))</f>
        <v>0.22020367952522271</v>
      </c>
      <c r="P280">
        <f>IF(H280="*","*",IF(_xlfn.XLOOKUP($H280,'TRA TECH'!$J:$J,'TRA TECH'!T:T)="","",_xlfn.XLOOKUP($H280,'TRA TECH'!$J:$J,'TRA TECH'!T:T)))</f>
        <v>0.24142813056379819</v>
      </c>
      <c r="Q280">
        <f>IF(H280="*","*",IF(_xlfn.XLOOKUP($H280,'TRA TECH'!$J:$J,'TRA TECH'!U:U)="","",_xlfn.XLOOKUP($H280,'TRA TECH'!$J:$J,'TRA TECH'!U:U)))</f>
        <v>0.25071382789317492</v>
      </c>
      <c r="R280">
        <f>IF(H280="*","*",IF(_xlfn.XLOOKUP($H280,'TRA TECH'!$J:$J,'TRA TECH'!V:V)="","",_xlfn.XLOOKUP($H280,'TRA TECH'!$J:$J,'TRA TECH'!V:V)))</f>
        <v>0.26132605341246301</v>
      </c>
      <c r="S280">
        <f>IF(H280="*","*",IF(_xlfn.XLOOKUP($H280,'TRA TECH'!$J:$J,'TRA TECH'!W:W)="","",_xlfn.XLOOKUP($H280,'TRA TECH'!$J:$J,'TRA TECH'!W:W)))</f>
        <v>0.27061175074183957</v>
      </c>
      <c r="T280">
        <f t="shared" si="22"/>
        <v>0.27061175074183957</v>
      </c>
      <c r="U280">
        <f>IF(H280="*","*",IF(_xlfn.XLOOKUP($H280,'TRA TECH'!$J:$J,'TRA TECH'!X:X)="","",_xlfn.XLOOKUP($H280,'TRA TECH'!$J:$J,'TRA TECH'!X:X)))</f>
        <v>635.89595462439217</v>
      </c>
      <c r="V280">
        <f>IF(H280="*","*",IF(_xlfn.XLOOKUP($H280,'TRA TECH'!$J:$J,'TRA TECH'!Y:Y)="","",_xlfn.XLOOKUP($H280,'TRA TECH'!$J:$J,'TRA TECH'!Y:Y)))</f>
        <v>635.89595462439217</v>
      </c>
      <c r="W280">
        <f>IF(H280="*","*",IF(_xlfn.XLOOKUP($H280,'TRA TECH'!$J:$J,'TRA TECH'!Z:Z)="","",_xlfn.XLOOKUP($H280,'TRA TECH'!$J:$J,'TRA TECH'!Z:Z)))</f>
        <v>598.19742487596693</v>
      </c>
      <c r="X280">
        <f>IF(H280="*","*",IF(_xlfn.XLOOKUP($H280,'TRA TECH'!$J:$J,'TRA TECH'!AA:AA)="","",_xlfn.XLOOKUP($H280,'TRA TECH'!$J:$J,'TRA TECH'!AA:AA)))</f>
        <v>566.18923924051046</v>
      </c>
      <c r="Y280">
        <f>IF(H280="*","*",IF(_xlfn.XLOOKUP($H280,'TRA TECH'!$J:$J,'TRA TECH'!AB:AB)="","",_xlfn.XLOOKUP($H280,'TRA TECH'!$J:$J,'TRA TECH'!AB:AB)))</f>
        <v>553.38596498632808</v>
      </c>
      <c r="Z280">
        <f>IF(H280="*","*",IF(_xlfn.XLOOKUP($H280,'TRA TECH'!$J:$J,'TRA TECH'!AC:AC)="","",_xlfn.XLOOKUP($H280,'TRA TECH'!$J:$J,'TRA TECH'!AC:AC)))</f>
        <v>540.58269073214626</v>
      </c>
      <c r="AA280">
        <f>IF(H280="*","*",IF(_xlfn.XLOOKUP($H280,'TRA TECH'!$J:$J,'TRA TECH'!AD:AD)="","",_xlfn.XLOOKUP($H280,'TRA TECH'!$J:$J,'TRA TECH'!AD:AD)))</f>
        <v>527.77941647796388</v>
      </c>
      <c r="AB280">
        <f t="shared" si="23"/>
        <v>527.77941647796388</v>
      </c>
      <c r="AC280" s="15">
        <f>IF(H280="*","*",IF(_xlfn.XLOOKUP($H280,'TRA TECH'!$J:$J,'TRA TECH'!AE:AE)="","",_xlfn.XLOOKUP($H280,'TRA TECH'!$J:$J,'TRA TECH'!AE:AE)))</f>
        <v>10.49157195828835</v>
      </c>
      <c r="AD280" s="15">
        <f>IF(H280="*","*",IF(_xlfn.XLOOKUP($H280,'TRA TECH'!$J:$J,'TRA TECH'!AF:AF)="","",_xlfn.XLOOKUP($H280,'TRA TECH'!$J:$J,'TRA TECH'!AF:AF)))</f>
        <v>10.49157195828835</v>
      </c>
      <c r="AE280" s="15">
        <f>IF(H280="*","*",IF(_xlfn.XLOOKUP($H280,'TRA TECH'!$J:$J,'TRA TECH'!AG:AG)="","",_xlfn.XLOOKUP($H280,'TRA TECH'!$J:$J,'TRA TECH'!AG:AG)))</f>
        <v>10.49157195828835</v>
      </c>
      <c r="AF280" s="15">
        <f>IF(H280="*","*",IF(_xlfn.XLOOKUP($H280,'TRA TECH'!$J:$J,'TRA TECH'!AH:AH)="","",_xlfn.XLOOKUP($H280,'TRA TECH'!$J:$J,'TRA TECH'!AH:AH)))</f>
        <v>10.49157195828835</v>
      </c>
      <c r="AG280" s="15">
        <f>IF(H280="*","*",IF(_xlfn.XLOOKUP($H280,'TRA TECH'!$J:$J,'TRA TECH'!AI:AI)="","",_xlfn.XLOOKUP($H280,'TRA TECH'!$J:$J,'TRA TECH'!AI:AI)))</f>
        <v>10.49157195828835</v>
      </c>
      <c r="AH280" s="15">
        <f>IF(H280="*","*",IF(_xlfn.XLOOKUP($H280,'TRA TECH'!$J:$J,'TRA TECH'!AJ:AJ)="","",_xlfn.XLOOKUP($H280,'TRA TECH'!$J:$J,'TRA TECH'!AJ:AJ)))</f>
        <v>10.49157195828835</v>
      </c>
      <c r="AI280" s="15">
        <f>IF(H280="*","*",IF(_xlfn.XLOOKUP($H280,'TRA TECH'!$J:$J,'TRA TECH'!AK:AK)="","",_xlfn.XLOOKUP($H280,'TRA TECH'!$J:$J,'TRA TECH'!AK:AK)))</f>
        <v>10.49157195828835</v>
      </c>
      <c r="AJ280" s="15">
        <f t="shared" si="24"/>
        <v>10.49157195828835</v>
      </c>
      <c r="AK280" s="16">
        <f t="shared" si="25"/>
        <v>0.4</v>
      </c>
    </row>
    <row r="281" spans="2:37" x14ac:dyDescent="0.25">
      <c r="B281" t="str">
        <f>IF('TRA TECH'!M277=0,"*",IF('TRA TECH'!H277="","*",'TRA TECH'!J277))</f>
        <v>TRAOTHOFRFCHEV20</v>
      </c>
      <c r="C281" t="str">
        <f>IF('TRA TECH'!M277=0,"*",'TRA TECH'!H277)</f>
        <v>TRAH2G</v>
      </c>
      <c r="D281" t="s">
        <v>424</v>
      </c>
      <c r="E281" s="9">
        <f>'TRA TECH'!P277</f>
        <v>0.89763779527559173</v>
      </c>
      <c r="H281" t="str">
        <f>IF('TRA TECH'!M277=1,IF('TRA TECH'!L277=1,'TRA TECH'!J277,"*"),"*")</f>
        <v>TRAOTHOFRFCHEV20</v>
      </c>
      <c r="I281" t="str">
        <f>IF(H281="*","*",_xlfn.XLOOKUP(H281,'TRA TECH'!J:J,'TRA TECH'!I:I))</f>
        <v>TRAOTHOFRDMD</v>
      </c>
      <c r="J281">
        <f>IF(H281="*","*",_xlfn.XLOOKUP(H281,'TRA TECH'!J:J,'TRA TECH'!N:N))</f>
        <v>2020</v>
      </c>
      <c r="K281" s="15">
        <f>IF(H281="*","*",IF(_xlfn.XLOOKUP(H281,'TRA TECH'!J:J,'TRA TECH'!O:O)="","",_xlfn.XLOOKUP(H281,'TRA TECH'!J:J,'TRA TECH'!O:O)))</f>
        <v>8</v>
      </c>
      <c r="L281">
        <f t="shared" si="21"/>
        <v>1</v>
      </c>
      <c r="M281">
        <f>IF(H281="*","*",IF(_xlfn.XLOOKUP($H281,'TRA TECH'!$J:$J,'TRA TECH'!Q:Q)="","",_xlfn.XLOOKUP($H281,'TRA TECH'!$J:$J,'TRA TECH'!Q:Q)))</f>
        <v>0.2175506231454005</v>
      </c>
      <c r="N281">
        <f>IF(H281="*","*",IF(_xlfn.XLOOKUP($H281,'TRA TECH'!$J:$J,'TRA TECH'!R:R)="","",_xlfn.XLOOKUP($H281,'TRA TECH'!$J:$J,'TRA TECH'!R:R)))</f>
        <v>0.2175506231454005</v>
      </c>
      <c r="O281">
        <f>IF(H281="*","*",IF(_xlfn.XLOOKUP($H281,'TRA TECH'!$J:$J,'TRA TECH'!S:S)="","",_xlfn.XLOOKUP($H281,'TRA TECH'!$J:$J,'TRA TECH'!S:S)))</f>
        <v>0.24010160237388731</v>
      </c>
      <c r="P281">
        <f>IF(H281="*","*",IF(_xlfn.XLOOKUP($H281,'TRA TECH'!$J:$J,'TRA TECH'!T:T)="","",_xlfn.XLOOKUP($H281,'TRA TECH'!$J:$J,'TRA TECH'!T:T)))</f>
        <v>0.25867299703264102</v>
      </c>
      <c r="Q281">
        <f>IF(H281="*","*",IF(_xlfn.XLOOKUP($H281,'TRA TECH'!$J:$J,'TRA TECH'!U:U)="","",_xlfn.XLOOKUP($H281,'TRA TECH'!$J:$J,'TRA TECH'!U:U)))</f>
        <v>0.26663216617210689</v>
      </c>
      <c r="R281">
        <f>IF(H281="*","*",IF(_xlfn.XLOOKUP($H281,'TRA TECH'!$J:$J,'TRA TECH'!V:V)="","",_xlfn.XLOOKUP($H281,'TRA TECH'!$J:$J,'TRA TECH'!V:V)))</f>
        <v>0.27591786350148362</v>
      </c>
      <c r="S281">
        <f>IF(H281="*","*",IF(_xlfn.XLOOKUP($H281,'TRA TECH'!$J:$J,'TRA TECH'!W:W)="","",_xlfn.XLOOKUP($H281,'TRA TECH'!$J:$J,'TRA TECH'!W:W)))</f>
        <v>0.28387703264094938</v>
      </c>
      <c r="T281">
        <f t="shared" si="22"/>
        <v>0.28387703264094938</v>
      </c>
      <c r="U281">
        <f>IF(H281="*","*",IF(_xlfn.XLOOKUP($H281,'TRA TECH'!$J:$J,'TRA TECH'!X:X)="","",_xlfn.XLOOKUP($H281,'TRA TECH'!$J:$J,'TRA TECH'!X:X)))</f>
        <v>537.02622566153968</v>
      </c>
      <c r="V281">
        <f>IF(H281="*","*",IF(_xlfn.XLOOKUP($H281,'TRA TECH'!$J:$J,'TRA TECH'!Y:Y)="","",_xlfn.XLOOKUP($H281,'TRA TECH'!$J:$J,'TRA TECH'!Y:Y)))</f>
        <v>537.02622566153968</v>
      </c>
      <c r="W281">
        <f>IF(H281="*","*",IF(_xlfn.XLOOKUP($H281,'TRA TECH'!$J:$J,'TRA TECH'!Z:Z)="","",_xlfn.XLOOKUP($H281,'TRA TECH'!$J:$J,'TRA TECH'!Z:Z)))</f>
        <v>500.03898892723481</v>
      </c>
      <c r="X281">
        <f>IF(H281="*","*",IF(_xlfn.XLOOKUP($H281,'TRA TECH'!$J:$J,'TRA TECH'!AA:AA)="","",_xlfn.XLOOKUP($H281,'TRA TECH'!$J:$J,'TRA TECH'!AA:AA)))</f>
        <v>476.56631946123417</v>
      </c>
      <c r="Y281">
        <f>IF(H281="*","*",IF(_xlfn.XLOOKUP($H281,'TRA TECH'!$J:$J,'TRA TECH'!AB:AB)="","",_xlfn.XLOOKUP($H281,'TRA TECH'!$J:$J,'TRA TECH'!AB:AB)))</f>
        <v>466.60821726353652</v>
      </c>
      <c r="Z281">
        <f>IF(H281="*","*",IF(_xlfn.XLOOKUP($H281,'TRA TECH'!$J:$J,'TRA TECH'!AC:AC)="","",_xlfn.XLOOKUP($H281,'TRA TECH'!$J:$J,'TRA TECH'!AC:AC)))</f>
        <v>456.65011506583892</v>
      </c>
      <c r="AA281">
        <f>IF(H281="*","*",IF(_xlfn.XLOOKUP($H281,'TRA TECH'!$J:$J,'TRA TECH'!AD:AD)="","",_xlfn.XLOOKUP($H281,'TRA TECH'!$J:$J,'TRA TECH'!AD:AD)))</f>
        <v>446.69201286814172</v>
      </c>
      <c r="AB281">
        <f t="shared" si="23"/>
        <v>446.69201286814172</v>
      </c>
      <c r="AC281" s="15">
        <f>IF(H281="*","*",IF(_xlfn.XLOOKUP($H281,'TRA TECH'!$J:$J,'TRA TECH'!AE:AE)="","",_xlfn.XLOOKUP($H281,'TRA TECH'!$J:$J,'TRA TECH'!AE:AE)))</f>
        <v>10.49157195828835</v>
      </c>
      <c r="AD281" s="15">
        <f>IF(H281="*","*",IF(_xlfn.XLOOKUP($H281,'TRA TECH'!$J:$J,'TRA TECH'!AF:AF)="","",_xlfn.XLOOKUP($H281,'TRA TECH'!$J:$J,'TRA TECH'!AF:AF)))</f>
        <v>10.49157195828835</v>
      </c>
      <c r="AE281" s="15">
        <f>IF(H281="*","*",IF(_xlfn.XLOOKUP($H281,'TRA TECH'!$J:$J,'TRA TECH'!AG:AG)="","",_xlfn.XLOOKUP($H281,'TRA TECH'!$J:$J,'TRA TECH'!AG:AG)))</f>
        <v>10.49157195828835</v>
      </c>
      <c r="AF281" s="15">
        <f>IF(H281="*","*",IF(_xlfn.XLOOKUP($H281,'TRA TECH'!$J:$J,'TRA TECH'!AH:AH)="","",_xlfn.XLOOKUP($H281,'TRA TECH'!$J:$J,'TRA TECH'!AH:AH)))</f>
        <v>10.49157195828835</v>
      </c>
      <c r="AG281" s="15">
        <f>IF(H281="*","*",IF(_xlfn.XLOOKUP($H281,'TRA TECH'!$J:$J,'TRA TECH'!AI:AI)="","",_xlfn.XLOOKUP($H281,'TRA TECH'!$J:$J,'TRA TECH'!AI:AI)))</f>
        <v>10.49157195828835</v>
      </c>
      <c r="AH281" s="15">
        <f>IF(H281="*","*",IF(_xlfn.XLOOKUP($H281,'TRA TECH'!$J:$J,'TRA TECH'!AJ:AJ)="","",_xlfn.XLOOKUP($H281,'TRA TECH'!$J:$J,'TRA TECH'!AJ:AJ)))</f>
        <v>10.49157195828835</v>
      </c>
      <c r="AI281" s="15">
        <f>IF(H281="*","*",IF(_xlfn.XLOOKUP($H281,'TRA TECH'!$J:$J,'TRA TECH'!AK:AK)="","",_xlfn.XLOOKUP($H281,'TRA TECH'!$J:$J,'TRA TECH'!AK:AK)))</f>
        <v>10.49157195828835</v>
      </c>
      <c r="AJ281" s="15">
        <f t="shared" si="24"/>
        <v>10.49157195828835</v>
      </c>
      <c r="AK281" s="16">
        <f t="shared" si="25"/>
        <v>0.25</v>
      </c>
    </row>
    <row r="282" spans="2:37" x14ac:dyDescent="0.25">
      <c r="B282" t="str">
        <f>IF('TRA TECH'!M278=0,"*",IF('TRA TECH'!H278="","*",'TRA TECH'!J278))</f>
        <v>TRAOTHOFRFCHEV20</v>
      </c>
      <c r="C282" t="str">
        <f>IF('TRA TECH'!M278=0,"*",'TRA TECH'!H278)</f>
        <v>TRABAF</v>
      </c>
      <c r="D282" t="s">
        <v>424</v>
      </c>
      <c r="E282" s="9">
        <f>'TRA TECH'!P278</f>
        <v>0.1023622047244083</v>
      </c>
      <c r="H282" t="str">
        <f>IF('TRA TECH'!M278=1,IF('TRA TECH'!L278=1,'TRA TECH'!J278,"*"),"*")</f>
        <v>*</v>
      </c>
      <c r="I282" t="str">
        <f>IF(H282="*","*",_xlfn.XLOOKUP(H282,'TRA TECH'!J:J,'TRA TECH'!I:I))</f>
        <v>*</v>
      </c>
      <c r="J282" t="str">
        <f>IF(H282="*","*",_xlfn.XLOOKUP(H282,'TRA TECH'!J:J,'TRA TECH'!N:N))</f>
        <v>*</v>
      </c>
      <c r="K282" s="15" t="str">
        <f>IF(H282="*","*",IF(_xlfn.XLOOKUP(H282,'TRA TECH'!J:J,'TRA TECH'!O:O)="","",_xlfn.XLOOKUP(H282,'TRA TECH'!J:J,'TRA TECH'!O:O)))</f>
        <v>*</v>
      </c>
      <c r="L282" t="str">
        <f t="shared" si="21"/>
        <v>*</v>
      </c>
      <c r="M282" t="str">
        <f>IF(H282="*","*",IF(_xlfn.XLOOKUP($H282,'TRA TECH'!$J:$J,'TRA TECH'!Q:Q)="","",_xlfn.XLOOKUP($H282,'TRA TECH'!$J:$J,'TRA TECH'!Q:Q)))</f>
        <v>*</v>
      </c>
      <c r="N282" t="str">
        <f>IF(H282="*","*",IF(_xlfn.XLOOKUP($H282,'TRA TECH'!$J:$J,'TRA TECH'!R:R)="","",_xlfn.XLOOKUP($H282,'TRA TECH'!$J:$J,'TRA TECH'!R:R)))</f>
        <v>*</v>
      </c>
      <c r="O282" t="str">
        <f>IF(H282="*","*",IF(_xlfn.XLOOKUP($H282,'TRA TECH'!$J:$J,'TRA TECH'!S:S)="","",_xlfn.XLOOKUP($H282,'TRA TECH'!$J:$J,'TRA TECH'!S:S)))</f>
        <v>*</v>
      </c>
      <c r="P282" t="str">
        <f>IF(H282="*","*",IF(_xlfn.XLOOKUP($H282,'TRA TECH'!$J:$J,'TRA TECH'!T:T)="","",_xlfn.XLOOKUP($H282,'TRA TECH'!$J:$J,'TRA TECH'!T:T)))</f>
        <v>*</v>
      </c>
      <c r="Q282" t="str">
        <f>IF(H282="*","*",IF(_xlfn.XLOOKUP($H282,'TRA TECH'!$J:$J,'TRA TECH'!U:U)="","",_xlfn.XLOOKUP($H282,'TRA TECH'!$J:$J,'TRA TECH'!U:U)))</f>
        <v>*</v>
      </c>
      <c r="R282" t="str">
        <f>IF(H282="*","*",IF(_xlfn.XLOOKUP($H282,'TRA TECH'!$J:$J,'TRA TECH'!V:V)="","",_xlfn.XLOOKUP($H282,'TRA TECH'!$J:$J,'TRA TECH'!V:V)))</f>
        <v>*</v>
      </c>
      <c r="S282" t="str">
        <f>IF(H282="*","*",IF(_xlfn.XLOOKUP($H282,'TRA TECH'!$J:$J,'TRA TECH'!W:W)="","",_xlfn.XLOOKUP($H282,'TRA TECH'!$J:$J,'TRA TECH'!W:W)))</f>
        <v>*</v>
      </c>
      <c r="T282" t="str">
        <f t="shared" si="22"/>
        <v>*</v>
      </c>
      <c r="U282" t="str">
        <f>IF(H282="*","*",IF(_xlfn.XLOOKUP($H282,'TRA TECH'!$J:$J,'TRA TECH'!X:X)="","",_xlfn.XLOOKUP($H282,'TRA TECH'!$J:$J,'TRA TECH'!X:X)))</f>
        <v>*</v>
      </c>
      <c r="V282" t="str">
        <f>IF(H282="*","*",IF(_xlfn.XLOOKUP($H282,'TRA TECH'!$J:$J,'TRA TECH'!Y:Y)="","",_xlfn.XLOOKUP($H282,'TRA TECH'!$J:$J,'TRA TECH'!Y:Y)))</f>
        <v>*</v>
      </c>
      <c r="W282" t="str">
        <f>IF(H282="*","*",IF(_xlfn.XLOOKUP($H282,'TRA TECH'!$J:$J,'TRA TECH'!Z:Z)="","",_xlfn.XLOOKUP($H282,'TRA TECH'!$J:$J,'TRA TECH'!Z:Z)))</f>
        <v>*</v>
      </c>
      <c r="X282" t="str">
        <f>IF(H282="*","*",IF(_xlfn.XLOOKUP($H282,'TRA TECH'!$J:$J,'TRA TECH'!AA:AA)="","",_xlfn.XLOOKUP($H282,'TRA TECH'!$J:$J,'TRA TECH'!AA:AA)))</f>
        <v>*</v>
      </c>
      <c r="Y282" t="str">
        <f>IF(H282="*","*",IF(_xlfn.XLOOKUP($H282,'TRA TECH'!$J:$J,'TRA TECH'!AB:AB)="","",_xlfn.XLOOKUP($H282,'TRA TECH'!$J:$J,'TRA TECH'!AB:AB)))</f>
        <v>*</v>
      </c>
      <c r="Z282" t="str">
        <f>IF(H282="*","*",IF(_xlfn.XLOOKUP($H282,'TRA TECH'!$J:$J,'TRA TECH'!AC:AC)="","",_xlfn.XLOOKUP($H282,'TRA TECH'!$J:$J,'TRA TECH'!AC:AC)))</f>
        <v>*</v>
      </c>
      <c r="AA282" t="str">
        <f>IF(H282="*","*",IF(_xlfn.XLOOKUP($H282,'TRA TECH'!$J:$J,'TRA TECH'!AD:AD)="","",_xlfn.XLOOKUP($H282,'TRA TECH'!$J:$J,'TRA TECH'!AD:AD)))</f>
        <v>*</v>
      </c>
      <c r="AB282" t="str">
        <f t="shared" si="23"/>
        <v>*</v>
      </c>
      <c r="AC282" s="15" t="str">
        <f>IF(H282="*","*",IF(_xlfn.XLOOKUP($H282,'TRA TECH'!$J:$J,'TRA TECH'!AE:AE)="","",_xlfn.XLOOKUP($H282,'TRA TECH'!$J:$J,'TRA TECH'!AE:AE)))</f>
        <v>*</v>
      </c>
      <c r="AD282" s="15" t="str">
        <f>IF(H282="*","*",IF(_xlfn.XLOOKUP($H282,'TRA TECH'!$J:$J,'TRA TECH'!AF:AF)="","",_xlfn.XLOOKUP($H282,'TRA TECH'!$J:$J,'TRA TECH'!AF:AF)))</f>
        <v>*</v>
      </c>
      <c r="AE282" s="15" t="str">
        <f>IF(H282="*","*",IF(_xlfn.XLOOKUP($H282,'TRA TECH'!$J:$J,'TRA TECH'!AG:AG)="","",_xlfn.XLOOKUP($H282,'TRA TECH'!$J:$J,'TRA TECH'!AG:AG)))</f>
        <v>*</v>
      </c>
      <c r="AF282" s="15" t="str">
        <f>IF(H282="*","*",IF(_xlfn.XLOOKUP($H282,'TRA TECH'!$J:$J,'TRA TECH'!AH:AH)="","",_xlfn.XLOOKUP($H282,'TRA TECH'!$J:$J,'TRA TECH'!AH:AH)))</f>
        <v>*</v>
      </c>
      <c r="AG282" s="15" t="str">
        <f>IF(H282="*","*",IF(_xlfn.XLOOKUP($H282,'TRA TECH'!$J:$J,'TRA TECH'!AI:AI)="","",_xlfn.XLOOKUP($H282,'TRA TECH'!$J:$J,'TRA TECH'!AI:AI)))</f>
        <v>*</v>
      </c>
      <c r="AH282" s="15" t="str">
        <f>IF(H282="*","*",IF(_xlfn.XLOOKUP($H282,'TRA TECH'!$J:$J,'TRA TECH'!AJ:AJ)="","",_xlfn.XLOOKUP($H282,'TRA TECH'!$J:$J,'TRA TECH'!AJ:AJ)))</f>
        <v>*</v>
      </c>
      <c r="AI282" s="15" t="str">
        <f>IF(H282="*","*",IF(_xlfn.XLOOKUP($H282,'TRA TECH'!$J:$J,'TRA TECH'!AK:AK)="","",_xlfn.XLOOKUP($H282,'TRA TECH'!$J:$J,'TRA TECH'!AK:AK)))</f>
        <v>*</v>
      </c>
      <c r="AJ282" s="15" t="str">
        <f t="shared" si="24"/>
        <v>*</v>
      </c>
      <c r="AK282" s="16" t="str">
        <f t="shared" si="25"/>
        <v>*</v>
      </c>
    </row>
    <row r="283" spans="2:37" x14ac:dyDescent="0.25">
      <c r="B283" t="str">
        <f>IF('TRA TECH'!M279=0,"*",IF('TRA TECH'!H279="","*",'TRA TECH'!J279))</f>
        <v>TRAOTHOFRBEV20</v>
      </c>
      <c r="C283" t="str">
        <f>IF('TRA TECH'!M279=0,"*",'TRA TECH'!H279)</f>
        <v>TRABAF</v>
      </c>
      <c r="D283" t="s">
        <v>424</v>
      </c>
      <c r="E283" s="9">
        <f>'TRA TECH'!P279</f>
        <v>1</v>
      </c>
      <c r="H283" t="str">
        <f>IF('TRA TECH'!M279=1,IF('TRA TECH'!L279=1,'TRA TECH'!J279,"*"),"*")</f>
        <v>TRAOTHOFRBEV20</v>
      </c>
      <c r="I283" t="str">
        <f>IF(H283="*","*",_xlfn.XLOOKUP(H283,'TRA TECH'!J:J,'TRA TECH'!I:I))</f>
        <v>TRAOTHOFRDMD</v>
      </c>
      <c r="J283">
        <f>IF(H283="*","*",_xlfn.XLOOKUP(H283,'TRA TECH'!J:J,'TRA TECH'!N:N))</f>
        <v>2020</v>
      </c>
      <c r="K283" s="15">
        <f>IF(H283="*","*",IF(_xlfn.XLOOKUP(H283,'TRA TECH'!J:J,'TRA TECH'!O:O)="","",_xlfn.XLOOKUP(H283,'TRA TECH'!J:J,'TRA TECH'!O:O)))</f>
        <v>8</v>
      </c>
      <c r="L283">
        <f t="shared" si="21"/>
        <v>1</v>
      </c>
      <c r="M283">
        <f>IF(H283="*","*",IF(_xlfn.XLOOKUP($H283,'TRA TECH'!$J:$J,'TRA TECH'!Q:Q)="","",_xlfn.XLOOKUP($H283,'TRA TECH'!$J:$J,'TRA TECH'!Q:Q)))</f>
        <v>0.36877483679525219</v>
      </c>
      <c r="N283">
        <f>IF(H283="*","*",IF(_xlfn.XLOOKUP($H283,'TRA TECH'!$J:$J,'TRA TECH'!R:R)="","",_xlfn.XLOOKUP($H283,'TRA TECH'!$J:$J,'TRA TECH'!R:R)))</f>
        <v>0.36877483679525219</v>
      </c>
      <c r="O283">
        <f>IF(H283="*","*",IF(_xlfn.XLOOKUP($H283,'TRA TECH'!$J:$J,'TRA TECH'!S:S)="","",_xlfn.XLOOKUP($H283,'TRA TECH'!$J:$J,'TRA TECH'!S:S)))</f>
        <v>0.40061151335311579</v>
      </c>
      <c r="P283">
        <f>IF(H283="*","*",IF(_xlfn.XLOOKUP($H283,'TRA TECH'!$J:$J,'TRA TECH'!T:T)="","",_xlfn.XLOOKUP($H283,'TRA TECH'!$J:$J,'TRA TECH'!T:T)))</f>
        <v>0.43510124629080099</v>
      </c>
      <c r="Q283">
        <f>IF(H283="*","*",IF(_xlfn.XLOOKUP($H283,'TRA TECH'!$J:$J,'TRA TECH'!U:U)="","",_xlfn.XLOOKUP($H283,'TRA TECH'!$J:$J,'TRA TECH'!U:U)))</f>
        <v>0.44969305637982182</v>
      </c>
      <c r="R283">
        <f>IF(H283="*","*",IF(_xlfn.XLOOKUP($H283,'TRA TECH'!$J:$J,'TRA TECH'!V:V)="","",_xlfn.XLOOKUP($H283,'TRA TECH'!$J:$J,'TRA TECH'!V:V)))</f>
        <v>0.46428486646884271</v>
      </c>
      <c r="S283">
        <f>IF(H283="*","*",IF(_xlfn.XLOOKUP($H283,'TRA TECH'!$J:$J,'TRA TECH'!W:W)="","",_xlfn.XLOOKUP($H283,'TRA TECH'!$J:$J,'TRA TECH'!W:W)))</f>
        <v>0.48152973293768542</v>
      </c>
      <c r="T283">
        <f t="shared" si="22"/>
        <v>0.48152973293768542</v>
      </c>
      <c r="U283">
        <f>IF(H283="*","*",IF(_xlfn.XLOOKUP($H283,'TRA TECH'!$J:$J,'TRA TECH'!X:X)="","",_xlfn.XLOOKUP($H283,'TRA TECH'!$J:$J,'TRA TECH'!X:X)))</f>
        <v>508.57450509669002</v>
      </c>
      <c r="V283">
        <f>IF(H283="*","*",IF(_xlfn.XLOOKUP($H283,'TRA TECH'!$J:$J,'TRA TECH'!Y:Y)="","",_xlfn.XLOOKUP($H283,'TRA TECH'!$J:$J,'TRA TECH'!Y:Y)))</f>
        <v>508.57450509669002</v>
      </c>
      <c r="W283">
        <f>IF(H283="*","*",IF(_xlfn.XLOOKUP($H283,'TRA TECH'!$J:$J,'TRA TECH'!Z:Z)="","",_xlfn.XLOOKUP($H283,'TRA TECH'!$J:$J,'TRA TECH'!Z:Z)))</f>
        <v>462.34045917880923</v>
      </c>
      <c r="X283">
        <f>IF(H283="*","*",IF(_xlfn.XLOOKUP($H283,'TRA TECH'!$J:$J,'TRA TECH'!AA:AA)="","",_xlfn.XLOOKUP($H283,'TRA TECH'!$J:$J,'TRA TECH'!AA:AA)))</f>
        <v>437.44520368456551</v>
      </c>
      <c r="Y283">
        <f>IF(H283="*","*",IF(_xlfn.XLOOKUP($H283,'TRA TECH'!$J:$J,'TRA TECH'!AB:AB)="","",_xlfn.XLOOKUP($H283,'TRA TECH'!$J:$J,'TRA TECH'!AB:AB)))</f>
        <v>426.06451545862558</v>
      </c>
      <c r="Z283">
        <f>IF(H283="*","*",IF(_xlfn.XLOOKUP($H283,'TRA TECH'!$J:$J,'TRA TECH'!AC:AC)="","",_xlfn.XLOOKUP($H283,'TRA TECH'!$J:$J,'TRA TECH'!AC:AC)))</f>
        <v>414.6838272326857</v>
      </c>
      <c r="AA283">
        <f>IF(H283="*","*",IF(_xlfn.XLOOKUP($H283,'TRA TECH'!$J:$J,'TRA TECH'!AD:AD)="","",_xlfn.XLOOKUP($H283,'TRA TECH'!$J:$J,'TRA TECH'!AD:AD)))</f>
        <v>403.30313900674582</v>
      </c>
      <c r="AB283">
        <f t="shared" si="23"/>
        <v>403.30313900674582</v>
      </c>
      <c r="AC283" s="15">
        <f>IF(H283="*","*",IF(_xlfn.XLOOKUP($H283,'TRA TECH'!$J:$J,'TRA TECH'!AE:AE)="","",_xlfn.XLOOKUP($H283,'TRA TECH'!$J:$J,'TRA TECH'!AE:AE)))</f>
        <v>6.7572836341518263</v>
      </c>
      <c r="AD283" s="15">
        <f>IF(H283="*","*",IF(_xlfn.XLOOKUP($H283,'TRA TECH'!$J:$J,'TRA TECH'!AF:AF)="","",_xlfn.XLOOKUP($H283,'TRA TECH'!$J:$J,'TRA TECH'!AF:AF)))</f>
        <v>6.7572836341518263</v>
      </c>
      <c r="AE283" s="15">
        <f>IF(H283="*","*",IF(_xlfn.XLOOKUP($H283,'TRA TECH'!$J:$J,'TRA TECH'!AG:AG)="","",_xlfn.XLOOKUP($H283,'TRA TECH'!$J:$J,'TRA TECH'!AG:AG)))</f>
        <v>6.7572836341518263</v>
      </c>
      <c r="AF283" s="15">
        <f>IF(H283="*","*",IF(_xlfn.XLOOKUP($H283,'TRA TECH'!$J:$J,'TRA TECH'!AH:AH)="","",_xlfn.XLOOKUP($H283,'TRA TECH'!$J:$J,'TRA TECH'!AH:AH)))</f>
        <v>6.7572836341518263</v>
      </c>
      <c r="AG283" s="15">
        <f>IF(H283="*","*",IF(_xlfn.XLOOKUP($H283,'TRA TECH'!$J:$J,'TRA TECH'!AI:AI)="","",_xlfn.XLOOKUP($H283,'TRA TECH'!$J:$J,'TRA TECH'!AI:AI)))</f>
        <v>6.7572836341518263</v>
      </c>
      <c r="AH283" s="15">
        <f>IF(H283="*","*",IF(_xlfn.XLOOKUP($H283,'TRA TECH'!$J:$J,'TRA TECH'!AJ:AJ)="","",_xlfn.XLOOKUP($H283,'TRA TECH'!$J:$J,'TRA TECH'!AJ:AJ)))</f>
        <v>6.7572836341518263</v>
      </c>
      <c r="AI283" s="15">
        <f>IF(H283="*","*",IF(_xlfn.XLOOKUP($H283,'TRA TECH'!$J:$J,'TRA TECH'!AK:AK)="","",_xlfn.XLOOKUP($H283,'TRA TECH'!$J:$J,'TRA TECH'!AK:AK)))</f>
        <v>6.7572836341518263</v>
      </c>
      <c r="AJ283" s="15">
        <f t="shared" si="24"/>
        <v>6.7572836341518263</v>
      </c>
      <c r="AK283" s="16">
        <f t="shared" si="25"/>
        <v>0.4</v>
      </c>
    </row>
    <row r="284" spans="2:37" x14ac:dyDescent="0.25">
      <c r="B284" t="str">
        <f>IF('TRA TECH'!M280=0,"*",IF('TRA TECH'!H280="","*",'TRA TECH'!J280))</f>
        <v>TRAPASBIC20</v>
      </c>
      <c r="C284" t="str">
        <f>IF('TRA TECH'!M280=0,"*",'TRA TECH'!H280)</f>
        <v>TRA</v>
      </c>
      <c r="D284" t="s">
        <v>424</v>
      </c>
      <c r="E284" s="9">
        <f>'TRA TECH'!P280</f>
        <v>0</v>
      </c>
      <c r="H284" t="str">
        <f>IF('TRA TECH'!M280=1,IF('TRA TECH'!L280=1,'TRA TECH'!J280,"*"),"*")</f>
        <v>TRAPASBIC20</v>
      </c>
      <c r="I284" t="str">
        <f>IF(H284="*","*",_xlfn.XLOOKUP(H284,'TRA TECH'!J:J,'TRA TECH'!I:I))</f>
        <v>TRAPASBICDMD</v>
      </c>
      <c r="J284">
        <f>IF(H284="*","*",_xlfn.XLOOKUP(H284,'TRA TECH'!J:J,'TRA TECH'!N:N))</f>
        <v>2020</v>
      </c>
      <c r="K284" s="15" t="str">
        <f>IF(H284="*","*",IF(_xlfn.XLOOKUP(H284,'TRA TECH'!J:J,'TRA TECH'!O:O)="","",_xlfn.XLOOKUP(H284,'TRA TECH'!J:J,'TRA TECH'!O:O)))</f>
        <v/>
      </c>
      <c r="L284">
        <f t="shared" si="21"/>
        <v>1</v>
      </c>
      <c r="M284" t="str">
        <f>IF(H284="*","*",IF(_xlfn.XLOOKUP($H284,'TRA TECH'!$J:$J,'TRA TECH'!Q:Q)="","",_xlfn.XLOOKUP($H284,'TRA TECH'!$J:$J,'TRA TECH'!Q:Q)))</f>
        <v/>
      </c>
      <c r="N284" t="str">
        <f>IF(H284="*","*",IF(_xlfn.XLOOKUP($H284,'TRA TECH'!$J:$J,'TRA TECH'!R:R)="","",_xlfn.XLOOKUP($H284,'TRA TECH'!$J:$J,'TRA TECH'!R:R)))</f>
        <v/>
      </c>
      <c r="O284" t="str">
        <f>IF(H284="*","*",IF(_xlfn.XLOOKUP($H284,'TRA TECH'!$J:$J,'TRA TECH'!S:S)="","",_xlfn.XLOOKUP($H284,'TRA TECH'!$J:$J,'TRA TECH'!S:S)))</f>
        <v/>
      </c>
      <c r="P284" t="str">
        <f>IF(H284="*","*",IF(_xlfn.XLOOKUP($H284,'TRA TECH'!$J:$J,'TRA TECH'!T:T)="","",_xlfn.XLOOKUP($H284,'TRA TECH'!$J:$J,'TRA TECH'!T:T)))</f>
        <v/>
      </c>
      <c r="Q284" t="str">
        <f>IF(H284="*","*",IF(_xlfn.XLOOKUP($H284,'TRA TECH'!$J:$J,'TRA TECH'!U:U)="","",_xlfn.XLOOKUP($H284,'TRA TECH'!$J:$J,'TRA TECH'!U:U)))</f>
        <v/>
      </c>
      <c r="R284" t="str">
        <f>IF(H284="*","*",IF(_xlfn.XLOOKUP($H284,'TRA TECH'!$J:$J,'TRA TECH'!V:V)="","",_xlfn.XLOOKUP($H284,'TRA TECH'!$J:$J,'TRA TECH'!V:V)))</f>
        <v/>
      </c>
      <c r="S284" t="str">
        <f>IF(H284="*","*",IF(_xlfn.XLOOKUP($H284,'TRA TECH'!$J:$J,'TRA TECH'!W:W)="","",_xlfn.XLOOKUP($H284,'TRA TECH'!$J:$J,'TRA TECH'!W:W)))</f>
        <v/>
      </c>
      <c r="T284" t="str">
        <f t="shared" si="22"/>
        <v/>
      </c>
      <c r="U284" t="str">
        <f>IF(H284="*","*",IF(_xlfn.XLOOKUP($H284,'TRA TECH'!$J:$J,'TRA TECH'!X:X)="","",_xlfn.XLOOKUP($H284,'TRA TECH'!$J:$J,'TRA TECH'!X:X)))</f>
        <v/>
      </c>
      <c r="V284" t="str">
        <f>IF(H284="*","*",IF(_xlfn.XLOOKUP($H284,'TRA TECH'!$J:$J,'TRA TECH'!Y:Y)="","",_xlfn.XLOOKUP($H284,'TRA TECH'!$J:$J,'TRA TECH'!Y:Y)))</f>
        <v/>
      </c>
      <c r="W284" t="str">
        <f>IF(H284="*","*",IF(_xlfn.XLOOKUP($H284,'TRA TECH'!$J:$J,'TRA TECH'!Z:Z)="","",_xlfn.XLOOKUP($H284,'TRA TECH'!$J:$J,'TRA TECH'!Z:Z)))</f>
        <v/>
      </c>
      <c r="X284" t="str">
        <f>IF(H284="*","*",IF(_xlfn.XLOOKUP($H284,'TRA TECH'!$J:$J,'TRA TECH'!AA:AA)="","",_xlfn.XLOOKUP($H284,'TRA TECH'!$J:$J,'TRA TECH'!AA:AA)))</f>
        <v/>
      </c>
      <c r="Y284" t="str">
        <f>IF(H284="*","*",IF(_xlfn.XLOOKUP($H284,'TRA TECH'!$J:$J,'TRA TECH'!AB:AB)="","",_xlfn.XLOOKUP($H284,'TRA TECH'!$J:$J,'TRA TECH'!AB:AB)))</f>
        <v/>
      </c>
      <c r="Z284" t="str">
        <f>IF(H284="*","*",IF(_xlfn.XLOOKUP($H284,'TRA TECH'!$J:$J,'TRA TECH'!AC:AC)="","",_xlfn.XLOOKUP($H284,'TRA TECH'!$J:$J,'TRA TECH'!AC:AC)))</f>
        <v/>
      </c>
      <c r="AA284" t="str">
        <f>IF(H284="*","*",IF(_xlfn.XLOOKUP($H284,'TRA TECH'!$J:$J,'TRA TECH'!AD:AD)="","",_xlfn.XLOOKUP($H284,'TRA TECH'!$J:$J,'TRA TECH'!AD:AD)))</f>
        <v/>
      </c>
      <c r="AB284" t="str">
        <f t="shared" si="23"/>
        <v/>
      </c>
      <c r="AC284" s="15" t="str">
        <f>IF(H284="*","*",IF(_xlfn.XLOOKUP($H284,'TRA TECH'!$J:$J,'TRA TECH'!AE:AE)="","",_xlfn.XLOOKUP($H284,'TRA TECH'!$J:$J,'TRA TECH'!AE:AE)))</f>
        <v/>
      </c>
      <c r="AD284" s="15" t="str">
        <f>IF(H284="*","*",IF(_xlfn.XLOOKUP($H284,'TRA TECH'!$J:$J,'TRA TECH'!AF:AF)="","",_xlfn.XLOOKUP($H284,'TRA TECH'!$J:$J,'TRA TECH'!AF:AF)))</f>
        <v/>
      </c>
      <c r="AE284" s="15" t="str">
        <f>IF(H284="*","*",IF(_xlfn.XLOOKUP($H284,'TRA TECH'!$J:$J,'TRA TECH'!AG:AG)="","",_xlfn.XLOOKUP($H284,'TRA TECH'!$J:$J,'TRA TECH'!AG:AG)))</f>
        <v/>
      </c>
      <c r="AF284" s="15" t="str">
        <f>IF(H284="*","*",IF(_xlfn.XLOOKUP($H284,'TRA TECH'!$J:$J,'TRA TECH'!AH:AH)="","",_xlfn.XLOOKUP($H284,'TRA TECH'!$J:$J,'TRA TECH'!AH:AH)))</f>
        <v/>
      </c>
      <c r="AG284" s="15" t="str">
        <f>IF(H284="*","*",IF(_xlfn.XLOOKUP($H284,'TRA TECH'!$J:$J,'TRA TECH'!AI:AI)="","",_xlfn.XLOOKUP($H284,'TRA TECH'!$J:$J,'TRA TECH'!AI:AI)))</f>
        <v/>
      </c>
      <c r="AH284" s="15" t="str">
        <f>IF(H284="*","*",IF(_xlfn.XLOOKUP($H284,'TRA TECH'!$J:$J,'TRA TECH'!AJ:AJ)="","",_xlfn.XLOOKUP($H284,'TRA TECH'!$J:$J,'TRA TECH'!AJ:AJ)))</f>
        <v/>
      </c>
      <c r="AI284" s="15" t="str">
        <f>IF(H284="*","*",IF(_xlfn.XLOOKUP($H284,'TRA TECH'!$J:$J,'TRA TECH'!AK:AK)="","",_xlfn.XLOOKUP($H284,'TRA TECH'!$J:$J,'TRA TECH'!AK:AK)))</f>
        <v/>
      </c>
      <c r="AJ284" s="15" t="str">
        <f t="shared" si="24"/>
        <v/>
      </c>
      <c r="AK284" s="16">
        <f t="shared" si="25"/>
        <v>0.1</v>
      </c>
    </row>
    <row r="285" spans="2:37" x14ac:dyDescent="0.25">
      <c r="B285" t="str">
        <f>IF('TRA TECH'!M281=0,"*",IF('TRA TECH'!H281="","*",'TRA TECH'!J281))</f>
        <v>TRAPASWAL20</v>
      </c>
      <c r="C285" t="str">
        <f>IF('TRA TECH'!M281=0,"*",'TRA TECH'!H281)</f>
        <v>TRA</v>
      </c>
      <c r="D285" t="s">
        <v>424</v>
      </c>
      <c r="E285" s="9">
        <f>'TRA TECH'!P281</f>
        <v>0</v>
      </c>
      <c r="H285" t="str">
        <f>IF('TRA TECH'!M281=1,IF('TRA TECH'!L281=1,'TRA TECH'!J281,"*"),"*")</f>
        <v>TRAPASWAL20</v>
      </c>
      <c r="I285" t="str">
        <f>IF(H285="*","*",_xlfn.XLOOKUP(H285,'TRA TECH'!J:J,'TRA TECH'!I:I))</f>
        <v>TRAPASWALDMD</v>
      </c>
      <c r="J285">
        <f>IF(H285="*","*",_xlfn.XLOOKUP(H285,'TRA TECH'!J:J,'TRA TECH'!N:N))</f>
        <v>2020</v>
      </c>
      <c r="K285" s="15" t="str">
        <f>IF(H285="*","*",IF(_xlfn.XLOOKUP(H285,'TRA TECH'!J:J,'TRA TECH'!O:O)="","",_xlfn.XLOOKUP(H285,'TRA TECH'!J:J,'TRA TECH'!O:O)))</f>
        <v/>
      </c>
      <c r="L285">
        <f t="shared" si="21"/>
        <v>1</v>
      </c>
      <c r="M285" t="str">
        <f>IF(H285="*","*",IF(_xlfn.XLOOKUP($H285,'TRA TECH'!$J:$J,'TRA TECH'!Q:Q)="","",_xlfn.XLOOKUP($H285,'TRA TECH'!$J:$J,'TRA TECH'!Q:Q)))</f>
        <v/>
      </c>
      <c r="N285" t="str">
        <f>IF(H285="*","*",IF(_xlfn.XLOOKUP($H285,'TRA TECH'!$J:$J,'TRA TECH'!R:R)="","",_xlfn.XLOOKUP($H285,'TRA TECH'!$J:$J,'TRA TECH'!R:R)))</f>
        <v/>
      </c>
      <c r="O285" t="str">
        <f>IF(H285="*","*",IF(_xlfn.XLOOKUP($H285,'TRA TECH'!$J:$J,'TRA TECH'!S:S)="","",_xlfn.XLOOKUP($H285,'TRA TECH'!$J:$J,'TRA TECH'!S:S)))</f>
        <v/>
      </c>
      <c r="P285" t="str">
        <f>IF(H285="*","*",IF(_xlfn.XLOOKUP($H285,'TRA TECH'!$J:$J,'TRA TECH'!T:T)="","",_xlfn.XLOOKUP($H285,'TRA TECH'!$J:$J,'TRA TECH'!T:T)))</f>
        <v/>
      </c>
      <c r="Q285" t="str">
        <f>IF(H285="*","*",IF(_xlfn.XLOOKUP($H285,'TRA TECH'!$J:$J,'TRA TECH'!U:U)="","",_xlfn.XLOOKUP($H285,'TRA TECH'!$J:$J,'TRA TECH'!U:U)))</f>
        <v/>
      </c>
      <c r="R285" t="str">
        <f>IF(H285="*","*",IF(_xlfn.XLOOKUP($H285,'TRA TECH'!$J:$J,'TRA TECH'!V:V)="","",_xlfn.XLOOKUP($H285,'TRA TECH'!$J:$J,'TRA TECH'!V:V)))</f>
        <v/>
      </c>
      <c r="S285" t="str">
        <f>IF(H285="*","*",IF(_xlfn.XLOOKUP($H285,'TRA TECH'!$J:$J,'TRA TECH'!W:W)="","",_xlfn.XLOOKUP($H285,'TRA TECH'!$J:$J,'TRA TECH'!W:W)))</f>
        <v/>
      </c>
      <c r="T285" t="str">
        <f t="shared" si="22"/>
        <v/>
      </c>
      <c r="U285" t="str">
        <f>IF(H285="*","*",IF(_xlfn.XLOOKUP($H285,'TRA TECH'!$J:$J,'TRA TECH'!X:X)="","",_xlfn.XLOOKUP($H285,'TRA TECH'!$J:$J,'TRA TECH'!X:X)))</f>
        <v/>
      </c>
      <c r="V285" t="str">
        <f>IF(H285="*","*",IF(_xlfn.XLOOKUP($H285,'TRA TECH'!$J:$J,'TRA TECH'!Y:Y)="","",_xlfn.XLOOKUP($H285,'TRA TECH'!$J:$J,'TRA TECH'!Y:Y)))</f>
        <v/>
      </c>
      <c r="W285" t="str">
        <f>IF(H285="*","*",IF(_xlfn.XLOOKUP($H285,'TRA TECH'!$J:$J,'TRA TECH'!Z:Z)="","",_xlfn.XLOOKUP($H285,'TRA TECH'!$J:$J,'TRA TECH'!Z:Z)))</f>
        <v/>
      </c>
      <c r="X285" t="str">
        <f>IF(H285="*","*",IF(_xlfn.XLOOKUP($H285,'TRA TECH'!$J:$J,'TRA TECH'!AA:AA)="","",_xlfn.XLOOKUP($H285,'TRA TECH'!$J:$J,'TRA TECH'!AA:AA)))</f>
        <v/>
      </c>
      <c r="Y285" t="str">
        <f>IF(H285="*","*",IF(_xlfn.XLOOKUP($H285,'TRA TECH'!$J:$J,'TRA TECH'!AB:AB)="","",_xlfn.XLOOKUP($H285,'TRA TECH'!$J:$J,'TRA TECH'!AB:AB)))</f>
        <v/>
      </c>
      <c r="Z285" t="str">
        <f>IF(H285="*","*",IF(_xlfn.XLOOKUP($H285,'TRA TECH'!$J:$J,'TRA TECH'!AC:AC)="","",_xlfn.XLOOKUP($H285,'TRA TECH'!$J:$J,'TRA TECH'!AC:AC)))</f>
        <v/>
      </c>
      <c r="AA285" t="str">
        <f>IF(H285="*","*",IF(_xlfn.XLOOKUP($H285,'TRA TECH'!$J:$J,'TRA TECH'!AD:AD)="","",_xlfn.XLOOKUP($H285,'TRA TECH'!$J:$J,'TRA TECH'!AD:AD)))</f>
        <v/>
      </c>
      <c r="AB285" t="str">
        <f t="shared" si="23"/>
        <v/>
      </c>
      <c r="AC285" s="15" t="str">
        <f>IF(H285="*","*",IF(_xlfn.XLOOKUP($H285,'TRA TECH'!$J:$J,'TRA TECH'!AE:AE)="","",_xlfn.XLOOKUP($H285,'TRA TECH'!$J:$J,'TRA TECH'!AE:AE)))</f>
        <v/>
      </c>
      <c r="AD285" s="15" t="str">
        <f>IF(H285="*","*",IF(_xlfn.XLOOKUP($H285,'TRA TECH'!$J:$J,'TRA TECH'!AF:AF)="","",_xlfn.XLOOKUP($H285,'TRA TECH'!$J:$J,'TRA TECH'!AF:AF)))</f>
        <v/>
      </c>
      <c r="AE285" s="15" t="str">
        <f>IF(H285="*","*",IF(_xlfn.XLOOKUP($H285,'TRA TECH'!$J:$J,'TRA TECH'!AG:AG)="","",_xlfn.XLOOKUP($H285,'TRA TECH'!$J:$J,'TRA TECH'!AG:AG)))</f>
        <v/>
      </c>
      <c r="AF285" s="15" t="str">
        <f>IF(H285="*","*",IF(_xlfn.XLOOKUP($H285,'TRA TECH'!$J:$J,'TRA TECH'!AH:AH)="","",_xlfn.XLOOKUP($H285,'TRA TECH'!$J:$J,'TRA TECH'!AH:AH)))</f>
        <v/>
      </c>
      <c r="AG285" s="15" t="str">
        <f>IF(H285="*","*",IF(_xlfn.XLOOKUP($H285,'TRA TECH'!$J:$J,'TRA TECH'!AI:AI)="","",_xlfn.XLOOKUP($H285,'TRA TECH'!$J:$J,'TRA TECH'!AI:AI)))</f>
        <v/>
      </c>
      <c r="AH285" s="15" t="str">
        <f>IF(H285="*","*",IF(_xlfn.XLOOKUP($H285,'TRA TECH'!$J:$J,'TRA TECH'!AJ:AJ)="","",_xlfn.XLOOKUP($H285,'TRA TECH'!$J:$J,'TRA TECH'!AJ:AJ)))</f>
        <v/>
      </c>
      <c r="AI285" s="15" t="str">
        <f>IF(H285="*","*",IF(_xlfn.XLOOKUP($H285,'TRA TECH'!$J:$J,'TRA TECH'!AK:AK)="","",_xlfn.XLOOKUP($H285,'TRA TECH'!$J:$J,'TRA TECH'!AK:AK)))</f>
        <v/>
      </c>
      <c r="AJ285" s="15" t="str">
        <f t="shared" si="24"/>
        <v/>
      </c>
      <c r="AK285" s="16">
        <f t="shared" si="25"/>
        <v>0.1</v>
      </c>
    </row>
    <row r="286" spans="2:37" x14ac:dyDescent="0.25">
      <c r="B286" t="str">
        <f>IF('TRA TECH'!M282=0,"*",IF('TRA TECH'!H282="","*",'TRA TECH'!J282))</f>
        <v>TRAPASRAIICEVDSL20</v>
      </c>
      <c r="C286" t="str">
        <f>IF('TRA TECH'!M282=0,"*",'TRA TECH'!H282)</f>
        <v>TRADSL</v>
      </c>
      <c r="D286" t="s">
        <v>424</v>
      </c>
      <c r="E286" s="9">
        <f>'TRA TECH'!P282</f>
        <v>1</v>
      </c>
      <c r="H286" t="str">
        <f>IF('TRA TECH'!M282=1,IF('TRA TECH'!L282=1,'TRA TECH'!J282,"*"),"*")</f>
        <v>TRAPASRAIICEVDSL20</v>
      </c>
      <c r="I286" t="str">
        <f>IF(H286="*","*",_xlfn.XLOOKUP(H286,'TRA TECH'!J:J,'TRA TECH'!I:I))</f>
        <v>TRAPASRAIDMD</v>
      </c>
      <c r="J286">
        <f>IF(H286="*","*",_xlfn.XLOOKUP(H286,'TRA TECH'!J:J,'TRA TECH'!N:N))</f>
        <v>2020</v>
      </c>
      <c r="K286" s="15">
        <f>IF(H286="*","*",IF(_xlfn.XLOOKUP(H286,'TRA TECH'!J:J,'TRA TECH'!O:O)="","",_xlfn.XLOOKUP(H286,'TRA TECH'!J:J,'TRA TECH'!O:O)))</f>
        <v>30</v>
      </c>
      <c r="L286">
        <f t="shared" si="21"/>
        <v>1</v>
      </c>
      <c r="M286">
        <f>IF(H286="*","*",IF(_xlfn.XLOOKUP($H286,'TRA TECH'!$J:$J,'TRA TECH'!Q:Q)="","",_xlfn.XLOOKUP($H286,'TRA TECH'!$J:$J,'TRA TECH'!Q:Q)))</f>
        <v>4.0874686539039071E-2</v>
      </c>
      <c r="N286">
        <f>IF(H286="*","*",IF(_xlfn.XLOOKUP($H286,'TRA TECH'!$J:$J,'TRA TECH'!R:R)="","",_xlfn.XLOOKUP($H286,'TRA TECH'!$J:$J,'TRA TECH'!R:R)))</f>
        <v>4.0874686539039071E-2</v>
      </c>
      <c r="O286">
        <f>IF(H286="*","*",IF(_xlfn.XLOOKUP($H286,'TRA TECH'!$J:$J,'TRA TECH'!S:S)="","",_xlfn.XLOOKUP($H286,'TRA TECH'!$J:$J,'TRA TECH'!S:S)))</f>
        <v>4.0874686539039071E-2</v>
      </c>
      <c r="P286">
        <f>IF(H286="*","*",IF(_xlfn.XLOOKUP($H286,'TRA TECH'!$J:$J,'TRA TECH'!T:T)="","",_xlfn.XLOOKUP($H286,'TRA TECH'!$J:$J,'TRA TECH'!T:T)))</f>
        <v>4.0874686539039071E-2</v>
      </c>
      <c r="Q286">
        <f>IF(H286="*","*",IF(_xlfn.XLOOKUP($H286,'TRA TECH'!$J:$J,'TRA TECH'!U:U)="","",_xlfn.XLOOKUP($H286,'TRA TECH'!$J:$J,'TRA TECH'!U:U)))</f>
        <v>4.0874686539039071E-2</v>
      </c>
      <c r="R286">
        <f>IF(H286="*","*",IF(_xlfn.XLOOKUP($H286,'TRA TECH'!$J:$J,'TRA TECH'!V:V)="","",_xlfn.XLOOKUP($H286,'TRA TECH'!$J:$J,'TRA TECH'!V:V)))</f>
        <v>4.0874686539039071E-2</v>
      </c>
      <c r="S286">
        <f>IF(H286="*","*",IF(_xlfn.XLOOKUP($H286,'TRA TECH'!$J:$J,'TRA TECH'!W:W)="","",_xlfn.XLOOKUP($H286,'TRA TECH'!$J:$J,'TRA TECH'!W:W)))</f>
        <v>4.0874686539039071E-2</v>
      </c>
      <c r="T286">
        <f t="shared" si="22"/>
        <v>4.0874686539039071E-2</v>
      </c>
      <c r="U286">
        <f>IF(H286="*","*",IF(_xlfn.XLOOKUP($H286,'TRA TECH'!$J:$J,'TRA TECH'!X:X)="","",_xlfn.XLOOKUP($H286,'TRA TECH'!$J:$J,'TRA TECH'!X:X)))</f>
        <v>35064.743526515987</v>
      </c>
      <c r="V286">
        <f>IF(H286="*","*",IF(_xlfn.XLOOKUP($H286,'TRA TECH'!$J:$J,'TRA TECH'!Y:Y)="","",_xlfn.XLOOKUP($H286,'TRA TECH'!$J:$J,'TRA TECH'!Y:Y)))</f>
        <v>35064.743526515987</v>
      </c>
      <c r="W286">
        <f>IF(H286="*","*",IF(_xlfn.XLOOKUP($H286,'TRA TECH'!$J:$J,'TRA TECH'!Z:Z)="","",_xlfn.XLOOKUP($H286,'TRA TECH'!$J:$J,'TRA TECH'!Z:Z)))</f>
        <v>35064.743526515987</v>
      </c>
      <c r="X286">
        <f>IF(H286="*","*",IF(_xlfn.XLOOKUP($H286,'TRA TECH'!$J:$J,'TRA TECH'!AA:AA)="","",_xlfn.XLOOKUP($H286,'TRA TECH'!$J:$J,'TRA TECH'!AA:AA)))</f>
        <v>35064.743526515987</v>
      </c>
      <c r="Y286">
        <f>IF(H286="*","*",IF(_xlfn.XLOOKUP($H286,'TRA TECH'!$J:$J,'TRA TECH'!AB:AB)="","",_xlfn.XLOOKUP($H286,'TRA TECH'!$J:$J,'TRA TECH'!AB:AB)))</f>
        <v>35064.743526515987</v>
      </c>
      <c r="Z286">
        <f>IF(H286="*","*",IF(_xlfn.XLOOKUP($H286,'TRA TECH'!$J:$J,'TRA TECH'!AC:AC)="","",_xlfn.XLOOKUP($H286,'TRA TECH'!$J:$J,'TRA TECH'!AC:AC)))</f>
        <v>35064.743526515987</v>
      </c>
      <c r="AA286">
        <f>IF(H286="*","*",IF(_xlfn.XLOOKUP($H286,'TRA TECH'!$J:$J,'TRA TECH'!AD:AD)="","",_xlfn.XLOOKUP($H286,'TRA TECH'!$J:$J,'TRA TECH'!AD:AD)))</f>
        <v>35064.743526515987</v>
      </c>
      <c r="AB286">
        <f t="shared" si="23"/>
        <v>35064.743526515987</v>
      </c>
      <c r="AC286" s="15">
        <f>IF(H286="*","*",IF(_xlfn.XLOOKUP($H286,'TRA TECH'!$J:$J,'TRA TECH'!AE:AE)="","",_xlfn.XLOOKUP($H286,'TRA TECH'!$J:$J,'TRA TECH'!AE:AE)))</f>
        <v>3506.474352651599</v>
      </c>
      <c r="AD286" s="15">
        <f>IF(H286="*","*",IF(_xlfn.XLOOKUP($H286,'TRA TECH'!$J:$J,'TRA TECH'!AF:AF)="","",_xlfn.XLOOKUP($H286,'TRA TECH'!$J:$J,'TRA TECH'!AF:AF)))</f>
        <v>3506.474352651599</v>
      </c>
      <c r="AE286" s="15">
        <f>IF(H286="*","*",IF(_xlfn.XLOOKUP($H286,'TRA TECH'!$J:$J,'TRA TECH'!AG:AG)="","",_xlfn.XLOOKUP($H286,'TRA TECH'!$J:$J,'TRA TECH'!AG:AG)))</f>
        <v>3506.474352651599</v>
      </c>
      <c r="AF286" s="15">
        <f>IF(H286="*","*",IF(_xlfn.XLOOKUP($H286,'TRA TECH'!$J:$J,'TRA TECH'!AH:AH)="","",_xlfn.XLOOKUP($H286,'TRA TECH'!$J:$J,'TRA TECH'!AH:AH)))</f>
        <v>3506.474352651599</v>
      </c>
      <c r="AG286" s="15">
        <f>IF(H286="*","*",IF(_xlfn.XLOOKUP($H286,'TRA TECH'!$J:$J,'TRA TECH'!AI:AI)="","",_xlfn.XLOOKUP($H286,'TRA TECH'!$J:$J,'TRA TECH'!AI:AI)))</f>
        <v>3506.474352651599</v>
      </c>
      <c r="AH286" s="15">
        <f>IF(H286="*","*",IF(_xlfn.XLOOKUP($H286,'TRA TECH'!$J:$J,'TRA TECH'!AJ:AJ)="","",_xlfn.XLOOKUP($H286,'TRA TECH'!$J:$J,'TRA TECH'!AJ:AJ)))</f>
        <v>3506.474352651599</v>
      </c>
      <c r="AI286" s="15">
        <f>IF(H286="*","*",IF(_xlfn.XLOOKUP($H286,'TRA TECH'!$J:$J,'TRA TECH'!AK:AK)="","",_xlfn.XLOOKUP($H286,'TRA TECH'!$J:$J,'TRA TECH'!AK:AK)))</f>
        <v>3506.474352651599</v>
      </c>
      <c r="AJ286" s="15">
        <f t="shared" si="24"/>
        <v>3506.474352651599</v>
      </c>
      <c r="AK286" s="16">
        <f t="shared" si="25"/>
        <v>0.1</v>
      </c>
    </row>
    <row r="287" spans="2:37" x14ac:dyDescent="0.25">
      <c r="B287" t="str">
        <f>IF('TRA TECH'!M283=0,"*",IF('TRA TECH'!H283="","*",'TRA TECH'!J283))</f>
        <v>TRAPASRAIICEVDSL20</v>
      </c>
      <c r="C287" t="str">
        <f>IF('TRA TECH'!M283=0,"*",'TRA TECH'!H283)</f>
        <v>TRARDS</v>
      </c>
      <c r="D287" t="s">
        <v>424</v>
      </c>
      <c r="E287" s="9">
        <f>'TRA TECH'!P283</f>
        <v>1</v>
      </c>
      <c r="H287" t="str">
        <f>IF('TRA TECH'!M283=1,IF('TRA TECH'!L283=1,'TRA TECH'!J283,"*"),"*")</f>
        <v>*</v>
      </c>
      <c r="I287" t="str">
        <f>IF(H287="*","*",_xlfn.XLOOKUP(H287,'TRA TECH'!J:J,'TRA TECH'!I:I))</f>
        <v>*</v>
      </c>
      <c r="J287" t="str">
        <f>IF(H287="*","*",_xlfn.XLOOKUP(H287,'TRA TECH'!J:J,'TRA TECH'!N:N))</f>
        <v>*</v>
      </c>
      <c r="K287" s="15" t="str">
        <f>IF(H287="*","*",IF(_xlfn.XLOOKUP(H287,'TRA TECH'!J:J,'TRA TECH'!O:O)="","",_xlfn.XLOOKUP(H287,'TRA TECH'!J:J,'TRA TECH'!O:O)))</f>
        <v>*</v>
      </c>
      <c r="L287" t="str">
        <f t="shared" si="21"/>
        <v>*</v>
      </c>
      <c r="M287" t="str">
        <f>IF(H287="*","*",IF(_xlfn.XLOOKUP($H287,'TRA TECH'!$J:$J,'TRA TECH'!Q:Q)="","",_xlfn.XLOOKUP($H287,'TRA TECH'!$J:$J,'TRA TECH'!Q:Q)))</f>
        <v>*</v>
      </c>
      <c r="N287" t="str">
        <f>IF(H287="*","*",IF(_xlfn.XLOOKUP($H287,'TRA TECH'!$J:$J,'TRA TECH'!R:R)="","",_xlfn.XLOOKUP($H287,'TRA TECH'!$J:$J,'TRA TECH'!R:R)))</f>
        <v>*</v>
      </c>
      <c r="O287" t="str">
        <f>IF(H287="*","*",IF(_xlfn.XLOOKUP($H287,'TRA TECH'!$J:$J,'TRA TECH'!S:S)="","",_xlfn.XLOOKUP($H287,'TRA TECH'!$J:$J,'TRA TECH'!S:S)))</f>
        <v>*</v>
      </c>
      <c r="P287" t="str">
        <f>IF(H287="*","*",IF(_xlfn.XLOOKUP($H287,'TRA TECH'!$J:$J,'TRA TECH'!T:T)="","",_xlfn.XLOOKUP($H287,'TRA TECH'!$J:$J,'TRA TECH'!T:T)))</f>
        <v>*</v>
      </c>
      <c r="Q287" t="str">
        <f>IF(H287="*","*",IF(_xlfn.XLOOKUP($H287,'TRA TECH'!$J:$J,'TRA TECH'!U:U)="","",_xlfn.XLOOKUP($H287,'TRA TECH'!$J:$J,'TRA TECH'!U:U)))</f>
        <v>*</v>
      </c>
      <c r="R287" t="str">
        <f>IF(H287="*","*",IF(_xlfn.XLOOKUP($H287,'TRA TECH'!$J:$J,'TRA TECH'!V:V)="","",_xlfn.XLOOKUP($H287,'TRA TECH'!$J:$J,'TRA TECH'!V:V)))</f>
        <v>*</v>
      </c>
      <c r="S287" t="str">
        <f>IF(H287="*","*",IF(_xlfn.XLOOKUP($H287,'TRA TECH'!$J:$J,'TRA TECH'!W:W)="","",_xlfn.XLOOKUP($H287,'TRA TECH'!$J:$J,'TRA TECH'!W:W)))</f>
        <v>*</v>
      </c>
      <c r="T287" t="str">
        <f t="shared" si="22"/>
        <v>*</v>
      </c>
      <c r="U287" t="str">
        <f>IF(H287="*","*",IF(_xlfn.XLOOKUP($H287,'TRA TECH'!$J:$J,'TRA TECH'!X:X)="","",_xlfn.XLOOKUP($H287,'TRA TECH'!$J:$J,'TRA TECH'!X:X)))</f>
        <v>*</v>
      </c>
      <c r="V287" t="str">
        <f>IF(H287="*","*",IF(_xlfn.XLOOKUP($H287,'TRA TECH'!$J:$J,'TRA TECH'!Y:Y)="","",_xlfn.XLOOKUP($H287,'TRA TECH'!$J:$J,'TRA TECH'!Y:Y)))</f>
        <v>*</v>
      </c>
      <c r="W287" t="str">
        <f>IF(H287="*","*",IF(_xlfn.XLOOKUP($H287,'TRA TECH'!$J:$J,'TRA TECH'!Z:Z)="","",_xlfn.XLOOKUP($H287,'TRA TECH'!$J:$J,'TRA TECH'!Z:Z)))</f>
        <v>*</v>
      </c>
      <c r="X287" t="str">
        <f>IF(H287="*","*",IF(_xlfn.XLOOKUP($H287,'TRA TECH'!$J:$J,'TRA TECH'!AA:AA)="","",_xlfn.XLOOKUP($H287,'TRA TECH'!$J:$J,'TRA TECH'!AA:AA)))</f>
        <v>*</v>
      </c>
      <c r="Y287" t="str">
        <f>IF(H287="*","*",IF(_xlfn.XLOOKUP($H287,'TRA TECH'!$J:$J,'TRA TECH'!AB:AB)="","",_xlfn.XLOOKUP($H287,'TRA TECH'!$J:$J,'TRA TECH'!AB:AB)))</f>
        <v>*</v>
      </c>
      <c r="Z287" t="str">
        <f>IF(H287="*","*",IF(_xlfn.XLOOKUP($H287,'TRA TECH'!$J:$J,'TRA TECH'!AC:AC)="","",_xlfn.XLOOKUP($H287,'TRA TECH'!$J:$J,'TRA TECH'!AC:AC)))</f>
        <v>*</v>
      </c>
      <c r="AA287" t="str">
        <f>IF(H287="*","*",IF(_xlfn.XLOOKUP($H287,'TRA TECH'!$J:$J,'TRA TECH'!AD:AD)="","",_xlfn.XLOOKUP($H287,'TRA TECH'!$J:$J,'TRA TECH'!AD:AD)))</f>
        <v>*</v>
      </c>
      <c r="AB287" t="str">
        <f t="shared" si="23"/>
        <v>*</v>
      </c>
      <c r="AC287" s="15" t="str">
        <f>IF(H287="*","*",IF(_xlfn.XLOOKUP($H287,'TRA TECH'!$J:$J,'TRA TECH'!AE:AE)="","",_xlfn.XLOOKUP($H287,'TRA TECH'!$J:$J,'TRA TECH'!AE:AE)))</f>
        <v>*</v>
      </c>
      <c r="AD287" s="15" t="str">
        <f>IF(H287="*","*",IF(_xlfn.XLOOKUP($H287,'TRA TECH'!$J:$J,'TRA TECH'!AF:AF)="","",_xlfn.XLOOKUP($H287,'TRA TECH'!$J:$J,'TRA TECH'!AF:AF)))</f>
        <v>*</v>
      </c>
      <c r="AE287" s="15" t="str">
        <f>IF(H287="*","*",IF(_xlfn.XLOOKUP($H287,'TRA TECH'!$J:$J,'TRA TECH'!AG:AG)="","",_xlfn.XLOOKUP($H287,'TRA TECH'!$J:$J,'TRA TECH'!AG:AG)))</f>
        <v>*</v>
      </c>
      <c r="AF287" s="15" t="str">
        <f>IF(H287="*","*",IF(_xlfn.XLOOKUP($H287,'TRA TECH'!$J:$J,'TRA TECH'!AH:AH)="","",_xlfn.XLOOKUP($H287,'TRA TECH'!$J:$J,'TRA TECH'!AH:AH)))</f>
        <v>*</v>
      </c>
      <c r="AG287" s="15" t="str">
        <f>IF(H287="*","*",IF(_xlfn.XLOOKUP($H287,'TRA TECH'!$J:$J,'TRA TECH'!AI:AI)="","",_xlfn.XLOOKUP($H287,'TRA TECH'!$J:$J,'TRA TECH'!AI:AI)))</f>
        <v>*</v>
      </c>
      <c r="AH287" s="15" t="str">
        <f>IF(H287="*","*",IF(_xlfn.XLOOKUP($H287,'TRA TECH'!$J:$J,'TRA TECH'!AJ:AJ)="","",_xlfn.XLOOKUP($H287,'TRA TECH'!$J:$J,'TRA TECH'!AJ:AJ)))</f>
        <v>*</v>
      </c>
      <c r="AI287" s="15" t="str">
        <f>IF(H287="*","*",IF(_xlfn.XLOOKUP($H287,'TRA TECH'!$J:$J,'TRA TECH'!AK:AK)="","",_xlfn.XLOOKUP($H287,'TRA TECH'!$J:$J,'TRA TECH'!AK:AK)))</f>
        <v>*</v>
      </c>
      <c r="AJ287" s="15" t="str">
        <f t="shared" si="24"/>
        <v>*</v>
      </c>
      <c r="AK287" s="16" t="str">
        <f t="shared" si="25"/>
        <v>*</v>
      </c>
    </row>
    <row r="288" spans="2:37" x14ac:dyDescent="0.25">
      <c r="B288" t="str">
        <f>IF('TRA TECH'!M284=0,"*",IF('TRA TECH'!H284="","*",'TRA TECH'!J284))</f>
        <v>TRAPASRAIICEVDSL20</v>
      </c>
      <c r="C288" t="str">
        <f>IF('TRA TECH'!M284=0,"*",'TRA TECH'!H284)</f>
        <v>TRABDS</v>
      </c>
      <c r="D288" t="s">
        <v>424</v>
      </c>
      <c r="E288" s="9">
        <f>'TRA TECH'!P284</f>
        <v>0.1</v>
      </c>
      <c r="H288" t="str">
        <f>IF('TRA TECH'!M284=1,IF('TRA TECH'!L284=1,'TRA TECH'!J284,"*"),"*")</f>
        <v>*</v>
      </c>
      <c r="I288" t="str">
        <f>IF(H288="*","*",_xlfn.XLOOKUP(H288,'TRA TECH'!J:J,'TRA TECH'!I:I))</f>
        <v>*</v>
      </c>
      <c r="J288" t="str">
        <f>IF(H288="*","*",_xlfn.XLOOKUP(H288,'TRA TECH'!J:J,'TRA TECH'!N:N))</f>
        <v>*</v>
      </c>
      <c r="K288" s="15" t="str">
        <f>IF(H288="*","*",IF(_xlfn.XLOOKUP(H288,'TRA TECH'!J:J,'TRA TECH'!O:O)="","",_xlfn.XLOOKUP(H288,'TRA TECH'!J:J,'TRA TECH'!O:O)))</f>
        <v>*</v>
      </c>
      <c r="L288" t="str">
        <f t="shared" si="21"/>
        <v>*</v>
      </c>
      <c r="M288" t="str">
        <f>IF(H288="*","*",IF(_xlfn.XLOOKUP($H288,'TRA TECH'!$J:$J,'TRA TECH'!Q:Q)="","",_xlfn.XLOOKUP($H288,'TRA TECH'!$J:$J,'TRA TECH'!Q:Q)))</f>
        <v>*</v>
      </c>
      <c r="N288" t="str">
        <f>IF(H288="*","*",IF(_xlfn.XLOOKUP($H288,'TRA TECH'!$J:$J,'TRA TECH'!R:R)="","",_xlfn.XLOOKUP($H288,'TRA TECH'!$J:$J,'TRA TECH'!R:R)))</f>
        <v>*</v>
      </c>
      <c r="O288" t="str">
        <f>IF(H288="*","*",IF(_xlfn.XLOOKUP($H288,'TRA TECH'!$J:$J,'TRA TECH'!S:S)="","",_xlfn.XLOOKUP($H288,'TRA TECH'!$J:$J,'TRA TECH'!S:S)))</f>
        <v>*</v>
      </c>
      <c r="P288" t="str">
        <f>IF(H288="*","*",IF(_xlfn.XLOOKUP($H288,'TRA TECH'!$J:$J,'TRA TECH'!T:T)="","",_xlfn.XLOOKUP($H288,'TRA TECH'!$J:$J,'TRA TECH'!T:T)))</f>
        <v>*</v>
      </c>
      <c r="Q288" t="str">
        <f>IF(H288="*","*",IF(_xlfn.XLOOKUP($H288,'TRA TECH'!$J:$J,'TRA TECH'!U:U)="","",_xlfn.XLOOKUP($H288,'TRA TECH'!$J:$J,'TRA TECH'!U:U)))</f>
        <v>*</v>
      </c>
      <c r="R288" t="str">
        <f>IF(H288="*","*",IF(_xlfn.XLOOKUP($H288,'TRA TECH'!$J:$J,'TRA TECH'!V:V)="","",_xlfn.XLOOKUP($H288,'TRA TECH'!$J:$J,'TRA TECH'!V:V)))</f>
        <v>*</v>
      </c>
      <c r="S288" t="str">
        <f>IF(H288="*","*",IF(_xlfn.XLOOKUP($H288,'TRA TECH'!$J:$J,'TRA TECH'!W:W)="","",_xlfn.XLOOKUP($H288,'TRA TECH'!$J:$J,'TRA TECH'!W:W)))</f>
        <v>*</v>
      </c>
      <c r="T288" t="str">
        <f t="shared" si="22"/>
        <v>*</v>
      </c>
      <c r="U288" t="str">
        <f>IF(H288="*","*",IF(_xlfn.XLOOKUP($H288,'TRA TECH'!$J:$J,'TRA TECH'!X:X)="","",_xlfn.XLOOKUP($H288,'TRA TECH'!$J:$J,'TRA TECH'!X:X)))</f>
        <v>*</v>
      </c>
      <c r="V288" t="str">
        <f>IF(H288="*","*",IF(_xlfn.XLOOKUP($H288,'TRA TECH'!$J:$J,'TRA TECH'!Y:Y)="","",_xlfn.XLOOKUP($H288,'TRA TECH'!$J:$J,'TRA TECH'!Y:Y)))</f>
        <v>*</v>
      </c>
      <c r="W288" t="str">
        <f>IF(H288="*","*",IF(_xlfn.XLOOKUP($H288,'TRA TECH'!$J:$J,'TRA TECH'!Z:Z)="","",_xlfn.XLOOKUP($H288,'TRA TECH'!$J:$J,'TRA TECH'!Z:Z)))</f>
        <v>*</v>
      </c>
      <c r="X288" t="str">
        <f>IF(H288="*","*",IF(_xlfn.XLOOKUP($H288,'TRA TECH'!$J:$J,'TRA TECH'!AA:AA)="","",_xlfn.XLOOKUP($H288,'TRA TECH'!$J:$J,'TRA TECH'!AA:AA)))</f>
        <v>*</v>
      </c>
      <c r="Y288" t="str">
        <f>IF(H288="*","*",IF(_xlfn.XLOOKUP($H288,'TRA TECH'!$J:$J,'TRA TECH'!AB:AB)="","",_xlfn.XLOOKUP($H288,'TRA TECH'!$J:$J,'TRA TECH'!AB:AB)))</f>
        <v>*</v>
      </c>
      <c r="Z288" t="str">
        <f>IF(H288="*","*",IF(_xlfn.XLOOKUP($H288,'TRA TECH'!$J:$J,'TRA TECH'!AC:AC)="","",_xlfn.XLOOKUP($H288,'TRA TECH'!$J:$J,'TRA TECH'!AC:AC)))</f>
        <v>*</v>
      </c>
      <c r="AA288" t="str">
        <f>IF(H288="*","*",IF(_xlfn.XLOOKUP($H288,'TRA TECH'!$J:$J,'TRA TECH'!AD:AD)="","",_xlfn.XLOOKUP($H288,'TRA TECH'!$J:$J,'TRA TECH'!AD:AD)))</f>
        <v>*</v>
      </c>
      <c r="AB288" t="str">
        <f t="shared" si="23"/>
        <v>*</v>
      </c>
      <c r="AC288" s="15" t="str">
        <f>IF(H288="*","*",IF(_xlfn.XLOOKUP($H288,'TRA TECH'!$J:$J,'TRA TECH'!AE:AE)="","",_xlfn.XLOOKUP($H288,'TRA TECH'!$J:$J,'TRA TECH'!AE:AE)))</f>
        <v>*</v>
      </c>
      <c r="AD288" s="15" t="str">
        <f>IF(H288="*","*",IF(_xlfn.XLOOKUP($H288,'TRA TECH'!$J:$J,'TRA TECH'!AF:AF)="","",_xlfn.XLOOKUP($H288,'TRA TECH'!$J:$J,'TRA TECH'!AF:AF)))</f>
        <v>*</v>
      </c>
      <c r="AE288" s="15" t="str">
        <f>IF(H288="*","*",IF(_xlfn.XLOOKUP($H288,'TRA TECH'!$J:$J,'TRA TECH'!AG:AG)="","",_xlfn.XLOOKUP($H288,'TRA TECH'!$J:$J,'TRA TECH'!AG:AG)))</f>
        <v>*</v>
      </c>
      <c r="AF288" s="15" t="str">
        <f>IF(H288="*","*",IF(_xlfn.XLOOKUP($H288,'TRA TECH'!$J:$J,'TRA TECH'!AH:AH)="","",_xlfn.XLOOKUP($H288,'TRA TECH'!$J:$J,'TRA TECH'!AH:AH)))</f>
        <v>*</v>
      </c>
      <c r="AG288" s="15" t="str">
        <f>IF(H288="*","*",IF(_xlfn.XLOOKUP($H288,'TRA TECH'!$J:$J,'TRA TECH'!AI:AI)="","",_xlfn.XLOOKUP($H288,'TRA TECH'!$J:$J,'TRA TECH'!AI:AI)))</f>
        <v>*</v>
      </c>
      <c r="AH288" s="15" t="str">
        <f>IF(H288="*","*",IF(_xlfn.XLOOKUP($H288,'TRA TECH'!$J:$J,'TRA TECH'!AJ:AJ)="","",_xlfn.XLOOKUP($H288,'TRA TECH'!$J:$J,'TRA TECH'!AJ:AJ)))</f>
        <v>*</v>
      </c>
      <c r="AI288" s="15" t="str">
        <f>IF(H288="*","*",IF(_xlfn.XLOOKUP($H288,'TRA TECH'!$J:$J,'TRA TECH'!AK:AK)="","",_xlfn.XLOOKUP($H288,'TRA TECH'!$J:$J,'TRA TECH'!AK:AK)))</f>
        <v>*</v>
      </c>
      <c r="AJ288" s="15" t="str">
        <f t="shared" si="24"/>
        <v>*</v>
      </c>
      <c r="AK288" s="16" t="str">
        <f t="shared" si="25"/>
        <v>*</v>
      </c>
    </row>
    <row r="289" spans="2:37" x14ac:dyDescent="0.25">
      <c r="B289" t="str">
        <f>IF('TRA TECH'!M285=0,"*",IF('TRA TECH'!H285="","*",'TRA TECH'!J285))</f>
        <v>TRAPASRAIPROELC20</v>
      </c>
      <c r="C289" t="str">
        <f>IF('TRA TECH'!M285=0,"*",'TRA TECH'!H285)</f>
        <v>TRAELC</v>
      </c>
      <c r="D289" t="s">
        <v>424</v>
      </c>
      <c r="E289" s="9">
        <f>'TRA TECH'!P285</f>
        <v>1</v>
      </c>
      <c r="H289" t="str">
        <f>IF('TRA TECH'!M285=1,IF('TRA TECH'!L285=1,'TRA TECH'!J285,"*"),"*")</f>
        <v>TRAPASRAIPROELC20</v>
      </c>
      <c r="I289" t="str">
        <f>IF(H289="*","*",_xlfn.XLOOKUP(H289,'TRA TECH'!J:J,'TRA TECH'!I:I))</f>
        <v>TRAPASRAIDMD</v>
      </c>
      <c r="J289">
        <f>IF(H289="*","*",_xlfn.XLOOKUP(H289,'TRA TECH'!J:J,'TRA TECH'!N:N))</f>
        <v>2020</v>
      </c>
      <c r="K289" s="15">
        <f>IF(H289="*","*",IF(_xlfn.XLOOKUP(H289,'TRA TECH'!J:J,'TRA TECH'!O:O)="","",_xlfn.XLOOKUP(H289,'TRA TECH'!J:J,'TRA TECH'!O:O)))</f>
        <v>30</v>
      </c>
      <c r="L289">
        <f t="shared" si="21"/>
        <v>1</v>
      </c>
      <c r="M289">
        <f>IF(H289="*","*",IF(_xlfn.XLOOKUP($H289,'TRA TECH'!$J:$J,'TRA TECH'!Q:Q)="","",_xlfn.XLOOKUP($H289,'TRA TECH'!$J:$J,'TRA TECH'!Q:Q)))</f>
        <v>4.0874686539039071E-2</v>
      </c>
      <c r="N289">
        <f>IF(H289="*","*",IF(_xlfn.XLOOKUP($H289,'TRA TECH'!$J:$J,'TRA TECH'!R:R)="","",_xlfn.XLOOKUP($H289,'TRA TECH'!$J:$J,'TRA TECH'!R:R)))</f>
        <v>4.0874686539039071E-2</v>
      </c>
      <c r="O289">
        <f>IF(H289="*","*",IF(_xlfn.XLOOKUP($H289,'TRA TECH'!$J:$J,'TRA TECH'!S:S)="","",_xlfn.XLOOKUP($H289,'TRA TECH'!$J:$J,'TRA TECH'!S:S)))</f>
        <v>4.0874686539039071E-2</v>
      </c>
      <c r="P289">
        <f>IF(H289="*","*",IF(_xlfn.XLOOKUP($H289,'TRA TECH'!$J:$J,'TRA TECH'!T:T)="","",_xlfn.XLOOKUP($H289,'TRA TECH'!$J:$J,'TRA TECH'!T:T)))</f>
        <v>4.0874686539039071E-2</v>
      </c>
      <c r="Q289">
        <f>IF(H289="*","*",IF(_xlfn.XLOOKUP($H289,'TRA TECH'!$J:$J,'TRA TECH'!U:U)="","",_xlfn.XLOOKUP($H289,'TRA TECH'!$J:$J,'TRA TECH'!U:U)))</f>
        <v>4.0874686539039071E-2</v>
      </c>
      <c r="R289">
        <f>IF(H289="*","*",IF(_xlfn.XLOOKUP($H289,'TRA TECH'!$J:$J,'TRA TECH'!V:V)="","",_xlfn.XLOOKUP($H289,'TRA TECH'!$J:$J,'TRA TECH'!V:V)))</f>
        <v>4.0874686539039071E-2</v>
      </c>
      <c r="S289">
        <f>IF(H289="*","*",IF(_xlfn.XLOOKUP($H289,'TRA TECH'!$J:$J,'TRA TECH'!W:W)="","",_xlfn.XLOOKUP($H289,'TRA TECH'!$J:$J,'TRA TECH'!W:W)))</f>
        <v>4.0874686539039071E-2</v>
      </c>
      <c r="T289">
        <f t="shared" si="22"/>
        <v>4.0874686539039071E-2</v>
      </c>
      <c r="U289">
        <f>IF(H289="*","*",IF(_xlfn.XLOOKUP($H289,'TRA TECH'!$J:$J,'TRA TECH'!X:X)="","",_xlfn.XLOOKUP($H289,'TRA TECH'!$J:$J,'TRA TECH'!X:X)))</f>
        <v>35064.743526515987</v>
      </c>
      <c r="V289">
        <f>IF(H289="*","*",IF(_xlfn.XLOOKUP($H289,'TRA TECH'!$J:$J,'TRA TECH'!Y:Y)="","",_xlfn.XLOOKUP($H289,'TRA TECH'!$J:$J,'TRA TECH'!Y:Y)))</f>
        <v>35064.743526515987</v>
      </c>
      <c r="W289">
        <f>IF(H289="*","*",IF(_xlfn.XLOOKUP($H289,'TRA TECH'!$J:$J,'TRA TECH'!Z:Z)="","",_xlfn.XLOOKUP($H289,'TRA TECH'!$J:$J,'TRA TECH'!Z:Z)))</f>
        <v>35064.743526515987</v>
      </c>
      <c r="X289">
        <f>IF(H289="*","*",IF(_xlfn.XLOOKUP($H289,'TRA TECH'!$J:$J,'TRA TECH'!AA:AA)="","",_xlfn.XLOOKUP($H289,'TRA TECH'!$J:$J,'TRA TECH'!AA:AA)))</f>
        <v>35064.743526515987</v>
      </c>
      <c r="Y289">
        <f>IF(H289="*","*",IF(_xlfn.XLOOKUP($H289,'TRA TECH'!$J:$J,'TRA TECH'!AB:AB)="","",_xlfn.XLOOKUP($H289,'TRA TECH'!$J:$J,'TRA TECH'!AB:AB)))</f>
        <v>35064.743526515987</v>
      </c>
      <c r="Z289">
        <f>IF(H289="*","*",IF(_xlfn.XLOOKUP($H289,'TRA TECH'!$J:$J,'TRA TECH'!AC:AC)="","",_xlfn.XLOOKUP($H289,'TRA TECH'!$J:$J,'TRA TECH'!AC:AC)))</f>
        <v>35064.743526515987</v>
      </c>
      <c r="AA289">
        <f>IF(H289="*","*",IF(_xlfn.XLOOKUP($H289,'TRA TECH'!$J:$J,'TRA TECH'!AD:AD)="","",_xlfn.XLOOKUP($H289,'TRA TECH'!$J:$J,'TRA TECH'!AD:AD)))</f>
        <v>35064.743526515987</v>
      </c>
      <c r="AB289">
        <f t="shared" si="23"/>
        <v>35064.743526515987</v>
      </c>
      <c r="AC289" s="15">
        <f>IF(H289="*","*",IF(_xlfn.XLOOKUP($H289,'TRA TECH'!$J:$J,'TRA TECH'!AE:AE)="","",_xlfn.XLOOKUP($H289,'TRA TECH'!$J:$J,'TRA TECH'!AE:AE)))</f>
        <v>3506.474352651599</v>
      </c>
      <c r="AD289" s="15">
        <f>IF(H289="*","*",IF(_xlfn.XLOOKUP($H289,'TRA TECH'!$J:$J,'TRA TECH'!AF:AF)="","",_xlfn.XLOOKUP($H289,'TRA TECH'!$J:$J,'TRA TECH'!AF:AF)))</f>
        <v>3506.474352651599</v>
      </c>
      <c r="AE289" s="15">
        <f>IF(H289="*","*",IF(_xlfn.XLOOKUP($H289,'TRA TECH'!$J:$J,'TRA TECH'!AG:AG)="","",_xlfn.XLOOKUP($H289,'TRA TECH'!$J:$J,'TRA TECH'!AG:AG)))</f>
        <v>3506.474352651599</v>
      </c>
      <c r="AF289" s="15">
        <f>IF(H289="*","*",IF(_xlfn.XLOOKUP($H289,'TRA TECH'!$J:$J,'TRA TECH'!AH:AH)="","",_xlfn.XLOOKUP($H289,'TRA TECH'!$J:$J,'TRA TECH'!AH:AH)))</f>
        <v>3506.474352651599</v>
      </c>
      <c r="AG289" s="15">
        <f>IF(H289="*","*",IF(_xlfn.XLOOKUP($H289,'TRA TECH'!$J:$J,'TRA TECH'!AI:AI)="","",_xlfn.XLOOKUP($H289,'TRA TECH'!$J:$J,'TRA TECH'!AI:AI)))</f>
        <v>3506.474352651599</v>
      </c>
      <c r="AH289" s="15">
        <f>IF(H289="*","*",IF(_xlfn.XLOOKUP($H289,'TRA TECH'!$J:$J,'TRA TECH'!AJ:AJ)="","",_xlfn.XLOOKUP($H289,'TRA TECH'!$J:$J,'TRA TECH'!AJ:AJ)))</f>
        <v>3506.474352651599</v>
      </c>
      <c r="AI289" s="15">
        <f>IF(H289="*","*",IF(_xlfn.XLOOKUP($H289,'TRA TECH'!$J:$J,'TRA TECH'!AK:AK)="","",_xlfn.XLOOKUP($H289,'TRA TECH'!$J:$J,'TRA TECH'!AK:AK)))</f>
        <v>3506.474352651599</v>
      </c>
      <c r="AJ289" s="15">
        <f t="shared" si="24"/>
        <v>3506.474352651599</v>
      </c>
      <c r="AK289" s="16">
        <f t="shared" si="25"/>
        <v>0.1</v>
      </c>
    </row>
    <row r="290" spans="2:37" x14ac:dyDescent="0.25">
      <c r="B290" t="str">
        <f>IF('TRA TECH'!M286=0,"*",IF('TRA TECH'!H286="","*",'TRA TECH'!J286))</f>
        <v>TRAPASRAIFCEV20</v>
      </c>
      <c r="C290" t="str">
        <f>IF('TRA TECH'!M286=0,"*",'TRA TECH'!H286)</f>
        <v>TRAH2G</v>
      </c>
      <c r="D290" t="s">
        <v>424</v>
      </c>
      <c r="E290" s="9">
        <f>'TRA TECH'!P286</f>
        <v>1</v>
      </c>
      <c r="H290" t="str">
        <f>IF('TRA TECH'!M286=1,IF('TRA TECH'!L286=1,'TRA TECH'!J286,"*"),"*")</f>
        <v>TRAPASRAIFCEV20</v>
      </c>
      <c r="I290" t="str">
        <f>IF(H290="*","*",_xlfn.XLOOKUP(H290,'TRA TECH'!J:J,'TRA TECH'!I:I))</f>
        <v>TRAPASRAIDMD</v>
      </c>
      <c r="J290">
        <f>IF(H290="*","*",_xlfn.XLOOKUP(H290,'TRA TECH'!J:J,'TRA TECH'!N:N))</f>
        <v>2020</v>
      </c>
      <c r="K290" s="15">
        <f>IF(H290="*","*",IF(_xlfn.XLOOKUP(H290,'TRA TECH'!J:J,'TRA TECH'!O:O)="","",_xlfn.XLOOKUP(H290,'TRA TECH'!J:J,'TRA TECH'!O:O)))</f>
        <v>30</v>
      </c>
      <c r="L290">
        <f t="shared" si="21"/>
        <v>1</v>
      </c>
      <c r="M290">
        <f>IF(H290="*","*",IF(_xlfn.XLOOKUP($H290,'TRA TECH'!$J:$J,'TRA TECH'!Q:Q)="","",_xlfn.XLOOKUP($H290,'TRA TECH'!$J:$J,'TRA TECH'!Q:Q)))</f>
        <v>4.0874686539039071E-2</v>
      </c>
      <c r="N290">
        <f>IF(H290="*","*",IF(_xlfn.XLOOKUP($H290,'TRA TECH'!$J:$J,'TRA TECH'!R:R)="","",_xlfn.XLOOKUP($H290,'TRA TECH'!$J:$J,'TRA TECH'!R:R)))</f>
        <v>4.0874686539039071E-2</v>
      </c>
      <c r="O290">
        <f>IF(H290="*","*",IF(_xlfn.XLOOKUP($H290,'TRA TECH'!$J:$J,'TRA TECH'!S:S)="","",_xlfn.XLOOKUP($H290,'TRA TECH'!$J:$J,'TRA TECH'!S:S)))</f>
        <v>4.0874686539039071E-2</v>
      </c>
      <c r="P290">
        <f>IF(H290="*","*",IF(_xlfn.XLOOKUP($H290,'TRA TECH'!$J:$J,'TRA TECH'!T:T)="","",_xlfn.XLOOKUP($H290,'TRA TECH'!$J:$J,'TRA TECH'!T:T)))</f>
        <v>4.0874686539039071E-2</v>
      </c>
      <c r="Q290">
        <f>IF(H290="*","*",IF(_xlfn.XLOOKUP($H290,'TRA TECH'!$J:$J,'TRA TECH'!U:U)="","",_xlfn.XLOOKUP($H290,'TRA TECH'!$J:$J,'TRA TECH'!U:U)))</f>
        <v>4.0874686539039071E-2</v>
      </c>
      <c r="R290">
        <f>IF(H290="*","*",IF(_xlfn.XLOOKUP($H290,'TRA TECH'!$J:$J,'TRA TECH'!V:V)="","",_xlfn.XLOOKUP($H290,'TRA TECH'!$J:$J,'TRA TECH'!V:V)))</f>
        <v>4.0874686539039071E-2</v>
      </c>
      <c r="S290">
        <f>IF(H290="*","*",IF(_xlfn.XLOOKUP($H290,'TRA TECH'!$J:$J,'TRA TECH'!W:W)="","",_xlfn.XLOOKUP($H290,'TRA TECH'!$J:$J,'TRA TECH'!W:W)))</f>
        <v>4.0874686539039071E-2</v>
      </c>
      <c r="T290">
        <f t="shared" si="22"/>
        <v>4.0874686539039071E-2</v>
      </c>
      <c r="U290">
        <f>IF(H290="*","*",IF(_xlfn.XLOOKUP($H290,'TRA TECH'!$J:$J,'TRA TECH'!X:X)="","",_xlfn.XLOOKUP($H290,'TRA TECH'!$J:$J,'TRA TECH'!X:X)))</f>
        <v>35064.743526515987</v>
      </c>
      <c r="V290">
        <f>IF(H290="*","*",IF(_xlfn.XLOOKUP($H290,'TRA TECH'!$J:$J,'TRA TECH'!Y:Y)="","",_xlfn.XLOOKUP($H290,'TRA TECH'!$J:$J,'TRA TECH'!Y:Y)))</f>
        <v>35064.743526515987</v>
      </c>
      <c r="W290">
        <f>IF(H290="*","*",IF(_xlfn.XLOOKUP($H290,'TRA TECH'!$J:$J,'TRA TECH'!Z:Z)="","",_xlfn.XLOOKUP($H290,'TRA TECH'!$J:$J,'TRA TECH'!Z:Z)))</f>
        <v>35064.743526515987</v>
      </c>
      <c r="X290">
        <f>IF(H290="*","*",IF(_xlfn.XLOOKUP($H290,'TRA TECH'!$J:$J,'TRA TECH'!AA:AA)="","",_xlfn.XLOOKUP($H290,'TRA TECH'!$J:$J,'TRA TECH'!AA:AA)))</f>
        <v>35064.743526515987</v>
      </c>
      <c r="Y290">
        <f>IF(H290="*","*",IF(_xlfn.XLOOKUP($H290,'TRA TECH'!$J:$J,'TRA TECH'!AB:AB)="","",_xlfn.XLOOKUP($H290,'TRA TECH'!$J:$J,'TRA TECH'!AB:AB)))</f>
        <v>35064.743526515987</v>
      </c>
      <c r="Z290">
        <f>IF(H290="*","*",IF(_xlfn.XLOOKUP($H290,'TRA TECH'!$J:$J,'TRA TECH'!AC:AC)="","",_xlfn.XLOOKUP($H290,'TRA TECH'!$J:$J,'TRA TECH'!AC:AC)))</f>
        <v>35064.743526515987</v>
      </c>
      <c r="AA290">
        <f>IF(H290="*","*",IF(_xlfn.XLOOKUP($H290,'TRA TECH'!$J:$J,'TRA TECH'!AD:AD)="","",_xlfn.XLOOKUP($H290,'TRA TECH'!$J:$J,'TRA TECH'!AD:AD)))</f>
        <v>35064.743526515987</v>
      </c>
      <c r="AB290">
        <f t="shared" si="23"/>
        <v>35064.743526515987</v>
      </c>
      <c r="AC290" s="15">
        <f>IF(H290="*","*",IF(_xlfn.XLOOKUP($H290,'TRA TECH'!$J:$J,'TRA TECH'!AE:AE)="","",_xlfn.XLOOKUP($H290,'TRA TECH'!$J:$J,'TRA TECH'!AE:AE)))</f>
        <v>3506.474352651599</v>
      </c>
      <c r="AD290" s="15">
        <f>IF(H290="*","*",IF(_xlfn.XLOOKUP($H290,'TRA TECH'!$J:$J,'TRA TECH'!AF:AF)="","",_xlfn.XLOOKUP($H290,'TRA TECH'!$J:$J,'TRA TECH'!AF:AF)))</f>
        <v>3506.474352651599</v>
      </c>
      <c r="AE290" s="15">
        <f>IF(H290="*","*",IF(_xlfn.XLOOKUP($H290,'TRA TECH'!$J:$J,'TRA TECH'!AG:AG)="","",_xlfn.XLOOKUP($H290,'TRA TECH'!$J:$J,'TRA TECH'!AG:AG)))</f>
        <v>3506.474352651599</v>
      </c>
      <c r="AF290" s="15">
        <f>IF(H290="*","*",IF(_xlfn.XLOOKUP($H290,'TRA TECH'!$J:$J,'TRA TECH'!AH:AH)="","",_xlfn.XLOOKUP($H290,'TRA TECH'!$J:$J,'TRA TECH'!AH:AH)))</f>
        <v>3506.474352651599</v>
      </c>
      <c r="AG290" s="15">
        <f>IF(H290="*","*",IF(_xlfn.XLOOKUP($H290,'TRA TECH'!$J:$J,'TRA TECH'!AI:AI)="","",_xlfn.XLOOKUP($H290,'TRA TECH'!$J:$J,'TRA TECH'!AI:AI)))</f>
        <v>3506.474352651599</v>
      </c>
      <c r="AH290" s="15">
        <f>IF(H290="*","*",IF(_xlfn.XLOOKUP($H290,'TRA TECH'!$J:$J,'TRA TECH'!AJ:AJ)="","",_xlfn.XLOOKUP($H290,'TRA TECH'!$J:$J,'TRA TECH'!AJ:AJ)))</f>
        <v>3506.474352651599</v>
      </c>
      <c r="AI290" s="15">
        <f>IF(H290="*","*",IF(_xlfn.XLOOKUP($H290,'TRA TECH'!$J:$J,'TRA TECH'!AK:AK)="","",_xlfn.XLOOKUP($H290,'TRA TECH'!$J:$J,'TRA TECH'!AK:AK)))</f>
        <v>3506.474352651599</v>
      </c>
      <c r="AJ290" s="15">
        <f t="shared" si="24"/>
        <v>3506.474352651599</v>
      </c>
      <c r="AK290" s="16">
        <f t="shared" si="25"/>
        <v>0.4</v>
      </c>
    </row>
    <row r="291" spans="2:37" x14ac:dyDescent="0.25">
      <c r="B291" t="str">
        <f>IF('TRA TECH'!M287=0,"*",IF('TRA TECH'!H287="","*",'TRA TECH'!J287))</f>
        <v>TRAPASTRMPROELC20</v>
      </c>
      <c r="C291" t="str">
        <f>IF('TRA TECH'!M287=0,"*",'TRA TECH'!H287)</f>
        <v>TRAELC</v>
      </c>
      <c r="D291" t="s">
        <v>424</v>
      </c>
      <c r="E291" s="9">
        <f>'TRA TECH'!P287</f>
        <v>1</v>
      </c>
      <c r="H291" t="str">
        <f>IF('TRA TECH'!M287=1,IF('TRA TECH'!L287=1,'TRA TECH'!J287,"*"),"*")</f>
        <v>TRAPASTRMPROELC20</v>
      </c>
      <c r="I291" t="str">
        <f>IF(H291="*","*",_xlfn.XLOOKUP(H291,'TRA TECH'!J:J,'TRA TECH'!I:I))</f>
        <v>TRAPASTRMDMD</v>
      </c>
      <c r="J291">
        <f>IF(H291="*","*",_xlfn.XLOOKUP(H291,'TRA TECH'!J:J,'TRA TECH'!N:N))</f>
        <v>2020</v>
      </c>
      <c r="K291" s="15">
        <f>IF(H291="*","*",IF(_xlfn.XLOOKUP(H291,'TRA TECH'!J:J,'TRA TECH'!O:O)="","",_xlfn.XLOOKUP(H291,'TRA TECH'!J:J,'TRA TECH'!O:O)))</f>
        <v>30</v>
      </c>
      <c r="L291">
        <f t="shared" si="21"/>
        <v>1</v>
      </c>
      <c r="M291">
        <f>IF(H291="*","*",IF(_xlfn.XLOOKUP($H291,'TRA TECH'!$J:$J,'TRA TECH'!Q:Q)="","",_xlfn.XLOOKUP($H291,'TRA TECH'!$J:$J,'TRA TECH'!Q:Q)))</f>
        <v>7.814652044054797E-2</v>
      </c>
      <c r="N291">
        <f>IF(H291="*","*",IF(_xlfn.XLOOKUP($H291,'TRA TECH'!$J:$J,'TRA TECH'!R:R)="","",_xlfn.XLOOKUP($H291,'TRA TECH'!$J:$J,'TRA TECH'!R:R)))</f>
        <v>7.814652044054797E-2</v>
      </c>
      <c r="O291">
        <f>IF(H291="*","*",IF(_xlfn.XLOOKUP($H291,'TRA TECH'!$J:$J,'TRA TECH'!S:S)="","",_xlfn.XLOOKUP($H291,'TRA TECH'!$J:$J,'TRA TECH'!S:S)))</f>
        <v>7.814652044054797E-2</v>
      </c>
      <c r="P291">
        <f>IF(H291="*","*",IF(_xlfn.XLOOKUP($H291,'TRA TECH'!$J:$J,'TRA TECH'!T:T)="","",_xlfn.XLOOKUP($H291,'TRA TECH'!$J:$J,'TRA TECH'!T:T)))</f>
        <v>7.814652044054797E-2</v>
      </c>
      <c r="Q291">
        <f>IF(H291="*","*",IF(_xlfn.XLOOKUP($H291,'TRA TECH'!$J:$J,'TRA TECH'!U:U)="","",_xlfn.XLOOKUP($H291,'TRA TECH'!$J:$J,'TRA TECH'!U:U)))</f>
        <v>7.814652044054797E-2</v>
      </c>
      <c r="R291">
        <f>IF(H291="*","*",IF(_xlfn.XLOOKUP($H291,'TRA TECH'!$J:$J,'TRA TECH'!V:V)="","",_xlfn.XLOOKUP($H291,'TRA TECH'!$J:$J,'TRA TECH'!V:V)))</f>
        <v>7.814652044054797E-2</v>
      </c>
      <c r="S291">
        <f>IF(H291="*","*",IF(_xlfn.XLOOKUP($H291,'TRA TECH'!$J:$J,'TRA TECH'!W:W)="","",_xlfn.XLOOKUP($H291,'TRA TECH'!$J:$J,'TRA TECH'!W:W)))</f>
        <v>7.814652044054797E-2</v>
      </c>
      <c r="T291">
        <f t="shared" si="22"/>
        <v>7.814652044054797E-2</v>
      </c>
      <c r="U291">
        <f>IF(H291="*","*",IF(_xlfn.XLOOKUP($H291,'TRA TECH'!$J:$J,'TRA TECH'!X:X)="","",_xlfn.XLOOKUP($H291,'TRA TECH'!$J:$J,'TRA TECH'!X:X)))</f>
        <v>1585.923890582003</v>
      </c>
      <c r="V291">
        <f>IF(H291="*","*",IF(_xlfn.XLOOKUP($H291,'TRA TECH'!$J:$J,'TRA TECH'!Y:Y)="","",_xlfn.XLOOKUP($H291,'TRA TECH'!$J:$J,'TRA TECH'!Y:Y)))</f>
        <v>1585.923890582003</v>
      </c>
      <c r="W291">
        <f>IF(H291="*","*",IF(_xlfn.XLOOKUP($H291,'TRA TECH'!$J:$J,'TRA TECH'!Z:Z)="","",_xlfn.XLOOKUP($H291,'TRA TECH'!$J:$J,'TRA TECH'!Z:Z)))</f>
        <v>1585.923890582003</v>
      </c>
      <c r="X291">
        <f>IF(H291="*","*",IF(_xlfn.XLOOKUP($H291,'TRA TECH'!$J:$J,'TRA TECH'!AA:AA)="","",_xlfn.XLOOKUP($H291,'TRA TECH'!$J:$J,'TRA TECH'!AA:AA)))</f>
        <v>1585.923890582003</v>
      </c>
      <c r="Y291">
        <f>IF(H291="*","*",IF(_xlfn.XLOOKUP($H291,'TRA TECH'!$J:$J,'TRA TECH'!AB:AB)="","",_xlfn.XLOOKUP($H291,'TRA TECH'!$J:$J,'TRA TECH'!AB:AB)))</f>
        <v>1585.923890582003</v>
      </c>
      <c r="Z291">
        <f>IF(H291="*","*",IF(_xlfn.XLOOKUP($H291,'TRA TECH'!$J:$J,'TRA TECH'!AC:AC)="","",_xlfn.XLOOKUP($H291,'TRA TECH'!$J:$J,'TRA TECH'!AC:AC)))</f>
        <v>1585.923890582003</v>
      </c>
      <c r="AA291">
        <f>IF(H291="*","*",IF(_xlfn.XLOOKUP($H291,'TRA TECH'!$J:$J,'TRA TECH'!AD:AD)="","",_xlfn.XLOOKUP($H291,'TRA TECH'!$J:$J,'TRA TECH'!AD:AD)))</f>
        <v>1585.923890582003</v>
      </c>
      <c r="AB291">
        <f t="shared" si="23"/>
        <v>1585.923890582003</v>
      </c>
      <c r="AC291" s="15">
        <f>IF(H291="*","*",IF(_xlfn.XLOOKUP($H291,'TRA TECH'!$J:$J,'TRA TECH'!AE:AE)="","",_xlfn.XLOOKUP($H291,'TRA TECH'!$J:$J,'TRA TECH'!AE:AE)))</f>
        <v>158.5923890582003</v>
      </c>
      <c r="AD291" s="15">
        <f>IF(H291="*","*",IF(_xlfn.XLOOKUP($H291,'TRA TECH'!$J:$J,'TRA TECH'!AF:AF)="","",_xlfn.XLOOKUP($H291,'TRA TECH'!$J:$J,'TRA TECH'!AF:AF)))</f>
        <v>158.5923890582003</v>
      </c>
      <c r="AE291" s="15">
        <f>IF(H291="*","*",IF(_xlfn.XLOOKUP($H291,'TRA TECH'!$J:$J,'TRA TECH'!AG:AG)="","",_xlfn.XLOOKUP($H291,'TRA TECH'!$J:$J,'TRA TECH'!AG:AG)))</f>
        <v>158.5923890582003</v>
      </c>
      <c r="AF291" s="15">
        <f>IF(H291="*","*",IF(_xlfn.XLOOKUP($H291,'TRA TECH'!$J:$J,'TRA TECH'!AH:AH)="","",_xlfn.XLOOKUP($H291,'TRA TECH'!$J:$J,'TRA TECH'!AH:AH)))</f>
        <v>158.5923890582003</v>
      </c>
      <c r="AG291" s="15">
        <f>IF(H291="*","*",IF(_xlfn.XLOOKUP($H291,'TRA TECH'!$J:$J,'TRA TECH'!AI:AI)="","",_xlfn.XLOOKUP($H291,'TRA TECH'!$J:$J,'TRA TECH'!AI:AI)))</f>
        <v>158.5923890582003</v>
      </c>
      <c r="AH291" s="15">
        <f>IF(H291="*","*",IF(_xlfn.XLOOKUP($H291,'TRA TECH'!$J:$J,'TRA TECH'!AJ:AJ)="","",_xlfn.XLOOKUP($H291,'TRA TECH'!$J:$J,'TRA TECH'!AJ:AJ)))</f>
        <v>158.5923890582003</v>
      </c>
      <c r="AI291" s="15">
        <f>IF(H291="*","*",IF(_xlfn.XLOOKUP($H291,'TRA TECH'!$J:$J,'TRA TECH'!AK:AK)="","",_xlfn.XLOOKUP($H291,'TRA TECH'!$J:$J,'TRA TECH'!AK:AK)))</f>
        <v>158.5923890582003</v>
      </c>
      <c r="AJ291" s="15">
        <f t="shared" si="24"/>
        <v>158.5923890582003</v>
      </c>
      <c r="AK291" s="16">
        <f t="shared" si="25"/>
        <v>0.1</v>
      </c>
    </row>
    <row r="292" spans="2:37" x14ac:dyDescent="0.25">
      <c r="B292" t="str">
        <f>IF('TRA TECH'!M288=0,"*",IF('TRA TECH'!H288="","*",'TRA TECH'!J288))</f>
        <v>TRAPASSUBPROELC20</v>
      </c>
      <c r="C292" t="str">
        <f>IF('TRA TECH'!M288=0,"*",'TRA TECH'!H288)</f>
        <v>TRAELC</v>
      </c>
      <c r="D292" t="s">
        <v>424</v>
      </c>
      <c r="E292" s="9">
        <f>'TRA TECH'!P288</f>
        <v>1</v>
      </c>
      <c r="H292" t="str">
        <f>IF('TRA TECH'!M288=1,IF('TRA TECH'!L288=1,'TRA TECH'!J288,"*"),"*")</f>
        <v>TRAPASSUBPROELC20</v>
      </c>
      <c r="I292" t="str">
        <f>IF(H292="*","*",_xlfn.XLOOKUP(H292,'TRA TECH'!J:J,'TRA TECH'!I:I))</f>
        <v>TRAPASSUBDMD</v>
      </c>
      <c r="J292">
        <f>IF(H292="*","*",_xlfn.XLOOKUP(H292,'TRA TECH'!J:J,'TRA TECH'!N:N))</f>
        <v>2020</v>
      </c>
      <c r="K292" s="15">
        <f>IF(H292="*","*",IF(_xlfn.XLOOKUP(H292,'TRA TECH'!J:J,'TRA TECH'!O:O)="","",_xlfn.XLOOKUP(H292,'TRA TECH'!J:J,'TRA TECH'!O:O)))</f>
        <v>30</v>
      </c>
      <c r="L292">
        <f t="shared" si="21"/>
        <v>1</v>
      </c>
      <c r="M292">
        <f>IF(H292="*","*",IF(_xlfn.XLOOKUP($H292,'TRA TECH'!$J:$J,'TRA TECH'!Q:Q)="","",_xlfn.XLOOKUP($H292,'TRA TECH'!$J:$J,'TRA TECH'!Q:Q)))</f>
        <v>7.814652044054797E-2</v>
      </c>
      <c r="N292">
        <f>IF(H292="*","*",IF(_xlfn.XLOOKUP($H292,'TRA TECH'!$J:$J,'TRA TECH'!R:R)="","",_xlfn.XLOOKUP($H292,'TRA TECH'!$J:$J,'TRA TECH'!R:R)))</f>
        <v>7.814652044054797E-2</v>
      </c>
      <c r="O292">
        <f>IF(H292="*","*",IF(_xlfn.XLOOKUP($H292,'TRA TECH'!$J:$J,'TRA TECH'!S:S)="","",_xlfn.XLOOKUP($H292,'TRA TECH'!$J:$J,'TRA TECH'!S:S)))</f>
        <v>7.814652044054797E-2</v>
      </c>
      <c r="P292">
        <f>IF(H292="*","*",IF(_xlfn.XLOOKUP($H292,'TRA TECH'!$J:$J,'TRA TECH'!T:T)="","",_xlfn.XLOOKUP($H292,'TRA TECH'!$J:$J,'TRA TECH'!T:T)))</f>
        <v>7.814652044054797E-2</v>
      </c>
      <c r="Q292">
        <f>IF(H292="*","*",IF(_xlfn.XLOOKUP($H292,'TRA TECH'!$J:$J,'TRA TECH'!U:U)="","",_xlfn.XLOOKUP($H292,'TRA TECH'!$J:$J,'TRA TECH'!U:U)))</f>
        <v>7.814652044054797E-2</v>
      </c>
      <c r="R292">
        <f>IF(H292="*","*",IF(_xlfn.XLOOKUP($H292,'TRA TECH'!$J:$J,'TRA TECH'!V:V)="","",_xlfn.XLOOKUP($H292,'TRA TECH'!$J:$J,'TRA TECH'!V:V)))</f>
        <v>7.814652044054797E-2</v>
      </c>
      <c r="S292">
        <f>IF(H292="*","*",IF(_xlfn.XLOOKUP($H292,'TRA TECH'!$J:$J,'TRA TECH'!W:W)="","",_xlfn.XLOOKUP($H292,'TRA TECH'!$J:$J,'TRA TECH'!W:W)))</f>
        <v>7.814652044054797E-2</v>
      </c>
      <c r="T292">
        <f t="shared" si="22"/>
        <v>7.814652044054797E-2</v>
      </c>
      <c r="U292">
        <f>IF(H292="*","*",IF(_xlfn.XLOOKUP($H292,'TRA TECH'!$J:$J,'TRA TECH'!X:X)="","",_xlfn.XLOOKUP($H292,'TRA TECH'!$J:$J,'TRA TECH'!X:X)))</f>
        <v>1585.923890582003</v>
      </c>
      <c r="V292">
        <f>IF(H292="*","*",IF(_xlfn.XLOOKUP($H292,'TRA TECH'!$J:$J,'TRA TECH'!Y:Y)="","",_xlfn.XLOOKUP($H292,'TRA TECH'!$J:$J,'TRA TECH'!Y:Y)))</f>
        <v>1585.923890582003</v>
      </c>
      <c r="W292">
        <f>IF(H292="*","*",IF(_xlfn.XLOOKUP($H292,'TRA TECH'!$J:$J,'TRA TECH'!Z:Z)="","",_xlfn.XLOOKUP($H292,'TRA TECH'!$J:$J,'TRA TECH'!Z:Z)))</f>
        <v>1585.923890582003</v>
      </c>
      <c r="X292">
        <f>IF(H292="*","*",IF(_xlfn.XLOOKUP($H292,'TRA TECH'!$J:$J,'TRA TECH'!AA:AA)="","",_xlfn.XLOOKUP($H292,'TRA TECH'!$J:$J,'TRA TECH'!AA:AA)))</f>
        <v>1585.923890582003</v>
      </c>
      <c r="Y292">
        <f>IF(H292="*","*",IF(_xlfn.XLOOKUP($H292,'TRA TECH'!$J:$J,'TRA TECH'!AB:AB)="","",_xlfn.XLOOKUP($H292,'TRA TECH'!$J:$J,'TRA TECH'!AB:AB)))</f>
        <v>1585.923890582003</v>
      </c>
      <c r="Z292">
        <f>IF(H292="*","*",IF(_xlfn.XLOOKUP($H292,'TRA TECH'!$J:$J,'TRA TECH'!AC:AC)="","",_xlfn.XLOOKUP($H292,'TRA TECH'!$J:$J,'TRA TECH'!AC:AC)))</f>
        <v>1585.923890582003</v>
      </c>
      <c r="AA292">
        <f>IF(H292="*","*",IF(_xlfn.XLOOKUP($H292,'TRA TECH'!$J:$J,'TRA TECH'!AD:AD)="","",_xlfn.XLOOKUP($H292,'TRA TECH'!$J:$J,'TRA TECH'!AD:AD)))</f>
        <v>1585.923890582003</v>
      </c>
      <c r="AB292">
        <f t="shared" si="23"/>
        <v>1585.923890582003</v>
      </c>
      <c r="AC292" s="15">
        <f>IF(H292="*","*",IF(_xlfn.XLOOKUP($H292,'TRA TECH'!$J:$J,'TRA TECH'!AE:AE)="","",_xlfn.XLOOKUP($H292,'TRA TECH'!$J:$J,'TRA TECH'!AE:AE)))</f>
        <v>158.5923890582003</v>
      </c>
      <c r="AD292" s="15">
        <f>IF(H292="*","*",IF(_xlfn.XLOOKUP($H292,'TRA TECH'!$J:$J,'TRA TECH'!AF:AF)="","",_xlfn.XLOOKUP($H292,'TRA TECH'!$J:$J,'TRA TECH'!AF:AF)))</f>
        <v>158.5923890582003</v>
      </c>
      <c r="AE292" s="15">
        <f>IF(H292="*","*",IF(_xlfn.XLOOKUP($H292,'TRA TECH'!$J:$J,'TRA TECH'!AG:AG)="","",_xlfn.XLOOKUP($H292,'TRA TECH'!$J:$J,'TRA TECH'!AG:AG)))</f>
        <v>158.5923890582003</v>
      </c>
      <c r="AF292" s="15">
        <f>IF(H292="*","*",IF(_xlfn.XLOOKUP($H292,'TRA TECH'!$J:$J,'TRA TECH'!AH:AH)="","",_xlfn.XLOOKUP($H292,'TRA TECH'!$J:$J,'TRA TECH'!AH:AH)))</f>
        <v>158.5923890582003</v>
      </c>
      <c r="AG292" s="15">
        <f>IF(H292="*","*",IF(_xlfn.XLOOKUP($H292,'TRA TECH'!$J:$J,'TRA TECH'!AI:AI)="","",_xlfn.XLOOKUP($H292,'TRA TECH'!$J:$J,'TRA TECH'!AI:AI)))</f>
        <v>158.5923890582003</v>
      </c>
      <c r="AH292" s="15">
        <f>IF(H292="*","*",IF(_xlfn.XLOOKUP($H292,'TRA TECH'!$J:$J,'TRA TECH'!AJ:AJ)="","",_xlfn.XLOOKUP($H292,'TRA TECH'!$J:$J,'TRA TECH'!AJ:AJ)))</f>
        <v>158.5923890582003</v>
      </c>
      <c r="AI292" s="15">
        <f>IF(H292="*","*",IF(_xlfn.XLOOKUP($H292,'TRA TECH'!$J:$J,'TRA TECH'!AK:AK)="","",_xlfn.XLOOKUP($H292,'TRA TECH'!$J:$J,'TRA TECH'!AK:AK)))</f>
        <v>158.5923890582003</v>
      </c>
      <c r="AJ292" s="15">
        <f t="shared" si="24"/>
        <v>158.5923890582003</v>
      </c>
      <c r="AK292" s="16">
        <f t="shared" si="25"/>
        <v>0.1</v>
      </c>
    </row>
    <row r="293" spans="2:37" x14ac:dyDescent="0.25">
      <c r="B293" t="str">
        <f>IF('TRA TECH'!M289=0,"*",IF('TRA TECH'!H289="","*",'TRA TECH'!J289))</f>
        <v>TRAOTHWATICEVDSL20</v>
      </c>
      <c r="C293" t="str">
        <f>IF('TRA TECH'!M289=0,"*",'TRA TECH'!H289)</f>
        <v>TRADSL</v>
      </c>
      <c r="D293" t="s">
        <v>424</v>
      </c>
      <c r="E293" s="9">
        <f>'TRA TECH'!P289</f>
        <v>1</v>
      </c>
      <c r="H293" t="str">
        <f>IF('TRA TECH'!M289=1,IF('TRA TECH'!L289=1,'TRA TECH'!J289,"*"),"*")</f>
        <v>TRAOTHWATICEVDSL20</v>
      </c>
      <c r="I293" t="str">
        <f>IF(H293="*","*",_xlfn.XLOOKUP(H293,'TRA TECH'!J:J,'TRA TECH'!I:I))</f>
        <v>TRAOTHWATDMD</v>
      </c>
      <c r="J293">
        <f>IF(H293="*","*",_xlfn.XLOOKUP(H293,'TRA TECH'!J:J,'TRA TECH'!N:N))</f>
        <v>2020</v>
      </c>
      <c r="K293" s="15">
        <f>IF(H293="*","*",IF(_xlfn.XLOOKUP(H293,'TRA TECH'!J:J,'TRA TECH'!O:O)="","",_xlfn.XLOOKUP(H293,'TRA TECH'!J:J,'TRA TECH'!O:O)))</f>
        <v>30</v>
      </c>
      <c r="L293">
        <f t="shared" si="21"/>
        <v>1</v>
      </c>
      <c r="M293">
        <f>IF(H293="*","*",IF(_xlfn.XLOOKUP($H293,'TRA TECH'!$J:$J,'TRA TECH'!Q:Q)="","",_xlfn.XLOOKUP($H293,'TRA TECH'!$J:$J,'TRA TECH'!Q:Q)))</f>
        <v>1.142762194627794E-3</v>
      </c>
      <c r="N293">
        <f>IF(H293="*","*",IF(_xlfn.XLOOKUP($H293,'TRA TECH'!$J:$J,'TRA TECH'!R:R)="","",_xlfn.XLOOKUP($H293,'TRA TECH'!$J:$J,'TRA TECH'!R:R)))</f>
        <v>1.142762194627794E-3</v>
      </c>
      <c r="O293">
        <f>IF(H293="*","*",IF(_xlfn.XLOOKUP($H293,'TRA TECH'!$J:$J,'TRA TECH'!S:S)="","",_xlfn.XLOOKUP($H293,'TRA TECH'!$J:$J,'TRA TECH'!S:S)))</f>
        <v>1.142762194627794E-3</v>
      </c>
      <c r="P293">
        <f>IF(H293="*","*",IF(_xlfn.XLOOKUP($H293,'TRA TECH'!$J:$J,'TRA TECH'!T:T)="","",_xlfn.XLOOKUP($H293,'TRA TECH'!$J:$J,'TRA TECH'!T:T)))</f>
        <v>1.142762194627794E-3</v>
      </c>
      <c r="Q293">
        <f>IF(H293="*","*",IF(_xlfn.XLOOKUP($H293,'TRA TECH'!$J:$J,'TRA TECH'!U:U)="","",_xlfn.XLOOKUP($H293,'TRA TECH'!$J:$J,'TRA TECH'!U:U)))</f>
        <v>1.142762194627794E-3</v>
      </c>
      <c r="R293">
        <f>IF(H293="*","*",IF(_xlfn.XLOOKUP($H293,'TRA TECH'!$J:$J,'TRA TECH'!V:V)="","",_xlfn.XLOOKUP($H293,'TRA TECH'!$J:$J,'TRA TECH'!V:V)))</f>
        <v>1.142762194627794E-3</v>
      </c>
      <c r="S293">
        <f>IF(H293="*","*",IF(_xlfn.XLOOKUP($H293,'TRA TECH'!$J:$J,'TRA TECH'!W:W)="","",_xlfn.XLOOKUP($H293,'TRA TECH'!$J:$J,'TRA TECH'!W:W)))</f>
        <v>1.142762194627794E-3</v>
      </c>
      <c r="T293">
        <f t="shared" si="22"/>
        <v>1.142762194627794E-3</v>
      </c>
      <c r="U293">
        <f>IF(H293="*","*",IF(_xlfn.XLOOKUP($H293,'TRA TECH'!$J:$J,'TRA TECH'!X:X)="","",_xlfn.XLOOKUP($H293,'TRA TECH'!$J:$J,'TRA TECH'!X:X)))</f>
        <v>59271.955492113273</v>
      </c>
      <c r="V293">
        <f>IF(H293="*","*",IF(_xlfn.XLOOKUP($H293,'TRA TECH'!$J:$J,'TRA TECH'!Y:Y)="","",_xlfn.XLOOKUP($H293,'TRA TECH'!$J:$J,'TRA TECH'!Y:Y)))</f>
        <v>59271.955492113273</v>
      </c>
      <c r="W293">
        <f>IF(H293="*","*",IF(_xlfn.XLOOKUP($H293,'TRA TECH'!$J:$J,'TRA TECH'!Z:Z)="","",_xlfn.XLOOKUP($H293,'TRA TECH'!$J:$J,'TRA TECH'!Z:Z)))</f>
        <v>59271.955492113273</v>
      </c>
      <c r="X293">
        <f>IF(H293="*","*",IF(_xlfn.XLOOKUP($H293,'TRA TECH'!$J:$J,'TRA TECH'!AA:AA)="","",_xlfn.XLOOKUP($H293,'TRA TECH'!$J:$J,'TRA TECH'!AA:AA)))</f>
        <v>59271.955492113273</v>
      </c>
      <c r="Y293">
        <f>IF(H293="*","*",IF(_xlfn.XLOOKUP($H293,'TRA TECH'!$J:$J,'TRA TECH'!AB:AB)="","",_xlfn.XLOOKUP($H293,'TRA TECH'!$J:$J,'TRA TECH'!AB:AB)))</f>
        <v>59271.955492113273</v>
      </c>
      <c r="Z293">
        <f>IF(H293="*","*",IF(_xlfn.XLOOKUP($H293,'TRA TECH'!$J:$J,'TRA TECH'!AC:AC)="","",_xlfn.XLOOKUP($H293,'TRA TECH'!$J:$J,'TRA TECH'!AC:AC)))</f>
        <v>59271.955492113273</v>
      </c>
      <c r="AA293">
        <f>IF(H293="*","*",IF(_xlfn.XLOOKUP($H293,'TRA TECH'!$J:$J,'TRA TECH'!AD:AD)="","",_xlfn.XLOOKUP($H293,'TRA TECH'!$J:$J,'TRA TECH'!AD:AD)))</f>
        <v>59271.955492113273</v>
      </c>
      <c r="AB293">
        <f t="shared" si="23"/>
        <v>59271.955492113273</v>
      </c>
      <c r="AC293" s="15">
        <f>IF(H293="*","*",IF(_xlfn.XLOOKUP($H293,'TRA TECH'!$J:$J,'TRA TECH'!AE:AE)="","",_xlfn.XLOOKUP($H293,'TRA TECH'!$J:$J,'TRA TECH'!AE:AE)))</f>
        <v>2963.5977746056642</v>
      </c>
      <c r="AD293" s="15">
        <f>IF(H293="*","*",IF(_xlfn.XLOOKUP($H293,'TRA TECH'!$J:$J,'TRA TECH'!AF:AF)="","",_xlfn.XLOOKUP($H293,'TRA TECH'!$J:$J,'TRA TECH'!AF:AF)))</f>
        <v>2963.5977746056642</v>
      </c>
      <c r="AE293" s="15">
        <f>IF(H293="*","*",IF(_xlfn.XLOOKUP($H293,'TRA TECH'!$J:$J,'TRA TECH'!AG:AG)="","",_xlfn.XLOOKUP($H293,'TRA TECH'!$J:$J,'TRA TECH'!AG:AG)))</f>
        <v>2963.5977746056642</v>
      </c>
      <c r="AF293" s="15">
        <f>IF(H293="*","*",IF(_xlfn.XLOOKUP($H293,'TRA TECH'!$J:$J,'TRA TECH'!AH:AH)="","",_xlfn.XLOOKUP($H293,'TRA TECH'!$J:$J,'TRA TECH'!AH:AH)))</f>
        <v>2963.5977746056642</v>
      </c>
      <c r="AG293" s="15">
        <f>IF(H293="*","*",IF(_xlfn.XLOOKUP($H293,'TRA TECH'!$J:$J,'TRA TECH'!AI:AI)="","",_xlfn.XLOOKUP($H293,'TRA TECH'!$J:$J,'TRA TECH'!AI:AI)))</f>
        <v>2963.5977746056642</v>
      </c>
      <c r="AH293" s="15">
        <f>IF(H293="*","*",IF(_xlfn.XLOOKUP($H293,'TRA TECH'!$J:$J,'TRA TECH'!AJ:AJ)="","",_xlfn.XLOOKUP($H293,'TRA TECH'!$J:$J,'TRA TECH'!AJ:AJ)))</f>
        <v>2963.5977746056642</v>
      </c>
      <c r="AI293" s="15">
        <f>IF(H293="*","*",IF(_xlfn.XLOOKUP($H293,'TRA TECH'!$J:$J,'TRA TECH'!AK:AK)="","",_xlfn.XLOOKUP($H293,'TRA TECH'!$J:$J,'TRA TECH'!AK:AK)))</f>
        <v>2963.5977746056642</v>
      </c>
      <c r="AJ293" s="15">
        <f t="shared" si="24"/>
        <v>2963.5977746056642</v>
      </c>
      <c r="AK293" s="16">
        <f t="shared" si="25"/>
        <v>0.1</v>
      </c>
    </row>
    <row r="294" spans="2:37" x14ac:dyDescent="0.25">
      <c r="B294" t="str">
        <f>IF('TRA TECH'!M290=0,"*",IF('TRA TECH'!H290="","*",'TRA TECH'!J290))</f>
        <v>TRAOTHWATICEVDSL20</v>
      </c>
      <c r="C294" t="str">
        <f>IF('TRA TECH'!M290=0,"*",'TRA TECH'!H290)</f>
        <v>TRARDS</v>
      </c>
      <c r="D294" t="s">
        <v>424</v>
      </c>
      <c r="E294" s="9">
        <f>'TRA TECH'!P290</f>
        <v>1</v>
      </c>
      <c r="H294" t="str">
        <f>IF('TRA TECH'!M290=1,IF('TRA TECH'!L290=1,'TRA TECH'!J290,"*"),"*")</f>
        <v>*</v>
      </c>
      <c r="I294" t="str">
        <f>IF(H294="*","*",_xlfn.XLOOKUP(H294,'TRA TECH'!J:J,'TRA TECH'!I:I))</f>
        <v>*</v>
      </c>
      <c r="J294" t="str">
        <f>IF(H294="*","*",_xlfn.XLOOKUP(H294,'TRA TECH'!J:J,'TRA TECH'!N:N))</f>
        <v>*</v>
      </c>
      <c r="K294" s="15" t="str">
        <f>IF(H294="*","*",IF(_xlfn.XLOOKUP(H294,'TRA TECH'!J:J,'TRA TECH'!O:O)="","",_xlfn.XLOOKUP(H294,'TRA TECH'!J:J,'TRA TECH'!O:O)))</f>
        <v>*</v>
      </c>
      <c r="L294" t="str">
        <f t="shared" si="21"/>
        <v>*</v>
      </c>
      <c r="M294" t="str">
        <f>IF(H294="*","*",IF(_xlfn.XLOOKUP($H294,'TRA TECH'!$J:$J,'TRA TECH'!Q:Q)="","",_xlfn.XLOOKUP($H294,'TRA TECH'!$J:$J,'TRA TECH'!Q:Q)))</f>
        <v>*</v>
      </c>
      <c r="N294" t="str">
        <f>IF(H294="*","*",IF(_xlfn.XLOOKUP($H294,'TRA TECH'!$J:$J,'TRA TECH'!R:R)="","",_xlfn.XLOOKUP($H294,'TRA TECH'!$J:$J,'TRA TECH'!R:R)))</f>
        <v>*</v>
      </c>
      <c r="O294" t="str">
        <f>IF(H294="*","*",IF(_xlfn.XLOOKUP($H294,'TRA TECH'!$J:$J,'TRA TECH'!S:S)="","",_xlfn.XLOOKUP($H294,'TRA TECH'!$J:$J,'TRA TECH'!S:S)))</f>
        <v>*</v>
      </c>
      <c r="P294" t="str">
        <f>IF(H294="*","*",IF(_xlfn.XLOOKUP($H294,'TRA TECH'!$J:$J,'TRA TECH'!T:T)="","",_xlfn.XLOOKUP($H294,'TRA TECH'!$J:$J,'TRA TECH'!T:T)))</f>
        <v>*</v>
      </c>
      <c r="Q294" t="str">
        <f>IF(H294="*","*",IF(_xlfn.XLOOKUP($H294,'TRA TECH'!$J:$J,'TRA TECH'!U:U)="","",_xlfn.XLOOKUP($H294,'TRA TECH'!$J:$J,'TRA TECH'!U:U)))</f>
        <v>*</v>
      </c>
      <c r="R294" t="str">
        <f>IF(H294="*","*",IF(_xlfn.XLOOKUP($H294,'TRA TECH'!$J:$J,'TRA TECH'!V:V)="","",_xlfn.XLOOKUP($H294,'TRA TECH'!$J:$J,'TRA TECH'!V:V)))</f>
        <v>*</v>
      </c>
      <c r="S294" t="str">
        <f>IF(H294="*","*",IF(_xlfn.XLOOKUP($H294,'TRA TECH'!$J:$J,'TRA TECH'!W:W)="","",_xlfn.XLOOKUP($H294,'TRA TECH'!$J:$J,'TRA TECH'!W:W)))</f>
        <v>*</v>
      </c>
      <c r="T294" t="str">
        <f t="shared" si="22"/>
        <v>*</v>
      </c>
      <c r="U294" t="str">
        <f>IF(H294="*","*",IF(_xlfn.XLOOKUP($H294,'TRA TECH'!$J:$J,'TRA TECH'!X:X)="","",_xlfn.XLOOKUP($H294,'TRA TECH'!$J:$J,'TRA TECH'!X:X)))</f>
        <v>*</v>
      </c>
      <c r="V294" t="str">
        <f>IF(H294="*","*",IF(_xlfn.XLOOKUP($H294,'TRA TECH'!$J:$J,'TRA TECH'!Y:Y)="","",_xlfn.XLOOKUP($H294,'TRA TECH'!$J:$J,'TRA TECH'!Y:Y)))</f>
        <v>*</v>
      </c>
      <c r="W294" t="str">
        <f>IF(H294="*","*",IF(_xlfn.XLOOKUP($H294,'TRA TECH'!$J:$J,'TRA TECH'!Z:Z)="","",_xlfn.XLOOKUP($H294,'TRA TECH'!$J:$J,'TRA TECH'!Z:Z)))</f>
        <v>*</v>
      </c>
      <c r="X294" t="str">
        <f>IF(H294="*","*",IF(_xlfn.XLOOKUP($H294,'TRA TECH'!$J:$J,'TRA TECH'!AA:AA)="","",_xlfn.XLOOKUP($H294,'TRA TECH'!$J:$J,'TRA TECH'!AA:AA)))</f>
        <v>*</v>
      </c>
      <c r="Y294" t="str">
        <f>IF(H294="*","*",IF(_xlfn.XLOOKUP($H294,'TRA TECH'!$J:$J,'TRA TECH'!AB:AB)="","",_xlfn.XLOOKUP($H294,'TRA TECH'!$J:$J,'TRA TECH'!AB:AB)))</f>
        <v>*</v>
      </c>
      <c r="Z294" t="str">
        <f>IF(H294="*","*",IF(_xlfn.XLOOKUP($H294,'TRA TECH'!$J:$J,'TRA TECH'!AC:AC)="","",_xlfn.XLOOKUP($H294,'TRA TECH'!$J:$J,'TRA TECH'!AC:AC)))</f>
        <v>*</v>
      </c>
      <c r="AA294" t="str">
        <f>IF(H294="*","*",IF(_xlfn.XLOOKUP($H294,'TRA TECH'!$J:$J,'TRA TECH'!AD:AD)="","",_xlfn.XLOOKUP($H294,'TRA TECH'!$J:$J,'TRA TECH'!AD:AD)))</f>
        <v>*</v>
      </c>
      <c r="AB294" t="str">
        <f t="shared" si="23"/>
        <v>*</v>
      </c>
      <c r="AC294" s="15" t="str">
        <f>IF(H294="*","*",IF(_xlfn.XLOOKUP($H294,'TRA TECH'!$J:$J,'TRA TECH'!AE:AE)="","",_xlfn.XLOOKUP($H294,'TRA TECH'!$J:$J,'TRA TECH'!AE:AE)))</f>
        <v>*</v>
      </c>
      <c r="AD294" s="15" t="str">
        <f>IF(H294="*","*",IF(_xlfn.XLOOKUP($H294,'TRA TECH'!$J:$J,'TRA TECH'!AF:AF)="","",_xlfn.XLOOKUP($H294,'TRA TECH'!$J:$J,'TRA TECH'!AF:AF)))</f>
        <v>*</v>
      </c>
      <c r="AE294" s="15" t="str">
        <f>IF(H294="*","*",IF(_xlfn.XLOOKUP($H294,'TRA TECH'!$J:$J,'TRA TECH'!AG:AG)="","",_xlfn.XLOOKUP($H294,'TRA TECH'!$J:$J,'TRA TECH'!AG:AG)))</f>
        <v>*</v>
      </c>
      <c r="AF294" s="15" t="str">
        <f>IF(H294="*","*",IF(_xlfn.XLOOKUP($H294,'TRA TECH'!$J:$J,'TRA TECH'!AH:AH)="","",_xlfn.XLOOKUP($H294,'TRA TECH'!$J:$J,'TRA TECH'!AH:AH)))</f>
        <v>*</v>
      </c>
      <c r="AG294" s="15" t="str">
        <f>IF(H294="*","*",IF(_xlfn.XLOOKUP($H294,'TRA TECH'!$J:$J,'TRA TECH'!AI:AI)="","",_xlfn.XLOOKUP($H294,'TRA TECH'!$J:$J,'TRA TECH'!AI:AI)))</f>
        <v>*</v>
      </c>
      <c r="AH294" s="15" t="str">
        <f>IF(H294="*","*",IF(_xlfn.XLOOKUP($H294,'TRA TECH'!$J:$J,'TRA TECH'!AJ:AJ)="","",_xlfn.XLOOKUP($H294,'TRA TECH'!$J:$J,'TRA TECH'!AJ:AJ)))</f>
        <v>*</v>
      </c>
      <c r="AI294" s="15" t="str">
        <f>IF(H294="*","*",IF(_xlfn.XLOOKUP($H294,'TRA TECH'!$J:$J,'TRA TECH'!AK:AK)="","",_xlfn.XLOOKUP($H294,'TRA TECH'!$J:$J,'TRA TECH'!AK:AK)))</f>
        <v>*</v>
      </c>
      <c r="AJ294" s="15" t="str">
        <f t="shared" si="24"/>
        <v>*</v>
      </c>
      <c r="AK294" s="16" t="str">
        <f t="shared" si="25"/>
        <v>*</v>
      </c>
    </row>
    <row r="295" spans="2:37" x14ac:dyDescent="0.25">
      <c r="B295" t="str">
        <f>IF('TRA TECH'!M291=0,"*",IF('TRA TECH'!H291="","*",'TRA TECH'!J291))</f>
        <v>TRAOTHWATICEVDSL20</v>
      </c>
      <c r="C295" t="str">
        <f>IF('TRA TECH'!M291=0,"*",'TRA TECH'!H291)</f>
        <v>TRABDS</v>
      </c>
      <c r="D295" t="s">
        <v>424</v>
      </c>
      <c r="E295" s="9">
        <f>'TRA TECH'!P291</f>
        <v>0.1</v>
      </c>
      <c r="H295" t="str">
        <f>IF('TRA TECH'!M291=1,IF('TRA TECH'!L291=1,'TRA TECH'!J291,"*"),"*")</f>
        <v>*</v>
      </c>
      <c r="I295" t="str">
        <f>IF(H295="*","*",_xlfn.XLOOKUP(H295,'TRA TECH'!J:J,'TRA TECH'!I:I))</f>
        <v>*</v>
      </c>
      <c r="J295" t="str">
        <f>IF(H295="*","*",_xlfn.XLOOKUP(H295,'TRA TECH'!J:J,'TRA TECH'!N:N))</f>
        <v>*</v>
      </c>
      <c r="K295" s="15" t="str">
        <f>IF(H295="*","*",IF(_xlfn.XLOOKUP(H295,'TRA TECH'!J:J,'TRA TECH'!O:O)="","",_xlfn.XLOOKUP(H295,'TRA TECH'!J:J,'TRA TECH'!O:O)))</f>
        <v>*</v>
      </c>
      <c r="L295" t="str">
        <f t="shared" si="21"/>
        <v>*</v>
      </c>
      <c r="M295" t="str">
        <f>IF(H295="*","*",IF(_xlfn.XLOOKUP($H295,'TRA TECH'!$J:$J,'TRA TECH'!Q:Q)="","",_xlfn.XLOOKUP($H295,'TRA TECH'!$J:$J,'TRA TECH'!Q:Q)))</f>
        <v>*</v>
      </c>
      <c r="N295" t="str">
        <f>IF(H295="*","*",IF(_xlfn.XLOOKUP($H295,'TRA TECH'!$J:$J,'TRA TECH'!R:R)="","",_xlfn.XLOOKUP($H295,'TRA TECH'!$J:$J,'TRA TECH'!R:R)))</f>
        <v>*</v>
      </c>
      <c r="O295" t="str">
        <f>IF(H295="*","*",IF(_xlfn.XLOOKUP($H295,'TRA TECH'!$J:$J,'TRA TECH'!S:S)="","",_xlfn.XLOOKUP($H295,'TRA TECH'!$J:$J,'TRA TECH'!S:S)))</f>
        <v>*</v>
      </c>
      <c r="P295" t="str">
        <f>IF(H295="*","*",IF(_xlfn.XLOOKUP($H295,'TRA TECH'!$J:$J,'TRA TECH'!T:T)="","",_xlfn.XLOOKUP($H295,'TRA TECH'!$J:$J,'TRA TECH'!T:T)))</f>
        <v>*</v>
      </c>
      <c r="Q295" t="str">
        <f>IF(H295="*","*",IF(_xlfn.XLOOKUP($H295,'TRA TECH'!$J:$J,'TRA TECH'!U:U)="","",_xlfn.XLOOKUP($H295,'TRA TECH'!$J:$J,'TRA TECH'!U:U)))</f>
        <v>*</v>
      </c>
      <c r="R295" t="str">
        <f>IF(H295="*","*",IF(_xlfn.XLOOKUP($H295,'TRA TECH'!$J:$J,'TRA TECH'!V:V)="","",_xlfn.XLOOKUP($H295,'TRA TECH'!$J:$J,'TRA TECH'!V:V)))</f>
        <v>*</v>
      </c>
      <c r="S295" t="str">
        <f>IF(H295="*","*",IF(_xlfn.XLOOKUP($H295,'TRA TECH'!$J:$J,'TRA TECH'!W:W)="","",_xlfn.XLOOKUP($H295,'TRA TECH'!$J:$J,'TRA TECH'!W:W)))</f>
        <v>*</v>
      </c>
      <c r="T295" t="str">
        <f t="shared" si="22"/>
        <v>*</v>
      </c>
      <c r="U295" t="str">
        <f>IF(H295="*","*",IF(_xlfn.XLOOKUP($H295,'TRA TECH'!$J:$J,'TRA TECH'!X:X)="","",_xlfn.XLOOKUP($H295,'TRA TECH'!$J:$J,'TRA TECH'!X:X)))</f>
        <v>*</v>
      </c>
      <c r="V295" t="str">
        <f>IF(H295="*","*",IF(_xlfn.XLOOKUP($H295,'TRA TECH'!$J:$J,'TRA TECH'!Y:Y)="","",_xlfn.XLOOKUP($H295,'TRA TECH'!$J:$J,'TRA TECH'!Y:Y)))</f>
        <v>*</v>
      </c>
      <c r="W295" t="str">
        <f>IF(H295="*","*",IF(_xlfn.XLOOKUP($H295,'TRA TECH'!$J:$J,'TRA TECH'!Z:Z)="","",_xlfn.XLOOKUP($H295,'TRA TECH'!$J:$J,'TRA TECH'!Z:Z)))</f>
        <v>*</v>
      </c>
      <c r="X295" t="str">
        <f>IF(H295="*","*",IF(_xlfn.XLOOKUP($H295,'TRA TECH'!$J:$J,'TRA TECH'!AA:AA)="","",_xlfn.XLOOKUP($H295,'TRA TECH'!$J:$J,'TRA TECH'!AA:AA)))</f>
        <v>*</v>
      </c>
      <c r="Y295" t="str">
        <f>IF(H295="*","*",IF(_xlfn.XLOOKUP($H295,'TRA TECH'!$J:$J,'TRA TECH'!AB:AB)="","",_xlfn.XLOOKUP($H295,'TRA TECH'!$J:$J,'TRA TECH'!AB:AB)))</f>
        <v>*</v>
      </c>
      <c r="Z295" t="str">
        <f>IF(H295="*","*",IF(_xlfn.XLOOKUP($H295,'TRA TECH'!$J:$J,'TRA TECH'!AC:AC)="","",_xlfn.XLOOKUP($H295,'TRA TECH'!$J:$J,'TRA TECH'!AC:AC)))</f>
        <v>*</v>
      </c>
      <c r="AA295" t="str">
        <f>IF(H295="*","*",IF(_xlfn.XLOOKUP($H295,'TRA TECH'!$J:$J,'TRA TECH'!AD:AD)="","",_xlfn.XLOOKUP($H295,'TRA TECH'!$J:$J,'TRA TECH'!AD:AD)))</f>
        <v>*</v>
      </c>
      <c r="AB295" t="str">
        <f t="shared" si="23"/>
        <v>*</v>
      </c>
      <c r="AC295" s="15" t="str">
        <f>IF(H295="*","*",IF(_xlfn.XLOOKUP($H295,'TRA TECH'!$J:$J,'TRA TECH'!AE:AE)="","",_xlfn.XLOOKUP($H295,'TRA TECH'!$J:$J,'TRA TECH'!AE:AE)))</f>
        <v>*</v>
      </c>
      <c r="AD295" s="15" t="str">
        <f>IF(H295="*","*",IF(_xlfn.XLOOKUP($H295,'TRA TECH'!$J:$J,'TRA TECH'!AF:AF)="","",_xlfn.XLOOKUP($H295,'TRA TECH'!$J:$J,'TRA TECH'!AF:AF)))</f>
        <v>*</v>
      </c>
      <c r="AE295" s="15" t="str">
        <f>IF(H295="*","*",IF(_xlfn.XLOOKUP($H295,'TRA TECH'!$J:$J,'TRA TECH'!AG:AG)="","",_xlfn.XLOOKUP($H295,'TRA TECH'!$J:$J,'TRA TECH'!AG:AG)))</f>
        <v>*</v>
      </c>
      <c r="AF295" s="15" t="str">
        <f>IF(H295="*","*",IF(_xlfn.XLOOKUP($H295,'TRA TECH'!$J:$J,'TRA TECH'!AH:AH)="","",_xlfn.XLOOKUP($H295,'TRA TECH'!$J:$J,'TRA TECH'!AH:AH)))</f>
        <v>*</v>
      </c>
      <c r="AG295" s="15" t="str">
        <f>IF(H295="*","*",IF(_xlfn.XLOOKUP($H295,'TRA TECH'!$J:$J,'TRA TECH'!AI:AI)="","",_xlfn.XLOOKUP($H295,'TRA TECH'!$J:$J,'TRA TECH'!AI:AI)))</f>
        <v>*</v>
      </c>
      <c r="AH295" s="15" t="str">
        <f>IF(H295="*","*",IF(_xlfn.XLOOKUP($H295,'TRA TECH'!$J:$J,'TRA TECH'!AJ:AJ)="","",_xlfn.XLOOKUP($H295,'TRA TECH'!$J:$J,'TRA TECH'!AJ:AJ)))</f>
        <v>*</v>
      </c>
      <c r="AI295" s="15" t="str">
        <f>IF(H295="*","*",IF(_xlfn.XLOOKUP($H295,'TRA TECH'!$J:$J,'TRA TECH'!AK:AK)="","",_xlfn.XLOOKUP($H295,'TRA TECH'!$J:$J,'TRA TECH'!AK:AK)))</f>
        <v>*</v>
      </c>
      <c r="AJ295" s="15" t="str">
        <f t="shared" si="24"/>
        <v>*</v>
      </c>
      <c r="AK295" s="16" t="str">
        <f t="shared" si="25"/>
        <v>*</v>
      </c>
    </row>
    <row r="296" spans="2:37" x14ac:dyDescent="0.25">
      <c r="B296" t="str">
        <f>IF('TRA TECH'!M292=0,"*",IF('TRA TECH'!H292="","*",'TRA TECH'!J292))</f>
        <v>TRAOTHWATICEVDSL20</v>
      </c>
      <c r="C296" t="str">
        <f>IF('TRA TECH'!M292=0,"*",'TRA TECH'!H292)</f>
        <v>TRADSL</v>
      </c>
      <c r="D296" t="s">
        <v>424</v>
      </c>
      <c r="E296" s="9">
        <f>'TRA TECH'!P292</f>
        <v>1</v>
      </c>
      <c r="H296" t="str">
        <f>IF('TRA TECH'!M292=1,IF('TRA TECH'!L292=1,'TRA TECH'!J292,"*"),"*")</f>
        <v>*</v>
      </c>
      <c r="I296" t="str">
        <f>IF(H296="*","*",_xlfn.XLOOKUP(H296,'TRA TECH'!J:J,'TRA TECH'!I:I))</f>
        <v>*</v>
      </c>
      <c r="J296" t="str">
        <f>IF(H296="*","*",_xlfn.XLOOKUP(H296,'TRA TECH'!J:J,'TRA TECH'!N:N))</f>
        <v>*</v>
      </c>
      <c r="K296" s="15" t="str">
        <f>IF(H296="*","*",IF(_xlfn.XLOOKUP(H296,'TRA TECH'!J:J,'TRA TECH'!O:O)="","",_xlfn.XLOOKUP(H296,'TRA TECH'!J:J,'TRA TECH'!O:O)))</f>
        <v>*</v>
      </c>
      <c r="L296" t="str">
        <f t="shared" si="21"/>
        <v>*</v>
      </c>
      <c r="M296" t="str">
        <f>IF(H296="*","*",IF(_xlfn.XLOOKUP($H296,'TRA TECH'!$J:$J,'TRA TECH'!Q:Q)="","",_xlfn.XLOOKUP($H296,'TRA TECH'!$J:$J,'TRA TECH'!Q:Q)))</f>
        <v>*</v>
      </c>
      <c r="N296" t="str">
        <f>IF(H296="*","*",IF(_xlfn.XLOOKUP($H296,'TRA TECH'!$J:$J,'TRA TECH'!R:R)="","",_xlfn.XLOOKUP($H296,'TRA TECH'!$J:$J,'TRA TECH'!R:R)))</f>
        <v>*</v>
      </c>
      <c r="O296" t="str">
        <f>IF(H296="*","*",IF(_xlfn.XLOOKUP($H296,'TRA TECH'!$J:$J,'TRA TECH'!S:S)="","",_xlfn.XLOOKUP($H296,'TRA TECH'!$J:$J,'TRA TECH'!S:S)))</f>
        <v>*</v>
      </c>
      <c r="P296" t="str">
        <f>IF(H296="*","*",IF(_xlfn.XLOOKUP($H296,'TRA TECH'!$J:$J,'TRA TECH'!T:T)="","",_xlfn.XLOOKUP($H296,'TRA TECH'!$J:$J,'TRA TECH'!T:T)))</f>
        <v>*</v>
      </c>
      <c r="Q296" t="str">
        <f>IF(H296="*","*",IF(_xlfn.XLOOKUP($H296,'TRA TECH'!$J:$J,'TRA TECH'!U:U)="","",_xlfn.XLOOKUP($H296,'TRA TECH'!$J:$J,'TRA TECH'!U:U)))</f>
        <v>*</v>
      </c>
      <c r="R296" t="str">
        <f>IF(H296="*","*",IF(_xlfn.XLOOKUP($H296,'TRA TECH'!$J:$J,'TRA TECH'!V:V)="","",_xlfn.XLOOKUP($H296,'TRA TECH'!$J:$J,'TRA TECH'!V:V)))</f>
        <v>*</v>
      </c>
      <c r="S296" t="str">
        <f>IF(H296="*","*",IF(_xlfn.XLOOKUP($H296,'TRA TECH'!$J:$J,'TRA TECH'!W:W)="","",_xlfn.XLOOKUP($H296,'TRA TECH'!$J:$J,'TRA TECH'!W:W)))</f>
        <v>*</v>
      </c>
      <c r="T296" t="str">
        <f t="shared" si="22"/>
        <v>*</v>
      </c>
      <c r="U296" t="str">
        <f>IF(H296="*","*",IF(_xlfn.XLOOKUP($H296,'TRA TECH'!$J:$J,'TRA TECH'!X:X)="","",_xlfn.XLOOKUP($H296,'TRA TECH'!$J:$J,'TRA TECH'!X:X)))</f>
        <v>*</v>
      </c>
      <c r="V296" t="str">
        <f>IF(H296="*","*",IF(_xlfn.XLOOKUP($H296,'TRA TECH'!$J:$J,'TRA TECH'!Y:Y)="","",_xlfn.XLOOKUP($H296,'TRA TECH'!$J:$J,'TRA TECH'!Y:Y)))</f>
        <v>*</v>
      </c>
      <c r="W296" t="str">
        <f>IF(H296="*","*",IF(_xlfn.XLOOKUP($H296,'TRA TECH'!$J:$J,'TRA TECH'!Z:Z)="","",_xlfn.XLOOKUP($H296,'TRA TECH'!$J:$J,'TRA TECH'!Z:Z)))</f>
        <v>*</v>
      </c>
      <c r="X296" t="str">
        <f>IF(H296="*","*",IF(_xlfn.XLOOKUP($H296,'TRA TECH'!$J:$J,'TRA TECH'!AA:AA)="","",_xlfn.XLOOKUP($H296,'TRA TECH'!$J:$J,'TRA TECH'!AA:AA)))</f>
        <v>*</v>
      </c>
      <c r="Y296" t="str">
        <f>IF(H296="*","*",IF(_xlfn.XLOOKUP($H296,'TRA TECH'!$J:$J,'TRA TECH'!AB:AB)="","",_xlfn.XLOOKUP($H296,'TRA TECH'!$J:$J,'TRA TECH'!AB:AB)))</f>
        <v>*</v>
      </c>
      <c r="Z296" t="str">
        <f>IF(H296="*","*",IF(_xlfn.XLOOKUP($H296,'TRA TECH'!$J:$J,'TRA TECH'!AC:AC)="","",_xlfn.XLOOKUP($H296,'TRA TECH'!$J:$J,'TRA TECH'!AC:AC)))</f>
        <v>*</v>
      </c>
      <c r="AA296" t="str">
        <f>IF(H296="*","*",IF(_xlfn.XLOOKUP($H296,'TRA TECH'!$J:$J,'TRA TECH'!AD:AD)="","",_xlfn.XLOOKUP($H296,'TRA TECH'!$J:$J,'TRA TECH'!AD:AD)))</f>
        <v>*</v>
      </c>
      <c r="AB296" t="str">
        <f t="shared" si="23"/>
        <v>*</v>
      </c>
      <c r="AC296" s="15" t="str">
        <f>IF(H296="*","*",IF(_xlfn.XLOOKUP($H296,'TRA TECH'!$J:$J,'TRA TECH'!AE:AE)="","",_xlfn.XLOOKUP($H296,'TRA TECH'!$J:$J,'TRA TECH'!AE:AE)))</f>
        <v>*</v>
      </c>
      <c r="AD296" s="15" t="str">
        <f>IF(H296="*","*",IF(_xlfn.XLOOKUP($H296,'TRA TECH'!$J:$J,'TRA TECH'!AF:AF)="","",_xlfn.XLOOKUP($H296,'TRA TECH'!$J:$J,'TRA TECH'!AF:AF)))</f>
        <v>*</v>
      </c>
      <c r="AE296" s="15" t="str">
        <f>IF(H296="*","*",IF(_xlfn.XLOOKUP($H296,'TRA TECH'!$J:$J,'TRA TECH'!AG:AG)="","",_xlfn.XLOOKUP($H296,'TRA TECH'!$J:$J,'TRA TECH'!AG:AG)))</f>
        <v>*</v>
      </c>
      <c r="AF296" s="15" t="str">
        <f>IF(H296="*","*",IF(_xlfn.XLOOKUP($H296,'TRA TECH'!$J:$J,'TRA TECH'!AH:AH)="","",_xlfn.XLOOKUP($H296,'TRA TECH'!$J:$J,'TRA TECH'!AH:AH)))</f>
        <v>*</v>
      </c>
      <c r="AG296" s="15" t="str">
        <f>IF(H296="*","*",IF(_xlfn.XLOOKUP($H296,'TRA TECH'!$J:$J,'TRA TECH'!AI:AI)="","",_xlfn.XLOOKUP($H296,'TRA TECH'!$J:$J,'TRA TECH'!AI:AI)))</f>
        <v>*</v>
      </c>
      <c r="AH296" s="15" t="str">
        <f>IF(H296="*","*",IF(_xlfn.XLOOKUP($H296,'TRA TECH'!$J:$J,'TRA TECH'!AJ:AJ)="","",_xlfn.XLOOKUP($H296,'TRA TECH'!$J:$J,'TRA TECH'!AJ:AJ)))</f>
        <v>*</v>
      </c>
      <c r="AI296" s="15" t="str">
        <f>IF(H296="*","*",IF(_xlfn.XLOOKUP($H296,'TRA TECH'!$J:$J,'TRA TECH'!AK:AK)="","",_xlfn.XLOOKUP($H296,'TRA TECH'!$J:$J,'TRA TECH'!AK:AK)))</f>
        <v>*</v>
      </c>
      <c r="AJ296" s="15" t="str">
        <f t="shared" si="24"/>
        <v>*</v>
      </c>
      <c r="AK296" s="16" t="str">
        <f t="shared" si="25"/>
        <v>*</v>
      </c>
    </row>
    <row r="297" spans="2:37" x14ac:dyDescent="0.25">
      <c r="B297" t="str">
        <f>IF('TRA TECH'!M293=0,"*",IF('TRA TECH'!H293="","*",'TRA TECH'!J293))</f>
        <v>TRAOTHWATICEVDSL20</v>
      </c>
      <c r="C297" t="str">
        <f>IF('TRA TECH'!M293=0,"*",'TRA TECH'!H293)</f>
        <v>TRARDS</v>
      </c>
      <c r="D297" t="s">
        <v>424</v>
      </c>
      <c r="E297" s="9">
        <f>'TRA TECH'!P293</f>
        <v>1</v>
      </c>
      <c r="H297" t="str">
        <f>IF('TRA TECH'!M293=1,IF('TRA TECH'!L293=1,'TRA TECH'!J293,"*"),"*")</f>
        <v>*</v>
      </c>
      <c r="I297" t="str">
        <f>IF(H297="*","*",_xlfn.XLOOKUP(H297,'TRA TECH'!J:J,'TRA TECH'!I:I))</f>
        <v>*</v>
      </c>
      <c r="J297" t="str">
        <f>IF(H297="*","*",_xlfn.XLOOKUP(H297,'TRA TECH'!J:J,'TRA TECH'!N:N))</f>
        <v>*</v>
      </c>
      <c r="K297" s="15" t="str">
        <f>IF(H297="*","*",IF(_xlfn.XLOOKUP(H297,'TRA TECH'!J:J,'TRA TECH'!O:O)="","",_xlfn.XLOOKUP(H297,'TRA TECH'!J:J,'TRA TECH'!O:O)))</f>
        <v>*</v>
      </c>
      <c r="L297" t="str">
        <f t="shared" si="21"/>
        <v>*</v>
      </c>
      <c r="M297" t="str">
        <f>IF(H297="*","*",IF(_xlfn.XLOOKUP($H297,'TRA TECH'!$J:$J,'TRA TECH'!Q:Q)="","",_xlfn.XLOOKUP($H297,'TRA TECH'!$J:$J,'TRA TECH'!Q:Q)))</f>
        <v>*</v>
      </c>
      <c r="N297" t="str">
        <f>IF(H297="*","*",IF(_xlfn.XLOOKUP($H297,'TRA TECH'!$J:$J,'TRA TECH'!R:R)="","",_xlfn.XLOOKUP($H297,'TRA TECH'!$J:$J,'TRA TECH'!R:R)))</f>
        <v>*</v>
      </c>
      <c r="O297" t="str">
        <f>IF(H297="*","*",IF(_xlfn.XLOOKUP($H297,'TRA TECH'!$J:$J,'TRA TECH'!S:S)="","",_xlfn.XLOOKUP($H297,'TRA TECH'!$J:$J,'TRA TECH'!S:S)))</f>
        <v>*</v>
      </c>
      <c r="P297" t="str">
        <f>IF(H297="*","*",IF(_xlfn.XLOOKUP($H297,'TRA TECH'!$J:$J,'TRA TECH'!T:T)="","",_xlfn.XLOOKUP($H297,'TRA TECH'!$J:$J,'TRA TECH'!T:T)))</f>
        <v>*</v>
      </c>
      <c r="Q297" t="str">
        <f>IF(H297="*","*",IF(_xlfn.XLOOKUP($H297,'TRA TECH'!$J:$J,'TRA TECH'!U:U)="","",_xlfn.XLOOKUP($H297,'TRA TECH'!$J:$J,'TRA TECH'!U:U)))</f>
        <v>*</v>
      </c>
      <c r="R297" t="str">
        <f>IF(H297="*","*",IF(_xlfn.XLOOKUP($H297,'TRA TECH'!$J:$J,'TRA TECH'!V:V)="","",_xlfn.XLOOKUP($H297,'TRA TECH'!$J:$J,'TRA TECH'!V:V)))</f>
        <v>*</v>
      </c>
      <c r="S297" t="str">
        <f>IF(H297="*","*",IF(_xlfn.XLOOKUP($H297,'TRA TECH'!$J:$J,'TRA TECH'!W:W)="","",_xlfn.XLOOKUP($H297,'TRA TECH'!$J:$J,'TRA TECH'!W:W)))</f>
        <v>*</v>
      </c>
      <c r="T297" t="str">
        <f t="shared" si="22"/>
        <v>*</v>
      </c>
      <c r="U297" t="str">
        <f>IF(H297="*","*",IF(_xlfn.XLOOKUP($H297,'TRA TECH'!$J:$J,'TRA TECH'!X:X)="","",_xlfn.XLOOKUP($H297,'TRA TECH'!$J:$J,'TRA TECH'!X:X)))</f>
        <v>*</v>
      </c>
      <c r="V297" t="str">
        <f>IF(H297="*","*",IF(_xlfn.XLOOKUP($H297,'TRA TECH'!$J:$J,'TRA TECH'!Y:Y)="","",_xlfn.XLOOKUP($H297,'TRA TECH'!$J:$J,'TRA TECH'!Y:Y)))</f>
        <v>*</v>
      </c>
      <c r="W297" t="str">
        <f>IF(H297="*","*",IF(_xlfn.XLOOKUP($H297,'TRA TECH'!$J:$J,'TRA TECH'!Z:Z)="","",_xlfn.XLOOKUP($H297,'TRA TECH'!$J:$J,'TRA TECH'!Z:Z)))</f>
        <v>*</v>
      </c>
      <c r="X297" t="str">
        <f>IF(H297="*","*",IF(_xlfn.XLOOKUP($H297,'TRA TECH'!$J:$J,'TRA TECH'!AA:AA)="","",_xlfn.XLOOKUP($H297,'TRA TECH'!$J:$J,'TRA TECH'!AA:AA)))</f>
        <v>*</v>
      </c>
      <c r="Y297" t="str">
        <f>IF(H297="*","*",IF(_xlfn.XLOOKUP($H297,'TRA TECH'!$J:$J,'TRA TECH'!AB:AB)="","",_xlfn.XLOOKUP($H297,'TRA TECH'!$J:$J,'TRA TECH'!AB:AB)))</f>
        <v>*</v>
      </c>
      <c r="Z297" t="str">
        <f>IF(H297="*","*",IF(_xlfn.XLOOKUP($H297,'TRA TECH'!$J:$J,'TRA TECH'!AC:AC)="","",_xlfn.XLOOKUP($H297,'TRA TECH'!$J:$J,'TRA TECH'!AC:AC)))</f>
        <v>*</v>
      </c>
      <c r="AA297" t="str">
        <f>IF(H297="*","*",IF(_xlfn.XLOOKUP($H297,'TRA TECH'!$J:$J,'TRA TECH'!AD:AD)="","",_xlfn.XLOOKUP($H297,'TRA TECH'!$J:$J,'TRA TECH'!AD:AD)))</f>
        <v>*</v>
      </c>
      <c r="AB297" t="str">
        <f t="shared" si="23"/>
        <v>*</v>
      </c>
      <c r="AC297" s="15" t="str">
        <f>IF(H297="*","*",IF(_xlfn.XLOOKUP($H297,'TRA TECH'!$J:$J,'TRA TECH'!AE:AE)="","",_xlfn.XLOOKUP($H297,'TRA TECH'!$J:$J,'TRA TECH'!AE:AE)))</f>
        <v>*</v>
      </c>
      <c r="AD297" s="15" t="str">
        <f>IF(H297="*","*",IF(_xlfn.XLOOKUP($H297,'TRA TECH'!$J:$J,'TRA TECH'!AF:AF)="","",_xlfn.XLOOKUP($H297,'TRA TECH'!$J:$J,'TRA TECH'!AF:AF)))</f>
        <v>*</v>
      </c>
      <c r="AE297" s="15" t="str">
        <f>IF(H297="*","*",IF(_xlfn.XLOOKUP($H297,'TRA TECH'!$J:$J,'TRA TECH'!AG:AG)="","",_xlfn.XLOOKUP($H297,'TRA TECH'!$J:$J,'TRA TECH'!AG:AG)))</f>
        <v>*</v>
      </c>
      <c r="AF297" s="15" t="str">
        <f>IF(H297="*","*",IF(_xlfn.XLOOKUP($H297,'TRA TECH'!$J:$J,'TRA TECH'!AH:AH)="","",_xlfn.XLOOKUP($H297,'TRA TECH'!$J:$J,'TRA TECH'!AH:AH)))</f>
        <v>*</v>
      </c>
      <c r="AG297" s="15" t="str">
        <f>IF(H297="*","*",IF(_xlfn.XLOOKUP($H297,'TRA TECH'!$J:$J,'TRA TECH'!AI:AI)="","",_xlfn.XLOOKUP($H297,'TRA TECH'!$J:$J,'TRA TECH'!AI:AI)))</f>
        <v>*</v>
      </c>
      <c r="AH297" s="15" t="str">
        <f>IF(H297="*","*",IF(_xlfn.XLOOKUP($H297,'TRA TECH'!$J:$J,'TRA TECH'!AJ:AJ)="","",_xlfn.XLOOKUP($H297,'TRA TECH'!$J:$J,'TRA TECH'!AJ:AJ)))</f>
        <v>*</v>
      </c>
      <c r="AI297" s="15" t="str">
        <f>IF(H297="*","*",IF(_xlfn.XLOOKUP($H297,'TRA TECH'!$J:$J,'TRA TECH'!AK:AK)="","",_xlfn.XLOOKUP($H297,'TRA TECH'!$J:$J,'TRA TECH'!AK:AK)))</f>
        <v>*</v>
      </c>
      <c r="AJ297" s="15" t="str">
        <f t="shared" si="24"/>
        <v>*</v>
      </c>
      <c r="AK297" s="16" t="str">
        <f t="shared" si="25"/>
        <v>*</v>
      </c>
    </row>
    <row r="298" spans="2:37" x14ac:dyDescent="0.25">
      <c r="B298" t="str">
        <f>IF('TRA TECH'!M294=0,"*",IF('TRA TECH'!H294="","*",'TRA TECH'!J294))</f>
        <v>TRAOTHWATICEVDSL20</v>
      </c>
      <c r="C298" t="str">
        <f>IF('TRA TECH'!M294=0,"*",'TRA TECH'!H294)</f>
        <v>TRABDS</v>
      </c>
      <c r="D298" t="s">
        <v>424</v>
      </c>
      <c r="E298" s="9">
        <f>'TRA TECH'!P294</f>
        <v>0.1</v>
      </c>
      <c r="H298" t="str">
        <f>IF('TRA TECH'!M294=1,IF('TRA TECH'!L294=1,'TRA TECH'!J294,"*"),"*")</f>
        <v>*</v>
      </c>
      <c r="I298" t="str">
        <f>IF(H298="*","*",_xlfn.XLOOKUP(H298,'TRA TECH'!J:J,'TRA TECH'!I:I))</f>
        <v>*</v>
      </c>
      <c r="J298" t="str">
        <f>IF(H298="*","*",_xlfn.XLOOKUP(H298,'TRA TECH'!J:J,'TRA TECH'!N:N))</f>
        <v>*</v>
      </c>
      <c r="K298" s="15" t="str">
        <f>IF(H298="*","*",IF(_xlfn.XLOOKUP(H298,'TRA TECH'!J:J,'TRA TECH'!O:O)="","",_xlfn.XLOOKUP(H298,'TRA TECH'!J:J,'TRA TECH'!O:O)))</f>
        <v>*</v>
      </c>
      <c r="L298" t="str">
        <f t="shared" si="21"/>
        <v>*</v>
      </c>
      <c r="M298" t="str">
        <f>IF(H298="*","*",IF(_xlfn.XLOOKUP($H298,'TRA TECH'!$J:$J,'TRA TECH'!Q:Q)="","",_xlfn.XLOOKUP($H298,'TRA TECH'!$J:$J,'TRA TECH'!Q:Q)))</f>
        <v>*</v>
      </c>
      <c r="N298" t="str">
        <f>IF(H298="*","*",IF(_xlfn.XLOOKUP($H298,'TRA TECH'!$J:$J,'TRA TECH'!R:R)="","",_xlfn.XLOOKUP($H298,'TRA TECH'!$J:$J,'TRA TECH'!R:R)))</f>
        <v>*</v>
      </c>
      <c r="O298" t="str">
        <f>IF(H298="*","*",IF(_xlfn.XLOOKUP($H298,'TRA TECH'!$J:$J,'TRA TECH'!S:S)="","",_xlfn.XLOOKUP($H298,'TRA TECH'!$J:$J,'TRA TECH'!S:S)))</f>
        <v>*</v>
      </c>
      <c r="P298" t="str">
        <f>IF(H298="*","*",IF(_xlfn.XLOOKUP($H298,'TRA TECH'!$J:$J,'TRA TECH'!T:T)="","",_xlfn.XLOOKUP($H298,'TRA TECH'!$J:$J,'TRA TECH'!T:T)))</f>
        <v>*</v>
      </c>
      <c r="Q298" t="str">
        <f>IF(H298="*","*",IF(_xlfn.XLOOKUP($H298,'TRA TECH'!$J:$J,'TRA TECH'!U:U)="","",_xlfn.XLOOKUP($H298,'TRA TECH'!$J:$J,'TRA TECH'!U:U)))</f>
        <v>*</v>
      </c>
      <c r="R298" t="str">
        <f>IF(H298="*","*",IF(_xlfn.XLOOKUP($H298,'TRA TECH'!$J:$J,'TRA TECH'!V:V)="","",_xlfn.XLOOKUP($H298,'TRA TECH'!$J:$J,'TRA TECH'!V:V)))</f>
        <v>*</v>
      </c>
      <c r="S298" t="str">
        <f>IF(H298="*","*",IF(_xlfn.XLOOKUP($H298,'TRA TECH'!$J:$J,'TRA TECH'!W:W)="","",_xlfn.XLOOKUP($H298,'TRA TECH'!$J:$J,'TRA TECH'!W:W)))</f>
        <v>*</v>
      </c>
      <c r="T298" t="str">
        <f t="shared" si="22"/>
        <v>*</v>
      </c>
      <c r="U298" t="str">
        <f>IF(H298="*","*",IF(_xlfn.XLOOKUP($H298,'TRA TECH'!$J:$J,'TRA TECH'!X:X)="","",_xlfn.XLOOKUP($H298,'TRA TECH'!$J:$J,'TRA TECH'!X:X)))</f>
        <v>*</v>
      </c>
      <c r="V298" t="str">
        <f>IF(H298="*","*",IF(_xlfn.XLOOKUP($H298,'TRA TECH'!$J:$J,'TRA TECH'!Y:Y)="","",_xlfn.XLOOKUP($H298,'TRA TECH'!$J:$J,'TRA TECH'!Y:Y)))</f>
        <v>*</v>
      </c>
      <c r="W298" t="str">
        <f>IF(H298="*","*",IF(_xlfn.XLOOKUP($H298,'TRA TECH'!$J:$J,'TRA TECH'!Z:Z)="","",_xlfn.XLOOKUP($H298,'TRA TECH'!$J:$J,'TRA TECH'!Z:Z)))</f>
        <v>*</v>
      </c>
      <c r="X298" t="str">
        <f>IF(H298="*","*",IF(_xlfn.XLOOKUP($H298,'TRA TECH'!$J:$J,'TRA TECH'!AA:AA)="","",_xlfn.XLOOKUP($H298,'TRA TECH'!$J:$J,'TRA TECH'!AA:AA)))</f>
        <v>*</v>
      </c>
      <c r="Y298" t="str">
        <f>IF(H298="*","*",IF(_xlfn.XLOOKUP($H298,'TRA TECH'!$J:$J,'TRA TECH'!AB:AB)="","",_xlfn.XLOOKUP($H298,'TRA TECH'!$J:$J,'TRA TECH'!AB:AB)))</f>
        <v>*</v>
      </c>
      <c r="Z298" t="str">
        <f>IF(H298="*","*",IF(_xlfn.XLOOKUP($H298,'TRA TECH'!$J:$J,'TRA TECH'!AC:AC)="","",_xlfn.XLOOKUP($H298,'TRA TECH'!$J:$J,'TRA TECH'!AC:AC)))</f>
        <v>*</v>
      </c>
      <c r="AA298" t="str">
        <f>IF(H298="*","*",IF(_xlfn.XLOOKUP($H298,'TRA TECH'!$J:$J,'TRA TECH'!AD:AD)="","",_xlfn.XLOOKUP($H298,'TRA TECH'!$J:$J,'TRA TECH'!AD:AD)))</f>
        <v>*</v>
      </c>
      <c r="AB298" t="str">
        <f t="shared" si="23"/>
        <v>*</v>
      </c>
      <c r="AC298" s="15" t="str">
        <f>IF(H298="*","*",IF(_xlfn.XLOOKUP($H298,'TRA TECH'!$J:$J,'TRA TECH'!AE:AE)="","",_xlfn.XLOOKUP($H298,'TRA TECH'!$J:$J,'TRA TECH'!AE:AE)))</f>
        <v>*</v>
      </c>
      <c r="AD298" s="15" t="str">
        <f>IF(H298="*","*",IF(_xlfn.XLOOKUP($H298,'TRA TECH'!$J:$J,'TRA TECH'!AF:AF)="","",_xlfn.XLOOKUP($H298,'TRA TECH'!$J:$J,'TRA TECH'!AF:AF)))</f>
        <v>*</v>
      </c>
      <c r="AE298" s="15" t="str">
        <f>IF(H298="*","*",IF(_xlfn.XLOOKUP($H298,'TRA TECH'!$J:$J,'TRA TECH'!AG:AG)="","",_xlfn.XLOOKUP($H298,'TRA TECH'!$J:$J,'TRA TECH'!AG:AG)))</f>
        <v>*</v>
      </c>
      <c r="AF298" s="15" t="str">
        <f>IF(H298="*","*",IF(_xlfn.XLOOKUP($H298,'TRA TECH'!$J:$J,'TRA TECH'!AH:AH)="","",_xlfn.XLOOKUP($H298,'TRA TECH'!$J:$J,'TRA TECH'!AH:AH)))</f>
        <v>*</v>
      </c>
      <c r="AG298" s="15" t="str">
        <f>IF(H298="*","*",IF(_xlfn.XLOOKUP($H298,'TRA TECH'!$J:$J,'TRA TECH'!AI:AI)="","",_xlfn.XLOOKUP($H298,'TRA TECH'!$J:$J,'TRA TECH'!AI:AI)))</f>
        <v>*</v>
      </c>
      <c r="AH298" s="15" t="str">
        <f>IF(H298="*","*",IF(_xlfn.XLOOKUP($H298,'TRA TECH'!$J:$J,'TRA TECH'!AJ:AJ)="","",_xlfn.XLOOKUP($H298,'TRA TECH'!$J:$J,'TRA TECH'!AJ:AJ)))</f>
        <v>*</v>
      </c>
      <c r="AI298" s="15" t="str">
        <f>IF(H298="*","*",IF(_xlfn.XLOOKUP($H298,'TRA TECH'!$J:$J,'TRA TECH'!AK:AK)="","",_xlfn.XLOOKUP($H298,'TRA TECH'!$J:$J,'TRA TECH'!AK:AK)))</f>
        <v>*</v>
      </c>
      <c r="AJ298" s="15" t="str">
        <f t="shared" si="24"/>
        <v>*</v>
      </c>
      <c r="AK298" s="16" t="str">
        <f t="shared" si="25"/>
        <v>*</v>
      </c>
    </row>
    <row r="299" spans="2:37" x14ac:dyDescent="0.25">
      <c r="B299" t="str">
        <f>IF('TRA TECH'!M295=0,"*",IF('TRA TECH'!H295="","*",'TRA TECH'!J295))</f>
        <v>TRAOTHWATHYBDSL20</v>
      </c>
      <c r="C299" t="str">
        <f>IF('TRA TECH'!M295=0,"*",'TRA TECH'!H295)</f>
        <v>TRADSL</v>
      </c>
      <c r="D299" t="s">
        <v>424</v>
      </c>
      <c r="E299" s="9">
        <f>'TRA TECH'!P295</f>
        <v>1</v>
      </c>
      <c r="H299" t="str">
        <f>IF('TRA TECH'!M295=1,IF('TRA TECH'!L295=1,'TRA TECH'!J295,"*"),"*")</f>
        <v>TRAOTHWATHYBDSL20</v>
      </c>
      <c r="I299" t="str">
        <f>IF(H299="*","*",_xlfn.XLOOKUP(H299,'TRA TECH'!J:J,'TRA TECH'!I:I))</f>
        <v>TRAOTHWATDMD</v>
      </c>
      <c r="J299">
        <f>IF(H299="*","*",_xlfn.XLOOKUP(H299,'TRA TECH'!J:J,'TRA TECH'!N:N))</f>
        <v>2020</v>
      </c>
      <c r="K299" s="15">
        <f>IF(H299="*","*",IF(_xlfn.XLOOKUP(H299,'TRA TECH'!J:J,'TRA TECH'!O:O)="","",_xlfn.XLOOKUP(H299,'TRA TECH'!J:J,'TRA TECH'!O:O)))</f>
        <v>30</v>
      </c>
      <c r="L299">
        <f t="shared" si="21"/>
        <v>1</v>
      </c>
      <c r="M299">
        <f>IF(H299="*","*",IF(_xlfn.XLOOKUP($H299,'TRA TECH'!$J:$J,'TRA TECH'!Q:Q)="","",_xlfn.XLOOKUP($H299,'TRA TECH'!$J:$J,'TRA TECH'!Q:Q)))</f>
        <v>1.4284527432847419E-3</v>
      </c>
      <c r="N299">
        <f>IF(H299="*","*",IF(_xlfn.XLOOKUP($H299,'TRA TECH'!$J:$J,'TRA TECH'!R:R)="","",_xlfn.XLOOKUP($H299,'TRA TECH'!$J:$J,'TRA TECH'!R:R)))</f>
        <v>1.4284527432847419E-3</v>
      </c>
      <c r="O299">
        <f>IF(H299="*","*",IF(_xlfn.XLOOKUP($H299,'TRA TECH'!$J:$J,'TRA TECH'!S:S)="","",_xlfn.XLOOKUP($H299,'TRA TECH'!$J:$J,'TRA TECH'!S:S)))</f>
        <v>1.4284527432847419E-3</v>
      </c>
      <c r="P299">
        <f>IF(H299="*","*",IF(_xlfn.XLOOKUP($H299,'TRA TECH'!$J:$J,'TRA TECH'!T:T)="","",_xlfn.XLOOKUP($H299,'TRA TECH'!$J:$J,'TRA TECH'!T:T)))</f>
        <v>1.4284527432847419E-3</v>
      </c>
      <c r="Q299">
        <f>IF(H299="*","*",IF(_xlfn.XLOOKUP($H299,'TRA TECH'!$J:$J,'TRA TECH'!U:U)="","",_xlfn.XLOOKUP($H299,'TRA TECH'!$J:$J,'TRA TECH'!U:U)))</f>
        <v>1.4284527432847419E-3</v>
      </c>
      <c r="R299">
        <f>IF(H299="*","*",IF(_xlfn.XLOOKUP($H299,'TRA TECH'!$J:$J,'TRA TECH'!V:V)="","",_xlfn.XLOOKUP($H299,'TRA TECH'!$J:$J,'TRA TECH'!V:V)))</f>
        <v>1.4284527432847419E-3</v>
      </c>
      <c r="S299">
        <f>IF(H299="*","*",IF(_xlfn.XLOOKUP($H299,'TRA TECH'!$J:$J,'TRA TECH'!W:W)="","",_xlfn.XLOOKUP($H299,'TRA TECH'!$J:$J,'TRA TECH'!W:W)))</f>
        <v>1.4284527432847419E-3</v>
      </c>
      <c r="T299">
        <f t="shared" si="22"/>
        <v>1.4284527432847419E-3</v>
      </c>
      <c r="U299">
        <f>IF(H299="*","*",IF(_xlfn.XLOOKUP($H299,'TRA TECH'!$J:$J,'TRA TECH'!X:X)="","",_xlfn.XLOOKUP($H299,'TRA TECH'!$J:$J,'TRA TECH'!X:X)))</f>
        <v>70358.979429618339</v>
      </c>
      <c r="V299">
        <f>IF(H299="*","*",IF(_xlfn.XLOOKUP($H299,'TRA TECH'!$J:$J,'TRA TECH'!Y:Y)="","",_xlfn.XLOOKUP($H299,'TRA TECH'!$J:$J,'TRA TECH'!Y:Y)))</f>
        <v>70358.979429618339</v>
      </c>
      <c r="W299">
        <f>IF(H299="*","*",IF(_xlfn.XLOOKUP($H299,'TRA TECH'!$J:$J,'TRA TECH'!Z:Z)="","",_xlfn.XLOOKUP($H299,'TRA TECH'!$J:$J,'TRA TECH'!Z:Z)))</f>
        <v>70358.979429618339</v>
      </c>
      <c r="X299">
        <f>IF(H299="*","*",IF(_xlfn.XLOOKUP($H299,'TRA TECH'!$J:$J,'TRA TECH'!AA:AA)="","",_xlfn.XLOOKUP($H299,'TRA TECH'!$J:$J,'TRA TECH'!AA:AA)))</f>
        <v>70358.979429618339</v>
      </c>
      <c r="Y299">
        <f>IF(H299="*","*",IF(_xlfn.XLOOKUP($H299,'TRA TECH'!$J:$J,'TRA TECH'!AB:AB)="","",_xlfn.XLOOKUP($H299,'TRA TECH'!$J:$J,'TRA TECH'!AB:AB)))</f>
        <v>70358.979429618339</v>
      </c>
      <c r="Z299">
        <f>IF(H299="*","*",IF(_xlfn.XLOOKUP($H299,'TRA TECH'!$J:$J,'TRA TECH'!AC:AC)="","",_xlfn.XLOOKUP($H299,'TRA TECH'!$J:$J,'TRA TECH'!AC:AC)))</f>
        <v>70358.979429618339</v>
      </c>
      <c r="AA299">
        <f>IF(H299="*","*",IF(_xlfn.XLOOKUP($H299,'TRA TECH'!$J:$J,'TRA TECH'!AD:AD)="","",_xlfn.XLOOKUP($H299,'TRA TECH'!$J:$J,'TRA TECH'!AD:AD)))</f>
        <v>70358.979429618339</v>
      </c>
      <c r="AB299">
        <f t="shared" si="23"/>
        <v>70358.979429618339</v>
      </c>
      <c r="AC299" s="15">
        <f>IF(H299="*","*",IF(_xlfn.XLOOKUP($H299,'TRA TECH'!$J:$J,'TRA TECH'!AE:AE)="","",_xlfn.XLOOKUP($H299,'TRA TECH'!$J:$J,'TRA TECH'!AE:AE)))</f>
        <v>3517.948971480917</v>
      </c>
      <c r="AD299" s="15">
        <f>IF(H299="*","*",IF(_xlfn.XLOOKUP($H299,'TRA TECH'!$J:$J,'TRA TECH'!AF:AF)="","",_xlfn.XLOOKUP($H299,'TRA TECH'!$J:$J,'TRA TECH'!AF:AF)))</f>
        <v>3517.948971480917</v>
      </c>
      <c r="AE299" s="15">
        <f>IF(H299="*","*",IF(_xlfn.XLOOKUP($H299,'TRA TECH'!$J:$J,'TRA TECH'!AG:AG)="","",_xlfn.XLOOKUP($H299,'TRA TECH'!$J:$J,'TRA TECH'!AG:AG)))</f>
        <v>3517.948971480917</v>
      </c>
      <c r="AF299" s="15">
        <f>IF(H299="*","*",IF(_xlfn.XLOOKUP($H299,'TRA TECH'!$J:$J,'TRA TECH'!AH:AH)="","",_xlfn.XLOOKUP($H299,'TRA TECH'!$J:$J,'TRA TECH'!AH:AH)))</f>
        <v>3517.948971480917</v>
      </c>
      <c r="AG299" s="15">
        <f>IF(H299="*","*",IF(_xlfn.XLOOKUP($H299,'TRA TECH'!$J:$J,'TRA TECH'!AI:AI)="","",_xlfn.XLOOKUP($H299,'TRA TECH'!$J:$J,'TRA TECH'!AI:AI)))</f>
        <v>3517.948971480917</v>
      </c>
      <c r="AH299" s="15">
        <f>IF(H299="*","*",IF(_xlfn.XLOOKUP($H299,'TRA TECH'!$J:$J,'TRA TECH'!AJ:AJ)="","",_xlfn.XLOOKUP($H299,'TRA TECH'!$J:$J,'TRA TECH'!AJ:AJ)))</f>
        <v>3517.948971480917</v>
      </c>
      <c r="AI299" s="15">
        <f>IF(H299="*","*",IF(_xlfn.XLOOKUP($H299,'TRA TECH'!$J:$J,'TRA TECH'!AK:AK)="","",_xlfn.XLOOKUP($H299,'TRA TECH'!$J:$J,'TRA TECH'!AK:AK)))</f>
        <v>3517.948971480917</v>
      </c>
      <c r="AJ299" s="15">
        <f t="shared" si="24"/>
        <v>3517.948971480917</v>
      </c>
      <c r="AK299" s="16">
        <f t="shared" si="25"/>
        <v>0.1</v>
      </c>
    </row>
    <row r="300" spans="2:37" x14ac:dyDescent="0.25">
      <c r="B300" t="str">
        <f>IF('TRA TECH'!M296=0,"*",IF('TRA TECH'!H296="","*",'TRA TECH'!J296))</f>
        <v>TRAOTHWATHYBDSL20</v>
      </c>
      <c r="C300" t="str">
        <f>IF('TRA TECH'!M296=0,"*",'TRA TECH'!H296)</f>
        <v>TRARDS</v>
      </c>
      <c r="D300" t="s">
        <v>424</v>
      </c>
      <c r="E300" s="9">
        <f>'TRA TECH'!P296</f>
        <v>1</v>
      </c>
      <c r="H300" t="str">
        <f>IF('TRA TECH'!M296=1,IF('TRA TECH'!L296=1,'TRA TECH'!J296,"*"),"*")</f>
        <v>*</v>
      </c>
      <c r="I300" t="str">
        <f>IF(H300="*","*",_xlfn.XLOOKUP(H300,'TRA TECH'!J:J,'TRA TECH'!I:I))</f>
        <v>*</v>
      </c>
      <c r="J300" t="str">
        <f>IF(H300="*","*",_xlfn.XLOOKUP(H300,'TRA TECH'!J:J,'TRA TECH'!N:N))</f>
        <v>*</v>
      </c>
      <c r="K300" s="15" t="str">
        <f>IF(H300="*","*",IF(_xlfn.XLOOKUP(H300,'TRA TECH'!J:J,'TRA TECH'!O:O)="","",_xlfn.XLOOKUP(H300,'TRA TECH'!J:J,'TRA TECH'!O:O)))</f>
        <v>*</v>
      </c>
      <c r="L300" t="str">
        <f t="shared" si="21"/>
        <v>*</v>
      </c>
      <c r="M300" t="str">
        <f>IF(H300="*","*",IF(_xlfn.XLOOKUP($H300,'TRA TECH'!$J:$J,'TRA TECH'!Q:Q)="","",_xlfn.XLOOKUP($H300,'TRA TECH'!$J:$J,'TRA TECH'!Q:Q)))</f>
        <v>*</v>
      </c>
      <c r="N300" t="str">
        <f>IF(H300="*","*",IF(_xlfn.XLOOKUP($H300,'TRA TECH'!$J:$J,'TRA TECH'!R:R)="","",_xlfn.XLOOKUP($H300,'TRA TECH'!$J:$J,'TRA TECH'!R:R)))</f>
        <v>*</v>
      </c>
      <c r="O300" t="str">
        <f>IF(H300="*","*",IF(_xlfn.XLOOKUP($H300,'TRA TECH'!$J:$J,'TRA TECH'!S:S)="","",_xlfn.XLOOKUP($H300,'TRA TECH'!$J:$J,'TRA TECH'!S:S)))</f>
        <v>*</v>
      </c>
      <c r="P300" t="str">
        <f>IF(H300="*","*",IF(_xlfn.XLOOKUP($H300,'TRA TECH'!$J:$J,'TRA TECH'!T:T)="","",_xlfn.XLOOKUP($H300,'TRA TECH'!$J:$J,'TRA TECH'!T:T)))</f>
        <v>*</v>
      </c>
      <c r="Q300" t="str">
        <f>IF(H300="*","*",IF(_xlfn.XLOOKUP($H300,'TRA TECH'!$J:$J,'TRA TECH'!U:U)="","",_xlfn.XLOOKUP($H300,'TRA TECH'!$J:$J,'TRA TECH'!U:U)))</f>
        <v>*</v>
      </c>
      <c r="R300" t="str">
        <f>IF(H300="*","*",IF(_xlfn.XLOOKUP($H300,'TRA TECH'!$J:$J,'TRA TECH'!V:V)="","",_xlfn.XLOOKUP($H300,'TRA TECH'!$J:$J,'TRA TECH'!V:V)))</f>
        <v>*</v>
      </c>
      <c r="S300" t="str">
        <f>IF(H300="*","*",IF(_xlfn.XLOOKUP($H300,'TRA TECH'!$J:$J,'TRA TECH'!W:W)="","",_xlfn.XLOOKUP($H300,'TRA TECH'!$J:$J,'TRA TECH'!W:W)))</f>
        <v>*</v>
      </c>
      <c r="T300" t="str">
        <f t="shared" si="22"/>
        <v>*</v>
      </c>
      <c r="U300" t="str">
        <f>IF(H300="*","*",IF(_xlfn.XLOOKUP($H300,'TRA TECH'!$J:$J,'TRA TECH'!X:X)="","",_xlfn.XLOOKUP($H300,'TRA TECH'!$J:$J,'TRA TECH'!X:X)))</f>
        <v>*</v>
      </c>
      <c r="V300" t="str">
        <f>IF(H300="*","*",IF(_xlfn.XLOOKUP($H300,'TRA TECH'!$J:$J,'TRA TECH'!Y:Y)="","",_xlfn.XLOOKUP($H300,'TRA TECH'!$J:$J,'TRA TECH'!Y:Y)))</f>
        <v>*</v>
      </c>
      <c r="W300" t="str">
        <f>IF(H300="*","*",IF(_xlfn.XLOOKUP($H300,'TRA TECH'!$J:$J,'TRA TECH'!Z:Z)="","",_xlfn.XLOOKUP($H300,'TRA TECH'!$J:$J,'TRA TECH'!Z:Z)))</f>
        <v>*</v>
      </c>
      <c r="X300" t="str">
        <f>IF(H300="*","*",IF(_xlfn.XLOOKUP($H300,'TRA TECH'!$J:$J,'TRA TECH'!AA:AA)="","",_xlfn.XLOOKUP($H300,'TRA TECH'!$J:$J,'TRA TECH'!AA:AA)))</f>
        <v>*</v>
      </c>
      <c r="Y300" t="str">
        <f>IF(H300="*","*",IF(_xlfn.XLOOKUP($H300,'TRA TECH'!$J:$J,'TRA TECH'!AB:AB)="","",_xlfn.XLOOKUP($H300,'TRA TECH'!$J:$J,'TRA TECH'!AB:AB)))</f>
        <v>*</v>
      </c>
      <c r="Z300" t="str">
        <f>IF(H300="*","*",IF(_xlfn.XLOOKUP($H300,'TRA TECH'!$J:$J,'TRA TECH'!AC:AC)="","",_xlfn.XLOOKUP($H300,'TRA TECH'!$J:$J,'TRA TECH'!AC:AC)))</f>
        <v>*</v>
      </c>
      <c r="AA300" t="str">
        <f>IF(H300="*","*",IF(_xlfn.XLOOKUP($H300,'TRA TECH'!$J:$J,'TRA TECH'!AD:AD)="","",_xlfn.XLOOKUP($H300,'TRA TECH'!$J:$J,'TRA TECH'!AD:AD)))</f>
        <v>*</v>
      </c>
      <c r="AB300" t="str">
        <f t="shared" si="23"/>
        <v>*</v>
      </c>
      <c r="AC300" s="15" t="str">
        <f>IF(H300="*","*",IF(_xlfn.XLOOKUP($H300,'TRA TECH'!$J:$J,'TRA TECH'!AE:AE)="","",_xlfn.XLOOKUP($H300,'TRA TECH'!$J:$J,'TRA TECH'!AE:AE)))</f>
        <v>*</v>
      </c>
      <c r="AD300" s="15" t="str">
        <f>IF(H300="*","*",IF(_xlfn.XLOOKUP($H300,'TRA TECH'!$J:$J,'TRA TECH'!AF:AF)="","",_xlfn.XLOOKUP($H300,'TRA TECH'!$J:$J,'TRA TECH'!AF:AF)))</f>
        <v>*</v>
      </c>
      <c r="AE300" s="15" t="str">
        <f>IF(H300="*","*",IF(_xlfn.XLOOKUP($H300,'TRA TECH'!$J:$J,'TRA TECH'!AG:AG)="","",_xlfn.XLOOKUP($H300,'TRA TECH'!$J:$J,'TRA TECH'!AG:AG)))</f>
        <v>*</v>
      </c>
      <c r="AF300" s="15" t="str">
        <f>IF(H300="*","*",IF(_xlfn.XLOOKUP($H300,'TRA TECH'!$J:$J,'TRA TECH'!AH:AH)="","",_xlfn.XLOOKUP($H300,'TRA TECH'!$J:$J,'TRA TECH'!AH:AH)))</f>
        <v>*</v>
      </c>
      <c r="AG300" s="15" t="str">
        <f>IF(H300="*","*",IF(_xlfn.XLOOKUP($H300,'TRA TECH'!$J:$J,'TRA TECH'!AI:AI)="","",_xlfn.XLOOKUP($H300,'TRA TECH'!$J:$J,'TRA TECH'!AI:AI)))</f>
        <v>*</v>
      </c>
      <c r="AH300" s="15" t="str">
        <f>IF(H300="*","*",IF(_xlfn.XLOOKUP($H300,'TRA TECH'!$J:$J,'TRA TECH'!AJ:AJ)="","",_xlfn.XLOOKUP($H300,'TRA TECH'!$J:$J,'TRA TECH'!AJ:AJ)))</f>
        <v>*</v>
      </c>
      <c r="AI300" s="15" t="str">
        <f>IF(H300="*","*",IF(_xlfn.XLOOKUP($H300,'TRA TECH'!$J:$J,'TRA TECH'!AK:AK)="","",_xlfn.XLOOKUP($H300,'TRA TECH'!$J:$J,'TRA TECH'!AK:AK)))</f>
        <v>*</v>
      </c>
      <c r="AJ300" s="15" t="str">
        <f t="shared" si="24"/>
        <v>*</v>
      </c>
      <c r="AK300" s="16" t="str">
        <f t="shared" si="25"/>
        <v>*</v>
      </c>
    </row>
    <row r="301" spans="2:37" x14ac:dyDescent="0.25">
      <c r="B301" t="str">
        <f>IF('TRA TECH'!M297=0,"*",IF('TRA TECH'!H297="","*",'TRA TECH'!J297))</f>
        <v>TRAOTHWATHYBDSL20</v>
      </c>
      <c r="C301" t="str">
        <f>IF('TRA TECH'!M297=0,"*",'TRA TECH'!H297)</f>
        <v>TRABDS</v>
      </c>
      <c r="D301" t="s">
        <v>424</v>
      </c>
      <c r="E301" s="9">
        <f>'TRA TECH'!P297</f>
        <v>0.1</v>
      </c>
      <c r="H301" t="str">
        <f>IF('TRA TECH'!M297=1,IF('TRA TECH'!L297=1,'TRA TECH'!J297,"*"),"*")</f>
        <v>*</v>
      </c>
      <c r="I301" t="str">
        <f>IF(H301="*","*",_xlfn.XLOOKUP(H301,'TRA TECH'!J:J,'TRA TECH'!I:I))</f>
        <v>*</v>
      </c>
      <c r="J301" t="str">
        <f>IF(H301="*","*",_xlfn.XLOOKUP(H301,'TRA TECH'!J:J,'TRA TECH'!N:N))</f>
        <v>*</v>
      </c>
      <c r="K301" s="15" t="str">
        <f>IF(H301="*","*",IF(_xlfn.XLOOKUP(H301,'TRA TECH'!J:J,'TRA TECH'!O:O)="","",_xlfn.XLOOKUP(H301,'TRA TECH'!J:J,'TRA TECH'!O:O)))</f>
        <v>*</v>
      </c>
      <c r="L301" t="str">
        <f t="shared" si="21"/>
        <v>*</v>
      </c>
      <c r="M301" t="str">
        <f>IF(H301="*","*",IF(_xlfn.XLOOKUP($H301,'TRA TECH'!$J:$J,'TRA TECH'!Q:Q)="","",_xlfn.XLOOKUP($H301,'TRA TECH'!$J:$J,'TRA TECH'!Q:Q)))</f>
        <v>*</v>
      </c>
      <c r="N301" t="str">
        <f>IF(H301="*","*",IF(_xlfn.XLOOKUP($H301,'TRA TECH'!$J:$J,'TRA TECH'!R:R)="","",_xlfn.XLOOKUP($H301,'TRA TECH'!$J:$J,'TRA TECH'!R:R)))</f>
        <v>*</v>
      </c>
      <c r="O301" t="str">
        <f>IF(H301="*","*",IF(_xlfn.XLOOKUP($H301,'TRA TECH'!$J:$J,'TRA TECH'!S:S)="","",_xlfn.XLOOKUP($H301,'TRA TECH'!$J:$J,'TRA TECH'!S:S)))</f>
        <v>*</v>
      </c>
      <c r="P301" t="str">
        <f>IF(H301="*","*",IF(_xlfn.XLOOKUP($H301,'TRA TECH'!$J:$J,'TRA TECH'!T:T)="","",_xlfn.XLOOKUP($H301,'TRA TECH'!$J:$J,'TRA TECH'!T:T)))</f>
        <v>*</v>
      </c>
      <c r="Q301" t="str">
        <f>IF(H301="*","*",IF(_xlfn.XLOOKUP($H301,'TRA TECH'!$J:$J,'TRA TECH'!U:U)="","",_xlfn.XLOOKUP($H301,'TRA TECH'!$J:$J,'TRA TECH'!U:U)))</f>
        <v>*</v>
      </c>
      <c r="R301" t="str">
        <f>IF(H301="*","*",IF(_xlfn.XLOOKUP($H301,'TRA TECH'!$J:$J,'TRA TECH'!V:V)="","",_xlfn.XLOOKUP($H301,'TRA TECH'!$J:$J,'TRA TECH'!V:V)))</f>
        <v>*</v>
      </c>
      <c r="S301" t="str">
        <f>IF(H301="*","*",IF(_xlfn.XLOOKUP($H301,'TRA TECH'!$J:$J,'TRA TECH'!W:W)="","",_xlfn.XLOOKUP($H301,'TRA TECH'!$J:$J,'TRA TECH'!W:W)))</f>
        <v>*</v>
      </c>
      <c r="T301" t="str">
        <f t="shared" si="22"/>
        <v>*</v>
      </c>
      <c r="U301" t="str">
        <f>IF(H301="*","*",IF(_xlfn.XLOOKUP($H301,'TRA TECH'!$J:$J,'TRA TECH'!X:X)="","",_xlfn.XLOOKUP($H301,'TRA TECH'!$J:$J,'TRA TECH'!X:X)))</f>
        <v>*</v>
      </c>
      <c r="V301" t="str">
        <f>IF(H301="*","*",IF(_xlfn.XLOOKUP($H301,'TRA TECH'!$J:$J,'TRA TECH'!Y:Y)="","",_xlfn.XLOOKUP($H301,'TRA TECH'!$J:$J,'TRA TECH'!Y:Y)))</f>
        <v>*</v>
      </c>
      <c r="W301" t="str">
        <f>IF(H301="*","*",IF(_xlfn.XLOOKUP($H301,'TRA TECH'!$J:$J,'TRA TECH'!Z:Z)="","",_xlfn.XLOOKUP($H301,'TRA TECH'!$J:$J,'TRA TECH'!Z:Z)))</f>
        <v>*</v>
      </c>
      <c r="X301" t="str">
        <f>IF(H301="*","*",IF(_xlfn.XLOOKUP($H301,'TRA TECH'!$J:$J,'TRA TECH'!AA:AA)="","",_xlfn.XLOOKUP($H301,'TRA TECH'!$J:$J,'TRA TECH'!AA:AA)))</f>
        <v>*</v>
      </c>
      <c r="Y301" t="str">
        <f>IF(H301="*","*",IF(_xlfn.XLOOKUP($H301,'TRA TECH'!$J:$J,'TRA TECH'!AB:AB)="","",_xlfn.XLOOKUP($H301,'TRA TECH'!$J:$J,'TRA TECH'!AB:AB)))</f>
        <v>*</v>
      </c>
      <c r="Z301" t="str">
        <f>IF(H301="*","*",IF(_xlfn.XLOOKUP($H301,'TRA TECH'!$J:$J,'TRA TECH'!AC:AC)="","",_xlfn.XLOOKUP($H301,'TRA TECH'!$J:$J,'TRA TECH'!AC:AC)))</f>
        <v>*</v>
      </c>
      <c r="AA301" t="str">
        <f>IF(H301="*","*",IF(_xlfn.XLOOKUP($H301,'TRA TECH'!$J:$J,'TRA TECH'!AD:AD)="","",_xlfn.XLOOKUP($H301,'TRA TECH'!$J:$J,'TRA TECH'!AD:AD)))</f>
        <v>*</v>
      </c>
      <c r="AB301" t="str">
        <f t="shared" si="23"/>
        <v>*</v>
      </c>
      <c r="AC301" s="15" t="str">
        <f>IF(H301="*","*",IF(_xlfn.XLOOKUP($H301,'TRA TECH'!$J:$J,'TRA TECH'!AE:AE)="","",_xlfn.XLOOKUP($H301,'TRA TECH'!$J:$J,'TRA TECH'!AE:AE)))</f>
        <v>*</v>
      </c>
      <c r="AD301" s="15" t="str">
        <f>IF(H301="*","*",IF(_xlfn.XLOOKUP($H301,'TRA TECH'!$J:$J,'TRA TECH'!AF:AF)="","",_xlfn.XLOOKUP($H301,'TRA TECH'!$J:$J,'TRA TECH'!AF:AF)))</f>
        <v>*</v>
      </c>
      <c r="AE301" s="15" t="str">
        <f>IF(H301="*","*",IF(_xlfn.XLOOKUP($H301,'TRA TECH'!$J:$J,'TRA TECH'!AG:AG)="","",_xlfn.XLOOKUP($H301,'TRA TECH'!$J:$J,'TRA TECH'!AG:AG)))</f>
        <v>*</v>
      </c>
      <c r="AF301" s="15" t="str">
        <f>IF(H301="*","*",IF(_xlfn.XLOOKUP($H301,'TRA TECH'!$J:$J,'TRA TECH'!AH:AH)="","",_xlfn.XLOOKUP($H301,'TRA TECH'!$J:$J,'TRA TECH'!AH:AH)))</f>
        <v>*</v>
      </c>
      <c r="AG301" s="15" t="str">
        <f>IF(H301="*","*",IF(_xlfn.XLOOKUP($H301,'TRA TECH'!$J:$J,'TRA TECH'!AI:AI)="","",_xlfn.XLOOKUP($H301,'TRA TECH'!$J:$J,'TRA TECH'!AI:AI)))</f>
        <v>*</v>
      </c>
      <c r="AH301" s="15" t="str">
        <f>IF(H301="*","*",IF(_xlfn.XLOOKUP($H301,'TRA TECH'!$J:$J,'TRA TECH'!AJ:AJ)="","",_xlfn.XLOOKUP($H301,'TRA TECH'!$J:$J,'TRA TECH'!AJ:AJ)))</f>
        <v>*</v>
      </c>
      <c r="AI301" s="15" t="str">
        <f>IF(H301="*","*",IF(_xlfn.XLOOKUP($H301,'TRA TECH'!$J:$J,'TRA TECH'!AK:AK)="","",_xlfn.XLOOKUP($H301,'TRA TECH'!$J:$J,'TRA TECH'!AK:AK)))</f>
        <v>*</v>
      </c>
      <c r="AJ301" s="15" t="str">
        <f t="shared" si="24"/>
        <v>*</v>
      </c>
      <c r="AK301" s="16" t="str">
        <f t="shared" si="25"/>
        <v>*</v>
      </c>
    </row>
    <row r="302" spans="2:37" x14ac:dyDescent="0.25">
      <c r="B302" t="str">
        <f>IF('TRA TECH'!M298=0,"*",IF('TRA TECH'!H298="","*",'TRA TECH'!J298))</f>
        <v>TRAOTHWATICEFOI20</v>
      </c>
      <c r="C302" t="str">
        <f>IF('TRA TECH'!M298=0,"*",'TRA TECH'!H298)</f>
        <v>TRAFOI</v>
      </c>
      <c r="D302" t="s">
        <v>424</v>
      </c>
      <c r="E302" s="9">
        <f>'TRA TECH'!P298</f>
        <v>1</v>
      </c>
      <c r="H302" t="str">
        <f>IF('TRA TECH'!M298=1,IF('TRA TECH'!L298=1,'TRA TECH'!J298,"*"),"*")</f>
        <v>TRAOTHWATICEFOI20</v>
      </c>
      <c r="I302" t="str">
        <f>IF(H302="*","*",_xlfn.XLOOKUP(H302,'TRA TECH'!J:J,'TRA TECH'!I:I))</f>
        <v>TRAOTHWATDMD</v>
      </c>
      <c r="J302">
        <f>IF(H302="*","*",_xlfn.XLOOKUP(H302,'TRA TECH'!J:J,'TRA TECH'!N:N))</f>
        <v>2020</v>
      </c>
      <c r="K302" s="15">
        <f>IF(H302="*","*",IF(_xlfn.XLOOKUP(H302,'TRA TECH'!J:J,'TRA TECH'!O:O)="","",_xlfn.XLOOKUP(H302,'TRA TECH'!J:J,'TRA TECH'!O:O)))</f>
        <v>30</v>
      </c>
      <c r="L302">
        <f t="shared" si="21"/>
        <v>1</v>
      </c>
      <c r="M302">
        <f>IF(H302="*","*",IF(_xlfn.XLOOKUP($H302,'TRA TECH'!$J:$J,'TRA TECH'!Q:Q)="","",_xlfn.XLOOKUP($H302,'TRA TECH'!$J:$J,'TRA TECH'!Q:Q)))</f>
        <v>1.465216971197143E-3</v>
      </c>
      <c r="N302">
        <f>IF(H302="*","*",IF(_xlfn.XLOOKUP($H302,'TRA TECH'!$J:$J,'TRA TECH'!R:R)="","",_xlfn.XLOOKUP($H302,'TRA TECH'!$J:$J,'TRA TECH'!R:R)))</f>
        <v>1.465216971197143E-3</v>
      </c>
      <c r="O302">
        <f>IF(H302="*","*",IF(_xlfn.XLOOKUP($H302,'TRA TECH'!$J:$J,'TRA TECH'!S:S)="","",_xlfn.XLOOKUP($H302,'TRA TECH'!$J:$J,'TRA TECH'!S:S)))</f>
        <v>1.465216971197143E-3</v>
      </c>
      <c r="P302">
        <f>IF(H302="*","*",IF(_xlfn.XLOOKUP($H302,'TRA TECH'!$J:$J,'TRA TECH'!T:T)="","",_xlfn.XLOOKUP($H302,'TRA TECH'!$J:$J,'TRA TECH'!T:T)))</f>
        <v>1.465216971197143E-3</v>
      </c>
      <c r="Q302">
        <f>IF(H302="*","*",IF(_xlfn.XLOOKUP($H302,'TRA TECH'!$J:$J,'TRA TECH'!U:U)="","",_xlfn.XLOOKUP($H302,'TRA TECH'!$J:$J,'TRA TECH'!U:U)))</f>
        <v>1.465216971197143E-3</v>
      </c>
      <c r="R302">
        <f>IF(H302="*","*",IF(_xlfn.XLOOKUP($H302,'TRA TECH'!$J:$J,'TRA TECH'!V:V)="","",_xlfn.XLOOKUP($H302,'TRA TECH'!$J:$J,'TRA TECH'!V:V)))</f>
        <v>1.465216971197143E-3</v>
      </c>
      <c r="S302">
        <f>IF(H302="*","*",IF(_xlfn.XLOOKUP($H302,'TRA TECH'!$J:$J,'TRA TECH'!W:W)="","",_xlfn.XLOOKUP($H302,'TRA TECH'!$J:$J,'TRA TECH'!W:W)))</f>
        <v>1.465216971197143E-3</v>
      </c>
      <c r="T302">
        <f t="shared" si="22"/>
        <v>1.465216971197143E-3</v>
      </c>
      <c r="U302">
        <f>IF(H302="*","*",IF(_xlfn.XLOOKUP($H302,'TRA TECH'!$J:$J,'TRA TECH'!X:X)="","",_xlfn.XLOOKUP($H302,'TRA TECH'!$J:$J,'TRA TECH'!X:X)))</f>
        <v>343962.96330090298</v>
      </c>
      <c r="V302">
        <f>IF(H302="*","*",IF(_xlfn.XLOOKUP($H302,'TRA TECH'!$J:$J,'TRA TECH'!Y:Y)="","",_xlfn.XLOOKUP($H302,'TRA TECH'!$J:$J,'TRA TECH'!Y:Y)))</f>
        <v>343962.96330090298</v>
      </c>
      <c r="W302">
        <f>IF(H302="*","*",IF(_xlfn.XLOOKUP($H302,'TRA TECH'!$J:$J,'TRA TECH'!Z:Z)="","",_xlfn.XLOOKUP($H302,'TRA TECH'!$J:$J,'TRA TECH'!Z:Z)))</f>
        <v>343962.96330090298</v>
      </c>
      <c r="X302">
        <f>IF(H302="*","*",IF(_xlfn.XLOOKUP($H302,'TRA TECH'!$J:$J,'TRA TECH'!AA:AA)="","",_xlfn.XLOOKUP($H302,'TRA TECH'!$J:$J,'TRA TECH'!AA:AA)))</f>
        <v>343962.96330090298</v>
      </c>
      <c r="Y302">
        <f>IF(H302="*","*",IF(_xlfn.XLOOKUP($H302,'TRA TECH'!$J:$J,'TRA TECH'!AB:AB)="","",_xlfn.XLOOKUP($H302,'TRA TECH'!$J:$J,'TRA TECH'!AB:AB)))</f>
        <v>343962.96330090298</v>
      </c>
      <c r="Z302">
        <f>IF(H302="*","*",IF(_xlfn.XLOOKUP($H302,'TRA TECH'!$J:$J,'TRA TECH'!AC:AC)="","",_xlfn.XLOOKUP($H302,'TRA TECH'!$J:$J,'TRA TECH'!AC:AC)))</f>
        <v>343962.96330090298</v>
      </c>
      <c r="AA302">
        <f>IF(H302="*","*",IF(_xlfn.XLOOKUP($H302,'TRA TECH'!$J:$J,'TRA TECH'!AD:AD)="","",_xlfn.XLOOKUP($H302,'TRA TECH'!$J:$J,'TRA TECH'!AD:AD)))</f>
        <v>343962.96330090298</v>
      </c>
      <c r="AB302">
        <f t="shared" si="23"/>
        <v>343962.96330090298</v>
      </c>
      <c r="AC302" s="15">
        <f>IF(H302="*","*",IF(_xlfn.XLOOKUP($H302,'TRA TECH'!$J:$J,'TRA TECH'!AE:AE)="","",_xlfn.XLOOKUP($H302,'TRA TECH'!$J:$J,'TRA TECH'!AE:AE)))</f>
        <v>17198.14816504515</v>
      </c>
      <c r="AD302" s="15">
        <f>IF(H302="*","*",IF(_xlfn.XLOOKUP($H302,'TRA TECH'!$J:$J,'TRA TECH'!AF:AF)="","",_xlfn.XLOOKUP($H302,'TRA TECH'!$J:$J,'TRA TECH'!AF:AF)))</f>
        <v>17198.14816504515</v>
      </c>
      <c r="AE302" s="15">
        <f>IF(H302="*","*",IF(_xlfn.XLOOKUP($H302,'TRA TECH'!$J:$J,'TRA TECH'!AG:AG)="","",_xlfn.XLOOKUP($H302,'TRA TECH'!$J:$J,'TRA TECH'!AG:AG)))</f>
        <v>17198.14816504515</v>
      </c>
      <c r="AF302" s="15">
        <f>IF(H302="*","*",IF(_xlfn.XLOOKUP($H302,'TRA TECH'!$J:$J,'TRA TECH'!AH:AH)="","",_xlfn.XLOOKUP($H302,'TRA TECH'!$J:$J,'TRA TECH'!AH:AH)))</f>
        <v>17198.14816504515</v>
      </c>
      <c r="AG302" s="15">
        <f>IF(H302="*","*",IF(_xlfn.XLOOKUP($H302,'TRA TECH'!$J:$J,'TRA TECH'!AI:AI)="","",_xlfn.XLOOKUP($H302,'TRA TECH'!$J:$J,'TRA TECH'!AI:AI)))</f>
        <v>17198.14816504515</v>
      </c>
      <c r="AH302" s="15">
        <f>IF(H302="*","*",IF(_xlfn.XLOOKUP($H302,'TRA TECH'!$J:$J,'TRA TECH'!AJ:AJ)="","",_xlfn.XLOOKUP($H302,'TRA TECH'!$J:$J,'TRA TECH'!AJ:AJ)))</f>
        <v>17198.14816504515</v>
      </c>
      <c r="AI302" s="15">
        <f>IF(H302="*","*",IF(_xlfn.XLOOKUP($H302,'TRA TECH'!$J:$J,'TRA TECH'!AK:AK)="","",_xlfn.XLOOKUP($H302,'TRA TECH'!$J:$J,'TRA TECH'!AK:AK)))</f>
        <v>17198.14816504515</v>
      </c>
      <c r="AJ302" s="15">
        <f t="shared" si="24"/>
        <v>17198.14816504515</v>
      </c>
      <c r="AK302" s="16">
        <f t="shared" si="25"/>
        <v>0.1</v>
      </c>
    </row>
    <row r="303" spans="2:37" x14ac:dyDescent="0.25">
      <c r="B303" t="str">
        <f>IF('TRA TECH'!M299=0,"*",IF('TRA TECH'!H299="","*",'TRA TECH'!J299))</f>
        <v>TRAOTHWATICEDFOI20</v>
      </c>
      <c r="C303" t="str">
        <f>IF('TRA TECH'!M299=0,"*",'TRA TECH'!H299)</f>
        <v>TRAFOI</v>
      </c>
      <c r="D303" t="s">
        <v>424</v>
      </c>
      <c r="E303" s="9">
        <f>'TRA TECH'!P299</f>
        <v>1</v>
      </c>
      <c r="H303" t="str">
        <f>IF('TRA TECH'!M299=1,IF('TRA TECH'!L299=1,'TRA TECH'!J299,"*"),"*")</f>
        <v>TRAOTHWATICEDFOI20</v>
      </c>
      <c r="I303" t="str">
        <f>IF(H303="*","*",_xlfn.XLOOKUP(H303,'TRA TECH'!J:J,'TRA TECH'!I:I))</f>
        <v>TRAOTHWATDMD</v>
      </c>
      <c r="J303">
        <f>IF(H303="*","*",_xlfn.XLOOKUP(H303,'TRA TECH'!J:J,'TRA TECH'!N:N))</f>
        <v>2020</v>
      </c>
      <c r="K303" s="15">
        <f>IF(H303="*","*",IF(_xlfn.XLOOKUP(H303,'TRA TECH'!J:J,'TRA TECH'!O:O)="","",_xlfn.XLOOKUP(H303,'TRA TECH'!J:J,'TRA TECH'!O:O)))</f>
        <v>30</v>
      </c>
      <c r="L303">
        <f t="shared" si="21"/>
        <v>1</v>
      </c>
      <c r="M303">
        <f>IF(H303="*","*",IF(_xlfn.XLOOKUP($H303,'TRA TECH'!$J:$J,'TRA TECH'!Q:Q)="","",_xlfn.XLOOKUP($H303,'TRA TECH'!$J:$J,'TRA TECH'!Q:Q)))</f>
        <v>1.6650192854512991E-3</v>
      </c>
      <c r="N303">
        <f>IF(H303="*","*",IF(_xlfn.XLOOKUP($H303,'TRA TECH'!$J:$J,'TRA TECH'!R:R)="","",_xlfn.XLOOKUP($H303,'TRA TECH'!$J:$J,'TRA TECH'!R:R)))</f>
        <v>1.6650192854512991E-3</v>
      </c>
      <c r="O303">
        <f>IF(H303="*","*",IF(_xlfn.XLOOKUP($H303,'TRA TECH'!$J:$J,'TRA TECH'!S:S)="","",_xlfn.XLOOKUP($H303,'TRA TECH'!$J:$J,'TRA TECH'!S:S)))</f>
        <v>1.6650192854512991E-3</v>
      </c>
      <c r="P303">
        <f>IF(H303="*","*",IF(_xlfn.XLOOKUP($H303,'TRA TECH'!$J:$J,'TRA TECH'!T:T)="","",_xlfn.XLOOKUP($H303,'TRA TECH'!$J:$J,'TRA TECH'!T:T)))</f>
        <v>1.6650192854512991E-3</v>
      </c>
      <c r="Q303">
        <f>IF(H303="*","*",IF(_xlfn.XLOOKUP($H303,'TRA TECH'!$J:$J,'TRA TECH'!U:U)="","",_xlfn.XLOOKUP($H303,'TRA TECH'!$J:$J,'TRA TECH'!U:U)))</f>
        <v>1.6650192854512991E-3</v>
      </c>
      <c r="R303">
        <f>IF(H303="*","*",IF(_xlfn.XLOOKUP($H303,'TRA TECH'!$J:$J,'TRA TECH'!V:V)="","",_xlfn.XLOOKUP($H303,'TRA TECH'!$J:$J,'TRA TECH'!V:V)))</f>
        <v>1.6650192854512991E-3</v>
      </c>
      <c r="S303">
        <f>IF(H303="*","*",IF(_xlfn.XLOOKUP($H303,'TRA TECH'!$J:$J,'TRA TECH'!W:W)="","",_xlfn.XLOOKUP($H303,'TRA TECH'!$J:$J,'TRA TECH'!W:W)))</f>
        <v>1.6650192854512991E-3</v>
      </c>
      <c r="T303">
        <f t="shared" si="22"/>
        <v>1.6650192854512991E-3</v>
      </c>
      <c r="U303">
        <f>IF(H303="*","*",IF(_xlfn.XLOOKUP($H303,'TRA TECH'!$J:$J,'TRA TECH'!X:X)="","",_xlfn.XLOOKUP($H303,'TRA TECH'!$J:$J,'TRA TECH'!X:X)))</f>
        <v>355838.65077076718</v>
      </c>
      <c r="V303">
        <f>IF(H303="*","*",IF(_xlfn.XLOOKUP($H303,'TRA TECH'!$J:$J,'TRA TECH'!Y:Y)="","",_xlfn.XLOOKUP($H303,'TRA TECH'!$J:$J,'TRA TECH'!Y:Y)))</f>
        <v>355838.65077076718</v>
      </c>
      <c r="W303">
        <f>IF(H303="*","*",IF(_xlfn.XLOOKUP($H303,'TRA TECH'!$J:$J,'TRA TECH'!Z:Z)="","",_xlfn.XLOOKUP($H303,'TRA TECH'!$J:$J,'TRA TECH'!Z:Z)))</f>
        <v>355838.65077076718</v>
      </c>
      <c r="X303">
        <f>IF(H303="*","*",IF(_xlfn.XLOOKUP($H303,'TRA TECH'!$J:$J,'TRA TECH'!AA:AA)="","",_xlfn.XLOOKUP($H303,'TRA TECH'!$J:$J,'TRA TECH'!AA:AA)))</f>
        <v>355838.65077076718</v>
      </c>
      <c r="Y303">
        <f>IF(H303="*","*",IF(_xlfn.XLOOKUP($H303,'TRA TECH'!$J:$J,'TRA TECH'!AB:AB)="","",_xlfn.XLOOKUP($H303,'TRA TECH'!$J:$J,'TRA TECH'!AB:AB)))</f>
        <v>355838.65077076718</v>
      </c>
      <c r="Z303">
        <f>IF(H303="*","*",IF(_xlfn.XLOOKUP($H303,'TRA TECH'!$J:$J,'TRA TECH'!AC:AC)="","",_xlfn.XLOOKUP($H303,'TRA TECH'!$J:$J,'TRA TECH'!AC:AC)))</f>
        <v>355838.65077076718</v>
      </c>
      <c r="AA303">
        <f>IF(H303="*","*",IF(_xlfn.XLOOKUP($H303,'TRA TECH'!$J:$J,'TRA TECH'!AD:AD)="","",_xlfn.XLOOKUP($H303,'TRA TECH'!$J:$J,'TRA TECH'!AD:AD)))</f>
        <v>355838.65077076718</v>
      </c>
      <c r="AB303">
        <f t="shared" si="23"/>
        <v>355838.65077076718</v>
      </c>
      <c r="AC303" s="15">
        <f>IF(H303="*","*",IF(_xlfn.XLOOKUP($H303,'TRA TECH'!$J:$J,'TRA TECH'!AE:AE)="","",_xlfn.XLOOKUP($H303,'TRA TECH'!$J:$J,'TRA TECH'!AE:AE)))</f>
        <v>17791.93253853836</v>
      </c>
      <c r="AD303" s="15">
        <f>IF(H303="*","*",IF(_xlfn.XLOOKUP($H303,'TRA TECH'!$J:$J,'TRA TECH'!AF:AF)="","",_xlfn.XLOOKUP($H303,'TRA TECH'!$J:$J,'TRA TECH'!AF:AF)))</f>
        <v>17791.93253853836</v>
      </c>
      <c r="AE303" s="15">
        <f>IF(H303="*","*",IF(_xlfn.XLOOKUP($H303,'TRA TECH'!$J:$J,'TRA TECH'!AG:AG)="","",_xlfn.XLOOKUP($H303,'TRA TECH'!$J:$J,'TRA TECH'!AG:AG)))</f>
        <v>17791.93253853836</v>
      </c>
      <c r="AF303" s="15">
        <f>IF(H303="*","*",IF(_xlfn.XLOOKUP($H303,'TRA TECH'!$J:$J,'TRA TECH'!AH:AH)="","",_xlfn.XLOOKUP($H303,'TRA TECH'!$J:$J,'TRA TECH'!AH:AH)))</f>
        <v>17791.93253853836</v>
      </c>
      <c r="AG303" s="15">
        <f>IF(H303="*","*",IF(_xlfn.XLOOKUP($H303,'TRA TECH'!$J:$J,'TRA TECH'!AI:AI)="","",_xlfn.XLOOKUP($H303,'TRA TECH'!$J:$J,'TRA TECH'!AI:AI)))</f>
        <v>17791.93253853836</v>
      </c>
      <c r="AH303" s="15">
        <f>IF(H303="*","*",IF(_xlfn.XLOOKUP($H303,'TRA TECH'!$J:$J,'TRA TECH'!AJ:AJ)="","",_xlfn.XLOOKUP($H303,'TRA TECH'!$J:$J,'TRA TECH'!AJ:AJ)))</f>
        <v>17791.93253853836</v>
      </c>
      <c r="AI303" s="15">
        <f>IF(H303="*","*",IF(_xlfn.XLOOKUP($H303,'TRA TECH'!$J:$J,'TRA TECH'!AK:AK)="","",_xlfn.XLOOKUP($H303,'TRA TECH'!$J:$J,'TRA TECH'!AK:AK)))</f>
        <v>17791.93253853836</v>
      </c>
      <c r="AJ303" s="15">
        <f t="shared" si="24"/>
        <v>17791.93253853836</v>
      </c>
      <c r="AK303" s="16">
        <f t="shared" si="25"/>
        <v>0.1</v>
      </c>
    </row>
    <row r="304" spans="2:37" x14ac:dyDescent="0.25">
      <c r="B304" t="str">
        <f>IF('TRA TECH'!M300=0,"*",IF('TRA TECH'!H300="","*",'TRA TECH'!J300))</f>
        <v>TRAOTHWATHYBFOI20</v>
      </c>
      <c r="C304" t="str">
        <f>IF('TRA TECH'!M300=0,"*",'TRA TECH'!H300)</f>
        <v>TRAFOI</v>
      </c>
      <c r="D304" t="s">
        <v>424</v>
      </c>
      <c r="E304" s="9">
        <f>'TRA TECH'!P300</f>
        <v>1</v>
      </c>
      <c r="H304" t="str">
        <f>IF('TRA TECH'!M300=1,IF('TRA TECH'!L300=1,'TRA TECH'!J300,"*"),"*")</f>
        <v>TRAOTHWATHYBFOI20</v>
      </c>
      <c r="I304" t="str">
        <f>IF(H304="*","*",_xlfn.XLOOKUP(H304,'TRA TECH'!J:J,'TRA TECH'!I:I))</f>
        <v>TRAOTHWATDMD</v>
      </c>
      <c r="J304">
        <f>IF(H304="*","*",_xlfn.XLOOKUP(H304,'TRA TECH'!J:J,'TRA TECH'!N:N))</f>
        <v>2020</v>
      </c>
      <c r="K304" s="15">
        <f>IF(H304="*","*",IF(_xlfn.XLOOKUP(H304,'TRA TECH'!J:J,'TRA TECH'!O:O)="","",_xlfn.XLOOKUP(H304,'TRA TECH'!J:J,'TRA TECH'!O:O)))</f>
        <v>30</v>
      </c>
      <c r="L304">
        <f t="shared" si="21"/>
        <v>1</v>
      </c>
      <c r="M304">
        <f>IF(H304="*","*",IF(_xlfn.XLOOKUP($H304,'TRA TECH'!$J:$J,'TRA TECH'!Q:Q)="","",_xlfn.XLOOKUP($H304,'TRA TECH'!$J:$J,'TRA TECH'!Q:Q)))</f>
        <v>1.674533681368163E-3</v>
      </c>
      <c r="N304">
        <f>IF(H304="*","*",IF(_xlfn.XLOOKUP($H304,'TRA TECH'!$J:$J,'TRA TECH'!R:R)="","",_xlfn.XLOOKUP($H304,'TRA TECH'!$J:$J,'TRA TECH'!R:R)))</f>
        <v>1.674533681368163E-3</v>
      </c>
      <c r="O304">
        <f>IF(H304="*","*",IF(_xlfn.XLOOKUP($H304,'TRA TECH'!$J:$J,'TRA TECH'!S:S)="","",_xlfn.XLOOKUP($H304,'TRA TECH'!$J:$J,'TRA TECH'!S:S)))</f>
        <v>1.674533681368163E-3</v>
      </c>
      <c r="P304">
        <f>IF(H304="*","*",IF(_xlfn.XLOOKUP($H304,'TRA TECH'!$J:$J,'TRA TECH'!T:T)="","",_xlfn.XLOOKUP($H304,'TRA TECH'!$J:$J,'TRA TECH'!T:T)))</f>
        <v>1.674533681368163E-3</v>
      </c>
      <c r="Q304">
        <f>IF(H304="*","*",IF(_xlfn.XLOOKUP($H304,'TRA TECH'!$J:$J,'TRA TECH'!U:U)="","",_xlfn.XLOOKUP($H304,'TRA TECH'!$J:$J,'TRA TECH'!U:U)))</f>
        <v>1.674533681368163E-3</v>
      </c>
      <c r="R304">
        <f>IF(H304="*","*",IF(_xlfn.XLOOKUP($H304,'TRA TECH'!$J:$J,'TRA TECH'!V:V)="","",_xlfn.XLOOKUP($H304,'TRA TECH'!$J:$J,'TRA TECH'!V:V)))</f>
        <v>1.674533681368163E-3</v>
      </c>
      <c r="S304">
        <f>IF(H304="*","*",IF(_xlfn.XLOOKUP($H304,'TRA TECH'!$J:$J,'TRA TECH'!W:W)="","",_xlfn.XLOOKUP($H304,'TRA TECH'!$J:$J,'TRA TECH'!W:W)))</f>
        <v>1.674533681368163E-3</v>
      </c>
      <c r="T304">
        <f t="shared" si="22"/>
        <v>1.674533681368163E-3</v>
      </c>
      <c r="U304">
        <f>IF(H304="*","*",IF(_xlfn.XLOOKUP($H304,'TRA TECH'!$J:$J,'TRA TECH'!X:X)="","",_xlfn.XLOOKUP($H304,'TRA TECH'!$J:$J,'TRA TECH'!X:X)))</f>
        <v>356861.5744246869</v>
      </c>
      <c r="V304">
        <f>IF(H304="*","*",IF(_xlfn.XLOOKUP($H304,'TRA TECH'!$J:$J,'TRA TECH'!Y:Y)="","",_xlfn.XLOOKUP($H304,'TRA TECH'!$J:$J,'TRA TECH'!Y:Y)))</f>
        <v>356861.5744246869</v>
      </c>
      <c r="W304">
        <f>IF(H304="*","*",IF(_xlfn.XLOOKUP($H304,'TRA TECH'!$J:$J,'TRA TECH'!Z:Z)="","",_xlfn.XLOOKUP($H304,'TRA TECH'!$J:$J,'TRA TECH'!Z:Z)))</f>
        <v>356861.5744246869</v>
      </c>
      <c r="X304">
        <f>IF(H304="*","*",IF(_xlfn.XLOOKUP($H304,'TRA TECH'!$J:$J,'TRA TECH'!AA:AA)="","",_xlfn.XLOOKUP($H304,'TRA TECH'!$J:$J,'TRA TECH'!AA:AA)))</f>
        <v>356861.5744246869</v>
      </c>
      <c r="Y304">
        <f>IF(H304="*","*",IF(_xlfn.XLOOKUP($H304,'TRA TECH'!$J:$J,'TRA TECH'!AB:AB)="","",_xlfn.XLOOKUP($H304,'TRA TECH'!$J:$J,'TRA TECH'!AB:AB)))</f>
        <v>356861.5744246869</v>
      </c>
      <c r="Z304">
        <f>IF(H304="*","*",IF(_xlfn.XLOOKUP($H304,'TRA TECH'!$J:$J,'TRA TECH'!AC:AC)="","",_xlfn.XLOOKUP($H304,'TRA TECH'!$J:$J,'TRA TECH'!AC:AC)))</f>
        <v>356861.5744246869</v>
      </c>
      <c r="AA304">
        <f>IF(H304="*","*",IF(_xlfn.XLOOKUP($H304,'TRA TECH'!$J:$J,'TRA TECH'!AD:AD)="","",_xlfn.XLOOKUP($H304,'TRA TECH'!$J:$J,'TRA TECH'!AD:AD)))</f>
        <v>356861.5744246869</v>
      </c>
      <c r="AB304">
        <f t="shared" si="23"/>
        <v>356861.5744246869</v>
      </c>
      <c r="AC304" s="15">
        <f>IF(H304="*","*",IF(_xlfn.XLOOKUP($H304,'TRA TECH'!$J:$J,'TRA TECH'!AE:AE)="","",_xlfn.XLOOKUP($H304,'TRA TECH'!$J:$J,'TRA TECH'!AE:AE)))</f>
        <v>17843.078721234349</v>
      </c>
      <c r="AD304" s="15">
        <f>IF(H304="*","*",IF(_xlfn.XLOOKUP($H304,'TRA TECH'!$J:$J,'TRA TECH'!AF:AF)="","",_xlfn.XLOOKUP($H304,'TRA TECH'!$J:$J,'TRA TECH'!AF:AF)))</f>
        <v>17843.078721234349</v>
      </c>
      <c r="AE304" s="15">
        <f>IF(H304="*","*",IF(_xlfn.XLOOKUP($H304,'TRA TECH'!$J:$J,'TRA TECH'!AG:AG)="","",_xlfn.XLOOKUP($H304,'TRA TECH'!$J:$J,'TRA TECH'!AG:AG)))</f>
        <v>17843.078721234349</v>
      </c>
      <c r="AF304" s="15">
        <f>IF(H304="*","*",IF(_xlfn.XLOOKUP($H304,'TRA TECH'!$J:$J,'TRA TECH'!AH:AH)="","",_xlfn.XLOOKUP($H304,'TRA TECH'!$J:$J,'TRA TECH'!AH:AH)))</f>
        <v>17843.078721234349</v>
      </c>
      <c r="AG304" s="15">
        <f>IF(H304="*","*",IF(_xlfn.XLOOKUP($H304,'TRA TECH'!$J:$J,'TRA TECH'!AI:AI)="","",_xlfn.XLOOKUP($H304,'TRA TECH'!$J:$J,'TRA TECH'!AI:AI)))</f>
        <v>17843.078721234349</v>
      </c>
      <c r="AH304" s="15">
        <f>IF(H304="*","*",IF(_xlfn.XLOOKUP($H304,'TRA TECH'!$J:$J,'TRA TECH'!AJ:AJ)="","",_xlfn.XLOOKUP($H304,'TRA TECH'!$J:$J,'TRA TECH'!AJ:AJ)))</f>
        <v>17843.078721234349</v>
      </c>
      <c r="AI304" s="15">
        <f>IF(H304="*","*",IF(_xlfn.XLOOKUP($H304,'TRA TECH'!$J:$J,'TRA TECH'!AK:AK)="","",_xlfn.XLOOKUP($H304,'TRA TECH'!$J:$J,'TRA TECH'!AK:AK)))</f>
        <v>17843.078721234349</v>
      </c>
      <c r="AJ304" s="15">
        <f t="shared" si="24"/>
        <v>17843.078721234349</v>
      </c>
      <c r="AK304" s="16">
        <f t="shared" si="25"/>
        <v>0.1</v>
      </c>
    </row>
    <row r="305" spans="2:37" x14ac:dyDescent="0.25">
      <c r="B305" t="str">
        <f>IF('TRA TECH'!M301=0,"*",IF('TRA TECH'!H301="","*",'TRA TECH'!J301))</f>
        <v>TRAOTHAIRTURREA20</v>
      </c>
      <c r="C305" t="str">
        <f>IF('TRA TECH'!M301=0,"*",'TRA TECH'!H301)</f>
        <v>TRAATF</v>
      </c>
      <c r="D305" t="s">
        <v>424</v>
      </c>
      <c r="E305" s="9">
        <f>'TRA TECH'!P301</f>
        <v>1</v>
      </c>
      <c r="H305" t="str">
        <f>IF('TRA TECH'!M301=1,IF('TRA TECH'!L301=1,'TRA TECH'!J301,"*"),"*")</f>
        <v>TRAOTHAIRTURREA20</v>
      </c>
      <c r="I305" t="str">
        <f>IF(H305="*","*",_xlfn.XLOOKUP(H305,'TRA TECH'!J:J,'TRA TECH'!I:I))</f>
        <v>TRAOTHAIRDMD</v>
      </c>
      <c r="J305">
        <f>IF(H305="*","*",_xlfn.XLOOKUP(H305,'TRA TECH'!J:J,'TRA TECH'!N:N))</f>
        <v>2020</v>
      </c>
      <c r="K305" s="15">
        <f>IF(H305="*","*",IF(_xlfn.XLOOKUP(H305,'TRA TECH'!J:J,'TRA TECH'!O:O)="","",_xlfn.XLOOKUP(H305,'TRA TECH'!J:J,'TRA TECH'!O:O)))</f>
        <v>25</v>
      </c>
      <c r="L305">
        <f t="shared" si="21"/>
        <v>1</v>
      </c>
      <c r="M305">
        <f>IF(H305="*","*",IF(_xlfn.XLOOKUP($H305,'TRA TECH'!$J:$J,'TRA TECH'!Q:Q)="","",_xlfn.XLOOKUP($H305,'TRA TECH'!$J:$J,'TRA TECH'!Q:Q)))</f>
        <v>4.4035199083936726E-3</v>
      </c>
      <c r="N305">
        <f>IF(H305="*","*",IF(_xlfn.XLOOKUP($H305,'TRA TECH'!$J:$J,'TRA TECH'!R:R)="","",_xlfn.XLOOKUP($H305,'TRA TECH'!$J:$J,'TRA TECH'!R:R)))</f>
        <v>4.4035199083936726E-3</v>
      </c>
      <c r="O305">
        <f>IF(H305="*","*",IF(_xlfn.XLOOKUP($H305,'TRA TECH'!$J:$J,'TRA TECH'!S:S)="","",_xlfn.XLOOKUP($H305,'TRA TECH'!$J:$J,'TRA TECH'!S:S)))</f>
        <v>4.4035199083936726E-3</v>
      </c>
      <c r="P305">
        <f>IF(H305="*","*",IF(_xlfn.XLOOKUP($H305,'TRA TECH'!$J:$J,'TRA TECH'!T:T)="","",_xlfn.XLOOKUP($H305,'TRA TECH'!$J:$J,'TRA TECH'!T:T)))</f>
        <v>4.4035199083936726E-3</v>
      </c>
      <c r="Q305">
        <f>IF(H305="*","*",IF(_xlfn.XLOOKUP($H305,'TRA TECH'!$J:$J,'TRA TECH'!U:U)="","",_xlfn.XLOOKUP($H305,'TRA TECH'!$J:$J,'TRA TECH'!U:U)))</f>
        <v>4.4035199083936726E-3</v>
      </c>
      <c r="R305">
        <f>IF(H305="*","*",IF(_xlfn.XLOOKUP($H305,'TRA TECH'!$J:$J,'TRA TECH'!V:V)="","",_xlfn.XLOOKUP($H305,'TRA TECH'!$J:$J,'TRA TECH'!V:V)))</f>
        <v>4.4035199083936726E-3</v>
      </c>
      <c r="S305">
        <f>IF(H305="*","*",IF(_xlfn.XLOOKUP($H305,'TRA TECH'!$J:$J,'TRA TECH'!W:W)="","",_xlfn.XLOOKUP($H305,'TRA TECH'!$J:$J,'TRA TECH'!W:W)))</f>
        <v>4.4035199083936726E-3</v>
      </c>
      <c r="T305">
        <f t="shared" si="22"/>
        <v>4.4035199083936726E-3</v>
      </c>
      <c r="U305">
        <f>IF(H305="*","*",IF(_xlfn.XLOOKUP($H305,'TRA TECH'!$J:$J,'TRA TECH'!X:X)="","",_xlfn.XLOOKUP($H305,'TRA TECH'!$J:$J,'TRA TECH'!X:X)))</f>
        <v>146720.0337907295</v>
      </c>
      <c r="V305">
        <f>IF(H305="*","*",IF(_xlfn.XLOOKUP($H305,'TRA TECH'!$J:$J,'TRA TECH'!Y:Y)="","",_xlfn.XLOOKUP($H305,'TRA TECH'!$J:$J,'TRA TECH'!Y:Y)))</f>
        <v>146720.0337907295</v>
      </c>
      <c r="W305">
        <f>IF(H305="*","*",IF(_xlfn.XLOOKUP($H305,'TRA TECH'!$J:$J,'TRA TECH'!Z:Z)="","",_xlfn.XLOOKUP($H305,'TRA TECH'!$J:$J,'TRA TECH'!Z:Z)))</f>
        <v>146720.0337907295</v>
      </c>
      <c r="X305">
        <f>IF(H305="*","*",IF(_xlfn.XLOOKUP($H305,'TRA TECH'!$J:$J,'TRA TECH'!AA:AA)="","",_xlfn.XLOOKUP($H305,'TRA TECH'!$J:$J,'TRA TECH'!AA:AA)))</f>
        <v>146720.0337907295</v>
      </c>
      <c r="Y305">
        <f>IF(H305="*","*",IF(_xlfn.XLOOKUP($H305,'TRA TECH'!$J:$J,'TRA TECH'!AB:AB)="","",_xlfn.XLOOKUP($H305,'TRA TECH'!$J:$J,'TRA TECH'!AB:AB)))</f>
        <v>146720.0337907295</v>
      </c>
      <c r="Z305">
        <f>IF(H305="*","*",IF(_xlfn.XLOOKUP($H305,'TRA TECH'!$J:$J,'TRA TECH'!AC:AC)="","",_xlfn.XLOOKUP($H305,'TRA TECH'!$J:$J,'TRA TECH'!AC:AC)))</f>
        <v>146720.0337907295</v>
      </c>
      <c r="AA305">
        <f>IF(H305="*","*",IF(_xlfn.XLOOKUP($H305,'TRA TECH'!$J:$J,'TRA TECH'!AD:AD)="","",_xlfn.XLOOKUP($H305,'TRA TECH'!$J:$J,'TRA TECH'!AD:AD)))</f>
        <v>146720.0337907295</v>
      </c>
      <c r="AB305">
        <f t="shared" si="23"/>
        <v>146720.0337907295</v>
      </c>
      <c r="AC305" s="15">
        <f>IF(H305="*","*",IF(_xlfn.XLOOKUP($H305,'TRA TECH'!$J:$J,'TRA TECH'!AE:AE)="","",_xlfn.XLOOKUP($H305,'TRA TECH'!$J:$J,'TRA TECH'!AE:AE)))</f>
        <v>1344.2183809101291</v>
      </c>
      <c r="AD305" s="15">
        <f>IF(H305="*","*",IF(_xlfn.XLOOKUP($H305,'TRA TECH'!$J:$J,'TRA TECH'!AF:AF)="","",_xlfn.XLOOKUP($H305,'TRA TECH'!$J:$J,'TRA TECH'!AF:AF)))</f>
        <v>1344.2183809101291</v>
      </c>
      <c r="AE305" s="15">
        <f>IF(H305="*","*",IF(_xlfn.XLOOKUP($H305,'TRA TECH'!$J:$J,'TRA TECH'!AG:AG)="","",_xlfn.XLOOKUP($H305,'TRA TECH'!$J:$J,'TRA TECH'!AG:AG)))</f>
        <v>1344.2183809101291</v>
      </c>
      <c r="AF305" s="15">
        <f>IF(H305="*","*",IF(_xlfn.XLOOKUP($H305,'TRA TECH'!$J:$J,'TRA TECH'!AH:AH)="","",_xlfn.XLOOKUP($H305,'TRA TECH'!$J:$J,'TRA TECH'!AH:AH)))</f>
        <v>1344.2183809101291</v>
      </c>
      <c r="AG305" s="15">
        <f>IF(H305="*","*",IF(_xlfn.XLOOKUP($H305,'TRA TECH'!$J:$J,'TRA TECH'!AI:AI)="","",_xlfn.XLOOKUP($H305,'TRA TECH'!$J:$J,'TRA TECH'!AI:AI)))</f>
        <v>1344.2183809101291</v>
      </c>
      <c r="AH305" s="15">
        <f>IF(H305="*","*",IF(_xlfn.XLOOKUP($H305,'TRA TECH'!$J:$J,'TRA TECH'!AJ:AJ)="","",_xlfn.XLOOKUP($H305,'TRA TECH'!$J:$J,'TRA TECH'!AJ:AJ)))</f>
        <v>1344.2183809101291</v>
      </c>
      <c r="AI305" s="15">
        <f>IF(H305="*","*",IF(_xlfn.XLOOKUP($H305,'TRA TECH'!$J:$J,'TRA TECH'!AK:AK)="","",_xlfn.XLOOKUP($H305,'TRA TECH'!$J:$J,'TRA TECH'!AK:AK)))</f>
        <v>1344.2183809101291</v>
      </c>
      <c r="AJ305" s="15">
        <f t="shared" si="24"/>
        <v>1344.2183809101291</v>
      </c>
      <c r="AK305" s="16">
        <f t="shared" si="25"/>
        <v>0.1</v>
      </c>
    </row>
    <row r="306" spans="2:37" x14ac:dyDescent="0.25">
      <c r="B306" t="str">
        <f>IF('TRA TECH'!M302=0,"*",IF('TRA TECH'!H302="","*",'TRA TECH'!J302))</f>
        <v>TRAOTHAIRTURREA20</v>
      </c>
      <c r="C306" t="str">
        <f>IF('TRA TECH'!M302=0,"*",'TRA TECH'!H302)</f>
        <v>TRASAF</v>
      </c>
      <c r="D306" t="s">
        <v>424</v>
      </c>
      <c r="E306" s="9">
        <f>'TRA TECH'!P302</f>
        <v>1</v>
      </c>
      <c r="H306" t="str">
        <f>IF('TRA TECH'!M302=1,IF('TRA TECH'!L302=1,'TRA TECH'!J302,"*"),"*")</f>
        <v>*</v>
      </c>
      <c r="I306" t="str">
        <f>IF(H306="*","*",_xlfn.XLOOKUP(H306,'TRA TECH'!J:J,'TRA TECH'!I:I))</f>
        <v>*</v>
      </c>
      <c r="J306" t="str">
        <f>IF(H306="*","*",_xlfn.XLOOKUP(H306,'TRA TECH'!J:J,'TRA TECH'!N:N))</f>
        <v>*</v>
      </c>
      <c r="K306" s="15" t="str">
        <f>IF(H306="*","*",IF(_xlfn.XLOOKUP(H306,'TRA TECH'!J:J,'TRA TECH'!O:O)="","",_xlfn.XLOOKUP(H306,'TRA TECH'!J:J,'TRA TECH'!O:O)))</f>
        <v>*</v>
      </c>
      <c r="L306" t="str">
        <f t="shared" si="21"/>
        <v>*</v>
      </c>
      <c r="M306" t="str">
        <f>IF(H306="*","*",IF(_xlfn.XLOOKUP($H306,'TRA TECH'!$J:$J,'TRA TECH'!Q:Q)="","",_xlfn.XLOOKUP($H306,'TRA TECH'!$J:$J,'TRA TECH'!Q:Q)))</f>
        <v>*</v>
      </c>
      <c r="N306" t="str">
        <f>IF(H306="*","*",IF(_xlfn.XLOOKUP($H306,'TRA TECH'!$J:$J,'TRA TECH'!R:R)="","",_xlfn.XLOOKUP($H306,'TRA TECH'!$J:$J,'TRA TECH'!R:R)))</f>
        <v>*</v>
      </c>
      <c r="O306" t="str">
        <f>IF(H306="*","*",IF(_xlfn.XLOOKUP($H306,'TRA TECH'!$J:$J,'TRA TECH'!S:S)="","",_xlfn.XLOOKUP($H306,'TRA TECH'!$J:$J,'TRA TECH'!S:S)))</f>
        <v>*</v>
      </c>
      <c r="P306" t="str">
        <f>IF(H306="*","*",IF(_xlfn.XLOOKUP($H306,'TRA TECH'!$J:$J,'TRA TECH'!T:T)="","",_xlfn.XLOOKUP($H306,'TRA TECH'!$J:$J,'TRA TECH'!T:T)))</f>
        <v>*</v>
      </c>
      <c r="Q306" t="str">
        <f>IF(H306="*","*",IF(_xlfn.XLOOKUP($H306,'TRA TECH'!$J:$J,'TRA TECH'!U:U)="","",_xlfn.XLOOKUP($H306,'TRA TECH'!$J:$J,'TRA TECH'!U:U)))</f>
        <v>*</v>
      </c>
      <c r="R306" t="str">
        <f>IF(H306="*","*",IF(_xlfn.XLOOKUP($H306,'TRA TECH'!$J:$J,'TRA TECH'!V:V)="","",_xlfn.XLOOKUP($H306,'TRA TECH'!$J:$J,'TRA TECH'!V:V)))</f>
        <v>*</v>
      </c>
      <c r="S306" t="str">
        <f>IF(H306="*","*",IF(_xlfn.XLOOKUP($H306,'TRA TECH'!$J:$J,'TRA TECH'!W:W)="","",_xlfn.XLOOKUP($H306,'TRA TECH'!$J:$J,'TRA TECH'!W:W)))</f>
        <v>*</v>
      </c>
      <c r="T306" t="str">
        <f t="shared" si="22"/>
        <v>*</v>
      </c>
      <c r="U306" t="str">
        <f>IF(H306="*","*",IF(_xlfn.XLOOKUP($H306,'TRA TECH'!$J:$J,'TRA TECH'!X:X)="","",_xlfn.XLOOKUP($H306,'TRA TECH'!$J:$J,'TRA TECH'!X:X)))</f>
        <v>*</v>
      </c>
      <c r="V306" t="str">
        <f>IF(H306="*","*",IF(_xlfn.XLOOKUP($H306,'TRA TECH'!$J:$J,'TRA TECH'!Y:Y)="","",_xlfn.XLOOKUP($H306,'TRA TECH'!$J:$J,'TRA TECH'!Y:Y)))</f>
        <v>*</v>
      </c>
      <c r="W306" t="str">
        <f>IF(H306="*","*",IF(_xlfn.XLOOKUP($H306,'TRA TECH'!$J:$J,'TRA TECH'!Z:Z)="","",_xlfn.XLOOKUP($H306,'TRA TECH'!$J:$J,'TRA TECH'!Z:Z)))</f>
        <v>*</v>
      </c>
      <c r="X306" t="str">
        <f>IF(H306="*","*",IF(_xlfn.XLOOKUP($H306,'TRA TECH'!$J:$J,'TRA TECH'!AA:AA)="","",_xlfn.XLOOKUP($H306,'TRA TECH'!$J:$J,'TRA TECH'!AA:AA)))</f>
        <v>*</v>
      </c>
      <c r="Y306" t="str">
        <f>IF(H306="*","*",IF(_xlfn.XLOOKUP($H306,'TRA TECH'!$J:$J,'TRA TECH'!AB:AB)="","",_xlfn.XLOOKUP($H306,'TRA TECH'!$J:$J,'TRA TECH'!AB:AB)))</f>
        <v>*</v>
      </c>
      <c r="Z306" t="str">
        <f>IF(H306="*","*",IF(_xlfn.XLOOKUP($H306,'TRA TECH'!$J:$J,'TRA TECH'!AC:AC)="","",_xlfn.XLOOKUP($H306,'TRA TECH'!$J:$J,'TRA TECH'!AC:AC)))</f>
        <v>*</v>
      </c>
      <c r="AA306" t="str">
        <f>IF(H306="*","*",IF(_xlfn.XLOOKUP($H306,'TRA TECH'!$J:$J,'TRA TECH'!AD:AD)="","",_xlfn.XLOOKUP($H306,'TRA TECH'!$J:$J,'TRA TECH'!AD:AD)))</f>
        <v>*</v>
      </c>
      <c r="AB306" t="str">
        <f t="shared" si="23"/>
        <v>*</v>
      </c>
      <c r="AC306" s="15" t="str">
        <f>IF(H306="*","*",IF(_xlfn.XLOOKUP($H306,'TRA TECH'!$J:$J,'TRA TECH'!AE:AE)="","",_xlfn.XLOOKUP($H306,'TRA TECH'!$J:$J,'TRA TECH'!AE:AE)))</f>
        <v>*</v>
      </c>
      <c r="AD306" s="15" t="str">
        <f>IF(H306="*","*",IF(_xlfn.XLOOKUP($H306,'TRA TECH'!$J:$J,'TRA TECH'!AF:AF)="","",_xlfn.XLOOKUP($H306,'TRA TECH'!$J:$J,'TRA TECH'!AF:AF)))</f>
        <v>*</v>
      </c>
      <c r="AE306" s="15" t="str">
        <f>IF(H306="*","*",IF(_xlfn.XLOOKUP($H306,'TRA TECH'!$J:$J,'TRA TECH'!AG:AG)="","",_xlfn.XLOOKUP($H306,'TRA TECH'!$J:$J,'TRA TECH'!AG:AG)))</f>
        <v>*</v>
      </c>
      <c r="AF306" s="15" t="str">
        <f>IF(H306="*","*",IF(_xlfn.XLOOKUP($H306,'TRA TECH'!$J:$J,'TRA TECH'!AH:AH)="","",_xlfn.XLOOKUP($H306,'TRA TECH'!$J:$J,'TRA TECH'!AH:AH)))</f>
        <v>*</v>
      </c>
      <c r="AG306" s="15" t="str">
        <f>IF(H306="*","*",IF(_xlfn.XLOOKUP($H306,'TRA TECH'!$J:$J,'TRA TECH'!AI:AI)="","",_xlfn.XLOOKUP($H306,'TRA TECH'!$J:$J,'TRA TECH'!AI:AI)))</f>
        <v>*</v>
      </c>
      <c r="AH306" s="15" t="str">
        <f>IF(H306="*","*",IF(_xlfn.XLOOKUP($H306,'TRA TECH'!$J:$J,'TRA TECH'!AJ:AJ)="","",_xlfn.XLOOKUP($H306,'TRA TECH'!$J:$J,'TRA TECH'!AJ:AJ)))</f>
        <v>*</v>
      </c>
      <c r="AI306" s="15" t="str">
        <f>IF(H306="*","*",IF(_xlfn.XLOOKUP($H306,'TRA TECH'!$J:$J,'TRA TECH'!AK:AK)="","",_xlfn.XLOOKUP($H306,'TRA TECH'!$J:$J,'TRA TECH'!AK:AK)))</f>
        <v>*</v>
      </c>
      <c r="AJ306" s="15" t="str">
        <f t="shared" si="24"/>
        <v>*</v>
      </c>
      <c r="AK306" s="16" t="str">
        <f t="shared" si="25"/>
        <v>*</v>
      </c>
    </row>
    <row r="307" spans="2:37" x14ac:dyDescent="0.25">
      <c r="B307" t="str">
        <f>IF('TRA TECH'!M303=0,"*",IF('TRA TECH'!H303="","*",'TRA TECH'!J303))</f>
        <v>TRAOTHAIRTURWTD20</v>
      </c>
      <c r="C307" t="str">
        <f>IF('TRA TECH'!M303=0,"*",'TRA TECH'!H303)</f>
        <v>TRAATF</v>
      </c>
      <c r="D307" t="s">
        <v>424</v>
      </c>
      <c r="E307" s="9">
        <f>'TRA TECH'!P303</f>
        <v>1</v>
      </c>
      <c r="H307" t="str">
        <f>IF('TRA TECH'!M303=1,IF('TRA TECH'!L303=1,'TRA TECH'!J303,"*"),"*")</f>
        <v>TRAOTHAIRTURWTD20</v>
      </c>
      <c r="I307" t="str">
        <f>IF(H307="*","*",_xlfn.XLOOKUP(H307,'TRA TECH'!J:J,'TRA TECH'!I:I))</f>
        <v>TRAOTHAIRDMD</v>
      </c>
      <c r="J307">
        <f>IF(H307="*","*",_xlfn.XLOOKUP(H307,'TRA TECH'!J:J,'TRA TECH'!N:N))</f>
        <v>2020</v>
      </c>
      <c r="K307" s="15">
        <f>IF(H307="*","*",IF(_xlfn.XLOOKUP(H307,'TRA TECH'!J:J,'TRA TECH'!O:O)="","",_xlfn.XLOOKUP(H307,'TRA TECH'!J:J,'TRA TECH'!O:O)))</f>
        <v>25</v>
      </c>
      <c r="L307">
        <f t="shared" si="21"/>
        <v>1</v>
      </c>
      <c r="M307">
        <f>IF(H307="*","*",IF(_xlfn.XLOOKUP($H307,'TRA TECH'!$J:$J,'TRA TECH'!Q:Q)="","",_xlfn.XLOOKUP($H307,'TRA TECH'!$J:$J,'TRA TECH'!Q:Q)))</f>
        <v>4.6110156108834276E-3</v>
      </c>
      <c r="N307">
        <f>IF(H307="*","*",IF(_xlfn.XLOOKUP($H307,'TRA TECH'!$J:$J,'TRA TECH'!R:R)="","",_xlfn.XLOOKUP($H307,'TRA TECH'!$J:$J,'TRA TECH'!R:R)))</f>
        <v>4.6110156108834276E-3</v>
      </c>
      <c r="O307">
        <f>IF(H307="*","*",IF(_xlfn.XLOOKUP($H307,'TRA TECH'!$J:$J,'TRA TECH'!S:S)="","",_xlfn.XLOOKUP($H307,'TRA TECH'!$J:$J,'TRA TECH'!S:S)))</f>
        <v>4.6110156108834276E-3</v>
      </c>
      <c r="P307">
        <f>IF(H307="*","*",IF(_xlfn.XLOOKUP($H307,'TRA TECH'!$J:$J,'TRA TECH'!T:T)="","",_xlfn.XLOOKUP($H307,'TRA TECH'!$J:$J,'TRA TECH'!T:T)))</f>
        <v>4.6110156108834276E-3</v>
      </c>
      <c r="Q307">
        <f>IF(H307="*","*",IF(_xlfn.XLOOKUP($H307,'TRA TECH'!$J:$J,'TRA TECH'!U:U)="","",_xlfn.XLOOKUP($H307,'TRA TECH'!$J:$J,'TRA TECH'!U:U)))</f>
        <v>4.6110156108834276E-3</v>
      </c>
      <c r="R307">
        <f>IF(H307="*","*",IF(_xlfn.XLOOKUP($H307,'TRA TECH'!$J:$J,'TRA TECH'!V:V)="","",_xlfn.XLOOKUP($H307,'TRA TECH'!$J:$J,'TRA TECH'!V:V)))</f>
        <v>4.6110156108834276E-3</v>
      </c>
      <c r="S307">
        <f>IF(H307="*","*",IF(_xlfn.XLOOKUP($H307,'TRA TECH'!$J:$J,'TRA TECH'!W:W)="","",_xlfn.XLOOKUP($H307,'TRA TECH'!$J:$J,'TRA TECH'!W:W)))</f>
        <v>4.6110156108834276E-3</v>
      </c>
      <c r="T307">
        <f t="shared" si="22"/>
        <v>4.6110156108834276E-3</v>
      </c>
      <c r="U307">
        <f>IF(H307="*","*",IF(_xlfn.XLOOKUP($H307,'TRA TECH'!$J:$J,'TRA TECH'!X:X)="","",_xlfn.XLOOKUP($H307,'TRA TECH'!$J:$J,'TRA TECH'!X:X)))</f>
        <v>147828.19114564441</v>
      </c>
      <c r="V307">
        <f>IF(H307="*","*",IF(_xlfn.XLOOKUP($H307,'TRA TECH'!$J:$J,'TRA TECH'!Y:Y)="","",_xlfn.XLOOKUP($H307,'TRA TECH'!$J:$J,'TRA TECH'!Y:Y)))</f>
        <v>147828.19114564441</v>
      </c>
      <c r="W307">
        <f>IF(H307="*","*",IF(_xlfn.XLOOKUP($H307,'TRA TECH'!$J:$J,'TRA TECH'!Z:Z)="","",_xlfn.XLOOKUP($H307,'TRA TECH'!$J:$J,'TRA TECH'!Z:Z)))</f>
        <v>147828.19114564441</v>
      </c>
      <c r="X307">
        <f>IF(H307="*","*",IF(_xlfn.XLOOKUP($H307,'TRA TECH'!$J:$J,'TRA TECH'!AA:AA)="","",_xlfn.XLOOKUP($H307,'TRA TECH'!$J:$J,'TRA TECH'!AA:AA)))</f>
        <v>147828.19114564441</v>
      </c>
      <c r="Y307">
        <f>IF(H307="*","*",IF(_xlfn.XLOOKUP($H307,'TRA TECH'!$J:$J,'TRA TECH'!AB:AB)="","",_xlfn.XLOOKUP($H307,'TRA TECH'!$J:$J,'TRA TECH'!AB:AB)))</f>
        <v>147828.19114564441</v>
      </c>
      <c r="Z307">
        <f>IF(H307="*","*",IF(_xlfn.XLOOKUP($H307,'TRA TECH'!$J:$J,'TRA TECH'!AC:AC)="","",_xlfn.XLOOKUP($H307,'TRA TECH'!$J:$J,'TRA TECH'!AC:AC)))</f>
        <v>147828.19114564441</v>
      </c>
      <c r="AA307">
        <f>IF(H307="*","*",IF(_xlfn.XLOOKUP($H307,'TRA TECH'!$J:$J,'TRA TECH'!AD:AD)="","",_xlfn.XLOOKUP($H307,'TRA TECH'!$J:$J,'TRA TECH'!AD:AD)))</f>
        <v>147828.19114564441</v>
      </c>
      <c r="AB307">
        <f t="shared" si="23"/>
        <v>147828.19114564441</v>
      </c>
      <c r="AC307" s="15">
        <f>IF(H307="*","*",IF(_xlfn.XLOOKUP($H307,'TRA TECH'!$J:$J,'TRA TECH'!AE:AE)="","",_xlfn.XLOOKUP($H307,'TRA TECH'!$J:$J,'TRA TECH'!AE:AE)))</f>
        <v>1344.2183809101291</v>
      </c>
      <c r="AD307" s="15">
        <f>IF(H307="*","*",IF(_xlfn.XLOOKUP($H307,'TRA TECH'!$J:$J,'TRA TECH'!AF:AF)="","",_xlfn.XLOOKUP($H307,'TRA TECH'!$J:$J,'TRA TECH'!AF:AF)))</f>
        <v>1344.2183809101291</v>
      </c>
      <c r="AE307" s="15">
        <f>IF(H307="*","*",IF(_xlfn.XLOOKUP($H307,'TRA TECH'!$J:$J,'TRA TECH'!AG:AG)="","",_xlfn.XLOOKUP($H307,'TRA TECH'!$J:$J,'TRA TECH'!AG:AG)))</f>
        <v>1344.2183809101291</v>
      </c>
      <c r="AF307" s="15">
        <f>IF(H307="*","*",IF(_xlfn.XLOOKUP($H307,'TRA TECH'!$J:$J,'TRA TECH'!AH:AH)="","",_xlfn.XLOOKUP($H307,'TRA TECH'!$J:$J,'TRA TECH'!AH:AH)))</f>
        <v>1344.2183809101291</v>
      </c>
      <c r="AG307" s="15">
        <f>IF(H307="*","*",IF(_xlfn.XLOOKUP($H307,'TRA TECH'!$J:$J,'TRA TECH'!AI:AI)="","",_xlfn.XLOOKUP($H307,'TRA TECH'!$J:$J,'TRA TECH'!AI:AI)))</f>
        <v>1344.2183809101291</v>
      </c>
      <c r="AH307" s="15">
        <f>IF(H307="*","*",IF(_xlfn.XLOOKUP($H307,'TRA TECH'!$J:$J,'TRA TECH'!AJ:AJ)="","",_xlfn.XLOOKUP($H307,'TRA TECH'!$J:$J,'TRA TECH'!AJ:AJ)))</f>
        <v>1344.2183809101291</v>
      </c>
      <c r="AI307" s="15">
        <f>IF(H307="*","*",IF(_xlfn.XLOOKUP($H307,'TRA TECH'!$J:$J,'TRA TECH'!AK:AK)="","",_xlfn.XLOOKUP($H307,'TRA TECH'!$J:$J,'TRA TECH'!AK:AK)))</f>
        <v>1344.2183809101291</v>
      </c>
      <c r="AJ307" s="15">
        <f t="shared" si="24"/>
        <v>1344.2183809101291</v>
      </c>
      <c r="AK307" s="16">
        <f t="shared" si="25"/>
        <v>0.1</v>
      </c>
    </row>
    <row r="308" spans="2:37" x14ac:dyDescent="0.25">
      <c r="B308" t="str">
        <f>IF('TRA TECH'!M304=0,"*",IF('TRA TECH'!H304="","*",'TRA TECH'!J304))</f>
        <v>TRAOTHAIRTURWTD20</v>
      </c>
      <c r="C308" t="str">
        <f>IF('TRA TECH'!M304=0,"*",'TRA TECH'!H304)</f>
        <v>TRASAF</v>
      </c>
      <c r="D308" t="s">
        <v>424</v>
      </c>
      <c r="E308" s="9">
        <f>'TRA TECH'!P304</f>
        <v>1</v>
      </c>
      <c r="H308" t="str">
        <f>IF('TRA TECH'!M304=1,IF('TRA TECH'!L304=1,'TRA TECH'!J304,"*"),"*")</f>
        <v>*</v>
      </c>
      <c r="I308" t="str">
        <f>IF(H308="*","*",_xlfn.XLOOKUP(H308,'TRA TECH'!J:J,'TRA TECH'!I:I))</f>
        <v>*</v>
      </c>
      <c r="J308" t="str">
        <f>IF(H308="*","*",_xlfn.XLOOKUP(H308,'TRA TECH'!J:J,'TRA TECH'!N:N))</f>
        <v>*</v>
      </c>
      <c r="K308" s="15" t="str">
        <f>IF(H308="*","*",IF(_xlfn.XLOOKUP(H308,'TRA TECH'!J:J,'TRA TECH'!O:O)="","",_xlfn.XLOOKUP(H308,'TRA TECH'!J:J,'TRA TECH'!O:O)))</f>
        <v>*</v>
      </c>
      <c r="L308" t="str">
        <f t="shared" si="21"/>
        <v>*</v>
      </c>
      <c r="M308" t="str">
        <f>IF(H308="*","*",IF(_xlfn.XLOOKUP($H308,'TRA TECH'!$J:$J,'TRA TECH'!Q:Q)="","",_xlfn.XLOOKUP($H308,'TRA TECH'!$J:$J,'TRA TECH'!Q:Q)))</f>
        <v>*</v>
      </c>
      <c r="N308" t="str">
        <f>IF(H308="*","*",IF(_xlfn.XLOOKUP($H308,'TRA TECH'!$J:$J,'TRA TECH'!R:R)="","",_xlfn.XLOOKUP($H308,'TRA TECH'!$J:$J,'TRA TECH'!R:R)))</f>
        <v>*</v>
      </c>
      <c r="O308" t="str">
        <f>IF(H308="*","*",IF(_xlfn.XLOOKUP($H308,'TRA TECH'!$J:$J,'TRA TECH'!S:S)="","",_xlfn.XLOOKUP($H308,'TRA TECH'!$J:$J,'TRA TECH'!S:S)))</f>
        <v>*</v>
      </c>
      <c r="P308" t="str">
        <f>IF(H308="*","*",IF(_xlfn.XLOOKUP($H308,'TRA TECH'!$J:$J,'TRA TECH'!T:T)="","",_xlfn.XLOOKUP($H308,'TRA TECH'!$J:$J,'TRA TECH'!T:T)))</f>
        <v>*</v>
      </c>
      <c r="Q308" t="str">
        <f>IF(H308="*","*",IF(_xlfn.XLOOKUP($H308,'TRA TECH'!$J:$J,'TRA TECH'!U:U)="","",_xlfn.XLOOKUP($H308,'TRA TECH'!$J:$J,'TRA TECH'!U:U)))</f>
        <v>*</v>
      </c>
      <c r="R308" t="str">
        <f>IF(H308="*","*",IF(_xlfn.XLOOKUP($H308,'TRA TECH'!$J:$J,'TRA TECH'!V:V)="","",_xlfn.XLOOKUP($H308,'TRA TECH'!$J:$J,'TRA TECH'!V:V)))</f>
        <v>*</v>
      </c>
      <c r="S308" t="str">
        <f>IF(H308="*","*",IF(_xlfn.XLOOKUP($H308,'TRA TECH'!$J:$J,'TRA TECH'!W:W)="","",_xlfn.XLOOKUP($H308,'TRA TECH'!$J:$J,'TRA TECH'!W:W)))</f>
        <v>*</v>
      </c>
      <c r="T308" t="str">
        <f t="shared" si="22"/>
        <v>*</v>
      </c>
      <c r="U308" t="str">
        <f>IF(H308="*","*",IF(_xlfn.XLOOKUP($H308,'TRA TECH'!$J:$J,'TRA TECH'!X:X)="","",_xlfn.XLOOKUP($H308,'TRA TECH'!$J:$J,'TRA TECH'!X:X)))</f>
        <v>*</v>
      </c>
      <c r="V308" t="str">
        <f>IF(H308="*","*",IF(_xlfn.XLOOKUP($H308,'TRA TECH'!$J:$J,'TRA TECH'!Y:Y)="","",_xlfn.XLOOKUP($H308,'TRA TECH'!$J:$J,'TRA TECH'!Y:Y)))</f>
        <v>*</v>
      </c>
      <c r="W308" t="str">
        <f>IF(H308="*","*",IF(_xlfn.XLOOKUP($H308,'TRA TECH'!$J:$J,'TRA TECH'!Z:Z)="","",_xlfn.XLOOKUP($H308,'TRA TECH'!$J:$J,'TRA TECH'!Z:Z)))</f>
        <v>*</v>
      </c>
      <c r="X308" t="str">
        <f>IF(H308="*","*",IF(_xlfn.XLOOKUP($H308,'TRA TECH'!$J:$J,'TRA TECH'!AA:AA)="","",_xlfn.XLOOKUP($H308,'TRA TECH'!$J:$J,'TRA TECH'!AA:AA)))</f>
        <v>*</v>
      </c>
      <c r="Y308" t="str">
        <f>IF(H308="*","*",IF(_xlfn.XLOOKUP($H308,'TRA TECH'!$J:$J,'TRA TECH'!AB:AB)="","",_xlfn.XLOOKUP($H308,'TRA TECH'!$J:$J,'TRA TECH'!AB:AB)))</f>
        <v>*</v>
      </c>
      <c r="Z308" t="str">
        <f>IF(H308="*","*",IF(_xlfn.XLOOKUP($H308,'TRA TECH'!$J:$J,'TRA TECH'!AC:AC)="","",_xlfn.XLOOKUP($H308,'TRA TECH'!$J:$J,'TRA TECH'!AC:AC)))</f>
        <v>*</v>
      </c>
      <c r="AA308" t="str">
        <f>IF(H308="*","*",IF(_xlfn.XLOOKUP($H308,'TRA TECH'!$J:$J,'TRA TECH'!AD:AD)="","",_xlfn.XLOOKUP($H308,'TRA TECH'!$J:$J,'TRA TECH'!AD:AD)))</f>
        <v>*</v>
      </c>
      <c r="AB308" t="str">
        <f t="shared" si="23"/>
        <v>*</v>
      </c>
      <c r="AC308" s="15" t="str">
        <f>IF(H308="*","*",IF(_xlfn.XLOOKUP($H308,'TRA TECH'!$J:$J,'TRA TECH'!AE:AE)="","",_xlfn.XLOOKUP($H308,'TRA TECH'!$J:$J,'TRA TECH'!AE:AE)))</f>
        <v>*</v>
      </c>
      <c r="AD308" s="15" t="str">
        <f>IF(H308="*","*",IF(_xlfn.XLOOKUP($H308,'TRA TECH'!$J:$J,'TRA TECH'!AF:AF)="","",_xlfn.XLOOKUP($H308,'TRA TECH'!$J:$J,'TRA TECH'!AF:AF)))</f>
        <v>*</v>
      </c>
      <c r="AE308" s="15" t="str">
        <f>IF(H308="*","*",IF(_xlfn.XLOOKUP($H308,'TRA TECH'!$J:$J,'TRA TECH'!AG:AG)="","",_xlfn.XLOOKUP($H308,'TRA TECH'!$J:$J,'TRA TECH'!AG:AG)))</f>
        <v>*</v>
      </c>
      <c r="AF308" s="15" t="str">
        <f>IF(H308="*","*",IF(_xlfn.XLOOKUP($H308,'TRA TECH'!$J:$J,'TRA TECH'!AH:AH)="","",_xlfn.XLOOKUP($H308,'TRA TECH'!$J:$J,'TRA TECH'!AH:AH)))</f>
        <v>*</v>
      </c>
      <c r="AG308" s="15" t="str">
        <f>IF(H308="*","*",IF(_xlfn.XLOOKUP($H308,'TRA TECH'!$J:$J,'TRA TECH'!AI:AI)="","",_xlfn.XLOOKUP($H308,'TRA TECH'!$J:$J,'TRA TECH'!AI:AI)))</f>
        <v>*</v>
      </c>
      <c r="AH308" s="15" t="str">
        <f>IF(H308="*","*",IF(_xlfn.XLOOKUP($H308,'TRA TECH'!$J:$J,'TRA TECH'!AJ:AJ)="","",_xlfn.XLOOKUP($H308,'TRA TECH'!$J:$J,'TRA TECH'!AJ:AJ)))</f>
        <v>*</v>
      </c>
      <c r="AI308" s="15" t="str">
        <f>IF(H308="*","*",IF(_xlfn.XLOOKUP($H308,'TRA TECH'!$J:$J,'TRA TECH'!AK:AK)="","",_xlfn.XLOOKUP($H308,'TRA TECH'!$J:$J,'TRA TECH'!AK:AK)))</f>
        <v>*</v>
      </c>
      <c r="AJ308" s="15" t="str">
        <f t="shared" si="24"/>
        <v>*</v>
      </c>
      <c r="AK308" s="16" t="str">
        <f t="shared" si="25"/>
        <v>*</v>
      </c>
    </row>
    <row r="309" spans="2:37" x14ac:dyDescent="0.25">
      <c r="B309" t="str">
        <f>IF('TRA TECH'!M305=0,"*",IF('TRA TECH'!H305="","*",'TRA TECH'!J305))</f>
        <v>TRAOTHAIRTURHH220</v>
      </c>
      <c r="C309" t="str">
        <f>IF('TRA TECH'!M305=0,"*",'TRA TECH'!H305)</f>
        <v>TRAH2G</v>
      </c>
      <c r="D309" t="s">
        <v>424</v>
      </c>
      <c r="E309" s="9">
        <f>'TRA TECH'!P305</f>
        <v>1</v>
      </c>
      <c r="H309" t="str">
        <f>IF('TRA TECH'!M305=1,IF('TRA TECH'!L305=1,'TRA TECH'!J305,"*"),"*")</f>
        <v>TRAOTHAIRTURHH220</v>
      </c>
      <c r="I309" t="str">
        <f>IF(H309="*","*",_xlfn.XLOOKUP(H309,'TRA TECH'!J:J,'TRA TECH'!I:I))</f>
        <v>TRAOTHAIRDMD</v>
      </c>
      <c r="J309">
        <f>IF(H309="*","*",_xlfn.XLOOKUP(H309,'TRA TECH'!J:J,'TRA TECH'!N:N))</f>
        <v>2020</v>
      </c>
      <c r="K309" s="15">
        <f>IF(H309="*","*",IF(_xlfn.XLOOKUP(H309,'TRA TECH'!J:J,'TRA TECH'!O:O)="","",_xlfn.XLOOKUP(H309,'TRA TECH'!J:J,'TRA TECH'!O:O)))</f>
        <v>25</v>
      </c>
      <c r="L309">
        <f t="shared" si="21"/>
        <v>1</v>
      </c>
      <c r="M309">
        <f>IF(H309="*","*",IF(_xlfn.XLOOKUP($H309,'TRA TECH'!$J:$J,'TRA TECH'!Q:Q)="","",_xlfn.XLOOKUP($H309,'TRA TECH'!$J:$J,'TRA TECH'!Q:Q)))</f>
        <v>4.3171763807781111E-3</v>
      </c>
      <c r="N309">
        <f>IF(H309="*","*",IF(_xlfn.XLOOKUP($H309,'TRA TECH'!$J:$J,'TRA TECH'!R:R)="","",_xlfn.XLOOKUP($H309,'TRA TECH'!$J:$J,'TRA TECH'!R:R)))</f>
        <v>4.3171763807781111E-3</v>
      </c>
      <c r="O309">
        <f>IF(H309="*","*",IF(_xlfn.XLOOKUP($H309,'TRA TECH'!$J:$J,'TRA TECH'!S:S)="","",_xlfn.XLOOKUP($H309,'TRA TECH'!$J:$J,'TRA TECH'!S:S)))</f>
        <v>4.3171763807781111E-3</v>
      </c>
      <c r="P309">
        <f>IF(H309="*","*",IF(_xlfn.XLOOKUP($H309,'TRA TECH'!$J:$J,'TRA TECH'!T:T)="","",_xlfn.XLOOKUP($H309,'TRA TECH'!$J:$J,'TRA TECH'!T:T)))</f>
        <v>4.3171763807781111E-3</v>
      </c>
      <c r="Q309">
        <f>IF(H309="*","*",IF(_xlfn.XLOOKUP($H309,'TRA TECH'!$J:$J,'TRA TECH'!U:U)="","",_xlfn.XLOOKUP($H309,'TRA TECH'!$J:$J,'TRA TECH'!U:U)))</f>
        <v>4.3171763807781111E-3</v>
      </c>
      <c r="R309">
        <f>IF(H309="*","*",IF(_xlfn.XLOOKUP($H309,'TRA TECH'!$J:$J,'TRA TECH'!V:V)="","",_xlfn.XLOOKUP($H309,'TRA TECH'!$J:$J,'TRA TECH'!V:V)))</f>
        <v>4.3171763807781111E-3</v>
      </c>
      <c r="S309">
        <f>IF(H309="*","*",IF(_xlfn.XLOOKUP($H309,'TRA TECH'!$J:$J,'TRA TECH'!W:W)="","",_xlfn.XLOOKUP($H309,'TRA TECH'!$J:$J,'TRA TECH'!W:W)))</f>
        <v>4.3171763807781111E-3</v>
      </c>
      <c r="T309">
        <f t="shared" si="22"/>
        <v>4.3171763807781111E-3</v>
      </c>
      <c r="U309">
        <f>IF(H309="*","*",IF(_xlfn.XLOOKUP($H309,'TRA TECH'!$J:$J,'TRA TECH'!X:X)="","",_xlfn.XLOOKUP($H309,'TRA TECH'!$J:$J,'TRA TECH'!X:X)))</f>
        <v>221853.1024539581</v>
      </c>
      <c r="V309">
        <f>IF(H309="*","*",IF(_xlfn.XLOOKUP($H309,'TRA TECH'!$J:$J,'TRA TECH'!Y:Y)="","",_xlfn.XLOOKUP($H309,'TRA TECH'!$J:$J,'TRA TECH'!Y:Y)))</f>
        <v>221853.1024539581</v>
      </c>
      <c r="W309">
        <f>IF(H309="*","*",IF(_xlfn.XLOOKUP($H309,'TRA TECH'!$J:$J,'TRA TECH'!Z:Z)="","",_xlfn.XLOOKUP($H309,'TRA TECH'!$J:$J,'TRA TECH'!Z:Z)))</f>
        <v>221853.1024539581</v>
      </c>
      <c r="X309">
        <f>IF(H309="*","*",IF(_xlfn.XLOOKUP($H309,'TRA TECH'!$J:$J,'TRA TECH'!AA:AA)="","",_xlfn.XLOOKUP($H309,'TRA TECH'!$J:$J,'TRA TECH'!AA:AA)))</f>
        <v>221853.1024539581</v>
      </c>
      <c r="Y309">
        <f>IF(H309="*","*",IF(_xlfn.XLOOKUP($H309,'TRA TECH'!$J:$J,'TRA TECH'!AB:AB)="","",_xlfn.XLOOKUP($H309,'TRA TECH'!$J:$J,'TRA TECH'!AB:AB)))</f>
        <v>221853.1024539581</v>
      </c>
      <c r="Z309">
        <f>IF(H309="*","*",IF(_xlfn.XLOOKUP($H309,'TRA TECH'!$J:$J,'TRA TECH'!AC:AC)="","",_xlfn.XLOOKUP($H309,'TRA TECH'!$J:$J,'TRA TECH'!AC:AC)))</f>
        <v>221853.1024539581</v>
      </c>
      <c r="AA309">
        <f>IF(H309="*","*",IF(_xlfn.XLOOKUP($H309,'TRA TECH'!$J:$J,'TRA TECH'!AD:AD)="","",_xlfn.XLOOKUP($H309,'TRA TECH'!$J:$J,'TRA TECH'!AD:AD)))</f>
        <v>221853.1024539581</v>
      </c>
      <c r="AB309">
        <f t="shared" si="23"/>
        <v>221853.1024539581</v>
      </c>
      <c r="AC309" s="15">
        <f>IF(H309="*","*",IF(_xlfn.XLOOKUP($H309,'TRA TECH'!$J:$J,'TRA TECH'!AE:AE)="","",_xlfn.XLOOKUP($H309,'TRA TECH'!$J:$J,'TRA TECH'!AE:AE)))</f>
        <v>1397.9871161465351</v>
      </c>
      <c r="AD309" s="15">
        <f>IF(H309="*","*",IF(_xlfn.XLOOKUP($H309,'TRA TECH'!$J:$J,'TRA TECH'!AF:AF)="","",_xlfn.XLOOKUP($H309,'TRA TECH'!$J:$J,'TRA TECH'!AF:AF)))</f>
        <v>1397.9871161465351</v>
      </c>
      <c r="AE309" s="15">
        <f>IF(H309="*","*",IF(_xlfn.XLOOKUP($H309,'TRA TECH'!$J:$J,'TRA TECH'!AG:AG)="","",_xlfn.XLOOKUP($H309,'TRA TECH'!$J:$J,'TRA TECH'!AG:AG)))</f>
        <v>1397.9871161465351</v>
      </c>
      <c r="AF309" s="15">
        <f>IF(H309="*","*",IF(_xlfn.XLOOKUP($H309,'TRA TECH'!$J:$J,'TRA TECH'!AH:AH)="","",_xlfn.XLOOKUP($H309,'TRA TECH'!$J:$J,'TRA TECH'!AH:AH)))</f>
        <v>1397.9871161465351</v>
      </c>
      <c r="AG309" s="15">
        <f>IF(H309="*","*",IF(_xlfn.XLOOKUP($H309,'TRA TECH'!$J:$J,'TRA TECH'!AI:AI)="","",_xlfn.XLOOKUP($H309,'TRA TECH'!$J:$J,'TRA TECH'!AI:AI)))</f>
        <v>1397.9871161465351</v>
      </c>
      <c r="AH309" s="15">
        <f>IF(H309="*","*",IF(_xlfn.XLOOKUP($H309,'TRA TECH'!$J:$J,'TRA TECH'!AJ:AJ)="","",_xlfn.XLOOKUP($H309,'TRA TECH'!$J:$J,'TRA TECH'!AJ:AJ)))</f>
        <v>1397.9871161465351</v>
      </c>
      <c r="AI309" s="15">
        <f>IF(H309="*","*",IF(_xlfn.XLOOKUP($H309,'TRA TECH'!$J:$J,'TRA TECH'!AK:AK)="","",_xlfn.XLOOKUP($H309,'TRA TECH'!$J:$J,'TRA TECH'!AK:AK)))</f>
        <v>1397.9871161465351</v>
      </c>
      <c r="AJ309" s="15">
        <f t="shared" si="24"/>
        <v>1397.9871161465351</v>
      </c>
      <c r="AK309" s="16">
        <f t="shared" si="25"/>
        <v>0.1</v>
      </c>
    </row>
    <row r="310" spans="2:37" x14ac:dyDescent="0.25">
      <c r="B310" t="str">
        <f>IF('TRA TECH'!M306=0,"*",IF('TRA TECH'!H306="","*",'TRA TECH'!J306))</f>
        <v>TRAOTHAIRTURFCE20</v>
      </c>
      <c r="C310" t="str">
        <f>IF('TRA TECH'!M306=0,"*",'TRA TECH'!H306)</f>
        <v>TRAATF</v>
      </c>
      <c r="D310" t="s">
        <v>424</v>
      </c>
      <c r="E310" s="9">
        <f>'TRA TECH'!P306</f>
        <v>1</v>
      </c>
      <c r="H310" t="str">
        <f>IF('TRA TECH'!M306=1,IF('TRA TECH'!L306=1,'TRA TECH'!J306,"*"),"*")</f>
        <v>TRAOTHAIRTURFCE20</v>
      </c>
      <c r="I310" t="str">
        <f>IF(H310="*","*",_xlfn.XLOOKUP(H310,'TRA TECH'!J:J,'TRA TECH'!I:I))</f>
        <v>TRAOTHAIRDMD</v>
      </c>
      <c r="J310">
        <f>IF(H310="*","*",_xlfn.XLOOKUP(H310,'TRA TECH'!J:J,'TRA TECH'!N:N))</f>
        <v>2020</v>
      </c>
      <c r="K310" s="15">
        <f>IF(H310="*","*",IF(_xlfn.XLOOKUP(H310,'TRA TECH'!J:J,'TRA TECH'!O:O)="","",_xlfn.XLOOKUP(H310,'TRA TECH'!J:J,'TRA TECH'!O:O)))</f>
        <v>25</v>
      </c>
      <c r="L310">
        <f t="shared" si="21"/>
        <v>1</v>
      </c>
      <c r="M310">
        <f>IF(H310="*","*",IF(_xlfn.XLOOKUP($H310,'TRA TECH'!$J:$J,'TRA TECH'!Q:Q)="","",_xlfn.XLOOKUP($H310,'TRA TECH'!$J:$J,'TRA TECH'!Q:Q)))</f>
        <v>4.4240919358955882E-3</v>
      </c>
      <c r="N310">
        <f>IF(H310="*","*",IF(_xlfn.XLOOKUP($H310,'TRA TECH'!$J:$J,'TRA TECH'!R:R)="","",_xlfn.XLOOKUP($H310,'TRA TECH'!$J:$J,'TRA TECH'!R:R)))</f>
        <v>4.4240919358955882E-3</v>
      </c>
      <c r="O310">
        <f>IF(H310="*","*",IF(_xlfn.XLOOKUP($H310,'TRA TECH'!$J:$J,'TRA TECH'!S:S)="","",_xlfn.XLOOKUP($H310,'TRA TECH'!$J:$J,'TRA TECH'!S:S)))</f>
        <v>4.4240919358955882E-3</v>
      </c>
      <c r="P310">
        <f>IF(H310="*","*",IF(_xlfn.XLOOKUP($H310,'TRA TECH'!$J:$J,'TRA TECH'!T:T)="","",_xlfn.XLOOKUP($H310,'TRA TECH'!$J:$J,'TRA TECH'!T:T)))</f>
        <v>4.4240919358955882E-3</v>
      </c>
      <c r="Q310">
        <f>IF(H310="*","*",IF(_xlfn.XLOOKUP($H310,'TRA TECH'!$J:$J,'TRA TECH'!U:U)="","",_xlfn.XLOOKUP($H310,'TRA TECH'!$J:$J,'TRA TECH'!U:U)))</f>
        <v>4.4240919358955882E-3</v>
      </c>
      <c r="R310">
        <f>IF(H310="*","*",IF(_xlfn.XLOOKUP($H310,'TRA TECH'!$J:$J,'TRA TECH'!V:V)="","",_xlfn.XLOOKUP($H310,'TRA TECH'!$J:$J,'TRA TECH'!V:V)))</f>
        <v>4.4240919358955882E-3</v>
      </c>
      <c r="S310">
        <f>IF(H310="*","*",IF(_xlfn.XLOOKUP($H310,'TRA TECH'!$J:$J,'TRA TECH'!W:W)="","",_xlfn.XLOOKUP($H310,'TRA TECH'!$J:$J,'TRA TECH'!W:W)))</f>
        <v>4.4240919358955882E-3</v>
      </c>
      <c r="T310">
        <f t="shared" si="22"/>
        <v>4.4240919358955882E-3</v>
      </c>
      <c r="U310">
        <f>IF(H310="*","*",IF(_xlfn.XLOOKUP($H310,'TRA TECH'!$J:$J,'TRA TECH'!X:X)="","",_xlfn.XLOOKUP($H310,'TRA TECH'!$J:$J,'TRA TECH'!X:X)))</f>
        <v>146887.46710107001</v>
      </c>
      <c r="V310">
        <f>IF(H310="*","*",IF(_xlfn.XLOOKUP($H310,'TRA TECH'!$J:$J,'TRA TECH'!Y:Y)="","",_xlfn.XLOOKUP($H310,'TRA TECH'!$J:$J,'TRA TECH'!Y:Y)))</f>
        <v>146887.46710107001</v>
      </c>
      <c r="W310">
        <f>IF(H310="*","*",IF(_xlfn.XLOOKUP($H310,'TRA TECH'!$J:$J,'TRA TECH'!Z:Z)="","",_xlfn.XLOOKUP($H310,'TRA TECH'!$J:$J,'TRA TECH'!Z:Z)))</f>
        <v>146887.46710107001</v>
      </c>
      <c r="X310">
        <f>IF(H310="*","*",IF(_xlfn.XLOOKUP($H310,'TRA TECH'!$J:$J,'TRA TECH'!AA:AA)="","",_xlfn.XLOOKUP($H310,'TRA TECH'!$J:$J,'TRA TECH'!AA:AA)))</f>
        <v>146887.46710107001</v>
      </c>
      <c r="Y310">
        <f>IF(H310="*","*",IF(_xlfn.XLOOKUP($H310,'TRA TECH'!$J:$J,'TRA TECH'!AB:AB)="","",_xlfn.XLOOKUP($H310,'TRA TECH'!$J:$J,'TRA TECH'!AB:AB)))</f>
        <v>146887.46710107001</v>
      </c>
      <c r="Z310">
        <f>IF(H310="*","*",IF(_xlfn.XLOOKUP($H310,'TRA TECH'!$J:$J,'TRA TECH'!AC:AC)="","",_xlfn.XLOOKUP($H310,'TRA TECH'!$J:$J,'TRA TECH'!AC:AC)))</f>
        <v>146887.46710107001</v>
      </c>
      <c r="AA310">
        <f>IF(H310="*","*",IF(_xlfn.XLOOKUP($H310,'TRA TECH'!$J:$J,'TRA TECH'!AD:AD)="","",_xlfn.XLOOKUP($H310,'TRA TECH'!$J:$J,'TRA TECH'!AD:AD)))</f>
        <v>146887.46710107001</v>
      </c>
      <c r="AB310">
        <f t="shared" si="23"/>
        <v>146887.46710107001</v>
      </c>
      <c r="AC310" s="15">
        <f>IF(H310="*","*",IF(_xlfn.XLOOKUP($H310,'TRA TECH'!$J:$J,'TRA TECH'!AE:AE)="","",_xlfn.XLOOKUP($H310,'TRA TECH'!$J:$J,'TRA TECH'!AE:AE)))</f>
        <v>1352.457345260636</v>
      </c>
      <c r="AD310" s="15">
        <f>IF(H310="*","*",IF(_xlfn.XLOOKUP($H310,'TRA TECH'!$J:$J,'TRA TECH'!AF:AF)="","",_xlfn.XLOOKUP($H310,'TRA TECH'!$J:$J,'TRA TECH'!AF:AF)))</f>
        <v>1352.457345260636</v>
      </c>
      <c r="AE310" s="15">
        <f>IF(H310="*","*",IF(_xlfn.XLOOKUP($H310,'TRA TECH'!$J:$J,'TRA TECH'!AG:AG)="","",_xlfn.XLOOKUP($H310,'TRA TECH'!$J:$J,'TRA TECH'!AG:AG)))</f>
        <v>1352.457345260636</v>
      </c>
      <c r="AF310" s="15">
        <f>IF(H310="*","*",IF(_xlfn.XLOOKUP($H310,'TRA TECH'!$J:$J,'TRA TECH'!AH:AH)="","",_xlfn.XLOOKUP($H310,'TRA TECH'!$J:$J,'TRA TECH'!AH:AH)))</f>
        <v>1352.457345260636</v>
      </c>
      <c r="AG310" s="15">
        <f>IF(H310="*","*",IF(_xlfn.XLOOKUP($H310,'TRA TECH'!$J:$J,'TRA TECH'!AI:AI)="","",_xlfn.XLOOKUP($H310,'TRA TECH'!$J:$J,'TRA TECH'!AI:AI)))</f>
        <v>1352.457345260636</v>
      </c>
      <c r="AH310" s="15">
        <f>IF(H310="*","*",IF(_xlfn.XLOOKUP($H310,'TRA TECH'!$J:$J,'TRA TECH'!AJ:AJ)="","",_xlfn.XLOOKUP($H310,'TRA TECH'!$J:$J,'TRA TECH'!AJ:AJ)))</f>
        <v>1352.457345260636</v>
      </c>
      <c r="AI310" s="15">
        <f>IF(H310="*","*",IF(_xlfn.XLOOKUP($H310,'TRA TECH'!$J:$J,'TRA TECH'!AK:AK)="","",_xlfn.XLOOKUP($H310,'TRA TECH'!$J:$J,'TRA TECH'!AK:AK)))</f>
        <v>1352.457345260636</v>
      </c>
      <c r="AJ310" s="15">
        <f t="shared" si="24"/>
        <v>1352.457345260636</v>
      </c>
      <c r="AK310" s="16">
        <f t="shared" si="25"/>
        <v>0.1</v>
      </c>
    </row>
    <row r="311" spans="2:37" x14ac:dyDescent="0.25">
      <c r="B311" t="str">
        <f>IF('TRA TECH'!M307=0,"*",IF('TRA TECH'!H307="","*",'TRA TECH'!J307))</f>
        <v>TRAOTHAIRTURFCE20</v>
      </c>
      <c r="C311" t="str">
        <f>IF('TRA TECH'!M307=0,"*",'TRA TECH'!H307)</f>
        <v>TRASAF</v>
      </c>
      <c r="D311" t="s">
        <v>424</v>
      </c>
      <c r="E311" s="9">
        <f>'TRA TECH'!P307</f>
        <v>1</v>
      </c>
      <c r="H311" t="str">
        <f>IF('TRA TECH'!M307=1,IF('TRA TECH'!L307=1,'TRA TECH'!J307,"*"),"*")</f>
        <v>*</v>
      </c>
      <c r="I311" t="str">
        <f>IF(H311="*","*",_xlfn.XLOOKUP(H311,'TRA TECH'!J:J,'TRA TECH'!I:I))</f>
        <v>*</v>
      </c>
      <c r="J311" t="str">
        <f>IF(H311="*","*",_xlfn.XLOOKUP(H311,'TRA TECH'!J:J,'TRA TECH'!N:N))</f>
        <v>*</v>
      </c>
      <c r="K311" s="15" t="str">
        <f>IF(H311="*","*",IF(_xlfn.XLOOKUP(H311,'TRA TECH'!J:J,'TRA TECH'!O:O)="","",_xlfn.XLOOKUP(H311,'TRA TECH'!J:J,'TRA TECH'!O:O)))</f>
        <v>*</v>
      </c>
      <c r="L311" t="str">
        <f t="shared" si="21"/>
        <v>*</v>
      </c>
      <c r="M311" t="str">
        <f>IF(H311="*","*",IF(_xlfn.XLOOKUP($H311,'TRA TECH'!$J:$J,'TRA TECH'!Q:Q)="","",_xlfn.XLOOKUP($H311,'TRA TECH'!$J:$J,'TRA TECH'!Q:Q)))</f>
        <v>*</v>
      </c>
      <c r="N311" t="str">
        <f>IF(H311="*","*",IF(_xlfn.XLOOKUP($H311,'TRA TECH'!$J:$J,'TRA TECH'!R:R)="","",_xlfn.XLOOKUP($H311,'TRA TECH'!$J:$J,'TRA TECH'!R:R)))</f>
        <v>*</v>
      </c>
      <c r="O311" t="str">
        <f>IF(H311="*","*",IF(_xlfn.XLOOKUP($H311,'TRA TECH'!$J:$J,'TRA TECH'!S:S)="","",_xlfn.XLOOKUP($H311,'TRA TECH'!$J:$J,'TRA TECH'!S:S)))</f>
        <v>*</v>
      </c>
      <c r="P311" t="str">
        <f>IF(H311="*","*",IF(_xlfn.XLOOKUP($H311,'TRA TECH'!$J:$J,'TRA TECH'!T:T)="","",_xlfn.XLOOKUP($H311,'TRA TECH'!$J:$J,'TRA TECH'!T:T)))</f>
        <v>*</v>
      </c>
      <c r="Q311" t="str">
        <f>IF(H311="*","*",IF(_xlfn.XLOOKUP($H311,'TRA TECH'!$J:$J,'TRA TECH'!U:U)="","",_xlfn.XLOOKUP($H311,'TRA TECH'!$J:$J,'TRA TECH'!U:U)))</f>
        <v>*</v>
      </c>
      <c r="R311" t="str">
        <f>IF(H311="*","*",IF(_xlfn.XLOOKUP($H311,'TRA TECH'!$J:$J,'TRA TECH'!V:V)="","",_xlfn.XLOOKUP($H311,'TRA TECH'!$J:$J,'TRA TECH'!V:V)))</f>
        <v>*</v>
      </c>
      <c r="S311" t="str">
        <f>IF(H311="*","*",IF(_xlfn.XLOOKUP($H311,'TRA TECH'!$J:$J,'TRA TECH'!W:W)="","",_xlfn.XLOOKUP($H311,'TRA TECH'!$J:$J,'TRA TECH'!W:W)))</f>
        <v>*</v>
      </c>
      <c r="T311" t="str">
        <f t="shared" si="22"/>
        <v>*</v>
      </c>
      <c r="U311" t="str">
        <f>IF(H311="*","*",IF(_xlfn.XLOOKUP($H311,'TRA TECH'!$J:$J,'TRA TECH'!X:X)="","",_xlfn.XLOOKUP($H311,'TRA TECH'!$J:$J,'TRA TECH'!X:X)))</f>
        <v>*</v>
      </c>
      <c r="V311" t="str">
        <f>IF(H311="*","*",IF(_xlfn.XLOOKUP($H311,'TRA TECH'!$J:$J,'TRA TECH'!Y:Y)="","",_xlfn.XLOOKUP($H311,'TRA TECH'!$J:$J,'TRA TECH'!Y:Y)))</f>
        <v>*</v>
      </c>
      <c r="W311" t="str">
        <f>IF(H311="*","*",IF(_xlfn.XLOOKUP($H311,'TRA TECH'!$J:$J,'TRA TECH'!Z:Z)="","",_xlfn.XLOOKUP($H311,'TRA TECH'!$J:$J,'TRA TECH'!Z:Z)))</f>
        <v>*</v>
      </c>
      <c r="X311" t="str">
        <f>IF(H311="*","*",IF(_xlfn.XLOOKUP($H311,'TRA TECH'!$J:$J,'TRA TECH'!AA:AA)="","",_xlfn.XLOOKUP($H311,'TRA TECH'!$J:$J,'TRA TECH'!AA:AA)))</f>
        <v>*</v>
      </c>
      <c r="Y311" t="str">
        <f>IF(H311="*","*",IF(_xlfn.XLOOKUP($H311,'TRA TECH'!$J:$J,'TRA TECH'!AB:AB)="","",_xlfn.XLOOKUP($H311,'TRA TECH'!$J:$J,'TRA TECH'!AB:AB)))</f>
        <v>*</v>
      </c>
      <c r="Z311" t="str">
        <f>IF(H311="*","*",IF(_xlfn.XLOOKUP($H311,'TRA TECH'!$J:$J,'TRA TECH'!AC:AC)="","",_xlfn.XLOOKUP($H311,'TRA TECH'!$J:$J,'TRA TECH'!AC:AC)))</f>
        <v>*</v>
      </c>
      <c r="AA311" t="str">
        <f>IF(H311="*","*",IF(_xlfn.XLOOKUP($H311,'TRA TECH'!$J:$J,'TRA TECH'!AD:AD)="","",_xlfn.XLOOKUP($H311,'TRA TECH'!$J:$J,'TRA TECH'!AD:AD)))</f>
        <v>*</v>
      </c>
      <c r="AB311" t="str">
        <f t="shared" si="23"/>
        <v>*</v>
      </c>
      <c r="AC311" s="15" t="str">
        <f>IF(H311="*","*",IF(_xlfn.XLOOKUP($H311,'TRA TECH'!$J:$J,'TRA TECH'!AE:AE)="","",_xlfn.XLOOKUP($H311,'TRA TECH'!$J:$J,'TRA TECH'!AE:AE)))</f>
        <v>*</v>
      </c>
      <c r="AD311" s="15" t="str">
        <f>IF(H311="*","*",IF(_xlfn.XLOOKUP($H311,'TRA TECH'!$J:$J,'TRA TECH'!AF:AF)="","",_xlfn.XLOOKUP($H311,'TRA TECH'!$J:$J,'TRA TECH'!AF:AF)))</f>
        <v>*</v>
      </c>
      <c r="AE311" s="15" t="str">
        <f>IF(H311="*","*",IF(_xlfn.XLOOKUP($H311,'TRA TECH'!$J:$J,'TRA TECH'!AG:AG)="","",_xlfn.XLOOKUP($H311,'TRA TECH'!$J:$J,'TRA TECH'!AG:AG)))</f>
        <v>*</v>
      </c>
      <c r="AF311" s="15" t="str">
        <f>IF(H311="*","*",IF(_xlfn.XLOOKUP($H311,'TRA TECH'!$J:$J,'TRA TECH'!AH:AH)="","",_xlfn.XLOOKUP($H311,'TRA TECH'!$J:$J,'TRA TECH'!AH:AH)))</f>
        <v>*</v>
      </c>
      <c r="AG311" s="15" t="str">
        <f>IF(H311="*","*",IF(_xlfn.XLOOKUP($H311,'TRA TECH'!$J:$J,'TRA TECH'!AI:AI)="","",_xlfn.XLOOKUP($H311,'TRA TECH'!$J:$J,'TRA TECH'!AI:AI)))</f>
        <v>*</v>
      </c>
      <c r="AH311" s="15" t="str">
        <f>IF(H311="*","*",IF(_xlfn.XLOOKUP($H311,'TRA TECH'!$J:$J,'TRA TECH'!AJ:AJ)="","",_xlfn.XLOOKUP($H311,'TRA TECH'!$J:$J,'TRA TECH'!AJ:AJ)))</f>
        <v>*</v>
      </c>
      <c r="AI311" s="15" t="str">
        <f>IF(H311="*","*",IF(_xlfn.XLOOKUP($H311,'TRA TECH'!$J:$J,'TRA TECH'!AK:AK)="","",_xlfn.XLOOKUP($H311,'TRA TECH'!$J:$J,'TRA TECH'!AK:AK)))</f>
        <v>*</v>
      </c>
      <c r="AJ311" s="15" t="str">
        <f t="shared" si="24"/>
        <v>*</v>
      </c>
      <c r="AK311" s="16" t="str">
        <f t="shared" si="25"/>
        <v>*</v>
      </c>
    </row>
    <row r="312" spans="2:37" x14ac:dyDescent="0.25">
      <c r="B312" t="str">
        <f>IF('TRA TECH'!M308=0,"*",IF('TRA TECH'!H308="","*",'TRA TECH'!J308))</f>
        <v>TRAOTHAIRTURBWD20</v>
      </c>
      <c r="C312" t="str">
        <f>IF('TRA TECH'!M308=0,"*",'TRA TECH'!H308)</f>
        <v>TRAATF</v>
      </c>
      <c r="D312" t="s">
        <v>424</v>
      </c>
      <c r="E312" s="9">
        <f>'TRA TECH'!P308</f>
        <v>1</v>
      </c>
      <c r="H312" t="str">
        <f>IF('TRA TECH'!M308=1,IF('TRA TECH'!L308=1,'TRA TECH'!J308,"*"),"*")</f>
        <v>TRAOTHAIRTURBWD20</v>
      </c>
      <c r="I312" t="str">
        <f>IF(H312="*","*",_xlfn.XLOOKUP(H312,'TRA TECH'!J:J,'TRA TECH'!I:I))</f>
        <v>TRAOTHAIRDMD</v>
      </c>
      <c r="J312">
        <f>IF(H312="*","*",_xlfn.XLOOKUP(H312,'TRA TECH'!J:J,'TRA TECH'!N:N))</f>
        <v>2020</v>
      </c>
      <c r="K312" s="15">
        <f>IF(H312="*","*",IF(_xlfn.XLOOKUP(H312,'TRA TECH'!J:J,'TRA TECH'!O:O)="","",_xlfn.XLOOKUP(H312,'TRA TECH'!J:J,'TRA TECH'!O:O)))</f>
        <v>25</v>
      </c>
      <c r="L312">
        <f t="shared" si="21"/>
        <v>1</v>
      </c>
      <c r="M312">
        <f>IF(H312="*","*",IF(_xlfn.XLOOKUP($H312,'TRA TECH'!$J:$J,'TRA TECH'!Q:Q)="","",_xlfn.XLOOKUP($H312,'TRA TECH'!$J:$J,'TRA TECH'!Q:Q)))</f>
        <v>6.2907427262766779E-3</v>
      </c>
      <c r="N312">
        <f>IF(H312="*","*",IF(_xlfn.XLOOKUP($H312,'TRA TECH'!$J:$J,'TRA TECH'!R:R)="","",_xlfn.XLOOKUP($H312,'TRA TECH'!$J:$J,'TRA TECH'!R:R)))</f>
        <v>6.2907427262766779E-3</v>
      </c>
      <c r="O312">
        <f>IF(H312="*","*",IF(_xlfn.XLOOKUP($H312,'TRA TECH'!$J:$J,'TRA TECH'!S:S)="","",_xlfn.XLOOKUP($H312,'TRA TECH'!$J:$J,'TRA TECH'!S:S)))</f>
        <v>6.2907427262766779E-3</v>
      </c>
      <c r="P312">
        <f>IF(H312="*","*",IF(_xlfn.XLOOKUP($H312,'TRA TECH'!$J:$J,'TRA TECH'!T:T)="","",_xlfn.XLOOKUP($H312,'TRA TECH'!$J:$J,'TRA TECH'!T:T)))</f>
        <v>6.2907427262766779E-3</v>
      </c>
      <c r="Q312">
        <f>IF(H312="*","*",IF(_xlfn.XLOOKUP($H312,'TRA TECH'!$J:$J,'TRA TECH'!U:U)="","",_xlfn.XLOOKUP($H312,'TRA TECH'!$J:$J,'TRA TECH'!U:U)))</f>
        <v>6.2907427262766779E-3</v>
      </c>
      <c r="R312">
        <f>IF(H312="*","*",IF(_xlfn.XLOOKUP($H312,'TRA TECH'!$J:$J,'TRA TECH'!V:V)="","",_xlfn.XLOOKUP($H312,'TRA TECH'!$J:$J,'TRA TECH'!V:V)))</f>
        <v>6.2907427262766779E-3</v>
      </c>
      <c r="S312">
        <f>IF(H312="*","*",IF(_xlfn.XLOOKUP($H312,'TRA TECH'!$J:$J,'TRA TECH'!W:W)="","",_xlfn.XLOOKUP($H312,'TRA TECH'!$J:$J,'TRA TECH'!W:W)))</f>
        <v>6.2907427262766779E-3</v>
      </c>
      <c r="T312">
        <f t="shared" si="22"/>
        <v>6.2907427262766779E-3</v>
      </c>
      <c r="U312">
        <f>IF(H312="*","*",IF(_xlfn.XLOOKUP($H312,'TRA TECH'!$J:$J,'TRA TECH'!X:X)="","",_xlfn.XLOOKUP($H312,'TRA TECH'!$J:$J,'TRA TECH'!X:X)))</f>
        <v>203129.0179554903</v>
      </c>
      <c r="V312">
        <f>IF(H312="*","*",IF(_xlfn.XLOOKUP($H312,'TRA TECH'!$J:$J,'TRA TECH'!Y:Y)="","",_xlfn.XLOOKUP($H312,'TRA TECH'!$J:$J,'TRA TECH'!Y:Y)))</f>
        <v>203129.0179554903</v>
      </c>
      <c r="W312">
        <f>IF(H312="*","*",IF(_xlfn.XLOOKUP($H312,'TRA TECH'!$J:$J,'TRA TECH'!Z:Z)="","",_xlfn.XLOOKUP($H312,'TRA TECH'!$J:$J,'TRA TECH'!Z:Z)))</f>
        <v>203129.0179554903</v>
      </c>
      <c r="X312">
        <f>IF(H312="*","*",IF(_xlfn.XLOOKUP($H312,'TRA TECH'!$J:$J,'TRA TECH'!AA:AA)="","",_xlfn.XLOOKUP($H312,'TRA TECH'!$J:$J,'TRA TECH'!AA:AA)))</f>
        <v>203129.0179554903</v>
      </c>
      <c r="Y312">
        <f>IF(H312="*","*",IF(_xlfn.XLOOKUP($H312,'TRA TECH'!$J:$J,'TRA TECH'!AB:AB)="","",_xlfn.XLOOKUP($H312,'TRA TECH'!$J:$J,'TRA TECH'!AB:AB)))</f>
        <v>203129.0179554903</v>
      </c>
      <c r="Z312">
        <f>IF(H312="*","*",IF(_xlfn.XLOOKUP($H312,'TRA TECH'!$J:$J,'TRA TECH'!AC:AC)="","",_xlfn.XLOOKUP($H312,'TRA TECH'!$J:$J,'TRA TECH'!AC:AC)))</f>
        <v>203129.0179554903</v>
      </c>
      <c r="AA312">
        <f>IF(H312="*","*",IF(_xlfn.XLOOKUP($H312,'TRA TECH'!$J:$J,'TRA TECH'!AD:AD)="","",_xlfn.XLOOKUP($H312,'TRA TECH'!$J:$J,'TRA TECH'!AD:AD)))</f>
        <v>203129.0179554903</v>
      </c>
      <c r="AB312">
        <f t="shared" si="23"/>
        <v>203129.0179554903</v>
      </c>
      <c r="AC312" s="15">
        <f>IF(H312="*","*",IF(_xlfn.XLOOKUP($H312,'TRA TECH'!$J:$J,'TRA TECH'!AE:AE)="","",_xlfn.XLOOKUP($H312,'TRA TECH'!$J:$J,'TRA TECH'!AE:AE)))</f>
        <v>1344.2183809101291</v>
      </c>
      <c r="AD312" s="15">
        <f>IF(H312="*","*",IF(_xlfn.XLOOKUP($H312,'TRA TECH'!$J:$J,'TRA TECH'!AF:AF)="","",_xlfn.XLOOKUP($H312,'TRA TECH'!$J:$J,'TRA TECH'!AF:AF)))</f>
        <v>1344.2183809101291</v>
      </c>
      <c r="AE312" s="15">
        <f>IF(H312="*","*",IF(_xlfn.XLOOKUP($H312,'TRA TECH'!$J:$J,'TRA TECH'!AG:AG)="","",_xlfn.XLOOKUP($H312,'TRA TECH'!$J:$J,'TRA TECH'!AG:AG)))</f>
        <v>1344.2183809101291</v>
      </c>
      <c r="AF312" s="15">
        <f>IF(H312="*","*",IF(_xlfn.XLOOKUP($H312,'TRA TECH'!$J:$J,'TRA TECH'!AH:AH)="","",_xlfn.XLOOKUP($H312,'TRA TECH'!$J:$J,'TRA TECH'!AH:AH)))</f>
        <v>1344.2183809101291</v>
      </c>
      <c r="AG312" s="15">
        <f>IF(H312="*","*",IF(_xlfn.XLOOKUP($H312,'TRA TECH'!$J:$J,'TRA TECH'!AI:AI)="","",_xlfn.XLOOKUP($H312,'TRA TECH'!$J:$J,'TRA TECH'!AI:AI)))</f>
        <v>1344.2183809101291</v>
      </c>
      <c r="AH312" s="15">
        <f>IF(H312="*","*",IF(_xlfn.XLOOKUP($H312,'TRA TECH'!$J:$J,'TRA TECH'!AJ:AJ)="","",_xlfn.XLOOKUP($H312,'TRA TECH'!$J:$J,'TRA TECH'!AJ:AJ)))</f>
        <v>1344.2183809101291</v>
      </c>
      <c r="AI312" s="15">
        <f>IF(H312="*","*",IF(_xlfn.XLOOKUP($H312,'TRA TECH'!$J:$J,'TRA TECH'!AK:AK)="","",_xlfn.XLOOKUP($H312,'TRA TECH'!$J:$J,'TRA TECH'!AK:AK)))</f>
        <v>1344.2183809101291</v>
      </c>
      <c r="AJ312" s="15">
        <f t="shared" si="24"/>
        <v>1344.2183809101291</v>
      </c>
      <c r="AK312" s="16">
        <f t="shared" si="25"/>
        <v>0.1</v>
      </c>
    </row>
    <row r="313" spans="2:37" x14ac:dyDescent="0.25">
      <c r="B313" t="str">
        <f>IF('TRA TECH'!M309=0,"*",IF('TRA TECH'!H309="","*",'TRA TECH'!J309))</f>
        <v>TRAOTHAIRTURBWD20</v>
      </c>
      <c r="C313" t="str">
        <f>IF('TRA TECH'!M309=0,"*",'TRA TECH'!H309)</f>
        <v>TRASAF</v>
      </c>
      <c r="D313" t="s">
        <v>424</v>
      </c>
      <c r="E313" s="9">
        <f>'TRA TECH'!P309</f>
        <v>1</v>
      </c>
      <c r="H313" t="str">
        <f>IF('TRA TECH'!M309=1,IF('TRA TECH'!L309=1,'TRA TECH'!J309,"*"),"*")</f>
        <v>*</v>
      </c>
      <c r="I313" t="str">
        <f>IF(H313="*","*",_xlfn.XLOOKUP(H313,'TRA TECH'!J:J,'TRA TECH'!I:I))</f>
        <v>*</v>
      </c>
      <c r="J313" t="str">
        <f>IF(H313="*","*",_xlfn.XLOOKUP(H313,'TRA TECH'!J:J,'TRA TECH'!N:N))</f>
        <v>*</v>
      </c>
      <c r="K313" s="15" t="str">
        <f>IF(H313="*","*",IF(_xlfn.XLOOKUP(H313,'TRA TECH'!J:J,'TRA TECH'!O:O)="","",_xlfn.XLOOKUP(H313,'TRA TECH'!J:J,'TRA TECH'!O:O)))</f>
        <v>*</v>
      </c>
      <c r="L313" t="str">
        <f t="shared" si="21"/>
        <v>*</v>
      </c>
      <c r="M313" t="str">
        <f>IF(H313="*","*",IF(_xlfn.XLOOKUP($H313,'TRA TECH'!$J:$J,'TRA TECH'!Q:Q)="","",_xlfn.XLOOKUP($H313,'TRA TECH'!$J:$J,'TRA TECH'!Q:Q)))</f>
        <v>*</v>
      </c>
      <c r="N313" t="str">
        <f>IF(H313="*","*",IF(_xlfn.XLOOKUP($H313,'TRA TECH'!$J:$J,'TRA TECH'!R:R)="","",_xlfn.XLOOKUP($H313,'TRA TECH'!$J:$J,'TRA TECH'!R:R)))</f>
        <v>*</v>
      </c>
      <c r="O313" t="str">
        <f>IF(H313="*","*",IF(_xlfn.XLOOKUP($H313,'TRA TECH'!$J:$J,'TRA TECH'!S:S)="","",_xlfn.XLOOKUP($H313,'TRA TECH'!$J:$J,'TRA TECH'!S:S)))</f>
        <v>*</v>
      </c>
      <c r="P313" t="str">
        <f>IF(H313="*","*",IF(_xlfn.XLOOKUP($H313,'TRA TECH'!$J:$J,'TRA TECH'!T:T)="","",_xlfn.XLOOKUP($H313,'TRA TECH'!$J:$J,'TRA TECH'!T:T)))</f>
        <v>*</v>
      </c>
      <c r="Q313" t="str">
        <f>IF(H313="*","*",IF(_xlfn.XLOOKUP($H313,'TRA TECH'!$J:$J,'TRA TECH'!U:U)="","",_xlfn.XLOOKUP($H313,'TRA TECH'!$J:$J,'TRA TECH'!U:U)))</f>
        <v>*</v>
      </c>
      <c r="R313" t="str">
        <f>IF(H313="*","*",IF(_xlfn.XLOOKUP($H313,'TRA TECH'!$J:$J,'TRA TECH'!V:V)="","",_xlfn.XLOOKUP($H313,'TRA TECH'!$J:$J,'TRA TECH'!V:V)))</f>
        <v>*</v>
      </c>
      <c r="S313" t="str">
        <f>IF(H313="*","*",IF(_xlfn.XLOOKUP($H313,'TRA TECH'!$J:$J,'TRA TECH'!W:W)="","",_xlfn.XLOOKUP($H313,'TRA TECH'!$J:$J,'TRA TECH'!W:W)))</f>
        <v>*</v>
      </c>
      <c r="T313" t="str">
        <f t="shared" si="22"/>
        <v>*</v>
      </c>
      <c r="U313" t="str">
        <f>IF(H313="*","*",IF(_xlfn.XLOOKUP($H313,'TRA TECH'!$J:$J,'TRA TECH'!X:X)="","",_xlfn.XLOOKUP($H313,'TRA TECH'!$J:$J,'TRA TECH'!X:X)))</f>
        <v>*</v>
      </c>
      <c r="V313" t="str">
        <f>IF(H313="*","*",IF(_xlfn.XLOOKUP($H313,'TRA TECH'!$J:$J,'TRA TECH'!Y:Y)="","",_xlfn.XLOOKUP($H313,'TRA TECH'!$J:$J,'TRA TECH'!Y:Y)))</f>
        <v>*</v>
      </c>
      <c r="W313" t="str">
        <f>IF(H313="*","*",IF(_xlfn.XLOOKUP($H313,'TRA TECH'!$J:$J,'TRA TECH'!Z:Z)="","",_xlfn.XLOOKUP($H313,'TRA TECH'!$J:$J,'TRA TECH'!Z:Z)))</f>
        <v>*</v>
      </c>
      <c r="X313" t="str">
        <f>IF(H313="*","*",IF(_xlfn.XLOOKUP($H313,'TRA TECH'!$J:$J,'TRA TECH'!AA:AA)="","",_xlfn.XLOOKUP($H313,'TRA TECH'!$J:$J,'TRA TECH'!AA:AA)))</f>
        <v>*</v>
      </c>
      <c r="Y313" t="str">
        <f>IF(H313="*","*",IF(_xlfn.XLOOKUP($H313,'TRA TECH'!$J:$J,'TRA TECH'!AB:AB)="","",_xlfn.XLOOKUP($H313,'TRA TECH'!$J:$J,'TRA TECH'!AB:AB)))</f>
        <v>*</v>
      </c>
      <c r="Z313" t="str">
        <f>IF(H313="*","*",IF(_xlfn.XLOOKUP($H313,'TRA TECH'!$J:$J,'TRA TECH'!AC:AC)="","",_xlfn.XLOOKUP($H313,'TRA TECH'!$J:$J,'TRA TECH'!AC:AC)))</f>
        <v>*</v>
      </c>
      <c r="AA313" t="str">
        <f>IF(H313="*","*",IF(_xlfn.XLOOKUP($H313,'TRA TECH'!$J:$J,'TRA TECH'!AD:AD)="","",_xlfn.XLOOKUP($H313,'TRA TECH'!$J:$J,'TRA TECH'!AD:AD)))</f>
        <v>*</v>
      </c>
      <c r="AB313" t="str">
        <f t="shared" si="23"/>
        <v>*</v>
      </c>
      <c r="AC313" s="15" t="str">
        <f>IF(H313="*","*",IF(_xlfn.XLOOKUP($H313,'TRA TECH'!$J:$J,'TRA TECH'!AE:AE)="","",_xlfn.XLOOKUP($H313,'TRA TECH'!$J:$J,'TRA TECH'!AE:AE)))</f>
        <v>*</v>
      </c>
      <c r="AD313" s="15" t="str">
        <f>IF(H313="*","*",IF(_xlfn.XLOOKUP($H313,'TRA TECH'!$J:$J,'TRA TECH'!AF:AF)="","",_xlfn.XLOOKUP($H313,'TRA TECH'!$J:$J,'TRA TECH'!AF:AF)))</f>
        <v>*</v>
      </c>
      <c r="AE313" s="15" t="str">
        <f>IF(H313="*","*",IF(_xlfn.XLOOKUP($H313,'TRA TECH'!$J:$J,'TRA TECH'!AG:AG)="","",_xlfn.XLOOKUP($H313,'TRA TECH'!$J:$J,'TRA TECH'!AG:AG)))</f>
        <v>*</v>
      </c>
      <c r="AF313" s="15" t="str">
        <f>IF(H313="*","*",IF(_xlfn.XLOOKUP($H313,'TRA TECH'!$J:$J,'TRA TECH'!AH:AH)="","",_xlfn.XLOOKUP($H313,'TRA TECH'!$J:$J,'TRA TECH'!AH:AH)))</f>
        <v>*</v>
      </c>
      <c r="AG313" s="15" t="str">
        <f>IF(H313="*","*",IF(_xlfn.XLOOKUP($H313,'TRA TECH'!$J:$J,'TRA TECH'!AI:AI)="","",_xlfn.XLOOKUP($H313,'TRA TECH'!$J:$J,'TRA TECH'!AI:AI)))</f>
        <v>*</v>
      </c>
      <c r="AH313" s="15" t="str">
        <f>IF(H313="*","*",IF(_xlfn.XLOOKUP($H313,'TRA TECH'!$J:$J,'TRA TECH'!AJ:AJ)="","",_xlfn.XLOOKUP($H313,'TRA TECH'!$J:$J,'TRA TECH'!AJ:AJ)))</f>
        <v>*</v>
      </c>
      <c r="AI313" s="15" t="str">
        <f>IF(H313="*","*",IF(_xlfn.XLOOKUP($H313,'TRA TECH'!$J:$J,'TRA TECH'!AK:AK)="","",_xlfn.XLOOKUP($H313,'TRA TECH'!$J:$J,'TRA TECH'!AK:AK)))</f>
        <v>*</v>
      </c>
      <c r="AJ313" s="15" t="str">
        <f t="shared" si="24"/>
        <v>*</v>
      </c>
      <c r="AK313" s="16" t="str">
        <f t="shared" si="25"/>
        <v>*</v>
      </c>
    </row>
    <row r="314" spans="2:37" x14ac:dyDescent="0.25">
      <c r="B314" t="str">
        <f>IF('TRA TECH'!M310=0,"*",IF('TRA TECH'!H310="","*",'TRA TECH'!J310))</f>
        <v>TRAOTHAIRTURSAI20</v>
      </c>
      <c r="C314" t="str">
        <f>IF('TRA TECH'!M310=0,"*",'TRA TECH'!H310)</f>
        <v>TRAATF</v>
      </c>
      <c r="D314" t="s">
        <v>424</v>
      </c>
      <c r="E314" s="9">
        <f>'TRA TECH'!P310</f>
        <v>1</v>
      </c>
      <c r="H314" t="str">
        <f>IF('TRA TECH'!M310=1,IF('TRA TECH'!L310=1,'TRA TECH'!J310,"*"),"*")</f>
        <v>TRAOTHAIRTURSAI20</v>
      </c>
      <c r="I314" t="str">
        <f>IF(H314="*","*",_xlfn.XLOOKUP(H314,'TRA TECH'!J:J,'TRA TECH'!I:I))</f>
        <v>TRAOTHAIRDMD</v>
      </c>
      <c r="J314">
        <f>IF(H314="*","*",_xlfn.XLOOKUP(H314,'TRA TECH'!J:J,'TRA TECH'!N:N))</f>
        <v>2020</v>
      </c>
      <c r="K314" s="15">
        <f>IF(H314="*","*",IF(_xlfn.XLOOKUP(H314,'TRA TECH'!J:J,'TRA TECH'!O:O)="","",_xlfn.XLOOKUP(H314,'TRA TECH'!J:J,'TRA TECH'!O:O)))</f>
        <v>25</v>
      </c>
      <c r="L314">
        <f t="shared" si="21"/>
        <v>1</v>
      </c>
      <c r="M314">
        <f>IF(H314="*","*",IF(_xlfn.XLOOKUP($H314,'TRA TECH'!$J:$J,'TRA TECH'!Q:Q)="","",_xlfn.XLOOKUP($H314,'TRA TECH'!$J:$J,'TRA TECH'!Q:Q)))</f>
        <v>4.892799898215193E-3</v>
      </c>
      <c r="N314">
        <f>IF(H314="*","*",IF(_xlfn.XLOOKUP($H314,'TRA TECH'!$J:$J,'TRA TECH'!R:R)="","",_xlfn.XLOOKUP($H314,'TRA TECH'!$J:$J,'TRA TECH'!R:R)))</f>
        <v>4.892799898215193E-3</v>
      </c>
      <c r="O314">
        <f>IF(H314="*","*",IF(_xlfn.XLOOKUP($H314,'TRA TECH'!$J:$J,'TRA TECH'!S:S)="","",_xlfn.XLOOKUP($H314,'TRA TECH'!$J:$J,'TRA TECH'!S:S)))</f>
        <v>4.892799898215193E-3</v>
      </c>
      <c r="P314">
        <f>IF(H314="*","*",IF(_xlfn.XLOOKUP($H314,'TRA TECH'!$J:$J,'TRA TECH'!T:T)="","",_xlfn.XLOOKUP($H314,'TRA TECH'!$J:$J,'TRA TECH'!T:T)))</f>
        <v>4.892799898215193E-3</v>
      </c>
      <c r="Q314">
        <f>IF(H314="*","*",IF(_xlfn.XLOOKUP($H314,'TRA TECH'!$J:$J,'TRA TECH'!U:U)="","",_xlfn.XLOOKUP($H314,'TRA TECH'!$J:$J,'TRA TECH'!U:U)))</f>
        <v>4.892799898215193E-3</v>
      </c>
      <c r="R314">
        <f>IF(H314="*","*",IF(_xlfn.XLOOKUP($H314,'TRA TECH'!$J:$J,'TRA TECH'!V:V)="","",_xlfn.XLOOKUP($H314,'TRA TECH'!$J:$J,'TRA TECH'!V:V)))</f>
        <v>4.892799898215193E-3</v>
      </c>
      <c r="S314">
        <f>IF(H314="*","*",IF(_xlfn.XLOOKUP($H314,'TRA TECH'!$J:$J,'TRA TECH'!W:W)="","",_xlfn.XLOOKUP($H314,'TRA TECH'!$J:$J,'TRA TECH'!W:W)))</f>
        <v>4.892799898215193E-3</v>
      </c>
      <c r="T314">
        <f t="shared" si="22"/>
        <v>4.892799898215193E-3</v>
      </c>
      <c r="U314">
        <f>IF(H314="*","*",IF(_xlfn.XLOOKUP($H314,'TRA TECH'!$J:$J,'TRA TECH'!X:X)="","",_xlfn.XLOOKUP($H314,'TRA TECH'!$J:$J,'TRA TECH'!X:X)))</f>
        <v>161392.03716980241</v>
      </c>
      <c r="V314">
        <f>IF(H314="*","*",IF(_xlfn.XLOOKUP($H314,'TRA TECH'!$J:$J,'TRA TECH'!Y:Y)="","",_xlfn.XLOOKUP($H314,'TRA TECH'!$J:$J,'TRA TECH'!Y:Y)))</f>
        <v>161392.03716980241</v>
      </c>
      <c r="W314">
        <f>IF(H314="*","*",IF(_xlfn.XLOOKUP($H314,'TRA TECH'!$J:$J,'TRA TECH'!Z:Z)="","",_xlfn.XLOOKUP($H314,'TRA TECH'!$J:$J,'TRA TECH'!Z:Z)))</f>
        <v>161392.03716980241</v>
      </c>
      <c r="X314">
        <f>IF(H314="*","*",IF(_xlfn.XLOOKUP($H314,'TRA TECH'!$J:$J,'TRA TECH'!AA:AA)="","",_xlfn.XLOOKUP($H314,'TRA TECH'!$J:$J,'TRA TECH'!AA:AA)))</f>
        <v>161392.03716980241</v>
      </c>
      <c r="Y314">
        <f>IF(H314="*","*",IF(_xlfn.XLOOKUP($H314,'TRA TECH'!$J:$J,'TRA TECH'!AB:AB)="","",_xlfn.XLOOKUP($H314,'TRA TECH'!$J:$J,'TRA TECH'!AB:AB)))</f>
        <v>161392.03716980241</v>
      </c>
      <c r="Z314">
        <f>IF(H314="*","*",IF(_xlfn.XLOOKUP($H314,'TRA TECH'!$J:$J,'TRA TECH'!AC:AC)="","",_xlfn.XLOOKUP($H314,'TRA TECH'!$J:$J,'TRA TECH'!AC:AC)))</f>
        <v>161392.03716980241</v>
      </c>
      <c r="AA314">
        <f>IF(H314="*","*",IF(_xlfn.XLOOKUP($H314,'TRA TECH'!$J:$J,'TRA TECH'!AD:AD)="","",_xlfn.XLOOKUP($H314,'TRA TECH'!$J:$J,'TRA TECH'!AD:AD)))</f>
        <v>161392.03716980241</v>
      </c>
      <c r="AB314">
        <f t="shared" si="23"/>
        <v>161392.03716980241</v>
      </c>
      <c r="AC314" s="15">
        <f>IF(H314="*","*",IF(_xlfn.XLOOKUP($H314,'TRA TECH'!$J:$J,'TRA TECH'!AE:AE)="","",_xlfn.XLOOKUP($H314,'TRA TECH'!$J:$J,'TRA TECH'!AE:AE)))</f>
        <v>1344.2183809101291</v>
      </c>
      <c r="AD314" s="15">
        <f>IF(H314="*","*",IF(_xlfn.XLOOKUP($H314,'TRA TECH'!$J:$J,'TRA TECH'!AF:AF)="","",_xlfn.XLOOKUP($H314,'TRA TECH'!$J:$J,'TRA TECH'!AF:AF)))</f>
        <v>1344.2183809101291</v>
      </c>
      <c r="AE314" s="15">
        <f>IF(H314="*","*",IF(_xlfn.XLOOKUP($H314,'TRA TECH'!$J:$J,'TRA TECH'!AG:AG)="","",_xlfn.XLOOKUP($H314,'TRA TECH'!$J:$J,'TRA TECH'!AG:AG)))</f>
        <v>1344.2183809101291</v>
      </c>
      <c r="AF314" s="15">
        <f>IF(H314="*","*",IF(_xlfn.XLOOKUP($H314,'TRA TECH'!$J:$J,'TRA TECH'!AH:AH)="","",_xlfn.XLOOKUP($H314,'TRA TECH'!$J:$J,'TRA TECH'!AH:AH)))</f>
        <v>1344.2183809101291</v>
      </c>
      <c r="AG314" s="15">
        <f>IF(H314="*","*",IF(_xlfn.XLOOKUP($H314,'TRA TECH'!$J:$J,'TRA TECH'!AI:AI)="","",_xlfn.XLOOKUP($H314,'TRA TECH'!$J:$J,'TRA TECH'!AI:AI)))</f>
        <v>1344.2183809101291</v>
      </c>
      <c r="AH314" s="15">
        <f>IF(H314="*","*",IF(_xlfn.XLOOKUP($H314,'TRA TECH'!$J:$J,'TRA TECH'!AJ:AJ)="","",_xlfn.XLOOKUP($H314,'TRA TECH'!$J:$J,'TRA TECH'!AJ:AJ)))</f>
        <v>1344.2183809101291</v>
      </c>
      <c r="AI314" s="15">
        <f>IF(H314="*","*",IF(_xlfn.XLOOKUP($H314,'TRA TECH'!$J:$J,'TRA TECH'!AK:AK)="","",_xlfn.XLOOKUP($H314,'TRA TECH'!$J:$J,'TRA TECH'!AK:AK)))</f>
        <v>1344.2183809101291</v>
      </c>
      <c r="AJ314" s="15">
        <f t="shared" si="24"/>
        <v>1344.2183809101291</v>
      </c>
      <c r="AK314" s="16">
        <f t="shared" si="25"/>
        <v>0.1</v>
      </c>
    </row>
    <row r="315" spans="2:37" x14ac:dyDescent="0.25">
      <c r="B315" t="str">
        <f>IF('TRA TECH'!M311=0,"*",IF('TRA TECH'!H311="","*",'TRA TECH'!J311))</f>
        <v>TRAOTHAIRTURSAI20</v>
      </c>
      <c r="C315" t="str">
        <f>IF('TRA TECH'!M311=0,"*",'TRA TECH'!H311)</f>
        <v>TRASAF</v>
      </c>
      <c r="D315" t="s">
        <v>424</v>
      </c>
      <c r="E315" s="9">
        <f>'TRA TECH'!P311</f>
        <v>1</v>
      </c>
      <c r="H315" t="str">
        <f>IF('TRA TECH'!M311=1,IF('TRA TECH'!L311=1,'TRA TECH'!J311,"*"),"*")</f>
        <v>*</v>
      </c>
      <c r="I315" t="str">
        <f>IF(H315="*","*",_xlfn.XLOOKUP(H315,'TRA TECH'!J:J,'TRA TECH'!I:I))</f>
        <v>*</v>
      </c>
      <c r="J315" t="str">
        <f>IF(H315="*","*",_xlfn.XLOOKUP(H315,'TRA TECH'!J:J,'TRA TECH'!N:N))</f>
        <v>*</v>
      </c>
      <c r="K315" s="15" t="str">
        <f>IF(H315="*","*",IF(_xlfn.XLOOKUP(H315,'TRA TECH'!J:J,'TRA TECH'!O:O)="","",_xlfn.XLOOKUP(H315,'TRA TECH'!J:J,'TRA TECH'!O:O)))</f>
        <v>*</v>
      </c>
      <c r="L315" t="str">
        <f t="shared" si="21"/>
        <v>*</v>
      </c>
      <c r="M315" t="str">
        <f>IF(H315="*","*",IF(_xlfn.XLOOKUP($H315,'TRA TECH'!$J:$J,'TRA TECH'!Q:Q)="","",_xlfn.XLOOKUP($H315,'TRA TECH'!$J:$J,'TRA TECH'!Q:Q)))</f>
        <v>*</v>
      </c>
      <c r="N315" t="str">
        <f>IF(H315="*","*",IF(_xlfn.XLOOKUP($H315,'TRA TECH'!$J:$J,'TRA TECH'!R:R)="","",_xlfn.XLOOKUP($H315,'TRA TECH'!$J:$J,'TRA TECH'!R:R)))</f>
        <v>*</v>
      </c>
      <c r="O315" t="str">
        <f>IF(H315="*","*",IF(_xlfn.XLOOKUP($H315,'TRA TECH'!$J:$J,'TRA TECH'!S:S)="","",_xlfn.XLOOKUP($H315,'TRA TECH'!$J:$J,'TRA TECH'!S:S)))</f>
        <v>*</v>
      </c>
      <c r="P315" t="str">
        <f>IF(H315="*","*",IF(_xlfn.XLOOKUP($H315,'TRA TECH'!$J:$J,'TRA TECH'!T:T)="","",_xlfn.XLOOKUP($H315,'TRA TECH'!$J:$J,'TRA TECH'!T:T)))</f>
        <v>*</v>
      </c>
      <c r="Q315" t="str">
        <f>IF(H315="*","*",IF(_xlfn.XLOOKUP($H315,'TRA TECH'!$J:$J,'TRA TECH'!U:U)="","",_xlfn.XLOOKUP($H315,'TRA TECH'!$J:$J,'TRA TECH'!U:U)))</f>
        <v>*</v>
      </c>
      <c r="R315" t="str">
        <f>IF(H315="*","*",IF(_xlfn.XLOOKUP($H315,'TRA TECH'!$J:$J,'TRA TECH'!V:V)="","",_xlfn.XLOOKUP($H315,'TRA TECH'!$J:$J,'TRA TECH'!V:V)))</f>
        <v>*</v>
      </c>
      <c r="S315" t="str">
        <f>IF(H315="*","*",IF(_xlfn.XLOOKUP($H315,'TRA TECH'!$J:$J,'TRA TECH'!W:W)="","",_xlfn.XLOOKUP($H315,'TRA TECH'!$J:$J,'TRA TECH'!W:W)))</f>
        <v>*</v>
      </c>
      <c r="T315" t="str">
        <f t="shared" si="22"/>
        <v>*</v>
      </c>
      <c r="U315" t="str">
        <f>IF(H315="*","*",IF(_xlfn.XLOOKUP($H315,'TRA TECH'!$J:$J,'TRA TECH'!X:X)="","",_xlfn.XLOOKUP($H315,'TRA TECH'!$J:$J,'TRA TECH'!X:X)))</f>
        <v>*</v>
      </c>
      <c r="V315" t="str">
        <f>IF(H315="*","*",IF(_xlfn.XLOOKUP($H315,'TRA TECH'!$J:$J,'TRA TECH'!Y:Y)="","",_xlfn.XLOOKUP($H315,'TRA TECH'!$J:$J,'TRA TECH'!Y:Y)))</f>
        <v>*</v>
      </c>
      <c r="W315" t="str">
        <f>IF(H315="*","*",IF(_xlfn.XLOOKUP($H315,'TRA TECH'!$J:$J,'TRA TECH'!Z:Z)="","",_xlfn.XLOOKUP($H315,'TRA TECH'!$J:$J,'TRA TECH'!Z:Z)))</f>
        <v>*</v>
      </c>
      <c r="X315" t="str">
        <f>IF(H315="*","*",IF(_xlfn.XLOOKUP($H315,'TRA TECH'!$J:$J,'TRA TECH'!AA:AA)="","",_xlfn.XLOOKUP($H315,'TRA TECH'!$J:$J,'TRA TECH'!AA:AA)))</f>
        <v>*</v>
      </c>
      <c r="Y315" t="str">
        <f>IF(H315="*","*",IF(_xlfn.XLOOKUP($H315,'TRA TECH'!$J:$J,'TRA TECH'!AB:AB)="","",_xlfn.XLOOKUP($H315,'TRA TECH'!$J:$J,'TRA TECH'!AB:AB)))</f>
        <v>*</v>
      </c>
      <c r="Z315" t="str">
        <f>IF(H315="*","*",IF(_xlfn.XLOOKUP($H315,'TRA TECH'!$J:$J,'TRA TECH'!AC:AC)="","",_xlfn.XLOOKUP($H315,'TRA TECH'!$J:$J,'TRA TECH'!AC:AC)))</f>
        <v>*</v>
      </c>
      <c r="AA315" t="str">
        <f>IF(H315="*","*",IF(_xlfn.XLOOKUP($H315,'TRA TECH'!$J:$J,'TRA TECH'!AD:AD)="","",_xlfn.XLOOKUP($H315,'TRA TECH'!$J:$J,'TRA TECH'!AD:AD)))</f>
        <v>*</v>
      </c>
      <c r="AB315" t="str">
        <f t="shared" si="23"/>
        <v>*</v>
      </c>
      <c r="AC315" s="15" t="str">
        <f>IF(H315="*","*",IF(_xlfn.XLOOKUP($H315,'TRA TECH'!$J:$J,'TRA TECH'!AE:AE)="","",_xlfn.XLOOKUP($H315,'TRA TECH'!$J:$J,'TRA TECH'!AE:AE)))</f>
        <v>*</v>
      </c>
      <c r="AD315" s="15" t="str">
        <f>IF(H315="*","*",IF(_xlfn.XLOOKUP($H315,'TRA TECH'!$J:$J,'TRA TECH'!AF:AF)="","",_xlfn.XLOOKUP($H315,'TRA TECH'!$J:$J,'TRA TECH'!AF:AF)))</f>
        <v>*</v>
      </c>
      <c r="AE315" s="15" t="str">
        <f>IF(H315="*","*",IF(_xlfn.XLOOKUP($H315,'TRA TECH'!$J:$J,'TRA TECH'!AG:AG)="","",_xlfn.XLOOKUP($H315,'TRA TECH'!$J:$J,'TRA TECH'!AG:AG)))</f>
        <v>*</v>
      </c>
      <c r="AF315" s="15" t="str">
        <f>IF(H315="*","*",IF(_xlfn.XLOOKUP($H315,'TRA TECH'!$J:$J,'TRA TECH'!AH:AH)="","",_xlfn.XLOOKUP($H315,'TRA TECH'!$J:$J,'TRA TECH'!AH:AH)))</f>
        <v>*</v>
      </c>
      <c r="AG315" s="15" t="str">
        <f>IF(H315="*","*",IF(_xlfn.XLOOKUP($H315,'TRA TECH'!$J:$J,'TRA TECH'!AI:AI)="","",_xlfn.XLOOKUP($H315,'TRA TECH'!$J:$J,'TRA TECH'!AI:AI)))</f>
        <v>*</v>
      </c>
      <c r="AH315" s="15" t="str">
        <f>IF(H315="*","*",IF(_xlfn.XLOOKUP($H315,'TRA TECH'!$J:$J,'TRA TECH'!AJ:AJ)="","",_xlfn.XLOOKUP($H315,'TRA TECH'!$J:$J,'TRA TECH'!AJ:AJ)))</f>
        <v>*</v>
      </c>
      <c r="AI315" s="15" t="str">
        <f>IF(H315="*","*",IF(_xlfn.XLOOKUP($H315,'TRA TECH'!$J:$J,'TRA TECH'!AK:AK)="","",_xlfn.XLOOKUP($H315,'TRA TECH'!$J:$J,'TRA TECH'!AK:AK)))</f>
        <v>*</v>
      </c>
      <c r="AJ315" s="15" t="str">
        <f t="shared" si="24"/>
        <v>*</v>
      </c>
      <c r="AK315" s="16" t="str">
        <f t="shared" si="25"/>
        <v>*</v>
      </c>
    </row>
    <row r="316" spans="2:37" x14ac:dyDescent="0.25">
      <c r="B316" t="str">
        <f>IF('TRA TECH'!M312=0,"*",IF('TRA TECH'!H312="","*",'TRA TECH'!J312))</f>
        <v>TRAOTHAIRTURHBR20</v>
      </c>
      <c r="C316" t="str">
        <f>IF('TRA TECH'!M312=0,"*",'TRA TECH'!H312)</f>
        <v>TRAATF</v>
      </c>
      <c r="D316" t="s">
        <v>424</v>
      </c>
      <c r="E316" s="9">
        <f>'TRA TECH'!P312</f>
        <v>1</v>
      </c>
      <c r="H316" t="str">
        <f>IF('TRA TECH'!M312=1,IF('TRA TECH'!L312=1,'TRA TECH'!J312,"*"),"*")</f>
        <v>TRAOTHAIRTURHBR20</v>
      </c>
      <c r="I316" t="str">
        <f>IF(H316="*","*",_xlfn.XLOOKUP(H316,'TRA TECH'!J:J,'TRA TECH'!I:I))</f>
        <v>TRAOTHAIRDMD</v>
      </c>
      <c r="J316">
        <f>IF(H316="*","*",_xlfn.XLOOKUP(H316,'TRA TECH'!J:J,'TRA TECH'!N:N))</f>
        <v>2020</v>
      </c>
      <c r="K316" s="15">
        <f>IF(H316="*","*",IF(_xlfn.XLOOKUP(H316,'TRA TECH'!J:J,'TRA TECH'!O:O)="","",_xlfn.XLOOKUP(H316,'TRA TECH'!J:J,'TRA TECH'!O:O)))</f>
        <v>25</v>
      </c>
      <c r="L316">
        <f t="shared" si="21"/>
        <v>1</v>
      </c>
      <c r="M316">
        <f>IF(H316="*","*",IF(_xlfn.XLOOKUP($H316,'TRA TECH'!$J:$J,'TRA TECH'!Q:Q)="","",_xlfn.XLOOKUP($H316,'TRA TECH'!$J:$J,'TRA TECH'!Q:Q)))</f>
        <v>5.0325941810213408E-3</v>
      </c>
      <c r="N316">
        <f>IF(H316="*","*",IF(_xlfn.XLOOKUP($H316,'TRA TECH'!$J:$J,'TRA TECH'!R:R)="","",_xlfn.XLOOKUP($H316,'TRA TECH'!$J:$J,'TRA TECH'!R:R)))</f>
        <v>5.0325941810213408E-3</v>
      </c>
      <c r="O316">
        <f>IF(H316="*","*",IF(_xlfn.XLOOKUP($H316,'TRA TECH'!$J:$J,'TRA TECH'!S:S)="","",_xlfn.XLOOKUP($H316,'TRA TECH'!$J:$J,'TRA TECH'!S:S)))</f>
        <v>5.0325941810213408E-3</v>
      </c>
      <c r="P316">
        <f>IF(H316="*","*",IF(_xlfn.XLOOKUP($H316,'TRA TECH'!$J:$J,'TRA TECH'!T:T)="","",_xlfn.XLOOKUP($H316,'TRA TECH'!$J:$J,'TRA TECH'!T:T)))</f>
        <v>5.0325941810213408E-3</v>
      </c>
      <c r="Q316">
        <f>IF(H316="*","*",IF(_xlfn.XLOOKUP($H316,'TRA TECH'!$J:$J,'TRA TECH'!U:U)="","",_xlfn.XLOOKUP($H316,'TRA TECH'!$J:$J,'TRA TECH'!U:U)))</f>
        <v>5.0325941810213408E-3</v>
      </c>
      <c r="R316">
        <f>IF(H316="*","*",IF(_xlfn.XLOOKUP($H316,'TRA TECH'!$J:$J,'TRA TECH'!V:V)="","",_xlfn.XLOOKUP($H316,'TRA TECH'!$J:$J,'TRA TECH'!V:V)))</f>
        <v>5.0325941810213408E-3</v>
      </c>
      <c r="S316">
        <f>IF(H316="*","*",IF(_xlfn.XLOOKUP($H316,'TRA TECH'!$J:$J,'TRA TECH'!W:W)="","",_xlfn.XLOOKUP($H316,'TRA TECH'!$J:$J,'TRA TECH'!W:W)))</f>
        <v>5.0325941810213408E-3</v>
      </c>
      <c r="T316">
        <f t="shared" si="22"/>
        <v>5.0325941810213408E-3</v>
      </c>
      <c r="U316">
        <f>IF(H316="*","*",IF(_xlfn.XLOOKUP($H316,'TRA TECH'!$J:$J,'TRA TECH'!X:X)="","",_xlfn.XLOOKUP($H316,'TRA TECH'!$J:$J,'TRA TECH'!X:X)))</f>
        <v>217642.10450528149</v>
      </c>
      <c r="V316">
        <f>IF(H316="*","*",IF(_xlfn.XLOOKUP($H316,'TRA TECH'!$J:$J,'TRA TECH'!Y:Y)="","",_xlfn.XLOOKUP($H316,'TRA TECH'!$J:$J,'TRA TECH'!Y:Y)))</f>
        <v>217642.10450528149</v>
      </c>
      <c r="W316">
        <f>IF(H316="*","*",IF(_xlfn.XLOOKUP($H316,'TRA TECH'!$J:$J,'TRA TECH'!Z:Z)="","",_xlfn.XLOOKUP($H316,'TRA TECH'!$J:$J,'TRA TECH'!Z:Z)))</f>
        <v>217642.10450528149</v>
      </c>
      <c r="X316">
        <f>IF(H316="*","*",IF(_xlfn.XLOOKUP($H316,'TRA TECH'!$J:$J,'TRA TECH'!AA:AA)="","",_xlfn.XLOOKUP($H316,'TRA TECH'!$J:$J,'TRA TECH'!AA:AA)))</f>
        <v>217642.10450528149</v>
      </c>
      <c r="Y316">
        <f>IF(H316="*","*",IF(_xlfn.XLOOKUP($H316,'TRA TECH'!$J:$J,'TRA TECH'!AB:AB)="","",_xlfn.XLOOKUP($H316,'TRA TECH'!$J:$J,'TRA TECH'!AB:AB)))</f>
        <v>217642.10450528149</v>
      </c>
      <c r="Z316">
        <f>IF(H316="*","*",IF(_xlfn.XLOOKUP($H316,'TRA TECH'!$J:$J,'TRA TECH'!AC:AC)="","",_xlfn.XLOOKUP($H316,'TRA TECH'!$J:$J,'TRA TECH'!AC:AC)))</f>
        <v>217642.10450528149</v>
      </c>
      <c r="AA316">
        <f>IF(H316="*","*",IF(_xlfn.XLOOKUP($H316,'TRA TECH'!$J:$J,'TRA TECH'!AD:AD)="","",_xlfn.XLOOKUP($H316,'TRA TECH'!$J:$J,'TRA TECH'!AD:AD)))</f>
        <v>217642.10450528149</v>
      </c>
      <c r="AB316">
        <f t="shared" si="23"/>
        <v>217642.10450528149</v>
      </c>
      <c r="AC316" s="15">
        <f>IF(H316="*","*",IF(_xlfn.XLOOKUP($H316,'TRA TECH'!$J:$J,'TRA TECH'!AE:AE)="","",_xlfn.XLOOKUP($H316,'TRA TECH'!$J:$J,'TRA TECH'!AE:AE)))</f>
        <v>1993.9916163953881</v>
      </c>
      <c r="AD316" s="15">
        <f>IF(H316="*","*",IF(_xlfn.XLOOKUP($H316,'TRA TECH'!$J:$J,'TRA TECH'!AF:AF)="","",_xlfn.XLOOKUP($H316,'TRA TECH'!$J:$J,'TRA TECH'!AF:AF)))</f>
        <v>1993.9916163953881</v>
      </c>
      <c r="AE316" s="15">
        <f>IF(H316="*","*",IF(_xlfn.XLOOKUP($H316,'TRA TECH'!$J:$J,'TRA TECH'!AG:AG)="","",_xlfn.XLOOKUP($H316,'TRA TECH'!$J:$J,'TRA TECH'!AG:AG)))</f>
        <v>1993.9916163953881</v>
      </c>
      <c r="AF316" s="15">
        <f>IF(H316="*","*",IF(_xlfn.XLOOKUP($H316,'TRA TECH'!$J:$J,'TRA TECH'!AH:AH)="","",_xlfn.XLOOKUP($H316,'TRA TECH'!$J:$J,'TRA TECH'!AH:AH)))</f>
        <v>1993.9916163953881</v>
      </c>
      <c r="AG316" s="15">
        <f>IF(H316="*","*",IF(_xlfn.XLOOKUP($H316,'TRA TECH'!$J:$J,'TRA TECH'!AI:AI)="","",_xlfn.XLOOKUP($H316,'TRA TECH'!$J:$J,'TRA TECH'!AI:AI)))</f>
        <v>1993.9916163953881</v>
      </c>
      <c r="AH316" s="15">
        <f>IF(H316="*","*",IF(_xlfn.XLOOKUP($H316,'TRA TECH'!$J:$J,'TRA TECH'!AJ:AJ)="","",_xlfn.XLOOKUP($H316,'TRA TECH'!$J:$J,'TRA TECH'!AJ:AJ)))</f>
        <v>1993.9916163953881</v>
      </c>
      <c r="AI316" s="15">
        <f>IF(H316="*","*",IF(_xlfn.XLOOKUP($H316,'TRA TECH'!$J:$J,'TRA TECH'!AK:AK)="","",_xlfn.XLOOKUP($H316,'TRA TECH'!$J:$J,'TRA TECH'!AK:AK)))</f>
        <v>1993.9916163953881</v>
      </c>
      <c r="AJ316" s="15">
        <f t="shared" si="24"/>
        <v>1993.9916163953881</v>
      </c>
      <c r="AK316" s="16">
        <f t="shared" si="25"/>
        <v>0.1</v>
      </c>
    </row>
    <row r="317" spans="2:37" x14ac:dyDescent="0.25">
      <c r="B317" t="str">
        <f>IF('TRA TECH'!M313=0,"*",IF('TRA TECH'!H313="","*",'TRA TECH'!J313))</f>
        <v>TRAOTHAIRTURHBR20</v>
      </c>
      <c r="C317" t="str">
        <f>IF('TRA TECH'!M313=0,"*",'TRA TECH'!H313)</f>
        <v>TRASAF</v>
      </c>
      <c r="D317" t="s">
        <v>424</v>
      </c>
      <c r="E317" s="9">
        <f>'TRA TECH'!P313</f>
        <v>1</v>
      </c>
      <c r="H317" t="str">
        <f>IF('TRA TECH'!M313=1,IF('TRA TECH'!L313=1,'TRA TECH'!J313,"*"),"*")</f>
        <v>*</v>
      </c>
      <c r="I317" t="str">
        <f>IF(H317="*","*",_xlfn.XLOOKUP(H317,'TRA TECH'!J:J,'TRA TECH'!I:I))</f>
        <v>*</v>
      </c>
      <c r="J317" t="str">
        <f>IF(H317="*","*",_xlfn.XLOOKUP(H317,'TRA TECH'!J:J,'TRA TECH'!N:N))</f>
        <v>*</v>
      </c>
      <c r="K317" s="15" t="str">
        <f>IF(H317="*","*",IF(_xlfn.XLOOKUP(H317,'TRA TECH'!J:J,'TRA TECH'!O:O)="","",_xlfn.XLOOKUP(H317,'TRA TECH'!J:J,'TRA TECH'!O:O)))</f>
        <v>*</v>
      </c>
      <c r="L317" t="str">
        <f t="shared" si="21"/>
        <v>*</v>
      </c>
      <c r="M317" t="str">
        <f>IF(H317="*","*",IF(_xlfn.XLOOKUP($H317,'TRA TECH'!$J:$J,'TRA TECH'!Q:Q)="","",_xlfn.XLOOKUP($H317,'TRA TECH'!$J:$J,'TRA TECH'!Q:Q)))</f>
        <v>*</v>
      </c>
      <c r="N317" t="str">
        <f>IF(H317="*","*",IF(_xlfn.XLOOKUP($H317,'TRA TECH'!$J:$J,'TRA TECH'!R:R)="","",_xlfn.XLOOKUP($H317,'TRA TECH'!$J:$J,'TRA TECH'!R:R)))</f>
        <v>*</v>
      </c>
      <c r="O317" t="str">
        <f>IF(H317="*","*",IF(_xlfn.XLOOKUP($H317,'TRA TECH'!$J:$J,'TRA TECH'!S:S)="","",_xlfn.XLOOKUP($H317,'TRA TECH'!$J:$J,'TRA TECH'!S:S)))</f>
        <v>*</v>
      </c>
      <c r="P317" t="str">
        <f>IF(H317="*","*",IF(_xlfn.XLOOKUP($H317,'TRA TECH'!$J:$J,'TRA TECH'!T:T)="","",_xlfn.XLOOKUP($H317,'TRA TECH'!$J:$J,'TRA TECH'!T:T)))</f>
        <v>*</v>
      </c>
      <c r="Q317" t="str">
        <f>IF(H317="*","*",IF(_xlfn.XLOOKUP($H317,'TRA TECH'!$J:$J,'TRA TECH'!U:U)="","",_xlfn.XLOOKUP($H317,'TRA TECH'!$J:$J,'TRA TECH'!U:U)))</f>
        <v>*</v>
      </c>
      <c r="R317" t="str">
        <f>IF(H317="*","*",IF(_xlfn.XLOOKUP($H317,'TRA TECH'!$J:$J,'TRA TECH'!V:V)="","",_xlfn.XLOOKUP($H317,'TRA TECH'!$J:$J,'TRA TECH'!V:V)))</f>
        <v>*</v>
      </c>
      <c r="S317" t="str">
        <f>IF(H317="*","*",IF(_xlfn.XLOOKUP($H317,'TRA TECH'!$J:$J,'TRA TECH'!W:W)="","",_xlfn.XLOOKUP($H317,'TRA TECH'!$J:$J,'TRA TECH'!W:W)))</f>
        <v>*</v>
      </c>
      <c r="T317" t="str">
        <f t="shared" si="22"/>
        <v>*</v>
      </c>
      <c r="U317" t="str">
        <f>IF(H317="*","*",IF(_xlfn.XLOOKUP($H317,'TRA TECH'!$J:$J,'TRA TECH'!X:X)="","",_xlfn.XLOOKUP($H317,'TRA TECH'!$J:$J,'TRA TECH'!X:X)))</f>
        <v>*</v>
      </c>
      <c r="V317" t="str">
        <f>IF(H317="*","*",IF(_xlfn.XLOOKUP($H317,'TRA TECH'!$J:$J,'TRA TECH'!Y:Y)="","",_xlfn.XLOOKUP($H317,'TRA TECH'!$J:$J,'TRA TECH'!Y:Y)))</f>
        <v>*</v>
      </c>
      <c r="W317" t="str">
        <f>IF(H317="*","*",IF(_xlfn.XLOOKUP($H317,'TRA TECH'!$J:$J,'TRA TECH'!Z:Z)="","",_xlfn.XLOOKUP($H317,'TRA TECH'!$J:$J,'TRA TECH'!Z:Z)))</f>
        <v>*</v>
      </c>
      <c r="X317" t="str">
        <f>IF(H317="*","*",IF(_xlfn.XLOOKUP($H317,'TRA TECH'!$J:$J,'TRA TECH'!AA:AA)="","",_xlfn.XLOOKUP($H317,'TRA TECH'!$J:$J,'TRA TECH'!AA:AA)))</f>
        <v>*</v>
      </c>
      <c r="Y317" t="str">
        <f>IF(H317="*","*",IF(_xlfn.XLOOKUP($H317,'TRA TECH'!$J:$J,'TRA TECH'!AB:AB)="","",_xlfn.XLOOKUP($H317,'TRA TECH'!$J:$J,'TRA TECH'!AB:AB)))</f>
        <v>*</v>
      </c>
      <c r="Z317" t="str">
        <f>IF(H317="*","*",IF(_xlfn.XLOOKUP($H317,'TRA TECH'!$J:$J,'TRA TECH'!AC:AC)="","",_xlfn.XLOOKUP($H317,'TRA TECH'!$J:$J,'TRA TECH'!AC:AC)))</f>
        <v>*</v>
      </c>
      <c r="AA317" t="str">
        <f>IF(H317="*","*",IF(_xlfn.XLOOKUP($H317,'TRA TECH'!$J:$J,'TRA TECH'!AD:AD)="","",_xlfn.XLOOKUP($H317,'TRA TECH'!$J:$J,'TRA TECH'!AD:AD)))</f>
        <v>*</v>
      </c>
      <c r="AB317" t="str">
        <f t="shared" si="23"/>
        <v>*</v>
      </c>
      <c r="AC317" s="15" t="str">
        <f>IF(H317="*","*",IF(_xlfn.XLOOKUP($H317,'TRA TECH'!$J:$J,'TRA TECH'!AE:AE)="","",_xlfn.XLOOKUP($H317,'TRA TECH'!$J:$J,'TRA TECH'!AE:AE)))</f>
        <v>*</v>
      </c>
      <c r="AD317" s="15" t="str">
        <f>IF(H317="*","*",IF(_xlfn.XLOOKUP($H317,'TRA TECH'!$J:$J,'TRA TECH'!AF:AF)="","",_xlfn.XLOOKUP($H317,'TRA TECH'!$J:$J,'TRA TECH'!AF:AF)))</f>
        <v>*</v>
      </c>
      <c r="AE317" s="15" t="str">
        <f>IF(H317="*","*",IF(_xlfn.XLOOKUP($H317,'TRA TECH'!$J:$J,'TRA TECH'!AG:AG)="","",_xlfn.XLOOKUP($H317,'TRA TECH'!$J:$J,'TRA TECH'!AG:AG)))</f>
        <v>*</v>
      </c>
      <c r="AF317" s="15" t="str">
        <f>IF(H317="*","*",IF(_xlfn.XLOOKUP($H317,'TRA TECH'!$J:$J,'TRA TECH'!AH:AH)="","",_xlfn.XLOOKUP($H317,'TRA TECH'!$J:$J,'TRA TECH'!AH:AH)))</f>
        <v>*</v>
      </c>
      <c r="AG317" s="15" t="str">
        <f>IF(H317="*","*",IF(_xlfn.XLOOKUP($H317,'TRA TECH'!$J:$J,'TRA TECH'!AI:AI)="","",_xlfn.XLOOKUP($H317,'TRA TECH'!$J:$J,'TRA TECH'!AI:AI)))</f>
        <v>*</v>
      </c>
      <c r="AH317" s="15" t="str">
        <f>IF(H317="*","*",IF(_xlfn.XLOOKUP($H317,'TRA TECH'!$J:$J,'TRA TECH'!AJ:AJ)="","",_xlfn.XLOOKUP($H317,'TRA TECH'!$J:$J,'TRA TECH'!AJ:AJ)))</f>
        <v>*</v>
      </c>
      <c r="AI317" s="15" t="str">
        <f>IF(H317="*","*",IF(_xlfn.XLOOKUP($H317,'TRA TECH'!$J:$J,'TRA TECH'!AK:AK)="","",_xlfn.XLOOKUP($H317,'TRA TECH'!$J:$J,'TRA TECH'!AK:AK)))</f>
        <v>*</v>
      </c>
      <c r="AJ317" s="15" t="str">
        <f t="shared" si="24"/>
        <v>*</v>
      </c>
      <c r="AK317" s="16" t="str">
        <f t="shared" si="25"/>
        <v>*</v>
      </c>
    </row>
    <row r="318" spans="2:37" x14ac:dyDescent="0.25">
      <c r="B318" t="str">
        <f>IF('TRA TECH'!M314=0,"*",IF('TRA TECH'!H314="","*",'TRA TECH'!J314))</f>
        <v>TRAOTHAIRTURGJE20</v>
      </c>
      <c r="C318" t="str">
        <f>IF('TRA TECH'!M314=0,"*",'TRA TECH'!H314)</f>
        <v>TRAATF</v>
      </c>
      <c r="D318" t="s">
        <v>424</v>
      </c>
      <c r="E318" s="9">
        <f>'TRA TECH'!P314</f>
        <v>1</v>
      </c>
      <c r="H318" t="str">
        <f>IF('TRA TECH'!M314=1,IF('TRA TECH'!L314=1,'TRA TECH'!J314,"*"),"*")</f>
        <v>TRAOTHAIRTURGJE20</v>
      </c>
      <c r="I318" t="str">
        <f>IF(H318="*","*",_xlfn.XLOOKUP(H318,'TRA TECH'!J:J,'TRA TECH'!I:I))</f>
        <v>TRAOTHAIRDMD</v>
      </c>
      <c r="J318">
        <f>IF(H318="*","*",_xlfn.XLOOKUP(H318,'TRA TECH'!J:J,'TRA TECH'!N:N))</f>
        <v>2020</v>
      </c>
      <c r="K318" s="15">
        <f>IF(H318="*","*",IF(_xlfn.XLOOKUP(H318,'TRA TECH'!J:J,'TRA TECH'!O:O)="","",_xlfn.XLOOKUP(H318,'TRA TECH'!J:J,'TRA TECH'!O:O)))</f>
        <v>25</v>
      </c>
      <c r="L318">
        <f t="shared" si="21"/>
        <v>1</v>
      </c>
      <c r="M318">
        <f>IF(H318="*","*",IF(_xlfn.XLOOKUP($H318,'TRA TECH'!$J:$J,'TRA TECH'!Q:Q)="","",_xlfn.XLOOKUP($H318,'TRA TECH'!$J:$J,'TRA TECH'!Q:Q)))</f>
        <v>5.0325941810213408E-3</v>
      </c>
      <c r="N318">
        <f>IF(H318="*","*",IF(_xlfn.XLOOKUP($H318,'TRA TECH'!$J:$J,'TRA TECH'!R:R)="","",_xlfn.XLOOKUP($H318,'TRA TECH'!$J:$J,'TRA TECH'!R:R)))</f>
        <v>5.0325941810213408E-3</v>
      </c>
      <c r="O318">
        <f>IF(H318="*","*",IF(_xlfn.XLOOKUP($H318,'TRA TECH'!$J:$J,'TRA TECH'!S:S)="","",_xlfn.XLOOKUP($H318,'TRA TECH'!$J:$J,'TRA TECH'!S:S)))</f>
        <v>5.0325941810213408E-3</v>
      </c>
      <c r="P318">
        <f>IF(H318="*","*",IF(_xlfn.XLOOKUP($H318,'TRA TECH'!$J:$J,'TRA TECH'!T:T)="","",_xlfn.XLOOKUP($H318,'TRA TECH'!$J:$J,'TRA TECH'!T:T)))</f>
        <v>5.0325941810213408E-3</v>
      </c>
      <c r="Q318">
        <f>IF(H318="*","*",IF(_xlfn.XLOOKUP($H318,'TRA TECH'!$J:$J,'TRA TECH'!U:U)="","",_xlfn.XLOOKUP($H318,'TRA TECH'!$J:$J,'TRA TECH'!U:U)))</f>
        <v>5.0325941810213408E-3</v>
      </c>
      <c r="R318">
        <f>IF(H318="*","*",IF(_xlfn.XLOOKUP($H318,'TRA TECH'!$J:$J,'TRA TECH'!V:V)="","",_xlfn.XLOOKUP($H318,'TRA TECH'!$J:$J,'TRA TECH'!V:V)))</f>
        <v>5.0325941810213408E-3</v>
      </c>
      <c r="S318">
        <f>IF(H318="*","*",IF(_xlfn.XLOOKUP($H318,'TRA TECH'!$J:$J,'TRA TECH'!W:W)="","",_xlfn.XLOOKUP($H318,'TRA TECH'!$J:$J,'TRA TECH'!W:W)))</f>
        <v>5.0325941810213408E-3</v>
      </c>
      <c r="T318">
        <f t="shared" si="22"/>
        <v>5.0325941810213408E-3</v>
      </c>
      <c r="U318">
        <f>IF(H318="*","*",IF(_xlfn.XLOOKUP($H318,'TRA TECH'!$J:$J,'TRA TECH'!X:X)="","",_xlfn.XLOOKUP($H318,'TRA TECH'!$J:$J,'TRA TECH'!X:X)))</f>
        <v>167450.02350561251</v>
      </c>
      <c r="V318">
        <f>IF(H318="*","*",IF(_xlfn.XLOOKUP($H318,'TRA TECH'!$J:$J,'TRA TECH'!Y:Y)="","",_xlfn.XLOOKUP($H318,'TRA TECH'!$J:$J,'TRA TECH'!Y:Y)))</f>
        <v>167450.02350561251</v>
      </c>
      <c r="W318">
        <f>IF(H318="*","*",IF(_xlfn.XLOOKUP($H318,'TRA TECH'!$J:$J,'TRA TECH'!Z:Z)="","",_xlfn.XLOOKUP($H318,'TRA TECH'!$J:$J,'TRA TECH'!Z:Z)))</f>
        <v>167450.02350561251</v>
      </c>
      <c r="X318">
        <f>IF(H318="*","*",IF(_xlfn.XLOOKUP($H318,'TRA TECH'!$J:$J,'TRA TECH'!AA:AA)="","",_xlfn.XLOOKUP($H318,'TRA TECH'!$J:$J,'TRA TECH'!AA:AA)))</f>
        <v>167450.02350561251</v>
      </c>
      <c r="Y318">
        <f>IF(H318="*","*",IF(_xlfn.XLOOKUP($H318,'TRA TECH'!$J:$J,'TRA TECH'!AB:AB)="","",_xlfn.XLOOKUP($H318,'TRA TECH'!$J:$J,'TRA TECH'!AB:AB)))</f>
        <v>167450.02350561251</v>
      </c>
      <c r="Z318">
        <f>IF(H318="*","*",IF(_xlfn.XLOOKUP($H318,'TRA TECH'!$J:$J,'TRA TECH'!AC:AC)="","",_xlfn.XLOOKUP($H318,'TRA TECH'!$J:$J,'TRA TECH'!AC:AC)))</f>
        <v>167450.02350561251</v>
      </c>
      <c r="AA318">
        <f>IF(H318="*","*",IF(_xlfn.XLOOKUP($H318,'TRA TECH'!$J:$J,'TRA TECH'!AD:AD)="","",_xlfn.XLOOKUP($H318,'TRA TECH'!$J:$J,'TRA TECH'!AD:AD)))</f>
        <v>167450.02350561251</v>
      </c>
      <c r="AB318">
        <f t="shared" si="23"/>
        <v>167450.02350561251</v>
      </c>
      <c r="AC318" s="15">
        <f>IF(H318="*","*",IF(_xlfn.XLOOKUP($H318,'TRA TECH'!$J:$J,'TRA TECH'!AE:AE)="","",_xlfn.XLOOKUP($H318,'TRA TECH'!$J:$J,'TRA TECH'!AE:AE)))</f>
        <v>1534.1422276464859</v>
      </c>
      <c r="AD318" s="15">
        <f>IF(H318="*","*",IF(_xlfn.XLOOKUP($H318,'TRA TECH'!$J:$J,'TRA TECH'!AF:AF)="","",_xlfn.XLOOKUP($H318,'TRA TECH'!$J:$J,'TRA TECH'!AF:AF)))</f>
        <v>1534.1422276464859</v>
      </c>
      <c r="AE318" s="15">
        <f>IF(H318="*","*",IF(_xlfn.XLOOKUP($H318,'TRA TECH'!$J:$J,'TRA TECH'!AG:AG)="","",_xlfn.XLOOKUP($H318,'TRA TECH'!$J:$J,'TRA TECH'!AG:AG)))</f>
        <v>1534.1422276464859</v>
      </c>
      <c r="AF318" s="15">
        <f>IF(H318="*","*",IF(_xlfn.XLOOKUP($H318,'TRA TECH'!$J:$J,'TRA TECH'!AH:AH)="","",_xlfn.XLOOKUP($H318,'TRA TECH'!$J:$J,'TRA TECH'!AH:AH)))</f>
        <v>1534.1422276464859</v>
      </c>
      <c r="AG318" s="15">
        <f>IF(H318="*","*",IF(_xlfn.XLOOKUP($H318,'TRA TECH'!$J:$J,'TRA TECH'!AI:AI)="","",_xlfn.XLOOKUP($H318,'TRA TECH'!$J:$J,'TRA TECH'!AI:AI)))</f>
        <v>1534.1422276464859</v>
      </c>
      <c r="AH318" s="15">
        <f>IF(H318="*","*",IF(_xlfn.XLOOKUP($H318,'TRA TECH'!$J:$J,'TRA TECH'!AJ:AJ)="","",_xlfn.XLOOKUP($H318,'TRA TECH'!$J:$J,'TRA TECH'!AJ:AJ)))</f>
        <v>1534.1422276464859</v>
      </c>
      <c r="AI318" s="15">
        <f>IF(H318="*","*",IF(_xlfn.XLOOKUP($H318,'TRA TECH'!$J:$J,'TRA TECH'!AK:AK)="","",_xlfn.XLOOKUP($H318,'TRA TECH'!$J:$J,'TRA TECH'!AK:AK)))</f>
        <v>1534.1422276464859</v>
      </c>
      <c r="AJ318" s="15">
        <f t="shared" si="24"/>
        <v>1534.1422276464859</v>
      </c>
      <c r="AK318" s="16">
        <f t="shared" si="25"/>
        <v>0.1</v>
      </c>
    </row>
    <row r="319" spans="2:37" x14ac:dyDescent="0.25">
      <c r="B319" t="str">
        <f>IF('TRA TECH'!M315=0,"*",IF('TRA TECH'!H315="","*",'TRA TECH'!J315))</f>
        <v>TRAOTHAIRTURGJE20</v>
      </c>
      <c r="C319" t="str">
        <f>IF('TRA TECH'!M315=0,"*",'TRA TECH'!H315)</f>
        <v>TRASAF</v>
      </c>
      <c r="D319" t="s">
        <v>424</v>
      </c>
      <c r="E319" s="9">
        <f>'TRA TECH'!P315</f>
        <v>1</v>
      </c>
      <c r="H319" t="str">
        <f>IF('TRA TECH'!M315=1,IF('TRA TECH'!L315=1,'TRA TECH'!J315,"*"),"*")</f>
        <v>*</v>
      </c>
      <c r="I319" t="str">
        <f>IF(H319="*","*",_xlfn.XLOOKUP(H319,'TRA TECH'!J:J,'TRA TECH'!I:I))</f>
        <v>*</v>
      </c>
      <c r="J319" t="str">
        <f>IF(H319="*","*",_xlfn.XLOOKUP(H319,'TRA TECH'!J:J,'TRA TECH'!N:N))</f>
        <v>*</v>
      </c>
      <c r="K319" s="15" t="str">
        <f>IF(H319="*","*",IF(_xlfn.XLOOKUP(H319,'TRA TECH'!J:J,'TRA TECH'!O:O)="","",_xlfn.XLOOKUP(H319,'TRA TECH'!J:J,'TRA TECH'!O:O)))</f>
        <v>*</v>
      </c>
      <c r="L319" t="str">
        <f t="shared" si="21"/>
        <v>*</v>
      </c>
      <c r="M319" t="str">
        <f>IF(H319="*","*",IF(_xlfn.XLOOKUP($H319,'TRA TECH'!$J:$J,'TRA TECH'!Q:Q)="","",_xlfn.XLOOKUP($H319,'TRA TECH'!$J:$J,'TRA TECH'!Q:Q)))</f>
        <v>*</v>
      </c>
      <c r="N319" t="str">
        <f>IF(H319="*","*",IF(_xlfn.XLOOKUP($H319,'TRA TECH'!$J:$J,'TRA TECH'!R:R)="","",_xlfn.XLOOKUP($H319,'TRA TECH'!$J:$J,'TRA TECH'!R:R)))</f>
        <v>*</v>
      </c>
      <c r="O319" t="str">
        <f>IF(H319="*","*",IF(_xlfn.XLOOKUP($H319,'TRA TECH'!$J:$J,'TRA TECH'!S:S)="","",_xlfn.XLOOKUP($H319,'TRA TECH'!$J:$J,'TRA TECH'!S:S)))</f>
        <v>*</v>
      </c>
      <c r="P319" t="str">
        <f>IF(H319="*","*",IF(_xlfn.XLOOKUP($H319,'TRA TECH'!$J:$J,'TRA TECH'!T:T)="","",_xlfn.XLOOKUP($H319,'TRA TECH'!$J:$J,'TRA TECH'!T:T)))</f>
        <v>*</v>
      </c>
      <c r="Q319" t="str">
        <f>IF(H319="*","*",IF(_xlfn.XLOOKUP($H319,'TRA TECH'!$J:$J,'TRA TECH'!U:U)="","",_xlfn.XLOOKUP($H319,'TRA TECH'!$J:$J,'TRA TECH'!U:U)))</f>
        <v>*</v>
      </c>
      <c r="R319" t="str">
        <f>IF(H319="*","*",IF(_xlfn.XLOOKUP($H319,'TRA TECH'!$J:$J,'TRA TECH'!V:V)="","",_xlfn.XLOOKUP($H319,'TRA TECH'!$J:$J,'TRA TECH'!V:V)))</f>
        <v>*</v>
      </c>
      <c r="S319" t="str">
        <f>IF(H319="*","*",IF(_xlfn.XLOOKUP($H319,'TRA TECH'!$J:$J,'TRA TECH'!W:W)="","",_xlfn.XLOOKUP($H319,'TRA TECH'!$J:$J,'TRA TECH'!W:W)))</f>
        <v>*</v>
      </c>
      <c r="T319" t="str">
        <f t="shared" si="22"/>
        <v>*</v>
      </c>
      <c r="U319" t="str">
        <f>IF(H319="*","*",IF(_xlfn.XLOOKUP($H319,'TRA TECH'!$J:$J,'TRA TECH'!X:X)="","",_xlfn.XLOOKUP($H319,'TRA TECH'!$J:$J,'TRA TECH'!X:X)))</f>
        <v>*</v>
      </c>
      <c r="V319" t="str">
        <f>IF(H319="*","*",IF(_xlfn.XLOOKUP($H319,'TRA TECH'!$J:$J,'TRA TECH'!Y:Y)="","",_xlfn.XLOOKUP($H319,'TRA TECH'!$J:$J,'TRA TECH'!Y:Y)))</f>
        <v>*</v>
      </c>
      <c r="W319" t="str">
        <f>IF(H319="*","*",IF(_xlfn.XLOOKUP($H319,'TRA TECH'!$J:$J,'TRA TECH'!Z:Z)="","",_xlfn.XLOOKUP($H319,'TRA TECH'!$J:$J,'TRA TECH'!Z:Z)))</f>
        <v>*</v>
      </c>
      <c r="X319" t="str">
        <f>IF(H319="*","*",IF(_xlfn.XLOOKUP($H319,'TRA TECH'!$J:$J,'TRA TECH'!AA:AA)="","",_xlfn.XLOOKUP($H319,'TRA TECH'!$J:$J,'TRA TECH'!AA:AA)))</f>
        <v>*</v>
      </c>
      <c r="Y319" t="str">
        <f>IF(H319="*","*",IF(_xlfn.XLOOKUP($H319,'TRA TECH'!$J:$J,'TRA TECH'!AB:AB)="","",_xlfn.XLOOKUP($H319,'TRA TECH'!$J:$J,'TRA TECH'!AB:AB)))</f>
        <v>*</v>
      </c>
      <c r="Z319" t="str">
        <f>IF(H319="*","*",IF(_xlfn.XLOOKUP($H319,'TRA TECH'!$J:$J,'TRA TECH'!AC:AC)="","",_xlfn.XLOOKUP($H319,'TRA TECH'!$J:$J,'TRA TECH'!AC:AC)))</f>
        <v>*</v>
      </c>
      <c r="AA319" t="str">
        <f>IF(H319="*","*",IF(_xlfn.XLOOKUP($H319,'TRA TECH'!$J:$J,'TRA TECH'!AD:AD)="","",_xlfn.XLOOKUP($H319,'TRA TECH'!$J:$J,'TRA TECH'!AD:AD)))</f>
        <v>*</v>
      </c>
      <c r="AB319" t="str">
        <f t="shared" si="23"/>
        <v>*</v>
      </c>
      <c r="AC319" s="15" t="str">
        <f>IF(H319="*","*",IF(_xlfn.XLOOKUP($H319,'TRA TECH'!$J:$J,'TRA TECH'!AE:AE)="","",_xlfn.XLOOKUP($H319,'TRA TECH'!$J:$J,'TRA TECH'!AE:AE)))</f>
        <v>*</v>
      </c>
      <c r="AD319" s="15" t="str">
        <f>IF(H319="*","*",IF(_xlfn.XLOOKUP($H319,'TRA TECH'!$J:$J,'TRA TECH'!AF:AF)="","",_xlfn.XLOOKUP($H319,'TRA TECH'!$J:$J,'TRA TECH'!AF:AF)))</f>
        <v>*</v>
      </c>
      <c r="AE319" s="15" t="str">
        <f>IF(H319="*","*",IF(_xlfn.XLOOKUP($H319,'TRA TECH'!$J:$J,'TRA TECH'!AG:AG)="","",_xlfn.XLOOKUP($H319,'TRA TECH'!$J:$J,'TRA TECH'!AG:AG)))</f>
        <v>*</v>
      </c>
      <c r="AF319" s="15" t="str">
        <f>IF(H319="*","*",IF(_xlfn.XLOOKUP($H319,'TRA TECH'!$J:$J,'TRA TECH'!AH:AH)="","",_xlfn.XLOOKUP($H319,'TRA TECH'!$J:$J,'TRA TECH'!AH:AH)))</f>
        <v>*</v>
      </c>
      <c r="AG319" s="15" t="str">
        <f>IF(H319="*","*",IF(_xlfn.XLOOKUP($H319,'TRA TECH'!$J:$J,'TRA TECH'!AI:AI)="","",_xlfn.XLOOKUP($H319,'TRA TECH'!$J:$J,'TRA TECH'!AI:AI)))</f>
        <v>*</v>
      </c>
      <c r="AH319" s="15" t="str">
        <f>IF(H319="*","*",IF(_xlfn.XLOOKUP($H319,'TRA TECH'!$J:$J,'TRA TECH'!AJ:AJ)="","",_xlfn.XLOOKUP($H319,'TRA TECH'!$J:$J,'TRA TECH'!AJ:AJ)))</f>
        <v>*</v>
      </c>
      <c r="AI319" s="15" t="str">
        <f>IF(H319="*","*",IF(_xlfn.XLOOKUP($H319,'TRA TECH'!$J:$J,'TRA TECH'!AK:AK)="","",_xlfn.XLOOKUP($H319,'TRA TECH'!$J:$J,'TRA TECH'!AK:AK)))</f>
        <v>*</v>
      </c>
      <c r="AJ319" s="15" t="str">
        <f t="shared" si="24"/>
        <v>*</v>
      </c>
      <c r="AK319" s="16" t="str">
        <f t="shared" si="25"/>
        <v>*</v>
      </c>
    </row>
    <row r="320" spans="2:37" x14ac:dyDescent="0.25">
      <c r="B320" t="str">
        <f>IF('TRA TECH'!M316=0,"*",IF('TRA TECH'!H316="","*",'TRA TECH'!J316))</f>
        <v>TRAOTHAIRTURORE20</v>
      </c>
      <c r="C320" t="str">
        <f>IF('TRA TECH'!M316=0,"*",'TRA TECH'!H316)</f>
        <v>TRAATF</v>
      </c>
      <c r="D320" t="s">
        <v>424</v>
      </c>
      <c r="E320" s="9">
        <f>'TRA TECH'!P316</f>
        <v>1</v>
      </c>
      <c r="H320" t="str">
        <f>IF('TRA TECH'!M316=1,IF('TRA TECH'!L316=1,'TRA TECH'!J316,"*"),"*")</f>
        <v>TRAOTHAIRTURORE20</v>
      </c>
      <c r="I320" t="str">
        <f>IF(H320="*","*",_xlfn.XLOOKUP(H320,'TRA TECH'!J:J,'TRA TECH'!I:I))</f>
        <v>TRAOTHAIRDMD</v>
      </c>
      <c r="J320">
        <f>IF(H320="*","*",_xlfn.XLOOKUP(H320,'TRA TECH'!J:J,'TRA TECH'!N:N))</f>
        <v>2020</v>
      </c>
      <c r="K320" s="15">
        <f>IF(H320="*","*",IF(_xlfn.XLOOKUP(H320,'TRA TECH'!J:J,'TRA TECH'!O:O)="","",_xlfn.XLOOKUP(H320,'TRA TECH'!J:J,'TRA TECH'!O:O)))</f>
        <v>25</v>
      </c>
      <c r="L320">
        <f t="shared" si="21"/>
        <v>1</v>
      </c>
      <c r="M320">
        <f>IF(H320="*","*",IF(_xlfn.XLOOKUP($H320,'TRA TECH'!$J:$J,'TRA TECH'!Q:Q)="","",_xlfn.XLOOKUP($H320,'TRA TECH'!$J:$J,'TRA TECH'!Q:Q)))</f>
        <v>5.180611656933733E-3</v>
      </c>
      <c r="N320">
        <f>IF(H320="*","*",IF(_xlfn.XLOOKUP($H320,'TRA TECH'!$J:$J,'TRA TECH'!R:R)="","",_xlfn.XLOOKUP($H320,'TRA TECH'!$J:$J,'TRA TECH'!R:R)))</f>
        <v>5.180611656933733E-3</v>
      </c>
      <c r="O320">
        <f>IF(H320="*","*",IF(_xlfn.XLOOKUP($H320,'TRA TECH'!$J:$J,'TRA TECH'!S:S)="","",_xlfn.XLOOKUP($H320,'TRA TECH'!$J:$J,'TRA TECH'!S:S)))</f>
        <v>5.180611656933733E-3</v>
      </c>
      <c r="P320">
        <f>IF(H320="*","*",IF(_xlfn.XLOOKUP($H320,'TRA TECH'!$J:$J,'TRA TECH'!T:T)="","",_xlfn.XLOOKUP($H320,'TRA TECH'!$J:$J,'TRA TECH'!T:T)))</f>
        <v>5.180611656933733E-3</v>
      </c>
      <c r="Q320">
        <f>IF(H320="*","*",IF(_xlfn.XLOOKUP($H320,'TRA TECH'!$J:$J,'TRA TECH'!U:U)="","",_xlfn.XLOOKUP($H320,'TRA TECH'!$J:$J,'TRA TECH'!U:U)))</f>
        <v>5.180611656933733E-3</v>
      </c>
      <c r="R320">
        <f>IF(H320="*","*",IF(_xlfn.XLOOKUP($H320,'TRA TECH'!$J:$J,'TRA TECH'!V:V)="","",_xlfn.XLOOKUP($H320,'TRA TECH'!$J:$J,'TRA TECH'!V:V)))</f>
        <v>5.180611656933733E-3</v>
      </c>
      <c r="S320">
        <f>IF(H320="*","*",IF(_xlfn.XLOOKUP($H320,'TRA TECH'!$J:$J,'TRA TECH'!W:W)="","",_xlfn.XLOOKUP($H320,'TRA TECH'!$J:$J,'TRA TECH'!W:W)))</f>
        <v>5.180611656933733E-3</v>
      </c>
      <c r="T320">
        <f t="shared" si="22"/>
        <v>5.180611656933733E-3</v>
      </c>
      <c r="U320">
        <f>IF(H320="*","*",IF(_xlfn.XLOOKUP($H320,'TRA TECH'!$J:$J,'TRA TECH'!X:X)="","",_xlfn.XLOOKUP($H320,'TRA TECH'!$J:$J,'TRA TECH'!X:X)))</f>
        <v>306294.69289847172</v>
      </c>
      <c r="V320">
        <f>IF(H320="*","*",IF(_xlfn.XLOOKUP($H320,'TRA TECH'!$J:$J,'TRA TECH'!Y:Y)="","",_xlfn.XLOOKUP($H320,'TRA TECH'!$J:$J,'TRA TECH'!Y:Y)))</f>
        <v>306294.69289847172</v>
      </c>
      <c r="W320">
        <f>IF(H320="*","*",IF(_xlfn.XLOOKUP($H320,'TRA TECH'!$J:$J,'TRA TECH'!Z:Z)="","",_xlfn.XLOOKUP($H320,'TRA TECH'!$J:$J,'TRA TECH'!Z:Z)))</f>
        <v>306294.69289847172</v>
      </c>
      <c r="X320">
        <f>IF(H320="*","*",IF(_xlfn.XLOOKUP($H320,'TRA TECH'!$J:$J,'TRA TECH'!AA:AA)="","",_xlfn.XLOOKUP($H320,'TRA TECH'!$J:$J,'TRA TECH'!AA:AA)))</f>
        <v>306294.69289847172</v>
      </c>
      <c r="Y320">
        <f>IF(H320="*","*",IF(_xlfn.XLOOKUP($H320,'TRA TECH'!$J:$J,'TRA TECH'!AB:AB)="","",_xlfn.XLOOKUP($H320,'TRA TECH'!$J:$J,'TRA TECH'!AB:AB)))</f>
        <v>306294.69289847172</v>
      </c>
      <c r="Z320">
        <f>IF(H320="*","*",IF(_xlfn.XLOOKUP($H320,'TRA TECH'!$J:$J,'TRA TECH'!AC:AC)="","",_xlfn.XLOOKUP($H320,'TRA TECH'!$J:$J,'TRA TECH'!AC:AC)))</f>
        <v>306294.69289847172</v>
      </c>
      <c r="AA320">
        <f>IF(H320="*","*",IF(_xlfn.XLOOKUP($H320,'TRA TECH'!$J:$J,'TRA TECH'!AD:AD)="","",_xlfn.XLOOKUP($H320,'TRA TECH'!$J:$J,'TRA TECH'!AD:AD)))</f>
        <v>306294.69289847172</v>
      </c>
      <c r="AB320">
        <f t="shared" si="23"/>
        <v>306294.69289847172</v>
      </c>
      <c r="AC320" s="15">
        <f>IF(H320="*","*",IF(_xlfn.XLOOKUP($H320,'TRA TECH'!$J:$J,'TRA TECH'!AE:AE)="","",_xlfn.XLOOKUP($H320,'TRA TECH'!$J:$J,'TRA TECH'!AE:AE)))</f>
        <v>2806.2081607519622</v>
      </c>
      <c r="AD320" s="15">
        <f>IF(H320="*","*",IF(_xlfn.XLOOKUP($H320,'TRA TECH'!$J:$J,'TRA TECH'!AF:AF)="","",_xlfn.XLOOKUP($H320,'TRA TECH'!$J:$J,'TRA TECH'!AF:AF)))</f>
        <v>2806.2081607519622</v>
      </c>
      <c r="AE320" s="15">
        <f>IF(H320="*","*",IF(_xlfn.XLOOKUP($H320,'TRA TECH'!$J:$J,'TRA TECH'!AG:AG)="","",_xlfn.XLOOKUP($H320,'TRA TECH'!$J:$J,'TRA TECH'!AG:AG)))</f>
        <v>2806.2081607519622</v>
      </c>
      <c r="AF320" s="15">
        <f>IF(H320="*","*",IF(_xlfn.XLOOKUP($H320,'TRA TECH'!$J:$J,'TRA TECH'!AH:AH)="","",_xlfn.XLOOKUP($H320,'TRA TECH'!$J:$J,'TRA TECH'!AH:AH)))</f>
        <v>2806.2081607519622</v>
      </c>
      <c r="AG320" s="15">
        <f>IF(H320="*","*",IF(_xlfn.XLOOKUP($H320,'TRA TECH'!$J:$J,'TRA TECH'!AI:AI)="","",_xlfn.XLOOKUP($H320,'TRA TECH'!$J:$J,'TRA TECH'!AI:AI)))</f>
        <v>2806.2081607519622</v>
      </c>
      <c r="AH320" s="15">
        <f>IF(H320="*","*",IF(_xlfn.XLOOKUP($H320,'TRA TECH'!$J:$J,'TRA TECH'!AJ:AJ)="","",_xlfn.XLOOKUP($H320,'TRA TECH'!$J:$J,'TRA TECH'!AJ:AJ)))</f>
        <v>2806.2081607519622</v>
      </c>
      <c r="AI320" s="15">
        <f>IF(H320="*","*",IF(_xlfn.XLOOKUP($H320,'TRA TECH'!$J:$J,'TRA TECH'!AK:AK)="","",_xlfn.XLOOKUP($H320,'TRA TECH'!$J:$J,'TRA TECH'!AK:AK)))</f>
        <v>2806.2081607519622</v>
      </c>
      <c r="AJ320" s="15">
        <f t="shared" si="24"/>
        <v>2806.2081607519622</v>
      </c>
      <c r="AK320" s="16">
        <f t="shared" si="25"/>
        <v>0.1</v>
      </c>
    </row>
    <row r="321" spans="2:37" x14ac:dyDescent="0.25">
      <c r="B321" t="str">
        <f>IF('TRA TECH'!M317=0,"*",IF('TRA TECH'!H317="","*",'TRA TECH'!J317))</f>
        <v>TRAOTHAIRTURORE20</v>
      </c>
      <c r="C321" t="str">
        <f>IF('TRA TECH'!M317=0,"*",'TRA TECH'!H317)</f>
        <v>TRASAF</v>
      </c>
      <c r="D321" t="s">
        <v>424</v>
      </c>
      <c r="E321" s="9">
        <f>'TRA TECH'!P317</f>
        <v>1</v>
      </c>
      <c r="H321" t="str">
        <f>IF('TRA TECH'!M317=1,IF('TRA TECH'!L317=1,'TRA TECH'!J317,"*"),"*")</f>
        <v>*</v>
      </c>
      <c r="I321" t="str">
        <f>IF(H321="*","*",_xlfn.XLOOKUP(H321,'TRA TECH'!J:J,'TRA TECH'!I:I))</f>
        <v>*</v>
      </c>
      <c r="J321" t="str">
        <f>IF(H321="*","*",_xlfn.XLOOKUP(H321,'TRA TECH'!J:J,'TRA TECH'!N:N))</f>
        <v>*</v>
      </c>
      <c r="K321" s="15" t="str">
        <f>IF(H321="*","*",IF(_xlfn.XLOOKUP(H321,'TRA TECH'!J:J,'TRA TECH'!O:O)="","",_xlfn.XLOOKUP(H321,'TRA TECH'!J:J,'TRA TECH'!O:O)))</f>
        <v>*</v>
      </c>
      <c r="L321" t="str">
        <f t="shared" si="21"/>
        <v>*</v>
      </c>
      <c r="M321" t="str">
        <f>IF(H321="*","*",IF(_xlfn.XLOOKUP($H321,'TRA TECH'!$J:$J,'TRA TECH'!Q:Q)="","",_xlfn.XLOOKUP($H321,'TRA TECH'!$J:$J,'TRA TECH'!Q:Q)))</f>
        <v>*</v>
      </c>
      <c r="N321" t="str">
        <f>IF(H321="*","*",IF(_xlfn.XLOOKUP($H321,'TRA TECH'!$J:$J,'TRA TECH'!R:R)="","",_xlfn.XLOOKUP($H321,'TRA TECH'!$J:$J,'TRA TECH'!R:R)))</f>
        <v>*</v>
      </c>
      <c r="O321" t="str">
        <f>IF(H321="*","*",IF(_xlfn.XLOOKUP($H321,'TRA TECH'!$J:$J,'TRA TECH'!S:S)="","",_xlfn.XLOOKUP($H321,'TRA TECH'!$J:$J,'TRA TECH'!S:S)))</f>
        <v>*</v>
      </c>
      <c r="P321" t="str">
        <f>IF(H321="*","*",IF(_xlfn.XLOOKUP($H321,'TRA TECH'!$J:$J,'TRA TECH'!T:T)="","",_xlfn.XLOOKUP($H321,'TRA TECH'!$J:$J,'TRA TECH'!T:T)))</f>
        <v>*</v>
      </c>
      <c r="Q321" t="str">
        <f>IF(H321="*","*",IF(_xlfn.XLOOKUP($H321,'TRA TECH'!$J:$J,'TRA TECH'!U:U)="","",_xlfn.XLOOKUP($H321,'TRA TECH'!$J:$J,'TRA TECH'!U:U)))</f>
        <v>*</v>
      </c>
      <c r="R321" t="str">
        <f>IF(H321="*","*",IF(_xlfn.XLOOKUP($H321,'TRA TECH'!$J:$J,'TRA TECH'!V:V)="","",_xlfn.XLOOKUP($H321,'TRA TECH'!$J:$J,'TRA TECH'!V:V)))</f>
        <v>*</v>
      </c>
      <c r="S321" t="str">
        <f>IF(H321="*","*",IF(_xlfn.XLOOKUP($H321,'TRA TECH'!$J:$J,'TRA TECH'!W:W)="","",_xlfn.XLOOKUP($H321,'TRA TECH'!$J:$J,'TRA TECH'!W:W)))</f>
        <v>*</v>
      </c>
      <c r="T321" t="str">
        <f t="shared" si="22"/>
        <v>*</v>
      </c>
      <c r="U321" t="str">
        <f>IF(H321="*","*",IF(_xlfn.XLOOKUP($H321,'TRA TECH'!$J:$J,'TRA TECH'!X:X)="","",_xlfn.XLOOKUP($H321,'TRA TECH'!$J:$J,'TRA TECH'!X:X)))</f>
        <v>*</v>
      </c>
      <c r="V321" t="str">
        <f>IF(H321="*","*",IF(_xlfn.XLOOKUP($H321,'TRA TECH'!$J:$J,'TRA TECH'!Y:Y)="","",_xlfn.XLOOKUP($H321,'TRA TECH'!$J:$J,'TRA TECH'!Y:Y)))</f>
        <v>*</v>
      </c>
      <c r="W321" t="str">
        <f>IF(H321="*","*",IF(_xlfn.XLOOKUP($H321,'TRA TECH'!$J:$J,'TRA TECH'!Z:Z)="","",_xlfn.XLOOKUP($H321,'TRA TECH'!$J:$J,'TRA TECH'!Z:Z)))</f>
        <v>*</v>
      </c>
      <c r="X321" t="str">
        <f>IF(H321="*","*",IF(_xlfn.XLOOKUP($H321,'TRA TECH'!$J:$J,'TRA TECH'!AA:AA)="","",_xlfn.XLOOKUP($H321,'TRA TECH'!$J:$J,'TRA TECH'!AA:AA)))</f>
        <v>*</v>
      </c>
      <c r="Y321" t="str">
        <f>IF(H321="*","*",IF(_xlfn.XLOOKUP($H321,'TRA TECH'!$J:$J,'TRA TECH'!AB:AB)="","",_xlfn.XLOOKUP($H321,'TRA TECH'!$J:$J,'TRA TECH'!AB:AB)))</f>
        <v>*</v>
      </c>
      <c r="Z321" t="str">
        <f>IF(H321="*","*",IF(_xlfn.XLOOKUP($H321,'TRA TECH'!$J:$J,'TRA TECH'!AC:AC)="","",_xlfn.XLOOKUP($H321,'TRA TECH'!$J:$J,'TRA TECH'!AC:AC)))</f>
        <v>*</v>
      </c>
      <c r="AA321" t="str">
        <f>IF(H321="*","*",IF(_xlfn.XLOOKUP($H321,'TRA TECH'!$J:$J,'TRA TECH'!AD:AD)="","",_xlfn.XLOOKUP($H321,'TRA TECH'!$J:$J,'TRA TECH'!AD:AD)))</f>
        <v>*</v>
      </c>
      <c r="AB321" t="str">
        <f t="shared" si="23"/>
        <v>*</v>
      </c>
      <c r="AC321" s="15" t="str">
        <f>IF(H321="*","*",IF(_xlfn.XLOOKUP($H321,'TRA TECH'!$J:$J,'TRA TECH'!AE:AE)="","",_xlfn.XLOOKUP($H321,'TRA TECH'!$J:$J,'TRA TECH'!AE:AE)))</f>
        <v>*</v>
      </c>
      <c r="AD321" s="15" t="str">
        <f>IF(H321="*","*",IF(_xlfn.XLOOKUP($H321,'TRA TECH'!$J:$J,'TRA TECH'!AF:AF)="","",_xlfn.XLOOKUP($H321,'TRA TECH'!$J:$J,'TRA TECH'!AF:AF)))</f>
        <v>*</v>
      </c>
      <c r="AE321" s="15" t="str">
        <f>IF(H321="*","*",IF(_xlfn.XLOOKUP($H321,'TRA TECH'!$J:$J,'TRA TECH'!AG:AG)="","",_xlfn.XLOOKUP($H321,'TRA TECH'!$J:$J,'TRA TECH'!AG:AG)))</f>
        <v>*</v>
      </c>
      <c r="AF321" s="15" t="str">
        <f>IF(H321="*","*",IF(_xlfn.XLOOKUP($H321,'TRA TECH'!$J:$J,'TRA TECH'!AH:AH)="","",_xlfn.XLOOKUP($H321,'TRA TECH'!$J:$J,'TRA TECH'!AH:AH)))</f>
        <v>*</v>
      </c>
      <c r="AG321" s="15" t="str">
        <f>IF(H321="*","*",IF(_xlfn.XLOOKUP($H321,'TRA TECH'!$J:$J,'TRA TECH'!AI:AI)="","",_xlfn.XLOOKUP($H321,'TRA TECH'!$J:$J,'TRA TECH'!AI:AI)))</f>
        <v>*</v>
      </c>
      <c r="AH321" s="15" t="str">
        <f>IF(H321="*","*",IF(_xlfn.XLOOKUP($H321,'TRA TECH'!$J:$J,'TRA TECH'!AJ:AJ)="","",_xlfn.XLOOKUP($H321,'TRA TECH'!$J:$J,'TRA TECH'!AJ:AJ)))</f>
        <v>*</v>
      </c>
      <c r="AI321" s="15" t="str">
        <f>IF(H321="*","*",IF(_xlfn.XLOOKUP($H321,'TRA TECH'!$J:$J,'TRA TECH'!AK:AK)="","",_xlfn.XLOOKUP($H321,'TRA TECH'!$J:$J,'TRA TECH'!AK:AK)))</f>
        <v>*</v>
      </c>
      <c r="AJ321" s="15" t="str">
        <f t="shared" si="24"/>
        <v>*</v>
      </c>
      <c r="AK321" s="16" t="str">
        <f t="shared" si="25"/>
        <v>*</v>
      </c>
    </row>
    <row r="322" spans="2:37" x14ac:dyDescent="0.25">
      <c r="B322" t="str">
        <f>IF('TRA TECH'!M318=0,"*",IF('TRA TECH'!H318="","*",'TRA TECH'!J318))</f>
        <v>TRAOTHAIRICEVAGA20</v>
      </c>
      <c r="C322" t="str">
        <f>IF('TRA TECH'!M318=0,"*",'TRA TECH'!H318)</f>
        <v>TRAAGA</v>
      </c>
      <c r="D322" t="s">
        <v>424</v>
      </c>
      <c r="E322" s="9">
        <f>'TRA TECH'!P318</f>
        <v>1</v>
      </c>
      <c r="H322" t="str">
        <f>IF('TRA TECH'!M318=1,IF('TRA TECH'!L318=1,'TRA TECH'!J318,"*"),"*")</f>
        <v>TRAOTHAIRICEVAGA20</v>
      </c>
      <c r="I322" t="str">
        <f>IF(H322="*","*",_xlfn.XLOOKUP(H322,'TRA TECH'!J:J,'TRA TECH'!I:I))</f>
        <v>TRAOTHAIRDMD</v>
      </c>
      <c r="J322">
        <f>IF(H322="*","*",_xlfn.XLOOKUP(H322,'TRA TECH'!J:J,'TRA TECH'!N:N))</f>
        <v>2020</v>
      </c>
      <c r="K322" s="15">
        <f>IF(H322="*","*",IF(_xlfn.XLOOKUP(H322,'TRA TECH'!J:J,'TRA TECH'!O:O)="","",_xlfn.XLOOKUP(H322,'TRA TECH'!J:J,'TRA TECH'!O:O)))</f>
        <v>20</v>
      </c>
      <c r="L322">
        <f t="shared" si="21"/>
        <v>1</v>
      </c>
      <c r="M322">
        <f>IF(H322="*","*",IF(_xlfn.XLOOKUP($H322,'TRA TECH'!$J:$J,'TRA TECH'!Q:Q)="","",_xlfn.XLOOKUP($H322,'TRA TECH'!$J:$J,'TRA TECH'!Q:Q)))</f>
        <v>3.9411544272050774E-3</v>
      </c>
      <c r="N322">
        <f>IF(H322="*","*",IF(_xlfn.XLOOKUP($H322,'TRA TECH'!$J:$J,'TRA TECH'!R:R)="","",_xlfn.XLOOKUP($H322,'TRA TECH'!$J:$J,'TRA TECH'!R:R)))</f>
        <v>3.9411544272050774E-3</v>
      </c>
      <c r="O322">
        <f>IF(H322="*","*",IF(_xlfn.XLOOKUP($H322,'TRA TECH'!$J:$J,'TRA TECH'!S:S)="","",_xlfn.XLOOKUP($H322,'TRA TECH'!$J:$J,'TRA TECH'!S:S)))</f>
        <v>3.9411544272050774E-3</v>
      </c>
      <c r="P322">
        <f>IF(H322="*","*",IF(_xlfn.XLOOKUP($H322,'TRA TECH'!$J:$J,'TRA TECH'!T:T)="","",_xlfn.XLOOKUP($H322,'TRA TECH'!$J:$J,'TRA TECH'!T:T)))</f>
        <v>3.9411544272050774E-3</v>
      </c>
      <c r="Q322">
        <f>IF(H322="*","*",IF(_xlfn.XLOOKUP($H322,'TRA TECH'!$J:$J,'TRA TECH'!U:U)="","",_xlfn.XLOOKUP($H322,'TRA TECH'!$J:$J,'TRA TECH'!U:U)))</f>
        <v>3.9411544272050774E-3</v>
      </c>
      <c r="R322">
        <f>IF(H322="*","*",IF(_xlfn.XLOOKUP($H322,'TRA TECH'!$J:$J,'TRA TECH'!V:V)="","",_xlfn.XLOOKUP($H322,'TRA TECH'!$J:$J,'TRA TECH'!V:V)))</f>
        <v>3.9411544272050774E-3</v>
      </c>
      <c r="S322">
        <f>IF(H322="*","*",IF(_xlfn.XLOOKUP($H322,'TRA TECH'!$J:$J,'TRA TECH'!W:W)="","",_xlfn.XLOOKUP($H322,'TRA TECH'!$J:$J,'TRA TECH'!W:W)))</f>
        <v>3.9411544272050774E-3</v>
      </c>
      <c r="T322">
        <f t="shared" si="22"/>
        <v>3.9411544272050774E-3</v>
      </c>
      <c r="U322">
        <f>IF(H322="*","*",IF(_xlfn.XLOOKUP($H322,'TRA TECH'!$J:$J,'TRA TECH'!X:X)="","",_xlfn.XLOOKUP($H322,'TRA TECH'!$J:$J,'TRA TECH'!X:X)))</f>
        <v>3154.2202085101062</v>
      </c>
      <c r="V322">
        <f>IF(H322="*","*",IF(_xlfn.XLOOKUP($H322,'TRA TECH'!$J:$J,'TRA TECH'!Y:Y)="","",_xlfn.XLOOKUP($H322,'TRA TECH'!$J:$J,'TRA TECH'!Y:Y)))</f>
        <v>3154.2202085101062</v>
      </c>
      <c r="W322">
        <f>IF(H322="*","*",IF(_xlfn.XLOOKUP($H322,'TRA TECH'!$J:$J,'TRA TECH'!Z:Z)="","",_xlfn.XLOOKUP($H322,'TRA TECH'!$J:$J,'TRA TECH'!Z:Z)))</f>
        <v>3154.2202085101062</v>
      </c>
      <c r="X322">
        <f>IF(H322="*","*",IF(_xlfn.XLOOKUP($H322,'TRA TECH'!$J:$J,'TRA TECH'!AA:AA)="","",_xlfn.XLOOKUP($H322,'TRA TECH'!$J:$J,'TRA TECH'!AA:AA)))</f>
        <v>3154.2202085101062</v>
      </c>
      <c r="Y322">
        <f>IF(H322="*","*",IF(_xlfn.XLOOKUP($H322,'TRA TECH'!$J:$J,'TRA TECH'!AB:AB)="","",_xlfn.XLOOKUP($H322,'TRA TECH'!$J:$J,'TRA TECH'!AB:AB)))</f>
        <v>3154.2202085101062</v>
      </c>
      <c r="Z322">
        <f>IF(H322="*","*",IF(_xlfn.XLOOKUP($H322,'TRA TECH'!$J:$J,'TRA TECH'!AC:AC)="","",_xlfn.XLOOKUP($H322,'TRA TECH'!$J:$J,'TRA TECH'!AC:AC)))</f>
        <v>3154.2202085101062</v>
      </c>
      <c r="AA322">
        <f>IF(H322="*","*",IF(_xlfn.XLOOKUP($H322,'TRA TECH'!$J:$J,'TRA TECH'!AD:AD)="","",_xlfn.XLOOKUP($H322,'TRA TECH'!$J:$J,'TRA TECH'!AD:AD)))</f>
        <v>3154.2202085101062</v>
      </c>
      <c r="AB322">
        <f t="shared" si="23"/>
        <v>3154.2202085101062</v>
      </c>
      <c r="AC322" s="15">
        <f>IF(H322="*","*",IF(_xlfn.XLOOKUP($H322,'TRA TECH'!$J:$J,'TRA TECH'!AE:AE)="","",_xlfn.XLOOKUP($H322,'TRA TECH'!$J:$J,'TRA TECH'!AE:AE)))</f>
        <v>315.42202085101059</v>
      </c>
      <c r="AD322" s="15">
        <f>IF(H322="*","*",IF(_xlfn.XLOOKUP($H322,'TRA TECH'!$J:$J,'TRA TECH'!AF:AF)="","",_xlfn.XLOOKUP($H322,'TRA TECH'!$J:$J,'TRA TECH'!AF:AF)))</f>
        <v>315.42202085101059</v>
      </c>
      <c r="AE322" s="15">
        <f>IF(H322="*","*",IF(_xlfn.XLOOKUP($H322,'TRA TECH'!$J:$J,'TRA TECH'!AG:AG)="","",_xlfn.XLOOKUP($H322,'TRA TECH'!$J:$J,'TRA TECH'!AG:AG)))</f>
        <v>315.42202085101059</v>
      </c>
      <c r="AF322" s="15">
        <f>IF(H322="*","*",IF(_xlfn.XLOOKUP($H322,'TRA TECH'!$J:$J,'TRA TECH'!AH:AH)="","",_xlfn.XLOOKUP($H322,'TRA TECH'!$J:$J,'TRA TECH'!AH:AH)))</f>
        <v>315.42202085101059</v>
      </c>
      <c r="AG322" s="15">
        <f>IF(H322="*","*",IF(_xlfn.XLOOKUP($H322,'TRA TECH'!$J:$J,'TRA TECH'!AI:AI)="","",_xlfn.XLOOKUP($H322,'TRA TECH'!$J:$J,'TRA TECH'!AI:AI)))</f>
        <v>315.42202085101059</v>
      </c>
      <c r="AH322" s="15">
        <f>IF(H322="*","*",IF(_xlfn.XLOOKUP($H322,'TRA TECH'!$J:$J,'TRA TECH'!AJ:AJ)="","",_xlfn.XLOOKUP($H322,'TRA TECH'!$J:$J,'TRA TECH'!AJ:AJ)))</f>
        <v>315.42202085101059</v>
      </c>
      <c r="AI322" s="15">
        <f>IF(H322="*","*",IF(_xlfn.XLOOKUP($H322,'TRA TECH'!$J:$J,'TRA TECH'!AK:AK)="","",_xlfn.XLOOKUP($H322,'TRA TECH'!$J:$J,'TRA TECH'!AK:AK)))</f>
        <v>315.42202085101059</v>
      </c>
      <c r="AJ322" s="15">
        <f t="shared" si="24"/>
        <v>315.42202085101059</v>
      </c>
      <c r="AK322" s="16">
        <f t="shared" si="25"/>
        <v>0.1</v>
      </c>
    </row>
    <row r="323" spans="2:37" x14ac:dyDescent="0.25">
      <c r="B323" t="str">
        <f>IF('TRA TECH'!M319=0,"*",IF('TRA TECH'!H319="","*",'TRA TECH'!J319))</f>
        <v>TRAOTHAIRICEIAGA20</v>
      </c>
      <c r="C323" t="str">
        <f>IF('TRA TECH'!M319=0,"*",'TRA TECH'!H319)</f>
        <v>TRAAGA</v>
      </c>
      <c r="D323" t="s">
        <v>424</v>
      </c>
      <c r="E323" s="9">
        <f>'TRA TECH'!P319</f>
        <v>1</v>
      </c>
      <c r="H323" t="str">
        <f>IF('TRA TECH'!M319=1,IF('TRA TECH'!L319=1,'TRA TECH'!J319,"*"),"*")</f>
        <v>TRAOTHAIRICEIAGA20</v>
      </c>
      <c r="I323" t="str">
        <f>IF(H323="*","*",_xlfn.XLOOKUP(H323,'TRA TECH'!J:J,'TRA TECH'!I:I))</f>
        <v>TRAOTHAIRDMD</v>
      </c>
      <c r="J323">
        <f>IF(H323="*","*",_xlfn.XLOOKUP(H323,'TRA TECH'!J:J,'TRA TECH'!N:N))</f>
        <v>2020</v>
      </c>
      <c r="K323" s="15">
        <f>IF(H323="*","*",IF(_xlfn.XLOOKUP(H323,'TRA TECH'!J:J,'TRA TECH'!O:O)="","",_xlfn.XLOOKUP(H323,'TRA TECH'!J:J,'TRA TECH'!O:O)))</f>
        <v>20</v>
      </c>
      <c r="L323">
        <f t="shared" si="21"/>
        <v>1</v>
      </c>
      <c r="M323">
        <f>IF(H323="*","*",IF(_xlfn.XLOOKUP($H323,'TRA TECH'!$J:$J,'TRA TECH'!Q:Q)="","",_xlfn.XLOOKUP($H323,'TRA TECH'!$J:$J,'TRA TECH'!Q:Q)))</f>
        <v>4.0699935799414022E-3</v>
      </c>
      <c r="N323">
        <f>IF(H323="*","*",IF(_xlfn.XLOOKUP($H323,'TRA TECH'!$J:$J,'TRA TECH'!R:R)="","",_xlfn.XLOOKUP($H323,'TRA TECH'!$J:$J,'TRA TECH'!R:R)))</f>
        <v>4.0699935799414022E-3</v>
      </c>
      <c r="O323">
        <f>IF(H323="*","*",IF(_xlfn.XLOOKUP($H323,'TRA TECH'!$J:$J,'TRA TECH'!S:S)="","",_xlfn.XLOOKUP($H323,'TRA TECH'!$J:$J,'TRA TECH'!S:S)))</f>
        <v>4.0699935799414022E-3</v>
      </c>
      <c r="P323">
        <f>IF(H323="*","*",IF(_xlfn.XLOOKUP($H323,'TRA TECH'!$J:$J,'TRA TECH'!T:T)="","",_xlfn.XLOOKUP($H323,'TRA TECH'!$J:$J,'TRA TECH'!T:T)))</f>
        <v>4.0699935799414022E-3</v>
      </c>
      <c r="Q323">
        <f>IF(H323="*","*",IF(_xlfn.XLOOKUP($H323,'TRA TECH'!$J:$J,'TRA TECH'!U:U)="","",_xlfn.XLOOKUP($H323,'TRA TECH'!$J:$J,'TRA TECH'!U:U)))</f>
        <v>4.0699935799414022E-3</v>
      </c>
      <c r="R323">
        <f>IF(H323="*","*",IF(_xlfn.XLOOKUP($H323,'TRA TECH'!$J:$J,'TRA TECH'!V:V)="","",_xlfn.XLOOKUP($H323,'TRA TECH'!$J:$J,'TRA TECH'!V:V)))</f>
        <v>4.0699935799414022E-3</v>
      </c>
      <c r="S323">
        <f>IF(H323="*","*",IF(_xlfn.XLOOKUP($H323,'TRA TECH'!$J:$J,'TRA TECH'!W:W)="","",_xlfn.XLOOKUP($H323,'TRA TECH'!$J:$J,'TRA TECH'!W:W)))</f>
        <v>4.0699935799414022E-3</v>
      </c>
      <c r="T323">
        <f t="shared" si="22"/>
        <v>4.0699935799414022E-3</v>
      </c>
      <c r="U323">
        <f>IF(H323="*","*",IF(_xlfn.XLOOKUP($H323,'TRA TECH'!$J:$J,'TRA TECH'!X:X)="","",_xlfn.XLOOKUP($H323,'TRA TECH'!$J:$J,'TRA TECH'!X:X)))</f>
        <v>3154.2202085101062</v>
      </c>
      <c r="V323">
        <f>IF(H323="*","*",IF(_xlfn.XLOOKUP($H323,'TRA TECH'!$J:$J,'TRA TECH'!Y:Y)="","",_xlfn.XLOOKUP($H323,'TRA TECH'!$J:$J,'TRA TECH'!Y:Y)))</f>
        <v>3154.2202085101062</v>
      </c>
      <c r="W323">
        <f>IF(H323="*","*",IF(_xlfn.XLOOKUP($H323,'TRA TECH'!$J:$J,'TRA TECH'!Z:Z)="","",_xlfn.XLOOKUP($H323,'TRA TECH'!$J:$J,'TRA TECH'!Z:Z)))</f>
        <v>3154.2202085101062</v>
      </c>
      <c r="X323">
        <f>IF(H323="*","*",IF(_xlfn.XLOOKUP($H323,'TRA TECH'!$J:$J,'TRA TECH'!AA:AA)="","",_xlfn.XLOOKUP($H323,'TRA TECH'!$J:$J,'TRA TECH'!AA:AA)))</f>
        <v>3154.2202085101062</v>
      </c>
      <c r="Y323">
        <f>IF(H323="*","*",IF(_xlfn.XLOOKUP($H323,'TRA TECH'!$J:$J,'TRA TECH'!AB:AB)="","",_xlfn.XLOOKUP($H323,'TRA TECH'!$J:$J,'TRA TECH'!AB:AB)))</f>
        <v>3154.2202085101062</v>
      </c>
      <c r="Z323">
        <f>IF(H323="*","*",IF(_xlfn.XLOOKUP($H323,'TRA TECH'!$J:$J,'TRA TECH'!AC:AC)="","",_xlfn.XLOOKUP($H323,'TRA TECH'!$J:$J,'TRA TECH'!AC:AC)))</f>
        <v>3154.2202085101062</v>
      </c>
      <c r="AA323">
        <f>IF(H323="*","*",IF(_xlfn.XLOOKUP($H323,'TRA TECH'!$J:$J,'TRA TECH'!AD:AD)="","",_xlfn.XLOOKUP($H323,'TRA TECH'!$J:$J,'TRA TECH'!AD:AD)))</f>
        <v>3154.2202085101062</v>
      </c>
      <c r="AB323">
        <f t="shared" si="23"/>
        <v>3154.2202085101062</v>
      </c>
      <c r="AC323" s="15">
        <f>IF(H323="*","*",IF(_xlfn.XLOOKUP($H323,'TRA TECH'!$J:$J,'TRA TECH'!AE:AE)="","",_xlfn.XLOOKUP($H323,'TRA TECH'!$J:$J,'TRA TECH'!AE:AE)))</f>
        <v>315.42202085101059</v>
      </c>
      <c r="AD323" s="15">
        <f>IF(H323="*","*",IF(_xlfn.XLOOKUP($H323,'TRA TECH'!$J:$J,'TRA TECH'!AF:AF)="","",_xlfn.XLOOKUP($H323,'TRA TECH'!$J:$J,'TRA TECH'!AF:AF)))</f>
        <v>315.42202085101059</v>
      </c>
      <c r="AE323" s="15">
        <f>IF(H323="*","*",IF(_xlfn.XLOOKUP($H323,'TRA TECH'!$J:$J,'TRA TECH'!AG:AG)="","",_xlfn.XLOOKUP($H323,'TRA TECH'!$J:$J,'TRA TECH'!AG:AG)))</f>
        <v>315.42202085101059</v>
      </c>
      <c r="AF323" s="15">
        <f>IF(H323="*","*",IF(_xlfn.XLOOKUP($H323,'TRA TECH'!$J:$J,'TRA TECH'!AH:AH)="","",_xlfn.XLOOKUP($H323,'TRA TECH'!$J:$J,'TRA TECH'!AH:AH)))</f>
        <v>315.42202085101059</v>
      </c>
      <c r="AG323" s="15">
        <f>IF(H323="*","*",IF(_xlfn.XLOOKUP($H323,'TRA TECH'!$J:$J,'TRA TECH'!AI:AI)="","",_xlfn.XLOOKUP($H323,'TRA TECH'!$J:$J,'TRA TECH'!AI:AI)))</f>
        <v>315.42202085101059</v>
      </c>
      <c r="AH323" s="15">
        <f>IF(H323="*","*",IF(_xlfn.XLOOKUP($H323,'TRA TECH'!$J:$J,'TRA TECH'!AJ:AJ)="","",_xlfn.XLOOKUP($H323,'TRA TECH'!$J:$J,'TRA TECH'!AJ:AJ)))</f>
        <v>315.42202085101059</v>
      </c>
      <c r="AI323" s="15">
        <f>IF(H323="*","*",IF(_xlfn.XLOOKUP($H323,'TRA TECH'!$J:$J,'TRA TECH'!AK:AK)="","",_xlfn.XLOOKUP($H323,'TRA TECH'!$J:$J,'TRA TECH'!AK:AK)))</f>
        <v>315.42202085101059</v>
      </c>
      <c r="AJ323" s="15">
        <f t="shared" si="24"/>
        <v>315.42202085101059</v>
      </c>
      <c r="AK323" s="16">
        <f t="shared" si="25"/>
        <v>0.1</v>
      </c>
    </row>
    <row r="324" spans="2:37" x14ac:dyDescent="0.25">
      <c r="E324" s="9"/>
      <c r="K324" s="15"/>
      <c r="M324" s="14"/>
      <c r="N324" s="14"/>
      <c r="U324" s="14"/>
      <c r="V324" s="14"/>
      <c r="AC324" s="14"/>
      <c r="AD324" s="14"/>
    </row>
    <row r="325" spans="2:37" x14ac:dyDescent="0.25">
      <c r="E325" s="9"/>
      <c r="K325" s="15"/>
      <c r="M325" s="14"/>
      <c r="N325" s="14"/>
      <c r="U325" s="14"/>
      <c r="V325" s="14"/>
      <c r="AC325" s="14"/>
      <c r="AD325" s="14"/>
    </row>
    <row r="326" spans="2:37" x14ac:dyDescent="0.25">
      <c r="E326" s="9"/>
      <c r="K326" s="15"/>
      <c r="M326" s="14"/>
      <c r="N326" s="14"/>
      <c r="U326" s="14"/>
      <c r="V326" s="14"/>
      <c r="AC326" s="14"/>
      <c r="AD326" s="14"/>
    </row>
    <row r="327" spans="2:37" x14ac:dyDescent="0.25">
      <c r="E327" s="9"/>
      <c r="K327" s="15"/>
      <c r="M327" s="14"/>
      <c r="N327" s="14"/>
      <c r="U327" s="14"/>
      <c r="V327" s="14"/>
      <c r="AC327" s="14"/>
      <c r="AD327" s="14"/>
    </row>
    <row r="328" spans="2:37" x14ac:dyDescent="0.25">
      <c r="E328" s="9"/>
      <c r="K328" s="15"/>
      <c r="M328" s="14"/>
      <c r="N328" s="14"/>
      <c r="U328" s="14"/>
      <c r="V328" s="14"/>
      <c r="AC328" s="14"/>
      <c r="AD328" s="14"/>
    </row>
    <row r="329" spans="2:37" x14ac:dyDescent="0.25">
      <c r="E329" s="9"/>
      <c r="K329" s="15"/>
      <c r="M329" s="14"/>
      <c r="N329" s="14"/>
      <c r="U329" s="14"/>
      <c r="V329" s="14"/>
      <c r="AC329" s="14"/>
      <c r="AD329" s="14"/>
    </row>
    <row r="330" spans="2:37" x14ac:dyDescent="0.25">
      <c r="E330" s="9"/>
      <c r="K330" s="15"/>
      <c r="M330" s="14"/>
      <c r="N330" s="14"/>
      <c r="U330" s="14"/>
      <c r="V330" s="14"/>
      <c r="AC330" s="14"/>
      <c r="AD330" s="14"/>
    </row>
    <row r="331" spans="2:37" x14ac:dyDescent="0.25">
      <c r="E331" s="9"/>
      <c r="K331" s="15"/>
      <c r="M331" s="14"/>
      <c r="N331" s="14"/>
      <c r="U331" s="14"/>
      <c r="V331" s="14"/>
      <c r="AC331" s="14"/>
      <c r="AD331" s="14"/>
    </row>
    <row r="332" spans="2:37" x14ac:dyDescent="0.25">
      <c r="E332" s="9"/>
      <c r="K332" s="15"/>
      <c r="M332" s="14"/>
      <c r="N332" s="14"/>
      <c r="U332" s="14"/>
      <c r="V332" s="14"/>
      <c r="AC332" s="14"/>
      <c r="AD332" s="14"/>
    </row>
    <row r="333" spans="2:37" x14ac:dyDescent="0.25">
      <c r="E333" s="9"/>
      <c r="K333" s="15"/>
      <c r="M333" s="14"/>
      <c r="N333" s="14"/>
      <c r="U333" s="14"/>
      <c r="V333" s="14"/>
      <c r="AC333" s="14"/>
      <c r="AD333" s="14"/>
    </row>
    <row r="334" spans="2:37" x14ac:dyDescent="0.25">
      <c r="E334" s="9"/>
      <c r="K334" s="15"/>
      <c r="M334" s="14"/>
      <c r="N334" s="14"/>
      <c r="U334" s="14"/>
      <c r="V334" s="14"/>
      <c r="AC334" s="14"/>
      <c r="AD334" s="14"/>
    </row>
    <row r="335" spans="2:37" x14ac:dyDescent="0.25">
      <c r="E335" s="9"/>
      <c r="K335" s="15"/>
      <c r="M335" s="14"/>
      <c r="N335" s="14"/>
      <c r="U335" s="14"/>
      <c r="V335" s="14"/>
      <c r="AC335" s="14"/>
      <c r="AD335" s="14"/>
    </row>
    <row r="336" spans="2:37" x14ac:dyDescent="0.25">
      <c r="E336" s="9"/>
      <c r="K336" s="15"/>
      <c r="M336" s="14"/>
      <c r="N336" s="14"/>
      <c r="U336" s="14"/>
      <c r="V336" s="14"/>
      <c r="AC336" s="14"/>
      <c r="AD336" s="14"/>
    </row>
    <row r="337" spans="5:30" x14ac:dyDescent="0.25">
      <c r="E337" s="9"/>
      <c r="K337" s="15"/>
      <c r="M337" s="14"/>
      <c r="N337" s="14"/>
      <c r="U337" s="14"/>
      <c r="V337" s="14"/>
      <c r="AC337" s="14"/>
      <c r="AD337" s="14"/>
    </row>
    <row r="338" spans="5:30" x14ac:dyDescent="0.25">
      <c r="E338" s="9"/>
      <c r="K338" s="15"/>
      <c r="M338" s="14"/>
      <c r="N338" s="14"/>
      <c r="U338" s="14"/>
      <c r="V338" s="14"/>
      <c r="AC338" s="14"/>
      <c r="AD338" s="14"/>
    </row>
    <row r="339" spans="5:30" x14ac:dyDescent="0.25">
      <c r="E339" s="9"/>
      <c r="K339" s="15"/>
      <c r="M339" s="14"/>
      <c r="N339" s="14"/>
      <c r="U339" s="14"/>
      <c r="V339" s="14"/>
      <c r="AC339" s="14"/>
      <c r="AD339" s="14"/>
    </row>
    <row r="340" spans="5:30" x14ac:dyDescent="0.25">
      <c r="E340" s="9"/>
      <c r="K340" s="15"/>
      <c r="M340" s="14"/>
      <c r="N340" s="14"/>
      <c r="U340" s="14"/>
      <c r="V340" s="14"/>
      <c r="AC340" s="14"/>
      <c r="AD340" s="14"/>
    </row>
    <row r="341" spans="5:30" x14ac:dyDescent="0.25">
      <c r="E341" s="9"/>
      <c r="K341" s="15"/>
      <c r="M341" s="14"/>
      <c r="N341" s="14"/>
      <c r="U341" s="14"/>
      <c r="V341" s="14"/>
      <c r="AC341" s="14"/>
      <c r="AD341" s="14"/>
    </row>
    <row r="342" spans="5:30" x14ac:dyDescent="0.25">
      <c r="E342" s="9"/>
      <c r="K342" s="15"/>
      <c r="M342" s="14"/>
      <c r="N342" s="14"/>
      <c r="U342" s="14"/>
      <c r="V342" s="14"/>
      <c r="AC342" s="14"/>
      <c r="AD342" s="14"/>
    </row>
    <row r="343" spans="5:30" x14ac:dyDescent="0.25">
      <c r="E343" s="9"/>
      <c r="K343" s="14"/>
      <c r="M343" s="14"/>
      <c r="N343" s="14"/>
      <c r="U343" s="14"/>
      <c r="V343" s="14"/>
      <c r="AC343" s="14"/>
      <c r="AD343" s="14"/>
    </row>
    <row r="344" spans="5:30" x14ac:dyDescent="0.25">
      <c r="E344" s="9"/>
      <c r="K344" s="14"/>
      <c r="M344" s="14"/>
      <c r="N344" s="14"/>
      <c r="U344" s="14"/>
      <c r="V344" s="14"/>
      <c r="AC344" s="14"/>
      <c r="AD344" s="14"/>
    </row>
    <row r="345" spans="5:30" x14ac:dyDescent="0.25">
      <c r="E345" s="9"/>
      <c r="K345" s="14"/>
      <c r="M345" s="14"/>
      <c r="N345" s="14"/>
      <c r="U345" s="14"/>
      <c r="V345" s="14"/>
      <c r="AC345" s="14"/>
      <c r="AD345" s="14"/>
    </row>
    <row r="346" spans="5:30" x14ac:dyDescent="0.25">
      <c r="E346" s="9"/>
      <c r="K346" s="14"/>
      <c r="M346" s="14"/>
      <c r="N346" s="14"/>
      <c r="U346" s="14"/>
      <c r="V346" s="14"/>
      <c r="AC346" s="14"/>
      <c r="AD346" s="14"/>
    </row>
    <row r="347" spans="5:30" x14ac:dyDescent="0.25">
      <c r="E347" s="9"/>
      <c r="K347" s="14"/>
      <c r="M347" s="14"/>
      <c r="N347" s="14"/>
      <c r="U347" s="14"/>
      <c r="V347" s="14"/>
      <c r="AC347" s="14"/>
      <c r="AD347" s="14"/>
    </row>
    <row r="348" spans="5:30" x14ac:dyDescent="0.25">
      <c r="E348" s="9"/>
      <c r="K348" s="14"/>
      <c r="M348" s="14"/>
      <c r="N348" s="14"/>
      <c r="U348" s="14"/>
      <c r="V348" s="14"/>
      <c r="AC348" s="14"/>
      <c r="AD348" s="14"/>
    </row>
    <row r="349" spans="5:30" x14ac:dyDescent="0.25">
      <c r="E349" s="9"/>
      <c r="K349" s="14"/>
      <c r="M349" s="14"/>
      <c r="N349" s="14"/>
      <c r="U349" s="14"/>
      <c r="V349" s="14"/>
      <c r="AC349" s="14"/>
      <c r="AD349" s="14"/>
    </row>
    <row r="350" spans="5:30" x14ac:dyDescent="0.25">
      <c r="E350" s="9"/>
      <c r="K350" s="14"/>
      <c r="M350" s="14"/>
      <c r="N350" s="14"/>
      <c r="U350" s="14"/>
      <c r="V350" s="14"/>
      <c r="AC350" s="14"/>
      <c r="AD350" s="14"/>
    </row>
    <row r="351" spans="5:30" x14ac:dyDescent="0.25">
      <c r="E351" s="9"/>
      <c r="K351" s="14"/>
      <c r="M351" s="14"/>
      <c r="N351" s="14"/>
      <c r="U351" s="14"/>
      <c r="V351" s="14"/>
      <c r="AC351" s="14"/>
      <c r="AD351" s="14"/>
    </row>
    <row r="352" spans="5:30" x14ac:dyDescent="0.25">
      <c r="E352" s="9"/>
      <c r="K352" s="14"/>
      <c r="M352" s="14"/>
      <c r="N352" s="14"/>
      <c r="U352" s="14"/>
      <c r="V352" s="14"/>
      <c r="AC352" s="14"/>
      <c r="AD352" s="14"/>
    </row>
    <row r="353" spans="5:30" x14ac:dyDescent="0.25">
      <c r="E353" s="9"/>
      <c r="K353" s="14"/>
      <c r="M353" s="14"/>
      <c r="N353" s="14"/>
      <c r="U353" s="14"/>
      <c r="V353" s="14"/>
      <c r="AC353" s="14"/>
      <c r="AD353" s="14"/>
    </row>
    <row r="354" spans="5:30" x14ac:dyDescent="0.25">
      <c r="E354" s="9"/>
      <c r="K354" s="14"/>
      <c r="M354" s="14"/>
      <c r="N354" s="14"/>
      <c r="U354" s="14"/>
      <c r="V354" s="14"/>
      <c r="AC354" s="14"/>
      <c r="AD354" s="14"/>
    </row>
    <row r="355" spans="5:30" x14ac:dyDescent="0.25">
      <c r="E355" s="9"/>
      <c r="K355" s="14"/>
      <c r="M355" s="14"/>
      <c r="N355" s="14"/>
      <c r="U355" s="14"/>
      <c r="V355" s="14"/>
      <c r="AC355" s="14"/>
      <c r="AD355" s="14"/>
    </row>
    <row r="356" spans="5:30" x14ac:dyDescent="0.25">
      <c r="E356" s="9"/>
      <c r="K356" s="14"/>
      <c r="M356" s="14"/>
      <c r="N356" s="14"/>
      <c r="U356" s="14"/>
      <c r="V356" s="14"/>
      <c r="AC356" s="14"/>
      <c r="AD356" s="14"/>
    </row>
    <row r="357" spans="5:30" x14ac:dyDescent="0.25">
      <c r="K357" s="14"/>
      <c r="M357" s="14"/>
      <c r="N357" s="14"/>
      <c r="U357" s="14"/>
      <c r="V357" s="14"/>
      <c r="AC357" s="14"/>
      <c r="AD357" s="14"/>
    </row>
    <row r="358" spans="5:30" x14ac:dyDescent="0.25">
      <c r="K358" s="14"/>
      <c r="M358" s="14"/>
      <c r="N358" s="14"/>
      <c r="U358" s="14"/>
      <c r="V358" s="14"/>
      <c r="AC358" s="14"/>
      <c r="AD358" s="14"/>
    </row>
    <row r="359" spans="5:30" x14ac:dyDescent="0.25">
      <c r="K359" s="14"/>
      <c r="M359" s="14"/>
      <c r="N359" s="14"/>
      <c r="U359" s="14"/>
      <c r="V359" s="14"/>
      <c r="AC359" s="14"/>
      <c r="AD359" s="14"/>
    </row>
    <row r="360" spans="5:30" x14ac:dyDescent="0.25">
      <c r="K360" s="14"/>
      <c r="M360" s="14"/>
      <c r="N360" s="14"/>
      <c r="U360" s="14"/>
      <c r="V360" s="14"/>
      <c r="AC360" s="14"/>
      <c r="AD360" s="14"/>
    </row>
    <row r="361" spans="5:30" x14ac:dyDescent="0.25">
      <c r="K361" s="14"/>
      <c r="M361" s="14"/>
      <c r="N361" s="14"/>
      <c r="U361" s="14"/>
      <c r="V361" s="14"/>
      <c r="AC361" s="14"/>
      <c r="AD361" s="14"/>
    </row>
    <row r="362" spans="5:30" x14ac:dyDescent="0.25">
      <c r="K362" s="14"/>
      <c r="M362" s="14"/>
      <c r="N362" s="14"/>
      <c r="U362" s="14"/>
      <c r="V362" s="14"/>
      <c r="AC362" s="14"/>
      <c r="AD362" s="14"/>
    </row>
    <row r="363" spans="5:30" x14ac:dyDescent="0.25">
      <c r="K363" s="14"/>
      <c r="M363" s="14"/>
      <c r="N363" s="14"/>
      <c r="U363" s="14"/>
      <c r="V363" s="14"/>
      <c r="AC363" s="14"/>
      <c r="AD363" s="14"/>
    </row>
    <row r="364" spans="5:30" x14ac:dyDescent="0.25">
      <c r="K364" s="14"/>
      <c r="M364" s="14"/>
      <c r="N364" s="14"/>
      <c r="U364" s="14"/>
      <c r="V364" s="14"/>
      <c r="AC364" s="14"/>
      <c r="AD364" s="14"/>
    </row>
    <row r="365" spans="5:30" x14ac:dyDescent="0.25">
      <c r="K365" s="14"/>
      <c r="M365" s="14"/>
      <c r="N365" s="14"/>
      <c r="U365" s="14"/>
      <c r="V365" s="14"/>
      <c r="AC365" s="14"/>
      <c r="AD365" s="14"/>
    </row>
    <row r="366" spans="5:30" x14ac:dyDescent="0.25">
      <c r="K366" s="14"/>
      <c r="M366" s="14"/>
      <c r="N366" s="14"/>
      <c r="U366" s="14"/>
      <c r="V366" s="14"/>
      <c r="AC366" s="14"/>
      <c r="AD366" s="14"/>
    </row>
    <row r="367" spans="5:30" x14ac:dyDescent="0.25">
      <c r="K367" s="14"/>
      <c r="M367" s="14"/>
      <c r="N367" s="14"/>
      <c r="U367" s="14"/>
      <c r="V367" s="14"/>
      <c r="AC367" s="14"/>
      <c r="AD367" s="14"/>
    </row>
    <row r="368" spans="5:30" x14ac:dyDescent="0.25">
      <c r="K368" s="14"/>
      <c r="M368" s="14"/>
      <c r="N368" s="14"/>
      <c r="U368" s="14"/>
      <c r="V368" s="14"/>
      <c r="AC368" s="14"/>
      <c r="AD368" s="14"/>
    </row>
    <row r="369" spans="11:30" x14ac:dyDescent="0.25">
      <c r="K369" s="14"/>
      <c r="M369" s="14"/>
      <c r="N369" s="14"/>
      <c r="U369" s="14"/>
      <c r="V369" s="14"/>
      <c r="AC369" s="14"/>
      <c r="AD369" s="14"/>
    </row>
    <row r="370" spans="11:30" x14ac:dyDescent="0.25">
      <c r="M370" s="14"/>
      <c r="N370" s="14"/>
      <c r="U370" s="14"/>
      <c r="V370" s="14"/>
      <c r="AC370" s="14"/>
      <c r="AD370" s="14"/>
    </row>
    <row r="371" spans="11:30" x14ac:dyDescent="0.25">
      <c r="M371" s="14"/>
      <c r="N371" s="14"/>
      <c r="U371" s="14"/>
      <c r="V371" s="14"/>
      <c r="AC371" s="14"/>
      <c r="AD371" s="14"/>
    </row>
    <row r="372" spans="11:30" x14ac:dyDescent="0.25">
      <c r="M372" s="14"/>
      <c r="N372" s="14"/>
      <c r="U372" s="14"/>
      <c r="V372" s="14"/>
      <c r="AC372" s="14"/>
      <c r="AD372" s="14"/>
    </row>
    <row r="373" spans="11:30" x14ac:dyDescent="0.25">
      <c r="M373" s="14"/>
      <c r="N373" s="14"/>
      <c r="U373" s="14"/>
      <c r="V373" s="14"/>
      <c r="AC373" s="14"/>
      <c r="AD373" s="14"/>
    </row>
    <row r="374" spans="11:30" x14ac:dyDescent="0.25">
      <c r="M374" s="14"/>
      <c r="N374" s="14"/>
      <c r="U374" s="14"/>
      <c r="V374" s="14"/>
      <c r="AC374" s="14"/>
      <c r="AD374" s="14"/>
    </row>
    <row r="375" spans="11:30" x14ac:dyDescent="0.25">
      <c r="M375" s="14"/>
      <c r="N375" s="14"/>
      <c r="U375" s="14"/>
      <c r="V375" s="14"/>
      <c r="AC375" s="14"/>
      <c r="AD375" s="14"/>
    </row>
    <row r="376" spans="11:30" x14ac:dyDescent="0.25">
      <c r="M376" s="14"/>
      <c r="N376" s="14"/>
      <c r="U376" s="14"/>
      <c r="V376" s="14"/>
      <c r="AC376" s="14"/>
      <c r="AD376" s="14"/>
    </row>
    <row r="377" spans="11:30" x14ac:dyDescent="0.25">
      <c r="M377" s="14"/>
      <c r="N377" s="14"/>
      <c r="U377" s="14"/>
      <c r="V377" s="14"/>
      <c r="AC377" s="14"/>
      <c r="AD377" s="14"/>
    </row>
    <row r="378" spans="11:30" x14ac:dyDescent="0.25">
      <c r="M378" s="14"/>
      <c r="N378" s="14"/>
      <c r="U378" s="14"/>
      <c r="V378" s="14"/>
      <c r="AC378" s="14"/>
      <c r="AD378" s="14"/>
    </row>
    <row r="379" spans="11:30" x14ac:dyDescent="0.25">
      <c r="M379" s="14"/>
      <c r="N379" s="14"/>
      <c r="U379" s="14"/>
      <c r="V379" s="14"/>
      <c r="AC379" s="14"/>
      <c r="AD379" s="14"/>
    </row>
    <row r="380" spans="11:30" x14ac:dyDescent="0.25">
      <c r="M380" s="14"/>
      <c r="N380" s="14"/>
      <c r="U380" s="14"/>
      <c r="V380" s="14"/>
      <c r="AC380" s="14"/>
      <c r="AD380" s="14"/>
    </row>
    <row r="381" spans="11:30" x14ac:dyDescent="0.25">
      <c r="M381" s="14"/>
      <c r="N381" s="14"/>
      <c r="U381" s="14"/>
      <c r="V381" s="14"/>
      <c r="AC381" s="14"/>
      <c r="AD381" s="14"/>
    </row>
    <row r="382" spans="11:30" x14ac:dyDescent="0.25">
      <c r="M382" s="14"/>
      <c r="N382" s="14"/>
      <c r="U382" s="14"/>
      <c r="V382" s="14"/>
      <c r="AC382" s="14"/>
      <c r="AD382" s="14"/>
    </row>
    <row r="383" spans="11:30" x14ac:dyDescent="0.25">
      <c r="M383" s="14"/>
      <c r="N383" s="14"/>
      <c r="U383" s="14"/>
      <c r="V383" s="14"/>
      <c r="AC383" s="14"/>
      <c r="AD383" s="14"/>
    </row>
    <row r="384" spans="11:30" x14ac:dyDescent="0.25">
      <c r="M384" s="14"/>
      <c r="N384" s="14"/>
      <c r="U384" s="14"/>
      <c r="V384" s="14"/>
      <c r="AC384" s="14"/>
      <c r="AD384" s="14"/>
    </row>
    <row r="385" spans="13:30" x14ac:dyDescent="0.25">
      <c r="M385" s="14"/>
      <c r="N385" s="14"/>
      <c r="U385" s="14"/>
      <c r="V385" s="14"/>
      <c r="AC385" s="14"/>
      <c r="AD385" s="14"/>
    </row>
    <row r="386" spans="13:30" x14ac:dyDescent="0.25">
      <c r="M386" s="14"/>
      <c r="N386" s="14"/>
      <c r="U386" s="14"/>
      <c r="V386" s="14"/>
      <c r="AC386" s="14"/>
      <c r="AD386" s="14"/>
    </row>
    <row r="387" spans="13:30" x14ac:dyDescent="0.25">
      <c r="M387" s="14"/>
      <c r="N387" s="14"/>
      <c r="U387" s="14"/>
      <c r="V387" s="14"/>
      <c r="AC387" s="14"/>
      <c r="AD387" s="14"/>
    </row>
    <row r="388" spans="13:30" x14ac:dyDescent="0.25">
      <c r="M388" s="14"/>
      <c r="N388" s="14"/>
      <c r="U388" s="14"/>
      <c r="V388" s="14"/>
      <c r="AC388" s="14"/>
      <c r="AD388" s="14"/>
    </row>
    <row r="389" spans="13:30" x14ac:dyDescent="0.25">
      <c r="M389" s="14"/>
      <c r="N389" s="14"/>
      <c r="U389" s="14"/>
      <c r="V389" s="14"/>
      <c r="AC389" s="14"/>
      <c r="AD389" s="14"/>
    </row>
    <row r="390" spans="13:30" x14ac:dyDescent="0.25">
      <c r="M390" s="14"/>
      <c r="N390" s="14"/>
      <c r="U390" s="14"/>
      <c r="V390" s="14"/>
      <c r="AC390" s="14"/>
      <c r="AD390" s="14"/>
    </row>
    <row r="391" spans="13:30" x14ac:dyDescent="0.25">
      <c r="M391" s="14"/>
      <c r="N391" s="14"/>
      <c r="U391" s="14"/>
      <c r="V391" s="14"/>
      <c r="AC391" s="14"/>
      <c r="AD391" s="14"/>
    </row>
    <row r="392" spans="13:30" x14ac:dyDescent="0.25">
      <c r="M392" s="14"/>
      <c r="N392" s="14"/>
      <c r="U392" s="14"/>
      <c r="V392" s="14"/>
      <c r="AC392" s="14"/>
      <c r="AD392" s="14"/>
    </row>
    <row r="393" spans="13:30" x14ac:dyDescent="0.25">
      <c r="M393" s="14"/>
      <c r="N393" s="14"/>
      <c r="U393" s="14"/>
      <c r="V393" s="14"/>
      <c r="AC393" s="14"/>
      <c r="AD393" s="14"/>
    </row>
    <row r="394" spans="13:30" x14ac:dyDescent="0.25">
      <c r="M394" s="14"/>
      <c r="N394" s="14"/>
      <c r="U394" s="14"/>
      <c r="V394" s="14"/>
      <c r="AC394" s="14"/>
      <c r="AD394" s="14"/>
    </row>
    <row r="395" spans="13:30" x14ac:dyDescent="0.25">
      <c r="M395" s="14"/>
      <c r="N395" s="14"/>
      <c r="U395" s="14"/>
      <c r="V395" s="14"/>
      <c r="AC395" s="14"/>
      <c r="AD395" s="14"/>
    </row>
    <row r="396" spans="13:30" x14ac:dyDescent="0.25">
      <c r="M396" s="14"/>
      <c r="N396" s="14"/>
      <c r="U396" s="14"/>
      <c r="V396" s="14"/>
      <c r="AC396" s="14"/>
      <c r="AD396" s="14"/>
    </row>
    <row r="397" spans="13:30" x14ac:dyDescent="0.25">
      <c r="M397" s="14"/>
      <c r="N397" s="14"/>
      <c r="U397" s="14"/>
      <c r="V397" s="14"/>
      <c r="AC397" s="14"/>
      <c r="AD397" s="14"/>
    </row>
    <row r="398" spans="13:30" x14ac:dyDescent="0.25">
      <c r="M398" s="14"/>
      <c r="N398" s="14"/>
      <c r="U398" s="14"/>
      <c r="V398" s="14"/>
      <c r="AC398" s="14"/>
      <c r="AD398" s="14"/>
    </row>
    <row r="399" spans="13:30" x14ac:dyDescent="0.25">
      <c r="M399" s="14"/>
      <c r="N399" s="14"/>
      <c r="U399" s="14"/>
      <c r="V399" s="14"/>
      <c r="AC399" s="14"/>
      <c r="AD399" s="14"/>
    </row>
    <row r="400" spans="13:30" x14ac:dyDescent="0.25">
      <c r="M400" s="14"/>
      <c r="N400" s="14"/>
      <c r="U400" s="14"/>
      <c r="V400" s="14"/>
      <c r="AC400" s="14"/>
      <c r="AD400" s="14"/>
    </row>
    <row r="401" spans="13:30" x14ac:dyDescent="0.25">
      <c r="M401" s="14"/>
      <c r="N401" s="14"/>
      <c r="U401" s="14"/>
      <c r="V401" s="14"/>
      <c r="AC401" s="14"/>
      <c r="AD401" s="14"/>
    </row>
    <row r="402" spans="13:30" x14ac:dyDescent="0.25">
      <c r="M402" s="14"/>
      <c r="N402" s="14"/>
      <c r="U402" s="14"/>
      <c r="V402" s="14"/>
      <c r="AC402" s="14"/>
      <c r="AD402" s="14"/>
    </row>
    <row r="403" spans="13:30" x14ac:dyDescent="0.25">
      <c r="M403" s="14"/>
      <c r="N403" s="14"/>
      <c r="U403" s="14"/>
      <c r="V403" s="14"/>
      <c r="AC403" s="14"/>
      <c r="AD403" s="14"/>
    </row>
    <row r="404" spans="13:30" x14ac:dyDescent="0.25">
      <c r="M404" s="14"/>
      <c r="N404" s="14"/>
      <c r="U404" s="14"/>
      <c r="V404" s="14"/>
      <c r="AC404" s="14"/>
      <c r="AD404" s="14"/>
    </row>
    <row r="405" spans="13:30" x14ac:dyDescent="0.25">
      <c r="M405" s="14"/>
      <c r="N405" s="14"/>
      <c r="U405" s="14"/>
      <c r="V405" s="14"/>
      <c r="AC405" s="14"/>
      <c r="AD405" s="14"/>
    </row>
    <row r="406" spans="13:30" x14ac:dyDescent="0.25">
      <c r="M406" s="14"/>
      <c r="N406" s="14"/>
      <c r="U406" s="14"/>
      <c r="V406" s="14"/>
      <c r="AC406" s="14"/>
      <c r="AD406" s="14"/>
    </row>
    <row r="407" spans="13:30" x14ac:dyDescent="0.25">
      <c r="M407" s="14"/>
      <c r="N407" s="14"/>
      <c r="U407" s="14"/>
      <c r="V407" s="14"/>
      <c r="AC407" s="14"/>
      <c r="AD407" s="14"/>
    </row>
    <row r="408" spans="13:30" x14ac:dyDescent="0.25">
      <c r="M408" s="14"/>
      <c r="N408" s="14"/>
      <c r="U408" s="14"/>
      <c r="V408" s="14"/>
      <c r="AC408" s="14"/>
      <c r="AD408" s="14"/>
    </row>
    <row r="409" spans="13:30" x14ac:dyDescent="0.25">
      <c r="M409" s="14"/>
      <c r="N409" s="14"/>
      <c r="U409" s="14"/>
      <c r="V409" s="14"/>
      <c r="AC409" s="14"/>
      <c r="AD409" s="14"/>
    </row>
    <row r="410" spans="13:30" x14ac:dyDescent="0.25">
      <c r="M410" s="14"/>
      <c r="N410" s="14"/>
      <c r="U410" s="14"/>
      <c r="V410" s="14"/>
      <c r="AC410" s="14"/>
      <c r="AD410" s="14"/>
    </row>
    <row r="411" spans="13:30" x14ac:dyDescent="0.25">
      <c r="M411" s="14"/>
      <c r="N411" s="14"/>
      <c r="U411" s="14"/>
      <c r="V411" s="14"/>
      <c r="AC411" s="14"/>
      <c r="AD411" s="14"/>
    </row>
    <row r="412" spans="13:30" x14ac:dyDescent="0.25">
      <c r="M412" s="14"/>
      <c r="N412" s="14"/>
      <c r="U412" s="14"/>
      <c r="V412" s="14"/>
      <c r="AC412" s="14"/>
      <c r="AD412" s="14"/>
    </row>
    <row r="413" spans="13:30" x14ac:dyDescent="0.25">
      <c r="M413" s="14"/>
      <c r="N413" s="14"/>
      <c r="U413" s="14"/>
      <c r="V413" s="14"/>
      <c r="AC413" s="14"/>
      <c r="AD413" s="14"/>
    </row>
    <row r="414" spans="13:30" x14ac:dyDescent="0.25">
      <c r="M414" s="14"/>
      <c r="N414" s="14"/>
      <c r="U414" s="14"/>
      <c r="V414" s="14"/>
      <c r="AC414" s="14"/>
      <c r="AD414" s="14"/>
    </row>
    <row r="415" spans="13:30" x14ac:dyDescent="0.25">
      <c r="M415" s="14"/>
      <c r="N415" s="14"/>
      <c r="U415" s="14"/>
      <c r="V415" s="14"/>
      <c r="AC415" s="14"/>
      <c r="AD415" s="14"/>
    </row>
    <row r="416" spans="13:30" x14ac:dyDescent="0.25">
      <c r="M416" s="14"/>
      <c r="N416" s="14"/>
      <c r="U416" s="14"/>
      <c r="V416" s="14"/>
      <c r="AC416" s="14"/>
      <c r="AD416" s="14"/>
    </row>
    <row r="417" spans="13:30" x14ac:dyDescent="0.25">
      <c r="M417" s="14"/>
      <c r="N417" s="14"/>
      <c r="U417" s="14"/>
      <c r="V417" s="14"/>
      <c r="AC417" s="14"/>
      <c r="AD417" s="14"/>
    </row>
    <row r="418" spans="13:30" x14ac:dyDescent="0.25">
      <c r="M418" s="14"/>
      <c r="N418" s="14"/>
      <c r="U418" s="14"/>
      <c r="V418" s="14"/>
      <c r="AC418" s="14"/>
      <c r="AD418" s="14"/>
    </row>
    <row r="419" spans="13:30" x14ac:dyDescent="0.25">
      <c r="M419" s="14"/>
      <c r="N419" s="14"/>
      <c r="U419" s="14"/>
      <c r="V419" s="14"/>
      <c r="AC419" s="14"/>
      <c r="AD419" s="14"/>
    </row>
    <row r="420" spans="13:30" x14ac:dyDescent="0.25">
      <c r="M420" s="14"/>
      <c r="N420" s="14"/>
      <c r="U420" s="14"/>
      <c r="V420" s="14"/>
      <c r="AC420" s="14"/>
      <c r="AD420" s="14"/>
    </row>
    <row r="421" spans="13:30" x14ac:dyDescent="0.25">
      <c r="M421" s="14"/>
      <c r="N421" s="14"/>
      <c r="U421" s="14"/>
      <c r="V421" s="14"/>
      <c r="AC421" s="14"/>
      <c r="AD421" s="14"/>
    </row>
    <row r="422" spans="13:30" x14ac:dyDescent="0.25">
      <c r="M422" s="14"/>
      <c r="N422" s="14"/>
      <c r="U422" s="14"/>
      <c r="V422" s="14"/>
      <c r="AC422" s="14"/>
      <c r="AD422" s="14"/>
    </row>
    <row r="423" spans="13:30" x14ac:dyDescent="0.25">
      <c r="M423" s="14"/>
      <c r="N423" s="14"/>
      <c r="U423" s="14"/>
      <c r="V423" s="14"/>
      <c r="AC423" s="14"/>
      <c r="AD423" s="14"/>
    </row>
    <row r="424" spans="13:30" x14ac:dyDescent="0.25">
      <c r="M424" s="14"/>
      <c r="N424" s="14"/>
      <c r="U424" s="14"/>
      <c r="V424" s="14"/>
      <c r="AC424" s="14"/>
      <c r="AD424" s="14"/>
    </row>
    <row r="425" spans="13:30" x14ac:dyDescent="0.25">
      <c r="M425" s="14"/>
      <c r="N425" s="14"/>
      <c r="U425" s="14"/>
      <c r="V425" s="14"/>
      <c r="AC425" s="14"/>
      <c r="AD425" s="14"/>
    </row>
    <row r="426" spans="13:30" x14ac:dyDescent="0.25">
      <c r="M426" s="14"/>
      <c r="N426" s="14"/>
      <c r="U426" s="14"/>
      <c r="V426" s="14"/>
      <c r="AC426" s="14"/>
      <c r="AD426" s="14"/>
    </row>
    <row r="427" spans="13:30" x14ac:dyDescent="0.25">
      <c r="M427" s="14"/>
      <c r="N427" s="14"/>
      <c r="U427" s="14"/>
      <c r="V427" s="14"/>
      <c r="AC427" s="14"/>
      <c r="AD427" s="14"/>
    </row>
    <row r="428" spans="13:30" x14ac:dyDescent="0.25">
      <c r="M428" s="14"/>
      <c r="N428" s="14"/>
      <c r="U428" s="14"/>
      <c r="V428" s="14"/>
      <c r="AC428" s="14"/>
      <c r="AD428" s="14"/>
    </row>
    <row r="429" spans="13:30" x14ac:dyDescent="0.25">
      <c r="M429" s="14"/>
      <c r="N429" s="14"/>
      <c r="U429" s="14"/>
      <c r="V429" s="14"/>
      <c r="AC429" s="14"/>
      <c r="AD429" s="14"/>
    </row>
    <row r="430" spans="13:30" x14ac:dyDescent="0.25">
      <c r="M430" s="14"/>
      <c r="N430" s="14"/>
      <c r="U430" s="14"/>
      <c r="V430" s="14"/>
      <c r="AC430" s="14"/>
      <c r="AD430" s="14"/>
    </row>
    <row r="431" spans="13:30" x14ac:dyDescent="0.25">
      <c r="M431" s="14"/>
      <c r="N431" s="14"/>
      <c r="U431" s="14"/>
      <c r="V431" s="14"/>
      <c r="AC431" s="14"/>
      <c r="AD431" s="14"/>
    </row>
    <row r="432" spans="13:30" x14ac:dyDescent="0.25">
      <c r="M432" s="14"/>
      <c r="N432" s="14"/>
      <c r="U432" s="14"/>
      <c r="V432" s="14"/>
      <c r="AC432" s="14"/>
      <c r="AD432" s="14"/>
    </row>
    <row r="433" spans="13:30" x14ac:dyDescent="0.25">
      <c r="M433" s="14"/>
      <c r="N433" s="14"/>
      <c r="U433" s="14"/>
      <c r="V433" s="14"/>
      <c r="AC433" s="14"/>
      <c r="AD433" s="14"/>
    </row>
    <row r="434" spans="13:30" x14ac:dyDescent="0.25">
      <c r="M434" s="14"/>
      <c r="N434" s="14"/>
      <c r="U434" s="14"/>
      <c r="V434" s="14"/>
      <c r="AC434" s="14"/>
      <c r="AD434" s="14"/>
    </row>
    <row r="435" spans="13:30" x14ac:dyDescent="0.25">
      <c r="M435" s="14"/>
      <c r="N435" s="14"/>
      <c r="U435" s="14"/>
      <c r="V435" s="14"/>
      <c r="AC435" s="14"/>
      <c r="AD435" s="1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AF12"/>
  <sheetViews>
    <sheetView workbookViewId="0">
      <selection activeCell="E19" sqref="E19"/>
    </sheetView>
  </sheetViews>
  <sheetFormatPr defaultRowHeight="15" x14ac:dyDescent="0.25"/>
  <cols>
    <col min="2" max="2" width="22.7109375" bestFit="1" customWidth="1"/>
    <col min="3" max="3" width="22.7109375" customWidth="1"/>
    <col min="5" max="5" width="13.28515625" bestFit="1" customWidth="1"/>
    <col min="6" max="6" width="12.140625" bestFit="1" customWidth="1"/>
    <col min="7" max="7" width="13.42578125" bestFit="1" customWidth="1"/>
    <col min="8" max="8" width="13.42578125" customWidth="1"/>
  </cols>
  <sheetData>
    <row r="1" spans="2:32" x14ac:dyDescent="0.25">
      <c r="I1">
        <f>'City characteristics'!$C$20+1</f>
        <v>2020</v>
      </c>
      <c r="J1">
        <v>2025</v>
      </c>
      <c r="K1">
        <v>2030</v>
      </c>
      <c r="L1">
        <v>2035</v>
      </c>
      <c r="M1">
        <v>2040</v>
      </c>
      <c r="N1">
        <v>2045</v>
      </c>
      <c r="O1">
        <v>2050</v>
      </c>
      <c r="P1">
        <v>2100</v>
      </c>
      <c r="Q1">
        <f>'City characteristics'!$C$20+1</f>
        <v>2020</v>
      </c>
      <c r="R1">
        <v>2025</v>
      </c>
      <c r="S1">
        <v>2030</v>
      </c>
      <c r="T1">
        <v>2035</v>
      </c>
      <c r="U1">
        <v>2040</v>
      </c>
      <c r="V1">
        <v>2045</v>
      </c>
      <c r="W1">
        <v>2050</v>
      </c>
      <c r="X1">
        <v>2100</v>
      </c>
      <c r="Y1">
        <f>'City characteristics'!$C$20+1</f>
        <v>2020</v>
      </c>
      <c r="Z1">
        <v>2025</v>
      </c>
      <c r="AA1">
        <v>2030</v>
      </c>
      <c r="AB1">
        <v>2035</v>
      </c>
      <c r="AC1">
        <v>2040</v>
      </c>
      <c r="AD1">
        <v>2045</v>
      </c>
      <c r="AE1">
        <v>2050</v>
      </c>
      <c r="AF1">
        <v>2100</v>
      </c>
    </row>
    <row r="2" spans="2:32" x14ac:dyDescent="0.25">
      <c r="I2" t="s">
        <v>407</v>
      </c>
      <c r="J2" t="s">
        <v>407</v>
      </c>
      <c r="K2" t="s">
        <v>407</v>
      </c>
      <c r="L2" t="s">
        <v>407</v>
      </c>
      <c r="M2" t="s">
        <v>407</v>
      </c>
      <c r="N2" t="s">
        <v>407</v>
      </c>
      <c r="O2" t="s">
        <v>407</v>
      </c>
      <c r="P2" t="s">
        <v>407</v>
      </c>
      <c r="Q2" t="s">
        <v>408</v>
      </c>
      <c r="R2" t="s">
        <v>408</v>
      </c>
      <c r="S2" t="s">
        <v>408</v>
      </c>
      <c r="T2" t="s">
        <v>408</v>
      </c>
      <c r="U2" t="s">
        <v>408</v>
      </c>
      <c r="V2" t="s">
        <v>408</v>
      </c>
      <c r="W2" t="s">
        <v>408</v>
      </c>
      <c r="X2" t="s">
        <v>408</v>
      </c>
      <c r="Y2" t="s">
        <v>409</v>
      </c>
      <c r="Z2" t="s">
        <v>409</v>
      </c>
      <c r="AA2" t="s">
        <v>409</v>
      </c>
      <c r="AB2" t="s">
        <v>409</v>
      </c>
      <c r="AC2" t="s">
        <v>409</v>
      </c>
      <c r="AD2" t="s">
        <v>409</v>
      </c>
      <c r="AE2" t="s">
        <v>409</v>
      </c>
      <c r="AF2" t="s">
        <v>409</v>
      </c>
    </row>
    <row r="4" spans="2:32" x14ac:dyDescent="0.25">
      <c r="D4" s="10" t="s">
        <v>410</v>
      </c>
    </row>
    <row r="5" spans="2:32" x14ac:dyDescent="0.25">
      <c r="B5" s="11" t="s">
        <v>377</v>
      </c>
      <c r="C5" s="11" t="s">
        <v>411</v>
      </c>
      <c r="D5" s="11" t="s">
        <v>414</v>
      </c>
      <c r="E5" s="11" t="s">
        <v>415</v>
      </c>
      <c r="F5" s="11" t="s">
        <v>416</v>
      </c>
      <c r="G5" s="11" t="s">
        <v>417</v>
      </c>
      <c r="H5" s="11" t="s">
        <v>425</v>
      </c>
      <c r="I5" s="11" t="str">
        <f t="shared" ref="I5:AF5" si="0">I2&amp;"~"&amp;I1</f>
        <v>EFF~2020</v>
      </c>
      <c r="J5" s="11" t="str">
        <f t="shared" si="0"/>
        <v>EFF~2025</v>
      </c>
      <c r="K5" s="11" t="str">
        <f t="shared" si="0"/>
        <v>EFF~2030</v>
      </c>
      <c r="L5" s="11" t="str">
        <f t="shared" si="0"/>
        <v>EFF~2035</v>
      </c>
      <c r="M5" s="11" t="str">
        <f t="shared" si="0"/>
        <v>EFF~2040</v>
      </c>
      <c r="N5" s="11" t="str">
        <f t="shared" si="0"/>
        <v>EFF~2045</v>
      </c>
      <c r="O5" s="11" t="str">
        <f t="shared" si="0"/>
        <v>EFF~2050</v>
      </c>
      <c r="P5" s="11" t="str">
        <f t="shared" si="0"/>
        <v>EFF~2100</v>
      </c>
      <c r="Q5" s="11" t="str">
        <f t="shared" si="0"/>
        <v>NCAP_COST~2020</v>
      </c>
      <c r="R5" s="11" t="str">
        <f t="shared" si="0"/>
        <v>NCAP_COST~2025</v>
      </c>
      <c r="S5" s="11" t="str">
        <f t="shared" si="0"/>
        <v>NCAP_COST~2030</v>
      </c>
      <c r="T5" s="11" t="str">
        <f t="shared" si="0"/>
        <v>NCAP_COST~2035</v>
      </c>
      <c r="U5" s="11" t="str">
        <f t="shared" si="0"/>
        <v>NCAP_COST~2040</v>
      </c>
      <c r="V5" s="11" t="str">
        <f t="shared" si="0"/>
        <v>NCAP_COST~2045</v>
      </c>
      <c r="W5" s="11" t="str">
        <f t="shared" si="0"/>
        <v>NCAP_COST~2050</v>
      </c>
      <c r="X5" s="11" t="str">
        <f t="shared" si="0"/>
        <v>NCAP_COST~2100</v>
      </c>
      <c r="Y5" s="11" t="str">
        <f t="shared" si="0"/>
        <v>NCAP_FOM~2020</v>
      </c>
      <c r="Z5" s="11" t="str">
        <f t="shared" si="0"/>
        <v>NCAP_FOM~2025</v>
      </c>
      <c r="AA5" s="11" t="str">
        <f t="shared" si="0"/>
        <v>NCAP_FOM~2030</v>
      </c>
      <c r="AB5" s="11" t="str">
        <f t="shared" si="0"/>
        <v>NCAP_FOM~2035</v>
      </c>
      <c r="AC5" s="11" t="str">
        <f t="shared" si="0"/>
        <v>NCAP_FOM~2040</v>
      </c>
      <c r="AD5" s="11" t="str">
        <f t="shared" si="0"/>
        <v>NCAP_FOM~2045</v>
      </c>
      <c r="AE5" s="11" t="str">
        <f t="shared" si="0"/>
        <v>NCAP_FOM~2050</v>
      </c>
      <c r="AF5" s="11" t="str">
        <f t="shared" si="0"/>
        <v>NCAP_FOM~2100</v>
      </c>
    </row>
    <row r="6" spans="2:32" ht="27.6" customHeight="1" thickBot="1" x14ac:dyDescent="0.3">
      <c r="B6" s="12" t="s">
        <v>358</v>
      </c>
      <c r="C6" s="12"/>
      <c r="D6" s="12"/>
      <c r="E6" s="12" t="s">
        <v>419</v>
      </c>
      <c r="F6" s="12" t="s">
        <v>419</v>
      </c>
      <c r="G6" s="12" t="s">
        <v>426</v>
      </c>
      <c r="H6" s="12" t="s">
        <v>427</v>
      </c>
      <c r="I6" s="12" t="s">
        <v>421</v>
      </c>
      <c r="J6" s="12" t="s">
        <v>421</v>
      </c>
      <c r="K6" s="12" t="s">
        <v>421</v>
      </c>
      <c r="L6" s="12" t="s">
        <v>421</v>
      </c>
      <c r="M6" s="12" t="s">
        <v>421</v>
      </c>
      <c r="N6" s="12" t="s">
        <v>421</v>
      </c>
      <c r="O6" s="12" t="s">
        <v>421</v>
      </c>
      <c r="P6" s="12" t="s">
        <v>421</v>
      </c>
      <c r="Q6" s="13" t="s">
        <v>422</v>
      </c>
      <c r="R6" s="13" t="s">
        <v>422</v>
      </c>
      <c r="S6" s="13" t="s">
        <v>422</v>
      </c>
      <c r="T6" s="13" t="s">
        <v>422</v>
      </c>
      <c r="U6" s="13" t="s">
        <v>422</v>
      </c>
      <c r="V6" s="13" t="s">
        <v>422</v>
      </c>
      <c r="W6" s="13" t="s">
        <v>422</v>
      </c>
      <c r="X6" s="13" t="s">
        <v>422</v>
      </c>
      <c r="Y6" s="13" t="s">
        <v>423</v>
      </c>
      <c r="Z6" s="13" t="s">
        <v>423</v>
      </c>
      <c r="AA6" s="13" t="s">
        <v>423</v>
      </c>
      <c r="AB6" s="13" t="s">
        <v>423</v>
      </c>
      <c r="AC6" s="13" t="s">
        <v>423</v>
      </c>
      <c r="AD6" s="13" t="s">
        <v>423</v>
      </c>
      <c r="AE6" s="13" t="s">
        <v>423</v>
      </c>
      <c r="AF6" s="13" t="s">
        <v>423</v>
      </c>
    </row>
    <row r="7" spans="2:32" x14ac:dyDescent="0.25">
      <c r="B7" t="str">
        <f>IF('TRA TECH'!M321=1,IF('TRA TECH'!L321=1,'TRA TECH'!J321,"*"),"*")</f>
        <v>TRALDTRESCHA19</v>
      </c>
      <c r="C7" t="str">
        <f>_xlfn.XLOOKUP(B7,'TRA TECH'!J:J,'TRA TECH'!H:H)</f>
        <v>TRAELC</v>
      </c>
      <c r="D7" t="str">
        <f>_xlfn.XLOOKUP(B7,'TRA TECH'!J:J,'TRA TECH'!I:I)</f>
        <v>TRABAT</v>
      </c>
      <c r="E7">
        <f>_xlfn.XLOOKUP(B7,'TRA TECH'!J:J,'TRA TECH'!N:N)</f>
        <v>2019</v>
      </c>
      <c r="F7" s="15">
        <f>_xlfn.XLOOKUP(B7,'TRA TECH'!J:J,'TRA TECH'!O:O)</f>
        <v>25</v>
      </c>
      <c r="G7">
        <f t="shared" ref="G7:G12" si="1">8760*0.0036</f>
        <v>31.535999999999998</v>
      </c>
      <c r="H7" s="14">
        <f>4/24</f>
        <v>0.16666666666666666</v>
      </c>
      <c r="I7">
        <f>_xlfn.XLOOKUP($B7,'TRA TECH'!$J:$J,'TRA TECH'!Q:Q)</f>
        <v>0.9</v>
      </c>
      <c r="J7">
        <f>_xlfn.XLOOKUP($B7,'TRA TECH'!$J:$J,'TRA TECH'!R:R)</f>
        <v>0.91</v>
      </c>
      <c r="K7">
        <f>_xlfn.XLOOKUP($B7,'TRA TECH'!$J:$J,'TRA TECH'!S:S)</f>
        <v>0.92</v>
      </c>
      <c r="L7">
        <f>_xlfn.XLOOKUP($B7,'TRA TECH'!$J:$J,'TRA TECH'!T:T)</f>
        <v>0.93</v>
      </c>
      <c r="M7">
        <f>_xlfn.XLOOKUP($B7,'TRA TECH'!$J:$J,'TRA TECH'!U:U)</f>
        <v>0.94</v>
      </c>
      <c r="N7">
        <f>_xlfn.XLOOKUP($B7,'TRA TECH'!$J:$J,'TRA TECH'!V:V)</f>
        <v>0.95</v>
      </c>
      <c r="O7">
        <f>_xlfn.XLOOKUP($B7,'TRA TECH'!$J:$J,'TRA TECH'!W:W)</f>
        <v>0.95</v>
      </c>
      <c r="P7">
        <f t="shared" ref="P7:P12" si="2">O7</f>
        <v>0.95</v>
      </c>
      <c r="Q7" s="8">
        <f>_xlfn.XLOOKUP($B7,'TRA TECH'!$J:$J,'TRA TECH'!X:X)</f>
        <v>1083.8776025609291</v>
      </c>
      <c r="R7" s="8">
        <f>_xlfn.XLOOKUP($B7,'TRA TECH'!$J:$J,'TRA TECH'!Y:Y)</f>
        <v>757.54886200495059</v>
      </c>
      <c r="S7" s="8">
        <f>_xlfn.XLOOKUP($B7,'TRA TECH'!$J:$J,'TRA TECH'!Z:Z)</f>
        <v>692.28311389375483</v>
      </c>
      <c r="T7" s="8">
        <f>_xlfn.XLOOKUP($B7,'TRA TECH'!$J:$J,'TRA TECH'!AA:AA)</f>
        <v>627.01736578255918</v>
      </c>
      <c r="U7" s="8">
        <f>_xlfn.XLOOKUP($B7,'TRA TECH'!$J:$J,'TRA TECH'!AB:AB)</f>
        <v>561.75161767136342</v>
      </c>
      <c r="V7" s="8">
        <f>_xlfn.XLOOKUP($B7,'TRA TECH'!$J:$J,'TRA TECH'!AC:AC)</f>
        <v>496.48586956016771</v>
      </c>
      <c r="W7" s="8">
        <f>_xlfn.XLOOKUP($B7,'TRA TECH'!$J:$J,'TRA TECH'!AD:AD)</f>
        <v>431.2201214489719</v>
      </c>
      <c r="X7" s="8">
        <f t="shared" ref="X7:X12" si="3">W7</f>
        <v>431.2201214489719</v>
      </c>
      <c r="Y7" s="15">
        <f>_xlfn.XLOOKUP($B7,'TRA TECH'!$J:$J,'TRA TECH'!AE:AE)</f>
        <v>29.136494692498101</v>
      </c>
      <c r="Z7" s="15">
        <f>_xlfn.XLOOKUP($B7,'TRA TECH'!$J:$J,'TRA TECH'!AF:AF)</f>
        <v>26.80557511709825</v>
      </c>
      <c r="AA7" s="15">
        <f>_xlfn.XLOOKUP($B7,'TRA TECH'!$J:$J,'TRA TECH'!AG:AG)</f>
        <v>24.4746555416984</v>
      </c>
      <c r="AB7" s="15">
        <f>_xlfn.XLOOKUP($B7,'TRA TECH'!$J:$J,'TRA TECH'!AH:AH)</f>
        <v>22.143735966298561</v>
      </c>
      <c r="AC7" s="15">
        <f>_xlfn.XLOOKUP($B7,'TRA TECH'!$J:$J,'TRA TECH'!AI:AI)</f>
        <v>19.81281639089871</v>
      </c>
      <c r="AD7" s="15">
        <f>_xlfn.XLOOKUP($B7,'TRA TECH'!$J:$J,'TRA TECH'!AJ:AJ)</f>
        <v>17.48189681549886</v>
      </c>
      <c r="AE7" s="15">
        <f>_xlfn.XLOOKUP($B7,'TRA TECH'!$J:$J,'TRA TECH'!AK:AK)</f>
        <v>15.15097724009901</v>
      </c>
      <c r="AF7" s="15">
        <f t="shared" ref="AF7:AF12" si="4">AE7</f>
        <v>15.15097724009901</v>
      </c>
    </row>
    <row r="8" spans="2:32" x14ac:dyDescent="0.25">
      <c r="B8" t="str">
        <f>IF('TRA TECH'!M322=1,IF('TRA TECH'!L322=1,'TRA TECH'!J322,"*"),"*")</f>
        <v>TRALDTCOM1CHA19</v>
      </c>
      <c r="C8" t="str">
        <f>_xlfn.XLOOKUP(B8,'TRA TECH'!J:J,'TRA TECH'!H:H)</f>
        <v>TRAELC</v>
      </c>
      <c r="D8" t="str">
        <f>_xlfn.XLOOKUP(B8,'TRA TECH'!J:J,'TRA TECH'!I:I)</f>
        <v>TRABAT</v>
      </c>
      <c r="E8">
        <f>_xlfn.XLOOKUP(B8,'TRA TECH'!J:J,'TRA TECH'!N:N)</f>
        <v>2019</v>
      </c>
      <c r="F8" s="15">
        <f>_xlfn.XLOOKUP(B8,'TRA TECH'!J:J,'TRA TECH'!O:O)</f>
        <v>25</v>
      </c>
      <c r="G8">
        <f t="shared" si="1"/>
        <v>31.535999999999998</v>
      </c>
      <c r="H8" s="14">
        <f>8/24</f>
        <v>0.33333333333333331</v>
      </c>
      <c r="I8">
        <f>_xlfn.XLOOKUP($B8,'TRA TECH'!$J:$J,'TRA TECH'!Q:Q)</f>
        <v>0.9</v>
      </c>
      <c r="J8">
        <f>_xlfn.XLOOKUP($B8,'TRA TECH'!$J:$J,'TRA TECH'!R:R)</f>
        <v>0.91</v>
      </c>
      <c r="K8">
        <f>_xlfn.XLOOKUP($B8,'TRA TECH'!$J:$J,'TRA TECH'!S:S)</f>
        <v>0.92</v>
      </c>
      <c r="L8">
        <f>_xlfn.XLOOKUP($B8,'TRA TECH'!$J:$J,'TRA TECH'!T:T)</f>
        <v>0.93</v>
      </c>
      <c r="M8">
        <f>_xlfn.XLOOKUP($B8,'TRA TECH'!$J:$J,'TRA TECH'!U:U)</f>
        <v>0.94</v>
      </c>
      <c r="N8">
        <f>_xlfn.XLOOKUP($B8,'TRA TECH'!$J:$J,'TRA TECH'!V:V)</f>
        <v>0.95</v>
      </c>
      <c r="O8">
        <f>_xlfn.XLOOKUP($B8,'TRA TECH'!$J:$J,'TRA TECH'!W:W)</f>
        <v>0.95</v>
      </c>
      <c r="P8">
        <f t="shared" si="2"/>
        <v>0.95</v>
      </c>
      <c r="Q8" s="8">
        <f>_xlfn.XLOOKUP($B8,'TRA TECH'!$J:$J,'TRA TECH'!X:X)</f>
        <v>970.82800315403665</v>
      </c>
      <c r="R8" s="8">
        <f>_xlfn.XLOOKUP($B8,'TRA TECH'!$J:$J,'TRA TECH'!Y:Y)</f>
        <v>675.96667686595595</v>
      </c>
      <c r="S8" s="8">
        <f>_xlfn.XLOOKUP($B8,'TRA TECH'!$J:$J,'TRA TECH'!Z:Z)</f>
        <v>617.69368748095974</v>
      </c>
      <c r="T8" s="8">
        <f>_xlfn.XLOOKUP($B8,'TRA TECH'!$J:$J,'TRA TECH'!AA:AA)</f>
        <v>559.42069809596353</v>
      </c>
      <c r="U8" s="8">
        <f>_xlfn.XLOOKUP($B8,'TRA TECH'!$J:$J,'TRA TECH'!AB:AB)</f>
        <v>501.14770871096732</v>
      </c>
      <c r="V8" s="8">
        <f>_xlfn.XLOOKUP($B8,'TRA TECH'!$J:$J,'TRA TECH'!AC:AC)</f>
        <v>442.87471932597111</v>
      </c>
      <c r="W8" s="8">
        <f>_xlfn.XLOOKUP($B8,'TRA TECH'!$J:$J,'TRA TECH'!AD:AD)</f>
        <v>384.60172994097491</v>
      </c>
      <c r="X8" s="8">
        <f t="shared" si="3"/>
        <v>384.60172994097491</v>
      </c>
      <c r="Y8" s="15">
        <f>_xlfn.XLOOKUP($B8,'TRA TECH'!$J:$J,'TRA TECH'!AE:AE)</f>
        <v>37.294713206397567</v>
      </c>
      <c r="Z8" s="15">
        <f>_xlfn.XLOOKUP($B8,'TRA TECH'!$J:$J,'TRA TECH'!AF:AF)</f>
        <v>34.186820439197767</v>
      </c>
      <c r="AA8" s="15">
        <f>_xlfn.XLOOKUP($B8,'TRA TECH'!$J:$J,'TRA TECH'!AG:AG)</f>
        <v>31.07892767199797</v>
      </c>
      <c r="AB8" s="15">
        <f>_xlfn.XLOOKUP($B8,'TRA TECH'!$J:$J,'TRA TECH'!AH:AH)</f>
        <v>27.97103490479817</v>
      </c>
      <c r="AC8" s="15">
        <f>_xlfn.XLOOKUP($B8,'TRA TECH'!$J:$J,'TRA TECH'!AI:AI)</f>
        <v>24.863142137598381</v>
      </c>
      <c r="AD8" s="15">
        <f>_xlfn.XLOOKUP($B8,'TRA TECH'!$J:$J,'TRA TECH'!AJ:AJ)</f>
        <v>21.75524937039858</v>
      </c>
      <c r="AE8" s="15">
        <f>_xlfn.XLOOKUP($B8,'TRA TECH'!$J:$J,'TRA TECH'!AK:AK)</f>
        <v>18.64735660319878</v>
      </c>
      <c r="AF8" s="15">
        <f t="shared" si="4"/>
        <v>18.64735660319878</v>
      </c>
    </row>
    <row r="9" spans="2:32" x14ac:dyDescent="0.25">
      <c r="B9" t="str">
        <f>IF('TRA TECH'!M323=1,IF('TRA TECH'!L323=1,'TRA TECH'!J323,"*"),"*")</f>
        <v>TRALDTCOM2CHA19</v>
      </c>
      <c r="C9" t="str">
        <f>_xlfn.XLOOKUP(B9,'TRA TECH'!J:J,'TRA TECH'!H:H)</f>
        <v>TRAELC</v>
      </c>
      <c r="D9" t="str">
        <f>_xlfn.XLOOKUP(B9,'TRA TECH'!J:J,'TRA TECH'!I:I)</f>
        <v>TRABAT</v>
      </c>
      <c r="E9">
        <f>_xlfn.XLOOKUP(B9,'TRA TECH'!J:J,'TRA TECH'!N:N)</f>
        <v>2019</v>
      </c>
      <c r="F9" s="15">
        <f>_xlfn.XLOOKUP(B9,'TRA TECH'!J:J,'TRA TECH'!O:O)</f>
        <v>25</v>
      </c>
      <c r="G9">
        <f t="shared" si="1"/>
        <v>31.535999999999998</v>
      </c>
      <c r="H9" s="14">
        <f>12/24</f>
        <v>0.5</v>
      </c>
      <c r="I9">
        <f>_xlfn.XLOOKUP($B9,'TRA TECH'!$J:$J,'TRA TECH'!Q:Q)</f>
        <v>0.9</v>
      </c>
      <c r="J9">
        <f>_xlfn.XLOOKUP($B9,'TRA TECH'!$J:$J,'TRA TECH'!R:R)</f>
        <v>0.91</v>
      </c>
      <c r="K9">
        <f>_xlfn.XLOOKUP($B9,'TRA TECH'!$J:$J,'TRA TECH'!S:S)</f>
        <v>0.92</v>
      </c>
      <c r="L9">
        <f>_xlfn.XLOOKUP($B9,'TRA TECH'!$J:$J,'TRA TECH'!T:T)</f>
        <v>0.93</v>
      </c>
      <c r="M9">
        <f>_xlfn.XLOOKUP($B9,'TRA TECH'!$J:$J,'TRA TECH'!U:U)</f>
        <v>0.94</v>
      </c>
      <c r="N9">
        <f>_xlfn.XLOOKUP($B9,'TRA TECH'!$J:$J,'TRA TECH'!V:V)</f>
        <v>0.95</v>
      </c>
      <c r="O9">
        <f>_xlfn.XLOOKUP($B9,'TRA TECH'!$J:$J,'TRA TECH'!W:W)</f>
        <v>0.95</v>
      </c>
      <c r="P9">
        <f t="shared" si="2"/>
        <v>0.95</v>
      </c>
      <c r="Q9" s="8">
        <f>_xlfn.XLOOKUP($B9,'TRA TECH'!$J:$J,'TRA TECH'!X:X)</f>
        <v>1165.4597876999239</v>
      </c>
      <c r="R9" s="8">
        <f>_xlfn.XLOOKUP($B9,'TRA TECH'!$J:$J,'TRA TECH'!Y:Y)</f>
        <v>815.8218513899468</v>
      </c>
      <c r="S9" s="8">
        <f>_xlfn.XLOOKUP($B9,'TRA TECH'!$J:$J,'TRA TECH'!Z:Z)</f>
        <v>745.89426412795137</v>
      </c>
      <c r="T9" s="8">
        <f>_xlfn.XLOOKUP($B9,'TRA TECH'!$J:$J,'TRA TECH'!AA:AA)</f>
        <v>675.96667686595595</v>
      </c>
      <c r="U9" s="8">
        <f>_xlfn.XLOOKUP($B9,'TRA TECH'!$J:$J,'TRA TECH'!AB:AB)</f>
        <v>606.03908960396052</v>
      </c>
      <c r="V9" s="8">
        <f>_xlfn.XLOOKUP($B9,'TRA TECH'!$J:$J,'TRA TECH'!AC:AC)</f>
        <v>536.11150234196498</v>
      </c>
      <c r="W9" s="8">
        <f>_xlfn.XLOOKUP($B9,'TRA TECH'!$J:$J,'TRA TECH'!AD:AD)</f>
        <v>466.18391507996961</v>
      </c>
      <c r="X9" s="8">
        <f t="shared" si="3"/>
        <v>466.18391507996961</v>
      </c>
      <c r="Y9" s="15">
        <f>_xlfn.XLOOKUP($B9,'TRA TECH'!$J:$J,'TRA TECH'!AE:AE)</f>
        <v>44.287471932597107</v>
      </c>
      <c r="Z9" s="15">
        <f>_xlfn.XLOOKUP($B9,'TRA TECH'!$J:$J,'TRA TECH'!AF:AF)</f>
        <v>40.596849271547363</v>
      </c>
      <c r="AA9" s="15">
        <f>_xlfn.XLOOKUP($B9,'TRA TECH'!$J:$J,'TRA TECH'!AG:AG)</f>
        <v>36.906226610497598</v>
      </c>
      <c r="AB9" s="15">
        <f>_xlfn.XLOOKUP($B9,'TRA TECH'!$J:$J,'TRA TECH'!AH:AH)</f>
        <v>33.215603949447839</v>
      </c>
      <c r="AC9" s="15">
        <f>_xlfn.XLOOKUP($B9,'TRA TECH'!$J:$J,'TRA TECH'!AI:AI)</f>
        <v>29.52498128839807</v>
      </c>
      <c r="AD9" s="15">
        <f>_xlfn.XLOOKUP($B9,'TRA TECH'!$J:$J,'TRA TECH'!AJ:AJ)</f>
        <v>25.834358627348319</v>
      </c>
      <c r="AE9" s="15">
        <f>_xlfn.XLOOKUP($B9,'TRA TECH'!$J:$J,'TRA TECH'!AK:AK)</f>
        <v>22.143735966298561</v>
      </c>
      <c r="AF9" s="15">
        <f t="shared" si="4"/>
        <v>22.143735966298561</v>
      </c>
    </row>
    <row r="10" spans="2:32" x14ac:dyDescent="0.25">
      <c r="B10" t="str">
        <f>IF('TRA TECH'!M324=1,IF('TRA TECH'!L324=1,'TRA TECH'!J324,"*"),"*")</f>
        <v>TRALDTPUBCHA19</v>
      </c>
      <c r="C10" t="str">
        <f>_xlfn.XLOOKUP(B10,'TRA TECH'!J:J,'TRA TECH'!H:H)</f>
        <v>TRAELC</v>
      </c>
      <c r="D10" t="str">
        <f>_xlfn.XLOOKUP(B10,'TRA TECH'!J:J,'TRA TECH'!I:I)</f>
        <v>TRABAT</v>
      </c>
      <c r="E10">
        <f>_xlfn.XLOOKUP(B10,'TRA TECH'!J:J,'TRA TECH'!N:N)</f>
        <v>2019</v>
      </c>
      <c r="F10" s="15">
        <f>_xlfn.XLOOKUP(B10,'TRA TECH'!J:J,'TRA TECH'!O:O)</f>
        <v>25</v>
      </c>
      <c r="G10">
        <f t="shared" si="1"/>
        <v>31.535999999999998</v>
      </c>
      <c r="H10" s="14">
        <f>12/24</f>
        <v>0.5</v>
      </c>
      <c r="I10">
        <f>_xlfn.XLOOKUP($B10,'TRA TECH'!$J:$J,'TRA TECH'!Q:Q)</f>
        <v>0.9</v>
      </c>
      <c r="J10">
        <f>_xlfn.XLOOKUP($B10,'TRA TECH'!$J:$J,'TRA TECH'!R:R)</f>
        <v>0.91</v>
      </c>
      <c r="K10">
        <f>_xlfn.XLOOKUP($B10,'TRA TECH'!$J:$J,'TRA TECH'!S:S)</f>
        <v>0.92</v>
      </c>
      <c r="L10">
        <f>_xlfn.XLOOKUP($B10,'TRA TECH'!$J:$J,'TRA TECH'!T:T)</f>
        <v>0.93</v>
      </c>
      <c r="M10">
        <f>_xlfn.XLOOKUP($B10,'TRA TECH'!$J:$J,'TRA TECH'!U:U)</f>
        <v>0.94</v>
      </c>
      <c r="N10">
        <f>_xlfn.XLOOKUP($B10,'TRA TECH'!$J:$J,'TRA TECH'!V:V)</f>
        <v>0.95</v>
      </c>
      <c r="O10">
        <f>_xlfn.XLOOKUP($B10,'TRA TECH'!$J:$J,'TRA TECH'!W:W)</f>
        <v>0.95</v>
      </c>
      <c r="P10">
        <f t="shared" si="2"/>
        <v>0.95</v>
      </c>
      <c r="Q10" s="8">
        <f>_xlfn.XLOOKUP($B10,'TRA TECH'!$J:$J,'TRA TECH'!X:X)</f>
        <v>1748.189681549886</v>
      </c>
      <c r="R10" s="8">
        <f>_xlfn.XLOOKUP($B10,'TRA TECH'!$J:$J,'TRA TECH'!Y:Y)</f>
        <v>1223.7327770849199</v>
      </c>
      <c r="S10" s="8">
        <f>_xlfn.XLOOKUP($B10,'TRA TECH'!$J:$J,'TRA TECH'!Z:Z)</f>
        <v>1118.8413961919271</v>
      </c>
      <c r="T10" s="8">
        <f>_xlfn.XLOOKUP($B10,'TRA TECH'!$J:$J,'TRA TECH'!AA:AA)</f>
        <v>1118.8413961919271</v>
      </c>
      <c r="U10" s="8">
        <f>_xlfn.XLOOKUP($B10,'TRA TECH'!$J:$J,'TRA TECH'!AB:AB)</f>
        <v>1118.8413961919271</v>
      </c>
      <c r="V10" s="8">
        <f>_xlfn.XLOOKUP($B10,'TRA TECH'!$J:$J,'TRA TECH'!AC:AC)</f>
        <v>1118.8413961919271</v>
      </c>
      <c r="W10" s="8">
        <f>_xlfn.XLOOKUP($B10,'TRA TECH'!$J:$J,'TRA TECH'!AD:AD)</f>
        <v>699.27587261995438</v>
      </c>
      <c r="X10" s="8">
        <f t="shared" si="3"/>
        <v>699.27587261995438</v>
      </c>
      <c r="Y10" s="15">
        <f>_xlfn.XLOOKUP($B10,'TRA TECH'!$J:$J,'TRA TECH'!AE:AE)</f>
        <v>60.603908960396048</v>
      </c>
      <c r="Z10" s="15">
        <f>_xlfn.XLOOKUP($B10,'TRA TECH'!$J:$J,'TRA TECH'!AF:AF)</f>
        <v>55.553583213696378</v>
      </c>
      <c r="AA10" s="15">
        <f>_xlfn.XLOOKUP($B10,'TRA TECH'!$J:$J,'TRA TECH'!AG:AG)</f>
        <v>50.503257466996708</v>
      </c>
      <c r="AB10" s="15">
        <f>_xlfn.XLOOKUP($B10,'TRA TECH'!$J:$J,'TRA TECH'!AH:AH)</f>
        <v>45.45293172029703</v>
      </c>
      <c r="AC10" s="15">
        <f>_xlfn.XLOOKUP($B10,'TRA TECH'!$J:$J,'TRA TECH'!AI:AI)</f>
        <v>40.40260597359736</v>
      </c>
      <c r="AD10" s="15">
        <f>_xlfn.XLOOKUP($B10,'TRA TECH'!$J:$J,'TRA TECH'!AJ:AJ)</f>
        <v>35.35228022689769</v>
      </c>
      <c r="AE10" s="15">
        <f>_xlfn.XLOOKUP($B10,'TRA TECH'!$J:$J,'TRA TECH'!AK:AK)</f>
        <v>30.30195448019802</v>
      </c>
      <c r="AF10" s="15">
        <f t="shared" si="4"/>
        <v>30.30195448019802</v>
      </c>
    </row>
    <row r="11" spans="2:32" x14ac:dyDescent="0.25">
      <c r="B11" t="str">
        <f>IF('TRA TECH'!M325=1,IF('TRA TECH'!L325=1,'TRA TECH'!J325,"*"),"*")</f>
        <v>TRAHDTSLWCHA19</v>
      </c>
      <c r="C11" t="str">
        <f>_xlfn.XLOOKUP(B11,'TRA TECH'!J:J,'TRA TECH'!H:H)</f>
        <v>TRAELC</v>
      </c>
      <c r="D11" t="str">
        <f>_xlfn.XLOOKUP(B11,'TRA TECH'!J:J,'TRA TECH'!I:I)</f>
        <v>TRABAF</v>
      </c>
      <c r="E11">
        <f>_xlfn.XLOOKUP(B11,'TRA TECH'!J:J,'TRA TECH'!N:N)</f>
        <v>2019</v>
      </c>
      <c r="F11" s="15">
        <f>_xlfn.XLOOKUP(B11,'TRA TECH'!J:J,'TRA TECH'!O:O)</f>
        <v>25</v>
      </c>
      <c r="G11">
        <f t="shared" si="1"/>
        <v>31.535999999999998</v>
      </c>
      <c r="H11" s="14">
        <f>8/24</f>
        <v>0.33333333333333331</v>
      </c>
      <c r="I11">
        <f>_xlfn.XLOOKUP($B11,'TRA TECH'!$J:$J,'TRA TECH'!Q:Q)</f>
        <v>0.9</v>
      </c>
      <c r="J11">
        <f>_xlfn.XLOOKUP($B11,'TRA TECH'!$J:$J,'TRA TECH'!R:R)</f>
        <v>0.91</v>
      </c>
      <c r="K11">
        <f>_xlfn.XLOOKUP($B11,'TRA TECH'!$J:$J,'TRA TECH'!S:S)</f>
        <v>0.92</v>
      </c>
      <c r="L11">
        <f>_xlfn.XLOOKUP($B11,'TRA TECH'!$J:$J,'TRA TECH'!T:T)</f>
        <v>0.93</v>
      </c>
      <c r="M11">
        <f>_xlfn.XLOOKUP($B11,'TRA TECH'!$J:$J,'TRA TECH'!U:U)</f>
        <v>0.94</v>
      </c>
      <c r="N11">
        <f>_xlfn.XLOOKUP($B11,'TRA TECH'!$J:$J,'TRA TECH'!V:V)</f>
        <v>0.95</v>
      </c>
      <c r="O11">
        <f>_xlfn.XLOOKUP($B11,'TRA TECH'!$J:$J,'TRA TECH'!W:W)</f>
        <v>0.95</v>
      </c>
      <c r="P11">
        <f t="shared" si="2"/>
        <v>0.95</v>
      </c>
      <c r="Q11" s="8">
        <f>_xlfn.XLOOKUP($B11,'TRA TECH'!$J:$J,'TRA TECH'!X:X)</f>
        <v>582.72989384996197</v>
      </c>
      <c r="R11" s="8">
        <f>_xlfn.XLOOKUP($B11,'TRA TECH'!$J:$J,'TRA TECH'!Y:Y)</f>
        <v>524.45690446496576</v>
      </c>
      <c r="S11" s="8">
        <f>_xlfn.XLOOKUP($B11,'TRA TECH'!$J:$J,'TRA TECH'!Z:Z)</f>
        <v>466.18391507996961</v>
      </c>
      <c r="T11" s="8">
        <f>_xlfn.XLOOKUP($B11,'TRA TECH'!$J:$J,'TRA TECH'!AA:AA)</f>
        <v>466.18391507996961</v>
      </c>
      <c r="U11" s="8">
        <f>_xlfn.XLOOKUP($B11,'TRA TECH'!$J:$J,'TRA TECH'!AB:AB)</f>
        <v>466.18391507996961</v>
      </c>
      <c r="V11" s="8">
        <f>_xlfn.XLOOKUP($B11,'TRA TECH'!$J:$J,'TRA TECH'!AC:AC)</f>
        <v>466.18391507996961</v>
      </c>
      <c r="W11" s="8">
        <f>_xlfn.XLOOKUP($B11,'TRA TECH'!$J:$J,'TRA TECH'!AD:AD)</f>
        <v>466.18391507996961</v>
      </c>
      <c r="X11" s="8">
        <f t="shared" si="3"/>
        <v>466.18391507996961</v>
      </c>
      <c r="Y11" s="15">
        <f>_xlfn.XLOOKUP($B11,'TRA TECH'!$J:$J,'TRA TECH'!AE:AE)</f>
        <v>163.16437027798929</v>
      </c>
      <c r="Z11" s="15">
        <f>_xlfn.XLOOKUP($B11,'TRA TECH'!$J:$J,'TRA TECH'!AF:AF)</f>
        <v>143.9342837809406</v>
      </c>
      <c r="AA11" s="15">
        <f>_xlfn.XLOOKUP($B11,'TRA TECH'!$J:$J,'TRA TECH'!AG:AG)</f>
        <v>124.7041972838919</v>
      </c>
      <c r="AB11" s="15">
        <f>_xlfn.XLOOKUP($B11,'TRA TECH'!$J:$J,'TRA TECH'!AH:AH)</f>
        <v>105.4741107868431</v>
      </c>
      <c r="AC11" s="15">
        <f>_xlfn.XLOOKUP($B11,'TRA TECH'!$J:$J,'TRA TECH'!AI:AI)</f>
        <v>86.244024289794368</v>
      </c>
      <c r="AD11" s="15">
        <f>_xlfn.XLOOKUP($B11,'TRA TECH'!$J:$J,'TRA TECH'!AJ:AJ)</f>
        <v>67.013937792745622</v>
      </c>
      <c r="AE11" s="15">
        <f>_xlfn.XLOOKUP($B11,'TRA TECH'!$J:$J,'TRA TECH'!AK:AK)</f>
        <v>47.783851295696877</v>
      </c>
      <c r="AF11" s="15">
        <f t="shared" si="4"/>
        <v>47.783851295696877</v>
      </c>
    </row>
    <row r="12" spans="2:32" x14ac:dyDescent="0.25">
      <c r="B12" t="str">
        <f>IF('TRA TECH'!M326=1,IF('TRA TECH'!L326=1,'TRA TECH'!J326,"*"),"*")</f>
        <v>TRAHDTFASCHA19</v>
      </c>
      <c r="C12" t="str">
        <f>_xlfn.XLOOKUP(B12,'TRA TECH'!J:J,'TRA TECH'!H:H)</f>
        <v>TRAELC</v>
      </c>
      <c r="D12" t="str">
        <f>_xlfn.XLOOKUP(B12,'TRA TECH'!J:J,'TRA TECH'!I:I)</f>
        <v>TRABAF</v>
      </c>
      <c r="E12">
        <f>_xlfn.XLOOKUP(B12,'TRA TECH'!J:J,'TRA TECH'!N:N)</f>
        <v>2019</v>
      </c>
      <c r="F12" s="15">
        <f>_xlfn.XLOOKUP(B12,'TRA TECH'!J:J,'TRA TECH'!O:O)</f>
        <v>25</v>
      </c>
      <c r="G12">
        <f t="shared" si="1"/>
        <v>31.535999999999998</v>
      </c>
      <c r="H12" s="14">
        <f>12/24</f>
        <v>0.5</v>
      </c>
      <c r="I12">
        <f>_xlfn.XLOOKUP($B12,'TRA TECH'!$J:$J,'TRA TECH'!Q:Q)</f>
        <v>0.9</v>
      </c>
      <c r="J12">
        <f>_xlfn.XLOOKUP($B12,'TRA TECH'!$J:$J,'TRA TECH'!R:R)</f>
        <v>0.91</v>
      </c>
      <c r="K12">
        <f>_xlfn.XLOOKUP($B12,'TRA TECH'!$J:$J,'TRA TECH'!S:S)</f>
        <v>0.92</v>
      </c>
      <c r="L12">
        <f>_xlfn.XLOOKUP($B12,'TRA TECH'!$J:$J,'TRA TECH'!T:T)</f>
        <v>0.93</v>
      </c>
      <c r="M12">
        <f>_xlfn.XLOOKUP($B12,'TRA TECH'!$J:$J,'TRA TECH'!U:U)</f>
        <v>0.94</v>
      </c>
      <c r="N12">
        <f>_xlfn.XLOOKUP($B12,'TRA TECH'!$J:$J,'TRA TECH'!V:V)</f>
        <v>0.95</v>
      </c>
      <c r="O12">
        <f>_xlfn.XLOOKUP($B12,'TRA TECH'!$J:$J,'TRA TECH'!W:W)</f>
        <v>0.95</v>
      </c>
      <c r="P12">
        <f t="shared" si="2"/>
        <v>0.95</v>
      </c>
      <c r="Q12" s="8">
        <f>_xlfn.XLOOKUP($B12,'TRA TECH'!$J:$J,'TRA TECH'!X:X)</f>
        <v>874.09484077494301</v>
      </c>
      <c r="R12" s="8">
        <f>_xlfn.XLOOKUP($B12,'TRA TECH'!$J:$J,'TRA TECH'!Y:Y)</f>
        <v>757.54886200495059</v>
      </c>
      <c r="S12" s="8">
        <f>_xlfn.XLOOKUP($B12,'TRA TECH'!$J:$J,'TRA TECH'!Z:Z)</f>
        <v>641.00288323495818</v>
      </c>
      <c r="T12" s="8">
        <f>_xlfn.XLOOKUP($B12,'TRA TECH'!$J:$J,'TRA TECH'!AA:AA)</f>
        <v>641.00288323495818</v>
      </c>
      <c r="U12" s="8">
        <f>_xlfn.XLOOKUP($B12,'TRA TECH'!$J:$J,'TRA TECH'!AB:AB)</f>
        <v>641.00288323495818</v>
      </c>
      <c r="V12" s="8">
        <f>_xlfn.XLOOKUP($B12,'TRA TECH'!$J:$J,'TRA TECH'!AC:AC)</f>
        <v>641.00288323495818</v>
      </c>
      <c r="W12" s="8">
        <f>_xlfn.XLOOKUP($B12,'TRA TECH'!$J:$J,'TRA TECH'!AD:AD)</f>
        <v>641.00288323495818</v>
      </c>
      <c r="X12" s="8">
        <f t="shared" si="3"/>
        <v>641.00288323495818</v>
      </c>
      <c r="Y12" s="15">
        <f>_xlfn.XLOOKUP($B12,'TRA TECH'!$J:$J,'TRA TECH'!AE:AE)</f>
        <v>174.8189681549886</v>
      </c>
      <c r="Z12" s="15">
        <f>_xlfn.XLOOKUP($B12,'TRA TECH'!$J:$J,'TRA TECH'!AF:AF)</f>
        <v>156.3658548497398</v>
      </c>
      <c r="AA12" s="15">
        <f>_xlfn.XLOOKUP($B12,'TRA TECH'!$J:$J,'TRA TECH'!AG:AG)</f>
        <v>137.91274154449101</v>
      </c>
      <c r="AB12" s="15">
        <f>_xlfn.XLOOKUP($B12,'TRA TECH'!$J:$J,'TRA TECH'!AH:AH)</f>
        <v>119.45962823924221</v>
      </c>
      <c r="AC12" s="15">
        <f>_xlfn.XLOOKUP($B12,'TRA TECH'!$J:$J,'TRA TECH'!AI:AI)</f>
        <v>101.0065149339934</v>
      </c>
      <c r="AD12" s="15">
        <f>_xlfn.XLOOKUP($B12,'TRA TECH'!$J:$J,'TRA TECH'!AJ:AJ)</f>
        <v>82.553401628744624</v>
      </c>
      <c r="AE12" s="15">
        <f>_xlfn.XLOOKUP($B12,'TRA TECH'!$J:$J,'TRA TECH'!AK:AK)</f>
        <v>64.100288323495818</v>
      </c>
      <c r="AF12" s="15">
        <f t="shared" si="4"/>
        <v>64.100288323495818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2" tint="-0.499984740745262"/>
  </sheetPr>
  <dimension ref="A1"/>
  <sheetViews>
    <sheetView topLeftCell="A2" workbookViewId="0">
      <selection activeCell="J28" sqref="J28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ReadMe</vt:lpstr>
      <vt:lpstr>&gt;&gt; City Data</vt:lpstr>
      <vt:lpstr>City characteristics</vt:lpstr>
      <vt:lpstr>&gt;&gt; GC_NewTech</vt:lpstr>
      <vt:lpstr>TRA TECH</vt:lpstr>
      <vt:lpstr>&gt;&gt; TIMES</vt:lpstr>
      <vt:lpstr>Def_Tech</vt:lpstr>
      <vt:lpstr>Def_Comm</vt:lpstr>
      <vt:lpstr>New TRA</vt:lpstr>
      <vt:lpstr>Charging TRA</vt:lpstr>
      <vt:lpstr>&gt;&gt; 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esmia</dc:creator>
  <cp:lastModifiedBy>Carroll, Zane</cp:lastModifiedBy>
  <dcterms:created xsi:type="dcterms:W3CDTF">2015-06-05T18:17:20Z</dcterms:created>
  <dcterms:modified xsi:type="dcterms:W3CDTF">2025-04-08T18:32:29Z</dcterms:modified>
</cp:coreProperties>
</file>